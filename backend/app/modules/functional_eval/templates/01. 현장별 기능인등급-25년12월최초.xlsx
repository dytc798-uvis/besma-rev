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in10\Desktop\기능인등급\25년하반기12월평가611명-직영\"/>
    </mc:Choice>
  </mc:AlternateContent>
  <xr:revisionPtr revIDLastSave="0" documentId="13_ncr:1_{79A65149-2EB2-4134-BE4B-6181803757AE}" xr6:coauthVersionLast="47" xr6:coauthVersionMax="47" xr10:uidLastSave="{00000000-0000-0000-0000-000000000000}"/>
  <bookViews>
    <workbookView xWindow="28680" yWindow="-120" windowWidth="29040" windowHeight="15840" activeTab="3" xr2:uid="{7DBF394A-BC20-4603-875B-6D65FB122037}"/>
  </bookViews>
  <sheets>
    <sheet name="1. 현장별 인원현황" sheetId="1" r:id="rId1"/>
    <sheet name="Sheet1" sheetId="6" r:id="rId2"/>
    <sheet name="2-1. 인사고과표(기능)" sheetId="3" r:id="rId3"/>
    <sheet name="2-2. 인사고과표(안전)" sheetId="4" r:id="rId4"/>
    <sheet name="현장리스트" sheetId="5" r:id="rId5"/>
  </sheets>
  <definedNames>
    <definedName name="__?Crite">#REF!</definedName>
    <definedName name="__?Criteria">#REF!</definedName>
    <definedName name="___" hidden="1">#REF!</definedName>
    <definedName name="____" hidden="1">#REF!</definedName>
    <definedName name="_____" hidden="1">#REF!</definedName>
    <definedName name="______" hidden="1">#REF!</definedName>
    <definedName name="_______" hidden="1">#REF!</definedName>
    <definedName name="________" hidden="1">#REF!</definedName>
    <definedName name="_________" hidden="1">#REF!</definedName>
    <definedName name="__________" hidden="1">#REF!</definedName>
    <definedName name="___________" hidden="1">#REF!</definedName>
    <definedName name="____________" hidden="1">#REF!</definedName>
    <definedName name="____AA1">#REF!</definedName>
    <definedName name="____qw1">#REF!</definedName>
    <definedName name="____qw2">#REF!</definedName>
    <definedName name="____qw3">#REF!</definedName>
    <definedName name="____qw4">#REF!</definedName>
    <definedName name="____qw5">#REF!</definedName>
    <definedName name="____qw6">#REF!</definedName>
    <definedName name="____qww1">#REF!</definedName>
    <definedName name="____qww2">#REF!</definedName>
    <definedName name="____qww3">#REF!</definedName>
    <definedName name="____qww5">#REF!</definedName>
    <definedName name="____qww6">#REF!</definedName>
    <definedName name="____qww7">#REF!</definedName>
    <definedName name="____qww8">#REF!</definedName>
    <definedName name="____qww9">#REF!</definedName>
    <definedName name="____ST1">#N/A</definedName>
    <definedName name="___A100000">#N/A</definedName>
    <definedName name="___A66000">#N/A</definedName>
    <definedName name="___A67000">#N/A</definedName>
    <definedName name="___A68000">#N/A</definedName>
    <definedName name="___A80000">#N/A</definedName>
    <definedName name="___C100000">#REF!</definedName>
    <definedName name="___SH2">#N/A</definedName>
    <definedName name="___SH3">#N/A</definedName>
    <definedName name="___ST1">#N/A</definedName>
    <definedName name="___zz1">#N/A</definedName>
    <definedName name="__123Graph_AA" hidden="1">#REF!</definedName>
    <definedName name="__123Graph_AB" hidden="1">#REF!</definedName>
    <definedName name="__123Graph_AC" hidden="1">#REF!</definedName>
    <definedName name="__123Graph_ACHART1" hidden="1">#REF!</definedName>
    <definedName name="__123Graph_ACURRENT" hidden="1">#REF!</definedName>
    <definedName name="__123Graph_AD" hidden="1">#REF!</definedName>
    <definedName name="__123Graph_AE" hidden="1">#REF!</definedName>
    <definedName name="__123Graph_AF" hidden="1">#REF!</definedName>
    <definedName name="__123Graph_AG" hidden="1">#REF!</definedName>
    <definedName name="__123Graph_APOWERSAV" hidden="1">#REF!</definedName>
    <definedName name="__123Graph_B" hidden="1">#REF!</definedName>
    <definedName name="__123Graph_BPOWERSAV" hidden="1">#REF!</definedName>
    <definedName name="__123Graph_C" hidden="1">#REF!</definedName>
    <definedName name="__123Graph_D" hidden="1">#REF!</definedName>
    <definedName name="__123Graph_F" hidden="1">#REF!</definedName>
    <definedName name="__123Graph_XA" hidden="1">#REF!</definedName>
    <definedName name="__123Graph_XB" hidden="1">#REF!</definedName>
    <definedName name="__123Graph_XC" hidden="1">#REF!</definedName>
    <definedName name="__123Graph_XCHART1" hidden="1">#REF!</definedName>
    <definedName name="__123Graph_XCURRENT" hidden="1">#REF!</definedName>
    <definedName name="__123Graph_XD" hidden="1">#REF!</definedName>
    <definedName name="__123Graph_XE" hidden="1">#REF!</definedName>
    <definedName name="__123Graph_XF" hidden="1">#REF!</definedName>
    <definedName name="__123Graph_XG" hidden="1">#REF!</definedName>
    <definedName name="__123Graph_XPOWERSAV" hidden="1">#REF!</definedName>
    <definedName name="__A100000">#N/A</definedName>
    <definedName name="__A66000">#N/A</definedName>
    <definedName name="__A67000">#N/A</definedName>
    <definedName name="__A68000">#N/A</definedName>
    <definedName name="__A80000">#N/A</definedName>
    <definedName name="__AA1">#REF!</definedName>
    <definedName name="__C100000">#REF!</definedName>
    <definedName name="__CDT2">#REF!</definedName>
    <definedName name="__D6" localSheetId="4" hidden="1">{"'표지'!$B$5"}</definedName>
    <definedName name="__D6" hidden="1">{"'표지'!$B$5"}</definedName>
    <definedName name="__D7" localSheetId="4" hidden="1">{"'표지'!$B$5"}</definedName>
    <definedName name="__D7" hidden="1">{"'표지'!$B$5"}</definedName>
    <definedName name="__DAN1">#REF!</definedName>
    <definedName name="__DAN10">#REF!</definedName>
    <definedName name="__DAN100">#REF!</definedName>
    <definedName name="__DAN101">#REF!</definedName>
    <definedName name="__DAN102">#REF!</definedName>
    <definedName name="__DAN103">#REF!</definedName>
    <definedName name="__DAN104">#REF!</definedName>
    <definedName name="__DAN105">#REF!</definedName>
    <definedName name="__DAN106">#REF!</definedName>
    <definedName name="__DAN107">#REF!</definedName>
    <definedName name="__DAN108">#REF!</definedName>
    <definedName name="__DAN109">#REF!</definedName>
    <definedName name="__DAN11">#REF!</definedName>
    <definedName name="__DAN110">#REF!</definedName>
    <definedName name="__DAN111">#REF!</definedName>
    <definedName name="__DAN112">#REF!</definedName>
    <definedName name="__DAN113">#REF!</definedName>
    <definedName name="__DAN114">#REF!</definedName>
    <definedName name="__DAN115">#REF!</definedName>
    <definedName name="__DAN116">#REF!</definedName>
    <definedName name="__DAN117">#REF!</definedName>
    <definedName name="__DAN118">#REF!</definedName>
    <definedName name="__DAN119">#REF!</definedName>
    <definedName name="__DAN12">#REF!</definedName>
    <definedName name="__DAN120">#REF!</definedName>
    <definedName name="__DAN121">#REF!</definedName>
    <definedName name="__DAN122">#REF!</definedName>
    <definedName name="__DAN123">#REF!</definedName>
    <definedName name="__DAN124">#REF!</definedName>
    <definedName name="__DAN125">#REF!</definedName>
    <definedName name="__DAN126">#REF!</definedName>
    <definedName name="__DAN127">#REF!</definedName>
    <definedName name="__DAN128">#REF!</definedName>
    <definedName name="__DAN129">#REF!</definedName>
    <definedName name="__DAN13">#REF!</definedName>
    <definedName name="__DAN130">#REF!</definedName>
    <definedName name="__DAN131">#REF!</definedName>
    <definedName name="__DAN132">#REF!</definedName>
    <definedName name="__DAN133">#REF!</definedName>
    <definedName name="__DAN134">#REF!</definedName>
    <definedName name="__DAN135">#REF!</definedName>
    <definedName name="__DAN136">#REF!</definedName>
    <definedName name="__DAN137">#REF!</definedName>
    <definedName name="__DAN138">#REF!</definedName>
    <definedName name="__DAN139">#REF!</definedName>
    <definedName name="__DAN14">#REF!</definedName>
    <definedName name="__DAN140">#REF!</definedName>
    <definedName name="__DAN141">#REF!</definedName>
    <definedName name="__DAN142">#REF!</definedName>
    <definedName name="__DAN143">#REF!</definedName>
    <definedName name="__DAN144">#REF!</definedName>
    <definedName name="__DAN145">#REF!</definedName>
    <definedName name="__DAN146">#REF!</definedName>
    <definedName name="__DAN147">#REF!</definedName>
    <definedName name="__DAN148">#REF!</definedName>
    <definedName name="__DAN149">#REF!</definedName>
    <definedName name="__DAN15">#REF!</definedName>
    <definedName name="__DAN150">#REF!</definedName>
    <definedName name="__DAN151">#REF!</definedName>
    <definedName name="__DAN152">#REF!</definedName>
    <definedName name="__DAN153">#REF!</definedName>
    <definedName name="__DAN16">#REF!</definedName>
    <definedName name="__DAN17">#REF!</definedName>
    <definedName name="__DAN18">#REF!</definedName>
    <definedName name="__DAN19">#REF!</definedName>
    <definedName name="__DAN2">#REF!</definedName>
    <definedName name="__DAN20">#REF!</definedName>
    <definedName name="__DAN21">#REF!</definedName>
    <definedName name="__DAN22">#REF!</definedName>
    <definedName name="__DAN23">#REF!</definedName>
    <definedName name="__DAN24">#REF!</definedName>
    <definedName name="__DAN25">#REF!</definedName>
    <definedName name="__DAN26">#REF!</definedName>
    <definedName name="__DAN27">#REF!</definedName>
    <definedName name="__DAN28">#REF!</definedName>
    <definedName name="__DAN29">#REF!</definedName>
    <definedName name="__DAN3">#REF!</definedName>
    <definedName name="__DAN30">#REF!</definedName>
    <definedName name="__DAN31">#REF!</definedName>
    <definedName name="__DAN32">#REF!</definedName>
    <definedName name="__DAN33">#REF!</definedName>
    <definedName name="__DAN34">#REF!</definedName>
    <definedName name="__DAN35">#REF!</definedName>
    <definedName name="__DAN36">#REF!</definedName>
    <definedName name="__DAN37">#REF!</definedName>
    <definedName name="__DAN38">#REF!</definedName>
    <definedName name="__DAN39">#REF!</definedName>
    <definedName name="__DAN4">#REF!</definedName>
    <definedName name="__DAN40">#REF!</definedName>
    <definedName name="__DAN41">#REF!</definedName>
    <definedName name="__DAN42">#REF!</definedName>
    <definedName name="__DAN43">#REF!</definedName>
    <definedName name="__DAN44">#REF!</definedName>
    <definedName name="__DAN45">#REF!</definedName>
    <definedName name="__DAN46">#REF!</definedName>
    <definedName name="__DAN47">#REF!</definedName>
    <definedName name="__DAN48">#REF!</definedName>
    <definedName name="__DAN49">#REF!</definedName>
    <definedName name="__DAN5">#REF!</definedName>
    <definedName name="__DAN50">#REF!</definedName>
    <definedName name="__DAN51">#REF!</definedName>
    <definedName name="__DAN52">#REF!</definedName>
    <definedName name="__DAN53">#REF!</definedName>
    <definedName name="__DAN54">#REF!</definedName>
    <definedName name="__DAN55">#REF!</definedName>
    <definedName name="__DAN56">#REF!</definedName>
    <definedName name="__DAN57">#REF!</definedName>
    <definedName name="__DAN58">#REF!</definedName>
    <definedName name="__DAN59">#REF!</definedName>
    <definedName name="__DAN6">#REF!</definedName>
    <definedName name="__DAN60">#REF!</definedName>
    <definedName name="__DAN61">#REF!</definedName>
    <definedName name="__DAN62">#REF!</definedName>
    <definedName name="__DAN63">#REF!</definedName>
    <definedName name="__DAN64">#REF!</definedName>
    <definedName name="__DAN65">#REF!</definedName>
    <definedName name="__DAN66">#REF!</definedName>
    <definedName name="__DAN67">#REF!</definedName>
    <definedName name="__DAN68">#REF!</definedName>
    <definedName name="__DAN69">#REF!</definedName>
    <definedName name="__DAN7">#REF!</definedName>
    <definedName name="__DAN70">#REF!</definedName>
    <definedName name="__DAN71">#REF!</definedName>
    <definedName name="__DAN72">#REF!</definedName>
    <definedName name="__DAN73">#REF!</definedName>
    <definedName name="__DAN74">#REF!</definedName>
    <definedName name="__DAN75">#REF!</definedName>
    <definedName name="__DAN76">#REF!</definedName>
    <definedName name="__DAN77">#REF!</definedName>
    <definedName name="__DAN78">#REF!</definedName>
    <definedName name="__DAN79">#REF!</definedName>
    <definedName name="__DAN8">#REF!</definedName>
    <definedName name="__DAN80">#REF!</definedName>
    <definedName name="__DAN81">#REF!</definedName>
    <definedName name="__DAN82">#REF!</definedName>
    <definedName name="__DAN83">#REF!</definedName>
    <definedName name="__DAN84">#REF!</definedName>
    <definedName name="__DAN85">#REF!</definedName>
    <definedName name="__DAN86">#REF!</definedName>
    <definedName name="__DAN87">#REF!</definedName>
    <definedName name="__DAN88">#REF!</definedName>
    <definedName name="__DAN89">#REF!</definedName>
    <definedName name="__DAN9">#REF!</definedName>
    <definedName name="__DAN90">#REF!</definedName>
    <definedName name="__DAN91">#REF!</definedName>
    <definedName name="__DAN92">#REF!</definedName>
    <definedName name="__DAN93">#REF!</definedName>
    <definedName name="__DAN94">#REF!</definedName>
    <definedName name="__DAN95">#REF!</definedName>
    <definedName name="__DAN96">#REF!</definedName>
    <definedName name="__DAN97">#REF!</definedName>
    <definedName name="__DAN98">#REF!</definedName>
    <definedName name="__DAN99">#REF!</definedName>
    <definedName name="__EE1" localSheetId="4" hidden="1">{#N/A,#N/A,FALSE,"단가표지"}</definedName>
    <definedName name="__EE1" hidden="1">{#N/A,#N/A,FALSE,"단가표지"}</definedName>
    <definedName name="__f2" hidden="1">#REF!</definedName>
    <definedName name="__f4" hidden="1">#REF!</definedName>
    <definedName name="__fa2" localSheetId="4" hidden="1">{"'Sheet1'!$A$1:$H$36"}</definedName>
    <definedName name="__fa2" hidden="1">{"'Sheet1'!$A$1:$H$36"}</definedName>
    <definedName name="__FAB6" hidden="1">#REF!</definedName>
    <definedName name="__h1" localSheetId="4" hidden="1">{"'표지'!$B$5"}</definedName>
    <definedName name="__h1" hidden="1">{"'표지'!$B$5"}</definedName>
    <definedName name="__h2" localSheetId="4" hidden="1">{"'표지'!$B$5"}</definedName>
    <definedName name="__h2" hidden="1">{"'표지'!$B$5"}</definedName>
    <definedName name="__h3" hidden="1">#REF!</definedName>
    <definedName name="__h4" localSheetId="4" hidden="1">{"'표지'!$B$5"}</definedName>
    <definedName name="__h4" hidden="1">{"'표지'!$B$5"}</definedName>
    <definedName name="__h5" localSheetId="4" hidden="1">{"'표지'!$B$5"}</definedName>
    <definedName name="__h5" hidden="1">{"'표지'!$B$5"}</definedName>
    <definedName name="__H8" localSheetId="4" hidden="1">{"'표지'!$B$5"}</definedName>
    <definedName name="__H8" hidden="1">{"'표지'!$B$5"}</definedName>
    <definedName name="__IntlFixup" hidden="1">TRUE</definedName>
    <definedName name="__IT2" localSheetId="4" hidden="1">{"'Sheet1'!$A$1:$H$36"}</definedName>
    <definedName name="__IT2" hidden="1">{"'Sheet1'!$A$1:$H$36"}</definedName>
    <definedName name="__K123" localSheetId="4" hidden="1">{#N/A,#N/A,FALSE,"현장 NCR 분석";#N/A,#N/A,FALSE,"현장품질감사";#N/A,#N/A,FALSE,"현장품질감사"}</definedName>
    <definedName name="__K123" hidden="1">{#N/A,#N/A,FALSE,"현장 NCR 분석";#N/A,#N/A,FALSE,"현장품질감사";#N/A,#N/A,FALSE,"현장품질감사"}</definedName>
    <definedName name="__Key11" hidden="1">#REF!</definedName>
    <definedName name="__q12" localSheetId="4" hidden="1">{"'Sheet1'!$A$1:$H$36"}</definedName>
    <definedName name="__q12" hidden="1">{"'Sheet1'!$A$1:$H$36"}</definedName>
    <definedName name="__QQ1" localSheetId="4" hidden="1">{#N/A,#N/A,FALSE,"단가표지"}</definedName>
    <definedName name="__QQ1" hidden="1">{#N/A,#N/A,FALSE,"단가표지"}</definedName>
    <definedName name="__qw2">#REF!</definedName>
    <definedName name="__qw3">#REF!</definedName>
    <definedName name="__qw4">#REF!</definedName>
    <definedName name="__qw5">#REF!</definedName>
    <definedName name="__qw6">#REF!</definedName>
    <definedName name="__qww1">#REF!</definedName>
    <definedName name="__qww2">#REF!</definedName>
    <definedName name="__qww3">#REF!</definedName>
    <definedName name="__qww5">#REF!</definedName>
    <definedName name="__qww6">#REF!</definedName>
    <definedName name="__qww7">#REF!</definedName>
    <definedName name="__qww8">#REF!</definedName>
    <definedName name="__qww9">#REF!</definedName>
    <definedName name="__SH2">#N/A</definedName>
    <definedName name="__SH3">#N/A</definedName>
    <definedName name="__SS1" localSheetId="4" hidden="1">{#N/A,#N/A,FALSE,"운반시간"}</definedName>
    <definedName name="__SS1" hidden="1">{#N/A,#N/A,FALSE,"운반시간"}</definedName>
    <definedName name="__ST1">#N/A</definedName>
    <definedName name="__zz1">#N/A</definedName>
    <definedName name="_1">#N/A</definedName>
    <definedName name="_1_123Grap" hidden="1">#REF!</definedName>
    <definedName name="_1_3_0Crite">#REF!</definedName>
    <definedName name="_10">#N/A</definedName>
    <definedName name="_10____123Graph_DMOB_01" hidden="1">#REF!</definedName>
    <definedName name="_10__123Graph_BMOB_02" hidden="1">#REF!</definedName>
    <definedName name="_10__123Graph_CMOB_01" hidden="1">#REF!</definedName>
    <definedName name="_10_0_0_S" hidden="1">#REF!</definedName>
    <definedName name="_10Dist_" hidden="1">#REF!</definedName>
    <definedName name="_10F" hidden="1">#REF!</definedName>
    <definedName name="_11">#N/A</definedName>
    <definedName name="_11____123Graph_DMOB_02" hidden="1">#REF!</definedName>
    <definedName name="_11_0_0_F" hidden="1">#REF!</definedName>
    <definedName name="_12">#N/A</definedName>
    <definedName name="_12____123Graph_EMOB_02" hidden="1">#REF!</definedName>
    <definedName name="_12__123Graph_CMOB_01" hidden="1">#REF!</definedName>
    <definedName name="_12__123Graph_CMOB_02" hidden="1">#REF!</definedName>
    <definedName name="_123GRAPH_A" hidden="1">#REF!</definedName>
    <definedName name="_13">#N/A</definedName>
    <definedName name="_13____123Graph_FMOB_02" hidden="1">#REF!</definedName>
    <definedName name="_14">#N/A</definedName>
    <definedName name="_14____123Graph_LBL_AMOB_01" hidden="1">#REF!</definedName>
    <definedName name="_14__123Graph_CMOB_02" hidden="1">#REF!</definedName>
    <definedName name="_14__123Graph_DMOB_01" hidden="1">#REF!</definedName>
    <definedName name="_14_0__123Grap" hidden="1">#REF!</definedName>
    <definedName name="_14_0_0_F" hidden="1">#REF!</definedName>
    <definedName name="_143_0_0_F" hidden="1">#REF!</definedName>
    <definedName name="_144_0_0_F" hidden="1">#REF!</definedName>
    <definedName name="_15">#N/A</definedName>
    <definedName name="_15____123Graph_LBL_AMOB_02" hidden="1">#REF!</definedName>
    <definedName name="_15A_1">#REF!</definedName>
    <definedName name="_15F" hidden="1">#REF!</definedName>
    <definedName name="_16">#N/A</definedName>
    <definedName name="_16____123Graph_LBL_BMOB_01" hidden="1">#REF!</definedName>
    <definedName name="_16__123Graph_DMOB_01" hidden="1">#REF!</definedName>
    <definedName name="_16__123Graph_DMOB_02" hidden="1">#REF!</definedName>
    <definedName name="_16_0_Dist_" hidden="1">#REF!</definedName>
    <definedName name="_16G__Extr">#REF!</definedName>
    <definedName name="_17">#N/A</definedName>
    <definedName name="_17____123Graph_LBL_BMOB_02" hidden="1">#REF!</definedName>
    <definedName name="_18">#N/A</definedName>
    <definedName name="_18_____F" hidden="1">#REF!</definedName>
    <definedName name="_18____123Graph_LBL_CMOB_01" hidden="1">#REF!</definedName>
    <definedName name="_18__123Graph_DMOB_02" hidden="1">#REF!</definedName>
    <definedName name="_18__123Graph_EMOB_02" hidden="1">#REF!</definedName>
    <definedName name="_18_0_0_F" hidden="1">#REF!</definedName>
    <definedName name="_18G__Extract">#REF!</definedName>
    <definedName name="_19">#N/A</definedName>
    <definedName name="_19____123Graph_LBL_CMOB_02" hidden="1">#REF!</definedName>
    <definedName name="_1F" hidden="1">#REF!</definedName>
    <definedName name="_1Module4_.Macro3">#N/A</definedName>
    <definedName name="_2">#N/A</definedName>
    <definedName name="_2______123Grap" hidden="1">#REF!</definedName>
    <definedName name="_2__123Graph_AMOB_01" hidden="1">#REF!</definedName>
    <definedName name="_2__123Graph_XCHART_1A" hidden="1">#REF!</definedName>
    <definedName name="_2_0_S" hidden="1">#REF!</definedName>
    <definedName name="_2_123Grap" hidden="1">#REF!</definedName>
    <definedName name="_2_3_0Criteria">#REF!</definedName>
    <definedName name="_20">#N/A</definedName>
    <definedName name="_20____123Graph_LBL_DMOB_01" hidden="1">#REF!</definedName>
    <definedName name="_20___0_0_F" hidden="1">#REF!</definedName>
    <definedName name="_20__123Graph_EMOB_02" hidden="1">#REF!</definedName>
    <definedName name="_20__123Graph_FMOB_02" hidden="1">#REF!</definedName>
    <definedName name="_20_0__123Grap" hidden="1">#REF!</definedName>
    <definedName name="_21">#N/A</definedName>
    <definedName name="_21____123Graph_LBL_DMOB_02" hidden="1">#REF!</definedName>
    <definedName name="_22">#N/A</definedName>
    <definedName name="_22____123Graph_LBL_EMOB_02" hidden="1">#REF!</definedName>
    <definedName name="_22__123Graph_FMOB_02" hidden="1">#REF!</definedName>
    <definedName name="_22__123Graph_LBL_AMOB_01" hidden="1">#REF!</definedName>
    <definedName name="_23">#N/A</definedName>
    <definedName name="_23____123Graph_LBL_FMOB_02" hidden="1">#REF!</definedName>
    <definedName name="_24">#N/A</definedName>
    <definedName name="_24____123Graph_XMOB_01" hidden="1">#REF!</definedName>
    <definedName name="_24__123Graph_LBL_AMOB_01" hidden="1">#REF!</definedName>
    <definedName name="_24__123Graph_LBL_AMOB_02" hidden="1">#REF!</definedName>
    <definedName name="_25">#N/A</definedName>
    <definedName name="_25____123Graph_XMOB_02" hidden="1">#REF!</definedName>
    <definedName name="_25_0_Dist_" hidden="1">#REF!</definedName>
    <definedName name="_26">#N/A</definedName>
    <definedName name="_26__123Graph_LBL_AMOB_02" hidden="1">#REF!</definedName>
    <definedName name="_26__123Graph_LBL_BMOB_01" hidden="1">#REF!</definedName>
    <definedName name="_27">#N/A</definedName>
    <definedName name="_27______123Grap" hidden="1">#REF!</definedName>
    <definedName name="_28">#N/A</definedName>
    <definedName name="_28___123Graph_AMOB_01" hidden="1">#REF!</definedName>
    <definedName name="_28__123Graph_LBL_BMOB_01" hidden="1">#REF!</definedName>
    <definedName name="_28__123Graph_LBL_BMOB_02" hidden="1">#REF!</definedName>
    <definedName name="_29">#N/A</definedName>
    <definedName name="_29___123Graph_AMOB_02" hidden="1">#REF!</definedName>
    <definedName name="_2Module4_.Macro3">#N/A</definedName>
    <definedName name="_2S" hidden="1">#REF!</definedName>
    <definedName name="_3">#N/A</definedName>
    <definedName name="_3_______123Grap" hidden="1">#REF!</definedName>
    <definedName name="_3_____F" hidden="1">#REF!</definedName>
    <definedName name="_3____0_0_F" hidden="1">#REF!</definedName>
    <definedName name="_3_0_0__123Grap" hidden="1">#REF!</definedName>
    <definedName name="_3_0_0_F" hidden="1">#REF!</definedName>
    <definedName name="_30">#N/A</definedName>
    <definedName name="_30___123Graph_BMOB_01" hidden="1">#REF!</definedName>
    <definedName name="_30__0_0_F" hidden="1">#REF!</definedName>
    <definedName name="_30__123Graph_LBL_BMOB_02" hidden="1">#REF!</definedName>
    <definedName name="_30__123Graph_LBL_CMOB_01" hidden="1">#REF!</definedName>
    <definedName name="_30_0_0__123Grap" hidden="1">#REF!</definedName>
    <definedName name="_31">#N/A</definedName>
    <definedName name="_31___123Graph_BMOB_02" hidden="1">#REF!</definedName>
    <definedName name="_32">#N/A</definedName>
    <definedName name="_32___123Graph_CMOB_01" hidden="1">#REF!</definedName>
    <definedName name="_32__123Graph_LBL_CMOB_01" hidden="1">#REF!</definedName>
    <definedName name="_32__123Graph_LBL_CMOB_02" hidden="1">#REF!</definedName>
    <definedName name="_33">#N/A</definedName>
    <definedName name="_33___123Graph_CMOB_02" hidden="1">#REF!</definedName>
    <definedName name="_34">#N/A</definedName>
    <definedName name="_34___123Graph_DMOB_01" hidden="1">#REF!</definedName>
    <definedName name="_34__123Graph_LBL_CMOB_02" hidden="1">#REF!</definedName>
    <definedName name="_34__123Graph_LBL_DMOB_01" hidden="1">#REF!</definedName>
    <definedName name="_35">#N/A</definedName>
    <definedName name="_35___123Graph_DMOB_02" hidden="1">#REF!</definedName>
    <definedName name="_35_0_0_F" hidden="1">#REF!</definedName>
    <definedName name="_35D6_" localSheetId="4" hidden="1">{"'표지'!$B$5"}</definedName>
    <definedName name="_35D6_" hidden="1">{"'표지'!$B$5"}</definedName>
    <definedName name="_36">#N/A</definedName>
    <definedName name="_36___123Graph_EMOB_02" hidden="1">#REF!</definedName>
    <definedName name="_36__123Graph_LBL_DMOB_01" hidden="1">#REF!</definedName>
    <definedName name="_36__123Graph_LBL_DMOB_02" hidden="1">#REF!</definedName>
    <definedName name="_37">#N/A</definedName>
    <definedName name="_37___123Graph_FMOB_02" hidden="1">#REF!</definedName>
    <definedName name="_37D7_" localSheetId="4" hidden="1">{"'표지'!$B$5"}</definedName>
    <definedName name="_37D7_" hidden="1">{"'표지'!$B$5"}</definedName>
    <definedName name="_38">#N/A</definedName>
    <definedName name="_38___123Graph_LBL_AMOB_01" hidden="1">#REF!</definedName>
    <definedName name="_38__123Graph_LBL_DMOB_02" hidden="1">#REF!</definedName>
    <definedName name="_38__123Graph_LBL_EMOB_02" hidden="1">#REF!</definedName>
    <definedName name="_39">#N/A</definedName>
    <definedName name="_39___123Graph_LBL_AMOB_02" hidden="1">#REF!</definedName>
    <definedName name="_39_0__123Grap" hidden="1">#N/A</definedName>
    <definedName name="_39f2_" hidden="1">#REF!</definedName>
    <definedName name="_3G_0Extr">#REF!</definedName>
    <definedName name="_3K" hidden="1">#REF!</definedName>
    <definedName name="_3Module6_.Macro4">#N/A</definedName>
    <definedName name="_4">#N/A</definedName>
    <definedName name="_4_____K" hidden="1">#REF!</definedName>
    <definedName name="_4____123Graph_AMOB_01" hidden="1">#REF!</definedName>
    <definedName name="_4___0__123Grap" hidden="1">#REF!</definedName>
    <definedName name="_4___0_0_F" hidden="1">#REF!</definedName>
    <definedName name="_4__123Graph_AMOB_01" hidden="1">#REF!</definedName>
    <definedName name="_4__123Graph_AMOB_02" hidden="1">#REF!</definedName>
    <definedName name="_4_0_S" hidden="1">#REF!</definedName>
    <definedName name="_4_3__Crite">#REF!</definedName>
    <definedName name="_40">#N/A</definedName>
    <definedName name="_40___123Graph_LBL_BMOB_01" hidden="1">#REF!</definedName>
    <definedName name="_40__123Graph_LBL_EMOB_02" hidden="1">#REF!</definedName>
    <definedName name="_40__123Graph_LBL_FMOB_02" hidden="1">#REF!</definedName>
    <definedName name="_40_0__123Grap" hidden="1">#N/A</definedName>
    <definedName name="_40_0_0_F" hidden="1">#REF!</definedName>
    <definedName name="_41">#N/A</definedName>
    <definedName name="_41___123Graph_LBL_BMOB_02" hidden="1">#REF!</definedName>
    <definedName name="_41f4_" hidden="1">#REF!</definedName>
    <definedName name="_42">#N/A</definedName>
    <definedName name="_42___123Graph_LBL_CMOB_01" hidden="1">#REF!</definedName>
    <definedName name="_42__123Graph_LBL_FMOB_02" hidden="1">#REF!</definedName>
    <definedName name="_42__123Graph_XMOB_01" hidden="1">#REF!</definedName>
    <definedName name="_43">#N/A</definedName>
    <definedName name="_43___123Graph_LBL_CMOB_02" hidden="1">#REF!</definedName>
    <definedName name="_43fa2_" localSheetId="4" hidden="1">{"'Sheet1'!$A$1:$H$36"}</definedName>
    <definedName name="_43fa2_" hidden="1">{"'Sheet1'!$A$1:$H$36"}</definedName>
    <definedName name="_44">#N/A</definedName>
    <definedName name="_44___123Graph_LBL_DMOB_01" hidden="1">#REF!</definedName>
    <definedName name="_44__123Graph_XMOB_01" hidden="1">#REF!</definedName>
    <definedName name="_44__123Graph_XMOB_02" hidden="1">#REF!</definedName>
    <definedName name="_45">#N/A</definedName>
    <definedName name="_45___123Graph_LBL_DMOB_02" hidden="1">#REF!</definedName>
    <definedName name="_45F" hidden="1">#REF!</definedName>
    <definedName name="_45q45_" localSheetId="4" hidden="1">{"'용역비'!$A$4:$C$8"}</definedName>
    <definedName name="_45q45_" hidden="1">{"'용역비'!$A$4:$C$8"}</definedName>
    <definedName name="_46">#N/A</definedName>
    <definedName name="_46___123Graph_LBL_EMOB_02" hidden="1">#REF!</definedName>
    <definedName name="_46__123Graph_XMOB_02" hidden="1">#REF!</definedName>
    <definedName name="_47">#N/A</definedName>
    <definedName name="_47___123Graph_LBL_FMOB_02" hidden="1">#REF!</definedName>
    <definedName name="_47_0__123Grap" hidden="1">#REF!</definedName>
    <definedName name="_47Dist_" hidden="1">#REF!</definedName>
    <definedName name="_48">#N/A</definedName>
    <definedName name="_48___123Graph_XMOB_01" hidden="1">#REF!</definedName>
    <definedName name="_48_0__123Grap" hidden="1">#REF!</definedName>
    <definedName name="_48_0_Dist_" hidden="1">#N/A</definedName>
    <definedName name="_48F" hidden="1">#REF!</definedName>
    <definedName name="_49">#N/A</definedName>
    <definedName name="_49___123Graph_XMOB_02" hidden="1">#REF!</definedName>
    <definedName name="_4G_0Extract">#REF!</definedName>
    <definedName name="_4h3_" hidden="1">#REF!</definedName>
    <definedName name="_4Module6_.Macro4">#N/A</definedName>
    <definedName name="_4S" hidden="1">#REF!</definedName>
    <definedName name="_5">#N/A</definedName>
    <definedName name="_5_____S" hidden="1">#REF!</definedName>
    <definedName name="_5____123Graph_AMOB_02" hidden="1">#REF!</definedName>
    <definedName name="_5_0_0_F" hidden="1">#REF!</definedName>
    <definedName name="_5_123Grap" hidden="1">#REF!</definedName>
    <definedName name="_50">#N/A</definedName>
    <definedName name="_50______Dist_" hidden="1">#REF!</definedName>
    <definedName name="_50_0_0_F" hidden="1">#REF!</definedName>
    <definedName name="_50_0_Dist_" hidden="1">#REF!</definedName>
    <definedName name="_51">#N/A</definedName>
    <definedName name="_51______F" hidden="1">#REF!</definedName>
    <definedName name="_52">#N/A</definedName>
    <definedName name="_53">#N/A</definedName>
    <definedName name="_53_0_0_F" hidden="1">#REF!</definedName>
    <definedName name="_54">#N/A</definedName>
    <definedName name="_54_0__123Grap" hidden="1">#REF!</definedName>
    <definedName name="_54_0_0_F" hidden="1">#REF!</definedName>
    <definedName name="_55">#N/A</definedName>
    <definedName name="_55_0_Dist_" hidden="1">#REF!</definedName>
    <definedName name="_56">#N/A</definedName>
    <definedName name="_56____0__123Grap" hidden="1">#REF!</definedName>
    <definedName name="_56h1_" localSheetId="4" hidden="1">{"'표지'!$B$5"}</definedName>
    <definedName name="_56h1_" hidden="1">{"'표지'!$B$5"}</definedName>
    <definedName name="_57">#N/A</definedName>
    <definedName name="_57____0_Dist_" hidden="1">#REF!</definedName>
    <definedName name="_58">#N/A</definedName>
    <definedName name="_58h2_" localSheetId="4" hidden="1">{"'표지'!$B$5"}</definedName>
    <definedName name="_58h2_" hidden="1">{"'표지'!$B$5"}</definedName>
    <definedName name="_59">#N/A</definedName>
    <definedName name="_59_0_0_F" hidden="1">#REF!</definedName>
    <definedName name="_6">#N/A</definedName>
    <definedName name="_6____123Graph_BMOB_01" hidden="1">#REF!</definedName>
    <definedName name="_6__0_0_F" hidden="1">#REF!</definedName>
    <definedName name="_6__123Graph_AMOB_02" hidden="1">#REF!</definedName>
    <definedName name="_6__123Graph_BMOB_01" hidden="1">#REF!</definedName>
    <definedName name="_6_3__Criteria">#REF!</definedName>
    <definedName name="_60">#N/A</definedName>
    <definedName name="_60h3_" localSheetId="4" hidden="1">{"'표지'!$B$5"}</definedName>
    <definedName name="_60h3_" hidden="1">{"'표지'!$B$5"}</definedName>
    <definedName name="_61">#N/A</definedName>
    <definedName name="_61__0_0_F" hidden="1">#REF!</definedName>
    <definedName name="_62">#N/A</definedName>
    <definedName name="_62h4_" localSheetId="4" hidden="1">{"'표지'!$B$5"}</definedName>
    <definedName name="_62h4_" hidden="1">{"'표지'!$B$5"}</definedName>
    <definedName name="_63">#N/A</definedName>
    <definedName name="_63_0_0" hidden="1">#N/A</definedName>
    <definedName name="_64">#N/A</definedName>
    <definedName name="_64_0_0" hidden="1">#N/A</definedName>
    <definedName name="_64h5_" localSheetId="4" hidden="1">{"'표지'!$B$5"}</definedName>
    <definedName name="_64h5_" hidden="1">{"'표지'!$B$5"}</definedName>
    <definedName name="_65">#N/A</definedName>
    <definedName name="_66">#N/A</definedName>
    <definedName name="_66H8_" localSheetId="4" hidden="1">{"'표지'!$B$5"}</definedName>
    <definedName name="_66H8_" hidden="1">{"'표지'!$B$5"}</definedName>
    <definedName name="_67">#N/A</definedName>
    <definedName name="_68">#N/A</definedName>
    <definedName name="_68_____Dist_" hidden="1">#REF!</definedName>
    <definedName name="_68IT2_" localSheetId="4" hidden="1">{"'Sheet1'!$A$1:$H$36"}</definedName>
    <definedName name="_68IT2_" hidden="1">{"'Sheet1'!$A$1:$H$36"}</definedName>
    <definedName name="_69">#N/A</definedName>
    <definedName name="_69_____F" hidden="1">#REF!</definedName>
    <definedName name="_69_0_0__123Grap" hidden="1">#N/A</definedName>
    <definedName name="_7">#N/A</definedName>
    <definedName name="_7____123Graph_BMOB_02" hidden="1">#REF!</definedName>
    <definedName name="_70">#N/A</definedName>
    <definedName name="_70_0_0__123Grap" hidden="1">#N/A</definedName>
    <definedName name="_70Q1_" localSheetId="4" hidden="1">{"'Sheet1'!$A$1:$H$36"}</definedName>
    <definedName name="_70Q1_" hidden="1">{"'Sheet1'!$A$1:$H$36"}</definedName>
    <definedName name="_71">#N/A</definedName>
    <definedName name="_72">#N/A</definedName>
    <definedName name="_72q12_" localSheetId="4" hidden="1">{"'Sheet1'!$A$1:$H$36"}</definedName>
    <definedName name="_72q12_" hidden="1">{"'Sheet1'!$A$1:$H$36"}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____123Graph_CMOB_01" hidden="1">#REF!</definedName>
    <definedName name="_8__123Graph_BMOB_01" hidden="1">#REF!</definedName>
    <definedName name="_8__123Graph_BMOB_02" hidden="1">#REF!</definedName>
    <definedName name="_8_0_0_F" hidden="1">#REF!</definedName>
    <definedName name="_80">#N/A</definedName>
    <definedName name="_80___0__123Grap" hidden="1">#REF!</definedName>
    <definedName name="_81">#N/A</definedName>
    <definedName name="_81___0_Dist_" hidden="1">#REF!</definedName>
    <definedName name="_82">#N/A</definedName>
    <definedName name="_82_0_0_F" hidden="1">#N/A</definedName>
    <definedName name="_83">#N/A</definedName>
    <definedName name="_84">#N/A</definedName>
    <definedName name="_85">#N/A</definedName>
    <definedName name="_85_0_0_F" hidden="1">#REF!</definedName>
    <definedName name="_86">#N/A</definedName>
    <definedName name="_87">#N/A</definedName>
    <definedName name="_88">#N/A</definedName>
    <definedName name="_89">#N/A</definedName>
    <definedName name="_8E0">#REF!</definedName>
    <definedName name="_9">#N/A</definedName>
    <definedName name="_9____123Graph_CMOB_02" hidden="1">#REF!</definedName>
    <definedName name="_9_0_0_K" hidden="1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5_0_Dist_" hidden="1">#REF!</definedName>
    <definedName name="_96">#N/A</definedName>
    <definedName name="_97">#N/A</definedName>
    <definedName name="_98">#N/A</definedName>
    <definedName name="_99">#N/A</definedName>
    <definedName name="_A">#REF!</definedName>
    <definedName name="_a_1">#N/A</definedName>
    <definedName name="_A01">#REF!</definedName>
    <definedName name="_A02">#REF!</definedName>
    <definedName name="_A03">#REF!</definedName>
    <definedName name="_A04">#REF!</definedName>
    <definedName name="_A05">#REF!</definedName>
    <definedName name="_A100000">#N/A</definedName>
    <definedName name="_A66000">#N/A</definedName>
    <definedName name="_A67000">#N/A</definedName>
    <definedName name="_A68000">#N/A</definedName>
    <definedName name="_A80000">#N/A</definedName>
    <definedName name="_ABUT_SHOE">#REF!</definedName>
    <definedName name="_b">#REF!</definedName>
    <definedName name="_B02">#REF!</definedName>
    <definedName name="_b03">#REF!</definedName>
    <definedName name="_b05">#REF!</definedName>
    <definedName name="_b06">#REF!</definedName>
    <definedName name="_b07">#REF!</definedName>
    <definedName name="_b08">#REF!</definedName>
    <definedName name="_B10">#REF!</definedName>
    <definedName name="_B11">#REF!</definedName>
    <definedName name="_b12">#REF!</definedName>
    <definedName name="_b13">#REF!</definedName>
    <definedName name="_B14">#REF!</definedName>
    <definedName name="_b15">#REF!</definedName>
    <definedName name="_b17">#REF!</definedName>
    <definedName name="_b18">#REF!</definedName>
    <definedName name="_b19">#REF!</definedName>
    <definedName name="_B20">#REF!</definedName>
    <definedName name="_B21">#REF!</definedName>
    <definedName name="_B23">#REF!</definedName>
    <definedName name="_B24">#REF!</definedName>
    <definedName name="_B25">#REF!</definedName>
    <definedName name="_B37">#REF!</definedName>
    <definedName name="_B38">#REF!</definedName>
    <definedName name="_c">#REF!</definedName>
    <definedName name="_C01">#REF!</definedName>
    <definedName name="_c02">#REF!</definedName>
    <definedName name="_C100000">#REF!</definedName>
    <definedName name="_C20">#REF!</definedName>
    <definedName name="_C30">#REF!</definedName>
    <definedName name="_C60">#REF!</definedName>
    <definedName name="_C70">#REF!</definedName>
    <definedName name="_C80">#REF!</definedName>
    <definedName name="_C90">#REF!</definedName>
    <definedName name="_CDT2">#REF!</definedName>
    <definedName name="_csmax">#REF!</definedName>
    <definedName name="_d">#REF!</definedName>
    <definedName name="_d_1">#REF!</definedName>
    <definedName name="_d_12">#REF!</definedName>
    <definedName name="_d_24">#REF!</definedName>
    <definedName name="_d_25">#REF!</definedName>
    <definedName name="_D01">#REF!</definedName>
    <definedName name="_D02">#REF!</definedName>
    <definedName name="_D6" localSheetId="4" hidden="1">{"'표지'!$B$5"}</definedName>
    <definedName name="_D6" hidden="1">{"'표지'!$B$5"}</definedName>
    <definedName name="_D7" localSheetId="4" hidden="1">{"'표지'!$B$5"}</definedName>
    <definedName name="_D7" hidden="1">{"'표지'!$B$5"}</definedName>
    <definedName name="_E">#REF!</definedName>
    <definedName name="_E01">#REF!</definedName>
    <definedName name="_f">#REF!</definedName>
    <definedName name="_f_1">#REF!</definedName>
    <definedName name="_f_12">#REF!</definedName>
    <definedName name="_f_24">#REF!</definedName>
    <definedName name="_f_25">#REF!</definedName>
    <definedName name="_F01">#REF!</definedName>
    <definedName name="_F02">#REF!</definedName>
    <definedName name="_F03">#REF!</definedName>
    <definedName name="_F04">#REF!</definedName>
    <definedName name="_F05">#REF!</definedName>
    <definedName name="_F06">#REF!</definedName>
    <definedName name="_F07">#REF!</definedName>
    <definedName name="_F08">#REF!</definedName>
    <definedName name="_F09">#REF!</definedName>
    <definedName name="_F10">#REF!</definedName>
    <definedName name="_F11">#REF!</definedName>
    <definedName name="_F12">#REF!</definedName>
    <definedName name="_f13">#REF!</definedName>
    <definedName name="_f14">#REF!</definedName>
    <definedName name="_F15">#REF!</definedName>
    <definedName name="_F16">#REF!</definedName>
    <definedName name="_F17">#REF!</definedName>
    <definedName name="_F18">#REF!</definedName>
    <definedName name="_f19">#REF!</definedName>
    <definedName name="_f2" hidden="1">#REF!</definedName>
    <definedName name="_f20">#REF!</definedName>
    <definedName name="_f21">#REF!</definedName>
    <definedName name="_f4" hidden="1">#REF!</definedName>
    <definedName name="_fa2" localSheetId="4" hidden="1">{"'Sheet1'!$A$1:$H$36"}</definedName>
    <definedName name="_fa2" hidden="1">{"'Sheet1'!$A$1:$H$36"}</definedName>
    <definedName name="_FAB6" hidden="1">#REF!</definedName>
    <definedName name="_fill1" hidden="1">#REF!</definedName>
    <definedName name="_xlnm._FilterDatabase" localSheetId="0" hidden="1">'1. 현장별 인원현황'!$B$5:$AE$616</definedName>
    <definedName name="_xlnm._FilterDatabase" localSheetId="2" hidden="1">'2-1. 인사고과표(기능)'!$A$6:$AS$6</definedName>
    <definedName name="_xlnm._FilterDatabase" localSheetId="3" hidden="1">'2-2. 인사고과표(안전)'!$A$6:$AO$6</definedName>
    <definedName name="_xlnm._FilterDatabase" localSheetId="4" hidden="1">현장리스트!$B$2:$AG$79</definedName>
    <definedName name="_xlnm._FilterDatabase" hidden="1">#REF!</definedName>
    <definedName name="_FOOTING_X_M">#REF!</definedName>
    <definedName name="_FOOTING_Y_M">#REF!</definedName>
    <definedName name="_G01">#REF!</definedName>
    <definedName name="_G02">#REF!</definedName>
    <definedName name="_G03">#REF!</definedName>
    <definedName name="_G04">#REF!</definedName>
    <definedName name="_G07">#REF!</definedName>
    <definedName name="_G08">#REF!</definedName>
    <definedName name="_G09">#REF!</definedName>
    <definedName name="_g10">#REF!</definedName>
    <definedName name="_G11">#REF!</definedName>
    <definedName name="_G12">#REF!</definedName>
    <definedName name="_G13">#REF!</definedName>
    <definedName name="_h">#REF!</definedName>
    <definedName name="_H01">#REF!</definedName>
    <definedName name="_H02">#REF!</definedName>
    <definedName name="_H03">#REF!</definedName>
    <definedName name="_H04">#REF!</definedName>
    <definedName name="_H06">#REF!</definedName>
    <definedName name="_h07">#REF!</definedName>
    <definedName name="_h08">#REF!</definedName>
    <definedName name="_H09">#REF!</definedName>
    <definedName name="_h1" localSheetId="4" hidden="1">{"'표지'!$B$5"}</definedName>
    <definedName name="_h1" hidden="1">{"'표지'!$B$5"}</definedName>
    <definedName name="_H10">#REF!</definedName>
    <definedName name="_H11">#REF!</definedName>
    <definedName name="_H12">#REF!</definedName>
    <definedName name="_H13">#REF!</definedName>
    <definedName name="_H14">#REF!</definedName>
    <definedName name="_H15">#REF!</definedName>
    <definedName name="_H16">#REF!</definedName>
    <definedName name="_h17">#REF!</definedName>
    <definedName name="_H18">#REF!</definedName>
    <definedName name="_H19">#REF!</definedName>
    <definedName name="_h2" localSheetId="4" hidden="1">{"'표지'!$B$5"}</definedName>
    <definedName name="_h2" hidden="1">{"'표지'!$B$5"}</definedName>
    <definedName name="_h3" hidden="1">#REF!</definedName>
    <definedName name="_h4" localSheetId="4" hidden="1">{"'표지'!$B$5"}</definedName>
    <definedName name="_h4" hidden="1">{"'표지'!$B$5"}</definedName>
    <definedName name="_h5" localSheetId="4" hidden="1">{"'표지'!$B$5"}</definedName>
    <definedName name="_h5" hidden="1">{"'표지'!$B$5"}</definedName>
    <definedName name="_H8" localSheetId="4" hidden="1">{"'표지'!$B$5"}</definedName>
    <definedName name="_H8" hidden="1">{"'표지'!$B$5"}</definedName>
    <definedName name="_HSH1">#REF!</definedName>
    <definedName name="_HSH2">#REF!</definedName>
    <definedName name="_htt1" localSheetId="4" hidden="1">{"'표지'!$B$5"}</definedName>
    <definedName name="_htt1" hidden="1">{"'표지'!$B$5"}</definedName>
    <definedName name="_i">#REF!</definedName>
    <definedName name="_I01">#REF!</definedName>
    <definedName name="_IT2" localSheetId="4" hidden="1">{"'Sheet1'!$A$1:$H$36"}</definedName>
    <definedName name="_IT2" hidden="1">{"'Sheet1'!$A$1:$H$36"}</definedName>
    <definedName name="_J01">#REF!</definedName>
    <definedName name="_k" hidden="1">#REF!</definedName>
    <definedName name="_K01">#REF!</definedName>
    <definedName name="_kcr1" hidden="1">#REF!</definedName>
    <definedName name="_kcr2" hidden="1">#REF!</definedName>
    <definedName name="_KD2" hidden="1">#REF!</definedName>
    <definedName name="_KD3" hidden="1">#REF!</definedName>
    <definedName name="_Key11" hidden="1">#REF!</definedName>
    <definedName name="_Key3" hidden="1">#REF!</definedName>
    <definedName name="_KHM111" localSheetId="4" hidden="1">{#N/A,#N/A,FALSE,"제목"}</definedName>
    <definedName name="_KHM111" hidden="1">{#N/A,#N/A,FALSE,"제목"}</definedName>
    <definedName name="_KHM888" localSheetId="4" hidden="1">{#N/A,#N/A,FALSE,"제목"}</definedName>
    <definedName name="_KHM888" hidden="1">{#N/A,#N/A,FALSE,"제목"}</definedName>
    <definedName name="_KK2" hidden="1">#REF!</definedName>
    <definedName name="_KK3" hidden="1">#REF!</definedName>
    <definedName name="_l">#REF!</definedName>
    <definedName name="_L01">#REF!</definedName>
    <definedName name="_L02">#REF!</definedName>
    <definedName name="_L03">#REF!</definedName>
    <definedName name="_l06">#REF!</definedName>
    <definedName name="_l07">#REF!</definedName>
    <definedName name="_L08">#REF!</definedName>
    <definedName name="_L09">#REF!</definedName>
    <definedName name="_L1">#REF!</definedName>
    <definedName name="_L2">#REF!</definedName>
    <definedName name="_L3">#REF!</definedName>
    <definedName name="_M01">#REF!</definedName>
    <definedName name="_M02">#REF!</definedName>
    <definedName name="_M03">#REF!</definedName>
    <definedName name="_M04">#REF!</definedName>
    <definedName name="_M2">"단위"</definedName>
    <definedName name="_NMB96">#REF!</definedName>
    <definedName name="_NP1">#REF!</definedName>
    <definedName name="_NP2">#REF!</definedName>
    <definedName name="_NSH1">#REF!</definedName>
    <definedName name="_NSH2">#REF!</definedName>
    <definedName name="_O01">#REF!</definedName>
    <definedName name="_O02">#REF!</definedName>
    <definedName name="_O04">#REF!</definedName>
    <definedName name="_O05">#REF!</definedName>
    <definedName name="_O08">#REF!</definedName>
    <definedName name="_O09">#REF!</definedName>
    <definedName name="_O10">#REF!</definedName>
    <definedName name="_O11">#REF!</definedName>
    <definedName name="_O12">#REF!</definedName>
    <definedName name="_O13">#REF!</definedName>
    <definedName name="_O14">#REF!</definedName>
    <definedName name="_O15">#REF!</definedName>
    <definedName name="_OK2" hidden="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p">#REF!</definedName>
    <definedName name="_p01">#REF!</definedName>
    <definedName name="_PGR003" localSheetId="4" hidden="1">{"'status'!$B$2:$H$15"}</definedName>
    <definedName name="_PGR003" hidden="1">{"'status'!$B$2:$H$15"}</definedName>
    <definedName name="_PI1">#REF!</definedName>
    <definedName name="_PI2">#REF!</definedName>
    <definedName name="_PIER_FOOTING">#REF!</definedName>
    <definedName name="_PIER_SHOE">#REF!</definedName>
    <definedName name="_PIER_X_M">#REF!</definedName>
    <definedName name="_PIER_Y_M">#REF!</definedName>
    <definedName name="_PRR001" localSheetId="4" hidden="1">{"'status'!$B$2:$H$15"}</definedName>
    <definedName name="_PRR001" hidden="1">{"'status'!$B$2:$H$15"}</definedName>
    <definedName name="_PRR002" localSheetId="4" hidden="1">{"'status'!$B$2:$H$15"}</definedName>
    <definedName name="_PRR002" hidden="1">{"'status'!$B$2:$H$15"}</definedName>
    <definedName name="_PRR18" localSheetId="4" hidden="1">{"'status'!$B$2:$H$15"}</definedName>
    <definedName name="_PRR18" hidden="1">{"'status'!$B$2:$H$15"}</definedName>
    <definedName name="_PRR5" localSheetId="4" hidden="1">{"'status'!$B$2:$H$15"}</definedName>
    <definedName name="_PRR5" hidden="1">{"'status'!$B$2:$H$15"}</definedName>
    <definedName name="_PRR6" localSheetId="4" hidden="1">{"'status'!$B$2:$H$15"}</definedName>
    <definedName name="_PRR6" hidden="1">{"'status'!$B$2:$H$15"}</definedName>
    <definedName name="_q">#REF!</definedName>
    <definedName name="_q_1">#REF!</definedName>
    <definedName name="_q_12">#REF!</definedName>
    <definedName name="_q_24">#REF!</definedName>
    <definedName name="_q_25">#REF!</definedName>
    <definedName name="_q01">#REF!</definedName>
    <definedName name="_Q1">#REF!</definedName>
    <definedName name="_Q11">#REF!</definedName>
    <definedName name="_q12" localSheetId="4" hidden="1">{"'Sheet1'!$A$1:$H$36"}</definedName>
    <definedName name="_q12" hidden="1">{"'Sheet1'!$A$1:$H$36"}</definedName>
    <definedName name="_Q2">#REF!</definedName>
    <definedName name="_r">#REF!</definedName>
    <definedName name="_r_1">#REF!</definedName>
    <definedName name="_r_12">#REF!</definedName>
    <definedName name="_r_24">#REF!</definedName>
    <definedName name="_r_25">#REF!</definedName>
    <definedName name="_Regression_Int" hidden="1">1</definedName>
    <definedName name="_s" hidden="1">#REF!</definedName>
    <definedName name="_s_1">#REF!</definedName>
    <definedName name="_s_12">#REF!</definedName>
    <definedName name="_s_24">#REF!</definedName>
    <definedName name="_s_25">#REF!</definedName>
    <definedName name="_SBB1">#REF!</definedName>
    <definedName name="_SBB2">#REF!</definedName>
    <definedName name="_SBB3">#REF!</definedName>
    <definedName name="_SBB4">#REF!</definedName>
    <definedName name="_SBB5">#REF!</definedName>
    <definedName name="_SH2">#N/A</definedName>
    <definedName name="_SH3">#N/A</definedName>
    <definedName name="_SHH1">#REF!</definedName>
    <definedName name="_SHH2">#REF!</definedName>
    <definedName name="_SHH3">#REF!</definedName>
    <definedName name="_SO1" hidden="1">#REF!</definedName>
    <definedName name="_ST1">#N/A</definedName>
    <definedName name="_u">#REF!</definedName>
    <definedName name="_W">#REF!</definedName>
    <definedName name="_W1">#REF!</definedName>
    <definedName name="_W2">#REF!</definedName>
    <definedName name="_x">#REF!</definedName>
    <definedName name="_y">#REF!</definedName>
    <definedName name="_YO1">#N/A</definedName>
    <definedName name="_z_1">#REF!</definedName>
    <definedName name="_z_12">#REF!</definedName>
    <definedName name="_z_24">#REF!</definedName>
    <definedName name="_z_25">#REF!</definedName>
    <definedName name="_zz1">#N/A</definedName>
    <definedName name="´cAE°eE¹" hidden="1">#REF!</definedName>
    <definedName name="￠￥cAE¡ÆeEⓒo" hidden="1">#REF!</definedName>
    <definedName name="\0">#N/A</definedName>
    <definedName name="\a">#N/A</definedName>
    <definedName name="\b">#REF!</definedName>
    <definedName name="\c">#N/A</definedName>
    <definedName name="\d">#REF!</definedName>
    <definedName name="\f">#REF!</definedName>
    <definedName name="\l">#N/A</definedName>
    <definedName name="\n">#N/A</definedName>
    <definedName name="\o">#N/A</definedName>
    <definedName name="\p">#N/A</definedName>
    <definedName name="\q">#N/A</definedName>
    <definedName name="\r">#N/A</definedName>
    <definedName name="\s">#N/A</definedName>
    <definedName name="\t">#REF!</definedName>
    <definedName name="\u">#N/A</definedName>
    <definedName name="\x">#REF!</definedName>
    <definedName name="\y">#REF!</definedName>
    <definedName name="\z">#REF!</definedName>
    <definedName name="a0">#REF!</definedName>
    <definedName name="A00">#REF!</definedName>
    <definedName name="A1..A2_">#N/A</definedName>
    <definedName name="A1..A200_">#N/A</definedName>
    <definedName name="A1_">#REF!</definedName>
    <definedName name="A12..A13_">#N/A</definedName>
    <definedName name="a1a3" localSheetId="4" hidden="1">{#N/A,#N/A,FALSE,"제목"}</definedName>
    <definedName name="a1a3" hidden="1">{#N/A,#N/A,FALSE,"제목"}</definedName>
    <definedName name="A2_">#REF!</definedName>
    <definedName name="A3_">#REF!</definedName>
    <definedName name="A315yoo1">#N/A</definedName>
    <definedName name="A4_">#REF!</definedName>
    <definedName name="A5_">#REF!</definedName>
    <definedName name="A6.3Capital" localSheetId="4" hidden="1">{#N/A,#N/A,FALSE,"UNIT";#N/A,#N/A,FALSE,"UNIT";#N/A,#N/A,FALSE,"계정"}</definedName>
    <definedName name="A6.3Capital" hidden="1">{#N/A,#N/A,FALSE,"UNIT";#N/A,#N/A,FALSE,"UNIT";#N/A,#N/A,FALSE,"계정"}</definedName>
    <definedName name="A6.3Capital2" localSheetId="4" hidden="1">{#N/A,#N/A,FALSE,"UNIT";#N/A,#N/A,FALSE,"UNIT";#N/A,#N/A,FALSE,"계정"}</definedName>
    <definedName name="A6.3Capital2" hidden="1">{#N/A,#N/A,FALSE,"UNIT";#N/A,#N/A,FALSE,"UNIT";#N/A,#N/A,FALSE,"계정"}</definedName>
    <definedName name="A6_">#N/A</definedName>
    <definedName name="A7_">#REF!</definedName>
    <definedName name="A8_">#REF!</definedName>
    <definedName name="A9_">#REF!</definedName>
    <definedName name="AAA" hidden="1">#REF!</definedName>
    <definedName name="AAAA" hidden="1">#REF!</definedName>
    <definedName name="AAAA_1">#N/A</definedName>
    <definedName name="AAAAAAAAA" localSheetId="4" hidden="1">{"'Sheet1'!$A$1:$H$36"}</definedName>
    <definedName name="AAAAAAAAA" hidden="1">{"'Sheet1'!$A$1:$H$36"}</definedName>
    <definedName name="aaaaaaaaaa">#REF!</definedName>
    <definedName name="AAAAAAAAAAA" localSheetId="4" hidden="1">{"'표지'!$B$5"}</definedName>
    <definedName name="AAAAAAAAAAA" hidden="1">{"'표지'!$B$5"}</definedName>
    <definedName name="aaaaaaaaaaaaaaaaaaa">#REF!</definedName>
    <definedName name="aaas" hidden="1">#REF!</definedName>
    <definedName name="AB">#REF!</definedName>
    <definedName name="ABUTH">#REF!</definedName>
    <definedName name="AC">#REF!</definedName>
    <definedName name="Access_Button" hidden="1">"남가내역_data작업_List"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A" hidden="1">#REF!</definedName>
    <definedName name="ACX" hidden="1">#REF!</definedName>
    <definedName name="ADFF" hidden="1">#REF!</definedName>
    <definedName name="ADSFDSF" hidden="1">#REF!</definedName>
    <definedName name="ADSFFDS" hidden="1">#REF!</definedName>
    <definedName name="adv_in" hidden="1">#N/A</definedName>
    <definedName name="AF">#REF!</definedName>
    <definedName name="AFD" hidden="1">#REF!</definedName>
    <definedName name="AFDFD" hidden="1">#REF!</definedName>
    <definedName name="afga" hidden="1">#REF!</definedName>
    <definedName name="AG">#REF!</definedName>
    <definedName name="AH">#REF!</definedName>
    <definedName name="AI">#REF!</definedName>
    <definedName name="ALPHA">#REF!</definedName>
    <definedName name="alslsdkjfjs" hidden="1">#REF!</definedName>
    <definedName name="AL공사" hidden="1">#REF!</definedName>
    <definedName name="AMOUNT">#REF!</definedName>
    <definedName name="AMP">#REF!</definedName>
    <definedName name="an" hidden="1">#REF!</definedName>
    <definedName name="ANG">#REF!</definedName>
    <definedName name="anscount" hidden="1">1</definedName>
    <definedName name="APT">#REF!</definedName>
    <definedName name="aq" hidden="1">#REF!</definedName>
    <definedName name="AQE" localSheetId="4" hidden="1">{"'표지'!$B$5"}</definedName>
    <definedName name="AQE" hidden="1">{"'표지'!$B$5"}</definedName>
    <definedName name="aqqqq" localSheetId="4" hidden="1">{"'Sheet1'!$A$1:$H$36"}</definedName>
    <definedName name="aqqqq" hidden="1">{"'Sheet1'!$A$1:$H$36"}</definedName>
    <definedName name="as_1">#REF!</definedName>
    <definedName name="as_24">#REF!</definedName>
    <definedName name="as_25">#REF!</definedName>
    <definedName name="AS12.5">#REF!</definedName>
    <definedName name="asas" localSheetId="4" hidden="1">{"'Surplus Cap'!$A$4:$AB$80"}</definedName>
    <definedName name="asas" hidden="1">{"'Surplus Cap'!$A$4:$AB$80"}</definedName>
    <definedName name="asasa" localSheetId="4" hidden="1">{"'Surplus Cap'!$A$4:$AB$80"}</definedName>
    <definedName name="asasa" hidden="1">{"'Surplus Cap'!$A$4:$AB$80"}</definedName>
    <definedName name="ASC" hidden="1">#REF!</definedName>
    <definedName name="asdadasdasdasdas" localSheetId="4" hidden="1">{#N/A,#N/A,FALSE,"CCTV"}</definedName>
    <definedName name="asdadasdasdasdas" hidden="1">{#N/A,#N/A,FALSE,"CCTV"}</definedName>
    <definedName name="asdc" localSheetId="4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asdfasdfasfcasx" hidden="1">#REF!</definedName>
    <definedName name="ASDFFD" hidden="1">#REF!</definedName>
    <definedName name="asdgsadhbfdfhb" hidden="1">#N/A</definedName>
    <definedName name="asdrrrrrrrrrrrrrrrrrrrrrrr">#REF!</definedName>
    <definedName name="asg" hidden="1">#N/A</definedName>
    <definedName name="asm" localSheetId="4" hidden="1">{"'Sheet1'!$A$1:$H$36"}</definedName>
    <definedName name="asm" hidden="1">{"'Sheet1'!$A$1:$H$36"}</definedName>
    <definedName name="assadf" hidden="1">#REF!</definedName>
    <definedName name="asss" hidden="1">#REF!</definedName>
    <definedName name="Assy1" localSheetId="4" hidden="1">{"'Surplus Cap'!$A$4:$AB$80"}</definedName>
    <definedName name="Assy1" hidden="1">{"'Surplus Cap'!$A$4:$AB$80"}</definedName>
    <definedName name="AWEGAWEG" hidden="1">#REF!</definedName>
    <definedName name="AWG" hidden="1">#REF!</definedName>
    <definedName name="AWGRA" hidden="1">#REF!</definedName>
    <definedName name="AWGRWGAW" hidden="1">#REF!</definedName>
    <definedName name="AX" localSheetId="4" hidden="1">{"'표지'!$B$5"}</definedName>
    <definedName name="AX" hidden="1">{"'표지'!$B$5"}</definedName>
    <definedName name="B0">#REF!</definedName>
    <definedName name="B1_">#REF!</definedName>
    <definedName name="B1A">#REF!</definedName>
    <definedName name="B1B">#REF!</definedName>
    <definedName name="B1WL">#REF!</definedName>
    <definedName name="B1WR">#REF!</definedName>
    <definedName name="b1조정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b1조정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B2A">#REF!</definedName>
    <definedName name="B2B">#REF!</definedName>
    <definedName name="B2WL">#REF!</definedName>
    <definedName name="B2WR">#REF!</definedName>
    <definedName name="B3A">#REF!</definedName>
    <definedName name="B3B">#REF!</definedName>
    <definedName name="B4A">#REF!</definedName>
    <definedName name="B4B">#REF!</definedName>
    <definedName name="B5A">#REF!</definedName>
    <definedName name="B6A">#REF!</definedName>
    <definedName name="B7A">#REF!</definedName>
    <definedName name="B8A">#REF!</definedName>
    <definedName name="BA">#REF!</definedName>
    <definedName name="BASE">#REF!</definedName>
    <definedName name="bat" localSheetId="4" hidden="1">{#N/A,#N/A,TRUE,"960318-1";#N/A,#N/A,TRUE,"960318-2";#N/A,#N/A,TRUE,"960318-3"}</definedName>
    <definedName name="bat" hidden="1">{#N/A,#N/A,TRUE,"960318-1";#N/A,#N/A,TRUE,"960318-2";#N/A,#N/A,TRUE,"960318-3"}</definedName>
    <definedName name="BB_1">#N/A</definedName>
    <definedName name="bbb">#N/A</definedName>
    <definedName name="BD">#REF!</definedName>
    <definedName name="BDCODE">#N/A</definedName>
    <definedName name="BE">#REF!</definedName>
    <definedName name="BEAM상부폭">#REF!</definedName>
    <definedName name="BEAM연결갯수">#REF!</definedName>
    <definedName name="BEAM피치">#REF!</definedName>
    <definedName name="BEAM하부폭">#REF!</definedName>
    <definedName name="BETA">#REF!</definedName>
    <definedName name="BF">#REF!</definedName>
    <definedName name="BG">#REF!</definedName>
    <definedName name="BHU">#REF!</definedName>
    <definedName name="biek" localSheetId="4" hidden="1">{#N/A,#N/A,FALSE,"제목"}</definedName>
    <definedName name="biek" hidden="1">{#N/A,#N/A,FALSE,"제목"}</definedName>
    <definedName name="BIGO">#REF!</definedName>
    <definedName name="BLO_1">#N/A</definedName>
    <definedName name="BM" hidden="1">#REF!</definedName>
    <definedName name="BM.1">#REF!</definedName>
    <definedName name="BM.AFC">#REF!</definedName>
    <definedName name="BMO">#REF!</definedName>
    <definedName name="BOOK2" localSheetId="4" hidden="1">{#N/A,#N/A,TRUE,"손익보고"}</definedName>
    <definedName name="BOOK2" hidden="1">{#N/A,#N/A,TRUE,"손익보고"}</definedName>
    <definedName name="BSD_1">#N/A</definedName>
    <definedName name="BSH">#REF!</definedName>
    <definedName name="BUDGQTY_1">#REF!</definedName>
    <definedName name="BV">#REF!</definedName>
    <definedName name="BW">#REF!</definedName>
    <definedName name="C_">#REF!</definedName>
    <definedName name="c_1">#REF!</definedName>
    <definedName name="c_2">#REF!</definedName>
    <definedName name="c_3">#REF!</definedName>
    <definedName name="c_33">#REF!</definedName>
    <definedName name="c_4">#REF!</definedName>
    <definedName name="CA">#REF!</definedName>
    <definedName name="cable">#REF!</definedName>
    <definedName name="CABLE2_1">#REF!</definedName>
    <definedName name="Capa변동" localSheetId="4" hidden="1">{"'Sheet1'!$A$1:$H$36"}</definedName>
    <definedName name="Capa변동" hidden="1">{"'Sheet1'!$A$1:$H$36"}</definedName>
    <definedName name="case1" localSheetId="4" hidden="1">{#N/A,#N/A,TRUE,"960318-1";#N/A,#N/A,TRUE,"960318-2";#N/A,#N/A,TRUE,"960318-3"}</definedName>
    <definedName name="case1" hidden="1">{#N/A,#N/A,TRUE,"960318-1";#N/A,#N/A,TRUE,"960318-2";#N/A,#N/A,TRUE,"960318-3"}</definedName>
    <definedName name="case2" localSheetId="4" hidden="1">{#N/A,#N/A,FALSE,"제목"}</definedName>
    <definedName name="case2" hidden="1">{#N/A,#N/A,FALSE,"제목"}</definedName>
    <definedName name="CASH" localSheetId="4" hidden="1">{"'Sheet1'!$A$1:$H$36"}</definedName>
    <definedName name="CASH" hidden="1">{"'Sheet1'!$A$1:$H$36"}</definedName>
    <definedName name="CASHOUT" localSheetId="4" hidden="1">{"'Sheet1'!$A$1:$H$36"}</definedName>
    <definedName name="CASHOUT" hidden="1">{"'Sheet1'!$A$1:$H$36"}</definedName>
    <definedName name="CATEGORY">#N/A</definedName>
    <definedName name="CB">#REF!</definedName>
    <definedName name="CB0">#REF!</definedName>
    <definedName name="CC" hidden="1">#REF!</definedName>
    <definedName name="CCC" localSheetId="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CCC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CCCC" hidden="1">#REF!</definedName>
    <definedName name="ccccc" localSheetId="4" hidden="1">{#N/A,#N/A,FALSE,"전력간선"}</definedName>
    <definedName name="ccccc" hidden="1">{#N/A,#N/A,FALSE,"전력간선"}</definedName>
    <definedName name="CD">#REF!</definedName>
    <definedName name="cdcd" hidden="1">#REF!</definedName>
    <definedName name="CE">#REF!</definedName>
    <definedName name="CE0">#REF!</definedName>
    <definedName name="CF">#REF!</definedName>
    <definedName name="CF0">#REF!</definedName>
    <definedName name="CFAB7" localSheetId="4" hidden="1">{"'Sheet1'!$A$1:$H$36"}</definedName>
    <definedName name="CFAB7" hidden="1">{"'Sheet1'!$A$1:$H$36"}</definedName>
    <definedName name="CF요인" hidden="1">#REF!</definedName>
    <definedName name="CG">#REF!</definedName>
    <definedName name="CG0">#REF!</definedName>
    <definedName name="cgmh" localSheetId="4" hidden="1">{"'용역비'!$A$4:$C$8"}</definedName>
    <definedName name="cgmh" hidden="1">{"'용역비'!$A$4:$C$8"}</definedName>
    <definedName name="CH">#REF!</definedName>
    <definedName name="CHO">#N/A</definedName>
    <definedName name="CI">#REF!</definedName>
    <definedName name="CJ">#REF!</definedName>
    <definedName name="CJ0">#REF!</definedName>
    <definedName name="CK0">#REF!</definedName>
    <definedName name="CL0">#REF!</definedName>
    <definedName name="cm철골공사시방서" localSheetId="4" hidden="1">{#N/A,#N/A,FALSE,"현장 NCR 분석";#N/A,#N/A,FALSE,"현장품질감사";#N/A,#N/A,FALSE,"현장품질감사"}</definedName>
    <definedName name="cm철골공사시방서" hidden="1">{#N/A,#N/A,FALSE,"현장 NCR 분석";#N/A,#N/A,FALSE,"현장품질감사";#N/A,#N/A,FALSE,"현장품질감사"}</definedName>
    <definedName name="CN0">#REF!</definedName>
    <definedName name="cnf" localSheetId="4" hidden="1">{#N/A,#N/A,FALSE,"이태원철근"}</definedName>
    <definedName name="cnf" hidden="1">{#N/A,#N/A,FALSE,"이태원철근"}</definedName>
    <definedName name="cnltn" localSheetId="4" hidden="1">{"'신흥취수펌프 검토'!$M$2","'신흥취수펌프 검토'!$A$1:$AE$87"}</definedName>
    <definedName name="cnltn" hidden="1">{"'신흥취수펌프 검토'!$M$2","'신흥취수펌프 검토'!$A$1:$AE$87"}</definedName>
    <definedName name="CO0.6">#REF!</definedName>
    <definedName name="CO1.0">#REF!</definedName>
    <definedName name="CO20.0">#REF!</definedName>
    <definedName name="COD">#REF!</definedName>
    <definedName name="CODE">#N/A</definedName>
    <definedName name="CODE1">#REF!</definedName>
    <definedName name="CODE2">#REF!</definedName>
    <definedName name="CODE3">#REF!</definedName>
    <definedName name="CODE4">#REF!</definedName>
    <definedName name="CODE5">#REF!</definedName>
    <definedName name="CODE6">#REF!</definedName>
    <definedName name="CODE7">#REF!</definedName>
    <definedName name="COMPANY">#N/A</definedName>
    <definedName name="CONC">#N/A</definedName>
    <definedName name="CONC중량">#REF!</definedName>
    <definedName name="CONSTANT">#REF!</definedName>
    <definedName name="CONT">#REF!</definedName>
    <definedName name="contt">#REF!</definedName>
    <definedName name="COPY990">#REF!</definedName>
    <definedName name="cost.c" hidden="1">#N/A</definedName>
    <definedName name="COST_CODE">#REF!</definedName>
    <definedName name="CPU_시험기사">#REF!</definedName>
    <definedName name="CR">#REF!</definedName>
    <definedName name="Criteria_MI">#REF!</definedName>
    <definedName name="cvc" hidden="1">#N/A</definedName>
    <definedName name="D.TOTAL.">#REF!</definedName>
    <definedName name="D.TOTAL..">#REF!</definedName>
    <definedName name="d_12">#REF!</definedName>
    <definedName name="d_13">#REF!</definedName>
    <definedName name="d_15">#REF!</definedName>
    <definedName name="d_20">#REF!</definedName>
    <definedName name="d_22">#REF!</definedName>
    <definedName name="d_23">#REF!</definedName>
    <definedName name="d_24">#REF!</definedName>
    <definedName name="d_25">#REF!</definedName>
    <definedName name="d_5">#REF!</definedName>
    <definedName name="d_7">#REF!</definedName>
    <definedName name="D_FE">#REF!</definedName>
    <definedName name="D_FO">#REF!</definedName>
    <definedName name="D01__1">#REF!</definedName>
    <definedName name="D02__1">#REF!</definedName>
    <definedName name="D03__1">#REF!</definedName>
    <definedName name="D04__1">#REF!</definedName>
    <definedName name="D13.">#REF!</definedName>
    <definedName name="D13..">#REF!</definedName>
    <definedName name="D16.">#REF!</definedName>
    <definedName name="D16..">#REF!</definedName>
    <definedName name="D19.">#REF!</definedName>
    <definedName name="D19..">#REF!</definedName>
    <definedName name="D22.">#REF!</definedName>
    <definedName name="D22..">#REF!</definedName>
    <definedName name="D25.">#REF!</definedName>
    <definedName name="D25..">#REF!</definedName>
    <definedName name="D29.">#REF!</definedName>
    <definedName name="D29..">#REF!</definedName>
    <definedName name="DA">#REF!</definedName>
    <definedName name="DANGA">#REF!,#REF!</definedName>
    <definedName name="DANGA1">#REF!</definedName>
    <definedName name="DANGA10">#REF!</definedName>
    <definedName name="DANGA100">#REF!</definedName>
    <definedName name="DANGA101">#REF!</definedName>
    <definedName name="DANGA102">#REF!</definedName>
    <definedName name="DANGA103">#REF!</definedName>
    <definedName name="DANGA104">#REF!</definedName>
    <definedName name="DANGA105">#REF!</definedName>
    <definedName name="DANGA106">#REF!</definedName>
    <definedName name="DANGA107">#REF!</definedName>
    <definedName name="DANGA108">#REF!</definedName>
    <definedName name="DANGA109">#REF!</definedName>
    <definedName name="DANGA11">#REF!</definedName>
    <definedName name="DANGA110">#REF!</definedName>
    <definedName name="DANGA111">#REF!</definedName>
    <definedName name="DANGA112">#REF!</definedName>
    <definedName name="DANGA113">#REF!</definedName>
    <definedName name="DANGA114">#REF!</definedName>
    <definedName name="DANGA115">#REF!</definedName>
    <definedName name="DANGA116">#REF!</definedName>
    <definedName name="DANGA117">#REF!</definedName>
    <definedName name="DANGA118">#REF!</definedName>
    <definedName name="DANGA119">#REF!</definedName>
    <definedName name="DANGA12">#REF!</definedName>
    <definedName name="DANGA120">#REF!</definedName>
    <definedName name="DANGA121">#REF!</definedName>
    <definedName name="DANGA122">#REF!</definedName>
    <definedName name="DANGA123">#REF!</definedName>
    <definedName name="DANGA124">#REF!</definedName>
    <definedName name="DANGA125">#REF!</definedName>
    <definedName name="DANGA126">#REF!</definedName>
    <definedName name="DANGA127">#REF!</definedName>
    <definedName name="DANGA128">#REF!</definedName>
    <definedName name="DANGA129">#REF!</definedName>
    <definedName name="DANGA13">#REF!</definedName>
    <definedName name="DANGA130">#REF!</definedName>
    <definedName name="DANGA131">#REF!</definedName>
    <definedName name="DANGA132">#REF!</definedName>
    <definedName name="DANGA133">#REF!</definedName>
    <definedName name="DANGA134">#REF!</definedName>
    <definedName name="DANGA135">#REF!</definedName>
    <definedName name="DANGA136">#REF!</definedName>
    <definedName name="DANGA137">#REF!</definedName>
    <definedName name="DANGA138">#REF!</definedName>
    <definedName name="DANGA139">#REF!</definedName>
    <definedName name="DANGA14">#REF!</definedName>
    <definedName name="DANGA140">#REF!</definedName>
    <definedName name="DANGA141">#REF!</definedName>
    <definedName name="DANGA142">#REF!</definedName>
    <definedName name="DANGA143">#REF!</definedName>
    <definedName name="DANGA144">#REF!</definedName>
    <definedName name="DANGA145">#REF!</definedName>
    <definedName name="DANGA146">#REF!</definedName>
    <definedName name="DANGA147">#REF!</definedName>
    <definedName name="DANGA148">#REF!</definedName>
    <definedName name="DANGA149">#REF!</definedName>
    <definedName name="DANGA15">#REF!</definedName>
    <definedName name="DANGA150">#REF!</definedName>
    <definedName name="DANGA151">#REF!</definedName>
    <definedName name="DANGA152">#REF!</definedName>
    <definedName name="DANGA153">#REF!</definedName>
    <definedName name="DANGA154">#REF!</definedName>
    <definedName name="DANGA155">#REF!</definedName>
    <definedName name="DANGA156">#REF!</definedName>
    <definedName name="DANGA157">#REF!</definedName>
    <definedName name="DANGA158">#REF!</definedName>
    <definedName name="DANGA159">#REF!</definedName>
    <definedName name="DANGA16">#REF!</definedName>
    <definedName name="DANGA160">#REF!</definedName>
    <definedName name="DANGA161">#REF!</definedName>
    <definedName name="DANGA162">#REF!</definedName>
    <definedName name="DANGA163">#REF!</definedName>
    <definedName name="DANGA164">#REF!</definedName>
    <definedName name="DANGA165">#REF!</definedName>
    <definedName name="DANGA166">#REF!</definedName>
    <definedName name="DANGA167">#REF!</definedName>
    <definedName name="DANGA168">#REF!</definedName>
    <definedName name="DANGA169">#REF!</definedName>
    <definedName name="DANGA17">#REF!</definedName>
    <definedName name="DANGA170">#REF!</definedName>
    <definedName name="DANGA171">#REF!</definedName>
    <definedName name="DANGA172">#REF!</definedName>
    <definedName name="DANGA173">#REF!</definedName>
    <definedName name="DANGA174">#REF!</definedName>
    <definedName name="DANGA175">#REF!</definedName>
    <definedName name="DANGA176">#REF!</definedName>
    <definedName name="DANGA177">#REF!</definedName>
    <definedName name="DANGA178">#REF!</definedName>
    <definedName name="DANGA179">#REF!</definedName>
    <definedName name="DANGA18">#REF!</definedName>
    <definedName name="DANGA180">#REF!</definedName>
    <definedName name="DANGA181">#REF!</definedName>
    <definedName name="DANGA182">#REF!</definedName>
    <definedName name="DANGA183">#REF!</definedName>
    <definedName name="DANGA184">#REF!</definedName>
    <definedName name="DANGA185">#REF!</definedName>
    <definedName name="DANGA186">#REF!</definedName>
    <definedName name="DANGA187">#REF!</definedName>
    <definedName name="DANGA188">#REF!</definedName>
    <definedName name="DANGA189">#REF!</definedName>
    <definedName name="DANGA19">#REF!</definedName>
    <definedName name="DANGA190">#REF!</definedName>
    <definedName name="DANGA191">#REF!</definedName>
    <definedName name="DANGA192">#REF!</definedName>
    <definedName name="DANGA193">#REF!</definedName>
    <definedName name="DANGA194">#REF!</definedName>
    <definedName name="DANGA195">#REF!</definedName>
    <definedName name="DANGA196">#REF!</definedName>
    <definedName name="DANGA197">#REF!</definedName>
    <definedName name="DANGA198">#REF!</definedName>
    <definedName name="DANGA199">#REF!</definedName>
    <definedName name="DANGA2">#REF!</definedName>
    <definedName name="DANGA20">#REF!</definedName>
    <definedName name="DANGA200">#REF!</definedName>
    <definedName name="DANGA201">#REF!</definedName>
    <definedName name="DANGA202">#REF!</definedName>
    <definedName name="DANGA203">#REF!</definedName>
    <definedName name="DANGA204">#REF!</definedName>
    <definedName name="DANGA205">#REF!</definedName>
    <definedName name="DANGA206">#REF!</definedName>
    <definedName name="DANGA207">#REF!</definedName>
    <definedName name="DANGA208">#REF!</definedName>
    <definedName name="DANGA209">#REF!</definedName>
    <definedName name="DANGA21">#REF!</definedName>
    <definedName name="DANGA210">#REF!</definedName>
    <definedName name="DANGA211">#REF!</definedName>
    <definedName name="DANGA212">#REF!</definedName>
    <definedName name="DANGA213">#REF!</definedName>
    <definedName name="DANGA214">#REF!</definedName>
    <definedName name="DANGA215">#REF!</definedName>
    <definedName name="DANGA216">#REF!</definedName>
    <definedName name="DANGA217">#REF!</definedName>
    <definedName name="DANGA218">#REF!</definedName>
    <definedName name="DANGA219">#REF!</definedName>
    <definedName name="DANGA22">#REF!</definedName>
    <definedName name="DANGA220">#REF!</definedName>
    <definedName name="DANGA221">#REF!</definedName>
    <definedName name="DANGA222">#REF!</definedName>
    <definedName name="DANGA223">#REF!</definedName>
    <definedName name="DANGA224">#REF!</definedName>
    <definedName name="DANGA225">#REF!</definedName>
    <definedName name="DANGA226">#REF!</definedName>
    <definedName name="DANGA227">#REF!</definedName>
    <definedName name="DANGA228">#REF!</definedName>
    <definedName name="DANGA23">#REF!</definedName>
    <definedName name="DANGA24">#REF!</definedName>
    <definedName name="DANGA25">#REF!</definedName>
    <definedName name="DANGA26">#REF!</definedName>
    <definedName name="DANGA27">#REF!</definedName>
    <definedName name="DANGA28">#REF!</definedName>
    <definedName name="DANGA29">#REF!</definedName>
    <definedName name="DANGA3">#REF!</definedName>
    <definedName name="DANGA30">#REF!</definedName>
    <definedName name="DANGA31">#REF!</definedName>
    <definedName name="DANGA32">#REF!</definedName>
    <definedName name="DANGA33">#REF!</definedName>
    <definedName name="DANGA34">#REF!</definedName>
    <definedName name="DANGA35">#REF!</definedName>
    <definedName name="DANGA36">#REF!</definedName>
    <definedName name="DANGA37">#REF!</definedName>
    <definedName name="DANGA38">#REF!</definedName>
    <definedName name="DANGA39">#REF!</definedName>
    <definedName name="DANGA4">#REF!</definedName>
    <definedName name="DANGA40">#REF!</definedName>
    <definedName name="DANGA41">#REF!</definedName>
    <definedName name="DANGA42">#REF!</definedName>
    <definedName name="DANGA43">#REF!</definedName>
    <definedName name="DANGA44">#REF!</definedName>
    <definedName name="DANGA45">#REF!</definedName>
    <definedName name="DANGA46">#REF!</definedName>
    <definedName name="DANGA47">#REF!</definedName>
    <definedName name="DANGA48">#REF!</definedName>
    <definedName name="DANGA49">#REF!</definedName>
    <definedName name="DANGA5">#REF!</definedName>
    <definedName name="DANGA50">#REF!</definedName>
    <definedName name="DANGA51">#REF!</definedName>
    <definedName name="DANGA52">#REF!</definedName>
    <definedName name="DANGA53">#REF!</definedName>
    <definedName name="DANGA54">#REF!</definedName>
    <definedName name="DANGA55">#REF!</definedName>
    <definedName name="DANGA56">#REF!</definedName>
    <definedName name="DANGA57">#REF!</definedName>
    <definedName name="DANGA58">#REF!</definedName>
    <definedName name="DANGA59">#REF!</definedName>
    <definedName name="DANGA6">#REF!</definedName>
    <definedName name="DANGA60">#REF!</definedName>
    <definedName name="DANGA61">#REF!</definedName>
    <definedName name="DANGA62">#REF!</definedName>
    <definedName name="DANGA63">#REF!</definedName>
    <definedName name="DANGA64">#REF!</definedName>
    <definedName name="DANGA65">#REF!</definedName>
    <definedName name="DANGA66">#REF!</definedName>
    <definedName name="DANGA67">#REF!</definedName>
    <definedName name="DANGA68">#REF!</definedName>
    <definedName name="DANGA69">#REF!</definedName>
    <definedName name="DANGA7">#REF!</definedName>
    <definedName name="DANGA70">#REF!</definedName>
    <definedName name="DANGA71">#REF!</definedName>
    <definedName name="DANGA72">#REF!</definedName>
    <definedName name="DANGA73">#REF!</definedName>
    <definedName name="DANGA74">#REF!</definedName>
    <definedName name="DANGA75">#REF!</definedName>
    <definedName name="DANGA76">#REF!</definedName>
    <definedName name="DANGA77">#REF!</definedName>
    <definedName name="DANGA78">#REF!</definedName>
    <definedName name="DANGA79">#REF!</definedName>
    <definedName name="DANGA8">#REF!</definedName>
    <definedName name="DANGA80">#REF!</definedName>
    <definedName name="DANGA81">#REF!</definedName>
    <definedName name="DANGA82">#REF!</definedName>
    <definedName name="DANGA83">#REF!</definedName>
    <definedName name="DANGA84">#REF!</definedName>
    <definedName name="DANGA85">#REF!</definedName>
    <definedName name="DANGA86">#REF!</definedName>
    <definedName name="DANGA87">#REF!</definedName>
    <definedName name="DANGA88">#REF!</definedName>
    <definedName name="DANGA89">#REF!</definedName>
    <definedName name="DANGA9">#REF!</definedName>
    <definedName name="DANGA90">#REF!</definedName>
    <definedName name="DANGA91">#REF!</definedName>
    <definedName name="DANGA92">#REF!</definedName>
    <definedName name="DANGA93">#REF!</definedName>
    <definedName name="DANGA94">#REF!</definedName>
    <definedName name="DANGA95">#REF!</definedName>
    <definedName name="DANGA96">#REF!</definedName>
    <definedName name="DANGA97">#REF!</definedName>
    <definedName name="DANGA98">#REF!</definedName>
    <definedName name="DANGA99">#REF!</definedName>
    <definedName name="DATA">#REF!</definedName>
    <definedName name="data1" localSheetId="4" hidden="1">{#N/A,#N/A,TRUE,"960318-1";#N/A,#N/A,TRUE,"960318-2";#N/A,#N/A,TRUE,"960318-3"}</definedName>
    <definedName name="data1" hidden="1">{#N/A,#N/A,TRUE,"960318-1";#N/A,#N/A,TRUE,"960318-2";#N/A,#N/A,TRUE,"960318-3"}</definedName>
    <definedName name="_xlnm.Database">#REF!</definedName>
    <definedName name="Database_MI">#REF!</definedName>
    <definedName name="database1">#REF!</definedName>
    <definedName name="database2">#REF!</definedName>
    <definedName name="database2_10">#REF!</definedName>
    <definedName name="date">#REF!</definedName>
    <definedName name="DAY">#N/A</definedName>
    <definedName name="DB">#REF!</definedName>
    <definedName name="D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localSheetId="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DDD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ddddd" hidden="1">#REF!</definedName>
    <definedName name="ddddddddddddddddd" localSheetId="4" hidden="1">{"'Sheet1'!$A$1:$H$36"}</definedName>
    <definedName name="ddddddddddddddddd" hidden="1">{"'Sheet1'!$A$1:$H$36"}</definedName>
    <definedName name="DDDDFGG" hidden="1">#REF!</definedName>
    <definedName name="DDE">#REF!</definedName>
    <definedName name="DDO">#REF!</definedName>
    <definedName name="DECK_PLATE">#REF!</definedName>
    <definedName name="DEDED" hidden="1">#REF!</definedName>
    <definedName name="DESCRIPTIO">#N/A</definedName>
    <definedName name="DETAIL">#N/A</definedName>
    <definedName name="DFASDF" hidden="1">#REF!</definedName>
    <definedName name="DFDF">#REF!</definedName>
    <definedName name="DFDFD" localSheetId="4" hidden="1">{#N/A,#N/A,FALSE,"전력간선"}</definedName>
    <definedName name="DFDFD" hidden="1">{#N/A,#N/A,FALSE,"전력간선"}</definedName>
    <definedName name="DFFD" localSheetId="4" hidden="1">{#N/A,#N/A,FALSE,"CCTV"}</definedName>
    <definedName name="DFFD" hidden="1">{#N/A,#N/A,FALSE,"CCTV"}</definedName>
    <definedName name="DG">#REF!</definedName>
    <definedName name="DHDH" localSheetId="4" hidden="1">{#N/A,#N/A,FALSE,"UNIT";#N/A,#N/A,FALSE,"UNIT";#N/A,#N/A,FALSE,"계정"}</definedName>
    <definedName name="DHDH" hidden="1">{#N/A,#N/A,FALSE,"UNIT";#N/A,#N/A,FALSE,"UNIT";#N/A,#N/A,FALSE,"계정"}</definedName>
    <definedName name="dhj" localSheetId="4" hidden="1">{"'용역비'!$A$4:$C$8"}</definedName>
    <definedName name="dhj" hidden="1">{"'용역비'!$A$4:$C$8"}</definedName>
    <definedName name="DHS">#REF!</definedName>
    <definedName name="DI">#REF!</definedName>
    <definedName name="DIA">#REF!</definedName>
    <definedName name="DJYDTYJ" hidden="1">#REF!</definedName>
    <definedName name="DKSG" hidden="1">#REF!</definedName>
    <definedName name="DKSGMLWJD" hidden="1">#REF!</definedName>
    <definedName name="dksjdksjd" localSheetId="4" hidden="1">{#N/A,#N/A,FALSE,"CCTV"}</definedName>
    <definedName name="dksjdksjd" hidden="1">{#N/A,#N/A,FALSE,"CCTV"}</definedName>
    <definedName name="DL_L1">#REF!</definedName>
    <definedName name="DL_L2">#REF!</definedName>
    <definedName name="DLA">#REF!</definedName>
    <definedName name="DLAWHDDLF">#REF!</definedName>
    <definedName name="DLFE">#REF!</definedName>
    <definedName name="DLFO">#REF!</definedName>
    <definedName name="dnl" localSheetId="4" hidden="1">{#N/A,#N/A,FALSE,"갑지";#N/A,#N/A,FALSE,"개요";#N/A,#N/A,FALSE,"비목별";#N/A,#N/A,FALSE,"건물별";#N/A,#N/A,FALSE,"기구표";#N/A,#N/A,FALSE,"직원투입"}</definedName>
    <definedName name="dnl" hidden="1">{#N/A,#N/A,FALSE,"갑지";#N/A,#N/A,FALSE,"개요";#N/A,#N/A,FALSE,"비목별";#N/A,#N/A,FALSE,"건물별";#N/A,#N/A,FALSE,"기구표";#N/A,#N/A,FALSE,"직원투입"}</definedName>
    <definedName name="Document_array" localSheetId="4">{"Book1","제품부두.xls"}</definedName>
    <definedName name="Document_array">{"Book1","제품부두.xls"}</definedName>
    <definedName name="Dp" hidden="1">#REF!</definedName>
    <definedName name="DpFKDL" localSheetId="4" hidden="1">{#N/A,#N/A,FALSE,"이태원철근"}</definedName>
    <definedName name="DpFKDL" hidden="1">{#N/A,#N/A,FALSE,"이태원철근"}</definedName>
    <definedName name="DPI">#REF!</definedName>
    <definedName name="DRJDRTH" hidden="1">#REF!</definedName>
    <definedName name="DROW">#N/A</definedName>
    <definedName name="DSA" localSheetId="4" hidden="1">{#N/A,#N/A,FALSE,"제목"}</definedName>
    <definedName name="DSA" hidden="1">{#N/A,#N/A,FALSE,"제목"}</definedName>
    <definedName name="DSE">#REF!</definedName>
    <definedName name="DSFGB">#N/A</definedName>
    <definedName name="DSO">#REF!</definedName>
    <definedName name="DSVP">#REF!</definedName>
    <definedName name="DTYJTH" hidden="1">#REF!</definedName>
    <definedName name="DUCK">#REF!</definedName>
    <definedName name="DUCK.XLS">#REF!</definedName>
    <definedName name="dudtkd1" localSheetId="4" hidden="1">{#N/A,#N/A,TRUE,"960318-1";#N/A,#N/A,TRUE,"960318-2";#N/A,#N/A,TRUE,"960318-3"}</definedName>
    <definedName name="dudtkd1" hidden="1">{#N/A,#N/A,TRUE,"960318-1";#N/A,#N/A,TRUE,"960318-2";#N/A,#N/A,TRUE,"960318-3"}</definedName>
    <definedName name="DUT" hidden="1">#REF!</definedName>
    <definedName name="E">#N/A</definedName>
    <definedName name="EA">#REF!</definedName>
    <definedName name="earthp">#REF!</definedName>
    <definedName name="EB">#REF!</definedName>
    <definedName name="EC">#REF!</definedName>
    <definedName name="eded" hidden="1">#REF!</definedName>
    <definedName name="eeee" localSheetId="4" hidden="1">{"'Surplus Cap'!$A$4:$AB$80"}</definedName>
    <definedName name="eeee" hidden="1">{"'Surplus Cap'!$A$4:$AB$80"}</definedName>
    <definedName name="EER" localSheetId="4" hidden="1">{"'표지'!$B$5"}</definedName>
    <definedName name="EER" hidden="1">{"'표지'!$B$5"}</definedName>
    <definedName name="eh" localSheetId="4" hidden="1">{#N/A,#N/A,FALSE,"현장 NCR 분석";#N/A,#N/A,FALSE,"현장품질감사";#N/A,#N/A,FALSE,"현장품질감사"}</definedName>
    <definedName name="eh" hidden="1">{#N/A,#N/A,FALSE,"현장 NCR 분석";#N/A,#N/A,FALSE,"현장품질감사";#N/A,#N/A,FALSE,"현장품질감사"}</definedName>
    <definedName name="ej" localSheetId="4" hidden="1">{"'용역비'!$A$4:$C$8"}</definedName>
    <definedName name="ej" hidden="1">{"'용역비'!$A$4:$C$8"}</definedName>
    <definedName name="ELEV">#REF!</definedName>
    <definedName name="ELFE">#REF!</definedName>
    <definedName name="ELP">#REF!</definedName>
    <definedName name="en" localSheetId="4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COST">#N/A</definedName>
    <definedName name="Eo">#REF!</definedName>
    <definedName name="ER" localSheetId="4" hidden="1">{"'표지'!$B$5"}</definedName>
    <definedName name="ER" hidden="1">{"'표지'!$B$5"}</definedName>
    <definedName name="ERE" localSheetId="4" hidden="1">{"'표지'!$B$5"}</definedName>
    <definedName name="ERE" hidden="1">{"'표지'!$B$5"}</definedName>
    <definedName name="erer" hidden="1">#REF!</definedName>
    <definedName name="EREW">#N/A</definedName>
    <definedName name="ErrName373536169" hidden="1">#REF!</definedName>
    <definedName name="ertyertye" localSheetId="4" hidden="1">{"'용역비'!$A$4:$C$8"}</definedName>
    <definedName name="ertyertye" hidden="1">{"'용역비'!$A$4:$C$8"}</definedName>
    <definedName name="ES">#REF!</definedName>
    <definedName name="ET" localSheetId="4" hidden="1">{"'Sheet1'!$A$1:$H$36"}</definedName>
    <definedName name="ET" hidden="1">{"'Sheet1'!$A$1:$H$36"}</definedName>
    <definedName name="ETC">#REF!</definedName>
    <definedName name="ETCH장비" localSheetId="4" hidden="1">{#N/A,#N/A,TRUE,"960318-1";#N/A,#N/A,TRUE,"960318-2";#N/A,#N/A,TRUE,"960318-3"}</definedName>
    <definedName name="ETCH장비" hidden="1">{#N/A,#N/A,TRUE,"960318-1";#N/A,#N/A,TRUE,"960318-2";#N/A,#N/A,TRUE,"960318-3"}</definedName>
    <definedName name="etyj" localSheetId="4" hidden="1">{"'용역비'!$A$4:$C$8"}</definedName>
    <definedName name="etyj" hidden="1">{"'용역비'!$A$4:$C$8"}</definedName>
    <definedName name="etyjj" localSheetId="4" hidden="1">{"'용역비'!$A$4:$C$8"}</definedName>
    <definedName name="etyjj" hidden="1">{"'용역비'!$A$4:$C$8"}</definedName>
    <definedName name="eugene" localSheetId="4" hidden="1">{"'Sheet1'!$A$1:$H$36"}</definedName>
    <definedName name="eugene" hidden="1">{"'Sheet1'!$A$1:$H$36"}</definedName>
    <definedName name="EWAFADS" hidden="1">#REF!</definedName>
    <definedName name="EWEF">#N/A</definedName>
    <definedName name="ewew" hidden="1">#REF!</definedName>
    <definedName name="EWFDA" hidden="1">#REF!</definedName>
    <definedName name="EWQ">#N/A</definedName>
    <definedName name="Excel_BuiltIn__FilterDatabase_14">#REF!</definedName>
    <definedName name="Excel_BuiltIn__FilterDatabase_16">#REF!</definedName>
    <definedName name="Excel_BuiltIn__FilterDatabase_17">#REF!</definedName>
    <definedName name="Excel_BuiltIn__FilterDatabase_9">#REF!</definedName>
    <definedName name="Excel_BuiltIn_Criteria">#REF!</definedName>
    <definedName name="Excel_BuiltIn_Criteria_1">#REF!</definedName>
    <definedName name="Excel_BuiltIn_Database">#REF!</definedName>
    <definedName name="Excel_BuiltIn_Extract">#REF!</definedName>
    <definedName name="Excel_BuiltIn_Print_Area">#REF!</definedName>
    <definedName name="Excel_BuiltIn_Print_Titles">#REF!</definedName>
    <definedName name="Excel_BuiltIn_Recorder">NA()</definedName>
    <definedName name="Excel_BuiltIn_Recorder_12">#REF!</definedName>
    <definedName name="EXE">#N/A</definedName>
    <definedName name="_xlnm.Extract">#REF!</definedName>
    <definedName name="Extract_MI">#REF!</definedName>
    <definedName name="F_CHASU">#N/A</definedName>
    <definedName name="F_CODE">#N/A</definedName>
    <definedName name="F_CST">#N/A</definedName>
    <definedName name="F_DCST">#N/A</definedName>
    <definedName name="F_DESC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LVL">#N/A</definedName>
    <definedName name="F_NAME">#N/A</definedName>
    <definedName name="F_PAGE">#N/A</definedName>
    <definedName name="F_REMK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EQ">#N/A</definedName>
    <definedName name="F_SIZE">#N/A</definedName>
    <definedName name="F_SU">#N/A</definedName>
    <definedName name="F_SUBTOT">#N/A</definedName>
    <definedName name="F_UNIT">#N/A</definedName>
    <definedName name="fact">#REF!</definedName>
    <definedName name="FAN견적의뢰" localSheetId="4" hidden="1">{#N/A,#N/A,FALSE,"기안지";#N/A,#N/A,FALSE,"통신지"}</definedName>
    <definedName name="FAN견적의뢰" hidden="1">{#N/A,#N/A,FALSE,"기안지";#N/A,#N/A,FALSE,"통신지"}</definedName>
    <definedName name="FCK">#REF!</definedName>
    <definedName name="FD" hidden="1">#REF!</definedName>
    <definedName name="FDF" localSheetId="4" hidden="1">{#N/A,#N/A,FALSE,"CCTV"}</definedName>
    <definedName name="FDF" hidden="1">{#N/A,#N/A,FALSE,"CCTV"}</definedName>
    <definedName name="FDG" localSheetId="4" hidden="1">{#N/A,#N/A,FALSE,"제목"}</definedName>
    <definedName name="FDG" hidden="1">{#N/A,#N/A,FALSE,"제목"}</definedName>
    <definedName name="feel" hidden="1">#REF!</definedName>
    <definedName name="FF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f" localSheetId="4" hidden="1">{"'Sheet1'!$A$1:$H$36"}</definedName>
    <definedName name="fff" hidden="1">{"'Sheet1'!$A$1:$H$36"}</definedName>
    <definedName name="ffff" localSheetId="4" hidden="1">{#N/A,#N/A,FALSE,"CCTV"}</definedName>
    <definedName name="ffff" hidden="1">{#N/A,#N/A,FALSE,"CCTV"}</definedName>
    <definedName name="fffffff" localSheetId="4" hidden="1">{"'Sheet1'!$A$1:$H$36"}</definedName>
    <definedName name="fffffff" hidden="1">{"'Sheet1'!$A$1:$H$36"}</definedName>
    <definedName name="fg" hidden="1">#REF!</definedName>
    <definedName name="FH" hidden="1">#REF!</definedName>
    <definedName name="file">"Edit Box 7"</definedName>
    <definedName name="FK" localSheetId="4" hidden="1">{"'용역비'!$A$4:$C$8"}</definedName>
    <definedName name="FK" hidden="1">{"'용역비'!$A$4:$C$8"}</definedName>
    <definedName name="frfr" hidden="1">#REF!</definedName>
    <definedName name="FS">#REF!</definedName>
    <definedName name="FSD" localSheetId="4" hidden="1">{#N/A,#N/A,FALSE,"제목"}</definedName>
    <definedName name="FSD" hidden="1">{#N/A,#N/A,FALSE,"제목"}</definedName>
    <definedName name="FSDAF" localSheetId="4" hidden="1">{#N/A,#N/A,FALSE,"제목"}</definedName>
    <definedName name="FSDAF" hidden="1">{#N/A,#N/A,FALSE,"제목"}</definedName>
    <definedName name="fwerwe">#REF!</definedName>
    <definedName name="FY">#REF!</definedName>
    <definedName name="FYUKGFYUK" hidden="1">#REF!</definedName>
    <definedName name="G">#REF!</definedName>
    <definedName name="G_?Extr">#REF!</definedName>
    <definedName name="G_?Extract">#REF!</definedName>
    <definedName name="G_m">#REF!</definedName>
    <definedName name="g0">#REF!</definedName>
    <definedName name="GAK">#REF!</definedName>
    <definedName name="GAYO_1">#N/A</definedName>
    <definedName name="GC">#REF!</definedName>
    <definedName name="gfgdfg" hidden="1">#REF!</definedName>
    <definedName name="GFSD" hidden="1">#REF!</definedName>
    <definedName name="GHG">#REF!</definedName>
    <definedName name="GHRR" localSheetId="4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INPUT">#REF!</definedName>
    <definedName name="GJ">#REF!</definedName>
    <definedName name="GJH" localSheetId="4" hidden="1">{#N/A,#N/A,FALSE,"제목"}</definedName>
    <definedName name="GJH" hidden="1">{#N/A,#N/A,FALSE,"제목"}</definedName>
    <definedName name="GMLWD" hidden="1">#REF!</definedName>
    <definedName name="GRT" hidden="1">#REF!</definedName>
    <definedName name="GS">#REF!</definedName>
    <definedName name="gtgt" hidden="1">#REF!</definedName>
    <definedName name="GUMAK">#REF!</definedName>
    <definedName name="GUSTLS" hidden="1">#REF!</definedName>
    <definedName name="G견적" localSheetId="4" hidden="1">{#N/A,#N/A,TRUE,"손익보고"}</definedName>
    <definedName name="G견적" hidden="1">{#N/A,#N/A,TRUE,"손익보고"}</definedName>
    <definedName name="h" localSheetId="4" hidden="1">{#N/A,#N/A,FALSE,"제목"}</definedName>
    <definedName name="h" hidden="1">{#N/A,#N/A,FALSE,"제목"}</definedName>
    <definedName name="H.TOTAL.">#REF!</definedName>
    <definedName name="H.TOTAL..">#REF!</definedName>
    <definedName name="H_1">#REF!</definedName>
    <definedName name="H_2">#REF!</definedName>
    <definedName name="h_3">#REF!</definedName>
    <definedName name="H_W_설치기사">#REF!</definedName>
    <definedName name="H_W_시험기사">#REF!</definedName>
    <definedName name="H13.">#REF!</definedName>
    <definedName name="H13..">#REF!</definedName>
    <definedName name="H16.">#REF!</definedName>
    <definedName name="H16..">#REF!</definedName>
    <definedName name="H19.">#REF!</definedName>
    <definedName name="H19..">#REF!</definedName>
    <definedName name="H1H">#REF!</definedName>
    <definedName name="H1L">#REF!</definedName>
    <definedName name="H1R">#REF!</definedName>
    <definedName name="H1WL">#REF!</definedName>
    <definedName name="H1WR">#REF!</definedName>
    <definedName name="H22.">#REF!</definedName>
    <definedName name="H22..">#REF!</definedName>
    <definedName name="H25.">#REF!</definedName>
    <definedName name="H25..">#REF!</definedName>
    <definedName name="H29.">#REF!</definedName>
    <definedName name="H29..">#REF!</definedName>
    <definedName name="H2H">#REF!</definedName>
    <definedName name="H2L">#REF!</definedName>
    <definedName name="H2R">#REF!</definedName>
    <definedName name="H2WL">#REF!</definedName>
    <definedName name="H2WR">#REF!</definedName>
    <definedName name="H3H">#REF!</definedName>
    <definedName name="H3L">#REF!</definedName>
    <definedName name="H3R">#REF!</definedName>
    <definedName name="H3WL">#REF!</definedName>
    <definedName name="H3WR">#REF!</definedName>
    <definedName name="H4H">#REF!</definedName>
    <definedName name="H4L">#REF!</definedName>
    <definedName name="H4R">#REF!</definedName>
    <definedName name="H5L">#REF!</definedName>
    <definedName name="H5R">#REF!</definedName>
    <definedName name="H6L">#REF!</definedName>
    <definedName name="H6R">#REF!</definedName>
    <definedName name="H7L">#REF!</definedName>
    <definedName name="H7R">#REF!</definedName>
    <definedName name="H9A">#REF!</definedName>
    <definedName name="HAF">#REF!</definedName>
    <definedName name="hardwar" hidden="1">#REF!</definedName>
    <definedName name="HB">#REF!</definedName>
    <definedName name="HBV">#REF!</definedName>
    <definedName name="HC">#REF!</definedName>
    <definedName name="HCR">#REF!</definedName>
    <definedName name="HD">#REF!</definedName>
    <definedName name="hdehd" hidden="1">#REF!</definedName>
    <definedName name="HDSVP">#REF!</definedName>
    <definedName name="HE">#REF!</definedName>
    <definedName name="HEAT" localSheetId="4" hidden="1">{#N/A,#N/A,FALSE,"기안지";#N/A,#N/A,FALSE,"통신지"}</definedName>
    <definedName name="HEAT" hidden="1">{#N/A,#N/A,FALSE,"기안지";#N/A,#N/A,FALSE,"통신지"}</definedName>
    <definedName name="HERE" localSheetId="4" hidden="1">{#N/A,#N/A,TRUE,"손익보고"}</definedName>
    <definedName name="HERE" hidden="1">{#N/A,#N/A,TRUE,"손익보고"}</definedName>
    <definedName name="HF">#REF!</definedName>
    <definedName name="HFDDDDD" localSheetId="4" hidden="1">{#N/A,#N/A,FALSE,"기안지";#N/A,#N/A,FALSE,"통신지"}</definedName>
    <definedName name="HFDDDDD" hidden="1">{#N/A,#N/A,FALSE,"기안지";#N/A,#N/A,FALSE,"통신지"}</definedName>
    <definedName name="hgas" hidden="1">#REF!</definedName>
    <definedName name="HGFSTAA" hidden="1">#REF!</definedName>
    <definedName name="HGGGH" localSheetId="4" hidden="1">{#N/A,#N/A,FALSE,"제목"}</definedName>
    <definedName name="HGGGH" hidden="1">{#N/A,#N/A,FALSE,"제목"}</definedName>
    <definedName name="HHAF">#REF!</definedName>
    <definedName name="HHH" hidden="1">#REF!</definedName>
    <definedName name="HHHH" hidden="1">#REF!</definedName>
    <definedName name="HHMF">#REF!</definedName>
    <definedName name="HIGE" hidden="1">#REF!</definedName>
    <definedName name="hjhj" hidden="1">#REF!</definedName>
    <definedName name="hjn">NA()</definedName>
    <definedName name="hk" localSheetId="4" hidden="1">{#N/A,#N/A,FALSE,"제목"}</definedName>
    <definedName name="hk" hidden="1">{#N/A,#N/A,FALSE,"제목"}</definedName>
    <definedName name="hkjw" localSheetId="4" hidden="1">{#N/A,#N/A,FALSE,"제목"}</definedName>
    <definedName name="hkjw" hidden="1">{#N/A,#N/A,FALSE,"제목"}</definedName>
    <definedName name="HL">#REF!</definedName>
    <definedName name="HMAX">#N/A</definedName>
    <definedName name="HMF">#REF!</definedName>
    <definedName name="HMOTOR">#REF!</definedName>
    <definedName name="HO">#REF!</definedName>
    <definedName name="HPUMP">#REF!</definedName>
    <definedName name="HR">#REF!</definedName>
    <definedName name="HSH">#REF!</definedName>
    <definedName name="HSV">#REF!</definedName>
    <definedName name="HT">#REF!</definedName>
    <definedName name="htc_단가표_List">#REF!</definedName>
    <definedName name="html_cnt" localSheetId="4" hidden="1">{"'표지'!$B$5"}</definedName>
    <definedName name="html_cnt" hidden="1">{"'표지'!$B$5"}</definedName>
    <definedName name="html_cnt2" localSheetId="4" hidden="1">{"'표지'!$B$5"}</definedName>
    <definedName name="html_cnt2" hidden="1">{"'표지'!$B$5"}</definedName>
    <definedName name="HTML_CodePage" hidden="1">949</definedName>
    <definedName name="HTML_Description" hidden="1">""</definedName>
    <definedName name="HTML_Email" hidden="1">""</definedName>
    <definedName name="HTML_Header" hidden="1">"사업비총괄"</definedName>
    <definedName name="HTML_LastUpdate" hidden="1">"01-06-17"</definedName>
    <definedName name="HTML_LineAfter" hidden="1">FALSE</definedName>
    <definedName name="HTML_LineBefore" hidden="1">FALSE</definedName>
    <definedName name="HTML_Name" hidden="1">"김정호"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Documents\6.htm"</definedName>
    <definedName name="HTML_PathTemplate" hidden="1">"D:\b_256lc\일보\HTMLTemp.htm"</definedName>
    <definedName name="HTML_Title" hidden="1">"비용산출"</definedName>
    <definedName name="htmlControl2" localSheetId="4" hidden="1">{"'표지'!$B$5"}</definedName>
    <definedName name="htmlControl2" hidden="1">{"'표지'!$B$5"}</definedName>
    <definedName name="HTRH" localSheetId="4" hidden="1">{"'표지'!$B$5"}</definedName>
    <definedName name="HTRH" hidden="1">{"'표지'!$B$5"}</definedName>
    <definedName name="HVAFP">#REF!</definedName>
    <definedName name="HVMF">#REF!</definedName>
    <definedName name="HWEI">#REF!</definedName>
    <definedName name="HWL">#REF!</definedName>
    <definedName name="HWR">#REF!</definedName>
    <definedName name="ID">#REF!,#REF!</definedName>
    <definedName name="IDF">#REF!</definedName>
    <definedName name="IMP">#REF!</definedName>
    <definedName name="In_Vat">#N/A</definedName>
    <definedName name="INCREASED">#REF!</definedName>
    <definedName name="INETOTHER">#REF!</definedName>
    <definedName name="INETPPE">#REF!</definedName>
    <definedName name="INTPUT">#REF!</definedName>
    <definedName name="INTPUTDATA">#REF!</definedName>
    <definedName name="IT" localSheetId="4" hidden="1">{"'Sheet1'!$A$1:$H$36"}</definedName>
    <definedName name="IT" hidden="1">{"'Sheet1'!$A$1:$H$36"}</definedName>
    <definedName name="ITEMDESC_1">#REF!</definedName>
    <definedName name="ITNUM">#N/A</definedName>
    <definedName name="IT수정" localSheetId="4" hidden="1">{"'Sheet1'!$A$1:$H$36"}</definedName>
    <definedName name="IT수정" hidden="1">{"'Sheet1'!$A$1:$H$36"}</definedName>
    <definedName name="IU" hidden="1">#REF!</definedName>
    <definedName name="J00">#REF!</definedName>
    <definedName name="JANG" hidden="1">#REF!</definedName>
    <definedName name="JD" localSheetId="4" hidden="1">{#N/A,#N/A,FALSE,"이태원철근"}</definedName>
    <definedName name="JD" hidden="1">{#N/A,#N/A,FALSE,"이태원철근"}</definedName>
    <definedName name="jhjhjh" hidden="1">#REF!</definedName>
    <definedName name="JJ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KHJHJH" localSheetId="4" hidden="1">{#N/A,#N/A,TRUE,"960318-1";#N/A,#N/A,TRUE,"960318-2";#N/A,#N/A,TRUE,"960318-3"}</definedName>
    <definedName name="JJKHJHJH" hidden="1">{#N/A,#N/A,TRUE,"960318-1";#N/A,#N/A,TRUE,"960318-2";#N/A,#N/A,TRUE,"960318-3"}</definedName>
    <definedName name="jjl" localSheetId="4" hidden="1">{"'표지'!$B$5"}</definedName>
    <definedName name="jjl" hidden="1">{"'표지'!$B$5"}</definedName>
    <definedName name="JK" hidden="1">#REF!</definedName>
    <definedName name="jkg" localSheetId="4" hidden="1">{#N/A,#N/A,FALSE,"제목"}</definedName>
    <definedName name="jkg" hidden="1">{#N/A,#N/A,FALSE,"제목"}</definedName>
    <definedName name="jkghjgk" hidden="1">#REF!</definedName>
    <definedName name="jkhjk" localSheetId="4" hidden="1">{#N/A,#N/A,FALSE,"현장 NCR 분석";#N/A,#N/A,FALSE,"현장품질감사";#N/A,#N/A,FALSE,"현장품질감사"}</definedName>
    <definedName name="jkhjk" hidden="1">{#N/A,#N/A,FALSE,"현장 NCR 분석";#N/A,#N/A,FALSE,"현장품질감사";#N/A,#N/A,FALSE,"현장품질감사"}</definedName>
    <definedName name="jkm" localSheetId="4" hidden="1">{#N/A,#N/A,FALSE,"제목"}</definedName>
    <definedName name="jkm" hidden="1">{#N/A,#N/A,FALSE,"제목"}</definedName>
    <definedName name="juju" hidden="1">#REF!</definedName>
    <definedName name="JYH">#REF!</definedName>
    <definedName name="J엄차현" hidden="1">#REF!</definedName>
    <definedName name="K_PR">#REF!</definedName>
    <definedName name="KA">#REF!</definedName>
    <definedName name="KAE">#REF!</definedName>
    <definedName name="KAS">#REF!</definedName>
    <definedName name="KC" localSheetId="4" hidden="1">{#N/A,#N/A,FALSE,"CCTV"}</definedName>
    <definedName name="KC" hidden="1">{#N/A,#N/A,FALSE,"CCTV"}</definedName>
    <definedName name="kcc" hidden="1">#REF!</definedName>
    <definedName name="kcd" hidden="1">#REF!</definedName>
    <definedName name="kce" hidden="1">#REF!</definedName>
    <definedName name="kcr" hidden="1">#REF!</definedName>
    <definedName name="KEA">#REF!</definedName>
    <definedName name="key" hidden="1">#REF!</definedName>
    <definedName name="KH">#REF!</definedName>
    <definedName name="kim" localSheetId="4" hidden="1">{#N/A,#N/A,TRUE,"960318-1";#N/A,#N/A,TRUE,"960318-2";#N/A,#N/A,TRUE,"960318-3"}</definedName>
    <definedName name="kim" hidden="1">{#N/A,#N/A,TRUE,"960318-1";#N/A,#N/A,TRUE,"960318-2";#N/A,#N/A,TRUE,"960318-3"}</definedName>
    <definedName name="kj" hidden="1">#REF!</definedName>
    <definedName name="kkk_12">#REF!</definedName>
    <definedName name="KKKK" hidden="1">#REF!</definedName>
    <definedName name="KKKY" localSheetId="4" hidden="1">{"'Sheet1'!$A$1:$H$36"}</definedName>
    <definedName name="KKKY" hidden="1">{"'Sheet1'!$A$1:$H$36"}</definedName>
    <definedName name="kknd2" localSheetId="4" hidden="1">{#N/A,#N/A,FALSE,"변경관리예산";#N/A,#N/A,FALSE,"변경장비예산";#N/A,#N/A,FALSE,"변경준설예산";#N/A,#N/A,FALSE,"변경철구예산"}</definedName>
    <definedName name="kknd2" hidden="1">{#N/A,#N/A,FALSE,"변경관리예산";#N/A,#N/A,FALSE,"변경장비예산";#N/A,#N/A,FALSE,"변경준설예산";#N/A,#N/A,FALSE,"변경철구예산"}</definedName>
    <definedName name="kmm" localSheetId="4" hidden="1">{#N/A,#N/A,FALSE,"제목"}</definedName>
    <definedName name="kmm" hidden="1">{#N/A,#N/A,FALSE,"제목"}</definedName>
    <definedName name="KO">#REF!</definedName>
    <definedName name="KS" localSheetId="4" hidden="1">{#N/A,#N/A,FALSE,"지침";#N/A,#N/A,FALSE,"환경분석";#N/A,#N/A,FALSE,"Sheet16"}</definedName>
    <definedName name="KS" hidden="1">{#N/A,#N/A,FALSE,"지침";#N/A,#N/A,FALSE,"환경분석";#N/A,#N/A,FALSE,"Sheet16"}</definedName>
    <definedName name="kuh" localSheetId="4" hidden="1">{#N/A,#N/A,FALSE,"제목"}</definedName>
    <definedName name="kuh" hidden="1">{#N/A,#N/A,FALSE,"제목"}</definedName>
    <definedName name="KV">#REF!</definedName>
    <definedName name="L">#N/A</definedName>
    <definedName name="L00">#REF!</definedName>
    <definedName name="L1AS">#REF!</definedName>
    <definedName name="L1L">#REF!</definedName>
    <definedName name="L2L">#REF!</definedName>
    <definedName name="L3L">#REF!</definedName>
    <definedName name="L4L">#REF!</definedName>
    <definedName name="LA">#REF!</definedName>
    <definedName name="LAMP">#REF!</definedName>
    <definedName name="LAST">#REF!</definedName>
    <definedName name="lay" localSheetId="4" hidden="1">{"'Sheet1'!$A$1:$H$36"}</definedName>
    <definedName name="lay" hidden="1">{"'Sheet1'!$A$1:$H$36"}</definedName>
    <definedName name="LC">#REF!</definedName>
    <definedName name="Legacy1" localSheetId="4" hidden="1">{"'표지'!$B$5"}</definedName>
    <definedName name="Legacy1" hidden="1">{"'표지'!$B$5"}</definedName>
    <definedName name="LF">#REF!</definedName>
    <definedName name="LG">#REF!</definedName>
    <definedName name="LH">#REF!</definedName>
    <definedName name="li" localSheetId="4" hidden="1">{"'용역비'!$A$4:$C$8"}</definedName>
    <definedName name="li" hidden="1">{"'용역비'!$A$4:$C$8"}</definedName>
    <definedName name="light">"Picture 1"</definedName>
    <definedName name="LIST4" localSheetId="4" hidden="1">{#N/A,#N/A,FALSE,"제목"}</definedName>
    <definedName name="LIST4" hidden="1">{#N/A,#N/A,FALSE,"제목"}</definedName>
    <definedName name="LL">#N/A</definedName>
    <definedName name="LLFE">#N/A</definedName>
    <definedName name="LLFO">#REF!</definedName>
    <definedName name="LLL" hidden="1">#REF!</definedName>
    <definedName name="LLLLL" hidden="1">#REF!</definedName>
    <definedName name="LMO">#REF!</definedName>
    <definedName name="LP___4">#REF!</definedName>
    <definedName name="LPI">#REF!</definedName>
    <definedName name="LSH">#REF!</definedName>
    <definedName name="L형측구">#REF!</definedName>
    <definedName name="M_EF">#REF!</definedName>
    <definedName name="Main">#REF!</definedName>
    <definedName name="MAIN_COM_소계">#REF!</definedName>
    <definedName name="MAN" hidden="1">#REF!</definedName>
    <definedName name="MEASURE_1">#REF!</definedName>
    <definedName name="MHELP">#REF!</definedName>
    <definedName name="MODEL_NO">#N/A</definedName>
    <definedName name="modify" localSheetId="4" hidden="1">{"'Sheet1'!$A$1:$H$36"}</definedName>
    <definedName name="modify" hidden="1">{"'Sheet1'!$A$1:$H$36"}</definedName>
    <definedName name="Module4.Macro3">#N/A</definedName>
    <definedName name="Module6.Macro4">#N/A</definedName>
    <definedName name="MONEY">#REF!,#REF!</definedName>
    <definedName name="MOTOR">#REF!</definedName>
    <definedName name="MST_CHK">#N/A</definedName>
    <definedName name="MST_CHK1">#N/A</definedName>
    <definedName name="MST_CHK2">#N/A</definedName>
    <definedName name="MST_CODE">#N/A</definedName>
    <definedName name="MST_CST">#N/A</definedName>
    <definedName name="MST_EXPEN">#N/A</definedName>
    <definedName name="MST_GONG">#N/A</definedName>
    <definedName name="MST_KEY">#N/A</definedName>
    <definedName name="MST_LABOR">#N/A</definedName>
    <definedName name="MST_NAME">#N/A</definedName>
    <definedName name="MST_QUAN">#N/A</definedName>
    <definedName name="MST_REMAK">#N/A</definedName>
    <definedName name="MST_SCODE1">#N/A</definedName>
    <definedName name="MST_SCODE2">#N/A</definedName>
    <definedName name="MST_SCODE3">#N/A</definedName>
    <definedName name="MST_SCST">#N/A</definedName>
    <definedName name="MST_SEQ">#N/A</definedName>
    <definedName name="MST_SEQ_1">#N/A</definedName>
    <definedName name="MST_SEXPEN">#N/A</definedName>
    <definedName name="MST_SIGN">#N/A</definedName>
    <definedName name="MST_SLABOR">#N/A</definedName>
    <definedName name="MST_SPER1">#N/A</definedName>
    <definedName name="MST_SPER2">#N/A</definedName>
    <definedName name="MST_SPER3">#N/A</definedName>
    <definedName name="MST_SQUAN">#N/A</definedName>
    <definedName name="MST_STAD">#N/A</definedName>
    <definedName name="MST_UNIT">#N/A</definedName>
    <definedName name="MUO_REA">#REF!</definedName>
    <definedName name="MUO_TOE">#REF!</definedName>
    <definedName name="MUP">#REF!</definedName>
    <definedName name="N_C">#REF!</definedName>
    <definedName name="N_Q">#REF!</definedName>
    <definedName name="N_R">#REF!</definedName>
    <definedName name="N1S">#REF!</definedName>
    <definedName name="N2S">#REF!</definedName>
    <definedName name="N3S">#REF!</definedName>
    <definedName name="NAK">#N/A</definedName>
    <definedName name="NAME">#REF!</definedName>
    <definedName name="NDO">#REF!</definedName>
    <definedName name="NG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m" localSheetId="4" hidden="1">{#N/A,#N/A,FALSE,"제목"}</definedName>
    <definedName name="nm" hidden="1">{#N/A,#N/A,FALSE,"제목"}</definedName>
    <definedName name="NN" localSheetId="4" hidden="1">{#N/A,#N/A,FALSE,"지침";#N/A,#N/A,FALSE,"환경분석";#N/A,#N/A,FALSE,"Sheet16"}</definedName>
    <definedName name="NN" hidden="1">{#N/A,#N/A,FALSE,"지침";#N/A,#N/A,FALSE,"환경분석";#N/A,#N/A,FALSE,"Sheet16"}</definedName>
    <definedName name="nnhnhd" hidden="1">#REF!</definedName>
    <definedName name="nnj" localSheetId="4" hidden="1">{#N/A,#N/A,FALSE,"제목"}</definedName>
    <definedName name="nnj" hidden="1">{#N/A,#N/A,FALSE,"제목"}</definedName>
    <definedName name="NNNNN" localSheetId="4" hidden="1">{#N/A,#N/A,FALSE,"지침";#N/A,#N/A,FALSE,"환경분석";#N/A,#N/A,FALSE,"Sheet16"}</definedName>
    <definedName name="NNNNN" hidden="1">{#N/A,#N/A,FALSE,"지침";#N/A,#N/A,FALSE,"환경분석";#N/A,#N/A,FALSE,"Sheet16"}</definedName>
    <definedName name="NO">#N/A</definedName>
    <definedName name="NOMUBY">#REF!</definedName>
    <definedName name="NOTCH">#REF!</definedName>
    <definedName name="nouveau_classeur" hidden="1">"="</definedName>
    <definedName name="NPI">#REF!</definedName>
    <definedName name="NSH">#REF!</definedName>
    <definedName name="NSO">#REF!</definedName>
    <definedName name="o_m">#REF!</definedName>
    <definedName name="ocf" hidden="1">#REF!</definedName>
    <definedName name="ODH" hidden="1">#REF!</definedName>
    <definedName name="OI" hidden="1">#REF!</definedName>
    <definedName name="OIL" localSheetId="4" hidden="1">{"'용역비'!$A$4:$C$8"}</definedName>
    <definedName name="OIL" hidden="1">{"'용역비'!$A$4:$C$8"}</definedName>
    <definedName name="OK" hidden="1">#REF!</definedName>
    <definedName name="old예산" localSheetId="4" hidden="1">{#N/A,#N/A,TRUE,"손익보고"}</definedName>
    <definedName name="old예산" hidden="1">{#N/A,#N/A,TRUE,"손익보고"}</definedName>
    <definedName name="ooooo" hidden="1">#REF!</definedName>
    <definedName name="OP" hidden="1">#REF!</definedName>
    <definedName name="opo" localSheetId="4" hidden="1">{#N/A,#N/A,FALSE,"지침";#N/A,#N/A,FALSE,"환경분석";#N/A,#N/A,FALSE,"Sheet16"}</definedName>
    <definedName name="opo" hidden="1">{#N/A,#N/A,FALSE,"지침";#N/A,#N/A,FALSE,"환경분석";#N/A,#N/A,FALSE,"Sheet16"}</definedName>
    <definedName name="OPP" hidden="1">#REF!</definedName>
    <definedName name="oq" localSheetId="4" hidden="1">{#N/A,#N/A,FALSE,"이정표"}</definedName>
    <definedName name="oq" hidden="1">{#N/A,#N/A,FALSE,"이정표"}</definedName>
    <definedName name="orion" hidden="1">#N/A</definedName>
    <definedName name="P_A">#REF!</definedName>
    <definedName name="P_D">#REF!</definedName>
    <definedName name="P_E">#REF!</definedName>
    <definedName name="p_m">#REF!</definedName>
    <definedName name="P00">#REF!</definedName>
    <definedName name="PANEL">#REF!</definedName>
    <definedName name="path">"Edit Box 5"</definedName>
    <definedName name="PB">#REF!</definedName>
    <definedName name="PE">#REF!</definedName>
    <definedName name="PF">#REF!</definedName>
    <definedName name="PFD">#REF!</definedName>
    <definedName name="PG">#REF!</definedName>
    <definedName name="PH">#REF!</definedName>
    <definedName name="PI">#REF!</definedName>
    <definedName name="PIER부격벽간거리">#REF!</definedName>
    <definedName name="PJT">#N/A</definedName>
    <definedName name="pkg" localSheetId="4" hidden="1">{"'Sheet1'!$A$1:$H$36"}</definedName>
    <definedName name="pkg" hidden="1">{"'Sheet1'!$A$1:$H$36"}</definedName>
    <definedName name="PO">#REF!</definedName>
    <definedName name="popo" hidden="1">#REF!</definedName>
    <definedName name="POSITION">#REF!</definedName>
    <definedName name="POT_BEARING">#REF!</definedName>
    <definedName name="pppppo" hidden="1">#REF!</definedName>
    <definedName name="ppppppp" hidden="1">#REF!</definedName>
    <definedName name="PRICE">#REF!</definedName>
    <definedName name="PRIN_TITLES">#REF!</definedName>
    <definedName name="print">#REF!</definedName>
    <definedName name="_xlnm.Print_Area" localSheetId="0">'1. 현장별 인원현황'!$C$3:$AE$616</definedName>
    <definedName name="_xlnm.Print_Area" localSheetId="2">'2-1. 인사고과표(기능)'!$B$1:$AS$644</definedName>
    <definedName name="_xlnm.Print_Area" localSheetId="3">'2-2. 인사고과표(안전)'!$B$1:$AO$644</definedName>
    <definedName name="_xlnm.Print_Area">#REF!</definedName>
    <definedName name="PRINT_AREA_MI">#REF!</definedName>
    <definedName name="PRINT_AREA_MI1">#REF!</definedName>
    <definedName name="PRINT_TILIES">#REF!,#REF!,#REF!,#REF!,#REF!</definedName>
    <definedName name="PRINT_TILTES">#REF!</definedName>
    <definedName name="print_tital">#REF!</definedName>
    <definedName name="print_titil">#REF!</definedName>
    <definedName name="print_title">#N/A</definedName>
    <definedName name="PRINT_TITLEES">#REF!</definedName>
    <definedName name="PRINT_TITLEES.">#REF!</definedName>
    <definedName name="_xlnm.Print_Titles">#REF!</definedName>
    <definedName name="PRINT_TITLES_MI">#REF!</definedName>
    <definedName name="PRINT_TLTLES">#REF!</definedName>
    <definedName name="PRINTTITLES">#REF!</definedName>
    <definedName name="PRIORITY">#N/A</definedName>
    <definedName name="Prod" localSheetId="4" hidden="1">{"'Surplus Cap'!$A$4:$AB$80"}</definedName>
    <definedName name="Prod" hidden="1">{"'Surplus Cap'!$A$4:$AB$80"}</definedName>
    <definedName name="PROJECT">#N/A</definedName>
    <definedName name="PRR" localSheetId="4" hidden="1">{"'status'!$B$2:$H$15"}</definedName>
    <definedName name="PRR" hidden="1">{"'status'!$B$2:$H$15"}</definedName>
    <definedName name="PS">#REF!</definedName>
    <definedName name="pt" localSheetId="4" hidden="1">{"'Surplus Cap'!$A$4:$AB$80"}</definedName>
    <definedName name="pt" hidden="1">{"'Surplus Cap'!$A$4:$AB$80"}</definedName>
    <definedName name="PUMP">#REF!</definedName>
    <definedName name="q234562456" localSheetId="4" hidden="1">{"'용역비'!$A$4:$C$8"}</definedName>
    <definedName name="q234562456" hidden="1">{"'용역비'!$A$4:$C$8"}</definedName>
    <definedName name="qedgagsd" hidden="1">#REF!</definedName>
    <definedName name="qewewre" hidden="1">#REF!</definedName>
    <definedName name="QFQF" hidden="1">#REF!</definedName>
    <definedName name="QG" hidden="1">#REF!</definedName>
    <definedName name="qk" localSheetId="4" hidden="1">{"'자리배치도'!$AG$1:$CI$28"}</definedName>
    <definedName name="qk" hidden="1">{"'자리배치도'!$AG$1:$CI$28"}</definedName>
    <definedName name="qor" hidden="1">#REF!</definedName>
    <definedName name="qqqq" localSheetId="4" hidden="1">{#N/A,#N/A,FALSE,"제목"}</definedName>
    <definedName name="qqqq" hidden="1">{#N/A,#N/A,FALSE,"제목"}</definedName>
    <definedName name="QQQQQQ" localSheetId="4" hidden="1">{"'Surplus Cap'!$A$4:$AB$80"}</definedName>
    <definedName name="QQQQQQ" hidden="1">{"'Surplus Cap'!$A$4:$AB$80"}</definedName>
    <definedName name="qrqer" hidden="1">#REF!</definedName>
    <definedName name="QTY">#N/A</definedName>
    <definedName name="Qty_1">#REF!</definedName>
    <definedName name="qwdqdfe" localSheetId="4" hidden="1">{"'Sheet1'!$A$1:$H$36"}</definedName>
    <definedName name="qwdqdfe" hidden="1">{"'Sheet1'!$A$1:$H$36"}</definedName>
    <definedName name="QWEQ">#N/A</definedName>
    <definedName name="qwerdg" hidden="1">#REF!</definedName>
    <definedName name="QWERQWER" hidden="1">#REF!</definedName>
    <definedName name="QWERT" hidden="1">#REF!</definedName>
    <definedName name="qwos" localSheetId="4" hidden="1">{#N/A,#N/A,FALSE,"제목"}</definedName>
    <definedName name="qwos" hidden="1">{#N/A,#N/A,FALSE,"제목"}</definedName>
    <definedName name="qwreq" hidden="1">#REF!</definedName>
    <definedName name="QWS" hidden="1">#REF!</definedName>
    <definedName name="qyk" localSheetId="4" hidden="1">{"'용역비'!$A$4:$C$8"}</definedName>
    <definedName name="qyk" hidden="1">{"'용역비'!$A$4:$C$8"}</definedName>
    <definedName name="R_">#N/A</definedName>
    <definedName name="_xlnm.Recorder">#REF!</definedName>
    <definedName name="RECORDERA">#REF!</definedName>
    <definedName name="REG" hidden="1">#REF!</definedName>
    <definedName name="REM">#N/A</definedName>
    <definedName name="REMK">#N/A</definedName>
    <definedName name="rererere" hidden="1">#REF!</definedName>
    <definedName name="rfbgh" localSheetId="4" hidden="1">{#N/A,#N/A,FALSE,"제목"}</definedName>
    <definedName name="rfbgh" hidden="1">{#N/A,#N/A,FALSE,"제목"}</definedName>
    <definedName name="RFYIFIOYGOPIO" hidden="1">#REF!</definedName>
    <definedName name="RGHKJH" localSheetId="4" hidden="1">{"'표지'!$B$5"}</definedName>
    <definedName name="RGHKJH" hidden="1">{"'표지'!$B$5"}</definedName>
    <definedName name="RH" localSheetId="4" hidden="1">{"'용역비'!$A$4:$C$8"}</definedName>
    <definedName name="RH" hidden="1">{"'용역비'!$A$4:$C$8"}</definedName>
    <definedName name="rk" localSheetId="4" hidden="1">{#N/A,#N/A,FALSE,"현장 NCR 분석";#N/A,#N/A,FALSE,"현장품질감사";#N/A,#N/A,FALSE,"현장품질감사"}</definedName>
    <definedName name="rk" hidden="1">{#N/A,#N/A,FALSE,"현장 NCR 분석";#N/A,#N/A,FALSE,"현장품질감사";#N/A,#N/A,FALSE,"현장품질감사"}</definedName>
    <definedName name="rkfm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kfm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NSEO" localSheetId="4" hidden="1">{#N/A,#N/A,FALSE,"현장 NCR 분석";#N/A,#N/A,FALSE,"현장품질감사";#N/A,#N/A,FALSE,"현장품질감사"}</definedName>
    <definedName name="RNSEO" hidden="1">{#N/A,#N/A,FALSE,"현장 NCR 분석";#N/A,#N/A,FALSE,"현장품질감사";#N/A,#N/A,FALSE,"현장품질감사"}</definedName>
    <definedName name="Rolling" localSheetId="4" hidden="1">{"'Sheet1'!$A$1:$H$36"}</definedName>
    <definedName name="Rolling" hidden="1">{"'Sheet1'!$A$1:$H$36"}</definedName>
    <definedName name="RPE">#REF!</definedName>
    <definedName name="rr" hidden="1">#REF!</definedName>
    <definedName name="rrfff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rfff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th" hidden="1">#REF!</definedName>
    <definedName name="RTHHGH" localSheetId="4" hidden="1">{"'표지'!$B$5"}</definedName>
    <definedName name="RTHHGH" hidden="1">{"'표지'!$B$5"}</definedName>
    <definedName name="rtrtr" hidden="1">#REF!</definedName>
    <definedName name="rty" localSheetId="4" hidden="1">{"'용역비'!$A$4:$C$8"}</definedName>
    <definedName name="rty" hidden="1">{"'용역비'!$A$4:$C$8"}</definedName>
    <definedName name="ruswjr1" localSheetId="4" hidden="1">{#N/A,#N/A,FALSE,"현장 NCR 분석";#N/A,#N/A,FALSE,"현장품질감사";#N/A,#N/A,FALSE,"현장품질감사"}</definedName>
    <definedName name="ruswjr1" hidden="1">{#N/A,#N/A,FALSE,"현장 NCR 분석";#N/A,#N/A,FALSE,"현장품질감사";#N/A,#N/A,FALSE,"현장품질감사"}</definedName>
    <definedName name="RWER" localSheetId="4" hidden="1">{#N/A,#N/A,FALSE,"제목"}</definedName>
    <definedName name="RWER" hidden="1">{#N/A,#N/A,FALSE,"제목"}</definedName>
    <definedName name="ryuk" localSheetId="4" hidden="1">{"'용역비'!$A$4:$C$8"}</definedName>
    <definedName name="ryuk" hidden="1">{"'용역비'!$A$4:$C$8"}</definedName>
    <definedName name="s_1">#REF!</definedName>
    <definedName name="s_2">#REF!</definedName>
    <definedName name="S_BB">#REF!</definedName>
    <definedName name="S_BU">#REF!</definedName>
    <definedName name="S_EF">#REF!</definedName>
    <definedName name="S_W_시험기사">#REF!</definedName>
    <definedName name="S2L">#REF!</definedName>
    <definedName name="SADE">#REF!</definedName>
    <definedName name="safdf" localSheetId="4" hidden="1">{#N/A,#N/A,TRUE,"960318-1";#N/A,#N/A,TRUE,"960318-2";#N/A,#N/A,TRUE,"960318-3"}</definedName>
    <definedName name="safdf" hidden="1">{#N/A,#N/A,TRUE,"960318-1";#N/A,#N/A,TRUE,"960318-2";#N/A,#N/A,TRUE,"960318-3"}</definedName>
    <definedName name="SALI">#REF!</definedName>
    <definedName name="SAPBEXdnldView" hidden="1">"4A4BMARGJMHQ7IVS9TWOV1LTR"</definedName>
    <definedName name="SAPBEXsysID" hidden="1">"PBW"</definedName>
    <definedName name="sck">#REF!</definedName>
    <definedName name="sdadww" localSheetId="4" hidden="1">{#N/A,#N/A,TRUE,"960318-1";#N/A,#N/A,TRUE,"960318-2";#N/A,#N/A,TRUE,"960318-3"}</definedName>
    <definedName name="sdadww" hidden="1">{#N/A,#N/A,TRUE,"960318-1";#N/A,#N/A,TRUE,"960318-2";#N/A,#N/A,TRUE,"960318-3"}</definedName>
    <definedName name="sdfd" localSheetId="4" hidden="1">{"'status'!$B$2:$H$15"}</definedName>
    <definedName name="sdfd" hidden="1">{"'status'!$B$2:$H$15"}</definedName>
    <definedName name="sdfsdf" hidden="1">#REF!</definedName>
    <definedName name="SDFSDFSDF" localSheetId="4" hidden="1">{#N/A,#N/A,FALSE,"기안지";#N/A,#N/A,FALSE,"통신지"}</definedName>
    <definedName name="SDFSDFSDF" hidden="1">{#N/A,#N/A,FALSE,"기안지";#N/A,#N/A,FALSE,"통신지"}</definedName>
    <definedName name="SDGAS" hidden="1">#REF!</definedName>
    <definedName name="SDRTHST" hidden="1">#REF!</definedName>
    <definedName name="sdryhj" localSheetId="4" hidden="1">{"'용역비'!$A$4:$C$8"}</definedName>
    <definedName name="sdryhj" hidden="1">{"'용역비'!$A$4:$C$8"}</definedName>
    <definedName name="sdsdsds" hidden="1">#REF!</definedName>
    <definedName name="SE" localSheetId="4" hidden="1">{"'용역비'!$A$4:$C$8"}</definedName>
    <definedName name="SE" hidden="1">{"'용역비'!$A$4:$C$8"}</definedName>
    <definedName name="SELECT">#N/A</definedName>
    <definedName name="SEQU">#N/A</definedName>
    <definedName name="sewqcq" localSheetId="4" hidden="1">{#N/A,#N/A,FALSE,"제목"}</definedName>
    <definedName name="sewqcq" hidden="1">{#N/A,#N/A,FALSE,"제목"}</definedName>
    <definedName name="SEXP">#N/A</definedName>
    <definedName name="SF" localSheetId="4" hidden="1">{#N/A,#N/A,FALSE,"이태원철근"}</definedName>
    <definedName name="SF" hidden="1">{#N/A,#N/A,FALSE,"이태원철근"}</definedName>
    <definedName name="sfdgsd" hidden="1">#REF!</definedName>
    <definedName name="sfgsdfd" hidden="1">#REF!</definedName>
    <definedName name="SGARETER" hidden="1">#REF!</definedName>
    <definedName name="SH" localSheetId="4" hidden="1">{#N/A,#N/A,FALSE,"제목"}</definedName>
    <definedName name="SH" hidden="1">{#N/A,#N/A,FALSE,"제목"}</definedName>
    <definedName name="shee2" localSheetId="4" hidden="1">{#N/A,#N/A,TRUE,"960318-1";#N/A,#N/A,TRUE,"960318-2";#N/A,#N/A,TRUE,"960318-3"}</definedName>
    <definedName name="shee2" hidden="1">{#N/A,#N/A,TRUE,"960318-1";#N/A,#N/A,TRUE,"960318-2";#N/A,#N/A,TRUE,"960318-3"}</definedName>
    <definedName name="SHEET2">#N/A</definedName>
    <definedName name="SHT">#REF!</definedName>
    <definedName name="SIZE">#N/A</definedName>
    <definedName name="sj" hidden="1">#N/A</definedName>
    <definedName name="SK">#REF!</definedName>
    <definedName name="SKE">#REF!</definedName>
    <definedName name="SLAB">#N/A</definedName>
    <definedName name="SLDKFJSLKDF" localSheetId="4" hidden="1">{#N/A,#N/A,FALSE,"기안지";#N/A,#N/A,FALSE,"통신지"}</definedName>
    <definedName name="SLDKFJSLKDF" hidden="1">{#N/A,#N/A,FALSE,"기안지";#N/A,#N/A,FALSE,"통신지"}</definedName>
    <definedName name="SLFE">#REF!</definedName>
    <definedName name="SLFO">#REF!</definedName>
    <definedName name="SLG4_1" localSheetId="4" hidden="1">{"'status'!$B$2:$H$15"}</definedName>
    <definedName name="SLG4_1" hidden="1">{"'status'!$B$2:$H$15"}</definedName>
    <definedName name="SMAT">#N/A</definedName>
    <definedName name="SMHR">#N/A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CODE">#N/A</definedName>
    <definedName name="SPACE">#REF!</definedName>
    <definedName name="SPEC">#REF!</definedName>
    <definedName name="sqrwer" localSheetId="4" hidden="1">{#N/A,#N/A,TRUE,"960318-1";#N/A,#N/A,TRUE,"960318-2";#N/A,#N/A,TRUE,"960318-3"}</definedName>
    <definedName name="sqrwer" hidden="1">{#N/A,#N/A,TRUE,"960318-1";#N/A,#N/A,TRUE,"960318-2";#N/A,#N/A,TRUE,"960318-3"}</definedName>
    <definedName name="srth" localSheetId="4" hidden="1">{"'용역비'!$A$4:$C$8"}</definedName>
    <definedName name="srth" hidden="1">{"'용역비'!$A$4:$C$8"}</definedName>
    <definedName name="ss">#N/A</definedName>
    <definedName name="ssdd" localSheetId="4" hidden="1">{#N/A,#N/A,TRUE,"960318-1";#N/A,#N/A,TRUE,"960318-2";#N/A,#N/A,TRUE,"960318-3"}</definedName>
    <definedName name="ssdd" hidden="1">{#N/A,#N/A,TRUE,"960318-1";#N/A,#N/A,TRUE,"960318-2";#N/A,#N/A,TRUE,"960318-3"}</definedName>
    <definedName name="sssaq" localSheetId="4" hidden="1">{#N/A,#N/A,FALSE,"전력간선"}</definedName>
    <definedName name="sssaq" hidden="1">{#N/A,#N/A,FALSE,"전력간선"}</definedName>
    <definedName name="SSVSS" hidden="1">#REF!</definedName>
    <definedName name="STS" localSheetId="4" hidden="1">{"'용역비'!$A$4:$C$8"}</definedName>
    <definedName name="STS" hidden="1">{"'용역비'!$A$4:$C$8"}</definedName>
    <definedName name="SubDic">#REF!</definedName>
    <definedName name="sung">#N/A</definedName>
    <definedName name="SUO_REA">#REF!</definedName>
    <definedName name="SUO_TOE">#REF!</definedName>
    <definedName name="SUYO">#N/A</definedName>
    <definedName name="SV">#REF!</definedName>
    <definedName name="SWL">#REF!</definedName>
    <definedName name="SWR">#REF!</definedName>
    <definedName name="SWS" hidden="1">#REF!</definedName>
    <definedName name="swsw" hidden="1">#REF!</definedName>
    <definedName name="sy">#REF!</definedName>
    <definedName name="S방수">#REF!</definedName>
    <definedName name="T_AMOUNT">#N/A</definedName>
    <definedName name="T_UPRICE">#N/A</definedName>
    <definedName name="T1S">#REF!</definedName>
    <definedName name="T2S">#REF!</definedName>
    <definedName name="T3S">#REF!</definedName>
    <definedName name="TC" hidden="1">#REF!</definedName>
    <definedName name="TEMP" hidden="1">#REF!</definedName>
    <definedName name="test">#REF!</definedName>
    <definedName name="TFUI" localSheetId="4" hidden="1">{"'용역비'!$A$4:$C$8"}</definedName>
    <definedName name="TFUI" hidden="1">{"'용역비'!$A$4:$C$8"}</definedName>
    <definedName name="tg" hidden="1">#REF!</definedName>
    <definedName name="THNN" localSheetId="4" hidden="1">{"'표지'!$B$5"}</definedName>
    <definedName name="THNN" hidden="1">{"'표지'!$B$5"}</definedName>
    <definedName name="THYT" localSheetId="4" hidden="1">{"'표지'!$B$5"}</definedName>
    <definedName name="THYT" hidden="1">{"'표지'!$B$5"}</definedName>
    <definedName name="TIT">#REF!</definedName>
    <definedName name="TITLE">#REF!</definedName>
    <definedName name="tlsgks">#REF!</definedName>
    <definedName name="TMO">#REF!</definedName>
    <definedName name="TOO">#N/A</definedName>
    <definedName name="TOTAL">#N/A</definedName>
    <definedName name="TRHTHJ" localSheetId="4" hidden="1">{"'표지'!$B$5"}</definedName>
    <definedName name="TRHTHJ" hidden="1">{"'표지'!$B$5"}</definedName>
    <definedName name="trtrtrtrtr" hidden="1">#REF!</definedName>
    <definedName name="trunc">#REF!</definedName>
    <definedName name="tttq" hidden="1">#REF!</definedName>
    <definedName name="TTTT" hidden="1">#REF!</definedName>
    <definedName name="ttttt" localSheetId="4" hidden="1">{#N/A,#N/A,FALSE,"지침";#N/A,#N/A,FALSE,"환경분석";#N/A,#N/A,FALSE,"Sheet16"}</definedName>
    <definedName name="ttttt" hidden="1">{#N/A,#N/A,FALSE,"지침";#N/A,#N/A,FALSE,"환경분석";#N/A,#N/A,FALSE,"Sheet16"}</definedName>
    <definedName name="tttttt" hidden="1">#REF!</definedName>
    <definedName name="tu" localSheetId="4" hidden="1">{"'용역비'!$A$4:$C$8"}</definedName>
    <definedName name="tu" hidden="1">{"'용역비'!$A$4:$C$8"}</definedName>
    <definedName name="tuilol" localSheetId="4" hidden="1">{"'용역비'!$A$4:$C$8"}</definedName>
    <definedName name="tuilol" hidden="1">{"'용역비'!$A$4:$C$8"}</definedName>
    <definedName name="TUR" hidden="1">#REF!</definedName>
    <definedName name="TW">#REF!</definedName>
    <definedName name="TWL">#REF!</definedName>
    <definedName name="TWR">#REF!</definedName>
    <definedName name="tye" hidden="1">#REF!</definedName>
    <definedName name="TYJ" localSheetId="4" hidden="1">{"'용역비'!$A$4:$C$8"}</definedName>
    <definedName name="TYJ" hidden="1">{"'용역비'!$A$4:$C$8"}</definedName>
    <definedName name="tyje" localSheetId="4" hidden="1">{"'용역비'!$A$4:$C$8"}</definedName>
    <definedName name="tyje" hidden="1">{"'용역비'!$A$4:$C$8"}</definedName>
    <definedName name="tyjet" localSheetId="4" hidden="1">{"'용역비'!$A$4:$C$8"}</definedName>
    <definedName name="tyjet" hidden="1">{"'용역비'!$A$4:$C$8"}</definedName>
    <definedName name="TYPE">#REF!</definedName>
    <definedName name="TYPEEA">#REF!</definedName>
    <definedName name="TYRY" hidden="1">#REF!</definedName>
    <definedName name="tyt" hidden="1">#REF!</definedName>
    <definedName name="tyu" localSheetId="4" hidden="1">{"'용역비'!$A$4:$C$8"}</definedName>
    <definedName name="tyu" hidden="1">{"'용역비'!$A$4:$C$8"}</definedName>
    <definedName name="U_PRICE">#N/A</definedName>
    <definedName name="U00">#REF!</definedName>
    <definedName name="U19042704">#REF!</definedName>
    <definedName name="uh">#REF!</definedName>
    <definedName name="UI" hidden="1">#REF!</definedName>
    <definedName name="ulo" localSheetId="4" hidden="1">{"'용역비'!$A$4:$C$8"}</definedName>
    <definedName name="ulo" hidden="1">{"'용역비'!$A$4:$C$8"}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#N/A</definedName>
    <definedName name="up" localSheetId="4" hidden="1">{#N/A,#N/A,FALSE,"지침";#N/A,#N/A,FALSE,"환경분석";#N/A,#N/A,FALSE,"Sheet16"}</definedName>
    <definedName name="up" hidden="1">{#N/A,#N/A,FALSE,"지침";#N/A,#N/A,FALSE,"환경분석";#N/A,#N/A,FALSE,"Sheet16"}</definedName>
    <definedName name="uu" localSheetId="4" hidden="1">{"'용역비'!$A$4:$C$8"}</definedName>
    <definedName name="uu" hidden="1">{"'용역비'!$A$4:$C$8"}</definedName>
    <definedName name="uyteyj" hidden="1">#N/A</definedName>
    <definedName name="VAFP">#REF!</definedName>
    <definedName name="VBV">#REF!</definedName>
    <definedName name="VCR">#REF!</definedName>
    <definedName name="VDSVP">#REF!</definedName>
    <definedName name="VHAF">#REF!</definedName>
    <definedName name="VHFG" hidden="1">#REF!</definedName>
    <definedName name="VHMF">#REF!</definedName>
    <definedName name="VMAX">#N/A</definedName>
    <definedName name="VMF">#REF!</definedName>
    <definedName name="VMOTOR">#REF!</definedName>
    <definedName name="VPUMP">#REF!</definedName>
    <definedName name="VS">#REF!</definedName>
    <definedName name="VSV">#REF!</definedName>
    <definedName name="VVAFP">#REF!</definedName>
    <definedName name="VVMF">#REF!</definedName>
    <definedName name="vvv">#N/A</definedName>
    <definedName name="VWEI">#REF!</definedName>
    <definedName name="w_m">#REF!</definedName>
    <definedName name="w_m1">#REF!</definedName>
    <definedName name="w_m2">#REF!</definedName>
    <definedName name="w_m22">#REF!</definedName>
    <definedName name="WA">#REF!</definedName>
    <definedName name="WB">#REF!</definedName>
    <definedName name="WC">#REF!</definedName>
    <definedName name="WD">#REF!</definedName>
    <definedName name="WD_P">#REF!</definedName>
    <definedName name="WD_W">#REF!</definedName>
    <definedName name="WE" hidden="1">#REF!</definedName>
    <definedName name="WEE" localSheetId="4" hidden="1">{"'Surplus Cap'!$A$4:$AB$80"}</definedName>
    <definedName name="WEE" hidden="1">{"'Surplus Cap'!$A$4:$AB$80"}</definedName>
    <definedName name="WEI">#REF!</definedName>
    <definedName name="weq" localSheetId="4" hidden="1">{#N/A,#N/A,FALSE,"제목"}</definedName>
    <definedName name="weq" hidden="1">{#N/A,#N/A,FALSE,"제목"}</definedName>
    <definedName name="WH">#REF!</definedName>
    <definedName name="wjstjr" localSheetId="4" hidden="1">{#N/A,#N/A,FALSE,"현장 NCR 분석";#N/A,#N/A,FALSE,"현장품질감사";#N/A,#N/A,FALSE,"현장품질감사"}</definedName>
    <definedName name="wjstjr" hidden="1">{#N/A,#N/A,FALSE,"현장 NCR 분석";#N/A,#N/A,FALSE,"현장품질감사";#N/A,#N/A,FALSE,"현장품질감사"}</definedName>
    <definedName name="wn" localSheetId="4" hidden="1">{#N/A,#N/A,FALSE,"이태원철근"}</definedName>
    <definedName name="wn" hidden="1">{#N/A,#N/A,FALSE,"이태원철근"}</definedName>
    <definedName name="WNDDKD">#N/A</definedName>
    <definedName name="wrn.111." localSheetId="4" hidden="1">{#N/A,#N/A,FALSE,"제목"}</definedName>
    <definedName name="wrn.111." hidden="1">{#N/A,#N/A,FALSE,"제목"}</definedName>
    <definedName name="wrn.aa." localSheetId="4" hidden="1">{#N/A,#N/A,FALSE,"UNIT";#N/A,#N/A,FALSE,"UNIT";#N/A,#N/A,FALSE,"계정"}</definedName>
    <definedName name="wrn.aa." hidden="1">{#N/A,#N/A,FALSE,"UNIT";#N/A,#N/A,FALSE,"UNIT";#N/A,#N/A,FALSE,"계정"}</definedName>
    <definedName name="wrn.BM.1" localSheetId="4" hidden="1">{#N/A,#N/A,FALSE,"CCTV"}</definedName>
    <definedName name="wrn.BM.1" hidden="1">{#N/A,#N/A,FALSE,"CCTV"}</definedName>
    <definedName name="wrn.FIII._.HOOK._.UP._.견적서." localSheetId="4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각종보고서._.전체인쇄._.기본형." localSheetId="4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localSheetId="4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4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4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localSheetId="4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경비인쇄." localSheetId="4" hidden="1">{#N/A,#N/A,FALSE,"경비"}</definedName>
    <definedName name="wrn.경비인쇄." hidden="1">{#N/A,#N/A,FALSE,"경비"}</definedName>
    <definedName name="wrn.고희석." localSheetId="4" hidden="1">{#N/A,#N/A,FALSE,"교리2"}</definedName>
    <definedName name="wrn.고희석." hidden="1">{#N/A,#N/A,FALSE,"교리2"}</definedName>
    <definedName name="wrn.공사설계서." localSheetId="4" hidden="1">{#N/A,#N/A,TRUE,"설계수량";#N/A,#N/A,TRUE,"예정공정표60";#N/A,#N/A,TRUE,"공사설명서";#N/A,#N/A,TRUE,"수량총괄";#N/A,#N/A,TRUE,"공사비예산서";#N/A,#N/A,TRUE,"공사계획서";#N/A,#N/A,TRUE,"품셈총괄";#N/A,#N/A,TRUE,"설계서표지"}</definedName>
    <definedName name="wrn.공사설계서." hidden="1">{#N/A,#N/A,TRUE,"설계수량";#N/A,#N/A,TRUE,"예정공정표60";#N/A,#N/A,TRUE,"공사설명서";#N/A,#N/A,TRUE,"수량총괄";#N/A,#N/A,TRUE,"공사비예산서";#N/A,#N/A,TRUE,"공사계획서";#N/A,#N/A,TRUE,"품셈총괄";#N/A,#N/A,TRUE,"설계서표지"}</definedName>
    <definedName name="wrn.기타인쇄." localSheetId="4" hidden="1">{#N/A,#N/A,FALSE,"기타"}</definedName>
    <definedName name="wrn.기타인쇄." hidden="1">{#N/A,#N/A,FALSE,"기타"}</definedName>
    <definedName name="wrn.노무비인쇄." localSheetId="4" hidden="1">{#N/A,#N/A,FALSE,"노무비"}</definedName>
    <definedName name="wrn.노무비인쇄." hidden="1">{#N/A,#N/A,FALSE,"노무비"}</definedName>
    <definedName name="wrn.산출근거목록인쇄." localSheetId="4" hidden="1">{#N/A,#N/A,FALSE,"산출근거목록"}</definedName>
    <definedName name="wrn.산출근거목록인쇄." hidden="1">{#N/A,#N/A,FALSE,"산출근거목록"}</definedName>
    <definedName name="wrn.산출근거인쇄." localSheetId="4" hidden="1">{#N/A,#N/A,FALSE,"산출근거"}</definedName>
    <definedName name="wrn.산출근거인쇄." hidden="1">{#N/A,#N/A,FALSE,"산출근거"}</definedName>
    <definedName name="wrn.산출근거인쇄._.토개공변환." localSheetId="4" hidden="1">{#N/A,#N/A,FALSE,"산출근거변환"}</definedName>
    <definedName name="wrn.산출근거인쇄._.토개공변환." hidden="1">{#N/A,#N/A,FALSE,"산출근거변환"}</definedName>
    <definedName name="wrn.설계내역서인쇄." localSheetId="4" hidden="1">{#N/A,#N/A,FALSE,"설계내역서"}</definedName>
    <definedName name="wrn.설계내역서인쇄." hidden="1">{#N/A,#N/A,FALSE,"설계내역서"}</definedName>
    <definedName name="wrn.손익._.보고." localSheetId="4" hidden="1">{#N/A,#N/A,TRUE,"손익보고"}</definedName>
    <definedName name="wrn.손익._.보고." hidden="1">{#N/A,#N/A,TRUE,"손익보고"}</definedName>
    <definedName name="wrn.원가계산서인쇄." localSheetId="4" hidden="1">{#N/A,#N/A,FALSE,"원가계산서"}</definedName>
    <definedName name="wrn.원가계산서인쇄." hidden="1">{#N/A,#N/A,FALSE,"원가계산서"}</definedName>
    <definedName name="wrn.일위대가목록인쇄." localSheetId="4" hidden="1">{#N/A,#N/A,FALSE,"일위대가목록"}</definedName>
    <definedName name="wrn.일위대가목록인쇄." hidden="1">{#N/A,#N/A,FALSE,"일위대가목록"}</definedName>
    <definedName name="wrn.일위대가인쇄." localSheetId="4" hidden="1">{#N/A,#N/A,FALSE,"일위대가"}</definedName>
    <definedName name="wrn.일위대가인쇄." hidden="1">{#N/A,#N/A,FALSE,"일위대가"}</definedName>
    <definedName name="wrn.일위대가인쇄._.수자원변환." localSheetId="4" hidden="1">{#N/A,#N/A,FALSE,"일위대가변환"}</definedName>
    <definedName name="wrn.일위대가인쇄._.수자원변환." hidden="1">{#N/A,#N/A,FALSE,"일위대가변환"}</definedName>
    <definedName name="wrn.자동화연구소._.자료." localSheetId="4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재료비인쇄." localSheetId="4" hidden="1">{#N/A,#N/A,FALSE,"재료비"}</definedName>
    <definedName name="wrn.재료비인쇄." hidden="1">{#N/A,#N/A,FALSE,"재료비"}</definedName>
    <definedName name="wrn.주가동율.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준공조서." localSheetId="4" hidden="1">{#N/A,#N/A,FALSE,"정산총괄 ";#N/A,#N/A,FALSE,"정산설명개착"}</definedName>
    <definedName name="wrn.준공조서." hidden="1">{#N/A,#N/A,FALSE,"정산총괄 ";#N/A,#N/A,FALSE,"정산설명개착"}</definedName>
    <definedName name="wrn.중기목록인쇄." localSheetId="4" hidden="1">{#N/A,#N/A,FALSE,"중기목록"}</definedName>
    <definedName name="wrn.중기목록인쇄." hidden="1">{#N/A,#N/A,FALSE,"중기목록"}</definedName>
    <definedName name="wrn.중기산출기초인쇄." localSheetId="4" hidden="1">{#N/A,#N/A,FALSE,"중기산출기초"}</definedName>
    <definedName name="wrn.중기산출기초인쇄." hidden="1">{#N/A,#N/A,FALSE,"중기산출기초"}</definedName>
    <definedName name="wrn.중기인쇄." localSheetId="4" hidden="1">{#N/A,#N/A,FALSE,"중기"}</definedName>
    <definedName name="wrn.중기인쇄." hidden="1">{#N/A,#N/A,FALSE,"중기"}</definedName>
    <definedName name="wrn.중기인쇄._.일반형변환." localSheetId="4" hidden="1">{#N/A,#N/A,FALSE,"중기변환"}</definedName>
    <definedName name="wrn.중기인쇄._.일반형변환." hidden="1">{#N/A,#N/A,FALSE,"중기변환"}</definedName>
    <definedName name="wrty" localSheetId="4" hidden="1">{"'용역비'!$A$4:$C$8"}</definedName>
    <definedName name="wrty" hidden="1">{"'용역비'!$A$4:$C$8"}</definedName>
    <definedName name="wrtyrtyrt" localSheetId="4" hidden="1">{"'용역비'!$A$4:$C$8"}</definedName>
    <definedName name="wrtyrtyrt" hidden="1">{"'용역비'!$A$4:$C$8"}</definedName>
    <definedName name="wrtywrtywr" localSheetId="4" hidden="1">{"'용역비'!$A$4:$C$8"}</definedName>
    <definedName name="wrtywrtywr" hidden="1">{"'용역비'!$A$4:$C$8"}</definedName>
    <definedName name="WSO">#REF!</definedName>
    <definedName name="wuy" localSheetId="4" hidden="1">{"'용역비'!$A$4:$C$8"}</definedName>
    <definedName name="wuy" hidden="1">{"'용역비'!$A$4:$C$8"}</definedName>
    <definedName name="wwwwwwwwwwwwwww" localSheetId="4" hidden="1">{#N/A,#N/A,TRUE,"960318-1";#N/A,#N/A,TRUE,"960318-2";#N/A,#N/A,TRUE,"960318-3"}</definedName>
    <definedName name="wwwwwwwwwwwwwww" hidden="1">{#N/A,#N/A,TRUE,"960318-1";#N/A,#N/A,TRUE,"960318-2";#N/A,#N/A,TRUE,"960318-3"}</definedName>
    <definedName name="XCVBGSDFGSER" hidden="1">#REF!</definedName>
    <definedName name="xcvc" hidden="1">#N/A</definedName>
    <definedName name="Y" hidden="1">#REF!</definedName>
    <definedName name="Y.S.KIM">#REF!,#REF!,#REF!,#REF!,#REF!,#REF!,#REF!,#REF!,#REF!,#REF!,#REF!,#REF!,#REF!,#REF!,#REF!,#REF!,#REF!,#REF!,#REF!</definedName>
    <definedName name="Y2K" hidden="1">#REF!</definedName>
    <definedName name="YBG견적서통" localSheetId="4" hidden="1">{#N/A,#N/A,TRUE,"손익보고"}</definedName>
    <definedName name="YBG견적서통" hidden="1">{#N/A,#N/A,TRUE,"손익보고"}</definedName>
    <definedName name="YE">#N/A</definedName>
    <definedName name="YEKA">#N/A</definedName>
    <definedName name="YFU" localSheetId="4" hidden="1">{"'용역비'!$A$4:$C$8"}</definedName>
    <definedName name="YFU" hidden="1">{"'용역비'!$A$4:$C$8"}</definedName>
    <definedName name="YKC" localSheetId="4" hidden="1">{#N/A,#N/A,FALSE,"제목"}</definedName>
    <definedName name="YKC" hidden="1">{#N/A,#N/A,FALSE,"제목"}</definedName>
    <definedName name="YOO">#N/A</definedName>
    <definedName name="yoo10">#N/A</definedName>
    <definedName name="yoo2">#N/A</definedName>
    <definedName name="yoo3">#N/A</definedName>
    <definedName name="yoo4">#N/A</definedName>
    <definedName name="YOO5">#N/A</definedName>
    <definedName name="YOO6">#N/A</definedName>
    <definedName name="YOO7">#N/A</definedName>
    <definedName name="yoo8">#N/A</definedName>
    <definedName name="YOO9">#N/A</definedName>
    <definedName name="YOON">#N/A</definedName>
    <definedName name="YOON2">#N/A</definedName>
    <definedName name="YOON3">#N/A</definedName>
    <definedName name="YOON4">#N/A</definedName>
    <definedName name="yr" localSheetId="4" hidden="1">{"'표지'!$B$5"}</definedName>
    <definedName name="yr" hidden="1">{"'표지'!$B$5"}</definedName>
    <definedName name="YSB">#REF!</definedName>
    <definedName name="ytrytwyt" hidden="1">#REF!</definedName>
    <definedName name="ytytytyty" hidden="1">#REF!</definedName>
    <definedName name="yu" localSheetId="4" hidden="1">{"'용역비'!$A$4:$C$8"}</definedName>
    <definedName name="yu" hidden="1">{"'용역비'!$A$4:$C$8"}</definedName>
    <definedName name="YUK" localSheetId="4" hidden="1">{"'용역비'!$A$4:$C$8"}</definedName>
    <definedName name="YUK" hidden="1">{"'용역비'!$A$4:$C$8"}</definedName>
    <definedName name="Z_4F74ED08_7DE6_11D4_BC29_005004C1F3AD_.wvu.PrintTitles" hidden="1">#REF!</definedName>
    <definedName name="za" hidden="1">#REF!</definedName>
    <definedName name="zc" localSheetId="4" hidden="1">{#N/A,#N/A,FALSE,"현장 NCR 분석";#N/A,#N/A,FALSE,"현장품질감사";#N/A,#N/A,FALSE,"현장품질감사"}</definedName>
    <definedName name="zc" hidden="1">{#N/A,#N/A,FALSE,"현장 NCR 분석";#N/A,#N/A,FALSE,"현장품질감사";#N/A,#N/A,FALSE,"현장품질감사"}</definedName>
    <definedName name="ZP">#REF!</definedName>
    <definedName name="υ">#REF!</definedName>
    <definedName name="ㄱ1">#REF!</definedName>
    <definedName name="ㄱ2">#REF!</definedName>
    <definedName name="ㄱㄱㄱㄱ" localSheetId="4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ㄷ쇼" hidden="1">#REF!</definedName>
    <definedName name="ㄱㄷㅈ" hidden="1">#REF!</definedName>
    <definedName name="ㄱㄷㅈㅄㄷ" hidden="1">#REF!</definedName>
    <definedName name="ㄱㄷ죠" hidden="1">#REF!</definedName>
    <definedName name="ㄱ됵ㄷ" hidden="1">#REF!</definedName>
    <definedName name="ㄱ둊" hidden="1">#REF!</definedName>
    <definedName name="ㄱㅎㄳ" hidden="1">#REF!</definedName>
    <definedName name="ㄱㅎㄷㄱㅎㄱㄷ" hidden="1">#REF!</definedName>
    <definedName name="가">#REF!</definedName>
    <definedName name="가.건축공사">#N/A</definedName>
    <definedName name="가.공원시설물공">#N/A</definedName>
    <definedName name="가구사" localSheetId="4" hidden="1">{#N/A,#N/A,FALSE,"현장 NCR 분석";#N/A,#N/A,FALSE,"현장품질감사";#N/A,#N/A,FALSE,"현장품질감사"}</definedName>
    <definedName name="가구사" hidden="1">{#N/A,#N/A,FALSE,"현장 NCR 분석";#N/A,#N/A,FALSE,"현장품질감사";#N/A,#N/A,FALSE,"현장품질감사"}</definedName>
    <definedName name="가로등부표2">#REF!,#REF!</definedName>
    <definedName name="가물" localSheetId="4" hidden="1">{#N/A,#N/A,FALSE,"이태원철근"}</definedName>
    <definedName name="가물" hidden="1">{#N/A,#N/A,FALSE,"이태원철근"}</definedName>
    <definedName name="가설사무실">#REF!</definedName>
    <definedName name="가속" localSheetId="4" hidden="1">{#N/A,#N/A,FALSE,"현장 NCR 분석";#N/A,#N/A,FALSE,"현장품질감사";#N/A,#N/A,FALSE,"현장품질감사"}</definedName>
    <definedName name="가속" hidden="1">{#N/A,#N/A,FALSE,"현장 NCR 분석";#N/A,#N/A,FALSE,"현장품질감사";#N/A,#N/A,FALSE,"현장품질감사"}</definedName>
    <definedName name="가스">#REF!</definedName>
    <definedName name="가시설공사">#REF!</definedName>
    <definedName name="가식장">#REF!</definedName>
    <definedName name="가실행" localSheetId="4" hidden="1">{#N/A,#N/A,FALSE,"지침";#N/A,#N/A,FALSE,"환경분석";#N/A,#N/A,FALSE,"Sheet16"}</definedName>
    <definedName name="가실행" hidden="1">{#N/A,#N/A,FALSE,"지침";#N/A,#N/A,FALSE,"환경분석";#N/A,#N/A,FALSE,"Sheet16"}</definedName>
    <definedName name="각델타">#REF!</definedName>
    <definedName name="각베타">#REF!</definedName>
    <definedName name="각아이">#REF!</definedName>
    <definedName name="간접2">#REF!</definedName>
    <definedName name="간접노무비">#REF!</definedName>
    <definedName name="간접노무비요율">#REF!</definedName>
    <definedName name="간접노무비표">#REF!</definedName>
    <definedName name="갈빌1호">#REF!</definedName>
    <definedName name="갈빌2호">#REF!</definedName>
    <definedName name="갈빌3호">#REF!</definedName>
    <definedName name="감" hidden="1">#REF!</definedName>
    <definedName name="감마new" localSheetId="4" hidden="1">{#N/A,#N/A,FALSE,"CCTV"}</definedName>
    <definedName name="감마new" hidden="1">{#N/A,#N/A,FALSE,"CCTV"}</definedName>
    <definedName name="감속턱수량">#REF!</definedName>
    <definedName name="갑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갑지" hidden="1">#REF!</definedName>
    <definedName name="갑지_1">#N/A</definedName>
    <definedName name="갑지_12">#REF!</definedName>
    <definedName name="갑지_13">#REF!</definedName>
    <definedName name="갑지_15">#REF!</definedName>
    <definedName name="갑지_20">#REF!</definedName>
    <definedName name="갑지_22">#REF!</definedName>
    <definedName name="갑지_23">#REF!</definedName>
    <definedName name="갑지_24">#REF!</definedName>
    <definedName name="갑지_25">#REF!</definedName>
    <definedName name="갑지_5">#REF!</definedName>
    <definedName name="갑지_7">#REF!</definedName>
    <definedName name="갑지2" hidden="1">#REF!</definedName>
    <definedName name="갑지3" hidden="1">#REF!</definedName>
    <definedName name="강" localSheetId="4" hidden="1">{#N/A,#N/A,TRUE,"960318-1";#N/A,#N/A,TRUE,"960318-2";#N/A,#N/A,TRUE,"960318-3"}</definedName>
    <definedName name="강" hidden="1">{#N/A,#N/A,TRUE,"960318-1";#N/A,#N/A,TRUE,"960318-2";#N/A,#N/A,TRUE,"960318-3"}</definedName>
    <definedName name="강관말뚝공">#REF!</definedName>
    <definedName name="강교스치로폴_채움">#REF!</definedName>
    <definedName name="강아지" hidden="1">#REF!</definedName>
    <definedName name="강재거푸집">#REF!</definedName>
    <definedName name="개거" hidden="1">#REF!</definedName>
    <definedName name="개발양수도3">#REF!</definedName>
    <definedName name="개요1" hidden="1">#REF!</definedName>
    <definedName name="갸" localSheetId="4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" localSheetId="4" hidden="1">{#N/A,#N/A,FALSE,"현장 NCR 분석";#N/A,#N/A,FALSE,"현장품질감사";#N/A,#N/A,FALSE,"현장품질감사"}</definedName>
    <definedName name="거" hidden="1">{#N/A,#N/A,FALSE,"현장 NCR 분석";#N/A,#N/A,FALSE,"현장품질감사";#N/A,#N/A,FALSE,"현장품질감사"}</definedName>
    <definedName name="거부" localSheetId="4" hidden="1">{#N/A,#N/A,FALSE,"현장 NCR 분석";#N/A,#N/A,FALSE,"현장품질감사";#N/A,#N/A,FALSE,"현장품질감사"}</definedName>
    <definedName name="거부" hidden="1">{#N/A,#N/A,FALSE,"현장 NCR 분석";#N/A,#N/A,FALSE,"현장품질감사";#N/A,#N/A,FALSE,"현장품질감사"}</definedName>
    <definedName name="거실" localSheetId="4" hidden="1">{#N/A,#N/A,FALSE,"현장 NCR 분석";#N/A,#N/A,FALSE,"현장품질감사";#N/A,#N/A,FALSE,"현장품질감사"}</definedName>
    <definedName name="거실" hidden="1">{#N/A,#N/A,FALSE,"현장 NCR 분석";#N/A,#N/A,FALSE,"현장품질감사";#N/A,#N/A,FALSE,"현장품질감사"}</definedName>
    <definedName name="거친마감">#REF!</definedName>
    <definedName name="건물별분석">#REF!</definedName>
    <definedName name="건설" localSheetId="4" hidden="1">{"'표지'!$B$5"}</definedName>
    <definedName name="건설" hidden="1">{"'표지'!$B$5"}</definedName>
    <definedName name="건축1">#REF!</definedName>
    <definedName name="건축가실" hidden="1">#REF!</definedName>
    <definedName name="건축목공">#REF!</definedName>
    <definedName name="건축목공_1">#REF!</definedName>
    <definedName name="건축목공_24">#REF!</definedName>
    <definedName name="건축목공_25">#REF!</definedName>
    <definedName name="건축원가" hidden="1">#REF!</definedName>
    <definedName name="건축팀별" localSheetId="4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격벽상부">#REF!</definedName>
    <definedName name="격벽하부">#REF!</definedName>
    <definedName name="견적금액" localSheetId="4">{"Book1","TOTAL.xls"}</definedName>
    <definedName name="견적금액">{"Book1","TOTAL.xls"}</definedName>
    <definedName name="견적기준">#REF!</definedName>
    <definedName name="견적내역1" localSheetId="4" hidden="1">{#N/A,#N/A,FALSE,"CCTV"}</definedName>
    <definedName name="견적내역1" hidden="1">{#N/A,#N/A,FALSE,"CCTV"}</definedName>
    <definedName name="견적대비표" hidden="1">#REF!</definedName>
    <definedName name="견적비교" localSheetId="4" hidden="1">{#N/A,#N/A,FALSE,"포장1";#N/A,#N/A,FALSE,"포장1"}</definedName>
    <definedName name="견적비교" hidden="1">{#N/A,#N/A,FALSE,"포장1";#N/A,#N/A,FALSE,"포장1"}</definedName>
    <definedName name="견적서" localSheetId="4" hidden="1">{#N/A,#N/A,FALSE,"구조2"}</definedName>
    <definedName name="견적서" hidden="1">{#N/A,#N/A,FALSE,"구조2"}</definedName>
    <definedName name="견적서44" localSheetId="4" hidden="1">{#N/A,#N/A,FALSE,"제목"}</definedName>
    <definedName name="견적서44" hidden="1">{#N/A,#N/A,FALSE,"제목"}</definedName>
    <definedName name="견적조건2" hidden="1">#REF!</definedName>
    <definedName name="견적조건3" localSheetId="4">{"Book1","도곡1실행.xls"}</definedName>
    <definedName name="견적조건3">{"Book1","도곡1실행.xls"}</definedName>
    <definedName name="견적품의">#REF!</definedName>
    <definedName name="결의" localSheetId="4" hidden="1">{#N/A,#N/A,FALSE,"결의서";#N/A,#N/A,FALSE,"내역서";#N/A,#N/A,FALSE,"도급예상";#N/A,#N/A,FALSE,"시방서"}</definedName>
    <definedName name="결의" hidden="1">{#N/A,#N/A,FALSE,"결의서";#N/A,#N/A,FALSE,"내역서";#N/A,#N/A,FALSE,"도급예상";#N/A,#N/A,FALSE,"시방서"}</definedName>
    <definedName name="경량2">#REF!</definedName>
    <definedName name="경비">#REF!</definedName>
    <definedName name="경비_12">#REF!</definedName>
    <definedName name="경비1" hidden="1">#REF!</definedName>
    <definedName name="경비2">#REF!</definedName>
    <definedName name="경비기준">#REF!</definedName>
    <definedName name="경비율">#REF!</definedName>
    <definedName name="경비참고DATA">#REF!</definedName>
    <definedName name="경비합">#REF!</definedName>
    <definedName name="경상비2" localSheetId="4" hidden="1">{#N/A,#N/A,FALSE,"기안지";#N/A,#N/A,FALSE,"통신지"}</definedName>
    <definedName name="경상비2" hidden="1">{#N/A,#N/A,FALSE,"기안지";#N/A,#N/A,FALSE,"통신지"}</definedName>
    <definedName name="경쟁사2" hidden="1">#REF!</definedName>
    <definedName name="계">#REF!</definedName>
    <definedName name="계산서" hidden="1">#REF!</definedName>
    <definedName name="계산지간">#REF!</definedName>
    <definedName name="계수" localSheetId="4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_번호">#REF!</definedName>
    <definedName name="계장공사">#REF!</definedName>
    <definedName name="계획표">#REF!</definedName>
    <definedName name="고강직경D13">#REF!</definedName>
    <definedName name="고강직경D16_25">#REF!</definedName>
    <definedName name="고강직경D29_35">#REF!</definedName>
    <definedName name="고생월별">#REF!</definedName>
    <definedName name="고압블럭수량">#REF!</definedName>
    <definedName name="고용보험" hidden="1">#REF!</definedName>
    <definedName name="고재">#REF!</definedName>
    <definedName name="고케">#REF!</definedName>
    <definedName name="골재1">#REF!</definedName>
    <definedName name="골조">#REF!</definedName>
    <definedName name="골조단가" hidden="1">#REF!</definedName>
    <definedName name="공">#REF!</definedName>
    <definedName name="공____종">#REF!</definedName>
    <definedName name="공공시설">#REF!</definedName>
    <definedName name="공구손료">#REF!</definedName>
    <definedName name="공급가액">#REF!</definedName>
    <definedName name="공기1" hidden="1">#REF!</definedName>
    <definedName name="공내역서2">#REF!</definedName>
    <definedName name="공동구공">#REF!</definedName>
    <definedName name="공동구공집계표">#REF!</definedName>
    <definedName name="공부" localSheetId="4" hidden="1">{#N/A,#N/A,TRUE,"960318-1";#N/A,#N/A,TRUE,"960318-2";#N/A,#N/A,TRUE,"960318-3"}</definedName>
    <definedName name="공부" hidden="1">{#N/A,#N/A,TRUE,"960318-1";#N/A,#N/A,TRUE,"960318-2";#N/A,#N/A,TRUE,"960318-3"}</definedName>
    <definedName name="공사" localSheetId="4" hidden="1">{#N/A,#N/A,TRUE,"960318-1";#N/A,#N/A,TRUE,"960318-2";#N/A,#N/A,TRUE,"960318-3"}</definedName>
    <definedName name="공사" hidden="1">{#N/A,#N/A,TRUE,"960318-1";#N/A,#N/A,TRUE,"960318-2";#N/A,#N/A,TRUE,"960318-3"}</definedName>
    <definedName name="공사개요">#REF!</definedName>
    <definedName name="공사금송장분개" localSheetId="4" hidden="1">{#N/A,#N/A,FALSE,"지침";#N/A,#N/A,FALSE,"환경분석";#N/A,#N/A,FALSE,"Sheet16"}</definedName>
    <definedName name="공사금송장분개" hidden="1">{#N/A,#N/A,FALSE,"지침";#N/A,#N/A,FALSE,"환경분석";#N/A,#N/A,FALSE,"Sheet16"}</definedName>
    <definedName name="공사금송장추정" localSheetId="4" hidden="1">{#N/A,#N/A,FALSE,"지침";#N/A,#N/A,FALSE,"환경분석";#N/A,#N/A,FALSE,"Sheet16"}</definedName>
    <definedName name="공사금송장추정" hidden="1">{#N/A,#N/A,FALSE,"지침";#N/A,#N/A,FALSE,"환경분석";#N/A,#N/A,FALSE,"Sheet16"}</definedName>
    <definedName name="공사기간">#REF!</definedName>
    <definedName name="공사명">#REF!</definedName>
    <definedName name="공사방안" localSheetId="4" hidden="1">{#N/A,#N/A,TRUE,"960318-1";#N/A,#N/A,TRUE,"960318-2";#N/A,#N/A,TRUE,"960318-3"}</definedName>
    <definedName name="공사방안" hidden="1">{#N/A,#N/A,TRUE,"960318-1";#N/A,#N/A,TRUE,"960318-2";#N/A,#N/A,TRUE,"960318-3"}</definedName>
    <definedName name="공사분석">#REF!</definedName>
    <definedName name="공사비">#REF!</definedName>
    <definedName name="공사비집">#REF!</definedName>
    <definedName name="공사요청" localSheetId="4" hidden="1">{#N/A,#N/A,TRUE,"960318-1";#N/A,#N/A,TRUE,"960318-2";#N/A,#N/A,TRUE,"960318-3"}</definedName>
    <definedName name="공사요청" hidden="1">{#N/A,#N/A,TRUE,"960318-1";#N/A,#N/A,TRUE,"960318-2";#N/A,#N/A,TRUE,"960318-3"}</definedName>
    <definedName name="공사요청2" localSheetId="4" hidden="1">{#N/A,#N/A,FALSE,"제목"}</definedName>
    <definedName name="공사요청2" hidden="1">{#N/A,#N/A,FALSE,"제목"}</definedName>
    <definedName name="공원식재공">#N/A</definedName>
    <definedName name="공일">#REF!</definedName>
    <definedName name="공정계획" localSheetId="4" hidden="1">{#N/A,#N/A,FALSE,"이태원철근"}</definedName>
    <definedName name="공정계획" hidden="1">{#N/A,#N/A,FALSE,"이태원철근"}</definedName>
    <definedName name="공정량">#REF!</definedName>
    <definedName name="공정별" localSheetId="4" hidden="1">{"'Sheet1'!$A$1:$H$36"}</definedName>
    <definedName name="공정별" hidden="1">{"'Sheet1'!$A$1:$H$36"}</definedName>
    <definedName name="공종">#REF!</definedName>
    <definedName name="공종간지" hidden="1">#REF!</definedName>
    <definedName name="공종갯수">#REF!</definedName>
    <definedName name="공종별대비" localSheetId="4" hidden="1">{#N/A,#N/A,FALSE,"기안지";#N/A,#N/A,FALSE,"통신지"}</definedName>
    <definedName name="공종별대비" hidden="1">{#N/A,#N/A,FALSE,"기안지";#N/A,#N/A,FALSE,"통신지"}</definedName>
    <definedName name="공통가설" hidden="1">#REF!</definedName>
    <definedName name="공통가설내역">#REF!</definedName>
    <definedName name="공통일위">#REF!</definedName>
    <definedName name="공현2교철근집계표">#REF!</definedName>
    <definedName name="관급">#REF!,#REF!,#REF!</definedName>
    <definedName name="관급액">#REF!</definedName>
    <definedName name="관급자재비">#REF!</definedName>
    <definedName name="관로연장거리">#REF!</definedName>
    <definedName name="관로총괄">#REF!</definedName>
    <definedName name="관리" localSheetId="4" hidden="1">{#N/A,#N/A,FALSE,"포장2"}</definedName>
    <definedName name="관리" hidden="1">{#N/A,#N/A,FALSE,"포장2"}</definedName>
    <definedName name="관리및직영" hidden="1">#REF!</definedName>
    <definedName name="관부사" localSheetId="4" hidden="1">{#N/A,#N/A,FALSE,"현장 NCR 분석";#N/A,#N/A,FALSE,"현장품질감사";#N/A,#N/A,FALSE,"현장품질감사"}</definedName>
    <definedName name="관부사" hidden="1">{#N/A,#N/A,FALSE,"현장 NCR 분석";#N/A,#N/A,FALSE,"현장품질감사";#N/A,#N/A,FALSE,"현장품질감사"}</definedName>
    <definedName name="관정지반고">#REF!</definedName>
    <definedName name="광명">#REF!</definedName>
    <definedName name="광주전남사옥">#REF!</definedName>
    <definedName name="광케">#REF!</definedName>
    <definedName name="교" localSheetId="4" hidden="1">{#N/A,#N/A,FALSE,"이태원철근"}</definedName>
    <definedName name="교" hidden="1">{#N/A,#N/A,FALSE,"이태원철근"}</definedName>
    <definedName name="교대보호블럭_설치">#REF!</definedName>
    <definedName name="교동토목" localSheetId="4" hidden="1">{#N/A,#N/A,FALSE,"이태원철근"}</definedName>
    <definedName name="교동토목" hidden="1">{#N/A,#N/A,FALSE,"이태원철근"}</definedName>
    <definedName name="교량배수시설공">#REF!</definedName>
    <definedName name="교육">#REF!</definedName>
    <definedName name="교장">#REF!</definedName>
    <definedName name="교장_사">#REF!</definedName>
    <definedName name="교장단면높이">#REF!</definedName>
    <definedName name="교통">#REF!</definedName>
    <definedName name="교폭">#REF!</definedName>
    <definedName name="교폭_사">#REF!</definedName>
    <definedName name="구______분">#N/A</definedName>
    <definedName name="구내임시변경" localSheetId="4" hidden="1">{#N/A,#N/A,FALSE,"현장 NCR 분석";#N/A,#N/A,FALSE,"현장품질감사";#N/A,#N/A,FALSE,"현장품질감사"}</definedName>
    <definedName name="구내임시변경" hidden="1">{#N/A,#N/A,FALSE,"현장 NCR 분석";#N/A,#N/A,FALSE,"현장품질감사";#N/A,#N/A,FALSE,"현장품질감사"}</definedName>
    <definedName name="구랑2교">#REF!</definedName>
    <definedName name="구랑교">#REF!</definedName>
    <definedName name="구리" localSheetId="4" hidden="1">{#N/A,#N/A,FALSE,"현장 NCR 분석";#N/A,#N/A,FALSE,"현장품질감사";#N/A,#N/A,FALSE,"현장품질감사"}</definedName>
    <definedName name="구리" hidden="1">{#N/A,#N/A,FALSE,"현장 NCR 분석";#N/A,#N/A,FALSE,"현장품질감사";#N/A,#N/A,FALSE,"현장품질감사"}</definedName>
    <definedName name="구부" localSheetId="4" hidden="1">{#N/A,#N/A,FALSE,"현장 NCR 분석";#N/A,#N/A,FALSE,"현장품질감사";#N/A,#N/A,FALSE,"현장품질감사"}</definedName>
    <definedName name="구부" hidden="1">{#N/A,#N/A,FALSE,"현장 NCR 분석";#N/A,#N/A,FALSE,"현장품질감사";#N/A,#N/A,FALSE,"현장품질감사"}</definedName>
    <definedName name="구분">#REF!</definedName>
    <definedName name="구속" localSheetId="4" hidden="1">{#N/A,#N/A,FALSE,"현장 NCR 분석";#N/A,#N/A,FALSE,"현장품질감사";#N/A,#N/A,FALSE,"현장품질감사"}</definedName>
    <definedName name="구속" hidden="1">{#N/A,#N/A,FALSE,"현장 NCR 분석";#N/A,#N/A,FALSE,"현장품질감사";#N/A,#N/A,FALSE,"현장품질감사"}</definedName>
    <definedName name="국내SAP2" localSheetId="4" hidden="1">{"'표지'!$B$5"}</definedName>
    <definedName name="국내SAP2" hidden="1">{"'표지'!$B$5"}</definedName>
    <definedName name="군유1">#REF!</definedName>
    <definedName name="군유2">#REF!</definedName>
    <definedName name="군유3">#REF!</definedName>
    <definedName name="군유4">#REF!</definedName>
    <definedName name="군유5">#REF!</definedName>
    <definedName name="군유6">#REF!</definedName>
    <definedName name="군유7">#REF!</definedName>
    <definedName name="굴취보통인부">#REF!</definedName>
    <definedName name="굴취보통인부_12">#REF!</definedName>
    <definedName name="굴취조경공">#REF!</definedName>
    <definedName name="굴취조경공_12">#REF!</definedName>
    <definedName name="규_______">#N/A</definedName>
    <definedName name="근거수정" localSheetId="4">{"Book1","대전관저설변.xls"}</definedName>
    <definedName name="근거수정">{"Book1","대전관저설변.xls"}</definedName>
    <definedName name="근원경">#REF!</definedName>
    <definedName name="근원경_12">#REF!</definedName>
    <definedName name="근입깊이">#REF!</definedName>
    <definedName name="금회">#REF!</definedName>
    <definedName name="기">#N/A</definedName>
    <definedName name="기계견적">#N/A</definedName>
    <definedName name="기계하도" hidden="1">255</definedName>
    <definedName name="기구조직도" localSheetId="4" hidden="1">{#N/A,#N/A,TRUE,"1";#N/A,#N/A,TRUE,"2";#N/A,#N/A,TRUE,"3";#N/A,#N/A,TRUE,"4";#N/A,#N/A,TRUE,"5";#N/A,#N/A,TRUE,"6";#N/A,#N/A,TRUE,"7"}</definedName>
    <definedName name="기구조직도" hidden="1">{#N/A,#N/A,TRUE,"1";#N/A,#N/A,TRUE,"2";#N/A,#N/A,TRUE,"3";#N/A,#N/A,TRUE,"4";#N/A,#N/A,TRUE,"5";#N/A,#N/A,TRUE,"6";#N/A,#N/A,TRUE,"7"}</definedName>
    <definedName name="기본서류">#N/A</definedName>
    <definedName name="기본입력">#REF!</definedName>
    <definedName name="기본입력2">#REF!</definedName>
    <definedName name="기본입력참고Data">#REF!</definedName>
    <definedName name="기본입력화면">#REF!</definedName>
    <definedName name="기상">#REF!</definedName>
    <definedName name="기성1">#N/A</definedName>
    <definedName name="기성갑" hidden="1">#REF!</definedName>
    <definedName name="기성내역">#REF!</definedName>
    <definedName name="기성산출서" localSheetId="4" hidden="1">{#N/A,#N/A,TRUE,"960318-1";#N/A,#N/A,TRUE,"960318-2";#N/A,#N/A,TRUE,"960318-3"}</definedName>
    <definedName name="기성산출서" hidden="1">{#N/A,#N/A,TRUE,"960318-1";#N/A,#N/A,TRUE,"960318-2";#N/A,#N/A,TRUE,"960318-3"}</definedName>
    <definedName name="기술1" localSheetId="4" hidden="1">{#N/A,#N/A,TRUE,"960318-1";#N/A,#N/A,TRUE,"960318-2";#N/A,#N/A,TRUE,"960318-3"}</definedName>
    <definedName name="기술1" hidden="1">{#N/A,#N/A,TRUE,"960318-1";#N/A,#N/A,TRUE,"960318-2";#N/A,#N/A,TRUE,"960318-3"}</definedName>
    <definedName name="기술3" localSheetId="4" hidden="1">{#N/A,#N/A,TRUE,"손익보고"}</definedName>
    <definedName name="기술3" hidden="1">{#N/A,#N/A,TRUE,"손익보고"}</definedName>
    <definedName name="기와공">#REF!</definedName>
    <definedName name="기조일위대가">#N/A</definedName>
    <definedName name="기준">#REF!</definedName>
    <definedName name="기초길이">#REF!</definedName>
    <definedName name="기초높이">#REF!</definedName>
    <definedName name="기초데이타">#REF!</definedName>
    <definedName name="기초두께">#REF!</definedName>
    <definedName name="기초액">#REF!</definedName>
    <definedName name="기초일위">#REF!</definedName>
    <definedName name="기초일위대가">#N/A</definedName>
    <definedName name="기초일위대가1">#REF!</definedName>
    <definedName name="기초폭">#REF!+#REF!</definedName>
    <definedName name="기타경비">#REF!</definedName>
    <definedName name="기타경비요율">#REF!</definedName>
    <definedName name="기타경비표">#REF!</definedName>
    <definedName name="기타자재">#N/A</definedName>
    <definedName name="길음창화" hidden="1">#REF!</definedName>
    <definedName name="김봉만" localSheetId="4" hidden="1">{#N/A,#N/A,FALSE,"교리2"}</definedName>
    <definedName name="김봉만" hidden="1">{#N/A,#N/A,FALSE,"교리2"}</definedName>
    <definedName name="김성혁">#REF!,#REF!,#REF!,#REF!,#REF!,#REF!,#REF!,#REF!,#REF!,#REF!,#REF!,#REF!,#REF!,#REF!</definedName>
    <definedName name="김양석">#REF!,#REF!,#REF!,#REF!,#REF!,#REF!,#REF!,#REF!,#REF!,#REF!,#REF!,#REF!,#REF!,#REF!,#REF!,#REF!,#REF!,#REF!,#REF!</definedName>
    <definedName name="김영갑" localSheetId="4" hidden="1">{#N/A,#N/A,FALSE,"제목"}</definedName>
    <definedName name="김영갑" hidden="1">{#N/A,#N/A,FALSE,"제목"}</definedName>
    <definedName name="김영복" localSheetId="4" hidden="1">{"'Sheet1'!$A$1:$H$36"}</definedName>
    <definedName name="김영복" hidden="1">{"'Sheet1'!$A$1:$H$36"}</definedName>
    <definedName name="김종신" localSheetId="4" hidden="1">{"'Sheet1'!$A$1:$H$36"}</definedName>
    <definedName name="김종신" hidden="1">{"'Sheet1'!$A$1:$H$36"}</definedName>
    <definedName name="김중규" localSheetId="4" hidden="1">{#N/A,#N/A,FALSE,"이태원철근"}</definedName>
    <definedName name="김중규" hidden="1">{#N/A,#N/A,FALSE,"이태원철근"}</definedName>
    <definedName name="김희란" localSheetId="4" hidden="1">{"'Sheet1'!$A$1:$H$36"}</definedName>
    <definedName name="김희란" hidden="1">{"'Sheet1'!$A$1:$H$36"}</definedName>
    <definedName name="꽥" localSheetId="4" hidden="1">{#N/A,#N/A,TRUE,"960318-1";#N/A,#N/A,TRUE,"960318-2";#N/A,#N/A,TRUE,"960318-3"}</definedName>
    <definedName name="꽥" hidden="1">{#N/A,#N/A,TRUE,"960318-1";#N/A,#N/A,TRUE,"960318-2";#N/A,#N/A,TRUE,"960318-3"}</definedName>
    <definedName name="끝에삽입" localSheetId="4" hidden="1">{#N/A,#N/A,FALSE,"이태원철근"}</definedName>
    <definedName name="끝에삽입" hidden="1">{#N/A,#N/A,FALSE,"이태원철근"}</definedName>
    <definedName name="ㄳㄳㄳㄳ" localSheetId="4">{"'용역비'!$A$4:$C$8"}</definedName>
    <definedName name="ㄳㄳㄳㄳ">{"'용역비'!$A$4:$C$8"}</definedName>
    <definedName name="ㄴ1">#REF!</definedName>
    <definedName name="ㄴ2">#REF!</definedName>
    <definedName name="ㄴㄴㄴㄴㄴ" hidden="1">#REF!</definedName>
    <definedName name="ㄴㄹ" hidden="1">#REF!</definedName>
    <definedName name="ㄴㄻㅇ" localSheetId="4" hidden="1">{"'표지'!$B$5"}</definedName>
    <definedName name="ㄴㄻㅇ" hidden="1">{"'표지'!$B$5"}</definedName>
    <definedName name="ㄴㅀ" hidden="1">#REF!</definedName>
    <definedName name="ㄴㅁ" hidden="1">#REF!</definedName>
    <definedName name="ㄴㅁㄴㅇㄹ" hidden="1">#REF!</definedName>
    <definedName name="ㄴㅁㅇㄻㄴㅇㄹ" hidden="1">#REF!</definedName>
    <definedName name="ㄴㅁㅇㅁㄴ" hidden="1">#REF!</definedName>
    <definedName name="ㄴㅂㅈ">#N/A</definedName>
    <definedName name="ㄴㅅㄱㅓ" hidden="1">#N/A</definedName>
    <definedName name="ㄴㅇㄹㄴㄳㅂ3ㅅㄱㅂ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ㄳㅂ3ㅅ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ㅇㄹㄴㅇ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ㅇㄹㄴ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ㄷ" hidden="1">#REF!</definedName>
    <definedName name="ㄴㅇㄹㄻ" localSheetId="4" hidden="1">{"'표지'!$B$5"}</definedName>
    <definedName name="ㄴㅇㄹㄻ" hidden="1">{"'표지'!$B$5"}</definedName>
    <definedName name="ㄴㅇㄹㅇㄹ" localSheetId="4">{"'용역비'!$A$4:$C$8"}</definedName>
    <definedName name="ㄴㅇㄹㅇㄹ">{"'용역비'!$A$4:$C$8"}</definedName>
    <definedName name="ㄴㅇㄻ" hidden="1">#REF!</definedName>
    <definedName name="ㄴㅇㄼㅈㄷㄹ" hidden="1">#REF!</definedName>
    <definedName name="ㄴㅇㅁㄹㄴㅁㅇㄹ" localSheetId="4">{"'용역비'!$A$4:$C$8"}</definedName>
    <definedName name="ㄴㅇㅁㄹㄴㅁㅇㄹ">{"'용역비'!$A$4:$C$8"}</definedName>
    <definedName name="ㄴㅇㅍㅁㄴㅇㄹ" hidden="1">#REF!</definedName>
    <definedName name="ㄴㅇㅎㄴㅇ" hidden="1">#REF!</definedName>
    <definedName name="나.주거공단완충녹지시설물공">#N/A</definedName>
    <definedName name="나사식_이음">#REF!</definedName>
    <definedName name="나이" localSheetId="4" hidden="1">{#N/A,#N/A,FALSE,"현장 NCR 분석";#N/A,#N/A,FALSE,"현장품질감사";#N/A,#N/A,FALSE,"현장품질감사"}</definedName>
    <definedName name="나이" hidden="1">{#N/A,#N/A,FALSE,"현장 NCR 분석";#N/A,#N/A,FALSE,"현장품질감사";#N/A,#N/A,FALSE,"현장품질감사"}</definedName>
    <definedName name="낙하물방지.">#REF!</definedName>
    <definedName name="난반공사" localSheetId="4" hidden="1">{#N/A,#N/A,FALSE,"현장 NCR 분석";#N/A,#N/A,FALSE,"현장품질감사";#N/A,#N/A,FALSE,"현장품질감사"}</definedName>
    <definedName name="난반공사" hidden="1">{#N/A,#N/A,FALSE,"현장 NCR 분석";#N/A,#N/A,FALSE,"현장품질감사";#N/A,#N/A,FALSE,"현장품질감사"}</definedName>
    <definedName name="남남" hidden="1">#REF!</definedName>
    <definedName name="남산1호">#REF!</definedName>
    <definedName name="남산2호">#REF!</definedName>
    <definedName name="남청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">#N/A</definedName>
    <definedName name="내선">#REF!</definedName>
    <definedName name="내역" localSheetId="4" hidden="1">{#N/A,#N/A,FALSE,"CCTV"}</definedName>
    <definedName name="내역" hidden="1">{#N/A,#N/A,FALSE,"CCTV"}</definedName>
    <definedName name="내역1">#REF!</definedName>
    <definedName name="내역서">#REF!</definedName>
    <definedName name="내역서1" localSheetId="4" hidden="1">{"'단계별시설공사비'!$A$3:$K$51"}</definedName>
    <definedName name="내역서1" hidden="1">{"'단계별시설공사비'!$A$3:$K$51"}</definedName>
    <definedName name="내역서을지">#REF!</definedName>
    <definedName name="내장공">#REF!</definedName>
    <definedName name="내전">#REF!</definedName>
    <definedName name="낵역4">#REF!</definedName>
    <definedName name="낵역4_10">#REF!</definedName>
    <definedName name="노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곡1호">#REF!</definedName>
    <definedName name="노곡2호">#REF!</definedName>
    <definedName name="노곡3호">#REF!</definedName>
    <definedName name="노곡4호">#REF!</definedName>
    <definedName name="노무">#REF!</definedName>
    <definedName name="노무비">#REF!</definedName>
    <definedName name="노무비_12">#REF!</definedName>
    <definedName name="노무비합">#REF!</definedName>
    <definedName name="노임">#REF!</definedName>
    <definedName name="노임_1">#REF!</definedName>
    <definedName name="노임_12">NA()</definedName>
    <definedName name="노임_24">#REF!</definedName>
    <definedName name="노임_25">#REF!</definedName>
    <definedName name="노임단가">#REF!</definedName>
    <definedName name="농원1호">#REF!</definedName>
    <definedName name="농원2호">#REF!</definedName>
    <definedName name="누계">#REF!</definedName>
    <definedName name="뉴" localSheetId="4" hidden="1">{"'Sheet1'!$A$1:$H$36"}</definedName>
    <definedName name="뉴" hidden="1">{"'Sheet1'!$A$1:$H$36"}</definedName>
    <definedName name="니" localSheetId="4" hidden="1">{"'표지'!$B$5"}</definedName>
    <definedName name="니" hidden="1">{"'표지'!$B$5"}</definedName>
    <definedName name="니맘" localSheetId="4" hidden="1">{"'Sheet1'!$A$1:$H$36"}</definedName>
    <definedName name="니맘" hidden="1">{"'Sheet1'!$A$1:$H$36"}</definedName>
    <definedName name="ㄶㄴㄷ" hidden="1">#REF!</definedName>
    <definedName name="ㄷ1">#REF!</definedName>
    <definedName name="ㄷ2">#REF!</definedName>
    <definedName name="ㄷㄱㄷㄱㄱ" localSheetId="4" hidden="1">{#N/A,#N/A,FALSE,"배수1"}</definedName>
    <definedName name="ㄷㄱㄷㄱㄱ" hidden="1">{#N/A,#N/A,FALSE,"배수1"}</definedName>
    <definedName name="ㄷㄳ" hidden="1">#REF!</definedName>
    <definedName name="ㄷㄷ" hidden="1">#REF!</definedName>
    <definedName name="ㄷㄷㄷㄷㄷ" localSheetId="4" hidden="1">{"'Sheet1'!$A$1:$H$36"}</definedName>
    <definedName name="ㄷㄷㄷㄷㄷ" hidden="1">{"'Sheet1'!$A$1:$H$36"}</definedName>
    <definedName name="ㄷㅅㅈㄷ" hidden="1">#REF!</definedName>
    <definedName name="ㄷ숃ㄱ" hidden="1">#REF!</definedName>
    <definedName name="다" localSheetId="4" hidden="1">{#N/A,#N/A,FALSE,"현장 NCR 분석";#N/A,#N/A,FALSE,"현장품질감사";#N/A,#N/A,FALSE,"현장품질감사"}</definedName>
    <definedName name="다" hidden="1">{#N/A,#N/A,FALSE,"현장 NCR 분석";#N/A,#N/A,FALSE,"현장품질감사";#N/A,#N/A,FALSE,"현장품질감사"}</definedName>
    <definedName name="다우웰바설치공">#REF!</definedName>
    <definedName name="다짐되메우기">#REF!</definedName>
    <definedName name="단ㄱ" localSheetId="4" hidden="1">{#N/A,#N/A,FALSE,"전력간선"}</definedName>
    <definedName name="단ㄱ" hidden="1">{#N/A,#N/A,FALSE,"전력간선"}</definedName>
    <definedName name="단가">#REF!</definedName>
    <definedName name="단가2">#N/A</definedName>
    <definedName name="단가대비" hidden="1">#REF!</definedName>
    <definedName name="단가비교표">#REF!,#REF!</definedName>
    <definedName name="단가산출">#REF!</definedName>
    <definedName name="단가산출서">#REF!</definedName>
    <definedName name="단부격벽갯수">#REF!</definedName>
    <definedName name="단부격벽상부높이">#REF!</definedName>
    <definedName name="단부격벽중간높이">#REF!</definedName>
    <definedName name="단부격벽폭">#REF!</definedName>
    <definedName name="단부격벽하부높이">#REF!</definedName>
    <definedName name="단부확대길이">#REF!</definedName>
    <definedName name="단위">#N/A</definedName>
    <definedName name="단위량">#REF!</definedName>
    <definedName name="단위세대">#REF!</definedName>
    <definedName name="당" localSheetId="4" hidden="1">{#N/A,#N/A,FALSE,"이태원철근"}</definedName>
    <definedName name="당" hidden="1">{#N/A,#N/A,FALSE,"이태원철근"}</definedName>
    <definedName name="당변1">#REF!</definedName>
    <definedName name="당변11">#REF!</definedName>
    <definedName name="당변12">#REF!</definedName>
    <definedName name="당변13">#REF!</definedName>
    <definedName name="당변2">#REF!</definedName>
    <definedName name="당변21">#REF!</definedName>
    <definedName name="당변22">#REF!</definedName>
    <definedName name="당변23">#REF!</definedName>
    <definedName name="당변24">#REF!</definedName>
    <definedName name="당변25">#REF!</definedName>
    <definedName name="당초">#REF!</definedName>
    <definedName name="당초계획" hidden="1">#REF!</definedName>
    <definedName name="대">#REF!</definedName>
    <definedName name="대각교철근집계표">#REF!</definedName>
    <definedName name="대구">#N/A</definedName>
    <definedName name="대구방범확정">#N/A</definedName>
    <definedName name="대금청구서" localSheetId="4" hidden="1">{#N/A,#N/A,TRUE,"960318-1";#N/A,#N/A,TRUE,"960318-2";#N/A,#N/A,TRUE,"960318-3"}</definedName>
    <definedName name="대금청구서" hidden="1">{#N/A,#N/A,TRUE,"960318-1";#N/A,#N/A,TRUE,"960318-2";#N/A,#N/A,TRUE,"960318-3"}</definedName>
    <definedName name="대기질">#REF!</definedName>
    <definedName name="대기질측정">#REF!</definedName>
    <definedName name="대비1">#REF!</definedName>
    <definedName name="대비3">#REF!</definedName>
    <definedName name="대비5">#N/A</definedName>
    <definedName name="대비표">#REF!</definedName>
    <definedName name="대송교">#REF!</definedName>
    <definedName name="대수" localSheetId="4" hidden="1">{#N/A,#N/A,FALSE,"현장 NCR 분석";#N/A,#N/A,FALSE,"현장품질감사";#N/A,#N/A,FALSE,"현장품질감사"}</definedName>
    <definedName name="대수" hidden="1">{#N/A,#N/A,FALSE,"현장 NCR 분석";#N/A,#N/A,FALSE,"현장품질감사";#N/A,#N/A,FALSE,"현장품질감사"}</definedName>
    <definedName name="대안설정">#REF!</definedName>
    <definedName name="대안작성" localSheetId="4" hidden="1">{#N/A,#N/A,FALSE,"현장 NCR 분석";#N/A,#N/A,FALSE,"현장품질감사";#N/A,#N/A,FALSE,"현장품질감사"}</definedName>
    <definedName name="대안작성" hidden="1">{#N/A,#N/A,FALSE,"현장 NCR 분석";#N/A,#N/A,FALSE,"현장품질감사";#N/A,#N/A,FALSE,"현장품질감사"}</definedName>
    <definedName name="대전">#REF!</definedName>
    <definedName name="대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표모임" localSheetId="4" hidden="1">{#N/A,#N/A,FALSE,"현장 NCR 분석";#N/A,#N/A,FALSE,"현장품질감사";#N/A,#N/A,FALSE,"현장품질감사"}</definedName>
    <definedName name="대표모임" hidden="1">{#N/A,#N/A,FALSE,"현장 NCR 분석";#N/A,#N/A,FALSE,"현장품질감사";#N/A,#N/A,FALSE,"현장품질감사"}</definedName>
    <definedName name="대ㅣㅂ2">#N/A</definedName>
    <definedName name="덕산1호">#REF!</definedName>
    <definedName name="덕산2호">#REF!</definedName>
    <definedName name="덕산3호">#REF!</definedName>
    <definedName name="덕산4호">#REF!</definedName>
    <definedName name="덕전1호">#REF!</definedName>
    <definedName name="덕전2호">#REF!</definedName>
    <definedName name="덕전3호">#REF!</definedName>
    <definedName name="덕지1호">#REF!</definedName>
    <definedName name="덕천1호">#REF!</definedName>
    <definedName name="덕천2호">#REF!</definedName>
    <definedName name="덕천3호">#REF!</definedName>
    <definedName name="덕천4호">#REF!</definedName>
    <definedName name="데이타">#REF!</definedName>
    <definedName name="데크휘니샤면고르기">#REF!</definedName>
    <definedName name="도급공사">#REF!</definedName>
    <definedName name="도급공사비">#REF!</definedName>
    <definedName name="도급비" localSheetId="4" hidden="1">{#N/A,#N/A,FALSE,"기안지";#N/A,#N/A,FALSE,"통신지"}</definedName>
    <definedName name="도급비" hidden="1">{#N/A,#N/A,FALSE,"기안지";#N/A,#N/A,FALSE,"통신지"}</definedName>
    <definedName name="도급예산액">#REF!</definedName>
    <definedName name="도급예상액">#REF!</definedName>
    <definedName name="도로">#REF!</definedName>
    <definedName name="도배공">#REF!</definedName>
    <definedName name="도시철골" localSheetId="4" hidden="1">{#N/A,#N/A,FALSE,"현장 NCR 분석";#N/A,#N/A,FALSE,"현장품질감사";#N/A,#N/A,FALSE,"현장품질감사"}</definedName>
    <definedName name="도시철골" hidden="1">{#N/A,#N/A,FALSE,"현장 NCR 분석";#N/A,#N/A,FALSE,"현장품질감사";#N/A,#N/A,FALSE,"현장품질감사"}</definedName>
    <definedName name="도장공">#REF!</definedName>
    <definedName name="돋움체">#REF!</definedName>
    <definedName name="동근" localSheetId="4" hidden="1">{#N/A,#N/A,FALSE,"제목"}</definedName>
    <definedName name="동근" hidden="1">{#N/A,#N/A,FALSE,"제목"}</definedName>
    <definedName name="동락내역">#REF!</definedName>
    <definedName name="동력" localSheetId="4" hidden="1">{#N/A,#N/A,FALSE,"CCTV"}</definedName>
    <definedName name="동력" hidden="1">{#N/A,#N/A,FALSE,"CCTV"}</definedName>
    <definedName name="동별">#REF!</definedName>
    <definedName name="동별1">#REF!</definedName>
    <definedName name="동식물상">#REF!</definedName>
    <definedName name="동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돼지꿀타기">#REF!</definedName>
    <definedName name="두기1">#REF!</definedName>
    <definedName name="두기1호">#REF!</definedName>
    <definedName name="두기2">#REF!</definedName>
    <definedName name="두기2호">#REF!</definedName>
    <definedName name="두기3">#REF!</definedName>
    <definedName name="두기3호">#REF!</definedName>
    <definedName name="뒷굽">#REF!</definedName>
    <definedName name="듣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떠ㅗㄱ" localSheetId="4" hidden="1">{#N/A,#N/A,FALSE,"표지"}</definedName>
    <definedName name="떠ㅗㄱ" hidden="1">{#N/A,#N/A,FALSE,"표지"}</definedName>
    <definedName name="똑" localSheetId="4" hidden="1">{#N/A,#N/A,TRUE,"1";#N/A,#N/A,TRUE,"2";#N/A,#N/A,TRUE,"3";#N/A,#N/A,TRUE,"4";#N/A,#N/A,TRUE,"5";#N/A,#N/A,TRUE,"6";#N/A,#N/A,TRUE,"7"}</definedName>
    <definedName name="똑" hidden="1">{#N/A,#N/A,TRUE,"1";#N/A,#N/A,TRUE,"2";#N/A,#N/A,TRUE,"3";#N/A,#N/A,TRUE,"4";#N/A,#N/A,TRUE,"5";#N/A,#N/A,TRUE,"6";#N/A,#N/A,TRUE,"7"}</definedName>
    <definedName name="ㄹ1">#REF!</definedName>
    <definedName name="ㄹ13">#REF!</definedName>
    <definedName name="ㄹ2">#REF!</definedName>
    <definedName name="ㄹ78">#REF!</definedName>
    <definedName name="ㄹㄴ" hidden="1">#REF!</definedName>
    <definedName name="ㄹㄴㅇ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4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ㄹㅇㅇ" localSheetId="4" hidden="1">{"'Sheet1'!$A$1:$H$36"}</definedName>
    <definedName name="ㄹㄹㅇㅇ" hidden="1">{"'Sheet1'!$A$1:$H$36"}</definedName>
    <definedName name="ㄹㅇㄷㅈㄷㅈ" localSheetId="4" hidden="1">{#N/A,#N/A,FALSE,"배수2"}</definedName>
    <definedName name="ㄹㅇㄷㅈㄷㅈ" hidden="1">{#N/A,#N/A,FALSE,"배수2"}</definedName>
    <definedName name="ㄹㅇㄹㅇ" hidden="1">#REF!</definedName>
    <definedName name="ㄹㅇㄹㅈㄷㅊ" hidden="1">#REF!</definedName>
    <definedName name="ㄹㅇㅌㅇㄴㄱㄷ" localSheetId="4" hidden="1">{#N/A,#N/A,FALSE,"포장2"}</definedName>
    <definedName name="ㄹㅇㅌㅇㄴㄱㄷ" hidden="1">{#N/A,#N/A,FALSE,"포장2"}</definedName>
    <definedName name="ㄹㅇㅎㄹ" localSheetId="4" hidden="1">{#N/A,#N/A,FALSE,"현장 NCR 분석";#N/A,#N/A,FALSE,"현장품질감사";#N/A,#N/A,FALSE,"현장품질감사"}</definedName>
    <definedName name="ㄹㅇㅎㄹ" hidden="1">{#N/A,#N/A,FALSE,"현장 NCR 분석";#N/A,#N/A,FALSE,"현장품질감사";#N/A,#N/A,FALSE,"현장품질감사"}</definedName>
    <definedName name="ㄹㅇㅎㄹㅇ" hidden="1">#REF!</definedName>
    <definedName name="ㄹㅇ홀옹ㅎㄹ" hidden="1">#REF!</definedName>
    <definedName name="ㄹ헝ㄹ" hidden="1">#REF!</definedName>
    <definedName name="랴" localSheetId="4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ㅏㄹ">#REF!</definedName>
    <definedName name="련" localSheetId="4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롤" localSheetId="4" hidden="1">{#N/A,#N/A,TRUE,"960318-1";#N/A,#N/A,TRUE,"960318-2";#N/A,#N/A,TRUE,"960318-3"}</definedName>
    <definedName name="롤" hidden="1">{#N/A,#N/A,TRUE,"960318-1";#N/A,#N/A,TRUE,"960318-2";#N/A,#N/A,TRUE,"960318-3"}</definedName>
    <definedName name="롬ㄴ" hidden="1">#REF!</definedName>
    <definedName name="롱" localSheetId="4" hidden="1">{#N/A,#N/A,TRUE,"960318-1";#N/A,#N/A,TRUE,"960318-2";#N/A,#N/A,TRUE,"960318-3"}</definedName>
    <definedName name="롱" hidden="1">{#N/A,#N/A,TRUE,"960318-1";#N/A,#N/A,TRUE,"960318-2";#N/A,#N/A,TRUE,"960318-3"}</definedName>
    <definedName name="룰" localSheetId="4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4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ㅁ_1">#REF!</definedName>
    <definedName name="ㅁ_12">#REF!</definedName>
    <definedName name="ㅁ_13">#REF!</definedName>
    <definedName name="ㅁ_15">#REF!</definedName>
    <definedName name="ㅁ_20">#REF!</definedName>
    <definedName name="ㅁ_22">#REF!</definedName>
    <definedName name="ㅁ_23">#REF!</definedName>
    <definedName name="ㅁ_24">#REF!</definedName>
    <definedName name="ㅁ_25">#REF!</definedName>
    <definedName name="ㅁ_5">#REF!</definedName>
    <definedName name="ㅁ_7">#REF!</definedName>
    <definedName name="ㅁ1">#REF!</definedName>
    <definedName name="ㅁ100">#REF!</definedName>
    <definedName name="ㅁ1000">#REF!</definedName>
    <definedName name="ㅁ1100">#REF!</definedName>
    <definedName name="ㅁ1140">#REF!</definedName>
    <definedName name="ㅁ1180">#REF!</definedName>
    <definedName name="ㅁ1382">#REF!</definedName>
    <definedName name="ㅁ1700">#REF!</definedName>
    <definedName name="ㅁ1800">#REF!</definedName>
    <definedName name="ㅁ1882">#REF!</definedName>
    <definedName name="ㅁ2">#REF!</definedName>
    <definedName name="ㅁ2200">#REF!</definedName>
    <definedName name="ㅁ2400">#REF!</definedName>
    <definedName name="ㅁ3878">#REF!</definedName>
    <definedName name="ㅁa1140">#REF!</definedName>
    <definedName name="ㅁㄴㅇㄹ" hidden="1">#REF!</definedName>
    <definedName name="ㅁㄴㅇㄹㅇㄴㄹ" hidden="1">#REF!</definedName>
    <definedName name="ㅁㄴㅇ류" hidden="1">#REF!</definedName>
    <definedName name="ㅁㄴㅇㄻㄴ" hidden="1">#REF!</definedName>
    <definedName name="ㅁㄴㅇㄻㄴㅇㄹㄴ" hidden="1">#REF!</definedName>
    <definedName name="ㅁㄴㅇㅁㄴㅇ" hidden="1">#REF!</definedName>
    <definedName name="ㅁㄴㅇㅁㄴㅇㅁㄴㅇ" localSheetId="4">{"'용역비'!$A$4:$C$8"}</definedName>
    <definedName name="ㅁㄴㅇㅁㄴㅇㅁㄴㅇ">{"'용역비'!$A$4:$C$8"}</definedName>
    <definedName name="ㅁㄴㅇㅍㄴㅇㄴ" hidden="1">#REF!</definedName>
    <definedName name="ㅁㄴㅊㅍㅁㅌㅊ펌ㄴㅇㄹ" hidden="1">#REF!</definedName>
    <definedName name="ㅁㄴㅌㄴ" localSheetId="4" hidden="1">{"'자리배치도'!$AG$1:$CI$28"}</definedName>
    <definedName name="ㅁㄴㅌㄴ" hidden="1">{"'자리배치도'!$AG$1:$CI$28"}</definedName>
    <definedName name="ㅁㄶㅁㄴ" hidden="1">#REF!</definedName>
    <definedName name="ㅁㄻㄴㅇㄹㄴㅇㄹㄴ" hidden="1">#REF!</definedName>
    <definedName name="ㅁㅀㅁㄴ" hidden="1">#REF!</definedName>
    <definedName name="ㅁㅁㅁ_1">#REF!</definedName>
    <definedName name="ㅁㅁㅁ_12">#REF!</definedName>
    <definedName name="ㅁㅁㅁ_24">#REF!</definedName>
    <definedName name="ㅁㅁㅁ_25">#REF!</definedName>
    <definedName name="ㅁㅁㅁㅁ" localSheetId="4" hidden="1">{#N/A,#N/A,TRUE,"960318-1";#N/A,#N/A,TRUE,"960318-2";#N/A,#N/A,TRUE,"960318-3"}</definedName>
    <definedName name="ㅁㅁㅁㅁ" hidden="1">{#N/A,#N/A,TRUE,"960318-1";#N/A,#N/A,TRUE,"960318-2";#N/A,#N/A,TRUE,"960318-3"}</definedName>
    <definedName name="ㅁㅁㅁㅁㅁ" hidden="1">#REF!</definedName>
    <definedName name="ㅁㅁㅁㅁㅁㅁㅁㅁㅁㅁㅁㅁㅁㅁㅁㅁㅁㅁㅁㅁㅁㅁ" localSheetId="4" hidden="1">{"'표지'!$B$5"}</definedName>
    <definedName name="ㅁㅁㅁㅁㅁㅁㅁㅁㅁㅁㅁㅁㅁㅁㅁㅁㅁㅁㅁㅁㅁㅁ" hidden="1">{"'표지'!$B$5"}</definedName>
    <definedName name="ㅁ인ㅍㅁ닟ㅍㅁㄴㅇㄹ" hidden="1">#REF!</definedName>
    <definedName name="ㅁ읾ㄴㅇㄻ" hidden="1">#REF!</definedName>
    <definedName name="ㅁㅈㄷㅅㅂㄱ흎ㅊ퓨" hidden="1">#REF!</definedName>
    <definedName name="ㅁㅊㅇㅍㅁㄴㅇㄻㄴㅇㄹ" hidden="1">#REF!</definedName>
    <definedName name="ㅁㅎ66">#REF!</definedName>
    <definedName name="ㅁㅎㅎ" hidden="1">#N/A</definedName>
    <definedName name="마">#N/A</definedName>
    <definedName name="마감일란" hidden="1">#REF!</definedName>
    <definedName name="마마">#REF!</definedName>
    <definedName name="마마보이">#REF!</definedName>
    <definedName name="마스콘수량">#REF!</definedName>
    <definedName name="만수" localSheetId="4" hidden="1">{#N/A,#N/A,FALSE,"현장 NCR 분석";#N/A,#N/A,FALSE,"현장품질감사";#N/A,#N/A,FALSE,"현장품질감사"}</definedName>
    <definedName name="만수" hidden="1">{#N/A,#N/A,FALSE,"현장 NCR 분석";#N/A,#N/A,FALSE,"현장품질감사";#N/A,#N/A,FALSE,"현장품질감사"}</definedName>
    <definedName name="말뚝길이">#REF!</definedName>
    <definedName name="말뚝속채움">#REF!</definedName>
    <definedName name="말뚝시험비">#REF!</definedName>
    <definedName name="말뚝이음">#REF!</definedName>
    <definedName name="맑은물임대테이블">#REF!</definedName>
    <definedName name="매끈한마감">#REF!</definedName>
    <definedName name="매입세산출">#REF!</definedName>
    <definedName name="매출">#REF!</definedName>
    <definedName name="매크로19">#N/A</definedName>
    <definedName name="먼동" localSheetId="4" hidden="1">{#N/A,#N/A,FALSE,"현장 NCR 분석";#N/A,#N/A,FALSE,"현장품질감사";#N/A,#N/A,FALSE,"현장품질감사"}</definedName>
    <definedName name="먼동" hidden="1">{#N/A,#N/A,FALSE,"현장 NCR 분석";#N/A,#N/A,FALSE,"현장품질감사";#N/A,#N/A,FALSE,"현장품질감사"}</definedName>
    <definedName name="메가마트" localSheetId="4" hidden="1">{#N/A,#N/A,FALSE,"CCTV"}</definedName>
    <definedName name="메가마트" hidden="1">{#N/A,#N/A,FALSE,"CCTV"}</definedName>
    <definedName name="메모" localSheetId="4" hidden="1">{"'Sheet1'!$A$1:$H$36"}</definedName>
    <definedName name="메모" hidden="1">{"'Sheet1'!$A$1:$H$36"}</definedName>
    <definedName name="메모리연" localSheetId="4" hidden="1">{"'Sheet1'!$A$1:$H$36"}</definedName>
    <definedName name="메모리연" hidden="1">{"'Sheet1'!$A$1:$H$36"}</definedName>
    <definedName name="멘트">#REF!</definedName>
    <definedName name="며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면세분류" hidden="1">#REF!</definedName>
    <definedName name="명암">#REF!</definedName>
    <definedName name="명암2">#REF!</definedName>
    <definedName name="모래">#REF!</definedName>
    <definedName name="모래1">#REF!</definedName>
    <definedName name="목록">#REF!</definedName>
    <definedName name="목차9" localSheetId="4" hidden="1">{#N/A,#N/A,FALSE,"이태원철근"}</definedName>
    <definedName name="목차9" hidden="1">{#N/A,#N/A,FALSE,"이태원철근"}</definedName>
    <definedName name="무농1호">#REF!</definedName>
    <definedName name="무농2호">#REF!</definedName>
    <definedName name="무늬거푸집">#REF!</definedName>
    <definedName name="무안">#REF!</definedName>
    <definedName name="문서" localSheetId="4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문화재">#REF!</definedName>
    <definedName name="물량2">#N/A</definedName>
    <definedName name="물량산출서" localSheetId="4" hidden="1">{#N/A,#N/A,TRUE,"960318-1";#N/A,#N/A,TRUE,"960318-2";#N/A,#N/A,TRUE,"960318-3"}</definedName>
    <definedName name="물량산출서" hidden="1">{#N/A,#N/A,TRUE,"960318-1";#N/A,#N/A,TRUE,"960318-2";#N/A,#N/A,TRUE,"960318-3"}</definedName>
    <definedName name="뭐" localSheetId="4" hidden="1">{#N/A,#N/A,FALSE,"이태원철근"}</definedName>
    <definedName name="뭐" hidden="1">{#N/A,#N/A,FALSE,"이태원철근"}</definedName>
    <definedName name="미경" localSheetId="4" hidden="1">{"'Sheet1'!$A$1:$H$36"}</definedName>
    <definedName name="미경" hidden="1">{"'Sheet1'!$A$1:$H$36"}</definedName>
    <definedName name="미기표" localSheetId="4" hidden="1">{#N/A,#N/A,FALSE,"지침";#N/A,#N/A,FALSE,"환경분석";#N/A,#N/A,FALSE,"Sheet16"}</definedName>
    <definedName name="미기표" hidden="1">{#N/A,#N/A,FALSE,"지침";#N/A,#N/A,FALSE,"환경분석";#N/A,#N/A,FALSE,"Sheet16"}</definedName>
    <definedName name="미상주" localSheetId="4" hidden="1">{#N/A,#N/A,FALSE,"지침";#N/A,#N/A,FALSE,"환경분석";#N/A,#N/A,FALSE,"Sheet16"}</definedName>
    <definedName name="미상주" hidden="1">{#N/A,#N/A,FALSE,"지침";#N/A,#N/A,FALSE,"환경분석";#N/A,#N/A,FALSE,"Sheet16"}</definedName>
    <definedName name="미일초등">#REF!</definedName>
    <definedName name="미장공">#REF!</definedName>
    <definedName name="ㅂ3ㄱㅂ3ㄱ" localSheetId="4" hidden="1">{#N/A,#N/A,FALSE,"현장 NCR 분석";#N/A,#N/A,FALSE,"현장품질감사";#N/A,#N/A,FALSE,"현장품질감사"}</definedName>
    <definedName name="ㅂ3ㄱㅂ3ㄱ" hidden="1">{#N/A,#N/A,FALSE,"현장 NCR 분석";#N/A,#N/A,FALSE,"현장품질감사";#N/A,#N/A,FALSE,"현장품질감사"}</definedName>
    <definedName name="ㅂㄱㄹㄷㅈㅅㄷ4ㅈ" hidden="1">#REF!</definedName>
    <definedName name="ㅂㅂ3ㄱㅂ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ㅂ3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ㅂㅂ" localSheetId="4">{"'용역비'!$A$4:$C$8"}</definedName>
    <definedName name="ㅂㅂㅂ">{"'용역비'!$A$4:$C$8"}</definedName>
    <definedName name="ㅂㅂㅂㅂㅂㅂ" localSheetId="4" hidden="1">{"'용역비'!$A$4:$C$8"}</definedName>
    <definedName name="ㅂㅂㅂㅂㅂㅂ" hidden="1">{"'용역비'!$A$4:$C$8"}</definedName>
    <definedName name="ㅂㅇㅂㅇ" localSheetId="4" hidden="1">{#N/A,#N/A,FALSE,"CCTV"}</definedName>
    <definedName name="ㅂㅇㅂㅇ" hidden="1">{#N/A,#N/A,FALSE,"CCTV"}</definedName>
    <definedName name="ㅂㅈㄷㄱㅈㅂ" hidden="1">#REF!</definedName>
    <definedName name="ㅂㅈㄷㅂㅈㄷ" localSheetId="4" hidden="1">{#N/A,#N/A,FALSE,"지침";#N/A,#N/A,FALSE,"환경분석";#N/A,#N/A,FALSE,"Sheet16"}</definedName>
    <definedName name="ㅂㅈㄷㅂㅈㄷ" hidden="1">{#N/A,#N/A,FALSE,"지침";#N/A,#N/A,FALSE,"환경분석";#N/A,#N/A,FALSE,"Sheet16"}</definedName>
    <definedName name="ㅂㅈㄹ" localSheetId="4" hidden="1">{#N/A,#N/A,FALSE,"포장2"}</definedName>
    <definedName name="ㅂㅈㄹ" hidden="1">{#N/A,#N/A,FALSE,"포장2"}</definedName>
    <definedName name="바">#REF!</definedName>
    <definedName name="바로" hidden="1">#REF!</definedName>
    <definedName name="바바" localSheetId="4" hidden="1">{#N/A,#N/A,FALSE,"UNIT";#N/A,#N/A,FALSE,"UNIT";#N/A,#N/A,FALSE,"계정"}</definedName>
    <definedName name="바바" hidden="1">{#N/A,#N/A,FALSE,"UNIT";#N/A,#N/A,FALSE,"UNIT";#N/A,#N/A,FALSE,"계정"}</definedName>
    <definedName name="바보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붕" localSheetId="4" hidden="1">{#N/A,#N/A,FALSE,"전력간선"}</definedName>
    <definedName name="바붕" hidden="1">{#N/A,#N/A,FALSE,"전력간선"}</definedName>
    <definedName name="박문희" localSheetId="4" hidden="1">{"'표지'!$B$5"}</definedName>
    <definedName name="박문희" hidden="1">{"'표지'!$B$5"}</definedName>
    <definedName name="박승동원가보고" localSheetId="4" hidden="1">{#N/A,#N/A,FALSE,"지침";#N/A,#N/A,FALSE,"환경분석";#N/A,#N/A,FALSE,"Sheet16"}</definedName>
    <definedName name="박승동원가보고" hidden="1">{#N/A,#N/A,FALSE,"지침";#N/A,#N/A,FALSE,"환경분석";#N/A,#N/A,FALSE,"Sheet16"}</definedName>
    <definedName name="박원흠" localSheetId="4" hidden="1">{#N/A,#N/A,FALSE,"현장 NCR 분석";#N/A,#N/A,FALSE,"현장품질감사";#N/A,#N/A,FALSE,"현장품질감사"}</definedName>
    <definedName name="박원흠" hidden="1">{#N/A,#N/A,FALSE,"현장 NCR 분석";#N/A,#N/A,FALSE,"현장품질감사";#N/A,#N/A,FALSE,"현장품질감사"}</definedName>
    <definedName name="반재기">#REF!</definedName>
    <definedName name="받침">#REF!</definedName>
    <definedName name="방" localSheetId="4" hidden="1">{#N/A,#N/A,TRUE,"960318-1";#N/A,#N/A,TRUE,"960318-2";#N/A,#N/A,TRUE,"960318-3"}</definedName>
    <definedName name="방" hidden="1">{#N/A,#N/A,TRUE,"960318-1";#N/A,#N/A,TRUE,"960318-2";#N/A,#N/A,TRUE,"960318-3"}</definedName>
    <definedName name="방수공">#REF!</definedName>
    <definedName name="방진.도금">#REF!</definedName>
    <definedName name="방호벽">#REF!</definedName>
    <definedName name="배" localSheetId="4" hidden="1">{#N/A,#N/A,FALSE,"표지"}</definedName>
    <definedName name="배" hidden="1">{#N/A,#N/A,FALSE,"표지"}</definedName>
    <definedName name="배관공">#REF!</definedName>
    <definedName name="배수공및터널공사">#REF!</definedName>
    <definedName name="배수관제작직관">#REF!</definedName>
    <definedName name="배전">#REF!</definedName>
    <definedName name="백재욱" localSheetId="4" hidden="1">{"'Sheet1'!$A$1:$H$36"}</definedName>
    <definedName name="백재욱" hidden="1">{"'Sheet1'!$A$1:$H$36"}</definedName>
    <definedName name="번들1호">#REF!</definedName>
    <definedName name="번들2호">#REF!</definedName>
    <definedName name="번들3호">#REF!</definedName>
    <definedName name="벽높이">#REF!</definedName>
    <definedName name="벽체1" localSheetId="4" hidden="1">{#N/A,#N/A,FALSE,"혼합골재"}</definedName>
    <definedName name="벽체1" hidden="1">{#N/A,#N/A,FALSE,"혼합골재"}</definedName>
    <definedName name="벽체높이">#REF!</definedName>
    <definedName name="벽체높이1">#REF!</definedName>
    <definedName name="벽체두께">#REF!</definedName>
    <definedName name="변경예산1" localSheetId="4" hidden="1">{#N/A,#N/A,FALSE,"변경관리예산";#N/A,#N/A,FALSE,"변경장비예산";#N/A,#N/A,FALSE,"변경준설예산";#N/A,#N/A,FALSE,"변경철구예산"}</definedName>
    <definedName name="변경예산1" hidden="1">{#N/A,#N/A,FALSE,"변경관리예산";#N/A,#N/A,FALSE,"변경장비예산";#N/A,#N/A,FALSE,"변경준설예산";#N/A,#N/A,FALSE,"변경철구예산"}</definedName>
    <definedName name="보강재설치및철거">#REF!</definedName>
    <definedName name="보도경계블럭수량">#REF!</definedName>
    <definedName name="보인">#REF!</definedName>
    <definedName name="보증일반환산" hidden="1">#REF!</definedName>
    <definedName name="보차도경계블럭수량">#REF!</definedName>
    <definedName name="보충" hidden="1">#REF!</definedName>
    <definedName name="보통">#REF!</definedName>
    <definedName name="보통마감">#REF!</definedName>
    <definedName name="보할" localSheetId="4" hidden="1">{#N/A,#N/A,FALSE,"이태원철근"}</definedName>
    <definedName name="보할" hidden="1">{#N/A,#N/A,FALSE,"이태원철근"}</definedName>
    <definedName name="보할푬_2000년" localSheetId="4" hidden="1">{#N/A,#N/A,FALSE,"이태원철근"}</definedName>
    <definedName name="보할푬_2000년" hidden="1">{#N/A,#N/A,FALSE,"이태원철근"}</definedName>
    <definedName name="보활공정" localSheetId="4" hidden="1">{#N/A,#N/A,FALSE,"이태원철근"}</definedName>
    <definedName name="보활공정" hidden="1">{#N/A,#N/A,FALSE,"이태원철근"}</definedName>
    <definedName name="복공">#REF!</definedName>
    <definedName name="본사" localSheetId="4" hidden="1">{"'Sheet1'!$A$1:$H$36"}</definedName>
    <definedName name="본사" hidden="1">{"'Sheet1'!$A$1:$H$36"}</definedName>
    <definedName name="본사품의서">#REF!</definedName>
    <definedName name="봉" localSheetId="4" hidden="1">{#N/A,#N/A,TRUE,"960318-1";#N/A,#N/A,TRUE,"960318-2";#N/A,#N/A,TRUE,"960318-3"}</definedName>
    <definedName name="봉" hidden="1">{#N/A,#N/A,TRUE,"960318-1";#N/A,#N/A,TRUE,"960318-2";#N/A,#N/A,TRUE,"960318-3"}</definedName>
    <definedName name="봐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가가치세">#REF!</definedName>
    <definedName name="부가가치세요율">#REF!</definedName>
    <definedName name="부가가치표">#REF!</definedName>
    <definedName name="부대시설공사">#N/A</definedName>
    <definedName name="부대일위대가">#REF!</definedName>
    <definedName name="부대입찰서류작성" hidden="1">#REF!</definedName>
    <definedName name="부대토공2" localSheetId="4" hidden="1">{#N/A,#N/A,FALSE,"구조2"}</definedName>
    <definedName name="부대토공2" hidden="1">{#N/A,#N/A,FALSE,"구조2"}</definedName>
    <definedName name="부분검토의견" localSheetId="4" hidden="1">{#N/A,#N/A,FALSE,"기안지";#N/A,#N/A,FALSE,"통신지"}</definedName>
    <definedName name="부분검토의견" hidden="1">{#N/A,#N/A,FALSE,"기안지";#N/A,#N/A,FALSE,"통신지"}</definedName>
    <definedName name="부자재" hidden="1">#REF!</definedName>
    <definedName name="분고">#REF!</definedName>
    <definedName name="분고_12">#REF!</definedName>
    <definedName name="분둘레">#REF!</definedName>
    <definedName name="분둘레_12">#REF!</definedName>
    <definedName name="분반경">#REF!</definedName>
    <definedName name="분반경_12">#REF!</definedName>
    <definedName name="분상부체적">#REF!</definedName>
    <definedName name="분상부체적_12">#REF!</definedName>
    <definedName name="분석표" localSheetId="4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양내역" localSheetId="4" hidden="1">{#N/A,#N/A,FALSE,"현장 NCR 분석";#N/A,#N/A,FALSE,"현장품질감사";#N/A,#N/A,FALSE,"현장품질감사"}</definedName>
    <definedName name="분양내역" hidden="1">{#N/A,#N/A,FALSE,"현장 NCR 분석";#N/A,#N/A,FALSE,"현장품질감사";#N/A,#N/A,FALSE,"현장품질감사"}</definedName>
    <definedName name="분종둘레">#REF!</definedName>
    <definedName name="분종둘레_12">#REF!</definedName>
    <definedName name="분중량">#REF!</definedName>
    <definedName name="분중량_12">#REF!</definedName>
    <definedName name="분체적">#REF!</definedName>
    <definedName name="분체적_12">#REF!</definedName>
    <definedName name="분표면적">#REF!</definedName>
    <definedName name="분표면적_12">#REF!</definedName>
    <definedName name="불광동" localSheetId="4" hidden="1">{#N/A,#N/A,FALSE,"포장2"}</definedName>
    <definedName name="불광동" hidden="1">{#N/A,#N/A,FALSE,"포장2"}</definedName>
    <definedName name="비계">#REF!</definedName>
    <definedName name="비계공">#REF!</definedName>
    <definedName name="비교" hidden="1">255</definedName>
    <definedName name="비교표1" hidden="1">255</definedName>
    <definedName name="비교표2" hidden="1">#REF!</definedName>
    <definedName name="비목1">#REF!</definedName>
    <definedName name="비목1_9">#REF!</definedName>
    <definedName name="비목2">#REF!</definedName>
    <definedName name="비목2_9">#REF!</definedName>
    <definedName name="비목3">#REF!</definedName>
    <definedName name="비목3_9">#REF!</definedName>
    <definedName name="비목4">#REF!</definedName>
    <definedName name="비목4_9">#REF!</definedName>
    <definedName name="비상주" localSheetId="4" hidden="1">{#N/A,#N/A,FALSE,"지침";#N/A,#N/A,FALSE,"환경분석";#N/A,#N/A,FALSE,"Sheet16"}</definedName>
    <definedName name="비상주" hidden="1">{#N/A,#N/A,FALSE,"지침";#N/A,#N/A,FALSE,"환경분석";#N/A,#N/A,FALSE,"Sheet16"}</definedName>
    <definedName name="비용비교" localSheetId="4" hidden="1">{#N/A,#N/A,FALSE,"제목"}</definedName>
    <definedName name="비용비교" hidden="1">{#N/A,#N/A,FALSE,"제목"}</definedName>
    <definedName name="비율">#REF!</definedName>
    <definedName name="빔제작단가개정표준도적용" localSheetId="4" hidden="1">{"'자리배치도'!$AG$1:$CI$28"}</definedName>
    <definedName name="빔제작단가개정표준도적용" hidden="1">{"'자리배치도'!$AG$1:$CI$28"}</definedName>
    <definedName name="빗물">#REF!</definedName>
    <definedName name="빗물받이1">#REF!</definedName>
    <definedName name="빗물받이2">#REF!</definedName>
    <definedName name="뽕" localSheetId="4" hidden="1">{#N/A,#N/A,TRUE,"960318-1";#N/A,#N/A,TRUE,"960318-2";#N/A,#N/A,TRUE,"960318-3"}</definedName>
    <definedName name="뽕" hidden="1">{#N/A,#N/A,TRUE,"960318-1";#N/A,#N/A,TRUE,"960318-2";#N/A,#N/A,TRUE,"960318-3"}</definedName>
    <definedName name="뿌리돌림보통이눕">#REF!</definedName>
    <definedName name="뿌리돌림보통이눕_12">#REF!</definedName>
    <definedName name="뿌리돌림보통인부">#REF!</definedName>
    <definedName name="뿌리돌림보통인부_12">#REF!</definedName>
    <definedName name="뿌리돌림조경공">#REF!</definedName>
    <definedName name="뿌리돌림조경공_12">#REF!</definedName>
    <definedName name="ㅅ54ㅛㄳ" hidden="1">#N/A</definedName>
    <definedName name="ㅅㄱㅈ" hidden="1">#REF!</definedName>
    <definedName name="ㅅㄱㅈㄴ" localSheetId="4" hidden="1">{#N/A,#N/A,FALSE,"운반시간"}</definedName>
    <definedName name="ㅅㄱㅈㄴ" hidden="1">{#N/A,#N/A,FALSE,"운반시간"}</definedName>
    <definedName name="ㅅ곣ㅈ궈ㅕ" hidden="1">#N/A</definedName>
    <definedName name="ㅅㅅ" hidden="1">#REF!</definedName>
    <definedName name="ㅅㅓ" hidden="1">#N/A</definedName>
    <definedName name="사1" localSheetId="4" hidden="1">{#N/A,#N/A,FALSE,"지침";#N/A,#N/A,FALSE,"환경분석";#N/A,#N/A,FALSE,"Sheet16"}</definedName>
    <definedName name="사1" hidden="1">{#N/A,#N/A,FALSE,"지침";#N/A,#N/A,FALSE,"환경분석";#N/A,#N/A,FALSE,"Sheet16"}</definedName>
    <definedName name="사가돛">#N/A</definedName>
    <definedName name="사각">#REF!</definedName>
    <definedName name="사각수로관">#REF!</definedName>
    <definedName name="사고뭉치" localSheetId="4" hidden="1">{#N/A,#N/A,FALSE,"현장 NCR 분석";#N/A,#N/A,FALSE,"현장품질감사";#N/A,#N/A,FALSE,"현장품질감사"}</definedName>
    <definedName name="사고뭉치" hidden="1">{#N/A,#N/A,FALSE,"현장 NCR 분석";#N/A,#N/A,FALSE,"현장품질감사";#N/A,#N/A,FALSE,"현장품질감사"}</definedName>
    <definedName name="사구러" localSheetId="4" hidden="1">{#N/A,#N/A,FALSE,"현장 NCR 분석";#N/A,#N/A,FALSE,"현장품질감사";#N/A,#N/A,FALSE,"현장품질감사"}</definedName>
    <definedName name="사구러" hidden="1">{#N/A,#N/A,FALSE,"현장 NCR 분석";#N/A,#N/A,FALSE,"현장품질감사";#N/A,#N/A,FALSE,"현장품질감사"}</definedName>
    <definedName name="사랑" hidden="1">#REF!</definedName>
    <definedName name="사업계획" localSheetId="4" hidden="1">{#N/A,#N/A,FALSE,"지침";#N/A,#N/A,FALSE,"환경분석";#N/A,#N/A,FALSE,"Sheet16"}</definedName>
    <definedName name="사업계획" hidden="1">{#N/A,#N/A,FALSE,"지침";#N/A,#N/A,FALSE,"환경분석";#N/A,#N/A,FALSE,"Sheet16"}</definedName>
    <definedName name="사업부양식2" hidden="1">#REF!</definedName>
    <definedName name="사업수지_1">#N/A</definedName>
    <definedName name="사업의">#REF!</definedName>
    <definedName name="사전공" hidden="1">#REF!</definedName>
    <definedName name="사후환경조사">#REF!</definedName>
    <definedName name="산근">#REF!</definedName>
    <definedName name="산기">#REF!</definedName>
    <definedName name="산재보험료">#REF!</definedName>
    <definedName name="산재보험료요율">#REF!</definedName>
    <definedName name="산재보험료표">#REF!</definedName>
    <definedName name="산정지간">#REF!</definedName>
    <definedName name="산출">#REF!</definedName>
    <definedName name="산출경비">#REF!</definedName>
    <definedName name="산출근거">#REF!</definedName>
    <definedName name="산출근거1" hidden="1">#REF!</definedName>
    <definedName name="산출서" localSheetId="4" hidden="1">{#N/A,#N/A,TRUE,"960318-1";#N/A,#N/A,TRUE,"960318-2";#N/A,#N/A,TRUE,"960318-3"}</definedName>
    <definedName name="산출서" hidden="1">{#N/A,#N/A,TRUE,"960318-1";#N/A,#N/A,TRUE,"960318-2";#N/A,#N/A,TRUE,"960318-3"}</definedName>
    <definedName name="삼.관리및편익시설물공">#N/A</definedName>
    <definedName name="상" localSheetId="4" hidden="1">{#N/A,#N/A,FALSE,"지침";#N/A,#N/A,FALSE,"환경분석";#N/A,#N/A,FALSE,"Sheet16"}</definedName>
    <definedName name="상" hidden="1">{#N/A,#N/A,FALSE,"지침";#N/A,#N/A,FALSE,"환경분석";#N/A,#N/A,FALSE,"Sheet16"}</definedName>
    <definedName name="상가" localSheetId="4" hidden="1">{#N/A,#N/A,FALSE,"현장 NCR 분석";#N/A,#N/A,FALSE,"현장품질감사";#N/A,#N/A,FALSE,"현장품질감사"}</definedName>
    <definedName name="상가" hidden="1">{#N/A,#N/A,FALSE,"현장 NCR 분석";#N/A,#N/A,FALSE,"현장품질감사";#N/A,#N/A,FALSE,"현장품질감사"}</definedName>
    <definedName name="상국" localSheetId="4" hidden="1">{"'Sheet1'!$A$1:$H$36"}</definedName>
    <definedName name="상국" hidden="1">{"'Sheet1'!$A$1:$H$36"}</definedName>
    <definedName name="상도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림1호">#REF!</definedName>
    <definedName name="상림2호">#REF!</definedName>
    <definedName name="상림3호">#REF!</definedName>
    <definedName name="상반기보고" localSheetId="4" hidden="1">{#N/A,#N/A,FALSE,"사업총괄";#N/A,#N/A,FALSE,"장비사업";#N/A,#N/A,FALSE,"철구사업";#N/A,#N/A,FALSE,"준설사업"}</definedName>
    <definedName name="상반기보고" hidden="1">{#N/A,#N/A,FALSE,"사업총괄";#N/A,#N/A,FALSE,"장비사업";#N/A,#N/A,FALSE,"철구사업";#N/A,#N/A,FALSE,"준설사업"}</definedName>
    <definedName name="상봉" localSheetId="4" hidden="1">{#N/A,#N/A,TRUE,"960318-1";#N/A,#N/A,TRUE,"960318-2";#N/A,#N/A,TRUE,"960318-3"}</definedName>
    <definedName name="상봉" hidden="1">{#N/A,#N/A,TRUE,"960318-1";#N/A,#N/A,TRUE,"960318-2";#N/A,#N/A,TRUE,"960318-3"}</definedName>
    <definedName name="상부">#REF!</definedName>
    <definedName name="상수도2차" localSheetId="4" hidden="1">{#N/A,#N/A,FALSE,"결의서";#N/A,#N/A,FALSE,"내역서";#N/A,#N/A,FALSE,"도급예상";#N/A,#N/A,FALSE,"시방서"}</definedName>
    <definedName name="상수도2차" hidden="1">{#N/A,#N/A,FALSE,"결의서";#N/A,#N/A,FALSE,"내역서";#N/A,#N/A,FALSE,"도급예상";#N/A,#N/A,FALSE,"시방서"}</definedName>
    <definedName name="상수도공">#REF!</definedName>
    <definedName name="상수도공집계표">#REF!</definedName>
    <definedName name="상자" localSheetId="4" hidden="1">{#N/A,#N/A,FALSE,"이태원철근"}</definedName>
    <definedName name="상자" hidden="1">{#N/A,#N/A,FALSE,"이태원철근"}</definedName>
    <definedName name="상재하중">#REF!</definedName>
    <definedName name="상주감독" localSheetId="4" hidden="1">{#N/A,#N/A,FALSE,"지침";#N/A,#N/A,FALSE,"환경분석";#N/A,#N/A,FALSE,"Sheet16"}</definedName>
    <definedName name="상주감독" hidden="1">{#N/A,#N/A,FALSE,"지침";#N/A,#N/A,FALSE,"환경분석";#N/A,#N/A,FALSE,"Sheet16"}</definedName>
    <definedName name="상판두께">#REF!</definedName>
    <definedName name="상판두께1">#REF!</definedName>
    <definedName name="상판두께2">#REF!</definedName>
    <definedName name="상하차경비10">#REF!</definedName>
    <definedName name="상하차경비10_12">#REF!</definedName>
    <definedName name="상하차경비15">#REF!</definedName>
    <definedName name="상하차경비15_12">#REF!</definedName>
    <definedName name="상하차경비20">#REF!</definedName>
    <definedName name="상하차경비20_12">#REF!</definedName>
    <definedName name="상하차경비25">#REF!</definedName>
    <definedName name="상하차경비25_12">#REF!</definedName>
    <definedName name="상하차경비30">#REF!</definedName>
    <definedName name="상하차경비30_12">#REF!</definedName>
    <definedName name="상하차경비35">#REF!</definedName>
    <definedName name="상하차경비35_12">#REF!</definedName>
    <definedName name="상하차경비40">#REF!</definedName>
    <definedName name="상하차경비40_12">#REF!</definedName>
    <definedName name="상하차경비45">#REF!</definedName>
    <definedName name="상하차경비45_12">#REF!</definedName>
    <definedName name="상하차경비5">#REF!</definedName>
    <definedName name="상하차경비5_12">#REF!</definedName>
    <definedName name="상하차경비50">#REF!</definedName>
    <definedName name="상하차경비50_12">#REF!</definedName>
    <definedName name="상하차노무비10">#REF!</definedName>
    <definedName name="상하차노무비10_12">#REF!</definedName>
    <definedName name="상하차노무비15">#REF!</definedName>
    <definedName name="상하차노무비15_12">#REF!</definedName>
    <definedName name="상하차노무비20">#REF!</definedName>
    <definedName name="상하차노무비20_12">#REF!</definedName>
    <definedName name="상하차노무비25">#REF!</definedName>
    <definedName name="상하차노무비25_12">#REF!</definedName>
    <definedName name="상하차노무비30">#REF!</definedName>
    <definedName name="상하차노무비30_12">#REF!</definedName>
    <definedName name="상하차노무비35">#REF!</definedName>
    <definedName name="상하차노무비35_12">#REF!</definedName>
    <definedName name="상하차노무비40">#REF!</definedName>
    <definedName name="상하차노무비40_12">#REF!</definedName>
    <definedName name="상하차노무비45">#REF!</definedName>
    <definedName name="상하차노무비45_12">#REF!</definedName>
    <definedName name="상하차노무비5">#REF!</definedName>
    <definedName name="상하차노무비5_12">#REF!</definedName>
    <definedName name="상하차노무비50">#REF!</definedName>
    <definedName name="상하차노무비50_12">#REF!</definedName>
    <definedName name="상하차재료비10">#REF!</definedName>
    <definedName name="상하차재료비10_12">#REF!</definedName>
    <definedName name="상하차재료비15">#REF!</definedName>
    <definedName name="상하차재료비15_12">#REF!</definedName>
    <definedName name="상하차재료비20">#REF!</definedName>
    <definedName name="상하차재료비20_12">#REF!</definedName>
    <definedName name="상하차재료비25">#REF!</definedName>
    <definedName name="상하차재료비25_12">#REF!</definedName>
    <definedName name="상하차재료비30">#REF!</definedName>
    <definedName name="상하차재료비30_12">#REF!</definedName>
    <definedName name="상하차재료비35">#REF!</definedName>
    <definedName name="상하차재료비35_12">#REF!</definedName>
    <definedName name="상하차재료비40">#REF!</definedName>
    <definedName name="상하차재료비40_12">#REF!</definedName>
    <definedName name="상하차재료비45">#REF!</definedName>
    <definedName name="상하차재료비45_12">#REF!</definedName>
    <definedName name="상하차재료비5">#REF!</definedName>
    <definedName name="상하차재료비5_12">#REF!</definedName>
    <definedName name="상하차재료비50">#REF!</definedName>
    <definedName name="상하차재료비50_12">#REF!</definedName>
    <definedName name="새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마을교">#REF!</definedName>
    <definedName name="색인">#REF!</definedName>
    <definedName name="생사1호">#REF!</definedName>
    <definedName name="생사2호">#REF!</definedName>
    <definedName name="생사기존">#REF!</definedName>
    <definedName name="생산" hidden="1">#N/A</definedName>
    <definedName name="생산장비" localSheetId="4" hidden="1">{#N/A,#N/A,FALSE,"제목"}</definedName>
    <definedName name="생산장비" hidden="1">{#N/A,#N/A,FALSE,"제목"}</definedName>
    <definedName name="샷시공">#REF!</definedName>
    <definedName name="샷시공_1">#REF!</definedName>
    <definedName name="샷시공_24">#REF!</definedName>
    <definedName name="샷시공_25">#REF!</definedName>
    <definedName name="석공">#REF!</definedName>
    <definedName name="석공_1">#REF!</definedName>
    <definedName name="석공_24">#REF!</definedName>
    <definedName name="석공_25">#REF!</definedName>
    <definedName name="석재받은의뢰업체" hidden="1">255</definedName>
    <definedName name="선관">#REF!</definedName>
    <definedName name="선량1호">#REF!</definedName>
    <definedName name="선량2호">#REF!</definedName>
    <definedName name="선량3호">#REF!</definedName>
    <definedName name="선량4호">#REF!</definedName>
    <definedName name="선량5호">#REF!</definedName>
    <definedName name="선생님">#REF!</definedName>
    <definedName name="선풀링" localSheetId="4" hidden="1">{#N/A,#N/A,TRUE,"960318-1";#N/A,#N/A,TRUE,"960318-2";#N/A,#N/A,TRUE,"960318-3"}</definedName>
    <definedName name="선풀링" hidden="1">{#N/A,#N/A,TRUE,"960318-1";#N/A,#N/A,TRUE,"960318-2";#N/A,#N/A,TRUE,"960318-3"}</definedName>
    <definedName name="설계설명" hidden="1">#REF!</definedName>
    <definedName name="설계속도">#REF!</definedName>
    <definedName name="설명서1" localSheetId="4" hidden="1">{#N/A,#N/A,FALSE,"포장1";#N/A,#N/A,FALSE,"포장1"}</definedName>
    <definedName name="설명서1" hidden="1">{#N/A,#N/A,FALSE,"포장1";#N/A,#N/A,FALSE,"포장1"}</definedName>
    <definedName name="설문지" hidden="1">#REF!</definedName>
    <definedName name="설비1" localSheetId="4" hidden="1">{#N/A,#N/A,TRUE,"960318-1";#N/A,#N/A,TRUE,"960318-2";#N/A,#N/A,TRUE,"960318-3"}</definedName>
    <definedName name="설비1" hidden="1">{#N/A,#N/A,TRUE,"960318-1";#N/A,#N/A,TRUE,"960318-2";#N/A,#N/A,TRUE,"960318-3"}</definedName>
    <definedName name="설비기초일위">#REF!</definedName>
    <definedName name="설비예비품" localSheetId="4" hidden="1">{#N/A,#N/A,FALSE,"전력간선"}</definedName>
    <definedName name="설비예비품" hidden="1">{#N/A,#N/A,FALSE,"전력간선"}</definedName>
    <definedName name="설치간재">#REF!</definedName>
    <definedName name="설치직노">#REF!</definedName>
    <definedName name="설치직재">#REF!</definedName>
    <definedName name="성">#REF!</definedName>
    <definedName name="성내중건임대테이블">#REF!</definedName>
    <definedName name="성도" localSheetId="4" hidden="1">{#N/A,#N/A,TRUE,"960318-1";#N/A,#N/A,TRUE,"960318-2";#N/A,#N/A,TRUE,"960318-3"}</definedName>
    <definedName name="성도" hidden="1">{#N/A,#N/A,TRUE,"960318-1";#N/A,#N/A,TRUE,"960318-2";#N/A,#N/A,TRUE,"960318-3"}</definedName>
    <definedName name="성산1호">#REF!</definedName>
    <definedName name="성산2호">#REF!</definedName>
    <definedName name="성산3호">#REF!</definedName>
    <definedName name="성산4호">#REF!</definedName>
    <definedName name="성산5호">#REF!</definedName>
    <definedName name="성실한" localSheetId="4" hidden="1">{#N/A,#N/A,FALSE,"현장 NCR 분석";#N/A,#N/A,FALSE,"현장품질감사";#N/A,#N/A,FALSE,"현장품질감사"}</definedName>
    <definedName name="성실한" hidden="1">{#N/A,#N/A,FALSE,"현장 NCR 분석";#N/A,#N/A,FALSE,"현장품질감사";#N/A,#N/A,FALSE,"현장품질감사"}</definedName>
    <definedName name="세">#REF!</definedName>
    <definedName name="세부_1" localSheetId="4" hidden="1">{"'Sheet1'!$A$1:$H$36"}</definedName>
    <definedName name="세부_1" hidden="1">{"'Sheet1'!$A$1:$H$36"}</definedName>
    <definedName name="세일" localSheetId="4" hidden="1">{#N/A,#N/A,TRUE,"960318-1";#N/A,#N/A,TRUE,"960318-2";#N/A,#N/A,TRUE,"960318-3"}</definedName>
    <definedName name="세일" hidden="1">{#N/A,#N/A,TRUE,"960318-1";#N/A,#N/A,TRUE,"960318-2";#N/A,#N/A,TRUE,"960318-3"}</definedName>
    <definedName name="세전익익" localSheetId="4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터공">#REF!</definedName>
    <definedName name="소">#REF!</definedName>
    <definedName name="소B7">#REF!</definedName>
    <definedName name="소갑">#REF!</definedName>
    <definedName name="소방사항" hidden="1">#REF!</definedName>
    <definedName name="소음진동">#REF!</definedName>
    <definedName name="소음진동측정">#REF!</definedName>
    <definedName name="소화갑지" localSheetId="4" hidden="1">{#N/A,#N/A,FALSE,"CCTV"}</definedName>
    <definedName name="소화갑지" hidden="1">{#N/A,#N/A,FALSE,"CCTV"}</definedName>
    <definedName name="손료">#REF!</definedName>
    <definedName name="손익계산서" hidden="1">#REF!</definedName>
    <definedName name="손익변경" localSheetId="4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송수관로구경">#REF!</definedName>
    <definedName name="송천1">#REF!</definedName>
    <definedName name="송천2">#REF!</definedName>
    <definedName name="수_량">#N/A</definedName>
    <definedName name="수1소B">#REF!</definedName>
    <definedName name="수간보호거적10">#REF!</definedName>
    <definedName name="수간보호거적10_12">#REF!</definedName>
    <definedName name="수간보호거적100">#REF!</definedName>
    <definedName name="수간보호거적100_12">#REF!</definedName>
    <definedName name="수간보호거적15">#REF!</definedName>
    <definedName name="수간보호거적15_12">#REF!</definedName>
    <definedName name="수간보호거적20">#REF!</definedName>
    <definedName name="수간보호거적20_12">#REF!</definedName>
    <definedName name="수간보호거적25">#REF!</definedName>
    <definedName name="수간보호거적25_12">#REF!</definedName>
    <definedName name="수간보호거적30">#REF!</definedName>
    <definedName name="수간보호거적30_12">#REF!</definedName>
    <definedName name="수간보호거적35">#REF!</definedName>
    <definedName name="수간보호거적35_12">#REF!</definedName>
    <definedName name="수간보호거적40">#REF!</definedName>
    <definedName name="수간보호거적40_12">#REF!</definedName>
    <definedName name="수간보호거적45">#REF!</definedName>
    <definedName name="수간보호거적45_12">#REF!</definedName>
    <definedName name="수간보호거적5">#REF!</definedName>
    <definedName name="수간보호거적5_12">#REF!</definedName>
    <definedName name="수간보호거적50">#REF!</definedName>
    <definedName name="수간보호거적50_12">#REF!</definedName>
    <definedName name="수간보호거적55">#REF!</definedName>
    <definedName name="수간보호거적55_12">#REF!</definedName>
    <definedName name="수간보호거적60">#REF!</definedName>
    <definedName name="수간보호거적60_12">#REF!</definedName>
    <definedName name="수간보호거적65">#REF!</definedName>
    <definedName name="수간보호거적65_12">#REF!</definedName>
    <definedName name="수간보호거적70">#REF!</definedName>
    <definedName name="수간보호거적70_12">#REF!</definedName>
    <definedName name="수간보호거적75">#REF!</definedName>
    <definedName name="수간보호거적75_12">#REF!</definedName>
    <definedName name="수간보호거적80">#REF!</definedName>
    <definedName name="수간보호거적80_12">#REF!</definedName>
    <definedName name="수간보호거적85">#REF!</definedName>
    <definedName name="수간보호거적85_12">#REF!</definedName>
    <definedName name="수간보호거적90">#REF!</definedName>
    <definedName name="수간보호거적90_12">#REF!</definedName>
    <definedName name="수간보호거적95">#REF!</definedName>
    <definedName name="수간보호거적95_12">#REF!</definedName>
    <definedName name="수간보호보통인부10">#REF!</definedName>
    <definedName name="수간보호보통인부10_12">#REF!</definedName>
    <definedName name="수간보호보통인부100">#REF!</definedName>
    <definedName name="수간보호보통인부100_12">#REF!</definedName>
    <definedName name="수간보호보통인부15">#REF!</definedName>
    <definedName name="수간보호보통인부15_12">#REF!</definedName>
    <definedName name="수간보호보통인부20">#REF!</definedName>
    <definedName name="수간보호보통인부20_12">#REF!</definedName>
    <definedName name="수간보호보통인부25">#REF!</definedName>
    <definedName name="수간보호보통인부25_12">#REF!</definedName>
    <definedName name="수간보호보통인부30">#REF!</definedName>
    <definedName name="수간보호보통인부30_12">#REF!</definedName>
    <definedName name="수간보호보통인부35">#REF!</definedName>
    <definedName name="수간보호보통인부35_12">#REF!</definedName>
    <definedName name="수간보호보통인부40">#REF!</definedName>
    <definedName name="수간보호보통인부40_12">#REF!</definedName>
    <definedName name="수간보호보통인부45">#REF!</definedName>
    <definedName name="수간보호보통인부45_12">#REF!</definedName>
    <definedName name="수간보호보통인부5">#REF!</definedName>
    <definedName name="수간보호보통인부5_12">#REF!</definedName>
    <definedName name="수간보호보통인부50">#REF!</definedName>
    <definedName name="수간보호보통인부50_12">#REF!</definedName>
    <definedName name="수간보호보통인부55">#REF!</definedName>
    <definedName name="수간보호보통인부55_12">#REF!</definedName>
    <definedName name="수간보호보통인부60">#REF!</definedName>
    <definedName name="수간보호보통인부60_12">#REF!</definedName>
    <definedName name="수간보호보통인부65">#REF!</definedName>
    <definedName name="수간보호보통인부65_12">#REF!</definedName>
    <definedName name="수간보호보통인부70">#REF!</definedName>
    <definedName name="수간보호보통인부70_12">#REF!</definedName>
    <definedName name="수간보호보통인부75">#REF!</definedName>
    <definedName name="수간보호보통인부75_12">#REF!</definedName>
    <definedName name="수간보호보통인부80">#REF!</definedName>
    <definedName name="수간보호보통인부80_12">#REF!</definedName>
    <definedName name="수간보호보통인부85">#REF!</definedName>
    <definedName name="수간보호보통인부85_12">#REF!</definedName>
    <definedName name="수간보호보통인부90">#REF!</definedName>
    <definedName name="수간보호보통인부90_12">#REF!</definedName>
    <definedName name="수간보호보통인부95">#REF!</definedName>
    <definedName name="수간보호보통인부95_12">#REF!</definedName>
    <definedName name="수간보호새끼10">#REF!</definedName>
    <definedName name="수간보호새끼10_12">#REF!</definedName>
    <definedName name="수간보호새끼100">#REF!</definedName>
    <definedName name="수간보호새끼100_12">#REF!</definedName>
    <definedName name="수간보호새끼15">#REF!</definedName>
    <definedName name="수간보호새끼15_12">#REF!</definedName>
    <definedName name="수간보호새끼20">#REF!</definedName>
    <definedName name="수간보호새끼20_12">#REF!</definedName>
    <definedName name="수간보호새끼25">#REF!</definedName>
    <definedName name="수간보호새끼25_12">#REF!</definedName>
    <definedName name="수간보호새끼30">#REF!</definedName>
    <definedName name="수간보호새끼30_12">#REF!</definedName>
    <definedName name="수간보호새끼35">#REF!</definedName>
    <definedName name="수간보호새끼35_12">#REF!</definedName>
    <definedName name="수간보호새끼40">#REF!</definedName>
    <definedName name="수간보호새끼40_12">#REF!</definedName>
    <definedName name="수간보호새끼45">#REF!</definedName>
    <definedName name="수간보호새끼45_12">#REF!</definedName>
    <definedName name="수간보호새끼5">#REF!</definedName>
    <definedName name="수간보호새끼5_12">#REF!</definedName>
    <definedName name="수간보호새끼50">#REF!</definedName>
    <definedName name="수간보호새끼50_12">#REF!</definedName>
    <definedName name="수간보호새끼55">#REF!</definedName>
    <definedName name="수간보호새끼55_12">#REF!</definedName>
    <definedName name="수간보호새끼60">#REF!</definedName>
    <definedName name="수간보호새끼60_12">#REF!</definedName>
    <definedName name="수간보호새끼65">#REF!</definedName>
    <definedName name="수간보호새끼65_12">#REF!</definedName>
    <definedName name="수간보호새끼70">#REF!</definedName>
    <definedName name="수간보호새끼70_12">#REF!</definedName>
    <definedName name="수간보호새끼75">#REF!</definedName>
    <definedName name="수간보호새끼75_12">#REF!</definedName>
    <definedName name="수간보호새끼80">#REF!</definedName>
    <definedName name="수간보호새끼80_12">#REF!</definedName>
    <definedName name="수간보호새끼85">#REF!</definedName>
    <definedName name="수간보호새끼85_12">#REF!</definedName>
    <definedName name="수간보호새끼90">#REF!</definedName>
    <definedName name="수간보호새끼90_12">#REF!</definedName>
    <definedName name="수간보호새끼95">#REF!</definedName>
    <definedName name="수간보호새끼95_12">#REF!</definedName>
    <definedName name="수간보호조경공10">#REF!</definedName>
    <definedName name="수간보호조경공10_12">#REF!</definedName>
    <definedName name="수간보호조경공100">#REF!</definedName>
    <definedName name="수간보호조경공100_12">#REF!</definedName>
    <definedName name="수간보호조경공15">#REF!</definedName>
    <definedName name="수간보호조경공15_12">#REF!</definedName>
    <definedName name="수간보호조경공20">#REF!</definedName>
    <definedName name="수간보호조경공20_12">#REF!</definedName>
    <definedName name="수간보호조경공25">#REF!</definedName>
    <definedName name="수간보호조경공25_12">#REF!</definedName>
    <definedName name="수간보호조경공30">#REF!</definedName>
    <definedName name="수간보호조경공30_12">#REF!</definedName>
    <definedName name="수간보호조경공35">#REF!</definedName>
    <definedName name="수간보호조경공35_12">#REF!</definedName>
    <definedName name="수간보호조경공40">#REF!</definedName>
    <definedName name="수간보호조경공40_12">#REF!</definedName>
    <definedName name="수간보호조경공45">#REF!</definedName>
    <definedName name="수간보호조경공45_12">#REF!</definedName>
    <definedName name="수간보호조경공5">#REF!</definedName>
    <definedName name="수간보호조경공5_12">#REF!</definedName>
    <definedName name="수간보호조경공50">#REF!</definedName>
    <definedName name="수간보호조경공50_12">#REF!</definedName>
    <definedName name="수간보호조경공55">#REF!</definedName>
    <definedName name="수간보호조경공55_12">#REF!</definedName>
    <definedName name="수간보호조경공60">#REF!</definedName>
    <definedName name="수간보호조경공60_12">#REF!</definedName>
    <definedName name="수간보호조경공65">#REF!</definedName>
    <definedName name="수간보호조경공65_12">#REF!</definedName>
    <definedName name="수간보호조경공70">#REF!</definedName>
    <definedName name="수간보호조경공70_12">#REF!</definedName>
    <definedName name="수간보호조경공75">#REF!</definedName>
    <definedName name="수간보호조경공75_12">#REF!</definedName>
    <definedName name="수간보호조경공80">#REF!</definedName>
    <definedName name="수간보호조경공80_12">#REF!</definedName>
    <definedName name="수간보호조경공85">#REF!</definedName>
    <definedName name="수간보호조경공85_12">#REF!</definedName>
    <definedName name="수간보호조경공90">#REF!</definedName>
    <definedName name="수간보호조경공90_12">#REF!</definedName>
    <definedName name="수간보호조경공95">#REF!</definedName>
    <definedName name="수간보호조경공95_12">#REF!</definedName>
    <definedName name="수경단가">#REF!</definedName>
    <definedName name="수경단가1">#REF!</definedName>
    <definedName name="수경일위">#REF!</definedName>
    <definedName name="수량" hidden="1">#REF!</definedName>
    <definedName name="수량산출">#REF!</definedName>
    <definedName name="수량산출서" hidden="1">#REF!</definedName>
    <definedName name="수리수문">#REF!</definedName>
    <definedName name="수목">#REF!</definedName>
    <definedName name="수목공통대가">#N/A</definedName>
    <definedName name="수목일위대가">#N/A</definedName>
    <definedName name="수원지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원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4" hidden="1">{"'Sheet1'!$A$1:$H$36"}</definedName>
    <definedName name="수정" hidden="1">{"'Sheet1'!$A$1:$H$36"}</definedName>
    <definedName name="수정본1002" hidden="1">#REF!</definedName>
    <definedName name="수주2" localSheetId="4" hidden="1">{"'표지'!$B$5"}</definedName>
    <definedName name="수주2" hidden="1">{"'표지'!$B$5"}</definedName>
    <definedName name="수주2222" localSheetId="4" hidden="1">{"'표지'!$B$5"}</definedName>
    <definedName name="수주2222" hidden="1">{"'표지'!$B$5"}</definedName>
    <definedName name="수주매출" localSheetId="4" hidden="1">{"'표지'!$B$5"}</definedName>
    <definedName name="수주매출" hidden="1">{"'표지'!$B$5"}</definedName>
    <definedName name="수주추정2" localSheetId="4" hidden="1">{"'표지'!$B$5"}</definedName>
    <definedName name="수주추정2" hidden="1">{"'표지'!$B$5"}</definedName>
    <definedName name="수중면정리및청소">#REF!</definedName>
    <definedName name="수중모타1">#REF!</definedName>
    <definedName name="수중모타10">#REF!</definedName>
    <definedName name="수중모타15">#REF!</definedName>
    <definedName name="수중모타2">#REF!</definedName>
    <definedName name="수중모타20">#REF!</definedName>
    <definedName name="수중모타25">#REF!</definedName>
    <definedName name="수중모타3">#REF!</definedName>
    <definedName name="수중모타30">#REF!</definedName>
    <definedName name="수중모타5">#REF!</definedName>
    <definedName name="수중모타7.5">#REF!</definedName>
    <definedName name="수중모터펌프단가">#REF!</definedName>
    <definedName name="수중중량">#REF!</definedName>
    <definedName name="수중케이블단가">#REF!</definedName>
    <definedName name="수중토사p1">#REF!</definedName>
    <definedName name="수지3차장비견적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지3차장비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질">#REF!</definedName>
    <definedName name="수질측정">#REF!</definedName>
    <definedName name="수토1">#REF!</definedName>
    <definedName name="순공">#N/A</definedName>
    <definedName name="순공사비">#REF!</definedName>
    <definedName name="순공사원가">#REF!</definedName>
    <definedName name="스">#REF!</definedName>
    <definedName name="스티로폴">#REF!</definedName>
    <definedName name="스페이셔_설치">#REF!</definedName>
    <definedName name="슬래브두께">#REF!</definedName>
    <definedName name="승인보고21차" localSheetId="4" hidden="1">{#N/A,#N/A,FALSE,"기안지";#N/A,#N/A,FALSE,"통신지"}</definedName>
    <definedName name="승인보고21차" hidden="1">{#N/A,#N/A,FALSE,"기안지";#N/A,#N/A,FALSE,"통신지"}</definedName>
    <definedName name="시">#REF!</definedName>
    <definedName name="시멘트">#REF!</definedName>
    <definedName name="시성">#REF!</definedName>
    <definedName name="시운전비">#REF!</definedName>
    <definedName name="시점EXP.B">#REF!</definedName>
    <definedName name="시점EXP.H">#REF!</definedName>
    <definedName name="식재공">#N/A</definedName>
    <definedName name="식재공사97">#N/A</definedName>
    <definedName name="식재단가">#REF!</definedName>
    <definedName name="식재보통인부">#REF!</definedName>
    <definedName name="식재보통인부_12">#REF!</definedName>
    <definedName name="식재수량">#REF!</definedName>
    <definedName name="식재조경공">#REF!</definedName>
    <definedName name="식재조경공_12">#REF!</definedName>
    <definedName name="식혈반경">#REF!</definedName>
    <definedName name="식혈반경_12">#REF!</definedName>
    <definedName name="식혈체적">#REF!</definedName>
    <definedName name="식혈체적_12">#REF!</definedName>
    <definedName name="신성1">#REF!</definedName>
    <definedName name="신성2">#REF!</definedName>
    <definedName name="신성3">#REF!</definedName>
    <definedName name="신성4">#REF!</definedName>
    <definedName name="신성5">#REF!</definedName>
    <definedName name="신성6">#REF!</definedName>
    <definedName name="신성7">#REF!</definedName>
    <definedName name="신재점" localSheetId="4" hidden="1">{#N/A,#N/A,FALSE,"이태원철근"}</definedName>
    <definedName name="신재점" hidden="1">{#N/A,#N/A,FALSE,"이태원철근"}</definedName>
    <definedName name="신축장치">#REF!</definedName>
    <definedName name="신호기">#N/A</definedName>
    <definedName name="신화" localSheetId="4" hidden="1">{#N/A,#N/A,TRUE,"960318-1";#N/A,#N/A,TRUE,"960318-2";#N/A,#N/A,TRUE,"960318-3"}</definedName>
    <definedName name="신화" hidden="1">{#N/A,#N/A,TRUE,"960318-1";#N/A,#N/A,TRUE,"960318-2";#N/A,#N/A,TRUE,"960318-3"}</definedName>
    <definedName name="신흥1호">#REF!</definedName>
    <definedName name="신흥2호">#REF!</definedName>
    <definedName name="실" localSheetId="4" hidden="1">{"'단계별시설공사비'!$A$3:$K$51"}</definedName>
    <definedName name="실" hidden="1">{"'단계별시설공사비'!$A$3:$K$51"}</definedName>
    <definedName name="실경상">#REF!</definedName>
    <definedName name="실적4월" localSheetId="4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4" hidden="1">{#N/A,#N/A,FALSE,"UNIT";#N/A,#N/A,FALSE,"UNIT";#N/A,#N/A,FALSE,"계정"}</definedName>
    <definedName name="실적6월" hidden="1">{#N/A,#N/A,FALSE,"UNIT";#N/A,#N/A,FALSE,"UNIT";#N/A,#N/A,FALSE,"계정"}</definedName>
    <definedName name="실행" localSheetId="4" hidden="1">{"'단계별시설공사비'!$A$3:$K$51"}</definedName>
    <definedName name="실행" hidden="1">{"'단계별시설공사비'!$A$3:$K$51"}</definedName>
    <definedName name="실행2" hidden="1">#REF!</definedName>
    <definedName name="실행4안" localSheetId="4" hidden="1">{"'단계별시설공사비'!$A$3:$K$51"}</definedName>
    <definedName name="실행4안" hidden="1">{"'단계별시설공사비'!$A$3:$K$51"}</definedName>
    <definedName name="실행갑지" localSheetId="4" hidden="1">{"'단계별시설공사비'!$A$3:$K$51"}</definedName>
    <definedName name="실행갑지" hidden="1">{"'단계별시설공사비'!$A$3:$K$51"}</definedName>
    <definedName name="실행갑지2안" localSheetId="4" hidden="1">{"'단계별시설공사비'!$A$3:$K$51"}</definedName>
    <definedName name="실행갑지2안" hidden="1">{"'단계별시설공사비'!$A$3:$K$51"}</definedName>
    <definedName name="실행예산">#REF!</definedName>
    <definedName name="실행예산검토3안" localSheetId="4" hidden="1">{"'단계별시설공사비'!$A$3:$K$51"}</definedName>
    <definedName name="실행예산검토3안" hidden="1">{"'단계별시설공사비'!$A$3:$K$51"}</definedName>
    <definedName name="씨파">#REF!</definedName>
    <definedName name="ㅇ" hidden="1">#REF!</definedName>
    <definedName name="ㅇ2" localSheetId="4" hidden="1">{#N/A,#N/A,FALSE,"CCTV"}</definedName>
    <definedName name="ㅇ2" hidden="1">{#N/A,#N/A,FALSE,"CCTV"}</definedName>
    <definedName name="ㅇㄴㄴㅇㅇㄴㄴㅇ" localSheetId="4">{"'용역비'!$A$4:$C$8"}</definedName>
    <definedName name="ㅇㄴㄴㅇㅇㄴㄴㅇ">{"'용역비'!$A$4:$C$8"}</definedName>
    <definedName name="ㅇㄴㄹㄴㅇㄹㄹㄴㅇ" localSheetId="4">{"'용역비'!$A$4:$C$8"}</definedName>
    <definedName name="ㅇㄴㄹㄴㅇㄹㄹㄴㅇ">{"'용역비'!$A$4:$C$8"}</definedName>
    <definedName name="ㅇㄴㄹㄴㅇㄹㄹㄻㄴ" hidden="1">255</definedName>
    <definedName name="ㅇㄴㄻㅇㄹㄴㅁ" hidden="1">#REF!</definedName>
    <definedName name="ㅇㄴㅁ" hidden="1">#REF!</definedName>
    <definedName name="ㅇㄴㅇㄴㅇㄴㅇ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ㅇㄴㅇㄴ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ㄷㄹㄷㅈㄹㄷㅈ" localSheetId="4" hidden="1">{#N/A,#N/A,FALSE,"이태원철근"}</definedName>
    <definedName name="ㅇㄷㄹㄷㅈㄹㄷㅈ" hidden="1">{#N/A,#N/A,FALSE,"이태원철근"}</definedName>
    <definedName name="ㅇㄹ5" localSheetId="4" hidden="1">{#N/A,#N/A,FALSE,"지침";#N/A,#N/A,FALSE,"환경분석";#N/A,#N/A,FALSE,"Sheet16"}</definedName>
    <definedName name="ㅇㄹ5" hidden="1">{#N/A,#N/A,FALSE,"지침";#N/A,#N/A,FALSE,"환경분석";#N/A,#N/A,FALSE,"Sheet16"}</definedName>
    <definedName name="ㅇㄹㄷ" localSheetId="4" hidden="1">{#N/A,#N/A,FALSE,"CCTV"}</definedName>
    <definedName name="ㅇㄹㄷ" hidden="1">{#N/A,#N/A,FALSE,"CCTV"}</definedName>
    <definedName name="ㅇㄹㄷㄷ" localSheetId="4" hidden="1">{#N/A,#N/A,FALSE,"CCTV"}</definedName>
    <definedName name="ㅇㄹㄷㄷ" hidden="1">{#N/A,#N/A,FALSE,"CCTV"}</definedName>
    <definedName name="ㅇㄹㅀ" hidden="1">#REF!</definedName>
    <definedName name="ㅇㄹㅇㄴㄹㅇ니ㅏ" localSheetId="4" hidden="1">{#N/A,#N/A,FALSE,"CCTV"}</definedName>
    <definedName name="ㅇㄹㅇㄴㄹㅇ니ㅏ" hidden="1">{#N/A,#N/A,FALSE,"CCTV"}</definedName>
    <definedName name="ㅇㄹㅇㄴㅁ" hidden="1">#REF!</definedName>
    <definedName name="ㅇㄹㅇㄹㄹㄹ" localSheetId="4" hidden="1">{#N/A,#N/A,FALSE,"CCTV"}</definedName>
    <definedName name="ㅇㄹㅇㄹㄹㄹ" hidden="1">{#N/A,#N/A,FALSE,"CCTV"}</definedName>
    <definedName name="ㅇㄹㅇㄹㅇ" localSheetId="4" hidden="1">{#N/A,#N/A,FALSE,"구조2"}</definedName>
    <definedName name="ㅇㄹㅇㄹㅇ" hidden="1">{#N/A,#N/A,FALSE,"구조2"}</definedName>
    <definedName name="ㅇㄹㅇㄹㅇㄹ" localSheetId="4" hidden="1">{#N/A,#N/A,FALSE,"CCTV"}</definedName>
    <definedName name="ㅇㄹㅇㄹㅇㄹ" hidden="1">{#N/A,#N/A,FALSE,"CCTV"}</definedName>
    <definedName name="ㅇㄻ">#REF!</definedName>
    <definedName name="ㅇㄻㄴㅇㄻㄴㅇㄹ" hidden="1">#REF!</definedName>
    <definedName name="ㅇㅀㄴㅇㅎㄶㅇ" hidden="1">255</definedName>
    <definedName name="ㅇㅀㄹㅇㅁㅎ" hidden="1">#N/A</definedName>
    <definedName name="ㅇㅇㅇㅇㅇ" localSheetId="4" hidden="1">{"'Sheet1'!$A$1:$H$36"}</definedName>
    <definedName name="ㅇㅇㅇㅇㅇ" hidden="1">{"'Sheet1'!$A$1:$H$36"}</definedName>
    <definedName name="ㅇㅇㅇㅇㅇㅇㅇ" localSheetId="4" hidden="1">{#N/A,#N/A,FALSE,"이태원철근"}</definedName>
    <definedName name="ㅇㅇㅇㅇㅇㅇㅇ" hidden="1">{#N/A,#N/A,FALSE,"이태원철근"}</definedName>
    <definedName name="ㅇ어ㅗ">#REF!</definedName>
    <definedName name="ㅇㅈㄷㅄㅂㅈㄷㄱ" hidden="1">#REF!</definedName>
    <definedName name="ㅇㅈㅇㄴㅇㅈㅇ" hidden="1">#REF!</definedName>
    <definedName name="ㅇㅎㅁㄴ" hidden="1">#REF!</definedName>
    <definedName name="아버지">#REF!</definedName>
    <definedName name="아빠">#REF!</definedName>
    <definedName name="아스콘수량">#REF!</definedName>
    <definedName name="아스타일__공">#REF!</definedName>
    <definedName name="아스타일공">#REF!</definedName>
    <definedName name="아스팔트">#REF!</definedName>
    <definedName name="아스팔트1">#REF!</definedName>
    <definedName name="아스팔트2">#REF!</definedName>
    <definedName name="아스팔트3">#REF!</definedName>
    <definedName name="아스팔트중량">#REF!</definedName>
    <definedName name="아아아">#REF!</definedName>
    <definedName name="아야">#REF!</definedName>
    <definedName name="아연도강관단가">#REF!</definedName>
    <definedName name="아연도배관단가">#REF!</definedName>
    <definedName name="아연도배관자재">#REF!</definedName>
    <definedName name="아이디">#REF!,#REF!</definedName>
    <definedName name="아파트내역2" localSheetId="4" hidden="1">{"'Sheet1'!$A$4:$M$21","'Sheet1'!$J$17:$K$19"}</definedName>
    <definedName name="아파트내역2" hidden="1">{"'Sheet1'!$A$4:$M$21","'Sheet1'!$J$17:$K$19"}</definedName>
    <definedName name="아ㅏ" localSheetId="4" hidden="1">{#N/A,#N/A,FALSE,"조골재"}</definedName>
    <definedName name="아ㅏ" hidden="1">{#N/A,#N/A,FALSE,"조골재"}</definedName>
    <definedName name="아ㅏㅏ">#N/A</definedName>
    <definedName name="악" localSheetId="4" hidden="1">{#N/A,#N/A,TRUE,"960318-1";#N/A,#N/A,TRUE,"960318-2";#N/A,#N/A,TRUE,"960318-3"}</definedName>
    <definedName name="악" hidden="1">{#N/A,#N/A,TRUE,"960318-1";#N/A,#N/A,TRUE,"960318-2";#N/A,#N/A,TRUE,"960318-3"}</definedName>
    <definedName name="악취">#REF!</definedName>
    <definedName name="안녕">#REF!</definedName>
    <definedName name="안방1호">#REF!</definedName>
    <definedName name="안방2호">#REF!</definedName>
    <definedName name="안산">#N/A</definedName>
    <definedName name="안산고39">#REF!</definedName>
    <definedName name="안삽재">#REF!</definedName>
    <definedName name="안삽재교">#REF!</definedName>
    <definedName name="안전갑지" hidden="1">#REF!</definedName>
    <definedName name="안전관리비">#REF!</definedName>
    <definedName name="안전관리비요율">#REF!</definedName>
    <definedName name="안전관리비표">#REF!</definedName>
    <definedName name="안전점검을" localSheetId="4" hidden="1">{#N/A,#N/A,FALSE,"결의서";#N/A,#N/A,FALSE,"내역서";#N/A,#N/A,FALSE,"도급예상";#N/A,#N/A,FALSE,"시방서"}</definedName>
    <definedName name="안전점검을" hidden="1">{#N/A,#N/A,FALSE,"결의서";#N/A,#N/A,FALSE,"내역서";#N/A,#N/A,FALSE,"도급예상";#N/A,#N/A,FALSE,"시방서"}</definedName>
    <definedName name="안정수위">#REF!</definedName>
    <definedName name="안주">#N/A</definedName>
    <definedName name="앞굽">#REF!</definedName>
    <definedName name="앞들1호">#REF!</definedName>
    <definedName name="앞들2호">#REF!</definedName>
    <definedName name="애자" localSheetId="4" hidden="1">{#N/A,#N/A,FALSE,"현장 NCR 분석";#N/A,#N/A,FALSE,"현장품질감사";#N/A,#N/A,FALSE,"현장품질감사"}</definedName>
    <definedName name="애자" hidden="1">{#N/A,#N/A,FALSE,"현장 NCR 분석";#N/A,#N/A,FALSE,"현장품질감사";#N/A,#N/A,FALSE,"현장품질감사"}</definedName>
    <definedName name="야">#REF!</definedName>
    <definedName name="양">#REF!</definedName>
    <definedName name="양석">#REF!,#REF!,#REF!,#REF!,#REF!,#REF!,#REF!,#REF!,#REF!,#REF!,#REF!,#REF!,#REF!,#REF!,#REF!,#REF!,#REF!,#REF!,#REF!</definedName>
    <definedName name="양석김">#REF!</definedName>
    <definedName name="양수량">#REF!</definedName>
    <definedName name="양식6" hidden="1">255</definedName>
    <definedName name="양재승2222222" hidden="1">#REF!</definedName>
    <definedName name="어머니">#REF!</definedName>
    <definedName name="언" hidden="1">#REF!</definedName>
    <definedName name="엄차현" hidden="1">#REF!</definedName>
    <definedName name="업____체">#REF!</definedName>
    <definedName name="업체1" localSheetId="4" hidden="1">{#N/A,#N/A,FALSE,"구조2"}</definedName>
    <definedName name="업체1" hidden="1">{#N/A,#N/A,FALSE,"구조2"}</definedName>
    <definedName name="에비씨디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여">#REF!</definedName>
    <definedName name="여건22" hidden="1">#REF!</definedName>
    <definedName name="여자보통인부">#REF!</definedName>
    <definedName name="여자인부">#REF!</definedName>
    <definedName name="연석폭">#REF!</definedName>
    <definedName name="연속벽공정표" hidden="1">#REF!</definedName>
    <definedName name="연습" hidden="1">#N/A</definedName>
    <definedName name="연장">#REF!</definedName>
    <definedName name="염색기술3" localSheetId="4" hidden="1">{#N/A,#N/A,TRUE,"손익보고"}</definedName>
    <definedName name="염색기술3" hidden="1">{#N/A,#N/A,TRUE,"손익보고"}</definedName>
    <definedName name="영상" localSheetId="4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4" hidden="1">{#N/A,#N/A,TRUE,"960318-1";#N/A,#N/A,TRUE,"960318-2";#N/A,#N/A,TRUE,"960318-3"}</definedName>
    <definedName name="영상1" hidden="1">{#N/A,#N/A,TRUE,"960318-1";#N/A,#N/A,TRUE,"960318-2";#N/A,#N/A,TRUE,"960318-3"}</definedName>
    <definedName name="영업" localSheetId="4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현금" localSheetId="4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역">#REF!</definedName>
    <definedName name="영역1">#REF!</definedName>
    <definedName name="영원" localSheetId="4" hidden="1">{#N/A,#N/A,FALSE,"현장 NCR 분석";#N/A,#N/A,FALSE,"현장품질감사";#N/A,#N/A,FALSE,"현장품질감사"}</definedName>
    <definedName name="영원" hidden="1">{#N/A,#N/A,FALSE,"현장 NCR 분석";#N/A,#N/A,FALSE,"현장품질감사";#N/A,#N/A,FALSE,"현장품질감사"}</definedName>
    <definedName name="예산" localSheetId="4" hidden="1">{#N/A,#N/A,TRUE,"손익보고"}</definedName>
    <definedName name="예산" hidden="1">{#N/A,#N/A,TRUE,"손익보고"}</definedName>
    <definedName name="오." localSheetId="4" hidden="1">{#N/A,#N/A,FALSE,"UNIT";#N/A,#N/A,FALSE,"UNIT";#N/A,#N/A,FALSE,"계정"}</definedName>
    <definedName name="오." hidden="1">{#N/A,#N/A,FALSE,"UNIT";#N/A,#N/A,FALSE,"UNIT";#N/A,#N/A,FALSE,"계정"}</definedName>
    <definedName name="오.." localSheetId="4" hidden="1">{#N/A,#N/A,FALSE,"UNIT";#N/A,#N/A,FALSE,"UNIT";#N/A,#N/A,FALSE,"계정"}</definedName>
    <definedName name="오.." hidden="1">{#N/A,#N/A,FALSE,"UNIT";#N/A,#N/A,FALSE,"UNIT";#N/A,#N/A,FALSE,"계정"}</definedName>
    <definedName name="오빠">#REF!</definedName>
    <definedName name="오수공">#REF!</definedName>
    <definedName name="오주1호">#REF!</definedName>
    <definedName name="오주2호">#REF!</definedName>
    <definedName name="오주3호">#REF!</definedName>
    <definedName name="오주4호">#REF!</definedName>
    <definedName name="옹벽">#REF!</definedName>
    <definedName name="옹벽공">#REF!</definedName>
    <definedName name="옹벽공집계표">#REF!</definedName>
    <definedName name="왕암내역">#REF!</definedName>
    <definedName name="왜" localSheetId="4" hidden="1">{#N/A,#N/A,FALSE,"현장 NCR 분석";#N/A,#N/A,FALSE,"현장품질감사";#N/A,#N/A,FALSE,"현장품질감사"}</definedName>
    <definedName name="왜" hidden="1">{#N/A,#N/A,FALSE,"현장 NCR 분석";#N/A,#N/A,FALSE,"현장품질감사";#N/A,#N/A,FALSE,"현장품질감사"}</definedName>
    <definedName name="외관디자인" localSheetId="4" hidden="1">{#N/A,#N/A,FALSE,"현장 NCR 분석";#N/A,#N/A,FALSE,"현장품질감사";#N/A,#N/A,FALSE,"현장품질감사"}</definedName>
    <definedName name="외관디자인" hidden="1">{#N/A,#N/A,FALSE,"현장 NCR 분석";#N/A,#N/A,FALSE,"현장품질감사";#N/A,#N/A,FALSE,"현장품질감사"}</definedName>
    <definedName name="요동1호">#REF!</definedName>
    <definedName name="요동2호">#REF!</definedName>
    <definedName name="요약문">#REF!</definedName>
    <definedName name="요철개수">#REF!</definedName>
    <definedName name="요철개수_12">#REF!</definedName>
    <definedName name="요철체적">#REF!</definedName>
    <definedName name="요철체적_12">#REF!</definedName>
    <definedName name="용" localSheetId="4" hidden="1">{#N/A,#N/A,TRUE,"960318-1";#N/A,#N/A,TRUE,"960318-2";#N/A,#N/A,TRUE,"960318-3"}</definedName>
    <definedName name="용" hidden="1">{#N/A,#N/A,TRUE,"960318-1";#N/A,#N/A,TRUE,"960318-2";#N/A,#N/A,TRUE,"960318-3"}</definedName>
    <definedName name="용역">#N/A</definedName>
    <definedName name="용용1" localSheetId="4" hidden="1">{#N/A,#N/A,FALSE,"포장2"}</definedName>
    <definedName name="용용1" hidden="1">{#N/A,#N/A,FALSE,"포장2"}</definedName>
    <definedName name="용접">#REF!</definedName>
    <definedName name="용접공">#REF!</definedName>
    <definedName name="용접식_이음">#REF!</definedName>
    <definedName name="우" hidden="1">#REF!</definedName>
    <definedName name="우물통_굴착토사">#REF!</definedName>
    <definedName name="우물통굴착_리핑암">#REF!</definedName>
    <definedName name="우물통굴착_발파암">#REF!</definedName>
    <definedName name="우산">#REF!</definedName>
    <definedName name="우수13">#REF!</definedName>
    <definedName name="우수공">#REF!</definedName>
    <definedName name="우수관수량산출">#REF!</definedName>
    <definedName name="운반비경비10">#REF!</definedName>
    <definedName name="운반비경비10_12">#REF!</definedName>
    <definedName name="운반비경비15">#REF!</definedName>
    <definedName name="운반비경비15_12">#REF!</definedName>
    <definedName name="운반비경비20">#REF!</definedName>
    <definedName name="운반비경비20_12">#REF!</definedName>
    <definedName name="운반비경비25">#REF!</definedName>
    <definedName name="운반비경비25_12">#REF!</definedName>
    <definedName name="운반비경비30">#REF!</definedName>
    <definedName name="운반비경비30_12">#REF!</definedName>
    <definedName name="운반비경비35">#REF!</definedName>
    <definedName name="운반비경비35_12">#REF!</definedName>
    <definedName name="운반비경비40">#REF!</definedName>
    <definedName name="운반비경비40_12">#REF!</definedName>
    <definedName name="운반비경비45">#REF!</definedName>
    <definedName name="운반비경비45_12">#REF!</definedName>
    <definedName name="운반비경비5">#REF!</definedName>
    <definedName name="운반비경비5_12">#REF!</definedName>
    <definedName name="운반비경비50">#REF!</definedName>
    <definedName name="운반비경비50_12">#REF!</definedName>
    <definedName name="운반비노무비10">#REF!</definedName>
    <definedName name="운반비노무비10_12">#REF!</definedName>
    <definedName name="운반비노무비15">#REF!</definedName>
    <definedName name="운반비노무비15_12">#REF!</definedName>
    <definedName name="운반비노무비20">#REF!</definedName>
    <definedName name="운반비노무비20_12">#REF!</definedName>
    <definedName name="운반비노무비25">#REF!</definedName>
    <definedName name="운반비노무비25_12">#REF!</definedName>
    <definedName name="운반비노무비30">#REF!</definedName>
    <definedName name="운반비노무비30_12">#REF!</definedName>
    <definedName name="운반비노무비35">#REF!</definedName>
    <definedName name="운반비노무비35_12">#REF!</definedName>
    <definedName name="운반비노무비40">#REF!</definedName>
    <definedName name="운반비노무비40_12">#REF!</definedName>
    <definedName name="운반비노무비45">#REF!</definedName>
    <definedName name="운반비노무비45_12">#REF!</definedName>
    <definedName name="운반비노무비5">#REF!</definedName>
    <definedName name="운반비노무비5_12">#REF!</definedName>
    <definedName name="운반비노무비50">#REF!</definedName>
    <definedName name="운반비노무비50_12">#REF!</definedName>
    <definedName name="운반비재료비10">#REF!</definedName>
    <definedName name="운반비재료비10_12">#REF!</definedName>
    <definedName name="운반비재료비15">#REF!</definedName>
    <definedName name="운반비재료비15_12">#REF!</definedName>
    <definedName name="운반비재료비20">#REF!</definedName>
    <definedName name="운반비재료비20_12">#REF!</definedName>
    <definedName name="운반비재료비25">#REF!</definedName>
    <definedName name="운반비재료비25_12">#REF!</definedName>
    <definedName name="운반비재료비30">#REF!</definedName>
    <definedName name="운반비재료비30_12">#REF!</definedName>
    <definedName name="운반비재료비35">#REF!</definedName>
    <definedName name="운반비재료비35_12">#REF!</definedName>
    <definedName name="운반비재료비40">#REF!</definedName>
    <definedName name="운반비재료비40_12">#REF!</definedName>
    <definedName name="운반비재료비45">#REF!</definedName>
    <definedName name="운반비재료비45_12">#REF!</definedName>
    <definedName name="운반비재료비5">#REF!</definedName>
    <definedName name="운반비재료비5_12">#REF!</definedName>
    <definedName name="운반비재료비50">#REF!</definedName>
    <definedName name="운반비재료비50_12">#REF!</definedName>
    <definedName name="운반산출">#REF!</definedName>
    <definedName name="운암">#REF!</definedName>
    <definedName name="운전">#REF!</definedName>
    <definedName name="운전사">#REF!</definedName>
    <definedName name="운전조">#REF!</definedName>
    <definedName name="운호1호">#REF!</definedName>
    <definedName name="운호2호">#REF!</definedName>
    <definedName name="운호3호">#REF!</definedName>
    <definedName name="워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워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">#REF!</definedName>
    <definedName name="원_가_계_산_서">#REF!</definedName>
    <definedName name="원가계산">#N/A</definedName>
    <definedName name="원가계산명">#REF!</definedName>
    <definedName name="원가계산창">#N/A</definedName>
    <definedName name="원가보" localSheetId="4" hidden="1">{#N/A,#N/A,FALSE,"지침";#N/A,#N/A,FALSE,"환경분석";#N/A,#N/A,FALSE,"Sheet16"}</definedName>
    <definedName name="원가보" hidden="1">{#N/A,#N/A,FALSE,"지침";#N/A,#N/A,FALSE,"환경분석";#N/A,#N/A,FALSE,"Sheet16"}</definedName>
    <definedName name="원남내역" hidden="1">#REF!</definedName>
    <definedName name="원본" localSheetId="4" hidden="1">{"'Sheet1'!$A$1:$H$36"}</definedName>
    <definedName name="원본" hidden="1">{"'Sheet1'!$A$1:$H$36"}</definedName>
    <definedName name="원운1호">#REF!</definedName>
    <definedName name="원운2호">#REF!</definedName>
    <definedName name="원인" localSheetId="4" hidden="1">{#N/A,#N/A,FALSE,"지침";#N/A,#N/A,FALSE,"환경분석";#N/A,#N/A,FALSE,"Sheet16"}</definedName>
    <definedName name="원인" hidden="1">{#N/A,#N/A,FALSE,"지침";#N/A,#N/A,FALSE,"환경분석";#N/A,#N/A,FALSE,"Sheet16"}</definedName>
    <definedName name="원자력용접공">#REF!</definedName>
    <definedName name="원자력품질관리사">#REF!</definedName>
    <definedName name="월별내역" localSheetId="4" hidden="1">{"'Sheet1'!$A$1:$H$36"}</definedName>
    <definedName name="월별내역" hidden="1">{"'Sheet1'!$A$1:$H$36"}</definedName>
    <definedName name="월별분양" localSheetId="4" hidden="1">{#N/A,#N/A,FALSE,"현장 NCR 분석";#N/A,#N/A,FALSE,"현장품질감사";#N/A,#N/A,FALSE,"현장품질감사"}</definedName>
    <definedName name="월별분양" hidden="1">{#N/A,#N/A,FALSE,"현장 NCR 분석";#N/A,#N/A,FALSE,"현장품질감사";#N/A,#N/A,FALSE,"현장품질감사"}</definedName>
    <definedName name="위락경관">#REF!</definedName>
    <definedName name="위생공중보건">#REF!</definedName>
    <definedName name="위치도1" localSheetId="4" hidden="1">{#N/A,#N/A,FALSE,"현장 NCR 분석";#N/A,#N/A,FALSE,"현장품질감사";#N/A,#N/A,FALSE,"현장품질감사"}</definedName>
    <definedName name="위치도1" hidden="1">{#N/A,#N/A,FALSE,"현장 NCR 분석";#N/A,#N/A,FALSE,"현장품질감사";#N/A,#N/A,FALSE,"현장품질감사"}</definedName>
    <definedName name="유" hidden="1">#REF!</definedName>
    <definedName name="유기">#REF!</definedName>
    <definedName name="유리22MM" localSheetId="4" hidden="1">{#N/A,#N/A,FALSE,"현장 NCR 분석";#N/A,#N/A,FALSE,"현장품질감사";#N/A,#N/A,FALSE,"현장품질감사"}</definedName>
    <definedName name="유리22MM" hidden="1">{#N/A,#N/A,FALSE,"현장 NCR 분석";#N/A,#N/A,FALSE,"현장품질감사";#N/A,#N/A,FALSE,"현장품질감사"}</definedName>
    <definedName name="유리공">#REF!</definedName>
    <definedName name="유지관리비" hidden="1">#REF!</definedName>
    <definedName name="유첨" localSheetId="4" hidden="1">{"'Sheet1'!$A$1:$H$36"}</definedName>
    <definedName name="유첨" hidden="1">{"'Sheet1'!$A$1:$H$36"}</definedName>
    <definedName name="유휴" hidden="1">#REF!</definedName>
    <definedName name="육리1호">#REF!</definedName>
    <definedName name="육리2호">#REF!</definedName>
    <definedName name="육상동식물">#REF!</definedName>
    <definedName name="육상면정리및청소">#REF!</definedName>
    <definedName name="육수동식물">#REF!</definedName>
    <definedName name="으악" hidden="1">#REF!</definedName>
    <definedName name="은산1호">#REF!</definedName>
    <definedName name="은산2호">#REF!</definedName>
    <definedName name="은산3호">#REF!</definedName>
    <definedName name="은산4호">#REF!</definedName>
    <definedName name="응" localSheetId="4" hidden="1">{#N/A,#N/A,TRUE,"960318-1";#N/A,#N/A,TRUE,"960318-2";#N/A,#N/A,TRUE,"960318-3"}</definedName>
    <definedName name="응" hidden="1">{#N/A,#N/A,TRUE,"960318-1";#N/A,#N/A,TRUE,"960318-2";#N/A,#N/A,TRUE,"960318-3"}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부가가치세">#N/A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" localSheetId="4" hidden="1">{#N/A,#N/A,FALSE,"구조1"}</definedName>
    <definedName name="이름" hidden="1">{#N/A,#N/A,FALSE,"구조1"}</definedName>
    <definedName name="이슈" localSheetId="4" hidden="1">{#N/A,#N/A,FALSE,"지침";#N/A,#N/A,FALSE,"환경분석";#N/A,#N/A,FALSE,"Sheet16"}</definedName>
    <definedName name="이슈" hidden="1">{#N/A,#N/A,FALSE,"지침";#N/A,#N/A,FALSE,"환경분석";#N/A,#N/A,FALSE,"Sheet16"}</definedName>
    <definedName name="이식단가">#REF!</definedName>
    <definedName name="이식단가1">#REF!</definedName>
    <definedName name="이식일위">#REF!</definedName>
    <definedName name="이윤">#REF!</definedName>
    <definedName name="이윤요율">#REF!</definedName>
    <definedName name="이윤표">#REF!</definedName>
    <definedName name="이응각">#REF!</definedName>
    <definedName name="이익">#REF!</definedName>
    <definedName name="이제그만" localSheetId="4" hidden="1">{#N/A,#N/A,FALSE,"제목"}</definedName>
    <definedName name="이제그만" hidden="1">{#N/A,#N/A,FALSE,"제목"}</definedName>
    <definedName name="이종훈" hidden="1">#REF!</definedName>
    <definedName name="이준호">#REF!</definedName>
    <definedName name="이천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이천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이천생산" localSheetId="4" hidden="1">{"'Sheet1'!$A$1:$H$36"}</definedName>
    <definedName name="이천생산" hidden="1">{"'Sheet1'!$A$1:$H$36"}</definedName>
    <definedName name="이천자동화팀" localSheetId="4" hidden="1">{"'Sheet1'!$A$1:$H$36"}</definedName>
    <definedName name="이천자동화팀" hidden="1">{"'Sheet1'!$A$1:$H$36"}</definedName>
    <definedName name="이현구">#REF!</definedName>
    <definedName name="이흥주" localSheetId="4" hidden="1">{"'단계별시설공사비'!$A$3:$K$51"}</definedName>
    <definedName name="이흥주" hidden="1">{"'단계별시설공사비'!$A$3:$K$51"}</definedName>
    <definedName name="이희선">#REF!,#REF!</definedName>
    <definedName name="인공">#REF!</definedName>
    <definedName name="인력품">#N/A</definedName>
    <definedName name="인부신상자료">#REF!</definedName>
    <definedName name="인쇄양식">#N/A</definedName>
    <definedName name="인입공사비">#REF!</definedName>
    <definedName name="인정" localSheetId="4" hidden="1">{#N/A,#N/A,FALSE,"현장 NCR 분석";#N/A,#N/A,FALSE,"현장품질감사";#N/A,#N/A,FALSE,"현장품질감사"}</definedName>
    <definedName name="인정" hidden="1">{#N/A,#N/A,FALSE,"현장 NCR 분석";#N/A,#N/A,FALSE,"현장품질감사";#N/A,#N/A,FALSE,"현장품질감사"}</definedName>
    <definedName name="인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리어">#N/A</definedName>
    <definedName name="일" hidden="1">#REF!</definedName>
    <definedName name="일.구">#REF!</definedName>
    <definedName name="일.사">#REF!</definedName>
    <definedName name="일.삼">#REF!</definedName>
    <definedName name="일.십">#REF!</definedName>
    <definedName name="일.십사">#REF!</definedName>
    <definedName name="일.십삼">#REF!</definedName>
    <definedName name="일.십이">#REF!</definedName>
    <definedName name="일.십일">#REF!</definedName>
    <definedName name="일.오">#REF!</definedName>
    <definedName name="일.육">#REF!</definedName>
    <definedName name="일.이">#REF!</definedName>
    <definedName name="일.일">#REF!</definedName>
    <definedName name="일.칠">#REF!</definedName>
    <definedName name="일.팔">#REF!</definedName>
    <definedName name="일.화장실및관리실">#N/A</definedName>
    <definedName name="일B0.6">#REF!</definedName>
    <definedName name="일B6">#REF!</definedName>
    <definedName name="일공구가설비">#N/A</definedName>
    <definedName name="일공구간접노무비">#N/A</definedName>
    <definedName name="일공구공사원가">#N/A</definedName>
    <definedName name="일공구기계경비">#N/A</definedName>
    <definedName name="일공구기타경비">#N/A</definedName>
    <definedName name="일공구도급공사비">#N/A</definedName>
    <definedName name="일공구부가가치세">#N/A</definedName>
    <definedName name="일공구산재보험료">#N/A</definedName>
    <definedName name="일공구안전관리비">#N/A</definedName>
    <definedName name="일공구이윤">#N/A</definedName>
    <definedName name="일공구일반관리비">#N/A</definedName>
    <definedName name="일공구직영비">#REF!</definedName>
    <definedName name="일공구직접노무비">#N/A</definedName>
    <definedName name="일공구직접재료비">#N/A</definedName>
    <definedName name="일공구품질관리비">#N/A</definedName>
    <definedName name="일대">#REF!</definedName>
    <definedName name="일대1">#N/A</definedName>
    <definedName name="일반격벽갯수">#REF!</definedName>
    <definedName name="일반격벽상부높이">#REF!</definedName>
    <definedName name="일반격벽중간높이">#REF!</definedName>
    <definedName name="일반격벽폭">#REF!</definedName>
    <definedName name="일반격벽하부높이">#REF!</definedName>
    <definedName name="일반관리비">#REF!</definedName>
    <definedName name="일반관리비요율">#REF!</definedName>
    <definedName name="일반관리비표">#REF!</definedName>
    <definedName name="일위">#REF!</definedName>
    <definedName name="일위1">#REF!</definedName>
    <definedName name="일위대가표" localSheetId="4">{"Book1","대전관저설변.xls"}</definedName>
    <definedName name="일위대가표">{"Book1","대전관저설변.xls"}</definedName>
    <definedName name="일위목록">#REF!</definedName>
    <definedName name="일정97" hidden="1">#REF!</definedName>
    <definedName name="일정표" localSheetId="4" hidden="1">{#N/A,#N/A,FALSE,"이태원철근"}</definedName>
    <definedName name="일정표" hidden="1">{#N/A,#N/A,FALSE,"이태원철근"}</definedName>
    <definedName name="일정표0124" localSheetId="4" hidden="1">{#N/A,#N/A,FALSE,"이태원철근"}</definedName>
    <definedName name="일정표0124" hidden="1">{#N/A,#N/A,FALSE,"이태원철근"}</definedName>
    <definedName name="일조장해">#REF!</definedName>
    <definedName name="일투입" localSheetId="4" hidden="1">{#N/A,#N/A,FALSE,"지침";#N/A,#N/A,FALSE,"환경분석";#N/A,#N/A,FALSE,"Sheet16"}</definedName>
    <definedName name="일투입" hidden="1">{#N/A,#N/A,FALSE,"지침";#N/A,#N/A,FALSE,"환경분석";#N/A,#N/A,FALSE,"Sheet16"}</definedName>
    <definedName name="임금">#REF!</definedName>
    <definedName name="임시아님" localSheetId="4" hidden="1">{#N/A,#N/A,FALSE,"현장 NCR 분석";#N/A,#N/A,FALSE,"현장품질감사";#N/A,#N/A,FALSE,"현장품질감사"}</definedName>
    <definedName name="임시아님" hidden="1">{#N/A,#N/A,FALSE,"현장 NCR 분석";#N/A,#N/A,FALSE,"현장품질감사";#N/A,#N/A,FALSE,"현장품질감사"}</definedName>
    <definedName name="입고일정" localSheetId="4" hidden="1">{#N/A,#N/A,FALSE,"제목"}</definedName>
    <definedName name="입고일정" hidden="1">{#N/A,#N/A,FALSE,"제목"}</definedName>
    <definedName name="입력란">#REF!</definedName>
    <definedName name="입력전체">#REF!</definedName>
    <definedName name="입안1호">#REF!</definedName>
    <definedName name="입안2호">#REF!</definedName>
    <definedName name="입안3호">#REF!</definedName>
    <definedName name="입안4호">#REF!</definedName>
    <definedName name="입안기존2">#REF!</definedName>
    <definedName name="입찰금액안" hidden="1">#REF!</definedName>
    <definedName name="잉" localSheetId="4" hidden="1">{#N/A,#N/A,TRUE,"960318-1";#N/A,#N/A,TRUE,"960318-2";#N/A,#N/A,TRUE,"960318-3"}</definedName>
    <definedName name="잉" hidden="1">{#N/A,#N/A,TRUE,"960318-1";#N/A,#N/A,TRUE,"960318-2";#N/A,#N/A,TRUE,"960318-3"}</definedName>
    <definedName name="ㅈ2ㅛ4ㅗ3ㄷㄱㅁㅎ" localSheetId="4" hidden="1">{#N/A,#N/A,FALSE,"현장 NCR 분석";#N/A,#N/A,FALSE,"현장품질감사";#N/A,#N/A,FALSE,"현장품질감사"}</definedName>
    <definedName name="ㅈ2ㅛ4ㅗ3ㄷㄱㅁㅎ" hidden="1">{#N/A,#N/A,FALSE,"현장 NCR 분석";#N/A,#N/A,FALSE,"현장품질감사";#N/A,#N/A,FALSE,"현장품질감사"}</definedName>
    <definedName name="ㅈㄷ" hidden="1">#REF!</definedName>
    <definedName name="ㅈㄷㄱㄷㄱㄷ" localSheetId="4">{"'용역비'!$A$4:$C$8"}</definedName>
    <definedName name="ㅈㄷㄱㄷㄱㄷ">{"'용역비'!$A$4:$C$8"}</definedName>
    <definedName name="ㅈㄷㄳㅎㄷㄱㄷㄱㅎ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ㅎㄷㄱㄷ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ㄻㅇㄹ" hidden="1">#REF!</definedName>
    <definedName name="ㅈㄷㄻㅈ" hidden="1">#REF!</definedName>
    <definedName name="ㅈㄷㅅ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ㅅㄷㅁㄴㄱㅎㄷㅁ굫ㅂㄷㄳㅎㅈㄷㅅㅎㅈㄷㅈㄷ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ㅅㄷㅁㄴㄱㅎㄷㅁ굫ㅂㄷㄳㅎㅈㄷㅅㅎㅈㄷ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" localSheetId="4" hidden="1">{#N/A,#N/A,FALSE,"UNIT";#N/A,#N/A,FALSE,"UNIT";#N/A,#N/A,FALSE,"계정"}</definedName>
    <definedName name="자" hidden="1">{#N/A,#N/A,FALSE,"UNIT";#N/A,#N/A,FALSE,"UNIT";#N/A,#N/A,FALSE,"계정"}</definedName>
    <definedName name="자." localSheetId="4" hidden="1">{#N/A,#N/A,FALSE,"UNIT";#N/A,#N/A,FALSE,"UNIT";#N/A,#N/A,FALSE,"계정"}</definedName>
    <definedName name="자." hidden="1">{#N/A,#N/A,FALSE,"UNIT";#N/A,#N/A,FALSE,"UNIT";#N/A,#N/A,FALSE,"계정"}</definedName>
    <definedName name="자.." localSheetId="4" hidden="1">{#N/A,#N/A,FALSE,"UNIT";#N/A,#N/A,FALSE,"UNIT";#N/A,#N/A,FALSE,"계정"}</definedName>
    <definedName name="자.." hidden="1">{#N/A,#N/A,FALSE,"UNIT";#N/A,#N/A,FALSE,"UNIT";#N/A,#N/A,FALSE,"계정"}</definedName>
    <definedName name="자갈">#REF!</definedName>
    <definedName name="자기">#REF!</definedName>
    <definedName name="자기야">#REF!</definedName>
    <definedName name="자동제어.도급">#REF!</definedName>
    <definedName name="자동화팀" localSheetId="4" hidden="1">{"'Sheet1'!$A$1:$H$36"}</definedName>
    <definedName name="자동화팀" hidden="1">{"'Sheet1'!$A$1:$H$36"}</definedName>
    <definedName name="자리" localSheetId="4" hidden="1">{"'Sheet1'!$A$1:$H$36"}</definedName>
    <definedName name="자리" hidden="1">{"'Sheet1'!$A$1:$H$36"}</definedName>
    <definedName name="자양" localSheetId="4" hidden="1">{#N/A,#N/A,FALSE,"이태원철근"}</definedName>
    <definedName name="자양" hidden="1">{#N/A,#N/A,FALSE,"이태원철근"}</definedName>
    <definedName name="자양공사개요" localSheetId="4" hidden="1">{#N/A,#N/A,FALSE,"이태원철근"}</definedName>
    <definedName name="자양공사개요" hidden="1">{#N/A,#N/A,FALSE,"이태원철근"}</definedName>
    <definedName name="자연수위">#REF!</definedName>
    <definedName name="자자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">#REF!</definedName>
    <definedName name="자재1" localSheetId="4" hidden="1">{#N/A,#N/A,FALSE,"포장2"}</definedName>
    <definedName name="자재1" hidden="1">{#N/A,#N/A,FALSE,"포장2"}</definedName>
    <definedName name="자재단가근거" hidden="1">#REF!</definedName>
    <definedName name="자재비청구서" hidden="1">#REF!</definedName>
    <definedName name="자재인력조달">#N/A</definedName>
    <definedName name="자재재활용" localSheetId="4" hidden="1">{#N/A,#N/A,TRUE,"960318-1";#N/A,#N/A,TRUE,"960318-2";#N/A,#N/A,TRUE,"960318-3"}</definedName>
    <definedName name="자재재활용" hidden="1">{#N/A,#N/A,TRUE,"960318-1";#N/A,#N/A,TRUE,"960318-2";#N/A,#N/A,TRUE,"960318-3"}</definedName>
    <definedName name="자재절" localSheetId="4" hidden="1">{#N/A,#N/A,TRUE,"960318-1";#N/A,#N/A,TRUE,"960318-2";#N/A,#N/A,TRUE,"960318-3"}</definedName>
    <definedName name="자재절" hidden="1">{#N/A,#N/A,TRUE,"960318-1";#N/A,#N/A,TRUE,"960318-2";#N/A,#N/A,TRUE,"960318-3"}</definedName>
    <definedName name="자재청구4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4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6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6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작성표">#REF!</definedName>
    <definedName name="작업">#REF!</definedName>
    <definedName name="잘라" hidden="1">#REF!</definedName>
    <definedName name="잡자재비">#REF!</definedName>
    <definedName name="장미경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만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세부" hidden="1">#REF!</definedName>
    <definedName name="장비승인요청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승인요청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투자" hidden="1">#REF!</definedName>
    <definedName name="장산1">#REF!</definedName>
    <definedName name="장산2">#REF!</definedName>
    <definedName name="장산3">#REF!</definedName>
    <definedName name="장산교">#REF!</definedName>
    <definedName name="장순상">#REF!</definedName>
    <definedName name="장위" hidden="1">#REF!</definedName>
    <definedName name="장춘">#REF!</definedName>
    <definedName name="재료">#REF!</definedName>
    <definedName name="재료비">#REF!</definedName>
    <definedName name="재료비_12">#REF!</definedName>
    <definedName name="재료비요율">#REF!</definedName>
    <definedName name="재료집계2">#REF!</definedName>
    <definedName name="재료집계3">#REF!</definedName>
    <definedName name="재료집계호남">#REF!</definedName>
    <definedName name="저감방안수립">#REF!</definedName>
    <definedName name="저수조" localSheetId="4" hidden="1">{#N/A,#N/A,FALSE,"이태원철근"}</definedName>
    <definedName name="저수조" hidden="1">{#N/A,#N/A,FALSE,"이태원철근"}</definedName>
    <definedName name="저수조만수위">#REF!</definedName>
    <definedName name="저압케이블전공">#REF!</definedName>
    <definedName name="저저" localSheetId="4" hidden="1">{#N/A,#N/A,FALSE,"UNIT";#N/A,#N/A,FALSE,"UNIT";#N/A,#N/A,FALSE,"계정"}</definedName>
    <definedName name="저저" hidden="1">{#N/A,#N/A,FALSE,"UNIT";#N/A,#N/A,FALSE,"UNIT";#N/A,#N/A,FALSE,"계정"}</definedName>
    <definedName name="저케">#REF!</definedName>
    <definedName name="저판폭">#REF!</definedName>
    <definedName name="전기">#N/A</definedName>
    <definedName name="전기2" localSheetId="4" hidden="1">{#N/A,#N/A,TRUE,"960318-1";#N/A,#N/A,TRUE,"960318-2";#N/A,#N/A,TRUE,"960318-3"}</definedName>
    <definedName name="전기2" hidden="1">{#N/A,#N/A,TRUE,"960318-1";#N/A,#N/A,TRUE,"960318-2";#N/A,#N/A,TRUE,"960318-3"}</definedName>
    <definedName name="전기공사기사1급">#REF!</definedName>
    <definedName name="전기공사기사2급">#REF!</definedName>
    <definedName name="전기마감" hidden="1">#REF!</definedName>
    <definedName name="전기물량산출표" localSheetId="4" hidden="1">{#N/A,#N/A,TRUE,"960318-1";#N/A,#N/A,TRUE,"960318-2";#N/A,#N/A,TRUE,"960318-3"}</definedName>
    <definedName name="전기물량산출표" hidden="1">{#N/A,#N/A,TRUE,"960318-1";#N/A,#N/A,TRUE,"960318-2";#N/A,#N/A,TRUE,"960318-3"}</definedName>
    <definedName name="전기실" localSheetId="4">{"Book1","도곡1실행.xls"}</definedName>
    <definedName name="전기실">{"Book1","도곡1실행.xls"}</definedName>
    <definedName name="전년해당월">#REF!</definedName>
    <definedName name="전동기용량">#REF!</definedName>
    <definedName name="전력변화" localSheetId="4" hidden="1">{#N/A,#N/A,FALSE,"제목"}</definedName>
    <definedName name="전력변화" hidden="1">{#N/A,#N/A,FALSE,"제목"}</definedName>
    <definedName name="전력변화FAB3" localSheetId="4" hidden="1">{#N/A,#N/A,FALSE,"제목"}</definedName>
    <definedName name="전력변화FAB3" hidden="1">{#N/A,#N/A,FALSE,"제목"}</definedName>
    <definedName name="전력비1단계" localSheetId="4" hidden="1">{"'단계별시설공사비'!$A$3:$K$51"}</definedName>
    <definedName name="전력비1단계" hidden="1">{"'단계별시설공사비'!$A$3:$K$51"}</definedName>
    <definedName name="전산장비" localSheetId="4" hidden="1">{"'Sheet1'!$A$1:$H$36"}</definedName>
    <definedName name="전산장비" hidden="1">{"'Sheet1'!$A$1:$H$36"}</definedName>
    <definedName name="전서오" localSheetId="4" hidden="1">{#N/A,#N/A,FALSE,"현장 NCR 분석";#N/A,#N/A,FALSE,"현장품질감사";#N/A,#N/A,FALSE,"현장품질감사"}</definedName>
    <definedName name="전서오" hidden="1">{#N/A,#N/A,FALSE,"현장 NCR 분석";#N/A,#N/A,FALSE,"현장품질감사";#N/A,#N/A,FALSE,"현장품질감사"}</definedName>
    <definedName name="전선관및접지내역서" hidden="1">#REF!</definedName>
    <definedName name="전선관부속품비">#REF!</definedName>
    <definedName name="전열" localSheetId="4" hidden="1">{#N/A,#N/A,FALSE,"CCTV"}</definedName>
    <definedName name="전열" hidden="1">{#N/A,#N/A,FALSE,"CCTV"}</definedName>
    <definedName name="전자CF" localSheetId="4" hidden="1">{#N/A,#N/A,FALSE,"지침";#N/A,#N/A,FALSE,"환경분석";#N/A,#N/A,FALSE,"Sheet16"}</definedName>
    <definedName name="전자CF" hidden="1">{#N/A,#N/A,FALSE,"지침";#N/A,#N/A,FALSE,"환경분석";#N/A,#N/A,FALSE,"Sheet16"}</definedName>
    <definedName name="전자내역">#REF!</definedName>
    <definedName name="전파장해">#REF!</definedName>
    <definedName name="전화번호" localSheetId="4" hidden="1">{"'Sheet1'!$A$1:$H$36"}</definedName>
    <definedName name="전화번호" hidden="1">{"'Sheet1'!$A$1:$H$36"}</definedName>
    <definedName name="절감" localSheetId="4" hidden="1">{#N/A,#N/A,TRUE,"960318-1";#N/A,#N/A,TRUE,"960318-2";#N/A,#N/A,TRUE,"960318-3"}</definedName>
    <definedName name="절감" hidden="1">{#N/A,#N/A,TRUE,"960318-1";#N/A,#N/A,TRUE,"960318-2";#N/A,#N/A,TRUE,"960318-3"}</definedName>
    <definedName name="절단공">#REF!</definedName>
    <definedName name="접">#REF!</definedName>
    <definedName name="정___비___공">#REF!</definedName>
    <definedName name="정기돈">#REF!,#REF!,#REF!,#REF!,#REF!,#REF!,#REF!,#REF!,#REF!,#REF!,#REF!,#REF!,#REF!,#REF!</definedName>
    <definedName name="정릉기성신청서" localSheetId="4" hidden="1">{#N/A,#N/A,FALSE,"사업총괄";#N/A,#N/A,FALSE,"장비사업";#N/A,#N/A,FALSE,"철구사업";#N/A,#N/A,FALSE,"준설사업"}</definedName>
    <definedName name="정릉기성신청서" hidden="1">{#N/A,#N/A,FALSE,"사업총괄";#N/A,#N/A,FALSE,"장비사업";#N/A,#N/A,FALSE,"철구사업";#N/A,#N/A,FALSE,"준설사업"}</definedName>
    <definedName name="정말" localSheetId="4" hidden="1">{#N/A,#N/A,FALSE,"현장 NCR 분석";#N/A,#N/A,FALSE,"현장품질감사";#N/A,#N/A,FALSE,"현장품질감사"}</definedName>
    <definedName name="정말" hidden="1">{#N/A,#N/A,FALSE,"현장 NCR 분석";#N/A,#N/A,FALSE,"현장품질감사";#N/A,#N/A,FALSE,"현장품질감사"}</definedName>
    <definedName name="정명영" localSheetId="4" hidden="1">{#N/A,#N/A,FALSE,"이태원철근"}</definedName>
    <definedName name="정명영" hidden="1">{#N/A,#N/A,FALSE,"이태원철근"}</definedName>
    <definedName name="정문" localSheetId="4" hidden="1">{#N/A,#N/A,FALSE,"UNIT";#N/A,#N/A,FALSE,"UNIT";#N/A,#N/A,FALSE,"계정"}</definedName>
    <definedName name="정문" hidden="1">{#N/A,#N/A,FALSE,"UNIT";#N/A,#N/A,FALSE,"UNIT";#N/A,#N/A,FALSE,"계정"}</definedName>
    <definedName name="정문식" localSheetId="4" hidden="1">{#N/A,#N/A,FALSE,"UNIT";#N/A,#N/A,FALSE,"UNIT";#N/A,#N/A,FALSE,"계정"}</definedName>
    <definedName name="정문식" hidden="1">{#N/A,#N/A,FALSE,"UNIT";#N/A,#N/A,FALSE,"UNIT";#N/A,#N/A,FALSE,"계정"}</definedName>
    <definedName name="정부고시대가" hidden="1">"개략사업비"</definedName>
    <definedName name="정산수량" localSheetId="4" hidden="1">{#N/A,#N/A,TRUE,"수량총괄";#N/A,#N/A,TRUE,"공사비예산서";#N/A,#N/A,TRUE,"공사비예산서 (2)"}</definedName>
    <definedName name="정산수량" hidden="1">{#N/A,#N/A,TRUE,"수량총괄";#N/A,#N/A,TRUE,"공사비예산서";#N/A,#N/A,TRUE,"공사비예산서 (2)"}</definedName>
    <definedName name="정수" localSheetId="4" hidden="1">{#N/A,#N/A,FALSE,"현장 NCR 분석";#N/A,#N/A,FALSE,"현장품질감사";#N/A,#N/A,FALSE,"현장품질감사"}</definedName>
    <definedName name="정수" hidden="1">{#N/A,#N/A,FALSE,"현장 NCR 분석";#N/A,#N/A,FALSE,"현장품질감사";#N/A,#N/A,FALSE,"현장품질감사"}</definedName>
    <definedName name="정숙이" localSheetId="4" hidden="1">{#N/A,#N/A,FALSE,"현장 NCR 분석";#N/A,#N/A,FALSE,"현장품질감사";#N/A,#N/A,FALSE,"현장품질감사"}</definedName>
    <definedName name="정숙이" hidden="1">{#N/A,#N/A,FALSE,"현장 NCR 분석";#N/A,#N/A,FALSE,"현장품질감사";#N/A,#N/A,FALSE,"현장품질감사"}</definedName>
    <definedName name="정열범위">#REF!</definedName>
    <definedName name="정정아" localSheetId="4" hidden="1">{#N/A,#N/A,FALSE,"현장 NCR 분석";#N/A,#N/A,FALSE,"현장품질감사";#N/A,#N/A,FALSE,"현장품질감사"}</definedName>
    <definedName name="정정아" hidden="1">{#N/A,#N/A,FALSE,"현장 NCR 분석";#N/A,#N/A,FALSE,"현장품질감사";#N/A,#N/A,FALSE,"현장품질감사"}</definedName>
    <definedName name="정화조업체선정의뢰서" localSheetId="4" hidden="1">{#N/A,#N/A,FALSE,"현장 NCR 분석";#N/A,#N/A,FALSE,"현장품질감사";#N/A,#N/A,FALSE,"현장품질감사"}</definedName>
    <definedName name="정화조업체선정의뢰서" hidden="1">{#N/A,#N/A,FALSE,"현장 NCR 분석";#N/A,#N/A,FALSE,"현장품질감사";#N/A,#N/A,FALSE,"현장품질감사"}</definedName>
    <definedName name="제___도___사">#REF!</definedName>
    <definedName name="제___재___공">#REF!</definedName>
    <definedName name="제경비율">#REF!</definedName>
    <definedName name="제수문" hidden="1">#REF!</definedName>
    <definedName name="제작비">#REF!</definedName>
    <definedName name="제잡">#N/A</definedName>
    <definedName name="제철__축로공">#REF!</definedName>
    <definedName name="조___력___공">#REF!</definedName>
    <definedName name="조___적___공">#REF!</definedName>
    <definedName name="조_림__인_부">#REF!</definedName>
    <definedName name="조달수수료">#REF!</definedName>
    <definedName name="조력공">#REF!</definedName>
    <definedName name="조사">#REF!</definedName>
    <definedName name="조사가" hidden="1">#REF!</definedName>
    <definedName name="조장">#REF!</definedName>
    <definedName name="조적공">#REF!</definedName>
    <definedName name="조정1" hidden="1">#REF!</definedName>
    <definedName name="조조" localSheetId="4" hidden="1">{#N/A,#N/A,FALSE,"현장 NCR 분석";#N/A,#N/A,FALSE,"현장품질감사";#N/A,#N/A,FALSE,"현장품질감사"}</definedName>
    <definedName name="조조" hidden="1">{#N/A,#N/A,FALSE,"현장 NCR 분석";#N/A,#N/A,FALSE,"현장품질감사";#N/A,#N/A,FALSE,"현장품질감사"}</definedName>
    <definedName name="조직도">#REF!</definedName>
    <definedName name="조후" localSheetId="4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종자" localSheetId="4" hidden="1">{#N/A,#N/A,FALSE,"현장 NCR 분석";#N/A,#N/A,FALSE,"현장품질감사";#N/A,#N/A,FALSE,"현장품질감사"}</definedName>
    <definedName name="종자" hidden="1">{#N/A,#N/A,FALSE,"현장 NCR 분석";#N/A,#N/A,FALSE,"현장품질감사";#N/A,#N/A,FALSE,"현장품질감사"}</definedName>
    <definedName name="종합평가">#REF!</definedName>
    <definedName name="주" localSheetId="4" hidden="1">{#N/A,#N/A,FALSE,"지침";#N/A,#N/A,FALSE,"환경분석";#N/A,#N/A,FALSE,"Sheet16"}</definedName>
    <definedName name="주" hidden="1">{#N/A,#N/A,FALSE,"지침";#N/A,#N/A,FALSE,"환경분석";#N/A,#N/A,FALSE,"Sheet16"}</definedName>
    <definedName name="주간" localSheetId="4" hidden="1">{#N/A,#N/A,FALSE,"지침";#N/A,#N/A,FALSE,"환경분석";#N/A,#N/A,FALSE,"Sheet16"}</definedName>
    <definedName name="주간" hidden="1">{#N/A,#N/A,FALSE,"지침";#N/A,#N/A,FALSE,"환경분석";#N/A,#N/A,FALSE,"Sheet16"}</definedName>
    <definedName name="주거">#REF!</definedName>
    <definedName name="주공사비" localSheetId="4" hidden="1">{#N/A,#N/A,FALSE,"변경관리예산";#N/A,#N/A,FALSE,"변경장비예산";#N/A,#N/A,FALSE,"변경준설예산";#N/A,#N/A,FALSE,"변경철구예산"}</definedName>
    <definedName name="주공사비" hidden="1">{#N/A,#N/A,FALSE,"변경관리예산";#N/A,#N/A,FALSE,"변경장비예산";#N/A,#N/A,FALSE,"변경준설예산";#N/A,#N/A,FALSE,"변경철구예산"}</definedName>
    <definedName name="주민의견수렴">#REF!</definedName>
    <definedName name="주요2" localSheetId="4" hidden="1">{#N/A,#N/A,FALSE,"예상손익";#N/A,#N/A,FALSE,"관리분석";#N/A,#N/A,FALSE,"장비분석";#N/A,#N/A,FALSE,"준설분석";#N/A,#N/A,FALSE,"철구분석"}</definedName>
    <definedName name="주요2" hidden="1">{#N/A,#N/A,FALSE,"예상손익";#N/A,#N/A,FALSE,"관리분석";#N/A,#N/A,FALSE,"장비분석";#N/A,#N/A,FALSE,"준설분석";#N/A,#N/A,FALSE,"철구분석"}</definedName>
    <definedName name="주택매출">#REF!</definedName>
    <definedName name="주택원가">#REF!</definedName>
    <definedName name="주택최종">#REF!</definedName>
    <definedName name="주형">#REF!</definedName>
    <definedName name="주형보받침연결">#REF!</definedName>
    <definedName name="주형빔연결">#REF!</definedName>
    <definedName name="준공" localSheetId="4" hidden="1">{#N/A,#N/A,TRUE,"960318-1";#N/A,#N/A,TRUE,"960318-2";#N/A,#N/A,TRUE,"960318-3"}</definedName>
    <definedName name="준공" hidden="1">{#N/A,#N/A,TRUE,"960318-1";#N/A,#N/A,TRUE,"960318-2";#N/A,#N/A,TRUE,"960318-3"}</definedName>
    <definedName name="준공계" localSheetId="4" hidden="1">{#N/A,#N/A,TRUE,"960318-1";#N/A,#N/A,TRUE,"960318-2";#N/A,#N/A,TRUE,"960318-3"}</definedName>
    <definedName name="준공계" hidden="1">{#N/A,#N/A,TRUE,"960318-1";#N/A,#N/A,TRUE,"960318-2";#N/A,#N/A,TRUE,"960318-3"}</definedName>
    <definedName name="준공계." localSheetId="4" hidden="1">{#N/A,#N/A,TRUE,"960318-1";#N/A,#N/A,TRUE,"960318-2";#N/A,#N/A,TRUE,"960318-3"}</definedName>
    <definedName name="준공계." hidden="1">{#N/A,#N/A,TRUE,"960318-1";#N/A,#N/A,TRUE,"960318-2";#N/A,#N/A,TRUE,"960318-3"}</definedName>
    <definedName name="준설선__선장">#REF!</definedName>
    <definedName name="준설선기관사">#REF!</definedName>
    <definedName name="준설선기관장">#REF!</definedName>
    <definedName name="준설선운전사">#REF!</definedName>
    <definedName name="준설선전기사">#REF!</definedName>
    <definedName name="줄___눈___공">#REF!</definedName>
    <definedName name="줄눈공">#REF!</definedName>
    <definedName name="중_기__조_장">#REF!</definedName>
    <definedName name="중간">#REF!</definedName>
    <definedName name="중간근입깊이">#REF!</definedName>
    <definedName name="중간기초길이">#REF!</definedName>
    <definedName name="중간기초두께">#REF!</definedName>
    <definedName name="중간기초폭">#REF!</definedName>
    <definedName name="중간뒷굽">#REF!</definedName>
    <definedName name="중간벽체두께">#REF!</definedName>
    <definedName name="중간압굽">#REF!</definedName>
    <definedName name="중간앞굽">#REF!</definedName>
    <definedName name="중간저판폭">#REF!</definedName>
    <definedName name="중간파일">#REF!</definedName>
    <definedName name="중급원자력기술자">#REF!</definedName>
    <definedName name="중기공">#REF!</definedName>
    <definedName name="중기운전기사">#REF!</definedName>
    <definedName name="중기운전조수">#REF!</definedName>
    <definedName name="중대가시설2">#N/A</definedName>
    <definedName name="중량">#REF!</definedName>
    <definedName name="중량표">#REF!</definedName>
    <definedName name="중부" localSheetId="4" hidden="1">{#N/A,#N/A,TRUE,"960318-1";#N/A,#N/A,TRUE,"960318-2";#N/A,#N/A,TRUE,"960318-3"}</definedName>
    <definedName name="중부" hidden="1">{#N/A,#N/A,TRUE,"960318-1";#N/A,#N/A,TRUE,"960318-2";#N/A,#N/A,TRUE,"960318-3"}</definedName>
    <definedName name="중점0601" localSheetId="4" hidden="1">{#N/A,#N/A,FALSE,"이태원철근"}</definedName>
    <definedName name="중점0601" hidden="1">{#N/A,#N/A,FALSE,"이태원철근"}</definedName>
    <definedName name="중점관리" localSheetId="4" hidden="1">{#N/A,#N/A,FALSE,"이태원철근"}</definedName>
    <definedName name="중점관리" hidden="1">{#N/A,#N/A,FALSE,"이태원철근"}</definedName>
    <definedName name="중폭">#REF!</definedName>
    <definedName name="증감내역2" localSheetId="4" hidden="1">{#N/A,#N/A,FALSE,"현장 NCR 분석";#N/A,#N/A,FALSE,"현장품질감사";#N/A,#N/A,FALSE,"현장품질감사"}</definedName>
    <definedName name="증감내역2" hidden="1">{#N/A,#N/A,FALSE,"현장 NCR 분석";#N/A,#N/A,FALSE,"현장품질감사";#N/A,#N/A,FALSE,"현장품질감사"}</definedName>
    <definedName name="지급자재">#REF!</definedName>
    <definedName name="지급자재list">#REF!</definedName>
    <definedName name="지동">#REF!</definedName>
    <definedName name="지붕__잇기공">#REF!</definedName>
    <definedName name="지역" localSheetId="4" hidden="1">{#N/A,#N/A,FALSE,"포장2"}</definedName>
    <definedName name="지역" hidden="1">{#N/A,#N/A,FALSE,"포장2"}</definedName>
    <definedName name="지적기능사1급">#REF!</definedName>
    <definedName name="지적기능사2급">#REF!</definedName>
    <definedName name="지적기사_1급">#REF!</definedName>
    <definedName name="지적기사_2급">#REF!</definedName>
    <definedName name="지주">#N/A</definedName>
    <definedName name="지질">#REF!</definedName>
    <definedName name="지질2">#REF!</definedName>
    <definedName name="지형지질">#REF!</definedName>
    <definedName name="직1CO">#REF!</definedName>
    <definedName name="직영비">#N/A</definedName>
    <definedName name="직원조직" localSheetId="4" hidden="1">{#N/A,#N/A,FALSE,"이태원철근"}</definedName>
    <definedName name="직원조직" hidden="1">{#N/A,#N/A,FALSE,"이태원철근"}</definedName>
    <definedName name="직원조직표" localSheetId="4" hidden="1">{#N/A,#N/A,FALSE,"이태원철근"}</definedName>
    <definedName name="직원조직표" hidden="1">{#N/A,#N/A,FALSE,"이태원철근"}</definedName>
    <definedName name="직접경비">#REF!</definedName>
    <definedName name="직접노무비">#REF!</definedName>
    <definedName name="직접노무비요율">#REF!</definedName>
    <definedName name="직접재료비">#REF!</definedName>
    <definedName name="직접재료비합">#REF!</definedName>
    <definedName name="직종">#REF!</definedName>
    <definedName name="진짜로노무비명세서" hidden="1">#REF!</definedName>
    <definedName name="집">#REF!</definedName>
    <definedName name="집06">#REF!</definedName>
    <definedName name="집계표2">#REF!</definedName>
    <definedName name="집계표3">#REF!</definedName>
    <definedName name="집계표4">#REF!</definedName>
    <definedName name="집계표5">#REF!</definedName>
    <definedName name="집수정수량">#REF!</definedName>
    <definedName name="집행" localSheetId="4" hidden="1">{#N/A,#N/A,TRUE,"960318-1";#N/A,#N/A,TRUE,"960318-2";#N/A,#N/A,TRUE,"960318-3"}</definedName>
    <definedName name="집행" hidden="1">{#N/A,#N/A,TRUE,"960318-1";#N/A,#N/A,TRUE,"960318-2";#N/A,#N/A,TRUE,"960318-3"}</definedName>
    <definedName name="집행시기" localSheetId="4" hidden="1">{"'Sheet1'!$A$1:$H$36"}</definedName>
    <definedName name="집행시기" hidden="1">{"'Sheet1'!$A$1:$H$36"}</definedName>
    <definedName name="집행품의" localSheetId="4" hidden="1">{#N/A,#N/A,TRUE,"960318-1";#N/A,#N/A,TRUE,"960318-2";#N/A,#N/A,TRUE,"960318-3"}</definedName>
    <definedName name="집행품의" hidden="1">{#N/A,#N/A,TRUE,"960318-1";#N/A,#N/A,TRUE,"960318-2";#N/A,#N/A,TRUE,"960318-3"}</definedName>
    <definedName name="짠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쩨" localSheetId="4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1" localSheetId="4" hidden="1">{#N/A,#N/A,TRUE,"960318-1";#N/A,#N/A,TRUE,"960318-2";#N/A,#N/A,TRUE,"960318-3"}</definedName>
    <definedName name="ㅊ1" hidden="1">{#N/A,#N/A,TRUE,"960318-1";#N/A,#N/A,TRUE,"960318-2";#N/A,#N/A,TRUE,"960318-3"}</definedName>
    <definedName name="ㅊ214">#REF!</definedName>
    <definedName name="ㅊ3">#REF!</definedName>
    <definedName name="ㅊㅊ_1">#REF!</definedName>
    <definedName name="ㅊㅊㅊ" localSheetId="4" hidden="1">{"'표지'!$B$5"}</definedName>
    <definedName name="ㅊㅊㅊ" hidden="1">{"'표지'!$B$5"}</definedName>
    <definedName name="ㅊㅌㅊ" localSheetId="4" hidden="1">{#N/A,#N/A,FALSE,"현장 NCR 분석";#N/A,#N/A,FALSE,"현장품질감사";#N/A,#N/A,FALSE,"현장품질감사"}</definedName>
    <definedName name="ㅊㅌㅊ" hidden="1">{#N/A,#N/A,FALSE,"현장 NCR 분석";#N/A,#N/A,FALSE,"현장품질감사";#N/A,#N/A,FALSE,"현장품질감사"}</definedName>
    <definedName name="ㅊㅍ" hidden="1">#REF!</definedName>
    <definedName name="차." localSheetId="4" hidden="1">{#N/A,#N/A,FALSE,"UNIT";#N/A,#N/A,FALSE,"UNIT";#N/A,#N/A,FALSE,"계정"}</definedName>
    <definedName name="차." hidden="1">{#N/A,#N/A,FALSE,"UNIT";#N/A,#N/A,FALSE,"UNIT";#N/A,#N/A,FALSE,"계정"}</definedName>
    <definedName name="차량SVC" localSheetId="4" hidden="1">{#N/A,#N/A,FALSE,"UNIT";#N/A,#N/A,FALSE,"UNIT";#N/A,#N/A,FALSE,"계정"}</definedName>
    <definedName name="차량SVC" hidden="1">{#N/A,#N/A,FALSE,"UNIT";#N/A,#N/A,FALSE,"UNIT";#N/A,#N/A,FALSE,"계정"}</definedName>
    <definedName name="차선도색중앙선수량">#REF!</definedName>
    <definedName name="차선도색직각주차수량">#REF!</definedName>
    <definedName name="차선도색평행주차수량">#REF!</definedName>
    <definedName name="차차">#REF!</definedName>
    <definedName name="착___암___공">#REF!</definedName>
    <definedName name="착정심도">#REF!</definedName>
    <definedName name="창">#REF!</definedName>
    <definedName name="창호목공">#REF!</definedName>
    <definedName name="창호목공_1">#REF!</definedName>
    <definedName name="창호목공_24">#REF!</definedName>
    <definedName name="창호목공_25">#REF!</definedName>
    <definedName name="철거2" localSheetId="4" hidden="1">{#N/A,#N/A,FALSE,"현장 NCR 분석";#N/A,#N/A,FALSE,"현장품질감사";#N/A,#N/A,FALSE,"현장품질감사"}</definedName>
    <definedName name="철거2" hidden="1">{#N/A,#N/A,FALSE,"현장 NCR 분석";#N/A,#N/A,FALSE,"현장품질감사";#N/A,#N/A,FALSE,"현장품질감사"}</definedName>
    <definedName name="철골공">#REF!</definedName>
    <definedName name="철골공_1">#REF!</definedName>
    <definedName name="철골공_24">#REF!</definedName>
    <definedName name="철골공_25">#REF!</definedName>
    <definedName name="철골공사시방서" localSheetId="4" hidden="1">{#N/A,#N/A,FALSE,"현장 NCR 분석";#N/A,#N/A,FALSE,"현장품질감사";#N/A,#N/A,FALSE,"현장품질감사"}</definedName>
    <definedName name="철골공사시방서" hidden="1">{#N/A,#N/A,FALSE,"현장 NCR 분석";#N/A,#N/A,FALSE,"현장품질감사";#N/A,#N/A,FALSE,"현장품질감사"}</definedName>
    <definedName name="철공">#REF!</definedName>
    <definedName name="철공_1">#REF!</definedName>
    <definedName name="철공_24">#REF!</definedName>
    <definedName name="철공_25">#REF!</definedName>
    <definedName name="철구공문" localSheetId="4" hidden="1">{#N/A,#N/A,FALSE,"현장 NCR 분석";#N/A,#N/A,FALSE,"현장품질감사";#N/A,#N/A,FALSE,"현장품질감사"}</definedName>
    <definedName name="철구공문" hidden="1">{#N/A,#N/A,FALSE,"현장 NCR 분석";#N/A,#N/A,FALSE,"현장품질감사";#N/A,#N/A,FALSE,"현장품질감사"}</definedName>
    <definedName name="철근">#REF!</definedName>
    <definedName name="철근1" hidden="1">#REF!</definedName>
    <definedName name="철근공">#REF!</definedName>
    <definedName name="철근공_1">#REF!</definedName>
    <definedName name="철근공_24">#REF!</definedName>
    <definedName name="철근공_25">#REF!</definedName>
    <definedName name="철근직경D13">#REF!</definedName>
    <definedName name="철근직경D16_25">#REF!</definedName>
    <definedName name="철근직경D29_35">#REF!</definedName>
    <definedName name="철도__궤도공">#REF!</definedName>
    <definedName name="철도__신호공">#REF!</definedName>
    <definedName name="철목1호">#REF!</definedName>
    <definedName name="철목2호">#REF!</definedName>
    <definedName name="철목3호">#REF!</definedName>
    <definedName name="철목4호">#REF!</definedName>
    <definedName name="철콘" localSheetId="4" hidden="1">{#N/A,#N/A,FALSE,"전력간선"}</definedName>
    <definedName name="철콘" hidden="1">{#N/A,#N/A,FALSE,"전력간선"}</definedName>
    <definedName name="철판공">#REF!</definedName>
    <definedName name="청림1호">#REF!</definedName>
    <definedName name="청림2호">#REF!</definedName>
    <definedName name="청림3호">#REF!</definedName>
    <definedName name="청암">#REF!</definedName>
    <definedName name="초" localSheetId="4" hidden="1">{#N/A,#N/A,TRUE,"960318-1";#N/A,#N/A,TRUE,"960318-2";#N/A,#N/A,TRUE,"960318-3"}</definedName>
    <definedName name="초" hidden="1">{#N/A,#N/A,TRUE,"960318-1";#N/A,#N/A,TRUE,"960318-2";#N/A,#N/A,TRUE,"960318-3"}</definedName>
    <definedName name="총공사비">#REF!</definedName>
    <definedName name="총공사비총괄표" hidden="1">#REF!</definedName>
    <definedName name="총괄2" localSheetId="4" hidden="1">{#N/A,#N/A,FALSE,"현장 NCR 분석";#N/A,#N/A,FALSE,"현장품질감사";#N/A,#N/A,FALSE,"현장품질감사"}</definedName>
    <definedName name="총괄2" hidden="1">{#N/A,#N/A,FALSE,"현장 NCR 분석";#N/A,#N/A,FALSE,"현장품질감사";#N/A,#N/A,FALSE,"현장품질감사"}</definedName>
    <definedName name="총괄표3" localSheetId="4" hidden="1">{#N/A,#N/A,FALSE,"현장 NCR 분석";#N/A,#N/A,FALSE,"현장품질감사";#N/A,#N/A,FALSE,"현장품질감사"}</definedName>
    <definedName name="총괄표3" hidden="1">{#N/A,#N/A,FALSE,"현장 NCR 분석";#N/A,#N/A,FALSE,"현장품질감사";#N/A,#N/A,FALSE,"현장품질감사"}</definedName>
    <definedName name="총원가">#REF!</definedName>
    <definedName name="총원가2">#REF!</definedName>
    <definedName name="최종2">#REF!</definedName>
    <definedName name="최종대비표">#N/A</definedName>
    <definedName name="추정2" hidden="1">#REF!</definedName>
    <definedName name="추정공사22" localSheetId="4" hidden="1">{#N/A,#N/A,FALSE,"지침";#N/A,#N/A,FALSE,"환경분석";#N/A,#N/A,FALSE,"Sheet16"}</definedName>
    <definedName name="추정공사22" hidden="1">{#N/A,#N/A,FALSE,"지침";#N/A,#N/A,FALSE,"환경분석";#N/A,#N/A,FALSE,"Sheet16"}</definedName>
    <definedName name="춘천" localSheetId="4">{"Book1","대전관저설변.xls"}</definedName>
    <definedName name="춘천">{"Book1","대전관저설변.xls"}</definedName>
    <definedName name="춘추" localSheetId="4" hidden="1">{#N/A,#N/A,FALSE,"현장 NCR 분석";#N/A,#N/A,FALSE,"현장품질감사";#N/A,#N/A,FALSE,"현장품질감사"}</definedName>
    <definedName name="춘추" hidden="1">{#N/A,#N/A,FALSE,"현장 NCR 분석";#N/A,#N/A,FALSE,"현장품질감사";#N/A,#N/A,FALSE,"현장품질감사"}</definedName>
    <definedName name="출판" localSheetId="4" hidden="1">{#N/A,#N/A,FALSE,"지침";#N/A,#N/A,FALSE,"환경분석";#N/A,#N/A,FALSE,"Sheet16"}</definedName>
    <definedName name="출판" hidden="1">{#N/A,#N/A,FALSE,"지침";#N/A,#N/A,FALSE,"환경분석";#N/A,#N/A,FALSE,"Sheet16"}</definedName>
    <definedName name="충돌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hidden="1">#REF!</definedName>
    <definedName name="취하" localSheetId="4" hidden="1">{#N/A,#N/A,FALSE,"이태원철근"}</definedName>
    <definedName name="취하" hidden="1">{#N/A,#N/A,FALSE,"이태원철근"}</definedName>
    <definedName name="취하실적1." localSheetId="4" hidden="1">{#N/A,#N/A,FALSE,"이태원철근"}</definedName>
    <definedName name="취하실적1." hidden="1">{#N/A,#N/A,FALSE,"이태원철근"}</definedName>
    <definedName name="측________부">#REF!</definedName>
    <definedName name="치장__벽돌공">#REF!</definedName>
    <definedName name="칠곡" localSheetId="4" hidden="1">{#N/A,#N/A,TRUE,"손익보고"}</definedName>
    <definedName name="칠곡" hidden="1">{#N/A,#N/A,TRUE,"손익보고"}</definedName>
    <definedName name="ㅋㅋㅋㅋㅋㅋ" localSheetId="4" hidden="1">{#N/A,#N/A,FALSE,"이태원철근"}</definedName>
    <definedName name="ㅋㅋㅋㅋㅋㅋ" hidden="1">{#N/A,#N/A,FALSE,"이태원철근"}</definedName>
    <definedName name="카메라" localSheetId="4" hidden="1">{#N/A,#N/A,FALSE,"지침";#N/A,#N/A,FALSE,"환경분석";#N/A,#N/A,FALSE,"Sheet16"}</definedName>
    <definedName name="카메라" hidden="1">{#N/A,#N/A,FALSE,"지침";#N/A,#N/A,FALSE,"환경분석";#N/A,#N/A,FALSE,"Sheet16"}</definedName>
    <definedName name="카메라11" localSheetId="4" hidden="1">{#N/A,#N/A,FALSE,"지침";#N/A,#N/A,FALSE,"환경분석";#N/A,#N/A,FALSE,"Sheet16"}</definedName>
    <definedName name="카메라11" hidden="1">{#N/A,#N/A,FALSE,"지침";#N/A,#N/A,FALSE,"환경분석";#N/A,#N/A,FALSE,"Sheet16"}</definedName>
    <definedName name="카메라1212" localSheetId="4" hidden="1">{#N/A,#N/A,FALSE,"지침";#N/A,#N/A,FALSE,"환경분석";#N/A,#N/A,FALSE,"Sheet16"}</definedName>
    <definedName name="카메라1212" hidden="1">{#N/A,#N/A,FALSE,"지침";#N/A,#N/A,FALSE,"환경분석";#N/A,#N/A,FALSE,"Sheet16"}</definedName>
    <definedName name="카메라라라라" localSheetId="4" hidden="1">{#N/A,#N/A,FALSE,"이태원철근"}</definedName>
    <definedName name="카메라라라라" hidden="1">{#N/A,#N/A,FALSE,"이태원철근"}</definedName>
    <definedName name="칼라샌드블록수량">#REF!</definedName>
    <definedName name="캐쉬" localSheetId="4" hidden="1">{#N/A,#N/A,FALSE,"지침";#N/A,#N/A,FALSE,"환경분석";#N/A,#N/A,FALSE,"Sheet16"}</definedName>
    <definedName name="캐쉬" hidden="1">{#N/A,#N/A,FALSE,"지침";#N/A,#N/A,FALSE,"환경분석";#N/A,#N/A,FALSE,"Sheet16"}</definedName>
    <definedName name="켄">#REF!</definedName>
    <definedName name="코___킹___공">#REF!</definedName>
    <definedName name="콘크">#REF!</definedName>
    <definedName name="콘크리트__공">#REF!</definedName>
    <definedName name="콘크리트_구입">#REF!</definedName>
    <definedName name="콘크리트_생산">#REF!</definedName>
    <definedName name="콘크리트_타설">#REF!</definedName>
    <definedName name="콘크리트공">#REF!</definedName>
    <definedName name="콘크리트공_광의">#REF!</definedName>
    <definedName name="크러셔">#REF!</definedName>
    <definedName name="ㅌㅌㅌㅌㅌㅌㅌ">#REF!</definedName>
    <definedName name="타___일___공">#REF!</definedName>
    <definedName name="타일공">#REF!</definedName>
    <definedName name="타타">#REF!</definedName>
    <definedName name="탄성고무받침">#REF!</definedName>
    <definedName name="터파기">#REF!</definedName>
    <definedName name="터파기고">#REF!</definedName>
    <definedName name="터파기깊이">#REF!</definedName>
    <definedName name="터파기깊이_12">#REF!</definedName>
    <definedName name="터파기리핑">#REF!</definedName>
    <definedName name="터파기반경">#REF!</definedName>
    <definedName name="터파기반경_12">#REF!</definedName>
    <definedName name="터파기발파암">#REF!</definedName>
    <definedName name="터파기체적">#REF!</definedName>
    <definedName name="터파기체적_12">#REF!</definedName>
    <definedName name="터파기토사">#REF!</definedName>
    <definedName name="테스트" hidden="1">#REF!</definedName>
    <definedName name="토건">#REF!</definedName>
    <definedName name="토공" localSheetId="4" hidden="1">{#N/A,#N/A,FALSE,"포장2"}</definedName>
    <definedName name="토공" hidden="1">{#N/A,#N/A,FALSE,"포장2"}</definedName>
    <definedName name="토공사">#REF!</definedName>
    <definedName name="토공사발주" localSheetId="4">{"Book1","TOTAL.xls"}</definedName>
    <definedName name="토공사발주">{"Book1","TOTAL.xls"}</definedName>
    <definedName name="토목1" localSheetId="4" hidden="1">{#N/A,#N/A,FALSE,"이태원철근"}</definedName>
    <definedName name="토목1" hidden="1">{#N/A,#N/A,FALSE,"이태원철근"}</definedName>
    <definedName name="토목견적" localSheetId="4" hidden="1">{#N/A,#N/A,FALSE,"골재소요량";#N/A,#N/A,FALSE,"골재소요량"}</definedName>
    <definedName name="토목견적" hidden="1">{#N/A,#N/A,FALSE,"골재소요량";#N/A,#N/A,FALSE,"골재소요량"}</definedName>
    <definedName name="토목실행" localSheetId="4" hidden="1">{#N/A,#N/A,FALSE,"골재소요량";#N/A,#N/A,FALSE,"골재소요량"}</definedName>
    <definedName name="토목실행" hidden="1">{#N/A,#N/A,FALSE,"골재소요량";#N/A,#N/A,FALSE,"골재소요량"}</definedName>
    <definedName name="토목지입재료비">#REF!</definedName>
    <definedName name="토사중량">#REF!</definedName>
    <definedName name="토사중량1">#REF!</definedName>
    <definedName name="토양">#REF!</definedName>
    <definedName name="토적" hidden="1">#REF!</definedName>
    <definedName name="토적집계">#REF!</definedName>
    <definedName name="토지이용">#REF!</definedName>
    <definedName name="통내">#REF!</definedName>
    <definedName name="통설">#REF!</definedName>
    <definedName name="통신__기능사">#REF!</definedName>
    <definedName name="통신__내선공">#REF!</definedName>
    <definedName name="통신__설비공">#REF!</definedName>
    <definedName name="통신__외선공">#REF!</definedName>
    <definedName name="통신기사_1급">#REF!</definedName>
    <definedName name="통신기사_2급">#REF!</definedName>
    <definedName name="통신케이블공">#REF!</definedName>
    <definedName name="통영수량">#REF!</definedName>
    <definedName name="통케">#REF!</definedName>
    <definedName name="통합사무실Data">#REF!</definedName>
    <definedName name="통합세부내역" localSheetId="4" hidden="1">{#N/A,#N/A,FALSE,"표지"}</definedName>
    <definedName name="통합세부내역" hidden="1">{#N/A,#N/A,FALSE,"표지"}</definedName>
    <definedName name="통합세부내역1" localSheetId="4" hidden="1">{#N/A,#N/A,TRUE,"1";#N/A,#N/A,TRUE,"2";#N/A,#N/A,TRUE,"3";#N/A,#N/A,TRUE,"4";#N/A,#N/A,TRUE,"5";#N/A,#N/A,TRUE,"6";#N/A,#N/A,TRUE,"7"}</definedName>
    <definedName name="통합세부내역1" hidden="1">{#N/A,#N/A,TRUE,"1";#N/A,#N/A,TRUE,"2";#N/A,#N/A,TRUE,"3";#N/A,#N/A,TRUE,"4";#N/A,#N/A,TRUE,"5";#N/A,#N/A,TRUE,"6";#N/A,#N/A,TRUE,"7"}</definedName>
    <definedName name="투입">#REF!</definedName>
    <definedName name="투입일정표" hidden="1">#REF!</definedName>
    <definedName name="투자내역" localSheetId="4" hidden="1">{#N/A,#N/A,FALSE,"제목"}</definedName>
    <definedName name="투자내역" hidden="1">{#N/A,#N/A,FALSE,"제목"}</definedName>
    <definedName name="투자안" localSheetId="4" hidden="1">{"'Sheet1'!$A$1:$H$36"}</definedName>
    <definedName name="투자안" hidden="1">{"'Sheet1'!$A$1:$H$36"}</definedName>
    <definedName name="투찰서_2">#N/A</definedName>
    <definedName name="투찰서_3">#N/A</definedName>
    <definedName name="투찰서2">#N/A</definedName>
    <definedName name="투찰표" localSheetId="4" hidden="1">{#N/A,#N/A,FALSE,"부대1"}</definedName>
    <definedName name="투찰표" hidden="1">{#N/A,#N/A,FALSE,"부대1"}</definedName>
    <definedName name="툿" localSheetId="4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_별__인_부">#REF!</definedName>
    <definedName name="특_수_화__공">#REF!</definedName>
    <definedName name="특고">#REF!</definedName>
    <definedName name="특고압케이블전공">#REF!</definedName>
    <definedName name="특급원자력비파괴시험">#REF!</definedName>
    <definedName name="특기시방" hidden="1">#REF!</definedName>
    <definedName name="특별">#REF!</definedName>
    <definedName name="특별인부">#REF!</definedName>
    <definedName name="특별인부_1">#REF!</definedName>
    <definedName name="특수비계공">#REF!</definedName>
    <definedName name="특수비계공_1">#REF!</definedName>
    <definedName name="특수비계공_24">#REF!</definedName>
    <definedName name="특수비계공_25">#REF!</definedName>
    <definedName name="티" localSheetId="4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팀별계획" localSheetId="4" hidden="1">{#N/A,#N/A,FALSE,"UNIT";#N/A,#N/A,FALSE,"UNIT";#N/A,#N/A,FALSE,"계정"}</definedName>
    <definedName name="팀별계획" hidden="1">{#N/A,#N/A,FALSE,"UNIT";#N/A,#N/A,FALSE,"UNIT";#N/A,#N/A,FALSE,"계정"}</definedName>
    <definedName name="ㅍ49">#REF!</definedName>
    <definedName name="ㅍㅇㄴ" hidden="1">#REF!</definedName>
    <definedName name="ㅍㅋㅌㅊㅍㅇㄷ" hidden="1">#REF!</definedName>
    <definedName name="ㅍ큪ㅊㅋ" hidden="1">#REF!</definedName>
    <definedName name="ㅍㅍ" hidden="1">#REF!</definedName>
    <definedName name="ㅍㅍㅍ" hidden="1">#REF!</definedName>
    <definedName name="ㅍㅍㅍㅍ" hidden="1">#REF!</definedName>
    <definedName name="ㅍㅍㅍㅍㅍ" hidden="1">#REF!</definedName>
    <definedName name="ㅍㅍㅍㅍㅍㅍ" hidden="1">#REF!</definedName>
    <definedName name="ㅍㅍㅍㅍㅍㅍㅍ" hidden="1">#REF!</definedName>
    <definedName name="파주보고최종4.26" localSheetId="4" hidden="1">{#N/A,#N/A,FALSE,"현장 NCR 분석";#N/A,#N/A,FALSE,"현장품질감사";#N/A,#N/A,FALSE,"현장품질감사"}</definedName>
    <definedName name="파주보고최종4.26" hidden="1">{#N/A,#N/A,FALSE,"현장 NCR 분석";#N/A,#N/A,FALSE,"현장품질감사";#N/A,#N/A,FALSE,"현장품질감사"}</definedName>
    <definedName name="판넬__조립공">#REF!</definedName>
    <definedName name="八11" localSheetId="4" hidden="1">{#N/A,#N/A,FALSE,"조골재"}</definedName>
    <definedName name="八11" hidden="1">{#N/A,#N/A,FALSE,"조골재"}</definedName>
    <definedName name="펌프구경">#REF!</definedName>
    <definedName name="페기갑지" hidden="1">#REF!</definedName>
    <definedName name="평가대상지역">#REF!</definedName>
    <definedName name="평당비교전체" hidden="1">#REF!</definedName>
    <definedName name="폐기" hidden="1">#REF!</definedName>
    <definedName name="폐기물">#REF!</definedName>
    <definedName name="포___설___공">#REF!</definedName>
    <definedName name="포___장___공">#REF!</definedName>
    <definedName name="포장">#REF!</definedName>
    <definedName name="포장2월ocf" localSheetId="4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4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장공">#REF!</definedName>
    <definedName name="포장공수량집계표">#REF!</definedName>
    <definedName name="폭">#REF!</definedName>
    <definedName name="폭원">#REF!</definedName>
    <definedName name="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hidden="1">#REF!</definedName>
    <definedName name="표지1" hidden="1">#REF!</definedName>
    <definedName name="표지2" hidden="1">#REF!</definedName>
    <definedName name="품_______">#N/A</definedName>
    <definedName name="품명">#N/A</definedName>
    <definedName name="품의서1" hidden="1">#REF!</definedName>
    <definedName name="풍전2" localSheetId="4" hidden="1">{#N/A,#N/A,TRUE,"손익보고"}</definedName>
    <definedName name="풍전2" hidden="1">{#N/A,#N/A,TRUE,"손익보고"}</definedName>
    <definedName name="퓸" localSheetId="4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플랜트__전공">#REF!</definedName>
    <definedName name="플랜트기계설치공">#REF!</definedName>
    <definedName name="플랜트배관공">#REF!</definedName>
    <definedName name="플랜트용접공">#REF!</definedName>
    <definedName name="플랜트제관공">#REF!</definedName>
    <definedName name="플랜트특수용접공">#REF!</definedName>
    <definedName name="피브이씨" localSheetId="4" hidden="1">{#N/A,#N/A,FALSE,"전력간선"}</definedName>
    <definedName name="피브이씨" hidden="1">{#N/A,#N/A,FALSE,"전력간선"}</definedName>
    <definedName name="ㅎ" hidden="1">#REF!</definedName>
    <definedName name="ㅎ314">#REF!</definedName>
    <definedName name="ㅎㄴㅇㅁㄹ" hidden="1">#REF!</definedName>
    <definedName name="ㅎㄹ" hidden="1">#REF!</definedName>
    <definedName name="ㅎㅀㅇ" hidden="1">#N/A</definedName>
    <definedName name="ㅎㅁㄴ" hidden="1">#N/A</definedName>
    <definedName name="ㅎㅁㅇㅎㅇㅁㅀㅁㅎ" hidden="1">#REF!</definedName>
    <definedName name="ㅎㅇㄶㄷㄱ" hidden="1">#REF!</definedName>
    <definedName name="ㅎㅎ" localSheetId="4" hidden="1">{"'표지'!$B$5"}</definedName>
    <definedName name="ㅎㅎ" hidden="1">{"'표지'!$B$5"}</definedName>
    <definedName name="ㅎㅎㅀ" hidden="1">#N/A</definedName>
    <definedName name="ㅎㅎㅎㅎ">#REF!</definedName>
    <definedName name="ㅎㅎㅎㅎㅎ" localSheetId="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ㅎㅎㅎㅎㅎ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하도4" hidden="1">255</definedName>
    <definedName name="하도6" hidden="1">255</definedName>
    <definedName name="하도급8" hidden="1">255</definedName>
    <definedName name="하부높이">#REF!</definedName>
    <definedName name="하부두께">#REF!</definedName>
    <definedName name="하하" localSheetId="4" hidden="1">{#N/A,#N/A,FALSE,"예상손익";#N/A,#N/A,FALSE,"관리분석";#N/A,#N/A,FALSE,"장비분석";#N/A,#N/A,FALSE,"준설분석";#N/A,#N/A,FALSE,"철구분석"}</definedName>
    <definedName name="하하" hidden="1">{#N/A,#N/A,FALSE,"예상손익";#N/A,#N/A,FALSE,"관리분석";#N/A,#N/A,FALSE,"장비분석";#N/A,#N/A,FALSE,"준설분석";#N/A,#N/A,FALSE,"철구분석"}</definedName>
    <definedName name="학" localSheetId="4" hidden="1">{#N/A,#N/A,TRUE,"960318-1";#N/A,#N/A,TRUE,"960318-2";#N/A,#N/A,TRUE,"960318-3"}</definedName>
    <definedName name="학" hidden="1">{#N/A,#N/A,TRUE,"960318-1";#N/A,#N/A,TRUE,"960318-2";#N/A,#N/A,TRUE,"960318-3"}</definedName>
    <definedName name="학익" localSheetId="4" hidden="1">{#N/A,#N/A,TRUE,"960318-1";#N/A,#N/A,TRUE,"960318-2";#N/A,#N/A,TRUE,"960318-3"}</definedName>
    <definedName name="학익" hidden="1">{#N/A,#N/A,TRUE,"960318-1";#N/A,#N/A,TRUE,"960318-2";#N/A,#N/A,TRUE,"960318-3"}</definedName>
    <definedName name="한_식__목_공">#REF!</definedName>
    <definedName name="한_식__와_공">#REF!</definedName>
    <definedName name="한교1호">#REF!</definedName>
    <definedName name="한교2호">#REF!</definedName>
    <definedName name="한교3호">#REF!</definedName>
    <definedName name="한식__미장공">#REF!</definedName>
    <definedName name="한식목공조공">#REF!</definedName>
    <definedName name="한식와공조공">#REF!</definedName>
    <definedName name="한울" hidden="1">#REF!</definedName>
    <definedName name="한울11" hidden="1">#REF!</definedName>
    <definedName name="한전수탁비">#REF!</definedName>
    <definedName name="핟" localSheetId="4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4" hidden="1">{#N/A,#N/A,TRUE,"960318-1";#N/A,#N/A,TRUE,"960318-2";#N/A,#N/A,TRUE,"960318-3"}</definedName>
    <definedName name="할" hidden="1">{#N/A,#N/A,TRUE,"960318-1";#N/A,#N/A,TRUE,"960318-2";#N/A,#N/A,TRUE,"960318-3"}</definedName>
    <definedName name="할___석___공">#REF!</definedName>
    <definedName name="할마버지" localSheetId="4" hidden="1">{#N/A,#N/A,FALSE,"이태원철근"}</definedName>
    <definedName name="할마버지" hidden="1">{#N/A,#N/A,FALSE,"이태원철근"}</definedName>
    <definedName name="할석공">#REF!</definedName>
    <definedName name="함" localSheetId="4" hidden="1">{#N/A,#N/A,TRUE,"960318-1";#N/A,#N/A,TRUE,"960318-2";#N/A,#N/A,TRUE,"960318-3"}</definedName>
    <definedName name="함" hidden="1">{#N/A,#N/A,TRUE,"960318-1";#N/A,#N/A,TRUE,"960318-2";#N/A,#N/A,TRUE,"960318-3"}</definedName>
    <definedName name="함___석___공">#REF!</definedName>
    <definedName name="합계">#REF!</definedName>
    <definedName name="합판">#REF!</definedName>
    <definedName name="합판거푸집">#REF!</definedName>
    <definedName name="핫" localSheetId="4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4" hidden="1">{#N/A,#N/A,TRUE,"960318-1";#N/A,#N/A,TRUE,"960318-2";#N/A,#N/A,TRUE,"960318-3"}</definedName>
    <definedName name="항" hidden="1">{#N/A,#N/A,TRUE,"960318-1";#N/A,#N/A,TRUE,"960318-2";#N/A,#N/A,TRUE,"960318-3"}</definedName>
    <definedName name="항타길이_경사">#REF!</definedName>
    <definedName name="항타길이_수직">#REF!</definedName>
    <definedName name="핳" localSheetId="4" hidden="1">{#N/A,#N/A,TRUE,"960318-1";#N/A,#N/A,TRUE,"960318-2";#N/A,#N/A,TRUE,"960318-3"}</definedName>
    <definedName name="핳" hidden="1">{#N/A,#N/A,TRUE,"960318-1";#N/A,#N/A,TRUE,"960318-2";#N/A,#N/A,TRUE,"960318-3"}</definedName>
    <definedName name="해당월">#REF!</definedName>
    <definedName name="해성특시" hidden="1">#REF!</definedName>
    <definedName name="행" localSheetId="4" hidden="1">{#N/A,#N/A,FALSE,"이태원철근"}</definedName>
    <definedName name="행" hidden="1">{#N/A,#N/A,FALSE,"이태원철근"}</definedName>
    <definedName name="햐" localSheetId="4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4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헌치X">#REF!</definedName>
    <definedName name="헌치Y">#REF!</definedName>
    <definedName name="현___도___사">#REF!</definedName>
    <definedName name="현장여건">#REF!</definedName>
    <definedName name="형강단중집계_형강단중집계_List">#REF!</definedName>
    <definedName name="형틀">#REF!</definedName>
    <definedName name="형틀목공">#REF!</definedName>
    <definedName name="형틀목공_1">#REF!</definedName>
    <definedName name="형틀목공_24">#REF!</definedName>
    <definedName name="형틀목공_25">#REF!</definedName>
    <definedName name="호" localSheetId="4" hidden="1">{#N/A,#N/A,TRUE,"960318-1";#N/A,#N/A,TRUE,"960318-2";#N/A,#N/A,TRUE,"960318-3"}</definedName>
    <definedName name="호" hidden="1">{#N/A,#N/A,TRUE,"960318-1";#N/A,#N/A,TRUE,"960318-2";#N/A,#N/A,TRUE,"960318-3"}</definedName>
    <definedName name="호ㅓㅕㅏ6ㅅ서ㅛㅓ" hidden="1">#REF!</definedName>
    <definedName name="호ㅓㅗ허ㅗ허" localSheetId="4" hidden="1">{"'Sheet1'!$A$1:$H$36"}</definedName>
    <definedName name="호ㅓㅗ허ㅗ허" hidden="1">{"'Sheet1'!$A$1:$H$36"}</definedName>
    <definedName name="혿" localSheetId="4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4" hidden="1">{#N/A,#N/A,TRUE,"960318-1";#N/A,#N/A,TRUE,"960318-2";#N/A,#N/A,TRUE,"960318-3"}</definedName>
    <definedName name="홀" hidden="1">{#N/A,#N/A,TRUE,"960318-1";#N/A,#N/A,TRUE,"960318-2";#N/A,#N/A,TRUE,"960318-3"}</definedName>
    <definedName name="홈" localSheetId="4" hidden="1">{#N/A,#N/A,TRUE,"960318-1";#N/A,#N/A,TRUE,"960318-2";#N/A,#N/A,TRUE,"960318-3"}</definedName>
    <definedName name="홈" hidden="1">{#N/A,#N/A,TRUE,"960318-1";#N/A,#N/A,TRUE,"960318-2";#N/A,#N/A,TRUE,"960318-3"}</definedName>
    <definedName name="홈통받이수량">#REF!</definedName>
    <definedName name="홉" localSheetId="4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4" hidden="1">{#N/A,#N/A,TRUE,"960318-1";#N/A,#N/A,TRUE,"960318-2";#N/A,#N/A,TRUE,"960318-3"}</definedName>
    <definedName name="홋" hidden="1">{#N/A,#N/A,TRUE,"960318-1";#N/A,#N/A,TRUE,"960318-2";#N/A,#N/A,TRUE,"960318-3"}</definedName>
    <definedName name="홋ㄱ" hidden="1">#REF!</definedName>
    <definedName name="홍" localSheetId="4" hidden="1">{#N/A,#N/A,TRUE,"960318-1";#N/A,#N/A,TRUE,"960318-2";#N/A,#N/A,TRUE,"960318-3"}</definedName>
    <definedName name="홍" hidden="1">{#N/A,#N/A,TRUE,"960318-1";#N/A,#N/A,TRUE,"960318-2";#N/A,#N/A,TRUE,"960318-3"}</definedName>
    <definedName name="홍ㄹㄴㄷㄱ" hidden="1">#REF!</definedName>
    <definedName name="홍범표" localSheetId="4" hidden="1">{#N/A,#N/A,FALSE,"이태원철근"}</definedName>
    <definedName name="홍범표" hidden="1">{#N/A,#N/A,FALSE,"이태원철근"}</definedName>
    <definedName name="홎" localSheetId="4" hidden="1">{#N/A,#N/A,TRUE,"960318-1";#N/A,#N/A,TRUE,"960318-2";#N/A,#N/A,TRUE,"960318-3"}</definedName>
    <definedName name="홎" hidden="1">{#N/A,#N/A,TRUE,"960318-1";#N/A,#N/A,TRUE,"960318-2";#N/A,#N/A,TRUE,"960318-3"}</definedName>
    <definedName name="홏" localSheetId="4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4" hidden="1">{#N/A,#N/A,TRUE,"960318-1";#N/A,#N/A,TRUE,"960318-2";#N/A,#N/A,TRUE,"960318-3"}</definedName>
    <definedName name="홓" hidden="1">{#N/A,#N/A,TRUE,"960318-1";#N/A,#N/A,TRUE,"960318-2";#N/A,#N/A,TRUE,"960318-3"}</definedName>
    <definedName name="화________공">#REF!</definedName>
    <definedName name="화신1호">#REF!</definedName>
    <definedName name="화신2호">#REF!</definedName>
    <definedName name="화신기존1">#REF!</definedName>
    <definedName name="화신기존2">#REF!</definedName>
    <definedName name="화약__취급공">#REF!</definedName>
    <definedName name="확">#REF!</definedName>
    <definedName name="확이" localSheetId="4" hidden="1">{#N/A,#N/A,FALSE,"현장 NCR 분석";#N/A,#N/A,FALSE,"현장품질감사";#N/A,#N/A,FALSE,"현장품질감사"}</definedName>
    <definedName name="확이" hidden="1">{#N/A,#N/A,FALSE,"현장 NCR 분석";#N/A,#N/A,FALSE,"현장품질감사";#N/A,#N/A,FALSE,"현장품질감사"}</definedName>
    <definedName name="환경복리2">#REF!</definedName>
    <definedName name="환경영향요소">#REF!</definedName>
    <definedName name="활주로">#REF!</definedName>
    <definedName name="회사명">#REF!</definedName>
    <definedName name="회시1호">#REF!</definedName>
    <definedName name="회시2호">#REF!</definedName>
    <definedName name="효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4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후다">#N/A</definedName>
    <definedName name="흥진토건견적안" localSheetId="4">{"Book1","TOTAL.xls"}</definedName>
    <definedName name="흥진토건견적안">{"Book1","TOTAL.xls"}</definedName>
    <definedName name="희선">#REF!,#REF!,#REF!,#REF!,#REF!,#REF!,#REF!,#REF!,#REF!,#REF!,#REF!,#REF!,#REF!,#REF!,#REF!,#REF!,#REF!,#REF!,#REF!</definedName>
    <definedName name="히" localSheetId="4" hidden="1">{#N/A,#N/A,TRUE,"960318-1";#N/A,#N/A,TRUE,"960318-2";#N/A,#N/A,TRUE,"960318-3"}</definedName>
    <definedName name="히" hidden="1">{#N/A,#N/A,TRUE,"960318-1";#N/A,#N/A,TRUE,"960318-2";#N/A,#N/A,TRUE,"960318-3"}</definedName>
    <definedName name="힌울" hidden="1">#REF!</definedName>
    <definedName name="힙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1" hidden="1">#REF!</definedName>
    <definedName name="ㅏ271">#REF!</definedName>
    <definedName name="ㅏ아">#REF!</definedName>
    <definedName name="ㅏㅕ라ㅕ" hidden="1">#REF!</definedName>
    <definedName name="ㅏㅗㅇ" localSheetId="4" hidden="1">{#N/A,#N/A,FALSE,"현장 NCR 분석";#N/A,#N/A,FALSE,"현장품질감사";#N/A,#N/A,FALSE,"현장품질감사"}</definedName>
    <definedName name="ㅏㅗㅇ" hidden="1">{#N/A,#N/A,FALSE,"현장 NCR 분석";#N/A,#N/A,FALSE,"현장품질감사";#N/A,#N/A,FALSE,"현장품질감사"}</definedName>
    <definedName name="ㅐ26">#REF!</definedName>
    <definedName name="ㅑㅡㅑ" localSheetId="4" hidden="1">{#N/A,#N/A,FALSE,"갑지";#N/A,#N/A,FALSE,"개요";#N/A,#N/A,FALSE,"비목별";#N/A,#N/A,FALSE,"건물별";#N/A,#N/A,FALSE,"기구표";#N/A,#N/A,FALSE,"직원투입"}</definedName>
    <definedName name="ㅑㅡㅑ" hidden="1">{#N/A,#N/A,FALSE,"갑지";#N/A,#N/A,FALSE,"개요";#N/A,#N/A,FALSE,"비목별";#N/A,#N/A,FALSE,"건물별";#N/A,#N/A,FALSE,"기구표";#N/A,#N/A,FALSE,"직원투입"}</definedName>
    <definedName name="ㅓ1514">#REF!</definedName>
    <definedName name="ㅓ88">#REF!</definedName>
    <definedName name="ㅓㄴㄱ" hidden="1">#REF!</definedName>
    <definedName name="ㅓ홀" localSheetId="4" hidden="1">{#N/A,#N/A,FALSE,"포장2"}</definedName>
    <definedName name="ㅓ홀" hidden="1">{#N/A,#N/A,FALSE,"포장2"}</definedName>
    <definedName name="ㅓㅏㅏㅓㅗ" hidden="1">#REF!</definedName>
    <definedName name="ㅓㅗㅇㄴㄱㄷㄱ" localSheetId="4" hidden="1">{#N/A,#N/A,FALSE,"지침";#N/A,#N/A,FALSE,"환경분석";#N/A,#N/A,FALSE,"Sheet16"}</definedName>
    <definedName name="ㅓㅗㅇㄴㄱㄷㄱ" hidden="1">{#N/A,#N/A,FALSE,"지침";#N/A,#N/A,FALSE,"환경분석";#N/A,#N/A,FALSE,"Sheet16"}</definedName>
    <definedName name="ㅔ19">#REF!</definedName>
    <definedName name="ㅔㅐ" hidden="1">#REF!</definedName>
    <definedName name="ㅔㅔㅔㅔㅔ" hidden="1">#REF!</definedName>
    <definedName name="ㅕ" hidden="1">#REF!</definedName>
    <definedName name="ㅕㅑㅐㅔ" hidden="1">#REF!</definedName>
    <definedName name="ㅕㅕㅕ" hidden="1">#REF!</definedName>
    <definedName name="ㅗ1">#REF!</definedName>
    <definedName name="ㅗ40">#REF!</definedName>
    <definedName name="ㅗ7254">#REF!</definedName>
    <definedName name="ㅗㅎ롷롷ㄹ" hidden="1">#REF!</definedName>
    <definedName name="ㅗㅓㅏ">#REF!</definedName>
    <definedName name="ㅘㅗ허ㅎ" hidden="1">#REF!</definedName>
    <definedName name="ㅛㅛㅛㅛㅛ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ㅛㅛㅛㅛㅛ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ㅜㅠㅊ퓨ㅜ" hidden="1">#REF!</definedName>
    <definedName name="ㅠ121">#REF!</definedName>
    <definedName name="ㅠ238">#REF!</definedName>
    <definedName name="ㅠㄴㅀㅎ" hidden="1">#REF!</definedName>
    <definedName name="ㅠㅁㄹㅇㄹ" hidden="1">#REF!</definedName>
    <definedName name="ㅠㅇㅁㄹㅇㅁ" hidden="1">#REF!</definedName>
    <definedName name="ㅠㅇㅎㄹ" hidden="1">#N/A</definedName>
    <definedName name="ㅠㅠ" hidden="1">#REF!</definedName>
    <definedName name="ㅠㅠㅠ" hidden="1">#REF!</definedName>
    <definedName name="ㅠㅠㅠㅠㅠ" hidden="1">#REF!</definedName>
    <definedName name="ㅠㅠㅠㅠㅠㅠ" hidden="1">#REF!</definedName>
    <definedName name="ㅣ">#REF!</definedName>
    <definedName name="ㅣㅏㅚㅗㅓ" hidden="1">#REF!</definedName>
    <definedName name="ㅣㅑㅕㅗ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4" l="1"/>
  <c r="C30" i="4"/>
  <c r="A30" i="4" s="1"/>
  <c r="D30" i="4"/>
  <c r="F30" i="4"/>
  <c r="G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CE575" i="3"/>
  <c r="CD575" i="3"/>
  <c r="CC575" i="3"/>
  <c r="CB575" i="3"/>
  <c r="CA575" i="3"/>
  <c r="BZ575" i="3"/>
  <c r="BY575" i="3"/>
  <c r="BX575" i="3"/>
  <c r="BW575" i="3"/>
  <c r="BV575" i="3"/>
  <c r="BU575" i="3"/>
  <c r="BT575" i="3"/>
  <c r="BS575" i="3"/>
  <c r="BR575" i="3"/>
  <c r="BQ575" i="3"/>
  <c r="BP575" i="3"/>
  <c r="BO575" i="3"/>
  <c r="BN575" i="3"/>
  <c r="BM575" i="3"/>
  <c r="BL575" i="3"/>
  <c r="BK575" i="3"/>
  <c r="BJ575" i="3"/>
  <c r="BI575" i="3"/>
  <c r="BH575" i="3"/>
  <c r="BG575" i="3"/>
  <c r="BF575" i="3"/>
  <c r="BE575" i="3"/>
  <c r="BD575" i="3"/>
  <c r="BC575" i="3"/>
  <c r="BB575" i="3"/>
  <c r="BA575" i="3"/>
  <c r="AZ575" i="3"/>
  <c r="AY575" i="3"/>
  <c r="AX575" i="3"/>
  <c r="AW575" i="3"/>
  <c r="AV575" i="3"/>
  <c r="AR575" i="3"/>
  <c r="AS575" i="3" s="1"/>
  <c r="B575" i="3"/>
  <c r="CE574" i="3"/>
  <c r="CD574" i="3"/>
  <c r="CC574" i="3"/>
  <c r="CB574" i="3"/>
  <c r="CA574" i="3"/>
  <c r="BZ574" i="3"/>
  <c r="BY574" i="3"/>
  <c r="BX574" i="3"/>
  <c r="BW574" i="3"/>
  <c r="BV574" i="3"/>
  <c r="BU574" i="3"/>
  <c r="BT574" i="3"/>
  <c r="BS574" i="3"/>
  <c r="BR574" i="3"/>
  <c r="BQ574" i="3"/>
  <c r="BP574" i="3"/>
  <c r="BO574" i="3"/>
  <c r="BN574" i="3"/>
  <c r="BM574" i="3"/>
  <c r="BL574" i="3"/>
  <c r="BK574" i="3"/>
  <c r="BJ574" i="3"/>
  <c r="BI574" i="3"/>
  <c r="BH574" i="3"/>
  <c r="BG574" i="3"/>
  <c r="BF574" i="3"/>
  <c r="BE574" i="3"/>
  <c r="BD574" i="3"/>
  <c r="BC574" i="3"/>
  <c r="BB574" i="3"/>
  <c r="BA574" i="3"/>
  <c r="AZ574" i="3"/>
  <c r="AY574" i="3"/>
  <c r="AX574" i="3"/>
  <c r="AW574" i="3"/>
  <c r="AV574" i="3"/>
  <c r="AR574" i="3"/>
  <c r="AS574" i="3" s="1"/>
  <c r="B574" i="3"/>
  <c r="CE573" i="3"/>
  <c r="CD573" i="3"/>
  <c r="CC573" i="3"/>
  <c r="CB573" i="3"/>
  <c r="CA573" i="3"/>
  <c r="BZ573" i="3"/>
  <c r="BY573" i="3"/>
  <c r="BX573" i="3"/>
  <c r="BW573" i="3"/>
  <c r="BV573" i="3"/>
  <c r="BU573" i="3"/>
  <c r="BT573" i="3"/>
  <c r="BS573" i="3"/>
  <c r="BR573" i="3"/>
  <c r="BQ573" i="3"/>
  <c r="BP573" i="3"/>
  <c r="BO573" i="3"/>
  <c r="BN573" i="3"/>
  <c r="BM573" i="3"/>
  <c r="BL573" i="3"/>
  <c r="BK573" i="3"/>
  <c r="BJ573" i="3"/>
  <c r="BI573" i="3"/>
  <c r="BH573" i="3"/>
  <c r="BG573" i="3"/>
  <c r="BF573" i="3"/>
  <c r="BE573" i="3"/>
  <c r="BD573" i="3"/>
  <c r="BC573" i="3"/>
  <c r="BB573" i="3"/>
  <c r="BA573" i="3"/>
  <c r="AZ573" i="3"/>
  <c r="AY573" i="3"/>
  <c r="AX573" i="3"/>
  <c r="AW573" i="3"/>
  <c r="AV573" i="3"/>
  <c r="AR573" i="3"/>
  <c r="AS573" i="3" s="1"/>
  <c r="B573" i="3"/>
  <c r="CE572" i="3"/>
  <c r="CD572" i="3"/>
  <c r="CC572" i="3"/>
  <c r="CB572" i="3"/>
  <c r="CA572" i="3"/>
  <c r="BZ572" i="3"/>
  <c r="BY572" i="3"/>
  <c r="BX572" i="3"/>
  <c r="BW572" i="3"/>
  <c r="BV572" i="3"/>
  <c r="BU572" i="3"/>
  <c r="BT572" i="3"/>
  <c r="BS572" i="3"/>
  <c r="BR572" i="3"/>
  <c r="BQ572" i="3"/>
  <c r="BP572" i="3"/>
  <c r="BO572" i="3"/>
  <c r="BN572" i="3"/>
  <c r="BM572" i="3"/>
  <c r="BL572" i="3"/>
  <c r="BK572" i="3"/>
  <c r="BJ572" i="3"/>
  <c r="BI572" i="3"/>
  <c r="BH572" i="3"/>
  <c r="BG572" i="3"/>
  <c r="BF572" i="3"/>
  <c r="BE572" i="3"/>
  <c r="BD572" i="3"/>
  <c r="BC572" i="3"/>
  <c r="BB572" i="3"/>
  <c r="BA572" i="3"/>
  <c r="AZ572" i="3"/>
  <c r="AY572" i="3"/>
  <c r="AX572" i="3"/>
  <c r="AW572" i="3"/>
  <c r="AV572" i="3"/>
  <c r="AR572" i="3"/>
  <c r="AS572" i="3" s="1"/>
  <c r="B572" i="3"/>
  <c r="CE571" i="3"/>
  <c r="CD571" i="3"/>
  <c r="CC571" i="3"/>
  <c r="CB571" i="3"/>
  <c r="CA571" i="3"/>
  <c r="BZ571" i="3"/>
  <c r="BY571" i="3"/>
  <c r="BX571" i="3"/>
  <c r="BW571" i="3"/>
  <c r="BV571" i="3"/>
  <c r="BU571" i="3"/>
  <c r="BT571" i="3"/>
  <c r="BS571" i="3"/>
  <c r="BR571" i="3"/>
  <c r="BQ571" i="3"/>
  <c r="BP571" i="3"/>
  <c r="BO571" i="3"/>
  <c r="BN571" i="3"/>
  <c r="BM571" i="3"/>
  <c r="BL571" i="3"/>
  <c r="BK571" i="3"/>
  <c r="BJ571" i="3"/>
  <c r="BI571" i="3"/>
  <c r="BH571" i="3"/>
  <c r="BG571" i="3"/>
  <c r="BF571" i="3"/>
  <c r="BE571" i="3"/>
  <c r="BD571" i="3"/>
  <c r="BC571" i="3"/>
  <c r="BB571" i="3"/>
  <c r="BA571" i="3"/>
  <c r="AZ571" i="3"/>
  <c r="AY571" i="3"/>
  <c r="AX571" i="3"/>
  <c r="AW571" i="3"/>
  <c r="AV571" i="3"/>
  <c r="B571" i="3"/>
  <c r="CE570" i="3"/>
  <c r="CD570" i="3"/>
  <c r="CC570" i="3"/>
  <c r="CB570" i="3"/>
  <c r="CA570" i="3"/>
  <c r="BZ570" i="3"/>
  <c r="BY570" i="3"/>
  <c r="BX570" i="3"/>
  <c r="BW570" i="3"/>
  <c r="BV570" i="3"/>
  <c r="BU570" i="3"/>
  <c r="BT570" i="3"/>
  <c r="BS570" i="3"/>
  <c r="BR570" i="3"/>
  <c r="BQ570" i="3"/>
  <c r="BP570" i="3"/>
  <c r="BO570" i="3"/>
  <c r="BN570" i="3"/>
  <c r="BM570" i="3"/>
  <c r="BL570" i="3"/>
  <c r="BK570" i="3"/>
  <c r="BJ570" i="3"/>
  <c r="BI570" i="3"/>
  <c r="BH570" i="3"/>
  <c r="BG570" i="3"/>
  <c r="BF570" i="3"/>
  <c r="BE570" i="3"/>
  <c r="BD570" i="3"/>
  <c r="BC570" i="3"/>
  <c r="BB570" i="3"/>
  <c r="BA570" i="3"/>
  <c r="AZ570" i="3"/>
  <c r="AY570" i="3"/>
  <c r="AX570" i="3"/>
  <c r="AW570" i="3"/>
  <c r="AV570" i="3"/>
  <c r="AR570" i="3"/>
  <c r="AS570" i="3" s="1"/>
  <c r="B570" i="3"/>
  <c r="CE569" i="3"/>
  <c r="CD569" i="3"/>
  <c r="CC569" i="3"/>
  <c r="CB569" i="3"/>
  <c r="CA569" i="3"/>
  <c r="BZ569" i="3"/>
  <c r="BY569" i="3"/>
  <c r="BX569" i="3"/>
  <c r="BW569" i="3"/>
  <c r="BV569" i="3"/>
  <c r="BU569" i="3"/>
  <c r="BT569" i="3"/>
  <c r="BS569" i="3"/>
  <c r="BR569" i="3"/>
  <c r="BQ569" i="3"/>
  <c r="BP569" i="3"/>
  <c r="BO569" i="3"/>
  <c r="BN569" i="3"/>
  <c r="BM569" i="3"/>
  <c r="BL569" i="3"/>
  <c r="BK569" i="3"/>
  <c r="BJ569" i="3"/>
  <c r="BI569" i="3"/>
  <c r="BH569" i="3"/>
  <c r="BG569" i="3"/>
  <c r="BF569" i="3"/>
  <c r="BE569" i="3"/>
  <c r="BD569" i="3"/>
  <c r="BC569" i="3"/>
  <c r="BB569" i="3"/>
  <c r="BA569" i="3"/>
  <c r="AZ569" i="3"/>
  <c r="AY569" i="3"/>
  <c r="AX569" i="3"/>
  <c r="AW569" i="3"/>
  <c r="AV569" i="3"/>
  <c r="B569" i="3"/>
  <c r="CE568" i="3"/>
  <c r="CD568" i="3"/>
  <c r="CC568" i="3"/>
  <c r="CB568" i="3"/>
  <c r="CA568" i="3"/>
  <c r="BZ568" i="3"/>
  <c r="BY568" i="3"/>
  <c r="BX568" i="3"/>
  <c r="BW568" i="3"/>
  <c r="BV568" i="3"/>
  <c r="BU568" i="3"/>
  <c r="BT568" i="3"/>
  <c r="BS568" i="3"/>
  <c r="BR568" i="3"/>
  <c r="BQ568" i="3"/>
  <c r="BP568" i="3"/>
  <c r="BO568" i="3"/>
  <c r="BN568" i="3"/>
  <c r="BM568" i="3"/>
  <c r="BL568" i="3"/>
  <c r="BK568" i="3"/>
  <c r="BJ568" i="3"/>
  <c r="BI568" i="3"/>
  <c r="BH568" i="3"/>
  <c r="BG568" i="3"/>
  <c r="BF568" i="3"/>
  <c r="BE568" i="3"/>
  <c r="BD568" i="3"/>
  <c r="BC568" i="3"/>
  <c r="BB568" i="3"/>
  <c r="BA568" i="3"/>
  <c r="AZ568" i="3"/>
  <c r="AY568" i="3"/>
  <c r="AX568" i="3"/>
  <c r="AW568" i="3"/>
  <c r="AV568" i="3"/>
  <c r="AR568" i="3"/>
  <c r="AS568" i="3" s="1"/>
  <c r="B568" i="3"/>
  <c r="CE567" i="3"/>
  <c r="CD567" i="3"/>
  <c r="CC567" i="3"/>
  <c r="CB567" i="3"/>
  <c r="CA567" i="3"/>
  <c r="BZ567" i="3"/>
  <c r="BY567" i="3"/>
  <c r="BX567" i="3"/>
  <c r="BW567" i="3"/>
  <c r="BV567" i="3"/>
  <c r="BU567" i="3"/>
  <c r="BT567" i="3"/>
  <c r="BS567" i="3"/>
  <c r="BR567" i="3"/>
  <c r="BQ567" i="3"/>
  <c r="BP567" i="3"/>
  <c r="BO567" i="3"/>
  <c r="BN567" i="3"/>
  <c r="BM567" i="3"/>
  <c r="BL567" i="3"/>
  <c r="BK567" i="3"/>
  <c r="BJ567" i="3"/>
  <c r="BI567" i="3"/>
  <c r="BH567" i="3"/>
  <c r="BG567" i="3"/>
  <c r="BF567" i="3"/>
  <c r="BE567" i="3"/>
  <c r="BD567" i="3"/>
  <c r="BC567" i="3"/>
  <c r="BB567" i="3"/>
  <c r="BA567" i="3"/>
  <c r="AZ567" i="3"/>
  <c r="AY567" i="3"/>
  <c r="AX567" i="3"/>
  <c r="AW567" i="3"/>
  <c r="AV567" i="3"/>
  <c r="AR567" i="3"/>
  <c r="AS567" i="3" s="1"/>
  <c r="B567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R566" i="3"/>
  <c r="AS566" i="3" s="1"/>
  <c r="B566" i="3"/>
  <c r="CE565" i="3"/>
  <c r="CD565" i="3"/>
  <c r="CC565" i="3"/>
  <c r="CB565" i="3"/>
  <c r="CA565" i="3"/>
  <c r="BZ565" i="3"/>
  <c r="BY565" i="3"/>
  <c r="BX565" i="3"/>
  <c r="BW565" i="3"/>
  <c r="BV565" i="3"/>
  <c r="BU565" i="3"/>
  <c r="BT565" i="3"/>
  <c r="BS565" i="3"/>
  <c r="BR565" i="3"/>
  <c r="BQ565" i="3"/>
  <c r="BP565" i="3"/>
  <c r="BO565" i="3"/>
  <c r="BN565" i="3"/>
  <c r="BM565" i="3"/>
  <c r="BL565" i="3"/>
  <c r="BK565" i="3"/>
  <c r="BJ565" i="3"/>
  <c r="BI565" i="3"/>
  <c r="BH565" i="3"/>
  <c r="BG565" i="3"/>
  <c r="BF565" i="3"/>
  <c r="BE565" i="3"/>
  <c r="BD565" i="3"/>
  <c r="BC565" i="3"/>
  <c r="BB565" i="3"/>
  <c r="BA565" i="3"/>
  <c r="AZ565" i="3"/>
  <c r="AY565" i="3"/>
  <c r="AX565" i="3"/>
  <c r="AW565" i="3"/>
  <c r="AV565" i="3"/>
  <c r="AR565" i="3"/>
  <c r="AS565" i="3" s="1"/>
  <c r="B565" i="3"/>
  <c r="CE564" i="3"/>
  <c r="CD564" i="3"/>
  <c r="CC564" i="3"/>
  <c r="CB564" i="3"/>
  <c r="CA564" i="3"/>
  <c r="BZ564" i="3"/>
  <c r="BY564" i="3"/>
  <c r="BX564" i="3"/>
  <c r="BW564" i="3"/>
  <c r="BV564" i="3"/>
  <c r="BU564" i="3"/>
  <c r="BT564" i="3"/>
  <c r="BS564" i="3"/>
  <c r="BR564" i="3"/>
  <c r="BQ564" i="3"/>
  <c r="BP564" i="3"/>
  <c r="BO564" i="3"/>
  <c r="BN564" i="3"/>
  <c r="BM564" i="3"/>
  <c r="BL564" i="3"/>
  <c r="BK564" i="3"/>
  <c r="BJ564" i="3"/>
  <c r="BI564" i="3"/>
  <c r="BH564" i="3"/>
  <c r="BG564" i="3"/>
  <c r="BF564" i="3"/>
  <c r="BE564" i="3"/>
  <c r="BD564" i="3"/>
  <c r="BC564" i="3"/>
  <c r="BB564" i="3"/>
  <c r="BA564" i="3"/>
  <c r="AZ564" i="3"/>
  <c r="AY564" i="3"/>
  <c r="AX564" i="3"/>
  <c r="AW564" i="3"/>
  <c r="AV564" i="3"/>
  <c r="AR564" i="3"/>
  <c r="AS564" i="3" s="1"/>
  <c r="B564" i="3"/>
  <c r="CE563" i="3"/>
  <c r="CD563" i="3"/>
  <c r="CC563" i="3"/>
  <c r="CB563" i="3"/>
  <c r="CA563" i="3"/>
  <c r="BZ563" i="3"/>
  <c r="BY563" i="3"/>
  <c r="BX563" i="3"/>
  <c r="BW563" i="3"/>
  <c r="BV563" i="3"/>
  <c r="BU563" i="3"/>
  <c r="BT563" i="3"/>
  <c r="BS563" i="3"/>
  <c r="BR563" i="3"/>
  <c r="BQ563" i="3"/>
  <c r="BP563" i="3"/>
  <c r="BO563" i="3"/>
  <c r="BN563" i="3"/>
  <c r="BM563" i="3"/>
  <c r="BL563" i="3"/>
  <c r="BK563" i="3"/>
  <c r="BJ563" i="3"/>
  <c r="BI563" i="3"/>
  <c r="BH563" i="3"/>
  <c r="BG563" i="3"/>
  <c r="BF563" i="3"/>
  <c r="BE563" i="3"/>
  <c r="BD563" i="3"/>
  <c r="BC563" i="3"/>
  <c r="BB563" i="3"/>
  <c r="BA563" i="3"/>
  <c r="AZ563" i="3"/>
  <c r="AY563" i="3"/>
  <c r="AX563" i="3"/>
  <c r="AW563" i="3"/>
  <c r="AV563" i="3"/>
  <c r="AR563" i="3"/>
  <c r="AS563" i="3" s="1"/>
  <c r="B563" i="3"/>
  <c r="CE562" i="3"/>
  <c r="CD562" i="3"/>
  <c r="CC562" i="3"/>
  <c r="CB562" i="3"/>
  <c r="CA562" i="3"/>
  <c r="BZ562" i="3"/>
  <c r="BY562" i="3"/>
  <c r="BX562" i="3"/>
  <c r="BW562" i="3"/>
  <c r="BV562" i="3"/>
  <c r="BU562" i="3"/>
  <c r="BT562" i="3"/>
  <c r="BS562" i="3"/>
  <c r="BR562" i="3"/>
  <c r="BQ562" i="3"/>
  <c r="BP562" i="3"/>
  <c r="BO562" i="3"/>
  <c r="BN562" i="3"/>
  <c r="BM562" i="3"/>
  <c r="BL562" i="3"/>
  <c r="BK562" i="3"/>
  <c r="BJ562" i="3"/>
  <c r="BI562" i="3"/>
  <c r="BH562" i="3"/>
  <c r="BG562" i="3"/>
  <c r="BF562" i="3"/>
  <c r="BE562" i="3"/>
  <c r="BD562" i="3"/>
  <c r="BC562" i="3"/>
  <c r="BB562" i="3"/>
  <c r="BA562" i="3"/>
  <c r="AZ562" i="3"/>
  <c r="AY562" i="3"/>
  <c r="AX562" i="3"/>
  <c r="AW562" i="3"/>
  <c r="AV562" i="3"/>
  <c r="AR562" i="3"/>
  <c r="AS562" i="3" s="1"/>
  <c r="B562" i="3"/>
  <c r="CE561" i="3"/>
  <c r="CD561" i="3"/>
  <c r="CC561" i="3"/>
  <c r="CB561" i="3"/>
  <c r="CA561" i="3"/>
  <c r="BZ561" i="3"/>
  <c r="BY561" i="3"/>
  <c r="BX561" i="3"/>
  <c r="BW561" i="3"/>
  <c r="BV561" i="3"/>
  <c r="BU561" i="3"/>
  <c r="BT561" i="3"/>
  <c r="BS561" i="3"/>
  <c r="BR561" i="3"/>
  <c r="BQ561" i="3"/>
  <c r="BP561" i="3"/>
  <c r="BO561" i="3"/>
  <c r="BN561" i="3"/>
  <c r="BM561" i="3"/>
  <c r="BL561" i="3"/>
  <c r="BK561" i="3"/>
  <c r="BJ561" i="3"/>
  <c r="BI561" i="3"/>
  <c r="BH561" i="3"/>
  <c r="BG561" i="3"/>
  <c r="BF561" i="3"/>
  <c r="BE561" i="3"/>
  <c r="BD561" i="3"/>
  <c r="BC561" i="3"/>
  <c r="BB561" i="3"/>
  <c r="BA561" i="3"/>
  <c r="AZ561" i="3"/>
  <c r="AY561" i="3"/>
  <c r="AX561" i="3"/>
  <c r="AW561" i="3"/>
  <c r="AV561" i="3"/>
  <c r="AR561" i="3"/>
  <c r="AS561" i="3" s="1"/>
  <c r="B561" i="3"/>
  <c r="CE560" i="3"/>
  <c r="CD560" i="3"/>
  <c r="CC560" i="3"/>
  <c r="CB560" i="3"/>
  <c r="CA560" i="3"/>
  <c r="BZ560" i="3"/>
  <c r="BY560" i="3"/>
  <c r="BX560" i="3"/>
  <c r="BW560" i="3"/>
  <c r="BV560" i="3"/>
  <c r="BU560" i="3"/>
  <c r="BT560" i="3"/>
  <c r="BS560" i="3"/>
  <c r="BR560" i="3"/>
  <c r="BQ560" i="3"/>
  <c r="BP560" i="3"/>
  <c r="BO560" i="3"/>
  <c r="BN560" i="3"/>
  <c r="BM560" i="3"/>
  <c r="BL560" i="3"/>
  <c r="BK560" i="3"/>
  <c r="BJ560" i="3"/>
  <c r="BI560" i="3"/>
  <c r="BH560" i="3"/>
  <c r="BG560" i="3"/>
  <c r="BF560" i="3"/>
  <c r="BE560" i="3"/>
  <c r="BD560" i="3"/>
  <c r="BC560" i="3"/>
  <c r="BB560" i="3"/>
  <c r="BA560" i="3"/>
  <c r="AZ560" i="3"/>
  <c r="AY560" i="3"/>
  <c r="AX560" i="3"/>
  <c r="AW560" i="3"/>
  <c r="AV560" i="3"/>
  <c r="AR560" i="3"/>
  <c r="AS560" i="3" s="1"/>
  <c r="B560" i="3"/>
  <c r="CE559" i="3"/>
  <c r="CD559" i="3"/>
  <c r="CC559" i="3"/>
  <c r="CB559" i="3"/>
  <c r="CA559" i="3"/>
  <c r="BZ559" i="3"/>
  <c r="BY559" i="3"/>
  <c r="BX559" i="3"/>
  <c r="BW559" i="3"/>
  <c r="BV559" i="3"/>
  <c r="BU559" i="3"/>
  <c r="BT559" i="3"/>
  <c r="BS559" i="3"/>
  <c r="BR559" i="3"/>
  <c r="BQ559" i="3"/>
  <c r="BP559" i="3"/>
  <c r="BO559" i="3"/>
  <c r="BN559" i="3"/>
  <c r="BM559" i="3"/>
  <c r="BL559" i="3"/>
  <c r="BK559" i="3"/>
  <c r="BJ559" i="3"/>
  <c r="BI559" i="3"/>
  <c r="BH559" i="3"/>
  <c r="BG559" i="3"/>
  <c r="BF559" i="3"/>
  <c r="BE559" i="3"/>
  <c r="BD559" i="3"/>
  <c r="BC559" i="3"/>
  <c r="BB559" i="3"/>
  <c r="BA559" i="3"/>
  <c r="AZ559" i="3"/>
  <c r="AY559" i="3"/>
  <c r="AX559" i="3"/>
  <c r="AW559" i="3"/>
  <c r="AV559" i="3"/>
  <c r="AR559" i="3"/>
  <c r="AS559" i="3" s="1"/>
  <c r="B559" i="3"/>
  <c r="CE558" i="3"/>
  <c r="CD558" i="3"/>
  <c r="CC558" i="3"/>
  <c r="CB558" i="3"/>
  <c r="CA558" i="3"/>
  <c r="BZ558" i="3"/>
  <c r="BY558" i="3"/>
  <c r="BX558" i="3"/>
  <c r="BW558" i="3"/>
  <c r="BV558" i="3"/>
  <c r="BU558" i="3"/>
  <c r="BT558" i="3"/>
  <c r="BS558" i="3"/>
  <c r="BR558" i="3"/>
  <c r="BQ558" i="3"/>
  <c r="BP558" i="3"/>
  <c r="BO558" i="3"/>
  <c r="BN558" i="3"/>
  <c r="BM558" i="3"/>
  <c r="BL558" i="3"/>
  <c r="BK558" i="3"/>
  <c r="BJ558" i="3"/>
  <c r="BI558" i="3"/>
  <c r="BH558" i="3"/>
  <c r="BG558" i="3"/>
  <c r="BF558" i="3"/>
  <c r="BE558" i="3"/>
  <c r="BD558" i="3"/>
  <c r="BC558" i="3"/>
  <c r="BB558" i="3"/>
  <c r="BA558" i="3"/>
  <c r="AZ558" i="3"/>
  <c r="AY558" i="3"/>
  <c r="AX558" i="3"/>
  <c r="AW558" i="3"/>
  <c r="AV558" i="3"/>
  <c r="AR558" i="3"/>
  <c r="AS558" i="3" s="1"/>
  <c r="B558" i="3"/>
  <c r="CE557" i="3"/>
  <c r="CD557" i="3"/>
  <c r="CC557" i="3"/>
  <c r="CB557" i="3"/>
  <c r="CA557" i="3"/>
  <c r="BZ557" i="3"/>
  <c r="BY557" i="3"/>
  <c r="BX557" i="3"/>
  <c r="BW557" i="3"/>
  <c r="BV557" i="3"/>
  <c r="BU557" i="3"/>
  <c r="BT557" i="3"/>
  <c r="BS557" i="3"/>
  <c r="BR557" i="3"/>
  <c r="BQ557" i="3"/>
  <c r="BP557" i="3"/>
  <c r="BO557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R557" i="3"/>
  <c r="AS557" i="3" s="1"/>
  <c r="B557" i="3"/>
  <c r="CE556" i="3"/>
  <c r="CD556" i="3"/>
  <c r="CC556" i="3"/>
  <c r="CB556" i="3"/>
  <c r="CA556" i="3"/>
  <c r="BZ556" i="3"/>
  <c r="BY556" i="3"/>
  <c r="BX556" i="3"/>
  <c r="BW556" i="3"/>
  <c r="BV556" i="3"/>
  <c r="BU556" i="3"/>
  <c r="BT556" i="3"/>
  <c r="BS556" i="3"/>
  <c r="BR556" i="3"/>
  <c r="BQ556" i="3"/>
  <c r="BP556" i="3"/>
  <c r="BO556" i="3"/>
  <c r="BN556" i="3"/>
  <c r="BM556" i="3"/>
  <c r="BL556" i="3"/>
  <c r="BK556" i="3"/>
  <c r="BJ556" i="3"/>
  <c r="BI556" i="3"/>
  <c r="BH556" i="3"/>
  <c r="BG556" i="3"/>
  <c r="BF556" i="3"/>
  <c r="BE556" i="3"/>
  <c r="BD556" i="3"/>
  <c r="BC556" i="3"/>
  <c r="BB556" i="3"/>
  <c r="BA556" i="3"/>
  <c r="AZ556" i="3"/>
  <c r="AY556" i="3"/>
  <c r="AX556" i="3"/>
  <c r="AW556" i="3"/>
  <c r="AV556" i="3"/>
  <c r="AR556" i="3"/>
  <c r="AS556" i="3" s="1"/>
  <c r="B556" i="3"/>
  <c r="CE555" i="3"/>
  <c r="CD555" i="3"/>
  <c r="CC555" i="3"/>
  <c r="CB555" i="3"/>
  <c r="CA555" i="3"/>
  <c r="BZ555" i="3"/>
  <c r="BY555" i="3"/>
  <c r="BX555" i="3"/>
  <c r="BW555" i="3"/>
  <c r="BV555" i="3"/>
  <c r="BU555" i="3"/>
  <c r="BT555" i="3"/>
  <c r="BS555" i="3"/>
  <c r="BR555" i="3"/>
  <c r="BQ555" i="3"/>
  <c r="BP555" i="3"/>
  <c r="BO555" i="3"/>
  <c r="BN555" i="3"/>
  <c r="BM555" i="3"/>
  <c r="BL555" i="3"/>
  <c r="BK555" i="3"/>
  <c r="BJ555" i="3"/>
  <c r="BI555" i="3"/>
  <c r="BH555" i="3"/>
  <c r="BG555" i="3"/>
  <c r="BF555" i="3"/>
  <c r="BE555" i="3"/>
  <c r="BD555" i="3"/>
  <c r="BC555" i="3"/>
  <c r="BB555" i="3"/>
  <c r="BA555" i="3"/>
  <c r="AZ555" i="3"/>
  <c r="AY555" i="3"/>
  <c r="AX555" i="3"/>
  <c r="AW555" i="3"/>
  <c r="AV555" i="3"/>
  <c r="AR555" i="3"/>
  <c r="AS555" i="3" s="1"/>
  <c r="B555" i="3"/>
  <c r="CE554" i="3"/>
  <c r="CD554" i="3"/>
  <c r="CC554" i="3"/>
  <c r="CB554" i="3"/>
  <c r="CA554" i="3"/>
  <c r="BZ554" i="3"/>
  <c r="BY554" i="3"/>
  <c r="BX554" i="3"/>
  <c r="BW554" i="3"/>
  <c r="BV554" i="3"/>
  <c r="BU554" i="3"/>
  <c r="BT554" i="3"/>
  <c r="BS554" i="3"/>
  <c r="BR554" i="3"/>
  <c r="BQ554" i="3"/>
  <c r="BP554" i="3"/>
  <c r="BO554" i="3"/>
  <c r="BN554" i="3"/>
  <c r="BM554" i="3"/>
  <c r="BL554" i="3"/>
  <c r="BK554" i="3"/>
  <c r="BJ554" i="3"/>
  <c r="BI554" i="3"/>
  <c r="BH554" i="3"/>
  <c r="BG554" i="3"/>
  <c r="BF554" i="3"/>
  <c r="BE554" i="3"/>
  <c r="BD554" i="3"/>
  <c r="BC554" i="3"/>
  <c r="BB554" i="3"/>
  <c r="BA554" i="3"/>
  <c r="AZ554" i="3"/>
  <c r="AY554" i="3"/>
  <c r="AX554" i="3"/>
  <c r="AW554" i="3"/>
  <c r="AV554" i="3"/>
  <c r="AR554" i="3"/>
  <c r="AS554" i="3" s="1"/>
  <c r="B554" i="3"/>
  <c r="CE553" i="3"/>
  <c r="CD553" i="3"/>
  <c r="CC553" i="3"/>
  <c r="CB553" i="3"/>
  <c r="CA553" i="3"/>
  <c r="BZ553" i="3"/>
  <c r="BY553" i="3"/>
  <c r="BX553" i="3"/>
  <c r="BW553" i="3"/>
  <c r="BV553" i="3"/>
  <c r="BU553" i="3"/>
  <c r="BT553" i="3"/>
  <c r="BS553" i="3"/>
  <c r="BR553" i="3"/>
  <c r="BQ553" i="3"/>
  <c r="BP553" i="3"/>
  <c r="BO553" i="3"/>
  <c r="BN553" i="3"/>
  <c r="BM553" i="3"/>
  <c r="BL553" i="3"/>
  <c r="BK553" i="3"/>
  <c r="BJ553" i="3"/>
  <c r="BI553" i="3"/>
  <c r="BH553" i="3"/>
  <c r="BG553" i="3"/>
  <c r="BF553" i="3"/>
  <c r="BE553" i="3"/>
  <c r="BD553" i="3"/>
  <c r="BC553" i="3"/>
  <c r="BB553" i="3"/>
  <c r="BA553" i="3"/>
  <c r="AZ553" i="3"/>
  <c r="AY553" i="3"/>
  <c r="AX553" i="3"/>
  <c r="AW553" i="3"/>
  <c r="AV553" i="3"/>
  <c r="AR553" i="3"/>
  <c r="AS553" i="3" s="1"/>
  <c r="B553" i="3"/>
  <c r="CE552" i="3"/>
  <c r="CD552" i="3"/>
  <c r="CC552" i="3"/>
  <c r="CB552" i="3"/>
  <c r="CA552" i="3"/>
  <c r="BZ552" i="3"/>
  <c r="BY552" i="3"/>
  <c r="BX552" i="3"/>
  <c r="BW552" i="3"/>
  <c r="BV552" i="3"/>
  <c r="BU552" i="3"/>
  <c r="BT552" i="3"/>
  <c r="BS552" i="3"/>
  <c r="BR552" i="3"/>
  <c r="BQ552" i="3"/>
  <c r="BP552" i="3"/>
  <c r="BO552" i="3"/>
  <c r="BN552" i="3"/>
  <c r="BM552" i="3"/>
  <c r="BL552" i="3"/>
  <c r="BK552" i="3"/>
  <c r="BJ552" i="3"/>
  <c r="BI552" i="3"/>
  <c r="BH552" i="3"/>
  <c r="BG552" i="3"/>
  <c r="BF552" i="3"/>
  <c r="BE552" i="3"/>
  <c r="BD552" i="3"/>
  <c r="BC552" i="3"/>
  <c r="BB552" i="3"/>
  <c r="BA552" i="3"/>
  <c r="AZ552" i="3"/>
  <c r="AY552" i="3"/>
  <c r="AX552" i="3"/>
  <c r="AW552" i="3"/>
  <c r="AV552" i="3"/>
  <c r="AR552" i="3"/>
  <c r="AS552" i="3" s="1"/>
  <c r="B552" i="3"/>
  <c r="CE551" i="3"/>
  <c r="CD551" i="3"/>
  <c r="CC551" i="3"/>
  <c r="CB551" i="3"/>
  <c r="CA551" i="3"/>
  <c r="BZ551" i="3"/>
  <c r="BY551" i="3"/>
  <c r="BX551" i="3"/>
  <c r="BW551" i="3"/>
  <c r="BV551" i="3"/>
  <c r="BU551" i="3"/>
  <c r="BT551" i="3"/>
  <c r="BS551" i="3"/>
  <c r="BR551" i="3"/>
  <c r="BQ551" i="3"/>
  <c r="BP551" i="3"/>
  <c r="BO551" i="3"/>
  <c r="BN551" i="3"/>
  <c r="BM551" i="3"/>
  <c r="BL551" i="3"/>
  <c r="BK551" i="3"/>
  <c r="BJ551" i="3"/>
  <c r="BI551" i="3"/>
  <c r="BH551" i="3"/>
  <c r="BG551" i="3"/>
  <c r="BF551" i="3"/>
  <c r="BE551" i="3"/>
  <c r="BD551" i="3"/>
  <c r="BC551" i="3"/>
  <c r="BB551" i="3"/>
  <c r="BA551" i="3"/>
  <c r="AZ551" i="3"/>
  <c r="AY551" i="3"/>
  <c r="AX551" i="3"/>
  <c r="AW551" i="3"/>
  <c r="AV551" i="3"/>
  <c r="AR551" i="3"/>
  <c r="AS551" i="3" s="1"/>
  <c r="B551" i="3"/>
  <c r="CE550" i="3"/>
  <c r="CD550" i="3"/>
  <c r="CC550" i="3"/>
  <c r="CB550" i="3"/>
  <c r="CA550" i="3"/>
  <c r="BZ550" i="3"/>
  <c r="BY550" i="3"/>
  <c r="BX550" i="3"/>
  <c r="BW550" i="3"/>
  <c r="BV550" i="3"/>
  <c r="BU550" i="3"/>
  <c r="BT550" i="3"/>
  <c r="BS550" i="3"/>
  <c r="BR550" i="3"/>
  <c r="BQ550" i="3"/>
  <c r="BP550" i="3"/>
  <c r="BO550" i="3"/>
  <c r="BN550" i="3"/>
  <c r="BM550" i="3"/>
  <c r="BL550" i="3"/>
  <c r="BK550" i="3"/>
  <c r="BJ550" i="3"/>
  <c r="BI550" i="3"/>
  <c r="BH550" i="3"/>
  <c r="BG550" i="3"/>
  <c r="BF550" i="3"/>
  <c r="BE550" i="3"/>
  <c r="BD550" i="3"/>
  <c r="BC550" i="3"/>
  <c r="BB550" i="3"/>
  <c r="BA550" i="3"/>
  <c r="AZ550" i="3"/>
  <c r="AY550" i="3"/>
  <c r="AX550" i="3"/>
  <c r="AW550" i="3"/>
  <c r="AV550" i="3"/>
  <c r="AR550" i="3"/>
  <c r="AS550" i="3" s="1"/>
  <c r="B550" i="3"/>
  <c r="CE549" i="3"/>
  <c r="CD549" i="3"/>
  <c r="CC549" i="3"/>
  <c r="CB549" i="3"/>
  <c r="CA549" i="3"/>
  <c r="BZ549" i="3"/>
  <c r="BY549" i="3"/>
  <c r="BX549" i="3"/>
  <c r="BW549" i="3"/>
  <c r="BV549" i="3"/>
  <c r="BU549" i="3"/>
  <c r="BT549" i="3"/>
  <c r="BS549" i="3"/>
  <c r="BR549" i="3"/>
  <c r="BQ549" i="3"/>
  <c r="BP549" i="3"/>
  <c r="BO549" i="3"/>
  <c r="BN549" i="3"/>
  <c r="BM549" i="3"/>
  <c r="BL549" i="3"/>
  <c r="BK549" i="3"/>
  <c r="BJ549" i="3"/>
  <c r="BI549" i="3"/>
  <c r="BH549" i="3"/>
  <c r="BG549" i="3"/>
  <c r="BF549" i="3"/>
  <c r="BE549" i="3"/>
  <c r="BD549" i="3"/>
  <c r="BC549" i="3"/>
  <c r="BB549" i="3"/>
  <c r="BA549" i="3"/>
  <c r="AZ549" i="3"/>
  <c r="AY549" i="3"/>
  <c r="AX549" i="3"/>
  <c r="AW549" i="3"/>
  <c r="AV549" i="3"/>
  <c r="AR549" i="3"/>
  <c r="AS549" i="3" s="1"/>
  <c r="B549" i="3"/>
  <c r="CE548" i="3"/>
  <c r="CD548" i="3"/>
  <c r="CC548" i="3"/>
  <c r="CB548" i="3"/>
  <c r="CA548" i="3"/>
  <c r="BZ548" i="3"/>
  <c r="BY548" i="3"/>
  <c r="BX548" i="3"/>
  <c r="BW548" i="3"/>
  <c r="BV548" i="3"/>
  <c r="BU548" i="3"/>
  <c r="BT548" i="3"/>
  <c r="BS548" i="3"/>
  <c r="BR548" i="3"/>
  <c r="BQ548" i="3"/>
  <c r="BP548" i="3"/>
  <c r="BO548" i="3"/>
  <c r="BN548" i="3"/>
  <c r="BM548" i="3"/>
  <c r="BL548" i="3"/>
  <c r="BK548" i="3"/>
  <c r="BJ548" i="3"/>
  <c r="BI548" i="3"/>
  <c r="BH548" i="3"/>
  <c r="BG548" i="3"/>
  <c r="BF548" i="3"/>
  <c r="BE548" i="3"/>
  <c r="BD548" i="3"/>
  <c r="BC548" i="3"/>
  <c r="BB548" i="3"/>
  <c r="BA548" i="3"/>
  <c r="AZ548" i="3"/>
  <c r="AY548" i="3"/>
  <c r="AX548" i="3"/>
  <c r="AW548" i="3"/>
  <c r="AV548" i="3"/>
  <c r="AR548" i="3"/>
  <c r="AS548" i="3" s="1"/>
  <c r="B548" i="3"/>
  <c r="CE547" i="3"/>
  <c r="CD547" i="3"/>
  <c r="CC547" i="3"/>
  <c r="CB547" i="3"/>
  <c r="CA547" i="3"/>
  <c r="BZ547" i="3"/>
  <c r="BY547" i="3"/>
  <c r="BX547" i="3"/>
  <c r="BW547" i="3"/>
  <c r="BV547" i="3"/>
  <c r="BU547" i="3"/>
  <c r="BT547" i="3"/>
  <c r="BS547" i="3"/>
  <c r="BR547" i="3"/>
  <c r="BQ547" i="3"/>
  <c r="BP547" i="3"/>
  <c r="BO547" i="3"/>
  <c r="BN547" i="3"/>
  <c r="BM547" i="3"/>
  <c r="BL547" i="3"/>
  <c r="BK547" i="3"/>
  <c r="BJ547" i="3"/>
  <c r="BI547" i="3"/>
  <c r="BH547" i="3"/>
  <c r="BG547" i="3"/>
  <c r="BF547" i="3"/>
  <c r="BE547" i="3"/>
  <c r="BD547" i="3"/>
  <c r="BC547" i="3"/>
  <c r="BB547" i="3"/>
  <c r="BA547" i="3"/>
  <c r="AZ547" i="3"/>
  <c r="AY547" i="3"/>
  <c r="AX547" i="3"/>
  <c r="AW547" i="3"/>
  <c r="AV547" i="3"/>
  <c r="B547" i="3"/>
  <c r="CE546" i="3"/>
  <c r="CD546" i="3"/>
  <c r="CC546" i="3"/>
  <c r="CB546" i="3"/>
  <c r="CA546" i="3"/>
  <c r="BZ546" i="3"/>
  <c r="BY546" i="3"/>
  <c r="BX546" i="3"/>
  <c r="BW546" i="3"/>
  <c r="BV546" i="3"/>
  <c r="BU546" i="3"/>
  <c r="BT546" i="3"/>
  <c r="BS546" i="3"/>
  <c r="BR546" i="3"/>
  <c r="BQ546" i="3"/>
  <c r="BP546" i="3"/>
  <c r="BO546" i="3"/>
  <c r="BN546" i="3"/>
  <c r="BM546" i="3"/>
  <c r="BL546" i="3"/>
  <c r="BK546" i="3"/>
  <c r="BJ546" i="3"/>
  <c r="BI546" i="3"/>
  <c r="BH546" i="3"/>
  <c r="BG546" i="3"/>
  <c r="BF546" i="3"/>
  <c r="BE546" i="3"/>
  <c r="BD546" i="3"/>
  <c r="BC546" i="3"/>
  <c r="BB546" i="3"/>
  <c r="BA546" i="3"/>
  <c r="AZ546" i="3"/>
  <c r="AY546" i="3"/>
  <c r="AX546" i="3"/>
  <c r="AW546" i="3"/>
  <c r="AV546" i="3"/>
  <c r="AR546" i="3"/>
  <c r="AS546" i="3" s="1"/>
  <c r="B546" i="3"/>
  <c r="CE545" i="3"/>
  <c r="CD545" i="3"/>
  <c r="CC545" i="3"/>
  <c r="CB545" i="3"/>
  <c r="CA545" i="3"/>
  <c r="BZ545" i="3"/>
  <c r="BY545" i="3"/>
  <c r="BX545" i="3"/>
  <c r="BW545" i="3"/>
  <c r="BV545" i="3"/>
  <c r="BU545" i="3"/>
  <c r="BT545" i="3"/>
  <c r="BS545" i="3"/>
  <c r="BR545" i="3"/>
  <c r="BQ545" i="3"/>
  <c r="BP545" i="3"/>
  <c r="BO545" i="3"/>
  <c r="BN545" i="3"/>
  <c r="BM545" i="3"/>
  <c r="BL545" i="3"/>
  <c r="BK545" i="3"/>
  <c r="BJ545" i="3"/>
  <c r="BI545" i="3"/>
  <c r="BH545" i="3"/>
  <c r="BG545" i="3"/>
  <c r="BF545" i="3"/>
  <c r="BE545" i="3"/>
  <c r="BD545" i="3"/>
  <c r="BC545" i="3"/>
  <c r="BB545" i="3"/>
  <c r="BA545" i="3"/>
  <c r="AZ545" i="3"/>
  <c r="AY545" i="3"/>
  <c r="AX545" i="3"/>
  <c r="AW545" i="3"/>
  <c r="AV545" i="3"/>
  <c r="B545" i="3"/>
  <c r="CE544" i="3"/>
  <c r="CD544" i="3"/>
  <c r="CC544" i="3"/>
  <c r="CB544" i="3"/>
  <c r="CA544" i="3"/>
  <c r="BZ544" i="3"/>
  <c r="BY544" i="3"/>
  <c r="BX544" i="3"/>
  <c r="BW544" i="3"/>
  <c r="BV544" i="3"/>
  <c r="BU544" i="3"/>
  <c r="BT544" i="3"/>
  <c r="BS544" i="3"/>
  <c r="BR544" i="3"/>
  <c r="BQ544" i="3"/>
  <c r="BP544" i="3"/>
  <c r="BO544" i="3"/>
  <c r="BN544" i="3"/>
  <c r="BM544" i="3"/>
  <c r="BL544" i="3"/>
  <c r="BK544" i="3"/>
  <c r="BJ544" i="3"/>
  <c r="BI544" i="3"/>
  <c r="BH544" i="3"/>
  <c r="BG544" i="3"/>
  <c r="BF544" i="3"/>
  <c r="BE544" i="3"/>
  <c r="BD544" i="3"/>
  <c r="BC544" i="3"/>
  <c r="BB544" i="3"/>
  <c r="BA544" i="3"/>
  <c r="AZ544" i="3"/>
  <c r="AY544" i="3"/>
  <c r="AX544" i="3"/>
  <c r="AW544" i="3"/>
  <c r="AV544" i="3"/>
  <c r="AR544" i="3"/>
  <c r="AS544" i="3" s="1"/>
  <c r="B544" i="3"/>
  <c r="CE543" i="3"/>
  <c r="CD543" i="3"/>
  <c r="CC543" i="3"/>
  <c r="CB543" i="3"/>
  <c r="CA543" i="3"/>
  <c r="BZ543" i="3"/>
  <c r="BY543" i="3"/>
  <c r="BX543" i="3"/>
  <c r="BW543" i="3"/>
  <c r="BV543" i="3"/>
  <c r="BU543" i="3"/>
  <c r="BT543" i="3"/>
  <c r="BS543" i="3"/>
  <c r="BR543" i="3"/>
  <c r="BQ543" i="3"/>
  <c r="BP543" i="3"/>
  <c r="BO543" i="3"/>
  <c r="BN543" i="3"/>
  <c r="BM543" i="3"/>
  <c r="BL543" i="3"/>
  <c r="BK543" i="3"/>
  <c r="BJ543" i="3"/>
  <c r="BI543" i="3"/>
  <c r="BH543" i="3"/>
  <c r="BG543" i="3"/>
  <c r="BF543" i="3"/>
  <c r="BE543" i="3"/>
  <c r="BD543" i="3"/>
  <c r="BC543" i="3"/>
  <c r="BB543" i="3"/>
  <c r="BA543" i="3"/>
  <c r="AZ543" i="3"/>
  <c r="AY543" i="3"/>
  <c r="AX543" i="3"/>
  <c r="AW543" i="3"/>
  <c r="AV543" i="3"/>
  <c r="AR543" i="3"/>
  <c r="AS543" i="3" s="1"/>
  <c r="B543" i="3"/>
  <c r="CE542" i="3"/>
  <c r="CD542" i="3"/>
  <c r="CC542" i="3"/>
  <c r="CB542" i="3"/>
  <c r="CA542" i="3"/>
  <c r="BZ542" i="3"/>
  <c r="BY542" i="3"/>
  <c r="BX542" i="3"/>
  <c r="BW542" i="3"/>
  <c r="BV542" i="3"/>
  <c r="BU542" i="3"/>
  <c r="BT542" i="3"/>
  <c r="BS542" i="3"/>
  <c r="BR542" i="3"/>
  <c r="BQ542" i="3"/>
  <c r="BP542" i="3"/>
  <c r="BO542" i="3"/>
  <c r="BN542" i="3"/>
  <c r="BM542" i="3"/>
  <c r="BL542" i="3"/>
  <c r="BK542" i="3"/>
  <c r="BJ542" i="3"/>
  <c r="BI542" i="3"/>
  <c r="BH542" i="3"/>
  <c r="BG542" i="3"/>
  <c r="BF542" i="3"/>
  <c r="BE542" i="3"/>
  <c r="BD542" i="3"/>
  <c r="BC542" i="3"/>
  <c r="BB542" i="3"/>
  <c r="BA542" i="3"/>
  <c r="AZ542" i="3"/>
  <c r="AY542" i="3"/>
  <c r="AX542" i="3"/>
  <c r="AW542" i="3"/>
  <c r="AV542" i="3"/>
  <c r="AR542" i="3"/>
  <c r="AS542" i="3" s="1"/>
  <c r="B542" i="3"/>
  <c r="CE541" i="3"/>
  <c r="CD541" i="3"/>
  <c r="CC541" i="3"/>
  <c r="CB541" i="3"/>
  <c r="CA541" i="3"/>
  <c r="BZ541" i="3"/>
  <c r="BY541" i="3"/>
  <c r="BX541" i="3"/>
  <c r="BW541" i="3"/>
  <c r="BV541" i="3"/>
  <c r="BU541" i="3"/>
  <c r="BT541" i="3"/>
  <c r="BS541" i="3"/>
  <c r="BR541" i="3"/>
  <c r="BQ541" i="3"/>
  <c r="BP541" i="3"/>
  <c r="BO541" i="3"/>
  <c r="BN541" i="3"/>
  <c r="BM541" i="3"/>
  <c r="BL541" i="3"/>
  <c r="BK541" i="3"/>
  <c r="BJ541" i="3"/>
  <c r="BI541" i="3"/>
  <c r="BH541" i="3"/>
  <c r="BG541" i="3"/>
  <c r="BF541" i="3"/>
  <c r="BE541" i="3"/>
  <c r="BD541" i="3"/>
  <c r="BC541" i="3"/>
  <c r="BB541" i="3"/>
  <c r="BA541" i="3"/>
  <c r="AZ541" i="3"/>
  <c r="AY541" i="3"/>
  <c r="AX541" i="3"/>
  <c r="AW541" i="3"/>
  <c r="AV541" i="3"/>
  <c r="AR541" i="3"/>
  <c r="AS541" i="3" s="1"/>
  <c r="B541" i="3"/>
  <c r="CE540" i="3"/>
  <c r="CD540" i="3"/>
  <c r="CC540" i="3"/>
  <c r="CB540" i="3"/>
  <c r="CA540" i="3"/>
  <c r="BZ540" i="3"/>
  <c r="BY540" i="3"/>
  <c r="BX540" i="3"/>
  <c r="BW540" i="3"/>
  <c r="BV540" i="3"/>
  <c r="BU540" i="3"/>
  <c r="BT540" i="3"/>
  <c r="BS540" i="3"/>
  <c r="BR540" i="3"/>
  <c r="BQ540" i="3"/>
  <c r="BP540" i="3"/>
  <c r="BO540" i="3"/>
  <c r="BN540" i="3"/>
  <c r="BM540" i="3"/>
  <c r="BL540" i="3"/>
  <c r="BK540" i="3"/>
  <c r="BJ540" i="3"/>
  <c r="BI540" i="3"/>
  <c r="BH540" i="3"/>
  <c r="BG540" i="3"/>
  <c r="BF540" i="3"/>
  <c r="BE540" i="3"/>
  <c r="BD540" i="3"/>
  <c r="BC540" i="3"/>
  <c r="BB540" i="3"/>
  <c r="BA540" i="3"/>
  <c r="AZ540" i="3"/>
  <c r="AY540" i="3"/>
  <c r="AX540" i="3"/>
  <c r="AW540" i="3"/>
  <c r="AV540" i="3"/>
  <c r="AR540" i="3"/>
  <c r="AS540" i="3" s="1"/>
  <c r="B540" i="3"/>
  <c r="CE539" i="3"/>
  <c r="CD539" i="3"/>
  <c r="CC539" i="3"/>
  <c r="CB539" i="3"/>
  <c r="CA539" i="3"/>
  <c r="BZ539" i="3"/>
  <c r="BY539" i="3"/>
  <c r="BX539" i="3"/>
  <c r="BW539" i="3"/>
  <c r="BV539" i="3"/>
  <c r="BU539" i="3"/>
  <c r="BT539" i="3"/>
  <c r="BS539" i="3"/>
  <c r="BR539" i="3"/>
  <c r="BQ539" i="3"/>
  <c r="BP539" i="3"/>
  <c r="BO539" i="3"/>
  <c r="BN539" i="3"/>
  <c r="BM539" i="3"/>
  <c r="BL539" i="3"/>
  <c r="BK539" i="3"/>
  <c r="BJ539" i="3"/>
  <c r="BI539" i="3"/>
  <c r="BH539" i="3"/>
  <c r="BG539" i="3"/>
  <c r="BF539" i="3"/>
  <c r="BE539" i="3"/>
  <c r="BD539" i="3"/>
  <c r="BC539" i="3"/>
  <c r="BB539" i="3"/>
  <c r="BA539" i="3"/>
  <c r="AZ539" i="3"/>
  <c r="AY539" i="3"/>
  <c r="AX539" i="3"/>
  <c r="AW539" i="3"/>
  <c r="AV539" i="3"/>
  <c r="AR539" i="3"/>
  <c r="AS539" i="3" s="1"/>
  <c r="B539" i="3"/>
  <c r="CE538" i="3"/>
  <c r="CD538" i="3"/>
  <c r="CC538" i="3"/>
  <c r="CB538" i="3"/>
  <c r="CA538" i="3"/>
  <c r="BZ538" i="3"/>
  <c r="BY538" i="3"/>
  <c r="BX538" i="3"/>
  <c r="BW538" i="3"/>
  <c r="BV538" i="3"/>
  <c r="BU538" i="3"/>
  <c r="BT538" i="3"/>
  <c r="BS538" i="3"/>
  <c r="BR538" i="3"/>
  <c r="BQ538" i="3"/>
  <c r="BP538" i="3"/>
  <c r="BO538" i="3"/>
  <c r="BN538" i="3"/>
  <c r="BM538" i="3"/>
  <c r="BL538" i="3"/>
  <c r="BK538" i="3"/>
  <c r="BJ538" i="3"/>
  <c r="BI538" i="3"/>
  <c r="BH538" i="3"/>
  <c r="BG538" i="3"/>
  <c r="BF538" i="3"/>
  <c r="BE538" i="3"/>
  <c r="BD538" i="3"/>
  <c r="BC538" i="3"/>
  <c r="BB538" i="3"/>
  <c r="BA538" i="3"/>
  <c r="AZ538" i="3"/>
  <c r="AY538" i="3"/>
  <c r="AX538" i="3"/>
  <c r="AW538" i="3"/>
  <c r="AV538" i="3"/>
  <c r="AR538" i="3"/>
  <c r="AS538" i="3" s="1"/>
  <c r="B538" i="3"/>
  <c r="CE537" i="3"/>
  <c r="CD537" i="3"/>
  <c r="CC537" i="3"/>
  <c r="CB537" i="3"/>
  <c r="CA537" i="3"/>
  <c r="BZ537" i="3"/>
  <c r="BY537" i="3"/>
  <c r="BX537" i="3"/>
  <c r="BW537" i="3"/>
  <c r="BV537" i="3"/>
  <c r="BU537" i="3"/>
  <c r="BT537" i="3"/>
  <c r="BS537" i="3"/>
  <c r="BR537" i="3"/>
  <c r="BQ537" i="3"/>
  <c r="BP537" i="3"/>
  <c r="BO537" i="3"/>
  <c r="BN537" i="3"/>
  <c r="BM537" i="3"/>
  <c r="BL537" i="3"/>
  <c r="BK537" i="3"/>
  <c r="BJ537" i="3"/>
  <c r="BI537" i="3"/>
  <c r="BH537" i="3"/>
  <c r="BG537" i="3"/>
  <c r="BF537" i="3"/>
  <c r="BE537" i="3"/>
  <c r="BD537" i="3"/>
  <c r="BC537" i="3"/>
  <c r="BB537" i="3"/>
  <c r="BA537" i="3"/>
  <c r="AZ537" i="3"/>
  <c r="AY537" i="3"/>
  <c r="AX537" i="3"/>
  <c r="AW537" i="3"/>
  <c r="AV537" i="3"/>
  <c r="AR537" i="3"/>
  <c r="AS537" i="3" s="1"/>
  <c r="B537" i="3"/>
  <c r="CE536" i="3"/>
  <c r="CD536" i="3"/>
  <c r="CC536" i="3"/>
  <c r="CB536" i="3"/>
  <c r="CA536" i="3"/>
  <c r="BZ536" i="3"/>
  <c r="BY536" i="3"/>
  <c r="BX536" i="3"/>
  <c r="BW536" i="3"/>
  <c r="BV536" i="3"/>
  <c r="BU536" i="3"/>
  <c r="BT536" i="3"/>
  <c r="BS536" i="3"/>
  <c r="BR536" i="3"/>
  <c r="BQ536" i="3"/>
  <c r="BP536" i="3"/>
  <c r="BO536" i="3"/>
  <c r="BN536" i="3"/>
  <c r="BM536" i="3"/>
  <c r="BL536" i="3"/>
  <c r="BK536" i="3"/>
  <c r="BJ536" i="3"/>
  <c r="BI536" i="3"/>
  <c r="BH536" i="3"/>
  <c r="BG536" i="3"/>
  <c r="BF536" i="3"/>
  <c r="BE536" i="3"/>
  <c r="BD536" i="3"/>
  <c r="BC536" i="3"/>
  <c r="BB536" i="3"/>
  <c r="BA536" i="3"/>
  <c r="AZ536" i="3"/>
  <c r="AY536" i="3"/>
  <c r="AX536" i="3"/>
  <c r="AW536" i="3"/>
  <c r="AV536" i="3"/>
  <c r="AR536" i="3"/>
  <c r="AS536" i="3" s="1"/>
  <c r="B536" i="3"/>
  <c r="CE535" i="3"/>
  <c r="CD535" i="3"/>
  <c r="CC535" i="3"/>
  <c r="CB535" i="3"/>
  <c r="CA535" i="3"/>
  <c r="BZ535" i="3"/>
  <c r="BY535" i="3"/>
  <c r="BX535" i="3"/>
  <c r="BW535" i="3"/>
  <c r="BV535" i="3"/>
  <c r="BU535" i="3"/>
  <c r="BT535" i="3"/>
  <c r="BS535" i="3"/>
  <c r="BR535" i="3"/>
  <c r="BQ535" i="3"/>
  <c r="BP535" i="3"/>
  <c r="BO535" i="3"/>
  <c r="BN535" i="3"/>
  <c r="BM535" i="3"/>
  <c r="BL535" i="3"/>
  <c r="BK535" i="3"/>
  <c r="BJ535" i="3"/>
  <c r="BI535" i="3"/>
  <c r="BH535" i="3"/>
  <c r="BG535" i="3"/>
  <c r="BF535" i="3"/>
  <c r="BE535" i="3"/>
  <c r="BD535" i="3"/>
  <c r="BC535" i="3"/>
  <c r="BB535" i="3"/>
  <c r="BA535" i="3"/>
  <c r="AZ535" i="3"/>
  <c r="AY535" i="3"/>
  <c r="AX535" i="3"/>
  <c r="AW535" i="3"/>
  <c r="AV535" i="3"/>
  <c r="AR535" i="3"/>
  <c r="AS535" i="3" s="1"/>
  <c r="B535" i="3"/>
  <c r="CE534" i="3"/>
  <c r="CD534" i="3"/>
  <c r="CC534" i="3"/>
  <c r="CB534" i="3"/>
  <c r="CA534" i="3"/>
  <c r="BZ534" i="3"/>
  <c r="BY534" i="3"/>
  <c r="BX534" i="3"/>
  <c r="BW534" i="3"/>
  <c r="BV534" i="3"/>
  <c r="BU534" i="3"/>
  <c r="BT534" i="3"/>
  <c r="BS534" i="3"/>
  <c r="BR534" i="3"/>
  <c r="BQ534" i="3"/>
  <c r="BP534" i="3"/>
  <c r="BO534" i="3"/>
  <c r="BN534" i="3"/>
  <c r="BM534" i="3"/>
  <c r="BL534" i="3"/>
  <c r="BK534" i="3"/>
  <c r="BJ534" i="3"/>
  <c r="BI534" i="3"/>
  <c r="BH534" i="3"/>
  <c r="BG534" i="3"/>
  <c r="BF534" i="3"/>
  <c r="BE534" i="3"/>
  <c r="BD534" i="3"/>
  <c r="BC534" i="3"/>
  <c r="BB534" i="3"/>
  <c r="BA534" i="3"/>
  <c r="AZ534" i="3"/>
  <c r="AY534" i="3"/>
  <c r="AX534" i="3"/>
  <c r="AW534" i="3"/>
  <c r="AV534" i="3"/>
  <c r="AR534" i="3"/>
  <c r="AS534" i="3" s="1"/>
  <c r="B534" i="3"/>
  <c r="CE533" i="3"/>
  <c r="CD533" i="3"/>
  <c r="CC533" i="3"/>
  <c r="CB533" i="3"/>
  <c r="CA533" i="3"/>
  <c r="BZ533" i="3"/>
  <c r="BY533" i="3"/>
  <c r="BX533" i="3"/>
  <c r="BW533" i="3"/>
  <c r="BV533" i="3"/>
  <c r="BU533" i="3"/>
  <c r="BT533" i="3"/>
  <c r="BS533" i="3"/>
  <c r="BR533" i="3"/>
  <c r="BQ533" i="3"/>
  <c r="BP533" i="3"/>
  <c r="BO533" i="3"/>
  <c r="BN533" i="3"/>
  <c r="BM533" i="3"/>
  <c r="BL533" i="3"/>
  <c r="BK533" i="3"/>
  <c r="BJ533" i="3"/>
  <c r="BI533" i="3"/>
  <c r="BH533" i="3"/>
  <c r="BG533" i="3"/>
  <c r="BF533" i="3"/>
  <c r="BE533" i="3"/>
  <c r="BD533" i="3"/>
  <c r="BC533" i="3"/>
  <c r="BB533" i="3"/>
  <c r="BA533" i="3"/>
  <c r="AZ533" i="3"/>
  <c r="AY533" i="3"/>
  <c r="AX533" i="3"/>
  <c r="AW533" i="3"/>
  <c r="AV533" i="3"/>
  <c r="AR533" i="3"/>
  <c r="AS533" i="3" s="1"/>
  <c r="B533" i="3"/>
  <c r="CE532" i="3"/>
  <c r="CD532" i="3"/>
  <c r="CC532" i="3"/>
  <c r="CB532" i="3"/>
  <c r="CA532" i="3"/>
  <c r="BZ532" i="3"/>
  <c r="BY532" i="3"/>
  <c r="BX532" i="3"/>
  <c r="BW532" i="3"/>
  <c r="BV532" i="3"/>
  <c r="BU532" i="3"/>
  <c r="BT532" i="3"/>
  <c r="BS532" i="3"/>
  <c r="BR532" i="3"/>
  <c r="BQ532" i="3"/>
  <c r="BP532" i="3"/>
  <c r="BO532" i="3"/>
  <c r="BN532" i="3"/>
  <c r="BM532" i="3"/>
  <c r="BL532" i="3"/>
  <c r="BK532" i="3"/>
  <c r="BJ532" i="3"/>
  <c r="BI532" i="3"/>
  <c r="BH532" i="3"/>
  <c r="BG532" i="3"/>
  <c r="BF532" i="3"/>
  <c r="BE532" i="3"/>
  <c r="BD532" i="3"/>
  <c r="BC532" i="3"/>
  <c r="BB532" i="3"/>
  <c r="BA532" i="3"/>
  <c r="AZ532" i="3"/>
  <c r="AY532" i="3"/>
  <c r="AX532" i="3"/>
  <c r="AW532" i="3"/>
  <c r="AV532" i="3"/>
  <c r="AR532" i="3"/>
  <c r="AS532" i="3" s="1"/>
  <c r="B532" i="3"/>
  <c r="CE531" i="3"/>
  <c r="CD531" i="3"/>
  <c r="CC531" i="3"/>
  <c r="CB531" i="3"/>
  <c r="CA531" i="3"/>
  <c r="BZ531" i="3"/>
  <c r="BY531" i="3"/>
  <c r="BX531" i="3"/>
  <c r="BW531" i="3"/>
  <c r="BV531" i="3"/>
  <c r="BU531" i="3"/>
  <c r="BT531" i="3"/>
  <c r="BS531" i="3"/>
  <c r="BR531" i="3"/>
  <c r="BQ531" i="3"/>
  <c r="BP531" i="3"/>
  <c r="BO531" i="3"/>
  <c r="BN531" i="3"/>
  <c r="BM531" i="3"/>
  <c r="BL531" i="3"/>
  <c r="BK531" i="3"/>
  <c r="BJ531" i="3"/>
  <c r="BI531" i="3"/>
  <c r="BH531" i="3"/>
  <c r="BG531" i="3"/>
  <c r="BF531" i="3"/>
  <c r="BE531" i="3"/>
  <c r="BD531" i="3"/>
  <c r="BC531" i="3"/>
  <c r="BB531" i="3"/>
  <c r="BA531" i="3"/>
  <c r="AZ531" i="3"/>
  <c r="AY531" i="3"/>
  <c r="AX531" i="3"/>
  <c r="AW531" i="3"/>
  <c r="AV531" i="3"/>
  <c r="AR531" i="3"/>
  <c r="AS531" i="3" s="1"/>
  <c r="B531" i="3"/>
  <c r="CE530" i="3"/>
  <c r="CD530" i="3"/>
  <c r="CC530" i="3"/>
  <c r="CB530" i="3"/>
  <c r="CA530" i="3"/>
  <c r="BZ530" i="3"/>
  <c r="BY530" i="3"/>
  <c r="BX530" i="3"/>
  <c r="BW530" i="3"/>
  <c r="BV530" i="3"/>
  <c r="BU530" i="3"/>
  <c r="BT530" i="3"/>
  <c r="BS530" i="3"/>
  <c r="BR530" i="3"/>
  <c r="BQ530" i="3"/>
  <c r="BP530" i="3"/>
  <c r="BO530" i="3"/>
  <c r="BN530" i="3"/>
  <c r="BM530" i="3"/>
  <c r="BL530" i="3"/>
  <c r="BK530" i="3"/>
  <c r="BJ530" i="3"/>
  <c r="BI530" i="3"/>
  <c r="BH530" i="3"/>
  <c r="BG530" i="3"/>
  <c r="BF530" i="3"/>
  <c r="BE530" i="3"/>
  <c r="BD530" i="3"/>
  <c r="BC530" i="3"/>
  <c r="BB530" i="3"/>
  <c r="BA530" i="3"/>
  <c r="AZ530" i="3"/>
  <c r="AY530" i="3"/>
  <c r="AX530" i="3"/>
  <c r="AW530" i="3"/>
  <c r="AV530" i="3"/>
  <c r="AR530" i="3"/>
  <c r="AS530" i="3" s="1"/>
  <c r="B530" i="3"/>
  <c r="CE529" i="3"/>
  <c r="CD529" i="3"/>
  <c r="CC529" i="3"/>
  <c r="CB529" i="3"/>
  <c r="CA529" i="3"/>
  <c r="BZ529" i="3"/>
  <c r="BY529" i="3"/>
  <c r="BX529" i="3"/>
  <c r="BW529" i="3"/>
  <c r="BV529" i="3"/>
  <c r="BU529" i="3"/>
  <c r="BT529" i="3"/>
  <c r="BS529" i="3"/>
  <c r="BR529" i="3"/>
  <c r="BQ529" i="3"/>
  <c r="BP529" i="3"/>
  <c r="BO529" i="3"/>
  <c r="BN529" i="3"/>
  <c r="BM529" i="3"/>
  <c r="BL529" i="3"/>
  <c r="BK529" i="3"/>
  <c r="BJ529" i="3"/>
  <c r="BI529" i="3"/>
  <c r="BH529" i="3"/>
  <c r="BG529" i="3"/>
  <c r="BF529" i="3"/>
  <c r="BE529" i="3"/>
  <c r="BD529" i="3"/>
  <c r="BC529" i="3"/>
  <c r="BB529" i="3"/>
  <c r="BA529" i="3"/>
  <c r="AZ529" i="3"/>
  <c r="AY529" i="3"/>
  <c r="AX529" i="3"/>
  <c r="AW529" i="3"/>
  <c r="AV529" i="3"/>
  <c r="AR529" i="3"/>
  <c r="AS529" i="3" s="1"/>
  <c r="B529" i="3"/>
  <c r="CE528" i="3"/>
  <c r="CD528" i="3"/>
  <c r="CC528" i="3"/>
  <c r="CB528" i="3"/>
  <c r="CA528" i="3"/>
  <c r="BZ528" i="3"/>
  <c r="BY528" i="3"/>
  <c r="BX528" i="3"/>
  <c r="BW528" i="3"/>
  <c r="BV528" i="3"/>
  <c r="BU528" i="3"/>
  <c r="BT528" i="3"/>
  <c r="BS528" i="3"/>
  <c r="BR528" i="3"/>
  <c r="BQ528" i="3"/>
  <c r="BP528" i="3"/>
  <c r="BO528" i="3"/>
  <c r="BN528" i="3"/>
  <c r="BM528" i="3"/>
  <c r="BL528" i="3"/>
  <c r="BK528" i="3"/>
  <c r="BJ528" i="3"/>
  <c r="BI528" i="3"/>
  <c r="BH528" i="3"/>
  <c r="BG528" i="3"/>
  <c r="BF528" i="3"/>
  <c r="BE528" i="3"/>
  <c r="BD528" i="3"/>
  <c r="BC528" i="3"/>
  <c r="BB528" i="3"/>
  <c r="BA528" i="3"/>
  <c r="AZ528" i="3"/>
  <c r="AY528" i="3"/>
  <c r="AX528" i="3"/>
  <c r="AW528" i="3"/>
  <c r="AV528" i="3"/>
  <c r="AR528" i="3"/>
  <c r="AS528" i="3" s="1"/>
  <c r="B528" i="3"/>
  <c r="CE527" i="3"/>
  <c r="CD527" i="3"/>
  <c r="CC527" i="3"/>
  <c r="CB527" i="3"/>
  <c r="CA527" i="3"/>
  <c r="BZ527" i="3"/>
  <c r="BY527" i="3"/>
  <c r="BX527" i="3"/>
  <c r="BW527" i="3"/>
  <c r="BV527" i="3"/>
  <c r="BU527" i="3"/>
  <c r="BT527" i="3"/>
  <c r="BS527" i="3"/>
  <c r="BR527" i="3"/>
  <c r="BQ527" i="3"/>
  <c r="BP527" i="3"/>
  <c r="BO527" i="3"/>
  <c r="BN527" i="3"/>
  <c r="BM527" i="3"/>
  <c r="BL527" i="3"/>
  <c r="BK527" i="3"/>
  <c r="BJ527" i="3"/>
  <c r="BI527" i="3"/>
  <c r="BH527" i="3"/>
  <c r="BG527" i="3"/>
  <c r="BF527" i="3"/>
  <c r="BE527" i="3"/>
  <c r="BD527" i="3"/>
  <c r="BC527" i="3"/>
  <c r="BB527" i="3"/>
  <c r="BA527" i="3"/>
  <c r="AZ527" i="3"/>
  <c r="AY527" i="3"/>
  <c r="AX527" i="3"/>
  <c r="AW527" i="3"/>
  <c r="AV527" i="3"/>
  <c r="AR527" i="3"/>
  <c r="AS527" i="3" s="1"/>
  <c r="B527" i="3"/>
  <c r="CE526" i="3"/>
  <c r="CD526" i="3"/>
  <c r="CC526" i="3"/>
  <c r="CB526" i="3"/>
  <c r="CA526" i="3"/>
  <c r="BZ526" i="3"/>
  <c r="BY526" i="3"/>
  <c r="BX526" i="3"/>
  <c r="BW526" i="3"/>
  <c r="BV526" i="3"/>
  <c r="BU526" i="3"/>
  <c r="BT526" i="3"/>
  <c r="BS526" i="3"/>
  <c r="BR526" i="3"/>
  <c r="BQ526" i="3"/>
  <c r="BP526" i="3"/>
  <c r="BO526" i="3"/>
  <c r="BN526" i="3"/>
  <c r="BM526" i="3"/>
  <c r="BL526" i="3"/>
  <c r="BK526" i="3"/>
  <c r="BJ526" i="3"/>
  <c r="BI526" i="3"/>
  <c r="BH526" i="3"/>
  <c r="BG526" i="3"/>
  <c r="BF526" i="3"/>
  <c r="BE526" i="3"/>
  <c r="BD526" i="3"/>
  <c r="BC526" i="3"/>
  <c r="BB526" i="3"/>
  <c r="BA526" i="3"/>
  <c r="AZ526" i="3"/>
  <c r="AY526" i="3"/>
  <c r="AX526" i="3"/>
  <c r="AW526" i="3"/>
  <c r="AV526" i="3"/>
  <c r="AR526" i="3"/>
  <c r="AS526" i="3" s="1"/>
  <c r="B526" i="3"/>
  <c r="CE525" i="3"/>
  <c r="CD525" i="3"/>
  <c r="CC525" i="3"/>
  <c r="CB525" i="3"/>
  <c r="CA525" i="3"/>
  <c r="BZ525" i="3"/>
  <c r="BY525" i="3"/>
  <c r="BX525" i="3"/>
  <c r="BW525" i="3"/>
  <c r="BV525" i="3"/>
  <c r="BU525" i="3"/>
  <c r="BT525" i="3"/>
  <c r="BS525" i="3"/>
  <c r="BR525" i="3"/>
  <c r="BQ525" i="3"/>
  <c r="BP525" i="3"/>
  <c r="BO525" i="3"/>
  <c r="BN525" i="3"/>
  <c r="BM525" i="3"/>
  <c r="BL525" i="3"/>
  <c r="BK525" i="3"/>
  <c r="BJ525" i="3"/>
  <c r="BI525" i="3"/>
  <c r="BH525" i="3"/>
  <c r="BG525" i="3"/>
  <c r="BF525" i="3"/>
  <c r="BE525" i="3"/>
  <c r="BD525" i="3"/>
  <c r="BC525" i="3"/>
  <c r="BB525" i="3"/>
  <c r="BA525" i="3"/>
  <c r="AZ525" i="3"/>
  <c r="AY525" i="3"/>
  <c r="AX525" i="3"/>
  <c r="AW525" i="3"/>
  <c r="AV525" i="3"/>
  <c r="AR525" i="3"/>
  <c r="AS525" i="3" s="1"/>
  <c r="B525" i="3"/>
  <c r="CE524" i="3"/>
  <c r="CD524" i="3"/>
  <c r="CC524" i="3"/>
  <c r="CB524" i="3"/>
  <c r="CA524" i="3"/>
  <c r="BZ524" i="3"/>
  <c r="BY524" i="3"/>
  <c r="BX524" i="3"/>
  <c r="BW524" i="3"/>
  <c r="BV524" i="3"/>
  <c r="BU524" i="3"/>
  <c r="BT524" i="3"/>
  <c r="BS524" i="3"/>
  <c r="BR524" i="3"/>
  <c r="BQ524" i="3"/>
  <c r="BP524" i="3"/>
  <c r="BO524" i="3"/>
  <c r="BN524" i="3"/>
  <c r="BM524" i="3"/>
  <c r="BL524" i="3"/>
  <c r="BK524" i="3"/>
  <c r="BJ524" i="3"/>
  <c r="BI524" i="3"/>
  <c r="BH524" i="3"/>
  <c r="BG524" i="3"/>
  <c r="BF524" i="3"/>
  <c r="BE524" i="3"/>
  <c r="BD524" i="3"/>
  <c r="BC524" i="3"/>
  <c r="BB524" i="3"/>
  <c r="BA524" i="3"/>
  <c r="AZ524" i="3"/>
  <c r="AY524" i="3"/>
  <c r="AX524" i="3"/>
  <c r="AW524" i="3"/>
  <c r="AV524" i="3"/>
  <c r="AR524" i="3"/>
  <c r="AS524" i="3" s="1"/>
  <c r="B524" i="3"/>
  <c r="CE523" i="3"/>
  <c r="CD523" i="3"/>
  <c r="CC523" i="3"/>
  <c r="CB523" i="3"/>
  <c r="CA523" i="3"/>
  <c r="BZ523" i="3"/>
  <c r="BY523" i="3"/>
  <c r="BX523" i="3"/>
  <c r="BW523" i="3"/>
  <c r="BV523" i="3"/>
  <c r="BU523" i="3"/>
  <c r="BT523" i="3"/>
  <c r="BS523" i="3"/>
  <c r="BR523" i="3"/>
  <c r="BQ523" i="3"/>
  <c r="BP523" i="3"/>
  <c r="BO523" i="3"/>
  <c r="BN523" i="3"/>
  <c r="BM523" i="3"/>
  <c r="BL523" i="3"/>
  <c r="BK523" i="3"/>
  <c r="BJ523" i="3"/>
  <c r="BI523" i="3"/>
  <c r="BH523" i="3"/>
  <c r="BG523" i="3"/>
  <c r="BF523" i="3"/>
  <c r="BE523" i="3"/>
  <c r="BD523" i="3"/>
  <c r="BC523" i="3"/>
  <c r="BB523" i="3"/>
  <c r="BA523" i="3"/>
  <c r="AZ523" i="3"/>
  <c r="AY523" i="3"/>
  <c r="AX523" i="3"/>
  <c r="AW523" i="3"/>
  <c r="AV523" i="3"/>
  <c r="AR523" i="3"/>
  <c r="AS523" i="3" s="1"/>
  <c r="B523" i="3"/>
  <c r="CE522" i="3"/>
  <c r="CD522" i="3"/>
  <c r="CC522" i="3"/>
  <c r="CB522" i="3"/>
  <c r="CA522" i="3"/>
  <c r="BZ522" i="3"/>
  <c r="BY522" i="3"/>
  <c r="BX522" i="3"/>
  <c r="BW522" i="3"/>
  <c r="BV522" i="3"/>
  <c r="BU522" i="3"/>
  <c r="BT522" i="3"/>
  <c r="BS522" i="3"/>
  <c r="BR522" i="3"/>
  <c r="BQ522" i="3"/>
  <c r="BP522" i="3"/>
  <c r="BO522" i="3"/>
  <c r="BN522" i="3"/>
  <c r="BM522" i="3"/>
  <c r="BL522" i="3"/>
  <c r="BK522" i="3"/>
  <c r="BJ522" i="3"/>
  <c r="BI522" i="3"/>
  <c r="BH522" i="3"/>
  <c r="BG522" i="3"/>
  <c r="BF522" i="3"/>
  <c r="BE522" i="3"/>
  <c r="BD522" i="3"/>
  <c r="BC522" i="3"/>
  <c r="BB522" i="3"/>
  <c r="BA522" i="3"/>
  <c r="AZ522" i="3"/>
  <c r="AY522" i="3"/>
  <c r="AX522" i="3"/>
  <c r="AW522" i="3"/>
  <c r="AV522" i="3"/>
  <c r="AR522" i="3"/>
  <c r="AS522" i="3" s="1"/>
  <c r="B522" i="3"/>
  <c r="CE521" i="3"/>
  <c r="CD521" i="3"/>
  <c r="CC521" i="3"/>
  <c r="CB521" i="3"/>
  <c r="CA521" i="3"/>
  <c r="BZ521" i="3"/>
  <c r="BY521" i="3"/>
  <c r="BX521" i="3"/>
  <c r="BW521" i="3"/>
  <c r="BV521" i="3"/>
  <c r="BU521" i="3"/>
  <c r="BT521" i="3"/>
  <c r="BS521" i="3"/>
  <c r="BR521" i="3"/>
  <c r="BQ521" i="3"/>
  <c r="BP521" i="3"/>
  <c r="BO521" i="3"/>
  <c r="BN521" i="3"/>
  <c r="BM521" i="3"/>
  <c r="BL521" i="3"/>
  <c r="BK521" i="3"/>
  <c r="BJ521" i="3"/>
  <c r="BI521" i="3"/>
  <c r="BH521" i="3"/>
  <c r="BG521" i="3"/>
  <c r="BF521" i="3"/>
  <c r="BE521" i="3"/>
  <c r="BD521" i="3"/>
  <c r="BC521" i="3"/>
  <c r="BB521" i="3"/>
  <c r="BA521" i="3"/>
  <c r="AZ521" i="3"/>
  <c r="AY521" i="3"/>
  <c r="AX521" i="3"/>
  <c r="AW521" i="3"/>
  <c r="AV521" i="3"/>
  <c r="AR521" i="3"/>
  <c r="AS521" i="3" s="1"/>
  <c r="B521" i="3"/>
  <c r="CE520" i="3"/>
  <c r="CD520" i="3"/>
  <c r="CC520" i="3"/>
  <c r="CB520" i="3"/>
  <c r="CA520" i="3"/>
  <c r="BZ520" i="3"/>
  <c r="BY520" i="3"/>
  <c r="BX520" i="3"/>
  <c r="BW520" i="3"/>
  <c r="BV520" i="3"/>
  <c r="BU520" i="3"/>
  <c r="BT520" i="3"/>
  <c r="BS520" i="3"/>
  <c r="BR520" i="3"/>
  <c r="BQ520" i="3"/>
  <c r="BP520" i="3"/>
  <c r="BO520" i="3"/>
  <c r="BN520" i="3"/>
  <c r="BM520" i="3"/>
  <c r="BL520" i="3"/>
  <c r="BK520" i="3"/>
  <c r="BJ520" i="3"/>
  <c r="BI520" i="3"/>
  <c r="BH520" i="3"/>
  <c r="BG520" i="3"/>
  <c r="BF520" i="3"/>
  <c r="BE520" i="3"/>
  <c r="BD520" i="3"/>
  <c r="BC520" i="3"/>
  <c r="BB520" i="3"/>
  <c r="BA520" i="3"/>
  <c r="AZ520" i="3"/>
  <c r="AY520" i="3"/>
  <c r="AX520" i="3"/>
  <c r="AW520" i="3"/>
  <c r="AV520" i="3"/>
  <c r="B520" i="3"/>
  <c r="CE519" i="3"/>
  <c r="CD519" i="3"/>
  <c r="CC519" i="3"/>
  <c r="CB519" i="3"/>
  <c r="CA519" i="3"/>
  <c r="BZ519" i="3"/>
  <c r="BY519" i="3"/>
  <c r="BX519" i="3"/>
  <c r="BW519" i="3"/>
  <c r="BV519" i="3"/>
  <c r="BU519" i="3"/>
  <c r="BT519" i="3"/>
  <c r="BS519" i="3"/>
  <c r="BR519" i="3"/>
  <c r="BQ519" i="3"/>
  <c r="BP519" i="3"/>
  <c r="BO519" i="3"/>
  <c r="BN519" i="3"/>
  <c r="BM519" i="3"/>
  <c r="BL519" i="3"/>
  <c r="BK519" i="3"/>
  <c r="BJ519" i="3"/>
  <c r="BI519" i="3"/>
  <c r="BH519" i="3"/>
  <c r="BG519" i="3"/>
  <c r="BF519" i="3"/>
  <c r="BE519" i="3"/>
  <c r="BD519" i="3"/>
  <c r="BC519" i="3"/>
  <c r="BB519" i="3"/>
  <c r="BA519" i="3"/>
  <c r="AZ519" i="3"/>
  <c r="AY519" i="3"/>
  <c r="AX519" i="3"/>
  <c r="AW519" i="3"/>
  <c r="AV519" i="3"/>
  <c r="AR519" i="3"/>
  <c r="AS519" i="3" s="1"/>
  <c r="B519" i="3"/>
  <c r="CE518" i="3"/>
  <c r="CD518" i="3"/>
  <c r="CC518" i="3"/>
  <c r="CB518" i="3"/>
  <c r="CA518" i="3"/>
  <c r="BZ518" i="3"/>
  <c r="BY518" i="3"/>
  <c r="BX518" i="3"/>
  <c r="BW518" i="3"/>
  <c r="BV518" i="3"/>
  <c r="BU518" i="3"/>
  <c r="BT518" i="3"/>
  <c r="BS518" i="3"/>
  <c r="BR518" i="3"/>
  <c r="BQ518" i="3"/>
  <c r="BP518" i="3"/>
  <c r="BO518" i="3"/>
  <c r="BN518" i="3"/>
  <c r="BM518" i="3"/>
  <c r="BL518" i="3"/>
  <c r="BK518" i="3"/>
  <c r="BJ518" i="3"/>
  <c r="BI518" i="3"/>
  <c r="BH518" i="3"/>
  <c r="BG518" i="3"/>
  <c r="BF518" i="3"/>
  <c r="BE518" i="3"/>
  <c r="BD518" i="3"/>
  <c r="BC518" i="3"/>
  <c r="BB518" i="3"/>
  <c r="BA518" i="3"/>
  <c r="AZ518" i="3"/>
  <c r="AY518" i="3"/>
  <c r="AX518" i="3"/>
  <c r="AW518" i="3"/>
  <c r="AV518" i="3"/>
  <c r="AR518" i="3"/>
  <c r="AS518" i="3" s="1"/>
  <c r="B518" i="3"/>
  <c r="CE517" i="3"/>
  <c r="CD517" i="3"/>
  <c r="CC517" i="3"/>
  <c r="CB517" i="3"/>
  <c r="CA517" i="3"/>
  <c r="BZ517" i="3"/>
  <c r="BY517" i="3"/>
  <c r="BX517" i="3"/>
  <c r="BW517" i="3"/>
  <c r="BV517" i="3"/>
  <c r="BU517" i="3"/>
  <c r="BT517" i="3"/>
  <c r="BS517" i="3"/>
  <c r="BR517" i="3"/>
  <c r="BQ517" i="3"/>
  <c r="BP517" i="3"/>
  <c r="BO517" i="3"/>
  <c r="BN517" i="3"/>
  <c r="BM517" i="3"/>
  <c r="BL517" i="3"/>
  <c r="BK517" i="3"/>
  <c r="BJ517" i="3"/>
  <c r="BI517" i="3"/>
  <c r="BH517" i="3"/>
  <c r="BG517" i="3"/>
  <c r="BF517" i="3"/>
  <c r="BE517" i="3"/>
  <c r="BD517" i="3"/>
  <c r="BC517" i="3"/>
  <c r="BB517" i="3"/>
  <c r="BA517" i="3"/>
  <c r="AZ517" i="3"/>
  <c r="AY517" i="3"/>
  <c r="AX517" i="3"/>
  <c r="AW517" i="3"/>
  <c r="AV517" i="3"/>
  <c r="AR517" i="3"/>
  <c r="AS517" i="3" s="1"/>
  <c r="B517" i="3"/>
  <c r="CE516" i="3"/>
  <c r="CD516" i="3"/>
  <c r="CC516" i="3"/>
  <c r="CB516" i="3"/>
  <c r="CA516" i="3"/>
  <c r="BZ516" i="3"/>
  <c r="BY516" i="3"/>
  <c r="BX516" i="3"/>
  <c r="BW516" i="3"/>
  <c r="BV516" i="3"/>
  <c r="BU516" i="3"/>
  <c r="BT516" i="3"/>
  <c r="BS516" i="3"/>
  <c r="BR516" i="3"/>
  <c r="BQ516" i="3"/>
  <c r="BP516" i="3"/>
  <c r="BO516" i="3"/>
  <c r="BN516" i="3"/>
  <c r="BM516" i="3"/>
  <c r="BL516" i="3"/>
  <c r="BK516" i="3"/>
  <c r="BJ516" i="3"/>
  <c r="BI516" i="3"/>
  <c r="BH516" i="3"/>
  <c r="BG516" i="3"/>
  <c r="BF516" i="3"/>
  <c r="BE516" i="3"/>
  <c r="BD516" i="3"/>
  <c r="BC516" i="3"/>
  <c r="BB516" i="3"/>
  <c r="BA516" i="3"/>
  <c r="AZ516" i="3"/>
  <c r="AY516" i="3"/>
  <c r="AX516" i="3"/>
  <c r="AW516" i="3"/>
  <c r="AV516" i="3"/>
  <c r="AR516" i="3"/>
  <c r="AS516" i="3" s="1"/>
  <c r="B516" i="3"/>
  <c r="CE515" i="3"/>
  <c r="CD515" i="3"/>
  <c r="CC515" i="3"/>
  <c r="CB515" i="3"/>
  <c r="CA515" i="3"/>
  <c r="BZ515" i="3"/>
  <c r="BY515" i="3"/>
  <c r="BX515" i="3"/>
  <c r="BW515" i="3"/>
  <c r="BV515" i="3"/>
  <c r="BU515" i="3"/>
  <c r="BT515" i="3"/>
  <c r="BS515" i="3"/>
  <c r="BR515" i="3"/>
  <c r="BQ515" i="3"/>
  <c r="BP515" i="3"/>
  <c r="BO515" i="3"/>
  <c r="BN515" i="3"/>
  <c r="BM515" i="3"/>
  <c r="BL515" i="3"/>
  <c r="BK515" i="3"/>
  <c r="BJ515" i="3"/>
  <c r="BI515" i="3"/>
  <c r="BH515" i="3"/>
  <c r="BG515" i="3"/>
  <c r="BF515" i="3"/>
  <c r="BE515" i="3"/>
  <c r="BD515" i="3"/>
  <c r="BC515" i="3"/>
  <c r="BB515" i="3"/>
  <c r="BA515" i="3"/>
  <c r="AZ515" i="3"/>
  <c r="AY515" i="3"/>
  <c r="AX515" i="3"/>
  <c r="AW515" i="3"/>
  <c r="AV515" i="3"/>
  <c r="AR515" i="3"/>
  <c r="AS515" i="3" s="1"/>
  <c r="B515" i="3"/>
  <c r="CE636" i="3"/>
  <c r="CD636" i="3"/>
  <c r="CC636" i="3"/>
  <c r="CB636" i="3"/>
  <c r="CA636" i="3"/>
  <c r="BZ636" i="3"/>
  <c r="BY636" i="3"/>
  <c r="BX636" i="3"/>
  <c r="BW636" i="3"/>
  <c r="BV636" i="3"/>
  <c r="BU636" i="3"/>
  <c r="BT636" i="3"/>
  <c r="BS636" i="3"/>
  <c r="BR636" i="3"/>
  <c r="BQ636" i="3"/>
  <c r="BP636" i="3"/>
  <c r="BO636" i="3"/>
  <c r="BN636" i="3"/>
  <c r="BM636" i="3"/>
  <c r="BL636" i="3"/>
  <c r="BK636" i="3"/>
  <c r="BJ636" i="3"/>
  <c r="BI636" i="3"/>
  <c r="BH636" i="3"/>
  <c r="BG636" i="3"/>
  <c r="BF636" i="3"/>
  <c r="BE636" i="3"/>
  <c r="BD636" i="3"/>
  <c r="BC636" i="3"/>
  <c r="BB636" i="3"/>
  <c r="BA636" i="3"/>
  <c r="AZ636" i="3"/>
  <c r="AY636" i="3"/>
  <c r="AX636" i="3"/>
  <c r="AW636" i="3"/>
  <c r="AV636" i="3"/>
  <c r="AR636" i="3"/>
  <c r="AS636" i="3" s="1"/>
  <c r="B636" i="3"/>
  <c r="CE635" i="3"/>
  <c r="CD635" i="3"/>
  <c r="CC635" i="3"/>
  <c r="CB635" i="3"/>
  <c r="CA635" i="3"/>
  <c r="BZ635" i="3"/>
  <c r="BY635" i="3"/>
  <c r="BX635" i="3"/>
  <c r="BW635" i="3"/>
  <c r="BV635" i="3"/>
  <c r="BU635" i="3"/>
  <c r="BT635" i="3"/>
  <c r="BS635" i="3"/>
  <c r="BR635" i="3"/>
  <c r="BQ635" i="3"/>
  <c r="BP635" i="3"/>
  <c r="BO635" i="3"/>
  <c r="BN635" i="3"/>
  <c r="BM635" i="3"/>
  <c r="BL635" i="3"/>
  <c r="BK635" i="3"/>
  <c r="BJ635" i="3"/>
  <c r="BI635" i="3"/>
  <c r="BH635" i="3"/>
  <c r="BG635" i="3"/>
  <c r="BF635" i="3"/>
  <c r="BE635" i="3"/>
  <c r="BD635" i="3"/>
  <c r="BC635" i="3"/>
  <c r="BB635" i="3"/>
  <c r="BA635" i="3"/>
  <c r="AZ635" i="3"/>
  <c r="AY635" i="3"/>
  <c r="AX635" i="3"/>
  <c r="AW635" i="3"/>
  <c r="AV635" i="3"/>
  <c r="AR635" i="3"/>
  <c r="AS635" i="3" s="1"/>
  <c r="B635" i="3"/>
  <c r="CE634" i="3"/>
  <c r="CD634" i="3"/>
  <c r="CC634" i="3"/>
  <c r="CB634" i="3"/>
  <c r="CA634" i="3"/>
  <c r="BZ634" i="3"/>
  <c r="BY634" i="3"/>
  <c r="BX634" i="3"/>
  <c r="BW634" i="3"/>
  <c r="BV634" i="3"/>
  <c r="BU634" i="3"/>
  <c r="BT634" i="3"/>
  <c r="BS634" i="3"/>
  <c r="BR634" i="3"/>
  <c r="BQ634" i="3"/>
  <c r="BP634" i="3"/>
  <c r="BO634" i="3"/>
  <c r="BN634" i="3"/>
  <c r="BM634" i="3"/>
  <c r="BL634" i="3"/>
  <c r="BK634" i="3"/>
  <c r="BJ634" i="3"/>
  <c r="BI634" i="3"/>
  <c r="BH634" i="3"/>
  <c r="BG634" i="3"/>
  <c r="BF634" i="3"/>
  <c r="BE634" i="3"/>
  <c r="BD634" i="3"/>
  <c r="BC634" i="3"/>
  <c r="BB634" i="3"/>
  <c r="BA634" i="3"/>
  <c r="AZ634" i="3"/>
  <c r="AY634" i="3"/>
  <c r="AX634" i="3"/>
  <c r="AW634" i="3"/>
  <c r="AV634" i="3"/>
  <c r="AR634" i="3"/>
  <c r="AS634" i="3" s="1"/>
  <c r="B634" i="3"/>
  <c r="CE633" i="3"/>
  <c r="CD633" i="3"/>
  <c r="CC633" i="3"/>
  <c r="CB633" i="3"/>
  <c r="CA633" i="3"/>
  <c r="BZ633" i="3"/>
  <c r="BY633" i="3"/>
  <c r="BX633" i="3"/>
  <c r="BW633" i="3"/>
  <c r="BV633" i="3"/>
  <c r="BU633" i="3"/>
  <c r="BT633" i="3"/>
  <c r="BS633" i="3"/>
  <c r="BR633" i="3"/>
  <c r="BQ633" i="3"/>
  <c r="BP633" i="3"/>
  <c r="BO633" i="3"/>
  <c r="BN633" i="3"/>
  <c r="BM633" i="3"/>
  <c r="BL633" i="3"/>
  <c r="BK633" i="3"/>
  <c r="BJ633" i="3"/>
  <c r="BI633" i="3"/>
  <c r="BH633" i="3"/>
  <c r="BG633" i="3"/>
  <c r="BF633" i="3"/>
  <c r="BE633" i="3"/>
  <c r="BD633" i="3"/>
  <c r="BC633" i="3"/>
  <c r="BB633" i="3"/>
  <c r="BA633" i="3"/>
  <c r="AZ633" i="3"/>
  <c r="AY633" i="3"/>
  <c r="AX633" i="3"/>
  <c r="AW633" i="3"/>
  <c r="AV633" i="3"/>
  <c r="AR633" i="3"/>
  <c r="AS633" i="3" s="1"/>
  <c r="B633" i="3"/>
  <c r="CE632" i="3"/>
  <c r="CD632" i="3"/>
  <c r="CC632" i="3"/>
  <c r="CB632" i="3"/>
  <c r="CA632" i="3"/>
  <c r="BZ632" i="3"/>
  <c r="BY632" i="3"/>
  <c r="BX632" i="3"/>
  <c r="BW632" i="3"/>
  <c r="BV632" i="3"/>
  <c r="BU632" i="3"/>
  <c r="BT632" i="3"/>
  <c r="BS632" i="3"/>
  <c r="BR632" i="3"/>
  <c r="BQ632" i="3"/>
  <c r="BP632" i="3"/>
  <c r="BO632" i="3"/>
  <c r="BN632" i="3"/>
  <c r="BM632" i="3"/>
  <c r="BL632" i="3"/>
  <c r="BK632" i="3"/>
  <c r="BJ632" i="3"/>
  <c r="BI632" i="3"/>
  <c r="BH632" i="3"/>
  <c r="BG632" i="3"/>
  <c r="BF632" i="3"/>
  <c r="BE632" i="3"/>
  <c r="BD632" i="3"/>
  <c r="BC632" i="3"/>
  <c r="BB632" i="3"/>
  <c r="BA632" i="3"/>
  <c r="AZ632" i="3"/>
  <c r="AY632" i="3"/>
  <c r="AX632" i="3"/>
  <c r="AW632" i="3"/>
  <c r="AV632" i="3"/>
  <c r="AR632" i="3"/>
  <c r="AS632" i="3" s="1"/>
  <c r="B632" i="3"/>
  <c r="CE631" i="3"/>
  <c r="CD631" i="3"/>
  <c r="CC631" i="3"/>
  <c r="CB631" i="3"/>
  <c r="CA631" i="3"/>
  <c r="BZ631" i="3"/>
  <c r="BY631" i="3"/>
  <c r="BX631" i="3"/>
  <c r="BW631" i="3"/>
  <c r="BV631" i="3"/>
  <c r="BU631" i="3"/>
  <c r="BT631" i="3"/>
  <c r="BS631" i="3"/>
  <c r="BR631" i="3"/>
  <c r="BQ631" i="3"/>
  <c r="BP631" i="3"/>
  <c r="BO631" i="3"/>
  <c r="BN631" i="3"/>
  <c r="BM631" i="3"/>
  <c r="BL631" i="3"/>
  <c r="BK631" i="3"/>
  <c r="BJ631" i="3"/>
  <c r="BI631" i="3"/>
  <c r="BH631" i="3"/>
  <c r="BG631" i="3"/>
  <c r="BF631" i="3"/>
  <c r="BE631" i="3"/>
  <c r="BD631" i="3"/>
  <c r="BC631" i="3"/>
  <c r="BB631" i="3"/>
  <c r="BA631" i="3"/>
  <c r="AZ631" i="3"/>
  <c r="AY631" i="3"/>
  <c r="AX631" i="3"/>
  <c r="AW631" i="3"/>
  <c r="AV631" i="3"/>
  <c r="AR631" i="3"/>
  <c r="AS631" i="3" s="1"/>
  <c r="B631" i="3"/>
  <c r="CE630" i="3"/>
  <c r="CD630" i="3"/>
  <c r="CC630" i="3"/>
  <c r="CB630" i="3"/>
  <c r="CA630" i="3"/>
  <c r="BZ630" i="3"/>
  <c r="BY630" i="3"/>
  <c r="BX630" i="3"/>
  <c r="BW630" i="3"/>
  <c r="BV630" i="3"/>
  <c r="BU630" i="3"/>
  <c r="BT630" i="3"/>
  <c r="BS630" i="3"/>
  <c r="BR630" i="3"/>
  <c r="BQ630" i="3"/>
  <c r="BP630" i="3"/>
  <c r="BO630" i="3"/>
  <c r="BN630" i="3"/>
  <c r="BM630" i="3"/>
  <c r="BL630" i="3"/>
  <c r="BK630" i="3"/>
  <c r="BJ630" i="3"/>
  <c r="BI630" i="3"/>
  <c r="BH630" i="3"/>
  <c r="BG630" i="3"/>
  <c r="BF630" i="3"/>
  <c r="BE630" i="3"/>
  <c r="BD630" i="3"/>
  <c r="BC630" i="3"/>
  <c r="BB630" i="3"/>
  <c r="BA630" i="3"/>
  <c r="AZ630" i="3"/>
  <c r="AY630" i="3"/>
  <c r="AX630" i="3"/>
  <c r="AW630" i="3"/>
  <c r="AV630" i="3"/>
  <c r="AR630" i="3"/>
  <c r="AS630" i="3" s="1"/>
  <c r="B630" i="3"/>
  <c r="CE629" i="3"/>
  <c r="CD629" i="3"/>
  <c r="CC629" i="3"/>
  <c r="CB629" i="3"/>
  <c r="CA629" i="3"/>
  <c r="BZ629" i="3"/>
  <c r="BY629" i="3"/>
  <c r="BX629" i="3"/>
  <c r="BW629" i="3"/>
  <c r="BV629" i="3"/>
  <c r="BU629" i="3"/>
  <c r="BT629" i="3"/>
  <c r="BS629" i="3"/>
  <c r="BR629" i="3"/>
  <c r="BQ629" i="3"/>
  <c r="BP629" i="3"/>
  <c r="BO629" i="3"/>
  <c r="BN629" i="3"/>
  <c r="BM629" i="3"/>
  <c r="BL629" i="3"/>
  <c r="BK629" i="3"/>
  <c r="BJ629" i="3"/>
  <c r="BI629" i="3"/>
  <c r="BH629" i="3"/>
  <c r="BG629" i="3"/>
  <c r="BF629" i="3"/>
  <c r="BE629" i="3"/>
  <c r="BD629" i="3"/>
  <c r="BC629" i="3"/>
  <c r="BB629" i="3"/>
  <c r="BA629" i="3"/>
  <c r="AZ629" i="3"/>
  <c r="AY629" i="3"/>
  <c r="AX629" i="3"/>
  <c r="AW629" i="3"/>
  <c r="AV629" i="3"/>
  <c r="AR629" i="3"/>
  <c r="AS629" i="3" s="1"/>
  <c r="B629" i="3"/>
  <c r="CE628" i="3"/>
  <c r="CD628" i="3"/>
  <c r="CC628" i="3"/>
  <c r="CB628" i="3"/>
  <c r="CA628" i="3"/>
  <c r="BZ628" i="3"/>
  <c r="BY628" i="3"/>
  <c r="BX628" i="3"/>
  <c r="BW628" i="3"/>
  <c r="BV628" i="3"/>
  <c r="BU628" i="3"/>
  <c r="BT628" i="3"/>
  <c r="BS628" i="3"/>
  <c r="BR628" i="3"/>
  <c r="BQ628" i="3"/>
  <c r="BP628" i="3"/>
  <c r="BO628" i="3"/>
  <c r="BN628" i="3"/>
  <c r="BM628" i="3"/>
  <c r="BL628" i="3"/>
  <c r="BK628" i="3"/>
  <c r="BJ628" i="3"/>
  <c r="BI628" i="3"/>
  <c r="BH628" i="3"/>
  <c r="BG628" i="3"/>
  <c r="BF628" i="3"/>
  <c r="BE628" i="3"/>
  <c r="BD628" i="3"/>
  <c r="BC628" i="3"/>
  <c r="BB628" i="3"/>
  <c r="BA628" i="3"/>
  <c r="AZ628" i="3"/>
  <c r="AY628" i="3"/>
  <c r="AX628" i="3"/>
  <c r="AW628" i="3"/>
  <c r="AV628" i="3"/>
  <c r="AR628" i="3"/>
  <c r="AS628" i="3" s="1"/>
  <c r="B628" i="3"/>
  <c r="CE627" i="3"/>
  <c r="CD627" i="3"/>
  <c r="CC627" i="3"/>
  <c r="CB627" i="3"/>
  <c r="CA627" i="3"/>
  <c r="BZ627" i="3"/>
  <c r="BY627" i="3"/>
  <c r="BX627" i="3"/>
  <c r="BW627" i="3"/>
  <c r="BV627" i="3"/>
  <c r="BU627" i="3"/>
  <c r="BT627" i="3"/>
  <c r="BS627" i="3"/>
  <c r="BR627" i="3"/>
  <c r="BQ627" i="3"/>
  <c r="BP627" i="3"/>
  <c r="BO627" i="3"/>
  <c r="BN627" i="3"/>
  <c r="BM627" i="3"/>
  <c r="BL627" i="3"/>
  <c r="BK627" i="3"/>
  <c r="BJ627" i="3"/>
  <c r="BI627" i="3"/>
  <c r="BH627" i="3"/>
  <c r="BG627" i="3"/>
  <c r="BF627" i="3"/>
  <c r="BE627" i="3"/>
  <c r="BD627" i="3"/>
  <c r="BC627" i="3"/>
  <c r="BB627" i="3"/>
  <c r="BA627" i="3"/>
  <c r="AZ627" i="3"/>
  <c r="AY627" i="3"/>
  <c r="AX627" i="3"/>
  <c r="AW627" i="3"/>
  <c r="AV627" i="3"/>
  <c r="AR627" i="3"/>
  <c r="AS627" i="3" s="1"/>
  <c r="B627" i="3"/>
  <c r="CE626" i="3"/>
  <c r="CD626" i="3"/>
  <c r="CC626" i="3"/>
  <c r="CB626" i="3"/>
  <c r="CA626" i="3"/>
  <c r="BZ626" i="3"/>
  <c r="BY626" i="3"/>
  <c r="BX626" i="3"/>
  <c r="BW626" i="3"/>
  <c r="BV626" i="3"/>
  <c r="BU626" i="3"/>
  <c r="BT626" i="3"/>
  <c r="BS626" i="3"/>
  <c r="BR626" i="3"/>
  <c r="BQ626" i="3"/>
  <c r="BP626" i="3"/>
  <c r="BO626" i="3"/>
  <c r="BN626" i="3"/>
  <c r="BM626" i="3"/>
  <c r="BL626" i="3"/>
  <c r="BK626" i="3"/>
  <c r="BJ626" i="3"/>
  <c r="BI626" i="3"/>
  <c r="BH626" i="3"/>
  <c r="BG626" i="3"/>
  <c r="BF626" i="3"/>
  <c r="BE626" i="3"/>
  <c r="BD626" i="3"/>
  <c r="BC626" i="3"/>
  <c r="BB626" i="3"/>
  <c r="BA626" i="3"/>
  <c r="AZ626" i="3"/>
  <c r="AY626" i="3"/>
  <c r="AX626" i="3"/>
  <c r="AW626" i="3"/>
  <c r="AV626" i="3"/>
  <c r="AR626" i="3"/>
  <c r="AS626" i="3" s="1"/>
  <c r="B626" i="3"/>
  <c r="CE625" i="3"/>
  <c r="CD625" i="3"/>
  <c r="CC625" i="3"/>
  <c r="CB625" i="3"/>
  <c r="CA625" i="3"/>
  <c r="BZ625" i="3"/>
  <c r="BY625" i="3"/>
  <c r="BX625" i="3"/>
  <c r="BW625" i="3"/>
  <c r="BV625" i="3"/>
  <c r="BU625" i="3"/>
  <c r="BT625" i="3"/>
  <c r="BS625" i="3"/>
  <c r="BR625" i="3"/>
  <c r="BQ625" i="3"/>
  <c r="BP625" i="3"/>
  <c r="BO625" i="3"/>
  <c r="BN625" i="3"/>
  <c r="BM625" i="3"/>
  <c r="BL625" i="3"/>
  <c r="BK625" i="3"/>
  <c r="BJ625" i="3"/>
  <c r="BI625" i="3"/>
  <c r="BH625" i="3"/>
  <c r="BG625" i="3"/>
  <c r="BF625" i="3"/>
  <c r="BE625" i="3"/>
  <c r="BD625" i="3"/>
  <c r="BC625" i="3"/>
  <c r="BB625" i="3"/>
  <c r="BA625" i="3"/>
  <c r="AZ625" i="3"/>
  <c r="AY625" i="3"/>
  <c r="AX625" i="3"/>
  <c r="AW625" i="3"/>
  <c r="AV625" i="3"/>
  <c r="AR625" i="3"/>
  <c r="AS625" i="3" s="1"/>
  <c r="B625" i="3"/>
  <c r="CE624" i="3"/>
  <c r="CD624" i="3"/>
  <c r="CC624" i="3"/>
  <c r="CB624" i="3"/>
  <c r="CA624" i="3"/>
  <c r="BZ624" i="3"/>
  <c r="BY624" i="3"/>
  <c r="BX624" i="3"/>
  <c r="BW624" i="3"/>
  <c r="BV624" i="3"/>
  <c r="BU624" i="3"/>
  <c r="BT624" i="3"/>
  <c r="BS624" i="3"/>
  <c r="BR624" i="3"/>
  <c r="BQ624" i="3"/>
  <c r="BP624" i="3"/>
  <c r="BO624" i="3"/>
  <c r="BN624" i="3"/>
  <c r="BM624" i="3"/>
  <c r="BL624" i="3"/>
  <c r="BK624" i="3"/>
  <c r="BJ624" i="3"/>
  <c r="BI624" i="3"/>
  <c r="BH624" i="3"/>
  <c r="BG624" i="3"/>
  <c r="BF624" i="3"/>
  <c r="BE624" i="3"/>
  <c r="BD624" i="3"/>
  <c r="BC624" i="3"/>
  <c r="BB624" i="3"/>
  <c r="BA624" i="3"/>
  <c r="AZ624" i="3"/>
  <c r="AY624" i="3"/>
  <c r="AX624" i="3"/>
  <c r="AW624" i="3"/>
  <c r="AV624" i="3"/>
  <c r="AR624" i="3"/>
  <c r="AS624" i="3" s="1"/>
  <c r="B624" i="3"/>
  <c r="CE623" i="3"/>
  <c r="CD623" i="3"/>
  <c r="CC623" i="3"/>
  <c r="CB623" i="3"/>
  <c r="CA623" i="3"/>
  <c r="BZ623" i="3"/>
  <c r="BY623" i="3"/>
  <c r="BX623" i="3"/>
  <c r="BW623" i="3"/>
  <c r="BV623" i="3"/>
  <c r="BU623" i="3"/>
  <c r="BT623" i="3"/>
  <c r="BS623" i="3"/>
  <c r="BR623" i="3"/>
  <c r="BQ623" i="3"/>
  <c r="BP623" i="3"/>
  <c r="BO623" i="3"/>
  <c r="BN623" i="3"/>
  <c r="BM623" i="3"/>
  <c r="BL623" i="3"/>
  <c r="BK623" i="3"/>
  <c r="BJ623" i="3"/>
  <c r="BI623" i="3"/>
  <c r="BH623" i="3"/>
  <c r="BG623" i="3"/>
  <c r="BF623" i="3"/>
  <c r="BE623" i="3"/>
  <c r="BD623" i="3"/>
  <c r="BC623" i="3"/>
  <c r="BB623" i="3"/>
  <c r="BA623" i="3"/>
  <c r="AZ623" i="3"/>
  <c r="AY623" i="3"/>
  <c r="AX623" i="3"/>
  <c r="AW623" i="3"/>
  <c r="AV623" i="3"/>
  <c r="AR623" i="3"/>
  <c r="AS623" i="3" s="1"/>
  <c r="B623" i="3"/>
  <c r="CE622" i="3"/>
  <c r="CD622" i="3"/>
  <c r="CC622" i="3"/>
  <c r="CB622" i="3"/>
  <c r="CA622" i="3"/>
  <c r="BZ622" i="3"/>
  <c r="BY622" i="3"/>
  <c r="BX622" i="3"/>
  <c r="BW622" i="3"/>
  <c r="BV622" i="3"/>
  <c r="BU622" i="3"/>
  <c r="BT622" i="3"/>
  <c r="BS622" i="3"/>
  <c r="BR622" i="3"/>
  <c r="BQ622" i="3"/>
  <c r="BP622" i="3"/>
  <c r="BO622" i="3"/>
  <c r="BN622" i="3"/>
  <c r="BM622" i="3"/>
  <c r="BL622" i="3"/>
  <c r="BK622" i="3"/>
  <c r="BJ622" i="3"/>
  <c r="BI622" i="3"/>
  <c r="BH622" i="3"/>
  <c r="BG622" i="3"/>
  <c r="BF622" i="3"/>
  <c r="BE622" i="3"/>
  <c r="BD622" i="3"/>
  <c r="BC622" i="3"/>
  <c r="BB622" i="3"/>
  <c r="BA622" i="3"/>
  <c r="AZ622" i="3"/>
  <c r="AY622" i="3"/>
  <c r="AX622" i="3"/>
  <c r="AW622" i="3"/>
  <c r="AV622" i="3"/>
  <c r="AR622" i="3"/>
  <c r="AS622" i="3" s="1"/>
  <c r="B622" i="3"/>
  <c r="CE621" i="3"/>
  <c r="CD621" i="3"/>
  <c r="CC621" i="3"/>
  <c r="CB621" i="3"/>
  <c r="CA621" i="3"/>
  <c r="BZ621" i="3"/>
  <c r="BY621" i="3"/>
  <c r="BX621" i="3"/>
  <c r="BW621" i="3"/>
  <c r="BV621" i="3"/>
  <c r="BU621" i="3"/>
  <c r="BT621" i="3"/>
  <c r="BS621" i="3"/>
  <c r="BR621" i="3"/>
  <c r="BQ621" i="3"/>
  <c r="BP621" i="3"/>
  <c r="BO621" i="3"/>
  <c r="BN621" i="3"/>
  <c r="BM621" i="3"/>
  <c r="BL621" i="3"/>
  <c r="BK621" i="3"/>
  <c r="BJ621" i="3"/>
  <c r="BI621" i="3"/>
  <c r="BH621" i="3"/>
  <c r="BG621" i="3"/>
  <c r="BF621" i="3"/>
  <c r="BE621" i="3"/>
  <c r="BD621" i="3"/>
  <c r="BC621" i="3"/>
  <c r="BB621" i="3"/>
  <c r="BA621" i="3"/>
  <c r="AZ621" i="3"/>
  <c r="AY621" i="3"/>
  <c r="AX621" i="3"/>
  <c r="AW621" i="3"/>
  <c r="AV621" i="3"/>
  <c r="AR621" i="3"/>
  <c r="AS621" i="3" s="1"/>
  <c r="B621" i="3"/>
  <c r="CE620" i="3"/>
  <c r="CD620" i="3"/>
  <c r="CC620" i="3"/>
  <c r="CB620" i="3"/>
  <c r="CA620" i="3"/>
  <c r="BZ620" i="3"/>
  <c r="BY620" i="3"/>
  <c r="BX620" i="3"/>
  <c r="BW620" i="3"/>
  <c r="BV620" i="3"/>
  <c r="BU620" i="3"/>
  <c r="BT620" i="3"/>
  <c r="BS620" i="3"/>
  <c r="BR620" i="3"/>
  <c r="BQ620" i="3"/>
  <c r="BP620" i="3"/>
  <c r="BO620" i="3"/>
  <c r="BN620" i="3"/>
  <c r="BM620" i="3"/>
  <c r="BL620" i="3"/>
  <c r="BK620" i="3"/>
  <c r="BJ620" i="3"/>
  <c r="BI620" i="3"/>
  <c r="BH620" i="3"/>
  <c r="BG620" i="3"/>
  <c r="BF620" i="3"/>
  <c r="BE620" i="3"/>
  <c r="BD620" i="3"/>
  <c r="BC620" i="3"/>
  <c r="BB620" i="3"/>
  <c r="BA620" i="3"/>
  <c r="AZ620" i="3"/>
  <c r="AY620" i="3"/>
  <c r="AX620" i="3"/>
  <c r="AW620" i="3"/>
  <c r="AV620" i="3"/>
  <c r="AR620" i="3"/>
  <c r="AS620" i="3" s="1"/>
  <c r="B620" i="3"/>
  <c r="CE619" i="3"/>
  <c r="CD619" i="3"/>
  <c r="CC619" i="3"/>
  <c r="CB619" i="3"/>
  <c r="CA619" i="3"/>
  <c r="BZ619" i="3"/>
  <c r="BY619" i="3"/>
  <c r="BX619" i="3"/>
  <c r="BW619" i="3"/>
  <c r="BV619" i="3"/>
  <c r="BU619" i="3"/>
  <c r="BT619" i="3"/>
  <c r="BS619" i="3"/>
  <c r="BR619" i="3"/>
  <c r="BQ619" i="3"/>
  <c r="BP619" i="3"/>
  <c r="BO619" i="3"/>
  <c r="BN619" i="3"/>
  <c r="BM619" i="3"/>
  <c r="BL619" i="3"/>
  <c r="BK619" i="3"/>
  <c r="BJ619" i="3"/>
  <c r="BI619" i="3"/>
  <c r="BH619" i="3"/>
  <c r="BG619" i="3"/>
  <c r="BF619" i="3"/>
  <c r="BE619" i="3"/>
  <c r="BD619" i="3"/>
  <c r="BC619" i="3"/>
  <c r="BB619" i="3"/>
  <c r="BA619" i="3"/>
  <c r="AZ619" i="3"/>
  <c r="AY619" i="3"/>
  <c r="AX619" i="3"/>
  <c r="AW619" i="3"/>
  <c r="AV619" i="3"/>
  <c r="AR619" i="3"/>
  <c r="AS619" i="3" s="1"/>
  <c r="B619" i="3"/>
  <c r="CE618" i="3"/>
  <c r="CD618" i="3"/>
  <c r="CC618" i="3"/>
  <c r="CB618" i="3"/>
  <c r="CA618" i="3"/>
  <c r="BZ618" i="3"/>
  <c r="BY618" i="3"/>
  <c r="BX618" i="3"/>
  <c r="BW618" i="3"/>
  <c r="BV618" i="3"/>
  <c r="BU618" i="3"/>
  <c r="BT618" i="3"/>
  <c r="BS618" i="3"/>
  <c r="BR618" i="3"/>
  <c r="BQ618" i="3"/>
  <c r="BP618" i="3"/>
  <c r="BO618" i="3"/>
  <c r="BN618" i="3"/>
  <c r="BM618" i="3"/>
  <c r="BL618" i="3"/>
  <c r="BK618" i="3"/>
  <c r="BJ618" i="3"/>
  <c r="BI618" i="3"/>
  <c r="BH618" i="3"/>
  <c r="BG618" i="3"/>
  <c r="BF618" i="3"/>
  <c r="BE618" i="3"/>
  <c r="BD618" i="3"/>
  <c r="BC618" i="3"/>
  <c r="BB618" i="3"/>
  <c r="BA618" i="3"/>
  <c r="AZ618" i="3"/>
  <c r="AY618" i="3"/>
  <c r="AX618" i="3"/>
  <c r="AW618" i="3"/>
  <c r="AV618" i="3"/>
  <c r="AR618" i="3"/>
  <c r="AS618" i="3" s="1"/>
  <c r="B618" i="3"/>
  <c r="CE617" i="3"/>
  <c r="CD617" i="3"/>
  <c r="CC617" i="3"/>
  <c r="CB617" i="3"/>
  <c r="CA617" i="3"/>
  <c r="BZ617" i="3"/>
  <c r="BY617" i="3"/>
  <c r="BX617" i="3"/>
  <c r="BW617" i="3"/>
  <c r="BV617" i="3"/>
  <c r="BU617" i="3"/>
  <c r="BT617" i="3"/>
  <c r="BS617" i="3"/>
  <c r="BR617" i="3"/>
  <c r="BQ617" i="3"/>
  <c r="BP617" i="3"/>
  <c r="BO617" i="3"/>
  <c r="BN617" i="3"/>
  <c r="BM617" i="3"/>
  <c r="BL617" i="3"/>
  <c r="BK617" i="3"/>
  <c r="BJ617" i="3"/>
  <c r="BI617" i="3"/>
  <c r="BH617" i="3"/>
  <c r="BG617" i="3"/>
  <c r="BF617" i="3"/>
  <c r="BE617" i="3"/>
  <c r="BD617" i="3"/>
  <c r="BC617" i="3"/>
  <c r="BB617" i="3"/>
  <c r="BA617" i="3"/>
  <c r="AZ617" i="3"/>
  <c r="AY617" i="3"/>
  <c r="AX617" i="3"/>
  <c r="AW617" i="3"/>
  <c r="AV617" i="3"/>
  <c r="AR617" i="3"/>
  <c r="AS617" i="3" s="1"/>
  <c r="B617" i="3"/>
  <c r="CE616" i="3"/>
  <c r="CD616" i="3"/>
  <c r="CC616" i="3"/>
  <c r="CB616" i="3"/>
  <c r="CA616" i="3"/>
  <c r="BZ616" i="3"/>
  <c r="BY616" i="3"/>
  <c r="BX616" i="3"/>
  <c r="BW616" i="3"/>
  <c r="BV616" i="3"/>
  <c r="BU616" i="3"/>
  <c r="BT616" i="3"/>
  <c r="BS616" i="3"/>
  <c r="BR616" i="3"/>
  <c r="BQ616" i="3"/>
  <c r="BP616" i="3"/>
  <c r="BO616" i="3"/>
  <c r="BN616" i="3"/>
  <c r="BM616" i="3"/>
  <c r="BL616" i="3"/>
  <c r="BK616" i="3"/>
  <c r="BJ616" i="3"/>
  <c r="BI616" i="3"/>
  <c r="BH616" i="3"/>
  <c r="BG616" i="3"/>
  <c r="BF616" i="3"/>
  <c r="BE616" i="3"/>
  <c r="BD616" i="3"/>
  <c r="BC616" i="3"/>
  <c r="BB616" i="3"/>
  <c r="BA616" i="3"/>
  <c r="AZ616" i="3"/>
  <c r="AY616" i="3"/>
  <c r="AX616" i="3"/>
  <c r="AW616" i="3"/>
  <c r="AV616" i="3"/>
  <c r="AR616" i="3"/>
  <c r="AS616" i="3" s="1"/>
  <c r="B616" i="3"/>
  <c r="CE615" i="3"/>
  <c r="CD615" i="3"/>
  <c r="CC615" i="3"/>
  <c r="CB615" i="3"/>
  <c r="CA615" i="3"/>
  <c r="BZ615" i="3"/>
  <c r="BY615" i="3"/>
  <c r="BX615" i="3"/>
  <c r="BW615" i="3"/>
  <c r="BV615" i="3"/>
  <c r="BU615" i="3"/>
  <c r="BT615" i="3"/>
  <c r="BS615" i="3"/>
  <c r="BR615" i="3"/>
  <c r="BQ615" i="3"/>
  <c r="AR615" i="3" s="1"/>
  <c r="AS615" i="3" s="1"/>
  <c r="BP615" i="3"/>
  <c r="BO615" i="3"/>
  <c r="BN615" i="3"/>
  <c r="BM615" i="3"/>
  <c r="BL615" i="3"/>
  <c r="BK615" i="3"/>
  <c r="BJ615" i="3"/>
  <c r="BI615" i="3"/>
  <c r="BH615" i="3"/>
  <c r="BG615" i="3"/>
  <c r="BF615" i="3"/>
  <c r="BE615" i="3"/>
  <c r="BD615" i="3"/>
  <c r="BC615" i="3"/>
  <c r="BB615" i="3"/>
  <c r="BA615" i="3"/>
  <c r="AZ615" i="3"/>
  <c r="AY615" i="3"/>
  <c r="AX615" i="3"/>
  <c r="AW615" i="3"/>
  <c r="AV615" i="3"/>
  <c r="B615" i="3"/>
  <c r="CE614" i="3"/>
  <c r="CD614" i="3"/>
  <c r="CC614" i="3"/>
  <c r="CB614" i="3"/>
  <c r="CA614" i="3"/>
  <c r="BZ614" i="3"/>
  <c r="BY614" i="3"/>
  <c r="BX614" i="3"/>
  <c r="BW614" i="3"/>
  <c r="BV614" i="3"/>
  <c r="BU614" i="3"/>
  <c r="BT614" i="3"/>
  <c r="BS614" i="3"/>
  <c r="BR614" i="3"/>
  <c r="BQ614" i="3"/>
  <c r="BP614" i="3"/>
  <c r="BO614" i="3"/>
  <c r="BN614" i="3"/>
  <c r="BM614" i="3"/>
  <c r="BL614" i="3"/>
  <c r="BK614" i="3"/>
  <c r="BJ614" i="3"/>
  <c r="BI614" i="3"/>
  <c r="BH614" i="3"/>
  <c r="BG614" i="3"/>
  <c r="BF614" i="3"/>
  <c r="BE614" i="3"/>
  <c r="BD614" i="3"/>
  <c r="BC614" i="3"/>
  <c r="BB614" i="3"/>
  <c r="BA614" i="3"/>
  <c r="AZ614" i="3"/>
  <c r="AY614" i="3"/>
  <c r="AX614" i="3"/>
  <c r="AW614" i="3"/>
  <c r="AV614" i="3"/>
  <c r="AR614" i="3"/>
  <c r="AS614" i="3" s="1"/>
  <c r="B614" i="3"/>
  <c r="CE613" i="3"/>
  <c r="CD613" i="3"/>
  <c r="CC613" i="3"/>
  <c r="CB613" i="3"/>
  <c r="CA613" i="3"/>
  <c r="BZ613" i="3"/>
  <c r="BY613" i="3"/>
  <c r="BX613" i="3"/>
  <c r="BW613" i="3"/>
  <c r="BV613" i="3"/>
  <c r="BU613" i="3"/>
  <c r="BT613" i="3"/>
  <c r="BS613" i="3"/>
  <c r="BR613" i="3"/>
  <c r="BQ613" i="3"/>
  <c r="BP613" i="3"/>
  <c r="BO613" i="3"/>
  <c r="BN613" i="3"/>
  <c r="BM613" i="3"/>
  <c r="BL613" i="3"/>
  <c r="BK613" i="3"/>
  <c r="BJ613" i="3"/>
  <c r="BI613" i="3"/>
  <c r="BH613" i="3"/>
  <c r="BG613" i="3"/>
  <c r="BF613" i="3"/>
  <c r="BE613" i="3"/>
  <c r="BD613" i="3"/>
  <c r="BC613" i="3"/>
  <c r="BB613" i="3"/>
  <c r="BA613" i="3"/>
  <c r="AZ613" i="3"/>
  <c r="AY613" i="3"/>
  <c r="AX613" i="3"/>
  <c r="AW613" i="3"/>
  <c r="AV613" i="3"/>
  <c r="AR613" i="3"/>
  <c r="AS613" i="3" s="1"/>
  <c r="B613" i="3"/>
  <c r="CE612" i="3"/>
  <c r="CD612" i="3"/>
  <c r="CC612" i="3"/>
  <c r="CB612" i="3"/>
  <c r="CA612" i="3"/>
  <c r="BZ612" i="3"/>
  <c r="BY612" i="3"/>
  <c r="BX612" i="3"/>
  <c r="BW612" i="3"/>
  <c r="BV612" i="3"/>
  <c r="BU612" i="3"/>
  <c r="BT612" i="3"/>
  <c r="BS612" i="3"/>
  <c r="BR612" i="3"/>
  <c r="BQ612" i="3"/>
  <c r="BP612" i="3"/>
  <c r="BO612" i="3"/>
  <c r="BN612" i="3"/>
  <c r="BM612" i="3"/>
  <c r="BL612" i="3"/>
  <c r="BK612" i="3"/>
  <c r="BJ612" i="3"/>
  <c r="BI612" i="3"/>
  <c r="BH612" i="3"/>
  <c r="BG612" i="3"/>
  <c r="BF612" i="3"/>
  <c r="BE612" i="3"/>
  <c r="BD612" i="3"/>
  <c r="BC612" i="3"/>
  <c r="BB612" i="3"/>
  <c r="BA612" i="3"/>
  <c r="AZ612" i="3"/>
  <c r="AY612" i="3"/>
  <c r="AX612" i="3"/>
  <c r="AW612" i="3"/>
  <c r="AV612" i="3"/>
  <c r="AR612" i="3"/>
  <c r="AS612" i="3" s="1"/>
  <c r="B612" i="3"/>
  <c r="CE611" i="3"/>
  <c r="CD611" i="3"/>
  <c r="CC611" i="3"/>
  <c r="CB611" i="3"/>
  <c r="CA611" i="3"/>
  <c r="BZ611" i="3"/>
  <c r="BY611" i="3"/>
  <c r="BX611" i="3"/>
  <c r="BW611" i="3"/>
  <c r="BV611" i="3"/>
  <c r="BU611" i="3"/>
  <c r="BT611" i="3"/>
  <c r="BS611" i="3"/>
  <c r="BR611" i="3"/>
  <c r="BQ611" i="3"/>
  <c r="BP611" i="3"/>
  <c r="BO611" i="3"/>
  <c r="BN611" i="3"/>
  <c r="BM611" i="3"/>
  <c r="BL611" i="3"/>
  <c r="BK611" i="3"/>
  <c r="BJ611" i="3"/>
  <c r="BI611" i="3"/>
  <c r="BH611" i="3"/>
  <c r="BG611" i="3"/>
  <c r="BF611" i="3"/>
  <c r="BE611" i="3"/>
  <c r="BD611" i="3"/>
  <c r="BC611" i="3"/>
  <c r="BB611" i="3"/>
  <c r="BA611" i="3"/>
  <c r="AZ611" i="3"/>
  <c r="AY611" i="3"/>
  <c r="AX611" i="3"/>
  <c r="AW611" i="3"/>
  <c r="AV611" i="3"/>
  <c r="AR611" i="3"/>
  <c r="AS611" i="3" s="1"/>
  <c r="B611" i="3"/>
  <c r="CE610" i="3"/>
  <c r="CD610" i="3"/>
  <c r="CC610" i="3"/>
  <c r="CB610" i="3"/>
  <c r="CA610" i="3"/>
  <c r="BZ610" i="3"/>
  <c r="BY610" i="3"/>
  <c r="BX610" i="3"/>
  <c r="BW610" i="3"/>
  <c r="BV610" i="3"/>
  <c r="BU610" i="3"/>
  <c r="BT610" i="3"/>
  <c r="BS610" i="3"/>
  <c r="BR610" i="3"/>
  <c r="BQ610" i="3"/>
  <c r="BP610" i="3"/>
  <c r="BO610" i="3"/>
  <c r="BN610" i="3"/>
  <c r="BM610" i="3"/>
  <c r="BL610" i="3"/>
  <c r="BK610" i="3"/>
  <c r="BJ610" i="3"/>
  <c r="BI610" i="3"/>
  <c r="BH610" i="3"/>
  <c r="BG610" i="3"/>
  <c r="BF610" i="3"/>
  <c r="BE610" i="3"/>
  <c r="BD610" i="3"/>
  <c r="BC610" i="3"/>
  <c r="BB610" i="3"/>
  <c r="BA610" i="3"/>
  <c r="AZ610" i="3"/>
  <c r="AY610" i="3"/>
  <c r="AX610" i="3"/>
  <c r="AW610" i="3"/>
  <c r="AV610" i="3"/>
  <c r="AR610" i="3"/>
  <c r="AS610" i="3" s="1"/>
  <c r="B610" i="3"/>
  <c r="CE609" i="3"/>
  <c r="CD609" i="3"/>
  <c r="CC609" i="3"/>
  <c r="CB609" i="3"/>
  <c r="CA609" i="3"/>
  <c r="BZ609" i="3"/>
  <c r="BY609" i="3"/>
  <c r="BX609" i="3"/>
  <c r="BW609" i="3"/>
  <c r="BV609" i="3"/>
  <c r="BU609" i="3"/>
  <c r="BT609" i="3"/>
  <c r="BS609" i="3"/>
  <c r="BR609" i="3"/>
  <c r="BQ609" i="3"/>
  <c r="BP609" i="3"/>
  <c r="BO609" i="3"/>
  <c r="BN609" i="3"/>
  <c r="BM609" i="3"/>
  <c r="BL609" i="3"/>
  <c r="BK609" i="3"/>
  <c r="BJ609" i="3"/>
  <c r="BI609" i="3"/>
  <c r="BH609" i="3"/>
  <c r="BG609" i="3"/>
  <c r="BF609" i="3"/>
  <c r="BE609" i="3"/>
  <c r="BD609" i="3"/>
  <c r="BC609" i="3"/>
  <c r="BB609" i="3"/>
  <c r="BA609" i="3"/>
  <c r="AZ609" i="3"/>
  <c r="AY609" i="3"/>
  <c r="AX609" i="3"/>
  <c r="AW609" i="3"/>
  <c r="AV609" i="3"/>
  <c r="AR609" i="3"/>
  <c r="AS609" i="3" s="1"/>
  <c r="B609" i="3"/>
  <c r="CE608" i="3"/>
  <c r="CD608" i="3"/>
  <c r="CC608" i="3"/>
  <c r="CB608" i="3"/>
  <c r="CA608" i="3"/>
  <c r="BZ608" i="3"/>
  <c r="BY608" i="3"/>
  <c r="BX608" i="3"/>
  <c r="BW608" i="3"/>
  <c r="BV608" i="3"/>
  <c r="BU608" i="3"/>
  <c r="BT608" i="3"/>
  <c r="BS608" i="3"/>
  <c r="BR608" i="3"/>
  <c r="BQ608" i="3"/>
  <c r="BP608" i="3"/>
  <c r="BO608" i="3"/>
  <c r="BN608" i="3"/>
  <c r="BM608" i="3"/>
  <c r="BL608" i="3"/>
  <c r="BK608" i="3"/>
  <c r="BJ608" i="3"/>
  <c r="BI608" i="3"/>
  <c r="BH608" i="3"/>
  <c r="BG608" i="3"/>
  <c r="BF608" i="3"/>
  <c r="BE608" i="3"/>
  <c r="BD608" i="3"/>
  <c r="BC608" i="3"/>
  <c r="BB608" i="3"/>
  <c r="BA608" i="3"/>
  <c r="AZ608" i="3"/>
  <c r="AY608" i="3"/>
  <c r="AX608" i="3"/>
  <c r="AW608" i="3"/>
  <c r="AV608" i="3"/>
  <c r="AR608" i="3"/>
  <c r="AS608" i="3" s="1"/>
  <c r="B608" i="3"/>
  <c r="CE607" i="3"/>
  <c r="CD607" i="3"/>
  <c r="CC607" i="3"/>
  <c r="CB607" i="3"/>
  <c r="CA607" i="3"/>
  <c r="BZ607" i="3"/>
  <c r="BY607" i="3"/>
  <c r="BX607" i="3"/>
  <c r="BW607" i="3"/>
  <c r="BV607" i="3"/>
  <c r="BU607" i="3"/>
  <c r="BT607" i="3"/>
  <c r="BS607" i="3"/>
  <c r="BR607" i="3"/>
  <c r="BQ607" i="3"/>
  <c r="BP607" i="3"/>
  <c r="BO607" i="3"/>
  <c r="BN607" i="3"/>
  <c r="BM607" i="3"/>
  <c r="BL607" i="3"/>
  <c r="BK607" i="3"/>
  <c r="BJ607" i="3"/>
  <c r="BI607" i="3"/>
  <c r="BH607" i="3"/>
  <c r="BG607" i="3"/>
  <c r="BF607" i="3"/>
  <c r="BE607" i="3"/>
  <c r="BD607" i="3"/>
  <c r="BC607" i="3"/>
  <c r="BB607" i="3"/>
  <c r="BA607" i="3"/>
  <c r="AZ607" i="3"/>
  <c r="AY607" i="3"/>
  <c r="AX607" i="3"/>
  <c r="AW607" i="3"/>
  <c r="AV607" i="3"/>
  <c r="AR607" i="3"/>
  <c r="AS607" i="3" s="1"/>
  <c r="B607" i="3"/>
  <c r="CE606" i="3"/>
  <c r="CD606" i="3"/>
  <c r="CC606" i="3"/>
  <c r="CB606" i="3"/>
  <c r="CA606" i="3"/>
  <c r="BZ606" i="3"/>
  <c r="BY606" i="3"/>
  <c r="BX606" i="3"/>
  <c r="BW606" i="3"/>
  <c r="BV606" i="3"/>
  <c r="BU606" i="3"/>
  <c r="BT606" i="3"/>
  <c r="BS606" i="3"/>
  <c r="BR606" i="3"/>
  <c r="BQ606" i="3"/>
  <c r="BP606" i="3"/>
  <c r="BO606" i="3"/>
  <c r="BN606" i="3"/>
  <c r="BM606" i="3"/>
  <c r="BL606" i="3"/>
  <c r="BK606" i="3"/>
  <c r="BJ606" i="3"/>
  <c r="BI606" i="3"/>
  <c r="BH606" i="3"/>
  <c r="BG606" i="3"/>
  <c r="BF606" i="3"/>
  <c r="BE606" i="3"/>
  <c r="BD606" i="3"/>
  <c r="BC606" i="3"/>
  <c r="BB606" i="3"/>
  <c r="BA606" i="3"/>
  <c r="AZ606" i="3"/>
  <c r="AY606" i="3"/>
  <c r="AX606" i="3"/>
  <c r="AW606" i="3"/>
  <c r="AV606" i="3"/>
  <c r="AR606" i="3"/>
  <c r="AS606" i="3" s="1"/>
  <c r="B606" i="3"/>
  <c r="CE605" i="3"/>
  <c r="CD605" i="3"/>
  <c r="CC605" i="3"/>
  <c r="CB605" i="3"/>
  <c r="CA605" i="3"/>
  <c r="BZ605" i="3"/>
  <c r="BY605" i="3"/>
  <c r="BX605" i="3"/>
  <c r="BW605" i="3"/>
  <c r="BV605" i="3"/>
  <c r="BU605" i="3"/>
  <c r="BT605" i="3"/>
  <c r="BS605" i="3"/>
  <c r="BR605" i="3"/>
  <c r="BQ605" i="3"/>
  <c r="BP605" i="3"/>
  <c r="BO605" i="3"/>
  <c r="BN605" i="3"/>
  <c r="BM605" i="3"/>
  <c r="BL605" i="3"/>
  <c r="BK605" i="3"/>
  <c r="BJ605" i="3"/>
  <c r="BI605" i="3"/>
  <c r="BH605" i="3"/>
  <c r="BG605" i="3"/>
  <c r="BF605" i="3"/>
  <c r="BE605" i="3"/>
  <c r="BD605" i="3"/>
  <c r="BC605" i="3"/>
  <c r="BB605" i="3"/>
  <c r="BA605" i="3"/>
  <c r="AZ605" i="3"/>
  <c r="AY605" i="3"/>
  <c r="AX605" i="3"/>
  <c r="AW605" i="3"/>
  <c r="AV605" i="3"/>
  <c r="AR605" i="3"/>
  <c r="AS605" i="3" s="1"/>
  <c r="B605" i="3"/>
  <c r="CE604" i="3"/>
  <c r="CD604" i="3"/>
  <c r="CC604" i="3"/>
  <c r="CB604" i="3"/>
  <c r="CA604" i="3"/>
  <c r="BZ604" i="3"/>
  <c r="BY604" i="3"/>
  <c r="BX604" i="3"/>
  <c r="BW604" i="3"/>
  <c r="BV604" i="3"/>
  <c r="BU604" i="3"/>
  <c r="BT604" i="3"/>
  <c r="BS604" i="3"/>
  <c r="BR604" i="3"/>
  <c r="BQ604" i="3"/>
  <c r="BP604" i="3"/>
  <c r="BO604" i="3"/>
  <c r="BN604" i="3"/>
  <c r="BM604" i="3"/>
  <c r="BL604" i="3"/>
  <c r="BK604" i="3"/>
  <c r="BJ604" i="3"/>
  <c r="BI604" i="3"/>
  <c r="BH604" i="3"/>
  <c r="BG604" i="3"/>
  <c r="BF604" i="3"/>
  <c r="BE604" i="3"/>
  <c r="BD604" i="3"/>
  <c r="BC604" i="3"/>
  <c r="BB604" i="3"/>
  <c r="BA604" i="3"/>
  <c r="AZ604" i="3"/>
  <c r="AY604" i="3"/>
  <c r="AX604" i="3"/>
  <c r="AW604" i="3"/>
  <c r="AV604" i="3"/>
  <c r="AR604" i="3"/>
  <c r="AS604" i="3" s="1"/>
  <c r="B604" i="3"/>
  <c r="CE603" i="3"/>
  <c r="CD603" i="3"/>
  <c r="CC603" i="3"/>
  <c r="CB603" i="3"/>
  <c r="CA603" i="3"/>
  <c r="BZ603" i="3"/>
  <c r="BY603" i="3"/>
  <c r="BX603" i="3"/>
  <c r="BW603" i="3"/>
  <c r="BV603" i="3"/>
  <c r="BU603" i="3"/>
  <c r="BT603" i="3"/>
  <c r="BS603" i="3"/>
  <c r="BR603" i="3"/>
  <c r="BQ603" i="3"/>
  <c r="BP603" i="3"/>
  <c r="BO603" i="3"/>
  <c r="BN603" i="3"/>
  <c r="BM603" i="3"/>
  <c r="BL603" i="3"/>
  <c r="BK603" i="3"/>
  <c r="BJ603" i="3"/>
  <c r="BI603" i="3"/>
  <c r="BH603" i="3"/>
  <c r="BG603" i="3"/>
  <c r="BF603" i="3"/>
  <c r="BE603" i="3"/>
  <c r="BD603" i="3"/>
  <c r="BC603" i="3"/>
  <c r="BB603" i="3"/>
  <c r="BA603" i="3"/>
  <c r="AZ603" i="3"/>
  <c r="AY603" i="3"/>
  <c r="AX603" i="3"/>
  <c r="AW603" i="3"/>
  <c r="AV603" i="3"/>
  <c r="AR603" i="3"/>
  <c r="AS603" i="3" s="1"/>
  <c r="B603" i="3"/>
  <c r="CE602" i="3"/>
  <c r="CD602" i="3"/>
  <c r="CC602" i="3"/>
  <c r="CB602" i="3"/>
  <c r="CA602" i="3"/>
  <c r="BZ602" i="3"/>
  <c r="BY602" i="3"/>
  <c r="BX602" i="3"/>
  <c r="BW602" i="3"/>
  <c r="BV602" i="3"/>
  <c r="BU602" i="3"/>
  <c r="BT602" i="3"/>
  <c r="BS602" i="3"/>
  <c r="BR602" i="3"/>
  <c r="BQ602" i="3"/>
  <c r="BP602" i="3"/>
  <c r="BO602" i="3"/>
  <c r="BN602" i="3"/>
  <c r="BM602" i="3"/>
  <c r="BL602" i="3"/>
  <c r="BK602" i="3"/>
  <c r="BJ602" i="3"/>
  <c r="BI602" i="3"/>
  <c r="BH602" i="3"/>
  <c r="BG602" i="3"/>
  <c r="BF602" i="3"/>
  <c r="BE602" i="3"/>
  <c r="BD602" i="3"/>
  <c r="BC602" i="3"/>
  <c r="BB602" i="3"/>
  <c r="BA602" i="3"/>
  <c r="AZ602" i="3"/>
  <c r="AY602" i="3"/>
  <c r="AX602" i="3"/>
  <c r="AW602" i="3"/>
  <c r="AV602" i="3"/>
  <c r="AR602" i="3"/>
  <c r="AS602" i="3" s="1"/>
  <c r="B602" i="3"/>
  <c r="CE601" i="3"/>
  <c r="CD601" i="3"/>
  <c r="CC601" i="3"/>
  <c r="CB601" i="3"/>
  <c r="CA601" i="3"/>
  <c r="BZ601" i="3"/>
  <c r="BY601" i="3"/>
  <c r="BX601" i="3"/>
  <c r="BW601" i="3"/>
  <c r="BV601" i="3"/>
  <c r="BU601" i="3"/>
  <c r="BT601" i="3"/>
  <c r="BS601" i="3"/>
  <c r="BR601" i="3"/>
  <c r="BQ601" i="3"/>
  <c r="BP601" i="3"/>
  <c r="BO601" i="3"/>
  <c r="BN601" i="3"/>
  <c r="BM601" i="3"/>
  <c r="BL601" i="3"/>
  <c r="BK601" i="3"/>
  <c r="BJ601" i="3"/>
  <c r="BI601" i="3"/>
  <c r="BH601" i="3"/>
  <c r="BG601" i="3"/>
  <c r="BF601" i="3"/>
  <c r="BE601" i="3"/>
  <c r="BD601" i="3"/>
  <c r="BC601" i="3"/>
  <c r="BB601" i="3"/>
  <c r="BA601" i="3"/>
  <c r="AZ601" i="3"/>
  <c r="AY601" i="3"/>
  <c r="AX601" i="3"/>
  <c r="AW601" i="3"/>
  <c r="AV601" i="3"/>
  <c r="AR601" i="3"/>
  <c r="AS601" i="3" s="1"/>
  <c r="B601" i="3"/>
  <c r="CE600" i="3"/>
  <c r="CD600" i="3"/>
  <c r="CC600" i="3"/>
  <c r="CB600" i="3"/>
  <c r="CA600" i="3"/>
  <c r="BZ600" i="3"/>
  <c r="BY600" i="3"/>
  <c r="BX600" i="3"/>
  <c r="BW600" i="3"/>
  <c r="BV600" i="3"/>
  <c r="BU600" i="3"/>
  <c r="BT600" i="3"/>
  <c r="BS600" i="3"/>
  <c r="BR600" i="3"/>
  <c r="BQ600" i="3"/>
  <c r="BP600" i="3"/>
  <c r="BO600" i="3"/>
  <c r="BN600" i="3"/>
  <c r="BM600" i="3"/>
  <c r="BL600" i="3"/>
  <c r="BK600" i="3"/>
  <c r="BJ600" i="3"/>
  <c r="BI600" i="3"/>
  <c r="BH600" i="3"/>
  <c r="BG600" i="3"/>
  <c r="BF600" i="3"/>
  <c r="BE600" i="3"/>
  <c r="BD600" i="3"/>
  <c r="BC600" i="3"/>
  <c r="BB600" i="3"/>
  <c r="BA600" i="3"/>
  <c r="AZ600" i="3"/>
  <c r="AY600" i="3"/>
  <c r="AX600" i="3"/>
  <c r="AW600" i="3"/>
  <c r="AV600" i="3"/>
  <c r="AR600" i="3"/>
  <c r="AS600" i="3" s="1"/>
  <c r="B600" i="3"/>
  <c r="CE599" i="3"/>
  <c r="CD599" i="3"/>
  <c r="CC599" i="3"/>
  <c r="CB599" i="3"/>
  <c r="CA599" i="3"/>
  <c r="BZ599" i="3"/>
  <c r="BY599" i="3"/>
  <c r="BX599" i="3"/>
  <c r="BW599" i="3"/>
  <c r="BV599" i="3"/>
  <c r="BU599" i="3"/>
  <c r="BT599" i="3"/>
  <c r="BS599" i="3"/>
  <c r="BR599" i="3"/>
  <c r="BQ599" i="3"/>
  <c r="BP599" i="3"/>
  <c r="BO599" i="3"/>
  <c r="BN599" i="3"/>
  <c r="BM599" i="3"/>
  <c r="BL599" i="3"/>
  <c r="BK599" i="3"/>
  <c r="BJ599" i="3"/>
  <c r="BI599" i="3"/>
  <c r="BH599" i="3"/>
  <c r="BG599" i="3"/>
  <c r="BF599" i="3"/>
  <c r="BE599" i="3"/>
  <c r="BD599" i="3"/>
  <c r="BC599" i="3"/>
  <c r="BB599" i="3"/>
  <c r="BA599" i="3"/>
  <c r="AZ599" i="3"/>
  <c r="AY599" i="3"/>
  <c r="AX599" i="3"/>
  <c r="AW599" i="3"/>
  <c r="AV599" i="3"/>
  <c r="AR599" i="3"/>
  <c r="AS599" i="3" s="1"/>
  <c r="B599" i="3"/>
  <c r="CE598" i="3"/>
  <c r="CD598" i="3"/>
  <c r="CC598" i="3"/>
  <c r="CB598" i="3"/>
  <c r="CA598" i="3"/>
  <c r="BZ598" i="3"/>
  <c r="BY598" i="3"/>
  <c r="BX598" i="3"/>
  <c r="BW598" i="3"/>
  <c r="BV598" i="3"/>
  <c r="BU598" i="3"/>
  <c r="BT598" i="3"/>
  <c r="BS598" i="3"/>
  <c r="BR598" i="3"/>
  <c r="BQ598" i="3"/>
  <c r="BP598" i="3"/>
  <c r="BO598" i="3"/>
  <c r="BN598" i="3"/>
  <c r="BM598" i="3"/>
  <c r="BL598" i="3"/>
  <c r="BK598" i="3"/>
  <c r="BJ598" i="3"/>
  <c r="BI598" i="3"/>
  <c r="BH598" i="3"/>
  <c r="BG598" i="3"/>
  <c r="BF598" i="3"/>
  <c r="BE598" i="3"/>
  <c r="BD598" i="3"/>
  <c r="BC598" i="3"/>
  <c r="BB598" i="3"/>
  <c r="BA598" i="3"/>
  <c r="AZ598" i="3"/>
  <c r="AY598" i="3"/>
  <c r="AX598" i="3"/>
  <c r="AW598" i="3"/>
  <c r="AV598" i="3"/>
  <c r="AR598" i="3"/>
  <c r="AS598" i="3" s="1"/>
  <c r="B598" i="3"/>
  <c r="CE597" i="3"/>
  <c r="CD597" i="3"/>
  <c r="CC597" i="3"/>
  <c r="CB597" i="3"/>
  <c r="CA597" i="3"/>
  <c r="BZ597" i="3"/>
  <c r="BY597" i="3"/>
  <c r="BX597" i="3"/>
  <c r="BW597" i="3"/>
  <c r="BV597" i="3"/>
  <c r="BU597" i="3"/>
  <c r="BT597" i="3"/>
  <c r="BS597" i="3"/>
  <c r="BR597" i="3"/>
  <c r="BQ597" i="3"/>
  <c r="BP597" i="3"/>
  <c r="BO597" i="3"/>
  <c r="BN597" i="3"/>
  <c r="BM597" i="3"/>
  <c r="BL597" i="3"/>
  <c r="BK597" i="3"/>
  <c r="BJ597" i="3"/>
  <c r="BI597" i="3"/>
  <c r="BH597" i="3"/>
  <c r="BG597" i="3"/>
  <c r="BF597" i="3"/>
  <c r="BE597" i="3"/>
  <c r="BD597" i="3"/>
  <c r="BC597" i="3"/>
  <c r="BB597" i="3"/>
  <c r="BA597" i="3"/>
  <c r="AZ597" i="3"/>
  <c r="AY597" i="3"/>
  <c r="AX597" i="3"/>
  <c r="AW597" i="3"/>
  <c r="AV597" i="3"/>
  <c r="AR597" i="3"/>
  <c r="AS597" i="3" s="1"/>
  <c r="B597" i="3"/>
  <c r="CE596" i="3"/>
  <c r="CD596" i="3"/>
  <c r="CC596" i="3"/>
  <c r="CB596" i="3"/>
  <c r="CA596" i="3"/>
  <c r="BZ596" i="3"/>
  <c r="BY596" i="3"/>
  <c r="BX596" i="3"/>
  <c r="BW596" i="3"/>
  <c r="BV596" i="3"/>
  <c r="BU596" i="3"/>
  <c r="BT596" i="3"/>
  <c r="BS596" i="3"/>
  <c r="BR596" i="3"/>
  <c r="BQ596" i="3"/>
  <c r="BP596" i="3"/>
  <c r="BO596" i="3"/>
  <c r="BN596" i="3"/>
  <c r="BM596" i="3"/>
  <c r="BL596" i="3"/>
  <c r="BK596" i="3"/>
  <c r="BJ596" i="3"/>
  <c r="BI596" i="3"/>
  <c r="BH596" i="3"/>
  <c r="BG596" i="3"/>
  <c r="BF596" i="3"/>
  <c r="BE596" i="3"/>
  <c r="BD596" i="3"/>
  <c r="BC596" i="3"/>
  <c r="BB596" i="3"/>
  <c r="BA596" i="3"/>
  <c r="AZ596" i="3"/>
  <c r="AY596" i="3"/>
  <c r="AX596" i="3"/>
  <c r="AW596" i="3"/>
  <c r="AV596" i="3"/>
  <c r="B596" i="3"/>
  <c r="CE595" i="3"/>
  <c r="CD595" i="3"/>
  <c r="CC595" i="3"/>
  <c r="CB595" i="3"/>
  <c r="CA595" i="3"/>
  <c r="BZ595" i="3"/>
  <c r="BY595" i="3"/>
  <c r="BX595" i="3"/>
  <c r="BW595" i="3"/>
  <c r="BV595" i="3"/>
  <c r="BU595" i="3"/>
  <c r="BT595" i="3"/>
  <c r="BS595" i="3"/>
  <c r="BR595" i="3"/>
  <c r="BQ595" i="3"/>
  <c r="BP595" i="3"/>
  <c r="BO595" i="3"/>
  <c r="BN595" i="3"/>
  <c r="BM595" i="3"/>
  <c r="BL595" i="3"/>
  <c r="BK595" i="3"/>
  <c r="BJ595" i="3"/>
  <c r="BI595" i="3"/>
  <c r="BH595" i="3"/>
  <c r="BG595" i="3"/>
  <c r="BF595" i="3"/>
  <c r="BE595" i="3"/>
  <c r="BD595" i="3"/>
  <c r="BC595" i="3"/>
  <c r="BB595" i="3"/>
  <c r="BA595" i="3"/>
  <c r="AZ595" i="3"/>
  <c r="AY595" i="3"/>
  <c r="AX595" i="3"/>
  <c r="AW595" i="3"/>
  <c r="AV595" i="3"/>
  <c r="AR595" i="3"/>
  <c r="AS595" i="3" s="1"/>
  <c r="B595" i="3"/>
  <c r="CE594" i="3"/>
  <c r="CD594" i="3"/>
  <c r="CC594" i="3"/>
  <c r="CB594" i="3"/>
  <c r="CA594" i="3"/>
  <c r="BZ594" i="3"/>
  <c r="BY594" i="3"/>
  <c r="BX594" i="3"/>
  <c r="BW594" i="3"/>
  <c r="BV594" i="3"/>
  <c r="BU594" i="3"/>
  <c r="BT594" i="3"/>
  <c r="BS594" i="3"/>
  <c r="BR594" i="3"/>
  <c r="BQ594" i="3"/>
  <c r="BP594" i="3"/>
  <c r="BO594" i="3"/>
  <c r="BN594" i="3"/>
  <c r="BM594" i="3"/>
  <c r="BL594" i="3"/>
  <c r="BK594" i="3"/>
  <c r="BJ594" i="3"/>
  <c r="BI594" i="3"/>
  <c r="BH594" i="3"/>
  <c r="BG594" i="3"/>
  <c r="BF594" i="3"/>
  <c r="BE594" i="3"/>
  <c r="BD594" i="3"/>
  <c r="BC594" i="3"/>
  <c r="BB594" i="3"/>
  <c r="BA594" i="3"/>
  <c r="AZ594" i="3"/>
  <c r="AY594" i="3"/>
  <c r="AX594" i="3"/>
  <c r="AW594" i="3"/>
  <c r="AV594" i="3"/>
  <c r="AR594" i="3"/>
  <c r="AS594" i="3" s="1"/>
  <c r="B594" i="3"/>
  <c r="CE593" i="3"/>
  <c r="CD593" i="3"/>
  <c r="CC593" i="3"/>
  <c r="CB593" i="3"/>
  <c r="CA593" i="3"/>
  <c r="BZ593" i="3"/>
  <c r="BY593" i="3"/>
  <c r="BX593" i="3"/>
  <c r="BW593" i="3"/>
  <c r="BV593" i="3"/>
  <c r="BU593" i="3"/>
  <c r="BT593" i="3"/>
  <c r="BS593" i="3"/>
  <c r="BR593" i="3"/>
  <c r="BQ593" i="3"/>
  <c r="BP593" i="3"/>
  <c r="BO593" i="3"/>
  <c r="BN593" i="3"/>
  <c r="BM593" i="3"/>
  <c r="BL593" i="3"/>
  <c r="BK593" i="3"/>
  <c r="BJ593" i="3"/>
  <c r="BI593" i="3"/>
  <c r="BH593" i="3"/>
  <c r="BG593" i="3"/>
  <c r="BF593" i="3"/>
  <c r="BE593" i="3"/>
  <c r="BD593" i="3"/>
  <c r="BC593" i="3"/>
  <c r="BB593" i="3"/>
  <c r="BA593" i="3"/>
  <c r="AZ593" i="3"/>
  <c r="AY593" i="3"/>
  <c r="AX593" i="3"/>
  <c r="AW593" i="3"/>
  <c r="AV593" i="3"/>
  <c r="AR593" i="3"/>
  <c r="AS593" i="3" s="1"/>
  <c r="B593" i="3"/>
  <c r="CE592" i="3"/>
  <c r="CD592" i="3"/>
  <c r="CC592" i="3"/>
  <c r="CB592" i="3"/>
  <c r="CA592" i="3"/>
  <c r="BZ592" i="3"/>
  <c r="BY592" i="3"/>
  <c r="BX592" i="3"/>
  <c r="BW592" i="3"/>
  <c r="BV592" i="3"/>
  <c r="BU592" i="3"/>
  <c r="BT592" i="3"/>
  <c r="BS592" i="3"/>
  <c r="BR592" i="3"/>
  <c r="BQ592" i="3"/>
  <c r="BP592" i="3"/>
  <c r="BO592" i="3"/>
  <c r="BN592" i="3"/>
  <c r="BM592" i="3"/>
  <c r="BL592" i="3"/>
  <c r="BK592" i="3"/>
  <c r="BJ592" i="3"/>
  <c r="BI592" i="3"/>
  <c r="BH592" i="3"/>
  <c r="BG592" i="3"/>
  <c r="BF592" i="3"/>
  <c r="BE592" i="3"/>
  <c r="BD592" i="3"/>
  <c r="BC592" i="3"/>
  <c r="BB592" i="3"/>
  <c r="BA592" i="3"/>
  <c r="AZ592" i="3"/>
  <c r="AY592" i="3"/>
  <c r="AX592" i="3"/>
  <c r="AW592" i="3"/>
  <c r="AV592" i="3"/>
  <c r="AR592" i="3"/>
  <c r="AS592" i="3" s="1"/>
  <c r="B592" i="3"/>
  <c r="CE591" i="3"/>
  <c r="CD591" i="3"/>
  <c r="CC591" i="3"/>
  <c r="CB591" i="3"/>
  <c r="CA591" i="3"/>
  <c r="BZ591" i="3"/>
  <c r="BY591" i="3"/>
  <c r="BX591" i="3"/>
  <c r="BW591" i="3"/>
  <c r="BV591" i="3"/>
  <c r="BU591" i="3"/>
  <c r="BT591" i="3"/>
  <c r="BS591" i="3"/>
  <c r="BR591" i="3"/>
  <c r="BQ591" i="3"/>
  <c r="BP591" i="3"/>
  <c r="BO591" i="3"/>
  <c r="BN591" i="3"/>
  <c r="BM591" i="3"/>
  <c r="BL591" i="3"/>
  <c r="BK591" i="3"/>
  <c r="BJ591" i="3"/>
  <c r="BI591" i="3"/>
  <c r="BH591" i="3"/>
  <c r="BG591" i="3"/>
  <c r="BF591" i="3"/>
  <c r="BE591" i="3"/>
  <c r="BD591" i="3"/>
  <c r="BC591" i="3"/>
  <c r="BB591" i="3"/>
  <c r="BA591" i="3"/>
  <c r="AZ591" i="3"/>
  <c r="AY591" i="3"/>
  <c r="AX591" i="3"/>
  <c r="AW591" i="3"/>
  <c r="AV591" i="3"/>
  <c r="AR591" i="3"/>
  <c r="AS591" i="3" s="1"/>
  <c r="B591" i="3"/>
  <c r="CE590" i="3"/>
  <c r="CD590" i="3"/>
  <c r="CC590" i="3"/>
  <c r="CB590" i="3"/>
  <c r="CA590" i="3"/>
  <c r="BZ590" i="3"/>
  <c r="BY590" i="3"/>
  <c r="BX590" i="3"/>
  <c r="BW590" i="3"/>
  <c r="BV590" i="3"/>
  <c r="BU590" i="3"/>
  <c r="BT590" i="3"/>
  <c r="BS590" i="3"/>
  <c r="BR590" i="3"/>
  <c r="BQ590" i="3"/>
  <c r="BP590" i="3"/>
  <c r="BO590" i="3"/>
  <c r="BN590" i="3"/>
  <c r="BM590" i="3"/>
  <c r="BL590" i="3"/>
  <c r="BK590" i="3"/>
  <c r="BJ590" i="3"/>
  <c r="BI590" i="3"/>
  <c r="BH590" i="3"/>
  <c r="BG590" i="3"/>
  <c r="BF590" i="3"/>
  <c r="BE590" i="3"/>
  <c r="BD590" i="3"/>
  <c r="BC590" i="3"/>
  <c r="BB590" i="3"/>
  <c r="BA590" i="3"/>
  <c r="AZ590" i="3"/>
  <c r="AY590" i="3"/>
  <c r="AX590" i="3"/>
  <c r="AW590" i="3"/>
  <c r="AV590" i="3"/>
  <c r="AR590" i="3"/>
  <c r="AS590" i="3" s="1"/>
  <c r="B590" i="3"/>
  <c r="CE589" i="3"/>
  <c r="CD589" i="3"/>
  <c r="CC589" i="3"/>
  <c r="CB589" i="3"/>
  <c r="CA589" i="3"/>
  <c r="BZ589" i="3"/>
  <c r="BY589" i="3"/>
  <c r="BX589" i="3"/>
  <c r="BW589" i="3"/>
  <c r="BV589" i="3"/>
  <c r="BU589" i="3"/>
  <c r="BT589" i="3"/>
  <c r="BS589" i="3"/>
  <c r="BR589" i="3"/>
  <c r="BQ589" i="3"/>
  <c r="BP589" i="3"/>
  <c r="BO589" i="3"/>
  <c r="BN589" i="3"/>
  <c r="BM589" i="3"/>
  <c r="BL589" i="3"/>
  <c r="BK589" i="3"/>
  <c r="BJ589" i="3"/>
  <c r="BI589" i="3"/>
  <c r="BH589" i="3"/>
  <c r="BG589" i="3"/>
  <c r="BF589" i="3"/>
  <c r="BE589" i="3"/>
  <c r="BD589" i="3"/>
  <c r="BC589" i="3"/>
  <c r="BB589" i="3"/>
  <c r="BA589" i="3"/>
  <c r="AZ589" i="3"/>
  <c r="AY589" i="3"/>
  <c r="AX589" i="3"/>
  <c r="AW589" i="3"/>
  <c r="AV589" i="3"/>
  <c r="AR589" i="3"/>
  <c r="AS589" i="3" s="1"/>
  <c r="B589" i="3"/>
  <c r="CE588" i="3"/>
  <c r="CD588" i="3"/>
  <c r="CC588" i="3"/>
  <c r="CB588" i="3"/>
  <c r="CA588" i="3"/>
  <c r="BZ588" i="3"/>
  <c r="BY588" i="3"/>
  <c r="BX588" i="3"/>
  <c r="BW588" i="3"/>
  <c r="BV588" i="3"/>
  <c r="BU588" i="3"/>
  <c r="BT588" i="3"/>
  <c r="BS588" i="3"/>
  <c r="BR588" i="3"/>
  <c r="BQ588" i="3"/>
  <c r="BP588" i="3"/>
  <c r="BO588" i="3"/>
  <c r="BN588" i="3"/>
  <c r="BM588" i="3"/>
  <c r="BL588" i="3"/>
  <c r="BK588" i="3"/>
  <c r="BJ588" i="3"/>
  <c r="BI588" i="3"/>
  <c r="BH588" i="3"/>
  <c r="BG588" i="3"/>
  <c r="BF588" i="3"/>
  <c r="BE588" i="3"/>
  <c r="BD588" i="3"/>
  <c r="BC588" i="3"/>
  <c r="BB588" i="3"/>
  <c r="BA588" i="3"/>
  <c r="AZ588" i="3"/>
  <c r="AY588" i="3"/>
  <c r="AX588" i="3"/>
  <c r="AW588" i="3"/>
  <c r="AV588" i="3"/>
  <c r="AR588" i="3"/>
  <c r="AS588" i="3" s="1"/>
  <c r="B588" i="3"/>
  <c r="CE587" i="3"/>
  <c r="CD587" i="3"/>
  <c r="CC587" i="3"/>
  <c r="CB587" i="3"/>
  <c r="CA587" i="3"/>
  <c r="BZ587" i="3"/>
  <c r="BY587" i="3"/>
  <c r="BX587" i="3"/>
  <c r="BW587" i="3"/>
  <c r="BV587" i="3"/>
  <c r="BU587" i="3"/>
  <c r="BT587" i="3"/>
  <c r="BS587" i="3"/>
  <c r="BR587" i="3"/>
  <c r="BQ587" i="3"/>
  <c r="BP587" i="3"/>
  <c r="BO587" i="3"/>
  <c r="BN587" i="3"/>
  <c r="BM587" i="3"/>
  <c r="BL587" i="3"/>
  <c r="BK587" i="3"/>
  <c r="BJ587" i="3"/>
  <c r="BI587" i="3"/>
  <c r="BH587" i="3"/>
  <c r="BG587" i="3"/>
  <c r="BF587" i="3"/>
  <c r="BE587" i="3"/>
  <c r="BD587" i="3"/>
  <c r="BC587" i="3"/>
  <c r="BB587" i="3"/>
  <c r="BA587" i="3"/>
  <c r="AZ587" i="3"/>
  <c r="AY587" i="3"/>
  <c r="AX587" i="3"/>
  <c r="AW587" i="3"/>
  <c r="AV587" i="3"/>
  <c r="AR587" i="3"/>
  <c r="AS587" i="3" s="1"/>
  <c r="B587" i="3"/>
  <c r="CE586" i="3"/>
  <c r="CD586" i="3"/>
  <c r="CC586" i="3"/>
  <c r="CB586" i="3"/>
  <c r="CA586" i="3"/>
  <c r="BZ586" i="3"/>
  <c r="BY586" i="3"/>
  <c r="BX586" i="3"/>
  <c r="BW586" i="3"/>
  <c r="BV586" i="3"/>
  <c r="BU586" i="3"/>
  <c r="BT586" i="3"/>
  <c r="BS586" i="3"/>
  <c r="BR586" i="3"/>
  <c r="BQ586" i="3"/>
  <c r="BP586" i="3"/>
  <c r="BO586" i="3"/>
  <c r="BN586" i="3"/>
  <c r="BM586" i="3"/>
  <c r="BL586" i="3"/>
  <c r="BK586" i="3"/>
  <c r="BJ586" i="3"/>
  <c r="BI586" i="3"/>
  <c r="BH586" i="3"/>
  <c r="BG586" i="3"/>
  <c r="BF586" i="3"/>
  <c r="BE586" i="3"/>
  <c r="BD586" i="3"/>
  <c r="BC586" i="3"/>
  <c r="BB586" i="3"/>
  <c r="BA586" i="3"/>
  <c r="AZ586" i="3"/>
  <c r="AY586" i="3"/>
  <c r="AX586" i="3"/>
  <c r="AW586" i="3"/>
  <c r="AV586" i="3"/>
  <c r="AR586" i="3"/>
  <c r="AS586" i="3" s="1"/>
  <c r="B586" i="3"/>
  <c r="CE585" i="3"/>
  <c r="CD585" i="3"/>
  <c r="CC585" i="3"/>
  <c r="CB585" i="3"/>
  <c r="CA585" i="3"/>
  <c r="BZ585" i="3"/>
  <c r="BY585" i="3"/>
  <c r="BX585" i="3"/>
  <c r="BW585" i="3"/>
  <c r="BV585" i="3"/>
  <c r="BU585" i="3"/>
  <c r="BT585" i="3"/>
  <c r="BS585" i="3"/>
  <c r="BR585" i="3"/>
  <c r="BQ585" i="3"/>
  <c r="BP585" i="3"/>
  <c r="BO585" i="3"/>
  <c r="BN585" i="3"/>
  <c r="BM585" i="3"/>
  <c r="BL585" i="3"/>
  <c r="BK585" i="3"/>
  <c r="BJ585" i="3"/>
  <c r="BI585" i="3"/>
  <c r="BH585" i="3"/>
  <c r="BG585" i="3"/>
  <c r="BF585" i="3"/>
  <c r="BE585" i="3"/>
  <c r="BD585" i="3"/>
  <c r="BC585" i="3"/>
  <c r="BB585" i="3"/>
  <c r="BA585" i="3"/>
  <c r="AZ585" i="3"/>
  <c r="AY585" i="3"/>
  <c r="AX585" i="3"/>
  <c r="AW585" i="3"/>
  <c r="AV585" i="3"/>
  <c r="AR585" i="3"/>
  <c r="AS585" i="3" s="1"/>
  <c r="B585" i="3"/>
  <c r="CE584" i="3"/>
  <c r="CD584" i="3"/>
  <c r="CC584" i="3"/>
  <c r="CB584" i="3"/>
  <c r="CA584" i="3"/>
  <c r="BZ584" i="3"/>
  <c r="BY584" i="3"/>
  <c r="BX584" i="3"/>
  <c r="BW584" i="3"/>
  <c r="BV584" i="3"/>
  <c r="BU584" i="3"/>
  <c r="BT584" i="3"/>
  <c r="BS584" i="3"/>
  <c r="BR584" i="3"/>
  <c r="BQ584" i="3"/>
  <c r="BP584" i="3"/>
  <c r="BO584" i="3"/>
  <c r="BN584" i="3"/>
  <c r="BM584" i="3"/>
  <c r="BL584" i="3"/>
  <c r="BK584" i="3"/>
  <c r="BJ584" i="3"/>
  <c r="BI584" i="3"/>
  <c r="BH584" i="3"/>
  <c r="BG584" i="3"/>
  <c r="BF584" i="3"/>
  <c r="BE584" i="3"/>
  <c r="BD584" i="3"/>
  <c r="BC584" i="3"/>
  <c r="BB584" i="3"/>
  <c r="BA584" i="3"/>
  <c r="AZ584" i="3"/>
  <c r="AY584" i="3"/>
  <c r="AX584" i="3"/>
  <c r="AW584" i="3"/>
  <c r="AV584" i="3"/>
  <c r="AR584" i="3"/>
  <c r="AS584" i="3" s="1"/>
  <c r="B584" i="3"/>
  <c r="CE583" i="3"/>
  <c r="CD583" i="3"/>
  <c r="CC583" i="3"/>
  <c r="CB583" i="3"/>
  <c r="CA583" i="3"/>
  <c r="BZ583" i="3"/>
  <c r="BY583" i="3"/>
  <c r="BX583" i="3"/>
  <c r="BW583" i="3"/>
  <c r="BV583" i="3"/>
  <c r="BU583" i="3"/>
  <c r="BT583" i="3"/>
  <c r="BS583" i="3"/>
  <c r="BR583" i="3"/>
  <c r="BQ583" i="3"/>
  <c r="BP583" i="3"/>
  <c r="BO583" i="3"/>
  <c r="BN583" i="3"/>
  <c r="BM583" i="3"/>
  <c r="BL583" i="3"/>
  <c r="BK583" i="3"/>
  <c r="BJ583" i="3"/>
  <c r="BI583" i="3"/>
  <c r="BH583" i="3"/>
  <c r="BG583" i="3"/>
  <c r="BF583" i="3"/>
  <c r="BE583" i="3"/>
  <c r="BD583" i="3"/>
  <c r="BC583" i="3"/>
  <c r="BB583" i="3"/>
  <c r="BA583" i="3"/>
  <c r="AZ583" i="3"/>
  <c r="AY583" i="3"/>
  <c r="AX583" i="3"/>
  <c r="AW583" i="3"/>
  <c r="AV583" i="3"/>
  <c r="AR583" i="3"/>
  <c r="AS583" i="3" s="1"/>
  <c r="B583" i="3"/>
  <c r="CE582" i="3"/>
  <c r="CD582" i="3"/>
  <c r="CC582" i="3"/>
  <c r="CB582" i="3"/>
  <c r="CA582" i="3"/>
  <c r="BZ582" i="3"/>
  <c r="BY582" i="3"/>
  <c r="BX582" i="3"/>
  <c r="BW582" i="3"/>
  <c r="BV582" i="3"/>
  <c r="BU582" i="3"/>
  <c r="BT582" i="3"/>
  <c r="BS582" i="3"/>
  <c r="BR582" i="3"/>
  <c r="BQ582" i="3"/>
  <c r="BP582" i="3"/>
  <c r="BO582" i="3"/>
  <c r="BN582" i="3"/>
  <c r="BM582" i="3"/>
  <c r="BL582" i="3"/>
  <c r="BK582" i="3"/>
  <c r="BJ582" i="3"/>
  <c r="BI582" i="3"/>
  <c r="BH582" i="3"/>
  <c r="BG582" i="3"/>
  <c r="BF582" i="3"/>
  <c r="BE582" i="3"/>
  <c r="BD582" i="3"/>
  <c r="BC582" i="3"/>
  <c r="BB582" i="3"/>
  <c r="BA582" i="3"/>
  <c r="AZ582" i="3"/>
  <c r="AY582" i="3"/>
  <c r="AX582" i="3"/>
  <c r="AW582" i="3"/>
  <c r="AV582" i="3"/>
  <c r="AR582" i="3"/>
  <c r="AS582" i="3" s="1"/>
  <c r="B582" i="3"/>
  <c r="CE581" i="3"/>
  <c r="CD581" i="3"/>
  <c r="CC581" i="3"/>
  <c r="CB581" i="3"/>
  <c r="CA581" i="3"/>
  <c r="BZ581" i="3"/>
  <c r="BY581" i="3"/>
  <c r="BX581" i="3"/>
  <c r="BW581" i="3"/>
  <c r="BV581" i="3"/>
  <c r="BU581" i="3"/>
  <c r="BT581" i="3"/>
  <c r="BS581" i="3"/>
  <c r="BR581" i="3"/>
  <c r="BQ581" i="3"/>
  <c r="BP581" i="3"/>
  <c r="BO581" i="3"/>
  <c r="BN581" i="3"/>
  <c r="BM581" i="3"/>
  <c r="BL581" i="3"/>
  <c r="BK581" i="3"/>
  <c r="BJ581" i="3"/>
  <c r="BI581" i="3"/>
  <c r="BH581" i="3"/>
  <c r="BG581" i="3"/>
  <c r="BF581" i="3"/>
  <c r="BE581" i="3"/>
  <c r="BD581" i="3"/>
  <c r="BC581" i="3"/>
  <c r="BB581" i="3"/>
  <c r="BA581" i="3"/>
  <c r="AZ581" i="3"/>
  <c r="AY581" i="3"/>
  <c r="AX581" i="3"/>
  <c r="AW581" i="3"/>
  <c r="AV581" i="3"/>
  <c r="AR581" i="3"/>
  <c r="AS581" i="3" s="1"/>
  <c r="B581" i="3"/>
  <c r="CE580" i="3"/>
  <c r="CD580" i="3"/>
  <c r="CC580" i="3"/>
  <c r="CB580" i="3"/>
  <c r="CA580" i="3"/>
  <c r="BZ580" i="3"/>
  <c r="BY580" i="3"/>
  <c r="BX580" i="3"/>
  <c r="BW580" i="3"/>
  <c r="BV580" i="3"/>
  <c r="BU580" i="3"/>
  <c r="BT580" i="3"/>
  <c r="BS580" i="3"/>
  <c r="BR580" i="3"/>
  <c r="BQ580" i="3"/>
  <c r="BP580" i="3"/>
  <c r="BO580" i="3"/>
  <c r="BN580" i="3"/>
  <c r="BM580" i="3"/>
  <c r="BL580" i="3"/>
  <c r="BK580" i="3"/>
  <c r="BJ580" i="3"/>
  <c r="BI580" i="3"/>
  <c r="BH580" i="3"/>
  <c r="BG580" i="3"/>
  <c r="BF580" i="3"/>
  <c r="BE580" i="3"/>
  <c r="BD580" i="3"/>
  <c r="BC580" i="3"/>
  <c r="BB580" i="3"/>
  <c r="BA580" i="3"/>
  <c r="AZ580" i="3"/>
  <c r="AY580" i="3"/>
  <c r="AX580" i="3"/>
  <c r="AW580" i="3"/>
  <c r="AV580" i="3"/>
  <c r="AR580" i="3"/>
  <c r="AS580" i="3" s="1"/>
  <c r="B580" i="3"/>
  <c r="CE579" i="3"/>
  <c r="CD579" i="3"/>
  <c r="CC579" i="3"/>
  <c r="CB579" i="3"/>
  <c r="CA579" i="3"/>
  <c r="BZ579" i="3"/>
  <c r="BY579" i="3"/>
  <c r="BX579" i="3"/>
  <c r="BW579" i="3"/>
  <c r="BV579" i="3"/>
  <c r="BU579" i="3"/>
  <c r="BT579" i="3"/>
  <c r="BS579" i="3"/>
  <c r="BR579" i="3"/>
  <c r="BQ579" i="3"/>
  <c r="BP579" i="3"/>
  <c r="BO579" i="3"/>
  <c r="BN579" i="3"/>
  <c r="BM579" i="3"/>
  <c r="BL579" i="3"/>
  <c r="BK579" i="3"/>
  <c r="BJ579" i="3"/>
  <c r="BI579" i="3"/>
  <c r="BH579" i="3"/>
  <c r="BG579" i="3"/>
  <c r="BF579" i="3"/>
  <c r="BE579" i="3"/>
  <c r="BD579" i="3"/>
  <c r="BC579" i="3"/>
  <c r="BB579" i="3"/>
  <c r="BA579" i="3"/>
  <c r="AZ579" i="3"/>
  <c r="AY579" i="3"/>
  <c r="AX579" i="3"/>
  <c r="AW579" i="3"/>
  <c r="AV579" i="3"/>
  <c r="AR579" i="3"/>
  <c r="AS579" i="3" s="1"/>
  <c r="B579" i="3"/>
  <c r="CE578" i="3"/>
  <c r="CD578" i="3"/>
  <c r="CC578" i="3"/>
  <c r="CB578" i="3"/>
  <c r="CA578" i="3"/>
  <c r="BZ578" i="3"/>
  <c r="BY578" i="3"/>
  <c r="BX578" i="3"/>
  <c r="BW578" i="3"/>
  <c r="BV578" i="3"/>
  <c r="BU578" i="3"/>
  <c r="BT578" i="3"/>
  <c r="BS578" i="3"/>
  <c r="BR578" i="3"/>
  <c r="BQ578" i="3"/>
  <c r="BP578" i="3"/>
  <c r="BO578" i="3"/>
  <c r="BN578" i="3"/>
  <c r="BM578" i="3"/>
  <c r="BL578" i="3"/>
  <c r="BK578" i="3"/>
  <c r="BJ578" i="3"/>
  <c r="BI578" i="3"/>
  <c r="BH578" i="3"/>
  <c r="BG578" i="3"/>
  <c r="BF578" i="3"/>
  <c r="BE578" i="3"/>
  <c r="BD578" i="3"/>
  <c r="BC578" i="3"/>
  <c r="BB578" i="3"/>
  <c r="BA578" i="3"/>
  <c r="AZ578" i="3"/>
  <c r="AY578" i="3"/>
  <c r="AX578" i="3"/>
  <c r="AW578" i="3"/>
  <c r="AV578" i="3"/>
  <c r="AR578" i="3"/>
  <c r="AS578" i="3" s="1"/>
  <c r="B578" i="3"/>
  <c r="CE577" i="3"/>
  <c r="CD577" i="3"/>
  <c r="CC577" i="3"/>
  <c r="CB577" i="3"/>
  <c r="CA577" i="3"/>
  <c r="BZ577" i="3"/>
  <c r="BY577" i="3"/>
  <c r="BX577" i="3"/>
  <c r="BW577" i="3"/>
  <c r="BV577" i="3"/>
  <c r="BU577" i="3"/>
  <c r="BT577" i="3"/>
  <c r="BS577" i="3"/>
  <c r="BR577" i="3"/>
  <c r="BQ577" i="3"/>
  <c r="BP577" i="3"/>
  <c r="BO577" i="3"/>
  <c r="BN577" i="3"/>
  <c r="BM577" i="3"/>
  <c r="BL577" i="3"/>
  <c r="BK577" i="3"/>
  <c r="BJ577" i="3"/>
  <c r="BI577" i="3"/>
  <c r="BH577" i="3"/>
  <c r="BG577" i="3"/>
  <c r="BF577" i="3"/>
  <c r="BE577" i="3"/>
  <c r="BD577" i="3"/>
  <c r="BC577" i="3"/>
  <c r="BB577" i="3"/>
  <c r="BA577" i="3"/>
  <c r="AZ577" i="3"/>
  <c r="AY577" i="3"/>
  <c r="AX577" i="3"/>
  <c r="AW577" i="3"/>
  <c r="AV577" i="3"/>
  <c r="AR577" i="3"/>
  <c r="AS577" i="3" s="1"/>
  <c r="B577" i="3"/>
  <c r="CE576" i="3"/>
  <c r="CD576" i="3"/>
  <c r="CC576" i="3"/>
  <c r="CB576" i="3"/>
  <c r="CA576" i="3"/>
  <c r="BZ576" i="3"/>
  <c r="BY576" i="3"/>
  <c r="BX576" i="3"/>
  <c r="BW576" i="3"/>
  <c r="BV576" i="3"/>
  <c r="BU576" i="3"/>
  <c r="BT576" i="3"/>
  <c r="BS576" i="3"/>
  <c r="BR576" i="3"/>
  <c r="BQ576" i="3"/>
  <c r="BP576" i="3"/>
  <c r="BO576" i="3"/>
  <c r="BN576" i="3"/>
  <c r="BM576" i="3"/>
  <c r="BL576" i="3"/>
  <c r="BK576" i="3"/>
  <c r="BJ576" i="3"/>
  <c r="BI576" i="3"/>
  <c r="BH576" i="3"/>
  <c r="BG576" i="3"/>
  <c r="BF576" i="3"/>
  <c r="BE576" i="3"/>
  <c r="BD576" i="3"/>
  <c r="BC576" i="3"/>
  <c r="BB576" i="3"/>
  <c r="BA576" i="3"/>
  <c r="AZ576" i="3"/>
  <c r="AY576" i="3"/>
  <c r="AX576" i="3"/>
  <c r="AW576" i="3"/>
  <c r="AV576" i="3"/>
  <c r="AR576" i="3"/>
  <c r="AS576" i="3" s="1"/>
  <c r="B576" i="3"/>
  <c r="BW565" i="4"/>
  <c r="BV565" i="4"/>
  <c r="BU565" i="4"/>
  <c r="BT565" i="4"/>
  <c r="BS565" i="4"/>
  <c r="BR565" i="4"/>
  <c r="BQ565" i="4"/>
  <c r="BP565" i="4"/>
  <c r="BO565" i="4"/>
  <c r="BN565" i="4"/>
  <c r="BM565" i="4"/>
  <c r="BL565" i="4"/>
  <c r="BK565" i="4"/>
  <c r="BJ565" i="4"/>
  <c r="BI565" i="4"/>
  <c r="BH565" i="4"/>
  <c r="BG565" i="4"/>
  <c r="BF565" i="4"/>
  <c r="BE565" i="4"/>
  <c r="BD565" i="4"/>
  <c r="BC565" i="4"/>
  <c r="BB565" i="4"/>
  <c r="BA565" i="4"/>
  <c r="AZ565" i="4"/>
  <c r="AY565" i="4"/>
  <c r="AX565" i="4"/>
  <c r="AW565" i="4"/>
  <c r="AV565" i="4"/>
  <c r="AU565" i="4"/>
  <c r="AT565" i="4"/>
  <c r="AS565" i="4"/>
  <c r="AR565" i="4"/>
  <c r="AN565" i="4"/>
  <c r="AO565" i="4" s="1"/>
  <c r="B565" i="4"/>
  <c r="BW564" i="4"/>
  <c r="BV564" i="4"/>
  <c r="BU564" i="4"/>
  <c r="BT564" i="4"/>
  <c r="BS564" i="4"/>
  <c r="BR564" i="4"/>
  <c r="BQ564" i="4"/>
  <c r="BP564" i="4"/>
  <c r="BO564" i="4"/>
  <c r="BN564" i="4"/>
  <c r="BM564" i="4"/>
  <c r="BL564" i="4"/>
  <c r="BK564" i="4"/>
  <c r="BJ564" i="4"/>
  <c r="BI564" i="4"/>
  <c r="BH564" i="4"/>
  <c r="BG564" i="4"/>
  <c r="BF564" i="4"/>
  <c r="BE564" i="4"/>
  <c r="BD564" i="4"/>
  <c r="BC564" i="4"/>
  <c r="BB564" i="4"/>
  <c r="BA564" i="4"/>
  <c r="AZ564" i="4"/>
  <c r="AY564" i="4"/>
  <c r="AX564" i="4"/>
  <c r="AW564" i="4"/>
  <c r="AV564" i="4"/>
  <c r="AU564" i="4"/>
  <c r="AT564" i="4"/>
  <c r="AS564" i="4"/>
  <c r="AR564" i="4"/>
  <c r="AN564" i="4"/>
  <c r="AO564" i="4" s="1"/>
  <c r="B564" i="4"/>
  <c r="BW563" i="4"/>
  <c r="BV563" i="4"/>
  <c r="BU563" i="4"/>
  <c r="BT563" i="4"/>
  <c r="BS563" i="4"/>
  <c r="BR563" i="4"/>
  <c r="BQ563" i="4"/>
  <c r="BP563" i="4"/>
  <c r="BO563" i="4"/>
  <c r="BN563" i="4"/>
  <c r="BM563" i="4"/>
  <c r="BL563" i="4"/>
  <c r="BK563" i="4"/>
  <c r="BJ563" i="4"/>
  <c r="BI563" i="4"/>
  <c r="BH563" i="4"/>
  <c r="BG563" i="4"/>
  <c r="BF563" i="4"/>
  <c r="BE563" i="4"/>
  <c r="BD563" i="4"/>
  <c r="BC563" i="4"/>
  <c r="BB563" i="4"/>
  <c r="BA563" i="4"/>
  <c r="AZ563" i="4"/>
  <c r="AY563" i="4"/>
  <c r="AX563" i="4"/>
  <c r="AW563" i="4"/>
  <c r="AV563" i="4"/>
  <c r="AU563" i="4"/>
  <c r="AT563" i="4"/>
  <c r="AS563" i="4"/>
  <c r="AR563" i="4"/>
  <c r="AN563" i="4"/>
  <c r="AO563" i="4" s="1"/>
  <c r="B563" i="4"/>
  <c r="BW562" i="4"/>
  <c r="BV562" i="4"/>
  <c r="BU562" i="4"/>
  <c r="BT562" i="4"/>
  <c r="BS562" i="4"/>
  <c r="BR562" i="4"/>
  <c r="BQ562" i="4"/>
  <c r="BP562" i="4"/>
  <c r="BO562" i="4"/>
  <c r="BN562" i="4"/>
  <c r="BM562" i="4"/>
  <c r="BL562" i="4"/>
  <c r="BK562" i="4"/>
  <c r="BJ562" i="4"/>
  <c r="BI562" i="4"/>
  <c r="BH562" i="4"/>
  <c r="BG562" i="4"/>
  <c r="BF562" i="4"/>
  <c r="BE562" i="4"/>
  <c r="BD562" i="4"/>
  <c r="BC562" i="4"/>
  <c r="BB562" i="4"/>
  <c r="BA562" i="4"/>
  <c r="AZ562" i="4"/>
  <c r="AY562" i="4"/>
  <c r="AX562" i="4"/>
  <c r="AW562" i="4"/>
  <c r="AV562" i="4"/>
  <c r="AU562" i="4"/>
  <c r="AT562" i="4"/>
  <c r="AS562" i="4"/>
  <c r="AR562" i="4"/>
  <c r="AN562" i="4"/>
  <c r="AO562" i="4" s="1"/>
  <c r="B562" i="4"/>
  <c r="BW561" i="4"/>
  <c r="BV561" i="4"/>
  <c r="BU561" i="4"/>
  <c r="BT561" i="4"/>
  <c r="BS561" i="4"/>
  <c r="BR561" i="4"/>
  <c r="BQ561" i="4"/>
  <c r="BP561" i="4"/>
  <c r="BO561" i="4"/>
  <c r="BN561" i="4"/>
  <c r="BM561" i="4"/>
  <c r="BL561" i="4"/>
  <c r="BK561" i="4"/>
  <c r="BJ561" i="4"/>
  <c r="BI561" i="4"/>
  <c r="BH561" i="4"/>
  <c r="BG561" i="4"/>
  <c r="BF561" i="4"/>
  <c r="BE561" i="4"/>
  <c r="BD561" i="4"/>
  <c r="BC561" i="4"/>
  <c r="BB561" i="4"/>
  <c r="BA561" i="4"/>
  <c r="AZ561" i="4"/>
  <c r="AY561" i="4"/>
  <c r="AX561" i="4"/>
  <c r="AW561" i="4"/>
  <c r="AV561" i="4"/>
  <c r="AU561" i="4"/>
  <c r="AT561" i="4"/>
  <c r="AS561" i="4"/>
  <c r="AR561" i="4"/>
  <c r="AN561" i="4"/>
  <c r="AO561" i="4" s="1"/>
  <c r="B561" i="4"/>
  <c r="BW560" i="4"/>
  <c r="BV560" i="4"/>
  <c r="BU560" i="4"/>
  <c r="BT560" i="4"/>
  <c r="BS560" i="4"/>
  <c r="BR560" i="4"/>
  <c r="BQ560" i="4"/>
  <c r="BP560" i="4"/>
  <c r="BO560" i="4"/>
  <c r="BN560" i="4"/>
  <c r="BM560" i="4"/>
  <c r="BL560" i="4"/>
  <c r="BK560" i="4"/>
  <c r="BJ560" i="4"/>
  <c r="BI560" i="4"/>
  <c r="BH560" i="4"/>
  <c r="BG560" i="4"/>
  <c r="BF560" i="4"/>
  <c r="BE560" i="4"/>
  <c r="BD560" i="4"/>
  <c r="BC560" i="4"/>
  <c r="BB560" i="4"/>
  <c r="BA560" i="4"/>
  <c r="AZ560" i="4"/>
  <c r="AY560" i="4"/>
  <c r="AX560" i="4"/>
  <c r="AW560" i="4"/>
  <c r="AV560" i="4"/>
  <c r="AU560" i="4"/>
  <c r="AT560" i="4"/>
  <c r="AS560" i="4"/>
  <c r="AR560" i="4"/>
  <c r="AN560" i="4"/>
  <c r="AO560" i="4" s="1"/>
  <c r="B560" i="4"/>
  <c r="BW559" i="4"/>
  <c r="BV559" i="4"/>
  <c r="BU559" i="4"/>
  <c r="BT559" i="4"/>
  <c r="BS559" i="4"/>
  <c r="BR559" i="4"/>
  <c r="BQ559" i="4"/>
  <c r="BP559" i="4"/>
  <c r="BO559" i="4"/>
  <c r="BN559" i="4"/>
  <c r="BM559" i="4"/>
  <c r="BL559" i="4"/>
  <c r="BK559" i="4"/>
  <c r="BJ559" i="4"/>
  <c r="BI559" i="4"/>
  <c r="BH559" i="4"/>
  <c r="BG559" i="4"/>
  <c r="BF559" i="4"/>
  <c r="BE559" i="4"/>
  <c r="BD559" i="4"/>
  <c r="BC559" i="4"/>
  <c r="BB559" i="4"/>
  <c r="BA559" i="4"/>
  <c r="AZ559" i="4"/>
  <c r="AY559" i="4"/>
  <c r="AX559" i="4"/>
  <c r="AW559" i="4"/>
  <c r="AV559" i="4"/>
  <c r="AU559" i="4"/>
  <c r="AT559" i="4"/>
  <c r="AS559" i="4"/>
  <c r="AR559" i="4"/>
  <c r="AN559" i="4"/>
  <c r="AO559" i="4" s="1"/>
  <c r="B559" i="4"/>
  <c r="BW558" i="4"/>
  <c r="BV558" i="4"/>
  <c r="BU558" i="4"/>
  <c r="BT558" i="4"/>
  <c r="BS558" i="4"/>
  <c r="BR558" i="4"/>
  <c r="BQ558" i="4"/>
  <c r="BP558" i="4"/>
  <c r="BO558" i="4"/>
  <c r="BN558" i="4"/>
  <c r="BM558" i="4"/>
  <c r="BL558" i="4"/>
  <c r="BK558" i="4"/>
  <c r="BJ558" i="4"/>
  <c r="BI558" i="4"/>
  <c r="BH558" i="4"/>
  <c r="BG558" i="4"/>
  <c r="BF558" i="4"/>
  <c r="BE558" i="4"/>
  <c r="BD558" i="4"/>
  <c r="BC558" i="4"/>
  <c r="BB558" i="4"/>
  <c r="BA558" i="4"/>
  <c r="AZ558" i="4"/>
  <c r="AY558" i="4"/>
  <c r="AX558" i="4"/>
  <c r="AW558" i="4"/>
  <c r="AV558" i="4"/>
  <c r="AU558" i="4"/>
  <c r="AT558" i="4"/>
  <c r="AS558" i="4"/>
  <c r="AR558" i="4"/>
  <c r="AN558" i="4"/>
  <c r="AO558" i="4" s="1"/>
  <c r="B558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N557" i="4"/>
  <c r="AO557" i="4" s="1"/>
  <c r="B557" i="4"/>
  <c r="BW556" i="4"/>
  <c r="BV556" i="4"/>
  <c r="BU556" i="4"/>
  <c r="BT556" i="4"/>
  <c r="BS556" i="4"/>
  <c r="BR556" i="4"/>
  <c r="BQ556" i="4"/>
  <c r="BP556" i="4"/>
  <c r="BO556" i="4"/>
  <c r="BN556" i="4"/>
  <c r="BM556" i="4"/>
  <c r="BL556" i="4"/>
  <c r="BK556" i="4"/>
  <c r="BJ556" i="4"/>
  <c r="BI556" i="4"/>
  <c r="BH556" i="4"/>
  <c r="BG556" i="4"/>
  <c r="BF556" i="4"/>
  <c r="BE556" i="4"/>
  <c r="BD556" i="4"/>
  <c r="BC556" i="4"/>
  <c r="BB556" i="4"/>
  <c r="BA556" i="4"/>
  <c r="AZ556" i="4"/>
  <c r="AY556" i="4"/>
  <c r="AX556" i="4"/>
  <c r="AW556" i="4"/>
  <c r="AV556" i="4"/>
  <c r="AU556" i="4"/>
  <c r="AT556" i="4"/>
  <c r="AS556" i="4"/>
  <c r="AR556" i="4"/>
  <c r="AN556" i="4"/>
  <c r="AO556" i="4" s="1"/>
  <c r="B556" i="4"/>
  <c r="BW555" i="4"/>
  <c r="BV555" i="4"/>
  <c r="BU555" i="4"/>
  <c r="BT555" i="4"/>
  <c r="BS555" i="4"/>
  <c r="BR555" i="4"/>
  <c r="BQ555" i="4"/>
  <c r="BP555" i="4"/>
  <c r="BO555" i="4"/>
  <c r="BN555" i="4"/>
  <c r="BM555" i="4"/>
  <c r="BL555" i="4"/>
  <c r="BK555" i="4"/>
  <c r="BJ555" i="4"/>
  <c r="BI555" i="4"/>
  <c r="BH555" i="4"/>
  <c r="BG555" i="4"/>
  <c r="BF555" i="4"/>
  <c r="BE555" i="4"/>
  <c r="BD555" i="4"/>
  <c r="BC555" i="4"/>
  <c r="BB555" i="4"/>
  <c r="BA555" i="4"/>
  <c r="AZ555" i="4"/>
  <c r="AY555" i="4"/>
  <c r="AX555" i="4"/>
  <c r="AW555" i="4"/>
  <c r="AV555" i="4"/>
  <c r="AU555" i="4"/>
  <c r="AT555" i="4"/>
  <c r="AS555" i="4"/>
  <c r="AR555" i="4"/>
  <c r="AN555" i="4"/>
  <c r="AO555" i="4" s="1"/>
  <c r="B555" i="4"/>
  <c r="BW554" i="4"/>
  <c r="BV554" i="4"/>
  <c r="BU554" i="4"/>
  <c r="BT554" i="4"/>
  <c r="BS554" i="4"/>
  <c r="BR554" i="4"/>
  <c r="BQ554" i="4"/>
  <c r="BP554" i="4"/>
  <c r="BO554" i="4"/>
  <c r="BN554" i="4"/>
  <c r="BM554" i="4"/>
  <c r="BL554" i="4"/>
  <c r="BK554" i="4"/>
  <c r="BJ554" i="4"/>
  <c r="BI554" i="4"/>
  <c r="BH554" i="4"/>
  <c r="BG554" i="4"/>
  <c r="BF554" i="4"/>
  <c r="BE554" i="4"/>
  <c r="BD554" i="4"/>
  <c r="BC554" i="4"/>
  <c r="BB554" i="4"/>
  <c r="BA554" i="4"/>
  <c r="AZ554" i="4"/>
  <c r="AY554" i="4"/>
  <c r="AX554" i="4"/>
  <c r="AW554" i="4"/>
  <c r="AV554" i="4"/>
  <c r="AU554" i="4"/>
  <c r="AT554" i="4"/>
  <c r="AS554" i="4"/>
  <c r="AR554" i="4"/>
  <c r="AN554" i="4"/>
  <c r="AO554" i="4" s="1"/>
  <c r="B554" i="4"/>
  <c r="BW553" i="4"/>
  <c r="BV553" i="4"/>
  <c r="BU553" i="4"/>
  <c r="BT553" i="4"/>
  <c r="BS553" i="4"/>
  <c r="BR553" i="4"/>
  <c r="BQ553" i="4"/>
  <c r="BP553" i="4"/>
  <c r="BO553" i="4"/>
  <c r="BN553" i="4"/>
  <c r="BM553" i="4"/>
  <c r="BL553" i="4"/>
  <c r="BK553" i="4"/>
  <c r="BJ553" i="4"/>
  <c r="BI553" i="4"/>
  <c r="BH553" i="4"/>
  <c r="BG553" i="4"/>
  <c r="BF553" i="4"/>
  <c r="BE553" i="4"/>
  <c r="BD553" i="4"/>
  <c r="BC553" i="4"/>
  <c r="BB553" i="4"/>
  <c r="BA553" i="4"/>
  <c r="AZ553" i="4"/>
  <c r="AY553" i="4"/>
  <c r="AX553" i="4"/>
  <c r="AW553" i="4"/>
  <c r="AV553" i="4"/>
  <c r="AU553" i="4"/>
  <c r="AT553" i="4"/>
  <c r="AS553" i="4"/>
  <c r="AR553" i="4"/>
  <c r="AN553" i="4"/>
  <c r="AO553" i="4" s="1"/>
  <c r="B553" i="4"/>
  <c r="BW552" i="4"/>
  <c r="BV552" i="4"/>
  <c r="BU552" i="4"/>
  <c r="BT552" i="4"/>
  <c r="BS552" i="4"/>
  <c r="BR552" i="4"/>
  <c r="BQ552" i="4"/>
  <c r="BP552" i="4"/>
  <c r="BO552" i="4"/>
  <c r="BN552" i="4"/>
  <c r="BM552" i="4"/>
  <c r="BL552" i="4"/>
  <c r="BK552" i="4"/>
  <c r="BJ552" i="4"/>
  <c r="BI552" i="4"/>
  <c r="BH552" i="4"/>
  <c r="BG552" i="4"/>
  <c r="BF552" i="4"/>
  <c r="BE552" i="4"/>
  <c r="BD552" i="4"/>
  <c r="BC552" i="4"/>
  <c r="BB552" i="4"/>
  <c r="BA552" i="4"/>
  <c r="AZ552" i="4"/>
  <c r="AY552" i="4"/>
  <c r="AX552" i="4"/>
  <c r="AW552" i="4"/>
  <c r="AV552" i="4"/>
  <c r="AU552" i="4"/>
  <c r="AT552" i="4"/>
  <c r="AS552" i="4"/>
  <c r="AR552" i="4"/>
  <c r="AN552" i="4"/>
  <c r="AO552" i="4" s="1"/>
  <c r="B552" i="4"/>
  <c r="BW551" i="4"/>
  <c r="BV551" i="4"/>
  <c r="BU551" i="4"/>
  <c r="BT551" i="4"/>
  <c r="BS551" i="4"/>
  <c r="BR551" i="4"/>
  <c r="BQ551" i="4"/>
  <c r="BP551" i="4"/>
  <c r="BO551" i="4"/>
  <c r="BN551" i="4"/>
  <c r="BM551" i="4"/>
  <c r="BL551" i="4"/>
  <c r="BK551" i="4"/>
  <c r="BJ551" i="4"/>
  <c r="BI551" i="4"/>
  <c r="BH551" i="4"/>
  <c r="BG551" i="4"/>
  <c r="BF551" i="4"/>
  <c r="BE551" i="4"/>
  <c r="BD551" i="4"/>
  <c r="BC551" i="4"/>
  <c r="BB551" i="4"/>
  <c r="BA551" i="4"/>
  <c r="AZ551" i="4"/>
  <c r="AY551" i="4"/>
  <c r="AX551" i="4"/>
  <c r="AW551" i="4"/>
  <c r="AV551" i="4"/>
  <c r="AU551" i="4"/>
  <c r="AT551" i="4"/>
  <c r="AS551" i="4"/>
  <c r="AR551" i="4"/>
  <c r="AN551" i="4"/>
  <c r="AO551" i="4" s="1"/>
  <c r="B551" i="4"/>
  <c r="BW550" i="4"/>
  <c r="BV550" i="4"/>
  <c r="BU550" i="4"/>
  <c r="BT550" i="4"/>
  <c r="BS550" i="4"/>
  <c r="BR550" i="4"/>
  <c r="BQ550" i="4"/>
  <c r="BP550" i="4"/>
  <c r="BO550" i="4"/>
  <c r="BN550" i="4"/>
  <c r="BM550" i="4"/>
  <c r="BL550" i="4"/>
  <c r="BK550" i="4"/>
  <c r="BJ550" i="4"/>
  <c r="BI550" i="4"/>
  <c r="BH550" i="4"/>
  <c r="BG550" i="4"/>
  <c r="BF550" i="4"/>
  <c r="BE550" i="4"/>
  <c r="BD550" i="4"/>
  <c r="BC550" i="4"/>
  <c r="BB550" i="4"/>
  <c r="BA550" i="4"/>
  <c r="AZ550" i="4"/>
  <c r="AY550" i="4"/>
  <c r="AX550" i="4"/>
  <c r="AW550" i="4"/>
  <c r="AV550" i="4"/>
  <c r="AU550" i="4"/>
  <c r="AT550" i="4"/>
  <c r="AS550" i="4"/>
  <c r="AR550" i="4"/>
  <c r="AN550" i="4"/>
  <c r="AO550" i="4" s="1"/>
  <c r="B550" i="4"/>
  <c r="BW549" i="4"/>
  <c r="BV549" i="4"/>
  <c r="BU549" i="4"/>
  <c r="BT549" i="4"/>
  <c r="BS549" i="4"/>
  <c r="BR549" i="4"/>
  <c r="BQ549" i="4"/>
  <c r="BP549" i="4"/>
  <c r="BO549" i="4"/>
  <c r="BN549" i="4"/>
  <c r="BM549" i="4"/>
  <c r="BL549" i="4"/>
  <c r="BK549" i="4"/>
  <c r="BJ549" i="4"/>
  <c r="BI549" i="4"/>
  <c r="BH549" i="4"/>
  <c r="BG549" i="4"/>
  <c r="BF549" i="4"/>
  <c r="BE549" i="4"/>
  <c r="BD549" i="4"/>
  <c r="BC549" i="4"/>
  <c r="BB549" i="4"/>
  <c r="BA549" i="4"/>
  <c r="AZ549" i="4"/>
  <c r="AY549" i="4"/>
  <c r="AX549" i="4"/>
  <c r="AW549" i="4"/>
  <c r="AV549" i="4"/>
  <c r="AU549" i="4"/>
  <c r="AT549" i="4"/>
  <c r="AS549" i="4"/>
  <c r="AR549" i="4"/>
  <c r="AN549" i="4"/>
  <c r="AO549" i="4" s="1"/>
  <c r="B549" i="4"/>
  <c r="BW548" i="4"/>
  <c r="BV548" i="4"/>
  <c r="BU548" i="4"/>
  <c r="BT548" i="4"/>
  <c r="BS548" i="4"/>
  <c r="BR548" i="4"/>
  <c r="BQ548" i="4"/>
  <c r="BP548" i="4"/>
  <c r="BO548" i="4"/>
  <c r="BN548" i="4"/>
  <c r="BM548" i="4"/>
  <c r="BL548" i="4"/>
  <c r="BK548" i="4"/>
  <c r="BJ548" i="4"/>
  <c r="BI548" i="4"/>
  <c r="BH548" i="4"/>
  <c r="BG548" i="4"/>
  <c r="BF548" i="4"/>
  <c r="BE548" i="4"/>
  <c r="BD548" i="4"/>
  <c r="BC548" i="4"/>
  <c r="BB548" i="4"/>
  <c r="BA548" i="4"/>
  <c r="AZ548" i="4"/>
  <c r="AY548" i="4"/>
  <c r="AX548" i="4"/>
  <c r="AW548" i="4"/>
  <c r="AV548" i="4"/>
  <c r="AU548" i="4"/>
  <c r="AT548" i="4"/>
  <c r="AS548" i="4"/>
  <c r="AR548" i="4"/>
  <c r="AN548" i="4"/>
  <c r="AO548" i="4" s="1"/>
  <c r="B548" i="4"/>
  <c r="BW547" i="4"/>
  <c r="BV547" i="4"/>
  <c r="BU547" i="4"/>
  <c r="BT547" i="4"/>
  <c r="BS547" i="4"/>
  <c r="BR547" i="4"/>
  <c r="BQ547" i="4"/>
  <c r="BP547" i="4"/>
  <c r="BO547" i="4"/>
  <c r="BN547" i="4"/>
  <c r="BM547" i="4"/>
  <c r="BL547" i="4"/>
  <c r="BK547" i="4"/>
  <c r="BJ547" i="4"/>
  <c r="BI547" i="4"/>
  <c r="BH547" i="4"/>
  <c r="BG547" i="4"/>
  <c r="BF547" i="4"/>
  <c r="BE547" i="4"/>
  <c r="BD547" i="4"/>
  <c r="BC547" i="4"/>
  <c r="BB547" i="4"/>
  <c r="BA547" i="4"/>
  <c r="AZ547" i="4"/>
  <c r="AY547" i="4"/>
  <c r="AX547" i="4"/>
  <c r="AW547" i="4"/>
  <c r="AV547" i="4"/>
  <c r="AU547" i="4"/>
  <c r="AT547" i="4"/>
  <c r="AS547" i="4"/>
  <c r="AR547" i="4"/>
  <c r="AN547" i="4"/>
  <c r="AO547" i="4" s="1"/>
  <c r="B547" i="4"/>
  <c r="BW546" i="4"/>
  <c r="BV546" i="4"/>
  <c r="BU546" i="4"/>
  <c r="BT546" i="4"/>
  <c r="BS546" i="4"/>
  <c r="BR546" i="4"/>
  <c r="BQ546" i="4"/>
  <c r="BP546" i="4"/>
  <c r="BO546" i="4"/>
  <c r="BN546" i="4"/>
  <c r="BM546" i="4"/>
  <c r="BL546" i="4"/>
  <c r="BK546" i="4"/>
  <c r="BJ546" i="4"/>
  <c r="BI546" i="4"/>
  <c r="BH546" i="4"/>
  <c r="BG546" i="4"/>
  <c r="BF546" i="4"/>
  <c r="BE546" i="4"/>
  <c r="BD546" i="4"/>
  <c r="BC546" i="4"/>
  <c r="BB546" i="4"/>
  <c r="BA546" i="4"/>
  <c r="AZ546" i="4"/>
  <c r="AY546" i="4"/>
  <c r="AX546" i="4"/>
  <c r="AW546" i="4"/>
  <c r="AV546" i="4"/>
  <c r="AU546" i="4"/>
  <c r="AT546" i="4"/>
  <c r="AS546" i="4"/>
  <c r="AR546" i="4"/>
  <c r="AN546" i="4"/>
  <c r="AO546" i="4" s="1"/>
  <c r="B546" i="4"/>
  <c r="BW545" i="4"/>
  <c r="BV545" i="4"/>
  <c r="BU545" i="4"/>
  <c r="BT545" i="4"/>
  <c r="BS545" i="4"/>
  <c r="BR545" i="4"/>
  <c r="BQ545" i="4"/>
  <c r="BP545" i="4"/>
  <c r="BO545" i="4"/>
  <c r="BN545" i="4"/>
  <c r="BM545" i="4"/>
  <c r="BL545" i="4"/>
  <c r="BK545" i="4"/>
  <c r="BJ545" i="4"/>
  <c r="BI545" i="4"/>
  <c r="BH545" i="4"/>
  <c r="BG545" i="4"/>
  <c r="BF545" i="4"/>
  <c r="BE545" i="4"/>
  <c r="BD545" i="4"/>
  <c r="BC545" i="4"/>
  <c r="BB545" i="4"/>
  <c r="BA545" i="4"/>
  <c r="AZ545" i="4"/>
  <c r="AY545" i="4"/>
  <c r="AX545" i="4"/>
  <c r="AW545" i="4"/>
  <c r="AV545" i="4"/>
  <c r="AU545" i="4"/>
  <c r="AT545" i="4"/>
  <c r="AS545" i="4"/>
  <c r="AR545" i="4"/>
  <c r="AN545" i="4"/>
  <c r="AO545" i="4" s="1"/>
  <c r="B545" i="4"/>
  <c r="BW544" i="4"/>
  <c r="BV544" i="4"/>
  <c r="BU544" i="4"/>
  <c r="BT544" i="4"/>
  <c r="BS544" i="4"/>
  <c r="BR544" i="4"/>
  <c r="BQ544" i="4"/>
  <c r="BP544" i="4"/>
  <c r="BO544" i="4"/>
  <c r="BN544" i="4"/>
  <c r="BM544" i="4"/>
  <c r="BL544" i="4"/>
  <c r="BK544" i="4"/>
  <c r="BJ544" i="4"/>
  <c r="BI544" i="4"/>
  <c r="BH544" i="4"/>
  <c r="BG544" i="4"/>
  <c r="BF544" i="4"/>
  <c r="BE544" i="4"/>
  <c r="BD544" i="4"/>
  <c r="BC544" i="4"/>
  <c r="BB544" i="4"/>
  <c r="BA544" i="4"/>
  <c r="AZ544" i="4"/>
  <c r="AY544" i="4"/>
  <c r="AX544" i="4"/>
  <c r="AW544" i="4"/>
  <c r="AV544" i="4"/>
  <c r="AU544" i="4"/>
  <c r="AT544" i="4"/>
  <c r="AS544" i="4"/>
  <c r="AR544" i="4"/>
  <c r="AN544" i="4"/>
  <c r="AO544" i="4" s="1"/>
  <c r="B544" i="4"/>
  <c r="BW543" i="4"/>
  <c r="BV543" i="4"/>
  <c r="BU543" i="4"/>
  <c r="BT543" i="4"/>
  <c r="BS543" i="4"/>
  <c r="BR543" i="4"/>
  <c r="BQ543" i="4"/>
  <c r="BP543" i="4"/>
  <c r="BO543" i="4"/>
  <c r="BN543" i="4"/>
  <c r="BM543" i="4"/>
  <c r="BL543" i="4"/>
  <c r="BK543" i="4"/>
  <c r="BJ543" i="4"/>
  <c r="BI543" i="4"/>
  <c r="BH543" i="4"/>
  <c r="BG543" i="4"/>
  <c r="BF543" i="4"/>
  <c r="BE543" i="4"/>
  <c r="BD543" i="4"/>
  <c r="BC543" i="4"/>
  <c r="BB543" i="4"/>
  <c r="BA543" i="4"/>
  <c r="AZ543" i="4"/>
  <c r="AY543" i="4"/>
  <c r="AX543" i="4"/>
  <c r="AW543" i="4"/>
  <c r="AV543" i="4"/>
  <c r="AU543" i="4"/>
  <c r="AT543" i="4"/>
  <c r="AS543" i="4"/>
  <c r="AR543" i="4"/>
  <c r="AN543" i="4"/>
  <c r="AO543" i="4" s="1"/>
  <c r="B543" i="4"/>
  <c r="BW542" i="4"/>
  <c r="BV542" i="4"/>
  <c r="BU542" i="4"/>
  <c r="BT542" i="4"/>
  <c r="BS542" i="4"/>
  <c r="BR542" i="4"/>
  <c r="BQ542" i="4"/>
  <c r="BP542" i="4"/>
  <c r="BO542" i="4"/>
  <c r="BN542" i="4"/>
  <c r="BM542" i="4"/>
  <c r="BL542" i="4"/>
  <c r="BK542" i="4"/>
  <c r="BJ542" i="4"/>
  <c r="BI542" i="4"/>
  <c r="BH542" i="4"/>
  <c r="BG542" i="4"/>
  <c r="BF542" i="4"/>
  <c r="BE542" i="4"/>
  <c r="BD542" i="4"/>
  <c r="BC542" i="4"/>
  <c r="BB542" i="4"/>
  <c r="BA542" i="4"/>
  <c r="AZ542" i="4"/>
  <c r="AY542" i="4"/>
  <c r="AX542" i="4"/>
  <c r="AW542" i="4"/>
  <c r="AV542" i="4"/>
  <c r="AU542" i="4"/>
  <c r="AT542" i="4"/>
  <c r="AS542" i="4"/>
  <c r="AR542" i="4"/>
  <c r="AN542" i="4"/>
  <c r="AO542" i="4" s="1"/>
  <c r="B542" i="4"/>
  <c r="BW541" i="4"/>
  <c r="BV541" i="4"/>
  <c r="BU541" i="4"/>
  <c r="BT541" i="4"/>
  <c r="BS541" i="4"/>
  <c r="BR541" i="4"/>
  <c r="BQ541" i="4"/>
  <c r="BP541" i="4"/>
  <c r="BO541" i="4"/>
  <c r="BN541" i="4"/>
  <c r="BM541" i="4"/>
  <c r="BL541" i="4"/>
  <c r="BK541" i="4"/>
  <c r="BJ541" i="4"/>
  <c r="BI541" i="4"/>
  <c r="BH541" i="4"/>
  <c r="BG541" i="4"/>
  <c r="BF541" i="4"/>
  <c r="BE541" i="4"/>
  <c r="BD541" i="4"/>
  <c r="BC541" i="4"/>
  <c r="BB541" i="4"/>
  <c r="BA541" i="4"/>
  <c r="AZ541" i="4"/>
  <c r="AY541" i="4"/>
  <c r="AX541" i="4"/>
  <c r="AW541" i="4"/>
  <c r="AV541" i="4"/>
  <c r="AU541" i="4"/>
  <c r="AT541" i="4"/>
  <c r="AS541" i="4"/>
  <c r="AR541" i="4"/>
  <c r="AN541" i="4"/>
  <c r="AO541" i="4" s="1"/>
  <c r="B541" i="4"/>
  <c r="BW540" i="4"/>
  <c r="BV540" i="4"/>
  <c r="BU540" i="4"/>
  <c r="BT540" i="4"/>
  <c r="BS540" i="4"/>
  <c r="BR540" i="4"/>
  <c r="BQ540" i="4"/>
  <c r="BP540" i="4"/>
  <c r="BO540" i="4"/>
  <c r="BN540" i="4"/>
  <c r="BM540" i="4"/>
  <c r="BL540" i="4"/>
  <c r="BK540" i="4"/>
  <c r="BJ540" i="4"/>
  <c r="BI540" i="4"/>
  <c r="BH540" i="4"/>
  <c r="BG540" i="4"/>
  <c r="BF540" i="4"/>
  <c r="BE540" i="4"/>
  <c r="BD540" i="4"/>
  <c r="BC540" i="4"/>
  <c r="BB540" i="4"/>
  <c r="BA540" i="4"/>
  <c r="AZ540" i="4"/>
  <c r="AY540" i="4"/>
  <c r="AX540" i="4"/>
  <c r="AW540" i="4"/>
  <c r="AV540" i="4"/>
  <c r="AU540" i="4"/>
  <c r="AT540" i="4"/>
  <c r="AS540" i="4"/>
  <c r="AR540" i="4"/>
  <c r="AN540" i="4"/>
  <c r="AO540" i="4" s="1"/>
  <c r="B540" i="4"/>
  <c r="BW539" i="4"/>
  <c r="BV539" i="4"/>
  <c r="BU539" i="4"/>
  <c r="BT539" i="4"/>
  <c r="BS539" i="4"/>
  <c r="BR539" i="4"/>
  <c r="BQ539" i="4"/>
  <c r="BP539" i="4"/>
  <c r="BO539" i="4"/>
  <c r="BN539" i="4"/>
  <c r="BM539" i="4"/>
  <c r="BL539" i="4"/>
  <c r="BK539" i="4"/>
  <c r="BJ539" i="4"/>
  <c r="BI539" i="4"/>
  <c r="BH539" i="4"/>
  <c r="BG539" i="4"/>
  <c r="BF539" i="4"/>
  <c r="BE539" i="4"/>
  <c r="BD539" i="4"/>
  <c r="BC539" i="4"/>
  <c r="BB539" i="4"/>
  <c r="BA539" i="4"/>
  <c r="AZ539" i="4"/>
  <c r="AY539" i="4"/>
  <c r="AX539" i="4"/>
  <c r="AW539" i="4"/>
  <c r="AV539" i="4"/>
  <c r="AU539" i="4"/>
  <c r="AT539" i="4"/>
  <c r="AS539" i="4"/>
  <c r="AR539" i="4"/>
  <c r="AN539" i="4"/>
  <c r="AO539" i="4" s="1"/>
  <c r="B539" i="4"/>
  <c r="BW538" i="4"/>
  <c r="BV538" i="4"/>
  <c r="BU538" i="4"/>
  <c r="BT538" i="4"/>
  <c r="BS538" i="4"/>
  <c r="BR538" i="4"/>
  <c r="BQ538" i="4"/>
  <c r="BP538" i="4"/>
  <c r="BO538" i="4"/>
  <c r="BN538" i="4"/>
  <c r="BM538" i="4"/>
  <c r="BL538" i="4"/>
  <c r="BK538" i="4"/>
  <c r="BJ538" i="4"/>
  <c r="BI538" i="4"/>
  <c r="BH538" i="4"/>
  <c r="BG538" i="4"/>
  <c r="BF538" i="4"/>
  <c r="BE538" i="4"/>
  <c r="BD538" i="4"/>
  <c r="BC538" i="4"/>
  <c r="BB538" i="4"/>
  <c r="BA538" i="4"/>
  <c r="AZ538" i="4"/>
  <c r="AY538" i="4"/>
  <c r="AX538" i="4"/>
  <c r="AW538" i="4"/>
  <c r="AV538" i="4"/>
  <c r="AU538" i="4"/>
  <c r="AT538" i="4"/>
  <c r="AS538" i="4"/>
  <c r="AR538" i="4"/>
  <c r="AN538" i="4"/>
  <c r="AO538" i="4" s="1"/>
  <c r="B538" i="4"/>
  <c r="BW537" i="4"/>
  <c r="BV537" i="4"/>
  <c r="BU537" i="4"/>
  <c r="BT537" i="4"/>
  <c r="BS537" i="4"/>
  <c r="BR537" i="4"/>
  <c r="BQ537" i="4"/>
  <c r="BP537" i="4"/>
  <c r="BO537" i="4"/>
  <c r="BN537" i="4"/>
  <c r="BM537" i="4"/>
  <c r="BL537" i="4"/>
  <c r="BK537" i="4"/>
  <c r="BJ537" i="4"/>
  <c r="BI537" i="4"/>
  <c r="BH537" i="4"/>
  <c r="BG537" i="4"/>
  <c r="BF537" i="4"/>
  <c r="BE537" i="4"/>
  <c r="BD537" i="4"/>
  <c r="BC537" i="4"/>
  <c r="BB537" i="4"/>
  <c r="BA537" i="4"/>
  <c r="AZ537" i="4"/>
  <c r="AY537" i="4"/>
  <c r="AX537" i="4"/>
  <c r="AW537" i="4"/>
  <c r="AV537" i="4"/>
  <c r="AU537" i="4"/>
  <c r="AT537" i="4"/>
  <c r="AS537" i="4"/>
  <c r="AR537" i="4"/>
  <c r="AN537" i="4"/>
  <c r="AO537" i="4" s="1"/>
  <c r="B537" i="4"/>
  <c r="BW536" i="4"/>
  <c r="BV536" i="4"/>
  <c r="BU536" i="4"/>
  <c r="BT536" i="4"/>
  <c r="BS536" i="4"/>
  <c r="BR536" i="4"/>
  <c r="BQ536" i="4"/>
  <c r="BP536" i="4"/>
  <c r="BO536" i="4"/>
  <c r="BN536" i="4"/>
  <c r="BM536" i="4"/>
  <c r="BL536" i="4"/>
  <c r="BK536" i="4"/>
  <c r="BJ536" i="4"/>
  <c r="BI536" i="4"/>
  <c r="BH536" i="4"/>
  <c r="BG536" i="4"/>
  <c r="BF536" i="4"/>
  <c r="BE536" i="4"/>
  <c r="BD536" i="4"/>
  <c r="BC536" i="4"/>
  <c r="BB536" i="4"/>
  <c r="BA536" i="4"/>
  <c r="AZ536" i="4"/>
  <c r="AY536" i="4"/>
  <c r="AX536" i="4"/>
  <c r="AW536" i="4"/>
  <c r="AV536" i="4"/>
  <c r="AU536" i="4"/>
  <c r="AT536" i="4"/>
  <c r="AS536" i="4"/>
  <c r="AR536" i="4"/>
  <c r="AN536" i="4"/>
  <c r="AO536" i="4" s="1"/>
  <c r="B536" i="4"/>
  <c r="BW535" i="4"/>
  <c r="BV535" i="4"/>
  <c r="BU535" i="4"/>
  <c r="BT535" i="4"/>
  <c r="BS535" i="4"/>
  <c r="BR535" i="4"/>
  <c r="BQ535" i="4"/>
  <c r="BP535" i="4"/>
  <c r="BO535" i="4"/>
  <c r="BN535" i="4"/>
  <c r="BM535" i="4"/>
  <c r="BL535" i="4"/>
  <c r="BK535" i="4"/>
  <c r="BJ535" i="4"/>
  <c r="BI535" i="4"/>
  <c r="BH535" i="4"/>
  <c r="BG535" i="4"/>
  <c r="BF535" i="4"/>
  <c r="BE535" i="4"/>
  <c r="BD535" i="4"/>
  <c r="BC535" i="4"/>
  <c r="BB535" i="4"/>
  <c r="BA535" i="4"/>
  <c r="AZ535" i="4"/>
  <c r="AY535" i="4"/>
  <c r="AX535" i="4"/>
  <c r="AW535" i="4"/>
  <c r="AV535" i="4"/>
  <c r="AU535" i="4"/>
  <c r="AT535" i="4"/>
  <c r="AS535" i="4"/>
  <c r="AR535" i="4"/>
  <c r="AN535" i="4"/>
  <c r="AO535" i="4" s="1"/>
  <c r="B535" i="4"/>
  <c r="BW534" i="4"/>
  <c r="BV534" i="4"/>
  <c r="BU534" i="4"/>
  <c r="BT534" i="4"/>
  <c r="BS534" i="4"/>
  <c r="BR534" i="4"/>
  <c r="BQ534" i="4"/>
  <c r="BP534" i="4"/>
  <c r="BO534" i="4"/>
  <c r="BN534" i="4"/>
  <c r="BM534" i="4"/>
  <c r="BL534" i="4"/>
  <c r="BK534" i="4"/>
  <c r="BJ534" i="4"/>
  <c r="BI534" i="4"/>
  <c r="BH534" i="4"/>
  <c r="BG534" i="4"/>
  <c r="BF534" i="4"/>
  <c r="BE534" i="4"/>
  <c r="BD534" i="4"/>
  <c r="BC534" i="4"/>
  <c r="BB534" i="4"/>
  <c r="BA534" i="4"/>
  <c r="AZ534" i="4"/>
  <c r="AY534" i="4"/>
  <c r="AX534" i="4"/>
  <c r="AW534" i="4"/>
  <c r="AV534" i="4"/>
  <c r="AU534" i="4"/>
  <c r="AT534" i="4"/>
  <c r="AS534" i="4"/>
  <c r="AR534" i="4"/>
  <c r="AN534" i="4"/>
  <c r="AO534" i="4" s="1"/>
  <c r="B534" i="4"/>
  <c r="BW533" i="4"/>
  <c r="BV533" i="4"/>
  <c r="BU533" i="4"/>
  <c r="BT533" i="4"/>
  <c r="BS533" i="4"/>
  <c r="BR533" i="4"/>
  <c r="BQ533" i="4"/>
  <c r="BP533" i="4"/>
  <c r="BO533" i="4"/>
  <c r="BN533" i="4"/>
  <c r="BM533" i="4"/>
  <c r="BL533" i="4"/>
  <c r="BK533" i="4"/>
  <c r="BJ533" i="4"/>
  <c r="BI533" i="4"/>
  <c r="BH533" i="4"/>
  <c r="BG533" i="4"/>
  <c r="BF533" i="4"/>
  <c r="BE533" i="4"/>
  <c r="BD533" i="4"/>
  <c r="BC533" i="4"/>
  <c r="BB533" i="4"/>
  <c r="BA533" i="4"/>
  <c r="AZ533" i="4"/>
  <c r="AY533" i="4"/>
  <c r="AX533" i="4"/>
  <c r="AW533" i="4"/>
  <c r="AV533" i="4"/>
  <c r="AU533" i="4"/>
  <c r="AT533" i="4"/>
  <c r="AS533" i="4"/>
  <c r="AR533" i="4"/>
  <c r="AN533" i="4"/>
  <c r="AO533" i="4" s="1"/>
  <c r="B533" i="4"/>
  <c r="BW532" i="4"/>
  <c r="BV532" i="4"/>
  <c r="BU532" i="4"/>
  <c r="BT532" i="4"/>
  <c r="BS532" i="4"/>
  <c r="BR532" i="4"/>
  <c r="BQ532" i="4"/>
  <c r="BP532" i="4"/>
  <c r="BO532" i="4"/>
  <c r="BN532" i="4"/>
  <c r="BM532" i="4"/>
  <c r="BL532" i="4"/>
  <c r="BK532" i="4"/>
  <c r="BJ532" i="4"/>
  <c r="BI532" i="4"/>
  <c r="BH532" i="4"/>
  <c r="BG532" i="4"/>
  <c r="BF532" i="4"/>
  <c r="BE532" i="4"/>
  <c r="BD532" i="4"/>
  <c r="BC532" i="4"/>
  <c r="BB532" i="4"/>
  <c r="BA532" i="4"/>
  <c r="AZ532" i="4"/>
  <c r="AY532" i="4"/>
  <c r="AX532" i="4"/>
  <c r="AW532" i="4"/>
  <c r="AV532" i="4"/>
  <c r="AU532" i="4"/>
  <c r="AT532" i="4"/>
  <c r="AS532" i="4"/>
  <c r="AR532" i="4"/>
  <c r="AN532" i="4"/>
  <c r="AO532" i="4" s="1"/>
  <c r="B532" i="4"/>
  <c r="BW531" i="4"/>
  <c r="BV531" i="4"/>
  <c r="BU531" i="4"/>
  <c r="BT531" i="4"/>
  <c r="BS531" i="4"/>
  <c r="BR531" i="4"/>
  <c r="BQ531" i="4"/>
  <c r="BP531" i="4"/>
  <c r="BO531" i="4"/>
  <c r="BN531" i="4"/>
  <c r="BM531" i="4"/>
  <c r="BL531" i="4"/>
  <c r="BK531" i="4"/>
  <c r="BJ531" i="4"/>
  <c r="BI531" i="4"/>
  <c r="BH531" i="4"/>
  <c r="BG531" i="4"/>
  <c r="BF531" i="4"/>
  <c r="BE531" i="4"/>
  <c r="BD531" i="4"/>
  <c r="BC531" i="4"/>
  <c r="BB531" i="4"/>
  <c r="BA531" i="4"/>
  <c r="AZ531" i="4"/>
  <c r="AY531" i="4"/>
  <c r="AX531" i="4"/>
  <c r="AW531" i="4"/>
  <c r="AV531" i="4"/>
  <c r="AU531" i="4"/>
  <c r="AT531" i="4"/>
  <c r="AS531" i="4"/>
  <c r="AR531" i="4"/>
  <c r="AN531" i="4"/>
  <c r="AO531" i="4" s="1"/>
  <c r="B531" i="4"/>
  <c r="BW530" i="4"/>
  <c r="BV530" i="4"/>
  <c r="BU530" i="4"/>
  <c r="BT530" i="4"/>
  <c r="BS530" i="4"/>
  <c r="BR530" i="4"/>
  <c r="BQ530" i="4"/>
  <c r="BP530" i="4"/>
  <c r="BO530" i="4"/>
  <c r="BN530" i="4"/>
  <c r="BM530" i="4"/>
  <c r="BL530" i="4"/>
  <c r="BK530" i="4"/>
  <c r="BJ530" i="4"/>
  <c r="BI530" i="4"/>
  <c r="BH530" i="4"/>
  <c r="BG530" i="4"/>
  <c r="BF530" i="4"/>
  <c r="BE530" i="4"/>
  <c r="BD530" i="4"/>
  <c r="BC530" i="4"/>
  <c r="BB530" i="4"/>
  <c r="BA530" i="4"/>
  <c r="AZ530" i="4"/>
  <c r="AY530" i="4"/>
  <c r="AX530" i="4"/>
  <c r="AW530" i="4"/>
  <c r="AV530" i="4"/>
  <c r="AU530" i="4"/>
  <c r="AT530" i="4"/>
  <c r="AS530" i="4"/>
  <c r="AR530" i="4"/>
  <c r="AN530" i="4"/>
  <c r="AO530" i="4" s="1"/>
  <c r="B530" i="4"/>
  <c r="BW529" i="4"/>
  <c r="BV529" i="4"/>
  <c r="BU529" i="4"/>
  <c r="BT529" i="4"/>
  <c r="BS529" i="4"/>
  <c r="BR529" i="4"/>
  <c r="BQ529" i="4"/>
  <c r="BP529" i="4"/>
  <c r="BO529" i="4"/>
  <c r="BN529" i="4"/>
  <c r="BM529" i="4"/>
  <c r="BL529" i="4"/>
  <c r="BK529" i="4"/>
  <c r="BJ529" i="4"/>
  <c r="BI529" i="4"/>
  <c r="BH529" i="4"/>
  <c r="BG529" i="4"/>
  <c r="BF529" i="4"/>
  <c r="BE529" i="4"/>
  <c r="BD529" i="4"/>
  <c r="BC529" i="4"/>
  <c r="BB529" i="4"/>
  <c r="BA529" i="4"/>
  <c r="AZ529" i="4"/>
  <c r="AY529" i="4"/>
  <c r="AX529" i="4"/>
  <c r="AW529" i="4"/>
  <c r="AV529" i="4"/>
  <c r="AU529" i="4"/>
  <c r="AT529" i="4"/>
  <c r="AS529" i="4"/>
  <c r="AR529" i="4"/>
  <c r="AN529" i="4"/>
  <c r="AO529" i="4" s="1"/>
  <c r="B529" i="4"/>
  <c r="BW528" i="4"/>
  <c r="BV528" i="4"/>
  <c r="BU528" i="4"/>
  <c r="BT528" i="4"/>
  <c r="BS528" i="4"/>
  <c r="BR528" i="4"/>
  <c r="BQ528" i="4"/>
  <c r="BP528" i="4"/>
  <c r="BO528" i="4"/>
  <c r="BN528" i="4"/>
  <c r="BM528" i="4"/>
  <c r="BL528" i="4"/>
  <c r="BK528" i="4"/>
  <c r="BJ528" i="4"/>
  <c r="BI528" i="4"/>
  <c r="BH528" i="4"/>
  <c r="BG528" i="4"/>
  <c r="BF528" i="4"/>
  <c r="BE528" i="4"/>
  <c r="BD528" i="4"/>
  <c r="BC528" i="4"/>
  <c r="BB528" i="4"/>
  <c r="BA528" i="4"/>
  <c r="AZ528" i="4"/>
  <c r="AY528" i="4"/>
  <c r="AX528" i="4"/>
  <c r="AW528" i="4"/>
  <c r="AV528" i="4"/>
  <c r="AU528" i="4"/>
  <c r="AT528" i="4"/>
  <c r="AS528" i="4"/>
  <c r="AR528" i="4"/>
  <c r="AN528" i="4"/>
  <c r="AO528" i="4" s="1"/>
  <c r="B528" i="4"/>
  <c r="BW527" i="4"/>
  <c r="BV527" i="4"/>
  <c r="BU527" i="4"/>
  <c r="BT527" i="4"/>
  <c r="BS527" i="4"/>
  <c r="BR527" i="4"/>
  <c r="BQ527" i="4"/>
  <c r="BP527" i="4"/>
  <c r="BO527" i="4"/>
  <c r="BN527" i="4"/>
  <c r="BM527" i="4"/>
  <c r="BL527" i="4"/>
  <c r="BK527" i="4"/>
  <c r="BJ527" i="4"/>
  <c r="BI527" i="4"/>
  <c r="BH527" i="4"/>
  <c r="BG527" i="4"/>
  <c r="BF527" i="4"/>
  <c r="BE527" i="4"/>
  <c r="BD527" i="4"/>
  <c r="BC527" i="4"/>
  <c r="BB527" i="4"/>
  <c r="BA527" i="4"/>
  <c r="AZ527" i="4"/>
  <c r="AY527" i="4"/>
  <c r="AX527" i="4"/>
  <c r="AW527" i="4"/>
  <c r="AV527" i="4"/>
  <c r="AU527" i="4"/>
  <c r="AT527" i="4"/>
  <c r="AS527" i="4"/>
  <c r="AR527" i="4"/>
  <c r="AN527" i="4"/>
  <c r="AO527" i="4" s="1"/>
  <c r="B527" i="4"/>
  <c r="BW526" i="4"/>
  <c r="BV526" i="4"/>
  <c r="BU526" i="4"/>
  <c r="BT526" i="4"/>
  <c r="BS526" i="4"/>
  <c r="BR526" i="4"/>
  <c r="BQ526" i="4"/>
  <c r="BP526" i="4"/>
  <c r="BO526" i="4"/>
  <c r="BN526" i="4"/>
  <c r="BM526" i="4"/>
  <c r="BL526" i="4"/>
  <c r="BK526" i="4"/>
  <c r="BJ526" i="4"/>
  <c r="BI526" i="4"/>
  <c r="BH526" i="4"/>
  <c r="BG526" i="4"/>
  <c r="BF526" i="4"/>
  <c r="BE526" i="4"/>
  <c r="BD526" i="4"/>
  <c r="BC526" i="4"/>
  <c r="BB526" i="4"/>
  <c r="BA526" i="4"/>
  <c r="AZ526" i="4"/>
  <c r="AY526" i="4"/>
  <c r="AX526" i="4"/>
  <c r="AW526" i="4"/>
  <c r="AV526" i="4"/>
  <c r="AU526" i="4"/>
  <c r="AT526" i="4"/>
  <c r="AS526" i="4"/>
  <c r="AR526" i="4"/>
  <c r="AN526" i="4"/>
  <c r="AO526" i="4" s="1"/>
  <c r="B526" i="4"/>
  <c r="BW525" i="4"/>
  <c r="BV525" i="4"/>
  <c r="BU525" i="4"/>
  <c r="BT525" i="4"/>
  <c r="BS525" i="4"/>
  <c r="BR525" i="4"/>
  <c r="BQ525" i="4"/>
  <c r="BP525" i="4"/>
  <c r="BO525" i="4"/>
  <c r="BN525" i="4"/>
  <c r="BM525" i="4"/>
  <c r="BL525" i="4"/>
  <c r="BK525" i="4"/>
  <c r="BJ525" i="4"/>
  <c r="BI525" i="4"/>
  <c r="BH525" i="4"/>
  <c r="BG525" i="4"/>
  <c r="BF525" i="4"/>
  <c r="BE525" i="4"/>
  <c r="BD525" i="4"/>
  <c r="BC525" i="4"/>
  <c r="BB525" i="4"/>
  <c r="BA525" i="4"/>
  <c r="AZ525" i="4"/>
  <c r="AY525" i="4"/>
  <c r="AX525" i="4"/>
  <c r="AW525" i="4"/>
  <c r="AV525" i="4"/>
  <c r="AU525" i="4"/>
  <c r="AT525" i="4"/>
  <c r="AS525" i="4"/>
  <c r="AR525" i="4"/>
  <c r="AN525" i="4"/>
  <c r="AO525" i="4" s="1"/>
  <c r="B525" i="4"/>
  <c r="BW524" i="4"/>
  <c r="BV524" i="4"/>
  <c r="BU524" i="4"/>
  <c r="BT524" i="4"/>
  <c r="BS524" i="4"/>
  <c r="BR524" i="4"/>
  <c r="BQ524" i="4"/>
  <c r="BP524" i="4"/>
  <c r="BO524" i="4"/>
  <c r="BN524" i="4"/>
  <c r="BM524" i="4"/>
  <c r="BL524" i="4"/>
  <c r="BK524" i="4"/>
  <c r="BJ524" i="4"/>
  <c r="BI524" i="4"/>
  <c r="BH524" i="4"/>
  <c r="BG524" i="4"/>
  <c r="BF524" i="4"/>
  <c r="BE524" i="4"/>
  <c r="BD524" i="4"/>
  <c r="BC524" i="4"/>
  <c r="BB524" i="4"/>
  <c r="BA524" i="4"/>
  <c r="AZ524" i="4"/>
  <c r="AY524" i="4"/>
  <c r="AX524" i="4"/>
  <c r="AW524" i="4"/>
  <c r="AV524" i="4"/>
  <c r="AU524" i="4"/>
  <c r="AT524" i="4"/>
  <c r="AS524" i="4"/>
  <c r="AR524" i="4"/>
  <c r="B524" i="4"/>
  <c r="BW523" i="4"/>
  <c r="BV523" i="4"/>
  <c r="BU523" i="4"/>
  <c r="BT523" i="4"/>
  <c r="BS523" i="4"/>
  <c r="BR523" i="4"/>
  <c r="BQ523" i="4"/>
  <c r="BP523" i="4"/>
  <c r="BO523" i="4"/>
  <c r="BN523" i="4"/>
  <c r="BM523" i="4"/>
  <c r="BL523" i="4"/>
  <c r="BK523" i="4"/>
  <c r="BJ523" i="4"/>
  <c r="BI523" i="4"/>
  <c r="BH523" i="4"/>
  <c r="BG523" i="4"/>
  <c r="BF523" i="4"/>
  <c r="BE523" i="4"/>
  <c r="BD523" i="4"/>
  <c r="BC523" i="4"/>
  <c r="BB523" i="4"/>
  <c r="BA523" i="4"/>
  <c r="AZ523" i="4"/>
  <c r="AY523" i="4"/>
  <c r="AX523" i="4"/>
  <c r="AW523" i="4"/>
  <c r="AV523" i="4"/>
  <c r="AU523" i="4"/>
  <c r="AT523" i="4"/>
  <c r="AS523" i="4"/>
  <c r="AR523" i="4"/>
  <c r="B523" i="4"/>
  <c r="BW522" i="4"/>
  <c r="BV522" i="4"/>
  <c r="BU522" i="4"/>
  <c r="BT522" i="4"/>
  <c r="BS522" i="4"/>
  <c r="BR522" i="4"/>
  <c r="BQ522" i="4"/>
  <c r="BP522" i="4"/>
  <c r="BO522" i="4"/>
  <c r="BN522" i="4"/>
  <c r="BM522" i="4"/>
  <c r="BL522" i="4"/>
  <c r="BK522" i="4"/>
  <c r="BJ522" i="4"/>
  <c r="BI522" i="4"/>
  <c r="BH522" i="4"/>
  <c r="BG522" i="4"/>
  <c r="BF522" i="4"/>
  <c r="BE522" i="4"/>
  <c r="BD522" i="4"/>
  <c r="BC522" i="4"/>
  <c r="BB522" i="4"/>
  <c r="BA522" i="4"/>
  <c r="AZ522" i="4"/>
  <c r="AY522" i="4"/>
  <c r="AX522" i="4"/>
  <c r="AW522" i="4"/>
  <c r="AV522" i="4"/>
  <c r="AU522" i="4"/>
  <c r="AT522" i="4"/>
  <c r="AS522" i="4"/>
  <c r="AR522" i="4"/>
  <c r="AN522" i="4"/>
  <c r="AO522" i="4" s="1"/>
  <c r="B522" i="4"/>
  <c r="BW521" i="4"/>
  <c r="BV521" i="4"/>
  <c r="BU521" i="4"/>
  <c r="BT521" i="4"/>
  <c r="BS521" i="4"/>
  <c r="BR521" i="4"/>
  <c r="BQ521" i="4"/>
  <c r="BP521" i="4"/>
  <c r="BO521" i="4"/>
  <c r="BN521" i="4"/>
  <c r="BM521" i="4"/>
  <c r="BL521" i="4"/>
  <c r="BK521" i="4"/>
  <c r="BJ521" i="4"/>
  <c r="BI521" i="4"/>
  <c r="BH521" i="4"/>
  <c r="BG521" i="4"/>
  <c r="BF521" i="4"/>
  <c r="BE521" i="4"/>
  <c r="BD521" i="4"/>
  <c r="BC521" i="4"/>
  <c r="BB521" i="4"/>
  <c r="BA521" i="4"/>
  <c r="AZ521" i="4"/>
  <c r="AY521" i="4"/>
  <c r="AX521" i="4"/>
  <c r="AW521" i="4"/>
  <c r="AV521" i="4"/>
  <c r="AU521" i="4"/>
  <c r="AT521" i="4"/>
  <c r="AS521" i="4"/>
  <c r="AR521" i="4"/>
  <c r="AN521" i="4"/>
  <c r="AO521" i="4" s="1"/>
  <c r="B521" i="4"/>
  <c r="BW520" i="4"/>
  <c r="BV520" i="4"/>
  <c r="BU520" i="4"/>
  <c r="BT520" i="4"/>
  <c r="BS520" i="4"/>
  <c r="BR520" i="4"/>
  <c r="BQ520" i="4"/>
  <c r="BP520" i="4"/>
  <c r="BO520" i="4"/>
  <c r="BN520" i="4"/>
  <c r="BM520" i="4"/>
  <c r="BL520" i="4"/>
  <c r="BK520" i="4"/>
  <c r="BJ520" i="4"/>
  <c r="BI520" i="4"/>
  <c r="BH520" i="4"/>
  <c r="BG520" i="4"/>
  <c r="BF520" i="4"/>
  <c r="BE520" i="4"/>
  <c r="BD520" i="4"/>
  <c r="BC520" i="4"/>
  <c r="BB520" i="4"/>
  <c r="BA520" i="4"/>
  <c r="AZ520" i="4"/>
  <c r="AY520" i="4"/>
  <c r="AX520" i="4"/>
  <c r="AW520" i="4"/>
  <c r="AV520" i="4"/>
  <c r="AU520" i="4"/>
  <c r="AT520" i="4"/>
  <c r="AS520" i="4"/>
  <c r="AR520" i="4"/>
  <c r="AN520" i="4"/>
  <c r="AO520" i="4" s="1"/>
  <c r="B520" i="4"/>
  <c r="BW519" i="4"/>
  <c r="BV519" i="4"/>
  <c r="BU519" i="4"/>
  <c r="BT519" i="4"/>
  <c r="BS519" i="4"/>
  <c r="BR519" i="4"/>
  <c r="BQ519" i="4"/>
  <c r="BP519" i="4"/>
  <c r="BO519" i="4"/>
  <c r="BN519" i="4"/>
  <c r="BM519" i="4"/>
  <c r="BL519" i="4"/>
  <c r="BK519" i="4"/>
  <c r="BJ519" i="4"/>
  <c r="BI519" i="4"/>
  <c r="BH519" i="4"/>
  <c r="BG519" i="4"/>
  <c r="BF519" i="4"/>
  <c r="BE519" i="4"/>
  <c r="BD519" i="4"/>
  <c r="BC519" i="4"/>
  <c r="BB519" i="4"/>
  <c r="BA519" i="4"/>
  <c r="AZ519" i="4"/>
  <c r="AY519" i="4"/>
  <c r="AX519" i="4"/>
  <c r="AW519" i="4"/>
  <c r="AV519" i="4"/>
  <c r="AU519" i="4"/>
  <c r="AT519" i="4"/>
  <c r="AS519" i="4"/>
  <c r="AR519" i="4"/>
  <c r="AN519" i="4"/>
  <c r="AO519" i="4" s="1"/>
  <c r="B519" i="4"/>
  <c r="BW518" i="4"/>
  <c r="BV518" i="4"/>
  <c r="BU518" i="4"/>
  <c r="BT518" i="4"/>
  <c r="BS518" i="4"/>
  <c r="BR518" i="4"/>
  <c r="BQ518" i="4"/>
  <c r="BP518" i="4"/>
  <c r="BO518" i="4"/>
  <c r="BN518" i="4"/>
  <c r="BM518" i="4"/>
  <c r="BL518" i="4"/>
  <c r="BK518" i="4"/>
  <c r="BJ518" i="4"/>
  <c r="BI518" i="4"/>
  <c r="BH518" i="4"/>
  <c r="BG518" i="4"/>
  <c r="BF518" i="4"/>
  <c r="BE518" i="4"/>
  <c r="BD518" i="4"/>
  <c r="BC518" i="4"/>
  <c r="BB518" i="4"/>
  <c r="BA518" i="4"/>
  <c r="AZ518" i="4"/>
  <c r="AY518" i="4"/>
  <c r="AX518" i="4"/>
  <c r="AW518" i="4"/>
  <c r="AV518" i="4"/>
  <c r="AU518" i="4"/>
  <c r="AT518" i="4"/>
  <c r="AS518" i="4"/>
  <c r="AR518" i="4"/>
  <c r="AN518" i="4"/>
  <c r="AO518" i="4" s="1"/>
  <c r="B518" i="4"/>
  <c r="BW517" i="4"/>
  <c r="BV517" i="4"/>
  <c r="BU517" i="4"/>
  <c r="BT517" i="4"/>
  <c r="BS517" i="4"/>
  <c r="BR517" i="4"/>
  <c r="BQ517" i="4"/>
  <c r="BP517" i="4"/>
  <c r="BO517" i="4"/>
  <c r="BN517" i="4"/>
  <c r="BM517" i="4"/>
  <c r="BL517" i="4"/>
  <c r="BK517" i="4"/>
  <c r="BJ517" i="4"/>
  <c r="BI517" i="4"/>
  <c r="BH517" i="4"/>
  <c r="BG517" i="4"/>
  <c r="BF517" i="4"/>
  <c r="BE517" i="4"/>
  <c r="BD517" i="4"/>
  <c r="BC517" i="4"/>
  <c r="BB517" i="4"/>
  <c r="BA517" i="4"/>
  <c r="AZ517" i="4"/>
  <c r="AY517" i="4"/>
  <c r="AX517" i="4"/>
  <c r="AW517" i="4"/>
  <c r="AV517" i="4"/>
  <c r="AU517" i="4"/>
  <c r="AT517" i="4"/>
  <c r="AS517" i="4"/>
  <c r="AR517" i="4"/>
  <c r="AN517" i="4"/>
  <c r="AO517" i="4" s="1"/>
  <c r="B517" i="4"/>
  <c r="BW516" i="4"/>
  <c r="BV516" i="4"/>
  <c r="BU516" i="4"/>
  <c r="BT516" i="4"/>
  <c r="BS516" i="4"/>
  <c r="BR516" i="4"/>
  <c r="BQ516" i="4"/>
  <c r="BP516" i="4"/>
  <c r="BO516" i="4"/>
  <c r="BN516" i="4"/>
  <c r="BM516" i="4"/>
  <c r="BL516" i="4"/>
  <c r="BK516" i="4"/>
  <c r="BJ516" i="4"/>
  <c r="BI516" i="4"/>
  <c r="BH516" i="4"/>
  <c r="BG516" i="4"/>
  <c r="BF516" i="4"/>
  <c r="BE516" i="4"/>
  <c r="BD516" i="4"/>
  <c r="BC516" i="4"/>
  <c r="BB516" i="4"/>
  <c r="BA516" i="4"/>
  <c r="AZ516" i="4"/>
  <c r="AY516" i="4"/>
  <c r="AX516" i="4"/>
  <c r="AW516" i="4"/>
  <c r="AV516" i="4"/>
  <c r="AU516" i="4"/>
  <c r="AT516" i="4"/>
  <c r="AS516" i="4"/>
  <c r="AR516" i="4"/>
  <c r="AN516" i="4"/>
  <c r="AO516" i="4" s="1"/>
  <c r="B516" i="4"/>
  <c r="BW515" i="4"/>
  <c r="BV515" i="4"/>
  <c r="BU515" i="4"/>
  <c r="BT515" i="4"/>
  <c r="BS515" i="4"/>
  <c r="BR515" i="4"/>
  <c r="BQ515" i="4"/>
  <c r="BP515" i="4"/>
  <c r="BO515" i="4"/>
  <c r="BN515" i="4"/>
  <c r="BM515" i="4"/>
  <c r="BL515" i="4"/>
  <c r="BK515" i="4"/>
  <c r="BJ515" i="4"/>
  <c r="BI515" i="4"/>
  <c r="BH515" i="4"/>
  <c r="BG515" i="4"/>
  <c r="BF515" i="4"/>
  <c r="BE515" i="4"/>
  <c r="BD515" i="4"/>
  <c r="BC515" i="4"/>
  <c r="BB515" i="4"/>
  <c r="BA515" i="4"/>
  <c r="AZ515" i="4"/>
  <c r="AY515" i="4"/>
  <c r="AX515" i="4"/>
  <c r="AW515" i="4"/>
  <c r="AV515" i="4"/>
  <c r="AU515" i="4"/>
  <c r="AT515" i="4"/>
  <c r="AS515" i="4"/>
  <c r="AR515" i="4"/>
  <c r="AN515" i="4"/>
  <c r="AO515" i="4" s="1"/>
  <c r="B515" i="4"/>
  <c r="BW616" i="4"/>
  <c r="BV616" i="4"/>
  <c r="BU616" i="4"/>
  <c r="BT616" i="4"/>
  <c r="BS616" i="4"/>
  <c r="BR616" i="4"/>
  <c r="BQ616" i="4"/>
  <c r="BP616" i="4"/>
  <c r="BO616" i="4"/>
  <c r="BN616" i="4"/>
  <c r="BM616" i="4"/>
  <c r="BL616" i="4"/>
  <c r="BK616" i="4"/>
  <c r="BJ616" i="4"/>
  <c r="BI616" i="4"/>
  <c r="BH616" i="4"/>
  <c r="BG616" i="4"/>
  <c r="BF616" i="4"/>
  <c r="BE616" i="4"/>
  <c r="BD616" i="4"/>
  <c r="BC616" i="4"/>
  <c r="BB616" i="4"/>
  <c r="BA616" i="4"/>
  <c r="AZ616" i="4"/>
  <c r="AY616" i="4"/>
  <c r="AX616" i="4"/>
  <c r="AW616" i="4"/>
  <c r="AV616" i="4"/>
  <c r="AU616" i="4"/>
  <c r="AT616" i="4"/>
  <c r="AS616" i="4"/>
  <c r="AR616" i="4"/>
  <c r="AN616" i="4"/>
  <c r="AO616" i="4" s="1"/>
  <c r="B616" i="4"/>
  <c r="BW615" i="4"/>
  <c r="BV615" i="4"/>
  <c r="BU615" i="4"/>
  <c r="BT615" i="4"/>
  <c r="BS615" i="4"/>
  <c r="BR615" i="4"/>
  <c r="BQ615" i="4"/>
  <c r="BP615" i="4"/>
  <c r="BO615" i="4"/>
  <c r="BN615" i="4"/>
  <c r="BM615" i="4"/>
  <c r="BL615" i="4"/>
  <c r="BK615" i="4"/>
  <c r="BJ615" i="4"/>
  <c r="BI615" i="4"/>
  <c r="BH615" i="4"/>
  <c r="BG615" i="4"/>
  <c r="BF615" i="4"/>
  <c r="BE615" i="4"/>
  <c r="BD615" i="4"/>
  <c r="BC615" i="4"/>
  <c r="BB615" i="4"/>
  <c r="BA615" i="4"/>
  <c r="AZ615" i="4"/>
  <c r="AY615" i="4"/>
  <c r="AX615" i="4"/>
  <c r="AW615" i="4"/>
  <c r="AV615" i="4"/>
  <c r="AU615" i="4"/>
  <c r="AT615" i="4"/>
  <c r="AS615" i="4"/>
  <c r="AR615" i="4"/>
  <c r="AN615" i="4"/>
  <c r="AO615" i="4" s="1"/>
  <c r="B615" i="4"/>
  <c r="BW614" i="4"/>
  <c r="BV614" i="4"/>
  <c r="BU614" i="4"/>
  <c r="BT614" i="4"/>
  <c r="BS614" i="4"/>
  <c r="BR614" i="4"/>
  <c r="BQ614" i="4"/>
  <c r="BP614" i="4"/>
  <c r="BO614" i="4"/>
  <c r="BN614" i="4"/>
  <c r="BM614" i="4"/>
  <c r="BL614" i="4"/>
  <c r="BK614" i="4"/>
  <c r="BJ614" i="4"/>
  <c r="BI614" i="4"/>
  <c r="BH614" i="4"/>
  <c r="BG614" i="4"/>
  <c r="BF614" i="4"/>
  <c r="BE614" i="4"/>
  <c r="BD614" i="4"/>
  <c r="BC614" i="4"/>
  <c r="BB614" i="4"/>
  <c r="BA614" i="4"/>
  <c r="AZ614" i="4"/>
  <c r="AY614" i="4"/>
  <c r="AX614" i="4"/>
  <c r="AW614" i="4"/>
  <c r="AV614" i="4"/>
  <c r="AU614" i="4"/>
  <c r="AT614" i="4"/>
  <c r="AS614" i="4"/>
  <c r="AR614" i="4"/>
  <c r="AN614" i="4"/>
  <c r="AO614" i="4" s="1"/>
  <c r="B614" i="4"/>
  <c r="BW613" i="4"/>
  <c r="BV613" i="4"/>
  <c r="BU613" i="4"/>
  <c r="BT613" i="4"/>
  <c r="BS613" i="4"/>
  <c r="BR613" i="4"/>
  <c r="BQ613" i="4"/>
  <c r="BP613" i="4"/>
  <c r="BO613" i="4"/>
  <c r="BN613" i="4"/>
  <c r="BM613" i="4"/>
  <c r="BL613" i="4"/>
  <c r="BK613" i="4"/>
  <c r="BJ613" i="4"/>
  <c r="BI613" i="4"/>
  <c r="BH613" i="4"/>
  <c r="BG613" i="4"/>
  <c r="BF613" i="4"/>
  <c r="BE613" i="4"/>
  <c r="BD613" i="4"/>
  <c r="BC613" i="4"/>
  <c r="BB613" i="4"/>
  <c r="BA613" i="4"/>
  <c r="AZ613" i="4"/>
  <c r="AY613" i="4"/>
  <c r="AX613" i="4"/>
  <c r="AW613" i="4"/>
  <c r="AV613" i="4"/>
  <c r="AU613" i="4"/>
  <c r="AT613" i="4"/>
  <c r="AS613" i="4"/>
  <c r="AR613" i="4"/>
  <c r="AN613" i="4"/>
  <c r="AO613" i="4" s="1"/>
  <c r="B613" i="4"/>
  <c r="BW612" i="4"/>
  <c r="BV612" i="4"/>
  <c r="BU612" i="4"/>
  <c r="BT612" i="4"/>
  <c r="BS612" i="4"/>
  <c r="BR612" i="4"/>
  <c r="BQ612" i="4"/>
  <c r="BP612" i="4"/>
  <c r="BO612" i="4"/>
  <c r="BN612" i="4"/>
  <c r="BM612" i="4"/>
  <c r="BL612" i="4"/>
  <c r="BK612" i="4"/>
  <c r="BJ612" i="4"/>
  <c r="BI612" i="4"/>
  <c r="BH612" i="4"/>
  <c r="BG612" i="4"/>
  <c r="BF612" i="4"/>
  <c r="BE612" i="4"/>
  <c r="BD612" i="4"/>
  <c r="BC612" i="4"/>
  <c r="BB612" i="4"/>
  <c r="BA612" i="4"/>
  <c r="AZ612" i="4"/>
  <c r="AY612" i="4"/>
  <c r="AX612" i="4"/>
  <c r="AW612" i="4"/>
  <c r="AV612" i="4"/>
  <c r="AU612" i="4"/>
  <c r="AT612" i="4"/>
  <c r="AS612" i="4"/>
  <c r="AR612" i="4"/>
  <c r="AN612" i="4"/>
  <c r="AO612" i="4" s="1"/>
  <c r="B612" i="4"/>
  <c r="BW611" i="4"/>
  <c r="BV611" i="4"/>
  <c r="BU611" i="4"/>
  <c r="BT611" i="4"/>
  <c r="BS611" i="4"/>
  <c r="BR611" i="4"/>
  <c r="BQ611" i="4"/>
  <c r="BP611" i="4"/>
  <c r="BO611" i="4"/>
  <c r="BN611" i="4"/>
  <c r="BM611" i="4"/>
  <c r="BL611" i="4"/>
  <c r="BK611" i="4"/>
  <c r="BJ611" i="4"/>
  <c r="BI611" i="4"/>
  <c r="BH611" i="4"/>
  <c r="BG611" i="4"/>
  <c r="BF611" i="4"/>
  <c r="BE611" i="4"/>
  <c r="BD611" i="4"/>
  <c r="BC611" i="4"/>
  <c r="BB611" i="4"/>
  <c r="BA611" i="4"/>
  <c r="AZ611" i="4"/>
  <c r="AY611" i="4"/>
  <c r="AX611" i="4"/>
  <c r="AW611" i="4"/>
  <c r="AV611" i="4"/>
  <c r="AU611" i="4"/>
  <c r="AT611" i="4"/>
  <c r="AS611" i="4"/>
  <c r="AR611" i="4"/>
  <c r="AN611" i="4"/>
  <c r="AO611" i="4" s="1"/>
  <c r="B611" i="4"/>
  <c r="BW610" i="4"/>
  <c r="BV610" i="4"/>
  <c r="BU610" i="4"/>
  <c r="BT610" i="4"/>
  <c r="BS610" i="4"/>
  <c r="BR610" i="4"/>
  <c r="BQ610" i="4"/>
  <c r="BP610" i="4"/>
  <c r="BO610" i="4"/>
  <c r="BN610" i="4"/>
  <c r="BM610" i="4"/>
  <c r="BL610" i="4"/>
  <c r="BK610" i="4"/>
  <c r="BJ610" i="4"/>
  <c r="BI610" i="4"/>
  <c r="BH610" i="4"/>
  <c r="BG610" i="4"/>
  <c r="BF610" i="4"/>
  <c r="BE610" i="4"/>
  <c r="BD610" i="4"/>
  <c r="BC610" i="4"/>
  <c r="BB610" i="4"/>
  <c r="BA610" i="4"/>
  <c r="AZ610" i="4"/>
  <c r="AY610" i="4"/>
  <c r="AX610" i="4"/>
  <c r="AW610" i="4"/>
  <c r="AV610" i="4"/>
  <c r="AU610" i="4"/>
  <c r="AT610" i="4"/>
  <c r="AS610" i="4"/>
  <c r="AR610" i="4"/>
  <c r="AN610" i="4"/>
  <c r="AO610" i="4" s="1"/>
  <c r="B610" i="4"/>
  <c r="BW609" i="4"/>
  <c r="BV609" i="4"/>
  <c r="BU609" i="4"/>
  <c r="BT609" i="4"/>
  <c r="BS609" i="4"/>
  <c r="BR609" i="4"/>
  <c r="BQ609" i="4"/>
  <c r="BP609" i="4"/>
  <c r="BO609" i="4"/>
  <c r="BN609" i="4"/>
  <c r="BM609" i="4"/>
  <c r="BL609" i="4"/>
  <c r="BK609" i="4"/>
  <c r="BJ609" i="4"/>
  <c r="BI609" i="4"/>
  <c r="BH609" i="4"/>
  <c r="BG609" i="4"/>
  <c r="BF609" i="4"/>
  <c r="BE609" i="4"/>
  <c r="BD609" i="4"/>
  <c r="BC609" i="4"/>
  <c r="BB609" i="4"/>
  <c r="BA609" i="4"/>
  <c r="AZ609" i="4"/>
  <c r="AY609" i="4"/>
  <c r="AX609" i="4"/>
  <c r="AW609" i="4"/>
  <c r="AV609" i="4"/>
  <c r="AU609" i="4"/>
  <c r="AT609" i="4"/>
  <c r="AS609" i="4"/>
  <c r="AR609" i="4"/>
  <c r="AN609" i="4"/>
  <c r="AO609" i="4" s="1"/>
  <c r="B609" i="4"/>
  <c r="BW608" i="4"/>
  <c r="BV608" i="4"/>
  <c r="BU608" i="4"/>
  <c r="BT608" i="4"/>
  <c r="BS608" i="4"/>
  <c r="BR608" i="4"/>
  <c r="BQ608" i="4"/>
  <c r="BP608" i="4"/>
  <c r="BO608" i="4"/>
  <c r="BN608" i="4"/>
  <c r="BM608" i="4"/>
  <c r="BL608" i="4"/>
  <c r="BK608" i="4"/>
  <c r="BJ608" i="4"/>
  <c r="BI608" i="4"/>
  <c r="BH608" i="4"/>
  <c r="BG608" i="4"/>
  <c r="BF608" i="4"/>
  <c r="BE608" i="4"/>
  <c r="BD608" i="4"/>
  <c r="BC608" i="4"/>
  <c r="BB608" i="4"/>
  <c r="BA608" i="4"/>
  <c r="AZ608" i="4"/>
  <c r="AY608" i="4"/>
  <c r="AX608" i="4"/>
  <c r="AW608" i="4"/>
  <c r="AV608" i="4"/>
  <c r="AU608" i="4"/>
  <c r="AT608" i="4"/>
  <c r="AS608" i="4"/>
  <c r="AR608" i="4"/>
  <c r="AN608" i="4"/>
  <c r="AO608" i="4" s="1"/>
  <c r="B608" i="4"/>
  <c r="BW607" i="4"/>
  <c r="BV607" i="4"/>
  <c r="BU607" i="4"/>
  <c r="BT607" i="4"/>
  <c r="BS607" i="4"/>
  <c r="BR607" i="4"/>
  <c r="BQ607" i="4"/>
  <c r="BP607" i="4"/>
  <c r="BO607" i="4"/>
  <c r="BN607" i="4"/>
  <c r="BM607" i="4"/>
  <c r="BL607" i="4"/>
  <c r="BK607" i="4"/>
  <c r="BJ607" i="4"/>
  <c r="BI607" i="4"/>
  <c r="BH607" i="4"/>
  <c r="BG607" i="4"/>
  <c r="BF607" i="4"/>
  <c r="BE607" i="4"/>
  <c r="BD607" i="4"/>
  <c r="BC607" i="4"/>
  <c r="BB607" i="4"/>
  <c r="BA607" i="4"/>
  <c r="AZ607" i="4"/>
  <c r="AY607" i="4"/>
  <c r="AX607" i="4"/>
  <c r="AW607" i="4"/>
  <c r="AV607" i="4"/>
  <c r="AU607" i="4"/>
  <c r="AT607" i="4"/>
  <c r="AS607" i="4"/>
  <c r="AR607" i="4"/>
  <c r="B607" i="4"/>
  <c r="BW606" i="4"/>
  <c r="BV606" i="4"/>
  <c r="BU606" i="4"/>
  <c r="BT606" i="4"/>
  <c r="BS606" i="4"/>
  <c r="BR606" i="4"/>
  <c r="BQ606" i="4"/>
  <c r="BP606" i="4"/>
  <c r="BO606" i="4"/>
  <c r="BN606" i="4"/>
  <c r="BM606" i="4"/>
  <c r="BL606" i="4"/>
  <c r="BK606" i="4"/>
  <c r="BJ606" i="4"/>
  <c r="BI606" i="4"/>
  <c r="BH606" i="4"/>
  <c r="BG606" i="4"/>
  <c r="BF606" i="4"/>
  <c r="BE606" i="4"/>
  <c r="BD606" i="4"/>
  <c r="BC606" i="4"/>
  <c r="BB606" i="4"/>
  <c r="BA606" i="4"/>
  <c r="AZ606" i="4"/>
  <c r="AY606" i="4"/>
  <c r="AX606" i="4"/>
  <c r="AW606" i="4"/>
  <c r="AV606" i="4"/>
  <c r="AU606" i="4"/>
  <c r="AT606" i="4"/>
  <c r="AS606" i="4"/>
  <c r="AR606" i="4"/>
  <c r="AN606" i="4"/>
  <c r="AO606" i="4" s="1"/>
  <c r="B606" i="4"/>
  <c r="BW605" i="4"/>
  <c r="BV605" i="4"/>
  <c r="BU605" i="4"/>
  <c r="BT605" i="4"/>
  <c r="BS605" i="4"/>
  <c r="BR605" i="4"/>
  <c r="BQ605" i="4"/>
  <c r="BP605" i="4"/>
  <c r="BO605" i="4"/>
  <c r="BN605" i="4"/>
  <c r="BM605" i="4"/>
  <c r="BL605" i="4"/>
  <c r="BK605" i="4"/>
  <c r="BJ605" i="4"/>
  <c r="BI605" i="4"/>
  <c r="BH605" i="4"/>
  <c r="BG605" i="4"/>
  <c r="BF605" i="4"/>
  <c r="BE605" i="4"/>
  <c r="BD605" i="4"/>
  <c r="BC605" i="4"/>
  <c r="BB605" i="4"/>
  <c r="BA605" i="4"/>
  <c r="AZ605" i="4"/>
  <c r="AY605" i="4"/>
  <c r="AX605" i="4"/>
  <c r="AW605" i="4"/>
  <c r="AV605" i="4"/>
  <c r="AU605" i="4"/>
  <c r="AT605" i="4"/>
  <c r="AS605" i="4"/>
  <c r="AR605" i="4"/>
  <c r="AN605" i="4"/>
  <c r="AO605" i="4" s="1"/>
  <c r="B605" i="4"/>
  <c r="BW604" i="4"/>
  <c r="BV604" i="4"/>
  <c r="BU604" i="4"/>
  <c r="BT604" i="4"/>
  <c r="BS604" i="4"/>
  <c r="BR604" i="4"/>
  <c r="BQ604" i="4"/>
  <c r="BP604" i="4"/>
  <c r="BO604" i="4"/>
  <c r="BN604" i="4"/>
  <c r="BM604" i="4"/>
  <c r="BL604" i="4"/>
  <c r="BK604" i="4"/>
  <c r="BJ604" i="4"/>
  <c r="BI604" i="4"/>
  <c r="BH604" i="4"/>
  <c r="BG604" i="4"/>
  <c r="BF604" i="4"/>
  <c r="BE604" i="4"/>
  <c r="BD604" i="4"/>
  <c r="BC604" i="4"/>
  <c r="BB604" i="4"/>
  <c r="BA604" i="4"/>
  <c r="AZ604" i="4"/>
  <c r="AY604" i="4"/>
  <c r="AX604" i="4"/>
  <c r="AW604" i="4"/>
  <c r="AV604" i="4"/>
  <c r="AU604" i="4"/>
  <c r="AT604" i="4"/>
  <c r="AS604" i="4"/>
  <c r="AR604" i="4"/>
  <c r="AN604" i="4"/>
  <c r="AO604" i="4" s="1"/>
  <c r="B604" i="4"/>
  <c r="BW603" i="4"/>
  <c r="BV603" i="4"/>
  <c r="BU603" i="4"/>
  <c r="BT603" i="4"/>
  <c r="BS603" i="4"/>
  <c r="BR603" i="4"/>
  <c r="BQ603" i="4"/>
  <c r="BP603" i="4"/>
  <c r="BO603" i="4"/>
  <c r="BN603" i="4"/>
  <c r="BM603" i="4"/>
  <c r="BL603" i="4"/>
  <c r="BK603" i="4"/>
  <c r="BJ603" i="4"/>
  <c r="BI603" i="4"/>
  <c r="BH603" i="4"/>
  <c r="BG603" i="4"/>
  <c r="BF603" i="4"/>
  <c r="BE603" i="4"/>
  <c r="BD603" i="4"/>
  <c r="BC603" i="4"/>
  <c r="BB603" i="4"/>
  <c r="BA603" i="4"/>
  <c r="AZ603" i="4"/>
  <c r="AY603" i="4"/>
  <c r="AX603" i="4"/>
  <c r="AW603" i="4"/>
  <c r="AV603" i="4"/>
  <c r="AU603" i="4"/>
  <c r="AT603" i="4"/>
  <c r="AS603" i="4"/>
  <c r="AR603" i="4"/>
  <c r="AN603" i="4"/>
  <c r="AO603" i="4" s="1"/>
  <c r="B603" i="4"/>
  <c r="BW602" i="4"/>
  <c r="BV602" i="4"/>
  <c r="BU602" i="4"/>
  <c r="BT602" i="4"/>
  <c r="BS602" i="4"/>
  <c r="BR602" i="4"/>
  <c r="BQ602" i="4"/>
  <c r="BP602" i="4"/>
  <c r="BO602" i="4"/>
  <c r="BN602" i="4"/>
  <c r="BM602" i="4"/>
  <c r="BL602" i="4"/>
  <c r="BK602" i="4"/>
  <c r="BJ602" i="4"/>
  <c r="BI602" i="4"/>
  <c r="BH602" i="4"/>
  <c r="BG602" i="4"/>
  <c r="BF602" i="4"/>
  <c r="BE602" i="4"/>
  <c r="BD602" i="4"/>
  <c r="BC602" i="4"/>
  <c r="BB602" i="4"/>
  <c r="BA602" i="4"/>
  <c r="AZ602" i="4"/>
  <c r="AY602" i="4"/>
  <c r="AX602" i="4"/>
  <c r="AW602" i="4"/>
  <c r="AV602" i="4"/>
  <c r="AU602" i="4"/>
  <c r="AT602" i="4"/>
  <c r="AS602" i="4"/>
  <c r="AR602" i="4"/>
  <c r="AN602" i="4"/>
  <c r="AO602" i="4" s="1"/>
  <c r="B602" i="4"/>
  <c r="BW601" i="4"/>
  <c r="BV601" i="4"/>
  <c r="BU601" i="4"/>
  <c r="BT601" i="4"/>
  <c r="BS601" i="4"/>
  <c r="BR601" i="4"/>
  <c r="BQ601" i="4"/>
  <c r="BP601" i="4"/>
  <c r="BO601" i="4"/>
  <c r="BN601" i="4"/>
  <c r="BM601" i="4"/>
  <c r="BL601" i="4"/>
  <c r="BK601" i="4"/>
  <c r="BJ601" i="4"/>
  <c r="BI601" i="4"/>
  <c r="BH601" i="4"/>
  <c r="BG601" i="4"/>
  <c r="BF601" i="4"/>
  <c r="BE601" i="4"/>
  <c r="BD601" i="4"/>
  <c r="BC601" i="4"/>
  <c r="BB601" i="4"/>
  <c r="BA601" i="4"/>
  <c r="AZ601" i="4"/>
  <c r="AY601" i="4"/>
  <c r="AX601" i="4"/>
  <c r="AW601" i="4"/>
  <c r="AV601" i="4"/>
  <c r="AU601" i="4"/>
  <c r="AT601" i="4"/>
  <c r="AS601" i="4"/>
  <c r="AR601" i="4"/>
  <c r="AN601" i="4"/>
  <c r="AO601" i="4" s="1"/>
  <c r="B601" i="4"/>
  <c r="BW600" i="4"/>
  <c r="BV600" i="4"/>
  <c r="BU600" i="4"/>
  <c r="BT600" i="4"/>
  <c r="BS600" i="4"/>
  <c r="BR600" i="4"/>
  <c r="BQ600" i="4"/>
  <c r="BP600" i="4"/>
  <c r="BO600" i="4"/>
  <c r="BN600" i="4"/>
  <c r="BM600" i="4"/>
  <c r="BL600" i="4"/>
  <c r="BK600" i="4"/>
  <c r="BJ600" i="4"/>
  <c r="BI600" i="4"/>
  <c r="BH600" i="4"/>
  <c r="BG600" i="4"/>
  <c r="BF600" i="4"/>
  <c r="BE600" i="4"/>
  <c r="BD600" i="4"/>
  <c r="BC600" i="4"/>
  <c r="BB600" i="4"/>
  <c r="BA600" i="4"/>
  <c r="AZ600" i="4"/>
  <c r="AY600" i="4"/>
  <c r="AX600" i="4"/>
  <c r="AW600" i="4"/>
  <c r="AV600" i="4"/>
  <c r="AU600" i="4"/>
  <c r="AT600" i="4"/>
  <c r="AS600" i="4"/>
  <c r="AR600" i="4"/>
  <c r="AN600" i="4"/>
  <c r="AO600" i="4" s="1"/>
  <c r="B600" i="4"/>
  <c r="BW599" i="4"/>
  <c r="BV599" i="4"/>
  <c r="BU599" i="4"/>
  <c r="BT599" i="4"/>
  <c r="BS599" i="4"/>
  <c r="BR599" i="4"/>
  <c r="BQ599" i="4"/>
  <c r="BP599" i="4"/>
  <c r="BO599" i="4"/>
  <c r="BN599" i="4"/>
  <c r="BM599" i="4"/>
  <c r="BL599" i="4"/>
  <c r="BK599" i="4"/>
  <c r="BJ599" i="4"/>
  <c r="BI599" i="4"/>
  <c r="BH599" i="4"/>
  <c r="BG599" i="4"/>
  <c r="BF599" i="4"/>
  <c r="BE599" i="4"/>
  <c r="BD599" i="4"/>
  <c r="BC599" i="4"/>
  <c r="BB599" i="4"/>
  <c r="BA599" i="4"/>
  <c r="AZ599" i="4"/>
  <c r="AY599" i="4"/>
  <c r="AX599" i="4"/>
  <c r="AW599" i="4"/>
  <c r="AV599" i="4"/>
  <c r="AU599" i="4"/>
  <c r="AT599" i="4"/>
  <c r="AS599" i="4"/>
  <c r="AR599" i="4"/>
  <c r="AN599" i="4"/>
  <c r="AO599" i="4" s="1"/>
  <c r="B599" i="4"/>
  <c r="BW598" i="4"/>
  <c r="BV598" i="4"/>
  <c r="BU598" i="4"/>
  <c r="BT598" i="4"/>
  <c r="BS598" i="4"/>
  <c r="BR598" i="4"/>
  <c r="BQ598" i="4"/>
  <c r="BP598" i="4"/>
  <c r="BO598" i="4"/>
  <c r="BN598" i="4"/>
  <c r="BM598" i="4"/>
  <c r="BL598" i="4"/>
  <c r="BK598" i="4"/>
  <c r="BJ598" i="4"/>
  <c r="BI598" i="4"/>
  <c r="BH598" i="4"/>
  <c r="BG598" i="4"/>
  <c r="BF598" i="4"/>
  <c r="BE598" i="4"/>
  <c r="BD598" i="4"/>
  <c r="BC598" i="4"/>
  <c r="BB598" i="4"/>
  <c r="BA598" i="4"/>
  <c r="AZ598" i="4"/>
  <c r="AY598" i="4"/>
  <c r="AX598" i="4"/>
  <c r="AW598" i="4"/>
  <c r="AV598" i="4"/>
  <c r="AU598" i="4"/>
  <c r="AT598" i="4"/>
  <c r="AS598" i="4"/>
  <c r="AR598" i="4"/>
  <c r="AN598" i="4"/>
  <c r="AO598" i="4" s="1"/>
  <c r="B598" i="4"/>
  <c r="BW597" i="4"/>
  <c r="BV597" i="4"/>
  <c r="BU597" i="4"/>
  <c r="BT597" i="4"/>
  <c r="BS597" i="4"/>
  <c r="BR597" i="4"/>
  <c r="BQ597" i="4"/>
  <c r="BP597" i="4"/>
  <c r="BO597" i="4"/>
  <c r="BN597" i="4"/>
  <c r="BM597" i="4"/>
  <c r="BL597" i="4"/>
  <c r="BK597" i="4"/>
  <c r="BJ597" i="4"/>
  <c r="BI597" i="4"/>
  <c r="BH597" i="4"/>
  <c r="BG597" i="4"/>
  <c r="BF597" i="4"/>
  <c r="BE597" i="4"/>
  <c r="BD597" i="4"/>
  <c r="BC597" i="4"/>
  <c r="BB597" i="4"/>
  <c r="BA597" i="4"/>
  <c r="AZ597" i="4"/>
  <c r="AY597" i="4"/>
  <c r="AX597" i="4"/>
  <c r="AW597" i="4"/>
  <c r="AV597" i="4"/>
  <c r="AU597" i="4"/>
  <c r="AT597" i="4"/>
  <c r="AS597" i="4"/>
  <c r="AR597" i="4"/>
  <c r="AN597" i="4"/>
  <c r="AO597" i="4" s="1"/>
  <c r="B597" i="4"/>
  <c r="BW596" i="4"/>
  <c r="BV596" i="4"/>
  <c r="BU596" i="4"/>
  <c r="BT596" i="4"/>
  <c r="BS596" i="4"/>
  <c r="BR596" i="4"/>
  <c r="BQ596" i="4"/>
  <c r="BP596" i="4"/>
  <c r="BO596" i="4"/>
  <c r="BN596" i="4"/>
  <c r="BM596" i="4"/>
  <c r="BL596" i="4"/>
  <c r="BK596" i="4"/>
  <c r="BJ596" i="4"/>
  <c r="BI596" i="4"/>
  <c r="BH596" i="4"/>
  <c r="BG596" i="4"/>
  <c r="BF596" i="4"/>
  <c r="BE596" i="4"/>
  <c r="BD596" i="4"/>
  <c r="BC596" i="4"/>
  <c r="BB596" i="4"/>
  <c r="BA596" i="4"/>
  <c r="AZ596" i="4"/>
  <c r="AY596" i="4"/>
  <c r="AX596" i="4"/>
  <c r="AW596" i="4"/>
  <c r="AV596" i="4"/>
  <c r="AU596" i="4"/>
  <c r="AT596" i="4"/>
  <c r="AS596" i="4"/>
  <c r="AR596" i="4"/>
  <c r="B596" i="4"/>
  <c r="BW595" i="4"/>
  <c r="BV595" i="4"/>
  <c r="BU595" i="4"/>
  <c r="BT595" i="4"/>
  <c r="BS595" i="4"/>
  <c r="BR595" i="4"/>
  <c r="BQ595" i="4"/>
  <c r="BP595" i="4"/>
  <c r="BO595" i="4"/>
  <c r="BN595" i="4"/>
  <c r="BM595" i="4"/>
  <c r="BL595" i="4"/>
  <c r="BK595" i="4"/>
  <c r="BJ595" i="4"/>
  <c r="BI595" i="4"/>
  <c r="BH595" i="4"/>
  <c r="BG595" i="4"/>
  <c r="BF595" i="4"/>
  <c r="BE595" i="4"/>
  <c r="BD595" i="4"/>
  <c r="BC595" i="4"/>
  <c r="BB595" i="4"/>
  <c r="BA595" i="4"/>
  <c r="AZ595" i="4"/>
  <c r="AY595" i="4"/>
  <c r="AX595" i="4"/>
  <c r="AW595" i="4"/>
  <c r="AV595" i="4"/>
  <c r="AU595" i="4"/>
  <c r="AT595" i="4"/>
  <c r="AS595" i="4"/>
  <c r="AR595" i="4"/>
  <c r="B595" i="4"/>
  <c r="BW594" i="4"/>
  <c r="BV594" i="4"/>
  <c r="BU594" i="4"/>
  <c r="BT594" i="4"/>
  <c r="BS594" i="4"/>
  <c r="BR594" i="4"/>
  <c r="BQ594" i="4"/>
  <c r="BP594" i="4"/>
  <c r="BO594" i="4"/>
  <c r="BN594" i="4"/>
  <c r="BM594" i="4"/>
  <c r="BL594" i="4"/>
  <c r="BK594" i="4"/>
  <c r="BJ594" i="4"/>
  <c r="BI594" i="4"/>
  <c r="BH594" i="4"/>
  <c r="BG594" i="4"/>
  <c r="BF594" i="4"/>
  <c r="BE594" i="4"/>
  <c r="BD594" i="4"/>
  <c r="BC594" i="4"/>
  <c r="BB594" i="4"/>
  <c r="BA594" i="4"/>
  <c r="AZ594" i="4"/>
  <c r="AY594" i="4"/>
  <c r="AX594" i="4"/>
  <c r="AW594" i="4"/>
  <c r="AV594" i="4"/>
  <c r="AU594" i="4"/>
  <c r="AT594" i="4"/>
  <c r="AS594" i="4"/>
  <c r="AR594" i="4"/>
  <c r="B594" i="4"/>
  <c r="BW593" i="4"/>
  <c r="BV593" i="4"/>
  <c r="BU593" i="4"/>
  <c r="BT593" i="4"/>
  <c r="BS593" i="4"/>
  <c r="BR593" i="4"/>
  <c r="BQ593" i="4"/>
  <c r="BP593" i="4"/>
  <c r="BO593" i="4"/>
  <c r="BN593" i="4"/>
  <c r="BM593" i="4"/>
  <c r="BL593" i="4"/>
  <c r="BK593" i="4"/>
  <c r="BJ593" i="4"/>
  <c r="BI593" i="4"/>
  <c r="BH593" i="4"/>
  <c r="BG593" i="4"/>
  <c r="BF593" i="4"/>
  <c r="BE593" i="4"/>
  <c r="BD593" i="4"/>
  <c r="BC593" i="4"/>
  <c r="BB593" i="4"/>
  <c r="BA593" i="4"/>
  <c r="AZ593" i="4"/>
  <c r="AY593" i="4"/>
  <c r="AX593" i="4"/>
  <c r="AW593" i="4"/>
  <c r="AV593" i="4"/>
  <c r="AU593" i="4"/>
  <c r="AT593" i="4"/>
  <c r="AS593" i="4"/>
  <c r="AR593" i="4"/>
  <c r="AN593" i="4"/>
  <c r="AO593" i="4" s="1"/>
  <c r="B593" i="4"/>
  <c r="BW592" i="4"/>
  <c r="BV592" i="4"/>
  <c r="BU592" i="4"/>
  <c r="BT592" i="4"/>
  <c r="BS592" i="4"/>
  <c r="BR592" i="4"/>
  <c r="BQ592" i="4"/>
  <c r="BP592" i="4"/>
  <c r="BO592" i="4"/>
  <c r="BN592" i="4"/>
  <c r="BM592" i="4"/>
  <c r="BL592" i="4"/>
  <c r="BK592" i="4"/>
  <c r="BJ592" i="4"/>
  <c r="BI592" i="4"/>
  <c r="BH592" i="4"/>
  <c r="BG592" i="4"/>
  <c r="BF592" i="4"/>
  <c r="BE592" i="4"/>
  <c r="BD592" i="4"/>
  <c r="BC592" i="4"/>
  <c r="BB592" i="4"/>
  <c r="BA592" i="4"/>
  <c r="AZ592" i="4"/>
  <c r="AY592" i="4"/>
  <c r="AX592" i="4"/>
  <c r="AW592" i="4"/>
  <c r="AV592" i="4"/>
  <c r="AU592" i="4"/>
  <c r="AT592" i="4"/>
  <c r="AS592" i="4"/>
  <c r="AR592" i="4"/>
  <c r="AN592" i="4"/>
  <c r="AO592" i="4" s="1"/>
  <c r="B592" i="4"/>
  <c r="BW591" i="4"/>
  <c r="BV591" i="4"/>
  <c r="BU591" i="4"/>
  <c r="BT591" i="4"/>
  <c r="BS591" i="4"/>
  <c r="BR591" i="4"/>
  <c r="BQ591" i="4"/>
  <c r="BP591" i="4"/>
  <c r="BO591" i="4"/>
  <c r="BN591" i="4"/>
  <c r="BM591" i="4"/>
  <c r="BL591" i="4"/>
  <c r="BK591" i="4"/>
  <c r="BJ591" i="4"/>
  <c r="BI591" i="4"/>
  <c r="BH591" i="4"/>
  <c r="BG591" i="4"/>
  <c r="BF591" i="4"/>
  <c r="BE591" i="4"/>
  <c r="BD591" i="4"/>
  <c r="BC591" i="4"/>
  <c r="BB591" i="4"/>
  <c r="BA591" i="4"/>
  <c r="AZ591" i="4"/>
  <c r="AY591" i="4"/>
  <c r="AX591" i="4"/>
  <c r="AW591" i="4"/>
  <c r="AV591" i="4"/>
  <c r="AU591" i="4"/>
  <c r="AT591" i="4"/>
  <c r="AS591" i="4"/>
  <c r="AR591" i="4"/>
  <c r="AN591" i="4"/>
  <c r="AO591" i="4" s="1"/>
  <c r="B591" i="4"/>
  <c r="BW590" i="4"/>
  <c r="BV590" i="4"/>
  <c r="BU590" i="4"/>
  <c r="BT590" i="4"/>
  <c r="BS590" i="4"/>
  <c r="BR590" i="4"/>
  <c r="BQ590" i="4"/>
  <c r="BP590" i="4"/>
  <c r="BO590" i="4"/>
  <c r="BN590" i="4"/>
  <c r="BM590" i="4"/>
  <c r="BL590" i="4"/>
  <c r="BK590" i="4"/>
  <c r="BJ590" i="4"/>
  <c r="BI590" i="4"/>
  <c r="BH590" i="4"/>
  <c r="BG590" i="4"/>
  <c r="BF590" i="4"/>
  <c r="BE590" i="4"/>
  <c r="BD590" i="4"/>
  <c r="BC590" i="4"/>
  <c r="BB590" i="4"/>
  <c r="BA590" i="4"/>
  <c r="AZ590" i="4"/>
  <c r="AY590" i="4"/>
  <c r="AX590" i="4"/>
  <c r="AW590" i="4"/>
  <c r="AV590" i="4"/>
  <c r="AU590" i="4"/>
  <c r="AT590" i="4"/>
  <c r="AS590" i="4"/>
  <c r="AR590" i="4"/>
  <c r="AN590" i="4"/>
  <c r="AO590" i="4" s="1"/>
  <c r="B590" i="4"/>
  <c r="BW589" i="4"/>
  <c r="BV589" i="4"/>
  <c r="BU589" i="4"/>
  <c r="BT589" i="4"/>
  <c r="BS589" i="4"/>
  <c r="BR589" i="4"/>
  <c r="BQ589" i="4"/>
  <c r="BP589" i="4"/>
  <c r="BO589" i="4"/>
  <c r="BN589" i="4"/>
  <c r="BM589" i="4"/>
  <c r="BL589" i="4"/>
  <c r="BK589" i="4"/>
  <c r="BJ589" i="4"/>
  <c r="BI589" i="4"/>
  <c r="BH589" i="4"/>
  <c r="BG589" i="4"/>
  <c r="BF589" i="4"/>
  <c r="BE589" i="4"/>
  <c r="BD589" i="4"/>
  <c r="BC589" i="4"/>
  <c r="BB589" i="4"/>
  <c r="BA589" i="4"/>
  <c r="AZ589" i="4"/>
  <c r="AY589" i="4"/>
  <c r="AX589" i="4"/>
  <c r="AW589" i="4"/>
  <c r="AV589" i="4"/>
  <c r="AU589" i="4"/>
  <c r="AT589" i="4"/>
  <c r="AS589" i="4"/>
  <c r="AR589" i="4"/>
  <c r="AN589" i="4"/>
  <c r="AO589" i="4" s="1"/>
  <c r="B589" i="4"/>
  <c r="BW588" i="4"/>
  <c r="BV588" i="4"/>
  <c r="BU588" i="4"/>
  <c r="BT588" i="4"/>
  <c r="BS588" i="4"/>
  <c r="BR588" i="4"/>
  <c r="BQ588" i="4"/>
  <c r="BP588" i="4"/>
  <c r="BO588" i="4"/>
  <c r="BN588" i="4"/>
  <c r="BM588" i="4"/>
  <c r="BL588" i="4"/>
  <c r="BK588" i="4"/>
  <c r="BJ588" i="4"/>
  <c r="BI588" i="4"/>
  <c r="BH588" i="4"/>
  <c r="BG588" i="4"/>
  <c r="BF588" i="4"/>
  <c r="BE588" i="4"/>
  <c r="BD588" i="4"/>
  <c r="BC588" i="4"/>
  <c r="BB588" i="4"/>
  <c r="BA588" i="4"/>
  <c r="AZ588" i="4"/>
  <c r="AY588" i="4"/>
  <c r="AX588" i="4"/>
  <c r="AW588" i="4"/>
  <c r="AV588" i="4"/>
  <c r="AU588" i="4"/>
  <c r="AT588" i="4"/>
  <c r="AS588" i="4"/>
  <c r="AR588" i="4"/>
  <c r="AN588" i="4"/>
  <c r="AO588" i="4" s="1"/>
  <c r="B588" i="4"/>
  <c r="BW587" i="4"/>
  <c r="BV587" i="4"/>
  <c r="BU587" i="4"/>
  <c r="BT587" i="4"/>
  <c r="BS587" i="4"/>
  <c r="BR587" i="4"/>
  <c r="BQ587" i="4"/>
  <c r="BP587" i="4"/>
  <c r="BO587" i="4"/>
  <c r="BN587" i="4"/>
  <c r="BM587" i="4"/>
  <c r="BL587" i="4"/>
  <c r="BK587" i="4"/>
  <c r="BJ587" i="4"/>
  <c r="BI587" i="4"/>
  <c r="BH587" i="4"/>
  <c r="BG587" i="4"/>
  <c r="BF587" i="4"/>
  <c r="BE587" i="4"/>
  <c r="BD587" i="4"/>
  <c r="BC587" i="4"/>
  <c r="BB587" i="4"/>
  <c r="BA587" i="4"/>
  <c r="AZ587" i="4"/>
  <c r="AY587" i="4"/>
  <c r="AX587" i="4"/>
  <c r="AW587" i="4"/>
  <c r="AV587" i="4"/>
  <c r="AU587" i="4"/>
  <c r="AT587" i="4"/>
  <c r="AS587" i="4"/>
  <c r="AR587" i="4"/>
  <c r="AN587" i="4"/>
  <c r="AO587" i="4" s="1"/>
  <c r="B587" i="4"/>
  <c r="BW586" i="4"/>
  <c r="BV586" i="4"/>
  <c r="BU586" i="4"/>
  <c r="BT586" i="4"/>
  <c r="BS586" i="4"/>
  <c r="BR586" i="4"/>
  <c r="BQ586" i="4"/>
  <c r="BP586" i="4"/>
  <c r="BO586" i="4"/>
  <c r="BN586" i="4"/>
  <c r="BM586" i="4"/>
  <c r="BL586" i="4"/>
  <c r="BK586" i="4"/>
  <c r="BJ586" i="4"/>
  <c r="BI586" i="4"/>
  <c r="BH586" i="4"/>
  <c r="BG586" i="4"/>
  <c r="BF586" i="4"/>
  <c r="BE586" i="4"/>
  <c r="BD586" i="4"/>
  <c r="BC586" i="4"/>
  <c r="BB586" i="4"/>
  <c r="BA586" i="4"/>
  <c r="AZ586" i="4"/>
  <c r="AY586" i="4"/>
  <c r="AX586" i="4"/>
  <c r="AW586" i="4"/>
  <c r="AV586" i="4"/>
  <c r="AU586" i="4"/>
  <c r="AT586" i="4"/>
  <c r="AS586" i="4"/>
  <c r="AR586" i="4"/>
  <c r="AN586" i="4"/>
  <c r="AO586" i="4" s="1"/>
  <c r="B586" i="4"/>
  <c r="BW585" i="4"/>
  <c r="BV585" i="4"/>
  <c r="BU585" i="4"/>
  <c r="BT585" i="4"/>
  <c r="BS585" i="4"/>
  <c r="BR585" i="4"/>
  <c r="BQ585" i="4"/>
  <c r="BP585" i="4"/>
  <c r="BO585" i="4"/>
  <c r="BN585" i="4"/>
  <c r="BM585" i="4"/>
  <c r="BL585" i="4"/>
  <c r="BK585" i="4"/>
  <c r="BJ585" i="4"/>
  <c r="BI585" i="4"/>
  <c r="BH585" i="4"/>
  <c r="BG585" i="4"/>
  <c r="BF585" i="4"/>
  <c r="BE585" i="4"/>
  <c r="BD585" i="4"/>
  <c r="BC585" i="4"/>
  <c r="BB585" i="4"/>
  <c r="BA585" i="4"/>
  <c r="AZ585" i="4"/>
  <c r="AY585" i="4"/>
  <c r="AX585" i="4"/>
  <c r="AW585" i="4"/>
  <c r="AV585" i="4"/>
  <c r="AU585" i="4"/>
  <c r="AT585" i="4"/>
  <c r="AS585" i="4"/>
  <c r="AR585" i="4"/>
  <c r="AN585" i="4"/>
  <c r="AO585" i="4" s="1"/>
  <c r="B585" i="4"/>
  <c r="BW584" i="4"/>
  <c r="BV584" i="4"/>
  <c r="BU584" i="4"/>
  <c r="BT584" i="4"/>
  <c r="BS584" i="4"/>
  <c r="BR584" i="4"/>
  <c r="BQ584" i="4"/>
  <c r="BP584" i="4"/>
  <c r="BO584" i="4"/>
  <c r="BN584" i="4"/>
  <c r="BM584" i="4"/>
  <c r="BL584" i="4"/>
  <c r="BK584" i="4"/>
  <c r="BJ584" i="4"/>
  <c r="BI584" i="4"/>
  <c r="BH584" i="4"/>
  <c r="BG584" i="4"/>
  <c r="BF584" i="4"/>
  <c r="BE584" i="4"/>
  <c r="BD584" i="4"/>
  <c r="BC584" i="4"/>
  <c r="BB584" i="4"/>
  <c r="BA584" i="4"/>
  <c r="AZ584" i="4"/>
  <c r="AY584" i="4"/>
  <c r="AX584" i="4"/>
  <c r="AW584" i="4"/>
  <c r="AV584" i="4"/>
  <c r="AU584" i="4"/>
  <c r="AT584" i="4"/>
  <c r="AS584" i="4"/>
  <c r="AR584" i="4"/>
  <c r="AN584" i="4"/>
  <c r="AO584" i="4" s="1"/>
  <c r="B584" i="4"/>
  <c r="BW583" i="4"/>
  <c r="BV583" i="4"/>
  <c r="BU583" i="4"/>
  <c r="BT583" i="4"/>
  <c r="BS583" i="4"/>
  <c r="BR583" i="4"/>
  <c r="BQ583" i="4"/>
  <c r="BP583" i="4"/>
  <c r="BO583" i="4"/>
  <c r="BN583" i="4"/>
  <c r="BM583" i="4"/>
  <c r="BL583" i="4"/>
  <c r="BK583" i="4"/>
  <c r="BJ583" i="4"/>
  <c r="BI583" i="4"/>
  <c r="BH583" i="4"/>
  <c r="BG583" i="4"/>
  <c r="BF583" i="4"/>
  <c r="BE583" i="4"/>
  <c r="BD583" i="4"/>
  <c r="BC583" i="4"/>
  <c r="BB583" i="4"/>
  <c r="BA583" i="4"/>
  <c r="AZ583" i="4"/>
  <c r="AY583" i="4"/>
  <c r="AX583" i="4"/>
  <c r="AW583" i="4"/>
  <c r="AV583" i="4"/>
  <c r="AU583" i="4"/>
  <c r="AT583" i="4"/>
  <c r="AS583" i="4"/>
  <c r="AR583" i="4"/>
  <c r="AN583" i="4"/>
  <c r="AO583" i="4" s="1"/>
  <c r="B583" i="4"/>
  <c r="BW582" i="4"/>
  <c r="BV582" i="4"/>
  <c r="BU582" i="4"/>
  <c r="BT582" i="4"/>
  <c r="BS582" i="4"/>
  <c r="BR582" i="4"/>
  <c r="BQ582" i="4"/>
  <c r="BP582" i="4"/>
  <c r="BO582" i="4"/>
  <c r="BN582" i="4"/>
  <c r="BM582" i="4"/>
  <c r="BL582" i="4"/>
  <c r="BK582" i="4"/>
  <c r="BJ582" i="4"/>
  <c r="BI582" i="4"/>
  <c r="BH582" i="4"/>
  <c r="BG582" i="4"/>
  <c r="BF582" i="4"/>
  <c r="BE582" i="4"/>
  <c r="BD582" i="4"/>
  <c r="BC582" i="4"/>
  <c r="BB582" i="4"/>
  <c r="BA582" i="4"/>
  <c r="AZ582" i="4"/>
  <c r="AY582" i="4"/>
  <c r="AX582" i="4"/>
  <c r="AW582" i="4"/>
  <c r="AV582" i="4"/>
  <c r="AU582" i="4"/>
  <c r="AT582" i="4"/>
  <c r="AS582" i="4"/>
  <c r="AR582" i="4"/>
  <c r="AN582" i="4"/>
  <c r="AO582" i="4" s="1"/>
  <c r="B582" i="4"/>
  <c r="BW581" i="4"/>
  <c r="BV581" i="4"/>
  <c r="BU581" i="4"/>
  <c r="BT581" i="4"/>
  <c r="BS581" i="4"/>
  <c r="BR581" i="4"/>
  <c r="BQ581" i="4"/>
  <c r="BP581" i="4"/>
  <c r="BO581" i="4"/>
  <c r="BN581" i="4"/>
  <c r="BM581" i="4"/>
  <c r="BL581" i="4"/>
  <c r="BK581" i="4"/>
  <c r="BJ581" i="4"/>
  <c r="BI581" i="4"/>
  <c r="BH581" i="4"/>
  <c r="BG581" i="4"/>
  <c r="BF581" i="4"/>
  <c r="BE581" i="4"/>
  <c r="BD581" i="4"/>
  <c r="BC581" i="4"/>
  <c r="BB581" i="4"/>
  <c r="BA581" i="4"/>
  <c r="AZ581" i="4"/>
  <c r="AY581" i="4"/>
  <c r="AX581" i="4"/>
  <c r="AW581" i="4"/>
  <c r="AV581" i="4"/>
  <c r="AU581" i="4"/>
  <c r="AT581" i="4"/>
  <c r="AS581" i="4"/>
  <c r="AR581" i="4"/>
  <c r="AN581" i="4"/>
  <c r="AO581" i="4" s="1"/>
  <c r="B581" i="4"/>
  <c r="BW580" i="4"/>
  <c r="BV580" i="4"/>
  <c r="BU580" i="4"/>
  <c r="BT580" i="4"/>
  <c r="BS580" i="4"/>
  <c r="BR580" i="4"/>
  <c r="BQ580" i="4"/>
  <c r="BP580" i="4"/>
  <c r="BO580" i="4"/>
  <c r="BN580" i="4"/>
  <c r="BM580" i="4"/>
  <c r="BL580" i="4"/>
  <c r="BK580" i="4"/>
  <c r="BJ580" i="4"/>
  <c r="BI580" i="4"/>
  <c r="BH580" i="4"/>
  <c r="BG580" i="4"/>
  <c r="BF580" i="4"/>
  <c r="BE580" i="4"/>
  <c r="BD580" i="4"/>
  <c r="BC580" i="4"/>
  <c r="BB580" i="4"/>
  <c r="BA580" i="4"/>
  <c r="AZ580" i="4"/>
  <c r="AY580" i="4"/>
  <c r="AX580" i="4"/>
  <c r="AW580" i="4"/>
  <c r="AV580" i="4"/>
  <c r="AU580" i="4"/>
  <c r="AT580" i="4"/>
  <c r="AS580" i="4"/>
  <c r="AR580" i="4"/>
  <c r="AN580" i="4"/>
  <c r="AO580" i="4" s="1"/>
  <c r="B580" i="4"/>
  <c r="BW579" i="4"/>
  <c r="BV579" i="4"/>
  <c r="BU579" i="4"/>
  <c r="BT579" i="4"/>
  <c r="BS579" i="4"/>
  <c r="BR579" i="4"/>
  <c r="BQ579" i="4"/>
  <c r="BP579" i="4"/>
  <c r="BO579" i="4"/>
  <c r="BN579" i="4"/>
  <c r="BM579" i="4"/>
  <c r="BL579" i="4"/>
  <c r="BK579" i="4"/>
  <c r="BJ579" i="4"/>
  <c r="BI579" i="4"/>
  <c r="BH579" i="4"/>
  <c r="BG579" i="4"/>
  <c r="BF579" i="4"/>
  <c r="BE579" i="4"/>
  <c r="BD579" i="4"/>
  <c r="BC579" i="4"/>
  <c r="BB579" i="4"/>
  <c r="BA579" i="4"/>
  <c r="AZ579" i="4"/>
  <c r="AY579" i="4"/>
  <c r="AX579" i="4"/>
  <c r="AW579" i="4"/>
  <c r="AV579" i="4"/>
  <c r="AU579" i="4"/>
  <c r="AT579" i="4"/>
  <c r="AS579" i="4"/>
  <c r="AR579" i="4"/>
  <c r="AN579" i="4"/>
  <c r="AO579" i="4" s="1"/>
  <c r="B579" i="4"/>
  <c r="BW578" i="4"/>
  <c r="BV578" i="4"/>
  <c r="BU578" i="4"/>
  <c r="BT578" i="4"/>
  <c r="BS578" i="4"/>
  <c r="BR578" i="4"/>
  <c r="BQ578" i="4"/>
  <c r="BP578" i="4"/>
  <c r="BO578" i="4"/>
  <c r="BN578" i="4"/>
  <c r="BM578" i="4"/>
  <c r="BL578" i="4"/>
  <c r="BK578" i="4"/>
  <c r="BJ578" i="4"/>
  <c r="BI578" i="4"/>
  <c r="BH578" i="4"/>
  <c r="BG578" i="4"/>
  <c r="BF578" i="4"/>
  <c r="BE578" i="4"/>
  <c r="BD578" i="4"/>
  <c r="BC578" i="4"/>
  <c r="BB578" i="4"/>
  <c r="BA578" i="4"/>
  <c r="AZ578" i="4"/>
  <c r="AY578" i="4"/>
  <c r="AX578" i="4"/>
  <c r="AW578" i="4"/>
  <c r="AV578" i="4"/>
  <c r="AU578" i="4"/>
  <c r="AT578" i="4"/>
  <c r="AS578" i="4"/>
  <c r="AR578" i="4"/>
  <c r="AN578" i="4"/>
  <c r="AO578" i="4" s="1"/>
  <c r="B578" i="4"/>
  <c r="BW577" i="4"/>
  <c r="BV577" i="4"/>
  <c r="BU577" i="4"/>
  <c r="BT577" i="4"/>
  <c r="BS577" i="4"/>
  <c r="BR577" i="4"/>
  <c r="BQ577" i="4"/>
  <c r="BP577" i="4"/>
  <c r="BO577" i="4"/>
  <c r="BN577" i="4"/>
  <c r="BM577" i="4"/>
  <c r="BL577" i="4"/>
  <c r="BK577" i="4"/>
  <c r="BJ577" i="4"/>
  <c r="BI577" i="4"/>
  <c r="BH577" i="4"/>
  <c r="BG577" i="4"/>
  <c r="BF577" i="4"/>
  <c r="BE577" i="4"/>
  <c r="BD577" i="4"/>
  <c r="BC577" i="4"/>
  <c r="BB577" i="4"/>
  <c r="BA577" i="4"/>
  <c r="AZ577" i="4"/>
  <c r="AY577" i="4"/>
  <c r="AX577" i="4"/>
  <c r="AW577" i="4"/>
  <c r="AV577" i="4"/>
  <c r="AU577" i="4"/>
  <c r="AT577" i="4"/>
  <c r="AS577" i="4"/>
  <c r="AR577" i="4"/>
  <c r="AN577" i="4"/>
  <c r="AO577" i="4" s="1"/>
  <c r="B577" i="4"/>
  <c r="BW576" i="4"/>
  <c r="BV576" i="4"/>
  <c r="BU576" i="4"/>
  <c r="BT576" i="4"/>
  <c r="BS576" i="4"/>
  <c r="BR576" i="4"/>
  <c r="BQ576" i="4"/>
  <c r="BP576" i="4"/>
  <c r="BO576" i="4"/>
  <c r="BN576" i="4"/>
  <c r="BM576" i="4"/>
  <c r="BL576" i="4"/>
  <c r="BK576" i="4"/>
  <c r="BJ576" i="4"/>
  <c r="BI576" i="4"/>
  <c r="BH576" i="4"/>
  <c r="BG576" i="4"/>
  <c r="BF576" i="4"/>
  <c r="BE576" i="4"/>
  <c r="BD576" i="4"/>
  <c r="BC576" i="4"/>
  <c r="BB576" i="4"/>
  <c r="BA576" i="4"/>
  <c r="AZ576" i="4"/>
  <c r="AY576" i="4"/>
  <c r="AX576" i="4"/>
  <c r="AW576" i="4"/>
  <c r="AV576" i="4"/>
  <c r="AU576" i="4"/>
  <c r="AT576" i="4"/>
  <c r="AS576" i="4"/>
  <c r="AR576" i="4"/>
  <c r="AN576" i="4"/>
  <c r="AO576" i="4" s="1"/>
  <c r="B576" i="4"/>
  <c r="BW575" i="4"/>
  <c r="BV575" i="4"/>
  <c r="BU575" i="4"/>
  <c r="BT575" i="4"/>
  <c r="BS575" i="4"/>
  <c r="BR575" i="4"/>
  <c r="BQ575" i="4"/>
  <c r="BP575" i="4"/>
  <c r="BO575" i="4"/>
  <c r="BN575" i="4"/>
  <c r="BM575" i="4"/>
  <c r="BL575" i="4"/>
  <c r="BK575" i="4"/>
  <c r="BJ575" i="4"/>
  <c r="BI575" i="4"/>
  <c r="BH575" i="4"/>
  <c r="BG575" i="4"/>
  <c r="BF575" i="4"/>
  <c r="BE575" i="4"/>
  <c r="BD575" i="4"/>
  <c r="BC575" i="4"/>
  <c r="BB575" i="4"/>
  <c r="BA575" i="4"/>
  <c r="AZ575" i="4"/>
  <c r="AY575" i="4"/>
  <c r="AX575" i="4"/>
  <c r="AW575" i="4"/>
  <c r="AV575" i="4"/>
  <c r="AU575" i="4"/>
  <c r="AT575" i="4"/>
  <c r="AS575" i="4"/>
  <c r="AR575" i="4"/>
  <c r="AN575" i="4"/>
  <c r="AO575" i="4" s="1"/>
  <c r="B575" i="4"/>
  <c r="BW574" i="4"/>
  <c r="BV574" i="4"/>
  <c r="BU574" i="4"/>
  <c r="BT574" i="4"/>
  <c r="BS574" i="4"/>
  <c r="BR574" i="4"/>
  <c r="BQ574" i="4"/>
  <c r="BP574" i="4"/>
  <c r="BO574" i="4"/>
  <c r="BN574" i="4"/>
  <c r="BM574" i="4"/>
  <c r="BL574" i="4"/>
  <c r="BK574" i="4"/>
  <c r="BJ574" i="4"/>
  <c r="BI574" i="4"/>
  <c r="BH574" i="4"/>
  <c r="BG574" i="4"/>
  <c r="BF574" i="4"/>
  <c r="BE574" i="4"/>
  <c r="BD574" i="4"/>
  <c r="BC574" i="4"/>
  <c r="BB574" i="4"/>
  <c r="BA574" i="4"/>
  <c r="AZ574" i="4"/>
  <c r="AY574" i="4"/>
  <c r="AX574" i="4"/>
  <c r="AW574" i="4"/>
  <c r="AV574" i="4"/>
  <c r="AU574" i="4"/>
  <c r="AT574" i="4"/>
  <c r="AS574" i="4"/>
  <c r="AR574" i="4"/>
  <c r="AN574" i="4"/>
  <c r="AO574" i="4" s="1"/>
  <c r="B574" i="4"/>
  <c r="BW573" i="4"/>
  <c r="BV573" i="4"/>
  <c r="BU573" i="4"/>
  <c r="BT573" i="4"/>
  <c r="BS573" i="4"/>
  <c r="BR573" i="4"/>
  <c r="BQ573" i="4"/>
  <c r="BP573" i="4"/>
  <c r="BO573" i="4"/>
  <c r="BN573" i="4"/>
  <c r="BM573" i="4"/>
  <c r="BL573" i="4"/>
  <c r="BK573" i="4"/>
  <c r="BJ573" i="4"/>
  <c r="BI573" i="4"/>
  <c r="BH573" i="4"/>
  <c r="BG573" i="4"/>
  <c r="BF573" i="4"/>
  <c r="BE573" i="4"/>
  <c r="BD573" i="4"/>
  <c r="BC573" i="4"/>
  <c r="BB573" i="4"/>
  <c r="BA573" i="4"/>
  <c r="AZ573" i="4"/>
  <c r="AY573" i="4"/>
  <c r="AX573" i="4"/>
  <c r="AW573" i="4"/>
  <c r="AV573" i="4"/>
  <c r="AU573" i="4"/>
  <c r="AT573" i="4"/>
  <c r="AS573" i="4"/>
  <c r="AR573" i="4"/>
  <c r="B573" i="4"/>
  <c r="BW572" i="4"/>
  <c r="BV572" i="4"/>
  <c r="BU572" i="4"/>
  <c r="BT572" i="4"/>
  <c r="BS572" i="4"/>
  <c r="BR572" i="4"/>
  <c r="BQ572" i="4"/>
  <c r="BP572" i="4"/>
  <c r="BO572" i="4"/>
  <c r="BN572" i="4"/>
  <c r="BM572" i="4"/>
  <c r="BL572" i="4"/>
  <c r="BK572" i="4"/>
  <c r="BJ572" i="4"/>
  <c r="BI572" i="4"/>
  <c r="BH572" i="4"/>
  <c r="BG572" i="4"/>
  <c r="BF572" i="4"/>
  <c r="BE572" i="4"/>
  <c r="BD572" i="4"/>
  <c r="BC572" i="4"/>
  <c r="BB572" i="4"/>
  <c r="BA572" i="4"/>
  <c r="AZ572" i="4"/>
  <c r="AY572" i="4"/>
  <c r="AX572" i="4"/>
  <c r="AW572" i="4"/>
  <c r="AV572" i="4"/>
  <c r="AU572" i="4"/>
  <c r="AT572" i="4"/>
  <c r="AS572" i="4"/>
  <c r="AR572" i="4"/>
  <c r="AN572" i="4"/>
  <c r="AO572" i="4" s="1"/>
  <c r="B572" i="4"/>
  <c r="BW571" i="4"/>
  <c r="BV571" i="4"/>
  <c r="BU571" i="4"/>
  <c r="BT571" i="4"/>
  <c r="BS571" i="4"/>
  <c r="BR571" i="4"/>
  <c r="BQ571" i="4"/>
  <c r="BP571" i="4"/>
  <c r="BO571" i="4"/>
  <c r="BN571" i="4"/>
  <c r="BM571" i="4"/>
  <c r="BL571" i="4"/>
  <c r="BK571" i="4"/>
  <c r="BJ571" i="4"/>
  <c r="BI571" i="4"/>
  <c r="BH571" i="4"/>
  <c r="BG571" i="4"/>
  <c r="BF571" i="4"/>
  <c r="BE571" i="4"/>
  <c r="BD571" i="4"/>
  <c r="BC571" i="4"/>
  <c r="BB571" i="4"/>
  <c r="BA571" i="4"/>
  <c r="AZ571" i="4"/>
  <c r="AY571" i="4"/>
  <c r="AX571" i="4"/>
  <c r="AW571" i="4"/>
  <c r="AV571" i="4"/>
  <c r="AU571" i="4"/>
  <c r="AT571" i="4"/>
  <c r="AS571" i="4"/>
  <c r="AR571" i="4"/>
  <c r="AN571" i="4"/>
  <c r="AO571" i="4" s="1"/>
  <c r="B571" i="4"/>
  <c r="BW570" i="4"/>
  <c r="BV570" i="4"/>
  <c r="BU570" i="4"/>
  <c r="BT570" i="4"/>
  <c r="BS570" i="4"/>
  <c r="BR570" i="4"/>
  <c r="BQ570" i="4"/>
  <c r="BP570" i="4"/>
  <c r="BO570" i="4"/>
  <c r="BN570" i="4"/>
  <c r="BM570" i="4"/>
  <c r="BL570" i="4"/>
  <c r="BK570" i="4"/>
  <c r="BJ570" i="4"/>
  <c r="BI570" i="4"/>
  <c r="BH570" i="4"/>
  <c r="BG570" i="4"/>
  <c r="BF570" i="4"/>
  <c r="BE570" i="4"/>
  <c r="BD570" i="4"/>
  <c r="BC570" i="4"/>
  <c r="BB570" i="4"/>
  <c r="BA570" i="4"/>
  <c r="AZ570" i="4"/>
  <c r="AY570" i="4"/>
  <c r="AX570" i="4"/>
  <c r="AW570" i="4"/>
  <c r="AV570" i="4"/>
  <c r="AU570" i="4"/>
  <c r="AT570" i="4"/>
  <c r="AS570" i="4"/>
  <c r="AR570" i="4"/>
  <c r="AN570" i="4"/>
  <c r="AO570" i="4" s="1"/>
  <c r="B570" i="4"/>
  <c r="BW569" i="4"/>
  <c r="BV569" i="4"/>
  <c r="BU569" i="4"/>
  <c r="BT569" i="4"/>
  <c r="BS569" i="4"/>
  <c r="BR569" i="4"/>
  <c r="BQ569" i="4"/>
  <c r="BP569" i="4"/>
  <c r="BO569" i="4"/>
  <c r="BN569" i="4"/>
  <c r="BM569" i="4"/>
  <c r="BL569" i="4"/>
  <c r="BK569" i="4"/>
  <c r="BJ569" i="4"/>
  <c r="BI569" i="4"/>
  <c r="BH569" i="4"/>
  <c r="BG569" i="4"/>
  <c r="BF569" i="4"/>
  <c r="BE569" i="4"/>
  <c r="BD569" i="4"/>
  <c r="BC569" i="4"/>
  <c r="BB569" i="4"/>
  <c r="BA569" i="4"/>
  <c r="AZ569" i="4"/>
  <c r="AY569" i="4"/>
  <c r="AX569" i="4"/>
  <c r="AW569" i="4"/>
  <c r="AV569" i="4"/>
  <c r="AU569" i="4"/>
  <c r="AT569" i="4"/>
  <c r="AS569" i="4"/>
  <c r="AR569" i="4"/>
  <c r="AN569" i="4"/>
  <c r="AO569" i="4" s="1"/>
  <c r="B569" i="4"/>
  <c r="BW568" i="4"/>
  <c r="BV568" i="4"/>
  <c r="BU568" i="4"/>
  <c r="BT568" i="4"/>
  <c r="BS568" i="4"/>
  <c r="BR568" i="4"/>
  <c r="BQ568" i="4"/>
  <c r="BP568" i="4"/>
  <c r="BO568" i="4"/>
  <c r="BN568" i="4"/>
  <c r="BM568" i="4"/>
  <c r="BL568" i="4"/>
  <c r="BK568" i="4"/>
  <c r="BJ568" i="4"/>
  <c r="BI568" i="4"/>
  <c r="BH568" i="4"/>
  <c r="BG568" i="4"/>
  <c r="BF568" i="4"/>
  <c r="BE568" i="4"/>
  <c r="BD568" i="4"/>
  <c r="BC568" i="4"/>
  <c r="BB568" i="4"/>
  <c r="BA568" i="4"/>
  <c r="AZ568" i="4"/>
  <c r="AY568" i="4"/>
  <c r="AX568" i="4"/>
  <c r="AW568" i="4"/>
  <c r="AV568" i="4"/>
  <c r="AU568" i="4"/>
  <c r="AT568" i="4"/>
  <c r="AS568" i="4"/>
  <c r="AR568" i="4"/>
  <c r="AN568" i="4"/>
  <c r="AO568" i="4" s="1"/>
  <c r="B568" i="4"/>
  <c r="BW567" i="4"/>
  <c r="BV567" i="4"/>
  <c r="BU567" i="4"/>
  <c r="BT567" i="4"/>
  <c r="BS567" i="4"/>
  <c r="BR567" i="4"/>
  <c r="BQ567" i="4"/>
  <c r="BP567" i="4"/>
  <c r="BO567" i="4"/>
  <c r="BN567" i="4"/>
  <c r="BM567" i="4"/>
  <c r="BL567" i="4"/>
  <c r="BK567" i="4"/>
  <c r="BJ567" i="4"/>
  <c r="BI567" i="4"/>
  <c r="BH567" i="4"/>
  <c r="BG567" i="4"/>
  <c r="BF567" i="4"/>
  <c r="BE567" i="4"/>
  <c r="BD567" i="4"/>
  <c r="BC567" i="4"/>
  <c r="BB567" i="4"/>
  <c r="BA567" i="4"/>
  <c r="AZ567" i="4"/>
  <c r="AY567" i="4"/>
  <c r="AX567" i="4"/>
  <c r="AW567" i="4"/>
  <c r="AV567" i="4"/>
  <c r="AU567" i="4"/>
  <c r="AT567" i="4"/>
  <c r="AS567" i="4"/>
  <c r="AR567" i="4"/>
  <c r="B567" i="4"/>
  <c r="BW566" i="4"/>
  <c r="BV566" i="4"/>
  <c r="BU566" i="4"/>
  <c r="BT566" i="4"/>
  <c r="BS566" i="4"/>
  <c r="BR566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N566" i="4"/>
  <c r="AO566" i="4" s="1"/>
  <c r="B566" i="4"/>
  <c r="BW634" i="4"/>
  <c r="BV634" i="4"/>
  <c r="BU634" i="4"/>
  <c r="BT634" i="4"/>
  <c r="BS634" i="4"/>
  <c r="BR634" i="4"/>
  <c r="BQ634" i="4"/>
  <c r="BP634" i="4"/>
  <c r="BO634" i="4"/>
  <c r="BN634" i="4"/>
  <c r="BM634" i="4"/>
  <c r="BL634" i="4"/>
  <c r="BK634" i="4"/>
  <c r="BJ634" i="4"/>
  <c r="BI634" i="4"/>
  <c r="BH634" i="4"/>
  <c r="BG634" i="4"/>
  <c r="BF634" i="4"/>
  <c r="BE634" i="4"/>
  <c r="BD634" i="4"/>
  <c r="BC634" i="4"/>
  <c r="BB634" i="4"/>
  <c r="BA634" i="4"/>
  <c r="AZ634" i="4"/>
  <c r="AY634" i="4"/>
  <c r="AX634" i="4"/>
  <c r="AW634" i="4"/>
  <c r="AV634" i="4"/>
  <c r="AU634" i="4"/>
  <c r="AT634" i="4"/>
  <c r="AS634" i="4"/>
  <c r="AR634" i="4"/>
  <c r="BW633" i="4"/>
  <c r="BV633" i="4"/>
  <c r="BU633" i="4"/>
  <c r="BT633" i="4"/>
  <c r="BS633" i="4"/>
  <c r="BR633" i="4"/>
  <c r="BQ633" i="4"/>
  <c r="BP633" i="4"/>
  <c r="BO633" i="4"/>
  <c r="BN633" i="4"/>
  <c r="BM633" i="4"/>
  <c r="BL633" i="4"/>
  <c r="BK633" i="4"/>
  <c r="BJ633" i="4"/>
  <c r="BI633" i="4"/>
  <c r="BH633" i="4"/>
  <c r="BG633" i="4"/>
  <c r="BF633" i="4"/>
  <c r="BE633" i="4"/>
  <c r="BD633" i="4"/>
  <c r="BC633" i="4"/>
  <c r="BB633" i="4"/>
  <c r="BA633" i="4"/>
  <c r="AZ633" i="4"/>
  <c r="AY633" i="4"/>
  <c r="AX633" i="4"/>
  <c r="AW633" i="4"/>
  <c r="AV633" i="4"/>
  <c r="AU633" i="4"/>
  <c r="AT633" i="4"/>
  <c r="AS633" i="4"/>
  <c r="AR633" i="4"/>
  <c r="BW632" i="4"/>
  <c r="BV632" i="4"/>
  <c r="BU632" i="4"/>
  <c r="BT632" i="4"/>
  <c r="BS632" i="4"/>
  <c r="BR632" i="4"/>
  <c r="BQ632" i="4"/>
  <c r="BP632" i="4"/>
  <c r="BO632" i="4"/>
  <c r="BN632" i="4"/>
  <c r="BM632" i="4"/>
  <c r="BL632" i="4"/>
  <c r="BK632" i="4"/>
  <c r="BJ632" i="4"/>
  <c r="BI632" i="4"/>
  <c r="BH632" i="4"/>
  <c r="BG632" i="4"/>
  <c r="BF632" i="4"/>
  <c r="BE632" i="4"/>
  <c r="BD632" i="4"/>
  <c r="BC632" i="4"/>
  <c r="BB632" i="4"/>
  <c r="BA632" i="4"/>
  <c r="AZ632" i="4"/>
  <c r="AY632" i="4"/>
  <c r="AX632" i="4"/>
  <c r="AW632" i="4"/>
  <c r="AV632" i="4"/>
  <c r="AU632" i="4"/>
  <c r="AT632" i="4"/>
  <c r="AS632" i="4"/>
  <c r="AR632" i="4"/>
  <c r="BW631" i="4"/>
  <c r="BV631" i="4"/>
  <c r="BU631" i="4"/>
  <c r="BT631" i="4"/>
  <c r="BS631" i="4"/>
  <c r="BR631" i="4"/>
  <c r="BQ631" i="4"/>
  <c r="BP631" i="4"/>
  <c r="BO631" i="4"/>
  <c r="BN631" i="4"/>
  <c r="BM631" i="4"/>
  <c r="BL631" i="4"/>
  <c r="BK631" i="4"/>
  <c r="BJ631" i="4"/>
  <c r="BI631" i="4"/>
  <c r="BH631" i="4"/>
  <c r="BG631" i="4"/>
  <c r="BF631" i="4"/>
  <c r="BE631" i="4"/>
  <c r="BD631" i="4"/>
  <c r="BC631" i="4"/>
  <c r="BB631" i="4"/>
  <c r="BA631" i="4"/>
  <c r="AZ631" i="4"/>
  <c r="AY631" i="4"/>
  <c r="AX631" i="4"/>
  <c r="AW631" i="4"/>
  <c r="AV631" i="4"/>
  <c r="AU631" i="4"/>
  <c r="AT631" i="4"/>
  <c r="AS631" i="4"/>
  <c r="AR631" i="4"/>
  <c r="BW630" i="4"/>
  <c r="BV630" i="4"/>
  <c r="BU630" i="4"/>
  <c r="BT630" i="4"/>
  <c r="BS630" i="4"/>
  <c r="BR630" i="4"/>
  <c r="BQ630" i="4"/>
  <c r="BP630" i="4"/>
  <c r="BO630" i="4"/>
  <c r="BN630" i="4"/>
  <c r="BM630" i="4"/>
  <c r="BL630" i="4"/>
  <c r="BK630" i="4"/>
  <c r="BJ630" i="4"/>
  <c r="BI630" i="4"/>
  <c r="BH630" i="4"/>
  <c r="BG630" i="4"/>
  <c r="BF630" i="4"/>
  <c r="BE630" i="4"/>
  <c r="BD630" i="4"/>
  <c r="BC630" i="4"/>
  <c r="BB630" i="4"/>
  <c r="BA630" i="4"/>
  <c r="AZ630" i="4"/>
  <c r="AY630" i="4"/>
  <c r="AX630" i="4"/>
  <c r="AW630" i="4"/>
  <c r="AV630" i="4"/>
  <c r="AU630" i="4"/>
  <c r="AT630" i="4"/>
  <c r="AS630" i="4"/>
  <c r="AR630" i="4"/>
  <c r="BW629" i="4"/>
  <c r="BV629" i="4"/>
  <c r="BU629" i="4"/>
  <c r="BT629" i="4"/>
  <c r="BS629" i="4"/>
  <c r="BR629" i="4"/>
  <c r="BQ629" i="4"/>
  <c r="BP629" i="4"/>
  <c r="BO629" i="4"/>
  <c r="BN629" i="4"/>
  <c r="BM629" i="4"/>
  <c r="BL629" i="4"/>
  <c r="BK629" i="4"/>
  <c r="BJ629" i="4"/>
  <c r="BI629" i="4"/>
  <c r="BH629" i="4"/>
  <c r="BG629" i="4"/>
  <c r="BF629" i="4"/>
  <c r="BE629" i="4"/>
  <c r="BD629" i="4"/>
  <c r="BC629" i="4"/>
  <c r="BB629" i="4"/>
  <c r="BA629" i="4"/>
  <c r="AZ629" i="4"/>
  <c r="AY629" i="4"/>
  <c r="AX629" i="4"/>
  <c r="AW629" i="4"/>
  <c r="AV629" i="4"/>
  <c r="AU629" i="4"/>
  <c r="AT629" i="4"/>
  <c r="AS629" i="4"/>
  <c r="AR629" i="4"/>
  <c r="BW628" i="4"/>
  <c r="BV628" i="4"/>
  <c r="BU628" i="4"/>
  <c r="BT628" i="4"/>
  <c r="BS628" i="4"/>
  <c r="BR628" i="4"/>
  <c r="BQ628" i="4"/>
  <c r="BP628" i="4"/>
  <c r="BO628" i="4"/>
  <c r="BN628" i="4"/>
  <c r="BM628" i="4"/>
  <c r="BL628" i="4"/>
  <c r="BK628" i="4"/>
  <c r="BJ628" i="4"/>
  <c r="BI628" i="4"/>
  <c r="BH628" i="4"/>
  <c r="BG628" i="4"/>
  <c r="BF628" i="4"/>
  <c r="BE628" i="4"/>
  <c r="BD628" i="4"/>
  <c r="BC628" i="4"/>
  <c r="BB628" i="4"/>
  <c r="BA628" i="4"/>
  <c r="AZ628" i="4"/>
  <c r="AY628" i="4"/>
  <c r="AX628" i="4"/>
  <c r="AW628" i="4"/>
  <c r="AV628" i="4"/>
  <c r="AU628" i="4"/>
  <c r="AT628" i="4"/>
  <c r="AS628" i="4"/>
  <c r="AR628" i="4"/>
  <c r="BW627" i="4"/>
  <c r="BV627" i="4"/>
  <c r="BU627" i="4"/>
  <c r="BT627" i="4"/>
  <c r="BS627" i="4"/>
  <c r="BR627" i="4"/>
  <c r="BQ627" i="4"/>
  <c r="BP627" i="4"/>
  <c r="BO627" i="4"/>
  <c r="BN627" i="4"/>
  <c r="BM627" i="4"/>
  <c r="BL627" i="4"/>
  <c r="BK627" i="4"/>
  <c r="BJ627" i="4"/>
  <c r="BI627" i="4"/>
  <c r="BH627" i="4"/>
  <c r="BG627" i="4"/>
  <c r="BF627" i="4"/>
  <c r="BE627" i="4"/>
  <c r="BD627" i="4"/>
  <c r="BC627" i="4"/>
  <c r="BB627" i="4"/>
  <c r="BA627" i="4"/>
  <c r="AZ627" i="4"/>
  <c r="AY627" i="4"/>
  <c r="AX627" i="4"/>
  <c r="AW627" i="4"/>
  <c r="AV627" i="4"/>
  <c r="AU627" i="4"/>
  <c r="AT627" i="4"/>
  <c r="AS627" i="4"/>
  <c r="AR627" i="4"/>
  <c r="BW626" i="4"/>
  <c r="BV626" i="4"/>
  <c r="BU626" i="4"/>
  <c r="BT626" i="4"/>
  <c r="BS626" i="4"/>
  <c r="BR626" i="4"/>
  <c r="BQ626" i="4"/>
  <c r="BP626" i="4"/>
  <c r="BO626" i="4"/>
  <c r="BN626" i="4"/>
  <c r="BM626" i="4"/>
  <c r="BL626" i="4"/>
  <c r="BK626" i="4"/>
  <c r="BJ626" i="4"/>
  <c r="BI626" i="4"/>
  <c r="BH626" i="4"/>
  <c r="BG626" i="4"/>
  <c r="BF626" i="4"/>
  <c r="BE626" i="4"/>
  <c r="BD626" i="4"/>
  <c r="BC626" i="4"/>
  <c r="BB626" i="4"/>
  <c r="BA626" i="4"/>
  <c r="AZ626" i="4"/>
  <c r="AY626" i="4"/>
  <c r="AX626" i="4"/>
  <c r="AW626" i="4"/>
  <c r="AV626" i="4"/>
  <c r="AU626" i="4"/>
  <c r="AT626" i="4"/>
  <c r="AS626" i="4"/>
  <c r="AR626" i="4"/>
  <c r="BW625" i="4"/>
  <c r="BV625" i="4"/>
  <c r="BU625" i="4"/>
  <c r="BT625" i="4"/>
  <c r="BS625" i="4"/>
  <c r="BR625" i="4"/>
  <c r="BQ625" i="4"/>
  <c r="BP625" i="4"/>
  <c r="BO625" i="4"/>
  <c r="BN625" i="4"/>
  <c r="BM625" i="4"/>
  <c r="BL625" i="4"/>
  <c r="BK625" i="4"/>
  <c r="BJ625" i="4"/>
  <c r="BI625" i="4"/>
  <c r="BH625" i="4"/>
  <c r="BG625" i="4"/>
  <c r="BF625" i="4"/>
  <c r="BE625" i="4"/>
  <c r="BD625" i="4"/>
  <c r="BC625" i="4"/>
  <c r="BB625" i="4"/>
  <c r="BA625" i="4"/>
  <c r="AZ625" i="4"/>
  <c r="AY625" i="4"/>
  <c r="AX625" i="4"/>
  <c r="AW625" i="4"/>
  <c r="AV625" i="4"/>
  <c r="AU625" i="4"/>
  <c r="AT625" i="4"/>
  <c r="AS625" i="4"/>
  <c r="AR625" i="4"/>
  <c r="BW624" i="4"/>
  <c r="BV624" i="4"/>
  <c r="BU624" i="4"/>
  <c r="BT624" i="4"/>
  <c r="BS624" i="4"/>
  <c r="BR624" i="4"/>
  <c r="BQ624" i="4"/>
  <c r="BP624" i="4"/>
  <c r="BO624" i="4"/>
  <c r="BN624" i="4"/>
  <c r="BM624" i="4"/>
  <c r="BL624" i="4"/>
  <c r="BK624" i="4"/>
  <c r="BJ624" i="4"/>
  <c r="BI624" i="4"/>
  <c r="BH624" i="4"/>
  <c r="BG624" i="4"/>
  <c r="BF624" i="4"/>
  <c r="BE624" i="4"/>
  <c r="BD624" i="4"/>
  <c r="BC624" i="4"/>
  <c r="BB624" i="4"/>
  <c r="BA624" i="4"/>
  <c r="AZ624" i="4"/>
  <c r="AY624" i="4"/>
  <c r="AX624" i="4"/>
  <c r="AW624" i="4"/>
  <c r="AV624" i="4"/>
  <c r="AU624" i="4"/>
  <c r="AT624" i="4"/>
  <c r="AS624" i="4"/>
  <c r="AR624" i="4"/>
  <c r="BW623" i="4"/>
  <c r="BV623" i="4"/>
  <c r="BU623" i="4"/>
  <c r="BT623" i="4"/>
  <c r="BS623" i="4"/>
  <c r="BR623" i="4"/>
  <c r="BQ623" i="4"/>
  <c r="BP623" i="4"/>
  <c r="BO623" i="4"/>
  <c r="BN623" i="4"/>
  <c r="BM623" i="4"/>
  <c r="BL623" i="4"/>
  <c r="BK623" i="4"/>
  <c r="BJ623" i="4"/>
  <c r="BI623" i="4"/>
  <c r="BH623" i="4"/>
  <c r="BG623" i="4"/>
  <c r="BF623" i="4"/>
  <c r="BE623" i="4"/>
  <c r="BD623" i="4"/>
  <c r="BC623" i="4"/>
  <c r="BB623" i="4"/>
  <c r="BA623" i="4"/>
  <c r="AZ623" i="4"/>
  <c r="AY623" i="4"/>
  <c r="AX623" i="4"/>
  <c r="AW623" i="4"/>
  <c r="AV623" i="4"/>
  <c r="AU623" i="4"/>
  <c r="AT623" i="4"/>
  <c r="AS623" i="4"/>
  <c r="AR623" i="4"/>
  <c r="BW622" i="4"/>
  <c r="BV622" i="4"/>
  <c r="BU622" i="4"/>
  <c r="BT622" i="4"/>
  <c r="BS622" i="4"/>
  <c r="BR622" i="4"/>
  <c r="BQ622" i="4"/>
  <c r="BP622" i="4"/>
  <c r="BO622" i="4"/>
  <c r="BN622" i="4"/>
  <c r="BM622" i="4"/>
  <c r="BL622" i="4"/>
  <c r="BK622" i="4"/>
  <c r="BJ622" i="4"/>
  <c r="BI622" i="4"/>
  <c r="BH622" i="4"/>
  <c r="BG622" i="4"/>
  <c r="BF622" i="4"/>
  <c r="BE622" i="4"/>
  <c r="BD622" i="4"/>
  <c r="BC622" i="4"/>
  <c r="BB622" i="4"/>
  <c r="BA622" i="4"/>
  <c r="AZ622" i="4"/>
  <c r="AY622" i="4"/>
  <c r="AX622" i="4"/>
  <c r="AW622" i="4"/>
  <c r="AV622" i="4"/>
  <c r="AU622" i="4"/>
  <c r="AT622" i="4"/>
  <c r="AS622" i="4"/>
  <c r="AR622" i="4"/>
  <c r="BW621" i="4"/>
  <c r="BV621" i="4"/>
  <c r="BU621" i="4"/>
  <c r="BT621" i="4"/>
  <c r="BS621" i="4"/>
  <c r="BR621" i="4"/>
  <c r="BQ621" i="4"/>
  <c r="BP621" i="4"/>
  <c r="BO621" i="4"/>
  <c r="BN621" i="4"/>
  <c r="BM621" i="4"/>
  <c r="BL621" i="4"/>
  <c r="BK621" i="4"/>
  <c r="BJ621" i="4"/>
  <c r="BI621" i="4"/>
  <c r="BH621" i="4"/>
  <c r="BG621" i="4"/>
  <c r="BF621" i="4"/>
  <c r="BE621" i="4"/>
  <c r="BD621" i="4"/>
  <c r="BC621" i="4"/>
  <c r="BB621" i="4"/>
  <c r="BA621" i="4"/>
  <c r="AZ621" i="4"/>
  <c r="AY621" i="4"/>
  <c r="AX621" i="4"/>
  <c r="AW621" i="4"/>
  <c r="AV621" i="4"/>
  <c r="AU621" i="4"/>
  <c r="AT621" i="4"/>
  <c r="AS621" i="4"/>
  <c r="AR621" i="4"/>
  <c r="BW620" i="4"/>
  <c r="BV620" i="4"/>
  <c r="BU620" i="4"/>
  <c r="BT620" i="4"/>
  <c r="BS620" i="4"/>
  <c r="BR620" i="4"/>
  <c r="BQ620" i="4"/>
  <c r="BP620" i="4"/>
  <c r="BO620" i="4"/>
  <c r="BN620" i="4"/>
  <c r="BM620" i="4"/>
  <c r="BL620" i="4"/>
  <c r="BK620" i="4"/>
  <c r="BJ620" i="4"/>
  <c r="BI620" i="4"/>
  <c r="BH620" i="4"/>
  <c r="BG620" i="4"/>
  <c r="BF620" i="4"/>
  <c r="BE620" i="4"/>
  <c r="BD620" i="4"/>
  <c r="BC620" i="4"/>
  <c r="BB620" i="4"/>
  <c r="BA620" i="4"/>
  <c r="AZ620" i="4"/>
  <c r="AY620" i="4"/>
  <c r="AX620" i="4"/>
  <c r="AW620" i="4"/>
  <c r="AV620" i="4"/>
  <c r="AU620" i="4"/>
  <c r="AT620" i="4"/>
  <c r="AS620" i="4"/>
  <c r="AR620" i="4"/>
  <c r="BW619" i="4"/>
  <c r="BV619" i="4"/>
  <c r="BU619" i="4"/>
  <c r="BT619" i="4"/>
  <c r="BS619" i="4"/>
  <c r="BR619" i="4"/>
  <c r="BQ619" i="4"/>
  <c r="BP619" i="4"/>
  <c r="BO619" i="4"/>
  <c r="BN619" i="4"/>
  <c r="BM619" i="4"/>
  <c r="BL619" i="4"/>
  <c r="BK619" i="4"/>
  <c r="BJ619" i="4"/>
  <c r="BI619" i="4"/>
  <c r="BH619" i="4"/>
  <c r="BG619" i="4"/>
  <c r="BF619" i="4"/>
  <c r="BE619" i="4"/>
  <c r="BD619" i="4"/>
  <c r="BC619" i="4"/>
  <c r="BB619" i="4"/>
  <c r="BA619" i="4"/>
  <c r="AZ619" i="4"/>
  <c r="AY619" i="4"/>
  <c r="AX619" i="4"/>
  <c r="AW619" i="4"/>
  <c r="AV619" i="4"/>
  <c r="AU619" i="4"/>
  <c r="AT619" i="4"/>
  <c r="AS619" i="4"/>
  <c r="AR619" i="4"/>
  <c r="BW644" i="4"/>
  <c r="BV644" i="4"/>
  <c r="BU644" i="4"/>
  <c r="BT644" i="4"/>
  <c r="BS644" i="4"/>
  <c r="BR644" i="4"/>
  <c r="BQ644" i="4"/>
  <c r="BP644" i="4"/>
  <c r="BO644" i="4"/>
  <c r="BN644" i="4"/>
  <c r="BM644" i="4"/>
  <c r="BL644" i="4"/>
  <c r="BK644" i="4"/>
  <c r="BJ644" i="4"/>
  <c r="BI644" i="4"/>
  <c r="BH644" i="4"/>
  <c r="BG644" i="4"/>
  <c r="BF644" i="4"/>
  <c r="BE644" i="4"/>
  <c r="BD644" i="4"/>
  <c r="BC644" i="4"/>
  <c r="BB644" i="4"/>
  <c r="BA644" i="4"/>
  <c r="AZ644" i="4"/>
  <c r="AY644" i="4"/>
  <c r="AX644" i="4"/>
  <c r="AW644" i="4"/>
  <c r="AV644" i="4"/>
  <c r="AU644" i="4"/>
  <c r="AT644" i="4"/>
  <c r="AS644" i="4"/>
  <c r="AR644" i="4"/>
  <c r="BW643" i="4"/>
  <c r="BV643" i="4"/>
  <c r="BU643" i="4"/>
  <c r="BT643" i="4"/>
  <c r="BS643" i="4"/>
  <c r="BR643" i="4"/>
  <c r="BQ643" i="4"/>
  <c r="BP643" i="4"/>
  <c r="BO643" i="4"/>
  <c r="BN643" i="4"/>
  <c r="BM643" i="4"/>
  <c r="BL643" i="4"/>
  <c r="BK643" i="4"/>
  <c r="BJ643" i="4"/>
  <c r="BI643" i="4"/>
  <c r="BH643" i="4"/>
  <c r="BG643" i="4"/>
  <c r="BF643" i="4"/>
  <c r="BE643" i="4"/>
  <c r="BD643" i="4"/>
  <c r="BC643" i="4"/>
  <c r="BB643" i="4"/>
  <c r="BA643" i="4"/>
  <c r="AZ643" i="4"/>
  <c r="AY643" i="4"/>
  <c r="AX643" i="4"/>
  <c r="AW643" i="4"/>
  <c r="AV643" i="4"/>
  <c r="AU643" i="4"/>
  <c r="AT643" i="4"/>
  <c r="AS643" i="4"/>
  <c r="AR643" i="4"/>
  <c r="BW642" i="4"/>
  <c r="BV642" i="4"/>
  <c r="BU642" i="4"/>
  <c r="BT642" i="4"/>
  <c r="BS642" i="4"/>
  <c r="BR642" i="4"/>
  <c r="BQ642" i="4"/>
  <c r="BP642" i="4"/>
  <c r="BO642" i="4"/>
  <c r="BN642" i="4"/>
  <c r="BM642" i="4"/>
  <c r="BL642" i="4"/>
  <c r="BK642" i="4"/>
  <c r="BJ642" i="4"/>
  <c r="BI642" i="4"/>
  <c r="BH642" i="4"/>
  <c r="BG642" i="4"/>
  <c r="BF642" i="4"/>
  <c r="BE642" i="4"/>
  <c r="BD642" i="4"/>
  <c r="BC642" i="4"/>
  <c r="BB642" i="4"/>
  <c r="BA642" i="4"/>
  <c r="AZ642" i="4"/>
  <c r="AY642" i="4"/>
  <c r="AX642" i="4"/>
  <c r="AW642" i="4"/>
  <c r="AV642" i="4"/>
  <c r="AU642" i="4"/>
  <c r="AT642" i="4"/>
  <c r="AS642" i="4"/>
  <c r="AR642" i="4"/>
  <c r="BW641" i="4"/>
  <c r="BV641" i="4"/>
  <c r="BU641" i="4"/>
  <c r="BT641" i="4"/>
  <c r="BS641" i="4"/>
  <c r="BR641" i="4"/>
  <c r="BQ641" i="4"/>
  <c r="BP641" i="4"/>
  <c r="BO641" i="4"/>
  <c r="BN641" i="4"/>
  <c r="BM641" i="4"/>
  <c r="BL641" i="4"/>
  <c r="BK641" i="4"/>
  <c r="BJ641" i="4"/>
  <c r="BI641" i="4"/>
  <c r="BH641" i="4"/>
  <c r="BG641" i="4"/>
  <c r="BF641" i="4"/>
  <c r="BE641" i="4"/>
  <c r="BD641" i="4"/>
  <c r="BC641" i="4"/>
  <c r="BB641" i="4"/>
  <c r="BA641" i="4"/>
  <c r="AZ641" i="4"/>
  <c r="AY641" i="4"/>
  <c r="AX641" i="4"/>
  <c r="AW641" i="4"/>
  <c r="AV641" i="4"/>
  <c r="AU641" i="4"/>
  <c r="AT641" i="4"/>
  <c r="AS641" i="4"/>
  <c r="AR641" i="4"/>
  <c r="BW640" i="4"/>
  <c r="BV640" i="4"/>
  <c r="BU640" i="4"/>
  <c r="BT640" i="4"/>
  <c r="BS640" i="4"/>
  <c r="BR640" i="4"/>
  <c r="BQ640" i="4"/>
  <c r="BP640" i="4"/>
  <c r="BO640" i="4"/>
  <c r="BN640" i="4"/>
  <c r="BM640" i="4"/>
  <c r="BL640" i="4"/>
  <c r="BK640" i="4"/>
  <c r="BJ640" i="4"/>
  <c r="BI640" i="4"/>
  <c r="BH640" i="4"/>
  <c r="BG640" i="4"/>
  <c r="BF640" i="4"/>
  <c r="BE640" i="4"/>
  <c r="BD640" i="4"/>
  <c r="BC640" i="4"/>
  <c r="BB640" i="4"/>
  <c r="BA640" i="4"/>
  <c r="AZ640" i="4"/>
  <c r="AY640" i="4"/>
  <c r="AX640" i="4"/>
  <c r="AW640" i="4"/>
  <c r="AV640" i="4"/>
  <c r="AU640" i="4"/>
  <c r="AT640" i="4"/>
  <c r="AS640" i="4"/>
  <c r="AR640" i="4"/>
  <c r="BW639" i="4"/>
  <c r="BV639" i="4"/>
  <c r="BU639" i="4"/>
  <c r="BT639" i="4"/>
  <c r="BS639" i="4"/>
  <c r="BR639" i="4"/>
  <c r="BQ639" i="4"/>
  <c r="BP639" i="4"/>
  <c r="BO639" i="4"/>
  <c r="BN639" i="4"/>
  <c r="BM639" i="4"/>
  <c r="BL639" i="4"/>
  <c r="BK639" i="4"/>
  <c r="BJ639" i="4"/>
  <c r="BI639" i="4"/>
  <c r="BH639" i="4"/>
  <c r="BG639" i="4"/>
  <c r="BF639" i="4"/>
  <c r="BE639" i="4"/>
  <c r="BD639" i="4"/>
  <c r="BC639" i="4"/>
  <c r="BB639" i="4"/>
  <c r="BA639" i="4"/>
  <c r="AZ639" i="4"/>
  <c r="AY639" i="4"/>
  <c r="AX639" i="4"/>
  <c r="AW639" i="4"/>
  <c r="AV639" i="4"/>
  <c r="AU639" i="4"/>
  <c r="AT639" i="4"/>
  <c r="AS639" i="4"/>
  <c r="AR639" i="4"/>
  <c r="BW638" i="4"/>
  <c r="BV638" i="4"/>
  <c r="BU638" i="4"/>
  <c r="BT638" i="4"/>
  <c r="BS638" i="4"/>
  <c r="BR638" i="4"/>
  <c r="BQ638" i="4"/>
  <c r="BP638" i="4"/>
  <c r="BO638" i="4"/>
  <c r="BN638" i="4"/>
  <c r="BM638" i="4"/>
  <c r="BL638" i="4"/>
  <c r="BK638" i="4"/>
  <c r="BJ638" i="4"/>
  <c r="BI638" i="4"/>
  <c r="BH638" i="4"/>
  <c r="BG638" i="4"/>
  <c r="BF638" i="4"/>
  <c r="BE638" i="4"/>
  <c r="BD638" i="4"/>
  <c r="BC638" i="4"/>
  <c r="BB638" i="4"/>
  <c r="BA638" i="4"/>
  <c r="AZ638" i="4"/>
  <c r="AY638" i="4"/>
  <c r="AX638" i="4"/>
  <c r="AW638" i="4"/>
  <c r="AV638" i="4"/>
  <c r="AU638" i="4"/>
  <c r="AT638" i="4"/>
  <c r="AS638" i="4"/>
  <c r="AR638" i="4"/>
  <c r="BW637" i="4"/>
  <c r="BV637" i="4"/>
  <c r="BU637" i="4"/>
  <c r="BT637" i="4"/>
  <c r="BS637" i="4"/>
  <c r="BR637" i="4"/>
  <c r="BQ637" i="4"/>
  <c r="BP637" i="4"/>
  <c r="BO637" i="4"/>
  <c r="BN637" i="4"/>
  <c r="BM637" i="4"/>
  <c r="BL637" i="4"/>
  <c r="BK637" i="4"/>
  <c r="BJ637" i="4"/>
  <c r="BI637" i="4"/>
  <c r="BH637" i="4"/>
  <c r="BG637" i="4"/>
  <c r="BF637" i="4"/>
  <c r="BE637" i="4"/>
  <c r="BD637" i="4"/>
  <c r="BC637" i="4"/>
  <c r="BB637" i="4"/>
  <c r="BA637" i="4"/>
  <c r="AZ637" i="4"/>
  <c r="AY637" i="4"/>
  <c r="AX637" i="4"/>
  <c r="AW637" i="4"/>
  <c r="AV637" i="4"/>
  <c r="AU637" i="4"/>
  <c r="AT637" i="4"/>
  <c r="AS637" i="4"/>
  <c r="AR637" i="4"/>
  <c r="BW636" i="4"/>
  <c r="BV636" i="4"/>
  <c r="BU636" i="4"/>
  <c r="BT636" i="4"/>
  <c r="BS636" i="4"/>
  <c r="BR636" i="4"/>
  <c r="BQ636" i="4"/>
  <c r="BP636" i="4"/>
  <c r="BO636" i="4"/>
  <c r="BN636" i="4"/>
  <c r="BM636" i="4"/>
  <c r="BL636" i="4"/>
  <c r="BK636" i="4"/>
  <c r="BJ636" i="4"/>
  <c r="BI636" i="4"/>
  <c r="BH636" i="4"/>
  <c r="BG636" i="4"/>
  <c r="BF636" i="4"/>
  <c r="BE636" i="4"/>
  <c r="BD636" i="4"/>
  <c r="BC636" i="4"/>
  <c r="BB636" i="4"/>
  <c r="BA636" i="4"/>
  <c r="AZ636" i="4"/>
  <c r="AY636" i="4"/>
  <c r="AX636" i="4"/>
  <c r="AW636" i="4"/>
  <c r="AV636" i="4"/>
  <c r="AU636" i="4"/>
  <c r="AT636" i="4"/>
  <c r="AS636" i="4"/>
  <c r="AR636" i="4"/>
  <c r="BW635" i="4"/>
  <c r="BV635" i="4"/>
  <c r="BU635" i="4"/>
  <c r="BT635" i="4"/>
  <c r="BS635" i="4"/>
  <c r="BR635" i="4"/>
  <c r="BQ635" i="4"/>
  <c r="BP635" i="4"/>
  <c r="BO635" i="4"/>
  <c r="BN635" i="4"/>
  <c r="BM635" i="4"/>
  <c r="BL635" i="4"/>
  <c r="BK635" i="4"/>
  <c r="BJ635" i="4"/>
  <c r="BI635" i="4"/>
  <c r="BH635" i="4"/>
  <c r="BG635" i="4"/>
  <c r="BF635" i="4"/>
  <c r="BE635" i="4"/>
  <c r="BD635" i="4"/>
  <c r="BC635" i="4"/>
  <c r="BB635" i="4"/>
  <c r="BA635" i="4"/>
  <c r="AZ635" i="4"/>
  <c r="AY635" i="4"/>
  <c r="AX635" i="4"/>
  <c r="AW635" i="4"/>
  <c r="AV635" i="4"/>
  <c r="AU635" i="4"/>
  <c r="AT635" i="4"/>
  <c r="AS635" i="4"/>
  <c r="AR635" i="4"/>
  <c r="H502" i="1"/>
  <c r="F502" i="1"/>
  <c r="D502" i="1"/>
  <c r="C502" i="1"/>
  <c r="H501" i="1"/>
  <c r="F501" i="1"/>
  <c r="D501" i="1"/>
  <c r="C501" i="1"/>
  <c r="H500" i="1"/>
  <c r="F500" i="1"/>
  <c r="D500" i="1"/>
  <c r="C500" i="1"/>
  <c r="H499" i="1"/>
  <c r="F499" i="1"/>
  <c r="D499" i="1"/>
  <c r="C499" i="1"/>
  <c r="H498" i="1"/>
  <c r="F498" i="1"/>
  <c r="D498" i="1"/>
  <c r="C498" i="1"/>
  <c r="H497" i="1"/>
  <c r="F497" i="1"/>
  <c r="D497" i="1"/>
  <c r="C497" i="1"/>
  <c r="H496" i="1"/>
  <c r="F496" i="1"/>
  <c r="D496" i="1"/>
  <c r="C496" i="1"/>
  <c r="H495" i="1"/>
  <c r="F495" i="1"/>
  <c r="D495" i="1"/>
  <c r="C495" i="1"/>
  <c r="H494" i="1"/>
  <c r="F494" i="1"/>
  <c r="D494" i="1"/>
  <c r="C494" i="1"/>
  <c r="H493" i="1"/>
  <c r="F493" i="1"/>
  <c r="D493" i="1"/>
  <c r="C493" i="1"/>
  <c r="H492" i="1"/>
  <c r="F492" i="1"/>
  <c r="D492" i="1"/>
  <c r="C492" i="1"/>
  <c r="H491" i="1"/>
  <c r="F491" i="1"/>
  <c r="D491" i="1"/>
  <c r="C491" i="1"/>
  <c r="H490" i="1"/>
  <c r="F490" i="1"/>
  <c r="D490" i="1"/>
  <c r="C490" i="1"/>
  <c r="H489" i="1"/>
  <c r="F489" i="1"/>
  <c r="D489" i="1"/>
  <c r="C489" i="1"/>
  <c r="H488" i="1"/>
  <c r="F488" i="1"/>
  <c r="D488" i="1"/>
  <c r="C488" i="1"/>
  <c r="H487" i="1"/>
  <c r="F487" i="1"/>
  <c r="D487" i="1"/>
  <c r="C487" i="1"/>
  <c r="H486" i="1"/>
  <c r="F486" i="1"/>
  <c r="D486" i="1"/>
  <c r="C486" i="1"/>
  <c r="H485" i="1"/>
  <c r="F485" i="1"/>
  <c r="D485" i="1"/>
  <c r="C485" i="1"/>
  <c r="H484" i="1"/>
  <c r="F484" i="1"/>
  <c r="D484" i="1"/>
  <c r="C484" i="1"/>
  <c r="H483" i="1"/>
  <c r="F483" i="1"/>
  <c r="D483" i="1"/>
  <c r="C483" i="1"/>
  <c r="H482" i="1"/>
  <c r="F482" i="1"/>
  <c r="D482" i="1"/>
  <c r="C482" i="1"/>
  <c r="H481" i="1"/>
  <c r="F481" i="1"/>
  <c r="D481" i="1"/>
  <c r="C481" i="1"/>
  <c r="H480" i="1"/>
  <c r="F480" i="1"/>
  <c r="D480" i="1"/>
  <c r="C480" i="1"/>
  <c r="H479" i="1"/>
  <c r="F479" i="1"/>
  <c r="D479" i="1"/>
  <c r="C479" i="1"/>
  <c r="H478" i="1"/>
  <c r="F478" i="1"/>
  <c r="D478" i="1"/>
  <c r="C478" i="1"/>
  <c r="H477" i="1"/>
  <c r="F477" i="1"/>
  <c r="D477" i="1"/>
  <c r="C477" i="1"/>
  <c r="H476" i="1"/>
  <c r="F476" i="1"/>
  <c r="D476" i="1"/>
  <c r="C476" i="1"/>
  <c r="H475" i="1"/>
  <c r="F475" i="1"/>
  <c r="D475" i="1"/>
  <c r="C475" i="1"/>
  <c r="H474" i="1"/>
  <c r="F474" i="1"/>
  <c r="D474" i="1"/>
  <c r="C474" i="1"/>
  <c r="H473" i="1"/>
  <c r="F473" i="1"/>
  <c r="D473" i="1"/>
  <c r="C473" i="1"/>
  <c r="H472" i="1"/>
  <c r="F472" i="1"/>
  <c r="D472" i="1"/>
  <c r="C472" i="1"/>
  <c r="H471" i="1"/>
  <c r="F471" i="1"/>
  <c r="D471" i="1"/>
  <c r="C471" i="1"/>
  <c r="H470" i="1"/>
  <c r="F470" i="1"/>
  <c r="D470" i="1"/>
  <c r="C470" i="1"/>
  <c r="H469" i="1"/>
  <c r="F469" i="1"/>
  <c r="D469" i="1"/>
  <c r="C469" i="1"/>
  <c r="H468" i="1"/>
  <c r="F468" i="1"/>
  <c r="D468" i="1"/>
  <c r="C468" i="1"/>
  <c r="H467" i="1"/>
  <c r="F467" i="1"/>
  <c r="D467" i="1"/>
  <c r="C467" i="1"/>
  <c r="H466" i="1"/>
  <c r="F466" i="1"/>
  <c r="D466" i="1"/>
  <c r="C466" i="1"/>
  <c r="H465" i="1"/>
  <c r="F465" i="1"/>
  <c r="D465" i="1"/>
  <c r="C465" i="1"/>
  <c r="H464" i="1"/>
  <c r="F464" i="1"/>
  <c r="D464" i="1"/>
  <c r="C464" i="1"/>
  <c r="H463" i="1"/>
  <c r="F463" i="1"/>
  <c r="D463" i="1"/>
  <c r="C463" i="1"/>
  <c r="H462" i="1"/>
  <c r="F462" i="1"/>
  <c r="D462" i="1"/>
  <c r="C462" i="1"/>
  <c r="H461" i="1"/>
  <c r="F461" i="1"/>
  <c r="D461" i="1"/>
  <c r="C461" i="1"/>
  <c r="H460" i="1"/>
  <c r="F460" i="1"/>
  <c r="D460" i="1"/>
  <c r="C460" i="1"/>
  <c r="H459" i="1"/>
  <c r="F459" i="1"/>
  <c r="D459" i="1"/>
  <c r="C459" i="1"/>
  <c r="H458" i="1"/>
  <c r="F458" i="1"/>
  <c r="D458" i="1"/>
  <c r="C458" i="1"/>
  <c r="H457" i="1"/>
  <c r="F457" i="1"/>
  <c r="D457" i="1"/>
  <c r="C457" i="1"/>
  <c r="H456" i="1"/>
  <c r="F456" i="1"/>
  <c r="D456" i="1"/>
  <c r="C456" i="1"/>
  <c r="H455" i="1"/>
  <c r="F455" i="1"/>
  <c r="D455" i="1"/>
  <c r="C455" i="1"/>
  <c r="H454" i="1"/>
  <c r="F454" i="1"/>
  <c r="D454" i="1"/>
  <c r="C454" i="1"/>
  <c r="H453" i="1"/>
  <c r="F453" i="1"/>
  <c r="D453" i="1"/>
  <c r="C453" i="1"/>
  <c r="H452" i="1"/>
  <c r="F452" i="1"/>
  <c r="D452" i="1"/>
  <c r="C452" i="1"/>
  <c r="H451" i="1"/>
  <c r="F451" i="1"/>
  <c r="D451" i="1"/>
  <c r="C451" i="1"/>
  <c r="H450" i="1"/>
  <c r="F450" i="1"/>
  <c r="D450" i="1"/>
  <c r="C450" i="1"/>
  <c r="F288" i="1"/>
  <c r="F289" i="1"/>
  <c r="F290" i="1"/>
  <c r="F291" i="1"/>
  <c r="F88" i="1"/>
  <c r="F89" i="1"/>
  <c r="F90" i="1"/>
  <c r="F91" i="1"/>
  <c r="D579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546" i="1"/>
  <c r="D545" i="1"/>
  <c r="D544" i="1"/>
  <c r="D543" i="1"/>
  <c r="D542" i="1"/>
  <c r="D541" i="1"/>
  <c r="D540" i="1"/>
  <c r="D539" i="1"/>
  <c r="D538" i="1"/>
  <c r="D537" i="1"/>
  <c r="D536" i="1"/>
  <c r="D431" i="1"/>
  <c r="D430" i="1"/>
  <c r="D429" i="1"/>
  <c r="D428" i="1"/>
  <c r="D427" i="1"/>
  <c r="D426" i="1"/>
  <c r="D425" i="1"/>
  <c r="D424" i="1"/>
  <c r="D423" i="1"/>
  <c r="D422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257" i="1"/>
  <c r="D256" i="1"/>
  <c r="D255" i="1"/>
  <c r="D254" i="1"/>
  <c r="D232" i="1"/>
  <c r="D231" i="1"/>
  <c r="D230" i="1"/>
  <c r="D229" i="1"/>
  <c r="D228" i="1"/>
  <c r="D227" i="1"/>
  <c r="D226" i="1"/>
  <c r="D225" i="1"/>
  <c r="D224" i="1"/>
  <c r="D223" i="1"/>
  <c r="D222" i="1"/>
  <c r="D299" i="1"/>
  <c r="D298" i="1"/>
  <c r="D297" i="1"/>
  <c r="D296" i="1"/>
  <c r="D295" i="1"/>
  <c r="D294" i="1"/>
  <c r="D293" i="1"/>
  <c r="D292" i="1"/>
  <c r="D157" i="1"/>
  <c r="D156" i="1"/>
  <c r="D155" i="1"/>
  <c r="D154" i="1"/>
  <c r="D291" i="1"/>
  <c r="D290" i="1"/>
  <c r="D289" i="1"/>
  <c r="D288" i="1"/>
  <c r="D214" i="1"/>
  <c r="D213" i="1"/>
  <c r="D212" i="1"/>
  <c r="D211" i="1"/>
  <c r="D210" i="1"/>
  <c r="D273" i="1"/>
  <c r="D272" i="1"/>
  <c r="D271" i="1"/>
  <c r="D270" i="1"/>
  <c r="D269" i="1"/>
  <c r="D268" i="1"/>
  <c r="D267" i="1"/>
  <c r="D264" i="1"/>
  <c r="D263" i="1"/>
  <c r="D262" i="1"/>
  <c r="D261" i="1"/>
  <c r="D260" i="1"/>
  <c r="D259" i="1"/>
  <c r="D258" i="1"/>
  <c r="D266" i="1"/>
  <c r="D265" i="1"/>
  <c r="D195" i="1"/>
  <c r="D194" i="1"/>
  <c r="D287" i="1"/>
  <c r="D286" i="1"/>
  <c r="D285" i="1"/>
  <c r="D284" i="1"/>
  <c r="D283" i="1"/>
  <c r="D282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21" i="1"/>
  <c r="D220" i="1"/>
  <c r="D219" i="1"/>
  <c r="D218" i="1"/>
  <c r="D217" i="1"/>
  <c r="D216" i="1"/>
  <c r="D215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281" i="1"/>
  <c r="D280" i="1"/>
  <c r="D279" i="1"/>
  <c r="D278" i="1"/>
  <c r="D277" i="1"/>
  <c r="D276" i="1"/>
  <c r="D275" i="1"/>
  <c r="D274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7" i="1"/>
  <c r="D16" i="1"/>
  <c r="D15" i="1"/>
  <c r="D14" i="1"/>
  <c r="D13" i="1"/>
  <c r="D12" i="1"/>
  <c r="D11" i="1"/>
  <c r="D10" i="1"/>
  <c r="D9" i="1"/>
  <c r="D8" i="1"/>
  <c r="D7" i="1"/>
  <c r="D6" i="1"/>
  <c r="D39" i="1"/>
  <c r="D38" i="1"/>
  <c r="D37" i="1"/>
  <c r="D36" i="1"/>
  <c r="D35" i="1"/>
  <c r="D34" i="1"/>
  <c r="D33" i="1"/>
  <c r="D32" i="1"/>
  <c r="D31" i="1"/>
  <c r="D30" i="1"/>
  <c r="D29" i="1"/>
  <c r="D100" i="1"/>
  <c r="D99" i="1"/>
  <c r="D98" i="1"/>
  <c r="D97" i="1"/>
  <c r="D96" i="1"/>
  <c r="D95" i="1"/>
  <c r="D94" i="1"/>
  <c r="D93" i="1"/>
  <c r="D92" i="1"/>
  <c r="D111" i="1"/>
  <c r="D110" i="1"/>
  <c r="D109" i="1"/>
  <c r="D87" i="1"/>
  <c r="D86" i="1"/>
  <c r="D85" i="1"/>
  <c r="D84" i="1"/>
  <c r="D83" i="1"/>
  <c r="D82" i="1"/>
  <c r="D81" i="1"/>
  <c r="D80" i="1"/>
  <c r="D153" i="1"/>
  <c r="D152" i="1"/>
  <c r="D108" i="1"/>
  <c r="D107" i="1"/>
  <c r="D106" i="1"/>
  <c r="D105" i="1"/>
  <c r="D104" i="1"/>
  <c r="D103" i="1"/>
  <c r="D102" i="1"/>
  <c r="D101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91" i="1"/>
  <c r="D90" i="1"/>
  <c r="D89" i="1"/>
  <c r="D88" i="1"/>
  <c r="D22" i="1"/>
  <c r="D21" i="1"/>
  <c r="D20" i="1"/>
  <c r="D19" i="1"/>
  <c r="D18" i="1"/>
  <c r="D28" i="1"/>
  <c r="D27" i="1"/>
  <c r="D26" i="1"/>
  <c r="D25" i="1"/>
  <c r="D24" i="1"/>
  <c r="D23" i="1"/>
  <c r="D120" i="1"/>
  <c r="D119" i="1"/>
  <c r="D118" i="1"/>
  <c r="D117" i="1"/>
  <c r="D116" i="1"/>
  <c r="D115" i="1"/>
  <c r="D114" i="1"/>
  <c r="D113" i="1"/>
  <c r="D112" i="1"/>
  <c r="D79" i="1"/>
  <c r="D78" i="1"/>
  <c r="D77" i="1"/>
  <c r="D76" i="1"/>
  <c r="D75" i="1"/>
  <c r="D74" i="1"/>
  <c r="D73" i="1"/>
  <c r="D72" i="1"/>
  <c r="D71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50" i="1"/>
  <c r="D349" i="1"/>
  <c r="D327" i="1"/>
  <c r="D317" i="1"/>
  <c r="D300" i="1"/>
  <c r="K617" i="1"/>
  <c r="H615" i="1"/>
  <c r="F615" i="1"/>
  <c r="C615" i="1"/>
  <c r="H614" i="1"/>
  <c r="F614" i="1"/>
  <c r="C614" i="1"/>
  <c r="H613" i="1"/>
  <c r="F613" i="1"/>
  <c r="C613" i="1"/>
  <c r="H612" i="1"/>
  <c r="F612" i="1"/>
  <c r="C612" i="1"/>
  <c r="H611" i="1"/>
  <c r="F611" i="1"/>
  <c r="C611" i="1"/>
  <c r="H610" i="1"/>
  <c r="F610" i="1"/>
  <c r="C610" i="1"/>
  <c r="H609" i="1"/>
  <c r="F609" i="1"/>
  <c r="C609" i="1"/>
  <c r="H608" i="1"/>
  <c r="F608" i="1"/>
  <c r="C608" i="1"/>
  <c r="H607" i="1"/>
  <c r="F607" i="1"/>
  <c r="C607" i="1"/>
  <c r="H606" i="1"/>
  <c r="F606" i="1"/>
  <c r="C606" i="1"/>
  <c r="H605" i="1"/>
  <c r="F605" i="1"/>
  <c r="C605" i="1"/>
  <c r="H604" i="1"/>
  <c r="F604" i="1"/>
  <c r="C604" i="1"/>
  <c r="H603" i="1"/>
  <c r="F603" i="1"/>
  <c r="C603" i="1"/>
  <c r="H602" i="1"/>
  <c r="F602" i="1"/>
  <c r="C602" i="1"/>
  <c r="H601" i="1"/>
  <c r="F601" i="1"/>
  <c r="C601" i="1"/>
  <c r="H600" i="1"/>
  <c r="F600" i="1"/>
  <c r="C600" i="1"/>
  <c r="H599" i="1"/>
  <c r="F599" i="1"/>
  <c r="C599" i="1"/>
  <c r="H598" i="1"/>
  <c r="F598" i="1"/>
  <c r="C598" i="1"/>
  <c r="H597" i="1"/>
  <c r="F597" i="1"/>
  <c r="C597" i="1"/>
  <c r="H596" i="1"/>
  <c r="F596" i="1"/>
  <c r="C596" i="1"/>
  <c r="H595" i="1"/>
  <c r="F595" i="1"/>
  <c r="C595" i="1"/>
  <c r="H594" i="1"/>
  <c r="F594" i="1"/>
  <c r="C594" i="1"/>
  <c r="H593" i="1"/>
  <c r="F593" i="1"/>
  <c r="C593" i="1"/>
  <c r="H592" i="1"/>
  <c r="F592" i="1"/>
  <c r="C592" i="1"/>
  <c r="H591" i="1"/>
  <c r="F591" i="1"/>
  <c r="C591" i="1"/>
  <c r="H590" i="1"/>
  <c r="F590" i="1"/>
  <c r="C590" i="1"/>
  <c r="H589" i="1"/>
  <c r="F589" i="1"/>
  <c r="C589" i="1"/>
  <c r="H588" i="1"/>
  <c r="F588" i="1"/>
  <c r="C588" i="1"/>
  <c r="H587" i="1"/>
  <c r="F587" i="1"/>
  <c r="C587" i="1"/>
  <c r="H586" i="1"/>
  <c r="F586" i="1"/>
  <c r="C586" i="1"/>
  <c r="H585" i="1"/>
  <c r="F585" i="1"/>
  <c r="C585" i="1"/>
  <c r="H563" i="1"/>
  <c r="F563" i="1"/>
  <c r="C563" i="1"/>
  <c r="H562" i="1"/>
  <c r="F562" i="1"/>
  <c r="C562" i="1"/>
  <c r="H561" i="1"/>
  <c r="F561" i="1"/>
  <c r="C561" i="1"/>
  <c r="H560" i="1"/>
  <c r="F560" i="1"/>
  <c r="C560" i="1"/>
  <c r="H559" i="1"/>
  <c r="F559" i="1"/>
  <c r="C559" i="1"/>
  <c r="H572" i="1"/>
  <c r="F572" i="1"/>
  <c r="C572" i="1"/>
  <c r="H571" i="1"/>
  <c r="F571" i="1"/>
  <c r="C571" i="1"/>
  <c r="H570" i="1"/>
  <c r="F570" i="1"/>
  <c r="C570" i="1"/>
  <c r="H569" i="1"/>
  <c r="F569" i="1"/>
  <c r="C569" i="1"/>
  <c r="H568" i="1"/>
  <c r="F568" i="1"/>
  <c r="C568" i="1"/>
  <c r="H567" i="1"/>
  <c r="F567" i="1"/>
  <c r="C567" i="1"/>
  <c r="H566" i="1"/>
  <c r="F566" i="1"/>
  <c r="C566" i="1"/>
  <c r="H565" i="1"/>
  <c r="F565" i="1"/>
  <c r="C565" i="1"/>
  <c r="H564" i="1"/>
  <c r="F564" i="1"/>
  <c r="C564" i="1"/>
  <c r="H551" i="1"/>
  <c r="F551" i="1"/>
  <c r="C551" i="1"/>
  <c r="H550" i="1"/>
  <c r="F550" i="1"/>
  <c r="C550" i="1"/>
  <c r="H549" i="1"/>
  <c r="F549" i="1"/>
  <c r="C549" i="1"/>
  <c r="H548" i="1"/>
  <c r="F548" i="1"/>
  <c r="C548" i="1"/>
  <c r="H547" i="1"/>
  <c r="F547" i="1"/>
  <c r="C547" i="1"/>
  <c r="H103" i="1"/>
  <c r="F103" i="1"/>
  <c r="C103" i="1"/>
  <c r="H102" i="1"/>
  <c r="F102" i="1"/>
  <c r="C102" i="1"/>
  <c r="H101" i="1"/>
  <c r="F101" i="1"/>
  <c r="C101" i="1"/>
  <c r="H133" i="1"/>
  <c r="F133" i="1"/>
  <c r="C133" i="1"/>
  <c r="H132" i="1"/>
  <c r="F132" i="1"/>
  <c r="C132" i="1"/>
  <c r="H131" i="1"/>
  <c r="F131" i="1"/>
  <c r="C131" i="1"/>
  <c r="H130" i="1"/>
  <c r="F130" i="1"/>
  <c r="C130" i="1"/>
  <c r="H129" i="1"/>
  <c r="F129" i="1"/>
  <c r="C129" i="1"/>
  <c r="H128" i="1"/>
  <c r="F128" i="1"/>
  <c r="C128" i="1"/>
  <c r="H127" i="1"/>
  <c r="F127" i="1"/>
  <c r="C127" i="1"/>
  <c r="H126" i="1"/>
  <c r="F126" i="1"/>
  <c r="C126" i="1"/>
  <c r="H125" i="1"/>
  <c r="F125" i="1"/>
  <c r="C125" i="1"/>
  <c r="H124" i="1"/>
  <c r="F124" i="1"/>
  <c r="C124" i="1"/>
  <c r="H123" i="1"/>
  <c r="F123" i="1"/>
  <c r="C123" i="1"/>
  <c r="H122" i="1"/>
  <c r="F122" i="1"/>
  <c r="C122" i="1"/>
  <c r="H121" i="1"/>
  <c r="F121" i="1"/>
  <c r="C121" i="1"/>
  <c r="H91" i="1"/>
  <c r="C91" i="1"/>
  <c r="H90" i="1"/>
  <c r="C90" i="1"/>
  <c r="H89" i="1"/>
  <c r="C89" i="1"/>
  <c r="H88" i="1"/>
  <c r="C88" i="1"/>
  <c r="H22" i="1"/>
  <c r="F22" i="1"/>
  <c r="C22" i="1"/>
  <c r="H21" i="1"/>
  <c r="F21" i="1"/>
  <c r="C21" i="1"/>
  <c r="H20" i="1"/>
  <c r="F20" i="1"/>
  <c r="C20" i="1"/>
  <c r="H19" i="1"/>
  <c r="F19" i="1"/>
  <c r="C19" i="1"/>
  <c r="H18" i="1"/>
  <c r="F18" i="1"/>
  <c r="C18" i="1"/>
  <c r="H28" i="1"/>
  <c r="F28" i="1"/>
  <c r="C28" i="1"/>
  <c r="H27" i="1"/>
  <c r="F27" i="1"/>
  <c r="C27" i="1"/>
  <c r="H26" i="1"/>
  <c r="F26" i="1"/>
  <c r="C26" i="1"/>
  <c r="H25" i="1"/>
  <c r="F25" i="1"/>
  <c r="C25" i="1"/>
  <c r="H24" i="1"/>
  <c r="F24" i="1"/>
  <c r="C24" i="1"/>
  <c r="H23" i="1"/>
  <c r="F23" i="1"/>
  <c r="C23" i="1"/>
  <c r="H120" i="1"/>
  <c r="F120" i="1"/>
  <c r="C120" i="1"/>
  <c r="H119" i="1"/>
  <c r="F119" i="1"/>
  <c r="C119" i="1"/>
  <c r="H118" i="1"/>
  <c r="F118" i="1"/>
  <c r="C118" i="1"/>
  <c r="H117" i="1"/>
  <c r="F117" i="1"/>
  <c r="C117" i="1"/>
  <c r="H116" i="1"/>
  <c r="F116" i="1"/>
  <c r="C116" i="1"/>
  <c r="H115" i="1"/>
  <c r="F115" i="1"/>
  <c r="C115" i="1"/>
  <c r="H114" i="1"/>
  <c r="F114" i="1"/>
  <c r="C114" i="1"/>
  <c r="H113" i="1"/>
  <c r="F113" i="1"/>
  <c r="C113" i="1"/>
  <c r="H112" i="1"/>
  <c r="F112" i="1"/>
  <c r="C112" i="1"/>
  <c r="H79" i="1"/>
  <c r="F79" i="1"/>
  <c r="C79" i="1"/>
  <c r="H78" i="1"/>
  <c r="F78" i="1"/>
  <c r="C78" i="1"/>
  <c r="H77" i="1"/>
  <c r="F77" i="1"/>
  <c r="C77" i="1"/>
  <c r="H76" i="1"/>
  <c r="F76" i="1"/>
  <c r="C76" i="1"/>
  <c r="H75" i="1"/>
  <c r="F75" i="1"/>
  <c r="C75" i="1"/>
  <c r="H74" i="1"/>
  <c r="F74" i="1"/>
  <c r="C74" i="1"/>
  <c r="H73" i="1"/>
  <c r="F73" i="1"/>
  <c r="C73" i="1"/>
  <c r="H72" i="1"/>
  <c r="F72" i="1"/>
  <c r="C72" i="1"/>
  <c r="H71" i="1"/>
  <c r="F71" i="1"/>
  <c r="C71" i="1"/>
  <c r="H616" i="1"/>
  <c r="F616" i="1"/>
  <c r="C616" i="1"/>
  <c r="H17" i="1"/>
  <c r="F17" i="1"/>
  <c r="C17" i="1"/>
  <c r="H16" i="1"/>
  <c r="F16" i="1"/>
  <c r="C16" i="1"/>
  <c r="H15" i="1"/>
  <c r="F15" i="1"/>
  <c r="C15" i="1"/>
  <c r="H14" i="1"/>
  <c r="F14" i="1"/>
  <c r="C14" i="1"/>
  <c r="H13" i="1"/>
  <c r="F13" i="1"/>
  <c r="C13" i="1"/>
  <c r="H12" i="1"/>
  <c r="F12" i="1"/>
  <c r="C12" i="1"/>
  <c r="H11" i="1"/>
  <c r="F11" i="1"/>
  <c r="C11" i="1"/>
  <c r="H10" i="1"/>
  <c r="F10" i="1"/>
  <c r="C10" i="1"/>
  <c r="H9" i="1"/>
  <c r="F9" i="1"/>
  <c r="C9" i="1"/>
  <c r="H8" i="1"/>
  <c r="F8" i="1"/>
  <c r="C8" i="1"/>
  <c r="H7" i="1"/>
  <c r="F7" i="1"/>
  <c r="C7" i="1"/>
  <c r="H6" i="1"/>
  <c r="F6" i="1"/>
  <c r="C6" i="1"/>
  <c r="H39" i="1"/>
  <c r="F39" i="1"/>
  <c r="C39" i="1"/>
  <c r="H38" i="1"/>
  <c r="F38" i="1"/>
  <c r="C38" i="1"/>
  <c r="H37" i="1"/>
  <c r="F37" i="1"/>
  <c r="C37" i="1"/>
  <c r="H36" i="1"/>
  <c r="F36" i="1"/>
  <c r="C36" i="1"/>
  <c r="H35" i="1"/>
  <c r="F35" i="1"/>
  <c r="C35" i="1"/>
  <c r="H34" i="1"/>
  <c r="F34" i="1"/>
  <c r="C34" i="1"/>
  <c r="H33" i="1"/>
  <c r="F33" i="1"/>
  <c r="C33" i="1"/>
  <c r="H32" i="1"/>
  <c r="F32" i="1"/>
  <c r="C32" i="1"/>
  <c r="H31" i="1"/>
  <c r="F31" i="1"/>
  <c r="C31" i="1"/>
  <c r="H30" i="1"/>
  <c r="F30" i="1"/>
  <c r="C30" i="1"/>
  <c r="H29" i="1"/>
  <c r="F29" i="1"/>
  <c r="E30" i="4" s="1"/>
  <c r="C29" i="1"/>
  <c r="H100" i="1"/>
  <c r="F100" i="1"/>
  <c r="C100" i="1"/>
  <c r="H99" i="1"/>
  <c r="F99" i="1"/>
  <c r="C99" i="1"/>
  <c r="H98" i="1"/>
  <c r="F98" i="1"/>
  <c r="C98" i="1"/>
  <c r="H97" i="1"/>
  <c r="F97" i="1"/>
  <c r="C97" i="1"/>
  <c r="H96" i="1"/>
  <c r="F96" i="1"/>
  <c r="C96" i="1"/>
  <c r="H95" i="1"/>
  <c r="F95" i="1"/>
  <c r="C95" i="1"/>
  <c r="H94" i="1"/>
  <c r="F94" i="1"/>
  <c r="C94" i="1"/>
  <c r="H93" i="1"/>
  <c r="F93" i="1"/>
  <c r="C93" i="1"/>
  <c r="H92" i="1"/>
  <c r="F92" i="1"/>
  <c r="C92" i="1"/>
  <c r="H111" i="1"/>
  <c r="F111" i="1"/>
  <c r="C111" i="1"/>
  <c r="H110" i="1"/>
  <c r="F110" i="1"/>
  <c r="C110" i="1"/>
  <c r="H109" i="1"/>
  <c r="F109" i="1"/>
  <c r="C109" i="1"/>
  <c r="H87" i="1"/>
  <c r="F87" i="1"/>
  <c r="C87" i="1"/>
  <c r="H86" i="1"/>
  <c r="F86" i="1"/>
  <c r="C86" i="1"/>
  <c r="H85" i="1"/>
  <c r="F85" i="1"/>
  <c r="C85" i="1"/>
  <c r="H84" i="1"/>
  <c r="F84" i="1"/>
  <c r="C84" i="1"/>
  <c r="H83" i="1"/>
  <c r="F83" i="1"/>
  <c r="C83" i="1"/>
  <c r="H82" i="1"/>
  <c r="F82" i="1"/>
  <c r="C82" i="1"/>
  <c r="H81" i="1"/>
  <c r="F81" i="1"/>
  <c r="C81" i="1"/>
  <c r="H80" i="1"/>
  <c r="F80" i="1"/>
  <c r="C80" i="1"/>
  <c r="H153" i="1"/>
  <c r="F153" i="1"/>
  <c r="C153" i="1"/>
  <c r="H152" i="1"/>
  <c r="F152" i="1"/>
  <c r="C152" i="1"/>
  <c r="H108" i="1"/>
  <c r="F108" i="1"/>
  <c r="C108" i="1"/>
  <c r="H107" i="1"/>
  <c r="F107" i="1"/>
  <c r="C107" i="1"/>
  <c r="H106" i="1"/>
  <c r="F106" i="1"/>
  <c r="C106" i="1"/>
  <c r="H105" i="1"/>
  <c r="F105" i="1"/>
  <c r="C105" i="1"/>
  <c r="H104" i="1"/>
  <c r="F104" i="1"/>
  <c r="C104" i="1"/>
  <c r="H274" i="1"/>
  <c r="F274" i="1"/>
  <c r="C274" i="1"/>
  <c r="H70" i="1"/>
  <c r="F70" i="1"/>
  <c r="C70" i="1"/>
  <c r="H69" i="1"/>
  <c r="F69" i="1"/>
  <c r="C69" i="1"/>
  <c r="H68" i="1"/>
  <c r="F68" i="1"/>
  <c r="C68" i="1"/>
  <c r="H67" i="1"/>
  <c r="F67" i="1"/>
  <c r="C67" i="1"/>
  <c r="H66" i="1"/>
  <c r="F66" i="1"/>
  <c r="C66" i="1"/>
  <c r="H65" i="1"/>
  <c r="F65" i="1"/>
  <c r="C65" i="1"/>
  <c r="H64" i="1"/>
  <c r="F64" i="1"/>
  <c r="C64" i="1"/>
  <c r="H63" i="1"/>
  <c r="F63" i="1"/>
  <c r="C63" i="1"/>
  <c r="H62" i="1"/>
  <c r="F62" i="1"/>
  <c r="C62" i="1"/>
  <c r="H61" i="1"/>
  <c r="F61" i="1"/>
  <c r="C61" i="1"/>
  <c r="H60" i="1"/>
  <c r="F60" i="1"/>
  <c r="C60" i="1"/>
  <c r="H59" i="1"/>
  <c r="F59" i="1"/>
  <c r="C59" i="1"/>
  <c r="H58" i="1"/>
  <c r="F58" i="1"/>
  <c r="C58" i="1"/>
  <c r="H57" i="1"/>
  <c r="F57" i="1"/>
  <c r="C57" i="1"/>
  <c r="H56" i="1"/>
  <c r="F56" i="1"/>
  <c r="C56" i="1"/>
  <c r="H55" i="1"/>
  <c r="F55" i="1"/>
  <c r="C55" i="1"/>
  <c r="H54" i="1"/>
  <c r="F54" i="1"/>
  <c r="C54" i="1"/>
  <c r="H53" i="1"/>
  <c r="F53" i="1"/>
  <c r="C53" i="1"/>
  <c r="H52" i="1"/>
  <c r="F52" i="1"/>
  <c r="C52" i="1"/>
  <c r="H51" i="1"/>
  <c r="F51" i="1"/>
  <c r="C51" i="1"/>
  <c r="H50" i="1"/>
  <c r="F50" i="1"/>
  <c r="C50" i="1"/>
  <c r="H49" i="1"/>
  <c r="F49" i="1"/>
  <c r="C49" i="1"/>
  <c r="H48" i="1"/>
  <c r="F48" i="1"/>
  <c r="C48" i="1"/>
  <c r="H47" i="1"/>
  <c r="F47" i="1"/>
  <c r="C47" i="1"/>
  <c r="H46" i="1"/>
  <c r="F46" i="1"/>
  <c r="C46" i="1"/>
  <c r="H45" i="1"/>
  <c r="F45" i="1"/>
  <c r="C45" i="1"/>
  <c r="H44" i="1"/>
  <c r="F44" i="1"/>
  <c r="C44" i="1"/>
  <c r="H43" i="1"/>
  <c r="F43" i="1"/>
  <c r="C43" i="1"/>
  <c r="H42" i="1"/>
  <c r="F42" i="1"/>
  <c r="C42" i="1"/>
  <c r="H41" i="1"/>
  <c r="F41" i="1"/>
  <c r="C41" i="1"/>
  <c r="H40" i="1"/>
  <c r="F40" i="1"/>
  <c r="C40" i="1"/>
  <c r="H151" i="1"/>
  <c r="F151" i="1"/>
  <c r="C151" i="1"/>
  <c r="H150" i="1"/>
  <c r="F150" i="1"/>
  <c r="C150" i="1"/>
  <c r="H149" i="1"/>
  <c r="F149" i="1"/>
  <c r="C149" i="1"/>
  <c r="H148" i="1"/>
  <c r="F148" i="1"/>
  <c r="C148" i="1"/>
  <c r="H147" i="1"/>
  <c r="F147" i="1"/>
  <c r="C147" i="1"/>
  <c r="H146" i="1"/>
  <c r="F146" i="1"/>
  <c r="C146" i="1"/>
  <c r="H145" i="1"/>
  <c r="F145" i="1"/>
  <c r="C145" i="1"/>
  <c r="H144" i="1"/>
  <c r="F144" i="1"/>
  <c r="C144" i="1"/>
  <c r="H143" i="1"/>
  <c r="F143" i="1"/>
  <c r="C143" i="1"/>
  <c r="H142" i="1"/>
  <c r="F142" i="1"/>
  <c r="C142" i="1"/>
  <c r="H141" i="1"/>
  <c r="F141" i="1"/>
  <c r="C141" i="1"/>
  <c r="H140" i="1"/>
  <c r="F140" i="1"/>
  <c r="C140" i="1"/>
  <c r="H139" i="1"/>
  <c r="F139" i="1"/>
  <c r="C139" i="1"/>
  <c r="H138" i="1"/>
  <c r="F138" i="1"/>
  <c r="C138" i="1"/>
  <c r="H137" i="1"/>
  <c r="F137" i="1"/>
  <c r="C137" i="1"/>
  <c r="H136" i="1"/>
  <c r="F136" i="1"/>
  <c r="C136" i="1"/>
  <c r="H135" i="1"/>
  <c r="F135" i="1"/>
  <c r="C135" i="1"/>
  <c r="H134" i="1"/>
  <c r="F134" i="1"/>
  <c r="C134" i="1"/>
  <c r="H282" i="1"/>
  <c r="F282" i="1"/>
  <c r="C282" i="1"/>
  <c r="H253" i="1"/>
  <c r="F253" i="1"/>
  <c r="C253" i="1"/>
  <c r="H252" i="1"/>
  <c r="F252" i="1"/>
  <c r="C252" i="1"/>
  <c r="H251" i="1"/>
  <c r="F251" i="1"/>
  <c r="C251" i="1"/>
  <c r="H250" i="1"/>
  <c r="F250" i="1"/>
  <c r="C250" i="1"/>
  <c r="H249" i="1"/>
  <c r="F249" i="1"/>
  <c r="C249" i="1"/>
  <c r="H248" i="1"/>
  <c r="F248" i="1"/>
  <c r="C248" i="1"/>
  <c r="H247" i="1"/>
  <c r="F247" i="1"/>
  <c r="C247" i="1"/>
  <c r="H246" i="1"/>
  <c r="F246" i="1"/>
  <c r="C246" i="1"/>
  <c r="H245" i="1"/>
  <c r="F245" i="1"/>
  <c r="C245" i="1"/>
  <c r="H244" i="1"/>
  <c r="F244" i="1"/>
  <c r="C244" i="1"/>
  <c r="H243" i="1"/>
  <c r="F243" i="1"/>
  <c r="C243" i="1"/>
  <c r="H242" i="1"/>
  <c r="F242" i="1"/>
  <c r="C242" i="1"/>
  <c r="H241" i="1"/>
  <c r="F241" i="1"/>
  <c r="C241" i="1"/>
  <c r="H240" i="1"/>
  <c r="F240" i="1"/>
  <c r="C240" i="1"/>
  <c r="H239" i="1"/>
  <c r="F239" i="1"/>
  <c r="C239" i="1"/>
  <c r="H238" i="1"/>
  <c r="F238" i="1"/>
  <c r="C238" i="1"/>
  <c r="H237" i="1"/>
  <c r="F237" i="1"/>
  <c r="C237" i="1"/>
  <c r="H236" i="1"/>
  <c r="F236" i="1"/>
  <c r="C236" i="1"/>
  <c r="H235" i="1"/>
  <c r="F235" i="1"/>
  <c r="C235" i="1"/>
  <c r="H234" i="1"/>
  <c r="F234" i="1"/>
  <c r="C234" i="1"/>
  <c r="H233" i="1"/>
  <c r="F233" i="1"/>
  <c r="C233" i="1"/>
  <c r="H221" i="1"/>
  <c r="F221" i="1"/>
  <c r="C221" i="1"/>
  <c r="H220" i="1"/>
  <c r="F220" i="1"/>
  <c r="C220" i="1"/>
  <c r="H219" i="1"/>
  <c r="F219" i="1"/>
  <c r="C219" i="1"/>
  <c r="H218" i="1"/>
  <c r="F218" i="1"/>
  <c r="C218" i="1"/>
  <c r="H217" i="1"/>
  <c r="F217" i="1"/>
  <c r="C217" i="1"/>
  <c r="H216" i="1"/>
  <c r="F216" i="1"/>
  <c r="C216" i="1"/>
  <c r="H215" i="1"/>
  <c r="F215" i="1"/>
  <c r="C215" i="1"/>
  <c r="H209" i="1"/>
  <c r="F209" i="1"/>
  <c r="C209" i="1"/>
  <c r="H208" i="1"/>
  <c r="F208" i="1"/>
  <c r="C208" i="1"/>
  <c r="H207" i="1"/>
  <c r="F207" i="1"/>
  <c r="C207" i="1"/>
  <c r="H206" i="1"/>
  <c r="F206" i="1"/>
  <c r="C206" i="1"/>
  <c r="H205" i="1"/>
  <c r="F205" i="1"/>
  <c r="C205" i="1"/>
  <c r="H204" i="1"/>
  <c r="F204" i="1"/>
  <c r="C204" i="1"/>
  <c r="H203" i="1"/>
  <c r="F203" i="1"/>
  <c r="C203" i="1"/>
  <c r="H202" i="1"/>
  <c r="F202" i="1"/>
  <c r="C202" i="1"/>
  <c r="H201" i="1"/>
  <c r="F201" i="1"/>
  <c r="C201" i="1"/>
  <c r="H200" i="1"/>
  <c r="F200" i="1"/>
  <c r="C200" i="1"/>
  <c r="H199" i="1"/>
  <c r="F199" i="1"/>
  <c r="C199" i="1"/>
  <c r="H198" i="1"/>
  <c r="F198" i="1"/>
  <c r="C198" i="1"/>
  <c r="H197" i="1"/>
  <c r="F197" i="1"/>
  <c r="C197" i="1"/>
  <c r="H196" i="1"/>
  <c r="F196" i="1"/>
  <c r="C196" i="1"/>
  <c r="H281" i="1"/>
  <c r="F281" i="1"/>
  <c r="C281" i="1"/>
  <c r="H280" i="1"/>
  <c r="F280" i="1"/>
  <c r="C280" i="1"/>
  <c r="H279" i="1"/>
  <c r="F279" i="1"/>
  <c r="C279" i="1"/>
  <c r="H278" i="1"/>
  <c r="F278" i="1"/>
  <c r="C278" i="1"/>
  <c r="H277" i="1"/>
  <c r="F277" i="1"/>
  <c r="C277" i="1"/>
  <c r="H276" i="1"/>
  <c r="F276" i="1"/>
  <c r="C276" i="1"/>
  <c r="H275" i="1"/>
  <c r="F275" i="1"/>
  <c r="C275" i="1"/>
  <c r="H227" i="1"/>
  <c r="F227" i="1"/>
  <c r="C227" i="1"/>
  <c r="H226" i="1"/>
  <c r="F226" i="1"/>
  <c r="C226" i="1"/>
  <c r="H225" i="1"/>
  <c r="F225" i="1"/>
  <c r="C225" i="1"/>
  <c r="H224" i="1"/>
  <c r="F224" i="1"/>
  <c r="C224" i="1"/>
  <c r="H223" i="1"/>
  <c r="F223" i="1"/>
  <c r="C223" i="1"/>
  <c r="H222" i="1"/>
  <c r="F222" i="1"/>
  <c r="C222" i="1"/>
  <c r="H299" i="1"/>
  <c r="F299" i="1"/>
  <c r="C299" i="1"/>
  <c r="H298" i="1"/>
  <c r="F298" i="1"/>
  <c r="C298" i="1"/>
  <c r="H297" i="1"/>
  <c r="F297" i="1"/>
  <c r="C297" i="1"/>
  <c r="H296" i="1"/>
  <c r="F296" i="1"/>
  <c r="C296" i="1"/>
  <c r="H295" i="1"/>
  <c r="F295" i="1"/>
  <c r="C295" i="1"/>
  <c r="H294" i="1"/>
  <c r="F294" i="1"/>
  <c r="C294" i="1"/>
  <c r="H293" i="1"/>
  <c r="F293" i="1"/>
  <c r="C293" i="1"/>
  <c r="H292" i="1"/>
  <c r="F292" i="1"/>
  <c r="C292" i="1"/>
  <c r="H157" i="1"/>
  <c r="F157" i="1"/>
  <c r="C157" i="1"/>
  <c r="H156" i="1"/>
  <c r="F156" i="1"/>
  <c r="C156" i="1"/>
  <c r="H155" i="1"/>
  <c r="F155" i="1"/>
  <c r="C155" i="1"/>
  <c r="H154" i="1"/>
  <c r="F154" i="1"/>
  <c r="C154" i="1"/>
  <c r="H291" i="1"/>
  <c r="C291" i="1"/>
  <c r="H290" i="1"/>
  <c r="C290" i="1"/>
  <c r="H289" i="1"/>
  <c r="C289" i="1"/>
  <c r="H288" i="1"/>
  <c r="C288" i="1"/>
  <c r="H214" i="1"/>
  <c r="F214" i="1"/>
  <c r="C214" i="1"/>
  <c r="H213" i="1"/>
  <c r="F213" i="1"/>
  <c r="C213" i="1"/>
  <c r="H212" i="1"/>
  <c r="F212" i="1"/>
  <c r="C212" i="1"/>
  <c r="H211" i="1"/>
  <c r="F211" i="1"/>
  <c r="C211" i="1"/>
  <c r="H210" i="1"/>
  <c r="F210" i="1"/>
  <c r="C210" i="1"/>
  <c r="H273" i="1"/>
  <c r="F273" i="1"/>
  <c r="C273" i="1"/>
  <c r="H272" i="1"/>
  <c r="F272" i="1"/>
  <c r="C272" i="1"/>
  <c r="H271" i="1"/>
  <c r="F271" i="1"/>
  <c r="C271" i="1"/>
  <c r="H270" i="1"/>
  <c r="F270" i="1"/>
  <c r="C270" i="1"/>
  <c r="H269" i="1"/>
  <c r="F269" i="1"/>
  <c r="C269" i="1"/>
  <c r="H268" i="1"/>
  <c r="F268" i="1"/>
  <c r="C268" i="1"/>
  <c r="H267" i="1"/>
  <c r="F267" i="1"/>
  <c r="C267" i="1"/>
  <c r="H264" i="1"/>
  <c r="F264" i="1"/>
  <c r="C264" i="1"/>
  <c r="H263" i="1"/>
  <c r="F263" i="1"/>
  <c r="C263" i="1"/>
  <c r="H262" i="1"/>
  <c r="F262" i="1"/>
  <c r="C262" i="1"/>
  <c r="H261" i="1"/>
  <c r="F261" i="1"/>
  <c r="C261" i="1"/>
  <c r="H260" i="1"/>
  <c r="F260" i="1"/>
  <c r="C260" i="1"/>
  <c r="H259" i="1"/>
  <c r="F259" i="1"/>
  <c r="C259" i="1"/>
  <c r="H258" i="1"/>
  <c r="F258" i="1"/>
  <c r="C258" i="1"/>
  <c r="H266" i="1"/>
  <c r="F266" i="1"/>
  <c r="C266" i="1"/>
  <c r="H265" i="1"/>
  <c r="F265" i="1"/>
  <c r="C265" i="1"/>
  <c r="H195" i="1"/>
  <c r="F195" i="1"/>
  <c r="C195" i="1"/>
  <c r="H194" i="1"/>
  <c r="F194" i="1"/>
  <c r="C194" i="1"/>
  <c r="H287" i="1"/>
  <c r="F287" i="1"/>
  <c r="C287" i="1"/>
  <c r="H286" i="1"/>
  <c r="F286" i="1"/>
  <c r="C286" i="1"/>
  <c r="H285" i="1"/>
  <c r="F285" i="1"/>
  <c r="C285" i="1"/>
  <c r="H284" i="1"/>
  <c r="F284" i="1"/>
  <c r="C284" i="1"/>
  <c r="H283" i="1"/>
  <c r="F283" i="1"/>
  <c r="C283" i="1"/>
  <c r="H413" i="1"/>
  <c r="F413" i="1"/>
  <c r="C413" i="1"/>
  <c r="H412" i="1"/>
  <c r="F412" i="1"/>
  <c r="C412" i="1"/>
  <c r="H411" i="1"/>
  <c r="F411" i="1"/>
  <c r="C411" i="1"/>
  <c r="H410" i="1"/>
  <c r="F410" i="1"/>
  <c r="C410" i="1"/>
  <c r="H409" i="1"/>
  <c r="F409" i="1"/>
  <c r="C409" i="1"/>
  <c r="H193" i="1"/>
  <c r="F193" i="1"/>
  <c r="C193" i="1"/>
  <c r="H192" i="1"/>
  <c r="F192" i="1"/>
  <c r="C192" i="1"/>
  <c r="H191" i="1"/>
  <c r="F191" i="1"/>
  <c r="C191" i="1"/>
  <c r="H190" i="1"/>
  <c r="F190" i="1"/>
  <c r="C190" i="1"/>
  <c r="H189" i="1"/>
  <c r="F189" i="1"/>
  <c r="C189" i="1"/>
  <c r="H188" i="1"/>
  <c r="F188" i="1"/>
  <c r="C188" i="1"/>
  <c r="H187" i="1"/>
  <c r="F187" i="1"/>
  <c r="C187" i="1"/>
  <c r="H186" i="1"/>
  <c r="F186" i="1"/>
  <c r="C186" i="1"/>
  <c r="H185" i="1"/>
  <c r="F185" i="1"/>
  <c r="C185" i="1"/>
  <c r="H184" i="1"/>
  <c r="F184" i="1"/>
  <c r="C184" i="1"/>
  <c r="H183" i="1"/>
  <c r="F183" i="1"/>
  <c r="C183" i="1"/>
  <c r="H182" i="1"/>
  <c r="F182" i="1"/>
  <c r="C182" i="1"/>
  <c r="H181" i="1"/>
  <c r="F181" i="1"/>
  <c r="C181" i="1"/>
  <c r="H180" i="1"/>
  <c r="F180" i="1"/>
  <c r="C180" i="1"/>
  <c r="H179" i="1"/>
  <c r="F179" i="1"/>
  <c r="C179" i="1"/>
  <c r="H178" i="1"/>
  <c r="F178" i="1"/>
  <c r="C178" i="1"/>
  <c r="H177" i="1"/>
  <c r="F177" i="1"/>
  <c r="C177" i="1"/>
  <c r="H176" i="1"/>
  <c r="F176" i="1"/>
  <c r="C176" i="1"/>
  <c r="H175" i="1"/>
  <c r="F175" i="1"/>
  <c r="C175" i="1"/>
  <c r="H174" i="1"/>
  <c r="F174" i="1"/>
  <c r="C174" i="1"/>
  <c r="H173" i="1"/>
  <c r="F173" i="1"/>
  <c r="C173" i="1"/>
  <c r="H172" i="1"/>
  <c r="F172" i="1"/>
  <c r="C172" i="1"/>
  <c r="H171" i="1"/>
  <c r="F171" i="1"/>
  <c r="C171" i="1"/>
  <c r="H170" i="1"/>
  <c r="F170" i="1"/>
  <c r="C170" i="1"/>
  <c r="H169" i="1"/>
  <c r="F169" i="1"/>
  <c r="C169" i="1"/>
  <c r="H168" i="1"/>
  <c r="F168" i="1"/>
  <c r="C168" i="1"/>
  <c r="H167" i="1"/>
  <c r="F167" i="1"/>
  <c r="C167" i="1"/>
  <c r="H166" i="1"/>
  <c r="F166" i="1"/>
  <c r="C166" i="1"/>
  <c r="H165" i="1"/>
  <c r="F165" i="1"/>
  <c r="C165" i="1"/>
  <c r="H164" i="1"/>
  <c r="F164" i="1"/>
  <c r="C164" i="1"/>
  <c r="H163" i="1"/>
  <c r="F163" i="1"/>
  <c r="C163" i="1"/>
  <c r="H162" i="1"/>
  <c r="F162" i="1"/>
  <c r="C162" i="1"/>
  <c r="H161" i="1"/>
  <c r="F161" i="1"/>
  <c r="C161" i="1"/>
  <c r="H160" i="1"/>
  <c r="F160" i="1"/>
  <c r="C160" i="1"/>
  <c r="H159" i="1"/>
  <c r="F159" i="1"/>
  <c r="C159" i="1"/>
  <c r="H158" i="1"/>
  <c r="F158" i="1"/>
  <c r="C158" i="1"/>
  <c r="H257" i="1"/>
  <c r="F257" i="1"/>
  <c r="C257" i="1"/>
  <c r="H256" i="1"/>
  <c r="F256" i="1"/>
  <c r="C256" i="1"/>
  <c r="H255" i="1"/>
  <c r="F255" i="1"/>
  <c r="C255" i="1"/>
  <c r="H254" i="1"/>
  <c r="F254" i="1"/>
  <c r="C254" i="1"/>
  <c r="H232" i="1"/>
  <c r="F232" i="1"/>
  <c r="C232" i="1"/>
  <c r="H231" i="1"/>
  <c r="F231" i="1"/>
  <c r="C231" i="1"/>
  <c r="H230" i="1"/>
  <c r="F230" i="1"/>
  <c r="C230" i="1"/>
  <c r="H229" i="1"/>
  <c r="F229" i="1"/>
  <c r="C229" i="1"/>
  <c r="H228" i="1"/>
  <c r="F228" i="1"/>
  <c r="C228" i="1"/>
  <c r="H539" i="1"/>
  <c r="F539" i="1"/>
  <c r="C539" i="1"/>
  <c r="H538" i="1"/>
  <c r="F538" i="1"/>
  <c r="C538" i="1"/>
  <c r="H537" i="1"/>
  <c r="F537" i="1"/>
  <c r="C537" i="1"/>
  <c r="H536" i="1"/>
  <c r="F536" i="1"/>
  <c r="C536" i="1"/>
  <c r="H431" i="1"/>
  <c r="F431" i="1"/>
  <c r="C431" i="1"/>
  <c r="H430" i="1"/>
  <c r="F430" i="1"/>
  <c r="C430" i="1"/>
  <c r="H429" i="1"/>
  <c r="F429" i="1"/>
  <c r="C429" i="1"/>
  <c r="H428" i="1"/>
  <c r="F428" i="1"/>
  <c r="C428" i="1"/>
  <c r="H427" i="1"/>
  <c r="F427" i="1"/>
  <c r="C427" i="1"/>
  <c r="H426" i="1"/>
  <c r="F426" i="1"/>
  <c r="C426" i="1"/>
  <c r="H425" i="1"/>
  <c r="F425" i="1"/>
  <c r="C425" i="1"/>
  <c r="H424" i="1"/>
  <c r="F424" i="1"/>
  <c r="C424" i="1"/>
  <c r="H423" i="1"/>
  <c r="F423" i="1"/>
  <c r="C423" i="1"/>
  <c r="H422" i="1"/>
  <c r="F422" i="1"/>
  <c r="C422" i="1"/>
  <c r="H408" i="1"/>
  <c r="F408" i="1"/>
  <c r="C408" i="1"/>
  <c r="H407" i="1"/>
  <c r="F407" i="1"/>
  <c r="C407" i="1"/>
  <c r="H406" i="1"/>
  <c r="F406" i="1"/>
  <c r="C406" i="1"/>
  <c r="H405" i="1"/>
  <c r="F405" i="1"/>
  <c r="C405" i="1"/>
  <c r="H404" i="1"/>
  <c r="F404" i="1"/>
  <c r="C404" i="1"/>
  <c r="H403" i="1"/>
  <c r="F403" i="1"/>
  <c r="C403" i="1"/>
  <c r="H402" i="1"/>
  <c r="F402" i="1"/>
  <c r="C402" i="1"/>
  <c r="H401" i="1"/>
  <c r="F401" i="1"/>
  <c r="C401" i="1"/>
  <c r="H400" i="1"/>
  <c r="F400" i="1"/>
  <c r="C400" i="1"/>
  <c r="H399" i="1"/>
  <c r="F399" i="1"/>
  <c r="C399" i="1"/>
  <c r="H398" i="1"/>
  <c r="F398" i="1"/>
  <c r="C398" i="1"/>
  <c r="H397" i="1"/>
  <c r="F397" i="1"/>
  <c r="C397" i="1"/>
  <c r="H396" i="1"/>
  <c r="F396" i="1"/>
  <c r="C396" i="1"/>
  <c r="H395" i="1"/>
  <c r="F395" i="1"/>
  <c r="C395" i="1"/>
  <c r="H394" i="1"/>
  <c r="F394" i="1"/>
  <c r="C394" i="1"/>
  <c r="H393" i="1"/>
  <c r="F393" i="1"/>
  <c r="C393" i="1"/>
  <c r="H392" i="1"/>
  <c r="F392" i="1"/>
  <c r="C392" i="1"/>
  <c r="H391" i="1"/>
  <c r="F391" i="1"/>
  <c r="C391" i="1"/>
  <c r="H390" i="1"/>
  <c r="F390" i="1"/>
  <c r="C390" i="1"/>
  <c r="H389" i="1"/>
  <c r="F389" i="1"/>
  <c r="C389" i="1"/>
  <c r="H388" i="1"/>
  <c r="F388" i="1"/>
  <c r="C388" i="1"/>
  <c r="H387" i="1"/>
  <c r="F387" i="1"/>
  <c r="C387" i="1"/>
  <c r="H386" i="1"/>
  <c r="F386" i="1"/>
  <c r="C386" i="1"/>
  <c r="H385" i="1"/>
  <c r="F385" i="1"/>
  <c r="C385" i="1"/>
  <c r="H384" i="1"/>
  <c r="F384" i="1"/>
  <c r="C384" i="1"/>
  <c r="H383" i="1"/>
  <c r="F383" i="1"/>
  <c r="C383" i="1"/>
  <c r="H382" i="1"/>
  <c r="F382" i="1"/>
  <c r="C382" i="1"/>
  <c r="H381" i="1"/>
  <c r="F381" i="1"/>
  <c r="C381" i="1"/>
  <c r="H421" i="1"/>
  <c r="F421" i="1"/>
  <c r="C421" i="1"/>
  <c r="H420" i="1"/>
  <c r="F420" i="1"/>
  <c r="C420" i="1"/>
  <c r="H419" i="1"/>
  <c r="F419" i="1"/>
  <c r="C419" i="1"/>
  <c r="H418" i="1"/>
  <c r="F418" i="1"/>
  <c r="C418" i="1"/>
  <c r="H417" i="1"/>
  <c r="F417" i="1"/>
  <c r="C417" i="1"/>
  <c r="H416" i="1"/>
  <c r="F416" i="1"/>
  <c r="C416" i="1"/>
  <c r="H415" i="1"/>
  <c r="F415" i="1"/>
  <c r="C415" i="1"/>
  <c r="H414" i="1"/>
  <c r="F414" i="1"/>
  <c r="C414" i="1"/>
  <c r="BW115" i="4"/>
  <c r="BV115" i="4"/>
  <c r="BU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N115" i="4"/>
  <c r="AO115" i="4" s="1"/>
  <c r="B115" i="4"/>
  <c r="BW114" i="4"/>
  <c r="BV114" i="4"/>
  <c r="BU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N114" i="4"/>
  <c r="AO114" i="4" s="1"/>
  <c r="B114" i="4"/>
  <c r="BW113" i="4"/>
  <c r="BV113" i="4"/>
  <c r="BU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N113" i="4"/>
  <c r="AO113" i="4" s="1"/>
  <c r="B113" i="4"/>
  <c r="BW112" i="4"/>
  <c r="BV112" i="4"/>
  <c r="BU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N112" i="4"/>
  <c r="AO112" i="4" s="1"/>
  <c r="B112" i="4"/>
  <c r="BW111" i="4"/>
  <c r="BV111" i="4"/>
  <c r="BU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N111" i="4"/>
  <c r="AO111" i="4" s="1"/>
  <c r="B111" i="4"/>
  <c r="BW110" i="4"/>
  <c r="BV110" i="4"/>
  <c r="BU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N110" i="4"/>
  <c r="AO110" i="4" s="1"/>
  <c r="B110" i="4"/>
  <c r="BW109" i="4"/>
  <c r="BV109" i="4"/>
  <c r="BU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B109" i="4"/>
  <c r="BW108" i="4"/>
  <c r="BV108" i="4"/>
  <c r="BU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B108" i="4"/>
  <c r="BW107" i="4"/>
  <c r="BV107" i="4"/>
  <c r="BU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N107" i="4"/>
  <c r="AO107" i="4" s="1"/>
  <c r="B107" i="4"/>
  <c r="BW106" i="4"/>
  <c r="BV106" i="4"/>
  <c r="BU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N106" i="4"/>
  <c r="AO106" i="4" s="1"/>
  <c r="B106" i="4"/>
  <c r="BW105" i="4"/>
  <c r="BV105" i="4"/>
  <c r="BU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N105" i="4"/>
  <c r="AO105" i="4" s="1"/>
  <c r="B105" i="4"/>
  <c r="BW104" i="4"/>
  <c r="BV104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N104" i="4"/>
  <c r="AO104" i="4" s="1"/>
  <c r="B104" i="4"/>
  <c r="BW103" i="4"/>
  <c r="BV103" i="4"/>
  <c r="BU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N103" i="4"/>
  <c r="AO103" i="4" s="1"/>
  <c r="B103" i="4"/>
  <c r="BW102" i="4"/>
  <c r="BV102" i="4"/>
  <c r="BU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N102" i="4"/>
  <c r="AO102" i="4" s="1"/>
  <c r="B102" i="4"/>
  <c r="BW101" i="4"/>
  <c r="BV101" i="4"/>
  <c r="BU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N101" i="4"/>
  <c r="AO101" i="4" s="1"/>
  <c r="B101" i="4"/>
  <c r="BW100" i="4"/>
  <c r="BV100" i="4"/>
  <c r="BU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N100" i="4"/>
  <c r="AO100" i="4" s="1"/>
  <c r="B100" i="4"/>
  <c r="BW131" i="4"/>
  <c r="BV131" i="4"/>
  <c r="BU131" i="4"/>
  <c r="BT131" i="4"/>
  <c r="BS131" i="4"/>
  <c r="BR131" i="4"/>
  <c r="BQ131" i="4"/>
  <c r="BP131" i="4"/>
  <c r="BO131" i="4"/>
  <c r="BN131" i="4"/>
  <c r="BM131" i="4"/>
  <c r="BL131" i="4"/>
  <c r="BK131" i="4"/>
  <c r="BJ131" i="4"/>
  <c r="BI131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N131" i="4"/>
  <c r="AO131" i="4" s="1"/>
  <c r="B131" i="4"/>
  <c r="BW130" i="4"/>
  <c r="BV130" i="4"/>
  <c r="BU130" i="4"/>
  <c r="BT130" i="4"/>
  <c r="BS130" i="4"/>
  <c r="BR130" i="4"/>
  <c r="BQ130" i="4"/>
  <c r="BP130" i="4"/>
  <c r="BO130" i="4"/>
  <c r="BN130" i="4"/>
  <c r="BM130" i="4"/>
  <c r="BL130" i="4"/>
  <c r="BK130" i="4"/>
  <c r="BJ130" i="4"/>
  <c r="BI130" i="4"/>
  <c r="BH130" i="4"/>
  <c r="BG130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N130" i="4"/>
  <c r="AO130" i="4" s="1"/>
  <c r="B130" i="4"/>
  <c r="BW129" i="4"/>
  <c r="BV129" i="4"/>
  <c r="BU129" i="4"/>
  <c r="BT129" i="4"/>
  <c r="BS129" i="4"/>
  <c r="BR129" i="4"/>
  <c r="BQ129" i="4"/>
  <c r="BP129" i="4"/>
  <c r="BO129" i="4"/>
  <c r="BN129" i="4"/>
  <c r="BM129" i="4"/>
  <c r="BL129" i="4"/>
  <c r="BK129" i="4"/>
  <c r="BJ129" i="4"/>
  <c r="BI129" i="4"/>
  <c r="BH129" i="4"/>
  <c r="BG129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N129" i="4"/>
  <c r="AO129" i="4" s="1"/>
  <c r="B129" i="4"/>
  <c r="BW128" i="4"/>
  <c r="BV128" i="4"/>
  <c r="BU128" i="4"/>
  <c r="BT128" i="4"/>
  <c r="BS128" i="4"/>
  <c r="BR128" i="4"/>
  <c r="BQ128" i="4"/>
  <c r="BP128" i="4"/>
  <c r="BO128" i="4"/>
  <c r="BN128" i="4"/>
  <c r="BM128" i="4"/>
  <c r="BL128" i="4"/>
  <c r="BK128" i="4"/>
  <c r="BJ128" i="4"/>
  <c r="BI128" i="4"/>
  <c r="BH128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N128" i="4"/>
  <c r="AO128" i="4" s="1"/>
  <c r="B128" i="4"/>
  <c r="BW127" i="4"/>
  <c r="BV127" i="4"/>
  <c r="BU127" i="4"/>
  <c r="BT127" i="4"/>
  <c r="BS127" i="4"/>
  <c r="BR127" i="4"/>
  <c r="BQ127" i="4"/>
  <c r="BP127" i="4"/>
  <c r="BO127" i="4"/>
  <c r="BN127" i="4"/>
  <c r="BM127" i="4"/>
  <c r="BL127" i="4"/>
  <c r="BK127" i="4"/>
  <c r="BJ127" i="4"/>
  <c r="BI127" i="4"/>
  <c r="BH127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N127" i="4"/>
  <c r="AO127" i="4" s="1"/>
  <c r="B127" i="4"/>
  <c r="BW126" i="4"/>
  <c r="BV126" i="4"/>
  <c r="BU126" i="4"/>
  <c r="BT126" i="4"/>
  <c r="BS126" i="4"/>
  <c r="BR126" i="4"/>
  <c r="BQ126" i="4"/>
  <c r="BP126" i="4"/>
  <c r="BO126" i="4"/>
  <c r="BN126" i="4"/>
  <c r="BM126" i="4"/>
  <c r="BL126" i="4"/>
  <c r="BK126" i="4"/>
  <c r="BJ126" i="4"/>
  <c r="BI126" i="4"/>
  <c r="BH126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B126" i="4"/>
  <c r="BW125" i="4"/>
  <c r="BV125" i="4"/>
  <c r="BU125" i="4"/>
  <c r="BT125" i="4"/>
  <c r="BS125" i="4"/>
  <c r="BR125" i="4"/>
  <c r="BQ125" i="4"/>
  <c r="BP125" i="4"/>
  <c r="BO125" i="4"/>
  <c r="BN125" i="4"/>
  <c r="BM125" i="4"/>
  <c r="BL125" i="4"/>
  <c r="BK125" i="4"/>
  <c r="BJ125" i="4"/>
  <c r="BI125" i="4"/>
  <c r="BH125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B125" i="4"/>
  <c r="BW124" i="4"/>
  <c r="BV124" i="4"/>
  <c r="BU124" i="4"/>
  <c r="BT124" i="4"/>
  <c r="BS124" i="4"/>
  <c r="BR124" i="4"/>
  <c r="BQ124" i="4"/>
  <c r="BP124" i="4"/>
  <c r="BO124" i="4"/>
  <c r="BN124" i="4"/>
  <c r="BM124" i="4"/>
  <c r="BL124" i="4"/>
  <c r="BK124" i="4"/>
  <c r="BJ124" i="4"/>
  <c r="BI124" i="4"/>
  <c r="BH124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N124" i="4"/>
  <c r="AO124" i="4" s="1"/>
  <c r="B124" i="4"/>
  <c r="BW123" i="4"/>
  <c r="BV123" i="4"/>
  <c r="BU123" i="4"/>
  <c r="BT123" i="4"/>
  <c r="BS123" i="4"/>
  <c r="BR123" i="4"/>
  <c r="BQ123" i="4"/>
  <c r="BP123" i="4"/>
  <c r="BO123" i="4"/>
  <c r="BN123" i="4"/>
  <c r="BM123" i="4"/>
  <c r="BL123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N123" i="4"/>
  <c r="AO123" i="4" s="1"/>
  <c r="B123" i="4"/>
  <c r="BW122" i="4"/>
  <c r="BV122" i="4"/>
  <c r="BU122" i="4"/>
  <c r="BT122" i="4"/>
  <c r="BS122" i="4"/>
  <c r="BR122" i="4"/>
  <c r="BQ122" i="4"/>
  <c r="BP122" i="4"/>
  <c r="BO122" i="4"/>
  <c r="BN122" i="4"/>
  <c r="BM122" i="4"/>
  <c r="BL122" i="4"/>
  <c r="BK122" i="4"/>
  <c r="BJ122" i="4"/>
  <c r="BI122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B122" i="4"/>
  <c r="BW121" i="4"/>
  <c r="BV121" i="4"/>
  <c r="BU121" i="4"/>
  <c r="BT121" i="4"/>
  <c r="BS121" i="4"/>
  <c r="BR121" i="4"/>
  <c r="BQ121" i="4"/>
  <c r="BP121" i="4"/>
  <c r="BO121" i="4"/>
  <c r="BN121" i="4"/>
  <c r="BM121" i="4"/>
  <c r="BL121" i="4"/>
  <c r="BK121" i="4"/>
  <c r="BJ121" i="4"/>
  <c r="BI121" i="4"/>
  <c r="BH121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B121" i="4"/>
  <c r="BW120" i="4"/>
  <c r="BV120" i="4"/>
  <c r="BU120" i="4"/>
  <c r="BT120" i="4"/>
  <c r="BS120" i="4"/>
  <c r="BR120" i="4"/>
  <c r="BQ120" i="4"/>
  <c r="BP120" i="4"/>
  <c r="BO120" i="4"/>
  <c r="BN120" i="4"/>
  <c r="BM120" i="4"/>
  <c r="BL120" i="4"/>
  <c r="BK120" i="4"/>
  <c r="BJ120" i="4"/>
  <c r="BI120" i="4"/>
  <c r="BH120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B120" i="4"/>
  <c r="BW119" i="4"/>
  <c r="BV119" i="4"/>
  <c r="BU119" i="4"/>
  <c r="BT119" i="4"/>
  <c r="BS119" i="4"/>
  <c r="BR119" i="4"/>
  <c r="BQ119" i="4"/>
  <c r="BP119" i="4"/>
  <c r="BO119" i="4"/>
  <c r="BN119" i="4"/>
  <c r="BM119" i="4"/>
  <c r="BL119" i="4"/>
  <c r="BK119" i="4"/>
  <c r="BJ119" i="4"/>
  <c r="BI119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N119" i="4"/>
  <c r="AO119" i="4" s="1"/>
  <c r="B119" i="4"/>
  <c r="BW118" i="4"/>
  <c r="BV118" i="4"/>
  <c r="BU118" i="4"/>
  <c r="BT118" i="4"/>
  <c r="BS118" i="4"/>
  <c r="BR118" i="4"/>
  <c r="BQ118" i="4"/>
  <c r="BP118" i="4"/>
  <c r="BO118" i="4"/>
  <c r="BN118" i="4"/>
  <c r="BM118" i="4"/>
  <c r="BL118" i="4"/>
  <c r="BK118" i="4"/>
  <c r="BJ118" i="4"/>
  <c r="BI118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N118" i="4"/>
  <c r="AO118" i="4" s="1"/>
  <c r="B118" i="4"/>
  <c r="BW117" i="4"/>
  <c r="BV117" i="4"/>
  <c r="BU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N117" i="4"/>
  <c r="AO117" i="4" s="1"/>
  <c r="B117" i="4"/>
  <c r="BW116" i="4"/>
  <c r="BV116" i="4"/>
  <c r="BU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N116" i="4"/>
  <c r="AO116" i="4" s="1"/>
  <c r="B116" i="4"/>
  <c r="BW147" i="4"/>
  <c r="BV147" i="4"/>
  <c r="BU147" i="4"/>
  <c r="BT147" i="4"/>
  <c r="BS147" i="4"/>
  <c r="BR147" i="4"/>
  <c r="BQ147" i="4"/>
  <c r="BP147" i="4"/>
  <c r="BO147" i="4"/>
  <c r="BN147" i="4"/>
  <c r="BM147" i="4"/>
  <c r="BL147" i="4"/>
  <c r="BK147" i="4"/>
  <c r="BJ147" i="4"/>
  <c r="BI147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N147" i="4"/>
  <c r="AO147" i="4" s="1"/>
  <c r="B147" i="4"/>
  <c r="BW146" i="4"/>
  <c r="BV146" i="4"/>
  <c r="BU146" i="4"/>
  <c r="BT146" i="4"/>
  <c r="BS146" i="4"/>
  <c r="BR146" i="4"/>
  <c r="BQ146" i="4"/>
  <c r="BP146" i="4"/>
  <c r="BO146" i="4"/>
  <c r="BN146" i="4"/>
  <c r="BM146" i="4"/>
  <c r="BL146" i="4"/>
  <c r="BK146" i="4"/>
  <c r="BJ146" i="4"/>
  <c r="BI146" i="4"/>
  <c r="BH146" i="4"/>
  <c r="BG146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N146" i="4"/>
  <c r="AO146" i="4" s="1"/>
  <c r="B146" i="4"/>
  <c r="BW145" i="4"/>
  <c r="BV145" i="4"/>
  <c r="BU145" i="4"/>
  <c r="BT145" i="4"/>
  <c r="BS145" i="4"/>
  <c r="BR145" i="4"/>
  <c r="BQ145" i="4"/>
  <c r="BP145" i="4"/>
  <c r="BO145" i="4"/>
  <c r="BN145" i="4"/>
  <c r="BM145" i="4"/>
  <c r="BL145" i="4"/>
  <c r="BK145" i="4"/>
  <c r="BJ145" i="4"/>
  <c r="BI145" i="4"/>
  <c r="BH145" i="4"/>
  <c r="BG145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N145" i="4"/>
  <c r="AO145" i="4" s="1"/>
  <c r="B145" i="4"/>
  <c r="BW144" i="4"/>
  <c r="BV144" i="4"/>
  <c r="BU144" i="4"/>
  <c r="BT144" i="4"/>
  <c r="BS144" i="4"/>
  <c r="BR144" i="4"/>
  <c r="BQ144" i="4"/>
  <c r="BP144" i="4"/>
  <c r="BO144" i="4"/>
  <c r="BN144" i="4"/>
  <c r="BM144" i="4"/>
  <c r="BL144" i="4"/>
  <c r="BK144" i="4"/>
  <c r="BJ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N144" i="4"/>
  <c r="AO144" i="4" s="1"/>
  <c r="B144" i="4"/>
  <c r="BW143" i="4"/>
  <c r="BV143" i="4"/>
  <c r="BU143" i="4"/>
  <c r="BT143" i="4"/>
  <c r="BS143" i="4"/>
  <c r="BR143" i="4"/>
  <c r="BQ143" i="4"/>
  <c r="BP143" i="4"/>
  <c r="BO143" i="4"/>
  <c r="BN143" i="4"/>
  <c r="BM143" i="4"/>
  <c r="BL143" i="4"/>
  <c r="BK143" i="4"/>
  <c r="BJ143" i="4"/>
  <c r="BI143" i="4"/>
  <c r="BH143" i="4"/>
  <c r="BG143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N143" i="4"/>
  <c r="AO143" i="4" s="1"/>
  <c r="B143" i="4"/>
  <c r="BW142" i="4"/>
  <c r="BV142" i="4"/>
  <c r="BU142" i="4"/>
  <c r="BT142" i="4"/>
  <c r="BS142" i="4"/>
  <c r="BR142" i="4"/>
  <c r="BQ142" i="4"/>
  <c r="BP142" i="4"/>
  <c r="BO142" i="4"/>
  <c r="BN142" i="4"/>
  <c r="BM142" i="4"/>
  <c r="BL142" i="4"/>
  <c r="BK142" i="4"/>
  <c r="BJ142" i="4"/>
  <c r="BI142" i="4"/>
  <c r="BH142" i="4"/>
  <c r="BG142" i="4"/>
  <c r="BF142" i="4"/>
  <c r="BE142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AR142" i="4"/>
  <c r="B142" i="4"/>
  <c r="BW141" i="4"/>
  <c r="BV141" i="4"/>
  <c r="BU141" i="4"/>
  <c r="BT141" i="4"/>
  <c r="BS141" i="4"/>
  <c r="BR141" i="4"/>
  <c r="BQ141" i="4"/>
  <c r="BP141" i="4"/>
  <c r="BO141" i="4"/>
  <c r="BN141" i="4"/>
  <c r="BM141" i="4"/>
  <c r="BL141" i="4"/>
  <c r="BK141" i="4"/>
  <c r="BJ141" i="4"/>
  <c r="BI141" i="4"/>
  <c r="BH141" i="4"/>
  <c r="BG141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B141" i="4"/>
  <c r="BW140" i="4"/>
  <c r="BV140" i="4"/>
  <c r="BU140" i="4"/>
  <c r="BT140" i="4"/>
  <c r="BS140" i="4"/>
  <c r="BR140" i="4"/>
  <c r="BQ140" i="4"/>
  <c r="BP140" i="4"/>
  <c r="BO140" i="4"/>
  <c r="BN140" i="4"/>
  <c r="BM140" i="4"/>
  <c r="BL140" i="4"/>
  <c r="BK140" i="4"/>
  <c r="BJ140" i="4"/>
  <c r="BI140" i="4"/>
  <c r="BH140" i="4"/>
  <c r="BG140" i="4"/>
  <c r="BF140" i="4"/>
  <c r="BE140" i="4"/>
  <c r="BD140" i="4"/>
  <c r="BC140" i="4"/>
  <c r="BB140" i="4"/>
  <c r="BA140" i="4"/>
  <c r="AZ140" i="4"/>
  <c r="AY140" i="4"/>
  <c r="AX140" i="4"/>
  <c r="AW140" i="4"/>
  <c r="AV140" i="4"/>
  <c r="AU140" i="4"/>
  <c r="AT140" i="4"/>
  <c r="AS140" i="4"/>
  <c r="AR140" i="4"/>
  <c r="AN140" i="4"/>
  <c r="AO140" i="4" s="1"/>
  <c r="B140" i="4"/>
  <c r="BW139" i="4"/>
  <c r="BV139" i="4"/>
  <c r="BU139" i="4"/>
  <c r="BT139" i="4"/>
  <c r="BS139" i="4"/>
  <c r="BR139" i="4"/>
  <c r="BQ139" i="4"/>
  <c r="BP139" i="4"/>
  <c r="BO139" i="4"/>
  <c r="BN139" i="4"/>
  <c r="BM139" i="4"/>
  <c r="BL139" i="4"/>
  <c r="BK139" i="4"/>
  <c r="BJ139" i="4"/>
  <c r="BI139" i="4"/>
  <c r="BH139" i="4"/>
  <c r="BG139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N139" i="4"/>
  <c r="AO139" i="4" s="1"/>
  <c r="B139" i="4"/>
  <c r="BW138" i="4"/>
  <c r="BV138" i="4"/>
  <c r="BU138" i="4"/>
  <c r="BT138" i="4"/>
  <c r="BS138" i="4"/>
  <c r="BR138" i="4"/>
  <c r="BQ138" i="4"/>
  <c r="BP138" i="4"/>
  <c r="BO138" i="4"/>
  <c r="BN138" i="4"/>
  <c r="BM138" i="4"/>
  <c r="BL138" i="4"/>
  <c r="BK138" i="4"/>
  <c r="BJ138" i="4"/>
  <c r="BI138" i="4"/>
  <c r="BH138" i="4"/>
  <c r="BG138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B138" i="4"/>
  <c r="BW137" i="4"/>
  <c r="BV137" i="4"/>
  <c r="BU137" i="4"/>
  <c r="BT137" i="4"/>
  <c r="BS137" i="4"/>
  <c r="BR137" i="4"/>
  <c r="BQ137" i="4"/>
  <c r="BP137" i="4"/>
  <c r="BO137" i="4"/>
  <c r="BN137" i="4"/>
  <c r="BM137" i="4"/>
  <c r="BL137" i="4"/>
  <c r="BK137" i="4"/>
  <c r="BJ137" i="4"/>
  <c r="BI137" i="4"/>
  <c r="BH137" i="4"/>
  <c r="BG137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N137" i="4"/>
  <c r="AO137" i="4" s="1"/>
  <c r="B137" i="4"/>
  <c r="BW136" i="4"/>
  <c r="BV136" i="4"/>
  <c r="BU136" i="4"/>
  <c r="BT136" i="4"/>
  <c r="BS136" i="4"/>
  <c r="BR136" i="4"/>
  <c r="BQ136" i="4"/>
  <c r="BP136" i="4"/>
  <c r="BO136" i="4"/>
  <c r="BN136" i="4"/>
  <c r="BM136" i="4"/>
  <c r="BL136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N136" i="4"/>
  <c r="AO136" i="4" s="1"/>
  <c r="B136" i="4"/>
  <c r="BW135" i="4"/>
  <c r="BV135" i="4"/>
  <c r="BU135" i="4"/>
  <c r="BT135" i="4"/>
  <c r="BS135" i="4"/>
  <c r="BR135" i="4"/>
  <c r="BQ135" i="4"/>
  <c r="BP135" i="4"/>
  <c r="BO135" i="4"/>
  <c r="BN135" i="4"/>
  <c r="BM135" i="4"/>
  <c r="BL135" i="4"/>
  <c r="BK135" i="4"/>
  <c r="BJ135" i="4"/>
  <c r="BI135" i="4"/>
  <c r="BH135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N135" i="4"/>
  <c r="AO135" i="4" s="1"/>
  <c r="B135" i="4"/>
  <c r="BW134" i="4"/>
  <c r="BV134" i="4"/>
  <c r="BU134" i="4"/>
  <c r="BT134" i="4"/>
  <c r="BS134" i="4"/>
  <c r="BR134" i="4"/>
  <c r="BQ134" i="4"/>
  <c r="BP134" i="4"/>
  <c r="BO134" i="4"/>
  <c r="BN134" i="4"/>
  <c r="BM134" i="4"/>
  <c r="BL134" i="4"/>
  <c r="BK134" i="4"/>
  <c r="BJ134" i="4"/>
  <c r="BI134" i="4"/>
  <c r="BH134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B134" i="4"/>
  <c r="BW133" i="4"/>
  <c r="BV133" i="4"/>
  <c r="BU133" i="4"/>
  <c r="BT133" i="4"/>
  <c r="BS133" i="4"/>
  <c r="BR133" i="4"/>
  <c r="BQ133" i="4"/>
  <c r="BP133" i="4"/>
  <c r="BO133" i="4"/>
  <c r="BN133" i="4"/>
  <c r="BM133" i="4"/>
  <c r="BL133" i="4"/>
  <c r="BK133" i="4"/>
  <c r="BJ133" i="4"/>
  <c r="BI133" i="4"/>
  <c r="BH133" i="4"/>
  <c r="BG133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N133" i="4"/>
  <c r="AO133" i="4" s="1"/>
  <c r="B133" i="4"/>
  <c r="BW132" i="4"/>
  <c r="BV132" i="4"/>
  <c r="BU132" i="4"/>
  <c r="BT132" i="4"/>
  <c r="BS132" i="4"/>
  <c r="BR132" i="4"/>
  <c r="BQ132" i="4"/>
  <c r="BP132" i="4"/>
  <c r="BO132" i="4"/>
  <c r="BN132" i="4"/>
  <c r="BM132" i="4"/>
  <c r="BL132" i="4"/>
  <c r="BK132" i="4"/>
  <c r="BJ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N132" i="4"/>
  <c r="AO132" i="4" s="1"/>
  <c r="B132" i="4"/>
  <c r="BW163" i="4"/>
  <c r="BV163" i="4"/>
  <c r="BU163" i="4"/>
  <c r="BT163" i="4"/>
  <c r="BS163" i="4"/>
  <c r="BR163" i="4"/>
  <c r="BQ163" i="4"/>
  <c r="BP163" i="4"/>
  <c r="BO163" i="4"/>
  <c r="BN163" i="4"/>
  <c r="BM163" i="4"/>
  <c r="BL163" i="4"/>
  <c r="BK163" i="4"/>
  <c r="BJ163" i="4"/>
  <c r="BI163" i="4"/>
  <c r="BH163" i="4"/>
  <c r="BG163" i="4"/>
  <c r="BF163" i="4"/>
  <c r="BE163" i="4"/>
  <c r="BD163" i="4"/>
  <c r="BC163" i="4"/>
  <c r="BB163" i="4"/>
  <c r="BA163" i="4"/>
  <c r="AZ163" i="4"/>
  <c r="AY163" i="4"/>
  <c r="AX163" i="4"/>
  <c r="AW163" i="4"/>
  <c r="AV163" i="4"/>
  <c r="AU163" i="4"/>
  <c r="AT163" i="4"/>
  <c r="AS163" i="4"/>
  <c r="AR163" i="4"/>
  <c r="AN163" i="4"/>
  <c r="AO163" i="4" s="1"/>
  <c r="B163" i="4"/>
  <c r="BW162" i="4"/>
  <c r="BV162" i="4"/>
  <c r="BU162" i="4"/>
  <c r="BT162" i="4"/>
  <c r="BS162" i="4"/>
  <c r="BR162" i="4"/>
  <c r="BQ162" i="4"/>
  <c r="BP162" i="4"/>
  <c r="BO162" i="4"/>
  <c r="BN162" i="4"/>
  <c r="BM162" i="4"/>
  <c r="BL162" i="4"/>
  <c r="BK162" i="4"/>
  <c r="BJ162" i="4"/>
  <c r="BI162" i="4"/>
  <c r="BH162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B162" i="4"/>
  <c r="BW161" i="4"/>
  <c r="BV161" i="4"/>
  <c r="BU161" i="4"/>
  <c r="BT161" i="4"/>
  <c r="BS161" i="4"/>
  <c r="BR161" i="4"/>
  <c r="BQ161" i="4"/>
  <c r="BP161" i="4"/>
  <c r="BO161" i="4"/>
  <c r="BN161" i="4"/>
  <c r="BM161" i="4"/>
  <c r="BL161" i="4"/>
  <c r="BK161" i="4"/>
  <c r="BJ161" i="4"/>
  <c r="BI161" i="4"/>
  <c r="BH161" i="4"/>
  <c r="BG161" i="4"/>
  <c r="BF161" i="4"/>
  <c r="BE161" i="4"/>
  <c r="BD161" i="4"/>
  <c r="BC161" i="4"/>
  <c r="BB161" i="4"/>
  <c r="BA161" i="4"/>
  <c r="AZ161" i="4"/>
  <c r="AY161" i="4"/>
  <c r="AX161" i="4"/>
  <c r="AW161" i="4"/>
  <c r="AV161" i="4"/>
  <c r="AU161" i="4"/>
  <c r="AT161" i="4"/>
  <c r="AS161" i="4"/>
  <c r="AR161" i="4"/>
  <c r="AN161" i="4"/>
  <c r="AO161" i="4" s="1"/>
  <c r="B161" i="4"/>
  <c r="BW160" i="4"/>
  <c r="BV160" i="4"/>
  <c r="BU160" i="4"/>
  <c r="BT160" i="4"/>
  <c r="BS160" i="4"/>
  <c r="BR160" i="4"/>
  <c r="BQ160" i="4"/>
  <c r="BP160" i="4"/>
  <c r="BO160" i="4"/>
  <c r="BN160" i="4"/>
  <c r="BM160" i="4"/>
  <c r="BL160" i="4"/>
  <c r="BK160" i="4"/>
  <c r="BJ160" i="4"/>
  <c r="BI160" i="4"/>
  <c r="BH160" i="4"/>
  <c r="BG160" i="4"/>
  <c r="BF160" i="4"/>
  <c r="BE160" i="4"/>
  <c r="BD160" i="4"/>
  <c r="BC160" i="4"/>
  <c r="BB160" i="4"/>
  <c r="BA160" i="4"/>
  <c r="AZ160" i="4"/>
  <c r="AY160" i="4"/>
  <c r="AX160" i="4"/>
  <c r="AW160" i="4"/>
  <c r="AV160" i="4"/>
  <c r="AU160" i="4"/>
  <c r="AT160" i="4"/>
  <c r="AS160" i="4"/>
  <c r="AR160" i="4"/>
  <c r="B160" i="4"/>
  <c r="BW159" i="4"/>
  <c r="BV159" i="4"/>
  <c r="BU159" i="4"/>
  <c r="BT159" i="4"/>
  <c r="BS159" i="4"/>
  <c r="BR159" i="4"/>
  <c r="BQ159" i="4"/>
  <c r="BP159" i="4"/>
  <c r="BO159" i="4"/>
  <c r="BN159" i="4"/>
  <c r="BM159" i="4"/>
  <c r="BL159" i="4"/>
  <c r="BK159" i="4"/>
  <c r="BJ159" i="4"/>
  <c r="BI159" i="4"/>
  <c r="BH159" i="4"/>
  <c r="BG159" i="4"/>
  <c r="BF159" i="4"/>
  <c r="BE159" i="4"/>
  <c r="BD159" i="4"/>
  <c r="BC159" i="4"/>
  <c r="BB159" i="4"/>
  <c r="BA159" i="4"/>
  <c r="AZ159" i="4"/>
  <c r="AY159" i="4"/>
  <c r="AX159" i="4"/>
  <c r="AW159" i="4"/>
  <c r="AV159" i="4"/>
  <c r="AU159" i="4"/>
  <c r="AT159" i="4"/>
  <c r="AS159" i="4"/>
  <c r="AR159" i="4"/>
  <c r="AN159" i="4"/>
  <c r="AO159" i="4" s="1"/>
  <c r="B159" i="4"/>
  <c r="BW158" i="4"/>
  <c r="BV158" i="4"/>
  <c r="BU158" i="4"/>
  <c r="BT158" i="4"/>
  <c r="BS158" i="4"/>
  <c r="BR158" i="4"/>
  <c r="BQ158" i="4"/>
  <c r="BP158" i="4"/>
  <c r="BO158" i="4"/>
  <c r="BN158" i="4"/>
  <c r="BM158" i="4"/>
  <c r="BL158" i="4"/>
  <c r="BK158" i="4"/>
  <c r="BJ158" i="4"/>
  <c r="BI158" i="4"/>
  <c r="BH158" i="4"/>
  <c r="BG158" i="4"/>
  <c r="BF158" i="4"/>
  <c r="BE158" i="4"/>
  <c r="BD158" i="4"/>
  <c r="BC158" i="4"/>
  <c r="BB158" i="4"/>
  <c r="BA158" i="4"/>
  <c r="AZ158" i="4"/>
  <c r="AY158" i="4"/>
  <c r="AX158" i="4"/>
  <c r="AW158" i="4"/>
  <c r="AV158" i="4"/>
  <c r="AU158" i="4"/>
  <c r="AT158" i="4"/>
  <c r="AS158" i="4"/>
  <c r="AR158" i="4"/>
  <c r="B158" i="4"/>
  <c r="BW157" i="4"/>
  <c r="BV157" i="4"/>
  <c r="BU157" i="4"/>
  <c r="BT157" i="4"/>
  <c r="BS157" i="4"/>
  <c r="BR157" i="4"/>
  <c r="BQ157" i="4"/>
  <c r="BP157" i="4"/>
  <c r="BO157" i="4"/>
  <c r="BN157" i="4"/>
  <c r="BM157" i="4"/>
  <c r="BL157" i="4"/>
  <c r="BK157" i="4"/>
  <c r="BJ157" i="4"/>
  <c r="BI157" i="4"/>
  <c r="BH157" i="4"/>
  <c r="BG157" i="4"/>
  <c r="BF157" i="4"/>
  <c r="BE157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AR157" i="4"/>
  <c r="B157" i="4"/>
  <c r="BW156" i="4"/>
  <c r="BV156" i="4"/>
  <c r="BU156" i="4"/>
  <c r="BT156" i="4"/>
  <c r="BS156" i="4"/>
  <c r="BR156" i="4"/>
  <c r="BQ156" i="4"/>
  <c r="BP156" i="4"/>
  <c r="BO156" i="4"/>
  <c r="BN156" i="4"/>
  <c r="BM156" i="4"/>
  <c r="BL156" i="4"/>
  <c r="BK156" i="4"/>
  <c r="BJ156" i="4"/>
  <c r="BI156" i="4"/>
  <c r="BH156" i="4"/>
  <c r="BG156" i="4"/>
  <c r="BF156" i="4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/>
  <c r="AR156" i="4"/>
  <c r="B156" i="4"/>
  <c r="BW155" i="4"/>
  <c r="BV155" i="4"/>
  <c r="BU155" i="4"/>
  <c r="BT155" i="4"/>
  <c r="BS155" i="4"/>
  <c r="BR155" i="4"/>
  <c r="BQ155" i="4"/>
  <c r="BP155" i="4"/>
  <c r="BO155" i="4"/>
  <c r="BN155" i="4"/>
  <c r="BM155" i="4"/>
  <c r="BL155" i="4"/>
  <c r="BK155" i="4"/>
  <c r="BJ155" i="4"/>
  <c r="BI155" i="4"/>
  <c r="BH155" i="4"/>
  <c r="BG155" i="4"/>
  <c r="BF155" i="4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B155" i="4"/>
  <c r="BW154" i="4"/>
  <c r="BV154" i="4"/>
  <c r="BU154" i="4"/>
  <c r="BT154" i="4"/>
  <c r="BS154" i="4"/>
  <c r="BR154" i="4"/>
  <c r="BQ154" i="4"/>
  <c r="BP154" i="4"/>
  <c r="BO154" i="4"/>
  <c r="BN154" i="4"/>
  <c r="BM154" i="4"/>
  <c r="BL154" i="4"/>
  <c r="BK154" i="4"/>
  <c r="BJ154" i="4"/>
  <c r="BI154" i="4"/>
  <c r="BH154" i="4"/>
  <c r="BG154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B154" i="4"/>
  <c r="BW153" i="4"/>
  <c r="BV153" i="4"/>
  <c r="BU153" i="4"/>
  <c r="BT153" i="4"/>
  <c r="BS153" i="4"/>
  <c r="BR153" i="4"/>
  <c r="BQ153" i="4"/>
  <c r="BP153" i="4"/>
  <c r="BO153" i="4"/>
  <c r="BN153" i="4"/>
  <c r="BM153" i="4"/>
  <c r="BL153" i="4"/>
  <c r="BK153" i="4"/>
  <c r="BJ153" i="4"/>
  <c r="BI153" i="4"/>
  <c r="BH153" i="4"/>
  <c r="BG153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B153" i="4"/>
  <c r="BW152" i="4"/>
  <c r="BV152" i="4"/>
  <c r="BU152" i="4"/>
  <c r="BT152" i="4"/>
  <c r="BS152" i="4"/>
  <c r="BR152" i="4"/>
  <c r="BQ152" i="4"/>
  <c r="BP152" i="4"/>
  <c r="BO152" i="4"/>
  <c r="BN152" i="4"/>
  <c r="BM152" i="4"/>
  <c r="BL152" i="4"/>
  <c r="BK152" i="4"/>
  <c r="BJ152" i="4"/>
  <c r="BI152" i="4"/>
  <c r="BH152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B152" i="4"/>
  <c r="BW151" i="4"/>
  <c r="BV151" i="4"/>
  <c r="BU151" i="4"/>
  <c r="BT151" i="4"/>
  <c r="BS151" i="4"/>
  <c r="BR151" i="4"/>
  <c r="BQ151" i="4"/>
  <c r="BP151" i="4"/>
  <c r="BO151" i="4"/>
  <c r="BN151" i="4"/>
  <c r="BM151" i="4"/>
  <c r="BL151" i="4"/>
  <c r="BK151" i="4"/>
  <c r="BJ151" i="4"/>
  <c r="BI151" i="4"/>
  <c r="BH151" i="4"/>
  <c r="BG151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B151" i="4"/>
  <c r="BW150" i="4"/>
  <c r="BV150" i="4"/>
  <c r="BU150" i="4"/>
  <c r="BT150" i="4"/>
  <c r="BS150" i="4"/>
  <c r="BR150" i="4"/>
  <c r="BQ150" i="4"/>
  <c r="BP150" i="4"/>
  <c r="BO150" i="4"/>
  <c r="BN150" i="4"/>
  <c r="BM150" i="4"/>
  <c r="BL150" i="4"/>
  <c r="BK150" i="4"/>
  <c r="BJ150" i="4"/>
  <c r="BI150" i="4"/>
  <c r="BH150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B150" i="4"/>
  <c r="BW149" i="4"/>
  <c r="BV149" i="4"/>
  <c r="BU149" i="4"/>
  <c r="BT149" i="4"/>
  <c r="BS149" i="4"/>
  <c r="BR149" i="4"/>
  <c r="BQ149" i="4"/>
  <c r="BP149" i="4"/>
  <c r="BO149" i="4"/>
  <c r="BN149" i="4"/>
  <c r="BM149" i="4"/>
  <c r="BL149" i="4"/>
  <c r="BK149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B149" i="4"/>
  <c r="BW148" i="4"/>
  <c r="BV148" i="4"/>
  <c r="BU148" i="4"/>
  <c r="BT148" i="4"/>
  <c r="BS148" i="4"/>
  <c r="BR148" i="4"/>
  <c r="BQ148" i="4"/>
  <c r="BP148" i="4"/>
  <c r="BO148" i="4"/>
  <c r="BN148" i="4"/>
  <c r="BM148" i="4"/>
  <c r="BL148" i="4"/>
  <c r="BK148" i="4"/>
  <c r="BJ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B148" i="4"/>
  <c r="BW179" i="4"/>
  <c r="BV179" i="4"/>
  <c r="BU179" i="4"/>
  <c r="BT179" i="4"/>
  <c r="BS179" i="4"/>
  <c r="BR179" i="4"/>
  <c r="BQ179" i="4"/>
  <c r="BP179" i="4"/>
  <c r="BO179" i="4"/>
  <c r="BN179" i="4"/>
  <c r="BM179" i="4"/>
  <c r="BL179" i="4"/>
  <c r="BK179" i="4"/>
  <c r="BJ179" i="4"/>
  <c r="BI179" i="4"/>
  <c r="BH179" i="4"/>
  <c r="BG179" i="4"/>
  <c r="BF179" i="4"/>
  <c r="BE179" i="4"/>
  <c r="BD179" i="4"/>
  <c r="BC179" i="4"/>
  <c r="BB179" i="4"/>
  <c r="BA179" i="4"/>
  <c r="AZ179" i="4"/>
  <c r="AY179" i="4"/>
  <c r="AX179" i="4"/>
  <c r="AW179" i="4"/>
  <c r="AV179" i="4"/>
  <c r="AU179" i="4"/>
  <c r="AT179" i="4"/>
  <c r="AS179" i="4"/>
  <c r="AR179" i="4"/>
  <c r="B179" i="4"/>
  <c r="BW178" i="4"/>
  <c r="BV178" i="4"/>
  <c r="BU178" i="4"/>
  <c r="BT178" i="4"/>
  <c r="BS178" i="4"/>
  <c r="BR178" i="4"/>
  <c r="BQ178" i="4"/>
  <c r="BP178" i="4"/>
  <c r="BO178" i="4"/>
  <c r="BN178" i="4"/>
  <c r="BM178" i="4"/>
  <c r="BL178" i="4"/>
  <c r="BK178" i="4"/>
  <c r="BJ178" i="4"/>
  <c r="BI178" i="4"/>
  <c r="BH178" i="4"/>
  <c r="BG178" i="4"/>
  <c r="BF178" i="4"/>
  <c r="BE178" i="4"/>
  <c r="BD178" i="4"/>
  <c r="BC178" i="4"/>
  <c r="BB178" i="4"/>
  <c r="BA178" i="4"/>
  <c r="AZ178" i="4"/>
  <c r="AY178" i="4"/>
  <c r="AX178" i="4"/>
  <c r="AW178" i="4"/>
  <c r="AV178" i="4"/>
  <c r="AU178" i="4"/>
  <c r="AT178" i="4"/>
  <c r="AS178" i="4"/>
  <c r="AR178" i="4"/>
  <c r="B178" i="4"/>
  <c r="BW177" i="4"/>
  <c r="BV177" i="4"/>
  <c r="BU177" i="4"/>
  <c r="BT177" i="4"/>
  <c r="BS177" i="4"/>
  <c r="BR177" i="4"/>
  <c r="BQ177" i="4"/>
  <c r="BP177" i="4"/>
  <c r="BO177" i="4"/>
  <c r="BN177" i="4"/>
  <c r="BM177" i="4"/>
  <c r="BL177" i="4"/>
  <c r="BK177" i="4"/>
  <c r="BJ177" i="4"/>
  <c r="BI177" i="4"/>
  <c r="BH177" i="4"/>
  <c r="BG177" i="4"/>
  <c r="BF177" i="4"/>
  <c r="BE177" i="4"/>
  <c r="BD177" i="4"/>
  <c r="BC177" i="4"/>
  <c r="BB177" i="4"/>
  <c r="BA177" i="4"/>
  <c r="AZ177" i="4"/>
  <c r="AY177" i="4"/>
  <c r="AX177" i="4"/>
  <c r="AW177" i="4"/>
  <c r="AV177" i="4"/>
  <c r="AU177" i="4"/>
  <c r="AT177" i="4"/>
  <c r="AS177" i="4"/>
  <c r="AR177" i="4"/>
  <c r="B177" i="4"/>
  <c r="BW176" i="4"/>
  <c r="BV176" i="4"/>
  <c r="BU176" i="4"/>
  <c r="BT176" i="4"/>
  <c r="BS176" i="4"/>
  <c r="BR176" i="4"/>
  <c r="BQ176" i="4"/>
  <c r="BP176" i="4"/>
  <c r="BO176" i="4"/>
  <c r="BN176" i="4"/>
  <c r="BM176" i="4"/>
  <c r="BL176" i="4"/>
  <c r="BK176" i="4"/>
  <c r="BJ176" i="4"/>
  <c r="BI176" i="4"/>
  <c r="BH176" i="4"/>
  <c r="BG176" i="4"/>
  <c r="BF176" i="4"/>
  <c r="BE176" i="4"/>
  <c r="BD176" i="4"/>
  <c r="BC176" i="4"/>
  <c r="BB176" i="4"/>
  <c r="BA176" i="4"/>
  <c r="AZ176" i="4"/>
  <c r="AY176" i="4"/>
  <c r="AX176" i="4"/>
  <c r="AW176" i="4"/>
  <c r="AV176" i="4"/>
  <c r="AU176" i="4"/>
  <c r="AT176" i="4"/>
  <c r="AS176" i="4"/>
  <c r="AR176" i="4"/>
  <c r="AN176" i="4" s="1"/>
  <c r="AO176" i="4" s="1"/>
  <c r="B176" i="4"/>
  <c r="BW175" i="4"/>
  <c r="BV175" i="4"/>
  <c r="BU175" i="4"/>
  <c r="BT175" i="4"/>
  <c r="BS175" i="4"/>
  <c r="BR175" i="4"/>
  <c r="BQ175" i="4"/>
  <c r="BP175" i="4"/>
  <c r="BO175" i="4"/>
  <c r="BN175" i="4"/>
  <c r="BM175" i="4"/>
  <c r="BL175" i="4"/>
  <c r="BK175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N175" i="4" s="1"/>
  <c r="AO175" i="4" s="1"/>
  <c r="B175" i="4"/>
  <c r="BW174" i="4"/>
  <c r="BV174" i="4"/>
  <c r="BU174" i="4"/>
  <c r="BT174" i="4"/>
  <c r="BS174" i="4"/>
  <c r="BR174" i="4"/>
  <c r="BQ174" i="4"/>
  <c r="BP174" i="4"/>
  <c r="BO174" i="4"/>
  <c r="BN174" i="4"/>
  <c r="BM174" i="4"/>
  <c r="BL174" i="4"/>
  <c r="BK174" i="4"/>
  <c r="BJ174" i="4"/>
  <c r="BI174" i="4"/>
  <c r="BH174" i="4"/>
  <c r="BG174" i="4"/>
  <c r="BF174" i="4"/>
  <c r="BE174" i="4"/>
  <c r="BD174" i="4"/>
  <c r="BC174" i="4"/>
  <c r="BB174" i="4"/>
  <c r="BA174" i="4"/>
  <c r="AZ174" i="4"/>
  <c r="AY174" i="4"/>
  <c r="AX174" i="4"/>
  <c r="AW174" i="4"/>
  <c r="AV174" i="4"/>
  <c r="AU174" i="4"/>
  <c r="AT174" i="4"/>
  <c r="AS174" i="4"/>
  <c r="AR174" i="4"/>
  <c r="B174" i="4"/>
  <c r="BW173" i="4"/>
  <c r="BV173" i="4"/>
  <c r="BU173" i="4"/>
  <c r="BT173" i="4"/>
  <c r="BS173" i="4"/>
  <c r="BR173" i="4"/>
  <c r="BQ173" i="4"/>
  <c r="BP173" i="4"/>
  <c r="BO173" i="4"/>
  <c r="BN173" i="4"/>
  <c r="BM173" i="4"/>
  <c r="BL173" i="4"/>
  <c r="BK173" i="4"/>
  <c r="BJ173" i="4"/>
  <c r="BI173" i="4"/>
  <c r="BH173" i="4"/>
  <c r="BG173" i="4"/>
  <c r="BF173" i="4"/>
  <c r="BE173" i="4"/>
  <c r="BD173" i="4"/>
  <c r="BC173" i="4"/>
  <c r="BB173" i="4"/>
  <c r="BA173" i="4"/>
  <c r="AZ173" i="4"/>
  <c r="AY173" i="4"/>
  <c r="AX173" i="4"/>
  <c r="AW173" i="4"/>
  <c r="AV173" i="4"/>
  <c r="AU173" i="4"/>
  <c r="AT173" i="4"/>
  <c r="AS173" i="4"/>
  <c r="AR173" i="4"/>
  <c r="B173" i="4"/>
  <c r="BW172" i="4"/>
  <c r="BV172" i="4"/>
  <c r="BU172" i="4"/>
  <c r="BT172" i="4"/>
  <c r="BS172" i="4"/>
  <c r="BR172" i="4"/>
  <c r="BQ172" i="4"/>
  <c r="BP172" i="4"/>
  <c r="BO172" i="4"/>
  <c r="BN172" i="4"/>
  <c r="BM172" i="4"/>
  <c r="BL172" i="4"/>
  <c r="BK172" i="4"/>
  <c r="BJ172" i="4"/>
  <c r="BI172" i="4"/>
  <c r="BH172" i="4"/>
  <c r="BG172" i="4"/>
  <c r="BF172" i="4"/>
  <c r="BE172" i="4"/>
  <c r="BD172" i="4"/>
  <c r="BC172" i="4"/>
  <c r="BB172" i="4"/>
  <c r="BA172" i="4"/>
  <c r="AZ172" i="4"/>
  <c r="AY172" i="4"/>
  <c r="AX172" i="4"/>
  <c r="AW172" i="4"/>
  <c r="AV172" i="4"/>
  <c r="AU172" i="4"/>
  <c r="AT172" i="4"/>
  <c r="AS172" i="4"/>
  <c r="AR172" i="4"/>
  <c r="B172" i="4"/>
  <c r="BW171" i="4"/>
  <c r="BV171" i="4"/>
  <c r="BU171" i="4"/>
  <c r="BT171" i="4"/>
  <c r="BS171" i="4"/>
  <c r="BR171" i="4"/>
  <c r="BQ171" i="4"/>
  <c r="BP171" i="4"/>
  <c r="BO171" i="4"/>
  <c r="BN171" i="4"/>
  <c r="BM171" i="4"/>
  <c r="BL171" i="4"/>
  <c r="BK171" i="4"/>
  <c r="BJ171" i="4"/>
  <c r="BI171" i="4"/>
  <c r="BH171" i="4"/>
  <c r="BG171" i="4"/>
  <c r="BF171" i="4"/>
  <c r="BE171" i="4"/>
  <c r="BD171" i="4"/>
  <c r="BC171" i="4"/>
  <c r="BB171" i="4"/>
  <c r="BA171" i="4"/>
  <c r="AZ171" i="4"/>
  <c r="AY171" i="4"/>
  <c r="AX171" i="4"/>
  <c r="AW171" i="4"/>
  <c r="AV171" i="4"/>
  <c r="AU171" i="4"/>
  <c r="AT171" i="4"/>
  <c r="AS171" i="4"/>
  <c r="AR171" i="4"/>
  <c r="B171" i="4"/>
  <c r="BW170" i="4"/>
  <c r="BV170" i="4"/>
  <c r="BU170" i="4"/>
  <c r="BT170" i="4"/>
  <c r="BS170" i="4"/>
  <c r="BR170" i="4"/>
  <c r="BQ170" i="4"/>
  <c r="BP170" i="4"/>
  <c r="BO170" i="4"/>
  <c r="BN170" i="4"/>
  <c r="BM170" i="4"/>
  <c r="BL170" i="4"/>
  <c r="BK170" i="4"/>
  <c r="BJ170" i="4"/>
  <c r="BI170" i="4"/>
  <c r="BH170" i="4"/>
  <c r="BG170" i="4"/>
  <c r="BF170" i="4"/>
  <c r="BE170" i="4"/>
  <c r="BD170" i="4"/>
  <c r="BC170" i="4"/>
  <c r="BB170" i="4"/>
  <c r="BA170" i="4"/>
  <c r="AZ170" i="4"/>
  <c r="AY170" i="4"/>
  <c r="AX170" i="4"/>
  <c r="AW170" i="4"/>
  <c r="AV170" i="4"/>
  <c r="AU170" i="4"/>
  <c r="AT170" i="4"/>
  <c r="AS170" i="4"/>
  <c r="AR170" i="4"/>
  <c r="B170" i="4"/>
  <c r="BW169" i="4"/>
  <c r="BV169" i="4"/>
  <c r="BU169" i="4"/>
  <c r="BT169" i="4"/>
  <c r="BS169" i="4"/>
  <c r="BR169" i="4"/>
  <c r="BQ169" i="4"/>
  <c r="BP169" i="4"/>
  <c r="BO169" i="4"/>
  <c r="BN169" i="4"/>
  <c r="BM169" i="4"/>
  <c r="BL169" i="4"/>
  <c r="BK169" i="4"/>
  <c r="BJ169" i="4"/>
  <c r="BI169" i="4"/>
  <c r="BH169" i="4"/>
  <c r="BG169" i="4"/>
  <c r="BF169" i="4"/>
  <c r="BE169" i="4"/>
  <c r="BD169" i="4"/>
  <c r="BC169" i="4"/>
  <c r="BB169" i="4"/>
  <c r="BA169" i="4"/>
  <c r="AZ169" i="4"/>
  <c r="AY169" i="4"/>
  <c r="AX169" i="4"/>
  <c r="AW169" i="4"/>
  <c r="AV169" i="4"/>
  <c r="AU169" i="4"/>
  <c r="AT169" i="4"/>
  <c r="AS169" i="4"/>
  <c r="AR169" i="4"/>
  <c r="B169" i="4"/>
  <c r="BW168" i="4"/>
  <c r="BV168" i="4"/>
  <c r="BU168" i="4"/>
  <c r="BT168" i="4"/>
  <c r="BS168" i="4"/>
  <c r="BR168" i="4"/>
  <c r="BQ168" i="4"/>
  <c r="BP168" i="4"/>
  <c r="BO168" i="4"/>
  <c r="BN168" i="4"/>
  <c r="BM168" i="4"/>
  <c r="BL168" i="4"/>
  <c r="BK168" i="4"/>
  <c r="BJ168" i="4"/>
  <c r="BI168" i="4"/>
  <c r="BH168" i="4"/>
  <c r="BG168" i="4"/>
  <c r="BF168" i="4"/>
  <c r="BE168" i="4"/>
  <c r="BD168" i="4"/>
  <c r="BC168" i="4"/>
  <c r="BB168" i="4"/>
  <c r="BA168" i="4"/>
  <c r="AZ168" i="4"/>
  <c r="AY168" i="4"/>
  <c r="AX168" i="4"/>
  <c r="AW168" i="4"/>
  <c r="AV168" i="4"/>
  <c r="AU168" i="4"/>
  <c r="AT168" i="4"/>
  <c r="AS168" i="4"/>
  <c r="AR168" i="4"/>
  <c r="B168" i="4"/>
  <c r="BW167" i="4"/>
  <c r="BV167" i="4"/>
  <c r="BU167" i="4"/>
  <c r="BT167" i="4"/>
  <c r="BS167" i="4"/>
  <c r="BR167" i="4"/>
  <c r="BQ167" i="4"/>
  <c r="BP167" i="4"/>
  <c r="BO167" i="4"/>
  <c r="BN167" i="4"/>
  <c r="BM167" i="4"/>
  <c r="BL167" i="4"/>
  <c r="BK167" i="4"/>
  <c r="BJ167" i="4"/>
  <c r="BI167" i="4"/>
  <c r="BH167" i="4"/>
  <c r="BG167" i="4"/>
  <c r="BF167" i="4"/>
  <c r="BE167" i="4"/>
  <c r="BD167" i="4"/>
  <c r="BC167" i="4"/>
  <c r="BB167" i="4"/>
  <c r="BA167" i="4"/>
  <c r="AZ167" i="4"/>
  <c r="AY167" i="4"/>
  <c r="AX167" i="4"/>
  <c r="AW167" i="4"/>
  <c r="AV167" i="4"/>
  <c r="AU167" i="4"/>
  <c r="AT167" i="4"/>
  <c r="AS167" i="4"/>
  <c r="AR167" i="4"/>
  <c r="B167" i="4"/>
  <c r="BW166" i="4"/>
  <c r="BV166" i="4"/>
  <c r="BU166" i="4"/>
  <c r="BT166" i="4"/>
  <c r="BS166" i="4"/>
  <c r="BR166" i="4"/>
  <c r="BQ166" i="4"/>
  <c r="BP166" i="4"/>
  <c r="BO166" i="4"/>
  <c r="BN166" i="4"/>
  <c r="BM166" i="4"/>
  <c r="BL166" i="4"/>
  <c r="BK166" i="4"/>
  <c r="BJ166" i="4"/>
  <c r="BI166" i="4"/>
  <c r="BH166" i="4"/>
  <c r="BG166" i="4"/>
  <c r="BF166" i="4"/>
  <c r="BE166" i="4"/>
  <c r="BD166" i="4"/>
  <c r="BC166" i="4"/>
  <c r="BB166" i="4"/>
  <c r="BA166" i="4"/>
  <c r="AZ166" i="4"/>
  <c r="AY166" i="4"/>
  <c r="AX166" i="4"/>
  <c r="AW166" i="4"/>
  <c r="AV166" i="4"/>
  <c r="AU166" i="4"/>
  <c r="AT166" i="4"/>
  <c r="AS166" i="4"/>
  <c r="AR166" i="4"/>
  <c r="AN166" i="4" s="1"/>
  <c r="AO166" i="4" s="1"/>
  <c r="B166" i="4"/>
  <c r="BW165" i="4"/>
  <c r="BV165" i="4"/>
  <c r="BU165" i="4"/>
  <c r="BT165" i="4"/>
  <c r="BS165" i="4"/>
  <c r="BR165" i="4"/>
  <c r="BQ165" i="4"/>
  <c r="BP165" i="4"/>
  <c r="BO165" i="4"/>
  <c r="BN165" i="4"/>
  <c r="BM165" i="4"/>
  <c r="BL165" i="4"/>
  <c r="BK165" i="4"/>
  <c r="BJ165" i="4"/>
  <c r="BI165" i="4"/>
  <c r="BH165" i="4"/>
  <c r="BG165" i="4"/>
  <c r="BF165" i="4"/>
  <c r="BE165" i="4"/>
  <c r="BD165" i="4"/>
  <c r="BC165" i="4"/>
  <c r="BB165" i="4"/>
  <c r="BA165" i="4"/>
  <c r="AZ165" i="4"/>
  <c r="AY165" i="4"/>
  <c r="AX165" i="4"/>
  <c r="AW165" i="4"/>
  <c r="AV165" i="4"/>
  <c r="AU165" i="4"/>
  <c r="AT165" i="4"/>
  <c r="AS165" i="4"/>
  <c r="AR165" i="4"/>
  <c r="AN165" i="4" s="1"/>
  <c r="AO165" i="4" s="1"/>
  <c r="B165" i="4"/>
  <c r="BW164" i="4"/>
  <c r="BV164" i="4"/>
  <c r="BU164" i="4"/>
  <c r="BT164" i="4"/>
  <c r="BS164" i="4"/>
  <c r="BR164" i="4"/>
  <c r="BQ164" i="4"/>
  <c r="BP164" i="4"/>
  <c r="BO164" i="4"/>
  <c r="BN164" i="4"/>
  <c r="BM164" i="4"/>
  <c r="BL164" i="4"/>
  <c r="BK164" i="4"/>
  <c r="BJ164" i="4"/>
  <c r="BI164" i="4"/>
  <c r="BH164" i="4"/>
  <c r="BG164" i="4"/>
  <c r="BF164" i="4"/>
  <c r="BE164" i="4"/>
  <c r="BD164" i="4"/>
  <c r="BC164" i="4"/>
  <c r="BB164" i="4"/>
  <c r="BA164" i="4"/>
  <c r="AZ164" i="4"/>
  <c r="AY164" i="4"/>
  <c r="AX164" i="4"/>
  <c r="AW164" i="4"/>
  <c r="AV164" i="4"/>
  <c r="AU164" i="4"/>
  <c r="AT164" i="4"/>
  <c r="AS164" i="4"/>
  <c r="AR164" i="4"/>
  <c r="AN164" i="4" s="1"/>
  <c r="AO164" i="4" s="1"/>
  <c r="B164" i="4"/>
  <c r="BW195" i="4"/>
  <c r="BV195" i="4"/>
  <c r="BU195" i="4"/>
  <c r="BT195" i="4"/>
  <c r="BS195" i="4"/>
  <c r="BR195" i="4"/>
  <c r="BQ195" i="4"/>
  <c r="BP195" i="4"/>
  <c r="BO195" i="4"/>
  <c r="BN195" i="4"/>
  <c r="BM195" i="4"/>
  <c r="BL195" i="4"/>
  <c r="BK195" i="4"/>
  <c r="BJ195" i="4"/>
  <c r="BI195" i="4"/>
  <c r="BH195" i="4"/>
  <c r="BG195" i="4"/>
  <c r="BF195" i="4"/>
  <c r="BE195" i="4"/>
  <c r="BD195" i="4"/>
  <c r="BC195" i="4"/>
  <c r="BB195" i="4"/>
  <c r="BA195" i="4"/>
  <c r="AZ195" i="4"/>
  <c r="AY195" i="4"/>
  <c r="AX195" i="4"/>
  <c r="AW195" i="4"/>
  <c r="AV195" i="4"/>
  <c r="AU195" i="4"/>
  <c r="AT195" i="4"/>
  <c r="AS195" i="4"/>
  <c r="AR195" i="4"/>
  <c r="B195" i="4"/>
  <c r="BW194" i="4"/>
  <c r="BV194" i="4"/>
  <c r="BU194" i="4"/>
  <c r="BT194" i="4"/>
  <c r="BS194" i="4"/>
  <c r="BR194" i="4"/>
  <c r="BQ194" i="4"/>
  <c r="BP194" i="4"/>
  <c r="BO194" i="4"/>
  <c r="BN194" i="4"/>
  <c r="BM194" i="4"/>
  <c r="BL194" i="4"/>
  <c r="BK194" i="4"/>
  <c r="BJ194" i="4"/>
  <c r="BI194" i="4"/>
  <c r="BH194" i="4"/>
  <c r="BG194" i="4"/>
  <c r="BF194" i="4"/>
  <c r="BE194" i="4"/>
  <c r="BD194" i="4"/>
  <c r="BC194" i="4"/>
  <c r="BB194" i="4"/>
  <c r="BA194" i="4"/>
  <c r="AZ194" i="4"/>
  <c r="AY194" i="4"/>
  <c r="AX194" i="4"/>
  <c r="AW194" i="4"/>
  <c r="AV194" i="4"/>
  <c r="AU194" i="4"/>
  <c r="AT194" i="4"/>
  <c r="AS194" i="4"/>
  <c r="AR194" i="4"/>
  <c r="B194" i="4"/>
  <c r="BW193" i="4"/>
  <c r="BV193" i="4"/>
  <c r="BU193" i="4"/>
  <c r="BT193" i="4"/>
  <c r="BS193" i="4"/>
  <c r="BR193" i="4"/>
  <c r="BQ193" i="4"/>
  <c r="BP193" i="4"/>
  <c r="BO193" i="4"/>
  <c r="BN193" i="4"/>
  <c r="BM193" i="4"/>
  <c r="BL193" i="4"/>
  <c r="BK193" i="4"/>
  <c r="BJ193" i="4"/>
  <c r="BI193" i="4"/>
  <c r="BH193" i="4"/>
  <c r="BG193" i="4"/>
  <c r="BF193" i="4"/>
  <c r="BE193" i="4"/>
  <c r="BD193" i="4"/>
  <c r="BC193" i="4"/>
  <c r="BB193" i="4"/>
  <c r="BA193" i="4"/>
  <c r="AZ193" i="4"/>
  <c r="AY193" i="4"/>
  <c r="AX193" i="4"/>
  <c r="AW193" i="4"/>
  <c r="AV193" i="4"/>
  <c r="AU193" i="4"/>
  <c r="AT193" i="4"/>
  <c r="AS193" i="4"/>
  <c r="AR193" i="4"/>
  <c r="B193" i="4"/>
  <c r="BW192" i="4"/>
  <c r="BV192" i="4"/>
  <c r="BU192" i="4"/>
  <c r="BT192" i="4"/>
  <c r="BS192" i="4"/>
  <c r="BR192" i="4"/>
  <c r="BQ192" i="4"/>
  <c r="BP192" i="4"/>
  <c r="BO192" i="4"/>
  <c r="BN192" i="4"/>
  <c r="BM192" i="4"/>
  <c r="BL192" i="4"/>
  <c r="BK192" i="4"/>
  <c r="BJ192" i="4"/>
  <c r="BI192" i="4"/>
  <c r="BH192" i="4"/>
  <c r="BG192" i="4"/>
  <c r="BF192" i="4"/>
  <c r="BE192" i="4"/>
  <c r="BD192" i="4"/>
  <c r="BC192" i="4"/>
  <c r="BB192" i="4"/>
  <c r="BA192" i="4"/>
  <c r="AZ192" i="4"/>
  <c r="AY192" i="4"/>
  <c r="AX192" i="4"/>
  <c r="AW192" i="4"/>
  <c r="AV192" i="4"/>
  <c r="AU192" i="4"/>
  <c r="AT192" i="4"/>
  <c r="AS192" i="4"/>
  <c r="AR192" i="4"/>
  <c r="B192" i="4"/>
  <c r="BW191" i="4"/>
  <c r="BV191" i="4"/>
  <c r="BU191" i="4"/>
  <c r="BT191" i="4"/>
  <c r="BS191" i="4"/>
  <c r="BR191" i="4"/>
  <c r="BQ191" i="4"/>
  <c r="BP191" i="4"/>
  <c r="BO191" i="4"/>
  <c r="BN191" i="4"/>
  <c r="BM191" i="4"/>
  <c r="BL191" i="4"/>
  <c r="BK191" i="4"/>
  <c r="BJ191" i="4"/>
  <c r="BI191" i="4"/>
  <c r="BH191" i="4"/>
  <c r="BG191" i="4"/>
  <c r="BF191" i="4"/>
  <c r="BE191" i="4"/>
  <c r="BD191" i="4"/>
  <c r="BC191" i="4"/>
  <c r="BB191" i="4"/>
  <c r="BA191" i="4"/>
  <c r="AZ191" i="4"/>
  <c r="AY191" i="4"/>
  <c r="AX191" i="4"/>
  <c r="AW191" i="4"/>
  <c r="AV191" i="4"/>
  <c r="AU191" i="4"/>
  <c r="AT191" i="4"/>
  <c r="AS191" i="4"/>
  <c r="AR191" i="4"/>
  <c r="B191" i="4"/>
  <c r="BW190" i="4"/>
  <c r="BV190" i="4"/>
  <c r="BU190" i="4"/>
  <c r="BT190" i="4"/>
  <c r="BS190" i="4"/>
  <c r="BR190" i="4"/>
  <c r="BQ190" i="4"/>
  <c r="BP190" i="4"/>
  <c r="BO190" i="4"/>
  <c r="BN190" i="4"/>
  <c r="BM190" i="4"/>
  <c r="BL190" i="4"/>
  <c r="BK190" i="4"/>
  <c r="BJ190" i="4"/>
  <c r="BI190" i="4"/>
  <c r="BH190" i="4"/>
  <c r="BG190" i="4"/>
  <c r="BF190" i="4"/>
  <c r="BE190" i="4"/>
  <c r="BD190" i="4"/>
  <c r="BC190" i="4"/>
  <c r="BB190" i="4"/>
  <c r="BA190" i="4"/>
  <c r="AZ190" i="4"/>
  <c r="AY190" i="4"/>
  <c r="AX190" i="4"/>
  <c r="AW190" i="4"/>
  <c r="AV190" i="4"/>
  <c r="AU190" i="4"/>
  <c r="AT190" i="4"/>
  <c r="AS190" i="4"/>
  <c r="AR190" i="4"/>
  <c r="B190" i="4"/>
  <c r="BW189" i="4"/>
  <c r="BV189" i="4"/>
  <c r="BU189" i="4"/>
  <c r="BT189" i="4"/>
  <c r="BS189" i="4"/>
  <c r="BR189" i="4"/>
  <c r="BQ189" i="4"/>
  <c r="BP189" i="4"/>
  <c r="BO189" i="4"/>
  <c r="BN189" i="4"/>
  <c r="BM189" i="4"/>
  <c r="BL189" i="4"/>
  <c r="BK189" i="4"/>
  <c r="BJ189" i="4"/>
  <c r="BI189" i="4"/>
  <c r="BH189" i="4"/>
  <c r="BG189" i="4"/>
  <c r="BF189" i="4"/>
  <c r="BE189" i="4"/>
  <c r="BD189" i="4"/>
  <c r="BC189" i="4"/>
  <c r="BB189" i="4"/>
  <c r="BA189" i="4"/>
  <c r="AZ189" i="4"/>
  <c r="AY189" i="4"/>
  <c r="AX189" i="4"/>
  <c r="AW189" i="4"/>
  <c r="AV189" i="4"/>
  <c r="AU189" i="4"/>
  <c r="AT189" i="4"/>
  <c r="AS189" i="4"/>
  <c r="AR189" i="4"/>
  <c r="B189" i="4"/>
  <c r="BW188" i="4"/>
  <c r="BV188" i="4"/>
  <c r="BU188" i="4"/>
  <c r="BT188" i="4"/>
  <c r="BS188" i="4"/>
  <c r="BR188" i="4"/>
  <c r="BQ188" i="4"/>
  <c r="BP188" i="4"/>
  <c r="BO188" i="4"/>
  <c r="BN188" i="4"/>
  <c r="BM188" i="4"/>
  <c r="BL188" i="4"/>
  <c r="BK188" i="4"/>
  <c r="BJ188" i="4"/>
  <c r="BI188" i="4"/>
  <c r="BH188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B188" i="4"/>
  <c r="BW187" i="4"/>
  <c r="BV187" i="4"/>
  <c r="BU187" i="4"/>
  <c r="BT187" i="4"/>
  <c r="BS187" i="4"/>
  <c r="BR187" i="4"/>
  <c r="BQ187" i="4"/>
  <c r="BP187" i="4"/>
  <c r="BO187" i="4"/>
  <c r="BN187" i="4"/>
  <c r="BM187" i="4"/>
  <c r="BL187" i="4"/>
  <c r="BK187" i="4"/>
  <c r="BJ187" i="4"/>
  <c r="BI187" i="4"/>
  <c r="BH187" i="4"/>
  <c r="BG187" i="4"/>
  <c r="BF187" i="4"/>
  <c r="BE187" i="4"/>
  <c r="BD187" i="4"/>
  <c r="BC187" i="4"/>
  <c r="BB187" i="4"/>
  <c r="BA187" i="4"/>
  <c r="AZ187" i="4"/>
  <c r="AY187" i="4"/>
  <c r="AX187" i="4"/>
  <c r="AW187" i="4"/>
  <c r="AV187" i="4"/>
  <c r="AU187" i="4"/>
  <c r="AT187" i="4"/>
  <c r="AS187" i="4"/>
  <c r="AR187" i="4"/>
  <c r="B187" i="4"/>
  <c r="BW186" i="4"/>
  <c r="BV186" i="4"/>
  <c r="BU186" i="4"/>
  <c r="BT186" i="4"/>
  <c r="BS186" i="4"/>
  <c r="BR186" i="4"/>
  <c r="BQ186" i="4"/>
  <c r="BP186" i="4"/>
  <c r="BO186" i="4"/>
  <c r="BN186" i="4"/>
  <c r="BM186" i="4"/>
  <c r="BL186" i="4"/>
  <c r="BK186" i="4"/>
  <c r="BJ186" i="4"/>
  <c r="BI186" i="4"/>
  <c r="BH186" i="4"/>
  <c r="BG186" i="4"/>
  <c r="BF186" i="4"/>
  <c r="BE186" i="4"/>
  <c r="BD186" i="4"/>
  <c r="BC186" i="4"/>
  <c r="BB186" i="4"/>
  <c r="BA186" i="4"/>
  <c r="AZ186" i="4"/>
  <c r="AY186" i="4"/>
  <c r="AX186" i="4"/>
  <c r="AW186" i="4"/>
  <c r="AV186" i="4"/>
  <c r="AU186" i="4"/>
  <c r="AT186" i="4"/>
  <c r="AS186" i="4"/>
  <c r="AR186" i="4"/>
  <c r="B186" i="4"/>
  <c r="BW185" i="4"/>
  <c r="BV185" i="4"/>
  <c r="BU185" i="4"/>
  <c r="BT185" i="4"/>
  <c r="BS185" i="4"/>
  <c r="BR185" i="4"/>
  <c r="BQ185" i="4"/>
  <c r="BP185" i="4"/>
  <c r="BO185" i="4"/>
  <c r="BN185" i="4"/>
  <c r="BM185" i="4"/>
  <c r="BL185" i="4"/>
  <c r="BK185" i="4"/>
  <c r="BJ185" i="4"/>
  <c r="BI185" i="4"/>
  <c r="BH185" i="4"/>
  <c r="BG185" i="4"/>
  <c r="BF185" i="4"/>
  <c r="BE185" i="4"/>
  <c r="BD185" i="4"/>
  <c r="BC185" i="4"/>
  <c r="BB185" i="4"/>
  <c r="BA185" i="4"/>
  <c r="AZ185" i="4"/>
  <c r="AY185" i="4"/>
  <c r="AX185" i="4"/>
  <c r="AW185" i="4"/>
  <c r="AV185" i="4"/>
  <c r="AU185" i="4"/>
  <c r="AT185" i="4"/>
  <c r="AS185" i="4"/>
  <c r="AR185" i="4"/>
  <c r="B185" i="4"/>
  <c r="BW184" i="4"/>
  <c r="BV184" i="4"/>
  <c r="BU184" i="4"/>
  <c r="BT184" i="4"/>
  <c r="BS184" i="4"/>
  <c r="BR184" i="4"/>
  <c r="BQ184" i="4"/>
  <c r="BP184" i="4"/>
  <c r="BO184" i="4"/>
  <c r="BN184" i="4"/>
  <c r="BM184" i="4"/>
  <c r="BL184" i="4"/>
  <c r="BK184" i="4"/>
  <c r="BJ184" i="4"/>
  <c r="BI184" i="4"/>
  <c r="BH184" i="4"/>
  <c r="BG184" i="4"/>
  <c r="BF184" i="4"/>
  <c r="BE184" i="4"/>
  <c r="BD184" i="4"/>
  <c r="BC184" i="4"/>
  <c r="BB184" i="4"/>
  <c r="BA184" i="4"/>
  <c r="AZ184" i="4"/>
  <c r="AY184" i="4"/>
  <c r="AX184" i="4"/>
  <c r="AW184" i="4"/>
  <c r="AV184" i="4"/>
  <c r="AU184" i="4"/>
  <c r="AT184" i="4"/>
  <c r="AS184" i="4"/>
  <c r="AR184" i="4"/>
  <c r="AN184" i="4" s="1"/>
  <c r="AO184" i="4" s="1"/>
  <c r="B184" i="4"/>
  <c r="BW183" i="4"/>
  <c r="BV183" i="4"/>
  <c r="BU183" i="4"/>
  <c r="BT183" i="4"/>
  <c r="BS183" i="4"/>
  <c r="BR183" i="4"/>
  <c r="BQ183" i="4"/>
  <c r="BP183" i="4"/>
  <c r="BO183" i="4"/>
  <c r="BN183" i="4"/>
  <c r="BM183" i="4"/>
  <c r="BL183" i="4"/>
  <c r="BK183" i="4"/>
  <c r="BJ183" i="4"/>
  <c r="BI183" i="4"/>
  <c r="BH183" i="4"/>
  <c r="BG183" i="4"/>
  <c r="BF183" i="4"/>
  <c r="BE183" i="4"/>
  <c r="BD183" i="4"/>
  <c r="BC183" i="4"/>
  <c r="BB183" i="4"/>
  <c r="BA183" i="4"/>
  <c r="AZ183" i="4"/>
  <c r="AY183" i="4"/>
  <c r="AX183" i="4"/>
  <c r="AW183" i="4"/>
  <c r="AV183" i="4"/>
  <c r="AU183" i="4"/>
  <c r="AT183" i="4"/>
  <c r="AS183" i="4"/>
  <c r="AR183" i="4"/>
  <c r="B183" i="4"/>
  <c r="BW182" i="4"/>
  <c r="BV182" i="4"/>
  <c r="BU182" i="4"/>
  <c r="BT182" i="4"/>
  <c r="BS182" i="4"/>
  <c r="BR182" i="4"/>
  <c r="BQ182" i="4"/>
  <c r="BP182" i="4"/>
  <c r="BO182" i="4"/>
  <c r="BN182" i="4"/>
  <c r="BM182" i="4"/>
  <c r="BL182" i="4"/>
  <c r="BK182" i="4"/>
  <c r="BJ182" i="4"/>
  <c r="BI182" i="4"/>
  <c r="BH182" i="4"/>
  <c r="BG182" i="4"/>
  <c r="BF182" i="4"/>
  <c r="BE182" i="4"/>
  <c r="BD182" i="4"/>
  <c r="BC182" i="4"/>
  <c r="BB182" i="4"/>
  <c r="BA182" i="4"/>
  <c r="AZ182" i="4"/>
  <c r="AY182" i="4"/>
  <c r="AX182" i="4"/>
  <c r="AW182" i="4"/>
  <c r="AV182" i="4"/>
  <c r="AU182" i="4"/>
  <c r="AT182" i="4"/>
  <c r="AS182" i="4"/>
  <c r="AR182" i="4"/>
  <c r="AN182" i="4" s="1"/>
  <c r="AO182" i="4" s="1"/>
  <c r="B182" i="4"/>
  <c r="BW181" i="4"/>
  <c r="BV181" i="4"/>
  <c r="BU181" i="4"/>
  <c r="BT181" i="4"/>
  <c r="BS181" i="4"/>
  <c r="BR181" i="4"/>
  <c r="BQ181" i="4"/>
  <c r="BP181" i="4"/>
  <c r="BO181" i="4"/>
  <c r="BN181" i="4"/>
  <c r="BM181" i="4"/>
  <c r="BL181" i="4"/>
  <c r="BK181" i="4"/>
  <c r="BJ181" i="4"/>
  <c r="BI181" i="4"/>
  <c r="BH181" i="4"/>
  <c r="BG181" i="4"/>
  <c r="BF181" i="4"/>
  <c r="BE181" i="4"/>
  <c r="BD181" i="4"/>
  <c r="BC181" i="4"/>
  <c r="BB181" i="4"/>
  <c r="BA181" i="4"/>
  <c r="AZ181" i="4"/>
  <c r="AY181" i="4"/>
  <c r="AX181" i="4"/>
  <c r="AW181" i="4"/>
  <c r="AV181" i="4"/>
  <c r="AU181" i="4"/>
  <c r="AT181" i="4"/>
  <c r="AS181" i="4"/>
  <c r="AR181" i="4"/>
  <c r="AN181" i="4" s="1"/>
  <c r="AO181" i="4" s="1"/>
  <c r="B181" i="4"/>
  <c r="BW180" i="4"/>
  <c r="BV180" i="4"/>
  <c r="BU180" i="4"/>
  <c r="BT180" i="4"/>
  <c r="BS180" i="4"/>
  <c r="BR180" i="4"/>
  <c r="BQ180" i="4"/>
  <c r="BP180" i="4"/>
  <c r="BO180" i="4"/>
  <c r="BN180" i="4"/>
  <c r="BM180" i="4"/>
  <c r="BL180" i="4"/>
  <c r="BK180" i="4"/>
  <c r="BJ180" i="4"/>
  <c r="BI180" i="4"/>
  <c r="BH180" i="4"/>
  <c r="BG180" i="4"/>
  <c r="BF180" i="4"/>
  <c r="BE180" i="4"/>
  <c r="BD180" i="4"/>
  <c r="BC180" i="4"/>
  <c r="BB180" i="4"/>
  <c r="BA180" i="4"/>
  <c r="AZ180" i="4"/>
  <c r="AY180" i="4"/>
  <c r="AX180" i="4"/>
  <c r="AW180" i="4"/>
  <c r="AV180" i="4"/>
  <c r="AU180" i="4"/>
  <c r="AT180" i="4"/>
  <c r="AS180" i="4"/>
  <c r="AR180" i="4"/>
  <c r="AN180" i="4" s="1"/>
  <c r="AO180" i="4" s="1"/>
  <c r="B180" i="4"/>
  <c r="BW211" i="4"/>
  <c r="BV211" i="4"/>
  <c r="BU211" i="4"/>
  <c r="BT211" i="4"/>
  <c r="BS211" i="4"/>
  <c r="BR211" i="4"/>
  <c r="BQ211" i="4"/>
  <c r="BP211" i="4"/>
  <c r="BO211" i="4"/>
  <c r="BN211" i="4"/>
  <c r="BM211" i="4"/>
  <c r="BL211" i="4"/>
  <c r="BK211" i="4"/>
  <c r="BJ211" i="4"/>
  <c r="BI211" i="4"/>
  <c r="BH211" i="4"/>
  <c r="BG211" i="4"/>
  <c r="BF211" i="4"/>
  <c r="BE211" i="4"/>
  <c r="BD211" i="4"/>
  <c r="BC211" i="4"/>
  <c r="BB211" i="4"/>
  <c r="BA211" i="4"/>
  <c r="AZ211" i="4"/>
  <c r="AY211" i="4"/>
  <c r="AX211" i="4"/>
  <c r="AW211" i="4"/>
  <c r="AV211" i="4"/>
  <c r="AU211" i="4"/>
  <c r="AT211" i="4"/>
  <c r="AS211" i="4"/>
  <c r="AR211" i="4"/>
  <c r="B211" i="4"/>
  <c r="BW210" i="4"/>
  <c r="BV210" i="4"/>
  <c r="BU210" i="4"/>
  <c r="BT210" i="4"/>
  <c r="BS210" i="4"/>
  <c r="BR210" i="4"/>
  <c r="BQ210" i="4"/>
  <c r="BP210" i="4"/>
  <c r="BO210" i="4"/>
  <c r="BN210" i="4"/>
  <c r="BM210" i="4"/>
  <c r="BL210" i="4"/>
  <c r="BK210" i="4"/>
  <c r="BJ210" i="4"/>
  <c r="BI210" i="4"/>
  <c r="BH210" i="4"/>
  <c r="BG210" i="4"/>
  <c r="BF210" i="4"/>
  <c r="BE210" i="4"/>
  <c r="BD210" i="4"/>
  <c r="BC210" i="4"/>
  <c r="BB210" i="4"/>
  <c r="BA210" i="4"/>
  <c r="AZ210" i="4"/>
  <c r="AY210" i="4"/>
  <c r="AX210" i="4"/>
  <c r="AW210" i="4"/>
  <c r="AV210" i="4"/>
  <c r="AU210" i="4"/>
  <c r="AT210" i="4"/>
  <c r="AS210" i="4"/>
  <c r="AR210" i="4"/>
  <c r="B210" i="4"/>
  <c r="BW209" i="4"/>
  <c r="BV209" i="4"/>
  <c r="BU209" i="4"/>
  <c r="BT209" i="4"/>
  <c r="BS209" i="4"/>
  <c r="BR209" i="4"/>
  <c r="BQ209" i="4"/>
  <c r="BP209" i="4"/>
  <c r="BO209" i="4"/>
  <c r="BN209" i="4"/>
  <c r="BM209" i="4"/>
  <c r="BL209" i="4"/>
  <c r="BK209" i="4"/>
  <c r="BJ209" i="4"/>
  <c r="BI209" i="4"/>
  <c r="BH209" i="4"/>
  <c r="BG209" i="4"/>
  <c r="BF209" i="4"/>
  <c r="BE209" i="4"/>
  <c r="BD209" i="4"/>
  <c r="BC209" i="4"/>
  <c r="BB209" i="4"/>
  <c r="BA209" i="4"/>
  <c r="AZ209" i="4"/>
  <c r="AY209" i="4"/>
  <c r="AX209" i="4"/>
  <c r="AW209" i="4"/>
  <c r="AV209" i="4"/>
  <c r="AU209" i="4"/>
  <c r="AT209" i="4"/>
  <c r="AS209" i="4"/>
  <c r="AR209" i="4"/>
  <c r="B209" i="4"/>
  <c r="BW208" i="4"/>
  <c r="BV208" i="4"/>
  <c r="BU208" i="4"/>
  <c r="BT208" i="4"/>
  <c r="BS208" i="4"/>
  <c r="BR208" i="4"/>
  <c r="BQ208" i="4"/>
  <c r="BP208" i="4"/>
  <c r="BO208" i="4"/>
  <c r="BN208" i="4"/>
  <c r="BM208" i="4"/>
  <c r="BL208" i="4"/>
  <c r="BK208" i="4"/>
  <c r="BJ208" i="4"/>
  <c r="BI208" i="4"/>
  <c r="BH208" i="4"/>
  <c r="BG208" i="4"/>
  <c r="BF208" i="4"/>
  <c r="BE208" i="4"/>
  <c r="BD208" i="4"/>
  <c r="BC208" i="4"/>
  <c r="BB208" i="4"/>
  <c r="BA208" i="4"/>
  <c r="AZ208" i="4"/>
  <c r="AY208" i="4"/>
  <c r="AX208" i="4"/>
  <c r="AW208" i="4"/>
  <c r="AV208" i="4"/>
  <c r="AU208" i="4"/>
  <c r="AT208" i="4"/>
  <c r="AS208" i="4"/>
  <c r="AR208" i="4"/>
  <c r="B208" i="4"/>
  <c r="BW207" i="4"/>
  <c r="BV207" i="4"/>
  <c r="BU207" i="4"/>
  <c r="BT207" i="4"/>
  <c r="BS207" i="4"/>
  <c r="BR207" i="4"/>
  <c r="BQ207" i="4"/>
  <c r="BP207" i="4"/>
  <c r="BO207" i="4"/>
  <c r="BN207" i="4"/>
  <c r="BM207" i="4"/>
  <c r="BL207" i="4"/>
  <c r="BK207" i="4"/>
  <c r="BJ207" i="4"/>
  <c r="BI207" i="4"/>
  <c r="BH207" i="4"/>
  <c r="BG207" i="4"/>
  <c r="BF207" i="4"/>
  <c r="BE207" i="4"/>
  <c r="BD207" i="4"/>
  <c r="BC207" i="4"/>
  <c r="BB207" i="4"/>
  <c r="BA207" i="4"/>
  <c r="AZ207" i="4"/>
  <c r="AY207" i="4"/>
  <c r="AX207" i="4"/>
  <c r="AW207" i="4"/>
  <c r="AV207" i="4"/>
  <c r="AU207" i="4"/>
  <c r="AT207" i="4"/>
  <c r="AS207" i="4"/>
  <c r="AR207" i="4"/>
  <c r="B207" i="4"/>
  <c r="BW206" i="4"/>
  <c r="BV206" i="4"/>
  <c r="BU206" i="4"/>
  <c r="BT206" i="4"/>
  <c r="BS206" i="4"/>
  <c r="BR206" i="4"/>
  <c r="BQ206" i="4"/>
  <c r="BP206" i="4"/>
  <c r="BO206" i="4"/>
  <c r="BN206" i="4"/>
  <c r="BM206" i="4"/>
  <c r="BL206" i="4"/>
  <c r="BK206" i="4"/>
  <c r="BJ206" i="4"/>
  <c r="BI206" i="4"/>
  <c r="BH206" i="4"/>
  <c r="BG206" i="4"/>
  <c r="BF206" i="4"/>
  <c r="BE206" i="4"/>
  <c r="BD206" i="4"/>
  <c r="BC206" i="4"/>
  <c r="BB206" i="4"/>
  <c r="BA206" i="4"/>
  <c r="AZ206" i="4"/>
  <c r="AY206" i="4"/>
  <c r="AX206" i="4"/>
  <c r="AW206" i="4"/>
  <c r="AV206" i="4"/>
  <c r="AU206" i="4"/>
  <c r="AT206" i="4"/>
  <c r="AS206" i="4"/>
  <c r="AR206" i="4"/>
  <c r="B206" i="4"/>
  <c r="BW205" i="4"/>
  <c r="BV205" i="4"/>
  <c r="BU205" i="4"/>
  <c r="BT205" i="4"/>
  <c r="BS205" i="4"/>
  <c r="BR205" i="4"/>
  <c r="BQ205" i="4"/>
  <c r="BP205" i="4"/>
  <c r="BO205" i="4"/>
  <c r="BN205" i="4"/>
  <c r="BM205" i="4"/>
  <c r="BL205" i="4"/>
  <c r="BK205" i="4"/>
  <c r="BJ205" i="4"/>
  <c r="BI205" i="4"/>
  <c r="BH205" i="4"/>
  <c r="BG205" i="4"/>
  <c r="BF205" i="4"/>
  <c r="BE205" i="4"/>
  <c r="BD205" i="4"/>
  <c r="BC205" i="4"/>
  <c r="BB205" i="4"/>
  <c r="BA205" i="4"/>
  <c r="AZ205" i="4"/>
  <c r="AY205" i="4"/>
  <c r="AX205" i="4"/>
  <c r="AW205" i="4"/>
  <c r="AV205" i="4"/>
  <c r="AU205" i="4"/>
  <c r="AT205" i="4"/>
  <c r="AS205" i="4"/>
  <c r="AR205" i="4"/>
  <c r="B205" i="4"/>
  <c r="BW204" i="4"/>
  <c r="BV204" i="4"/>
  <c r="BU204" i="4"/>
  <c r="BT204" i="4"/>
  <c r="BS204" i="4"/>
  <c r="BR204" i="4"/>
  <c r="BQ204" i="4"/>
  <c r="BP204" i="4"/>
  <c r="BO204" i="4"/>
  <c r="BN204" i="4"/>
  <c r="BM204" i="4"/>
  <c r="BL204" i="4"/>
  <c r="BK204" i="4"/>
  <c r="BJ204" i="4"/>
  <c r="BI204" i="4"/>
  <c r="BH204" i="4"/>
  <c r="BG204" i="4"/>
  <c r="BF204" i="4"/>
  <c r="BE204" i="4"/>
  <c r="BD204" i="4"/>
  <c r="BC204" i="4"/>
  <c r="BB204" i="4"/>
  <c r="BA204" i="4"/>
  <c r="AZ204" i="4"/>
  <c r="AY204" i="4"/>
  <c r="AX204" i="4"/>
  <c r="AW204" i="4"/>
  <c r="AV204" i="4"/>
  <c r="AU204" i="4"/>
  <c r="AT204" i="4"/>
  <c r="AS204" i="4"/>
  <c r="AR204" i="4"/>
  <c r="B204" i="4"/>
  <c r="BW203" i="4"/>
  <c r="BV203" i="4"/>
  <c r="BU203" i="4"/>
  <c r="BT203" i="4"/>
  <c r="BS203" i="4"/>
  <c r="BR203" i="4"/>
  <c r="BQ203" i="4"/>
  <c r="BP203" i="4"/>
  <c r="BO203" i="4"/>
  <c r="BN203" i="4"/>
  <c r="BM203" i="4"/>
  <c r="BL203" i="4"/>
  <c r="BK203" i="4"/>
  <c r="BJ203" i="4"/>
  <c r="BI203" i="4"/>
  <c r="BH203" i="4"/>
  <c r="BG203" i="4"/>
  <c r="BF203" i="4"/>
  <c r="BE203" i="4"/>
  <c r="BD203" i="4"/>
  <c r="BC203" i="4"/>
  <c r="BB203" i="4"/>
  <c r="BA203" i="4"/>
  <c r="AZ203" i="4"/>
  <c r="AY203" i="4"/>
  <c r="AX203" i="4"/>
  <c r="AW203" i="4"/>
  <c r="AV203" i="4"/>
  <c r="AU203" i="4"/>
  <c r="AT203" i="4"/>
  <c r="AS203" i="4"/>
  <c r="AR203" i="4"/>
  <c r="B203" i="4"/>
  <c r="BW202" i="4"/>
  <c r="BV202" i="4"/>
  <c r="BU202" i="4"/>
  <c r="BT202" i="4"/>
  <c r="BS202" i="4"/>
  <c r="BR202" i="4"/>
  <c r="BQ202" i="4"/>
  <c r="BP202" i="4"/>
  <c r="BO202" i="4"/>
  <c r="BN202" i="4"/>
  <c r="BM202" i="4"/>
  <c r="BL202" i="4"/>
  <c r="BK202" i="4"/>
  <c r="BJ202" i="4"/>
  <c r="BI202" i="4"/>
  <c r="BH202" i="4"/>
  <c r="BG202" i="4"/>
  <c r="BF202" i="4"/>
  <c r="BE202" i="4"/>
  <c r="BD202" i="4"/>
  <c r="BC202" i="4"/>
  <c r="BB202" i="4"/>
  <c r="BA202" i="4"/>
  <c r="AZ202" i="4"/>
  <c r="AY202" i="4"/>
  <c r="AX202" i="4"/>
  <c r="AW202" i="4"/>
  <c r="AV202" i="4"/>
  <c r="AU202" i="4"/>
  <c r="AT202" i="4"/>
  <c r="AS202" i="4"/>
  <c r="AR202" i="4"/>
  <c r="B202" i="4"/>
  <c r="BW201" i="4"/>
  <c r="BV201" i="4"/>
  <c r="BU201" i="4"/>
  <c r="BT201" i="4"/>
  <c r="BS201" i="4"/>
  <c r="BR201" i="4"/>
  <c r="BQ201" i="4"/>
  <c r="BP201" i="4"/>
  <c r="BO201" i="4"/>
  <c r="BN201" i="4"/>
  <c r="BM201" i="4"/>
  <c r="BL201" i="4"/>
  <c r="BK201" i="4"/>
  <c r="BJ201" i="4"/>
  <c r="BI201" i="4"/>
  <c r="BH201" i="4"/>
  <c r="BG201" i="4"/>
  <c r="BF201" i="4"/>
  <c r="BE201" i="4"/>
  <c r="BD201" i="4"/>
  <c r="BC201" i="4"/>
  <c r="BB201" i="4"/>
  <c r="BA201" i="4"/>
  <c r="AZ201" i="4"/>
  <c r="AY201" i="4"/>
  <c r="AX201" i="4"/>
  <c r="AW201" i="4"/>
  <c r="AV201" i="4"/>
  <c r="AU201" i="4"/>
  <c r="AT201" i="4"/>
  <c r="AS201" i="4"/>
  <c r="AR201" i="4"/>
  <c r="B201" i="4"/>
  <c r="BW200" i="4"/>
  <c r="BV200" i="4"/>
  <c r="BU200" i="4"/>
  <c r="BT200" i="4"/>
  <c r="BS200" i="4"/>
  <c r="BR200" i="4"/>
  <c r="BQ200" i="4"/>
  <c r="BP200" i="4"/>
  <c r="BO200" i="4"/>
  <c r="BN200" i="4"/>
  <c r="BM200" i="4"/>
  <c r="BL200" i="4"/>
  <c r="BK200" i="4"/>
  <c r="BJ200" i="4"/>
  <c r="BI200" i="4"/>
  <c r="BH200" i="4"/>
  <c r="BG200" i="4"/>
  <c r="BF200" i="4"/>
  <c r="BE200" i="4"/>
  <c r="BD200" i="4"/>
  <c r="BC200" i="4"/>
  <c r="BB200" i="4"/>
  <c r="BA200" i="4"/>
  <c r="AZ200" i="4"/>
  <c r="AY200" i="4"/>
  <c r="AX200" i="4"/>
  <c r="AW200" i="4"/>
  <c r="AV200" i="4"/>
  <c r="AU200" i="4"/>
  <c r="AT200" i="4"/>
  <c r="AS200" i="4"/>
  <c r="AR200" i="4"/>
  <c r="B200" i="4"/>
  <c r="BW199" i="4"/>
  <c r="BV199" i="4"/>
  <c r="BU199" i="4"/>
  <c r="BT199" i="4"/>
  <c r="BS199" i="4"/>
  <c r="BR199" i="4"/>
  <c r="BQ199" i="4"/>
  <c r="BP199" i="4"/>
  <c r="BO199" i="4"/>
  <c r="BN199" i="4"/>
  <c r="BM199" i="4"/>
  <c r="BL199" i="4"/>
  <c r="BK199" i="4"/>
  <c r="BJ199" i="4"/>
  <c r="BI199" i="4"/>
  <c r="BH199" i="4"/>
  <c r="BG199" i="4"/>
  <c r="BF199" i="4"/>
  <c r="BE199" i="4"/>
  <c r="BD199" i="4"/>
  <c r="BC199" i="4"/>
  <c r="BB199" i="4"/>
  <c r="BA199" i="4"/>
  <c r="AZ199" i="4"/>
  <c r="AY199" i="4"/>
  <c r="AX199" i="4"/>
  <c r="AW199" i="4"/>
  <c r="AV199" i="4"/>
  <c r="AU199" i="4"/>
  <c r="AT199" i="4"/>
  <c r="AS199" i="4"/>
  <c r="AR199" i="4"/>
  <c r="AN199" i="4"/>
  <c r="AO199" i="4" s="1"/>
  <c r="B199" i="4"/>
  <c r="BW198" i="4"/>
  <c r="BV198" i="4"/>
  <c r="BU198" i="4"/>
  <c r="BT198" i="4"/>
  <c r="BS198" i="4"/>
  <c r="BR198" i="4"/>
  <c r="BQ198" i="4"/>
  <c r="BP198" i="4"/>
  <c r="BO198" i="4"/>
  <c r="BN198" i="4"/>
  <c r="BM198" i="4"/>
  <c r="BL198" i="4"/>
  <c r="BK198" i="4"/>
  <c r="BJ198" i="4"/>
  <c r="BI198" i="4"/>
  <c r="BH198" i="4"/>
  <c r="BG198" i="4"/>
  <c r="BF198" i="4"/>
  <c r="BE198" i="4"/>
  <c r="BD198" i="4"/>
  <c r="BC198" i="4"/>
  <c r="BB198" i="4"/>
  <c r="BA198" i="4"/>
  <c r="AZ198" i="4"/>
  <c r="AY198" i="4"/>
  <c r="AX198" i="4"/>
  <c r="AW198" i="4"/>
  <c r="AV198" i="4"/>
  <c r="AU198" i="4"/>
  <c r="AT198" i="4"/>
  <c r="AS198" i="4"/>
  <c r="AR198" i="4"/>
  <c r="AN198" i="4"/>
  <c r="AO198" i="4" s="1"/>
  <c r="B198" i="4"/>
  <c r="BW197" i="4"/>
  <c r="BV197" i="4"/>
  <c r="BU197" i="4"/>
  <c r="BT197" i="4"/>
  <c r="BS197" i="4"/>
  <c r="BR197" i="4"/>
  <c r="BQ197" i="4"/>
  <c r="BP197" i="4"/>
  <c r="BO197" i="4"/>
  <c r="BN197" i="4"/>
  <c r="BM197" i="4"/>
  <c r="BL197" i="4"/>
  <c r="BK197" i="4"/>
  <c r="BJ197" i="4"/>
  <c r="BI197" i="4"/>
  <c r="BH197" i="4"/>
  <c r="BG197" i="4"/>
  <c r="BF197" i="4"/>
  <c r="BE197" i="4"/>
  <c r="BD197" i="4"/>
  <c r="BC197" i="4"/>
  <c r="BB197" i="4"/>
  <c r="BA197" i="4"/>
  <c r="AZ197" i="4"/>
  <c r="AY197" i="4"/>
  <c r="AX197" i="4"/>
  <c r="AW197" i="4"/>
  <c r="AV197" i="4"/>
  <c r="AU197" i="4"/>
  <c r="AT197" i="4"/>
  <c r="AS197" i="4"/>
  <c r="AR197" i="4"/>
  <c r="AN197" i="4"/>
  <c r="AO197" i="4" s="1"/>
  <c r="B197" i="4"/>
  <c r="BW196" i="4"/>
  <c r="BV196" i="4"/>
  <c r="BU196" i="4"/>
  <c r="BT196" i="4"/>
  <c r="BS196" i="4"/>
  <c r="BR196" i="4"/>
  <c r="BQ196" i="4"/>
  <c r="BP196" i="4"/>
  <c r="BO196" i="4"/>
  <c r="BN196" i="4"/>
  <c r="BM196" i="4"/>
  <c r="BL196" i="4"/>
  <c r="BK196" i="4"/>
  <c r="BJ196" i="4"/>
  <c r="BI196" i="4"/>
  <c r="BH196" i="4"/>
  <c r="BG196" i="4"/>
  <c r="BF196" i="4"/>
  <c r="BE196" i="4"/>
  <c r="BD196" i="4"/>
  <c r="BC196" i="4"/>
  <c r="BB196" i="4"/>
  <c r="BA196" i="4"/>
  <c r="AZ196" i="4"/>
  <c r="AY196" i="4"/>
  <c r="AX196" i="4"/>
  <c r="AW196" i="4"/>
  <c r="AV196" i="4"/>
  <c r="AU196" i="4"/>
  <c r="AT196" i="4"/>
  <c r="AS196" i="4"/>
  <c r="AR196" i="4"/>
  <c r="AN196" i="4"/>
  <c r="AO196" i="4" s="1"/>
  <c r="B196" i="4"/>
  <c r="BW227" i="4"/>
  <c r="BV227" i="4"/>
  <c r="BU227" i="4"/>
  <c r="BT227" i="4"/>
  <c r="BS227" i="4"/>
  <c r="BR227" i="4"/>
  <c r="BQ227" i="4"/>
  <c r="BP227" i="4"/>
  <c r="BO227" i="4"/>
  <c r="BN227" i="4"/>
  <c r="BM227" i="4"/>
  <c r="BL227" i="4"/>
  <c r="BK227" i="4"/>
  <c r="BJ227" i="4"/>
  <c r="BI227" i="4"/>
  <c r="BH227" i="4"/>
  <c r="BG227" i="4"/>
  <c r="BF227" i="4"/>
  <c r="BE227" i="4"/>
  <c r="BD227" i="4"/>
  <c r="BC227" i="4"/>
  <c r="BB227" i="4"/>
  <c r="BA227" i="4"/>
  <c r="AZ227" i="4"/>
  <c r="AY227" i="4"/>
  <c r="AX227" i="4"/>
  <c r="AW227" i="4"/>
  <c r="AV227" i="4"/>
  <c r="AU227" i="4"/>
  <c r="AT227" i="4"/>
  <c r="AS227" i="4"/>
  <c r="AR227" i="4"/>
  <c r="AN227" i="4"/>
  <c r="AO227" i="4" s="1"/>
  <c r="B227" i="4"/>
  <c r="BW226" i="4"/>
  <c r="BV226" i="4"/>
  <c r="BU226" i="4"/>
  <c r="BT226" i="4"/>
  <c r="BS226" i="4"/>
  <c r="BR226" i="4"/>
  <c r="BQ226" i="4"/>
  <c r="BP226" i="4"/>
  <c r="BO226" i="4"/>
  <c r="BN226" i="4"/>
  <c r="BM226" i="4"/>
  <c r="BL226" i="4"/>
  <c r="BK226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N226" i="4"/>
  <c r="AO226" i="4" s="1"/>
  <c r="B226" i="4"/>
  <c r="BW225" i="4"/>
  <c r="BV225" i="4"/>
  <c r="BU225" i="4"/>
  <c r="BT225" i="4"/>
  <c r="BS225" i="4"/>
  <c r="BR225" i="4"/>
  <c r="BQ225" i="4"/>
  <c r="BP225" i="4"/>
  <c r="BO225" i="4"/>
  <c r="BN225" i="4"/>
  <c r="BM225" i="4"/>
  <c r="BL225" i="4"/>
  <c r="BK225" i="4"/>
  <c r="BJ225" i="4"/>
  <c r="BI225" i="4"/>
  <c r="BH225" i="4"/>
  <c r="BG225" i="4"/>
  <c r="BF225" i="4"/>
  <c r="BE225" i="4"/>
  <c r="BD225" i="4"/>
  <c r="BC225" i="4"/>
  <c r="BB225" i="4"/>
  <c r="BA225" i="4"/>
  <c r="AZ225" i="4"/>
  <c r="AY225" i="4"/>
  <c r="AX225" i="4"/>
  <c r="AW225" i="4"/>
  <c r="AV225" i="4"/>
  <c r="AU225" i="4"/>
  <c r="AT225" i="4"/>
  <c r="AS225" i="4"/>
  <c r="AR225" i="4"/>
  <c r="AN225" i="4"/>
  <c r="AO225" i="4" s="1"/>
  <c r="B225" i="4"/>
  <c r="BW224" i="4"/>
  <c r="BV224" i="4"/>
  <c r="BU224" i="4"/>
  <c r="BT224" i="4"/>
  <c r="BS224" i="4"/>
  <c r="BR224" i="4"/>
  <c r="BQ224" i="4"/>
  <c r="BP224" i="4"/>
  <c r="BO224" i="4"/>
  <c r="BN224" i="4"/>
  <c r="BM224" i="4"/>
  <c r="BL224" i="4"/>
  <c r="BK224" i="4"/>
  <c r="BJ224" i="4"/>
  <c r="BI224" i="4"/>
  <c r="BH224" i="4"/>
  <c r="BG224" i="4"/>
  <c r="BF224" i="4"/>
  <c r="BE224" i="4"/>
  <c r="BD224" i="4"/>
  <c r="BC224" i="4"/>
  <c r="BB224" i="4"/>
  <c r="BA224" i="4"/>
  <c r="AZ224" i="4"/>
  <c r="AY224" i="4"/>
  <c r="AX224" i="4"/>
  <c r="AW224" i="4"/>
  <c r="AV224" i="4"/>
  <c r="AU224" i="4"/>
  <c r="AT224" i="4"/>
  <c r="AS224" i="4"/>
  <c r="AR224" i="4"/>
  <c r="B224" i="4"/>
  <c r="BW223" i="4"/>
  <c r="BV223" i="4"/>
  <c r="BU223" i="4"/>
  <c r="BT223" i="4"/>
  <c r="BS223" i="4"/>
  <c r="BR223" i="4"/>
  <c r="BQ223" i="4"/>
  <c r="BP223" i="4"/>
  <c r="BO223" i="4"/>
  <c r="BN223" i="4"/>
  <c r="BM223" i="4"/>
  <c r="BL223" i="4"/>
  <c r="BK223" i="4"/>
  <c r="BJ223" i="4"/>
  <c r="BI223" i="4"/>
  <c r="BH223" i="4"/>
  <c r="BG223" i="4"/>
  <c r="BF223" i="4"/>
  <c r="BE223" i="4"/>
  <c r="BD223" i="4"/>
  <c r="BC223" i="4"/>
  <c r="BB223" i="4"/>
  <c r="BA223" i="4"/>
  <c r="AZ223" i="4"/>
  <c r="AY223" i="4"/>
  <c r="AX223" i="4"/>
  <c r="AW223" i="4"/>
  <c r="AV223" i="4"/>
  <c r="AU223" i="4"/>
  <c r="AT223" i="4"/>
  <c r="AS223" i="4"/>
  <c r="AR223" i="4"/>
  <c r="B223" i="4"/>
  <c r="BW222" i="4"/>
  <c r="BV222" i="4"/>
  <c r="BU222" i="4"/>
  <c r="BT222" i="4"/>
  <c r="BS222" i="4"/>
  <c r="BR222" i="4"/>
  <c r="BQ222" i="4"/>
  <c r="BP222" i="4"/>
  <c r="BO222" i="4"/>
  <c r="BN222" i="4"/>
  <c r="BM222" i="4"/>
  <c r="BL222" i="4"/>
  <c r="BK222" i="4"/>
  <c r="BJ222" i="4"/>
  <c r="BI222" i="4"/>
  <c r="BH222" i="4"/>
  <c r="BG222" i="4"/>
  <c r="BF222" i="4"/>
  <c r="BE222" i="4"/>
  <c r="BD222" i="4"/>
  <c r="BC222" i="4"/>
  <c r="BB222" i="4"/>
  <c r="BA222" i="4"/>
  <c r="AZ222" i="4"/>
  <c r="AY222" i="4"/>
  <c r="AX222" i="4"/>
  <c r="AW222" i="4"/>
  <c r="AV222" i="4"/>
  <c r="AU222" i="4"/>
  <c r="AT222" i="4"/>
  <c r="AS222" i="4"/>
  <c r="AR222" i="4"/>
  <c r="B222" i="4"/>
  <c r="BW221" i="4"/>
  <c r="BV221" i="4"/>
  <c r="BU221" i="4"/>
  <c r="BT221" i="4"/>
  <c r="BS221" i="4"/>
  <c r="BR221" i="4"/>
  <c r="BQ221" i="4"/>
  <c r="BP221" i="4"/>
  <c r="BO221" i="4"/>
  <c r="BN221" i="4"/>
  <c r="BM221" i="4"/>
  <c r="BL221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N221" i="4"/>
  <c r="AO221" i="4" s="1"/>
  <c r="B221" i="4"/>
  <c r="BW220" i="4"/>
  <c r="BV220" i="4"/>
  <c r="BU220" i="4"/>
  <c r="BT220" i="4"/>
  <c r="BS220" i="4"/>
  <c r="BR220" i="4"/>
  <c r="BQ220" i="4"/>
  <c r="BP220" i="4"/>
  <c r="BO220" i="4"/>
  <c r="BN220" i="4"/>
  <c r="BM220" i="4"/>
  <c r="BL220" i="4"/>
  <c r="BK220" i="4"/>
  <c r="BJ220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N220" i="4"/>
  <c r="AO220" i="4" s="1"/>
  <c r="B220" i="4"/>
  <c r="BW219" i="4"/>
  <c r="BV219" i="4"/>
  <c r="BU219" i="4"/>
  <c r="BT219" i="4"/>
  <c r="BS219" i="4"/>
  <c r="BR219" i="4"/>
  <c r="BQ219" i="4"/>
  <c r="BP219" i="4"/>
  <c r="BO219" i="4"/>
  <c r="BN219" i="4"/>
  <c r="BM219" i="4"/>
  <c r="BL219" i="4"/>
  <c r="BK219" i="4"/>
  <c r="BJ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N219" i="4"/>
  <c r="AO219" i="4" s="1"/>
  <c r="B219" i="4"/>
  <c r="BW218" i="4"/>
  <c r="BV218" i="4"/>
  <c r="BU218" i="4"/>
  <c r="BT218" i="4"/>
  <c r="BS218" i="4"/>
  <c r="BR218" i="4"/>
  <c r="BQ218" i="4"/>
  <c r="BP218" i="4"/>
  <c r="BO218" i="4"/>
  <c r="BN218" i="4"/>
  <c r="BM218" i="4"/>
  <c r="BL218" i="4"/>
  <c r="BK218" i="4"/>
  <c r="BJ218" i="4"/>
  <c r="BI218" i="4"/>
  <c r="BH218" i="4"/>
  <c r="BG218" i="4"/>
  <c r="BF218" i="4"/>
  <c r="BE218" i="4"/>
  <c r="BD218" i="4"/>
  <c r="BC218" i="4"/>
  <c r="BB218" i="4"/>
  <c r="BA218" i="4"/>
  <c r="AZ218" i="4"/>
  <c r="AY218" i="4"/>
  <c r="AX218" i="4"/>
  <c r="AW218" i="4"/>
  <c r="AV218" i="4"/>
  <c r="AU218" i="4"/>
  <c r="AT218" i="4"/>
  <c r="AS218" i="4"/>
  <c r="AR218" i="4"/>
  <c r="AN218" i="4"/>
  <c r="AO218" i="4" s="1"/>
  <c r="B218" i="4"/>
  <c r="BW217" i="4"/>
  <c r="BV217" i="4"/>
  <c r="BU217" i="4"/>
  <c r="BT217" i="4"/>
  <c r="BS217" i="4"/>
  <c r="BR217" i="4"/>
  <c r="BQ217" i="4"/>
  <c r="BP217" i="4"/>
  <c r="BO217" i="4"/>
  <c r="BN217" i="4"/>
  <c r="BM217" i="4"/>
  <c r="BL217" i="4"/>
  <c r="BK217" i="4"/>
  <c r="BJ217" i="4"/>
  <c r="BI217" i="4"/>
  <c r="BH217" i="4"/>
  <c r="BG217" i="4"/>
  <c r="BF217" i="4"/>
  <c r="BE217" i="4"/>
  <c r="BD217" i="4"/>
  <c r="BC217" i="4"/>
  <c r="BB217" i="4"/>
  <c r="BA217" i="4"/>
  <c r="AZ217" i="4"/>
  <c r="AY217" i="4"/>
  <c r="AX217" i="4"/>
  <c r="AW217" i="4"/>
  <c r="AV217" i="4"/>
  <c r="AU217" i="4"/>
  <c r="AT217" i="4"/>
  <c r="AS217" i="4"/>
  <c r="AR217" i="4"/>
  <c r="AN217" i="4"/>
  <c r="AO217" i="4" s="1"/>
  <c r="B217" i="4"/>
  <c r="BW216" i="4"/>
  <c r="BV216" i="4"/>
  <c r="BU216" i="4"/>
  <c r="BT216" i="4"/>
  <c r="BS216" i="4"/>
  <c r="BR216" i="4"/>
  <c r="BQ216" i="4"/>
  <c r="BP216" i="4"/>
  <c r="BO216" i="4"/>
  <c r="BN216" i="4"/>
  <c r="BM216" i="4"/>
  <c r="BL216" i="4"/>
  <c r="BK216" i="4"/>
  <c r="BJ216" i="4"/>
  <c r="BI216" i="4"/>
  <c r="BH216" i="4"/>
  <c r="BG216" i="4"/>
  <c r="BF216" i="4"/>
  <c r="BE216" i="4"/>
  <c r="BD216" i="4"/>
  <c r="BC216" i="4"/>
  <c r="BB216" i="4"/>
  <c r="BA216" i="4"/>
  <c r="AZ216" i="4"/>
  <c r="AY216" i="4"/>
  <c r="AX216" i="4"/>
  <c r="AW216" i="4"/>
  <c r="AV216" i="4"/>
  <c r="AU216" i="4"/>
  <c r="AT216" i="4"/>
  <c r="AS216" i="4"/>
  <c r="AR216" i="4"/>
  <c r="AN216" i="4"/>
  <c r="AO216" i="4" s="1"/>
  <c r="B216" i="4"/>
  <c r="BW215" i="4"/>
  <c r="BV215" i="4"/>
  <c r="BU215" i="4"/>
  <c r="BT215" i="4"/>
  <c r="BS215" i="4"/>
  <c r="BR215" i="4"/>
  <c r="BQ215" i="4"/>
  <c r="BP215" i="4"/>
  <c r="BO215" i="4"/>
  <c r="BN215" i="4"/>
  <c r="BM215" i="4"/>
  <c r="BL215" i="4"/>
  <c r="BK215" i="4"/>
  <c r="BJ215" i="4"/>
  <c r="BI215" i="4"/>
  <c r="BH215" i="4"/>
  <c r="BG215" i="4"/>
  <c r="BF215" i="4"/>
  <c r="BE215" i="4"/>
  <c r="BD215" i="4"/>
  <c r="BC215" i="4"/>
  <c r="BB215" i="4"/>
  <c r="BA215" i="4"/>
  <c r="AZ215" i="4"/>
  <c r="AY215" i="4"/>
  <c r="AX215" i="4"/>
  <c r="AW215" i="4"/>
  <c r="AV215" i="4"/>
  <c r="AU215" i="4"/>
  <c r="AT215" i="4"/>
  <c r="AS215" i="4"/>
  <c r="AR215" i="4"/>
  <c r="AN215" i="4"/>
  <c r="AO215" i="4" s="1"/>
  <c r="B215" i="4"/>
  <c r="BW214" i="4"/>
  <c r="BV214" i="4"/>
  <c r="BU214" i="4"/>
  <c r="BT214" i="4"/>
  <c r="BS214" i="4"/>
  <c r="BR214" i="4"/>
  <c r="BQ214" i="4"/>
  <c r="BP214" i="4"/>
  <c r="BO214" i="4"/>
  <c r="BN214" i="4"/>
  <c r="BM214" i="4"/>
  <c r="BL214" i="4"/>
  <c r="BK214" i="4"/>
  <c r="BJ214" i="4"/>
  <c r="BI214" i="4"/>
  <c r="BH214" i="4"/>
  <c r="BG214" i="4"/>
  <c r="BF214" i="4"/>
  <c r="BE214" i="4"/>
  <c r="BD214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N214" i="4"/>
  <c r="AO214" i="4" s="1"/>
  <c r="B214" i="4"/>
  <c r="BW213" i="4"/>
  <c r="BV213" i="4"/>
  <c r="BU213" i="4"/>
  <c r="BT213" i="4"/>
  <c r="BS213" i="4"/>
  <c r="BR213" i="4"/>
  <c r="BQ213" i="4"/>
  <c r="BP213" i="4"/>
  <c r="BO213" i="4"/>
  <c r="BN213" i="4"/>
  <c r="BM213" i="4"/>
  <c r="BL213" i="4"/>
  <c r="BK213" i="4"/>
  <c r="BJ213" i="4"/>
  <c r="BI213" i="4"/>
  <c r="BH213" i="4"/>
  <c r="BG213" i="4"/>
  <c r="BF213" i="4"/>
  <c r="BE213" i="4"/>
  <c r="BD213" i="4"/>
  <c r="BC213" i="4"/>
  <c r="BB213" i="4"/>
  <c r="BA213" i="4"/>
  <c r="AZ213" i="4"/>
  <c r="AY213" i="4"/>
  <c r="AX213" i="4"/>
  <c r="AW213" i="4"/>
  <c r="AV213" i="4"/>
  <c r="AU213" i="4"/>
  <c r="AT213" i="4"/>
  <c r="AS213" i="4"/>
  <c r="AR213" i="4"/>
  <c r="AN213" i="4"/>
  <c r="AO213" i="4" s="1"/>
  <c r="B213" i="4"/>
  <c r="BW212" i="4"/>
  <c r="BV212" i="4"/>
  <c r="BU212" i="4"/>
  <c r="BT212" i="4"/>
  <c r="BS212" i="4"/>
  <c r="BR212" i="4"/>
  <c r="BQ212" i="4"/>
  <c r="BP212" i="4"/>
  <c r="BO212" i="4"/>
  <c r="BN212" i="4"/>
  <c r="BM212" i="4"/>
  <c r="BL212" i="4"/>
  <c r="BK212" i="4"/>
  <c r="BJ212" i="4"/>
  <c r="BI212" i="4"/>
  <c r="BH212" i="4"/>
  <c r="BG212" i="4"/>
  <c r="BF212" i="4"/>
  <c r="BE212" i="4"/>
  <c r="BD212" i="4"/>
  <c r="BC212" i="4"/>
  <c r="BB212" i="4"/>
  <c r="BA212" i="4"/>
  <c r="AZ212" i="4"/>
  <c r="AY212" i="4"/>
  <c r="AX212" i="4"/>
  <c r="AW212" i="4"/>
  <c r="AV212" i="4"/>
  <c r="AU212" i="4"/>
  <c r="AT212" i="4"/>
  <c r="AS212" i="4"/>
  <c r="AR212" i="4"/>
  <c r="B212" i="4"/>
  <c r="BW243" i="4"/>
  <c r="BV243" i="4"/>
  <c r="BU243" i="4"/>
  <c r="BT243" i="4"/>
  <c r="BS243" i="4"/>
  <c r="BR243" i="4"/>
  <c r="BQ243" i="4"/>
  <c r="BP243" i="4"/>
  <c r="BO243" i="4"/>
  <c r="BN243" i="4"/>
  <c r="BM243" i="4"/>
  <c r="BL243" i="4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B243" i="4"/>
  <c r="BW242" i="4"/>
  <c r="BV242" i="4"/>
  <c r="BU242" i="4"/>
  <c r="BT242" i="4"/>
  <c r="BS242" i="4"/>
  <c r="BR242" i="4"/>
  <c r="BQ242" i="4"/>
  <c r="BP242" i="4"/>
  <c r="BO242" i="4"/>
  <c r="BN242" i="4"/>
  <c r="BM242" i="4"/>
  <c r="BL242" i="4"/>
  <c r="BK242" i="4"/>
  <c r="BJ242" i="4"/>
  <c r="BI242" i="4"/>
  <c r="BH242" i="4"/>
  <c r="BG242" i="4"/>
  <c r="BF242" i="4"/>
  <c r="BE242" i="4"/>
  <c r="BD242" i="4"/>
  <c r="BC242" i="4"/>
  <c r="BB242" i="4"/>
  <c r="BA242" i="4"/>
  <c r="AZ242" i="4"/>
  <c r="AY242" i="4"/>
  <c r="AX242" i="4"/>
  <c r="AW242" i="4"/>
  <c r="AV242" i="4"/>
  <c r="AU242" i="4"/>
  <c r="AT242" i="4"/>
  <c r="AS242" i="4"/>
  <c r="AR242" i="4"/>
  <c r="AN242" i="4"/>
  <c r="AO242" i="4" s="1"/>
  <c r="B242" i="4"/>
  <c r="BW241" i="4"/>
  <c r="BV241" i="4"/>
  <c r="BU241" i="4"/>
  <c r="BT241" i="4"/>
  <c r="BS241" i="4"/>
  <c r="BR241" i="4"/>
  <c r="BQ241" i="4"/>
  <c r="BP241" i="4"/>
  <c r="BO241" i="4"/>
  <c r="BN241" i="4"/>
  <c r="BM241" i="4"/>
  <c r="BL241" i="4"/>
  <c r="BK241" i="4"/>
  <c r="BJ241" i="4"/>
  <c r="BI241" i="4"/>
  <c r="BH241" i="4"/>
  <c r="BG241" i="4"/>
  <c r="BF241" i="4"/>
  <c r="BE241" i="4"/>
  <c r="BD241" i="4"/>
  <c r="BC241" i="4"/>
  <c r="BB241" i="4"/>
  <c r="BA241" i="4"/>
  <c r="AZ241" i="4"/>
  <c r="AY241" i="4"/>
  <c r="AX241" i="4"/>
  <c r="AW241" i="4"/>
  <c r="AV241" i="4"/>
  <c r="AU241" i="4"/>
  <c r="AT241" i="4"/>
  <c r="AS241" i="4"/>
  <c r="AR241" i="4"/>
  <c r="AN241" i="4"/>
  <c r="AO241" i="4" s="1"/>
  <c r="B241" i="4"/>
  <c r="BW240" i="4"/>
  <c r="BV240" i="4"/>
  <c r="BU240" i="4"/>
  <c r="BT240" i="4"/>
  <c r="BS240" i="4"/>
  <c r="BR240" i="4"/>
  <c r="BQ240" i="4"/>
  <c r="BP240" i="4"/>
  <c r="BO240" i="4"/>
  <c r="BN240" i="4"/>
  <c r="BM240" i="4"/>
  <c r="BL240" i="4"/>
  <c r="BK240" i="4"/>
  <c r="BJ240" i="4"/>
  <c r="BI240" i="4"/>
  <c r="BH240" i="4"/>
  <c r="BG240" i="4"/>
  <c r="BF240" i="4"/>
  <c r="BE240" i="4"/>
  <c r="BD240" i="4"/>
  <c r="BC240" i="4"/>
  <c r="BB240" i="4"/>
  <c r="BA240" i="4"/>
  <c r="AZ240" i="4"/>
  <c r="AY240" i="4"/>
  <c r="AX240" i="4"/>
  <c r="AW240" i="4"/>
  <c r="AV240" i="4"/>
  <c r="AU240" i="4"/>
  <c r="AT240" i="4"/>
  <c r="AS240" i="4"/>
  <c r="AR240" i="4"/>
  <c r="AN240" i="4"/>
  <c r="AO240" i="4" s="1"/>
  <c r="B240" i="4"/>
  <c r="BW239" i="4"/>
  <c r="BV239" i="4"/>
  <c r="BU239" i="4"/>
  <c r="BT239" i="4"/>
  <c r="BS239" i="4"/>
  <c r="BR239" i="4"/>
  <c r="BQ239" i="4"/>
  <c r="BP239" i="4"/>
  <c r="BO239" i="4"/>
  <c r="BN239" i="4"/>
  <c r="BM239" i="4"/>
  <c r="BL239" i="4"/>
  <c r="BK239" i="4"/>
  <c r="BJ239" i="4"/>
  <c r="BI239" i="4"/>
  <c r="BH239" i="4"/>
  <c r="BG239" i="4"/>
  <c r="BF239" i="4"/>
  <c r="BE239" i="4"/>
  <c r="BD239" i="4"/>
  <c r="BC239" i="4"/>
  <c r="BB239" i="4"/>
  <c r="BA239" i="4"/>
  <c r="AZ239" i="4"/>
  <c r="AY239" i="4"/>
  <c r="AX239" i="4"/>
  <c r="AW239" i="4"/>
  <c r="AV239" i="4"/>
  <c r="AU239" i="4"/>
  <c r="AT239" i="4"/>
  <c r="AS239" i="4"/>
  <c r="AR239" i="4"/>
  <c r="AN239" i="4"/>
  <c r="AO239" i="4" s="1"/>
  <c r="B239" i="4"/>
  <c r="BW238" i="4"/>
  <c r="BV238" i="4"/>
  <c r="BU238" i="4"/>
  <c r="BT238" i="4"/>
  <c r="BS238" i="4"/>
  <c r="BR238" i="4"/>
  <c r="BQ238" i="4"/>
  <c r="BP238" i="4"/>
  <c r="BO238" i="4"/>
  <c r="BN238" i="4"/>
  <c r="BM238" i="4"/>
  <c r="BL238" i="4"/>
  <c r="BK238" i="4"/>
  <c r="BJ238" i="4"/>
  <c r="BI238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N238" i="4"/>
  <c r="AO238" i="4" s="1"/>
  <c r="B238" i="4"/>
  <c r="BW237" i="4"/>
  <c r="BV237" i="4"/>
  <c r="BU237" i="4"/>
  <c r="BT237" i="4"/>
  <c r="BS237" i="4"/>
  <c r="BR237" i="4"/>
  <c r="BQ237" i="4"/>
  <c r="BP237" i="4"/>
  <c r="BO237" i="4"/>
  <c r="BN237" i="4"/>
  <c r="BM237" i="4"/>
  <c r="BL237" i="4"/>
  <c r="BK237" i="4"/>
  <c r="BJ237" i="4"/>
  <c r="BI237" i="4"/>
  <c r="BH237" i="4"/>
  <c r="BG237" i="4"/>
  <c r="BF237" i="4"/>
  <c r="BE237" i="4"/>
  <c r="BD237" i="4"/>
  <c r="BC237" i="4"/>
  <c r="BB237" i="4"/>
  <c r="BA237" i="4"/>
  <c r="AZ237" i="4"/>
  <c r="AY237" i="4"/>
  <c r="AX237" i="4"/>
  <c r="AW237" i="4"/>
  <c r="AV237" i="4"/>
  <c r="AU237" i="4"/>
  <c r="AT237" i="4"/>
  <c r="AS237" i="4"/>
  <c r="AR237" i="4"/>
  <c r="AN237" i="4"/>
  <c r="AO237" i="4" s="1"/>
  <c r="B237" i="4"/>
  <c r="BW236" i="4"/>
  <c r="BV236" i="4"/>
  <c r="BU236" i="4"/>
  <c r="BT236" i="4"/>
  <c r="BS236" i="4"/>
  <c r="BR236" i="4"/>
  <c r="BQ236" i="4"/>
  <c r="BP236" i="4"/>
  <c r="BO236" i="4"/>
  <c r="BN236" i="4"/>
  <c r="BM236" i="4"/>
  <c r="BL236" i="4"/>
  <c r="BK236" i="4"/>
  <c r="BJ236" i="4"/>
  <c r="BI236" i="4"/>
  <c r="BH236" i="4"/>
  <c r="BG236" i="4"/>
  <c r="BF236" i="4"/>
  <c r="BE236" i="4"/>
  <c r="BD236" i="4"/>
  <c r="BC236" i="4"/>
  <c r="BB236" i="4"/>
  <c r="BA236" i="4"/>
  <c r="AZ236" i="4"/>
  <c r="AY236" i="4"/>
  <c r="AX236" i="4"/>
  <c r="AW236" i="4"/>
  <c r="AV236" i="4"/>
  <c r="AU236" i="4"/>
  <c r="AT236" i="4"/>
  <c r="AS236" i="4"/>
  <c r="AR236" i="4"/>
  <c r="AN236" i="4"/>
  <c r="AO236" i="4" s="1"/>
  <c r="B236" i="4"/>
  <c r="BW235" i="4"/>
  <c r="BV235" i="4"/>
  <c r="BU235" i="4"/>
  <c r="BT235" i="4"/>
  <c r="BS235" i="4"/>
  <c r="BR235" i="4"/>
  <c r="BQ235" i="4"/>
  <c r="BP235" i="4"/>
  <c r="BO235" i="4"/>
  <c r="BN235" i="4"/>
  <c r="BM235" i="4"/>
  <c r="BL235" i="4"/>
  <c r="BK235" i="4"/>
  <c r="BJ235" i="4"/>
  <c r="BI235" i="4"/>
  <c r="BH235" i="4"/>
  <c r="BG235" i="4"/>
  <c r="BF235" i="4"/>
  <c r="BE235" i="4"/>
  <c r="BD235" i="4"/>
  <c r="BC235" i="4"/>
  <c r="BB235" i="4"/>
  <c r="BA235" i="4"/>
  <c r="AZ235" i="4"/>
  <c r="AY235" i="4"/>
  <c r="AX235" i="4"/>
  <c r="AW235" i="4"/>
  <c r="AV235" i="4"/>
  <c r="AU235" i="4"/>
  <c r="AT235" i="4"/>
  <c r="AS235" i="4"/>
  <c r="AR235" i="4"/>
  <c r="AN235" i="4"/>
  <c r="AO235" i="4" s="1"/>
  <c r="B235" i="4"/>
  <c r="BW234" i="4"/>
  <c r="BV234" i="4"/>
  <c r="BU234" i="4"/>
  <c r="BT234" i="4"/>
  <c r="BS234" i="4"/>
  <c r="BR234" i="4"/>
  <c r="BQ234" i="4"/>
  <c r="BP234" i="4"/>
  <c r="BO234" i="4"/>
  <c r="BN234" i="4"/>
  <c r="BM234" i="4"/>
  <c r="BL234" i="4"/>
  <c r="BK234" i="4"/>
  <c r="BJ234" i="4"/>
  <c r="BI234" i="4"/>
  <c r="BH234" i="4"/>
  <c r="BG234" i="4"/>
  <c r="BF234" i="4"/>
  <c r="BE234" i="4"/>
  <c r="BD234" i="4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N234" i="4"/>
  <c r="AO234" i="4" s="1"/>
  <c r="B234" i="4"/>
  <c r="BW233" i="4"/>
  <c r="BV233" i="4"/>
  <c r="BU233" i="4"/>
  <c r="BT233" i="4"/>
  <c r="BS233" i="4"/>
  <c r="BR233" i="4"/>
  <c r="BQ233" i="4"/>
  <c r="BP233" i="4"/>
  <c r="BO233" i="4"/>
  <c r="BN233" i="4"/>
  <c r="BM233" i="4"/>
  <c r="BL233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N233" i="4"/>
  <c r="AO233" i="4" s="1"/>
  <c r="B233" i="4"/>
  <c r="BW232" i="4"/>
  <c r="BV232" i="4"/>
  <c r="BU232" i="4"/>
  <c r="BT232" i="4"/>
  <c r="BS232" i="4"/>
  <c r="BR232" i="4"/>
  <c r="BQ232" i="4"/>
  <c r="BP232" i="4"/>
  <c r="BO232" i="4"/>
  <c r="BN232" i="4"/>
  <c r="BM232" i="4"/>
  <c r="BL232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N232" i="4"/>
  <c r="AO232" i="4" s="1"/>
  <c r="B232" i="4"/>
  <c r="BW231" i="4"/>
  <c r="BV231" i="4"/>
  <c r="BU231" i="4"/>
  <c r="BT231" i="4"/>
  <c r="BS231" i="4"/>
  <c r="BR231" i="4"/>
  <c r="BQ231" i="4"/>
  <c r="BP231" i="4"/>
  <c r="BO231" i="4"/>
  <c r="BN231" i="4"/>
  <c r="BM231" i="4"/>
  <c r="BL231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N231" i="4"/>
  <c r="AO231" i="4" s="1"/>
  <c r="B231" i="4"/>
  <c r="BW230" i="4"/>
  <c r="BV230" i="4"/>
  <c r="BU230" i="4"/>
  <c r="BT230" i="4"/>
  <c r="BS230" i="4"/>
  <c r="BR230" i="4"/>
  <c r="BQ230" i="4"/>
  <c r="BP230" i="4"/>
  <c r="BO230" i="4"/>
  <c r="BN230" i="4"/>
  <c r="BM230" i="4"/>
  <c r="BL230" i="4"/>
  <c r="BK230" i="4"/>
  <c r="BJ230" i="4"/>
  <c r="BI230" i="4"/>
  <c r="BH230" i="4"/>
  <c r="BG230" i="4"/>
  <c r="BF230" i="4"/>
  <c r="BE230" i="4"/>
  <c r="BD230" i="4"/>
  <c r="BC230" i="4"/>
  <c r="BB230" i="4"/>
  <c r="BA230" i="4"/>
  <c r="AZ230" i="4"/>
  <c r="AY230" i="4"/>
  <c r="AX230" i="4"/>
  <c r="AW230" i="4"/>
  <c r="AV230" i="4"/>
  <c r="AU230" i="4"/>
  <c r="AT230" i="4"/>
  <c r="AS230" i="4"/>
  <c r="AR230" i="4"/>
  <c r="AN230" i="4"/>
  <c r="AO230" i="4" s="1"/>
  <c r="B230" i="4"/>
  <c r="BW229" i="4"/>
  <c r="BV229" i="4"/>
  <c r="BU229" i="4"/>
  <c r="BT229" i="4"/>
  <c r="BS229" i="4"/>
  <c r="BR229" i="4"/>
  <c r="BQ229" i="4"/>
  <c r="BP229" i="4"/>
  <c r="BO229" i="4"/>
  <c r="BN229" i="4"/>
  <c r="BM229" i="4"/>
  <c r="BL229" i="4"/>
  <c r="BK229" i="4"/>
  <c r="BJ229" i="4"/>
  <c r="BI229" i="4"/>
  <c r="BH229" i="4"/>
  <c r="BG229" i="4"/>
  <c r="BF229" i="4"/>
  <c r="BE229" i="4"/>
  <c r="BD229" i="4"/>
  <c r="BC229" i="4"/>
  <c r="BB229" i="4"/>
  <c r="BA229" i="4"/>
  <c r="AZ229" i="4"/>
  <c r="AY229" i="4"/>
  <c r="AX229" i="4"/>
  <c r="AW229" i="4"/>
  <c r="AV229" i="4"/>
  <c r="AU229" i="4"/>
  <c r="AT229" i="4"/>
  <c r="AS229" i="4"/>
  <c r="AR229" i="4"/>
  <c r="AN229" i="4"/>
  <c r="AO229" i="4" s="1"/>
  <c r="B229" i="4"/>
  <c r="BW228" i="4"/>
  <c r="BV228" i="4"/>
  <c r="BU228" i="4"/>
  <c r="BT228" i="4"/>
  <c r="BS228" i="4"/>
  <c r="BR228" i="4"/>
  <c r="BQ228" i="4"/>
  <c r="BP228" i="4"/>
  <c r="BO228" i="4"/>
  <c r="BN228" i="4"/>
  <c r="BM228" i="4"/>
  <c r="BL228" i="4"/>
  <c r="BK228" i="4"/>
  <c r="BJ228" i="4"/>
  <c r="BI228" i="4"/>
  <c r="BH228" i="4"/>
  <c r="BG228" i="4"/>
  <c r="BF228" i="4"/>
  <c r="BE228" i="4"/>
  <c r="BD228" i="4"/>
  <c r="BC228" i="4"/>
  <c r="BB228" i="4"/>
  <c r="BA228" i="4"/>
  <c r="AZ228" i="4"/>
  <c r="AY228" i="4"/>
  <c r="AX228" i="4"/>
  <c r="AW228" i="4"/>
  <c r="AV228" i="4"/>
  <c r="AU228" i="4"/>
  <c r="AT228" i="4"/>
  <c r="AS228" i="4"/>
  <c r="AR228" i="4"/>
  <c r="B228" i="4"/>
  <c r="BW259" i="4"/>
  <c r="BV259" i="4"/>
  <c r="BU259" i="4"/>
  <c r="BT259" i="4"/>
  <c r="BS259" i="4"/>
  <c r="BR259" i="4"/>
  <c r="BQ259" i="4"/>
  <c r="BP259" i="4"/>
  <c r="BO259" i="4"/>
  <c r="BN259" i="4"/>
  <c r="BM259" i="4"/>
  <c r="BL259" i="4"/>
  <c r="BK259" i="4"/>
  <c r="BJ259" i="4"/>
  <c r="BI259" i="4"/>
  <c r="BH259" i="4"/>
  <c r="BG259" i="4"/>
  <c r="BF259" i="4"/>
  <c r="BE259" i="4"/>
  <c r="BD259" i="4"/>
  <c r="BC259" i="4"/>
  <c r="BB259" i="4"/>
  <c r="BA259" i="4"/>
  <c r="AZ259" i="4"/>
  <c r="AY259" i="4"/>
  <c r="AX259" i="4"/>
  <c r="AW259" i="4"/>
  <c r="AV259" i="4"/>
  <c r="AU259" i="4"/>
  <c r="AT259" i="4"/>
  <c r="AS259" i="4"/>
  <c r="AR259" i="4"/>
  <c r="B259" i="4"/>
  <c r="BW258" i="4"/>
  <c r="BV258" i="4"/>
  <c r="BU258" i="4"/>
  <c r="BT258" i="4"/>
  <c r="BS258" i="4"/>
  <c r="BR258" i="4"/>
  <c r="BQ258" i="4"/>
  <c r="BP258" i="4"/>
  <c r="BO258" i="4"/>
  <c r="BN258" i="4"/>
  <c r="BM258" i="4"/>
  <c r="BL258" i="4"/>
  <c r="BK258" i="4"/>
  <c r="BJ258" i="4"/>
  <c r="BI258" i="4"/>
  <c r="BH258" i="4"/>
  <c r="BG258" i="4"/>
  <c r="BF258" i="4"/>
  <c r="BE258" i="4"/>
  <c r="BD258" i="4"/>
  <c r="BC258" i="4"/>
  <c r="BB258" i="4"/>
  <c r="BA258" i="4"/>
  <c r="AZ258" i="4"/>
  <c r="AY258" i="4"/>
  <c r="AX258" i="4"/>
  <c r="AW258" i="4"/>
  <c r="AV258" i="4"/>
  <c r="AU258" i="4"/>
  <c r="AT258" i="4"/>
  <c r="AS258" i="4"/>
  <c r="AR258" i="4"/>
  <c r="B258" i="4"/>
  <c r="BW257" i="4"/>
  <c r="BV257" i="4"/>
  <c r="BU257" i="4"/>
  <c r="BT257" i="4"/>
  <c r="BS257" i="4"/>
  <c r="BR257" i="4"/>
  <c r="BQ257" i="4"/>
  <c r="BP257" i="4"/>
  <c r="BO257" i="4"/>
  <c r="BN257" i="4"/>
  <c r="BM257" i="4"/>
  <c r="BL257" i="4"/>
  <c r="BK257" i="4"/>
  <c r="BJ257" i="4"/>
  <c r="BI257" i="4"/>
  <c r="BH257" i="4"/>
  <c r="BG257" i="4"/>
  <c r="BF257" i="4"/>
  <c r="BE257" i="4"/>
  <c r="BD257" i="4"/>
  <c r="BC257" i="4"/>
  <c r="BB257" i="4"/>
  <c r="BA257" i="4"/>
  <c r="AZ257" i="4"/>
  <c r="AY257" i="4"/>
  <c r="AX257" i="4"/>
  <c r="AW257" i="4"/>
  <c r="AV257" i="4"/>
  <c r="AU257" i="4"/>
  <c r="AT257" i="4"/>
  <c r="AS257" i="4"/>
  <c r="AR257" i="4"/>
  <c r="B257" i="4"/>
  <c r="BW256" i="4"/>
  <c r="BV256" i="4"/>
  <c r="BU256" i="4"/>
  <c r="BT256" i="4"/>
  <c r="BS256" i="4"/>
  <c r="BR256" i="4"/>
  <c r="BQ256" i="4"/>
  <c r="BP256" i="4"/>
  <c r="BO256" i="4"/>
  <c r="BN256" i="4"/>
  <c r="BM256" i="4"/>
  <c r="BL256" i="4"/>
  <c r="BK256" i="4"/>
  <c r="BJ256" i="4"/>
  <c r="BI256" i="4"/>
  <c r="BH256" i="4"/>
  <c r="BG256" i="4"/>
  <c r="BF256" i="4"/>
  <c r="BE256" i="4"/>
  <c r="BD256" i="4"/>
  <c r="BC256" i="4"/>
  <c r="BB256" i="4"/>
  <c r="BA256" i="4"/>
  <c r="AZ256" i="4"/>
  <c r="AY256" i="4"/>
  <c r="AX256" i="4"/>
  <c r="AW256" i="4"/>
  <c r="AV256" i="4"/>
  <c r="AU256" i="4"/>
  <c r="AT256" i="4"/>
  <c r="AS256" i="4"/>
  <c r="AR256" i="4"/>
  <c r="B256" i="4"/>
  <c r="BW255" i="4"/>
  <c r="BV255" i="4"/>
  <c r="BU255" i="4"/>
  <c r="BT255" i="4"/>
  <c r="BS255" i="4"/>
  <c r="BR255" i="4"/>
  <c r="BQ255" i="4"/>
  <c r="BP255" i="4"/>
  <c r="BO255" i="4"/>
  <c r="BN255" i="4"/>
  <c r="BM255" i="4"/>
  <c r="BL255" i="4"/>
  <c r="BK255" i="4"/>
  <c r="BJ255" i="4"/>
  <c r="BI255" i="4"/>
  <c r="BH255" i="4"/>
  <c r="BG255" i="4"/>
  <c r="BF255" i="4"/>
  <c r="BE255" i="4"/>
  <c r="BD255" i="4"/>
  <c r="BC255" i="4"/>
  <c r="BB255" i="4"/>
  <c r="BA255" i="4"/>
  <c r="AZ255" i="4"/>
  <c r="AY255" i="4"/>
  <c r="AX255" i="4"/>
  <c r="AW255" i="4"/>
  <c r="AV255" i="4"/>
  <c r="AU255" i="4"/>
  <c r="AT255" i="4"/>
  <c r="AS255" i="4"/>
  <c r="AR255" i="4"/>
  <c r="B255" i="4"/>
  <c r="BW254" i="4"/>
  <c r="BV254" i="4"/>
  <c r="BU254" i="4"/>
  <c r="BT254" i="4"/>
  <c r="BS254" i="4"/>
  <c r="BR254" i="4"/>
  <c r="BQ254" i="4"/>
  <c r="BP254" i="4"/>
  <c r="BO254" i="4"/>
  <c r="BN254" i="4"/>
  <c r="BM254" i="4"/>
  <c r="BL254" i="4"/>
  <c r="BK254" i="4"/>
  <c r="BJ254" i="4"/>
  <c r="BI254" i="4"/>
  <c r="BH254" i="4"/>
  <c r="BG254" i="4"/>
  <c r="BF254" i="4"/>
  <c r="BE254" i="4"/>
  <c r="BD254" i="4"/>
  <c r="BC254" i="4"/>
  <c r="BB254" i="4"/>
  <c r="BA254" i="4"/>
  <c r="AZ254" i="4"/>
  <c r="AY254" i="4"/>
  <c r="AX254" i="4"/>
  <c r="AW254" i="4"/>
  <c r="AV254" i="4"/>
  <c r="AU254" i="4"/>
  <c r="AT254" i="4"/>
  <c r="AS254" i="4"/>
  <c r="AR254" i="4"/>
  <c r="B254" i="4"/>
  <c r="BW253" i="4"/>
  <c r="BV253" i="4"/>
  <c r="BU253" i="4"/>
  <c r="BT253" i="4"/>
  <c r="BS253" i="4"/>
  <c r="BR253" i="4"/>
  <c r="BQ253" i="4"/>
  <c r="BP253" i="4"/>
  <c r="BO253" i="4"/>
  <c r="BN253" i="4"/>
  <c r="BM253" i="4"/>
  <c r="BL253" i="4"/>
  <c r="BK253" i="4"/>
  <c r="BJ253" i="4"/>
  <c r="BI253" i="4"/>
  <c r="BH253" i="4"/>
  <c r="BG253" i="4"/>
  <c r="BF253" i="4"/>
  <c r="BE253" i="4"/>
  <c r="BD253" i="4"/>
  <c r="BC253" i="4"/>
  <c r="BB253" i="4"/>
  <c r="BA253" i="4"/>
  <c r="AZ253" i="4"/>
  <c r="AY253" i="4"/>
  <c r="AX253" i="4"/>
  <c r="AW253" i="4"/>
  <c r="AV253" i="4"/>
  <c r="AU253" i="4"/>
  <c r="AT253" i="4"/>
  <c r="AS253" i="4"/>
  <c r="AR253" i="4"/>
  <c r="B253" i="4"/>
  <c r="BW252" i="4"/>
  <c r="BV252" i="4"/>
  <c r="BU252" i="4"/>
  <c r="BT252" i="4"/>
  <c r="BS252" i="4"/>
  <c r="BR252" i="4"/>
  <c r="BQ252" i="4"/>
  <c r="BP252" i="4"/>
  <c r="BO252" i="4"/>
  <c r="BN252" i="4"/>
  <c r="BM252" i="4"/>
  <c r="BL252" i="4"/>
  <c r="BK252" i="4"/>
  <c r="BJ252" i="4"/>
  <c r="BI252" i="4"/>
  <c r="BH252" i="4"/>
  <c r="BG252" i="4"/>
  <c r="BF252" i="4"/>
  <c r="BE252" i="4"/>
  <c r="BD252" i="4"/>
  <c r="BC252" i="4"/>
  <c r="BB252" i="4"/>
  <c r="BA252" i="4"/>
  <c r="AZ252" i="4"/>
  <c r="AY252" i="4"/>
  <c r="AX252" i="4"/>
  <c r="AW252" i="4"/>
  <c r="AV252" i="4"/>
  <c r="AU252" i="4"/>
  <c r="AT252" i="4"/>
  <c r="AS252" i="4"/>
  <c r="AR252" i="4"/>
  <c r="B252" i="4"/>
  <c r="BW251" i="4"/>
  <c r="BV251" i="4"/>
  <c r="BU251" i="4"/>
  <c r="BT251" i="4"/>
  <c r="BS251" i="4"/>
  <c r="BR251" i="4"/>
  <c r="BQ251" i="4"/>
  <c r="BP251" i="4"/>
  <c r="BO251" i="4"/>
  <c r="BN251" i="4"/>
  <c r="BM251" i="4"/>
  <c r="BL251" i="4"/>
  <c r="BK251" i="4"/>
  <c r="BJ251" i="4"/>
  <c r="BI251" i="4"/>
  <c r="BH251" i="4"/>
  <c r="BG251" i="4"/>
  <c r="BF251" i="4"/>
  <c r="BE251" i="4"/>
  <c r="BD251" i="4"/>
  <c r="BC251" i="4"/>
  <c r="BB251" i="4"/>
  <c r="BA251" i="4"/>
  <c r="AZ251" i="4"/>
  <c r="AY251" i="4"/>
  <c r="AX251" i="4"/>
  <c r="AW251" i="4"/>
  <c r="AV251" i="4"/>
  <c r="AU251" i="4"/>
  <c r="AT251" i="4"/>
  <c r="AS251" i="4"/>
  <c r="AR251" i="4"/>
  <c r="B251" i="4"/>
  <c r="BW250" i="4"/>
  <c r="BV250" i="4"/>
  <c r="BU250" i="4"/>
  <c r="BT250" i="4"/>
  <c r="BS250" i="4"/>
  <c r="BR250" i="4"/>
  <c r="BQ250" i="4"/>
  <c r="BP250" i="4"/>
  <c r="BO250" i="4"/>
  <c r="BN250" i="4"/>
  <c r="BM250" i="4"/>
  <c r="BL250" i="4"/>
  <c r="BK250" i="4"/>
  <c r="BJ250" i="4"/>
  <c r="BI250" i="4"/>
  <c r="BH250" i="4"/>
  <c r="BG250" i="4"/>
  <c r="BF250" i="4"/>
  <c r="BE250" i="4"/>
  <c r="BD250" i="4"/>
  <c r="BC250" i="4"/>
  <c r="BB250" i="4"/>
  <c r="BA250" i="4"/>
  <c r="AZ250" i="4"/>
  <c r="AY250" i="4"/>
  <c r="AX250" i="4"/>
  <c r="AW250" i="4"/>
  <c r="AV250" i="4"/>
  <c r="AU250" i="4"/>
  <c r="AT250" i="4"/>
  <c r="AS250" i="4"/>
  <c r="AR250" i="4"/>
  <c r="AN250" i="4"/>
  <c r="AO250" i="4" s="1"/>
  <c r="B250" i="4"/>
  <c r="BW249" i="4"/>
  <c r="BV249" i="4"/>
  <c r="BU249" i="4"/>
  <c r="BT249" i="4"/>
  <c r="BS249" i="4"/>
  <c r="BR249" i="4"/>
  <c r="BQ249" i="4"/>
  <c r="BP249" i="4"/>
  <c r="BO249" i="4"/>
  <c r="BN249" i="4"/>
  <c r="BM249" i="4"/>
  <c r="BL249" i="4"/>
  <c r="BK249" i="4"/>
  <c r="BJ249" i="4"/>
  <c r="BI249" i="4"/>
  <c r="BH249" i="4"/>
  <c r="BG249" i="4"/>
  <c r="BF249" i="4"/>
  <c r="BE249" i="4"/>
  <c r="BD249" i="4"/>
  <c r="BC249" i="4"/>
  <c r="BB249" i="4"/>
  <c r="BA249" i="4"/>
  <c r="AZ249" i="4"/>
  <c r="AY249" i="4"/>
  <c r="AX249" i="4"/>
  <c r="AW249" i="4"/>
  <c r="AV249" i="4"/>
  <c r="AU249" i="4"/>
  <c r="AT249" i="4"/>
  <c r="AS249" i="4"/>
  <c r="AR249" i="4"/>
  <c r="AN249" i="4"/>
  <c r="AO249" i="4" s="1"/>
  <c r="B249" i="4"/>
  <c r="BW248" i="4"/>
  <c r="BV248" i="4"/>
  <c r="BU248" i="4"/>
  <c r="BT248" i="4"/>
  <c r="BS248" i="4"/>
  <c r="BR248" i="4"/>
  <c r="BQ248" i="4"/>
  <c r="BP248" i="4"/>
  <c r="BO248" i="4"/>
  <c r="BN248" i="4"/>
  <c r="BM248" i="4"/>
  <c r="BL248" i="4"/>
  <c r="BK248" i="4"/>
  <c r="BJ248" i="4"/>
  <c r="BI248" i="4"/>
  <c r="BH248" i="4"/>
  <c r="BG248" i="4"/>
  <c r="BF248" i="4"/>
  <c r="BE248" i="4"/>
  <c r="BD248" i="4"/>
  <c r="BC248" i="4"/>
  <c r="BB248" i="4"/>
  <c r="BA248" i="4"/>
  <c r="AZ248" i="4"/>
  <c r="AY248" i="4"/>
  <c r="AX248" i="4"/>
  <c r="AW248" i="4"/>
  <c r="AV248" i="4"/>
  <c r="AU248" i="4"/>
  <c r="AT248" i="4"/>
  <c r="AS248" i="4"/>
  <c r="AR248" i="4"/>
  <c r="B248" i="4"/>
  <c r="BW247" i="4"/>
  <c r="BV247" i="4"/>
  <c r="BU247" i="4"/>
  <c r="BT247" i="4"/>
  <c r="BS247" i="4"/>
  <c r="BR247" i="4"/>
  <c r="BQ247" i="4"/>
  <c r="BP247" i="4"/>
  <c r="BO247" i="4"/>
  <c r="BN247" i="4"/>
  <c r="BM247" i="4"/>
  <c r="BL247" i="4"/>
  <c r="BK247" i="4"/>
  <c r="BJ247" i="4"/>
  <c r="BI247" i="4"/>
  <c r="BH247" i="4"/>
  <c r="BG247" i="4"/>
  <c r="BF247" i="4"/>
  <c r="BE247" i="4"/>
  <c r="BD247" i="4"/>
  <c r="BC247" i="4"/>
  <c r="BB247" i="4"/>
  <c r="BA247" i="4"/>
  <c r="AZ247" i="4"/>
  <c r="AY247" i="4"/>
  <c r="AX247" i="4"/>
  <c r="AW247" i="4"/>
  <c r="AV247" i="4"/>
  <c r="AU247" i="4"/>
  <c r="AT247" i="4"/>
  <c r="AS247" i="4"/>
  <c r="AR247" i="4"/>
  <c r="B247" i="4"/>
  <c r="BW246" i="4"/>
  <c r="BV246" i="4"/>
  <c r="BU246" i="4"/>
  <c r="BT246" i="4"/>
  <c r="BS246" i="4"/>
  <c r="BR246" i="4"/>
  <c r="BQ246" i="4"/>
  <c r="BP246" i="4"/>
  <c r="BO246" i="4"/>
  <c r="BN246" i="4"/>
  <c r="BM246" i="4"/>
  <c r="BL246" i="4"/>
  <c r="BK246" i="4"/>
  <c r="BJ246" i="4"/>
  <c r="BI246" i="4"/>
  <c r="BH246" i="4"/>
  <c r="BG246" i="4"/>
  <c r="BF246" i="4"/>
  <c r="BE246" i="4"/>
  <c r="BD246" i="4"/>
  <c r="BC246" i="4"/>
  <c r="BB246" i="4"/>
  <c r="BA246" i="4"/>
  <c r="AZ246" i="4"/>
  <c r="AY246" i="4"/>
  <c r="AX246" i="4"/>
  <c r="AW246" i="4"/>
  <c r="AV246" i="4"/>
  <c r="AU246" i="4"/>
  <c r="AT246" i="4"/>
  <c r="AS246" i="4"/>
  <c r="AR246" i="4"/>
  <c r="B246" i="4"/>
  <c r="BW245" i="4"/>
  <c r="BV245" i="4"/>
  <c r="BU245" i="4"/>
  <c r="BT245" i="4"/>
  <c r="BS245" i="4"/>
  <c r="BR245" i="4"/>
  <c r="BQ245" i="4"/>
  <c r="BP245" i="4"/>
  <c r="BO245" i="4"/>
  <c r="BN245" i="4"/>
  <c r="BM245" i="4"/>
  <c r="BL245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B245" i="4"/>
  <c r="BW244" i="4"/>
  <c r="BV244" i="4"/>
  <c r="BU244" i="4"/>
  <c r="BT244" i="4"/>
  <c r="BS244" i="4"/>
  <c r="BR244" i="4"/>
  <c r="BQ244" i="4"/>
  <c r="BP244" i="4"/>
  <c r="BO244" i="4"/>
  <c r="BN244" i="4"/>
  <c r="BM244" i="4"/>
  <c r="BL244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B244" i="4"/>
  <c r="BW275" i="4"/>
  <c r="BV275" i="4"/>
  <c r="BU275" i="4"/>
  <c r="BT275" i="4"/>
  <c r="BS275" i="4"/>
  <c r="BR275" i="4"/>
  <c r="BQ275" i="4"/>
  <c r="BP275" i="4"/>
  <c r="BO275" i="4"/>
  <c r="BN275" i="4"/>
  <c r="BM275" i="4"/>
  <c r="BL275" i="4"/>
  <c r="BK275" i="4"/>
  <c r="BJ275" i="4"/>
  <c r="BI275" i="4"/>
  <c r="BH275" i="4"/>
  <c r="BG275" i="4"/>
  <c r="BF275" i="4"/>
  <c r="BE275" i="4"/>
  <c r="BD275" i="4"/>
  <c r="BC275" i="4"/>
  <c r="BB275" i="4"/>
  <c r="BA275" i="4"/>
  <c r="AZ275" i="4"/>
  <c r="AY275" i="4"/>
  <c r="AX275" i="4"/>
  <c r="AW275" i="4"/>
  <c r="AV275" i="4"/>
  <c r="AU275" i="4"/>
  <c r="AT275" i="4"/>
  <c r="AS275" i="4"/>
  <c r="AR275" i="4"/>
  <c r="B275" i="4"/>
  <c r="BW274" i="4"/>
  <c r="BV274" i="4"/>
  <c r="BU274" i="4"/>
  <c r="BT274" i="4"/>
  <c r="BS274" i="4"/>
  <c r="BR274" i="4"/>
  <c r="BQ274" i="4"/>
  <c r="BP274" i="4"/>
  <c r="BO274" i="4"/>
  <c r="BN274" i="4"/>
  <c r="BM274" i="4"/>
  <c r="BL274" i="4"/>
  <c r="BK274" i="4"/>
  <c r="BJ274" i="4"/>
  <c r="BI274" i="4"/>
  <c r="BH274" i="4"/>
  <c r="BG274" i="4"/>
  <c r="BF274" i="4"/>
  <c r="BE274" i="4"/>
  <c r="BD274" i="4"/>
  <c r="BC274" i="4"/>
  <c r="BB274" i="4"/>
  <c r="BA274" i="4"/>
  <c r="AZ274" i="4"/>
  <c r="AY274" i="4"/>
  <c r="AX274" i="4"/>
  <c r="AW274" i="4"/>
  <c r="AV274" i="4"/>
  <c r="AU274" i="4"/>
  <c r="AT274" i="4"/>
  <c r="AS274" i="4"/>
  <c r="AR274" i="4"/>
  <c r="B274" i="4"/>
  <c r="BW273" i="4"/>
  <c r="BV273" i="4"/>
  <c r="BU273" i="4"/>
  <c r="BT273" i="4"/>
  <c r="BS273" i="4"/>
  <c r="BR273" i="4"/>
  <c r="BQ273" i="4"/>
  <c r="BP273" i="4"/>
  <c r="BO273" i="4"/>
  <c r="BN273" i="4"/>
  <c r="BM273" i="4"/>
  <c r="BL273" i="4"/>
  <c r="BK273" i="4"/>
  <c r="BJ273" i="4"/>
  <c r="BI273" i="4"/>
  <c r="BH273" i="4"/>
  <c r="BG273" i="4"/>
  <c r="BF273" i="4"/>
  <c r="BE273" i="4"/>
  <c r="BD273" i="4"/>
  <c r="BC273" i="4"/>
  <c r="BB273" i="4"/>
  <c r="BA273" i="4"/>
  <c r="AZ273" i="4"/>
  <c r="AY273" i="4"/>
  <c r="AX273" i="4"/>
  <c r="AW273" i="4"/>
  <c r="AV273" i="4"/>
  <c r="AU273" i="4"/>
  <c r="AT273" i="4"/>
  <c r="AS273" i="4"/>
  <c r="AR273" i="4"/>
  <c r="B273" i="4"/>
  <c r="BW272" i="4"/>
  <c r="BV272" i="4"/>
  <c r="BU272" i="4"/>
  <c r="BT272" i="4"/>
  <c r="BS272" i="4"/>
  <c r="BR272" i="4"/>
  <c r="BQ272" i="4"/>
  <c r="BP272" i="4"/>
  <c r="BO272" i="4"/>
  <c r="BN272" i="4"/>
  <c r="BM272" i="4"/>
  <c r="BL272" i="4"/>
  <c r="BK272" i="4"/>
  <c r="BJ272" i="4"/>
  <c r="BI272" i="4"/>
  <c r="BH272" i="4"/>
  <c r="BG272" i="4"/>
  <c r="BF272" i="4"/>
  <c r="BE272" i="4"/>
  <c r="BD272" i="4"/>
  <c r="BC272" i="4"/>
  <c r="BB272" i="4"/>
  <c r="BA272" i="4"/>
  <c r="AZ272" i="4"/>
  <c r="AY272" i="4"/>
  <c r="AX272" i="4"/>
  <c r="AW272" i="4"/>
  <c r="AV272" i="4"/>
  <c r="AU272" i="4"/>
  <c r="AT272" i="4"/>
  <c r="AS272" i="4"/>
  <c r="AR272" i="4"/>
  <c r="B272" i="4"/>
  <c r="BW271" i="4"/>
  <c r="BV271" i="4"/>
  <c r="BU271" i="4"/>
  <c r="BT271" i="4"/>
  <c r="BS271" i="4"/>
  <c r="BR271" i="4"/>
  <c r="BQ271" i="4"/>
  <c r="BP271" i="4"/>
  <c r="BO271" i="4"/>
  <c r="BN271" i="4"/>
  <c r="BM271" i="4"/>
  <c r="BL271" i="4"/>
  <c r="BK271" i="4"/>
  <c r="BJ271" i="4"/>
  <c r="BI271" i="4"/>
  <c r="BH271" i="4"/>
  <c r="BG271" i="4"/>
  <c r="BF271" i="4"/>
  <c r="BE271" i="4"/>
  <c r="BD271" i="4"/>
  <c r="BC271" i="4"/>
  <c r="BB271" i="4"/>
  <c r="BA271" i="4"/>
  <c r="AZ271" i="4"/>
  <c r="AY271" i="4"/>
  <c r="AX271" i="4"/>
  <c r="AW271" i="4"/>
  <c r="AV271" i="4"/>
  <c r="AU271" i="4"/>
  <c r="AT271" i="4"/>
  <c r="AS271" i="4"/>
  <c r="AR271" i="4"/>
  <c r="B271" i="4"/>
  <c r="BW270" i="4"/>
  <c r="BV270" i="4"/>
  <c r="BU270" i="4"/>
  <c r="BT270" i="4"/>
  <c r="BS270" i="4"/>
  <c r="BR270" i="4"/>
  <c r="BQ270" i="4"/>
  <c r="BP270" i="4"/>
  <c r="BO270" i="4"/>
  <c r="BN270" i="4"/>
  <c r="BM270" i="4"/>
  <c r="BL270" i="4"/>
  <c r="BK270" i="4"/>
  <c r="BJ270" i="4"/>
  <c r="BI270" i="4"/>
  <c r="BH270" i="4"/>
  <c r="BG270" i="4"/>
  <c r="BF270" i="4"/>
  <c r="BE270" i="4"/>
  <c r="BD270" i="4"/>
  <c r="BC270" i="4"/>
  <c r="BB270" i="4"/>
  <c r="BA270" i="4"/>
  <c r="AZ270" i="4"/>
  <c r="AY270" i="4"/>
  <c r="AX270" i="4"/>
  <c r="AW270" i="4"/>
  <c r="AV270" i="4"/>
  <c r="AU270" i="4"/>
  <c r="AT270" i="4"/>
  <c r="AS270" i="4"/>
  <c r="AR270" i="4"/>
  <c r="B270" i="4"/>
  <c r="BW269" i="4"/>
  <c r="BV269" i="4"/>
  <c r="BU269" i="4"/>
  <c r="BT269" i="4"/>
  <c r="BS269" i="4"/>
  <c r="BR269" i="4"/>
  <c r="BQ269" i="4"/>
  <c r="BP269" i="4"/>
  <c r="BO269" i="4"/>
  <c r="BN269" i="4"/>
  <c r="BM269" i="4"/>
  <c r="BL269" i="4"/>
  <c r="BK269" i="4"/>
  <c r="BJ269" i="4"/>
  <c r="BI269" i="4"/>
  <c r="BH269" i="4"/>
  <c r="BG269" i="4"/>
  <c r="BF269" i="4"/>
  <c r="BE269" i="4"/>
  <c r="BD269" i="4"/>
  <c r="BC269" i="4"/>
  <c r="BB269" i="4"/>
  <c r="BA269" i="4"/>
  <c r="AZ269" i="4"/>
  <c r="AY269" i="4"/>
  <c r="AX269" i="4"/>
  <c r="AW269" i="4"/>
  <c r="AV269" i="4"/>
  <c r="AU269" i="4"/>
  <c r="AT269" i="4"/>
  <c r="AS269" i="4"/>
  <c r="AR269" i="4"/>
  <c r="B269" i="4"/>
  <c r="BW268" i="4"/>
  <c r="BV268" i="4"/>
  <c r="BU268" i="4"/>
  <c r="BT268" i="4"/>
  <c r="BS268" i="4"/>
  <c r="BR268" i="4"/>
  <c r="BQ268" i="4"/>
  <c r="BP268" i="4"/>
  <c r="BO268" i="4"/>
  <c r="BN268" i="4"/>
  <c r="BM268" i="4"/>
  <c r="BL268" i="4"/>
  <c r="BK268" i="4"/>
  <c r="BJ268" i="4"/>
  <c r="BI268" i="4"/>
  <c r="BH268" i="4"/>
  <c r="BG268" i="4"/>
  <c r="BF268" i="4"/>
  <c r="BE268" i="4"/>
  <c r="BD268" i="4"/>
  <c r="BC268" i="4"/>
  <c r="BB268" i="4"/>
  <c r="BA268" i="4"/>
  <c r="AZ268" i="4"/>
  <c r="AY268" i="4"/>
  <c r="AX268" i="4"/>
  <c r="AW268" i="4"/>
  <c r="AV268" i="4"/>
  <c r="AU268" i="4"/>
  <c r="AT268" i="4"/>
  <c r="AS268" i="4"/>
  <c r="AR268" i="4"/>
  <c r="B268" i="4"/>
  <c r="BW267" i="4"/>
  <c r="BV267" i="4"/>
  <c r="BU267" i="4"/>
  <c r="BT267" i="4"/>
  <c r="BS267" i="4"/>
  <c r="BR267" i="4"/>
  <c r="BQ267" i="4"/>
  <c r="BP267" i="4"/>
  <c r="BO267" i="4"/>
  <c r="BN267" i="4"/>
  <c r="BM267" i="4"/>
  <c r="BL267" i="4"/>
  <c r="BK267" i="4"/>
  <c r="BJ267" i="4"/>
  <c r="BI267" i="4"/>
  <c r="BH267" i="4"/>
  <c r="BG267" i="4"/>
  <c r="BF267" i="4"/>
  <c r="BE267" i="4"/>
  <c r="BD267" i="4"/>
  <c r="BC267" i="4"/>
  <c r="BB267" i="4"/>
  <c r="BA267" i="4"/>
  <c r="AZ267" i="4"/>
  <c r="AY267" i="4"/>
  <c r="AX267" i="4"/>
  <c r="AW267" i="4"/>
  <c r="AV267" i="4"/>
  <c r="AU267" i="4"/>
  <c r="AT267" i="4"/>
  <c r="AS267" i="4"/>
  <c r="AR267" i="4"/>
  <c r="B267" i="4"/>
  <c r="BW266" i="4"/>
  <c r="BV266" i="4"/>
  <c r="BU266" i="4"/>
  <c r="BT266" i="4"/>
  <c r="BS266" i="4"/>
  <c r="BR266" i="4"/>
  <c r="BQ266" i="4"/>
  <c r="BP266" i="4"/>
  <c r="BO266" i="4"/>
  <c r="BN266" i="4"/>
  <c r="BM266" i="4"/>
  <c r="BL266" i="4"/>
  <c r="BK266" i="4"/>
  <c r="BJ266" i="4"/>
  <c r="BI266" i="4"/>
  <c r="BH266" i="4"/>
  <c r="BG266" i="4"/>
  <c r="BF266" i="4"/>
  <c r="BE266" i="4"/>
  <c r="BD266" i="4"/>
  <c r="BC266" i="4"/>
  <c r="BB266" i="4"/>
  <c r="BA266" i="4"/>
  <c r="AZ266" i="4"/>
  <c r="AY266" i="4"/>
  <c r="AX266" i="4"/>
  <c r="AW266" i="4"/>
  <c r="AV266" i="4"/>
  <c r="AU266" i="4"/>
  <c r="AT266" i="4"/>
  <c r="AS266" i="4"/>
  <c r="AR266" i="4"/>
  <c r="B266" i="4"/>
  <c r="BW265" i="4"/>
  <c r="BV265" i="4"/>
  <c r="BU265" i="4"/>
  <c r="BT265" i="4"/>
  <c r="BS265" i="4"/>
  <c r="BR265" i="4"/>
  <c r="BQ265" i="4"/>
  <c r="BP265" i="4"/>
  <c r="BO265" i="4"/>
  <c r="BN265" i="4"/>
  <c r="BM265" i="4"/>
  <c r="BL265" i="4"/>
  <c r="BK265" i="4"/>
  <c r="BJ265" i="4"/>
  <c r="BI265" i="4"/>
  <c r="BH265" i="4"/>
  <c r="BG265" i="4"/>
  <c r="BF265" i="4"/>
  <c r="BE265" i="4"/>
  <c r="BD265" i="4"/>
  <c r="BC265" i="4"/>
  <c r="BB265" i="4"/>
  <c r="BA265" i="4"/>
  <c r="AZ265" i="4"/>
  <c r="AY265" i="4"/>
  <c r="AX265" i="4"/>
  <c r="AW265" i="4"/>
  <c r="AV265" i="4"/>
  <c r="AU265" i="4"/>
  <c r="AT265" i="4"/>
  <c r="AS265" i="4"/>
  <c r="AR265" i="4"/>
  <c r="B265" i="4"/>
  <c r="BW264" i="4"/>
  <c r="BV264" i="4"/>
  <c r="BU264" i="4"/>
  <c r="BT264" i="4"/>
  <c r="BS264" i="4"/>
  <c r="BR264" i="4"/>
  <c r="BQ264" i="4"/>
  <c r="BP264" i="4"/>
  <c r="BO264" i="4"/>
  <c r="BN264" i="4"/>
  <c r="BM264" i="4"/>
  <c r="BL264" i="4"/>
  <c r="BK264" i="4"/>
  <c r="BJ264" i="4"/>
  <c r="BI264" i="4"/>
  <c r="BH264" i="4"/>
  <c r="BG264" i="4"/>
  <c r="BF264" i="4"/>
  <c r="BE264" i="4"/>
  <c r="BD264" i="4"/>
  <c r="BC264" i="4"/>
  <c r="BB264" i="4"/>
  <c r="BA264" i="4"/>
  <c r="AZ264" i="4"/>
  <c r="AY264" i="4"/>
  <c r="AX264" i="4"/>
  <c r="AW264" i="4"/>
  <c r="AV264" i="4"/>
  <c r="AU264" i="4"/>
  <c r="AT264" i="4"/>
  <c r="AS264" i="4"/>
  <c r="AR264" i="4"/>
  <c r="B264" i="4"/>
  <c r="BW263" i="4"/>
  <c r="BV263" i="4"/>
  <c r="BU263" i="4"/>
  <c r="BT263" i="4"/>
  <c r="BS263" i="4"/>
  <c r="BR263" i="4"/>
  <c r="BQ263" i="4"/>
  <c r="BP263" i="4"/>
  <c r="BO263" i="4"/>
  <c r="BN263" i="4"/>
  <c r="BM263" i="4"/>
  <c r="BL263" i="4"/>
  <c r="BK263" i="4"/>
  <c r="BJ263" i="4"/>
  <c r="BI263" i="4"/>
  <c r="BH263" i="4"/>
  <c r="BG263" i="4"/>
  <c r="BF263" i="4"/>
  <c r="BE263" i="4"/>
  <c r="BD263" i="4"/>
  <c r="BC263" i="4"/>
  <c r="BB263" i="4"/>
  <c r="BA263" i="4"/>
  <c r="AZ263" i="4"/>
  <c r="AY263" i="4"/>
  <c r="AX263" i="4"/>
  <c r="AW263" i="4"/>
  <c r="AV263" i="4"/>
  <c r="AU263" i="4"/>
  <c r="AT263" i="4"/>
  <c r="AS263" i="4"/>
  <c r="AR263" i="4"/>
  <c r="B263" i="4"/>
  <c r="BW262" i="4"/>
  <c r="BV262" i="4"/>
  <c r="BU262" i="4"/>
  <c r="BT262" i="4"/>
  <c r="BS262" i="4"/>
  <c r="BR262" i="4"/>
  <c r="BQ262" i="4"/>
  <c r="BP262" i="4"/>
  <c r="BO262" i="4"/>
  <c r="BN262" i="4"/>
  <c r="BM262" i="4"/>
  <c r="BL262" i="4"/>
  <c r="BK262" i="4"/>
  <c r="BJ262" i="4"/>
  <c r="BI262" i="4"/>
  <c r="BH262" i="4"/>
  <c r="BG262" i="4"/>
  <c r="BF262" i="4"/>
  <c r="BE262" i="4"/>
  <c r="BD262" i="4"/>
  <c r="BC262" i="4"/>
  <c r="BB262" i="4"/>
  <c r="BA262" i="4"/>
  <c r="AZ262" i="4"/>
  <c r="AY262" i="4"/>
  <c r="AX262" i="4"/>
  <c r="AW262" i="4"/>
  <c r="AV262" i="4"/>
  <c r="AU262" i="4"/>
  <c r="AT262" i="4"/>
  <c r="AS262" i="4"/>
  <c r="AR262" i="4"/>
  <c r="B262" i="4"/>
  <c r="BW261" i="4"/>
  <c r="BV261" i="4"/>
  <c r="BU261" i="4"/>
  <c r="BT261" i="4"/>
  <c r="BS261" i="4"/>
  <c r="BR261" i="4"/>
  <c r="BQ261" i="4"/>
  <c r="BP261" i="4"/>
  <c r="BO261" i="4"/>
  <c r="BN261" i="4"/>
  <c r="BM261" i="4"/>
  <c r="BL261" i="4"/>
  <c r="BK261" i="4"/>
  <c r="BJ261" i="4"/>
  <c r="BI261" i="4"/>
  <c r="BH261" i="4"/>
  <c r="BG261" i="4"/>
  <c r="BF261" i="4"/>
  <c r="BE261" i="4"/>
  <c r="BD261" i="4"/>
  <c r="BC261" i="4"/>
  <c r="BB261" i="4"/>
  <c r="BA261" i="4"/>
  <c r="AZ261" i="4"/>
  <c r="AY261" i="4"/>
  <c r="AX261" i="4"/>
  <c r="AW261" i="4"/>
  <c r="AV261" i="4"/>
  <c r="AU261" i="4"/>
  <c r="AT261" i="4"/>
  <c r="AS261" i="4"/>
  <c r="AR261" i="4"/>
  <c r="B261" i="4"/>
  <c r="BW260" i="4"/>
  <c r="BV260" i="4"/>
  <c r="BU260" i="4"/>
  <c r="BT260" i="4"/>
  <c r="BS260" i="4"/>
  <c r="BR260" i="4"/>
  <c r="BQ260" i="4"/>
  <c r="BP260" i="4"/>
  <c r="BO260" i="4"/>
  <c r="BN260" i="4"/>
  <c r="BM260" i="4"/>
  <c r="BL260" i="4"/>
  <c r="BK260" i="4"/>
  <c r="BJ260" i="4"/>
  <c r="BI260" i="4"/>
  <c r="BH260" i="4"/>
  <c r="BG260" i="4"/>
  <c r="BF260" i="4"/>
  <c r="BE260" i="4"/>
  <c r="BD260" i="4"/>
  <c r="BC260" i="4"/>
  <c r="BB260" i="4"/>
  <c r="BA260" i="4"/>
  <c r="AZ260" i="4"/>
  <c r="AY260" i="4"/>
  <c r="AX260" i="4"/>
  <c r="AW260" i="4"/>
  <c r="AV260" i="4"/>
  <c r="AU260" i="4"/>
  <c r="AT260" i="4"/>
  <c r="AS260" i="4"/>
  <c r="AR260" i="4"/>
  <c r="B260" i="4"/>
  <c r="BW291" i="4"/>
  <c r="BV291" i="4"/>
  <c r="BU291" i="4"/>
  <c r="BT291" i="4"/>
  <c r="BS291" i="4"/>
  <c r="BR291" i="4"/>
  <c r="BQ291" i="4"/>
  <c r="BP291" i="4"/>
  <c r="BO291" i="4"/>
  <c r="BN291" i="4"/>
  <c r="BM291" i="4"/>
  <c r="BL291" i="4"/>
  <c r="BK291" i="4"/>
  <c r="BJ291" i="4"/>
  <c r="BI291" i="4"/>
  <c r="BH291" i="4"/>
  <c r="BG291" i="4"/>
  <c r="BF291" i="4"/>
  <c r="BE291" i="4"/>
  <c r="BD291" i="4"/>
  <c r="BC291" i="4"/>
  <c r="BB291" i="4"/>
  <c r="BA291" i="4"/>
  <c r="AZ291" i="4"/>
  <c r="AY291" i="4"/>
  <c r="AX291" i="4"/>
  <c r="AW291" i="4"/>
  <c r="AV291" i="4"/>
  <c r="AU291" i="4"/>
  <c r="AT291" i="4"/>
  <c r="AS291" i="4"/>
  <c r="AR291" i="4"/>
  <c r="B291" i="4"/>
  <c r="BW290" i="4"/>
  <c r="BV290" i="4"/>
  <c r="BU290" i="4"/>
  <c r="BT290" i="4"/>
  <c r="BS290" i="4"/>
  <c r="BR290" i="4"/>
  <c r="BQ290" i="4"/>
  <c r="BP290" i="4"/>
  <c r="BO290" i="4"/>
  <c r="BN290" i="4"/>
  <c r="BM290" i="4"/>
  <c r="BL290" i="4"/>
  <c r="BK290" i="4"/>
  <c r="BJ290" i="4"/>
  <c r="BI290" i="4"/>
  <c r="BH290" i="4"/>
  <c r="BG290" i="4"/>
  <c r="BF290" i="4"/>
  <c r="BE290" i="4"/>
  <c r="BD290" i="4"/>
  <c r="BC290" i="4"/>
  <c r="BB290" i="4"/>
  <c r="BA290" i="4"/>
  <c r="AZ290" i="4"/>
  <c r="AY290" i="4"/>
  <c r="AX290" i="4"/>
  <c r="AW290" i="4"/>
  <c r="AV290" i="4"/>
  <c r="AU290" i="4"/>
  <c r="AT290" i="4"/>
  <c r="AS290" i="4"/>
  <c r="AR290" i="4"/>
  <c r="B290" i="4"/>
  <c r="BW289" i="4"/>
  <c r="BV289" i="4"/>
  <c r="BU289" i="4"/>
  <c r="BT289" i="4"/>
  <c r="BS289" i="4"/>
  <c r="BR289" i="4"/>
  <c r="BQ289" i="4"/>
  <c r="BP289" i="4"/>
  <c r="BO289" i="4"/>
  <c r="BN289" i="4"/>
  <c r="BM289" i="4"/>
  <c r="BL289" i="4"/>
  <c r="BK289" i="4"/>
  <c r="BJ289" i="4"/>
  <c r="BI289" i="4"/>
  <c r="BH289" i="4"/>
  <c r="BG289" i="4"/>
  <c r="BF289" i="4"/>
  <c r="BE289" i="4"/>
  <c r="BD289" i="4"/>
  <c r="BC289" i="4"/>
  <c r="BB289" i="4"/>
  <c r="BA289" i="4"/>
  <c r="AZ289" i="4"/>
  <c r="AY289" i="4"/>
  <c r="AX289" i="4"/>
  <c r="AW289" i="4"/>
  <c r="AV289" i="4"/>
  <c r="AU289" i="4"/>
  <c r="AT289" i="4"/>
  <c r="AS289" i="4"/>
  <c r="AR289" i="4"/>
  <c r="B289" i="4"/>
  <c r="BW288" i="4"/>
  <c r="BV288" i="4"/>
  <c r="BU288" i="4"/>
  <c r="BT288" i="4"/>
  <c r="BS288" i="4"/>
  <c r="BR288" i="4"/>
  <c r="BQ288" i="4"/>
  <c r="BP288" i="4"/>
  <c r="BO288" i="4"/>
  <c r="BN288" i="4"/>
  <c r="BM288" i="4"/>
  <c r="BL288" i="4"/>
  <c r="BK288" i="4"/>
  <c r="BJ288" i="4"/>
  <c r="BI288" i="4"/>
  <c r="BH288" i="4"/>
  <c r="BG288" i="4"/>
  <c r="BF288" i="4"/>
  <c r="BE288" i="4"/>
  <c r="BD288" i="4"/>
  <c r="BC288" i="4"/>
  <c r="BB288" i="4"/>
  <c r="BA288" i="4"/>
  <c r="AZ288" i="4"/>
  <c r="AY288" i="4"/>
  <c r="AX288" i="4"/>
  <c r="AW288" i="4"/>
  <c r="AV288" i="4"/>
  <c r="AU288" i="4"/>
  <c r="AT288" i="4"/>
  <c r="AS288" i="4"/>
  <c r="AR288" i="4"/>
  <c r="B288" i="4"/>
  <c r="BW287" i="4"/>
  <c r="BV287" i="4"/>
  <c r="BU287" i="4"/>
  <c r="BT287" i="4"/>
  <c r="BS287" i="4"/>
  <c r="BR287" i="4"/>
  <c r="BQ287" i="4"/>
  <c r="BP287" i="4"/>
  <c r="BO287" i="4"/>
  <c r="BN287" i="4"/>
  <c r="BM287" i="4"/>
  <c r="BL287" i="4"/>
  <c r="BK287" i="4"/>
  <c r="BJ287" i="4"/>
  <c r="BI287" i="4"/>
  <c r="BH287" i="4"/>
  <c r="BG287" i="4"/>
  <c r="BF287" i="4"/>
  <c r="BE287" i="4"/>
  <c r="BD287" i="4"/>
  <c r="BC287" i="4"/>
  <c r="BB287" i="4"/>
  <c r="BA287" i="4"/>
  <c r="AZ287" i="4"/>
  <c r="AY287" i="4"/>
  <c r="AX287" i="4"/>
  <c r="AW287" i="4"/>
  <c r="AV287" i="4"/>
  <c r="AU287" i="4"/>
  <c r="AT287" i="4"/>
  <c r="AS287" i="4"/>
  <c r="AR287" i="4"/>
  <c r="B287" i="4"/>
  <c r="BW286" i="4"/>
  <c r="BV286" i="4"/>
  <c r="BU286" i="4"/>
  <c r="BT286" i="4"/>
  <c r="BS286" i="4"/>
  <c r="BR286" i="4"/>
  <c r="BQ286" i="4"/>
  <c r="BP286" i="4"/>
  <c r="BO286" i="4"/>
  <c r="BN286" i="4"/>
  <c r="BM286" i="4"/>
  <c r="BL286" i="4"/>
  <c r="BK286" i="4"/>
  <c r="BJ286" i="4"/>
  <c r="BI286" i="4"/>
  <c r="BH286" i="4"/>
  <c r="BG286" i="4"/>
  <c r="BF286" i="4"/>
  <c r="BE286" i="4"/>
  <c r="BD286" i="4"/>
  <c r="BC286" i="4"/>
  <c r="BB286" i="4"/>
  <c r="BA286" i="4"/>
  <c r="AZ286" i="4"/>
  <c r="AY286" i="4"/>
  <c r="AX286" i="4"/>
  <c r="AW286" i="4"/>
  <c r="AV286" i="4"/>
  <c r="AU286" i="4"/>
  <c r="AT286" i="4"/>
  <c r="AS286" i="4"/>
  <c r="AR286" i="4"/>
  <c r="B286" i="4"/>
  <c r="BW285" i="4"/>
  <c r="BV285" i="4"/>
  <c r="BU285" i="4"/>
  <c r="BT285" i="4"/>
  <c r="BS285" i="4"/>
  <c r="BR285" i="4"/>
  <c r="BQ285" i="4"/>
  <c r="BP285" i="4"/>
  <c r="BO285" i="4"/>
  <c r="BN285" i="4"/>
  <c r="BM285" i="4"/>
  <c r="BL285" i="4"/>
  <c r="BK285" i="4"/>
  <c r="BJ285" i="4"/>
  <c r="BI285" i="4"/>
  <c r="BH285" i="4"/>
  <c r="BG285" i="4"/>
  <c r="BF285" i="4"/>
  <c r="BE285" i="4"/>
  <c r="BD285" i="4"/>
  <c r="BC285" i="4"/>
  <c r="BB285" i="4"/>
  <c r="BA285" i="4"/>
  <c r="AZ285" i="4"/>
  <c r="AY285" i="4"/>
  <c r="AX285" i="4"/>
  <c r="AW285" i="4"/>
  <c r="AV285" i="4"/>
  <c r="AU285" i="4"/>
  <c r="AT285" i="4"/>
  <c r="AS285" i="4"/>
  <c r="AR285" i="4"/>
  <c r="B285" i="4"/>
  <c r="BW284" i="4"/>
  <c r="BV284" i="4"/>
  <c r="BU284" i="4"/>
  <c r="BT284" i="4"/>
  <c r="BS284" i="4"/>
  <c r="BR284" i="4"/>
  <c r="BQ284" i="4"/>
  <c r="BP284" i="4"/>
  <c r="BO284" i="4"/>
  <c r="BN284" i="4"/>
  <c r="BM284" i="4"/>
  <c r="BL284" i="4"/>
  <c r="BK284" i="4"/>
  <c r="BJ284" i="4"/>
  <c r="BI284" i="4"/>
  <c r="BH284" i="4"/>
  <c r="BG284" i="4"/>
  <c r="BF284" i="4"/>
  <c r="BE284" i="4"/>
  <c r="BD284" i="4"/>
  <c r="BC284" i="4"/>
  <c r="BB284" i="4"/>
  <c r="BA284" i="4"/>
  <c r="AZ284" i="4"/>
  <c r="AY284" i="4"/>
  <c r="AX284" i="4"/>
  <c r="AW284" i="4"/>
  <c r="AV284" i="4"/>
  <c r="AU284" i="4"/>
  <c r="AT284" i="4"/>
  <c r="AS284" i="4"/>
  <c r="AR284" i="4"/>
  <c r="B284" i="4"/>
  <c r="BW283" i="4"/>
  <c r="BV283" i="4"/>
  <c r="BU283" i="4"/>
  <c r="BT283" i="4"/>
  <c r="BS283" i="4"/>
  <c r="BR283" i="4"/>
  <c r="BQ283" i="4"/>
  <c r="BP283" i="4"/>
  <c r="BO283" i="4"/>
  <c r="BN283" i="4"/>
  <c r="BM283" i="4"/>
  <c r="BL283" i="4"/>
  <c r="BK283" i="4"/>
  <c r="BJ283" i="4"/>
  <c r="BI283" i="4"/>
  <c r="BH283" i="4"/>
  <c r="BG283" i="4"/>
  <c r="BF283" i="4"/>
  <c r="BE283" i="4"/>
  <c r="BD283" i="4"/>
  <c r="BC283" i="4"/>
  <c r="BB283" i="4"/>
  <c r="BA283" i="4"/>
  <c r="AZ283" i="4"/>
  <c r="AY283" i="4"/>
  <c r="AX283" i="4"/>
  <c r="AW283" i="4"/>
  <c r="AV283" i="4"/>
  <c r="AU283" i="4"/>
  <c r="AT283" i="4"/>
  <c r="AS283" i="4"/>
  <c r="AR283" i="4"/>
  <c r="B283" i="4"/>
  <c r="BW282" i="4"/>
  <c r="BV282" i="4"/>
  <c r="BU282" i="4"/>
  <c r="BT282" i="4"/>
  <c r="BS282" i="4"/>
  <c r="BR282" i="4"/>
  <c r="BQ282" i="4"/>
  <c r="BP282" i="4"/>
  <c r="BO282" i="4"/>
  <c r="BN282" i="4"/>
  <c r="BM282" i="4"/>
  <c r="BL282" i="4"/>
  <c r="BK282" i="4"/>
  <c r="BJ282" i="4"/>
  <c r="BI282" i="4"/>
  <c r="BH282" i="4"/>
  <c r="BG282" i="4"/>
  <c r="BF282" i="4"/>
  <c r="BE282" i="4"/>
  <c r="BD282" i="4"/>
  <c r="BC282" i="4"/>
  <c r="BB282" i="4"/>
  <c r="BA282" i="4"/>
  <c r="AZ282" i="4"/>
  <c r="AY282" i="4"/>
  <c r="AX282" i="4"/>
  <c r="AW282" i="4"/>
  <c r="AV282" i="4"/>
  <c r="AU282" i="4"/>
  <c r="AT282" i="4"/>
  <c r="AS282" i="4"/>
  <c r="AR282" i="4"/>
  <c r="B282" i="4"/>
  <c r="BW281" i="4"/>
  <c r="BV281" i="4"/>
  <c r="BU281" i="4"/>
  <c r="BT281" i="4"/>
  <c r="BS281" i="4"/>
  <c r="BR281" i="4"/>
  <c r="BQ281" i="4"/>
  <c r="BP281" i="4"/>
  <c r="BO281" i="4"/>
  <c r="BN281" i="4"/>
  <c r="BM281" i="4"/>
  <c r="BL281" i="4"/>
  <c r="BK281" i="4"/>
  <c r="BJ281" i="4"/>
  <c r="BI281" i="4"/>
  <c r="BH281" i="4"/>
  <c r="BG281" i="4"/>
  <c r="BF281" i="4"/>
  <c r="BE281" i="4"/>
  <c r="BD281" i="4"/>
  <c r="BC281" i="4"/>
  <c r="BB281" i="4"/>
  <c r="BA281" i="4"/>
  <c r="AZ281" i="4"/>
  <c r="AY281" i="4"/>
  <c r="AX281" i="4"/>
  <c r="AW281" i="4"/>
  <c r="AV281" i="4"/>
  <c r="AU281" i="4"/>
  <c r="AT281" i="4"/>
  <c r="AS281" i="4"/>
  <c r="AR281" i="4"/>
  <c r="B281" i="4"/>
  <c r="BW280" i="4"/>
  <c r="BV280" i="4"/>
  <c r="BU280" i="4"/>
  <c r="BT280" i="4"/>
  <c r="BS280" i="4"/>
  <c r="BR280" i="4"/>
  <c r="BQ280" i="4"/>
  <c r="BP280" i="4"/>
  <c r="BO280" i="4"/>
  <c r="BN280" i="4"/>
  <c r="BM280" i="4"/>
  <c r="BL280" i="4"/>
  <c r="BK280" i="4"/>
  <c r="BJ280" i="4"/>
  <c r="BI280" i="4"/>
  <c r="BH280" i="4"/>
  <c r="BG280" i="4"/>
  <c r="BF280" i="4"/>
  <c r="BE280" i="4"/>
  <c r="BD280" i="4"/>
  <c r="BC280" i="4"/>
  <c r="BB280" i="4"/>
  <c r="BA280" i="4"/>
  <c r="AZ280" i="4"/>
  <c r="AY280" i="4"/>
  <c r="AX280" i="4"/>
  <c r="AW280" i="4"/>
  <c r="AV280" i="4"/>
  <c r="AU280" i="4"/>
  <c r="AT280" i="4"/>
  <c r="AS280" i="4"/>
  <c r="AR280" i="4"/>
  <c r="B280" i="4"/>
  <c r="BW279" i="4"/>
  <c r="BV279" i="4"/>
  <c r="BU279" i="4"/>
  <c r="BT279" i="4"/>
  <c r="BS279" i="4"/>
  <c r="BR279" i="4"/>
  <c r="BQ279" i="4"/>
  <c r="BP279" i="4"/>
  <c r="BO279" i="4"/>
  <c r="BN279" i="4"/>
  <c r="BM279" i="4"/>
  <c r="BL279" i="4"/>
  <c r="BK279" i="4"/>
  <c r="BJ279" i="4"/>
  <c r="BI279" i="4"/>
  <c r="BH279" i="4"/>
  <c r="BG279" i="4"/>
  <c r="BF279" i="4"/>
  <c r="BE279" i="4"/>
  <c r="BD279" i="4"/>
  <c r="BC279" i="4"/>
  <c r="BB279" i="4"/>
  <c r="BA279" i="4"/>
  <c r="AZ279" i="4"/>
  <c r="AY279" i="4"/>
  <c r="AX279" i="4"/>
  <c r="AW279" i="4"/>
  <c r="AV279" i="4"/>
  <c r="AU279" i="4"/>
  <c r="AT279" i="4"/>
  <c r="AS279" i="4"/>
  <c r="AR279" i="4"/>
  <c r="B279" i="4"/>
  <c r="BW278" i="4"/>
  <c r="BV278" i="4"/>
  <c r="BU278" i="4"/>
  <c r="BT278" i="4"/>
  <c r="BS278" i="4"/>
  <c r="BR278" i="4"/>
  <c r="BQ278" i="4"/>
  <c r="BP278" i="4"/>
  <c r="BO278" i="4"/>
  <c r="BN278" i="4"/>
  <c r="BM278" i="4"/>
  <c r="BL278" i="4"/>
  <c r="BK278" i="4"/>
  <c r="BJ278" i="4"/>
  <c r="BI278" i="4"/>
  <c r="BH278" i="4"/>
  <c r="BG278" i="4"/>
  <c r="BF278" i="4"/>
  <c r="BE278" i="4"/>
  <c r="BD278" i="4"/>
  <c r="BC278" i="4"/>
  <c r="BB278" i="4"/>
  <c r="BA278" i="4"/>
  <c r="AZ278" i="4"/>
  <c r="AY278" i="4"/>
  <c r="AX278" i="4"/>
  <c r="AW278" i="4"/>
  <c r="AV278" i="4"/>
  <c r="AU278" i="4"/>
  <c r="AT278" i="4"/>
  <c r="AS278" i="4"/>
  <c r="AR278" i="4"/>
  <c r="B278" i="4"/>
  <c r="BW277" i="4"/>
  <c r="BV277" i="4"/>
  <c r="BU277" i="4"/>
  <c r="BT277" i="4"/>
  <c r="BS277" i="4"/>
  <c r="BR277" i="4"/>
  <c r="BQ277" i="4"/>
  <c r="BP277" i="4"/>
  <c r="BO277" i="4"/>
  <c r="BN277" i="4"/>
  <c r="BM277" i="4"/>
  <c r="BL277" i="4"/>
  <c r="BK277" i="4"/>
  <c r="BJ277" i="4"/>
  <c r="BI277" i="4"/>
  <c r="BH277" i="4"/>
  <c r="BG277" i="4"/>
  <c r="BF277" i="4"/>
  <c r="BE277" i="4"/>
  <c r="BD277" i="4"/>
  <c r="BC277" i="4"/>
  <c r="BB277" i="4"/>
  <c r="BA277" i="4"/>
  <c r="AZ277" i="4"/>
  <c r="AY277" i="4"/>
  <c r="AX277" i="4"/>
  <c r="AW277" i="4"/>
  <c r="AV277" i="4"/>
  <c r="AU277" i="4"/>
  <c r="AT277" i="4"/>
  <c r="AS277" i="4"/>
  <c r="AR277" i="4"/>
  <c r="B277" i="4"/>
  <c r="BW276" i="4"/>
  <c r="BV276" i="4"/>
  <c r="BU276" i="4"/>
  <c r="BT276" i="4"/>
  <c r="BS276" i="4"/>
  <c r="BR276" i="4"/>
  <c r="BQ276" i="4"/>
  <c r="BP276" i="4"/>
  <c r="BO276" i="4"/>
  <c r="BN276" i="4"/>
  <c r="BM276" i="4"/>
  <c r="BL276" i="4"/>
  <c r="BK276" i="4"/>
  <c r="BJ276" i="4"/>
  <c r="BI276" i="4"/>
  <c r="BH276" i="4"/>
  <c r="BG276" i="4"/>
  <c r="BF276" i="4"/>
  <c r="BE276" i="4"/>
  <c r="BD276" i="4"/>
  <c r="BC276" i="4"/>
  <c r="BB276" i="4"/>
  <c r="BA276" i="4"/>
  <c r="AZ276" i="4"/>
  <c r="AY276" i="4"/>
  <c r="AX276" i="4"/>
  <c r="AW276" i="4"/>
  <c r="AV276" i="4"/>
  <c r="AU276" i="4"/>
  <c r="AT276" i="4"/>
  <c r="AS276" i="4"/>
  <c r="AR276" i="4"/>
  <c r="B276" i="4"/>
  <c r="BW307" i="4"/>
  <c r="BV307" i="4"/>
  <c r="BU307" i="4"/>
  <c r="BT307" i="4"/>
  <c r="BS307" i="4"/>
  <c r="BR307" i="4"/>
  <c r="BQ307" i="4"/>
  <c r="BP307" i="4"/>
  <c r="BO307" i="4"/>
  <c r="BN307" i="4"/>
  <c r="BM307" i="4"/>
  <c r="BL307" i="4"/>
  <c r="BK307" i="4"/>
  <c r="BJ307" i="4"/>
  <c r="BI307" i="4"/>
  <c r="BH307" i="4"/>
  <c r="BG307" i="4"/>
  <c r="BF307" i="4"/>
  <c r="BE307" i="4"/>
  <c r="BD307" i="4"/>
  <c r="BC307" i="4"/>
  <c r="BB307" i="4"/>
  <c r="BA307" i="4"/>
  <c r="AZ307" i="4"/>
  <c r="AY307" i="4"/>
  <c r="AX307" i="4"/>
  <c r="AW307" i="4"/>
  <c r="AV307" i="4"/>
  <c r="AU307" i="4"/>
  <c r="AT307" i="4"/>
  <c r="AS307" i="4"/>
  <c r="AR307" i="4"/>
  <c r="AN307" i="4"/>
  <c r="AO307" i="4" s="1"/>
  <c r="B307" i="4"/>
  <c r="BW306" i="4"/>
  <c r="BV306" i="4"/>
  <c r="BU306" i="4"/>
  <c r="BT306" i="4"/>
  <c r="BS306" i="4"/>
  <c r="BR306" i="4"/>
  <c r="BQ306" i="4"/>
  <c r="BP306" i="4"/>
  <c r="BO306" i="4"/>
  <c r="BN306" i="4"/>
  <c r="BM306" i="4"/>
  <c r="BL306" i="4"/>
  <c r="BK306" i="4"/>
  <c r="BJ306" i="4"/>
  <c r="BI306" i="4"/>
  <c r="BH306" i="4"/>
  <c r="BG306" i="4"/>
  <c r="BF306" i="4"/>
  <c r="BE306" i="4"/>
  <c r="BD306" i="4"/>
  <c r="BC306" i="4"/>
  <c r="BB306" i="4"/>
  <c r="BA306" i="4"/>
  <c r="AZ306" i="4"/>
  <c r="AY306" i="4"/>
  <c r="AX306" i="4"/>
  <c r="AW306" i="4"/>
  <c r="AV306" i="4"/>
  <c r="AU306" i="4"/>
  <c r="AT306" i="4"/>
  <c r="AS306" i="4"/>
  <c r="AR306" i="4"/>
  <c r="AN306" i="4"/>
  <c r="AO306" i="4" s="1"/>
  <c r="B306" i="4"/>
  <c r="BW305" i="4"/>
  <c r="BV305" i="4"/>
  <c r="BU305" i="4"/>
  <c r="BT305" i="4"/>
  <c r="BS305" i="4"/>
  <c r="BR305" i="4"/>
  <c r="BQ305" i="4"/>
  <c r="BP305" i="4"/>
  <c r="BO305" i="4"/>
  <c r="BN305" i="4"/>
  <c r="BM305" i="4"/>
  <c r="BL305" i="4"/>
  <c r="BK305" i="4"/>
  <c r="BJ305" i="4"/>
  <c r="BI305" i="4"/>
  <c r="BH305" i="4"/>
  <c r="BG305" i="4"/>
  <c r="BF305" i="4"/>
  <c r="BE305" i="4"/>
  <c r="BD305" i="4"/>
  <c r="BC305" i="4"/>
  <c r="BB305" i="4"/>
  <c r="BA305" i="4"/>
  <c r="AZ305" i="4"/>
  <c r="AY305" i="4"/>
  <c r="AX305" i="4"/>
  <c r="AW305" i="4"/>
  <c r="AV305" i="4"/>
  <c r="AU305" i="4"/>
  <c r="AT305" i="4"/>
  <c r="AS305" i="4"/>
  <c r="AR305" i="4"/>
  <c r="AN305" i="4"/>
  <c r="AO305" i="4" s="1"/>
  <c r="B305" i="4"/>
  <c r="BW304" i="4"/>
  <c r="BV304" i="4"/>
  <c r="BU304" i="4"/>
  <c r="BT304" i="4"/>
  <c r="BS304" i="4"/>
  <c r="BR304" i="4"/>
  <c r="BQ304" i="4"/>
  <c r="BP304" i="4"/>
  <c r="BO304" i="4"/>
  <c r="BN304" i="4"/>
  <c r="BM304" i="4"/>
  <c r="BL304" i="4"/>
  <c r="BK304" i="4"/>
  <c r="BJ304" i="4"/>
  <c r="BI304" i="4"/>
  <c r="BH304" i="4"/>
  <c r="BG304" i="4"/>
  <c r="BF304" i="4"/>
  <c r="BE304" i="4"/>
  <c r="BD304" i="4"/>
  <c r="BC304" i="4"/>
  <c r="BB304" i="4"/>
  <c r="BA304" i="4"/>
  <c r="AZ304" i="4"/>
  <c r="AY304" i="4"/>
  <c r="AX304" i="4"/>
  <c r="AW304" i="4"/>
  <c r="AV304" i="4"/>
  <c r="AU304" i="4"/>
  <c r="AT304" i="4"/>
  <c r="AS304" i="4"/>
  <c r="AR304" i="4"/>
  <c r="AN304" i="4"/>
  <c r="AO304" i="4" s="1"/>
  <c r="B304" i="4"/>
  <c r="BW303" i="4"/>
  <c r="BV303" i="4"/>
  <c r="BU303" i="4"/>
  <c r="BT303" i="4"/>
  <c r="BS303" i="4"/>
  <c r="BR303" i="4"/>
  <c r="BQ303" i="4"/>
  <c r="BP303" i="4"/>
  <c r="BO303" i="4"/>
  <c r="BN303" i="4"/>
  <c r="BM303" i="4"/>
  <c r="BL303" i="4"/>
  <c r="BK303" i="4"/>
  <c r="BJ303" i="4"/>
  <c r="BI303" i="4"/>
  <c r="BH303" i="4"/>
  <c r="BG303" i="4"/>
  <c r="BF303" i="4"/>
  <c r="BE303" i="4"/>
  <c r="BD303" i="4"/>
  <c r="BC303" i="4"/>
  <c r="BB303" i="4"/>
  <c r="BA303" i="4"/>
  <c r="AZ303" i="4"/>
  <c r="AY303" i="4"/>
  <c r="AX303" i="4"/>
  <c r="AW303" i="4"/>
  <c r="AV303" i="4"/>
  <c r="AU303" i="4"/>
  <c r="AT303" i="4"/>
  <c r="AS303" i="4"/>
  <c r="AR303" i="4"/>
  <c r="AN303" i="4"/>
  <c r="AO303" i="4" s="1"/>
  <c r="B303" i="4"/>
  <c r="BW302" i="4"/>
  <c r="BV302" i="4"/>
  <c r="BU302" i="4"/>
  <c r="BT302" i="4"/>
  <c r="BS302" i="4"/>
  <c r="BR302" i="4"/>
  <c r="BQ302" i="4"/>
  <c r="BP302" i="4"/>
  <c r="BO302" i="4"/>
  <c r="BN302" i="4"/>
  <c r="BM302" i="4"/>
  <c r="BL302" i="4"/>
  <c r="BK302" i="4"/>
  <c r="BJ302" i="4"/>
  <c r="BI302" i="4"/>
  <c r="BH302" i="4"/>
  <c r="BG302" i="4"/>
  <c r="BF302" i="4"/>
  <c r="BE302" i="4"/>
  <c r="BD302" i="4"/>
  <c r="BC302" i="4"/>
  <c r="BB302" i="4"/>
  <c r="BA302" i="4"/>
  <c r="AZ302" i="4"/>
  <c r="AY302" i="4"/>
  <c r="AX302" i="4"/>
  <c r="AW302" i="4"/>
  <c r="AV302" i="4"/>
  <c r="AU302" i="4"/>
  <c r="AT302" i="4"/>
  <c r="AS302" i="4"/>
  <c r="AR302" i="4"/>
  <c r="AN302" i="4"/>
  <c r="AO302" i="4" s="1"/>
  <c r="B302" i="4"/>
  <c r="BW301" i="4"/>
  <c r="BV301" i="4"/>
  <c r="BU301" i="4"/>
  <c r="BT301" i="4"/>
  <c r="BS301" i="4"/>
  <c r="BR301" i="4"/>
  <c r="BQ301" i="4"/>
  <c r="BP301" i="4"/>
  <c r="BO301" i="4"/>
  <c r="BN301" i="4"/>
  <c r="BM301" i="4"/>
  <c r="BL301" i="4"/>
  <c r="BK301" i="4"/>
  <c r="BJ301" i="4"/>
  <c r="BI301" i="4"/>
  <c r="BH301" i="4"/>
  <c r="BG301" i="4"/>
  <c r="BF301" i="4"/>
  <c r="BE301" i="4"/>
  <c r="BD301" i="4"/>
  <c r="BC301" i="4"/>
  <c r="BB301" i="4"/>
  <c r="BA301" i="4"/>
  <c r="AZ301" i="4"/>
  <c r="AY301" i="4"/>
  <c r="AX301" i="4"/>
  <c r="AW301" i="4"/>
  <c r="AV301" i="4"/>
  <c r="AU301" i="4"/>
  <c r="AT301" i="4"/>
  <c r="AS301" i="4"/>
  <c r="AR301" i="4"/>
  <c r="AN301" i="4"/>
  <c r="AO301" i="4" s="1"/>
  <c r="B301" i="4"/>
  <c r="BW300" i="4"/>
  <c r="BV300" i="4"/>
  <c r="BU300" i="4"/>
  <c r="BT300" i="4"/>
  <c r="BS300" i="4"/>
  <c r="BR300" i="4"/>
  <c r="BQ300" i="4"/>
  <c r="BP300" i="4"/>
  <c r="BO300" i="4"/>
  <c r="BN300" i="4"/>
  <c r="BM300" i="4"/>
  <c r="BL300" i="4"/>
  <c r="BK300" i="4"/>
  <c r="BJ300" i="4"/>
  <c r="BI300" i="4"/>
  <c r="BH300" i="4"/>
  <c r="BG300" i="4"/>
  <c r="BF300" i="4"/>
  <c r="BE300" i="4"/>
  <c r="BD300" i="4"/>
  <c r="BC300" i="4"/>
  <c r="BB300" i="4"/>
  <c r="BA300" i="4"/>
  <c r="AZ300" i="4"/>
  <c r="AY300" i="4"/>
  <c r="AX300" i="4"/>
  <c r="AW300" i="4"/>
  <c r="AV300" i="4"/>
  <c r="AU300" i="4"/>
  <c r="AT300" i="4"/>
  <c r="AS300" i="4"/>
  <c r="AR300" i="4"/>
  <c r="AN300" i="4"/>
  <c r="AO300" i="4" s="1"/>
  <c r="B300" i="4"/>
  <c r="BW299" i="4"/>
  <c r="BV299" i="4"/>
  <c r="BU299" i="4"/>
  <c r="BT299" i="4"/>
  <c r="BS299" i="4"/>
  <c r="BR299" i="4"/>
  <c r="BQ299" i="4"/>
  <c r="BP299" i="4"/>
  <c r="BO299" i="4"/>
  <c r="BN299" i="4"/>
  <c r="BM299" i="4"/>
  <c r="BL299" i="4"/>
  <c r="BK299" i="4"/>
  <c r="BJ299" i="4"/>
  <c r="BI299" i="4"/>
  <c r="BH299" i="4"/>
  <c r="BG299" i="4"/>
  <c r="BF299" i="4"/>
  <c r="BE299" i="4"/>
  <c r="BD299" i="4"/>
  <c r="BC299" i="4"/>
  <c r="BB299" i="4"/>
  <c r="BA299" i="4"/>
  <c r="AZ299" i="4"/>
  <c r="AY299" i="4"/>
  <c r="AX299" i="4"/>
  <c r="AW299" i="4"/>
  <c r="AV299" i="4"/>
  <c r="AU299" i="4"/>
  <c r="AT299" i="4"/>
  <c r="AS299" i="4"/>
  <c r="AR299" i="4"/>
  <c r="AN299" i="4"/>
  <c r="AO299" i="4" s="1"/>
  <c r="B299" i="4"/>
  <c r="BW298" i="4"/>
  <c r="BV298" i="4"/>
  <c r="BU298" i="4"/>
  <c r="BT298" i="4"/>
  <c r="BS298" i="4"/>
  <c r="BR298" i="4"/>
  <c r="BQ298" i="4"/>
  <c r="BP298" i="4"/>
  <c r="BO298" i="4"/>
  <c r="BN298" i="4"/>
  <c r="BM298" i="4"/>
  <c r="BL298" i="4"/>
  <c r="BK298" i="4"/>
  <c r="BJ298" i="4"/>
  <c r="BI298" i="4"/>
  <c r="BH298" i="4"/>
  <c r="BG298" i="4"/>
  <c r="BF298" i="4"/>
  <c r="BE298" i="4"/>
  <c r="BD298" i="4"/>
  <c r="BC298" i="4"/>
  <c r="BB298" i="4"/>
  <c r="BA298" i="4"/>
  <c r="AZ298" i="4"/>
  <c r="AY298" i="4"/>
  <c r="AX298" i="4"/>
  <c r="AW298" i="4"/>
  <c r="AV298" i="4"/>
  <c r="AU298" i="4"/>
  <c r="AT298" i="4"/>
  <c r="AS298" i="4"/>
  <c r="AR298" i="4"/>
  <c r="B298" i="4"/>
  <c r="BW297" i="4"/>
  <c r="BV297" i="4"/>
  <c r="BU297" i="4"/>
  <c r="BT297" i="4"/>
  <c r="BS297" i="4"/>
  <c r="BR297" i="4"/>
  <c r="BQ297" i="4"/>
  <c r="BP297" i="4"/>
  <c r="BO297" i="4"/>
  <c r="BN297" i="4"/>
  <c r="BM297" i="4"/>
  <c r="BL297" i="4"/>
  <c r="BK297" i="4"/>
  <c r="BJ297" i="4"/>
  <c r="BI297" i="4"/>
  <c r="BH297" i="4"/>
  <c r="BG297" i="4"/>
  <c r="BF297" i="4"/>
  <c r="BE297" i="4"/>
  <c r="BD297" i="4"/>
  <c r="BC297" i="4"/>
  <c r="BB297" i="4"/>
  <c r="BA297" i="4"/>
  <c r="AZ297" i="4"/>
  <c r="AY297" i="4"/>
  <c r="AX297" i="4"/>
  <c r="AW297" i="4"/>
  <c r="AV297" i="4"/>
  <c r="AU297" i="4"/>
  <c r="AT297" i="4"/>
  <c r="AS297" i="4"/>
  <c r="AR297" i="4"/>
  <c r="B297" i="4"/>
  <c r="BW296" i="4"/>
  <c r="BV296" i="4"/>
  <c r="BU296" i="4"/>
  <c r="BT296" i="4"/>
  <c r="BS296" i="4"/>
  <c r="BR296" i="4"/>
  <c r="BQ296" i="4"/>
  <c r="BP296" i="4"/>
  <c r="BO296" i="4"/>
  <c r="BN296" i="4"/>
  <c r="BM296" i="4"/>
  <c r="BL296" i="4"/>
  <c r="BK296" i="4"/>
  <c r="BJ296" i="4"/>
  <c r="BI296" i="4"/>
  <c r="BH296" i="4"/>
  <c r="BG296" i="4"/>
  <c r="BF296" i="4"/>
  <c r="BE296" i="4"/>
  <c r="BD296" i="4"/>
  <c r="BC296" i="4"/>
  <c r="BB296" i="4"/>
  <c r="BA296" i="4"/>
  <c r="AZ296" i="4"/>
  <c r="AY296" i="4"/>
  <c r="AX296" i="4"/>
  <c r="AW296" i="4"/>
  <c r="AV296" i="4"/>
  <c r="AU296" i="4"/>
  <c r="AT296" i="4"/>
  <c r="AS296" i="4"/>
  <c r="AR296" i="4"/>
  <c r="B296" i="4"/>
  <c r="BW295" i="4"/>
  <c r="BV295" i="4"/>
  <c r="BU295" i="4"/>
  <c r="BT295" i="4"/>
  <c r="BS295" i="4"/>
  <c r="BR295" i="4"/>
  <c r="BQ295" i="4"/>
  <c r="BP295" i="4"/>
  <c r="BO295" i="4"/>
  <c r="BN295" i="4"/>
  <c r="BM295" i="4"/>
  <c r="BL295" i="4"/>
  <c r="BK295" i="4"/>
  <c r="BJ295" i="4"/>
  <c r="BI295" i="4"/>
  <c r="BH295" i="4"/>
  <c r="BG295" i="4"/>
  <c r="BF295" i="4"/>
  <c r="BE295" i="4"/>
  <c r="BD295" i="4"/>
  <c r="BC295" i="4"/>
  <c r="BB295" i="4"/>
  <c r="BA295" i="4"/>
  <c r="AZ295" i="4"/>
  <c r="AY295" i="4"/>
  <c r="AX295" i="4"/>
  <c r="AW295" i="4"/>
  <c r="AV295" i="4"/>
  <c r="AU295" i="4"/>
  <c r="AT295" i="4"/>
  <c r="AS295" i="4"/>
  <c r="AR295" i="4"/>
  <c r="B295" i="4"/>
  <c r="BW294" i="4"/>
  <c r="BV294" i="4"/>
  <c r="BU294" i="4"/>
  <c r="BT294" i="4"/>
  <c r="BS294" i="4"/>
  <c r="BR294" i="4"/>
  <c r="BQ294" i="4"/>
  <c r="BP294" i="4"/>
  <c r="BO294" i="4"/>
  <c r="BN294" i="4"/>
  <c r="BM294" i="4"/>
  <c r="BL294" i="4"/>
  <c r="BK294" i="4"/>
  <c r="BJ294" i="4"/>
  <c r="BI294" i="4"/>
  <c r="BH294" i="4"/>
  <c r="BG294" i="4"/>
  <c r="BF294" i="4"/>
  <c r="BE294" i="4"/>
  <c r="BD294" i="4"/>
  <c r="BC294" i="4"/>
  <c r="BB294" i="4"/>
  <c r="BA294" i="4"/>
  <c r="AZ294" i="4"/>
  <c r="AY294" i="4"/>
  <c r="AX294" i="4"/>
  <c r="AW294" i="4"/>
  <c r="AV294" i="4"/>
  <c r="AU294" i="4"/>
  <c r="AT294" i="4"/>
  <c r="AS294" i="4"/>
  <c r="AR294" i="4"/>
  <c r="B294" i="4"/>
  <c r="BW293" i="4"/>
  <c r="BV293" i="4"/>
  <c r="BU293" i="4"/>
  <c r="BT293" i="4"/>
  <c r="BS293" i="4"/>
  <c r="BR293" i="4"/>
  <c r="BQ293" i="4"/>
  <c r="BP293" i="4"/>
  <c r="BO293" i="4"/>
  <c r="BN293" i="4"/>
  <c r="BM293" i="4"/>
  <c r="BL293" i="4"/>
  <c r="BK293" i="4"/>
  <c r="BJ293" i="4"/>
  <c r="BI293" i="4"/>
  <c r="BH293" i="4"/>
  <c r="BG293" i="4"/>
  <c r="BF293" i="4"/>
  <c r="BE293" i="4"/>
  <c r="BD293" i="4"/>
  <c r="BC293" i="4"/>
  <c r="BB293" i="4"/>
  <c r="BA293" i="4"/>
  <c r="AZ293" i="4"/>
  <c r="AY293" i="4"/>
  <c r="AX293" i="4"/>
  <c r="AW293" i="4"/>
  <c r="AV293" i="4"/>
  <c r="AU293" i="4"/>
  <c r="AT293" i="4"/>
  <c r="AS293" i="4"/>
  <c r="AR293" i="4"/>
  <c r="B293" i="4"/>
  <c r="BW292" i="4"/>
  <c r="BV292" i="4"/>
  <c r="BU292" i="4"/>
  <c r="BT292" i="4"/>
  <c r="BS292" i="4"/>
  <c r="BR292" i="4"/>
  <c r="BQ292" i="4"/>
  <c r="BP292" i="4"/>
  <c r="BO292" i="4"/>
  <c r="BN292" i="4"/>
  <c r="BM292" i="4"/>
  <c r="BL292" i="4"/>
  <c r="BK292" i="4"/>
  <c r="BJ292" i="4"/>
  <c r="BI292" i="4"/>
  <c r="BH292" i="4"/>
  <c r="BG292" i="4"/>
  <c r="BF292" i="4"/>
  <c r="BE292" i="4"/>
  <c r="BD292" i="4"/>
  <c r="BC292" i="4"/>
  <c r="BB292" i="4"/>
  <c r="BA292" i="4"/>
  <c r="AZ292" i="4"/>
  <c r="AY292" i="4"/>
  <c r="AX292" i="4"/>
  <c r="AW292" i="4"/>
  <c r="AV292" i="4"/>
  <c r="AU292" i="4"/>
  <c r="AT292" i="4"/>
  <c r="AS292" i="4"/>
  <c r="AR292" i="4"/>
  <c r="B292" i="4"/>
  <c r="BW323" i="4"/>
  <c r="BV323" i="4"/>
  <c r="BU323" i="4"/>
  <c r="BT323" i="4"/>
  <c r="BS323" i="4"/>
  <c r="BR323" i="4"/>
  <c r="BQ323" i="4"/>
  <c r="BP323" i="4"/>
  <c r="BO323" i="4"/>
  <c r="BN323" i="4"/>
  <c r="BM323" i="4"/>
  <c r="BL323" i="4"/>
  <c r="BK323" i="4"/>
  <c r="BJ323" i="4"/>
  <c r="BI323" i="4"/>
  <c r="BH323" i="4"/>
  <c r="BG323" i="4"/>
  <c r="BF323" i="4"/>
  <c r="BE323" i="4"/>
  <c r="BD323" i="4"/>
  <c r="BC323" i="4"/>
  <c r="BB323" i="4"/>
  <c r="BA323" i="4"/>
  <c r="AZ323" i="4"/>
  <c r="AY323" i="4"/>
  <c r="AX323" i="4"/>
  <c r="AW323" i="4"/>
  <c r="AV323" i="4"/>
  <c r="AU323" i="4"/>
  <c r="AT323" i="4"/>
  <c r="AS323" i="4"/>
  <c r="AR323" i="4"/>
  <c r="AN323" i="4"/>
  <c r="AO323" i="4" s="1"/>
  <c r="B323" i="4"/>
  <c r="BW322" i="4"/>
  <c r="BV322" i="4"/>
  <c r="BU322" i="4"/>
  <c r="BT322" i="4"/>
  <c r="BS322" i="4"/>
  <c r="BR322" i="4"/>
  <c r="BQ322" i="4"/>
  <c r="BP322" i="4"/>
  <c r="BO322" i="4"/>
  <c r="BN322" i="4"/>
  <c r="BM322" i="4"/>
  <c r="BL322" i="4"/>
  <c r="BK322" i="4"/>
  <c r="BJ322" i="4"/>
  <c r="BI322" i="4"/>
  <c r="BH322" i="4"/>
  <c r="BG322" i="4"/>
  <c r="BF322" i="4"/>
  <c r="BE322" i="4"/>
  <c r="BD322" i="4"/>
  <c r="BC322" i="4"/>
  <c r="BB322" i="4"/>
  <c r="BA322" i="4"/>
  <c r="AZ322" i="4"/>
  <c r="AY322" i="4"/>
  <c r="AX322" i="4"/>
  <c r="AW322" i="4"/>
  <c r="AV322" i="4"/>
  <c r="AU322" i="4"/>
  <c r="AT322" i="4"/>
  <c r="AS322" i="4"/>
  <c r="AR322" i="4"/>
  <c r="AN322" i="4"/>
  <c r="AO322" i="4" s="1"/>
  <c r="B322" i="4"/>
  <c r="BW321" i="4"/>
  <c r="BV321" i="4"/>
  <c r="BU321" i="4"/>
  <c r="BT321" i="4"/>
  <c r="BS321" i="4"/>
  <c r="BR321" i="4"/>
  <c r="BQ321" i="4"/>
  <c r="BP321" i="4"/>
  <c r="BO321" i="4"/>
  <c r="BN321" i="4"/>
  <c r="BM321" i="4"/>
  <c r="BL321" i="4"/>
  <c r="BK321" i="4"/>
  <c r="BJ321" i="4"/>
  <c r="BI321" i="4"/>
  <c r="BH321" i="4"/>
  <c r="BG321" i="4"/>
  <c r="BF321" i="4"/>
  <c r="BE321" i="4"/>
  <c r="BD321" i="4"/>
  <c r="BC321" i="4"/>
  <c r="BB321" i="4"/>
  <c r="BA321" i="4"/>
  <c r="AZ321" i="4"/>
  <c r="AY321" i="4"/>
  <c r="AX321" i="4"/>
  <c r="AW321" i="4"/>
  <c r="AV321" i="4"/>
  <c r="AU321" i="4"/>
  <c r="AT321" i="4"/>
  <c r="AS321" i="4"/>
  <c r="AR321" i="4"/>
  <c r="AN321" i="4"/>
  <c r="AO321" i="4" s="1"/>
  <c r="B321" i="4"/>
  <c r="BW320" i="4"/>
  <c r="BV320" i="4"/>
  <c r="BU320" i="4"/>
  <c r="BT320" i="4"/>
  <c r="BS320" i="4"/>
  <c r="BR320" i="4"/>
  <c r="BQ320" i="4"/>
  <c r="BP320" i="4"/>
  <c r="BO320" i="4"/>
  <c r="BN320" i="4"/>
  <c r="BM320" i="4"/>
  <c r="BL320" i="4"/>
  <c r="BK320" i="4"/>
  <c r="BJ320" i="4"/>
  <c r="BI320" i="4"/>
  <c r="BH320" i="4"/>
  <c r="BG320" i="4"/>
  <c r="BF320" i="4"/>
  <c r="BE320" i="4"/>
  <c r="BD320" i="4"/>
  <c r="BC320" i="4"/>
  <c r="BB320" i="4"/>
  <c r="BA320" i="4"/>
  <c r="AZ320" i="4"/>
  <c r="AY320" i="4"/>
  <c r="AX320" i="4"/>
  <c r="AW320" i="4"/>
  <c r="AV320" i="4"/>
  <c r="AU320" i="4"/>
  <c r="AT320" i="4"/>
  <c r="AS320" i="4"/>
  <c r="AR320" i="4"/>
  <c r="AN320" i="4"/>
  <c r="AO320" i="4" s="1"/>
  <c r="B320" i="4"/>
  <c r="BW319" i="4"/>
  <c r="BV319" i="4"/>
  <c r="BU319" i="4"/>
  <c r="BT319" i="4"/>
  <c r="BS319" i="4"/>
  <c r="BR319" i="4"/>
  <c r="BQ319" i="4"/>
  <c r="BP319" i="4"/>
  <c r="BO319" i="4"/>
  <c r="BN319" i="4"/>
  <c r="BM319" i="4"/>
  <c r="BL319" i="4"/>
  <c r="BK319" i="4"/>
  <c r="BJ319" i="4"/>
  <c r="BI319" i="4"/>
  <c r="BH319" i="4"/>
  <c r="BG319" i="4"/>
  <c r="BF319" i="4"/>
  <c r="BE319" i="4"/>
  <c r="BD319" i="4"/>
  <c r="BC319" i="4"/>
  <c r="BB319" i="4"/>
  <c r="BA319" i="4"/>
  <c r="AZ319" i="4"/>
  <c r="AY319" i="4"/>
  <c r="AX319" i="4"/>
  <c r="AW319" i="4"/>
  <c r="AV319" i="4"/>
  <c r="AU319" i="4"/>
  <c r="AT319" i="4"/>
  <c r="AS319" i="4"/>
  <c r="AR319" i="4"/>
  <c r="AN319" i="4"/>
  <c r="AO319" i="4" s="1"/>
  <c r="B319" i="4"/>
  <c r="BW318" i="4"/>
  <c r="BV318" i="4"/>
  <c r="BU318" i="4"/>
  <c r="BT318" i="4"/>
  <c r="BS318" i="4"/>
  <c r="BR318" i="4"/>
  <c r="BQ318" i="4"/>
  <c r="BP318" i="4"/>
  <c r="BO318" i="4"/>
  <c r="BN318" i="4"/>
  <c r="BM318" i="4"/>
  <c r="BL318" i="4"/>
  <c r="BK318" i="4"/>
  <c r="BJ318" i="4"/>
  <c r="BI318" i="4"/>
  <c r="BH318" i="4"/>
  <c r="BG318" i="4"/>
  <c r="BF318" i="4"/>
  <c r="BE318" i="4"/>
  <c r="BD318" i="4"/>
  <c r="BC318" i="4"/>
  <c r="BB318" i="4"/>
  <c r="BA318" i="4"/>
  <c r="AZ318" i="4"/>
  <c r="AY318" i="4"/>
  <c r="AX318" i="4"/>
  <c r="AW318" i="4"/>
  <c r="AV318" i="4"/>
  <c r="AU318" i="4"/>
  <c r="AT318" i="4"/>
  <c r="AS318" i="4"/>
  <c r="AR318" i="4"/>
  <c r="AN318" i="4"/>
  <c r="AO318" i="4" s="1"/>
  <c r="B318" i="4"/>
  <c r="BW317" i="4"/>
  <c r="BV317" i="4"/>
  <c r="BU317" i="4"/>
  <c r="BT317" i="4"/>
  <c r="BS317" i="4"/>
  <c r="BR317" i="4"/>
  <c r="BQ317" i="4"/>
  <c r="BP317" i="4"/>
  <c r="BO317" i="4"/>
  <c r="BN317" i="4"/>
  <c r="BM317" i="4"/>
  <c r="BL317" i="4"/>
  <c r="BK317" i="4"/>
  <c r="BJ317" i="4"/>
  <c r="BI317" i="4"/>
  <c r="BH317" i="4"/>
  <c r="BG317" i="4"/>
  <c r="BF317" i="4"/>
  <c r="BE317" i="4"/>
  <c r="BD317" i="4"/>
  <c r="BC317" i="4"/>
  <c r="BB317" i="4"/>
  <c r="BA317" i="4"/>
  <c r="AZ317" i="4"/>
  <c r="AY317" i="4"/>
  <c r="AX317" i="4"/>
  <c r="AW317" i="4"/>
  <c r="AV317" i="4"/>
  <c r="AU317" i="4"/>
  <c r="AT317" i="4"/>
  <c r="AS317" i="4"/>
  <c r="AR317" i="4"/>
  <c r="AN317" i="4"/>
  <c r="AO317" i="4" s="1"/>
  <c r="B317" i="4"/>
  <c r="BW316" i="4"/>
  <c r="BV316" i="4"/>
  <c r="BU316" i="4"/>
  <c r="BT316" i="4"/>
  <c r="BS316" i="4"/>
  <c r="BR316" i="4"/>
  <c r="BQ316" i="4"/>
  <c r="BP316" i="4"/>
  <c r="BO316" i="4"/>
  <c r="BN316" i="4"/>
  <c r="BM316" i="4"/>
  <c r="BL316" i="4"/>
  <c r="BK316" i="4"/>
  <c r="BJ316" i="4"/>
  <c r="BI316" i="4"/>
  <c r="BH316" i="4"/>
  <c r="BG316" i="4"/>
  <c r="BF316" i="4"/>
  <c r="BE316" i="4"/>
  <c r="BD316" i="4"/>
  <c r="BC316" i="4"/>
  <c r="BB316" i="4"/>
  <c r="BA316" i="4"/>
  <c r="AZ316" i="4"/>
  <c r="AY316" i="4"/>
  <c r="AX316" i="4"/>
  <c r="AW316" i="4"/>
  <c r="AV316" i="4"/>
  <c r="AU316" i="4"/>
  <c r="AT316" i="4"/>
  <c r="AS316" i="4"/>
  <c r="AR316" i="4"/>
  <c r="AN316" i="4"/>
  <c r="AO316" i="4" s="1"/>
  <c r="B316" i="4"/>
  <c r="BW315" i="4"/>
  <c r="BV315" i="4"/>
  <c r="BU315" i="4"/>
  <c r="BT315" i="4"/>
  <c r="BS315" i="4"/>
  <c r="BR315" i="4"/>
  <c r="BQ315" i="4"/>
  <c r="BP315" i="4"/>
  <c r="BO315" i="4"/>
  <c r="BN315" i="4"/>
  <c r="BM315" i="4"/>
  <c r="BL315" i="4"/>
  <c r="BK315" i="4"/>
  <c r="BJ315" i="4"/>
  <c r="BI315" i="4"/>
  <c r="BH315" i="4"/>
  <c r="BG315" i="4"/>
  <c r="BF315" i="4"/>
  <c r="BE315" i="4"/>
  <c r="BD315" i="4"/>
  <c r="BC315" i="4"/>
  <c r="BB315" i="4"/>
  <c r="BA315" i="4"/>
  <c r="AZ315" i="4"/>
  <c r="AY315" i="4"/>
  <c r="AX315" i="4"/>
  <c r="AW315" i="4"/>
  <c r="AV315" i="4"/>
  <c r="AU315" i="4"/>
  <c r="AT315" i="4"/>
  <c r="AS315" i="4"/>
  <c r="AR315" i="4"/>
  <c r="AN315" i="4"/>
  <c r="AO315" i="4" s="1"/>
  <c r="B315" i="4"/>
  <c r="BW314" i="4"/>
  <c r="BV314" i="4"/>
  <c r="BU314" i="4"/>
  <c r="BT314" i="4"/>
  <c r="BS314" i="4"/>
  <c r="BR314" i="4"/>
  <c r="BQ314" i="4"/>
  <c r="BP314" i="4"/>
  <c r="BO314" i="4"/>
  <c r="BN314" i="4"/>
  <c r="BM314" i="4"/>
  <c r="BL314" i="4"/>
  <c r="BK314" i="4"/>
  <c r="BJ314" i="4"/>
  <c r="BI314" i="4"/>
  <c r="BH314" i="4"/>
  <c r="BG314" i="4"/>
  <c r="BF314" i="4"/>
  <c r="BE314" i="4"/>
  <c r="BD314" i="4"/>
  <c r="BC314" i="4"/>
  <c r="BB314" i="4"/>
  <c r="BA314" i="4"/>
  <c r="AZ314" i="4"/>
  <c r="AY314" i="4"/>
  <c r="AX314" i="4"/>
  <c r="AW314" i="4"/>
  <c r="AV314" i="4"/>
  <c r="AU314" i="4"/>
  <c r="AT314" i="4"/>
  <c r="AS314" i="4"/>
  <c r="AR314" i="4"/>
  <c r="AN314" i="4"/>
  <c r="AO314" i="4" s="1"/>
  <c r="B314" i="4"/>
  <c r="BW313" i="4"/>
  <c r="BV313" i="4"/>
  <c r="BU313" i="4"/>
  <c r="BT313" i="4"/>
  <c r="BS313" i="4"/>
  <c r="BR313" i="4"/>
  <c r="BQ313" i="4"/>
  <c r="BP313" i="4"/>
  <c r="BO313" i="4"/>
  <c r="BN313" i="4"/>
  <c r="BM313" i="4"/>
  <c r="BL313" i="4"/>
  <c r="BK313" i="4"/>
  <c r="BJ313" i="4"/>
  <c r="BI313" i="4"/>
  <c r="BH313" i="4"/>
  <c r="BG313" i="4"/>
  <c r="BF313" i="4"/>
  <c r="BE313" i="4"/>
  <c r="BD313" i="4"/>
  <c r="BC313" i="4"/>
  <c r="BB313" i="4"/>
  <c r="BA313" i="4"/>
  <c r="AZ313" i="4"/>
  <c r="AY313" i="4"/>
  <c r="AX313" i="4"/>
  <c r="AW313" i="4"/>
  <c r="AV313" i="4"/>
  <c r="AU313" i="4"/>
  <c r="AT313" i="4"/>
  <c r="AS313" i="4"/>
  <c r="AR313" i="4"/>
  <c r="B313" i="4"/>
  <c r="BW312" i="4"/>
  <c r="BV312" i="4"/>
  <c r="BU312" i="4"/>
  <c r="BT312" i="4"/>
  <c r="BS312" i="4"/>
  <c r="BR312" i="4"/>
  <c r="BQ312" i="4"/>
  <c r="BP312" i="4"/>
  <c r="BO312" i="4"/>
  <c r="BN312" i="4"/>
  <c r="BM312" i="4"/>
  <c r="BL312" i="4"/>
  <c r="BK312" i="4"/>
  <c r="BJ312" i="4"/>
  <c r="BI312" i="4"/>
  <c r="BH312" i="4"/>
  <c r="BG312" i="4"/>
  <c r="BF312" i="4"/>
  <c r="BE312" i="4"/>
  <c r="BD312" i="4"/>
  <c r="BC312" i="4"/>
  <c r="BB312" i="4"/>
  <c r="BA312" i="4"/>
  <c r="AZ312" i="4"/>
  <c r="AY312" i="4"/>
  <c r="AX312" i="4"/>
  <c r="AW312" i="4"/>
  <c r="AV312" i="4"/>
  <c r="AU312" i="4"/>
  <c r="AT312" i="4"/>
  <c r="AS312" i="4"/>
  <c r="AR312" i="4"/>
  <c r="AN312" i="4"/>
  <c r="AO312" i="4" s="1"/>
  <c r="B312" i="4"/>
  <c r="BW311" i="4"/>
  <c r="BV311" i="4"/>
  <c r="BU311" i="4"/>
  <c r="BT311" i="4"/>
  <c r="BS311" i="4"/>
  <c r="BR311" i="4"/>
  <c r="BQ311" i="4"/>
  <c r="BP311" i="4"/>
  <c r="BO311" i="4"/>
  <c r="BN311" i="4"/>
  <c r="BM311" i="4"/>
  <c r="BL311" i="4"/>
  <c r="BK311" i="4"/>
  <c r="BJ311" i="4"/>
  <c r="BI311" i="4"/>
  <c r="BH311" i="4"/>
  <c r="BG311" i="4"/>
  <c r="BF311" i="4"/>
  <c r="BE311" i="4"/>
  <c r="BD311" i="4"/>
  <c r="BC311" i="4"/>
  <c r="BB311" i="4"/>
  <c r="BA311" i="4"/>
  <c r="AZ311" i="4"/>
  <c r="AY311" i="4"/>
  <c r="AX311" i="4"/>
  <c r="AW311" i="4"/>
  <c r="AV311" i="4"/>
  <c r="AU311" i="4"/>
  <c r="AT311" i="4"/>
  <c r="AS311" i="4"/>
  <c r="AR311" i="4"/>
  <c r="AN311" i="4"/>
  <c r="AO311" i="4" s="1"/>
  <c r="B311" i="4"/>
  <c r="BW310" i="4"/>
  <c r="BV310" i="4"/>
  <c r="BU310" i="4"/>
  <c r="BT310" i="4"/>
  <c r="BS310" i="4"/>
  <c r="BR310" i="4"/>
  <c r="BQ310" i="4"/>
  <c r="BP310" i="4"/>
  <c r="BO310" i="4"/>
  <c r="BN310" i="4"/>
  <c r="BM310" i="4"/>
  <c r="BL310" i="4"/>
  <c r="BK310" i="4"/>
  <c r="BJ310" i="4"/>
  <c r="BI310" i="4"/>
  <c r="BH310" i="4"/>
  <c r="BG310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N310" i="4"/>
  <c r="AO310" i="4" s="1"/>
  <c r="B310" i="4"/>
  <c r="BW309" i="4"/>
  <c r="BV309" i="4"/>
  <c r="BU309" i="4"/>
  <c r="BT309" i="4"/>
  <c r="BS309" i="4"/>
  <c r="BR309" i="4"/>
  <c r="BQ309" i="4"/>
  <c r="BP309" i="4"/>
  <c r="BO309" i="4"/>
  <c r="BN309" i="4"/>
  <c r="BM309" i="4"/>
  <c r="BL309" i="4"/>
  <c r="BK309" i="4"/>
  <c r="BJ309" i="4"/>
  <c r="BI309" i="4"/>
  <c r="BH309" i="4"/>
  <c r="BG309" i="4"/>
  <c r="BF309" i="4"/>
  <c r="BE309" i="4"/>
  <c r="BD309" i="4"/>
  <c r="BC309" i="4"/>
  <c r="BB309" i="4"/>
  <c r="BA309" i="4"/>
  <c r="AZ309" i="4"/>
  <c r="AY309" i="4"/>
  <c r="AX309" i="4"/>
  <c r="AW309" i="4"/>
  <c r="AV309" i="4"/>
  <c r="AU309" i="4"/>
  <c r="AT309" i="4"/>
  <c r="AS309" i="4"/>
  <c r="AR309" i="4"/>
  <c r="AN309" i="4"/>
  <c r="AO309" i="4" s="1"/>
  <c r="B309" i="4"/>
  <c r="BW308" i="4"/>
  <c r="BV308" i="4"/>
  <c r="BU308" i="4"/>
  <c r="BT308" i="4"/>
  <c r="BS308" i="4"/>
  <c r="BR308" i="4"/>
  <c r="BQ308" i="4"/>
  <c r="BP308" i="4"/>
  <c r="BO308" i="4"/>
  <c r="BN308" i="4"/>
  <c r="BM308" i="4"/>
  <c r="BL308" i="4"/>
  <c r="BK308" i="4"/>
  <c r="BJ308" i="4"/>
  <c r="BI308" i="4"/>
  <c r="BH308" i="4"/>
  <c r="BG308" i="4"/>
  <c r="BF308" i="4"/>
  <c r="BE308" i="4"/>
  <c r="BD308" i="4"/>
  <c r="BC308" i="4"/>
  <c r="BB308" i="4"/>
  <c r="BA308" i="4"/>
  <c r="AZ308" i="4"/>
  <c r="AY308" i="4"/>
  <c r="AX308" i="4"/>
  <c r="AW308" i="4"/>
  <c r="AV308" i="4"/>
  <c r="AU308" i="4"/>
  <c r="AT308" i="4"/>
  <c r="AS308" i="4"/>
  <c r="AR308" i="4"/>
  <c r="AN308" i="4"/>
  <c r="AO308" i="4" s="1"/>
  <c r="B308" i="4"/>
  <c r="BW339" i="4"/>
  <c r="BV339" i="4"/>
  <c r="BU339" i="4"/>
  <c r="BT339" i="4"/>
  <c r="BS339" i="4"/>
  <c r="BR339" i="4"/>
  <c r="BQ339" i="4"/>
  <c r="BP339" i="4"/>
  <c r="BO339" i="4"/>
  <c r="BN339" i="4"/>
  <c r="BM339" i="4"/>
  <c r="BL339" i="4"/>
  <c r="BK339" i="4"/>
  <c r="BJ339" i="4"/>
  <c r="BI339" i="4"/>
  <c r="BH339" i="4"/>
  <c r="BG339" i="4"/>
  <c r="BF339" i="4"/>
  <c r="BE339" i="4"/>
  <c r="BD339" i="4"/>
  <c r="BC339" i="4"/>
  <c r="BB339" i="4"/>
  <c r="BA339" i="4"/>
  <c r="AZ339" i="4"/>
  <c r="AY339" i="4"/>
  <c r="AX339" i="4"/>
  <c r="AW339" i="4"/>
  <c r="AV339" i="4"/>
  <c r="AU339" i="4"/>
  <c r="AT339" i="4"/>
  <c r="AS339" i="4"/>
  <c r="AR339" i="4"/>
  <c r="B339" i="4"/>
  <c r="BW338" i="4"/>
  <c r="BV338" i="4"/>
  <c r="BU338" i="4"/>
  <c r="BT338" i="4"/>
  <c r="BS338" i="4"/>
  <c r="BR338" i="4"/>
  <c r="BQ338" i="4"/>
  <c r="BP338" i="4"/>
  <c r="BO338" i="4"/>
  <c r="BN338" i="4"/>
  <c r="BM338" i="4"/>
  <c r="BL338" i="4"/>
  <c r="BK338" i="4"/>
  <c r="BJ338" i="4"/>
  <c r="BI338" i="4"/>
  <c r="BH338" i="4"/>
  <c r="BG338" i="4"/>
  <c r="BF338" i="4"/>
  <c r="BE338" i="4"/>
  <c r="BD338" i="4"/>
  <c r="BC338" i="4"/>
  <c r="BB338" i="4"/>
  <c r="BA338" i="4"/>
  <c r="AZ338" i="4"/>
  <c r="AY338" i="4"/>
  <c r="AX338" i="4"/>
  <c r="AW338" i="4"/>
  <c r="AV338" i="4"/>
  <c r="AU338" i="4"/>
  <c r="AT338" i="4"/>
  <c r="AS338" i="4"/>
  <c r="AR338" i="4"/>
  <c r="AN338" i="4"/>
  <c r="AO338" i="4" s="1"/>
  <c r="B338" i="4"/>
  <c r="BW337" i="4"/>
  <c r="BV337" i="4"/>
  <c r="BU337" i="4"/>
  <c r="BT337" i="4"/>
  <c r="BS337" i="4"/>
  <c r="BR337" i="4"/>
  <c r="BQ337" i="4"/>
  <c r="BP337" i="4"/>
  <c r="BO337" i="4"/>
  <c r="BN337" i="4"/>
  <c r="BM337" i="4"/>
  <c r="BL337" i="4"/>
  <c r="BK337" i="4"/>
  <c r="BJ337" i="4"/>
  <c r="BI337" i="4"/>
  <c r="BH337" i="4"/>
  <c r="BG337" i="4"/>
  <c r="BF337" i="4"/>
  <c r="BE337" i="4"/>
  <c r="BD337" i="4"/>
  <c r="BC337" i="4"/>
  <c r="BB337" i="4"/>
  <c r="BA337" i="4"/>
  <c r="AZ337" i="4"/>
  <c r="AY337" i="4"/>
  <c r="AX337" i="4"/>
  <c r="AW337" i="4"/>
  <c r="AV337" i="4"/>
  <c r="AU337" i="4"/>
  <c r="AT337" i="4"/>
  <c r="AS337" i="4"/>
  <c r="AR337" i="4"/>
  <c r="AN337" i="4"/>
  <c r="AO337" i="4" s="1"/>
  <c r="B337" i="4"/>
  <c r="BW336" i="4"/>
  <c r="BV336" i="4"/>
  <c r="BU336" i="4"/>
  <c r="BT336" i="4"/>
  <c r="BS336" i="4"/>
  <c r="BR336" i="4"/>
  <c r="BQ336" i="4"/>
  <c r="BP336" i="4"/>
  <c r="BO336" i="4"/>
  <c r="BN336" i="4"/>
  <c r="BM336" i="4"/>
  <c r="BL336" i="4"/>
  <c r="BK336" i="4"/>
  <c r="BJ336" i="4"/>
  <c r="BI336" i="4"/>
  <c r="BH336" i="4"/>
  <c r="BG336" i="4"/>
  <c r="BF336" i="4"/>
  <c r="BE336" i="4"/>
  <c r="BD336" i="4"/>
  <c r="BC336" i="4"/>
  <c r="BB336" i="4"/>
  <c r="BA336" i="4"/>
  <c r="AZ336" i="4"/>
  <c r="AY336" i="4"/>
  <c r="AX336" i="4"/>
  <c r="AW336" i="4"/>
  <c r="AV336" i="4"/>
  <c r="AU336" i="4"/>
  <c r="AT336" i="4"/>
  <c r="AS336" i="4"/>
  <c r="AR336" i="4"/>
  <c r="AN336" i="4"/>
  <c r="AO336" i="4" s="1"/>
  <c r="B336" i="4"/>
  <c r="BW335" i="4"/>
  <c r="BV335" i="4"/>
  <c r="BU335" i="4"/>
  <c r="BT335" i="4"/>
  <c r="BS335" i="4"/>
  <c r="BR335" i="4"/>
  <c r="BQ335" i="4"/>
  <c r="BP335" i="4"/>
  <c r="BO335" i="4"/>
  <c r="BN335" i="4"/>
  <c r="BM335" i="4"/>
  <c r="BL335" i="4"/>
  <c r="BK335" i="4"/>
  <c r="BJ335" i="4"/>
  <c r="BI335" i="4"/>
  <c r="BH335" i="4"/>
  <c r="BG335" i="4"/>
  <c r="BF335" i="4"/>
  <c r="BE335" i="4"/>
  <c r="BD335" i="4"/>
  <c r="BC335" i="4"/>
  <c r="BB335" i="4"/>
  <c r="BA335" i="4"/>
  <c r="AZ335" i="4"/>
  <c r="AY335" i="4"/>
  <c r="AX335" i="4"/>
  <c r="AW335" i="4"/>
  <c r="AV335" i="4"/>
  <c r="AU335" i="4"/>
  <c r="AT335" i="4"/>
  <c r="AS335" i="4"/>
  <c r="AR335" i="4"/>
  <c r="AN335" i="4"/>
  <c r="AO335" i="4" s="1"/>
  <c r="B335" i="4"/>
  <c r="BW334" i="4"/>
  <c r="BV334" i="4"/>
  <c r="BU334" i="4"/>
  <c r="BT334" i="4"/>
  <c r="BS334" i="4"/>
  <c r="BR334" i="4"/>
  <c r="BQ334" i="4"/>
  <c r="BP334" i="4"/>
  <c r="BO334" i="4"/>
  <c r="BN334" i="4"/>
  <c r="BM334" i="4"/>
  <c r="BL334" i="4"/>
  <c r="BK334" i="4"/>
  <c r="BJ334" i="4"/>
  <c r="BI334" i="4"/>
  <c r="BH334" i="4"/>
  <c r="BG334" i="4"/>
  <c r="BF334" i="4"/>
  <c r="BE334" i="4"/>
  <c r="BD334" i="4"/>
  <c r="BC334" i="4"/>
  <c r="BB334" i="4"/>
  <c r="BA334" i="4"/>
  <c r="AZ334" i="4"/>
  <c r="AY334" i="4"/>
  <c r="AX334" i="4"/>
  <c r="AW334" i="4"/>
  <c r="AV334" i="4"/>
  <c r="AU334" i="4"/>
  <c r="AT334" i="4"/>
  <c r="AS334" i="4"/>
  <c r="AR334" i="4"/>
  <c r="AN334" i="4"/>
  <c r="AO334" i="4" s="1"/>
  <c r="B334" i="4"/>
  <c r="BW333" i="4"/>
  <c r="BV333" i="4"/>
  <c r="BU333" i="4"/>
  <c r="BT333" i="4"/>
  <c r="BS333" i="4"/>
  <c r="BR333" i="4"/>
  <c r="BQ333" i="4"/>
  <c r="BP333" i="4"/>
  <c r="BO333" i="4"/>
  <c r="BN333" i="4"/>
  <c r="BM333" i="4"/>
  <c r="BL333" i="4"/>
  <c r="BK333" i="4"/>
  <c r="BJ333" i="4"/>
  <c r="BI333" i="4"/>
  <c r="BH333" i="4"/>
  <c r="BG333" i="4"/>
  <c r="BF333" i="4"/>
  <c r="BE333" i="4"/>
  <c r="BD333" i="4"/>
  <c r="BC333" i="4"/>
  <c r="BB333" i="4"/>
  <c r="BA333" i="4"/>
  <c r="AZ333" i="4"/>
  <c r="AY333" i="4"/>
  <c r="AX333" i="4"/>
  <c r="AW333" i="4"/>
  <c r="AV333" i="4"/>
  <c r="AU333" i="4"/>
  <c r="AT333" i="4"/>
  <c r="AS333" i="4"/>
  <c r="AR333" i="4"/>
  <c r="AN333" i="4"/>
  <c r="AO333" i="4" s="1"/>
  <c r="B333" i="4"/>
  <c r="BW332" i="4"/>
  <c r="BV332" i="4"/>
  <c r="BU332" i="4"/>
  <c r="BT332" i="4"/>
  <c r="BS332" i="4"/>
  <c r="BR332" i="4"/>
  <c r="BQ332" i="4"/>
  <c r="BP332" i="4"/>
  <c r="BO332" i="4"/>
  <c r="BN332" i="4"/>
  <c r="BM332" i="4"/>
  <c r="BL332" i="4"/>
  <c r="BK332" i="4"/>
  <c r="BJ332" i="4"/>
  <c r="BI332" i="4"/>
  <c r="BH332" i="4"/>
  <c r="BG332" i="4"/>
  <c r="BF332" i="4"/>
  <c r="BE332" i="4"/>
  <c r="BD332" i="4"/>
  <c r="BC332" i="4"/>
  <c r="BB332" i="4"/>
  <c r="BA332" i="4"/>
  <c r="AZ332" i="4"/>
  <c r="AY332" i="4"/>
  <c r="AX332" i="4"/>
  <c r="AW332" i="4"/>
  <c r="AV332" i="4"/>
  <c r="AU332" i="4"/>
  <c r="AT332" i="4"/>
  <c r="AS332" i="4"/>
  <c r="AR332" i="4"/>
  <c r="AN332" i="4"/>
  <c r="AO332" i="4" s="1"/>
  <c r="B332" i="4"/>
  <c r="BW331" i="4"/>
  <c r="BV331" i="4"/>
  <c r="BU331" i="4"/>
  <c r="BT331" i="4"/>
  <c r="BS331" i="4"/>
  <c r="BR331" i="4"/>
  <c r="BQ331" i="4"/>
  <c r="BP331" i="4"/>
  <c r="BO331" i="4"/>
  <c r="BN331" i="4"/>
  <c r="BM331" i="4"/>
  <c r="BL331" i="4"/>
  <c r="BK331" i="4"/>
  <c r="BJ331" i="4"/>
  <c r="BI331" i="4"/>
  <c r="BH331" i="4"/>
  <c r="BG331" i="4"/>
  <c r="BF331" i="4"/>
  <c r="BE331" i="4"/>
  <c r="BD331" i="4"/>
  <c r="BC331" i="4"/>
  <c r="BB331" i="4"/>
  <c r="BA331" i="4"/>
  <c r="AZ331" i="4"/>
  <c r="AY331" i="4"/>
  <c r="AX331" i="4"/>
  <c r="AW331" i="4"/>
  <c r="AV331" i="4"/>
  <c r="AU331" i="4"/>
  <c r="AT331" i="4"/>
  <c r="AS331" i="4"/>
  <c r="AR331" i="4"/>
  <c r="AN331" i="4"/>
  <c r="AO331" i="4" s="1"/>
  <c r="B331" i="4"/>
  <c r="BW330" i="4"/>
  <c r="BV330" i="4"/>
  <c r="BU330" i="4"/>
  <c r="BT330" i="4"/>
  <c r="BS330" i="4"/>
  <c r="BR330" i="4"/>
  <c r="BQ330" i="4"/>
  <c r="BP330" i="4"/>
  <c r="BO330" i="4"/>
  <c r="BN330" i="4"/>
  <c r="BM330" i="4"/>
  <c r="BL330" i="4"/>
  <c r="BK330" i="4"/>
  <c r="BJ330" i="4"/>
  <c r="BI330" i="4"/>
  <c r="BH330" i="4"/>
  <c r="BG330" i="4"/>
  <c r="BF330" i="4"/>
  <c r="BE330" i="4"/>
  <c r="BD330" i="4"/>
  <c r="BC330" i="4"/>
  <c r="BB330" i="4"/>
  <c r="BA330" i="4"/>
  <c r="AZ330" i="4"/>
  <c r="AY330" i="4"/>
  <c r="AX330" i="4"/>
  <c r="AW330" i="4"/>
  <c r="AV330" i="4"/>
  <c r="AU330" i="4"/>
  <c r="AT330" i="4"/>
  <c r="AS330" i="4"/>
  <c r="AR330" i="4"/>
  <c r="B330" i="4"/>
  <c r="BW329" i="4"/>
  <c r="BV329" i="4"/>
  <c r="BU329" i="4"/>
  <c r="BT329" i="4"/>
  <c r="BS329" i="4"/>
  <c r="BR329" i="4"/>
  <c r="BQ329" i="4"/>
  <c r="BP329" i="4"/>
  <c r="BO329" i="4"/>
  <c r="BN329" i="4"/>
  <c r="BM329" i="4"/>
  <c r="BL329" i="4"/>
  <c r="BK329" i="4"/>
  <c r="BJ329" i="4"/>
  <c r="BI329" i="4"/>
  <c r="BH329" i="4"/>
  <c r="BG329" i="4"/>
  <c r="BF329" i="4"/>
  <c r="BE329" i="4"/>
  <c r="BD329" i="4"/>
  <c r="BC329" i="4"/>
  <c r="BB329" i="4"/>
  <c r="BA329" i="4"/>
  <c r="AZ329" i="4"/>
  <c r="AY329" i="4"/>
  <c r="AX329" i="4"/>
  <c r="AW329" i="4"/>
  <c r="AV329" i="4"/>
  <c r="AU329" i="4"/>
  <c r="AT329" i="4"/>
  <c r="AS329" i="4"/>
  <c r="AR329" i="4"/>
  <c r="AN329" i="4"/>
  <c r="AO329" i="4" s="1"/>
  <c r="B329" i="4"/>
  <c r="BW328" i="4"/>
  <c r="BV328" i="4"/>
  <c r="BU328" i="4"/>
  <c r="BT328" i="4"/>
  <c r="BS328" i="4"/>
  <c r="BR328" i="4"/>
  <c r="BQ328" i="4"/>
  <c r="BP328" i="4"/>
  <c r="BO328" i="4"/>
  <c r="BN328" i="4"/>
  <c r="BM328" i="4"/>
  <c r="BL328" i="4"/>
  <c r="BK328" i="4"/>
  <c r="BJ328" i="4"/>
  <c r="BI328" i="4"/>
  <c r="BH328" i="4"/>
  <c r="BG328" i="4"/>
  <c r="BF328" i="4"/>
  <c r="BE328" i="4"/>
  <c r="BD328" i="4"/>
  <c r="BC328" i="4"/>
  <c r="BB328" i="4"/>
  <c r="BA328" i="4"/>
  <c r="AZ328" i="4"/>
  <c r="AY328" i="4"/>
  <c r="AX328" i="4"/>
  <c r="AW328" i="4"/>
  <c r="AV328" i="4"/>
  <c r="AU328" i="4"/>
  <c r="AT328" i="4"/>
  <c r="AS328" i="4"/>
  <c r="AR328" i="4"/>
  <c r="B328" i="4"/>
  <c r="BW327" i="4"/>
  <c r="BV327" i="4"/>
  <c r="BU327" i="4"/>
  <c r="BT327" i="4"/>
  <c r="BS327" i="4"/>
  <c r="BR327" i="4"/>
  <c r="BQ327" i="4"/>
  <c r="BP327" i="4"/>
  <c r="BO327" i="4"/>
  <c r="BN327" i="4"/>
  <c r="BM327" i="4"/>
  <c r="BL327" i="4"/>
  <c r="BK327" i="4"/>
  <c r="BJ327" i="4"/>
  <c r="BI327" i="4"/>
  <c r="BH327" i="4"/>
  <c r="BG327" i="4"/>
  <c r="BF327" i="4"/>
  <c r="BE327" i="4"/>
  <c r="BD327" i="4"/>
  <c r="BC327" i="4"/>
  <c r="BB327" i="4"/>
  <c r="BA327" i="4"/>
  <c r="AZ327" i="4"/>
  <c r="AY327" i="4"/>
  <c r="AX327" i="4"/>
  <c r="AW327" i="4"/>
  <c r="AV327" i="4"/>
  <c r="AU327" i="4"/>
  <c r="AT327" i="4"/>
  <c r="AS327" i="4"/>
  <c r="AR327" i="4"/>
  <c r="AN327" i="4"/>
  <c r="AO327" i="4" s="1"/>
  <c r="B327" i="4"/>
  <c r="BW326" i="4"/>
  <c r="BV326" i="4"/>
  <c r="BU326" i="4"/>
  <c r="BT326" i="4"/>
  <c r="BS326" i="4"/>
  <c r="BR326" i="4"/>
  <c r="BQ326" i="4"/>
  <c r="BP326" i="4"/>
  <c r="BO326" i="4"/>
  <c r="BN326" i="4"/>
  <c r="BM326" i="4"/>
  <c r="BL326" i="4"/>
  <c r="BK326" i="4"/>
  <c r="BJ326" i="4"/>
  <c r="BI326" i="4"/>
  <c r="BH326" i="4"/>
  <c r="BG326" i="4"/>
  <c r="BF326" i="4"/>
  <c r="BE326" i="4"/>
  <c r="BD326" i="4"/>
  <c r="BC326" i="4"/>
  <c r="BB326" i="4"/>
  <c r="BA326" i="4"/>
  <c r="AZ326" i="4"/>
  <c r="AY326" i="4"/>
  <c r="AX326" i="4"/>
  <c r="AW326" i="4"/>
  <c r="AV326" i="4"/>
  <c r="AU326" i="4"/>
  <c r="AT326" i="4"/>
  <c r="AS326" i="4"/>
  <c r="AR326" i="4"/>
  <c r="AN326" i="4"/>
  <c r="AO326" i="4" s="1"/>
  <c r="B326" i="4"/>
  <c r="BW325" i="4"/>
  <c r="BV325" i="4"/>
  <c r="BU325" i="4"/>
  <c r="BT325" i="4"/>
  <c r="BS325" i="4"/>
  <c r="BR325" i="4"/>
  <c r="BQ325" i="4"/>
  <c r="BP325" i="4"/>
  <c r="BO325" i="4"/>
  <c r="BN325" i="4"/>
  <c r="BM325" i="4"/>
  <c r="BL325" i="4"/>
  <c r="BK325" i="4"/>
  <c r="BJ325" i="4"/>
  <c r="BI325" i="4"/>
  <c r="BH325" i="4"/>
  <c r="BG325" i="4"/>
  <c r="BF325" i="4"/>
  <c r="BE325" i="4"/>
  <c r="BD325" i="4"/>
  <c r="BC325" i="4"/>
  <c r="BB325" i="4"/>
  <c r="BA325" i="4"/>
  <c r="AZ325" i="4"/>
  <c r="AY325" i="4"/>
  <c r="AX325" i="4"/>
  <c r="AW325" i="4"/>
  <c r="AV325" i="4"/>
  <c r="AU325" i="4"/>
  <c r="AT325" i="4"/>
  <c r="AS325" i="4"/>
  <c r="AR325" i="4"/>
  <c r="AN325" i="4"/>
  <c r="AO325" i="4" s="1"/>
  <c r="B325" i="4"/>
  <c r="BW324" i="4"/>
  <c r="BV324" i="4"/>
  <c r="BU324" i="4"/>
  <c r="BT324" i="4"/>
  <c r="BS324" i="4"/>
  <c r="BR324" i="4"/>
  <c r="BQ324" i="4"/>
  <c r="BP324" i="4"/>
  <c r="BO324" i="4"/>
  <c r="BN324" i="4"/>
  <c r="BM324" i="4"/>
  <c r="BL324" i="4"/>
  <c r="BK324" i="4"/>
  <c r="BJ324" i="4"/>
  <c r="BI324" i="4"/>
  <c r="BH324" i="4"/>
  <c r="BG324" i="4"/>
  <c r="BF324" i="4"/>
  <c r="BE324" i="4"/>
  <c r="BD324" i="4"/>
  <c r="BC324" i="4"/>
  <c r="BB324" i="4"/>
  <c r="BA324" i="4"/>
  <c r="AZ324" i="4"/>
  <c r="AY324" i="4"/>
  <c r="AX324" i="4"/>
  <c r="AW324" i="4"/>
  <c r="AV324" i="4"/>
  <c r="AU324" i="4"/>
  <c r="AT324" i="4"/>
  <c r="AS324" i="4"/>
  <c r="AR324" i="4"/>
  <c r="AN324" i="4"/>
  <c r="AO324" i="4" s="1"/>
  <c r="B324" i="4"/>
  <c r="BW355" i="4"/>
  <c r="BV355" i="4"/>
  <c r="BU355" i="4"/>
  <c r="BT355" i="4"/>
  <c r="BS355" i="4"/>
  <c r="BR355" i="4"/>
  <c r="BQ355" i="4"/>
  <c r="BP355" i="4"/>
  <c r="BO355" i="4"/>
  <c r="BN355" i="4"/>
  <c r="BM355" i="4"/>
  <c r="BL355" i="4"/>
  <c r="BK355" i="4"/>
  <c r="BJ355" i="4"/>
  <c r="BI355" i="4"/>
  <c r="BH355" i="4"/>
  <c r="BG355" i="4"/>
  <c r="BF355" i="4"/>
  <c r="BE355" i="4"/>
  <c r="BD355" i="4"/>
  <c r="BC355" i="4"/>
  <c r="BB355" i="4"/>
  <c r="BA355" i="4"/>
  <c r="AZ355" i="4"/>
  <c r="AY355" i="4"/>
  <c r="AX355" i="4"/>
  <c r="AW355" i="4"/>
  <c r="AV355" i="4"/>
  <c r="AU355" i="4"/>
  <c r="AT355" i="4"/>
  <c r="AS355" i="4"/>
  <c r="AR355" i="4"/>
  <c r="AN355" i="4"/>
  <c r="AO355" i="4" s="1"/>
  <c r="B355" i="4"/>
  <c r="BW354" i="4"/>
  <c r="BV354" i="4"/>
  <c r="BU354" i="4"/>
  <c r="BT354" i="4"/>
  <c r="BS354" i="4"/>
  <c r="BR354" i="4"/>
  <c r="BQ354" i="4"/>
  <c r="BP354" i="4"/>
  <c r="BO354" i="4"/>
  <c r="BN354" i="4"/>
  <c r="BM354" i="4"/>
  <c r="BL354" i="4"/>
  <c r="BK354" i="4"/>
  <c r="BJ354" i="4"/>
  <c r="BI354" i="4"/>
  <c r="BH354" i="4"/>
  <c r="BG354" i="4"/>
  <c r="BF354" i="4"/>
  <c r="BE354" i="4"/>
  <c r="BD354" i="4"/>
  <c r="BC354" i="4"/>
  <c r="BB354" i="4"/>
  <c r="BA354" i="4"/>
  <c r="AZ354" i="4"/>
  <c r="AY354" i="4"/>
  <c r="AX354" i="4"/>
  <c r="AW354" i="4"/>
  <c r="AV354" i="4"/>
  <c r="AU354" i="4"/>
  <c r="AT354" i="4"/>
  <c r="AS354" i="4"/>
  <c r="AR354" i="4"/>
  <c r="AN354" i="4"/>
  <c r="AO354" i="4" s="1"/>
  <c r="B354" i="4"/>
  <c r="BW353" i="4"/>
  <c r="BV353" i="4"/>
  <c r="BU353" i="4"/>
  <c r="BT353" i="4"/>
  <c r="BS353" i="4"/>
  <c r="BR353" i="4"/>
  <c r="BQ353" i="4"/>
  <c r="BP353" i="4"/>
  <c r="BO353" i="4"/>
  <c r="BN353" i="4"/>
  <c r="BM353" i="4"/>
  <c r="BL353" i="4"/>
  <c r="BK353" i="4"/>
  <c r="BJ353" i="4"/>
  <c r="BI353" i="4"/>
  <c r="BH353" i="4"/>
  <c r="BG353" i="4"/>
  <c r="BF353" i="4"/>
  <c r="BE353" i="4"/>
  <c r="BD353" i="4"/>
  <c r="BC353" i="4"/>
  <c r="BB353" i="4"/>
  <c r="BA353" i="4"/>
  <c r="AZ353" i="4"/>
  <c r="AY353" i="4"/>
  <c r="AX353" i="4"/>
  <c r="AW353" i="4"/>
  <c r="AV353" i="4"/>
  <c r="AU353" i="4"/>
  <c r="AT353" i="4"/>
  <c r="AS353" i="4"/>
  <c r="AR353" i="4"/>
  <c r="AN353" i="4"/>
  <c r="AO353" i="4" s="1"/>
  <c r="B353" i="4"/>
  <c r="BW352" i="4"/>
  <c r="BV352" i="4"/>
  <c r="BU352" i="4"/>
  <c r="BT352" i="4"/>
  <c r="BS352" i="4"/>
  <c r="BR352" i="4"/>
  <c r="BQ352" i="4"/>
  <c r="BP352" i="4"/>
  <c r="BO352" i="4"/>
  <c r="BN352" i="4"/>
  <c r="BM352" i="4"/>
  <c r="BL352" i="4"/>
  <c r="BK352" i="4"/>
  <c r="BJ352" i="4"/>
  <c r="BI352" i="4"/>
  <c r="BH352" i="4"/>
  <c r="BG352" i="4"/>
  <c r="BF352" i="4"/>
  <c r="BE352" i="4"/>
  <c r="BD352" i="4"/>
  <c r="BC352" i="4"/>
  <c r="BB352" i="4"/>
  <c r="BA352" i="4"/>
  <c r="AZ352" i="4"/>
  <c r="AY352" i="4"/>
  <c r="AX352" i="4"/>
  <c r="AW352" i="4"/>
  <c r="AV352" i="4"/>
  <c r="AU352" i="4"/>
  <c r="AT352" i="4"/>
  <c r="AS352" i="4"/>
  <c r="AR352" i="4"/>
  <c r="AN352" i="4"/>
  <c r="AO352" i="4" s="1"/>
  <c r="B352" i="4"/>
  <c r="BW351" i="4"/>
  <c r="BV351" i="4"/>
  <c r="BU351" i="4"/>
  <c r="BT351" i="4"/>
  <c r="BS351" i="4"/>
  <c r="BR351" i="4"/>
  <c r="BQ351" i="4"/>
  <c r="BP351" i="4"/>
  <c r="BO351" i="4"/>
  <c r="BN351" i="4"/>
  <c r="BM351" i="4"/>
  <c r="BL351" i="4"/>
  <c r="BK351" i="4"/>
  <c r="BJ351" i="4"/>
  <c r="BI351" i="4"/>
  <c r="BH351" i="4"/>
  <c r="BG351" i="4"/>
  <c r="BF351" i="4"/>
  <c r="BE351" i="4"/>
  <c r="BD351" i="4"/>
  <c r="BC351" i="4"/>
  <c r="BB351" i="4"/>
  <c r="BA351" i="4"/>
  <c r="AZ351" i="4"/>
  <c r="AY351" i="4"/>
  <c r="AX351" i="4"/>
  <c r="AW351" i="4"/>
  <c r="AV351" i="4"/>
  <c r="AU351" i="4"/>
  <c r="AT351" i="4"/>
  <c r="AS351" i="4"/>
  <c r="AR351" i="4"/>
  <c r="B351" i="4"/>
  <c r="BW350" i="4"/>
  <c r="BV350" i="4"/>
  <c r="BU350" i="4"/>
  <c r="BT350" i="4"/>
  <c r="BS350" i="4"/>
  <c r="BR350" i="4"/>
  <c r="BQ350" i="4"/>
  <c r="BP350" i="4"/>
  <c r="BO350" i="4"/>
  <c r="BN350" i="4"/>
  <c r="BM350" i="4"/>
  <c r="BL350" i="4"/>
  <c r="BK350" i="4"/>
  <c r="BJ350" i="4"/>
  <c r="BI350" i="4"/>
  <c r="BH350" i="4"/>
  <c r="BG350" i="4"/>
  <c r="BF350" i="4"/>
  <c r="BE350" i="4"/>
  <c r="BD350" i="4"/>
  <c r="BC350" i="4"/>
  <c r="BB350" i="4"/>
  <c r="BA350" i="4"/>
  <c r="AZ350" i="4"/>
  <c r="AY350" i="4"/>
  <c r="AX350" i="4"/>
  <c r="AW350" i="4"/>
  <c r="AV350" i="4"/>
  <c r="AU350" i="4"/>
  <c r="AT350" i="4"/>
  <c r="AS350" i="4"/>
  <c r="AR350" i="4"/>
  <c r="AN350" i="4"/>
  <c r="AO350" i="4" s="1"/>
  <c r="B350" i="4"/>
  <c r="BW349" i="4"/>
  <c r="BV349" i="4"/>
  <c r="BU349" i="4"/>
  <c r="BT349" i="4"/>
  <c r="BS349" i="4"/>
  <c r="BR349" i="4"/>
  <c r="BQ349" i="4"/>
  <c r="BP349" i="4"/>
  <c r="BO349" i="4"/>
  <c r="BN349" i="4"/>
  <c r="BM349" i="4"/>
  <c r="BL349" i="4"/>
  <c r="BK349" i="4"/>
  <c r="BJ349" i="4"/>
  <c r="BI349" i="4"/>
  <c r="BH349" i="4"/>
  <c r="BG349" i="4"/>
  <c r="BF349" i="4"/>
  <c r="BE349" i="4"/>
  <c r="BD349" i="4"/>
  <c r="BC349" i="4"/>
  <c r="BB349" i="4"/>
  <c r="BA349" i="4"/>
  <c r="AZ349" i="4"/>
  <c r="AY349" i="4"/>
  <c r="AX349" i="4"/>
  <c r="AW349" i="4"/>
  <c r="AV349" i="4"/>
  <c r="AU349" i="4"/>
  <c r="AT349" i="4"/>
  <c r="AS349" i="4"/>
  <c r="AR349" i="4"/>
  <c r="AN349" i="4"/>
  <c r="AO349" i="4" s="1"/>
  <c r="B349" i="4"/>
  <c r="BW348" i="4"/>
  <c r="BV348" i="4"/>
  <c r="BU348" i="4"/>
  <c r="BT348" i="4"/>
  <c r="BS348" i="4"/>
  <c r="BR348" i="4"/>
  <c r="BQ348" i="4"/>
  <c r="BP348" i="4"/>
  <c r="BO348" i="4"/>
  <c r="BN348" i="4"/>
  <c r="BM348" i="4"/>
  <c r="BL348" i="4"/>
  <c r="BK348" i="4"/>
  <c r="BJ348" i="4"/>
  <c r="BI348" i="4"/>
  <c r="BH348" i="4"/>
  <c r="BG348" i="4"/>
  <c r="BF348" i="4"/>
  <c r="BE348" i="4"/>
  <c r="BD348" i="4"/>
  <c r="BC348" i="4"/>
  <c r="BB348" i="4"/>
  <c r="BA348" i="4"/>
  <c r="AZ348" i="4"/>
  <c r="AY348" i="4"/>
  <c r="AX348" i="4"/>
  <c r="AW348" i="4"/>
  <c r="AV348" i="4"/>
  <c r="AU348" i="4"/>
  <c r="AT348" i="4"/>
  <c r="AS348" i="4"/>
  <c r="AR348" i="4"/>
  <c r="B348" i="4"/>
  <c r="BW347" i="4"/>
  <c r="BV347" i="4"/>
  <c r="BU347" i="4"/>
  <c r="BT347" i="4"/>
  <c r="BS347" i="4"/>
  <c r="BR347" i="4"/>
  <c r="BQ347" i="4"/>
  <c r="BP347" i="4"/>
  <c r="BO347" i="4"/>
  <c r="BN347" i="4"/>
  <c r="BM347" i="4"/>
  <c r="BL347" i="4"/>
  <c r="BK347" i="4"/>
  <c r="BJ347" i="4"/>
  <c r="BI347" i="4"/>
  <c r="BH347" i="4"/>
  <c r="BG347" i="4"/>
  <c r="BF347" i="4"/>
  <c r="BE347" i="4"/>
  <c r="BD347" i="4"/>
  <c r="BC347" i="4"/>
  <c r="BB347" i="4"/>
  <c r="BA347" i="4"/>
  <c r="AZ347" i="4"/>
  <c r="AY347" i="4"/>
  <c r="AX347" i="4"/>
  <c r="AW347" i="4"/>
  <c r="AV347" i="4"/>
  <c r="AU347" i="4"/>
  <c r="AT347" i="4"/>
  <c r="AS347" i="4"/>
  <c r="AR347" i="4"/>
  <c r="B347" i="4"/>
  <c r="BW346" i="4"/>
  <c r="BV346" i="4"/>
  <c r="BU346" i="4"/>
  <c r="BT346" i="4"/>
  <c r="BS346" i="4"/>
  <c r="BR346" i="4"/>
  <c r="BQ346" i="4"/>
  <c r="BP346" i="4"/>
  <c r="BO346" i="4"/>
  <c r="BN346" i="4"/>
  <c r="BM346" i="4"/>
  <c r="BL346" i="4"/>
  <c r="BK346" i="4"/>
  <c r="BJ346" i="4"/>
  <c r="BI346" i="4"/>
  <c r="BH346" i="4"/>
  <c r="BG346" i="4"/>
  <c r="BF346" i="4"/>
  <c r="BE346" i="4"/>
  <c r="BD346" i="4"/>
  <c r="BC346" i="4"/>
  <c r="BB346" i="4"/>
  <c r="BA346" i="4"/>
  <c r="AZ346" i="4"/>
  <c r="AY346" i="4"/>
  <c r="AX346" i="4"/>
  <c r="AW346" i="4"/>
  <c r="AV346" i="4"/>
  <c r="AU346" i="4"/>
  <c r="AT346" i="4"/>
  <c r="AS346" i="4"/>
  <c r="AR346" i="4"/>
  <c r="B346" i="4"/>
  <c r="BW345" i="4"/>
  <c r="BV345" i="4"/>
  <c r="BU345" i="4"/>
  <c r="BT345" i="4"/>
  <c r="BS345" i="4"/>
  <c r="BR345" i="4"/>
  <c r="BQ345" i="4"/>
  <c r="BP345" i="4"/>
  <c r="BO345" i="4"/>
  <c r="BN345" i="4"/>
  <c r="BM345" i="4"/>
  <c r="BL345" i="4"/>
  <c r="BK345" i="4"/>
  <c r="BJ345" i="4"/>
  <c r="BI345" i="4"/>
  <c r="BH345" i="4"/>
  <c r="BG345" i="4"/>
  <c r="BF345" i="4"/>
  <c r="BE345" i="4"/>
  <c r="BD345" i="4"/>
  <c r="BC345" i="4"/>
  <c r="BB345" i="4"/>
  <c r="BA345" i="4"/>
  <c r="AZ345" i="4"/>
  <c r="AY345" i="4"/>
  <c r="AX345" i="4"/>
  <c r="AW345" i="4"/>
  <c r="AV345" i="4"/>
  <c r="AU345" i="4"/>
  <c r="AT345" i="4"/>
  <c r="AS345" i="4"/>
  <c r="AR345" i="4"/>
  <c r="AN345" i="4"/>
  <c r="AO345" i="4" s="1"/>
  <c r="B345" i="4"/>
  <c r="BW344" i="4"/>
  <c r="BV344" i="4"/>
  <c r="BU344" i="4"/>
  <c r="BT344" i="4"/>
  <c r="BS344" i="4"/>
  <c r="BR344" i="4"/>
  <c r="BQ344" i="4"/>
  <c r="BP344" i="4"/>
  <c r="BO344" i="4"/>
  <c r="BN344" i="4"/>
  <c r="BM344" i="4"/>
  <c r="BL344" i="4"/>
  <c r="BK344" i="4"/>
  <c r="BJ344" i="4"/>
  <c r="BI344" i="4"/>
  <c r="BH344" i="4"/>
  <c r="BG344" i="4"/>
  <c r="BF344" i="4"/>
  <c r="BE344" i="4"/>
  <c r="BD344" i="4"/>
  <c r="BC344" i="4"/>
  <c r="BB344" i="4"/>
  <c r="BA344" i="4"/>
  <c r="AZ344" i="4"/>
  <c r="AY344" i="4"/>
  <c r="AX344" i="4"/>
  <c r="AW344" i="4"/>
  <c r="AV344" i="4"/>
  <c r="AU344" i="4"/>
  <c r="AT344" i="4"/>
  <c r="AS344" i="4"/>
  <c r="AR344" i="4"/>
  <c r="AN344" i="4"/>
  <c r="AO344" i="4" s="1"/>
  <c r="B344" i="4"/>
  <c r="BW343" i="4"/>
  <c r="BV343" i="4"/>
  <c r="BU343" i="4"/>
  <c r="BT343" i="4"/>
  <c r="BS343" i="4"/>
  <c r="BR343" i="4"/>
  <c r="BQ343" i="4"/>
  <c r="BP343" i="4"/>
  <c r="BO343" i="4"/>
  <c r="BN343" i="4"/>
  <c r="BM343" i="4"/>
  <c r="BL343" i="4"/>
  <c r="BK343" i="4"/>
  <c r="BJ343" i="4"/>
  <c r="BI343" i="4"/>
  <c r="BH343" i="4"/>
  <c r="BG343" i="4"/>
  <c r="BF343" i="4"/>
  <c r="BE343" i="4"/>
  <c r="BD343" i="4"/>
  <c r="BC343" i="4"/>
  <c r="BB343" i="4"/>
  <c r="BA343" i="4"/>
  <c r="AZ343" i="4"/>
  <c r="AY343" i="4"/>
  <c r="AX343" i="4"/>
  <c r="AW343" i="4"/>
  <c r="AV343" i="4"/>
  <c r="AU343" i="4"/>
  <c r="AT343" i="4"/>
  <c r="AS343" i="4"/>
  <c r="AR343" i="4"/>
  <c r="AN343" i="4"/>
  <c r="AO343" i="4" s="1"/>
  <c r="B343" i="4"/>
  <c r="BW342" i="4"/>
  <c r="BV342" i="4"/>
  <c r="BU342" i="4"/>
  <c r="BT342" i="4"/>
  <c r="BS342" i="4"/>
  <c r="BR342" i="4"/>
  <c r="BQ342" i="4"/>
  <c r="BP342" i="4"/>
  <c r="BO342" i="4"/>
  <c r="BN342" i="4"/>
  <c r="BM342" i="4"/>
  <c r="BL342" i="4"/>
  <c r="BK342" i="4"/>
  <c r="BJ342" i="4"/>
  <c r="BI342" i="4"/>
  <c r="BH342" i="4"/>
  <c r="BG342" i="4"/>
  <c r="BF342" i="4"/>
  <c r="BE342" i="4"/>
  <c r="BD342" i="4"/>
  <c r="BC342" i="4"/>
  <c r="BB342" i="4"/>
  <c r="BA342" i="4"/>
  <c r="AZ342" i="4"/>
  <c r="AY342" i="4"/>
  <c r="AX342" i="4"/>
  <c r="AW342" i="4"/>
  <c r="AV342" i="4"/>
  <c r="AU342" i="4"/>
  <c r="AT342" i="4"/>
  <c r="AS342" i="4"/>
  <c r="AR342" i="4"/>
  <c r="AN342" i="4"/>
  <c r="AO342" i="4" s="1"/>
  <c r="B342" i="4"/>
  <c r="BW341" i="4"/>
  <c r="BV341" i="4"/>
  <c r="BU341" i="4"/>
  <c r="BT341" i="4"/>
  <c r="BS341" i="4"/>
  <c r="BR341" i="4"/>
  <c r="BQ341" i="4"/>
  <c r="BP341" i="4"/>
  <c r="BO341" i="4"/>
  <c r="BN341" i="4"/>
  <c r="BM341" i="4"/>
  <c r="BL341" i="4"/>
  <c r="BK341" i="4"/>
  <c r="BJ341" i="4"/>
  <c r="BI341" i="4"/>
  <c r="BH341" i="4"/>
  <c r="BG341" i="4"/>
  <c r="BF341" i="4"/>
  <c r="BE341" i="4"/>
  <c r="BD341" i="4"/>
  <c r="BC341" i="4"/>
  <c r="BB341" i="4"/>
  <c r="BA341" i="4"/>
  <c r="AZ341" i="4"/>
  <c r="AY341" i="4"/>
  <c r="AX341" i="4"/>
  <c r="AW341" i="4"/>
  <c r="AV341" i="4"/>
  <c r="AU341" i="4"/>
  <c r="AT341" i="4"/>
  <c r="AS341" i="4"/>
  <c r="AR341" i="4"/>
  <c r="AN341" i="4"/>
  <c r="AO341" i="4" s="1"/>
  <c r="B341" i="4"/>
  <c r="BW340" i="4"/>
  <c r="BV340" i="4"/>
  <c r="BU340" i="4"/>
  <c r="BT340" i="4"/>
  <c r="BS340" i="4"/>
  <c r="BR340" i="4"/>
  <c r="BQ340" i="4"/>
  <c r="BP340" i="4"/>
  <c r="BO340" i="4"/>
  <c r="BN340" i="4"/>
  <c r="BM340" i="4"/>
  <c r="BL340" i="4"/>
  <c r="BK340" i="4"/>
  <c r="BJ340" i="4"/>
  <c r="BI340" i="4"/>
  <c r="BH340" i="4"/>
  <c r="BG340" i="4"/>
  <c r="BF340" i="4"/>
  <c r="BE340" i="4"/>
  <c r="BD340" i="4"/>
  <c r="BC340" i="4"/>
  <c r="BB340" i="4"/>
  <c r="BA340" i="4"/>
  <c r="AZ340" i="4"/>
  <c r="AY340" i="4"/>
  <c r="AX340" i="4"/>
  <c r="AW340" i="4"/>
  <c r="AV340" i="4"/>
  <c r="AU340" i="4"/>
  <c r="AT340" i="4"/>
  <c r="AS340" i="4"/>
  <c r="AR340" i="4"/>
  <c r="AN340" i="4"/>
  <c r="AO340" i="4" s="1"/>
  <c r="B340" i="4"/>
  <c r="BW371" i="4"/>
  <c r="BV371" i="4"/>
  <c r="BU371" i="4"/>
  <c r="BT371" i="4"/>
  <c r="BS371" i="4"/>
  <c r="BR371" i="4"/>
  <c r="BQ371" i="4"/>
  <c r="BP371" i="4"/>
  <c r="BO371" i="4"/>
  <c r="BN371" i="4"/>
  <c r="BM371" i="4"/>
  <c r="BL371" i="4"/>
  <c r="BK371" i="4"/>
  <c r="BJ371" i="4"/>
  <c r="BI371" i="4"/>
  <c r="BH371" i="4"/>
  <c r="BG371" i="4"/>
  <c r="BF371" i="4"/>
  <c r="BE371" i="4"/>
  <c r="BD371" i="4"/>
  <c r="BC371" i="4"/>
  <c r="BB371" i="4"/>
  <c r="BA371" i="4"/>
  <c r="AZ371" i="4"/>
  <c r="AY371" i="4"/>
  <c r="AX371" i="4"/>
  <c r="AW371" i="4"/>
  <c r="AV371" i="4"/>
  <c r="AU371" i="4"/>
  <c r="AT371" i="4"/>
  <c r="AS371" i="4"/>
  <c r="AR371" i="4"/>
  <c r="AN371" i="4"/>
  <c r="AO371" i="4" s="1"/>
  <c r="B371" i="4"/>
  <c r="BW370" i="4"/>
  <c r="BV370" i="4"/>
  <c r="BU370" i="4"/>
  <c r="BT370" i="4"/>
  <c r="BS370" i="4"/>
  <c r="BR370" i="4"/>
  <c r="BQ370" i="4"/>
  <c r="BP370" i="4"/>
  <c r="BO370" i="4"/>
  <c r="BN370" i="4"/>
  <c r="BM370" i="4"/>
  <c r="BL370" i="4"/>
  <c r="BK370" i="4"/>
  <c r="BJ370" i="4"/>
  <c r="BI370" i="4"/>
  <c r="BH370" i="4"/>
  <c r="BG370" i="4"/>
  <c r="BF370" i="4"/>
  <c r="BE370" i="4"/>
  <c r="BD370" i="4"/>
  <c r="BC370" i="4"/>
  <c r="BB370" i="4"/>
  <c r="BA370" i="4"/>
  <c r="AZ370" i="4"/>
  <c r="AY370" i="4"/>
  <c r="AX370" i="4"/>
  <c r="AW370" i="4"/>
  <c r="AV370" i="4"/>
  <c r="AU370" i="4"/>
  <c r="AT370" i="4"/>
  <c r="AS370" i="4"/>
  <c r="AR370" i="4"/>
  <c r="AN370" i="4"/>
  <c r="AO370" i="4" s="1"/>
  <c r="B370" i="4"/>
  <c r="BW369" i="4"/>
  <c r="BV369" i="4"/>
  <c r="BU369" i="4"/>
  <c r="BT369" i="4"/>
  <c r="BS369" i="4"/>
  <c r="BR369" i="4"/>
  <c r="BQ369" i="4"/>
  <c r="BP369" i="4"/>
  <c r="BO369" i="4"/>
  <c r="BN369" i="4"/>
  <c r="BM369" i="4"/>
  <c r="BL369" i="4"/>
  <c r="BK369" i="4"/>
  <c r="BJ369" i="4"/>
  <c r="BI369" i="4"/>
  <c r="BH369" i="4"/>
  <c r="BG369" i="4"/>
  <c r="BF369" i="4"/>
  <c r="BE369" i="4"/>
  <c r="BD369" i="4"/>
  <c r="BC369" i="4"/>
  <c r="BB369" i="4"/>
  <c r="BA369" i="4"/>
  <c r="AZ369" i="4"/>
  <c r="AY369" i="4"/>
  <c r="AX369" i="4"/>
  <c r="AW369" i="4"/>
  <c r="AV369" i="4"/>
  <c r="AU369" i="4"/>
  <c r="AT369" i="4"/>
  <c r="AS369" i="4"/>
  <c r="AR369" i="4"/>
  <c r="B369" i="4"/>
  <c r="BW368" i="4"/>
  <c r="BV368" i="4"/>
  <c r="BU368" i="4"/>
  <c r="BT368" i="4"/>
  <c r="BS368" i="4"/>
  <c r="BR368" i="4"/>
  <c r="BQ368" i="4"/>
  <c r="BP368" i="4"/>
  <c r="BO368" i="4"/>
  <c r="BN368" i="4"/>
  <c r="BM368" i="4"/>
  <c r="BL368" i="4"/>
  <c r="BK368" i="4"/>
  <c r="BJ368" i="4"/>
  <c r="BI368" i="4"/>
  <c r="BH368" i="4"/>
  <c r="BG368" i="4"/>
  <c r="BF368" i="4"/>
  <c r="BE368" i="4"/>
  <c r="BD368" i="4"/>
  <c r="BC368" i="4"/>
  <c r="BB368" i="4"/>
  <c r="BA368" i="4"/>
  <c r="AZ368" i="4"/>
  <c r="AY368" i="4"/>
  <c r="AX368" i="4"/>
  <c r="AW368" i="4"/>
  <c r="AV368" i="4"/>
  <c r="AU368" i="4"/>
  <c r="AT368" i="4"/>
  <c r="AS368" i="4"/>
  <c r="AR368" i="4"/>
  <c r="B368" i="4"/>
  <c r="BW367" i="4"/>
  <c r="BV367" i="4"/>
  <c r="BU367" i="4"/>
  <c r="BT367" i="4"/>
  <c r="BS367" i="4"/>
  <c r="BR367" i="4"/>
  <c r="BQ367" i="4"/>
  <c r="BP367" i="4"/>
  <c r="BO367" i="4"/>
  <c r="BN367" i="4"/>
  <c r="BM367" i="4"/>
  <c r="BL367" i="4"/>
  <c r="BK367" i="4"/>
  <c r="BJ367" i="4"/>
  <c r="BI367" i="4"/>
  <c r="BH367" i="4"/>
  <c r="BG367" i="4"/>
  <c r="BF367" i="4"/>
  <c r="BE367" i="4"/>
  <c r="BD367" i="4"/>
  <c r="BC367" i="4"/>
  <c r="BB367" i="4"/>
  <c r="BA367" i="4"/>
  <c r="AZ367" i="4"/>
  <c r="AY367" i="4"/>
  <c r="AX367" i="4"/>
  <c r="AW367" i="4"/>
  <c r="AV367" i="4"/>
  <c r="AU367" i="4"/>
  <c r="AT367" i="4"/>
  <c r="AS367" i="4"/>
  <c r="AR367" i="4"/>
  <c r="AN367" i="4"/>
  <c r="AO367" i="4" s="1"/>
  <c r="B367" i="4"/>
  <c r="BW366" i="4"/>
  <c r="BV366" i="4"/>
  <c r="BU366" i="4"/>
  <c r="BT366" i="4"/>
  <c r="BS366" i="4"/>
  <c r="BR366" i="4"/>
  <c r="BQ366" i="4"/>
  <c r="BP366" i="4"/>
  <c r="BO366" i="4"/>
  <c r="BN366" i="4"/>
  <c r="BM366" i="4"/>
  <c r="BL366" i="4"/>
  <c r="BK366" i="4"/>
  <c r="BJ366" i="4"/>
  <c r="BI366" i="4"/>
  <c r="BH366" i="4"/>
  <c r="BG366" i="4"/>
  <c r="BF366" i="4"/>
  <c r="BE366" i="4"/>
  <c r="BD366" i="4"/>
  <c r="BC366" i="4"/>
  <c r="BB366" i="4"/>
  <c r="BA366" i="4"/>
  <c r="AZ366" i="4"/>
  <c r="AY366" i="4"/>
  <c r="AX366" i="4"/>
  <c r="AW366" i="4"/>
  <c r="AV366" i="4"/>
  <c r="AU366" i="4"/>
  <c r="AT366" i="4"/>
  <c r="AS366" i="4"/>
  <c r="AR366" i="4"/>
  <c r="AN366" i="4"/>
  <c r="AO366" i="4" s="1"/>
  <c r="B366" i="4"/>
  <c r="BW365" i="4"/>
  <c r="BV365" i="4"/>
  <c r="BU365" i="4"/>
  <c r="BT365" i="4"/>
  <c r="BS365" i="4"/>
  <c r="BR365" i="4"/>
  <c r="BQ365" i="4"/>
  <c r="BP365" i="4"/>
  <c r="BO365" i="4"/>
  <c r="BN365" i="4"/>
  <c r="BM365" i="4"/>
  <c r="BL365" i="4"/>
  <c r="BK365" i="4"/>
  <c r="BJ365" i="4"/>
  <c r="BI365" i="4"/>
  <c r="BH365" i="4"/>
  <c r="BG365" i="4"/>
  <c r="BF365" i="4"/>
  <c r="BE365" i="4"/>
  <c r="BD365" i="4"/>
  <c r="BC365" i="4"/>
  <c r="BB365" i="4"/>
  <c r="BA365" i="4"/>
  <c r="AZ365" i="4"/>
  <c r="AY365" i="4"/>
  <c r="AX365" i="4"/>
  <c r="AW365" i="4"/>
  <c r="AV365" i="4"/>
  <c r="AU365" i="4"/>
  <c r="AT365" i="4"/>
  <c r="AS365" i="4"/>
  <c r="AR365" i="4"/>
  <c r="AN365" i="4"/>
  <c r="AO365" i="4" s="1"/>
  <c r="B365" i="4"/>
  <c r="BW364" i="4"/>
  <c r="BV364" i="4"/>
  <c r="BU364" i="4"/>
  <c r="BT364" i="4"/>
  <c r="BS364" i="4"/>
  <c r="BR364" i="4"/>
  <c r="BQ364" i="4"/>
  <c r="BP364" i="4"/>
  <c r="BO364" i="4"/>
  <c r="BN364" i="4"/>
  <c r="BM364" i="4"/>
  <c r="BL364" i="4"/>
  <c r="BK364" i="4"/>
  <c r="BJ364" i="4"/>
  <c r="BI364" i="4"/>
  <c r="BH364" i="4"/>
  <c r="BG364" i="4"/>
  <c r="BF364" i="4"/>
  <c r="BE364" i="4"/>
  <c r="BD364" i="4"/>
  <c r="BC364" i="4"/>
  <c r="BB364" i="4"/>
  <c r="BA364" i="4"/>
  <c r="AZ364" i="4"/>
  <c r="AY364" i="4"/>
  <c r="AX364" i="4"/>
  <c r="AW364" i="4"/>
  <c r="AV364" i="4"/>
  <c r="AU364" i="4"/>
  <c r="AT364" i="4"/>
  <c r="AS364" i="4"/>
  <c r="AR364" i="4"/>
  <c r="AN364" i="4"/>
  <c r="AO364" i="4" s="1"/>
  <c r="B364" i="4"/>
  <c r="BW363" i="4"/>
  <c r="BV363" i="4"/>
  <c r="BU363" i="4"/>
  <c r="BT363" i="4"/>
  <c r="BS363" i="4"/>
  <c r="BR363" i="4"/>
  <c r="BQ363" i="4"/>
  <c r="BP363" i="4"/>
  <c r="BO363" i="4"/>
  <c r="BN363" i="4"/>
  <c r="BM363" i="4"/>
  <c r="BL363" i="4"/>
  <c r="BK363" i="4"/>
  <c r="BJ363" i="4"/>
  <c r="BI363" i="4"/>
  <c r="BH363" i="4"/>
  <c r="BG363" i="4"/>
  <c r="BF363" i="4"/>
  <c r="BE363" i="4"/>
  <c r="BD363" i="4"/>
  <c r="BC363" i="4"/>
  <c r="BB363" i="4"/>
  <c r="BA363" i="4"/>
  <c r="AZ363" i="4"/>
  <c r="AY363" i="4"/>
  <c r="AX363" i="4"/>
  <c r="AW363" i="4"/>
  <c r="AV363" i="4"/>
  <c r="AU363" i="4"/>
  <c r="AT363" i="4"/>
  <c r="AS363" i="4"/>
  <c r="AR363" i="4"/>
  <c r="B363" i="4"/>
  <c r="BW362" i="4"/>
  <c r="BV362" i="4"/>
  <c r="BU362" i="4"/>
  <c r="BT362" i="4"/>
  <c r="BS362" i="4"/>
  <c r="BR362" i="4"/>
  <c r="BQ362" i="4"/>
  <c r="BP362" i="4"/>
  <c r="BO362" i="4"/>
  <c r="BN362" i="4"/>
  <c r="BM362" i="4"/>
  <c r="BL362" i="4"/>
  <c r="BK362" i="4"/>
  <c r="BJ362" i="4"/>
  <c r="BI362" i="4"/>
  <c r="BH362" i="4"/>
  <c r="BG362" i="4"/>
  <c r="BF362" i="4"/>
  <c r="BE362" i="4"/>
  <c r="BD362" i="4"/>
  <c r="BC362" i="4"/>
  <c r="BB362" i="4"/>
  <c r="BA362" i="4"/>
  <c r="AZ362" i="4"/>
  <c r="AY362" i="4"/>
  <c r="AX362" i="4"/>
  <c r="AW362" i="4"/>
  <c r="AV362" i="4"/>
  <c r="AU362" i="4"/>
  <c r="AT362" i="4"/>
  <c r="AS362" i="4"/>
  <c r="AR362" i="4"/>
  <c r="AN362" i="4"/>
  <c r="AO362" i="4" s="1"/>
  <c r="B362" i="4"/>
  <c r="BW361" i="4"/>
  <c r="BV361" i="4"/>
  <c r="BU361" i="4"/>
  <c r="BT361" i="4"/>
  <c r="BS361" i="4"/>
  <c r="BR361" i="4"/>
  <c r="BQ361" i="4"/>
  <c r="BP361" i="4"/>
  <c r="BO361" i="4"/>
  <c r="BN361" i="4"/>
  <c r="BM361" i="4"/>
  <c r="BL361" i="4"/>
  <c r="BK361" i="4"/>
  <c r="BJ361" i="4"/>
  <c r="BI361" i="4"/>
  <c r="BH361" i="4"/>
  <c r="BG361" i="4"/>
  <c r="BF361" i="4"/>
  <c r="BE361" i="4"/>
  <c r="BD361" i="4"/>
  <c r="BC361" i="4"/>
  <c r="BB361" i="4"/>
  <c r="BA361" i="4"/>
  <c r="AZ361" i="4"/>
  <c r="AY361" i="4"/>
  <c r="AX361" i="4"/>
  <c r="AW361" i="4"/>
  <c r="AV361" i="4"/>
  <c r="AU361" i="4"/>
  <c r="AT361" i="4"/>
  <c r="AS361" i="4"/>
  <c r="AR361" i="4"/>
  <c r="AN361" i="4"/>
  <c r="AO361" i="4" s="1"/>
  <c r="B361" i="4"/>
  <c r="BW360" i="4"/>
  <c r="BV360" i="4"/>
  <c r="BU360" i="4"/>
  <c r="BT360" i="4"/>
  <c r="BS360" i="4"/>
  <c r="BR360" i="4"/>
  <c r="BQ360" i="4"/>
  <c r="BP360" i="4"/>
  <c r="BO360" i="4"/>
  <c r="BN360" i="4"/>
  <c r="BM360" i="4"/>
  <c r="BL360" i="4"/>
  <c r="BK360" i="4"/>
  <c r="BJ360" i="4"/>
  <c r="BI360" i="4"/>
  <c r="BH360" i="4"/>
  <c r="BG360" i="4"/>
  <c r="BF360" i="4"/>
  <c r="BE360" i="4"/>
  <c r="BD360" i="4"/>
  <c r="BC360" i="4"/>
  <c r="BB360" i="4"/>
  <c r="BA360" i="4"/>
  <c r="AZ360" i="4"/>
  <c r="AY360" i="4"/>
  <c r="AX360" i="4"/>
  <c r="AW360" i="4"/>
  <c r="AV360" i="4"/>
  <c r="AU360" i="4"/>
  <c r="AT360" i="4"/>
  <c r="AS360" i="4"/>
  <c r="AR360" i="4"/>
  <c r="AN360" i="4" s="1"/>
  <c r="AO360" i="4" s="1"/>
  <c r="B360" i="4"/>
  <c r="BW359" i="4"/>
  <c r="BV359" i="4"/>
  <c r="BU359" i="4"/>
  <c r="BT359" i="4"/>
  <c r="BS359" i="4"/>
  <c r="BR359" i="4"/>
  <c r="BQ359" i="4"/>
  <c r="BP359" i="4"/>
  <c r="BO359" i="4"/>
  <c r="BN359" i="4"/>
  <c r="BM359" i="4"/>
  <c r="BL359" i="4"/>
  <c r="BK359" i="4"/>
  <c r="BJ359" i="4"/>
  <c r="BI359" i="4"/>
  <c r="BH359" i="4"/>
  <c r="BG359" i="4"/>
  <c r="BF359" i="4"/>
  <c r="BE359" i="4"/>
  <c r="BD359" i="4"/>
  <c r="BC359" i="4"/>
  <c r="BB359" i="4"/>
  <c r="BA359" i="4"/>
  <c r="AZ359" i="4"/>
  <c r="AY359" i="4"/>
  <c r="AX359" i="4"/>
  <c r="AW359" i="4"/>
  <c r="AV359" i="4"/>
  <c r="AU359" i="4"/>
  <c r="AT359" i="4"/>
  <c r="AS359" i="4"/>
  <c r="AR359" i="4"/>
  <c r="AN359" i="4"/>
  <c r="AO359" i="4" s="1"/>
  <c r="B359" i="4"/>
  <c r="BW358" i="4"/>
  <c r="BV358" i="4"/>
  <c r="BU358" i="4"/>
  <c r="BT358" i="4"/>
  <c r="BS358" i="4"/>
  <c r="BR358" i="4"/>
  <c r="BQ358" i="4"/>
  <c r="BP358" i="4"/>
  <c r="BO358" i="4"/>
  <c r="BN358" i="4"/>
  <c r="BM358" i="4"/>
  <c r="BL358" i="4"/>
  <c r="BK358" i="4"/>
  <c r="BJ358" i="4"/>
  <c r="BI358" i="4"/>
  <c r="BH358" i="4"/>
  <c r="BG358" i="4"/>
  <c r="BF358" i="4"/>
  <c r="BE358" i="4"/>
  <c r="BD358" i="4"/>
  <c r="BC358" i="4"/>
  <c r="BB358" i="4"/>
  <c r="BA358" i="4"/>
  <c r="AZ358" i="4"/>
  <c r="AY358" i="4"/>
  <c r="AX358" i="4"/>
  <c r="AW358" i="4"/>
  <c r="AV358" i="4"/>
  <c r="AU358" i="4"/>
  <c r="AT358" i="4"/>
  <c r="AS358" i="4"/>
  <c r="AR358" i="4"/>
  <c r="AN358" i="4"/>
  <c r="AO358" i="4" s="1"/>
  <c r="B358" i="4"/>
  <c r="BW357" i="4"/>
  <c r="BV357" i="4"/>
  <c r="BU357" i="4"/>
  <c r="BT357" i="4"/>
  <c r="BS357" i="4"/>
  <c r="BR357" i="4"/>
  <c r="BQ357" i="4"/>
  <c r="BP357" i="4"/>
  <c r="BO357" i="4"/>
  <c r="BN357" i="4"/>
  <c r="BM357" i="4"/>
  <c r="BL357" i="4"/>
  <c r="BK357" i="4"/>
  <c r="BJ357" i="4"/>
  <c r="BI357" i="4"/>
  <c r="BH357" i="4"/>
  <c r="BG357" i="4"/>
  <c r="BF357" i="4"/>
  <c r="BE357" i="4"/>
  <c r="BD357" i="4"/>
  <c r="BC357" i="4"/>
  <c r="BB357" i="4"/>
  <c r="BA357" i="4"/>
  <c r="AZ357" i="4"/>
  <c r="AY357" i="4"/>
  <c r="AX357" i="4"/>
  <c r="AW357" i="4"/>
  <c r="AV357" i="4"/>
  <c r="AU357" i="4"/>
  <c r="AT357" i="4"/>
  <c r="AS357" i="4"/>
  <c r="AR357" i="4"/>
  <c r="AN357" i="4"/>
  <c r="AO357" i="4" s="1"/>
  <c r="B357" i="4"/>
  <c r="BW356" i="4"/>
  <c r="BV356" i="4"/>
  <c r="BU356" i="4"/>
  <c r="BT356" i="4"/>
  <c r="BS356" i="4"/>
  <c r="BR356" i="4"/>
  <c r="BQ356" i="4"/>
  <c r="BP356" i="4"/>
  <c r="BO356" i="4"/>
  <c r="BN356" i="4"/>
  <c r="BM356" i="4"/>
  <c r="BL356" i="4"/>
  <c r="BK356" i="4"/>
  <c r="BJ356" i="4"/>
  <c r="BI356" i="4"/>
  <c r="BH356" i="4"/>
  <c r="BG356" i="4"/>
  <c r="BF356" i="4"/>
  <c r="BE356" i="4"/>
  <c r="BD356" i="4"/>
  <c r="BC356" i="4"/>
  <c r="BB356" i="4"/>
  <c r="BA356" i="4"/>
  <c r="AZ356" i="4"/>
  <c r="AY356" i="4"/>
  <c r="AX356" i="4"/>
  <c r="AW356" i="4"/>
  <c r="AV356" i="4"/>
  <c r="AU356" i="4"/>
  <c r="AT356" i="4"/>
  <c r="AS356" i="4"/>
  <c r="AR356" i="4"/>
  <c r="AN356" i="4"/>
  <c r="AO356" i="4" s="1"/>
  <c r="B356" i="4"/>
  <c r="BW387" i="4"/>
  <c r="BV387" i="4"/>
  <c r="BU387" i="4"/>
  <c r="BT387" i="4"/>
  <c r="BS387" i="4"/>
  <c r="BR387" i="4"/>
  <c r="BQ387" i="4"/>
  <c r="BP387" i="4"/>
  <c r="BO387" i="4"/>
  <c r="BN387" i="4"/>
  <c r="BM387" i="4"/>
  <c r="BL387" i="4"/>
  <c r="BK387" i="4"/>
  <c r="BJ387" i="4"/>
  <c r="BI387" i="4"/>
  <c r="BH387" i="4"/>
  <c r="BG387" i="4"/>
  <c r="BF387" i="4"/>
  <c r="BE387" i="4"/>
  <c r="BD387" i="4"/>
  <c r="BC387" i="4"/>
  <c r="BB387" i="4"/>
  <c r="BA387" i="4"/>
  <c r="AZ387" i="4"/>
  <c r="AY387" i="4"/>
  <c r="AX387" i="4"/>
  <c r="AW387" i="4"/>
  <c r="AV387" i="4"/>
  <c r="AU387" i="4"/>
  <c r="AT387" i="4"/>
  <c r="AS387" i="4"/>
  <c r="AR387" i="4"/>
  <c r="AN387" i="4"/>
  <c r="AO387" i="4" s="1"/>
  <c r="B387" i="4"/>
  <c r="BW386" i="4"/>
  <c r="BV386" i="4"/>
  <c r="BU386" i="4"/>
  <c r="BT386" i="4"/>
  <c r="BS386" i="4"/>
  <c r="BR386" i="4"/>
  <c r="BQ386" i="4"/>
  <c r="BP386" i="4"/>
  <c r="BO386" i="4"/>
  <c r="BN386" i="4"/>
  <c r="BM386" i="4"/>
  <c r="BL386" i="4"/>
  <c r="BK386" i="4"/>
  <c r="BJ386" i="4"/>
  <c r="BI386" i="4"/>
  <c r="BH386" i="4"/>
  <c r="BG386" i="4"/>
  <c r="BF386" i="4"/>
  <c r="BE386" i="4"/>
  <c r="BD386" i="4"/>
  <c r="BC386" i="4"/>
  <c r="BB386" i="4"/>
  <c r="BA386" i="4"/>
  <c r="AZ386" i="4"/>
  <c r="AY386" i="4"/>
  <c r="AX386" i="4"/>
  <c r="AW386" i="4"/>
  <c r="AV386" i="4"/>
  <c r="AU386" i="4"/>
  <c r="AT386" i="4"/>
  <c r="AS386" i="4"/>
  <c r="AR386" i="4"/>
  <c r="AN386" i="4"/>
  <c r="AO386" i="4" s="1"/>
  <c r="B386" i="4"/>
  <c r="BW385" i="4"/>
  <c r="BV385" i="4"/>
  <c r="BU385" i="4"/>
  <c r="BT385" i="4"/>
  <c r="BS385" i="4"/>
  <c r="BR385" i="4"/>
  <c r="BQ385" i="4"/>
  <c r="BP385" i="4"/>
  <c r="BO385" i="4"/>
  <c r="BN385" i="4"/>
  <c r="BM385" i="4"/>
  <c r="BL385" i="4"/>
  <c r="BK385" i="4"/>
  <c r="BJ385" i="4"/>
  <c r="BI385" i="4"/>
  <c r="BH385" i="4"/>
  <c r="BG385" i="4"/>
  <c r="BF385" i="4"/>
  <c r="BE385" i="4"/>
  <c r="BD385" i="4"/>
  <c r="BC385" i="4"/>
  <c r="BB385" i="4"/>
  <c r="BA385" i="4"/>
  <c r="AZ385" i="4"/>
  <c r="AY385" i="4"/>
  <c r="AX385" i="4"/>
  <c r="AW385" i="4"/>
  <c r="AV385" i="4"/>
  <c r="AU385" i="4"/>
  <c r="AT385" i="4"/>
  <c r="AS385" i="4"/>
  <c r="AR385" i="4"/>
  <c r="AN385" i="4"/>
  <c r="AO385" i="4" s="1"/>
  <c r="B385" i="4"/>
  <c r="BW384" i="4"/>
  <c r="BV384" i="4"/>
  <c r="BU384" i="4"/>
  <c r="BT384" i="4"/>
  <c r="BS384" i="4"/>
  <c r="BR384" i="4"/>
  <c r="BQ384" i="4"/>
  <c r="BP384" i="4"/>
  <c r="BO384" i="4"/>
  <c r="BN384" i="4"/>
  <c r="BM384" i="4"/>
  <c r="BL384" i="4"/>
  <c r="BK384" i="4"/>
  <c r="BJ384" i="4"/>
  <c r="BI384" i="4"/>
  <c r="BH384" i="4"/>
  <c r="BG384" i="4"/>
  <c r="BF384" i="4"/>
  <c r="BE384" i="4"/>
  <c r="BD384" i="4"/>
  <c r="BC384" i="4"/>
  <c r="BB384" i="4"/>
  <c r="BA384" i="4"/>
  <c r="AZ384" i="4"/>
  <c r="AY384" i="4"/>
  <c r="AX384" i="4"/>
  <c r="AW384" i="4"/>
  <c r="AV384" i="4"/>
  <c r="AU384" i="4"/>
  <c r="AT384" i="4"/>
  <c r="AS384" i="4"/>
  <c r="AR384" i="4"/>
  <c r="AN384" i="4"/>
  <c r="AO384" i="4" s="1"/>
  <c r="B384" i="4"/>
  <c r="BW383" i="4"/>
  <c r="BV383" i="4"/>
  <c r="BU383" i="4"/>
  <c r="BT383" i="4"/>
  <c r="BS383" i="4"/>
  <c r="BR383" i="4"/>
  <c r="BQ383" i="4"/>
  <c r="BP383" i="4"/>
  <c r="BO383" i="4"/>
  <c r="BN383" i="4"/>
  <c r="BM383" i="4"/>
  <c r="BL383" i="4"/>
  <c r="BK383" i="4"/>
  <c r="BJ383" i="4"/>
  <c r="BI383" i="4"/>
  <c r="BH383" i="4"/>
  <c r="BG383" i="4"/>
  <c r="BF383" i="4"/>
  <c r="BE383" i="4"/>
  <c r="BD383" i="4"/>
  <c r="BC383" i="4"/>
  <c r="BB383" i="4"/>
  <c r="BA383" i="4"/>
  <c r="AZ383" i="4"/>
  <c r="AY383" i="4"/>
  <c r="AX383" i="4"/>
  <c r="AW383" i="4"/>
  <c r="AV383" i="4"/>
  <c r="AU383" i="4"/>
  <c r="AT383" i="4"/>
  <c r="AS383" i="4"/>
  <c r="AR383" i="4"/>
  <c r="AN383" i="4"/>
  <c r="AO383" i="4" s="1"/>
  <c r="B383" i="4"/>
  <c r="BW382" i="4"/>
  <c r="BV382" i="4"/>
  <c r="BU382" i="4"/>
  <c r="BT382" i="4"/>
  <c r="BS382" i="4"/>
  <c r="BR382" i="4"/>
  <c r="BQ382" i="4"/>
  <c r="BP382" i="4"/>
  <c r="BO382" i="4"/>
  <c r="BN382" i="4"/>
  <c r="BM382" i="4"/>
  <c r="BL382" i="4"/>
  <c r="BK382" i="4"/>
  <c r="BJ382" i="4"/>
  <c r="BI382" i="4"/>
  <c r="BH382" i="4"/>
  <c r="BG382" i="4"/>
  <c r="BF382" i="4"/>
  <c r="BE382" i="4"/>
  <c r="BD382" i="4"/>
  <c r="BC382" i="4"/>
  <c r="BB382" i="4"/>
  <c r="BA382" i="4"/>
  <c r="AZ382" i="4"/>
  <c r="AY382" i="4"/>
  <c r="AX382" i="4"/>
  <c r="AW382" i="4"/>
  <c r="AV382" i="4"/>
  <c r="AU382" i="4"/>
  <c r="AT382" i="4"/>
  <c r="AS382" i="4"/>
  <c r="AR382" i="4"/>
  <c r="AN382" i="4"/>
  <c r="AO382" i="4" s="1"/>
  <c r="B382" i="4"/>
  <c r="BW381" i="4"/>
  <c r="BV381" i="4"/>
  <c r="BU381" i="4"/>
  <c r="BT381" i="4"/>
  <c r="BS381" i="4"/>
  <c r="BR381" i="4"/>
  <c r="BQ381" i="4"/>
  <c r="BP381" i="4"/>
  <c r="BO381" i="4"/>
  <c r="BN381" i="4"/>
  <c r="BM381" i="4"/>
  <c r="BL381" i="4"/>
  <c r="BK381" i="4"/>
  <c r="BJ381" i="4"/>
  <c r="BI381" i="4"/>
  <c r="BH381" i="4"/>
  <c r="BG381" i="4"/>
  <c r="BF381" i="4"/>
  <c r="BE381" i="4"/>
  <c r="BD381" i="4"/>
  <c r="BC381" i="4"/>
  <c r="BB381" i="4"/>
  <c r="BA381" i="4"/>
  <c r="AZ381" i="4"/>
  <c r="AY381" i="4"/>
  <c r="AX381" i="4"/>
  <c r="AW381" i="4"/>
  <c r="AV381" i="4"/>
  <c r="AU381" i="4"/>
  <c r="AT381" i="4"/>
  <c r="AS381" i="4"/>
  <c r="AR381" i="4"/>
  <c r="AN381" i="4"/>
  <c r="AO381" i="4" s="1"/>
  <c r="B381" i="4"/>
  <c r="BW380" i="4"/>
  <c r="BV380" i="4"/>
  <c r="BU380" i="4"/>
  <c r="BT380" i="4"/>
  <c r="BS380" i="4"/>
  <c r="BR380" i="4"/>
  <c r="BQ380" i="4"/>
  <c r="BP380" i="4"/>
  <c r="BO380" i="4"/>
  <c r="BN380" i="4"/>
  <c r="BM380" i="4"/>
  <c r="BL380" i="4"/>
  <c r="BK380" i="4"/>
  <c r="BJ380" i="4"/>
  <c r="BI380" i="4"/>
  <c r="BH380" i="4"/>
  <c r="BG380" i="4"/>
  <c r="BF380" i="4"/>
  <c r="BE380" i="4"/>
  <c r="BD380" i="4"/>
  <c r="BC380" i="4"/>
  <c r="BB380" i="4"/>
  <c r="BA380" i="4"/>
  <c r="AZ380" i="4"/>
  <c r="AY380" i="4"/>
  <c r="AX380" i="4"/>
  <c r="AW380" i="4"/>
  <c r="AV380" i="4"/>
  <c r="AU380" i="4"/>
  <c r="AT380" i="4"/>
  <c r="AS380" i="4"/>
  <c r="AR380" i="4"/>
  <c r="AN380" i="4"/>
  <c r="AO380" i="4" s="1"/>
  <c r="B380" i="4"/>
  <c r="BW379" i="4"/>
  <c r="BV379" i="4"/>
  <c r="BU379" i="4"/>
  <c r="BT379" i="4"/>
  <c r="BS379" i="4"/>
  <c r="BR379" i="4"/>
  <c r="BQ379" i="4"/>
  <c r="BP379" i="4"/>
  <c r="BO379" i="4"/>
  <c r="BN379" i="4"/>
  <c r="BM379" i="4"/>
  <c r="BL379" i="4"/>
  <c r="BK379" i="4"/>
  <c r="BJ379" i="4"/>
  <c r="BI379" i="4"/>
  <c r="BH379" i="4"/>
  <c r="BG379" i="4"/>
  <c r="BF379" i="4"/>
  <c r="BE379" i="4"/>
  <c r="BD379" i="4"/>
  <c r="BC379" i="4"/>
  <c r="BB379" i="4"/>
  <c r="BA379" i="4"/>
  <c r="AZ379" i="4"/>
  <c r="AY379" i="4"/>
  <c r="AX379" i="4"/>
  <c r="AW379" i="4"/>
  <c r="AV379" i="4"/>
  <c r="AU379" i="4"/>
  <c r="AT379" i="4"/>
  <c r="AS379" i="4"/>
  <c r="AR379" i="4"/>
  <c r="AN379" i="4"/>
  <c r="AO379" i="4" s="1"/>
  <c r="B379" i="4"/>
  <c r="BW378" i="4"/>
  <c r="BV378" i="4"/>
  <c r="BU378" i="4"/>
  <c r="BT378" i="4"/>
  <c r="BS378" i="4"/>
  <c r="BR378" i="4"/>
  <c r="BQ378" i="4"/>
  <c r="BP378" i="4"/>
  <c r="BO378" i="4"/>
  <c r="BN378" i="4"/>
  <c r="BM378" i="4"/>
  <c r="BL378" i="4"/>
  <c r="BK378" i="4"/>
  <c r="BJ378" i="4"/>
  <c r="BI378" i="4"/>
  <c r="BH378" i="4"/>
  <c r="BG378" i="4"/>
  <c r="BF378" i="4"/>
  <c r="BE378" i="4"/>
  <c r="BD378" i="4"/>
  <c r="BC378" i="4"/>
  <c r="BB378" i="4"/>
  <c r="BA378" i="4"/>
  <c r="AZ378" i="4"/>
  <c r="AY378" i="4"/>
  <c r="AX378" i="4"/>
  <c r="AW378" i="4"/>
  <c r="AV378" i="4"/>
  <c r="AU378" i="4"/>
  <c r="AT378" i="4"/>
  <c r="AS378" i="4"/>
  <c r="AR378" i="4"/>
  <c r="AN378" i="4"/>
  <c r="AO378" i="4" s="1"/>
  <c r="B378" i="4"/>
  <c r="BW377" i="4"/>
  <c r="BV377" i="4"/>
  <c r="BU377" i="4"/>
  <c r="BT377" i="4"/>
  <c r="BS377" i="4"/>
  <c r="BR377" i="4"/>
  <c r="BQ377" i="4"/>
  <c r="BP377" i="4"/>
  <c r="BO377" i="4"/>
  <c r="BN377" i="4"/>
  <c r="BM377" i="4"/>
  <c r="BL377" i="4"/>
  <c r="BK377" i="4"/>
  <c r="BJ377" i="4"/>
  <c r="BI377" i="4"/>
  <c r="BH377" i="4"/>
  <c r="BG377" i="4"/>
  <c r="BF377" i="4"/>
  <c r="BE377" i="4"/>
  <c r="BD377" i="4"/>
  <c r="BC377" i="4"/>
  <c r="BB377" i="4"/>
  <c r="BA377" i="4"/>
  <c r="AZ377" i="4"/>
  <c r="AY377" i="4"/>
  <c r="AX377" i="4"/>
  <c r="AW377" i="4"/>
  <c r="AV377" i="4"/>
  <c r="AU377" i="4"/>
  <c r="AT377" i="4"/>
  <c r="AS377" i="4"/>
  <c r="AR377" i="4"/>
  <c r="AN377" i="4"/>
  <c r="AO377" i="4" s="1"/>
  <c r="B377" i="4"/>
  <c r="BW376" i="4"/>
  <c r="BV376" i="4"/>
  <c r="BU376" i="4"/>
  <c r="BT376" i="4"/>
  <c r="BS376" i="4"/>
  <c r="BR376" i="4"/>
  <c r="BQ376" i="4"/>
  <c r="BP376" i="4"/>
  <c r="BO376" i="4"/>
  <c r="BN376" i="4"/>
  <c r="BM376" i="4"/>
  <c r="BL376" i="4"/>
  <c r="BK376" i="4"/>
  <c r="BJ376" i="4"/>
  <c r="BI376" i="4"/>
  <c r="BH376" i="4"/>
  <c r="BG376" i="4"/>
  <c r="BF376" i="4"/>
  <c r="BE376" i="4"/>
  <c r="BD376" i="4"/>
  <c r="BC376" i="4"/>
  <c r="BB376" i="4"/>
  <c r="BA376" i="4"/>
  <c r="AZ376" i="4"/>
  <c r="AY376" i="4"/>
  <c r="AX376" i="4"/>
  <c r="AW376" i="4"/>
  <c r="AV376" i="4"/>
  <c r="AU376" i="4"/>
  <c r="AT376" i="4"/>
  <c r="AS376" i="4"/>
  <c r="AR376" i="4"/>
  <c r="AN376" i="4"/>
  <c r="AO376" i="4" s="1"/>
  <c r="B376" i="4"/>
  <c r="BW375" i="4"/>
  <c r="BV375" i="4"/>
  <c r="BU375" i="4"/>
  <c r="BT375" i="4"/>
  <c r="BS375" i="4"/>
  <c r="BR375" i="4"/>
  <c r="BQ375" i="4"/>
  <c r="BP375" i="4"/>
  <c r="BO375" i="4"/>
  <c r="BN375" i="4"/>
  <c r="BM375" i="4"/>
  <c r="BL375" i="4"/>
  <c r="BK375" i="4"/>
  <c r="BJ375" i="4"/>
  <c r="BI375" i="4"/>
  <c r="BH375" i="4"/>
  <c r="BG375" i="4"/>
  <c r="BF375" i="4"/>
  <c r="BE375" i="4"/>
  <c r="BD375" i="4"/>
  <c r="BC375" i="4"/>
  <c r="BB375" i="4"/>
  <c r="BA375" i="4"/>
  <c r="AZ375" i="4"/>
  <c r="AY375" i="4"/>
  <c r="AX375" i="4"/>
  <c r="AW375" i="4"/>
  <c r="AV375" i="4"/>
  <c r="AU375" i="4"/>
  <c r="AT375" i="4"/>
  <c r="AS375" i="4"/>
  <c r="AR375" i="4"/>
  <c r="AN375" i="4"/>
  <c r="AO375" i="4" s="1"/>
  <c r="B375" i="4"/>
  <c r="BW374" i="4"/>
  <c r="BV374" i="4"/>
  <c r="BU374" i="4"/>
  <c r="BT374" i="4"/>
  <c r="BS374" i="4"/>
  <c r="BR374" i="4"/>
  <c r="BQ374" i="4"/>
  <c r="BP374" i="4"/>
  <c r="BO374" i="4"/>
  <c r="BN374" i="4"/>
  <c r="BM374" i="4"/>
  <c r="BL374" i="4"/>
  <c r="BK374" i="4"/>
  <c r="BJ374" i="4"/>
  <c r="BI374" i="4"/>
  <c r="BH374" i="4"/>
  <c r="BG374" i="4"/>
  <c r="BF374" i="4"/>
  <c r="BE374" i="4"/>
  <c r="BD374" i="4"/>
  <c r="BC374" i="4"/>
  <c r="BB374" i="4"/>
  <c r="BA374" i="4"/>
  <c r="AZ374" i="4"/>
  <c r="AY374" i="4"/>
  <c r="AX374" i="4"/>
  <c r="AW374" i="4"/>
  <c r="AV374" i="4"/>
  <c r="AU374" i="4"/>
  <c r="AT374" i="4"/>
  <c r="AS374" i="4"/>
  <c r="AR374" i="4"/>
  <c r="AN374" i="4"/>
  <c r="AO374" i="4" s="1"/>
  <c r="B374" i="4"/>
  <c r="BW373" i="4"/>
  <c r="BV373" i="4"/>
  <c r="BU373" i="4"/>
  <c r="BT373" i="4"/>
  <c r="BS373" i="4"/>
  <c r="BR373" i="4"/>
  <c r="BQ373" i="4"/>
  <c r="BP373" i="4"/>
  <c r="BO373" i="4"/>
  <c r="BN373" i="4"/>
  <c r="BM373" i="4"/>
  <c r="BL373" i="4"/>
  <c r="BK373" i="4"/>
  <c r="BJ373" i="4"/>
  <c r="BI373" i="4"/>
  <c r="BH373" i="4"/>
  <c r="BG373" i="4"/>
  <c r="BF373" i="4"/>
  <c r="BE373" i="4"/>
  <c r="BD373" i="4"/>
  <c r="BC373" i="4"/>
  <c r="BB373" i="4"/>
  <c r="BA373" i="4"/>
  <c r="AZ373" i="4"/>
  <c r="AY373" i="4"/>
  <c r="AX373" i="4"/>
  <c r="AW373" i="4"/>
  <c r="AV373" i="4"/>
  <c r="AU373" i="4"/>
  <c r="AT373" i="4"/>
  <c r="AS373" i="4"/>
  <c r="AR373" i="4"/>
  <c r="AN373" i="4"/>
  <c r="AO373" i="4" s="1"/>
  <c r="B373" i="4"/>
  <c r="BW372" i="4"/>
  <c r="BV372" i="4"/>
  <c r="BU372" i="4"/>
  <c r="BT372" i="4"/>
  <c r="BS372" i="4"/>
  <c r="BR372" i="4"/>
  <c r="BQ372" i="4"/>
  <c r="BP372" i="4"/>
  <c r="BO372" i="4"/>
  <c r="BN372" i="4"/>
  <c r="BM372" i="4"/>
  <c r="BL372" i="4"/>
  <c r="BK372" i="4"/>
  <c r="BJ372" i="4"/>
  <c r="BI372" i="4"/>
  <c r="BH372" i="4"/>
  <c r="BG372" i="4"/>
  <c r="BF372" i="4"/>
  <c r="BE372" i="4"/>
  <c r="BD372" i="4"/>
  <c r="BC372" i="4"/>
  <c r="BB372" i="4"/>
  <c r="BA372" i="4"/>
  <c r="AZ372" i="4"/>
  <c r="AY372" i="4"/>
  <c r="AX372" i="4"/>
  <c r="AW372" i="4"/>
  <c r="AV372" i="4"/>
  <c r="AU372" i="4"/>
  <c r="AT372" i="4"/>
  <c r="AS372" i="4"/>
  <c r="AR372" i="4"/>
  <c r="AN372" i="4"/>
  <c r="AO372" i="4" s="1"/>
  <c r="B372" i="4"/>
  <c r="BW403" i="4"/>
  <c r="BV403" i="4"/>
  <c r="BU403" i="4"/>
  <c r="BT403" i="4"/>
  <c r="BS403" i="4"/>
  <c r="BR403" i="4"/>
  <c r="BQ403" i="4"/>
  <c r="BP403" i="4"/>
  <c r="BO403" i="4"/>
  <c r="BN403" i="4"/>
  <c r="BM403" i="4"/>
  <c r="BL403" i="4"/>
  <c r="BK403" i="4"/>
  <c r="BJ403" i="4"/>
  <c r="BI403" i="4"/>
  <c r="BH403" i="4"/>
  <c r="BG403" i="4"/>
  <c r="BF403" i="4"/>
  <c r="BE403" i="4"/>
  <c r="BD403" i="4"/>
  <c r="BC403" i="4"/>
  <c r="BB403" i="4"/>
  <c r="BA403" i="4"/>
  <c r="AZ403" i="4"/>
  <c r="AY403" i="4"/>
  <c r="AX403" i="4"/>
  <c r="AW403" i="4"/>
  <c r="AV403" i="4"/>
  <c r="AU403" i="4"/>
  <c r="AT403" i="4"/>
  <c r="AS403" i="4"/>
  <c r="AR403" i="4"/>
  <c r="AN403" i="4"/>
  <c r="AO403" i="4" s="1"/>
  <c r="B403" i="4"/>
  <c r="BW402" i="4"/>
  <c r="BV402" i="4"/>
  <c r="BU402" i="4"/>
  <c r="BT402" i="4"/>
  <c r="BS402" i="4"/>
  <c r="BR402" i="4"/>
  <c r="BQ402" i="4"/>
  <c r="BP402" i="4"/>
  <c r="BO402" i="4"/>
  <c r="BN402" i="4"/>
  <c r="BM402" i="4"/>
  <c r="BL402" i="4"/>
  <c r="BK402" i="4"/>
  <c r="BJ402" i="4"/>
  <c r="BI402" i="4"/>
  <c r="BH402" i="4"/>
  <c r="BG402" i="4"/>
  <c r="BF402" i="4"/>
  <c r="BE402" i="4"/>
  <c r="BD402" i="4"/>
  <c r="BC402" i="4"/>
  <c r="BB402" i="4"/>
  <c r="BA402" i="4"/>
  <c r="AZ402" i="4"/>
  <c r="AY402" i="4"/>
  <c r="AX402" i="4"/>
  <c r="AW402" i="4"/>
  <c r="AV402" i="4"/>
  <c r="AU402" i="4"/>
  <c r="AT402" i="4"/>
  <c r="AS402" i="4"/>
  <c r="AR402" i="4"/>
  <c r="AN402" i="4"/>
  <c r="AO402" i="4" s="1"/>
  <c r="B402" i="4"/>
  <c r="BW401" i="4"/>
  <c r="BV401" i="4"/>
  <c r="BU401" i="4"/>
  <c r="BT401" i="4"/>
  <c r="BS401" i="4"/>
  <c r="BR401" i="4"/>
  <c r="BQ401" i="4"/>
  <c r="BP401" i="4"/>
  <c r="BO401" i="4"/>
  <c r="BN401" i="4"/>
  <c r="BM401" i="4"/>
  <c r="BL401" i="4"/>
  <c r="BK401" i="4"/>
  <c r="BJ401" i="4"/>
  <c r="BI401" i="4"/>
  <c r="BH401" i="4"/>
  <c r="BG401" i="4"/>
  <c r="BF401" i="4"/>
  <c r="BE401" i="4"/>
  <c r="BD401" i="4"/>
  <c r="BC401" i="4"/>
  <c r="BB401" i="4"/>
  <c r="BA401" i="4"/>
  <c r="AZ401" i="4"/>
  <c r="AY401" i="4"/>
  <c r="AX401" i="4"/>
  <c r="AW401" i="4"/>
  <c r="AV401" i="4"/>
  <c r="AU401" i="4"/>
  <c r="AT401" i="4"/>
  <c r="AS401" i="4"/>
  <c r="AR401" i="4"/>
  <c r="AN401" i="4"/>
  <c r="AO401" i="4" s="1"/>
  <c r="B401" i="4"/>
  <c r="BW400" i="4"/>
  <c r="BV400" i="4"/>
  <c r="BU400" i="4"/>
  <c r="BT400" i="4"/>
  <c r="BS400" i="4"/>
  <c r="BR400" i="4"/>
  <c r="BQ400" i="4"/>
  <c r="BP400" i="4"/>
  <c r="BO400" i="4"/>
  <c r="BN400" i="4"/>
  <c r="BM400" i="4"/>
  <c r="BL400" i="4"/>
  <c r="BK400" i="4"/>
  <c r="BJ400" i="4"/>
  <c r="BI400" i="4"/>
  <c r="BH400" i="4"/>
  <c r="BG400" i="4"/>
  <c r="BF400" i="4"/>
  <c r="BE400" i="4"/>
  <c r="BD400" i="4"/>
  <c r="BC400" i="4"/>
  <c r="BB400" i="4"/>
  <c r="BA400" i="4"/>
  <c r="AZ400" i="4"/>
  <c r="AY400" i="4"/>
  <c r="AX400" i="4"/>
  <c r="AW400" i="4"/>
  <c r="AV400" i="4"/>
  <c r="AU400" i="4"/>
  <c r="AT400" i="4"/>
  <c r="AS400" i="4"/>
  <c r="AR400" i="4"/>
  <c r="AN400" i="4"/>
  <c r="AO400" i="4" s="1"/>
  <c r="B400" i="4"/>
  <c r="BW399" i="4"/>
  <c r="BV399" i="4"/>
  <c r="BU399" i="4"/>
  <c r="BT399" i="4"/>
  <c r="BS399" i="4"/>
  <c r="BR399" i="4"/>
  <c r="BQ399" i="4"/>
  <c r="BP399" i="4"/>
  <c r="BO399" i="4"/>
  <c r="BN399" i="4"/>
  <c r="BM399" i="4"/>
  <c r="BL399" i="4"/>
  <c r="BK399" i="4"/>
  <c r="BJ399" i="4"/>
  <c r="BI399" i="4"/>
  <c r="BH399" i="4"/>
  <c r="BG399" i="4"/>
  <c r="BF399" i="4"/>
  <c r="BE399" i="4"/>
  <c r="BD399" i="4"/>
  <c r="BC399" i="4"/>
  <c r="BB399" i="4"/>
  <c r="BA399" i="4"/>
  <c r="AZ399" i="4"/>
  <c r="AY399" i="4"/>
  <c r="AX399" i="4"/>
  <c r="AW399" i="4"/>
  <c r="AV399" i="4"/>
  <c r="AU399" i="4"/>
  <c r="AT399" i="4"/>
  <c r="AS399" i="4"/>
  <c r="AR399" i="4"/>
  <c r="B399" i="4"/>
  <c r="BW398" i="4"/>
  <c r="BV398" i="4"/>
  <c r="BU398" i="4"/>
  <c r="BT398" i="4"/>
  <c r="BS398" i="4"/>
  <c r="BR398" i="4"/>
  <c r="BQ398" i="4"/>
  <c r="BP398" i="4"/>
  <c r="BO398" i="4"/>
  <c r="BN398" i="4"/>
  <c r="BM398" i="4"/>
  <c r="BL398" i="4"/>
  <c r="BK398" i="4"/>
  <c r="BJ398" i="4"/>
  <c r="BI398" i="4"/>
  <c r="BH398" i="4"/>
  <c r="BG398" i="4"/>
  <c r="BF398" i="4"/>
  <c r="BE398" i="4"/>
  <c r="BD398" i="4"/>
  <c r="BC398" i="4"/>
  <c r="BB398" i="4"/>
  <c r="BA398" i="4"/>
  <c r="AZ398" i="4"/>
  <c r="AY398" i="4"/>
  <c r="AX398" i="4"/>
  <c r="AW398" i="4"/>
  <c r="AV398" i="4"/>
  <c r="AU398" i="4"/>
  <c r="AT398" i="4"/>
  <c r="AS398" i="4"/>
  <c r="AR398" i="4"/>
  <c r="AN398" i="4"/>
  <c r="AO398" i="4" s="1"/>
  <c r="B398" i="4"/>
  <c r="BW397" i="4"/>
  <c r="BV397" i="4"/>
  <c r="BU397" i="4"/>
  <c r="BT397" i="4"/>
  <c r="BS397" i="4"/>
  <c r="BR397" i="4"/>
  <c r="BQ397" i="4"/>
  <c r="BP397" i="4"/>
  <c r="BO397" i="4"/>
  <c r="BN397" i="4"/>
  <c r="BM397" i="4"/>
  <c r="BL397" i="4"/>
  <c r="BK397" i="4"/>
  <c r="BJ397" i="4"/>
  <c r="BI397" i="4"/>
  <c r="BH397" i="4"/>
  <c r="BG397" i="4"/>
  <c r="BF397" i="4"/>
  <c r="BE397" i="4"/>
  <c r="BD397" i="4"/>
  <c r="BC397" i="4"/>
  <c r="BB397" i="4"/>
  <c r="BA397" i="4"/>
  <c r="AZ397" i="4"/>
  <c r="AY397" i="4"/>
  <c r="AX397" i="4"/>
  <c r="AW397" i="4"/>
  <c r="AV397" i="4"/>
  <c r="AU397" i="4"/>
  <c r="AT397" i="4"/>
  <c r="AS397" i="4"/>
  <c r="AR397" i="4"/>
  <c r="AN397" i="4"/>
  <c r="AO397" i="4" s="1"/>
  <c r="B397" i="4"/>
  <c r="BW396" i="4"/>
  <c r="BV396" i="4"/>
  <c r="BU396" i="4"/>
  <c r="BT396" i="4"/>
  <c r="BS396" i="4"/>
  <c r="BR396" i="4"/>
  <c r="BQ396" i="4"/>
  <c r="BP396" i="4"/>
  <c r="BO396" i="4"/>
  <c r="BN396" i="4"/>
  <c r="BM396" i="4"/>
  <c r="BL396" i="4"/>
  <c r="BK396" i="4"/>
  <c r="BJ396" i="4"/>
  <c r="BI396" i="4"/>
  <c r="BH396" i="4"/>
  <c r="BG396" i="4"/>
  <c r="BF396" i="4"/>
  <c r="BE396" i="4"/>
  <c r="BD396" i="4"/>
  <c r="BC396" i="4"/>
  <c r="BB396" i="4"/>
  <c r="BA396" i="4"/>
  <c r="AZ396" i="4"/>
  <c r="AY396" i="4"/>
  <c r="AX396" i="4"/>
  <c r="AW396" i="4"/>
  <c r="AV396" i="4"/>
  <c r="AU396" i="4"/>
  <c r="AT396" i="4"/>
  <c r="AS396" i="4"/>
  <c r="AR396" i="4"/>
  <c r="AN396" i="4"/>
  <c r="AO396" i="4" s="1"/>
  <c r="B396" i="4"/>
  <c r="BW395" i="4"/>
  <c r="BV395" i="4"/>
  <c r="BU395" i="4"/>
  <c r="BT395" i="4"/>
  <c r="BS395" i="4"/>
  <c r="BR395" i="4"/>
  <c r="BQ395" i="4"/>
  <c r="BP395" i="4"/>
  <c r="BO395" i="4"/>
  <c r="BN395" i="4"/>
  <c r="BM395" i="4"/>
  <c r="BL395" i="4"/>
  <c r="BK395" i="4"/>
  <c r="BJ395" i="4"/>
  <c r="BI395" i="4"/>
  <c r="BH395" i="4"/>
  <c r="BG395" i="4"/>
  <c r="BF395" i="4"/>
  <c r="BE395" i="4"/>
  <c r="BD395" i="4"/>
  <c r="BC395" i="4"/>
  <c r="BB395" i="4"/>
  <c r="BA395" i="4"/>
  <c r="AZ395" i="4"/>
  <c r="AY395" i="4"/>
  <c r="AX395" i="4"/>
  <c r="AW395" i="4"/>
  <c r="AV395" i="4"/>
  <c r="AU395" i="4"/>
  <c r="AT395" i="4"/>
  <c r="AS395" i="4"/>
  <c r="AR395" i="4"/>
  <c r="AN395" i="4"/>
  <c r="AO395" i="4" s="1"/>
  <c r="B395" i="4"/>
  <c r="BW394" i="4"/>
  <c r="BV394" i="4"/>
  <c r="BU394" i="4"/>
  <c r="BT394" i="4"/>
  <c r="BS394" i="4"/>
  <c r="BR394" i="4"/>
  <c r="BQ394" i="4"/>
  <c r="BP394" i="4"/>
  <c r="BO394" i="4"/>
  <c r="BN394" i="4"/>
  <c r="BM394" i="4"/>
  <c r="BL394" i="4"/>
  <c r="BK394" i="4"/>
  <c r="BJ394" i="4"/>
  <c r="BI394" i="4"/>
  <c r="BH394" i="4"/>
  <c r="BG394" i="4"/>
  <c r="BF394" i="4"/>
  <c r="BE394" i="4"/>
  <c r="BD394" i="4"/>
  <c r="BC394" i="4"/>
  <c r="BB394" i="4"/>
  <c r="BA394" i="4"/>
  <c r="AZ394" i="4"/>
  <c r="AY394" i="4"/>
  <c r="AX394" i="4"/>
  <c r="AW394" i="4"/>
  <c r="AV394" i="4"/>
  <c r="AU394" i="4"/>
  <c r="AT394" i="4"/>
  <c r="AS394" i="4"/>
  <c r="AR394" i="4"/>
  <c r="AN394" i="4"/>
  <c r="AO394" i="4" s="1"/>
  <c r="B394" i="4"/>
  <c r="BW393" i="4"/>
  <c r="BV393" i="4"/>
  <c r="BU393" i="4"/>
  <c r="BT393" i="4"/>
  <c r="BS393" i="4"/>
  <c r="BR393" i="4"/>
  <c r="BQ393" i="4"/>
  <c r="BP393" i="4"/>
  <c r="BO393" i="4"/>
  <c r="BN393" i="4"/>
  <c r="BM393" i="4"/>
  <c r="BL393" i="4"/>
  <c r="BK393" i="4"/>
  <c r="BJ393" i="4"/>
  <c r="BI393" i="4"/>
  <c r="BH393" i="4"/>
  <c r="BG393" i="4"/>
  <c r="BF393" i="4"/>
  <c r="BE393" i="4"/>
  <c r="BD393" i="4"/>
  <c r="BC393" i="4"/>
  <c r="BB393" i="4"/>
  <c r="BA393" i="4"/>
  <c r="AZ393" i="4"/>
  <c r="AY393" i="4"/>
  <c r="AX393" i="4"/>
  <c r="AW393" i="4"/>
  <c r="AV393" i="4"/>
  <c r="AU393" i="4"/>
  <c r="AT393" i="4"/>
  <c r="AS393" i="4"/>
  <c r="AR393" i="4"/>
  <c r="AN393" i="4"/>
  <c r="AO393" i="4" s="1"/>
  <c r="B393" i="4"/>
  <c r="BW392" i="4"/>
  <c r="BV392" i="4"/>
  <c r="BU392" i="4"/>
  <c r="BT392" i="4"/>
  <c r="BS392" i="4"/>
  <c r="BR392" i="4"/>
  <c r="BQ392" i="4"/>
  <c r="BP392" i="4"/>
  <c r="BO392" i="4"/>
  <c r="BN392" i="4"/>
  <c r="BM392" i="4"/>
  <c r="BL392" i="4"/>
  <c r="BK392" i="4"/>
  <c r="BJ392" i="4"/>
  <c r="BI392" i="4"/>
  <c r="BH392" i="4"/>
  <c r="BG392" i="4"/>
  <c r="BF392" i="4"/>
  <c r="BE392" i="4"/>
  <c r="BD392" i="4"/>
  <c r="BC392" i="4"/>
  <c r="BB392" i="4"/>
  <c r="BA392" i="4"/>
  <c r="AZ392" i="4"/>
  <c r="AY392" i="4"/>
  <c r="AX392" i="4"/>
  <c r="AW392" i="4"/>
  <c r="AV392" i="4"/>
  <c r="AU392" i="4"/>
  <c r="AT392" i="4"/>
  <c r="AS392" i="4"/>
  <c r="AR392" i="4"/>
  <c r="AN392" i="4"/>
  <c r="AO392" i="4" s="1"/>
  <c r="B392" i="4"/>
  <c r="BW391" i="4"/>
  <c r="BV391" i="4"/>
  <c r="BU391" i="4"/>
  <c r="BT391" i="4"/>
  <c r="BS391" i="4"/>
  <c r="BR391" i="4"/>
  <c r="BQ391" i="4"/>
  <c r="BP391" i="4"/>
  <c r="BO391" i="4"/>
  <c r="BN391" i="4"/>
  <c r="BM391" i="4"/>
  <c r="BL391" i="4"/>
  <c r="BK391" i="4"/>
  <c r="BJ391" i="4"/>
  <c r="BI391" i="4"/>
  <c r="BH391" i="4"/>
  <c r="BG391" i="4"/>
  <c r="BF391" i="4"/>
  <c r="BE391" i="4"/>
  <c r="BD391" i="4"/>
  <c r="BC391" i="4"/>
  <c r="BB391" i="4"/>
  <c r="BA391" i="4"/>
  <c r="AZ391" i="4"/>
  <c r="AY391" i="4"/>
  <c r="AX391" i="4"/>
  <c r="AW391" i="4"/>
  <c r="AV391" i="4"/>
  <c r="AU391" i="4"/>
  <c r="AT391" i="4"/>
  <c r="AS391" i="4"/>
  <c r="AR391" i="4"/>
  <c r="AN391" i="4"/>
  <c r="AO391" i="4" s="1"/>
  <c r="B391" i="4"/>
  <c r="BW390" i="4"/>
  <c r="BV390" i="4"/>
  <c r="BU390" i="4"/>
  <c r="BT390" i="4"/>
  <c r="BS390" i="4"/>
  <c r="BR390" i="4"/>
  <c r="BQ390" i="4"/>
  <c r="BP390" i="4"/>
  <c r="BO390" i="4"/>
  <c r="BN390" i="4"/>
  <c r="BM390" i="4"/>
  <c r="BL390" i="4"/>
  <c r="BK390" i="4"/>
  <c r="BJ390" i="4"/>
  <c r="BI390" i="4"/>
  <c r="BH390" i="4"/>
  <c r="BG390" i="4"/>
  <c r="BF390" i="4"/>
  <c r="BE390" i="4"/>
  <c r="BD390" i="4"/>
  <c r="BC390" i="4"/>
  <c r="BB390" i="4"/>
  <c r="BA390" i="4"/>
  <c r="AZ390" i="4"/>
  <c r="AY390" i="4"/>
  <c r="AX390" i="4"/>
  <c r="AW390" i="4"/>
  <c r="AV390" i="4"/>
  <c r="AU390" i="4"/>
  <c r="AT390" i="4"/>
  <c r="AS390" i="4"/>
  <c r="AR390" i="4"/>
  <c r="AN390" i="4"/>
  <c r="AO390" i="4" s="1"/>
  <c r="B390" i="4"/>
  <c r="BW389" i="4"/>
  <c r="BV389" i="4"/>
  <c r="BU389" i="4"/>
  <c r="BT389" i="4"/>
  <c r="BS389" i="4"/>
  <c r="BR389" i="4"/>
  <c r="BQ389" i="4"/>
  <c r="BP389" i="4"/>
  <c r="BO389" i="4"/>
  <c r="BN389" i="4"/>
  <c r="BM389" i="4"/>
  <c r="BL389" i="4"/>
  <c r="BK389" i="4"/>
  <c r="BJ389" i="4"/>
  <c r="BI389" i="4"/>
  <c r="BH389" i="4"/>
  <c r="BG389" i="4"/>
  <c r="BF389" i="4"/>
  <c r="BE389" i="4"/>
  <c r="BD389" i="4"/>
  <c r="BC389" i="4"/>
  <c r="BB389" i="4"/>
  <c r="BA389" i="4"/>
  <c r="AZ389" i="4"/>
  <c r="AY389" i="4"/>
  <c r="AX389" i="4"/>
  <c r="AW389" i="4"/>
  <c r="AV389" i="4"/>
  <c r="AU389" i="4"/>
  <c r="AT389" i="4"/>
  <c r="AS389" i="4"/>
  <c r="AR389" i="4"/>
  <c r="AN389" i="4"/>
  <c r="AO389" i="4" s="1"/>
  <c r="B389" i="4"/>
  <c r="BW388" i="4"/>
  <c r="BV388" i="4"/>
  <c r="BU388" i="4"/>
  <c r="BT388" i="4"/>
  <c r="BS388" i="4"/>
  <c r="BR388" i="4"/>
  <c r="BQ388" i="4"/>
  <c r="BP388" i="4"/>
  <c r="BO388" i="4"/>
  <c r="BN388" i="4"/>
  <c r="BM388" i="4"/>
  <c r="BL388" i="4"/>
  <c r="BK388" i="4"/>
  <c r="BJ388" i="4"/>
  <c r="BI388" i="4"/>
  <c r="BH388" i="4"/>
  <c r="BG388" i="4"/>
  <c r="BF388" i="4"/>
  <c r="BE388" i="4"/>
  <c r="BD388" i="4"/>
  <c r="BC388" i="4"/>
  <c r="BB388" i="4"/>
  <c r="BA388" i="4"/>
  <c r="AZ388" i="4"/>
  <c r="AY388" i="4"/>
  <c r="AX388" i="4"/>
  <c r="AW388" i="4"/>
  <c r="AV388" i="4"/>
  <c r="AU388" i="4"/>
  <c r="AT388" i="4"/>
  <c r="AS388" i="4"/>
  <c r="AR388" i="4"/>
  <c r="AN388" i="4"/>
  <c r="AO388" i="4" s="1"/>
  <c r="B388" i="4"/>
  <c r="BW419" i="4"/>
  <c r="BV419" i="4"/>
  <c r="BU419" i="4"/>
  <c r="BT419" i="4"/>
  <c r="BS419" i="4"/>
  <c r="BR419" i="4"/>
  <c r="BQ419" i="4"/>
  <c r="BP419" i="4"/>
  <c r="BO419" i="4"/>
  <c r="BN419" i="4"/>
  <c r="BM419" i="4"/>
  <c r="BL419" i="4"/>
  <c r="BK419" i="4"/>
  <c r="BJ419" i="4"/>
  <c r="BI419" i="4"/>
  <c r="BH419" i="4"/>
  <c r="BG419" i="4"/>
  <c r="BF419" i="4"/>
  <c r="BE419" i="4"/>
  <c r="BD419" i="4"/>
  <c r="BC419" i="4"/>
  <c r="BB419" i="4"/>
  <c r="BA419" i="4"/>
  <c r="AZ419" i="4"/>
  <c r="AY419" i="4"/>
  <c r="AX419" i="4"/>
  <c r="AW419" i="4"/>
  <c r="AV419" i="4"/>
  <c r="AU419" i="4"/>
  <c r="AT419" i="4"/>
  <c r="AS419" i="4"/>
  <c r="AR419" i="4"/>
  <c r="AN419" i="4"/>
  <c r="AO419" i="4" s="1"/>
  <c r="B419" i="4"/>
  <c r="BW418" i="4"/>
  <c r="BV418" i="4"/>
  <c r="BU418" i="4"/>
  <c r="BT418" i="4"/>
  <c r="BS418" i="4"/>
  <c r="BR418" i="4"/>
  <c r="BQ418" i="4"/>
  <c r="BP418" i="4"/>
  <c r="BO418" i="4"/>
  <c r="BN418" i="4"/>
  <c r="BM418" i="4"/>
  <c r="BL418" i="4"/>
  <c r="BK418" i="4"/>
  <c r="BJ418" i="4"/>
  <c r="BI418" i="4"/>
  <c r="BH418" i="4"/>
  <c r="BG418" i="4"/>
  <c r="BF418" i="4"/>
  <c r="BE418" i="4"/>
  <c r="BD418" i="4"/>
  <c r="BC418" i="4"/>
  <c r="BB418" i="4"/>
  <c r="BA418" i="4"/>
  <c r="AZ418" i="4"/>
  <c r="AY418" i="4"/>
  <c r="AX418" i="4"/>
  <c r="AW418" i="4"/>
  <c r="AV418" i="4"/>
  <c r="AU418" i="4"/>
  <c r="AT418" i="4"/>
  <c r="AS418" i="4"/>
  <c r="AR418" i="4"/>
  <c r="AN418" i="4"/>
  <c r="AO418" i="4" s="1"/>
  <c r="B418" i="4"/>
  <c r="BW417" i="4"/>
  <c r="BV417" i="4"/>
  <c r="BU417" i="4"/>
  <c r="BT417" i="4"/>
  <c r="BS417" i="4"/>
  <c r="BR417" i="4"/>
  <c r="BQ417" i="4"/>
  <c r="BP417" i="4"/>
  <c r="BO417" i="4"/>
  <c r="BN417" i="4"/>
  <c r="BM417" i="4"/>
  <c r="BL417" i="4"/>
  <c r="BK417" i="4"/>
  <c r="BJ417" i="4"/>
  <c r="BI417" i="4"/>
  <c r="BH417" i="4"/>
  <c r="BG417" i="4"/>
  <c r="BF417" i="4"/>
  <c r="BE417" i="4"/>
  <c r="BD417" i="4"/>
  <c r="BC417" i="4"/>
  <c r="BB417" i="4"/>
  <c r="BA417" i="4"/>
  <c r="AZ417" i="4"/>
  <c r="AY417" i="4"/>
  <c r="AX417" i="4"/>
  <c r="AW417" i="4"/>
  <c r="AV417" i="4"/>
  <c r="AU417" i="4"/>
  <c r="AT417" i="4"/>
  <c r="AS417" i="4"/>
  <c r="AR417" i="4"/>
  <c r="AN417" i="4"/>
  <c r="AO417" i="4" s="1"/>
  <c r="B417" i="4"/>
  <c r="BW416" i="4"/>
  <c r="BV416" i="4"/>
  <c r="BU416" i="4"/>
  <c r="BT416" i="4"/>
  <c r="BS416" i="4"/>
  <c r="BR416" i="4"/>
  <c r="BQ416" i="4"/>
  <c r="BP416" i="4"/>
  <c r="BO416" i="4"/>
  <c r="BN416" i="4"/>
  <c r="BM416" i="4"/>
  <c r="BL416" i="4"/>
  <c r="BK416" i="4"/>
  <c r="BJ416" i="4"/>
  <c r="BI416" i="4"/>
  <c r="BH416" i="4"/>
  <c r="BG416" i="4"/>
  <c r="BF416" i="4"/>
  <c r="BE416" i="4"/>
  <c r="BD416" i="4"/>
  <c r="BC416" i="4"/>
  <c r="BB416" i="4"/>
  <c r="BA416" i="4"/>
  <c r="AZ416" i="4"/>
  <c r="AY416" i="4"/>
  <c r="AX416" i="4"/>
  <c r="AW416" i="4"/>
  <c r="AV416" i="4"/>
  <c r="AU416" i="4"/>
  <c r="AT416" i="4"/>
  <c r="AS416" i="4"/>
  <c r="AR416" i="4"/>
  <c r="AN416" i="4"/>
  <c r="AO416" i="4" s="1"/>
  <c r="B416" i="4"/>
  <c r="BW415" i="4"/>
  <c r="BV415" i="4"/>
  <c r="BU415" i="4"/>
  <c r="BT415" i="4"/>
  <c r="BS415" i="4"/>
  <c r="BR415" i="4"/>
  <c r="BQ415" i="4"/>
  <c r="BP415" i="4"/>
  <c r="BO415" i="4"/>
  <c r="BN415" i="4"/>
  <c r="BM415" i="4"/>
  <c r="BL415" i="4"/>
  <c r="BK415" i="4"/>
  <c r="BJ415" i="4"/>
  <c r="BI415" i="4"/>
  <c r="BH415" i="4"/>
  <c r="BG415" i="4"/>
  <c r="BF415" i="4"/>
  <c r="BE415" i="4"/>
  <c r="BD415" i="4"/>
  <c r="BC415" i="4"/>
  <c r="BB415" i="4"/>
  <c r="BA415" i="4"/>
  <c r="AZ415" i="4"/>
  <c r="AY415" i="4"/>
  <c r="AX415" i="4"/>
  <c r="AW415" i="4"/>
  <c r="AV415" i="4"/>
  <c r="AU415" i="4"/>
  <c r="AT415" i="4"/>
  <c r="AS415" i="4"/>
  <c r="AR415" i="4"/>
  <c r="AN415" i="4"/>
  <c r="AO415" i="4" s="1"/>
  <c r="B415" i="4"/>
  <c r="BW414" i="4"/>
  <c r="BV414" i="4"/>
  <c r="BU414" i="4"/>
  <c r="BT414" i="4"/>
  <c r="BS414" i="4"/>
  <c r="BR414" i="4"/>
  <c r="BQ414" i="4"/>
  <c r="BP414" i="4"/>
  <c r="BO414" i="4"/>
  <c r="BN414" i="4"/>
  <c r="BM414" i="4"/>
  <c r="BL414" i="4"/>
  <c r="BK414" i="4"/>
  <c r="BJ414" i="4"/>
  <c r="BI414" i="4"/>
  <c r="BH414" i="4"/>
  <c r="BG414" i="4"/>
  <c r="BF414" i="4"/>
  <c r="BE414" i="4"/>
  <c r="BD414" i="4"/>
  <c r="BC414" i="4"/>
  <c r="BB414" i="4"/>
  <c r="BA414" i="4"/>
  <c r="AZ414" i="4"/>
  <c r="AY414" i="4"/>
  <c r="AX414" i="4"/>
  <c r="AW414" i="4"/>
  <c r="AV414" i="4"/>
  <c r="AU414" i="4"/>
  <c r="AT414" i="4"/>
  <c r="AS414" i="4"/>
  <c r="AR414" i="4"/>
  <c r="AN414" i="4"/>
  <c r="AO414" i="4" s="1"/>
  <c r="B414" i="4"/>
  <c r="BW413" i="4"/>
  <c r="BV413" i="4"/>
  <c r="BU413" i="4"/>
  <c r="BT413" i="4"/>
  <c r="BS413" i="4"/>
  <c r="BR413" i="4"/>
  <c r="BQ413" i="4"/>
  <c r="BP413" i="4"/>
  <c r="BO413" i="4"/>
  <c r="BN413" i="4"/>
  <c r="BM413" i="4"/>
  <c r="BL413" i="4"/>
  <c r="BK413" i="4"/>
  <c r="BJ413" i="4"/>
  <c r="BI413" i="4"/>
  <c r="BH413" i="4"/>
  <c r="BG413" i="4"/>
  <c r="BF413" i="4"/>
  <c r="BE413" i="4"/>
  <c r="BD413" i="4"/>
  <c r="BC413" i="4"/>
  <c r="BB413" i="4"/>
  <c r="BA413" i="4"/>
  <c r="AZ413" i="4"/>
  <c r="AY413" i="4"/>
  <c r="AX413" i="4"/>
  <c r="AW413" i="4"/>
  <c r="AV413" i="4"/>
  <c r="AU413" i="4"/>
  <c r="AT413" i="4"/>
  <c r="AS413" i="4"/>
  <c r="AR413" i="4"/>
  <c r="B413" i="4"/>
  <c r="BW412" i="4"/>
  <c r="BV412" i="4"/>
  <c r="BU412" i="4"/>
  <c r="BT412" i="4"/>
  <c r="BS412" i="4"/>
  <c r="BR412" i="4"/>
  <c r="BQ412" i="4"/>
  <c r="BP412" i="4"/>
  <c r="BO412" i="4"/>
  <c r="BN412" i="4"/>
  <c r="BM412" i="4"/>
  <c r="BL412" i="4"/>
  <c r="BK412" i="4"/>
  <c r="BJ412" i="4"/>
  <c r="BI412" i="4"/>
  <c r="BH412" i="4"/>
  <c r="BG412" i="4"/>
  <c r="BF412" i="4"/>
  <c r="BE412" i="4"/>
  <c r="BD412" i="4"/>
  <c r="BC412" i="4"/>
  <c r="BB412" i="4"/>
  <c r="BA412" i="4"/>
  <c r="AZ412" i="4"/>
  <c r="AY412" i="4"/>
  <c r="AX412" i="4"/>
  <c r="AW412" i="4"/>
  <c r="AV412" i="4"/>
  <c r="AU412" i="4"/>
  <c r="AT412" i="4"/>
  <c r="AS412" i="4"/>
  <c r="AR412" i="4"/>
  <c r="AN412" i="4"/>
  <c r="AO412" i="4" s="1"/>
  <c r="B412" i="4"/>
  <c r="BW411" i="4"/>
  <c r="BV411" i="4"/>
  <c r="BU411" i="4"/>
  <c r="BT411" i="4"/>
  <c r="BS411" i="4"/>
  <c r="BR411" i="4"/>
  <c r="BQ411" i="4"/>
  <c r="BP411" i="4"/>
  <c r="BO411" i="4"/>
  <c r="BN411" i="4"/>
  <c r="BM411" i="4"/>
  <c r="BL411" i="4"/>
  <c r="BK411" i="4"/>
  <c r="BJ411" i="4"/>
  <c r="BI411" i="4"/>
  <c r="BH411" i="4"/>
  <c r="BG411" i="4"/>
  <c r="BF411" i="4"/>
  <c r="BE411" i="4"/>
  <c r="BD411" i="4"/>
  <c r="BC411" i="4"/>
  <c r="BB411" i="4"/>
  <c r="BA411" i="4"/>
  <c r="AZ411" i="4"/>
  <c r="AY411" i="4"/>
  <c r="AX411" i="4"/>
  <c r="AW411" i="4"/>
  <c r="AV411" i="4"/>
  <c r="AU411" i="4"/>
  <c r="AT411" i="4"/>
  <c r="AS411" i="4"/>
  <c r="AR411" i="4"/>
  <c r="AN411" i="4"/>
  <c r="AO411" i="4" s="1"/>
  <c r="B411" i="4"/>
  <c r="BW410" i="4"/>
  <c r="BV410" i="4"/>
  <c r="BU410" i="4"/>
  <c r="BT410" i="4"/>
  <c r="BS410" i="4"/>
  <c r="BR410" i="4"/>
  <c r="BQ410" i="4"/>
  <c r="BP410" i="4"/>
  <c r="BO410" i="4"/>
  <c r="BN410" i="4"/>
  <c r="BM410" i="4"/>
  <c r="BL410" i="4"/>
  <c r="BK410" i="4"/>
  <c r="BJ410" i="4"/>
  <c r="BI410" i="4"/>
  <c r="BH410" i="4"/>
  <c r="BG410" i="4"/>
  <c r="BF410" i="4"/>
  <c r="BE410" i="4"/>
  <c r="BD410" i="4"/>
  <c r="BC410" i="4"/>
  <c r="BB410" i="4"/>
  <c r="BA410" i="4"/>
  <c r="AZ410" i="4"/>
  <c r="AY410" i="4"/>
  <c r="AX410" i="4"/>
  <c r="AW410" i="4"/>
  <c r="AV410" i="4"/>
  <c r="AU410" i="4"/>
  <c r="AT410" i="4"/>
  <c r="AS410" i="4"/>
  <c r="AR410" i="4"/>
  <c r="AN410" i="4"/>
  <c r="AO410" i="4" s="1"/>
  <c r="B410" i="4"/>
  <c r="BW409" i="4"/>
  <c r="BV409" i="4"/>
  <c r="BU409" i="4"/>
  <c r="BT409" i="4"/>
  <c r="BS409" i="4"/>
  <c r="BR409" i="4"/>
  <c r="BQ409" i="4"/>
  <c r="BP409" i="4"/>
  <c r="BO409" i="4"/>
  <c r="BN409" i="4"/>
  <c r="BM409" i="4"/>
  <c r="BL409" i="4"/>
  <c r="BK409" i="4"/>
  <c r="BJ409" i="4"/>
  <c r="BI409" i="4"/>
  <c r="BH409" i="4"/>
  <c r="BG409" i="4"/>
  <c r="BF409" i="4"/>
  <c r="BE409" i="4"/>
  <c r="BD409" i="4"/>
  <c r="BC409" i="4"/>
  <c r="BB409" i="4"/>
  <c r="BA409" i="4"/>
  <c r="AZ409" i="4"/>
  <c r="AY409" i="4"/>
  <c r="AX409" i="4"/>
  <c r="AW409" i="4"/>
  <c r="AV409" i="4"/>
  <c r="AU409" i="4"/>
  <c r="AT409" i="4"/>
  <c r="AS409" i="4"/>
  <c r="AR409" i="4"/>
  <c r="AN409" i="4"/>
  <c r="AO409" i="4" s="1"/>
  <c r="B409" i="4"/>
  <c r="BW408" i="4"/>
  <c r="BV408" i="4"/>
  <c r="BU408" i="4"/>
  <c r="BT408" i="4"/>
  <c r="BS408" i="4"/>
  <c r="BR408" i="4"/>
  <c r="BQ408" i="4"/>
  <c r="BP408" i="4"/>
  <c r="BO408" i="4"/>
  <c r="BN408" i="4"/>
  <c r="BM408" i="4"/>
  <c r="BL408" i="4"/>
  <c r="BK408" i="4"/>
  <c r="BJ408" i="4"/>
  <c r="BI408" i="4"/>
  <c r="BH408" i="4"/>
  <c r="BG408" i="4"/>
  <c r="BF408" i="4"/>
  <c r="BE408" i="4"/>
  <c r="BD408" i="4"/>
  <c r="BC408" i="4"/>
  <c r="BB408" i="4"/>
  <c r="BA408" i="4"/>
  <c r="AZ408" i="4"/>
  <c r="AY408" i="4"/>
  <c r="AX408" i="4"/>
  <c r="AW408" i="4"/>
  <c r="AV408" i="4"/>
  <c r="AU408" i="4"/>
  <c r="AT408" i="4"/>
  <c r="AS408" i="4"/>
  <c r="AR408" i="4"/>
  <c r="AN408" i="4"/>
  <c r="AO408" i="4" s="1"/>
  <c r="B408" i="4"/>
  <c r="BW407" i="4"/>
  <c r="BV407" i="4"/>
  <c r="BU407" i="4"/>
  <c r="BT407" i="4"/>
  <c r="BS407" i="4"/>
  <c r="BR407" i="4"/>
  <c r="BQ407" i="4"/>
  <c r="BP407" i="4"/>
  <c r="BO407" i="4"/>
  <c r="BN407" i="4"/>
  <c r="BM407" i="4"/>
  <c r="BL407" i="4"/>
  <c r="BK407" i="4"/>
  <c r="BJ407" i="4"/>
  <c r="BI407" i="4"/>
  <c r="BH407" i="4"/>
  <c r="BG407" i="4"/>
  <c r="BF407" i="4"/>
  <c r="BE407" i="4"/>
  <c r="BD407" i="4"/>
  <c r="BC407" i="4"/>
  <c r="BB407" i="4"/>
  <c r="BA407" i="4"/>
  <c r="AZ407" i="4"/>
  <c r="AY407" i="4"/>
  <c r="AX407" i="4"/>
  <c r="AW407" i="4"/>
  <c r="AV407" i="4"/>
  <c r="AU407" i="4"/>
  <c r="AT407" i="4"/>
  <c r="AS407" i="4"/>
  <c r="AR407" i="4"/>
  <c r="AN407" i="4"/>
  <c r="AO407" i="4" s="1"/>
  <c r="B407" i="4"/>
  <c r="BW406" i="4"/>
  <c r="BV406" i="4"/>
  <c r="BU406" i="4"/>
  <c r="BT406" i="4"/>
  <c r="BS406" i="4"/>
  <c r="BR406" i="4"/>
  <c r="BQ406" i="4"/>
  <c r="BP406" i="4"/>
  <c r="BO406" i="4"/>
  <c r="BN406" i="4"/>
  <c r="BM406" i="4"/>
  <c r="BL406" i="4"/>
  <c r="BK406" i="4"/>
  <c r="BJ406" i="4"/>
  <c r="BI406" i="4"/>
  <c r="BH406" i="4"/>
  <c r="BG406" i="4"/>
  <c r="BF406" i="4"/>
  <c r="BE406" i="4"/>
  <c r="BD406" i="4"/>
  <c r="BC406" i="4"/>
  <c r="BB406" i="4"/>
  <c r="BA406" i="4"/>
  <c r="AZ406" i="4"/>
  <c r="AY406" i="4"/>
  <c r="AX406" i="4"/>
  <c r="AW406" i="4"/>
  <c r="AV406" i="4"/>
  <c r="AU406" i="4"/>
  <c r="AT406" i="4"/>
  <c r="AS406" i="4"/>
  <c r="AR406" i="4"/>
  <c r="AN406" i="4"/>
  <c r="AO406" i="4" s="1"/>
  <c r="B406" i="4"/>
  <c r="BW405" i="4"/>
  <c r="BV405" i="4"/>
  <c r="BU405" i="4"/>
  <c r="BT405" i="4"/>
  <c r="BS405" i="4"/>
  <c r="BR405" i="4"/>
  <c r="BQ405" i="4"/>
  <c r="BP405" i="4"/>
  <c r="BO405" i="4"/>
  <c r="BN405" i="4"/>
  <c r="BM405" i="4"/>
  <c r="BL405" i="4"/>
  <c r="BK405" i="4"/>
  <c r="BJ405" i="4"/>
  <c r="BI405" i="4"/>
  <c r="BH405" i="4"/>
  <c r="BG405" i="4"/>
  <c r="BF405" i="4"/>
  <c r="BE405" i="4"/>
  <c r="BD405" i="4"/>
  <c r="BC405" i="4"/>
  <c r="BB405" i="4"/>
  <c r="BA405" i="4"/>
  <c r="AZ405" i="4"/>
  <c r="AY405" i="4"/>
  <c r="AX405" i="4"/>
  <c r="AW405" i="4"/>
  <c r="AV405" i="4"/>
  <c r="AU405" i="4"/>
  <c r="AT405" i="4"/>
  <c r="AS405" i="4"/>
  <c r="AR405" i="4"/>
  <c r="AN405" i="4"/>
  <c r="AO405" i="4" s="1"/>
  <c r="B405" i="4"/>
  <c r="BW404" i="4"/>
  <c r="BV404" i="4"/>
  <c r="BU404" i="4"/>
  <c r="BT404" i="4"/>
  <c r="BS404" i="4"/>
  <c r="BR404" i="4"/>
  <c r="BQ404" i="4"/>
  <c r="BP404" i="4"/>
  <c r="BO404" i="4"/>
  <c r="BN404" i="4"/>
  <c r="BM404" i="4"/>
  <c r="BL404" i="4"/>
  <c r="BK404" i="4"/>
  <c r="BJ404" i="4"/>
  <c r="BI404" i="4"/>
  <c r="BH404" i="4"/>
  <c r="BG404" i="4"/>
  <c r="BF404" i="4"/>
  <c r="BE404" i="4"/>
  <c r="BD404" i="4"/>
  <c r="BC404" i="4"/>
  <c r="BB404" i="4"/>
  <c r="BA404" i="4"/>
  <c r="AZ404" i="4"/>
  <c r="AY404" i="4"/>
  <c r="AX404" i="4"/>
  <c r="AW404" i="4"/>
  <c r="AV404" i="4"/>
  <c r="AU404" i="4"/>
  <c r="AT404" i="4"/>
  <c r="AS404" i="4"/>
  <c r="AR404" i="4"/>
  <c r="AN404" i="4"/>
  <c r="AO404" i="4" s="1"/>
  <c r="B404" i="4"/>
  <c r="BW435" i="4"/>
  <c r="BV435" i="4"/>
  <c r="BU435" i="4"/>
  <c r="BT435" i="4"/>
  <c r="BS435" i="4"/>
  <c r="BR435" i="4"/>
  <c r="BQ435" i="4"/>
  <c r="BP435" i="4"/>
  <c r="BO435" i="4"/>
  <c r="BN435" i="4"/>
  <c r="BM435" i="4"/>
  <c r="BL435" i="4"/>
  <c r="BK435" i="4"/>
  <c r="BJ435" i="4"/>
  <c r="BI435" i="4"/>
  <c r="BH435" i="4"/>
  <c r="BG435" i="4"/>
  <c r="BF435" i="4"/>
  <c r="BE435" i="4"/>
  <c r="BD435" i="4"/>
  <c r="BC435" i="4"/>
  <c r="BB435" i="4"/>
  <c r="BA435" i="4"/>
  <c r="AZ435" i="4"/>
  <c r="AY435" i="4"/>
  <c r="AX435" i="4"/>
  <c r="AW435" i="4"/>
  <c r="AV435" i="4"/>
  <c r="AU435" i="4"/>
  <c r="AT435" i="4"/>
  <c r="AS435" i="4"/>
  <c r="AR435" i="4"/>
  <c r="AN435" i="4"/>
  <c r="AO435" i="4" s="1"/>
  <c r="B435" i="4"/>
  <c r="BW434" i="4"/>
  <c r="BV434" i="4"/>
  <c r="BU434" i="4"/>
  <c r="BT434" i="4"/>
  <c r="BS434" i="4"/>
  <c r="BR434" i="4"/>
  <c r="BQ434" i="4"/>
  <c r="BP434" i="4"/>
  <c r="BO434" i="4"/>
  <c r="BN434" i="4"/>
  <c r="BM434" i="4"/>
  <c r="BL434" i="4"/>
  <c r="BK434" i="4"/>
  <c r="BJ434" i="4"/>
  <c r="BI434" i="4"/>
  <c r="BH434" i="4"/>
  <c r="BG434" i="4"/>
  <c r="BF434" i="4"/>
  <c r="BE434" i="4"/>
  <c r="BD434" i="4"/>
  <c r="BC434" i="4"/>
  <c r="BB434" i="4"/>
  <c r="BA434" i="4"/>
  <c r="AZ434" i="4"/>
  <c r="AY434" i="4"/>
  <c r="AX434" i="4"/>
  <c r="AW434" i="4"/>
  <c r="AV434" i="4"/>
  <c r="AU434" i="4"/>
  <c r="AT434" i="4"/>
  <c r="AS434" i="4"/>
  <c r="AR434" i="4"/>
  <c r="AN434" i="4"/>
  <c r="AO434" i="4" s="1"/>
  <c r="B434" i="4"/>
  <c r="BW433" i="4"/>
  <c r="BV433" i="4"/>
  <c r="BU433" i="4"/>
  <c r="BT433" i="4"/>
  <c r="BS433" i="4"/>
  <c r="BR433" i="4"/>
  <c r="BQ433" i="4"/>
  <c r="BP433" i="4"/>
  <c r="BO433" i="4"/>
  <c r="BN433" i="4"/>
  <c r="BM433" i="4"/>
  <c r="BL433" i="4"/>
  <c r="BK433" i="4"/>
  <c r="BJ433" i="4"/>
  <c r="BI433" i="4"/>
  <c r="BH433" i="4"/>
  <c r="BG433" i="4"/>
  <c r="BF433" i="4"/>
  <c r="BE433" i="4"/>
  <c r="BD433" i="4"/>
  <c r="BC433" i="4"/>
  <c r="BB433" i="4"/>
  <c r="BA433" i="4"/>
  <c r="AZ433" i="4"/>
  <c r="AY433" i="4"/>
  <c r="AX433" i="4"/>
  <c r="AW433" i="4"/>
  <c r="AV433" i="4"/>
  <c r="AU433" i="4"/>
  <c r="AT433" i="4"/>
  <c r="AS433" i="4"/>
  <c r="AR433" i="4"/>
  <c r="AN433" i="4"/>
  <c r="AO433" i="4" s="1"/>
  <c r="B433" i="4"/>
  <c r="BW432" i="4"/>
  <c r="BV432" i="4"/>
  <c r="BU432" i="4"/>
  <c r="BT432" i="4"/>
  <c r="BS432" i="4"/>
  <c r="BR432" i="4"/>
  <c r="BQ432" i="4"/>
  <c r="BP432" i="4"/>
  <c r="BO432" i="4"/>
  <c r="BN432" i="4"/>
  <c r="BM432" i="4"/>
  <c r="BL432" i="4"/>
  <c r="BK432" i="4"/>
  <c r="BJ432" i="4"/>
  <c r="BI432" i="4"/>
  <c r="BH432" i="4"/>
  <c r="BG432" i="4"/>
  <c r="BF432" i="4"/>
  <c r="BE432" i="4"/>
  <c r="BD432" i="4"/>
  <c r="BC432" i="4"/>
  <c r="BB432" i="4"/>
  <c r="BA432" i="4"/>
  <c r="AZ432" i="4"/>
  <c r="AY432" i="4"/>
  <c r="AX432" i="4"/>
  <c r="AW432" i="4"/>
  <c r="AV432" i="4"/>
  <c r="AU432" i="4"/>
  <c r="AT432" i="4"/>
  <c r="AS432" i="4"/>
  <c r="AR432" i="4"/>
  <c r="AN432" i="4"/>
  <c r="AO432" i="4" s="1"/>
  <c r="B432" i="4"/>
  <c r="BW431" i="4"/>
  <c r="BV431" i="4"/>
  <c r="BU431" i="4"/>
  <c r="BT431" i="4"/>
  <c r="BS431" i="4"/>
  <c r="BR431" i="4"/>
  <c r="BQ431" i="4"/>
  <c r="BP431" i="4"/>
  <c r="BO431" i="4"/>
  <c r="BN431" i="4"/>
  <c r="BM431" i="4"/>
  <c r="BL431" i="4"/>
  <c r="BK431" i="4"/>
  <c r="BJ431" i="4"/>
  <c r="BI431" i="4"/>
  <c r="BH431" i="4"/>
  <c r="BG431" i="4"/>
  <c r="BF431" i="4"/>
  <c r="BE431" i="4"/>
  <c r="BD431" i="4"/>
  <c r="BC431" i="4"/>
  <c r="BB431" i="4"/>
  <c r="BA431" i="4"/>
  <c r="AZ431" i="4"/>
  <c r="AY431" i="4"/>
  <c r="AX431" i="4"/>
  <c r="AW431" i="4"/>
  <c r="AV431" i="4"/>
  <c r="AU431" i="4"/>
  <c r="AT431" i="4"/>
  <c r="AS431" i="4"/>
  <c r="AR431" i="4"/>
  <c r="AN431" i="4"/>
  <c r="AO431" i="4" s="1"/>
  <c r="B431" i="4"/>
  <c r="BW430" i="4"/>
  <c r="BV430" i="4"/>
  <c r="BU430" i="4"/>
  <c r="BT430" i="4"/>
  <c r="BS430" i="4"/>
  <c r="BR430" i="4"/>
  <c r="BQ430" i="4"/>
  <c r="BP430" i="4"/>
  <c r="BO430" i="4"/>
  <c r="BN430" i="4"/>
  <c r="BM430" i="4"/>
  <c r="BL430" i="4"/>
  <c r="BK430" i="4"/>
  <c r="BJ430" i="4"/>
  <c r="BI430" i="4"/>
  <c r="BH430" i="4"/>
  <c r="BG430" i="4"/>
  <c r="BF430" i="4"/>
  <c r="BE430" i="4"/>
  <c r="BD430" i="4"/>
  <c r="BC430" i="4"/>
  <c r="BB430" i="4"/>
  <c r="BA430" i="4"/>
  <c r="AZ430" i="4"/>
  <c r="AY430" i="4"/>
  <c r="AX430" i="4"/>
  <c r="AW430" i="4"/>
  <c r="AV430" i="4"/>
  <c r="AU430" i="4"/>
  <c r="AT430" i="4"/>
  <c r="AS430" i="4"/>
  <c r="AR430" i="4"/>
  <c r="AN430" i="4"/>
  <c r="AO430" i="4" s="1"/>
  <c r="B430" i="4"/>
  <c r="BW429" i="4"/>
  <c r="BV429" i="4"/>
  <c r="BU429" i="4"/>
  <c r="BT429" i="4"/>
  <c r="BS429" i="4"/>
  <c r="BR429" i="4"/>
  <c r="BQ429" i="4"/>
  <c r="BP429" i="4"/>
  <c r="BO429" i="4"/>
  <c r="BN429" i="4"/>
  <c r="BM429" i="4"/>
  <c r="BL429" i="4"/>
  <c r="BK429" i="4"/>
  <c r="BJ429" i="4"/>
  <c r="BI429" i="4"/>
  <c r="BH429" i="4"/>
  <c r="BG429" i="4"/>
  <c r="BF429" i="4"/>
  <c r="BE429" i="4"/>
  <c r="BD429" i="4"/>
  <c r="BC429" i="4"/>
  <c r="BB429" i="4"/>
  <c r="BA429" i="4"/>
  <c r="AZ429" i="4"/>
  <c r="AY429" i="4"/>
  <c r="AX429" i="4"/>
  <c r="AW429" i="4"/>
  <c r="AV429" i="4"/>
  <c r="AU429" i="4"/>
  <c r="AT429" i="4"/>
  <c r="AS429" i="4"/>
  <c r="AR429" i="4"/>
  <c r="AN429" i="4"/>
  <c r="AO429" i="4" s="1"/>
  <c r="B429" i="4"/>
  <c r="BW428" i="4"/>
  <c r="BV428" i="4"/>
  <c r="BU428" i="4"/>
  <c r="BT428" i="4"/>
  <c r="BS428" i="4"/>
  <c r="BR428" i="4"/>
  <c r="BQ428" i="4"/>
  <c r="BP428" i="4"/>
  <c r="BO428" i="4"/>
  <c r="BN428" i="4"/>
  <c r="BM428" i="4"/>
  <c r="BL428" i="4"/>
  <c r="BK428" i="4"/>
  <c r="BJ428" i="4"/>
  <c r="BI428" i="4"/>
  <c r="BH428" i="4"/>
  <c r="BG428" i="4"/>
  <c r="BF428" i="4"/>
  <c r="BE428" i="4"/>
  <c r="BD428" i="4"/>
  <c r="BC428" i="4"/>
  <c r="BB428" i="4"/>
  <c r="BA428" i="4"/>
  <c r="AZ428" i="4"/>
  <c r="AY428" i="4"/>
  <c r="AX428" i="4"/>
  <c r="AW428" i="4"/>
  <c r="AV428" i="4"/>
  <c r="AU428" i="4"/>
  <c r="AT428" i="4"/>
  <c r="AS428" i="4"/>
  <c r="AR428" i="4"/>
  <c r="AN428" i="4"/>
  <c r="AO428" i="4" s="1"/>
  <c r="B428" i="4"/>
  <c r="BW427" i="4"/>
  <c r="BV427" i="4"/>
  <c r="BU427" i="4"/>
  <c r="BT427" i="4"/>
  <c r="BS427" i="4"/>
  <c r="BR427" i="4"/>
  <c r="BQ427" i="4"/>
  <c r="BP427" i="4"/>
  <c r="BO427" i="4"/>
  <c r="BN427" i="4"/>
  <c r="BM427" i="4"/>
  <c r="BL427" i="4"/>
  <c r="BK427" i="4"/>
  <c r="BJ427" i="4"/>
  <c r="BI427" i="4"/>
  <c r="BH427" i="4"/>
  <c r="BG427" i="4"/>
  <c r="BF427" i="4"/>
  <c r="BE427" i="4"/>
  <c r="BD427" i="4"/>
  <c r="BC427" i="4"/>
  <c r="BB427" i="4"/>
  <c r="BA427" i="4"/>
  <c r="AZ427" i="4"/>
  <c r="AY427" i="4"/>
  <c r="AX427" i="4"/>
  <c r="AW427" i="4"/>
  <c r="AV427" i="4"/>
  <c r="AU427" i="4"/>
  <c r="AT427" i="4"/>
  <c r="AS427" i="4"/>
  <c r="AR427" i="4"/>
  <c r="AN427" i="4"/>
  <c r="AO427" i="4" s="1"/>
  <c r="B427" i="4"/>
  <c r="BW426" i="4"/>
  <c r="BV426" i="4"/>
  <c r="BU426" i="4"/>
  <c r="BT426" i="4"/>
  <c r="BS426" i="4"/>
  <c r="BR426" i="4"/>
  <c r="BQ426" i="4"/>
  <c r="BP426" i="4"/>
  <c r="BO426" i="4"/>
  <c r="BN426" i="4"/>
  <c r="BM426" i="4"/>
  <c r="BL426" i="4"/>
  <c r="BK426" i="4"/>
  <c r="BJ426" i="4"/>
  <c r="BI426" i="4"/>
  <c r="BH426" i="4"/>
  <c r="BG426" i="4"/>
  <c r="BF426" i="4"/>
  <c r="BE426" i="4"/>
  <c r="BD426" i="4"/>
  <c r="BC426" i="4"/>
  <c r="BB426" i="4"/>
  <c r="BA426" i="4"/>
  <c r="AZ426" i="4"/>
  <c r="AY426" i="4"/>
  <c r="AX426" i="4"/>
  <c r="AW426" i="4"/>
  <c r="AV426" i="4"/>
  <c r="AU426" i="4"/>
  <c r="AT426" i="4"/>
  <c r="AS426" i="4"/>
  <c r="AR426" i="4"/>
  <c r="AN426" i="4"/>
  <c r="AO426" i="4" s="1"/>
  <c r="B426" i="4"/>
  <c r="BW425" i="4"/>
  <c r="BV425" i="4"/>
  <c r="BU425" i="4"/>
  <c r="BT425" i="4"/>
  <c r="BS425" i="4"/>
  <c r="BR425" i="4"/>
  <c r="BQ425" i="4"/>
  <c r="BP425" i="4"/>
  <c r="BO425" i="4"/>
  <c r="BN425" i="4"/>
  <c r="BM425" i="4"/>
  <c r="BL425" i="4"/>
  <c r="BK425" i="4"/>
  <c r="BJ425" i="4"/>
  <c r="BI425" i="4"/>
  <c r="BH425" i="4"/>
  <c r="BG425" i="4"/>
  <c r="BF425" i="4"/>
  <c r="BE425" i="4"/>
  <c r="BD425" i="4"/>
  <c r="BC425" i="4"/>
  <c r="BB425" i="4"/>
  <c r="BA425" i="4"/>
  <c r="AZ425" i="4"/>
  <c r="AY425" i="4"/>
  <c r="AX425" i="4"/>
  <c r="AW425" i="4"/>
  <c r="AV425" i="4"/>
  <c r="AU425" i="4"/>
  <c r="AT425" i="4"/>
  <c r="AS425" i="4"/>
  <c r="AR425" i="4"/>
  <c r="B425" i="4"/>
  <c r="BW424" i="4"/>
  <c r="BV424" i="4"/>
  <c r="BU424" i="4"/>
  <c r="BT424" i="4"/>
  <c r="BS424" i="4"/>
  <c r="BR424" i="4"/>
  <c r="BQ424" i="4"/>
  <c r="BP424" i="4"/>
  <c r="BO424" i="4"/>
  <c r="BN424" i="4"/>
  <c r="BM424" i="4"/>
  <c r="BL424" i="4"/>
  <c r="BK424" i="4"/>
  <c r="BJ424" i="4"/>
  <c r="BI424" i="4"/>
  <c r="BH424" i="4"/>
  <c r="BG424" i="4"/>
  <c r="BF424" i="4"/>
  <c r="BE424" i="4"/>
  <c r="BD424" i="4"/>
  <c r="BC424" i="4"/>
  <c r="BB424" i="4"/>
  <c r="BA424" i="4"/>
  <c r="AZ424" i="4"/>
  <c r="AY424" i="4"/>
  <c r="AX424" i="4"/>
  <c r="AW424" i="4"/>
  <c r="AV424" i="4"/>
  <c r="AU424" i="4"/>
  <c r="AT424" i="4"/>
  <c r="AS424" i="4"/>
  <c r="AR424" i="4"/>
  <c r="AN424" i="4"/>
  <c r="AO424" i="4" s="1"/>
  <c r="B424" i="4"/>
  <c r="BW423" i="4"/>
  <c r="BV423" i="4"/>
  <c r="BU423" i="4"/>
  <c r="BT423" i="4"/>
  <c r="BS423" i="4"/>
  <c r="BR423" i="4"/>
  <c r="BQ423" i="4"/>
  <c r="BP423" i="4"/>
  <c r="BO423" i="4"/>
  <c r="BN423" i="4"/>
  <c r="BM423" i="4"/>
  <c r="BL423" i="4"/>
  <c r="BK423" i="4"/>
  <c r="BJ423" i="4"/>
  <c r="BI423" i="4"/>
  <c r="BH423" i="4"/>
  <c r="BG423" i="4"/>
  <c r="BF423" i="4"/>
  <c r="BE423" i="4"/>
  <c r="BD423" i="4"/>
  <c r="BC423" i="4"/>
  <c r="BB423" i="4"/>
  <c r="BA423" i="4"/>
  <c r="AZ423" i="4"/>
  <c r="AY423" i="4"/>
  <c r="AX423" i="4"/>
  <c r="AW423" i="4"/>
  <c r="AV423" i="4"/>
  <c r="AU423" i="4"/>
  <c r="AT423" i="4"/>
  <c r="AS423" i="4"/>
  <c r="AR423" i="4"/>
  <c r="AN423" i="4"/>
  <c r="AO423" i="4" s="1"/>
  <c r="B423" i="4"/>
  <c r="BW422" i="4"/>
  <c r="BV422" i="4"/>
  <c r="BU422" i="4"/>
  <c r="BT422" i="4"/>
  <c r="BS422" i="4"/>
  <c r="BR422" i="4"/>
  <c r="BQ422" i="4"/>
  <c r="BP422" i="4"/>
  <c r="BO422" i="4"/>
  <c r="BN422" i="4"/>
  <c r="BM422" i="4"/>
  <c r="BL422" i="4"/>
  <c r="BK422" i="4"/>
  <c r="BJ422" i="4"/>
  <c r="BI422" i="4"/>
  <c r="BH422" i="4"/>
  <c r="BG422" i="4"/>
  <c r="BF422" i="4"/>
  <c r="BE422" i="4"/>
  <c r="BD422" i="4"/>
  <c r="BC422" i="4"/>
  <c r="BB422" i="4"/>
  <c r="BA422" i="4"/>
  <c r="AZ422" i="4"/>
  <c r="AY422" i="4"/>
  <c r="AX422" i="4"/>
  <c r="AW422" i="4"/>
  <c r="AV422" i="4"/>
  <c r="AU422" i="4"/>
  <c r="AT422" i="4"/>
  <c r="AS422" i="4"/>
  <c r="AR422" i="4"/>
  <c r="AN422" i="4"/>
  <c r="AO422" i="4" s="1"/>
  <c r="B422" i="4"/>
  <c r="BW421" i="4"/>
  <c r="BV421" i="4"/>
  <c r="BU421" i="4"/>
  <c r="BT421" i="4"/>
  <c r="BS421" i="4"/>
  <c r="BR421" i="4"/>
  <c r="BQ421" i="4"/>
  <c r="BP421" i="4"/>
  <c r="BO421" i="4"/>
  <c r="BN421" i="4"/>
  <c r="BM421" i="4"/>
  <c r="BL421" i="4"/>
  <c r="BK421" i="4"/>
  <c r="BJ421" i="4"/>
  <c r="BI421" i="4"/>
  <c r="BH421" i="4"/>
  <c r="BG421" i="4"/>
  <c r="BF421" i="4"/>
  <c r="BE421" i="4"/>
  <c r="BD421" i="4"/>
  <c r="BC421" i="4"/>
  <c r="BB421" i="4"/>
  <c r="BA421" i="4"/>
  <c r="AZ421" i="4"/>
  <c r="AY421" i="4"/>
  <c r="AX421" i="4"/>
  <c r="AW421" i="4"/>
  <c r="AV421" i="4"/>
  <c r="AU421" i="4"/>
  <c r="AT421" i="4"/>
  <c r="AS421" i="4"/>
  <c r="AR421" i="4"/>
  <c r="AN421" i="4"/>
  <c r="AO421" i="4" s="1"/>
  <c r="B421" i="4"/>
  <c r="BW420" i="4"/>
  <c r="BV420" i="4"/>
  <c r="BU420" i="4"/>
  <c r="BT420" i="4"/>
  <c r="BS420" i="4"/>
  <c r="BR420" i="4"/>
  <c r="BQ420" i="4"/>
  <c r="BP420" i="4"/>
  <c r="BO420" i="4"/>
  <c r="BN420" i="4"/>
  <c r="BM420" i="4"/>
  <c r="BL420" i="4"/>
  <c r="BK420" i="4"/>
  <c r="BJ420" i="4"/>
  <c r="BI420" i="4"/>
  <c r="BH420" i="4"/>
  <c r="BG420" i="4"/>
  <c r="BF420" i="4"/>
  <c r="BE420" i="4"/>
  <c r="BD420" i="4"/>
  <c r="BC420" i="4"/>
  <c r="BB420" i="4"/>
  <c r="BA420" i="4"/>
  <c r="AZ420" i="4"/>
  <c r="AY420" i="4"/>
  <c r="AX420" i="4"/>
  <c r="AW420" i="4"/>
  <c r="AV420" i="4"/>
  <c r="AU420" i="4"/>
  <c r="AT420" i="4"/>
  <c r="AS420" i="4"/>
  <c r="AR420" i="4"/>
  <c r="AN420" i="4"/>
  <c r="AO420" i="4" s="1"/>
  <c r="B420" i="4"/>
  <c r="BW451" i="4"/>
  <c r="BV451" i="4"/>
  <c r="BU451" i="4"/>
  <c r="BT451" i="4"/>
  <c r="BS451" i="4"/>
  <c r="BR451" i="4"/>
  <c r="BQ451" i="4"/>
  <c r="BP451" i="4"/>
  <c r="BO451" i="4"/>
  <c r="BN451" i="4"/>
  <c r="BM451" i="4"/>
  <c r="BL451" i="4"/>
  <c r="BK451" i="4"/>
  <c r="BJ451" i="4"/>
  <c r="BI451" i="4"/>
  <c r="BH451" i="4"/>
  <c r="BG451" i="4"/>
  <c r="BF451" i="4"/>
  <c r="BE451" i="4"/>
  <c r="BD451" i="4"/>
  <c r="BC451" i="4"/>
  <c r="BB451" i="4"/>
  <c r="BA451" i="4"/>
  <c r="AZ451" i="4"/>
  <c r="AY451" i="4"/>
  <c r="AX451" i="4"/>
  <c r="AW451" i="4"/>
  <c r="AV451" i="4"/>
  <c r="AU451" i="4"/>
  <c r="AT451" i="4"/>
  <c r="AS451" i="4"/>
  <c r="AR451" i="4"/>
  <c r="AN451" i="4"/>
  <c r="AO451" i="4" s="1"/>
  <c r="B451" i="4"/>
  <c r="BW450" i="4"/>
  <c r="BV450" i="4"/>
  <c r="BU450" i="4"/>
  <c r="BT450" i="4"/>
  <c r="BS450" i="4"/>
  <c r="BR450" i="4"/>
  <c r="BQ450" i="4"/>
  <c r="BP450" i="4"/>
  <c r="BO450" i="4"/>
  <c r="BN450" i="4"/>
  <c r="BM450" i="4"/>
  <c r="BL450" i="4"/>
  <c r="BK450" i="4"/>
  <c r="BJ450" i="4"/>
  <c r="BI450" i="4"/>
  <c r="BH450" i="4"/>
  <c r="BG450" i="4"/>
  <c r="BF450" i="4"/>
  <c r="BE450" i="4"/>
  <c r="BD450" i="4"/>
  <c r="BC450" i="4"/>
  <c r="BB450" i="4"/>
  <c r="BA450" i="4"/>
  <c r="AZ450" i="4"/>
  <c r="AY450" i="4"/>
  <c r="AX450" i="4"/>
  <c r="AW450" i="4"/>
  <c r="AV450" i="4"/>
  <c r="AU450" i="4"/>
  <c r="AT450" i="4"/>
  <c r="AS450" i="4"/>
  <c r="AR450" i="4"/>
  <c r="AN450" i="4"/>
  <c r="AO450" i="4" s="1"/>
  <c r="B450" i="4"/>
  <c r="BW449" i="4"/>
  <c r="BV449" i="4"/>
  <c r="BU449" i="4"/>
  <c r="BT449" i="4"/>
  <c r="BS449" i="4"/>
  <c r="BR449" i="4"/>
  <c r="BQ449" i="4"/>
  <c r="BP449" i="4"/>
  <c r="BO449" i="4"/>
  <c r="BN449" i="4"/>
  <c r="BM449" i="4"/>
  <c r="BL449" i="4"/>
  <c r="BK449" i="4"/>
  <c r="BJ449" i="4"/>
  <c r="BI449" i="4"/>
  <c r="BH449" i="4"/>
  <c r="BG449" i="4"/>
  <c r="BF449" i="4"/>
  <c r="BE449" i="4"/>
  <c r="BD449" i="4"/>
  <c r="BC449" i="4"/>
  <c r="BB449" i="4"/>
  <c r="BA449" i="4"/>
  <c r="AZ449" i="4"/>
  <c r="AY449" i="4"/>
  <c r="AX449" i="4"/>
  <c r="AW449" i="4"/>
  <c r="AV449" i="4"/>
  <c r="AU449" i="4"/>
  <c r="AT449" i="4"/>
  <c r="AS449" i="4"/>
  <c r="AR449" i="4"/>
  <c r="AN449" i="4"/>
  <c r="AO449" i="4" s="1"/>
  <c r="B449" i="4"/>
  <c r="BW448" i="4"/>
  <c r="BV448" i="4"/>
  <c r="BU448" i="4"/>
  <c r="BT448" i="4"/>
  <c r="BS448" i="4"/>
  <c r="BR448" i="4"/>
  <c r="BQ448" i="4"/>
  <c r="BP448" i="4"/>
  <c r="BO448" i="4"/>
  <c r="BN448" i="4"/>
  <c r="BM448" i="4"/>
  <c r="BL448" i="4"/>
  <c r="BK448" i="4"/>
  <c r="BJ448" i="4"/>
  <c r="BI448" i="4"/>
  <c r="BH448" i="4"/>
  <c r="BG448" i="4"/>
  <c r="BF448" i="4"/>
  <c r="BE448" i="4"/>
  <c r="BD448" i="4"/>
  <c r="BC448" i="4"/>
  <c r="BB448" i="4"/>
  <c r="BA448" i="4"/>
  <c r="AZ448" i="4"/>
  <c r="AY448" i="4"/>
  <c r="AX448" i="4"/>
  <c r="AW448" i="4"/>
  <c r="AV448" i="4"/>
  <c r="AU448" i="4"/>
  <c r="AT448" i="4"/>
  <c r="AS448" i="4"/>
  <c r="AR448" i="4"/>
  <c r="AN448" i="4"/>
  <c r="AO448" i="4" s="1"/>
  <c r="B448" i="4"/>
  <c r="BW447" i="4"/>
  <c r="BV447" i="4"/>
  <c r="BU447" i="4"/>
  <c r="BT447" i="4"/>
  <c r="BS447" i="4"/>
  <c r="BR447" i="4"/>
  <c r="BQ447" i="4"/>
  <c r="BP447" i="4"/>
  <c r="BO447" i="4"/>
  <c r="BN447" i="4"/>
  <c r="BM447" i="4"/>
  <c r="BL447" i="4"/>
  <c r="BK447" i="4"/>
  <c r="BJ447" i="4"/>
  <c r="BI447" i="4"/>
  <c r="BH447" i="4"/>
  <c r="BG447" i="4"/>
  <c r="BF447" i="4"/>
  <c r="BE447" i="4"/>
  <c r="BD447" i="4"/>
  <c r="BC447" i="4"/>
  <c r="BB447" i="4"/>
  <c r="BA447" i="4"/>
  <c r="AZ447" i="4"/>
  <c r="AY447" i="4"/>
  <c r="AX447" i="4"/>
  <c r="AW447" i="4"/>
  <c r="AV447" i="4"/>
  <c r="AU447" i="4"/>
  <c r="AT447" i="4"/>
  <c r="AS447" i="4"/>
  <c r="AR447" i="4"/>
  <c r="B447" i="4"/>
  <c r="BW446" i="4"/>
  <c r="BV446" i="4"/>
  <c r="BU446" i="4"/>
  <c r="BT446" i="4"/>
  <c r="BS446" i="4"/>
  <c r="BR446" i="4"/>
  <c r="BQ446" i="4"/>
  <c r="BP446" i="4"/>
  <c r="BO446" i="4"/>
  <c r="BN446" i="4"/>
  <c r="BM446" i="4"/>
  <c r="BL446" i="4"/>
  <c r="BK446" i="4"/>
  <c r="BJ446" i="4"/>
  <c r="BI446" i="4"/>
  <c r="BH446" i="4"/>
  <c r="BG446" i="4"/>
  <c r="BF446" i="4"/>
  <c r="BE446" i="4"/>
  <c r="BD446" i="4"/>
  <c r="BC446" i="4"/>
  <c r="BB446" i="4"/>
  <c r="BA446" i="4"/>
  <c r="AZ446" i="4"/>
  <c r="AY446" i="4"/>
  <c r="AX446" i="4"/>
  <c r="AW446" i="4"/>
  <c r="AV446" i="4"/>
  <c r="AU446" i="4"/>
  <c r="AT446" i="4"/>
  <c r="AS446" i="4"/>
  <c r="AR446" i="4"/>
  <c r="AN446" i="4"/>
  <c r="AO446" i="4" s="1"/>
  <c r="B446" i="4"/>
  <c r="BW445" i="4"/>
  <c r="BV445" i="4"/>
  <c r="BU445" i="4"/>
  <c r="BT445" i="4"/>
  <c r="BS445" i="4"/>
  <c r="BR445" i="4"/>
  <c r="BQ445" i="4"/>
  <c r="BP445" i="4"/>
  <c r="BO445" i="4"/>
  <c r="BN445" i="4"/>
  <c r="BM445" i="4"/>
  <c r="BL445" i="4"/>
  <c r="BK445" i="4"/>
  <c r="BJ445" i="4"/>
  <c r="BI445" i="4"/>
  <c r="BH445" i="4"/>
  <c r="BG445" i="4"/>
  <c r="BF445" i="4"/>
  <c r="BE445" i="4"/>
  <c r="BD445" i="4"/>
  <c r="BC445" i="4"/>
  <c r="BB445" i="4"/>
  <c r="BA445" i="4"/>
  <c r="AZ445" i="4"/>
  <c r="AY445" i="4"/>
  <c r="AX445" i="4"/>
  <c r="AW445" i="4"/>
  <c r="AV445" i="4"/>
  <c r="AU445" i="4"/>
  <c r="AT445" i="4"/>
  <c r="AS445" i="4"/>
  <c r="AR445" i="4"/>
  <c r="AN445" i="4"/>
  <c r="AO445" i="4" s="1"/>
  <c r="B445" i="4"/>
  <c r="BW444" i="4"/>
  <c r="BV444" i="4"/>
  <c r="BU444" i="4"/>
  <c r="BT444" i="4"/>
  <c r="BS444" i="4"/>
  <c r="BR444" i="4"/>
  <c r="BQ444" i="4"/>
  <c r="BP444" i="4"/>
  <c r="BO444" i="4"/>
  <c r="BN444" i="4"/>
  <c r="BM444" i="4"/>
  <c r="BL444" i="4"/>
  <c r="BK444" i="4"/>
  <c r="BJ444" i="4"/>
  <c r="BI444" i="4"/>
  <c r="BH444" i="4"/>
  <c r="BG444" i="4"/>
  <c r="BF444" i="4"/>
  <c r="BE444" i="4"/>
  <c r="BD444" i="4"/>
  <c r="BC444" i="4"/>
  <c r="BB444" i="4"/>
  <c r="BA444" i="4"/>
  <c r="AZ444" i="4"/>
  <c r="AY444" i="4"/>
  <c r="AX444" i="4"/>
  <c r="AW444" i="4"/>
  <c r="AV444" i="4"/>
  <c r="AU444" i="4"/>
  <c r="AT444" i="4"/>
  <c r="AS444" i="4"/>
  <c r="AR444" i="4"/>
  <c r="AN444" i="4"/>
  <c r="AO444" i="4" s="1"/>
  <c r="B444" i="4"/>
  <c r="BW443" i="4"/>
  <c r="BV443" i="4"/>
  <c r="BU443" i="4"/>
  <c r="BT443" i="4"/>
  <c r="BS443" i="4"/>
  <c r="BR443" i="4"/>
  <c r="BQ443" i="4"/>
  <c r="BP443" i="4"/>
  <c r="BO443" i="4"/>
  <c r="BN443" i="4"/>
  <c r="BM443" i="4"/>
  <c r="BL443" i="4"/>
  <c r="BK443" i="4"/>
  <c r="BJ443" i="4"/>
  <c r="BI443" i="4"/>
  <c r="BH443" i="4"/>
  <c r="BG443" i="4"/>
  <c r="BF443" i="4"/>
  <c r="BE443" i="4"/>
  <c r="BD443" i="4"/>
  <c r="BC443" i="4"/>
  <c r="BB443" i="4"/>
  <c r="BA443" i="4"/>
  <c r="AZ443" i="4"/>
  <c r="AY443" i="4"/>
  <c r="AX443" i="4"/>
  <c r="AW443" i="4"/>
  <c r="AV443" i="4"/>
  <c r="AU443" i="4"/>
  <c r="AT443" i="4"/>
  <c r="AS443" i="4"/>
  <c r="AR443" i="4"/>
  <c r="AN443" i="4"/>
  <c r="AO443" i="4" s="1"/>
  <c r="B443" i="4"/>
  <c r="BW442" i="4"/>
  <c r="BV442" i="4"/>
  <c r="BU442" i="4"/>
  <c r="BT442" i="4"/>
  <c r="BS442" i="4"/>
  <c r="BR442" i="4"/>
  <c r="BQ442" i="4"/>
  <c r="BP442" i="4"/>
  <c r="BO442" i="4"/>
  <c r="BN442" i="4"/>
  <c r="BM442" i="4"/>
  <c r="BL442" i="4"/>
  <c r="BK442" i="4"/>
  <c r="BJ442" i="4"/>
  <c r="BI442" i="4"/>
  <c r="BH442" i="4"/>
  <c r="BG442" i="4"/>
  <c r="BF442" i="4"/>
  <c r="BE442" i="4"/>
  <c r="BD442" i="4"/>
  <c r="BC442" i="4"/>
  <c r="BB442" i="4"/>
  <c r="BA442" i="4"/>
  <c r="AZ442" i="4"/>
  <c r="AY442" i="4"/>
  <c r="AX442" i="4"/>
  <c r="AW442" i="4"/>
  <c r="AV442" i="4"/>
  <c r="AU442" i="4"/>
  <c r="AT442" i="4"/>
  <c r="AS442" i="4"/>
  <c r="AR442" i="4"/>
  <c r="AN442" i="4"/>
  <c r="AO442" i="4" s="1"/>
  <c r="B442" i="4"/>
  <c r="BW441" i="4"/>
  <c r="BV441" i="4"/>
  <c r="BU441" i="4"/>
  <c r="BT441" i="4"/>
  <c r="BS441" i="4"/>
  <c r="BR441" i="4"/>
  <c r="BQ441" i="4"/>
  <c r="BP441" i="4"/>
  <c r="BO441" i="4"/>
  <c r="BN441" i="4"/>
  <c r="BM441" i="4"/>
  <c r="BL441" i="4"/>
  <c r="BK441" i="4"/>
  <c r="BJ441" i="4"/>
  <c r="BI441" i="4"/>
  <c r="BH441" i="4"/>
  <c r="BG441" i="4"/>
  <c r="BF441" i="4"/>
  <c r="BE441" i="4"/>
  <c r="BD441" i="4"/>
  <c r="BC441" i="4"/>
  <c r="BB441" i="4"/>
  <c r="BA441" i="4"/>
  <c r="AZ441" i="4"/>
  <c r="AY441" i="4"/>
  <c r="AX441" i="4"/>
  <c r="AW441" i="4"/>
  <c r="AV441" i="4"/>
  <c r="AU441" i="4"/>
  <c r="AT441" i="4"/>
  <c r="AS441" i="4"/>
  <c r="AR441" i="4"/>
  <c r="AN441" i="4"/>
  <c r="AO441" i="4" s="1"/>
  <c r="B441" i="4"/>
  <c r="BW440" i="4"/>
  <c r="BV440" i="4"/>
  <c r="BU440" i="4"/>
  <c r="BT440" i="4"/>
  <c r="BS440" i="4"/>
  <c r="BR440" i="4"/>
  <c r="BQ440" i="4"/>
  <c r="BP440" i="4"/>
  <c r="BO440" i="4"/>
  <c r="BN440" i="4"/>
  <c r="BM440" i="4"/>
  <c r="BL440" i="4"/>
  <c r="BK440" i="4"/>
  <c r="BJ440" i="4"/>
  <c r="BI440" i="4"/>
  <c r="BH440" i="4"/>
  <c r="BG440" i="4"/>
  <c r="BF440" i="4"/>
  <c r="BE440" i="4"/>
  <c r="BD440" i="4"/>
  <c r="BC440" i="4"/>
  <c r="BB440" i="4"/>
  <c r="BA440" i="4"/>
  <c r="AZ440" i="4"/>
  <c r="AY440" i="4"/>
  <c r="AX440" i="4"/>
  <c r="AW440" i="4"/>
  <c r="AV440" i="4"/>
  <c r="AU440" i="4"/>
  <c r="AT440" i="4"/>
  <c r="AS440" i="4"/>
  <c r="AR440" i="4"/>
  <c r="AN440" i="4"/>
  <c r="AO440" i="4" s="1"/>
  <c r="B440" i="4"/>
  <c r="BW439" i="4"/>
  <c r="BV439" i="4"/>
  <c r="BU439" i="4"/>
  <c r="BT439" i="4"/>
  <c r="BS439" i="4"/>
  <c r="BR439" i="4"/>
  <c r="BQ439" i="4"/>
  <c r="BP439" i="4"/>
  <c r="BO439" i="4"/>
  <c r="BN439" i="4"/>
  <c r="BM439" i="4"/>
  <c r="BL439" i="4"/>
  <c r="BK439" i="4"/>
  <c r="BJ439" i="4"/>
  <c r="BI439" i="4"/>
  <c r="BH439" i="4"/>
  <c r="BG439" i="4"/>
  <c r="BF439" i="4"/>
  <c r="BE439" i="4"/>
  <c r="BD439" i="4"/>
  <c r="BC439" i="4"/>
  <c r="BB439" i="4"/>
  <c r="BA439" i="4"/>
  <c r="AZ439" i="4"/>
  <c r="AY439" i="4"/>
  <c r="AX439" i="4"/>
  <c r="AW439" i="4"/>
  <c r="AV439" i="4"/>
  <c r="AU439" i="4"/>
  <c r="AT439" i="4"/>
  <c r="AS439" i="4"/>
  <c r="AR439" i="4"/>
  <c r="AN439" i="4"/>
  <c r="AO439" i="4" s="1"/>
  <c r="B439" i="4"/>
  <c r="BW438" i="4"/>
  <c r="BV438" i="4"/>
  <c r="BU438" i="4"/>
  <c r="BT438" i="4"/>
  <c r="BS438" i="4"/>
  <c r="BR438" i="4"/>
  <c r="BQ438" i="4"/>
  <c r="BP438" i="4"/>
  <c r="BO438" i="4"/>
  <c r="BN438" i="4"/>
  <c r="BM438" i="4"/>
  <c r="BL438" i="4"/>
  <c r="BK438" i="4"/>
  <c r="BJ438" i="4"/>
  <c r="BI438" i="4"/>
  <c r="BH438" i="4"/>
  <c r="BG438" i="4"/>
  <c r="BF438" i="4"/>
  <c r="BE438" i="4"/>
  <c r="BD438" i="4"/>
  <c r="BC438" i="4"/>
  <c r="BB438" i="4"/>
  <c r="BA438" i="4"/>
  <c r="AZ438" i="4"/>
  <c r="AY438" i="4"/>
  <c r="AX438" i="4"/>
  <c r="AW438" i="4"/>
  <c r="AV438" i="4"/>
  <c r="AU438" i="4"/>
  <c r="AT438" i="4"/>
  <c r="AS438" i="4"/>
  <c r="AR438" i="4"/>
  <c r="AN438" i="4"/>
  <c r="AO438" i="4" s="1"/>
  <c r="B438" i="4"/>
  <c r="BW437" i="4"/>
  <c r="BV437" i="4"/>
  <c r="BU437" i="4"/>
  <c r="BT437" i="4"/>
  <c r="BS437" i="4"/>
  <c r="BR437" i="4"/>
  <c r="BQ437" i="4"/>
  <c r="BP437" i="4"/>
  <c r="BO437" i="4"/>
  <c r="BN437" i="4"/>
  <c r="BM437" i="4"/>
  <c r="BL437" i="4"/>
  <c r="BK437" i="4"/>
  <c r="BJ437" i="4"/>
  <c r="BI437" i="4"/>
  <c r="BH437" i="4"/>
  <c r="BG437" i="4"/>
  <c r="BF437" i="4"/>
  <c r="BE437" i="4"/>
  <c r="BD437" i="4"/>
  <c r="BC437" i="4"/>
  <c r="BB437" i="4"/>
  <c r="BA437" i="4"/>
  <c r="AZ437" i="4"/>
  <c r="AY437" i="4"/>
  <c r="AX437" i="4"/>
  <c r="AW437" i="4"/>
  <c r="AV437" i="4"/>
  <c r="AU437" i="4"/>
  <c r="AT437" i="4"/>
  <c r="AS437" i="4"/>
  <c r="AR437" i="4"/>
  <c r="AN437" i="4"/>
  <c r="AO437" i="4" s="1"/>
  <c r="B437" i="4"/>
  <c r="BW436" i="4"/>
  <c r="BV436" i="4"/>
  <c r="BU436" i="4"/>
  <c r="BT436" i="4"/>
  <c r="BS436" i="4"/>
  <c r="BR436" i="4"/>
  <c r="BQ436" i="4"/>
  <c r="BP436" i="4"/>
  <c r="BO436" i="4"/>
  <c r="BN436" i="4"/>
  <c r="BM436" i="4"/>
  <c r="BL436" i="4"/>
  <c r="BK436" i="4"/>
  <c r="BJ436" i="4"/>
  <c r="BI436" i="4"/>
  <c r="BH436" i="4"/>
  <c r="BG436" i="4"/>
  <c r="BF436" i="4"/>
  <c r="BE436" i="4"/>
  <c r="BD436" i="4"/>
  <c r="BC436" i="4"/>
  <c r="BB436" i="4"/>
  <c r="BA436" i="4"/>
  <c r="AZ436" i="4"/>
  <c r="AY436" i="4"/>
  <c r="AX436" i="4"/>
  <c r="AW436" i="4"/>
  <c r="AV436" i="4"/>
  <c r="AU436" i="4"/>
  <c r="AT436" i="4"/>
  <c r="AS436" i="4"/>
  <c r="AR436" i="4"/>
  <c r="AN436" i="4"/>
  <c r="AO436" i="4" s="1"/>
  <c r="B436" i="4"/>
  <c r="BW467" i="4"/>
  <c r="BV467" i="4"/>
  <c r="BU467" i="4"/>
  <c r="BT467" i="4"/>
  <c r="BS467" i="4"/>
  <c r="BR467" i="4"/>
  <c r="BQ467" i="4"/>
  <c r="BP467" i="4"/>
  <c r="BO467" i="4"/>
  <c r="BN467" i="4"/>
  <c r="BM467" i="4"/>
  <c r="BL467" i="4"/>
  <c r="BK467" i="4"/>
  <c r="BJ467" i="4"/>
  <c r="BI467" i="4"/>
  <c r="BH467" i="4"/>
  <c r="BG467" i="4"/>
  <c r="BF467" i="4"/>
  <c r="BE467" i="4"/>
  <c r="BD467" i="4"/>
  <c r="BC467" i="4"/>
  <c r="BB467" i="4"/>
  <c r="BA467" i="4"/>
  <c r="AZ467" i="4"/>
  <c r="AY467" i="4"/>
  <c r="AX467" i="4"/>
  <c r="AW467" i="4"/>
  <c r="AV467" i="4"/>
  <c r="AU467" i="4"/>
  <c r="AT467" i="4"/>
  <c r="AS467" i="4"/>
  <c r="AR467" i="4"/>
  <c r="B467" i="4"/>
  <c r="BW466" i="4"/>
  <c r="BV466" i="4"/>
  <c r="BU466" i="4"/>
  <c r="BT466" i="4"/>
  <c r="BS466" i="4"/>
  <c r="BR466" i="4"/>
  <c r="BQ466" i="4"/>
  <c r="BP466" i="4"/>
  <c r="BO466" i="4"/>
  <c r="BN466" i="4"/>
  <c r="BM466" i="4"/>
  <c r="BL466" i="4"/>
  <c r="BK466" i="4"/>
  <c r="BJ466" i="4"/>
  <c r="BI466" i="4"/>
  <c r="BH466" i="4"/>
  <c r="BG466" i="4"/>
  <c r="BF466" i="4"/>
  <c r="BE466" i="4"/>
  <c r="BD466" i="4"/>
  <c r="BC466" i="4"/>
  <c r="BB466" i="4"/>
  <c r="BA466" i="4"/>
  <c r="AZ466" i="4"/>
  <c r="AY466" i="4"/>
  <c r="AX466" i="4"/>
  <c r="AW466" i="4"/>
  <c r="AV466" i="4"/>
  <c r="AU466" i="4"/>
  <c r="AT466" i="4"/>
  <c r="AS466" i="4"/>
  <c r="AR466" i="4"/>
  <c r="AN466" i="4"/>
  <c r="AO466" i="4" s="1"/>
  <c r="B466" i="4"/>
  <c r="BW465" i="4"/>
  <c r="BV465" i="4"/>
  <c r="BU465" i="4"/>
  <c r="BT465" i="4"/>
  <c r="BS465" i="4"/>
  <c r="BR465" i="4"/>
  <c r="BQ465" i="4"/>
  <c r="BP465" i="4"/>
  <c r="BO465" i="4"/>
  <c r="BN465" i="4"/>
  <c r="BM465" i="4"/>
  <c r="BL465" i="4"/>
  <c r="BK465" i="4"/>
  <c r="BJ465" i="4"/>
  <c r="BI465" i="4"/>
  <c r="BH465" i="4"/>
  <c r="BG465" i="4"/>
  <c r="BF465" i="4"/>
  <c r="BE465" i="4"/>
  <c r="BD465" i="4"/>
  <c r="BC465" i="4"/>
  <c r="BB465" i="4"/>
  <c r="BA465" i="4"/>
  <c r="AZ465" i="4"/>
  <c r="AY465" i="4"/>
  <c r="AX465" i="4"/>
  <c r="AW465" i="4"/>
  <c r="AV465" i="4"/>
  <c r="AU465" i="4"/>
  <c r="AT465" i="4"/>
  <c r="AS465" i="4"/>
  <c r="AR465" i="4"/>
  <c r="AN465" i="4"/>
  <c r="AO465" i="4" s="1"/>
  <c r="B465" i="4"/>
  <c r="BW464" i="4"/>
  <c r="BV464" i="4"/>
  <c r="BU464" i="4"/>
  <c r="BT464" i="4"/>
  <c r="BS464" i="4"/>
  <c r="BR464" i="4"/>
  <c r="BQ464" i="4"/>
  <c r="BP464" i="4"/>
  <c r="BO464" i="4"/>
  <c r="BN464" i="4"/>
  <c r="BM464" i="4"/>
  <c r="BL464" i="4"/>
  <c r="BK464" i="4"/>
  <c r="BJ464" i="4"/>
  <c r="BI464" i="4"/>
  <c r="BH464" i="4"/>
  <c r="BG464" i="4"/>
  <c r="BF464" i="4"/>
  <c r="BE464" i="4"/>
  <c r="BD464" i="4"/>
  <c r="BC464" i="4"/>
  <c r="BB464" i="4"/>
  <c r="BA464" i="4"/>
  <c r="AZ464" i="4"/>
  <c r="AY464" i="4"/>
  <c r="AX464" i="4"/>
  <c r="AW464" i="4"/>
  <c r="AV464" i="4"/>
  <c r="AU464" i="4"/>
  <c r="AT464" i="4"/>
  <c r="AS464" i="4"/>
  <c r="AR464" i="4"/>
  <c r="AN464" i="4"/>
  <c r="AO464" i="4" s="1"/>
  <c r="B464" i="4"/>
  <c r="BW463" i="4"/>
  <c r="BV463" i="4"/>
  <c r="BU463" i="4"/>
  <c r="BT463" i="4"/>
  <c r="BS463" i="4"/>
  <c r="BR463" i="4"/>
  <c r="BQ463" i="4"/>
  <c r="BP463" i="4"/>
  <c r="BO463" i="4"/>
  <c r="BN463" i="4"/>
  <c r="BM463" i="4"/>
  <c r="BL463" i="4"/>
  <c r="BK463" i="4"/>
  <c r="BJ463" i="4"/>
  <c r="BI463" i="4"/>
  <c r="BH463" i="4"/>
  <c r="BG463" i="4"/>
  <c r="BF463" i="4"/>
  <c r="BE463" i="4"/>
  <c r="BD463" i="4"/>
  <c r="BC463" i="4"/>
  <c r="BB463" i="4"/>
  <c r="BA463" i="4"/>
  <c r="AZ463" i="4"/>
  <c r="AY463" i="4"/>
  <c r="AX463" i="4"/>
  <c r="AW463" i="4"/>
  <c r="AV463" i="4"/>
  <c r="AU463" i="4"/>
  <c r="AT463" i="4"/>
  <c r="AS463" i="4"/>
  <c r="AR463" i="4"/>
  <c r="AN463" i="4"/>
  <c r="AO463" i="4" s="1"/>
  <c r="B463" i="4"/>
  <c r="BW462" i="4"/>
  <c r="BV462" i="4"/>
  <c r="BU462" i="4"/>
  <c r="BT462" i="4"/>
  <c r="BS462" i="4"/>
  <c r="BR462" i="4"/>
  <c r="BQ462" i="4"/>
  <c r="BP462" i="4"/>
  <c r="BO462" i="4"/>
  <c r="BN462" i="4"/>
  <c r="BM462" i="4"/>
  <c r="BL462" i="4"/>
  <c r="BK462" i="4"/>
  <c r="BJ462" i="4"/>
  <c r="BI462" i="4"/>
  <c r="BH462" i="4"/>
  <c r="BG462" i="4"/>
  <c r="BF462" i="4"/>
  <c r="BE462" i="4"/>
  <c r="BD462" i="4"/>
  <c r="BC462" i="4"/>
  <c r="BB462" i="4"/>
  <c r="BA462" i="4"/>
  <c r="AZ462" i="4"/>
  <c r="AY462" i="4"/>
  <c r="AX462" i="4"/>
  <c r="AW462" i="4"/>
  <c r="AV462" i="4"/>
  <c r="AU462" i="4"/>
  <c r="AT462" i="4"/>
  <c r="AS462" i="4"/>
  <c r="AR462" i="4"/>
  <c r="B462" i="4"/>
  <c r="BW461" i="4"/>
  <c r="BV461" i="4"/>
  <c r="BU461" i="4"/>
  <c r="BT461" i="4"/>
  <c r="BS461" i="4"/>
  <c r="BR461" i="4"/>
  <c r="BQ461" i="4"/>
  <c r="BP461" i="4"/>
  <c r="BO461" i="4"/>
  <c r="BN461" i="4"/>
  <c r="BM461" i="4"/>
  <c r="BL461" i="4"/>
  <c r="BK461" i="4"/>
  <c r="BJ461" i="4"/>
  <c r="BI461" i="4"/>
  <c r="BH461" i="4"/>
  <c r="BG461" i="4"/>
  <c r="BF461" i="4"/>
  <c r="BE461" i="4"/>
  <c r="BD461" i="4"/>
  <c r="BC461" i="4"/>
  <c r="BB461" i="4"/>
  <c r="BA461" i="4"/>
  <c r="AZ461" i="4"/>
  <c r="AY461" i="4"/>
  <c r="AX461" i="4"/>
  <c r="AW461" i="4"/>
  <c r="AV461" i="4"/>
  <c r="AU461" i="4"/>
  <c r="AT461" i="4"/>
  <c r="AS461" i="4"/>
  <c r="AR461" i="4"/>
  <c r="AN461" i="4"/>
  <c r="AO461" i="4" s="1"/>
  <c r="B461" i="4"/>
  <c r="BW460" i="4"/>
  <c r="BV460" i="4"/>
  <c r="BU460" i="4"/>
  <c r="BT460" i="4"/>
  <c r="BS460" i="4"/>
  <c r="BR460" i="4"/>
  <c r="BQ460" i="4"/>
  <c r="BP460" i="4"/>
  <c r="BO460" i="4"/>
  <c r="BN460" i="4"/>
  <c r="BM460" i="4"/>
  <c r="BL460" i="4"/>
  <c r="BK460" i="4"/>
  <c r="BJ460" i="4"/>
  <c r="BI460" i="4"/>
  <c r="BH460" i="4"/>
  <c r="BG460" i="4"/>
  <c r="BF460" i="4"/>
  <c r="BE460" i="4"/>
  <c r="BD460" i="4"/>
  <c r="BC460" i="4"/>
  <c r="BB460" i="4"/>
  <c r="BA460" i="4"/>
  <c r="AZ460" i="4"/>
  <c r="AY460" i="4"/>
  <c r="AX460" i="4"/>
  <c r="AW460" i="4"/>
  <c r="AV460" i="4"/>
  <c r="AU460" i="4"/>
  <c r="AT460" i="4"/>
  <c r="AS460" i="4"/>
  <c r="AR460" i="4"/>
  <c r="AN460" i="4"/>
  <c r="AO460" i="4" s="1"/>
  <c r="B460" i="4"/>
  <c r="BW459" i="4"/>
  <c r="BV459" i="4"/>
  <c r="BU459" i="4"/>
  <c r="BT459" i="4"/>
  <c r="BS459" i="4"/>
  <c r="BR459" i="4"/>
  <c r="BQ459" i="4"/>
  <c r="BP459" i="4"/>
  <c r="BO459" i="4"/>
  <c r="BN459" i="4"/>
  <c r="BM459" i="4"/>
  <c r="BL459" i="4"/>
  <c r="BK459" i="4"/>
  <c r="BJ459" i="4"/>
  <c r="BI459" i="4"/>
  <c r="BH459" i="4"/>
  <c r="BG459" i="4"/>
  <c r="BF459" i="4"/>
  <c r="BE459" i="4"/>
  <c r="BD459" i="4"/>
  <c r="BC459" i="4"/>
  <c r="BB459" i="4"/>
  <c r="BA459" i="4"/>
  <c r="AZ459" i="4"/>
  <c r="AY459" i="4"/>
  <c r="AX459" i="4"/>
  <c r="AW459" i="4"/>
  <c r="AV459" i="4"/>
  <c r="AU459" i="4"/>
  <c r="AT459" i="4"/>
  <c r="AS459" i="4"/>
  <c r="AR459" i="4"/>
  <c r="B459" i="4"/>
  <c r="BW458" i="4"/>
  <c r="BV458" i="4"/>
  <c r="BU458" i="4"/>
  <c r="BT458" i="4"/>
  <c r="BS458" i="4"/>
  <c r="BR458" i="4"/>
  <c r="BQ458" i="4"/>
  <c r="BP458" i="4"/>
  <c r="BO458" i="4"/>
  <c r="BN458" i="4"/>
  <c r="BM458" i="4"/>
  <c r="BL458" i="4"/>
  <c r="BK458" i="4"/>
  <c r="BJ458" i="4"/>
  <c r="BI458" i="4"/>
  <c r="BH458" i="4"/>
  <c r="BG458" i="4"/>
  <c r="BF458" i="4"/>
  <c r="BE458" i="4"/>
  <c r="BD458" i="4"/>
  <c r="BC458" i="4"/>
  <c r="BB458" i="4"/>
  <c r="BA458" i="4"/>
  <c r="AZ458" i="4"/>
  <c r="AY458" i="4"/>
  <c r="AX458" i="4"/>
  <c r="AW458" i="4"/>
  <c r="AV458" i="4"/>
  <c r="AU458" i="4"/>
  <c r="AT458" i="4"/>
  <c r="AS458" i="4"/>
  <c r="AR458" i="4"/>
  <c r="B458" i="4"/>
  <c r="BW457" i="4"/>
  <c r="BV457" i="4"/>
  <c r="BU457" i="4"/>
  <c r="BT457" i="4"/>
  <c r="BS457" i="4"/>
  <c r="BR457" i="4"/>
  <c r="BQ457" i="4"/>
  <c r="BP457" i="4"/>
  <c r="BO457" i="4"/>
  <c r="BN457" i="4"/>
  <c r="BM457" i="4"/>
  <c r="BL457" i="4"/>
  <c r="BK457" i="4"/>
  <c r="BJ457" i="4"/>
  <c r="BI457" i="4"/>
  <c r="BH457" i="4"/>
  <c r="BG457" i="4"/>
  <c r="BF457" i="4"/>
  <c r="BE457" i="4"/>
  <c r="BD457" i="4"/>
  <c r="BC457" i="4"/>
  <c r="BB457" i="4"/>
  <c r="BA457" i="4"/>
  <c r="AZ457" i="4"/>
  <c r="AY457" i="4"/>
  <c r="AX457" i="4"/>
  <c r="AW457" i="4"/>
  <c r="AV457" i="4"/>
  <c r="AU457" i="4"/>
  <c r="AT457" i="4"/>
  <c r="AS457" i="4"/>
  <c r="AR457" i="4"/>
  <c r="AN457" i="4"/>
  <c r="AO457" i="4" s="1"/>
  <c r="B457" i="4"/>
  <c r="BW456" i="4"/>
  <c r="BV456" i="4"/>
  <c r="BU456" i="4"/>
  <c r="BT456" i="4"/>
  <c r="BS456" i="4"/>
  <c r="BR456" i="4"/>
  <c r="BQ456" i="4"/>
  <c r="BP456" i="4"/>
  <c r="BO456" i="4"/>
  <c r="BN456" i="4"/>
  <c r="BM456" i="4"/>
  <c r="BL456" i="4"/>
  <c r="BK456" i="4"/>
  <c r="BJ456" i="4"/>
  <c r="BI456" i="4"/>
  <c r="BH456" i="4"/>
  <c r="BG456" i="4"/>
  <c r="BF456" i="4"/>
  <c r="BE456" i="4"/>
  <c r="BD456" i="4"/>
  <c r="BC456" i="4"/>
  <c r="BB456" i="4"/>
  <c r="BA456" i="4"/>
  <c r="AZ456" i="4"/>
  <c r="AY456" i="4"/>
  <c r="AX456" i="4"/>
  <c r="AW456" i="4"/>
  <c r="AV456" i="4"/>
  <c r="AU456" i="4"/>
  <c r="AT456" i="4"/>
  <c r="AS456" i="4"/>
  <c r="AR456" i="4"/>
  <c r="AN456" i="4"/>
  <c r="AO456" i="4" s="1"/>
  <c r="B456" i="4"/>
  <c r="BW455" i="4"/>
  <c r="BV455" i="4"/>
  <c r="BU455" i="4"/>
  <c r="BT455" i="4"/>
  <c r="BS455" i="4"/>
  <c r="BR455" i="4"/>
  <c r="BQ455" i="4"/>
  <c r="BP455" i="4"/>
  <c r="BO455" i="4"/>
  <c r="BN455" i="4"/>
  <c r="BM455" i="4"/>
  <c r="BL455" i="4"/>
  <c r="BK455" i="4"/>
  <c r="BJ455" i="4"/>
  <c r="BI455" i="4"/>
  <c r="BH455" i="4"/>
  <c r="BG455" i="4"/>
  <c r="BF455" i="4"/>
  <c r="BE455" i="4"/>
  <c r="BD455" i="4"/>
  <c r="BC455" i="4"/>
  <c r="BB455" i="4"/>
  <c r="BA455" i="4"/>
  <c r="AZ455" i="4"/>
  <c r="AY455" i="4"/>
  <c r="AX455" i="4"/>
  <c r="AW455" i="4"/>
  <c r="AN455" i="4" s="1"/>
  <c r="AO455" i="4" s="1"/>
  <c r="AV455" i="4"/>
  <c r="AU455" i="4"/>
  <c r="AT455" i="4"/>
  <c r="AS455" i="4"/>
  <c r="AR455" i="4"/>
  <c r="B455" i="4"/>
  <c r="BW454" i="4"/>
  <c r="BV454" i="4"/>
  <c r="BU454" i="4"/>
  <c r="BT454" i="4"/>
  <c r="BS454" i="4"/>
  <c r="BR454" i="4"/>
  <c r="BQ454" i="4"/>
  <c r="BP454" i="4"/>
  <c r="BO454" i="4"/>
  <c r="BN454" i="4"/>
  <c r="BM454" i="4"/>
  <c r="BL454" i="4"/>
  <c r="BK454" i="4"/>
  <c r="BJ454" i="4"/>
  <c r="BI454" i="4"/>
  <c r="BH454" i="4"/>
  <c r="BG454" i="4"/>
  <c r="BF454" i="4"/>
  <c r="BE454" i="4"/>
  <c r="BD454" i="4"/>
  <c r="BC454" i="4"/>
  <c r="BB454" i="4"/>
  <c r="BA454" i="4"/>
  <c r="AZ454" i="4"/>
  <c r="AY454" i="4"/>
  <c r="AX454" i="4"/>
  <c r="AW454" i="4"/>
  <c r="AV454" i="4"/>
  <c r="AU454" i="4"/>
  <c r="AT454" i="4"/>
  <c r="AS454" i="4"/>
  <c r="AR454" i="4"/>
  <c r="B454" i="4"/>
  <c r="BW453" i="4"/>
  <c r="BV453" i="4"/>
  <c r="BU453" i="4"/>
  <c r="BT453" i="4"/>
  <c r="BS453" i="4"/>
  <c r="BR453" i="4"/>
  <c r="BQ453" i="4"/>
  <c r="BP453" i="4"/>
  <c r="BO453" i="4"/>
  <c r="BN453" i="4"/>
  <c r="BM453" i="4"/>
  <c r="BL453" i="4"/>
  <c r="BK453" i="4"/>
  <c r="BJ453" i="4"/>
  <c r="BI453" i="4"/>
  <c r="BH453" i="4"/>
  <c r="BG453" i="4"/>
  <c r="BF453" i="4"/>
  <c r="BE453" i="4"/>
  <c r="BD453" i="4"/>
  <c r="BC453" i="4"/>
  <c r="BB453" i="4"/>
  <c r="BA453" i="4"/>
  <c r="AZ453" i="4"/>
  <c r="AY453" i="4"/>
  <c r="AX453" i="4"/>
  <c r="AW453" i="4"/>
  <c r="AV453" i="4"/>
  <c r="AU453" i="4"/>
  <c r="AT453" i="4"/>
  <c r="AS453" i="4"/>
  <c r="AR453" i="4"/>
  <c r="B453" i="4"/>
  <c r="BW452" i="4"/>
  <c r="BV452" i="4"/>
  <c r="BU452" i="4"/>
  <c r="BT452" i="4"/>
  <c r="BS452" i="4"/>
  <c r="BR452" i="4"/>
  <c r="BQ452" i="4"/>
  <c r="BP452" i="4"/>
  <c r="BO452" i="4"/>
  <c r="BN452" i="4"/>
  <c r="BM452" i="4"/>
  <c r="BL452" i="4"/>
  <c r="BK452" i="4"/>
  <c r="BJ452" i="4"/>
  <c r="BI452" i="4"/>
  <c r="BH452" i="4"/>
  <c r="BG452" i="4"/>
  <c r="BF452" i="4"/>
  <c r="BE452" i="4"/>
  <c r="BD452" i="4"/>
  <c r="BC452" i="4"/>
  <c r="BB452" i="4"/>
  <c r="BA452" i="4"/>
  <c r="AZ452" i="4"/>
  <c r="AY452" i="4"/>
  <c r="AX452" i="4"/>
  <c r="AW452" i="4"/>
  <c r="AV452" i="4"/>
  <c r="AU452" i="4"/>
  <c r="AT452" i="4"/>
  <c r="AS452" i="4"/>
  <c r="AR452" i="4"/>
  <c r="AN452" i="4"/>
  <c r="AO452" i="4" s="1"/>
  <c r="B452" i="4"/>
  <c r="BW483" i="4"/>
  <c r="BV483" i="4"/>
  <c r="BU483" i="4"/>
  <c r="BT483" i="4"/>
  <c r="BS483" i="4"/>
  <c r="BR483" i="4"/>
  <c r="BQ483" i="4"/>
  <c r="BP483" i="4"/>
  <c r="BO483" i="4"/>
  <c r="BN483" i="4"/>
  <c r="BM483" i="4"/>
  <c r="BL483" i="4"/>
  <c r="BK483" i="4"/>
  <c r="BJ483" i="4"/>
  <c r="BI483" i="4"/>
  <c r="BH483" i="4"/>
  <c r="BG483" i="4"/>
  <c r="BF483" i="4"/>
  <c r="BE483" i="4"/>
  <c r="BD483" i="4"/>
  <c r="BC483" i="4"/>
  <c r="BB483" i="4"/>
  <c r="BA483" i="4"/>
  <c r="AZ483" i="4"/>
  <c r="AY483" i="4"/>
  <c r="AX483" i="4"/>
  <c r="AW483" i="4"/>
  <c r="AV483" i="4"/>
  <c r="AU483" i="4"/>
  <c r="AT483" i="4"/>
  <c r="AS483" i="4"/>
  <c r="AR483" i="4"/>
  <c r="AN483" i="4"/>
  <c r="AO483" i="4" s="1"/>
  <c r="B483" i="4"/>
  <c r="BW482" i="4"/>
  <c r="BV482" i="4"/>
  <c r="BU482" i="4"/>
  <c r="BT482" i="4"/>
  <c r="BS482" i="4"/>
  <c r="BR482" i="4"/>
  <c r="BQ482" i="4"/>
  <c r="BP482" i="4"/>
  <c r="BO482" i="4"/>
  <c r="BN482" i="4"/>
  <c r="BM482" i="4"/>
  <c r="BL482" i="4"/>
  <c r="BK482" i="4"/>
  <c r="BJ482" i="4"/>
  <c r="BI482" i="4"/>
  <c r="BH482" i="4"/>
  <c r="BG482" i="4"/>
  <c r="BF482" i="4"/>
  <c r="BE482" i="4"/>
  <c r="BD482" i="4"/>
  <c r="BC482" i="4"/>
  <c r="BB482" i="4"/>
  <c r="BA482" i="4"/>
  <c r="AZ482" i="4"/>
  <c r="AY482" i="4"/>
  <c r="AX482" i="4"/>
  <c r="AW482" i="4"/>
  <c r="AV482" i="4"/>
  <c r="AU482" i="4"/>
  <c r="AT482" i="4"/>
  <c r="AS482" i="4"/>
  <c r="AR482" i="4"/>
  <c r="AN482" i="4"/>
  <c r="AO482" i="4" s="1"/>
  <c r="B482" i="4"/>
  <c r="BW481" i="4"/>
  <c r="BV481" i="4"/>
  <c r="BU481" i="4"/>
  <c r="BT481" i="4"/>
  <c r="BS481" i="4"/>
  <c r="BR481" i="4"/>
  <c r="BQ481" i="4"/>
  <c r="BP481" i="4"/>
  <c r="BO481" i="4"/>
  <c r="BN481" i="4"/>
  <c r="BM481" i="4"/>
  <c r="BL481" i="4"/>
  <c r="BK481" i="4"/>
  <c r="BJ481" i="4"/>
  <c r="BI481" i="4"/>
  <c r="BH481" i="4"/>
  <c r="BG481" i="4"/>
  <c r="BF481" i="4"/>
  <c r="BE481" i="4"/>
  <c r="BD481" i="4"/>
  <c r="BC481" i="4"/>
  <c r="BB481" i="4"/>
  <c r="BA481" i="4"/>
  <c r="AZ481" i="4"/>
  <c r="AY481" i="4"/>
  <c r="AX481" i="4"/>
  <c r="AW481" i="4"/>
  <c r="AV481" i="4"/>
  <c r="AU481" i="4"/>
  <c r="AT481" i="4"/>
  <c r="AS481" i="4"/>
  <c r="AR481" i="4"/>
  <c r="AN481" i="4"/>
  <c r="AO481" i="4" s="1"/>
  <c r="B481" i="4"/>
  <c r="BW480" i="4"/>
  <c r="BV480" i="4"/>
  <c r="BU480" i="4"/>
  <c r="BT480" i="4"/>
  <c r="BS480" i="4"/>
  <c r="BR480" i="4"/>
  <c r="BQ480" i="4"/>
  <c r="BP480" i="4"/>
  <c r="BO480" i="4"/>
  <c r="BN480" i="4"/>
  <c r="BM480" i="4"/>
  <c r="BL480" i="4"/>
  <c r="BK480" i="4"/>
  <c r="BJ480" i="4"/>
  <c r="BI480" i="4"/>
  <c r="BH480" i="4"/>
  <c r="BG480" i="4"/>
  <c r="BF480" i="4"/>
  <c r="BE480" i="4"/>
  <c r="BD480" i="4"/>
  <c r="BC480" i="4"/>
  <c r="BB480" i="4"/>
  <c r="BA480" i="4"/>
  <c r="AZ480" i="4"/>
  <c r="AY480" i="4"/>
  <c r="AX480" i="4"/>
  <c r="AW480" i="4"/>
  <c r="AV480" i="4"/>
  <c r="AU480" i="4"/>
  <c r="AT480" i="4"/>
  <c r="AS480" i="4"/>
  <c r="AR480" i="4"/>
  <c r="AN480" i="4"/>
  <c r="AO480" i="4" s="1"/>
  <c r="B480" i="4"/>
  <c r="BW479" i="4"/>
  <c r="BV479" i="4"/>
  <c r="BU479" i="4"/>
  <c r="BT479" i="4"/>
  <c r="BS479" i="4"/>
  <c r="BR479" i="4"/>
  <c r="BQ479" i="4"/>
  <c r="BP479" i="4"/>
  <c r="BO479" i="4"/>
  <c r="BN479" i="4"/>
  <c r="BM479" i="4"/>
  <c r="BL479" i="4"/>
  <c r="BK479" i="4"/>
  <c r="BJ479" i="4"/>
  <c r="BI479" i="4"/>
  <c r="BH479" i="4"/>
  <c r="BG479" i="4"/>
  <c r="BF479" i="4"/>
  <c r="BE479" i="4"/>
  <c r="BD479" i="4"/>
  <c r="BC479" i="4"/>
  <c r="BB479" i="4"/>
  <c r="BA479" i="4"/>
  <c r="AZ479" i="4"/>
  <c r="AY479" i="4"/>
  <c r="AX479" i="4"/>
  <c r="AW479" i="4"/>
  <c r="AV479" i="4"/>
  <c r="AU479" i="4"/>
  <c r="AT479" i="4"/>
  <c r="AS479" i="4"/>
  <c r="AR479" i="4"/>
  <c r="AN479" i="4"/>
  <c r="AO479" i="4" s="1"/>
  <c r="B479" i="4"/>
  <c r="BW478" i="4"/>
  <c r="BV478" i="4"/>
  <c r="BU478" i="4"/>
  <c r="BT478" i="4"/>
  <c r="BS478" i="4"/>
  <c r="BR478" i="4"/>
  <c r="BQ478" i="4"/>
  <c r="BP478" i="4"/>
  <c r="BO478" i="4"/>
  <c r="BN478" i="4"/>
  <c r="BM478" i="4"/>
  <c r="BL478" i="4"/>
  <c r="BK478" i="4"/>
  <c r="BJ478" i="4"/>
  <c r="BI478" i="4"/>
  <c r="BH478" i="4"/>
  <c r="BG478" i="4"/>
  <c r="BF478" i="4"/>
  <c r="BE478" i="4"/>
  <c r="BD478" i="4"/>
  <c r="BC478" i="4"/>
  <c r="BB478" i="4"/>
  <c r="BA478" i="4"/>
  <c r="AZ478" i="4"/>
  <c r="AY478" i="4"/>
  <c r="AX478" i="4"/>
  <c r="AW478" i="4"/>
  <c r="AV478" i="4"/>
  <c r="AU478" i="4"/>
  <c r="AT478" i="4"/>
  <c r="AS478" i="4"/>
  <c r="AR478" i="4"/>
  <c r="AN478" i="4"/>
  <c r="AO478" i="4" s="1"/>
  <c r="B478" i="4"/>
  <c r="BW477" i="4"/>
  <c r="BV477" i="4"/>
  <c r="BU477" i="4"/>
  <c r="BT477" i="4"/>
  <c r="BS477" i="4"/>
  <c r="BR477" i="4"/>
  <c r="BQ477" i="4"/>
  <c r="BP477" i="4"/>
  <c r="BO477" i="4"/>
  <c r="BN477" i="4"/>
  <c r="BM477" i="4"/>
  <c r="BL477" i="4"/>
  <c r="BK477" i="4"/>
  <c r="BJ477" i="4"/>
  <c r="BI477" i="4"/>
  <c r="BH477" i="4"/>
  <c r="BG477" i="4"/>
  <c r="BF477" i="4"/>
  <c r="BE477" i="4"/>
  <c r="BD477" i="4"/>
  <c r="BC477" i="4"/>
  <c r="BB477" i="4"/>
  <c r="BA477" i="4"/>
  <c r="AZ477" i="4"/>
  <c r="AY477" i="4"/>
  <c r="AX477" i="4"/>
  <c r="AW477" i="4"/>
  <c r="AV477" i="4"/>
  <c r="AU477" i="4"/>
  <c r="AT477" i="4"/>
  <c r="AS477" i="4"/>
  <c r="AR477" i="4"/>
  <c r="B477" i="4"/>
  <c r="BW476" i="4"/>
  <c r="BV476" i="4"/>
  <c r="BU476" i="4"/>
  <c r="BT476" i="4"/>
  <c r="BS476" i="4"/>
  <c r="BR476" i="4"/>
  <c r="BQ476" i="4"/>
  <c r="BP476" i="4"/>
  <c r="BO476" i="4"/>
  <c r="BN476" i="4"/>
  <c r="BM476" i="4"/>
  <c r="BL476" i="4"/>
  <c r="BK476" i="4"/>
  <c r="BJ476" i="4"/>
  <c r="BI476" i="4"/>
  <c r="BH476" i="4"/>
  <c r="BG476" i="4"/>
  <c r="BF476" i="4"/>
  <c r="BE476" i="4"/>
  <c r="BD476" i="4"/>
  <c r="BC476" i="4"/>
  <c r="BB476" i="4"/>
  <c r="BA476" i="4"/>
  <c r="AZ476" i="4"/>
  <c r="AY476" i="4"/>
  <c r="AX476" i="4"/>
  <c r="AW476" i="4"/>
  <c r="AV476" i="4"/>
  <c r="AU476" i="4"/>
  <c r="AT476" i="4"/>
  <c r="AS476" i="4"/>
  <c r="AR476" i="4"/>
  <c r="AN476" i="4"/>
  <c r="AO476" i="4" s="1"/>
  <c r="B476" i="4"/>
  <c r="BW475" i="4"/>
  <c r="BV475" i="4"/>
  <c r="BU475" i="4"/>
  <c r="BT475" i="4"/>
  <c r="BS475" i="4"/>
  <c r="BR475" i="4"/>
  <c r="BQ475" i="4"/>
  <c r="BP475" i="4"/>
  <c r="BO475" i="4"/>
  <c r="BN475" i="4"/>
  <c r="BM475" i="4"/>
  <c r="BL475" i="4"/>
  <c r="BK475" i="4"/>
  <c r="BJ475" i="4"/>
  <c r="BI475" i="4"/>
  <c r="BH475" i="4"/>
  <c r="BG475" i="4"/>
  <c r="BF475" i="4"/>
  <c r="BE475" i="4"/>
  <c r="BD475" i="4"/>
  <c r="BC475" i="4"/>
  <c r="BB475" i="4"/>
  <c r="BA475" i="4"/>
  <c r="AZ475" i="4"/>
  <c r="AY475" i="4"/>
  <c r="AX475" i="4"/>
  <c r="AW475" i="4"/>
  <c r="AV475" i="4"/>
  <c r="AU475" i="4"/>
  <c r="AT475" i="4"/>
  <c r="AS475" i="4"/>
  <c r="AR475" i="4"/>
  <c r="AN475" i="4"/>
  <c r="AO475" i="4" s="1"/>
  <c r="B475" i="4"/>
  <c r="BW474" i="4"/>
  <c r="BV474" i="4"/>
  <c r="BU474" i="4"/>
  <c r="BT474" i="4"/>
  <c r="BS474" i="4"/>
  <c r="BR474" i="4"/>
  <c r="BQ474" i="4"/>
  <c r="BP474" i="4"/>
  <c r="BO474" i="4"/>
  <c r="BN474" i="4"/>
  <c r="BM474" i="4"/>
  <c r="BL474" i="4"/>
  <c r="BK474" i="4"/>
  <c r="BJ474" i="4"/>
  <c r="BI474" i="4"/>
  <c r="BH474" i="4"/>
  <c r="BG474" i="4"/>
  <c r="BF474" i="4"/>
  <c r="BE474" i="4"/>
  <c r="BD474" i="4"/>
  <c r="BC474" i="4"/>
  <c r="BB474" i="4"/>
  <c r="BA474" i="4"/>
  <c r="AZ474" i="4"/>
  <c r="AY474" i="4"/>
  <c r="AX474" i="4"/>
  <c r="AW474" i="4"/>
  <c r="AV474" i="4"/>
  <c r="AU474" i="4"/>
  <c r="AT474" i="4"/>
  <c r="AS474" i="4"/>
  <c r="AR474" i="4"/>
  <c r="B474" i="4"/>
  <c r="BW473" i="4"/>
  <c r="BV473" i="4"/>
  <c r="BU473" i="4"/>
  <c r="BT473" i="4"/>
  <c r="BS473" i="4"/>
  <c r="BR473" i="4"/>
  <c r="BQ473" i="4"/>
  <c r="BP473" i="4"/>
  <c r="BO473" i="4"/>
  <c r="BN473" i="4"/>
  <c r="BM473" i="4"/>
  <c r="BL473" i="4"/>
  <c r="BK473" i="4"/>
  <c r="BJ473" i="4"/>
  <c r="BI473" i="4"/>
  <c r="BH473" i="4"/>
  <c r="BG473" i="4"/>
  <c r="BF473" i="4"/>
  <c r="BE473" i="4"/>
  <c r="BD473" i="4"/>
  <c r="BC473" i="4"/>
  <c r="BB473" i="4"/>
  <c r="BA473" i="4"/>
  <c r="AZ473" i="4"/>
  <c r="AY473" i="4"/>
  <c r="AX473" i="4"/>
  <c r="AW473" i="4"/>
  <c r="AV473" i="4"/>
  <c r="AU473" i="4"/>
  <c r="AT473" i="4"/>
  <c r="AS473" i="4"/>
  <c r="AR473" i="4"/>
  <c r="AN473" i="4"/>
  <c r="AO473" i="4" s="1"/>
  <c r="B473" i="4"/>
  <c r="BW472" i="4"/>
  <c r="BV472" i="4"/>
  <c r="BU472" i="4"/>
  <c r="BT472" i="4"/>
  <c r="BS472" i="4"/>
  <c r="BR472" i="4"/>
  <c r="BQ472" i="4"/>
  <c r="BP472" i="4"/>
  <c r="BO472" i="4"/>
  <c r="BN472" i="4"/>
  <c r="BM472" i="4"/>
  <c r="BL472" i="4"/>
  <c r="BK472" i="4"/>
  <c r="BJ472" i="4"/>
  <c r="BI472" i="4"/>
  <c r="BH472" i="4"/>
  <c r="BG472" i="4"/>
  <c r="BF472" i="4"/>
  <c r="BE472" i="4"/>
  <c r="BD472" i="4"/>
  <c r="BC472" i="4"/>
  <c r="BB472" i="4"/>
  <c r="BA472" i="4"/>
  <c r="AZ472" i="4"/>
  <c r="AY472" i="4"/>
  <c r="AX472" i="4"/>
  <c r="AW472" i="4"/>
  <c r="AV472" i="4"/>
  <c r="AU472" i="4"/>
  <c r="AT472" i="4"/>
  <c r="AS472" i="4"/>
  <c r="AR472" i="4"/>
  <c r="B472" i="4"/>
  <c r="BW471" i="4"/>
  <c r="BV471" i="4"/>
  <c r="BU471" i="4"/>
  <c r="BT471" i="4"/>
  <c r="BS471" i="4"/>
  <c r="BR471" i="4"/>
  <c r="BQ471" i="4"/>
  <c r="BP471" i="4"/>
  <c r="BO471" i="4"/>
  <c r="BN471" i="4"/>
  <c r="BM471" i="4"/>
  <c r="BL471" i="4"/>
  <c r="BK471" i="4"/>
  <c r="BJ471" i="4"/>
  <c r="BI471" i="4"/>
  <c r="BH471" i="4"/>
  <c r="BG471" i="4"/>
  <c r="BF471" i="4"/>
  <c r="BE471" i="4"/>
  <c r="BD471" i="4"/>
  <c r="BC471" i="4"/>
  <c r="BB471" i="4"/>
  <c r="BA471" i="4"/>
  <c r="AZ471" i="4"/>
  <c r="AY471" i="4"/>
  <c r="AX471" i="4"/>
  <c r="AW471" i="4"/>
  <c r="AV471" i="4"/>
  <c r="AU471" i="4"/>
  <c r="AT471" i="4"/>
  <c r="AS471" i="4"/>
  <c r="AR471" i="4"/>
  <c r="AN471" i="4"/>
  <c r="AO471" i="4" s="1"/>
  <c r="B471" i="4"/>
  <c r="BW470" i="4"/>
  <c r="BV470" i="4"/>
  <c r="BU470" i="4"/>
  <c r="BT470" i="4"/>
  <c r="BS470" i="4"/>
  <c r="BR470" i="4"/>
  <c r="BQ470" i="4"/>
  <c r="BP470" i="4"/>
  <c r="BO470" i="4"/>
  <c r="BN470" i="4"/>
  <c r="BM470" i="4"/>
  <c r="BL470" i="4"/>
  <c r="BK470" i="4"/>
  <c r="BJ470" i="4"/>
  <c r="BI470" i="4"/>
  <c r="BH470" i="4"/>
  <c r="BG470" i="4"/>
  <c r="BF470" i="4"/>
  <c r="BE470" i="4"/>
  <c r="BD470" i="4"/>
  <c r="BC470" i="4"/>
  <c r="BB470" i="4"/>
  <c r="BA470" i="4"/>
  <c r="AZ470" i="4"/>
  <c r="AY470" i="4"/>
  <c r="AX470" i="4"/>
  <c r="AW470" i="4"/>
  <c r="AV470" i="4"/>
  <c r="AU470" i="4"/>
  <c r="AT470" i="4"/>
  <c r="AS470" i="4"/>
  <c r="AR470" i="4"/>
  <c r="AN470" i="4"/>
  <c r="AO470" i="4" s="1"/>
  <c r="B470" i="4"/>
  <c r="BW469" i="4"/>
  <c r="BV469" i="4"/>
  <c r="BU469" i="4"/>
  <c r="BT469" i="4"/>
  <c r="BS469" i="4"/>
  <c r="BR469" i="4"/>
  <c r="BQ469" i="4"/>
  <c r="BP469" i="4"/>
  <c r="BO469" i="4"/>
  <c r="BN469" i="4"/>
  <c r="BM469" i="4"/>
  <c r="BL469" i="4"/>
  <c r="BK469" i="4"/>
  <c r="BJ469" i="4"/>
  <c r="BI469" i="4"/>
  <c r="BH469" i="4"/>
  <c r="BG469" i="4"/>
  <c r="BF469" i="4"/>
  <c r="BE469" i="4"/>
  <c r="BD469" i="4"/>
  <c r="BC469" i="4"/>
  <c r="BB469" i="4"/>
  <c r="BA469" i="4"/>
  <c r="AZ469" i="4"/>
  <c r="AY469" i="4"/>
  <c r="AX469" i="4"/>
  <c r="AW469" i="4"/>
  <c r="AV469" i="4"/>
  <c r="AU469" i="4"/>
  <c r="AT469" i="4"/>
  <c r="AS469" i="4"/>
  <c r="AR469" i="4"/>
  <c r="AN469" i="4"/>
  <c r="AO469" i="4" s="1"/>
  <c r="B469" i="4"/>
  <c r="BW468" i="4"/>
  <c r="BV468" i="4"/>
  <c r="BU468" i="4"/>
  <c r="BT468" i="4"/>
  <c r="BS468" i="4"/>
  <c r="BR468" i="4"/>
  <c r="BQ468" i="4"/>
  <c r="BP468" i="4"/>
  <c r="BO468" i="4"/>
  <c r="BN468" i="4"/>
  <c r="BM468" i="4"/>
  <c r="BL468" i="4"/>
  <c r="BK468" i="4"/>
  <c r="BJ468" i="4"/>
  <c r="BI468" i="4"/>
  <c r="BH468" i="4"/>
  <c r="BG468" i="4"/>
  <c r="BF468" i="4"/>
  <c r="BE468" i="4"/>
  <c r="BD468" i="4"/>
  <c r="BC468" i="4"/>
  <c r="BB468" i="4"/>
  <c r="BA468" i="4"/>
  <c r="AZ468" i="4"/>
  <c r="AY468" i="4"/>
  <c r="AX468" i="4"/>
  <c r="AW468" i="4"/>
  <c r="AV468" i="4"/>
  <c r="AU468" i="4"/>
  <c r="AT468" i="4"/>
  <c r="AS468" i="4"/>
  <c r="AR468" i="4"/>
  <c r="AN468" i="4"/>
  <c r="AO468" i="4" s="1"/>
  <c r="B468" i="4"/>
  <c r="BW499" i="4"/>
  <c r="BV499" i="4"/>
  <c r="BU499" i="4"/>
  <c r="BT499" i="4"/>
  <c r="BS499" i="4"/>
  <c r="BR499" i="4"/>
  <c r="BQ499" i="4"/>
  <c r="BP499" i="4"/>
  <c r="BO499" i="4"/>
  <c r="BN499" i="4"/>
  <c r="BM499" i="4"/>
  <c r="BL499" i="4"/>
  <c r="BK499" i="4"/>
  <c r="BJ499" i="4"/>
  <c r="BI499" i="4"/>
  <c r="BH499" i="4"/>
  <c r="BG499" i="4"/>
  <c r="BF499" i="4"/>
  <c r="BE499" i="4"/>
  <c r="BD499" i="4"/>
  <c r="BC499" i="4"/>
  <c r="BB499" i="4"/>
  <c r="BA499" i="4"/>
  <c r="AZ499" i="4"/>
  <c r="AY499" i="4"/>
  <c r="AX499" i="4"/>
  <c r="AW499" i="4"/>
  <c r="AV499" i="4"/>
  <c r="AU499" i="4"/>
  <c r="AT499" i="4"/>
  <c r="AS499" i="4"/>
  <c r="AR499" i="4"/>
  <c r="AN499" i="4"/>
  <c r="AO499" i="4" s="1"/>
  <c r="B499" i="4"/>
  <c r="BW498" i="4"/>
  <c r="BV498" i="4"/>
  <c r="BU498" i="4"/>
  <c r="BT498" i="4"/>
  <c r="BS498" i="4"/>
  <c r="BR498" i="4"/>
  <c r="BQ498" i="4"/>
  <c r="BP498" i="4"/>
  <c r="BO498" i="4"/>
  <c r="BN498" i="4"/>
  <c r="BM498" i="4"/>
  <c r="BL498" i="4"/>
  <c r="BK498" i="4"/>
  <c r="BJ498" i="4"/>
  <c r="BI498" i="4"/>
  <c r="BH498" i="4"/>
  <c r="BG498" i="4"/>
  <c r="BF498" i="4"/>
  <c r="BE498" i="4"/>
  <c r="BD498" i="4"/>
  <c r="BC498" i="4"/>
  <c r="BB498" i="4"/>
  <c r="BA498" i="4"/>
  <c r="AZ498" i="4"/>
  <c r="AY498" i="4"/>
  <c r="AX498" i="4"/>
  <c r="AW498" i="4"/>
  <c r="AV498" i="4"/>
  <c r="AU498" i="4"/>
  <c r="AT498" i="4"/>
  <c r="AS498" i="4"/>
  <c r="AR498" i="4"/>
  <c r="AN498" i="4"/>
  <c r="AO498" i="4" s="1"/>
  <c r="B498" i="4"/>
  <c r="BW497" i="4"/>
  <c r="BV497" i="4"/>
  <c r="BU497" i="4"/>
  <c r="BT497" i="4"/>
  <c r="BS497" i="4"/>
  <c r="BR497" i="4"/>
  <c r="BQ497" i="4"/>
  <c r="BP497" i="4"/>
  <c r="BO497" i="4"/>
  <c r="BN497" i="4"/>
  <c r="BM497" i="4"/>
  <c r="BL497" i="4"/>
  <c r="BK497" i="4"/>
  <c r="BJ497" i="4"/>
  <c r="BI497" i="4"/>
  <c r="BH497" i="4"/>
  <c r="BG497" i="4"/>
  <c r="BF497" i="4"/>
  <c r="BE497" i="4"/>
  <c r="BD497" i="4"/>
  <c r="BC497" i="4"/>
  <c r="BB497" i="4"/>
  <c r="BA497" i="4"/>
  <c r="AZ497" i="4"/>
  <c r="AY497" i="4"/>
  <c r="AX497" i="4"/>
  <c r="AW497" i="4"/>
  <c r="AV497" i="4"/>
  <c r="AU497" i="4"/>
  <c r="AT497" i="4"/>
  <c r="AS497" i="4"/>
  <c r="AR497" i="4"/>
  <c r="AN497" i="4"/>
  <c r="AO497" i="4" s="1"/>
  <c r="B497" i="4"/>
  <c r="BW496" i="4"/>
  <c r="BV496" i="4"/>
  <c r="BU496" i="4"/>
  <c r="BT496" i="4"/>
  <c r="BS496" i="4"/>
  <c r="BR496" i="4"/>
  <c r="BQ496" i="4"/>
  <c r="BP496" i="4"/>
  <c r="BO496" i="4"/>
  <c r="BN496" i="4"/>
  <c r="BM496" i="4"/>
  <c r="BL496" i="4"/>
  <c r="BK496" i="4"/>
  <c r="BJ496" i="4"/>
  <c r="BI496" i="4"/>
  <c r="BH496" i="4"/>
  <c r="BG496" i="4"/>
  <c r="BF496" i="4"/>
  <c r="BE496" i="4"/>
  <c r="BD496" i="4"/>
  <c r="BC496" i="4"/>
  <c r="BB496" i="4"/>
  <c r="BA496" i="4"/>
  <c r="AZ496" i="4"/>
  <c r="AY496" i="4"/>
  <c r="AX496" i="4"/>
  <c r="AW496" i="4"/>
  <c r="AV496" i="4"/>
  <c r="AU496" i="4"/>
  <c r="AT496" i="4"/>
  <c r="AS496" i="4"/>
  <c r="AR496" i="4"/>
  <c r="AN496" i="4"/>
  <c r="AO496" i="4" s="1"/>
  <c r="B496" i="4"/>
  <c r="BW495" i="4"/>
  <c r="BV495" i="4"/>
  <c r="BU495" i="4"/>
  <c r="BT495" i="4"/>
  <c r="BS495" i="4"/>
  <c r="BR495" i="4"/>
  <c r="BQ495" i="4"/>
  <c r="BP495" i="4"/>
  <c r="BO495" i="4"/>
  <c r="BN495" i="4"/>
  <c r="BM495" i="4"/>
  <c r="BL495" i="4"/>
  <c r="BK495" i="4"/>
  <c r="BJ495" i="4"/>
  <c r="BI495" i="4"/>
  <c r="BH495" i="4"/>
  <c r="BG495" i="4"/>
  <c r="BF495" i="4"/>
  <c r="BE495" i="4"/>
  <c r="BD495" i="4"/>
  <c r="BC495" i="4"/>
  <c r="BB495" i="4"/>
  <c r="BA495" i="4"/>
  <c r="AZ495" i="4"/>
  <c r="AY495" i="4"/>
  <c r="AX495" i="4"/>
  <c r="AW495" i="4"/>
  <c r="AV495" i="4"/>
  <c r="AU495" i="4"/>
  <c r="AT495" i="4"/>
  <c r="AS495" i="4"/>
  <c r="AR495" i="4"/>
  <c r="AN495" i="4"/>
  <c r="AO495" i="4" s="1"/>
  <c r="B495" i="4"/>
  <c r="BW494" i="4"/>
  <c r="BV494" i="4"/>
  <c r="BU494" i="4"/>
  <c r="BT494" i="4"/>
  <c r="BS494" i="4"/>
  <c r="BR494" i="4"/>
  <c r="BQ494" i="4"/>
  <c r="BP494" i="4"/>
  <c r="BO494" i="4"/>
  <c r="BN494" i="4"/>
  <c r="BM494" i="4"/>
  <c r="BL494" i="4"/>
  <c r="BK494" i="4"/>
  <c r="BJ494" i="4"/>
  <c r="BI494" i="4"/>
  <c r="BH494" i="4"/>
  <c r="BG494" i="4"/>
  <c r="BF494" i="4"/>
  <c r="BE494" i="4"/>
  <c r="BD494" i="4"/>
  <c r="BC494" i="4"/>
  <c r="BB494" i="4"/>
  <c r="BA494" i="4"/>
  <c r="AZ494" i="4"/>
  <c r="AY494" i="4"/>
  <c r="AX494" i="4"/>
  <c r="AW494" i="4"/>
  <c r="AV494" i="4"/>
  <c r="AU494" i="4"/>
  <c r="AT494" i="4"/>
  <c r="AS494" i="4"/>
  <c r="AR494" i="4"/>
  <c r="B494" i="4"/>
  <c r="BW493" i="4"/>
  <c r="BV493" i="4"/>
  <c r="BU493" i="4"/>
  <c r="BT493" i="4"/>
  <c r="BS493" i="4"/>
  <c r="BR493" i="4"/>
  <c r="BQ493" i="4"/>
  <c r="BP493" i="4"/>
  <c r="BO493" i="4"/>
  <c r="BN493" i="4"/>
  <c r="BM493" i="4"/>
  <c r="BL493" i="4"/>
  <c r="BK493" i="4"/>
  <c r="BJ493" i="4"/>
  <c r="BI493" i="4"/>
  <c r="BH493" i="4"/>
  <c r="BG493" i="4"/>
  <c r="BF493" i="4"/>
  <c r="BE493" i="4"/>
  <c r="BD493" i="4"/>
  <c r="BC493" i="4"/>
  <c r="BB493" i="4"/>
  <c r="BA493" i="4"/>
  <c r="AZ493" i="4"/>
  <c r="AY493" i="4"/>
  <c r="AX493" i="4"/>
  <c r="AW493" i="4"/>
  <c r="AV493" i="4"/>
  <c r="AU493" i="4"/>
  <c r="AT493" i="4"/>
  <c r="AS493" i="4"/>
  <c r="AR493" i="4"/>
  <c r="AN493" i="4"/>
  <c r="AO493" i="4" s="1"/>
  <c r="B493" i="4"/>
  <c r="BW492" i="4"/>
  <c r="BV492" i="4"/>
  <c r="BU492" i="4"/>
  <c r="BT492" i="4"/>
  <c r="BS492" i="4"/>
  <c r="BR492" i="4"/>
  <c r="BQ492" i="4"/>
  <c r="BP492" i="4"/>
  <c r="BO492" i="4"/>
  <c r="BN492" i="4"/>
  <c r="BM492" i="4"/>
  <c r="BL492" i="4"/>
  <c r="BK492" i="4"/>
  <c r="BJ492" i="4"/>
  <c r="BI492" i="4"/>
  <c r="BH492" i="4"/>
  <c r="BG492" i="4"/>
  <c r="BF492" i="4"/>
  <c r="BE492" i="4"/>
  <c r="BD492" i="4"/>
  <c r="BC492" i="4"/>
  <c r="BB492" i="4"/>
  <c r="BA492" i="4"/>
  <c r="AZ492" i="4"/>
  <c r="AY492" i="4"/>
  <c r="AX492" i="4"/>
  <c r="AW492" i="4"/>
  <c r="AV492" i="4"/>
  <c r="AU492" i="4"/>
  <c r="AT492" i="4"/>
  <c r="AS492" i="4"/>
  <c r="AR492" i="4"/>
  <c r="AN492" i="4"/>
  <c r="AO492" i="4" s="1"/>
  <c r="B492" i="4"/>
  <c r="BW491" i="4"/>
  <c r="BV491" i="4"/>
  <c r="BU491" i="4"/>
  <c r="BT491" i="4"/>
  <c r="BS491" i="4"/>
  <c r="BR491" i="4"/>
  <c r="BQ491" i="4"/>
  <c r="BP491" i="4"/>
  <c r="BO491" i="4"/>
  <c r="BN491" i="4"/>
  <c r="BM491" i="4"/>
  <c r="BL491" i="4"/>
  <c r="BK491" i="4"/>
  <c r="BJ491" i="4"/>
  <c r="BI491" i="4"/>
  <c r="BH491" i="4"/>
  <c r="BG491" i="4"/>
  <c r="BF491" i="4"/>
  <c r="BE491" i="4"/>
  <c r="BD491" i="4"/>
  <c r="BC491" i="4"/>
  <c r="BB491" i="4"/>
  <c r="BA491" i="4"/>
  <c r="AZ491" i="4"/>
  <c r="AY491" i="4"/>
  <c r="AX491" i="4"/>
  <c r="AW491" i="4"/>
  <c r="AV491" i="4"/>
  <c r="AU491" i="4"/>
  <c r="AT491" i="4"/>
  <c r="AS491" i="4"/>
  <c r="AR491" i="4"/>
  <c r="AN491" i="4"/>
  <c r="AO491" i="4" s="1"/>
  <c r="B491" i="4"/>
  <c r="BW490" i="4"/>
  <c r="BV490" i="4"/>
  <c r="BU490" i="4"/>
  <c r="BT490" i="4"/>
  <c r="BS490" i="4"/>
  <c r="BR490" i="4"/>
  <c r="BQ490" i="4"/>
  <c r="BP490" i="4"/>
  <c r="BO490" i="4"/>
  <c r="BN490" i="4"/>
  <c r="BM490" i="4"/>
  <c r="BL490" i="4"/>
  <c r="BK490" i="4"/>
  <c r="BJ490" i="4"/>
  <c r="BI490" i="4"/>
  <c r="BH490" i="4"/>
  <c r="BG490" i="4"/>
  <c r="BF490" i="4"/>
  <c r="BE490" i="4"/>
  <c r="BD490" i="4"/>
  <c r="BC490" i="4"/>
  <c r="BB490" i="4"/>
  <c r="BA490" i="4"/>
  <c r="AZ490" i="4"/>
  <c r="AY490" i="4"/>
  <c r="AX490" i="4"/>
  <c r="AW490" i="4"/>
  <c r="AV490" i="4"/>
  <c r="AU490" i="4"/>
  <c r="AT490" i="4"/>
  <c r="AS490" i="4"/>
  <c r="AR490" i="4"/>
  <c r="AN490" i="4"/>
  <c r="AO490" i="4" s="1"/>
  <c r="B490" i="4"/>
  <c r="BW489" i="4"/>
  <c r="BV489" i="4"/>
  <c r="BU489" i="4"/>
  <c r="BT489" i="4"/>
  <c r="BS489" i="4"/>
  <c r="BR489" i="4"/>
  <c r="BQ489" i="4"/>
  <c r="BP489" i="4"/>
  <c r="BO489" i="4"/>
  <c r="BN489" i="4"/>
  <c r="BM489" i="4"/>
  <c r="BL489" i="4"/>
  <c r="BK489" i="4"/>
  <c r="BJ489" i="4"/>
  <c r="BI489" i="4"/>
  <c r="BH489" i="4"/>
  <c r="BG489" i="4"/>
  <c r="BF489" i="4"/>
  <c r="BE489" i="4"/>
  <c r="BD489" i="4"/>
  <c r="BC489" i="4"/>
  <c r="BB489" i="4"/>
  <c r="BA489" i="4"/>
  <c r="AZ489" i="4"/>
  <c r="AY489" i="4"/>
  <c r="AX489" i="4"/>
  <c r="AW489" i="4"/>
  <c r="AV489" i="4"/>
  <c r="AU489" i="4"/>
  <c r="AT489" i="4"/>
  <c r="AS489" i="4"/>
  <c r="AR489" i="4"/>
  <c r="AN489" i="4"/>
  <c r="AO489" i="4" s="1"/>
  <c r="B489" i="4"/>
  <c r="BW488" i="4"/>
  <c r="BV488" i="4"/>
  <c r="BU488" i="4"/>
  <c r="BT488" i="4"/>
  <c r="BS488" i="4"/>
  <c r="BR488" i="4"/>
  <c r="BQ488" i="4"/>
  <c r="BP488" i="4"/>
  <c r="BO488" i="4"/>
  <c r="BN488" i="4"/>
  <c r="BM488" i="4"/>
  <c r="BL488" i="4"/>
  <c r="BK488" i="4"/>
  <c r="BJ488" i="4"/>
  <c r="BI488" i="4"/>
  <c r="BH488" i="4"/>
  <c r="BG488" i="4"/>
  <c r="BF488" i="4"/>
  <c r="BE488" i="4"/>
  <c r="BD488" i="4"/>
  <c r="BC488" i="4"/>
  <c r="BB488" i="4"/>
  <c r="BA488" i="4"/>
  <c r="AZ488" i="4"/>
  <c r="AY488" i="4"/>
  <c r="AX488" i="4"/>
  <c r="AW488" i="4"/>
  <c r="AV488" i="4"/>
  <c r="AU488" i="4"/>
  <c r="AT488" i="4"/>
  <c r="AS488" i="4"/>
  <c r="AR488" i="4"/>
  <c r="AN488" i="4"/>
  <c r="AO488" i="4" s="1"/>
  <c r="B488" i="4"/>
  <c r="BW487" i="4"/>
  <c r="BV487" i="4"/>
  <c r="BU487" i="4"/>
  <c r="BT487" i="4"/>
  <c r="BS487" i="4"/>
  <c r="BR487" i="4"/>
  <c r="BQ487" i="4"/>
  <c r="BP487" i="4"/>
  <c r="BO487" i="4"/>
  <c r="BN487" i="4"/>
  <c r="BM487" i="4"/>
  <c r="BL487" i="4"/>
  <c r="BK487" i="4"/>
  <c r="BJ487" i="4"/>
  <c r="BI487" i="4"/>
  <c r="BH487" i="4"/>
  <c r="BG487" i="4"/>
  <c r="BF487" i="4"/>
  <c r="BE487" i="4"/>
  <c r="BD487" i="4"/>
  <c r="BC487" i="4"/>
  <c r="BB487" i="4"/>
  <c r="BA487" i="4"/>
  <c r="AZ487" i="4"/>
  <c r="AY487" i="4"/>
  <c r="AX487" i="4"/>
  <c r="AW487" i="4"/>
  <c r="AV487" i="4"/>
  <c r="AU487" i="4"/>
  <c r="AT487" i="4"/>
  <c r="AS487" i="4"/>
  <c r="AR487" i="4"/>
  <c r="AN487" i="4"/>
  <c r="AO487" i="4" s="1"/>
  <c r="B487" i="4"/>
  <c r="BW486" i="4"/>
  <c r="BV486" i="4"/>
  <c r="BU486" i="4"/>
  <c r="BT486" i="4"/>
  <c r="BS486" i="4"/>
  <c r="BR486" i="4"/>
  <c r="BQ486" i="4"/>
  <c r="BP486" i="4"/>
  <c r="BO486" i="4"/>
  <c r="BN486" i="4"/>
  <c r="BM486" i="4"/>
  <c r="BL486" i="4"/>
  <c r="BK486" i="4"/>
  <c r="BJ486" i="4"/>
  <c r="BI486" i="4"/>
  <c r="BH486" i="4"/>
  <c r="BG486" i="4"/>
  <c r="BF486" i="4"/>
  <c r="BE486" i="4"/>
  <c r="BD486" i="4"/>
  <c r="BC486" i="4"/>
  <c r="BB486" i="4"/>
  <c r="BA486" i="4"/>
  <c r="AZ486" i="4"/>
  <c r="AY486" i="4"/>
  <c r="AX486" i="4"/>
  <c r="AW486" i="4"/>
  <c r="AV486" i="4"/>
  <c r="AU486" i="4"/>
  <c r="AT486" i="4"/>
  <c r="AS486" i="4"/>
  <c r="AR486" i="4"/>
  <c r="AN486" i="4"/>
  <c r="AO486" i="4" s="1"/>
  <c r="B486" i="4"/>
  <c r="BW485" i="4"/>
  <c r="BV485" i="4"/>
  <c r="BU485" i="4"/>
  <c r="BT485" i="4"/>
  <c r="BS485" i="4"/>
  <c r="BR485" i="4"/>
  <c r="BQ485" i="4"/>
  <c r="BP485" i="4"/>
  <c r="BO485" i="4"/>
  <c r="BN485" i="4"/>
  <c r="BM485" i="4"/>
  <c r="BL485" i="4"/>
  <c r="BK485" i="4"/>
  <c r="BJ485" i="4"/>
  <c r="BI485" i="4"/>
  <c r="BH485" i="4"/>
  <c r="BG485" i="4"/>
  <c r="BF485" i="4"/>
  <c r="BE485" i="4"/>
  <c r="BD485" i="4"/>
  <c r="BC485" i="4"/>
  <c r="BB485" i="4"/>
  <c r="BA485" i="4"/>
  <c r="AZ485" i="4"/>
  <c r="AY485" i="4"/>
  <c r="AX485" i="4"/>
  <c r="AW485" i="4"/>
  <c r="AV485" i="4"/>
  <c r="AU485" i="4"/>
  <c r="AT485" i="4"/>
  <c r="AS485" i="4"/>
  <c r="AR485" i="4"/>
  <c r="AN485" i="4"/>
  <c r="AO485" i="4" s="1"/>
  <c r="B485" i="4"/>
  <c r="BW484" i="4"/>
  <c r="BV484" i="4"/>
  <c r="BU484" i="4"/>
  <c r="BT484" i="4"/>
  <c r="BS484" i="4"/>
  <c r="BR484" i="4"/>
  <c r="BQ484" i="4"/>
  <c r="BP484" i="4"/>
  <c r="BO484" i="4"/>
  <c r="BN484" i="4"/>
  <c r="BM484" i="4"/>
  <c r="BL484" i="4"/>
  <c r="BK484" i="4"/>
  <c r="BJ484" i="4"/>
  <c r="BI484" i="4"/>
  <c r="BH484" i="4"/>
  <c r="BG484" i="4"/>
  <c r="BF484" i="4"/>
  <c r="BE484" i="4"/>
  <c r="BD484" i="4"/>
  <c r="BC484" i="4"/>
  <c r="BB484" i="4"/>
  <c r="BA484" i="4"/>
  <c r="AZ484" i="4"/>
  <c r="AY484" i="4"/>
  <c r="AX484" i="4"/>
  <c r="AW484" i="4"/>
  <c r="AV484" i="4"/>
  <c r="AU484" i="4"/>
  <c r="AT484" i="4"/>
  <c r="AS484" i="4"/>
  <c r="AR484" i="4"/>
  <c r="AN484" i="4"/>
  <c r="AO484" i="4" s="1"/>
  <c r="B484" i="4"/>
  <c r="BW617" i="4"/>
  <c r="BV617" i="4"/>
  <c r="BU617" i="4"/>
  <c r="BT617" i="4"/>
  <c r="BS617" i="4"/>
  <c r="BR617" i="4"/>
  <c r="BQ617" i="4"/>
  <c r="BP617" i="4"/>
  <c r="BO617" i="4"/>
  <c r="BN617" i="4"/>
  <c r="BM617" i="4"/>
  <c r="BL617" i="4"/>
  <c r="BK617" i="4"/>
  <c r="BJ617" i="4"/>
  <c r="BI617" i="4"/>
  <c r="BH617" i="4"/>
  <c r="BG617" i="4"/>
  <c r="BF617" i="4"/>
  <c r="BE617" i="4"/>
  <c r="BD617" i="4"/>
  <c r="BC617" i="4"/>
  <c r="BB617" i="4"/>
  <c r="BA617" i="4"/>
  <c r="AZ617" i="4"/>
  <c r="AY617" i="4"/>
  <c r="AX617" i="4"/>
  <c r="AW617" i="4"/>
  <c r="AV617" i="4"/>
  <c r="AU617" i="4"/>
  <c r="AT617" i="4"/>
  <c r="AS617" i="4"/>
  <c r="AR617" i="4"/>
  <c r="AN617" i="4"/>
  <c r="AO617" i="4" s="1"/>
  <c r="B617" i="4"/>
  <c r="BW514" i="4"/>
  <c r="BV514" i="4"/>
  <c r="BU514" i="4"/>
  <c r="BT514" i="4"/>
  <c r="BS514" i="4"/>
  <c r="BR514" i="4"/>
  <c r="BQ514" i="4"/>
  <c r="BP514" i="4"/>
  <c r="BO514" i="4"/>
  <c r="BN514" i="4"/>
  <c r="BM514" i="4"/>
  <c r="BL514" i="4"/>
  <c r="BK514" i="4"/>
  <c r="BJ514" i="4"/>
  <c r="BI514" i="4"/>
  <c r="BH514" i="4"/>
  <c r="BG514" i="4"/>
  <c r="BF514" i="4"/>
  <c r="BE514" i="4"/>
  <c r="BD514" i="4"/>
  <c r="BC514" i="4"/>
  <c r="BB514" i="4"/>
  <c r="BA514" i="4"/>
  <c r="AZ514" i="4"/>
  <c r="AY514" i="4"/>
  <c r="AX514" i="4"/>
  <c r="AW514" i="4"/>
  <c r="AV514" i="4"/>
  <c r="AU514" i="4"/>
  <c r="AT514" i="4"/>
  <c r="AS514" i="4"/>
  <c r="AR514" i="4"/>
  <c r="AN514" i="4"/>
  <c r="AO514" i="4" s="1"/>
  <c r="B514" i="4"/>
  <c r="BW513" i="4"/>
  <c r="BV513" i="4"/>
  <c r="BU513" i="4"/>
  <c r="BT513" i="4"/>
  <c r="BS513" i="4"/>
  <c r="BR513" i="4"/>
  <c r="BQ513" i="4"/>
  <c r="BP513" i="4"/>
  <c r="BO513" i="4"/>
  <c r="BN513" i="4"/>
  <c r="BM513" i="4"/>
  <c r="BL513" i="4"/>
  <c r="BK513" i="4"/>
  <c r="BJ513" i="4"/>
  <c r="BI513" i="4"/>
  <c r="BH513" i="4"/>
  <c r="BG513" i="4"/>
  <c r="BF513" i="4"/>
  <c r="BE513" i="4"/>
  <c r="BD513" i="4"/>
  <c r="BC513" i="4"/>
  <c r="BB513" i="4"/>
  <c r="BA513" i="4"/>
  <c r="AZ513" i="4"/>
  <c r="AY513" i="4"/>
  <c r="AX513" i="4"/>
  <c r="AW513" i="4"/>
  <c r="AV513" i="4"/>
  <c r="AU513" i="4"/>
  <c r="AT513" i="4"/>
  <c r="AS513" i="4"/>
  <c r="AR513" i="4"/>
  <c r="AN513" i="4"/>
  <c r="AO513" i="4" s="1"/>
  <c r="B513" i="4"/>
  <c r="BW512" i="4"/>
  <c r="BV512" i="4"/>
  <c r="BU512" i="4"/>
  <c r="BT512" i="4"/>
  <c r="BS512" i="4"/>
  <c r="BR512" i="4"/>
  <c r="BQ512" i="4"/>
  <c r="BP512" i="4"/>
  <c r="BO512" i="4"/>
  <c r="BN512" i="4"/>
  <c r="BM512" i="4"/>
  <c r="BL512" i="4"/>
  <c r="BK512" i="4"/>
  <c r="BJ512" i="4"/>
  <c r="BI512" i="4"/>
  <c r="BH512" i="4"/>
  <c r="BG512" i="4"/>
  <c r="BF512" i="4"/>
  <c r="BE512" i="4"/>
  <c r="BD512" i="4"/>
  <c r="BC512" i="4"/>
  <c r="BB512" i="4"/>
  <c r="BA512" i="4"/>
  <c r="AZ512" i="4"/>
  <c r="AY512" i="4"/>
  <c r="AX512" i="4"/>
  <c r="AW512" i="4"/>
  <c r="AV512" i="4"/>
  <c r="AU512" i="4"/>
  <c r="AT512" i="4"/>
  <c r="AS512" i="4"/>
  <c r="AR512" i="4"/>
  <c r="B512" i="4"/>
  <c r="BW511" i="4"/>
  <c r="BV511" i="4"/>
  <c r="BU511" i="4"/>
  <c r="BT511" i="4"/>
  <c r="BS511" i="4"/>
  <c r="BR511" i="4"/>
  <c r="BQ511" i="4"/>
  <c r="BP511" i="4"/>
  <c r="BO511" i="4"/>
  <c r="BN511" i="4"/>
  <c r="BM511" i="4"/>
  <c r="BL511" i="4"/>
  <c r="BK511" i="4"/>
  <c r="BJ511" i="4"/>
  <c r="BI511" i="4"/>
  <c r="BH511" i="4"/>
  <c r="BG511" i="4"/>
  <c r="BF511" i="4"/>
  <c r="BE511" i="4"/>
  <c r="BD511" i="4"/>
  <c r="BC511" i="4"/>
  <c r="BB511" i="4"/>
  <c r="BA511" i="4"/>
  <c r="AZ511" i="4"/>
  <c r="AY511" i="4"/>
  <c r="AX511" i="4"/>
  <c r="AW511" i="4"/>
  <c r="AV511" i="4"/>
  <c r="AU511" i="4"/>
  <c r="AT511" i="4"/>
  <c r="AS511" i="4"/>
  <c r="AR511" i="4"/>
  <c r="AN511" i="4"/>
  <c r="AO511" i="4" s="1"/>
  <c r="B511" i="4"/>
  <c r="BW510" i="4"/>
  <c r="BV510" i="4"/>
  <c r="BU510" i="4"/>
  <c r="BT510" i="4"/>
  <c r="BS510" i="4"/>
  <c r="BR510" i="4"/>
  <c r="BQ510" i="4"/>
  <c r="BP510" i="4"/>
  <c r="BO510" i="4"/>
  <c r="BN510" i="4"/>
  <c r="BM510" i="4"/>
  <c r="BL510" i="4"/>
  <c r="BK510" i="4"/>
  <c r="BJ510" i="4"/>
  <c r="BI510" i="4"/>
  <c r="BH510" i="4"/>
  <c r="BG510" i="4"/>
  <c r="BF510" i="4"/>
  <c r="BE510" i="4"/>
  <c r="BD510" i="4"/>
  <c r="BC510" i="4"/>
  <c r="BB510" i="4"/>
  <c r="BA510" i="4"/>
  <c r="AZ510" i="4"/>
  <c r="AY510" i="4"/>
  <c r="AX510" i="4"/>
  <c r="AW510" i="4"/>
  <c r="AV510" i="4"/>
  <c r="AU510" i="4"/>
  <c r="AT510" i="4"/>
  <c r="AS510" i="4"/>
  <c r="AR510" i="4"/>
  <c r="AN510" i="4"/>
  <c r="AO510" i="4" s="1"/>
  <c r="B510" i="4"/>
  <c r="BW509" i="4"/>
  <c r="BV509" i="4"/>
  <c r="BU509" i="4"/>
  <c r="BT509" i="4"/>
  <c r="BS509" i="4"/>
  <c r="BR509" i="4"/>
  <c r="BQ509" i="4"/>
  <c r="BP509" i="4"/>
  <c r="BO509" i="4"/>
  <c r="BN509" i="4"/>
  <c r="BM509" i="4"/>
  <c r="BL509" i="4"/>
  <c r="BK509" i="4"/>
  <c r="BJ509" i="4"/>
  <c r="BI509" i="4"/>
  <c r="BH509" i="4"/>
  <c r="BG509" i="4"/>
  <c r="BF509" i="4"/>
  <c r="BE509" i="4"/>
  <c r="BD509" i="4"/>
  <c r="BC509" i="4"/>
  <c r="BB509" i="4"/>
  <c r="BA509" i="4"/>
  <c r="AZ509" i="4"/>
  <c r="AY509" i="4"/>
  <c r="AX509" i="4"/>
  <c r="AW509" i="4"/>
  <c r="AV509" i="4"/>
  <c r="AU509" i="4"/>
  <c r="AT509" i="4"/>
  <c r="AS509" i="4"/>
  <c r="AR509" i="4"/>
  <c r="AN509" i="4"/>
  <c r="AO509" i="4" s="1"/>
  <c r="B509" i="4"/>
  <c r="BW508" i="4"/>
  <c r="BV508" i="4"/>
  <c r="BU508" i="4"/>
  <c r="BT508" i="4"/>
  <c r="BS508" i="4"/>
  <c r="BR508" i="4"/>
  <c r="BQ508" i="4"/>
  <c r="BP508" i="4"/>
  <c r="BO508" i="4"/>
  <c r="BN508" i="4"/>
  <c r="BM508" i="4"/>
  <c r="BL508" i="4"/>
  <c r="BK508" i="4"/>
  <c r="BJ508" i="4"/>
  <c r="BI508" i="4"/>
  <c r="BH508" i="4"/>
  <c r="BG508" i="4"/>
  <c r="BF508" i="4"/>
  <c r="BE508" i="4"/>
  <c r="BD508" i="4"/>
  <c r="BC508" i="4"/>
  <c r="BB508" i="4"/>
  <c r="BA508" i="4"/>
  <c r="AZ508" i="4"/>
  <c r="AY508" i="4"/>
  <c r="AX508" i="4"/>
  <c r="AW508" i="4"/>
  <c r="AV508" i="4"/>
  <c r="AU508" i="4"/>
  <c r="AT508" i="4"/>
  <c r="AS508" i="4"/>
  <c r="AR508" i="4"/>
  <c r="B508" i="4"/>
  <c r="BW507" i="4"/>
  <c r="BV507" i="4"/>
  <c r="BU507" i="4"/>
  <c r="BT507" i="4"/>
  <c r="BS507" i="4"/>
  <c r="BR507" i="4"/>
  <c r="BQ507" i="4"/>
  <c r="BP507" i="4"/>
  <c r="BO507" i="4"/>
  <c r="BN507" i="4"/>
  <c r="BM507" i="4"/>
  <c r="BL507" i="4"/>
  <c r="BK507" i="4"/>
  <c r="BJ507" i="4"/>
  <c r="BI507" i="4"/>
  <c r="BH507" i="4"/>
  <c r="BG507" i="4"/>
  <c r="BF507" i="4"/>
  <c r="BE507" i="4"/>
  <c r="BD507" i="4"/>
  <c r="BC507" i="4"/>
  <c r="BB507" i="4"/>
  <c r="BA507" i="4"/>
  <c r="AZ507" i="4"/>
  <c r="AY507" i="4"/>
  <c r="AX507" i="4"/>
  <c r="AW507" i="4"/>
  <c r="AV507" i="4"/>
  <c r="AU507" i="4"/>
  <c r="AT507" i="4"/>
  <c r="AS507" i="4"/>
  <c r="AR507" i="4"/>
  <c r="AN507" i="4"/>
  <c r="AO507" i="4" s="1"/>
  <c r="B507" i="4"/>
  <c r="BW506" i="4"/>
  <c r="BV506" i="4"/>
  <c r="BU506" i="4"/>
  <c r="BT506" i="4"/>
  <c r="BS506" i="4"/>
  <c r="BR506" i="4"/>
  <c r="BQ506" i="4"/>
  <c r="BP506" i="4"/>
  <c r="BO506" i="4"/>
  <c r="BN506" i="4"/>
  <c r="BM506" i="4"/>
  <c r="BL506" i="4"/>
  <c r="BK506" i="4"/>
  <c r="BJ506" i="4"/>
  <c r="BI506" i="4"/>
  <c r="BH506" i="4"/>
  <c r="BG506" i="4"/>
  <c r="BF506" i="4"/>
  <c r="BE506" i="4"/>
  <c r="BD506" i="4"/>
  <c r="BC506" i="4"/>
  <c r="BB506" i="4"/>
  <c r="BA506" i="4"/>
  <c r="AZ506" i="4"/>
  <c r="AY506" i="4"/>
  <c r="AX506" i="4"/>
  <c r="AW506" i="4"/>
  <c r="AV506" i="4"/>
  <c r="AU506" i="4"/>
  <c r="AT506" i="4"/>
  <c r="AS506" i="4"/>
  <c r="AR506" i="4"/>
  <c r="AN506" i="4"/>
  <c r="AO506" i="4" s="1"/>
  <c r="B506" i="4"/>
  <c r="BW505" i="4"/>
  <c r="BV505" i="4"/>
  <c r="BU505" i="4"/>
  <c r="BT505" i="4"/>
  <c r="BS505" i="4"/>
  <c r="BR505" i="4"/>
  <c r="BQ505" i="4"/>
  <c r="BP505" i="4"/>
  <c r="BO505" i="4"/>
  <c r="BN505" i="4"/>
  <c r="BM505" i="4"/>
  <c r="BL505" i="4"/>
  <c r="BK505" i="4"/>
  <c r="BJ505" i="4"/>
  <c r="BI505" i="4"/>
  <c r="BH505" i="4"/>
  <c r="BG505" i="4"/>
  <c r="BF505" i="4"/>
  <c r="BE505" i="4"/>
  <c r="BD505" i="4"/>
  <c r="BC505" i="4"/>
  <c r="BB505" i="4"/>
  <c r="BA505" i="4"/>
  <c r="AZ505" i="4"/>
  <c r="AY505" i="4"/>
  <c r="AX505" i="4"/>
  <c r="AW505" i="4"/>
  <c r="AV505" i="4"/>
  <c r="AU505" i="4"/>
  <c r="AT505" i="4"/>
  <c r="AS505" i="4"/>
  <c r="AR505" i="4"/>
  <c r="AN505" i="4"/>
  <c r="AO505" i="4" s="1"/>
  <c r="B505" i="4"/>
  <c r="BW504" i="4"/>
  <c r="BV504" i="4"/>
  <c r="BU504" i="4"/>
  <c r="BT504" i="4"/>
  <c r="BS504" i="4"/>
  <c r="BR504" i="4"/>
  <c r="BQ504" i="4"/>
  <c r="BP504" i="4"/>
  <c r="BO504" i="4"/>
  <c r="BN504" i="4"/>
  <c r="BM504" i="4"/>
  <c r="BL504" i="4"/>
  <c r="BK504" i="4"/>
  <c r="BJ504" i="4"/>
  <c r="BI504" i="4"/>
  <c r="BH504" i="4"/>
  <c r="BG504" i="4"/>
  <c r="BF504" i="4"/>
  <c r="BE504" i="4"/>
  <c r="BD504" i="4"/>
  <c r="BC504" i="4"/>
  <c r="BB504" i="4"/>
  <c r="BA504" i="4"/>
  <c r="AZ504" i="4"/>
  <c r="AY504" i="4"/>
  <c r="AX504" i="4"/>
  <c r="AW504" i="4"/>
  <c r="AV504" i="4"/>
  <c r="AU504" i="4"/>
  <c r="AT504" i="4"/>
  <c r="AS504" i="4"/>
  <c r="AR504" i="4"/>
  <c r="AN504" i="4"/>
  <c r="AO504" i="4" s="1"/>
  <c r="B504" i="4"/>
  <c r="BW503" i="4"/>
  <c r="BV503" i="4"/>
  <c r="BU503" i="4"/>
  <c r="BT503" i="4"/>
  <c r="BS503" i="4"/>
  <c r="BR503" i="4"/>
  <c r="BQ503" i="4"/>
  <c r="BP503" i="4"/>
  <c r="BO503" i="4"/>
  <c r="BN503" i="4"/>
  <c r="BM503" i="4"/>
  <c r="BL503" i="4"/>
  <c r="BK503" i="4"/>
  <c r="BJ503" i="4"/>
  <c r="BI503" i="4"/>
  <c r="BH503" i="4"/>
  <c r="BG503" i="4"/>
  <c r="BF503" i="4"/>
  <c r="BE503" i="4"/>
  <c r="BD503" i="4"/>
  <c r="BC503" i="4"/>
  <c r="BB503" i="4"/>
  <c r="BA503" i="4"/>
  <c r="AZ503" i="4"/>
  <c r="AY503" i="4"/>
  <c r="AX503" i="4"/>
  <c r="AW503" i="4"/>
  <c r="AV503" i="4"/>
  <c r="AU503" i="4"/>
  <c r="AT503" i="4"/>
  <c r="AS503" i="4"/>
  <c r="AR503" i="4"/>
  <c r="AN503" i="4"/>
  <c r="AO503" i="4" s="1"/>
  <c r="B503" i="4"/>
  <c r="BW502" i="4"/>
  <c r="BV502" i="4"/>
  <c r="BU502" i="4"/>
  <c r="BT502" i="4"/>
  <c r="BS502" i="4"/>
  <c r="BR502" i="4"/>
  <c r="BQ502" i="4"/>
  <c r="BP502" i="4"/>
  <c r="BO502" i="4"/>
  <c r="BN502" i="4"/>
  <c r="BM502" i="4"/>
  <c r="BL502" i="4"/>
  <c r="BK502" i="4"/>
  <c r="BJ502" i="4"/>
  <c r="BI502" i="4"/>
  <c r="BH502" i="4"/>
  <c r="BG502" i="4"/>
  <c r="BF502" i="4"/>
  <c r="BE502" i="4"/>
  <c r="BD502" i="4"/>
  <c r="BC502" i="4"/>
  <c r="BB502" i="4"/>
  <c r="BA502" i="4"/>
  <c r="AZ502" i="4"/>
  <c r="AY502" i="4"/>
  <c r="AX502" i="4"/>
  <c r="AW502" i="4"/>
  <c r="AV502" i="4"/>
  <c r="AU502" i="4"/>
  <c r="AT502" i="4"/>
  <c r="AS502" i="4"/>
  <c r="AR502" i="4"/>
  <c r="AN502" i="4"/>
  <c r="AO502" i="4" s="1"/>
  <c r="B502" i="4"/>
  <c r="BW501" i="4"/>
  <c r="BV501" i="4"/>
  <c r="BU501" i="4"/>
  <c r="BT501" i="4"/>
  <c r="BS501" i="4"/>
  <c r="BR501" i="4"/>
  <c r="BQ501" i="4"/>
  <c r="BP501" i="4"/>
  <c r="BO501" i="4"/>
  <c r="BN501" i="4"/>
  <c r="BM501" i="4"/>
  <c r="BL501" i="4"/>
  <c r="BK501" i="4"/>
  <c r="BJ501" i="4"/>
  <c r="BI501" i="4"/>
  <c r="BH501" i="4"/>
  <c r="BG501" i="4"/>
  <c r="BF501" i="4"/>
  <c r="BE501" i="4"/>
  <c r="BD501" i="4"/>
  <c r="BC501" i="4"/>
  <c r="BB501" i="4"/>
  <c r="BA501" i="4"/>
  <c r="AZ501" i="4"/>
  <c r="AY501" i="4"/>
  <c r="AX501" i="4"/>
  <c r="AW501" i="4"/>
  <c r="AV501" i="4"/>
  <c r="AU501" i="4"/>
  <c r="AT501" i="4"/>
  <c r="AS501" i="4"/>
  <c r="AR501" i="4"/>
  <c r="AN501" i="4"/>
  <c r="AO501" i="4" s="1"/>
  <c r="B501" i="4"/>
  <c r="BW500" i="4"/>
  <c r="BV500" i="4"/>
  <c r="BU500" i="4"/>
  <c r="BT500" i="4"/>
  <c r="BS500" i="4"/>
  <c r="BR500" i="4"/>
  <c r="BQ500" i="4"/>
  <c r="BP500" i="4"/>
  <c r="BO500" i="4"/>
  <c r="BN500" i="4"/>
  <c r="BM500" i="4"/>
  <c r="BL500" i="4"/>
  <c r="BK500" i="4"/>
  <c r="BJ500" i="4"/>
  <c r="BI500" i="4"/>
  <c r="BH500" i="4"/>
  <c r="BG500" i="4"/>
  <c r="BF500" i="4"/>
  <c r="BE500" i="4"/>
  <c r="BD500" i="4"/>
  <c r="BC500" i="4"/>
  <c r="BB500" i="4"/>
  <c r="BA500" i="4"/>
  <c r="AZ500" i="4"/>
  <c r="AY500" i="4"/>
  <c r="AX500" i="4"/>
  <c r="AW500" i="4"/>
  <c r="AV500" i="4"/>
  <c r="AU500" i="4"/>
  <c r="AT500" i="4"/>
  <c r="AS500" i="4"/>
  <c r="AR500" i="4"/>
  <c r="AN500" i="4"/>
  <c r="AO500" i="4" s="1"/>
  <c r="B500" i="4"/>
  <c r="BW618" i="4"/>
  <c r="BV618" i="4"/>
  <c r="BU618" i="4"/>
  <c r="BT618" i="4"/>
  <c r="BS618" i="4"/>
  <c r="BR618" i="4"/>
  <c r="BQ618" i="4"/>
  <c r="BP618" i="4"/>
  <c r="BO618" i="4"/>
  <c r="BN618" i="4"/>
  <c r="BM618" i="4"/>
  <c r="BL618" i="4"/>
  <c r="BK618" i="4"/>
  <c r="BJ618" i="4"/>
  <c r="BI618" i="4"/>
  <c r="BH618" i="4"/>
  <c r="BG618" i="4"/>
  <c r="BF618" i="4"/>
  <c r="BE618" i="4"/>
  <c r="BD618" i="4"/>
  <c r="BC618" i="4"/>
  <c r="BB618" i="4"/>
  <c r="BA618" i="4"/>
  <c r="AZ618" i="4"/>
  <c r="AY618" i="4"/>
  <c r="AX618" i="4"/>
  <c r="AW618" i="4"/>
  <c r="AV618" i="4"/>
  <c r="AU618" i="4"/>
  <c r="AT618" i="4"/>
  <c r="AS618" i="4"/>
  <c r="AR618" i="4"/>
  <c r="CE133" i="3"/>
  <c r="CD133" i="3"/>
  <c r="CC133" i="3"/>
  <c r="CB133" i="3"/>
  <c r="CA133" i="3"/>
  <c r="BZ133" i="3"/>
  <c r="BY133" i="3"/>
  <c r="BX133" i="3"/>
  <c r="BW133" i="3"/>
  <c r="BV133" i="3"/>
  <c r="BU133" i="3"/>
  <c r="BT133" i="3"/>
  <c r="BS133" i="3"/>
  <c r="BR133" i="3"/>
  <c r="BQ133" i="3"/>
  <c r="BP133" i="3"/>
  <c r="BO133" i="3"/>
  <c r="BN133" i="3"/>
  <c r="BM133" i="3"/>
  <c r="BL133" i="3"/>
  <c r="BK133" i="3"/>
  <c r="BJ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B133" i="3"/>
  <c r="CE132" i="3"/>
  <c r="CD132" i="3"/>
  <c r="CC132" i="3"/>
  <c r="CB132" i="3"/>
  <c r="CA132" i="3"/>
  <c r="BZ132" i="3"/>
  <c r="BY132" i="3"/>
  <c r="BX132" i="3"/>
  <c r="BW132" i="3"/>
  <c r="BV132" i="3"/>
  <c r="BU132" i="3"/>
  <c r="BT132" i="3"/>
  <c r="BS132" i="3"/>
  <c r="BR132" i="3"/>
  <c r="BQ132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B132" i="3"/>
  <c r="CE131" i="3"/>
  <c r="CD131" i="3"/>
  <c r="CC131" i="3"/>
  <c r="CB131" i="3"/>
  <c r="CA131" i="3"/>
  <c r="BZ131" i="3"/>
  <c r="BY131" i="3"/>
  <c r="BX131" i="3"/>
  <c r="BW131" i="3"/>
  <c r="BV131" i="3"/>
  <c r="BU131" i="3"/>
  <c r="BT131" i="3"/>
  <c r="BS131" i="3"/>
  <c r="BR131" i="3"/>
  <c r="BQ131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B131" i="3"/>
  <c r="CE130" i="3"/>
  <c r="CD130" i="3"/>
  <c r="CC130" i="3"/>
  <c r="CB130" i="3"/>
  <c r="CA130" i="3"/>
  <c r="BZ130" i="3"/>
  <c r="BY130" i="3"/>
  <c r="BX130" i="3"/>
  <c r="BW130" i="3"/>
  <c r="BV130" i="3"/>
  <c r="BU130" i="3"/>
  <c r="BT130" i="3"/>
  <c r="BS130" i="3"/>
  <c r="BR130" i="3"/>
  <c r="BQ130" i="3"/>
  <c r="BP130" i="3"/>
  <c r="BO130" i="3"/>
  <c r="BN130" i="3"/>
  <c r="BM130" i="3"/>
  <c r="BL130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B130" i="3"/>
  <c r="CE129" i="3"/>
  <c r="CD129" i="3"/>
  <c r="CC129" i="3"/>
  <c r="CB129" i="3"/>
  <c r="CA129" i="3"/>
  <c r="BZ129" i="3"/>
  <c r="BY129" i="3"/>
  <c r="BX129" i="3"/>
  <c r="BW129" i="3"/>
  <c r="BV129" i="3"/>
  <c r="BU129" i="3"/>
  <c r="BT129" i="3"/>
  <c r="BS129" i="3"/>
  <c r="BR129" i="3"/>
  <c r="BQ129" i="3"/>
  <c r="BP129" i="3"/>
  <c r="BO129" i="3"/>
  <c r="BN129" i="3"/>
  <c r="BM129" i="3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B129" i="3"/>
  <c r="CE128" i="3"/>
  <c r="CD128" i="3"/>
  <c r="CC128" i="3"/>
  <c r="CB128" i="3"/>
  <c r="CA128" i="3"/>
  <c r="BZ128" i="3"/>
  <c r="BY128" i="3"/>
  <c r="BX128" i="3"/>
  <c r="BW128" i="3"/>
  <c r="BV128" i="3"/>
  <c r="BU128" i="3"/>
  <c r="BT128" i="3"/>
  <c r="BS128" i="3"/>
  <c r="BR128" i="3"/>
  <c r="BQ128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B128" i="3"/>
  <c r="CE127" i="3"/>
  <c r="CD127" i="3"/>
  <c r="CC127" i="3"/>
  <c r="CB127" i="3"/>
  <c r="CA127" i="3"/>
  <c r="BZ127" i="3"/>
  <c r="BY127" i="3"/>
  <c r="BX127" i="3"/>
  <c r="BW127" i="3"/>
  <c r="BV127" i="3"/>
  <c r="BU127" i="3"/>
  <c r="BT127" i="3"/>
  <c r="BS127" i="3"/>
  <c r="BR127" i="3"/>
  <c r="BQ127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B127" i="3"/>
  <c r="CE126" i="3"/>
  <c r="CD126" i="3"/>
  <c r="CC126" i="3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B126" i="3"/>
  <c r="CE125" i="3"/>
  <c r="CD125" i="3"/>
  <c r="CC125" i="3"/>
  <c r="CB125" i="3"/>
  <c r="CA125" i="3"/>
  <c r="BZ125" i="3"/>
  <c r="BY125" i="3"/>
  <c r="BX125" i="3"/>
  <c r="BW125" i="3"/>
  <c r="BV125" i="3"/>
  <c r="BU125" i="3"/>
  <c r="BT125" i="3"/>
  <c r="BS125" i="3"/>
  <c r="BR125" i="3"/>
  <c r="BQ125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B125" i="3"/>
  <c r="CE124" i="3"/>
  <c r="CD124" i="3"/>
  <c r="CC124" i="3"/>
  <c r="CB124" i="3"/>
  <c r="CA124" i="3"/>
  <c r="BZ124" i="3"/>
  <c r="BY124" i="3"/>
  <c r="BX124" i="3"/>
  <c r="BW124" i="3"/>
  <c r="BV124" i="3"/>
  <c r="BU124" i="3"/>
  <c r="BT124" i="3"/>
  <c r="BS124" i="3"/>
  <c r="BR124" i="3"/>
  <c r="BQ124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B124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B123" i="3"/>
  <c r="CE122" i="3"/>
  <c r="CD122" i="3"/>
  <c r="CC122" i="3"/>
  <c r="CB122" i="3"/>
  <c r="CA122" i="3"/>
  <c r="BZ122" i="3"/>
  <c r="BY122" i="3"/>
  <c r="BX122" i="3"/>
  <c r="BW122" i="3"/>
  <c r="BV122" i="3"/>
  <c r="BU122" i="3"/>
  <c r="BT122" i="3"/>
  <c r="BS122" i="3"/>
  <c r="BR122" i="3"/>
  <c r="BQ122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B122" i="3"/>
  <c r="CE121" i="3"/>
  <c r="CD121" i="3"/>
  <c r="CC121" i="3"/>
  <c r="CB121" i="3"/>
  <c r="CA121" i="3"/>
  <c r="BZ121" i="3"/>
  <c r="BY121" i="3"/>
  <c r="BX121" i="3"/>
  <c r="BW121" i="3"/>
  <c r="BV121" i="3"/>
  <c r="BU121" i="3"/>
  <c r="BT121" i="3"/>
  <c r="BS121" i="3"/>
  <c r="BR121" i="3"/>
  <c r="BQ121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B121" i="3"/>
  <c r="CE120" i="3"/>
  <c r="CD120" i="3"/>
  <c r="CC120" i="3"/>
  <c r="CB120" i="3"/>
  <c r="CA120" i="3"/>
  <c r="BZ120" i="3"/>
  <c r="BY120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B120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B119" i="3"/>
  <c r="CE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B118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B117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B116" i="3"/>
  <c r="CE115" i="3"/>
  <c r="CD115" i="3"/>
  <c r="CC115" i="3"/>
  <c r="CB115" i="3"/>
  <c r="CA115" i="3"/>
  <c r="BZ115" i="3"/>
  <c r="BY115" i="3"/>
  <c r="BX115" i="3"/>
  <c r="BW115" i="3"/>
  <c r="BV115" i="3"/>
  <c r="BU115" i="3"/>
  <c r="BT115" i="3"/>
  <c r="BS115" i="3"/>
  <c r="BR115" i="3"/>
  <c r="BQ115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B115" i="3"/>
  <c r="CE114" i="3"/>
  <c r="CD114" i="3"/>
  <c r="CC114" i="3"/>
  <c r="CB114" i="3"/>
  <c r="CA114" i="3"/>
  <c r="BZ114" i="3"/>
  <c r="BY114" i="3"/>
  <c r="BX114" i="3"/>
  <c r="BW114" i="3"/>
  <c r="BV114" i="3"/>
  <c r="BU114" i="3"/>
  <c r="BT114" i="3"/>
  <c r="BS114" i="3"/>
  <c r="BR114" i="3"/>
  <c r="BQ114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B114" i="3"/>
  <c r="CE113" i="3"/>
  <c r="CD113" i="3"/>
  <c r="CC113" i="3"/>
  <c r="CB113" i="3"/>
  <c r="CA113" i="3"/>
  <c r="BZ113" i="3"/>
  <c r="BY113" i="3"/>
  <c r="BX113" i="3"/>
  <c r="BW113" i="3"/>
  <c r="BV113" i="3"/>
  <c r="BU113" i="3"/>
  <c r="BT113" i="3"/>
  <c r="BS113" i="3"/>
  <c r="BR113" i="3"/>
  <c r="BQ113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B113" i="3"/>
  <c r="CE112" i="3"/>
  <c r="CD112" i="3"/>
  <c r="CC112" i="3"/>
  <c r="CB112" i="3"/>
  <c r="CA112" i="3"/>
  <c r="BZ112" i="3"/>
  <c r="BY112" i="3"/>
  <c r="BX112" i="3"/>
  <c r="BW112" i="3"/>
  <c r="BV112" i="3"/>
  <c r="BU112" i="3"/>
  <c r="BT112" i="3"/>
  <c r="BS112" i="3"/>
  <c r="BR112" i="3"/>
  <c r="BQ112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B112" i="3"/>
  <c r="CE111" i="3"/>
  <c r="CD111" i="3"/>
  <c r="CC111" i="3"/>
  <c r="CB111" i="3"/>
  <c r="CA111" i="3"/>
  <c r="BZ111" i="3"/>
  <c r="BY111" i="3"/>
  <c r="BX111" i="3"/>
  <c r="BW111" i="3"/>
  <c r="BV111" i="3"/>
  <c r="BU111" i="3"/>
  <c r="BT111" i="3"/>
  <c r="BS111" i="3"/>
  <c r="BR111" i="3"/>
  <c r="BQ111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B111" i="3"/>
  <c r="CE110" i="3"/>
  <c r="CD110" i="3"/>
  <c r="CC110" i="3"/>
  <c r="CB110" i="3"/>
  <c r="CA110" i="3"/>
  <c r="BZ110" i="3"/>
  <c r="BY110" i="3"/>
  <c r="BX110" i="3"/>
  <c r="BW110" i="3"/>
  <c r="BV110" i="3"/>
  <c r="BU110" i="3"/>
  <c r="BT110" i="3"/>
  <c r="BS110" i="3"/>
  <c r="BR110" i="3"/>
  <c r="BQ110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B110" i="3"/>
  <c r="CE109" i="3"/>
  <c r="CD109" i="3"/>
  <c r="CC109" i="3"/>
  <c r="CB109" i="3"/>
  <c r="CA109" i="3"/>
  <c r="BZ109" i="3"/>
  <c r="BY109" i="3"/>
  <c r="BX109" i="3"/>
  <c r="BW109" i="3"/>
  <c r="BV109" i="3"/>
  <c r="BU109" i="3"/>
  <c r="BT109" i="3"/>
  <c r="BS109" i="3"/>
  <c r="BR109" i="3"/>
  <c r="BQ109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B109" i="3"/>
  <c r="CE108" i="3"/>
  <c r="CD108" i="3"/>
  <c r="CC108" i="3"/>
  <c r="CB108" i="3"/>
  <c r="CA108" i="3"/>
  <c r="BZ108" i="3"/>
  <c r="BY108" i="3"/>
  <c r="BX108" i="3"/>
  <c r="BW108" i="3"/>
  <c r="BV108" i="3"/>
  <c r="BU108" i="3"/>
  <c r="BT108" i="3"/>
  <c r="BS108" i="3"/>
  <c r="BR108" i="3"/>
  <c r="BQ108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B108" i="3"/>
  <c r="CE107" i="3"/>
  <c r="CD107" i="3"/>
  <c r="CC107" i="3"/>
  <c r="CB107" i="3"/>
  <c r="CA107" i="3"/>
  <c r="BZ107" i="3"/>
  <c r="BY107" i="3"/>
  <c r="BX107" i="3"/>
  <c r="BW107" i="3"/>
  <c r="BV107" i="3"/>
  <c r="BU107" i="3"/>
  <c r="BT107" i="3"/>
  <c r="BS107" i="3"/>
  <c r="BR107" i="3"/>
  <c r="BQ107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B107" i="3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B106" i="3"/>
  <c r="CE105" i="3"/>
  <c r="CD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B105" i="3"/>
  <c r="CE104" i="3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B104" i="3"/>
  <c r="CE103" i="3"/>
  <c r="CD103" i="3"/>
  <c r="CC103" i="3"/>
  <c r="CB103" i="3"/>
  <c r="CA103" i="3"/>
  <c r="BZ103" i="3"/>
  <c r="BY103" i="3"/>
  <c r="BX103" i="3"/>
  <c r="BW103" i="3"/>
  <c r="BV103" i="3"/>
  <c r="BU103" i="3"/>
  <c r="BT103" i="3"/>
  <c r="BS103" i="3"/>
  <c r="BR103" i="3"/>
  <c r="BQ103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B103" i="3"/>
  <c r="CE102" i="3"/>
  <c r="CD102" i="3"/>
  <c r="CC102" i="3"/>
  <c r="CB102" i="3"/>
  <c r="CA102" i="3"/>
  <c r="BZ102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B102" i="3"/>
  <c r="CE101" i="3"/>
  <c r="CD101" i="3"/>
  <c r="CC101" i="3"/>
  <c r="CB101" i="3"/>
  <c r="CA101" i="3"/>
  <c r="BZ101" i="3"/>
  <c r="BY101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B101" i="3"/>
  <c r="CE100" i="3"/>
  <c r="CD100" i="3"/>
  <c r="CC100" i="3"/>
  <c r="CB100" i="3"/>
  <c r="CA100" i="3"/>
  <c r="BZ100" i="3"/>
  <c r="BY100" i="3"/>
  <c r="BX100" i="3"/>
  <c r="BW100" i="3"/>
  <c r="BV100" i="3"/>
  <c r="BU100" i="3"/>
  <c r="BT100" i="3"/>
  <c r="BS100" i="3"/>
  <c r="BR100" i="3"/>
  <c r="BQ100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B100" i="3"/>
  <c r="CE167" i="3"/>
  <c r="CD167" i="3"/>
  <c r="CC167" i="3"/>
  <c r="CB167" i="3"/>
  <c r="CA167" i="3"/>
  <c r="BZ167" i="3"/>
  <c r="BY167" i="3"/>
  <c r="BX167" i="3"/>
  <c r="BW167" i="3"/>
  <c r="BV167" i="3"/>
  <c r="BU167" i="3"/>
  <c r="BT167" i="3"/>
  <c r="BS167" i="3"/>
  <c r="BR167" i="3"/>
  <c r="BQ167" i="3"/>
  <c r="BP167" i="3"/>
  <c r="BO167" i="3"/>
  <c r="BN167" i="3"/>
  <c r="BM167" i="3"/>
  <c r="BL167" i="3"/>
  <c r="BK167" i="3"/>
  <c r="BJ167" i="3"/>
  <c r="BI167" i="3"/>
  <c r="BH167" i="3"/>
  <c r="BG167" i="3"/>
  <c r="BF167" i="3"/>
  <c r="BE167" i="3"/>
  <c r="BD167" i="3"/>
  <c r="BC167" i="3"/>
  <c r="BB167" i="3"/>
  <c r="BA167" i="3"/>
  <c r="AZ167" i="3"/>
  <c r="AY167" i="3"/>
  <c r="AX167" i="3"/>
  <c r="AW167" i="3"/>
  <c r="AV167" i="3"/>
  <c r="B167" i="3"/>
  <c r="CE166" i="3"/>
  <c r="CD166" i="3"/>
  <c r="CC166" i="3"/>
  <c r="CB166" i="3"/>
  <c r="CA166" i="3"/>
  <c r="BZ166" i="3"/>
  <c r="BY166" i="3"/>
  <c r="BX166" i="3"/>
  <c r="BW166" i="3"/>
  <c r="BV166" i="3"/>
  <c r="BU166" i="3"/>
  <c r="BT166" i="3"/>
  <c r="BS166" i="3"/>
  <c r="BR166" i="3"/>
  <c r="BQ166" i="3"/>
  <c r="BP166" i="3"/>
  <c r="BO166" i="3"/>
  <c r="BN166" i="3"/>
  <c r="BM166" i="3"/>
  <c r="BL166" i="3"/>
  <c r="BK166" i="3"/>
  <c r="BJ166" i="3"/>
  <c r="BI166" i="3"/>
  <c r="BH166" i="3"/>
  <c r="BG166" i="3"/>
  <c r="BF166" i="3"/>
  <c r="BE166" i="3"/>
  <c r="BD166" i="3"/>
  <c r="BC166" i="3"/>
  <c r="BB166" i="3"/>
  <c r="BA166" i="3"/>
  <c r="AZ166" i="3"/>
  <c r="AY166" i="3"/>
  <c r="AX166" i="3"/>
  <c r="AW166" i="3"/>
  <c r="AV166" i="3"/>
  <c r="B166" i="3"/>
  <c r="CE165" i="3"/>
  <c r="CD165" i="3"/>
  <c r="CC165" i="3"/>
  <c r="CB165" i="3"/>
  <c r="CA165" i="3"/>
  <c r="BZ165" i="3"/>
  <c r="BY165" i="3"/>
  <c r="BX165" i="3"/>
  <c r="BW165" i="3"/>
  <c r="BV165" i="3"/>
  <c r="BU165" i="3"/>
  <c r="BT165" i="3"/>
  <c r="BS165" i="3"/>
  <c r="BR165" i="3"/>
  <c r="BQ165" i="3"/>
  <c r="BP165" i="3"/>
  <c r="BO165" i="3"/>
  <c r="BN165" i="3"/>
  <c r="BM165" i="3"/>
  <c r="BL165" i="3"/>
  <c r="BK165" i="3"/>
  <c r="BJ165" i="3"/>
  <c r="BI165" i="3"/>
  <c r="BH165" i="3"/>
  <c r="BG165" i="3"/>
  <c r="BF165" i="3"/>
  <c r="BE165" i="3"/>
  <c r="BD165" i="3"/>
  <c r="BC165" i="3"/>
  <c r="BB165" i="3"/>
  <c r="BA165" i="3"/>
  <c r="AZ165" i="3"/>
  <c r="AY165" i="3"/>
  <c r="AX165" i="3"/>
  <c r="AW165" i="3"/>
  <c r="AV165" i="3"/>
  <c r="AR165" i="3"/>
  <c r="AS165" i="3" s="1"/>
  <c r="B165" i="3"/>
  <c r="CE164" i="3"/>
  <c r="CD164" i="3"/>
  <c r="CC164" i="3"/>
  <c r="CB164" i="3"/>
  <c r="CA164" i="3"/>
  <c r="BZ164" i="3"/>
  <c r="BY164" i="3"/>
  <c r="BX164" i="3"/>
  <c r="BW164" i="3"/>
  <c r="BV164" i="3"/>
  <c r="BU164" i="3"/>
  <c r="BT164" i="3"/>
  <c r="BS164" i="3"/>
  <c r="BR164" i="3"/>
  <c r="BQ164" i="3"/>
  <c r="BP164" i="3"/>
  <c r="BO164" i="3"/>
  <c r="BN164" i="3"/>
  <c r="BM164" i="3"/>
  <c r="BL164" i="3"/>
  <c r="BK164" i="3"/>
  <c r="BJ164" i="3"/>
  <c r="BI164" i="3"/>
  <c r="BH164" i="3"/>
  <c r="BG164" i="3"/>
  <c r="BF164" i="3"/>
  <c r="BE164" i="3"/>
  <c r="BD164" i="3"/>
  <c r="BC164" i="3"/>
  <c r="BB164" i="3"/>
  <c r="BA164" i="3"/>
  <c r="AZ164" i="3"/>
  <c r="AY164" i="3"/>
  <c r="AX164" i="3"/>
  <c r="AW164" i="3"/>
  <c r="AV164" i="3"/>
  <c r="AR164" i="3"/>
  <c r="AS164" i="3" s="1"/>
  <c r="B164" i="3"/>
  <c r="CE163" i="3"/>
  <c r="CD163" i="3"/>
  <c r="CC163" i="3"/>
  <c r="CB163" i="3"/>
  <c r="CA163" i="3"/>
  <c r="BZ163" i="3"/>
  <c r="BY163" i="3"/>
  <c r="BX163" i="3"/>
  <c r="BW163" i="3"/>
  <c r="BV163" i="3"/>
  <c r="BU163" i="3"/>
  <c r="BT163" i="3"/>
  <c r="BS163" i="3"/>
  <c r="BR163" i="3"/>
  <c r="BQ163" i="3"/>
  <c r="BP163" i="3"/>
  <c r="BO163" i="3"/>
  <c r="BN163" i="3"/>
  <c r="BM163" i="3"/>
  <c r="BL163" i="3"/>
  <c r="BK163" i="3"/>
  <c r="BJ163" i="3"/>
  <c r="BI163" i="3"/>
  <c r="BH163" i="3"/>
  <c r="BG163" i="3"/>
  <c r="BF163" i="3"/>
  <c r="BE163" i="3"/>
  <c r="BD163" i="3"/>
  <c r="BC163" i="3"/>
  <c r="BB163" i="3"/>
  <c r="BA163" i="3"/>
  <c r="AZ163" i="3"/>
  <c r="AY163" i="3"/>
  <c r="AX163" i="3"/>
  <c r="AW163" i="3"/>
  <c r="AV163" i="3"/>
  <c r="AR163" i="3"/>
  <c r="AS163" i="3" s="1"/>
  <c r="B163" i="3"/>
  <c r="CE162" i="3"/>
  <c r="CD162" i="3"/>
  <c r="CC162" i="3"/>
  <c r="CB162" i="3"/>
  <c r="CA162" i="3"/>
  <c r="BZ162" i="3"/>
  <c r="BY162" i="3"/>
  <c r="BX162" i="3"/>
  <c r="BW162" i="3"/>
  <c r="BV162" i="3"/>
  <c r="BU162" i="3"/>
  <c r="BT162" i="3"/>
  <c r="BS162" i="3"/>
  <c r="BR162" i="3"/>
  <c r="BQ162" i="3"/>
  <c r="BP162" i="3"/>
  <c r="BO162" i="3"/>
  <c r="BN162" i="3"/>
  <c r="BM162" i="3"/>
  <c r="BL162" i="3"/>
  <c r="BK162" i="3"/>
  <c r="BJ162" i="3"/>
  <c r="BI162" i="3"/>
  <c r="BH162" i="3"/>
  <c r="BG162" i="3"/>
  <c r="BF162" i="3"/>
  <c r="BE162" i="3"/>
  <c r="BD162" i="3"/>
  <c r="BC162" i="3"/>
  <c r="BB162" i="3"/>
  <c r="BA162" i="3"/>
  <c r="AZ162" i="3"/>
  <c r="AY162" i="3"/>
  <c r="AX162" i="3"/>
  <c r="AW162" i="3"/>
  <c r="AV162" i="3"/>
  <c r="AR162" i="3"/>
  <c r="AS162" i="3" s="1"/>
  <c r="B162" i="3"/>
  <c r="CE161" i="3"/>
  <c r="CD161" i="3"/>
  <c r="CC161" i="3"/>
  <c r="CB161" i="3"/>
  <c r="CA161" i="3"/>
  <c r="BZ161" i="3"/>
  <c r="BY161" i="3"/>
  <c r="BX161" i="3"/>
  <c r="BW161" i="3"/>
  <c r="BV161" i="3"/>
  <c r="BU161" i="3"/>
  <c r="BT161" i="3"/>
  <c r="BS161" i="3"/>
  <c r="BR161" i="3"/>
  <c r="BQ161" i="3"/>
  <c r="BP161" i="3"/>
  <c r="BO161" i="3"/>
  <c r="BN161" i="3"/>
  <c r="BM161" i="3"/>
  <c r="BL161" i="3"/>
  <c r="BK161" i="3"/>
  <c r="BJ161" i="3"/>
  <c r="BI161" i="3"/>
  <c r="BH161" i="3"/>
  <c r="BG161" i="3"/>
  <c r="BF161" i="3"/>
  <c r="BE161" i="3"/>
  <c r="BD161" i="3"/>
  <c r="BC161" i="3"/>
  <c r="BB161" i="3"/>
  <c r="BA161" i="3"/>
  <c r="AZ161" i="3"/>
  <c r="AY161" i="3"/>
  <c r="AX161" i="3"/>
  <c r="AW161" i="3"/>
  <c r="AV161" i="3"/>
  <c r="AR161" i="3"/>
  <c r="AS161" i="3" s="1"/>
  <c r="B161" i="3"/>
  <c r="CE160" i="3"/>
  <c r="CD160" i="3"/>
  <c r="CC160" i="3"/>
  <c r="CB160" i="3"/>
  <c r="CA160" i="3"/>
  <c r="BZ160" i="3"/>
  <c r="BY160" i="3"/>
  <c r="BX160" i="3"/>
  <c r="BW160" i="3"/>
  <c r="BV160" i="3"/>
  <c r="BU160" i="3"/>
  <c r="BT160" i="3"/>
  <c r="BS160" i="3"/>
  <c r="BR160" i="3"/>
  <c r="BQ160" i="3"/>
  <c r="BP160" i="3"/>
  <c r="BO160" i="3"/>
  <c r="BN160" i="3"/>
  <c r="BM160" i="3"/>
  <c r="BL160" i="3"/>
  <c r="BK160" i="3"/>
  <c r="BJ160" i="3"/>
  <c r="BI160" i="3"/>
  <c r="BH160" i="3"/>
  <c r="BG160" i="3"/>
  <c r="BF160" i="3"/>
  <c r="BE160" i="3"/>
  <c r="BD160" i="3"/>
  <c r="BC160" i="3"/>
  <c r="BB160" i="3"/>
  <c r="BA160" i="3"/>
  <c r="AZ160" i="3"/>
  <c r="AY160" i="3"/>
  <c r="AX160" i="3"/>
  <c r="AW160" i="3"/>
  <c r="AV160" i="3"/>
  <c r="AR160" i="3"/>
  <c r="AS160" i="3" s="1"/>
  <c r="B160" i="3"/>
  <c r="CE159" i="3"/>
  <c r="CD159" i="3"/>
  <c r="CC159" i="3"/>
  <c r="CB159" i="3"/>
  <c r="CA159" i="3"/>
  <c r="BZ159" i="3"/>
  <c r="BY159" i="3"/>
  <c r="BX159" i="3"/>
  <c r="BW159" i="3"/>
  <c r="BV159" i="3"/>
  <c r="BU159" i="3"/>
  <c r="BT159" i="3"/>
  <c r="BS159" i="3"/>
  <c r="BR159" i="3"/>
  <c r="BQ159" i="3"/>
  <c r="BP159" i="3"/>
  <c r="BO159" i="3"/>
  <c r="BN159" i="3"/>
  <c r="BM159" i="3"/>
  <c r="BL159" i="3"/>
  <c r="BK159" i="3"/>
  <c r="BJ159" i="3"/>
  <c r="BI159" i="3"/>
  <c r="BH159" i="3"/>
  <c r="BG159" i="3"/>
  <c r="BF159" i="3"/>
  <c r="BE159" i="3"/>
  <c r="BD159" i="3"/>
  <c r="BC159" i="3"/>
  <c r="BB159" i="3"/>
  <c r="BA159" i="3"/>
  <c r="AZ159" i="3"/>
  <c r="AY159" i="3"/>
  <c r="AX159" i="3"/>
  <c r="AW159" i="3"/>
  <c r="AV159" i="3"/>
  <c r="AR159" i="3"/>
  <c r="AS159" i="3" s="1"/>
  <c r="B159" i="3"/>
  <c r="CE158" i="3"/>
  <c r="CD158" i="3"/>
  <c r="CC158" i="3"/>
  <c r="CB158" i="3"/>
  <c r="CA158" i="3"/>
  <c r="BZ158" i="3"/>
  <c r="BY158" i="3"/>
  <c r="BX158" i="3"/>
  <c r="BW158" i="3"/>
  <c r="BV158" i="3"/>
  <c r="BU158" i="3"/>
  <c r="BT158" i="3"/>
  <c r="BS158" i="3"/>
  <c r="BR158" i="3"/>
  <c r="BQ158" i="3"/>
  <c r="BP158" i="3"/>
  <c r="BO158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BB158" i="3"/>
  <c r="BA158" i="3"/>
  <c r="AZ158" i="3"/>
  <c r="AY158" i="3"/>
  <c r="AX158" i="3"/>
  <c r="AW158" i="3"/>
  <c r="AV158" i="3"/>
  <c r="AR158" i="3"/>
  <c r="AS158" i="3" s="1"/>
  <c r="B158" i="3"/>
  <c r="CE157" i="3"/>
  <c r="CD157" i="3"/>
  <c r="CC157" i="3"/>
  <c r="CB157" i="3"/>
  <c r="CA157" i="3"/>
  <c r="BZ157" i="3"/>
  <c r="BY157" i="3"/>
  <c r="BX157" i="3"/>
  <c r="BW157" i="3"/>
  <c r="BV157" i="3"/>
  <c r="BU157" i="3"/>
  <c r="BT157" i="3"/>
  <c r="BS157" i="3"/>
  <c r="BR157" i="3"/>
  <c r="BQ157" i="3"/>
  <c r="BP157" i="3"/>
  <c r="BO157" i="3"/>
  <c r="BN157" i="3"/>
  <c r="BM157" i="3"/>
  <c r="BL157" i="3"/>
  <c r="BK157" i="3"/>
  <c r="BJ157" i="3"/>
  <c r="BI157" i="3"/>
  <c r="BH157" i="3"/>
  <c r="BG157" i="3"/>
  <c r="BF157" i="3"/>
  <c r="BE157" i="3"/>
  <c r="BD157" i="3"/>
  <c r="BC157" i="3"/>
  <c r="BB157" i="3"/>
  <c r="BA157" i="3"/>
  <c r="AZ157" i="3"/>
  <c r="AY157" i="3"/>
  <c r="AX157" i="3"/>
  <c r="AW157" i="3"/>
  <c r="AV157" i="3"/>
  <c r="B157" i="3"/>
  <c r="CE156" i="3"/>
  <c r="CD156" i="3"/>
  <c r="CC156" i="3"/>
  <c r="CB156" i="3"/>
  <c r="CA156" i="3"/>
  <c r="BZ156" i="3"/>
  <c r="BY156" i="3"/>
  <c r="BX156" i="3"/>
  <c r="BW156" i="3"/>
  <c r="BV156" i="3"/>
  <c r="BU156" i="3"/>
  <c r="BT156" i="3"/>
  <c r="BS156" i="3"/>
  <c r="BR156" i="3"/>
  <c r="BQ156" i="3"/>
  <c r="BP156" i="3"/>
  <c r="BO156" i="3"/>
  <c r="BN156" i="3"/>
  <c r="BM156" i="3"/>
  <c r="BL156" i="3"/>
  <c r="BK156" i="3"/>
  <c r="BJ156" i="3"/>
  <c r="BI156" i="3"/>
  <c r="BH156" i="3"/>
  <c r="BG156" i="3"/>
  <c r="BF156" i="3"/>
  <c r="BE156" i="3"/>
  <c r="BD156" i="3"/>
  <c r="BC156" i="3"/>
  <c r="BB156" i="3"/>
  <c r="BA156" i="3"/>
  <c r="AZ156" i="3"/>
  <c r="AY156" i="3"/>
  <c r="AX156" i="3"/>
  <c r="AW156" i="3"/>
  <c r="AV156" i="3"/>
  <c r="B156" i="3"/>
  <c r="CE155" i="3"/>
  <c r="CD155" i="3"/>
  <c r="CC155" i="3"/>
  <c r="CB155" i="3"/>
  <c r="CA155" i="3"/>
  <c r="BZ155" i="3"/>
  <c r="BY155" i="3"/>
  <c r="BX155" i="3"/>
  <c r="BW155" i="3"/>
  <c r="BV155" i="3"/>
  <c r="BU155" i="3"/>
  <c r="BT155" i="3"/>
  <c r="BS155" i="3"/>
  <c r="BR155" i="3"/>
  <c r="BQ155" i="3"/>
  <c r="BP155" i="3"/>
  <c r="BO155" i="3"/>
  <c r="BN155" i="3"/>
  <c r="BM155" i="3"/>
  <c r="BL155" i="3"/>
  <c r="BK155" i="3"/>
  <c r="BJ155" i="3"/>
  <c r="BI155" i="3"/>
  <c r="BH155" i="3"/>
  <c r="BG155" i="3"/>
  <c r="BF155" i="3"/>
  <c r="BE155" i="3"/>
  <c r="BD155" i="3"/>
  <c r="BC155" i="3"/>
  <c r="BB155" i="3"/>
  <c r="BA155" i="3"/>
  <c r="AZ155" i="3"/>
  <c r="AY155" i="3"/>
  <c r="AX155" i="3"/>
  <c r="AW155" i="3"/>
  <c r="AV155" i="3"/>
  <c r="B155" i="3"/>
  <c r="CE154" i="3"/>
  <c r="CD154" i="3"/>
  <c r="CC154" i="3"/>
  <c r="CB154" i="3"/>
  <c r="CA154" i="3"/>
  <c r="BZ154" i="3"/>
  <c r="BY154" i="3"/>
  <c r="BX154" i="3"/>
  <c r="BW154" i="3"/>
  <c r="BV154" i="3"/>
  <c r="BU154" i="3"/>
  <c r="BT154" i="3"/>
  <c r="BS154" i="3"/>
  <c r="BR154" i="3"/>
  <c r="BQ154" i="3"/>
  <c r="BP154" i="3"/>
  <c r="BO154" i="3"/>
  <c r="BN154" i="3"/>
  <c r="BM154" i="3"/>
  <c r="BL154" i="3"/>
  <c r="BK154" i="3"/>
  <c r="BJ154" i="3"/>
  <c r="BI154" i="3"/>
  <c r="BH154" i="3"/>
  <c r="BG154" i="3"/>
  <c r="BF154" i="3"/>
  <c r="BE154" i="3"/>
  <c r="BD154" i="3"/>
  <c r="BC154" i="3"/>
  <c r="BB154" i="3"/>
  <c r="BA154" i="3"/>
  <c r="AZ154" i="3"/>
  <c r="AY154" i="3"/>
  <c r="AX154" i="3"/>
  <c r="AW154" i="3"/>
  <c r="AV154" i="3"/>
  <c r="B154" i="3"/>
  <c r="CE153" i="3"/>
  <c r="CD153" i="3"/>
  <c r="CC153" i="3"/>
  <c r="CB153" i="3"/>
  <c r="CA153" i="3"/>
  <c r="BZ153" i="3"/>
  <c r="BY153" i="3"/>
  <c r="BX153" i="3"/>
  <c r="BW153" i="3"/>
  <c r="BV153" i="3"/>
  <c r="BU153" i="3"/>
  <c r="BT153" i="3"/>
  <c r="BS153" i="3"/>
  <c r="BR153" i="3"/>
  <c r="BQ153" i="3"/>
  <c r="BP153" i="3"/>
  <c r="BO153" i="3"/>
  <c r="BN153" i="3"/>
  <c r="BM153" i="3"/>
  <c r="BL153" i="3"/>
  <c r="BK153" i="3"/>
  <c r="BJ153" i="3"/>
  <c r="BI153" i="3"/>
  <c r="BH153" i="3"/>
  <c r="BG153" i="3"/>
  <c r="BF153" i="3"/>
  <c r="BE153" i="3"/>
  <c r="BD153" i="3"/>
  <c r="BC153" i="3"/>
  <c r="BB153" i="3"/>
  <c r="BA153" i="3"/>
  <c r="AZ153" i="3"/>
  <c r="AY153" i="3"/>
  <c r="AX153" i="3"/>
  <c r="AW153" i="3"/>
  <c r="AV153" i="3"/>
  <c r="B153" i="3"/>
  <c r="CE152" i="3"/>
  <c r="CD152" i="3"/>
  <c r="CC152" i="3"/>
  <c r="CB152" i="3"/>
  <c r="CA152" i="3"/>
  <c r="BZ152" i="3"/>
  <c r="BY152" i="3"/>
  <c r="BX152" i="3"/>
  <c r="BW152" i="3"/>
  <c r="BV152" i="3"/>
  <c r="BU152" i="3"/>
  <c r="BT152" i="3"/>
  <c r="BS152" i="3"/>
  <c r="BR152" i="3"/>
  <c r="BQ152" i="3"/>
  <c r="BP152" i="3"/>
  <c r="BO152" i="3"/>
  <c r="BN152" i="3"/>
  <c r="BM152" i="3"/>
  <c r="BL152" i="3"/>
  <c r="BK152" i="3"/>
  <c r="BJ152" i="3"/>
  <c r="BI152" i="3"/>
  <c r="BH152" i="3"/>
  <c r="BG152" i="3"/>
  <c r="BF152" i="3"/>
  <c r="BE152" i="3"/>
  <c r="BD152" i="3"/>
  <c r="BC152" i="3"/>
  <c r="BB152" i="3"/>
  <c r="BA152" i="3"/>
  <c r="AZ152" i="3"/>
  <c r="AY152" i="3"/>
  <c r="AX152" i="3"/>
  <c r="AW152" i="3"/>
  <c r="AV152" i="3"/>
  <c r="B152" i="3"/>
  <c r="CE151" i="3"/>
  <c r="CD151" i="3"/>
  <c r="CC151" i="3"/>
  <c r="CB151" i="3"/>
  <c r="CA151" i="3"/>
  <c r="BZ151" i="3"/>
  <c r="BY151" i="3"/>
  <c r="BX151" i="3"/>
  <c r="BW151" i="3"/>
  <c r="BV151" i="3"/>
  <c r="BU151" i="3"/>
  <c r="BT151" i="3"/>
  <c r="BS151" i="3"/>
  <c r="BR151" i="3"/>
  <c r="BQ151" i="3"/>
  <c r="BP151" i="3"/>
  <c r="BO151" i="3"/>
  <c r="BN151" i="3"/>
  <c r="BM151" i="3"/>
  <c r="BL151" i="3"/>
  <c r="BK151" i="3"/>
  <c r="BJ151" i="3"/>
  <c r="BI151" i="3"/>
  <c r="BH151" i="3"/>
  <c r="BG151" i="3"/>
  <c r="BF151" i="3"/>
  <c r="BE151" i="3"/>
  <c r="BD151" i="3"/>
  <c r="BC151" i="3"/>
  <c r="BB151" i="3"/>
  <c r="BA151" i="3"/>
  <c r="AZ151" i="3"/>
  <c r="AY151" i="3"/>
  <c r="AX151" i="3"/>
  <c r="AW151" i="3"/>
  <c r="AV151" i="3"/>
  <c r="B151" i="3"/>
  <c r="CE150" i="3"/>
  <c r="CD150" i="3"/>
  <c r="CC150" i="3"/>
  <c r="CB150" i="3"/>
  <c r="CA150" i="3"/>
  <c r="BZ150" i="3"/>
  <c r="BY150" i="3"/>
  <c r="BX150" i="3"/>
  <c r="BW150" i="3"/>
  <c r="BV150" i="3"/>
  <c r="BU150" i="3"/>
  <c r="BT150" i="3"/>
  <c r="BS150" i="3"/>
  <c r="BR150" i="3"/>
  <c r="BQ150" i="3"/>
  <c r="BP150" i="3"/>
  <c r="BO150" i="3"/>
  <c r="BN150" i="3"/>
  <c r="BM150" i="3"/>
  <c r="BL150" i="3"/>
  <c r="BK150" i="3"/>
  <c r="BJ150" i="3"/>
  <c r="BI150" i="3"/>
  <c r="BH150" i="3"/>
  <c r="BG150" i="3"/>
  <c r="BF150" i="3"/>
  <c r="BE150" i="3"/>
  <c r="BD150" i="3"/>
  <c r="BC150" i="3"/>
  <c r="BB150" i="3"/>
  <c r="BA150" i="3"/>
  <c r="AZ150" i="3"/>
  <c r="AY150" i="3"/>
  <c r="AX150" i="3"/>
  <c r="AW150" i="3"/>
  <c r="AV150" i="3"/>
  <c r="B150" i="3"/>
  <c r="CE149" i="3"/>
  <c r="CD149" i="3"/>
  <c r="CC149" i="3"/>
  <c r="CB149" i="3"/>
  <c r="CA149" i="3"/>
  <c r="BZ149" i="3"/>
  <c r="BY149" i="3"/>
  <c r="BX149" i="3"/>
  <c r="BW149" i="3"/>
  <c r="BV149" i="3"/>
  <c r="BU149" i="3"/>
  <c r="BT149" i="3"/>
  <c r="BS149" i="3"/>
  <c r="BR149" i="3"/>
  <c r="BQ149" i="3"/>
  <c r="BP149" i="3"/>
  <c r="BO149" i="3"/>
  <c r="BN149" i="3"/>
  <c r="BM149" i="3"/>
  <c r="BL149" i="3"/>
  <c r="BK149" i="3"/>
  <c r="BJ149" i="3"/>
  <c r="BI149" i="3"/>
  <c r="BH149" i="3"/>
  <c r="BG149" i="3"/>
  <c r="BF149" i="3"/>
  <c r="BE149" i="3"/>
  <c r="BD149" i="3"/>
  <c r="BC149" i="3"/>
  <c r="BB149" i="3"/>
  <c r="BA149" i="3"/>
  <c r="AZ149" i="3"/>
  <c r="AY149" i="3"/>
  <c r="AX149" i="3"/>
  <c r="AW149" i="3"/>
  <c r="AV149" i="3"/>
  <c r="B149" i="3"/>
  <c r="CE148" i="3"/>
  <c r="CD148" i="3"/>
  <c r="CC148" i="3"/>
  <c r="CB148" i="3"/>
  <c r="CA148" i="3"/>
  <c r="BZ148" i="3"/>
  <c r="BY148" i="3"/>
  <c r="BX148" i="3"/>
  <c r="BW148" i="3"/>
  <c r="BV148" i="3"/>
  <c r="BU148" i="3"/>
  <c r="BT148" i="3"/>
  <c r="BS148" i="3"/>
  <c r="BR148" i="3"/>
  <c r="BQ148" i="3"/>
  <c r="BP148" i="3"/>
  <c r="BO148" i="3"/>
  <c r="BN148" i="3"/>
  <c r="BM148" i="3"/>
  <c r="BL148" i="3"/>
  <c r="BK148" i="3"/>
  <c r="BJ148" i="3"/>
  <c r="BI148" i="3"/>
  <c r="BH148" i="3"/>
  <c r="BG148" i="3"/>
  <c r="BF148" i="3"/>
  <c r="BE148" i="3"/>
  <c r="BD148" i="3"/>
  <c r="BC148" i="3"/>
  <c r="BB148" i="3"/>
  <c r="BA148" i="3"/>
  <c r="AZ148" i="3"/>
  <c r="AY148" i="3"/>
  <c r="AX148" i="3"/>
  <c r="AW148" i="3"/>
  <c r="AV148" i="3"/>
  <c r="B148" i="3"/>
  <c r="CE147" i="3"/>
  <c r="CD147" i="3"/>
  <c r="CC147" i="3"/>
  <c r="CB147" i="3"/>
  <c r="CA147" i="3"/>
  <c r="BZ147" i="3"/>
  <c r="BY147" i="3"/>
  <c r="BX147" i="3"/>
  <c r="BW147" i="3"/>
  <c r="BV147" i="3"/>
  <c r="BU147" i="3"/>
  <c r="BT147" i="3"/>
  <c r="BS147" i="3"/>
  <c r="BR147" i="3"/>
  <c r="BQ147" i="3"/>
  <c r="BP147" i="3"/>
  <c r="BO147" i="3"/>
  <c r="BN147" i="3"/>
  <c r="BM147" i="3"/>
  <c r="BL147" i="3"/>
  <c r="BK147" i="3"/>
  <c r="BJ147" i="3"/>
  <c r="BI147" i="3"/>
  <c r="BH147" i="3"/>
  <c r="BG147" i="3"/>
  <c r="BF147" i="3"/>
  <c r="BE147" i="3"/>
  <c r="BD147" i="3"/>
  <c r="BC147" i="3"/>
  <c r="BB147" i="3"/>
  <c r="BA147" i="3"/>
  <c r="AZ147" i="3"/>
  <c r="AY147" i="3"/>
  <c r="AX147" i="3"/>
  <c r="AW147" i="3"/>
  <c r="AV147" i="3"/>
  <c r="B147" i="3"/>
  <c r="CE146" i="3"/>
  <c r="CD146" i="3"/>
  <c r="CC146" i="3"/>
  <c r="CB146" i="3"/>
  <c r="CA146" i="3"/>
  <c r="BZ146" i="3"/>
  <c r="BY146" i="3"/>
  <c r="BX146" i="3"/>
  <c r="BW146" i="3"/>
  <c r="BV146" i="3"/>
  <c r="BU146" i="3"/>
  <c r="BT146" i="3"/>
  <c r="BS146" i="3"/>
  <c r="BR146" i="3"/>
  <c r="BQ146" i="3"/>
  <c r="BP146" i="3"/>
  <c r="BO146" i="3"/>
  <c r="BN146" i="3"/>
  <c r="BM146" i="3"/>
  <c r="BL146" i="3"/>
  <c r="BK146" i="3"/>
  <c r="BJ146" i="3"/>
  <c r="BI146" i="3"/>
  <c r="BH146" i="3"/>
  <c r="BG146" i="3"/>
  <c r="BF146" i="3"/>
  <c r="BE146" i="3"/>
  <c r="BD146" i="3"/>
  <c r="BC146" i="3"/>
  <c r="BB146" i="3"/>
  <c r="BA146" i="3"/>
  <c r="AZ146" i="3"/>
  <c r="AY146" i="3"/>
  <c r="AX146" i="3"/>
  <c r="AW146" i="3"/>
  <c r="AV146" i="3"/>
  <c r="B146" i="3"/>
  <c r="CE145" i="3"/>
  <c r="CD145" i="3"/>
  <c r="CC145" i="3"/>
  <c r="CB145" i="3"/>
  <c r="CA145" i="3"/>
  <c r="BZ145" i="3"/>
  <c r="BY145" i="3"/>
  <c r="BX145" i="3"/>
  <c r="BW145" i="3"/>
  <c r="BV145" i="3"/>
  <c r="BU145" i="3"/>
  <c r="BT145" i="3"/>
  <c r="BS145" i="3"/>
  <c r="BR145" i="3"/>
  <c r="BQ145" i="3"/>
  <c r="BP145" i="3"/>
  <c r="BO145" i="3"/>
  <c r="BN145" i="3"/>
  <c r="BM145" i="3"/>
  <c r="BL145" i="3"/>
  <c r="BK145" i="3"/>
  <c r="BJ145" i="3"/>
  <c r="BI145" i="3"/>
  <c r="BH145" i="3"/>
  <c r="BG145" i="3"/>
  <c r="BF145" i="3"/>
  <c r="BE145" i="3"/>
  <c r="BD145" i="3"/>
  <c r="BC145" i="3"/>
  <c r="BB145" i="3"/>
  <c r="BA145" i="3"/>
  <c r="AZ145" i="3"/>
  <c r="AY145" i="3"/>
  <c r="AX145" i="3"/>
  <c r="AW145" i="3"/>
  <c r="AV145" i="3"/>
  <c r="B145" i="3"/>
  <c r="CE144" i="3"/>
  <c r="CD144" i="3"/>
  <c r="CC144" i="3"/>
  <c r="CB144" i="3"/>
  <c r="CA144" i="3"/>
  <c r="BZ144" i="3"/>
  <c r="BY144" i="3"/>
  <c r="BX144" i="3"/>
  <c r="BW144" i="3"/>
  <c r="BV144" i="3"/>
  <c r="BU144" i="3"/>
  <c r="BT144" i="3"/>
  <c r="BS144" i="3"/>
  <c r="BR144" i="3"/>
  <c r="BQ144" i="3"/>
  <c r="BP144" i="3"/>
  <c r="BO144" i="3"/>
  <c r="BN144" i="3"/>
  <c r="BM144" i="3"/>
  <c r="BL144" i="3"/>
  <c r="BK144" i="3"/>
  <c r="BJ144" i="3"/>
  <c r="BI144" i="3"/>
  <c r="BH144" i="3"/>
  <c r="BG144" i="3"/>
  <c r="BF144" i="3"/>
  <c r="BE144" i="3"/>
  <c r="BD144" i="3"/>
  <c r="BC144" i="3"/>
  <c r="BB144" i="3"/>
  <c r="BA144" i="3"/>
  <c r="AZ144" i="3"/>
  <c r="AY144" i="3"/>
  <c r="AX144" i="3"/>
  <c r="AW144" i="3"/>
  <c r="AV144" i="3"/>
  <c r="B144" i="3"/>
  <c r="CE143" i="3"/>
  <c r="CD143" i="3"/>
  <c r="CC143" i="3"/>
  <c r="CB143" i="3"/>
  <c r="CA143" i="3"/>
  <c r="BZ143" i="3"/>
  <c r="BY143" i="3"/>
  <c r="BX143" i="3"/>
  <c r="BW143" i="3"/>
  <c r="BV143" i="3"/>
  <c r="BU143" i="3"/>
  <c r="BT143" i="3"/>
  <c r="BS143" i="3"/>
  <c r="BR143" i="3"/>
  <c r="BQ143" i="3"/>
  <c r="BP143" i="3"/>
  <c r="BO143" i="3"/>
  <c r="BN143" i="3"/>
  <c r="BM143" i="3"/>
  <c r="BL143" i="3"/>
  <c r="BK143" i="3"/>
  <c r="BJ143" i="3"/>
  <c r="BI143" i="3"/>
  <c r="BH143" i="3"/>
  <c r="BG143" i="3"/>
  <c r="BF143" i="3"/>
  <c r="BE143" i="3"/>
  <c r="BD143" i="3"/>
  <c r="BC143" i="3"/>
  <c r="BB143" i="3"/>
  <c r="BA143" i="3"/>
  <c r="AZ143" i="3"/>
  <c r="AY143" i="3"/>
  <c r="AX143" i="3"/>
  <c r="AW143" i="3"/>
  <c r="AV143" i="3"/>
  <c r="B143" i="3"/>
  <c r="CE142" i="3"/>
  <c r="CD142" i="3"/>
  <c r="CC142" i="3"/>
  <c r="CB142" i="3"/>
  <c r="CA142" i="3"/>
  <c r="BZ142" i="3"/>
  <c r="BY142" i="3"/>
  <c r="BX142" i="3"/>
  <c r="BW142" i="3"/>
  <c r="BV142" i="3"/>
  <c r="BU142" i="3"/>
  <c r="BT142" i="3"/>
  <c r="BS142" i="3"/>
  <c r="BR142" i="3"/>
  <c r="BQ142" i="3"/>
  <c r="BP142" i="3"/>
  <c r="BO142" i="3"/>
  <c r="BN142" i="3"/>
  <c r="BM142" i="3"/>
  <c r="BL142" i="3"/>
  <c r="BK142" i="3"/>
  <c r="BJ142" i="3"/>
  <c r="BI142" i="3"/>
  <c r="BH142" i="3"/>
  <c r="BG142" i="3"/>
  <c r="BF142" i="3"/>
  <c r="BE142" i="3"/>
  <c r="BD142" i="3"/>
  <c r="BC142" i="3"/>
  <c r="BB142" i="3"/>
  <c r="BA142" i="3"/>
  <c r="AZ142" i="3"/>
  <c r="AY142" i="3"/>
  <c r="AX142" i="3"/>
  <c r="AW142" i="3"/>
  <c r="AV142" i="3"/>
  <c r="B142" i="3"/>
  <c r="CE141" i="3"/>
  <c r="CD141" i="3"/>
  <c r="CC141" i="3"/>
  <c r="CB141" i="3"/>
  <c r="CA141" i="3"/>
  <c r="BZ141" i="3"/>
  <c r="BY141" i="3"/>
  <c r="BX141" i="3"/>
  <c r="BW141" i="3"/>
  <c r="BV141" i="3"/>
  <c r="BU141" i="3"/>
  <c r="BT141" i="3"/>
  <c r="BS141" i="3"/>
  <c r="BR141" i="3"/>
  <c r="BQ141" i="3"/>
  <c r="BP141" i="3"/>
  <c r="BO141" i="3"/>
  <c r="BN141" i="3"/>
  <c r="BM141" i="3"/>
  <c r="BL141" i="3"/>
  <c r="BK141" i="3"/>
  <c r="BJ141" i="3"/>
  <c r="BI141" i="3"/>
  <c r="BH141" i="3"/>
  <c r="BG141" i="3"/>
  <c r="BF141" i="3"/>
  <c r="BE141" i="3"/>
  <c r="BD141" i="3"/>
  <c r="BC141" i="3"/>
  <c r="BB141" i="3"/>
  <c r="BA141" i="3"/>
  <c r="AZ141" i="3"/>
  <c r="AY141" i="3"/>
  <c r="AX141" i="3"/>
  <c r="AW141" i="3"/>
  <c r="AV141" i="3"/>
  <c r="B141" i="3"/>
  <c r="CE140" i="3"/>
  <c r="CD140" i="3"/>
  <c r="CC140" i="3"/>
  <c r="CB140" i="3"/>
  <c r="CA140" i="3"/>
  <c r="BZ140" i="3"/>
  <c r="BY140" i="3"/>
  <c r="BX140" i="3"/>
  <c r="BW140" i="3"/>
  <c r="BV140" i="3"/>
  <c r="BU140" i="3"/>
  <c r="BT140" i="3"/>
  <c r="BS140" i="3"/>
  <c r="BR140" i="3"/>
  <c r="BQ140" i="3"/>
  <c r="BP140" i="3"/>
  <c r="BO140" i="3"/>
  <c r="BN140" i="3"/>
  <c r="BM140" i="3"/>
  <c r="BL140" i="3"/>
  <c r="BK140" i="3"/>
  <c r="BJ140" i="3"/>
  <c r="BI140" i="3"/>
  <c r="BH140" i="3"/>
  <c r="BG140" i="3"/>
  <c r="BF140" i="3"/>
  <c r="BE140" i="3"/>
  <c r="BD140" i="3"/>
  <c r="BC140" i="3"/>
  <c r="BB140" i="3"/>
  <c r="BA140" i="3"/>
  <c r="AZ140" i="3"/>
  <c r="AY140" i="3"/>
  <c r="AX140" i="3"/>
  <c r="AW140" i="3"/>
  <c r="AV140" i="3"/>
  <c r="B140" i="3"/>
  <c r="CE139" i="3"/>
  <c r="CD139" i="3"/>
  <c r="CC139" i="3"/>
  <c r="CB139" i="3"/>
  <c r="CA139" i="3"/>
  <c r="BZ139" i="3"/>
  <c r="BY139" i="3"/>
  <c r="BX139" i="3"/>
  <c r="BW139" i="3"/>
  <c r="BV139" i="3"/>
  <c r="BU139" i="3"/>
  <c r="BT139" i="3"/>
  <c r="BS139" i="3"/>
  <c r="BR139" i="3"/>
  <c r="BQ139" i="3"/>
  <c r="BP139" i="3"/>
  <c r="BO139" i="3"/>
  <c r="BN139" i="3"/>
  <c r="BM139" i="3"/>
  <c r="BL139" i="3"/>
  <c r="BK139" i="3"/>
  <c r="BJ139" i="3"/>
  <c r="BI139" i="3"/>
  <c r="BH139" i="3"/>
  <c r="BG139" i="3"/>
  <c r="BF139" i="3"/>
  <c r="BE139" i="3"/>
  <c r="BD139" i="3"/>
  <c r="BC139" i="3"/>
  <c r="BB139" i="3"/>
  <c r="BA139" i="3"/>
  <c r="AZ139" i="3"/>
  <c r="AY139" i="3"/>
  <c r="AX139" i="3"/>
  <c r="AW139" i="3"/>
  <c r="AV139" i="3"/>
  <c r="B139" i="3"/>
  <c r="CE138" i="3"/>
  <c r="CD138" i="3"/>
  <c r="CC138" i="3"/>
  <c r="CB138" i="3"/>
  <c r="CA138" i="3"/>
  <c r="BZ138" i="3"/>
  <c r="BY138" i="3"/>
  <c r="BX138" i="3"/>
  <c r="BW138" i="3"/>
  <c r="BV138" i="3"/>
  <c r="BU138" i="3"/>
  <c r="BT138" i="3"/>
  <c r="BS138" i="3"/>
  <c r="BR138" i="3"/>
  <c r="BQ138" i="3"/>
  <c r="BP138" i="3"/>
  <c r="BO138" i="3"/>
  <c r="BN138" i="3"/>
  <c r="BM138" i="3"/>
  <c r="BL138" i="3"/>
  <c r="BK138" i="3"/>
  <c r="BJ138" i="3"/>
  <c r="BI138" i="3"/>
  <c r="BH138" i="3"/>
  <c r="BG138" i="3"/>
  <c r="BF138" i="3"/>
  <c r="BE138" i="3"/>
  <c r="BD138" i="3"/>
  <c r="BC138" i="3"/>
  <c r="BB138" i="3"/>
  <c r="BA138" i="3"/>
  <c r="AZ138" i="3"/>
  <c r="AY138" i="3"/>
  <c r="AX138" i="3"/>
  <c r="AW138" i="3"/>
  <c r="AV138" i="3"/>
  <c r="B138" i="3"/>
  <c r="CE137" i="3"/>
  <c r="CD137" i="3"/>
  <c r="CC137" i="3"/>
  <c r="CB137" i="3"/>
  <c r="CA137" i="3"/>
  <c r="BZ137" i="3"/>
  <c r="BY137" i="3"/>
  <c r="BX137" i="3"/>
  <c r="BW137" i="3"/>
  <c r="BV137" i="3"/>
  <c r="BU137" i="3"/>
  <c r="BT137" i="3"/>
  <c r="BS137" i="3"/>
  <c r="BR137" i="3"/>
  <c r="BQ137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B137" i="3"/>
  <c r="CE136" i="3"/>
  <c r="CD136" i="3"/>
  <c r="CC136" i="3"/>
  <c r="CB136" i="3"/>
  <c r="CA136" i="3"/>
  <c r="BZ136" i="3"/>
  <c r="BY136" i="3"/>
  <c r="BX136" i="3"/>
  <c r="BW136" i="3"/>
  <c r="BV136" i="3"/>
  <c r="BU136" i="3"/>
  <c r="BT136" i="3"/>
  <c r="BS136" i="3"/>
  <c r="BR136" i="3"/>
  <c r="BQ136" i="3"/>
  <c r="BP136" i="3"/>
  <c r="BO136" i="3"/>
  <c r="BN136" i="3"/>
  <c r="BM136" i="3"/>
  <c r="BL136" i="3"/>
  <c r="BK136" i="3"/>
  <c r="BJ136" i="3"/>
  <c r="BI136" i="3"/>
  <c r="BH136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B136" i="3"/>
  <c r="CE135" i="3"/>
  <c r="CD135" i="3"/>
  <c r="CC135" i="3"/>
  <c r="CB135" i="3"/>
  <c r="CA135" i="3"/>
  <c r="BZ135" i="3"/>
  <c r="BY135" i="3"/>
  <c r="BX135" i="3"/>
  <c r="BW135" i="3"/>
  <c r="BV135" i="3"/>
  <c r="BU135" i="3"/>
  <c r="BT135" i="3"/>
  <c r="BS135" i="3"/>
  <c r="BR135" i="3"/>
  <c r="BQ135" i="3"/>
  <c r="BP135" i="3"/>
  <c r="BO135" i="3"/>
  <c r="BN135" i="3"/>
  <c r="BM135" i="3"/>
  <c r="BL135" i="3"/>
  <c r="BK135" i="3"/>
  <c r="BJ135" i="3"/>
  <c r="BI135" i="3"/>
  <c r="BH135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B135" i="3"/>
  <c r="CE134" i="3"/>
  <c r="CD134" i="3"/>
  <c r="CC134" i="3"/>
  <c r="CB134" i="3"/>
  <c r="CA134" i="3"/>
  <c r="BZ134" i="3"/>
  <c r="BY134" i="3"/>
  <c r="BX134" i="3"/>
  <c r="BW134" i="3"/>
  <c r="BV134" i="3"/>
  <c r="BU134" i="3"/>
  <c r="BT134" i="3"/>
  <c r="BS134" i="3"/>
  <c r="BR134" i="3"/>
  <c r="BQ134" i="3"/>
  <c r="BP134" i="3"/>
  <c r="BO134" i="3"/>
  <c r="BN134" i="3"/>
  <c r="BM134" i="3"/>
  <c r="BL134" i="3"/>
  <c r="BK134" i="3"/>
  <c r="BJ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B134" i="3"/>
  <c r="CE201" i="3"/>
  <c r="CD201" i="3"/>
  <c r="CC201" i="3"/>
  <c r="CB201" i="3"/>
  <c r="CA201" i="3"/>
  <c r="BZ201" i="3"/>
  <c r="BY201" i="3"/>
  <c r="BX201" i="3"/>
  <c r="BW201" i="3"/>
  <c r="BV201" i="3"/>
  <c r="BU201" i="3"/>
  <c r="BT201" i="3"/>
  <c r="BS201" i="3"/>
  <c r="BR201" i="3"/>
  <c r="BQ201" i="3"/>
  <c r="BP201" i="3"/>
  <c r="BO201" i="3"/>
  <c r="BN201" i="3"/>
  <c r="BM201" i="3"/>
  <c r="BL201" i="3"/>
  <c r="BK201" i="3"/>
  <c r="BJ201" i="3"/>
  <c r="BI201" i="3"/>
  <c r="BH201" i="3"/>
  <c r="BG201" i="3"/>
  <c r="BF201" i="3"/>
  <c r="BE201" i="3"/>
  <c r="BD201" i="3"/>
  <c r="BC201" i="3"/>
  <c r="BB201" i="3"/>
  <c r="BA201" i="3"/>
  <c r="AZ201" i="3"/>
  <c r="AY201" i="3"/>
  <c r="AX201" i="3"/>
  <c r="AW201" i="3"/>
  <c r="AV201" i="3"/>
  <c r="B201" i="3"/>
  <c r="CE200" i="3"/>
  <c r="CD200" i="3"/>
  <c r="CC200" i="3"/>
  <c r="CB200" i="3"/>
  <c r="CA200" i="3"/>
  <c r="BZ200" i="3"/>
  <c r="BY200" i="3"/>
  <c r="BX200" i="3"/>
  <c r="BW200" i="3"/>
  <c r="BV200" i="3"/>
  <c r="BU200" i="3"/>
  <c r="BT200" i="3"/>
  <c r="BS200" i="3"/>
  <c r="BR200" i="3"/>
  <c r="BQ200" i="3"/>
  <c r="BP200" i="3"/>
  <c r="BO200" i="3"/>
  <c r="BN200" i="3"/>
  <c r="BM200" i="3"/>
  <c r="BL200" i="3"/>
  <c r="BK200" i="3"/>
  <c r="BJ200" i="3"/>
  <c r="BI200" i="3"/>
  <c r="BH200" i="3"/>
  <c r="BG200" i="3"/>
  <c r="BF200" i="3"/>
  <c r="BE200" i="3"/>
  <c r="BD200" i="3"/>
  <c r="BC200" i="3"/>
  <c r="BB200" i="3"/>
  <c r="BA200" i="3"/>
  <c r="AZ200" i="3"/>
  <c r="AY200" i="3"/>
  <c r="AX200" i="3"/>
  <c r="AW200" i="3"/>
  <c r="AV200" i="3"/>
  <c r="B200" i="3"/>
  <c r="CE199" i="3"/>
  <c r="CD199" i="3"/>
  <c r="CC199" i="3"/>
  <c r="CB199" i="3"/>
  <c r="CA199" i="3"/>
  <c r="BZ199" i="3"/>
  <c r="BY199" i="3"/>
  <c r="BX199" i="3"/>
  <c r="BW199" i="3"/>
  <c r="BV199" i="3"/>
  <c r="BU199" i="3"/>
  <c r="BT199" i="3"/>
  <c r="BS199" i="3"/>
  <c r="BR199" i="3"/>
  <c r="BQ199" i="3"/>
  <c r="BP199" i="3"/>
  <c r="BO199" i="3"/>
  <c r="BN199" i="3"/>
  <c r="BM199" i="3"/>
  <c r="BL199" i="3"/>
  <c r="BK199" i="3"/>
  <c r="BJ199" i="3"/>
  <c r="BI199" i="3"/>
  <c r="BH199" i="3"/>
  <c r="BG199" i="3"/>
  <c r="BF199" i="3"/>
  <c r="BE199" i="3"/>
  <c r="BD199" i="3"/>
  <c r="BC199" i="3"/>
  <c r="BB199" i="3"/>
  <c r="BA199" i="3"/>
  <c r="AZ199" i="3"/>
  <c r="AY199" i="3"/>
  <c r="AX199" i="3"/>
  <c r="AW199" i="3"/>
  <c r="AV199" i="3"/>
  <c r="B199" i="3"/>
  <c r="CE198" i="3"/>
  <c r="CD198" i="3"/>
  <c r="CC198" i="3"/>
  <c r="CB198" i="3"/>
  <c r="CA198" i="3"/>
  <c r="BZ198" i="3"/>
  <c r="BY198" i="3"/>
  <c r="BX198" i="3"/>
  <c r="BW198" i="3"/>
  <c r="BV198" i="3"/>
  <c r="BU198" i="3"/>
  <c r="BT198" i="3"/>
  <c r="BS198" i="3"/>
  <c r="BR198" i="3"/>
  <c r="BQ198" i="3"/>
  <c r="BP198" i="3"/>
  <c r="BO198" i="3"/>
  <c r="BN198" i="3"/>
  <c r="BM198" i="3"/>
  <c r="BL198" i="3"/>
  <c r="BK198" i="3"/>
  <c r="BJ198" i="3"/>
  <c r="BI198" i="3"/>
  <c r="BH198" i="3"/>
  <c r="BG198" i="3"/>
  <c r="BF198" i="3"/>
  <c r="BE198" i="3"/>
  <c r="BD198" i="3"/>
  <c r="BC198" i="3"/>
  <c r="BB198" i="3"/>
  <c r="BA198" i="3"/>
  <c r="AZ198" i="3"/>
  <c r="AY198" i="3"/>
  <c r="AX198" i="3"/>
  <c r="AW198" i="3"/>
  <c r="AV198" i="3"/>
  <c r="B198" i="3"/>
  <c r="CE197" i="3"/>
  <c r="CD197" i="3"/>
  <c r="CC197" i="3"/>
  <c r="CB197" i="3"/>
  <c r="CA197" i="3"/>
  <c r="BZ197" i="3"/>
  <c r="BY197" i="3"/>
  <c r="BX197" i="3"/>
  <c r="BW197" i="3"/>
  <c r="BV197" i="3"/>
  <c r="BU197" i="3"/>
  <c r="BT197" i="3"/>
  <c r="BS197" i="3"/>
  <c r="BR197" i="3"/>
  <c r="BQ197" i="3"/>
  <c r="BP197" i="3"/>
  <c r="BO197" i="3"/>
  <c r="BN197" i="3"/>
  <c r="BM197" i="3"/>
  <c r="BL197" i="3"/>
  <c r="BK197" i="3"/>
  <c r="BJ197" i="3"/>
  <c r="BI197" i="3"/>
  <c r="BH197" i="3"/>
  <c r="BG197" i="3"/>
  <c r="BF197" i="3"/>
  <c r="BE197" i="3"/>
  <c r="BD197" i="3"/>
  <c r="BC197" i="3"/>
  <c r="BB197" i="3"/>
  <c r="BA197" i="3"/>
  <c r="AZ197" i="3"/>
  <c r="AY197" i="3"/>
  <c r="AX197" i="3"/>
  <c r="AW197" i="3"/>
  <c r="AV197" i="3"/>
  <c r="B197" i="3"/>
  <c r="CE196" i="3"/>
  <c r="CD196" i="3"/>
  <c r="CC196" i="3"/>
  <c r="CB196" i="3"/>
  <c r="CA196" i="3"/>
  <c r="BZ196" i="3"/>
  <c r="BY196" i="3"/>
  <c r="BX196" i="3"/>
  <c r="BW196" i="3"/>
  <c r="BV196" i="3"/>
  <c r="BU196" i="3"/>
  <c r="BT196" i="3"/>
  <c r="BS196" i="3"/>
  <c r="BR196" i="3"/>
  <c r="BQ196" i="3"/>
  <c r="BP196" i="3"/>
  <c r="BO196" i="3"/>
  <c r="BN196" i="3"/>
  <c r="BM196" i="3"/>
  <c r="BL196" i="3"/>
  <c r="BK196" i="3"/>
  <c r="BJ196" i="3"/>
  <c r="BI196" i="3"/>
  <c r="BH196" i="3"/>
  <c r="BG196" i="3"/>
  <c r="BF196" i="3"/>
  <c r="BE196" i="3"/>
  <c r="BD196" i="3"/>
  <c r="BC196" i="3"/>
  <c r="BB196" i="3"/>
  <c r="BA196" i="3"/>
  <c r="AZ196" i="3"/>
  <c r="AY196" i="3"/>
  <c r="AX196" i="3"/>
  <c r="AW196" i="3"/>
  <c r="AV196" i="3"/>
  <c r="B196" i="3"/>
  <c r="CE195" i="3"/>
  <c r="CD195" i="3"/>
  <c r="CC195" i="3"/>
  <c r="CB195" i="3"/>
  <c r="CA195" i="3"/>
  <c r="BZ195" i="3"/>
  <c r="BY195" i="3"/>
  <c r="BX195" i="3"/>
  <c r="BW195" i="3"/>
  <c r="BV195" i="3"/>
  <c r="BU195" i="3"/>
  <c r="BT195" i="3"/>
  <c r="BS195" i="3"/>
  <c r="BR195" i="3"/>
  <c r="BQ195" i="3"/>
  <c r="BP195" i="3"/>
  <c r="BO195" i="3"/>
  <c r="BN195" i="3"/>
  <c r="BM195" i="3"/>
  <c r="BL195" i="3"/>
  <c r="BK195" i="3"/>
  <c r="BJ195" i="3"/>
  <c r="BI195" i="3"/>
  <c r="BH195" i="3"/>
  <c r="BG195" i="3"/>
  <c r="BF195" i="3"/>
  <c r="BE195" i="3"/>
  <c r="BD195" i="3"/>
  <c r="BC195" i="3"/>
  <c r="BB195" i="3"/>
  <c r="BA195" i="3"/>
  <c r="AZ195" i="3"/>
  <c r="AY195" i="3"/>
  <c r="AX195" i="3"/>
  <c r="AW195" i="3"/>
  <c r="AV195" i="3"/>
  <c r="B195" i="3"/>
  <c r="CE194" i="3"/>
  <c r="CD194" i="3"/>
  <c r="CC194" i="3"/>
  <c r="CB194" i="3"/>
  <c r="CA194" i="3"/>
  <c r="BZ194" i="3"/>
  <c r="BY194" i="3"/>
  <c r="BX194" i="3"/>
  <c r="BW194" i="3"/>
  <c r="BV194" i="3"/>
  <c r="BU194" i="3"/>
  <c r="BT194" i="3"/>
  <c r="BS194" i="3"/>
  <c r="BR194" i="3"/>
  <c r="BQ194" i="3"/>
  <c r="BP194" i="3"/>
  <c r="BO194" i="3"/>
  <c r="BN194" i="3"/>
  <c r="BM194" i="3"/>
  <c r="BL194" i="3"/>
  <c r="BK194" i="3"/>
  <c r="BJ194" i="3"/>
  <c r="BI194" i="3"/>
  <c r="BH194" i="3"/>
  <c r="BG194" i="3"/>
  <c r="BF194" i="3"/>
  <c r="BE194" i="3"/>
  <c r="BD194" i="3"/>
  <c r="BC194" i="3"/>
  <c r="BB194" i="3"/>
  <c r="BA194" i="3"/>
  <c r="AZ194" i="3"/>
  <c r="AY194" i="3"/>
  <c r="AX194" i="3"/>
  <c r="AW194" i="3"/>
  <c r="AV194" i="3"/>
  <c r="B194" i="3"/>
  <c r="CE193" i="3"/>
  <c r="CD193" i="3"/>
  <c r="CC193" i="3"/>
  <c r="CB193" i="3"/>
  <c r="CA193" i="3"/>
  <c r="BZ193" i="3"/>
  <c r="BY193" i="3"/>
  <c r="BX193" i="3"/>
  <c r="BW193" i="3"/>
  <c r="BV193" i="3"/>
  <c r="BU193" i="3"/>
  <c r="BT193" i="3"/>
  <c r="BS193" i="3"/>
  <c r="BR193" i="3"/>
  <c r="BQ193" i="3"/>
  <c r="BP193" i="3"/>
  <c r="BO193" i="3"/>
  <c r="BN193" i="3"/>
  <c r="BM193" i="3"/>
  <c r="BL193" i="3"/>
  <c r="BK193" i="3"/>
  <c r="BJ193" i="3"/>
  <c r="BI193" i="3"/>
  <c r="BH193" i="3"/>
  <c r="BG193" i="3"/>
  <c r="BF193" i="3"/>
  <c r="BE193" i="3"/>
  <c r="BD193" i="3"/>
  <c r="BC193" i="3"/>
  <c r="BB193" i="3"/>
  <c r="BA193" i="3"/>
  <c r="AZ193" i="3"/>
  <c r="AY193" i="3"/>
  <c r="AX193" i="3"/>
  <c r="AW193" i="3"/>
  <c r="AV193" i="3"/>
  <c r="B193" i="3"/>
  <c r="CE192" i="3"/>
  <c r="CD192" i="3"/>
  <c r="CC192" i="3"/>
  <c r="CB192" i="3"/>
  <c r="CA192" i="3"/>
  <c r="BZ192" i="3"/>
  <c r="BY192" i="3"/>
  <c r="BX192" i="3"/>
  <c r="BW192" i="3"/>
  <c r="BV192" i="3"/>
  <c r="BU192" i="3"/>
  <c r="BT192" i="3"/>
  <c r="BS192" i="3"/>
  <c r="BR192" i="3"/>
  <c r="BQ192" i="3"/>
  <c r="BP192" i="3"/>
  <c r="BO192" i="3"/>
  <c r="BN192" i="3"/>
  <c r="BM192" i="3"/>
  <c r="BL192" i="3"/>
  <c r="BK192" i="3"/>
  <c r="BJ192" i="3"/>
  <c r="BI192" i="3"/>
  <c r="BH192" i="3"/>
  <c r="BG192" i="3"/>
  <c r="BF192" i="3"/>
  <c r="BE192" i="3"/>
  <c r="BD192" i="3"/>
  <c r="BC192" i="3"/>
  <c r="BB192" i="3"/>
  <c r="BA192" i="3"/>
  <c r="AZ192" i="3"/>
  <c r="AY192" i="3"/>
  <c r="AX192" i="3"/>
  <c r="AW192" i="3"/>
  <c r="AV192" i="3"/>
  <c r="B192" i="3"/>
  <c r="CE191" i="3"/>
  <c r="CD191" i="3"/>
  <c r="CC191" i="3"/>
  <c r="CB191" i="3"/>
  <c r="CA191" i="3"/>
  <c r="BZ191" i="3"/>
  <c r="BY191" i="3"/>
  <c r="BX191" i="3"/>
  <c r="BW191" i="3"/>
  <c r="BV191" i="3"/>
  <c r="BU191" i="3"/>
  <c r="BT191" i="3"/>
  <c r="BS191" i="3"/>
  <c r="BR191" i="3"/>
  <c r="BQ191" i="3"/>
  <c r="BP191" i="3"/>
  <c r="BO191" i="3"/>
  <c r="BN191" i="3"/>
  <c r="BM191" i="3"/>
  <c r="BL191" i="3"/>
  <c r="BK191" i="3"/>
  <c r="BJ191" i="3"/>
  <c r="BI191" i="3"/>
  <c r="BH191" i="3"/>
  <c r="BG191" i="3"/>
  <c r="BF191" i="3"/>
  <c r="BE191" i="3"/>
  <c r="BD191" i="3"/>
  <c r="BC191" i="3"/>
  <c r="BB191" i="3"/>
  <c r="BA191" i="3"/>
  <c r="AZ191" i="3"/>
  <c r="AY191" i="3"/>
  <c r="AX191" i="3"/>
  <c r="AW191" i="3"/>
  <c r="AV191" i="3"/>
  <c r="B191" i="3"/>
  <c r="CE190" i="3"/>
  <c r="CD190" i="3"/>
  <c r="CC190" i="3"/>
  <c r="CB190" i="3"/>
  <c r="CA190" i="3"/>
  <c r="BZ190" i="3"/>
  <c r="BY190" i="3"/>
  <c r="BX190" i="3"/>
  <c r="BW190" i="3"/>
  <c r="BV190" i="3"/>
  <c r="BU190" i="3"/>
  <c r="BT190" i="3"/>
  <c r="BS190" i="3"/>
  <c r="BR190" i="3"/>
  <c r="BQ190" i="3"/>
  <c r="BP190" i="3"/>
  <c r="BO190" i="3"/>
  <c r="BN190" i="3"/>
  <c r="BM190" i="3"/>
  <c r="BL190" i="3"/>
  <c r="BK190" i="3"/>
  <c r="BJ190" i="3"/>
  <c r="BI190" i="3"/>
  <c r="BH190" i="3"/>
  <c r="BG190" i="3"/>
  <c r="BF190" i="3"/>
  <c r="BE190" i="3"/>
  <c r="BD190" i="3"/>
  <c r="BC190" i="3"/>
  <c r="BB190" i="3"/>
  <c r="BA190" i="3"/>
  <c r="AZ190" i="3"/>
  <c r="AY190" i="3"/>
  <c r="AX190" i="3"/>
  <c r="AW190" i="3"/>
  <c r="AV190" i="3"/>
  <c r="B190" i="3"/>
  <c r="CE189" i="3"/>
  <c r="CD189" i="3"/>
  <c r="CC189" i="3"/>
  <c r="CB189" i="3"/>
  <c r="CA189" i="3"/>
  <c r="BZ189" i="3"/>
  <c r="BY189" i="3"/>
  <c r="BX189" i="3"/>
  <c r="BW189" i="3"/>
  <c r="BV189" i="3"/>
  <c r="BU189" i="3"/>
  <c r="BT189" i="3"/>
  <c r="BS189" i="3"/>
  <c r="BR189" i="3"/>
  <c r="BQ189" i="3"/>
  <c r="BP189" i="3"/>
  <c r="BO189" i="3"/>
  <c r="BN189" i="3"/>
  <c r="BM189" i="3"/>
  <c r="BL189" i="3"/>
  <c r="BK189" i="3"/>
  <c r="BJ189" i="3"/>
  <c r="BI189" i="3"/>
  <c r="BH189" i="3"/>
  <c r="BG189" i="3"/>
  <c r="BF189" i="3"/>
  <c r="BE189" i="3"/>
  <c r="BD189" i="3"/>
  <c r="BC189" i="3"/>
  <c r="BB189" i="3"/>
  <c r="BA189" i="3"/>
  <c r="AZ189" i="3"/>
  <c r="AY189" i="3"/>
  <c r="AX189" i="3"/>
  <c r="AW189" i="3"/>
  <c r="AV189" i="3"/>
  <c r="B189" i="3"/>
  <c r="CE188" i="3"/>
  <c r="CD188" i="3"/>
  <c r="CC188" i="3"/>
  <c r="CB188" i="3"/>
  <c r="CA188" i="3"/>
  <c r="BZ188" i="3"/>
  <c r="BY188" i="3"/>
  <c r="BX188" i="3"/>
  <c r="BW188" i="3"/>
  <c r="BV188" i="3"/>
  <c r="BU188" i="3"/>
  <c r="BT188" i="3"/>
  <c r="BS188" i="3"/>
  <c r="BR188" i="3"/>
  <c r="BQ188" i="3"/>
  <c r="BP188" i="3"/>
  <c r="BO188" i="3"/>
  <c r="BN188" i="3"/>
  <c r="BM188" i="3"/>
  <c r="BL188" i="3"/>
  <c r="BK188" i="3"/>
  <c r="BJ188" i="3"/>
  <c r="BI188" i="3"/>
  <c r="BH188" i="3"/>
  <c r="BG188" i="3"/>
  <c r="BF188" i="3"/>
  <c r="BE188" i="3"/>
  <c r="BD188" i="3"/>
  <c r="BC188" i="3"/>
  <c r="BB188" i="3"/>
  <c r="BA188" i="3"/>
  <c r="AZ188" i="3"/>
  <c r="AY188" i="3"/>
  <c r="AX188" i="3"/>
  <c r="AW188" i="3"/>
  <c r="AV188" i="3"/>
  <c r="B188" i="3"/>
  <c r="CE187" i="3"/>
  <c r="CD187" i="3"/>
  <c r="CC187" i="3"/>
  <c r="CB187" i="3"/>
  <c r="CA187" i="3"/>
  <c r="BZ187" i="3"/>
  <c r="BY187" i="3"/>
  <c r="BX187" i="3"/>
  <c r="BW187" i="3"/>
  <c r="BV187" i="3"/>
  <c r="BU187" i="3"/>
  <c r="BT187" i="3"/>
  <c r="BS187" i="3"/>
  <c r="BR187" i="3"/>
  <c r="BQ187" i="3"/>
  <c r="BP187" i="3"/>
  <c r="BO187" i="3"/>
  <c r="BN187" i="3"/>
  <c r="BM187" i="3"/>
  <c r="BL187" i="3"/>
  <c r="BK187" i="3"/>
  <c r="BJ187" i="3"/>
  <c r="BI187" i="3"/>
  <c r="BH187" i="3"/>
  <c r="BG187" i="3"/>
  <c r="BF187" i="3"/>
  <c r="BE187" i="3"/>
  <c r="BD187" i="3"/>
  <c r="BC187" i="3"/>
  <c r="BB187" i="3"/>
  <c r="BA187" i="3"/>
  <c r="AZ187" i="3"/>
  <c r="AY187" i="3"/>
  <c r="AX187" i="3"/>
  <c r="AW187" i="3"/>
  <c r="AV187" i="3"/>
  <c r="B187" i="3"/>
  <c r="CE186" i="3"/>
  <c r="CD186" i="3"/>
  <c r="CC186" i="3"/>
  <c r="CB186" i="3"/>
  <c r="CA186" i="3"/>
  <c r="BZ186" i="3"/>
  <c r="BY186" i="3"/>
  <c r="BX186" i="3"/>
  <c r="BW186" i="3"/>
  <c r="BV186" i="3"/>
  <c r="BU186" i="3"/>
  <c r="BT186" i="3"/>
  <c r="BS186" i="3"/>
  <c r="BR186" i="3"/>
  <c r="BQ186" i="3"/>
  <c r="BP186" i="3"/>
  <c r="BO186" i="3"/>
  <c r="BN186" i="3"/>
  <c r="BM186" i="3"/>
  <c r="BL186" i="3"/>
  <c r="BK186" i="3"/>
  <c r="BJ186" i="3"/>
  <c r="BI186" i="3"/>
  <c r="BH186" i="3"/>
  <c r="BG186" i="3"/>
  <c r="BF186" i="3"/>
  <c r="BE186" i="3"/>
  <c r="BD186" i="3"/>
  <c r="BC186" i="3"/>
  <c r="BB186" i="3"/>
  <c r="BA186" i="3"/>
  <c r="AZ186" i="3"/>
  <c r="AY186" i="3"/>
  <c r="AX186" i="3"/>
  <c r="AW186" i="3"/>
  <c r="AV186" i="3"/>
  <c r="B186" i="3"/>
  <c r="CE185" i="3"/>
  <c r="CD185" i="3"/>
  <c r="CC185" i="3"/>
  <c r="CB185" i="3"/>
  <c r="CA185" i="3"/>
  <c r="BZ185" i="3"/>
  <c r="BY185" i="3"/>
  <c r="BX185" i="3"/>
  <c r="BW185" i="3"/>
  <c r="BV185" i="3"/>
  <c r="BU185" i="3"/>
  <c r="BT185" i="3"/>
  <c r="BS185" i="3"/>
  <c r="BR185" i="3"/>
  <c r="BQ185" i="3"/>
  <c r="BP185" i="3"/>
  <c r="BO185" i="3"/>
  <c r="BN185" i="3"/>
  <c r="BM185" i="3"/>
  <c r="BL185" i="3"/>
  <c r="BK185" i="3"/>
  <c r="BJ185" i="3"/>
  <c r="BI185" i="3"/>
  <c r="BH185" i="3"/>
  <c r="BG185" i="3"/>
  <c r="BF185" i="3"/>
  <c r="BE185" i="3"/>
  <c r="BD185" i="3"/>
  <c r="BC185" i="3"/>
  <c r="BB185" i="3"/>
  <c r="BA185" i="3"/>
  <c r="AZ185" i="3"/>
  <c r="AY185" i="3"/>
  <c r="AX185" i="3"/>
  <c r="AW185" i="3"/>
  <c r="AV185" i="3"/>
  <c r="B185" i="3"/>
  <c r="CE184" i="3"/>
  <c r="CD184" i="3"/>
  <c r="CC184" i="3"/>
  <c r="CB184" i="3"/>
  <c r="CA184" i="3"/>
  <c r="BZ184" i="3"/>
  <c r="BY184" i="3"/>
  <c r="BX184" i="3"/>
  <c r="BW184" i="3"/>
  <c r="BV184" i="3"/>
  <c r="BU184" i="3"/>
  <c r="BT184" i="3"/>
  <c r="BS184" i="3"/>
  <c r="BR184" i="3"/>
  <c r="BQ184" i="3"/>
  <c r="BP184" i="3"/>
  <c r="BO184" i="3"/>
  <c r="BN184" i="3"/>
  <c r="BM184" i="3"/>
  <c r="BL184" i="3"/>
  <c r="BK184" i="3"/>
  <c r="BJ184" i="3"/>
  <c r="BI184" i="3"/>
  <c r="BH184" i="3"/>
  <c r="BG184" i="3"/>
  <c r="BF184" i="3"/>
  <c r="BE184" i="3"/>
  <c r="BD184" i="3"/>
  <c r="BC184" i="3"/>
  <c r="BB184" i="3"/>
  <c r="BA184" i="3"/>
  <c r="AZ184" i="3"/>
  <c r="AY184" i="3"/>
  <c r="AX184" i="3"/>
  <c r="AW184" i="3"/>
  <c r="AV184" i="3"/>
  <c r="B184" i="3"/>
  <c r="CE183" i="3"/>
  <c r="CD183" i="3"/>
  <c r="CC183" i="3"/>
  <c r="CB183" i="3"/>
  <c r="CA183" i="3"/>
  <c r="BZ183" i="3"/>
  <c r="BY183" i="3"/>
  <c r="BX183" i="3"/>
  <c r="BW183" i="3"/>
  <c r="BV183" i="3"/>
  <c r="BU183" i="3"/>
  <c r="BT183" i="3"/>
  <c r="BS183" i="3"/>
  <c r="BR183" i="3"/>
  <c r="BQ183" i="3"/>
  <c r="BP183" i="3"/>
  <c r="BO183" i="3"/>
  <c r="BN183" i="3"/>
  <c r="BM183" i="3"/>
  <c r="BL183" i="3"/>
  <c r="BK183" i="3"/>
  <c r="BJ183" i="3"/>
  <c r="BI183" i="3"/>
  <c r="BH183" i="3"/>
  <c r="BG183" i="3"/>
  <c r="BF183" i="3"/>
  <c r="BE183" i="3"/>
  <c r="BD183" i="3"/>
  <c r="BC183" i="3"/>
  <c r="BB183" i="3"/>
  <c r="BA183" i="3"/>
  <c r="AZ183" i="3"/>
  <c r="AY183" i="3"/>
  <c r="AX183" i="3"/>
  <c r="AW183" i="3"/>
  <c r="AV183" i="3"/>
  <c r="B183" i="3"/>
  <c r="CE182" i="3"/>
  <c r="CD182" i="3"/>
  <c r="CC182" i="3"/>
  <c r="CB182" i="3"/>
  <c r="CA182" i="3"/>
  <c r="BZ182" i="3"/>
  <c r="BY182" i="3"/>
  <c r="BX182" i="3"/>
  <c r="BW182" i="3"/>
  <c r="BV182" i="3"/>
  <c r="BU182" i="3"/>
  <c r="BT182" i="3"/>
  <c r="BS182" i="3"/>
  <c r="BR182" i="3"/>
  <c r="BQ182" i="3"/>
  <c r="BP182" i="3"/>
  <c r="BO182" i="3"/>
  <c r="BN182" i="3"/>
  <c r="BM182" i="3"/>
  <c r="BL182" i="3"/>
  <c r="BK182" i="3"/>
  <c r="BJ182" i="3"/>
  <c r="BI182" i="3"/>
  <c r="BH182" i="3"/>
  <c r="BG182" i="3"/>
  <c r="BF182" i="3"/>
  <c r="BE182" i="3"/>
  <c r="BD182" i="3"/>
  <c r="BC182" i="3"/>
  <c r="BB182" i="3"/>
  <c r="BA182" i="3"/>
  <c r="AZ182" i="3"/>
  <c r="AY182" i="3"/>
  <c r="AX182" i="3"/>
  <c r="AW182" i="3"/>
  <c r="AV182" i="3"/>
  <c r="B182" i="3"/>
  <c r="CE181" i="3"/>
  <c r="CD181" i="3"/>
  <c r="CC181" i="3"/>
  <c r="CB181" i="3"/>
  <c r="CA181" i="3"/>
  <c r="BZ181" i="3"/>
  <c r="BY181" i="3"/>
  <c r="BX181" i="3"/>
  <c r="BW181" i="3"/>
  <c r="BV181" i="3"/>
  <c r="BU181" i="3"/>
  <c r="BT181" i="3"/>
  <c r="BS181" i="3"/>
  <c r="BR181" i="3"/>
  <c r="BQ181" i="3"/>
  <c r="BP181" i="3"/>
  <c r="BO181" i="3"/>
  <c r="BN181" i="3"/>
  <c r="BM181" i="3"/>
  <c r="BL181" i="3"/>
  <c r="BK181" i="3"/>
  <c r="BJ181" i="3"/>
  <c r="BI181" i="3"/>
  <c r="BH181" i="3"/>
  <c r="BG181" i="3"/>
  <c r="BF181" i="3"/>
  <c r="BE181" i="3"/>
  <c r="BD181" i="3"/>
  <c r="BC181" i="3"/>
  <c r="BB181" i="3"/>
  <c r="BA181" i="3"/>
  <c r="AZ181" i="3"/>
  <c r="AY181" i="3"/>
  <c r="AX181" i="3"/>
  <c r="AW181" i="3"/>
  <c r="AV181" i="3"/>
  <c r="B181" i="3"/>
  <c r="CE180" i="3"/>
  <c r="CD180" i="3"/>
  <c r="CC180" i="3"/>
  <c r="CB180" i="3"/>
  <c r="CA180" i="3"/>
  <c r="BZ180" i="3"/>
  <c r="BY180" i="3"/>
  <c r="BX180" i="3"/>
  <c r="BW180" i="3"/>
  <c r="BV180" i="3"/>
  <c r="BU180" i="3"/>
  <c r="BT180" i="3"/>
  <c r="BS180" i="3"/>
  <c r="BR180" i="3"/>
  <c r="BQ180" i="3"/>
  <c r="BP180" i="3"/>
  <c r="BO180" i="3"/>
  <c r="BN180" i="3"/>
  <c r="BM180" i="3"/>
  <c r="BL180" i="3"/>
  <c r="BK180" i="3"/>
  <c r="BJ180" i="3"/>
  <c r="BI180" i="3"/>
  <c r="BH180" i="3"/>
  <c r="BG180" i="3"/>
  <c r="BF180" i="3"/>
  <c r="BE180" i="3"/>
  <c r="BD180" i="3"/>
  <c r="BC180" i="3"/>
  <c r="BB180" i="3"/>
  <c r="BA180" i="3"/>
  <c r="AZ180" i="3"/>
  <c r="AY180" i="3"/>
  <c r="AX180" i="3"/>
  <c r="AW180" i="3"/>
  <c r="AV180" i="3"/>
  <c r="B180" i="3"/>
  <c r="CE179" i="3"/>
  <c r="CD179" i="3"/>
  <c r="CC179" i="3"/>
  <c r="CB179" i="3"/>
  <c r="CA179" i="3"/>
  <c r="BZ179" i="3"/>
  <c r="BY179" i="3"/>
  <c r="BX179" i="3"/>
  <c r="BW179" i="3"/>
  <c r="BV179" i="3"/>
  <c r="BU179" i="3"/>
  <c r="BT179" i="3"/>
  <c r="BS179" i="3"/>
  <c r="BR179" i="3"/>
  <c r="BQ179" i="3"/>
  <c r="BP179" i="3"/>
  <c r="BO179" i="3"/>
  <c r="BN179" i="3"/>
  <c r="BM179" i="3"/>
  <c r="BL179" i="3"/>
  <c r="BK179" i="3"/>
  <c r="BJ179" i="3"/>
  <c r="BI179" i="3"/>
  <c r="BH179" i="3"/>
  <c r="BG179" i="3"/>
  <c r="BF179" i="3"/>
  <c r="BE179" i="3"/>
  <c r="BD179" i="3"/>
  <c r="BC179" i="3"/>
  <c r="BB179" i="3"/>
  <c r="BA179" i="3"/>
  <c r="AZ179" i="3"/>
  <c r="AY179" i="3"/>
  <c r="AX179" i="3"/>
  <c r="AW179" i="3"/>
  <c r="AV179" i="3"/>
  <c r="B179" i="3"/>
  <c r="CE178" i="3"/>
  <c r="CD178" i="3"/>
  <c r="CC178" i="3"/>
  <c r="CB178" i="3"/>
  <c r="CA178" i="3"/>
  <c r="BZ178" i="3"/>
  <c r="BY178" i="3"/>
  <c r="BX178" i="3"/>
  <c r="BW178" i="3"/>
  <c r="BV178" i="3"/>
  <c r="BU178" i="3"/>
  <c r="BT178" i="3"/>
  <c r="BS178" i="3"/>
  <c r="BR178" i="3"/>
  <c r="BQ178" i="3"/>
  <c r="BP178" i="3"/>
  <c r="BO178" i="3"/>
  <c r="BN178" i="3"/>
  <c r="BM178" i="3"/>
  <c r="BL178" i="3"/>
  <c r="BK178" i="3"/>
  <c r="BJ178" i="3"/>
  <c r="BI178" i="3"/>
  <c r="BH178" i="3"/>
  <c r="BG178" i="3"/>
  <c r="BF178" i="3"/>
  <c r="BE178" i="3"/>
  <c r="BD178" i="3"/>
  <c r="BC178" i="3"/>
  <c r="BB178" i="3"/>
  <c r="BA178" i="3"/>
  <c r="AZ178" i="3"/>
  <c r="AY178" i="3"/>
  <c r="AX178" i="3"/>
  <c r="AW178" i="3"/>
  <c r="AV178" i="3"/>
  <c r="B178" i="3"/>
  <c r="CE177" i="3"/>
  <c r="CD177" i="3"/>
  <c r="CC177" i="3"/>
  <c r="CB177" i="3"/>
  <c r="CA177" i="3"/>
  <c r="BZ177" i="3"/>
  <c r="BY177" i="3"/>
  <c r="BX177" i="3"/>
  <c r="BW177" i="3"/>
  <c r="BV177" i="3"/>
  <c r="BU177" i="3"/>
  <c r="BT177" i="3"/>
  <c r="BS177" i="3"/>
  <c r="BR177" i="3"/>
  <c r="BQ177" i="3"/>
  <c r="BP177" i="3"/>
  <c r="BO177" i="3"/>
  <c r="BN177" i="3"/>
  <c r="BM177" i="3"/>
  <c r="BL177" i="3"/>
  <c r="BK177" i="3"/>
  <c r="BJ177" i="3"/>
  <c r="BI177" i="3"/>
  <c r="BH177" i="3"/>
  <c r="BG177" i="3"/>
  <c r="BF177" i="3"/>
  <c r="BE177" i="3"/>
  <c r="BD177" i="3"/>
  <c r="BC177" i="3"/>
  <c r="BB177" i="3"/>
  <c r="BA177" i="3"/>
  <c r="AZ177" i="3"/>
  <c r="AY177" i="3"/>
  <c r="AX177" i="3"/>
  <c r="AW177" i="3"/>
  <c r="AV177" i="3"/>
  <c r="B177" i="3"/>
  <c r="CE176" i="3"/>
  <c r="CD176" i="3"/>
  <c r="CC176" i="3"/>
  <c r="CB176" i="3"/>
  <c r="CA176" i="3"/>
  <c r="BZ176" i="3"/>
  <c r="BY176" i="3"/>
  <c r="BX176" i="3"/>
  <c r="BW176" i="3"/>
  <c r="BV176" i="3"/>
  <c r="BU176" i="3"/>
  <c r="BT176" i="3"/>
  <c r="BS176" i="3"/>
  <c r="BR176" i="3"/>
  <c r="BQ176" i="3"/>
  <c r="BP176" i="3"/>
  <c r="BO176" i="3"/>
  <c r="BN176" i="3"/>
  <c r="BM176" i="3"/>
  <c r="BL176" i="3"/>
  <c r="BK176" i="3"/>
  <c r="BJ176" i="3"/>
  <c r="BI176" i="3"/>
  <c r="BH176" i="3"/>
  <c r="BG176" i="3"/>
  <c r="BF176" i="3"/>
  <c r="BE176" i="3"/>
  <c r="BD176" i="3"/>
  <c r="BC176" i="3"/>
  <c r="BB176" i="3"/>
  <c r="BA176" i="3"/>
  <c r="AZ176" i="3"/>
  <c r="AY176" i="3"/>
  <c r="AX176" i="3"/>
  <c r="AW176" i="3"/>
  <c r="AV176" i="3"/>
  <c r="B176" i="3"/>
  <c r="CE175" i="3"/>
  <c r="CD175" i="3"/>
  <c r="CC175" i="3"/>
  <c r="CB175" i="3"/>
  <c r="CA175" i="3"/>
  <c r="BZ175" i="3"/>
  <c r="BY175" i="3"/>
  <c r="BX175" i="3"/>
  <c r="BW175" i="3"/>
  <c r="BV175" i="3"/>
  <c r="BU175" i="3"/>
  <c r="BT175" i="3"/>
  <c r="BS175" i="3"/>
  <c r="BR175" i="3"/>
  <c r="BQ175" i="3"/>
  <c r="BP175" i="3"/>
  <c r="BO175" i="3"/>
  <c r="BN175" i="3"/>
  <c r="BM175" i="3"/>
  <c r="BL175" i="3"/>
  <c r="BK175" i="3"/>
  <c r="BJ175" i="3"/>
  <c r="BI175" i="3"/>
  <c r="BH175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B175" i="3"/>
  <c r="CE174" i="3"/>
  <c r="CD174" i="3"/>
  <c r="CC174" i="3"/>
  <c r="CB174" i="3"/>
  <c r="CA174" i="3"/>
  <c r="BZ174" i="3"/>
  <c r="BY174" i="3"/>
  <c r="BX174" i="3"/>
  <c r="BW174" i="3"/>
  <c r="BV174" i="3"/>
  <c r="BU174" i="3"/>
  <c r="BT174" i="3"/>
  <c r="BS174" i="3"/>
  <c r="BR174" i="3"/>
  <c r="BQ174" i="3"/>
  <c r="BP174" i="3"/>
  <c r="BO174" i="3"/>
  <c r="BN174" i="3"/>
  <c r="BM174" i="3"/>
  <c r="BL174" i="3"/>
  <c r="BK174" i="3"/>
  <c r="BJ174" i="3"/>
  <c r="BI174" i="3"/>
  <c r="BH174" i="3"/>
  <c r="BG174" i="3"/>
  <c r="BF174" i="3"/>
  <c r="BE174" i="3"/>
  <c r="BD174" i="3"/>
  <c r="BC174" i="3"/>
  <c r="BB174" i="3"/>
  <c r="BA174" i="3"/>
  <c r="AZ174" i="3"/>
  <c r="AY174" i="3"/>
  <c r="AX174" i="3"/>
  <c r="AW174" i="3"/>
  <c r="AV174" i="3"/>
  <c r="B174" i="3"/>
  <c r="CE173" i="3"/>
  <c r="CD173" i="3"/>
  <c r="CC173" i="3"/>
  <c r="CB173" i="3"/>
  <c r="CA173" i="3"/>
  <c r="BZ173" i="3"/>
  <c r="BY173" i="3"/>
  <c r="BX173" i="3"/>
  <c r="BW173" i="3"/>
  <c r="BV173" i="3"/>
  <c r="BU173" i="3"/>
  <c r="BT173" i="3"/>
  <c r="BS173" i="3"/>
  <c r="BR173" i="3"/>
  <c r="BQ173" i="3"/>
  <c r="BP173" i="3"/>
  <c r="BO173" i="3"/>
  <c r="BN173" i="3"/>
  <c r="BM173" i="3"/>
  <c r="BL173" i="3"/>
  <c r="BK173" i="3"/>
  <c r="BJ173" i="3"/>
  <c r="BI173" i="3"/>
  <c r="BH173" i="3"/>
  <c r="BG173" i="3"/>
  <c r="BF173" i="3"/>
  <c r="BE173" i="3"/>
  <c r="BD173" i="3"/>
  <c r="BC173" i="3"/>
  <c r="BB173" i="3"/>
  <c r="BA173" i="3"/>
  <c r="AZ173" i="3"/>
  <c r="AY173" i="3"/>
  <c r="AX173" i="3"/>
  <c r="AW173" i="3"/>
  <c r="AV173" i="3"/>
  <c r="B173" i="3"/>
  <c r="CE172" i="3"/>
  <c r="CD172" i="3"/>
  <c r="CC172" i="3"/>
  <c r="CB172" i="3"/>
  <c r="CA172" i="3"/>
  <c r="BZ172" i="3"/>
  <c r="BY172" i="3"/>
  <c r="BX172" i="3"/>
  <c r="BW172" i="3"/>
  <c r="BV172" i="3"/>
  <c r="BU172" i="3"/>
  <c r="BT172" i="3"/>
  <c r="BS172" i="3"/>
  <c r="BR172" i="3"/>
  <c r="BQ172" i="3"/>
  <c r="BP172" i="3"/>
  <c r="BO172" i="3"/>
  <c r="BN172" i="3"/>
  <c r="BM172" i="3"/>
  <c r="BL172" i="3"/>
  <c r="BK172" i="3"/>
  <c r="BJ172" i="3"/>
  <c r="BI172" i="3"/>
  <c r="BH172" i="3"/>
  <c r="BG172" i="3"/>
  <c r="BF172" i="3"/>
  <c r="BE172" i="3"/>
  <c r="BD172" i="3"/>
  <c r="BC172" i="3"/>
  <c r="BB172" i="3"/>
  <c r="BA172" i="3"/>
  <c r="AZ172" i="3"/>
  <c r="AY172" i="3"/>
  <c r="AX172" i="3"/>
  <c r="AW172" i="3"/>
  <c r="AV172" i="3"/>
  <c r="B172" i="3"/>
  <c r="CE171" i="3"/>
  <c r="CD171" i="3"/>
  <c r="CC171" i="3"/>
  <c r="CB171" i="3"/>
  <c r="CA171" i="3"/>
  <c r="BZ171" i="3"/>
  <c r="BY171" i="3"/>
  <c r="BX171" i="3"/>
  <c r="BW171" i="3"/>
  <c r="BV171" i="3"/>
  <c r="BU171" i="3"/>
  <c r="BT171" i="3"/>
  <c r="BS171" i="3"/>
  <c r="BR171" i="3"/>
  <c r="BQ171" i="3"/>
  <c r="BP171" i="3"/>
  <c r="BO171" i="3"/>
  <c r="BN171" i="3"/>
  <c r="BM171" i="3"/>
  <c r="BL171" i="3"/>
  <c r="BK171" i="3"/>
  <c r="BJ171" i="3"/>
  <c r="BI171" i="3"/>
  <c r="BH171" i="3"/>
  <c r="BG171" i="3"/>
  <c r="BF171" i="3"/>
  <c r="BE171" i="3"/>
  <c r="BD171" i="3"/>
  <c r="BC171" i="3"/>
  <c r="BB171" i="3"/>
  <c r="BA171" i="3"/>
  <c r="AZ171" i="3"/>
  <c r="AY171" i="3"/>
  <c r="AX171" i="3"/>
  <c r="AW171" i="3"/>
  <c r="AV171" i="3"/>
  <c r="B171" i="3"/>
  <c r="CE170" i="3"/>
  <c r="CD170" i="3"/>
  <c r="CC170" i="3"/>
  <c r="CB170" i="3"/>
  <c r="CA170" i="3"/>
  <c r="BZ170" i="3"/>
  <c r="BY170" i="3"/>
  <c r="BX170" i="3"/>
  <c r="BW170" i="3"/>
  <c r="BV170" i="3"/>
  <c r="BU170" i="3"/>
  <c r="BT170" i="3"/>
  <c r="BS170" i="3"/>
  <c r="BR170" i="3"/>
  <c r="BQ170" i="3"/>
  <c r="BP170" i="3"/>
  <c r="BO170" i="3"/>
  <c r="BN170" i="3"/>
  <c r="BM170" i="3"/>
  <c r="BL170" i="3"/>
  <c r="BK170" i="3"/>
  <c r="BJ170" i="3"/>
  <c r="BI170" i="3"/>
  <c r="BH170" i="3"/>
  <c r="BG170" i="3"/>
  <c r="BF170" i="3"/>
  <c r="BE170" i="3"/>
  <c r="BD170" i="3"/>
  <c r="BC170" i="3"/>
  <c r="BB170" i="3"/>
  <c r="BA170" i="3"/>
  <c r="AZ170" i="3"/>
  <c r="AY170" i="3"/>
  <c r="AX170" i="3"/>
  <c r="AW170" i="3"/>
  <c r="AV170" i="3"/>
  <c r="B170" i="3"/>
  <c r="CE169" i="3"/>
  <c r="CD169" i="3"/>
  <c r="CC169" i="3"/>
  <c r="CB169" i="3"/>
  <c r="CA169" i="3"/>
  <c r="BZ169" i="3"/>
  <c r="BY169" i="3"/>
  <c r="BX169" i="3"/>
  <c r="BW169" i="3"/>
  <c r="BV169" i="3"/>
  <c r="BU169" i="3"/>
  <c r="BT169" i="3"/>
  <c r="BS169" i="3"/>
  <c r="BR169" i="3"/>
  <c r="BQ169" i="3"/>
  <c r="BP169" i="3"/>
  <c r="BO169" i="3"/>
  <c r="BN169" i="3"/>
  <c r="BM169" i="3"/>
  <c r="BL169" i="3"/>
  <c r="BK169" i="3"/>
  <c r="BJ169" i="3"/>
  <c r="BI169" i="3"/>
  <c r="BH169" i="3"/>
  <c r="BG169" i="3"/>
  <c r="BF169" i="3"/>
  <c r="BE169" i="3"/>
  <c r="BD169" i="3"/>
  <c r="BC169" i="3"/>
  <c r="BB169" i="3"/>
  <c r="BA169" i="3"/>
  <c r="AZ169" i="3"/>
  <c r="AY169" i="3"/>
  <c r="AX169" i="3"/>
  <c r="AW169" i="3"/>
  <c r="AV169" i="3"/>
  <c r="B169" i="3"/>
  <c r="CE168" i="3"/>
  <c r="CD168" i="3"/>
  <c r="CC168" i="3"/>
  <c r="CB168" i="3"/>
  <c r="CA168" i="3"/>
  <c r="BZ168" i="3"/>
  <c r="BY168" i="3"/>
  <c r="BX168" i="3"/>
  <c r="BW168" i="3"/>
  <c r="BV168" i="3"/>
  <c r="BU168" i="3"/>
  <c r="BT168" i="3"/>
  <c r="BS168" i="3"/>
  <c r="BR168" i="3"/>
  <c r="BQ168" i="3"/>
  <c r="BP168" i="3"/>
  <c r="BO168" i="3"/>
  <c r="BN168" i="3"/>
  <c r="BM168" i="3"/>
  <c r="BL168" i="3"/>
  <c r="BK168" i="3"/>
  <c r="BJ168" i="3"/>
  <c r="BI168" i="3"/>
  <c r="BH168" i="3"/>
  <c r="BG168" i="3"/>
  <c r="BF168" i="3"/>
  <c r="BE168" i="3"/>
  <c r="BD168" i="3"/>
  <c r="BC168" i="3"/>
  <c r="BB168" i="3"/>
  <c r="BA168" i="3"/>
  <c r="AZ168" i="3"/>
  <c r="AY168" i="3"/>
  <c r="AX168" i="3"/>
  <c r="AW168" i="3"/>
  <c r="AV168" i="3"/>
  <c r="B168" i="3"/>
  <c r="CE235" i="3"/>
  <c r="CD235" i="3"/>
  <c r="CC235" i="3"/>
  <c r="CB235" i="3"/>
  <c r="CA235" i="3"/>
  <c r="BZ235" i="3"/>
  <c r="BY235" i="3"/>
  <c r="BX235" i="3"/>
  <c r="BW235" i="3"/>
  <c r="BV235" i="3"/>
  <c r="BU235" i="3"/>
  <c r="BT235" i="3"/>
  <c r="BS235" i="3"/>
  <c r="BR235" i="3"/>
  <c r="BQ235" i="3"/>
  <c r="BP235" i="3"/>
  <c r="BO235" i="3"/>
  <c r="BN235" i="3"/>
  <c r="BM235" i="3"/>
  <c r="BL235" i="3"/>
  <c r="BK235" i="3"/>
  <c r="BJ235" i="3"/>
  <c r="BI235" i="3"/>
  <c r="BH235" i="3"/>
  <c r="BG235" i="3"/>
  <c r="BF235" i="3"/>
  <c r="BE235" i="3"/>
  <c r="BD235" i="3"/>
  <c r="BC235" i="3"/>
  <c r="BB235" i="3"/>
  <c r="BA235" i="3"/>
  <c r="AZ235" i="3"/>
  <c r="AY235" i="3"/>
  <c r="AX235" i="3"/>
  <c r="AW235" i="3"/>
  <c r="AV235" i="3"/>
  <c r="AR235" i="3"/>
  <c r="AS235" i="3" s="1"/>
  <c r="B235" i="3"/>
  <c r="CE234" i="3"/>
  <c r="CD234" i="3"/>
  <c r="CC234" i="3"/>
  <c r="CB234" i="3"/>
  <c r="CA234" i="3"/>
  <c r="BZ234" i="3"/>
  <c r="BY234" i="3"/>
  <c r="BX234" i="3"/>
  <c r="BW234" i="3"/>
  <c r="BV234" i="3"/>
  <c r="BU234" i="3"/>
  <c r="BT234" i="3"/>
  <c r="BS234" i="3"/>
  <c r="BR234" i="3"/>
  <c r="BQ234" i="3"/>
  <c r="BP234" i="3"/>
  <c r="BO234" i="3"/>
  <c r="BN234" i="3"/>
  <c r="BM234" i="3"/>
  <c r="BL234" i="3"/>
  <c r="BK234" i="3"/>
  <c r="BJ234" i="3"/>
  <c r="BI234" i="3"/>
  <c r="BH234" i="3"/>
  <c r="BG234" i="3"/>
  <c r="BF234" i="3"/>
  <c r="BE234" i="3"/>
  <c r="BD234" i="3"/>
  <c r="BC234" i="3"/>
  <c r="BB234" i="3"/>
  <c r="BA234" i="3"/>
  <c r="AZ234" i="3"/>
  <c r="AY234" i="3"/>
  <c r="AX234" i="3"/>
  <c r="AW234" i="3"/>
  <c r="AV234" i="3"/>
  <c r="AR234" i="3"/>
  <c r="AS234" i="3" s="1"/>
  <c r="B234" i="3"/>
  <c r="CE233" i="3"/>
  <c r="CD233" i="3"/>
  <c r="CC233" i="3"/>
  <c r="CB233" i="3"/>
  <c r="CA233" i="3"/>
  <c r="BZ233" i="3"/>
  <c r="BY233" i="3"/>
  <c r="BX233" i="3"/>
  <c r="BW233" i="3"/>
  <c r="BV233" i="3"/>
  <c r="BU233" i="3"/>
  <c r="BT233" i="3"/>
  <c r="BS233" i="3"/>
  <c r="BR233" i="3"/>
  <c r="BQ233" i="3"/>
  <c r="BP233" i="3"/>
  <c r="BO233" i="3"/>
  <c r="BN233" i="3"/>
  <c r="BM233" i="3"/>
  <c r="BL233" i="3"/>
  <c r="BK233" i="3"/>
  <c r="BJ233" i="3"/>
  <c r="BI233" i="3"/>
  <c r="BH233" i="3"/>
  <c r="BG233" i="3"/>
  <c r="BF233" i="3"/>
  <c r="BE233" i="3"/>
  <c r="BD233" i="3"/>
  <c r="BC233" i="3"/>
  <c r="BB233" i="3"/>
  <c r="BA233" i="3"/>
  <c r="AZ233" i="3"/>
  <c r="AY233" i="3"/>
  <c r="AX233" i="3"/>
  <c r="AW233" i="3"/>
  <c r="AV233" i="3"/>
  <c r="AR233" i="3" s="1"/>
  <c r="AS233" i="3" s="1"/>
  <c r="B233" i="3"/>
  <c r="CE232" i="3"/>
  <c r="CD232" i="3"/>
  <c r="CC232" i="3"/>
  <c r="CB232" i="3"/>
  <c r="CA232" i="3"/>
  <c r="BZ232" i="3"/>
  <c r="BY232" i="3"/>
  <c r="BX232" i="3"/>
  <c r="BW232" i="3"/>
  <c r="BV232" i="3"/>
  <c r="BU232" i="3"/>
  <c r="BT232" i="3"/>
  <c r="BS232" i="3"/>
  <c r="BR232" i="3"/>
  <c r="BQ232" i="3"/>
  <c r="BP232" i="3"/>
  <c r="BO232" i="3"/>
  <c r="BN232" i="3"/>
  <c r="BM232" i="3"/>
  <c r="BL232" i="3"/>
  <c r="BK232" i="3"/>
  <c r="BJ232" i="3"/>
  <c r="BI232" i="3"/>
  <c r="BH232" i="3"/>
  <c r="BG232" i="3"/>
  <c r="BF232" i="3"/>
  <c r="BE232" i="3"/>
  <c r="BD232" i="3"/>
  <c r="BC232" i="3"/>
  <c r="BB232" i="3"/>
  <c r="BA232" i="3"/>
  <c r="AZ232" i="3"/>
  <c r="AY232" i="3"/>
  <c r="AX232" i="3"/>
  <c r="AW232" i="3"/>
  <c r="AV232" i="3"/>
  <c r="AR232" i="3"/>
  <c r="AS232" i="3" s="1"/>
  <c r="B232" i="3"/>
  <c r="CE231" i="3"/>
  <c r="CD231" i="3"/>
  <c r="CC231" i="3"/>
  <c r="CB231" i="3"/>
  <c r="CA231" i="3"/>
  <c r="BZ231" i="3"/>
  <c r="BY231" i="3"/>
  <c r="BX231" i="3"/>
  <c r="BW231" i="3"/>
  <c r="BV231" i="3"/>
  <c r="BU231" i="3"/>
  <c r="BT231" i="3"/>
  <c r="BS231" i="3"/>
  <c r="BR231" i="3"/>
  <c r="BQ231" i="3"/>
  <c r="BP231" i="3"/>
  <c r="BO231" i="3"/>
  <c r="BN231" i="3"/>
  <c r="BM231" i="3"/>
  <c r="BL231" i="3"/>
  <c r="BK231" i="3"/>
  <c r="BJ231" i="3"/>
  <c r="BI231" i="3"/>
  <c r="BH231" i="3"/>
  <c r="BG231" i="3"/>
  <c r="BF231" i="3"/>
  <c r="BE231" i="3"/>
  <c r="BD231" i="3"/>
  <c r="BC231" i="3"/>
  <c r="BB231" i="3"/>
  <c r="BA231" i="3"/>
  <c r="AZ231" i="3"/>
  <c r="AY231" i="3"/>
  <c r="AX231" i="3"/>
  <c r="AW231" i="3"/>
  <c r="AV231" i="3"/>
  <c r="AR231" i="3"/>
  <c r="AS231" i="3" s="1"/>
  <c r="B231" i="3"/>
  <c r="CE230" i="3"/>
  <c r="CD230" i="3"/>
  <c r="CC230" i="3"/>
  <c r="CB230" i="3"/>
  <c r="CA230" i="3"/>
  <c r="BZ230" i="3"/>
  <c r="BY230" i="3"/>
  <c r="BX230" i="3"/>
  <c r="BW230" i="3"/>
  <c r="BV230" i="3"/>
  <c r="BU230" i="3"/>
  <c r="BT230" i="3"/>
  <c r="BS230" i="3"/>
  <c r="BR230" i="3"/>
  <c r="BQ230" i="3"/>
  <c r="BP230" i="3"/>
  <c r="BO230" i="3"/>
  <c r="BN230" i="3"/>
  <c r="BM230" i="3"/>
  <c r="BL230" i="3"/>
  <c r="BK230" i="3"/>
  <c r="BJ230" i="3"/>
  <c r="BI230" i="3"/>
  <c r="BH230" i="3"/>
  <c r="BG230" i="3"/>
  <c r="BF230" i="3"/>
  <c r="BE230" i="3"/>
  <c r="BD230" i="3"/>
  <c r="BC230" i="3"/>
  <c r="BB230" i="3"/>
  <c r="BA230" i="3"/>
  <c r="AZ230" i="3"/>
  <c r="AY230" i="3"/>
  <c r="AX230" i="3"/>
  <c r="AW230" i="3"/>
  <c r="AV230" i="3"/>
  <c r="AR230" i="3"/>
  <c r="AS230" i="3" s="1"/>
  <c r="B230" i="3"/>
  <c r="CE229" i="3"/>
  <c r="CD229" i="3"/>
  <c r="CC229" i="3"/>
  <c r="CB229" i="3"/>
  <c r="CA229" i="3"/>
  <c r="BZ229" i="3"/>
  <c r="BY229" i="3"/>
  <c r="BX229" i="3"/>
  <c r="BW229" i="3"/>
  <c r="BV229" i="3"/>
  <c r="BU229" i="3"/>
  <c r="BT229" i="3"/>
  <c r="BS229" i="3"/>
  <c r="BR229" i="3"/>
  <c r="BQ229" i="3"/>
  <c r="BP229" i="3"/>
  <c r="BO229" i="3"/>
  <c r="BN229" i="3"/>
  <c r="BM229" i="3"/>
  <c r="BL229" i="3"/>
  <c r="BK229" i="3"/>
  <c r="BJ229" i="3"/>
  <c r="BI229" i="3"/>
  <c r="BH229" i="3"/>
  <c r="BG229" i="3"/>
  <c r="BF229" i="3"/>
  <c r="BE229" i="3"/>
  <c r="BD229" i="3"/>
  <c r="BC229" i="3"/>
  <c r="BB229" i="3"/>
  <c r="BA229" i="3"/>
  <c r="AZ229" i="3"/>
  <c r="AY229" i="3"/>
  <c r="AX229" i="3"/>
  <c r="AW229" i="3"/>
  <c r="AV229" i="3"/>
  <c r="AR229" i="3"/>
  <c r="AS229" i="3" s="1"/>
  <c r="B229" i="3"/>
  <c r="CE228" i="3"/>
  <c r="CD228" i="3"/>
  <c r="CC228" i="3"/>
  <c r="CB228" i="3"/>
  <c r="CA228" i="3"/>
  <c r="BZ228" i="3"/>
  <c r="BY228" i="3"/>
  <c r="BX228" i="3"/>
  <c r="BW228" i="3"/>
  <c r="BV228" i="3"/>
  <c r="BU228" i="3"/>
  <c r="BT228" i="3"/>
  <c r="BS228" i="3"/>
  <c r="BR228" i="3"/>
  <c r="BQ228" i="3"/>
  <c r="BP228" i="3"/>
  <c r="BO228" i="3"/>
  <c r="BN228" i="3"/>
  <c r="BM228" i="3"/>
  <c r="BL228" i="3"/>
  <c r="BK228" i="3"/>
  <c r="BJ228" i="3"/>
  <c r="BI228" i="3"/>
  <c r="BH228" i="3"/>
  <c r="BG228" i="3"/>
  <c r="BF228" i="3"/>
  <c r="BE228" i="3"/>
  <c r="BD228" i="3"/>
  <c r="BC228" i="3"/>
  <c r="BB228" i="3"/>
  <c r="BA228" i="3"/>
  <c r="AZ228" i="3"/>
  <c r="AY228" i="3"/>
  <c r="AX228" i="3"/>
  <c r="AW228" i="3"/>
  <c r="AV228" i="3"/>
  <c r="AR228" i="3"/>
  <c r="AS228" i="3" s="1"/>
  <c r="B228" i="3"/>
  <c r="CE227" i="3"/>
  <c r="CD227" i="3"/>
  <c r="CC227" i="3"/>
  <c r="CB227" i="3"/>
  <c r="CA227" i="3"/>
  <c r="BZ227" i="3"/>
  <c r="BY227" i="3"/>
  <c r="BX227" i="3"/>
  <c r="BW227" i="3"/>
  <c r="BV227" i="3"/>
  <c r="BU227" i="3"/>
  <c r="BT227" i="3"/>
  <c r="BS227" i="3"/>
  <c r="BR227" i="3"/>
  <c r="BQ227" i="3"/>
  <c r="BP227" i="3"/>
  <c r="BO227" i="3"/>
  <c r="BN227" i="3"/>
  <c r="BM227" i="3"/>
  <c r="BL227" i="3"/>
  <c r="BK227" i="3"/>
  <c r="BJ227" i="3"/>
  <c r="BI227" i="3"/>
  <c r="BH227" i="3"/>
  <c r="BG227" i="3"/>
  <c r="BF227" i="3"/>
  <c r="BE227" i="3"/>
  <c r="BD227" i="3"/>
  <c r="BC227" i="3"/>
  <c r="BB227" i="3"/>
  <c r="BA227" i="3"/>
  <c r="AZ227" i="3"/>
  <c r="AY227" i="3"/>
  <c r="AX227" i="3"/>
  <c r="AW227" i="3"/>
  <c r="AV227" i="3"/>
  <c r="AR227" i="3"/>
  <c r="AS227" i="3" s="1"/>
  <c r="B227" i="3"/>
  <c r="CE226" i="3"/>
  <c r="CD226" i="3"/>
  <c r="CC226" i="3"/>
  <c r="CB226" i="3"/>
  <c r="CA226" i="3"/>
  <c r="BZ226" i="3"/>
  <c r="BY226" i="3"/>
  <c r="BX226" i="3"/>
  <c r="BW226" i="3"/>
  <c r="BV226" i="3"/>
  <c r="BU226" i="3"/>
  <c r="BT226" i="3"/>
  <c r="BS226" i="3"/>
  <c r="BR226" i="3"/>
  <c r="BQ226" i="3"/>
  <c r="BP226" i="3"/>
  <c r="BO226" i="3"/>
  <c r="BN226" i="3"/>
  <c r="BM226" i="3"/>
  <c r="BL226" i="3"/>
  <c r="BK226" i="3"/>
  <c r="BJ226" i="3"/>
  <c r="BI226" i="3"/>
  <c r="BH226" i="3"/>
  <c r="BG226" i="3"/>
  <c r="BF226" i="3"/>
  <c r="BE226" i="3"/>
  <c r="BD226" i="3"/>
  <c r="BC226" i="3"/>
  <c r="BB226" i="3"/>
  <c r="BA226" i="3"/>
  <c r="AZ226" i="3"/>
  <c r="AY226" i="3"/>
  <c r="AX226" i="3"/>
  <c r="AW226" i="3"/>
  <c r="AV226" i="3"/>
  <c r="AR226" i="3"/>
  <c r="AS226" i="3" s="1"/>
  <c r="B226" i="3"/>
  <c r="CE225" i="3"/>
  <c r="CD225" i="3"/>
  <c r="CC225" i="3"/>
  <c r="CB225" i="3"/>
  <c r="CA225" i="3"/>
  <c r="BZ225" i="3"/>
  <c r="BY225" i="3"/>
  <c r="BX225" i="3"/>
  <c r="BW225" i="3"/>
  <c r="BV225" i="3"/>
  <c r="BU225" i="3"/>
  <c r="BT225" i="3"/>
  <c r="BS225" i="3"/>
  <c r="BR225" i="3"/>
  <c r="BQ225" i="3"/>
  <c r="BP225" i="3"/>
  <c r="BO225" i="3"/>
  <c r="BN225" i="3"/>
  <c r="BM225" i="3"/>
  <c r="BL225" i="3"/>
  <c r="BK225" i="3"/>
  <c r="BJ225" i="3"/>
  <c r="BI225" i="3"/>
  <c r="BH225" i="3"/>
  <c r="BG225" i="3"/>
  <c r="BF225" i="3"/>
  <c r="BE225" i="3"/>
  <c r="BD225" i="3"/>
  <c r="BC225" i="3"/>
  <c r="BB225" i="3"/>
  <c r="BA225" i="3"/>
  <c r="AZ225" i="3"/>
  <c r="AY225" i="3"/>
  <c r="AX225" i="3"/>
  <c r="AW225" i="3"/>
  <c r="AV225" i="3"/>
  <c r="AR225" i="3"/>
  <c r="AS225" i="3" s="1"/>
  <c r="B225" i="3"/>
  <c r="CE224" i="3"/>
  <c r="CD224" i="3"/>
  <c r="CC224" i="3"/>
  <c r="CB224" i="3"/>
  <c r="CA224" i="3"/>
  <c r="BZ224" i="3"/>
  <c r="BY224" i="3"/>
  <c r="BX224" i="3"/>
  <c r="BW224" i="3"/>
  <c r="BV224" i="3"/>
  <c r="BU224" i="3"/>
  <c r="BT224" i="3"/>
  <c r="BS224" i="3"/>
  <c r="BR224" i="3"/>
  <c r="BQ224" i="3"/>
  <c r="BP224" i="3"/>
  <c r="BO224" i="3"/>
  <c r="BN224" i="3"/>
  <c r="BM224" i="3"/>
  <c r="BL224" i="3"/>
  <c r="BK224" i="3"/>
  <c r="BJ224" i="3"/>
  <c r="BI224" i="3"/>
  <c r="BH224" i="3"/>
  <c r="BG224" i="3"/>
  <c r="BF224" i="3"/>
  <c r="BE224" i="3"/>
  <c r="BD224" i="3"/>
  <c r="BC224" i="3"/>
  <c r="BB224" i="3"/>
  <c r="BA224" i="3"/>
  <c r="AZ224" i="3"/>
  <c r="AY224" i="3"/>
  <c r="AX224" i="3"/>
  <c r="AW224" i="3"/>
  <c r="AV224" i="3"/>
  <c r="AR224" i="3"/>
  <c r="AS224" i="3" s="1"/>
  <c r="B224" i="3"/>
  <c r="CE223" i="3"/>
  <c r="CD223" i="3"/>
  <c r="CC223" i="3"/>
  <c r="CB223" i="3"/>
  <c r="CA223" i="3"/>
  <c r="BZ223" i="3"/>
  <c r="BY223" i="3"/>
  <c r="BX223" i="3"/>
  <c r="BW223" i="3"/>
  <c r="BV223" i="3"/>
  <c r="BU223" i="3"/>
  <c r="BT223" i="3"/>
  <c r="BS223" i="3"/>
  <c r="BR223" i="3"/>
  <c r="BQ223" i="3"/>
  <c r="BP223" i="3"/>
  <c r="BO223" i="3"/>
  <c r="BN223" i="3"/>
  <c r="BM223" i="3"/>
  <c r="BL223" i="3"/>
  <c r="BK223" i="3"/>
  <c r="BJ223" i="3"/>
  <c r="BI223" i="3"/>
  <c r="BH223" i="3"/>
  <c r="BG223" i="3"/>
  <c r="BF223" i="3"/>
  <c r="BE223" i="3"/>
  <c r="BD223" i="3"/>
  <c r="BC223" i="3"/>
  <c r="BB223" i="3"/>
  <c r="BA223" i="3"/>
  <c r="AZ223" i="3"/>
  <c r="AY223" i="3"/>
  <c r="AX223" i="3"/>
  <c r="AW223" i="3"/>
  <c r="AV223" i="3"/>
  <c r="B223" i="3"/>
  <c r="CE222" i="3"/>
  <c r="CD222" i="3"/>
  <c r="CC222" i="3"/>
  <c r="CB222" i="3"/>
  <c r="CA222" i="3"/>
  <c r="BZ222" i="3"/>
  <c r="BY222" i="3"/>
  <c r="BX222" i="3"/>
  <c r="BW222" i="3"/>
  <c r="BV222" i="3"/>
  <c r="BU222" i="3"/>
  <c r="BT222" i="3"/>
  <c r="BS222" i="3"/>
  <c r="BR222" i="3"/>
  <c r="BQ222" i="3"/>
  <c r="BP222" i="3"/>
  <c r="BO222" i="3"/>
  <c r="BN222" i="3"/>
  <c r="BM222" i="3"/>
  <c r="BL222" i="3"/>
  <c r="BK222" i="3"/>
  <c r="BJ222" i="3"/>
  <c r="BI222" i="3"/>
  <c r="BH222" i="3"/>
  <c r="BG222" i="3"/>
  <c r="BF222" i="3"/>
  <c r="BE222" i="3"/>
  <c r="BD222" i="3"/>
  <c r="BC222" i="3"/>
  <c r="BB222" i="3"/>
  <c r="BA222" i="3"/>
  <c r="AZ222" i="3"/>
  <c r="AY222" i="3"/>
  <c r="AX222" i="3"/>
  <c r="AW222" i="3"/>
  <c r="AV222" i="3"/>
  <c r="AR222" i="3"/>
  <c r="AS222" i="3" s="1"/>
  <c r="B222" i="3"/>
  <c r="CE221" i="3"/>
  <c r="CD221" i="3"/>
  <c r="CC221" i="3"/>
  <c r="CB221" i="3"/>
  <c r="CA221" i="3"/>
  <c r="BZ221" i="3"/>
  <c r="BY221" i="3"/>
  <c r="BX221" i="3"/>
  <c r="BW221" i="3"/>
  <c r="BV221" i="3"/>
  <c r="BU221" i="3"/>
  <c r="BT221" i="3"/>
  <c r="BS221" i="3"/>
  <c r="BR221" i="3"/>
  <c r="BQ221" i="3"/>
  <c r="BP221" i="3"/>
  <c r="BO221" i="3"/>
  <c r="BN221" i="3"/>
  <c r="BM221" i="3"/>
  <c r="BL221" i="3"/>
  <c r="BK221" i="3"/>
  <c r="BJ221" i="3"/>
  <c r="BI221" i="3"/>
  <c r="BH221" i="3"/>
  <c r="BG221" i="3"/>
  <c r="BF221" i="3"/>
  <c r="BE221" i="3"/>
  <c r="BD221" i="3"/>
  <c r="BC221" i="3"/>
  <c r="BB221" i="3"/>
  <c r="BA221" i="3"/>
  <c r="AZ221" i="3"/>
  <c r="AY221" i="3"/>
  <c r="AX221" i="3"/>
  <c r="AW221" i="3"/>
  <c r="AV221" i="3"/>
  <c r="B221" i="3"/>
  <c r="CE220" i="3"/>
  <c r="CD220" i="3"/>
  <c r="CC220" i="3"/>
  <c r="CB220" i="3"/>
  <c r="CA220" i="3"/>
  <c r="BZ220" i="3"/>
  <c r="BY220" i="3"/>
  <c r="BX220" i="3"/>
  <c r="BW220" i="3"/>
  <c r="BV220" i="3"/>
  <c r="BU220" i="3"/>
  <c r="BT220" i="3"/>
  <c r="BS220" i="3"/>
  <c r="BR220" i="3"/>
  <c r="BQ220" i="3"/>
  <c r="BP220" i="3"/>
  <c r="BO220" i="3"/>
  <c r="BN220" i="3"/>
  <c r="BM220" i="3"/>
  <c r="BL220" i="3"/>
  <c r="BK220" i="3"/>
  <c r="BJ220" i="3"/>
  <c r="BI220" i="3"/>
  <c r="BH220" i="3"/>
  <c r="BG220" i="3"/>
  <c r="BF220" i="3"/>
  <c r="BE220" i="3"/>
  <c r="BD220" i="3"/>
  <c r="BC220" i="3"/>
  <c r="BB220" i="3"/>
  <c r="BA220" i="3"/>
  <c r="AZ220" i="3"/>
  <c r="AY220" i="3"/>
  <c r="AX220" i="3"/>
  <c r="AW220" i="3"/>
  <c r="AV220" i="3"/>
  <c r="AR220" i="3"/>
  <c r="AS220" i="3" s="1"/>
  <c r="B220" i="3"/>
  <c r="CE219" i="3"/>
  <c r="CD219" i="3"/>
  <c r="CC219" i="3"/>
  <c r="CB219" i="3"/>
  <c r="CA219" i="3"/>
  <c r="BZ219" i="3"/>
  <c r="BY219" i="3"/>
  <c r="BX219" i="3"/>
  <c r="BW219" i="3"/>
  <c r="BV219" i="3"/>
  <c r="BU219" i="3"/>
  <c r="BT219" i="3"/>
  <c r="BS219" i="3"/>
  <c r="BR219" i="3"/>
  <c r="BQ219" i="3"/>
  <c r="BP219" i="3"/>
  <c r="BO219" i="3"/>
  <c r="BN219" i="3"/>
  <c r="BM219" i="3"/>
  <c r="BL219" i="3"/>
  <c r="BK219" i="3"/>
  <c r="BJ219" i="3"/>
  <c r="BI219" i="3"/>
  <c r="BH219" i="3"/>
  <c r="BG219" i="3"/>
  <c r="BF219" i="3"/>
  <c r="BE219" i="3"/>
  <c r="BD219" i="3"/>
  <c r="BC219" i="3"/>
  <c r="BB219" i="3"/>
  <c r="BA219" i="3"/>
  <c r="AZ219" i="3"/>
  <c r="AY219" i="3"/>
  <c r="AX219" i="3"/>
  <c r="AW219" i="3"/>
  <c r="AV219" i="3"/>
  <c r="AR219" i="3"/>
  <c r="AS219" i="3" s="1"/>
  <c r="B219" i="3"/>
  <c r="CE218" i="3"/>
  <c r="CD218" i="3"/>
  <c r="CC218" i="3"/>
  <c r="CB218" i="3"/>
  <c r="CA218" i="3"/>
  <c r="BZ218" i="3"/>
  <c r="BY218" i="3"/>
  <c r="BX218" i="3"/>
  <c r="BW218" i="3"/>
  <c r="BV218" i="3"/>
  <c r="BU218" i="3"/>
  <c r="BT218" i="3"/>
  <c r="BS218" i="3"/>
  <c r="BR218" i="3"/>
  <c r="BQ218" i="3"/>
  <c r="BP218" i="3"/>
  <c r="BO218" i="3"/>
  <c r="BN218" i="3"/>
  <c r="BM218" i="3"/>
  <c r="BL218" i="3"/>
  <c r="BK218" i="3"/>
  <c r="BJ218" i="3"/>
  <c r="BI218" i="3"/>
  <c r="BH218" i="3"/>
  <c r="BG218" i="3"/>
  <c r="BF218" i="3"/>
  <c r="BE218" i="3"/>
  <c r="BD218" i="3"/>
  <c r="BC218" i="3"/>
  <c r="BB218" i="3"/>
  <c r="BA218" i="3"/>
  <c r="AZ218" i="3"/>
  <c r="AY218" i="3"/>
  <c r="AX218" i="3"/>
  <c r="AW218" i="3"/>
  <c r="AV218" i="3"/>
  <c r="AR218" i="3"/>
  <c r="AS218" i="3" s="1"/>
  <c r="B218" i="3"/>
  <c r="CE217" i="3"/>
  <c r="CD217" i="3"/>
  <c r="CC217" i="3"/>
  <c r="CB217" i="3"/>
  <c r="CA217" i="3"/>
  <c r="BZ217" i="3"/>
  <c r="BY217" i="3"/>
  <c r="BX217" i="3"/>
  <c r="BW217" i="3"/>
  <c r="BV217" i="3"/>
  <c r="BU217" i="3"/>
  <c r="BT217" i="3"/>
  <c r="BS217" i="3"/>
  <c r="BR217" i="3"/>
  <c r="BQ217" i="3"/>
  <c r="BP217" i="3"/>
  <c r="BO217" i="3"/>
  <c r="BN217" i="3"/>
  <c r="BM217" i="3"/>
  <c r="BL217" i="3"/>
  <c r="BK217" i="3"/>
  <c r="BJ217" i="3"/>
  <c r="BI217" i="3"/>
  <c r="BH217" i="3"/>
  <c r="BG217" i="3"/>
  <c r="BF217" i="3"/>
  <c r="BE217" i="3"/>
  <c r="BD217" i="3"/>
  <c r="BC217" i="3"/>
  <c r="BB217" i="3"/>
  <c r="BA217" i="3"/>
  <c r="AZ217" i="3"/>
  <c r="AY217" i="3"/>
  <c r="AX217" i="3"/>
  <c r="AW217" i="3"/>
  <c r="AV217" i="3"/>
  <c r="AR217" i="3"/>
  <c r="AS217" i="3" s="1"/>
  <c r="B217" i="3"/>
  <c r="CE216" i="3"/>
  <c r="CD216" i="3"/>
  <c r="CC216" i="3"/>
  <c r="CB216" i="3"/>
  <c r="CA216" i="3"/>
  <c r="BZ216" i="3"/>
  <c r="BY216" i="3"/>
  <c r="BX216" i="3"/>
  <c r="BW216" i="3"/>
  <c r="BV216" i="3"/>
  <c r="BU216" i="3"/>
  <c r="BT216" i="3"/>
  <c r="BS216" i="3"/>
  <c r="BR216" i="3"/>
  <c r="BQ216" i="3"/>
  <c r="BP216" i="3"/>
  <c r="BO216" i="3"/>
  <c r="BN216" i="3"/>
  <c r="BM216" i="3"/>
  <c r="BL216" i="3"/>
  <c r="BK216" i="3"/>
  <c r="BJ216" i="3"/>
  <c r="BI216" i="3"/>
  <c r="BH216" i="3"/>
  <c r="BG216" i="3"/>
  <c r="BF216" i="3"/>
  <c r="BE216" i="3"/>
  <c r="BD216" i="3"/>
  <c r="BC216" i="3"/>
  <c r="BB216" i="3"/>
  <c r="BA216" i="3"/>
  <c r="AZ216" i="3"/>
  <c r="AY216" i="3"/>
  <c r="AX216" i="3"/>
  <c r="AW216" i="3"/>
  <c r="AV216" i="3"/>
  <c r="AR216" i="3"/>
  <c r="AS216" i="3" s="1"/>
  <c r="B216" i="3"/>
  <c r="CE215" i="3"/>
  <c r="CD215" i="3"/>
  <c r="CC215" i="3"/>
  <c r="CB215" i="3"/>
  <c r="CA215" i="3"/>
  <c r="BZ215" i="3"/>
  <c r="BY215" i="3"/>
  <c r="BX215" i="3"/>
  <c r="BW215" i="3"/>
  <c r="BV215" i="3"/>
  <c r="BU215" i="3"/>
  <c r="BT215" i="3"/>
  <c r="BS215" i="3"/>
  <c r="BR215" i="3"/>
  <c r="BQ215" i="3"/>
  <c r="BP215" i="3"/>
  <c r="BO215" i="3"/>
  <c r="BN215" i="3"/>
  <c r="BM215" i="3"/>
  <c r="BL215" i="3"/>
  <c r="BK215" i="3"/>
  <c r="BJ215" i="3"/>
  <c r="BI215" i="3"/>
  <c r="BH215" i="3"/>
  <c r="BG215" i="3"/>
  <c r="BF215" i="3"/>
  <c r="BE215" i="3"/>
  <c r="BD215" i="3"/>
  <c r="BC215" i="3"/>
  <c r="BB215" i="3"/>
  <c r="BA215" i="3"/>
  <c r="AZ215" i="3"/>
  <c r="AY215" i="3"/>
  <c r="AX215" i="3"/>
  <c r="AW215" i="3"/>
  <c r="AV215" i="3"/>
  <c r="B215" i="3"/>
  <c r="CE214" i="3"/>
  <c r="CD214" i="3"/>
  <c r="CC214" i="3"/>
  <c r="CB214" i="3"/>
  <c r="CA214" i="3"/>
  <c r="BZ214" i="3"/>
  <c r="BY214" i="3"/>
  <c r="BX214" i="3"/>
  <c r="BW214" i="3"/>
  <c r="BV214" i="3"/>
  <c r="BU214" i="3"/>
  <c r="BT214" i="3"/>
  <c r="BS214" i="3"/>
  <c r="BR214" i="3"/>
  <c r="BQ214" i="3"/>
  <c r="BP214" i="3"/>
  <c r="BO214" i="3"/>
  <c r="BN214" i="3"/>
  <c r="BM214" i="3"/>
  <c r="BL214" i="3"/>
  <c r="BK214" i="3"/>
  <c r="BJ214" i="3"/>
  <c r="BI214" i="3"/>
  <c r="BH214" i="3"/>
  <c r="BG214" i="3"/>
  <c r="BF214" i="3"/>
  <c r="BE214" i="3"/>
  <c r="BD214" i="3"/>
  <c r="BC214" i="3"/>
  <c r="BB214" i="3"/>
  <c r="BA214" i="3"/>
  <c r="AZ214" i="3"/>
  <c r="AY214" i="3"/>
  <c r="AX214" i="3"/>
  <c r="AW214" i="3"/>
  <c r="AV214" i="3"/>
  <c r="B214" i="3"/>
  <c r="CE213" i="3"/>
  <c r="CD213" i="3"/>
  <c r="CC213" i="3"/>
  <c r="CB213" i="3"/>
  <c r="CA213" i="3"/>
  <c r="BZ213" i="3"/>
  <c r="BY213" i="3"/>
  <c r="BX213" i="3"/>
  <c r="BW213" i="3"/>
  <c r="BV213" i="3"/>
  <c r="BU213" i="3"/>
  <c r="BT213" i="3"/>
  <c r="BS213" i="3"/>
  <c r="BR213" i="3"/>
  <c r="BQ213" i="3"/>
  <c r="BP213" i="3"/>
  <c r="BO213" i="3"/>
  <c r="BN213" i="3"/>
  <c r="BM213" i="3"/>
  <c r="BL213" i="3"/>
  <c r="BK213" i="3"/>
  <c r="BJ213" i="3"/>
  <c r="BI213" i="3"/>
  <c r="BH213" i="3"/>
  <c r="BG213" i="3"/>
  <c r="BF213" i="3"/>
  <c r="BE213" i="3"/>
  <c r="BD213" i="3"/>
  <c r="BC213" i="3"/>
  <c r="BB213" i="3"/>
  <c r="BA213" i="3"/>
  <c r="AZ213" i="3"/>
  <c r="AY213" i="3"/>
  <c r="AX213" i="3"/>
  <c r="AW213" i="3"/>
  <c r="AV213" i="3"/>
  <c r="B213" i="3"/>
  <c r="CE212" i="3"/>
  <c r="CD212" i="3"/>
  <c r="CC212" i="3"/>
  <c r="CB212" i="3"/>
  <c r="CA212" i="3"/>
  <c r="BZ212" i="3"/>
  <c r="BY212" i="3"/>
  <c r="BX212" i="3"/>
  <c r="BW212" i="3"/>
  <c r="BV212" i="3"/>
  <c r="BU212" i="3"/>
  <c r="BT212" i="3"/>
  <c r="BS212" i="3"/>
  <c r="BR212" i="3"/>
  <c r="BQ212" i="3"/>
  <c r="BP212" i="3"/>
  <c r="BO212" i="3"/>
  <c r="BN212" i="3"/>
  <c r="BM212" i="3"/>
  <c r="BL212" i="3"/>
  <c r="BK212" i="3"/>
  <c r="BJ212" i="3"/>
  <c r="BI212" i="3"/>
  <c r="BH212" i="3"/>
  <c r="BG212" i="3"/>
  <c r="BF212" i="3"/>
  <c r="BE212" i="3"/>
  <c r="BD212" i="3"/>
  <c r="BC212" i="3"/>
  <c r="BB212" i="3"/>
  <c r="BA212" i="3"/>
  <c r="AZ212" i="3"/>
  <c r="AY212" i="3"/>
  <c r="AX212" i="3"/>
  <c r="AW212" i="3"/>
  <c r="AV212" i="3"/>
  <c r="B212" i="3"/>
  <c r="CE211" i="3"/>
  <c r="CD211" i="3"/>
  <c r="CC211" i="3"/>
  <c r="CB211" i="3"/>
  <c r="CA211" i="3"/>
  <c r="BZ211" i="3"/>
  <c r="BY211" i="3"/>
  <c r="BX211" i="3"/>
  <c r="BW211" i="3"/>
  <c r="BV211" i="3"/>
  <c r="BU211" i="3"/>
  <c r="BT211" i="3"/>
  <c r="BS211" i="3"/>
  <c r="BR211" i="3"/>
  <c r="BQ211" i="3"/>
  <c r="BP211" i="3"/>
  <c r="BO211" i="3"/>
  <c r="BN211" i="3"/>
  <c r="BM211" i="3"/>
  <c r="BL211" i="3"/>
  <c r="BK211" i="3"/>
  <c r="BJ211" i="3"/>
  <c r="BI211" i="3"/>
  <c r="BH211" i="3"/>
  <c r="BG211" i="3"/>
  <c r="BF211" i="3"/>
  <c r="BE211" i="3"/>
  <c r="BD211" i="3"/>
  <c r="BC211" i="3"/>
  <c r="BB211" i="3"/>
  <c r="BA211" i="3"/>
  <c r="AZ211" i="3"/>
  <c r="AY211" i="3"/>
  <c r="AX211" i="3"/>
  <c r="AW211" i="3"/>
  <c r="AV211" i="3"/>
  <c r="B211" i="3"/>
  <c r="CE210" i="3"/>
  <c r="CD210" i="3"/>
  <c r="CC210" i="3"/>
  <c r="CB210" i="3"/>
  <c r="CA210" i="3"/>
  <c r="BZ210" i="3"/>
  <c r="BY210" i="3"/>
  <c r="BX210" i="3"/>
  <c r="BW210" i="3"/>
  <c r="BV210" i="3"/>
  <c r="BU210" i="3"/>
  <c r="BT210" i="3"/>
  <c r="BS210" i="3"/>
  <c r="BR210" i="3"/>
  <c r="BQ210" i="3"/>
  <c r="BP210" i="3"/>
  <c r="BO210" i="3"/>
  <c r="BN210" i="3"/>
  <c r="BM210" i="3"/>
  <c r="BL210" i="3"/>
  <c r="BK210" i="3"/>
  <c r="BJ210" i="3"/>
  <c r="BI210" i="3"/>
  <c r="BH210" i="3"/>
  <c r="BG210" i="3"/>
  <c r="BF210" i="3"/>
  <c r="BE210" i="3"/>
  <c r="BD210" i="3"/>
  <c r="BC210" i="3"/>
  <c r="BB210" i="3"/>
  <c r="BA210" i="3"/>
  <c r="AZ210" i="3"/>
  <c r="AY210" i="3"/>
  <c r="AX210" i="3"/>
  <c r="AW210" i="3"/>
  <c r="AV210" i="3"/>
  <c r="B210" i="3"/>
  <c r="CE209" i="3"/>
  <c r="CD209" i="3"/>
  <c r="CC209" i="3"/>
  <c r="CB209" i="3"/>
  <c r="CA209" i="3"/>
  <c r="BZ209" i="3"/>
  <c r="BY209" i="3"/>
  <c r="BX209" i="3"/>
  <c r="BW209" i="3"/>
  <c r="BV209" i="3"/>
  <c r="BU209" i="3"/>
  <c r="BT209" i="3"/>
  <c r="BS209" i="3"/>
  <c r="BR209" i="3"/>
  <c r="BQ209" i="3"/>
  <c r="BP209" i="3"/>
  <c r="BO209" i="3"/>
  <c r="BN209" i="3"/>
  <c r="BM209" i="3"/>
  <c r="BL209" i="3"/>
  <c r="BK209" i="3"/>
  <c r="BJ209" i="3"/>
  <c r="BI209" i="3"/>
  <c r="BH209" i="3"/>
  <c r="BG209" i="3"/>
  <c r="BF209" i="3"/>
  <c r="BE209" i="3"/>
  <c r="BD209" i="3"/>
  <c r="BC209" i="3"/>
  <c r="BB209" i="3"/>
  <c r="BA209" i="3"/>
  <c r="AZ209" i="3"/>
  <c r="AY209" i="3"/>
  <c r="AX209" i="3"/>
  <c r="AW209" i="3"/>
  <c r="AV209" i="3"/>
  <c r="B209" i="3"/>
  <c r="CE208" i="3"/>
  <c r="CD208" i="3"/>
  <c r="CC208" i="3"/>
  <c r="CB208" i="3"/>
  <c r="CA208" i="3"/>
  <c r="BZ208" i="3"/>
  <c r="BY208" i="3"/>
  <c r="BX208" i="3"/>
  <c r="BW208" i="3"/>
  <c r="BV208" i="3"/>
  <c r="BU208" i="3"/>
  <c r="BT208" i="3"/>
  <c r="BS208" i="3"/>
  <c r="BR208" i="3"/>
  <c r="BQ208" i="3"/>
  <c r="BP208" i="3"/>
  <c r="BO208" i="3"/>
  <c r="BN208" i="3"/>
  <c r="BM208" i="3"/>
  <c r="BL208" i="3"/>
  <c r="BK208" i="3"/>
  <c r="BJ208" i="3"/>
  <c r="BI208" i="3"/>
  <c r="BH208" i="3"/>
  <c r="BG208" i="3"/>
  <c r="BF208" i="3"/>
  <c r="BE208" i="3"/>
  <c r="BD208" i="3"/>
  <c r="BC208" i="3"/>
  <c r="BB208" i="3"/>
  <c r="BA208" i="3"/>
  <c r="AZ208" i="3"/>
  <c r="AY208" i="3"/>
  <c r="AX208" i="3"/>
  <c r="AW208" i="3"/>
  <c r="AV208" i="3"/>
  <c r="B208" i="3"/>
  <c r="CE207" i="3"/>
  <c r="CD207" i="3"/>
  <c r="CC207" i="3"/>
  <c r="CB207" i="3"/>
  <c r="CA207" i="3"/>
  <c r="BZ207" i="3"/>
  <c r="BY207" i="3"/>
  <c r="BX207" i="3"/>
  <c r="BW207" i="3"/>
  <c r="BV207" i="3"/>
  <c r="BU207" i="3"/>
  <c r="BT207" i="3"/>
  <c r="BS207" i="3"/>
  <c r="BR207" i="3"/>
  <c r="BQ207" i="3"/>
  <c r="BP207" i="3"/>
  <c r="BO207" i="3"/>
  <c r="BN207" i="3"/>
  <c r="BM207" i="3"/>
  <c r="BL207" i="3"/>
  <c r="BK207" i="3"/>
  <c r="BJ207" i="3"/>
  <c r="BI207" i="3"/>
  <c r="BH207" i="3"/>
  <c r="BG207" i="3"/>
  <c r="BF207" i="3"/>
  <c r="BE207" i="3"/>
  <c r="BD207" i="3"/>
  <c r="BC207" i="3"/>
  <c r="BB207" i="3"/>
  <c r="BA207" i="3"/>
  <c r="AZ207" i="3"/>
  <c r="AY207" i="3"/>
  <c r="AX207" i="3"/>
  <c r="AW207" i="3"/>
  <c r="AV207" i="3"/>
  <c r="B207" i="3"/>
  <c r="CE206" i="3"/>
  <c r="CD206" i="3"/>
  <c r="CC206" i="3"/>
  <c r="CB206" i="3"/>
  <c r="CA206" i="3"/>
  <c r="BZ206" i="3"/>
  <c r="BY206" i="3"/>
  <c r="BX206" i="3"/>
  <c r="BW206" i="3"/>
  <c r="BV206" i="3"/>
  <c r="BU206" i="3"/>
  <c r="BT206" i="3"/>
  <c r="BS206" i="3"/>
  <c r="BR206" i="3"/>
  <c r="BQ206" i="3"/>
  <c r="BP206" i="3"/>
  <c r="BO206" i="3"/>
  <c r="BN206" i="3"/>
  <c r="BM206" i="3"/>
  <c r="BL206" i="3"/>
  <c r="BK206" i="3"/>
  <c r="BJ206" i="3"/>
  <c r="BI206" i="3"/>
  <c r="BH206" i="3"/>
  <c r="BG206" i="3"/>
  <c r="BF206" i="3"/>
  <c r="BE206" i="3"/>
  <c r="BD206" i="3"/>
  <c r="BC206" i="3"/>
  <c r="BB206" i="3"/>
  <c r="BA206" i="3"/>
  <c r="AZ206" i="3"/>
  <c r="AY206" i="3"/>
  <c r="AX206" i="3"/>
  <c r="AW206" i="3"/>
  <c r="AV206" i="3"/>
  <c r="B206" i="3"/>
  <c r="CE205" i="3"/>
  <c r="CD205" i="3"/>
  <c r="CC205" i="3"/>
  <c r="CB205" i="3"/>
  <c r="CA205" i="3"/>
  <c r="BZ205" i="3"/>
  <c r="BY205" i="3"/>
  <c r="BX205" i="3"/>
  <c r="BW205" i="3"/>
  <c r="BV205" i="3"/>
  <c r="BU205" i="3"/>
  <c r="BT205" i="3"/>
  <c r="BS205" i="3"/>
  <c r="BR205" i="3"/>
  <c r="BQ205" i="3"/>
  <c r="BP205" i="3"/>
  <c r="BO205" i="3"/>
  <c r="BN205" i="3"/>
  <c r="BM205" i="3"/>
  <c r="BL205" i="3"/>
  <c r="BK205" i="3"/>
  <c r="BJ205" i="3"/>
  <c r="BI205" i="3"/>
  <c r="BH205" i="3"/>
  <c r="BG205" i="3"/>
  <c r="BF205" i="3"/>
  <c r="BE205" i="3"/>
  <c r="BD205" i="3"/>
  <c r="BC205" i="3"/>
  <c r="BB205" i="3"/>
  <c r="BA205" i="3"/>
  <c r="AZ205" i="3"/>
  <c r="AY205" i="3"/>
  <c r="AX205" i="3"/>
  <c r="AW205" i="3"/>
  <c r="AV205" i="3"/>
  <c r="B205" i="3"/>
  <c r="CE204" i="3"/>
  <c r="CD204" i="3"/>
  <c r="CC204" i="3"/>
  <c r="CB204" i="3"/>
  <c r="CA204" i="3"/>
  <c r="BZ204" i="3"/>
  <c r="BY204" i="3"/>
  <c r="BX204" i="3"/>
  <c r="BW204" i="3"/>
  <c r="BV204" i="3"/>
  <c r="BU204" i="3"/>
  <c r="BT204" i="3"/>
  <c r="BS204" i="3"/>
  <c r="BR204" i="3"/>
  <c r="BQ204" i="3"/>
  <c r="BP204" i="3"/>
  <c r="BO204" i="3"/>
  <c r="BN204" i="3"/>
  <c r="BM204" i="3"/>
  <c r="BL204" i="3"/>
  <c r="BK204" i="3"/>
  <c r="BJ204" i="3"/>
  <c r="BI204" i="3"/>
  <c r="BH204" i="3"/>
  <c r="BG204" i="3"/>
  <c r="BF204" i="3"/>
  <c r="BE204" i="3"/>
  <c r="BD204" i="3"/>
  <c r="BC204" i="3"/>
  <c r="BB204" i="3"/>
  <c r="BA204" i="3"/>
  <c r="AZ204" i="3"/>
  <c r="AY204" i="3"/>
  <c r="AX204" i="3"/>
  <c r="AW204" i="3"/>
  <c r="AV204" i="3"/>
  <c r="B204" i="3"/>
  <c r="CE203" i="3"/>
  <c r="CD203" i="3"/>
  <c r="CC203" i="3"/>
  <c r="CB203" i="3"/>
  <c r="CA203" i="3"/>
  <c r="BZ203" i="3"/>
  <c r="BY203" i="3"/>
  <c r="BX203" i="3"/>
  <c r="BW203" i="3"/>
  <c r="BV203" i="3"/>
  <c r="BU203" i="3"/>
  <c r="BT203" i="3"/>
  <c r="BS203" i="3"/>
  <c r="BR203" i="3"/>
  <c r="BQ203" i="3"/>
  <c r="BP203" i="3"/>
  <c r="BO203" i="3"/>
  <c r="BN203" i="3"/>
  <c r="BM203" i="3"/>
  <c r="BL203" i="3"/>
  <c r="BK203" i="3"/>
  <c r="BJ203" i="3"/>
  <c r="BI203" i="3"/>
  <c r="BH203" i="3"/>
  <c r="BG203" i="3"/>
  <c r="BF203" i="3"/>
  <c r="BE203" i="3"/>
  <c r="BD203" i="3"/>
  <c r="BC203" i="3"/>
  <c r="BB203" i="3"/>
  <c r="BA203" i="3"/>
  <c r="AZ203" i="3"/>
  <c r="AY203" i="3"/>
  <c r="AX203" i="3"/>
  <c r="AW203" i="3"/>
  <c r="AV203" i="3"/>
  <c r="B203" i="3"/>
  <c r="CE202" i="3"/>
  <c r="CD202" i="3"/>
  <c r="CC202" i="3"/>
  <c r="CB202" i="3"/>
  <c r="CA202" i="3"/>
  <c r="BZ202" i="3"/>
  <c r="BY202" i="3"/>
  <c r="BX202" i="3"/>
  <c r="BW202" i="3"/>
  <c r="BV202" i="3"/>
  <c r="BU202" i="3"/>
  <c r="BT202" i="3"/>
  <c r="BS202" i="3"/>
  <c r="BR202" i="3"/>
  <c r="BQ202" i="3"/>
  <c r="BP202" i="3"/>
  <c r="BO202" i="3"/>
  <c r="BN202" i="3"/>
  <c r="BM202" i="3"/>
  <c r="BL202" i="3"/>
  <c r="BK202" i="3"/>
  <c r="BJ202" i="3"/>
  <c r="BI202" i="3"/>
  <c r="BH202" i="3"/>
  <c r="BG202" i="3"/>
  <c r="BF202" i="3"/>
  <c r="BE202" i="3"/>
  <c r="BD202" i="3"/>
  <c r="BC202" i="3"/>
  <c r="BB202" i="3"/>
  <c r="BA202" i="3"/>
  <c r="AZ202" i="3"/>
  <c r="AY202" i="3"/>
  <c r="AX202" i="3"/>
  <c r="AW202" i="3"/>
  <c r="AV202" i="3"/>
  <c r="B202" i="3"/>
  <c r="CE269" i="3"/>
  <c r="CD269" i="3"/>
  <c r="CC269" i="3"/>
  <c r="CB269" i="3"/>
  <c r="CA269" i="3"/>
  <c r="BZ269" i="3"/>
  <c r="BY269" i="3"/>
  <c r="BX269" i="3"/>
  <c r="BW269" i="3"/>
  <c r="BV269" i="3"/>
  <c r="BU269" i="3"/>
  <c r="BT269" i="3"/>
  <c r="BS269" i="3"/>
  <c r="BR269" i="3"/>
  <c r="BQ269" i="3"/>
  <c r="BP269" i="3"/>
  <c r="BO269" i="3"/>
  <c r="BN269" i="3"/>
  <c r="BM269" i="3"/>
  <c r="BL269" i="3"/>
  <c r="BK269" i="3"/>
  <c r="BJ269" i="3"/>
  <c r="BI269" i="3"/>
  <c r="BH269" i="3"/>
  <c r="BG269" i="3"/>
  <c r="BF269" i="3"/>
  <c r="BE269" i="3"/>
  <c r="BD269" i="3"/>
  <c r="BC269" i="3"/>
  <c r="BB269" i="3"/>
  <c r="BA269" i="3"/>
  <c r="AZ269" i="3"/>
  <c r="AY269" i="3"/>
  <c r="AX269" i="3"/>
  <c r="AW269" i="3"/>
  <c r="AV269" i="3"/>
  <c r="AR269" i="3"/>
  <c r="AS269" i="3" s="1"/>
  <c r="B269" i="3"/>
  <c r="CE268" i="3"/>
  <c r="CD268" i="3"/>
  <c r="CC268" i="3"/>
  <c r="CB268" i="3"/>
  <c r="CA268" i="3"/>
  <c r="BZ268" i="3"/>
  <c r="BY268" i="3"/>
  <c r="BX268" i="3"/>
  <c r="BW268" i="3"/>
  <c r="BV268" i="3"/>
  <c r="BU268" i="3"/>
  <c r="BT268" i="3"/>
  <c r="BS268" i="3"/>
  <c r="BR268" i="3"/>
  <c r="BQ268" i="3"/>
  <c r="BP268" i="3"/>
  <c r="BO268" i="3"/>
  <c r="BN268" i="3"/>
  <c r="BM268" i="3"/>
  <c r="BL268" i="3"/>
  <c r="BK268" i="3"/>
  <c r="BJ268" i="3"/>
  <c r="BI268" i="3"/>
  <c r="BH268" i="3"/>
  <c r="BG268" i="3"/>
  <c r="BF268" i="3"/>
  <c r="BE268" i="3"/>
  <c r="BD268" i="3"/>
  <c r="BC268" i="3"/>
  <c r="BB268" i="3"/>
  <c r="BA268" i="3"/>
  <c r="AZ268" i="3"/>
  <c r="AY268" i="3"/>
  <c r="AX268" i="3"/>
  <c r="AW268" i="3"/>
  <c r="AV268" i="3"/>
  <c r="AR268" i="3"/>
  <c r="AS268" i="3" s="1"/>
  <c r="B268" i="3"/>
  <c r="CE267" i="3"/>
  <c r="CD267" i="3"/>
  <c r="CC267" i="3"/>
  <c r="CB267" i="3"/>
  <c r="CA267" i="3"/>
  <c r="BZ267" i="3"/>
  <c r="BY267" i="3"/>
  <c r="BX267" i="3"/>
  <c r="BW267" i="3"/>
  <c r="BV267" i="3"/>
  <c r="BU267" i="3"/>
  <c r="BT267" i="3"/>
  <c r="BS267" i="3"/>
  <c r="BR267" i="3"/>
  <c r="BQ267" i="3"/>
  <c r="BP267" i="3"/>
  <c r="BO267" i="3"/>
  <c r="BN267" i="3"/>
  <c r="BM267" i="3"/>
  <c r="BL267" i="3"/>
  <c r="BK267" i="3"/>
  <c r="BJ267" i="3"/>
  <c r="BI267" i="3"/>
  <c r="BH267" i="3"/>
  <c r="BG267" i="3"/>
  <c r="BF267" i="3"/>
  <c r="BE267" i="3"/>
  <c r="BD267" i="3"/>
  <c r="BC267" i="3"/>
  <c r="BB267" i="3"/>
  <c r="BA267" i="3"/>
  <c r="AZ267" i="3"/>
  <c r="AY267" i="3"/>
  <c r="AX267" i="3"/>
  <c r="AW267" i="3"/>
  <c r="AV267" i="3"/>
  <c r="AR267" i="3"/>
  <c r="AS267" i="3" s="1"/>
  <c r="B267" i="3"/>
  <c r="CE266" i="3"/>
  <c r="CD266" i="3"/>
  <c r="CC266" i="3"/>
  <c r="CB266" i="3"/>
  <c r="CA266" i="3"/>
  <c r="BZ266" i="3"/>
  <c r="BY266" i="3"/>
  <c r="BX266" i="3"/>
  <c r="BW266" i="3"/>
  <c r="BV266" i="3"/>
  <c r="BU266" i="3"/>
  <c r="BT266" i="3"/>
  <c r="BS266" i="3"/>
  <c r="BR266" i="3"/>
  <c r="BQ266" i="3"/>
  <c r="BP266" i="3"/>
  <c r="BO266" i="3"/>
  <c r="BN266" i="3"/>
  <c r="BM266" i="3"/>
  <c r="BL266" i="3"/>
  <c r="BK266" i="3"/>
  <c r="BJ266" i="3"/>
  <c r="BI266" i="3"/>
  <c r="BH266" i="3"/>
  <c r="BG266" i="3"/>
  <c r="BF266" i="3"/>
  <c r="BE266" i="3"/>
  <c r="BD266" i="3"/>
  <c r="BC266" i="3"/>
  <c r="BB266" i="3"/>
  <c r="BA266" i="3"/>
  <c r="AZ266" i="3"/>
  <c r="AY266" i="3"/>
  <c r="AX266" i="3"/>
  <c r="AW266" i="3"/>
  <c r="AV266" i="3"/>
  <c r="AR118" i="3" s="1"/>
  <c r="AS118" i="3" s="1"/>
  <c r="AR266" i="3"/>
  <c r="AS266" i="3" s="1"/>
  <c r="B266" i="3"/>
  <c r="CE265" i="3"/>
  <c r="CD265" i="3"/>
  <c r="CC265" i="3"/>
  <c r="CB265" i="3"/>
  <c r="CA265" i="3"/>
  <c r="BZ265" i="3"/>
  <c r="BY265" i="3"/>
  <c r="BX265" i="3"/>
  <c r="BW265" i="3"/>
  <c r="BV265" i="3"/>
  <c r="BU265" i="3"/>
  <c r="BT265" i="3"/>
  <c r="BS265" i="3"/>
  <c r="BR265" i="3"/>
  <c r="BQ265" i="3"/>
  <c r="BP265" i="3"/>
  <c r="BO265" i="3"/>
  <c r="BN265" i="3"/>
  <c r="BM265" i="3"/>
  <c r="BL265" i="3"/>
  <c r="BK265" i="3"/>
  <c r="BJ265" i="3"/>
  <c r="BI265" i="3"/>
  <c r="BH265" i="3"/>
  <c r="BG265" i="3"/>
  <c r="BF265" i="3"/>
  <c r="BE265" i="3"/>
  <c r="BD265" i="3"/>
  <c r="BC265" i="3"/>
  <c r="BB265" i="3"/>
  <c r="BA265" i="3"/>
  <c r="AZ265" i="3"/>
  <c r="AY265" i="3"/>
  <c r="AX265" i="3"/>
  <c r="AW265" i="3"/>
  <c r="AV265" i="3"/>
  <c r="AR117" i="3" s="1"/>
  <c r="AS117" i="3" s="1"/>
  <c r="AR265" i="3"/>
  <c r="AS265" i="3" s="1"/>
  <c r="B265" i="3"/>
  <c r="CE264" i="3"/>
  <c r="CD264" i="3"/>
  <c r="CC264" i="3"/>
  <c r="CB264" i="3"/>
  <c r="CA264" i="3"/>
  <c r="BZ264" i="3"/>
  <c r="BY264" i="3"/>
  <c r="BX264" i="3"/>
  <c r="BW264" i="3"/>
  <c r="BV264" i="3"/>
  <c r="BU264" i="3"/>
  <c r="BT264" i="3"/>
  <c r="BS264" i="3"/>
  <c r="BR264" i="3"/>
  <c r="BQ264" i="3"/>
  <c r="BP264" i="3"/>
  <c r="BO264" i="3"/>
  <c r="BN264" i="3"/>
  <c r="BM264" i="3"/>
  <c r="BL264" i="3"/>
  <c r="BK264" i="3"/>
  <c r="BJ264" i="3"/>
  <c r="BI264" i="3"/>
  <c r="BH264" i="3"/>
  <c r="BG264" i="3"/>
  <c r="BF264" i="3"/>
  <c r="BE264" i="3"/>
  <c r="BD264" i="3"/>
  <c r="BC264" i="3"/>
  <c r="BB264" i="3"/>
  <c r="BA264" i="3"/>
  <c r="AZ264" i="3"/>
  <c r="AY264" i="3"/>
  <c r="AX264" i="3"/>
  <c r="AW264" i="3"/>
  <c r="AV264" i="3"/>
  <c r="B264" i="3"/>
  <c r="CE263" i="3"/>
  <c r="CD263" i="3"/>
  <c r="CC263" i="3"/>
  <c r="CB263" i="3"/>
  <c r="CA263" i="3"/>
  <c r="BZ263" i="3"/>
  <c r="BY263" i="3"/>
  <c r="BX263" i="3"/>
  <c r="BW263" i="3"/>
  <c r="BV263" i="3"/>
  <c r="BU263" i="3"/>
  <c r="BT263" i="3"/>
  <c r="BS263" i="3"/>
  <c r="BR263" i="3"/>
  <c r="BQ263" i="3"/>
  <c r="BP263" i="3"/>
  <c r="BO263" i="3"/>
  <c r="BN263" i="3"/>
  <c r="BM263" i="3"/>
  <c r="BL263" i="3"/>
  <c r="BK263" i="3"/>
  <c r="BJ263" i="3"/>
  <c r="BI263" i="3"/>
  <c r="BH263" i="3"/>
  <c r="BG263" i="3"/>
  <c r="BF263" i="3"/>
  <c r="BE263" i="3"/>
  <c r="BD263" i="3"/>
  <c r="BC263" i="3"/>
  <c r="BB263" i="3"/>
  <c r="BA263" i="3"/>
  <c r="AZ263" i="3"/>
  <c r="AY263" i="3"/>
  <c r="AX263" i="3"/>
  <c r="AW263" i="3"/>
  <c r="AV263" i="3"/>
  <c r="AR263" i="3"/>
  <c r="AS263" i="3" s="1"/>
  <c r="B263" i="3"/>
  <c r="CE262" i="3"/>
  <c r="CD262" i="3"/>
  <c r="CC262" i="3"/>
  <c r="CB262" i="3"/>
  <c r="CA262" i="3"/>
  <c r="BZ262" i="3"/>
  <c r="BY262" i="3"/>
  <c r="BX262" i="3"/>
  <c r="BW262" i="3"/>
  <c r="BV262" i="3"/>
  <c r="BU262" i="3"/>
  <c r="BT262" i="3"/>
  <c r="BS262" i="3"/>
  <c r="BR262" i="3"/>
  <c r="BQ262" i="3"/>
  <c r="BP262" i="3"/>
  <c r="BO262" i="3"/>
  <c r="BN262" i="3"/>
  <c r="BM262" i="3"/>
  <c r="BL262" i="3"/>
  <c r="BK262" i="3"/>
  <c r="BJ262" i="3"/>
  <c r="BI262" i="3"/>
  <c r="BH262" i="3"/>
  <c r="BG262" i="3"/>
  <c r="BF262" i="3"/>
  <c r="BE262" i="3"/>
  <c r="BD262" i="3"/>
  <c r="BC262" i="3"/>
  <c r="BB262" i="3"/>
  <c r="BA262" i="3"/>
  <c r="AZ262" i="3"/>
  <c r="AY262" i="3"/>
  <c r="AX262" i="3"/>
  <c r="AW262" i="3"/>
  <c r="AV262" i="3"/>
  <c r="AR262" i="3"/>
  <c r="AS262" i="3" s="1"/>
  <c r="B262" i="3"/>
  <c r="CE261" i="3"/>
  <c r="CD261" i="3"/>
  <c r="CC261" i="3"/>
  <c r="CB261" i="3"/>
  <c r="CA261" i="3"/>
  <c r="BZ261" i="3"/>
  <c r="BY261" i="3"/>
  <c r="BX261" i="3"/>
  <c r="BW261" i="3"/>
  <c r="BV261" i="3"/>
  <c r="BU261" i="3"/>
  <c r="BT261" i="3"/>
  <c r="BS261" i="3"/>
  <c r="BR261" i="3"/>
  <c r="BQ261" i="3"/>
  <c r="BP261" i="3"/>
  <c r="BO261" i="3"/>
  <c r="BN261" i="3"/>
  <c r="BM261" i="3"/>
  <c r="BL261" i="3"/>
  <c r="BK261" i="3"/>
  <c r="BJ261" i="3"/>
  <c r="BI261" i="3"/>
  <c r="BH261" i="3"/>
  <c r="BG261" i="3"/>
  <c r="BF261" i="3"/>
  <c r="BE261" i="3"/>
  <c r="BD261" i="3"/>
  <c r="BC261" i="3"/>
  <c r="BB261" i="3"/>
  <c r="BA261" i="3"/>
  <c r="AZ261" i="3"/>
  <c r="AY261" i="3"/>
  <c r="AX261" i="3"/>
  <c r="AW261" i="3"/>
  <c r="AV261" i="3"/>
  <c r="AR261" i="3"/>
  <c r="AS261" i="3" s="1"/>
  <c r="B261" i="3"/>
  <c r="CE260" i="3"/>
  <c r="CD260" i="3"/>
  <c r="CC260" i="3"/>
  <c r="CB260" i="3"/>
  <c r="CA260" i="3"/>
  <c r="BZ260" i="3"/>
  <c r="BY260" i="3"/>
  <c r="BX260" i="3"/>
  <c r="BW260" i="3"/>
  <c r="BV260" i="3"/>
  <c r="BU260" i="3"/>
  <c r="BT260" i="3"/>
  <c r="BS260" i="3"/>
  <c r="BR260" i="3"/>
  <c r="BQ260" i="3"/>
  <c r="BP260" i="3"/>
  <c r="BO260" i="3"/>
  <c r="BN260" i="3"/>
  <c r="BM260" i="3"/>
  <c r="BL260" i="3"/>
  <c r="BK260" i="3"/>
  <c r="BJ260" i="3"/>
  <c r="BI260" i="3"/>
  <c r="BH260" i="3"/>
  <c r="BG260" i="3"/>
  <c r="BF260" i="3"/>
  <c r="BE260" i="3"/>
  <c r="BD260" i="3"/>
  <c r="BC260" i="3"/>
  <c r="BB260" i="3"/>
  <c r="BA260" i="3"/>
  <c r="AZ260" i="3"/>
  <c r="AY260" i="3"/>
  <c r="AX260" i="3"/>
  <c r="AW260" i="3"/>
  <c r="AV260" i="3"/>
  <c r="AR260" i="3"/>
  <c r="AS260" i="3" s="1"/>
  <c r="B260" i="3"/>
  <c r="CE259" i="3"/>
  <c r="CD259" i="3"/>
  <c r="CC259" i="3"/>
  <c r="CB259" i="3"/>
  <c r="CA259" i="3"/>
  <c r="BZ259" i="3"/>
  <c r="BY259" i="3"/>
  <c r="BX259" i="3"/>
  <c r="BW259" i="3"/>
  <c r="BV259" i="3"/>
  <c r="BU259" i="3"/>
  <c r="BT259" i="3"/>
  <c r="BS259" i="3"/>
  <c r="BR259" i="3"/>
  <c r="BQ259" i="3"/>
  <c r="BP259" i="3"/>
  <c r="BO259" i="3"/>
  <c r="BN259" i="3"/>
  <c r="BM259" i="3"/>
  <c r="BL259" i="3"/>
  <c r="BK259" i="3"/>
  <c r="BJ259" i="3"/>
  <c r="BI259" i="3"/>
  <c r="BH259" i="3"/>
  <c r="BG259" i="3"/>
  <c r="BF259" i="3"/>
  <c r="BE259" i="3"/>
  <c r="BD259" i="3"/>
  <c r="BC259" i="3"/>
  <c r="BB259" i="3"/>
  <c r="BA259" i="3"/>
  <c r="AZ259" i="3"/>
  <c r="AY259" i="3"/>
  <c r="AX259" i="3"/>
  <c r="AW259" i="3"/>
  <c r="AV259" i="3"/>
  <c r="AR259" i="3"/>
  <c r="AS259" i="3" s="1"/>
  <c r="B259" i="3"/>
  <c r="CE258" i="3"/>
  <c r="CD258" i="3"/>
  <c r="CC258" i="3"/>
  <c r="CB258" i="3"/>
  <c r="CA258" i="3"/>
  <c r="BZ258" i="3"/>
  <c r="BY258" i="3"/>
  <c r="BX258" i="3"/>
  <c r="BW258" i="3"/>
  <c r="BV258" i="3"/>
  <c r="BU258" i="3"/>
  <c r="BT258" i="3"/>
  <c r="BS258" i="3"/>
  <c r="BR258" i="3"/>
  <c r="BQ258" i="3"/>
  <c r="BP258" i="3"/>
  <c r="BO258" i="3"/>
  <c r="BN258" i="3"/>
  <c r="BM258" i="3"/>
  <c r="BL258" i="3"/>
  <c r="BK258" i="3"/>
  <c r="BJ258" i="3"/>
  <c r="BI258" i="3"/>
  <c r="BH258" i="3"/>
  <c r="BG258" i="3"/>
  <c r="BF258" i="3"/>
  <c r="BE258" i="3"/>
  <c r="BD258" i="3"/>
  <c r="BC258" i="3"/>
  <c r="BB258" i="3"/>
  <c r="BA258" i="3"/>
  <c r="AZ258" i="3"/>
  <c r="AY258" i="3"/>
  <c r="AX258" i="3"/>
  <c r="AW258" i="3"/>
  <c r="AV258" i="3"/>
  <c r="AR110" i="3" s="1"/>
  <c r="AS110" i="3" s="1"/>
  <c r="AR258" i="3"/>
  <c r="AS258" i="3" s="1"/>
  <c r="B258" i="3"/>
  <c r="CE257" i="3"/>
  <c r="CD257" i="3"/>
  <c r="CC257" i="3"/>
  <c r="CB257" i="3"/>
  <c r="CA257" i="3"/>
  <c r="BZ257" i="3"/>
  <c r="BY257" i="3"/>
  <c r="BX257" i="3"/>
  <c r="BW257" i="3"/>
  <c r="BV257" i="3"/>
  <c r="BU257" i="3"/>
  <c r="BT257" i="3"/>
  <c r="BS257" i="3"/>
  <c r="BR257" i="3"/>
  <c r="BQ257" i="3"/>
  <c r="BP257" i="3"/>
  <c r="BO257" i="3"/>
  <c r="BN257" i="3"/>
  <c r="BM257" i="3"/>
  <c r="BL257" i="3"/>
  <c r="BK257" i="3"/>
  <c r="BJ257" i="3"/>
  <c r="BI257" i="3"/>
  <c r="BH257" i="3"/>
  <c r="BG257" i="3"/>
  <c r="BF257" i="3"/>
  <c r="BE257" i="3"/>
  <c r="BD257" i="3"/>
  <c r="BC257" i="3"/>
  <c r="BB257" i="3"/>
  <c r="BA257" i="3"/>
  <c r="AZ257" i="3"/>
  <c r="AY257" i="3"/>
  <c r="AX257" i="3"/>
  <c r="AW257" i="3"/>
  <c r="AV257" i="3"/>
  <c r="AR109" i="3" s="1"/>
  <c r="AS109" i="3" s="1"/>
  <c r="AR257" i="3"/>
  <c r="AS257" i="3" s="1"/>
  <c r="B257" i="3"/>
  <c r="CE256" i="3"/>
  <c r="CD256" i="3"/>
  <c r="CC256" i="3"/>
  <c r="CB256" i="3"/>
  <c r="CA256" i="3"/>
  <c r="BZ256" i="3"/>
  <c r="BY256" i="3"/>
  <c r="BX256" i="3"/>
  <c r="BW256" i="3"/>
  <c r="BV256" i="3"/>
  <c r="BU256" i="3"/>
  <c r="BT256" i="3"/>
  <c r="BS256" i="3"/>
  <c r="BR256" i="3"/>
  <c r="BQ256" i="3"/>
  <c r="BP256" i="3"/>
  <c r="BO256" i="3"/>
  <c r="BN256" i="3"/>
  <c r="BM256" i="3"/>
  <c r="BL256" i="3"/>
  <c r="BK256" i="3"/>
  <c r="BJ256" i="3"/>
  <c r="BI256" i="3"/>
  <c r="BH256" i="3"/>
  <c r="BG256" i="3"/>
  <c r="BF256" i="3"/>
  <c r="BE256" i="3"/>
  <c r="BD256" i="3"/>
  <c r="BC256" i="3"/>
  <c r="BB256" i="3"/>
  <c r="BA256" i="3"/>
  <c r="AZ256" i="3"/>
  <c r="AY256" i="3"/>
  <c r="AX256" i="3"/>
  <c r="AW256" i="3"/>
  <c r="AV256" i="3"/>
  <c r="AR108" i="3" s="1"/>
  <c r="AS108" i="3" s="1"/>
  <c r="AR256" i="3"/>
  <c r="AS256" i="3" s="1"/>
  <c r="B256" i="3"/>
  <c r="CE255" i="3"/>
  <c r="CD255" i="3"/>
  <c r="CC255" i="3"/>
  <c r="CB255" i="3"/>
  <c r="CA255" i="3"/>
  <c r="BZ255" i="3"/>
  <c r="BY255" i="3"/>
  <c r="BX255" i="3"/>
  <c r="BW255" i="3"/>
  <c r="BV255" i="3"/>
  <c r="BU255" i="3"/>
  <c r="BT255" i="3"/>
  <c r="BS255" i="3"/>
  <c r="BR255" i="3"/>
  <c r="BQ255" i="3"/>
  <c r="BP255" i="3"/>
  <c r="BO255" i="3"/>
  <c r="BN255" i="3"/>
  <c r="BM255" i="3"/>
  <c r="BL255" i="3"/>
  <c r="BK255" i="3"/>
  <c r="BJ255" i="3"/>
  <c r="BI255" i="3"/>
  <c r="BH255" i="3"/>
  <c r="BG255" i="3"/>
  <c r="BF255" i="3"/>
  <c r="BE255" i="3"/>
  <c r="BD255" i="3"/>
  <c r="BC255" i="3"/>
  <c r="BB255" i="3"/>
  <c r="BA255" i="3"/>
  <c r="AZ255" i="3"/>
  <c r="AY255" i="3"/>
  <c r="AX255" i="3"/>
  <c r="AW255" i="3"/>
  <c r="AV255" i="3"/>
  <c r="AR107" i="3" s="1"/>
  <c r="AS107" i="3" s="1"/>
  <c r="AR255" i="3"/>
  <c r="AS255" i="3" s="1"/>
  <c r="B255" i="3"/>
  <c r="CE254" i="3"/>
  <c r="CD254" i="3"/>
  <c r="CC254" i="3"/>
  <c r="CB254" i="3"/>
  <c r="CA254" i="3"/>
  <c r="BZ254" i="3"/>
  <c r="BY254" i="3"/>
  <c r="BX254" i="3"/>
  <c r="BW254" i="3"/>
  <c r="BV254" i="3"/>
  <c r="BU254" i="3"/>
  <c r="BT254" i="3"/>
  <c r="BS254" i="3"/>
  <c r="BR254" i="3"/>
  <c r="BQ254" i="3"/>
  <c r="BP254" i="3"/>
  <c r="BO254" i="3"/>
  <c r="BN254" i="3"/>
  <c r="BM254" i="3"/>
  <c r="BL254" i="3"/>
  <c r="BK254" i="3"/>
  <c r="BJ254" i="3"/>
  <c r="BI254" i="3"/>
  <c r="BH254" i="3"/>
  <c r="BG254" i="3"/>
  <c r="BF254" i="3"/>
  <c r="BE254" i="3"/>
  <c r="BD254" i="3"/>
  <c r="BC254" i="3"/>
  <c r="BB254" i="3"/>
  <c r="BA254" i="3"/>
  <c r="AZ254" i="3"/>
  <c r="AY254" i="3"/>
  <c r="AX254" i="3"/>
  <c r="AW254" i="3"/>
  <c r="AV254" i="3"/>
  <c r="B254" i="3"/>
  <c r="CE253" i="3"/>
  <c r="CD253" i="3"/>
  <c r="CC253" i="3"/>
  <c r="CB253" i="3"/>
  <c r="CA253" i="3"/>
  <c r="BZ253" i="3"/>
  <c r="BY253" i="3"/>
  <c r="BX253" i="3"/>
  <c r="BW253" i="3"/>
  <c r="BV253" i="3"/>
  <c r="BU253" i="3"/>
  <c r="BT253" i="3"/>
  <c r="BS253" i="3"/>
  <c r="BR253" i="3"/>
  <c r="BQ253" i="3"/>
  <c r="BP253" i="3"/>
  <c r="BO253" i="3"/>
  <c r="BN253" i="3"/>
  <c r="BM253" i="3"/>
  <c r="BL253" i="3"/>
  <c r="BK253" i="3"/>
  <c r="BJ253" i="3"/>
  <c r="BI253" i="3"/>
  <c r="BH253" i="3"/>
  <c r="BG253" i="3"/>
  <c r="BF253" i="3"/>
  <c r="BE253" i="3"/>
  <c r="BD253" i="3"/>
  <c r="BC253" i="3"/>
  <c r="BB253" i="3"/>
  <c r="BA253" i="3"/>
  <c r="AZ253" i="3"/>
  <c r="AY253" i="3"/>
  <c r="AX253" i="3"/>
  <c r="AW253" i="3"/>
  <c r="AV253" i="3"/>
  <c r="AR253" i="3"/>
  <c r="AS253" i="3" s="1"/>
  <c r="B253" i="3"/>
  <c r="CE252" i="3"/>
  <c r="CD252" i="3"/>
  <c r="CC252" i="3"/>
  <c r="CB252" i="3"/>
  <c r="CA252" i="3"/>
  <c r="BZ252" i="3"/>
  <c r="BY252" i="3"/>
  <c r="BX252" i="3"/>
  <c r="BW252" i="3"/>
  <c r="BV252" i="3"/>
  <c r="BU252" i="3"/>
  <c r="BT252" i="3"/>
  <c r="BS252" i="3"/>
  <c r="BR252" i="3"/>
  <c r="BQ252" i="3"/>
  <c r="BP252" i="3"/>
  <c r="BO252" i="3"/>
  <c r="BN252" i="3"/>
  <c r="BM252" i="3"/>
  <c r="BL252" i="3"/>
  <c r="BK252" i="3"/>
  <c r="BJ252" i="3"/>
  <c r="BI252" i="3"/>
  <c r="BH252" i="3"/>
  <c r="BG252" i="3"/>
  <c r="BF252" i="3"/>
  <c r="BE252" i="3"/>
  <c r="BD252" i="3"/>
  <c r="BC252" i="3"/>
  <c r="BB252" i="3"/>
  <c r="BA252" i="3"/>
  <c r="AZ252" i="3"/>
  <c r="AY252" i="3"/>
  <c r="AX252" i="3"/>
  <c r="AW252" i="3"/>
  <c r="AV252" i="3"/>
  <c r="AR252" i="3"/>
  <c r="AS252" i="3" s="1"/>
  <c r="B252" i="3"/>
  <c r="CE251" i="3"/>
  <c r="CD251" i="3"/>
  <c r="CC251" i="3"/>
  <c r="CB251" i="3"/>
  <c r="CA251" i="3"/>
  <c r="BZ251" i="3"/>
  <c r="BY251" i="3"/>
  <c r="BX251" i="3"/>
  <c r="BW251" i="3"/>
  <c r="BV251" i="3"/>
  <c r="BU251" i="3"/>
  <c r="BT251" i="3"/>
  <c r="BS251" i="3"/>
  <c r="BR251" i="3"/>
  <c r="BQ251" i="3"/>
  <c r="BP251" i="3"/>
  <c r="BO251" i="3"/>
  <c r="BN251" i="3"/>
  <c r="BM251" i="3"/>
  <c r="BL251" i="3"/>
  <c r="BK251" i="3"/>
  <c r="BJ251" i="3"/>
  <c r="BI251" i="3"/>
  <c r="BH251" i="3"/>
  <c r="BG251" i="3"/>
  <c r="BF251" i="3"/>
  <c r="BE251" i="3"/>
  <c r="BD251" i="3"/>
  <c r="BC251" i="3"/>
  <c r="BB251" i="3"/>
  <c r="BA251" i="3"/>
  <c r="AZ251" i="3"/>
  <c r="AY251" i="3"/>
  <c r="AX251" i="3"/>
  <c r="AW251" i="3"/>
  <c r="AV251" i="3"/>
  <c r="AR251" i="3"/>
  <c r="AS251" i="3" s="1"/>
  <c r="B251" i="3"/>
  <c r="CE250" i="3"/>
  <c r="CD250" i="3"/>
  <c r="CC250" i="3"/>
  <c r="CB250" i="3"/>
  <c r="CA250" i="3"/>
  <c r="BZ250" i="3"/>
  <c r="BY250" i="3"/>
  <c r="BX250" i="3"/>
  <c r="BW250" i="3"/>
  <c r="BV250" i="3"/>
  <c r="BU250" i="3"/>
  <c r="BT250" i="3"/>
  <c r="BS250" i="3"/>
  <c r="BR250" i="3"/>
  <c r="BQ250" i="3"/>
  <c r="BP250" i="3"/>
  <c r="BO250" i="3"/>
  <c r="BN250" i="3"/>
  <c r="BM250" i="3"/>
  <c r="BL250" i="3"/>
  <c r="BK250" i="3"/>
  <c r="BJ250" i="3"/>
  <c r="BI250" i="3"/>
  <c r="BH250" i="3"/>
  <c r="BG250" i="3"/>
  <c r="BF250" i="3"/>
  <c r="BE250" i="3"/>
  <c r="BD250" i="3"/>
  <c r="BC250" i="3"/>
  <c r="BB250" i="3"/>
  <c r="BA250" i="3"/>
  <c r="AZ250" i="3"/>
  <c r="AY250" i="3"/>
  <c r="AX250" i="3"/>
  <c r="AW250" i="3"/>
  <c r="AV250" i="3"/>
  <c r="AR250" i="3"/>
  <c r="AS250" i="3" s="1"/>
  <c r="B250" i="3"/>
  <c r="CE249" i="3"/>
  <c r="CD249" i="3"/>
  <c r="CC249" i="3"/>
  <c r="CB249" i="3"/>
  <c r="CA249" i="3"/>
  <c r="BZ249" i="3"/>
  <c r="BY249" i="3"/>
  <c r="BX249" i="3"/>
  <c r="BW249" i="3"/>
  <c r="BV249" i="3"/>
  <c r="BU249" i="3"/>
  <c r="BT249" i="3"/>
  <c r="BS249" i="3"/>
  <c r="BR249" i="3"/>
  <c r="BQ249" i="3"/>
  <c r="BP249" i="3"/>
  <c r="BO249" i="3"/>
  <c r="BN249" i="3"/>
  <c r="BM249" i="3"/>
  <c r="BL249" i="3"/>
  <c r="BK249" i="3"/>
  <c r="BJ249" i="3"/>
  <c r="BI249" i="3"/>
  <c r="BH249" i="3"/>
  <c r="BG249" i="3"/>
  <c r="BF249" i="3"/>
  <c r="BE249" i="3"/>
  <c r="BD249" i="3"/>
  <c r="BC249" i="3"/>
  <c r="BB249" i="3"/>
  <c r="BA249" i="3"/>
  <c r="AZ249" i="3"/>
  <c r="AY249" i="3"/>
  <c r="AX249" i="3"/>
  <c r="AW249" i="3"/>
  <c r="AV249" i="3"/>
  <c r="AR249" i="3"/>
  <c r="AS249" i="3" s="1"/>
  <c r="B249" i="3"/>
  <c r="CE248" i="3"/>
  <c r="CD248" i="3"/>
  <c r="CC248" i="3"/>
  <c r="CB248" i="3"/>
  <c r="CA248" i="3"/>
  <c r="BZ248" i="3"/>
  <c r="BY248" i="3"/>
  <c r="BX248" i="3"/>
  <c r="BW248" i="3"/>
  <c r="BV248" i="3"/>
  <c r="BU248" i="3"/>
  <c r="BT248" i="3"/>
  <c r="BS248" i="3"/>
  <c r="BR248" i="3"/>
  <c r="BQ248" i="3"/>
  <c r="BP248" i="3"/>
  <c r="BO248" i="3"/>
  <c r="BN248" i="3"/>
  <c r="BM248" i="3"/>
  <c r="BL248" i="3"/>
  <c r="BK248" i="3"/>
  <c r="BJ248" i="3"/>
  <c r="BI248" i="3"/>
  <c r="BH248" i="3"/>
  <c r="BG248" i="3"/>
  <c r="BF248" i="3"/>
  <c r="BE248" i="3"/>
  <c r="BD248" i="3"/>
  <c r="BC248" i="3"/>
  <c r="BB248" i="3"/>
  <c r="BA248" i="3"/>
  <c r="AZ248" i="3"/>
  <c r="AY248" i="3"/>
  <c r="AX248" i="3"/>
  <c r="AW248" i="3"/>
  <c r="AV248" i="3"/>
  <c r="B248" i="3"/>
  <c r="CE247" i="3"/>
  <c r="CD247" i="3"/>
  <c r="CC247" i="3"/>
  <c r="CB247" i="3"/>
  <c r="CA247" i="3"/>
  <c r="BZ247" i="3"/>
  <c r="BY247" i="3"/>
  <c r="BX247" i="3"/>
  <c r="BW247" i="3"/>
  <c r="BV247" i="3"/>
  <c r="BU247" i="3"/>
  <c r="BT247" i="3"/>
  <c r="BS247" i="3"/>
  <c r="BR247" i="3"/>
  <c r="BQ247" i="3"/>
  <c r="BP247" i="3"/>
  <c r="BO247" i="3"/>
  <c r="BN247" i="3"/>
  <c r="BM247" i="3"/>
  <c r="BL247" i="3"/>
  <c r="BK247" i="3"/>
  <c r="BJ247" i="3"/>
  <c r="BI247" i="3"/>
  <c r="BH247" i="3"/>
  <c r="BG247" i="3"/>
  <c r="BF247" i="3"/>
  <c r="BE247" i="3"/>
  <c r="BD247" i="3"/>
  <c r="BC247" i="3"/>
  <c r="BB247" i="3"/>
  <c r="BA247" i="3"/>
  <c r="AZ247" i="3"/>
  <c r="AY247" i="3"/>
  <c r="AX247" i="3"/>
  <c r="AW247" i="3"/>
  <c r="AV247" i="3"/>
  <c r="AR247" i="3"/>
  <c r="AS247" i="3" s="1"/>
  <c r="B247" i="3"/>
  <c r="CE246" i="3"/>
  <c r="CD246" i="3"/>
  <c r="CC246" i="3"/>
  <c r="CB246" i="3"/>
  <c r="CA246" i="3"/>
  <c r="BZ246" i="3"/>
  <c r="BY246" i="3"/>
  <c r="BX246" i="3"/>
  <c r="BW246" i="3"/>
  <c r="BV246" i="3"/>
  <c r="BU246" i="3"/>
  <c r="BT246" i="3"/>
  <c r="BS246" i="3"/>
  <c r="BR246" i="3"/>
  <c r="BQ246" i="3"/>
  <c r="BP246" i="3"/>
  <c r="BO246" i="3"/>
  <c r="BN246" i="3"/>
  <c r="BM246" i="3"/>
  <c r="BL246" i="3"/>
  <c r="BK246" i="3"/>
  <c r="BJ246" i="3"/>
  <c r="BI246" i="3"/>
  <c r="BH246" i="3"/>
  <c r="BG246" i="3"/>
  <c r="BF246" i="3"/>
  <c r="BE246" i="3"/>
  <c r="BD246" i="3"/>
  <c r="BC246" i="3"/>
  <c r="BB246" i="3"/>
  <c r="BA246" i="3"/>
  <c r="AZ246" i="3"/>
  <c r="AY246" i="3"/>
  <c r="AX246" i="3"/>
  <c r="AW246" i="3"/>
  <c r="AV246" i="3"/>
  <c r="AR246" i="3"/>
  <c r="AS246" i="3" s="1"/>
  <c r="B246" i="3"/>
  <c r="CE245" i="3"/>
  <c r="CD245" i="3"/>
  <c r="CC245" i="3"/>
  <c r="CB245" i="3"/>
  <c r="CA245" i="3"/>
  <c r="BZ245" i="3"/>
  <c r="BY245" i="3"/>
  <c r="BX245" i="3"/>
  <c r="BW245" i="3"/>
  <c r="BV245" i="3"/>
  <c r="BU245" i="3"/>
  <c r="BT245" i="3"/>
  <c r="BS245" i="3"/>
  <c r="BR245" i="3"/>
  <c r="BQ245" i="3"/>
  <c r="BP245" i="3"/>
  <c r="BO245" i="3"/>
  <c r="BN245" i="3"/>
  <c r="BM245" i="3"/>
  <c r="BL245" i="3"/>
  <c r="BK245" i="3"/>
  <c r="BJ245" i="3"/>
  <c r="BI245" i="3"/>
  <c r="BH245" i="3"/>
  <c r="BG245" i="3"/>
  <c r="BF245" i="3"/>
  <c r="BE245" i="3"/>
  <c r="BD245" i="3"/>
  <c r="BC245" i="3"/>
  <c r="BB245" i="3"/>
  <c r="BA245" i="3"/>
  <c r="AZ245" i="3"/>
  <c r="AY245" i="3"/>
  <c r="AX245" i="3"/>
  <c r="AW245" i="3"/>
  <c r="AV245" i="3"/>
  <c r="AR245" i="3"/>
  <c r="AS245" i="3" s="1"/>
  <c r="B245" i="3"/>
  <c r="CE244" i="3"/>
  <c r="CD244" i="3"/>
  <c r="CC244" i="3"/>
  <c r="CB244" i="3"/>
  <c r="CA244" i="3"/>
  <c r="BZ244" i="3"/>
  <c r="BY244" i="3"/>
  <c r="BX244" i="3"/>
  <c r="BW244" i="3"/>
  <c r="BV244" i="3"/>
  <c r="BU244" i="3"/>
  <c r="BT244" i="3"/>
  <c r="BS244" i="3"/>
  <c r="BR244" i="3"/>
  <c r="BQ244" i="3"/>
  <c r="BP244" i="3"/>
  <c r="BO244" i="3"/>
  <c r="BN244" i="3"/>
  <c r="BM244" i="3"/>
  <c r="BL244" i="3"/>
  <c r="BK244" i="3"/>
  <c r="BJ244" i="3"/>
  <c r="BI244" i="3"/>
  <c r="BH244" i="3"/>
  <c r="BG244" i="3"/>
  <c r="BF244" i="3"/>
  <c r="BE244" i="3"/>
  <c r="BD244" i="3"/>
  <c r="BC244" i="3"/>
  <c r="BB244" i="3"/>
  <c r="BA244" i="3"/>
  <c r="AZ244" i="3"/>
  <c r="AY244" i="3"/>
  <c r="AX244" i="3"/>
  <c r="AW244" i="3"/>
  <c r="AV244" i="3"/>
  <c r="AR244" i="3"/>
  <c r="AS244" i="3" s="1"/>
  <c r="B244" i="3"/>
  <c r="CE243" i="3"/>
  <c r="CD243" i="3"/>
  <c r="CC243" i="3"/>
  <c r="CB243" i="3"/>
  <c r="CA243" i="3"/>
  <c r="BZ243" i="3"/>
  <c r="BY243" i="3"/>
  <c r="BX243" i="3"/>
  <c r="BW243" i="3"/>
  <c r="BV243" i="3"/>
  <c r="BU243" i="3"/>
  <c r="BT243" i="3"/>
  <c r="BS243" i="3"/>
  <c r="BR243" i="3"/>
  <c r="BQ243" i="3"/>
  <c r="BP243" i="3"/>
  <c r="BO243" i="3"/>
  <c r="BN243" i="3"/>
  <c r="BM243" i="3"/>
  <c r="BL243" i="3"/>
  <c r="BK243" i="3"/>
  <c r="BJ243" i="3"/>
  <c r="BI243" i="3"/>
  <c r="BH243" i="3"/>
  <c r="BG243" i="3"/>
  <c r="BF243" i="3"/>
  <c r="BE243" i="3"/>
  <c r="BD243" i="3"/>
  <c r="BC243" i="3"/>
  <c r="BB243" i="3"/>
  <c r="BA243" i="3"/>
  <c r="AZ243" i="3"/>
  <c r="AY243" i="3"/>
  <c r="AX243" i="3"/>
  <c r="AW243" i="3"/>
  <c r="AV243" i="3"/>
  <c r="AR243" i="3"/>
  <c r="AS243" i="3" s="1"/>
  <c r="B243" i="3"/>
  <c r="CE242" i="3"/>
  <c r="CD242" i="3"/>
  <c r="CC242" i="3"/>
  <c r="CB242" i="3"/>
  <c r="CA242" i="3"/>
  <c r="BZ242" i="3"/>
  <c r="BY242" i="3"/>
  <c r="BX242" i="3"/>
  <c r="BW242" i="3"/>
  <c r="BV242" i="3"/>
  <c r="BU242" i="3"/>
  <c r="BT242" i="3"/>
  <c r="BS242" i="3"/>
  <c r="BR242" i="3"/>
  <c r="BQ242" i="3"/>
  <c r="BP242" i="3"/>
  <c r="BO242" i="3"/>
  <c r="BN242" i="3"/>
  <c r="BM242" i="3"/>
  <c r="BL242" i="3"/>
  <c r="BK242" i="3"/>
  <c r="BJ242" i="3"/>
  <c r="BI242" i="3"/>
  <c r="BH242" i="3"/>
  <c r="BG242" i="3"/>
  <c r="BF242" i="3"/>
  <c r="BE242" i="3"/>
  <c r="BD242" i="3"/>
  <c r="BC242" i="3"/>
  <c r="BB242" i="3"/>
  <c r="BA242" i="3"/>
  <c r="AZ242" i="3"/>
  <c r="AY242" i="3"/>
  <c r="AX242" i="3"/>
  <c r="AW242" i="3"/>
  <c r="AV242" i="3"/>
  <c r="AR242" i="3"/>
  <c r="AS242" i="3" s="1"/>
  <c r="B242" i="3"/>
  <c r="CE241" i="3"/>
  <c r="CD241" i="3"/>
  <c r="CC241" i="3"/>
  <c r="CB241" i="3"/>
  <c r="CA241" i="3"/>
  <c r="BZ241" i="3"/>
  <c r="BY241" i="3"/>
  <c r="BX241" i="3"/>
  <c r="BW241" i="3"/>
  <c r="BV241" i="3"/>
  <c r="BU241" i="3"/>
  <c r="BT241" i="3"/>
  <c r="BS241" i="3"/>
  <c r="BR241" i="3"/>
  <c r="BQ241" i="3"/>
  <c r="BP241" i="3"/>
  <c r="BO241" i="3"/>
  <c r="BN241" i="3"/>
  <c r="BM241" i="3"/>
  <c r="BL241" i="3"/>
  <c r="BK241" i="3"/>
  <c r="BJ241" i="3"/>
  <c r="BI241" i="3"/>
  <c r="BH241" i="3"/>
  <c r="BG241" i="3"/>
  <c r="BF241" i="3"/>
  <c r="BE241" i="3"/>
  <c r="BD241" i="3"/>
  <c r="BC241" i="3"/>
  <c r="BB241" i="3"/>
  <c r="BA241" i="3"/>
  <c r="AZ241" i="3"/>
  <c r="AY241" i="3"/>
  <c r="AX241" i="3"/>
  <c r="AW241" i="3"/>
  <c r="AV241" i="3"/>
  <c r="AR241" i="3"/>
  <c r="AS241" i="3" s="1"/>
  <c r="B241" i="3"/>
  <c r="CE240" i="3"/>
  <c r="CD240" i="3"/>
  <c r="CC240" i="3"/>
  <c r="CB240" i="3"/>
  <c r="CA240" i="3"/>
  <c r="BZ240" i="3"/>
  <c r="BY240" i="3"/>
  <c r="BX240" i="3"/>
  <c r="BW240" i="3"/>
  <c r="BV240" i="3"/>
  <c r="BU240" i="3"/>
  <c r="BT240" i="3"/>
  <c r="BS240" i="3"/>
  <c r="BR240" i="3"/>
  <c r="BQ240" i="3"/>
  <c r="BP240" i="3"/>
  <c r="BO240" i="3"/>
  <c r="BN240" i="3"/>
  <c r="BM240" i="3"/>
  <c r="BL240" i="3"/>
  <c r="BK240" i="3"/>
  <c r="BJ240" i="3"/>
  <c r="BI240" i="3"/>
  <c r="BH240" i="3"/>
  <c r="BG240" i="3"/>
  <c r="BF240" i="3"/>
  <c r="BE240" i="3"/>
  <c r="BD240" i="3"/>
  <c r="BC240" i="3"/>
  <c r="BB240" i="3"/>
  <c r="BA240" i="3"/>
  <c r="AZ240" i="3"/>
  <c r="AY240" i="3"/>
  <c r="AX240" i="3"/>
  <c r="AW240" i="3"/>
  <c r="AV240" i="3"/>
  <c r="AR240" i="3"/>
  <c r="AS240" i="3" s="1"/>
  <c r="B240" i="3"/>
  <c r="CE239" i="3"/>
  <c r="CD239" i="3"/>
  <c r="CC239" i="3"/>
  <c r="CB239" i="3"/>
  <c r="CA239" i="3"/>
  <c r="BZ239" i="3"/>
  <c r="BY239" i="3"/>
  <c r="BX239" i="3"/>
  <c r="BW239" i="3"/>
  <c r="BV239" i="3"/>
  <c r="BU239" i="3"/>
  <c r="BT239" i="3"/>
  <c r="BS239" i="3"/>
  <c r="BR239" i="3"/>
  <c r="BQ239" i="3"/>
  <c r="BP239" i="3"/>
  <c r="BO239" i="3"/>
  <c r="BN239" i="3"/>
  <c r="BM239" i="3"/>
  <c r="BL239" i="3"/>
  <c r="BK239" i="3"/>
  <c r="BJ239" i="3"/>
  <c r="BI239" i="3"/>
  <c r="BH239" i="3"/>
  <c r="BG239" i="3"/>
  <c r="BF239" i="3"/>
  <c r="BE239" i="3"/>
  <c r="BD239" i="3"/>
  <c r="BC239" i="3"/>
  <c r="BB239" i="3"/>
  <c r="BA239" i="3"/>
  <c r="AZ239" i="3"/>
  <c r="AY239" i="3"/>
  <c r="AX239" i="3"/>
  <c r="AW239" i="3"/>
  <c r="AV239" i="3"/>
  <c r="AR239" i="3"/>
  <c r="AS239" i="3" s="1"/>
  <c r="B239" i="3"/>
  <c r="CE238" i="3"/>
  <c r="CD238" i="3"/>
  <c r="CC238" i="3"/>
  <c r="CB238" i="3"/>
  <c r="CA238" i="3"/>
  <c r="BZ238" i="3"/>
  <c r="BY238" i="3"/>
  <c r="BX238" i="3"/>
  <c r="BW238" i="3"/>
  <c r="BV238" i="3"/>
  <c r="BU238" i="3"/>
  <c r="BT238" i="3"/>
  <c r="BS238" i="3"/>
  <c r="BR238" i="3"/>
  <c r="BQ238" i="3"/>
  <c r="BP238" i="3"/>
  <c r="BO238" i="3"/>
  <c r="BN238" i="3"/>
  <c r="BM238" i="3"/>
  <c r="BL238" i="3"/>
  <c r="BK238" i="3"/>
  <c r="BJ238" i="3"/>
  <c r="BI238" i="3"/>
  <c r="BH238" i="3"/>
  <c r="BG238" i="3"/>
  <c r="BF238" i="3"/>
  <c r="BE238" i="3"/>
  <c r="BD238" i="3"/>
  <c r="BC238" i="3"/>
  <c r="BB238" i="3"/>
  <c r="BA238" i="3"/>
  <c r="AZ238" i="3"/>
  <c r="AY238" i="3"/>
  <c r="AX238" i="3"/>
  <c r="AW238" i="3"/>
  <c r="AV238" i="3"/>
  <c r="B238" i="3"/>
  <c r="CE237" i="3"/>
  <c r="CD237" i="3"/>
  <c r="CC237" i="3"/>
  <c r="CB237" i="3"/>
  <c r="CA237" i="3"/>
  <c r="BZ237" i="3"/>
  <c r="BY237" i="3"/>
  <c r="BX237" i="3"/>
  <c r="BW237" i="3"/>
  <c r="BV237" i="3"/>
  <c r="BU237" i="3"/>
  <c r="BT237" i="3"/>
  <c r="BS237" i="3"/>
  <c r="BR237" i="3"/>
  <c r="BQ237" i="3"/>
  <c r="BP237" i="3"/>
  <c r="BO237" i="3"/>
  <c r="BN237" i="3"/>
  <c r="BM237" i="3"/>
  <c r="BL237" i="3"/>
  <c r="BK237" i="3"/>
  <c r="BJ237" i="3"/>
  <c r="BI237" i="3"/>
  <c r="BH237" i="3"/>
  <c r="BG237" i="3"/>
  <c r="BF237" i="3"/>
  <c r="BE237" i="3"/>
  <c r="BD237" i="3"/>
  <c r="BC237" i="3"/>
  <c r="BB237" i="3"/>
  <c r="BA237" i="3"/>
  <c r="AZ237" i="3"/>
  <c r="AY237" i="3"/>
  <c r="AX237" i="3"/>
  <c r="AW237" i="3"/>
  <c r="AV237" i="3"/>
  <c r="AR237" i="3"/>
  <c r="AS237" i="3" s="1"/>
  <c r="B237" i="3"/>
  <c r="CE236" i="3"/>
  <c r="CD236" i="3"/>
  <c r="CC236" i="3"/>
  <c r="CB236" i="3"/>
  <c r="CA236" i="3"/>
  <c r="BZ236" i="3"/>
  <c r="BY236" i="3"/>
  <c r="BX236" i="3"/>
  <c r="BW236" i="3"/>
  <c r="BV236" i="3"/>
  <c r="BU236" i="3"/>
  <c r="BT236" i="3"/>
  <c r="BS236" i="3"/>
  <c r="BR236" i="3"/>
  <c r="BQ236" i="3"/>
  <c r="BP236" i="3"/>
  <c r="BO236" i="3"/>
  <c r="BN236" i="3"/>
  <c r="BM236" i="3"/>
  <c r="BL236" i="3"/>
  <c r="BK236" i="3"/>
  <c r="BJ236" i="3"/>
  <c r="BI236" i="3"/>
  <c r="BH236" i="3"/>
  <c r="BG236" i="3"/>
  <c r="BF236" i="3"/>
  <c r="BE236" i="3"/>
  <c r="BD236" i="3"/>
  <c r="BC236" i="3"/>
  <c r="BB236" i="3"/>
  <c r="BA236" i="3"/>
  <c r="AZ236" i="3"/>
  <c r="AY236" i="3"/>
  <c r="AX236" i="3"/>
  <c r="AW236" i="3"/>
  <c r="AV236" i="3"/>
  <c r="AR236" i="3"/>
  <c r="AS236" i="3" s="1"/>
  <c r="B236" i="3"/>
  <c r="CE303" i="3"/>
  <c r="CD303" i="3"/>
  <c r="CC303" i="3"/>
  <c r="CB303" i="3"/>
  <c r="CA303" i="3"/>
  <c r="BZ303" i="3"/>
  <c r="BY303" i="3"/>
  <c r="BX303" i="3"/>
  <c r="BW303" i="3"/>
  <c r="BV303" i="3"/>
  <c r="BU303" i="3"/>
  <c r="BT303" i="3"/>
  <c r="BS303" i="3"/>
  <c r="BR303" i="3"/>
  <c r="BQ303" i="3"/>
  <c r="BP303" i="3"/>
  <c r="BO303" i="3"/>
  <c r="BN303" i="3"/>
  <c r="BM303" i="3"/>
  <c r="BL303" i="3"/>
  <c r="BK303" i="3"/>
  <c r="BJ303" i="3"/>
  <c r="BI303" i="3"/>
  <c r="BH303" i="3"/>
  <c r="BG303" i="3"/>
  <c r="BF303" i="3"/>
  <c r="BE303" i="3"/>
  <c r="BD303" i="3"/>
  <c r="BC303" i="3"/>
  <c r="BB303" i="3"/>
  <c r="BA303" i="3"/>
  <c r="AR303" i="3" s="1"/>
  <c r="AS303" i="3" s="1"/>
  <c r="AZ303" i="3"/>
  <c r="AY303" i="3"/>
  <c r="AX303" i="3"/>
  <c r="AW303" i="3"/>
  <c r="AV303" i="3"/>
  <c r="B303" i="3"/>
  <c r="CE302" i="3"/>
  <c r="CD302" i="3"/>
  <c r="CC302" i="3"/>
  <c r="CB302" i="3"/>
  <c r="CA302" i="3"/>
  <c r="BZ302" i="3"/>
  <c r="BY302" i="3"/>
  <c r="BX302" i="3"/>
  <c r="BW302" i="3"/>
  <c r="BV302" i="3"/>
  <c r="BU302" i="3"/>
  <c r="BT302" i="3"/>
  <c r="BS302" i="3"/>
  <c r="BR302" i="3"/>
  <c r="BQ302" i="3"/>
  <c r="BP302" i="3"/>
  <c r="BO302" i="3"/>
  <c r="BN302" i="3"/>
  <c r="BM302" i="3"/>
  <c r="BL302" i="3"/>
  <c r="BK302" i="3"/>
  <c r="BJ302" i="3"/>
  <c r="BI302" i="3"/>
  <c r="BH302" i="3"/>
  <c r="BG302" i="3"/>
  <c r="BF302" i="3"/>
  <c r="BE302" i="3"/>
  <c r="BD302" i="3"/>
  <c r="BC302" i="3"/>
  <c r="BB302" i="3"/>
  <c r="BA302" i="3"/>
  <c r="AZ302" i="3"/>
  <c r="AY302" i="3"/>
  <c r="AX302" i="3"/>
  <c r="AW302" i="3"/>
  <c r="AV302" i="3"/>
  <c r="AR302" i="3"/>
  <c r="AS302" i="3" s="1"/>
  <c r="B302" i="3"/>
  <c r="CE301" i="3"/>
  <c r="CD301" i="3"/>
  <c r="CC301" i="3"/>
  <c r="CB301" i="3"/>
  <c r="CA301" i="3"/>
  <c r="BZ301" i="3"/>
  <c r="BY301" i="3"/>
  <c r="BX301" i="3"/>
  <c r="BW301" i="3"/>
  <c r="BV301" i="3"/>
  <c r="BU301" i="3"/>
  <c r="BT301" i="3"/>
  <c r="BS301" i="3"/>
  <c r="BR301" i="3"/>
  <c r="BQ301" i="3"/>
  <c r="BP301" i="3"/>
  <c r="BO301" i="3"/>
  <c r="BN301" i="3"/>
  <c r="BM301" i="3"/>
  <c r="BL301" i="3"/>
  <c r="BK301" i="3"/>
  <c r="BJ301" i="3"/>
  <c r="BI301" i="3"/>
  <c r="BH301" i="3"/>
  <c r="BG301" i="3"/>
  <c r="BF301" i="3"/>
  <c r="BE301" i="3"/>
  <c r="BD301" i="3"/>
  <c r="BC301" i="3"/>
  <c r="BB301" i="3"/>
  <c r="BA301" i="3"/>
  <c r="AZ301" i="3"/>
  <c r="AY301" i="3"/>
  <c r="AX301" i="3"/>
  <c r="AW301" i="3"/>
  <c r="AV301" i="3"/>
  <c r="AR301" i="3"/>
  <c r="AS301" i="3" s="1"/>
  <c r="B301" i="3"/>
  <c r="CE300" i="3"/>
  <c r="CD300" i="3"/>
  <c r="CC300" i="3"/>
  <c r="CB300" i="3"/>
  <c r="CA300" i="3"/>
  <c r="BZ300" i="3"/>
  <c r="BY300" i="3"/>
  <c r="BX300" i="3"/>
  <c r="BW300" i="3"/>
  <c r="BV300" i="3"/>
  <c r="BU300" i="3"/>
  <c r="BT300" i="3"/>
  <c r="BS300" i="3"/>
  <c r="BR300" i="3"/>
  <c r="BQ300" i="3"/>
  <c r="BP300" i="3"/>
  <c r="BO300" i="3"/>
  <c r="BN300" i="3"/>
  <c r="BM300" i="3"/>
  <c r="BL300" i="3"/>
  <c r="BK300" i="3"/>
  <c r="BJ300" i="3"/>
  <c r="BI300" i="3"/>
  <c r="BH300" i="3"/>
  <c r="BG300" i="3"/>
  <c r="BF300" i="3"/>
  <c r="BE300" i="3"/>
  <c r="BD300" i="3"/>
  <c r="BC300" i="3"/>
  <c r="BB300" i="3"/>
  <c r="BA300" i="3"/>
  <c r="AZ300" i="3"/>
  <c r="AY300" i="3"/>
  <c r="AX300" i="3"/>
  <c r="AW300" i="3"/>
  <c r="AV300" i="3"/>
  <c r="AR300" i="3"/>
  <c r="AS300" i="3" s="1"/>
  <c r="B300" i="3"/>
  <c r="CE299" i="3"/>
  <c r="CD299" i="3"/>
  <c r="CC299" i="3"/>
  <c r="CB299" i="3"/>
  <c r="CA299" i="3"/>
  <c r="BZ299" i="3"/>
  <c r="BY299" i="3"/>
  <c r="BX299" i="3"/>
  <c r="BW299" i="3"/>
  <c r="BV299" i="3"/>
  <c r="BU299" i="3"/>
  <c r="BT299" i="3"/>
  <c r="BS299" i="3"/>
  <c r="BR299" i="3"/>
  <c r="BQ299" i="3"/>
  <c r="BP299" i="3"/>
  <c r="BO299" i="3"/>
  <c r="BN299" i="3"/>
  <c r="BM299" i="3"/>
  <c r="BL299" i="3"/>
  <c r="BK299" i="3"/>
  <c r="BJ299" i="3"/>
  <c r="BI299" i="3"/>
  <c r="BH299" i="3"/>
  <c r="BG299" i="3"/>
  <c r="BF299" i="3"/>
  <c r="BE299" i="3"/>
  <c r="BD299" i="3"/>
  <c r="BC299" i="3"/>
  <c r="BB299" i="3"/>
  <c r="BA299" i="3"/>
  <c r="AZ299" i="3"/>
  <c r="AY299" i="3"/>
  <c r="AX299" i="3"/>
  <c r="AW299" i="3"/>
  <c r="AV299" i="3"/>
  <c r="AR299" i="3"/>
  <c r="AS299" i="3" s="1"/>
  <c r="B299" i="3"/>
  <c r="CE298" i="3"/>
  <c r="CD298" i="3"/>
  <c r="CC298" i="3"/>
  <c r="CB298" i="3"/>
  <c r="CA298" i="3"/>
  <c r="BZ298" i="3"/>
  <c r="BY298" i="3"/>
  <c r="BX298" i="3"/>
  <c r="BW298" i="3"/>
  <c r="BV298" i="3"/>
  <c r="BU298" i="3"/>
  <c r="BT298" i="3"/>
  <c r="BS298" i="3"/>
  <c r="BR298" i="3"/>
  <c r="BQ298" i="3"/>
  <c r="BP298" i="3"/>
  <c r="BO298" i="3"/>
  <c r="BN298" i="3"/>
  <c r="BM298" i="3"/>
  <c r="BL298" i="3"/>
  <c r="BK298" i="3"/>
  <c r="BJ298" i="3"/>
  <c r="BI298" i="3"/>
  <c r="BH298" i="3"/>
  <c r="BG298" i="3"/>
  <c r="BF298" i="3"/>
  <c r="BE298" i="3"/>
  <c r="BD298" i="3"/>
  <c r="BC298" i="3"/>
  <c r="BB298" i="3"/>
  <c r="BA298" i="3"/>
  <c r="AZ298" i="3"/>
  <c r="AY298" i="3"/>
  <c r="AX298" i="3"/>
  <c r="AW298" i="3"/>
  <c r="AV298" i="3"/>
  <c r="AR298" i="3"/>
  <c r="AS298" i="3" s="1"/>
  <c r="B298" i="3"/>
  <c r="CE297" i="3"/>
  <c r="CD297" i="3"/>
  <c r="CC297" i="3"/>
  <c r="CB297" i="3"/>
  <c r="CA297" i="3"/>
  <c r="BZ297" i="3"/>
  <c r="BY297" i="3"/>
  <c r="BX297" i="3"/>
  <c r="BW297" i="3"/>
  <c r="BV297" i="3"/>
  <c r="BU297" i="3"/>
  <c r="BT297" i="3"/>
  <c r="BS297" i="3"/>
  <c r="BR297" i="3"/>
  <c r="BQ297" i="3"/>
  <c r="BP297" i="3"/>
  <c r="BO297" i="3"/>
  <c r="BN297" i="3"/>
  <c r="BM297" i="3"/>
  <c r="BL297" i="3"/>
  <c r="BK297" i="3"/>
  <c r="BJ297" i="3"/>
  <c r="BI297" i="3"/>
  <c r="BH297" i="3"/>
  <c r="BG297" i="3"/>
  <c r="BF297" i="3"/>
  <c r="BE297" i="3"/>
  <c r="BD297" i="3"/>
  <c r="BC297" i="3"/>
  <c r="BB297" i="3"/>
  <c r="BA297" i="3"/>
  <c r="AZ297" i="3"/>
  <c r="AY297" i="3"/>
  <c r="AX297" i="3"/>
  <c r="AW297" i="3"/>
  <c r="AV297" i="3"/>
  <c r="AR297" i="3"/>
  <c r="AS297" i="3" s="1"/>
  <c r="B297" i="3"/>
  <c r="CE296" i="3"/>
  <c r="CD296" i="3"/>
  <c r="CC296" i="3"/>
  <c r="CB296" i="3"/>
  <c r="CA296" i="3"/>
  <c r="BZ296" i="3"/>
  <c r="BY296" i="3"/>
  <c r="BX296" i="3"/>
  <c r="BW296" i="3"/>
  <c r="BV296" i="3"/>
  <c r="BU296" i="3"/>
  <c r="BT296" i="3"/>
  <c r="BS296" i="3"/>
  <c r="BR296" i="3"/>
  <c r="BQ296" i="3"/>
  <c r="BP296" i="3"/>
  <c r="BO296" i="3"/>
  <c r="BN296" i="3"/>
  <c r="BM296" i="3"/>
  <c r="BL296" i="3"/>
  <c r="BK296" i="3"/>
  <c r="BJ296" i="3"/>
  <c r="BI296" i="3"/>
  <c r="BH296" i="3"/>
  <c r="BG296" i="3"/>
  <c r="BF296" i="3"/>
  <c r="BE296" i="3"/>
  <c r="BD296" i="3"/>
  <c r="BC296" i="3"/>
  <c r="BB296" i="3"/>
  <c r="BA296" i="3"/>
  <c r="AZ296" i="3"/>
  <c r="AY296" i="3"/>
  <c r="AX296" i="3"/>
  <c r="AW296" i="3"/>
  <c r="AV296" i="3"/>
  <c r="AR296" i="3"/>
  <c r="AS296" i="3" s="1"/>
  <c r="B296" i="3"/>
  <c r="CE295" i="3"/>
  <c r="CD295" i="3"/>
  <c r="CC295" i="3"/>
  <c r="CB295" i="3"/>
  <c r="CA295" i="3"/>
  <c r="BZ295" i="3"/>
  <c r="BY295" i="3"/>
  <c r="BX295" i="3"/>
  <c r="BW295" i="3"/>
  <c r="BV295" i="3"/>
  <c r="BU295" i="3"/>
  <c r="BT295" i="3"/>
  <c r="BS295" i="3"/>
  <c r="BR295" i="3"/>
  <c r="BQ295" i="3"/>
  <c r="BP295" i="3"/>
  <c r="BO295" i="3"/>
  <c r="BN295" i="3"/>
  <c r="BM295" i="3"/>
  <c r="BL295" i="3"/>
  <c r="BK295" i="3"/>
  <c r="BJ295" i="3"/>
  <c r="BI295" i="3"/>
  <c r="BH295" i="3"/>
  <c r="BG295" i="3"/>
  <c r="BF295" i="3"/>
  <c r="BE295" i="3"/>
  <c r="BD295" i="3"/>
  <c r="BC295" i="3"/>
  <c r="BB295" i="3"/>
  <c r="BA295" i="3"/>
  <c r="AZ295" i="3"/>
  <c r="AY295" i="3"/>
  <c r="AX295" i="3"/>
  <c r="AW295" i="3"/>
  <c r="AV295" i="3"/>
  <c r="AR295" i="3"/>
  <c r="AS295" i="3" s="1"/>
  <c r="B295" i="3"/>
  <c r="CE294" i="3"/>
  <c r="CD294" i="3"/>
  <c r="CC294" i="3"/>
  <c r="CB294" i="3"/>
  <c r="CA294" i="3"/>
  <c r="BZ294" i="3"/>
  <c r="BY294" i="3"/>
  <c r="BX294" i="3"/>
  <c r="BW294" i="3"/>
  <c r="BV294" i="3"/>
  <c r="BU294" i="3"/>
  <c r="BT294" i="3"/>
  <c r="BS294" i="3"/>
  <c r="BR294" i="3"/>
  <c r="BQ294" i="3"/>
  <c r="BP294" i="3"/>
  <c r="BO294" i="3"/>
  <c r="BN294" i="3"/>
  <c r="BM294" i="3"/>
  <c r="BL294" i="3"/>
  <c r="BK294" i="3"/>
  <c r="BJ294" i="3"/>
  <c r="BI294" i="3"/>
  <c r="BH294" i="3"/>
  <c r="BG294" i="3"/>
  <c r="BF294" i="3"/>
  <c r="BE294" i="3"/>
  <c r="BD294" i="3"/>
  <c r="BC294" i="3"/>
  <c r="BB294" i="3"/>
  <c r="BA294" i="3"/>
  <c r="AZ294" i="3"/>
  <c r="AY294" i="3"/>
  <c r="AX294" i="3"/>
  <c r="AW294" i="3"/>
  <c r="AV294" i="3"/>
  <c r="AR294" i="3"/>
  <c r="AS294" i="3" s="1"/>
  <c r="B294" i="3"/>
  <c r="CE293" i="3"/>
  <c r="CD293" i="3"/>
  <c r="CC293" i="3"/>
  <c r="CB293" i="3"/>
  <c r="CA293" i="3"/>
  <c r="BZ293" i="3"/>
  <c r="BY293" i="3"/>
  <c r="BX293" i="3"/>
  <c r="BW293" i="3"/>
  <c r="BV293" i="3"/>
  <c r="BU293" i="3"/>
  <c r="BT293" i="3"/>
  <c r="BS293" i="3"/>
  <c r="BR293" i="3"/>
  <c r="BQ293" i="3"/>
  <c r="BP293" i="3"/>
  <c r="BO293" i="3"/>
  <c r="BN293" i="3"/>
  <c r="BM293" i="3"/>
  <c r="BL293" i="3"/>
  <c r="BK293" i="3"/>
  <c r="BJ293" i="3"/>
  <c r="BI293" i="3"/>
  <c r="BH293" i="3"/>
  <c r="BG293" i="3"/>
  <c r="BF293" i="3"/>
  <c r="BE293" i="3"/>
  <c r="BD293" i="3"/>
  <c r="BC293" i="3"/>
  <c r="BB293" i="3"/>
  <c r="BA293" i="3"/>
  <c r="AZ293" i="3"/>
  <c r="AY293" i="3"/>
  <c r="AX293" i="3"/>
  <c r="AW293" i="3"/>
  <c r="AV293" i="3"/>
  <c r="AR293" i="3"/>
  <c r="AS293" i="3" s="1"/>
  <c r="B293" i="3"/>
  <c r="CE292" i="3"/>
  <c r="CD292" i="3"/>
  <c r="CC292" i="3"/>
  <c r="CB292" i="3"/>
  <c r="CA292" i="3"/>
  <c r="BZ292" i="3"/>
  <c r="BY292" i="3"/>
  <c r="BX292" i="3"/>
  <c r="BW292" i="3"/>
  <c r="BV292" i="3"/>
  <c r="BU292" i="3"/>
  <c r="BT292" i="3"/>
  <c r="BS292" i="3"/>
  <c r="BR292" i="3"/>
  <c r="BQ292" i="3"/>
  <c r="BP292" i="3"/>
  <c r="BO292" i="3"/>
  <c r="BN292" i="3"/>
  <c r="BM292" i="3"/>
  <c r="BL292" i="3"/>
  <c r="BK292" i="3"/>
  <c r="BJ292" i="3"/>
  <c r="BI292" i="3"/>
  <c r="BH292" i="3"/>
  <c r="BG292" i="3"/>
  <c r="BF292" i="3"/>
  <c r="BE292" i="3"/>
  <c r="BD292" i="3"/>
  <c r="BC292" i="3"/>
  <c r="BB292" i="3"/>
  <c r="BA292" i="3"/>
  <c r="AZ292" i="3"/>
  <c r="AY292" i="3"/>
  <c r="AX292" i="3"/>
  <c r="AW292" i="3"/>
  <c r="AV292" i="3"/>
  <c r="AR292" i="3"/>
  <c r="AS292" i="3" s="1"/>
  <c r="B292" i="3"/>
  <c r="CE291" i="3"/>
  <c r="CD291" i="3"/>
  <c r="CC291" i="3"/>
  <c r="CB291" i="3"/>
  <c r="CA291" i="3"/>
  <c r="BZ291" i="3"/>
  <c r="BY291" i="3"/>
  <c r="BX291" i="3"/>
  <c r="BW291" i="3"/>
  <c r="BV291" i="3"/>
  <c r="BU291" i="3"/>
  <c r="BT291" i="3"/>
  <c r="BS291" i="3"/>
  <c r="BR291" i="3"/>
  <c r="BQ291" i="3"/>
  <c r="BP291" i="3"/>
  <c r="BO291" i="3"/>
  <c r="BN291" i="3"/>
  <c r="BM291" i="3"/>
  <c r="BL291" i="3"/>
  <c r="BK291" i="3"/>
  <c r="BJ291" i="3"/>
  <c r="BI291" i="3"/>
  <c r="BH291" i="3"/>
  <c r="BG291" i="3"/>
  <c r="BF291" i="3"/>
  <c r="BE291" i="3"/>
  <c r="BD291" i="3"/>
  <c r="BC291" i="3"/>
  <c r="BB291" i="3"/>
  <c r="BA291" i="3"/>
  <c r="AZ291" i="3"/>
  <c r="AY291" i="3"/>
  <c r="AX291" i="3"/>
  <c r="AW291" i="3"/>
  <c r="AV291" i="3"/>
  <c r="AR291" i="3"/>
  <c r="AS291" i="3" s="1"/>
  <c r="B291" i="3"/>
  <c r="CE290" i="3"/>
  <c r="CD290" i="3"/>
  <c r="CC290" i="3"/>
  <c r="CB290" i="3"/>
  <c r="CA290" i="3"/>
  <c r="BZ290" i="3"/>
  <c r="BY290" i="3"/>
  <c r="BX290" i="3"/>
  <c r="BW290" i="3"/>
  <c r="BV290" i="3"/>
  <c r="BU290" i="3"/>
  <c r="BT290" i="3"/>
  <c r="BS290" i="3"/>
  <c r="BR290" i="3"/>
  <c r="BQ290" i="3"/>
  <c r="BP290" i="3"/>
  <c r="BO290" i="3"/>
  <c r="BN290" i="3"/>
  <c r="BM290" i="3"/>
  <c r="BL290" i="3"/>
  <c r="BK290" i="3"/>
  <c r="BJ290" i="3"/>
  <c r="BI290" i="3"/>
  <c r="BH290" i="3"/>
  <c r="BG290" i="3"/>
  <c r="BF290" i="3"/>
  <c r="BE290" i="3"/>
  <c r="BD290" i="3"/>
  <c r="BC290" i="3"/>
  <c r="BB290" i="3"/>
  <c r="BA290" i="3"/>
  <c r="AZ290" i="3"/>
  <c r="AY290" i="3"/>
  <c r="AX290" i="3"/>
  <c r="AW290" i="3"/>
  <c r="AV290" i="3"/>
  <c r="AR290" i="3"/>
  <c r="AS290" i="3" s="1"/>
  <c r="B290" i="3"/>
  <c r="CE289" i="3"/>
  <c r="CD289" i="3"/>
  <c r="CC289" i="3"/>
  <c r="CB289" i="3"/>
  <c r="CA289" i="3"/>
  <c r="BZ289" i="3"/>
  <c r="BY289" i="3"/>
  <c r="BX289" i="3"/>
  <c r="BW289" i="3"/>
  <c r="BV289" i="3"/>
  <c r="BU289" i="3"/>
  <c r="BT289" i="3"/>
  <c r="BS289" i="3"/>
  <c r="BR289" i="3"/>
  <c r="BQ289" i="3"/>
  <c r="BP289" i="3"/>
  <c r="BO289" i="3"/>
  <c r="BN289" i="3"/>
  <c r="BM289" i="3"/>
  <c r="BL289" i="3"/>
  <c r="BK289" i="3"/>
  <c r="BJ289" i="3"/>
  <c r="BI289" i="3"/>
  <c r="BH289" i="3"/>
  <c r="BG289" i="3"/>
  <c r="BF289" i="3"/>
  <c r="BE289" i="3"/>
  <c r="BD289" i="3"/>
  <c r="BC289" i="3"/>
  <c r="BB289" i="3"/>
  <c r="BA289" i="3"/>
  <c r="AZ289" i="3"/>
  <c r="AY289" i="3"/>
  <c r="AX289" i="3"/>
  <c r="AW289" i="3"/>
  <c r="AV289" i="3"/>
  <c r="AR289" i="3"/>
  <c r="AS289" i="3" s="1"/>
  <c r="B289" i="3"/>
  <c r="CE288" i="3"/>
  <c r="CD288" i="3"/>
  <c r="CC288" i="3"/>
  <c r="CB288" i="3"/>
  <c r="CA288" i="3"/>
  <c r="BZ288" i="3"/>
  <c r="BY288" i="3"/>
  <c r="BX288" i="3"/>
  <c r="BW288" i="3"/>
  <c r="BV288" i="3"/>
  <c r="BU288" i="3"/>
  <c r="BT288" i="3"/>
  <c r="BS288" i="3"/>
  <c r="BR288" i="3"/>
  <c r="BQ288" i="3"/>
  <c r="BP288" i="3"/>
  <c r="BO288" i="3"/>
  <c r="BN288" i="3"/>
  <c r="BM288" i="3"/>
  <c r="BL288" i="3"/>
  <c r="BK288" i="3"/>
  <c r="BJ288" i="3"/>
  <c r="BI288" i="3"/>
  <c r="BH288" i="3"/>
  <c r="BG288" i="3"/>
  <c r="BF288" i="3"/>
  <c r="BE288" i="3"/>
  <c r="BD288" i="3"/>
  <c r="BC288" i="3"/>
  <c r="BB288" i="3"/>
  <c r="BA288" i="3"/>
  <c r="AZ288" i="3"/>
  <c r="AY288" i="3"/>
  <c r="AX288" i="3"/>
  <c r="AW288" i="3"/>
  <c r="AV288" i="3"/>
  <c r="AR288" i="3"/>
  <c r="AS288" i="3" s="1"/>
  <c r="B288" i="3"/>
  <c r="CE287" i="3"/>
  <c r="CD287" i="3"/>
  <c r="CC287" i="3"/>
  <c r="CB287" i="3"/>
  <c r="CA287" i="3"/>
  <c r="BZ287" i="3"/>
  <c r="BY287" i="3"/>
  <c r="BX287" i="3"/>
  <c r="BW287" i="3"/>
  <c r="BV287" i="3"/>
  <c r="BU287" i="3"/>
  <c r="BT287" i="3"/>
  <c r="BS287" i="3"/>
  <c r="BR287" i="3"/>
  <c r="BQ287" i="3"/>
  <c r="BP287" i="3"/>
  <c r="BO287" i="3"/>
  <c r="BN287" i="3"/>
  <c r="BM287" i="3"/>
  <c r="BL287" i="3"/>
  <c r="BK287" i="3"/>
  <c r="BJ287" i="3"/>
  <c r="BI287" i="3"/>
  <c r="BH287" i="3"/>
  <c r="BG287" i="3"/>
  <c r="BF287" i="3"/>
  <c r="BE287" i="3"/>
  <c r="BD287" i="3"/>
  <c r="BC287" i="3"/>
  <c r="BB287" i="3"/>
  <c r="BA287" i="3"/>
  <c r="AZ287" i="3"/>
  <c r="AY287" i="3"/>
  <c r="AX287" i="3"/>
  <c r="AW287" i="3"/>
  <c r="AV287" i="3"/>
  <c r="AR287" i="3"/>
  <c r="AS287" i="3" s="1"/>
  <c r="B287" i="3"/>
  <c r="CE286" i="3"/>
  <c r="CD286" i="3"/>
  <c r="CC286" i="3"/>
  <c r="CB286" i="3"/>
  <c r="CA286" i="3"/>
  <c r="BZ286" i="3"/>
  <c r="BY286" i="3"/>
  <c r="BX286" i="3"/>
  <c r="BW286" i="3"/>
  <c r="BV286" i="3"/>
  <c r="BU286" i="3"/>
  <c r="BT286" i="3"/>
  <c r="BS286" i="3"/>
  <c r="BR286" i="3"/>
  <c r="BQ286" i="3"/>
  <c r="BP286" i="3"/>
  <c r="BO286" i="3"/>
  <c r="BN286" i="3"/>
  <c r="BM286" i="3"/>
  <c r="BL286" i="3"/>
  <c r="BK286" i="3"/>
  <c r="BJ286" i="3"/>
  <c r="BI286" i="3"/>
  <c r="BH286" i="3"/>
  <c r="BG286" i="3"/>
  <c r="BF286" i="3"/>
  <c r="BE286" i="3"/>
  <c r="BD286" i="3"/>
  <c r="BC286" i="3"/>
  <c r="BB286" i="3"/>
  <c r="BA286" i="3"/>
  <c r="AZ286" i="3"/>
  <c r="AY286" i="3"/>
  <c r="AX286" i="3"/>
  <c r="AW286" i="3"/>
  <c r="AV286" i="3"/>
  <c r="AR286" i="3"/>
  <c r="AS286" i="3" s="1"/>
  <c r="B286" i="3"/>
  <c r="CE285" i="3"/>
  <c r="CD285" i="3"/>
  <c r="CC285" i="3"/>
  <c r="CB285" i="3"/>
  <c r="CA285" i="3"/>
  <c r="BZ285" i="3"/>
  <c r="BY285" i="3"/>
  <c r="BX285" i="3"/>
  <c r="BW285" i="3"/>
  <c r="BV285" i="3"/>
  <c r="BU285" i="3"/>
  <c r="BT285" i="3"/>
  <c r="BS285" i="3"/>
  <c r="BR285" i="3"/>
  <c r="BQ285" i="3"/>
  <c r="BP285" i="3"/>
  <c r="BO285" i="3"/>
  <c r="BN285" i="3"/>
  <c r="BM285" i="3"/>
  <c r="BL285" i="3"/>
  <c r="BK285" i="3"/>
  <c r="BJ285" i="3"/>
  <c r="BI285" i="3"/>
  <c r="BH285" i="3"/>
  <c r="BG285" i="3"/>
  <c r="BF285" i="3"/>
  <c r="BE285" i="3"/>
  <c r="BD285" i="3"/>
  <c r="BC285" i="3"/>
  <c r="BB285" i="3"/>
  <c r="BA285" i="3"/>
  <c r="AZ285" i="3"/>
  <c r="AY285" i="3"/>
  <c r="AX285" i="3"/>
  <c r="AW285" i="3"/>
  <c r="AV285" i="3"/>
  <c r="AR285" i="3"/>
  <c r="AS285" i="3" s="1"/>
  <c r="B285" i="3"/>
  <c r="CE284" i="3"/>
  <c r="CD284" i="3"/>
  <c r="CC284" i="3"/>
  <c r="CB284" i="3"/>
  <c r="CA284" i="3"/>
  <c r="BZ284" i="3"/>
  <c r="BY284" i="3"/>
  <c r="BX284" i="3"/>
  <c r="BW284" i="3"/>
  <c r="BV284" i="3"/>
  <c r="BU284" i="3"/>
  <c r="BT284" i="3"/>
  <c r="BS284" i="3"/>
  <c r="BR284" i="3"/>
  <c r="BQ284" i="3"/>
  <c r="BP284" i="3"/>
  <c r="BO284" i="3"/>
  <c r="BN284" i="3"/>
  <c r="BM284" i="3"/>
  <c r="BL284" i="3"/>
  <c r="BK284" i="3"/>
  <c r="BJ284" i="3"/>
  <c r="BI284" i="3"/>
  <c r="BH284" i="3"/>
  <c r="BG284" i="3"/>
  <c r="BF284" i="3"/>
  <c r="BE284" i="3"/>
  <c r="BD284" i="3"/>
  <c r="BC284" i="3"/>
  <c r="BB284" i="3"/>
  <c r="BA284" i="3"/>
  <c r="AZ284" i="3"/>
  <c r="AY284" i="3"/>
  <c r="AX284" i="3"/>
  <c r="AW284" i="3"/>
  <c r="AV284" i="3"/>
  <c r="B284" i="3"/>
  <c r="CE283" i="3"/>
  <c r="CD283" i="3"/>
  <c r="CC283" i="3"/>
  <c r="CB283" i="3"/>
  <c r="CA283" i="3"/>
  <c r="BZ283" i="3"/>
  <c r="BY283" i="3"/>
  <c r="BX283" i="3"/>
  <c r="BW283" i="3"/>
  <c r="BV283" i="3"/>
  <c r="BU283" i="3"/>
  <c r="BT283" i="3"/>
  <c r="BS283" i="3"/>
  <c r="BR283" i="3"/>
  <c r="BQ283" i="3"/>
  <c r="BP283" i="3"/>
  <c r="BO283" i="3"/>
  <c r="BN283" i="3"/>
  <c r="BM283" i="3"/>
  <c r="BL283" i="3"/>
  <c r="BK283" i="3"/>
  <c r="BJ283" i="3"/>
  <c r="BI283" i="3"/>
  <c r="BH283" i="3"/>
  <c r="BG283" i="3"/>
  <c r="BF283" i="3"/>
  <c r="BE283" i="3"/>
  <c r="BD283" i="3"/>
  <c r="BC283" i="3"/>
  <c r="BB283" i="3"/>
  <c r="BA283" i="3"/>
  <c r="AZ283" i="3"/>
  <c r="AY283" i="3"/>
  <c r="AX283" i="3"/>
  <c r="AW283" i="3"/>
  <c r="AV283" i="3"/>
  <c r="AR283" i="3"/>
  <c r="AS283" i="3" s="1"/>
  <c r="B283" i="3"/>
  <c r="CE282" i="3"/>
  <c r="CD282" i="3"/>
  <c r="CC282" i="3"/>
  <c r="CB282" i="3"/>
  <c r="CA282" i="3"/>
  <c r="BZ282" i="3"/>
  <c r="BY282" i="3"/>
  <c r="BX282" i="3"/>
  <c r="BW282" i="3"/>
  <c r="BV282" i="3"/>
  <c r="BU282" i="3"/>
  <c r="BT282" i="3"/>
  <c r="BS282" i="3"/>
  <c r="BR282" i="3"/>
  <c r="BQ282" i="3"/>
  <c r="BP282" i="3"/>
  <c r="BO282" i="3"/>
  <c r="BN282" i="3"/>
  <c r="BM282" i="3"/>
  <c r="BL282" i="3"/>
  <c r="BK282" i="3"/>
  <c r="BJ282" i="3"/>
  <c r="BI282" i="3"/>
  <c r="BH282" i="3"/>
  <c r="BG282" i="3"/>
  <c r="BF282" i="3"/>
  <c r="BE282" i="3"/>
  <c r="BD282" i="3"/>
  <c r="BC282" i="3"/>
  <c r="BB282" i="3"/>
  <c r="BA282" i="3"/>
  <c r="AZ282" i="3"/>
  <c r="AY282" i="3"/>
  <c r="AX282" i="3"/>
  <c r="AW282" i="3"/>
  <c r="AV282" i="3"/>
  <c r="AR282" i="3"/>
  <c r="AS282" i="3" s="1"/>
  <c r="B282" i="3"/>
  <c r="CE281" i="3"/>
  <c r="CD281" i="3"/>
  <c r="CC281" i="3"/>
  <c r="CB281" i="3"/>
  <c r="CA281" i="3"/>
  <c r="BZ281" i="3"/>
  <c r="BY281" i="3"/>
  <c r="BX281" i="3"/>
  <c r="BW281" i="3"/>
  <c r="BV281" i="3"/>
  <c r="BU281" i="3"/>
  <c r="BT281" i="3"/>
  <c r="BS281" i="3"/>
  <c r="BR281" i="3"/>
  <c r="BQ281" i="3"/>
  <c r="BP281" i="3"/>
  <c r="BO281" i="3"/>
  <c r="BN281" i="3"/>
  <c r="BM281" i="3"/>
  <c r="BL281" i="3"/>
  <c r="BK281" i="3"/>
  <c r="BJ281" i="3"/>
  <c r="BI281" i="3"/>
  <c r="BH281" i="3"/>
  <c r="BG281" i="3"/>
  <c r="BF281" i="3"/>
  <c r="BE281" i="3"/>
  <c r="BD281" i="3"/>
  <c r="BC281" i="3"/>
  <c r="BB281" i="3"/>
  <c r="BA281" i="3"/>
  <c r="AZ281" i="3"/>
  <c r="AY281" i="3"/>
  <c r="AX281" i="3"/>
  <c r="AW281" i="3"/>
  <c r="AV281" i="3"/>
  <c r="B281" i="3"/>
  <c r="CE280" i="3"/>
  <c r="CD280" i="3"/>
  <c r="CC280" i="3"/>
  <c r="CB280" i="3"/>
  <c r="CA280" i="3"/>
  <c r="BZ280" i="3"/>
  <c r="BY280" i="3"/>
  <c r="BX280" i="3"/>
  <c r="BW280" i="3"/>
  <c r="BV280" i="3"/>
  <c r="BU280" i="3"/>
  <c r="BT280" i="3"/>
  <c r="BS280" i="3"/>
  <c r="BR280" i="3"/>
  <c r="BQ280" i="3"/>
  <c r="BP280" i="3"/>
  <c r="BO280" i="3"/>
  <c r="BN280" i="3"/>
  <c r="BM280" i="3"/>
  <c r="BL280" i="3"/>
  <c r="BK280" i="3"/>
  <c r="BJ280" i="3"/>
  <c r="BI280" i="3"/>
  <c r="BH280" i="3"/>
  <c r="BG280" i="3"/>
  <c r="BF280" i="3"/>
  <c r="BE280" i="3"/>
  <c r="BD280" i="3"/>
  <c r="BC280" i="3"/>
  <c r="BB280" i="3"/>
  <c r="BA280" i="3"/>
  <c r="AZ280" i="3"/>
  <c r="AY280" i="3"/>
  <c r="AX280" i="3"/>
  <c r="AW280" i="3"/>
  <c r="AV280" i="3"/>
  <c r="AR280" i="3"/>
  <c r="AS280" i="3" s="1"/>
  <c r="B280" i="3"/>
  <c r="CE279" i="3"/>
  <c r="CD279" i="3"/>
  <c r="CC279" i="3"/>
  <c r="CB279" i="3"/>
  <c r="CA279" i="3"/>
  <c r="BZ279" i="3"/>
  <c r="BY279" i="3"/>
  <c r="BX279" i="3"/>
  <c r="BW279" i="3"/>
  <c r="BV279" i="3"/>
  <c r="BU279" i="3"/>
  <c r="BT279" i="3"/>
  <c r="BS279" i="3"/>
  <c r="BR279" i="3"/>
  <c r="BQ279" i="3"/>
  <c r="BP279" i="3"/>
  <c r="BO279" i="3"/>
  <c r="BN279" i="3"/>
  <c r="BM279" i="3"/>
  <c r="BL279" i="3"/>
  <c r="BK279" i="3"/>
  <c r="BJ279" i="3"/>
  <c r="BI279" i="3"/>
  <c r="BH279" i="3"/>
  <c r="BG279" i="3"/>
  <c r="BF279" i="3"/>
  <c r="BE279" i="3"/>
  <c r="BD279" i="3"/>
  <c r="BC279" i="3"/>
  <c r="BB279" i="3"/>
  <c r="BA279" i="3"/>
  <c r="AZ279" i="3"/>
  <c r="AY279" i="3"/>
  <c r="AX279" i="3"/>
  <c r="AW279" i="3"/>
  <c r="AV279" i="3"/>
  <c r="AR279" i="3"/>
  <c r="AS279" i="3" s="1"/>
  <c r="B279" i="3"/>
  <c r="CE278" i="3"/>
  <c r="CD278" i="3"/>
  <c r="CC278" i="3"/>
  <c r="CB278" i="3"/>
  <c r="CA278" i="3"/>
  <c r="BZ278" i="3"/>
  <c r="BY278" i="3"/>
  <c r="BX278" i="3"/>
  <c r="BW278" i="3"/>
  <c r="BV278" i="3"/>
  <c r="BU278" i="3"/>
  <c r="BT278" i="3"/>
  <c r="BS278" i="3"/>
  <c r="BR278" i="3"/>
  <c r="BQ278" i="3"/>
  <c r="BP278" i="3"/>
  <c r="BO278" i="3"/>
  <c r="BN278" i="3"/>
  <c r="BM278" i="3"/>
  <c r="BL278" i="3"/>
  <c r="BK278" i="3"/>
  <c r="BJ278" i="3"/>
  <c r="BI278" i="3"/>
  <c r="BH278" i="3"/>
  <c r="BG278" i="3"/>
  <c r="BF278" i="3"/>
  <c r="BE278" i="3"/>
  <c r="BD278" i="3"/>
  <c r="BC278" i="3"/>
  <c r="BB278" i="3"/>
  <c r="BA278" i="3"/>
  <c r="AZ278" i="3"/>
  <c r="AY278" i="3"/>
  <c r="AX278" i="3"/>
  <c r="AW278" i="3"/>
  <c r="AV278" i="3"/>
  <c r="AR278" i="3"/>
  <c r="AS278" i="3" s="1"/>
  <c r="B278" i="3"/>
  <c r="CE277" i="3"/>
  <c r="CD277" i="3"/>
  <c r="CC277" i="3"/>
  <c r="CB277" i="3"/>
  <c r="CA277" i="3"/>
  <c r="BZ277" i="3"/>
  <c r="BY277" i="3"/>
  <c r="BX277" i="3"/>
  <c r="BW277" i="3"/>
  <c r="BV277" i="3"/>
  <c r="BU277" i="3"/>
  <c r="BT277" i="3"/>
  <c r="BS277" i="3"/>
  <c r="BR277" i="3"/>
  <c r="BQ277" i="3"/>
  <c r="BP277" i="3"/>
  <c r="BO277" i="3"/>
  <c r="BN277" i="3"/>
  <c r="BM277" i="3"/>
  <c r="BL277" i="3"/>
  <c r="BK277" i="3"/>
  <c r="BJ277" i="3"/>
  <c r="BI277" i="3"/>
  <c r="BH277" i="3"/>
  <c r="BG277" i="3"/>
  <c r="BF277" i="3"/>
  <c r="BE277" i="3"/>
  <c r="BD277" i="3"/>
  <c r="BC277" i="3"/>
  <c r="BB277" i="3"/>
  <c r="BA277" i="3"/>
  <c r="AZ277" i="3"/>
  <c r="AY277" i="3"/>
  <c r="AX277" i="3"/>
  <c r="AW277" i="3"/>
  <c r="AV277" i="3"/>
  <c r="AR277" i="3"/>
  <c r="AS277" i="3" s="1"/>
  <c r="B277" i="3"/>
  <c r="CE276" i="3"/>
  <c r="CD276" i="3"/>
  <c r="CC276" i="3"/>
  <c r="CB276" i="3"/>
  <c r="CA276" i="3"/>
  <c r="BZ276" i="3"/>
  <c r="BY276" i="3"/>
  <c r="BX276" i="3"/>
  <c r="BW276" i="3"/>
  <c r="BV276" i="3"/>
  <c r="BU276" i="3"/>
  <c r="BT276" i="3"/>
  <c r="BS276" i="3"/>
  <c r="BR276" i="3"/>
  <c r="BQ276" i="3"/>
  <c r="BP276" i="3"/>
  <c r="BO276" i="3"/>
  <c r="BN276" i="3"/>
  <c r="BM276" i="3"/>
  <c r="BL276" i="3"/>
  <c r="BK276" i="3"/>
  <c r="BJ276" i="3"/>
  <c r="BI276" i="3"/>
  <c r="BH276" i="3"/>
  <c r="BG276" i="3"/>
  <c r="BF276" i="3"/>
  <c r="BE276" i="3"/>
  <c r="BD276" i="3"/>
  <c r="BC276" i="3"/>
  <c r="BB276" i="3"/>
  <c r="BA276" i="3"/>
  <c r="AZ276" i="3"/>
  <c r="AY276" i="3"/>
  <c r="AX276" i="3"/>
  <c r="AW276" i="3"/>
  <c r="AV276" i="3"/>
  <c r="AR276" i="3"/>
  <c r="AS276" i="3" s="1"/>
  <c r="B276" i="3"/>
  <c r="CE275" i="3"/>
  <c r="CD275" i="3"/>
  <c r="CC275" i="3"/>
  <c r="CB275" i="3"/>
  <c r="CA275" i="3"/>
  <c r="BZ275" i="3"/>
  <c r="BY275" i="3"/>
  <c r="BX275" i="3"/>
  <c r="BW275" i="3"/>
  <c r="BV275" i="3"/>
  <c r="BU275" i="3"/>
  <c r="BT275" i="3"/>
  <c r="BS275" i="3"/>
  <c r="BR275" i="3"/>
  <c r="BQ275" i="3"/>
  <c r="BP275" i="3"/>
  <c r="BO275" i="3"/>
  <c r="BN275" i="3"/>
  <c r="BM275" i="3"/>
  <c r="BL275" i="3"/>
  <c r="BK275" i="3"/>
  <c r="BJ275" i="3"/>
  <c r="BI275" i="3"/>
  <c r="BH275" i="3"/>
  <c r="BG275" i="3"/>
  <c r="BF275" i="3"/>
  <c r="BE275" i="3"/>
  <c r="BD275" i="3"/>
  <c r="BC275" i="3"/>
  <c r="BB275" i="3"/>
  <c r="BA275" i="3"/>
  <c r="AZ275" i="3"/>
  <c r="AY275" i="3"/>
  <c r="AX275" i="3"/>
  <c r="AW275" i="3"/>
  <c r="AV275" i="3"/>
  <c r="AR275" i="3"/>
  <c r="AS275" i="3" s="1"/>
  <c r="B275" i="3"/>
  <c r="CE274" i="3"/>
  <c r="CD274" i="3"/>
  <c r="CC274" i="3"/>
  <c r="CB274" i="3"/>
  <c r="CA274" i="3"/>
  <c r="BZ274" i="3"/>
  <c r="BY274" i="3"/>
  <c r="BX274" i="3"/>
  <c r="BW274" i="3"/>
  <c r="BV274" i="3"/>
  <c r="BU274" i="3"/>
  <c r="BT274" i="3"/>
  <c r="BS274" i="3"/>
  <c r="BR274" i="3"/>
  <c r="BQ274" i="3"/>
  <c r="BP274" i="3"/>
  <c r="BO274" i="3"/>
  <c r="BN274" i="3"/>
  <c r="BM274" i="3"/>
  <c r="BL274" i="3"/>
  <c r="BK274" i="3"/>
  <c r="BJ274" i="3"/>
  <c r="BI274" i="3"/>
  <c r="BH274" i="3"/>
  <c r="BG274" i="3"/>
  <c r="BF274" i="3"/>
  <c r="BE274" i="3"/>
  <c r="BD274" i="3"/>
  <c r="BC274" i="3"/>
  <c r="BB274" i="3"/>
  <c r="BA274" i="3"/>
  <c r="AZ274" i="3"/>
  <c r="AY274" i="3"/>
  <c r="AX274" i="3"/>
  <c r="AW274" i="3"/>
  <c r="AV274" i="3"/>
  <c r="AR274" i="3"/>
  <c r="AS274" i="3" s="1"/>
  <c r="B274" i="3"/>
  <c r="CE273" i="3"/>
  <c r="CD273" i="3"/>
  <c r="CC273" i="3"/>
  <c r="CB273" i="3"/>
  <c r="CA273" i="3"/>
  <c r="BZ273" i="3"/>
  <c r="BY273" i="3"/>
  <c r="BX273" i="3"/>
  <c r="BW273" i="3"/>
  <c r="BV273" i="3"/>
  <c r="BU273" i="3"/>
  <c r="BT273" i="3"/>
  <c r="BS273" i="3"/>
  <c r="BR273" i="3"/>
  <c r="BQ273" i="3"/>
  <c r="BP273" i="3"/>
  <c r="BO273" i="3"/>
  <c r="BN273" i="3"/>
  <c r="BM273" i="3"/>
  <c r="BL273" i="3"/>
  <c r="BK273" i="3"/>
  <c r="BJ273" i="3"/>
  <c r="BI273" i="3"/>
  <c r="BH273" i="3"/>
  <c r="BG273" i="3"/>
  <c r="BF273" i="3"/>
  <c r="BE273" i="3"/>
  <c r="BD273" i="3"/>
  <c r="BC273" i="3"/>
  <c r="BB273" i="3"/>
  <c r="BA273" i="3"/>
  <c r="AZ273" i="3"/>
  <c r="AY273" i="3"/>
  <c r="AX273" i="3"/>
  <c r="AW273" i="3"/>
  <c r="AV273" i="3"/>
  <c r="AR273" i="3"/>
  <c r="AS273" i="3" s="1"/>
  <c r="B273" i="3"/>
  <c r="CE272" i="3"/>
  <c r="CD272" i="3"/>
  <c r="CC272" i="3"/>
  <c r="CB272" i="3"/>
  <c r="CA272" i="3"/>
  <c r="BZ272" i="3"/>
  <c r="BY272" i="3"/>
  <c r="BX272" i="3"/>
  <c r="BW272" i="3"/>
  <c r="BV272" i="3"/>
  <c r="BU272" i="3"/>
  <c r="BT272" i="3"/>
  <c r="BS272" i="3"/>
  <c r="BR272" i="3"/>
  <c r="BQ272" i="3"/>
  <c r="BP272" i="3"/>
  <c r="BO272" i="3"/>
  <c r="BN272" i="3"/>
  <c r="BM272" i="3"/>
  <c r="BL272" i="3"/>
  <c r="BK272" i="3"/>
  <c r="BJ272" i="3"/>
  <c r="BI272" i="3"/>
  <c r="BH272" i="3"/>
  <c r="BG272" i="3"/>
  <c r="BF272" i="3"/>
  <c r="BE272" i="3"/>
  <c r="BD272" i="3"/>
  <c r="BC272" i="3"/>
  <c r="BB272" i="3"/>
  <c r="BA272" i="3"/>
  <c r="AZ272" i="3"/>
  <c r="AY272" i="3"/>
  <c r="AX272" i="3"/>
  <c r="AW272" i="3"/>
  <c r="AV272" i="3"/>
  <c r="AR272" i="3"/>
  <c r="AS272" i="3" s="1"/>
  <c r="B272" i="3"/>
  <c r="CE271" i="3"/>
  <c r="CD271" i="3"/>
  <c r="CC271" i="3"/>
  <c r="CB271" i="3"/>
  <c r="CA271" i="3"/>
  <c r="BZ271" i="3"/>
  <c r="BY271" i="3"/>
  <c r="BX271" i="3"/>
  <c r="BW271" i="3"/>
  <c r="BV271" i="3"/>
  <c r="BU271" i="3"/>
  <c r="BT271" i="3"/>
  <c r="BS271" i="3"/>
  <c r="BR271" i="3"/>
  <c r="BQ271" i="3"/>
  <c r="BP271" i="3"/>
  <c r="BO271" i="3"/>
  <c r="BN271" i="3"/>
  <c r="BM271" i="3"/>
  <c r="BL271" i="3"/>
  <c r="BK271" i="3"/>
  <c r="BJ271" i="3"/>
  <c r="BI271" i="3"/>
  <c r="BH271" i="3"/>
  <c r="BG271" i="3"/>
  <c r="BF271" i="3"/>
  <c r="BE271" i="3"/>
  <c r="BD271" i="3"/>
  <c r="BC271" i="3"/>
  <c r="BB271" i="3"/>
  <c r="BA271" i="3"/>
  <c r="AZ271" i="3"/>
  <c r="AY271" i="3"/>
  <c r="AX271" i="3"/>
  <c r="AW271" i="3"/>
  <c r="AV271" i="3"/>
  <c r="AR271" i="3"/>
  <c r="AS271" i="3" s="1"/>
  <c r="B271" i="3"/>
  <c r="CE270" i="3"/>
  <c r="CD270" i="3"/>
  <c r="CC270" i="3"/>
  <c r="CB270" i="3"/>
  <c r="CA270" i="3"/>
  <c r="BZ270" i="3"/>
  <c r="BY270" i="3"/>
  <c r="BX270" i="3"/>
  <c r="BW270" i="3"/>
  <c r="BV270" i="3"/>
  <c r="BU270" i="3"/>
  <c r="BT270" i="3"/>
  <c r="BS270" i="3"/>
  <c r="BR270" i="3"/>
  <c r="BQ270" i="3"/>
  <c r="BP270" i="3"/>
  <c r="BO270" i="3"/>
  <c r="BN270" i="3"/>
  <c r="BM270" i="3"/>
  <c r="BL270" i="3"/>
  <c r="BK270" i="3"/>
  <c r="BJ270" i="3"/>
  <c r="BI270" i="3"/>
  <c r="BH270" i="3"/>
  <c r="BG270" i="3"/>
  <c r="BF270" i="3"/>
  <c r="BE270" i="3"/>
  <c r="BD270" i="3"/>
  <c r="BC270" i="3"/>
  <c r="BB270" i="3"/>
  <c r="BA270" i="3"/>
  <c r="AZ270" i="3"/>
  <c r="AY270" i="3"/>
  <c r="AX270" i="3"/>
  <c r="AW270" i="3"/>
  <c r="AV270" i="3"/>
  <c r="AR270" i="3"/>
  <c r="AS270" i="3" s="1"/>
  <c r="B270" i="3"/>
  <c r="CE337" i="3"/>
  <c r="CD337" i="3"/>
  <c r="CC337" i="3"/>
  <c r="CB337" i="3"/>
  <c r="CA337" i="3"/>
  <c r="BZ337" i="3"/>
  <c r="BY337" i="3"/>
  <c r="BX337" i="3"/>
  <c r="BW337" i="3"/>
  <c r="BV337" i="3"/>
  <c r="BU337" i="3"/>
  <c r="BT337" i="3"/>
  <c r="BS337" i="3"/>
  <c r="BR337" i="3"/>
  <c r="BQ337" i="3"/>
  <c r="BP337" i="3"/>
  <c r="BO337" i="3"/>
  <c r="BN337" i="3"/>
  <c r="BM337" i="3"/>
  <c r="BL337" i="3"/>
  <c r="BK337" i="3"/>
  <c r="BJ337" i="3"/>
  <c r="BI337" i="3"/>
  <c r="BH337" i="3"/>
  <c r="BG337" i="3"/>
  <c r="BF337" i="3"/>
  <c r="BE337" i="3"/>
  <c r="BD337" i="3"/>
  <c r="BC337" i="3"/>
  <c r="BB337" i="3"/>
  <c r="BA337" i="3"/>
  <c r="AZ337" i="3"/>
  <c r="AY337" i="3"/>
  <c r="AX337" i="3"/>
  <c r="AW337" i="3"/>
  <c r="AV337" i="3"/>
  <c r="AR337" i="3"/>
  <c r="AS337" i="3" s="1"/>
  <c r="B337" i="3"/>
  <c r="CE336" i="3"/>
  <c r="CD336" i="3"/>
  <c r="CC336" i="3"/>
  <c r="CB336" i="3"/>
  <c r="CA336" i="3"/>
  <c r="BZ336" i="3"/>
  <c r="BY336" i="3"/>
  <c r="BX336" i="3"/>
  <c r="BW336" i="3"/>
  <c r="BV336" i="3"/>
  <c r="BU336" i="3"/>
  <c r="BT336" i="3"/>
  <c r="BS336" i="3"/>
  <c r="BR336" i="3"/>
  <c r="BQ336" i="3"/>
  <c r="BP336" i="3"/>
  <c r="BO336" i="3"/>
  <c r="BN336" i="3"/>
  <c r="BM336" i="3"/>
  <c r="BL336" i="3"/>
  <c r="BK336" i="3"/>
  <c r="BJ336" i="3"/>
  <c r="BI336" i="3"/>
  <c r="BH336" i="3"/>
  <c r="BG336" i="3"/>
  <c r="BF336" i="3"/>
  <c r="BE336" i="3"/>
  <c r="BD336" i="3"/>
  <c r="BC336" i="3"/>
  <c r="BB336" i="3"/>
  <c r="BA336" i="3"/>
  <c r="AZ336" i="3"/>
  <c r="AY336" i="3"/>
  <c r="AX336" i="3"/>
  <c r="AW336" i="3"/>
  <c r="AV336" i="3"/>
  <c r="AR336" i="3"/>
  <c r="AS336" i="3" s="1"/>
  <c r="B336" i="3"/>
  <c r="CE335" i="3"/>
  <c r="CD335" i="3"/>
  <c r="CC335" i="3"/>
  <c r="CB335" i="3"/>
  <c r="CA335" i="3"/>
  <c r="BZ335" i="3"/>
  <c r="BY335" i="3"/>
  <c r="BX335" i="3"/>
  <c r="BW335" i="3"/>
  <c r="BV335" i="3"/>
  <c r="BU335" i="3"/>
  <c r="BT335" i="3"/>
  <c r="BS335" i="3"/>
  <c r="BR335" i="3"/>
  <c r="BQ335" i="3"/>
  <c r="BP335" i="3"/>
  <c r="BO335" i="3"/>
  <c r="BN335" i="3"/>
  <c r="BM335" i="3"/>
  <c r="BL335" i="3"/>
  <c r="BK335" i="3"/>
  <c r="BJ335" i="3"/>
  <c r="BI335" i="3"/>
  <c r="BH335" i="3"/>
  <c r="BG335" i="3"/>
  <c r="BF335" i="3"/>
  <c r="BE335" i="3"/>
  <c r="BD335" i="3"/>
  <c r="BC335" i="3"/>
  <c r="BB335" i="3"/>
  <c r="BA335" i="3"/>
  <c r="AZ335" i="3"/>
  <c r="AY335" i="3"/>
  <c r="AX335" i="3"/>
  <c r="AW335" i="3"/>
  <c r="AV335" i="3"/>
  <c r="AR335" i="3"/>
  <c r="AS335" i="3" s="1"/>
  <c r="B335" i="3"/>
  <c r="CE334" i="3"/>
  <c r="CD334" i="3"/>
  <c r="CC334" i="3"/>
  <c r="CB334" i="3"/>
  <c r="CA334" i="3"/>
  <c r="BZ334" i="3"/>
  <c r="BY334" i="3"/>
  <c r="BX334" i="3"/>
  <c r="BW334" i="3"/>
  <c r="BV334" i="3"/>
  <c r="BU334" i="3"/>
  <c r="BT334" i="3"/>
  <c r="BS334" i="3"/>
  <c r="BR334" i="3"/>
  <c r="BQ334" i="3"/>
  <c r="BP334" i="3"/>
  <c r="BO334" i="3"/>
  <c r="BN334" i="3"/>
  <c r="BM334" i="3"/>
  <c r="BL334" i="3"/>
  <c r="BK334" i="3"/>
  <c r="BJ334" i="3"/>
  <c r="BI334" i="3"/>
  <c r="BH334" i="3"/>
  <c r="BG334" i="3"/>
  <c r="BF334" i="3"/>
  <c r="BE334" i="3"/>
  <c r="BD334" i="3"/>
  <c r="BC334" i="3"/>
  <c r="BB334" i="3"/>
  <c r="BA334" i="3"/>
  <c r="AZ334" i="3"/>
  <c r="AY334" i="3"/>
  <c r="AX334" i="3"/>
  <c r="AW334" i="3"/>
  <c r="AV334" i="3"/>
  <c r="B334" i="3"/>
  <c r="CE333" i="3"/>
  <c r="CD333" i="3"/>
  <c r="CC333" i="3"/>
  <c r="CB333" i="3"/>
  <c r="CA333" i="3"/>
  <c r="BZ333" i="3"/>
  <c r="BY333" i="3"/>
  <c r="BX333" i="3"/>
  <c r="BW333" i="3"/>
  <c r="BV333" i="3"/>
  <c r="BU333" i="3"/>
  <c r="BT333" i="3"/>
  <c r="BS333" i="3"/>
  <c r="BR333" i="3"/>
  <c r="BQ333" i="3"/>
  <c r="BP333" i="3"/>
  <c r="BO333" i="3"/>
  <c r="BN333" i="3"/>
  <c r="BM333" i="3"/>
  <c r="BL333" i="3"/>
  <c r="BK333" i="3"/>
  <c r="BJ333" i="3"/>
  <c r="BI333" i="3"/>
  <c r="BH333" i="3"/>
  <c r="BG333" i="3"/>
  <c r="BF333" i="3"/>
  <c r="BE333" i="3"/>
  <c r="BD333" i="3"/>
  <c r="BC333" i="3"/>
  <c r="BB333" i="3"/>
  <c r="BA333" i="3"/>
  <c r="AZ333" i="3"/>
  <c r="AY333" i="3"/>
  <c r="AX333" i="3"/>
  <c r="AW333" i="3"/>
  <c r="AV333" i="3"/>
  <c r="AR333" i="3"/>
  <c r="AS333" i="3" s="1"/>
  <c r="B333" i="3"/>
  <c r="CE332" i="3"/>
  <c r="CD332" i="3"/>
  <c r="CC332" i="3"/>
  <c r="CB332" i="3"/>
  <c r="CA332" i="3"/>
  <c r="BZ332" i="3"/>
  <c r="BY332" i="3"/>
  <c r="BX332" i="3"/>
  <c r="BW332" i="3"/>
  <c r="BV332" i="3"/>
  <c r="BU332" i="3"/>
  <c r="BT332" i="3"/>
  <c r="BS332" i="3"/>
  <c r="BR332" i="3"/>
  <c r="BQ332" i="3"/>
  <c r="BP332" i="3"/>
  <c r="BO332" i="3"/>
  <c r="BN332" i="3"/>
  <c r="BM332" i="3"/>
  <c r="BL332" i="3"/>
  <c r="BK332" i="3"/>
  <c r="BJ332" i="3"/>
  <c r="BI332" i="3"/>
  <c r="BH332" i="3"/>
  <c r="BG332" i="3"/>
  <c r="BF332" i="3"/>
  <c r="BE332" i="3"/>
  <c r="BD332" i="3"/>
  <c r="BC332" i="3"/>
  <c r="BB332" i="3"/>
  <c r="BA332" i="3"/>
  <c r="AZ332" i="3"/>
  <c r="AY332" i="3"/>
  <c r="AX332" i="3"/>
  <c r="AW332" i="3"/>
  <c r="AV332" i="3"/>
  <c r="B332" i="3"/>
  <c r="CE331" i="3"/>
  <c r="CD331" i="3"/>
  <c r="CC331" i="3"/>
  <c r="CB331" i="3"/>
  <c r="CA331" i="3"/>
  <c r="BZ331" i="3"/>
  <c r="BY331" i="3"/>
  <c r="BX331" i="3"/>
  <c r="BW331" i="3"/>
  <c r="BV331" i="3"/>
  <c r="BU331" i="3"/>
  <c r="BT331" i="3"/>
  <c r="BS331" i="3"/>
  <c r="BR331" i="3"/>
  <c r="BQ331" i="3"/>
  <c r="BP331" i="3"/>
  <c r="BO331" i="3"/>
  <c r="BN331" i="3"/>
  <c r="BM331" i="3"/>
  <c r="BL331" i="3"/>
  <c r="BK331" i="3"/>
  <c r="BJ331" i="3"/>
  <c r="BI331" i="3"/>
  <c r="BH331" i="3"/>
  <c r="BG331" i="3"/>
  <c r="BF331" i="3"/>
  <c r="BE331" i="3"/>
  <c r="BD331" i="3"/>
  <c r="BC331" i="3"/>
  <c r="BB331" i="3"/>
  <c r="BA331" i="3"/>
  <c r="AZ331" i="3"/>
  <c r="AY331" i="3"/>
  <c r="AX331" i="3"/>
  <c r="AW331" i="3"/>
  <c r="AV331" i="3"/>
  <c r="AR331" i="3"/>
  <c r="AS331" i="3" s="1"/>
  <c r="B331" i="3"/>
  <c r="CE330" i="3"/>
  <c r="CD330" i="3"/>
  <c r="CC330" i="3"/>
  <c r="CB330" i="3"/>
  <c r="CA330" i="3"/>
  <c r="BZ330" i="3"/>
  <c r="BY330" i="3"/>
  <c r="BX330" i="3"/>
  <c r="BW330" i="3"/>
  <c r="BV330" i="3"/>
  <c r="BU330" i="3"/>
  <c r="BT330" i="3"/>
  <c r="BS330" i="3"/>
  <c r="BR330" i="3"/>
  <c r="BQ330" i="3"/>
  <c r="BP330" i="3"/>
  <c r="BO330" i="3"/>
  <c r="BN330" i="3"/>
  <c r="BM330" i="3"/>
  <c r="BL330" i="3"/>
  <c r="BK330" i="3"/>
  <c r="BJ330" i="3"/>
  <c r="BI330" i="3"/>
  <c r="BH330" i="3"/>
  <c r="BG330" i="3"/>
  <c r="BF330" i="3"/>
  <c r="BE330" i="3"/>
  <c r="BD330" i="3"/>
  <c r="BC330" i="3"/>
  <c r="BB330" i="3"/>
  <c r="BA330" i="3"/>
  <c r="AZ330" i="3"/>
  <c r="AY330" i="3"/>
  <c r="AX330" i="3"/>
  <c r="AW330" i="3"/>
  <c r="AV330" i="3"/>
  <c r="AR330" i="3"/>
  <c r="AS330" i="3" s="1"/>
  <c r="B330" i="3"/>
  <c r="CE329" i="3"/>
  <c r="CD329" i="3"/>
  <c r="CC329" i="3"/>
  <c r="CB329" i="3"/>
  <c r="CA329" i="3"/>
  <c r="BZ329" i="3"/>
  <c r="BY329" i="3"/>
  <c r="BX329" i="3"/>
  <c r="BW329" i="3"/>
  <c r="BV329" i="3"/>
  <c r="BU329" i="3"/>
  <c r="BT329" i="3"/>
  <c r="BS329" i="3"/>
  <c r="BR329" i="3"/>
  <c r="BQ329" i="3"/>
  <c r="BP329" i="3"/>
  <c r="BO329" i="3"/>
  <c r="BN329" i="3"/>
  <c r="BM329" i="3"/>
  <c r="BL329" i="3"/>
  <c r="BK329" i="3"/>
  <c r="BJ329" i="3"/>
  <c r="BI329" i="3"/>
  <c r="BH329" i="3"/>
  <c r="BG329" i="3"/>
  <c r="BF329" i="3"/>
  <c r="BE329" i="3"/>
  <c r="BD329" i="3"/>
  <c r="BC329" i="3"/>
  <c r="BB329" i="3"/>
  <c r="BA329" i="3"/>
  <c r="AZ329" i="3"/>
  <c r="AY329" i="3"/>
  <c r="AX329" i="3"/>
  <c r="AW329" i="3"/>
  <c r="AV329" i="3"/>
  <c r="AR329" i="3"/>
  <c r="AS329" i="3" s="1"/>
  <c r="B329" i="3"/>
  <c r="CE328" i="3"/>
  <c r="CD328" i="3"/>
  <c r="CC328" i="3"/>
  <c r="CB328" i="3"/>
  <c r="CA328" i="3"/>
  <c r="BZ328" i="3"/>
  <c r="BY328" i="3"/>
  <c r="BX328" i="3"/>
  <c r="BW328" i="3"/>
  <c r="BV328" i="3"/>
  <c r="BU328" i="3"/>
  <c r="BT328" i="3"/>
  <c r="BS328" i="3"/>
  <c r="BR328" i="3"/>
  <c r="BQ328" i="3"/>
  <c r="BP328" i="3"/>
  <c r="BO328" i="3"/>
  <c r="BN328" i="3"/>
  <c r="BM328" i="3"/>
  <c r="BL328" i="3"/>
  <c r="BK328" i="3"/>
  <c r="BJ328" i="3"/>
  <c r="BI328" i="3"/>
  <c r="BH328" i="3"/>
  <c r="BG328" i="3"/>
  <c r="BF328" i="3"/>
  <c r="BE328" i="3"/>
  <c r="BD328" i="3"/>
  <c r="BC328" i="3"/>
  <c r="BB328" i="3"/>
  <c r="BA328" i="3"/>
  <c r="AZ328" i="3"/>
  <c r="AY328" i="3"/>
  <c r="AX328" i="3"/>
  <c r="AW328" i="3"/>
  <c r="AV328" i="3"/>
  <c r="AR328" i="3"/>
  <c r="AS328" i="3" s="1"/>
  <c r="B328" i="3"/>
  <c r="CE327" i="3"/>
  <c r="CD327" i="3"/>
  <c r="CC327" i="3"/>
  <c r="CB327" i="3"/>
  <c r="CA327" i="3"/>
  <c r="BZ327" i="3"/>
  <c r="BY327" i="3"/>
  <c r="BX327" i="3"/>
  <c r="BW327" i="3"/>
  <c r="BV327" i="3"/>
  <c r="BU327" i="3"/>
  <c r="BT327" i="3"/>
  <c r="BS327" i="3"/>
  <c r="BR327" i="3"/>
  <c r="BQ327" i="3"/>
  <c r="BP327" i="3"/>
  <c r="BO327" i="3"/>
  <c r="BN327" i="3"/>
  <c r="BM327" i="3"/>
  <c r="BL327" i="3"/>
  <c r="BK327" i="3"/>
  <c r="BJ327" i="3"/>
  <c r="BI327" i="3"/>
  <c r="BH327" i="3"/>
  <c r="BG327" i="3"/>
  <c r="BF327" i="3"/>
  <c r="BE327" i="3"/>
  <c r="BD327" i="3"/>
  <c r="BC327" i="3"/>
  <c r="BB327" i="3"/>
  <c r="BA327" i="3"/>
  <c r="AZ327" i="3"/>
  <c r="AY327" i="3"/>
  <c r="AX327" i="3"/>
  <c r="AW327" i="3"/>
  <c r="AV327" i="3"/>
  <c r="B327" i="3"/>
  <c r="CE326" i="3"/>
  <c r="CD326" i="3"/>
  <c r="CC326" i="3"/>
  <c r="CB326" i="3"/>
  <c r="CA326" i="3"/>
  <c r="BZ326" i="3"/>
  <c r="BY326" i="3"/>
  <c r="BX326" i="3"/>
  <c r="BW326" i="3"/>
  <c r="BV326" i="3"/>
  <c r="BU326" i="3"/>
  <c r="BT326" i="3"/>
  <c r="BS326" i="3"/>
  <c r="BR326" i="3"/>
  <c r="BQ326" i="3"/>
  <c r="BP326" i="3"/>
  <c r="BO326" i="3"/>
  <c r="BN326" i="3"/>
  <c r="BM326" i="3"/>
  <c r="BL326" i="3"/>
  <c r="BK326" i="3"/>
  <c r="BJ326" i="3"/>
  <c r="BI326" i="3"/>
  <c r="BH326" i="3"/>
  <c r="BG326" i="3"/>
  <c r="BF326" i="3"/>
  <c r="BE326" i="3"/>
  <c r="BD326" i="3"/>
  <c r="BC326" i="3"/>
  <c r="BB326" i="3"/>
  <c r="BA326" i="3"/>
  <c r="AZ326" i="3"/>
  <c r="AY326" i="3"/>
  <c r="AX326" i="3"/>
  <c r="AW326" i="3"/>
  <c r="AV326" i="3"/>
  <c r="B326" i="3"/>
  <c r="CE325" i="3"/>
  <c r="CD325" i="3"/>
  <c r="CC325" i="3"/>
  <c r="CB325" i="3"/>
  <c r="CA325" i="3"/>
  <c r="BZ325" i="3"/>
  <c r="BY325" i="3"/>
  <c r="BX325" i="3"/>
  <c r="BW325" i="3"/>
  <c r="BV325" i="3"/>
  <c r="BU325" i="3"/>
  <c r="BT325" i="3"/>
  <c r="BS325" i="3"/>
  <c r="BR325" i="3"/>
  <c r="BQ325" i="3"/>
  <c r="BP325" i="3"/>
  <c r="BO325" i="3"/>
  <c r="BN325" i="3"/>
  <c r="BM325" i="3"/>
  <c r="BL325" i="3"/>
  <c r="BK325" i="3"/>
  <c r="BJ325" i="3"/>
  <c r="BI325" i="3"/>
  <c r="BH325" i="3"/>
  <c r="BG325" i="3"/>
  <c r="BF325" i="3"/>
  <c r="BE325" i="3"/>
  <c r="BD325" i="3"/>
  <c r="BC325" i="3"/>
  <c r="BB325" i="3"/>
  <c r="BA325" i="3"/>
  <c r="AZ325" i="3"/>
  <c r="AY325" i="3"/>
  <c r="AX325" i="3"/>
  <c r="AW325" i="3"/>
  <c r="AV325" i="3"/>
  <c r="AR325" i="3"/>
  <c r="AS325" i="3" s="1"/>
  <c r="B325" i="3"/>
  <c r="CE324" i="3"/>
  <c r="CD324" i="3"/>
  <c r="CC324" i="3"/>
  <c r="CB324" i="3"/>
  <c r="CA324" i="3"/>
  <c r="BZ324" i="3"/>
  <c r="BY324" i="3"/>
  <c r="BX324" i="3"/>
  <c r="BW324" i="3"/>
  <c r="BV324" i="3"/>
  <c r="BU324" i="3"/>
  <c r="BT324" i="3"/>
  <c r="BS324" i="3"/>
  <c r="BR324" i="3"/>
  <c r="BQ324" i="3"/>
  <c r="BP324" i="3"/>
  <c r="BO324" i="3"/>
  <c r="BN324" i="3"/>
  <c r="BM324" i="3"/>
  <c r="BL324" i="3"/>
  <c r="BK324" i="3"/>
  <c r="BJ324" i="3"/>
  <c r="BI324" i="3"/>
  <c r="BH324" i="3"/>
  <c r="BG324" i="3"/>
  <c r="BF324" i="3"/>
  <c r="BE324" i="3"/>
  <c r="BD324" i="3"/>
  <c r="BC324" i="3"/>
  <c r="BB324" i="3"/>
  <c r="BA324" i="3"/>
  <c r="AZ324" i="3"/>
  <c r="AY324" i="3"/>
  <c r="AX324" i="3"/>
  <c r="AW324" i="3"/>
  <c r="AV324" i="3"/>
  <c r="AR324" i="3"/>
  <c r="AS324" i="3" s="1"/>
  <c r="B324" i="3"/>
  <c r="CE323" i="3"/>
  <c r="CD323" i="3"/>
  <c r="CC323" i="3"/>
  <c r="CB323" i="3"/>
  <c r="CA323" i="3"/>
  <c r="BZ323" i="3"/>
  <c r="BY323" i="3"/>
  <c r="BX323" i="3"/>
  <c r="BW323" i="3"/>
  <c r="BV323" i="3"/>
  <c r="BU323" i="3"/>
  <c r="BT323" i="3"/>
  <c r="BS323" i="3"/>
  <c r="BR323" i="3"/>
  <c r="BQ323" i="3"/>
  <c r="BP323" i="3"/>
  <c r="BO323" i="3"/>
  <c r="BN323" i="3"/>
  <c r="BM323" i="3"/>
  <c r="BL323" i="3"/>
  <c r="BK323" i="3"/>
  <c r="BJ323" i="3"/>
  <c r="BI323" i="3"/>
  <c r="BH323" i="3"/>
  <c r="BG323" i="3"/>
  <c r="BF323" i="3"/>
  <c r="BE323" i="3"/>
  <c r="BD323" i="3"/>
  <c r="BC323" i="3"/>
  <c r="BB323" i="3"/>
  <c r="BA323" i="3"/>
  <c r="AZ323" i="3"/>
  <c r="AY323" i="3"/>
  <c r="AX323" i="3"/>
  <c r="AW323" i="3"/>
  <c r="AV323" i="3"/>
  <c r="AR323" i="3"/>
  <c r="AS323" i="3" s="1"/>
  <c r="B323" i="3"/>
  <c r="CE322" i="3"/>
  <c r="CD322" i="3"/>
  <c r="CC322" i="3"/>
  <c r="CB322" i="3"/>
  <c r="CA322" i="3"/>
  <c r="BZ322" i="3"/>
  <c r="BY322" i="3"/>
  <c r="BX322" i="3"/>
  <c r="BW322" i="3"/>
  <c r="BV322" i="3"/>
  <c r="BU322" i="3"/>
  <c r="BT322" i="3"/>
  <c r="BS322" i="3"/>
  <c r="BR322" i="3"/>
  <c r="BQ322" i="3"/>
  <c r="BP322" i="3"/>
  <c r="BO322" i="3"/>
  <c r="BN322" i="3"/>
  <c r="BM322" i="3"/>
  <c r="BL322" i="3"/>
  <c r="BK322" i="3"/>
  <c r="BJ322" i="3"/>
  <c r="BI322" i="3"/>
  <c r="BH322" i="3"/>
  <c r="BG322" i="3"/>
  <c r="BF322" i="3"/>
  <c r="BE322" i="3"/>
  <c r="BD322" i="3"/>
  <c r="BC322" i="3"/>
  <c r="BB322" i="3"/>
  <c r="BA322" i="3"/>
  <c r="AZ322" i="3"/>
  <c r="AY322" i="3"/>
  <c r="AX322" i="3"/>
  <c r="AW322" i="3"/>
  <c r="AV322" i="3"/>
  <c r="AR322" i="3"/>
  <c r="AS322" i="3" s="1"/>
  <c r="B322" i="3"/>
  <c r="CE321" i="3"/>
  <c r="CD321" i="3"/>
  <c r="CC321" i="3"/>
  <c r="CB321" i="3"/>
  <c r="CA321" i="3"/>
  <c r="BZ321" i="3"/>
  <c r="BY321" i="3"/>
  <c r="BX321" i="3"/>
  <c r="BW321" i="3"/>
  <c r="BV321" i="3"/>
  <c r="BU321" i="3"/>
  <c r="BT321" i="3"/>
  <c r="BS321" i="3"/>
  <c r="BR321" i="3"/>
  <c r="BQ321" i="3"/>
  <c r="BP321" i="3"/>
  <c r="BO321" i="3"/>
  <c r="BN321" i="3"/>
  <c r="BM321" i="3"/>
  <c r="BL321" i="3"/>
  <c r="BK321" i="3"/>
  <c r="BJ321" i="3"/>
  <c r="BI321" i="3"/>
  <c r="BH321" i="3"/>
  <c r="BG321" i="3"/>
  <c r="BF321" i="3"/>
  <c r="BE321" i="3"/>
  <c r="BD321" i="3"/>
  <c r="BC321" i="3"/>
  <c r="BB321" i="3"/>
  <c r="BA321" i="3"/>
  <c r="AZ321" i="3"/>
  <c r="AY321" i="3"/>
  <c r="AX321" i="3"/>
  <c r="AW321" i="3"/>
  <c r="AV321" i="3"/>
  <c r="AR321" i="3"/>
  <c r="AS321" i="3" s="1"/>
  <c r="B321" i="3"/>
  <c r="CE320" i="3"/>
  <c r="CD320" i="3"/>
  <c r="CC320" i="3"/>
  <c r="CB320" i="3"/>
  <c r="CA320" i="3"/>
  <c r="BZ320" i="3"/>
  <c r="BY320" i="3"/>
  <c r="BX320" i="3"/>
  <c r="BW320" i="3"/>
  <c r="BV320" i="3"/>
  <c r="BU320" i="3"/>
  <c r="BT320" i="3"/>
  <c r="BS320" i="3"/>
  <c r="BR320" i="3"/>
  <c r="BQ320" i="3"/>
  <c r="BP320" i="3"/>
  <c r="BO320" i="3"/>
  <c r="BN320" i="3"/>
  <c r="BM320" i="3"/>
  <c r="BL320" i="3"/>
  <c r="BK320" i="3"/>
  <c r="BJ320" i="3"/>
  <c r="BI320" i="3"/>
  <c r="BH320" i="3"/>
  <c r="BG320" i="3"/>
  <c r="BF320" i="3"/>
  <c r="BE320" i="3"/>
  <c r="BD320" i="3"/>
  <c r="BC320" i="3"/>
  <c r="BB320" i="3"/>
  <c r="BA320" i="3"/>
  <c r="AZ320" i="3"/>
  <c r="AY320" i="3"/>
  <c r="AX320" i="3"/>
  <c r="AW320" i="3"/>
  <c r="AV320" i="3"/>
  <c r="AR320" i="3"/>
  <c r="AS320" i="3" s="1"/>
  <c r="B320" i="3"/>
  <c r="CE319" i="3"/>
  <c r="CD319" i="3"/>
  <c r="CC319" i="3"/>
  <c r="CB319" i="3"/>
  <c r="CA319" i="3"/>
  <c r="BZ319" i="3"/>
  <c r="BY319" i="3"/>
  <c r="BX319" i="3"/>
  <c r="BW319" i="3"/>
  <c r="BV319" i="3"/>
  <c r="BU319" i="3"/>
  <c r="BT319" i="3"/>
  <c r="BS319" i="3"/>
  <c r="BR319" i="3"/>
  <c r="BQ319" i="3"/>
  <c r="BP319" i="3"/>
  <c r="BO319" i="3"/>
  <c r="BN319" i="3"/>
  <c r="BM319" i="3"/>
  <c r="BL319" i="3"/>
  <c r="BK319" i="3"/>
  <c r="BJ319" i="3"/>
  <c r="BI319" i="3"/>
  <c r="BH319" i="3"/>
  <c r="BG319" i="3"/>
  <c r="BF319" i="3"/>
  <c r="BE319" i="3"/>
  <c r="BD319" i="3"/>
  <c r="BC319" i="3"/>
  <c r="BB319" i="3"/>
  <c r="BA319" i="3"/>
  <c r="AZ319" i="3"/>
  <c r="AY319" i="3"/>
  <c r="AX319" i="3"/>
  <c r="AW319" i="3"/>
  <c r="AV319" i="3"/>
  <c r="AR319" i="3"/>
  <c r="AS319" i="3" s="1"/>
  <c r="B319" i="3"/>
  <c r="CE318" i="3"/>
  <c r="CD318" i="3"/>
  <c r="CC318" i="3"/>
  <c r="CB318" i="3"/>
  <c r="CA318" i="3"/>
  <c r="BZ318" i="3"/>
  <c r="BY318" i="3"/>
  <c r="BX318" i="3"/>
  <c r="BW318" i="3"/>
  <c r="BV318" i="3"/>
  <c r="BU318" i="3"/>
  <c r="BT318" i="3"/>
  <c r="BS318" i="3"/>
  <c r="BR318" i="3"/>
  <c r="BQ318" i="3"/>
  <c r="BP318" i="3"/>
  <c r="BO318" i="3"/>
  <c r="BN318" i="3"/>
  <c r="BM318" i="3"/>
  <c r="BL318" i="3"/>
  <c r="BK318" i="3"/>
  <c r="BJ318" i="3"/>
  <c r="BI318" i="3"/>
  <c r="BH318" i="3"/>
  <c r="BG318" i="3"/>
  <c r="BF318" i="3"/>
  <c r="BE318" i="3"/>
  <c r="BD318" i="3"/>
  <c r="BC318" i="3"/>
  <c r="BB318" i="3"/>
  <c r="BA318" i="3"/>
  <c r="AZ318" i="3"/>
  <c r="AY318" i="3"/>
  <c r="AX318" i="3"/>
  <c r="AW318" i="3"/>
  <c r="AV318" i="3"/>
  <c r="AR318" i="3"/>
  <c r="AS318" i="3" s="1"/>
  <c r="B318" i="3"/>
  <c r="CE317" i="3"/>
  <c r="CD317" i="3"/>
  <c r="CC317" i="3"/>
  <c r="CB317" i="3"/>
  <c r="CA317" i="3"/>
  <c r="BZ317" i="3"/>
  <c r="BY317" i="3"/>
  <c r="BX317" i="3"/>
  <c r="BW317" i="3"/>
  <c r="BV317" i="3"/>
  <c r="BU317" i="3"/>
  <c r="BT317" i="3"/>
  <c r="BS317" i="3"/>
  <c r="BR317" i="3"/>
  <c r="BQ317" i="3"/>
  <c r="BP317" i="3"/>
  <c r="BO317" i="3"/>
  <c r="BN317" i="3"/>
  <c r="BM317" i="3"/>
  <c r="BL317" i="3"/>
  <c r="BK317" i="3"/>
  <c r="BJ317" i="3"/>
  <c r="BI317" i="3"/>
  <c r="BH317" i="3"/>
  <c r="BG317" i="3"/>
  <c r="BF317" i="3"/>
  <c r="BE317" i="3"/>
  <c r="BD317" i="3"/>
  <c r="BC317" i="3"/>
  <c r="BB317" i="3"/>
  <c r="BA317" i="3"/>
  <c r="AZ317" i="3"/>
  <c r="AY317" i="3"/>
  <c r="AX317" i="3"/>
  <c r="AW317" i="3"/>
  <c r="AV317" i="3"/>
  <c r="B317" i="3"/>
  <c r="CE316" i="3"/>
  <c r="CD316" i="3"/>
  <c r="CC316" i="3"/>
  <c r="CB316" i="3"/>
  <c r="CA316" i="3"/>
  <c r="BZ316" i="3"/>
  <c r="BY316" i="3"/>
  <c r="BX316" i="3"/>
  <c r="BW316" i="3"/>
  <c r="BV316" i="3"/>
  <c r="BU316" i="3"/>
  <c r="BT316" i="3"/>
  <c r="BS316" i="3"/>
  <c r="BR316" i="3"/>
  <c r="BQ316" i="3"/>
  <c r="BP316" i="3"/>
  <c r="BO316" i="3"/>
  <c r="BN316" i="3"/>
  <c r="BM316" i="3"/>
  <c r="BL316" i="3"/>
  <c r="BK316" i="3"/>
  <c r="BJ316" i="3"/>
  <c r="BI316" i="3"/>
  <c r="BH316" i="3"/>
  <c r="BG316" i="3"/>
  <c r="BF316" i="3"/>
  <c r="BE316" i="3"/>
  <c r="BD316" i="3"/>
  <c r="BC316" i="3"/>
  <c r="BB316" i="3"/>
  <c r="BA316" i="3"/>
  <c r="AZ316" i="3"/>
  <c r="AY316" i="3"/>
  <c r="AX316" i="3"/>
  <c r="AW316" i="3"/>
  <c r="AV316" i="3"/>
  <c r="AR316" i="3"/>
  <c r="AS316" i="3" s="1"/>
  <c r="B316" i="3"/>
  <c r="CE315" i="3"/>
  <c r="CD315" i="3"/>
  <c r="CC315" i="3"/>
  <c r="CB315" i="3"/>
  <c r="CA315" i="3"/>
  <c r="BZ315" i="3"/>
  <c r="BY315" i="3"/>
  <c r="BX315" i="3"/>
  <c r="BW315" i="3"/>
  <c r="BV315" i="3"/>
  <c r="BU315" i="3"/>
  <c r="BT315" i="3"/>
  <c r="BS315" i="3"/>
  <c r="BR315" i="3"/>
  <c r="BQ315" i="3"/>
  <c r="BP315" i="3"/>
  <c r="BO315" i="3"/>
  <c r="BN315" i="3"/>
  <c r="BM315" i="3"/>
  <c r="BL315" i="3"/>
  <c r="BK315" i="3"/>
  <c r="BJ315" i="3"/>
  <c r="BI315" i="3"/>
  <c r="BH315" i="3"/>
  <c r="BG315" i="3"/>
  <c r="BF315" i="3"/>
  <c r="BE315" i="3"/>
  <c r="BD315" i="3"/>
  <c r="BC315" i="3"/>
  <c r="BB315" i="3"/>
  <c r="BA315" i="3"/>
  <c r="AZ315" i="3"/>
  <c r="AY315" i="3"/>
  <c r="AX315" i="3"/>
  <c r="AW315" i="3"/>
  <c r="AV315" i="3"/>
  <c r="AR315" i="3"/>
  <c r="AS315" i="3" s="1"/>
  <c r="B315" i="3"/>
  <c r="CE314" i="3"/>
  <c r="CD314" i="3"/>
  <c r="CC314" i="3"/>
  <c r="CB314" i="3"/>
  <c r="CA314" i="3"/>
  <c r="BZ314" i="3"/>
  <c r="BY314" i="3"/>
  <c r="BX314" i="3"/>
  <c r="BW314" i="3"/>
  <c r="BV314" i="3"/>
  <c r="BU314" i="3"/>
  <c r="BT314" i="3"/>
  <c r="BS314" i="3"/>
  <c r="BR314" i="3"/>
  <c r="BQ314" i="3"/>
  <c r="BP314" i="3"/>
  <c r="BO314" i="3"/>
  <c r="BN314" i="3"/>
  <c r="BM314" i="3"/>
  <c r="BL314" i="3"/>
  <c r="BK314" i="3"/>
  <c r="BJ314" i="3"/>
  <c r="BI314" i="3"/>
  <c r="BH314" i="3"/>
  <c r="BG314" i="3"/>
  <c r="BF314" i="3"/>
  <c r="BE314" i="3"/>
  <c r="BD314" i="3"/>
  <c r="BC314" i="3"/>
  <c r="BB314" i="3"/>
  <c r="BA314" i="3"/>
  <c r="AZ314" i="3"/>
  <c r="AY314" i="3"/>
  <c r="AX314" i="3"/>
  <c r="AW314" i="3"/>
  <c r="AV314" i="3"/>
  <c r="AR314" i="3"/>
  <c r="AS314" i="3" s="1"/>
  <c r="B314" i="3"/>
  <c r="CE313" i="3"/>
  <c r="CD313" i="3"/>
  <c r="CC313" i="3"/>
  <c r="CB313" i="3"/>
  <c r="CA313" i="3"/>
  <c r="BZ313" i="3"/>
  <c r="BY313" i="3"/>
  <c r="BX313" i="3"/>
  <c r="BW313" i="3"/>
  <c r="BV313" i="3"/>
  <c r="BU313" i="3"/>
  <c r="BT313" i="3"/>
  <c r="BS313" i="3"/>
  <c r="BR313" i="3"/>
  <c r="BQ313" i="3"/>
  <c r="BP313" i="3"/>
  <c r="BO313" i="3"/>
  <c r="BN313" i="3"/>
  <c r="BM313" i="3"/>
  <c r="BL313" i="3"/>
  <c r="BK313" i="3"/>
  <c r="BJ313" i="3"/>
  <c r="BI313" i="3"/>
  <c r="BH313" i="3"/>
  <c r="BG313" i="3"/>
  <c r="BF313" i="3"/>
  <c r="BE313" i="3"/>
  <c r="BD313" i="3"/>
  <c r="BC313" i="3"/>
  <c r="BB313" i="3"/>
  <c r="BA313" i="3"/>
  <c r="AZ313" i="3"/>
  <c r="AY313" i="3"/>
  <c r="AX313" i="3"/>
  <c r="AW313" i="3"/>
  <c r="AV313" i="3"/>
  <c r="AR313" i="3"/>
  <c r="AS313" i="3" s="1"/>
  <c r="B313" i="3"/>
  <c r="CE312" i="3"/>
  <c r="CD312" i="3"/>
  <c r="CC312" i="3"/>
  <c r="CB312" i="3"/>
  <c r="CA312" i="3"/>
  <c r="BZ312" i="3"/>
  <c r="BY312" i="3"/>
  <c r="BX312" i="3"/>
  <c r="BW312" i="3"/>
  <c r="BV312" i="3"/>
  <c r="BU312" i="3"/>
  <c r="BT312" i="3"/>
  <c r="BS312" i="3"/>
  <c r="BR312" i="3"/>
  <c r="BQ312" i="3"/>
  <c r="BP312" i="3"/>
  <c r="BO312" i="3"/>
  <c r="BN312" i="3"/>
  <c r="BM312" i="3"/>
  <c r="BL312" i="3"/>
  <c r="BK312" i="3"/>
  <c r="BJ312" i="3"/>
  <c r="BI312" i="3"/>
  <c r="BH312" i="3"/>
  <c r="BG312" i="3"/>
  <c r="BF312" i="3"/>
  <c r="BE312" i="3"/>
  <c r="BD312" i="3"/>
  <c r="BC312" i="3"/>
  <c r="BB312" i="3"/>
  <c r="BA312" i="3"/>
  <c r="AZ312" i="3"/>
  <c r="AY312" i="3"/>
  <c r="AX312" i="3"/>
  <c r="AW312" i="3"/>
  <c r="AV312" i="3"/>
  <c r="AR312" i="3"/>
  <c r="AS312" i="3" s="1"/>
  <c r="B312" i="3"/>
  <c r="CE311" i="3"/>
  <c r="CD311" i="3"/>
  <c r="CC311" i="3"/>
  <c r="CB311" i="3"/>
  <c r="CA311" i="3"/>
  <c r="BZ311" i="3"/>
  <c r="BY311" i="3"/>
  <c r="BX311" i="3"/>
  <c r="BW311" i="3"/>
  <c r="BV311" i="3"/>
  <c r="BU311" i="3"/>
  <c r="BT311" i="3"/>
  <c r="BS311" i="3"/>
  <c r="BR311" i="3"/>
  <c r="BQ311" i="3"/>
  <c r="BP311" i="3"/>
  <c r="BO311" i="3"/>
  <c r="BN311" i="3"/>
  <c r="BM311" i="3"/>
  <c r="BL311" i="3"/>
  <c r="BK311" i="3"/>
  <c r="BJ311" i="3"/>
  <c r="BI311" i="3"/>
  <c r="BH311" i="3"/>
  <c r="BG311" i="3"/>
  <c r="BF311" i="3"/>
  <c r="BE311" i="3"/>
  <c r="BD311" i="3"/>
  <c r="BC311" i="3"/>
  <c r="BB311" i="3"/>
  <c r="BA311" i="3"/>
  <c r="AZ311" i="3"/>
  <c r="AY311" i="3"/>
  <c r="AX311" i="3"/>
  <c r="AW311" i="3"/>
  <c r="AV311" i="3"/>
  <c r="AR311" i="3"/>
  <c r="AS311" i="3" s="1"/>
  <c r="B311" i="3"/>
  <c r="CE310" i="3"/>
  <c r="CD310" i="3"/>
  <c r="CC310" i="3"/>
  <c r="CB310" i="3"/>
  <c r="CA310" i="3"/>
  <c r="BZ310" i="3"/>
  <c r="BY310" i="3"/>
  <c r="BX310" i="3"/>
  <c r="BW310" i="3"/>
  <c r="BV310" i="3"/>
  <c r="BU310" i="3"/>
  <c r="BT310" i="3"/>
  <c r="BS310" i="3"/>
  <c r="BR310" i="3"/>
  <c r="BQ310" i="3"/>
  <c r="BP310" i="3"/>
  <c r="BO310" i="3"/>
  <c r="BN310" i="3"/>
  <c r="BM310" i="3"/>
  <c r="BL310" i="3"/>
  <c r="BK310" i="3"/>
  <c r="BJ310" i="3"/>
  <c r="BI310" i="3"/>
  <c r="BH310" i="3"/>
  <c r="BG310" i="3"/>
  <c r="BF310" i="3"/>
  <c r="BE310" i="3"/>
  <c r="BD310" i="3"/>
  <c r="BC310" i="3"/>
  <c r="BB310" i="3"/>
  <c r="BA310" i="3"/>
  <c r="AZ310" i="3"/>
  <c r="AY310" i="3"/>
  <c r="AX310" i="3"/>
  <c r="AW310" i="3"/>
  <c r="AV310" i="3"/>
  <c r="AR310" i="3"/>
  <c r="AS310" i="3" s="1"/>
  <c r="B310" i="3"/>
  <c r="CE309" i="3"/>
  <c r="CD309" i="3"/>
  <c r="CC309" i="3"/>
  <c r="CB309" i="3"/>
  <c r="CA309" i="3"/>
  <c r="BZ309" i="3"/>
  <c r="BY309" i="3"/>
  <c r="BX309" i="3"/>
  <c r="BW309" i="3"/>
  <c r="BV309" i="3"/>
  <c r="BU309" i="3"/>
  <c r="BT309" i="3"/>
  <c r="BS309" i="3"/>
  <c r="BR309" i="3"/>
  <c r="BQ309" i="3"/>
  <c r="BP309" i="3"/>
  <c r="BO309" i="3"/>
  <c r="BN309" i="3"/>
  <c r="BM309" i="3"/>
  <c r="BL309" i="3"/>
  <c r="BK309" i="3"/>
  <c r="BJ309" i="3"/>
  <c r="BI309" i="3"/>
  <c r="BH309" i="3"/>
  <c r="BG309" i="3"/>
  <c r="BF309" i="3"/>
  <c r="BE309" i="3"/>
  <c r="BD309" i="3"/>
  <c r="BC309" i="3"/>
  <c r="BB309" i="3"/>
  <c r="BA309" i="3"/>
  <c r="AZ309" i="3"/>
  <c r="AY309" i="3"/>
  <c r="AX309" i="3"/>
  <c r="AW309" i="3"/>
  <c r="AV309" i="3"/>
  <c r="AR309" i="3"/>
  <c r="AS309" i="3" s="1"/>
  <c r="B309" i="3"/>
  <c r="CE308" i="3"/>
  <c r="CD308" i="3"/>
  <c r="CC308" i="3"/>
  <c r="CB308" i="3"/>
  <c r="CA308" i="3"/>
  <c r="BZ308" i="3"/>
  <c r="BY308" i="3"/>
  <c r="BX308" i="3"/>
  <c r="BW308" i="3"/>
  <c r="BV308" i="3"/>
  <c r="BU308" i="3"/>
  <c r="BT308" i="3"/>
  <c r="BS308" i="3"/>
  <c r="BR308" i="3"/>
  <c r="BQ308" i="3"/>
  <c r="BP308" i="3"/>
  <c r="BO308" i="3"/>
  <c r="BN308" i="3"/>
  <c r="BM308" i="3"/>
  <c r="BL308" i="3"/>
  <c r="BK308" i="3"/>
  <c r="BJ308" i="3"/>
  <c r="BI308" i="3"/>
  <c r="BH308" i="3"/>
  <c r="BG308" i="3"/>
  <c r="BF308" i="3"/>
  <c r="BE308" i="3"/>
  <c r="BD308" i="3"/>
  <c r="BC308" i="3"/>
  <c r="BB308" i="3"/>
  <c r="BA308" i="3"/>
  <c r="AZ308" i="3"/>
  <c r="AY308" i="3"/>
  <c r="AX308" i="3"/>
  <c r="AW308" i="3"/>
  <c r="AV308" i="3"/>
  <c r="AR308" i="3"/>
  <c r="AS308" i="3" s="1"/>
  <c r="B308" i="3"/>
  <c r="CE307" i="3"/>
  <c r="CD307" i="3"/>
  <c r="CC307" i="3"/>
  <c r="CB307" i="3"/>
  <c r="CA307" i="3"/>
  <c r="BZ307" i="3"/>
  <c r="BY307" i="3"/>
  <c r="BX307" i="3"/>
  <c r="BW307" i="3"/>
  <c r="BV307" i="3"/>
  <c r="BU307" i="3"/>
  <c r="BT307" i="3"/>
  <c r="BS307" i="3"/>
  <c r="BR307" i="3"/>
  <c r="BQ307" i="3"/>
  <c r="BP307" i="3"/>
  <c r="BO307" i="3"/>
  <c r="BN307" i="3"/>
  <c r="BM307" i="3"/>
  <c r="BL307" i="3"/>
  <c r="BK307" i="3"/>
  <c r="BJ307" i="3"/>
  <c r="BI307" i="3"/>
  <c r="BH307" i="3"/>
  <c r="BG307" i="3"/>
  <c r="BF307" i="3"/>
  <c r="BE307" i="3"/>
  <c r="BD307" i="3"/>
  <c r="BC307" i="3"/>
  <c r="BB307" i="3"/>
  <c r="BA307" i="3"/>
  <c r="AZ307" i="3"/>
  <c r="AY307" i="3"/>
  <c r="AX307" i="3"/>
  <c r="AW307" i="3"/>
  <c r="AV307" i="3"/>
  <c r="AR307" i="3"/>
  <c r="AS307" i="3" s="1"/>
  <c r="B307" i="3"/>
  <c r="CE306" i="3"/>
  <c r="CD306" i="3"/>
  <c r="CC306" i="3"/>
  <c r="CB306" i="3"/>
  <c r="CA306" i="3"/>
  <c r="BZ306" i="3"/>
  <c r="BY306" i="3"/>
  <c r="BX306" i="3"/>
  <c r="BW306" i="3"/>
  <c r="BV306" i="3"/>
  <c r="BU306" i="3"/>
  <c r="BT306" i="3"/>
  <c r="BS306" i="3"/>
  <c r="BR306" i="3"/>
  <c r="BQ306" i="3"/>
  <c r="BP306" i="3"/>
  <c r="BO306" i="3"/>
  <c r="BN306" i="3"/>
  <c r="BM306" i="3"/>
  <c r="BL306" i="3"/>
  <c r="BK306" i="3"/>
  <c r="BJ306" i="3"/>
  <c r="BI306" i="3"/>
  <c r="BH306" i="3"/>
  <c r="BG306" i="3"/>
  <c r="BF306" i="3"/>
  <c r="BE306" i="3"/>
  <c r="BD306" i="3"/>
  <c r="BC306" i="3"/>
  <c r="BB306" i="3"/>
  <c r="BA306" i="3"/>
  <c r="AZ306" i="3"/>
  <c r="AY306" i="3"/>
  <c r="AX306" i="3"/>
  <c r="AW306" i="3"/>
  <c r="AV306" i="3"/>
  <c r="AR306" i="3"/>
  <c r="AS306" i="3" s="1"/>
  <c r="B306" i="3"/>
  <c r="CE305" i="3"/>
  <c r="CD305" i="3"/>
  <c r="CC305" i="3"/>
  <c r="CB305" i="3"/>
  <c r="CA305" i="3"/>
  <c r="BZ305" i="3"/>
  <c r="BY305" i="3"/>
  <c r="BX305" i="3"/>
  <c r="BW305" i="3"/>
  <c r="BV305" i="3"/>
  <c r="BU305" i="3"/>
  <c r="BT305" i="3"/>
  <c r="BS305" i="3"/>
  <c r="BR305" i="3"/>
  <c r="BQ305" i="3"/>
  <c r="BP305" i="3"/>
  <c r="BO305" i="3"/>
  <c r="BN305" i="3"/>
  <c r="BM305" i="3"/>
  <c r="BL305" i="3"/>
  <c r="BK305" i="3"/>
  <c r="BJ305" i="3"/>
  <c r="BI305" i="3"/>
  <c r="BH305" i="3"/>
  <c r="BG305" i="3"/>
  <c r="BF305" i="3"/>
  <c r="BE305" i="3"/>
  <c r="BD305" i="3"/>
  <c r="BC305" i="3"/>
  <c r="BB305" i="3"/>
  <c r="BA305" i="3"/>
  <c r="AZ305" i="3"/>
  <c r="AY305" i="3"/>
  <c r="AX305" i="3"/>
  <c r="AW305" i="3"/>
  <c r="AV305" i="3"/>
  <c r="AR305" i="3"/>
  <c r="AS305" i="3" s="1"/>
  <c r="B305" i="3"/>
  <c r="CE304" i="3"/>
  <c r="CD304" i="3"/>
  <c r="CC304" i="3"/>
  <c r="CB304" i="3"/>
  <c r="CA304" i="3"/>
  <c r="BZ304" i="3"/>
  <c r="BY304" i="3"/>
  <c r="BX304" i="3"/>
  <c r="BW304" i="3"/>
  <c r="BV304" i="3"/>
  <c r="BU304" i="3"/>
  <c r="BT304" i="3"/>
  <c r="BS304" i="3"/>
  <c r="BR304" i="3"/>
  <c r="BQ304" i="3"/>
  <c r="BP304" i="3"/>
  <c r="BO304" i="3"/>
  <c r="BN304" i="3"/>
  <c r="BM304" i="3"/>
  <c r="BL304" i="3"/>
  <c r="BK304" i="3"/>
  <c r="BJ304" i="3"/>
  <c r="BI304" i="3"/>
  <c r="BH304" i="3"/>
  <c r="BG304" i="3"/>
  <c r="BF304" i="3"/>
  <c r="BE304" i="3"/>
  <c r="BD304" i="3"/>
  <c r="BC304" i="3"/>
  <c r="BB304" i="3"/>
  <c r="BA304" i="3"/>
  <c r="AZ304" i="3"/>
  <c r="AY304" i="3"/>
  <c r="AX304" i="3"/>
  <c r="AW304" i="3"/>
  <c r="AV304" i="3"/>
  <c r="AR304" i="3"/>
  <c r="AS304" i="3" s="1"/>
  <c r="B304" i="3"/>
  <c r="CE371" i="3"/>
  <c r="CD371" i="3"/>
  <c r="CC371" i="3"/>
  <c r="CB371" i="3"/>
  <c r="CA371" i="3"/>
  <c r="BZ371" i="3"/>
  <c r="BY371" i="3"/>
  <c r="BX371" i="3"/>
  <c r="BW371" i="3"/>
  <c r="BV371" i="3"/>
  <c r="BU371" i="3"/>
  <c r="BT371" i="3"/>
  <c r="BS371" i="3"/>
  <c r="BR371" i="3"/>
  <c r="BQ371" i="3"/>
  <c r="BP371" i="3"/>
  <c r="BO371" i="3"/>
  <c r="BN371" i="3"/>
  <c r="BM371" i="3"/>
  <c r="BL371" i="3"/>
  <c r="BK371" i="3"/>
  <c r="BJ371" i="3"/>
  <c r="BI371" i="3"/>
  <c r="BH371" i="3"/>
  <c r="BG371" i="3"/>
  <c r="BF371" i="3"/>
  <c r="BE371" i="3"/>
  <c r="BD371" i="3"/>
  <c r="BC371" i="3"/>
  <c r="BB371" i="3"/>
  <c r="BA371" i="3"/>
  <c r="AZ371" i="3"/>
  <c r="AY371" i="3"/>
  <c r="AX371" i="3"/>
  <c r="AW371" i="3"/>
  <c r="AV371" i="3"/>
  <c r="AR371" i="3"/>
  <c r="AS371" i="3" s="1"/>
  <c r="B371" i="3"/>
  <c r="CE370" i="3"/>
  <c r="CD370" i="3"/>
  <c r="CC370" i="3"/>
  <c r="CB370" i="3"/>
  <c r="CA370" i="3"/>
  <c r="BZ370" i="3"/>
  <c r="BY370" i="3"/>
  <c r="BX370" i="3"/>
  <c r="BW370" i="3"/>
  <c r="BV370" i="3"/>
  <c r="BU370" i="3"/>
  <c r="BT370" i="3"/>
  <c r="BS370" i="3"/>
  <c r="BR370" i="3"/>
  <c r="BQ370" i="3"/>
  <c r="BP370" i="3"/>
  <c r="BO370" i="3"/>
  <c r="BN370" i="3"/>
  <c r="BM370" i="3"/>
  <c r="BL370" i="3"/>
  <c r="BK370" i="3"/>
  <c r="BJ370" i="3"/>
  <c r="BI370" i="3"/>
  <c r="BH370" i="3"/>
  <c r="BG370" i="3"/>
  <c r="BF370" i="3"/>
  <c r="BE370" i="3"/>
  <c r="BD370" i="3"/>
  <c r="BC370" i="3"/>
  <c r="BB370" i="3"/>
  <c r="BA370" i="3"/>
  <c r="AZ370" i="3"/>
  <c r="AY370" i="3"/>
  <c r="AX370" i="3"/>
  <c r="AW370" i="3"/>
  <c r="AV370" i="3"/>
  <c r="AR370" i="3"/>
  <c r="AS370" i="3" s="1"/>
  <c r="B370" i="3"/>
  <c r="CE369" i="3"/>
  <c r="CD369" i="3"/>
  <c r="CC369" i="3"/>
  <c r="CB369" i="3"/>
  <c r="CA369" i="3"/>
  <c r="BZ369" i="3"/>
  <c r="BY369" i="3"/>
  <c r="BX369" i="3"/>
  <c r="BW369" i="3"/>
  <c r="BV369" i="3"/>
  <c r="BU369" i="3"/>
  <c r="BT369" i="3"/>
  <c r="BS369" i="3"/>
  <c r="BR369" i="3"/>
  <c r="BQ369" i="3"/>
  <c r="BP369" i="3"/>
  <c r="BO369" i="3"/>
  <c r="BN369" i="3"/>
  <c r="BM369" i="3"/>
  <c r="BL369" i="3"/>
  <c r="BK369" i="3"/>
  <c r="BJ369" i="3"/>
  <c r="BI369" i="3"/>
  <c r="BH369" i="3"/>
  <c r="BG369" i="3"/>
  <c r="BF369" i="3"/>
  <c r="BE369" i="3"/>
  <c r="BD369" i="3"/>
  <c r="BC369" i="3"/>
  <c r="BB369" i="3"/>
  <c r="BA369" i="3"/>
  <c r="AZ369" i="3"/>
  <c r="AY369" i="3"/>
  <c r="AX369" i="3"/>
  <c r="AW369" i="3"/>
  <c r="AV369" i="3"/>
  <c r="AR369" i="3"/>
  <c r="AS369" i="3" s="1"/>
  <c r="B369" i="3"/>
  <c r="CE368" i="3"/>
  <c r="CD368" i="3"/>
  <c r="CC368" i="3"/>
  <c r="CB368" i="3"/>
  <c r="CA368" i="3"/>
  <c r="BZ368" i="3"/>
  <c r="BY368" i="3"/>
  <c r="BX368" i="3"/>
  <c r="BW368" i="3"/>
  <c r="BV368" i="3"/>
  <c r="BU368" i="3"/>
  <c r="BT368" i="3"/>
  <c r="BS368" i="3"/>
  <c r="BR368" i="3"/>
  <c r="BQ368" i="3"/>
  <c r="BP368" i="3"/>
  <c r="BO368" i="3"/>
  <c r="BN368" i="3"/>
  <c r="BM368" i="3"/>
  <c r="BL368" i="3"/>
  <c r="BK368" i="3"/>
  <c r="BJ368" i="3"/>
  <c r="BI368" i="3"/>
  <c r="BH368" i="3"/>
  <c r="BG368" i="3"/>
  <c r="BF368" i="3"/>
  <c r="BE368" i="3"/>
  <c r="BD368" i="3"/>
  <c r="BC368" i="3"/>
  <c r="BB368" i="3"/>
  <c r="BA368" i="3"/>
  <c r="AZ368" i="3"/>
  <c r="AY368" i="3"/>
  <c r="AX368" i="3"/>
  <c r="AW368" i="3"/>
  <c r="AV368" i="3"/>
  <c r="AR368" i="3"/>
  <c r="AS368" i="3" s="1"/>
  <c r="B368" i="3"/>
  <c r="CE367" i="3"/>
  <c r="CD367" i="3"/>
  <c r="CC367" i="3"/>
  <c r="CB367" i="3"/>
  <c r="CA367" i="3"/>
  <c r="BZ367" i="3"/>
  <c r="BY367" i="3"/>
  <c r="BX367" i="3"/>
  <c r="BW367" i="3"/>
  <c r="BV367" i="3"/>
  <c r="BU367" i="3"/>
  <c r="BT367" i="3"/>
  <c r="BS367" i="3"/>
  <c r="BR367" i="3"/>
  <c r="BQ367" i="3"/>
  <c r="BP367" i="3"/>
  <c r="BO367" i="3"/>
  <c r="BN367" i="3"/>
  <c r="BM367" i="3"/>
  <c r="BL367" i="3"/>
  <c r="BK367" i="3"/>
  <c r="BJ367" i="3"/>
  <c r="BI367" i="3"/>
  <c r="BH367" i="3"/>
  <c r="BG367" i="3"/>
  <c r="BF367" i="3"/>
  <c r="BE367" i="3"/>
  <c r="BD367" i="3"/>
  <c r="BC367" i="3"/>
  <c r="BB367" i="3"/>
  <c r="BA367" i="3"/>
  <c r="AZ367" i="3"/>
  <c r="AY367" i="3"/>
  <c r="AX367" i="3"/>
  <c r="AW367" i="3"/>
  <c r="AV367" i="3"/>
  <c r="AR367" i="3"/>
  <c r="AS367" i="3" s="1"/>
  <c r="B367" i="3"/>
  <c r="CE366" i="3"/>
  <c r="CD366" i="3"/>
  <c r="CC366" i="3"/>
  <c r="CB366" i="3"/>
  <c r="CA366" i="3"/>
  <c r="BZ366" i="3"/>
  <c r="BY366" i="3"/>
  <c r="BX366" i="3"/>
  <c r="BW366" i="3"/>
  <c r="BV366" i="3"/>
  <c r="BU366" i="3"/>
  <c r="BT366" i="3"/>
  <c r="BS366" i="3"/>
  <c r="BR366" i="3"/>
  <c r="BQ366" i="3"/>
  <c r="BP366" i="3"/>
  <c r="BO366" i="3"/>
  <c r="BN366" i="3"/>
  <c r="BM366" i="3"/>
  <c r="BL366" i="3"/>
  <c r="BK366" i="3"/>
  <c r="BJ366" i="3"/>
  <c r="BI366" i="3"/>
  <c r="BH366" i="3"/>
  <c r="BG366" i="3"/>
  <c r="BF366" i="3"/>
  <c r="BE366" i="3"/>
  <c r="BD366" i="3"/>
  <c r="BC366" i="3"/>
  <c r="BB366" i="3"/>
  <c r="BA366" i="3"/>
  <c r="AZ366" i="3"/>
  <c r="AY366" i="3"/>
  <c r="AX366" i="3"/>
  <c r="AW366" i="3"/>
  <c r="AV366" i="3"/>
  <c r="AR366" i="3"/>
  <c r="AS366" i="3" s="1"/>
  <c r="B366" i="3"/>
  <c r="CE365" i="3"/>
  <c r="CD365" i="3"/>
  <c r="CC365" i="3"/>
  <c r="CB365" i="3"/>
  <c r="CA365" i="3"/>
  <c r="BZ365" i="3"/>
  <c r="BY365" i="3"/>
  <c r="BX365" i="3"/>
  <c r="BW365" i="3"/>
  <c r="BV365" i="3"/>
  <c r="BU365" i="3"/>
  <c r="BT365" i="3"/>
  <c r="BS365" i="3"/>
  <c r="BR365" i="3"/>
  <c r="BQ365" i="3"/>
  <c r="BP365" i="3"/>
  <c r="BO365" i="3"/>
  <c r="BN365" i="3"/>
  <c r="BM365" i="3"/>
  <c r="BL365" i="3"/>
  <c r="BK365" i="3"/>
  <c r="BJ365" i="3"/>
  <c r="BI365" i="3"/>
  <c r="BH365" i="3"/>
  <c r="BG365" i="3"/>
  <c r="BF365" i="3"/>
  <c r="BE365" i="3"/>
  <c r="BD365" i="3"/>
  <c r="BC365" i="3"/>
  <c r="BB365" i="3"/>
  <c r="BA365" i="3"/>
  <c r="AZ365" i="3"/>
  <c r="AY365" i="3"/>
  <c r="AX365" i="3"/>
  <c r="AW365" i="3"/>
  <c r="AV365" i="3"/>
  <c r="AR365" i="3"/>
  <c r="AS365" i="3" s="1"/>
  <c r="B365" i="3"/>
  <c r="CE364" i="3"/>
  <c r="CD364" i="3"/>
  <c r="CC364" i="3"/>
  <c r="CB364" i="3"/>
  <c r="CA364" i="3"/>
  <c r="BZ364" i="3"/>
  <c r="BY364" i="3"/>
  <c r="BX364" i="3"/>
  <c r="BW364" i="3"/>
  <c r="BV364" i="3"/>
  <c r="BU364" i="3"/>
  <c r="BT364" i="3"/>
  <c r="BS364" i="3"/>
  <c r="BR364" i="3"/>
  <c r="BQ364" i="3"/>
  <c r="BP364" i="3"/>
  <c r="BO364" i="3"/>
  <c r="BN364" i="3"/>
  <c r="BM364" i="3"/>
  <c r="BL364" i="3"/>
  <c r="BK364" i="3"/>
  <c r="BJ364" i="3"/>
  <c r="BI364" i="3"/>
  <c r="BH364" i="3"/>
  <c r="BG364" i="3"/>
  <c r="BF364" i="3"/>
  <c r="BE364" i="3"/>
  <c r="BD364" i="3"/>
  <c r="BC364" i="3"/>
  <c r="BB364" i="3"/>
  <c r="BA364" i="3"/>
  <c r="AZ364" i="3"/>
  <c r="AY364" i="3"/>
  <c r="AX364" i="3"/>
  <c r="AW364" i="3"/>
  <c r="AV364" i="3"/>
  <c r="B364" i="3"/>
  <c r="CE363" i="3"/>
  <c r="CD363" i="3"/>
  <c r="CC363" i="3"/>
  <c r="CB363" i="3"/>
  <c r="CA363" i="3"/>
  <c r="BZ363" i="3"/>
  <c r="BY363" i="3"/>
  <c r="BX363" i="3"/>
  <c r="BW363" i="3"/>
  <c r="BV363" i="3"/>
  <c r="BU363" i="3"/>
  <c r="BT363" i="3"/>
  <c r="BS363" i="3"/>
  <c r="BR363" i="3"/>
  <c r="BQ363" i="3"/>
  <c r="BP363" i="3"/>
  <c r="BO363" i="3"/>
  <c r="BN363" i="3"/>
  <c r="BM363" i="3"/>
  <c r="BL363" i="3"/>
  <c r="BK363" i="3"/>
  <c r="BJ363" i="3"/>
  <c r="BI363" i="3"/>
  <c r="BH363" i="3"/>
  <c r="BG363" i="3"/>
  <c r="BF363" i="3"/>
  <c r="BE363" i="3"/>
  <c r="BD363" i="3"/>
  <c r="BC363" i="3"/>
  <c r="BB363" i="3"/>
  <c r="BA363" i="3"/>
  <c r="AZ363" i="3"/>
  <c r="AY363" i="3"/>
  <c r="AX363" i="3"/>
  <c r="AW363" i="3"/>
  <c r="AV363" i="3"/>
  <c r="AR363" i="3"/>
  <c r="AS363" i="3" s="1"/>
  <c r="B363" i="3"/>
  <c r="CE362" i="3"/>
  <c r="CD362" i="3"/>
  <c r="CC362" i="3"/>
  <c r="CB362" i="3"/>
  <c r="CA362" i="3"/>
  <c r="BZ362" i="3"/>
  <c r="BY362" i="3"/>
  <c r="BX362" i="3"/>
  <c r="BW362" i="3"/>
  <c r="BV362" i="3"/>
  <c r="BU362" i="3"/>
  <c r="BT362" i="3"/>
  <c r="BS362" i="3"/>
  <c r="BR362" i="3"/>
  <c r="BQ362" i="3"/>
  <c r="BP362" i="3"/>
  <c r="BO362" i="3"/>
  <c r="BN362" i="3"/>
  <c r="BM362" i="3"/>
  <c r="BL362" i="3"/>
  <c r="BK362" i="3"/>
  <c r="BJ362" i="3"/>
  <c r="BI362" i="3"/>
  <c r="BH362" i="3"/>
  <c r="BG362" i="3"/>
  <c r="BF362" i="3"/>
  <c r="BE362" i="3"/>
  <c r="BD362" i="3"/>
  <c r="BC362" i="3"/>
  <c r="BB362" i="3"/>
  <c r="BA362" i="3"/>
  <c r="AZ362" i="3"/>
  <c r="AY362" i="3"/>
  <c r="AX362" i="3"/>
  <c r="AW362" i="3"/>
  <c r="AV362" i="3"/>
  <c r="AR362" i="3"/>
  <c r="AS362" i="3" s="1"/>
  <c r="B362" i="3"/>
  <c r="CE361" i="3"/>
  <c r="CD361" i="3"/>
  <c r="CC361" i="3"/>
  <c r="CB361" i="3"/>
  <c r="CA361" i="3"/>
  <c r="BZ361" i="3"/>
  <c r="BY361" i="3"/>
  <c r="BX361" i="3"/>
  <c r="BW361" i="3"/>
  <c r="BV361" i="3"/>
  <c r="BU361" i="3"/>
  <c r="BT361" i="3"/>
  <c r="BS361" i="3"/>
  <c r="BR361" i="3"/>
  <c r="BQ361" i="3"/>
  <c r="BP361" i="3"/>
  <c r="BO361" i="3"/>
  <c r="BN361" i="3"/>
  <c r="BM361" i="3"/>
  <c r="BL361" i="3"/>
  <c r="BK361" i="3"/>
  <c r="BJ361" i="3"/>
  <c r="BI361" i="3"/>
  <c r="BH361" i="3"/>
  <c r="BG361" i="3"/>
  <c r="BF361" i="3"/>
  <c r="BE361" i="3"/>
  <c r="BD361" i="3"/>
  <c r="BC361" i="3"/>
  <c r="BB361" i="3"/>
  <c r="BA361" i="3"/>
  <c r="AZ361" i="3"/>
  <c r="AY361" i="3"/>
  <c r="AX361" i="3"/>
  <c r="AW361" i="3"/>
  <c r="AV361" i="3"/>
  <c r="AR361" i="3"/>
  <c r="AS361" i="3" s="1"/>
  <c r="B361" i="3"/>
  <c r="CE360" i="3"/>
  <c r="CD360" i="3"/>
  <c r="CC360" i="3"/>
  <c r="CB360" i="3"/>
  <c r="CA360" i="3"/>
  <c r="BZ360" i="3"/>
  <c r="BY360" i="3"/>
  <c r="BX360" i="3"/>
  <c r="BW360" i="3"/>
  <c r="BV360" i="3"/>
  <c r="BU360" i="3"/>
  <c r="BT360" i="3"/>
  <c r="BS360" i="3"/>
  <c r="BR360" i="3"/>
  <c r="BQ360" i="3"/>
  <c r="BP360" i="3"/>
  <c r="BO360" i="3"/>
  <c r="BN360" i="3"/>
  <c r="BM360" i="3"/>
  <c r="BL360" i="3"/>
  <c r="BK360" i="3"/>
  <c r="BJ360" i="3"/>
  <c r="BI360" i="3"/>
  <c r="BH360" i="3"/>
  <c r="BG360" i="3"/>
  <c r="BF360" i="3"/>
  <c r="BE360" i="3"/>
  <c r="BD360" i="3"/>
  <c r="BC360" i="3"/>
  <c r="BB360" i="3"/>
  <c r="BA360" i="3"/>
  <c r="AZ360" i="3"/>
  <c r="AY360" i="3"/>
  <c r="AX360" i="3"/>
  <c r="AW360" i="3"/>
  <c r="AV360" i="3"/>
  <c r="AR360" i="3"/>
  <c r="AS360" i="3" s="1"/>
  <c r="B360" i="3"/>
  <c r="CE359" i="3"/>
  <c r="CD359" i="3"/>
  <c r="CC359" i="3"/>
  <c r="CB359" i="3"/>
  <c r="CA359" i="3"/>
  <c r="BZ359" i="3"/>
  <c r="BY359" i="3"/>
  <c r="BX359" i="3"/>
  <c r="BW359" i="3"/>
  <c r="BV359" i="3"/>
  <c r="BU359" i="3"/>
  <c r="BT359" i="3"/>
  <c r="BS359" i="3"/>
  <c r="BR359" i="3"/>
  <c r="BQ359" i="3"/>
  <c r="BP359" i="3"/>
  <c r="BO359" i="3"/>
  <c r="BN359" i="3"/>
  <c r="BM359" i="3"/>
  <c r="BL359" i="3"/>
  <c r="BK359" i="3"/>
  <c r="BJ359" i="3"/>
  <c r="BI359" i="3"/>
  <c r="BH359" i="3"/>
  <c r="BG359" i="3"/>
  <c r="BF359" i="3"/>
  <c r="BE359" i="3"/>
  <c r="BD359" i="3"/>
  <c r="BC359" i="3"/>
  <c r="BB359" i="3"/>
  <c r="BA359" i="3"/>
  <c r="AZ359" i="3"/>
  <c r="AY359" i="3"/>
  <c r="AX359" i="3"/>
  <c r="AW359" i="3"/>
  <c r="AV359" i="3"/>
  <c r="AR359" i="3"/>
  <c r="AS359" i="3" s="1"/>
  <c r="B359" i="3"/>
  <c r="CE358" i="3"/>
  <c r="CD358" i="3"/>
  <c r="CC358" i="3"/>
  <c r="CB358" i="3"/>
  <c r="CA358" i="3"/>
  <c r="BZ358" i="3"/>
  <c r="BY358" i="3"/>
  <c r="BX358" i="3"/>
  <c r="BW358" i="3"/>
  <c r="BV358" i="3"/>
  <c r="BU358" i="3"/>
  <c r="BT358" i="3"/>
  <c r="BS358" i="3"/>
  <c r="BR358" i="3"/>
  <c r="BQ358" i="3"/>
  <c r="BP358" i="3"/>
  <c r="BO358" i="3"/>
  <c r="BN358" i="3"/>
  <c r="BM358" i="3"/>
  <c r="BL358" i="3"/>
  <c r="BK358" i="3"/>
  <c r="BJ358" i="3"/>
  <c r="BI358" i="3"/>
  <c r="BH358" i="3"/>
  <c r="BG358" i="3"/>
  <c r="BF358" i="3"/>
  <c r="BE358" i="3"/>
  <c r="BD358" i="3"/>
  <c r="BC358" i="3"/>
  <c r="BB358" i="3"/>
  <c r="BA358" i="3"/>
  <c r="AZ358" i="3"/>
  <c r="AY358" i="3"/>
  <c r="AX358" i="3"/>
  <c r="AW358" i="3"/>
  <c r="AV358" i="3"/>
  <c r="AR358" i="3"/>
  <c r="AS358" i="3" s="1"/>
  <c r="B358" i="3"/>
  <c r="CE357" i="3"/>
  <c r="CD357" i="3"/>
  <c r="CC357" i="3"/>
  <c r="CB357" i="3"/>
  <c r="CA357" i="3"/>
  <c r="BZ357" i="3"/>
  <c r="BY357" i="3"/>
  <c r="BX357" i="3"/>
  <c r="BW357" i="3"/>
  <c r="BV357" i="3"/>
  <c r="BU357" i="3"/>
  <c r="BT357" i="3"/>
  <c r="BS357" i="3"/>
  <c r="BR357" i="3"/>
  <c r="BQ357" i="3"/>
  <c r="BP357" i="3"/>
  <c r="BO357" i="3"/>
  <c r="BN357" i="3"/>
  <c r="BM357" i="3"/>
  <c r="BL357" i="3"/>
  <c r="BK357" i="3"/>
  <c r="BJ357" i="3"/>
  <c r="BI357" i="3"/>
  <c r="BH357" i="3"/>
  <c r="BG357" i="3"/>
  <c r="BF357" i="3"/>
  <c r="BE357" i="3"/>
  <c r="BD357" i="3"/>
  <c r="BC357" i="3"/>
  <c r="BB357" i="3"/>
  <c r="BA357" i="3"/>
  <c r="AZ357" i="3"/>
  <c r="AY357" i="3"/>
  <c r="AX357" i="3"/>
  <c r="AW357" i="3"/>
  <c r="AV357" i="3"/>
  <c r="AR357" i="3"/>
  <c r="AS357" i="3" s="1"/>
  <c r="B357" i="3"/>
  <c r="CE356" i="3"/>
  <c r="CD356" i="3"/>
  <c r="CC356" i="3"/>
  <c r="CB356" i="3"/>
  <c r="CA356" i="3"/>
  <c r="BZ356" i="3"/>
  <c r="BY356" i="3"/>
  <c r="BX356" i="3"/>
  <c r="BW356" i="3"/>
  <c r="BV356" i="3"/>
  <c r="BU356" i="3"/>
  <c r="BT356" i="3"/>
  <c r="BS356" i="3"/>
  <c r="BR356" i="3"/>
  <c r="BQ356" i="3"/>
  <c r="BP356" i="3"/>
  <c r="BO356" i="3"/>
  <c r="BN356" i="3"/>
  <c r="BM356" i="3"/>
  <c r="BL356" i="3"/>
  <c r="BK356" i="3"/>
  <c r="BJ356" i="3"/>
  <c r="BI356" i="3"/>
  <c r="BH356" i="3"/>
  <c r="BG356" i="3"/>
  <c r="BF356" i="3"/>
  <c r="BE356" i="3"/>
  <c r="BD356" i="3"/>
  <c r="BC356" i="3"/>
  <c r="BB356" i="3"/>
  <c r="BA356" i="3"/>
  <c r="AZ356" i="3"/>
  <c r="AY356" i="3"/>
  <c r="AX356" i="3"/>
  <c r="AW356" i="3"/>
  <c r="AV356" i="3"/>
  <c r="AR356" i="3"/>
  <c r="AS356" i="3" s="1"/>
  <c r="B356" i="3"/>
  <c r="CE355" i="3"/>
  <c r="CD355" i="3"/>
  <c r="CC355" i="3"/>
  <c r="CB355" i="3"/>
  <c r="CA355" i="3"/>
  <c r="BZ355" i="3"/>
  <c r="BY355" i="3"/>
  <c r="BX355" i="3"/>
  <c r="BW355" i="3"/>
  <c r="BV355" i="3"/>
  <c r="BU355" i="3"/>
  <c r="BT355" i="3"/>
  <c r="BS355" i="3"/>
  <c r="BR355" i="3"/>
  <c r="BQ355" i="3"/>
  <c r="BP355" i="3"/>
  <c r="BO355" i="3"/>
  <c r="BN355" i="3"/>
  <c r="BM355" i="3"/>
  <c r="BL355" i="3"/>
  <c r="BK355" i="3"/>
  <c r="BJ355" i="3"/>
  <c r="BI355" i="3"/>
  <c r="BH355" i="3"/>
  <c r="BG355" i="3"/>
  <c r="BF355" i="3"/>
  <c r="BE355" i="3"/>
  <c r="BD355" i="3"/>
  <c r="BC355" i="3"/>
  <c r="BB355" i="3"/>
  <c r="BA355" i="3"/>
  <c r="AZ355" i="3"/>
  <c r="AY355" i="3"/>
  <c r="AX355" i="3"/>
  <c r="AW355" i="3"/>
  <c r="AV355" i="3"/>
  <c r="AR355" i="3"/>
  <c r="AS355" i="3" s="1"/>
  <c r="B355" i="3"/>
  <c r="CE354" i="3"/>
  <c r="CD354" i="3"/>
  <c r="CC354" i="3"/>
  <c r="CB354" i="3"/>
  <c r="CA354" i="3"/>
  <c r="BZ354" i="3"/>
  <c r="BY354" i="3"/>
  <c r="BX354" i="3"/>
  <c r="BW354" i="3"/>
  <c r="BV354" i="3"/>
  <c r="BU354" i="3"/>
  <c r="BT354" i="3"/>
  <c r="BS354" i="3"/>
  <c r="BR354" i="3"/>
  <c r="BQ354" i="3"/>
  <c r="BP354" i="3"/>
  <c r="BO354" i="3"/>
  <c r="BN354" i="3"/>
  <c r="BM354" i="3"/>
  <c r="BL354" i="3"/>
  <c r="BK354" i="3"/>
  <c r="BJ354" i="3"/>
  <c r="BI354" i="3"/>
  <c r="BH354" i="3"/>
  <c r="BG354" i="3"/>
  <c r="BF354" i="3"/>
  <c r="BE354" i="3"/>
  <c r="BD354" i="3"/>
  <c r="BC354" i="3"/>
  <c r="BB354" i="3"/>
  <c r="BA354" i="3"/>
  <c r="AZ354" i="3"/>
  <c r="AY354" i="3"/>
  <c r="AX354" i="3"/>
  <c r="AW354" i="3"/>
  <c r="AV354" i="3"/>
  <c r="AR354" i="3"/>
  <c r="AS354" i="3" s="1"/>
  <c r="B354" i="3"/>
  <c r="CE353" i="3"/>
  <c r="CD353" i="3"/>
  <c r="CC353" i="3"/>
  <c r="CB353" i="3"/>
  <c r="CA353" i="3"/>
  <c r="BZ353" i="3"/>
  <c r="BY353" i="3"/>
  <c r="BX353" i="3"/>
  <c r="BW353" i="3"/>
  <c r="BV353" i="3"/>
  <c r="BU353" i="3"/>
  <c r="BT353" i="3"/>
  <c r="BS353" i="3"/>
  <c r="BR353" i="3"/>
  <c r="BQ353" i="3"/>
  <c r="BP353" i="3"/>
  <c r="BO353" i="3"/>
  <c r="BN353" i="3"/>
  <c r="BM353" i="3"/>
  <c r="BL353" i="3"/>
  <c r="BK353" i="3"/>
  <c r="BJ353" i="3"/>
  <c r="BI353" i="3"/>
  <c r="BH353" i="3"/>
  <c r="BG353" i="3"/>
  <c r="BF353" i="3"/>
  <c r="BE353" i="3"/>
  <c r="BD353" i="3"/>
  <c r="BC353" i="3"/>
  <c r="BB353" i="3"/>
  <c r="BA353" i="3"/>
  <c r="AZ353" i="3"/>
  <c r="AY353" i="3"/>
  <c r="AX353" i="3"/>
  <c r="AW353" i="3"/>
  <c r="AV353" i="3"/>
  <c r="AR353" i="3"/>
  <c r="AS353" i="3" s="1"/>
  <c r="B353" i="3"/>
  <c r="CE352" i="3"/>
  <c r="CD352" i="3"/>
  <c r="CC352" i="3"/>
  <c r="CB352" i="3"/>
  <c r="CA352" i="3"/>
  <c r="BZ352" i="3"/>
  <c r="BY352" i="3"/>
  <c r="BX352" i="3"/>
  <c r="BW352" i="3"/>
  <c r="BV352" i="3"/>
  <c r="BU352" i="3"/>
  <c r="BT352" i="3"/>
  <c r="BS352" i="3"/>
  <c r="BR352" i="3"/>
  <c r="BQ352" i="3"/>
  <c r="BP352" i="3"/>
  <c r="BO352" i="3"/>
  <c r="BN352" i="3"/>
  <c r="BM352" i="3"/>
  <c r="BL352" i="3"/>
  <c r="BK352" i="3"/>
  <c r="BJ352" i="3"/>
  <c r="BI352" i="3"/>
  <c r="BH352" i="3"/>
  <c r="BG352" i="3"/>
  <c r="BF352" i="3"/>
  <c r="BE352" i="3"/>
  <c r="BD352" i="3"/>
  <c r="BC352" i="3"/>
  <c r="BB352" i="3"/>
  <c r="BA352" i="3"/>
  <c r="AZ352" i="3"/>
  <c r="AY352" i="3"/>
  <c r="AX352" i="3"/>
  <c r="AW352" i="3"/>
  <c r="AV352" i="3"/>
  <c r="AR352" i="3"/>
  <c r="AS352" i="3" s="1"/>
  <c r="B352" i="3"/>
  <c r="CE351" i="3"/>
  <c r="CD351" i="3"/>
  <c r="CC351" i="3"/>
  <c r="CB351" i="3"/>
  <c r="CA351" i="3"/>
  <c r="BZ351" i="3"/>
  <c r="BY351" i="3"/>
  <c r="BX351" i="3"/>
  <c r="BW351" i="3"/>
  <c r="BV351" i="3"/>
  <c r="BU351" i="3"/>
  <c r="BT351" i="3"/>
  <c r="BS351" i="3"/>
  <c r="BR351" i="3"/>
  <c r="BQ351" i="3"/>
  <c r="BP351" i="3"/>
  <c r="BO351" i="3"/>
  <c r="BN351" i="3"/>
  <c r="BM351" i="3"/>
  <c r="BL351" i="3"/>
  <c r="BK351" i="3"/>
  <c r="BJ351" i="3"/>
  <c r="BI351" i="3"/>
  <c r="BH351" i="3"/>
  <c r="BG351" i="3"/>
  <c r="BF351" i="3"/>
  <c r="BE351" i="3"/>
  <c r="BD351" i="3"/>
  <c r="BC351" i="3"/>
  <c r="BB351" i="3"/>
  <c r="BA351" i="3"/>
  <c r="AZ351" i="3"/>
  <c r="AY351" i="3"/>
  <c r="AX351" i="3"/>
  <c r="AW351" i="3"/>
  <c r="AV351" i="3"/>
  <c r="AR351" i="3"/>
  <c r="AS351" i="3" s="1"/>
  <c r="B351" i="3"/>
  <c r="CE350" i="3"/>
  <c r="CD350" i="3"/>
  <c r="CC350" i="3"/>
  <c r="CB350" i="3"/>
  <c r="CA350" i="3"/>
  <c r="BZ350" i="3"/>
  <c r="BY350" i="3"/>
  <c r="BX350" i="3"/>
  <c r="BW350" i="3"/>
  <c r="BV350" i="3"/>
  <c r="BU350" i="3"/>
  <c r="BT350" i="3"/>
  <c r="BS350" i="3"/>
  <c r="BR350" i="3"/>
  <c r="BQ350" i="3"/>
  <c r="BP350" i="3"/>
  <c r="BO350" i="3"/>
  <c r="BN350" i="3"/>
  <c r="BM350" i="3"/>
  <c r="BL350" i="3"/>
  <c r="BK350" i="3"/>
  <c r="BJ350" i="3"/>
  <c r="BI350" i="3"/>
  <c r="BH350" i="3"/>
  <c r="BG350" i="3"/>
  <c r="BF350" i="3"/>
  <c r="BE350" i="3"/>
  <c r="BD350" i="3"/>
  <c r="BC350" i="3"/>
  <c r="BB350" i="3"/>
  <c r="BA350" i="3"/>
  <c r="AZ350" i="3"/>
  <c r="AY350" i="3"/>
  <c r="AX350" i="3"/>
  <c r="AW350" i="3"/>
  <c r="AV350" i="3"/>
  <c r="AR350" i="3"/>
  <c r="AS350" i="3" s="1"/>
  <c r="B350" i="3"/>
  <c r="CE349" i="3"/>
  <c r="CD349" i="3"/>
  <c r="CC349" i="3"/>
  <c r="CB349" i="3"/>
  <c r="CA349" i="3"/>
  <c r="BZ349" i="3"/>
  <c r="BY349" i="3"/>
  <c r="BX349" i="3"/>
  <c r="BW349" i="3"/>
  <c r="BV349" i="3"/>
  <c r="BU349" i="3"/>
  <c r="BT349" i="3"/>
  <c r="BS349" i="3"/>
  <c r="BR349" i="3"/>
  <c r="BQ349" i="3"/>
  <c r="BP349" i="3"/>
  <c r="BO349" i="3"/>
  <c r="BN349" i="3"/>
  <c r="BM349" i="3"/>
  <c r="BL349" i="3"/>
  <c r="BK349" i="3"/>
  <c r="BJ349" i="3"/>
  <c r="BI349" i="3"/>
  <c r="BH349" i="3"/>
  <c r="BG349" i="3"/>
  <c r="BF349" i="3"/>
  <c r="BE349" i="3"/>
  <c r="BD349" i="3"/>
  <c r="BC349" i="3"/>
  <c r="BB349" i="3"/>
  <c r="BA349" i="3"/>
  <c r="AZ349" i="3"/>
  <c r="AY349" i="3"/>
  <c r="AX349" i="3"/>
  <c r="AW349" i="3"/>
  <c r="AV349" i="3"/>
  <c r="AR349" i="3"/>
  <c r="AS349" i="3" s="1"/>
  <c r="B349" i="3"/>
  <c r="CE348" i="3"/>
  <c r="CD348" i="3"/>
  <c r="CC348" i="3"/>
  <c r="CB348" i="3"/>
  <c r="CA348" i="3"/>
  <c r="BZ348" i="3"/>
  <c r="BY348" i="3"/>
  <c r="BX348" i="3"/>
  <c r="BW348" i="3"/>
  <c r="BV348" i="3"/>
  <c r="BU348" i="3"/>
  <c r="BT348" i="3"/>
  <c r="BS348" i="3"/>
  <c r="BR348" i="3"/>
  <c r="BQ348" i="3"/>
  <c r="BP348" i="3"/>
  <c r="BO348" i="3"/>
  <c r="BN348" i="3"/>
  <c r="BM348" i="3"/>
  <c r="BL348" i="3"/>
  <c r="BK348" i="3"/>
  <c r="BJ348" i="3"/>
  <c r="BI348" i="3"/>
  <c r="BH348" i="3"/>
  <c r="BG348" i="3"/>
  <c r="BF348" i="3"/>
  <c r="BE348" i="3"/>
  <c r="BD348" i="3"/>
  <c r="BC348" i="3"/>
  <c r="BB348" i="3"/>
  <c r="BA348" i="3"/>
  <c r="AZ348" i="3"/>
  <c r="AY348" i="3"/>
  <c r="AX348" i="3"/>
  <c r="AW348" i="3"/>
  <c r="AV348" i="3"/>
  <c r="AR348" i="3"/>
  <c r="AS348" i="3" s="1"/>
  <c r="B348" i="3"/>
  <c r="CE347" i="3"/>
  <c r="CD347" i="3"/>
  <c r="CC347" i="3"/>
  <c r="CB347" i="3"/>
  <c r="CA347" i="3"/>
  <c r="BZ347" i="3"/>
  <c r="BY347" i="3"/>
  <c r="BX347" i="3"/>
  <c r="BW347" i="3"/>
  <c r="BV347" i="3"/>
  <c r="BU347" i="3"/>
  <c r="BT347" i="3"/>
  <c r="BS347" i="3"/>
  <c r="BR347" i="3"/>
  <c r="BQ347" i="3"/>
  <c r="BP347" i="3"/>
  <c r="BO347" i="3"/>
  <c r="BN347" i="3"/>
  <c r="BM347" i="3"/>
  <c r="BL347" i="3"/>
  <c r="BK347" i="3"/>
  <c r="BJ347" i="3"/>
  <c r="BI347" i="3"/>
  <c r="BH347" i="3"/>
  <c r="BG347" i="3"/>
  <c r="BF347" i="3"/>
  <c r="BE347" i="3"/>
  <c r="BD347" i="3"/>
  <c r="BC347" i="3"/>
  <c r="BB347" i="3"/>
  <c r="BA347" i="3"/>
  <c r="AZ347" i="3"/>
  <c r="AY347" i="3"/>
  <c r="AX347" i="3"/>
  <c r="AW347" i="3"/>
  <c r="AV347" i="3"/>
  <c r="AR347" i="3"/>
  <c r="AS347" i="3" s="1"/>
  <c r="B347" i="3"/>
  <c r="CE346" i="3"/>
  <c r="CD346" i="3"/>
  <c r="CC346" i="3"/>
  <c r="CB346" i="3"/>
  <c r="CA346" i="3"/>
  <c r="BZ346" i="3"/>
  <c r="BY346" i="3"/>
  <c r="BX346" i="3"/>
  <c r="BW346" i="3"/>
  <c r="BV346" i="3"/>
  <c r="BU346" i="3"/>
  <c r="BT346" i="3"/>
  <c r="BS346" i="3"/>
  <c r="BR346" i="3"/>
  <c r="BQ346" i="3"/>
  <c r="BP346" i="3"/>
  <c r="BO346" i="3"/>
  <c r="BN346" i="3"/>
  <c r="BM346" i="3"/>
  <c r="BL346" i="3"/>
  <c r="BK346" i="3"/>
  <c r="BJ346" i="3"/>
  <c r="BI346" i="3"/>
  <c r="BH346" i="3"/>
  <c r="BG346" i="3"/>
  <c r="BF346" i="3"/>
  <c r="BE346" i="3"/>
  <c r="BD346" i="3"/>
  <c r="BC346" i="3"/>
  <c r="BB346" i="3"/>
  <c r="BA346" i="3"/>
  <c r="AZ346" i="3"/>
  <c r="AY346" i="3"/>
  <c r="AX346" i="3"/>
  <c r="AW346" i="3"/>
  <c r="AV346" i="3"/>
  <c r="AR346" i="3"/>
  <c r="AS346" i="3" s="1"/>
  <c r="B346" i="3"/>
  <c r="CE345" i="3"/>
  <c r="CD345" i="3"/>
  <c r="CC345" i="3"/>
  <c r="CB345" i="3"/>
  <c r="CA345" i="3"/>
  <c r="BZ345" i="3"/>
  <c r="BY345" i="3"/>
  <c r="BX345" i="3"/>
  <c r="BW345" i="3"/>
  <c r="BV345" i="3"/>
  <c r="BU345" i="3"/>
  <c r="BT345" i="3"/>
  <c r="BS345" i="3"/>
  <c r="BR345" i="3"/>
  <c r="BQ345" i="3"/>
  <c r="BP345" i="3"/>
  <c r="BO345" i="3"/>
  <c r="BN345" i="3"/>
  <c r="BM345" i="3"/>
  <c r="BL345" i="3"/>
  <c r="BK345" i="3"/>
  <c r="BJ345" i="3"/>
  <c r="BI345" i="3"/>
  <c r="BH345" i="3"/>
  <c r="BG345" i="3"/>
  <c r="BF345" i="3"/>
  <c r="BE345" i="3"/>
  <c r="BD345" i="3"/>
  <c r="BC345" i="3"/>
  <c r="BB345" i="3"/>
  <c r="BA345" i="3"/>
  <c r="AZ345" i="3"/>
  <c r="AY345" i="3"/>
  <c r="AX345" i="3"/>
  <c r="AW345" i="3"/>
  <c r="AV345" i="3"/>
  <c r="AR345" i="3"/>
  <c r="AS345" i="3" s="1"/>
  <c r="B345" i="3"/>
  <c r="CE344" i="3"/>
  <c r="CD344" i="3"/>
  <c r="CC344" i="3"/>
  <c r="CB344" i="3"/>
  <c r="CA344" i="3"/>
  <c r="BZ344" i="3"/>
  <c r="BY344" i="3"/>
  <c r="BX344" i="3"/>
  <c r="BW344" i="3"/>
  <c r="BV344" i="3"/>
  <c r="BU344" i="3"/>
  <c r="BT344" i="3"/>
  <c r="BS344" i="3"/>
  <c r="BR344" i="3"/>
  <c r="BQ344" i="3"/>
  <c r="BP344" i="3"/>
  <c r="BO344" i="3"/>
  <c r="BN344" i="3"/>
  <c r="BM344" i="3"/>
  <c r="BL344" i="3"/>
  <c r="BK344" i="3"/>
  <c r="BJ344" i="3"/>
  <c r="BI344" i="3"/>
  <c r="BH344" i="3"/>
  <c r="BG344" i="3"/>
  <c r="BF344" i="3"/>
  <c r="BE344" i="3"/>
  <c r="BD344" i="3"/>
  <c r="BC344" i="3"/>
  <c r="BB344" i="3"/>
  <c r="BA344" i="3"/>
  <c r="AZ344" i="3"/>
  <c r="AY344" i="3"/>
  <c r="AX344" i="3"/>
  <c r="AW344" i="3"/>
  <c r="AV344" i="3"/>
  <c r="AR344" i="3"/>
  <c r="AS344" i="3" s="1"/>
  <c r="B344" i="3"/>
  <c r="CE343" i="3"/>
  <c r="CD343" i="3"/>
  <c r="CC343" i="3"/>
  <c r="CB343" i="3"/>
  <c r="CA343" i="3"/>
  <c r="BZ343" i="3"/>
  <c r="BY343" i="3"/>
  <c r="BX343" i="3"/>
  <c r="BW343" i="3"/>
  <c r="BV343" i="3"/>
  <c r="BU343" i="3"/>
  <c r="BT343" i="3"/>
  <c r="BS343" i="3"/>
  <c r="BR343" i="3"/>
  <c r="BQ343" i="3"/>
  <c r="BP343" i="3"/>
  <c r="BO343" i="3"/>
  <c r="BN343" i="3"/>
  <c r="BM343" i="3"/>
  <c r="BL343" i="3"/>
  <c r="BK343" i="3"/>
  <c r="BJ343" i="3"/>
  <c r="BI343" i="3"/>
  <c r="BH343" i="3"/>
  <c r="BG343" i="3"/>
  <c r="BF343" i="3"/>
  <c r="BE343" i="3"/>
  <c r="BD343" i="3"/>
  <c r="BC343" i="3"/>
  <c r="BB343" i="3"/>
  <c r="BA343" i="3"/>
  <c r="AZ343" i="3"/>
  <c r="AY343" i="3"/>
  <c r="AX343" i="3"/>
  <c r="AW343" i="3"/>
  <c r="AV343" i="3"/>
  <c r="AR343" i="3"/>
  <c r="AS343" i="3" s="1"/>
  <c r="B343" i="3"/>
  <c r="CE342" i="3"/>
  <c r="CD342" i="3"/>
  <c r="CC342" i="3"/>
  <c r="CB342" i="3"/>
  <c r="CA342" i="3"/>
  <c r="BZ342" i="3"/>
  <c r="BY342" i="3"/>
  <c r="BX342" i="3"/>
  <c r="BW342" i="3"/>
  <c r="BV342" i="3"/>
  <c r="BU342" i="3"/>
  <c r="BT342" i="3"/>
  <c r="BS342" i="3"/>
  <c r="BR342" i="3"/>
  <c r="BQ342" i="3"/>
  <c r="BP342" i="3"/>
  <c r="BO342" i="3"/>
  <c r="BN342" i="3"/>
  <c r="BM342" i="3"/>
  <c r="BL342" i="3"/>
  <c r="BK342" i="3"/>
  <c r="BJ342" i="3"/>
  <c r="BI342" i="3"/>
  <c r="BH342" i="3"/>
  <c r="BG342" i="3"/>
  <c r="BF342" i="3"/>
  <c r="BE342" i="3"/>
  <c r="BD342" i="3"/>
  <c r="BC342" i="3"/>
  <c r="BB342" i="3"/>
  <c r="BA342" i="3"/>
  <c r="AZ342" i="3"/>
  <c r="AY342" i="3"/>
  <c r="AX342" i="3"/>
  <c r="AW342" i="3"/>
  <c r="AV342" i="3"/>
  <c r="AR342" i="3"/>
  <c r="AS342" i="3" s="1"/>
  <c r="B342" i="3"/>
  <c r="CE341" i="3"/>
  <c r="CD341" i="3"/>
  <c r="CC341" i="3"/>
  <c r="CB341" i="3"/>
  <c r="CA341" i="3"/>
  <c r="BZ341" i="3"/>
  <c r="BY341" i="3"/>
  <c r="BX341" i="3"/>
  <c r="BW341" i="3"/>
  <c r="BV341" i="3"/>
  <c r="BU341" i="3"/>
  <c r="BT341" i="3"/>
  <c r="BS341" i="3"/>
  <c r="BR341" i="3"/>
  <c r="BQ341" i="3"/>
  <c r="BP341" i="3"/>
  <c r="BO341" i="3"/>
  <c r="BN341" i="3"/>
  <c r="BM341" i="3"/>
  <c r="BL341" i="3"/>
  <c r="BK341" i="3"/>
  <c r="BJ341" i="3"/>
  <c r="BI341" i="3"/>
  <c r="BH341" i="3"/>
  <c r="BG341" i="3"/>
  <c r="BF341" i="3"/>
  <c r="BE341" i="3"/>
  <c r="BD341" i="3"/>
  <c r="BC341" i="3"/>
  <c r="BB341" i="3"/>
  <c r="BA341" i="3"/>
  <c r="AZ341" i="3"/>
  <c r="AY341" i="3"/>
  <c r="AX341" i="3"/>
  <c r="AW341" i="3"/>
  <c r="AV341" i="3"/>
  <c r="AR341" i="3"/>
  <c r="AS341" i="3" s="1"/>
  <c r="B341" i="3"/>
  <c r="CE340" i="3"/>
  <c r="CD340" i="3"/>
  <c r="CC340" i="3"/>
  <c r="CB340" i="3"/>
  <c r="CA340" i="3"/>
  <c r="BZ340" i="3"/>
  <c r="BY340" i="3"/>
  <c r="BX340" i="3"/>
  <c r="BW340" i="3"/>
  <c r="BV340" i="3"/>
  <c r="BU340" i="3"/>
  <c r="BT340" i="3"/>
  <c r="BS340" i="3"/>
  <c r="BR340" i="3"/>
  <c r="BQ340" i="3"/>
  <c r="BP340" i="3"/>
  <c r="BO340" i="3"/>
  <c r="BN340" i="3"/>
  <c r="BM340" i="3"/>
  <c r="BL340" i="3"/>
  <c r="BK340" i="3"/>
  <c r="BJ340" i="3"/>
  <c r="BI340" i="3"/>
  <c r="BH340" i="3"/>
  <c r="BG340" i="3"/>
  <c r="BF340" i="3"/>
  <c r="BE340" i="3"/>
  <c r="BD340" i="3"/>
  <c r="BC340" i="3"/>
  <c r="BB340" i="3"/>
  <c r="BA340" i="3"/>
  <c r="AZ340" i="3"/>
  <c r="AY340" i="3"/>
  <c r="AX340" i="3"/>
  <c r="AW340" i="3"/>
  <c r="AV340" i="3"/>
  <c r="AR340" i="3"/>
  <c r="AS340" i="3" s="1"/>
  <c r="B340" i="3"/>
  <c r="CE339" i="3"/>
  <c r="CD339" i="3"/>
  <c r="CC339" i="3"/>
  <c r="CB339" i="3"/>
  <c r="CA339" i="3"/>
  <c r="BZ339" i="3"/>
  <c r="BY339" i="3"/>
  <c r="BX339" i="3"/>
  <c r="BW339" i="3"/>
  <c r="BV339" i="3"/>
  <c r="BU339" i="3"/>
  <c r="BT339" i="3"/>
  <c r="BS339" i="3"/>
  <c r="BR339" i="3"/>
  <c r="BQ339" i="3"/>
  <c r="BP339" i="3"/>
  <c r="BO339" i="3"/>
  <c r="BN339" i="3"/>
  <c r="BM339" i="3"/>
  <c r="BL339" i="3"/>
  <c r="BK339" i="3"/>
  <c r="BJ339" i="3"/>
  <c r="BI339" i="3"/>
  <c r="BH339" i="3"/>
  <c r="BG339" i="3"/>
  <c r="BF339" i="3"/>
  <c r="BE339" i="3"/>
  <c r="BD339" i="3"/>
  <c r="BC339" i="3"/>
  <c r="BB339" i="3"/>
  <c r="BA339" i="3"/>
  <c r="AZ339" i="3"/>
  <c r="AY339" i="3"/>
  <c r="AX339" i="3"/>
  <c r="AW339" i="3"/>
  <c r="AV339" i="3"/>
  <c r="AR339" i="3"/>
  <c r="AS339" i="3" s="1"/>
  <c r="B339" i="3"/>
  <c r="CE338" i="3"/>
  <c r="CD338" i="3"/>
  <c r="CC338" i="3"/>
  <c r="CB338" i="3"/>
  <c r="CA338" i="3"/>
  <c r="BZ338" i="3"/>
  <c r="BY338" i="3"/>
  <c r="BX338" i="3"/>
  <c r="BW338" i="3"/>
  <c r="BV338" i="3"/>
  <c r="BU338" i="3"/>
  <c r="BT338" i="3"/>
  <c r="BS338" i="3"/>
  <c r="BR338" i="3"/>
  <c r="BQ338" i="3"/>
  <c r="BP338" i="3"/>
  <c r="BO338" i="3"/>
  <c r="BN338" i="3"/>
  <c r="BM338" i="3"/>
  <c r="BL338" i="3"/>
  <c r="BK338" i="3"/>
  <c r="BJ338" i="3"/>
  <c r="BI338" i="3"/>
  <c r="BH338" i="3"/>
  <c r="BG338" i="3"/>
  <c r="BF338" i="3"/>
  <c r="BE338" i="3"/>
  <c r="BD338" i="3"/>
  <c r="BC338" i="3"/>
  <c r="BB338" i="3"/>
  <c r="BA338" i="3"/>
  <c r="AZ338" i="3"/>
  <c r="AY338" i="3"/>
  <c r="AX338" i="3"/>
  <c r="AW338" i="3"/>
  <c r="AV338" i="3"/>
  <c r="AR338" i="3"/>
  <c r="AS338" i="3" s="1"/>
  <c r="B338" i="3"/>
  <c r="CE405" i="3"/>
  <c r="CD405" i="3"/>
  <c r="CC405" i="3"/>
  <c r="CB405" i="3"/>
  <c r="CA405" i="3"/>
  <c r="BZ405" i="3"/>
  <c r="BY405" i="3"/>
  <c r="BX405" i="3"/>
  <c r="BW405" i="3"/>
  <c r="BV405" i="3"/>
  <c r="BU405" i="3"/>
  <c r="BT405" i="3"/>
  <c r="BS405" i="3"/>
  <c r="BR405" i="3"/>
  <c r="BQ405" i="3"/>
  <c r="BP405" i="3"/>
  <c r="BO405" i="3"/>
  <c r="BN405" i="3"/>
  <c r="BM405" i="3"/>
  <c r="BL405" i="3"/>
  <c r="BK405" i="3"/>
  <c r="BJ405" i="3"/>
  <c r="BI405" i="3"/>
  <c r="BH405" i="3"/>
  <c r="BG405" i="3"/>
  <c r="BF405" i="3"/>
  <c r="BE405" i="3"/>
  <c r="BD405" i="3"/>
  <c r="BC405" i="3"/>
  <c r="BB405" i="3"/>
  <c r="BA405" i="3"/>
  <c r="AZ405" i="3"/>
  <c r="AY405" i="3"/>
  <c r="AX405" i="3"/>
  <c r="AW405" i="3"/>
  <c r="AV405" i="3"/>
  <c r="AR405" i="3"/>
  <c r="AS405" i="3" s="1"/>
  <c r="B405" i="3"/>
  <c r="CE404" i="3"/>
  <c r="CD404" i="3"/>
  <c r="CC404" i="3"/>
  <c r="CB404" i="3"/>
  <c r="CA404" i="3"/>
  <c r="BZ404" i="3"/>
  <c r="BY404" i="3"/>
  <c r="BX404" i="3"/>
  <c r="BW404" i="3"/>
  <c r="BV404" i="3"/>
  <c r="BU404" i="3"/>
  <c r="BT404" i="3"/>
  <c r="BS404" i="3"/>
  <c r="BR404" i="3"/>
  <c r="BQ404" i="3"/>
  <c r="BP404" i="3"/>
  <c r="BO404" i="3"/>
  <c r="BN404" i="3"/>
  <c r="BM404" i="3"/>
  <c r="BL404" i="3"/>
  <c r="BK404" i="3"/>
  <c r="BJ404" i="3"/>
  <c r="BI404" i="3"/>
  <c r="BH404" i="3"/>
  <c r="BG404" i="3"/>
  <c r="BF404" i="3"/>
  <c r="BE404" i="3"/>
  <c r="BD404" i="3"/>
  <c r="BC404" i="3"/>
  <c r="BB404" i="3"/>
  <c r="BA404" i="3"/>
  <c r="AZ404" i="3"/>
  <c r="AY404" i="3"/>
  <c r="AX404" i="3"/>
  <c r="AW404" i="3"/>
  <c r="AV404" i="3"/>
  <c r="AR404" i="3"/>
  <c r="AS404" i="3" s="1"/>
  <c r="B404" i="3"/>
  <c r="CE403" i="3"/>
  <c r="CD403" i="3"/>
  <c r="CC403" i="3"/>
  <c r="CB403" i="3"/>
  <c r="CA403" i="3"/>
  <c r="BZ403" i="3"/>
  <c r="BY403" i="3"/>
  <c r="BX403" i="3"/>
  <c r="BW403" i="3"/>
  <c r="BV403" i="3"/>
  <c r="BU403" i="3"/>
  <c r="BT403" i="3"/>
  <c r="BS403" i="3"/>
  <c r="BR403" i="3"/>
  <c r="BQ403" i="3"/>
  <c r="BP403" i="3"/>
  <c r="BO403" i="3"/>
  <c r="BN403" i="3"/>
  <c r="BM403" i="3"/>
  <c r="BL403" i="3"/>
  <c r="BK403" i="3"/>
  <c r="BJ403" i="3"/>
  <c r="BI403" i="3"/>
  <c r="BH403" i="3"/>
  <c r="BG403" i="3"/>
  <c r="BF403" i="3"/>
  <c r="BE403" i="3"/>
  <c r="AR403" i="3" s="1"/>
  <c r="AS403" i="3" s="1"/>
  <c r="BD403" i="3"/>
  <c r="BC403" i="3"/>
  <c r="BB403" i="3"/>
  <c r="BA403" i="3"/>
  <c r="AZ403" i="3"/>
  <c r="AY403" i="3"/>
  <c r="AX403" i="3"/>
  <c r="AW403" i="3"/>
  <c r="AV403" i="3"/>
  <c r="B403" i="3"/>
  <c r="CE402" i="3"/>
  <c r="CD402" i="3"/>
  <c r="CC402" i="3"/>
  <c r="CB402" i="3"/>
  <c r="CA402" i="3"/>
  <c r="BZ402" i="3"/>
  <c r="BY402" i="3"/>
  <c r="BX402" i="3"/>
  <c r="BW402" i="3"/>
  <c r="BV402" i="3"/>
  <c r="BU402" i="3"/>
  <c r="BT402" i="3"/>
  <c r="BS402" i="3"/>
  <c r="BR402" i="3"/>
  <c r="BQ402" i="3"/>
  <c r="BP402" i="3"/>
  <c r="BO402" i="3"/>
  <c r="BN402" i="3"/>
  <c r="BM402" i="3"/>
  <c r="BL402" i="3"/>
  <c r="BK402" i="3"/>
  <c r="BJ402" i="3"/>
  <c r="BI402" i="3"/>
  <c r="BH402" i="3"/>
  <c r="BG402" i="3"/>
  <c r="BF402" i="3"/>
  <c r="BE402" i="3"/>
  <c r="BD402" i="3"/>
  <c r="BC402" i="3"/>
  <c r="BB402" i="3"/>
  <c r="BA402" i="3"/>
  <c r="AZ402" i="3"/>
  <c r="AY402" i="3"/>
  <c r="AX402" i="3"/>
  <c r="AW402" i="3"/>
  <c r="AV402" i="3"/>
  <c r="AR402" i="3"/>
  <c r="AS402" i="3" s="1"/>
  <c r="B402" i="3"/>
  <c r="CE401" i="3"/>
  <c r="CD401" i="3"/>
  <c r="CC401" i="3"/>
  <c r="CB401" i="3"/>
  <c r="CA401" i="3"/>
  <c r="BZ401" i="3"/>
  <c r="BY401" i="3"/>
  <c r="BX401" i="3"/>
  <c r="BW401" i="3"/>
  <c r="BV401" i="3"/>
  <c r="BU401" i="3"/>
  <c r="BT401" i="3"/>
  <c r="BS401" i="3"/>
  <c r="BR401" i="3"/>
  <c r="BQ401" i="3"/>
  <c r="BP401" i="3"/>
  <c r="BO401" i="3"/>
  <c r="BN401" i="3"/>
  <c r="BM401" i="3"/>
  <c r="BL401" i="3"/>
  <c r="BK401" i="3"/>
  <c r="BJ401" i="3"/>
  <c r="BI401" i="3"/>
  <c r="BH401" i="3"/>
  <c r="BG401" i="3"/>
  <c r="BF401" i="3"/>
  <c r="BE401" i="3"/>
  <c r="BD401" i="3"/>
  <c r="BC401" i="3"/>
  <c r="BB401" i="3"/>
  <c r="BA401" i="3"/>
  <c r="AZ401" i="3"/>
  <c r="AY401" i="3"/>
  <c r="AX401" i="3"/>
  <c r="AW401" i="3"/>
  <c r="AV401" i="3"/>
  <c r="AR401" i="3"/>
  <c r="AS401" i="3" s="1"/>
  <c r="B401" i="3"/>
  <c r="CE400" i="3"/>
  <c r="CD400" i="3"/>
  <c r="CC400" i="3"/>
  <c r="CB400" i="3"/>
  <c r="CA400" i="3"/>
  <c r="BZ400" i="3"/>
  <c r="BY400" i="3"/>
  <c r="BX400" i="3"/>
  <c r="BW400" i="3"/>
  <c r="BV400" i="3"/>
  <c r="BU400" i="3"/>
  <c r="BT400" i="3"/>
  <c r="BS400" i="3"/>
  <c r="BR400" i="3"/>
  <c r="BQ400" i="3"/>
  <c r="BP400" i="3"/>
  <c r="BO400" i="3"/>
  <c r="BN400" i="3"/>
  <c r="BM400" i="3"/>
  <c r="BL400" i="3"/>
  <c r="BK400" i="3"/>
  <c r="BJ400" i="3"/>
  <c r="BI400" i="3"/>
  <c r="BH400" i="3"/>
  <c r="BG400" i="3"/>
  <c r="BF400" i="3"/>
  <c r="BE400" i="3"/>
  <c r="BD400" i="3"/>
  <c r="BC400" i="3"/>
  <c r="BB400" i="3"/>
  <c r="BA400" i="3"/>
  <c r="AZ400" i="3"/>
  <c r="AY400" i="3"/>
  <c r="AX400" i="3"/>
  <c r="AW400" i="3"/>
  <c r="AV400" i="3"/>
  <c r="AR400" i="3"/>
  <c r="AS400" i="3" s="1"/>
  <c r="B400" i="3"/>
  <c r="CE399" i="3"/>
  <c r="CD399" i="3"/>
  <c r="CC399" i="3"/>
  <c r="CB399" i="3"/>
  <c r="CA399" i="3"/>
  <c r="BZ399" i="3"/>
  <c r="BY399" i="3"/>
  <c r="BX399" i="3"/>
  <c r="BW399" i="3"/>
  <c r="BV399" i="3"/>
  <c r="BU399" i="3"/>
  <c r="BT399" i="3"/>
  <c r="BS399" i="3"/>
  <c r="BR399" i="3"/>
  <c r="BQ399" i="3"/>
  <c r="BP399" i="3"/>
  <c r="BO399" i="3"/>
  <c r="BN399" i="3"/>
  <c r="BM399" i="3"/>
  <c r="BL399" i="3"/>
  <c r="BK399" i="3"/>
  <c r="BJ399" i="3"/>
  <c r="BI399" i="3"/>
  <c r="BH399" i="3"/>
  <c r="BG399" i="3"/>
  <c r="BF399" i="3"/>
  <c r="BE399" i="3"/>
  <c r="BD399" i="3"/>
  <c r="BC399" i="3"/>
  <c r="BB399" i="3"/>
  <c r="BA399" i="3"/>
  <c r="AZ399" i="3"/>
  <c r="AY399" i="3"/>
  <c r="AX399" i="3"/>
  <c r="AW399" i="3"/>
  <c r="AV399" i="3"/>
  <c r="AR399" i="3"/>
  <c r="AS399" i="3" s="1"/>
  <c r="B399" i="3"/>
  <c r="CE398" i="3"/>
  <c r="CD398" i="3"/>
  <c r="CC398" i="3"/>
  <c r="CB398" i="3"/>
  <c r="CA398" i="3"/>
  <c r="BZ398" i="3"/>
  <c r="BY398" i="3"/>
  <c r="BX398" i="3"/>
  <c r="BW398" i="3"/>
  <c r="BV398" i="3"/>
  <c r="BU398" i="3"/>
  <c r="BT398" i="3"/>
  <c r="BS398" i="3"/>
  <c r="BR398" i="3"/>
  <c r="BQ398" i="3"/>
  <c r="BP398" i="3"/>
  <c r="BO398" i="3"/>
  <c r="BN398" i="3"/>
  <c r="BM398" i="3"/>
  <c r="BL398" i="3"/>
  <c r="BK398" i="3"/>
  <c r="BJ398" i="3"/>
  <c r="BI398" i="3"/>
  <c r="BH398" i="3"/>
  <c r="BG398" i="3"/>
  <c r="BF398" i="3"/>
  <c r="BE398" i="3"/>
  <c r="BD398" i="3"/>
  <c r="BC398" i="3"/>
  <c r="BB398" i="3"/>
  <c r="BA398" i="3"/>
  <c r="AZ398" i="3"/>
  <c r="AY398" i="3"/>
  <c r="AX398" i="3"/>
  <c r="AW398" i="3"/>
  <c r="AV398" i="3"/>
  <c r="B398" i="3"/>
  <c r="CE397" i="3"/>
  <c r="CD397" i="3"/>
  <c r="CC397" i="3"/>
  <c r="CB397" i="3"/>
  <c r="CA397" i="3"/>
  <c r="BZ397" i="3"/>
  <c r="BY397" i="3"/>
  <c r="BX397" i="3"/>
  <c r="BW397" i="3"/>
  <c r="BV397" i="3"/>
  <c r="BU397" i="3"/>
  <c r="BT397" i="3"/>
  <c r="BS397" i="3"/>
  <c r="BR397" i="3"/>
  <c r="BQ397" i="3"/>
  <c r="BP397" i="3"/>
  <c r="BO397" i="3"/>
  <c r="BN397" i="3"/>
  <c r="BM397" i="3"/>
  <c r="BL397" i="3"/>
  <c r="BK397" i="3"/>
  <c r="BJ397" i="3"/>
  <c r="BI397" i="3"/>
  <c r="BH397" i="3"/>
  <c r="BG397" i="3"/>
  <c r="BF397" i="3"/>
  <c r="BE397" i="3"/>
  <c r="BD397" i="3"/>
  <c r="BC397" i="3"/>
  <c r="BB397" i="3"/>
  <c r="BA397" i="3"/>
  <c r="AZ397" i="3"/>
  <c r="AY397" i="3"/>
  <c r="AX397" i="3"/>
  <c r="AW397" i="3"/>
  <c r="AV397" i="3"/>
  <c r="B397" i="3"/>
  <c r="CE396" i="3"/>
  <c r="CD396" i="3"/>
  <c r="CC396" i="3"/>
  <c r="CB396" i="3"/>
  <c r="CA396" i="3"/>
  <c r="BZ396" i="3"/>
  <c r="BY396" i="3"/>
  <c r="BX396" i="3"/>
  <c r="BW396" i="3"/>
  <c r="BV396" i="3"/>
  <c r="BU396" i="3"/>
  <c r="BT396" i="3"/>
  <c r="BS396" i="3"/>
  <c r="BR396" i="3"/>
  <c r="BQ396" i="3"/>
  <c r="BP396" i="3"/>
  <c r="BO396" i="3"/>
  <c r="BN396" i="3"/>
  <c r="BM396" i="3"/>
  <c r="BL396" i="3"/>
  <c r="BK396" i="3"/>
  <c r="BJ396" i="3"/>
  <c r="BI396" i="3"/>
  <c r="BH396" i="3"/>
  <c r="BG396" i="3"/>
  <c r="BF396" i="3"/>
  <c r="BE396" i="3"/>
  <c r="BD396" i="3"/>
  <c r="BC396" i="3"/>
  <c r="BB396" i="3"/>
  <c r="BA396" i="3"/>
  <c r="AZ396" i="3"/>
  <c r="AY396" i="3"/>
  <c r="AX396" i="3"/>
  <c r="AW396" i="3"/>
  <c r="AV396" i="3"/>
  <c r="AR396" i="3"/>
  <c r="AS396" i="3" s="1"/>
  <c r="B396" i="3"/>
  <c r="CE395" i="3"/>
  <c r="CD395" i="3"/>
  <c r="CC395" i="3"/>
  <c r="CB395" i="3"/>
  <c r="CA395" i="3"/>
  <c r="BZ395" i="3"/>
  <c r="BY395" i="3"/>
  <c r="BX395" i="3"/>
  <c r="BW395" i="3"/>
  <c r="BV395" i="3"/>
  <c r="BU395" i="3"/>
  <c r="BT395" i="3"/>
  <c r="BS395" i="3"/>
  <c r="BR395" i="3"/>
  <c r="BQ395" i="3"/>
  <c r="BP395" i="3"/>
  <c r="BO395" i="3"/>
  <c r="BN395" i="3"/>
  <c r="BM395" i="3"/>
  <c r="BL395" i="3"/>
  <c r="BK395" i="3"/>
  <c r="BJ395" i="3"/>
  <c r="BI395" i="3"/>
  <c r="BH395" i="3"/>
  <c r="BG395" i="3"/>
  <c r="BF395" i="3"/>
  <c r="BE395" i="3"/>
  <c r="BD395" i="3"/>
  <c r="BC395" i="3"/>
  <c r="BB395" i="3"/>
  <c r="BA395" i="3"/>
  <c r="AZ395" i="3"/>
  <c r="AY395" i="3"/>
  <c r="AX395" i="3"/>
  <c r="AW395" i="3"/>
  <c r="AV395" i="3"/>
  <c r="AR395" i="3"/>
  <c r="AS395" i="3" s="1"/>
  <c r="B395" i="3"/>
  <c r="CE394" i="3"/>
  <c r="CD394" i="3"/>
  <c r="CC394" i="3"/>
  <c r="CB394" i="3"/>
  <c r="CA394" i="3"/>
  <c r="BZ394" i="3"/>
  <c r="BY394" i="3"/>
  <c r="BX394" i="3"/>
  <c r="BW394" i="3"/>
  <c r="BV394" i="3"/>
  <c r="BU394" i="3"/>
  <c r="BT394" i="3"/>
  <c r="BS394" i="3"/>
  <c r="BR394" i="3"/>
  <c r="BQ394" i="3"/>
  <c r="BP394" i="3"/>
  <c r="BO394" i="3"/>
  <c r="BN394" i="3"/>
  <c r="BM394" i="3"/>
  <c r="BL394" i="3"/>
  <c r="BK394" i="3"/>
  <c r="BJ394" i="3"/>
  <c r="BI394" i="3"/>
  <c r="BH394" i="3"/>
  <c r="BG394" i="3"/>
  <c r="BF394" i="3"/>
  <c r="BE394" i="3"/>
  <c r="BD394" i="3"/>
  <c r="BC394" i="3"/>
  <c r="BB394" i="3"/>
  <c r="BA394" i="3"/>
  <c r="AZ394" i="3"/>
  <c r="AY394" i="3"/>
  <c r="AX394" i="3"/>
  <c r="AW394" i="3"/>
  <c r="AV394" i="3"/>
  <c r="AR394" i="3"/>
  <c r="AS394" i="3" s="1"/>
  <c r="B394" i="3"/>
  <c r="CE393" i="3"/>
  <c r="CD393" i="3"/>
  <c r="CC393" i="3"/>
  <c r="CB393" i="3"/>
  <c r="CA393" i="3"/>
  <c r="BZ393" i="3"/>
  <c r="BY393" i="3"/>
  <c r="BX393" i="3"/>
  <c r="BW393" i="3"/>
  <c r="BV393" i="3"/>
  <c r="BU393" i="3"/>
  <c r="BT393" i="3"/>
  <c r="BS393" i="3"/>
  <c r="BR393" i="3"/>
  <c r="BQ393" i="3"/>
  <c r="BP393" i="3"/>
  <c r="BO393" i="3"/>
  <c r="BN393" i="3"/>
  <c r="BM393" i="3"/>
  <c r="BL393" i="3"/>
  <c r="BK393" i="3"/>
  <c r="BJ393" i="3"/>
  <c r="BI393" i="3"/>
  <c r="BH393" i="3"/>
  <c r="BG393" i="3"/>
  <c r="BF393" i="3"/>
  <c r="BE393" i="3"/>
  <c r="BD393" i="3"/>
  <c r="BC393" i="3"/>
  <c r="BB393" i="3"/>
  <c r="BA393" i="3"/>
  <c r="AZ393" i="3"/>
  <c r="AY393" i="3"/>
  <c r="AX393" i="3"/>
  <c r="AW393" i="3"/>
  <c r="AV393" i="3"/>
  <c r="AR393" i="3"/>
  <c r="AS393" i="3" s="1"/>
  <c r="B393" i="3"/>
  <c r="CE392" i="3"/>
  <c r="CD392" i="3"/>
  <c r="CC392" i="3"/>
  <c r="CB392" i="3"/>
  <c r="CA392" i="3"/>
  <c r="BZ392" i="3"/>
  <c r="BY392" i="3"/>
  <c r="BX392" i="3"/>
  <c r="BW392" i="3"/>
  <c r="BV392" i="3"/>
  <c r="BU392" i="3"/>
  <c r="BT392" i="3"/>
  <c r="BS392" i="3"/>
  <c r="BR392" i="3"/>
  <c r="BQ392" i="3"/>
  <c r="BP392" i="3"/>
  <c r="BO392" i="3"/>
  <c r="BN392" i="3"/>
  <c r="BM392" i="3"/>
  <c r="BL392" i="3"/>
  <c r="BK392" i="3"/>
  <c r="BJ392" i="3"/>
  <c r="BI392" i="3"/>
  <c r="BH392" i="3"/>
  <c r="BG392" i="3"/>
  <c r="BF392" i="3"/>
  <c r="BE392" i="3"/>
  <c r="BD392" i="3"/>
  <c r="BC392" i="3"/>
  <c r="BB392" i="3"/>
  <c r="BA392" i="3"/>
  <c r="AZ392" i="3"/>
  <c r="AY392" i="3"/>
  <c r="AX392" i="3"/>
  <c r="AW392" i="3"/>
  <c r="AV392" i="3"/>
  <c r="AR392" i="3"/>
  <c r="AS392" i="3" s="1"/>
  <c r="B392" i="3"/>
  <c r="CE391" i="3"/>
  <c r="CD391" i="3"/>
  <c r="CC391" i="3"/>
  <c r="CB391" i="3"/>
  <c r="CA391" i="3"/>
  <c r="BZ391" i="3"/>
  <c r="BY391" i="3"/>
  <c r="BX391" i="3"/>
  <c r="BW391" i="3"/>
  <c r="BV391" i="3"/>
  <c r="BU391" i="3"/>
  <c r="BT391" i="3"/>
  <c r="BS391" i="3"/>
  <c r="BR391" i="3"/>
  <c r="BQ391" i="3"/>
  <c r="BP391" i="3"/>
  <c r="BO391" i="3"/>
  <c r="BN391" i="3"/>
  <c r="BM391" i="3"/>
  <c r="BL391" i="3"/>
  <c r="BK391" i="3"/>
  <c r="BJ391" i="3"/>
  <c r="BI391" i="3"/>
  <c r="BH391" i="3"/>
  <c r="BG391" i="3"/>
  <c r="BF391" i="3"/>
  <c r="BE391" i="3"/>
  <c r="BD391" i="3"/>
  <c r="BC391" i="3"/>
  <c r="BB391" i="3"/>
  <c r="BA391" i="3"/>
  <c r="AZ391" i="3"/>
  <c r="AY391" i="3"/>
  <c r="AX391" i="3"/>
  <c r="AW391" i="3"/>
  <c r="AV391" i="3"/>
  <c r="AR391" i="3"/>
  <c r="AS391" i="3" s="1"/>
  <c r="B391" i="3"/>
  <c r="CE390" i="3"/>
  <c r="CD390" i="3"/>
  <c r="CC390" i="3"/>
  <c r="CB390" i="3"/>
  <c r="CA390" i="3"/>
  <c r="BZ390" i="3"/>
  <c r="BY390" i="3"/>
  <c r="BX390" i="3"/>
  <c r="BW390" i="3"/>
  <c r="BV390" i="3"/>
  <c r="BU390" i="3"/>
  <c r="BT390" i="3"/>
  <c r="BS390" i="3"/>
  <c r="BR390" i="3"/>
  <c r="BQ390" i="3"/>
  <c r="BP390" i="3"/>
  <c r="BO390" i="3"/>
  <c r="BN390" i="3"/>
  <c r="BM390" i="3"/>
  <c r="BL390" i="3"/>
  <c r="BK390" i="3"/>
  <c r="BJ390" i="3"/>
  <c r="BI390" i="3"/>
  <c r="BH390" i="3"/>
  <c r="BG390" i="3"/>
  <c r="BF390" i="3"/>
  <c r="BE390" i="3"/>
  <c r="BD390" i="3"/>
  <c r="BC390" i="3"/>
  <c r="BB390" i="3"/>
  <c r="BA390" i="3"/>
  <c r="AZ390" i="3"/>
  <c r="AY390" i="3"/>
  <c r="AX390" i="3"/>
  <c r="AW390" i="3"/>
  <c r="AV390" i="3"/>
  <c r="AR390" i="3"/>
  <c r="AS390" i="3" s="1"/>
  <c r="B390" i="3"/>
  <c r="CE389" i="3"/>
  <c r="CD389" i="3"/>
  <c r="CC389" i="3"/>
  <c r="CB389" i="3"/>
  <c r="CA389" i="3"/>
  <c r="BZ389" i="3"/>
  <c r="BY389" i="3"/>
  <c r="BX389" i="3"/>
  <c r="BW389" i="3"/>
  <c r="BV389" i="3"/>
  <c r="BU389" i="3"/>
  <c r="BT389" i="3"/>
  <c r="BS389" i="3"/>
  <c r="BR389" i="3"/>
  <c r="BQ389" i="3"/>
  <c r="BP389" i="3"/>
  <c r="BO389" i="3"/>
  <c r="BN389" i="3"/>
  <c r="BM389" i="3"/>
  <c r="BL389" i="3"/>
  <c r="BK389" i="3"/>
  <c r="BJ389" i="3"/>
  <c r="BI389" i="3"/>
  <c r="BH389" i="3"/>
  <c r="BG389" i="3"/>
  <c r="BF389" i="3"/>
  <c r="BE389" i="3"/>
  <c r="BD389" i="3"/>
  <c r="BC389" i="3"/>
  <c r="BB389" i="3"/>
  <c r="BA389" i="3"/>
  <c r="AZ389" i="3"/>
  <c r="AY389" i="3"/>
  <c r="AX389" i="3"/>
  <c r="AW389" i="3"/>
  <c r="AV389" i="3"/>
  <c r="AR389" i="3"/>
  <c r="AS389" i="3" s="1"/>
  <c r="B389" i="3"/>
  <c r="CE388" i="3"/>
  <c r="CD388" i="3"/>
  <c r="CC388" i="3"/>
  <c r="CB388" i="3"/>
  <c r="CA388" i="3"/>
  <c r="BZ388" i="3"/>
  <c r="BY388" i="3"/>
  <c r="BX388" i="3"/>
  <c r="BW388" i="3"/>
  <c r="BV388" i="3"/>
  <c r="BU388" i="3"/>
  <c r="BT388" i="3"/>
  <c r="BS388" i="3"/>
  <c r="BR388" i="3"/>
  <c r="BQ388" i="3"/>
  <c r="BP388" i="3"/>
  <c r="BO388" i="3"/>
  <c r="BN388" i="3"/>
  <c r="BM388" i="3"/>
  <c r="BL388" i="3"/>
  <c r="BK388" i="3"/>
  <c r="BJ388" i="3"/>
  <c r="BI388" i="3"/>
  <c r="BH388" i="3"/>
  <c r="BG388" i="3"/>
  <c r="BF388" i="3"/>
  <c r="BE388" i="3"/>
  <c r="BD388" i="3"/>
  <c r="BC388" i="3"/>
  <c r="BB388" i="3"/>
  <c r="BA388" i="3"/>
  <c r="AZ388" i="3"/>
  <c r="AY388" i="3"/>
  <c r="AX388" i="3"/>
  <c r="AW388" i="3"/>
  <c r="AV388" i="3"/>
  <c r="B388" i="3"/>
  <c r="CE387" i="3"/>
  <c r="CD387" i="3"/>
  <c r="CC387" i="3"/>
  <c r="CB387" i="3"/>
  <c r="CA387" i="3"/>
  <c r="BZ387" i="3"/>
  <c r="BY387" i="3"/>
  <c r="BX387" i="3"/>
  <c r="BW387" i="3"/>
  <c r="BV387" i="3"/>
  <c r="BU387" i="3"/>
  <c r="BT387" i="3"/>
  <c r="BS387" i="3"/>
  <c r="BR387" i="3"/>
  <c r="BQ387" i="3"/>
  <c r="BP387" i="3"/>
  <c r="BO387" i="3"/>
  <c r="BN387" i="3"/>
  <c r="BM387" i="3"/>
  <c r="BL387" i="3"/>
  <c r="BK387" i="3"/>
  <c r="BJ387" i="3"/>
  <c r="BI387" i="3"/>
  <c r="BH387" i="3"/>
  <c r="BG387" i="3"/>
  <c r="BF387" i="3"/>
  <c r="BE387" i="3"/>
  <c r="BD387" i="3"/>
  <c r="BC387" i="3"/>
  <c r="BB387" i="3"/>
  <c r="BA387" i="3"/>
  <c r="AZ387" i="3"/>
  <c r="AY387" i="3"/>
  <c r="AX387" i="3"/>
  <c r="AW387" i="3"/>
  <c r="AV387" i="3"/>
  <c r="B387" i="3"/>
  <c r="CE386" i="3"/>
  <c r="CD386" i="3"/>
  <c r="CC386" i="3"/>
  <c r="CB386" i="3"/>
  <c r="CA386" i="3"/>
  <c r="BZ386" i="3"/>
  <c r="BY386" i="3"/>
  <c r="BX386" i="3"/>
  <c r="BW386" i="3"/>
  <c r="BV386" i="3"/>
  <c r="BU386" i="3"/>
  <c r="BT386" i="3"/>
  <c r="BS386" i="3"/>
  <c r="BR386" i="3"/>
  <c r="BQ386" i="3"/>
  <c r="BP386" i="3"/>
  <c r="BO386" i="3"/>
  <c r="BN386" i="3"/>
  <c r="BM386" i="3"/>
  <c r="BL386" i="3"/>
  <c r="BK386" i="3"/>
  <c r="BJ386" i="3"/>
  <c r="BI386" i="3"/>
  <c r="BH386" i="3"/>
  <c r="BG386" i="3"/>
  <c r="BF386" i="3"/>
  <c r="BE386" i="3"/>
  <c r="BD386" i="3"/>
  <c r="BC386" i="3"/>
  <c r="BB386" i="3"/>
  <c r="BA386" i="3"/>
  <c r="AZ386" i="3"/>
  <c r="AY386" i="3"/>
  <c r="AX386" i="3"/>
  <c r="AW386" i="3"/>
  <c r="AV386" i="3"/>
  <c r="B386" i="3"/>
  <c r="CE385" i="3"/>
  <c r="CD385" i="3"/>
  <c r="CC385" i="3"/>
  <c r="CB385" i="3"/>
  <c r="CA385" i="3"/>
  <c r="BZ385" i="3"/>
  <c r="BY385" i="3"/>
  <c r="BX385" i="3"/>
  <c r="BW385" i="3"/>
  <c r="BV385" i="3"/>
  <c r="BU385" i="3"/>
  <c r="BT385" i="3"/>
  <c r="BS385" i="3"/>
  <c r="BR385" i="3"/>
  <c r="BQ385" i="3"/>
  <c r="BP385" i="3"/>
  <c r="BO385" i="3"/>
  <c r="BN385" i="3"/>
  <c r="BM385" i="3"/>
  <c r="BL385" i="3"/>
  <c r="BK385" i="3"/>
  <c r="BJ385" i="3"/>
  <c r="BI385" i="3"/>
  <c r="BH385" i="3"/>
  <c r="BG385" i="3"/>
  <c r="BF385" i="3"/>
  <c r="BE385" i="3"/>
  <c r="BD385" i="3"/>
  <c r="BC385" i="3"/>
  <c r="BB385" i="3"/>
  <c r="BA385" i="3"/>
  <c r="AZ385" i="3"/>
  <c r="AY385" i="3"/>
  <c r="AX385" i="3"/>
  <c r="AW385" i="3"/>
  <c r="AV385" i="3"/>
  <c r="B385" i="3"/>
  <c r="CE384" i="3"/>
  <c r="CD384" i="3"/>
  <c r="CC384" i="3"/>
  <c r="CB384" i="3"/>
  <c r="CA384" i="3"/>
  <c r="BZ384" i="3"/>
  <c r="BY384" i="3"/>
  <c r="BX384" i="3"/>
  <c r="BW384" i="3"/>
  <c r="BV384" i="3"/>
  <c r="BU384" i="3"/>
  <c r="BT384" i="3"/>
  <c r="BS384" i="3"/>
  <c r="BR384" i="3"/>
  <c r="BQ384" i="3"/>
  <c r="BP384" i="3"/>
  <c r="BO384" i="3"/>
  <c r="BN384" i="3"/>
  <c r="BM384" i="3"/>
  <c r="BL384" i="3"/>
  <c r="BK384" i="3"/>
  <c r="BJ384" i="3"/>
  <c r="BI384" i="3"/>
  <c r="BH384" i="3"/>
  <c r="BG384" i="3"/>
  <c r="BF384" i="3"/>
  <c r="BE384" i="3"/>
  <c r="BD384" i="3"/>
  <c r="BC384" i="3"/>
  <c r="BB384" i="3"/>
  <c r="BA384" i="3"/>
  <c r="AZ384" i="3"/>
  <c r="AY384" i="3"/>
  <c r="AX384" i="3"/>
  <c r="AW384" i="3"/>
  <c r="AV384" i="3"/>
  <c r="AR384" i="3"/>
  <c r="AS384" i="3" s="1"/>
  <c r="B384" i="3"/>
  <c r="CE383" i="3"/>
  <c r="CD383" i="3"/>
  <c r="CC383" i="3"/>
  <c r="CB383" i="3"/>
  <c r="CA383" i="3"/>
  <c r="BZ383" i="3"/>
  <c r="BY383" i="3"/>
  <c r="BX383" i="3"/>
  <c r="BW383" i="3"/>
  <c r="BV383" i="3"/>
  <c r="BU383" i="3"/>
  <c r="BT383" i="3"/>
  <c r="BS383" i="3"/>
  <c r="BR383" i="3"/>
  <c r="BQ383" i="3"/>
  <c r="BP383" i="3"/>
  <c r="BO383" i="3"/>
  <c r="BN383" i="3"/>
  <c r="BM383" i="3"/>
  <c r="BL383" i="3"/>
  <c r="BK383" i="3"/>
  <c r="BJ383" i="3"/>
  <c r="BI383" i="3"/>
  <c r="BH383" i="3"/>
  <c r="BG383" i="3"/>
  <c r="BF383" i="3"/>
  <c r="BE383" i="3"/>
  <c r="BD383" i="3"/>
  <c r="BC383" i="3"/>
  <c r="BB383" i="3"/>
  <c r="BA383" i="3"/>
  <c r="AZ383" i="3"/>
  <c r="AY383" i="3"/>
  <c r="AX383" i="3"/>
  <c r="AW383" i="3"/>
  <c r="AV383" i="3"/>
  <c r="AR383" i="3"/>
  <c r="AS383" i="3" s="1"/>
  <c r="B383" i="3"/>
  <c r="CE382" i="3"/>
  <c r="CD382" i="3"/>
  <c r="CC382" i="3"/>
  <c r="CB382" i="3"/>
  <c r="CA382" i="3"/>
  <c r="BZ382" i="3"/>
  <c r="BY382" i="3"/>
  <c r="BX382" i="3"/>
  <c r="BW382" i="3"/>
  <c r="BV382" i="3"/>
  <c r="BU382" i="3"/>
  <c r="BT382" i="3"/>
  <c r="BS382" i="3"/>
  <c r="BR382" i="3"/>
  <c r="BQ382" i="3"/>
  <c r="BP382" i="3"/>
  <c r="BO382" i="3"/>
  <c r="BN382" i="3"/>
  <c r="BM382" i="3"/>
  <c r="BL382" i="3"/>
  <c r="BK382" i="3"/>
  <c r="BJ382" i="3"/>
  <c r="BI382" i="3"/>
  <c r="BH382" i="3"/>
  <c r="BG382" i="3"/>
  <c r="BF382" i="3"/>
  <c r="BE382" i="3"/>
  <c r="BD382" i="3"/>
  <c r="BC382" i="3"/>
  <c r="BB382" i="3"/>
  <c r="BA382" i="3"/>
  <c r="AZ382" i="3"/>
  <c r="AY382" i="3"/>
  <c r="AX382" i="3"/>
  <c r="AW382" i="3"/>
  <c r="AV382" i="3"/>
  <c r="AR382" i="3"/>
  <c r="AS382" i="3" s="1"/>
  <c r="B382" i="3"/>
  <c r="CE381" i="3"/>
  <c r="CD381" i="3"/>
  <c r="CC381" i="3"/>
  <c r="CB381" i="3"/>
  <c r="CA381" i="3"/>
  <c r="BZ381" i="3"/>
  <c r="BY381" i="3"/>
  <c r="BX381" i="3"/>
  <c r="BW381" i="3"/>
  <c r="BV381" i="3"/>
  <c r="BU381" i="3"/>
  <c r="BT381" i="3"/>
  <c r="BS381" i="3"/>
  <c r="BR381" i="3"/>
  <c r="BQ381" i="3"/>
  <c r="BP381" i="3"/>
  <c r="BO381" i="3"/>
  <c r="BN381" i="3"/>
  <c r="BM381" i="3"/>
  <c r="BL381" i="3"/>
  <c r="BK381" i="3"/>
  <c r="BJ381" i="3"/>
  <c r="BI381" i="3"/>
  <c r="BH381" i="3"/>
  <c r="BG381" i="3"/>
  <c r="BF381" i="3"/>
  <c r="BE381" i="3"/>
  <c r="BD381" i="3"/>
  <c r="BC381" i="3"/>
  <c r="BB381" i="3"/>
  <c r="BA381" i="3"/>
  <c r="AZ381" i="3"/>
  <c r="AY381" i="3"/>
  <c r="AX381" i="3"/>
  <c r="AW381" i="3"/>
  <c r="AV381" i="3"/>
  <c r="AR381" i="3"/>
  <c r="AS381" i="3" s="1"/>
  <c r="B381" i="3"/>
  <c r="CE380" i="3"/>
  <c r="CD380" i="3"/>
  <c r="CC380" i="3"/>
  <c r="CB380" i="3"/>
  <c r="CA380" i="3"/>
  <c r="BZ380" i="3"/>
  <c r="BY380" i="3"/>
  <c r="BX380" i="3"/>
  <c r="BW380" i="3"/>
  <c r="BV380" i="3"/>
  <c r="BU380" i="3"/>
  <c r="BT380" i="3"/>
  <c r="BS380" i="3"/>
  <c r="BR380" i="3"/>
  <c r="BQ380" i="3"/>
  <c r="BP380" i="3"/>
  <c r="BO380" i="3"/>
  <c r="BN380" i="3"/>
  <c r="BM380" i="3"/>
  <c r="BL380" i="3"/>
  <c r="BK380" i="3"/>
  <c r="BJ380" i="3"/>
  <c r="BI380" i="3"/>
  <c r="BH380" i="3"/>
  <c r="BG380" i="3"/>
  <c r="BF380" i="3"/>
  <c r="BE380" i="3"/>
  <c r="BD380" i="3"/>
  <c r="BC380" i="3"/>
  <c r="BB380" i="3"/>
  <c r="BA380" i="3"/>
  <c r="AZ380" i="3"/>
  <c r="AY380" i="3"/>
  <c r="AX380" i="3"/>
  <c r="AW380" i="3"/>
  <c r="AV380" i="3"/>
  <c r="AR380" i="3"/>
  <c r="AS380" i="3" s="1"/>
  <c r="B380" i="3"/>
  <c r="CE379" i="3"/>
  <c r="CD379" i="3"/>
  <c r="CC379" i="3"/>
  <c r="CB379" i="3"/>
  <c r="CA379" i="3"/>
  <c r="BZ379" i="3"/>
  <c r="BY379" i="3"/>
  <c r="BX379" i="3"/>
  <c r="BW379" i="3"/>
  <c r="BV379" i="3"/>
  <c r="BU379" i="3"/>
  <c r="BT379" i="3"/>
  <c r="BS379" i="3"/>
  <c r="BR379" i="3"/>
  <c r="BQ379" i="3"/>
  <c r="BP379" i="3"/>
  <c r="BO379" i="3"/>
  <c r="BN379" i="3"/>
  <c r="BM379" i="3"/>
  <c r="BL379" i="3"/>
  <c r="BK379" i="3"/>
  <c r="BJ379" i="3"/>
  <c r="BI379" i="3"/>
  <c r="BH379" i="3"/>
  <c r="BG379" i="3"/>
  <c r="BF379" i="3"/>
  <c r="BE379" i="3"/>
  <c r="BD379" i="3"/>
  <c r="BC379" i="3"/>
  <c r="BB379" i="3"/>
  <c r="BA379" i="3"/>
  <c r="AZ379" i="3"/>
  <c r="AY379" i="3"/>
  <c r="AX379" i="3"/>
  <c r="AW379" i="3"/>
  <c r="AV379" i="3"/>
  <c r="AR379" i="3"/>
  <c r="AS379" i="3" s="1"/>
  <c r="B379" i="3"/>
  <c r="CE378" i="3"/>
  <c r="CD378" i="3"/>
  <c r="CC378" i="3"/>
  <c r="CB378" i="3"/>
  <c r="CA378" i="3"/>
  <c r="BZ378" i="3"/>
  <c r="BY378" i="3"/>
  <c r="BX378" i="3"/>
  <c r="BW378" i="3"/>
  <c r="BV378" i="3"/>
  <c r="BU378" i="3"/>
  <c r="BT378" i="3"/>
  <c r="BS378" i="3"/>
  <c r="BR378" i="3"/>
  <c r="BQ378" i="3"/>
  <c r="BP378" i="3"/>
  <c r="BO378" i="3"/>
  <c r="BN378" i="3"/>
  <c r="BM378" i="3"/>
  <c r="BL378" i="3"/>
  <c r="BK378" i="3"/>
  <c r="BJ378" i="3"/>
  <c r="BI378" i="3"/>
  <c r="BH378" i="3"/>
  <c r="BG378" i="3"/>
  <c r="BF378" i="3"/>
  <c r="BE378" i="3"/>
  <c r="BD378" i="3"/>
  <c r="BC378" i="3"/>
  <c r="BB378" i="3"/>
  <c r="BA378" i="3"/>
  <c r="AZ378" i="3"/>
  <c r="AY378" i="3"/>
  <c r="AX378" i="3"/>
  <c r="AW378" i="3"/>
  <c r="AV378" i="3"/>
  <c r="B378" i="3"/>
  <c r="CE377" i="3"/>
  <c r="CD377" i="3"/>
  <c r="CC377" i="3"/>
  <c r="CB377" i="3"/>
  <c r="CA377" i="3"/>
  <c r="BZ377" i="3"/>
  <c r="BY377" i="3"/>
  <c r="BX377" i="3"/>
  <c r="BW377" i="3"/>
  <c r="BV377" i="3"/>
  <c r="BU377" i="3"/>
  <c r="BT377" i="3"/>
  <c r="BS377" i="3"/>
  <c r="BR377" i="3"/>
  <c r="BQ377" i="3"/>
  <c r="BP377" i="3"/>
  <c r="BO377" i="3"/>
  <c r="BN377" i="3"/>
  <c r="BM377" i="3"/>
  <c r="BL377" i="3"/>
  <c r="BK377" i="3"/>
  <c r="BJ377" i="3"/>
  <c r="BI377" i="3"/>
  <c r="BH377" i="3"/>
  <c r="BG377" i="3"/>
  <c r="BF377" i="3"/>
  <c r="BE377" i="3"/>
  <c r="BD377" i="3"/>
  <c r="BC377" i="3"/>
  <c r="BB377" i="3"/>
  <c r="BA377" i="3"/>
  <c r="AZ377" i="3"/>
  <c r="AY377" i="3"/>
  <c r="AX377" i="3"/>
  <c r="AW377" i="3"/>
  <c r="AV377" i="3"/>
  <c r="B377" i="3"/>
  <c r="CE376" i="3"/>
  <c r="CD376" i="3"/>
  <c r="CC376" i="3"/>
  <c r="CB376" i="3"/>
  <c r="CA376" i="3"/>
  <c r="BZ376" i="3"/>
  <c r="BY376" i="3"/>
  <c r="BX376" i="3"/>
  <c r="BW376" i="3"/>
  <c r="BV376" i="3"/>
  <c r="BU376" i="3"/>
  <c r="BT376" i="3"/>
  <c r="BS376" i="3"/>
  <c r="BR376" i="3"/>
  <c r="BQ376" i="3"/>
  <c r="BP376" i="3"/>
  <c r="BO376" i="3"/>
  <c r="BN376" i="3"/>
  <c r="BM376" i="3"/>
  <c r="BL376" i="3"/>
  <c r="BK376" i="3"/>
  <c r="BJ376" i="3"/>
  <c r="BI376" i="3"/>
  <c r="BH376" i="3"/>
  <c r="BG376" i="3"/>
  <c r="BF376" i="3"/>
  <c r="BE376" i="3"/>
  <c r="BD376" i="3"/>
  <c r="BC376" i="3"/>
  <c r="BB376" i="3"/>
  <c r="BA376" i="3"/>
  <c r="AZ376" i="3"/>
  <c r="AY376" i="3"/>
  <c r="AX376" i="3"/>
  <c r="AW376" i="3"/>
  <c r="AV376" i="3"/>
  <c r="AR376" i="3"/>
  <c r="AS376" i="3" s="1"/>
  <c r="B376" i="3"/>
  <c r="CE375" i="3"/>
  <c r="CD375" i="3"/>
  <c r="CC375" i="3"/>
  <c r="CB375" i="3"/>
  <c r="CA375" i="3"/>
  <c r="BZ375" i="3"/>
  <c r="BY375" i="3"/>
  <c r="BX375" i="3"/>
  <c r="BW375" i="3"/>
  <c r="BV375" i="3"/>
  <c r="BU375" i="3"/>
  <c r="BT375" i="3"/>
  <c r="BS375" i="3"/>
  <c r="BR375" i="3"/>
  <c r="BQ375" i="3"/>
  <c r="BP375" i="3"/>
  <c r="BO375" i="3"/>
  <c r="BN375" i="3"/>
  <c r="BM375" i="3"/>
  <c r="BL375" i="3"/>
  <c r="BK375" i="3"/>
  <c r="BJ375" i="3"/>
  <c r="BI375" i="3"/>
  <c r="BH375" i="3"/>
  <c r="BG375" i="3"/>
  <c r="BF375" i="3"/>
  <c r="BE375" i="3"/>
  <c r="BD375" i="3"/>
  <c r="BC375" i="3"/>
  <c r="BB375" i="3"/>
  <c r="BA375" i="3"/>
  <c r="AZ375" i="3"/>
  <c r="AY375" i="3"/>
  <c r="AX375" i="3"/>
  <c r="AW375" i="3"/>
  <c r="AV375" i="3"/>
  <c r="AR375" i="3"/>
  <c r="AS375" i="3" s="1"/>
  <c r="B375" i="3"/>
  <c r="CE374" i="3"/>
  <c r="CD374" i="3"/>
  <c r="CC374" i="3"/>
  <c r="CB374" i="3"/>
  <c r="CA374" i="3"/>
  <c r="BZ374" i="3"/>
  <c r="BY374" i="3"/>
  <c r="BX374" i="3"/>
  <c r="BW374" i="3"/>
  <c r="BV374" i="3"/>
  <c r="BU374" i="3"/>
  <c r="BT374" i="3"/>
  <c r="BS374" i="3"/>
  <c r="BR374" i="3"/>
  <c r="BQ374" i="3"/>
  <c r="BP374" i="3"/>
  <c r="BO374" i="3"/>
  <c r="BN374" i="3"/>
  <c r="BM374" i="3"/>
  <c r="BL374" i="3"/>
  <c r="BK374" i="3"/>
  <c r="BJ374" i="3"/>
  <c r="BI374" i="3"/>
  <c r="BH374" i="3"/>
  <c r="BG374" i="3"/>
  <c r="BF374" i="3"/>
  <c r="BE374" i="3"/>
  <c r="BD374" i="3"/>
  <c r="BC374" i="3"/>
  <c r="BB374" i="3"/>
  <c r="BA374" i="3"/>
  <c r="AZ374" i="3"/>
  <c r="AY374" i="3"/>
  <c r="AX374" i="3"/>
  <c r="AW374" i="3"/>
  <c r="AV374" i="3"/>
  <c r="AR374" i="3"/>
  <c r="AS374" i="3" s="1"/>
  <c r="B374" i="3"/>
  <c r="CE373" i="3"/>
  <c r="CD373" i="3"/>
  <c r="CC373" i="3"/>
  <c r="CB373" i="3"/>
  <c r="CA373" i="3"/>
  <c r="BZ373" i="3"/>
  <c r="BY373" i="3"/>
  <c r="BX373" i="3"/>
  <c r="BW373" i="3"/>
  <c r="BV373" i="3"/>
  <c r="BU373" i="3"/>
  <c r="BT373" i="3"/>
  <c r="BS373" i="3"/>
  <c r="BR373" i="3"/>
  <c r="BQ373" i="3"/>
  <c r="BP373" i="3"/>
  <c r="BO373" i="3"/>
  <c r="BN373" i="3"/>
  <c r="BM373" i="3"/>
  <c r="BL373" i="3"/>
  <c r="BK373" i="3"/>
  <c r="BJ373" i="3"/>
  <c r="BI373" i="3"/>
  <c r="BH373" i="3"/>
  <c r="BG373" i="3"/>
  <c r="BF373" i="3"/>
  <c r="BE373" i="3"/>
  <c r="BD373" i="3"/>
  <c r="BC373" i="3"/>
  <c r="BB373" i="3"/>
  <c r="BA373" i="3"/>
  <c r="AZ373" i="3"/>
  <c r="AY373" i="3"/>
  <c r="AX373" i="3"/>
  <c r="AW373" i="3"/>
  <c r="AV373" i="3"/>
  <c r="AR373" i="3"/>
  <c r="AS373" i="3" s="1"/>
  <c r="B373" i="3"/>
  <c r="CE372" i="3"/>
  <c r="CD372" i="3"/>
  <c r="CC372" i="3"/>
  <c r="CB372" i="3"/>
  <c r="CA372" i="3"/>
  <c r="BZ372" i="3"/>
  <c r="BY372" i="3"/>
  <c r="BX372" i="3"/>
  <c r="BW372" i="3"/>
  <c r="BV372" i="3"/>
  <c r="BU372" i="3"/>
  <c r="BT372" i="3"/>
  <c r="BS372" i="3"/>
  <c r="BR372" i="3"/>
  <c r="BQ372" i="3"/>
  <c r="BP372" i="3"/>
  <c r="BO372" i="3"/>
  <c r="BN372" i="3"/>
  <c r="BM372" i="3"/>
  <c r="BL372" i="3"/>
  <c r="BK372" i="3"/>
  <c r="BJ372" i="3"/>
  <c r="BI372" i="3"/>
  <c r="BH372" i="3"/>
  <c r="BG372" i="3"/>
  <c r="BF372" i="3"/>
  <c r="BE372" i="3"/>
  <c r="BD372" i="3"/>
  <c r="BC372" i="3"/>
  <c r="BB372" i="3"/>
  <c r="BA372" i="3"/>
  <c r="AZ372" i="3"/>
  <c r="AY372" i="3"/>
  <c r="AX372" i="3"/>
  <c r="AW372" i="3"/>
  <c r="AV372" i="3"/>
  <c r="B372" i="3"/>
  <c r="CE439" i="3"/>
  <c r="CD439" i="3"/>
  <c r="CC439" i="3"/>
  <c r="CB439" i="3"/>
  <c r="CA439" i="3"/>
  <c r="BZ439" i="3"/>
  <c r="BY439" i="3"/>
  <c r="BX439" i="3"/>
  <c r="BW439" i="3"/>
  <c r="BV439" i="3"/>
  <c r="BU439" i="3"/>
  <c r="BT439" i="3"/>
  <c r="BS439" i="3"/>
  <c r="BR439" i="3"/>
  <c r="BQ439" i="3"/>
  <c r="BP439" i="3"/>
  <c r="BO439" i="3"/>
  <c r="BN439" i="3"/>
  <c r="BM439" i="3"/>
  <c r="BL439" i="3"/>
  <c r="BK439" i="3"/>
  <c r="BJ439" i="3"/>
  <c r="BI439" i="3"/>
  <c r="BH439" i="3"/>
  <c r="BG439" i="3"/>
  <c r="BF439" i="3"/>
  <c r="BE439" i="3"/>
  <c r="BD439" i="3"/>
  <c r="BC439" i="3"/>
  <c r="BB439" i="3"/>
  <c r="BA439" i="3"/>
  <c r="AZ439" i="3"/>
  <c r="AY439" i="3"/>
  <c r="AX439" i="3"/>
  <c r="AW439" i="3"/>
  <c r="AV439" i="3"/>
  <c r="B439" i="3"/>
  <c r="CE438" i="3"/>
  <c r="CD438" i="3"/>
  <c r="CC438" i="3"/>
  <c r="CB438" i="3"/>
  <c r="CA438" i="3"/>
  <c r="BZ438" i="3"/>
  <c r="BY438" i="3"/>
  <c r="BX438" i="3"/>
  <c r="BW438" i="3"/>
  <c r="BV438" i="3"/>
  <c r="BU438" i="3"/>
  <c r="BT438" i="3"/>
  <c r="BS438" i="3"/>
  <c r="BR438" i="3"/>
  <c r="BQ438" i="3"/>
  <c r="BP438" i="3"/>
  <c r="BO438" i="3"/>
  <c r="BN438" i="3"/>
  <c r="BM438" i="3"/>
  <c r="BL438" i="3"/>
  <c r="BK438" i="3"/>
  <c r="BJ438" i="3"/>
  <c r="BI438" i="3"/>
  <c r="BH438" i="3"/>
  <c r="BG438" i="3"/>
  <c r="BF438" i="3"/>
  <c r="BE438" i="3"/>
  <c r="BD438" i="3"/>
  <c r="BC438" i="3"/>
  <c r="BB438" i="3"/>
  <c r="BA438" i="3"/>
  <c r="AZ438" i="3"/>
  <c r="AY438" i="3"/>
  <c r="AX438" i="3"/>
  <c r="AW438" i="3"/>
  <c r="AV438" i="3"/>
  <c r="AR438" i="3"/>
  <c r="AS438" i="3" s="1"/>
  <c r="B438" i="3"/>
  <c r="CE437" i="3"/>
  <c r="CD437" i="3"/>
  <c r="CC437" i="3"/>
  <c r="CB437" i="3"/>
  <c r="CA437" i="3"/>
  <c r="BZ437" i="3"/>
  <c r="BY437" i="3"/>
  <c r="BX437" i="3"/>
  <c r="BW437" i="3"/>
  <c r="BV437" i="3"/>
  <c r="BU437" i="3"/>
  <c r="BT437" i="3"/>
  <c r="BS437" i="3"/>
  <c r="BR437" i="3"/>
  <c r="BQ437" i="3"/>
  <c r="BP437" i="3"/>
  <c r="BO437" i="3"/>
  <c r="BN437" i="3"/>
  <c r="BM437" i="3"/>
  <c r="BL437" i="3"/>
  <c r="BK437" i="3"/>
  <c r="BJ437" i="3"/>
  <c r="BI437" i="3"/>
  <c r="BH437" i="3"/>
  <c r="BG437" i="3"/>
  <c r="BF437" i="3"/>
  <c r="BE437" i="3"/>
  <c r="BD437" i="3"/>
  <c r="BC437" i="3"/>
  <c r="BB437" i="3"/>
  <c r="BA437" i="3"/>
  <c r="AZ437" i="3"/>
  <c r="AY437" i="3"/>
  <c r="AX437" i="3"/>
  <c r="AW437" i="3"/>
  <c r="AV437" i="3"/>
  <c r="AR437" i="3"/>
  <c r="AS437" i="3" s="1"/>
  <c r="B437" i="3"/>
  <c r="CE436" i="3"/>
  <c r="CD436" i="3"/>
  <c r="CC436" i="3"/>
  <c r="CB436" i="3"/>
  <c r="CA436" i="3"/>
  <c r="BZ436" i="3"/>
  <c r="BY436" i="3"/>
  <c r="BX436" i="3"/>
  <c r="BW436" i="3"/>
  <c r="BV436" i="3"/>
  <c r="BU436" i="3"/>
  <c r="BT436" i="3"/>
  <c r="BS436" i="3"/>
  <c r="BR436" i="3"/>
  <c r="BQ436" i="3"/>
  <c r="BP436" i="3"/>
  <c r="BO436" i="3"/>
  <c r="BN436" i="3"/>
  <c r="BM436" i="3"/>
  <c r="BL436" i="3"/>
  <c r="BK436" i="3"/>
  <c r="BJ436" i="3"/>
  <c r="BI436" i="3"/>
  <c r="BH436" i="3"/>
  <c r="BG436" i="3"/>
  <c r="BF436" i="3"/>
  <c r="BE436" i="3"/>
  <c r="BD436" i="3"/>
  <c r="BC436" i="3"/>
  <c r="BB436" i="3"/>
  <c r="BA436" i="3"/>
  <c r="AZ436" i="3"/>
  <c r="AY436" i="3"/>
  <c r="AX436" i="3"/>
  <c r="AW436" i="3"/>
  <c r="AV436" i="3"/>
  <c r="AR436" i="3" s="1"/>
  <c r="AS436" i="3" s="1"/>
  <c r="B436" i="3"/>
  <c r="CE435" i="3"/>
  <c r="CD435" i="3"/>
  <c r="CC435" i="3"/>
  <c r="CB435" i="3"/>
  <c r="CA435" i="3"/>
  <c r="BZ435" i="3"/>
  <c r="BY435" i="3"/>
  <c r="BX435" i="3"/>
  <c r="BW435" i="3"/>
  <c r="BV435" i="3"/>
  <c r="BU435" i="3"/>
  <c r="BT435" i="3"/>
  <c r="BS435" i="3"/>
  <c r="BR435" i="3"/>
  <c r="BQ435" i="3"/>
  <c r="BP435" i="3"/>
  <c r="BO435" i="3"/>
  <c r="BN435" i="3"/>
  <c r="BM435" i="3"/>
  <c r="BL435" i="3"/>
  <c r="BK435" i="3"/>
  <c r="BJ435" i="3"/>
  <c r="BI435" i="3"/>
  <c r="BH435" i="3"/>
  <c r="BG435" i="3"/>
  <c r="BF435" i="3"/>
  <c r="BE435" i="3"/>
  <c r="BD435" i="3"/>
  <c r="BC435" i="3"/>
  <c r="BB435" i="3"/>
  <c r="BA435" i="3"/>
  <c r="AZ435" i="3"/>
  <c r="AY435" i="3"/>
  <c r="AX435" i="3"/>
  <c r="AW435" i="3"/>
  <c r="AV435" i="3"/>
  <c r="AR435" i="3"/>
  <c r="AS435" i="3" s="1"/>
  <c r="B435" i="3"/>
  <c r="CE434" i="3"/>
  <c r="CD434" i="3"/>
  <c r="CC434" i="3"/>
  <c r="CB434" i="3"/>
  <c r="CA434" i="3"/>
  <c r="BZ434" i="3"/>
  <c r="BY434" i="3"/>
  <c r="BX434" i="3"/>
  <c r="BW434" i="3"/>
  <c r="BV434" i="3"/>
  <c r="BU434" i="3"/>
  <c r="BT434" i="3"/>
  <c r="BS434" i="3"/>
  <c r="BR434" i="3"/>
  <c r="BQ434" i="3"/>
  <c r="BP434" i="3"/>
  <c r="BO434" i="3"/>
  <c r="BN434" i="3"/>
  <c r="BM434" i="3"/>
  <c r="BL434" i="3"/>
  <c r="BK434" i="3"/>
  <c r="BJ434" i="3"/>
  <c r="BI434" i="3"/>
  <c r="BH434" i="3"/>
  <c r="BG434" i="3"/>
  <c r="BF434" i="3"/>
  <c r="BE434" i="3"/>
  <c r="BD434" i="3"/>
  <c r="BC434" i="3"/>
  <c r="BB434" i="3"/>
  <c r="BA434" i="3"/>
  <c r="AZ434" i="3"/>
  <c r="AY434" i="3"/>
  <c r="AX434" i="3"/>
  <c r="AW434" i="3"/>
  <c r="AV434" i="3"/>
  <c r="AR434" i="3"/>
  <c r="AS434" i="3" s="1"/>
  <c r="B434" i="3"/>
  <c r="CE433" i="3"/>
  <c r="CD433" i="3"/>
  <c r="CC433" i="3"/>
  <c r="CB433" i="3"/>
  <c r="CA433" i="3"/>
  <c r="BZ433" i="3"/>
  <c r="BY433" i="3"/>
  <c r="BX433" i="3"/>
  <c r="BW433" i="3"/>
  <c r="BV433" i="3"/>
  <c r="BU433" i="3"/>
  <c r="BT433" i="3"/>
  <c r="BS433" i="3"/>
  <c r="BR433" i="3"/>
  <c r="BQ433" i="3"/>
  <c r="BP433" i="3"/>
  <c r="BO433" i="3"/>
  <c r="BN433" i="3"/>
  <c r="BM433" i="3"/>
  <c r="BL433" i="3"/>
  <c r="BK433" i="3"/>
  <c r="BJ433" i="3"/>
  <c r="BI433" i="3"/>
  <c r="BH433" i="3"/>
  <c r="BG433" i="3"/>
  <c r="BF433" i="3"/>
  <c r="BE433" i="3"/>
  <c r="BD433" i="3"/>
  <c r="BC433" i="3"/>
  <c r="BB433" i="3"/>
  <c r="BA433" i="3"/>
  <c r="AZ433" i="3"/>
  <c r="AY433" i="3"/>
  <c r="AX433" i="3"/>
  <c r="AW433" i="3"/>
  <c r="AV433" i="3"/>
  <c r="AR433" i="3"/>
  <c r="AS433" i="3" s="1"/>
  <c r="B433" i="3"/>
  <c r="CE432" i="3"/>
  <c r="CD432" i="3"/>
  <c r="CC432" i="3"/>
  <c r="CB432" i="3"/>
  <c r="CA432" i="3"/>
  <c r="BZ432" i="3"/>
  <c r="BY432" i="3"/>
  <c r="BX432" i="3"/>
  <c r="BW432" i="3"/>
  <c r="BV432" i="3"/>
  <c r="BU432" i="3"/>
  <c r="BT432" i="3"/>
  <c r="BS432" i="3"/>
  <c r="BR432" i="3"/>
  <c r="BQ432" i="3"/>
  <c r="BP432" i="3"/>
  <c r="BO432" i="3"/>
  <c r="BN432" i="3"/>
  <c r="BM432" i="3"/>
  <c r="BL432" i="3"/>
  <c r="BK432" i="3"/>
  <c r="BJ432" i="3"/>
  <c r="BI432" i="3"/>
  <c r="BH432" i="3"/>
  <c r="BG432" i="3"/>
  <c r="BF432" i="3"/>
  <c r="BE432" i="3"/>
  <c r="BD432" i="3"/>
  <c r="BC432" i="3"/>
  <c r="BB432" i="3"/>
  <c r="BA432" i="3"/>
  <c r="AZ432" i="3"/>
  <c r="AY432" i="3"/>
  <c r="AX432" i="3"/>
  <c r="AW432" i="3"/>
  <c r="AV432" i="3"/>
  <c r="AR432" i="3"/>
  <c r="AS432" i="3" s="1"/>
  <c r="B432" i="3"/>
  <c r="CE431" i="3"/>
  <c r="CD431" i="3"/>
  <c r="CC431" i="3"/>
  <c r="CB431" i="3"/>
  <c r="CA431" i="3"/>
  <c r="BZ431" i="3"/>
  <c r="BY431" i="3"/>
  <c r="BX431" i="3"/>
  <c r="BW431" i="3"/>
  <c r="BV431" i="3"/>
  <c r="BU431" i="3"/>
  <c r="BT431" i="3"/>
  <c r="BS431" i="3"/>
  <c r="BR431" i="3"/>
  <c r="BQ431" i="3"/>
  <c r="BP431" i="3"/>
  <c r="BO431" i="3"/>
  <c r="BN431" i="3"/>
  <c r="BM431" i="3"/>
  <c r="BL431" i="3"/>
  <c r="BK431" i="3"/>
  <c r="BJ431" i="3"/>
  <c r="BI431" i="3"/>
  <c r="BH431" i="3"/>
  <c r="BG431" i="3"/>
  <c r="BF431" i="3"/>
  <c r="BE431" i="3"/>
  <c r="BD431" i="3"/>
  <c r="BC431" i="3"/>
  <c r="BB431" i="3"/>
  <c r="BA431" i="3"/>
  <c r="AZ431" i="3"/>
  <c r="AY431" i="3"/>
  <c r="AX431" i="3"/>
  <c r="AW431" i="3"/>
  <c r="AV431" i="3"/>
  <c r="AR431" i="3"/>
  <c r="AS431" i="3" s="1"/>
  <c r="B431" i="3"/>
  <c r="CE430" i="3"/>
  <c r="CD430" i="3"/>
  <c r="CC430" i="3"/>
  <c r="CB430" i="3"/>
  <c r="CA430" i="3"/>
  <c r="BZ430" i="3"/>
  <c r="BY430" i="3"/>
  <c r="BX430" i="3"/>
  <c r="BW430" i="3"/>
  <c r="BV430" i="3"/>
  <c r="BU430" i="3"/>
  <c r="BT430" i="3"/>
  <c r="BS430" i="3"/>
  <c r="BR430" i="3"/>
  <c r="BQ430" i="3"/>
  <c r="BP430" i="3"/>
  <c r="BO430" i="3"/>
  <c r="BN430" i="3"/>
  <c r="BM430" i="3"/>
  <c r="BL430" i="3"/>
  <c r="BK430" i="3"/>
  <c r="BJ430" i="3"/>
  <c r="BI430" i="3"/>
  <c r="BH430" i="3"/>
  <c r="BG430" i="3"/>
  <c r="BF430" i="3"/>
  <c r="BE430" i="3"/>
  <c r="BD430" i="3"/>
  <c r="BC430" i="3"/>
  <c r="BB430" i="3"/>
  <c r="BA430" i="3"/>
  <c r="AZ430" i="3"/>
  <c r="AY430" i="3"/>
  <c r="AX430" i="3"/>
  <c r="AW430" i="3"/>
  <c r="AV430" i="3"/>
  <c r="B430" i="3"/>
  <c r="CE429" i="3"/>
  <c r="CD429" i="3"/>
  <c r="CC429" i="3"/>
  <c r="CB429" i="3"/>
  <c r="CA429" i="3"/>
  <c r="BZ429" i="3"/>
  <c r="BY429" i="3"/>
  <c r="BX429" i="3"/>
  <c r="BW429" i="3"/>
  <c r="BV429" i="3"/>
  <c r="BU429" i="3"/>
  <c r="BT429" i="3"/>
  <c r="BS429" i="3"/>
  <c r="BR429" i="3"/>
  <c r="BQ429" i="3"/>
  <c r="BP429" i="3"/>
  <c r="BO429" i="3"/>
  <c r="BN429" i="3"/>
  <c r="BM429" i="3"/>
  <c r="BL429" i="3"/>
  <c r="BK429" i="3"/>
  <c r="BJ429" i="3"/>
  <c r="BI429" i="3"/>
  <c r="BH429" i="3"/>
  <c r="BG429" i="3"/>
  <c r="BF429" i="3"/>
  <c r="BE429" i="3"/>
  <c r="BD429" i="3"/>
  <c r="BC429" i="3"/>
  <c r="BB429" i="3"/>
  <c r="BA429" i="3"/>
  <c r="AZ429" i="3"/>
  <c r="AY429" i="3"/>
  <c r="AX429" i="3"/>
  <c r="AW429" i="3"/>
  <c r="AV429" i="3"/>
  <c r="AR429" i="3"/>
  <c r="AS429" i="3" s="1"/>
  <c r="B429" i="3"/>
  <c r="CE428" i="3"/>
  <c r="CD428" i="3"/>
  <c r="CC428" i="3"/>
  <c r="CB428" i="3"/>
  <c r="CA428" i="3"/>
  <c r="BZ428" i="3"/>
  <c r="BY428" i="3"/>
  <c r="BX428" i="3"/>
  <c r="BW428" i="3"/>
  <c r="BV428" i="3"/>
  <c r="BU428" i="3"/>
  <c r="BT428" i="3"/>
  <c r="BS428" i="3"/>
  <c r="BR428" i="3"/>
  <c r="BQ428" i="3"/>
  <c r="BP428" i="3"/>
  <c r="BO428" i="3"/>
  <c r="BN428" i="3"/>
  <c r="BM428" i="3"/>
  <c r="BL428" i="3"/>
  <c r="BK428" i="3"/>
  <c r="BJ428" i="3"/>
  <c r="BI428" i="3"/>
  <c r="BH428" i="3"/>
  <c r="BG428" i="3"/>
  <c r="BF428" i="3"/>
  <c r="BE428" i="3"/>
  <c r="BD428" i="3"/>
  <c r="BC428" i="3"/>
  <c r="BB428" i="3"/>
  <c r="BA428" i="3"/>
  <c r="AZ428" i="3"/>
  <c r="AY428" i="3"/>
  <c r="AX428" i="3"/>
  <c r="AW428" i="3"/>
  <c r="AV428" i="3"/>
  <c r="AR428" i="3"/>
  <c r="AS428" i="3" s="1"/>
  <c r="B428" i="3"/>
  <c r="CE427" i="3"/>
  <c r="CD427" i="3"/>
  <c r="CC427" i="3"/>
  <c r="CB427" i="3"/>
  <c r="CA427" i="3"/>
  <c r="BZ427" i="3"/>
  <c r="BY427" i="3"/>
  <c r="BX427" i="3"/>
  <c r="BW427" i="3"/>
  <c r="BV427" i="3"/>
  <c r="BU427" i="3"/>
  <c r="BT427" i="3"/>
  <c r="BS427" i="3"/>
  <c r="BR427" i="3"/>
  <c r="BQ427" i="3"/>
  <c r="BP427" i="3"/>
  <c r="BO427" i="3"/>
  <c r="BN427" i="3"/>
  <c r="BM427" i="3"/>
  <c r="BL427" i="3"/>
  <c r="BK427" i="3"/>
  <c r="BJ427" i="3"/>
  <c r="BI427" i="3"/>
  <c r="BH427" i="3"/>
  <c r="BG427" i="3"/>
  <c r="BF427" i="3"/>
  <c r="BE427" i="3"/>
  <c r="BD427" i="3"/>
  <c r="BC427" i="3"/>
  <c r="BB427" i="3"/>
  <c r="BA427" i="3"/>
  <c r="AZ427" i="3"/>
  <c r="AY427" i="3"/>
  <c r="AX427" i="3"/>
  <c r="AW427" i="3"/>
  <c r="AV427" i="3"/>
  <c r="AR427" i="3"/>
  <c r="AS427" i="3" s="1"/>
  <c r="B427" i="3"/>
  <c r="CE426" i="3"/>
  <c r="CD426" i="3"/>
  <c r="CC426" i="3"/>
  <c r="CB426" i="3"/>
  <c r="CA426" i="3"/>
  <c r="BZ426" i="3"/>
  <c r="BY426" i="3"/>
  <c r="BX426" i="3"/>
  <c r="BW426" i="3"/>
  <c r="BV426" i="3"/>
  <c r="BU426" i="3"/>
  <c r="BT426" i="3"/>
  <c r="BS426" i="3"/>
  <c r="BR426" i="3"/>
  <c r="BQ426" i="3"/>
  <c r="BP426" i="3"/>
  <c r="BO426" i="3"/>
  <c r="BN426" i="3"/>
  <c r="BM426" i="3"/>
  <c r="BL426" i="3"/>
  <c r="BK426" i="3"/>
  <c r="BJ426" i="3"/>
  <c r="BI426" i="3"/>
  <c r="BH426" i="3"/>
  <c r="BG426" i="3"/>
  <c r="BF426" i="3"/>
  <c r="BE426" i="3"/>
  <c r="BD426" i="3"/>
  <c r="BC426" i="3"/>
  <c r="BB426" i="3"/>
  <c r="BA426" i="3"/>
  <c r="AZ426" i="3"/>
  <c r="AY426" i="3"/>
  <c r="AX426" i="3"/>
  <c r="AW426" i="3"/>
  <c r="AV426" i="3"/>
  <c r="AR426" i="3"/>
  <c r="AS426" i="3" s="1"/>
  <c r="B426" i="3"/>
  <c r="CE425" i="3"/>
  <c r="CD425" i="3"/>
  <c r="CC425" i="3"/>
  <c r="CB425" i="3"/>
  <c r="CA425" i="3"/>
  <c r="BZ425" i="3"/>
  <c r="BY425" i="3"/>
  <c r="BX425" i="3"/>
  <c r="BW425" i="3"/>
  <c r="BV425" i="3"/>
  <c r="BU425" i="3"/>
  <c r="BT425" i="3"/>
  <c r="BS425" i="3"/>
  <c r="BR425" i="3"/>
  <c r="BQ425" i="3"/>
  <c r="BP425" i="3"/>
  <c r="BO425" i="3"/>
  <c r="BN425" i="3"/>
  <c r="BM425" i="3"/>
  <c r="BL425" i="3"/>
  <c r="BK425" i="3"/>
  <c r="BJ425" i="3"/>
  <c r="BI425" i="3"/>
  <c r="BH425" i="3"/>
  <c r="BG425" i="3"/>
  <c r="BF425" i="3"/>
  <c r="BE425" i="3"/>
  <c r="BD425" i="3"/>
  <c r="BC425" i="3"/>
  <c r="BB425" i="3"/>
  <c r="BA425" i="3"/>
  <c r="AZ425" i="3"/>
  <c r="AY425" i="3"/>
  <c r="AX425" i="3"/>
  <c r="AW425" i="3"/>
  <c r="AV425" i="3"/>
  <c r="AR425" i="3"/>
  <c r="AS425" i="3" s="1"/>
  <c r="B425" i="3"/>
  <c r="CE424" i="3"/>
  <c r="CD424" i="3"/>
  <c r="CC424" i="3"/>
  <c r="CB424" i="3"/>
  <c r="CA424" i="3"/>
  <c r="BZ424" i="3"/>
  <c r="BY424" i="3"/>
  <c r="BX424" i="3"/>
  <c r="BW424" i="3"/>
  <c r="BV424" i="3"/>
  <c r="BU424" i="3"/>
  <c r="BT424" i="3"/>
  <c r="BS424" i="3"/>
  <c r="BR424" i="3"/>
  <c r="BQ424" i="3"/>
  <c r="BP424" i="3"/>
  <c r="BO424" i="3"/>
  <c r="BN424" i="3"/>
  <c r="BM424" i="3"/>
  <c r="BL424" i="3"/>
  <c r="BK424" i="3"/>
  <c r="BJ424" i="3"/>
  <c r="BI424" i="3"/>
  <c r="BH424" i="3"/>
  <c r="BG424" i="3"/>
  <c r="BF424" i="3"/>
  <c r="BE424" i="3"/>
  <c r="BD424" i="3"/>
  <c r="BC424" i="3"/>
  <c r="BB424" i="3"/>
  <c r="BA424" i="3"/>
  <c r="AZ424" i="3"/>
  <c r="AY424" i="3"/>
  <c r="AX424" i="3"/>
  <c r="AW424" i="3"/>
  <c r="AV424" i="3"/>
  <c r="AR424" i="3"/>
  <c r="AS424" i="3" s="1"/>
  <c r="B424" i="3"/>
  <c r="CE423" i="3"/>
  <c r="CD423" i="3"/>
  <c r="CC423" i="3"/>
  <c r="CB423" i="3"/>
  <c r="CA423" i="3"/>
  <c r="BZ423" i="3"/>
  <c r="BY423" i="3"/>
  <c r="BX423" i="3"/>
  <c r="BW423" i="3"/>
  <c r="BV423" i="3"/>
  <c r="BU423" i="3"/>
  <c r="BT423" i="3"/>
  <c r="BS423" i="3"/>
  <c r="BR423" i="3"/>
  <c r="BQ423" i="3"/>
  <c r="BP423" i="3"/>
  <c r="BO423" i="3"/>
  <c r="BN423" i="3"/>
  <c r="BM423" i="3"/>
  <c r="BL423" i="3"/>
  <c r="BK423" i="3"/>
  <c r="BJ423" i="3"/>
  <c r="BI423" i="3"/>
  <c r="BH423" i="3"/>
  <c r="BG423" i="3"/>
  <c r="BF423" i="3"/>
  <c r="BE423" i="3"/>
  <c r="BD423" i="3"/>
  <c r="BC423" i="3"/>
  <c r="BB423" i="3"/>
  <c r="BA423" i="3"/>
  <c r="AZ423" i="3"/>
  <c r="AY423" i="3"/>
  <c r="AX423" i="3"/>
  <c r="AW423" i="3"/>
  <c r="AV423" i="3"/>
  <c r="AR423" i="3"/>
  <c r="AS423" i="3" s="1"/>
  <c r="B423" i="3"/>
  <c r="CE422" i="3"/>
  <c r="CD422" i="3"/>
  <c r="CC422" i="3"/>
  <c r="CB422" i="3"/>
  <c r="CA422" i="3"/>
  <c r="BZ422" i="3"/>
  <c r="BY422" i="3"/>
  <c r="BX422" i="3"/>
  <c r="BW422" i="3"/>
  <c r="BV422" i="3"/>
  <c r="BU422" i="3"/>
  <c r="BT422" i="3"/>
  <c r="BS422" i="3"/>
  <c r="BR422" i="3"/>
  <c r="BQ422" i="3"/>
  <c r="BP422" i="3"/>
  <c r="BO422" i="3"/>
  <c r="BN422" i="3"/>
  <c r="BM422" i="3"/>
  <c r="BL422" i="3"/>
  <c r="BK422" i="3"/>
  <c r="BJ422" i="3"/>
  <c r="BI422" i="3"/>
  <c r="BH422" i="3"/>
  <c r="BG422" i="3"/>
  <c r="BF422" i="3"/>
  <c r="BE422" i="3"/>
  <c r="BD422" i="3"/>
  <c r="BC422" i="3"/>
  <c r="BB422" i="3"/>
  <c r="BA422" i="3"/>
  <c r="AZ422" i="3"/>
  <c r="AY422" i="3"/>
  <c r="AX422" i="3"/>
  <c r="AW422" i="3"/>
  <c r="AV422" i="3"/>
  <c r="AR422" i="3"/>
  <c r="AS422" i="3" s="1"/>
  <c r="B422" i="3"/>
  <c r="CE421" i="3"/>
  <c r="CD421" i="3"/>
  <c r="CC421" i="3"/>
  <c r="CB421" i="3"/>
  <c r="CA421" i="3"/>
  <c r="BZ421" i="3"/>
  <c r="BY421" i="3"/>
  <c r="BX421" i="3"/>
  <c r="BW421" i="3"/>
  <c r="BV421" i="3"/>
  <c r="BU421" i="3"/>
  <c r="BT421" i="3"/>
  <c r="BS421" i="3"/>
  <c r="BR421" i="3"/>
  <c r="BQ421" i="3"/>
  <c r="BP421" i="3"/>
  <c r="BO421" i="3"/>
  <c r="BN421" i="3"/>
  <c r="BM421" i="3"/>
  <c r="BL421" i="3"/>
  <c r="BK421" i="3"/>
  <c r="BJ421" i="3"/>
  <c r="BI421" i="3"/>
  <c r="BH421" i="3"/>
  <c r="BG421" i="3"/>
  <c r="BF421" i="3"/>
  <c r="BE421" i="3"/>
  <c r="BD421" i="3"/>
  <c r="BC421" i="3"/>
  <c r="BB421" i="3"/>
  <c r="BA421" i="3"/>
  <c r="AZ421" i="3"/>
  <c r="AY421" i="3"/>
  <c r="AX421" i="3"/>
  <c r="AW421" i="3"/>
  <c r="AV421" i="3"/>
  <c r="AR421" i="3"/>
  <c r="AS421" i="3" s="1"/>
  <c r="B421" i="3"/>
  <c r="CE420" i="3"/>
  <c r="CD420" i="3"/>
  <c r="CC420" i="3"/>
  <c r="CB420" i="3"/>
  <c r="CA420" i="3"/>
  <c r="BZ420" i="3"/>
  <c r="BY420" i="3"/>
  <c r="BX420" i="3"/>
  <c r="BW420" i="3"/>
  <c r="BV420" i="3"/>
  <c r="BU420" i="3"/>
  <c r="BT420" i="3"/>
  <c r="BS420" i="3"/>
  <c r="BR420" i="3"/>
  <c r="BQ420" i="3"/>
  <c r="BP420" i="3"/>
  <c r="BO420" i="3"/>
  <c r="BN420" i="3"/>
  <c r="BM420" i="3"/>
  <c r="BL420" i="3"/>
  <c r="BK420" i="3"/>
  <c r="BJ420" i="3"/>
  <c r="BI420" i="3"/>
  <c r="BH420" i="3"/>
  <c r="BG420" i="3"/>
  <c r="BF420" i="3"/>
  <c r="BE420" i="3"/>
  <c r="BD420" i="3"/>
  <c r="BC420" i="3"/>
  <c r="BB420" i="3"/>
  <c r="BA420" i="3"/>
  <c r="AZ420" i="3"/>
  <c r="AY420" i="3"/>
  <c r="AX420" i="3"/>
  <c r="AW420" i="3"/>
  <c r="AV420" i="3"/>
  <c r="AR420" i="3"/>
  <c r="AS420" i="3" s="1"/>
  <c r="B420" i="3"/>
  <c r="CE419" i="3"/>
  <c r="CD419" i="3"/>
  <c r="CC419" i="3"/>
  <c r="CB419" i="3"/>
  <c r="CA419" i="3"/>
  <c r="BZ419" i="3"/>
  <c r="BY419" i="3"/>
  <c r="BX419" i="3"/>
  <c r="BW419" i="3"/>
  <c r="BV419" i="3"/>
  <c r="BU419" i="3"/>
  <c r="BT419" i="3"/>
  <c r="BS419" i="3"/>
  <c r="BR419" i="3"/>
  <c r="BQ419" i="3"/>
  <c r="BP419" i="3"/>
  <c r="BO419" i="3"/>
  <c r="BN419" i="3"/>
  <c r="BM419" i="3"/>
  <c r="BL419" i="3"/>
  <c r="BK419" i="3"/>
  <c r="BJ419" i="3"/>
  <c r="BI419" i="3"/>
  <c r="BH419" i="3"/>
  <c r="BG419" i="3"/>
  <c r="BF419" i="3"/>
  <c r="BE419" i="3"/>
  <c r="BD419" i="3"/>
  <c r="BC419" i="3"/>
  <c r="BB419" i="3"/>
  <c r="BA419" i="3"/>
  <c r="AZ419" i="3"/>
  <c r="AY419" i="3"/>
  <c r="AX419" i="3"/>
  <c r="AW419" i="3"/>
  <c r="AV419" i="3"/>
  <c r="AR419" i="3"/>
  <c r="AS419" i="3" s="1"/>
  <c r="B419" i="3"/>
  <c r="CE418" i="3"/>
  <c r="CD418" i="3"/>
  <c r="CC418" i="3"/>
  <c r="CB418" i="3"/>
  <c r="CA418" i="3"/>
  <c r="BZ418" i="3"/>
  <c r="BY418" i="3"/>
  <c r="BX418" i="3"/>
  <c r="BW418" i="3"/>
  <c r="BV418" i="3"/>
  <c r="BU418" i="3"/>
  <c r="BT418" i="3"/>
  <c r="BS418" i="3"/>
  <c r="BR418" i="3"/>
  <c r="BQ418" i="3"/>
  <c r="BP418" i="3"/>
  <c r="BO418" i="3"/>
  <c r="BN418" i="3"/>
  <c r="BM418" i="3"/>
  <c r="BL418" i="3"/>
  <c r="BK418" i="3"/>
  <c r="BJ418" i="3"/>
  <c r="BI418" i="3"/>
  <c r="BH418" i="3"/>
  <c r="BG418" i="3"/>
  <c r="BF418" i="3"/>
  <c r="BE418" i="3"/>
  <c r="BD418" i="3"/>
  <c r="BC418" i="3"/>
  <c r="BB418" i="3"/>
  <c r="BA418" i="3"/>
  <c r="AZ418" i="3"/>
  <c r="AY418" i="3"/>
  <c r="AX418" i="3"/>
  <c r="AW418" i="3"/>
  <c r="AV418" i="3"/>
  <c r="AR418" i="3"/>
  <c r="AS418" i="3" s="1"/>
  <c r="B418" i="3"/>
  <c r="CE417" i="3"/>
  <c r="CD417" i="3"/>
  <c r="CC417" i="3"/>
  <c r="CB417" i="3"/>
  <c r="CA417" i="3"/>
  <c r="BZ417" i="3"/>
  <c r="BY417" i="3"/>
  <c r="BX417" i="3"/>
  <c r="BW417" i="3"/>
  <c r="BV417" i="3"/>
  <c r="BU417" i="3"/>
  <c r="BT417" i="3"/>
  <c r="BS417" i="3"/>
  <c r="BR417" i="3"/>
  <c r="BQ417" i="3"/>
  <c r="BP417" i="3"/>
  <c r="BO417" i="3"/>
  <c r="BN417" i="3"/>
  <c r="BM417" i="3"/>
  <c r="BL417" i="3"/>
  <c r="BK417" i="3"/>
  <c r="BJ417" i="3"/>
  <c r="BI417" i="3"/>
  <c r="BH417" i="3"/>
  <c r="BG417" i="3"/>
  <c r="BF417" i="3"/>
  <c r="BE417" i="3"/>
  <c r="BD417" i="3"/>
  <c r="BC417" i="3"/>
  <c r="BB417" i="3"/>
  <c r="BA417" i="3"/>
  <c r="AZ417" i="3"/>
  <c r="AY417" i="3"/>
  <c r="AX417" i="3"/>
  <c r="AW417" i="3"/>
  <c r="AV417" i="3"/>
  <c r="AR417" i="3"/>
  <c r="AS417" i="3" s="1"/>
  <c r="B417" i="3"/>
  <c r="CE416" i="3"/>
  <c r="CD416" i="3"/>
  <c r="CC416" i="3"/>
  <c r="CB416" i="3"/>
  <c r="CA416" i="3"/>
  <c r="BZ416" i="3"/>
  <c r="BY416" i="3"/>
  <c r="BX416" i="3"/>
  <c r="BW416" i="3"/>
  <c r="BV416" i="3"/>
  <c r="BU416" i="3"/>
  <c r="BT416" i="3"/>
  <c r="BS416" i="3"/>
  <c r="BR416" i="3"/>
  <c r="BQ416" i="3"/>
  <c r="BP416" i="3"/>
  <c r="BO416" i="3"/>
  <c r="BN416" i="3"/>
  <c r="BM416" i="3"/>
  <c r="BL416" i="3"/>
  <c r="BK416" i="3"/>
  <c r="BJ416" i="3"/>
  <c r="BI416" i="3"/>
  <c r="BH416" i="3"/>
  <c r="BG416" i="3"/>
  <c r="BF416" i="3"/>
  <c r="BE416" i="3"/>
  <c r="BD416" i="3"/>
  <c r="BC416" i="3"/>
  <c r="BB416" i="3"/>
  <c r="BA416" i="3"/>
  <c r="AZ416" i="3"/>
  <c r="AY416" i="3"/>
  <c r="AX416" i="3"/>
  <c r="AW416" i="3"/>
  <c r="AV416" i="3"/>
  <c r="AR416" i="3"/>
  <c r="AS416" i="3" s="1"/>
  <c r="B416" i="3"/>
  <c r="CE415" i="3"/>
  <c r="CD415" i="3"/>
  <c r="CC415" i="3"/>
  <c r="CB415" i="3"/>
  <c r="CA415" i="3"/>
  <c r="BZ415" i="3"/>
  <c r="BY415" i="3"/>
  <c r="BX415" i="3"/>
  <c r="BW415" i="3"/>
  <c r="BV415" i="3"/>
  <c r="BU415" i="3"/>
  <c r="BT415" i="3"/>
  <c r="BS415" i="3"/>
  <c r="BR415" i="3"/>
  <c r="BQ415" i="3"/>
  <c r="BP415" i="3"/>
  <c r="BO415" i="3"/>
  <c r="BN415" i="3"/>
  <c r="BM415" i="3"/>
  <c r="BL415" i="3"/>
  <c r="BK415" i="3"/>
  <c r="BJ415" i="3"/>
  <c r="BI415" i="3"/>
  <c r="BH415" i="3"/>
  <c r="BG415" i="3"/>
  <c r="BF415" i="3"/>
  <c r="BE415" i="3"/>
  <c r="BD415" i="3"/>
  <c r="BC415" i="3"/>
  <c r="BB415" i="3"/>
  <c r="BA415" i="3"/>
  <c r="AZ415" i="3"/>
  <c r="AY415" i="3"/>
  <c r="AX415" i="3"/>
  <c r="AW415" i="3"/>
  <c r="AV415" i="3"/>
  <c r="AR415" i="3"/>
  <c r="AS415" i="3" s="1"/>
  <c r="B415" i="3"/>
  <c r="CE414" i="3"/>
  <c r="CD414" i="3"/>
  <c r="CC414" i="3"/>
  <c r="CB414" i="3"/>
  <c r="CA414" i="3"/>
  <c r="BZ414" i="3"/>
  <c r="BY414" i="3"/>
  <c r="BX414" i="3"/>
  <c r="BW414" i="3"/>
  <c r="BV414" i="3"/>
  <c r="BU414" i="3"/>
  <c r="BT414" i="3"/>
  <c r="BS414" i="3"/>
  <c r="BR414" i="3"/>
  <c r="BQ414" i="3"/>
  <c r="BP414" i="3"/>
  <c r="BO414" i="3"/>
  <c r="BN414" i="3"/>
  <c r="BM414" i="3"/>
  <c r="BL414" i="3"/>
  <c r="BK414" i="3"/>
  <c r="BJ414" i="3"/>
  <c r="BI414" i="3"/>
  <c r="BH414" i="3"/>
  <c r="BG414" i="3"/>
  <c r="BF414" i="3"/>
  <c r="BE414" i="3"/>
  <c r="BD414" i="3"/>
  <c r="BC414" i="3"/>
  <c r="BB414" i="3"/>
  <c r="BA414" i="3"/>
  <c r="AZ414" i="3"/>
  <c r="AY414" i="3"/>
  <c r="AX414" i="3"/>
  <c r="AW414" i="3"/>
  <c r="AV414" i="3"/>
  <c r="AR414" i="3"/>
  <c r="AS414" i="3" s="1"/>
  <c r="B414" i="3"/>
  <c r="CE413" i="3"/>
  <c r="CD413" i="3"/>
  <c r="CC413" i="3"/>
  <c r="CB413" i="3"/>
  <c r="CA413" i="3"/>
  <c r="BZ413" i="3"/>
  <c r="BY413" i="3"/>
  <c r="BX413" i="3"/>
  <c r="BW413" i="3"/>
  <c r="BV413" i="3"/>
  <c r="BU413" i="3"/>
  <c r="BT413" i="3"/>
  <c r="BS413" i="3"/>
  <c r="BR413" i="3"/>
  <c r="BQ413" i="3"/>
  <c r="BP413" i="3"/>
  <c r="BO413" i="3"/>
  <c r="BN413" i="3"/>
  <c r="BM413" i="3"/>
  <c r="BL413" i="3"/>
  <c r="BK413" i="3"/>
  <c r="BJ413" i="3"/>
  <c r="BI413" i="3"/>
  <c r="BH413" i="3"/>
  <c r="BG413" i="3"/>
  <c r="BF413" i="3"/>
  <c r="BE413" i="3"/>
  <c r="BD413" i="3"/>
  <c r="BC413" i="3"/>
  <c r="BB413" i="3"/>
  <c r="BA413" i="3"/>
  <c r="AZ413" i="3"/>
  <c r="AY413" i="3"/>
  <c r="AX413" i="3"/>
  <c r="AW413" i="3"/>
  <c r="AV413" i="3"/>
  <c r="AR413" i="3"/>
  <c r="AS413" i="3" s="1"/>
  <c r="B413" i="3"/>
  <c r="CE412" i="3"/>
  <c r="CD412" i="3"/>
  <c r="CC412" i="3"/>
  <c r="CB412" i="3"/>
  <c r="CA412" i="3"/>
  <c r="BZ412" i="3"/>
  <c r="BY412" i="3"/>
  <c r="BX412" i="3"/>
  <c r="BW412" i="3"/>
  <c r="BV412" i="3"/>
  <c r="BU412" i="3"/>
  <c r="BT412" i="3"/>
  <c r="BS412" i="3"/>
  <c r="BR412" i="3"/>
  <c r="BQ412" i="3"/>
  <c r="BP412" i="3"/>
  <c r="BO412" i="3"/>
  <c r="BN412" i="3"/>
  <c r="BM412" i="3"/>
  <c r="BL412" i="3"/>
  <c r="BK412" i="3"/>
  <c r="BJ412" i="3"/>
  <c r="BI412" i="3"/>
  <c r="BH412" i="3"/>
  <c r="BG412" i="3"/>
  <c r="BF412" i="3"/>
  <c r="BE412" i="3"/>
  <c r="BD412" i="3"/>
  <c r="BC412" i="3"/>
  <c r="BB412" i="3"/>
  <c r="BA412" i="3"/>
  <c r="AZ412" i="3"/>
  <c r="AY412" i="3"/>
  <c r="AX412" i="3"/>
  <c r="AW412" i="3"/>
  <c r="AV412" i="3"/>
  <c r="AR412" i="3"/>
  <c r="AS412" i="3" s="1"/>
  <c r="B412" i="3"/>
  <c r="CE411" i="3"/>
  <c r="CD411" i="3"/>
  <c r="CC411" i="3"/>
  <c r="CB411" i="3"/>
  <c r="CA411" i="3"/>
  <c r="BZ411" i="3"/>
  <c r="BY411" i="3"/>
  <c r="BX411" i="3"/>
  <c r="BW411" i="3"/>
  <c r="BV411" i="3"/>
  <c r="BU411" i="3"/>
  <c r="BT411" i="3"/>
  <c r="BS411" i="3"/>
  <c r="BR411" i="3"/>
  <c r="BQ411" i="3"/>
  <c r="BP411" i="3"/>
  <c r="BO411" i="3"/>
  <c r="BN411" i="3"/>
  <c r="BM411" i="3"/>
  <c r="BL411" i="3"/>
  <c r="BK411" i="3"/>
  <c r="BJ411" i="3"/>
  <c r="BI411" i="3"/>
  <c r="BH411" i="3"/>
  <c r="BG411" i="3"/>
  <c r="BF411" i="3"/>
  <c r="BE411" i="3"/>
  <c r="BD411" i="3"/>
  <c r="BC411" i="3"/>
  <c r="BB411" i="3"/>
  <c r="BA411" i="3"/>
  <c r="AZ411" i="3"/>
  <c r="AY411" i="3"/>
  <c r="AX411" i="3"/>
  <c r="AW411" i="3"/>
  <c r="AV411" i="3"/>
  <c r="B411" i="3"/>
  <c r="CE410" i="3"/>
  <c r="CD410" i="3"/>
  <c r="CC410" i="3"/>
  <c r="CB410" i="3"/>
  <c r="CA410" i="3"/>
  <c r="BZ410" i="3"/>
  <c r="BY410" i="3"/>
  <c r="BX410" i="3"/>
  <c r="BW410" i="3"/>
  <c r="BV410" i="3"/>
  <c r="BU410" i="3"/>
  <c r="BT410" i="3"/>
  <c r="BS410" i="3"/>
  <c r="BR410" i="3"/>
  <c r="BQ410" i="3"/>
  <c r="BP410" i="3"/>
  <c r="BO410" i="3"/>
  <c r="BN410" i="3"/>
  <c r="BM410" i="3"/>
  <c r="BL410" i="3"/>
  <c r="BK410" i="3"/>
  <c r="BJ410" i="3"/>
  <c r="BI410" i="3"/>
  <c r="BH410" i="3"/>
  <c r="BG410" i="3"/>
  <c r="BF410" i="3"/>
  <c r="BE410" i="3"/>
  <c r="BD410" i="3"/>
  <c r="BC410" i="3"/>
  <c r="BB410" i="3"/>
  <c r="BA410" i="3"/>
  <c r="AZ410" i="3"/>
  <c r="AY410" i="3"/>
  <c r="AX410" i="3"/>
  <c r="AW410" i="3"/>
  <c r="AV410" i="3"/>
  <c r="AR410" i="3"/>
  <c r="AS410" i="3" s="1"/>
  <c r="B410" i="3"/>
  <c r="CE409" i="3"/>
  <c r="CD409" i="3"/>
  <c r="CC409" i="3"/>
  <c r="CB409" i="3"/>
  <c r="CA409" i="3"/>
  <c r="BZ409" i="3"/>
  <c r="BY409" i="3"/>
  <c r="BX409" i="3"/>
  <c r="BW409" i="3"/>
  <c r="BV409" i="3"/>
  <c r="BU409" i="3"/>
  <c r="BT409" i="3"/>
  <c r="BS409" i="3"/>
  <c r="BR409" i="3"/>
  <c r="BQ409" i="3"/>
  <c r="BP409" i="3"/>
  <c r="BO409" i="3"/>
  <c r="BN409" i="3"/>
  <c r="BM409" i="3"/>
  <c r="BL409" i="3"/>
  <c r="BK409" i="3"/>
  <c r="BJ409" i="3"/>
  <c r="BI409" i="3"/>
  <c r="BH409" i="3"/>
  <c r="BG409" i="3"/>
  <c r="BF409" i="3"/>
  <c r="BE409" i="3"/>
  <c r="BD409" i="3"/>
  <c r="BC409" i="3"/>
  <c r="BB409" i="3"/>
  <c r="BA409" i="3"/>
  <c r="AZ409" i="3"/>
  <c r="AY409" i="3"/>
  <c r="AX409" i="3"/>
  <c r="AW409" i="3"/>
  <c r="AV409" i="3"/>
  <c r="AR409" i="3"/>
  <c r="AS409" i="3" s="1"/>
  <c r="B409" i="3"/>
  <c r="CE408" i="3"/>
  <c r="CD408" i="3"/>
  <c r="CC408" i="3"/>
  <c r="CB408" i="3"/>
  <c r="CA408" i="3"/>
  <c r="BZ408" i="3"/>
  <c r="BY408" i="3"/>
  <c r="BX408" i="3"/>
  <c r="BW408" i="3"/>
  <c r="BV408" i="3"/>
  <c r="BU408" i="3"/>
  <c r="BT408" i="3"/>
  <c r="BS408" i="3"/>
  <c r="BR408" i="3"/>
  <c r="BQ408" i="3"/>
  <c r="BP408" i="3"/>
  <c r="BO408" i="3"/>
  <c r="BN408" i="3"/>
  <c r="BM408" i="3"/>
  <c r="BL408" i="3"/>
  <c r="BK408" i="3"/>
  <c r="BJ408" i="3"/>
  <c r="BI408" i="3"/>
  <c r="BH408" i="3"/>
  <c r="BG408" i="3"/>
  <c r="BF408" i="3"/>
  <c r="BE408" i="3"/>
  <c r="BD408" i="3"/>
  <c r="BC408" i="3"/>
  <c r="BB408" i="3"/>
  <c r="BA408" i="3"/>
  <c r="AZ408" i="3"/>
  <c r="AY408" i="3"/>
  <c r="AX408" i="3"/>
  <c r="AW408" i="3"/>
  <c r="AV408" i="3"/>
  <c r="AR408" i="3"/>
  <c r="AS408" i="3" s="1"/>
  <c r="B408" i="3"/>
  <c r="CE407" i="3"/>
  <c r="CD407" i="3"/>
  <c r="CC407" i="3"/>
  <c r="CB407" i="3"/>
  <c r="CA407" i="3"/>
  <c r="BZ407" i="3"/>
  <c r="BY407" i="3"/>
  <c r="BX407" i="3"/>
  <c r="BW407" i="3"/>
  <c r="BV407" i="3"/>
  <c r="BU407" i="3"/>
  <c r="BT407" i="3"/>
  <c r="BS407" i="3"/>
  <c r="BR407" i="3"/>
  <c r="BQ407" i="3"/>
  <c r="BP407" i="3"/>
  <c r="BO407" i="3"/>
  <c r="BN407" i="3"/>
  <c r="BM407" i="3"/>
  <c r="BL407" i="3"/>
  <c r="BK407" i="3"/>
  <c r="BJ407" i="3"/>
  <c r="BI407" i="3"/>
  <c r="BH407" i="3"/>
  <c r="BG407" i="3"/>
  <c r="BF407" i="3"/>
  <c r="BE407" i="3"/>
  <c r="BD407" i="3"/>
  <c r="BC407" i="3"/>
  <c r="BB407" i="3"/>
  <c r="BA407" i="3"/>
  <c r="AZ407" i="3"/>
  <c r="AY407" i="3"/>
  <c r="AX407" i="3"/>
  <c r="AW407" i="3"/>
  <c r="AV407" i="3"/>
  <c r="AR407" i="3"/>
  <c r="AS407" i="3" s="1"/>
  <c r="B407" i="3"/>
  <c r="CE406" i="3"/>
  <c r="CD406" i="3"/>
  <c r="CC406" i="3"/>
  <c r="CB406" i="3"/>
  <c r="CA406" i="3"/>
  <c r="BZ406" i="3"/>
  <c r="BY406" i="3"/>
  <c r="BX406" i="3"/>
  <c r="BW406" i="3"/>
  <c r="BV406" i="3"/>
  <c r="BU406" i="3"/>
  <c r="BT406" i="3"/>
  <c r="BS406" i="3"/>
  <c r="BR406" i="3"/>
  <c r="BQ406" i="3"/>
  <c r="BP406" i="3"/>
  <c r="BO406" i="3"/>
  <c r="BN406" i="3"/>
  <c r="BM406" i="3"/>
  <c r="BL406" i="3"/>
  <c r="BK406" i="3"/>
  <c r="BJ406" i="3"/>
  <c r="BI406" i="3"/>
  <c r="BH406" i="3"/>
  <c r="BG406" i="3"/>
  <c r="BF406" i="3"/>
  <c r="BE406" i="3"/>
  <c r="BD406" i="3"/>
  <c r="BC406" i="3"/>
  <c r="BB406" i="3"/>
  <c r="BA406" i="3"/>
  <c r="AZ406" i="3"/>
  <c r="AY406" i="3"/>
  <c r="AX406" i="3"/>
  <c r="AW406" i="3"/>
  <c r="AV406" i="3"/>
  <c r="AR406" i="3"/>
  <c r="AS406" i="3" s="1"/>
  <c r="B406" i="3"/>
  <c r="CE473" i="3"/>
  <c r="CD473" i="3"/>
  <c r="CC473" i="3"/>
  <c r="CB473" i="3"/>
  <c r="CA473" i="3"/>
  <c r="BZ473" i="3"/>
  <c r="BY473" i="3"/>
  <c r="BX473" i="3"/>
  <c r="BW473" i="3"/>
  <c r="BV473" i="3"/>
  <c r="BU473" i="3"/>
  <c r="BT473" i="3"/>
  <c r="BS473" i="3"/>
  <c r="BR473" i="3"/>
  <c r="BQ473" i="3"/>
  <c r="BP473" i="3"/>
  <c r="BO473" i="3"/>
  <c r="BN473" i="3"/>
  <c r="BM473" i="3"/>
  <c r="BL473" i="3"/>
  <c r="BK473" i="3"/>
  <c r="BJ473" i="3"/>
  <c r="BI473" i="3"/>
  <c r="BH473" i="3"/>
  <c r="BG473" i="3"/>
  <c r="BF473" i="3"/>
  <c r="BE473" i="3"/>
  <c r="BD473" i="3"/>
  <c r="BC473" i="3"/>
  <c r="BB473" i="3"/>
  <c r="BA473" i="3"/>
  <c r="AZ473" i="3"/>
  <c r="AY473" i="3"/>
  <c r="AX473" i="3"/>
  <c r="AW473" i="3"/>
  <c r="AV473" i="3"/>
  <c r="AR473" i="3"/>
  <c r="AS473" i="3" s="1"/>
  <c r="B473" i="3"/>
  <c r="CE472" i="3"/>
  <c r="CD472" i="3"/>
  <c r="CC472" i="3"/>
  <c r="CB472" i="3"/>
  <c r="CA472" i="3"/>
  <c r="BZ472" i="3"/>
  <c r="BY472" i="3"/>
  <c r="BX472" i="3"/>
  <c r="BW472" i="3"/>
  <c r="BV472" i="3"/>
  <c r="BU472" i="3"/>
  <c r="BT472" i="3"/>
  <c r="BS472" i="3"/>
  <c r="BR472" i="3"/>
  <c r="BQ472" i="3"/>
  <c r="BP472" i="3"/>
  <c r="BO472" i="3"/>
  <c r="BN472" i="3"/>
  <c r="BM472" i="3"/>
  <c r="BL472" i="3"/>
  <c r="BK472" i="3"/>
  <c r="BJ472" i="3"/>
  <c r="BI472" i="3"/>
  <c r="BH472" i="3"/>
  <c r="BG472" i="3"/>
  <c r="BF472" i="3"/>
  <c r="BE472" i="3"/>
  <c r="BD472" i="3"/>
  <c r="BC472" i="3"/>
  <c r="BB472" i="3"/>
  <c r="BA472" i="3"/>
  <c r="AZ472" i="3"/>
  <c r="AY472" i="3"/>
  <c r="AX472" i="3"/>
  <c r="AW472" i="3"/>
  <c r="AV472" i="3"/>
  <c r="AR472" i="3"/>
  <c r="AS472" i="3" s="1"/>
  <c r="B472" i="3"/>
  <c r="CE471" i="3"/>
  <c r="CD471" i="3"/>
  <c r="CC471" i="3"/>
  <c r="CB471" i="3"/>
  <c r="CA471" i="3"/>
  <c r="BZ471" i="3"/>
  <c r="BY471" i="3"/>
  <c r="BX471" i="3"/>
  <c r="BW471" i="3"/>
  <c r="BV471" i="3"/>
  <c r="BU471" i="3"/>
  <c r="BT471" i="3"/>
  <c r="BS471" i="3"/>
  <c r="BR471" i="3"/>
  <c r="BQ471" i="3"/>
  <c r="BP471" i="3"/>
  <c r="BO471" i="3"/>
  <c r="BN471" i="3"/>
  <c r="BM471" i="3"/>
  <c r="BL471" i="3"/>
  <c r="BK471" i="3"/>
  <c r="BJ471" i="3"/>
  <c r="BI471" i="3"/>
  <c r="BH471" i="3"/>
  <c r="BG471" i="3"/>
  <c r="BF471" i="3"/>
  <c r="BE471" i="3"/>
  <c r="BD471" i="3"/>
  <c r="BC471" i="3"/>
  <c r="BB471" i="3"/>
  <c r="BA471" i="3"/>
  <c r="AZ471" i="3"/>
  <c r="AY471" i="3"/>
  <c r="AX471" i="3"/>
  <c r="AW471" i="3"/>
  <c r="AV471" i="3"/>
  <c r="AR471" i="3"/>
  <c r="AS471" i="3" s="1"/>
  <c r="B471" i="3"/>
  <c r="CE470" i="3"/>
  <c r="CD470" i="3"/>
  <c r="CC470" i="3"/>
  <c r="CB470" i="3"/>
  <c r="CA470" i="3"/>
  <c r="BZ470" i="3"/>
  <c r="BY470" i="3"/>
  <c r="BX470" i="3"/>
  <c r="BW470" i="3"/>
  <c r="BV470" i="3"/>
  <c r="BU470" i="3"/>
  <c r="BT470" i="3"/>
  <c r="BS470" i="3"/>
  <c r="BR470" i="3"/>
  <c r="BQ470" i="3"/>
  <c r="BP470" i="3"/>
  <c r="BO470" i="3"/>
  <c r="BN470" i="3"/>
  <c r="BM470" i="3"/>
  <c r="BL470" i="3"/>
  <c r="BK470" i="3"/>
  <c r="BJ470" i="3"/>
  <c r="BI470" i="3"/>
  <c r="BH470" i="3"/>
  <c r="BG470" i="3"/>
  <c r="BF470" i="3"/>
  <c r="BE470" i="3"/>
  <c r="BD470" i="3"/>
  <c r="BC470" i="3"/>
  <c r="BB470" i="3"/>
  <c r="BA470" i="3"/>
  <c r="AZ470" i="3"/>
  <c r="AY470" i="3"/>
  <c r="AX470" i="3"/>
  <c r="AW470" i="3"/>
  <c r="AV470" i="3"/>
  <c r="AR470" i="3"/>
  <c r="AS470" i="3" s="1"/>
  <c r="B470" i="3"/>
  <c r="CE469" i="3"/>
  <c r="CD469" i="3"/>
  <c r="CC469" i="3"/>
  <c r="CB469" i="3"/>
  <c r="CA469" i="3"/>
  <c r="BZ469" i="3"/>
  <c r="BY469" i="3"/>
  <c r="BX469" i="3"/>
  <c r="BW469" i="3"/>
  <c r="BV469" i="3"/>
  <c r="BU469" i="3"/>
  <c r="BT469" i="3"/>
  <c r="BS469" i="3"/>
  <c r="BR469" i="3"/>
  <c r="BQ469" i="3"/>
  <c r="BP469" i="3"/>
  <c r="BO469" i="3"/>
  <c r="BN469" i="3"/>
  <c r="BM469" i="3"/>
  <c r="BL469" i="3"/>
  <c r="BK469" i="3"/>
  <c r="BJ469" i="3"/>
  <c r="BI469" i="3"/>
  <c r="BH469" i="3"/>
  <c r="BG469" i="3"/>
  <c r="BF469" i="3"/>
  <c r="BE469" i="3"/>
  <c r="BD469" i="3"/>
  <c r="BC469" i="3"/>
  <c r="BB469" i="3"/>
  <c r="BA469" i="3"/>
  <c r="AZ469" i="3"/>
  <c r="AY469" i="3"/>
  <c r="AX469" i="3"/>
  <c r="AW469" i="3"/>
  <c r="AV469" i="3"/>
  <c r="AR469" i="3"/>
  <c r="AS469" i="3" s="1"/>
  <c r="B469" i="3"/>
  <c r="CE468" i="3"/>
  <c r="CD468" i="3"/>
  <c r="CC468" i="3"/>
  <c r="CB468" i="3"/>
  <c r="CA468" i="3"/>
  <c r="BZ468" i="3"/>
  <c r="BY468" i="3"/>
  <c r="BX468" i="3"/>
  <c r="BW468" i="3"/>
  <c r="BV468" i="3"/>
  <c r="BU468" i="3"/>
  <c r="BT468" i="3"/>
  <c r="BS468" i="3"/>
  <c r="BR468" i="3"/>
  <c r="BQ468" i="3"/>
  <c r="BP468" i="3"/>
  <c r="BO468" i="3"/>
  <c r="BN468" i="3"/>
  <c r="BM468" i="3"/>
  <c r="BL468" i="3"/>
  <c r="BK468" i="3"/>
  <c r="BJ468" i="3"/>
  <c r="BI468" i="3"/>
  <c r="BH468" i="3"/>
  <c r="BG468" i="3"/>
  <c r="BF468" i="3"/>
  <c r="BE468" i="3"/>
  <c r="BD468" i="3"/>
  <c r="BC468" i="3"/>
  <c r="BB468" i="3"/>
  <c r="BA468" i="3"/>
  <c r="AZ468" i="3"/>
  <c r="AY468" i="3"/>
  <c r="AX468" i="3"/>
  <c r="AW468" i="3"/>
  <c r="AV468" i="3"/>
  <c r="AR468" i="3"/>
  <c r="AS468" i="3" s="1"/>
  <c r="B468" i="3"/>
  <c r="CE467" i="3"/>
  <c r="CD467" i="3"/>
  <c r="CC467" i="3"/>
  <c r="CB467" i="3"/>
  <c r="CA467" i="3"/>
  <c r="BZ467" i="3"/>
  <c r="BY467" i="3"/>
  <c r="BX467" i="3"/>
  <c r="BW467" i="3"/>
  <c r="BV467" i="3"/>
  <c r="BU467" i="3"/>
  <c r="BT467" i="3"/>
  <c r="BS467" i="3"/>
  <c r="BR467" i="3"/>
  <c r="BQ467" i="3"/>
  <c r="BP467" i="3"/>
  <c r="BO467" i="3"/>
  <c r="BN467" i="3"/>
  <c r="BM467" i="3"/>
  <c r="BL467" i="3"/>
  <c r="BK467" i="3"/>
  <c r="BJ467" i="3"/>
  <c r="BI467" i="3"/>
  <c r="BH467" i="3"/>
  <c r="BG467" i="3"/>
  <c r="BF467" i="3"/>
  <c r="BE467" i="3"/>
  <c r="BD467" i="3"/>
  <c r="BC467" i="3"/>
  <c r="BB467" i="3"/>
  <c r="BA467" i="3"/>
  <c r="AZ467" i="3"/>
  <c r="AY467" i="3"/>
  <c r="AX467" i="3"/>
  <c r="AW467" i="3"/>
  <c r="AV467" i="3"/>
  <c r="AR467" i="3"/>
  <c r="AS467" i="3" s="1"/>
  <c r="B467" i="3"/>
  <c r="CE466" i="3"/>
  <c r="CD466" i="3"/>
  <c r="CC466" i="3"/>
  <c r="CB466" i="3"/>
  <c r="CA466" i="3"/>
  <c r="BZ466" i="3"/>
  <c r="BY466" i="3"/>
  <c r="BX466" i="3"/>
  <c r="BW466" i="3"/>
  <c r="BV466" i="3"/>
  <c r="BU466" i="3"/>
  <c r="BT466" i="3"/>
  <c r="BS466" i="3"/>
  <c r="BR466" i="3"/>
  <c r="BQ466" i="3"/>
  <c r="BP466" i="3"/>
  <c r="BO466" i="3"/>
  <c r="BN466" i="3"/>
  <c r="BM466" i="3"/>
  <c r="BL466" i="3"/>
  <c r="BK466" i="3"/>
  <c r="BJ466" i="3"/>
  <c r="BI466" i="3"/>
  <c r="BH466" i="3"/>
  <c r="BG466" i="3"/>
  <c r="BF466" i="3"/>
  <c r="BE466" i="3"/>
  <c r="BD466" i="3"/>
  <c r="BC466" i="3"/>
  <c r="BB466" i="3"/>
  <c r="BA466" i="3"/>
  <c r="AZ466" i="3"/>
  <c r="AY466" i="3"/>
  <c r="AX466" i="3"/>
  <c r="AW466" i="3"/>
  <c r="AV466" i="3"/>
  <c r="AR466" i="3"/>
  <c r="AS466" i="3" s="1"/>
  <c r="B466" i="3"/>
  <c r="CE465" i="3"/>
  <c r="CD465" i="3"/>
  <c r="CC465" i="3"/>
  <c r="CB465" i="3"/>
  <c r="CA465" i="3"/>
  <c r="BZ465" i="3"/>
  <c r="BY465" i="3"/>
  <c r="BX465" i="3"/>
  <c r="BW465" i="3"/>
  <c r="BV465" i="3"/>
  <c r="BU465" i="3"/>
  <c r="BT465" i="3"/>
  <c r="BS465" i="3"/>
  <c r="BR465" i="3"/>
  <c r="BQ465" i="3"/>
  <c r="BP465" i="3"/>
  <c r="BO465" i="3"/>
  <c r="BN465" i="3"/>
  <c r="BM465" i="3"/>
  <c r="BL465" i="3"/>
  <c r="BK465" i="3"/>
  <c r="BJ465" i="3"/>
  <c r="BI465" i="3"/>
  <c r="BH465" i="3"/>
  <c r="BG465" i="3"/>
  <c r="BF465" i="3"/>
  <c r="BE465" i="3"/>
  <c r="BD465" i="3"/>
  <c r="BC465" i="3"/>
  <c r="BB465" i="3"/>
  <c r="BA465" i="3"/>
  <c r="AZ465" i="3"/>
  <c r="AY465" i="3"/>
  <c r="AX465" i="3"/>
  <c r="AW465" i="3"/>
  <c r="AV465" i="3"/>
  <c r="AR465" i="3"/>
  <c r="AS465" i="3" s="1"/>
  <c r="B465" i="3"/>
  <c r="CE464" i="3"/>
  <c r="CD464" i="3"/>
  <c r="CC464" i="3"/>
  <c r="CB464" i="3"/>
  <c r="CA464" i="3"/>
  <c r="BZ464" i="3"/>
  <c r="BY464" i="3"/>
  <c r="BX464" i="3"/>
  <c r="BW464" i="3"/>
  <c r="BV464" i="3"/>
  <c r="BU464" i="3"/>
  <c r="BT464" i="3"/>
  <c r="BS464" i="3"/>
  <c r="BR464" i="3"/>
  <c r="BQ464" i="3"/>
  <c r="BP464" i="3"/>
  <c r="BO464" i="3"/>
  <c r="BN464" i="3"/>
  <c r="BM464" i="3"/>
  <c r="BL464" i="3"/>
  <c r="BK464" i="3"/>
  <c r="BJ464" i="3"/>
  <c r="BI464" i="3"/>
  <c r="BH464" i="3"/>
  <c r="BG464" i="3"/>
  <c r="BF464" i="3"/>
  <c r="BE464" i="3"/>
  <c r="BD464" i="3"/>
  <c r="BC464" i="3"/>
  <c r="BB464" i="3"/>
  <c r="BA464" i="3"/>
  <c r="AZ464" i="3"/>
  <c r="AY464" i="3"/>
  <c r="AX464" i="3"/>
  <c r="AW464" i="3"/>
  <c r="AV464" i="3"/>
  <c r="AR464" i="3"/>
  <c r="AS464" i="3" s="1"/>
  <c r="B464" i="3"/>
  <c r="CE463" i="3"/>
  <c r="CD463" i="3"/>
  <c r="CC463" i="3"/>
  <c r="CB463" i="3"/>
  <c r="CA463" i="3"/>
  <c r="BZ463" i="3"/>
  <c r="BY463" i="3"/>
  <c r="BX463" i="3"/>
  <c r="BW463" i="3"/>
  <c r="BV463" i="3"/>
  <c r="BU463" i="3"/>
  <c r="BT463" i="3"/>
  <c r="BS463" i="3"/>
  <c r="BR463" i="3"/>
  <c r="BQ463" i="3"/>
  <c r="BP463" i="3"/>
  <c r="BO463" i="3"/>
  <c r="BN463" i="3"/>
  <c r="BM463" i="3"/>
  <c r="BL463" i="3"/>
  <c r="BK463" i="3"/>
  <c r="BJ463" i="3"/>
  <c r="BI463" i="3"/>
  <c r="BH463" i="3"/>
  <c r="BG463" i="3"/>
  <c r="BF463" i="3"/>
  <c r="BE463" i="3"/>
  <c r="BD463" i="3"/>
  <c r="BC463" i="3"/>
  <c r="BB463" i="3"/>
  <c r="BA463" i="3"/>
  <c r="AZ463" i="3"/>
  <c r="AY463" i="3"/>
  <c r="AX463" i="3"/>
  <c r="AW463" i="3"/>
  <c r="AV463" i="3"/>
  <c r="AR463" i="3"/>
  <c r="AS463" i="3" s="1"/>
  <c r="B463" i="3"/>
  <c r="CE462" i="3"/>
  <c r="CD462" i="3"/>
  <c r="CC462" i="3"/>
  <c r="CB462" i="3"/>
  <c r="CA462" i="3"/>
  <c r="BZ462" i="3"/>
  <c r="BY462" i="3"/>
  <c r="BX462" i="3"/>
  <c r="BW462" i="3"/>
  <c r="BV462" i="3"/>
  <c r="BU462" i="3"/>
  <c r="BT462" i="3"/>
  <c r="BS462" i="3"/>
  <c r="BR462" i="3"/>
  <c r="BQ462" i="3"/>
  <c r="BP462" i="3"/>
  <c r="BO462" i="3"/>
  <c r="BN462" i="3"/>
  <c r="BM462" i="3"/>
  <c r="BL462" i="3"/>
  <c r="BK462" i="3"/>
  <c r="BJ462" i="3"/>
  <c r="BI462" i="3"/>
  <c r="BH462" i="3"/>
  <c r="BG462" i="3"/>
  <c r="BF462" i="3"/>
  <c r="BE462" i="3"/>
  <c r="BD462" i="3"/>
  <c r="BC462" i="3"/>
  <c r="BB462" i="3"/>
  <c r="BA462" i="3"/>
  <c r="AZ462" i="3"/>
  <c r="AY462" i="3"/>
  <c r="AX462" i="3"/>
  <c r="AW462" i="3"/>
  <c r="AV462" i="3"/>
  <c r="B462" i="3"/>
  <c r="CE461" i="3"/>
  <c r="CD461" i="3"/>
  <c r="CC461" i="3"/>
  <c r="CB461" i="3"/>
  <c r="CA461" i="3"/>
  <c r="BZ461" i="3"/>
  <c r="BY461" i="3"/>
  <c r="BX461" i="3"/>
  <c r="BW461" i="3"/>
  <c r="BV461" i="3"/>
  <c r="BU461" i="3"/>
  <c r="BT461" i="3"/>
  <c r="BS461" i="3"/>
  <c r="BR461" i="3"/>
  <c r="BQ461" i="3"/>
  <c r="BP461" i="3"/>
  <c r="BO461" i="3"/>
  <c r="BN461" i="3"/>
  <c r="BM461" i="3"/>
  <c r="BL461" i="3"/>
  <c r="BK461" i="3"/>
  <c r="BJ461" i="3"/>
  <c r="BI461" i="3"/>
  <c r="BH461" i="3"/>
  <c r="BG461" i="3"/>
  <c r="BF461" i="3"/>
  <c r="BE461" i="3"/>
  <c r="BD461" i="3"/>
  <c r="BC461" i="3"/>
  <c r="BB461" i="3"/>
  <c r="BA461" i="3"/>
  <c r="AZ461" i="3"/>
  <c r="AY461" i="3"/>
  <c r="AX461" i="3"/>
  <c r="AW461" i="3"/>
  <c r="AV461" i="3"/>
  <c r="AR461" i="3"/>
  <c r="AS461" i="3" s="1"/>
  <c r="B461" i="3"/>
  <c r="CE460" i="3"/>
  <c r="CD460" i="3"/>
  <c r="CC460" i="3"/>
  <c r="CB460" i="3"/>
  <c r="CA460" i="3"/>
  <c r="BZ460" i="3"/>
  <c r="BY460" i="3"/>
  <c r="BX460" i="3"/>
  <c r="BW460" i="3"/>
  <c r="BV460" i="3"/>
  <c r="BU460" i="3"/>
  <c r="BT460" i="3"/>
  <c r="BS460" i="3"/>
  <c r="BR460" i="3"/>
  <c r="BQ460" i="3"/>
  <c r="BP460" i="3"/>
  <c r="BO460" i="3"/>
  <c r="BN460" i="3"/>
  <c r="BM460" i="3"/>
  <c r="BL460" i="3"/>
  <c r="BK460" i="3"/>
  <c r="BJ460" i="3"/>
  <c r="BI460" i="3"/>
  <c r="BH460" i="3"/>
  <c r="BG460" i="3"/>
  <c r="BF460" i="3"/>
  <c r="BE460" i="3"/>
  <c r="BD460" i="3"/>
  <c r="BC460" i="3"/>
  <c r="BB460" i="3"/>
  <c r="BA460" i="3"/>
  <c r="AZ460" i="3"/>
  <c r="AY460" i="3"/>
  <c r="AX460" i="3"/>
  <c r="AW460" i="3"/>
  <c r="AV460" i="3"/>
  <c r="B460" i="3"/>
  <c r="CE459" i="3"/>
  <c r="CD459" i="3"/>
  <c r="CC459" i="3"/>
  <c r="CB459" i="3"/>
  <c r="CA459" i="3"/>
  <c r="BZ459" i="3"/>
  <c r="BY459" i="3"/>
  <c r="BX459" i="3"/>
  <c r="BW459" i="3"/>
  <c r="BV459" i="3"/>
  <c r="BU459" i="3"/>
  <c r="BT459" i="3"/>
  <c r="BS459" i="3"/>
  <c r="BR459" i="3"/>
  <c r="BQ459" i="3"/>
  <c r="BP459" i="3"/>
  <c r="BO459" i="3"/>
  <c r="BN459" i="3"/>
  <c r="BM459" i="3"/>
  <c r="BL459" i="3"/>
  <c r="BK459" i="3"/>
  <c r="BJ459" i="3"/>
  <c r="BI459" i="3"/>
  <c r="BH459" i="3"/>
  <c r="BG459" i="3"/>
  <c r="BF459" i="3"/>
  <c r="BE459" i="3"/>
  <c r="BD459" i="3"/>
  <c r="BC459" i="3"/>
  <c r="BB459" i="3"/>
  <c r="BA459" i="3"/>
  <c r="AZ459" i="3"/>
  <c r="AY459" i="3"/>
  <c r="AX459" i="3"/>
  <c r="AW459" i="3"/>
  <c r="AV459" i="3"/>
  <c r="AR459" i="3"/>
  <c r="AS459" i="3" s="1"/>
  <c r="B459" i="3"/>
  <c r="CE458" i="3"/>
  <c r="CD458" i="3"/>
  <c r="CC458" i="3"/>
  <c r="CB458" i="3"/>
  <c r="CA458" i="3"/>
  <c r="BZ458" i="3"/>
  <c r="BY458" i="3"/>
  <c r="BX458" i="3"/>
  <c r="BW458" i="3"/>
  <c r="BV458" i="3"/>
  <c r="BU458" i="3"/>
  <c r="BT458" i="3"/>
  <c r="BS458" i="3"/>
  <c r="BR458" i="3"/>
  <c r="BQ458" i="3"/>
  <c r="BP458" i="3"/>
  <c r="BO458" i="3"/>
  <c r="BN458" i="3"/>
  <c r="BM458" i="3"/>
  <c r="BL458" i="3"/>
  <c r="BK458" i="3"/>
  <c r="BJ458" i="3"/>
  <c r="BI458" i="3"/>
  <c r="BH458" i="3"/>
  <c r="BG458" i="3"/>
  <c r="BF458" i="3"/>
  <c r="BE458" i="3"/>
  <c r="BD458" i="3"/>
  <c r="BC458" i="3"/>
  <c r="BB458" i="3"/>
  <c r="BA458" i="3"/>
  <c r="AZ458" i="3"/>
  <c r="AY458" i="3"/>
  <c r="AX458" i="3"/>
  <c r="AW458" i="3"/>
  <c r="AV458" i="3"/>
  <c r="AR458" i="3"/>
  <c r="AS458" i="3" s="1"/>
  <c r="B458" i="3"/>
  <c r="CE457" i="3"/>
  <c r="CD457" i="3"/>
  <c r="CC457" i="3"/>
  <c r="CB457" i="3"/>
  <c r="CA457" i="3"/>
  <c r="BZ457" i="3"/>
  <c r="BY457" i="3"/>
  <c r="BX457" i="3"/>
  <c r="BW457" i="3"/>
  <c r="BV457" i="3"/>
  <c r="BU457" i="3"/>
  <c r="BT457" i="3"/>
  <c r="BS457" i="3"/>
  <c r="BR457" i="3"/>
  <c r="BQ457" i="3"/>
  <c r="BP457" i="3"/>
  <c r="BO457" i="3"/>
  <c r="BN457" i="3"/>
  <c r="BM457" i="3"/>
  <c r="BL457" i="3"/>
  <c r="BK457" i="3"/>
  <c r="BJ457" i="3"/>
  <c r="BI457" i="3"/>
  <c r="BH457" i="3"/>
  <c r="BG457" i="3"/>
  <c r="BF457" i="3"/>
  <c r="BE457" i="3"/>
  <c r="BD457" i="3"/>
  <c r="BC457" i="3"/>
  <c r="BB457" i="3"/>
  <c r="BA457" i="3"/>
  <c r="AZ457" i="3"/>
  <c r="AY457" i="3"/>
  <c r="AX457" i="3"/>
  <c r="AW457" i="3"/>
  <c r="AV457" i="3"/>
  <c r="AR457" i="3"/>
  <c r="AS457" i="3" s="1"/>
  <c r="B457" i="3"/>
  <c r="CE456" i="3"/>
  <c r="CD456" i="3"/>
  <c r="CC456" i="3"/>
  <c r="CB456" i="3"/>
  <c r="CA456" i="3"/>
  <c r="BZ456" i="3"/>
  <c r="BY456" i="3"/>
  <c r="BX456" i="3"/>
  <c r="BW456" i="3"/>
  <c r="BV456" i="3"/>
  <c r="BU456" i="3"/>
  <c r="BT456" i="3"/>
  <c r="BS456" i="3"/>
  <c r="BR456" i="3"/>
  <c r="BQ456" i="3"/>
  <c r="BP456" i="3"/>
  <c r="BO456" i="3"/>
  <c r="BN456" i="3"/>
  <c r="BM456" i="3"/>
  <c r="BL456" i="3"/>
  <c r="BK456" i="3"/>
  <c r="BJ456" i="3"/>
  <c r="BI456" i="3"/>
  <c r="BH456" i="3"/>
  <c r="BG456" i="3"/>
  <c r="BF456" i="3"/>
  <c r="BE456" i="3"/>
  <c r="BD456" i="3"/>
  <c r="BC456" i="3"/>
  <c r="BB456" i="3"/>
  <c r="BA456" i="3"/>
  <c r="AZ456" i="3"/>
  <c r="AY456" i="3"/>
  <c r="AX456" i="3"/>
  <c r="AW456" i="3"/>
  <c r="AV456" i="3"/>
  <c r="AR456" i="3"/>
  <c r="AS456" i="3" s="1"/>
  <c r="B456" i="3"/>
  <c r="CE455" i="3"/>
  <c r="CD455" i="3"/>
  <c r="CC455" i="3"/>
  <c r="CB455" i="3"/>
  <c r="CA455" i="3"/>
  <c r="BZ455" i="3"/>
  <c r="BY455" i="3"/>
  <c r="BX455" i="3"/>
  <c r="BW455" i="3"/>
  <c r="BV455" i="3"/>
  <c r="BU455" i="3"/>
  <c r="BT455" i="3"/>
  <c r="BS455" i="3"/>
  <c r="BR455" i="3"/>
  <c r="BQ455" i="3"/>
  <c r="BP455" i="3"/>
  <c r="BO455" i="3"/>
  <c r="BN455" i="3"/>
  <c r="BM455" i="3"/>
  <c r="BL455" i="3"/>
  <c r="BK455" i="3"/>
  <c r="BJ455" i="3"/>
  <c r="BI455" i="3"/>
  <c r="BH455" i="3"/>
  <c r="BG455" i="3"/>
  <c r="BF455" i="3"/>
  <c r="BE455" i="3"/>
  <c r="BD455" i="3"/>
  <c r="BC455" i="3"/>
  <c r="BB455" i="3"/>
  <c r="BA455" i="3"/>
  <c r="AZ455" i="3"/>
  <c r="AY455" i="3"/>
  <c r="AX455" i="3"/>
  <c r="AW455" i="3"/>
  <c r="AV455" i="3"/>
  <c r="AR455" i="3"/>
  <c r="AS455" i="3" s="1"/>
  <c r="B455" i="3"/>
  <c r="CE454" i="3"/>
  <c r="CD454" i="3"/>
  <c r="CC454" i="3"/>
  <c r="CB454" i="3"/>
  <c r="CA454" i="3"/>
  <c r="BZ454" i="3"/>
  <c r="BY454" i="3"/>
  <c r="BX454" i="3"/>
  <c r="BW454" i="3"/>
  <c r="BV454" i="3"/>
  <c r="BU454" i="3"/>
  <c r="BT454" i="3"/>
  <c r="BS454" i="3"/>
  <c r="BR454" i="3"/>
  <c r="BQ454" i="3"/>
  <c r="BP454" i="3"/>
  <c r="BO454" i="3"/>
  <c r="BN454" i="3"/>
  <c r="BM454" i="3"/>
  <c r="BL454" i="3"/>
  <c r="BK454" i="3"/>
  <c r="BJ454" i="3"/>
  <c r="BI454" i="3"/>
  <c r="BH454" i="3"/>
  <c r="BG454" i="3"/>
  <c r="BF454" i="3"/>
  <c r="BE454" i="3"/>
  <c r="BD454" i="3"/>
  <c r="BC454" i="3"/>
  <c r="BB454" i="3"/>
  <c r="BA454" i="3"/>
  <c r="AZ454" i="3"/>
  <c r="AY454" i="3"/>
  <c r="AX454" i="3"/>
  <c r="AW454" i="3"/>
  <c r="AV454" i="3"/>
  <c r="AR454" i="3"/>
  <c r="AS454" i="3" s="1"/>
  <c r="B454" i="3"/>
  <c r="CE453" i="3"/>
  <c r="CD453" i="3"/>
  <c r="CC453" i="3"/>
  <c r="CB453" i="3"/>
  <c r="CA453" i="3"/>
  <c r="BZ453" i="3"/>
  <c r="BY453" i="3"/>
  <c r="BX453" i="3"/>
  <c r="BW453" i="3"/>
  <c r="BV453" i="3"/>
  <c r="BU453" i="3"/>
  <c r="BT453" i="3"/>
  <c r="BS453" i="3"/>
  <c r="BR453" i="3"/>
  <c r="BQ453" i="3"/>
  <c r="BP453" i="3"/>
  <c r="BO453" i="3"/>
  <c r="BN453" i="3"/>
  <c r="BM453" i="3"/>
  <c r="BL453" i="3"/>
  <c r="BK453" i="3"/>
  <c r="BJ453" i="3"/>
  <c r="BI453" i="3"/>
  <c r="BH453" i="3"/>
  <c r="BG453" i="3"/>
  <c r="BF453" i="3"/>
  <c r="BE453" i="3"/>
  <c r="BD453" i="3"/>
  <c r="BC453" i="3"/>
  <c r="BB453" i="3"/>
  <c r="BA453" i="3"/>
  <c r="AZ453" i="3"/>
  <c r="AY453" i="3"/>
  <c r="AX453" i="3"/>
  <c r="AW453" i="3"/>
  <c r="AV453" i="3"/>
  <c r="AR453" i="3"/>
  <c r="AS453" i="3" s="1"/>
  <c r="B453" i="3"/>
  <c r="CE452" i="3"/>
  <c r="CD452" i="3"/>
  <c r="CC452" i="3"/>
  <c r="CB452" i="3"/>
  <c r="CA452" i="3"/>
  <c r="BZ452" i="3"/>
  <c r="BY452" i="3"/>
  <c r="BX452" i="3"/>
  <c r="BW452" i="3"/>
  <c r="BV452" i="3"/>
  <c r="BU452" i="3"/>
  <c r="BT452" i="3"/>
  <c r="BS452" i="3"/>
  <c r="BR452" i="3"/>
  <c r="BQ452" i="3"/>
  <c r="BP452" i="3"/>
  <c r="BO452" i="3"/>
  <c r="BN452" i="3"/>
  <c r="BM452" i="3"/>
  <c r="BL452" i="3"/>
  <c r="BK452" i="3"/>
  <c r="BJ452" i="3"/>
  <c r="BI452" i="3"/>
  <c r="BH452" i="3"/>
  <c r="BG452" i="3"/>
  <c r="BF452" i="3"/>
  <c r="BE452" i="3"/>
  <c r="BD452" i="3"/>
  <c r="BC452" i="3"/>
  <c r="BB452" i="3"/>
  <c r="BA452" i="3"/>
  <c r="AZ452" i="3"/>
  <c r="AY452" i="3"/>
  <c r="AX452" i="3"/>
  <c r="AW452" i="3"/>
  <c r="AV452" i="3"/>
  <c r="AR452" i="3"/>
  <c r="AS452" i="3" s="1"/>
  <c r="B452" i="3"/>
  <c r="CE451" i="3"/>
  <c r="CD451" i="3"/>
  <c r="CC451" i="3"/>
  <c r="CB451" i="3"/>
  <c r="CA451" i="3"/>
  <c r="BZ451" i="3"/>
  <c r="BY451" i="3"/>
  <c r="BX451" i="3"/>
  <c r="BW451" i="3"/>
  <c r="BV451" i="3"/>
  <c r="BU451" i="3"/>
  <c r="BT451" i="3"/>
  <c r="BS451" i="3"/>
  <c r="BR451" i="3"/>
  <c r="BQ451" i="3"/>
  <c r="BP451" i="3"/>
  <c r="BO451" i="3"/>
  <c r="BN451" i="3"/>
  <c r="BM451" i="3"/>
  <c r="BL451" i="3"/>
  <c r="BK451" i="3"/>
  <c r="BJ451" i="3"/>
  <c r="BI451" i="3"/>
  <c r="BH451" i="3"/>
  <c r="BG451" i="3"/>
  <c r="BF451" i="3"/>
  <c r="BE451" i="3"/>
  <c r="BD451" i="3"/>
  <c r="BC451" i="3"/>
  <c r="BB451" i="3"/>
  <c r="BA451" i="3"/>
  <c r="AZ451" i="3"/>
  <c r="AY451" i="3"/>
  <c r="AX451" i="3"/>
  <c r="AW451" i="3"/>
  <c r="AV451" i="3"/>
  <c r="B451" i="3"/>
  <c r="CE450" i="3"/>
  <c r="CD450" i="3"/>
  <c r="CC450" i="3"/>
  <c r="CB450" i="3"/>
  <c r="CA450" i="3"/>
  <c r="BZ450" i="3"/>
  <c r="BY450" i="3"/>
  <c r="BX450" i="3"/>
  <c r="BW450" i="3"/>
  <c r="BV450" i="3"/>
  <c r="BU450" i="3"/>
  <c r="BT450" i="3"/>
  <c r="BS450" i="3"/>
  <c r="BR450" i="3"/>
  <c r="BQ450" i="3"/>
  <c r="BP450" i="3"/>
  <c r="BO450" i="3"/>
  <c r="BN450" i="3"/>
  <c r="BM450" i="3"/>
  <c r="BL450" i="3"/>
  <c r="BK450" i="3"/>
  <c r="BJ450" i="3"/>
  <c r="BI450" i="3"/>
  <c r="BH450" i="3"/>
  <c r="BG450" i="3"/>
  <c r="BF450" i="3"/>
  <c r="BE450" i="3"/>
  <c r="BD450" i="3"/>
  <c r="BC450" i="3"/>
  <c r="BB450" i="3"/>
  <c r="BA450" i="3"/>
  <c r="AZ450" i="3"/>
  <c r="AY450" i="3"/>
  <c r="AX450" i="3"/>
  <c r="AW450" i="3"/>
  <c r="AV450" i="3"/>
  <c r="AR450" i="3"/>
  <c r="AS450" i="3" s="1"/>
  <c r="B450" i="3"/>
  <c r="CE449" i="3"/>
  <c r="CD449" i="3"/>
  <c r="CC449" i="3"/>
  <c r="CB449" i="3"/>
  <c r="CA449" i="3"/>
  <c r="BZ449" i="3"/>
  <c r="BY449" i="3"/>
  <c r="BX449" i="3"/>
  <c r="BW449" i="3"/>
  <c r="BV449" i="3"/>
  <c r="BU449" i="3"/>
  <c r="BT449" i="3"/>
  <c r="BS449" i="3"/>
  <c r="BR449" i="3"/>
  <c r="BQ449" i="3"/>
  <c r="BP449" i="3"/>
  <c r="BO449" i="3"/>
  <c r="BN449" i="3"/>
  <c r="BM449" i="3"/>
  <c r="BL449" i="3"/>
  <c r="BK449" i="3"/>
  <c r="BJ449" i="3"/>
  <c r="BI449" i="3"/>
  <c r="BH449" i="3"/>
  <c r="BG449" i="3"/>
  <c r="BF449" i="3"/>
  <c r="BE449" i="3"/>
  <c r="BD449" i="3"/>
  <c r="BC449" i="3"/>
  <c r="BB449" i="3"/>
  <c r="BA449" i="3"/>
  <c r="AZ449" i="3"/>
  <c r="AY449" i="3"/>
  <c r="AX449" i="3"/>
  <c r="AW449" i="3"/>
  <c r="AV449" i="3"/>
  <c r="AR449" i="3"/>
  <c r="AS449" i="3" s="1"/>
  <c r="B449" i="3"/>
  <c r="CE448" i="3"/>
  <c r="CD448" i="3"/>
  <c r="CC448" i="3"/>
  <c r="CB448" i="3"/>
  <c r="CA448" i="3"/>
  <c r="BZ448" i="3"/>
  <c r="BY448" i="3"/>
  <c r="BX448" i="3"/>
  <c r="BW448" i="3"/>
  <c r="BV448" i="3"/>
  <c r="BU448" i="3"/>
  <c r="BT448" i="3"/>
  <c r="BS448" i="3"/>
  <c r="BR448" i="3"/>
  <c r="BQ448" i="3"/>
  <c r="BP448" i="3"/>
  <c r="BO448" i="3"/>
  <c r="BN448" i="3"/>
  <c r="BM448" i="3"/>
  <c r="BL448" i="3"/>
  <c r="BK448" i="3"/>
  <c r="BJ448" i="3"/>
  <c r="BI448" i="3"/>
  <c r="BH448" i="3"/>
  <c r="BG448" i="3"/>
  <c r="BF448" i="3"/>
  <c r="BE448" i="3"/>
  <c r="BD448" i="3"/>
  <c r="BC448" i="3"/>
  <c r="BB448" i="3"/>
  <c r="BA448" i="3"/>
  <c r="AZ448" i="3"/>
  <c r="AY448" i="3"/>
  <c r="AX448" i="3"/>
  <c r="AW448" i="3"/>
  <c r="AV448" i="3"/>
  <c r="AR448" i="3"/>
  <c r="AS448" i="3" s="1"/>
  <c r="B448" i="3"/>
  <c r="CE447" i="3"/>
  <c r="CD447" i="3"/>
  <c r="CC447" i="3"/>
  <c r="CB447" i="3"/>
  <c r="CA447" i="3"/>
  <c r="BZ447" i="3"/>
  <c r="BY447" i="3"/>
  <c r="BX447" i="3"/>
  <c r="BW447" i="3"/>
  <c r="BV447" i="3"/>
  <c r="BU447" i="3"/>
  <c r="BT447" i="3"/>
  <c r="BS447" i="3"/>
  <c r="BR447" i="3"/>
  <c r="BQ447" i="3"/>
  <c r="BP447" i="3"/>
  <c r="BO447" i="3"/>
  <c r="BN447" i="3"/>
  <c r="BM447" i="3"/>
  <c r="BL447" i="3"/>
  <c r="BK447" i="3"/>
  <c r="BJ447" i="3"/>
  <c r="BI447" i="3"/>
  <c r="BH447" i="3"/>
  <c r="BG447" i="3"/>
  <c r="BF447" i="3"/>
  <c r="BE447" i="3"/>
  <c r="BD447" i="3"/>
  <c r="BC447" i="3"/>
  <c r="BB447" i="3"/>
  <c r="BA447" i="3"/>
  <c r="AZ447" i="3"/>
  <c r="AY447" i="3"/>
  <c r="AX447" i="3"/>
  <c r="AW447" i="3"/>
  <c r="AV447" i="3"/>
  <c r="AR447" i="3"/>
  <c r="AS447" i="3" s="1"/>
  <c r="B447" i="3"/>
  <c r="CE446" i="3"/>
  <c r="CD446" i="3"/>
  <c r="CC446" i="3"/>
  <c r="CB446" i="3"/>
  <c r="CA446" i="3"/>
  <c r="BZ446" i="3"/>
  <c r="BY446" i="3"/>
  <c r="BX446" i="3"/>
  <c r="BW446" i="3"/>
  <c r="BV446" i="3"/>
  <c r="BU446" i="3"/>
  <c r="BT446" i="3"/>
  <c r="BS446" i="3"/>
  <c r="BR446" i="3"/>
  <c r="BQ446" i="3"/>
  <c r="BP446" i="3"/>
  <c r="BO446" i="3"/>
  <c r="BN446" i="3"/>
  <c r="BM446" i="3"/>
  <c r="BL446" i="3"/>
  <c r="BK446" i="3"/>
  <c r="BJ446" i="3"/>
  <c r="BI446" i="3"/>
  <c r="BH446" i="3"/>
  <c r="BG446" i="3"/>
  <c r="BF446" i="3"/>
  <c r="BE446" i="3"/>
  <c r="BD446" i="3"/>
  <c r="BC446" i="3"/>
  <c r="BB446" i="3"/>
  <c r="BA446" i="3"/>
  <c r="AZ446" i="3"/>
  <c r="AY446" i="3"/>
  <c r="AX446" i="3"/>
  <c r="AW446" i="3"/>
  <c r="AV446" i="3"/>
  <c r="AR446" i="3"/>
  <c r="AS446" i="3" s="1"/>
  <c r="B446" i="3"/>
  <c r="CE445" i="3"/>
  <c r="CD445" i="3"/>
  <c r="CC445" i="3"/>
  <c r="CB445" i="3"/>
  <c r="CA445" i="3"/>
  <c r="BZ445" i="3"/>
  <c r="BY445" i="3"/>
  <c r="BX445" i="3"/>
  <c r="BW445" i="3"/>
  <c r="BV445" i="3"/>
  <c r="BU445" i="3"/>
  <c r="BT445" i="3"/>
  <c r="BS445" i="3"/>
  <c r="BR445" i="3"/>
  <c r="BQ445" i="3"/>
  <c r="BP445" i="3"/>
  <c r="BO445" i="3"/>
  <c r="BN445" i="3"/>
  <c r="BM445" i="3"/>
  <c r="BL445" i="3"/>
  <c r="BK445" i="3"/>
  <c r="BJ445" i="3"/>
  <c r="BI445" i="3"/>
  <c r="BH445" i="3"/>
  <c r="BG445" i="3"/>
  <c r="BF445" i="3"/>
  <c r="BE445" i="3"/>
  <c r="BD445" i="3"/>
  <c r="BC445" i="3"/>
  <c r="BB445" i="3"/>
  <c r="BA445" i="3"/>
  <c r="AZ445" i="3"/>
  <c r="AY445" i="3"/>
  <c r="AX445" i="3"/>
  <c r="AW445" i="3"/>
  <c r="AV445" i="3"/>
  <c r="AR445" i="3"/>
  <c r="AS445" i="3" s="1"/>
  <c r="B445" i="3"/>
  <c r="CE444" i="3"/>
  <c r="CD444" i="3"/>
  <c r="CC444" i="3"/>
  <c r="CB444" i="3"/>
  <c r="CA444" i="3"/>
  <c r="BZ444" i="3"/>
  <c r="BY444" i="3"/>
  <c r="BX444" i="3"/>
  <c r="BW444" i="3"/>
  <c r="BV444" i="3"/>
  <c r="BU444" i="3"/>
  <c r="BT444" i="3"/>
  <c r="BS444" i="3"/>
  <c r="BR444" i="3"/>
  <c r="BQ444" i="3"/>
  <c r="BP444" i="3"/>
  <c r="BO444" i="3"/>
  <c r="BN444" i="3"/>
  <c r="BM444" i="3"/>
  <c r="BL444" i="3"/>
  <c r="BK444" i="3"/>
  <c r="BJ444" i="3"/>
  <c r="BI444" i="3"/>
  <c r="BH444" i="3"/>
  <c r="BG444" i="3"/>
  <c r="BF444" i="3"/>
  <c r="BE444" i="3"/>
  <c r="BD444" i="3"/>
  <c r="BC444" i="3"/>
  <c r="BB444" i="3"/>
  <c r="BA444" i="3"/>
  <c r="AZ444" i="3"/>
  <c r="AY444" i="3"/>
  <c r="AX444" i="3"/>
  <c r="AW444" i="3"/>
  <c r="AV444" i="3"/>
  <c r="AR444" i="3"/>
  <c r="AS444" i="3" s="1"/>
  <c r="B444" i="3"/>
  <c r="CE443" i="3"/>
  <c r="CD443" i="3"/>
  <c r="CC443" i="3"/>
  <c r="CB443" i="3"/>
  <c r="CA443" i="3"/>
  <c r="BZ443" i="3"/>
  <c r="BY443" i="3"/>
  <c r="BX443" i="3"/>
  <c r="BW443" i="3"/>
  <c r="BV443" i="3"/>
  <c r="BU443" i="3"/>
  <c r="BT443" i="3"/>
  <c r="BS443" i="3"/>
  <c r="BR443" i="3"/>
  <c r="BQ443" i="3"/>
  <c r="BP443" i="3"/>
  <c r="BO443" i="3"/>
  <c r="BN443" i="3"/>
  <c r="BM443" i="3"/>
  <c r="BL443" i="3"/>
  <c r="BK443" i="3"/>
  <c r="BJ443" i="3"/>
  <c r="BI443" i="3"/>
  <c r="BH443" i="3"/>
  <c r="BG443" i="3"/>
  <c r="BF443" i="3"/>
  <c r="BE443" i="3"/>
  <c r="BD443" i="3"/>
  <c r="BC443" i="3"/>
  <c r="BB443" i="3"/>
  <c r="BA443" i="3"/>
  <c r="AZ443" i="3"/>
  <c r="AY443" i="3"/>
  <c r="AX443" i="3"/>
  <c r="AW443" i="3"/>
  <c r="AV443" i="3"/>
  <c r="AR443" i="3"/>
  <c r="AS443" i="3" s="1"/>
  <c r="B443" i="3"/>
  <c r="CE442" i="3"/>
  <c r="CD442" i="3"/>
  <c r="CC442" i="3"/>
  <c r="CB442" i="3"/>
  <c r="CA442" i="3"/>
  <c r="BZ442" i="3"/>
  <c r="BY442" i="3"/>
  <c r="BX442" i="3"/>
  <c r="BW442" i="3"/>
  <c r="BV442" i="3"/>
  <c r="BU442" i="3"/>
  <c r="BT442" i="3"/>
  <c r="BS442" i="3"/>
  <c r="BR442" i="3"/>
  <c r="BQ442" i="3"/>
  <c r="BP442" i="3"/>
  <c r="BO442" i="3"/>
  <c r="BN442" i="3"/>
  <c r="BM442" i="3"/>
  <c r="BL442" i="3"/>
  <c r="BK442" i="3"/>
  <c r="BJ442" i="3"/>
  <c r="BI442" i="3"/>
  <c r="BH442" i="3"/>
  <c r="BG442" i="3"/>
  <c r="BF442" i="3"/>
  <c r="BE442" i="3"/>
  <c r="BD442" i="3"/>
  <c r="BC442" i="3"/>
  <c r="BB442" i="3"/>
  <c r="BA442" i="3"/>
  <c r="AZ442" i="3"/>
  <c r="AY442" i="3"/>
  <c r="AX442" i="3"/>
  <c r="AW442" i="3"/>
  <c r="AV442" i="3"/>
  <c r="AR442" i="3"/>
  <c r="AS442" i="3" s="1"/>
  <c r="B442" i="3"/>
  <c r="CE441" i="3"/>
  <c r="CD441" i="3"/>
  <c r="CC441" i="3"/>
  <c r="CB441" i="3"/>
  <c r="CA441" i="3"/>
  <c r="BZ441" i="3"/>
  <c r="BY441" i="3"/>
  <c r="BX441" i="3"/>
  <c r="BW441" i="3"/>
  <c r="BV441" i="3"/>
  <c r="BU441" i="3"/>
  <c r="BT441" i="3"/>
  <c r="BS441" i="3"/>
  <c r="BR441" i="3"/>
  <c r="BQ441" i="3"/>
  <c r="BP441" i="3"/>
  <c r="BO441" i="3"/>
  <c r="BN441" i="3"/>
  <c r="BM441" i="3"/>
  <c r="BL441" i="3"/>
  <c r="BK441" i="3"/>
  <c r="BJ441" i="3"/>
  <c r="BI441" i="3"/>
  <c r="BH441" i="3"/>
  <c r="BG441" i="3"/>
  <c r="BF441" i="3"/>
  <c r="BE441" i="3"/>
  <c r="BD441" i="3"/>
  <c r="BC441" i="3"/>
  <c r="BB441" i="3"/>
  <c r="BA441" i="3"/>
  <c r="AZ441" i="3"/>
  <c r="AY441" i="3"/>
  <c r="AX441" i="3"/>
  <c r="AW441" i="3"/>
  <c r="AV441" i="3"/>
  <c r="AR441" i="3"/>
  <c r="AS441" i="3" s="1"/>
  <c r="B441" i="3"/>
  <c r="CE440" i="3"/>
  <c r="CD440" i="3"/>
  <c r="CC440" i="3"/>
  <c r="CB440" i="3"/>
  <c r="CA440" i="3"/>
  <c r="BZ440" i="3"/>
  <c r="BY440" i="3"/>
  <c r="BX440" i="3"/>
  <c r="BW440" i="3"/>
  <c r="BV440" i="3"/>
  <c r="BU440" i="3"/>
  <c r="BT440" i="3"/>
  <c r="BS440" i="3"/>
  <c r="BR440" i="3"/>
  <c r="BQ440" i="3"/>
  <c r="BP440" i="3"/>
  <c r="BO440" i="3"/>
  <c r="BN440" i="3"/>
  <c r="BM440" i="3"/>
  <c r="BL440" i="3"/>
  <c r="BK440" i="3"/>
  <c r="BJ440" i="3"/>
  <c r="BI440" i="3"/>
  <c r="BH440" i="3"/>
  <c r="BG440" i="3"/>
  <c r="BF440" i="3"/>
  <c r="BE440" i="3"/>
  <c r="BD440" i="3"/>
  <c r="BC440" i="3"/>
  <c r="BB440" i="3"/>
  <c r="BA440" i="3"/>
  <c r="AZ440" i="3"/>
  <c r="AY440" i="3"/>
  <c r="AX440" i="3"/>
  <c r="AW440" i="3"/>
  <c r="AV440" i="3"/>
  <c r="AR440" i="3"/>
  <c r="AS440" i="3" s="1"/>
  <c r="B440" i="3"/>
  <c r="CE507" i="3"/>
  <c r="CD507" i="3"/>
  <c r="CC507" i="3"/>
  <c r="CB507" i="3"/>
  <c r="CA507" i="3"/>
  <c r="BZ507" i="3"/>
  <c r="BY507" i="3"/>
  <c r="BX507" i="3"/>
  <c r="BW507" i="3"/>
  <c r="BV507" i="3"/>
  <c r="BU507" i="3"/>
  <c r="BT507" i="3"/>
  <c r="BS507" i="3"/>
  <c r="BR507" i="3"/>
  <c r="BQ507" i="3"/>
  <c r="BP507" i="3"/>
  <c r="BO507" i="3"/>
  <c r="BN507" i="3"/>
  <c r="BM507" i="3"/>
  <c r="BL507" i="3"/>
  <c r="BK507" i="3"/>
  <c r="BJ507" i="3"/>
  <c r="BI507" i="3"/>
  <c r="BH507" i="3"/>
  <c r="BG507" i="3"/>
  <c r="BF507" i="3"/>
  <c r="BE507" i="3"/>
  <c r="BD507" i="3"/>
  <c r="BC507" i="3"/>
  <c r="BB507" i="3"/>
  <c r="BA507" i="3"/>
  <c r="AZ507" i="3"/>
  <c r="AY507" i="3"/>
  <c r="AX507" i="3"/>
  <c r="AW507" i="3"/>
  <c r="AV507" i="3"/>
  <c r="AR507" i="3"/>
  <c r="AS507" i="3" s="1"/>
  <c r="B507" i="3"/>
  <c r="CE506" i="3"/>
  <c r="CD506" i="3"/>
  <c r="CC506" i="3"/>
  <c r="CB506" i="3"/>
  <c r="CA506" i="3"/>
  <c r="BZ506" i="3"/>
  <c r="BY506" i="3"/>
  <c r="BX506" i="3"/>
  <c r="BW506" i="3"/>
  <c r="BV506" i="3"/>
  <c r="BU506" i="3"/>
  <c r="BT506" i="3"/>
  <c r="BS506" i="3"/>
  <c r="BR506" i="3"/>
  <c r="BQ506" i="3"/>
  <c r="BP506" i="3"/>
  <c r="BO506" i="3"/>
  <c r="BN506" i="3"/>
  <c r="BM506" i="3"/>
  <c r="BL506" i="3"/>
  <c r="BK506" i="3"/>
  <c r="BJ506" i="3"/>
  <c r="BI506" i="3"/>
  <c r="BH506" i="3"/>
  <c r="BG506" i="3"/>
  <c r="BF506" i="3"/>
  <c r="BE506" i="3"/>
  <c r="BD506" i="3"/>
  <c r="BC506" i="3"/>
  <c r="BB506" i="3"/>
  <c r="BA506" i="3"/>
  <c r="AZ506" i="3"/>
  <c r="AY506" i="3"/>
  <c r="AX506" i="3"/>
  <c r="AW506" i="3"/>
  <c r="AV506" i="3"/>
  <c r="AR506" i="3"/>
  <c r="AS506" i="3" s="1"/>
  <c r="B506" i="3"/>
  <c r="CE505" i="3"/>
  <c r="CD505" i="3"/>
  <c r="CC505" i="3"/>
  <c r="CB505" i="3"/>
  <c r="CA505" i="3"/>
  <c r="BZ505" i="3"/>
  <c r="BY505" i="3"/>
  <c r="BX505" i="3"/>
  <c r="BW505" i="3"/>
  <c r="BV505" i="3"/>
  <c r="BU505" i="3"/>
  <c r="BT505" i="3"/>
  <c r="BS505" i="3"/>
  <c r="BR505" i="3"/>
  <c r="BQ505" i="3"/>
  <c r="BP505" i="3"/>
  <c r="BO505" i="3"/>
  <c r="BN505" i="3"/>
  <c r="BM505" i="3"/>
  <c r="BL505" i="3"/>
  <c r="BK505" i="3"/>
  <c r="BJ505" i="3"/>
  <c r="BI505" i="3"/>
  <c r="BH505" i="3"/>
  <c r="BG505" i="3"/>
  <c r="BF505" i="3"/>
  <c r="BE505" i="3"/>
  <c r="BD505" i="3"/>
  <c r="BC505" i="3"/>
  <c r="BB505" i="3"/>
  <c r="BA505" i="3"/>
  <c r="AZ505" i="3"/>
  <c r="AY505" i="3"/>
  <c r="AX505" i="3"/>
  <c r="AW505" i="3"/>
  <c r="AV505" i="3"/>
  <c r="B505" i="3"/>
  <c r="CE504" i="3"/>
  <c r="CD504" i="3"/>
  <c r="CC504" i="3"/>
  <c r="CB504" i="3"/>
  <c r="CA504" i="3"/>
  <c r="BZ504" i="3"/>
  <c r="BY504" i="3"/>
  <c r="BX504" i="3"/>
  <c r="BW504" i="3"/>
  <c r="BV504" i="3"/>
  <c r="BU504" i="3"/>
  <c r="BT504" i="3"/>
  <c r="BS504" i="3"/>
  <c r="BR504" i="3"/>
  <c r="BQ504" i="3"/>
  <c r="BP504" i="3"/>
  <c r="BO504" i="3"/>
  <c r="BN504" i="3"/>
  <c r="BM504" i="3"/>
  <c r="BL504" i="3"/>
  <c r="BK504" i="3"/>
  <c r="BJ504" i="3"/>
  <c r="BI504" i="3"/>
  <c r="BH504" i="3"/>
  <c r="BG504" i="3"/>
  <c r="BF504" i="3"/>
  <c r="BE504" i="3"/>
  <c r="BD504" i="3"/>
  <c r="BC504" i="3"/>
  <c r="BB504" i="3"/>
  <c r="BA504" i="3"/>
  <c r="AZ504" i="3"/>
  <c r="AY504" i="3"/>
  <c r="AX504" i="3"/>
  <c r="AW504" i="3"/>
  <c r="AV504" i="3"/>
  <c r="AR504" i="3"/>
  <c r="AS504" i="3" s="1"/>
  <c r="B504" i="3"/>
  <c r="CE503" i="3"/>
  <c r="CD503" i="3"/>
  <c r="CC503" i="3"/>
  <c r="CB503" i="3"/>
  <c r="CA503" i="3"/>
  <c r="BZ503" i="3"/>
  <c r="BY503" i="3"/>
  <c r="BX503" i="3"/>
  <c r="BW503" i="3"/>
  <c r="BV503" i="3"/>
  <c r="BU503" i="3"/>
  <c r="BT503" i="3"/>
  <c r="BS503" i="3"/>
  <c r="BR503" i="3"/>
  <c r="BQ503" i="3"/>
  <c r="BP503" i="3"/>
  <c r="BO503" i="3"/>
  <c r="BN503" i="3"/>
  <c r="BM503" i="3"/>
  <c r="BL503" i="3"/>
  <c r="BK503" i="3"/>
  <c r="BJ503" i="3"/>
  <c r="BI503" i="3"/>
  <c r="BH503" i="3"/>
  <c r="BG503" i="3"/>
  <c r="BF503" i="3"/>
  <c r="BE503" i="3"/>
  <c r="BD503" i="3"/>
  <c r="BC503" i="3"/>
  <c r="BB503" i="3"/>
  <c r="BA503" i="3"/>
  <c r="AZ503" i="3"/>
  <c r="AY503" i="3"/>
  <c r="AX503" i="3"/>
  <c r="AW503" i="3"/>
  <c r="AV503" i="3"/>
  <c r="AR503" i="3"/>
  <c r="AS503" i="3" s="1"/>
  <c r="B503" i="3"/>
  <c r="CE502" i="3"/>
  <c r="CD502" i="3"/>
  <c r="CC502" i="3"/>
  <c r="CB502" i="3"/>
  <c r="CA502" i="3"/>
  <c r="BZ502" i="3"/>
  <c r="BY502" i="3"/>
  <c r="BX502" i="3"/>
  <c r="BW502" i="3"/>
  <c r="BV502" i="3"/>
  <c r="BU502" i="3"/>
  <c r="BT502" i="3"/>
  <c r="BS502" i="3"/>
  <c r="BR502" i="3"/>
  <c r="BQ502" i="3"/>
  <c r="BP502" i="3"/>
  <c r="BO502" i="3"/>
  <c r="BN502" i="3"/>
  <c r="BM502" i="3"/>
  <c r="BL502" i="3"/>
  <c r="BK502" i="3"/>
  <c r="BJ502" i="3"/>
  <c r="BI502" i="3"/>
  <c r="BH502" i="3"/>
  <c r="BG502" i="3"/>
  <c r="BF502" i="3"/>
  <c r="BE502" i="3"/>
  <c r="BD502" i="3"/>
  <c r="BC502" i="3"/>
  <c r="BB502" i="3"/>
  <c r="BA502" i="3"/>
  <c r="AZ502" i="3"/>
  <c r="AY502" i="3"/>
  <c r="AX502" i="3"/>
  <c r="AW502" i="3"/>
  <c r="AV502" i="3"/>
  <c r="AR502" i="3"/>
  <c r="AS502" i="3" s="1"/>
  <c r="B502" i="3"/>
  <c r="CE501" i="3"/>
  <c r="CD501" i="3"/>
  <c r="CC501" i="3"/>
  <c r="CB501" i="3"/>
  <c r="CA501" i="3"/>
  <c r="BZ501" i="3"/>
  <c r="BY501" i="3"/>
  <c r="BX501" i="3"/>
  <c r="BW501" i="3"/>
  <c r="BV501" i="3"/>
  <c r="BU501" i="3"/>
  <c r="BT501" i="3"/>
  <c r="BS501" i="3"/>
  <c r="BR501" i="3"/>
  <c r="BQ501" i="3"/>
  <c r="BP501" i="3"/>
  <c r="BO501" i="3"/>
  <c r="BN501" i="3"/>
  <c r="BM501" i="3"/>
  <c r="AR501" i="3" s="1"/>
  <c r="AS501" i="3" s="1"/>
  <c r="BL501" i="3"/>
  <c r="BK501" i="3"/>
  <c r="BJ501" i="3"/>
  <c r="BI501" i="3"/>
  <c r="BH501" i="3"/>
  <c r="BG501" i="3"/>
  <c r="BF501" i="3"/>
  <c r="BE501" i="3"/>
  <c r="BD501" i="3"/>
  <c r="BC501" i="3"/>
  <c r="BB501" i="3"/>
  <c r="BA501" i="3"/>
  <c r="AZ501" i="3"/>
  <c r="AY501" i="3"/>
  <c r="AX501" i="3"/>
  <c r="AW501" i="3"/>
  <c r="AV501" i="3"/>
  <c r="B501" i="3"/>
  <c r="CE500" i="3"/>
  <c r="CD500" i="3"/>
  <c r="CC500" i="3"/>
  <c r="CB500" i="3"/>
  <c r="CA500" i="3"/>
  <c r="BZ500" i="3"/>
  <c r="BY500" i="3"/>
  <c r="BX500" i="3"/>
  <c r="BW500" i="3"/>
  <c r="BV500" i="3"/>
  <c r="BU500" i="3"/>
  <c r="BT500" i="3"/>
  <c r="BS500" i="3"/>
  <c r="BR500" i="3"/>
  <c r="BQ500" i="3"/>
  <c r="BP500" i="3"/>
  <c r="BO500" i="3"/>
  <c r="BN500" i="3"/>
  <c r="BM500" i="3"/>
  <c r="BL500" i="3"/>
  <c r="BK500" i="3"/>
  <c r="BJ500" i="3"/>
  <c r="BI500" i="3"/>
  <c r="BH500" i="3"/>
  <c r="BG500" i="3"/>
  <c r="BF500" i="3"/>
  <c r="BE500" i="3"/>
  <c r="BD500" i="3"/>
  <c r="BC500" i="3"/>
  <c r="BB500" i="3"/>
  <c r="BA500" i="3"/>
  <c r="AZ500" i="3"/>
  <c r="AY500" i="3"/>
  <c r="AX500" i="3"/>
  <c r="AW500" i="3"/>
  <c r="AV500" i="3"/>
  <c r="AR500" i="3"/>
  <c r="AS500" i="3" s="1"/>
  <c r="B500" i="3"/>
  <c r="CE499" i="3"/>
  <c r="CD499" i="3"/>
  <c r="CC499" i="3"/>
  <c r="CB499" i="3"/>
  <c r="CA499" i="3"/>
  <c r="BZ499" i="3"/>
  <c r="BY499" i="3"/>
  <c r="BX499" i="3"/>
  <c r="BW499" i="3"/>
  <c r="BV499" i="3"/>
  <c r="BU499" i="3"/>
  <c r="BT499" i="3"/>
  <c r="BS499" i="3"/>
  <c r="BR499" i="3"/>
  <c r="BQ499" i="3"/>
  <c r="BP499" i="3"/>
  <c r="BO499" i="3"/>
  <c r="BN499" i="3"/>
  <c r="BM499" i="3"/>
  <c r="BL499" i="3"/>
  <c r="BK499" i="3"/>
  <c r="BJ499" i="3"/>
  <c r="BI499" i="3"/>
  <c r="BH499" i="3"/>
  <c r="BG499" i="3"/>
  <c r="BF499" i="3"/>
  <c r="BE499" i="3"/>
  <c r="BD499" i="3"/>
  <c r="BC499" i="3"/>
  <c r="BB499" i="3"/>
  <c r="BA499" i="3"/>
  <c r="AZ499" i="3"/>
  <c r="AY499" i="3"/>
  <c r="AX499" i="3"/>
  <c r="AW499" i="3"/>
  <c r="AV499" i="3"/>
  <c r="B499" i="3"/>
  <c r="CE498" i="3"/>
  <c r="CD498" i="3"/>
  <c r="CC498" i="3"/>
  <c r="CB498" i="3"/>
  <c r="CA498" i="3"/>
  <c r="BZ498" i="3"/>
  <c r="BY498" i="3"/>
  <c r="BX498" i="3"/>
  <c r="BW498" i="3"/>
  <c r="BV498" i="3"/>
  <c r="BU498" i="3"/>
  <c r="BT498" i="3"/>
  <c r="BS498" i="3"/>
  <c r="BR498" i="3"/>
  <c r="BQ498" i="3"/>
  <c r="BP498" i="3"/>
  <c r="BO498" i="3"/>
  <c r="BN498" i="3"/>
  <c r="BM498" i="3"/>
  <c r="BL498" i="3"/>
  <c r="BK498" i="3"/>
  <c r="BJ498" i="3"/>
  <c r="BI498" i="3"/>
  <c r="BH498" i="3"/>
  <c r="BG498" i="3"/>
  <c r="BF498" i="3"/>
  <c r="BE498" i="3"/>
  <c r="BD498" i="3"/>
  <c r="BC498" i="3"/>
  <c r="BB498" i="3"/>
  <c r="BA498" i="3"/>
  <c r="AZ498" i="3"/>
  <c r="AY498" i="3"/>
  <c r="AX498" i="3"/>
  <c r="AW498" i="3"/>
  <c r="AV498" i="3"/>
  <c r="AR498" i="3"/>
  <c r="AS498" i="3" s="1"/>
  <c r="B498" i="3"/>
  <c r="CE497" i="3"/>
  <c r="CD497" i="3"/>
  <c r="CC497" i="3"/>
  <c r="CB497" i="3"/>
  <c r="CA497" i="3"/>
  <c r="BZ497" i="3"/>
  <c r="BY497" i="3"/>
  <c r="BX497" i="3"/>
  <c r="BW497" i="3"/>
  <c r="BV497" i="3"/>
  <c r="BU497" i="3"/>
  <c r="BT497" i="3"/>
  <c r="BS497" i="3"/>
  <c r="BR497" i="3"/>
  <c r="BQ497" i="3"/>
  <c r="BP497" i="3"/>
  <c r="BO497" i="3"/>
  <c r="BN497" i="3"/>
  <c r="BM497" i="3"/>
  <c r="BL497" i="3"/>
  <c r="BK497" i="3"/>
  <c r="BJ497" i="3"/>
  <c r="BI497" i="3"/>
  <c r="BH497" i="3"/>
  <c r="BG497" i="3"/>
  <c r="BF497" i="3"/>
  <c r="BE497" i="3"/>
  <c r="BD497" i="3"/>
  <c r="BC497" i="3"/>
  <c r="BB497" i="3"/>
  <c r="BA497" i="3"/>
  <c r="AZ497" i="3"/>
  <c r="AY497" i="3"/>
  <c r="AX497" i="3"/>
  <c r="AW497" i="3"/>
  <c r="AV497" i="3"/>
  <c r="AR497" i="3"/>
  <c r="AS497" i="3" s="1"/>
  <c r="B497" i="3"/>
  <c r="CE496" i="3"/>
  <c r="CD496" i="3"/>
  <c r="CC496" i="3"/>
  <c r="CB496" i="3"/>
  <c r="CA496" i="3"/>
  <c r="BZ496" i="3"/>
  <c r="BY496" i="3"/>
  <c r="BX496" i="3"/>
  <c r="BW496" i="3"/>
  <c r="BV496" i="3"/>
  <c r="BU496" i="3"/>
  <c r="BT496" i="3"/>
  <c r="BS496" i="3"/>
  <c r="BR496" i="3"/>
  <c r="BQ496" i="3"/>
  <c r="BP496" i="3"/>
  <c r="BO496" i="3"/>
  <c r="BN496" i="3"/>
  <c r="BM496" i="3"/>
  <c r="BL496" i="3"/>
  <c r="BK496" i="3"/>
  <c r="BJ496" i="3"/>
  <c r="BI496" i="3"/>
  <c r="BH496" i="3"/>
  <c r="BG496" i="3"/>
  <c r="BF496" i="3"/>
  <c r="BE496" i="3"/>
  <c r="BD496" i="3"/>
  <c r="BC496" i="3"/>
  <c r="BB496" i="3"/>
  <c r="BA496" i="3"/>
  <c r="AZ496" i="3"/>
  <c r="AY496" i="3"/>
  <c r="AX496" i="3"/>
  <c r="AW496" i="3"/>
  <c r="AV496" i="3"/>
  <c r="AR496" i="3"/>
  <c r="AS496" i="3" s="1"/>
  <c r="B496" i="3"/>
  <c r="CE495" i="3"/>
  <c r="CD495" i="3"/>
  <c r="CC495" i="3"/>
  <c r="CB495" i="3"/>
  <c r="CA495" i="3"/>
  <c r="BZ495" i="3"/>
  <c r="BY495" i="3"/>
  <c r="BX495" i="3"/>
  <c r="BW495" i="3"/>
  <c r="BV495" i="3"/>
  <c r="BU495" i="3"/>
  <c r="BT495" i="3"/>
  <c r="BS495" i="3"/>
  <c r="BR495" i="3"/>
  <c r="BQ495" i="3"/>
  <c r="BP495" i="3"/>
  <c r="BO495" i="3"/>
  <c r="BN495" i="3"/>
  <c r="BM495" i="3"/>
  <c r="BL495" i="3"/>
  <c r="BK495" i="3"/>
  <c r="BJ495" i="3"/>
  <c r="BI495" i="3"/>
  <c r="BH495" i="3"/>
  <c r="BG495" i="3"/>
  <c r="BF495" i="3"/>
  <c r="BE495" i="3"/>
  <c r="BD495" i="3"/>
  <c r="BC495" i="3"/>
  <c r="BB495" i="3"/>
  <c r="BA495" i="3"/>
  <c r="AZ495" i="3"/>
  <c r="AY495" i="3"/>
  <c r="AX495" i="3"/>
  <c r="AW495" i="3"/>
  <c r="AV495" i="3"/>
  <c r="AR495" i="3"/>
  <c r="AS495" i="3" s="1"/>
  <c r="B495" i="3"/>
  <c r="CE494" i="3"/>
  <c r="CD494" i="3"/>
  <c r="CC494" i="3"/>
  <c r="CB494" i="3"/>
  <c r="CA494" i="3"/>
  <c r="BZ494" i="3"/>
  <c r="BY494" i="3"/>
  <c r="BX494" i="3"/>
  <c r="BW494" i="3"/>
  <c r="BV494" i="3"/>
  <c r="BU494" i="3"/>
  <c r="BT494" i="3"/>
  <c r="BS494" i="3"/>
  <c r="BR494" i="3"/>
  <c r="BQ494" i="3"/>
  <c r="BP494" i="3"/>
  <c r="BO494" i="3"/>
  <c r="BN494" i="3"/>
  <c r="BM494" i="3"/>
  <c r="BL494" i="3"/>
  <c r="BK494" i="3"/>
  <c r="BJ494" i="3"/>
  <c r="BI494" i="3"/>
  <c r="BH494" i="3"/>
  <c r="BG494" i="3"/>
  <c r="BF494" i="3"/>
  <c r="BE494" i="3"/>
  <c r="BD494" i="3"/>
  <c r="BC494" i="3"/>
  <c r="BB494" i="3"/>
  <c r="BA494" i="3"/>
  <c r="AZ494" i="3"/>
  <c r="AY494" i="3"/>
  <c r="AX494" i="3"/>
  <c r="AW494" i="3"/>
  <c r="AV494" i="3"/>
  <c r="AR494" i="3"/>
  <c r="AS494" i="3" s="1"/>
  <c r="B494" i="3"/>
  <c r="CE493" i="3"/>
  <c r="CD493" i="3"/>
  <c r="CC493" i="3"/>
  <c r="CB493" i="3"/>
  <c r="CA493" i="3"/>
  <c r="BZ493" i="3"/>
  <c r="BY493" i="3"/>
  <c r="BX493" i="3"/>
  <c r="BW493" i="3"/>
  <c r="BV493" i="3"/>
  <c r="BU493" i="3"/>
  <c r="BT493" i="3"/>
  <c r="BS493" i="3"/>
  <c r="BR493" i="3"/>
  <c r="BQ493" i="3"/>
  <c r="BP493" i="3"/>
  <c r="BO493" i="3"/>
  <c r="BN493" i="3"/>
  <c r="BM493" i="3"/>
  <c r="BL493" i="3"/>
  <c r="BK493" i="3"/>
  <c r="BJ493" i="3"/>
  <c r="BI493" i="3"/>
  <c r="BH493" i="3"/>
  <c r="BG493" i="3"/>
  <c r="BF493" i="3"/>
  <c r="BE493" i="3"/>
  <c r="BD493" i="3"/>
  <c r="BC493" i="3"/>
  <c r="BB493" i="3"/>
  <c r="BA493" i="3"/>
  <c r="AZ493" i="3"/>
  <c r="AY493" i="3"/>
  <c r="AX493" i="3"/>
  <c r="AW493" i="3"/>
  <c r="AV493" i="3"/>
  <c r="AR493" i="3"/>
  <c r="AS493" i="3" s="1"/>
  <c r="B493" i="3"/>
  <c r="CE492" i="3"/>
  <c r="CD492" i="3"/>
  <c r="CC492" i="3"/>
  <c r="CB492" i="3"/>
  <c r="CA492" i="3"/>
  <c r="BZ492" i="3"/>
  <c r="BY492" i="3"/>
  <c r="BX492" i="3"/>
  <c r="BW492" i="3"/>
  <c r="BV492" i="3"/>
  <c r="BU492" i="3"/>
  <c r="BT492" i="3"/>
  <c r="BS492" i="3"/>
  <c r="BR492" i="3"/>
  <c r="BQ492" i="3"/>
  <c r="BP492" i="3"/>
  <c r="BO492" i="3"/>
  <c r="BN492" i="3"/>
  <c r="BM492" i="3"/>
  <c r="BL492" i="3"/>
  <c r="BK492" i="3"/>
  <c r="BJ492" i="3"/>
  <c r="BI492" i="3"/>
  <c r="BH492" i="3"/>
  <c r="BG492" i="3"/>
  <c r="BF492" i="3"/>
  <c r="BE492" i="3"/>
  <c r="BD492" i="3"/>
  <c r="BC492" i="3"/>
  <c r="BB492" i="3"/>
  <c r="BA492" i="3"/>
  <c r="AZ492" i="3"/>
  <c r="AY492" i="3"/>
  <c r="AX492" i="3"/>
  <c r="AW492" i="3"/>
  <c r="AV492" i="3"/>
  <c r="AR492" i="3"/>
  <c r="AS492" i="3" s="1"/>
  <c r="B492" i="3"/>
  <c r="CE491" i="3"/>
  <c r="CD491" i="3"/>
  <c r="CC491" i="3"/>
  <c r="CB491" i="3"/>
  <c r="CA491" i="3"/>
  <c r="BZ491" i="3"/>
  <c r="BY491" i="3"/>
  <c r="BX491" i="3"/>
  <c r="BW491" i="3"/>
  <c r="BV491" i="3"/>
  <c r="BU491" i="3"/>
  <c r="BT491" i="3"/>
  <c r="BS491" i="3"/>
  <c r="BR491" i="3"/>
  <c r="BQ491" i="3"/>
  <c r="BP491" i="3"/>
  <c r="BO491" i="3"/>
  <c r="BN491" i="3"/>
  <c r="BM491" i="3"/>
  <c r="BL491" i="3"/>
  <c r="BK491" i="3"/>
  <c r="BJ491" i="3"/>
  <c r="BI491" i="3"/>
  <c r="BH491" i="3"/>
  <c r="BG491" i="3"/>
  <c r="BF491" i="3"/>
  <c r="BE491" i="3"/>
  <c r="BD491" i="3"/>
  <c r="BC491" i="3"/>
  <c r="BB491" i="3"/>
  <c r="BA491" i="3"/>
  <c r="AZ491" i="3"/>
  <c r="AY491" i="3"/>
  <c r="AX491" i="3"/>
  <c r="AW491" i="3"/>
  <c r="AV491" i="3"/>
  <c r="B491" i="3"/>
  <c r="CE490" i="3"/>
  <c r="CD490" i="3"/>
  <c r="CC490" i="3"/>
  <c r="CB490" i="3"/>
  <c r="CA490" i="3"/>
  <c r="BZ490" i="3"/>
  <c r="BY490" i="3"/>
  <c r="BX490" i="3"/>
  <c r="BW490" i="3"/>
  <c r="BV490" i="3"/>
  <c r="BU490" i="3"/>
  <c r="BT490" i="3"/>
  <c r="BS490" i="3"/>
  <c r="BR490" i="3"/>
  <c r="BQ490" i="3"/>
  <c r="BP490" i="3"/>
  <c r="BO490" i="3"/>
  <c r="BN490" i="3"/>
  <c r="BM490" i="3"/>
  <c r="BL490" i="3"/>
  <c r="BK490" i="3"/>
  <c r="BJ490" i="3"/>
  <c r="BI490" i="3"/>
  <c r="BH490" i="3"/>
  <c r="BG490" i="3"/>
  <c r="BF490" i="3"/>
  <c r="BE490" i="3"/>
  <c r="BD490" i="3"/>
  <c r="BC490" i="3"/>
  <c r="BB490" i="3"/>
  <c r="BA490" i="3"/>
  <c r="AZ490" i="3"/>
  <c r="AY490" i="3"/>
  <c r="AX490" i="3"/>
  <c r="AW490" i="3"/>
  <c r="AV490" i="3"/>
  <c r="AR490" i="3"/>
  <c r="AS490" i="3" s="1"/>
  <c r="B490" i="3"/>
  <c r="CE489" i="3"/>
  <c r="CD489" i="3"/>
  <c r="CC489" i="3"/>
  <c r="CB489" i="3"/>
  <c r="CA489" i="3"/>
  <c r="BZ489" i="3"/>
  <c r="BY489" i="3"/>
  <c r="BX489" i="3"/>
  <c r="BW489" i="3"/>
  <c r="BV489" i="3"/>
  <c r="BU489" i="3"/>
  <c r="BT489" i="3"/>
  <c r="BS489" i="3"/>
  <c r="BR489" i="3"/>
  <c r="BQ489" i="3"/>
  <c r="BP489" i="3"/>
  <c r="BO489" i="3"/>
  <c r="BN489" i="3"/>
  <c r="BM489" i="3"/>
  <c r="BL489" i="3"/>
  <c r="BK489" i="3"/>
  <c r="BJ489" i="3"/>
  <c r="BI489" i="3"/>
  <c r="BH489" i="3"/>
  <c r="BG489" i="3"/>
  <c r="BF489" i="3"/>
  <c r="BE489" i="3"/>
  <c r="BD489" i="3"/>
  <c r="BC489" i="3"/>
  <c r="BB489" i="3"/>
  <c r="BA489" i="3"/>
  <c r="AZ489" i="3"/>
  <c r="AY489" i="3"/>
  <c r="AX489" i="3"/>
  <c r="AW489" i="3"/>
  <c r="AV489" i="3"/>
  <c r="AR489" i="3"/>
  <c r="AS489" i="3" s="1"/>
  <c r="B489" i="3"/>
  <c r="CE488" i="3"/>
  <c r="CD488" i="3"/>
  <c r="CC488" i="3"/>
  <c r="CB488" i="3"/>
  <c r="CA488" i="3"/>
  <c r="BZ488" i="3"/>
  <c r="BY488" i="3"/>
  <c r="BX488" i="3"/>
  <c r="BW488" i="3"/>
  <c r="BV488" i="3"/>
  <c r="BU488" i="3"/>
  <c r="BT488" i="3"/>
  <c r="BS488" i="3"/>
  <c r="BR488" i="3"/>
  <c r="BQ488" i="3"/>
  <c r="BP488" i="3"/>
  <c r="BO488" i="3"/>
  <c r="BN488" i="3"/>
  <c r="BM488" i="3"/>
  <c r="BL488" i="3"/>
  <c r="BK488" i="3"/>
  <c r="BJ488" i="3"/>
  <c r="BI488" i="3"/>
  <c r="BH488" i="3"/>
  <c r="BG488" i="3"/>
  <c r="BF488" i="3"/>
  <c r="BE488" i="3"/>
  <c r="BD488" i="3"/>
  <c r="BC488" i="3"/>
  <c r="BB488" i="3"/>
  <c r="BA488" i="3"/>
  <c r="AZ488" i="3"/>
  <c r="AY488" i="3"/>
  <c r="AX488" i="3"/>
  <c r="AW488" i="3"/>
  <c r="AV488" i="3"/>
  <c r="AR488" i="3"/>
  <c r="AS488" i="3" s="1"/>
  <c r="B488" i="3"/>
  <c r="CE487" i="3"/>
  <c r="CD487" i="3"/>
  <c r="CC487" i="3"/>
  <c r="CB487" i="3"/>
  <c r="CA487" i="3"/>
  <c r="BZ487" i="3"/>
  <c r="BY487" i="3"/>
  <c r="BX487" i="3"/>
  <c r="BW487" i="3"/>
  <c r="BV487" i="3"/>
  <c r="BU487" i="3"/>
  <c r="BT487" i="3"/>
  <c r="BS487" i="3"/>
  <c r="BR487" i="3"/>
  <c r="BQ487" i="3"/>
  <c r="BP487" i="3"/>
  <c r="BO487" i="3"/>
  <c r="BN487" i="3"/>
  <c r="BM487" i="3"/>
  <c r="BL487" i="3"/>
  <c r="BK487" i="3"/>
  <c r="BJ487" i="3"/>
  <c r="BI487" i="3"/>
  <c r="BH487" i="3"/>
  <c r="BG487" i="3"/>
  <c r="BF487" i="3"/>
  <c r="BE487" i="3"/>
  <c r="BD487" i="3"/>
  <c r="BC487" i="3"/>
  <c r="BB487" i="3"/>
  <c r="BA487" i="3"/>
  <c r="AZ487" i="3"/>
  <c r="AY487" i="3"/>
  <c r="AX487" i="3"/>
  <c r="AW487" i="3"/>
  <c r="AV487" i="3"/>
  <c r="B487" i="3"/>
  <c r="CE486" i="3"/>
  <c r="CD486" i="3"/>
  <c r="CC486" i="3"/>
  <c r="CB486" i="3"/>
  <c r="CA486" i="3"/>
  <c r="BZ486" i="3"/>
  <c r="BY486" i="3"/>
  <c r="BX486" i="3"/>
  <c r="BW486" i="3"/>
  <c r="BV486" i="3"/>
  <c r="BU486" i="3"/>
  <c r="BT486" i="3"/>
  <c r="BS486" i="3"/>
  <c r="BR486" i="3"/>
  <c r="BQ486" i="3"/>
  <c r="BP486" i="3"/>
  <c r="BO486" i="3"/>
  <c r="BN486" i="3"/>
  <c r="BM486" i="3"/>
  <c r="BL486" i="3"/>
  <c r="BK486" i="3"/>
  <c r="BJ486" i="3"/>
  <c r="BI486" i="3"/>
  <c r="BH486" i="3"/>
  <c r="BG486" i="3"/>
  <c r="BF486" i="3"/>
  <c r="BE486" i="3"/>
  <c r="BD486" i="3"/>
  <c r="BC486" i="3"/>
  <c r="BB486" i="3"/>
  <c r="BA486" i="3"/>
  <c r="AZ486" i="3"/>
  <c r="AY486" i="3"/>
  <c r="AX486" i="3"/>
  <c r="AW486" i="3"/>
  <c r="AV486" i="3"/>
  <c r="AR486" i="3"/>
  <c r="AS486" i="3" s="1"/>
  <c r="B486" i="3"/>
  <c r="CE485" i="3"/>
  <c r="CD485" i="3"/>
  <c r="CC485" i="3"/>
  <c r="CB485" i="3"/>
  <c r="CA485" i="3"/>
  <c r="BZ485" i="3"/>
  <c r="BY485" i="3"/>
  <c r="BX485" i="3"/>
  <c r="BW485" i="3"/>
  <c r="BV485" i="3"/>
  <c r="BU485" i="3"/>
  <c r="BT485" i="3"/>
  <c r="BS485" i="3"/>
  <c r="BR485" i="3"/>
  <c r="BQ485" i="3"/>
  <c r="BP485" i="3"/>
  <c r="BO485" i="3"/>
  <c r="BN485" i="3"/>
  <c r="BM485" i="3"/>
  <c r="BL485" i="3"/>
  <c r="BK485" i="3"/>
  <c r="BJ485" i="3"/>
  <c r="BI485" i="3"/>
  <c r="BH485" i="3"/>
  <c r="BG485" i="3"/>
  <c r="BF485" i="3"/>
  <c r="BE485" i="3"/>
  <c r="BD485" i="3"/>
  <c r="BC485" i="3"/>
  <c r="BB485" i="3"/>
  <c r="BA485" i="3"/>
  <c r="AZ485" i="3"/>
  <c r="AY485" i="3"/>
  <c r="AX485" i="3"/>
  <c r="AW485" i="3"/>
  <c r="AV485" i="3"/>
  <c r="AR485" i="3"/>
  <c r="AS485" i="3" s="1"/>
  <c r="B485" i="3"/>
  <c r="CE484" i="3"/>
  <c r="CD484" i="3"/>
  <c r="CC484" i="3"/>
  <c r="CB484" i="3"/>
  <c r="CA484" i="3"/>
  <c r="BZ484" i="3"/>
  <c r="BY484" i="3"/>
  <c r="BX484" i="3"/>
  <c r="BW484" i="3"/>
  <c r="BV484" i="3"/>
  <c r="BU484" i="3"/>
  <c r="BT484" i="3"/>
  <c r="BS484" i="3"/>
  <c r="BR484" i="3"/>
  <c r="BQ484" i="3"/>
  <c r="BP484" i="3"/>
  <c r="BO484" i="3"/>
  <c r="BN484" i="3"/>
  <c r="BM484" i="3"/>
  <c r="BL484" i="3"/>
  <c r="BK484" i="3"/>
  <c r="BJ484" i="3"/>
  <c r="BI484" i="3"/>
  <c r="BH484" i="3"/>
  <c r="BG484" i="3"/>
  <c r="BF484" i="3"/>
  <c r="BE484" i="3"/>
  <c r="BD484" i="3"/>
  <c r="BC484" i="3"/>
  <c r="BB484" i="3"/>
  <c r="BA484" i="3"/>
  <c r="AZ484" i="3"/>
  <c r="AY484" i="3"/>
  <c r="AX484" i="3"/>
  <c r="AW484" i="3"/>
  <c r="AV484" i="3"/>
  <c r="AR484" i="3"/>
  <c r="AS484" i="3" s="1"/>
  <c r="B484" i="3"/>
  <c r="CE483" i="3"/>
  <c r="CD483" i="3"/>
  <c r="CC483" i="3"/>
  <c r="CB483" i="3"/>
  <c r="CA483" i="3"/>
  <c r="BZ483" i="3"/>
  <c r="BY483" i="3"/>
  <c r="BX483" i="3"/>
  <c r="BW483" i="3"/>
  <c r="BV483" i="3"/>
  <c r="BU483" i="3"/>
  <c r="BT483" i="3"/>
  <c r="BS483" i="3"/>
  <c r="BR483" i="3"/>
  <c r="BQ483" i="3"/>
  <c r="BP483" i="3"/>
  <c r="BO483" i="3"/>
  <c r="BN483" i="3"/>
  <c r="BM483" i="3"/>
  <c r="BL483" i="3"/>
  <c r="BK483" i="3"/>
  <c r="BJ483" i="3"/>
  <c r="BI483" i="3"/>
  <c r="BH483" i="3"/>
  <c r="BG483" i="3"/>
  <c r="BF483" i="3"/>
  <c r="BE483" i="3"/>
  <c r="BD483" i="3"/>
  <c r="BC483" i="3"/>
  <c r="BB483" i="3"/>
  <c r="BA483" i="3"/>
  <c r="AZ483" i="3"/>
  <c r="AY483" i="3"/>
  <c r="AX483" i="3"/>
  <c r="AW483" i="3"/>
  <c r="AV483" i="3"/>
  <c r="B483" i="3"/>
  <c r="CE482" i="3"/>
  <c r="CD482" i="3"/>
  <c r="CC482" i="3"/>
  <c r="CB482" i="3"/>
  <c r="CA482" i="3"/>
  <c r="BZ482" i="3"/>
  <c r="BY482" i="3"/>
  <c r="BX482" i="3"/>
  <c r="BW482" i="3"/>
  <c r="BV482" i="3"/>
  <c r="BU482" i="3"/>
  <c r="BT482" i="3"/>
  <c r="BS482" i="3"/>
  <c r="BR482" i="3"/>
  <c r="BQ482" i="3"/>
  <c r="BP482" i="3"/>
  <c r="BO482" i="3"/>
  <c r="BN482" i="3"/>
  <c r="BM482" i="3"/>
  <c r="BL482" i="3"/>
  <c r="BK482" i="3"/>
  <c r="BJ482" i="3"/>
  <c r="BI482" i="3"/>
  <c r="BH482" i="3"/>
  <c r="BG482" i="3"/>
  <c r="BF482" i="3"/>
  <c r="BE482" i="3"/>
  <c r="BD482" i="3"/>
  <c r="BC482" i="3"/>
  <c r="BB482" i="3"/>
  <c r="BA482" i="3"/>
  <c r="AZ482" i="3"/>
  <c r="AY482" i="3"/>
  <c r="AX482" i="3"/>
  <c r="AW482" i="3"/>
  <c r="AV482" i="3"/>
  <c r="AR482" i="3"/>
  <c r="AS482" i="3" s="1"/>
  <c r="B482" i="3"/>
  <c r="CE481" i="3"/>
  <c r="CD481" i="3"/>
  <c r="CC481" i="3"/>
  <c r="CB481" i="3"/>
  <c r="CA481" i="3"/>
  <c r="BZ481" i="3"/>
  <c r="BY481" i="3"/>
  <c r="BX481" i="3"/>
  <c r="BW481" i="3"/>
  <c r="BV481" i="3"/>
  <c r="BU481" i="3"/>
  <c r="BT481" i="3"/>
  <c r="BS481" i="3"/>
  <c r="BR481" i="3"/>
  <c r="BQ481" i="3"/>
  <c r="BP481" i="3"/>
  <c r="BO481" i="3"/>
  <c r="BN481" i="3"/>
  <c r="BM481" i="3"/>
  <c r="BL481" i="3"/>
  <c r="BK481" i="3"/>
  <c r="BJ481" i="3"/>
  <c r="BI481" i="3"/>
  <c r="BH481" i="3"/>
  <c r="BG481" i="3"/>
  <c r="BF481" i="3"/>
  <c r="BE481" i="3"/>
  <c r="BD481" i="3"/>
  <c r="BC481" i="3"/>
  <c r="BB481" i="3"/>
  <c r="BA481" i="3"/>
  <c r="AZ481" i="3"/>
  <c r="AY481" i="3"/>
  <c r="AX481" i="3"/>
  <c r="AW481" i="3"/>
  <c r="AV481" i="3"/>
  <c r="AR481" i="3"/>
  <c r="AS481" i="3" s="1"/>
  <c r="B481" i="3"/>
  <c r="CE480" i="3"/>
  <c r="CD480" i="3"/>
  <c r="CC480" i="3"/>
  <c r="CB480" i="3"/>
  <c r="CA480" i="3"/>
  <c r="BZ480" i="3"/>
  <c r="BY480" i="3"/>
  <c r="BX480" i="3"/>
  <c r="BW480" i="3"/>
  <c r="BV480" i="3"/>
  <c r="BU480" i="3"/>
  <c r="BT480" i="3"/>
  <c r="BS480" i="3"/>
  <c r="BR480" i="3"/>
  <c r="BQ480" i="3"/>
  <c r="BP480" i="3"/>
  <c r="BO480" i="3"/>
  <c r="BN480" i="3"/>
  <c r="BM480" i="3"/>
  <c r="BL480" i="3"/>
  <c r="BK480" i="3"/>
  <c r="BJ480" i="3"/>
  <c r="BI480" i="3"/>
  <c r="BH480" i="3"/>
  <c r="BG480" i="3"/>
  <c r="BF480" i="3"/>
  <c r="BE480" i="3"/>
  <c r="BD480" i="3"/>
  <c r="BC480" i="3"/>
  <c r="BB480" i="3"/>
  <c r="BA480" i="3"/>
  <c r="AZ480" i="3"/>
  <c r="AY480" i="3"/>
  <c r="AX480" i="3"/>
  <c r="AW480" i="3"/>
  <c r="AV480" i="3"/>
  <c r="AR480" i="3"/>
  <c r="AS480" i="3" s="1"/>
  <c r="B480" i="3"/>
  <c r="CE479" i="3"/>
  <c r="CD479" i="3"/>
  <c r="CC479" i="3"/>
  <c r="CB479" i="3"/>
  <c r="CA479" i="3"/>
  <c r="BZ479" i="3"/>
  <c r="BY479" i="3"/>
  <c r="BX479" i="3"/>
  <c r="BW479" i="3"/>
  <c r="BV479" i="3"/>
  <c r="BU479" i="3"/>
  <c r="BT479" i="3"/>
  <c r="BS479" i="3"/>
  <c r="BR479" i="3"/>
  <c r="BQ479" i="3"/>
  <c r="BP479" i="3"/>
  <c r="BO479" i="3"/>
  <c r="BN479" i="3"/>
  <c r="BM479" i="3"/>
  <c r="BL479" i="3"/>
  <c r="BK479" i="3"/>
  <c r="BJ479" i="3"/>
  <c r="BI479" i="3"/>
  <c r="BH479" i="3"/>
  <c r="BG479" i="3"/>
  <c r="BF479" i="3"/>
  <c r="BE479" i="3"/>
  <c r="BD479" i="3"/>
  <c r="BC479" i="3"/>
  <c r="BB479" i="3"/>
  <c r="BA479" i="3"/>
  <c r="AZ479" i="3"/>
  <c r="AY479" i="3"/>
  <c r="AX479" i="3"/>
  <c r="AW479" i="3"/>
  <c r="AV479" i="3"/>
  <c r="AR479" i="3"/>
  <c r="AS479" i="3" s="1"/>
  <c r="B479" i="3"/>
  <c r="CE478" i="3"/>
  <c r="CD478" i="3"/>
  <c r="CC478" i="3"/>
  <c r="CB478" i="3"/>
  <c r="CA478" i="3"/>
  <c r="BZ478" i="3"/>
  <c r="BY478" i="3"/>
  <c r="BX478" i="3"/>
  <c r="BW478" i="3"/>
  <c r="BV478" i="3"/>
  <c r="BU478" i="3"/>
  <c r="BT478" i="3"/>
  <c r="BS478" i="3"/>
  <c r="BR478" i="3"/>
  <c r="BQ478" i="3"/>
  <c r="BP478" i="3"/>
  <c r="BO478" i="3"/>
  <c r="BN478" i="3"/>
  <c r="BM478" i="3"/>
  <c r="BL478" i="3"/>
  <c r="BK478" i="3"/>
  <c r="BJ478" i="3"/>
  <c r="BI478" i="3"/>
  <c r="BH478" i="3"/>
  <c r="BG478" i="3"/>
  <c r="BF478" i="3"/>
  <c r="BE478" i="3"/>
  <c r="BD478" i="3"/>
  <c r="BC478" i="3"/>
  <c r="BB478" i="3"/>
  <c r="BA478" i="3"/>
  <c r="AZ478" i="3"/>
  <c r="AY478" i="3"/>
  <c r="AX478" i="3"/>
  <c r="AW478" i="3"/>
  <c r="AV478" i="3"/>
  <c r="AR478" i="3"/>
  <c r="AS478" i="3" s="1"/>
  <c r="B478" i="3"/>
  <c r="CE477" i="3"/>
  <c r="CD477" i="3"/>
  <c r="CC477" i="3"/>
  <c r="CB477" i="3"/>
  <c r="CA477" i="3"/>
  <c r="BZ477" i="3"/>
  <c r="BY477" i="3"/>
  <c r="BX477" i="3"/>
  <c r="BW477" i="3"/>
  <c r="BV477" i="3"/>
  <c r="BU477" i="3"/>
  <c r="BT477" i="3"/>
  <c r="BS477" i="3"/>
  <c r="BR477" i="3"/>
  <c r="BQ477" i="3"/>
  <c r="BP477" i="3"/>
  <c r="BO477" i="3"/>
  <c r="BN477" i="3"/>
  <c r="BM477" i="3"/>
  <c r="BL477" i="3"/>
  <c r="BK477" i="3"/>
  <c r="BJ477" i="3"/>
  <c r="BI477" i="3"/>
  <c r="BH477" i="3"/>
  <c r="BG477" i="3"/>
  <c r="BF477" i="3"/>
  <c r="BE477" i="3"/>
  <c r="BD477" i="3"/>
  <c r="BC477" i="3"/>
  <c r="BB477" i="3"/>
  <c r="BA477" i="3"/>
  <c r="AZ477" i="3"/>
  <c r="AY477" i="3"/>
  <c r="AX477" i="3"/>
  <c r="AW477" i="3"/>
  <c r="AV477" i="3"/>
  <c r="AR477" i="3"/>
  <c r="AS477" i="3" s="1"/>
  <c r="B477" i="3"/>
  <c r="CE476" i="3"/>
  <c r="CD476" i="3"/>
  <c r="CC476" i="3"/>
  <c r="CB476" i="3"/>
  <c r="CA476" i="3"/>
  <c r="BZ476" i="3"/>
  <c r="BY476" i="3"/>
  <c r="BX476" i="3"/>
  <c r="BW476" i="3"/>
  <c r="BV476" i="3"/>
  <c r="BU476" i="3"/>
  <c r="BT476" i="3"/>
  <c r="BS476" i="3"/>
  <c r="BR476" i="3"/>
  <c r="BQ476" i="3"/>
  <c r="BP476" i="3"/>
  <c r="BO476" i="3"/>
  <c r="BN476" i="3"/>
  <c r="BM476" i="3"/>
  <c r="BL476" i="3"/>
  <c r="BK476" i="3"/>
  <c r="BJ476" i="3"/>
  <c r="BI476" i="3"/>
  <c r="BH476" i="3"/>
  <c r="BG476" i="3"/>
  <c r="BF476" i="3"/>
  <c r="BE476" i="3"/>
  <c r="BD476" i="3"/>
  <c r="BC476" i="3"/>
  <c r="BB476" i="3"/>
  <c r="BA476" i="3"/>
  <c r="AZ476" i="3"/>
  <c r="AY476" i="3"/>
  <c r="AX476" i="3"/>
  <c r="AW476" i="3"/>
  <c r="AV476" i="3"/>
  <c r="AR476" i="3"/>
  <c r="AS476" i="3" s="1"/>
  <c r="B476" i="3"/>
  <c r="CE475" i="3"/>
  <c r="CD475" i="3"/>
  <c r="CC475" i="3"/>
  <c r="CB475" i="3"/>
  <c r="CA475" i="3"/>
  <c r="BZ475" i="3"/>
  <c r="BY475" i="3"/>
  <c r="BX475" i="3"/>
  <c r="BW475" i="3"/>
  <c r="BV475" i="3"/>
  <c r="BU475" i="3"/>
  <c r="BT475" i="3"/>
  <c r="BS475" i="3"/>
  <c r="BR475" i="3"/>
  <c r="BQ475" i="3"/>
  <c r="BP475" i="3"/>
  <c r="BO475" i="3"/>
  <c r="BN475" i="3"/>
  <c r="BM475" i="3"/>
  <c r="BL475" i="3"/>
  <c r="BK475" i="3"/>
  <c r="BJ475" i="3"/>
  <c r="BI475" i="3"/>
  <c r="BH475" i="3"/>
  <c r="BG475" i="3"/>
  <c r="BF475" i="3"/>
  <c r="BE475" i="3"/>
  <c r="BD475" i="3"/>
  <c r="BC475" i="3"/>
  <c r="BB475" i="3"/>
  <c r="BA475" i="3"/>
  <c r="AZ475" i="3"/>
  <c r="AY475" i="3"/>
  <c r="AX475" i="3"/>
  <c r="AW475" i="3"/>
  <c r="AV475" i="3"/>
  <c r="B475" i="3"/>
  <c r="CE474" i="3"/>
  <c r="CD474" i="3"/>
  <c r="CC474" i="3"/>
  <c r="CB474" i="3"/>
  <c r="CA474" i="3"/>
  <c r="BZ474" i="3"/>
  <c r="BY474" i="3"/>
  <c r="BX474" i="3"/>
  <c r="BW474" i="3"/>
  <c r="BV474" i="3"/>
  <c r="BU474" i="3"/>
  <c r="BT474" i="3"/>
  <c r="BS474" i="3"/>
  <c r="BR474" i="3"/>
  <c r="BQ474" i="3"/>
  <c r="BP474" i="3"/>
  <c r="BO474" i="3"/>
  <c r="BN474" i="3"/>
  <c r="BM474" i="3"/>
  <c r="BL474" i="3"/>
  <c r="BK474" i="3"/>
  <c r="BJ474" i="3"/>
  <c r="BI474" i="3"/>
  <c r="BH474" i="3"/>
  <c r="BG474" i="3"/>
  <c r="BF474" i="3"/>
  <c r="BE474" i="3"/>
  <c r="BD474" i="3"/>
  <c r="BC474" i="3"/>
  <c r="BB474" i="3"/>
  <c r="BA474" i="3"/>
  <c r="AZ474" i="3"/>
  <c r="AY474" i="3"/>
  <c r="AX474" i="3"/>
  <c r="AW474" i="3"/>
  <c r="AV474" i="3"/>
  <c r="AR474" i="3"/>
  <c r="AS474" i="3" s="1"/>
  <c r="B474" i="3"/>
  <c r="CE644" i="3"/>
  <c r="CD644" i="3"/>
  <c r="CC644" i="3"/>
  <c r="CB644" i="3"/>
  <c r="CA644" i="3"/>
  <c r="BZ644" i="3"/>
  <c r="BY644" i="3"/>
  <c r="BX644" i="3"/>
  <c r="BW644" i="3"/>
  <c r="BV644" i="3"/>
  <c r="BU644" i="3"/>
  <c r="BT644" i="3"/>
  <c r="BS644" i="3"/>
  <c r="BR644" i="3"/>
  <c r="BQ644" i="3"/>
  <c r="BP644" i="3"/>
  <c r="BO644" i="3"/>
  <c r="BN644" i="3"/>
  <c r="BM644" i="3"/>
  <c r="BL644" i="3"/>
  <c r="BK644" i="3"/>
  <c r="BJ644" i="3"/>
  <c r="BI644" i="3"/>
  <c r="BH644" i="3"/>
  <c r="BG644" i="3"/>
  <c r="BF644" i="3"/>
  <c r="BE644" i="3"/>
  <c r="BD644" i="3"/>
  <c r="BC644" i="3"/>
  <c r="BB644" i="3"/>
  <c r="BA644" i="3"/>
  <c r="AZ644" i="3"/>
  <c r="AY644" i="3"/>
  <c r="AX644" i="3"/>
  <c r="AW644" i="3"/>
  <c r="AV644" i="3"/>
  <c r="AR644" i="3"/>
  <c r="AS644" i="3" s="1"/>
  <c r="B644" i="3"/>
  <c r="CE643" i="3"/>
  <c r="CD643" i="3"/>
  <c r="CC643" i="3"/>
  <c r="CB643" i="3"/>
  <c r="CA643" i="3"/>
  <c r="BZ643" i="3"/>
  <c r="BY643" i="3"/>
  <c r="BX643" i="3"/>
  <c r="BW643" i="3"/>
  <c r="BV643" i="3"/>
  <c r="BU643" i="3"/>
  <c r="BT643" i="3"/>
  <c r="BS643" i="3"/>
  <c r="BR643" i="3"/>
  <c r="BQ643" i="3"/>
  <c r="BP643" i="3"/>
  <c r="BO643" i="3"/>
  <c r="BN643" i="3"/>
  <c r="BM643" i="3"/>
  <c r="BL643" i="3"/>
  <c r="BK643" i="3"/>
  <c r="BJ643" i="3"/>
  <c r="BI643" i="3"/>
  <c r="BH643" i="3"/>
  <c r="BG643" i="3"/>
  <c r="BF643" i="3"/>
  <c r="BE643" i="3"/>
  <c r="BD643" i="3"/>
  <c r="BC643" i="3"/>
  <c r="BB643" i="3"/>
  <c r="BA643" i="3"/>
  <c r="AZ643" i="3"/>
  <c r="AY643" i="3"/>
  <c r="AX643" i="3"/>
  <c r="AW643" i="3"/>
  <c r="AV643" i="3"/>
  <c r="AR643" i="3"/>
  <c r="AS643" i="3" s="1"/>
  <c r="B643" i="3"/>
  <c r="CE642" i="3"/>
  <c r="CD642" i="3"/>
  <c r="CC642" i="3"/>
  <c r="CB642" i="3"/>
  <c r="CA642" i="3"/>
  <c r="BZ642" i="3"/>
  <c r="BY642" i="3"/>
  <c r="BX642" i="3"/>
  <c r="BW642" i="3"/>
  <c r="BV642" i="3"/>
  <c r="BU642" i="3"/>
  <c r="BT642" i="3"/>
  <c r="BS642" i="3"/>
  <c r="BR642" i="3"/>
  <c r="BQ642" i="3"/>
  <c r="BP642" i="3"/>
  <c r="BO642" i="3"/>
  <c r="BN642" i="3"/>
  <c r="BM642" i="3"/>
  <c r="BL642" i="3"/>
  <c r="BK642" i="3"/>
  <c r="BJ642" i="3"/>
  <c r="BI642" i="3"/>
  <c r="BH642" i="3"/>
  <c r="BG642" i="3"/>
  <c r="BF642" i="3"/>
  <c r="BE642" i="3"/>
  <c r="BD642" i="3"/>
  <c r="BC642" i="3"/>
  <c r="BB642" i="3"/>
  <c r="BA642" i="3"/>
  <c r="AZ642" i="3"/>
  <c r="AY642" i="3"/>
  <c r="AX642" i="3"/>
  <c r="AW642" i="3"/>
  <c r="AV642" i="3"/>
  <c r="AR642" i="3"/>
  <c r="AS642" i="3" s="1"/>
  <c r="B642" i="3"/>
  <c r="CE641" i="3"/>
  <c r="CD641" i="3"/>
  <c r="CC641" i="3"/>
  <c r="CB641" i="3"/>
  <c r="CA641" i="3"/>
  <c r="BZ641" i="3"/>
  <c r="BY641" i="3"/>
  <c r="BX641" i="3"/>
  <c r="BW641" i="3"/>
  <c r="BV641" i="3"/>
  <c r="BU641" i="3"/>
  <c r="BT641" i="3"/>
  <c r="BS641" i="3"/>
  <c r="BR641" i="3"/>
  <c r="BQ641" i="3"/>
  <c r="BP641" i="3"/>
  <c r="BO641" i="3"/>
  <c r="BN641" i="3"/>
  <c r="BM641" i="3"/>
  <c r="BL641" i="3"/>
  <c r="BK641" i="3"/>
  <c r="BJ641" i="3"/>
  <c r="BI641" i="3"/>
  <c r="BH641" i="3"/>
  <c r="BG641" i="3"/>
  <c r="BF641" i="3"/>
  <c r="BE641" i="3"/>
  <c r="BD641" i="3"/>
  <c r="BC641" i="3"/>
  <c r="BB641" i="3"/>
  <c r="BA641" i="3"/>
  <c r="AZ641" i="3"/>
  <c r="AY641" i="3"/>
  <c r="AX641" i="3"/>
  <c r="AW641" i="3"/>
  <c r="AV641" i="3"/>
  <c r="AR641" i="3"/>
  <c r="AS641" i="3" s="1"/>
  <c r="B641" i="3"/>
  <c r="CE640" i="3"/>
  <c r="CD640" i="3"/>
  <c r="CC640" i="3"/>
  <c r="CB640" i="3"/>
  <c r="CA640" i="3"/>
  <c r="BZ640" i="3"/>
  <c r="BY640" i="3"/>
  <c r="BX640" i="3"/>
  <c r="BW640" i="3"/>
  <c r="BV640" i="3"/>
  <c r="BU640" i="3"/>
  <c r="BT640" i="3"/>
  <c r="BS640" i="3"/>
  <c r="BR640" i="3"/>
  <c r="BQ640" i="3"/>
  <c r="BP640" i="3"/>
  <c r="BO640" i="3"/>
  <c r="BN640" i="3"/>
  <c r="BM640" i="3"/>
  <c r="BL640" i="3"/>
  <c r="BK640" i="3"/>
  <c r="BJ640" i="3"/>
  <c r="BI640" i="3"/>
  <c r="BH640" i="3"/>
  <c r="BG640" i="3"/>
  <c r="BF640" i="3"/>
  <c r="BE640" i="3"/>
  <c r="BD640" i="3"/>
  <c r="BC640" i="3"/>
  <c r="BB640" i="3"/>
  <c r="BA640" i="3"/>
  <c r="AZ640" i="3"/>
  <c r="AY640" i="3"/>
  <c r="AX640" i="3"/>
  <c r="AW640" i="3"/>
  <c r="AV640" i="3"/>
  <c r="AR640" i="3"/>
  <c r="AS640" i="3" s="1"/>
  <c r="B640" i="3"/>
  <c r="CE639" i="3"/>
  <c r="CD639" i="3"/>
  <c r="CC639" i="3"/>
  <c r="CB639" i="3"/>
  <c r="CA639" i="3"/>
  <c r="BZ639" i="3"/>
  <c r="BY639" i="3"/>
  <c r="BX639" i="3"/>
  <c r="BW639" i="3"/>
  <c r="BV639" i="3"/>
  <c r="BU639" i="3"/>
  <c r="BT639" i="3"/>
  <c r="BS639" i="3"/>
  <c r="BR639" i="3"/>
  <c r="BQ639" i="3"/>
  <c r="BP639" i="3"/>
  <c r="BO639" i="3"/>
  <c r="BN639" i="3"/>
  <c r="BM639" i="3"/>
  <c r="BL639" i="3"/>
  <c r="BK639" i="3"/>
  <c r="BJ639" i="3"/>
  <c r="BI639" i="3"/>
  <c r="BH639" i="3"/>
  <c r="BG639" i="3"/>
  <c r="BF639" i="3"/>
  <c r="BE639" i="3"/>
  <c r="BD639" i="3"/>
  <c r="BC639" i="3"/>
  <c r="BB639" i="3"/>
  <c r="BA639" i="3"/>
  <c r="AZ639" i="3"/>
  <c r="AY639" i="3"/>
  <c r="AX639" i="3"/>
  <c r="AW639" i="3"/>
  <c r="AV639" i="3"/>
  <c r="AR639" i="3"/>
  <c r="AS639" i="3" s="1"/>
  <c r="B639" i="3"/>
  <c r="CE638" i="3"/>
  <c r="CD638" i="3"/>
  <c r="CC638" i="3"/>
  <c r="CB638" i="3"/>
  <c r="CA638" i="3"/>
  <c r="BZ638" i="3"/>
  <c r="BY638" i="3"/>
  <c r="BX638" i="3"/>
  <c r="BW638" i="3"/>
  <c r="BV638" i="3"/>
  <c r="BU638" i="3"/>
  <c r="BT638" i="3"/>
  <c r="BS638" i="3"/>
  <c r="BR638" i="3"/>
  <c r="BQ638" i="3"/>
  <c r="BP638" i="3"/>
  <c r="BO638" i="3"/>
  <c r="BN638" i="3"/>
  <c r="BM638" i="3"/>
  <c r="BL638" i="3"/>
  <c r="BK638" i="3"/>
  <c r="BJ638" i="3"/>
  <c r="BI638" i="3"/>
  <c r="BH638" i="3"/>
  <c r="BG638" i="3"/>
  <c r="BF638" i="3"/>
  <c r="BE638" i="3"/>
  <c r="BD638" i="3"/>
  <c r="BC638" i="3"/>
  <c r="BB638" i="3"/>
  <c r="BA638" i="3"/>
  <c r="AZ638" i="3"/>
  <c r="AY638" i="3"/>
  <c r="AX638" i="3"/>
  <c r="AW638" i="3"/>
  <c r="AV638" i="3"/>
  <c r="AR638" i="3"/>
  <c r="AS638" i="3" s="1"/>
  <c r="B638" i="3"/>
  <c r="CE637" i="3"/>
  <c r="CD637" i="3"/>
  <c r="CC637" i="3"/>
  <c r="CB637" i="3"/>
  <c r="CA637" i="3"/>
  <c r="BZ637" i="3"/>
  <c r="BY637" i="3"/>
  <c r="BX637" i="3"/>
  <c r="BW637" i="3"/>
  <c r="BV637" i="3"/>
  <c r="BU637" i="3"/>
  <c r="BT637" i="3"/>
  <c r="BS637" i="3"/>
  <c r="BR637" i="3"/>
  <c r="BQ637" i="3"/>
  <c r="BP637" i="3"/>
  <c r="BO637" i="3"/>
  <c r="BN637" i="3"/>
  <c r="BM637" i="3"/>
  <c r="BL637" i="3"/>
  <c r="BK637" i="3"/>
  <c r="BJ637" i="3"/>
  <c r="BI637" i="3"/>
  <c r="BH637" i="3"/>
  <c r="BG637" i="3"/>
  <c r="BF637" i="3"/>
  <c r="BE637" i="3"/>
  <c r="BD637" i="3"/>
  <c r="BC637" i="3"/>
  <c r="BB637" i="3"/>
  <c r="BA637" i="3"/>
  <c r="AZ637" i="3"/>
  <c r="AY637" i="3"/>
  <c r="AX637" i="3"/>
  <c r="AW637" i="3"/>
  <c r="AV637" i="3"/>
  <c r="AR637" i="3"/>
  <c r="AS637" i="3" s="1"/>
  <c r="B637" i="3"/>
  <c r="CE514" i="3"/>
  <c r="CD514" i="3"/>
  <c r="CC514" i="3"/>
  <c r="CB514" i="3"/>
  <c r="CA514" i="3"/>
  <c r="BZ514" i="3"/>
  <c r="BY514" i="3"/>
  <c r="BX514" i="3"/>
  <c r="BW514" i="3"/>
  <c r="BV514" i="3"/>
  <c r="BU514" i="3"/>
  <c r="BT514" i="3"/>
  <c r="BS514" i="3"/>
  <c r="BR514" i="3"/>
  <c r="BQ514" i="3"/>
  <c r="BP514" i="3"/>
  <c r="BO514" i="3"/>
  <c r="BN514" i="3"/>
  <c r="BM514" i="3"/>
  <c r="BL514" i="3"/>
  <c r="BK514" i="3"/>
  <c r="BJ514" i="3"/>
  <c r="BI514" i="3"/>
  <c r="BH514" i="3"/>
  <c r="BG514" i="3"/>
  <c r="BF514" i="3"/>
  <c r="BE514" i="3"/>
  <c r="BD514" i="3"/>
  <c r="BC514" i="3"/>
  <c r="BB514" i="3"/>
  <c r="BA514" i="3"/>
  <c r="AZ514" i="3"/>
  <c r="AY514" i="3"/>
  <c r="AX514" i="3"/>
  <c r="AW514" i="3"/>
  <c r="AV514" i="3"/>
  <c r="AR514" i="3"/>
  <c r="AS514" i="3" s="1"/>
  <c r="B514" i="3"/>
  <c r="CE513" i="3"/>
  <c r="CD513" i="3"/>
  <c r="CC513" i="3"/>
  <c r="CB513" i="3"/>
  <c r="CA513" i="3"/>
  <c r="BZ513" i="3"/>
  <c r="BY513" i="3"/>
  <c r="BX513" i="3"/>
  <c r="BW513" i="3"/>
  <c r="BV513" i="3"/>
  <c r="BU513" i="3"/>
  <c r="BT513" i="3"/>
  <c r="BS513" i="3"/>
  <c r="BR513" i="3"/>
  <c r="BQ513" i="3"/>
  <c r="BP513" i="3"/>
  <c r="BO513" i="3"/>
  <c r="BN513" i="3"/>
  <c r="BM513" i="3"/>
  <c r="BL513" i="3"/>
  <c r="BK513" i="3"/>
  <c r="BJ513" i="3"/>
  <c r="BI513" i="3"/>
  <c r="BH513" i="3"/>
  <c r="BG513" i="3"/>
  <c r="BF513" i="3"/>
  <c r="BE513" i="3"/>
  <c r="BD513" i="3"/>
  <c r="BC513" i="3"/>
  <c r="BB513" i="3"/>
  <c r="BA513" i="3"/>
  <c r="AZ513" i="3"/>
  <c r="AY513" i="3"/>
  <c r="AX513" i="3"/>
  <c r="AW513" i="3"/>
  <c r="AV513" i="3"/>
  <c r="B513" i="3"/>
  <c r="CE512" i="3"/>
  <c r="CD512" i="3"/>
  <c r="CC512" i="3"/>
  <c r="CB512" i="3"/>
  <c r="CA512" i="3"/>
  <c r="BZ512" i="3"/>
  <c r="BY512" i="3"/>
  <c r="BX512" i="3"/>
  <c r="BW512" i="3"/>
  <c r="BV512" i="3"/>
  <c r="BU512" i="3"/>
  <c r="BT512" i="3"/>
  <c r="BS512" i="3"/>
  <c r="BR512" i="3"/>
  <c r="BQ512" i="3"/>
  <c r="BP512" i="3"/>
  <c r="BO512" i="3"/>
  <c r="BN512" i="3"/>
  <c r="BM512" i="3"/>
  <c r="BL512" i="3"/>
  <c r="BK512" i="3"/>
  <c r="BJ512" i="3"/>
  <c r="BI512" i="3"/>
  <c r="BH512" i="3"/>
  <c r="BG512" i="3"/>
  <c r="BF512" i="3"/>
  <c r="BE512" i="3"/>
  <c r="BD512" i="3"/>
  <c r="BC512" i="3"/>
  <c r="BB512" i="3"/>
  <c r="BA512" i="3"/>
  <c r="AZ512" i="3"/>
  <c r="AY512" i="3"/>
  <c r="AX512" i="3"/>
  <c r="AW512" i="3"/>
  <c r="AV512" i="3"/>
  <c r="AR512" i="3"/>
  <c r="AS512" i="3" s="1"/>
  <c r="B512" i="3"/>
  <c r="CE511" i="3"/>
  <c r="CD511" i="3"/>
  <c r="CC511" i="3"/>
  <c r="CB511" i="3"/>
  <c r="CA511" i="3"/>
  <c r="BZ511" i="3"/>
  <c r="BY511" i="3"/>
  <c r="BX511" i="3"/>
  <c r="BW511" i="3"/>
  <c r="BV511" i="3"/>
  <c r="BU511" i="3"/>
  <c r="BT511" i="3"/>
  <c r="BS511" i="3"/>
  <c r="BR511" i="3"/>
  <c r="BQ511" i="3"/>
  <c r="BP511" i="3"/>
  <c r="BO511" i="3"/>
  <c r="BN511" i="3"/>
  <c r="BM511" i="3"/>
  <c r="BL511" i="3"/>
  <c r="BK511" i="3"/>
  <c r="BJ511" i="3"/>
  <c r="BI511" i="3"/>
  <c r="BH511" i="3"/>
  <c r="BG511" i="3"/>
  <c r="BF511" i="3"/>
  <c r="BE511" i="3"/>
  <c r="BD511" i="3"/>
  <c r="BC511" i="3"/>
  <c r="BB511" i="3"/>
  <c r="BA511" i="3"/>
  <c r="AZ511" i="3"/>
  <c r="AY511" i="3"/>
  <c r="AX511" i="3"/>
  <c r="AW511" i="3"/>
  <c r="AV511" i="3"/>
  <c r="AR511" i="3"/>
  <c r="AS511" i="3" s="1"/>
  <c r="B511" i="3"/>
  <c r="CE510" i="3"/>
  <c r="CD510" i="3"/>
  <c r="CC510" i="3"/>
  <c r="CB510" i="3"/>
  <c r="CA510" i="3"/>
  <c r="BZ510" i="3"/>
  <c r="BY510" i="3"/>
  <c r="BX510" i="3"/>
  <c r="BW510" i="3"/>
  <c r="BV510" i="3"/>
  <c r="BU510" i="3"/>
  <c r="BT510" i="3"/>
  <c r="BS510" i="3"/>
  <c r="BR510" i="3"/>
  <c r="BQ510" i="3"/>
  <c r="BP510" i="3"/>
  <c r="BO510" i="3"/>
  <c r="BN510" i="3"/>
  <c r="BM510" i="3"/>
  <c r="BL510" i="3"/>
  <c r="BK510" i="3"/>
  <c r="BJ510" i="3"/>
  <c r="BI510" i="3"/>
  <c r="BH510" i="3"/>
  <c r="BG510" i="3"/>
  <c r="BF510" i="3"/>
  <c r="BE510" i="3"/>
  <c r="BD510" i="3"/>
  <c r="BC510" i="3"/>
  <c r="BB510" i="3"/>
  <c r="BA510" i="3"/>
  <c r="AZ510" i="3"/>
  <c r="AY510" i="3"/>
  <c r="AX510" i="3"/>
  <c r="AW510" i="3"/>
  <c r="AV510" i="3"/>
  <c r="AR510" i="3"/>
  <c r="AS510" i="3" s="1"/>
  <c r="B510" i="3"/>
  <c r="CE509" i="3"/>
  <c r="CD509" i="3"/>
  <c r="CC509" i="3"/>
  <c r="CB509" i="3"/>
  <c r="CA509" i="3"/>
  <c r="BZ509" i="3"/>
  <c r="BY509" i="3"/>
  <c r="BX509" i="3"/>
  <c r="BW509" i="3"/>
  <c r="BV509" i="3"/>
  <c r="BU509" i="3"/>
  <c r="BT509" i="3"/>
  <c r="BS509" i="3"/>
  <c r="BR509" i="3"/>
  <c r="BQ509" i="3"/>
  <c r="BP509" i="3"/>
  <c r="BO509" i="3"/>
  <c r="BN509" i="3"/>
  <c r="BM509" i="3"/>
  <c r="BL509" i="3"/>
  <c r="BK509" i="3"/>
  <c r="BJ509" i="3"/>
  <c r="BI509" i="3"/>
  <c r="BH509" i="3"/>
  <c r="BG509" i="3"/>
  <c r="BF509" i="3"/>
  <c r="BE509" i="3"/>
  <c r="BD509" i="3"/>
  <c r="BC509" i="3"/>
  <c r="BB509" i="3"/>
  <c r="BA509" i="3"/>
  <c r="AZ509" i="3"/>
  <c r="AY509" i="3"/>
  <c r="AX509" i="3"/>
  <c r="AW509" i="3"/>
  <c r="AV509" i="3"/>
  <c r="AR509" i="3"/>
  <c r="AS509" i="3" s="1"/>
  <c r="B509" i="3"/>
  <c r="CE508" i="3"/>
  <c r="CD508" i="3"/>
  <c r="CC508" i="3"/>
  <c r="CB508" i="3"/>
  <c r="CA508" i="3"/>
  <c r="BZ508" i="3"/>
  <c r="BY508" i="3"/>
  <c r="BX508" i="3"/>
  <c r="BW508" i="3"/>
  <c r="BV508" i="3"/>
  <c r="BU508" i="3"/>
  <c r="BT508" i="3"/>
  <c r="BS508" i="3"/>
  <c r="BR508" i="3"/>
  <c r="BQ508" i="3"/>
  <c r="BP508" i="3"/>
  <c r="BO508" i="3"/>
  <c r="BN508" i="3"/>
  <c r="BM508" i="3"/>
  <c r="BL508" i="3"/>
  <c r="BK508" i="3"/>
  <c r="BJ508" i="3"/>
  <c r="BI508" i="3"/>
  <c r="BH508" i="3"/>
  <c r="BG508" i="3"/>
  <c r="BF508" i="3"/>
  <c r="BE508" i="3"/>
  <c r="BD508" i="3"/>
  <c r="BC508" i="3"/>
  <c r="BB508" i="3"/>
  <c r="BA508" i="3"/>
  <c r="AZ508" i="3"/>
  <c r="AY508" i="3"/>
  <c r="AX508" i="3"/>
  <c r="AW508" i="3"/>
  <c r="AV508" i="3"/>
  <c r="B508" i="3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F345" i="1"/>
  <c r="F344" i="1"/>
  <c r="F343" i="1"/>
  <c r="B350" i="1"/>
  <c r="H578" i="1"/>
  <c r="F578" i="1"/>
  <c r="C578" i="1"/>
  <c r="H577" i="1"/>
  <c r="F577" i="1"/>
  <c r="C577" i="1"/>
  <c r="H576" i="1"/>
  <c r="F576" i="1"/>
  <c r="C576" i="1"/>
  <c r="H575" i="1"/>
  <c r="F575" i="1"/>
  <c r="C575" i="1"/>
  <c r="H574" i="1"/>
  <c r="F574" i="1"/>
  <c r="C574" i="1"/>
  <c r="H573" i="1"/>
  <c r="F573" i="1"/>
  <c r="C573" i="1"/>
  <c r="H558" i="1"/>
  <c r="F558" i="1"/>
  <c r="C558" i="1"/>
  <c r="H557" i="1"/>
  <c r="F557" i="1"/>
  <c r="C557" i="1"/>
  <c r="H556" i="1"/>
  <c r="F556" i="1"/>
  <c r="C556" i="1"/>
  <c r="H555" i="1"/>
  <c r="F555" i="1"/>
  <c r="C555" i="1"/>
  <c r="H554" i="1"/>
  <c r="F554" i="1"/>
  <c r="C554" i="1"/>
  <c r="H553" i="1"/>
  <c r="F553" i="1"/>
  <c r="C553" i="1"/>
  <c r="H552" i="1"/>
  <c r="F552" i="1"/>
  <c r="C552" i="1"/>
  <c r="H380" i="1"/>
  <c r="F380" i="1"/>
  <c r="C380" i="1"/>
  <c r="H379" i="1"/>
  <c r="F379" i="1"/>
  <c r="C379" i="1"/>
  <c r="H378" i="1"/>
  <c r="F378" i="1"/>
  <c r="C378" i="1"/>
  <c r="H377" i="1"/>
  <c r="F377" i="1"/>
  <c r="C377" i="1"/>
  <c r="H376" i="1"/>
  <c r="F376" i="1"/>
  <c r="C376" i="1"/>
  <c r="H375" i="1"/>
  <c r="F375" i="1"/>
  <c r="C375" i="1"/>
  <c r="H374" i="1"/>
  <c r="F374" i="1"/>
  <c r="C374" i="1"/>
  <c r="H373" i="1"/>
  <c r="F373" i="1"/>
  <c r="C373" i="1"/>
  <c r="H372" i="1"/>
  <c r="F372" i="1"/>
  <c r="C372" i="1"/>
  <c r="H371" i="1"/>
  <c r="F371" i="1"/>
  <c r="C371" i="1"/>
  <c r="H370" i="1"/>
  <c r="F370" i="1"/>
  <c r="C370" i="1"/>
  <c r="H369" i="1"/>
  <c r="F369" i="1"/>
  <c r="C369" i="1"/>
  <c r="H368" i="1"/>
  <c r="F368" i="1"/>
  <c r="C368" i="1"/>
  <c r="H367" i="1"/>
  <c r="F367" i="1"/>
  <c r="C367" i="1"/>
  <c r="H366" i="1"/>
  <c r="F366" i="1"/>
  <c r="C366" i="1"/>
  <c r="H365" i="1"/>
  <c r="F365" i="1"/>
  <c r="C365" i="1"/>
  <c r="H364" i="1"/>
  <c r="F364" i="1"/>
  <c r="C364" i="1"/>
  <c r="H363" i="1"/>
  <c r="F363" i="1"/>
  <c r="C363" i="1"/>
  <c r="H362" i="1"/>
  <c r="F362" i="1"/>
  <c r="C362" i="1"/>
  <c r="H361" i="1"/>
  <c r="F361" i="1"/>
  <c r="C361" i="1"/>
  <c r="H360" i="1"/>
  <c r="F360" i="1"/>
  <c r="C360" i="1"/>
  <c r="H359" i="1"/>
  <c r="F359" i="1"/>
  <c r="C359" i="1"/>
  <c r="H358" i="1"/>
  <c r="F358" i="1"/>
  <c r="C358" i="1"/>
  <c r="H357" i="1"/>
  <c r="F357" i="1"/>
  <c r="C357" i="1"/>
  <c r="H356" i="1"/>
  <c r="F356" i="1"/>
  <c r="C356" i="1"/>
  <c r="H355" i="1"/>
  <c r="F355" i="1"/>
  <c r="C355" i="1"/>
  <c r="H354" i="1"/>
  <c r="F354" i="1"/>
  <c r="C354" i="1"/>
  <c r="H353" i="1"/>
  <c r="F353" i="1"/>
  <c r="C353" i="1"/>
  <c r="H352" i="1"/>
  <c r="F352" i="1"/>
  <c r="C352" i="1"/>
  <c r="H351" i="1"/>
  <c r="F351" i="1"/>
  <c r="C351" i="1"/>
  <c r="H350" i="1"/>
  <c r="F350" i="1"/>
  <c r="C350" i="1"/>
  <c r="H349" i="1"/>
  <c r="F349" i="1"/>
  <c r="C349" i="1"/>
  <c r="H516" i="1"/>
  <c r="F516" i="1"/>
  <c r="C516" i="1"/>
  <c r="H515" i="1"/>
  <c r="F515" i="1"/>
  <c r="C515" i="1"/>
  <c r="H514" i="1"/>
  <c r="F514" i="1"/>
  <c r="C514" i="1"/>
  <c r="H513" i="1"/>
  <c r="F513" i="1"/>
  <c r="C513" i="1"/>
  <c r="H512" i="1"/>
  <c r="F512" i="1"/>
  <c r="C512" i="1"/>
  <c r="H511" i="1"/>
  <c r="F511" i="1"/>
  <c r="C511" i="1"/>
  <c r="H510" i="1"/>
  <c r="F510" i="1"/>
  <c r="C510" i="1"/>
  <c r="H509" i="1"/>
  <c r="F509" i="1"/>
  <c r="C509" i="1"/>
  <c r="H508" i="1"/>
  <c r="F508" i="1"/>
  <c r="C508" i="1"/>
  <c r="H507" i="1"/>
  <c r="F507" i="1"/>
  <c r="C507" i="1"/>
  <c r="H506" i="1"/>
  <c r="F506" i="1"/>
  <c r="C506" i="1"/>
  <c r="H505" i="1"/>
  <c r="F505" i="1"/>
  <c r="C505" i="1"/>
  <c r="H504" i="1"/>
  <c r="F504" i="1"/>
  <c r="C504" i="1"/>
  <c r="H503" i="1"/>
  <c r="F503" i="1"/>
  <c r="C503" i="1"/>
  <c r="H449" i="1"/>
  <c r="F449" i="1"/>
  <c r="C449" i="1"/>
  <c r="H448" i="1"/>
  <c r="F448" i="1"/>
  <c r="C448" i="1"/>
  <c r="H447" i="1"/>
  <c r="F447" i="1"/>
  <c r="C447" i="1"/>
  <c r="H446" i="1"/>
  <c r="F446" i="1"/>
  <c r="C446" i="1"/>
  <c r="H445" i="1"/>
  <c r="F445" i="1"/>
  <c r="C445" i="1"/>
  <c r="H444" i="1"/>
  <c r="F444" i="1"/>
  <c r="C444" i="1"/>
  <c r="H443" i="1"/>
  <c r="F443" i="1"/>
  <c r="C443" i="1"/>
  <c r="H442" i="1"/>
  <c r="F442" i="1"/>
  <c r="C442" i="1"/>
  <c r="H441" i="1"/>
  <c r="F441" i="1"/>
  <c r="C441" i="1"/>
  <c r="H440" i="1"/>
  <c r="F440" i="1"/>
  <c r="C440" i="1"/>
  <c r="H439" i="1"/>
  <c r="F439" i="1"/>
  <c r="C439" i="1"/>
  <c r="H438" i="1"/>
  <c r="F438" i="1"/>
  <c r="C438" i="1"/>
  <c r="H437" i="1"/>
  <c r="F437" i="1"/>
  <c r="C437" i="1"/>
  <c r="H436" i="1"/>
  <c r="F436" i="1"/>
  <c r="C436" i="1"/>
  <c r="H435" i="1"/>
  <c r="F435" i="1"/>
  <c r="C435" i="1"/>
  <c r="H434" i="1"/>
  <c r="F434" i="1"/>
  <c r="C434" i="1"/>
  <c r="H433" i="1"/>
  <c r="F433" i="1"/>
  <c r="C433" i="1"/>
  <c r="H432" i="1"/>
  <c r="F432" i="1"/>
  <c r="C432" i="1"/>
  <c r="H546" i="1"/>
  <c r="F546" i="1"/>
  <c r="C546" i="1"/>
  <c r="H545" i="1"/>
  <c r="F545" i="1"/>
  <c r="C545" i="1"/>
  <c r="H544" i="1"/>
  <c r="F544" i="1"/>
  <c r="C544" i="1"/>
  <c r="H543" i="1"/>
  <c r="F543" i="1"/>
  <c r="C543" i="1"/>
  <c r="H542" i="1"/>
  <c r="F542" i="1"/>
  <c r="C542" i="1"/>
  <c r="H541" i="1"/>
  <c r="F541" i="1"/>
  <c r="C541" i="1"/>
  <c r="H540" i="1"/>
  <c r="F540" i="1"/>
  <c r="C540" i="1"/>
  <c r="H584" i="1"/>
  <c r="F584" i="1"/>
  <c r="C584" i="1"/>
  <c r="H583" i="1"/>
  <c r="F583" i="1"/>
  <c r="C583" i="1"/>
  <c r="H582" i="1"/>
  <c r="F582" i="1"/>
  <c r="C582" i="1"/>
  <c r="H581" i="1"/>
  <c r="F581" i="1"/>
  <c r="C581" i="1"/>
  <c r="H580" i="1"/>
  <c r="F580" i="1"/>
  <c r="C580" i="1"/>
  <c r="H579" i="1"/>
  <c r="F579" i="1"/>
  <c r="C579" i="1"/>
  <c r="B318" i="1"/>
  <c r="D318" i="1" s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B301" i="1"/>
  <c r="D301" i="1" s="1"/>
  <c r="B328" i="1"/>
  <c r="D328" i="1" s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345" i="1"/>
  <c r="H344" i="1"/>
  <c r="H343" i="1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J62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CE98" i="3"/>
  <c r="CD98" i="3"/>
  <c r="CC98" i="3"/>
  <c r="CB98" i="3"/>
  <c r="CA98" i="3"/>
  <c r="BZ98" i="3"/>
  <c r="BY98" i="3"/>
  <c r="BX98" i="3"/>
  <c r="BW98" i="3"/>
  <c r="BV98" i="3"/>
  <c r="BU98" i="3"/>
  <c r="BT98" i="3"/>
  <c r="BS98" i="3"/>
  <c r="BR98" i="3"/>
  <c r="BQ98" i="3"/>
  <c r="BP98" i="3"/>
  <c r="BO98" i="3"/>
  <c r="BN98" i="3"/>
  <c r="BM98" i="3"/>
  <c r="BL98" i="3"/>
  <c r="BK98" i="3"/>
  <c r="BJ98" i="3"/>
  <c r="BI98" i="3"/>
  <c r="BH98" i="3"/>
  <c r="BG98" i="3"/>
  <c r="BF98" i="3"/>
  <c r="BE98" i="3"/>
  <c r="BD98" i="3"/>
  <c r="BC98" i="3"/>
  <c r="BB98" i="3"/>
  <c r="BA98" i="3"/>
  <c r="AZ98" i="3"/>
  <c r="AY98" i="3"/>
  <c r="AX98" i="3"/>
  <c r="AW98" i="3"/>
  <c r="AV98" i="3"/>
  <c r="CE97" i="3"/>
  <c r="CD97" i="3"/>
  <c r="CC97" i="3"/>
  <c r="CB97" i="3"/>
  <c r="CA97" i="3"/>
  <c r="BZ97" i="3"/>
  <c r="BY97" i="3"/>
  <c r="BX97" i="3"/>
  <c r="BW97" i="3"/>
  <c r="BV97" i="3"/>
  <c r="BU97" i="3"/>
  <c r="BT97" i="3"/>
  <c r="BS97" i="3"/>
  <c r="BR97" i="3"/>
  <c r="BQ97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CE95" i="3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BQ94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CE93" i="3"/>
  <c r="CD93" i="3"/>
  <c r="CC93" i="3"/>
  <c r="CB93" i="3"/>
  <c r="CA93" i="3"/>
  <c r="BZ93" i="3"/>
  <c r="BY93" i="3"/>
  <c r="BX93" i="3"/>
  <c r="BW93" i="3"/>
  <c r="BV93" i="3"/>
  <c r="BU93" i="3"/>
  <c r="BT93" i="3"/>
  <c r="BS93" i="3"/>
  <c r="BR93" i="3"/>
  <c r="BQ93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CE92" i="3"/>
  <c r="CD92" i="3"/>
  <c r="CC92" i="3"/>
  <c r="CB92" i="3"/>
  <c r="CA92" i="3"/>
  <c r="BZ92" i="3"/>
  <c r="BY92" i="3"/>
  <c r="BX92" i="3"/>
  <c r="BW92" i="3"/>
  <c r="BV92" i="3"/>
  <c r="BU92" i="3"/>
  <c r="BT92" i="3"/>
  <c r="BS92" i="3"/>
  <c r="BR92" i="3"/>
  <c r="BQ92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CE91" i="3"/>
  <c r="CD91" i="3"/>
  <c r="CC91" i="3"/>
  <c r="CB91" i="3"/>
  <c r="CA91" i="3"/>
  <c r="BZ91" i="3"/>
  <c r="BY91" i="3"/>
  <c r="BX91" i="3"/>
  <c r="BW91" i="3"/>
  <c r="BV91" i="3"/>
  <c r="BU91" i="3"/>
  <c r="BT91" i="3"/>
  <c r="BS91" i="3"/>
  <c r="BR91" i="3"/>
  <c r="BQ91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CE89" i="3"/>
  <c r="CD89" i="3"/>
  <c r="CC89" i="3"/>
  <c r="CB89" i="3"/>
  <c r="CA89" i="3"/>
  <c r="BZ89" i="3"/>
  <c r="BY89" i="3"/>
  <c r="BX89" i="3"/>
  <c r="BW89" i="3"/>
  <c r="BV89" i="3"/>
  <c r="BU89" i="3"/>
  <c r="BT89" i="3"/>
  <c r="BS89" i="3"/>
  <c r="BR89" i="3"/>
  <c r="BQ89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CE88" i="3"/>
  <c r="CD88" i="3"/>
  <c r="CC88" i="3"/>
  <c r="CB88" i="3"/>
  <c r="CA88" i="3"/>
  <c r="BZ88" i="3"/>
  <c r="BY88" i="3"/>
  <c r="BX88" i="3"/>
  <c r="BW88" i="3"/>
  <c r="BV88" i="3"/>
  <c r="BU88" i="3"/>
  <c r="BT88" i="3"/>
  <c r="BS88" i="3"/>
  <c r="BR88" i="3"/>
  <c r="BQ88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CE87" i="3"/>
  <c r="CD87" i="3"/>
  <c r="CC87" i="3"/>
  <c r="CB87" i="3"/>
  <c r="CA87" i="3"/>
  <c r="BZ87" i="3"/>
  <c r="BY87" i="3"/>
  <c r="BX87" i="3"/>
  <c r="BW87" i="3"/>
  <c r="BV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CE86" i="3"/>
  <c r="CD86" i="3"/>
  <c r="CC86" i="3"/>
  <c r="CB86" i="3"/>
  <c r="CA86" i="3"/>
  <c r="BZ86" i="3"/>
  <c r="BY86" i="3"/>
  <c r="BX86" i="3"/>
  <c r="BW86" i="3"/>
  <c r="BV86" i="3"/>
  <c r="BU86" i="3"/>
  <c r="BT86" i="3"/>
  <c r="BS86" i="3"/>
  <c r="BR86" i="3"/>
  <c r="BQ86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CE85" i="3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CE84" i="3"/>
  <c r="CD84" i="3"/>
  <c r="CC84" i="3"/>
  <c r="CB84" i="3"/>
  <c r="CA84" i="3"/>
  <c r="BZ84" i="3"/>
  <c r="BY84" i="3"/>
  <c r="BX84" i="3"/>
  <c r="BW84" i="3"/>
  <c r="BV84" i="3"/>
  <c r="BU84" i="3"/>
  <c r="BT84" i="3"/>
  <c r="BS84" i="3"/>
  <c r="BR84" i="3"/>
  <c r="BQ84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CE83" i="3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Q83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CE82" i="3"/>
  <c r="CD82" i="3"/>
  <c r="CC82" i="3"/>
  <c r="CB82" i="3"/>
  <c r="CA82" i="3"/>
  <c r="BZ82" i="3"/>
  <c r="BY82" i="3"/>
  <c r="BX82" i="3"/>
  <c r="BW82" i="3"/>
  <c r="BV82" i="3"/>
  <c r="BU82" i="3"/>
  <c r="BT82" i="3"/>
  <c r="BS82" i="3"/>
  <c r="BR82" i="3"/>
  <c r="BQ82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CE81" i="3"/>
  <c r="CD81" i="3"/>
  <c r="CC81" i="3"/>
  <c r="CB81" i="3"/>
  <c r="CA81" i="3"/>
  <c r="BZ81" i="3"/>
  <c r="BY81" i="3"/>
  <c r="BX81" i="3"/>
  <c r="BW81" i="3"/>
  <c r="BV81" i="3"/>
  <c r="BU81" i="3"/>
  <c r="BT81" i="3"/>
  <c r="BS81" i="3"/>
  <c r="BR81" i="3"/>
  <c r="BQ81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CE80" i="3"/>
  <c r="CD80" i="3"/>
  <c r="CC80" i="3"/>
  <c r="CB80" i="3"/>
  <c r="CA80" i="3"/>
  <c r="BZ80" i="3"/>
  <c r="BY80" i="3"/>
  <c r="BX80" i="3"/>
  <c r="BW80" i="3"/>
  <c r="BV80" i="3"/>
  <c r="BU80" i="3"/>
  <c r="BT80" i="3"/>
  <c r="BS80" i="3"/>
  <c r="BR80" i="3"/>
  <c r="BQ80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CE79" i="3"/>
  <c r="CD79" i="3"/>
  <c r="CC79" i="3"/>
  <c r="CB79" i="3"/>
  <c r="CA79" i="3"/>
  <c r="BZ79" i="3"/>
  <c r="BY79" i="3"/>
  <c r="BX79" i="3"/>
  <c r="BW79" i="3"/>
  <c r="BV79" i="3"/>
  <c r="BU79" i="3"/>
  <c r="BT79" i="3"/>
  <c r="BS79" i="3"/>
  <c r="BR79" i="3"/>
  <c r="BQ79" i="3"/>
  <c r="BP79" i="3"/>
  <c r="BO79" i="3"/>
  <c r="BN79" i="3"/>
  <c r="BM79" i="3"/>
  <c r="BL79" i="3"/>
  <c r="BK79" i="3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CE78" i="3"/>
  <c r="CD78" i="3"/>
  <c r="CC78" i="3"/>
  <c r="CB78" i="3"/>
  <c r="CA78" i="3"/>
  <c r="BZ78" i="3"/>
  <c r="BY78" i="3"/>
  <c r="BX78" i="3"/>
  <c r="BW78" i="3"/>
  <c r="BV78" i="3"/>
  <c r="BU78" i="3"/>
  <c r="BT78" i="3"/>
  <c r="BS78" i="3"/>
  <c r="BR78" i="3"/>
  <c r="BQ78" i="3"/>
  <c r="BP78" i="3"/>
  <c r="BO78" i="3"/>
  <c r="BN78" i="3"/>
  <c r="BM78" i="3"/>
  <c r="BL78" i="3"/>
  <c r="BK78" i="3"/>
  <c r="BJ78" i="3"/>
  <c r="BI78" i="3"/>
  <c r="BH78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CE77" i="3"/>
  <c r="CD77" i="3"/>
  <c r="CC77" i="3"/>
  <c r="CB77" i="3"/>
  <c r="CA77" i="3"/>
  <c r="BZ77" i="3"/>
  <c r="BY77" i="3"/>
  <c r="BX77" i="3"/>
  <c r="BW77" i="3"/>
  <c r="BV77" i="3"/>
  <c r="BU77" i="3"/>
  <c r="BT77" i="3"/>
  <c r="BS77" i="3"/>
  <c r="BR77" i="3"/>
  <c r="BQ77" i="3"/>
  <c r="BP77" i="3"/>
  <c r="BO77" i="3"/>
  <c r="BN77" i="3"/>
  <c r="BM77" i="3"/>
  <c r="BL77" i="3"/>
  <c r="BK77" i="3"/>
  <c r="BJ77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CE76" i="3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BO76" i="3"/>
  <c r="BN76" i="3"/>
  <c r="BM76" i="3"/>
  <c r="BL76" i="3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CE75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CE73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CE70" i="3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CE68" i="3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R66" i="3" s="1"/>
  <c r="AS66" i="3" s="1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BL54" i="3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R22" i="3" s="1"/>
  <c r="AS22" i="3" s="1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BW99" i="4"/>
  <c r="BV99" i="4"/>
  <c r="BU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BW98" i="4"/>
  <c r="BV98" i="4"/>
  <c r="BU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N98" i="4"/>
  <c r="AO98" i="4" s="1"/>
  <c r="BW97" i="4"/>
  <c r="BV97" i="4"/>
  <c r="BU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BW96" i="4"/>
  <c r="BV96" i="4"/>
  <c r="BU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BW95" i="4"/>
  <c r="BV95" i="4"/>
  <c r="BU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BW94" i="4"/>
  <c r="BV94" i="4"/>
  <c r="BU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BW93" i="4"/>
  <c r="BV93" i="4"/>
  <c r="BU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BW92" i="4"/>
  <c r="BV92" i="4"/>
  <c r="BU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BW91" i="4"/>
  <c r="BV91" i="4"/>
  <c r="BU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BW90" i="4"/>
  <c r="BV90" i="4"/>
  <c r="BU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BW89" i="4"/>
  <c r="BV89" i="4"/>
  <c r="BU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BW88" i="4"/>
  <c r="BV88" i="4"/>
  <c r="BU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BW87" i="4"/>
  <c r="BV87" i="4"/>
  <c r="BU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BW86" i="4"/>
  <c r="BV86" i="4"/>
  <c r="BU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BW85" i="4"/>
  <c r="BV85" i="4"/>
  <c r="BU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BW84" i="4"/>
  <c r="BV84" i="4"/>
  <c r="BU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BW83" i="4"/>
  <c r="BV83" i="4"/>
  <c r="BU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BW82" i="4"/>
  <c r="BV82" i="4"/>
  <c r="BU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BW81" i="4"/>
  <c r="BV81" i="4"/>
  <c r="BU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BW80" i="4"/>
  <c r="BV80" i="4"/>
  <c r="BU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BW79" i="4"/>
  <c r="BV79" i="4"/>
  <c r="BU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BW78" i="4"/>
  <c r="BV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BW77" i="4"/>
  <c r="BV77" i="4"/>
  <c r="BU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BW76" i="4"/>
  <c r="BV76" i="4"/>
  <c r="BU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BW75" i="4"/>
  <c r="BV75" i="4"/>
  <c r="BU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BW73" i="4"/>
  <c r="BV73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BW72" i="4"/>
  <c r="BV72" i="4"/>
  <c r="BU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BW71" i="4"/>
  <c r="BV71" i="4"/>
  <c r="BU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BW70" i="4"/>
  <c r="BV70" i="4"/>
  <c r="BU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BW69" i="4"/>
  <c r="BV69" i="4"/>
  <c r="BU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BW68" i="4"/>
  <c r="BV68" i="4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BW67" i="4"/>
  <c r="BV67" i="4"/>
  <c r="BU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BW66" i="4"/>
  <c r="BV66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BW64" i="4"/>
  <c r="BV64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N63" i="4"/>
  <c r="AO63" i="4" s="1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BW61" i="4"/>
  <c r="BV61" i="4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N61" i="4"/>
  <c r="AO61" i="4" s="1"/>
  <c r="BW60" i="4"/>
  <c r="BV60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N60" i="4"/>
  <c r="AO60" i="4" s="1"/>
  <c r="BW59" i="4"/>
  <c r="BV59" i="4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N58" i="4"/>
  <c r="AO58" i="4" s="1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N57" i="4"/>
  <c r="AO57" i="4" s="1"/>
  <c r="BW56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N56" i="4"/>
  <c r="AO56" i="4" s="1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N55" i="4"/>
  <c r="AO55" i="4" s="1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N54" i="4"/>
  <c r="AO54" i="4" s="1"/>
  <c r="BW53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BW44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N44" i="4"/>
  <c r="AO44" i="4" s="1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N43" i="4"/>
  <c r="AO43" i="4" s="1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N42" i="4"/>
  <c r="AO42" i="4" s="1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N41" i="4"/>
  <c r="AO41" i="4" s="1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N40" i="4"/>
  <c r="AO40" i="4" s="1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N39" i="4"/>
  <c r="AO39" i="4" s="1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N38" i="4"/>
  <c r="AO38" i="4" s="1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N37" i="4"/>
  <c r="AO37" i="4" s="1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N36" i="4"/>
  <c r="AO36" i="4" s="1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N35" i="4"/>
  <c r="AO35" i="4" s="1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N34" i="4"/>
  <c r="AO34" i="4" s="1"/>
  <c r="F329" i="1"/>
  <c r="F331" i="1"/>
  <c r="F330" i="1"/>
  <c r="F328" i="1"/>
  <c r="F327" i="1"/>
  <c r="H329" i="1"/>
  <c r="H331" i="1"/>
  <c r="H330" i="1"/>
  <c r="H328" i="1"/>
  <c r="H327" i="1"/>
  <c r="AN30" i="4" l="1"/>
  <c r="AO30" i="4" s="1"/>
  <c r="AN454" i="4"/>
  <c r="AO454" i="4" s="1"/>
  <c r="AN62" i="4"/>
  <c r="AO62" i="4" s="1"/>
  <c r="AN59" i="4"/>
  <c r="AO59" i="4" s="1"/>
  <c r="AN595" i="4"/>
  <c r="AO595" i="4" s="1"/>
  <c r="AN212" i="4"/>
  <c r="AO212" i="4" s="1"/>
  <c r="AN348" i="4"/>
  <c r="AO348" i="4" s="1"/>
  <c r="AN347" i="4"/>
  <c r="AO347" i="4" s="1"/>
  <c r="AN594" i="4"/>
  <c r="AO594" i="4" s="1"/>
  <c r="AN453" i="4"/>
  <c r="AO453" i="4" s="1"/>
  <c r="AN192" i="4"/>
  <c r="AO192" i="4" s="1"/>
  <c r="AN190" i="4"/>
  <c r="AO190" i="4" s="1"/>
  <c r="AN185" i="4"/>
  <c r="AO185" i="4" s="1"/>
  <c r="AN195" i="4"/>
  <c r="AO195" i="4" s="1"/>
  <c r="AN193" i="4"/>
  <c r="AO193" i="4" s="1"/>
  <c r="AN187" i="4"/>
  <c r="AO187" i="4" s="1"/>
  <c r="AN188" i="4"/>
  <c r="AO188" i="4" s="1"/>
  <c r="AN99" i="4"/>
  <c r="AO99" i="4" s="1"/>
  <c r="AN194" i="4"/>
  <c r="AO194" i="4" s="1"/>
  <c r="AN191" i="4"/>
  <c r="AO191" i="4" s="1"/>
  <c r="AR569" i="3"/>
  <c r="AS569" i="3" s="1"/>
  <c r="AN523" i="4"/>
  <c r="AO523" i="4" s="1"/>
  <c r="AN573" i="4"/>
  <c r="AO573" i="4" s="1"/>
  <c r="AN120" i="4"/>
  <c r="AO120" i="4" s="1"/>
  <c r="AR152" i="3"/>
  <c r="AS152" i="3" s="1"/>
  <c r="AR151" i="3"/>
  <c r="AS151" i="3" s="1"/>
  <c r="AR150" i="3"/>
  <c r="AS150" i="3" s="1"/>
  <c r="AR148" i="3"/>
  <c r="AS148" i="3" s="1"/>
  <c r="AR147" i="3"/>
  <c r="AS147" i="3" s="1"/>
  <c r="AR146" i="3"/>
  <c r="AS146" i="3" s="1"/>
  <c r="AR145" i="3"/>
  <c r="AS145" i="3" s="1"/>
  <c r="AR144" i="3"/>
  <c r="AS144" i="3" s="1"/>
  <c r="AR143" i="3"/>
  <c r="AS143" i="3" s="1"/>
  <c r="AR142" i="3"/>
  <c r="AS142" i="3" s="1"/>
  <c r="AR141" i="3"/>
  <c r="AS141" i="3" s="1"/>
  <c r="AR140" i="3"/>
  <c r="AS140" i="3" s="1"/>
  <c r="AR139" i="3"/>
  <c r="AS139" i="3" s="1"/>
  <c r="AR138" i="3"/>
  <c r="AS138" i="3" s="1"/>
  <c r="AR137" i="3"/>
  <c r="AS137" i="3" s="1"/>
  <c r="AR136" i="3"/>
  <c r="AS136" i="3" s="1"/>
  <c r="AR135" i="3"/>
  <c r="AS135" i="3" s="1"/>
  <c r="AR134" i="3"/>
  <c r="AS134" i="3" s="1"/>
  <c r="AR133" i="3"/>
  <c r="AS133" i="3" s="1"/>
  <c r="AR132" i="3"/>
  <c r="AS132" i="3" s="1"/>
  <c r="AR131" i="3"/>
  <c r="AS131" i="3" s="1"/>
  <c r="AR130" i="3"/>
  <c r="AS130" i="3" s="1"/>
  <c r="AR129" i="3"/>
  <c r="AS129" i="3" s="1"/>
  <c r="AR128" i="3"/>
  <c r="AS128" i="3" s="1"/>
  <c r="AR127" i="3"/>
  <c r="AS127" i="3" s="1"/>
  <c r="AR126" i="3"/>
  <c r="AS126" i="3" s="1"/>
  <c r="AR125" i="3"/>
  <c r="AS125" i="3" s="1"/>
  <c r="AR124" i="3"/>
  <c r="AS124" i="3" s="1"/>
  <c r="AR123" i="3"/>
  <c r="AS123" i="3" s="1"/>
  <c r="AR122" i="3"/>
  <c r="AS122" i="3" s="1"/>
  <c r="AR397" i="3"/>
  <c r="AS397" i="3" s="1"/>
  <c r="AR475" i="3"/>
  <c r="AS475" i="3" s="1"/>
  <c r="AR508" i="3"/>
  <c r="AS508" i="3" s="1"/>
  <c r="Q503" i="1"/>
  <c r="AR201" i="3"/>
  <c r="AS201" i="3" s="1"/>
  <c r="AR200" i="3"/>
  <c r="AS200" i="3" s="1"/>
  <c r="AR199" i="3"/>
  <c r="AS199" i="3" s="1"/>
  <c r="AR198" i="3"/>
  <c r="AS198" i="3" s="1"/>
  <c r="AR197" i="3"/>
  <c r="AS197" i="3" s="1"/>
  <c r="AR195" i="3"/>
  <c r="AS195" i="3" s="1"/>
  <c r="AR194" i="3"/>
  <c r="AS194" i="3" s="1"/>
  <c r="AR192" i="3"/>
  <c r="AS192" i="3" s="1"/>
  <c r="AR190" i="3"/>
  <c r="AS190" i="3" s="1"/>
  <c r="AR571" i="3"/>
  <c r="AS571" i="3" s="1"/>
  <c r="AR254" i="3"/>
  <c r="AS254" i="3" s="1"/>
  <c r="AN7" i="4"/>
  <c r="AO7" i="4" s="1"/>
  <c r="AN8" i="4"/>
  <c r="AO8" i="4" s="1"/>
  <c r="AN9" i="4"/>
  <c r="AO9" i="4" s="1"/>
  <c r="AN10" i="4"/>
  <c r="AO10" i="4" s="1"/>
  <c r="AN11" i="4"/>
  <c r="AO11" i="4" s="1"/>
  <c r="AN12" i="4"/>
  <c r="AO12" i="4" s="1"/>
  <c r="AN13" i="4"/>
  <c r="AO13" i="4" s="1"/>
  <c r="AN14" i="4"/>
  <c r="AO14" i="4" s="1"/>
  <c r="AN15" i="4"/>
  <c r="AO15" i="4" s="1"/>
  <c r="AN16" i="4"/>
  <c r="AO16" i="4" s="1"/>
  <c r="AN17" i="4"/>
  <c r="AO17" i="4" s="1"/>
  <c r="AN18" i="4"/>
  <c r="AO18" i="4" s="1"/>
  <c r="AN19" i="4"/>
  <c r="AO19" i="4" s="1"/>
  <c r="AN20" i="4"/>
  <c r="AO20" i="4" s="1"/>
  <c r="AN21" i="4"/>
  <c r="AO21" i="4" s="1"/>
  <c r="AN22" i="4"/>
  <c r="AO22" i="4" s="1"/>
  <c r="AN23" i="4"/>
  <c r="AO23" i="4" s="1"/>
  <c r="AN24" i="4"/>
  <c r="AO24" i="4" s="1"/>
  <c r="AN25" i="4"/>
  <c r="AO25" i="4" s="1"/>
  <c r="AN26" i="4"/>
  <c r="AO26" i="4" s="1"/>
  <c r="AN27" i="4"/>
  <c r="AO27" i="4" s="1"/>
  <c r="AN28" i="4"/>
  <c r="AO28" i="4" s="1"/>
  <c r="AN29" i="4"/>
  <c r="AO29" i="4" s="1"/>
  <c r="AN31" i="4"/>
  <c r="AO31" i="4" s="1"/>
  <c r="AN32" i="4"/>
  <c r="AO32" i="4" s="1"/>
  <c r="AN33" i="4"/>
  <c r="AO33" i="4" s="1"/>
  <c r="AN524" i="4"/>
  <c r="AO524" i="4" s="1"/>
  <c r="AN472" i="4"/>
  <c r="AO472" i="4" s="1"/>
  <c r="AN246" i="4"/>
  <c r="AO246" i="4" s="1"/>
  <c r="AN245" i="4"/>
  <c r="AO245" i="4" s="1"/>
  <c r="AN244" i="4"/>
  <c r="AO244" i="4" s="1"/>
  <c r="AN122" i="4"/>
  <c r="AO122" i="4" s="1"/>
  <c r="AN607" i="4"/>
  <c r="AO607" i="4" s="1"/>
  <c r="AN138" i="4"/>
  <c r="AO138" i="4" s="1"/>
  <c r="AN313" i="4"/>
  <c r="AO313" i="4" s="1"/>
  <c r="AN494" i="4"/>
  <c r="AO494" i="4" s="1"/>
  <c r="E10" i="4"/>
  <c r="F10" i="4"/>
  <c r="G10" i="4"/>
  <c r="C11" i="4"/>
  <c r="A11" i="4" s="1"/>
  <c r="D11" i="4"/>
  <c r="E11" i="4"/>
  <c r="F11" i="4"/>
  <c r="G11" i="4"/>
  <c r="C12" i="4"/>
  <c r="A12" i="4" s="1"/>
  <c r="D12" i="4"/>
  <c r="E12" i="4"/>
  <c r="F12" i="4"/>
  <c r="G12" i="4"/>
  <c r="C13" i="4"/>
  <c r="A13" i="4" s="1"/>
  <c r="D13" i="4"/>
  <c r="E13" i="4"/>
  <c r="F13" i="4"/>
  <c r="G13" i="4"/>
  <c r="C14" i="4"/>
  <c r="A14" i="4" s="1"/>
  <c r="D14" i="4"/>
  <c r="E14" i="4"/>
  <c r="F14" i="4"/>
  <c r="G14" i="4"/>
  <c r="C15" i="4"/>
  <c r="A15" i="4" s="1"/>
  <c r="D15" i="4"/>
  <c r="E15" i="4"/>
  <c r="F15" i="4"/>
  <c r="G15" i="4"/>
  <c r="C16" i="4"/>
  <c r="A16" i="4" s="1"/>
  <c r="D16" i="4"/>
  <c r="E16" i="4"/>
  <c r="F16" i="4"/>
  <c r="G16" i="4"/>
  <c r="C17" i="4"/>
  <c r="A17" i="4" s="1"/>
  <c r="D17" i="4"/>
  <c r="E17" i="4"/>
  <c r="F17" i="4"/>
  <c r="G17" i="4"/>
  <c r="C18" i="4"/>
  <c r="A18" i="4" s="1"/>
  <c r="D18" i="4"/>
  <c r="E18" i="4"/>
  <c r="F18" i="4"/>
  <c r="G18" i="4"/>
  <c r="C19" i="4"/>
  <c r="A19" i="4" s="1"/>
  <c r="D19" i="4"/>
  <c r="E19" i="4"/>
  <c r="F19" i="4"/>
  <c r="G19" i="4"/>
  <c r="C20" i="4"/>
  <c r="A20" i="4" s="1"/>
  <c r="D20" i="4"/>
  <c r="E20" i="4"/>
  <c r="F20" i="4"/>
  <c r="G20" i="4"/>
  <c r="C7" i="4"/>
  <c r="A7" i="4" s="1"/>
  <c r="C21" i="4"/>
  <c r="A21" i="4" s="1"/>
  <c r="D21" i="4"/>
  <c r="E21" i="4"/>
  <c r="F21" i="4"/>
  <c r="G21" i="4"/>
  <c r="D7" i="4"/>
  <c r="C22" i="4"/>
  <c r="A22" i="4" s="1"/>
  <c r="D22" i="4"/>
  <c r="E22" i="4"/>
  <c r="F22" i="4"/>
  <c r="G22" i="4"/>
  <c r="E7" i="4"/>
  <c r="C23" i="4"/>
  <c r="A23" i="4" s="1"/>
  <c r="D23" i="4"/>
  <c r="E23" i="4"/>
  <c r="F23" i="4"/>
  <c r="G23" i="4"/>
  <c r="F7" i="4"/>
  <c r="C24" i="4"/>
  <c r="A24" i="4" s="1"/>
  <c r="D24" i="4"/>
  <c r="E24" i="4"/>
  <c r="F24" i="4"/>
  <c r="G24" i="4"/>
  <c r="G7" i="4"/>
  <c r="C25" i="4"/>
  <c r="A25" i="4" s="1"/>
  <c r="D25" i="4"/>
  <c r="E25" i="4"/>
  <c r="F25" i="4"/>
  <c r="G25" i="4"/>
  <c r="C8" i="4"/>
  <c r="A8" i="4" s="1"/>
  <c r="C26" i="4"/>
  <c r="A26" i="4" s="1"/>
  <c r="D26" i="4"/>
  <c r="E26" i="4"/>
  <c r="F26" i="4"/>
  <c r="G26" i="4"/>
  <c r="D8" i="4"/>
  <c r="C27" i="4"/>
  <c r="A27" i="4" s="1"/>
  <c r="D27" i="4"/>
  <c r="E27" i="4"/>
  <c r="F27" i="4"/>
  <c r="E8" i="4"/>
  <c r="F8" i="4"/>
  <c r="C28" i="4"/>
  <c r="A28" i="4" s="1"/>
  <c r="D28" i="4"/>
  <c r="E28" i="4"/>
  <c r="F28" i="4"/>
  <c r="G28" i="4"/>
  <c r="G8" i="4"/>
  <c r="C29" i="4"/>
  <c r="A29" i="4" s="1"/>
  <c r="D29" i="4"/>
  <c r="E29" i="4"/>
  <c r="F29" i="4"/>
  <c r="G29" i="4"/>
  <c r="C9" i="4"/>
  <c r="A9" i="4" s="1"/>
  <c r="D9" i="4"/>
  <c r="G27" i="4"/>
  <c r="D31" i="4"/>
  <c r="E31" i="4"/>
  <c r="F31" i="4"/>
  <c r="G31" i="4"/>
  <c r="E9" i="4"/>
  <c r="C32" i="4"/>
  <c r="A32" i="4" s="1"/>
  <c r="D32" i="4"/>
  <c r="E32" i="4"/>
  <c r="F32" i="4"/>
  <c r="G32" i="4"/>
  <c r="F9" i="4"/>
  <c r="C33" i="4"/>
  <c r="A33" i="4" s="1"/>
  <c r="D33" i="4"/>
  <c r="E33" i="4"/>
  <c r="F33" i="4"/>
  <c r="G33" i="4"/>
  <c r="G9" i="4"/>
  <c r="C10" i="4"/>
  <c r="A10" i="4" s="1"/>
  <c r="D10" i="4"/>
  <c r="C31" i="4"/>
  <c r="A31" i="4" s="1"/>
  <c r="AN596" i="4"/>
  <c r="AO596" i="4" s="1"/>
  <c r="AN330" i="4"/>
  <c r="AO330" i="4" s="1"/>
  <c r="AN508" i="4"/>
  <c r="AO508" i="4" s="1"/>
  <c r="AN264" i="4"/>
  <c r="AO264" i="4" s="1"/>
  <c r="AN266" i="4"/>
  <c r="AO266" i="4" s="1"/>
  <c r="AN567" i="4"/>
  <c r="AO567" i="4" s="1"/>
  <c r="AN262" i="4"/>
  <c r="AO262" i="4" s="1"/>
  <c r="AN265" i="4"/>
  <c r="AO265" i="4" s="1"/>
  <c r="AN263" i="4"/>
  <c r="AO263" i="4" s="1"/>
  <c r="AN261" i="4"/>
  <c r="AO261" i="4" s="1"/>
  <c r="AN260" i="4"/>
  <c r="AO260" i="4" s="1"/>
  <c r="R232" i="1" s="1"/>
  <c r="AN363" i="4"/>
  <c r="AO363" i="4" s="1"/>
  <c r="AN474" i="4"/>
  <c r="AO474" i="4" s="1"/>
  <c r="R473" i="1" s="1"/>
  <c r="AN248" i="4"/>
  <c r="AO248" i="4" s="1"/>
  <c r="AN247" i="4"/>
  <c r="AO247" i="4" s="1"/>
  <c r="AR547" i="3"/>
  <c r="AS547" i="3" s="1"/>
  <c r="AR520" i="3"/>
  <c r="AS520" i="3" s="1"/>
  <c r="AR545" i="3"/>
  <c r="AS545" i="3" s="1"/>
  <c r="AR106" i="3"/>
  <c r="AS106" i="3" s="1"/>
  <c r="AR155" i="3"/>
  <c r="AS155" i="3" s="1"/>
  <c r="Q154" i="1" s="1"/>
  <c r="AR154" i="3"/>
  <c r="AS154" i="3" s="1"/>
  <c r="AR153" i="3"/>
  <c r="AS153" i="3" s="1"/>
  <c r="AR209" i="3"/>
  <c r="AS209" i="3" s="1"/>
  <c r="AR205" i="3"/>
  <c r="AS205" i="3" s="1"/>
  <c r="AR105" i="3"/>
  <c r="AS105" i="3" s="1"/>
  <c r="AR104" i="3"/>
  <c r="AS104" i="3" s="1"/>
  <c r="AR103" i="3"/>
  <c r="AS103" i="3" s="1"/>
  <c r="AR102" i="3"/>
  <c r="AS102" i="3" s="1"/>
  <c r="AR101" i="3"/>
  <c r="AS101" i="3" s="1"/>
  <c r="AR100" i="3"/>
  <c r="AS100" i="3" s="1"/>
  <c r="AR238" i="3"/>
  <c r="AS238" i="3" s="1"/>
  <c r="AR281" i="3"/>
  <c r="AS281" i="3" s="1"/>
  <c r="AR372" i="3"/>
  <c r="AS372" i="3" s="1"/>
  <c r="AR596" i="3"/>
  <c r="AS596" i="3" s="1"/>
  <c r="AR223" i="3"/>
  <c r="AS223" i="3" s="1"/>
  <c r="AR317" i="3"/>
  <c r="AS317" i="3" s="1"/>
  <c r="AR166" i="3"/>
  <c r="AS166" i="3" s="1"/>
  <c r="Q165" i="1" s="1"/>
  <c r="AR264" i="3"/>
  <c r="AS264" i="3" s="1"/>
  <c r="Q263" i="1" s="1"/>
  <c r="AR157" i="3"/>
  <c r="AS157" i="3" s="1"/>
  <c r="Q156" i="1" s="1"/>
  <c r="AR156" i="3"/>
  <c r="AS156" i="3" s="1"/>
  <c r="Q155" i="1" s="1"/>
  <c r="AR364" i="3"/>
  <c r="AS364" i="3" s="1"/>
  <c r="AR462" i="3"/>
  <c r="AS462" i="3" s="1"/>
  <c r="Q461" i="1" s="1"/>
  <c r="AR182" i="3"/>
  <c r="AS182" i="3" s="1"/>
  <c r="Q181" i="1" s="1"/>
  <c r="AR180" i="3"/>
  <c r="AS180" i="3" s="1"/>
  <c r="Q179" i="1" s="1"/>
  <c r="AR179" i="3"/>
  <c r="AS179" i="3" s="1"/>
  <c r="Q178" i="1" s="1"/>
  <c r="AR178" i="3"/>
  <c r="AS178" i="3" s="1"/>
  <c r="Q177" i="1" s="1"/>
  <c r="AR177" i="3"/>
  <c r="AS177" i="3" s="1"/>
  <c r="Q176" i="1" s="1"/>
  <c r="AR174" i="3"/>
  <c r="AS174" i="3" s="1"/>
  <c r="Q173" i="1" s="1"/>
  <c r="AR171" i="3"/>
  <c r="AS171" i="3" s="1"/>
  <c r="Q170" i="1" s="1"/>
  <c r="G575" i="3"/>
  <c r="F575" i="3"/>
  <c r="E575" i="3"/>
  <c r="D575" i="3"/>
  <c r="C575" i="3"/>
  <c r="A575" i="3" s="1"/>
  <c r="G574" i="3"/>
  <c r="F574" i="3"/>
  <c r="E574" i="3"/>
  <c r="D574" i="3"/>
  <c r="C574" i="3"/>
  <c r="A574" i="3" s="1"/>
  <c r="G573" i="3"/>
  <c r="F573" i="3"/>
  <c r="E573" i="3"/>
  <c r="D573" i="3"/>
  <c r="C573" i="3"/>
  <c r="A573" i="3" s="1"/>
  <c r="G572" i="3"/>
  <c r="F572" i="3"/>
  <c r="E572" i="3"/>
  <c r="D572" i="3"/>
  <c r="C572" i="3"/>
  <c r="A572" i="3" s="1"/>
  <c r="G571" i="3"/>
  <c r="F571" i="3"/>
  <c r="E571" i="3"/>
  <c r="D571" i="3"/>
  <c r="C571" i="3"/>
  <c r="A571" i="3" s="1"/>
  <c r="G570" i="3"/>
  <c r="F570" i="3"/>
  <c r="E570" i="3"/>
  <c r="D570" i="3"/>
  <c r="C570" i="3"/>
  <c r="A570" i="3" s="1"/>
  <c r="G569" i="3"/>
  <c r="F569" i="3"/>
  <c r="E569" i="3"/>
  <c r="D569" i="3"/>
  <c r="C569" i="3"/>
  <c r="A569" i="3" s="1"/>
  <c r="G568" i="3"/>
  <c r="F568" i="3"/>
  <c r="E568" i="3"/>
  <c r="D568" i="3"/>
  <c r="C568" i="3"/>
  <c r="A568" i="3" s="1"/>
  <c r="G567" i="3"/>
  <c r="F567" i="3"/>
  <c r="E567" i="3"/>
  <c r="D567" i="3"/>
  <c r="C567" i="3"/>
  <c r="A567" i="3" s="1"/>
  <c r="G566" i="3"/>
  <c r="F566" i="3"/>
  <c r="E566" i="3"/>
  <c r="D566" i="3"/>
  <c r="C566" i="3"/>
  <c r="A566" i="3" s="1"/>
  <c r="G565" i="3"/>
  <c r="F565" i="3"/>
  <c r="E565" i="3"/>
  <c r="D565" i="3"/>
  <c r="C565" i="3"/>
  <c r="A565" i="3" s="1"/>
  <c r="G564" i="3"/>
  <c r="F564" i="3"/>
  <c r="E564" i="3"/>
  <c r="D564" i="3"/>
  <c r="C564" i="3"/>
  <c r="A564" i="3" s="1"/>
  <c r="G563" i="3"/>
  <c r="F563" i="3"/>
  <c r="E563" i="3"/>
  <c r="D563" i="3"/>
  <c r="C563" i="3"/>
  <c r="A563" i="3" s="1"/>
  <c r="G562" i="3"/>
  <c r="F562" i="3"/>
  <c r="E562" i="3"/>
  <c r="D562" i="3"/>
  <c r="C562" i="3"/>
  <c r="A562" i="3" s="1"/>
  <c r="G561" i="3"/>
  <c r="F561" i="3"/>
  <c r="E561" i="3"/>
  <c r="D561" i="3"/>
  <c r="C561" i="3"/>
  <c r="A561" i="3" s="1"/>
  <c r="G560" i="3"/>
  <c r="F560" i="3"/>
  <c r="E560" i="3"/>
  <c r="D560" i="3"/>
  <c r="C560" i="3"/>
  <c r="A560" i="3" s="1"/>
  <c r="G559" i="3"/>
  <c r="F559" i="3"/>
  <c r="E559" i="3"/>
  <c r="D559" i="3"/>
  <c r="C559" i="3"/>
  <c r="A559" i="3" s="1"/>
  <c r="G558" i="3"/>
  <c r="F558" i="3"/>
  <c r="E558" i="3"/>
  <c r="D558" i="3"/>
  <c r="C558" i="3"/>
  <c r="A558" i="3" s="1"/>
  <c r="G557" i="3"/>
  <c r="F557" i="3"/>
  <c r="E557" i="3"/>
  <c r="D557" i="3"/>
  <c r="C557" i="3"/>
  <c r="A557" i="3" s="1"/>
  <c r="G556" i="3"/>
  <c r="F556" i="3"/>
  <c r="E556" i="3"/>
  <c r="D556" i="3"/>
  <c r="C556" i="3"/>
  <c r="A556" i="3" s="1"/>
  <c r="G555" i="3"/>
  <c r="F555" i="3"/>
  <c r="E555" i="3"/>
  <c r="D555" i="3"/>
  <c r="C555" i="3"/>
  <c r="A555" i="3" s="1"/>
  <c r="G554" i="3"/>
  <c r="F554" i="3"/>
  <c r="E554" i="3"/>
  <c r="D554" i="3"/>
  <c r="C554" i="3"/>
  <c r="A554" i="3" s="1"/>
  <c r="G553" i="3"/>
  <c r="F553" i="3"/>
  <c r="E553" i="3"/>
  <c r="D553" i="3"/>
  <c r="C553" i="3"/>
  <c r="A553" i="3" s="1"/>
  <c r="G552" i="3"/>
  <c r="F552" i="3"/>
  <c r="E552" i="3"/>
  <c r="D552" i="3"/>
  <c r="C552" i="3"/>
  <c r="A552" i="3" s="1"/>
  <c r="G551" i="3"/>
  <c r="F551" i="3"/>
  <c r="E551" i="3"/>
  <c r="D551" i="3"/>
  <c r="C551" i="3"/>
  <c r="A551" i="3" s="1"/>
  <c r="G550" i="3"/>
  <c r="F550" i="3"/>
  <c r="E550" i="3"/>
  <c r="D550" i="3"/>
  <c r="C550" i="3"/>
  <c r="A550" i="3" s="1"/>
  <c r="G549" i="3"/>
  <c r="F549" i="3"/>
  <c r="E549" i="3"/>
  <c r="D549" i="3"/>
  <c r="C549" i="3"/>
  <c r="A549" i="3" s="1"/>
  <c r="G548" i="3"/>
  <c r="F548" i="3"/>
  <c r="E548" i="3"/>
  <c r="D548" i="3"/>
  <c r="C548" i="3"/>
  <c r="A548" i="3" s="1"/>
  <c r="G547" i="3"/>
  <c r="F547" i="3"/>
  <c r="E547" i="3"/>
  <c r="D547" i="3"/>
  <c r="C547" i="3"/>
  <c r="A547" i="3" s="1"/>
  <c r="G546" i="3"/>
  <c r="F546" i="3"/>
  <c r="E546" i="3"/>
  <c r="D546" i="3"/>
  <c r="C546" i="3"/>
  <c r="A546" i="3" s="1"/>
  <c r="G545" i="3"/>
  <c r="F545" i="3"/>
  <c r="E545" i="3"/>
  <c r="D545" i="3"/>
  <c r="C545" i="3"/>
  <c r="A545" i="3" s="1"/>
  <c r="G544" i="3"/>
  <c r="F544" i="3"/>
  <c r="E544" i="3"/>
  <c r="D544" i="3"/>
  <c r="C544" i="3"/>
  <c r="A544" i="3" s="1"/>
  <c r="G543" i="3"/>
  <c r="F543" i="3"/>
  <c r="E543" i="3"/>
  <c r="D543" i="3"/>
  <c r="C543" i="3"/>
  <c r="A543" i="3" s="1"/>
  <c r="G542" i="3"/>
  <c r="F542" i="3"/>
  <c r="E542" i="3"/>
  <c r="D542" i="3"/>
  <c r="C542" i="3"/>
  <c r="A542" i="3" s="1"/>
  <c r="G541" i="3"/>
  <c r="F541" i="3"/>
  <c r="E541" i="3"/>
  <c r="D541" i="3"/>
  <c r="C541" i="3"/>
  <c r="A541" i="3" s="1"/>
  <c r="G540" i="3"/>
  <c r="F540" i="3"/>
  <c r="E540" i="3"/>
  <c r="D540" i="3"/>
  <c r="C540" i="3"/>
  <c r="A540" i="3" s="1"/>
  <c r="G539" i="3"/>
  <c r="F539" i="3"/>
  <c r="E539" i="3"/>
  <c r="D539" i="3"/>
  <c r="C539" i="3"/>
  <c r="A539" i="3" s="1"/>
  <c r="G538" i="3"/>
  <c r="F538" i="3"/>
  <c r="E538" i="3"/>
  <c r="D538" i="3"/>
  <c r="C538" i="3"/>
  <c r="A538" i="3" s="1"/>
  <c r="G537" i="3"/>
  <c r="F537" i="3"/>
  <c r="E537" i="3"/>
  <c r="D537" i="3"/>
  <c r="C537" i="3"/>
  <c r="A537" i="3" s="1"/>
  <c r="G536" i="3"/>
  <c r="F536" i="3"/>
  <c r="E536" i="3"/>
  <c r="D536" i="3"/>
  <c r="C536" i="3"/>
  <c r="A536" i="3" s="1"/>
  <c r="G535" i="3"/>
  <c r="F535" i="3"/>
  <c r="E535" i="3"/>
  <c r="D535" i="3"/>
  <c r="C535" i="3"/>
  <c r="A535" i="3" s="1"/>
  <c r="G534" i="3"/>
  <c r="F534" i="3"/>
  <c r="E534" i="3"/>
  <c r="D534" i="3"/>
  <c r="C534" i="3"/>
  <c r="A534" i="3" s="1"/>
  <c r="G533" i="3"/>
  <c r="F533" i="3"/>
  <c r="E533" i="3"/>
  <c r="D533" i="3"/>
  <c r="C533" i="3"/>
  <c r="A533" i="3" s="1"/>
  <c r="G532" i="3"/>
  <c r="F532" i="3"/>
  <c r="E532" i="3"/>
  <c r="D532" i="3"/>
  <c r="C532" i="3"/>
  <c r="A532" i="3" s="1"/>
  <c r="G531" i="3"/>
  <c r="F531" i="3"/>
  <c r="E531" i="3"/>
  <c r="D531" i="3"/>
  <c r="C531" i="3"/>
  <c r="A531" i="3" s="1"/>
  <c r="G530" i="3"/>
  <c r="F530" i="3"/>
  <c r="E530" i="3"/>
  <c r="D530" i="3"/>
  <c r="C530" i="3"/>
  <c r="A530" i="3" s="1"/>
  <c r="G529" i="3"/>
  <c r="F529" i="3"/>
  <c r="E529" i="3"/>
  <c r="D529" i="3"/>
  <c r="C529" i="3"/>
  <c r="A529" i="3" s="1"/>
  <c r="G528" i="3"/>
  <c r="F528" i="3"/>
  <c r="E528" i="3"/>
  <c r="D528" i="3"/>
  <c r="C528" i="3"/>
  <c r="A528" i="3" s="1"/>
  <c r="G527" i="3"/>
  <c r="F527" i="3"/>
  <c r="E527" i="3"/>
  <c r="D527" i="3"/>
  <c r="C527" i="3"/>
  <c r="A527" i="3" s="1"/>
  <c r="G526" i="3"/>
  <c r="F526" i="3"/>
  <c r="E526" i="3"/>
  <c r="D526" i="3"/>
  <c r="C526" i="3"/>
  <c r="A526" i="3" s="1"/>
  <c r="G525" i="3"/>
  <c r="F525" i="3"/>
  <c r="E525" i="3"/>
  <c r="D525" i="3"/>
  <c r="C525" i="3"/>
  <c r="A525" i="3" s="1"/>
  <c r="G524" i="3"/>
  <c r="F524" i="3"/>
  <c r="E524" i="3"/>
  <c r="D524" i="3"/>
  <c r="C524" i="3"/>
  <c r="A524" i="3" s="1"/>
  <c r="G523" i="3"/>
  <c r="F523" i="3"/>
  <c r="E523" i="3"/>
  <c r="D523" i="3"/>
  <c r="C523" i="3"/>
  <c r="A523" i="3" s="1"/>
  <c r="G522" i="3"/>
  <c r="F522" i="3"/>
  <c r="E522" i="3"/>
  <c r="D522" i="3"/>
  <c r="C522" i="3"/>
  <c r="A522" i="3" s="1"/>
  <c r="G521" i="3"/>
  <c r="F521" i="3"/>
  <c r="E521" i="3"/>
  <c r="D521" i="3"/>
  <c r="C521" i="3"/>
  <c r="A521" i="3" s="1"/>
  <c r="G520" i="3"/>
  <c r="F520" i="3"/>
  <c r="E520" i="3"/>
  <c r="D520" i="3"/>
  <c r="C520" i="3"/>
  <c r="A520" i="3" s="1"/>
  <c r="G519" i="3"/>
  <c r="F519" i="3"/>
  <c r="E519" i="3"/>
  <c r="D519" i="3"/>
  <c r="C519" i="3"/>
  <c r="A519" i="3" s="1"/>
  <c r="G518" i="3"/>
  <c r="F518" i="3"/>
  <c r="E518" i="3"/>
  <c r="D518" i="3"/>
  <c r="C518" i="3"/>
  <c r="A518" i="3" s="1"/>
  <c r="G517" i="3"/>
  <c r="F517" i="3"/>
  <c r="E517" i="3"/>
  <c r="D517" i="3"/>
  <c r="C517" i="3"/>
  <c r="A517" i="3" s="1"/>
  <c r="G516" i="3"/>
  <c r="F516" i="3"/>
  <c r="E516" i="3"/>
  <c r="D516" i="3"/>
  <c r="C516" i="3"/>
  <c r="A516" i="3" s="1"/>
  <c r="G515" i="3"/>
  <c r="F515" i="3"/>
  <c r="E515" i="3"/>
  <c r="D515" i="3"/>
  <c r="C515" i="3"/>
  <c r="A515" i="3" s="1"/>
  <c r="AR334" i="3"/>
  <c r="AS334" i="3" s="1"/>
  <c r="Q221" i="1" s="1"/>
  <c r="AR221" i="3"/>
  <c r="AS221" i="3" s="1"/>
  <c r="Q220" i="1" s="1"/>
  <c r="AR116" i="3"/>
  <c r="AS116" i="3" s="1"/>
  <c r="Q115" i="1" s="1"/>
  <c r="AR115" i="3"/>
  <c r="AS115" i="3" s="1"/>
  <c r="Q574" i="1" s="1"/>
  <c r="AR114" i="3"/>
  <c r="AS114" i="3" s="1"/>
  <c r="AR113" i="3"/>
  <c r="AS113" i="3" s="1"/>
  <c r="AR112" i="3"/>
  <c r="AS112" i="3" s="1"/>
  <c r="Q111" i="1" s="1"/>
  <c r="AR111" i="3"/>
  <c r="AS111" i="3" s="1"/>
  <c r="Q110" i="1" s="1"/>
  <c r="AR398" i="3"/>
  <c r="AS398" i="3" s="1"/>
  <c r="AR385" i="3"/>
  <c r="AS385" i="3" s="1"/>
  <c r="AR378" i="3"/>
  <c r="AS378" i="3" s="1"/>
  <c r="Q272" i="1" s="1"/>
  <c r="AR377" i="3"/>
  <c r="AS377" i="3" s="1"/>
  <c r="Q271" i="1" s="1"/>
  <c r="AR460" i="3"/>
  <c r="AS460" i="3" s="1"/>
  <c r="AR499" i="3"/>
  <c r="AS499" i="3" s="1"/>
  <c r="G636" i="3"/>
  <c r="F636" i="3"/>
  <c r="E636" i="3"/>
  <c r="D636" i="3"/>
  <c r="C636" i="3"/>
  <c r="A636" i="3" s="1"/>
  <c r="G635" i="3"/>
  <c r="F635" i="3"/>
  <c r="E635" i="3"/>
  <c r="D635" i="3"/>
  <c r="C635" i="3"/>
  <c r="A635" i="3" s="1"/>
  <c r="G634" i="3"/>
  <c r="F634" i="3"/>
  <c r="E634" i="3"/>
  <c r="D634" i="3"/>
  <c r="C634" i="3"/>
  <c r="A634" i="3" s="1"/>
  <c r="G633" i="3"/>
  <c r="F633" i="3"/>
  <c r="E633" i="3"/>
  <c r="D633" i="3"/>
  <c r="C633" i="3"/>
  <c r="A633" i="3" s="1"/>
  <c r="G632" i="3"/>
  <c r="F632" i="3"/>
  <c r="E632" i="3"/>
  <c r="D632" i="3"/>
  <c r="C632" i="3"/>
  <c r="A632" i="3" s="1"/>
  <c r="G631" i="3"/>
  <c r="F631" i="3"/>
  <c r="E631" i="3"/>
  <c r="D631" i="3"/>
  <c r="C631" i="3"/>
  <c r="A631" i="3" s="1"/>
  <c r="G630" i="3"/>
  <c r="F630" i="3"/>
  <c r="E630" i="3"/>
  <c r="D630" i="3"/>
  <c r="C630" i="3"/>
  <c r="A630" i="3" s="1"/>
  <c r="G629" i="3"/>
  <c r="F629" i="3"/>
  <c r="E629" i="3"/>
  <c r="D629" i="3"/>
  <c r="C629" i="3"/>
  <c r="A629" i="3" s="1"/>
  <c r="G628" i="3"/>
  <c r="F628" i="3"/>
  <c r="E628" i="3"/>
  <c r="D628" i="3"/>
  <c r="C628" i="3"/>
  <c r="A628" i="3" s="1"/>
  <c r="G627" i="3"/>
  <c r="F627" i="3"/>
  <c r="E627" i="3"/>
  <c r="D627" i="3"/>
  <c r="C627" i="3"/>
  <c r="A627" i="3" s="1"/>
  <c r="G626" i="3"/>
  <c r="F626" i="3"/>
  <c r="E626" i="3"/>
  <c r="D626" i="3"/>
  <c r="C626" i="3"/>
  <c r="A626" i="3" s="1"/>
  <c r="G625" i="3"/>
  <c r="F625" i="3"/>
  <c r="E625" i="3"/>
  <c r="D625" i="3"/>
  <c r="C625" i="3"/>
  <c r="A625" i="3" s="1"/>
  <c r="G624" i="3"/>
  <c r="F624" i="3"/>
  <c r="E624" i="3"/>
  <c r="D624" i="3"/>
  <c r="C624" i="3"/>
  <c r="A624" i="3" s="1"/>
  <c r="G623" i="3"/>
  <c r="F623" i="3"/>
  <c r="E623" i="3"/>
  <c r="D623" i="3"/>
  <c r="C623" i="3"/>
  <c r="A623" i="3" s="1"/>
  <c r="G622" i="3"/>
  <c r="F622" i="3"/>
  <c r="E622" i="3"/>
  <c r="D622" i="3"/>
  <c r="C622" i="3"/>
  <c r="A622" i="3" s="1"/>
  <c r="G621" i="3"/>
  <c r="F621" i="3"/>
  <c r="E621" i="3"/>
  <c r="D621" i="3"/>
  <c r="C621" i="3"/>
  <c r="A621" i="3" s="1"/>
  <c r="G620" i="3"/>
  <c r="F620" i="3"/>
  <c r="E620" i="3"/>
  <c r="D620" i="3"/>
  <c r="C620" i="3"/>
  <c r="A620" i="3" s="1"/>
  <c r="G619" i="3"/>
  <c r="F619" i="3"/>
  <c r="E619" i="3"/>
  <c r="D619" i="3"/>
  <c r="C619" i="3"/>
  <c r="A619" i="3" s="1"/>
  <c r="G618" i="3"/>
  <c r="F618" i="3"/>
  <c r="E618" i="3"/>
  <c r="D618" i="3"/>
  <c r="C618" i="3"/>
  <c r="A618" i="3" s="1"/>
  <c r="G617" i="3"/>
  <c r="F617" i="3"/>
  <c r="E617" i="3"/>
  <c r="D617" i="3"/>
  <c r="C617" i="3"/>
  <c r="A617" i="3" s="1"/>
  <c r="G616" i="3"/>
  <c r="F616" i="3"/>
  <c r="E616" i="3"/>
  <c r="D616" i="3"/>
  <c r="C616" i="3"/>
  <c r="A616" i="3" s="1"/>
  <c r="G615" i="3"/>
  <c r="F615" i="3"/>
  <c r="E615" i="3"/>
  <c r="D615" i="3"/>
  <c r="C615" i="3"/>
  <c r="A615" i="3" s="1"/>
  <c r="G614" i="3"/>
  <c r="F614" i="3"/>
  <c r="E614" i="3"/>
  <c r="D614" i="3"/>
  <c r="C614" i="3"/>
  <c r="A614" i="3" s="1"/>
  <c r="G613" i="3"/>
  <c r="F613" i="3"/>
  <c r="E613" i="3"/>
  <c r="D613" i="3"/>
  <c r="C613" i="3"/>
  <c r="A613" i="3" s="1"/>
  <c r="G612" i="3"/>
  <c r="F612" i="3"/>
  <c r="E612" i="3"/>
  <c r="D612" i="3"/>
  <c r="C612" i="3"/>
  <c r="A612" i="3" s="1"/>
  <c r="G611" i="3"/>
  <c r="F611" i="3"/>
  <c r="E611" i="3"/>
  <c r="D611" i="3"/>
  <c r="C611" i="3"/>
  <c r="A611" i="3" s="1"/>
  <c r="G610" i="3"/>
  <c r="F610" i="3"/>
  <c r="E610" i="3"/>
  <c r="D610" i="3"/>
  <c r="C610" i="3"/>
  <c r="A610" i="3" s="1"/>
  <c r="G609" i="3"/>
  <c r="F609" i="3"/>
  <c r="E609" i="3"/>
  <c r="D609" i="3"/>
  <c r="C609" i="3"/>
  <c r="A609" i="3" s="1"/>
  <c r="G608" i="3"/>
  <c r="F608" i="3"/>
  <c r="E608" i="3"/>
  <c r="D608" i="3"/>
  <c r="C608" i="3"/>
  <c r="A608" i="3" s="1"/>
  <c r="G607" i="3"/>
  <c r="F607" i="3"/>
  <c r="E607" i="3"/>
  <c r="D607" i="3"/>
  <c r="C607" i="3"/>
  <c r="A607" i="3" s="1"/>
  <c r="G606" i="3"/>
  <c r="F606" i="3"/>
  <c r="E606" i="3"/>
  <c r="D606" i="3"/>
  <c r="C606" i="3"/>
  <c r="A606" i="3" s="1"/>
  <c r="G605" i="3"/>
  <c r="F605" i="3"/>
  <c r="E605" i="3"/>
  <c r="D605" i="3"/>
  <c r="C605" i="3"/>
  <c r="A605" i="3" s="1"/>
  <c r="G604" i="3"/>
  <c r="F604" i="3"/>
  <c r="E604" i="3"/>
  <c r="D604" i="3"/>
  <c r="C604" i="3"/>
  <c r="A604" i="3" s="1"/>
  <c r="G603" i="3"/>
  <c r="F603" i="3"/>
  <c r="E603" i="3"/>
  <c r="D603" i="3"/>
  <c r="C603" i="3"/>
  <c r="A603" i="3" s="1"/>
  <c r="G602" i="3"/>
  <c r="F602" i="3"/>
  <c r="E602" i="3"/>
  <c r="D602" i="3"/>
  <c r="C602" i="3"/>
  <c r="A602" i="3" s="1"/>
  <c r="G601" i="3"/>
  <c r="F601" i="3"/>
  <c r="E601" i="3"/>
  <c r="D601" i="3"/>
  <c r="G600" i="3"/>
  <c r="F600" i="3"/>
  <c r="E600" i="3"/>
  <c r="D600" i="3"/>
  <c r="G599" i="3"/>
  <c r="F599" i="3"/>
  <c r="E599" i="3"/>
  <c r="D599" i="3"/>
  <c r="G598" i="3"/>
  <c r="F598" i="3"/>
  <c r="E598" i="3"/>
  <c r="D598" i="3"/>
  <c r="G597" i="3"/>
  <c r="F597" i="3"/>
  <c r="E597" i="3"/>
  <c r="D597" i="3"/>
  <c r="G596" i="3"/>
  <c r="F596" i="3"/>
  <c r="E596" i="3"/>
  <c r="D596" i="3"/>
  <c r="G595" i="3"/>
  <c r="F595" i="3"/>
  <c r="E595" i="3"/>
  <c r="D595" i="3"/>
  <c r="G594" i="3"/>
  <c r="F594" i="3"/>
  <c r="E594" i="3"/>
  <c r="D594" i="3"/>
  <c r="G593" i="3"/>
  <c r="F593" i="3"/>
  <c r="E593" i="3"/>
  <c r="D593" i="3"/>
  <c r="C593" i="3"/>
  <c r="A593" i="3" s="1"/>
  <c r="G592" i="3"/>
  <c r="F592" i="3"/>
  <c r="E592" i="3"/>
  <c r="D592" i="3"/>
  <c r="C592" i="3"/>
  <c r="A592" i="3" s="1"/>
  <c r="G591" i="3"/>
  <c r="F591" i="3"/>
  <c r="E591" i="3"/>
  <c r="D591" i="3"/>
  <c r="C591" i="3"/>
  <c r="A591" i="3" s="1"/>
  <c r="G590" i="3"/>
  <c r="F590" i="3"/>
  <c r="E590" i="3"/>
  <c r="D590" i="3"/>
  <c r="C590" i="3"/>
  <c r="A590" i="3" s="1"/>
  <c r="G589" i="3"/>
  <c r="F589" i="3"/>
  <c r="E589" i="3"/>
  <c r="D589" i="3"/>
  <c r="C589" i="3"/>
  <c r="A589" i="3" s="1"/>
  <c r="G588" i="3"/>
  <c r="F588" i="3"/>
  <c r="E588" i="3"/>
  <c r="D588" i="3"/>
  <c r="C588" i="3"/>
  <c r="A588" i="3" s="1"/>
  <c r="G587" i="3"/>
  <c r="F587" i="3"/>
  <c r="E587" i="3"/>
  <c r="D587" i="3"/>
  <c r="C587" i="3"/>
  <c r="A587" i="3" s="1"/>
  <c r="G586" i="3"/>
  <c r="F586" i="3"/>
  <c r="E586" i="3"/>
  <c r="D586" i="3"/>
  <c r="C586" i="3"/>
  <c r="A586" i="3" s="1"/>
  <c r="G585" i="3"/>
  <c r="F585" i="3"/>
  <c r="E585" i="3"/>
  <c r="D585" i="3"/>
  <c r="C585" i="3"/>
  <c r="A585" i="3" s="1"/>
  <c r="G584" i="3"/>
  <c r="F584" i="3"/>
  <c r="E584" i="3"/>
  <c r="D584" i="3"/>
  <c r="C584" i="3"/>
  <c r="A584" i="3" s="1"/>
  <c r="G583" i="3"/>
  <c r="F583" i="3"/>
  <c r="E583" i="3"/>
  <c r="D583" i="3"/>
  <c r="C583" i="3"/>
  <c r="A583" i="3" s="1"/>
  <c r="G582" i="3"/>
  <c r="F582" i="3"/>
  <c r="E582" i="3"/>
  <c r="D582" i="3"/>
  <c r="C582" i="3"/>
  <c r="A582" i="3" s="1"/>
  <c r="G581" i="3"/>
  <c r="F581" i="3"/>
  <c r="E581" i="3"/>
  <c r="D581" i="3"/>
  <c r="C581" i="3"/>
  <c r="A581" i="3" s="1"/>
  <c r="G580" i="3"/>
  <c r="F580" i="3"/>
  <c r="E580" i="3"/>
  <c r="D580" i="3"/>
  <c r="C580" i="3"/>
  <c r="A580" i="3" s="1"/>
  <c r="G579" i="3"/>
  <c r="F579" i="3"/>
  <c r="E579" i="3"/>
  <c r="D579" i="3"/>
  <c r="C579" i="3"/>
  <c r="A579" i="3" s="1"/>
  <c r="G578" i="3"/>
  <c r="F578" i="3"/>
  <c r="E578" i="3"/>
  <c r="D578" i="3"/>
  <c r="C578" i="3"/>
  <c r="A578" i="3" s="1"/>
  <c r="G577" i="3"/>
  <c r="F577" i="3"/>
  <c r="E577" i="3"/>
  <c r="D577" i="3"/>
  <c r="C577" i="3"/>
  <c r="A577" i="3" s="1"/>
  <c r="G576" i="3"/>
  <c r="F576" i="3"/>
  <c r="E576" i="3"/>
  <c r="D576" i="3"/>
  <c r="C576" i="3"/>
  <c r="A576" i="3" s="1"/>
  <c r="AN477" i="4"/>
  <c r="AO477" i="4" s="1"/>
  <c r="R476" i="1" s="1"/>
  <c r="AN125" i="4"/>
  <c r="AO125" i="4" s="1"/>
  <c r="R97" i="1" s="1"/>
  <c r="AN399" i="4"/>
  <c r="AO399" i="4" s="1"/>
  <c r="R398" i="1" s="1"/>
  <c r="AN512" i="4"/>
  <c r="AO512" i="4" s="1"/>
  <c r="G565" i="4"/>
  <c r="F565" i="4"/>
  <c r="E565" i="4"/>
  <c r="D565" i="4"/>
  <c r="C565" i="4"/>
  <c r="A565" i="4" s="1"/>
  <c r="G564" i="4"/>
  <c r="F564" i="4"/>
  <c r="E564" i="4"/>
  <c r="D564" i="4"/>
  <c r="C564" i="4"/>
  <c r="A564" i="4" s="1"/>
  <c r="G563" i="4"/>
  <c r="F563" i="4"/>
  <c r="E563" i="4"/>
  <c r="D563" i="4"/>
  <c r="C563" i="4"/>
  <c r="A563" i="4" s="1"/>
  <c r="G562" i="4"/>
  <c r="F562" i="4"/>
  <c r="E562" i="4"/>
  <c r="D562" i="4"/>
  <c r="C562" i="4"/>
  <c r="A562" i="4" s="1"/>
  <c r="G561" i="4"/>
  <c r="F561" i="4"/>
  <c r="E561" i="4"/>
  <c r="D561" i="4"/>
  <c r="C561" i="4"/>
  <c r="A561" i="4" s="1"/>
  <c r="G560" i="4"/>
  <c r="F560" i="4"/>
  <c r="E560" i="4"/>
  <c r="D560" i="4"/>
  <c r="C560" i="4"/>
  <c r="A560" i="4" s="1"/>
  <c r="G559" i="4"/>
  <c r="F559" i="4"/>
  <c r="E559" i="4"/>
  <c r="D559" i="4"/>
  <c r="C559" i="4"/>
  <c r="A559" i="4" s="1"/>
  <c r="G558" i="4"/>
  <c r="F558" i="4"/>
  <c r="E558" i="4"/>
  <c r="D558" i="4"/>
  <c r="C558" i="4"/>
  <c r="A558" i="4" s="1"/>
  <c r="G557" i="4"/>
  <c r="F557" i="4"/>
  <c r="E557" i="4"/>
  <c r="D557" i="4"/>
  <c r="C557" i="4"/>
  <c r="A557" i="4" s="1"/>
  <c r="G556" i="4"/>
  <c r="F556" i="4"/>
  <c r="E556" i="4"/>
  <c r="D556" i="4"/>
  <c r="C556" i="4"/>
  <c r="A556" i="4" s="1"/>
  <c r="G555" i="4"/>
  <c r="F555" i="4"/>
  <c r="E555" i="4"/>
  <c r="D555" i="4"/>
  <c r="C555" i="4"/>
  <c r="A555" i="4" s="1"/>
  <c r="G554" i="4"/>
  <c r="F554" i="4"/>
  <c r="E554" i="4"/>
  <c r="D554" i="4"/>
  <c r="C554" i="4"/>
  <c r="A554" i="4" s="1"/>
  <c r="G553" i="4"/>
  <c r="F553" i="4"/>
  <c r="E553" i="4"/>
  <c r="D553" i="4"/>
  <c r="C553" i="4"/>
  <c r="A553" i="4" s="1"/>
  <c r="G552" i="4"/>
  <c r="F552" i="4"/>
  <c r="E552" i="4"/>
  <c r="D552" i="4"/>
  <c r="C552" i="4"/>
  <c r="A552" i="4" s="1"/>
  <c r="G551" i="4"/>
  <c r="F551" i="4"/>
  <c r="E551" i="4"/>
  <c r="D551" i="4"/>
  <c r="C551" i="4"/>
  <c r="A551" i="4" s="1"/>
  <c r="G550" i="4"/>
  <c r="F550" i="4"/>
  <c r="E550" i="4"/>
  <c r="D550" i="4"/>
  <c r="C550" i="4"/>
  <c r="A550" i="4" s="1"/>
  <c r="G549" i="4"/>
  <c r="F549" i="4"/>
  <c r="E549" i="4"/>
  <c r="D549" i="4"/>
  <c r="C549" i="4"/>
  <c r="A549" i="4" s="1"/>
  <c r="G548" i="4"/>
  <c r="F548" i="4"/>
  <c r="E548" i="4"/>
  <c r="D548" i="4"/>
  <c r="C548" i="4"/>
  <c r="A548" i="4" s="1"/>
  <c r="G547" i="4"/>
  <c r="F547" i="4"/>
  <c r="E547" i="4"/>
  <c r="D547" i="4"/>
  <c r="C547" i="4"/>
  <c r="A547" i="4" s="1"/>
  <c r="G546" i="4"/>
  <c r="F546" i="4"/>
  <c r="E546" i="4"/>
  <c r="D546" i="4"/>
  <c r="C546" i="4"/>
  <c r="A546" i="4" s="1"/>
  <c r="G545" i="4"/>
  <c r="F545" i="4"/>
  <c r="E545" i="4"/>
  <c r="D545" i="4"/>
  <c r="C545" i="4"/>
  <c r="A545" i="4" s="1"/>
  <c r="G544" i="4"/>
  <c r="F544" i="4"/>
  <c r="E544" i="4"/>
  <c r="D544" i="4"/>
  <c r="C544" i="4"/>
  <c r="A544" i="4" s="1"/>
  <c r="G543" i="4"/>
  <c r="F543" i="4"/>
  <c r="E543" i="4"/>
  <c r="D543" i="4"/>
  <c r="C543" i="4"/>
  <c r="A543" i="4" s="1"/>
  <c r="G542" i="4"/>
  <c r="F542" i="4"/>
  <c r="E542" i="4"/>
  <c r="D542" i="4"/>
  <c r="C542" i="4"/>
  <c r="A542" i="4" s="1"/>
  <c r="G541" i="4"/>
  <c r="F541" i="4"/>
  <c r="E541" i="4"/>
  <c r="D541" i="4"/>
  <c r="C541" i="4"/>
  <c r="A541" i="4" s="1"/>
  <c r="G540" i="4"/>
  <c r="F540" i="4"/>
  <c r="E540" i="4"/>
  <c r="D540" i="4"/>
  <c r="C540" i="4"/>
  <c r="A540" i="4" s="1"/>
  <c r="G539" i="4"/>
  <c r="F539" i="4"/>
  <c r="E539" i="4"/>
  <c r="D539" i="4"/>
  <c r="C539" i="4"/>
  <c r="A539" i="4" s="1"/>
  <c r="G538" i="4"/>
  <c r="F538" i="4"/>
  <c r="E538" i="4"/>
  <c r="D538" i="4"/>
  <c r="C538" i="4"/>
  <c r="A538" i="4" s="1"/>
  <c r="G537" i="4"/>
  <c r="F537" i="4"/>
  <c r="E537" i="4"/>
  <c r="D537" i="4"/>
  <c r="C537" i="4"/>
  <c r="A537" i="4" s="1"/>
  <c r="G536" i="4"/>
  <c r="F536" i="4"/>
  <c r="E536" i="4"/>
  <c r="D536" i="4"/>
  <c r="C536" i="4"/>
  <c r="A536" i="4" s="1"/>
  <c r="G535" i="4"/>
  <c r="F535" i="4"/>
  <c r="E535" i="4"/>
  <c r="D535" i="4"/>
  <c r="C535" i="4"/>
  <c r="A535" i="4" s="1"/>
  <c r="G534" i="4"/>
  <c r="F534" i="4"/>
  <c r="E534" i="4"/>
  <c r="D534" i="4"/>
  <c r="C534" i="4"/>
  <c r="A534" i="4" s="1"/>
  <c r="G533" i="4"/>
  <c r="F533" i="4"/>
  <c r="E533" i="4"/>
  <c r="D533" i="4"/>
  <c r="C533" i="4"/>
  <c r="A533" i="4" s="1"/>
  <c r="G532" i="4"/>
  <c r="F532" i="4"/>
  <c r="E532" i="4"/>
  <c r="D532" i="4"/>
  <c r="C532" i="4"/>
  <c r="A532" i="4" s="1"/>
  <c r="G531" i="4"/>
  <c r="F531" i="4"/>
  <c r="E531" i="4"/>
  <c r="D531" i="4"/>
  <c r="C531" i="4"/>
  <c r="A531" i="4" s="1"/>
  <c r="G530" i="4"/>
  <c r="F530" i="4"/>
  <c r="E530" i="4"/>
  <c r="D530" i="4"/>
  <c r="C530" i="4"/>
  <c r="A530" i="4" s="1"/>
  <c r="G529" i="4"/>
  <c r="F529" i="4"/>
  <c r="E529" i="4"/>
  <c r="D529" i="4"/>
  <c r="C529" i="4"/>
  <c r="A529" i="4" s="1"/>
  <c r="G528" i="4"/>
  <c r="F528" i="4"/>
  <c r="E528" i="4"/>
  <c r="D528" i="4"/>
  <c r="C528" i="4"/>
  <c r="A528" i="4" s="1"/>
  <c r="G527" i="4"/>
  <c r="F527" i="4"/>
  <c r="E527" i="4"/>
  <c r="D527" i="4"/>
  <c r="C527" i="4"/>
  <c r="A527" i="4" s="1"/>
  <c r="G526" i="4"/>
  <c r="F526" i="4"/>
  <c r="E526" i="4"/>
  <c r="D526" i="4"/>
  <c r="C526" i="4"/>
  <c r="A526" i="4" s="1"/>
  <c r="G525" i="4"/>
  <c r="F525" i="4"/>
  <c r="E525" i="4"/>
  <c r="D525" i="4"/>
  <c r="C525" i="4"/>
  <c r="A525" i="4" s="1"/>
  <c r="G524" i="4"/>
  <c r="F524" i="4"/>
  <c r="E524" i="4"/>
  <c r="D524" i="4"/>
  <c r="C524" i="4"/>
  <c r="A524" i="4" s="1"/>
  <c r="G523" i="4"/>
  <c r="F523" i="4"/>
  <c r="E523" i="4"/>
  <c r="D523" i="4"/>
  <c r="C523" i="4"/>
  <c r="A523" i="4" s="1"/>
  <c r="G522" i="4"/>
  <c r="F522" i="4"/>
  <c r="E522" i="4"/>
  <c r="D522" i="4"/>
  <c r="C522" i="4"/>
  <c r="A522" i="4" s="1"/>
  <c r="G521" i="4"/>
  <c r="F521" i="4"/>
  <c r="E521" i="4"/>
  <c r="D521" i="4"/>
  <c r="C521" i="4"/>
  <c r="A521" i="4" s="1"/>
  <c r="G520" i="4"/>
  <c r="F520" i="4"/>
  <c r="E520" i="4"/>
  <c r="D520" i="4"/>
  <c r="C520" i="4"/>
  <c r="A520" i="4" s="1"/>
  <c r="G519" i="4"/>
  <c r="F519" i="4"/>
  <c r="E519" i="4"/>
  <c r="D519" i="4"/>
  <c r="C519" i="4"/>
  <c r="A519" i="4" s="1"/>
  <c r="G518" i="4"/>
  <c r="F518" i="4"/>
  <c r="E518" i="4"/>
  <c r="D518" i="4"/>
  <c r="C518" i="4"/>
  <c r="A518" i="4" s="1"/>
  <c r="G517" i="4"/>
  <c r="F517" i="4"/>
  <c r="E517" i="4"/>
  <c r="D517" i="4"/>
  <c r="C517" i="4"/>
  <c r="A517" i="4" s="1"/>
  <c r="G516" i="4"/>
  <c r="F516" i="4"/>
  <c r="E516" i="4"/>
  <c r="D516" i="4"/>
  <c r="C516" i="4"/>
  <c r="A516" i="4" s="1"/>
  <c r="G515" i="4"/>
  <c r="F515" i="4"/>
  <c r="E515" i="4"/>
  <c r="D515" i="4"/>
  <c r="C515" i="4"/>
  <c r="A515" i="4" s="1"/>
  <c r="AN157" i="4"/>
  <c r="AO157" i="4" s="1"/>
  <c r="R156" i="1" s="1"/>
  <c r="AN156" i="4"/>
  <c r="AO156" i="4" s="1"/>
  <c r="AN155" i="4"/>
  <c r="AO155" i="4" s="1"/>
  <c r="R154" i="1" s="1"/>
  <c r="AN154" i="4"/>
  <c r="AO154" i="4" s="1"/>
  <c r="R153" i="1" s="1"/>
  <c r="AN153" i="4"/>
  <c r="AO153" i="4" s="1"/>
  <c r="AN152" i="4"/>
  <c r="AO152" i="4" s="1"/>
  <c r="R611" i="1" s="1"/>
  <c r="AN151" i="4"/>
  <c r="AO151" i="4" s="1"/>
  <c r="R610" i="1" s="1"/>
  <c r="AN150" i="4"/>
  <c r="AO150" i="4" s="1"/>
  <c r="AN149" i="4"/>
  <c r="AO149" i="4" s="1"/>
  <c r="AN148" i="4"/>
  <c r="AO148" i="4" s="1"/>
  <c r="AN339" i="4"/>
  <c r="AO339" i="4" s="1"/>
  <c r="AN425" i="4"/>
  <c r="AO425" i="4" s="1"/>
  <c r="R423" i="1" s="1"/>
  <c r="AN178" i="4"/>
  <c r="AO178" i="4" s="1"/>
  <c r="AN177" i="4"/>
  <c r="AO177" i="4" s="1"/>
  <c r="AN179" i="4"/>
  <c r="AO179" i="4" s="1"/>
  <c r="R26" i="1" s="1"/>
  <c r="AN108" i="4"/>
  <c r="AO108" i="4" s="1"/>
  <c r="G616" i="4"/>
  <c r="F616" i="4"/>
  <c r="E616" i="4"/>
  <c r="D616" i="4"/>
  <c r="C616" i="4"/>
  <c r="A616" i="4" s="1"/>
  <c r="G615" i="4"/>
  <c r="F615" i="4"/>
  <c r="E615" i="4"/>
  <c r="D615" i="4"/>
  <c r="C615" i="4"/>
  <c r="A615" i="4" s="1"/>
  <c r="G614" i="4"/>
  <c r="F614" i="4"/>
  <c r="E614" i="4"/>
  <c r="D614" i="4"/>
  <c r="C614" i="4"/>
  <c r="A614" i="4" s="1"/>
  <c r="G613" i="4"/>
  <c r="F613" i="4"/>
  <c r="E613" i="4"/>
  <c r="D613" i="4"/>
  <c r="C613" i="4"/>
  <c r="A613" i="4" s="1"/>
  <c r="G612" i="4"/>
  <c r="F612" i="4"/>
  <c r="E612" i="4"/>
  <c r="D612" i="4"/>
  <c r="C612" i="4"/>
  <c r="A612" i="4" s="1"/>
  <c r="G611" i="4"/>
  <c r="F611" i="4"/>
  <c r="E611" i="4"/>
  <c r="D611" i="4"/>
  <c r="C611" i="4"/>
  <c r="A611" i="4" s="1"/>
  <c r="G610" i="4"/>
  <c r="F610" i="4"/>
  <c r="E610" i="4"/>
  <c r="D610" i="4"/>
  <c r="C610" i="4"/>
  <c r="A610" i="4" s="1"/>
  <c r="G609" i="4"/>
  <c r="F609" i="4"/>
  <c r="E609" i="4"/>
  <c r="D609" i="4"/>
  <c r="C609" i="4"/>
  <c r="A609" i="4" s="1"/>
  <c r="G608" i="4"/>
  <c r="F608" i="4"/>
  <c r="E608" i="4"/>
  <c r="D608" i="4"/>
  <c r="C608" i="4"/>
  <c r="A608" i="4" s="1"/>
  <c r="G607" i="4"/>
  <c r="F607" i="4"/>
  <c r="E607" i="4"/>
  <c r="D607" i="4"/>
  <c r="C607" i="4"/>
  <c r="A607" i="4" s="1"/>
  <c r="G606" i="4"/>
  <c r="F606" i="4"/>
  <c r="E606" i="4"/>
  <c r="D606" i="4"/>
  <c r="C606" i="4"/>
  <c r="A606" i="4" s="1"/>
  <c r="G605" i="4"/>
  <c r="F605" i="4"/>
  <c r="E605" i="4"/>
  <c r="D605" i="4"/>
  <c r="C605" i="4"/>
  <c r="A605" i="4" s="1"/>
  <c r="G604" i="4"/>
  <c r="F604" i="4"/>
  <c r="E604" i="4"/>
  <c r="D604" i="4"/>
  <c r="C604" i="4"/>
  <c r="A604" i="4" s="1"/>
  <c r="G603" i="4"/>
  <c r="F603" i="4"/>
  <c r="E603" i="4"/>
  <c r="D603" i="4"/>
  <c r="C603" i="4"/>
  <c r="A603" i="4" s="1"/>
  <c r="G602" i="4"/>
  <c r="F602" i="4"/>
  <c r="E602" i="4"/>
  <c r="D602" i="4"/>
  <c r="C602" i="4"/>
  <c r="A602" i="4" s="1"/>
  <c r="G601" i="4"/>
  <c r="F601" i="4"/>
  <c r="E601" i="4"/>
  <c r="D601" i="4"/>
  <c r="G600" i="4"/>
  <c r="F600" i="4"/>
  <c r="E600" i="4"/>
  <c r="D600" i="4"/>
  <c r="G599" i="4"/>
  <c r="F599" i="4"/>
  <c r="E599" i="4"/>
  <c r="D599" i="4"/>
  <c r="G598" i="4"/>
  <c r="F598" i="4"/>
  <c r="E598" i="4"/>
  <c r="D598" i="4"/>
  <c r="G597" i="4"/>
  <c r="F597" i="4"/>
  <c r="E597" i="4"/>
  <c r="D597" i="4"/>
  <c r="G596" i="4"/>
  <c r="F596" i="4"/>
  <c r="E596" i="4"/>
  <c r="D596" i="4"/>
  <c r="G595" i="4"/>
  <c r="F595" i="4"/>
  <c r="E595" i="4"/>
  <c r="D595" i="4"/>
  <c r="G594" i="4"/>
  <c r="F594" i="4"/>
  <c r="E594" i="4"/>
  <c r="D594" i="4"/>
  <c r="G593" i="4"/>
  <c r="F593" i="4"/>
  <c r="E593" i="4"/>
  <c r="D593" i="4"/>
  <c r="C593" i="4"/>
  <c r="A593" i="4" s="1"/>
  <c r="G592" i="4"/>
  <c r="F592" i="4"/>
  <c r="E592" i="4"/>
  <c r="D592" i="4"/>
  <c r="C592" i="4"/>
  <c r="A592" i="4" s="1"/>
  <c r="G591" i="4"/>
  <c r="F591" i="4"/>
  <c r="E591" i="4"/>
  <c r="D591" i="4"/>
  <c r="C591" i="4"/>
  <c r="A591" i="4" s="1"/>
  <c r="G590" i="4"/>
  <c r="F590" i="4"/>
  <c r="E590" i="4"/>
  <c r="D590" i="4"/>
  <c r="C590" i="4"/>
  <c r="A590" i="4" s="1"/>
  <c r="G589" i="4"/>
  <c r="F589" i="4"/>
  <c r="E589" i="4"/>
  <c r="D589" i="4"/>
  <c r="C589" i="4"/>
  <c r="A589" i="4" s="1"/>
  <c r="G588" i="4"/>
  <c r="F588" i="4"/>
  <c r="E588" i="4"/>
  <c r="D588" i="4"/>
  <c r="C588" i="4"/>
  <c r="A588" i="4" s="1"/>
  <c r="G587" i="4"/>
  <c r="F587" i="4"/>
  <c r="E587" i="4"/>
  <c r="D587" i="4"/>
  <c r="C587" i="4"/>
  <c r="A587" i="4" s="1"/>
  <c r="G586" i="4"/>
  <c r="F586" i="4"/>
  <c r="E586" i="4"/>
  <c r="D586" i="4"/>
  <c r="C586" i="4"/>
  <c r="A586" i="4" s="1"/>
  <c r="G585" i="4"/>
  <c r="F585" i="4"/>
  <c r="E585" i="4"/>
  <c r="D585" i="4"/>
  <c r="C585" i="4"/>
  <c r="A585" i="4" s="1"/>
  <c r="G584" i="4"/>
  <c r="F584" i="4"/>
  <c r="E584" i="4"/>
  <c r="D584" i="4"/>
  <c r="C584" i="4"/>
  <c r="A584" i="4" s="1"/>
  <c r="G583" i="4"/>
  <c r="F583" i="4"/>
  <c r="E583" i="4"/>
  <c r="D583" i="4"/>
  <c r="C583" i="4"/>
  <c r="A583" i="4" s="1"/>
  <c r="G582" i="4"/>
  <c r="F582" i="4"/>
  <c r="E582" i="4"/>
  <c r="D582" i="4"/>
  <c r="C582" i="4"/>
  <c r="A582" i="4" s="1"/>
  <c r="G581" i="4"/>
  <c r="F581" i="4"/>
  <c r="E581" i="4"/>
  <c r="D581" i="4"/>
  <c r="C581" i="4"/>
  <c r="A581" i="4" s="1"/>
  <c r="G580" i="4"/>
  <c r="F580" i="4"/>
  <c r="E580" i="4"/>
  <c r="D580" i="4"/>
  <c r="C580" i="4"/>
  <c r="A580" i="4" s="1"/>
  <c r="G579" i="4"/>
  <c r="F579" i="4"/>
  <c r="E579" i="4"/>
  <c r="D579" i="4"/>
  <c r="C579" i="4"/>
  <c r="A579" i="4" s="1"/>
  <c r="G578" i="4"/>
  <c r="F578" i="4"/>
  <c r="E578" i="4"/>
  <c r="D578" i="4"/>
  <c r="C578" i="4"/>
  <c r="A578" i="4" s="1"/>
  <c r="G577" i="4"/>
  <c r="F577" i="4"/>
  <c r="E577" i="4"/>
  <c r="D577" i="4"/>
  <c r="C577" i="4"/>
  <c r="A577" i="4" s="1"/>
  <c r="G576" i="4"/>
  <c r="F576" i="4"/>
  <c r="E576" i="4"/>
  <c r="D576" i="4"/>
  <c r="C576" i="4"/>
  <c r="A576" i="4" s="1"/>
  <c r="G575" i="4"/>
  <c r="F575" i="4"/>
  <c r="E575" i="4"/>
  <c r="D575" i="4"/>
  <c r="C575" i="4"/>
  <c r="A575" i="4" s="1"/>
  <c r="G574" i="4"/>
  <c r="F574" i="4"/>
  <c r="E574" i="4"/>
  <c r="D574" i="4"/>
  <c r="C574" i="4"/>
  <c r="A574" i="4" s="1"/>
  <c r="G573" i="4"/>
  <c r="F573" i="4"/>
  <c r="E573" i="4"/>
  <c r="D573" i="4"/>
  <c r="C573" i="4"/>
  <c r="A573" i="4" s="1"/>
  <c r="G572" i="4"/>
  <c r="F572" i="4"/>
  <c r="E572" i="4"/>
  <c r="D572" i="4"/>
  <c r="C572" i="4"/>
  <c r="A572" i="4" s="1"/>
  <c r="G571" i="4"/>
  <c r="F571" i="4"/>
  <c r="E571" i="4"/>
  <c r="D571" i="4"/>
  <c r="C571" i="4"/>
  <c r="A571" i="4" s="1"/>
  <c r="G570" i="4"/>
  <c r="F570" i="4"/>
  <c r="E570" i="4"/>
  <c r="D570" i="4"/>
  <c r="C570" i="4"/>
  <c r="A570" i="4" s="1"/>
  <c r="G569" i="4"/>
  <c r="F569" i="4"/>
  <c r="E569" i="4"/>
  <c r="D569" i="4"/>
  <c r="C569" i="4"/>
  <c r="A569" i="4" s="1"/>
  <c r="G568" i="4"/>
  <c r="F568" i="4"/>
  <c r="E568" i="4"/>
  <c r="D568" i="4"/>
  <c r="C568" i="4"/>
  <c r="A568" i="4" s="1"/>
  <c r="G567" i="4"/>
  <c r="F567" i="4"/>
  <c r="E567" i="4"/>
  <c r="D567" i="4"/>
  <c r="C567" i="4"/>
  <c r="A567" i="4" s="1"/>
  <c r="G566" i="4"/>
  <c r="F566" i="4"/>
  <c r="E566" i="4"/>
  <c r="D566" i="4"/>
  <c r="C566" i="4"/>
  <c r="A566" i="4" s="1"/>
  <c r="AN259" i="4"/>
  <c r="AO259" i="4" s="1"/>
  <c r="AN258" i="4"/>
  <c r="AO258" i="4" s="1"/>
  <c r="AN257" i="4"/>
  <c r="AO257" i="4" s="1"/>
  <c r="R229" i="1" s="1"/>
  <c r="AN256" i="4"/>
  <c r="AO256" i="4" s="1"/>
  <c r="R228" i="1" s="1"/>
  <c r="AN255" i="4"/>
  <c r="AO255" i="4" s="1"/>
  <c r="AN254" i="4"/>
  <c r="AO254" i="4" s="1"/>
  <c r="AN253" i="4"/>
  <c r="AO253" i="4" s="1"/>
  <c r="AN252" i="4"/>
  <c r="AO252" i="4" s="1"/>
  <c r="AN251" i="4"/>
  <c r="AO251" i="4" s="1"/>
  <c r="R250" i="1" s="1"/>
  <c r="AN282" i="4"/>
  <c r="AO282" i="4" s="1"/>
  <c r="AN281" i="4"/>
  <c r="AO281" i="4" s="1"/>
  <c r="R280" i="1" s="1"/>
  <c r="AN280" i="4"/>
  <c r="AO280" i="4" s="1"/>
  <c r="R279" i="1" s="1"/>
  <c r="AN279" i="4"/>
  <c r="AO279" i="4" s="1"/>
  <c r="R278" i="1" s="1"/>
  <c r="AN278" i="4"/>
  <c r="AO278" i="4" s="1"/>
  <c r="R277" i="1" s="1"/>
  <c r="AN126" i="4"/>
  <c r="AO126" i="4" s="1"/>
  <c r="AN243" i="4"/>
  <c r="AO243" i="4" s="1"/>
  <c r="AN328" i="4"/>
  <c r="AO328" i="4" s="1"/>
  <c r="AN447" i="4"/>
  <c r="AO447" i="4" s="1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N277" i="4"/>
  <c r="AO277" i="4" s="1"/>
  <c r="R276" i="1" s="1"/>
  <c r="AN276" i="4"/>
  <c r="AO276" i="4" s="1"/>
  <c r="R275" i="1" s="1"/>
  <c r="AN275" i="4"/>
  <c r="AO275" i="4" s="1"/>
  <c r="AN274" i="4"/>
  <c r="AO274" i="4" s="1"/>
  <c r="R273" i="1" s="1"/>
  <c r="AN273" i="4"/>
  <c r="AO273" i="4" s="1"/>
  <c r="R272" i="1" s="1"/>
  <c r="AN121" i="4"/>
  <c r="AO121" i="4" s="1"/>
  <c r="R119" i="1" s="1"/>
  <c r="AN272" i="4"/>
  <c r="AO272" i="4" s="1"/>
  <c r="R271" i="1" s="1"/>
  <c r="AN271" i="4"/>
  <c r="AO271" i="4" s="1"/>
  <c r="AN270" i="4"/>
  <c r="AO270" i="4" s="1"/>
  <c r="AN269" i="4"/>
  <c r="AO269" i="4" s="1"/>
  <c r="AN268" i="4"/>
  <c r="AO268" i="4" s="1"/>
  <c r="AN267" i="4"/>
  <c r="AO267" i="4" s="1"/>
  <c r="AN298" i="4"/>
  <c r="AO298" i="4" s="1"/>
  <c r="AN297" i="4"/>
  <c r="AO297" i="4" s="1"/>
  <c r="AN296" i="4"/>
  <c r="AO296" i="4" s="1"/>
  <c r="AN295" i="4"/>
  <c r="AO295" i="4" s="1"/>
  <c r="AN294" i="4"/>
  <c r="AO294" i="4" s="1"/>
  <c r="AN142" i="4"/>
  <c r="AO142" i="4" s="1"/>
  <c r="AN94" i="4"/>
  <c r="AO94" i="4" s="1"/>
  <c r="AN93" i="4"/>
  <c r="AO93" i="4" s="1"/>
  <c r="AN89" i="4"/>
  <c r="AO89" i="4" s="1"/>
  <c r="R88" i="1" s="1"/>
  <c r="AN82" i="4"/>
  <c r="AO82" i="4" s="1"/>
  <c r="AN351" i="4"/>
  <c r="AO351" i="4" s="1"/>
  <c r="R249" i="1" s="1"/>
  <c r="AN209" i="4"/>
  <c r="AO209" i="4" s="1"/>
  <c r="AN206" i="4"/>
  <c r="AO206" i="4" s="1"/>
  <c r="AN210" i="4"/>
  <c r="AO210" i="4" s="1"/>
  <c r="AN205" i="4"/>
  <c r="AO205" i="4" s="1"/>
  <c r="R204" i="1" s="1"/>
  <c r="AN203" i="4"/>
  <c r="AO203" i="4" s="1"/>
  <c r="AN200" i="4"/>
  <c r="AO200" i="4" s="1"/>
  <c r="R198" i="1" s="1"/>
  <c r="AN204" i="4"/>
  <c r="AO204" i="4" s="1"/>
  <c r="R203" i="1" s="1"/>
  <c r="AN202" i="4"/>
  <c r="AO202" i="4" s="1"/>
  <c r="AN208" i="4"/>
  <c r="AO208" i="4" s="1"/>
  <c r="R207" i="1" s="1"/>
  <c r="AN201" i="4"/>
  <c r="AO201" i="4" s="1"/>
  <c r="AN211" i="4"/>
  <c r="AO211" i="4" s="1"/>
  <c r="R210" i="1" s="1"/>
  <c r="AN207" i="4"/>
  <c r="AO207" i="4" s="1"/>
  <c r="R206" i="1" s="1"/>
  <c r="A644" i="4"/>
  <c r="A643" i="4"/>
  <c r="A642" i="4"/>
  <c r="A641" i="4"/>
  <c r="A640" i="4"/>
  <c r="A639" i="4"/>
  <c r="A638" i="4"/>
  <c r="A637" i="4"/>
  <c r="A636" i="4"/>
  <c r="A635" i="4"/>
  <c r="AN293" i="4"/>
  <c r="AO293" i="4" s="1"/>
  <c r="AN141" i="4"/>
  <c r="AO141" i="4" s="1"/>
  <c r="R139" i="1" s="1"/>
  <c r="AN346" i="4"/>
  <c r="AO346" i="4" s="1"/>
  <c r="R244" i="1" s="1"/>
  <c r="AN467" i="4"/>
  <c r="AO467" i="4" s="1"/>
  <c r="AN292" i="4"/>
  <c r="AO292" i="4" s="1"/>
  <c r="AN291" i="4"/>
  <c r="AO291" i="4" s="1"/>
  <c r="AN290" i="4"/>
  <c r="AO290" i="4" s="1"/>
  <c r="AN288" i="4"/>
  <c r="AO288" i="4" s="1"/>
  <c r="AN287" i="4"/>
  <c r="AO287" i="4" s="1"/>
  <c r="AN286" i="4"/>
  <c r="AO286" i="4" s="1"/>
  <c r="AN285" i="4"/>
  <c r="AO285" i="4" s="1"/>
  <c r="AN284" i="4"/>
  <c r="AO284" i="4" s="1"/>
  <c r="R283" i="1" s="1"/>
  <c r="AN283" i="4"/>
  <c r="AO283" i="4" s="1"/>
  <c r="AN162" i="4"/>
  <c r="AO162" i="4" s="1"/>
  <c r="R160" i="1" s="1"/>
  <c r="AN64" i="4"/>
  <c r="AO64" i="4" s="1"/>
  <c r="AN413" i="4"/>
  <c r="AO413" i="4" s="1"/>
  <c r="R411" i="1" s="1"/>
  <c r="AN459" i="4"/>
  <c r="AO459" i="4" s="1"/>
  <c r="R458" i="1" s="1"/>
  <c r="AN80" i="4"/>
  <c r="AO80" i="4" s="1"/>
  <c r="R79" i="1" s="1"/>
  <c r="AN228" i="4"/>
  <c r="AO228" i="4" s="1"/>
  <c r="R502" i="1"/>
  <c r="Q502" i="1"/>
  <c r="R501" i="1"/>
  <c r="Q501" i="1"/>
  <c r="R500" i="1"/>
  <c r="Q500" i="1"/>
  <c r="R499" i="1"/>
  <c r="Q499" i="1"/>
  <c r="R498" i="1"/>
  <c r="R497" i="1"/>
  <c r="Q497" i="1"/>
  <c r="R496" i="1"/>
  <c r="Q496" i="1"/>
  <c r="R495" i="1"/>
  <c r="Q495" i="1"/>
  <c r="R494" i="1"/>
  <c r="R493" i="1"/>
  <c r="Q493" i="1"/>
  <c r="R492" i="1"/>
  <c r="Q492" i="1"/>
  <c r="R491" i="1"/>
  <c r="Q491" i="1"/>
  <c r="R490" i="1"/>
  <c r="R489" i="1"/>
  <c r="R488" i="1"/>
  <c r="Q488" i="1"/>
  <c r="R487" i="1"/>
  <c r="Q487" i="1"/>
  <c r="R486" i="1"/>
  <c r="Q485" i="1"/>
  <c r="R485" i="1"/>
  <c r="R484" i="1"/>
  <c r="Q484" i="1"/>
  <c r="Q483" i="1"/>
  <c r="R483" i="1"/>
  <c r="R482" i="1"/>
  <c r="Q481" i="1"/>
  <c r="R481" i="1"/>
  <c r="Q480" i="1"/>
  <c r="R480" i="1"/>
  <c r="R479" i="1"/>
  <c r="Q479" i="1"/>
  <c r="Q478" i="1"/>
  <c r="R478" i="1"/>
  <c r="Q477" i="1"/>
  <c r="R477" i="1"/>
  <c r="Q476" i="1"/>
  <c r="R475" i="1"/>
  <c r="Q475" i="1"/>
  <c r="Q474" i="1"/>
  <c r="R474" i="1"/>
  <c r="Q473" i="1"/>
  <c r="Q472" i="1"/>
  <c r="R472" i="1"/>
  <c r="Q471" i="1"/>
  <c r="R471" i="1"/>
  <c r="R470" i="1"/>
  <c r="Q470" i="1"/>
  <c r="Q469" i="1"/>
  <c r="R469" i="1"/>
  <c r="Q468" i="1"/>
  <c r="R468" i="1"/>
  <c r="Q467" i="1"/>
  <c r="R467" i="1"/>
  <c r="Q466" i="1"/>
  <c r="R465" i="1"/>
  <c r="Q465" i="1"/>
  <c r="Q464" i="1"/>
  <c r="R464" i="1"/>
  <c r="R463" i="1"/>
  <c r="Q462" i="1"/>
  <c r="R462" i="1"/>
  <c r="Q460" i="1"/>
  <c r="R460" i="1"/>
  <c r="R459" i="1"/>
  <c r="Q458" i="1"/>
  <c r="Q457" i="1"/>
  <c r="Q456" i="1"/>
  <c r="Q455" i="1"/>
  <c r="R455" i="1"/>
  <c r="R454" i="1"/>
  <c r="Q454" i="1"/>
  <c r="R453" i="1"/>
  <c r="Q453" i="1"/>
  <c r="R452" i="1"/>
  <c r="Q452" i="1"/>
  <c r="R451" i="1"/>
  <c r="Q451" i="1"/>
  <c r="R450" i="1"/>
  <c r="D461" i="4"/>
  <c r="D456" i="4"/>
  <c r="D452" i="4"/>
  <c r="D455" i="4"/>
  <c r="D453" i="4"/>
  <c r="D464" i="4"/>
  <c r="D460" i="4"/>
  <c r="D454" i="4"/>
  <c r="D462" i="4"/>
  <c r="D457" i="4"/>
  <c r="D459" i="4"/>
  <c r="D463" i="4"/>
  <c r="D458" i="4"/>
  <c r="AR487" i="3"/>
  <c r="AS487" i="3" s="1"/>
  <c r="Q486" i="1" s="1"/>
  <c r="AR386" i="3"/>
  <c r="AS386" i="3" s="1"/>
  <c r="Q385" i="1" s="1"/>
  <c r="AR387" i="3"/>
  <c r="AS387" i="3" s="1"/>
  <c r="AR388" i="3"/>
  <c r="AS388" i="3" s="1"/>
  <c r="AR121" i="3"/>
  <c r="AS121" i="3" s="1"/>
  <c r="AR120" i="3"/>
  <c r="AS120" i="3" s="1"/>
  <c r="AR119" i="3"/>
  <c r="AS119" i="3" s="1"/>
  <c r="Q118" i="1" s="1"/>
  <c r="AR326" i="3"/>
  <c r="AS326" i="3" s="1"/>
  <c r="AN368" i="4"/>
  <c r="AO368" i="4" s="1"/>
  <c r="G217" i="3"/>
  <c r="G218" i="3"/>
  <c r="G219" i="3"/>
  <c r="G214" i="3"/>
  <c r="G220" i="3"/>
  <c r="G215" i="3"/>
  <c r="G221" i="3"/>
  <c r="G216" i="3"/>
  <c r="AN160" i="4"/>
  <c r="AO160" i="4" s="1"/>
  <c r="AN53" i="4"/>
  <c r="AO53" i="4" s="1"/>
  <c r="AN52" i="4"/>
  <c r="AO52" i="4" s="1"/>
  <c r="AN51" i="4"/>
  <c r="AO51" i="4" s="1"/>
  <c r="AN49" i="4"/>
  <c r="AO49" i="4" s="1"/>
  <c r="AN48" i="4"/>
  <c r="AO48" i="4" s="1"/>
  <c r="AN79" i="4"/>
  <c r="AO79" i="4" s="1"/>
  <c r="R78" i="1" s="1"/>
  <c r="AN78" i="4"/>
  <c r="AO78" i="4" s="1"/>
  <c r="AN68" i="4"/>
  <c r="AO68" i="4" s="1"/>
  <c r="R67" i="1" s="1"/>
  <c r="AN369" i="4"/>
  <c r="AO369" i="4" s="1"/>
  <c r="AN458" i="4"/>
  <c r="AO458" i="4" s="1"/>
  <c r="R456" i="1" s="1"/>
  <c r="AN109" i="4"/>
  <c r="AO109" i="4" s="1"/>
  <c r="AN134" i="4"/>
  <c r="AO134" i="4" s="1"/>
  <c r="AR332" i="3"/>
  <c r="AS332" i="3" s="1"/>
  <c r="AR327" i="3"/>
  <c r="AS327" i="3" s="1"/>
  <c r="AR248" i="3"/>
  <c r="AS248" i="3" s="1"/>
  <c r="Q247" i="1" s="1"/>
  <c r="AR284" i="3"/>
  <c r="AS284" i="3" s="1"/>
  <c r="Q283" i="1" s="1"/>
  <c r="AR439" i="3"/>
  <c r="AS439" i="3" s="1"/>
  <c r="AR483" i="3"/>
  <c r="AS483" i="3" s="1"/>
  <c r="Q482" i="1" s="1"/>
  <c r="AR215" i="3"/>
  <c r="AS215" i="3" s="1"/>
  <c r="Q214" i="1" s="1"/>
  <c r="AR214" i="3"/>
  <c r="AS214" i="3" s="1"/>
  <c r="Q213" i="1" s="1"/>
  <c r="AR212" i="3"/>
  <c r="AS212" i="3" s="1"/>
  <c r="Q211" i="1" s="1"/>
  <c r="AR173" i="3"/>
  <c r="AS173" i="3" s="1"/>
  <c r="Q172" i="1" s="1"/>
  <c r="AR505" i="3"/>
  <c r="AS505" i="3" s="1"/>
  <c r="AR430" i="3"/>
  <c r="AS430" i="3" s="1"/>
  <c r="AR513" i="3"/>
  <c r="AS513" i="3" s="1"/>
  <c r="AR99" i="3"/>
  <c r="AS99" i="3" s="1"/>
  <c r="AR98" i="3"/>
  <c r="AS98" i="3" s="1"/>
  <c r="AR96" i="3"/>
  <c r="AS96" i="3" s="1"/>
  <c r="Q95" i="1" s="1"/>
  <c r="AR94" i="3"/>
  <c r="AS94" i="3" s="1"/>
  <c r="Q93" i="1" s="1"/>
  <c r="AR93" i="3"/>
  <c r="AS93" i="3" s="1"/>
  <c r="AR92" i="3"/>
  <c r="AS92" i="3" s="1"/>
  <c r="Q91" i="1" s="1"/>
  <c r="AR91" i="3"/>
  <c r="AS91" i="3" s="1"/>
  <c r="AR90" i="3"/>
  <c r="AS90" i="3" s="1"/>
  <c r="AR89" i="3"/>
  <c r="AS89" i="3" s="1"/>
  <c r="AR81" i="3"/>
  <c r="AS81" i="3" s="1"/>
  <c r="Q80" i="1" s="1"/>
  <c r="AR80" i="3"/>
  <c r="AS80" i="3" s="1"/>
  <c r="Q79" i="1" s="1"/>
  <c r="AR78" i="3"/>
  <c r="AS78" i="3" s="1"/>
  <c r="Q77" i="1" s="1"/>
  <c r="AR76" i="3"/>
  <c r="AS76" i="3" s="1"/>
  <c r="Q75" i="1" s="1"/>
  <c r="AR75" i="3"/>
  <c r="AS75" i="3" s="1"/>
  <c r="Q74" i="1" s="1"/>
  <c r="AR74" i="3"/>
  <c r="AS74" i="3" s="1"/>
  <c r="AR73" i="3"/>
  <c r="AS73" i="3" s="1"/>
  <c r="AR72" i="3"/>
  <c r="AS72" i="3" s="1"/>
  <c r="AR71" i="3"/>
  <c r="AS71" i="3" s="1"/>
  <c r="Q70" i="1" s="1"/>
  <c r="AR70" i="3"/>
  <c r="AS70" i="3" s="1"/>
  <c r="AR68" i="3"/>
  <c r="AS68" i="3" s="1"/>
  <c r="AR15" i="3"/>
  <c r="AS15" i="3" s="1"/>
  <c r="Q14" i="1" s="1"/>
  <c r="AR14" i="3"/>
  <c r="AS14" i="3" s="1"/>
  <c r="AR13" i="3"/>
  <c r="AS13" i="3" s="1"/>
  <c r="AR8" i="3"/>
  <c r="AS8" i="3" s="1"/>
  <c r="AR7" i="3"/>
  <c r="AS7" i="3" s="1"/>
  <c r="AR62" i="3"/>
  <c r="AS62" i="3" s="1"/>
  <c r="Q61" i="1" s="1"/>
  <c r="AR213" i="3"/>
  <c r="AS213" i="3" s="1"/>
  <c r="Q212" i="1" s="1"/>
  <c r="AR60" i="3"/>
  <c r="AS60" i="3" s="1"/>
  <c r="AR211" i="3"/>
  <c r="AS211" i="3" s="1"/>
  <c r="Q210" i="1" s="1"/>
  <c r="AR59" i="3"/>
  <c r="AR210" i="3"/>
  <c r="AS210" i="3" s="1"/>
  <c r="Q209" i="1" s="1"/>
  <c r="AR57" i="3"/>
  <c r="AS57" i="3" s="1"/>
  <c r="AR208" i="3"/>
  <c r="AS208" i="3" s="1"/>
  <c r="Q207" i="1" s="1"/>
  <c r="AR56" i="3"/>
  <c r="AS56" i="3" s="1"/>
  <c r="AR207" i="3"/>
  <c r="AS207" i="3" s="1"/>
  <c r="Q206" i="1" s="1"/>
  <c r="AR55" i="3"/>
  <c r="AS55" i="3" s="1"/>
  <c r="AR206" i="3"/>
  <c r="AS206" i="3" s="1"/>
  <c r="Q205" i="1" s="1"/>
  <c r="AR53" i="3"/>
  <c r="AS53" i="3" s="1"/>
  <c r="Q52" i="1" s="1"/>
  <c r="AR204" i="3"/>
  <c r="AS204" i="3" s="1"/>
  <c r="Q203" i="1" s="1"/>
  <c r="AR52" i="3"/>
  <c r="AS52" i="3" s="1"/>
  <c r="AR203" i="3"/>
  <c r="AS203" i="3" s="1"/>
  <c r="AR51" i="3"/>
  <c r="AS51" i="3" s="1"/>
  <c r="Q50" i="1" s="1"/>
  <c r="AR202" i="3"/>
  <c r="AS202" i="3" s="1"/>
  <c r="Q201" i="1" s="1"/>
  <c r="AR45" i="3"/>
  <c r="AR196" i="3"/>
  <c r="AS196" i="3" s="1"/>
  <c r="Q195" i="1" s="1"/>
  <c r="AR42" i="3"/>
  <c r="AS42" i="3" s="1"/>
  <c r="AR193" i="3"/>
  <c r="AS193" i="3" s="1"/>
  <c r="Q192" i="1" s="1"/>
  <c r="AR40" i="3"/>
  <c r="AR191" i="3"/>
  <c r="AS191" i="3" s="1"/>
  <c r="Q190" i="1" s="1"/>
  <c r="AR38" i="3"/>
  <c r="AR189" i="3"/>
  <c r="AS189" i="3" s="1"/>
  <c r="Q188" i="1" s="1"/>
  <c r="AR37" i="3"/>
  <c r="AS37" i="3" s="1"/>
  <c r="AR188" i="3"/>
  <c r="AS188" i="3" s="1"/>
  <c r="Q187" i="1" s="1"/>
  <c r="AR36" i="3"/>
  <c r="AS36" i="3" s="1"/>
  <c r="AR187" i="3"/>
  <c r="AS187" i="3" s="1"/>
  <c r="Q186" i="1" s="1"/>
  <c r="AR35" i="3"/>
  <c r="AR186" i="3"/>
  <c r="AS186" i="3" s="1"/>
  <c r="Q185" i="1" s="1"/>
  <c r="AR34" i="3"/>
  <c r="AR185" i="3"/>
  <c r="AS185" i="3" s="1"/>
  <c r="Q184" i="1" s="1"/>
  <c r="AR33" i="3"/>
  <c r="AS33" i="3" s="1"/>
  <c r="Q32" i="1" s="1"/>
  <c r="AR184" i="3"/>
  <c r="AS184" i="3" s="1"/>
  <c r="Q183" i="1" s="1"/>
  <c r="AR32" i="3"/>
  <c r="AS32" i="3" s="1"/>
  <c r="AR183" i="3"/>
  <c r="AS183" i="3" s="1"/>
  <c r="Q182" i="1" s="1"/>
  <c r="AR30" i="3"/>
  <c r="AR181" i="3"/>
  <c r="AS181" i="3" s="1"/>
  <c r="Q180" i="1" s="1"/>
  <c r="AR25" i="3"/>
  <c r="AS25" i="3" s="1"/>
  <c r="AR176" i="3"/>
  <c r="AS176" i="3" s="1"/>
  <c r="Q175" i="1" s="1"/>
  <c r="AR24" i="3"/>
  <c r="AS24" i="3" s="1"/>
  <c r="AR175" i="3"/>
  <c r="AS175" i="3" s="1"/>
  <c r="Q174" i="1" s="1"/>
  <c r="AR21" i="3"/>
  <c r="AR172" i="3"/>
  <c r="AS172" i="3" s="1"/>
  <c r="Q171" i="1" s="1"/>
  <c r="AR19" i="3"/>
  <c r="AS19" i="3" s="1"/>
  <c r="AR170" i="3"/>
  <c r="AS170" i="3" s="1"/>
  <c r="Q169" i="1" s="1"/>
  <c r="AR18" i="3"/>
  <c r="AS18" i="3" s="1"/>
  <c r="AR169" i="3"/>
  <c r="AS169" i="3" s="1"/>
  <c r="Q168" i="1" s="1"/>
  <c r="AR17" i="3"/>
  <c r="AS17" i="3" s="1"/>
  <c r="AR168" i="3"/>
  <c r="AS168" i="3" s="1"/>
  <c r="Q167" i="1" s="1"/>
  <c r="AR16" i="3"/>
  <c r="AS16" i="3" s="1"/>
  <c r="AR167" i="3"/>
  <c r="AS167" i="3" s="1"/>
  <c r="Q166" i="1" s="1"/>
  <c r="AN189" i="4"/>
  <c r="AO189" i="4" s="1"/>
  <c r="AN186" i="4"/>
  <c r="AO186" i="4" s="1"/>
  <c r="R185" i="1" s="1"/>
  <c r="AN462" i="4"/>
  <c r="AO462" i="4" s="1"/>
  <c r="R461" i="1" s="1"/>
  <c r="AN95" i="4"/>
  <c r="AO95" i="4" s="1"/>
  <c r="AN77" i="4"/>
  <c r="AO77" i="4" s="1"/>
  <c r="AN90" i="4"/>
  <c r="AO90" i="4" s="1"/>
  <c r="AN70" i="4"/>
  <c r="AO70" i="4" s="1"/>
  <c r="AN69" i="4"/>
  <c r="AO69" i="4" s="1"/>
  <c r="AN224" i="4"/>
  <c r="AO224" i="4" s="1"/>
  <c r="R111" i="1" s="1"/>
  <c r="AN76" i="4"/>
  <c r="AO76" i="4" s="1"/>
  <c r="AN223" i="4"/>
  <c r="AO223" i="4" s="1"/>
  <c r="AN75" i="4"/>
  <c r="AO75" i="4" s="1"/>
  <c r="AN222" i="4"/>
  <c r="AO222" i="4" s="1"/>
  <c r="R109" i="1" s="1"/>
  <c r="AN74" i="4"/>
  <c r="AO74" i="4" s="1"/>
  <c r="AN183" i="4"/>
  <c r="AO183" i="4" s="1"/>
  <c r="AN174" i="4"/>
  <c r="AO174" i="4" s="1"/>
  <c r="AN173" i="4"/>
  <c r="AO173" i="4" s="1"/>
  <c r="R118" i="1" s="1"/>
  <c r="AN172" i="4"/>
  <c r="AO172" i="4" s="1"/>
  <c r="AN171" i="4"/>
  <c r="AO171" i="4" s="1"/>
  <c r="AN170" i="4"/>
  <c r="AO170" i="4" s="1"/>
  <c r="AN169" i="4"/>
  <c r="AO169" i="4" s="1"/>
  <c r="R168" i="1" s="1"/>
  <c r="AN168" i="4"/>
  <c r="AO168" i="4" s="1"/>
  <c r="R167" i="1" s="1"/>
  <c r="AN167" i="4"/>
  <c r="AO167" i="4" s="1"/>
  <c r="AN158" i="4"/>
  <c r="AO158" i="4" s="1"/>
  <c r="R157" i="1" s="1"/>
  <c r="AN289" i="4"/>
  <c r="AO289" i="4" s="1"/>
  <c r="D167" i="4"/>
  <c r="D168" i="4"/>
  <c r="D169" i="4"/>
  <c r="D170" i="4"/>
  <c r="D171" i="4"/>
  <c r="D172" i="4"/>
  <c r="D173" i="4"/>
  <c r="D174" i="4"/>
  <c r="D175" i="4"/>
  <c r="AR149" i="3"/>
  <c r="AS149" i="3" s="1"/>
  <c r="Q608" i="1" s="1"/>
  <c r="Q615" i="1"/>
  <c r="Q614" i="1"/>
  <c r="Q613" i="1"/>
  <c r="Q612" i="1"/>
  <c r="Q611" i="1"/>
  <c r="Q610" i="1"/>
  <c r="Q609" i="1"/>
  <c r="Q607" i="1"/>
  <c r="R606" i="1"/>
  <c r="Q606" i="1"/>
  <c r="R605" i="1"/>
  <c r="Q605" i="1"/>
  <c r="R604" i="1"/>
  <c r="Q604" i="1"/>
  <c r="R603" i="1"/>
  <c r="Q603" i="1"/>
  <c r="R602" i="1"/>
  <c r="Q602" i="1"/>
  <c r="Q601" i="1"/>
  <c r="Q600" i="1"/>
  <c r="R599" i="1"/>
  <c r="Q599" i="1"/>
  <c r="R598" i="1"/>
  <c r="Q598" i="1"/>
  <c r="Q597" i="1"/>
  <c r="R597" i="1"/>
  <c r="R596" i="1"/>
  <c r="Q596" i="1"/>
  <c r="Q595" i="1"/>
  <c r="R595" i="1"/>
  <c r="Q594" i="1"/>
  <c r="R594" i="1"/>
  <c r="R593" i="1"/>
  <c r="Q593" i="1"/>
  <c r="R592" i="1"/>
  <c r="Q592" i="1"/>
  <c r="R591" i="1"/>
  <c r="Q591" i="1"/>
  <c r="Q590" i="1"/>
  <c r="R590" i="1"/>
  <c r="R589" i="1"/>
  <c r="Q589" i="1"/>
  <c r="R588" i="1"/>
  <c r="Q588" i="1"/>
  <c r="Q587" i="1"/>
  <c r="R587" i="1"/>
  <c r="Q586" i="1"/>
  <c r="R586" i="1"/>
  <c r="Q585" i="1"/>
  <c r="Q563" i="1"/>
  <c r="R563" i="1"/>
  <c r="R562" i="1"/>
  <c r="Q562" i="1"/>
  <c r="Q561" i="1"/>
  <c r="R561" i="1"/>
  <c r="Q560" i="1"/>
  <c r="R560" i="1"/>
  <c r="R559" i="1"/>
  <c r="Q559" i="1"/>
  <c r="R572" i="1"/>
  <c r="R571" i="1"/>
  <c r="R570" i="1"/>
  <c r="R569" i="1"/>
  <c r="Q569" i="1"/>
  <c r="R568" i="1"/>
  <c r="Q568" i="1"/>
  <c r="Q567" i="1"/>
  <c r="R566" i="1"/>
  <c r="Q566" i="1"/>
  <c r="R565" i="1"/>
  <c r="Q565" i="1"/>
  <c r="R564" i="1"/>
  <c r="Q564" i="1"/>
  <c r="Q551" i="1"/>
  <c r="Q550" i="1"/>
  <c r="R549" i="1"/>
  <c r="Q549" i="1"/>
  <c r="Q548" i="1"/>
  <c r="Q102" i="1"/>
  <c r="Q131" i="1"/>
  <c r="Q130" i="1"/>
  <c r="Q129" i="1"/>
  <c r="R28" i="1"/>
  <c r="R27" i="1"/>
  <c r="Q117" i="1"/>
  <c r="R74" i="1"/>
  <c r="R11" i="1"/>
  <c r="R10" i="1"/>
  <c r="R9" i="1"/>
  <c r="R8" i="1"/>
  <c r="R7" i="1"/>
  <c r="R6" i="1"/>
  <c r="R35" i="1"/>
  <c r="R34" i="1"/>
  <c r="R33" i="1"/>
  <c r="R32" i="1"/>
  <c r="R31" i="1"/>
  <c r="R30" i="1"/>
  <c r="R29" i="1"/>
  <c r="Q100" i="1"/>
  <c r="R100" i="1"/>
  <c r="R99" i="1"/>
  <c r="Q109" i="1"/>
  <c r="Q107" i="1"/>
  <c r="Q105" i="1"/>
  <c r="Q274" i="1"/>
  <c r="Q65" i="1"/>
  <c r="Q151" i="1"/>
  <c r="Q150" i="1"/>
  <c r="Q149" i="1"/>
  <c r="Q148" i="1"/>
  <c r="Q147" i="1"/>
  <c r="Q146" i="1"/>
  <c r="Q145" i="1"/>
  <c r="Q144" i="1"/>
  <c r="R143" i="1"/>
  <c r="Q143" i="1"/>
  <c r="Q142" i="1"/>
  <c r="R142" i="1"/>
  <c r="Q141" i="1"/>
  <c r="Q140" i="1"/>
  <c r="Q139" i="1"/>
  <c r="R138" i="1"/>
  <c r="Q138" i="1"/>
  <c r="R137" i="1"/>
  <c r="Q137" i="1"/>
  <c r="Q136" i="1"/>
  <c r="Q135" i="1"/>
  <c r="Q134" i="1"/>
  <c r="Q282" i="1"/>
  <c r="Q253" i="1"/>
  <c r="Q252" i="1"/>
  <c r="Q251" i="1"/>
  <c r="Q250" i="1"/>
  <c r="Q249" i="1"/>
  <c r="Q248" i="1"/>
  <c r="Q246" i="1"/>
  <c r="Q245" i="1"/>
  <c r="Q244" i="1"/>
  <c r="Q243" i="1"/>
  <c r="Q242" i="1"/>
  <c r="Q241" i="1"/>
  <c r="Q240" i="1"/>
  <c r="Q239" i="1"/>
  <c r="Q238" i="1"/>
  <c r="R238" i="1"/>
  <c r="Q237" i="1"/>
  <c r="R236" i="1"/>
  <c r="Q236" i="1"/>
  <c r="R235" i="1"/>
  <c r="Q235" i="1"/>
  <c r="Q234" i="1"/>
  <c r="R234" i="1"/>
  <c r="Q233" i="1"/>
  <c r="R233" i="1"/>
  <c r="R221" i="1"/>
  <c r="R220" i="1"/>
  <c r="Q219" i="1"/>
  <c r="R219" i="1"/>
  <c r="R218" i="1"/>
  <c r="Q218" i="1"/>
  <c r="R217" i="1"/>
  <c r="Q217" i="1"/>
  <c r="R216" i="1"/>
  <c r="Q216" i="1"/>
  <c r="Q215" i="1"/>
  <c r="Q208" i="1"/>
  <c r="Q204" i="1"/>
  <c r="Q200" i="1"/>
  <c r="Q199" i="1"/>
  <c r="Q198" i="1"/>
  <c r="R197" i="1"/>
  <c r="Q197" i="1"/>
  <c r="Q196" i="1"/>
  <c r="R196" i="1"/>
  <c r="Q281" i="1"/>
  <c r="Q280" i="1"/>
  <c r="Q279" i="1"/>
  <c r="Q278" i="1"/>
  <c r="Q277" i="1"/>
  <c r="Q276" i="1"/>
  <c r="Q275" i="1"/>
  <c r="Q227" i="1"/>
  <c r="Q226" i="1"/>
  <c r="R225" i="1"/>
  <c r="Q225" i="1"/>
  <c r="R224" i="1"/>
  <c r="Q224" i="1"/>
  <c r="R223" i="1"/>
  <c r="Q223" i="1"/>
  <c r="Q222" i="1"/>
  <c r="R299" i="1"/>
  <c r="Q299" i="1"/>
  <c r="R298" i="1"/>
  <c r="Q298" i="1"/>
  <c r="Q296" i="1"/>
  <c r="Q295" i="1"/>
  <c r="Q294" i="1"/>
  <c r="Q293" i="1"/>
  <c r="Q292" i="1"/>
  <c r="Q157" i="1"/>
  <c r="R214" i="1"/>
  <c r="R213" i="1"/>
  <c r="R212" i="1"/>
  <c r="R211" i="1"/>
  <c r="Q273" i="1"/>
  <c r="Q270" i="1"/>
  <c r="Q269" i="1"/>
  <c r="Q268" i="1"/>
  <c r="Q267" i="1"/>
  <c r="Q264" i="1"/>
  <c r="Q262" i="1"/>
  <c r="Q261" i="1"/>
  <c r="Q260" i="1"/>
  <c r="Q259" i="1"/>
  <c r="Q258" i="1"/>
  <c r="Q266" i="1"/>
  <c r="Q265" i="1"/>
  <c r="R195" i="1"/>
  <c r="R194" i="1"/>
  <c r="Q194" i="1"/>
  <c r="Q287" i="1"/>
  <c r="Q286" i="1"/>
  <c r="Q285" i="1"/>
  <c r="Q284" i="1"/>
  <c r="R413" i="1"/>
  <c r="Q413" i="1"/>
  <c r="Q412" i="1"/>
  <c r="Q411" i="1"/>
  <c r="R410" i="1"/>
  <c r="R409" i="1"/>
  <c r="Q409" i="1"/>
  <c r="R193" i="1"/>
  <c r="R192" i="1"/>
  <c r="R191" i="1"/>
  <c r="Q191" i="1"/>
  <c r="R190" i="1"/>
  <c r="Q189" i="1"/>
  <c r="R188" i="1"/>
  <c r="R187" i="1"/>
  <c r="R186" i="1"/>
  <c r="R184" i="1"/>
  <c r="R165" i="1"/>
  <c r="R164" i="1"/>
  <c r="Q164" i="1"/>
  <c r="Q163" i="1"/>
  <c r="R163" i="1"/>
  <c r="R162" i="1"/>
  <c r="Q162" i="1"/>
  <c r="Q161" i="1"/>
  <c r="Q160" i="1"/>
  <c r="Q159" i="1"/>
  <c r="Q158" i="1"/>
  <c r="Q257" i="1"/>
  <c r="Q256" i="1"/>
  <c r="Q255" i="1"/>
  <c r="Q254" i="1"/>
  <c r="Q231" i="1"/>
  <c r="Q230" i="1"/>
  <c r="Q229" i="1"/>
  <c r="Q228" i="1"/>
  <c r="R539" i="1"/>
  <c r="Q539" i="1"/>
  <c r="R538" i="1"/>
  <c r="Q538" i="1"/>
  <c r="R537" i="1"/>
  <c r="Q537" i="1"/>
  <c r="R536" i="1"/>
  <c r="Q536" i="1"/>
  <c r="Q431" i="1"/>
  <c r="R430" i="1"/>
  <c r="Q430" i="1"/>
  <c r="R429" i="1"/>
  <c r="R428" i="1"/>
  <c r="R427" i="1"/>
  <c r="Q427" i="1"/>
  <c r="R426" i="1"/>
  <c r="Q426" i="1"/>
  <c r="R425" i="1"/>
  <c r="Q425" i="1"/>
  <c r="Q424" i="1"/>
  <c r="Q422" i="1"/>
  <c r="R422" i="1"/>
  <c r="Q408" i="1"/>
  <c r="R408" i="1"/>
  <c r="R407" i="1"/>
  <c r="Q406" i="1"/>
  <c r="R406" i="1"/>
  <c r="R405" i="1"/>
  <c r="Q405" i="1"/>
  <c r="R404" i="1"/>
  <c r="Q404" i="1"/>
  <c r="R403" i="1"/>
  <c r="Q403" i="1"/>
  <c r="R402" i="1"/>
  <c r="R401" i="1"/>
  <c r="Q401" i="1"/>
  <c r="R400" i="1"/>
  <c r="Q400" i="1"/>
  <c r="R399" i="1"/>
  <c r="Q399" i="1"/>
  <c r="Q398" i="1"/>
  <c r="R396" i="1"/>
  <c r="Q396" i="1"/>
  <c r="Q395" i="1"/>
  <c r="R395" i="1"/>
  <c r="Q394" i="1"/>
  <c r="R394" i="1"/>
  <c r="R393" i="1"/>
  <c r="Q393" i="1"/>
  <c r="Q392" i="1"/>
  <c r="R391" i="1"/>
  <c r="Q391" i="1"/>
  <c r="R390" i="1"/>
  <c r="Q390" i="1"/>
  <c r="R389" i="1"/>
  <c r="Q389" i="1"/>
  <c r="R388" i="1"/>
  <c r="Q388" i="1"/>
  <c r="R387" i="1"/>
  <c r="R386" i="1"/>
  <c r="R384" i="1"/>
  <c r="Q382" i="1"/>
  <c r="R382" i="1"/>
  <c r="R381" i="1"/>
  <c r="Q381" i="1"/>
  <c r="Q421" i="1"/>
  <c r="R421" i="1"/>
  <c r="R420" i="1"/>
  <c r="Q420" i="1"/>
  <c r="Q419" i="1"/>
  <c r="R418" i="1"/>
  <c r="Q418" i="1"/>
  <c r="R417" i="1"/>
  <c r="Q416" i="1"/>
  <c r="Q415" i="1"/>
  <c r="R414" i="1"/>
  <c r="Q414" i="1"/>
  <c r="G115" i="4"/>
  <c r="F115" i="4"/>
  <c r="E115" i="4"/>
  <c r="D115" i="4"/>
  <c r="C115" i="4"/>
  <c r="A115" i="4" s="1"/>
  <c r="G114" i="4"/>
  <c r="F114" i="4"/>
  <c r="E114" i="4"/>
  <c r="D114" i="4"/>
  <c r="C114" i="4"/>
  <c r="A114" i="4" s="1"/>
  <c r="G113" i="4"/>
  <c r="F113" i="4"/>
  <c r="E113" i="4"/>
  <c r="D113" i="4"/>
  <c r="C113" i="4"/>
  <c r="A113" i="4" s="1"/>
  <c r="G112" i="4"/>
  <c r="F112" i="4"/>
  <c r="E112" i="4"/>
  <c r="D112" i="4"/>
  <c r="C112" i="4"/>
  <c r="A112" i="4" s="1"/>
  <c r="G111" i="4"/>
  <c r="F111" i="4"/>
  <c r="E111" i="4"/>
  <c r="D111" i="4"/>
  <c r="C111" i="4"/>
  <c r="A111" i="4" s="1"/>
  <c r="G110" i="4"/>
  <c r="F110" i="4"/>
  <c r="E110" i="4"/>
  <c r="D110" i="4"/>
  <c r="C110" i="4"/>
  <c r="A110" i="4" s="1"/>
  <c r="G109" i="4"/>
  <c r="F109" i="4"/>
  <c r="E109" i="4"/>
  <c r="D109" i="4"/>
  <c r="C109" i="4"/>
  <c r="A109" i="4" s="1"/>
  <c r="G108" i="4"/>
  <c r="F108" i="4"/>
  <c r="E108" i="4"/>
  <c r="D108" i="4"/>
  <c r="C108" i="4"/>
  <c r="A108" i="4" s="1"/>
  <c r="G107" i="4"/>
  <c r="F107" i="4"/>
  <c r="E107" i="4"/>
  <c r="D107" i="4"/>
  <c r="C107" i="4"/>
  <c r="A107" i="4" s="1"/>
  <c r="G106" i="4"/>
  <c r="F106" i="4"/>
  <c r="E106" i="4"/>
  <c r="D106" i="4"/>
  <c r="C106" i="4"/>
  <c r="A106" i="4" s="1"/>
  <c r="G105" i="4"/>
  <c r="F105" i="4"/>
  <c r="E105" i="4"/>
  <c r="D105" i="4"/>
  <c r="C105" i="4"/>
  <c r="A105" i="4" s="1"/>
  <c r="G104" i="4"/>
  <c r="F104" i="4"/>
  <c r="E104" i="4"/>
  <c r="D104" i="4"/>
  <c r="C104" i="4"/>
  <c r="A104" i="4" s="1"/>
  <c r="G103" i="4"/>
  <c r="F103" i="4"/>
  <c r="E103" i="4"/>
  <c r="D103" i="4"/>
  <c r="C103" i="4"/>
  <c r="A103" i="4" s="1"/>
  <c r="G102" i="4"/>
  <c r="F102" i="4"/>
  <c r="E102" i="4"/>
  <c r="D102" i="4"/>
  <c r="C102" i="4"/>
  <c r="A102" i="4" s="1"/>
  <c r="G101" i="4"/>
  <c r="F101" i="4"/>
  <c r="E101" i="4"/>
  <c r="D101" i="4"/>
  <c r="C101" i="4"/>
  <c r="A101" i="4" s="1"/>
  <c r="G186" i="4"/>
  <c r="F186" i="4"/>
  <c r="E186" i="4"/>
  <c r="D186" i="4"/>
  <c r="C186" i="4"/>
  <c r="A186" i="4" s="1"/>
  <c r="G185" i="4"/>
  <c r="F185" i="4"/>
  <c r="E185" i="4"/>
  <c r="D185" i="4"/>
  <c r="C185" i="4"/>
  <c r="A185" i="4" s="1"/>
  <c r="G184" i="4"/>
  <c r="F184" i="4"/>
  <c r="E184" i="4"/>
  <c r="D184" i="4"/>
  <c r="C184" i="4"/>
  <c r="A184" i="4" s="1"/>
  <c r="G183" i="4"/>
  <c r="F183" i="4"/>
  <c r="E183" i="4"/>
  <c r="D183" i="4"/>
  <c r="C183" i="4"/>
  <c r="A183" i="4" s="1"/>
  <c r="G182" i="4"/>
  <c r="F182" i="4"/>
  <c r="E182" i="4"/>
  <c r="D182" i="4"/>
  <c r="C182" i="4"/>
  <c r="A182" i="4" s="1"/>
  <c r="G181" i="4"/>
  <c r="F181" i="4"/>
  <c r="E181" i="4"/>
  <c r="D181" i="4"/>
  <c r="C181" i="4"/>
  <c r="A181" i="4" s="1"/>
  <c r="G180" i="4"/>
  <c r="F180" i="4"/>
  <c r="E180" i="4"/>
  <c r="D180" i="4"/>
  <c r="C180" i="4"/>
  <c r="A180" i="4" s="1"/>
  <c r="G211" i="4"/>
  <c r="F211" i="4"/>
  <c r="E211" i="4"/>
  <c r="D211" i="4"/>
  <c r="C211" i="4"/>
  <c r="A211" i="4" s="1"/>
  <c r="G210" i="4"/>
  <c r="F210" i="4"/>
  <c r="E210" i="4"/>
  <c r="D210" i="4"/>
  <c r="C210" i="4"/>
  <c r="A210" i="4" s="1"/>
  <c r="G209" i="4"/>
  <c r="F209" i="4"/>
  <c r="E209" i="4"/>
  <c r="D209" i="4"/>
  <c r="C209" i="4"/>
  <c r="A209" i="4" s="1"/>
  <c r="G208" i="4"/>
  <c r="F208" i="4"/>
  <c r="E208" i="4"/>
  <c r="D208" i="4"/>
  <c r="C208" i="4"/>
  <c r="A208" i="4" s="1"/>
  <c r="G207" i="4"/>
  <c r="F207" i="4"/>
  <c r="E207" i="4"/>
  <c r="D207" i="4"/>
  <c r="C207" i="4"/>
  <c r="A207" i="4" s="1"/>
  <c r="G206" i="4"/>
  <c r="F206" i="4"/>
  <c r="D206" i="4"/>
  <c r="C206" i="4"/>
  <c r="A206" i="4" s="1"/>
  <c r="G205" i="4"/>
  <c r="F205" i="4"/>
  <c r="D205" i="4"/>
  <c r="C205" i="4"/>
  <c r="A205" i="4" s="1"/>
  <c r="G204" i="4"/>
  <c r="F204" i="4"/>
  <c r="D204" i="4"/>
  <c r="C204" i="4"/>
  <c r="A204" i="4" s="1"/>
  <c r="G203" i="4"/>
  <c r="F203" i="4"/>
  <c r="E203" i="4"/>
  <c r="D203" i="4"/>
  <c r="C203" i="4"/>
  <c r="A203" i="4" s="1"/>
  <c r="G202" i="4"/>
  <c r="F202" i="4"/>
  <c r="E202" i="4"/>
  <c r="D202" i="4"/>
  <c r="C202" i="4"/>
  <c r="A202" i="4" s="1"/>
  <c r="G201" i="4"/>
  <c r="F201" i="4"/>
  <c r="E201" i="4"/>
  <c r="D201" i="4"/>
  <c r="C201" i="4"/>
  <c r="A201" i="4" s="1"/>
  <c r="G200" i="4"/>
  <c r="F200" i="4"/>
  <c r="D200" i="4"/>
  <c r="C200" i="4"/>
  <c r="A200" i="4" s="1"/>
  <c r="G199" i="4"/>
  <c r="F199" i="4"/>
  <c r="D199" i="4"/>
  <c r="C199" i="4"/>
  <c r="A199" i="4" s="1"/>
  <c r="G289" i="4"/>
  <c r="F289" i="4"/>
  <c r="E289" i="4"/>
  <c r="D289" i="4"/>
  <c r="C289" i="4"/>
  <c r="A289" i="4" s="1"/>
  <c r="G288" i="4"/>
  <c r="F288" i="4"/>
  <c r="E288" i="4"/>
  <c r="D288" i="4"/>
  <c r="C288" i="4"/>
  <c r="A288" i="4" s="1"/>
  <c r="G287" i="4"/>
  <c r="F287" i="4"/>
  <c r="E287" i="4"/>
  <c r="D287" i="4"/>
  <c r="C287" i="4"/>
  <c r="A287" i="4" s="1"/>
  <c r="G286" i="4"/>
  <c r="F286" i="4"/>
  <c r="E286" i="4"/>
  <c r="D286" i="4"/>
  <c r="C286" i="4"/>
  <c r="A286" i="4" s="1"/>
  <c r="G285" i="4"/>
  <c r="F285" i="4"/>
  <c r="E285" i="4"/>
  <c r="D285" i="4"/>
  <c r="C285" i="4"/>
  <c r="A285" i="4" s="1"/>
  <c r="G284" i="4"/>
  <c r="F284" i="4"/>
  <c r="E284" i="4"/>
  <c r="D284" i="4"/>
  <c r="C284" i="4"/>
  <c r="A284" i="4" s="1"/>
  <c r="G283" i="4"/>
  <c r="F283" i="4"/>
  <c r="E283" i="4"/>
  <c r="D283" i="4"/>
  <c r="C283" i="4"/>
  <c r="A283" i="4" s="1"/>
  <c r="G282" i="4"/>
  <c r="F282" i="4"/>
  <c r="E282" i="4"/>
  <c r="D282" i="4"/>
  <c r="C282" i="4"/>
  <c r="A282" i="4" s="1"/>
  <c r="G281" i="4"/>
  <c r="F281" i="4"/>
  <c r="E281" i="4"/>
  <c r="D281" i="4"/>
  <c r="C281" i="4"/>
  <c r="A281" i="4" s="1"/>
  <c r="G280" i="4"/>
  <c r="F280" i="4"/>
  <c r="E280" i="4"/>
  <c r="D280" i="4"/>
  <c r="C280" i="4"/>
  <c r="A280" i="4" s="1"/>
  <c r="G279" i="4"/>
  <c r="F279" i="4"/>
  <c r="E279" i="4"/>
  <c r="D279" i="4"/>
  <c r="C279" i="4"/>
  <c r="A279" i="4" s="1"/>
  <c r="G278" i="4"/>
  <c r="F278" i="4"/>
  <c r="E278" i="4"/>
  <c r="D278" i="4"/>
  <c r="C278" i="4"/>
  <c r="A278" i="4" s="1"/>
  <c r="G277" i="4"/>
  <c r="F277" i="4"/>
  <c r="E277" i="4"/>
  <c r="D277" i="4"/>
  <c r="C277" i="4"/>
  <c r="A277" i="4" s="1"/>
  <c r="G276" i="4"/>
  <c r="F276" i="4"/>
  <c r="E276" i="4"/>
  <c r="D276" i="4"/>
  <c r="C276" i="4"/>
  <c r="A276" i="4" s="1"/>
  <c r="G307" i="4"/>
  <c r="F307" i="4"/>
  <c r="E307" i="4"/>
  <c r="D307" i="4"/>
  <c r="G306" i="4"/>
  <c r="F306" i="4"/>
  <c r="E306" i="4"/>
  <c r="D306" i="4"/>
  <c r="G305" i="4"/>
  <c r="F305" i="4"/>
  <c r="E305" i="4"/>
  <c r="D305" i="4"/>
  <c r="G304" i="4"/>
  <c r="F304" i="4"/>
  <c r="E304" i="4"/>
  <c r="D304" i="4"/>
  <c r="G303" i="4"/>
  <c r="F303" i="4"/>
  <c r="E303" i="4"/>
  <c r="D303" i="4"/>
  <c r="G302" i="4"/>
  <c r="F302" i="4"/>
  <c r="E302" i="4"/>
  <c r="D302" i="4"/>
  <c r="C302" i="4"/>
  <c r="A302" i="4" s="1"/>
  <c r="G360" i="4"/>
  <c r="F360" i="4"/>
  <c r="D360" i="4"/>
  <c r="G359" i="4"/>
  <c r="F359" i="4"/>
  <c r="E359" i="4"/>
  <c r="D359" i="4"/>
  <c r="G358" i="4"/>
  <c r="F358" i="4"/>
  <c r="E358" i="4"/>
  <c r="D358" i="4"/>
  <c r="G357" i="4"/>
  <c r="F357" i="4"/>
  <c r="E357" i="4"/>
  <c r="D357" i="4"/>
  <c r="G356" i="4"/>
  <c r="F356" i="4"/>
  <c r="E356" i="4"/>
  <c r="D356" i="4"/>
  <c r="G387" i="4"/>
  <c r="F387" i="4"/>
  <c r="D387" i="4"/>
  <c r="G386" i="4"/>
  <c r="F386" i="4"/>
  <c r="E386" i="4"/>
  <c r="D386" i="4"/>
  <c r="G385" i="4"/>
  <c r="F385" i="4"/>
  <c r="E385" i="4"/>
  <c r="D385" i="4"/>
  <c r="G384" i="4"/>
  <c r="F384" i="4"/>
  <c r="E384" i="4"/>
  <c r="D384" i="4"/>
  <c r="G383" i="4"/>
  <c r="F383" i="4"/>
  <c r="E383" i="4"/>
  <c r="D383" i="4"/>
  <c r="G382" i="4"/>
  <c r="F382" i="4"/>
  <c r="E382" i="4"/>
  <c r="D382" i="4"/>
  <c r="G381" i="4"/>
  <c r="F381" i="4"/>
  <c r="E381" i="4"/>
  <c r="D381" i="4"/>
  <c r="G380" i="4"/>
  <c r="F380" i="4"/>
  <c r="E380" i="4"/>
  <c r="D380" i="4"/>
  <c r="G379" i="4"/>
  <c r="F379" i="4"/>
  <c r="E379" i="4"/>
  <c r="D379" i="4"/>
  <c r="G378" i="4"/>
  <c r="F378" i="4"/>
  <c r="E378" i="4"/>
  <c r="D378" i="4"/>
  <c r="G377" i="4"/>
  <c r="F377" i="4"/>
  <c r="E377" i="4"/>
  <c r="D377" i="4"/>
  <c r="G376" i="4"/>
  <c r="F376" i="4"/>
  <c r="D376" i="4"/>
  <c r="G375" i="4"/>
  <c r="F375" i="4"/>
  <c r="D375" i="4"/>
  <c r="G374" i="4"/>
  <c r="F374" i="4"/>
  <c r="D374" i="4"/>
  <c r="G373" i="4"/>
  <c r="F373" i="4"/>
  <c r="E373" i="4"/>
  <c r="D373" i="4"/>
  <c r="G372" i="4"/>
  <c r="F372" i="4"/>
  <c r="G462" i="4"/>
  <c r="F462" i="4"/>
  <c r="E462" i="4"/>
  <c r="G461" i="4"/>
  <c r="F461" i="4"/>
  <c r="E461" i="4"/>
  <c r="G460" i="4"/>
  <c r="F460" i="4"/>
  <c r="E460" i="4"/>
  <c r="G459" i="4"/>
  <c r="F459" i="4"/>
  <c r="E459" i="4"/>
  <c r="C459" i="4"/>
  <c r="A459" i="4" s="1"/>
  <c r="G458" i="4"/>
  <c r="F458" i="4"/>
  <c r="E458" i="4"/>
  <c r="C458" i="4"/>
  <c r="A458" i="4" s="1"/>
  <c r="G457" i="4"/>
  <c r="F457" i="4"/>
  <c r="E457" i="4"/>
  <c r="G456" i="4"/>
  <c r="F456" i="4"/>
  <c r="E456" i="4"/>
  <c r="G455" i="4"/>
  <c r="F455" i="4"/>
  <c r="E455" i="4"/>
  <c r="G454" i="4"/>
  <c r="F454" i="4"/>
  <c r="E454" i="4"/>
  <c r="G453" i="4"/>
  <c r="F453" i="4"/>
  <c r="E453" i="4"/>
  <c r="G452" i="4"/>
  <c r="F452" i="4"/>
  <c r="E452" i="4"/>
  <c r="G483" i="4"/>
  <c r="F483" i="4"/>
  <c r="D483" i="4"/>
  <c r="G482" i="4"/>
  <c r="F482" i="4"/>
  <c r="D482" i="4"/>
  <c r="G481" i="4"/>
  <c r="F481" i="4"/>
  <c r="D481" i="4"/>
  <c r="G480" i="4"/>
  <c r="F480" i="4"/>
  <c r="D480" i="4"/>
  <c r="G479" i="4"/>
  <c r="F479" i="4"/>
  <c r="D479" i="4"/>
  <c r="G478" i="4"/>
  <c r="F478" i="4"/>
  <c r="D478" i="4"/>
  <c r="G477" i="4"/>
  <c r="F477" i="4"/>
  <c r="D477" i="4"/>
  <c r="G476" i="4"/>
  <c r="F476" i="4"/>
  <c r="D476" i="4"/>
  <c r="G100" i="4"/>
  <c r="F100" i="4"/>
  <c r="E100" i="4"/>
  <c r="D100" i="4"/>
  <c r="C100" i="4"/>
  <c r="A100" i="4" s="1"/>
  <c r="G131" i="4"/>
  <c r="F131" i="4"/>
  <c r="E131" i="4"/>
  <c r="D131" i="4"/>
  <c r="C131" i="4"/>
  <c r="A131" i="4" s="1"/>
  <c r="G130" i="4"/>
  <c r="F130" i="4"/>
  <c r="E130" i="4"/>
  <c r="D130" i="4"/>
  <c r="C130" i="4"/>
  <c r="A130" i="4" s="1"/>
  <c r="G129" i="4"/>
  <c r="F129" i="4"/>
  <c r="E129" i="4"/>
  <c r="D129" i="4"/>
  <c r="C129" i="4"/>
  <c r="A129" i="4" s="1"/>
  <c r="G128" i="4"/>
  <c r="F128" i="4"/>
  <c r="E128" i="4"/>
  <c r="D128" i="4"/>
  <c r="C128" i="4"/>
  <c r="A128" i="4" s="1"/>
  <c r="G127" i="4"/>
  <c r="F127" i="4"/>
  <c r="E127" i="4"/>
  <c r="D127" i="4"/>
  <c r="C127" i="4"/>
  <c r="A127" i="4" s="1"/>
  <c r="G126" i="4"/>
  <c r="F126" i="4"/>
  <c r="E126" i="4"/>
  <c r="D126" i="4"/>
  <c r="C126" i="4"/>
  <c r="A126" i="4" s="1"/>
  <c r="G125" i="4"/>
  <c r="F125" i="4"/>
  <c r="E125" i="4"/>
  <c r="D125" i="4"/>
  <c r="C125" i="4"/>
  <c r="A125" i="4" s="1"/>
  <c r="G124" i="4"/>
  <c r="F124" i="4"/>
  <c r="E124" i="4"/>
  <c r="D124" i="4"/>
  <c r="C124" i="4"/>
  <c r="A124" i="4" s="1"/>
  <c r="G123" i="4"/>
  <c r="F123" i="4"/>
  <c r="E123" i="4"/>
  <c r="D123" i="4"/>
  <c r="C123" i="4"/>
  <c r="A123" i="4" s="1"/>
  <c r="G122" i="4"/>
  <c r="F122" i="4"/>
  <c r="E122" i="4"/>
  <c r="D122" i="4"/>
  <c r="C122" i="4"/>
  <c r="A122" i="4" s="1"/>
  <c r="G121" i="4"/>
  <c r="F121" i="4"/>
  <c r="E121" i="4"/>
  <c r="D121" i="4"/>
  <c r="C121" i="4"/>
  <c r="A121" i="4" s="1"/>
  <c r="G120" i="4"/>
  <c r="F120" i="4"/>
  <c r="E120" i="4"/>
  <c r="D120" i="4"/>
  <c r="C120" i="4"/>
  <c r="A120" i="4" s="1"/>
  <c r="G119" i="4"/>
  <c r="F119" i="4"/>
  <c r="E119" i="4"/>
  <c r="D119" i="4"/>
  <c r="C119" i="4"/>
  <c r="A119" i="4" s="1"/>
  <c r="G198" i="4"/>
  <c r="F198" i="4"/>
  <c r="D198" i="4"/>
  <c r="C198" i="4"/>
  <c r="A198" i="4" s="1"/>
  <c r="G197" i="4"/>
  <c r="F197" i="4"/>
  <c r="D197" i="4"/>
  <c r="C197" i="4"/>
  <c r="A197" i="4" s="1"/>
  <c r="G196" i="4"/>
  <c r="F196" i="4"/>
  <c r="D196" i="4"/>
  <c r="C196" i="4"/>
  <c r="A196" i="4" s="1"/>
  <c r="G227" i="4"/>
  <c r="F227" i="4"/>
  <c r="E227" i="4"/>
  <c r="D227" i="4"/>
  <c r="G226" i="4"/>
  <c r="F226" i="4"/>
  <c r="E226" i="4"/>
  <c r="D226" i="4"/>
  <c r="G225" i="4"/>
  <c r="F225" i="4"/>
  <c r="E225" i="4"/>
  <c r="D225" i="4"/>
  <c r="C225" i="4"/>
  <c r="A225" i="4" s="1"/>
  <c r="G224" i="4"/>
  <c r="F224" i="4"/>
  <c r="E224" i="4"/>
  <c r="D224" i="4"/>
  <c r="C224" i="4"/>
  <c r="A224" i="4" s="1"/>
  <c r="G223" i="4"/>
  <c r="F223" i="4"/>
  <c r="E223" i="4"/>
  <c r="D223" i="4"/>
  <c r="C223" i="4"/>
  <c r="A223" i="4" s="1"/>
  <c r="G222" i="4"/>
  <c r="F222" i="4"/>
  <c r="E222" i="4"/>
  <c r="D222" i="4"/>
  <c r="C222" i="4"/>
  <c r="A222" i="4" s="1"/>
  <c r="G221" i="4"/>
  <c r="F221" i="4"/>
  <c r="E221" i="4"/>
  <c r="D221" i="4"/>
  <c r="C221" i="4"/>
  <c r="A221" i="4" s="1"/>
  <c r="G220" i="4"/>
  <c r="F220" i="4"/>
  <c r="E220" i="4"/>
  <c r="D220" i="4"/>
  <c r="C220" i="4"/>
  <c r="A220" i="4" s="1"/>
  <c r="G219" i="4"/>
  <c r="F219" i="4"/>
  <c r="E219" i="4"/>
  <c r="D219" i="4"/>
  <c r="C219" i="4"/>
  <c r="A219" i="4" s="1"/>
  <c r="G218" i="4"/>
  <c r="F218" i="4"/>
  <c r="E218" i="4"/>
  <c r="D218" i="4"/>
  <c r="C218" i="4"/>
  <c r="A218" i="4" s="1"/>
  <c r="G217" i="4"/>
  <c r="F217" i="4"/>
  <c r="E217" i="4"/>
  <c r="D217" i="4"/>
  <c r="C217" i="4"/>
  <c r="A217" i="4" s="1"/>
  <c r="G216" i="4"/>
  <c r="F216" i="4"/>
  <c r="E216" i="4"/>
  <c r="D216" i="4"/>
  <c r="C216" i="4"/>
  <c r="A216" i="4" s="1"/>
  <c r="G215" i="4"/>
  <c r="F215" i="4"/>
  <c r="E215" i="4"/>
  <c r="D215" i="4"/>
  <c r="C215" i="4"/>
  <c r="A215" i="4" s="1"/>
  <c r="G214" i="4"/>
  <c r="F214" i="4"/>
  <c r="E214" i="4"/>
  <c r="D214" i="4"/>
  <c r="C214" i="4"/>
  <c r="A214" i="4" s="1"/>
  <c r="G213" i="4"/>
  <c r="F213" i="4"/>
  <c r="E213" i="4"/>
  <c r="D213" i="4"/>
  <c r="C213" i="4"/>
  <c r="A213" i="4" s="1"/>
  <c r="G301" i="4"/>
  <c r="F301" i="4"/>
  <c r="E301" i="4"/>
  <c r="D301" i="4"/>
  <c r="C301" i="4"/>
  <c r="A301" i="4" s="1"/>
  <c r="G300" i="4"/>
  <c r="F300" i="4"/>
  <c r="E300" i="4"/>
  <c r="D300" i="4"/>
  <c r="C300" i="4"/>
  <c r="A300" i="4" s="1"/>
  <c r="G299" i="4"/>
  <c r="F299" i="4"/>
  <c r="E299" i="4"/>
  <c r="D299" i="4"/>
  <c r="C299" i="4"/>
  <c r="A299" i="4" s="1"/>
  <c r="G298" i="4"/>
  <c r="F298" i="4"/>
  <c r="E298" i="4"/>
  <c r="D298" i="4"/>
  <c r="C298" i="4"/>
  <c r="A298" i="4" s="1"/>
  <c r="G297" i="4"/>
  <c r="F297" i="4"/>
  <c r="E297" i="4"/>
  <c r="D297" i="4"/>
  <c r="C297" i="4"/>
  <c r="A297" i="4" s="1"/>
  <c r="G296" i="4"/>
  <c r="F296" i="4"/>
  <c r="E296" i="4"/>
  <c r="D296" i="4"/>
  <c r="C296" i="4"/>
  <c r="A296" i="4" s="1"/>
  <c r="G295" i="4"/>
  <c r="F295" i="4"/>
  <c r="E295" i="4"/>
  <c r="D295" i="4"/>
  <c r="C295" i="4"/>
  <c r="A295" i="4" s="1"/>
  <c r="G294" i="4"/>
  <c r="F294" i="4"/>
  <c r="E294" i="4"/>
  <c r="D294" i="4"/>
  <c r="C294" i="4"/>
  <c r="A294" i="4" s="1"/>
  <c r="G293" i="4"/>
  <c r="F293" i="4"/>
  <c r="E293" i="4"/>
  <c r="D293" i="4"/>
  <c r="C293" i="4"/>
  <c r="A293" i="4" s="1"/>
  <c r="G292" i="4"/>
  <c r="F292" i="4"/>
  <c r="E292" i="4"/>
  <c r="D292" i="4"/>
  <c r="C292" i="4"/>
  <c r="A292" i="4" s="1"/>
  <c r="G323" i="4"/>
  <c r="F323" i="4"/>
  <c r="E323" i="4"/>
  <c r="D323" i="4"/>
  <c r="G322" i="4"/>
  <c r="F322" i="4"/>
  <c r="E322" i="4"/>
  <c r="D322" i="4"/>
  <c r="G321" i="4"/>
  <c r="F321" i="4"/>
  <c r="E321" i="4"/>
  <c r="D321" i="4"/>
  <c r="E372" i="4"/>
  <c r="D372" i="4"/>
  <c r="G403" i="4"/>
  <c r="F403" i="4"/>
  <c r="D403" i="4"/>
  <c r="G402" i="4"/>
  <c r="F402" i="4"/>
  <c r="D402" i="4"/>
  <c r="G401" i="4"/>
  <c r="F401" i="4"/>
  <c r="D401" i="4"/>
  <c r="G400" i="4"/>
  <c r="F400" i="4"/>
  <c r="E400" i="4"/>
  <c r="D400" i="4"/>
  <c r="G399" i="4"/>
  <c r="F399" i="4"/>
  <c r="E399" i="4"/>
  <c r="D399" i="4"/>
  <c r="G398" i="4"/>
  <c r="F398" i="4"/>
  <c r="E398" i="4"/>
  <c r="D398" i="4"/>
  <c r="G397" i="4"/>
  <c r="F397" i="4"/>
  <c r="D397" i="4"/>
  <c r="G396" i="4"/>
  <c r="F396" i="4"/>
  <c r="D396" i="4"/>
  <c r="G395" i="4"/>
  <c r="F395" i="4"/>
  <c r="D395" i="4"/>
  <c r="G394" i="4"/>
  <c r="F394" i="4"/>
  <c r="D394" i="4"/>
  <c r="G393" i="4"/>
  <c r="F393" i="4"/>
  <c r="D393" i="4"/>
  <c r="G392" i="4"/>
  <c r="F392" i="4"/>
  <c r="D392" i="4"/>
  <c r="G391" i="4"/>
  <c r="F391" i="4"/>
  <c r="D391" i="4"/>
  <c r="G390" i="4"/>
  <c r="F390" i="4"/>
  <c r="D390" i="4"/>
  <c r="G475" i="4"/>
  <c r="F475" i="4"/>
  <c r="D475" i="4"/>
  <c r="G474" i="4"/>
  <c r="F474" i="4"/>
  <c r="D474" i="4"/>
  <c r="G473" i="4"/>
  <c r="F473" i="4"/>
  <c r="D473" i="4"/>
  <c r="G472" i="4"/>
  <c r="F472" i="4"/>
  <c r="E472" i="4"/>
  <c r="D472" i="4"/>
  <c r="G471" i="4"/>
  <c r="F471" i="4"/>
  <c r="E471" i="4"/>
  <c r="D471" i="4"/>
  <c r="G470" i="4"/>
  <c r="F470" i="4"/>
  <c r="E470" i="4"/>
  <c r="D470" i="4"/>
  <c r="G469" i="4"/>
  <c r="F469" i="4"/>
  <c r="E469" i="4"/>
  <c r="D469" i="4"/>
  <c r="C469" i="4"/>
  <c r="A469" i="4" s="1"/>
  <c r="G468" i="4"/>
  <c r="F468" i="4"/>
  <c r="E468" i="4"/>
  <c r="D468" i="4"/>
  <c r="C468" i="4"/>
  <c r="A468" i="4" s="1"/>
  <c r="G499" i="4"/>
  <c r="F499" i="4"/>
  <c r="E499" i="4"/>
  <c r="D499" i="4"/>
  <c r="G498" i="4"/>
  <c r="F498" i="4"/>
  <c r="E498" i="4"/>
  <c r="D498" i="4"/>
  <c r="G497" i="4"/>
  <c r="F497" i="4"/>
  <c r="E497" i="4"/>
  <c r="D497" i="4"/>
  <c r="G496" i="4"/>
  <c r="F496" i="4"/>
  <c r="E496" i="4"/>
  <c r="D496" i="4"/>
  <c r="G495" i="4"/>
  <c r="F495" i="4"/>
  <c r="E495" i="4"/>
  <c r="D495" i="4"/>
  <c r="G494" i="4"/>
  <c r="F494" i="4"/>
  <c r="E494" i="4"/>
  <c r="D494" i="4"/>
  <c r="G493" i="4"/>
  <c r="F493" i="4"/>
  <c r="E493" i="4"/>
  <c r="D493" i="4"/>
  <c r="G492" i="4"/>
  <c r="F492" i="4"/>
  <c r="E492" i="4"/>
  <c r="D492" i="4"/>
  <c r="G491" i="4"/>
  <c r="F491" i="4"/>
  <c r="E491" i="4"/>
  <c r="D491" i="4"/>
  <c r="C491" i="4"/>
  <c r="A491" i="4" s="1"/>
  <c r="G490" i="4"/>
  <c r="F490" i="4"/>
  <c r="E490" i="4"/>
  <c r="D490" i="4"/>
  <c r="C490" i="4"/>
  <c r="A490" i="4" s="1"/>
  <c r="AN71" i="4"/>
  <c r="AO71" i="4" s="1"/>
  <c r="G118" i="4"/>
  <c r="F118" i="4"/>
  <c r="E118" i="4"/>
  <c r="D118" i="4"/>
  <c r="C118" i="4"/>
  <c r="A118" i="4" s="1"/>
  <c r="G117" i="4"/>
  <c r="F117" i="4"/>
  <c r="E117" i="4"/>
  <c r="D117" i="4"/>
  <c r="C117" i="4"/>
  <c r="A117" i="4" s="1"/>
  <c r="G116" i="4"/>
  <c r="F116" i="4"/>
  <c r="E116" i="4"/>
  <c r="D116" i="4"/>
  <c r="C116" i="4"/>
  <c r="A116" i="4" s="1"/>
  <c r="G147" i="4"/>
  <c r="F147" i="4"/>
  <c r="E147" i="4"/>
  <c r="D147" i="4"/>
  <c r="C147" i="4"/>
  <c r="A147" i="4" s="1"/>
  <c r="G146" i="4"/>
  <c r="F146" i="4"/>
  <c r="E146" i="4"/>
  <c r="D146" i="4"/>
  <c r="C146" i="4"/>
  <c r="A146" i="4" s="1"/>
  <c r="G145" i="4"/>
  <c r="F145" i="4"/>
  <c r="E145" i="4"/>
  <c r="D145" i="4"/>
  <c r="C145" i="4"/>
  <c r="A145" i="4" s="1"/>
  <c r="G144" i="4"/>
  <c r="F144" i="4"/>
  <c r="E144" i="4"/>
  <c r="D144" i="4"/>
  <c r="C144" i="4"/>
  <c r="A144" i="4" s="1"/>
  <c r="G143" i="4"/>
  <c r="F143" i="4"/>
  <c r="E143" i="4"/>
  <c r="D143" i="4"/>
  <c r="C143" i="4"/>
  <c r="A143" i="4" s="1"/>
  <c r="G142" i="4"/>
  <c r="F142" i="4"/>
  <c r="E142" i="4"/>
  <c r="D142" i="4"/>
  <c r="C142" i="4"/>
  <c r="A142" i="4" s="1"/>
  <c r="G141" i="4"/>
  <c r="F141" i="4"/>
  <c r="E141" i="4"/>
  <c r="D141" i="4"/>
  <c r="C141" i="4"/>
  <c r="A141" i="4" s="1"/>
  <c r="G140" i="4"/>
  <c r="F140" i="4"/>
  <c r="E140" i="4"/>
  <c r="D140" i="4"/>
  <c r="C140" i="4"/>
  <c r="A140" i="4" s="1"/>
  <c r="G139" i="4"/>
  <c r="F139" i="4"/>
  <c r="E139" i="4"/>
  <c r="D139" i="4"/>
  <c r="C139" i="4"/>
  <c r="A139" i="4" s="1"/>
  <c r="G138" i="4"/>
  <c r="F138" i="4"/>
  <c r="E138" i="4"/>
  <c r="D138" i="4"/>
  <c r="C138" i="4"/>
  <c r="A138" i="4" s="1"/>
  <c r="G137" i="4"/>
  <c r="F137" i="4"/>
  <c r="E137" i="4"/>
  <c r="D137" i="4"/>
  <c r="C137" i="4"/>
  <c r="A137" i="4" s="1"/>
  <c r="G136" i="4"/>
  <c r="F136" i="4"/>
  <c r="E136" i="4"/>
  <c r="D136" i="4"/>
  <c r="C136" i="4"/>
  <c r="A136" i="4" s="1"/>
  <c r="G135" i="4"/>
  <c r="F135" i="4"/>
  <c r="E135" i="4"/>
  <c r="D135" i="4"/>
  <c r="C135" i="4"/>
  <c r="A135" i="4" s="1"/>
  <c r="G134" i="4"/>
  <c r="F134" i="4"/>
  <c r="E134" i="4"/>
  <c r="D134" i="4"/>
  <c r="C134" i="4"/>
  <c r="A134" i="4" s="1"/>
  <c r="G133" i="4"/>
  <c r="F133" i="4"/>
  <c r="E133" i="4"/>
  <c r="D133" i="4"/>
  <c r="C133" i="4"/>
  <c r="A133" i="4" s="1"/>
  <c r="G132" i="4"/>
  <c r="F132" i="4"/>
  <c r="E132" i="4"/>
  <c r="D132" i="4"/>
  <c r="C132" i="4"/>
  <c r="A132" i="4" s="1"/>
  <c r="G163" i="4"/>
  <c r="F163" i="4"/>
  <c r="E163" i="4"/>
  <c r="D163" i="4"/>
  <c r="C163" i="4"/>
  <c r="A163" i="4" s="1"/>
  <c r="G162" i="4"/>
  <c r="F162" i="4"/>
  <c r="E162" i="4"/>
  <c r="D162" i="4"/>
  <c r="C162" i="4"/>
  <c r="A162" i="4" s="1"/>
  <c r="G161" i="4"/>
  <c r="F161" i="4"/>
  <c r="E161" i="4"/>
  <c r="D161" i="4"/>
  <c r="C161" i="4"/>
  <c r="A161" i="4" s="1"/>
  <c r="G160" i="4"/>
  <c r="F160" i="4"/>
  <c r="E160" i="4"/>
  <c r="D160" i="4"/>
  <c r="C160" i="4"/>
  <c r="A160" i="4" s="1"/>
  <c r="G159" i="4"/>
  <c r="F159" i="4"/>
  <c r="E159" i="4"/>
  <c r="D159" i="4"/>
  <c r="C159" i="4"/>
  <c r="A159" i="4" s="1"/>
  <c r="G158" i="4"/>
  <c r="F158" i="4"/>
  <c r="E158" i="4"/>
  <c r="D158" i="4"/>
  <c r="C158" i="4"/>
  <c r="A158" i="4" s="1"/>
  <c r="G157" i="4"/>
  <c r="F157" i="4"/>
  <c r="E157" i="4"/>
  <c r="D157" i="4"/>
  <c r="C157" i="4"/>
  <c r="A157" i="4" s="1"/>
  <c r="G156" i="4"/>
  <c r="F156" i="4"/>
  <c r="E156" i="4"/>
  <c r="D156" i="4"/>
  <c r="C156" i="4"/>
  <c r="A156" i="4" s="1"/>
  <c r="G155" i="4"/>
  <c r="F155" i="4"/>
  <c r="E155" i="4"/>
  <c r="D155" i="4"/>
  <c r="C155" i="4"/>
  <c r="A155" i="4" s="1"/>
  <c r="G154" i="4"/>
  <c r="F154" i="4"/>
  <c r="E154" i="4"/>
  <c r="D154" i="4"/>
  <c r="C154" i="4"/>
  <c r="A154" i="4" s="1"/>
  <c r="G153" i="4"/>
  <c r="F153" i="4"/>
  <c r="E153" i="4"/>
  <c r="D153" i="4"/>
  <c r="C153" i="4"/>
  <c r="A153" i="4" s="1"/>
  <c r="G152" i="4"/>
  <c r="F152" i="4"/>
  <c r="E152" i="4"/>
  <c r="D152" i="4"/>
  <c r="C152" i="4"/>
  <c r="A152" i="4" s="1"/>
  <c r="G151" i="4"/>
  <c r="F151" i="4"/>
  <c r="E151" i="4"/>
  <c r="D151" i="4"/>
  <c r="C151" i="4"/>
  <c r="A151" i="4" s="1"/>
  <c r="G150" i="4"/>
  <c r="F150" i="4"/>
  <c r="E150" i="4"/>
  <c r="D150" i="4"/>
  <c r="C150" i="4"/>
  <c r="A150" i="4" s="1"/>
  <c r="G149" i="4"/>
  <c r="F149" i="4"/>
  <c r="E149" i="4"/>
  <c r="D149" i="4"/>
  <c r="C149" i="4"/>
  <c r="A149" i="4" s="1"/>
  <c r="G148" i="4"/>
  <c r="F148" i="4"/>
  <c r="E148" i="4"/>
  <c r="D148" i="4"/>
  <c r="C148" i="4"/>
  <c r="A148" i="4" s="1"/>
  <c r="G179" i="4"/>
  <c r="F179" i="4"/>
  <c r="E179" i="4"/>
  <c r="D179" i="4"/>
  <c r="C179" i="4"/>
  <c r="A179" i="4" s="1"/>
  <c r="G178" i="4"/>
  <c r="F178" i="4"/>
  <c r="E178" i="4"/>
  <c r="D178" i="4"/>
  <c r="C178" i="4"/>
  <c r="A178" i="4" s="1"/>
  <c r="G177" i="4"/>
  <c r="F177" i="4"/>
  <c r="E177" i="4"/>
  <c r="D177" i="4"/>
  <c r="C177" i="4"/>
  <c r="A177" i="4" s="1"/>
  <c r="G176" i="4"/>
  <c r="F176" i="4"/>
  <c r="E176" i="4"/>
  <c r="D176" i="4"/>
  <c r="C176" i="4"/>
  <c r="A176" i="4" s="1"/>
  <c r="G175" i="4"/>
  <c r="F175" i="4"/>
  <c r="E175" i="4"/>
  <c r="C175" i="4"/>
  <c r="A175" i="4" s="1"/>
  <c r="G174" i="4"/>
  <c r="F174" i="4"/>
  <c r="E174" i="4"/>
  <c r="C174" i="4"/>
  <c r="A174" i="4" s="1"/>
  <c r="G173" i="4"/>
  <c r="F173" i="4"/>
  <c r="E173" i="4"/>
  <c r="C173" i="4"/>
  <c r="A173" i="4" s="1"/>
  <c r="G172" i="4"/>
  <c r="F172" i="4"/>
  <c r="E172" i="4"/>
  <c r="C172" i="4"/>
  <c r="A172" i="4" s="1"/>
  <c r="G171" i="4"/>
  <c r="F171" i="4"/>
  <c r="E171" i="4"/>
  <c r="C171" i="4"/>
  <c r="A171" i="4" s="1"/>
  <c r="G170" i="4"/>
  <c r="F170" i="4"/>
  <c r="E170" i="4"/>
  <c r="C170" i="4"/>
  <c r="A170" i="4" s="1"/>
  <c r="G169" i="4"/>
  <c r="F169" i="4"/>
  <c r="E169" i="4"/>
  <c r="C169" i="4"/>
  <c r="A169" i="4" s="1"/>
  <c r="G168" i="4"/>
  <c r="F168" i="4"/>
  <c r="E168" i="4"/>
  <c r="C168" i="4"/>
  <c r="A168" i="4" s="1"/>
  <c r="G167" i="4"/>
  <c r="F167" i="4"/>
  <c r="E167" i="4"/>
  <c r="C167" i="4"/>
  <c r="A167" i="4" s="1"/>
  <c r="G166" i="4"/>
  <c r="F166" i="4"/>
  <c r="E166" i="4"/>
  <c r="D166" i="4"/>
  <c r="C166" i="4"/>
  <c r="A166" i="4" s="1"/>
  <c r="G165" i="4"/>
  <c r="F165" i="4"/>
  <c r="E165" i="4"/>
  <c r="D165" i="4"/>
  <c r="C165" i="4"/>
  <c r="A165" i="4" s="1"/>
  <c r="G164" i="4"/>
  <c r="F164" i="4"/>
  <c r="E164" i="4"/>
  <c r="D164" i="4"/>
  <c r="C164" i="4"/>
  <c r="A164" i="4" s="1"/>
  <c r="G195" i="4"/>
  <c r="F195" i="4"/>
  <c r="D195" i="4"/>
  <c r="C195" i="4"/>
  <c r="A195" i="4" s="1"/>
  <c r="G194" i="4"/>
  <c r="F194" i="4"/>
  <c r="D194" i="4"/>
  <c r="C194" i="4"/>
  <c r="A194" i="4" s="1"/>
  <c r="G193" i="4"/>
  <c r="F193" i="4"/>
  <c r="D193" i="4"/>
  <c r="C193" i="4"/>
  <c r="A193" i="4" s="1"/>
  <c r="G192" i="4"/>
  <c r="F192" i="4"/>
  <c r="D192" i="4"/>
  <c r="C192" i="4"/>
  <c r="A192" i="4" s="1"/>
  <c r="G191" i="4"/>
  <c r="F191" i="4"/>
  <c r="D191" i="4"/>
  <c r="C191" i="4"/>
  <c r="A191" i="4" s="1"/>
  <c r="G190" i="4"/>
  <c r="F190" i="4"/>
  <c r="D190" i="4"/>
  <c r="C190" i="4"/>
  <c r="A190" i="4" s="1"/>
  <c r="G189" i="4"/>
  <c r="F189" i="4"/>
  <c r="E189" i="4"/>
  <c r="D189" i="4"/>
  <c r="C189" i="4"/>
  <c r="A189" i="4" s="1"/>
  <c r="G188" i="4"/>
  <c r="F188" i="4"/>
  <c r="E188" i="4"/>
  <c r="D188" i="4"/>
  <c r="C188" i="4"/>
  <c r="A188" i="4" s="1"/>
  <c r="G187" i="4"/>
  <c r="F187" i="4"/>
  <c r="E187" i="4"/>
  <c r="D187" i="4"/>
  <c r="C187" i="4"/>
  <c r="A187" i="4" s="1"/>
  <c r="G212" i="4"/>
  <c r="F212" i="4"/>
  <c r="E212" i="4"/>
  <c r="D212" i="4"/>
  <c r="C212" i="4"/>
  <c r="A212" i="4" s="1"/>
  <c r="G243" i="4"/>
  <c r="F243" i="4"/>
  <c r="E243" i="4"/>
  <c r="D243" i="4"/>
  <c r="C243" i="4"/>
  <c r="A243" i="4" s="1"/>
  <c r="C242" i="4"/>
  <c r="A242" i="4" s="1"/>
  <c r="G242" i="4"/>
  <c r="F242" i="4"/>
  <c r="E242" i="4"/>
  <c r="D242" i="4"/>
  <c r="G241" i="4"/>
  <c r="F241" i="4"/>
  <c r="E241" i="4"/>
  <c r="D241" i="4"/>
  <c r="C241" i="4"/>
  <c r="A241" i="4" s="1"/>
  <c r="G240" i="4"/>
  <c r="F240" i="4"/>
  <c r="E240" i="4"/>
  <c r="D240" i="4"/>
  <c r="G239" i="4"/>
  <c r="F239" i="4"/>
  <c r="E239" i="4"/>
  <c r="D239" i="4"/>
  <c r="G238" i="4"/>
  <c r="F238" i="4"/>
  <c r="E238" i="4"/>
  <c r="D238" i="4"/>
  <c r="G237" i="4"/>
  <c r="F237" i="4"/>
  <c r="E237" i="4"/>
  <c r="D237" i="4"/>
  <c r="G236" i="4"/>
  <c r="F236" i="4"/>
  <c r="E236" i="4"/>
  <c r="D236" i="4"/>
  <c r="G235" i="4"/>
  <c r="F235" i="4"/>
  <c r="E235" i="4"/>
  <c r="D235" i="4"/>
  <c r="G234" i="4"/>
  <c r="F234" i="4"/>
  <c r="E234" i="4"/>
  <c r="D234" i="4"/>
  <c r="F233" i="4"/>
  <c r="G233" i="4"/>
  <c r="E233" i="4"/>
  <c r="D233" i="4"/>
  <c r="G232" i="4"/>
  <c r="F232" i="4"/>
  <c r="E232" i="4"/>
  <c r="D232" i="4"/>
  <c r="G231" i="4"/>
  <c r="F231" i="4"/>
  <c r="E231" i="4"/>
  <c r="D231" i="4"/>
  <c r="G230" i="4"/>
  <c r="F230" i="4"/>
  <c r="E230" i="4"/>
  <c r="D230" i="4"/>
  <c r="G229" i="4"/>
  <c r="F229" i="4"/>
  <c r="E229" i="4"/>
  <c r="D229" i="4"/>
  <c r="G228" i="4"/>
  <c r="F228" i="4"/>
  <c r="E228" i="4"/>
  <c r="D228" i="4"/>
  <c r="G259" i="4"/>
  <c r="F259" i="4"/>
  <c r="E259" i="4"/>
  <c r="D259" i="4"/>
  <c r="C259" i="4"/>
  <c r="A259" i="4" s="1"/>
  <c r="G258" i="4"/>
  <c r="F258" i="4"/>
  <c r="E258" i="4"/>
  <c r="D258" i="4"/>
  <c r="C258" i="4"/>
  <c r="A258" i="4" s="1"/>
  <c r="C257" i="4"/>
  <c r="A257" i="4" s="1"/>
  <c r="G257" i="4"/>
  <c r="F257" i="4"/>
  <c r="E257" i="4"/>
  <c r="D257" i="4"/>
  <c r="G256" i="4"/>
  <c r="F256" i="4"/>
  <c r="E256" i="4"/>
  <c r="D256" i="4"/>
  <c r="C256" i="4"/>
  <c r="A256" i="4" s="1"/>
  <c r="G255" i="4"/>
  <c r="F255" i="4"/>
  <c r="E255" i="4"/>
  <c r="D255" i="4"/>
  <c r="C255" i="4"/>
  <c r="A255" i="4" s="1"/>
  <c r="C254" i="4"/>
  <c r="A254" i="4" s="1"/>
  <c r="G254" i="4"/>
  <c r="F254" i="4"/>
  <c r="E254" i="4"/>
  <c r="D254" i="4"/>
  <c r="C253" i="4"/>
  <c r="A253" i="4" s="1"/>
  <c r="G253" i="4"/>
  <c r="F253" i="4"/>
  <c r="E253" i="4"/>
  <c r="D253" i="4"/>
  <c r="G252" i="4"/>
  <c r="F252" i="4"/>
  <c r="E252" i="4"/>
  <c r="D252" i="4"/>
  <c r="C252" i="4"/>
  <c r="A252" i="4" s="1"/>
  <c r="F251" i="4"/>
  <c r="G251" i="4"/>
  <c r="E251" i="4"/>
  <c r="D251" i="4"/>
  <c r="C251" i="4"/>
  <c r="A251" i="4" s="1"/>
  <c r="C250" i="4"/>
  <c r="A250" i="4" s="1"/>
  <c r="G250" i="4"/>
  <c r="F250" i="4"/>
  <c r="E250" i="4"/>
  <c r="D250" i="4"/>
  <c r="G249" i="4"/>
  <c r="F249" i="4"/>
  <c r="E249" i="4"/>
  <c r="D249" i="4"/>
  <c r="C249" i="4"/>
  <c r="A249" i="4" s="1"/>
  <c r="G248" i="4"/>
  <c r="F248" i="4"/>
  <c r="E248" i="4"/>
  <c r="D248" i="4"/>
  <c r="C248" i="4"/>
  <c r="A248" i="4" s="1"/>
  <c r="G247" i="4"/>
  <c r="F247" i="4"/>
  <c r="E247" i="4"/>
  <c r="D247" i="4"/>
  <c r="C247" i="4"/>
  <c r="A247" i="4" s="1"/>
  <c r="E246" i="4"/>
  <c r="G246" i="4"/>
  <c r="F246" i="4"/>
  <c r="D246" i="4"/>
  <c r="C246" i="4"/>
  <c r="A246" i="4" s="1"/>
  <c r="G245" i="4"/>
  <c r="F245" i="4"/>
  <c r="E245" i="4"/>
  <c r="D245" i="4"/>
  <c r="C245" i="4"/>
  <c r="A245" i="4" s="1"/>
  <c r="G244" i="4"/>
  <c r="F244" i="4"/>
  <c r="E244" i="4"/>
  <c r="D244" i="4"/>
  <c r="C244" i="4"/>
  <c r="A244" i="4" s="1"/>
  <c r="C275" i="4"/>
  <c r="A275" i="4" s="1"/>
  <c r="G275" i="4"/>
  <c r="F275" i="4"/>
  <c r="E275" i="4"/>
  <c r="D275" i="4"/>
  <c r="G274" i="4"/>
  <c r="F274" i="4"/>
  <c r="E274" i="4"/>
  <c r="D274" i="4"/>
  <c r="C274" i="4"/>
  <c r="A274" i="4" s="1"/>
  <c r="G273" i="4"/>
  <c r="F273" i="4"/>
  <c r="E273" i="4"/>
  <c r="D273" i="4"/>
  <c r="C273" i="4"/>
  <c r="A273" i="4" s="1"/>
  <c r="C272" i="4"/>
  <c r="A272" i="4" s="1"/>
  <c r="G272" i="4"/>
  <c r="F272" i="4"/>
  <c r="E272" i="4"/>
  <c r="D272" i="4"/>
  <c r="C271" i="4"/>
  <c r="A271" i="4" s="1"/>
  <c r="G271" i="4"/>
  <c r="F271" i="4"/>
  <c r="E271" i="4"/>
  <c r="D271" i="4"/>
  <c r="G270" i="4"/>
  <c r="F270" i="4"/>
  <c r="E270" i="4"/>
  <c r="D270" i="4"/>
  <c r="C270" i="4"/>
  <c r="A270" i="4" s="1"/>
  <c r="F269" i="4"/>
  <c r="G269" i="4"/>
  <c r="E269" i="4"/>
  <c r="D269" i="4"/>
  <c r="C269" i="4"/>
  <c r="A269" i="4" s="1"/>
  <c r="C268" i="4"/>
  <c r="A268" i="4" s="1"/>
  <c r="G268" i="4"/>
  <c r="F268" i="4"/>
  <c r="E268" i="4"/>
  <c r="D268" i="4"/>
  <c r="G267" i="4"/>
  <c r="F267" i="4"/>
  <c r="E267" i="4"/>
  <c r="D267" i="4"/>
  <c r="C267" i="4"/>
  <c r="A267" i="4" s="1"/>
  <c r="G266" i="4"/>
  <c r="F266" i="4"/>
  <c r="E266" i="4"/>
  <c r="D266" i="4"/>
  <c r="C266" i="4"/>
  <c r="A266" i="4" s="1"/>
  <c r="C265" i="4"/>
  <c r="A265" i="4" s="1"/>
  <c r="G265" i="4"/>
  <c r="F265" i="4"/>
  <c r="E265" i="4"/>
  <c r="D265" i="4"/>
  <c r="C264" i="4"/>
  <c r="A264" i="4" s="1"/>
  <c r="G264" i="4"/>
  <c r="F264" i="4"/>
  <c r="E264" i="4"/>
  <c r="D264" i="4"/>
  <c r="G263" i="4"/>
  <c r="F263" i="4"/>
  <c r="E263" i="4"/>
  <c r="D263" i="4"/>
  <c r="C263" i="4"/>
  <c r="A263" i="4" s="1"/>
  <c r="G262" i="4"/>
  <c r="F262" i="4"/>
  <c r="E262" i="4"/>
  <c r="D262" i="4"/>
  <c r="C262" i="4"/>
  <c r="A262" i="4" s="1"/>
  <c r="C261" i="4"/>
  <c r="A261" i="4" s="1"/>
  <c r="G261" i="4"/>
  <c r="F261" i="4"/>
  <c r="E261" i="4"/>
  <c r="D261" i="4"/>
  <c r="G260" i="4"/>
  <c r="F260" i="4"/>
  <c r="E260" i="4"/>
  <c r="D260" i="4"/>
  <c r="C260" i="4"/>
  <c r="A260" i="4" s="1"/>
  <c r="G291" i="4"/>
  <c r="F291" i="4"/>
  <c r="E291" i="4"/>
  <c r="D291" i="4"/>
  <c r="C291" i="4"/>
  <c r="A291" i="4" s="1"/>
  <c r="C290" i="4"/>
  <c r="A290" i="4" s="1"/>
  <c r="G290" i="4"/>
  <c r="F290" i="4"/>
  <c r="E290" i="4"/>
  <c r="D290" i="4"/>
  <c r="G320" i="4"/>
  <c r="F320" i="4"/>
  <c r="E320" i="4"/>
  <c r="D320" i="4"/>
  <c r="E319" i="4"/>
  <c r="F319" i="4"/>
  <c r="D319" i="4"/>
  <c r="C319" i="4"/>
  <c r="A319" i="4" s="1"/>
  <c r="G319" i="4"/>
  <c r="G318" i="4"/>
  <c r="F318" i="4"/>
  <c r="E318" i="4"/>
  <c r="D318" i="4"/>
  <c r="C318" i="4"/>
  <c r="A318" i="4" s="1"/>
  <c r="F317" i="4"/>
  <c r="D317" i="4"/>
  <c r="E317" i="4"/>
  <c r="G317" i="4"/>
  <c r="E316" i="4"/>
  <c r="F316" i="4"/>
  <c r="G316" i="4"/>
  <c r="D316" i="4"/>
  <c r="D315" i="4"/>
  <c r="F315" i="4"/>
  <c r="G315" i="4"/>
  <c r="E315" i="4"/>
  <c r="G314" i="4"/>
  <c r="F314" i="4"/>
  <c r="E314" i="4"/>
  <c r="D314" i="4"/>
  <c r="G313" i="4"/>
  <c r="F313" i="4"/>
  <c r="E313" i="4"/>
  <c r="D313" i="4"/>
  <c r="D312" i="4"/>
  <c r="E312" i="4"/>
  <c r="G312" i="4"/>
  <c r="F312" i="4"/>
  <c r="E311" i="4"/>
  <c r="D311" i="4"/>
  <c r="F311" i="4"/>
  <c r="G311" i="4"/>
  <c r="D310" i="4"/>
  <c r="E310" i="4"/>
  <c r="F310" i="4"/>
  <c r="G310" i="4"/>
  <c r="G309" i="4"/>
  <c r="F309" i="4"/>
  <c r="E309" i="4"/>
  <c r="D309" i="4"/>
  <c r="G308" i="4"/>
  <c r="F308" i="4"/>
  <c r="E308" i="4"/>
  <c r="D308" i="4"/>
  <c r="D339" i="4"/>
  <c r="G339" i="4"/>
  <c r="F339" i="4"/>
  <c r="F338" i="4"/>
  <c r="D338" i="4"/>
  <c r="G338" i="4"/>
  <c r="D337" i="4"/>
  <c r="F337" i="4"/>
  <c r="G337" i="4"/>
  <c r="G336" i="4"/>
  <c r="F336" i="4"/>
  <c r="D336" i="4"/>
  <c r="D335" i="4"/>
  <c r="G335" i="4"/>
  <c r="F335" i="4"/>
  <c r="F334" i="4"/>
  <c r="G334" i="4"/>
  <c r="D334" i="4"/>
  <c r="G333" i="4"/>
  <c r="F333" i="4"/>
  <c r="D333" i="4"/>
  <c r="G332" i="4"/>
  <c r="F332" i="4"/>
  <c r="E332" i="4"/>
  <c r="D332" i="4"/>
  <c r="G331" i="4"/>
  <c r="F331" i="4"/>
  <c r="E331" i="4"/>
  <c r="D331" i="4"/>
  <c r="F330" i="4"/>
  <c r="G330" i="4"/>
  <c r="E330" i="4"/>
  <c r="D330" i="4"/>
  <c r="G329" i="4"/>
  <c r="F329" i="4"/>
  <c r="E329" i="4"/>
  <c r="D329" i="4"/>
  <c r="C329" i="4"/>
  <c r="A329" i="4" s="1"/>
  <c r="C328" i="4"/>
  <c r="A328" i="4" s="1"/>
  <c r="D328" i="4"/>
  <c r="E328" i="4"/>
  <c r="F328" i="4"/>
  <c r="G328" i="4"/>
  <c r="D327" i="4"/>
  <c r="E327" i="4"/>
  <c r="F327" i="4"/>
  <c r="G327" i="4"/>
  <c r="G326" i="4"/>
  <c r="D326" i="4"/>
  <c r="E326" i="4"/>
  <c r="F326" i="4"/>
  <c r="E325" i="4"/>
  <c r="D325" i="4"/>
  <c r="F325" i="4"/>
  <c r="G325" i="4"/>
  <c r="G324" i="4"/>
  <c r="E324" i="4"/>
  <c r="D324" i="4"/>
  <c r="F324" i="4"/>
  <c r="G355" i="4"/>
  <c r="F355" i="4"/>
  <c r="E355" i="4"/>
  <c r="D355" i="4"/>
  <c r="G354" i="4"/>
  <c r="F354" i="4"/>
  <c r="E354" i="4"/>
  <c r="D354" i="4"/>
  <c r="G353" i="4"/>
  <c r="F353" i="4"/>
  <c r="E353" i="4"/>
  <c r="D353" i="4"/>
  <c r="G352" i="4"/>
  <c r="F352" i="4"/>
  <c r="E352" i="4"/>
  <c r="D352" i="4"/>
  <c r="D351" i="4"/>
  <c r="E351" i="4"/>
  <c r="F351" i="4"/>
  <c r="G351" i="4"/>
  <c r="D350" i="4"/>
  <c r="E350" i="4"/>
  <c r="F350" i="4"/>
  <c r="G350" i="4"/>
  <c r="F349" i="4"/>
  <c r="G349" i="4"/>
  <c r="D349" i="4"/>
  <c r="G348" i="4"/>
  <c r="F348" i="4"/>
  <c r="D348" i="4"/>
  <c r="D347" i="4"/>
  <c r="F347" i="4"/>
  <c r="G347" i="4"/>
  <c r="E346" i="4"/>
  <c r="G346" i="4"/>
  <c r="D346" i="4"/>
  <c r="F346" i="4"/>
  <c r="D345" i="4"/>
  <c r="E345" i="4"/>
  <c r="F345" i="4"/>
  <c r="G345" i="4"/>
  <c r="E344" i="4"/>
  <c r="D344" i="4"/>
  <c r="G344" i="4"/>
  <c r="F344" i="4"/>
  <c r="G343" i="4"/>
  <c r="F343" i="4"/>
  <c r="D343" i="4"/>
  <c r="G342" i="4"/>
  <c r="F342" i="4"/>
  <c r="D342" i="4"/>
  <c r="G341" i="4"/>
  <c r="F341" i="4"/>
  <c r="D341" i="4"/>
  <c r="G340" i="4"/>
  <c r="F340" i="4"/>
  <c r="D340" i="4"/>
  <c r="D371" i="4"/>
  <c r="E371" i="4"/>
  <c r="G371" i="4"/>
  <c r="F371" i="4"/>
  <c r="G370" i="4"/>
  <c r="F370" i="4"/>
  <c r="D370" i="4"/>
  <c r="D369" i="4"/>
  <c r="F369" i="4"/>
  <c r="G369" i="4"/>
  <c r="F368" i="4"/>
  <c r="G368" i="4"/>
  <c r="D368" i="4"/>
  <c r="G367" i="4"/>
  <c r="F367" i="4"/>
  <c r="D367" i="4"/>
  <c r="G366" i="4"/>
  <c r="F366" i="4"/>
  <c r="D366" i="4"/>
  <c r="G365" i="4"/>
  <c r="F365" i="4"/>
  <c r="D365" i="4"/>
  <c r="G364" i="4"/>
  <c r="F364" i="4"/>
  <c r="D364" i="4"/>
  <c r="D363" i="4"/>
  <c r="G363" i="4"/>
  <c r="F363" i="4"/>
  <c r="G362" i="4"/>
  <c r="F362" i="4"/>
  <c r="D362" i="4"/>
  <c r="D361" i="4"/>
  <c r="F361" i="4"/>
  <c r="G361" i="4"/>
  <c r="G389" i="4"/>
  <c r="F389" i="4"/>
  <c r="E389" i="4"/>
  <c r="D389" i="4"/>
  <c r="G388" i="4"/>
  <c r="F388" i="4"/>
  <c r="E388" i="4"/>
  <c r="D388" i="4"/>
  <c r="C419" i="4"/>
  <c r="A419" i="4" s="1"/>
  <c r="G419" i="4"/>
  <c r="F419" i="4"/>
  <c r="E419" i="4"/>
  <c r="D419" i="4"/>
  <c r="D418" i="4"/>
  <c r="G418" i="4"/>
  <c r="F418" i="4"/>
  <c r="E418" i="4"/>
  <c r="C418" i="4"/>
  <c r="A418" i="4" s="1"/>
  <c r="E417" i="4"/>
  <c r="G417" i="4"/>
  <c r="F417" i="4"/>
  <c r="D417" i="4"/>
  <c r="C417" i="4"/>
  <c r="A417" i="4" s="1"/>
  <c r="G416" i="4"/>
  <c r="F416" i="4"/>
  <c r="E416" i="4"/>
  <c r="D416" i="4"/>
  <c r="F415" i="4"/>
  <c r="G415" i="4"/>
  <c r="E415" i="4"/>
  <c r="D415" i="4"/>
  <c r="G414" i="4"/>
  <c r="F414" i="4"/>
  <c r="E414" i="4"/>
  <c r="D414" i="4"/>
  <c r="G413" i="4"/>
  <c r="F413" i="4"/>
  <c r="E413" i="4"/>
  <c r="D413" i="4"/>
  <c r="G412" i="4"/>
  <c r="F412" i="4"/>
  <c r="E412" i="4"/>
  <c r="D412" i="4"/>
  <c r="G411" i="4"/>
  <c r="F411" i="4"/>
  <c r="E411" i="4"/>
  <c r="D411" i="4"/>
  <c r="D410" i="4"/>
  <c r="G410" i="4"/>
  <c r="F410" i="4"/>
  <c r="E410" i="4"/>
  <c r="G409" i="4"/>
  <c r="F409" i="4"/>
  <c r="E409" i="4"/>
  <c r="D409" i="4"/>
  <c r="G408" i="4"/>
  <c r="F408" i="4"/>
  <c r="E408" i="4"/>
  <c r="D408" i="4"/>
  <c r="G407" i="4"/>
  <c r="F407" i="4"/>
  <c r="E407" i="4"/>
  <c r="D407" i="4"/>
  <c r="G406" i="4"/>
  <c r="F406" i="4"/>
  <c r="E406" i="4"/>
  <c r="D406" i="4"/>
  <c r="C406" i="4"/>
  <c r="A406" i="4" s="1"/>
  <c r="G405" i="4"/>
  <c r="F405" i="4"/>
  <c r="E405" i="4"/>
  <c r="D405" i="4"/>
  <c r="C405" i="4"/>
  <c r="A405" i="4" s="1"/>
  <c r="G404" i="4"/>
  <c r="C404" i="4"/>
  <c r="A404" i="4" s="1"/>
  <c r="F404" i="4"/>
  <c r="E404" i="4"/>
  <c r="D404" i="4"/>
  <c r="G435" i="4"/>
  <c r="F435" i="4"/>
  <c r="E435" i="4"/>
  <c r="D435" i="4"/>
  <c r="G434" i="4"/>
  <c r="F434" i="4"/>
  <c r="D434" i="4"/>
  <c r="G433" i="4"/>
  <c r="F433" i="4"/>
  <c r="D433" i="4"/>
  <c r="G432" i="4"/>
  <c r="F432" i="4"/>
  <c r="D432" i="4"/>
  <c r="G431" i="4"/>
  <c r="F431" i="4"/>
  <c r="D431" i="4"/>
  <c r="G430" i="4"/>
  <c r="F430" i="4"/>
  <c r="D430" i="4"/>
  <c r="G429" i="4"/>
  <c r="F429" i="4"/>
  <c r="D429" i="4"/>
  <c r="D428" i="4"/>
  <c r="G428" i="4"/>
  <c r="F428" i="4"/>
  <c r="G427" i="4"/>
  <c r="F427" i="4"/>
  <c r="D427" i="4"/>
  <c r="G426" i="4"/>
  <c r="F426" i="4"/>
  <c r="D426" i="4"/>
  <c r="G425" i="4"/>
  <c r="F425" i="4"/>
  <c r="D425" i="4"/>
  <c r="G424" i="4"/>
  <c r="F424" i="4"/>
  <c r="D424" i="4"/>
  <c r="G423" i="4"/>
  <c r="F423" i="4"/>
  <c r="E423" i="4"/>
  <c r="D423" i="4"/>
  <c r="G422" i="4"/>
  <c r="F422" i="4"/>
  <c r="E422" i="4"/>
  <c r="D422" i="4"/>
  <c r="G421" i="4"/>
  <c r="F421" i="4"/>
  <c r="E421" i="4"/>
  <c r="D421" i="4"/>
  <c r="D420" i="4"/>
  <c r="G420" i="4"/>
  <c r="F420" i="4"/>
  <c r="E420" i="4"/>
  <c r="C420" i="4"/>
  <c r="A420" i="4" s="1"/>
  <c r="G451" i="4"/>
  <c r="F451" i="4"/>
  <c r="E451" i="4"/>
  <c r="D451" i="4"/>
  <c r="E450" i="4"/>
  <c r="G450" i="4"/>
  <c r="F450" i="4"/>
  <c r="D450" i="4"/>
  <c r="G449" i="4"/>
  <c r="F449" i="4"/>
  <c r="E449" i="4"/>
  <c r="D449" i="4"/>
  <c r="G448" i="4"/>
  <c r="F448" i="4"/>
  <c r="E448" i="4"/>
  <c r="D448" i="4"/>
  <c r="G447" i="4"/>
  <c r="F447" i="4"/>
  <c r="E447" i="4"/>
  <c r="D447" i="4"/>
  <c r="G446" i="4"/>
  <c r="F446" i="4"/>
  <c r="E446" i="4"/>
  <c r="D446" i="4"/>
  <c r="D445" i="4"/>
  <c r="G445" i="4"/>
  <c r="F445" i="4"/>
  <c r="E445" i="4"/>
  <c r="G444" i="4"/>
  <c r="F444" i="4"/>
  <c r="E444" i="4"/>
  <c r="D444" i="4"/>
  <c r="G443" i="4"/>
  <c r="F443" i="4"/>
  <c r="E443" i="4"/>
  <c r="D443" i="4"/>
  <c r="C443" i="4"/>
  <c r="A443" i="4" s="1"/>
  <c r="G442" i="4"/>
  <c r="F442" i="4"/>
  <c r="E442" i="4"/>
  <c r="D442" i="4"/>
  <c r="C442" i="4"/>
  <c r="A442" i="4" s="1"/>
  <c r="G441" i="4"/>
  <c r="F441" i="4"/>
  <c r="E441" i="4"/>
  <c r="D441" i="4"/>
  <c r="C441" i="4"/>
  <c r="A441" i="4" s="1"/>
  <c r="G440" i="4"/>
  <c r="F440" i="4"/>
  <c r="D440" i="4"/>
  <c r="G439" i="4"/>
  <c r="F439" i="4"/>
  <c r="D439" i="4"/>
  <c r="D438" i="4"/>
  <c r="G438" i="4"/>
  <c r="F438" i="4"/>
  <c r="E437" i="4"/>
  <c r="G437" i="4"/>
  <c r="F437" i="4"/>
  <c r="D437" i="4"/>
  <c r="G436" i="4"/>
  <c r="F436" i="4"/>
  <c r="E436" i="4"/>
  <c r="D436" i="4"/>
  <c r="G467" i="4"/>
  <c r="F467" i="4"/>
  <c r="E467" i="4"/>
  <c r="D467" i="4"/>
  <c r="G466" i="4"/>
  <c r="F466" i="4"/>
  <c r="E466" i="4"/>
  <c r="D466" i="4"/>
  <c r="G465" i="4"/>
  <c r="F465" i="4"/>
  <c r="E465" i="4"/>
  <c r="D465" i="4"/>
  <c r="G464" i="4"/>
  <c r="F464" i="4"/>
  <c r="E464" i="4"/>
  <c r="G463" i="4"/>
  <c r="F463" i="4"/>
  <c r="E463" i="4"/>
  <c r="D489" i="4"/>
  <c r="G489" i="4"/>
  <c r="F489" i="4"/>
  <c r="G488" i="4"/>
  <c r="F488" i="4"/>
  <c r="D488" i="4"/>
  <c r="G487" i="4"/>
  <c r="F487" i="4"/>
  <c r="D487" i="4"/>
  <c r="G486" i="4"/>
  <c r="F486" i="4"/>
  <c r="E486" i="4"/>
  <c r="D486" i="4"/>
  <c r="G485" i="4"/>
  <c r="F485" i="4"/>
  <c r="E485" i="4"/>
  <c r="D485" i="4"/>
  <c r="G484" i="4"/>
  <c r="F484" i="4"/>
  <c r="E484" i="4"/>
  <c r="D484" i="4"/>
  <c r="G617" i="4"/>
  <c r="F617" i="4"/>
  <c r="E617" i="4"/>
  <c r="D617" i="4"/>
  <c r="C617" i="4"/>
  <c r="A617" i="4" s="1"/>
  <c r="G514" i="4"/>
  <c r="F514" i="4"/>
  <c r="E514" i="4"/>
  <c r="D514" i="4"/>
  <c r="C514" i="4"/>
  <c r="A514" i="4" s="1"/>
  <c r="G513" i="4"/>
  <c r="F513" i="4"/>
  <c r="E513" i="4"/>
  <c r="D513" i="4"/>
  <c r="C513" i="4"/>
  <c r="A513" i="4" s="1"/>
  <c r="G512" i="4"/>
  <c r="F512" i="4"/>
  <c r="E512" i="4"/>
  <c r="D512" i="4"/>
  <c r="C512" i="4"/>
  <c r="A512" i="4" s="1"/>
  <c r="G511" i="4"/>
  <c r="F511" i="4"/>
  <c r="E511" i="4"/>
  <c r="D511" i="4"/>
  <c r="C511" i="4"/>
  <c r="A511" i="4" s="1"/>
  <c r="G510" i="4"/>
  <c r="F510" i="4"/>
  <c r="E510" i="4"/>
  <c r="D510" i="4"/>
  <c r="C510" i="4"/>
  <c r="A510" i="4" s="1"/>
  <c r="G509" i="4"/>
  <c r="F509" i="4"/>
  <c r="E509" i="4"/>
  <c r="D509" i="4"/>
  <c r="C509" i="4"/>
  <c r="A509" i="4" s="1"/>
  <c r="G508" i="4"/>
  <c r="F508" i="4"/>
  <c r="E508" i="4"/>
  <c r="D508" i="4"/>
  <c r="C508" i="4"/>
  <c r="A508" i="4" s="1"/>
  <c r="G507" i="4"/>
  <c r="F507" i="4"/>
  <c r="E507" i="4"/>
  <c r="D507" i="4"/>
  <c r="C507" i="4"/>
  <c r="A507" i="4" s="1"/>
  <c r="G506" i="4"/>
  <c r="F506" i="4"/>
  <c r="E506" i="4"/>
  <c r="D506" i="4"/>
  <c r="C506" i="4"/>
  <c r="A506" i="4" s="1"/>
  <c r="G505" i="4"/>
  <c r="F505" i="4"/>
  <c r="E505" i="4"/>
  <c r="D505" i="4"/>
  <c r="C505" i="4"/>
  <c r="A505" i="4" s="1"/>
  <c r="G504" i="4"/>
  <c r="F504" i="4"/>
  <c r="E504" i="4"/>
  <c r="D504" i="4"/>
  <c r="C504" i="4"/>
  <c r="A504" i="4" s="1"/>
  <c r="G503" i="4"/>
  <c r="F503" i="4"/>
  <c r="E503" i="4"/>
  <c r="D503" i="4"/>
  <c r="C503" i="4"/>
  <c r="A503" i="4" s="1"/>
  <c r="G502" i="4"/>
  <c r="F502" i="4"/>
  <c r="E502" i="4"/>
  <c r="D502" i="4"/>
  <c r="G501" i="4"/>
  <c r="F501" i="4"/>
  <c r="E501" i="4"/>
  <c r="D501" i="4"/>
  <c r="G500" i="4"/>
  <c r="F500" i="4"/>
  <c r="E500" i="4"/>
  <c r="D500" i="4"/>
  <c r="AN96" i="4"/>
  <c r="AO96" i="4" s="1"/>
  <c r="A618" i="4"/>
  <c r="AN73" i="4"/>
  <c r="AO73" i="4" s="1"/>
  <c r="R72" i="1" s="1"/>
  <c r="AN81" i="4"/>
  <c r="AO81" i="4" s="1"/>
  <c r="AN91" i="4"/>
  <c r="AO91" i="4" s="1"/>
  <c r="AN88" i="4"/>
  <c r="AO88" i="4" s="1"/>
  <c r="AN72" i="4"/>
  <c r="AO72" i="4" s="1"/>
  <c r="G133" i="3"/>
  <c r="F133" i="3"/>
  <c r="E133" i="3"/>
  <c r="D133" i="3"/>
  <c r="C133" i="3"/>
  <c r="A133" i="3" s="1"/>
  <c r="G132" i="3"/>
  <c r="F132" i="3"/>
  <c r="E132" i="3"/>
  <c r="D132" i="3"/>
  <c r="C132" i="3"/>
  <c r="A132" i="3" s="1"/>
  <c r="G131" i="3"/>
  <c r="F131" i="3"/>
  <c r="E131" i="3"/>
  <c r="D131" i="3"/>
  <c r="C131" i="3"/>
  <c r="A131" i="3" s="1"/>
  <c r="G130" i="3"/>
  <c r="F130" i="3"/>
  <c r="E130" i="3"/>
  <c r="D130" i="3"/>
  <c r="C130" i="3"/>
  <c r="A130" i="3" s="1"/>
  <c r="G129" i="3"/>
  <c r="F129" i="3"/>
  <c r="E129" i="3"/>
  <c r="D129" i="3"/>
  <c r="C129" i="3"/>
  <c r="A129" i="3" s="1"/>
  <c r="G128" i="3"/>
  <c r="F128" i="3"/>
  <c r="E128" i="3"/>
  <c r="D128" i="3"/>
  <c r="C128" i="3"/>
  <c r="A128" i="3" s="1"/>
  <c r="G127" i="3"/>
  <c r="F127" i="3"/>
  <c r="E127" i="3"/>
  <c r="D127" i="3"/>
  <c r="C127" i="3"/>
  <c r="A127" i="3" s="1"/>
  <c r="G126" i="3"/>
  <c r="F126" i="3"/>
  <c r="E126" i="3"/>
  <c r="D126" i="3"/>
  <c r="C126" i="3"/>
  <c r="A126" i="3" s="1"/>
  <c r="G149" i="3"/>
  <c r="F149" i="3"/>
  <c r="E149" i="3"/>
  <c r="D149" i="3"/>
  <c r="C149" i="3"/>
  <c r="A149" i="3" s="1"/>
  <c r="G148" i="3"/>
  <c r="F148" i="3"/>
  <c r="E148" i="3"/>
  <c r="D148" i="3"/>
  <c r="C148" i="3"/>
  <c r="A148" i="3" s="1"/>
  <c r="G147" i="3"/>
  <c r="F147" i="3"/>
  <c r="E147" i="3"/>
  <c r="D147" i="3"/>
  <c r="C147" i="3"/>
  <c r="A147" i="3" s="1"/>
  <c r="G146" i="3"/>
  <c r="F146" i="3"/>
  <c r="E146" i="3"/>
  <c r="D146" i="3"/>
  <c r="C146" i="3"/>
  <c r="A146" i="3" s="1"/>
  <c r="G145" i="3"/>
  <c r="F145" i="3"/>
  <c r="E145" i="3"/>
  <c r="D145" i="3"/>
  <c r="C145" i="3"/>
  <c r="A145" i="3" s="1"/>
  <c r="G144" i="3"/>
  <c r="F144" i="3"/>
  <c r="E144" i="3"/>
  <c r="D144" i="3"/>
  <c r="C144" i="3"/>
  <c r="A144" i="3" s="1"/>
  <c r="G143" i="3"/>
  <c r="F143" i="3"/>
  <c r="E143" i="3"/>
  <c r="D143" i="3"/>
  <c r="C143" i="3"/>
  <c r="A143" i="3" s="1"/>
  <c r="G142" i="3"/>
  <c r="F142" i="3"/>
  <c r="E142" i="3"/>
  <c r="D142" i="3"/>
  <c r="C142" i="3"/>
  <c r="A142" i="3" s="1"/>
  <c r="G141" i="3"/>
  <c r="F141" i="3"/>
  <c r="E141" i="3"/>
  <c r="D141" i="3"/>
  <c r="C141" i="3"/>
  <c r="A141" i="3" s="1"/>
  <c r="G233" i="3"/>
  <c r="F233" i="3"/>
  <c r="E233" i="3"/>
  <c r="D233" i="3"/>
  <c r="G232" i="3"/>
  <c r="F232" i="3"/>
  <c r="E232" i="3"/>
  <c r="D232" i="3"/>
  <c r="G231" i="3"/>
  <c r="F231" i="3"/>
  <c r="E231" i="3"/>
  <c r="D231" i="3"/>
  <c r="G230" i="3"/>
  <c r="F230" i="3"/>
  <c r="E230" i="3"/>
  <c r="D230" i="3"/>
  <c r="G229" i="3"/>
  <c r="F229" i="3"/>
  <c r="E229" i="3"/>
  <c r="D229" i="3"/>
  <c r="G228" i="3"/>
  <c r="F228" i="3"/>
  <c r="E228" i="3"/>
  <c r="D228" i="3"/>
  <c r="G227" i="3"/>
  <c r="F227" i="3"/>
  <c r="E227" i="3"/>
  <c r="D227" i="3"/>
  <c r="G226" i="3"/>
  <c r="F226" i="3"/>
  <c r="E226" i="3"/>
  <c r="D226" i="3"/>
  <c r="G225" i="3"/>
  <c r="F225" i="3"/>
  <c r="E225" i="3"/>
  <c r="D225" i="3"/>
  <c r="C225" i="3"/>
  <c r="A225" i="3" s="1"/>
  <c r="G224" i="3"/>
  <c r="F224" i="3"/>
  <c r="E224" i="3"/>
  <c r="D224" i="3"/>
  <c r="C224" i="3"/>
  <c r="A224" i="3" s="1"/>
  <c r="G223" i="3"/>
  <c r="F223" i="3"/>
  <c r="E223" i="3"/>
  <c r="D223" i="3"/>
  <c r="C223" i="3"/>
  <c r="A223" i="3" s="1"/>
  <c r="G222" i="3"/>
  <c r="F222" i="3"/>
  <c r="E222" i="3"/>
  <c r="D222" i="3"/>
  <c r="C222" i="3"/>
  <c r="A222" i="3" s="1"/>
  <c r="G248" i="3"/>
  <c r="F248" i="3"/>
  <c r="E248" i="3"/>
  <c r="D248" i="3"/>
  <c r="C248" i="3"/>
  <c r="A248" i="3" s="1"/>
  <c r="G247" i="3"/>
  <c r="F247" i="3"/>
  <c r="E247" i="3"/>
  <c r="D247" i="3"/>
  <c r="C247" i="3"/>
  <c r="A247" i="3" s="1"/>
  <c r="G246" i="3"/>
  <c r="F246" i="3"/>
  <c r="E246" i="3"/>
  <c r="D246" i="3"/>
  <c r="C246" i="3"/>
  <c r="A246" i="3" s="1"/>
  <c r="G245" i="3"/>
  <c r="F245" i="3"/>
  <c r="E245" i="3"/>
  <c r="D245" i="3"/>
  <c r="C245" i="3"/>
  <c r="A245" i="3" s="1"/>
  <c r="G244" i="3"/>
  <c r="F244" i="3"/>
  <c r="E244" i="3"/>
  <c r="D244" i="3"/>
  <c r="C244" i="3"/>
  <c r="A244" i="3" s="1"/>
  <c r="G243" i="3"/>
  <c r="F243" i="3"/>
  <c r="E243" i="3"/>
  <c r="D243" i="3"/>
  <c r="C243" i="3"/>
  <c r="A243" i="3" s="1"/>
  <c r="G242" i="3"/>
  <c r="F242" i="3"/>
  <c r="E242" i="3"/>
  <c r="D242" i="3"/>
  <c r="C242" i="3"/>
  <c r="A242" i="3" s="1"/>
  <c r="G241" i="3"/>
  <c r="F241" i="3"/>
  <c r="E241" i="3"/>
  <c r="D241" i="3"/>
  <c r="C241" i="3"/>
  <c r="A241" i="3" s="1"/>
  <c r="G240" i="3"/>
  <c r="F240" i="3"/>
  <c r="E240" i="3"/>
  <c r="D240" i="3"/>
  <c r="G239" i="3"/>
  <c r="F239" i="3"/>
  <c r="E239" i="3"/>
  <c r="D239" i="3"/>
  <c r="G238" i="3"/>
  <c r="F238" i="3"/>
  <c r="E238" i="3"/>
  <c r="D238" i="3"/>
  <c r="G332" i="3"/>
  <c r="F332" i="3"/>
  <c r="E332" i="3"/>
  <c r="D332" i="3"/>
  <c r="G331" i="3"/>
  <c r="F331" i="3"/>
  <c r="E331" i="3"/>
  <c r="D331" i="3"/>
  <c r="G330" i="3"/>
  <c r="F330" i="3"/>
  <c r="E330" i="3"/>
  <c r="D330" i="3"/>
  <c r="G329" i="3"/>
  <c r="F329" i="3"/>
  <c r="E329" i="3"/>
  <c r="D329" i="3"/>
  <c r="C329" i="3"/>
  <c r="A329" i="3" s="1"/>
  <c r="G328" i="3"/>
  <c r="F328" i="3"/>
  <c r="E328" i="3"/>
  <c r="D328" i="3"/>
  <c r="C328" i="3"/>
  <c r="A328" i="3" s="1"/>
  <c r="G327" i="3"/>
  <c r="F327" i="3"/>
  <c r="E327" i="3"/>
  <c r="D327" i="3"/>
  <c r="G326" i="3"/>
  <c r="F326" i="3"/>
  <c r="E326" i="3"/>
  <c r="D326" i="3"/>
  <c r="G325" i="3"/>
  <c r="F325" i="3"/>
  <c r="E325" i="3"/>
  <c r="D325" i="3"/>
  <c r="G324" i="3"/>
  <c r="F324" i="3"/>
  <c r="E324" i="3"/>
  <c r="D324" i="3"/>
  <c r="G323" i="3"/>
  <c r="F323" i="3"/>
  <c r="E323" i="3"/>
  <c r="D323" i="3"/>
  <c r="G322" i="3"/>
  <c r="F322" i="3"/>
  <c r="E322" i="3"/>
  <c r="D322" i="3"/>
  <c r="G321" i="3"/>
  <c r="F321" i="3"/>
  <c r="E321" i="3"/>
  <c r="D321" i="3"/>
  <c r="G347" i="3"/>
  <c r="F347" i="3"/>
  <c r="D347" i="3"/>
  <c r="G346" i="3"/>
  <c r="F346" i="3"/>
  <c r="E346" i="3"/>
  <c r="D346" i="3"/>
  <c r="G345" i="3"/>
  <c r="F345" i="3"/>
  <c r="E345" i="3"/>
  <c r="D345" i="3"/>
  <c r="G344" i="3"/>
  <c r="F344" i="3"/>
  <c r="E344" i="3"/>
  <c r="D344" i="3"/>
  <c r="G343" i="3"/>
  <c r="F343" i="3"/>
  <c r="D343" i="3"/>
  <c r="G342" i="3"/>
  <c r="F342" i="3"/>
  <c r="D342" i="3"/>
  <c r="G341" i="3"/>
  <c r="F341" i="3"/>
  <c r="D341" i="3"/>
  <c r="G340" i="3"/>
  <c r="F340" i="3"/>
  <c r="D340" i="3"/>
  <c r="G339" i="3"/>
  <c r="F339" i="3"/>
  <c r="D339" i="3"/>
  <c r="G338" i="3"/>
  <c r="F338" i="3"/>
  <c r="D338" i="3"/>
  <c r="G405" i="3"/>
  <c r="F405" i="3"/>
  <c r="E405" i="3"/>
  <c r="D405" i="3"/>
  <c r="C405" i="3"/>
  <c r="A405" i="3" s="1"/>
  <c r="G237" i="3"/>
  <c r="AR411" i="3"/>
  <c r="AS411" i="3" s="1"/>
  <c r="Q410" i="1" s="1"/>
  <c r="AR491" i="3"/>
  <c r="AS491" i="3" s="1"/>
  <c r="Q490" i="1" s="1"/>
  <c r="G125" i="3"/>
  <c r="F125" i="3"/>
  <c r="E125" i="3"/>
  <c r="D125" i="3"/>
  <c r="C125" i="3"/>
  <c r="A125" i="3" s="1"/>
  <c r="G124" i="3"/>
  <c r="F124" i="3"/>
  <c r="E124" i="3"/>
  <c r="D124" i="3"/>
  <c r="C124" i="3"/>
  <c r="A124" i="3" s="1"/>
  <c r="G123" i="3"/>
  <c r="F123" i="3"/>
  <c r="E123" i="3"/>
  <c r="D123" i="3"/>
  <c r="C123" i="3"/>
  <c r="A123" i="3" s="1"/>
  <c r="G122" i="3"/>
  <c r="F122" i="3"/>
  <c r="E122" i="3"/>
  <c r="D122" i="3"/>
  <c r="C122" i="3"/>
  <c r="A122" i="3" s="1"/>
  <c r="G121" i="3"/>
  <c r="F121" i="3"/>
  <c r="E121" i="3"/>
  <c r="D121" i="3"/>
  <c r="C121" i="3"/>
  <c r="A121" i="3" s="1"/>
  <c r="G120" i="3"/>
  <c r="F120" i="3"/>
  <c r="E120" i="3"/>
  <c r="D120" i="3"/>
  <c r="C120" i="3"/>
  <c r="A120" i="3" s="1"/>
  <c r="G119" i="3"/>
  <c r="F119" i="3"/>
  <c r="E119" i="3"/>
  <c r="D119" i="3"/>
  <c r="C119" i="3"/>
  <c r="A119" i="3" s="1"/>
  <c r="G118" i="3"/>
  <c r="F118" i="3"/>
  <c r="E118" i="3"/>
  <c r="D118" i="3"/>
  <c r="C118" i="3"/>
  <c r="A118" i="3" s="1"/>
  <c r="G140" i="3"/>
  <c r="F140" i="3"/>
  <c r="E140" i="3"/>
  <c r="D140" i="3"/>
  <c r="C140" i="3"/>
  <c r="A140" i="3" s="1"/>
  <c r="G139" i="3"/>
  <c r="F139" i="3"/>
  <c r="E139" i="3"/>
  <c r="D139" i="3"/>
  <c r="C139" i="3"/>
  <c r="A139" i="3" s="1"/>
  <c r="G138" i="3"/>
  <c r="F138" i="3"/>
  <c r="E138" i="3"/>
  <c r="D138" i="3"/>
  <c r="C138" i="3"/>
  <c r="A138" i="3" s="1"/>
  <c r="G137" i="3"/>
  <c r="F137" i="3"/>
  <c r="E137" i="3"/>
  <c r="D137" i="3"/>
  <c r="C137" i="3"/>
  <c r="A137" i="3" s="1"/>
  <c r="G136" i="3"/>
  <c r="F136" i="3"/>
  <c r="E136" i="3"/>
  <c r="D136" i="3"/>
  <c r="C136" i="3"/>
  <c r="A136" i="3" s="1"/>
  <c r="G135" i="3"/>
  <c r="F135" i="3"/>
  <c r="E135" i="3"/>
  <c r="D135" i="3"/>
  <c r="C135" i="3"/>
  <c r="A135" i="3" s="1"/>
  <c r="F221" i="3"/>
  <c r="E221" i="3"/>
  <c r="D221" i="3"/>
  <c r="C221" i="3"/>
  <c r="A221" i="3" s="1"/>
  <c r="F220" i="3"/>
  <c r="E220" i="3"/>
  <c r="D220" i="3"/>
  <c r="C220" i="3"/>
  <c r="A220" i="3" s="1"/>
  <c r="F219" i="3"/>
  <c r="E219" i="3"/>
  <c r="D219" i="3"/>
  <c r="C219" i="3"/>
  <c r="A219" i="3" s="1"/>
  <c r="F218" i="3"/>
  <c r="E218" i="3"/>
  <c r="D218" i="3"/>
  <c r="C218" i="3"/>
  <c r="A218" i="3" s="1"/>
  <c r="F217" i="3"/>
  <c r="E217" i="3"/>
  <c r="D217" i="3"/>
  <c r="C217" i="3"/>
  <c r="A217" i="3" s="1"/>
  <c r="F216" i="3"/>
  <c r="E216" i="3"/>
  <c r="D216" i="3"/>
  <c r="C216" i="3"/>
  <c r="A216" i="3" s="1"/>
  <c r="F215" i="3"/>
  <c r="E215" i="3"/>
  <c r="D215" i="3"/>
  <c r="C215" i="3"/>
  <c r="A215" i="3" s="1"/>
  <c r="F214" i="3"/>
  <c r="E214" i="3"/>
  <c r="D214" i="3"/>
  <c r="C214" i="3"/>
  <c r="A214" i="3" s="1"/>
  <c r="G213" i="3"/>
  <c r="F213" i="3"/>
  <c r="E213" i="3"/>
  <c r="D213" i="3"/>
  <c r="C213" i="3"/>
  <c r="A213" i="3" s="1"/>
  <c r="F237" i="3"/>
  <c r="E237" i="3"/>
  <c r="D237" i="3"/>
  <c r="G236" i="3"/>
  <c r="F236" i="3"/>
  <c r="E236" i="3"/>
  <c r="D236" i="3"/>
  <c r="G303" i="3"/>
  <c r="F303" i="3"/>
  <c r="E303" i="3"/>
  <c r="D303" i="3"/>
  <c r="G302" i="3"/>
  <c r="F302" i="3"/>
  <c r="E302" i="3"/>
  <c r="D302" i="3"/>
  <c r="C302" i="3"/>
  <c r="A302" i="3" s="1"/>
  <c r="G301" i="3"/>
  <c r="F301" i="3"/>
  <c r="E301" i="3"/>
  <c r="D301" i="3"/>
  <c r="C301" i="3"/>
  <c r="A301" i="3" s="1"/>
  <c r="G300" i="3"/>
  <c r="F300" i="3"/>
  <c r="E300" i="3"/>
  <c r="D300" i="3"/>
  <c r="C300" i="3"/>
  <c r="A300" i="3" s="1"/>
  <c r="G299" i="3"/>
  <c r="F299" i="3"/>
  <c r="E299" i="3"/>
  <c r="D299" i="3"/>
  <c r="C299" i="3"/>
  <c r="A299" i="3" s="1"/>
  <c r="G298" i="3"/>
  <c r="F298" i="3"/>
  <c r="E298" i="3"/>
  <c r="D298" i="3"/>
  <c r="C298" i="3"/>
  <c r="A298" i="3" s="1"/>
  <c r="G297" i="3"/>
  <c r="F297" i="3"/>
  <c r="E297" i="3"/>
  <c r="D297" i="3"/>
  <c r="C297" i="3"/>
  <c r="A297" i="3" s="1"/>
  <c r="G320" i="3"/>
  <c r="F320" i="3"/>
  <c r="E320" i="3"/>
  <c r="D320" i="3"/>
  <c r="G319" i="3"/>
  <c r="F319" i="3"/>
  <c r="E319" i="3"/>
  <c r="D319" i="3"/>
  <c r="C319" i="3"/>
  <c r="A319" i="3" s="1"/>
  <c r="G318" i="3"/>
  <c r="F318" i="3"/>
  <c r="E318" i="3"/>
  <c r="D318" i="3"/>
  <c r="C318" i="3"/>
  <c r="A318" i="3" s="1"/>
  <c r="G317" i="3"/>
  <c r="F317" i="3"/>
  <c r="E317" i="3"/>
  <c r="D317" i="3"/>
  <c r="G316" i="3"/>
  <c r="F316" i="3"/>
  <c r="E316" i="3"/>
  <c r="D316" i="3"/>
  <c r="G315" i="3"/>
  <c r="F315" i="3"/>
  <c r="E315" i="3"/>
  <c r="D315" i="3"/>
  <c r="G314" i="3"/>
  <c r="F314" i="3"/>
  <c r="E314" i="3"/>
  <c r="D314" i="3"/>
  <c r="G313" i="3"/>
  <c r="F313" i="3"/>
  <c r="E313" i="3"/>
  <c r="D313" i="3"/>
  <c r="G312" i="3"/>
  <c r="F312" i="3"/>
  <c r="E312" i="3"/>
  <c r="D312" i="3"/>
  <c r="G311" i="3"/>
  <c r="F311" i="3"/>
  <c r="E311" i="3"/>
  <c r="D311" i="3"/>
  <c r="G404" i="3"/>
  <c r="F404" i="3"/>
  <c r="E404" i="3"/>
  <c r="D404" i="3"/>
  <c r="C404" i="3"/>
  <c r="A404" i="3" s="1"/>
  <c r="G403" i="3"/>
  <c r="F403" i="3"/>
  <c r="E403" i="3"/>
  <c r="D403" i="3"/>
  <c r="C403" i="3"/>
  <c r="A403" i="3" s="1"/>
  <c r="G402" i="3"/>
  <c r="F402" i="3"/>
  <c r="E402" i="3"/>
  <c r="D402" i="3"/>
  <c r="C402" i="3"/>
  <c r="A402" i="3" s="1"/>
  <c r="G401" i="3"/>
  <c r="F401" i="3"/>
  <c r="E401" i="3"/>
  <c r="D401" i="3"/>
  <c r="C401" i="3"/>
  <c r="A401" i="3" s="1"/>
  <c r="G400" i="3"/>
  <c r="F400" i="3"/>
  <c r="E400" i="3"/>
  <c r="D400" i="3"/>
  <c r="C400" i="3"/>
  <c r="A400" i="3" s="1"/>
  <c r="G399" i="3"/>
  <c r="F399" i="3"/>
  <c r="E399" i="3"/>
  <c r="D399" i="3"/>
  <c r="C399" i="3"/>
  <c r="A399" i="3" s="1"/>
  <c r="G398" i="3"/>
  <c r="F398" i="3"/>
  <c r="E398" i="3"/>
  <c r="D398" i="3"/>
  <c r="C398" i="3"/>
  <c r="A398" i="3" s="1"/>
  <c r="G397" i="3"/>
  <c r="F397" i="3"/>
  <c r="E397" i="3"/>
  <c r="D397" i="3"/>
  <c r="C397" i="3"/>
  <c r="A397" i="3" s="1"/>
  <c r="Q448" i="1"/>
  <c r="G117" i="3"/>
  <c r="F117" i="3"/>
  <c r="E117" i="3"/>
  <c r="D117" i="3"/>
  <c r="C117" i="3"/>
  <c r="A117" i="3" s="1"/>
  <c r="G116" i="3"/>
  <c r="F116" i="3"/>
  <c r="E116" i="3"/>
  <c r="D116" i="3"/>
  <c r="C116" i="3"/>
  <c r="A116" i="3" s="1"/>
  <c r="G115" i="3"/>
  <c r="F115" i="3"/>
  <c r="E115" i="3"/>
  <c r="D115" i="3"/>
  <c r="C115" i="3"/>
  <c r="A115" i="3" s="1"/>
  <c r="G114" i="3"/>
  <c r="F114" i="3"/>
  <c r="E114" i="3"/>
  <c r="D114" i="3"/>
  <c r="C114" i="3"/>
  <c r="A114" i="3" s="1"/>
  <c r="G113" i="3"/>
  <c r="F113" i="3"/>
  <c r="E113" i="3"/>
  <c r="D113" i="3"/>
  <c r="C113" i="3"/>
  <c r="A113" i="3" s="1"/>
  <c r="G112" i="3"/>
  <c r="F112" i="3"/>
  <c r="E112" i="3"/>
  <c r="D112" i="3"/>
  <c r="C112" i="3"/>
  <c r="A112" i="3" s="1"/>
  <c r="G111" i="3"/>
  <c r="F111" i="3"/>
  <c r="E111" i="3"/>
  <c r="D111" i="3"/>
  <c r="C111" i="3"/>
  <c r="A111" i="3" s="1"/>
  <c r="G110" i="3"/>
  <c r="F110" i="3"/>
  <c r="E110" i="3"/>
  <c r="D110" i="3"/>
  <c r="C110" i="3"/>
  <c r="A110" i="3" s="1"/>
  <c r="G109" i="3"/>
  <c r="F109" i="3"/>
  <c r="E109" i="3"/>
  <c r="D109" i="3"/>
  <c r="C109" i="3"/>
  <c r="A109" i="3" s="1"/>
  <c r="G108" i="3"/>
  <c r="F108" i="3"/>
  <c r="E108" i="3"/>
  <c r="D108" i="3"/>
  <c r="C108" i="3"/>
  <c r="A108" i="3" s="1"/>
  <c r="G107" i="3"/>
  <c r="F107" i="3"/>
  <c r="E107" i="3"/>
  <c r="D107" i="3"/>
  <c r="C107" i="3"/>
  <c r="A107" i="3" s="1"/>
  <c r="G106" i="3"/>
  <c r="F106" i="3"/>
  <c r="E106" i="3"/>
  <c r="D106" i="3"/>
  <c r="C106" i="3"/>
  <c r="A106" i="3" s="1"/>
  <c r="G105" i="3"/>
  <c r="F105" i="3"/>
  <c r="E105" i="3"/>
  <c r="D105" i="3"/>
  <c r="C105" i="3"/>
  <c r="A105" i="3" s="1"/>
  <c r="G104" i="3"/>
  <c r="F104" i="3"/>
  <c r="E104" i="3"/>
  <c r="D104" i="3"/>
  <c r="C104" i="3"/>
  <c r="A104" i="3" s="1"/>
  <c r="G134" i="3"/>
  <c r="F134" i="3"/>
  <c r="E134" i="3"/>
  <c r="D134" i="3"/>
  <c r="C134" i="3"/>
  <c r="A134" i="3" s="1"/>
  <c r="G201" i="3"/>
  <c r="F201" i="3"/>
  <c r="E201" i="3"/>
  <c r="D201" i="3"/>
  <c r="C201" i="3"/>
  <c r="A201" i="3" s="1"/>
  <c r="G200" i="3"/>
  <c r="F200" i="3"/>
  <c r="D200" i="3"/>
  <c r="C200" i="3"/>
  <c r="A200" i="3" s="1"/>
  <c r="G199" i="3"/>
  <c r="F199" i="3"/>
  <c r="D199" i="3"/>
  <c r="C199" i="3"/>
  <c r="A199" i="3" s="1"/>
  <c r="G198" i="3"/>
  <c r="F198" i="3"/>
  <c r="D198" i="3"/>
  <c r="C198" i="3"/>
  <c r="A198" i="3" s="1"/>
  <c r="G197" i="3"/>
  <c r="F197" i="3"/>
  <c r="D197" i="3"/>
  <c r="C197" i="3"/>
  <c r="A197" i="3" s="1"/>
  <c r="G196" i="3"/>
  <c r="F196" i="3"/>
  <c r="D196" i="3"/>
  <c r="C196" i="3"/>
  <c r="A196" i="3" s="1"/>
  <c r="G195" i="3"/>
  <c r="F195" i="3"/>
  <c r="D195" i="3"/>
  <c r="C195" i="3"/>
  <c r="A195" i="3" s="1"/>
  <c r="G194" i="3"/>
  <c r="F194" i="3"/>
  <c r="D194" i="3"/>
  <c r="C194" i="3"/>
  <c r="A194" i="3" s="1"/>
  <c r="G193" i="3"/>
  <c r="F193" i="3"/>
  <c r="D193" i="3"/>
  <c r="C193" i="3"/>
  <c r="A193" i="3" s="1"/>
  <c r="G192" i="3"/>
  <c r="F192" i="3"/>
  <c r="D192" i="3"/>
  <c r="C192" i="3"/>
  <c r="A192" i="3" s="1"/>
  <c r="G191" i="3"/>
  <c r="F191" i="3"/>
  <c r="D191" i="3"/>
  <c r="C191" i="3"/>
  <c r="A191" i="3" s="1"/>
  <c r="G190" i="3"/>
  <c r="F190" i="3"/>
  <c r="D190" i="3"/>
  <c r="C190" i="3"/>
  <c r="A190" i="3" s="1"/>
  <c r="G189" i="3"/>
  <c r="F189" i="3"/>
  <c r="E189" i="3"/>
  <c r="D189" i="3"/>
  <c r="C189" i="3"/>
  <c r="A189" i="3" s="1"/>
  <c r="G188" i="3"/>
  <c r="F188" i="3"/>
  <c r="E188" i="3"/>
  <c r="D188" i="3"/>
  <c r="C188" i="3"/>
  <c r="A188" i="3" s="1"/>
  <c r="G187" i="3"/>
  <c r="F187" i="3"/>
  <c r="E187" i="3"/>
  <c r="D187" i="3"/>
  <c r="C187" i="3"/>
  <c r="A187" i="3" s="1"/>
  <c r="G186" i="3"/>
  <c r="F186" i="3"/>
  <c r="E186" i="3"/>
  <c r="D186" i="3"/>
  <c r="C186" i="3"/>
  <c r="A186" i="3" s="1"/>
  <c r="G185" i="3"/>
  <c r="F185" i="3"/>
  <c r="E185" i="3"/>
  <c r="D185" i="3"/>
  <c r="C185" i="3"/>
  <c r="A185" i="3" s="1"/>
  <c r="G212" i="3"/>
  <c r="F212" i="3"/>
  <c r="E212" i="3"/>
  <c r="D212" i="3"/>
  <c r="C212" i="3"/>
  <c r="A212" i="3" s="1"/>
  <c r="G211" i="3"/>
  <c r="F211" i="3"/>
  <c r="E211" i="3"/>
  <c r="D211" i="3"/>
  <c r="C211" i="3"/>
  <c r="A211" i="3" s="1"/>
  <c r="G210" i="3"/>
  <c r="F210" i="3"/>
  <c r="E210" i="3"/>
  <c r="D210" i="3"/>
  <c r="C210" i="3"/>
  <c r="A210" i="3" s="1"/>
  <c r="G209" i="3"/>
  <c r="F209" i="3"/>
  <c r="E209" i="3"/>
  <c r="D209" i="3"/>
  <c r="C209" i="3"/>
  <c r="A209" i="3" s="1"/>
  <c r="G208" i="3"/>
  <c r="F208" i="3"/>
  <c r="E208" i="3"/>
  <c r="D208" i="3"/>
  <c r="C208" i="3"/>
  <c r="A208" i="3" s="1"/>
  <c r="G207" i="3"/>
  <c r="F207" i="3"/>
  <c r="E207" i="3"/>
  <c r="D207" i="3"/>
  <c r="C207" i="3"/>
  <c r="A207" i="3" s="1"/>
  <c r="G206" i="3"/>
  <c r="F206" i="3"/>
  <c r="D206" i="3"/>
  <c r="C206" i="3"/>
  <c r="A206" i="3" s="1"/>
  <c r="G205" i="3"/>
  <c r="F205" i="3"/>
  <c r="D205" i="3"/>
  <c r="C205" i="3"/>
  <c r="A205" i="3" s="1"/>
  <c r="G204" i="3"/>
  <c r="F204" i="3"/>
  <c r="D204" i="3"/>
  <c r="C204" i="3"/>
  <c r="A204" i="3" s="1"/>
  <c r="G203" i="3"/>
  <c r="F203" i="3"/>
  <c r="E203" i="3"/>
  <c r="D203" i="3"/>
  <c r="C203" i="3"/>
  <c r="A203" i="3" s="1"/>
  <c r="G202" i="3"/>
  <c r="F202" i="3"/>
  <c r="E202" i="3"/>
  <c r="D202" i="3"/>
  <c r="C202" i="3"/>
  <c r="A202" i="3" s="1"/>
  <c r="G269" i="3"/>
  <c r="F269" i="3"/>
  <c r="E269" i="3"/>
  <c r="D269" i="3"/>
  <c r="C269" i="3"/>
  <c r="A269" i="3" s="1"/>
  <c r="G268" i="3"/>
  <c r="F268" i="3"/>
  <c r="E268" i="3"/>
  <c r="D268" i="3"/>
  <c r="C268" i="3"/>
  <c r="A268" i="3" s="1"/>
  <c r="G267" i="3"/>
  <c r="F267" i="3"/>
  <c r="E267" i="3"/>
  <c r="D267" i="3"/>
  <c r="C267" i="3"/>
  <c r="A267" i="3" s="1"/>
  <c r="G266" i="3"/>
  <c r="F266" i="3"/>
  <c r="E266" i="3"/>
  <c r="D266" i="3"/>
  <c r="C266" i="3"/>
  <c r="A266" i="3" s="1"/>
  <c r="G265" i="3"/>
  <c r="F265" i="3"/>
  <c r="E265" i="3"/>
  <c r="D265" i="3"/>
  <c r="C265" i="3"/>
  <c r="A265" i="3" s="1"/>
  <c r="G264" i="3"/>
  <c r="F264" i="3"/>
  <c r="E264" i="3"/>
  <c r="D264" i="3"/>
  <c r="C264" i="3"/>
  <c r="A264" i="3" s="1"/>
  <c r="G296" i="3"/>
  <c r="F296" i="3"/>
  <c r="E296" i="3"/>
  <c r="D296" i="3"/>
  <c r="C296" i="3"/>
  <c r="A296" i="3" s="1"/>
  <c r="G295" i="3"/>
  <c r="F295" i="3"/>
  <c r="E295" i="3"/>
  <c r="D295" i="3"/>
  <c r="C295" i="3"/>
  <c r="A295" i="3" s="1"/>
  <c r="G294" i="3"/>
  <c r="F294" i="3"/>
  <c r="E294" i="3"/>
  <c r="D294" i="3"/>
  <c r="C294" i="3"/>
  <c r="A294" i="3" s="1"/>
  <c r="G293" i="3"/>
  <c r="F293" i="3"/>
  <c r="E293" i="3"/>
  <c r="D293" i="3"/>
  <c r="C293" i="3"/>
  <c r="A293" i="3" s="1"/>
  <c r="G292" i="3"/>
  <c r="F292" i="3"/>
  <c r="E292" i="3"/>
  <c r="D292" i="3"/>
  <c r="C292" i="3"/>
  <c r="A292" i="3" s="1"/>
  <c r="G291" i="3"/>
  <c r="F291" i="3"/>
  <c r="E291" i="3"/>
  <c r="D291" i="3"/>
  <c r="C291" i="3"/>
  <c r="A291" i="3" s="1"/>
  <c r="G290" i="3"/>
  <c r="F290" i="3"/>
  <c r="E290" i="3"/>
  <c r="D290" i="3"/>
  <c r="C290" i="3"/>
  <c r="A290" i="3" s="1"/>
  <c r="G289" i="3"/>
  <c r="F289" i="3"/>
  <c r="E289" i="3"/>
  <c r="D289" i="3"/>
  <c r="C289" i="3"/>
  <c r="A289" i="3" s="1"/>
  <c r="G288" i="3"/>
  <c r="F288" i="3"/>
  <c r="E288" i="3"/>
  <c r="D288" i="3"/>
  <c r="C288" i="3"/>
  <c r="A288" i="3" s="1"/>
  <c r="G287" i="3"/>
  <c r="F287" i="3"/>
  <c r="E287" i="3"/>
  <c r="D287" i="3"/>
  <c r="C287" i="3"/>
  <c r="A287" i="3" s="1"/>
  <c r="G286" i="3"/>
  <c r="F286" i="3"/>
  <c r="E286" i="3"/>
  <c r="D286" i="3"/>
  <c r="C286" i="3"/>
  <c r="A286" i="3" s="1"/>
  <c r="G285" i="3"/>
  <c r="F285" i="3"/>
  <c r="E285" i="3"/>
  <c r="D285" i="3"/>
  <c r="C285" i="3"/>
  <c r="A285" i="3" s="1"/>
  <c r="G284" i="3"/>
  <c r="F284" i="3"/>
  <c r="E284" i="3"/>
  <c r="D284" i="3"/>
  <c r="C284" i="3"/>
  <c r="A284" i="3" s="1"/>
  <c r="G283" i="3"/>
  <c r="F283" i="3"/>
  <c r="E283" i="3"/>
  <c r="D283" i="3"/>
  <c r="C283" i="3"/>
  <c r="A283" i="3" s="1"/>
  <c r="G282" i="3"/>
  <c r="F282" i="3"/>
  <c r="E282" i="3"/>
  <c r="D282" i="3"/>
  <c r="C282" i="3"/>
  <c r="A282" i="3" s="1"/>
  <c r="G310" i="3"/>
  <c r="F310" i="3"/>
  <c r="E310" i="3"/>
  <c r="D310" i="3"/>
  <c r="G309" i="3"/>
  <c r="F309" i="3"/>
  <c r="E309" i="3"/>
  <c r="D309" i="3"/>
  <c r="G308" i="3"/>
  <c r="F308" i="3"/>
  <c r="E308" i="3"/>
  <c r="D308" i="3"/>
  <c r="G307" i="3"/>
  <c r="F307" i="3"/>
  <c r="E307" i="3"/>
  <c r="D307" i="3"/>
  <c r="G306" i="3"/>
  <c r="F306" i="3"/>
  <c r="E306" i="3"/>
  <c r="D306" i="3"/>
  <c r="G305" i="3"/>
  <c r="F305" i="3"/>
  <c r="E305" i="3"/>
  <c r="D305" i="3"/>
  <c r="G304" i="3"/>
  <c r="F304" i="3"/>
  <c r="E304" i="3"/>
  <c r="D304" i="3"/>
  <c r="G371" i="3"/>
  <c r="F371" i="3"/>
  <c r="E371" i="3"/>
  <c r="D371" i="3"/>
  <c r="G370" i="3"/>
  <c r="F370" i="3"/>
  <c r="D370" i="3"/>
  <c r="G369" i="3"/>
  <c r="F369" i="3"/>
  <c r="D369" i="3"/>
  <c r="G368" i="3"/>
  <c r="F368" i="3"/>
  <c r="D368" i="3"/>
  <c r="G367" i="3"/>
  <c r="F367" i="3"/>
  <c r="D367" i="3"/>
  <c r="G366" i="3"/>
  <c r="F366" i="3"/>
  <c r="D366" i="3"/>
  <c r="G365" i="3"/>
  <c r="F365" i="3"/>
  <c r="D365" i="3"/>
  <c r="G364" i="3"/>
  <c r="F364" i="3"/>
  <c r="D364" i="3"/>
  <c r="G363" i="3"/>
  <c r="F363" i="3"/>
  <c r="D363" i="3"/>
  <c r="G362" i="3"/>
  <c r="F362" i="3"/>
  <c r="D362" i="3"/>
  <c r="G361" i="3"/>
  <c r="F361" i="3"/>
  <c r="D361" i="3"/>
  <c r="G396" i="3"/>
  <c r="F396" i="3"/>
  <c r="E396" i="3"/>
  <c r="D396" i="3"/>
  <c r="C396" i="3"/>
  <c r="A396" i="3" s="1"/>
  <c r="G395" i="3"/>
  <c r="F395" i="3"/>
  <c r="E395" i="3"/>
  <c r="D395" i="3"/>
  <c r="C395" i="3"/>
  <c r="A395" i="3" s="1"/>
  <c r="G394" i="3"/>
  <c r="F394" i="3"/>
  <c r="E394" i="3"/>
  <c r="D394" i="3"/>
  <c r="C394" i="3"/>
  <c r="A394" i="3" s="1"/>
  <c r="G393" i="3"/>
  <c r="F393" i="3"/>
  <c r="E393" i="3"/>
  <c r="D393" i="3"/>
  <c r="C393" i="3"/>
  <c r="A393" i="3" s="1"/>
  <c r="G392" i="3"/>
  <c r="F392" i="3"/>
  <c r="E392" i="3"/>
  <c r="D392" i="3"/>
  <c r="C392" i="3"/>
  <c r="A392" i="3" s="1"/>
  <c r="G391" i="3"/>
  <c r="F391" i="3"/>
  <c r="E391" i="3"/>
  <c r="D391" i="3"/>
  <c r="C391" i="3"/>
  <c r="A391" i="3" s="1"/>
  <c r="G390" i="3"/>
  <c r="F390" i="3"/>
  <c r="E390" i="3"/>
  <c r="D390" i="3"/>
  <c r="C390" i="3"/>
  <c r="A390" i="3" s="1"/>
  <c r="G389" i="3"/>
  <c r="F389" i="3"/>
  <c r="E389" i="3"/>
  <c r="D389" i="3"/>
  <c r="G388" i="3"/>
  <c r="F388" i="3"/>
  <c r="E388" i="3"/>
  <c r="D388" i="3"/>
  <c r="G387" i="3"/>
  <c r="F387" i="3"/>
  <c r="E387" i="3"/>
  <c r="D387" i="3"/>
  <c r="G386" i="3"/>
  <c r="F386" i="3"/>
  <c r="E386" i="3"/>
  <c r="D386" i="3"/>
  <c r="G385" i="3"/>
  <c r="F385" i="3"/>
  <c r="E385" i="3"/>
  <c r="D385" i="3"/>
  <c r="G384" i="3"/>
  <c r="F384" i="3"/>
  <c r="E384" i="3"/>
  <c r="D384" i="3"/>
  <c r="G383" i="3"/>
  <c r="F383" i="3"/>
  <c r="E383" i="3"/>
  <c r="D383" i="3"/>
  <c r="G382" i="3"/>
  <c r="F382" i="3"/>
  <c r="E382" i="3"/>
  <c r="D382" i="3"/>
  <c r="G184" i="3"/>
  <c r="AR451" i="3"/>
  <c r="AS451" i="3" s="1"/>
  <c r="Q450" i="1" s="1"/>
  <c r="G103" i="3"/>
  <c r="F103" i="3"/>
  <c r="E103" i="3"/>
  <c r="D103" i="3"/>
  <c r="C103" i="3"/>
  <c r="A103" i="3" s="1"/>
  <c r="G102" i="3"/>
  <c r="F102" i="3"/>
  <c r="E102" i="3"/>
  <c r="D102" i="3"/>
  <c r="C102" i="3"/>
  <c r="A102" i="3" s="1"/>
  <c r="G101" i="3"/>
  <c r="F101" i="3"/>
  <c r="E101" i="3"/>
  <c r="D101" i="3"/>
  <c r="C101" i="3"/>
  <c r="A101" i="3" s="1"/>
  <c r="G100" i="3"/>
  <c r="F100" i="3"/>
  <c r="E100" i="3"/>
  <c r="D100" i="3"/>
  <c r="C100" i="3"/>
  <c r="A100" i="3" s="1"/>
  <c r="G167" i="3"/>
  <c r="F167" i="3"/>
  <c r="E167" i="3"/>
  <c r="D167" i="3"/>
  <c r="C167" i="3"/>
  <c r="A167" i="3" s="1"/>
  <c r="G166" i="3"/>
  <c r="F166" i="3"/>
  <c r="E166" i="3"/>
  <c r="D166" i="3"/>
  <c r="C166" i="3"/>
  <c r="A166" i="3" s="1"/>
  <c r="G165" i="3"/>
  <c r="F165" i="3"/>
  <c r="E165" i="3"/>
  <c r="D165" i="3"/>
  <c r="C165" i="3"/>
  <c r="A165" i="3" s="1"/>
  <c r="G164" i="3"/>
  <c r="F164" i="3"/>
  <c r="E164" i="3"/>
  <c r="D164" i="3"/>
  <c r="C164" i="3"/>
  <c r="A164" i="3" s="1"/>
  <c r="G163" i="3"/>
  <c r="F163" i="3"/>
  <c r="E163" i="3"/>
  <c r="D163" i="3"/>
  <c r="C163" i="3"/>
  <c r="A163" i="3" s="1"/>
  <c r="G162" i="3"/>
  <c r="F162" i="3"/>
  <c r="E162" i="3"/>
  <c r="D162" i="3"/>
  <c r="C162" i="3"/>
  <c r="A162" i="3" s="1"/>
  <c r="G161" i="3"/>
  <c r="F161" i="3"/>
  <c r="E161" i="3"/>
  <c r="D161" i="3"/>
  <c r="C161" i="3"/>
  <c r="A161" i="3" s="1"/>
  <c r="G160" i="3"/>
  <c r="F160" i="3"/>
  <c r="E160" i="3"/>
  <c r="D160" i="3"/>
  <c r="C160" i="3"/>
  <c r="A160" i="3" s="1"/>
  <c r="G159" i="3"/>
  <c r="F159" i="3"/>
  <c r="E159" i="3"/>
  <c r="D159" i="3"/>
  <c r="C159" i="3"/>
  <c r="A159" i="3" s="1"/>
  <c r="G158" i="3"/>
  <c r="F158" i="3"/>
  <c r="E158" i="3"/>
  <c r="D158" i="3"/>
  <c r="C158" i="3"/>
  <c r="A158" i="3" s="1"/>
  <c r="G157" i="3"/>
  <c r="F157" i="3"/>
  <c r="E157" i="3"/>
  <c r="D157" i="3"/>
  <c r="C157" i="3"/>
  <c r="A157" i="3" s="1"/>
  <c r="G156" i="3"/>
  <c r="F156" i="3"/>
  <c r="E156" i="3"/>
  <c r="D156" i="3"/>
  <c r="C156" i="3"/>
  <c r="A156" i="3" s="1"/>
  <c r="G155" i="3"/>
  <c r="F155" i="3"/>
  <c r="E155" i="3"/>
  <c r="D155" i="3"/>
  <c r="C155" i="3"/>
  <c r="A155" i="3" s="1"/>
  <c r="G154" i="3"/>
  <c r="F154" i="3"/>
  <c r="E154" i="3"/>
  <c r="D154" i="3"/>
  <c r="C154" i="3"/>
  <c r="A154" i="3" s="1"/>
  <c r="G153" i="3"/>
  <c r="F153" i="3"/>
  <c r="E153" i="3"/>
  <c r="D153" i="3"/>
  <c r="C153" i="3"/>
  <c r="A153" i="3" s="1"/>
  <c r="G152" i="3"/>
  <c r="F152" i="3"/>
  <c r="E152" i="3"/>
  <c r="D152" i="3"/>
  <c r="C152" i="3"/>
  <c r="A152" i="3" s="1"/>
  <c r="G151" i="3"/>
  <c r="F151" i="3"/>
  <c r="E151" i="3"/>
  <c r="D151" i="3"/>
  <c r="C151" i="3"/>
  <c r="A151" i="3" s="1"/>
  <c r="G150" i="3"/>
  <c r="F150" i="3"/>
  <c r="E150" i="3"/>
  <c r="D150" i="3"/>
  <c r="C150" i="3"/>
  <c r="A150" i="3" s="1"/>
  <c r="F184" i="3"/>
  <c r="E184" i="3"/>
  <c r="D184" i="3"/>
  <c r="C184" i="3"/>
  <c r="A184" i="3" s="1"/>
  <c r="G183" i="3"/>
  <c r="F183" i="3"/>
  <c r="E183" i="3"/>
  <c r="D183" i="3"/>
  <c r="C183" i="3"/>
  <c r="A183" i="3" s="1"/>
  <c r="G182" i="3"/>
  <c r="F182" i="3"/>
  <c r="E182" i="3"/>
  <c r="D182" i="3"/>
  <c r="C182" i="3"/>
  <c r="A182" i="3" s="1"/>
  <c r="G181" i="3"/>
  <c r="F181" i="3"/>
  <c r="E181" i="3"/>
  <c r="D181" i="3"/>
  <c r="C181" i="3"/>
  <c r="A181" i="3" s="1"/>
  <c r="G180" i="3"/>
  <c r="F180" i="3"/>
  <c r="E180" i="3"/>
  <c r="D180" i="3"/>
  <c r="C180" i="3"/>
  <c r="A180" i="3" s="1"/>
  <c r="G179" i="3"/>
  <c r="F179" i="3"/>
  <c r="E179" i="3"/>
  <c r="D179" i="3"/>
  <c r="C179" i="3"/>
  <c r="A179" i="3" s="1"/>
  <c r="G178" i="3"/>
  <c r="F178" i="3"/>
  <c r="E178" i="3"/>
  <c r="D178" i="3"/>
  <c r="C178" i="3"/>
  <c r="A178" i="3" s="1"/>
  <c r="G177" i="3"/>
  <c r="F177" i="3"/>
  <c r="E177" i="3"/>
  <c r="D177" i="3"/>
  <c r="C177" i="3"/>
  <c r="A177" i="3" s="1"/>
  <c r="G176" i="3"/>
  <c r="F176" i="3"/>
  <c r="E176" i="3"/>
  <c r="D176" i="3"/>
  <c r="C176" i="3"/>
  <c r="A176" i="3" s="1"/>
  <c r="G175" i="3"/>
  <c r="F175" i="3"/>
  <c r="E175" i="3"/>
  <c r="D175" i="3"/>
  <c r="C175" i="3"/>
  <c r="A175" i="3" s="1"/>
  <c r="G174" i="3"/>
  <c r="F174" i="3"/>
  <c r="E174" i="3"/>
  <c r="D174" i="3"/>
  <c r="C174" i="3"/>
  <c r="A174" i="3" s="1"/>
  <c r="G173" i="3"/>
  <c r="F173" i="3"/>
  <c r="E173" i="3"/>
  <c r="D173" i="3"/>
  <c r="C173" i="3"/>
  <c r="A173" i="3" s="1"/>
  <c r="G172" i="3"/>
  <c r="F172" i="3"/>
  <c r="E172" i="3"/>
  <c r="D172" i="3"/>
  <c r="C172" i="3"/>
  <c r="A172" i="3" s="1"/>
  <c r="G171" i="3"/>
  <c r="F171" i="3"/>
  <c r="E171" i="3"/>
  <c r="D171" i="3"/>
  <c r="C171" i="3"/>
  <c r="A171" i="3" s="1"/>
  <c r="G170" i="3"/>
  <c r="F170" i="3"/>
  <c r="E170" i="3"/>
  <c r="D170" i="3"/>
  <c r="C170" i="3"/>
  <c r="A170" i="3" s="1"/>
  <c r="G169" i="3"/>
  <c r="F169" i="3"/>
  <c r="E169" i="3"/>
  <c r="D169" i="3"/>
  <c r="C169" i="3"/>
  <c r="A169" i="3" s="1"/>
  <c r="G168" i="3"/>
  <c r="F168" i="3"/>
  <c r="E168" i="3"/>
  <c r="D168" i="3"/>
  <c r="C168" i="3"/>
  <c r="A168" i="3" s="1"/>
  <c r="G235" i="3"/>
  <c r="F235" i="3"/>
  <c r="E235" i="3"/>
  <c r="D235" i="3"/>
  <c r="G234" i="3"/>
  <c r="F234" i="3"/>
  <c r="E234" i="3"/>
  <c r="D234" i="3"/>
  <c r="G263" i="3"/>
  <c r="F263" i="3"/>
  <c r="E263" i="3"/>
  <c r="D263" i="3"/>
  <c r="C263" i="3"/>
  <c r="A263" i="3" s="1"/>
  <c r="G262" i="3"/>
  <c r="F262" i="3"/>
  <c r="E262" i="3"/>
  <c r="D262" i="3"/>
  <c r="C262" i="3"/>
  <c r="A262" i="3" s="1"/>
  <c r="G261" i="3"/>
  <c r="F261" i="3"/>
  <c r="E261" i="3"/>
  <c r="D261" i="3"/>
  <c r="C261" i="3"/>
  <c r="A261" i="3" s="1"/>
  <c r="G260" i="3"/>
  <c r="F260" i="3"/>
  <c r="E260" i="3"/>
  <c r="D260" i="3"/>
  <c r="C260" i="3"/>
  <c r="A260" i="3" s="1"/>
  <c r="G259" i="3"/>
  <c r="F259" i="3"/>
  <c r="E259" i="3"/>
  <c r="D259" i="3"/>
  <c r="C259" i="3"/>
  <c r="A259" i="3" s="1"/>
  <c r="G258" i="3"/>
  <c r="F258" i="3"/>
  <c r="E258" i="3"/>
  <c r="D258" i="3"/>
  <c r="C258" i="3"/>
  <c r="A258" i="3" s="1"/>
  <c r="G257" i="3"/>
  <c r="F257" i="3"/>
  <c r="E257" i="3"/>
  <c r="D257" i="3"/>
  <c r="C257" i="3"/>
  <c r="A257" i="3" s="1"/>
  <c r="G256" i="3"/>
  <c r="F256" i="3"/>
  <c r="E256" i="3"/>
  <c r="D256" i="3"/>
  <c r="C256" i="3"/>
  <c r="A256" i="3" s="1"/>
  <c r="G255" i="3"/>
  <c r="F255" i="3"/>
  <c r="E255" i="3"/>
  <c r="D255" i="3"/>
  <c r="C255" i="3"/>
  <c r="A255" i="3" s="1"/>
  <c r="G254" i="3"/>
  <c r="F254" i="3"/>
  <c r="E254" i="3"/>
  <c r="D254" i="3"/>
  <c r="C254" i="3"/>
  <c r="A254" i="3" s="1"/>
  <c r="G253" i="3"/>
  <c r="F253" i="3"/>
  <c r="E253" i="3"/>
  <c r="D253" i="3"/>
  <c r="C253" i="3"/>
  <c r="A253" i="3" s="1"/>
  <c r="G252" i="3"/>
  <c r="F252" i="3"/>
  <c r="E252" i="3"/>
  <c r="D252" i="3"/>
  <c r="C252" i="3"/>
  <c r="A252" i="3" s="1"/>
  <c r="G251" i="3"/>
  <c r="F251" i="3"/>
  <c r="E251" i="3"/>
  <c r="D251" i="3"/>
  <c r="C251" i="3"/>
  <c r="A251" i="3" s="1"/>
  <c r="G250" i="3"/>
  <c r="F250" i="3"/>
  <c r="E250" i="3"/>
  <c r="D250" i="3"/>
  <c r="C250" i="3"/>
  <c r="A250" i="3" s="1"/>
  <c r="G249" i="3"/>
  <c r="F249" i="3"/>
  <c r="E249" i="3"/>
  <c r="D249" i="3"/>
  <c r="C249" i="3"/>
  <c r="A249" i="3" s="1"/>
  <c r="G281" i="3"/>
  <c r="F281" i="3"/>
  <c r="E281" i="3"/>
  <c r="D281" i="3"/>
  <c r="C281" i="3"/>
  <c r="A281" i="3" s="1"/>
  <c r="F280" i="3"/>
  <c r="E280" i="3"/>
  <c r="D280" i="3"/>
  <c r="C280" i="3"/>
  <c r="A280" i="3" s="1"/>
  <c r="G280" i="3"/>
  <c r="G279" i="3"/>
  <c r="F279" i="3"/>
  <c r="E279" i="3"/>
  <c r="D279" i="3"/>
  <c r="C279" i="3"/>
  <c r="A279" i="3" s="1"/>
  <c r="D278" i="3"/>
  <c r="G278" i="3"/>
  <c r="F278" i="3"/>
  <c r="E278" i="3"/>
  <c r="C278" i="3"/>
  <c r="A278" i="3" s="1"/>
  <c r="G277" i="3"/>
  <c r="F277" i="3"/>
  <c r="E277" i="3"/>
  <c r="D277" i="3"/>
  <c r="C277" i="3"/>
  <c r="A277" i="3" s="1"/>
  <c r="G276" i="3"/>
  <c r="F276" i="3"/>
  <c r="E276" i="3"/>
  <c r="D276" i="3"/>
  <c r="C276" i="3"/>
  <c r="A276" i="3" s="1"/>
  <c r="G275" i="3"/>
  <c r="F275" i="3"/>
  <c r="E275" i="3"/>
  <c r="D275" i="3"/>
  <c r="C275" i="3"/>
  <c r="A275" i="3" s="1"/>
  <c r="F274" i="3"/>
  <c r="E274" i="3"/>
  <c r="D274" i="3"/>
  <c r="C274" i="3"/>
  <c r="A274" i="3" s="1"/>
  <c r="G274" i="3"/>
  <c r="G273" i="3"/>
  <c r="F273" i="3"/>
  <c r="E273" i="3"/>
  <c r="D273" i="3"/>
  <c r="C273" i="3"/>
  <c r="A273" i="3" s="1"/>
  <c r="G272" i="3"/>
  <c r="F272" i="3"/>
  <c r="E272" i="3"/>
  <c r="D272" i="3"/>
  <c r="C272" i="3"/>
  <c r="A272" i="3" s="1"/>
  <c r="D271" i="3"/>
  <c r="C271" i="3"/>
  <c r="A271" i="3" s="1"/>
  <c r="G271" i="3"/>
  <c r="F271" i="3"/>
  <c r="E271" i="3"/>
  <c r="G270" i="3"/>
  <c r="F270" i="3"/>
  <c r="E270" i="3"/>
  <c r="D270" i="3"/>
  <c r="C270" i="3"/>
  <c r="A270" i="3" s="1"/>
  <c r="G337" i="3"/>
  <c r="F337" i="3"/>
  <c r="D337" i="3"/>
  <c r="G336" i="3"/>
  <c r="F336" i="3"/>
  <c r="D336" i="3"/>
  <c r="D335" i="3"/>
  <c r="F335" i="3"/>
  <c r="G335" i="3"/>
  <c r="G334" i="3"/>
  <c r="F334" i="3"/>
  <c r="D334" i="3"/>
  <c r="G333" i="3"/>
  <c r="F333" i="3"/>
  <c r="D333" i="3"/>
  <c r="G360" i="3"/>
  <c r="F360" i="3"/>
  <c r="D360" i="3"/>
  <c r="G359" i="3"/>
  <c r="F359" i="3"/>
  <c r="E359" i="3"/>
  <c r="D359" i="3"/>
  <c r="G358" i="3"/>
  <c r="F358" i="3"/>
  <c r="E358" i="3"/>
  <c r="D358" i="3"/>
  <c r="G357" i="3"/>
  <c r="F357" i="3"/>
  <c r="E357" i="3"/>
  <c r="D357" i="3"/>
  <c r="G356" i="3"/>
  <c r="F356" i="3"/>
  <c r="E356" i="3"/>
  <c r="D356" i="3"/>
  <c r="G355" i="3"/>
  <c r="F355" i="3"/>
  <c r="E355" i="3"/>
  <c r="D355" i="3"/>
  <c r="G354" i="3"/>
  <c r="F354" i="3"/>
  <c r="E354" i="3"/>
  <c r="D354" i="3"/>
  <c r="G353" i="3"/>
  <c r="F353" i="3"/>
  <c r="E353" i="3"/>
  <c r="D353" i="3"/>
  <c r="G352" i="3"/>
  <c r="F352" i="3"/>
  <c r="E352" i="3"/>
  <c r="D352" i="3"/>
  <c r="G351" i="3"/>
  <c r="F351" i="3"/>
  <c r="E351" i="3"/>
  <c r="D351" i="3"/>
  <c r="G350" i="3"/>
  <c r="F350" i="3"/>
  <c r="E350" i="3"/>
  <c r="D350" i="3"/>
  <c r="G349" i="3"/>
  <c r="F349" i="3"/>
  <c r="D349" i="3"/>
  <c r="G348" i="3"/>
  <c r="F348" i="3"/>
  <c r="D348" i="3"/>
  <c r="G381" i="3"/>
  <c r="F381" i="3"/>
  <c r="E381" i="3"/>
  <c r="D381" i="3"/>
  <c r="G380" i="3"/>
  <c r="F380" i="3"/>
  <c r="E380" i="3"/>
  <c r="D380" i="3"/>
  <c r="G379" i="3"/>
  <c r="F379" i="3"/>
  <c r="E379" i="3"/>
  <c r="D379" i="3"/>
  <c r="G378" i="3"/>
  <c r="F378" i="3"/>
  <c r="E378" i="3"/>
  <c r="D378" i="3"/>
  <c r="C378" i="3"/>
  <c r="A378" i="3" s="1"/>
  <c r="G377" i="3"/>
  <c r="F377" i="3"/>
  <c r="E377" i="3"/>
  <c r="D377" i="3"/>
  <c r="C377" i="3"/>
  <c r="A377" i="3" s="1"/>
  <c r="G376" i="3"/>
  <c r="F376" i="3"/>
  <c r="D376" i="3"/>
  <c r="G375" i="3"/>
  <c r="F375" i="3"/>
  <c r="D375" i="3"/>
  <c r="G374" i="3"/>
  <c r="F374" i="3"/>
  <c r="D374" i="3"/>
  <c r="G373" i="3"/>
  <c r="F373" i="3"/>
  <c r="E373" i="3"/>
  <c r="D373" i="3"/>
  <c r="G372" i="3"/>
  <c r="F372" i="3"/>
  <c r="E372" i="3"/>
  <c r="D372" i="3"/>
  <c r="AR54" i="3"/>
  <c r="AS54" i="3" s="1"/>
  <c r="AR20" i="3"/>
  <c r="AS20" i="3" s="1"/>
  <c r="G439" i="3"/>
  <c r="F439" i="3"/>
  <c r="D439" i="3"/>
  <c r="G438" i="3"/>
  <c r="F438" i="3"/>
  <c r="D438" i="3"/>
  <c r="G437" i="3"/>
  <c r="F437" i="3"/>
  <c r="E437" i="3"/>
  <c r="D437" i="3"/>
  <c r="G436" i="3"/>
  <c r="F436" i="3"/>
  <c r="E436" i="3"/>
  <c r="D436" i="3"/>
  <c r="G435" i="3"/>
  <c r="F435" i="3"/>
  <c r="E435" i="3"/>
  <c r="D435" i="3"/>
  <c r="G434" i="3"/>
  <c r="F434" i="3"/>
  <c r="D434" i="3"/>
  <c r="G433" i="3"/>
  <c r="F433" i="3"/>
  <c r="D433" i="3"/>
  <c r="G411" i="3"/>
  <c r="F411" i="3"/>
  <c r="E411" i="3"/>
  <c r="D411" i="3"/>
  <c r="C411" i="3"/>
  <c r="A411" i="3" s="1"/>
  <c r="G410" i="3"/>
  <c r="F410" i="3"/>
  <c r="E410" i="3"/>
  <c r="D410" i="3"/>
  <c r="C410" i="3"/>
  <c r="A410" i="3" s="1"/>
  <c r="G409" i="3"/>
  <c r="F409" i="3"/>
  <c r="E409" i="3"/>
  <c r="D409" i="3"/>
  <c r="C409" i="3"/>
  <c r="A409" i="3" s="1"/>
  <c r="G408" i="3"/>
  <c r="F408" i="3"/>
  <c r="E408" i="3"/>
  <c r="D408" i="3"/>
  <c r="C408" i="3"/>
  <c r="A408" i="3" s="1"/>
  <c r="G407" i="3"/>
  <c r="F407" i="3"/>
  <c r="E407" i="3"/>
  <c r="D407" i="3"/>
  <c r="C407" i="3"/>
  <c r="A407" i="3" s="1"/>
  <c r="G406" i="3"/>
  <c r="F406" i="3"/>
  <c r="E406" i="3"/>
  <c r="D406" i="3"/>
  <c r="C406" i="3"/>
  <c r="A406" i="3" s="1"/>
  <c r="G473" i="3"/>
  <c r="F473" i="3"/>
  <c r="D473" i="3"/>
  <c r="G472" i="3"/>
  <c r="F472" i="3"/>
  <c r="E472" i="3"/>
  <c r="D472" i="3"/>
  <c r="G471" i="3"/>
  <c r="F471" i="3"/>
  <c r="E471" i="3"/>
  <c r="D471" i="3"/>
  <c r="G451" i="3"/>
  <c r="F451" i="3"/>
  <c r="E451" i="3"/>
  <c r="D451" i="3"/>
  <c r="G450" i="3"/>
  <c r="F450" i="3"/>
  <c r="E450" i="3"/>
  <c r="D450" i="3"/>
  <c r="G449" i="3"/>
  <c r="F449" i="3"/>
  <c r="E449" i="3"/>
  <c r="D449" i="3"/>
  <c r="G448" i="3"/>
  <c r="F448" i="3"/>
  <c r="E448" i="3"/>
  <c r="D448" i="3"/>
  <c r="G447" i="3"/>
  <c r="F447" i="3"/>
  <c r="E447" i="3"/>
  <c r="D447" i="3"/>
  <c r="G446" i="3"/>
  <c r="F446" i="3"/>
  <c r="E446" i="3"/>
  <c r="D446" i="3"/>
  <c r="G445" i="3"/>
  <c r="F445" i="3"/>
  <c r="E445" i="3"/>
  <c r="D445" i="3"/>
  <c r="G444" i="3"/>
  <c r="F444" i="3"/>
  <c r="E444" i="3"/>
  <c r="D444" i="3"/>
  <c r="G443" i="3"/>
  <c r="F443" i="3"/>
  <c r="E443" i="3"/>
  <c r="D443" i="3"/>
  <c r="G442" i="3"/>
  <c r="F442" i="3"/>
  <c r="E442" i="3"/>
  <c r="D442" i="3"/>
  <c r="C442" i="3"/>
  <c r="A442" i="3" s="1"/>
  <c r="G491" i="3"/>
  <c r="F491" i="3"/>
  <c r="E491" i="3"/>
  <c r="D491" i="3"/>
  <c r="C491" i="3"/>
  <c r="A491" i="3" s="1"/>
  <c r="G490" i="3"/>
  <c r="F490" i="3"/>
  <c r="E490" i="3"/>
  <c r="D490" i="3"/>
  <c r="C490" i="3"/>
  <c r="A490" i="3" s="1"/>
  <c r="G489" i="3"/>
  <c r="F489" i="3"/>
  <c r="D489" i="3"/>
  <c r="G488" i="3"/>
  <c r="F488" i="3"/>
  <c r="D488" i="3"/>
  <c r="G487" i="3"/>
  <c r="F487" i="3"/>
  <c r="D487" i="3"/>
  <c r="G486" i="3"/>
  <c r="F486" i="3"/>
  <c r="E486" i="3"/>
  <c r="D486" i="3"/>
  <c r="G485" i="3"/>
  <c r="F485" i="3"/>
  <c r="E485" i="3"/>
  <c r="D485" i="3"/>
  <c r="G484" i="3"/>
  <c r="F484" i="3"/>
  <c r="E484" i="3"/>
  <c r="D484" i="3"/>
  <c r="G483" i="3"/>
  <c r="F483" i="3"/>
  <c r="D483" i="3"/>
  <c r="G482" i="3"/>
  <c r="F482" i="3"/>
  <c r="D482" i="3"/>
  <c r="G481" i="3"/>
  <c r="F481" i="3"/>
  <c r="D481" i="3"/>
  <c r="Q489" i="1"/>
  <c r="Q507" i="1"/>
  <c r="Q506" i="1"/>
  <c r="G432" i="3"/>
  <c r="F432" i="3"/>
  <c r="D432" i="3"/>
  <c r="G431" i="3"/>
  <c r="F431" i="3"/>
  <c r="D431" i="3"/>
  <c r="G430" i="3"/>
  <c r="F430" i="3"/>
  <c r="D430" i="3"/>
  <c r="G429" i="3"/>
  <c r="F429" i="3"/>
  <c r="D429" i="3"/>
  <c r="G428" i="3"/>
  <c r="F428" i="3"/>
  <c r="D428" i="3"/>
  <c r="G427" i="3"/>
  <c r="F427" i="3"/>
  <c r="D427" i="3"/>
  <c r="G426" i="3"/>
  <c r="F426" i="3"/>
  <c r="D426" i="3"/>
  <c r="G425" i="3"/>
  <c r="F425" i="3"/>
  <c r="D425" i="3"/>
  <c r="G424" i="3"/>
  <c r="F424" i="3"/>
  <c r="D424" i="3"/>
  <c r="G423" i="3"/>
  <c r="F423" i="3"/>
  <c r="E423" i="3"/>
  <c r="D423" i="3"/>
  <c r="G422" i="3"/>
  <c r="E422" i="3"/>
  <c r="D422" i="3"/>
  <c r="F422" i="3"/>
  <c r="F421" i="3"/>
  <c r="E421" i="3"/>
  <c r="D421" i="3"/>
  <c r="G421" i="3"/>
  <c r="G420" i="3"/>
  <c r="F420" i="3"/>
  <c r="E420" i="3"/>
  <c r="D420" i="3"/>
  <c r="C420" i="3"/>
  <c r="A420" i="3" s="1"/>
  <c r="C419" i="3"/>
  <c r="A419" i="3" s="1"/>
  <c r="D419" i="3"/>
  <c r="E419" i="3"/>
  <c r="F419" i="3"/>
  <c r="G419" i="3"/>
  <c r="C418" i="3"/>
  <c r="A418" i="3" s="1"/>
  <c r="D418" i="3"/>
  <c r="E418" i="3"/>
  <c r="F418" i="3"/>
  <c r="G418" i="3"/>
  <c r="C417" i="3"/>
  <c r="A417" i="3" s="1"/>
  <c r="D417" i="3"/>
  <c r="E417" i="3"/>
  <c r="F417" i="3"/>
  <c r="G417" i="3"/>
  <c r="G416" i="3"/>
  <c r="E416" i="3"/>
  <c r="C416" i="3"/>
  <c r="A416" i="3" s="1"/>
  <c r="D416" i="3"/>
  <c r="F416" i="3"/>
  <c r="F415" i="3"/>
  <c r="E415" i="3"/>
  <c r="C415" i="3"/>
  <c r="A415" i="3" s="1"/>
  <c r="G415" i="3"/>
  <c r="D415" i="3"/>
  <c r="G470" i="3"/>
  <c r="F470" i="3"/>
  <c r="E470" i="3"/>
  <c r="D470" i="3"/>
  <c r="C469" i="3"/>
  <c r="A469" i="3" s="1"/>
  <c r="D469" i="3"/>
  <c r="E469" i="3"/>
  <c r="F469" i="3"/>
  <c r="G469" i="3"/>
  <c r="C468" i="3"/>
  <c r="A468" i="3" s="1"/>
  <c r="D468" i="3"/>
  <c r="E468" i="3"/>
  <c r="G468" i="3"/>
  <c r="F468" i="3"/>
  <c r="E467" i="3"/>
  <c r="D467" i="3"/>
  <c r="G467" i="3"/>
  <c r="F467" i="3"/>
  <c r="F466" i="3"/>
  <c r="E466" i="3"/>
  <c r="G466" i="3"/>
  <c r="D466" i="3"/>
  <c r="D465" i="3"/>
  <c r="E465" i="3"/>
  <c r="F465" i="3"/>
  <c r="G465" i="3"/>
  <c r="D464" i="3"/>
  <c r="E464" i="3"/>
  <c r="F464" i="3"/>
  <c r="G464" i="3"/>
  <c r="F463" i="3"/>
  <c r="E463" i="3"/>
  <c r="D463" i="3"/>
  <c r="G463" i="3"/>
  <c r="G462" i="3"/>
  <c r="F462" i="3"/>
  <c r="E462" i="3"/>
  <c r="D462" i="3"/>
  <c r="F461" i="3"/>
  <c r="E461" i="3"/>
  <c r="D461" i="3"/>
  <c r="G461" i="3"/>
  <c r="F460" i="3"/>
  <c r="E460" i="3"/>
  <c r="D460" i="3"/>
  <c r="G460" i="3"/>
  <c r="G459" i="3"/>
  <c r="F459" i="3"/>
  <c r="E459" i="3"/>
  <c r="D459" i="3"/>
  <c r="C459" i="3"/>
  <c r="A459" i="3" s="1"/>
  <c r="E458" i="3"/>
  <c r="G458" i="3"/>
  <c r="F458" i="3"/>
  <c r="D458" i="3"/>
  <c r="C458" i="3"/>
  <c r="A458" i="3" s="1"/>
  <c r="E457" i="3"/>
  <c r="F457" i="3"/>
  <c r="G457" i="3"/>
  <c r="D457" i="3"/>
  <c r="D456" i="3"/>
  <c r="E456" i="3"/>
  <c r="F456" i="3"/>
  <c r="G456" i="3"/>
  <c r="D455" i="3"/>
  <c r="E455" i="3"/>
  <c r="F455" i="3"/>
  <c r="G455" i="3"/>
  <c r="D454" i="3"/>
  <c r="E454" i="3"/>
  <c r="F454" i="3"/>
  <c r="G454" i="3"/>
  <c r="E453" i="3"/>
  <c r="F453" i="3"/>
  <c r="G453" i="3"/>
  <c r="D453" i="3"/>
  <c r="E452" i="3"/>
  <c r="F452" i="3"/>
  <c r="D452" i="3"/>
  <c r="G452" i="3"/>
  <c r="C441" i="3"/>
  <c r="A441" i="3" s="1"/>
  <c r="D441" i="3"/>
  <c r="E441" i="3"/>
  <c r="F441" i="3"/>
  <c r="G441" i="3"/>
  <c r="G440" i="3"/>
  <c r="D440" i="3"/>
  <c r="F440" i="3"/>
  <c r="C507" i="3"/>
  <c r="A507" i="3" s="1"/>
  <c r="D507" i="3"/>
  <c r="E507" i="3"/>
  <c r="F507" i="3"/>
  <c r="G507" i="3"/>
  <c r="C506" i="3"/>
  <c r="A506" i="3" s="1"/>
  <c r="D506" i="3"/>
  <c r="E506" i="3"/>
  <c r="F506" i="3"/>
  <c r="G506" i="3"/>
  <c r="E505" i="3"/>
  <c r="D505" i="3"/>
  <c r="C505" i="3"/>
  <c r="A505" i="3" s="1"/>
  <c r="G505" i="3"/>
  <c r="F505" i="3"/>
  <c r="G504" i="3"/>
  <c r="F504" i="3"/>
  <c r="E504" i="3"/>
  <c r="D504" i="3"/>
  <c r="C504" i="3"/>
  <c r="A504" i="3" s="1"/>
  <c r="G503" i="3"/>
  <c r="F503" i="3"/>
  <c r="D503" i="3"/>
  <c r="C503" i="3"/>
  <c r="A503" i="3" s="1"/>
  <c r="E503" i="3"/>
  <c r="G502" i="3"/>
  <c r="F502" i="3"/>
  <c r="E502" i="3"/>
  <c r="D502" i="3"/>
  <c r="G501" i="3"/>
  <c r="F501" i="3"/>
  <c r="E501" i="3"/>
  <c r="D501" i="3"/>
  <c r="F500" i="3"/>
  <c r="G500" i="3"/>
  <c r="E500" i="3"/>
  <c r="D500" i="3"/>
  <c r="G499" i="3"/>
  <c r="F499" i="3"/>
  <c r="E499" i="3"/>
  <c r="D499" i="3"/>
  <c r="E498" i="3"/>
  <c r="F498" i="3"/>
  <c r="G498" i="3"/>
  <c r="D498" i="3"/>
  <c r="G497" i="3"/>
  <c r="F497" i="3"/>
  <c r="D497" i="3"/>
  <c r="E497" i="3"/>
  <c r="F496" i="3"/>
  <c r="E496" i="3"/>
  <c r="D496" i="3"/>
  <c r="G496" i="3"/>
  <c r="F495" i="3"/>
  <c r="D495" i="3"/>
  <c r="E495" i="3"/>
  <c r="G495" i="3"/>
  <c r="G494" i="3"/>
  <c r="F494" i="3"/>
  <c r="E494" i="3"/>
  <c r="D494" i="3"/>
  <c r="D493" i="3"/>
  <c r="E493" i="3"/>
  <c r="F493" i="3"/>
  <c r="G493" i="3"/>
  <c r="G492" i="3"/>
  <c r="F492" i="3"/>
  <c r="E492" i="3"/>
  <c r="D492" i="3"/>
  <c r="G480" i="3"/>
  <c r="F480" i="3"/>
  <c r="D480" i="3"/>
  <c r="D479" i="3"/>
  <c r="G479" i="3"/>
  <c r="F479" i="3"/>
  <c r="D478" i="3"/>
  <c r="F478" i="3"/>
  <c r="G478" i="3"/>
  <c r="D477" i="3"/>
  <c r="F477" i="3"/>
  <c r="G477" i="3"/>
  <c r="G476" i="3"/>
  <c r="F476" i="3"/>
  <c r="D476" i="3"/>
  <c r="G475" i="3"/>
  <c r="D475" i="3"/>
  <c r="F475" i="3"/>
  <c r="F474" i="3"/>
  <c r="G474" i="3"/>
  <c r="D474" i="3"/>
  <c r="G414" i="3"/>
  <c r="F414" i="3"/>
  <c r="E414" i="3"/>
  <c r="D414" i="3"/>
  <c r="C414" i="3"/>
  <c r="A414" i="3" s="1"/>
  <c r="D413" i="3"/>
  <c r="G413" i="3"/>
  <c r="F413" i="3"/>
  <c r="E413" i="3"/>
  <c r="C413" i="3"/>
  <c r="A413" i="3" s="1"/>
  <c r="F412" i="3"/>
  <c r="C412" i="3"/>
  <c r="A412" i="3" s="1"/>
  <c r="G412" i="3"/>
  <c r="E412" i="3"/>
  <c r="D412" i="3"/>
  <c r="AR63" i="3"/>
  <c r="AS63" i="3" s="1"/>
  <c r="AR39" i="3"/>
  <c r="AS39" i="3" s="1"/>
  <c r="C643" i="3"/>
  <c r="A643" i="3" s="1"/>
  <c r="G643" i="3"/>
  <c r="F643" i="3"/>
  <c r="E643" i="3"/>
  <c r="D643" i="3"/>
  <c r="C642" i="3"/>
  <c r="A642" i="3" s="1"/>
  <c r="G642" i="3"/>
  <c r="F642" i="3"/>
  <c r="D642" i="3"/>
  <c r="E642" i="3"/>
  <c r="E641" i="3"/>
  <c r="G641" i="3"/>
  <c r="D641" i="3"/>
  <c r="F641" i="3"/>
  <c r="C641" i="3"/>
  <c r="A641" i="3" s="1"/>
  <c r="D640" i="3"/>
  <c r="C640" i="3"/>
  <c r="A640" i="3" s="1"/>
  <c r="G640" i="3"/>
  <c r="F640" i="3"/>
  <c r="E640" i="3"/>
  <c r="G639" i="3"/>
  <c r="F639" i="3"/>
  <c r="E639" i="3"/>
  <c r="C639" i="3"/>
  <c r="A639" i="3" s="1"/>
  <c r="D639" i="3"/>
  <c r="C638" i="3"/>
  <c r="A638" i="3" s="1"/>
  <c r="D638" i="3"/>
  <c r="E638" i="3"/>
  <c r="F638" i="3"/>
  <c r="G638" i="3"/>
  <c r="D637" i="3"/>
  <c r="E637" i="3"/>
  <c r="F637" i="3"/>
  <c r="G637" i="3"/>
  <c r="C637" i="3"/>
  <c r="A637" i="3" s="1"/>
  <c r="C514" i="3"/>
  <c r="A514" i="3" s="1"/>
  <c r="D514" i="3"/>
  <c r="E514" i="3"/>
  <c r="G514" i="3"/>
  <c r="F514" i="3"/>
  <c r="C644" i="3"/>
  <c r="A644" i="3" s="1"/>
  <c r="F513" i="3"/>
  <c r="E513" i="3"/>
  <c r="C513" i="3"/>
  <c r="A513" i="3" s="1"/>
  <c r="D513" i="3"/>
  <c r="G513" i="3"/>
  <c r="D512" i="3"/>
  <c r="C512" i="3"/>
  <c r="A512" i="3" s="1"/>
  <c r="G512" i="3"/>
  <c r="F512" i="3"/>
  <c r="E512" i="3"/>
  <c r="C511" i="3"/>
  <c r="A511" i="3" s="1"/>
  <c r="F511" i="3"/>
  <c r="G511" i="3"/>
  <c r="E511" i="3"/>
  <c r="D511" i="3"/>
  <c r="E510" i="3"/>
  <c r="G510" i="3"/>
  <c r="F510" i="3"/>
  <c r="D510" i="3"/>
  <c r="C510" i="3"/>
  <c r="A510" i="3" s="1"/>
  <c r="E509" i="3"/>
  <c r="F509" i="3"/>
  <c r="G509" i="3"/>
  <c r="C509" i="3"/>
  <c r="A509" i="3" s="1"/>
  <c r="D509" i="3"/>
  <c r="C508" i="3"/>
  <c r="A508" i="3" s="1"/>
  <c r="D508" i="3"/>
  <c r="F508" i="3"/>
  <c r="G508" i="3"/>
  <c r="E508" i="3"/>
  <c r="F644" i="3"/>
  <c r="G644" i="3"/>
  <c r="E644" i="3"/>
  <c r="D644" i="3"/>
  <c r="AR86" i="3"/>
  <c r="AS86" i="3" s="1"/>
  <c r="AR23" i="3"/>
  <c r="AS23" i="3" s="1"/>
  <c r="Q116" i="1" s="1"/>
  <c r="Q433" i="1"/>
  <c r="Q432" i="1"/>
  <c r="Q434" i="1"/>
  <c r="AR88" i="3"/>
  <c r="AS88" i="3" s="1"/>
  <c r="AR69" i="3"/>
  <c r="AS69" i="3" s="1"/>
  <c r="AR50" i="3"/>
  <c r="AS50" i="3" s="1"/>
  <c r="Q128" i="1" s="1"/>
  <c r="AR31" i="3"/>
  <c r="AS31" i="3" s="1"/>
  <c r="AR12" i="3"/>
  <c r="AS12" i="3" s="1"/>
  <c r="Q73" i="1" s="1"/>
  <c r="Q578" i="1"/>
  <c r="Q577" i="1"/>
  <c r="Q576" i="1"/>
  <c r="Q557" i="1"/>
  <c r="Q555" i="1"/>
  <c r="Q552" i="1"/>
  <c r="Q553" i="1"/>
  <c r="AR85" i="3"/>
  <c r="AS85" i="3" s="1"/>
  <c r="AR67" i="3"/>
  <c r="AS67" i="3" s="1"/>
  <c r="Q66" i="1" s="1"/>
  <c r="AR48" i="3"/>
  <c r="AS48" i="3" s="1"/>
  <c r="AR29" i="3"/>
  <c r="AS29" i="3" s="1"/>
  <c r="AR11" i="3"/>
  <c r="AS11" i="3" s="1"/>
  <c r="Q72" i="1" s="1"/>
  <c r="Q363" i="1"/>
  <c r="Q362" i="1"/>
  <c r="Q361" i="1"/>
  <c r="Q360" i="1"/>
  <c r="Q359" i="1"/>
  <c r="AR84" i="3"/>
  <c r="AS84" i="3" s="1"/>
  <c r="AR47" i="3"/>
  <c r="AS47" i="3" s="1"/>
  <c r="Q355" i="1"/>
  <c r="Q353" i="1"/>
  <c r="Q508" i="1"/>
  <c r="Q558" i="1"/>
  <c r="Q504" i="1"/>
  <c r="Q449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546" i="1"/>
  <c r="Q544" i="1"/>
  <c r="Q494" i="1"/>
  <c r="AR82" i="3"/>
  <c r="AS82" i="3" s="1"/>
  <c r="AR9" i="3"/>
  <c r="AS9" i="3" s="1"/>
  <c r="Q543" i="1"/>
  <c r="Q542" i="1"/>
  <c r="Q541" i="1"/>
  <c r="Q540" i="1"/>
  <c r="Q584" i="1"/>
  <c r="Q583" i="1"/>
  <c r="Q582" i="1"/>
  <c r="Q581" i="1"/>
  <c r="Q580" i="1"/>
  <c r="Q579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300" i="1"/>
  <c r="Q348" i="1"/>
  <c r="Q347" i="1"/>
  <c r="Q346" i="1"/>
  <c r="Q345" i="1"/>
  <c r="Q344" i="1"/>
  <c r="Q343" i="1"/>
  <c r="Q341" i="1"/>
  <c r="Q340" i="1"/>
  <c r="Q335" i="1"/>
  <c r="Q330" i="1"/>
  <c r="Q329" i="1"/>
  <c r="Q369" i="1"/>
  <c r="Q368" i="1"/>
  <c r="Q377" i="1"/>
  <c r="Q378" i="1"/>
  <c r="Q379" i="1"/>
  <c r="AR83" i="3"/>
  <c r="AS83" i="3" s="1"/>
  <c r="AR65" i="3"/>
  <c r="AS65" i="3" s="1"/>
  <c r="Q64" i="1" s="1"/>
  <c r="Q322" i="1"/>
  <c r="AR46" i="3"/>
  <c r="AS46" i="3" s="1"/>
  <c r="Q45" i="1" s="1"/>
  <c r="Q326" i="1"/>
  <c r="Q325" i="1"/>
  <c r="Q324" i="1"/>
  <c r="AR26" i="3"/>
  <c r="AS26" i="3" s="1"/>
  <c r="Q318" i="1"/>
  <c r="Q317" i="1"/>
  <c r="Q316" i="1"/>
  <c r="Q315" i="1"/>
  <c r="Q312" i="1"/>
  <c r="Q311" i="1"/>
  <c r="Q310" i="1"/>
  <c r="Q309" i="1"/>
  <c r="Q308" i="1"/>
  <c r="Q307" i="1"/>
  <c r="Q306" i="1"/>
  <c r="Q305" i="1"/>
  <c r="Q304" i="1"/>
  <c r="AR10" i="3"/>
  <c r="AS10" i="3" s="1"/>
  <c r="Q302" i="1"/>
  <c r="Q301" i="1"/>
  <c r="R300" i="1"/>
  <c r="Q373" i="1"/>
  <c r="Q367" i="1"/>
  <c r="Q366" i="1"/>
  <c r="Q365" i="1"/>
  <c r="Q364" i="1"/>
  <c r="Q374" i="1"/>
  <c r="Q371" i="1"/>
  <c r="Q350" i="1"/>
  <c r="Q349" i="1"/>
  <c r="Q511" i="1"/>
  <c r="Q513" i="1"/>
  <c r="Q516" i="1"/>
  <c r="Q515" i="1"/>
  <c r="Q514" i="1"/>
  <c r="Q512" i="1"/>
  <c r="Q510" i="1"/>
  <c r="Q509" i="1"/>
  <c r="B351" i="1"/>
  <c r="D351" i="1" s="1"/>
  <c r="C57" i="3"/>
  <c r="A57" i="3" s="1"/>
  <c r="B319" i="1"/>
  <c r="D319" i="1" s="1"/>
  <c r="C25" i="3"/>
  <c r="A25" i="3" s="1"/>
  <c r="B302" i="1"/>
  <c r="D302" i="1" s="1"/>
  <c r="B330" i="1"/>
  <c r="D330" i="1" s="1"/>
  <c r="C35" i="3"/>
  <c r="A35" i="3" s="1"/>
  <c r="R301" i="1"/>
  <c r="R302" i="1"/>
  <c r="AN87" i="4"/>
  <c r="AO87" i="4" s="1"/>
  <c r="AR87" i="3"/>
  <c r="AS87" i="3" s="1"/>
  <c r="Q59" i="1" s="1"/>
  <c r="AN67" i="4"/>
  <c r="AO67" i="4" s="1"/>
  <c r="AR64" i="3"/>
  <c r="AS64" i="3" s="1"/>
  <c r="AR28" i="3"/>
  <c r="AS28" i="3" s="1"/>
  <c r="Q27" i="1" s="1"/>
  <c r="AR27" i="3"/>
  <c r="AS27" i="3" s="1"/>
  <c r="AR49" i="3"/>
  <c r="AS49" i="3" s="1"/>
  <c r="Q48" i="1" s="1"/>
  <c r="AN47" i="4"/>
  <c r="AO47" i="4" s="1"/>
  <c r="AN86" i="4"/>
  <c r="AO86" i="4" s="1"/>
  <c r="AN92" i="4"/>
  <c r="AO92" i="4" s="1"/>
  <c r="AN84" i="4"/>
  <c r="AO84" i="4" s="1"/>
  <c r="AN65" i="4"/>
  <c r="AO65" i="4" s="1"/>
  <c r="R37" i="1" s="1"/>
  <c r="AN45" i="4"/>
  <c r="AO45" i="4" s="1"/>
  <c r="R123" i="1" s="1"/>
  <c r="AN46" i="4"/>
  <c r="AO46" i="4" s="1"/>
  <c r="AN85" i="4"/>
  <c r="AO85" i="4" s="1"/>
  <c r="R84" i="1" s="1"/>
  <c r="AN97" i="4"/>
  <c r="AO97" i="4" s="1"/>
  <c r="AN83" i="4"/>
  <c r="AO83" i="4" s="1"/>
  <c r="R82" i="1" s="1"/>
  <c r="AN50" i="4"/>
  <c r="AO50" i="4" s="1"/>
  <c r="C99" i="3"/>
  <c r="A99" i="3" s="1"/>
  <c r="C98" i="3"/>
  <c r="A98" i="3" s="1"/>
  <c r="C97" i="3"/>
  <c r="A97" i="3" s="1"/>
  <c r="C96" i="3"/>
  <c r="A96" i="3" s="1"/>
  <c r="C95" i="3"/>
  <c r="A95" i="3" s="1"/>
  <c r="C94" i="3"/>
  <c r="A94" i="3" s="1"/>
  <c r="C93" i="3"/>
  <c r="A93" i="3" s="1"/>
  <c r="C92" i="3"/>
  <c r="A92" i="3" s="1"/>
  <c r="C91" i="3"/>
  <c r="A91" i="3" s="1"/>
  <c r="C90" i="3"/>
  <c r="A90" i="3" s="1"/>
  <c r="C89" i="3"/>
  <c r="A89" i="3" s="1"/>
  <c r="C88" i="3"/>
  <c r="A88" i="3" s="1"/>
  <c r="C87" i="3"/>
  <c r="A87" i="3" s="1"/>
  <c r="C86" i="3"/>
  <c r="A86" i="3" s="1"/>
  <c r="C85" i="3"/>
  <c r="A85" i="3" s="1"/>
  <c r="C84" i="3"/>
  <c r="A84" i="3" s="1"/>
  <c r="C83" i="3"/>
  <c r="A83" i="3" s="1"/>
  <c r="C82" i="3"/>
  <c r="A82" i="3" s="1"/>
  <c r="C81" i="3"/>
  <c r="A81" i="3" s="1"/>
  <c r="C80" i="3"/>
  <c r="A80" i="3" s="1"/>
  <c r="C79" i="3"/>
  <c r="A79" i="3" s="1"/>
  <c r="C78" i="3"/>
  <c r="A78" i="3" s="1"/>
  <c r="C77" i="3"/>
  <c r="A77" i="3" s="1"/>
  <c r="C76" i="3"/>
  <c r="A76" i="3" s="1"/>
  <c r="C75" i="3"/>
  <c r="A75" i="3" s="1"/>
  <c r="C74" i="3"/>
  <c r="A74" i="3" s="1"/>
  <c r="C73" i="3"/>
  <c r="A73" i="3" s="1"/>
  <c r="C72" i="3"/>
  <c r="A72" i="3" s="1"/>
  <c r="C71" i="3"/>
  <c r="A71" i="3" s="1"/>
  <c r="C70" i="3"/>
  <c r="A70" i="3" s="1"/>
  <c r="C69" i="3"/>
  <c r="A69" i="3" s="1"/>
  <c r="C56" i="3"/>
  <c r="A56" i="3" s="1"/>
  <c r="C34" i="3"/>
  <c r="A34" i="3" s="1"/>
  <c r="C24" i="3"/>
  <c r="A24" i="3" s="1"/>
  <c r="C7" i="3"/>
  <c r="A7" i="3" s="1"/>
  <c r="AN66" i="4"/>
  <c r="AO66" i="4" s="1"/>
  <c r="AR44" i="3"/>
  <c r="AR43" i="3"/>
  <c r="AR97" i="3"/>
  <c r="AS97" i="3" s="1"/>
  <c r="Q96" i="1" s="1"/>
  <c r="AR79" i="3"/>
  <c r="AS79" i="3" s="1"/>
  <c r="AR61" i="3"/>
  <c r="AS61" i="3" s="1"/>
  <c r="AR58" i="3"/>
  <c r="AS58" i="3" s="1"/>
  <c r="AR41" i="3"/>
  <c r="AS41" i="3" s="1"/>
  <c r="G8" i="3"/>
  <c r="F8" i="3"/>
  <c r="D8" i="3"/>
  <c r="G7" i="3"/>
  <c r="F7" i="3"/>
  <c r="D7" i="3"/>
  <c r="E8" i="3"/>
  <c r="E7" i="3"/>
  <c r="F332" i="1"/>
  <c r="H332" i="1"/>
  <c r="AR95" i="3"/>
  <c r="AS95" i="3" s="1"/>
  <c r="AR77" i="3"/>
  <c r="AS77" i="3" s="1"/>
  <c r="AS45" i="3"/>
  <c r="AS44" i="3"/>
  <c r="AS43" i="3"/>
  <c r="F346" i="1"/>
  <c r="H346" i="1"/>
  <c r="F348" i="1"/>
  <c r="H348" i="1"/>
  <c r="F347" i="1"/>
  <c r="H347" i="1"/>
  <c r="F342" i="1"/>
  <c r="H342" i="1"/>
  <c r="H341" i="1"/>
  <c r="F341" i="1"/>
  <c r="H340" i="1"/>
  <c r="F340" i="1"/>
  <c r="H339" i="1"/>
  <c r="F339" i="1"/>
  <c r="F338" i="1"/>
  <c r="H338" i="1"/>
  <c r="H337" i="1"/>
  <c r="F337" i="1"/>
  <c r="H336" i="1"/>
  <c r="F336" i="1"/>
  <c r="H335" i="1"/>
  <c r="F335" i="1"/>
  <c r="H334" i="1"/>
  <c r="F334" i="1"/>
  <c r="F333" i="1"/>
  <c r="H333" i="1"/>
  <c r="AS40" i="3"/>
  <c r="Q12" i="1" s="1"/>
  <c r="AS38" i="3"/>
  <c r="Q10" i="1" s="1"/>
  <c r="AS30" i="3"/>
  <c r="AS21" i="3"/>
  <c r="AS59" i="3"/>
  <c r="Q31" i="1" s="1"/>
  <c r="AS35" i="3"/>
  <c r="AS34" i="3"/>
  <c r="R70" i="1" l="1"/>
  <c r="R205" i="1"/>
  <c r="R202" i="1"/>
  <c r="R199" i="1"/>
  <c r="R281" i="1"/>
  <c r="R288" i="1"/>
  <c r="R87" i="1"/>
  <c r="R91" i="1"/>
  <c r="R83" i="1"/>
  <c r="R36" i="1"/>
  <c r="R62" i="1"/>
  <c r="R227" i="1"/>
  <c r="R226" i="1"/>
  <c r="R159" i="1"/>
  <c r="R158" i="1"/>
  <c r="R77" i="1"/>
  <c r="R76" i="1"/>
  <c r="R68" i="1"/>
  <c r="R94" i="1"/>
  <c r="R90" i="1"/>
  <c r="R89" i="1"/>
  <c r="Q290" i="1"/>
  <c r="Q386" i="1"/>
  <c r="Q291" i="1"/>
  <c r="Q387" i="1"/>
  <c r="R415" i="1"/>
  <c r="R457" i="1"/>
  <c r="Q402" i="1"/>
  <c r="Q429" i="1"/>
  <c r="Q133" i="1"/>
  <c r="Q202" i="1"/>
  <c r="Q428" i="1"/>
  <c r="Q498" i="1"/>
  <c r="R66" i="1"/>
  <c r="R21" i="1"/>
  <c r="R20" i="1"/>
  <c r="R397" i="1"/>
  <c r="R424" i="1"/>
  <c r="R15" i="1"/>
  <c r="R253" i="1"/>
  <c r="R14" i="1"/>
  <c r="R252" i="1"/>
  <c r="R13" i="1"/>
  <c r="R251" i="1"/>
  <c r="R110" i="1"/>
  <c r="R222" i="1"/>
  <c r="Q86" i="1"/>
  <c r="R46" i="1"/>
  <c r="R73" i="1"/>
  <c r="R81" i="1"/>
  <c r="Q101" i="1"/>
  <c r="Q112" i="1"/>
  <c r="R85" i="1"/>
  <c r="Q26" i="1"/>
  <c r="Q57" i="1"/>
  <c r="Q39" i="1"/>
  <c r="Q37" i="1"/>
  <c r="Q33" i="1"/>
  <c r="Q11" i="1"/>
  <c r="Q297" i="1"/>
  <c r="Q397" i="1"/>
  <c r="Q288" i="1"/>
  <c r="Q384" i="1"/>
  <c r="Q417" i="1"/>
  <c r="Q459" i="1"/>
  <c r="R615" i="1"/>
  <c r="R155" i="1"/>
  <c r="R612" i="1"/>
  <c r="R152" i="1"/>
  <c r="R247" i="1"/>
  <c r="R274" i="1"/>
  <c r="R270" i="1"/>
  <c r="R297" i="1"/>
  <c r="R269" i="1"/>
  <c r="R296" i="1"/>
  <c r="R268" i="1"/>
  <c r="R295" i="1"/>
  <c r="R267" i="1"/>
  <c r="R294" i="1"/>
  <c r="R266" i="1"/>
  <c r="R293" i="1"/>
  <c r="R601" i="1"/>
  <c r="R141" i="1"/>
  <c r="R65" i="1"/>
  <c r="R92" i="1"/>
  <c r="R181" i="1"/>
  <c r="R208" i="1"/>
  <c r="R182" i="1"/>
  <c r="R209" i="1"/>
  <c r="R174" i="1"/>
  <c r="R201" i="1"/>
  <c r="R265" i="1"/>
  <c r="R292" i="1"/>
  <c r="R600" i="1"/>
  <c r="R140" i="1"/>
  <c r="R383" i="1"/>
  <c r="R466" i="1"/>
  <c r="R264" i="1"/>
  <c r="R291" i="1"/>
  <c r="R263" i="1"/>
  <c r="R290" i="1"/>
  <c r="R262" i="1"/>
  <c r="R289" i="1"/>
  <c r="R53" i="1"/>
  <c r="R287" i="1"/>
  <c r="R259" i="1"/>
  <c r="R286" i="1"/>
  <c r="R258" i="1"/>
  <c r="R285" i="1"/>
  <c r="R257" i="1"/>
  <c r="R284" i="1"/>
  <c r="R48" i="1"/>
  <c r="R282" i="1"/>
  <c r="R75" i="1"/>
  <c r="R161" i="1"/>
  <c r="R385" i="1"/>
  <c r="R412" i="1"/>
  <c r="R117" i="1"/>
  <c r="R171" i="1"/>
  <c r="R116" i="1"/>
  <c r="R170" i="1"/>
  <c r="R115" i="1"/>
  <c r="R169" i="1"/>
  <c r="R112" i="1"/>
  <c r="R166" i="1"/>
  <c r="Q132" i="1"/>
  <c r="Q53" i="1"/>
  <c r="Q35" i="1"/>
  <c r="Q62" i="1"/>
  <c r="Q41" i="1"/>
  <c r="Q68" i="1"/>
  <c r="Q126" i="1"/>
  <c r="Q47" i="1"/>
  <c r="Q24" i="1"/>
  <c r="Q28" i="1"/>
  <c r="Q125" i="1"/>
  <c r="Q46" i="1"/>
  <c r="Q54" i="1"/>
  <c r="Q81" i="1"/>
  <c r="Q616" i="1"/>
  <c r="Q8" i="1"/>
  <c r="Q55" i="1"/>
  <c r="Q82" i="1"/>
  <c r="C320" i="3"/>
  <c r="A320" i="3" s="1"/>
  <c r="C320" i="4"/>
  <c r="A320" i="4" s="1"/>
  <c r="C303" i="3"/>
  <c r="A303" i="3" s="1"/>
  <c r="C303" i="4"/>
  <c r="A303" i="4" s="1"/>
  <c r="R59" i="1"/>
  <c r="R86" i="1"/>
  <c r="Q36" i="1"/>
  <c r="Q63" i="1"/>
  <c r="R69" i="1"/>
  <c r="R96" i="1"/>
  <c r="Q51" i="1"/>
  <c r="Q78" i="1"/>
  <c r="Q13" i="1"/>
  <c r="Q40" i="1"/>
  <c r="E387" i="4"/>
  <c r="E333" i="4"/>
  <c r="E333" i="3"/>
  <c r="Q49" i="1"/>
  <c r="Q76" i="1"/>
  <c r="Q17" i="1"/>
  <c r="Q44" i="1"/>
  <c r="Q16" i="1"/>
  <c r="Q43" i="1"/>
  <c r="Q15" i="1"/>
  <c r="Q42" i="1"/>
  <c r="E401" i="4"/>
  <c r="E347" i="3"/>
  <c r="E347" i="4"/>
  <c r="E403" i="4"/>
  <c r="E349" i="4"/>
  <c r="E349" i="3"/>
  <c r="E402" i="4"/>
  <c r="E348" i="3"/>
  <c r="E348" i="4"/>
  <c r="E397" i="4"/>
  <c r="E343" i="4"/>
  <c r="E343" i="3"/>
  <c r="E396" i="4"/>
  <c r="E342" i="4"/>
  <c r="E342" i="3"/>
  <c r="E395" i="4"/>
  <c r="E341" i="3"/>
  <c r="E341" i="4"/>
  <c r="E394" i="4"/>
  <c r="E340" i="4"/>
  <c r="E340" i="3"/>
  <c r="E393" i="4"/>
  <c r="E339" i="3"/>
  <c r="E339" i="4"/>
  <c r="E392" i="4"/>
  <c r="E338" i="3"/>
  <c r="E338" i="4"/>
  <c r="E391" i="4"/>
  <c r="E337" i="4"/>
  <c r="E337" i="3"/>
  <c r="E390" i="4"/>
  <c r="E336" i="4"/>
  <c r="E336" i="3"/>
  <c r="E335" i="4"/>
  <c r="E335" i="3"/>
  <c r="E334" i="4"/>
  <c r="E334" i="3"/>
  <c r="Q7" i="1"/>
  <c r="Q34" i="1"/>
  <c r="R55" i="1"/>
  <c r="R58" i="1"/>
  <c r="R45" i="1"/>
  <c r="R44" i="1"/>
  <c r="R57" i="1"/>
  <c r="R56" i="1"/>
  <c r="R260" i="1"/>
  <c r="R261" i="1"/>
  <c r="R616" i="1"/>
  <c r="R129" i="1"/>
  <c r="R136" i="1"/>
  <c r="R231" i="1"/>
  <c r="R135" i="1"/>
  <c r="R230" i="1"/>
  <c r="R47" i="1"/>
  <c r="R254" i="1"/>
  <c r="R585" i="1"/>
  <c r="R98" i="1"/>
  <c r="R103" i="1"/>
  <c r="R178" i="1"/>
  <c r="R102" i="1"/>
  <c r="R177" i="1"/>
  <c r="R133" i="1"/>
  <c r="R175" i="1"/>
  <c r="R130" i="1"/>
  <c r="R172" i="1"/>
  <c r="R101" i="1"/>
  <c r="R176" i="1"/>
  <c r="R105" i="1"/>
  <c r="R180" i="1"/>
  <c r="R131" i="1"/>
  <c r="R173" i="1"/>
  <c r="R108" i="1"/>
  <c r="R183" i="1"/>
  <c r="R104" i="1"/>
  <c r="R179" i="1"/>
  <c r="R49" i="1"/>
  <c r="R256" i="1"/>
  <c r="R416" i="1"/>
  <c r="R431" i="1"/>
  <c r="R550" i="1"/>
  <c r="R63" i="1"/>
  <c r="R547" i="1"/>
  <c r="R60" i="1"/>
  <c r="R237" i="1"/>
  <c r="R107" i="1"/>
  <c r="R16" i="1"/>
  <c r="R12" i="1"/>
  <c r="R215" i="1"/>
  <c r="R42" i="1"/>
  <c r="R93" i="1"/>
  <c r="R149" i="1"/>
  <c r="R23" i="1"/>
  <c r="R71" i="1"/>
  <c r="R189" i="1"/>
  <c r="R392" i="1"/>
  <c r="R25" i="1"/>
  <c r="R132" i="1"/>
  <c r="R24" i="1"/>
  <c r="R134" i="1"/>
  <c r="R17" i="1"/>
  <c r="R43" i="1"/>
  <c r="R38" i="1"/>
  <c r="R40" i="1"/>
  <c r="R106" i="1"/>
  <c r="R52" i="1"/>
  <c r="R51" i="1"/>
  <c r="R50" i="1"/>
  <c r="R255" i="1"/>
  <c r="R419" i="1"/>
  <c r="R114" i="1"/>
  <c r="R113" i="1"/>
  <c r="R54" i="1"/>
  <c r="R39" i="1"/>
  <c r="R614" i="1"/>
  <c r="R127" i="1"/>
  <c r="R613" i="1"/>
  <c r="R126" i="1"/>
  <c r="R609" i="1"/>
  <c r="R122" i="1"/>
  <c r="R608" i="1"/>
  <c r="R121" i="1"/>
  <c r="R607" i="1"/>
  <c r="R120" i="1"/>
  <c r="R567" i="1"/>
  <c r="R80" i="1"/>
  <c r="R41" i="1"/>
  <c r="R248" i="1"/>
  <c r="R151" i="1"/>
  <c r="R246" i="1"/>
  <c r="R150" i="1"/>
  <c r="R245" i="1"/>
  <c r="R148" i="1"/>
  <c r="R243" i="1"/>
  <c r="R147" i="1"/>
  <c r="R242" i="1"/>
  <c r="R146" i="1"/>
  <c r="R241" i="1"/>
  <c r="R145" i="1"/>
  <c r="R240" i="1"/>
  <c r="R144" i="1"/>
  <c r="R239" i="1"/>
  <c r="R548" i="1"/>
  <c r="R61" i="1"/>
  <c r="R95" i="1"/>
  <c r="R200" i="1"/>
  <c r="R125" i="1"/>
  <c r="R19" i="1"/>
  <c r="R551" i="1"/>
  <c r="R64" i="1"/>
  <c r="R124" i="1"/>
  <c r="R18" i="1"/>
  <c r="R128" i="1"/>
  <c r="R22" i="1"/>
  <c r="Q407" i="1"/>
  <c r="Q463" i="1"/>
  <c r="Q87" i="1"/>
  <c r="Q289" i="1"/>
  <c r="Q9" i="1"/>
  <c r="Q21" i="1"/>
  <c r="Q20" i="1"/>
  <c r="Q572" i="1"/>
  <c r="Q85" i="1"/>
  <c r="Q571" i="1"/>
  <c r="Q84" i="1"/>
  <c r="Q570" i="1"/>
  <c r="Q83" i="1"/>
  <c r="Q232" i="1"/>
  <c r="Q383" i="1"/>
  <c r="Q193" i="1"/>
  <c r="Q423" i="1"/>
  <c r="Q29" i="1"/>
  <c r="Q58" i="1"/>
  <c r="Q547" i="1"/>
  <c r="Q60" i="1"/>
  <c r="Q99" i="1"/>
  <c r="Q56" i="1"/>
  <c r="Q556" i="1"/>
  <c r="Q69" i="1"/>
  <c r="Q554" i="1"/>
  <c r="Q67" i="1"/>
  <c r="C379" i="3"/>
  <c r="A379" i="3" s="1"/>
  <c r="E360" i="4"/>
  <c r="E360" i="3"/>
  <c r="E374" i="4"/>
  <c r="E374" i="3"/>
  <c r="E376" i="4"/>
  <c r="E376" i="3"/>
  <c r="E375" i="3"/>
  <c r="E375" i="4"/>
  <c r="E370" i="3"/>
  <c r="E370" i="4"/>
  <c r="E369" i="4"/>
  <c r="E369" i="3"/>
  <c r="E368" i="3"/>
  <c r="E368" i="4"/>
  <c r="E367" i="4"/>
  <c r="E367" i="3"/>
  <c r="E366" i="4"/>
  <c r="E366" i="3"/>
  <c r="E365" i="4"/>
  <c r="E365" i="3"/>
  <c r="E364" i="3"/>
  <c r="E364" i="4"/>
  <c r="E363" i="4"/>
  <c r="E363" i="3"/>
  <c r="E362" i="4"/>
  <c r="E362" i="3"/>
  <c r="E361" i="4"/>
  <c r="E361" i="3"/>
  <c r="C594" i="3"/>
  <c r="A594" i="3" s="1"/>
  <c r="C594" i="4"/>
  <c r="A594" i="4" s="1"/>
  <c r="C443" i="3"/>
  <c r="A443" i="3" s="1"/>
  <c r="C226" i="4"/>
  <c r="A226" i="4" s="1"/>
  <c r="C226" i="3"/>
  <c r="A226" i="3" s="1"/>
  <c r="C422" i="4"/>
  <c r="A422" i="4" s="1"/>
  <c r="C422" i="3"/>
  <c r="A422" i="3" s="1"/>
  <c r="E424" i="4"/>
  <c r="E424" i="3"/>
  <c r="E438" i="4"/>
  <c r="E438" i="3"/>
  <c r="E440" i="4"/>
  <c r="E440" i="3"/>
  <c r="E439" i="4"/>
  <c r="E439" i="3"/>
  <c r="E434" i="3"/>
  <c r="E434" i="4"/>
  <c r="E433" i="4"/>
  <c r="E433" i="3"/>
  <c r="E432" i="3"/>
  <c r="E432" i="4"/>
  <c r="E431" i="3"/>
  <c r="E431" i="4"/>
  <c r="E430" i="4"/>
  <c r="E430" i="3"/>
  <c r="E429" i="4"/>
  <c r="E429" i="3"/>
  <c r="E428" i="3"/>
  <c r="E428" i="4"/>
  <c r="E427" i="4"/>
  <c r="E427" i="3"/>
  <c r="E426" i="4"/>
  <c r="E426" i="3"/>
  <c r="E425" i="4"/>
  <c r="E425" i="3"/>
  <c r="E487" i="3"/>
  <c r="E487" i="4"/>
  <c r="E489" i="3"/>
  <c r="E489" i="4"/>
  <c r="E488" i="3"/>
  <c r="E488" i="4"/>
  <c r="C492" i="4"/>
  <c r="A492" i="4" s="1"/>
  <c r="C492" i="3"/>
  <c r="A492" i="3" s="1"/>
  <c r="C460" i="4"/>
  <c r="A460" i="4" s="1"/>
  <c r="C460" i="3"/>
  <c r="A460" i="3" s="1"/>
  <c r="C471" i="4"/>
  <c r="A471" i="4" s="1"/>
  <c r="C471" i="3"/>
  <c r="A471" i="3" s="1"/>
  <c r="E473" i="4"/>
  <c r="E473" i="3"/>
  <c r="E483" i="4"/>
  <c r="E483" i="3"/>
  <c r="E482" i="4"/>
  <c r="E482" i="3"/>
  <c r="E481" i="4"/>
  <c r="E481" i="3"/>
  <c r="E480" i="4"/>
  <c r="E480" i="3"/>
  <c r="E479" i="4"/>
  <c r="E479" i="3"/>
  <c r="E478" i="4"/>
  <c r="E478" i="3"/>
  <c r="E477" i="4"/>
  <c r="E477" i="3"/>
  <c r="E476" i="4"/>
  <c r="E476" i="3"/>
  <c r="E475" i="4"/>
  <c r="E475" i="3"/>
  <c r="E474" i="4"/>
  <c r="E474" i="3"/>
  <c r="Q313" i="1"/>
  <c r="Q113" i="1"/>
  <c r="Q356" i="1"/>
  <c r="Q108" i="1"/>
  <c r="Q332" i="1"/>
  <c r="Q88" i="1"/>
  <c r="Q375" i="1"/>
  <c r="Q97" i="1"/>
  <c r="Q376" i="1"/>
  <c r="Q98" i="1"/>
  <c r="Q358" i="1"/>
  <c r="Q153" i="1"/>
  <c r="Q339" i="1"/>
  <c r="Q124" i="1"/>
  <c r="Q319" i="1"/>
  <c r="Q119" i="1"/>
  <c r="Q303" i="1"/>
  <c r="Q71" i="1"/>
  <c r="Q380" i="1"/>
  <c r="Q30" i="1"/>
  <c r="Q357" i="1"/>
  <c r="Q152" i="1"/>
  <c r="Q321" i="1"/>
  <c r="Q23" i="1"/>
  <c r="Q320" i="1"/>
  <c r="Q120" i="1"/>
  <c r="Q342" i="1"/>
  <c r="Q127" i="1"/>
  <c r="Q575" i="1"/>
  <c r="Q6" i="1"/>
  <c r="Q372" i="1"/>
  <c r="Q94" i="1"/>
  <c r="Q354" i="1"/>
  <c r="Q106" i="1"/>
  <c r="Q351" i="1"/>
  <c r="Q103" i="1"/>
  <c r="Q334" i="1"/>
  <c r="Q90" i="1"/>
  <c r="E190" i="4"/>
  <c r="E190" i="3"/>
  <c r="Q573" i="1"/>
  <c r="Q38" i="1"/>
  <c r="Q370" i="1"/>
  <c r="Q92" i="1"/>
  <c r="Q338" i="1"/>
  <c r="Q123" i="1"/>
  <c r="Q337" i="1"/>
  <c r="Q122" i="1"/>
  <c r="Q336" i="1"/>
  <c r="Q121" i="1"/>
  <c r="E204" i="4"/>
  <c r="E204" i="3"/>
  <c r="E206" i="3"/>
  <c r="E206" i="4"/>
  <c r="E205" i="4"/>
  <c r="E205" i="3"/>
  <c r="E200" i="4"/>
  <c r="E200" i="3"/>
  <c r="E199" i="4"/>
  <c r="E199" i="3"/>
  <c r="E198" i="4"/>
  <c r="E198" i="3"/>
  <c r="E197" i="3"/>
  <c r="E197" i="4"/>
  <c r="E196" i="3"/>
  <c r="E196" i="4"/>
  <c r="E195" i="4"/>
  <c r="E195" i="3"/>
  <c r="E194" i="4"/>
  <c r="E194" i="3"/>
  <c r="E193" i="3"/>
  <c r="E193" i="4"/>
  <c r="E192" i="3"/>
  <c r="E192" i="4"/>
  <c r="E191" i="4"/>
  <c r="E191" i="3"/>
  <c r="Q333" i="1"/>
  <c r="Q89" i="1"/>
  <c r="Q331" i="1"/>
  <c r="Q22" i="1"/>
  <c r="Q323" i="1"/>
  <c r="Q25" i="1"/>
  <c r="Q314" i="1"/>
  <c r="Q114" i="1"/>
  <c r="Q352" i="1"/>
  <c r="Q104" i="1"/>
  <c r="Q328" i="1"/>
  <c r="Q19" i="1"/>
  <c r="Q327" i="1"/>
  <c r="Q18" i="1"/>
  <c r="Q545" i="1"/>
  <c r="Q505" i="1"/>
  <c r="C58" i="3"/>
  <c r="A58" i="3" s="1"/>
  <c r="B352" i="1"/>
  <c r="D352" i="1" s="1"/>
  <c r="C407" i="4" s="1"/>
  <c r="A407" i="4" s="1"/>
  <c r="C26" i="3"/>
  <c r="A26" i="3" s="1"/>
  <c r="B320" i="1"/>
  <c r="D320" i="1" s="1"/>
  <c r="B303" i="1"/>
  <c r="D303" i="1" s="1"/>
  <c r="C37" i="3"/>
  <c r="A37" i="3" s="1"/>
  <c r="B331" i="1"/>
  <c r="D331" i="1" s="1"/>
  <c r="C8" i="3"/>
  <c r="A8" i="3" s="1"/>
  <c r="F9" i="3"/>
  <c r="E9" i="3"/>
  <c r="G9" i="3"/>
  <c r="D9" i="3"/>
  <c r="C321" i="3" l="1"/>
  <c r="A321" i="3" s="1"/>
  <c r="C321" i="4"/>
  <c r="A321" i="4" s="1"/>
  <c r="C304" i="4"/>
  <c r="A304" i="4" s="1"/>
  <c r="C304" i="3"/>
  <c r="A304" i="3" s="1"/>
  <c r="C380" i="3"/>
  <c r="A380" i="3" s="1"/>
  <c r="C331" i="4"/>
  <c r="A331" i="4" s="1"/>
  <c r="C331" i="3"/>
  <c r="A331" i="3" s="1"/>
  <c r="C595" i="3"/>
  <c r="A595" i="3" s="1"/>
  <c r="C595" i="4"/>
  <c r="A595" i="4" s="1"/>
  <c r="C227" i="4"/>
  <c r="A227" i="4" s="1"/>
  <c r="C227" i="3"/>
  <c r="A227" i="3" s="1"/>
  <c r="C423" i="4"/>
  <c r="A423" i="4" s="1"/>
  <c r="C423" i="3"/>
  <c r="A423" i="3" s="1"/>
  <c r="C493" i="4"/>
  <c r="A493" i="4" s="1"/>
  <c r="C493" i="3"/>
  <c r="A493" i="3" s="1"/>
  <c r="C461" i="4"/>
  <c r="A461" i="4" s="1"/>
  <c r="C461" i="3"/>
  <c r="A461" i="3" s="1"/>
  <c r="C444" i="4"/>
  <c r="A444" i="4" s="1"/>
  <c r="C444" i="3"/>
  <c r="A444" i="3" s="1"/>
  <c r="C472" i="4"/>
  <c r="A472" i="4" s="1"/>
  <c r="C472" i="3"/>
  <c r="A472" i="3" s="1"/>
  <c r="C9" i="3"/>
  <c r="A9" i="3" s="1"/>
  <c r="C59" i="3"/>
  <c r="A59" i="3" s="1"/>
  <c r="B353" i="1"/>
  <c r="D353" i="1" s="1"/>
  <c r="C408" i="4" s="1"/>
  <c r="A408" i="4" s="1"/>
  <c r="C27" i="3"/>
  <c r="A27" i="3" s="1"/>
  <c r="B321" i="1"/>
  <c r="D321" i="1" s="1"/>
  <c r="B304" i="1"/>
  <c r="D304" i="1" s="1"/>
  <c r="C38" i="3"/>
  <c r="A38" i="3" s="1"/>
  <c r="B329" i="1"/>
  <c r="D329" i="1" s="1"/>
  <c r="R303" i="1"/>
  <c r="F10" i="3"/>
  <c r="E10" i="3"/>
  <c r="G10" i="3"/>
  <c r="D10" i="3"/>
  <c r="C322" i="3" l="1"/>
  <c r="A322" i="3" s="1"/>
  <c r="C322" i="4"/>
  <c r="A322" i="4" s="1"/>
  <c r="C305" i="4"/>
  <c r="A305" i="4" s="1"/>
  <c r="C305" i="3"/>
  <c r="A305" i="3" s="1"/>
  <c r="C330" i="4"/>
  <c r="A330" i="4" s="1"/>
  <c r="C330" i="3"/>
  <c r="A330" i="3" s="1"/>
  <c r="C381" i="3"/>
  <c r="A381" i="3" s="1"/>
  <c r="C332" i="4"/>
  <c r="A332" i="4" s="1"/>
  <c r="C332" i="3"/>
  <c r="A332" i="3" s="1"/>
  <c r="C596" i="3"/>
  <c r="A596" i="3" s="1"/>
  <c r="C596" i="4"/>
  <c r="A596" i="4" s="1"/>
  <c r="C228" i="4"/>
  <c r="A228" i="4" s="1"/>
  <c r="C228" i="3"/>
  <c r="A228" i="3" s="1"/>
  <c r="C421" i="3"/>
  <c r="A421" i="3" s="1"/>
  <c r="C421" i="4"/>
  <c r="A421" i="4" s="1"/>
  <c r="C494" i="4"/>
  <c r="A494" i="4" s="1"/>
  <c r="C494" i="3"/>
  <c r="A494" i="3" s="1"/>
  <c r="C462" i="4"/>
  <c r="A462" i="4" s="1"/>
  <c r="C462" i="3"/>
  <c r="A462" i="3" s="1"/>
  <c r="C445" i="4"/>
  <c r="A445" i="4" s="1"/>
  <c r="C445" i="3"/>
  <c r="A445" i="3" s="1"/>
  <c r="C470" i="4"/>
  <c r="A470" i="4" s="1"/>
  <c r="C470" i="3"/>
  <c r="A470" i="3" s="1"/>
  <c r="C60" i="3"/>
  <c r="A60" i="3" s="1"/>
  <c r="B354" i="1"/>
  <c r="D354" i="1" s="1"/>
  <c r="C28" i="3"/>
  <c r="A28" i="3" s="1"/>
  <c r="B322" i="1"/>
  <c r="D322" i="1" s="1"/>
  <c r="C10" i="3"/>
  <c r="A10" i="3" s="1"/>
  <c r="B305" i="1"/>
  <c r="D305" i="1" s="1"/>
  <c r="C36" i="3"/>
  <c r="A36" i="3" s="1"/>
  <c r="B332" i="1"/>
  <c r="D332" i="1" s="1"/>
  <c r="R304" i="1"/>
  <c r="R305" i="1"/>
  <c r="D11" i="3"/>
  <c r="E11" i="3"/>
  <c r="G11" i="3"/>
  <c r="F11" i="3"/>
  <c r="C409" i="4" l="1"/>
  <c r="A409" i="4" s="1"/>
  <c r="C355" i="4"/>
  <c r="A355" i="4" s="1"/>
  <c r="C355" i="3"/>
  <c r="A355" i="3" s="1"/>
  <c r="C377" i="4"/>
  <c r="A377" i="4" s="1"/>
  <c r="C323" i="3"/>
  <c r="A323" i="3" s="1"/>
  <c r="C323" i="4"/>
  <c r="A323" i="4" s="1"/>
  <c r="C306" i="4"/>
  <c r="A306" i="4" s="1"/>
  <c r="C306" i="3"/>
  <c r="A306" i="3" s="1"/>
  <c r="C382" i="4"/>
  <c r="A382" i="4" s="1"/>
  <c r="C382" i="3"/>
  <c r="A382" i="3" s="1"/>
  <c r="C350" i="3"/>
  <c r="A350" i="3" s="1"/>
  <c r="C350" i="4"/>
  <c r="A350" i="4" s="1"/>
  <c r="C333" i="4"/>
  <c r="A333" i="4" s="1"/>
  <c r="C333" i="3"/>
  <c r="A333" i="3" s="1"/>
  <c r="C597" i="3"/>
  <c r="A597" i="3" s="1"/>
  <c r="C597" i="4"/>
  <c r="A597" i="4" s="1"/>
  <c r="C229" i="4"/>
  <c r="A229" i="4" s="1"/>
  <c r="C229" i="3"/>
  <c r="A229" i="3" s="1"/>
  <c r="C424" i="4"/>
  <c r="A424" i="4" s="1"/>
  <c r="C424" i="3"/>
  <c r="A424" i="3" s="1"/>
  <c r="C495" i="4"/>
  <c r="A495" i="4" s="1"/>
  <c r="C495" i="3"/>
  <c r="A495" i="3" s="1"/>
  <c r="C463" i="4"/>
  <c r="A463" i="4" s="1"/>
  <c r="C463" i="3"/>
  <c r="A463" i="3" s="1"/>
  <c r="C446" i="4"/>
  <c r="A446" i="4" s="1"/>
  <c r="C446" i="3"/>
  <c r="A446" i="3" s="1"/>
  <c r="C473" i="4"/>
  <c r="A473" i="4" s="1"/>
  <c r="C473" i="3"/>
  <c r="A473" i="3" s="1"/>
  <c r="C39" i="3"/>
  <c r="A39" i="3" s="1"/>
  <c r="B333" i="1"/>
  <c r="D333" i="1" s="1"/>
  <c r="C61" i="3"/>
  <c r="A61" i="3" s="1"/>
  <c r="B355" i="1"/>
  <c r="D355" i="1" s="1"/>
  <c r="C29" i="3"/>
  <c r="A29" i="3" s="1"/>
  <c r="B323" i="1"/>
  <c r="D323" i="1" s="1"/>
  <c r="C11" i="3"/>
  <c r="A11" i="3" s="1"/>
  <c r="B306" i="1"/>
  <c r="D306" i="1" s="1"/>
  <c r="R306" i="1"/>
  <c r="D12" i="3"/>
  <c r="E12" i="3"/>
  <c r="G12" i="3"/>
  <c r="F12" i="3"/>
  <c r="C410" i="4" l="1"/>
  <c r="A410" i="4" s="1"/>
  <c r="C356" i="4"/>
  <c r="A356" i="4" s="1"/>
  <c r="C356" i="3"/>
  <c r="A356" i="3" s="1"/>
  <c r="C378" i="4"/>
  <c r="A378" i="4" s="1"/>
  <c r="C324" i="3"/>
  <c r="A324" i="3" s="1"/>
  <c r="C324" i="4"/>
  <c r="A324" i="4" s="1"/>
  <c r="C307" i="4"/>
  <c r="A307" i="4" s="1"/>
  <c r="C307" i="3"/>
  <c r="A307" i="3" s="1"/>
  <c r="C383" i="4"/>
  <c r="A383" i="4" s="1"/>
  <c r="C383" i="3"/>
  <c r="A383" i="3" s="1"/>
  <c r="C351" i="4"/>
  <c r="A351" i="4" s="1"/>
  <c r="C351" i="3"/>
  <c r="A351" i="3" s="1"/>
  <c r="C334" i="4"/>
  <c r="A334" i="4" s="1"/>
  <c r="C334" i="3"/>
  <c r="A334" i="3" s="1"/>
  <c r="C425" i="4"/>
  <c r="A425" i="4" s="1"/>
  <c r="C425" i="3"/>
  <c r="A425" i="3" s="1"/>
  <c r="C598" i="3"/>
  <c r="A598" i="3" s="1"/>
  <c r="C598" i="4"/>
  <c r="A598" i="4" s="1"/>
  <c r="C230" i="4"/>
  <c r="A230" i="4" s="1"/>
  <c r="C230" i="3"/>
  <c r="A230" i="3" s="1"/>
  <c r="C474" i="4"/>
  <c r="A474" i="4" s="1"/>
  <c r="C474" i="3"/>
  <c r="A474" i="3" s="1"/>
  <c r="C496" i="4"/>
  <c r="A496" i="4" s="1"/>
  <c r="C496" i="3"/>
  <c r="A496" i="3" s="1"/>
  <c r="C464" i="4"/>
  <c r="A464" i="4" s="1"/>
  <c r="C464" i="3"/>
  <c r="A464" i="3" s="1"/>
  <c r="C447" i="4"/>
  <c r="A447" i="4" s="1"/>
  <c r="C447" i="3"/>
  <c r="A447" i="3" s="1"/>
  <c r="C40" i="3"/>
  <c r="A40" i="3" s="1"/>
  <c r="B334" i="1"/>
  <c r="C62" i="3"/>
  <c r="A62" i="3" s="1"/>
  <c r="B356" i="1"/>
  <c r="D356" i="1" s="1"/>
  <c r="C30" i="3"/>
  <c r="A30" i="3" s="1"/>
  <c r="B324" i="1"/>
  <c r="D324" i="1" s="1"/>
  <c r="C12" i="3"/>
  <c r="A12" i="3" s="1"/>
  <c r="B307" i="1"/>
  <c r="D307" i="1" s="1"/>
  <c r="D13" i="3"/>
  <c r="E13" i="3"/>
  <c r="G13" i="3"/>
  <c r="F13" i="3"/>
  <c r="C411" i="4" l="1"/>
  <c r="A411" i="4" s="1"/>
  <c r="C357" i="3"/>
  <c r="A357" i="3" s="1"/>
  <c r="C357" i="4"/>
  <c r="A357" i="4" s="1"/>
  <c r="C379" i="4"/>
  <c r="A379" i="4" s="1"/>
  <c r="C325" i="3"/>
  <c r="A325" i="3" s="1"/>
  <c r="C325" i="4"/>
  <c r="A325" i="4" s="1"/>
  <c r="C308" i="4"/>
  <c r="A308" i="4" s="1"/>
  <c r="C308" i="3"/>
  <c r="A308" i="3" s="1"/>
  <c r="C384" i="4"/>
  <c r="A384" i="4" s="1"/>
  <c r="C384" i="3"/>
  <c r="A384" i="3" s="1"/>
  <c r="C352" i="3"/>
  <c r="A352" i="3" s="1"/>
  <c r="C352" i="4"/>
  <c r="A352" i="4" s="1"/>
  <c r="C599" i="3"/>
  <c r="A599" i="3" s="1"/>
  <c r="C599" i="4"/>
  <c r="A599" i="4" s="1"/>
  <c r="C231" i="4"/>
  <c r="A231" i="4" s="1"/>
  <c r="C231" i="3"/>
  <c r="A231" i="3" s="1"/>
  <c r="D334" i="1"/>
  <c r="B335" i="1"/>
  <c r="C497" i="4"/>
  <c r="A497" i="4" s="1"/>
  <c r="C497" i="3"/>
  <c r="A497" i="3" s="1"/>
  <c r="C465" i="4"/>
  <c r="A465" i="4" s="1"/>
  <c r="C465" i="3"/>
  <c r="A465" i="3" s="1"/>
  <c r="C448" i="4"/>
  <c r="A448" i="4" s="1"/>
  <c r="C448" i="3"/>
  <c r="A448" i="3" s="1"/>
  <c r="C63" i="3"/>
  <c r="A63" i="3" s="1"/>
  <c r="B357" i="1"/>
  <c r="D357" i="1" s="1"/>
  <c r="C31" i="3"/>
  <c r="A31" i="3" s="1"/>
  <c r="B325" i="1"/>
  <c r="D325" i="1" s="1"/>
  <c r="C13" i="3"/>
  <c r="A13" i="3" s="1"/>
  <c r="B308" i="1"/>
  <c r="D308" i="1" s="1"/>
  <c r="G14" i="3"/>
  <c r="E14" i="3"/>
  <c r="F14" i="3"/>
  <c r="D14" i="3"/>
  <c r="C335" i="4" l="1"/>
  <c r="A335" i="4" s="1"/>
  <c r="C335" i="3"/>
  <c r="A335" i="3" s="1"/>
  <c r="C412" i="4"/>
  <c r="A412" i="4" s="1"/>
  <c r="C358" i="4"/>
  <c r="A358" i="4" s="1"/>
  <c r="C358" i="3"/>
  <c r="A358" i="3" s="1"/>
  <c r="C380" i="4"/>
  <c r="A380" i="4" s="1"/>
  <c r="C326" i="3"/>
  <c r="A326" i="3" s="1"/>
  <c r="C326" i="4"/>
  <c r="A326" i="4" s="1"/>
  <c r="C309" i="4"/>
  <c r="A309" i="4" s="1"/>
  <c r="C309" i="3"/>
  <c r="A309" i="3" s="1"/>
  <c r="C385" i="4"/>
  <c r="A385" i="4" s="1"/>
  <c r="C385" i="3"/>
  <c r="A385" i="3" s="1"/>
  <c r="C353" i="4"/>
  <c r="A353" i="4" s="1"/>
  <c r="C353" i="3"/>
  <c r="A353" i="3" s="1"/>
  <c r="C426" i="4"/>
  <c r="A426" i="4" s="1"/>
  <c r="C426" i="3"/>
  <c r="A426" i="3" s="1"/>
  <c r="C600" i="3"/>
  <c r="A600" i="3" s="1"/>
  <c r="C600" i="4"/>
  <c r="A600" i="4" s="1"/>
  <c r="C232" i="4"/>
  <c r="A232" i="4" s="1"/>
  <c r="C232" i="3"/>
  <c r="A232" i="3" s="1"/>
  <c r="D335" i="1"/>
  <c r="C336" i="4" s="1"/>
  <c r="A336" i="4" s="1"/>
  <c r="B336" i="1"/>
  <c r="C475" i="3"/>
  <c r="A475" i="3" s="1"/>
  <c r="C475" i="4"/>
  <c r="A475" i="4" s="1"/>
  <c r="C41" i="3"/>
  <c r="A41" i="3" s="1"/>
  <c r="C476" i="3"/>
  <c r="A476" i="3" s="1"/>
  <c r="C476" i="4"/>
  <c r="A476" i="4" s="1"/>
  <c r="C498" i="4"/>
  <c r="A498" i="4" s="1"/>
  <c r="C498" i="3"/>
  <c r="A498" i="3" s="1"/>
  <c r="C466" i="4"/>
  <c r="A466" i="4" s="1"/>
  <c r="C466" i="3"/>
  <c r="A466" i="3" s="1"/>
  <c r="C449" i="4"/>
  <c r="A449" i="4" s="1"/>
  <c r="C449" i="3"/>
  <c r="A449" i="3" s="1"/>
  <c r="C477" i="4"/>
  <c r="A477" i="4" s="1"/>
  <c r="C477" i="3"/>
  <c r="A477" i="3" s="1"/>
  <c r="C64" i="3"/>
  <c r="A64" i="3" s="1"/>
  <c r="B358" i="1"/>
  <c r="D358" i="1" s="1"/>
  <c r="C32" i="3"/>
  <c r="A32" i="3" s="1"/>
  <c r="B326" i="1"/>
  <c r="D326" i="1" s="1"/>
  <c r="C14" i="3"/>
  <c r="A14" i="3" s="1"/>
  <c r="B309" i="1"/>
  <c r="D309" i="1" s="1"/>
  <c r="F15" i="3"/>
  <c r="E15" i="3"/>
  <c r="D15" i="3"/>
  <c r="G15" i="3"/>
  <c r="C390" i="4" l="1"/>
  <c r="A390" i="4" s="1"/>
  <c r="C336" i="3"/>
  <c r="A336" i="3" s="1"/>
  <c r="C413" i="4"/>
  <c r="A413" i="4" s="1"/>
  <c r="C359" i="4"/>
  <c r="A359" i="4" s="1"/>
  <c r="C359" i="3"/>
  <c r="A359" i="3" s="1"/>
  <c r="C381" i="4"/>
  <c r="A381" i="4" s="1"/>
  <c r="C327" i="3"/>
  <c r="A327" i="3" s="1"/>
  <c r="C327" i="4"/>
  <c r="A327" i="4" s="1"/>
  <c r="C310" i="4"/>
  <c r="A310" i="4" s="1"/>
  <c r="C310" i="3"/>
  <c r="A310" i="3" s="1"/>
  <c r="C363" i="4"/>
  <c r="A363" i="4" s="1"/>
  <c r="C363" i="3"/>
  <c r="A363" i="3" s="1"/>
  <c r="C386" i="4"/>
  <c r="A386" i="4" s="1"/>
  <c r="C386" i="3"/>
  <c r="A386" i="3" s="1"/>
  <c r="C354" i="4"/>
  <c r="A354" i="4" s="1"/>
  <c r="C354" i="3"/>
  <c r="A354" i="3" s="1"/>
  <c r="C337" i="4"/>
  <c r="A337" i="4" s="1"/>
  <c r="C337" i="3"/>
  <c r="A337" i="3" s="1"/>
  <c r="C42" i="3"/>
  <c r="A42" i="3" s="1"/>
  <c r="C427" i="3"/>
  <c r="A427" i="3" s="1"/>
  <c r="C427" i="4"/>
  <c r="A427" i="4" s="1"/>
  <c r="C601" i="3"/>
  <c r="A601" i="3" s="1"/>
  <c r="C601" i="4"/>
  <c r="A601" i="4" s="1"/>
  <c r="C233" i="4"/>
  <c r="A233" i="4" s="1"/>
  <c r="C233" i="3"/>
  <c r="A233" i="3" s="1"/>
  <c r="D336" i="1"/>
  <c r="C391" i="4" s="1"/>
  <c r="A391" i="4" s="1"/>
  <c r="B337" i="1"/>
  <c r="C499" i="4"/>
  <c r="A499" i="4" s="1"/>
  <c r="C499" i="3"/>
  <c r="A499" i="3" s="1"/>
  <c r="C33" i="3"/>
  <c r="A33" i="3" s="1"/>
  <c r="C467" i="4"/>
  <c r="A467" i="4" s="1"/>
  <c r="C467" i="3"/>
  <c r="A467" i="3" s="1"/>
  <c r="C450" i="4"/>
  <c r="A450" i="4" s="1"/>
  <c r="C450" i="3"/>
  <c r="A450" i="3" s="1"/>
  <c r="C478" i="4"/>
  <c r="A478" i="4" s="1"/>
  <c r="C478" i="3"/>
  <c r="A478" i="3" s="1"/>
  <c r="C65" i="3"/>
  <c r="A65" i="3" s="1"/>
  <c r="B359" i="1"/>
  <c r="D359" i="1" s="1"/>
  <c r="C15" i="3"/>
  <c r="A15" i="3" s="1"/>
  <c r="B310" i="1"/>
  <c r="D310" i="1" s="1"/>
  <c r="D16" i="3"/>
  <c r="E16" i="3"/>
  <c r="F16" i="3"/>
  <c r="G16" i="3"/>
  <c r="C414" i="4" l="1"/>
  <c r="A414" i="4" s="1"/>
  <c r="C360" i="4"/>
  <c r="A360" i="4" s="1"/>
  <c r="C360" i="3"/>
  <c r="A360" i="3" s="1"/>
  <c r="C311" i="4"/>
  <c r="A311" i="4" s="1"/>
  <c r="C311" i="3"/>
  <c r="A311" i="3" s="1"/>
  <c r="C364" i="4"/>
  <c r="A364" i="4" s="1"/>
  <c r="C364" i="3"/>
  <c r="A364" i="3" s="1"/>
  <c r="C387" i="4"/>
  <c r="A387" i="4" s="1"/>
  <c r="C387" i="3"/>
  <c r="A387" i="3" s="1"/>
  <c r="C43" i="3"/>
  <c r="A43" i="3" s="1"/>
  <c r="C428" i="4"/>
  <c r="A428" i="4" s="1"/>
  <c r="C428" i="3"/>
  <c r="A428" i="3" s="1"/>
  <c r="C234" i="4"/>
  <c r="A234" i="4" s="1"/>
  <c r="C234" i="3"/>
  <c r="A234" i="3" s="1"/>
  <c r="D337" i="1"/>
  <c r="B338" i="1"/>
  <c r="C500" i="4"/>
  <c r="A500" i="4" s="1"/>
  <c r="C500" i="3"/>
  <c r="A500" i="3" s="1"/>
  <c r="C479" i="4"/>
  <c r="A479" i="4" s="1"/>
  <c r="C479" i="3"/>
  <c r="A479" i="3" s="1"/>
  <c r="C451" i="4"/>
  <c r="A451" i="4" s="1"/>
  <c r="C451" i="3"/>
  <c r="A451" i="3" s="1"/>
  <c r="C66" i="3"/>
  <c r="A66" i="3" s="1"/>
  <c r="B360" i="1"/>
  <c r="D360" i="1" s="1"/>
  <c r="C16" i="3"/>
  <c r="A16" i="3" s="1"/>
  <c r="B311" i="1"/>
  <c r="D311" i="1" s="1"/>
  <c r="D17" i="3"/>
  <c r="E17" i="3"/>
  <c r="F17" i="3"/>
  <c r="G17" i="3"/>
  <c r="C392" i="4" l="1"/>
  <c r="A392" i="4" s="1"/>
  <c r="C338" i="4"/>
  <c r="A338" i="4" s="1"/>
  <c r="C338" i="3"/>
  <c r="A338" i="3" s="1"/>
  <c r="C415" i="4"/>
  <c r="A415" i="4" s="1"/>
  <c r="C361" i="4"/>
  <c r="A361" i="4" s="1"/>
  <c r="C361" i="3"/>
  <c r="A361" i="3" s="1"/>
  <c r="C312" i="4"/>
  <c r="A312" i="4" s="1"/>
  <c r="C312" i="3"/>
  <c r="A312" i="3" s="1"/>
  <c r="C365" i="4"/>
  <c r="A365" i="4" s="1"/>
  <c r="C365" i="3"/>
  <c r="A365" i="3" s="1"/>
  <c r="C388" i="4"/>
  <c r="A388" i="4" s="1"/>
  <c r="C388" i="3"/>
  <c r="A388" i="3" s="1"/>
  <c r="C339" i="4"/>
  <c r="A339" i="4" s="1"/>
  <c r="C44" i="3"/>
  <c r="A44" i="3" s="1"/>
  <c r="C429" i="4"/>
  <c r="A429" i="4" s="1"/>
  <c r="C429" i="3"/>
  <c r="A429" i="3" s="1"/>
  <c r="C235" i="4"/>
  <c r="A235" i="4" s="1"/>
  <c r="C235" i="3"/>
  <c r="A235" i="3" s="1"/>
  <c r="D338" i="1"/>
  <c r="B339" i="1"/>
  <c r="C501" i="4"/>
  <c r="A501" i="4" s="1"/>
  <c r="C501" i="3"/>
  <c r="A501" i="3" s="1"/>
  <c r="C480" i="4"/>
  <c r="A480" i="4" s="1"/>
  <c r="C480" i="3"/>
  <c r="A480" i="3" s="1"/>
  <c r="C452" i="4"/>
  <c r="A452" i="4" s="1"/>
  <c r="C452" i="3"/>
  <c r="A452" i="3" s="1"/>
  <c r="C67" i="3"/>
  <c r="A67" i="3" s="1"/>
  <c r="B361" i="1"/>
  <c r="D361" i="1" s="1"/>
  <c r="C17" i="3"/>
  <c r="A17" i="3" s="1"/>
  <c r="B312" i="1"/>
  <c r="D312" i="1" s="1"/>
  <c r="F18" i="3"/>
  <c r="E18" i="3"/>
  <c r="D18" i="3"/>
  <c r="G18" i="3"/>
  <c r="C393" i="4" l="1"/>
  <c r="A393" i="4" s="1"/>
  <c r="C339" i="3"/>
  <c r="A339" i="3" s="1"/>
  <c r="C416" i="4"/>
  <c r="A416" i="4" s="1"/>
  <c r="C362" i="3"/>
  <c r="A362" i="3" s="1"/>
  <c r="C362" i="4"/>
  <c r="A362" i="4" s="1"/>
  <c r="C313" i="4"/>
  <c r="A313" i="4" s="1"/>
  <c r="C313" i="3"/>
  <c r="A313" i="3" s="1"/>
  <c r="C366" i="4"/>
  <c r="A366" i="4" s="1"/>
  <c r="C366" i="3"/>
  <c r="A366" i="3" s="1"/>
  <c r="C389" i="4"/>
  <c r="A389" i="4" s="1"/>
  <c r="C389" i="3"/>
  <c r="A389" i="3" s="1"/>
  <c r="C340" i="3"/>
  <c r="A340" i="3" s="1"/>
  <c r="C45" i="3"/>
  <c r="A45" i="3" s="1"/>
  <c r="C430" i="4"/>
  <c r="A430" i="4" s="1"/>
  <c r="C430" i="3"/>
  <c r="A430" i="3" s="1"/>
  <c r="C236" i="4"/>
  <c r="A236" i="4" s="1"/>
  <c r="C236" i="3"/>
  <c r="A236" i="3" s="1"/>
  <c r="D339" i="1"/>
  <c r="B340" i="1"/>
  <c r="C68" i="3"/>
  <c r="A68" i="3" s="1"/>
  <c r="C502" i="4"/>
  <c r="A502" i="4" s="1"/>
  <c r="C502" i="3"/>
  <c r="A502" i="3" s="1"/>
  <c r="C481" i="4"/>
  <c r="A481" i="4" s="1"/>
  <c r="C481" i="3"/>
  <c r="A481" i="3" s="1"/>
  <c r="C453" i="4"/>
  <c r="A453" i="4" s="1"/>
  <c r="C453" i="3"/>
  <c r="A453" i="3" s="1"/>
  <c r="B313" i="1"/>
  <c r="D313" i="1" s="1"/>
  <c r="C18" i="3"/>
  <c r="A18" i="3" s="1"/>
  <c r="F19" i="3"/>
  <c r="E19" i="3"/>
  <c r="D19" i="3"/>
  <c r="G19" i="3"/>
  <c r="C394" i="4" l="1"/>
  <c r="A394" i="4" s="1"/>
  <c r="C340" i="4"/>
  <c r="A340" i="4" s="1"/>
  <c r="C314" i="4"/>
  <c r="A314" i="4" s="1"/>
  <c r="C314" i="3"/>
  <c r="A314" i="3" s="1"/>
  <c r="C367" i="4"/>
  <c r="A367" i="4" s="1"/>
  <c r="C367" i="3"/>
  <c r="A367" i="3" s="1"/>
  <c r="C46" i="3"/>
  <c r="A46" i="3" s="1"/>
  <c r="C431" i="4"/>
  <c r="A431" i="4" s="1"/>
  <c r="C431" i="3"/>
  <c r="A431" i="3" s="1"/>
  <c r="C237" i="4"/>
  <c r="A237" i="4" s="1"/>
  <c r="C237" i="3"/>
  <c r="A237" i="3" s="1"/>
  <c r="D340" i="1"/>
  <c r="B341" i="1"/>
  <c r="C482" i="4"/>
  <c r="A482" i="4" s="1"/>
  <c r="C482" i="3"/>
  <c r="A482" i="3" s="1"/>
  <c r="C454" i="4"/>
  <c r="A454" i="4" s="1"/>
  <c r="C454" i="3"/>
  <c r="A454" i="3" s="1"/>
  <c r="C19" i="3"/>
  <c r="A19" i="3" s="1"/>
  <c r="B314" i="1"/>
  <c r="D314" i="1" s="1"/>
  <c r="G20" i="3"/>
  <c r="E20" i="3"/>
  <c r="D20" i="3"/>
  <c r="F20" i="3"/>
  <c r="C395" i="4" l="1"/>
  <c r="A395" i="4" s="1"/>
  <c r="C341" i="4"/>
  <c r="A341" i="4" s="1"/>
  <c r="C341" i="3"/>
  <c r="A341" i="3" s="1"/>
  <c r="C315" i="4"/>
  <c r="A315" i="4" s="1"/>
  <c r="C315" i="3"/>
  <c r="A315" i="3" s="1"/>
  <c r="C368" i="4"/>
  <c r="A368" i="4" s="1"/>
  <c r="C368" i="3"/>
  <c r="A368" i="3" s="1"/>
  <c r="C47" i="3"/>
  <c r="A47" i="3" s="1"/>
  <c r="C432" i="4"/>
  <c r="A432" i="4" s="1"/>
  <c r="C432" i="3"/>
  <c r="A432" i="3" s="1"/>
  <c r="C238" i="4"/>
  <c r="A238" i="4" s="1"/>
  <c r="C238" i="3"/>
  <c r="A238" i="3" s="1"/>
  <c r="D341" i="1"/>
  <c r="C342" i="4" s="1"/>
  <c r="A342" i="4" s="1"/>
  <c r="B342" i="1"/>
  <c r="C483" i="4"/>
  <c r="A483" i="4" s="1"/>
  <c r="C483" i="3"/>
  <c r="A483" i="3" s="1"/>
  <c r="C455" i="4"/>
  <c r="A455" i="4" s="1"/>
  <c r="C455" i="3"/>
  <c r="A455" i="3" s="1"/>
  <c r="B315" i="1"/>
  <c r="D315" i="1" s="1"/>
  <c r="C20" i="3"/>
  <c r="A20" i="3" s="1"/>
  <c r="G21" i="3"/>
  <c r="E21" i="3"/>
  <c r="D21" i="3"/>
  <c r="F21" i="3"/>
  <c r="C396" i="4" l="1"/>
  <c r="A396" i="4" s="1"/>
  <c r="C342" i="3"/>
  <c r="A342" i="3" s="1"/>
  <c r="C316" i="4"/>
  <c r="A316" i="4" s="1"/>
  <c r="C316" i="3"/>
  <c r="A316" i="3" s="1"/>
  <c r="C369" i="4"/>
  <c r="A369" i="4" s="1"/>
  <c r="C369" i="3"/>
  <c r="A369" i="3" s="1"/>
  <c r="C48" i="3"/>
  <c r="A48" i="3" s="1"/>
  <c r="C433" i="4"/>
  <c r="A433" i="4" s="1"/>
  <c r="C433" i="3"/>
  <c r="A433" i="3" s="1"/>
  <c r="C239" i="4"/>
  <c r="A239" i="4" s="1"/>
  <c r="C239" i="3"/>
  <c r="A239" i="3" s="1"/>
  <c r="D342" i="1"/>
  <c r="B343" i="1"/>
  <c r="C456" i="4"/>
  <c r="A456" i="4" s="1"/>
  <c r="C456" i="3"/>
  <c r="A456" i="3" s="1"/>
  <c r="C484" i="4"/>
  <c r="A484" i="4" s="1"/>
  <c r="C484" i="3"/>
  <c r="A484" i="3" s="1"/>
  <c r="B316" i="1"/>
  <c r="D316" i="1" s="1"/>
  <c r="C21" i="3"/>
  <c r="A21" i="3" s="1"/>
  <c r="F22" i="3"/>
  <c r="E22" i="3"/>
  <c r="D22" i="3"/>
  <c r="G22" i="3"/>
  <c r="C397" i="4" l="1"/>
  <c r="A397" i="4" s="1"/>
  <c r="C343" i="4"/>
  <c r="A343" i="4" s="1"/>
  <c r="C343" i="3"/>
  <c r="A343" i="3" s="1"/>
  <c r="C317" i="4"/>
  <c r="A317" i="4" s="1"/>
  <c r="C317" i="3"/>
  <c r="A317" i="3" s="1"/>
  <c r="C370" i="4"/>
  <c r="A370" i="4" s="1"/>
  <c r="C370" i="3"/>
  <c r="A370" i="3" s="1"/>
  <c r="C344" i="4"/>
  <c r="A344" i="4" s="1"/>
  <c r="C49" i="3"/>
  <c r="A49" i="3" s="1"/>
  <c r="C434" i="4"/>
  <c r="A434" i="4" s="1"/>
  <c r="C434" i="3"/>
  <c r="A434" i="3" s="1"/>
  <c r="C240" i="4"/>
  <c r="A240" i="4" s="1"/>
  <c r="C240" i="3"/>
  <c r="A240" i="3" s="1"/>
  <c r="D343" i="1"/>
  <c r="B344" i="1"/>
  <c r="C23" i="3"/>
  <c r="A23" i="3" s="1"/>
  <c r="C457" i="4"/>
  <c r="A457" i="4" s="1"/>
  <c r="C457" i="3"/>
  <c r="A457" i="3" s="1"/>
  <c r="C485" i="4"/>
  <c r="A485" i="4" s="1"/>
  <c r="C485" i="3"/>
  <c r="A485" i="3" s="1"/>
  <c r="C22" i="3"/>
  <c r="A22" i="3" s="1"/>
  <c r="F23" i="3"/>
  <c r="E23" i="3"/>
  <c r="D23" i="3"/>
  <c r="G23" i="3"/>
  <c r="C398" i="4" l="1"/>
  <c r="A398" i="4" s="1"/>
  <c r="C344" i="3"/>
  <c r="A344" i="3" s="1"/>
  <c r="C371" i="4"/>
  <c r="A371" i="4" s="1"/>
  <c r="C371" i="3"/>
  <c r="A371" i="3" s="1"/>
  <c r="C50" i="3"/>
  <c r="A50" i="3" s="1"/>
  <c r="C435" i="3"/>
  <c r="A435" i="3" s="1"/>
  <c r="C435" i="4"/>
  <c r="A435" i="4" s="1"/>
  <c r="D344" i="1"/>
  <c r="B345" i="1"/>
  <c r="C486" i="4"/>
  <c r="A486" i="4" s="1"/>
  <c r="C486" i="3"/>
  <c r="A486" i="3" s="1"/>
  <c r="F24" i="3"/>
  <c r="E24" i="3"/>
  <c r="G24" i="3"/>
  <c r="D24" i="3"/>
  <c r="C399" i="4" l="1"/>
  <c r="A399" i="4" s="1"/>
  <c r="C345" i="4"/>
  <c r="A345" i="4" s="1"/>
  <c r="C345" i="3"/>
  <c r="A345" i="3" s="1"/>
  <c r="C372" i="3"/>
  <c r="A372" i="3" s="1"/>
  <c r="C372" i="4"/>
  <c r="A372" i="4" s="1"/>
  <c r="C51" i="3"/>
  <c r="A51" i="3" s="1"/>
  <c r="C436" i="4"/>
  <c r="A436" i="4" s="1"/>
  <c r="C436" i="3"/>
  <c r="A436" i="3" s="1"/>
  <c r="D345" i="1"/>
  <c r="B346" i="1"/>
  <c r="C487" i="4"/>
  <c r="A487" i="4" s="1"/>
  <c r="C487" i="3"/>
  <c r="A487" i="3" s="1"/>
  <c r="D25" i="3"/>
  <c r="E25" i="3"/>
  <c r="G25" i="3"/>
  <c r="F25" i="3"/>
  <c r="C400" i="4" l="1"/>
  <c r="A400" i="4" s="1"/>
  <c r="C346" i="3"/>
  <c r="A346" i="3" s="1"/>
  <c r="C346" i="4"/>
  <c r="A346" i="4" s="1"/>
  <c r="C373" i="4"/>
  <c r="A373" i="4" s="1"/>
  <c r="C373" i="3"/>
  <c r="A373" i="3" s="1"/>
  <c r="D346" i="1"/>
  <c r="B347" i="1"/>
  <c r="C52" i="3"/>
  <c r="A52" i="3" s="1"/>
  <c r="C437" i="3"/>
  <c r="A437" i="3" s="1"/>
  <c r="C437" i="4"/>
  <c r="A437" i="4" s="1"/>
  <c r="C53" i="3"/>
  <c r="A53" i="3" s="1"/>
  <c r="C438" i="4"/>
  <c r="A438" i="4" s="1"/>
  <c r="C438" i="3"/>
  <c r="A438" i="3" s="1"/>
  <c r="C439" i="3"/>
  <c r="A439" i="3" s="1"/>
  <c r="C439" i="4"/>
  <c r="A439" i="4" s="1"/>
  <c r="C488" i="4"/>
  <c r="A488" i="4" s="1"/>
  <c r="C488" i="3"/>
  <c r="A488" i="3" s="1"/>
  <c r="C54" i="3"/>
  <c r="A54" i="3" s="1"/>
  <c r="D26" i="3"/>
  <c r="E26" i="3"/>
  <c r="G26" i="3"/>
  <c r="F26" i="3"/>
  <c r="C401" i="4" l="1"/>
  <c r="A401" i="4" s="1"/>
  <c r="C347" i="4"/>
  <c r="A347" i="4" s="1"/>
  <c r="C347" i="3"/>
  <c r="A347" i="3" s="1"/>
  <c r="D347" i="1"/>
  <c r="B348" i="1"/>
  <c r="D348" i="1" s="1"/>
  <c r="C374" i="3"/>
  <c r="A374" i="3" s="1"/>
  <c r="C374" i="4"/>
  <c r="A374" i="4" s="1"/>
  <c r="C375" i="3"/>
  <c r="A375" i="3" s="1"/>
  <c r="C440" i="4"/>
  <c r="A440" i="4" s="1"/>
  <c r="C440" i="3"/>
  <c r="A440" i="3" s="1"/>
  <c r="C55" i="3"/>
  <c r="A55" i="3" s="1"/>
  <c r="C489" i="4"/>
  <c r="A489" i="4" s="1"/>
  <c r="C489" i="3"/>
  <c r="A489" i="3" s="1"/>
  <c r="D27" i="3"/>
  <c r="E27" i="3"/>
  <c r="F27" i="3"/>
  <c r="G27" i="3"/>
  <c r="C348" i="3" l="1"/>
  <c r="A348" i="3" s="1"/>
  <c r="C348" i="4"/>
  <c r="A348" i="4" s="1"/>
  <c r="C403" i="4"/>
  <c r="A403" i="4" s="1"/>
  <c r="C349" i="3"/>
  <c r="A349" i="3" s="1"/>
  <c r="C349" i="4"/>
  <c r="A349" i="4" s="1"/>
  <c r="C402" i="4"/>
  <c r="A402" i="4" s="1"/>
  <c r="C375" i="4"/>
  <c r="A375" i="4" s="1"/>
  <c r="C376" i="3"/>
  <c r="A376" i="3" s="1"/>
  <c r="C376" i="4"/>
  <c r="A376" i="4" s="1"/>
  <c r="D28" i="3"/>
  <c r="E28" i="3"/>
  <c r="G28" i="3"/>
  <c r="F28" i="3"/>
  <c r="D29" i="3" l="1"/>
  <c r="E29" i="3"/>
  <c r="G29" i="3"/>
  <c r="F29" i="3"/>
  <c r="D30" i="3" l="1"/>
  <c r="E30" i="3"/>
  <c r="G30" i="3"/>
  <c r="F30" i="3"/>
  <c r="G31" i="3" l="1"/>
  <c r="E31" i="3"/>
  <c r="F31" i="3"/>
  <c r="D31" i="3"/>
  <c r="D32" i="3" l="1"/>
  <c r="E32" i="3"/>
  <c r="F32" i="3"/>
  <c r="G32" i="3"/>
  <c r="F33" i="3" l="1"/>
  <c r="E33" i="3"/>
  <c r="D33" i="3"/>
  <c r="G33" i="3"/>
  <c r="G34" i="4" l="1"/>
  <c r="F34" i="4"/>
  <c r="E34" i="4"/>
  <c r="F34" i="3"/>
  <c r="D34" i="3"/>
  <c r="G34" i="3"/>
  <c r="E34" i="3"/>
  <c r="C34" i="4"/>
  <c r="A34" i="4" s="1"/>
  <c r="D34" i="4"/>
  <c r="G35" i="4" l="1"/>
  <c r="F35" i="4"/>
  <c r="E35" i="4"/>
  <c r="F35" i="3"/>
  <c r="D35" i="3"/>
  <c r="G35" i="3"/>
  <c r="E35" i="3"/>
  <c r="D35" i="4"/>
  <c r="C35" i="4"/>
  <c r="A35" i="4" s="1"/>
  <c r="G36" i="4" l="1"/>
  <c r="F36" i="4"/>
  <c r="E36" i="4"/>
  <c r="F36" i="3"/>
  <c r="D36" i="3"/>
  <c r="E36" i="3"/>
  <c r="G36" i="3"/>
  <c r="C36" i="4"/>
  <c r="A36" i="4" s="1"/>
  <c r="D36" i="4"/>
  <c r="G37" i="4" l="1"/>
  <c r="F37" i="4"/>
  <c r="E37" i="4"/>
  <c r="D37" i="4"/>
  <c r="C37" i="4"/>
  <c r="A37" i="4" s="1"/>
  <c r="G37" i="3"/>
  <c r="E37" i="3"/>
  <c r="D37" i="3"/>
  <c r="F37" i="3"/>
  <c r="G61" i="3"/>
  <c r="F61" i="3"/>
  <c r="D61" i="3"/>
  <c r="E61" i="3"/>
  <c r="G38" i="4" l="1"/>
  <c r="F38" i="4"/>
  <c r="E38" i="4"/>
  <c r="C38" i="4"/>
  <c r="A38" i="4" s="1"/>
  <c r="D38" i="4"/>
  <c r="F38" i="3"/>
  <c r="E38" i="3"/>
  <c r="D38" i="3"/>
  <c r="G38" i="3"/>
  <c r="G62" i="3"/>
  <c r="F62" i="3"/>
  <c r="D62" i="3"/>
  <c r="E62" i="3"/>
  <c r="G39" i="4" l="1"/>
  <c r="F39" i="4"/>
  <c r="E39" i="4"/>
  <c r="D39" i="3"/>
  <c r="E39" i="3"/>
  <c r="F39" i="3"/>
  <c r="G39" i="3"/>
  <c r="G63" i="3"/>
  <c r="F63" i="3"/>
  <c r="D63" i="3"/>
  <c r="E63" i="3"/>
  <c r="D39" i="4"/>
  <c r="C39" i="4"/>
  <c r="A39" i="4" s="1"/>
  <c r="G40" i="4" l="1"/>
  <c r="F40" i="4"/>
  <c r="E40" i="4"/>
  <c r="D40" i="3"/>
  <c r="E40" i="3"/>
  <c r="F40" i="3"/>
  <c r="G40" i="3"/>
  <c r="G64" i="3"/>
  <c r="F64" i="3"/>
  <c r="D64" i="3"/>
  <c r="E64" i="3"/>
  <c r="D40" i="4"/>
  <c r="C40" i="4"/>
  <c r="A40" i="4" s="1"/>
  <c r="G41" i="4" l="1"/>
  <c r="F41" i="4"/>
  <c r="E41" i="4"/>
  <c r="E41" i="3"/>
  <c r="F41" i="3"/>
  <c r="G41" i="3"/>
  <c r="D41" i="3"/>
  <c r="G65" i="3"/>
  <c r="F65" i="3"/>
  <c r="D65" i="3"/>
  <c r="E65" i="3"/>
  <c r="C41" i="4"/>
  <c r="A41" i="4" s="1"/>
  <c r="D41" i="4"/>
  <c r="G42" i="4" l="1"/>
  <c r="F42" i="4"/>
  <c r="E42" i="4"/>
  <c r="E42" i="3"/>
  <c r="D42" i="3"/>
  <c r="G42" i="3"/>
  <c r="F42" i="3"/>
  <c r="G66" i="3"/>
  <c r="F66" i="3"/>
  <c r="D66" i="3"/>
  <c r="E66" i="3"/>
  <c r="C42" i="4"/>
  <c r="A42" i="4" s="1"/>
  <c r="D42" i="4"/>
  <c r="C43" i="4"/>
  <c r="A43" i="4" s="1"/>
  <c r="D43" i="4"/>
  <c r="G43" i="4" l="1"/>
  <c r="F43" i="4"/>
  <c r="E43" i="4"/>
  <c r="E43" i="3"/>
  <c r="F43" i="3"/>
  <c r="G43" i="3"/>
  <c r="D43" i="3"/>
  <c r="G67" i="3"/>
  <c r="F67" i="3"/>
  <c r="D67" i="3"/>
  <c r="E67" i="3"/>
  <c r="G44" i="4" l="1"/>
  <c r="F44" i="4"/>
  <c r="E44" i="4"/>
  <c r="E44" i="3"/>
  <c r="F44" i="3"/>
  <c r="D44" i="3"/>
  <c r="G44" i="3"/>
  <c r="G68" i="3"/>
  <c r="F68" i="3"/>
  <c r="D68" i="3"/>
  <c r="E68" i="3"/>
  <c r="D44" i="4"/>
  <c r="C44" i="4"/>
  <c r="A44" i="4" s="1"/>
  <c r="G45" i="4" l="1"/>
  <c r="F45" i="4"/>
  <c r="E45" i="4"/>
  <c r="F45" i="3"/>
  <c r="D45" i="3"/>
  <c r="E45" i="3"/>
  <c r="G45" i="3"/>
  <c r="G69" i="3"/>
  <c r="F69" i="3"/>
  <c r="D69" i="3"/>
  <c r="E69" i="3"/>
  <c r="D45" i="4"/>
  <c r="C45" i="4"/>
  <c r="A45" i="4" s="1"/>
  <c r="G46" i="4" l="1"/>
  <c r="F46" i="4"/>
  <c r="E46" i="4"/>
  <c r="D46" i="3"/>
  <c r="G46" i="3"/>
  <c r="E46" i="3"/>
  <c r="F46" i="3"/>
  <c r="G70" i="3"/>
  <c r="F70" i="3"/>
  <c r="D70" i="3"/>
  <c r="E70" i="3"/>
  <c r="C46" i="4"/>
  <c r="A46" i="4" s="1"/>
  <c r="D46" i="4"/>
  <c r="G47" i="4" l="1"/>
  <c r="F47" i="4"/>
  <c r="E47" i="4"/>
  <c r="F47" i="3"/>
  <c r="G47" i="3"/>
  <c r="E47" i="3"/>
  <c r="D47" i="3"/>
  <c r="G71" i="3"/>
  <c r="F71" i="3"/>
  <c r="D71" i="3"/>
  <c r="E71" i="3"/>
  <c r="D47" i="4"/>
  <c r="C47" i="4"/>
  <c r="A47" i="4" s="1"/>
  <c r="G48" i="4" l="1"/>
  <c r="F48" i="4"/>
  <c r="E48" i="4"/>
  <c r="F48" i="3"/>
  <c r="D48" i="3"/>
  <c r="G48" i="3"/>
  <c r="E48" i="3"/>
  <c r="G72" i="3"/>
  <c r="F72" i="3"/>
  <c r="D72" i="3"/>
  <c r="E72" i="3"/>
  <c r="C48" i="4"/>
  <c r="A48" i="4" s="1"/>
  <c r="D48" i="4"/>
  <c r="G49" i="4" l="1"/>
  <c r="F49" i="4"/>
  <c r="E49" i="4"/>
  <c r="D49" i="3"/>
  <c r="G49" i="3"/>
  <c r="F49" i="3"/>
  <c r="E49" i="3"/>
  <c r="G73" i="3"/>
  <c r="F73" i="3"/>
  <c r="D73" i="3"/>
  <c r="E73" i="3"/>
  <c r="C49" i="4"/>
  <c r="A49" i="4" s="1"/>
  <c r="D49" i="4"/>
  <c r="G50" i="4" l="1"/>
  <c r="F50" i="4"/>
  <c r="E50" i="4"/>
  <c r="F50" i="3"/>
  <c r="D50" i="3"/>
  <c r="G50" i="3"/>
  <c r="E50" i="3"/>
  <c r="G74" i="3"/>
  <c r="F74" i="3"/>
  <c r="D74" i="3"/>
  <c r="E74" i="3"/>
  <c r="C50" i="4"/>
  <c r="A50" i="4" s="1"/>
  <c r="D50" i="4"/>
  <c r="G51" i="4" l="1"/>
  <c r="F51" i="4"/>
  <c r="E51" i="4"/>
  <c r="D51" i="4"/>
  <c r="D51" i="3"/>
  <c r="F51" i="3"/>
  <c r="E51" i="3"/>
  <c r="G51" i="3"/>
  <c r="G75" i="3"/>
  <c r="F75" i="3"/>
  <c r="D75" i="3"/>
  <c r="E75" i="3"/>
  <c r="C51" i="4"/>
  <c r="A51" i="4" s="1"/>
  <c r="G52" i="4" l="1"/>
  <c r="F52" i="4"/>
  <c r="E52" i="4"/>
  <c r="G52" i="3"/>
  <c r="E52" i="3"/>
  <c r="D52" i="3"/>
  <c r="F52" i="3"/>
  <c r="G76" i="3"/>
  <c r="F76" i="3"/>
  <c r="D76" i="3"/>
  <c r="E76" i="3"/>
  <c r="D52" i="4"/>
  <c r="C52" i="4"/>
  <c r="A52" i="4" s="1"/>
  <c r="G53" i="4" l="1"/>
  <c r="F53" i="4"/>
  <c r="E53" i="4"/>
  <c r="D53" i="3"/>
  <c r="E53" i="3"/>
  <c r="G53" i="3"/>
  <c r="F53" i="3"/>
  <c r="G77" i="3"/>
  <c r="F77" i="3"/>
  <c r="D77" i="3"/>
  <c r="E77" i="3"/>
  <c r="C53" i="4"/>
  <c r="A53" i="4" s="1"/>
  <c r="D53" i="4"/>
  <c r="G54" i="4" l="1"/>
  <c r="F54" i="4"/>
  <c r="E54" i="4"/>
  <c r="G54" i="3"/>
  <c r="F54" i="3"/>
  <c r="E54" i="3"/>
  <c r="D54" i="3"/>
  <c r="G78" i="3"/>
  <c r="F78" i="3"/>
  <c r="D78" i="3"/>
  <c r="E78" i="3"/>
  <c r="C54" i="4"/>
  <c r="A54" i="4" s="1"/>
  <c r="D54" i="4"/>
  <c r="G55" i="4" l="1"/>
  <c r="F55" i="4"/>
  <c r="E55" i="4"/>
  <c r="E55" i="3"/>
  <c r="F55" i="3"/>
  <c r="G55" i="3"/>
  <c r="D55" i="3"/>
  <c r="G79" i="3"/>
  <c r="F79" i="3"/>
  <c r="D79" i="3"/>
  <c r="E79" i="3"/>
  <c r="C55" i="4"/>
  <c r="A55" i="4" s="1"/>
  <c r="D55" i="4"/>
  <c r="G56" i="4" l="1"/>
  <c r="F56" i="4"/>
  <c r="E56" i="4"/>
  <c r="G56" i="3"/>
  <c r="F56" i="3"/>
  <c r="E56" i="3"/>
  <c r="D56" i="3"/>
  <c r="G80" i="3"/>
  <c r="F80" i="3"/>
  <c r="D80" i="3"/>
  <c r="E80" i="3"/>
  <c r="C56" i="4"/>
  <c r="A56" i="4" s="1"/>
  <c r="D56" i="4"/>
  <c r="G57" i="4" l="1"/>
  <c r="F57" i="4"/>
  <c r="E57" i="4"/>
  <c r="D57" i="4"/>
  <c r="C57" i="4"/>
  <c r="A57" i="4" s="1"/>
  <c r="G57" i="3"/>
  <c r="F57" i="3"/>
  <c r="D57" i="3"/>
  <c r="E57" i="3"/>
  <c r="G81" i="3"/>
  <c r="F81" i="3"/>
  <c r="D81" i="3"/>
  <c r="E81" i="3"/>
  <c r="G58" i="4" l="1"/>
  <c r="F58" i="4"/>
  <c r="E58" i="4"/>
  <c r="C58" i="4"/>
  <c r="A58" i="4" s="1"/>
  <c r="G58" i="3"/>
  <c r="F58" i="3"/>
  <c r="D58" i="3"/>
  <c r="E58" i="3"/>
  <c r="G82" i="3"/>
  <c r="F82" i="3"/>
  <c r="D82" i="3"/>
  <c r="E82" i="3"/>
  <c r="D58" i="4"/>
  <c r="G59" i="4" l="1"/>
  <c r="F59" i="4"/>
  <c r="E59" i="4"/>
  <c r="D59" i="3"/>
  <c r="E59" i="3"/>
  <c r="F59" i="3"/>
  <c r="G59" i="3"/>
  <c r="G83" i="3"/>
  <c r="F83" i="3"/>
  <c r="D83" i="3"/>
  <c r="E83" i="3"/>
  <c r="D59" i="4"/>
  <c r="C59" i="4"/>
  <c r="A59" i="4" s="1"/>
  <c r="D60" i="4"/>
  <c r="G60" i="4" l="1"/>
  <c r="F60" i="4"/>
  <c r="E60" i="4"/>
  <c r="C60" i="4"/>
  <c r="A60" i="4" s="1"/>
  <c r="G60" i="3"/>
  <c r="E60" i="3"/>
  <c r="D60" i="3"/>
  <c r="F60" i="3"/>
  <c r="G84" i="3"/>
  <c r="F84" i="3"/>
  <c r="D84" i="3"/>
  <c r="E84" i="3"/>
  <c r="G61" i="4" l="1"/>
  <c r="F61" i="4"/>
  <c r="E61" i="4"/>
  <c r="D61" i="4"/>
  <c r="G85" i="3"/>
  <c r="F85" i="3"/>
  <c r="D85" i="3"/>
  <c r="E85" i="3"/>
  <c r="C61" i="4"/>
  <c r="A61" i="4" s="1"/>
  <c r="G62" i="4" l="1"/>
  <c r="F62" i="4"/>
  <c r="E62" i="4"/>
  <c r="G86" i="3"/>
  <c r="F86" i="3"/>
  <c r="D86" i="3"/>
  <c r="E86" i="3"/>
  <c r="D62" i="4"/>
  <c r="C62" i="4"/>
  <c r="A62" i="4" s="1"/>
  <c r="G63" i="4" l="1"/>
  <c r="F63" i="4"/>
  <c r="E63" i="4"/>
  <c r="G87" i="3"/>
  <c r="F87" i="3"/>
  <c r="D87" i="3"/>
  <c r="E87" i="3"/>
  <c r="D63" i="4"/>
  <c r="C63" i="4"/>
  <c r="A63" i="4" s="1"/>
  <c r="G64" i="4" l="1"/>
  <c r="F64" i="4"/>
  <c r="E64" i="4"/>
  <c r="G88" i="3"/>
  <c r="F88" i="3"/>
  <c r="D88" i="3"/>
  <c r="E88" i="3"/>
  <c r="C64" i="4"/>
  <c r="A64" i="4" s="1"/>
  <c r="D64" i="4"/>
  <c r="G65" i="4" l="1"/>
  <c r="F65" i="4"/>
  <c r="E65" i="4"/>
  <c r="G89" i="3"/>
  <c r="F89" i="3"/>
  <c r="D89" i="3"/>
  <c r="E89" i="3"/>
  <c r="C65" i="4"/>
  <c r="A65" i="4" s="1"/>
  <c r="D65" i="4"/>
  <c r="G66" i="4" l="1"/>
  <c r="F66" i="4"/>
  <c r="E66" i="4"/>
  <c r="D66" i="4"/>
  <c r="G90" i="3"/>
  <c r="F90" i="3"/>
  <c r="D90" i="3"/>
  <c r="E90" i="3"/>
  <c r="C66" i="4"/>
  <c r="A66" i="4" s="1"/>
  <c r="G67" i="4" l="1"/>
  <c r="F67" i="4"/>
  <c r="E67" i="4"/>
  <c r="G91" i="3"/>
  <c r="F91" i="3"/>
  <c r="D91" i="3"/>
  <c r="E91" i="3"/>
  <c r="C67" i="4"/>
  <c r="A67" i="4" s="1"/>
  <c r="D67" i="4"/>
  <c r="G68" i="4" l="1"/>
  <c r="F68" i="4"/>
  <c r="E68" i="4"/>
  <c r="G92" i="3"/>
  <c r="F92" i="3"/>
  <c r="D92" i="3"/>
  <c r="E92" i="3"/>
  <c r="D68" i="4"/>
  <c r="C68" i="4"/>
  <c r="A68" i="4" s="1"/>
  <c r="G69" i="4" l="1"/>
  <c r="F69" i="4"/>
  <c r="E69" i="4"/>
  <c r="G93" i="3"/>
  <c r="F93" i="3"/>
  <c r="D93" i="3"/>
  <c r="E93" i="3"/>
  <c r="C69" i="4"/>
  <c r="A69" i="4" s="1"/>
  <c r="D69" i="4"/>
  <c r="G70" i="4" l="1"/>
  <c r="F70" i="4"/>
  <c r="E70" i="4"/>
  <c r="G94" i="3"/>
  <c r="F94" i="3"/>
  <c r="D94" i="3"/>
  <c r="E94" i="3"/>
  <c r="D70" i="4"/>
  <c r="C70" i="4"/>
  <c r="A70" i="4" s="1"/>
  <c r="G71" i="4" l="1"/>
  <c r="F71" i="4"/>
  <c r="E71" i="4"/>
  <c r="C71" i="4"/>
  <c r="A71" i="4" s="1"/>
  <c r="G95" i="3"/>
  <c r="F95" i="3"/>
  <c r="D95" i="3"/>
  <c r="E95" i="3"/>
  <c r="D71" i="4"/>
  <c r="G72" i="4" l="1"/>
  <c r="F72" i="4"/>
  <c r="E72" i="4"/>
  <c r="G96" i="3"/>
  <c r="F96" i="3"/>
  <c r="D96" i="3"/>
  <c r="E96" i="3"/>
  <c r="C72" i="4"/>
  <c r="A72" i="4" s="1"/>
  <c r="D72" i="4"/>
  <c r="G73" i="4" l="1"/>
  <c r="F73" i="4"/>
  <c r="E73" i="4"/>
  <c r="G97" i="3"/>
  <c r="F97" i="3"/>
  <c r="D97" i="3"/>
  <c r="E97" i="3"/>
  <c r="D73" i="4"/>
  <c r="C73" i="4"/>
  <c r="A73" i="4" s="1"/>
  <c r="G74" i="4" l="1"/>
  <c r="F74" i="4"/>
  <c r="E74" i="4"/>
  <c r="C74" i="4"/>
  <c r="A74" i="4" s="1"/>
  <c r="G98" i="3"/>
  <c r="F98" i="3"/>
  <c r="D98" i="3"/>
  <c r="E98" i="3"/>
  <c r="D74" i="4"/>
  <c r="G75" i="4" l="1"/>
  <c r="F75" i="4"/>
  <c r="E75" i="4"/>
  <c r="G99" i="3"/>
  <c r="F99" i="3"/>
  <c r="D99" i="3"/>
  <c r="E99" i="3"/>
  <c r="D75" i="4"/>
  <c r="C75" i="4"/>
  <c r="A75" i="4" s="1"/>
  <c r="G76" i="4" l="1"/>
  <c r="F76" i="4"/>
  <c r="E76" i="4"/>
  <c r="D76" i="4"/>
  <c r="C76" i="4"/>
  <c r="A76" i="4" s="1"/>
  <c r="G77" i="4" l="1"/>
  <c r="F77" i="4"/>
  <c r="E77" i="4"/>
  <c r="C77" i="4"/>
  <c r="A77" i="4" s="1"/>
  <c r="D77" i="4"/>
  <c r="G78" i="4" l="1"/>
  <c r="F78" i="4"/>
  <c r="E78" i="4"/>
  <c r="C78" i="4"/>
  <c r="A78" i="4" s="1"/>
  <c r="D78" i="4"/>
  <c r="D79" i="4"/>
  <c r="C79" i="4"/>
  <c r="A79" i="4" s="1"/>
  <c r="G79" i="4" l="1"/>
  <c r="F79" i="4"/>
  <c r="E79" i="4"/>
  <c r="G80" i="4" l="1"/>
  <c r="F80" i="4"/>
  <c r="E80" i="4"/>
  <c r="C80" i="4"/>
  <c r="A80" i="4" s="1"/>
  <c r="D80" i="4"/>
  <c r="G81" i="4" l="1"/>
  <c r="F81" i="4"/>
  <c r="E81" i="4"/>
  <c r="C81" i="4"/>
  <c r="A81" i="4" s="1"/>
  <c r="D81" i="4"/>
  <c r="C82" i="4"/>
  <c r="A82" i="4" s="1"/>
  <c r="G82" i="4" l="1"/>
  <c r="F82" i="4"/>
  <c r="E82" i="4"/>
  <c r="D82" i="4"/>
  <c r="G83" i="4" l="1"/>
  <c r="F83" i="4"/>
  <c r="E83" i="4"/>
  <c r="D83" i="4"/>
  <c r="C83" i="4"/>
  <c r="A83" i="4" s="1"/>
  <c r="G84" i="4" l="1"/>
  <c r="F84" i="4"/>
  <c r="E84" i="4"/>
  <c r="C84" i="4"/>
  <c r="A84" i="4" s="1"/>
  <c r="D84" i="4"/>
  <c r="G85" i="4" l="1"/>
  <c r="F85" i="4"/>
  <c r="E85" i="4"/>
  <c r="D85" i="4"/>
  <c r="C85" i="4"/>
  <c r="A85" i="4" s="1"/>
  <c r="C86" i="4"/>
  <c r="A86" i="4" s="1"/>
  <c r="D86" i="4" l="1"/>
  <c r="G86" i="4"/>
  <c r="F86" i="4"/>
  <c r="E86" i="4"/>
  <c r="G87" i="4" l="1"/>
  <c r="F87" i="4"/>
  <c r="E87" i="4"/>
  <c r="C87" i="4"/>
  <c r="A87" i="4" s="1"/>
  <c r="D87" i="4"/>
  <c r="G88" i="4" l="1"/>
  <c r="F88" i="4"/>
  <c r="E88" i="4"/>
  <c r="C88" i="4"/>
  <c r="A88" i="4" s="1"/>
  <c r="D88" i="4"/>
  <c r="D89" i="4"/>
  <c r="C89" i="4"/>
  <c r="A89" i="4" s="1"/>
  <c r="G89" i="4" l="1"/>
  <c r="F89" i="4"/>
  <c r="E89" i="4"/>
  <c r="G90" i="4" l="1"/>
  <c r="F90" i="4"/>
  <c r="E90" i="4"/>
  <c r="D90" i="4"/>
  <c r="C90" i="4"/>
  <c r="A90" i="4" s="1"/>
  <c r="G91" i="4" l="1"/>
  <c r="F91" i="4"/>
  <c r="E91" i="4"/>
  <c r="D91" i="4"/>
  <c r="C91" i="4"/>
  <c r="A91" i="4" s="1"/>
  <c r="G92" i="4" l="1"/>
  <c r="F92" i="4"/>
  <c r="E92" i="4"/>
  <c r="D92" i="4"/>
  <c r="C92" i="4"/>
  <c r="A92" i="4" s="1"/>
  <c r="G93" i="4" l="1"/>
  <c r="F93" i="4"/>
  <c r="E93" i="4"/>
  <c r="C93" i="4"/>
  <c r="A93" i="4" s="1"/>
  <c r="D93" i="4"/>
  <c r="G94" i="4" l="1"/>
  <c r="F94" i="4"/>
  <c r="E94" i="4"/>
  <c r="D94" i="4"/>
  <c r="C94" i="4"/>
  <c r="A94" i="4" s="1"/>
  <c r="G95" i="4" l="1"/>
  <c r="F95" i="4"/>
  <c r="E95" i="4"/>
  <c r="D95" i="4"/>
  <c r="C95" i="4"/>
  <c r="A95" i="4" s="1"/>
  <c r="G96" i="4" l="1"/>
  <c r="F96" i="4"/>
  <c r="E96" i="4"/>
  <c r="C96" i="4"/>
  <c r="A96" i="4" s="1"/>
  <c r="D96" i="4"/>
  <c r="G97" i="4" l="1"/>
  <c r="F97" i="4"/>
  <c r="E97" i="4"/>
  <c r="C97" i="4"/>
  <c r="A97" i="4" s="1"/>
  <c r="D97" i="4"/>
  <c r="G98" i="4" l="1"/>
  <c r="F98" i="4"/>
  <c r="E98" i="4"/>
  <c r="C98" i="4"/>
  <c r="A98" i="4" s="1"/>
  <c r="D98" i="4"/>
  <c r="G99" i="4" l="1"/>
  <c r="F99" i="4"/>
  <c r="E99" i="4"/>
  <c r="C99" i="4"/>
  <c r="A99" i="4" s="1"/>
  <c r="D99" i="4"/>
  <c r="R546" i="1" l="1"/>
  <c r="R545" i="1"/>
  <c r="R543" i="1"/>
  <c r="R351" i="1"/>
  <c r="R371" i="1"/>
  <c r="R307" i="1"/>
  <c r="R523" i="1"/>
  <c r="R520" i="1"/>
  <c r="R533" i="1"/>
  <c r="R532" i="1"/>
  <c r="R531" i="1"/>
  <c r="R530" i="1"/>
  <c r="R447" i="1"/>
  <c r="R529" i="1"/>
  <c r="R528" i="1"/>
  <c r="R524" i="1"/>
  <c r="R521" i="1"/>
  <c r="R519" i="1"/>
  <c r="R535" i="1"/>
  <c r="R509" i="1"/>
  <c r="R507" i="1"/>
  <c r="R503" i="1"/>
  <c r="R449" i="1"/>
  <c r="R433" i="1"/>
  <c r="R508" i="1"/>
  <c r="R448" i="1"/>
  <c r="R432" i="1"/>
  <c r="R364" i="1"/>
  <c r="R362" i="1"/>
  <c r="R314" i="1"/>
  <c r="R308" i="1"/>
  <c r="R363" i="1"/>
  <c r="R316" i="1"/>
  <c r="R311" i="1"/>
  <c r="R342" i="1"/>
  <c r="R554" i="1"/>
  <c r="R369" i="1"/>
  <c r="R527" i="1"/>
  <c r="R337" i="1"/>
  <c r="R315" i="1"/>
  <c r="R513" i="1"/>
  <c r="R512" i="1"/>
  <c r="R582" i="1"/>
  <c r="R517" i="1"/>
  <c r="R581" i="1"/>
  <c r="R552" i="1"/>
  <c r="R312" i="1"/>
  <c r="R380" i="1"/>
  <c r="R349" i="1"/>
  <c r="R544" i="1"/>
  <c r="R542" i="1"/>
  <c r="R541" i="1"/>
  <c r="R584" i="1"/>
  <c r="R579" i="1"/>
  <c r="R576" i="1"/>
  <c r="R574" i="1"/>
  <c r="R555" i="1"/>
  <c r="R373" i="1"/>
  <c r="R317" i="1"/>
  <c r="R577" i="1"/>
  <c r="R335" i="1"/>
  <c r="R354" i="1"/>
  <c r="R322" i="1"/>
  <c r="R357" i="1"/>
  <c r="R331" i="1"/>
  <c r="R321" i="1"/>
  <c r="R558" i="1"/>
  <c r="R356" i="1"/>
  <c r="R329" i="1"/>
  <c r="R343" i="1"/>
  <c r="R341" i="1"/>
  <c r="R339" i="1"/>
  <c r="R332" i="1"/>
  <c r="R330" i="1"/>
  <c r="R514" i="1"/>
  <c r="R525" i="1"/>
  <c r="R516" i="1"/>
  <c r="R534" i="1"/>
  <c r="R361" i="1"/>
  <c r="R347" i="1"/>
  <c r="R505" i="1"/>
  <c r="R442" i="1"/>
  <c r="R439" i="1"/>
  <c r="R434" i="1"/>
  <c r="R368" i="1"/>
  <c r="R320" i="1"/>
  <c r="R511" i="1"/>
  <c r="R506" i="1"/>
  <c r="R504" i="1"/>
  <c r="R440" i="1"/>
  <c r="R437" i="1"/>
  <c r="R446" i="1"/>
  <c r="R350" i="1"/>
  <c r="R510" i="1"/>
  <c r="R445" i="1"/>
  <c r="R444" i="1"/>
  <c r="R443" i="1"/>
  <c r="R441" i="1"/>
  <c r="R438" i="1"/>
  <c r="R436" i="1"/>
  <c r="R435" i="1"/>
  <c r="R515" i="1"/>
  <c r="R325" i="1"/>
  <c r="R313" i="1"/>
  <c r="R375" i="1"/>
  <c r="R374" i="1"/>
  <c r="R366" i="1"/>
  <c r="R365" i="1"/>
  <c r="R309" i="1"/>
  <c r="R310" i="1"/>
  <c r="R353" i="1"/>
  <c r="R526" i="1"/>
  <c r="R522" i="1"/>
  <c r="R518" i="1"/>
  <c r="R326" i="1"/>
  <c r="R328" i="1"/>
  <c r="R540" i="1"/>
  <c r="R583" i="1"/>
  <c r="R578" i="1"/>
  <c r="R557" i="1"/>
  <c r="R553" i="1"/>
  <c r="R348" i="1"/>
  <c r="R334" i="1"/>
  <c r="R355" i="1"/>
  <c r="R580" i="1"/>
  <c r="R575" i="1"/>
  <c r="R333" i="1"/>
  <c r="R352" i="1"/>
  <c r="R340" i="1"/>
  <c r="R324" i="1"/>
  <c r="R372" i="1"/>
  <c r="R573" i="1"/>
  <c r="R367" i="1"/>
  <c r="R344" i="1"/>
  <c r="R345" i="1"/>
  <c r="R556" i="1"/>
  <c r="R338" i="1"/>
  <c r="R378" i="1"/>
  <c r="R376" i="1"/>
  <c r="R359" i="1"/>
  <c r="R319" i="1"/>
  <c r="R370" i="1"/>
  <c r="R360" i="1"/>
  <c r="R377" i="1"/>
  <c r="R346" i="1"/>
  <c r="R327" i="1"/>
  <c r="R379" i="1"/>
  <c r="R358" i="1"/>
  <c r="R318" i="1"/>
  <c r="R323" i="1"/>
  <c r="R3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</authors>
  <commentList>
    <comment ref="D30" authorId="0" shapeId="0" xr:uid="{1E98A6C8-2A33-4124-8212-90610DDC54FE}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맑은 고딕"/>
            <family val="3"/>
            <charset val="129"/>
            <scheme val="major"/>
          </rPr>
          <t>9.30사퇴</t>
        </r>
      </text>
    </comment>
    <comment ref="D83" authorId="0" shapeId="0" xr:uid="{97A2313F-1EB7-436B-BBBF-EC6A2149F046}">
      <text>
        <r>
          <rPr>
            <b/>
            <sz val="9"/>
            <color indexed="81"/>
            <rFont val="Tahoma"/>
            <family val="2"/>
          </rPr>
          <t>w</t>
        </r>
        <r>
          <rPr>
            <b/>
            <sz val="14"/>
            <color indexed="81"/>
            <rFont val="Tahoma"/>
            <family val="2"/>
          </rPr>
          <t>in10:</t>
        </r>
        <r>
          <rPr>
            <b/>
            <sz val="14"/>
            <color indexed="81"/>
            <rFont val="돋움"/>
            <family val="3"/>
            <charset val="129"/>
          </rPr>
          <t>이윤희외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준공우수점수</t>
        </r>
        <r>
          <rPr>
            <b/>
            <sz val="14"/>
            <color indexed="81"/>
            <rFont val="Tahoma"/>
            <family val="2"/>
          </rPr>
          <t>=&gt;</t>
        </r>
        <r>
          <rPr>
            <b/>
            <sz val="14"/>
            <color indexed="81"/>
            <rFont val="돋움"/>
            <family val="3"/>
            <charset val="129"/>
          </rPr>
          <t>이봉임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돋움"/>
            <family val="3"/>
            <charset val="129"/>
          </rPr>
          <t>최동환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돋움"/>
            <family val="3"/>
            <charset val="129"/>
          </rPr>
          <t>강상욱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돋움"/>
            <family val="3"/>
            <charset val="129"/>
          </rPr>
          <t>한수영</t>
        </r>
        <r>
          <rPr>
            <b/>
            <sz val="14"/>
            <color indexed="81"/>
            <rFont val="Tahoma"/>
            <family val="2"/>
          </rPr>
          <t>,</t>
        </r>
        <r>
          <rPr>
            <b/>
            <sz val="14"/>
            <color indexed="81"/>
            <rFont val="돋움"/>
            <family val="3"/>
            <charset val="129"/>
          </rPr>
          <t>김형진</t>
        </r>
        <r>
          <rPr>
            <b/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돋움"/>
            <family val="3"/>
            <charset val="129"/>
          </rPr>
          <t>백대진소장</t>
        </r>
        <r>
          <rPr>
            <b/>
            <sz val="14"/>
            <color indexed="81"/>
            <rFont val="Tahoma"/>
            <family val="2"/>
          </rPr>
          <t>-DL</t>
        </r>
        <r>
          <rPr>
            <b/>
            <sz val="14"/>
            <color indexed="81"/>
            <rFont val="돋움"/>
            <family val="3"/>
            <charset val="129"/>
          </rPr>
          <t>전도관및
전정환소장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강화현장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이직연계</t>
        </r>
      </text>
    </comment>
    <comment ref="D121" authorId="0" shapeId="0" xr:uid="{9F62E2FB-C2C7-4415-B7F9-287334E7630F}">
      <text>
        <r>
          <rPr>
            <b/>
            <sz val="14"/>
            <color indexed="81"/>
            <rFont val="Tahoma"/>
            <family val="2"/>
          </rPr>
          <t>win10:</t>
        </r>
        <r>
          <rPr>
            <b/>
            <sz val="14"/>
            <color indexed="81"/>
            <rFont val="돋움"/>
            <family val="3"/>
            <charset val="129"/>
          </rPr>
          <t>등급상향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근무연속</t>
        </r>
      </text>
    </comment>
    <comment ref="D129" authorId="0" shapeId="0" xr:uid="{8F910CDF-2B4C-4CB0-9F6E-A87778077C1A}">
      <text>
        <r>
          <rPr>
            <b/>
            <sz val="14"/>
            <color indexed="81"/>
            <rFont val="Tahoma"/>
            <family val="2"/>
          </rPr>
          <t>win10:</t>
        </r>
        <r>
          <rPr>
            <sz val="14"/>
            <color indexed="81"/>
            <rFont val="Tahoma"/>
            <family val="2"/>
          </rPr>
          <t xml:space="preserve">
12</t>
        </r>
        <r>
          <rPr>
            <sz val="14"/>
            <color indexed="81"/>
            <rFont val="돋움"/>
            <family val="3"/>
            <charset val="129"/>
          </rPr>
          <t>월</t>
        </r>
        <r>
          <rPr>
            <sz val="14"/>
            <color indexed="81"/>
            <rFont val="Tahoma"/>
            <family val="2"/>
          </rPr>
          <t>29</t>
        </r>
        <r>
          <rPr>
            <sz val="14"/>
            <color indexed="81"/>
            <rFont val="돋움"/>
            <family val="3"/>
            <charset val="129"/>
          </rPr>
          <t>일사퇴예정</t>
        </r>
      </text>
    </comment>
  </commentList>
</comments>
</file>

<file path=xl/sharedStrings.xml><?xml version="1.0" encoding="utf-8"?>
<sst xmlns="http://schemas.openxmlformats.org/spreadsheetml/2006/main" count="20131" uniqueCount="3436">
  <si>
    <t>순번</t>
    <phoneticPr fontId="5" type="noConversion"/>
  </si>
  <si>
    <t>이름</t>
    <phoneticPr fontId="5" type="noConversion"/>
  </si>
  <si>
    <t>직책</t>
    <phoneticPr fontId="5" type="noConversion"/>
  </si>
  <si>
    <t>직급</t>
    <phoneticPr fontId="5" type="noConversion"/>
  </si>
  <si>
    <t>연락처</t>
    <phoneticPr fontId="5" type="noConversion"/>
  </si>
  <si>
    <t>경력</t>
    <phoneticPr fontId="5" type="noConversion"/>
  </si>
  <si>
    <t>당사 근무이력 (직전현장)</t>
    <phoneticPr fontId="4" type="noConversion"/>
  </si>
  <si>
    <t>타사 근무이력 (직전현장)</t>
    <phoneticPr fontId="4" type="noConversion"/>
  </si>
  <si>
    <t>전기</t>
    <phoneticPr fontId="4" type="noConversion"/>
  </si>
  <si>
    <t>통신</t>
    <phoneticPr fontId="4" type="noConversion"/>
  </si>
  <si>
    <t>소방</t>
    <phoneticPr fontId="4" type="noConversion"/>
  </si>
  <si>
    <t>안전</t>
    <phoneticPr fontId="4" type="noConversion"/>
  </si>
  <si>
    <t>건설사</t>
    <phoneticPr fontId="4" type="noConversion"/>
  </si>
  <si>
    <t>현장명</t>
    <phoneticPr fontId="4" type="noConversion"/>
  </si>
  <si>
    <t>용도</t>
    <phoneticPr fontId="4" type="noConversion"/>
  </si>
  <si>
    <t>비고</t>
    <phoneticPr fontId="4" type="noConversion"/>
  </si>
  <si>
    <t>타회사명</t>
    <phoneticPr fontId="4" type="noConversion"/>
  </si>
  <si>
    <t>비고</t>
  </si>
  <si>
    <t>S</t>
    <phoneticPr fontId="4" type="noConversion"/>
  </si>
  <si>
    <t>010-0000-0000</t>
  </si>
  <si>
    <t>A</t>
    <phoneticPr fontId="4" type="noConversion"/>
  </si>
  <si>
    <t>플랜트</t>
    <phoneticPr fontId="4" type="noConversion"/>
  </si>
  <si>
    <t>물류센터</t>
    <phoneticPr fontId="4" type="noConversion"/>
  </si>
  <si>
    <t>APT/오피스텔</t>
  </si>
  <si>
    <t>일반건축물</t>
  </si>
  <si>
    <t>플랜트</t>
  </si>
  <si>
    <t>물류센터</t>
  </si>
  <si>
    <t>데이터센터</t>
  </si>
  <si>
    <t>기타</t>
  </si>
  <si>
    <t>공무</t>
    <phoneticPr fontId="4" type="noConversion"/>
  </si>
  <si>
    <t>전공</t>
  </si>
  <si>
    <t>기사</t>
  </si>
  <si>
    <t>고급</t>
  </si>
  <si>
    <t>자격증 / 경력수첩 보유현황</t>
    <phoneticPr fontId="5" type="noConversion"/>
  </si>
  <si>
    <t>평가등급</t>
    <phoneticPr fontId="4" type="noConversion"/>
  </si>
  <si>
    <t>이름</t>
    <phoneticPr fontId="4" type="noConversion"/>
  </si>
  <si>
    <t>생년월일</t>
    <phoneticPr fontId="4" type="noConversion"/>
  </si>
  <si>
    <t>직책</t>
    <phoneticPr fontId="4" type="noConversion"/>
  </si>
  <si>
    <t>직급</t>
    <phoneticPr fontId="4" type="noConversion"/>
  </si>
  <si>
    <t>업무능력</t>
    <phoneticPr fontId="4" type="noConversion"/>
  </si>
  <si>
    <t>우수</t>
    <phoneticPr fontId="4" type="noConversion"/>
  </si>
  <si>
    <t>보통</t>
    <phoneticPr fontId="4" type="noConversion"/>
  </si>
  <si>
    <t>부족</t>
    <phoneticPr fontId="4" type="noConversion"/>
  </si>
  <si>
    <t>문제</t>
    <phoneticPr fontId="4" type="noConversion"/>
  </si>
  <si>
    <t>정확성, 신속성</t>
    <phoneticPr fontId="4" type="noConversion"/>
  </si>
  <si>
    <t>이해력</t>
    <phoneticPr fontId="4" type="noConversion"/>
  </si>
  <si>
    <t>창의력</t>
    <phoneticPr fontId="4" type="noConversion"/>
  </si>
  <si>
    <t>의욕</t>
    <phoneticPr fontId="4" type="noConversion"/>
  </si>
  <si>
    <t>규율성</t>
    <phoneticPr fontId="4" type="noConversion"/>
  </si>
  <si>
    <t>책임감</t>
    <phoneticPr fontId="4" type="noConversion"/>
  </si>
  <si>
    <t>적극성</t>
    <phoneticPr fontId="4" type="noConversion"/>
  </si>
  <si>
    <t>기본자세</t>
    <phoneticPr fontId="4" type="noConversion"/>
  </si>
  <si>
    <t>출결상태</t>
    <phoneticPr fontId="4" type="noConversion"/>
  </si>
  <si>
    <t>인간관계</t>
    <phoneticPr fontId="4" type="noConversion"/>
  </si>
  <si>
    <t>전문지식(숙련도)</t>
    <phoneticPr fontId="4" type="noConversion"/>
  </si>
  <si>
    <t>순번</t>
    <phoneticPr fontId="4" type="noConversion"/>
  </si>
  <si>
    <t>점수</t>
    <phoneticPr fontId="4" type="noConversion"/>
  </si>
  <si>
    <t>등급</t>
    <phoneticPr fontId="4" type="noConversion"/>
  </si>
  <si>
    <t>단가/급여</t>
    <phoneticPr fontId="4" type="noConversion"/>
  </si>
  <si>
    <t>시/도</t>
    <phoneticPr fontId="5" type="noConversion"/>
  </si>
  <si>
    <t>시,군,구</t>
    <phoneticPr fontId="5" type="noConversion"/>
  </si>
  <si>
    <t>주용도</t>
    <phoneticPr fontId="4" type="noConversion"/>
  </si>
  <si>
    <t>주민등록번호</t>
    <phoneticPr fontId="5" type="noConversion"/>
  </si>
  <si>
    <t>성별</t>
    <phoneticPr fontId="4" type="noConversion"/>
  </si>
  <si>
    <t>주요경력</t>
    <phoneticPr fontId="5" type="noConversion"/>
  </si>
  <si>
    <t>나이</t>
    <phoneticPr fontId="4" type="noConversion"/>
  </si>
  <si>
    <t>기능</t>
    <phoneticPr fontId="4" type="noConversion"/>
  </si>
  <si>
    <t>안전의식</t>
    <phoneticPr fontId="4" type="noConversion"/>
  </si>
  <si>
    <t>정리정돈</t>
    <phoneticPr fontId="4" type="noConversion"/>
  </si>
  <si>
    <t>O</t>
  </si>
  <si>
    <t>도급사 안전활동 참여 및 포상</t>
  </si>
  <si>
    <t>개인보호구 착용</t>
  </si>
  <si>
    <t>기본 공도구 관리</t>
  </si>
  <si>
    <t>입수보행, 핸드폰보행, 이어폰작업</t>
  </si>
  <si>
    <t>지정장소 흡연</t>
  </si>
  <si>
    <t>작업 후 정리정돈</t>
  </si>
  <si>
    <t>근태기록, 퇴직공제부금, 무사고일지</t>
  </si>
  <si>
    <t>보통</t>
  </si>
  <si>
    <t>부족</t>
  </si>
  <si>
    <t>문제</t>
  </si>
  <si>
    <t>우수</t>
  </si>
  <si>
    <t>TBM 참석</t>
  </si>
  <si>
    <t>현장 사원 인사고과표 - 기능</t>
    <phoneticPr fontId="4" type="noConversion"/>
  </si>
  <si>
    <t>현장 사원 인사고과표 - 안전</t>
    <phoneticPr fontId="4" type="noConversion"/>
  </si>
  <si>
    <t>초급</t>
    <phoneticPr fontId="4" type="noConversion"/>
  </si>
  <si>
    <t>현장명</t>
  </si>
  <si>
    <t>현장명</t>
    <phoneticPr fontId="4" type="noConversion"/>
  </si>
  <si>
    <t>현장코드</t>
  </si>
  <si>
    <t>공사명</t>
  </si>
  <si>
    <t>공사기간</t>
  </si>
  <si>
    <t>구분</t>
  </si>
  <si>
    <t>발주처명</t>
  </si>
  <si>
    <t>계약일자</t>
  </si>
  <si>
    <t>도급사명</t>
  </si>
  <si>
    <t>도급금액</t>
    <phoneticPr fontId="4" type="noConversion"/>
  </si>
  <si>
    <t>전화번호</t>
  </si>
  <si>
    <t>퇴직공제
가입번호</t>
  </si>
  <si>
    <t>고용,산재
가입번호</t>
  </si>
  <si>
    <t>국민,건강
관리번호</t>
  </si>
  <si>
    <t>주소</t>
  </si>
  <si>
    <t>발주단가
공개</t>
  </si>
  <si>
    <t>일용직단가
공개</t>
  </si>
  <si>
    <t>국민연금</t>
  </si>
  <si>
    <t>건강보험</t>
  </si>
  <si>
    <t>현황</t>
  </si>
  <si>
    <t>소장</t>
    <phoneticPr fontId="4" type="noConversion"/>
  </si>
  <si>
    <t>공종</t>
    <phoneticPr fontId="4" type="noConversion"/>
  </si>
  <si>
    <t>동수</t>
    <phoneticPr fontId="4" type="noConversion"/>
  </si>
  <si>
    <t>지하층</t>
    <phoneticPr fontId="4" type="noConversion"/>
  </si>
  <si>
    <t>지상층</t>
    <phoneticPr fontId="4" type="noConversion"/>
  </si>
  <si>
    <t>세대수</t>
    <phoneticPr fontId="4" type="noConversion"/>
  </si>
  <si>
    <t>연면적</t>
    <phoneticPr fontId="4" type="noConversion"/>
  </si>
  <si>
    <t>공구장</t>
    <phoneticPr fontId="4" type="noConversion"/>
  </si>
  <si>
    <t>정부노임(%)</t>
    <phoneticPr fontId="4" type="noConversion"/>
  </si>
  <si>
    <t>실행노임(%)</t>
    <phoneticPr fontId="4" type="noConversion"/>
  </si>
  <si>
    <t>[1.대우산업개발] (소방공사)부창구역 주택재개발</t>
  </si>
  <si>
    <t>2021-05-15 ~ 2023-10-31</t>
  </si>
  <si>
    <t>B</t>
  </si>
  <si>
    <t>대우산업개발(주)</t>
  </si>
  <si>
    <t>2021-05-15</t>
  </si>
  <si>
    <t>010-7586-3567</t>
  </si>
  <si>
    <t>충남 천안시 동남구 봉명동 62-53번지 일원</t>
  </si>
  <si>
    <t>N</t>
  </si>
  <si>
    <t>Y</t>
  </si>
  <si>
    <t>-</t>
  </si>
  <si>
    <t>[1.대우산업개발] (전기공사)부창구역 주택재개발</t>
  </si>
  <si>
    <t>[2.현대산업개발] 시티오씨엘 3단지</t>
  </si>
  <si>
    <t>2021-08-16 ~ 2025-02-28</t>
  </si>
  <si>
    <t>에이치디씨현대산업개발 주식회사</t>
  </si>
  <si>
    <t>2021-08-16</t>
  </si>
  <si>
    <t>010-4932-8942</t>
  </si>
  <si>
    <t>인천시 미추홀구 학익동 587-10 일원</t>
  </si>
  <si>
    <t>유영찬</t>
  </si>
  <si>
    <t>서정만</t>
  </si>
  <si>
    <t>전기,통신</t>
  </si>
  <si>
    <t>5개동</t>
  </si>
  <si>
    <t>지하4층</t>
  </si>
  <si>
    <t>46층</t>
  </si>
  <si>
    <t>공동주택</t>
  </si>
  <si>
    <t>[1.대우건설] 광명2R구역 주택재개발정비공사</t>
  </si>
  <si>
    <t>[준공-1.대우건설] 광명2R구역 주택재개발정비공사</t>
  </si>
  <si>
    <t>2021-10-13 ~ 2024-12-29</t>
  </si>
  <si>
    <t>광명제2R구역주택재개발정비사업조합</t>
  </si>
  <si>
    <t>2021-10-13</t>
  </si>
  <si>
    <t>(주)대우건설</t>
  </si>
  <si>
    <t>010-9050-6225</t>
  </si>
  <si>
    <t>경기도 광명시 광명동 46-9 대우건설 내 (주)부현전기</t>
  </si>
  <si>
    <t>전기,소방</t>
  </si>
  <si>
    <t>10개동</t>
  </si>
  <si>
    <t>지하3층</t>
  </si>
  <si>
    <t>지상35층</t>
  </si>
  <si>
    <t>[2.현대엔지니어링] 힐스테이트 만촌역 신축공사</t>
  </si>
  <si>
    <t>2021-11-01 ~ 2025-03-31</t>
  </si>
  <si>
    <t>현대엔지니어링(주)</t>
  </si>
  <si>
    <t>2021-11-01</t>
  </si>
  <si>
    <t>010-8335-1059</t>
  </si>
  <si>
    <t>대구광역시 수성구 만촌동 1032-1 일원</t>
  </si>
  <si>
    <t>박상식</t>
  </si>
  <si>
    <t>강철희</t>
  </si>
  <si>
    <t>전기</t>
  </si>
  <si>
    <t>6개동</t>
  </si>
  <si>
    <t>지상32층</t>
  </si>
  <si>
    <t>오피스텔</t>
  </si>
  <si>
    <t>[1.범양건영] 구미 송정동 범양레우스 공동주택 전기통신소방공사</t>
  </si>
  <si>
    <t>2021-12-21 ~ 2024-04-30</t>
  </si>
  <si>
    <t>(주)한국토지신탁</t>
  </si>
  <si>
    <t>2021-12-21</t>
  </si>
  <si>
    <t>범양건영</t>
  </si>
  <si>
    <t>010-3464-2911</t>
  </si>
  <si>
    <t>경상북도 구미시 송정동 250-6</t>
  </si>
  <si>
    <t>전기,통신,소방</t>
  </si>
  <si>
    <t>지상27층</t>
  </si>
  <si>
    <t>공동주택+도서관(기</t>
  </si>
  <si>
    <t>[1.진흥기업] 서울시교육청신청사 임시전력공사</t>
  </si>
  <si>
    <t>2022-01-24 ~ 2025-11-10</t>
  </si>
  <si>
    <t>2022-01-24</t>
  </si>
  <si>
    <t>진흥기업(주)</t>
  </si>
  <si>
    <t>서울시 용산구 두텁바위로 27</t>
  </si>
  <si>
    <t>임시전력</t>
  </si>
  <si>
    <t>1개동</t>
  </si>
  <si>
    <t>지상6층</t>
  </si>
  <si>
    <t>공공기관</t>
  </si>
  <si>
    <t>[1.진흥기업] 부평 4구역 주택재개발 정비사업 아파트 신축(2공구)</t>
  </si>
  <si>
    <t>2022-03-24 ~ 2024-11-30</t>
  </si>
  <si>
    <t>부평4구역주택재개발조합</t>
  </si>
  <si>
    <t>2022-03-24</t>
  </si>
  <si>
    <t>010-9085-4382</t>
  </si>
  <si>
    <t>인천시 부평구 동수로 32번지 인근 진흥기업 해링턴 플레이스 부평4구역 주택재개발 정비사업</t>
  </si>
  <si>
    <t>이종국</t>
  </si>
  <si>
    <t>신대식</t>
  </si>
  <si>
    <t>고갑수</t>
  </si>
  <si>
    <t>지상45층</t>
  </si>
  <si>
    <t>[2.현대엔지니어링] 부천 소사특별건축구역 주상복합 신축공사</t>
  </si>
  <si>
    <t>2022-03-28 ~ 2025-10-31</t>
    <phoneticPr fontId="4" type="noConversion"/>
  </si>
  <si>
    <t>(주)엠케이비개발</t>
  </si>
  <si>
    <t>2022-03-28</t>
  </si>
  <si>
    <t>010-6320-7048</t>
  </si>
  <si>
    <t>경기도 부천시 소사본동 65-2번지 일원</t>
  </si>
  <si>
    <t>박장석</t>
  </si>
  <si>
    <t>박효신</t>
  </si>
  <si>
    <t>최영진</t>
  </si>
  <si>
    <t>4개동</t>
  </si>
  <si>
    <t>지하6층</t>
  </si>
  <si>
    <t>지상49층</t>
  </si>
  <si>
    <t>주상복합</t>
  </si>
  <si>
    <t>[1.대우건설] 태봉공원 내 공동주택 건설공사 전기설비공사</t>
  </si>
  <si>
    <t>2022-04-11 ~ 2024-12-31</t>
  </si>
  <si>
    <t>(주)보담피앤피</t>
  </si>
  <si>
    <t>2022-04-11</t>
  </si>
  <si>
    <t>010-4139-7370</t>
  </si>
  <si>
    <t>경기도 포천시 소흘읍 솔모루로 109번길 41-28(태봉공원푸르지오 파크몬트 현장)</t>
  </si>
  <si>
    <t>김기배</t>
  </si>
  <si>
    <t>윤홍식</t>
  </si>
  <si>
    <t>8개동</t>
  </si>
  <si>
    <t>지하2층</t>
  </si>
  <si>
    <t>지상20층</t>
  </si>
  <si>
    <t>[1.포스코건설] 인천송도 재미동포타운 조성사업 2단계 전기공사(오피스텔)</t>
  </si>
  <si>
    <t>2022-04-25 ~ 2025-06-30</t>
  </si>
  <si>
    <t>(주)인천글로벌시티</t>
  </si>
  <si>
    <t>2022-04-25</t>
  </si>
  <si>
    <t>포스코건설</t>
  </si>
  <si>
    <t>010-3735-1530</t>
  </si>
  <si>
    <t>인천광역시 연수구 송도동 155-1번지(M2-1BL)</t>
  </si>
  <si>
    <t>이만재</t>
  </si>
  <si>
    <t>김정휘</t>
  </si>
  <si>
    <t>2개동</t>
  </si>
  <si>
    <t>지상47층</t>
  </si>
  <si>
    <t>[4.롯데건설] 구리 인창C구역 주택재개발정비사업 중 일반전기공사</t>
  </si>
  <si>
    <t>2022-06-23 ~ 2026-03-30</t>
    <phoneticPr fontId="4" type="noConversion"/>
  </si>
  <si>
    <t>인창C구역 재개발조합</t>
  </si>
  <si>
    <t>2022-06-23</t>
  </si>
  <si>
    <t>롯데건설(주)</t>
  </si>
  <si>
    <t>010-6422-3187</t>
  </si>
  <si>
    <t>경기도 구리시 인창동 288-16 4번게이트</t>
  </si>
  <si>
    <t>천인식</t>
  </si>
  <si>
    <t>이종호</t>
  </si>
  <si>
    <t>12개동</t>
  </si>
  <si>
    <t>지상42층</t>
  </si>
  <si>
    <t>공동주택+오피스텔</t>
  </si>
  <si>
    <t>[2.한화건설] 천안 노태공원 공동주택 1단지</t>
  </si>
  <si>
    <t>2022-06-29 ~ 2025-02-28</t>
  </si>
  <si>
    <t>천안노태공원개발(주)</t>
  </si>
  <si>
    <t>2022-06-29</t>
  </si>
  <si>
    <t>(주)한화건설</t>
  </si>
  <si>
    <t>010-5417-6018</t>
  </si>
  <si>
    <t>충청남도 천안시 서북구 성성동 440-11일원</t>
  </si>
  <si>
    <t>지상28층</t>
  </si>
  <si>
    <t>[2.현대산업개발] 청라국제도시아이파크(청라오피스텔) 일반전기공사</t>
  </si>
  <si>
    <t>2022-07-11 ~ 2025-07-31</t>
  </si>
  <si>
    <t>교보자산신탁(주)</t>
  </si>
  <si>
    <t>2022-07-11</t>
  </si>
  <si>
    <t>010-3795-7919</t>
  </si>
  <si>
    <t>인천 서구 청라동 1-403 청라국제도시 아이파크 현장 내 부현전기</t>
  </si>
  <si>
    <t>최연식</t>
  </si>
  <si>
    <t>안정환</t>
  </si>
  <si>
    <t>전득수</t>
  </si>
  <si>
    <t>[5.CJ대한통운] 무신사 P2 신축공사 전기공사</t>
  </si>
  <si>
    <t>2022-08-02 ~ 2025-06-30</t>
  </si>
  <si>
    <t>(주)무신사</t>
  </si>
  <si>
    <t>2022-08-02</t>
  </si>
  <si>
    <t>CJ대한통운</t>
  </si>
  <si>
    <t>010-5442-4425</t>
  </si>
  <si>
    <t>서울시 성동구 성수동2가 324-2</t>
  </si>
  <si>
    <t>이정재</t>
  </si>
  <si>
    <t>김주철</t>
  </si>
  <si>
    <t>[1.대우건설] 인천 경서3구역 오피스텔 신축공사 전기설비공사(1공구)</t>
  </si>
  <si>
    <t>2022-09-02 ~ 2025-05-31</t>
  </si>
  <si>
    <t>경서도시개발(주)</t>
  </si>
  <si>
    <t>2022-09-02</t>
  </si>
  <si>
    <t>010-5324-3599</t>
  </si>
  <si>
    <t>인천시 서구 경서동 124-178(경서3구역 도시개발사업지구 25블럭 1로트)</t>
  </si>
  <si>
    <t>오춘남</t>
  </si>
  <si>
    <t>김준규</t>
  </si>
  <si>
    <t>오재욱</t>
  </si>
  <si>
    <t>3개동</t>
  </si>
  <si>
    <t>[1.대우건설] 충북 청주전시관 건립사업 건축공사 구내가설전기공사</t>
  </si>
  <si>
    <t>2022-10-07 ~ 2025-03-27</t>
  </si>
  <si>
    <t>충북개발공사</t>
  </si>
  <si>
    <t>2022-10-07</t>
  </si>
  <si>
    <t>충청북도 청주시 흥덕구 오송읍 만수리275-5</t>
  </si>
  <si>
    <t>[1.대우건설] 파주운정지구 도시지원 4-5,6,7,8,9BL(1단지) 및 4-4BL(2단지) 오피스텔 신축공사</t>
  </si>
  <si>
    <t>2022-10-12 ~ 2025-09-30</t>
  </si>
  <si>
    <t>(주)엠디엠</t>
  </si>
  <si>
    <t>2022-10-12</t>
  </si>
  <si>
    <t>010-6250-9180</t>
  </si>
  <si>
    <t>경기도 파주시 와동동 1500</t>
  </si>
  <si>
    <t>주현덕</t>
  </si>
  <si>
    <t>박현준</t>
  </si>
  <si>
    <t>김희환</t>
  </si>
  <si>
    <t>[4.현대건설] 힐스테이트 레이크 송도 4차 전기공사</t>
  </si>
  <si>
    <t>2022-11-15 ~ 2025-06-30</t>
  </si>
  <si>
    <t>송도랜드마트시티유한회사</t>
  </si>
  <si>
    <t>2022-10-06</t>
  </si>
  <si>
    <t>현대건설(주)</t>
  </si>
  <si>
    <t>010-5280-4816</t>
  </si>
  <si>
    <t>인천광역시 연수구 송도동 397-2번지(A16BL) 2번게이트</t>
  </si>
  <si>
    <t>이진안</t>
  </si>
  <si>
    <t>박승용</t>
  </si>
  <si>
    <t>지상36층</t>
  </si>
  <si>
    <t>[1.진흥기업] 해링턴 플레이스 감삼 신축공사</t>
  </si>
  <si>
    <t>2022-11-30 ~ 2026-02-02</t>
  </si>
  <si>
    <t>2022-11-30</t>
  </si>
  <si>
    <t>010-8228-5717</t>
  </si>
  <si>
    <t>대구시 달서구 감삼동 553번지</t>
  </si>
  <si>
    <t>이종우</t>
  </si>
  <si>
    <t>최준열</t>
  </si>
  <si>
    <t>지상46층</t>
  </si>
  <si>
    <t>[1.두산건설] 여의구역 본계약 전기공사</t>
  </si>
  <si>
    <t>2022-10-17 ~ 2025-05-31</t>
  </si>
  <si>
    <t>여의주택재개발정비사업조합</t>
  </si>
  <si>
    <t>2022-10-17</t>
  </si>
  <si>
    <t>두산건설(주)</t>
  </si>
  <si>
    <t>010-3545-9566</t>
  </si>
  <si>
    <t>인천광역시 미추홀구 장천로 87 1층</t>
  </si>
  <si>
    <t>전정환</t>
  </si>
  <si>
    <t>최진우</t>
  </si>
  <si>
    <t>34층</t>
  </si>
  <si>
    <t>[1.까뮤이앤씨] 안성 성은지구 복합물류센터 신축공사</t>
  </si>
  <si>
    <t>2022-11-28 ~ 2025-01-31</t>
  </si>
  <si>
    <t>안성성은물류피에프브이 주식회사</t>
  </si>
  <si>
    <t>2022-11-28</t>
  </si>
  <si>
    <t>(주)까뮤이앤씨</t>
  </si>
  <si>
    <t>010-9401-0780</t>
  </si>
  <si>
    <t>경기도 안성시 원곡면 성은리 316번지</t>
  </si>
  <si>
    <t>김영진</t>
  </si>
  <si>
    <t>[2.동부건설] 이천 안흥동 주상복합시설사업 전기공사</t>
  </si>
  <si>
    <t>2022-10-24 ~ 2025-07-31</t>
  </si>
  <si>
    <t>주식회사 아이앤피</t>
  </si>
  <si>
    <t>2022-10-24</t>
  </si>
  <si>
    <t>동부건설</t>
  </si>
  <si>
    <t>010-9022-9869</t>
  </si>
  <si>
    <t>경기도 이천시 안흥동 267-5 코아루휴티스1단지 상가 108호</t>
  </si>
  <si>
    <t>김명호</t>
  </si>
  <si>
    <t>김효순</t>
  </si>
  <si>
    <t>지하7층</t>
  </si>
  <si>
    <t>[1.시티건설] 남악오룡 36BL 시티프라디움 신축공사(전기,통신공사)</t>
  </si>
  <si>
    <t>2023-01-30 ~ 2025-02-28</t>
  </si>
  <si>
    <t>(주)시티오건설</t>
  </si>
  <si>
    <t>2023-01-30</t>
  </si>
  <si>
    <t>주식회사 시티건설</t>
  </si>
  <si>
    <t>010-3288-2220</t>
  </si>
  <si>
    <t>전라남도 무안군 일로읍 오룡리 503</t>
  </si>
  <si>
    <t>이석두</t>
  </si>
  <si>
    <t>박지민</t>
  </si>
  <si>
    <t>7개동</t>
  </si>
  <si>
    <t>지하1층</t>
  </si>
  <si>
    <t>지상25층</t>
  </si>
  <si>
    <t>[2.현대산업개발] 광명제4R구역 주택재개발정비사업 일반전기공사-1공구</t>
  </si>
  <si>
    <t>2023-02-02 ~ 2025-10-31</t>
  </si>
  <si>
    <t>광명제4R구역 주택재개발정비사업조합</t>
  </si>
  <si>
    <t>2023-01-18</t>
  </si>
  <si>
    <t>010-3371-6950</t>
  </si>
  <si>
    <t>경기도 광명시 광명동 84-14번지 일대</t>
  </si>
  <si>
    <t>박장섭</t>
  </si>
  <si>
    <t>김인송</t>
  </si>
  <si>
    <t>[5.CJ대한통운] 장충동 주택 신축공사 전기공사</t>
  </si>
  <si>
    <t>2023-02-14 ~ 2024-09-30</t>
  </si>
  <si>
    <t>이재현</t>
  </si>
  <si>
    <t>2023-02-14</t>
  </si>
  <si>
    <t>CJ대한통운(주)</t>
  </si>
  <si>
    <t>010-8866-7532</t>
  </si>
  <si>
    <t>서울특별시 중구 동호로20나길 10</t>
  </si>
  <si>
    <t>김재덕</t>
  </si>
  <si>
    <t>[1.대우건설] 고양향동 지원1BL 지식산업센터 신축공사</t>
  </si>
  <si>
    <t>2023-02-15 ~ 2025-11-15</t>
  </si>
  <si>
    <t>디에스네트웍스(주) 외2건</t>
  </si>
  <si>
    <t>2023-02-15</t>
  </si>
  <si>
    <t>010-3194-0812</t>
  </si>
  <si>
    <t>경기도 고양시 덕양구 향동동 580번지 DMC 시티워크 지산센터</t>
  </si>
  <si>
    <t>문상훈</t>
  </si>
  <si>
    <t>홍병수</t>
  </si>
  <si>
    <t>전기,소방</t>
    <phoneticPr fontId="4" type="noConversion"/>
  </si>
  <si>
    <t>지상7층</t>
  </si>
  <si>
    <t>지식산업센터</t>
  </si>
  <si>
    <t>[2.현대엔지니어링] 상도동 지역주택조합 주상복합 신축사업</t>
  </si>
  <si>
    <t>2023-03-02 ~ 2026-02-23</t>
    <phoneticPr fontId="4" type="noConversion"/>
  </si>
  <si>
    <t>상도현대메트로센터파크 지역주택조합</t>
  </si>
  <si>
    <t>2023-03-02</t>
  </si>
  <si>
    <t>010-2465-0382</t>
  </si>
  <si>
    <t>서울시 동작구 상도동 373-1번지 外</t>
  </si>
  <si>
    <t>백화종</t>
  </si>
  <si>
    <t>박달섭</t>
  </si>
  <si>
    <t>김동주</t>
  </si>
  <si>
    <t>지상29층</t>
  </si>
  <si>
    <t>[5.대광건영] 평택 고덕 국제신도시 A-55 대광로제비앙 모아엘가 접지공사</t>
  </si>
  <si>
    <t>2023-02-23 ~ 2025-01-31</t>
  </si>
  <si>
    <t>(주)덕원이앤씨</t>
  </si>
  <si>
    <t>2023-02-23</t>
  </si>
  <si>
    <t>(주)대광건영</t>
  </si>
  <si>
    <t>경기도 평택시 고덕동 1694-2004번지</t>
  </si>
  <si>
    <t>지상5층</t>
  </si>
  <si>
    <t>49학급</t>
  </si>
  <si>
    <t>교육시설</t>
  </si>
  <si>
    <t>[1.우미건설] 오산세교1차 우미린 아파트 전기공사(2공구)</t>
  </si>
  <si>
    <t>2023-03-30 ~ 2025-09-30</t>
  </si>
  <si>
    <t>A</t>
  </si>
  <si>
    <t>(주)우미종합건설</t>
  </si>
  <si>
    <t>2023-03-30</t>
  </si>
  <si>
    <t>우미건설</t>
  </si>
  <si>
    <t>010-8710-3823</t>
  </si>
  <si>
    <t>경기 오산시 탑동 154-2 일원</t>
  </si>
  <si>
    <t>정해은</t>
  </si>
  <si>
    <t>유영석</t>
  </si>
  <si>
    <t>[1.은성산업] 지에프 R&amp;D 과천사옥 지식산업센터 신축공사</t>
  </si>
  <si>
    <t>2023-04-04 ~ 2025-02-28</t>
  </si>
  <si>
    <t>주식회사 지에프알앤디</t>
  </si>
  <si>
    <t>2023-04-04</t>
  </si>
  <si>
    <t>은성산업</t>
  </si>
  <si>
    <t>010-3748-5802</t>
  </si>
  <si>
    <t>경기도 과천시 갈현동 423-1</t>
  </si>
  <si>
    <t>이태충</t>
  </si>
  <si>
    <t>지하5층</t>
  </si>
  <si>
    <t>지상14층</t>
  </si>
  <si>
    <t>[2.SK에코플랜트] 영종 SK VIEW 신축공사</t>
  </si>
  <si>
    <t>2023-04-10 ~ 2025-07-31</t>
  </si>
  <si>
    <t>KB부동산신탁(주)</t>
  </si>
  <si>
    <t>2023-04-10</t>
  </si>
  <si>
    <t>에스케이에코플랜트</t>
  </si>
  <si>
    <t>010-2449-3973</t>
  </si>
  <si>
    <t>인천시 중구 운서동 3040-11</t>
  </si>
  <si>
    <t>전남진</t>
  </si>
  <si>
    <t>정영임</t>
  </si>
  <si>
    <t>지상10층</t>
  </si>
  <si>
    <t>[5.대광건영] 내포신도시 RH4-2블록 공동주택 신축공사</t>
  </si>
  <si>
    <t>2023-04-21 ~ 2025-06-30</t>
  </si>
  <si>
    <t>(주)충남내포1피에프브이</t>
  </si>
  <si>
    <t>2023-04-21</t>
  </si>
  <si>
    <t>대광건영</t>
  </si>
  <si>
    <t>010-3896-1592</t>
  </si>
  <si>
    <t>충청남도 예산군 삽교읍 목리 826</t>
  </si>
  <si>
    <t>백대진</t>
  </si>
  <si>
    <t>박진규</t>
  </si>
  <si>
    <t>9개동</t>
  </si>
  <si>
    <t>지상23층</t>
  </si>
  <si>
    <t>[2.신세계건설] 부산 명지지구 아파텔 신축공사(1,2,5,6BL)</t>
  </si>
  <si>
    <t>2023-05-29 ~ 2025-08-26</t>
  </si>
  <si>
    <t>(주)유승홀딩스</t>
  </si>
  <si>
    <t>2023-05-29</t>
  </si>
  <si>
    <t>신세계건설</t>
  </si>
  <si>
    <t>010-3889-8187</t>
  </si>
  <si>
    <t>부산시 강서구 명지동 3605-1</t>
  </si>
  <si>
    <t>석영주</t>
  </si>
  <si>
    <t>한상곤</t>
  </si>
  <si>
    <t>[2.한라] 인천작전동 APT 신축공사</t>
  </si>
  <si>
    <t>2023-06-07 ~ 2025-10-31</t>
  </si>
  <si>
    <t>에이치엘디앤아이한라 주식회사</t>
  </si>
  <si>
    <t>2023-06-07</t>
  </si>
  <si>
    <t>한라</t>
  </si>
  <si>
    <t>010-5311-0350</t>
  </si>
  <si>
    <t>인천광역시 계양구 작전동 286-2번지 일원</t>
  </si>
  <si>
    <t>이봉래</t>
  </si>
  <si>
    <t>김익배</t>
  </si>
  <si>
    <t>[1.대우건설] 청주 테크노폴리스 S1-1,2BL 주상복합 신축공사</t>
  </si>
  <si>
    <t>2023-08-16 ~ 2027-01-31</t>
  </si>
  <si>
    <t>주식회사 신영대농개발</t>
  </si>
  <si>
    <t>2023-08-16</t>
  </si>
  <si>
    <t>대우건설</t>
  </si>
  <si>
    <t>010-2788-2380</t>
  </si>
  <si>
    <t>충북 청주시 송절동 산 4-2</t>
  </si>
  <si>
    <t>김승모</t>
  </si>
  <si>
    <t>이경애</t>
    <phoneticPr fontId="4" type="noConversion"/>
  </si>
  <si>
    <t>손준형</t>
    <phoneticPr fontId="4" type="noConversion"/>
  </si>
  <si>
    <t>공동주택,오피스텔</t>
  </si>
  <si>
    <t>[3.쿠팡] 광주2FC 전기공사</t>
  </si>
  <si>
    <t>2023-09-25 ~ 2024-07-15</t>
  </si>
  <si>
    <t>쿠팡</t>
  </si>
  <si>
    <t>2023-09-25</t>
  </si>
  <si>
    <t>010-3870-2692</t>
  </si>
  <si>
    <t>광주광역시 광산구 연산동 1285</t>
  </si>
  <si>
    <t>백봉진</t>
  </si>
  <si>
    <t>쿠팡</t>
    <phoneticPr fontId="4" type="noConversion"/>
  </si>
  <si>
    <t>[1.두산건설] 송림3구역 주택재개발 중 전기공사1,2공구</t>
  </si>
  <si>
    <t>2023-10-19 ~ 2026-01-31</t>
  </si>
  <si>
    <t>두산건설</t>
  </si>
  <si>
    <t>010-6234-6773</t>
  </si>
  <si>
    <t>인천광역시 동구 송림동 42-215일원 송림3구역 재개발현장</t>
  </si>
  <si>
    <t>정정용</t>
  </si>
  <si>
    <t>박전규</t>
  </si>
  <si>
    <t>김항규</t>
  </si>
  <si>
    <t>[5.이안알앤씨] 한림대학교 춘천성심병원 연구동 증축공사</t>
  </si>
  <si>
    <t>2024-01-03 ~ 2025-03-31</t>
  </si>
  <si>
    <t>이안알앤씨</t>
  </si>
  <si>
    <t>010-4226-7057</t>
  </si>
  <si>
    <t>강원도 춘천시 교동 153외 12필지</t>
  </si>
  <si>
    <t>강두식</t>
  </si>
  <si>
    <t>[2.동양] 한국건강관리협회 인천지부 신청사 건립 신축공사</t>
  </si>
  <si>
    <t>2024-01-16 ~ 2026-01-31</t>
  </si>
  <si>
    <t>한국건강관리협회</t>
  </si>
  <si>
    <t>2024-01-10</t>
  </si>
  <si>
    <t>동양/건설부문</t>
  </si>
  <si>
    <t>인천광역시 남동구 구월동 1123-2번지</t>
  </si>
  <si>
    <t>최소영</t>
    <phoneticPr fontId="4" type="noConversion"/>
  </si>
  <si>
    <t>제1종 근린생활시설</t>
  </si>
  <si>
    <t>[4.롯데건설] 검단신도시 101 역세권 공모사업(C9-1BL, C9-2BL)</t>
  </si>
  <si>
    <t>2024-02-16 ~ 2027-08-31</t>
  </si>
  <si>
    <t>넥스트브이시티피에프브이(주)</t>
  </si>
  <si>
    <t>2024-02-16</t>
  </si>
  <si>
    <t>롯데건설</t>
  </si>
  <si>
    <t>인천광역시 서구 원당동 1028번지 일대</t>
  </si>
  <si>
    <t>정인근</t>
  </si>
  <si>
    <t>송성훈</t>
  </si>
  <si>
    <t>복합시설</t>
  </si>
  <si>
    <t>[3.쿠팡] 인천 36FC 전기공사</t>
  </si>
  <si>
    <t>2024-03-10 ~ 2025-03-14</t>
  </si>
  <si>
    <t>쿠팡 주식회사</t>
  </si>
  <si>
    <t>인천광역시 서구 원창동 391-9</t>
  </si>
  <si>
    <t>이상민</t>
  </si>
  <si>
    <t>유형석</t>
  </si>
  <si>
    <t>이용수</t>
  </si>
  <si>
    <t>[2.한화건설] 고잔연립9구역 재건축 전기,통신,소방공사</t>
  </si>
  <si>
    <t>2024-04-01 ~ 2026-08-10</t>
  </si>
  <si>
    <t>고잔연립9구역 주택재건축정비사업조합</t>
  </si>
  <si>
    <t>2024-04-01</t>
  </si>
  <si>
    <t>한화건설</t>
  </si>
  <si>
    <t>010-5437-1169</t>
  </si>
  <si>
    <t>경기도 안산시 단원구 고잔동 648번지</t>
  </si>
  <si>
    <t>최종림</t>
  </si>
  <si>
    <t>한만재</t>
    <phoneticPr fontId="4" type="noConversion"/>
  </si>
  <si>
    <t>[1.DL건설] 전도관구역 주택재개발 정비사업조합(01공구)</t>
  </si>
  <si>
    <t>2024-04-23 ~ 2027-03-30</t>
    <phoneticPr fontId="4" type="noConversion"/>
  </si>
  <si>
    <t>전도관구역 주택재개발 정비사업조합</t>
  </si>
  <si>
    <t>2024-04-22</t>
  </si>
  <si>
    <t>디엘건설</t>
  </si>
  <si>
    <t>010-5398-9393</t>
  </si>
  <si>
    <t>인천광역시 미추홀구 숭의동 109-119번지 일원 2번게이트</t>
  </si>
  <si>
    <t>백대진</t>
    <phoneticPr fontId="4" type="noConversion"/>
  </si>
  <si>
    <t>강민</t>
  </si>
  <si>
    <t>[2.금호건설] 대웅제약 마곡연구소 신축공사</t>
  </si>
  <si>
    <t>2024-07-31 ~ 2026-02-21</t>
  </si>
  <si>
    <t>금호건설</t>
  </si>
  <si>
    <t>010-3731-6754</t>
  </si>
  <si>
    <t>서울특별시 강서구 마곡동 762-2</t>
  </si>
  <si>
    <t>이성영</t>
  </si>
  <si>
    <t>김영하</t>
    <phoneticPr fontId="4" type="noConversion"/>
  </si>
  <si>
    <t>박주형</t>
    <phoneticPr fontId="4" type="noConversion"/>
  </si>
  <si>
    <t>지상9층</t>
  </si>
  <si>
    <t>교육연구시설</t>
    <phoneticPr fontId="4" type="noConversion"/>
  </si>
  <si>
    <t>[2.신세계건설] 양주 옥정 물류센터 신축공사</t>
  </si>
  <si>
    <t>2024-05-30 ~ 2025-12-31</t>
  </si>
  <si>
    <t>010-9159-3351</t>
  </si>
  <si>
    <t>경기도 양주시 고암동 593-1</t>
  </si>
  <si>
    <t>임춘수</t>
  </si>
  <si>
    <t>문지용</t>
  </si>
  <si>
    <t>강기석</t>
  </si>
  <si>
    <t>창고시설</t>
  </si>
  <si>
    <t>[1.포스코건설] 영종-청라 연결도로(제3연륙교) 건설공사 제2공구 전기 및 통신공사</t>
  </si>
  <si>
    <t>2024-05-14 ~ 2025-12-13</t>
  </si>
  <si>
    <t>010-2048-9809</t>
  </si>
  <si>
    <t>인천광역시 서구 로봇랜드로 131(청라동)</t>
  </si>
  <si>
    <t>양홍규</t>
  </si>
  <si>
    <t>김동완</t>
  </si>
  <si>
    <t>윤동환</t>
  </si>
  <si>
    <t>[5.대광건영] 양주회천 A12 대광로제비앙 아파트 신축공사</t>
  </si>
  <si>
    <t>2024-05-22 ~ 2026-08-31</t>
  </si>
  <si>
    <t>010-3943-1418</t>
  </si>
  <si>
    <t>경기 양주시 회정동 873번지(858)</t>
  </si>
  <si>
    <t>양정훈</t>
  </si>
  <si>
    <t>홍주선</t>
  </si>
  <si>
    <t>[1.대우건설] 청라C18BL 오피스텔 신축공사</t>
  </si>
  <si>
    <t>2024-05-27 ~ 2027-10-17</t>
  </si>
  <si>
    <t>010-5609-4391</t>
  </si>
  <si>
    <t>인천광역시 서구 청라동 6-7 대우건설 현장 내 부현전기</t>
  </si>
  <si>
    <t>박명식</t>
  </si>
  <si>
    <t>양규성</t>
  </si>
  <si>
    <t>김동석</t>
  </si>
  <si>
    <t>[3.DL건설] 인천 검단신도시 AA29BL 공동주택 신축공사</t>
  </si>
  <si>
    <t>2024-07-01 ~ 2026-06-30</t>
  </si>
  <si>
    <t>010-3729-5357</t>
  </si>
  <si>
    <t>인천광역시 서구 마전동 산 124번지</t>
  </si>
  <si>
    <t>박성호</t>
  </si>
  <si>
    <t>박상현</t>
  </si>
  <si>
    <t>11개동</t>
  </si>
  <si>
    <t>지하2층</t>
    <phoneticPr fontId="4" type="noConversion"/>
  </si>
  <si>
    <t>[2.쌍용건설] 평택 가재지구 1블럭 공동주택 신축공사</t>
  </si>
  <si>
    <t>2024-08-12 ~ 2027-01-31</t>
  </si>
  <si>
    <t>쌍용건설</t>
  </si>
  <si>
    <t>010-3451-8876</t>
  </si>
  <si>
    <t>경기도 평택시 가재동 450-2</t>
  </si>
  <si>
    <t>김성수</t>
  </si>
  <si>
    <t>김현배</t>
  </si>
  <si>
    <t>[5.BYC] BYC완주 스마트 물류센터 신축공사</t>
  </si>
  <si>
    <t>2024-07-29 ~ 2025-07-31</t>
  </si>
  <si>
    <t>BYC</t>
  </si>
  <si>
    <t>010-2293-7205</t>
  </si>
  <si>
    <t>전라북도 완주군 봉동읍 제내리 1271</t>
  </si>
  <si>
    <t>김영기</t>
  </si>
  <si>
    <t>이수진</t>
    <phoneticPr fontId="4" type="noConversion"/>
  </si>
  <si>
    <t>[1.대우건설] 장위6구역 주택재개발 정비사업아파트 신축공사</t>
  </si>
  <si>
    <t>2024-07-30 ~ 2027-03-31</t>
  </si>
  <si>
    <t>서울특별시 성북구 장위동 120-4</t>
  </si>
  <si>
    <t>문우남</t>
  </si>
  <si>
    <t>이시우</t>
    <phoneticPr fontId="4" type="noConversion"/>
  </si>
  <si>
    <t>지상33층</t>
  </si>
  <si>
    <t>[1.중흥건설] 인천 검단지구 공동주택용지 AB20-2BL 중흥S-클래스 공동주택 신축공사</t>
  </si>
  <si>
    <t>2024-08-13 ~ 2027-04-19</t>
  </si>
  <si>
    <t>중흥건설</t>
  </si>
  <si>
    <t>인천 서구 불로동 인천검단지구 AB20-2</t>
  </si>
  <si>
    <t>이호준</t>
  </si>
  <si>
    <t>장명훈</t>
  </si>
  <si>
    <t>[3.쿠팡] 천안 6FC Ph-1 전기공사</t>
  </si>
  <si>
    <t>2024-09-01 ~ 2024-11-29</t>
  </si>
  <si>
    <t>010-3118-4348</t>
  </si>
  <si>
    <t>충남 천안시 서북구 입장면 용정리 190</t>
  </si>
  <si>
    <t>노진호</t>
  </si>
  <si>
    <t>이서원</t>
  </si>
  <si>
    <t>오석원</t>
  </si>
  <si>
    <t>[3.쿠팡] 울산 DIP 전기공사</t>
  </si>
  <si>
    <t>2024-10-07 ~ 2025-01-15</t>
  </si>
  <si>
    <t>010-4586-8298</t>
  </si>
  <si>
    <t>울산광역시 울주군 온산읍 대정리 383-1번지, 383-2번지</t>
  </si>
  <si>
    <t>강현석</t>
  </si>
  <si>
    <t>김영산</t>
  </si>
  <si>
    <t>[4.롯데건설] 인천 효성지구 도시개발사업 공동주택 3BL</t>
  </si>
  <si>
    <t>2024-10-24 ~ 2027-11-30</t>
  </si>
  <si>
    <t>인천광역시 계양구 길마로1번길 15일원</t>
  </si>
  <si>
    <t>김영호</t>
  </si>
  <si>
    <t>이민우</t>
  </si>
  <si>
    <t>양찬호</t>
  </si>
  <si>
    <t>지상26층</t>
  </si>
  <si>
    <t>[5.한국교직원공제회] The-K 제주호텔 리모델링 공사</t>
  </si>
  <si>
    <t>2024-11-04 ~ 2026-05-31</t>
  </si>
  <si>
    <t>한국교직원공제회</t>
  </si>
  <si>
    <t>제주특별자치도 제주시 탑동로 89</t>
  </si>
  <si>
    <t>김충남</t>
  </si>
  <si>
    <t>송인현</t>
  </si>
  <si>
    <t>김진호</t>
  </si>
  <si>
    <t>402실</t>
  </si>
  <si>
    <t>숙박시설,위락시설</t>
  </si>
  <si>
    <t>[2.서희건설] 평택화양센트럴 지역주택조합 아파트 신축공사</t>
  </si>
  <si>
    <t>2024-10-31 ~ 2027-11-24</t>
  </si>
  <si>
    <t>서희건설</t>
  </si>
  <si>
    <t>010-8927-5636</t>
  </si>
  <si>
    <t>경기도 평택시 안중읍 현화리 773-2 일원</t>
  </si>
  <si>
    <t>박재만</t>
  </si>
  <si>
    <t>박용범</t>
  </si>
  <si>
    <t>[2.금호건설] 고양장항 B-3BL 공공주택 신축공사</t>
  </si>
  <si>
    <t>2024-12-16 ~ 2027-04-30</t>
  </si>
  <si>
    <t>경기도 고양시 일산동구 장항동 529-26번지 일원</t>
  </si>
  <si>
    <t>8개동</t>
    <phoneticPr fontId="4" type="noConversion"/>
  </si>
  <si>
    <t>지상29층</t>
    <phoneticPr fontId="4" type="noConversion"/>
  </si>
  <si>
    <t>공동주택</t>
    <phoneticPr fontId="4" type="noConversion"/>
  </si>
  <si>
    <t>[4.롯데CM] 롯데백화점 전주점 리뉴얼 공사</t>
  </si>
  <si>
    <t>2024-12-26 ~ 2025-11-30</t>
  </si>
  <si>
    <t>롯데CM사업본부</t>
  </si>
  <si>
    <t>전북특별자치도 전주시 완산구 서신동 971</t>
  </si>
  <si>
    <t>이혜석</t>
  </si>
  <si>
    <t>[2.신세계건설] 스타필드 청라 신축공사 전기공사</t>
  </si>
  <si>
    <t>2025-01-13 ~ 2027-12-31</t>
  </si>
  <si>
    <t>(주)스타필드청라</t>
  </si>
  <si>
    <t>010-4720-6118</t>
  </si>
  <si>
    <t>인천시 서구 청라동 6-16</t>
  </si>
  <si>
    <t>김태주</t>
  </si>
  <si>
    <t>김성우</t>
    <phoneticPr fontId="4" type="noConversion"/>
  </si>
  <si>
    <t>박동욱</t>
    <phoneticPr fontId="4" type="noConversion"/>
  </si>
  <si>
    <t>근생,판매시설</t>
    <phoneticPr fontId="4" type="noConversion"/>
  </si>
  <si>
    <t>[2.신세계건설] 스타필드 청라 소방전기공사 2공구</t>
  </si>
  <si>
    <t>김용호</t>
    <phoneticPr fontId="4" type="noConversion"/>
  </si>
  <si>
    <t>박기용</t>
    <phoneticPr fontId="4" type="noConversion"/>
  </si>
  <si>
    <t>[AS현장-본사] AS현장 및 본사 - 2025</t>
  </si>
  <si>
    <t>맹효덕</t>
  </si>
  <si>
    <t>김범식</t>
  </si>
  <si>
    <t>[4.롯데CM] 롯데몰 송도2단계 중 연결통로 전기통신공사</t>
  </si>
  <si>
    <t>2025-01-08 ~ 2025-07-31</t>
  </si>
  <si>
    <t>인천 연수구 송도동 8-1</t>
  </si>
  <si>
    <t>손호성</t>
  </si>
  <si>
    <t>최원영</t>
  </si>
  <si>
    <t>[AS현장-천안지점] AS현장 및 천안지점 - 2025</t>
  </si>
  <si>
    <t>노승호</t>
  </si>
  <si>
    <t>[2.쌍용건설] 양주 삼숭 지역주택조합 일반전기공사</t>
  </si>
  <si>
    <t>2025-01-24 ~ 2027-02-01</t>
  </si>
  <si>
    <t>삼숭지역주택조합</t>
  </si>
  <si>
    <t>2025-01-24</t>
  </si>
  <si>
    <t>010-8881-0983</t>
  </si>
  <si>
    <t>경기도 양주시 삼숭로38번길 210</t>
  </si>
  <si>
    <t>김길수</t>
  </si>
  <si>
    <t>안효관</t>
  </si>
  <si>
    <t>[3.쿠팡] 대구 3FC Autostore 전기공사</t>
  </si>
  <si>
    <t>2025-02-03 ~ 2025-03-31</t>
  </si>
  <si>
    <t>010-5678-2411</t>
  </si>
  <si>
    <t>대구광역시 달성군 구지면 응암리 1280</t>
  </si>
  <si>
    <t>[5.대광로제비앙] 평택 브레인시티 (가칭)도일1초등학교 신축공사</t>
  </si>
  <si>
    <t>2025-02-12 ~ 2026-05-31</t>
  </si>
  <si>
    <t>대광로제비앙</t>
  </si>
  <si>
    <t>010-8803-3229</t>
  </si>
  <si>
    <t>경기 평택시 장안동 154-3</t>
  </si>
  <si>
    <t>신진석</t>
  </si>
  <si>
    <t>모정욱</t>
  </si>
  <si>
    <t>[3.쿠팡] GYS 2FC(경산) 전기공사</t>
  </si>
  <si>
    <t>2025-02-10 ~ 2025-04-30</t>
  </si>
  <si>
    <t>경상북도 경산시 진량읍 문천리 903</t>
  </si>
  <si>
    <t>김민수</t>
  </si>
  <si>
    <t>[1.라온건설] 인천 신흥동3가 주상복합</t>
  </si>
  <si>
    <t>2025-02-19 ~ 2027-06-30</t>
  </si>
  <si>
    <t>라온건설</t>
  </si>
  <si>
    <t>2025-02-19</t>
  </si>
  <si>
    <t>인천 중구 신흥동 3가 7-79</t>
  </si>
  <si>
    <t>박승용</t>
    <phoneticPr fontId="4" type="noConversion"/>
  </si>
  <si>
    <t>장재엽</t>
    <phoneticPr fontId="4" type="noConversion"/>
  </si>
  <si>
    <t>지상41층</t>
  </si>
  <si>
    <t>[1팀 - 준공현장] - 1팀 준공현장 2025년</t>
  </si>
  <si>
    <t>[2팀 - 준공현장] - 2팀 준공현장 2025년</t>
  </si>
  <si>
    <t>[3팀 - 준공현장] - 3팀 준공현장 2025년</t>
  </si>
  <si>
    <t>[4팀 - 준공현장] - 4팀 준공현장 2025년</t>
  </si>
  <si>
    <t>[5팀 - 준공현장] - 5팀 준공현장 2025년</t>
  </si>
  <si>
    <t>[관급 - 준공현장] - 관급 준공현장 2025년</t>
  </si>
  <si>
    <t>[2.동양] 한국건강관리협회 인천지부 신청사 건립 신축공사 기계소방</t>
  </si>
  <si>
    <t>최소영</t>
  </si>
  <si>
    <t>[2.한화건설] 원당1구역 재개발정비사업</t>
  </si>
  <si>
    <t>2025-03-20 ~ 2028-01-31</t>
    <phoneticPr fontId="4" type="noConversion"/>
  </si>
  <si>
    <t>원당1구역주택재개발정비사업조합</t>
  </si>
  <si>
    <t>2025-03-20</t>
  </si>
  <si>
    <t>010-5212-0260</t>
  </si>
  <si>
    <t>경기도 고양시 덕양구 주교동 599-1</t>
  </si>
  <si>
    <t>오준석</t>
    <phoneticPr fontId="4" type="noConversion"/>
  </si>
  <si>
    <t>김희동</t>
    <phoneticPr fontId="4" type="noConversion"/>
  </si>
  <si>
    <t>-</t>
    <phoneticPr fontId="4" type="noConversion"/>
  </si>
  <si>
    <t>전기,통신</t>
    <phoneticPr fontId="4" type="noConversion"/>
  </si>
  <si>
    <t>7개동</t>
    <phoneticPr fontId="4" type="noConversion"/>
  </si>
  <si>
    <t>지하3층</t>
    <phoneticPr fontId="4" type="noConversion"/>
  </si>
  <si>
    <t>지상35층</t>
    <phoneticPr fontId="4" type="noConversion"/>
  </si>
  <si>
    <t>[4.롯데CM] 롯데백화점 노원점 리뉴얼 공사</t>
    <phoneticPr fontId="4" type="noConversion"/>
  </si>
  <si>
    <t>2022-04-21 ~ 2026-08-31</t>
    <phoneticPr fontId="4" type="noConversion"/>
  </si>
  <si>
    <t>안광석</t>
    <phoneticPr fontId="4" type="noConversion"/>
  </si>
  <si>
    <t>양진우</t>
    <phoneticPr fontId="4" type="noConversion"/>
  </si>
  <si>
    <t>1개동</t>
    <phoneticPr fontId="4" type="noConversion"/>
  </si>
  <si>
    <t>지하1층</t>
    <phoneticPr fontId="4" type="noConversion"/>
  </si>
  <si>
    <t>1,2,8층</t>
    <phoneticPr fontId="4" type="noConversion"/>
  </si>
  <si>
    <t>판매시설</t>
    <phoneticPr fontId="4" type="noConversion"/>
  </si>
  <si>
    <t>[2.한양] 평택브레인시티8BL 공동주택 신축공사</t>
  </si>
  <si>
    <t>2025-06-09 ~ 2027-11-30</t>
    <phoneticPr fontId="4" type="noConversion"/>
  </si>
  <si>
    <t>경기도 평택시 장안동 28-11</t>
  </si>
  <si>
    <t>홍지수</t>
  </si>
  <si>
    <t>허성준</t>
  </si>
  <si>
    <t>6개동</t>
    <phoneticPr fontId="4" type="noConversion"/>
  </si>
  <si>
    <t>지상34층</t>
    <phoneticPr fontId="4" type="noConversion"/>
  </si>
  <si>
    <t>[1.중흥건설] 평택 브레인시티 공동3구역 - 선공사</t>
  </si>
  <si>
    <t>[3.쿠팡] INC 45FC(인천) 전기공사</t>
  </si>
  <si>
    <t>2025-04-10 ~ 2025-08-18</t>
  </si>
  <si>
    <t>인천광역시 미추홀구 도화동 957</t>
  </si>
  <si>
    <t>유형석</t>
    <phoneticPr fontId="4" type="noConversion"/>
  </si>
  <si>
    <t>[3.쿠팡] INC 26,28,36FC(인천) HVAC 전원공사</t>
  </si>
  <si>
    <t>2025-04-10 ~ 2025-05-30</t>
  </si>
  <si>
    <t>인천 서구 북항로120번길 55</t>
  </si>
  <si>
    <t>김태승</t>
    <phoneticPr fontId="4" type="noConversion"/>
  </si>
  <si>
    <t>[3.쿠팡] DAE3,7,8 FC(대구) Ph2 전기공사</t>
  </si>
  <si>
    <t>2025-04-10 ~ 2026-02-27</t>
  </si>
  <si>
    <t>김영산</t>
    <phoneticPr fontId="4" type="noConversion"/>
  </si>
  <si>
    <t>[3.쿠팡] GWJ2 FC(광주) HVAC 전원공사</t>
  </si>
  <si>
    <t>최장영</t>
    <phoneticPr fontId="4" type="noConversion"/>
  </si>
  <si>
    <t>이서원</t>
    <phoneticPr fontId="4" type="noConversion"/>
  </si>
  <si>
    <t>[5.빙그레] 빙그레 광주공장</t>
  </si>
  <si>
    <t>2025-04-28 ~ 2026-07-38</t>
    <phoneticPr fontId="4" type="noConversion"/>
  </si>
  <si>
    <t>경기 광주시 곤지암읍 독고개길86번길 23</t>
  </si>
  <si>
    <t>[5.대광로제비앙] 평택 브레인시티 2블럭</t>
  </si>
  <si>
    <t>경기도 평택시 장안동 235-35 (대광로제비앙 제3번 게이트)</t>
  </si>
  <si>
    <t>유영</t>
    <phoneticPr fontId="4" type="noConversion"/>
  </si>
  <si>
    <t>황경식</t>
    <phoneticPr fontId="4" type="noConversion"/>
  </si>
  <si>
    <t>9개동</t>
    <phoneticPr fontId="4" type="noConversion"/>
  </si>
  <si>
    <t>[4.롯데건설] 롯데바이오로직스 Project PROVIDENCE</t>
  </si>
  <si>
    <t>2025-04-21 ~ 2026-07-31</t>
  </si>
  <si>
    <t>롯데 바이오로직스</t>
  </si>
  <si>
    <t>010-4237-7377</t>
  </si>
  <si>
    <t>인천시 연수구 송도동 418 (첨단산업 클러스터) 2번 GATE</t>
  </si>
  <si>
    <t>김대호</t>
  </si>
  <si>
    <t>곽은철</t>
    <phoneticPr fontId="4" type="noConversion"/>
  </si>
  <si>
    <t>[1.대우건설] 인천검단 신도시 AA28BL 공동주택 신축공사</t>
  </si>
  <si>
    <t>2025-05-15 ~ 2027-12-30</t>
  </si>
  <si>
    <t>대우건설컨소시엄</t>
  </si>
  <si>
    <t>인천광역시 서구 서곶로 933 (마전동)</t>
  </si>
  <si>
    <t>김기배</t>
    <phoneticPr fontId="4" type="noConversion"/>
  </si>
  <si>
    <t>윤홍식</t>
    <phoneticPr fontId="4" type="noConversion"/>
  </si>
  <si>
    <t>13개동</t>
    <phoneticPr fontId="4" type="noConversion"/>
  </si>
  <si>
    <t>지하5층</t>
    <phoneticPr fontId="4" type="noConversion"/>
  </si>
  <si>
    <t>지상20층</t>
    <phoneticPr fontId="4" type="noConversion"/>
  </si>
  <si>
    <t>[1.부영] 김천혁신 2-1블럭 부영아파트 신축공사</t>
  </si>
  <si>
    <t>2025-06-02 ~ 2027-04-30</t>
    <phoneticPr fontId="4" type="noConversion"/>
  </si>
  <si>
    <t>(주)부영주택</t>
  </si>
  <si>
    <t>2025-06-02</t>
  </si>
  <si>
    <t>경상북도 김천시 율곡동 14번지 일원 (경북혁신도시 2-1B/L)</t>
  </si>
  <si>
    <t>김선동</t>
    <phoneticPr fontId="4" type="noConversion"/>
  </si>
  <si>
    <t>지상25층</t>
    <phoneticPr fontId="4" type="noConversion"/>
  </si>
  <si>
    <t>[5.SG신성건설] 판교 SG세계물산 사옥 신축공사</t>
  </si>
  <si>
    <t>2025-06-25 ~ 2026-11-30</t>
    <phoneticPr fontId="4" type="noConversion"/>
  </si>
  <si>
    <t>SG신성건설</t>
  </si>
  <si>
    <t>경기도 성남시 분당구 삼평동 649,650번지</t>
  </si>
  <si>
    <t>김영기</t>
    <phoneticPr fontId="4" type="noConversion"/>
  </si>
  <si>
    <t>지상11층</t>
    <phoneticPr fontId="4" type="noConversion"/>
  </si>
  <si>
    <t>업무시설</t>
    <phoneticPr fontId="4" type="noConversion"/>
  </si>
  <si>
    <t>[1.두산건설] [전기] 강화2지역 주택조합 전기공사</t>
  </si>
  <si>
    <t>2025-06-09 ~ 2028-03-15</t>
  </si>
  <si>
    <t>강화2 지역주택조합</t>
  </si>
  <si>
    <t>2025-06-09</t>
  </si>
  <si>
    <t>인천 강화군 선원면 창리 501번지 일원</t>
  </si>
  <si>
    <t>전정환</t>
    <phoneticPr fontId="4" type="noConversion"/>
  </si>
  <si>
    <t>최진우</t>
    <phoneticPr fontId="4" type="noConversion"/>
  </si>
  <si>
    <t>전기,통신,소방</t>
    <phoneticPr fontId="4" type="noConversion"/>
  </si>
  <si>
    <t>21개동</t>
  </si>
  <si>
    <t>[5.현대엔지니어링] 현대 오토에버 루첸타워 인테리어 공사</t>
  </si>
  <si>
    <t>2025-06-09 ~ 2025-08-20</t>
    <phoneticPr fontId="4" type="noConversion"/>
  </si>
  <si>
    <t>현대오토에버㈜</t>
    <phoneticPr fontId="4" type="noConversion"/>
  </si>
  <si>
    <t>서울시 강남구 테헤란로 510 루첸타워</t>
  </si>
  <si>
    <t>손영민</t>
    <phoneticPr fontId="4" type="noConversion"/>
  </si>
  <si>
    <t>4,5,6,19층</t>
    <phoneticPr fontId="4" type="noConversion"/>
  </si>
  <si>
    <t>인테리어</t>
    <phoneticPr fontId="4" type="noConversion"/>
  </si>
  <si>
    <t>[관급] 남양주왕숙 A-24BL 아파트 전기공사 4공구</t>
  </si>
  <si>
    <t>2025-12-31 ~ 2027-10-05</t>
  </si>
  <si>
    <t>한국토지주택공사</t>
  </si>
  <si>
    <t>관급</t>
  </si>
  <si>
    <t>김대용</t>
  </si>
  <si>
    <t>[6.현대엔지니어링] AutoLand 화성 기아 LW 프로젝트 일반전기공사(도장)</t>
  </si>
  <si>
    <t>2025-07-10 ~ 2027-04-30</t>
  </si>
  <si>
    <t>기아 주식회사</t>
  </si>
  <si>
    <t>2025-07-10</t>
  </si>
  <si>
    <t>현대엔지니어링</t>
  </si>
  <si>
    <t>경기도 화성시 우정읍 기아자동차로 95</t>
  </si>
  <si>
    <t>윤인수</t>
    <phoneticPr fontId="4" type="noConversion"/>
  </si>
  <si>
    <t>장경식</t>
    <phoneticPr fontId="4" type="noConversion"/>
  </si>
  <si>
    <t>[3.쿠팡] CHA6 FC(천안) Ph2 전기공사</t>
  </si>
  <si>
    <t>노진호</t>
    <phoneticPr fontId="4" type="noConversion"/>
  </si>
  <si>
    <t>지상4층</t>
    <phoneticPr fontId="4" type="noConversion"/>
  </si>
  <si>
    <t>[관급] 고속국도 제255호선 강진~광주간 전기공사(제2공구)(제1차)</t>
  </si>
  <si>
    <t>2025-08-04 ~ 2026-12-26</t>
  </si>
  <si>
    <t>한국도로공사</t>
  </si>
  <si>
    <t>박천복</t>
  </si>
  <si>
    <t>윤일효</t>
  </si>
  <si>
    <t>[4.롯데건설] 롯데바이오로직스 K1 HVAC 전기공사</t>
  </si>
  <si>
    <t>2025-07-29 ~ 2026-07-31</t>
  </si>
  <si>
    <t>롯데바이오로직스</t>
  </si>
  <si>
    <t>010-5243-9411</t>
  </si>
  <si>
    <t>오민태</t>
  </si>
  <si>
    <t>오현태</t>
    <phoneticPr fontId="4" type="noConversion"/>
  </si>
  <si>
    <t>플래트</t>
    <phoneticPr fontId="4" type="noConversion"/>
  </si>
  <si>
    <t>[5.대보건설] 등촌동 청년주택 신축공사</t>
    <phoneticPr fontId="4" type="noConversion"/>
  </si>
  <si>
    <t>2025-03-31 ~ 2028-06-30</t>
  </si>
  <si>
    <t>대보건설</t>
  </si>
  <si>
    <t>010-4577-7340</t>
  </si>
  <si>
    <t>서울특별시 강서구 등촌동 533-2</t>
  </si>
  <si>
    <t>정광표</t>
  </si>
  <si>
    <t>[1.두산건설] [소방] 강화2지역 주택조합 소방공사</t>
  </si>
  <si>
    <t>김종석</t>
  </si>
  <si>
    <t>[1.라온건설] 덕소2구역 주택재개발 정비사업</t>
    <phoneticPr fontId="4" type="noConversion"/>
  </si>
  <si>
    <t>[1.라온건설] 덕소2구역 주택재개발 정비사업</t>
  </si>
  <si>
    <t>2025-09-01 ~ 2028-03-31</t>
  </si>
  <si>
    <t>경기도 남양주시 와부읍 덕소리 453-15 일원</t>
  </si>
  <si>
    <t>이봉수</t>
    <phoneticPr fontId="4" type="noConversion"/>
  </si>
  <si>
    <t>강윤석</t>
    <phoneticPr fontId="4" type="noConversion"/>
  </si>
  <si>
    <t>[5.롯데건설] 마곡사옥 르웨스트 시티 D동 8-11층 이전공사</t>
  </si>
  <si>
    <t>2025-08-01 ~ 2025-10-31</t>
  </si>
  <si>
    <t>서울특별시 강서구 마곡동 마곡도시개발사업지구 내 CP1 D동</t>
  </si>
  <si>
    <t>[4.청량리제4구역] 청량리 4-1구역 상가 메인케이블 설치공사</t>
  </si>
  <si>
    <t>청량리제4구역도시환경정비사업추진위원회</t>
  </si>
  <si>
    <t>010-8787-6465</t>
  </si>
  <si>
    <t>방부덕</t>
  </si>
  <si>
    <t>[1.진흥기업] 영등포 대림동 청년주택 신축공사</t>
    <phoneticPr fontId="4" type="noConversion"/>
  </si>
  <si>
    <t>[1.진흥기업] 영등포 대림동 청년주택 신축공사</t>
  </si>
  <si>
    <t>2025-03-04 ~ 2028-04-30</t>
  </si>
  <si>
    <t>2030청년주택(주)</t>
  </si>
  <si>
    <t>진흥기업</t>
  </si>
  <si>
    <t>010-5408-1520</t>
  </si>
  <si>
    <t>서울시 영등포구 대림동 986-4번지 외 5필지</t>
  </si>
  <si>
    <t>김영환</t>
  </si>
  <si>
    <t>최우영</t>
    <phoneticPr fontId="4" type="noConversion"/>
  </si>
  <si>
    <t>597세대</t>
  </si>
  <si>
    <t>13,591</t>
  </si>
  <si>
    <t>[5.동화이앤씨] 금천구 독산동 데이터센터 신축공사</t>
  </si>
  <si>
    <t>2025-09-11 ~ 2027-03-31</t>
  </si>
  <si>
    <t>(주)동화이앤씨</t>
  </si>
  <si>
    <t>2025-09-11</t>
  </si>
  <si>
    <t>서울특별시 금천구 독산동 724-4번지</t>
  </si>
  <si>
    <t>[3.쿠팡] FCs 조명교체 및 난방기 모션센서 설치공사</t>
  </si>
  <si>
    <t>[3.쿠팡] GWJ1 FC 전기공사</t>
  </si>
  <si>
    <t>[5.현대엔지니어링] HMC 춘천사옥 전시장 전열추가 공사 및 부대공사</t>
  </si>
  <si>
    <t>2025-09-16 ~ 2025-10-31</t>
  </si>
  <si>
    <t>현대자동차(주)</t>
  </si>
  <si>
    <t>2025-09-15</t>
  </si>
  <si>
    <t>최형길</t>
  </si>
  <si>
    <t>송철옥</t>
  </si>
  <si>
    <t>권운선</t>
  </si>
  <si>
    <t>강양규</t>
  </si>
  <si>
    <t>김대훈</t>
  </si>
  <si>
    <t>김동우</t>
  </si>
  <si>
    <t>김종수</t>
  </si>
  <si>
    <t>김진원</t>
  </si>
  <si>
    <t>문영후</t>
  </si>
  <si>
    <t>문영훈</t>
  </si>
  <si>
    <t>박근형</t>
  </si>
  <si>
    <t>박진용</t>
  </si>
  <si>
    <t>방현태</t>
  </si>
  <si>
    <t>오정호</t>
  </si>
  <si>
    <t>우승범</t>
  </si>
  <si>
    <t>유대룡</t>
  </si>
  <si>
    <t>유정열</t>
  </si>
  <si>
    <t>이정안</t>
  </si>
  <si>
    <t>조정민</t>
  </si>
  <si>
    <t>허태승</t>
  </si>
  <si>
    <t>공무</t>
  </si>
  <si>
    <t>과장</t>
  </si>
  <si>
    <t>안전관리자</t>
  </si>
  <si>
    <t>부장</t>
  </si>
  <si>
    <t>공사</t>
  </si>
  <si>
    <t>대리</t>
  </si>
  <si>
    <t>기능공</t>
  </si>
  <si>
    <t>조공</t>
  </si>
  <si>
    <t>차장</t>
  </si>
  <si>
    <t>차장</t>
    <phoneticPr fontId="4" type="noConversion"/>
  </si>
  <si>
    <t>010-6519-3141</t>
  </si>
  <si>
    <t>전북</t>
  </si>
  <si>
    <t>12년</t>
  </si>
  <si>
    <t>울산 DIP</t>
  </si>
  <si>
    <t>010-3370-6872</t>
  </si>
  <si>
    <t>인천</t>
  </si>
  <si>
    <t>부평구</t>
  </si>
  <si>
    <t>20년</t>
  </si>
  <si>
    <t xml:space="preserve">010-9099-4577	</t>
  </si>
  <si>
    <t>경기</t>
  </si>
  <si>
    <t>쿠팡 인천 23,27</t>
  </si>
  <si>
    <t>010-5119-9919</t>
  </si>
  <si>
    <t>부산</t>
  </si>
  <si>
    <t>북구</t>
  </si>
  <si>
    <t>010-6369-2360</t>
  </si>
  <si>
    <t>경북</t>
  </si>
  <si>
    <t>10년</t>
  </si>
  <si>
    <t>010-3423-8276</t>
  </si>
  <si>
    <t>세종</t>
  </si>
  <si>
    <t>연서면</t>
  </si>
  <si>
    <t>010-3404-4353</t>
  </si>
  <si>
    <t>8년</t>
  </si>
  <si>
    <t>010-9555-3923</t>
  </si>
  <si>
    <t>대구</t>
  </si>
  <si>
    <t>달성군</t>
  </si>
  <si>
    <t>010-9584-2411</t>
  </si>
  <si>
    <t>수성구</t>
  </si>
  <si>
    <t>010-2437-3651</t>
  </si>
  <si>
    <t>010-2476-6233</t>
  </si>
  <si>
    <t>경남</t>
  </si>
  <si>
    <t>010-8311-0078</t>
  </si>
  <si>
    <t>010-5039-0034</t>
  </si>
  <si>
    <t>010-9183-3128</t>
  </si>
  <si>
    <t>010-8639-1306</t>
  </si>
  <si>
    <t>울산</t>
  </si>
  <si>
    <t>중구</t>
  </si>
  <si>
    <t>010-4020-6930</t>
  </si>
  <si>
    <t>강원</t>
  </si>
  <si>
    <t>영월군</t>
  </si>
  <si>
    <t>010-8500-0323</t>
  </si>
  <si>
    <t>010-668-0360</t>
  </si>
  <si>
    <t>010-8246-2326</t>
  </si>
  <si>
    <t>남구</t>
  </si>
  <si>
    <t>010-9748-1199</t>
  </si>
  <si>
    <t>010-5044-2407</t>
  </si>
  <si>
    <t>2년</t>
  </si>
  <si>
    <t>010-4563-7628</t>
  </si>
  <si>
    <t>해운대구</t>
  </si>
  <si>
    <t>신종우</t>
  </si>
  <si>
    <t>이건수</t>
  </si>
  <si>
    <t>한지용</t>
  </si>
  <si>
    <t>성희현</t>
  </si>
  <si>
    <t>김수응</t>
  </si>
  <si>
    <t>김태환</t>
  </si>
  <si>
    <t>이중석</t>
  </si>
  <si>
    <t>장덕근</t>
  </si>
  <si>
    <t>김태진</t>
  </si>
  <si>
    <t>정희성</t>
  </si>
  <si>
    <t>연창언</t>
  </si>
  <si>
    <t>오승우</t>
  </si>
  <si>
    <t>김명섭</t>
  </si>
  <si>
    <t>최광욱</t>
  </si>
  <si>
    <t>박성규</t>
  </si>
  <si>
    <t>박성구</t>
  </si>
  <si>
    <t>931030-1011415</t>
  </si>
  <si>
    <t>720814-1920518</t>
  </si>
  <si>
    <t>911120-1141119</t>
  </si>
  <si>
    <t>721128-1109317</t>
  </si>
  <si>
    <t>690929-1010221</t>
  </si>
  <si>
    <t>911022-1011018</t>
  </si>
  <si>
    <t>630807-1803111</t>
  </si>
  <si>
    <t>650626-1018425</t>
  </si>
  <si>
    <t>670227-1817114</t>
  </si>
  <si>
    <t>770721-1068928</t>
  </si>
  <si>
    <t>771015-1149913</t>
  </si>
  <si>
    <t>910125-1031014</t>
  </si>
  <si>
    <t>780425-1143720</t>
  </si>
  <si>
    <t>861216-1156429</t>
  </si>
  <si>
    <t>680504-5300891</t>
  </si>
  <si>
    <t>741125-1001716</t>
  </si>
  <si>
    <t>820620-5820020</t>
  </si>
  <si>
    <t>010-6256-1040</t>
  </si>
  <si>
    <t>서울</t>
  </si>
  <si>
    <t>중랑구</t>
  </si>
  <si>
    <t>시티건설</t>
  </si>
  <si>
    <t>신내동 시티프라디움 신축공사</t>
  </si>
  <si>
    <t>010-2443-4083</t>
  </si>
  <si>
    <t>하동군</t>
  </si>
  <si>
    <t>25년</t>
  </si>
  <si>
    <t>010-4491-5893</t>
  </si>
  <si>
    <t>서구</t>
  </si>
  <si>
    <t>010-5756-4281</t>
  </si>
  <si>
    <t>동래구</t>
  </si>
  <si>
    <t>010-3547-4776</t>
  </si>
  <si>
    <t>용인시</t>
  </si>
  <si>
    <t>010-3944-4374</t>
  </si>
  <si>
    <t>남동구</t>
  </si>
  <si>
    <t>010-3709-4685</t>
  </si>
  <si>
    <t>010-5315-6226</t>
  </si>
  <si>
    <t>계양구</t>
  </si>
  <si>
    <t>010-2786-4033</t>
  </si>
  <si>
    <t>010-5410-6412</t>
  </si>
  <si>
    <t>미추홀구</t>
  </si>
  <si>
    <t>010-7770-5154</t>
  </si>
  <si>
    <t>010-5878-1125</t>
  </si>
  <si>
    <t>구로구</t>
  </si>
  <si>
    <t>010-8009-8629</t>
  </si>
  <si>
    <t>연수구</t>
  </si>
  <si>
    <t>010-4325-5652</t>
  </si>
  <si>
    <t>010-3921-1507</t>
  </si>
  <si>
    <t>010-7714-0543</t>
  </si>
  <si>
    <t>010-9511-6456</t>
  </si>
  <si>
    <t>15년</t>
  </si>
  <si>
    <t>15년</t>
    <phoneticPr fontId="4" type="noConversion"/>
  </si>
  <si>
    <t>200,000</t>
  </si>
  <si>
    <t>강경진</t>
  </si>
  <si>
    <t>700716-1454819</t>
  </si>
  <si>
    <t>210,000</t>
  </si>
  <si>
    <t>010-5337-3274</t>
  </si>
  <si>
    <t>220,000</t>
  </si>
  <si>
    <t>230,000</t>
  </si>
  <si>
    <t>강동길</t>
  </si>
  <si>
    <t>731219-1930611</t>
  </si>
  <si>
    <t>010-3276-2131</t>
  </si>
  <si>
    <t>880409-1170112</t>
  </si>
  <si>
    <t>강민구</t>
  </si>
  <si>
    <t>강민석</t>
  </si>
  <si>
    <t>730827-1019532</t>
  </si>
  <si>
    <t>010-4851-6422</t>
  </si>
  <si>
    <t>670624-1548522</t>
  </si>
  <si>
    <t>010-3153-6190</t>
  </si>
  <si>
    <t>강민우</t>
  </si>
  <si>
    <t>770922-1106114</t>
  </si>
  <si>
    <t>010-8950-0880</t>
  </si>
  <si>
    <t>강상욱</t>
  </si>
  <si>
    <t>750427-1177810</t>
  </si>
  <si>
    <t>010-8919-0695</t>
  </si>
  <si>
    <t>920507-5100041</t>
  </si>
  <si>
    <t>010-9095-0497</t>
  </si>
  <si>
    <t>강윤석</t>
  </si>
  <si>
    <t>010-7103-8490</t>
  </si>
  <si>
    <t>강종우</t>
  </si>
  <si>
    <t>810723-1144013</t>
  </si>
  <si>
    <t>010-7400-0018</t>
  </si>
  <si>
    <t>강준</t>
  </si>
  <si>
    <t>000711-3183212</t>
  </si>
  <si>
    <t>010-4663-3270</t>
  </si>
  <si>
    <t>강진모</t>
  </si>
  <si>
    <t>940911-1158511</t>
  </si>
  <si>
    <t>010-2783-2264</t>
  </si>
  <si>
    <t>강진석</t>
  </si>
  <si>
    <t>850513-1143618</t>
  </si>
  <si>
    <t>010-8686-1014</t>
  </si>
  <si>
    <t>강태길</t>
  </si>
  <si>
    <t>940226-1152721</t>
  </si>
  <si>
    <t>010-6323-0564</t>
  </si>
  <si>
    <t>강태원</t>
  </si>
  <si>
    <t>811115-1057114</t>
  </si>
  <si>
    <t>010-6371-8310</t>
  </si>
  <si>
    <t>강한규</t>
  </si>
  <si>
    <t>680621-1453011</t>
  </si>
  <si>
    <t>010-3776-7384</t>
  </si>
  <si>
    <t>강호신</t>
  </si>
  <si>
    <t>770407-1011415</t>
  </si>
  <si>
    <t>010-9364-0276</t>
  </si>
  <si>
    <t>김재성</t>
  </si>
  <si>
    <t>고민승</t>
  </si>
  <si>
    <t>010-8887-6133</t>
  </si>
  <si>
    <t>고상용</t>
  </si>
  <si>
    <t>721214-1017518</t>
  </si>
  <si>
    <t>010-6485-3917</t>
  </si>
  <si>
    <t>고상인</t>
  </si>
  <si>
    <t>630409-1233521</t>
  </si>
  <si>
    <t>010-8766-8212</t>
  </si>
  <si>
    <t>고석출</t>
  </si>
  <si>
    <t>591015-5102493</t>
  </si>
  <si>
    <t>010-6655-9850</t>
  </si>
  <si>
    <t>고영일</t>
  </si>
  <si>
    <t>010-4730-3885</t>
  </si>
  <si>
    <t>고용석</t>
  </si>
  <si>
    <t>851203-1018411</t>
  </si>
  <si>
    <t>010-3692-6782</t>
  </si>
  <si>
    <t>고원석</t>
  </si>
  <si>
    <t>곽원호</t>
  </si>
  <si>
    <t>710823-1093119</t>
  </si>
  <si>
    <t>010-8370-4694</t>
  </si>
  <si>
    <t>곽은철</t>
  </si>
  <si>
    <t>841103-1163810</t>
  </si>
  <si>
    <t>010-4000-0452</t>
  </si>
  <si>
    <t>구인기</t>
  </si>
  <si>
    <t>741015-1495812</t>
  </si>
  <si>
    <t>010-9449-7021</t>
  </si>
  <si>
    <t>권대엽</t>
  </si>
  <si>
    <t>권성훈</t>
  </si>
  <si>
    <t>780326-1536617</t>
  </si>
  <si>
    <t>010-9134-2240</t>
  </si>
  <si>
    <t>권순영</t>
  </si>
  <si>
    <t>010-7563-7539</t>
  </si>
  <si>
    <t>권순철</t>
  </si>
  <si>
    <t>870530-1473535</t>
  </si>
  <si>
    <t>010-4656-4831</t>
  </si>
  <si>
    <t>770220-2386313</t>
  </si>
  <si>
    <t>권정인</t>
  </si>
  <si>
    <t>750120-2781426</t>
  </si>
  <si>
    <t>010-8863-2803</t>
  </si>
  <si>
    <t>권주</t>
  </si>
  <si>
    <t>860103-5140012</t>
  </si>
  <si>
    <t>010-2084-7976</t>
  </si>
  <si>
    <t>권태현</t>
  </si>
  <si>
    <t>010-2837-8954</t>
  </si>
  <si>
    <t>권혁기</t>
  </si>
  <si>
    <t>790519-1025526</t>
  </si>
  <si>
    <t>010-8960-9964</t>
  </si>
  <si>
    <t>김강남</t>
  </si>
  <si>
    <t>870120-1009522</t>
  </si>
  <si>
    <t>010-3891-8171</t>
  </si>
  <si>
    <t>김건우</t>
  </si>
  <si>
    <t>010-7174-7639</t>
  </si>
  <si>
    <t>000927-3222124</t>
  </si>
  <si>
    <t>010-3682-4003</t>
  </si>
  <si>
    <t>김경수</t>
  </si>
  <si>
    <t>김경신</t>
  </si>
  <si>
    <t>951226-1055719</t>
  </si>
  <si>
    <t>010-8969-8037</t>
  </si>
  <si>
    <t>김경훈</t>
  </si>
  <si>
    <t>860808-1162614</t>
  </si>
  <si>
    <t>010-2688-8677</t>
  </si>
  <si>
    <t>690707-1178329</t>
  </si>
  <si>
    <t>010-9024-2158</t>
  </si>
  <si>
    <t>김광기</t>
  </si>
  <si>
    <t>770812-1651011</t>
  </si>
  <si>
    <t>010-8639-1334</t>
  </si>
  <si>
    <t>김광호</t>
  </si>
  <si>
    <t>김권일</t>
  </si>
  <si>
    <t>770306-5780196</t>
  </si>
  <si>
    <t>010-3994-3615</t>
  </si>
  <si>
    <t>김기섭</t>
  </si>
  <si>
    <t>660103-1772813</t>
  </si>
  <si>
    <t>김기수</t>
  </si>
  <si>
    <t>790218-1805316</t>
  </si>
  <si>
    <t>010-4108-8058</t>
  </si>
  <si>
    <t>김기용</t>
  </si>
  <si>
    <t>770730-1067921</t>
  </si>
  <si>
    <t>010-3227-7617</t>
  </si>
  <si>
    <t>김기태</t>
  </si>
  <si>
    <t>010-6227-9983</t>
  </si>
  <si>
    <t>김기현</t>
  </si>
  <si>
    <t>710105-1010912</t>
  </si>
  <si>
    <t>김기후</t>
  </si>
  <si>
    <t>780129-1036811</t>
  </si>
  <si>
    <t>010-8944-2446</t>
  </si>
  <si>
    <t>김남현</t>
  </si>
  <si>
    <t>010-5555-1082</t>
  </si>
  <si>
    <t>김대권</t>
  </si>
  <si>
    <t>600911-1051515</t>
  </si>
  <si>
    <t>010-9133-3270</t>
  </si>
  <si>
    <t>김대범</t>
  </si>
  <si>
    <t>781130-1257816</t>
  </si>
  <si>
    <t>010-2978-0278</t>
  </si>
  <si>
    <t>970718-1748115</t>
  </si>
  <si>
    <t>김도현</t>
  </si>
  <si>
    <t>980616-1106218</t>
  </si>
  <si>
    <t>010-9007-9244</t>
  </si>
  <si>
    <t>730218-1058027</t>
  </si>
  <si>
    <t>010-3239-6737</t>
  </si>
  <si>
    <t>김동신</t>
  </si>
  <si>
    <t>650712-1652619</t>
  </si>
  <si>
    <t>010-8502-5698</t>
  </si>
  <si>
    <t>010-5282-5083</t>
  </si>
  <si>
    <t>870311-1041511</t>
  </si>
  <si>
    <t>010-3583-8598</t>
  </si>
  <si>
    <t>020614-3055023</t>
  </si>
  <si>
    <t>010-3707-5364</t>
  </si>
  <si>
    <t>김동준</t>
  </si>
  <si>
    <t>010-9725-9575</t>
  </si>
  <si>
    <t>김동진</t>
  </si>
  <si>
    <t>640422-1143214</t>
  </si>
  <si>
    <t>010-5221-3148</t>
  </si>
  <si>
    <t>김동필</t>
  </si>
  <si>
    <t>700828-1691025</t>
  </si>
  <si>
    <t>010-3093-9992</t>
  </si>
  <si>
    <t>김민규</t>
  </si>
  <si>
    <t>010-8077-2351</t>
  </si>
  <si>
    <t>820301-1105210</t>
  </si>
  <si>
    <t>010-5064-4885</t>
  </si>
  <si>
    <t>김민섭</t>
  </si>
  <si>
    <t>980911-1077219</t>
  </si>
  <si>
    <t>4,000,000</t>
  </si>
  <si>
    <t>010-6294-9452</t>
  </si>
  <si>
    <t>010-9315-5527</t>
  </si>
  <si>
    <t>김민재</t>
  </si>
  <si>
    <t>980712-1909119</t>
  </si>
  <si>
    <t>010-4803-9429</t>
  </si>
  <si>
    <t>김민철</t>
  </si>
  <si>
    <t>890714-1052813</t>
  </si>
  <si>
    <t>010-3612-4639</t>
  </si>
  <si>
    <t>김민형</t>
  </si>
  <si>
    <t>850712-1056411</t>
  </si>
  <si>
    <t>010-2301-6712</t>
  </si>
  <si>
    <t>김병석</t>
  </si>
  <si>
    <t>김상혁</t>
  </si>
  <si>
    <t>880424-1813012</t>
  </si>
  <si>
    <t>010-3500-3042</t>
  </si>
  <si>
    <t>김선권</t>
  </si>
  <si>
    <t>010-3427-2123</t>
  </si>
  <si>
    <t>김선규</t>
  </si>
  <si>
    <t>920206-1011928</t>
  </si>
  <si>
    <t>010-3875-2478</t>
  </si>
  <si>
    <t>김선동</t>
  </si>
  <si>
    <t>010-3011-5422</t>
  </si>
  <si>
    <t>김성규</t>
  </si>
  <si>
    <t>010-5370-8753</t>
  </si>
  <si>
    <t>김성민</t>
  </si>
  <si>
    <t>860821-1231511</t>
  </si>
  <si>
    <t>010-3939-3552</t>
  </si>
  <si>
    <t>김성우</t>
  </si>
  <si>
    <t>720210-1047415</t>
  </si>
  <si>
    <t>5,500,000</t>
  </si>
  <si>
    <t>010-5580-5264</t>
  </si>
  <si>
    <t>김성훈</t>
  </si>
  <si>
    <t>580912-1644625</t>
  </si>
  <si>
    <t>김세연</t>
  </si>
  <si>
    <t>800311-2068115</t>
  </si>
  <si>
    <t>010-3782-0224</t>
  </si>
  <si>
    <t>김세해</t>
  </si>
  <si>
    <t>710517-5100057</t>
  </si>
  <si>
    <t>010-5449-5198</t>
  </si>
  <si>
    <t>김수민</t>
  </si>
  <si>
    <t>970327-1026131</t>
  </si>
  <si>
    <t>010-5262-0297</t>
  </si>
  <si>
    <t>김순창</t>
  </si>
  <si>
    <t>830725-1163014</t>
  </si>
  <si>
    <t>010-2994-5364</t>
  </si>
  <si>
    <t>김순태</t>
  </si>
  <si>
    <t>010-5314-7056</t>
  </si>
  <si>
    <t>김승규</t>
  </si>
  <si>
    <t>710515-1925119</t>
  </si>
  <si>
    <t>010-3792-0409</t>
  </si>
  <si>
    <t>김승식</t>
  </si>
  <si>
    <t>760203-1637023</t>
  </si>
  <si>
    <t>010-9074-9804</t>
  </si>
  <si>
    <t>김승욱</t>
  </si>
  <si>
    <t>001207-3153529</t>
  </si>
  <si>
    <t>010-7225-6895</t>
  </si>
  <si>
    <t>김영규</t>
  </si>
  <si>
    <t>010-5116-0263</t>
  </si>
  <si>
    <t>840302-1546418</t>
  </si>
  <si>
    <t>김영수</t>
  </si>
  <si>
    <t>김영식</t>
  </si>
  <si>
    <t>760414-1637316</t>
  </si>
  <si>
    <t>010-3181-2789</t>
  </si>
  <si>
    <t>김영일</t>
  </si>
  <si>
    <t>010-9476-2998</t>
  </si>
  <si>
    <t>김영춘</t>
  </si>
  <si>
    <t>610419-1644017</t>
  </si>
  <si>
    <t>010-3390-0994</t>
  </si>
  <si>
    <t>김영하</t>
  </si>
  <si>
    <t>701112-1467038</t>
  </si>
  <si>
    <t>010-3935-8304</t>
  </si>
  <si>
    <t>김영현</t>
  </si>
  <si>
    <t>940126-1235119</t>
  </si>
  <si>
    <t>010-6247-9747</t>
  </si>
  <si>
    <t>680630-1079522</t>
  </si>
  <si>
    <t>010-3345-3004</t>
  </si>
  <si>
    <t>김영회</t>
  </si>
  <si>
    <t>691122-1321325</t>
  </si>
  <si>
    <t>010-3702-0425</t>
  </si>
  <si>
    <t>김영효</t>
  </si>
  <si>
    <t>김옥수</t>
  </si>
  <si>
    <t>690128-1536612</t>
  </si>
  <si>
    <t>010-9375-6729</t>
  </si>
  <si>
    <t>김완수</t>
  </si>
  <si>
    <t>590215-1038032</t>
  </si>
  <si>
    <t>010-2208-0192</t>
  </si>
  <si>
    <t>770513-5101491</t>
  </si>
  <si>
    <t>010-2378-2666</t>
  </si>
  <si>
    <t>김용관</t>
  </si>
  <si>
    <t>810828-1229617</t>
  </si>
  <si>
    <t>010-8752-3309</t>
  </si>
  <si>
    <t>010-9140-5674</t>
  </si>
  <si>
    <t>김용백</t>
  </si>
  <si>
    <t>010-8322-9520</t>
  </si>
  <si>
    <t>김용복</t>
  </si>
  <si>
    <t>640313-1148919</t>
  </si>
  <si>
    <t>010-5108-9122</t>
  </si>
  <si>
    <t xml:space="preserve"> </t>
  </si>
  <si>
    <t>김용세</t>
  </si>
  <si>
    <t>760323-1330518</t>
  </si>
  <si>
    <t>김용철</t>
  </si>
  <si>
    <t>790323-1222717</t>
  </si>
  <si>
    <t>010-2226-0526</t>
  </si>
  <si>
    <t>김용호</t>
  </si>
  <si>
    <t>720508-5820208</t>
  </si>
  <si>
    <t>010-5220-5929</t>
  </si>
  <si>
    <t>김우민</t>
  </si>
  <si>
    <t>910118-1056521</t>
  </si>
  <si>
    <t>010-6414-2366</t>
  </si>
  <si>
    <t>김원</t>
  </si>
  <si>
    <t>830217-1063525</t>
  </si>
  <si>
    <t>010-9780-1055</t>
  </si>
  <si>
    <t>김은철</t>
  </si>
  <si>
    <t>701120-1058448</t>
  </si>
  <si>
    <t>김은호</t>
  </si>
  <si>
    <t>691115-1468520</t>
  </si>
  <si>
    <t>010-5601-5277</t>
  </si>
  <si>
    <t>김이레</t>
  </si>
  <si>
    <t>950602-1066214</t>
  </si>
  <si>
    <t>010-7773-6982</t>
  </si>
  <si>
    <t>680227-1228618</t>
  </si>
  <si>
    <t>010-4367-4362</t>
  </si>
  <si>
    <t>870508-1141110</t>
  </si>
  <si>
    <t>010-2112-7907</t>
  </si>
  <si>
    <t>김인철</t>
  </si>
  <si>
    <t>570409-1543810</t>
  </si>
  <si>
    <t>010-8764-8688</t>
  </si>
  <si>
    <t>김인화</t>
  </si>
  <si>
    <t>김재명</t>
  </si>
  <si>
    <t>740802-1650616</t>
  </si>
  <si>
    <t>010-5923-6393</t>
  </si>
  <si>
    <t>010-2390-9890</t>
  </si>
  <si>
    <t>김재효</t>
  </si>
  <si>
    <t>841107-1126012</t>
  </si>
  <si>
    <t>010-4955-1784</t>
  </si>
  <si>
    <t>김재희</t>
  </si>
  <si>
    <t>730420-1661411</t>
  </si>
  <si>
    <t>010-9049-8307</t>
  </si>
  <si>
    <t>김점수</t>
  </si>
  <si>
    <t>660127-1927411</t>
  </si>
  <si>
    <t>010-3585-8381</t>
  </si>
  <si>
    <t>김정규</t>
  </si>
  <si>
    <t>900504-1156416</t>
  </si>
  <si>
    <t>010-5461-7730</t>
  </si>
  <si>
    <t>김정제</t>
  </si>
  <si>
    <t>010-9787-0850</t>
  </si>
  <si>
    <t>김정호</t>
  </si>
  <si>
    <t>730725-2412016</t>
  </si>
  <si>
    <t>010-5692-6773</t>
  </si>
  <si>
    <t>김정훈</t>
  </si>
  <si>
    <t>710207-1037517</t>
  </si>
  <si>
    <t>010-3130-0580</t>
  </si>
  <si>
    <t>791110-1067211</t>
  </si>
  <si>
    <t>010-9035-3248</t>
  </si>
  <si>
    <t>김종구</t>
  </si>
  <si>
    <t>910209-1731018</t>
  </si>
  <si>
    <t>010-7660-7341</t>
  </si>
  <si>
    <t>김종만</t>
  </si>
  <si>
    <t>790422-1221210</t>
  </si>
  <si>
    <t>010-2664-5673</t>
  </si>
  <si>
    <t>720402-1655616</t>
  </si>
  <si>
    <t>010-8829-8793</t>
  </si>
  <si>
    <t>김종원</t>
  </si>
  <si>
    <t>800207-1790316</t>
  </si>
  <si>
    <t>010-4630-1422</t>
  </si>
  <si>
    <t>김종태</t>
  </si>
  <si>
    <t>640815-1459818</t>
  </si>
  <si>
    <t>010-4413-6312</t>
  </si>
  <si>
    <t>770411-1019736</t>
  </si>
  <si>
    <t>010-4718-7277</t>
  </si>
  <si>
    <t>김중기</t>
  </si>
  <si>
    <t>671115-1029320</t>
  </si>
  <si>
    <t>010-9923-3536</t>
  </si>
  <si>
    <t>김지우</t>
  </si>
  <si>
    <t>990625-1199121</t>
  </si>
  <si>
    <t>010-8504-8359</t>
  </si>
  <si>
    <t>김지호</t>
  </si>
  <si>
    <t>940407-1059517</t>
  </si>
  <si>
    <t>010-7631-2416</t>
  </si>
  <si>
    <t>김지훈</t>
  </si>
  <si>
    <t>010-8958-0873</t>
  </si>
  <si>
    <t>김진범</t>
  </si>
  <si>
    <t>651206-1006017</t>
  </si>
  <si>
    <t>010-5025-5121</t>
  </si>
  <si>
    <t>김진영</t>
  </si>
  <si>
    <t>700119-1654324</t>
  </si>
  <si>
    <t>010-6601-6344</t>
  </si>
  <si>
    <t>김진오</t>
  </si>
  <si>
    <t>김진우</t>
  </si>
  <si>
    <t>010306-7100020</t>
  </si>
  <si>
    <t>870219-1558721</t>
  </si>
  <si>
    <t>010-9003-0781</t>
  </si>
  <si>
    <t>김차영</t>
  </si>
  <si>
    <t>690810-1622312</t>
  </si>
  <si>
    <t>010-4386-7140</t>
  </si>
  <si>
    <t>김찬호</t>
  </si>
  <si>
    <t>750728-1626212</t>
  </si>
  <si>
    <t>010-6428-2621</t>
  </si>
  <si>
    <t>김찬희</t>
  </si>
  <si>
    <t>700313-1067018</t>
  </si>
  <si>
    <t>010-5473-5741</t>
  </si>
  <si>
    <t>김창훈</t>
  </si>
  <si>
    <t>810515-1552315</t>
  </si>
  <si>
    <t>010-5720-3008</t>
  </si>
  <si>
    <t>김철</t>
  </si>
  <si>
    <t>730504-5200016</t>
  </si>
  <si>
    <t>010-6658-1668</t>
  </si>
  <si>
    <t>800914-1017828</t>
  </si>
  <si>
    <t>010-8756-0008</t>
  </si>
  <si>
    <t>김철영</t>
  </si>
  <si>
    <t>김철호</t>
  </si>
  <si>
    <t>681112-1626213</t>
  </si>
  <si>
    <t>010-3766-8144</t>
  </si>
  <si>
    <t>김춘식</t>
  </si>
  <si>
    <t>700303-1637436</t>
  </si>
  <si>
    <t>010-8998-5397</t>
  </si>
  <si>
    <t>김충석</t>
  </si>
  <si>
    <t>760317-1637418</t>
  </si>
  <si>
    <t>010-9335-7131</t>
  </si>
  <si>
    <t>김태수</t>
  </si>
  <si>
    <t>601121-1406125</t>
  </si>
  <si>
    <t>010-8468-0684</t>
  </si>
  <si>
    <t>김태승</t>
  </si>
  <si>
    <t>951104-1200617</t>
  </si>
  <si>
    <t>010-4143-1624</t>
  </si>
  <si>
    <t>김태언</t>
  </si>
  <si>
    <t>671225-1119831</t>
  </si>
  <si>
    <t>010-7640-6066</t>
  </si>
  <si>
    <t>김태연</t>
  </si>
  <si>
    <t>940220-1042115</t>
  </si>
  <si>
    <t>010-9984-3821</t>
  </si>
  <si>
    <t>김태형</t>
  </si>
  <si>
    <t>840120-1018612</t>
  </si>
  <si>
    <t>010-5397-7800</t>
  </si>
  <si>
    <t>김태훈</t>
  </si>
  <si>
    <t>870524-1121011</t>
  </si>
  <si>
    <t>010-3782-1087</t>
  </si>
  <si>
    <t>김학섭</t>
  </si>
  <si>
    <t>010-5319-8259</t>
  </si>
  <si>
    <t>김학수</t>
  </si>
  <si>
    <t>800107-1453314</t>
  </si>
  <si>
    <t>010-7979-1491</t>
  </si>
  <si>
    <t>940408-1155716</t>
  </si>
  <si>
    <t>010-3803-2565</t>
  </si>
  <si>
    <t>770217-1804919</t>
  </si>
  <si>
    <t>010-3813-9615</t>
  </si>
  <si>
    <t>김현철</t>
  </si>
  <si>
    <t>740820-1528011</t>
  </si>
  <si>
    <t>010-6354-4123</t>
  </si>
  <si>
    <t>김형곤</t>
  </si>
  <si>
    <t>750401-1496418</t>
  </si>
  <si>
    <t>010-2649-2589</t>
  </si>
  <si>
    <t>김형진</t>
  </si>
  <si>
    <t>920122-1151414</t>
  </si>
  <si>
    <t>010-4652-8005</t>
  </si>
  <si>
    <t>광주</t>
  </si>
  <si>
    <t>김환태</t>
  </si>
  <si>
    <t>950130-1056611</t>
  </si>
  <si>
    <t>010-2375-7408</t>
  </si>
  <si>
    <t>830629-1221915</t>
  </si>
  <si>
    <t>010-3894-3294</t>
  </si>
  <si>
    <t>김희동</t>
  </si>
  <si>
    <t>830923-1329119</t>
  </si>
  <si>
    <t>010-7755-4441</t>
  </si>
  <si>
    <t>나광현</t>
  </si>
  <si>
    <t>740105-5102497</t>
  </si>
  <si>
    <t>010-8317-5888</t>
  </si>
  <si>
    <t>나석주</t>
  </si>
  <si>
    <t>730122-1258813</t>
  </si>
  <si>
    <t>010-3724-1825</t>
  </si>
  <si>
    <t>나성조</t>
  </si>
  <si>
    <t>730510-1392515</t>
  </si>
  <si>
    <t>010-8653-5869</t>
  </si>
  <si>
    <t>나태형</t>
  </si>
  <si>
    <t>900204-1508613</t>
  </si>
  <si>
    <t>010-4786-8965</t>
  </si>
  <si>
    <t>남춘섭</t>
  </si>
  <si>
    <t>630504-1347624</t>
  </si>
  <si>
    <t>010-4353-1100</t>
  </si>
  <si>
    <t>남치원</t>
  </si>
  <si>
    <t>630129-1634417</t>
  </si>
  <si>
    <t>010-3994-8327</t>
  </si>
  <si>
    <t>노형재</t>
  </si>
  <si>
    <t>750906-1546211</t>
  </si>
  <si>
    <t>010-5381-7481</t>
  </si>
  <si>
    <t>노홍래</t>
  </si>
  <si>
    <t>701115-1659322</t>
  </si>
  <si>
    <t>010-8324-0418</t>
  </si>
  <si>
    <t>노희순</t>
  </si>
  <si>
    <t>010-2857-0185</t>
  </si>
  <si>
    <t>량춘연</t>
  </si>
  <si>
    <t>790411-6640011</t>
  </si>
  <si>
    <t>류대우</t>
  </si>
  <si>
    <t>700110-1674328</t>
  </si>
  <si>
    <t>010-5787-5414</t>
  </si>
  <si>
    <t>류종욱</t>
  </si>
  <si>
    <t>930222-1065113</t>
  </si>
  <si>
    <t>010-8131-0422</t>
  </si>
  <si>
    <t>류철선</t>
  </si>
  <si>
    <t>010-2575-3604</t>
  </si>
  <si>
    <t>마영수</t>
  </si>
  <si>
    <t>620909-1056318</t>
  </si>
  <si>
    <t>010-8957-8085</t>
  </si>
  <si>
    <t>명노원</t>
  </si>
  <si>
    <t>791002-1637214</t>
  </si>
  <si>
    <t>010-4547-7132</t>
  </si>
  <si>
    <t>910331-1207018</t>
  </si>
  <si>
    <t>010-9304-7330</t>
  </si>
  <si>
    <t>문대준</t>
  </si>
  <si>
    <t>671117-1522229</t>
  </si>
  <si>
    <t>010-4708-2293</t>
  </si>
  <si>
    <t>문순태</t>
  </si>
  <si>
    <t>680105-1109727</t>
  </si>
  <si>
    <t>010-3343-6609</t>
  </si>
  <si>
    <t>841026-1117812</t>
  </si>
  <si>
    <t>830221-1117848</t>
  </si>
  <si>
    <t>문원규</t>
  </si>
  <si>
    <t>910219-1170321</t>
  </si>
  <si>
    <t>810404-1411619</t>
  </si>
  <si>
    <t>010-4258-9911</t>
  </si>
  <si>
    <t>문진수</t>
  </si>
  <si>
    <t>960607-1471817</t>
  </si>
  <si>
    <t>010-9547-6593</t>
  </si>
  <si>
    <t>민경후</t>
  </si>
  <si>
    <t>730825-1031310</t>
  </si>
  <si>
    <t>010-4540-8547</t>
  </si>
  <si>
    <t>950410-1555011</t>
  </si>
  <si>
    <t>010-5140-4391</t>
  </si>
  <si>
    <t>박근식</t>
  </si>
  <si>
    <t>800219-1113719</t>
  </si>
  <si>
    <t>010-6479-2221</t>
  </si>
  <si>
    <t>841222-1912315</t>
  </si>
  <si>
    <t>박기용</t>
  </si>
  <si>
    <t>010-6563-9094</t>
  </si>
  <si>
    <t>박노진</t>
  </si>
  <si>
    <t>010-2463-0517</t>
  </si>
  <si>
    <t>010-3223-9948</t>
  </si>
  <si>
    <t>박도원</t>
  </si>
  <si>
    <t>제주</t>
  </si>
  <si>
    <t>박동욱</t>
  </si>
  <si>
    <t>700628-1162012</t>
  </si>
  <si>
    <t>010-9846-9847</t>
  </si>
  <si>
    <t>박명</t>
  </si>
  <si>
    <t>010-8739-3230</t>
  </si>
  <si>
    <t>박민호</t>
  </si>
  <si>
    <t>박상걸</t>
  </si>
  <si>
    <t>790719-1253718</t>
  </si>
  <si>
    <t>010-4166-6227</t>
  </si>
  <si>
    <t>박상우</t>
  </si>
  <si>
    <t>930917-1042715</t>
  </si>
  <si>
    <t>010-9321-0917</t>
  </si>
  <si>
    <t>박상욱</t>
  </si>
  <si>
    <t>010-5923-8085</t>
  </si>
  <si>
    <t>박상준</t>
  </si>
  <si>
    <t>720710-1121617</t>
  </si>
  <si>
    <t>010-9391-4984</t>
  </si>
  <si>
    <t>박성찬</t>
  </si>
  <si>
    <t>721126-5220300</t>
  </si>
  <si>
    <t>010-8886-9577</t>
  </si>
  <si>
    <t>박송걸</t>
  </si>
  <si>
    <t>010-9264-5676</t>
  </si>
  <si>
    <t>박수봉</t>
  </si>
  <si>
    <t>880201-5920033</t>
  </si>
  <si>
    <t>010-2828-9316</t>
  </si>
  <si>
    <t>박순걸</t>
  </si>
  <si>
    <t>680924-5140592</t>
  </si>
  <si>
    <t>010-9598-8109</t>
  </si>
  <si>
    <t>박승섭</t>
  </si>
  <si>
    <t>730620-1932522</t>
  </si>
  <si>
    <t>010-7510-8298</t>
  </si>
  <si>
    <t>881209-1023117</t>
  </si>
  <si>
    <t>010-5021-7519</t>
  </si>
  <si>
    <t>박신영</t>
  </si>
  <si>
    <t>810218-1036217</t>
  </si>
  <si>
    <t>박억용</t>
  </si>
  <si>
    <t>600302-1406221</t>
  </si>
  <si>
    <t>010-3404-1022</t>
  </si>
  <si>
    <t>박연민</t>
  </si>
  <si>
    <t>780208-5760019</t>
  </si>
  <si>
    <t>010-3069-3820</t>
  </si>
  <si>
    <t>박연수</t>
  </si>
  <si>
    <t>830101-1622428</t>
  </si>
  <si>
    <t>010-3431-3309</t>
  </si>
  <si>
    <t>박예만</t>
  </si>
  <si>
    <t>881220-1156015</t>
  </si>
  <si>
    <t>010-2400-8866</t>
  </si>
  <si>
    <t>박예하</t>
  </si>
  <si>
    <t>690209-1247911</t>
  </si>
  <si>
    <t>010-2746-0045</t>
  </si>
  <si>
    <t>640419-1652717</t>
  </si>
  <si>
    <t>010-2201-4315</t>
  </si>
  <si>
    <t>박용건</t>
  </si>
  <si>
    <t>770217-1031319</t>
  </si>
  <si>
    <t>010-5410-3420</t>
  </si>
  <si>
    <t>800718-1394612</t>
  </si>
  <si>
    <t>010-8642-1692</t>
  </si>
  <si>
    <t>박운기</t>
  </si>
  <si>
    <t>880218-1238911</t>
  </si>
  <si>
    <t>010-7153-6843</t>
  </si>
  <si>
    <t>박유진</t>
  </si>
  <si>
    <t>601201-1918513</t>
  </si>
  <si>
    <t>010-5261-4823</t>
  </si>
  <si>
    <t>박장순</t>
  </si>
  <si>
    <t>820118-1460927</t>
  </si>
  <si>
    <t>010-5556-5972</t>
  </si>
  <si>
    <t>박재용</t>
  </si>
  <si>
    <t>721011-1041522</t>
  </si>
  <si>
    <t>010-5568-5671</t>
  </si>
  <si>
    <t>박재욱</t>
  </si>
  <si>
    <t>650429-1036518</t>
  </si>
  <si>
    <t>010-9172-1503</t>
  </si>
  <si>
    <t>박재일</t>
  </si>
  <si>
    <t>730107-1774712</t>
  </si>
  <si>
    <t>010-5352-4099</t>
  </si>
  <si>
    <t>박재호</t>
  </si>
  <si>
    <t>870610-5760108</t>
  </si>
  <si>
    <t>010-9623-8787</t>
  </si>
  <si>
    <t>박재환</t>
  </si>
  <si>
    <t>750116-1912328</t>
  </si>
  <si>
    <t>010-9599-0790</t>
  </si>
  <si>
    <t>831211-1455112</t>
  </si>
  <si>
    <t>010-3444-7304</t>
  </si>
  <si>
    <t>박정환</t>
  </si>
  <si>
    <t>001117-3184215</t>
  </si>
  <si>
    <t>010-7137-5404</t>
  </si>
  <si>
    <t>박종규</t>
  </si>
  <si>
    <t>박종찬</t>
  </si>
  <si>
    <t>681219-1536616</t>
  </si>
  <si>
    <t>010-9446-9237</t>
  </si>
  <si>
    <t>박주형</t>
  </si>
  <si>
    <t>650616-1536213</t>
  </si>
  <si>
    <t>010-5319-4579</t>
  </si>
  <si>
    <t>박준석</t>
  </si>
  <si>
    <t>830610-1567418</t>
  </si>
  <si>
    <t>010-9173-1408</t>
  </si>
  <si>
    <t>박진국</t>
  </si>
  <si>
    <t>740228-1668910</t>
  </si>
  <si>
    <t>010-9192-2061</t>
  </si>
  <si>
    <t>박진연</t>
  </si>
  <si>
    <t>750513-1772421</t>
  </si>
  <si>
    <t>010-8349-5916</t>
  </si>
  <si>
    <t>950307-1691514</t>
  </si>
  <si>
    <t>박찬선</t>
  </si>
  <si>
    <t>박창명</t>
  </si>
  <si>
    <t>630220-1474515</t>
  </si>
  <si>
    <t>010-3156-2367</t>
  </si>
  <si>
    <t>박해웅</t>
  </si>
  <si>
    <t>670427-1639411</t>
  </si>
  <si>
    <t>010-5443-9120</t>
  </si>
  <si>
    <t>811007-1150518</t>
  </si>
  <si>
    <t>박홍주</t>
  </si>
  <si>
    <t>660509-1663216</t>
  </si>
  <si>
    <t>010-9807-8862</t>
  </si>
  <si>
    <t>반채문</t>
  </si>
  <si>
    <t>660725-1392624</t>
  </si>
  <si>
    <t>010-5239-8136</t>
  </si>
  <si>
    <t>방신형</t>
  </si>
  <si>
    <t>840302-1670411</t>
  </si>
  <si>
    <t>010-9995-0450</t>
  </si>
  <si>
    <t>방현우</t>
  </si>
  <si>
    <t>950404-1455714</t>
  </si>
  <si>
    <t>010-5667-1185</t>
  </si>
  <si>
    <t>801215-1853011</t>
  </si>
  <si>
    <t>배경훈</t>
  </si>
  <si>
    <t>770729-1912817</t>
  </si>
  <si>
    <t>010-4575-9051</t>
  </si>
  <si>
    <t>배규남</t>
  </si>
  <si>
    <t>630526-1398912</t>
  </si>
  <si>
    <t>010-7398-5833</t>
  </si>
  <si>
    <t>배기정</t>
  </si>
  <si>
    <t>930828-1218726</t>
  </si>
  <si>
    <t>010-3708-0838</t>
  </si>
  <si>
    <t>배기준</t>
  </si>
  <si>
    <t>940531-1148511</t>
  </si>
  <si>
    <t>010-2307-2829</t>
  </si>
  <si>
    <t>백순찬</t>
  </si>
  <si>
    <t>790816-1224918</t>
  </si>
  <si>
    <t>010-4430-5941</t>
  </si>
  <si>
    <t>백승욱</t>
  </si>
  <si>
    <t>860913-1163522</t>
  </si>
  <si>
    <t>010-9394-8609</t>
  </si>
  <si>
    <t>백승일</t>
  </si>
  <si>
    <t>930910-1163528</t>
  </si>
  <si>
    <t>010-6732-3226</t>
  </si>
  <si>
    <t>서경배</t>
  </si>
  <si>
    <t>630914-1559926</t>
  </si>
  <si>
    <t>010-4117-5500</t>
  </si>
  <si>
    <t>서동민</t>
  </si>
  <si>
    <t>730107-1182811</t>
  </si>
  <si>
    <t>010-8927-7217</t>
  </si>
  <si>
    <t>서성필</t>
  </si>
  <si>
    <t>751105-1659324</t>
  </si>
  <si>
    <t>010-5445-2477</t>
  </si>
  <si>
    <t>서인기</t>
  </si>
  <si>
    <t>740125-1168113</t>
  </si>
  <si>
    <t>010-3861-5971</t>
  </si>
  <si>
    <t>서준혁</t>
  </si>
  <si>
    <t>991129-1070019</t>
  </si>
  <si>
    <t>010-7754-4396</t>
  </si>
  <si>
    <t>서혁준</t>
  </si>
  <si>
    <t>910313-1012217</t>
  </si>
  <si>
    <t>010-3996-0130</t>
  </si>
  <si>
    <t>서호원</t>
  </si>
  <si>
    <t>621215-1347930</t>
  </si>
  <si>
    <t>010-3399-3328</t>
  </si>
  <si>
    <t>석덕수</t>
  </si>
  <si>
    <t>941223-1415011</t>
  </si>
  <si>
    <t>010-2449-3069</t>
  </si>
  <si>
    <t>석준수</t>
  </si>
  <si>
    <t>750925-1183413</t>
  </si>
  <si>
    <t>010-2259-6816</t>
  </si>
  <si>
    <t>설명석</t>
  </si>
  <si>
    <t>951030-1585415</t>
  </si>
  <si>
    <t>010-7686-8220</t>
  </si>
  <si>
    <t>성경웅</t>
  </si>
  <si>
    <t>690424-1805212</t>
  </si>
  <si>
    <t>010-5099-9847</t>
  </si>
  <si>
    <t>성낙원</t>
  </si>
  <si>
    <t>621018-1450923</t>
  </si>
  <si>
    <t>010-3711-2969</t>
  </si>
  <si>
    <t>성민호</t>
  </si>
  <si>
    <t>810715-1017721</t>
  </si>
  <si>
    <t>010-8957-9200</t>
  </si>
  <si>
    <t>성승현</t>
  </si>
  <si>
    <t>640127-1055329</t>
  </si>
  <si>
    <t>010-8424-4641</t>
  </si>
  <si>
    <t>성시선</t>
  </si>
  <si>
    <t>710825-1402913</t>
  </si>
  <si>
    <t>성용현</t>
  </si>
  <si>
    <t>770110-1053116</t>
  </si>
  <si>
    <t>010-8592-2552</t>
  </si>
  <si>
    <t>성장현</t>
  </si>
  <si>
    <t>790614-1053112</t>
  </si>
  <si>
    <t>010-3488-3441</t>
  </si>
  <si>
    <t>성혁제</t>
  </si>
  <si>
    <t>000929-3075115</t>
  </si>
  <si>
    <t>010-2628-4075</t>
  </si>
  <si>
    <t>세이프시스템</t>
  </si>
  <si>
    <t>손동호</t>
  </si>
  <si>
    <t>손병태</t>
  </si>
  <si>
    <t>680806-5100495</t>
  </si>
  <si>
    <t>010-8623-7386</t>
  </si>
  <si>
    <t>손영일</t>
  </si>
  <si>
    <t>720923-1221316</t>
  </si>
  <si>
    <t>010-3360-3171</t>
  </si>
  <si>
    <t>손인호</t>
  </si>
  <si>
    <t>720320-1455715</t>
  </si>
  <si>
    <t>010-4318-3282</t>
  </si>
  <si>
    <t>손지수</t>
  </si>
  <si>
    <t>950115-1058711</t>
  </si>
  <si>
    <t>010-8821-7773</t>
  </si>
  <si>
    <t>손철규</t>
  </si>
  <si>
    <t>691113-1326614</t>
  </si>
  <si>
    <t>010-2257-6003</t>
  </si>
  <si>
    <t>송경천</t>
  </si>
  <si>
    <t>810217-1119712</t>
  </si>
  <si>
    <t>010-3395-1720</t>
  </si>
  <si>
    <t>송광필</t>
  </si>
  <si>
    <t>740421-1822912</t>
  </si>
  <si>
    <t>010-5334-3536</t>
  </si>
  <si>
    <t>송석빈</t>
  </si>
  <si>
    <t>910514-1395311</t>
  </si>
  <si>
    <t>010-9955-9097</t>
  </si>
  <si>
    <t>910118-1024911</t>
  </si>
  <si>
    <t>010-4034-6786</t>
  </si>
  <si>
    <t>701128-1222416</t>
  </si>
  <si>
    <t>010-3084-3579</t>
  </si>
  <si>
    <t>630409-1093618</t>
  </si>
  <si>
    <t>송철완</t>
  </si>
  <si>
    <t>960513-1850329</t>
  </si>
  <si>
    <t>010-7713-4268</t>
  </si>
  <si>
    <t>송헌</t>
  </si>
  <si>
    <t>610819-1058314</t>
  </si>
  <si>
    <t>010-8766-7392</t>
  </si>
  <si>
    <t>송형준</t>
  </si>
  <si>
    <t>610712-1621618</t>
  </si>
  <si>
    <t>010-7266-7391</t>
  </si>
  <si>
    <t>861022-1069127</t>
  </si>
  <si>
    <t>010-9975-3709</t>
  </si>
  <si>
    <t>630709-1332912</t>
  </si>
  <si>
    <t>010-6221-4174</t>
  </si>
  <si>
    <t>신덕진</t>
  </si>
  <si>
    <t>871228-1235320</t>
  </si>
  <si>
    <t>010-6666-3216</t>
  </si>
  <si>
    <t>신동훈</t>
  </si>
  <si>
    <t>790109-1042621</t>
  </si>
  <si>
    <t>010-9181-0808</t>
  </si>
  <si>
    <t>신재호</t>
  </si>
  <si>
    <t>660724-5120194</t>
  </si>
  <si>
    <t>010-2486-1698</t>
  </si>
  <si>
    <t>신주연</t>
  </si>
  <si>
    <t>670907-1390717</t>
  </si>
  <si>
    <t>010-5467-9272</t>
  </si>
  <si>
    <t>신준영</t>
  </si>
  <si>
    <t>840222-1187734</t>
  </si>
  <si>
    <t>010-3805-7580</t>
  </si>
  <si>
    <t>신준재</t>
  </si>
  <si>
    <t>851001-1252415</t>
  </si>
  <si>
    <t>010-9949-4863</t>
  </si>
  <si>
    <t>신하영</t>
  </si>
  <si>
    <t>681028-1056928</t>
  </si>
  <si>
    <t>010-2490-6880</t>
  </si>
  <si>
    <t>신학민</t>
  </si>
  <si>
    <t>781029-1537113</t>
  </si>
  <si>
    <t>010-3942-4060</t>
  </si>
  <si>
    <t>신효식</t>
  </si>
  <si>
    <t>720615-1167546</t>
  </si>
  <si>
    <t>010-4336-0602</t>
  </si>
  <si>
    <t>심경태</t>
  </si>
  <si>
    <t>700125-1173415</t>
  </si>
  <si>
    <t>010-8662-9417</t>
  </si>
  <si>
    <t>심봉학</t>
  </si>
  <si>
    <t>690228-1279435</t>
  </si>
  <si>
    <t>010-9378-3340</t>
  </si>
  <si>
    <t>심충보</t>
  </si>
  <si>
    <t>740618-1457416</t>
  </si>
  <si>
    <t>010--4240-5510</t>
  </si>
  <si>
    <t>아크말</t>
  </si>
  <si>
    <t>851211-5140104</t>
  </si>
  <si>
    <t>010-4479-7477</t>
  </si>
  <si>
    <t>안동현</t>
  </si>
  <si>
    <t>920302-1157446</t>
  </si>
  <si>
    <t>010-3832-4929</t>
  </si>
  <si>
    <t>안상영</t>
  </si>
  <si>
    <t>960430-1155122</t>
  </si>
  <si>
    <t>010-5001-1393</t>
  </si>
  <si>
    <t>안성현</t>
  </si>
  <si>
    <t>751019-1641914</t>
  </si>
  <si>
    <t>010-4621-6453</t>
  </si>
  <si>
    <t>안윤기</t>
  </si>
  <si>
    <t>560310-1057614</t>
  </si>
  <si>
    <t>010-2298-2578</t>
  </si>
  <si>
    <t>안은호</t>
  </si>
  <si>
    <t>810512-1810627</t>
  </si>
  <si>
    <t>010-9356-2001</t>
  </si>
  <si>
    <t>안종광</t>
  </si>
  <si>
    <t>740109-1025711</t>
  </si>
  <si>
    <t>010-4715-0172</t>
  </si>
  <si>
    <t>010-9052-6944</t>
  </si>
  <si>
    <t>840111-1075229</t>
  </si>
  <si>
    <t>010-9138-7004</t>
  </si>
  <si>
    <t>양승욱</t>
  </si>
  <si>
    <t>710606-1932312</t>
  </si>
  <si>
    <t>010-5656-3162</t>
  </si>
  <si>
    <t>양영식</t>
  </si>
  <si>
    <t>600305-1460024</t>
  </si>
  <si>
    <t>010-3751-4887</t>
  </si>
  <si>
    <t>양재성</t>
  </si>
  <si>
    <t>740126-1110716</t>
  </si>
  <si>
    <t>010-8288-8875</t>
  </si>
  <si>
    <t>양재훈</t>
  </si>
  <si>
    <t>961013-1158414</t>
  </si>
  <si>
    <t>010-7622-9822</t>
  </si>
  <si>
    <t>양준호</t>
  </si>
  <si>
    <t>930707-1069611</t>
  </si>
  <si>
    <t>010-5615-7774</t>
  </si>
  <si>
    <t>010-2722-7818</t>
  </si>
  <si>
    <t>엄관영</t>
  </si>
  <si>
    <t>620121-1382427</t>
  </si>
  <si>
    <t>010-7531-4578</t>
  </si>
  <si>
    <t>연명흠</t>
  </si>
  <si>
    <t>650909-1030117</t>
  </si>
  <si>
    <t>010-4282-8091</t>
  </si>
  <si>
    <t>염병근</t>
  </si>
  <si>
    <t>690619-1057015</t>
  </si>
  <si>
    <t>010-9055-6953</t>
  </si>
  <si>
    <t>오강진</t>
  </si>
  <si>
    <t>651226-1406216</t>
  </si>
  <si>
    <t>010-8876-9370</t>
  </si>
  <si>
    <t>730812-1052713</t>
  </si>
  <si>
    <t>오성진</t>
  </si>
  <si>
    <t>900924-1889213</t>
  </si>
  <si>
    <t>010-8268-3394</t>
  </si>
  <si>
    <t>오영택</t>
  </si>
  <si>
    <t>830410-1411816</t>
  </si>
  <si>
    <t>010-9743-2843</t>
  </si>
  <si>
    <t>오원호</t>
  </si>
  <si>
    <t>931021-1149515</t>
  </si>
  <si>
    <t>010-4664-3570</t>
  </si>
  <si>
    <t>930413-1157015</t>
  </si>
  <si>
    <t>010-3133-5930</t>
  </si>
  <si>
    <t>용효중</t>
  </si>
  <si>
    <t>760607-1912615</t>
  </si>
  <si>
    <t>010-8898-5892</t>
  </si>
  <si>
    <t>우덕균</t>
  </si>
  <si>
    <t>650405-1042139</t>
  </si>
  <si>
    <t>010-8775-2114</t>
  </si>
  <si>
    <t>우상근</t>
  </si>
  <si>
    <t>700301-1173818</t>
  </si>
  <si>
    <t>010-8735-8185</t>
  </si>
  <si>
    <t>800223-1122824</t>
  </si>
  <si>
    <t>원기영</t>
  </si>
  <si>
    <t>750407-1041826</t>
  </si>
  <si>
    <t>010-9871-8079</t>
  </si>
  <si>
    <t>유경술</t>
  </si>
  <si>
    <t>700224-1542914</t>
  </si>
  <si>
    <t>010-7172-1602</t>
  </si>
  <si>
    <t>유경철</t>
  </si>
  <si>
    <t>740507-1018815</t>
  </si>
  <si>
    <t>010-9744-3417</t>
  </si>
  <si>
    <t>740115-1676710</t>
  </si>
  <si>
    <t>유동민</t>
  </si>
  <si>
    <t>710711-1148119</t>
  </si>
  <si>
    <t>010-9558-2660</t>
  </si>
  <si>
    <t>유병일</t>
  </si>
  <si>
    <t>710615-1030911</t>
  </si>
  <si>
    <t>010-4419-0053</t>
  </si>
  <si>
    <t>유상현</t>
  </si>
  <si>
    <t>810118-1025515</t>
  </si>
  <si>
    <t>유성호</t>
  </si>
  <si>
    <t>910203-1408321</t>
  </si>
  <si>
    <t>010-5806-0216</t>
  </si>
  <si>
    <t>유승묵</t>
  </si>
  <si>
    <t>870503-1505115</t>
  </si>
  <si>
    <t>010-3093-5038</t>
  </si>
  <si>
    <t>유승판</t>
  </si>
  <si>
    <t>760408-1221114</t>
  </si>
  <si>
    <t>010-6611-0520</t>
  </si>
  <si>
    <t>990709-1216821</t>
  </si>
  <si>
    <t>010-6248-7586</t>
  </si>
  <si>
    <t>유영진</t>
  </si>
  <si>
    <t>660520-1002311</t>
  </si>
  <si>
    <t>010-5292-4465</t>
  </si>
  <si>
    <t>유재한</t>
  </si>
  <si>
    <t>940330-1903720</t>
  </si>
  <si>
    <t>010-8911-1697</t>
  </si>
  <si>
    <t>유정수</t>
  </si>
  <si>
    <t>640415-1402718</t>
  </si>
  <si>
    <t>010-2496-2718</t>
  </si>
  <si>
    <t>710630-1392419</t>
  </si>
  <si>
    <t>유찬목</t>
  </si>
  <si>
    <t>010-2980-3371</t>
  </si>
  <si>
    <t>유철호</t>
  </si>
  <si>
    <t>640810-1632816</t>
  </si>
  <si>
    <t>010-2916-6750</t>
  </si>
  <si>
    <t>유철훈</t>
  </si>
  <si>
    <t>700901-1011014</t>
  </si>
  <si>
    <t>010-9150-9393</t>
  </si>
  <si>
    <t>유태우</t>
  </si>
  <si>
    <t>950410-1409120</t>
  </si>
  <si>
    <t>910501-1064810</t>
  </si>
  <si>
    <t>010-4431-0603</t>
  </si>
  <si>
    <t>940801-1050010</t>
  </si>
  <si>
    <t>010-6722-3155</t>
  </si>
  <si>
    <t>윤성모</t>
  </si>
  <si>
    <t>770314-1167628</t>
  </si>
  <si>
    <t>010-7212-5648</t>
  </si>
  <si>
    <t>윤영의</t>
  </si>
  <si>
    <t>620425-1161917</t>
  </si>
  <si>
    <t>010-5472-1425</t>
  </si>
  <si>
    <t>윤호</t>
  </si>
  <si>
    <t>640225-5760393</t>
  </si>
  <si>
    <t>010-6887-8189</t>
  </si>
  <si>
    <t>760916-1155410</t>
  </si>
  <si>
    <t>010-3307-7684</t>
  </si>
  <si>
    <t>윤효상</t>
  </si>
  <si>
    <t>700311-1168319</t>
  </si>
  <si>
    <t>010-5354-1747</t>
  </si>
  <si>
    <t>은춘기</t>
  </si>
  <si>
    <t>620704-1544112</t>
  </si>
  <si>
    <t>010-5670-4539</t>
  </si>
  <si>
    <t>이강운</t>
  </si>
  <si>
    <t>760301-1148631</t>
  </si>
  <si>
    <t>010-3635-9763</t>
  </si>
  <si>
    <t>600913-1641515</t>
  </si>
  <si>
    <t>010-5382-5133</t>
  </si>
  <si>
    <t>이경범</t>
  </si>
  <si>
    <t>990221-1252310</t>
  </si>
  <si>
    <t>010-9650-1250</t>
  </si>
  <si>
    <t>이경애</t>
  </si>
  <si>
    <t>741122-2168335</t>
  </si>
  <si>
    <t>이경주</t>
  </si>
  <si>
    <t>720108-5760798</t>
  </si>
  <si>
    <t>010-3936-5888</t>
  </si>
  <si>
    <t>이광승</t>
  </si>
  <si>
    <t>651117-1334816</t>
  </si>
  <si>
    <t>이금성</t>
  </si>
  <si>
    <t>970115-1245911</t>
  </si>
  <si>
    <t>010-2645-2765</t>
  </si>
  <si>
    <t>이대형</t>
  </si>
  <si>
    <t>890318-1205116</t>
  </si>
  <si>
    <t>010-7712-3398</t>
  </si>
  <si>
    <t>이덕영</t>
  </si>
  <si>
    <t>640924-1226216</t>
  </si>
  <si>
    <t>010-3937-4421</t>
  </si>
  <si>
    <t>이동우</t>
  </si>
  <si>
    <t>590329-1026216</t>
  </si>
  <si>
    <t>010-6212-4954</t>
  </si>
  <si>
    <t>이동현</t>
  </si>
  <si>
    <t>961101-1158813</t>
  </si>
  <si>
    <t>010-9977-8415</t>
  </si>
  <si>
    <t>이두현</t>
  </si>
  <si>
    <t>010-6294-6190</t>
  </si>
  <si>
    <t>이명덕</t>
  </si>
  <si>
    <t>870107-5100053</t>
  </si>
  <si>
    <t>010-7727-1832</t>
  </si>
  <si>
    <t>이명훈</t>
  </si>
  <si>
    <t>920212-1012717</t>
  </si>
  <si>
    <t>010-2664-7371</t>
  </si>
  <si>
    <t>010-2625-4148</t>
  </si>
  <si>
    <t>이병삼</t>
  </si>
  <si>
    <t>650122-1624012</t>
  </si>
  <si>
    <t>010-8950-8203</t>
  </si>
  <si>
    <t>이봉운</t>
  </si>
  <si>
    <t>810409-5141094</t>
  </si>
  <si>
    <t>010-8480-2777</t>
  </si>
  <si>
    <t>이봉일</t>
  </si>
  <si>
    <t>640115-5340196</t>
  </si>
  <si>
    <t>010-3706-4585</t>
  </si>
  <si>
    <t>이봉환</t>
  </si>
  <si>
    <t>690105-1019026</t>
  </si>
  <si>
    <t>010-8698-4888</t>
  </si>
  <si>
    <t>이상규</t>
  </si>
  <si>
    <t>700325-1023413</t>
  </si>
  <si>
    <t>010-3324-6735</t>
  </si>
  <si>
    <t>이상범</t>
  </si>
  <si>
    <t>741019-1350816</t>
  </si>
  <si>
    <t>010-4428-2469</t>
  </si>
  <si>
    <t>이상열</t>
  </si>
  <si>
    <t>720902-1052520</t>
  </si>
  <si>
    <t>010-3123-0472</t>
  </si>
  <si>
    <t>이상우</t>
  </si>
  <si>
    <t>890725-1065528</t>
  </si>
  <si>
    <t>010-4670-3181</t>
  </si>
  <si>
    <t>이상철</t>
  </si>
  <si>
    <t>641114-1056012</t>
  </si>
  <si>
    <t>010-4817-7926</t>
  </si>
  <si>
    <t>이상혁</t>
  </si>
  <si>
    <t>810201-1783817</t>
  </si>
  <si>
    <t>010-2521-9707</t>
  </si>
  <si>
    <t>이상협</t>
  </si>
  <si>
    <t>이상훈</t>
  </si>
  <si>
    <t>590202-1019524</t>
  </si>
  <si>
    <t>010-3767-9393</t>
  </si>
  <si>
    <t>911217-1246920</t>
  </si>
  <si>
    <t>010-2569-9753</t>
  </si>
  <si>
    <t>이선노</t>
  </si>
  <si>
    <t>010-5675-3054</t>
  </si>
  <si>
    <t>이세열</t>
  </si>
  <si>
    <t>830409-1085215</t>
  </si>
  <si>
    <t>010-8945-8220</t>
  </si>
  <si>
    <t>이수복</t>
  </si>
  <si>
    <t>851125-1253913</t>
  </si>
  <si>
    <t>010-8311-2961</t>
  </si>
  <si>
    <t>이수진</t>
  </si>
  <si>
    <t>930827-2017516</t>
  </si>
  <si>
    <t>010-7133-7313</t>
  </si>
  <si>
    <t>이승재</t>
  </si>
  <si>
    <t>921223-1212811</t>
  </si>
  <si>
    <t>010-7550-8543</t>
  </si>
  <si>
    <t>이승현</t>
  </si>
  <si>
    <t>이시우</t>
  </si>
  <si>
    <t>011103-3478210</t>
  </si>
  <si>
    <t>010-3732-7874</t>
  </si>
  <si>
    <t>이영수</t>
  </si>
  <si>
    <t>010-8718-5532</t>
  </si>
  <si>
    <t>이영철</t>
  </si>
  <si>
    <t>010-4159-2082</t>
  </si>
  <si>
    <t>이영환</t>
  </si>
  <si>
    <t>781206-1236816</t>
  </si>
  <si>
    <t>010-2421-3263</t>
  </si>
  <si>
    <t>이영훈</t>
  </si>
  <si>
    <t>781005-1079118</t>
  </si>
  <si>
    <t>010-4814-1927</t>
  </si>
  <si>
    <t>이용철</t>
  </si>
  <si>
    <t>700222-5102193</t>
  </si>
  <si>
    <t>010-6357-5188</t>
  </si>
  <si>
    <t>이용호</t>
  </si>
  <si>
    <t>650104-1454812</t>
  </si>
  <si>
    <t>010-8498-9006</t>
  </si>
  <si>
    <t>이웅진</t>
  </si>
  <si>
    <t>730824-1064110</t>
  </si>
  <si>
    <t>010-8925-5851</t>
  </si>
  <si>
    <t>이웅현</t>
  </si>
  <si>
    <t>710928-1064115</t>
  </si>
  <si>
    <t>010-3798-0502</t>
  </si>
  <si>
    <t>이유진</t>
  </si>
  <si>
    <t>881020-2149528</t>
  </si>
  <si>
    <t>이윤재</t>
  </si>
  <si>
    <t>620726-1345913</t>
  </si>
  <si>
    <t>010-3660-7367</t>
  </si>
  <si>
    <t>이윤희</t>
  </si>
  <si>
    <t>630324-1051819</t>
  </si>
  <si>
    <t>010-7652-0324</t>
  </si>
  <si>
    <t>710405-1390028</t>
  </si>
  <si>
    <t>010-2458-9467</t>
  </si>
  <si>
    <t>이은성</t>
  </si>
  <si>
    <t>931207-1177428</t>
  </si>
  <si>
    <t>010-3058-6283</t>
  </si>
  <si>
    <t>이이재</t>
  </si>
  <si>
    <t>010-6878-1706</t>
  </si>
  <si>
    <t>이일훈</t>
  </si>
  <si>
    <t>730922-1085314</t>
  </si>
  <si>
    <t>010-4254-9961</t>
  </si>
  <si>
    <t>이재경</t>
  </si>
  <si>
    <t>780107-1065346</t>
  </si>
  <si>
    <t>010-8212-4325</t>
  </si>
  <si>
    <t>이재곤</t>
  </si>
  <si>
    <t>661225-1046813</t>
  </si>
  <si>
    <t>010-5651-2234</t>
  </si>
  <si>
    <t>이재복</t>
  </si>
  <si>
    <t>651203-1774513</t>
  </si>
  <si>
    <t>010-6213-2489</t>
  </si>
  <si>
    <t>이재빈</t>
  </si>
  <si>
    <t>910524-1853114</t>
  </si>
  <si>
    <t>010-3851-4415</t>
  </si>
  <si>
    <t>이재형</t>
  </si>
  <si>
    <t>770706-1155523</t>
  </si>
  <si>
    <t>010-8685-4424</t>
  </si>
  <si>
    <t>이재환</t>
  </si>
  <si>
    <t>940816-1048124</t>
  </si>
  <si>
    <t>이정국</t>
  </si>
  <si>
    <t>741128-1379611</t>
  </si>
  <si>
    <t>010-9178-4851</t>
  </si>
  <si>
    <t>이정대</t>
  </si>
  <si>
    <t>800720-1952013</t>
  </si>
  <si>
    <t>010-4721-8644</t>
  </si>
  <si>
    <t>이정민</t>
  </si>
  <si>
    <t>830127-1125528</t>
  </si>
  <si>
    <t>010-8591-5516</t>
  </si>
  <si>
    <t>811203-1910313</t>
  </si>
  <si>
    <t>이정훈</t>
  </si>
  <si>
    <t>980823-1158816</t>
  </si>
  <si>
    <t>010-4442-2436</t>
  </si>
  <si>
    <t>이제영</t>
  </si>
  <si>
    <t>801106-1233616</t>
  </si>
  <si>
    <t>010-3189-2990</t>
  </si>
  <si>
    <t>이종남</t>
  </si>
  <si>
    <t>691005-1650623</t>
  </si>
  <si>
    <t>010-4310-6168</t>
  </si>
  <si>
    <t>이주한</t>
  </si>
  <si>
    <t>010-2722-7343</t>
  </si>
  <si>
    <t>이준영</t>
  </si>
  <si>
    <t>730312-1046418</t>
  </si>
  <si>
    <t>010-7136-7878</t>
  </si>
  <si>
    <t>이준철</t>
  </si>
  <si>
    <t>951212-1546221</t>
  </si>
  <si>
    <t>010-2356-9130</t>
  </si>
  <si>
    <t>이지태</t>
  </si>
  <si>
    <t>010-3022-4311</t>
  </si>
  <si>
    <t>이지현</t>
  </si>
  <si>
    <t>800522-2398819</t>
  </si>
  <si>
    <t>010-3700-9800</t>
  </si>
  <si>
    <t>이지형</t>
  </si>
  <si>
    <t>930409-1455110</t>
  </si>
  <si>
    <t>010-7788-5489</t>
  </si>
  <si>
    <t>이진권</t>
  </si>
  <si>
    <t>010-8773-3998</t>
  </si>
  <si>
    <t>이창래</t>
  </si>
  <si>
    <t>810313-1522814</t>
  </si>
  <si>
    <t>010-2885-1334</t>
  </si>
  <si>
    <t>이창원</t>
  </si>
  <si>
    <t>961225-1188315</t>
  </si>
  <si>
    <t>010-4635-2139</t>
  </si>
  <si>
    <t>이창준</t>
  </si>
  <si>
    <t>이창훈</t>
  </si>
  <si>
    <t>010-8030-1952</t>
  </si>
  <si>
    <t>이태준</t>
  </si>
  <si>
    <t>010-3022-8416</t>
  </si>
  <si>
    <t>이학운</t>
  </si>
  <si>
    <t>710212-1017218</t>
  </si>
  <si>
    <t>010-2985-4458</t>
  </si>
  <si>
    <t>이현규</t>
  </si>
  <si>
    <t>731102-1456121</t>
  </si>
  <si>
    <t>010-6260-8010</t>
  </si>
  <si>
    <t>이현석</t>
  </si>
  <si>
    <t>760309-1041211</t>
  </si>
  <si>
    <t>010-8966-2356</t>
  </si>
  <si>
    <t>이현주</t>
  </si>
  <si>
    <t>700618-5580190</t>
  </si>
  <si>
    <t>010-7570-6018</t>
  </si>
  <si>
    <t>이호연</t>
  </si>
  <si>
    <t>010-4223-8958</t>
  </si>
  <si>
    <t>010-3695-2588</t>
  </si>
  <si>
    <t>이홍천</t>
  </si>
  <si>
    <t>700121-5140012</t>
  </si>
  <si>
    <t>010-7608-1970</t>
  </si>
  <si>
    <t>이후승</t>
  </si>
  <si>
    <t>980727-1156212</t>
  </si>
  <si>
    <t>010-7567-0472</t>
  </si>
  <si>
    <t>이흥주</t>
  </si>
  <si>
    <t>710321-1157913</t>
  </si>
  <si>
    <t>010-5397-8168</t>
  </si>
  <si>
    <t>임규문</t>
  </si>
  <si>
    <t>800315-1520420</t>
  </si>
  <si>
    <t>010-5593-1502</t>
  </si>
  <si>
    <t>임대복</t>
  </si>
  <si>
    <t>820711-5101091</t>
  </si>
  <si>
    <t>010-7922-7027</t>
  </si>
  <si>
    <t>임두섭</t>
  </si>
  <si>
    <t>820101-1067413</t>
  </si>
  <si>
    <t>010-7596-6270</t>
  </si>
  <si>
    <t>임성봉</t>
  </si>
  <si>
    <t>730120-1932211</t>
  </si>
  <si>
    <t>010-5718-4347</t>
  </si>
  <si>
    <t>임준성</t>
  </si>
  <si>
    <t>771203-1231213</t>
  </si>
  <si>
    <t>010-3436-9760</t>
  </si>
  <si>
    <t>임채준</t>
  </si>
  <si>
    <t>730323-1925521</t>
  </si>
  <si>
    <t>010-6270-8918</t>
  </si>
  <si>
    <t>임춘만</t>
  </si>
  <si>
    <t>610120-1406234</t>
  </si>
  <si>
    <t>010-7202-1077</t>
  </si>
  <si>
    <t>임현철</t>
  </si>
  <si>
    <t>800213-1267911</t>
  </si>
  <si>
    <t>010-8256-1037</t>
  </si>
  <si>
    <t>장경수</t>
  </si>
  <si>
    <t>장경식</t>
  </si>
  <si>
    <t>630919-1121610</t>
  </si>
  <si>
    <t>010-4874-6948</t>
  </si>
  <si>
    <t>장근직</t>
  </si>
  <si>
    <t>670406-1691410</t>
  </si>
  <si>
    <t>장대용</t>
  </si>
  <si>
    <t>831231-1400317</t>
  </si>
  <si>
    <t>010-8391-1570</t>
  </si>
  <si>
    <t>장덕구</t>
  </si>
  <si>
    <t>821022-1235016</t>
  </si>
  <si>
    <t>010-9188-0466</t>
  </si>
  <si>
    <t>장범진</t>
  </si>
  <si>
    <t>920301-1483011</t>
  </si>
  <si>
    <t>010-7592-7381</t>
  </si>
  <si>
    <t>장진혁</t>
  </si>
  <si>
    <t>640912-1781430</t>
  </si>
  <si>
    <t>010-3913-2127</t>
  </si>
  <si>
    <t>전광민</t>
  </si>
  <si>
    <t>전금환</t>
  </si>
  <si>
    <t>010-5564-3877</t>
  </si>
  <si>
    <t>620401-1653011</t>
  </si>
  <si>
    <t>010-3407-7243</t>
  </si>
  <si>
    <t>전봉준</t>
  </si>
  <si>
    <t>790510-1800322</t>
  </si>
  <si>
    <t>010-9046-9848</t>
  </si>
  <si>
    <t>전석준</t>
  </si>
  <si>
    <t>010-3764-6093</t>
  </si>
  <si>
    <t>전성균</t>
  </si>
  <si>
    <t>680307-1322238</t>
  </si>
  <si>
    <t>010-5263-6834</t>
  </si>
  <si>
    <t>전영재</t>
  </si>
  <si>
    <t>010-8036-1460</t>
  </si>
  <si>
    <t>전용철</t>
  </si>
  <si>
    <t>781213-5142392</t>
  </si>
  <si>
    <t>010-8282-8669</t>
  </si>
  <si>
    <t>전인수</t>
  </si>
  <si>
    <t>980127-1150013</t>
  </si>
  <si>
    <t>010-6741-0852</t>
  </si>
  <si>
    <t>전지성</t>
  </si>
  <si>
    <t>990204-1902521</t>
  </si>
  <si>
    <t>010-2445-9261</t>
  </si>
  <si>
    <t>전진영</t>
  </si>
  <si>
    <t>820913-1063217</t>
  </si>
  <si>
    <t>010-4344-0751</t>
  </si>
  <si>
    <t>650324-1653018</t>
  </si>
  <si>
    <t>010-5391-0859</t>
  </si>
  <si>
    <t>정남수</t>
  </si>
  <si>
    <t>000803-3019611</t>
  </si>
  <si>
    <t>010-9281-7831</t>
  </si>
  <si>
    <t>정두환</t>
  </si>
  <si>
    <t>621002-1025211</t>
  </si>
  <si>
    <t>010-5442-3565</t>
  </si>
  <si>
    <t>정사석</t>
  </si>
  <si>
    <t>710723-1539213</t>
  </si>
  <si>
    <t>010-4681-1444</t>
  </si>
  <si>
    <t>정승일</t>
  </si>
  <si>
    <t>970308-1151211</t>
  </si>
  <si>
    <t>010-8257-6469</t>
  </si>
  <si>
    <t>정승협</t>
  </si>
  <si>
    <t>780228-1177328</t>
  </si>
  <si>
    <t>010-4048-2485</t>
  </si>
  <si>
    <t>정은국</t>
  </si>
  <si>
    <t>840418-1820415</t>
  </si>
  <si>
    <t>010-8638-4212</t>
  </si>
  <si>
    <t>정종석</t>
  </si>
  <si>
    <t>010-5347-4356</t>
  </si>
  <si>
    <t>정종섭</t>
  </si>
  <si>
    <t>010-4363-6495</t>
  </si>
  <si>
    <t>정종필</t>
  </si>
  <si>
    <t>정준호</t>
  </si>
  <si>
    <t>720405-1667716</t>
  </si>
  <si>
    <t>010-3635-4881</t>
  </si>
  <si>
    <t>정지훈</t>
  </si>
  <si>
    <t>860708-1726211</t>
  </si>
  <si>
    <t>010-6514-6654</t>
  </si>
  <si>
    <t>960910-1150311</t>
  </si>
  <si>
    <t>010-5830-0316</t>
  </si>
  <si>
    <t>정태규</t>
  </si>
  <si>
    <t>740821-1273313</t>
  </si>
  <si>
    <t>010-9908-0514</t>
  </si>
  <si>
    <t>정해균</t>
  </si>
  <si>
    <t>740613-1447313</t>
  </si>
  <si>
    <t>010-4394-1124</t>
  </si>
  <si>
    <t>정해승</t>
  </si>
  <si>
    <t>661203-1010915</t>
  </si>
  <si>
    <t>010-2792-4144</t>
  </si>
  <si>
    <t>정현범</t>
  </si>
  <si>
    <t>900210-1380511</t>
  </si>
  <si>
    <t>010-9138-0968</t>
  </si>
  <si>
    <t>정현철</t>
  </si>
  <si>
    <t>920723-1155927</t>
  </si>
  <si>
    <t>010-2520-1721</t>
  </si>
  <si>
    <t>조경호</t>
  </si>
  <si>
    <t>680402-1645912</t>
  </si>
  <si>
    <t>010-3686-8154</t>
  </si>
  <si>
    <t>조규평</t>
  </si>
  <si>
    <t>조기성</t>
  </si>
  <si>
    <t>630910-1030114</t>
  </si>
  <si>
    <t>010-6779-0720</t>
  </si>
  <si>
    <t>조동현</t>
  </si>
  <si>
    <t>650326-1566110</t>
  </si>
  <si>
    <t>010-2252-2503</t>
  </si>
  <si>
    <t>조민성</t>
  </si>
  <si>
    <t>970425-1063419</t>
  </si>
  <si>
    <t>010-5720-0744</t>
  </si>
  <si>
    <t>조상현</t>
  </si>
  <si>
    <t>740201-1057032</t>
  </si>
  <si>
    <t>010-3779-2888</t>
  </si>
  <si>
    <t>조성계</t>
  </si>
  <si>
    <t>670825-1119725</t>
  </si>
  <si>
    <t>010-2412-3639</t>
  </si>
  <si>
    <t>조세윤</t>
  </si>
  <si>
    <t>980612-1106122</t>
  </si>
  <si>
    <t>010-7939-3550</t>
  </si>
  <si>
    <t>조승호</t>
  </si>
  <si>
    <t>650531-1227212</t>
  </si>
  <si>
    <t>010-8292-8727</t>
  </si>
  <si>
    <t>조연규</t>
  </si>
  <si>
    <t>970313-1157729</t>
  </si>
  <si>
    <t>010-5405-9449</t>
  </si>
  <si>
    <t>조영삼</t>
  </si>
  <si>
    <t>690128-1665611</t>
  </si>
  <si>
    <t>750220-1624511</t>
  </si>
  <si>
    <t>010-9413-3011</t>
  </si>
  <si>
    <t>조용현</t>
  </si>
  <si>
    <t>010-5650-8466</t>
  </si>
  <si>
    <t>조원일</t>
  </si>
  <si>
    <t>790812-1069311</t>
  </si>
  <si>
    <t>010-3684-8275</t>
  </si>
  <si>
    <t>891221-1823535</t>
  </si>
  <si>
    <t>조해제</t>
  </si>
  <si>
    <t>630709-5101492</t>
  </si>
  <si>
    <t>010-3903-1295</t>
  </si>
  <si>
    <t>조호준</t>
  </si>
  <si>
    <t>930623-1152014</t>
  </si>
  <si>
    <t>010-9511-2006</t>
  </si>
  <si>
    <t>주봉진</t>
  </si>
  <si>
    <t>800424-1453527</t>
  </si>
  <si>
    <t>010-3218-3312</t>
  </si>
  <si>
    <t>주원덕</t>
  </si>
  <si>
    <t>610716-1789723</t>
  </si>
  <si>
    <t>010-8787-8062</t>
  </si>
  <si>
    <t>주지원</t>
  </si>
  <si>
    <t>940602-1397214</t>
  </si>
  <si>
    <t>010-7184-7420</t>
  </si>
  <si>
    <t>지광구</t>
  </si>
  <si>
    <t>680105-1046523</t>
  </si>
  <si>
    <t>010-8359-2744</t>
  </si>
  <si>
    <t>지주현</t>
  </si>
  <si>
    <t>020417-3150911</t>
  </si>
  <si>
    <t>010-7602-6291</t>
  </si>
  <si>
    <t>620305-1332919</t>
  </si>
  <si>
    <t>010-9639-1364</t>
  </si>
  <si>
    <t>차병석</t>
  </si>
  <si>
    <t>711007-1644211</t>
  </si>
  <si>
    <t>010-5305-1648</t>
  </si>
  <si>
    <t>차성철</t>
  </si>
  <si>
    <t>750102-1661925</t>
  </si>
  <si>
    <t>010-9436-2796</t>
  </si>
  <si>
    <t>채광복</t>
  </si>
  <si>
    <t>680606-1224212</t>
  </si>
  <si>
    <t>010-2221-9933</t>
  </si>
  <si>
    <t>채희정</t>
  </si>
  <si>
    <t>620101-1002518</t>
  </si>
  <si>
    <t>010-5832-2272</t>
  </si>
  <si>
    <t>천도영</t>
  </si>
  <si>
    <t>670911-1018611</t>
  </si>
  <si>
    <t>010-3686-7568</t>
  </si>
  <si>
    <t>천혁수</t>
  </si>
  <si>
    <t>720803-1017612</t>
  </si>
  <si>
    <t>010-6488-6049</t>
  </si>
  <si>
    <t>최근용</t>
  </si>
  <si>
    <t>720513-1534016</t>
  </si>
  <si>
    <t>최동환</t>
  </si>
  <si>
    <t>620302-1037011</t>
  </si>
  <si>
    <t>010-5378-6243</t>
  </si>
  <si>
    <t>최명남</t>
  </si>
  <si>
    <t>911115-1012530</t>
  </si>
  <si>
    <t>010-3915-0199</t>
  </si>
  <si>
    <t>최문정</t>
  </si>
  <si>
    <t>940603-1143118</t>
  </si>
  <si>
    <t>010-4180-5255</t>
  </si>
  <si>
    <t>최문철</t>
  </si>
  <si>
    <t>010-3041-5437</t>
  </si>
  <si>
    <t>최석민</t>
  </si>
  <si>
    <t>761010-1721914</t>
  </si>
  <si>
    <t>010-7737-7612</t>
  </si>
  <si>
    <t>970805-2157513</t>
  </si>
  <si>
    <t>최송춘</t>
  </si>
  <si>
    <t>780217-5101390</t>
  </si>
  <si>
    <t>010-4296-5688</t>
  </si>
  <si>
    <t>최원환</t>
  </si>
  <si>
    <t>760802-1245611</t>
  </si>
  <si>
    <t>010-5245-2201</t>
  </si>
  <si>
    <t>최윤호</t>
  </si>
  <si>
    <t>001122-3157219</t>
  </si>
  <si>
    <t>최은석</t>
  </si>
  <si>
    <t>680909-1143111</t>
  </si>
  <si>
    <t>010-8967-5261</t>
  </si>
  <si>
    <t>최장윤</t>
  </si>
  <si>
    <t>760201-1899120</t>
  </si>
  <si>
    <t>010-5040-7833</t>
  </si>
  <si>
    <t>최재복</t>
  </si>
  <si>
    <t>620723-1547611</t>
  </si>
  <si>
    <t>010-5374-9407</t>
  </si>
  <si>
    <t>최재용</t>
  </si>
  <si>
    <t>760815-1067112</t>
  </si>
  <si>
    <t>010-8782-6329</t>
  </si>
  <si>
    <t>최종구</t>
  </si>
  <si>
    <t>740206-1659517</t>
  </si>
  <si>
    <t>010-9595-7623</t>
  </si>
  <si>
    <t>최종상</t>
  </si>
  <si>
    <t>621010-1331117</t>
  </si>
  <si>
    <t>010-9044-5013</t>
  </si>
  <si>
    <t>최종인</t>
  </si>
  <si>
    <t>570305-1545419</t>
  </si>
  <si>
    <t>010-7657-7473</t>
  </si>
  <si>
    <t>최태선</t>
  </si>
  <si>
    <t>820509-1064914</t>
  </si>
  <si>
    <t>010-8942-2261</t>
  </si>
  <si>
    <t>최해영</t>
  </si>
  <si>
    <t>650505-1322219</t>
  </si>
  <si>
    <t>010-4735-6967</t>
  </si>
  <si>
    <t>640925-1111026</t>
  </si>
  <si>
    <t>최희건</t>
  </si>
  <si>
    <t>821105-1543813</t>
  </si>
  <si>
    <t>010-4172-1879</t>
  </si>
  <si>
    <t>최희선</t>
  </si>
  <si>
    <t>710105-1274914</t>
  </si>
  <si>
    <t>010-3136-2082</t>
  </si>
  <si>
    <t>하재근</t>
  </si>
  <si>
    <t>710725-1835521</t>
  </si>
  <si>
    <t>010-6660-6101</t>
  </si>
  <si>
    <t>하태홍</t>
  </si>
  <si>
    <t>670919-1795819</t>
  </si>
  <si>
    <t>010-2425-4301</t>
  </si>
  <si>
    <t>한광철</t>
  </si>
  <si>
    <t>621025-5102996</t>
  </si>
  <si>
    <t>010-4932-8953</t>
  </si>
  <si>
    <t>한만재</t>
  </si>
  <si>
    <t>780623-1449514</t>
  </si>
  <si>
    <t>010-7567-8279</t>
  </si>
  <si>
    <t>한성귀</t>
  </si>
  <si>
    <t>010-8711-8829</t>
  </si>
  <si>
    <t>한성필</t>
  </si>
  <si>
    <t>한수영</t>
  </si>
  <si>
    <t>751008-1140813</t>
  </si>
  <si>
    <t>010-6698-7109</t>
  </si>
  <si>
    <t>한정훈</t>
  </si>
  <si>
    <t>711112-1143216</t>
  </si>
  <si>
    <t>010-6244-5014</t>
  </si>
  <si>
    <t>한종익</t>
  </si>
  <si>
    <t>810228-1071041</t>
  </si>
  <si>
    <t>010-2428-7664</t>
  </si>
  <si>
    <t>한창훈</t>
  </si>
  <si>
    <t>720520-1533829</t>
  </si>
  <si>
    <t>010-6590-3389</t>
  </si>
  <si>
    <t>한태석</t>
  </si>
  <si>
    <t>710830-1067026</t>
  </si>
  <si>
    <t>010-7154-9328</t>
  </si>
  <si>
    <t>한형석</t>
  </si>
  <si>
    <t>640612-1019411</t>
  </si>
  <si>
    <t>010-2211-4909</t>
  </si>
  <si>
    <t>한화석</t>
  </si>
  <si>
    <t>010-9778-7218</t>
  </si>
  <si>
    <t>허남우</t>
  </si>
  <si>
    <t>791026-1907315</t>
  </si>
  <si>
    <t>010-6880-5752</t>
  </si>
  <si>
    <t>901014-1482218</t>
  </si>
  <si>
    <t>010-2929-5539</t>
  </si>
  <si>
    <t>허용환</t>
  </si>
  <si>
    <t>910320-1240716</t>
  </si>
  <si>
    <t>010-7667-2434</t>
  </si>
  <si>
    <t>허재원</t>
  </si>
  <si>
    <t>701204-1182714</t>
  </si>
  <si>
    <t>010-3660-9773</t>
  </si>
  <si>
    <t>700401-1120720</t>
  </si>
  <si>
    <t>홍광표</t>
  </si>
  <si>
    <t>630822-1056217</t>
  </si>
  <si>
    <t>010-8630-1658</t>
  </si>
  <si>
    <t>홍동구</t>
  </si>
  <si>
    <t>910404-1108620</t>
  </si>
  <si>
    <t>810521-1047111</t>
  </si>
  <si>
    <t>010-4599-6589</t>
  </si>
  <si>
    <t>홍상진</t>
  </si>
  <si>
    <t>731105-1047311</t>
  </si>
  <si>
    <t>010-5346-1070</t>
  </si>
  <si>
    <t>810731-1458611</t>
  </si>
  <si>
    <t>010-9434-3220</t>
  </si>
  <si>
    <t>홍진구</t>
  </si>
  <si>
    <t>010-8279-1456</t>
  </si>
  <si>
    <t>홍철군</t>
  </si>
  <si>
    <t>870827-5140806</t>
  </si>
  <si>
    <t>010-9639-0858</t>
  </si>
  <si>
    <t>홍현석</t>
  </si>
  <si>
    <t>910211-1069216</t>
  </si>
  <si>
    <t>010-4009-9675</t>
  </si>
  <si>
    <t>황경식</t>
  </si>
  <si>
    <t>921217-1173426</t>
  </si>
  <si>
    <t>010-5022-6018</t>
  </si>
  <si>
    <t>황근상</t>
  </si>
  <si>
    <t>660323-1255617</t>
  </si>
  <si>
    <t>010-3118-0365</t>
  </si>
  <si>
    <t>황대희</t>
  </si>
  <si>
    <t>790212-1122711</t>
  </si>
  <si>
    <t>010-3352-2000</t>
  </si>
  <si>
    <t>황병준</t>
  </si>
  <si>
    <t>961016-1155712</t>
  </si>
  <si>
    <t>010-4801-7385</t>
  </si>
  <si>
    <t>황성욱</t>
  </si>
  <si>
    <t>황순기</t>
  </si>
  <si>
    <t>741216-1121222</t>
  </si>
  <si>
    <t>010-2884-0497</t>
  </si>
  <si>
    <t>황영기</t>
  </si>
  <si>
    <t>010-5957-4965</t>
  </si>
  <si>
    <t>황의범</t>
  </si>
  <si>
    <t>690415-1531414</t>
  </si>
  <si>
    <t>010-9811-3888</t>
  </si>
  <si>
    <t>권선구</t>
  </si>
  <si>
    <t>천안노태공원1단지</t>
  </si>
  <si>
    <t>한라건설</t>
  </si>
  <si>
    <t>만도 next m 사옥공사</t>
  </si>
  <si>
    <t>신신이앤씨</t>
  </si>
  <si>
    <t>4년</t>
  </si>
  <si>
    <t>The-k 제주호텔</t>
  </si>
  <si>
    <t>유탑건설</t>
  </si>
  <si>
    <t>한강건설</t>
  </si>
  <si>
    <t>대전</t>
  </si>
  <si>
    <t>3년</t>
  </si>
  <si>
    <t xml:space="preserve">INC 26,28,36FC HVAC </t>
  </si>
  <si>
    <t>영덕</t>
  </si>
  <si>
    <t>오정구</t>
  </si>
  <si>
    <t>16년</t>
  </si>
  <si>
    <t>1년</t>
  </si>
  <si>
    <t>780508-1000000</t>
  </si>
  <si>
    <t>610825-1000000</t>
  </si>
  <si>
    <t>690825-1000000</t>
  </si>
  <si>
    <t>690710-1000000</t>
  </si>
  <si>
    <t>610116-1000000</t>
  </si>
  <si>
    <t>840605-1000000</t>
  </si>
  <si>
    <t>701117-1000000</t>
  </si>
  <si>
    <t>651118-1000000</t>
  </si>
  <si>
    <t>760105-1000000</t>
  </si>
  <si>
    <t>870226-1000000</t>
  </si>
  <si>
    <t>681110-1000000</t>
  </si>
  <si>
    <t>620217-1000000</t>
  </si>
  <si>
    <t>641124-1000000</t>
  </si>
  <si>
    <t>광주2FC 전기공사</t>
  </si>
  <si>
    <t>강화군</t>
  </si>
  <si>
    <t>5년</t>
  </si>
  <si>
    <t>전남</t>
  </si>
  <si>
    <t>인천 14FC 전기공사</t>
  </si>
  <si>
    <t>강서구</t>
  </si>
  <si>
    <t>GYS 2FC(경산) 전기공사</t>
  </si>
  <si>
    <t>7년</t>
  </si>
  <si>
    <t>인천쿠팡36FC 전기공사</t>
  </si>
  <si>
    <t>e편한세상 송도현장(전기공사 2공)</t>
  </si>
  <si>
    <t>세안이엔씨</t>
  </si>
  <si>
    <t>울주군</t>
  </si>
  <si>
    <t>인천쿠팡45FC 전기공사</t>
  </si>
  <si>
    <t>LG에너지솔루션</t>
  </si>
  <si>
    <t>밧데리전기설비</t>
  </si>
  <si>
    <t>삼성물산</t>
  </si>
  <si>
    <t>삼성바이오 현장</t>
  </si>
  <si>
    <t>동일전력</t>
  </si>
  <si>
    <t>관악구</t>
  </si>
  <si>
    <t>산업기사</t>
  </si>
  <si>
    <t>평택 PH3 현장</t>
  </si>
  <si>
    <t>신보</t>
  </si>
  <si>
    <t>더프레임 종합건설</t>
  </si>
  <si>
    <t>주택 신축공사</t>
  </si>
  <si>
    <t>삼림종합전설</t>
  </si>
  <si>
    <t>전공</t>
    <phoneticPr fontId="4" type="noConversion"/>
  </si>
  <si>
    <t>이규선</t>
  </si>
  <si>
    <t>840203-1659722</t>
  </si>
  <si>
    <t>현대산업개발</t>
  </si>
  <si>
    <t>수원컨벤션센타</t>
  </si>
  <si>
    <t>우진일렉트</t>
  </si>
  <si>
    <t>컨벤션센타</t>
  </si>
  <si>
    <t>010-2339-1937</t>
  </si>
  <si>
    <t>더샾송도센터하이브오피스텔</t>
  </si>
  <si>
    <t>GT일렉콘</t>
  </si>
  <si>
    <t>6년</t>
  </si>
  <si>
    <t>천안2센타</t>
  </si>
  <si>
    <t>선우</t>
  </si>
  <si>
    <t>안전관리업체</t>
  </si>
  <si>
    <t>종로구</t>
  </si>
  <si>
    <t>SK건설</t>
  </si>
  <si>
    <t>부평데이터센터</t>
  </si>
  <si>
    <t>두원전기</t>
  </si>
  <si>
    <t>데이터센타</t>
  </si>
  <si>
    <t>일산 빛마루 방송국</t>
  </si>
  <si>
    <t>남양계전</t>
  </si>
  <si>
    <t>방송국</t>
  </si>
  <si>
    <t>010-67767-3585</t>
  </si>
  <si>
    <t>덕청건설</t>
  </si>
  <si>
    <t>배곧 스위트 시그니처타워 지식산업센터 신축공사</t>
  </si>
  <si>
    <t>경원이앤씨</t>
  </si>
  <si>
    <t>지식산업센타</t>
  </si>
  <si>
    <t>950521-1698311</t>
    <phoneticPr fontId="4" type="noConversion"/>
  </si>
  <si>
    <t>641113-1790011</t>
    <phoneticPr fontId="4" type="noConversion"/>
  </si>
  <si>
    <t>640901-1786417</t>
    <phoneticPr fontId="4" type="noConversion"/>
  </si>
  <si>
    <t>781025-1907127</t>
    <phoneticPr fontId="4" type="noConversion"/>
  </si>
  <si>
    <t>경기</t>
    <phoneticPr fontId="4" type="noConversion"/>
  </si>
  <si>
    <t>울산</t>
    <phoneticPr fontId="4" type="noConversion"/>
  </si>
  <si>
    <t>고양</t>
  </si>
  <si>
    <t>고양</t>
    <phoneticPr fontId="4" type="noConversion"/>
  </si>
  <si>
    <t>수원</t>
  </si>
  <si>
    <t>수원</t>
    <phoneticPr fontId="4" type="noConversion"/>
  </si>
  <si>
    <t>부천</t>
    <phoneticPr fontId="4" type="noConversion"/>
  </si>
  <si>
    <t>안산</t>
  </si>
  <si>
    <t>안산</t>
    <phoneticPr fontId="4" type="noConversion"/>
  </si>
  <si>
    <t>남양주</t>
  </si>
  <si>
    <t>남양주</t>
    <phoneticPr fontId="4" type="noConversion"/>
  </si>
  <si>
    <t>목포</t>
    <phoneticPr fontId="4" type="noConversion"/>
  </si>
  <si>
    <t>용인</t>
  </si>
  <si>
    <t>김포</t>
  </si>
  <si>
    <t>안양</t>
  </si>
  <si>
    <t>군산</t>
  </si>
  <si>
    <t>안성</t>
  </si>
  <si>
    <t>구미</t>
  </si>
  <si>
    <t>경산</t>
  </si>
  <si>
    <t>거제</t>
  </si>
  <si>
    <t>창원</t>
  </si>
  <si>
    <t>김해</t>
  </si>
  <si>
    <t>파주</t>
  </si>
  <si>
    <t>광명</t>
  </si>
  <si>
    <t>의정부</t>
  </si>
  <si>
    <t>송파구</t>
  </si>
  <si>
    <t>양주</t>
  </si>
  <si>
    <t>양원지구 주거복합 신축공사</t>
  </si>
  <si>
    <t>신화건설</t>
  </si>
  <si>
    <t>월드메르디앙 주상복합</t>
  </si>
  <si>
    <t>세기이엔씨</t>
  </si>
  <si>
    <t>GS건설</t>
  </si>
  <si>
    <t>양평 제12구역 지식산업센터</t>
  </si>
  <si>
    <t>화성전기</t>
  </si>
  <si>
    <t>서울 장위자이 레디언트</t>
  </si>
  <si>
    <t>우선ENG</t>
  </si>
  <si>
    <t>동두천중흥S-클레스헤라시티</t>
  </si>
  <si>
    <t>디테코</t>
  </si>
  <si>
    <t>동작구</t>
  </si>
  <si>
    <t>금천구</t>
  </si>
  <si>
    <t>광진구</t>
  </si>
  <si>
    <t>상도동 지역 주택조합 주상복합 현장</t>
  </si>
  <si>
    <t>태영건설</t>
  </si>
  <si>
    <t>디오션 259 신라 모노그램</t>
  </si>
  <si>
    <t>21년</t>
  </si>
  <si>
    <t>도봉구</t>
  </si>
  <si>
    <t>양천구</t>
  </si>
  <si>
    <t>CJ건설</t>
  </si>
  <si>
    <t>무신사 P2 신축공사</t>
  </si>
  <si>
    <t>하비오 복합건축물 신축공사</t>
  </si>
  <si>
    <t>삼언전공</t>
  </si>
  <si>
    <t>호텔/판매/워터파크외</t>
  </si>
  <si>
    <t>호텔/대형판매/워터파크외</t>
  </si>
  <si>
    <t>현산</t>
  </si>
  <si>
    <t>MBC 문화방송 신축공사</t>
  </si>
  <si>
    <t>GS건설/써브원</t>
  </si>
  <si>
    <t>LG 싸이언스 파크 신축공사</t>
  </si>
  <si>
    <t>대단지 연구단지</t>
  </si>
  <si>
    <t>김 철</t>
  </si>
  <si>
    <t>전의면</t>
  </si>
  <si>
    <t>30년</t>
  </si>
  <si>
    <t>BYC완주 스마트물류센터</t>
  </si>
  <si>
    <t>830920-1231516</t>
  </si>
  <si>
    <t>평택</t>
  </si>
  <si>
    <t>26년</t>
  </si>
  <si>
    <t>화성</t>
  </si>
  <si>
    <t>충북</t>
  </si>
  <si>
    <t>충주</t>
  </si>
  <si>
    <t>14년</t>
  </si>
  <si>
    <t>은평</t>
  </si>
  <si>
    <t>달서</t>
  </si>
  <si>
    <t>초급</t>
  </si>
  <si>
    <t>대광로제비앙20블럭공동주택</t>
  </si>
  <si>
    <t>까뮤이앤씨</t>
  </si>
  <si>
    <t>안성성은지구복합물류센터신축공사</t>
  </si>
  <si>
    <t>DL 이앤씨</t>
  </si>
  <si>
    <t>서울역 GTX -A 노선 역사</t>
  </si>
  <si>
    <t>인천 미추홀구 씨티오씨엘 3단지</t>
  </si>
  <si>
    <t>청암기업</t>
  </si>
  <si>
    <t>KT</t>
  </si>
  <si>
    <t>KT 판교 신사옥</t>
  </si>
  <si>
    <t>두원 계전</t>
  </si>
  <si>
    <t>에코엠드림</t>
  </si>
  <si>
    <t>새만금 국가산업단지 2차전지 산업단지</t>
  </si>
  <si>
    <t>이레유비크</t>
  </si>
  <si>
    <t>고덕 삼성반도체</t>
  </si>
  <si>
    <t>세보이엠씨</t>
  </si>
  <si>
    <t>강동구</t>
  </si>
  <si>
    <t>충남</t>
  </si>
  <si>
    <t>대구 힐스테이트</t>
  </si>
  <si>
    <t>태성</t>
  </si>
  <si>
    <t>현대건설</t>
  </si>
  <si>
    <t>대구 미군부대</t>
  </si>
  <si>
    <t>창원기전</t>
  </si>
  <si>
    <t>영무건설</t>
  </si>
  <si>
    <t>안성 영무 예다움</t>
  </si>
  <si>
    <t>하나전기</t>
  </si>
  <si>
    <t>SK</t>
  </si>
  <si>
    <t>서산 배터리 공장</t>
  </si>
  <si>
    <t>삼영기업</t>
  </si>
  <si>
    <t>이  경</t>
  </si>
  <si>
    <t>호반건설</t>
  </si>
  <si>
    <t>영종호반 써밋2차신축공사</t>
  </si>
  <si>
    <t>안양 인덕원 지하철공사</t>
  </si>
  <si>
    <t>부광티엔씨</t>
  </si>
  <si>
    <t>마곡 CP-1 르웨스트 타워</t>
  </si>
  <si>
    <t>GS네오텍</t>
  </si>
  <si>
    <t>인천 힐스테이트 신축공사</t>
  </si>
  <si>
    <t>부산진구</t>
  </si>
  <si>
    <t>천안C-라인마감공사</t>
  </si>
  <si>
    <t>두원EFC</t>
  </si>
  <si>
    <t>구이동 케이티현장</t>
  </si>
  <si>
    <t>세보MEC</t>
  </si>
  <si>
    <t>대조 힐스테이트메디알레</t>
  </si>
  <si>
    <t>효진㈜</t>
  </si>
  <si>
    <t>기아 4공장</t>
  </si>
  <si>
    <t>경남</t>
    <phoneticPr fontId="4" type="noConversion"/>
  </si>
  <si>
    <t>인천</t>
    <phoneticPr fontId="4" type="noConversion"/>
  </si>
  <si>
    <t>전북</t>
    <phoneticPr fontId="4" type="noConversion"/>
  </si>
  <si>
    <t>제주</t>
    <phoneticPr fontId="4" type="noConversion"/>
  </si>
  <si>
    <t>부산</t>
    <phoneticPr fontId="4" type="noConversion"/>
  </si>
  <si>
    <t>울산</t>
    <phoneticPr fontId="4" type="noConversion"/>
  </si>
  <si>
    <t>경북</t>
    <phoneticPr fontId="4" type="noConversion"/>
  </si>
  <si>
    <t>충남</t>
    <phoneticPr fontId="4" type="noConversion"/>
  </si>
  <si>
    <t>660310-1000000</t>
  </si>
  <si>
    <t>850802-1000000</t>
  </si>
  <si>
    <t>710513-1000000</t>
  </si>
  <si>
    <t>810502-1000000</t>
  </si>
  <si>
    <t>881218-1000000</t>
  </si>
  <si>
    <t>920317-1000000</t>
  </si>
  <si>
    <t>720627-1000000</t>
  </si>
  <si>
    <t>010829-3000000</t>
  </si>
  <si>
    <t>710527-1000000</t>
  </si>
  <si>
    <t>마포구</t>
  </si>
  <si>
    <t>여의구역 전기공사</t>
  </si>
  <si>
    <t>강화2지역공동주택 신축공사</t>
  </si>
  <si>
    <t>소방현장대리인</t>
  </si>
  <si>
    <t>원주자이센트럴현장</t>
  </si>
  <si>
    <t>캐스트윈</t>
  </si>
  <si>
    <t>반포디에이치클래스트</t>
  </si>
  <si>
    <t>미동이엔씨</t>
  </si>
  <si>
    <t>송도 자이풍경재</t>
  </si>
  <si>
    <t>GFS</t>
  </si>
  <si>
    <t>ㅇㅇ공동주택 신축공사</t>
  </si>
  <si>
    <t>의정부 힐스테이트</t>
  </si>
  <si>
    <t>기전사</t>
  </si>
  <si>
    <t>오산세교A2 공동주택 신축현장</t>
  </si>
  <si>
    <t>신세계전기</t>
  </si>
  <si>
    <t>아산탕정 D2-1 공동주택 신축현장</t>
  </si>
  <si>
    <t>동화이앤씨</t>
  </si>
  <si>
    <t>에이치피에스피 사옥 및 공장 신축공사</t>
  </si>
  <si>
    <t>인천 경서3구역 오피스텔</t>
  </si>
  <si>
    <t>디엘이엔씨</t>
  </si>
  <si>
    <t>안양 아크로베스티뉴</t>
  </si>
  <si>
    <t>승아전기</t>
  </si>
  <si>
    <t>세교2지구 A5BL 공동주택 신축현장</t>
  </si>
  <si>
    <t>계명전기</t>
  </si>
  <si>
    <t>철산자이더헤리티지아파트</t>
  </si>
  <si>
    <t>730319-7547410</t>
  </si>
  <si>
    <t>전주</t>
  </si>
  <si>
    <t>완산구</t>
  </si>
  <si>
    <t>특급</t>
  </si>
  <si>
    <t>태봉공원푸르지오파크몬트신축공사</t>
  </si>
  <si>
    <t>인천검단신도시101역세권개발사업C1,RC1BL</t>
  </si>
  <si>
    <t>㈜오에스엘이엔지</t>
  </si>
  <si>
    <t>양주 대광로제비앙신축공사</t>
  </si>
  <si>
    <t>경남기업</t>
  </si>
  <si>
    <t>파주운정3 공동주택신축공사</t>
  </si>
  <si>
    <t>세창전기</t>
  </si>
  <si>
    <t>힐스테이트 신축공사</t>
  </si>
  <si>
    <t>부신전력</t>
  </si>
  <si>
    <t>010-2063-9779</t>
    <phoneticPr fontId="4" type="noConversion"/>
  </si>
  <si>
    <t>부천 춘의동 지식산업센터</t>
  </si>
  <si>
    <t>KCC</t>
  </si>
  <si>
    <t>KCC 원창동 물류센터</t>
  </si>
  <si>
    <t>웹센</t>
  </si>
  <si>
    <t>이영재</t>
  </si>
  <si>
    <t>721114-1000000</t>
  </si>
  <si>
    <t>730328-1000000</t>
  </si>
  <si>
    <t>930328-1000000</t>
  </si>
  <si>
    <t>960707-1000000</t>
  </si>
  <si>
    <t>010-7709-8930</t>
  </si>
  <si>
    <t>010-2828-9996</t>
  </si>
  <si>
    <t>동구</t>
  </si>
  <si>
    <t>중급</t>
  </si>
  <si>
    <t>화성시발주</t>
  </si>
  <si>
    <t>화성유스호스텔 건립공사</t>
  </si>
  <si>
    <t>포항 환호공원힐스테이트 2블럭</t>
  </si>
  <si>
    <t>종로전기</t>
  </si>
  <si>
    <t>830408-1000000</t>
  </si>
  <si>
    <t>800919-1000000</t>
  </si>
  <si>
    <t>711205-1000000</t>
  </si>
  <si>
    <t>990323-1000000</t>
  </si>
  <si>
    <t>940401-1000000</t>
  </si>
  <si>
    <t>701127-1000000</t>
  </si>
  <si>
    <t>671203-1000000</t>
  </si>
  <si>
    <t>730617-1000000</t>
  </si>
  <si>
    <t>700417-1000000</t>
  </si>
  <si>
    <t>730508-1000000</t>
  </si>
  <si>
    <t>730501-1000000</t>
  </si>
  <si>
    <t>940524-1000000</t>
  </si>
  <si>
    <t>760723-1000000</t>
  </si>
  <si>
    <t>달서구</t>
  </si>
  <si>
    <t>한진</t>
  </si>
  <si>
    <t>동대구해모로 공동주택</t>
  </si>
  <si>
    <t>대구역 힐스테이트 공동주택</t>
  </si>
  <si>
    <t>용계역 푸르지오 공동주택</t>
  </si>
  <si>
    <t>동대구 데시앙 공동주택</t>
  </si>
  <si>
    <t>힐스테이트황성 공동주택</t>
  </si>
  <si>
    <t>한신공영</t>
  </si>
  <si>
    <t>포항펜타시티더휴 4단지</t>
  </si>
  <si>
    <t>670129-1000000</t>
  </si>
  <si>
    <t>820319-1000000</t>
  </si>
  <si>
    <t>720603-1000000</t>
  </si>
  <si>
    <t>720119-1000000</t>
  </si>
  <si>
    <t>790709-1000000</t>
  </si>
  <si>
    <t>640524-1000000</t>
  </si>
  <si>
    <t>810921-1000000</t>
  </si>
  <si>
    <t>890529-1000000</t>
  </si>
  <si>
    <t>010-20478679</t>
  </si>
  <si>
    <t>성남</t>
  </si>
  <si>
    <t>010-3374-6391</t>
  </si>
  <si>
    <t>010-6289-0405</t>
  </si>
  <si>
    <t>010-9547-0316</t>
  </si>
  <si>
    <t xml:space="preserve"> 신축공사</t>
  </si>
  <si>
    <t>신세계</t>
  </si>
  <si>
    <t>갈매 지식산업센타</t>
  </si>
  <si>
    <t>장한전기</t>
  </si>
  <si>
    <t>과천 지에프 알앤디</t>
  </si>
  <si>
    <t>평택브레인씨티 2블럭</t>
  </si>
  <si>
    <t>일신전업</t>
  </si>
  <si>
    <t>신규채용</t>
  </si>
  <si>
    <t xml:space="preserve">김천 푸르지오 더 퍼스트 </t>
  </si>
  <si>
    <t>오무전력</t>
  </si>
  <si>
    <t>세종 다이소 물류센터</t>
  </si>
  <si>
    <t>동문건설</t>
  </si>
  <si>
    <t>원주 관설동 동문 디 이스트</t>
  </si>
  <si>
    <t>현대엔지리어링</t>
  </si>
  <si>
    <t>㈜포스코</t>
  </si>
  <si>
    <t>십정2구역 주거환경개선사업</t>
  </si>
  <si>
    <t>한강메트로자이</t>
  </si>
  <si>
    <t>지승건설</t>
  </si>
  <si>
    <t>IS동서</t>
  </si>
  <si>
    <t>남양주 에일린에뜰 APT 현장</t>
  </si>
  <si>
    <t>남광전기</t>
  </si>
  <si>
    <t>천안</t>
  </si>
  <si>
    <t>서북구</t>
  </si>
  <si>
    <t>DL건설</t>
  </si>
  <si>
    <t>E편한세상 주안 에듀서밋</t>
  </si>
  <si>
    <t>여의구역 본계약 전기공사</t>
  </si>
  <si>
    <t>옥천 현장 전기공사</t>
  </si>
  <si>
    <t>파주운정지구 도시지원 4-5,6,7,8,9BL(1단지) 및 4-4BL(2단지) 오피스텔 신축공사</t>
  </si>
  <si>
    <t>대우 안산브리파크현장</t>
  </si>
  <si>
    <t>일반건축물,공장형 가능</t>
  </si>
  <si>
    <t>19년</t>
  </si>
  <si>
    <t>계산동</t>
  </si>
  <si>
    <t>힐스테이트 레이크 송도4차</t>
  </si>
  <si>
    <t>시티오씨엘 3단지</t>
  </si>
  <si>
    <t>작전동 현대아파트 재개발</t>
  </si>
  <si>
    <t>강지성</t>
  </si>
  <si>
    <t>정  권</t>
  </si>
  <si>
    <t>760210-1025317</t>
  </si>
  <si>
    <t>010-2735-8627</t>
  </si>
  <si>
    <t>중량구</t>
  </si>
  <si>
    <t>노원구</t>
  </si>
  <si>
    <t>남양주시</t>
  </si>
  <si>
    <t>은평구</t>
  </si>
  <si>
    <t xml:space="preserve">장위6구역 아파트 신축공사 </t>
  </si>
  <si>
    <t>롯대건설</t>
  </si>
  <si>
    <t>구리 인창 C구역 아파트 신축공사</t>
  </si>
  <si>
    <t>범양 건영</t>
  </si>
  <si>
    <t>구미 범양 레우스 신축공사</t>
  </si>
  <si>
    <t>대광 건영</t>
  </si>
  <si>
    <t>내포 신도시 대광 건영 신축공사</t>
  </si>
  <si>
    <t>태봉 공원 내  공동주택  신축공사</t>
  </si>
  <si>
    <t>현대 엔지니어링</t>
  </si>
  <si>
    <t>시흥 지식산업센터</t>
  </si>
  <si>
    <t>현대 산업개발</t>
  </si>
  <si>
    <t>잠실 진주아파트 재개발</t>
  </si>
  <si>
    <t>대우 건설</t>
  </si>
  <si>
    <t>탕정 푸르지오 리버파크</t>
  </si>
  <si>
    <t xml:space="preserve"> O</t>
  </si>
  <si>
    <t>010-9316-4142</t>
  </si>
  <si>
    <t>35년</t>
  </si>
  <si>
    <t>영등포구</t>
  </si>
  <si>
    <t>DL E&amp;C</t>
  </si>
  <si>
    <t>문정 힐스테이트 e편한세상</t>
  </si>
  <si>
    <t>세원전설</t>
  </si>
  <si>
    <t>인천 경서3구역 오피스텔 신축공사 전기설비공사(1공구)</t>
  </si>
  <si>
    <t>남악오룡 36BL 시티프라디움 신축공사(전기,통신공사)</t>
  </si>
  <si>
    <t>E편한세상 주안 에듀서밋 (인천우진주택재건축)</t>
  </si>
  <si>
    <t>홍천 금호어울림 더퍼스트</t>
  </si>
  <si>
    <t>천안성성2지구 A1BL 공동주택</t>
  </si>
  <si>
    <t>700929-1182617</t>
  </si>
  <si>
    <t>010-8708-3693</t>
  </si>
  <si>
    <t>서해선복선전철4공구</t>
  </si>
  <si>
    <t>㈜넥선</t>
  </si>
  <si>
    <t>신영지웰</t>
  </si>
  <si>
    <t>파주운정3지구A42블럭</t>
  </si>
  <si>
    <t>㈜협인</t>
  </si>
  <si>
    <t>한화건서설</t>
  </si>
  <si>
    <t>가평프리엄빌리지</t>
  </si>
  <si>
    <t>울산모듈3공장</t>
  </si>
  <si>
    <t>효진전기</t>
  </si>
  <si>
    <t>케이티</t>
  </si>
  <si>
    <t>SK 탤래콤재난망 기지국</t>
  </si>
  <si>
    <t>보보스</t>
  </si>
  <si>
    <t>경기도서관</t>
  </si>
  <si>
    <t>부영에너택</t>
  </si>
  <si>
    <t>서대문센트럴아이파크</t>
  </si>
  <si>
    <t>대일전기산업</t>
  </si>
  <si>
    <t>마곡MICE 복합단지특별계획</t>
  </si>
  <si>
    <t>송림2지구주상복합아파트</t>
  </si>
  <si>
    <t>김 동 석</t>
  </si>
  <si>
    <t>강 용</t>
  </si>
  <si>
    <t>김 용</t>
  </si>
  <si>
    <t>양규성</t>
    <phoneticPr fontId="4" type="noConversion"/>
  </si>
  <si>
    <t>박규철</t>
    <phoneticPr fontId="4" type="noConversion"/>
  </si>
  <si>
    <t>차광식</t>
    <phoneticPr fontId="4" type="noConversion"/>
  </si>
  <si>
    <t>상록구</t>
  </si>
  <si>
    <t>송도E5블록 주상복합현장</t>
  </si>
  <si>
    <t>중선ITC</t>
  </si>
  <si>
    <t>까뮤이엔씨</t>
  </si>
  <si>
    <t>안성성은지구물류센터</t>
  </si>
  <si>
    <t>과천 스마트허브현장</t>
  </si>
  <si>
    <t>태성산업사</t>
  </si>
  <si>
    <t>송림동 A6BL APT현장</t>
  </si>
  <si>
    <t xml:space="preserve"> 포스코건설</t>
  </si>
  <si>
    <t>송도신도시 B5블록현장</t>
  </si>
  <si>
    <t>지티일렉콘</t>
  </si>
  <si>
    <t>대우산업개발</t>
  </si>
  <si>
    <t>부창구역 주택재개발</t>
  </si>
  <si>
    <t>관악구 신림동APT현장</t>
  </si>
  <si>
    <t>대일전기</t>
  </si>
  <si>
    <t>박옥수</t>
    <phoneticPr fontId="4" type="noConversion"/>
  </si>
  <si>
    <t>전봉기</t>
    <phoneticPr fontId="4" type="noConversion"/>
  </si>
  <si>
    <t>정진형</t>
    <phoneticPr fontId="4" type="noConversion"/>
  </si>
  <si>
    <t>조영종</t>
    <phoneticPr fontId="4" type="noConversion"/>
  </si>
  <si>
    <t>은명구</t>
  </si>
  <si>
    <t>청주</t>
  </si>
  <si>
    <t>24년</t>
  </si>
  <si>
    <t>유성구</t>
  </si>
  <si>
    <t>010-281-7876</t>
  </si>
  <si>
    <t>충부</t>
  </si>
  <si>
    <t>23년</t>
  </si>
  <si>
    <t>13년</t>
  </si>
  <si>
    <t>광산구</t>
  </si>
  <si>
    <t>삼호건설
삼성건설</t>
  </si>
  <si>
    <t>동양건설</t>
  </si>
  <si>
    <t>라인건설</t>
  </si>
  <si>
    <t>하남1A B/L 푸르지오</t>
  </si>
  <si>
    <t>지역난방</t>
  </si>
  <si>
    <t>SK 하이닉스</t>
  </si>
  <si>
    <t>원건설</t>
  </si>
  <si>
    <t>송절동 힐데스하임</t>
  </si>
  <si>
    <t>현대</t>
  </si>
  <si>
    <t>터미널 신축 공사</t>
  </si>
  <si>
    <t>현대엔지이어링</t>
  </si>
  <si>
    <t>고속버스터미널 공사</t>
  </si>
  <si>
    <t>BJ소양</t>
  </si>
  <si>
    <t>책마을공사</t>
  </si>
  <si>
    <t>대우건설</t>
    <phoneticPr fontId="4" type="noConversion"/>
  </si>
  <si>
    <t>세운헤리시티현장</t>
  </si>
  <si>
    <t>세운헤리시티현장</t>
    <phoneticPr fontId="4" type="noConversion"/>
  </si>
  <si>
    <t>동대문구</t>
  </si>
  <si>
    <t>파주 푸르지오 파르세나</t>
  </si>
  <si>
    <t>계룡건설</t>
  </si>
  <si>
    <t>아산탕정 2-A8BL 민간참여</t>
  </si>
  <si>
    <t>우경전기㈜</t>
  </si>
  <si>
    <t>천안 신부동 공동주택 신축</t>
  </si>
  <si>
    <t>530407-1541016</t>
  </si>
  <si>
    <t>010-9196-5799</t>
  </si>
  <si>
    <t>010-5348-6211</t>
  </si>
  <si>
    <t>010-7169-6890</t>
  </si>
  <si>
    <t>010-2066-6890</t>
  </si>
  <si>
    <t>부천</t>
  </si>
  <si>
    <t>010-4490-3211</t>
  </si>
  <si>
    <t>010-3241-6329</t>
  </si>
  <si>
    <t>010-3455-9922</t>
  </si>
  <si>
    <t>광주신세계 백화정 RM</t>
  </si>
  <si>
    <t>DL ENC</t>
  </si>
  <si>
    <t>아파트</t>
  </si>
  <si>
    <t>소사역 주상복합</t>
  </si>
  <si>
    <t>두산</t>
  </si>
  <si>
    <t>장충동 주택</t>
  </si>
  <si>
    <t>삼호 인천 효성동 아파트</t>
  </si>
  <si>
    <t>호텔신라</t>
  </si>
  <si>
    <t>인천공항 면세점 리모델링 공사</t>
  </si>
  <si>
    <t>호텔,아파트,물류센터</t>
  </si>
  <si>
    <t>공사</t>
    <phoneticPr fontId="4" type="noConversion"/>
  </si>
  <si>
    <t>과장</t>
    <phoneticPr fontId="4" type="noConversion"/>
  </si>
  <si>
    <t>기능공</t>
    <phoneticPr fontId="4" type="noConversion"/>
  </si>
  <si>
    <t>차장</t>
    <phoneticPr fontId="4" type="noConversion"/>
  </si>
  <si>
    <t>공무</t>
    <phoneticPr fontId="4" type="noConversion"/>
  </si>
  <si>
    <t>대리</t>
    <phoneticPr fontId="4" type="noConversion"/>
  </si>
  <si>
    <t>730805-1000000</t>
  </si>
  <si>
    <t>691209-1000000</t>
  </si>
  <si>
    <t>811003-1000000</t>
  </si>
  <si>
    <t>770418-1000000</t>
  </si>
  <si>
    <t>670918-1000000</t>
  </si>
  <si>
    <t>890602-1000000</t>
  </si>
  <si>
    <t>금정구</t>
  </si>
  <si>
    <t>영동군</t>
  </si>
  <si>
    <t>김해시</t>
  </si>
  <si>
    <t>스타필드 수원 소방1공구</t>
  </si>
  <si>
    <t>조영일렉컴</t>
  </si>
  <si>
    <t>현대그로비스 물류센타</t>
  </si>
  <si>
    <t>바원엔지니어</t>
  </si>
  <si>
    <t>중랑</t>
  </si>
  <si>
    <t>김천</t>
  </si>
  <si>
    <t>장안</t>
  </si>
  <si>
    <t>해운대</t>
  </si>
  <si>
    <t>대덕</t>
  </si>
  <si>
    <t>부평</t>
  </si>
  <si>
    <t>계룡</t>
  </si>
  <si>
    <t>시흥</t>
  </si>
  <si>
    <t>파주스튜디오1,2신축공사</t>
  </si>
  <si>
    <t>대우산업개발 김해장유 1단지</t>
  </si>
  <si>
    <t>신세계건설 부산 프리미엄 아울렛</t>
  </si>
  <si>
    <t>010-2478-7704</t>
  </si>
  <si>
    <t>래미안원베일리</t>
  </si>
  <si>
    <t>강남832</t>
  </si>
  <si>
    <t>종합전기</t>
  </si>
  <si>
    <t>포항환로공원2차</t>
  </si>
  <si>
    <t>현대갤러리</t>
  </si>
  <si>
    <t>홍천금호어울림더퍼스트</t>
  </si>
  <si>
    <t>여주 교동 지역주택조합</t>
  </si>
  <si>
    <t>작전동 아파트 신축공사</t>
  </si>
  <si>
    <t>010-53345198</t>
  </si>
  <si>
    <t>충주 배터리 공장 신축공사</t>
  </si>
  <si>
    <t>주문진 서희 스타힐스 신축공사</t>
  </si>
  <si>
    <t>㈜유명이엔씨</t>
  </si>
  <si>
    <t>대림건설</t>
  </si>
  <si>
    <t>부평 이편한세상 현장</t>
  </si>
  <si>
    <t>이편한 세상 한숨시티 현장</t>
  </si>
  <si>
    <t>삼원전공</t>
  </si>
  <si>
    <t>천안 노태공원 현장</t>
  </si>
  <si>
    <t>논현동 주상복합 현장</t>
  </si>
  <si>
    <t>홍성 중흥 아이스클래스 현장</t>
  </si>
  <si>
    <t>경우전기</t>
  </si>
  <si>
    <t>수원덕산병원</t>
  </si>
  <si>
    <t>경우이앤씨</t>
  </si>
  <si>
    <t>포스코</t>
  </si>
  <si>
    <t>엄궁 리오몬트</t>
  </si>
  <si>
    <t>평택 브레인시티 2BL</t>
  </si>
  <si>
    <t>울산 우정에피트</t>
  </si>
  <si>
    <t>SK에코플랜트</t>
  </si>
  <si>
    <t>청주 SK VIEW</t>
  </si>
  <si>
    <t>삼진일렉스</t>
  </si>
  <si>
    <t>장충동 주택공사</t>
  </si>
  <si>
    <t>010-9153-8763</t>
  </si>
  <si>
    <t>안성 승두 서희 스타힐스 APT</t>
  </si>
  <si>
    <t>이테크건설</t>
  </si>
  <si>
    <t>주성엔지니어링 광주오포공장 신축공사</t>
  </si>
  <si>
    <t>㈜영풍전력설비</t>
  </si>
  <si>
    <t>제일풍경체</t>
  </si>
  <si>
    <t>의정부 제일풍경채 오피스텔</t>
  </si>
  <si>
    <t>신아이엔지</t>
  </si>
  <si>
    <t>대광</t>
  </si>
  <si>
    <t>의정부 대광 로제빌 아파트</t>
  </si>
  <si>
    <t xml:space="preserve">LH </t>
  </si>
  <si>
    <t>인천 검단 LH아파트</t>
  </si>
  <si>
    <t>GNS 이엔지</t>
  </si>
  <si>
    <t>전공</t>
    <phoneticPr fontId="4" type="noConversion"/>
  </si>
  <si>
    <t>청주</t>
    <phoneticPr fontId="4" type="noConversion"/>
  </si>
  <si>
    <t>구리</t>
  </si>
  <si>
    <t>구리</t>
    <phoneticPr fontId="4" type="noConversion"/>
  </si>
  <si>
    <t>용인</t>
    <phoneticPr fontId="4" type="noConversion"/>
  </si>
  <si>
    <t>서울</t>
    <phoneticPr fontId="4" type="noConversion"/>
  </si>
  <si>
    <t>경기</t>
    <phoneticPr fontId="4" type="noConversion"/>
  </si>
  <si>
    <t>충남</t>
    <phoneticPr fontId="4" type="noConversion"/>
  </si>
  <si>
    <t>경남</t>
    <phoneticPr fontId="4" type="noConversion"/>
  </si>
  <si>
    <t>아츠논현</t>
  </si>
  <si>
    <t>세움테크윈</t>
  </si>
  <si>
    <t>HDC현대산업개발</t>
  </si>
  <si>
    <t>개포동 디에이치 퍼스티어 아이파크</t>
  </si>
  <si>
    <t>부평4구역 주택재개발 정비사업 신축공사</t>
  </si>
  <si>
    <t>광명역세권복합단지 PF사업_2단계 전기공사</t>
  </si>
  <si>
    <t>진명이엔씨</t>
  </si>
  <si>
    <t>복합 판매시설</t>
  </si>
  <si>
    <t>580123-1000000</t>
  </si>
  <si>
    <t>680601-2000000</t>
  </si>
  <si>
    <t>690522-1000000</t>
  </si>
  <si>
    <t>680518-1000000</t>
  </si>
  <si>
    <t>750417-1000000</t>
  </si>
  <si>
    <t>631017-1000000</t>
  </si>
  <si>
    <t>680916-1000000</t>
  </si>
  <si>
    <t>811215-1000000</t>
  </si>
  <si>
    <t>이사</t>
  </si>
  <si>
    <t>일산서구</t>
  </si>
  <si>
    <t>강북구</t>
  </si>
  <si>
    <t>여의도 오피스텔</t>
  </si>
  <si>
    <t>일산자이3차 APT</t>
  </si>
  <si>
    <t>우광기전</t>
  </si>
  <si>
    <t>로카우스 호텔</t>
  </si>
  <si>
    <t>한국 체육대학교</t>
  </si>
  <si>
    <t>우신전기</t>
  </si>
  <si>
    <t>더링크 호텔 웨딩</t>
  </si>
  <si>
    <t>의왕스마트 씨티(퀜템)</t>
  </si>
  <si>
    <t>750224-1031410</t>
  </si>
  <si>
    <t>함안군</t>
  </si>
  <si>
    <t>아울렛</t>
  </si>
  <si>
    <t>안성스타필드</t>
  </si>
  <si>
    <t>삼진</t>
  </si>
  <si>
    <t>중흥</t>
  </si>
  <si>
    <t>목포 중흥S클래스</t>
  </si>
  <si>
    <t>청명</t>
  </si>
  <si>
    <t>본사</t>
  </si>
  <si>
    <t>일진전기</t>
  </si>
  <si>
    <t>GTX-A 파주 차량기지</t>
  </si>
  <si>
    <t>청우</t>
  </si>
  <si>
    <t>제2여객터미널 4단계확장</t>
  </si>
  <si>
    <t>CJ</t>
  </si>
  <si>
    <t>농축 결정 플랜트</t>
  </si>
  <si>
    <t>웰크론한텍</t>
  </si>
  <si>
    <t>오시리아리조트</t>
  </si>
  <si>
    <t>삼정</t>
  </si>
  <si>
    <t>기장 오시리아 반얀트리</t>
  </si>
  <si>
    <t>동일</t>
  </si>
  <si>
    <t>가산동 한라 원앤원타워</t>
  </si>
  <si>
    <t>SK 브이원</t>
  </si>
  <si>
    <t>680330-1000000</t>
  </si>
  <si>
    <t>660714-1000000</t>
  </si>
  <si>
    <t>650424-1000000</t>
  </si>
  <si>
    <t>870720-1000000</t>
  </si>
  <si>
    <t>부천 소사특별건축구역
주상복합 신축공사</t>
  </si>
  <si>
    <t>구리 인창C구역 주택재개발
정비사업 중 일반전기공사</t>
  </si>
  <si>
    <t>별내자이더스타</t>
  </si>
  <si>
    <t>원미디텍</t>
  </si>
  <si>
    <t>현대산업개발</t>
    <phoneticPr fontId="4" type="noConversion"/>
  </si>
  <si>
    <t>씨티오씨엘 3단지</t>
  </si>
  <si>
    <t>씨티오씨엘 3단지</t>
    <phoneticPr fontId="4" type="noConversion"/>
  </si>
  <si>
    <t>송파</t>
  </si>
  <si>
    <t>성동구</t>
  </si>
  <si>
    <t>17년</t>
  </si>
  <si>
    <t>40년</t>
  </si>
  <si>
    <t>22년</t>
  </si>
  <si>
    <t>39년</t>
  </si>
  <si>
    <t>용산구</t>
  </si>
  <si>
    <t>33년</t>
  </si>
  <si>
    <t>힐스테이트 안양 펠루스</t>
  </si>
  <si>
    <t>디에이치 퍼스티어 아이파크 3공구</t>
  </si>
  <si>
    <t>구의동 아파트 공사</t>
  </si>
  <si>
    <t>청암전기</t>
  </si>
  <si>
    <t>송도 힐스테이트 4차</t>
  </si>
  <si>
    <t>상도동 주상복합</t>
  </si>
  <si>
    <t>제2롯데월드</t>
  </si>
  <si>
    <t>홍제동 아파트</t>
  </si>
  <si>
    <t>방배동6구역 주택재건축</t>
  </si>
  <si>
    <t>힐스테이트 장승베기역</t>
  </si>
  <si>
    <t>롯데월드 콩 프로젝트</t>
  </si>
  <si>
    <t>청라오토렉스</t>
  </si>
  <si>
    <t>고양시 IS동서 지식산업센터</t>
  </si>
  <si>
    <t>DL</t>
  </si>
  <si>
    <t>판교G2</t>
  </si>
  <si>
    <t>가산 데이터센터</t>
  </si>
  <si>
    <t>남해종합개발</t>
  </si>
  <si>
    <t>오네뜨 아파트</t>
  </si>
  <si>
    <t>동원산업건설</t>
  </si>
  <si>
    <t>YPP 지식센터</t>
  </si>
  <si>
    <t>현대아파트</t>
  </si>
  <si>
    <t>광화문 KT사옥 보수 인테리어</t>
  </si>
  <si>
    <t>구리 인창C구역 주택재개발</t>
  </si>
  <si>
    <t>제2롯데월드타워</t>
  </si>
  <si>
    <t>케이티 엔지니어링</t>
  </si>
  <si>
    <t>케이티 광화문 웨스트 빌딩 리뉴얼</t>
  </si>
  <si>
    <t>미동</t>
  </si>
  <si>
    <t>운정 힐스테이트</t>
  </si>
  <si>
    <t>송도 크리스탈</t>
  </si>
  <si>
    <t>구리 인창C구역 주택재개발정비사업</t>
  </si>
  <si>
    <t>남양건설</t>
  </si>
  <si>
    <t>루원복합청사</t>
  </si>
  <si>
    <t>송도힐스테이트4차</t>
  </si>
  <si>
    <t>처인구</t>
  </si>
  <si>
    <t>9년</t>
  </si>
  <si>
    <t>힐스테이트 자이 계양</t>
  </si>
  <si>
    <t>내선전기작업</t>
  </si>
  <si>
    <t>에스엠에너텍</t>
  </si>
  <si>
    <t>세운재정비촉진지구</t>
  </si>
  <si>
    <t>힐스테이트 라군인테라스</t>
  </si>
  <si>
    <t>현대오토에버</t>
  </si>
  <si>
    <t>BYC완주 스마트 물류센터</t>
  </si>
  <si>
    <t>안윤성</t>
  </si>
  <si>
    <t>전홍석</t>
  </si>
  <si>
    <t>710305-1024029</t>
  </si>
  <si>
    <t>780701-1006212</t>
  </si>
  <si>
    <t>연제구</t>
  </si>
  <si>
    <t>동두천시</t>
  </si>
  <si>
    <t>010-2832-3683</t>
  </si>
  <si>
    <t>010-5175-4950</t>
  </si>
  <si>
    <t>010-6228-9636</t>
  </si>
  <si>
    <t>강남구</t>
  </si>
  <si>
    <t>18년</t>
  </si>
  <si>
    <t>롯데CM</t>
  </si>
  <si>
    <t>전주 롯데백화점 리뉴얼</t>
  </si>
  <si>
    <t>(주)중해마루힐</t>
  </si>
  <si>
    <t>석현동 중해마루힐 신축</t>
  </si>
  <si>
    <t>㈜기광전기</t>
  </si>
  <si>
    <t>검단에코비스타</t>
  </si>
  <si>
    <t>힐스테이트</t>
  </si>
  <si>
    <t>신화방재</t>
  </si>
  <si>
    <t>루첸타워</t>
  </si>
  <si>
    <t>GS 건설</t>
  </si>
  <si>
    <t>청년주택</t>
  </si>
  <si>
    <t>중선아이티씨</t>
  </si>
  <si>
    <t>향동지식산업센터</t>
  </si>
  <si>
    <t>(주)삼화</t>
  </si>
  <si>
    <t>LIG 넥스원</t>
  </si>
  <si>
    <t>투와이스</t>
  </si>
  <si>
    <t>하남감일지구 공동주택</t>
  </si>
  <si>
    <t>㈜삼화</t>
  </si>
  <si>
    <t>강남건영</t>
  </si>
  <si>
    <t>신길청년주택</t>
  </si>
  <si>
    <t>반포자이</t>
  </si>
  <si>
    <t>인천 아파트 공사</t>
  </si>
  <si>
    <t>아파트 신축공사</t>
  </si>
  <si>
    <t>부현전기</t>
  </si>
  <si>
    <t>양주 데이터센터</t>
  </si>
  <si>
    <t xml:space="preserve">SK </t>
  </si>
  <si>
    <t>양구 데이터센터</t>
  </si>
  <si>
    <t>SPNE</t>
  </si>
  <si>
    <t>삼척화력</t>
  </si>
  <si>
    <t>㈜신보</t>
  </si>
  <si>
    <t>숭의동 아파트 신축</t>
  </si>
  <si>
    <t>코오롱 건설</t>
  </si>
  <si>
    <t>평택고덕사무동</t>
  </si>
  <si>
    <t>경우E.N.C</t>
  </si>
  <si>
    <t>평택삼성 사무동</t>
  </si>
  <si>
    <t>삼성중공업</t>
  </si>
  <si>
    <t>평택 삼성</t>
  </si>
  <si>
    <t>하영테크</t>
  </si>
  <si>
    <t>광화문 KT</t>
  </si>
  <si>
    <t>미지엔지니어링</t>
  </si>
  <si>
    <t>디에이치 퍼스티어 아이파크</t>
  </si>
  <si>
    <t>힐스테이트 하버하우스</t>
  </si>
  <si>
    <t>대우조선해양</t>
  </si>
  <si>
    <t>오이도 거북섬 3블럭현장</t>
  </si>
  <si>
    <t>김포 현대 힐스테이트</t>
  </si>
  <si>
    <t>경우이엔씨</t>
  </si>
  <si>
    <t>봉래구역 제1지구 재개발사업</t>
  </si>
  <si>
    <t>청량리 힐스테이트</t>
  </si>
  <si>
    <t>730121-1000000</t>
  </si>
  <si>
    <t>000210-3000000</t>
  </si>
  <si>
    <t>630408-1000000</t>
  </si>
  <si>
    <t>631122-1000000</t>
  </si>
  <si>
    <t>591204-1000000</t>
  </si>
  <si>
    <t>730401-1000000</t>
  </si>
  <si>
    <t>740803-1000000</t>
  </si>
  <si>
    <t>740823-1000000</t>
  </si>
  <si>
    <t>790315-5000000</t>
  </si>
  <si>
    <t>710116-5000000</t>
  </si>
  <si>
    <t>681022-6000000</t>
  </si>
  <si>
    <t>동두천</t>
  </si>
  <si>
    <t>계양</t>
  </si>
  <si>
    <t>010-9897-1389</t>
  </si>
  <si>
    <t>광명 2R구역 주택 재개발</t>
  </si>
  <si>
    <t>천안 부창구역 주택개발</t>
  </si>
  <si>
    <t>가산3차 SK V1신축공사</t>
  </si>
  <si>
    <t>봉등전기</t>
  </si>
  <si>
    <t>인천 귤현동현장</t>
  </si>
  <si>
    <t>석주기업</t>
  </si>
  <si>
    <t>LG사이언스파크 DP2 신축공사</t>
  </si>
  <si>
    <t>조이현</t>
  </si>
  <si>
    <t>황동엽</t>
  </si>
  <si>
    <t>임동환</t>
  </si>
  <si>
    <t>박종우</t>
  </si>
  <si>
    <t>김명휘</t>
  </si>
  <si>
    <t>박인순</t>
  </si>
  <si>
    <t>임태양</t>
  </si>
  <si>
    <t>이견우</t>
  </si>
  <si>
    <t>김한샘</t>
  </si>
  <si>
    <t>이효원</t>
  </si>
  <si>
    <t>890713-1908510</t>
  </si>
  <si>
    <t>941223-1149511</t>
  </si>
  <si>
    <t>761125-1155616</t>
  </si>
  <si>
    <t>670316-1449615</t>
  </si>
  <si>
    <t>841016-1467013</t>
  </si>
  <si>
    <t>001121-3409924</t>
  </si>
  <si>
    <t>860126-1628511</t>
  </si>
  <si>
    <t>861129-1910315</t>
  </si>
  <si>
    <t>950326-1151822</t>
  </si>
  <si>
    <t>720329-1253710</t>
  </si>
  <si>
    <t>840131-1238717</t>
  </si>
  <si>
    <t>720425-1674022</t>
  </si>
  <si>
    <t>030121-3254621</t>
  </si>
  <si>
    <t>740911-1057911</t>
  </si>
  <si>
    <t>780208-1183515</t>
  </si>
  <si>
    <t>대덕구</t>
  </si>
  <si>
    <t>고흥군</t>
  </si>
  <si>
    <t>양평군</t>
  </si>
  <si>
    <t>기장군</t>
  </si>
  <si>
    <t>권서구</t>
  </si>
  <si>
    <t>서대문구</t>
  </si>
  <si>
    <t>동안구</t>
  </si>
  <si>
    <t>만안구</t>
  </si>
  <si>
    <t>010-9875-9863</t>
  </si>
  <si>
    <t>010-2361-9423</t>
  </si>
  <si>
    <t>원미구</t>
  </si>
  <si>
    <t>단원구</t>
  </si>
  <si>
    <t>010-5581-2196</t>
  </si>
  <si>
    <t>010-8864-8500</t>
  </si>
  <si>
    <t>010-6740-9869</t>
  </si>
  <si>
    <t>010-2865-5900</t>
  </si>
  <si>
    <t>010-2840-7695</t>
  </si>
  <si>
    <t>010-4085-8410</t>
  </si>
  <si>
    <t>010-6360-8750</t>
  </si>
  <si>
    <t>010-4113-5176</t>
  </si>
  <si>
    <t>010-2573-9727</t>
  </si>
  <si>
    <t>010-8665-2290</t>
  </si>
  <si>
    <t>010-7756-5176</t>
  </si>
  <si>
    <t>010-4532-0911</t>
  </si>
  <si>
    <t>010-2339-3318</t>
  </si>
  <si>
    <t>일성건설</t>
  </si>
  <si>
    <t>삼성디스플레이 기흥캠퍼스 
재배치2단계</t>
  </si>
  <si>
    <t>성진이앤씨</t>
  </si>
  <si>
    <t>(주)금양 전지 3억셀 토건/
Utility Project 공사</t>
  </si>
  <si>
    <t>음성푸르지오 더퍼스트파크</t>
  </si>
  <si>
    <t>삼성전자</t>
  </si>
  <si>
    <t>P4, PH3 전기 훅업 공사</t>
  </si>
  <si>
    <t>두원이엔지</t>
  </si>
  <si>
    <t>삼성E&amp;A</t>
  </si>
  <si>
    <t>송도삼성바이오 5공장</t>
  </si>
  <si>
    <t>기흥NRD-K 신축공사</t>
  </si>
  <si>
    <t>SBL P5 EPCV PJ</t>
  </si>
  <si>
    <t>보성엔지니어링</t>
  </si>
  <si>
    <t>영통푸르지오트레센츠</t>
  </si>
  <si>
    <t>공항공사</t>
  </si>
  <si>
    <t>인천공항4기 phase3 본매장공사</t>
  </si>
  <si>
    <t>면세점공사</t>
  </si>
  <si>
    <t>천안C라인 마감공사</t>
  </si>
  <si>
    <t>고양삼송 이지스데이터센터</t>
  </si>
  <si>
    <t>천안삼성 C라인 마감공사</t>
  </si>
  <si>
    <t>수원삼성전자 소방공사</t>
  </si>
  <si>
    <t>동호이엔씨</t>
  </si>
  <si>
    <t>롯데건설 청담삼익아파트</t>
  </si>
  <si>
    <t>동양이엔씨</t>
  </si>
  <si>
    <t>송도삼성바이오</t>
  </si>
  <si>
    <t>용인SK하이닉스</t>
  </si>
  <si>
    <t>삼원전기</t>
  </si>
  <si>
    <t>포천송우리대우푸르지오
공동주택신축공사</t>
  </si>
  <si>
    <t>오토리카</t>
  </si>
  <si>
    <t>LGES MI(LG엔솔 미시간)</t>
  </si>
  <si>
    <t>반도체</t>
  </si>
  <si>
    <t>평택현대모비스 모듈4공장</t>
  </si>
  <si>
    <t>일메테크</t>
  </si>
  <si>
    <t>대룡건설</t>
  </si>
  <si>
    <t>구로대룡포스트타워 9차</t>
  </si>
  <si>
    <t>신화전공</t>
  </si>
  <si>
    <t>이천 SK하이닉스 M16</t>
  </si>
  <si>
    <t>삼성바이오로직스 5공장</t>
  </si>
  <si>
    <t>삼성반도체</t>
  </si>
  <si>
    <t>하나이엔지</t>
  </si>
  <si>
    <t>SK 3차</t>
  </si>
  <si>
    <t>삼성바이오 ADC</t>
  </si>
  <si>
    <t>건우이엔지</t>
  </si>
  <si>
    <t>군산프로젝트</t>
  </si>
  <si>
    <t>정훈전기</t>
  </si>
  <si>
    <t>마스타시스템</t>
  </si>
  <si>
    <t>송도 TOK</t>
  </si>
  <si>
    <t>쌍용 센트럴타워</t>
  </si>
  <si>
    <t>유진전기</t>
  </si>
  <si>
    <t>(자)동화</t>
  </si>
  <si>
    <t>삼성ADC</t>
  </si>
  <si>
    <t>삼성바이오</t>
  </si>
  <si>
    <t>은민에스엔디</t>
  </si>
  <si>
    <t>청주 SK하이닉스</t>
  </si>
  <si>
    <t>세보엠이씨</t>
  </si>
  <si>
    <t>삼성바이오 5공장 ADC현장</t>
  </si>
  <si>
    <t>대명</t>
  </si>
  <si>
    <t>동원건설</t>
  </si>
  <si>
    <t>쿠팡 23센터</t>
  </si>
  <si>
    <t>형지글로벌</t>
  </si>
  <si>
    <t>원산</t>
  </si>
  <si>
    <t>삼성바이오 5차</t>
  </si>
  <si>
    <t>미동E&amp;C</t>
  </si>
  <si>
    <t xml:space="preserve">청담르엘 아파트 </t>
  </si>
  <si>
    <t>광명 1R구역 주택재개밸 정비사업</t>
  </si>
  <si>
    <t>석남동 쿠팡 31센터</t>
  </si>
  <si>
    <t>청라 스타필드</t>
  </si>
  <si>
    <t>인프라이엔씨</t>
  </si>
  <si>
    <t>삼성바이오로직스 송도ADC현장</t>
  </si>
  <si>
    <t>삼성바이오로직스</t>
  </si>
  <si>
    <t>가가이엔지</t>
  </si>
  <si>
    <t>삼성바이오 5공장</t>
  </si>
  <si>
    <t>롯데호텔</t>
  </si>
  <si>
    <t>삼보종합이앤씨</t>
  </si>
  <si>
    <t>삼성 화성캠퍼스 MR1</t>
  </si>
  <si>
    <t>KES</t>
  </si>
  <si>
    <t>평택 삼성전자 P3</t>
  </si>
  <si>
    <t>모리홀 식당 리모델링</t>
  </si>
  <si>
    <t>송도주상복합 신축공사</t>
  </si>
  <si>
    <t>우진AND</t>
  </si>
  <si>
    <t>청주 m15x</t>
  </si>
  <si>
    <t>매교역 팰루시드</t>
  </si>
  <si>
    <t>일렉파워</t>
  </si>
  <si>
    <t>한화이노베이션</t>
  </si>
  <si>
    <t>가평CIC</t>
  </si>
  <si>
    <t>삼영전기</t>
  </si>
  <si>
    <t>세종텔레콤</t>
  </si>
  <si>
    <t>SKM15</t>
  </si>
  <si>
    <t>대명전기</t>
  </si>
  <si>
    <t>인천</t>
    <phoneticPr fontId="4" type="noConversion"/>
  </si>
  <si>
    <t>대구</t>
    <phoneticPr fontId="4" type="noConversion"/>
  </si>
  <si>
    <t>광주(전)</t>
    <phoneticPr fontId="4" type="noConversion"/>
  </si>
  <si>
    <t>안산</t>
    <phoneticPr fontId="4" type="noConversion"/>
  </si>
  <si>
    <t>경북</t>
    <phoneticPr fontId="4" type="noConversion"/>
  </si>
  <si>
    <t>강원</t>
    <phoneticPr fontId="4" type="noConversion"/>
  </si>
  <si>
    <t>남구</t>
    <phoneticPr fontId="4" type="noConversion"/>
  </si>
  <si>
    <t>아산</t>
  </si>
  <si>
    <t>아산</t>
    <phoneticPr fontId="4" type="noConversion"/>
  </si>
  <si>
    <t>전북</t>
    <phoneticPr fontId="4" type="noConversion"/>
  </si>
  <si>
    <t>당진</t>
  </si>
  <si>
    <t>진안</t>
  </si>
  <si>
    <t>영주</t>
  </si>
  <si>
    <t>울진</t>
  </si>
  <si>
    <t>의왕</t>
  </si>
  <si>
    <t>하남</t>
  </si>
  <si>
    <t>상주</t>
  </si>
  <si>
    <t>영도</t>
  </si>
  <si>
    <t>정읍</t>
    <phoneticPr fontId="4" type="noConversion"/>
  </si>
  <si>
    <t>동두천</t>
    <phoneticPr fontId="4" type="noConversion"/>
  </si>
  <si>
    <t>양주</t>
    <phoneticPr fontId="4" type="noConversion"/>
  </si>
  <si>
    <t>남양주</t>
    <phoneticPr fontId="4" type="noConversion"/>
  </si>
  <si>
    <t>괴산</t>
    <phoneticPr fontId="4" type="noConversion"/>
  </si>
  <si>
    <t>목포</t>
    <phoneticPr fontId="4" type="noConversion"/>
  </si>
  <si>
    <t>김제</t>
    <phoneticPr fontId="4" type="noConversion"/>
  </si>
  <si>
    <t>통영</t>
    <phoneticPr fontId="4" type="noConversion"/>
  </si>
  <si>
    <t>구미</t>
    <phoneticPr fontId="4" type="noConversion"/>
  </si>
  <si>
    <t>690406-1450912</t>
    <phoneticPr fontId="4" type="noConversion"/>
  </si>
  <si>
    <t>안전관리자</t>
    <phoneticPr fontId="4" type="noConversion"/>
  </si>
  <si>
    <t>O</t>
    <phoneticPr fontId="4" type="noConversion"/>
  </si>
  <si>
    <t>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</si>
</sst>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[Blue]\▼#,##0%;[Red]\▲#,##0%;[Black]&quot;-&quot;"/>
    <numFmt numFmtId="178" formatCode="#,###&quot;년&quot;"/>
    <numFmt numFmtId="179" formatCode="#,##0_ "/>
    <numFmt numFmtId="180" formatCode="######.000\-#"/>
    <numFmt numFmtId="181" formatCode="######\-#&quot;******&quot;"/>
    <numFmt numFmtId="182" formatCode="#,###"/>
  </numFmts>
  <fonts count="26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6"/>
      <color theme="1"/>
      <name val="맑은 고딕"/>
      <family val="3"/>
      <charset val="129"/>
    </font>
    <font>
      <b/>
      <sz val="26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theme="1"/>
      <name val="맑은 고딕"/>
      <family val="1"/>
      <charset val="129"/>
    </font>
    <font>
      <sz val="11"/>
      <color rgb="FFFF0000"/>
      <name val="맑은 고딕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맑은 고딕"/>
      <family val="3"/>
      <charset val="129"/>
      <scheme val="major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sz val="14"/>
      <color indexed="81"/>
      <name val="Tahoma"/>
      <family val="2"/>
    </font>
    <font>
      <sz val="14"/>
      <color indexed="8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8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otted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5" fillId="0" borderId="41" applyFill="0" applyBorder="0" applyProtection="0">
      <alignment horizontal="center" vertical="center"/>
    </xf>
    <xf numFmtId="0" fontId="15" fillId="0" borderId="46" applyFill="0" applyBorder="0" applyProtection="0">
      <alignment horizont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3" applyFont="1">
      <alignment vertical="center"/>
    </xf>
    <xf numFmtId="0" fontId="8" fillId="0" borderId="0" xfId="3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6" fillId="2" borderId="3" xfId="3" applyFont="1" applyFill="1" applyBorder="1" applyAlignment="1">
      <alignment horizontal="centerContinuous" vertical="center"/>
    </xf>
    <xf numFmtId="0" fontId="6" fillId="2" borderId="5" xfId="3" applyFont="1" applyFill="1" applyBorder="1" applyAlignment="1">
      <alignment horizontal="centerContinuous" vertical="center"/>
    </xf>
    <xf numFmtId="0" fontId="6" fillId="2" borderId="6" xfId="3" applyFont="1" applyFill="1" applyBorder="1" applyAlignment="1">
      <alignment horizontal="centerContinuous" vertical="center"/>
    </xf>
    <xf numFmtId="0" fontId="6" fillId="2" borderId="7" xfId="3" applyFont="1" applyFill="1" applyBorder="1" applyAlignment="1">
      <alignment horizontal="centerContinuous" vertical="center"/>
    </xf>
    <xf numFmtId="0" fontId="6" fillId="2" borderId="8" xfId="3" applyFont="1" applyFill="1" applyBorder="1" applyAlignment="1">
      <alignment horizontal="centerContinuous" vertical="center"/>
    </xf>
    <xf numFmtId="0" fontId="6" fillId="0" borderId="17" xfId="0" applyFont="1" applyBorder="1" applyAlignment="1">
      <alignment horizontal="center" vertical="center"/>
    </xf>
    <xf numFmtId="0" fontId="10" fillId="0" borderId="18" xfId="3" applyFont="1" applyBorder="1" applyAlignment="1">
      <alignment horizontal="center" vertical="center"/>
    </xf>
    <xf numFmtId="180" fontId="10" fillId="0" borderId="19" xfId="1" applyNumberFormat="1" applyFont="1" applyFill="1" applyBorder="1" applyAlignment="1">
      <alignment horizontal="center" vertical="center"/>
    </xf>
    <xf numFmtId="14" fontId="10" fillId="0" borderId="19" xfId="1" applyNumberFormat="1" applyFont="1" applyFill="1" applyBorder="1" applyAlignment="1">
      <alignment horizontal="center" vertical="center"/>
    </xf>
    <xf numFmtId="176" fontId="10" fillId="0" borderId="19" xfId="1" applyFont="1" applyFill="1" applyBorder="1" applyAlignment="1">
      <alignment horizontal="center" vertical="center"/>
    </xf>
    <xf numFmtId="179" fontId="10" fillId="0" borderId="19" xfId="1" applyNumberFormat="1" applyFont="1" applyFill="1" applyBorder="1" applyAlignment="1">
      <alignment horizontal="center" vertical="center"/>
    </xf>
    <xf numFmtId="176" fontId="10" fillId="0" borderId="19" xfId="4" applyFont="1" applyFill="1" applyBorder="1" applyAlignment="1">
      <alignment horizontal="center" vertical="center"/>
    </xf>
    <xf numFmtId="176" fontId="10" fillId="0" borderId="20" xfId="4" applyFont="1" applyFill="1" applyBorder="1" applyAlignment="1">
      <alignment horizontal="center" vertical="center"/>
    </xf>
    <xf numFmtId="178" fontId="10" fillId="0" borderId="19" xfId="3" applyNumberFormat="1" applyFont="1" applyBorder="1" applyAlignment="1">
      <alignment horizontal="center" vertical="center"/>
    </xf>
    <xf numFmtId="177" fontId="10" fillId="0" borderId="19" xfId="2" applyNumberFormat="1" applyFont="1" applyFill="1" applyBorder="1" applyAlignment="1">
      <alignment horizontal="center" vertical="center"/>
    </xf>
    <xf numFmtId="176" fontId="10" fillId="0" borderId="20" xfId="4" applyFont="1" applyFill="1" applyBorder="1" applyAlignment="1">
      <alignment vertical="center"/>
    </xf>
    <xf numFmtId="176" fontId="10" fillId="0" borderId="20" xfId="4" applyFont="1" applyFill="1" applyBorder="1" applyAlignment="1">
      <alignment horizontal="center" vertical="center" shrinkToFit="1"/>
    </xf>
    <xf numFmtId="177" fontId="10" fillId="0" borderId="21" xfId="2" applyNumberFormat="1" applyFont="1" applyFill="1" applyBorder="1" applyAlignment="1">
      <alignment horizontal="center" vertical="center"/>
    </xf>
    <xf numFmtId="176" fontId="10" fillId="3" borderId="19" xfId="1" applyFont="1" applyFill="1" applyBorder="1" applyAlignment="1">
      <alignment horizontal="center" vertical="center"/>
    </xf>
    <xf numFmtId="179" fontId="10" fillId="3" borderId="19" xfId="1" applyNumberFormat="1" applyFont="1" applyFill="1" applyBorder="1" applyAlignment="1">
      <alignment horizontal="center" vertical="center"/>
    </xf>
    <xf numFmtId="179" fontId="10" fillId="0" borderId="19" xfId="5" applyNumberFormat="1" applyFont="1" applyFill="1" applyBorder="1" applyAlignment="1">
      <alignment horizontal="center" vertical="center"/>
    </xf>
    <xf numFmtId="176" fontId="10" fillId="0" borderId="19" xfId="6" applyFont="1" applyFill="1" applyBorder="1" applyAlignment="1">
      <alignment horizontal="center" vertical="center"/>
    </xf>
    <xf numFmtId="176" fontId="10" fillId="0" borderId="20" xfId="6" applyFont="1" applyFill="1" applyBorder="1" applyAlignment="1">
      <alignment horizontal="center" vertical="center"/>
    </xf>
    <xf numFmtId="176" fontId="10" fillId="0" borderId="20" xfId="6" applyFont="1" applyFill="1" applyBorder="1" applyAlignment="1">
      <alignment vertical="center"/>
    </xf>
    <xf numFmtId="176" fontId="10" fillId="0" borderId="20" xfId="6" applyFont="1" applyFill="1" applyBorder="1" applyAlignment="1">
      <alignment horizontal="center" vertical="center" shrinkToFit="1"/>
    </xf>
    <xf numFmtId="177" fontId="10" fillId="0" borderId="21" xfId="7" applyNumberFormat="1" applyFont="1" applyFill="1" applyBorder="1" applyAlignment="1">
      <alignment horizontal="center" vertical="center"/>
    </xf>
    <xf numFmtId="179" fontId="10" fillId="3" borderId="19" xfId="5" applyNumberFormat="1" applyFont="1" applyFill="1" applyBorder="1" applyAlignment="1">
      <alignment horizontal="center" vertical="center"/>
    </xf>
    <xf numFmtId="178" fontId="10" fillId="0" borderId="20" xfId="3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180" fontId="10" fillId="0" borderId="24" xfId="1" applyNumberFormat="1" applyFont="1" applyFill="1" applyBorder="1" applyAlignment="1">
      <alignment horizontal="center" vertical="center"/>
    </xf>
    <xf numFmtId="14" fontId="10" fillId="0" borderId="24" xfId="1" applyNumberFormat="1" applyFont="1" applyFill="1" applyBorder="1" applyAlignment="1">
      <alignment horizontal="center" vertical="center"/>
    </xf>
    <xf numFmtId="176" fontId="10" fillId="0" borderId="24" xfId="1" applyFont="1" applyFill="1" applyBorder="1" applyAlignment="1">
      <alignment horizontal="center" vertical="center"/>
    </xf>
    <xf numFmtId="179" fontId="10" fillId="0" borderId="24" xfId="1" applyNumberFormat="1" applyFont="1" applyFill="1" applyBorder="1" applyAlignment="1">
      <alignment horizontal="center" vertical="center"/>
    </xf>
    <xf numFmtId="176" fontId="10" fillId="0" borderId="24" xfId="4" applyFont="1" applyFill="1" applyBorder="1" applyAlignment="1">
      <alignment horizontal="center" vertical="center"/>
    </xf>
    <xf numFmtId="176" fontId="10" fillId="0" borderId="25" xfId="4" applyFont="1" applyFill="1" applyBorder="1" applyAlignment="1">
      <alignment horizontal="center" vertical="center"/>
    </xf>
    <xf numFmtId="178" fontId="10" fillId="0" borderId="24" xfId="3" applyNumberFormat="1" applyFont="1" applyBorder="1" applyAlignment="1">
      <alignment horizontal="center" vertical="center"/>
    </xf>
    <xf numFmtId="176" fontId="10" fillId="0" borderId="25" xfId="4" applyFont="1" applyFill="1" applyBorder="1" applyAlignment="1">
      <alignment horizontal="center" vertical="center" shrinkToFit="1"/>
    </xf>
    <xf numFmtId="177" fontId="10" fillId="0" borderId="24" xfId="2" applyNumberFormat="1" applyFont="1" applyFill="1" applyBorder="1" applyAlignment="1">
      <alignment horizontal="center" vertical="center"/>
    </xf>
    <xf numFmtId="176" fontId="10" fillId="0" borderId="25" xfId="4" applyFont="1" applyFill="1" applyBorder="1" applyAlignment="1">
      <alignment vertical="center"/>
    </xf>
    <xf numFmtId="177" fontId="10" fillId="0" borderId="26" xfId="2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Continuous" vertical="center"/>
    </xf>
    <xf numFmtId="0" fontId="12" fillId="0" borderId="0" xfId="0" applyFont="1">
      <alignment vertical="center"/>
    </xf>
    <xf numFmtId="0" fontId="13" fillId="2" borderId="1" xfId="0" applyFont="1" applyFill="1" applyBorder="1" applyAlignment="1">
      <alignment horizontal="centerContinuous" vertical="center"/>
    </xf>
    <xf numFmtId="0" fontId="13" fillId="2" borderId="29" xfId="0" applyFont="1" applyFill="1" applyBorder="1" applyAlignment="1">
      <alignment horizontal="centerContinuous" vertical="center"/>
    </xf>
    <xf numFmtId="0" fontId="13" fillId="2" borderId="30" xfId="0" applyFont="1" applyFill="1" applyBorder="1" applyAlignment="1">
      <alignment horizontal="centerContinuous" vertical="center"/>
    </xf>
    <xf numFmtId="0" fontId="13" fillId="2" borderId="32" xfId="0" applyFont="1" applyFill="1" applyBorder="1" applyAlignment="1">
      <alignment horizontal="centerContinuous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Continuous" vertical="center"/>
    </xf>
    <xf numFmtId="0" fontId="13" fillId="2" borderId="5" xfId="0" applyFont="1" applyFill="1" applyBorder="1" applyAlignment="1">
      <alignment horizontal="centerContinuous" vertical="center"/>
    </xf>
    <xf numFmtId="0" fontId="13" fillId="2" borderId="28" xfId="0" applyFont="1" applyFill="1" applyBorder="1" applyAlignment="1">
      <alignment horizontal="centerContinuous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14" fontId="14" fillId="2" borderId="15" xfId="1" applyNumberFormat="1" applyFont="1" applyFill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14" fontId="14" fillId="2" borderId="19" xfId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2" borderId="19" xfId="1" applyNumberFormat="1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0" fontId="6" fillId="2" borderId="10" xfId="3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15" fillId="4" borderId="42" xfId="8" applyFill="1" applyBorder="1" applyAlignment="1" applyProtection="1">
      <alignment vertical="center"/>
    </xf>
    <xf numFmtId="0" fontId="16" fillId="5" borderId="42" xfId="8" applyFont="1" applyFill="1" applyBorder="1" applyAlignment="1" applyProtection="1">
      <alignment horizontal="center" vertical="center" wrapText="1"/>
    </xf>
    <xf numFmtId="0" fontId="16" fillId="5" borderId="42" xfId="8" applyFont="1" applyFill="1" applyBorder="1" applyProtection="1">
      <alignment horizontal="center" vertical="center"/>
    </xf>
    <xf numFmtId="0" fontId="15" fillId="0" borderId="42" xfId="8" applyFill="1" applyBorder="1" applyAlignment="1" applyProtection="1">
      <alignment vertical="center"/>
    </xf>
    <xf numFmtId="0" fontId="15" fillId="0" borderId="42" xfId="8" applyFill="1" applyBorder="1" applyProtection="1">
      <alignment horizontal="center" vertical="center"/>
    </xf>
    <xf numFmtId="0" fontId="15" fillId="0" borderId="42" xfId="8" applyFill="1" applyBorder="1" applyAlignment="1" applyProtection="1">
      <alignment horizontal="left" vertical="center"/>
    </xf>
    <xf numFmtId="182" fontId="15" fillId="0" borderId="42" xfId="8" applyNumberFormat="1" applyFill="1" applyBorder="1" applyAlignment="1" applyProtection="1">
      <alignment horizontal="right" vertical="center"/>
    </xf>
    <xf numFmtId="10" fontId="15" fillId="0" borderId="42" xfId="2" applyNumberFormat="1" applyFont="1" applyFill="1" applyBorder="1" applyAlignment="1" applyProtection="1">
      <alignment horizontal="center" vertical="center"/>
    </xf>
    <xf numFmtId="3" fontId="15" fillId="0" borderId="42" xfId="8" applyNumberFormat="1" applyFill="1" applyBorder="1" applyProtection="1">
      <alignment horizontal="center" vertical="center"/>
    </xf>
    <xf numFmtId="0" fontId="15" fillId="6" borderId="42" xfId="8" applyFill="1" applyBorder="1" applyProtection="1">
      <alignment horizontal="center" vertical="center"/>
    </xf>
    <xf numFmtId="0" fontId="15" fillId="6" borderId="42" xfId="8" applyFill="1" applyBorder="1" applyAlignment="1" applyProtection="1">
      <alignment horizontal="left" vertical="center"/>
    </xf>
    <xf numFmtId="182" fontId="15" fillId="6" borderId="42" xfId="8" applyNumberFormat="1" applyFill="1" applyBorder="1" applyAlignment="1" applyProtection="1">
      <alignment horizontal="right" vertical="center"/>
    </xf>
    <xf numFmtId="0" fontId="15" fillId="6" borderId="42" xfId="8" applyFill="1" applyBorder="1" applyAlignment="1" applyProtection="1">
      <alignment vertical="center"/>
    </xf>
    <xf numFmtId="10" fontId="15" fillId="6" borderId="42" xfId="2" applyNumberFormat="1" applyFont="1" applyFill="1" applyBorder="1" applyAlignment="1" applyProtection="1">
      <alignment horizontal="center" vertical="center"/>
    </xf>
    <xf numFmtId="3" fontId="15" fillId="6" borderId="42" xfId="8" applyNumberFormat="1" applyFill="1" applyBorder="1" applyProtection="1">
      <alignment horizontal="center" vertical="center"/>
    </xf>
    <xf numFmtId="0" fontId="15" fillId="5" borderId="42" xfId="8" applyFill="1" applyBorder="1" applyProtection="1">
      <alignment horizontal="center" vertical="center"/>
    </xf>
    <xf numFmtId="0" fontId="15" fillId="5" borderId="42" xfId="8" applyFill="1" applyBorder="1" applyAlignment="1" applyProtection="1">
      <alignment horizontal="left" vertical="center"/>
    </xf>
    <xf numFmtId="0" fontId="15" fillId="5" borderId="42" xfId="8" applyFill="1" applyBorder="1" applyAlignment="1" applyProtection="1">
      <alignment horizontal="center" vertical="top" wrapText="1"/>
    </xf>
    <xf numFmtId="182" fontId="15" fillId="5" borderId="42" xfId="8" applyNumberFormat="1" applyFill="1" applyBorder="1" applyAlignment="1" applyProtection="1">
      <alignment horizontal="right" vertical="center"/>
    </xf>
    <xf numFmtId="0" fontId="15" fillId="5" borderId="42" xfId="8" applyFill="1" applyBorder="1" applyAlignment="1" applyProtection="1">
      <alignment vertical="center"/>
    </xf>
    <xf numFmtId="10" fontId="15" fillId="5" borderId="42" xfId="2" applyNumberFormat="1" applyFont="1" applyFill="1" applyBorder="1" applyAlignment="1" applyProtection="1">
      <alignment horizontal="center" vertical="center"/>
    </xf>
    <xf numFmtId="0" fontId="0" fillId="0" borderId="43" xfId="0" applyBorder="1">
      <alignment vertical="center"/>
    </xf>
    <xf numFmtId="0" fontId="10" fillId="0" borderId="18" xfId="0" applyFont="1" applyBorder="1">
      <alignment vertical="center"/>
    </xf>
    <xf numFmtId="0" fontId="10" fillId="0" borderId="23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6" fillId="2" borderId="34" xfId="3" applyFont="1" applyFill="1" applyBorder="1" applyAlignment="1">
      <alignment horizontal="center" vertical="center"/>
    </xf>
    <xf numFmtId="0" fontId="6" fillId="2" borderId="40" xfId="3" applyFont="1" applyFill="1" applyBorder="1" applyAlignment="1">
      <alignment horizontal="center" vertical="center"/>
    </xf>
    <xf numFmtId="0" fontId="6" fillId="2" borderId="39" xfId="3" applyFont="1" applyFill="1" applyBorder="1" applyAlignment="1">
      <alignment horizontal="center" vertical="center"/>
    </xf>
    <xf numFmtId="181" fontId="10" fillId="0" borderId="19" xfId="1" applyNumberFormat="1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3" fillId="2" borderId="50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0" fontId="14" fillId="2" borderId="14" xfId="0" applyFont="1" applyFill="1" applyBorder="1">
      <alignment vertical="center"/>
    </xf>
    <xf numFmtId="0" fontId="14" fillId="2" borderId="18" xfId="0" applyFont="1" applyFill="1" applyBorder="1">
      <alignment vertical="center"/>
    </xf>
    <xf numFmtId="0" fontId="14" fillId="2" borderId="19" xfId="0" applyFont="1" applyFill="1" applyBorder="1">
      <alignment vertical="center"/>
    </xf>
    <xf numFmtId="0" fontId="14" fillId="2" borderId="15" xfId="0" applyFont="1" applyFill="1" applyBorder="1">
      <alignment vertical="center"/>
    </xf>
    <xf numFmtId="0" fontId="12" fillId="0" borderId="0" xfId="0" applyFont="1" applyAlignment="1">
      <alignment horizontal="center" vertical="center"/>
    </xf>
    <xf numFmtId="1" fontId="7" fillId="0" borderId="0" xfId="0" applyNumberFormat="1" applyFont="1">
      <alignment vertical="center"/>
    </xf>
    <xf numFmtId="176" fontId="10" fillId="0" borderId="20" xfId="4" applyFont="1" applyFill="1" applyBorder="1" applyAlignment="1">
      <alignment horizontal="center" vertical="center" wrapText="1"/>
    </xf>
    <xf numFmtId="14" fontId="10" fillId="0" borderId="19" xfId="5" applyNumberFormat="1" applyFont="1" applyFill="1" applyBorder="1" applyAlignment="1">
      <alignment horizontal="center" vertical="center"/>
    </xf>
    <xf numFmtId="176" fontId="10" fillId="3" borderId="19" xfId="5" applyFont="1" applyFill="1" applyBorder="1" applyAlignment="1">
      <alignment horizontal="center" vertical="center"/>
    </xf>
    <xf numFmtId="0" fontId="10" fillId="0" borderId="19" xfId="3" applyFont="1" applyBorder="1" applyAlignment="1">
      <alignment horizontal="center" vertical="center"/>
    </xf>
    <xf numFmtId="0" fontId="6" fillId="7" borderId="3" xfId="3" applyFont="1" applyFill="1" applyBorder="1" applyAlignment="1">
      <alignment horizontal="center" vertical="center"/>
    </xf>
    <xf numFmtId="0" fontId="6" fillId="7" borderId="10" xfId="3" applyFont="1" applyFill="1" applyBorder="1" applyAlignment="1">
      <alignment horizontal="center" vertical="center"/>
    </xf>
    <xf numFmtId="177" fontId="10" fillId="7" borderId="19" xfId="2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14" fontId="14" fillId="8" borderId="19" xfId="1" applyNumberFormat="1" applyFont="1" applyFill="1" applyBorder="1" applyAlignment="1">
      <alignment horizontal="center" vertical="center"/>
    </xf>
    <xf numFmtId="14" fontId="14" fillId="8" borderId="15" xfId="1" applyNumberFormat="1" applyFont="1" applyFill="1" applyBorder="1" applyAlignment="1">
      <alignment horizontal="center" vertical="center"/>
    </xf>
    <xf numFmtId="0" fontId="14" fillId="8" borderId="17" xfId="0" applyFont="1" applyFill="1" applyBorder="1" applyAlignment="1">
      <alignment horizontal="center" vertical="center"/>
    </xf>
    <xf numFmtId="0" fontId="14" fillId="8" borderId="19" xfId="0" applyFont="1" applyFill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/>
    </xf>
    <xf numFmtId="0" fontId="14" fillId="8" borderId="19" xfId="0" applyFont="1" applyFill="1" applyBorder="1">
      <alignment vertical="center"/>
    </xf>
    <xf numFmtId="0" fontId="14" fillId="8" borderId="19" xfId="1" applyNumberFormat="1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0" fontId="6" fillId="2" borderId="44" xfId="3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4" xfId="3" applyFont="1" applyFill="1" applyBorder="1" applyAlignment="1">
      <alignment horizontal="center" vertical="center"/>
    </xf>
    <xf numFmtId="0" fontId="6" fillId="2" borderId="45" xfId="3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9" xfId="0" applyFont="1" applyFill="1" applyBorder="1">
      <alignment vertical="center"/>
    </xf>
    <xf numFmtId="0" fontId="14" fillId="3" borderId="19" xfId="1" applyNumberFormat="1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</cellXfs>
  <cellStyles count="10">
    <cellStyle name="백분율" xfId="2" builtinId="5"/>
    <cellStyle name="백분율 2" xfId="7" xr:uid="{DF6CAE3C-8EEC-4BE1-BF74-5926130760A8}"/>
    <cellStyle name="쉼표 [0]" xfId="1" builtinId="6"/>
    <cellStyle name="쉼표 [0] 2" xfId="5" xr:uid="{57FEBB8F-115B-4D11-AB8F-CF9CC30500A6}"/>
    <cellStyle name="쉼표 [0] 8" xfId="4" xr:uid="{43612382-64E6-4D8A-AC1C-EA87B0123BA8}"/>
    <cellStyle name="쉼표 [0] 8 2" xfId="6" xr:uid="{56F02BFF-1568-46B3-8581-7FCA59BC6866}"/>
    <cellStyle name="표준" xfId="0" builtinId="0"/>
    <cellStyle name="표준 2" xfId="9" xr:uid="{2A2FABEE-9F5F-471E-80CB-AF054550E519}"/>
    <cellStyle name="표준 4" xfId="8" xr:uid="{50E0FB09-49FB-485F-8615-4DECB35D5863}"/>
    <cellStyle name="표준 9" xfId="3" xr:uid="{03428DDE-2C0A-4B4E-9E91-B3FA8193FCE6}"/>
  </cellStyles>
  <dxfs count="38"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ont>
        <color rgb="FFFF0000"/>
      </font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47624</xdr:colOff>
          <xdr:row>0</xdr:row>
          <xdr:rowOff>27561</xdr:rowOff>
        </xdr:from>
        <xdr:to>
          <xdr:col>12</xdr:col>
          <xdr:colOff>304799</xdr:colOff>
          <xdr:row>6</xdr:row>
          <xdr:rowOff>123824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628A4EE8-5CD3-44B6-8168-DEE7134F40C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1. 현장별 인원현황'!$C$3:$J$6" spid="_x0000_s21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7624" y="27561"/>
              <a:ext cx="8486775" cy="135356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26045</xdr:colOff>
          <xdr:row>8</xdr:row>
          <xdr:rowOff>19049</xdr:rowOff>
        </xdr:from>
        <xdr:to>
          <xdr:col>12</xdr:col>
          <xdr:colOff>304800</xdr:colOff>
          <xdr:row>13</xdr:row>
          <xdr:rowOff>28574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5294FD02-12CA-434C-91D6-98E52F9FCEA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1. 현장별 인원현황'!$K$3:$V$6" spid="_x0000_s215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6045" y="1695449"/>
              <a:ext cx="8508355" cy="10572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46036</xdr:colOff>
          <xdr:row>14</xdr:row>
          <xdr:rowOff>28575</xdr:rowOff>
        </xdr:from>
        <xdr:to>
          <xdr:col>12</xdr:col>
          <xdr:colOff>276225</xdr:colOff>
          <xdr:row>19</xdr:row>
          <xdr:rowOff>85725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8D6BBEEC-5A4B-4F2F-9944-DA004CD9397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1. 현장별 인원현황'!$W$3:$AE$6" spid="_x0000_s215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6036" y="2962275"/>
              <a:ext cx="8459789" cy="11049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19</xdr:row>
          <xdr:rowOff>132107</xdr:rowOff>
        </xdr:from>
        <xdr:to>
          <xdr:col>12</xdr:col>
          <xdr:colOff>247650</xdr:colOff>
          <xdr:row>28</xdr:row>
          <xdr:rowOff>104775</xdr:rowOff>
        </xdr:to>
        <xdr:pic>
          <xdr:nvPicPr>
            <xdr:cNvPr id="8" name="그림 7">
              <a:extLst>
                <a:ext uri="{FF2B5EF4-FFF2-40B4-BE49-F238E27FC236}">
                  <a16:creationId xmlns:a16="http://schemas.microsoft.com/office/drawing/2014/main" id="{3AF955BE-9474-4255-BD86-C91AAF6AF4E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2-1. 인사고과표(기능)'!$B$1:$AS$7" spid="_x0000_s216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6200" y="4113557"/>
              <a:ext cx="8401050" cy="185861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26</xdr:row>
          <xdr:rowOff>185889</xdr:rowOff>
        </xdr:from>
        <xdr:to>
          <xdr:col>12</xdr:col>
          <xdr:colOff>314325</xdr:colOff>
          <xdr:row>33</xdr:row>
          <xdr:rowOff>76199</xdr:rowOff>
        </xdr:to>
        <xdr:pic>
          <xdr:nvPicPr>
            <xdr:cNvPr id="9" name="그림 8">
              <a:extLst>
                <a:ext uri="{FF2B5EF4-FFF2-40B4-BE49-F238E27FC236}">
                  <a16:creationId xmlns:a16="http://schemas.microsoft.com/office/drawing/2014/main" id="{7854C0FB-71BD-4706-B1C7-F3199EF7463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2-2. 인사고과표(안전)'!$D$1:$AO$7" spid="_x0000_s216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285750" y="5634189"/>
              <a:ext cx="8258175" cy="13571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333374</xdr:colOff>
          <xdr:row>35</xdr:row>
          <xdr:rowOff>95250</xdr:rowOff>
        </xdr:from>
        <xdr:to>
          <xdr:col>9</xdr:col>
          <xdr:colOff>57149</xdr:colOff>
          <xdr:row>39</xdr:row>
          <xdr:rowOff>129932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CDF78CA9-5F18-40A9-B3C4-F57FE99126A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1. 현장별 인원현황'!$L$3:$R$5" spid="_x0000_s2162"/>
                </a:ext>
              </a:extLst>
            </xdr:cNvPicPr>
          </xdr:nvPicPr>
          <xdr:blipFill rotWithShape="1">
            <a:blip xmlns:r="http://schemas.openxmlformats.org/officeDocument/2006/relationships" r:embed="rId6"/>
            <a:srcRect l="74620"/>
            <a:stretch>
              <a:fillRect/>
            </a:stretch>
          </xdr:blipFill>
          <xdr:spPr bwMode="auto">
            <a:xfrm>
              <a:off x="4448174" y="7429500"/>
              <a:ext cx="1781175" cy="87288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892F-A254-41E8-8908-1F00B846122C}">
  <sheetPr>
    <tabColor theme="4" tint="0.79998168889431442"/>
    <pageSetUpPr fitToPage="1"/>
  </sheetPr>
  <dimension ref="B1:AM617"/>
  <sheetViews>
    <sheetView view="pageBreakPreview" topLeftCell="A16" zoomScale="40" zoomScaleNormal="100" zoomScaleSheetLayoutView="40" workbookViewId="0">
      <selection activeCell="L3" sqref="L3:R5"/>
    </sheetView>
  </sheetViews>
  <sheetFormatPr defaultColWidth="9" defaultRowHeight="35.1" customHeight="1" x14ac:dyDescent="0.3"/>
  <cols>
    <col min="1" max="1" width="9" style="1"/>
    <col min="2" max="2" width="17.875" style="107" customWidth="1"/>
    <col min="3" max="3" width="15.625" style="1" customWidth="1"/>
    <col min="4" max="4" width="84" style="1" customWidth="1"/>
    <col min="5" max="6" width="16.625" style="1" customWidth="1"/>
    <col min="7" max="7" width="28.625" style="1" bestFit="1" customWidth="1"/>
    <col min="8" max="10" width="16.625" style="1" customWidth="1"/>
    <col min="11" max="11" width="24.625" style="1" customWidth="1"/>
    <col min="12" max="12" width="28.625" style="1" customWidth="1"/>
    <col min="13" max="15" width="16.625" style="1" customWidth="1"/>
    <col min="16" max="16" width="20.625" style="1" customWidth="1"/>
    <col min="17" max="22" width="16.625" style="1" customWidth="1"/>
    <col min="23" max="23" width="32.625" style="4" bestFit="1" customWidth="1"/>
    <col min="24" max="24" width="35.625" style="4" customWidth="1"/>
    <col min="25" max="25" width="16.625" style="4" customWidth="1"/>
    <col min="26" max="26" width="30.625" style="4" customWidth="1"/>
    <col min="27" max="27" width="33.875" style="4" bestFit="1" customWidth="1"/>
    <col min="28" max="28" width="35.625" style="4" customWidth="1"/>
    <col min="29" max="29" width="18.625" style="4" customWidth="1"/>
    <col min="30" max="30" width="16.625" style="4" customWidth="1"/>
    <col min="31" max="31" width="30.625" style="4" customWidth="1"/>
    <col min="32" max="38" width="9" style="1"/>
    <col min="39" max="39" width="9" style="1" hidden="1" customWidth="1"/>
    <col min="40" max="42" width="9" style="1"/>
    <col min="43" max="43" width="9" style="1" customWidth="1"/>
    <col min="44" max="16384" width="9" style="1"/>
  </cols>
  <sheetData>
    <row r="1" spans="2:39" ht="35.1" customHeight="1" x14ac:dyDescent="0.3"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  <c r="AA1" s="3"/>
      <c r="AB1" s="3"/>
      <c r="AC1" s="3"/>
      <c r="AD1" s="3"/>
    </row>
    <row r="2" spans="2:39" ht="34.5" customHeight="1" x14ac:dyDescent="0.3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</row>
    <row r="3" spans="2:39" ht="34.5" customHeight="1" x14ac:dyDescent="0.3">
      <c r="C3" s="157" t="s">
        <v>0</v>
      </c>
      <c r="D3" s="161" t="s">
        <v>86</v>
      </c>
      <c r="E3" s="155" t="s">
        <v>1</v>
      </c>
      <c r="F3" s="155" t="s">
        <v>65</v>
      </c>
      <c r="G3" s="155" t="s">
        <v>62</v>
      </c>
      <c r="H3" s="155" t="s">
        <v>63</v>
      </c>
      <c r="I3" s="155" t="s">
        <v>2</v>
      </c>
      <c r="J3" s="155" t="s">
        <v>3</v>
      </c>
      <c r="K3" s="155" t="s">
        <v>58</v>
      </c>
      <c r="L3" s="155" t="s">
        <v>4</v>
      </c>
      <c r="M3" s="159" t="s">
        <v>59</v>
      </c>
      <c r="N3" s="159" t="s">
        <v>60</v>
      </c>
      <c r="O3" s="155" t="s">
        <v>5</v>
      </c>
      <c r="P3" s="155" t="s">
        <v>64</v>
      </c>
      <c r="Q3" s="7" t="s">
        <v>34</v>
      </c>
      <c r="R3" s="7"/>
      <c r="S3" s="8" t="s">
        <v>33</v>
      </c>
      <c r="T3" s="8"/>
      <c r="U3" s="8"/>
      <c r="V3" s="8"/>
      <c r="W3" s="8" t="s">
        <v>6</v>
      </c>
      <c r="X3" s="8"/>
      <c r="Y3" s="8"/>
      <c r="Z3" s="8"/>
      <c r="AA3" s="9" t="s">
        <v>7</v>
      </c>
      <c r="AB3" s="10"/>
      <c r="AC3" s="10"/>
      <c r="AD3" s="10"/>
      <c r="AE3" s="11"/>
      <c r="AM3" s="1" t="s">
        <v>18</v>
      </c>
    </row>
    <row r="4" spans="2:39" ht="35.1" customHeight="1" x14ac:dyDescent="0.3">
      <c r="C4" s="158"/>
      <c r="D4" s="162"/>
      <c r="E4" s="156"/>
      <c r="F4" s="156"/>
      <c r="G4" s="156"/>
      <c r="H4" s="156"/>
      <c r="I4" s="156"/>
      <c r="J4" s="156"/>
      <c r="K4" s="156"/>
      <c r="L4" s="156"/>
      <c r="M4" s="160"/>
      <c r="N4" s="160"/>
      <c r="O4" s="156"/>
      <c r="P4" s="156"/>
      <c r="Q4" s="129" t="s">
        <v>66</v>
      </c>
      <c r="R4" s="129" t="s">
        <v>11</v>
      </c>
      <c r="S4" s="75" t="s">
        <v>8</v>
      </c>
      <c r="T4" s="75" t="s">
        <v>9</v>
      </c>
      <c r="U4" s="75" t="s">
        <v>10</v>
      </c>
      <c r="V4" s="75" t="s">
        <v>11</v>
      </c>
      <c r="W4" s="75" t="s">
        <v>12</v>
      </c>
      <c r="X4" s="75" t="s">
        <v>13</v>
      </c>
      <c r="Y4" s="75" t="s">
        <v>14</v>
      </c>
      <c r="Z4" s="75" t="s">
        <v>15</v>
      </c>
      <c r="AA4" s="75" t="s">
        <v>12</v>
      </c>
      <c r="AB4" s="75" t="s">
        <v>13</v>
      </c>
      <c r="AC4" s="75" t="s">
        <v>16</v>
      </c>
      <c r="AD4" s="75" t="s">
        <v>14</v>
      </c>
      <c r="AE4" s="108" t="s">
        <v>17</v>
      </c>
      <c r="AM4" s="1" t="s">
        <v>20</v>
      </c>
    </row>
    <row r="5" spans="2:39" ht="35.1" customHeight="1" thickBot="1" x14ac:dyDescent="0.35">
      <c r="C5" s="77"/>
      <c r="D5" s="82"/>
      <c r="E5" s="109"/>
      <c r="F5" s="109"/>
      <c r="G5" s="76"/>
      <c r="H5" s="76"/>
      <c r="I5" s="76"/>
      <c r="J5" s="76"/>
      <c r="K5" s="76"/>
      <c r="L5" s="76"/>
      <c r="M5" s="78"/>
      <c r="N5" s="78"/>
      <c r="O5" s="76"/>
      <c r="P5" s="78"/>
      <c r="Q5" s="130"/>
      <c r="R5" s="130"/>
      <c r="S5" s="76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110"/>
    </row>
    <row r="6" spans="2:39" ht="39.950000000000003" customHeight="1" thickTop="1" x14ac:dyDescent="0.3">
      <c r="B6" s="107">
        <v>24018</v>
      </c>
      <c r="C6" s="12">
        <f t="shared" ref="C6:C69" si="0">ROW()-5</f>
        <v>1</v>
      </c>
      <c r="D6" s="105" t="str">
        <f>IFERROR(" "&amp;VLOOKUP(B6,현장리스트!$B:$C,2,0),"-")</f>
        <v xml:space="preserve"> [1.DL건설] 전도관구역 주택재개발 정비사업조합(01공구)</v>
      </c>
      <c r="E6" s="13" t="s">
        <v>526</v>
      </c>
      <c r="F6" s="13" t="str">
        <f t="shared" ref="F6:F69" ca="1" si="1">IFERROR(DATEDIF(MID(G6,1,2)&amp;"-"&amp;MID(G6,3,2)&amp;"-"&amp;MID(G6,5,2),TODAY(),"y")&amp;"세","")</f>
        <v>37세</v>
      </c>
      <c r="G6" s="14" t="s">
        <v>1029</v>
      </c>
      <c r="H6" s="15" t="str">
        <f t="shared" ref="H6:H69" si="2">IF(G6="","",IF(LEN(G6)&lt;14,"에러",IF(LEN(G6)&lt;14,"에러",IF(ISODD(MID(G6,8,1)),"남","여"))))</f>
        <v>남</v>
      </c>
      <c r="I6" s="16" t="s">
        <v>895</v>
      </c>
      <c r="J6" s="16" t="s">
        <v>896</v>
      </c>
      <c r="K6" s="17">
        <v>4500000</v>
      </c>
      <c r="L6" s="18" t="s">
        <v>2886</v>
      </c>
      <c r="M6" s="19" t="s">
        <v>910</v>
      </c>
      <c r="N6" s="19" t="s">
        <v>1007</v>
      </c>
      <c r="O6" s="20" t="s">
        <v>2524</v>
      </c>
      <c r="P6" s="23" t="s">
        <v>23</v>
      </c>
      <c r="Q6" s="131" t="str">
        <f>VLOOKUP(C6,'2-1. 인사고과표(기능)'!B:AS,44,0)</f>
        <v>S</v>
      </c>
      <c r="R6" s="131" t="str">
        <f>VLOOKUP(C6,'2-2. 인사고과표(안전)'!B:AO,40,0)</f>
        <v>S</v>
      </c>
      <c r="S6" s="18"/>
      <c r="T6" s="19"/>
      <c r="U6" s="19"/>
      <c r="V6" s="19"/>
      <c r="W6" s="19"/>
      <c r="X6" s="22"/>
      <c r="Y6" s="23"/>
      <c r="Z6" s="19"/>
      <c r="AA6" s="19" t="s">
        <v>2889</v>
      </c>
      <c r="AB6" s="22" t="s">
        <v>2890</v>
      </c>
      <c r="AC6" s="19" t="s">
        <v>2891</v>
      </c>
      <c r="AD6" s="23" t="s">
        <v>23</v>
      </c>
      <c r="AE6" s="24"/>
      <c r="AM6" s="1" t="s">
        <v>84</v>
      </c>
    </row>
    <row r="7" spans="2:39" ht="39.950000000000003" customHeight="1" x14ac:dyDescent="0.3">
      <c r="B7" s="107">
        <v>24018</v>
      </c>
      <c r="C7" s="12">
        <f t="shared" si="0"/>
        <v>2</v>
      </c>
      <c r="D7" s="105" t="str">
        <f>IFERROR(" "&amp;VLOOKUP(B7,현장리스트!$B:$C,2,0),"-")</f>
        <v xml:space="preserve"> [1.DL건설] 전도관구역 주택재개발 정비사업조합(01공구)</v>
      </c>
      <c r="E7" s="13" t="s">
        <v>273</v>
      </c>
      <c r="F7" s="13" t="str">
        <f t="shared" ca="1" si="1"/>
        <v>32세</v>
      </c>
      <c r="G7" s="14" t="s">
        <v>1872</v>
      </c>
      <c r="H7" s="15" t="str">
        <f t="shared" si="2"/>
        <v>남</v>
      </c>
      <c r="I7" s="16" t="s">
        <v>897</v>
      </c>
      <c r="J7" s="16" t="s">
        <v>900</v>
      </c>
      <c r="K7" s="17">
        <v>3800000</v>
      </c>
      <c r="L7" s="18" t="s">
        <v>1873</v>
      </c>
      <c r="M7" s="19" t="s">
        <v>910</v>
      </c>
      <c r="N7" s="19" t="s">
        <v>995</v>
      </c>
      <c r="O7" s="20" t="s">
        <v>2529</v>
      </c>
      <c r="P7" s="23" t="s">
        <v>23</v>
      </c>
      <c r="Q7" s="131" t="str">
        <f>VLOOKUP(C7,'2-1. 인사고과표(기능)'!B:AS,44,0)</f>
        <v>A</v>
      </c>
      <c r="R7" s="131" t="str">
        <f>VLOOKUP(C7,'2-2. 인사고과표(안전)'!B:AO,40,0)</f>
        <v>S</v>
      </c>
      <c r="S7" s="18"/>
      <c r="T7" s="19"/>
      <c r="U7" s="19" t="s">
        <v>2788</v>
      </c>
      <c r="V7" s="19" t="s">
        <v>31</v>
      </c>
      <c r="W7" s="19" t="s">
        <v>456</v>
      </c>
      <c r="X7" s="22" t="s">
        <v>2892</v>
      </c>
      <c r="Y7" s="23" t="s">
        <v>23</v>
      </c>
      <c r="Z7" s="19"/>
      <c r="AA7" s="19"/>
      <c r="AB7" s="22"/>
      <c r="AC7" s="19"/>
      <c r="AD7" s="23"/>
      <c r="AE7" s="24"/>
    </row>
    <row r="8" spans="2:39" ht="39.950000000000003" customHeight="1" x14ac:dyDescent="0.3">
      <c r="B8" s="107">
        <v>24018</v>
      </c>
      <c r="C8" s="12">
        <f t="shared" si="0"/>
        <v>3</v>
      </c>
      <c r="D8" s="105" t="str">
        <f>IFERROR(" "&amp;VLOOKUP(B8,현장리스트!$B:$C,2,0),"-")</f>
        <v xml:space="preserve"> [1.DL건설] 전도관구역 주택재개발 정비사업조합(01공구)</v>
      </c>
      <c r="E8" s="13" t="s">
        <v>2293</v>
      </c>
      <c r="F8" s="13" t="str">
        <f t="shared" ca="1" si="1"/>
        <v>57세</v>
      </c>
      <c r="G8" s="14" t="s">
        <v>2294</v>
      </c>
      <c r="H8" s="15" t="str">
        <f t="shared" si="2"/>
        <v>남</v>
      </c>
      <c r="I8" s="16" t="s">
        <v>899</v>
      </c>
      <c r="J8" s="16" t="s">
        <v>903</v>
      </c>
      <c r="K8" s="17">
        <v>230000</v>
      </c>
      <c r="L8" s="18" t="s">
        <v>2295</v>
      </c>
      <c r="M8" s="19" t="s">
        <v>914</v>
      </c>
      <c r="N8" s="19" t="s">
        <v>2606</v>
      </c>
      <c r="O8" s="20" t="s">
        <v>2887</v>
      </c>
      <c r="P8" s="23" t="s">
        <v>23</v>
      </c>
      <c r="Q8" s="131" t="str">
        <f>VLOOKUP(C8,'2-1. 인사고과표(기능)'!B:AS,44,0)</f>
        <v>S</v>
      </c>
      <c r="R8" s="131" t="str">
        <f>VLOOKUP(C8,'2-2. 인사고과표(안전)'!B:AO,40,0)</f>
        <v>S</v>
      </c>
      <c r="S8" s="18"/>
      <c r="T8" s="19"/>
      <c r="U8" s="19"/>
      <c r="V8" s="19"/>
      <c r="W8" s="19" t="s">
        <v>989</v>
      </c>
      <c r="X8" s="22" t="s">
        <v>2893</v>
      </c>
      <c r="Y8" s="23" t="s">
        <v>23</v>
      </c>
      <c r="Z8" s="19"/>
      <c r="AA8" s="19"/>
      <c r="AB8" s="22"/>
      <c r="AC8" s="19"/>
      <c r="AD8" s="23"/>
      <c r="AE8" s="24"/>
    </row>
    <row r="9" spans="2:39" ht="39.950000000000003" customHeight="1" x14ac:dyDescent="0.3">
      <c r="B9" s="107">
        <v>24018</v>
      </c>
      <c r="C9" s="12">
        <f t="shared" si="0"/>
        <v>4</v>
      </c>
      <c r="D9" s="105" t="str">
        <f>IFERROR(" "&amp;VLOOKUP(B9,현장리스트!$B:$C,2,0),"-")</f>
        <v xml:space="preserve"> [1.DL건설] 전도관구역 주택재개발 정비사업조합(01공구)</v>
      </c>
      <c r="E9" s="13" t="s">
        <v>1469</v>
      </c>
      <c r="F9" s="13" t="str">
        <f t="shared" ca="1" si="1"/>
        <v>62세</v>
      </c>
      <c r="G9" s="14" t="s">
        <v>1470</v>
      </c>
      <c r="H9" s="15" t="str">
        <f t="shared" si="2"/>
        <v>남</v>
      </c>
      <c r="I9" s="16" t="s">
        <v>899</v>
      </c>
      <c r="J9" s="16" t="s">
        <v>896</v>
      </c>
      <c r="K9" s="17">
        <v>5000000</v>
      </c>
      <c r="L9" s="18" t="s">
        <v>1471</v>
      </c>
      <c r="M9" s="19" t="s">
        <v>910</v>
      </c>
      <c r="N9" s="19" t="s">
        <v>1004</v>
      </c>
      <c r="O9" s="20" t="s">
        <v>2664</v>
      </c>
      <c r="P9" s="23" t="s">
        <v>23</v>
      </c>
      <c r="Q9" s="131" t="str">
        <f>VLOOKUP(C9,'2-1. 인사고과표(기능)'!B:AS,44,0)</f>
        <v>S</v>
      </c>
      <c r="R9" s="131" t="str">
        <f>VLOOKUP(C9,'2-2. 인사고과표(안전)'!B:AO,40,0)</f>
        <v>S</v>
      </c>
      <c r="S9" s="18"/>
      <c r="T9" s="19"/>
      <c r="U9" s="19"/>
      <c r="V9" s="19"/>
      <c r="W9" s="19" t="s">
        <v>2851</v>
      </c>
      <c r="X9" s="22" t="s">
        <v>2894</v>
      </c>
      <c r="Y9" s="23" t="s">
        <v>23</v>
      </c>
      <c r="Z9" s="19"/>
      <c r="AA9" s="19"/>
      <c r="AB9" s="22"/>
      <c r="AC9" s="19"/>
      <c r="AD9" s="23"/>
      <c r="AE9" s="24"/>
    </row>
    <row r="10" spans="2:39" ht="39.950000000000003" customHeight="1" x14ac:dyDescent="0.3">
      <c r="B10" s="107">
        <v>24018</v>
      </c>
      <c r="C10" s="12">
        <f t="shared" si="0"/>
        <v>5</v>
      </c>
      <c r="D10" s="105" t="str">
        <f>IFERROR(" "&amp;VLOOKUP(B10,현장리스트!$B:$C,2,0),"-")</f>
        <v xml:space="preserve"> [1.DL건설] 전도관구역 주택재개발 정비사업조합(01공구)</v>
      </c>
      <c r="E10" s="13" t="s">
        <v>1273</v>
      </c>
      <c r="F10" s="13" t="str">
        <f t="shared" ca="1" si="1"/>
        <v>57세</v>
      </c>
      <c r="G10" s="14" t="s">
        <v>1274</v>
      </c>
      <c r="H10" s="15" t="str">
        <f t="shared" si="2"/>
        <v>남</v>
      </c>
      <c r="I10" s="16" t="s">
        <v>901</v>
      </c>
      <c r="J10" s="16" t="s">
        <v>30</v>
      </c>
      <c r="K10" s="17">
        <v>200000</v>
      </c>
      <c r="L10" s="18" t="s">
        <v>1275</v>
      </c>
      <c r="M10" s="19" t="s">
        <v>914</v>
      </c>
      <c r="N10" s="19" t="s">
        <v>2979</v>
      </c>
      <c r="O10" s="20" t="s">
        <v>1017</v>
      </c>
      <c r="P10" s="23" t="s">
        <v>23</v>
      </c>
      <c r="Q10" s="131" t="str">
        <f>VLOOKUP(C10,'2-1. 인사고과표(기능)'!B:AS,44,0)</f>
        <v>S</v>
      </c>
      <c r="R10" s="131" t="str">
        <f>VLOOKUP(C10,'2-2. 인사고과표(안전)'!B:AO,40,0)</f>
        <v>S</v>
      </c>
      <c r="S10" s="18"/>
      <c r="T10" s="19"/>
      <c r="U10" s="19"/>
      <c r="V10" s="19"/>
      <c r="W10" s="19" t="s">
        <v>2851</v>
      </c>
      <c r="X10" s="22" t="s">
        <v>2894</v>
      </c>
      <c r="Y10" s="23" t="s">
        <v>23</v>
      </c>
      <c r="Z10" s="19"/>
      <c r="AA10" s="19"/>
      <c r="AB10" s="22"/>
      <c r="AC10" s="19"/>
      <c r="AD10" s="23"/>
      <c r="AE10" s="24"/>
    </row>
    <row r="11" spans="2:39" ht="39.950000000000003" customHeight="1" x14ac:dyDescent="0.3">
      <c r="B11" s="107">
        <v>24018</v>
      </c>
      <c r="C11" s="12">
        <f t="shared" si="0"/>
        <v>6</v>
      </c>
      <c r="D11" s="105" t="str">
        <f>IFERROR(" "&amp;VLOOKUP(B11,현장리스트!$B:$C,2,0),"-")</f>
        <v xml:space="preserve"> [1.DL건설] 전도관구역 주택재개발 정비사업조합(01공구)</v>
      </c>
      <c r="E11" s="13" t="s">
        <v>1576</v>
      </c>
      <c r="F11" s="13" t="str">
        <f t="shared" ca="1" si="1"/>
        <v>37세</v>
      </c>
      <c r="G11" s="14" t="s">
        <v>1577</v>
      </c>
      <c r="H11" s="15" t="str">
        <f t="shared" si="2"/>
        <v>남</v>
      </c>
      <c r="I11" s="16" t="s">
        <v>901</v>
      </c>
      <c r="J11" s="16" t="s">
        <v>30</v>
      </c>
      <c r="K11" s="17">
        <v>170000</v>
      </c>
      <c r="L11" s="18" t="s">
        <v>1578</v>
      </c>
      <c r="M11" s="19" t="s">
        <v>910</v>
      </c>
      <c r="N11" s="19" t="s">
        <v>2787</v>
      </c>
      <c r="O11" s="20" t="s">
        <v>950</v>
      </c>
      <c r="P11" s="23" t="s">
        <v>23</v>
      </c>
      <c r="Q11" s="131" t="str">
        <f>VLOOKUP(C11,'2-1. 인사고과표(기능)'!B:AS,44,0)</f>
        <v>A</v>
      </c>
      <c r="R11" s="131" t="str">
        <f>VLOOKUP(C11,'2-2. 인사고과표(안전)'!B:AO,40,0)</f>
        <v>S</v>
      </c>
      <c r="S11" s="18"/>
      <c r="T11" s="19"/>
      <c r="U11" s="19"/>
      <c r="V11" s="19"/>
      <c r="W11" s="19" t="s">
        <v>473</v>
      </c>
      <c r="X11" s="22" t="s">
        <v>2853</v>
      </c>
      <c r="Y11" s="23" t="s">
        <v>23</v>
      </c>
      <c r="Z11" s="19"/>
      <c r="AA11" s="19"/>
      <c r="AB11" s="22"/>
      <c r="AC11" s="19"/>
      <c r="AD11" s="23"/>
      <c r="AE11" s="24"/>
    </row>
    <row r="12" spans="2:39" ht="39.950000000000003" customHeight="1" x14ac:dyDescent="0.3">
      <c r="B12" s="107">
        <v>24018</v>
      </c>
      <c r="C12" s="12">
        <f t="shared" si="0"/>
        <v>7</v>
      </c>
      <c r="D12" s="105" t="str">
        <f>IFERROR(" "&amp;VLOOKUP(B12,현장리스트!$B:$C,2,0),"-")</f>
        <v xml:space="preserve"> [1.DL건설] 전도관구역 주택재개발 정비사업조합(01공구)</v>
      </c>
      <c r="E12" s="13" t="s">
        <v>1894</v>
      </c>
      <c r="F12" s="13" t="str">
        <f t="shared" ca="1" si="1"/>
        <v>54세</v>
      </c>
      <c r="G12" s="14" t="s">
        <v>1895</v>
      </c>
      <c r="H12" s="15" t="str">
        <f t="shared" si="2"/>
        <v>남</v>
      </c>
      <c r="I12" s="16" t="s">
        <v>901</v>
      </c>
      <c r="J12" s="16" t="s">
        <v>30</v>
      </c>
      <c r="K12" s="17">
        <v>210000</v>
      </c>
      <c r="L12" s="18" t="s">
        <v>1896</v>
      </c>
      <c r="M12" s="19" t="s">
        <v>910</v>
      </c>
      <c r="N12" s="19" t="s">
        <v>1012</v>
      </c>
      <c r="O12" s="20" t="s">
        <v>1017</v>
      </c>
      <c r="P12" s="23" t="s">
        <v>23</v>
      </c>
      <c r="Q12" s="131" t="str">
        <f>VLOOKUP(C12,'2-1. 인사고과표(기능)'!B:AS,44,0)</f>
        <v>S</v>
      </c>
      <c r="R12" s="131" t="str">
        <f>VLOOKUP(C12,'2-2. 인사고과표(안전)'!B:AO,40,0)</f>
        <v>S</v>
      </c>
      <c r="S12" s="18"/>
      <c r="T12" s="19"/>
      <c r="U12" s="19"/>
      <c r="V12" s="19"/>
      <c r="W12" s="19" t="s">
        <v>529</v>
      </c>
      <c r="X12" s="22" t="s">
        <v>2895</v>
      </c>
      <c r="Y12" s="23" t="s">
        <v>23</v>
      </c>
      <c r="Z12" s="19"/>
      <c r="AA12" s="19"/>
      <c r="AB12" s="22"/>
      <c r="AC12" s="19"/>
      <c r="AD12" s="23"/>
      <c r="AE12" s="24"/>
    </row>
    <row r="13" spans="2:39" ht="39.950000000000003" customHeight="1" x14ac:dyDescent="0.3">
      <c r="B13" s="107">
        <v>24018</v>
      </c>
      <c r="C13" s="12">
        <f t="shared" si="0"/>
        <v>8</v>
      </c>
      <c r="D13" s="105" t="str">
        <f>IFERROR(" "&amp;VLOOKUP(B13,현장리스트!$B:$C,2,0),"-")</f>
        <v xml:space="preserve"> [1.DL건설] 전도관구역 주택재개발 정비사업조합(01공구)</v>
      </c>
      <c r="E13" s="13" t="s">
        <v>1948</v>
      </c>
      <c r="F13" s="13" t="str">
        <f t="shared" ca="1" si="1"/>
        <v>56세</v>
      </c>
      <c r="G13" s="14" t="s">
        <v>1949</v>
      </c>
      <c r="H13" s="15" t="str">
        <f t="shared" si="2"/>
        <v>남</v>
      </c>
      <c r="I13" s="16" t="s">
        <v>901</v>
      </c>
      <c r="J13" s="16" t="s">
        <v>30</v>
      </c>
      <c r="K13" s="17">
        <v>200000</v>
      </c>
      <c r="L13" s="18" t="s">
        <v>1950</v>
      </c>
      <c r="M13" s="19" t="s">
        <v>987</v>
      </c>
      <c r="N13" s="19" t="s">
        <v>1010</v>
      </c>
      <c r="O13" s="20" t="s">
        <v>1017</v>
      </c>
      <c r="P13" s="23" t="s">
        <v>23</v>
      </c>
      <c r="Q13" s="131" t="str">
        <f>VLOOKUP(C13,'2-1. 인사고과표(기능)'!B:AS,44,0)</f>
        <v>A</v>
      </c>
      <c r="R13" s="131" t="str">
        <f>VLOOKUP(C13,'2-2. 인사고과표(안전)'!B:AO,40,0)</f>
        <v>S</v>
      </c>
      <c r="S13" s="18"/>
      <c r="T13" s="19"/>
      <c r="U13" s="19"/>
      <c r="V13" s="19"/>
      <c r="W13" s="19"/>
      <c r="X13" s="22"/>
      <c r="Y13" s="23"/>
      <c r="Z13" s="19"/>
      <c r="AA13" s="19"/>
      <c r="AB13" s="22"/>
      <c r="AC13" s="19"/>
      <c r="AD13" s="23"/>
      <c r="AE13" s="24"/>
    </row>
    <row r="14" spans="2:39" ht="39.950000000000003" customHeight="1" x14ac:dyDescent="0.3">
      <c r="B14" s="107">
        <v>24018</v>
      </c>
      <c r="C14" s="12">
        <f t="shared" si="0"/>
        <v>9</v>
      </c>
      <c r="D14" s="105" t="str">
        <f>IFERROR(" "&amp;VLOOKUP(B14,현장리스트!$B:$C,2,0),"-")</f>
        <v xml:space="preserve"> [1.DL건설] 전도관구역 주택재개발 정비사업조합(01공구)</v>
      </c>
      <c r="E14" s="13" t="s">
        <v>1996</v>
      </c>
      <c r="F14" s="13" t="str">
        <f t="shared" ca="1" si="1"/>
        <v>44세</v>
      </c>
      <c r="G14" s="14" t="s">
        <v>1997</v>
      </c>
      <c r="H14" s="15" t="str">
        <f t="shared" si="2"/>
        <v>남</v>
      </c>
      <c r="I14" s="16" t="s">
        <v>901</v>
      </c>
      <c r="J14" s="16" t="s">
        <v>30</v>
      </c>
      <c r="K14" s="17">
        <v>170000</v>
      </c>
      <c r="L14" s="18" t="s">
        <v>1998</v>
      </c>
      <c r="M14" s="19" t="s">
        <v>910</v>
      </c>
      <c r="N14" s="19" t="s">
        <v>1012</v>
      </c>
      <c r="O14" s="20" t="s">
        <v>2550</v>
      </c>
      <c r="P14" s="23" t="s">
        <v>23</v>
      </c>
      <c r="Q14" s="131" t="str">
        <f>VLOOKUP(C14,'2-1. 인사고과표(기능)'!B:AS,44,0)</f>
        <v>A</v>
      </c>
      <c r="R14" s="131" t="str">
        <f>VLOOKUP(C14,'2-2. 인사고과표(안전)'!B:AO,40,0)</f>
        <v>S</v>
      </c>
      <c r="S14" s="18"/>
      <c r="T14" s="19"/>
      <c r="U14" s="19"/>
      <c r="V14" s="19"/>
      <c r="W14" s="19" t="s">
        <v>2851</v>
      </c>
      <c r="X14" s="22" t="s">
        <v>2894</v>
      </c>
      <c r="Y14" s="23" t="s">
        <v>23</v>
      </c>
      <c r="Z14" s="19"/>
      <c r="AA14" s="19"/>
      <c r="AB14" s="22"/>
      <c r="AC14" s="19"/>
      <c r="AD14" s="23"/>
      <c r="AE14" s="24"/>
    </row>
    <row r="15" spans="2:39" ht="39.950000000000003" customHeight="1" x14ac:dyDescent="0.3">
      <c r="B15" s="107">
        <v>24018</v>
      </c>
      <c r="C15" s="12">
        <f t="shared" si="0"/>
        <v>10</v>
      </c>
      <c r="D15" s="105" t="str">
        <f>IFERROR(" "&amp;VLOOKUP(B15,현장리스트!$B:$C,2,0),"-")</f>
        <v xml:space="preserve"> [1.DL건설] 전도관구역 주택재개발 정비사업조합(01공구)</v>
      </c>
      <c r="E15" s="13" t="s">
        <v>2011</v>
      </c>
      <c r="F15" s="13" t="str">
        <f t="shared" ca="1" si="1"/>
        <v>53세</v>
      </c>
      <c r="G15" s="14" t="s">
        <v>2012</v>
      </c>
      <c r="H15" s="15" t="str">
        <f t="shared" si="2"/>
        <v>남</v>
      </c>
      <c r="I15" s="16" t="s">
        <v>901</v>
      </c>
      <c r="J15" s="16" t="s">
        <v>30</v>
      </c>
      <c r="K15" s="17">
        <v>220000</v>
      </c>
      <c r="L15" s="18" t="s">
        <v>2013</v>
      </c>
      <c r="M15" s="19" t="s">
        <v>910</v>
      </c>
      <c r="N15" s="19" t="s">
        <v>911</v>
      </c>
      <c r="O15" s="20" t="s">
        <v>2664</v>
      </c>
      <c r="P15" s="23" t="s">
        <v>23</v>
      </c>
      <c r="Q15" s="131" t="str">
        <f>VLOOKUP(C15,'2-1. 인사고과표(기능)'!B:AS,44,0)</f>
        <v>S</v>
      </c>
      <c r="R15" s="131" t="str">
        <f>VLOOKUP(C15,'2-2. 인사고과표(안전)'!B:AO,40,0)</f>
        <v>S</v>
      </c>
      <c r="S15" s="18"/>
      <c r="T15" s="19"/>
      <c r="U15" s="19"/>
      <c r="V15" s="19"/>
      <c r="W15" s="19" t="s">
        <v>456</v>
      </c>
      <c r="X15" s="22" t="s">
        <v>2896</v>
      </c>
      <c r="Y15" s="23" t="s">
        <v>23</v>
      </c>
      <c r="Z15" s="19"/>
      <c r="AA15" s="19"/>
      <c r="AB15" s="22"/>
      <c r="AC15" s="19"/>
      <c r="AD15" s="23"/>
      <c r="AE15" s="24"/>
    </row>
    <row r="16" spans="2:39" ht="39.950000000000003" customHeight="1" x14ac:dyDescent="0.3">
      <c r="B16" s="107">
        <v>24018</v>
      </c>
      <c r="C16" s="12">
        <f t="shared" si="0"/>
        <v>11</v>
      </c>
      <c r="D16" s="105" t="str">
        <f>IFERROR(" "&amp;VLOOKUP(B16,현장리스트!$B:$C,2,0),"-")</f>
        <v xml:space="preserve"> [1.DL건설] 전도관구역 주택재개발 정비사업조합(01공구)</v>
      </c>
      <c r="E16" s="13" t="s">
        <v>2170</v>
      </c>
      <c r="F16" s="13" t="str">
        <f t="shared" ca="1" si="1"/>
        <v>27세</v>
      </c>
      <c r="G16" s="14" t="s">
        <v>2171</v>
      </c>
      <c r="H16" s="15" t="str">
        <f t="shared" si="2"/>
        <v>남</v>
      </c>
      <c r="I16" s="16" t="s">
        <v>901</v>
      </c>
      <c r="J16" s="16" t="s">
        <v>30</v>
      </c>
      <c r="K16" s="17">
        <v>200000</v>
      </c>
      <c r="L16" s="18" t="s">
        <v>2172</v>
      </c>
      <c r="M16" s="19" t="s">
        <v>910</v>
      </c>
      <c r="N16" s="19" t="s">
        <v>911</v>
      </c>
      <c r="O16" s="20" t="s">
        <v>2555</v>
      </c>
      <c r="P16" s="23" t="s">
        <v>23</v>
      </c>
      <c r="Q16" s="131" t="str">
        <f>VLOOKUP(C16,'2-1. 인사고과표(기능)'!B:AS,44,0)</f>
        <v>S</v>
      </c>
      <c r="R16" s="131" t="str">
        <f>VLOOKUP(C16,'2-2. 인사고과표(안전)'!B:AO,40,0)</f>
        <v>S</v>
      </c>
      <c r="S16" s="18"/>
      <c r="T16" s="19"/>
      <c r="U16" s="19"/>
      <c r="V16" s="19"/>
      <c r="W16" s="19" t="s">
        <v>456</v>
      </c>
      <c r="X16" s="22" t="s">
        <v>2896</v>
      </c>
      <c r="Y16" s="23" t="s">
        <v>23</v>
      </c>
      <c r="Z16" s="19"/>
      <c r="AA16" s="19"/>
      <c r="AB16" s="22"/>
      <c r="AC16" s="19"/>
      <c r="AD16" s="23"/>
      <c r="AE16" s="24"/>
    </row>
    <row r="17" spans="2:31" ht="39.950000000000003" customHeight="1" x14ac:dyDescent="0.3">
      <c r="B17" s="107">
        <v>24018</v>
      </c>
      <c r="C17" s="12">
        <f t="shared" si="0"/>
        <v>12</v>
      </c>
      <c r="D17" s="105" t="str">
        <f>IFERROR(" "&amp;VLOOKUP(B17,현장리스트!$B:$C,2,0),"-")</f>
        <v xml:space="preserve"> [1.DL건설] 전도관구역 주택재개발 정비사업조합(01공구)</v>
      </c>
      <c r="E17" s="13" t="s">
        <v>2331</v>
      </c>
      <c r="F17" s="13" t="str">
        <f t="shared" ca="1" si="1"/>
        <v>62세</v>
      </c>
      <c r="G17" s="14" t="s">
        <v>2332</v>
      </c>
      <c r="H17" s="15" t="str">
        <f t="shared" si="2"/>
        <v>남</v>
      </c>
      <c r="I17" s="16" t="s">
        <v>901</v>
      </c>
      <c r="J17" s="16" t="s">
        <v>30</v>
      </c>
      <c r="K17" s="17">
        <v>190000</v>
      </c>
      <c r="L17" s="18" t="s">
        <v>2333</v>
      </c>
      <c r="M17" s="19" t="s">
        <v>987</v>
      </c>
      <c r="N17" s="19" t="s">
        <v>2888</v>
      </c>
      <c r="O17" s="20" t="s">
        <v>912</v>
      </c>
      <c r="P17" s="23" t="s">
        <v>23</v>
      </c>
      <c r="Q17" s="131" t="str">
        <f>VLOOKUP(C17,'2-1. 인사고과표(기능)'!B:AS,44,0)</f>
        <v>S</v>
      </c>
      <c r="R17" s="131" t="str">
        <f>VLOOKUP(C17,'2-2. 인사고과표(안전)'!B:AO,40,0)</f>
        <v>S</v>
      </c>
      <c r="S17" s="18"/>
      <c r="T17" s="19"/>
      <c r="U17" s="19"/>
      <c r="V17" s="19"/>
      <c r="W17" s="19" t="s">
        <v>456</v>
      </c>
      <c r="X17" s="22" t="s">
        <v>2892</v>
      </c>
      <c r="Y17" s="23" t="s">
        <v>23</v>
      </c>
      <c r="Z17" s="19"/>
      <c r="AA17" s="19"/>
      <c r="AB17" s="22"/>
      <c r="AC17" s="19"/>
      <c r="AD17" s="23"/>
      <c r="AE17" s="24"/>
    </row>
    <row r="18" spans="2:31" ht="39.950000000000003" customHeight="1" x14ac:dyDescent="0.3">
      <c r="B18" s="107">
        <v>23013</v>
      </c>
      <c r="C18" s="12">
        <f t="shared" si="0"/>
        <v>13</v>
      </c>
      <c r="D18" s="105" t="str">
        <f>IFERROR(" "&amp;VLOOKUP(B18,현장리스트!$B:$C,2,0),"-")</f>
        <v xml:space="preserve"> [1.대우건설] 고양향동 지원1BL 지식산업센터 신축공사</v>
      </c>
      <c r="E18" s="13" t="s">
        <v>370</v>
      </c>
      <c r="F18" s="13" t="str">
        <f t="shared" ca="1" si="1"/>
        <v>44세</v>
      </c>
      <c r="G18" s="14" t="s">
        <v>2483</v>
      </c>
      <c r="H18" s="15" t="str">
        <f t="shared" si="2"/>
        <v>남</v>
      </c>
      <c r="I18" s="16" t="s">
        <v>895</v>
      </c>
      <c r="J18" s="16" t="s">
        <v>896</v>
      </c>
      <c r="K18" s="17">
        <v>4900000</v>
      </c>
      <c r="L18" s="18" t="s">
        <v>2484</v>
      </c>
      <c r="M18" s="19" t="s">
        <v>987</v>
      </c>
      <c r="N18" s="19" t="s">
        <v>2737</v>
      </c>
      <c r="O18" s="20">
        <v>10</v>
      </c>
      <c r="P18" s="23" t="s">
        <v>24</v>
      </c>
      <c r="Q18" s="131" t="str">
        <f>VLOOKUP(C18,'2-1. 인사고과표(기능)'!B:AS,44,0)</f>
        <v>S</v>
      </c>
      <c r="R18" s="131" t="str">
        <f>VLOOKUP(C18,'2-2. 인사고과표(안전)'!B:AO,40,0)</f>
        <v>S</v>
      </c>
      <c r="S18" s="18"/>
      <c r="T18" s="19"/>
      <c r="U18" s="19"/>
      <c r="V18" s="19"/>
      <c r="W18" s="19" t="s">
        <v>407</v>
      </c>
      <c r="X18" s="22" t="s">
        <v>2776</v>
      </c>
      <c r="Y18" s="23" t="s">
        <v>24</v>
      </c>
      <c r="Z18" s="19" t="s">
        <v>373</v>
      </c>
      <c r="AA18" s="19"/>
      <c r="AB18" s="22"/>
      <c r="AC18" s="19"/>
      <c r="AD18" s="23"/>
      <c r="AE18" s="24"/>
    </row>
    <row r="19" spans="2:31" ht="39.950000000000003" customHeight="1" x14ac:dyDescent="0.3">
      <c r="B19" s="107">
        <v>23013</v>
      </c>
      <c r="C19" s="12">
        <f t="shared" si="0"/>
        <v>14</v>
      </c>
      <c r="D19" s="105" t="str">
        <f>IFERROR(" "&amp;VLOOKUP(B19,현장리스트!$B:$C,2,0),"-")</f>
        <v xml:space="preserve"> [1.대우건설] 고양향동 지원1BL 지식산업센터 신축공사</v>
      </c>
      <c r="E19" s="13" t="s">
        <v>1472</v>
      </c>
      <c r="F19" s="13" t="str">
        <f t="shared" ca="1" si="1"/>
        <v>63세</v>
      </c>
      <c r="G19" s="14" t="s">
        <v>1473</v>
      </c>
      <c r="H19" s="15" t="str">
        <f t="shared" si="2"/>
        <v>남</v>
      </c>
      <c r="I19" s="16" t="s">
        <v>899</v>
      </c>
      <c r="J19" s="16" t="s">
        <v>903</v>
      </c>
      <c r="K19" s="17">
        <v>5300000</v>
      </c>
      <c r="L19" s="18" t="s">
        <v>1474</v>
      </c>
      <c r="M19" s="19" t="s">
        <v>910</v>
      </c>
      <c r="N19" s="19" t="s">
        <v>995</v>
      </c>
      <c r="O19" s="20">
        <v>40</v>
      </c>
      <c r="P19" s="23" t="s">
        <v>24</v>
      </c>
      <c r="Q19" s="131" t="str">
        <f>VLOOKUP(C19,'2-1. 인사고과표(기능)'!B:AS,44,0)</f>
        <v>S</v>
      </c>
      <c r="R19" s="131" t="str">
        <f>VLOOKUP(C19,'2-2. 인사고과표(안전)'!B:AO,40,0)</f>
        <v>S</v>
      </c>
      <c r="S19" s="18"/>
      <c r="T19" s="19"/>
      <c r="U19" s="19"/>
      <c r="V19" s="19"/>
      <c r="W19" s="19" t="s">
        <v>407</v>
      </c>
      <c r="X19" s="22" t="s">
        <v>2776</v>
      </c>
      <c r="Y19" s="23" t="s">
        <v>24</v>
      </c>
      <c r="Z19" s="19" t="s">
        <v>373</v>
      </c>
      <c r="AA19" s="19"/>
      <c r="AB19" s="22"/>
      <c r="AC19" s="19"/>
      <c r="AD19" s="23"/>
      <c r="AE19" s="24"/>
    </row>
    <row r="20" spans="2:31" ht="39.950000000000003" customHeight="1" x14ac:dyDescent="0.3">
      <c r="B20" s="107">
        <v>23013</v>
      </c>
      <c r="C20" s="12">
        <f t="shared" si="0"/>
        <v>15</v>
      </c>
      <c r="D20" s="105" t="str">
        <f>IFERROR(" "&amp;VLOOKUP(B20,현장리스트!$B:$C,2,0),"-")</f>
        <v xml:space="preserve"> [1.대우건설] 고양향동 지원1BL 지식산업센터 신축공사</v>
      </c>
      <c r="E20" s="13" t="s">
        <v>1501</v>
      </c>
      <c r="F20" s="13" t="str">
        <f t="shared" ca="1" si="1"/>
        <v>58세</v>
      </c>
      <c r="G20" s="14" t="s">
        <v>1502</v>
      </c>
      <c r="H20" s="15" t="str">
        <f t="shared" si="2"/>
        <v>남</v>
      </c>
      <c r="I20" s="16" t="s">
        <v>899</v>
      </c>
      <c r="J20" s="16" t="s">
        <v>903</v>
      </c>
      <c r="K20" s="17">
        <v>200000</v>
      </c>
      <c r="L20" s="18" t="s">
        <v>1503</v>
      </c>
      <c r="M20" s="19" t="s">
        <v>910</v>
      </c>
      <c r="N20" s="19" t="s">
        <v>911</v>
      </c>
      <c r="O20" s="20">
        <v>21</v>
      </c>
      <c r="P20" s="23" t="s">
        <v>24</v>
      </c>
      <c r="Q20" s="131" t="str">
        <f>VLOOKUP(C20,'2-1. 인사고과표(기능)'!B:AS,44,0)</f>
        <v>S</v>
      </c>
      <c r="R20" s="131" t="str">
        <f>VLOOKUP(C20,'2-2. 인사고과표(안전)'!B:AO,40,0)</f>
        <v>S</v>
      </c>
      <c r="S20" s="18"/>
      <c r="T20" s="19"/>
      <c r="U20" s="19"/>
      <c r="V20" s="19"/>
      <c r="W20" s="19"/>
      <c r="X20" s="22"/>
      <c r="Y20" s="23"/>
      <c r="Z20" s="19"/>
      <c r="AA20" s="19" t="s">
        <v>2777</v>
      </c>
      <c r="AB20" s="22" t="s">
        <v>2778</v>
      </c>
      <c r="AC20" s="19" t="s">
        <v>2779</v>
      </c>
      <c r="AD20" s="23" t="s">
        <v>26</v>
      </c>
      <c r="AE20" s="24"/>
    </row>
    <row r="21" spans="2:31" ht="39.950000000000003" customHeight="1" x14ac:dyDescent="0.3">
      <c r="B21" s="107">
        <v>23013</v>
      </c>
      <c r="C21" s="12">
        <f t="shared" si="0"/>
        <v>16</v>
      </c>
      <c r="D21" s="105" t="str">
        <f>IFERROR(" "&amp;VLOOKUP(B21,현장리스트!$B:$C,2,0),"-")</f>
        <v xml:space="preserve"> [1.대우건설] 고양향동 지원1BL 지식산업센터 신축공사</v>
      </c>
      <c r="E21" s="13" t="s">
        <v>1317</v>
      </c>
      <c r="F21" s="13" t="str">
        <f t="shared" ca="1" si="1"/>
        <v>68세</v>
      </c>
      <c r="G21" s="14" t="s">
        <v>1318</v>
      </c>
      <c r="H21" s="15" t="str">
        <f t="shared" si="2"/>
        <v>남</v>
      </c>
      <c r="I21" s="16" t="s">
        <v>901</v>
      </c>
      <c r="J21" s="16" t="s">
        <v>30</v>
      </c>
      <c r="K21" s="17">
        <v>190000</v>
      </c>
      <c r="L21" s="18" t="s">
        <v>1319</v>
      </c>
      <c r="M21" s="19" t="s">
        <v>987</v>
      </c>
      <c r="N21" s="19" t="s">
        <v>2566</v>
      </c>
      <c r="O21" s="20">
        <v>25</v>
      </c>
      <c r="P21" s="23" t="s">
        <v>24</v>
      </c>
      <c r="Q21" s="131" t="str">
        <f>VLOOKUP(C21,'2-1. 인사고과표(기능)'!B:AS,44,0)</f>
        <v>S</v>
      </c>
      <c r="R21" s="131" t="str">
        <f>VLOOKUP(C21,'2-2. 인사고과표(안전)'!B:AO,40,0)</f>
        <v>S</v>
      </c>
      <c r="S21" s="18"/>
      <c r="T21" s="19"/>
      <c r="U21" s="19"/>
      <c r="V21" s="19"/>
      <c r="W21" s="19" t="s">
        <v>407</v>
      </c>
      <c r="X21" s="22" t="s">
        <v>2776</v>
      </c>
      <c r="Y21" s="23" t="s">
        <v>24</v>
      </c>
      <c r="Z21" s="19" t="s">
        <v>373</v>
      </c>
      <c r="AA21" s="19"/>
      <c r="AB21" s="22"/>
      <c r="AC21" s="19"/>
      <c r="AD21" s="23"/>
      <c r="AE21" s="24"/>
    </row>
    <row r="22" spans="2:31" ht="39.950000000000003" customHeight="1" x14ac:dyDescent="0.3">
      <c r="B22" s="107">
        <v>23013</v>
      </c>
      <c r="C22" s="12">
        <f t="shared" si="0"/>
        <v>17</v>
      </c>
      <c r="D22" s="105" t="str">
        <f>IFERROR(" "&amp;VLOOKUP(B22,현장리스트!$B:$C,2,0),"-")</f>
        <v xml:space="preserve"> [1.대우건설] 고양향동 지원1BL 지식산업센터 신축공사</v>
      </c>
      <c r="E22" s="13" t="s">
        <v>1850</v>
      </c>
      <c r="F22" s="13" t="str">
        <f t="shared" ca="1" si="1"/>
        <v>64세</v>
      </c>
      <c r="G22" s="14" t="s">
        <v>1851</v>
      </c>
      <c r="H22" s="15" t="str">
        <f t="shared" si="2"/>
        <v>남</v>
      </c>
      <c r="I22" s="16" t="s">
        <v>901</v>
      </c>
      <c r="J22" s="16" t="s">
        <v>30</v>
      </c>
      <c r="K22" s="17">
        <v>190000</v>
      </c>
      <c r="L22" s="18" t="s">
        <v>1852</v>
      </c>
      <c r="M22" s="19" t="s">
        <v>910</v>
      </c>
      <c r="N22" s="19" t="s">
        <v>995</v>
      </c>
      <c r="O22" s="20">
        <v>9</v>
      </c>
      <c r="P22" s="23" t="s">
        <v>24</v>
      </c>
      <c r="Q22" s="131" t="str">
        <f>VLOOKUP(C22,'2-1. 인사고과표(기능)'!B:AS,44,0)</f>
        <v>A</v>
      </c>
      <c r="R22" s="131" t="str">
        <f>VLOOKUP(C22,'2-2. 인사고과표(안전)'!B:AO,40,0)</f>
        <v>S</v>
      </c>
      <c r="S22" s="18"/>
      <c r="T22" s="19"/>
      <c r="U22" s="19"/>
      <c r="V22" s="19"/>
      <c r="W22" s="19" t="s">
        <v>407</v>
      </c>
      <c r="X22" s="22" t="s">
        <v>2776</v>
      </c>
      <c r="Y22" s="23" t="s">
        <v>24</v>
      </c>
      <c r="Z22" s="19" t="s">
        <v>373</v>
      </c>
      <c r="AA22" s="19"/>
      <c r="AB22" s="22"/>
      <c r="AC22" s="19"/>
      <c r="AD22" s="23"/>
      <c r="AE22" s="24"/>
    </row>
    <row r="23" spans="2:31" ht="39.950000000000003" customHeight="1" x14ac:dyDescent="0.3">
      <c r="B23" s="107">
        <v>25032</v>
      </c>
      <c r="C23" s="12">
        <f t="shared" si="0"/>
        <v>18</v>
      </c>
      <c r="D23" s="105" t="str">
        <f>IFERROR(" "&amp;VLOOKUP(B23,현장리스트!$B:$C,2,0),"-")</f>
        <v xml:space="preserve"> [1.대우건설] 인천검단 신도시 AA28BL 공동주택 신축공사</v>
      </c>
      <c r="E23" s="13" t="s">
        <v>212</v>
      </c>
      <c r="F23" s="13" t="str">
        <f t="shared" ca="1" si="1"/>
        <v>49세</v>
      </c>
      <c r="G23" s="14" t="s">
        <v>1946</v>
      </c>
      <c r="H23" s="15" t="str">
        <f t="shared" si="2"/>
        <v>남</v>
      </c>
      <c r="I23" s="16" t="s">
        <v>895</v>
      </c>
      <c r="J23" s="16" t="s">
        <v>903</v>
      </c>
      <c r="K23" s="17">
        <v>5800000</v>
      </c>
      <c r="L23" s="18" t="s">
        <v>1947</v>
      </c>
      <c r="M23" s="19" t="s">
        <v>910</v>
      </c>
      <c r="N23" s="19" t="s">
        <v>911</v>
      </c>
      <c r="O23" s="20"/>
      <c r="P23" s="23" t="s">
        <v>23</v>
      </c>
      <c r="Q23" s="131" t="str">
        <f>VLOOKUP(C23,'2-1. 인사고과표(기능)'!B:AS,44,0)</f>
        <v>S</v>
      </c>
      <c r="R23" s="131" t="str">
        <f>VLOOKUP(C23,'2-2. 인사고과표(안전)'!B:AO,40,0)</f>
        <v>S</v>
      </c>
      <c r="S23" s="18"/>
      <c r="T23" s="19"/>
      <c r="U23" s="19" t="s">
        <v>2765</v>
      </c>
      <c r="V23" s="19"/>
      <c r="W23" s="19" t="s">
        <v>456</v>
      </c>
      <c r="X23" s="22" t="s">
        <v>2766</v>
      </c>
      <c r="Y23" s="23" t="s">
        <v>23</v>
      </c>
      <c r="Z23" s="19"/>
      <c r="AA23" s="19"/>
      <c r="AB23" s="22"/>
      <c r="AC23" s="19"/>
      <c r="AD23" s="23"/>
      <c r="AE23" s="24"/>
    </row>
    <row r="24" spans="2:31" ht="39.950000000000003" customHeight="1" x14ac:dyDescent="0.3">
      <c r="B24" s="107">
        <v>25032</v>
      </c>
      <c r="C24" s="12">
        <f t="shared" si="0"/>
        <v>19</v>
      </c>
      <c r="D24" s="105" t="str">
        <f>IFERROR(" "&amp;VLOOKUP(B24,현장리스트!$B:$C,2,0),"-")</f>
        <v xml:space="preserve"> [1.대우건설] 인천검단 신도시 AA28BL 공동주택 신축공사</v>
      </c>
      <c r="E24" s="13" t="s">
        <v>1369</v>
      </c>
      <c r="F24" s="13" t="str">
        <f t="shared" ca="1" si="1"/>
        <v>31세</v>
      </c>
      <c r="G24" s="14" t="s">
        <v>1370</v>
      </c>
      <c r="H24" s="15" t="str">
        <f t="shared" si="2"/>
        <v>남</v>
      </c>
      <c r="I24" s="16" t="s">
        <v>897</v>
      </c>
      <c r="J24" s="16" t="s">
        <v>900</v>
      </c>
      <c r="K24" s="17">
        <v>3500000</v>
      </c>
      <c r="L24" s="18" t="s">
        <v>1371</v>
      </c>
      <c r="M24" s="19" t="s">
        <v>910</v>
      </c>
      <c r="N24" s="19" t="s">
        <v>911</v>
      </c>
      <c r="O24" s="20">
        <v>2</v>
      </c>
      <c r="P24" s="23" t="s">
        <v>23</v>
      </c>
      <c r="Q24" s="131" t="str">
        <f>VLOOKUP(C24,'2-1. 인사고과표(기능)'!B:AS,44,0)</f>
        <v>A</v>
      </c>
      <c r="R24" s="131" t="str">
        <f>VLOOKUP(C24,'2-2. 인사고과표(안전)'!B:AO,40,0)</f>
        <v>S</v>
      </c>
      <c r="S24" s="18"/>
      <c r="T24" s="19"/>
      <c r="U24" s="19"/>
      <c r="V24" s="19"/>
      <c r="W24" s="19"/>
      <c r="X24" s="22"/>
      <c r="Y24" s="23"/>
      <c r="Z24" s="19"/>
      <c r="AA24" s="19" t="s">
        <v>497</v>
      </c>
      <c r="AB24" s="22" t="s">
        <v>2767</v>
      </c>
      <c r="AC24" s="19" t="s">
        <v>2768</v>
      </c>
      <c r="AD24" s="23" t="s">
        <v>23</v>
      </c>
      <c r="AE24" s="24"/>
    </row>
    <row r="25" spans="2:31" ht="39.950000000000003" customHeight="1" x14ac:dyDescent="0.3">
      <c r="B25" s="107">
        <v>25032</v>
      </c>
      <c r="C25" s="12">
        <f t="shared" si="0"/>
        <v>20</v>
      </c>
      <c r="D25" s="105" t="str">
        <f>IFERROR(" "&amp;VLOOKUP(B25,현장리스트!$B:$C,2,0),"-")</f>
        <v xml:space="preserve"> [1.대우건설] 인천검단 신도시 AA28BL 공동주택 신축공사</v>
      </c>
      <c r="E25" s="13" t="s">
        <v>2357</v>
      </c>
      <c r="F25" s="13" t="str">
        <f t="shared" ca="1" si="1"/>
        <v>51세</v>
      </c>
      <c r="G25" s="14" t="s">
        <v>2358</v>
      </c>
      <c r="H25" s="15" t="str">
        <f t="shared" si="2"/>
        <v>남</v>
      </c>
      <c r="I25" s="16" t="s">
        <v>901</v>
      </c>
      <c r="J25" s="16" t="s">
        <v>30</v>
      </c>
      <c r="K25" s="17">
        <v>210000</v>
      </c>
      <c r="L25" s="18" t="s">
        <v>2359</v>
      </c>
      <c r="M25" s="19" t="s">
        <v>2763</v>
      </c>
      <c r="N25" s="19" t="s">
        <v>2764</v>
      </c>
      <c r="O25" s="20" t="s">
        <v>2664</v>
      </c>
      <c r="P25" s="23" t="s">
        <v>23</v>
      </c>
      <c r="Q25" s="131" t="str">
        <f>VLOOKUP(C25,'2-1. 인사고과표(기능)'!B:AS,44,0)</f>
        <v>S</v>
      </c>
      <c r="R25" s="131" t="str">
        <f>VLOOKUP(C25,'2-2. 인사고과표(안전)'!B:AO,40,0)</f>
        <v>S</v>
      </c>
      <c r="S25" s="18"/>
      <c r="T25" s="19"/>
      <c r="U25" s="19"/>
      <c r="V25" s="19"/>
      <c r="W25" s="19" t="s">
        <v>427</v>
      </c>
      <c r="X25" s="22" t="s">
        <v>2769</v>
      </c>
      <c r="Y25" s="23" t="s">
        <v>23</v>
      </c>
      <c r="Z25" s="19"/>
      <c r="AA25" s="19"/>
      <c r="AB25" s="22"/>
      <c r="AC25" s="19"/>
      <c r="AD25" s="23"/>
      <c r="AE25" s="24"/>
    </row>
    <row r="26" spans="2:31" ht="39.950000000000003" customHeight="1" x14ac:dyDescent="0.3">
      <c r="B26" s="107">
        <v>25032</v>
      </c>
      <c r="C26" s="12">
        <f t="shared" si="0"/>
        <v>21</v>
      </c>
      <c r="D26" s="105" t="str">
        <f>IFERROR(" "&amp;VLOOKUP(B26,현장리스트!$B:$C,2,0),"-")</f>
        <v xml:space="preserve"> [1.대우건설] 인천검단 신도시 AA28BL 공동주택 신축공사</v>
      </c>
      <c r="E26" s="13" t="s">
        <v>1538</v>
      </c>
      <c r="F26" s="13" t="str">
        <f t="shared" ca="1" si="1"/>
        <v>46세</v>
      </c>
      <c r="G26" s="14" t="s">
        <v>1539</v>
      </c>
      <c r="H26" s="15" t="str">
        <f t="shared" si="2"/>
        <v>남</v>
      </c>
      <c r="I26" s="16" t="s">
        <v>901</v>
      </c>
      <c r="J26" s="16" t="s">
        <v>30</v>
      </c>
      <c r="K26" s="17">
        <v>200000</v>
      </c>
      <c r="L26" s="18" t="s">
        <v>1540</v>
      </c>
      <c r="M26" s="19" t="s">
        <v>910</v>
      </c>
      <c r="N26" s="19" t="s">
        <v>995</v>
      </c>
      <c r="O26" s="20" t="s">
        <v>912</v>
      </c>
      <c r="P26" s="23" t="s">
        <v>23</v>
      </c>
      <c r="Q26" s="131" t="str">
        <f>VLOOKUP(C26,'2-1. 인사고과표(기능)'!B:AS,44,0)</f>
        <v>A</v>
      </c>
      <c r="R26" s="131" t="str">
        <f>VLOOKUP(C26,'2-2. 인사고과표(안전)'!B:AO,40,0)</f>
        <v>S</v>
      </c>
      <c r="S26" s="18"/>
      <c r="T26" s="19"/>
      <c r="U26" s="19"/>
      <c r="V26" s="19"/>
      <c r="W26" s="19"/>
      <c r="X26" s="22"/>
      <c r="Y26" s="23"/>
      <c r="Z26" s="19"/>
      <c r="AA26" s="19" t="s">
        <v>2770</v>
      </c>
      <c r="AB26" s="22" t="s">
        <v>2771</v>
      </c>
      <c r="AC26" s="19" t="s">
        <v>2772</v>
      </c>
      <c r="AD26" s="23" t="s">
        <v>23</v>
      </c>
      <c r="AE26" s="24"/>
    </row>
    <row r="27" spans="2:31" ht="39.950000000000003" customHeight="1" x14ac:dyDescent="0.3">
      <c r="B27" s="107">
        <v>25032</v>
      </c>
      <c r="C27" s="12">
        <f t="shared" si="0"/>
        <v>22</v>
      </c>
      <c r="D27" s="105" t="str">
        <f>IFERROR(" "&amp;VLOOKUP(B27,현장리스트!$B:$C,2,0),"-")</f>
        <v xml:space="preserve"> [1.대우건설] 인천검단 신도시 AA28BL 공동주택 신축공사</v>
      </c>
      <c r="E27" s="13" t="s">
        <v>2031</v>
      </c>
      <c r="F27" s="13" t="str">
        <f t="shared" ca="1" si="1"/>
        <v>42세</v>
      </c>
      <c r="G27" s="14" t="s">
        <v>2032</v>
      </c>
      <c r="H27" s="15" t="str">
        <f t="shared" si="2"/>
        <v>남</v>
      </c>
      <c r="I27" s="16" t="s">
        <v>901</v>
      </c>
      <c r="J27" s="16" t="s">
        <v>30</v>
      </c>
      <c r="K27" s="17">
        <v>200000</v>
      </c>
      <c r="L27" s="18" t="s">
        <v>2033</v>
      </c>
      <c r="M27" s="19" t="s">
        <v>987</v>
      </c>
      <c r="N27" s="19" t="s">
        <v>2553</v>
      </c>
      <c r="O27" s="20" t="s">
        <v>912</v>
      </c>
      <c r="P27" s="23" t="s">
        <v>23</v>
      </c>
      <c r="Q27" s="131" t="str">
        <f>VLOOKUP(C27,'2-1. 인사고과표(기능)'!B:AS,44,0)</f>
        <v>S</v>
      </c>
      <c r="R27" s="131" t="str">
        <f>VLOOKUP(C27,'2-2. 인사고과표(안전)'!B:AO,40,0)</f>
        <v>S</v>
      </c>
      <c r="S27" s="18"/>
      <c r="T27" s="19"/>
      <c r="U27" s="19"/>
      <c r="V27" s="19"/>
      <c r="W27" s="19" t="s">
        <v>456</v>
      </c>
      <c r="X27" s="22" t="s">
        <v>2766</v>
      </c>
      <c r="Y27" s="23" t="s">
        <v>23</v>
      </c>
      <c r="Z27" s="19"/>
      <c r="AA27" s="19"/>
      <c r="AB27" s="22"/>
      <c r="AC27" s="19"/>
      <c r="AD27" s="23"/>
      <c r="AE27" s="24"/>
    </row>
    <row r="28" spans="2:31" ht="39.950000000000003" customHeight="1" x14ac:dyDescent="0.3">
      <c r="B28" s="107">
        <v>25032</v>
      </c>
      <c r="C28" s="12">
        <f t="shared" si="0"/>
        <v>23</v>
      </c>
      <c r="D28" s="105" t="str">
        <f>IFERROR(" "&amp;VLOOKUP(B28,현장리스트!$B:$C,2,0),"-")</f>
        <v xml:space="preserve"> [1.대우건설] 인천검단 신도시 AA28BL 공동주택 신축공사</v>
      </c>
      <c r="E28" s="13" t="s">
        <v>2445</v>
      </c>
      <c r="F28" s="13" t="str">
        <f t="shared" ca="1" si="1"/>
        <v>53세</v>
      </c>
      <c r="G28" s="14" t="s">
        <v>2762</v>
      </c>
      <c r="H28" s="15" t="str">
        <f t="shared" si="2"/>
        <v>남</v>
      </c>
      <c r="I28" s="16" t="s">
        <v>901</v>
      </c>
      <c r="J28" s="16" t="s">
        <v>30</v>
      </c>
      <c r="K28" s="17">
        <v>200000</v>
      </c>
      <c r="L28" s="18" t="s">
        <v>2775</v>
      </c>
      <c r="M28" s="19" t="s">
        <v>917</v>
      </c>
      <c r="N28" s="19" t="s">
        <v>952</v>
      </c>
      <c r="O28" s="20" t="s">
        <v>993</v>
      </c>
      <c r="P28" s="23" t="s">
        <v>23</v>
      </c>
      <c r="Q28" s="131" t="str">
        <f>VLOOKUP(C28,'2-1. 인사고과표(기능)'!B:AS,44,0)</f>
        <v>S</v>
      </c>
      <c r="R28" s="131" t="str">
        <f>VLOOKUP(C28,'2-2. 인사고과표(안전)'!B:AO,40,0)</f>
        <v>S</v>
      </c>
      <c r="S28" s="18"/>
      <c r="T28" s="19"/>
      <c r="U28" s="19"/>
      <c r="V28" s="19"/>
      <c r="W28" s="19"/>
      <c r="X28" s="22"/>
      <c r="Y28" s="23"/>
      <c r="Z28" s="19"/>
      <c r="AA28" s="19" t="s">
        <v>813</v>
      </c>
      <c r="AB28" s="22" t="s">
        <v>2773</v>
      </c>
      <c r="AC28" s="19" t="s">
        <v>2774</v>
      </c>
      <c r="AD28" s="23" t="s">
        <v>23</v>
      </c>
      <c r="AE28" s="24"/>
    </row>
    <row r="29" spans="2:31" ht="39.950000000000003" customHeight="1" x14ac:dyDescent="0.3">
      <c r="B29" s="107">
        <v>24033</v>
      </c>
      <c r="C29" s="12">
        <f t="shared" si="0"/>
        <v>24</v>
      </c>
      <c r="D29" s="105" t="str">
        <f>IFERROR(" "&amp;VLOOKUP(B29,현장리스트!$B:$C,2,0),"-")</f>
        <v xml:space="preserve"> [1.대우건설] 장위6구역 주택재개발 정비사업아파트 신축공사</v>
      </c>
      <c r="E29" s="13" t="s">
        <v>2863</v>
      </c>
      <c r="F29" s="13" t="str">
        <f t="shared" ca="1" si="1"/>
        <v>50세</v>
      </c>
      <c r="G29" s="14" t="s">
        <v>2865</v>
      </c>
      <c r="H29" s="15" t="str">
        <f t="shared" si="2"/>
        <v>남</v>
      </c>
      <c r="I29" s="16" t="s">
        <v>895</v>
      </c>
      <c r="J29" s="16" t="s">
        <v>903</v>
      </c>
      <c r="K29" s="17">
        <v>6500000</v>
      </c>
      <c r="L29" s="18" t="s">
        <v>2866</v>
      </c>
      <c r="M29" s="19" t="s">
        <v>987</v>
      </c>
      <c r="N29" s="19" t="s">
        <v>2691</v>
      </c>
      <c r="O29" s="20">
        <v>20</v>
      </c>
      <c r="P29" s="23" t="s">
        <v>23</v>
      </c>
      <c r="Q29" s="131" t="str">
        <f>VLOOKUP(C29,'2-1. 인사고과표(기능)'!B:AS,44,0)</f>
        <v>A</v>
      </c>
      <c r="R29" s="131" t="str">
        <f>VLOOKUP(C29,'2-2. 인사고과표(안전)'!B:AO,40,0)</f>
        <v/>
      </c>
      <c r="S29" s="18" t="s">
        <v>31</v>
      </c>
      <c r="T29" s="19"/>
      <c r="U29" s="19" t="s">
        <v>2765</v>
      </c>
      <c r="V29" s="19"/>
      <c r="W29" s="19" t="s">
        <v>456</v>
      </c>
      <c r="X29" s="22" t="s">
        <v>2871</v>
      </c>
      <c r="Y29" s="23" t="s">
        <v>23</v>
      </c>
      <c r="Z29" s="19"/>
      <c r="AA29" s="19" t="s">
        <v>2695</v>
      </c>
      <c r="AB29" s="22"/>
      <c r="AC29" s="19"/>
      <c r="AD29" s="23"/>
      <c r="AE29" s="24"/>
    </row>
    <row r="30" spans="2:31" ht="39.950000000000003" customHeight="1" x14ac:dyDescent="0.3">
      <c r="B30" s="107">
        <v>24033</v>
      </c>
      <c r="C30" s="12">
        <f t="shared" si="0"/>
        <v>25</v>
      </c>
      <c r="D30" s="105" t="str">
        <f>IFERROR(" "&amp;VLOOKUP(B30,현장리스트!$B:$C,2,0),"-")</f>
        <v xml:space="preserve"> [1.대우건설] 장위6구역 주택재개발 정비사업아파트 신축공사</v>
      </c>
      <c r="E30" s="13" t="s">
        <v>2044</v>
      </c>
      <c r="F30" s="13" t="str">
        <f t="shared" ca="1" si="1"/>
        <v>24세</v>
      </c>
      <c r="G30" s="14" t="s">
        <v>2045</v>
      </c>
      <c r="H30" s="15" t="str">
        <f t="shared" si="2"/>
        <v>남</v>
      </c>
      <c r="I30" s="16" t="s">
        <v>895</v>
      </c>
      <c r="J30" s="16" t="s">
        <v>900</v>
      </c>
      <c r="K30" s="17">
        <v>3700000</v>
      </c>
      <c r="L30" s="18" t="s">
        <v>2046</v>
      </c>
      <c r="M30" s="19" t="s">
        <v>987</v>
      </c>
      <c r="N30" s="19" t="s">
        <v>2867</v>
      </c>
      <c r="O30" s="20" t="s">
        <v>2550</v>
      </c>
      <c r="P30" s="23" t="s">
        <v>23</v>
      </c>
      <c r="Q30" s="131" t="str">
        <f>VLOOKUP(C30,'2-1. 인사고과표(기능)'!B:AS,44,0)</f>
        <v>S</v>
      </c>
      <c r="R30" s="131" t="str">
        <f>VLOOKUP(C30,'2-2. 인사고과표(안전)'!B:AO,40,0)</f>
        <v>S</v>
      </c>
      <c r="S30" s="18" t="s">
        <v>2675</v>
      </c>
      <c r="T30" s="19"/>
      <c r="U30" s="19" t="s">
        <v>2675</v>
      </c>
      <c r="V30" s="19"/>
      <c r="W30" s="19" t="s">
        <v>2872</v>
      </c>
      <c r="X30" s="22" t="s">
        <v>2873</v>
      </c>
      <c r="Y30" s="23" t="s">
        <v>23</v>
      </c>
      <c r="Z30" s="19"/>
      <c r="AA30" s="19"/>
      <c r="AB30" s="22"/>
      <c r="AC30" s="19"/>
      <c r="AD30" s="23"/>
      <c r="AE30" s="24"/>
    </row>
    <row r="31" spans="2:31" ht="39.950000000000003" customHeight="1" x14ac:dyDescent="0.3">
      <c r="B31" s="107">
        <v>24033</v>
      </c>
      <c r="C31" s="12">
        <f t="shared" si="0"/>
        <v>26</v>
      </c>
      <c r="D31" s="105" t="str">
        <f>IFERROR(" "&amp;VLOOKUP(B31,현장리스트!$B:$C,2,0),"-")</f>
        <v xml:space="preserve"> [1.대우건설] 장위6구역 주택재개발 정비사업아파트 신축공사</v>
      </c>
      <c r="E31" s="13" t="s">
        <v>2864</v>
      </c>
      <c r="F31" s="13" t="str">
        <f t="shared" ca="1" si="1"/>
        <v>60세</v>
      </c>
      <c r="G31" s="14" t="s">
        <v>2245</v>
      </c>
      <c r="H31" s="15" t="str">
        <f t="shared" si="2"/>
        <v>남</v>
      </c>
      <c r="I31" s="16" t="s">
        <v>899</v>
      </c>
      <c r="J31" s="16" t="s">
        <v>903</v>
      </c>
      <c r="K31" s="17">
        <v>200000</v>
      </c>
      <c r="L31" s="18" t="s">
        <v>2246</v>
      </c>
      <c r="M31" s="19" t="s">
        <v>987</v>
      </c>
      <c r="N31" s="19" t="s">
        <v>2868</v>
      </c>
      <c r="O31" s="20">
        <v>35</v>
      </c>
      <c r="P31" s="23" t="s">
        <v>23</v>
      </c>
      <c r="Q31" s="131" t="str">
        <f>VLOOKUP(C31,'2-1. 인사고과표(기능)'!B:AS,44,0)</f>
        <v>S</v>
      </c>
      <c r="R31" s="131" t="str">
        <f>VLOOKUP(C31,'2-2. 인사고과표(안전)'!B:AO,40,0)</f>
        <v>S</v>
      </c>
      <c r="S31" s="18"/>
      <c r="T31" s="19"/>
      <c r="U31" s="19"/>
      <c r="V31" s="19"/>
      <c r="W31" s="19" t="s">
        <v>2874</v>
      </c>
      <c r="X31" s="22" t="s">
        <v>2875</v>
      </c>
      <c r="Y31" s="23" t="s">
        <v>23</v>
      </c>
      <c r="Z31" s="19"/>
      <c r="AA31" s="19"/>
      <c r="AB31" s="22"/>
      <c r="AC31" s="19"/>
      <c r="AD31" s="23"/>
      <c r="AE31" s="24"/>
    </row>
    <row r="32" spans="2:31" ht="39.950000000000003" customHeight="1" x14ac:dyDescent="0.3">
      <c r="B32" s="107">
        <v>24033</v>
      </c>
      <c r="C32" s="12">
        <f t="shared" si="0"/>
        <v>27</v>
      </c>
      <c r="D32" s="105" t="str">
        <f>IFERROR(" "&amp;VLOOKUP(B32,현장리스트!$B:$C,2,0),"-")</f>
        <v xml:space="preserve"> [1.대우건설] 장위6구역 주택재개발 정비사업아파트 신축공사</v>
      </c>
      <c r="E32" s="13" t="s">
        <v>1707</v>
      </c>
      <c r="F32" s="13" t="str">
        <f t="shared" ca="1" si="1"/>
        <v>56세</v>
      </c>
      <c r="G32" s="14" t="s">
        <v>1708</v>
      </c>
      <c r="H32" s="15" t="str">
        <f t="shared" si="2"/>
        <v>남</v>
      </c>
      <c r="I32" s="16" t="s">
        <v>899</v>
      </c>
      <c r="J32" s="16" t="s">
        <v>903</v>
      </c>
      <c r="K32" s="17">
        <v>200000</v>
      </c>
      <c r="L32" s="18" t="s">
        <v>1709</v>
      </c>
      <c r="M32" s="19" t="s">
        <v>910</v>
      </c>
      <c r="N32" s="19" t="s">
        <v>1004</v>
      </c>
      <c r="O32" s="20" t="s">
        <v>1017</v>
      </c>
      <c r="P32" s="23" t="s">
        <v>23</v>
      </c>
      <c r="Q32" s="131" t="str">
        <f>VLOOKUP(C32,'2-1. 인사고과표(기능)'!B:AS,44,0)</f>
        <v>S</v>
      </c>
      <c r="R32" s="131" t="str">
        <f>VLOOKUP(C32,'2-2. 인사고과표(안전)'!B:AO,40,0)</f>
        <v>S</v>
      </c>
      <c r="S32" s="18"/>
      <c r="T32" s="19"/>
      <c r="U32" s="19"/>
      <c r="V32" s="19"/>
      <c r="W32" s="19" t="s">
        <v>2876</v>
      </c>
      <c r="X32" s="22" t="s">
        <v>2877</v>
      </c>
      <c r="Y32" s="23" t="s">
        <v>23</v>
      </c>
      <c r="Z32" s="19"/>
      <c r="AA32" s="19"/>
      <c r="AB32" s="22"/>
      <c r="AC32" s="19"/>
      <c r="AD32" s="23"/>
      <c r="AE32" s="24"/>
    </row>
    <row r="33" spans="2:31" ht="39.950000000000003" customHeight="1" x14ac:dyDescent="0.3">
      <c r="B33" s="107">
        <v>24033</v>
      </c>
      <c r="C33" s="12">
        <f t="shared" si="0"/>
        <v>28</v>
      </c>
      <c r="D33" s="105" t="str">
        <f>IFERROR(" "&amp;VLOOKUP(B33,현장리스트!$B:$C,2,0),"-")</f>
        <v xml:space="preserve"> [1.대우건설] 장위6구역 주택재개발 정비사업아파트 신축공사</v>
      </c>
      <c r="E33" s="13" t="s">
        <v>1874</v>
      </c>
      <c r="F33" s="13" t="str">
        <f t="shared" ca="1" si="1"/>
        <v>49세</v>
      </c>
      <c r="G33" s="14" t="s">
        <v>1875</v>
      </c>
      <c r="H33" s="15" t="str">
        <f t="shared" si="2"/>
        <v>남</v>
      </c>
      <c r="I33" s="16" t="s">
        <v>901</v>
      </c>
      <c r="J33" s="16" t="s">
        <v>30</v>
      </c>
      <c r="K33" s="17">
        <v>220000</v>
      </c>
      <c r="L33" s="18" t="s">
        <v>1876</v>
      </c>
      <c r="M33" s="19" t="s">
        <v>934</v>
      </c>
      <c r="N33" s="19" t="s">
        <v>2623</v>
      </c>
      <c r="O33" s="20">
        <v>13</v>
      </c>
      <c r="P33" s="23" t="s">
        <v>23</v>
      </c>
      <c r="Q33" s="131" t="str">
        <f>VLOOKUP(C33,'2-1. 인사고과표(기능)'!B:AS,44,0)</f>
        <v>S</v>
      </c>
      <c r="R33" s="131" t="str">
        <f>VLOOKUP(C33,'2-2. 인사고과표(안전)'!B:AO,40,0)</f>
        <v>S</v>
      </c>
      <c r="S33" s="18"/>
      <c r="T33" s="19"/>
      <c r="U33" s="19"/>
      <c r="V33" s="19"/>
      <c r="W33" s="19" t="s">
        <v>2874</v>
      </c>
      <c r="X33" s="22" t="s">
        <v>2875</v>
      </c>
      <c r="Y33" s="23" t="s">
        <v>23</v>
      </c>
      <c r="Z33" s="19"/>
      <c r="AA33" s="19"/>
      <c r="AB33" s="22"/>
      <c r="AC33" s="19"/>
      <c r="AD33" s="23"/>
      <c r="AE33" s="24"/>
    </row>
    <row r="34" spans="2:31" ht="39.950000000000003" customHeight="1" x14ac:dyDescent="0.3">
      <c r="B34" s="107">
        <v>24033</v>
      </c>
      <c r="C34" s="12">
        <f t="shared" si="0"/>
        <v>29</v>
      </c>
      <c r="D34" s="105" t="str">
        <f>IFERROR(" "&amp;VLOOKUP(B34,현장리스트!$B:$C,2,0),"-")</f>
        <v xml:space="preserve"> [1.대우건설] 장위6구역 주택재개발 정비사업아파트 신축공사</v>
      </c>
      <c r="E34" s="13" t="s">
        <v>1677</v>
      </c>
      <c r="F34" s="13" t="str">
        <f t="shared" ca="1" si="1"/>
        <v>62세</v>
      </c>
      <c r="G34" s="14" t="s">
        <v>1678</v>
      </c>
      <c r="H34" s="15" t="str">
        <f t="shared" si="2"/>
        <v>남</v>
      </c>
      <c r="I34" s="16" t="s">
        <v>901</v>
      </c>
      <c r="J34" s="16" t="s">
        <v>30</v>
      </c>
      <c r="K34" s="17">
        <v>190000</v>
      </c>
      <c r="L34" s="18" t="s">
        <v>1679</v>
      </c>
      <c r="M34" s="19" t="s">
        <v>3073</v>
      </c>
      <c r="N34" s="19" t="s">
        <v>2669</v>
      </c>
      <c r="O34" s="20">
        <v>20</v>
      </c>
      <c r="P34" s="23" t="s">
        <v>23</v>
      </c>
      <c r="Q34" s="131" t="str">
        <f>VLOOKUP(C34,'2-1. 인사고과표(기능)'!B:AS,44,0)</f>
        <v>S</v>
      </c>
      <c r="R34" s="131" t="str">
        <f>VLOOKUP(C34,'2-2. 인사고과표(안전)'!B:AO,40,0)</f>
        <v>S</v>
      </c>
      <c r="S34" s="18"/>
      <c r="T34" s="19"/>
      <c r="U34" s="19"/>
      <c r="V34" s="19"/>
      <c r="W34" s="19" t="s">
        <v>2874</v>
      </c>
      <c r="X34" s="22" t="s">
        <v>2875</v>
      </c>
      <c r="Y34" s="23" t="s">
        <v>23</v>
      </c>
      <c r="Z34" s="19"/>
      <c r="AA34" s="19"/>
      <c r="AB34" s="22"/>
      <c r="AC34" s="19"/>
      <c r="AD34" s="23"/>
      <c r="AE34" s="24"/>
    </row>
    <row r="35" spans="2:31" ht="39.950000000000003" customHeight="1" x14ac:dyDescent="0.3">
      <c r="B35" s="107">
        <v>24033</v>
      </c>
      <c r="C35" s="12">
        <f t="shared" si="0"/>
        <v>30</v>
      </c>
      <c r="D35" s="105" t="str">
        <f>IFERROR(" "&amp;VLOOKUP(B35,현장리스트!$B:$C,2,0),"-")</f>
        <v xml:space="preserve"> [1.대우건설] 장위6구역 주택재개발 정비사업아파트 신축공사</v>
      </c>
      <c r="E35" s="13" t="s">
        <v>2206</v>
      </c>
      <c r="F35" s="13" t="str">
        <f t="shared" ca="1" si="1"/>
        <v>42세</v>
      </c>
      <c r="G35" s="14" t="s">
        <v>2207</v>
      </c>
      <c r="H35" s="15" t="str">
        <f t="shared" si="2"/>
        <v>남</v>
      </c>
      <c r="I35" s="16" t="s">
        <v>901</v>
      </c>
      <c r="J35" s="16" t="s">
        <v>30</v>
      </c>
      <c r="K35" s="17">
        <v>200000</v>
      </c>
      <c r="L35" s="18" t="s">
        <v>2208</v>
      </c>
      <c r="M35" s="19" t="s">
        <v>914</v>
      </c>
      <c r="N35" s="19" t="s">
        <v>2869</v>
      </c>
      <c r="O35" s="20">
        <v>11</v>
      </c>
      <c r="P35" s="23" t="s">
        <v>23</v>
      </c>
      <c r="Q35" s="131" t="str">
        <f>VLOOKUP(C35,'2-1. 인사고과표(기능)'!B:AS,44,0)</f>
        <v>S</v>
      </c>
      <c r="R35" s="131" t="str">
        <f>VLOOKUP(C35,'2-2. 인사고과표(안전)'!B:AO,40,0)</f>
        <v>S</v>
      </c>
      <c r="S35" s="18"/>
      <c r="T35" s="19"/>
      <c r="U35" s="19"/>
      <c r="V35" s="19"/>
      <c r="W35" s="19" t="s">
        <v>456</v>
      </c>
      <c r="X35" s="22" t="s">
        <v>2878</v>
      </c>
      <c r="Y35" s="23" t="s">
        <v>23</v>
      </c>
      <c r="Z35" s="19"/>
      <c r="AA35" s="19"/>
      <c r="AB35" s="22"/>
      <c r="AC35" s="19"/>
      <c r="AD35" s="23"/>
      <c r="AE35" s="24"/>
    </row>
    <row r="36" spans="2:31" ht="39.950000000000003" customHeight="1" x14ac:dyDescent="0.3">
      <c r="B36" s="107">
        <v>24033</v>
      </c>
      <c r="C36" s="12">
        <f t="shared" si="0"/>
        <v>31</v>
      </c>
      <c r="D36" s="105" t="str">
        <f>IFERROR(" "&amp;VLOOKUP(B36,현장리스트!$B:$C,2,0),"-")</f>
        <v xml:space="preserve"> [1.대우건설] 장위6구역 주택재개발 정비사업아파트 신축공사</v>
      </c>
      <c r="E36" s="13" t="s">
        <v>1701</v>
      </c>
      <c r="F36" s="13" t="str">
        <f t="shared" ca="1" si="1"/>
        <v>50세</v>
      </c>
      <c r="G36" s="14" t="s">
        <v>1702</v>
      </c>
      <c r="H36" s="15" t="str">
        <f t="shared" si="2"/>
        <v>남</v>
      </c>
      <c r="I36" s="16" t="s">
        <v>901</v>
      </c>
      <c r="J36" s="16" t="s">
        <v>30</v>
      </c>
      <c r="K36" s="17">
        <v>200000</v>
      </c>
      <c r="L36" s="18" t="s">
        <v>1703</v>
      </c>
      <c r="M36" s="19" t="s">
        <v>987</v>
      </c>
      <c r="N36" s="19" t="s">
        <v>2870</v>
      </c>
      <c r="O36" s="20">
        <v>8</v>
      </c>
      <c r="P36" s="23" t="s">
        <v>23</v>
      </c>
      <c r="Q36" s="131" t="str">
        <f>VLOOKUP(C36,'2-1. 인사고과표(기능)'!B:AS,44,0)</f>
        <v>A</v>
      </c>
      <c r="R36" s="131" t="str">
        <f>VLOOKUP(C36,'2-2. 인사고과표(안전)'!B:AO,40,0)</f>
        <v>S</v>
      </c>
      <c r="S36" s="18"/>
      <c r="T36" s="19"/>
      <c r="U36" s="19"/>
      <c r="V36" s="19"/>
      <c r="W36" s="19" t="s">
        <v>456</v>
      </c>
      <c r="X36" s="22" t="s">
        <v>2878</v>
      </c>
      <c r="Y36" s="23" t="s">
        <v>23</v>
      </c>
      <c r="Z36" s="19"/>
      <c r="AA36" s="19"/>
      <c r="AB36" s="22"/>
      <c r="AC36" s="19"/>
      <c r="AD36" s="23"/>
      <c r="AE36" s="24"/>
    </row>
    <row r="37" spans="2:31" ht="39.950000000000003" customHeight="1" x14ac:dyDescent="0.3">
      <c r="B37" s="107">
        <v>24033</v>
      </c>
      <c r="C37" s="12">
        <f t="shared" si="0"/>
        <v>32</v>
      </c>
      <c r="D37" s="105" t="str">
        <f>IFERROR(" "&amp;VLOOKUP(B37,현장리스트!$B:$C,2,0),"-")</f>
        <v xml:space="preserve"> [1.대우건설] 장위6구역 주택재개발 정비사업아파트 신축공사</v>
      </c>
      <c r="E37" s="13" t="s">
        <v>1662</v>
      </c>
      <c r="F37" s="13" t="str">
        <f t="shared" ca="1" si="1"/>
        <v>32세</v>
      </c>
      <c r="G37" s="14" t="s">
        <v>1663</v>
      </c>
      <c r="H37" s="15" t="str">
        <f t="shared" si="2"/>
        <v>남</v>
      </c>
      <c r="I37" s="16" t="s">
        <v>901</v>
      </c>
      <c r="J37" s="16" t="s">
        <v>902</v>
      </c>
      <c r="K37" s="17">
        <v>155000</v>
      </c>
      <c r="L37" s="18" t="s">
        <v>1664</v>
      </c>
      <c r="M37" s="19" t="s">
        <v>914</v>
      </c>
      <c r="N37" s="19" t="s">
        <v>2869</v>
      </c>
      <c r="O37" s="20" t="s">
        <v>2529</v>
      </c>
      <c r="P37" s="23" t="s">
        <v>23</v>
      </c>
      <c r="Q37" s="131" t="str">
        <f>VLOOKUP(C37,'2-1. 인사고과표(기능)'!B:AS,44,0)</f>
        <v>A</v>
      </c>
      <c r="R37" s="131" t="str">
        <f>VLOOKUP(C37,'2-2. 인사고과표(안전)'!B:AO,40,0)</f>
        <v>A</v>
      </c>
      <c r="S37" s="18"/>
      <c r="T37" s="19"/>
      <c r="U37" s="19"/>
      <c r="V37" s="19"/>
      <c r="W37" s="19" t="s">
        <v>2879</v>
      </c>
      <c r="X37" s="22" t="s">
        <v>2880</v>
      </c>
      <c r="Y37" s="23" t="s">
        <v>23</v>
      </c>
      <c r="Z37" s="19"/>
      <c r="AA37" s="19"/>
      <c r="AB37" s="22"/>
      <c r="AC37" s="19"/>
      <c r="AD37" s="23"/>
      <c r="AE37" s="24"/>
    </row>
    <row r="38" spans="2:31" ht="39.950000000000003" customHeight="1" x14ac:dyDescent="0.3">
      <c r="B38" s="107">
        <v>24033</v>
      </c>
      <c r="C38" s="12">
        <f t="shared" si="0"/>
        <v>33</v>
      </c>
      <c r="D38" s="105" t="str">
        <f>IFERROR(" "&amp;VLOOKUP(B38,현장리스트!$B:$C,2,0),"-")</f>
        <v xml:space="preserve"> [1.대우건설] 장위6구역 주택재개발 정비사업아파트 신축공사</v>
      </c>
      <c r="E38" s="13" t="s">
        <v>1151</v>
      </c>
      <c r="F38" s="13" t="str">
        <f t="shared" ca="1" si="1"/>
        <v>55세</v>
      </c>
      <c r="G38" s="14" t="s">
        <v>1152</v>
      </c>
      <c r="H38" s="15" t="str">
        <f t="shared" si="2"/>
        <v>남</v>
      </c>
      <c r="I38" s="16" t="s">
        <v>901</v>
      </c>
      <c r="J38" s="16" t="s">
        <v>30</v>
      </c>
      <c r="K38" s="17">
        <v>200000</v>
      </c>
      <c r="L38" s="18" t="s">
        <v>19</v>
      </c>
      <c r="M38" s="19" t="s">
        <v>914</v>
      </c>
      <c r="N38" s="19" t="s">
        <v>2628</v>
      </c>
      <c r="O38" s="20" t="s">
        <v>921</v>
      </c>
      <c r="P38" s="23" t="s">
        <v>23</v>
      </c>
      <c r="Q38" s="131" t="str">
        <f>VLOOKUP(C38,'2-1. 인사고과표(기능)'!B:AS,44,0)</f>
        <v>S</v>
      </c>
      <c r="R38" s="131" t="str">
        <f>VLOOKUP(C38,'2-2. 인사고과표(안전)'!B:AO,40,0)</f>
        <v>S</v>
      </c>
      <c r="S38" s="18"/>
      <c r="T38" s="19"/>
      <c r="U38" s="19"/>
      <c r="V38" s="19"/>
      <c r="W38" s="19" t="s">
        <v>2881</v>
      </c>
      <c r="X38" s="22" t="s">
        <v>2882</v>
      </c>
      <c r="Y38" s="23" t="s">
        <v>23</v>
      </c>
      <c r="Z38" s="19"/>
      <c r="AA38" s="19"/>
      <c r="AB38" s="22"/>
      <c r="AC38" s="19"/>
      <c r="AD38" s="23"/>
      <c r="AE38" s="24"/>
    </row>
    <row r="39" spans="2:31" ht="39.950000000000003" customHeight="1" x14ac:dyDescent="0.3">
      <c r="B39" s="107">
        <v>24033</v>
      </c>
      <c r="C39" s="12">
        <f t="shared" si="0"/>
        <v>34</v>
      </c>
      <c r="D39" s="105" t="str">
        <f>IFERROR(" "&amp;VLOOKUP(B39,현장리스트!$B:$C,2,0),"-")</f>
        <v xml:space="preserve"> [1.대우건설] 장위6구역 주택재개발 정비사업아파트 신축공사</v>
      </c>
      <c r="E39" s="13" t="s">
        <v>1509</v>
      </c>
      <c r="F39" s="13" t="str">
        <f t="shared" ca="1" si="1"/>
        <v>35세</v>
      </c>
      <c r="G39" s="14" t="s">
        <v>1510</v>
      </c>
      <c r="H39" s="15" t="str">
        <f t="shared" si="2"/>
        <v>남</v>
      </c>
      <c r="I39" s="16" t="s">
        <v>901</v>
      </c>
      <c r="J39" s="16" t="s">
        <v>902</v>
      </c>
      <c r="K39" s="17">
        <v>180000</v>
      </c>
      <c r="L39" s="18" t="s">
        <v>19</v>
      </c>
      <c r="M39" s="19" t="s">
        <v>914</v>
      </c>
      <c r="N39" s="19" t="s">
        <v>2616</v>
      </c>
      <c r="O39" s="20">
        <v>7</v>
      </c>
      <c r="P39" s="23" t="s">
        <v>23</v>
      </c>
      <c r="Q39" s="131" t="str">
        <f>VLOOKUP(C39,'2-1. 인사고과표(기능)'!B:AS,44,0)</f>
        <v>S</v>
      </c>
      <c r="R39" s="131" t="str">
        <f>VLOOKUP(C39,'2-2. 인사고과표(안전)'!B:AO,40,0)</f>
        <v>S</v>
      </c>
      <c r="S39" s="18"/>
      <c r="T39" s="19"/>
      <c r="U39" s="19"/>
      <c r="V39" s="19"/>
      <c r="W39" s="19" t="s">
        <v>2883</v>
      </c>
      <c r="X39" s="22" t="s">
        <v>2884</v>
      </c>
      <c r="Y39" s="23" t="s">
        <v>23</v>
      </c>
      <c r="Z39" s="19"/>
      <c r="AA39" s="19"/>
      <c r="AB39" s="22"/>
      <c r="AC39" s="19"/>
      <c r="AD39" s="23"/>
      <c r="AE39" s="24"/>
    </row>
    <row r="40" spans="2:31" ht="39.950000000000003" customHeight="1" x14ac:dyDescent="0.3">
      <c r="B40" s="107">
        <v>24025</v>
      </c>
      <c r="C40" s="12">
        <f t="shared" si="0"/>
        <v>35</v>
      </c>
      <c r="D40" s="105" t="str">
        <f>IFERROR(" "&amp;VLOOKUP(B40,현장리스트!$B:$C,2,0),"-")</f>
        <v xml:space="preserve"> [1.대우건설] 청라C18BL 오피스텔 신축공사</v>
      </c>
      <c r="E40" s="13" t="s">
        <v>2920</v>
      </c>
      <c r="F40" s="13" t="str">
        <f t="shared" ca="1" si="1"/>
        <v>42세</v>
      </c>
      <c r="G40" s="14" t="s">
        <v>1832</v>
      </c>
      <c r="H40" s="15" t="str">
        <f t="shared" si="2"/>
        <v>남</v>
      </c>
      <c r="I40" s="16" t="s">
        <v>895</v>
      </c>
      <c r="J40" s="16" t="s">
        <v>896</v>
      </c>
      <c r="K40" s="17">
        <v>5400000</v>
      </c>
      <c r="L40" s="18" t="s">
        <v>1833</v>
      </c>
      <c r="M40" s="19" t="s">
        <v>3072</v>
      </c>
      <c r="N40" s="19" t="s">
        <v>1010</v>
      </c>
      <c r="O40" s="20">
        <v>13</v>
      </c>
      <c r="P40" s="23" t="s">
        <v>23</v>
      </c>
      <c r="Q40" s="131" t="str">
        <f>VLOOKUP(C40,'2-1. 인사고과표(기능)'!B:AS,44,0)</f>
        <v>S</v>
      </c>
      <c r="R40" s="131" t="str">
        <f>VLOOKUP(C40,'2-2. 인사고과표(안전)'!B:AO,40,0)</f>
        <v>S</v>
      </c>
      <c r="S40" s="18" t="s">
        <v>2788</v>
      </c>
      <c r="T40" s="19"/>
      <c r="U40" s="19" t="s">
        <v>2765</v>
      </c>
      <c r="V40" s="19"/>
      <c r="W40" s="19"/>
      <c r="X40" s="22"/>
      <c r="Y40" s="23"/>
      <c r="Z40" s="19"/>
      <c r="AA40" s="19" t="s">
        <v>220</v>
      </c>
      <c r="AB40" s="22" t="s">
        <v>2924</v>
      </c>
      <c r="AC40" s="19" t="s">
        <v>2925</v>
      </c>
      <c r="AD40" s="23" t="s">
        <v>23</v>
      </c>
      <c r="AE40" s="24"/>
    </row>
    <row r="41" spans="2:31" ht="39.950000000000003" customHeight="1" x14ac:dyDescent="0.3">
      <c r="B41" s="107">
        <v>24025</v>
      </c>
      <c r="C41" s="12">
        <f t="shared" si="0"/>
        <v>36</v>
      </c>
      <c r="D41" s="105" t="str">
        <f>IFERROR(" "&amp;VLOOKUP(B41,현장리스트!$B:$C,2,0),"-")</f>
        <v xml:space="preserve"> [1.대우건설] 청라C18BL 오피스텔 신축공사</v>
      </c>
      <c r="E41" s="13" t="s">
        <v>2921</v>
      </c>
      <c r="F41" s="13" t="str">
        <f t="shared" ca="1" si="1"/>
        <v>30세</v>
      </c>
      <c r="G41" s="14" t="s">
        <v>1519</v>
      </c>
      <c r="H41" s="15" t="str">
        <f t="shared" si="2"/>
        <v>남</v>
      </c>
      <c r="I41" s="16" t="s">
        <v>895</v>
      </c>
      <c r="J41" s="16" t="s">
        <v>896</v>
      </c>
      <c r="K41" s="17">
        <v>4500000</v>
      </c>
      <c r="L41" s="18" t="s">
        <v>1520</v>
      </c>
      <c r="M41" s="19" t="s">
        <v>3407</v>
      </c>
      <c r="N41" s="19" t="s">
        <v>947</v>
      </c>
      <c r="O41" s="20">
        <v>8</v>
      </c>
      <c r="P41" s="23" t="s">
        <v>23</v>
      </c>
      <c r="Q41" s="131" t="str">
        <f>VLOOKUP(C41,'2-1. 인사고과표(기능)'!B:AS,44,0)</f>
        <v>S</v>
      </c>
      <c r="R41" s="131" t="str">
        <f>VLOOKUP(C41,'2-2. 인사고과표(안전)'!B:AO,40,0)</f>
        <v>S</v>
      </c>
      <c r="S41" s="18"/>
      <c r="T41" s="19" t="s">
        <v>2675</v>
      </c>
      <c r="U41" s="19"/>
      <c r="V41" s="19"/>
      <c r="W41" s="19" t="s">
        <v>2926</v>
      </c>
      <c r="X41" s="22" t="s">
        <v>2927</v>
      </c>
      <c r="Y41" s="23" t="s">
        <v>26</v>
      </c>
      <c r="Z41" s="19"/>
      <c r="AA41" s="19"/>
      <c r="AB41" s="22"/>
      <c r="AC41" s="19"/>
      <c r="AD41" s="23"/>
      <c r="AE41" s="24"/>
    </row>
    <row r="42" spans="2:31" ht="39.950000000000003" customHeight="1" x14ac:dyDescent="0.3">
      <c r="B42" s="107">
        <v>24025</v>
      </c>
      <c r="C42" s="12">
        <f t="shared" si="0"/>
        <v>37</v>
      </c>
      <c r="D42" s="105" t="str">
        <f>IFERROR(" "&amp;VLOOKUP(B42,현장리스트!$B:$C,2,0),"-")</f>
        <v xml:space="preserve"> [1.대우건설] 청라C18BL 오피스텔 신축공사</v>
      </c>
      <c r="E42" s="13" t="s">
        <v>2922</v>
      </c>
      <c r="F42" s="13" t="str">
        <f t="shared" ca="1" si="1"/>
        <v>64세</v>
      </c>
      <c r="G42" s="14" t="s">
        <v>2352</v>
      </c>
      <c r="H42" s="15" t="str">
        <f t="shared" si="2"/>
        <v>남</v>
      </c>
      <c r="I42" s="16" t="s">
        <v>899</v>
      </c>
      <c r="J42" s="16" t="s">
        <v>903</v>
      </c>
      <c r="K42" s="17">
        <v>5500000</v>
      </c>
      <c r="L42" s="18" t="s">
        <v>2353</v>
      </c>
      <c r="M42" s="19" t="s">
        <v>3408</v>
      </c>
      <c r="N42" s="19" t="s">
        <v>2923</v>
      </c>
      <c r="O42" s="20">
        <v>30</v>
      </c>
      <c r="P42" s="23" t="s">
        <v>23</v>
      </c>
      <c r="Q42" s="131" t="str">
        <f>VLOOKUP(C42,'2-1. 인사고과표(기능)'!B:AS,44,0)</f>
        <v>S</v>
      </c>
      <c r="R42" s="131" t="str">
        <f>VLOOKUP(C42,'2-2. 인사고과표(안전)'!B:AO,40,0)</f>
        <v>S</v>
      </c>
      <c r="S42" s="18"/>
      <c r="T42" s="19"/>
      <c r="U42" s="19"/>
      <c r="V42" s="19"/>
      <c r="W42" s="19"/>
      <c r="X42" s="22"/>
      <c r="Y42" s="23"/>
      <c r="Z42" s="19"/>
      <c r="AA42" s="19" t="s">
        <v>813</v>
      </c>
      <c r="AB42" s="22" t="s">
        <v>2928</v>
      </c>
      <c r="AC42" s="19" t="s">
        <v>2929</v>
      </c>
      <c r="AD42" s="23" t="s">
        <v>24</v>
      </c>
      <c r="AE42" s="24"/>
    </row>
    <row r="43" spans="2:31" ht="39.950000000000003" customHeight="1" x14ac:dyDescent="0.3">
      <c r="B43" s="107">
        <v>24025</v>
      </c>
      <c r="C43" s="12">
        <f t="shared" si="0"/>
        <v>38</v>
      </c>
      <c r="D43" s="105" t="str">
        <f>IFERROR(" "&amp;VLOOKUP(B43,현장리스트!$B:$C,2,0),"-")</f>
        <v xml:space="preserve"> [1.대우건설] 청라C18BL 오피스텔 신축공사</v>
      </c>
      <c r="E43" s="13" t="s">
        <v>2917</v>
      </c>
      <c r="F43" s="13" t="str">
        <f t="shared" ca="1" si="1"/>
        <v>53세</v>
      </c>
      <c r="G43" s="14" t="s">
        <v>1168</v>
      </c>
      <c r="H43" s="15" t="str">
        <f t="shared" si="2"/>
        <v>남</v>
      </c>
      <c r="I43" s="16" t="s">
        <v>899</v>
      </c>
      <c r="J43" s="16" t="s">
        <v>903</v>
      </c>
      <c r="K43" s="17">
        <v>5900000</v>
      </c>
      <c r="L43" s="18" t="s">
        <v>1169</v>
      </c>
      <c r="M43" s="19" t="s">
        <v>3072</v>
      </c>
      <c r="N43" s="19" t="s">
        <v>1010</v>
      </c>
      <c r="O43" s="20">
        <v>25</v>
      </c>
      <c r="P43" s="23" t="s">
        <v>23</v>
      </c>
      <c r="Q43" s="131" t="str">
        <f>VLOOKUP(C43,'2-1. 인사고과표(기능)'!B:AS,44,0)</f>
        <v>S</v>
      </c>
      <c r="R43" s="131" t="str">
        <f>VLOOKUP(C43,'2-2. 인사고과표(안전)'!B:AO,40,0)</f>
        <v>S</v>
      </c>
      <c r="S43" s="18" t="s">
        <v>32</v>
      </c>
      <c r="T43" s="19"/>
      <c r="U43" s="19" t="s">
        <v>2765</v>
      </c>
      <c r="V43" s="19"/>
      <c r="W43" s="19" t="s">
        <v>473</v>
      </c>
      <c r="X43" s="22" t="s">
        <v>2930</v>
      </c>
      <c r="Y43" s="23" t="s">
        <v>23</v>
      </c>
      <c r="Z43" s="19"/>
      <c r="AA43" s="19"/>
      <c r="AB43" s="22"/>
      <c r="AC43" s="19"/>
      <c r="AD43" s="23"/>
      <c r="AE43" s="24"/>
    </row>
    <row r="44" spans="2:31" ht="39.950000000000003" customHeight="1" x14ac:dyDescent="0.3">
      <c r="B44" s="107">
        <v>24025</v>
      </c>
      <c r="C44" s="12">
        <f t="shared" si="0"/>
        <v>39</v>
      </c>
      <c r="D44" s="105" t="str">
        <f>IFERROR(" "&amp;VLOOKUP(B44,현장리스트!$B:$C,2,0),"-")</f>
        <v xml:space="preserve"> [1.대우건설] 청라C18BL 오피스텔 신축공사</v>
      </c>
      <c r="E44" s="13" t="s">
        <v>2918</v>
      </c>
      <c r="F44" s="13" t="str">
        <f t="shared" ca="1" si="1"/>
        <v>33세</v>
      </c>
      <c r="G44" s="14" t="s">
        <v>1042</v>
      </c>
      <c r="H44" s="15" t="str">
        <f t="shared" si="2"/>
        <v>남</v>
      </c>
      <c r="I44" s="16" t="s">
        <v>901</v>
      </c>
      <c r="J44" s="16" t="s">
        <v>30</v>
      </c>
      <c r="K44" s="17">
        <v>210000</v>
      </c>
      <c r="L44" s="18" t="s">
        <v>1043</v>
      </c>
      <c r="M44" s="19" t="s">
        <v>3405</v>
      </c>
      <c r="N44" s="19" t="s">
        <v>911</v>
      </c>
      <c r="O44" s="20">
        <v>10</v>
      </c>
      <c r="P44" s="23" t="s">
        <v>23</v>
      </c>
      <c r="Q44" s="131" t="str">
        <f>VLOOKUP(C44,'2-1. 인사고과표(기능)'!B:AS,44,0)</f>
        <v>S</v>
      </c>
      <c r="R44" s="131" t="str">
        <f>VLOOKUP(C44,'2-2. 인사고과표(안전)'!B:AO,40,0)</f>
        <v>S</v>
      </c>
      <c r="S44" s="18"/>
      <c r="T44" s="19"/>
      <c r="U44" s="19"/>
      <c r="V44" s="19"/>
      <c r="W44" s="19"/>
      <c r="X44" s="22"/>
      <c r="Y44" s="23"/>
      <c r="Z44" s="19"/>
      <c r="AA44" s="19" t="s">
        <v>2931</v>
      </c>
      <c r="AB44" s="22" t="s">
        <v>2932</v>
      </c>
      <c r="AC44" s="19" t="s">
        <v>2933</v>
      </c>
      <c r="AD44" s="23" t="s">
        <v>23</v>
      </c>
      <c r="AE44" s="24"/>
    </row>
    <row r="45" spans="2:31" ht="39.950000000000003" customHeight="1" x14ac:dyDescent="0.3">
      <c r="B45" s="107">
        <v>24025</v>
      </c>
      <c r="C45" s="12">
        <f t="shared" si="0"/>
        <v>40</v>
      </c>
      <c r="D45" s="105" t="str">
        <f>IFERROR(" "&amp;VLOOKUP(B45,현장리스트!$B:$C,2,0),"-")</f>
        <v xml:space="preserve"> [1.대우건설] 청라C18BL 오피스텔 신축공사</v>
      </c>
      <c r="E45" s="13" t="s">
        <v>2919</v>
      </c>
      <c r="F45" s="13" t="str">
        <f t="shared" ca="1" si="1"/>
        <v>48세</v>
      </c>
      <c r="G45" s="14" t="s">
        <v>1279</v>
      </c>
      <c r="H45" s="15" t="str">
        <f t="shared" si="2"/>
        <v>남</v>
      </c>
      <c r="I45" s="16" t="s">
        <v>901</v>
      </c>
      <c r="J45" s="16" t="s">
        <v>30</v>
      </c>
      <c r="K45" s="17">
        <v>210000</v>
      </c>
      <c r="L45" s="18" t="s">
        <v>1280</v>
      </c>
      <c r="M45" s="19" t="s">
        <v>3405</v>
      </c>
      <c r="N45" s="19" t="s">
        <v>995</v>
      </c>
      <c r="O45" s="20">
        <v>15</v>
      </c>
      <c r="P45" s="23" t="s">
        <v>23</v>
      </c>
      <c r="Q45" s="131" t="str">
        <f>VLOOKUP(C45,'2-1. 인사고과표(기능)'!B:AS,44,0)</f>
        <v>S</v>
      </c>
      <c r="R45" s="131" t="str">
        <f>VLOOKUP(C45,'2-2. 인사고과표(안전)'!B:AO,40,0)</f>
        <v>S</v>
      </c>
      <c r="S45" s="18"/>
      <c r="T45" s="19"/>
      <c r="U45" s="19"/>
      <c r="V45" s="19"/>
      <c r="W45" s="19" t="s">
        <v>2934</v>
      </c>
      <c r="X45" s="22" t="s">
        <v>2935</v>
      </c>
      <c r="Y45" s="23" t="s">
        <v>23</v>
      </c>
      <c r="Z45" s="19"/>
      <c r="AA45" s="19"/>
      <c r="AB45" s="22"/>
      <c r="AC45" s="19"/>
      <c r="AD45" s="23"/>
      <c r="AE45" s="24"/>
    </row>
    <row r="46" spans="2:31" ht="39.950000000000003" customHeight="1" x14ac:dyDescent="0.3">
      <c r="B46" s="107">
        <v>24025</v>
      </c>
      <c r="C46" s="12">
        <f t="shared" si="0"/>
        <v>41</v>
      </c>
      <c r="D46" s="105" t="str">
        <f>IFERROR(" "&amp;VLOOKUP(B46,현장리스트!$B:$C,2,0),"-")</f>
        <v xml:space="preserve"> [1.대우건설] 청라C18BL 오피스텔 신축공사</v>
      </c>
      <c r="E46" s="13" t="s">
        <v>2938</v>
      </c>
      <c r="F46" s="13" t="str">
        <f t="shared" ca="1" si="1"/>
        <v>61세</v>
      </c>
      <c r="G46" s="14" t="s">
        <v>1582</v>
      </c>
      <c r="H46" s="15" t="str">
        <f t="shared" si="2"/>
        <v>남</v>
      </c>
      <c r="I46" s="16" t="s">
        <v>901</v>
      </c>
      <c r="J46" s="16" t="s">
        <v>902</v>
      </c>
      <c r="K46" s="17">
        <v>190000</v>
      </c>
      <c r="L46" s="18" t="s">
        <v>1583</v>
      </c>
      <c r="M46" s="19" t="s">
        <v>3405</v>
      </c>
      <c r="N46" s="19" t="s">
        <v>1012</v>
      </c>
      <c r="O46" s="20">
        <v>5</v>
      </c>
      <c r="P46" s="23" t="s">
        <v>23</v>
      </c>
      <c r="Q46" s="131" t="str">
        <f>VLOOKUP(C46,'2-1. 인사고과표(기능)'!B:AS,44,0)</f>
        <v>S</v>
      </c>
      <c r="R46" s="131" t="str">
        <f>VLOOKUP(C46,'2-2. 인사고과표(안전)'!B:AO,40,0)</f>
        <v>S</v>
      </c>
      <c r="S46" s="18"/>
      <c r="T46" s="19"/>
      <c r="U46" s="19"/>
      <c r="V46" s="19"/>
      <c r="W46" s="19"/>
      <c r="X46" s="22"/>
      <c r="Y46" s="23"/>
      <c r="Z46" s="19"/>
      <c r="AA46" s="19" t="s">
        <v>2931</v>
      </c>
      <c r="AB46" s="22" t="s">
        <v>2932</v>
      </c>
      <c r="AC46" s="19" t="s">
        <v>2933</v>
      </c>
      <c r="AD46" s="23" t="s">
        <v>23</v>
      </c>
      <c r="AE46" s="24"/>
    </row>
    <row r="47" spans="2:31" ht="39.950000000000003" customHeight="1" x14ac:dyDescent="0.3">
      <c r="B47" s="107">
        <v>24025</v>
      </c>
      <c r="C47" s="12">
        <f t="shared" si="0"/>
        <v>42</v>
      </c>
      <c r="D47" s="105" t="str">
        <f>IFERROR(" "&amp;VLOOKUP(B47,현장리스트!$B:$C,2,0),"-")</f>
        <v xml:space="preserve"> [1.대우건설] 청라C18BL 오피스텔 신축공사</v>
      </c>
      <c r="E47" s="13" t="s">
        <v>2939</v>
      </c>
      <c r="F47" s="13" t="str">
        <f t="shared" ca="1" si="1"/>
        <v>63세</v>
      </c>
      <c r="G47" s="14" t="s">
        <v>2221</v>
      </c>
      <c r="H47" s="15" t="str">
        <f t="shared" si="2"/>
        <v>남</v>
      </c>
      <c r="I47" s="16" t="s">
        <v>901</v>
      </c>
      <c r="J47" s="16" t="s">
        <v>30</v>
      </c>
      <c r="K47" s="17">
        <v>210000</v>
      </c>
      <c r="L47" s="18" t="s">
        <v>2222</v>
      </c>
      <c r="M47" s="19" t="s">
        <v>3072</v>
      </c>
      <c r="N47" s="19" t="s">
        <v>2566</v>
      </c>
      <c r="O47" s="20">
        <v>20</v>
      </c>
      <c r="P47" s="23" t="s">
        <v>23</v>
      </c>
      <c r="Q47" s="131" t="str">
        <f>VLOOKUP(C47,'2-1. 인사고과표(기능)'!B:AS,44,0)</f>
        <v>S</v>
      </c>
      <c r="R47" s="131" t="str">
        <f>VLOOKUP(C47,'2-2. 인사고과표(안전)'!B:AO,40,0)</f>
        <v>S</v>
      </c>
      <c r="S47" s="18"/>
      <c r="T47" s="19"/>
      <c r="U47" s="19"/>
      <c r="V47" s="19"/>
      <c r="W47" s="19"/>
      <c r="X47" s="22"/>
      <c r="Y47" s="23"/>
      <c r="Z47" s="19"/>
      <c r="AA47" s="19" t="s">
        <v>456</v>
      </c>
      <c r="AB47" s="22" t="s">
        <v>2936</v>
      </c>
      <c r="AC47" s="19" t="s">
        <v>2937</v>
      </c>
      <c r="AD47" s="23" t="s">
        <v>23</v>
      </c>
      <c r="AE47" s="24"/>
    </row>
    <row r="48" spans="2:31" ht="39.950000000000003" customHeight="1" x14ac:dyDescent="0.3">
      <c r="B48" s="107">
        <v>24025</v>
      </c>
      <c r="C48" s="12">
        <f t="shared" si="0"/>
        <v>43</v>
      </c>
      <c r="D48" s="105" t="str">
        <f>IFERROR(" "&amp;VLOOKUP(B48,현장리스트!$B:$C,2,0),"-")</f>
        <v xml:space="preserve"> [1.대우건설] 청라C18BL 오피스텔 신축공사</v>
      </c>
      <c r="E48" s="13" t="s">
        <v>2940</v>
      </c>
      <c r="F48" s="13" t="str">
        <f t="shared" ca="1" si="1"/>
        <v>29세</v>
      </c>
      <c r="G48" s="14" t="s">
        <v>2276</v>
      </c>
      <c r="H48" s="15" t="str">
        <f t="shared" si="2"/>
        <v>남</v>
      </c>
      <c r="I48" s="16" t="s">
        <v>901</v>
      </c>
      <c r="J48" s="16" t="s">
        <v>902</v>
      </c>
      <c r="K48" s="17">
        <v>180000</v>
      </c>
      <c r="L48" s="18" t="s">
        <v>2277</v>
      </c>
      <c r="M48" s="19" t="s">
        <v>3405</v>
      </c>
      <c r="N48" s="19" t="s">
        <v>1001</v>
      </c>
      <c r="O48" s="20">
        <v>3</v>
      </c>
      <c r="P48" s="23" t="s">
        <v>23</v>
      </c>
      <c r="Q48" s="131" t="str">
        <f>VLOOKUP(C48,'2-1. 인사고과표(기능)'!B:AS,44,0)</f>
        <v>S</v>
      </c>
      <c r="R48" s="131" t="str">
        <f>VLOOKUP(C48,'2-2. 인사고과표(안전)'!B:AO,40,0)</f>
        <v>S</v>
      </c>
      <c r="S48" s="18"/>
      <c r="T48" s="19"/>
      <c r="U48" s="19"/>
      <c r="V48" s="19"/>
      <c r="W48" s="19"/>
      <c r="X48" s="22"/>
      <c r="Y48" s="23"/>
      <c r="Z48" s="19"/>
      <c r="AA48" s="19" t="s">
        <v>2931</v>
      </c>
      <c r="AB48" s="22" t="s">
        <v>2932</v>
      </c>
      <c r="AC48" s="19" t="s">
        <v>2933</v>
      </c>
      <c r="AD48" s="23" t="s">
        <v>23</v>
      </c>
      <c r="AE48" s="24"/>
    </row>
    <row r="49" spans="2:31" ht="39.950000000000003" customHeight="1" x14ac:dyDescent="0.3">
      <c r="B49" s="107">
        <v>24025</v>
      </c>
      <c r="C49" s="12">
        <f t="shared" si="0"/>
        <v>44</v>
      </c>
      <c r="D49" s="105" t="str">
        <f>IFERROR(" "&amp;VLOOKUP(B49,현장리스트!$B:$C,2,0),"-")</f>
        <v xml:space="preserve"> [1.대우건설] 청라C18BL 오피스텔 신축공사</v>
      </c>
      <c r="E49" s="13" t="s">
        <v>2941</v>
      </c>
      <c r="F49" s="13" t="str">
        <f t="shared" ca="1" si="1"/>
        <v>51세</v>
      </c>
      <c r="G49" s="14" t="s">
        <v>2323</v>
      </c>
      <c r="H49" s="15" t="str">
        <f t="shared" si="2"/>
        <v>남</v>
      </c>
      <c r="I49" s="16" t="s">
        <v>901</v>
      </c>
      <c r="J49" s="16" t="s">
        <v>30</v>
      </c>
      <c r="K49" s="17">
        <v>210000</v>
      </c>
      <c r="L49" s="18" t="s">
        <v>2324</v>
      </c>
      <c r="M49" s="19" t="s">
        <v>3405</v>
      </c>
      <c r="N49" s="19" t="s">
        <v>1012</v>
      </c>
      <c r="O49" s="20">
        <v>20</v>
      </c>
      <c r="P49" s="23" t="s">
        <v>23</v>
      </c>
      <c r="Q49" s="131" t="str">
        <f>VLOOKUP(C49,'2-1. 인사고과표(기능)'!B:AS,44,0)</f>
        <v>S</v>
      </c>
      <c r="R49" s="131" t="str">
        <f>VLOOKUP(C49,'2-2. 인사고과표(안전)'!B:AO,40,0)</f>
        <v>S</v>
      </c>
      <c r="S49" s="18"/>
      <c r="T49" s="19"/>
      <c r="U49" s="19"/>
      <c r="V49" s="19"/>
      <c r="W49" s="19"/>
      <c r="X49" s="22"/>
      <c r="Y49" s="23"/>
      <c r="Z49" s="19"/>
      <c r="AA49" s="19" t="s">
        <v>2931</v>
      </c>
      <c r="AB49" s="22" t="s">
        <v>2932</v>
      </c>
      <c r="AC49" s="19" t="s">
        <v>2933</v>
      </c>
      <c r="AD49" s="23" t="s">
        <v>23</v>
      </c>
      <c r="AE49" s="24"/>
    </row>
    <row r="50" spans="2:31" ht="39.950000000000003" customHeight="1" x14ac:dyDescent="0.3">
      <c r="B50" s="107">
        <v>23044</v>
      </c>
      <c r="C50" s="12">
        <f t="shared" si="0"/>
        <v>45</v>
      </c>
      <c r="D50" s="105" t="str">
        <f>IFERROR(" "&amp;VLOOKUP(B50,현장리스트!$B:$C,2,0),"-")</f>
        <v xml:space="preserve"> [1.대우건설] 청주 테크노폴리스 S1-1,2BL 주상복합 신축공사</v>
      </c>
      <c r="E50" s="13" t="s">
        <v>1962</v>
      </c>
      <c r="F50" s="13" t="str">
        <f t="shared" ca="1" si="1"/>
        <v>51세</v>
      </c>
      <c r="G50" s="14" t="s">
        <v>1963</v>
      </c>
      <c r="H50" s="15" t="str">
        <f t="shared" si="2"/>
        <v>여</v>
      </c>
      <c r="I50" s="16" t="s">
        <v>895</v>
      </c>
      <c r="J50" s="16" t="s">
        <v>896</v>
      </c>
      <c r="K50" s="17">
        <v>4500000</v>
      </c>
      <c r="L50" s="18" t="s">
        <v>1122</v>
      </c>
      <c r="M50" s="19" t="s">
        <v>3073</v>
      </c>
      <c r="N50" s="19" t="s">
        <v>2608</v>
      </c>
      <c r="O50" s="20">
        <v>9</v>
      </c>
      <c r="P50" s="23" t="s">
        <v>23</v>
      </c>
      <c r="Q50" s="131" t="str">
        <f>VLOOKUP(C50,'2-1. 인사고과표(기능)'!B:AS,44,0)</f>
        <v>S</v>
      </c>
      <c r="R50" s="131" t="str">
        <f>VLOOKUP(C50,'2-2. 인사고과표(안전)'!B:AO,40,0)</f>
        <v>S</v>
      </c>
      <c r="S50" s="18"/>
      <c r="T50" s="19"/>
      <c r="U50" s="19" t="s">
        <v>2675</v>
      </c>
      <c r="V50" s="19"/>
      <c r="W50" s="125" t="s">
        <v>2965</v>
      </c>
      <c r="X50" s="22" t="s">
        <v>2967</v>
      </c>
      <c r="Y50" s="23" t="s">
        <v>23</v>
      </c>
      <c r="Z50" s="19"/>
      <c r="AA50" s="19" t="s">
        <v>1290</v>
      </c>
      <c r="AB50" s="22"/>
      <c r="AC50" s="19"/>
      <c r="AD50" s="23" t="s">
        <v>23</v>
      </c>
      <c r="AE50" s="24"/>
    </row>
    <row r="51" spans="2:31" ht="39.950000000000003" customHeight="1" x14ac:dyDescent="0.3">
      <c r="B51" s="107">
        <v>23044</v>
      </c>
      <c r="C51" s="12">
        <f t="shared" si="0"/>
        <v>46</v>
      </c>
      <c r="D51" s="105" t="str">
        <f>IFERROR(" "&amp;VLOOKUP(B51,현장리스트!$B:$C,2,0),"-")</f>
        <v xml:space="preserve"> [1.대우건설] 청주 테크노폴리스 S1-1,2BL 주상복합 신축공사</v>
      </c>
      <c r="E51" s="13" t="s">
        <v>1385</v>
      </c>
      <c r="F51" s="13" t="str">
        <f t="shared" ca="1" si="1"/>
        <v>56세</v>
      </c>
      <c r="G51" s="14" t="s">
        <v>1386</v>
      </c>
      <c r="H51" s="15" t="str">
        <f t="shared" si="2"/>
        <v>남</v>
      </c>
      <c r="I51" s="16" t="s">
        <v>899</v>
      </c>
      <c r="J51" s="16" t="s">
        <v>903</v>
      </c>
      <c r="K51" s="17">
        <v>5800000</v>
      </c>
      <c r="L51" s="18" t="s">
        <v>1387</v>
      </c>
      <c r="M51" s="19" t="s">
        <v>987</v>
      </c>
      <c r="N51" s="19" t="s">
        <v>2942</v>
      </c>
      <c r="O51" s="20" t="s">
        <v>2664</v>
      </c>
      <c r="P51" s="23" t="s">
        <v>23</v>
      </c>
      <c r="Q51" s="21" t="str">
        <f>VLOOKUP(C51,'2-1. 인사고과표(기능)'!B:AS,44,0)</f>
        <v>S</v>
      </c>
      <c r="R51" s="21" t="str">
        <f>VLOOKUP(C51,'2-2. 인사고과표(안전)'!B:AO,40,0)</f>
        <v>S</v>
      </c>
      <c r="S51" s="18"/>
      <c r="T51" s="19"/>
      <c r="U51" s="19"/>
      <c r="V51" s="19"/>
      <c r="W51" s="19" t="s">
        <v>456</v>
      </c>
      <c r="X51" s="22" t="s">
        <v>2966</v>
      </c>
      <c r="Y51" s="23" t="s">
        <v>23</v>
      </c>
      <c r="Z51" s="19"/>
      <c r="AA51" s="19" t="s">
        <v>2951</v>
      </c>
      <c r="AB51" s="22"/>
      <c r="AC51" s="19"/>
      <c r="AD51" s="23" t="s">
        <v>23</v>
      </c>
      <c r="AE51" s="24"/>
    </row>
    <row r="52" spans="2:31" ht="39.950000000000003" customHeight="1" x14ac:dyDescent="0.3">
      <c r="B52" s="107">
        <v>23044</v>
      </c>
      <c r="C52" s="12">
        <f t="shared" si="0"/>
        <v>47</v>
      </c>
      <c r="D52" s="105" t="str">
        <f>IFERROR(" "&amp;VLOOKUP(B52,현장리스트!$B:$C,2,0),"-")</f>
        <v xml:space="preserve"> [1.대우건설] 청주 테크노폴리스 S1-1,2BL 주상복합 신축공사</v>
      </c>
      <c r="E52" s="13" t="s">
        <v>2104</v>
      </c>
      <c r="F52" s="13" t="str">
        <f t="shared" ca="1" si="1"/>
        <v>51세</v>
      </c>
      <c r="G52" s="14" t="s">
        <v>2105</v>
      </c>
      <c r="H52" s="15" t="str">
        <f t="shared" si="2"/>
        <v>남</v>
      </c>
      <c r="I52" s="16" t="s">
        <v>901</v>
      </c>
      <c r="J52" s="16" t="s">
        <v>30</v>
      </c>
      <c r="K52" s="17">
        <v>200000</v>
      </c>
      <c r="L52" s="18" t="s">
        <v>2106</v>
      </c>
      <c r="M52" s="19" t="s">
        <v>2670</v>
      </c>
      <c r="N52" s="19" t="s">
        <v>2943</v>
      </c>
      <c r="O52" s="20" t="s">
        <v>2944</v>
      </c>
      <c r="P52" s="23" t="s">
        <v>23</v>
      </c>
      <c r="Q52" s="21" t="str">
        <f>VLOOKUP(C52,'2-1. 인사고과표(기능)'!B:AS,44,0)</f>
        <v>A</v>
      </c>
      <c r="R52" s="21" t="str">
        <f>VLOOKUP(C52,'2-2. 인사고과표(안전)'!B:AO,40,0)</f>
        <v>A</v>
      </c>
      <c r="S52" s="18"/>
      <c r="T52" s="19"/>
      <c r="U52" s="19"/>
      <c r="V52" s="19"/>
      <c r="W52" s="19"/>
      <c r="X52" s="22"/>
      <c r="Y52" s="23"/>
      <c r="Z52" s="19"/>
      <c r="AA52" s="19" t="s">
        <v>2952</v>
      </c>
      <c r="AB52" s="22"/>
      <c r="AC52" s="19"/>
      <c r="AD52" s="23" t="s">
        <v>23</v>
      </c>
      <c r="AE52" s="24"/>
    </row>
    <row r="53" spans="2:31" ht="39.950000000000003" customHeight="1" x14ac:dyDescent="0.3">
      <c r="B53" s="107">
        <v>23044</v>
      </c>
      <c r="C53" s="12">
        <f t="shared" si="0"/>
        <v>48</v>
      </c>
      <c r="D53" s="105" t="str">
        <f>IFERROR(" "&amp;VLOOKUP(B53,현장리스트!$B:$C,2,0),"-")</f>
        <v xml:space="preserve"> [1.대우건설] 청주 테크노폴리스 S1-1,2BL 주상복합 신축공사</v>
      </c>
      <c r="E53" s="13" t="s">
        <v>1427</v>
      </c>
      <c r="F53" s="13" t="str">
        <f t="shared" ca="1" si="1"/>
        <v>38세</v>
      </c>
      <c r="G53" s="14" t="s">
        <v>1428</v>
      </c>
      <c r="H53" s="15" t="str">
        <f t="shared" si="2"/>
        <v>남</v>
      </c>
      <c r="I53" s="16" t="s">
        <v>901</v>
      </c>
      <c r="J53" s="16" t="s">
        <v>902</v>
      </c>
      <c r="K53" s="17">
        <v>170000</v>
      </c>
      <c r="L53" s="18" t="s">
        <v>1429</v>
      </c>
      <c r="M53" s="19" t="s">
        <v>2528</v>
      </c>
      <c r="N53" s="19" t="s">
        <v>2945</v>
      </c>
      <c r="O53" s="20" t="s">
        <v>950</v>
      </c>
      <c r="P53" s="23" t="s">
        <v>23</v>
      </c>
      <c r="Q53" s="21" t="str">
        <f>VLOOKUP(C53,'2-1. 인사고과표(기능)'!B:AS,44,0)</f>
        <v>B</v>
      </c>
      <c r="R53" s="21" t="str">
        <f>VLOOKUP(C53,'2-2. 인사고과표(안전)'!B:AO,40,0)</f>
        <v>S</v>
      </c>
      <c r="S53" s="18"/>
      <c r="T53" s="19"/>
      <c r="U53" s="19"/>
      <c r="V53" s="19"/>
      <c r="W53" s="19"/>
      <c r="X53" s="22"/>
      <c r="Y53" s="23"/>
      <c r="Z53" s="19"/>
      <c r="AA53" s="19"/>
      <c r="AB53" s="22"/>
      <c r="AC53" s="19"/>
      <c r="AD53" s="23"/>
      <c r="AE53" s="24"/>
    </row>
    <row r="54" spans="2:31" ht="39.950000000000003" customHeight="1" x14ac:dyDescent="0.3">
      <c r="B54" s="107">
        <v>23044</v>
      </c>
      <c r="C54" s="12">
        <f t="shared" si="0"/>
        <v>49</v>
      </c>
      <c r="D54" s="105" t="str">
        <f>IFERROR(" "&amp;VLOOKUP(B54,현장리스트!$B:$C,2,0),"-")</f>
        <v xml:space="preserve"> [1.대우건설] 청주 테크노폴리스 S1-1,2BL 주상복합 신축공사</v>
      </c>
      <c r="E54" s="13" t="s">
        <v>1291</v>
      </c>
      <c r="F54" s="13" t="str">
        <f t="shared" ca="1" si="1"/>
        <v>50세</v>
      </c>
      <c r="G54" s="14" t="s">
        <v>1292</v>
      </c>
      <c r="H54" s="15" t="str">
        <f t="shared" si="2"/>
        <v>남</v>
      </c>
      <c r="I54" s="16" t="s">
        <v>901</v>
      </c>
      <c r="J54" s="16" t="s">
        <v>30</v>
      </c>
      <c r="K54" s="17">
        <v>220000</v>
      </c>
      <c r="L54" s="18" t="s">
        <v>2946</v>
      </c>
      <c r="M54" s="19" t="s">
        <v>2947</v>
      </c>
      <c r="N54" s="19" t="s">
        <v>2943</v>
      </c>
      <c r="O54" s="20" t="s">
        <v>912</v>
      </c>
      <c r="P54" s="23" t="s">
        <v>23</v>
      </c>
      <c r="Q54" s="21" t="str">
        <f>VLOOKUP(C54,'2-1. 인사고과표(기능)'!B:AS,44,0)</f>
        <v>S</v>
      </c>
      <c r="R54" s="21" t="str">
        <f>VLOOKUP(C54,'2-2. 인사고과표(안전)'!B:AO,40,0)</f>
        <v>S</v>
      </c>
      <c r="S54" s="18"/>
      <c r="T54" s="19"/>
      <c r="U54" s="19"/>
      <c r="V54" s="19"/>
      <c r="W54" s="19"/>
      <c r="X54" s="22"/>
      <c r="Y54" s="23" t="s">
        <v>23</v>
      </c>
      <c r="Z54" s="19"/>
      <c r="AA54" s="19" t="s">
        <v>2695</v>
      </c>
      <c r="AB54" s="22"/>
      <c r="AC54" s="19"/>
      <c r="AD54" s="23" t="s">
        <v>23</v>
      </c>
      <c r="AE54" s="24"/>
    </row>
    <row r="55" spans="2:31" ht="39.950000000000003" customHeight="1" x14ac:dyDescent="0.3">
      <c r="B55" s="107">
        <v>23044</v>
      </c>
      <c r="C55" s="12">
        <f t="shared" si="0"/>
        <v>50</v>
      </c>
      <c r="D55" s="105" t="str">
        <f>IFERROR(" "&amp;VLOOKUP(B55,현장리스트!$B:$C,2,0),"-")</f>
        <v xml:space="preserve"> [1.대우건설] 청주 테크노폴리스 S1-1,2BL 주상복합 신축공사</v>
      </c>
      <c r="E55" s="13" t="s">
        <v>2008</v>
      </c>
      <c r="F55" s="13" t="str">
        <f t="shared" ca="1" si="1"/>
        <v>51세</v>
      </c>
      <c r="G55" s="14" t="s">
        <v>2009</v>
      </c>
      <c r="H55" s="15" t="str">
        <f t="shared" si="2"/>
        <v>남</v>
      </c>
      <c r="I55" s="16" t="s">
        <v>901</v>
      </c>
      <c r="J55" s="16" t="s">
        <v>30</v>
      </c>
      <c r="K55" s="17">
        <v>190000</v>
      </c>
      <c r="L55" s="18" t="s">
        <v>2010</v>
      </c>
      <c r="M55" s="19" t="s">
        <v>2670</v>
      </c>
      <c r="N55" s="19" t="s">
        <v>2943</v>
      </c>
      <c r="O55" s="20">
        <v>10</v>
      </c>
      <c r="P55" s="23" t="s">
        <v>23</v>
      </c>
      <c r="Q55" s="21" t="str">
        <f>VLOOKUP(C55,'2-1. 인사고과표(기능)'!B:AS,44,0)</f>
        <v>A</v>
      </c>
      <c r="R55" s="21" t="str">
        <f>VLOOKUP(C55,'2-2. 인사고과표(안전)'!B:AO,40,0)</f>
        <v>A</v>
      </c>
      <c r="S55" s="18"/>
      <c r="T55" s="19"/>
      <c r="U55" s="19"/>
      <c r="V55" s="19"/>
      <c r="W55" s="19"/>
      <c r="X55" s="22"/>
      <c r="Y55" s="23" t="s">
        <v>23</v>
      </c>
      <c r="Z55" s="19"/>
      <c r="AA55" s="19" t="s">
        <v>497</v>
      </c>
      <c r="AB55" s="22"/>
      <c r="AC55" s="19"/>
      <c r="AD55" s="23" t="s">
        <v>23</v>
      </c>
      <c r="AE55" s="24"/>
    </row>
    <row r="56" spans="2:31" ht="39.950000000000003" customHeight="1" x14ac:dyDescent="0.3">
      <c r="B56" s="107">
        <v>23044</v>
      </c>
      <c r="C56" s="12">
        <f t="shared" si="0"/>
        <v>51</v>
      </c>
      <c r="D56" s="105" t="str">
        <f>IFERROR(" "&amp;VLOOKUP(B56,현장리스트!$B:$C,2,0),"-")</f>
        <v xml:space="preserve"> [1.대우건설] 청주 테크노폴리스 S1-1,2BL 주상복합 신축공사</v>
      </c>
      <c r="E56" s="13" t="s">
        <v>2060</v>
      </c>
      <c r="F56" s="13" t="str">
        <f t="shared" ca="1" si="1"/>
        <v>61세</v>
      </c>
      <c r="G56" s="14" t="s">
        <v>2061</v>
      </c>
      <c r="H56" s="15" t="str">
        <f t="shared" si="2"/>
        <v>남</v>
      </c>
      <c r="I56" s="16" t="s">
        <v>901</v>
      </c>
      <c r="J56" s="16" t="s">
        <v>30</v>
      </c>
      <c r="K56" s="17">
        <v>210000</v>
      </c>
      <c r="L56" s="18" t="s">
        <v>2062</v>
      </c>
      <c r="M56" s="19" t="s">
        <v>2670</v>
      </c>
      <c r="N56" s="19" t="s">
        <v>2943</v>
      </c>
      <c r="O56" s="20" t="s">
        <v>912</v>
      </c>
      <c r="P56" s="23" t="s">
        <v>23</v>
      </c>
      <c r="Q56" s="21" t="str">
        <f>VLOOKUP(C56,'2-1. 인사고과표(기능)'!B:AS,44,0)</f>
        <v>S</v>
      </c>
      <c r="R56" s="21" t="str">
        <f>VLOOKUP(C56,'2-2. 인사고과표(안전)'!B:AO,40,0)</f>
        <v>A</v>
      </c>
      <c r="S56" s="18"/>
      <c r="T56" s="19"/>
      <c r="U56" s="19"/>
      <c r="V56" s="19"/>
      <c r="W56" s="19" t="s">
        <v>456</v>
      </c>
      <c r="X56" s="22" t="s">
        <v>2901</v>
      </c>
      <c r="Y56" s="23" t="s">
        <v>23</v>
      </c>
      <c r="Z56" s="19"/>
      <c r="AA56" s="19" t="s">
        <v>2953</v>
      </c>
      <c r="AB56" s="22"/>
      <c r="AC56" s="19"/>
      <c r="AD56" s="23" t="s">
        <v>23</v>
      </c>
      <c r="AE56" s="24"/>
    </row>
    <row r="57" spans="2:31" ht="39.950000000000003" customHeight="1" x14ac:dyDescent="0.3">
      <c r="B57" s="107">
        <v>23044</v>
      </c>
      <c r="C57" s="12">
        <f t="shared" si="0"/>
        <v>52</v>
      </c>
      <c r="D57" s="105" t="str">
        <f>IFERROR(" "&amp;VLOOKUP(B57,현장리스트!$B:$C,2,0),"-")</f>
        <v xml:space="preserve"> [1.대우건설] 청주 테크노폴리스 S1-1,2BL 주상복합 신축공사</v>
      </c>
      <c r="E57" s="13" t="s">
        <v>2431</v>
      </c>
      <c r="F57" s="13" t="str">
        <f t="shared" ca="1" si="1"/>
        <v>54세</v>
      </c>
      <c r="G57" s="14" t="s">
        <v>2432</v>
      </c>
      <c r="H57" s="15" t="str">
        <f t="shared" si="2"/>
        <v>남</v>
      </c>
      <c r="I57" s="16" t="s">
        <v>901</v>
      </c>
      <c r="J57" s="16" t="s">
        <v>30</v>
      </c>
      <c r="K57" s="17">
        <v>200000</v>
      </c>
      <c r="L57" s="18" t="s">
        <v>2433</v>
      </c>
      <c r="M57" s="19" t="s">
        <v>2670</v>
      </c>
      <c r="N57" s="19" t="s">
        <v>923</v>
      </c>
      <c r="O57" s="20" t="s">
        <v>2533</v>
      </c>
      <c r="P57" s="23" t="s">
        <v>23</v>
      </c>
      <c r="Q57" s="21" t="str">
        <f>VLOOKUP(C57,'2-1. 인사고과표(기능)'!B:AS,44,0)</f>
        <v>S</v>
      </c>
      <c r="R57" s="21" t="str">
        <f>VLOOKUP(C57,'2-2. 인사고과표(안전)'!B:AO,40,0)</f>
        <v>A</v>
      </c>
      <c r="S57" s="18"/>
      <c r="T57" s="19"/>
      <c r="U57" s="19"/>
      <c r="V57" s="19"/>
      <c r="W57" s="19"/>
      <c r="X57" s="22"/>
      <c r="Y57" s="23"/>
      <c r="Z57" s="19"/>
      <c r="AA57" s="19" t="s">
        <v>2851</v>
      </c>
      <c r="AB57" s="22"/>
      <c r="AC57" s="19"/>
      <c r="AD57" s="23" t="s">
        <v>23</v>
      </c>
      <c r="AE57" s="24"/>
    </row>
    <row r="58" spans="2:31" ht="39.950000000000003" customHeight="1" x14ac:dyDescent="0.3">
      <c r="B58" s="107">
        <v>23044</v>
      </c>
      <c r="C58" s="12">
        <f t="shared" si="0"/>
        <v>53</v>
      </c>
      <c r="D58" s="105" t="str">
        <f>IFERROR(" "&amp;VLOOKUP(B58,현장리스트!$B:$C,2,0),"-")</f>
        <v xml:space="preserve"> [1.대우건설] 청주 테크노폴리스 S1-1,2BL 주상복합 신축공사</v>
      </c>
      <c r="E58" s="13" t="s">
        <v>2051</v>
      </c>
      <c r="F58" s="13" t="str">
        <f t="shared" ca="1" si="1"/>
        <v>47세</v>
      </c>
      <c r="G58" s="14" t="s">
        <v>2052</v>
      </c>
      <c r="H58" s="15" t="str">
        <f t="shared" si="2"/>
        <v>남</v>
      </c>
      <c r="I58" s="16" t="s">
        <v>901</v>
      </c>
      <c r="J58" s="16" t="s">
        <v>30</v>
      </c>
      <c r="K58" s="17">
        <v>200000</v>
      </c>
      <c r="L58" s="18" t="s">
        <v>2053</v>
      </c>
      <c r="M58" s="19" t="s">
        <v>2670</v>
      </c>
      <c r="N58" s="19" t="s">
        <v>2943</v>
      </c>
      <c r="O58" s="20" t="s">
        <v>921</v>
      </c>
      <c r="P58" s="23" t="s">
        <v>23</v>
      </c>
      <c r="Q58" s="21" t="str">
        <f>VLOOKUP(C58,'2-1. 인사고과표(기능)'!B:AS,44,0)</f>
        <v>A</v>
      </c>
      <c r="R58" s="21" t="str">
        <f>VLOOKUP(C58,'2-2. 인사고과표(안전)'!B:AO,40,0)</f>
        <v>A</v>
      </c>
      <c r="S58" s="18"/>
      <c r="T58" s="19"/>
      <c r="U58" s="19"/>
      <c r="V58" s="19"/>
      <c r="W58" s="19" t="s">
        <v>456</v>
      </c>
      <c r="X58" s="22" t="s">
        <v>2954</v>
      </c>
      <c r="Y58" s="23" t="s">
        <v>23</v>
      </c>
      <c r="Z58" s="19"/>
      <c r="AA58" s="19" t="s">
        <v>456</v>
      </c>
      <c r="AB58" s="22"/>
      <c r="AC58" s="19"/>
      <c r="AD58" s="23" t="s">
        <v>23</v>
      </c>
      <c r="AE58" s="24"/>
    </row>
    <row r="59" spans="2:31" ht="39.950000000000003" customHeight="1" x14ac:dyDescent="0.3">
      <c r="B59" s="107">
        <v>23044</v>
      </c>
      <c r="C59" s="12">
        <f t="shared" si="0"/>
        <v>54</v>
      </c>
      <c r="D59" s="105" t="str">
        <f>IFERROR(" "&amp;VLOOKUP(B59,현장리스트!$B:$C,2,0),"-")</f>
        <v xml:space="preserve"> [1.대우건설] 청주 테크노폴리스 S1-1,2BL 주상복합 신축공사</v>
      </c>
      <c r="E59" s="13" t="s">
        <v>1143</v>
      </c>
      <c r="F59" s="13" t="str">
        <f t="shared" ca="1" si="1"/>
        <v>47세</v>
      </c>
      <c r="G59" s="14" t="s">
        <v>1144</v>
      </c>
      <c r="H59" s="15" t="str">
        <f t="shared" si="2"/>
        <v>남</v>
      </c>
      <c r="I59" s="16" t="s">
        <v>901</v>
      </c>
      <c r="J59" s="16" t="s">
        <v>30</v>
      </c>
      <c r="K59" s="17">
        <v>210000</v>
      </c>
      <c r="L59" s="18" t="s">
        <v>1145</v>
      </c>
      <c r="M59" s="19" t="s">
        <v>2670</v>
      </c>
      <c r="N59" s="19" t="s">
        <v>2943</v>
      </c>
      <c r="O59" s="20" t="s">
        <v>2944</v>
      </c>
      <c r="P59" s="23" t="s">
        <v>23</v>
      </c>
      <c r="Q59" s="21" t="str">
        <f>VLOOKUP(C59,'2-1. 인사고과표(기능)'!B:AS,44,0)</f>
        <v>A</v>
      </c>
      <c r="R59" s="21" t="str">
        <f>VLOOKUP(C59,'2-2. 인사고과표(안전)'!B:AO,40,0)</f>
        <v>A</v>
      </c>
      <c r="S59" s="18"/>
      <c r="T59" s="19"/>
      <c r="U59" s="19"/>
      <c r="V59" s="19"/>
      <c r="W59" s="19" t="s">
        <v>456</v>
      </c>
      <c r="X59" s="22" t="s">
        <v>2901</v>
      </c>
      <c r="Y59" s="23" t="s">
        <v>23</v>
      </c>
      <c r="Z59" s="19"/>
      <c r="AA59" s="19" t="s">
        <v>456</v>
      </c>
      <c r="AB59" s="22"/>
      <c r="AC59" s="19"/>
      <c r="AD59" s="23" t="s">
        <v>23</v>
      </c>
      <c r="AE59" s="24"/>
    </row>
    <row r="60" spans="2:31" ht="39.950000000000003" customHeight="1" x14ac:dyDescent="0.3">
      <c r="B60" s="107">
        <v>23044</v>
      </c>
      <c r="C60" s="12">
        <f t="shared" si="0"/>
        <v>55</v>
      </c>
      <c r="D60" s="105" t="str">
        <f>IFERROR(" "&amp;VLOOKUP(B60,현장리스트!$B:$C,2,0),"-")</f>
        <v xml:space="preserve"> [1.대우건설] 청주 테크노폴리스 S1-1,2BL 주상복합 신축공사</v>
      </c>
      <c r="E60" s="13" t="s">
        <v>1631</v>
      </c>
      <c r="F60" s="13" t="str">
        <f t="shared" ca="1" si="1"/>
        <v>50세</v>
      </c>
      <c r="G60" s="14" t="s">
        <v>1632</v>
      </c>
      <c r="H60" s="15" t="str">
        <f t="shared" si="2"/>
        <v>남</v>
      </c>
      <c r="I60" s="16" t="s">
        <v>901</v>
      </c>
      <c r="J60" s="16" t="s">
        <v>902</v>
      </c>
      <c r="K60" s="17">
        <v>170000</v>
      </c>
      <c r="L60" s="18" t="s">
        <v>1633</v>
      </c>
      <c r="M60" s="19" t="s">
        <v>2670</v>
      </c>
      <c r="N60" s="19" t="s">
        <v>2943</v>
      </c>
      <c r="O60" s="20" t="s">
        <v>2529</v>
      </c>
      <c r="P60" s="23" t="s">
        <v>23</v>
      </c>
      <c r="Q60" s="21" t="str">
        <f>VLOOKUP(C60,'2-1. 인사고과표(기능)'!B:AS,44,0)</f>
        <v>B</v>
      </c>
      <c r="R60" s="21" t="str">
        <f>VLOOKUP(C60,'2-2. 인사고과표(안전)'!B:AO,40,0)</f>
        <v>A</v>
      </c>
      <c r="S60" s="18"/>
      <c r="T60" s="19"/>
      <c r="U60" s="19"/>
      <c r="V60" s="19"/>
      <c r="W60" s="19"/>
      <c r="X60" s="22"/>
      <c r="Y60" s="23"/>
      <c r="Z60" s="19"/>
      <c r="AA60" s="19"/>
      <c r="AB60" s="22" t="s">
        <v>2955</v>
      </c>
      <c r="AC60" s="19" t="s">
        <v>2593</v>
      </c>
      <c r="AD60" s="23" t="s">
        <v>28</v>
      </c>
      <c r="AE60" s="24"/>
    </row>
    <row r="61" spans="2:31" ht="39.950000000000003" customHeight="1" x14ac:dyDescent="0.3">
      <c r="B61" s="107">
        <v>23044</v>
      </c>
      <c r="C61" s="12">
        <f t="shared" si="0"/>
        <v>56</v>
      </c>
      <c r="D61" s="105" t="str">
        <f>IFERROR(" "&amp;VLOOKUP(B61,현장리스트!$B:$C,2,0),"-")</f>
        <v xml:space="preserve"> [1.대우건설] 청주 테크노폴리스 S1-1,2BL 주상복합 신축공사</v>
      </c>
      <c r="E61" s="13" t="s">
        <v>1656</v>
      </c>
      <c r="F61" s="13" t="str">
        <f t="shared" ca="1" si="1"/>
        <v>48세</v>
      </c>
      <c r="G61" s="14" t="s">
        <v>1657</v>
      </c>
      <c r="H61" s="15" t="str">
        <f t="shared" si="2"/>
        <v>남</v>
      </c>
      <c r="I61" s="16" t="s">
        <v>901</v>
      </c>
      <c r="J61" s="16" t="s">
        <v>902</v>
      </c>
      <c r="K61" s="17">
        <v>170000</v>
      </c>
      <c r="L61" s="18" t="s">
        <v>1658</v>
      </c>
      <c r="M61" s="19" t="s">
        <v>2670</v>
      </c>
      <c r="N61" s="19" t="s">
        <v>2943</v>
      </c>
      <c r="O61" s="20">
        <v>3</v>
      </c>
      <c r="P61" s="23" t="s">
        <v>23</v>
      </c>
      <c r="Q61" s="21" t="str">
        <f>VLOOKUP(C61,'2-1. 인사고과표(기능)'!B:AS,44,0)</f>
        <v>A</v>
      </c>
      <c r="R61" s="21" t="str">
        <f>VLOOKUP(C61,'2-2. 인사고과표(안전)'!B:AO,40,0)</f>
        <v>S</v>
      </c>
      <c r="S61" s="18"/>
      <c r="T61" s="19"/>
      <c r="U61" s="19"/>
      <c r="V61" s="19"/>
      <c r="W61" s="19"/>
      <c r="X61" s="22"/>
      <c r="Y61" s="23"/>
      <c r="Z61" s="19"/>
      <c r="AA61" s="19"/>
      <c r="AB61" s="22" t="s">
        <v>2956</v>
      </c>
      <c r="AC61" s="19"/>
      <c r="AD61" s="23" t="s">
        <v>28</v>
      </c>
      <c r="AE61" s="24"/>
    </row>
    <row r="62" spans="2:31" ht="39.950000000000003" customHeight="1" x14ac:dyDescent="0.3">
      <c r="B62" s="107">
        <v>23044</v>
      </c>
      <c r="C62" s="12">
        <f t="shared" si="0"/>
        <v>57</v>
      </c>
      <c r="D62" s="105" t="str">
        <f>IFERROR(" "&amp;VLOOKUP(B62,현장리스트!$B:$C,2,0),"-")</f>
        <v xml:space="preserve"> [1.대우건설] 청주 테크노폴리스 S1-1,2BL 주상복합 신축공사</v>
      </c>
      <c r="E62" s="13" t="s">
        <v>1302</v>
      </c>
      <c r="F62" s="13" t="str">
        <f t="shared" ca="1" si="1"/>
        <v>43세</v>
      </c>
      <c r="G62" s="14" t="s">
        <v>1303</v>
      </c>
      <c r="H62" s="15" t="str">
        <f t="shared" si="2"/>
        <v>남</v>
      </c>
      <c r="I62" s="16" t="s">
        <v>901</v>
      </c>
      <c r="J62" s="16" t="s">
        <v>30</v>
      </c>
      <c r="K62" s="17">
        <v>190000</v>
      </c>
      <c r="L62" s="18" t="s">
        <v>1304</v>
      </c>
      <c r="M62" s="19" t="s">
        <v>2670</v>
      </c>
      <c r="N62" s="19" t="s">
        <v>2943</v>
      </c>
      <c r="O62" s="20" t="s">
        <v>926</v>
      </c>
      <c r="P62" s="23" t="s">
        <v>23</v>
      </c>
      <c r="Q62" s="21" t="str">
        <f>VLOOKUP(C62,'2-1. 인사고과표(기능)'!B:AS,44,0)</f>
        <v>A</v>
      </c>
      <c r="R62" s="21" t="str">
        <f>VLOOKUP(C62,'2-2. 인사고과표(안전)'!B:AO,40,0)</f>
        <v>A</v>
      </c>
      <c r="S62" s="18"/>
      <c r="T62" s="19"/>
      <c r="U62" s="19"/>
      <c r="V62" s="19"/>
      <c r="W62" s="19"/>
      <c r="X62" s="22"/>
      <c r="Y62" s="23"/>
      <c r="Z62" s="19"/>
      <c r="AA62" s="19" t="s">
        <v>220</v>
      </c>
      <c r="AB62" s="22"/>
      <c r="AC62" s="19"/>
      <c r="AD62" s="23" t="s">
        <v>23</v>
      </c>
      <c r="AE62" s="24"/>
    </row>
    <row r="63" spans="2:31" ht="39.950000000000003" customHeight="1" x14ac:dyDescent="0.3">
      <c r="B63" s="107">
        <v>23044</v>
      </c>
      <c r="C63" s="12">
        <f t="shared" si="0"/>
        <v>58</v>
      </c>
      <c r="D63" s="105" t="str">
        <f>IFERROR(" "&amp;VLOOKUP(B63,현장리스트!$B:$C,2,0),"-")</f>
        <v xml:space="preserve"> [1.대우건설] 청주 테크노폴리스 S1-1,2BL 주상복합 신축공사</v>
      </c>
      <c r="E63" s="13" t="s">
        <v>1073</v>
      </c>
      <c r="F63" s="13" t="str">
        <f t="shared" ca="1" si="1"/>
        <v>53세</v>
      </c>
      <c r="G63" s="14" t="s">
        <v>1074</v>
      </c>
      <c r="H63" s="15" t="str">
        <f t="shared" si="2"/>
        <v>남</v>
      </c>
      <c r="I63" s="16" t="s">
        <v>901</v>
      </c>
      <c r="J63" s="16" t="s">
        <v>30</v>
      </c>
      <c r="K63" s="17">
        <v>190000</v>
      </c>
      <c r="L63" s="18" t="s">
        <v>1075</v>
      </c>
      <c r="M63" s="19" t="s">
        <v>3073</v>
      </c>
      <c r="N63" s="19" t="s">
        <v>2606</v>
      </c>
      <c r="O63" s="20" t="s">
        <v>2948</v>
      </c>
      <c r="P63" s="23" t="s">
        <v>23</v>
      </c>
      <c r="Q63" s="21" t="str">
        <f>VLOOKUP(C63,'2-1. 인사고과표(기능)'!B:AS,44,0)</f>
        <v>A</v>
      </c>
      <c r="R63" s="21" t="str">
        <f>VLOOKUP(C63,'2-2. 인사고과표(안전)'!B:AO,40,0)</f>
        <v>A</v>
      </c>
      <c r="S63" s="18"/>
      <c r="T63" s="19"/>
      <c r="U63" s="19"/>
      <c r="V63" s="19"/>
      <c r="W63" s="19" t="s">
        <v>2957</v>
      </c>
      <c r="X63" s="22" t="s">
        <v>2958</v>
      </c>
      <c r="Y63" s="23"/>
      <c r="Z63" s="19"/>
      <c r="AA63" s="19" t="s">
        <v>2957</v>
      </c>
      <c r="AB63" s="22"/>
      <c r="AC63" s="19"/>
      <c r="AD63" s="23" t="s">
        <v>23</v>
      </c>
      <c r="AE63" s="24"/>
    </row>
    <row r="64" spans="2:31" ht="39.950000000000003" customHeight="1" x14ac:dyDescent="0.3">
      <c r="B64" s="107">
        <v>23044</v>
      </c>
      <c r="C64" s="12">
        <f t="shared" si="0"/>
        <v>59</v>
      </c>
      <c r="D64" s="105" t="str">
        <f>IFERROR(" "&amp;VLOOKUP(B64,현장리스트!$B:$C,2,0),"-")</f>
        <v xml:space="preserve"> [1.대우건설] 청주 테크노폴리스 S1-1,2BL 주상복합 신축공사</v>
      </c>
      <c r="E64" s="13" t="s">
        <v>2434</v>
      </c>
      <c r="F64" s="13" t="str">
        <f t="shared" ca="1" si="1"/>
        <v>58세</v>
      </c>
      <c r="G64" s="14" t="s">
        <v>2435</v>
      </c>
      <c r="H64" s="15" t="str">
        <f t="shared" si="2"/>
        <v>남</v>
      </c>
      <c r="I64" s="16" t="s">
        <v>901</v>
      </c>
      <c r="J64" s="16" t="s">
        <v>30</v>
      </c>
      <c r="K64" s="17">
        <v>200000</v>
      </c>
      <c r="L64" s="18" t="s">
        <v>2436</v>
      </c>
      <c r="M64" s="19" t="s">
        <v>2670</v>
      </c>
      <c r="N64" s="19" t="s">
        <v>2943</v>
      </c>
      <c r="O64" s="20" t="s">
        <v>912</v>
      </c>
      <c r="P64" s="23" t="s">
        <v>28</v>
      </c>
      <c r="Q64" s="21" t="str">
        <f>VLOOKUP(C64,'2-1. 인사고과표(기능)'!B:AS,44,0)</f>
        <v>S</v>
      </c>
      <c r="R64" s="21" t="str">
        <f>VLOOKUP(C64,'2-2. 인사고과표(안전)'!B:AO,40,0)</f>
        <v>A</v>
      </c>
      <c r="S64" s="18"/>
      <c r="T64" s="19"/>
      <c r="U64" s="19"/>
      <c r="V64" s="19"/>
      <c r="W64" s="19" t="s">
        <v>2959</v>
      </c>
      <c r="X64" s="22" t="s">
        <v>2960</v>
      </c>
      <c r="Y64" s="23"/>
      <c r="Z64" s="19"/>
      <c r="AA64" s="19" t="s">
        <v>813</v>
      </c>
      <c r="AB64" s="22"/>
      <c r="AC64" s="19"/>
      <c r="AD64" s="23" t="s">
        <v>28</v>
      </c>
      <c r="AE64" s="24"/>
    </row>
    <row r="65" spans="2:31" ht="39.950000000000003" customHeight="1" x14ac:dyDescent="0.3">
      <c r="B65" s="107">
        <v>23044</v>
      </c>
      <c r="C65" s="12">
        <f t="shared" si="0"/>
        <v>60</v>
      </c>
      <c r="D65" s="105" t="str">
        <f>IFERROR(" "&amp;VLOOKUP(B65,현장리스트!$B:$C,2,0),"-")</f>
        <v xml:space="preserve"> [1.대우건설] 청주 테크노폴리스 S1-1,2BL 주상복합 신축공사</v>
      </c>
      <c r="E65" s="13" t="s">
        <v>2074</v>
      </c>
      <c r="F65" s="13" t="str">
        <f t="shared" ca="1" si="1"/>
        <v>54세</v>
      </c>
      <c r="G65" s="14" t="s">
        <v>2077</v>
      </c>
      <c r="H65" s="15" t="str">
        <f t="shared" si="2"/>
        <v>남</v>
      </c>
      <c r="I65" s="16" t="s">
        <v>901</v>
      </c>
      <c r="J65" s="16" t="s">
        <v>30</v>
      </c>
      <c r="K65" s="17">
        <v>200000</v>
      </c>
      <c r="L65" s="18" t="s">
        <v>2078</v>
      </c>
      <c r="M65" s="19" t="s">
        <v>2670</v>
      </c>
      <c r="N65" s="19" t="s">
        <v>2943</v>
      </c>
      <c r="O65" s="20" t="s">
        <v>2949</v>
      </c>
      <c r="P65" s="23" t="s">
        <v>28</v>
      </c>
      <c r="Q65" s="21" t="str">
        <f>VLOOKUP(C65,'2-1. 인사고과표(기능)'!B:AS,44,0)</f>
        <v>S</v>
      </c>
      <c r="R65" s="21" t="str">
        <f>VLOOKUP(C65,'2-2. 인사고과표(안전)'!B:AO,40,0)</f>
        <v>A</v>
      </c>
      <c r="S65" s="18"/>
      <c r="T65" s="19"/>
      <c r="U65" s="19"/>
      <c r="V65" s="19"/>
      <c r="W65" s="19" t="s">
        <v>2961</v>
      </c>
      <c r="X65" s="22" t="s">
        <v>2962</v>
      </c>
      <c r="Y65" s="23" t="s">
        <v>28</v>
      </c>
      <c r="Z65" s="19"/>
      <c r="AA65" s="19" t="s">
        <v>813</v>
      </c>
      <c r="AB65" s="22"/>
      <c r="AC65" s="19"/>
      <c r="AD65" s="23" t="s">
        <v>28</v>
      </c>
      <c r="AE65" s="24"/>
    </row>
    <row r="66" spans="2:31" ht="39.950000000000003" customHeight="1" x14ac:dyDescent="0.3">
      <c r="B66" s="107">
        <v>23044</v>
      </c>
      <c r="C66" s="12">
        <f t="shared" si="0"/>
        <v>61</v>
      </c>
      <c r="D66" s="105" t="str">
        <f>IFERROR(" "&amp;VLOOKUP(B66,현장리스트!$B:$C,2,0),"-")</f>
        <v xml:space="preserve"> [1.대우건설] 청주 테크노폴리스 S1-1,2BL 주상복합 신축공사</v>
      </c>
      <c r="E66" s="13" t="s">
        <v>2337</v>
      </c>
      <c r="F66" s="13" t="str">
        <f t="shared" ca="1" si="1"/>
        <v>45세</v>
      </c>
      <c r="G66" s="14" t="s">
        <v>2338</v>
      </c>
      <c r="H66" s="15" t="str">
        <f t="shared" si="2"/>
        <v>남</v>
      </c>
      <c r="I66" s="16" t="s">
        <v>901</v>
      </c>
      <c r="J66" s="16" t="s">
        <v>30</v>
      </c>
      <c r="K66" s="17">
        <v>210000</v>
      </c>
      <c r="L66" s="18" t="s">
        <v>2339</v>
      </c>
      <c r="M66" s="19" t="s">
        <v>2670</v>
      </c>
      <c r="N66" s="19" t="s">
        <v>2943</v>
      </c>
      <c r="O66" s="20" t="s">
        <v>912</v>
      </c>
      <c r="P66" s="23" t="s">
        <v>28</v>
      </c>
      <c r="Q66" s="21" t="str">
        <f>VLOOKUP(C66,'2-1. 인사고과표(기능)'!B:AS,44,0)</f>
        <v>A</v>
      </c>
      <c r="R66" s="21" t="str">
        <f>VLOOKUP(C66,'2-2. 인사고과표(안전)'!B:AO,40,0)</f>
        <v>A</v>
      </c>
      <c r="S66" s="18"/>
      <c r="T66" s="19"/>
      <c r="U66" s="19"/>
      <c r="V66" s="19"/>
      <c r="W66" s="19"/>
      <c r="X66" s="22"/>
      <c r="Y66" s="23"/>
      <c r="Z66" s="19"/>
      <c r="AA66" s="19" t="s">
        <v>2963</v>
      </c>
      <c r="AB66" s="22" t="s">
        <v>2964</v>
      </c>
      <c r="AC66" s="19"/>
      <c r="AD66" s="23" t="s">
        <v>28</v>
      </c>
      <c r="AE66" s="24"/>
    </row>
    <row r="67" spans="2:31" ht="39.950000000000003" customHeight="1" x14ac:dyDescent="0.3">
      <c r="B67" s="107">
        <v>23044</v>
      </c>
      <c r="C67" s="12">
        <f t="shared" si="0"/>
        <v>62</v>
      </c>
      <c r="D67" s="105" t="str">
        <f>IFERROR(" "&amp;VLOOKUP(B67,현장리스트!$B:$C,2,0),"-")</f>
        <v xml:space="preserve"> [1.대우건설] 청주 테크노폴리스 S1-1,2BL 주상복합 신축공사</v>
      </c>
      <c r="E67" s="13" t="s">
        <v>1377</v>
      </c>
      <c r="F67" s="13" t="str">
        <f t="shared" ca="1" si="1"/>
        <v>56세</v>
      </c>
      <c r="G67" s="14" t="s">
        <v>1378</v>
      </c>
      <c r="H67" s="15" t="str">
        <f t="shared" si="2"/>
        <v>남</v>
      </c>
      <c r="I67" s="16" t="s">
        <v>3433</v>
      </c>
      <c r="J67" s="16" t="s">
        <v>896</v>
      </c>
      <c r="K67" s="17">
        <v>4000000</v>
      </c>
      <c r="L67" s="18" t="s">
        <v>1379</v>
      </c>
      <c r="M67" s="19" t="s">
        <v>1448</v>
      </c>
      <c r="N67" s="19" t="s">
        <v>2950</v>
      </c>
      <c r="O67" s="20"/>
      <c r="P67" s="23"/>
      <c r="Q67" s="21" t="str">
        <f>VLOOKUP(C67,'2-1. 인사고과표(기능)'!B:AS,44,0)</f>
        <v>S</v>
      </c>
      <c r="R67" s="21" t="str">
        <f>VLOOKUP(C67,'2-2. 인사고과표(안전)'!B:AO,40,0)</f>
        <v>S</v>
      </c>
      <c r="S67" s="18"/>
      <c r="T67" s="19"/>
      <c r="U67" s="19"/>
      <c r="V67" s="19"/>
      <c r="W67" s="19"/>
      <c r="X67" s="22"/>
      <c r="Y67" s="23"/>
      <c r="Z67" s="19"/>
      <c r="AA67" s="19"/>
      <c r="AB67" s="22"/>
      <c r="AC67" s="19"/>
      <c r="AD67" s="23"/>
      <c r="AE67" s="24"/>
    </row>
    <row r="68" spans="2:31" ht="39.950000000000003" customHeight="1" x14ac:dyDescent="0.3">
      <c r="B68" s="107">
        <v>22073</v>
      </c>
      <c r="C68" s="12">
        <f t="shared" si="0"/>
        <v>63</v>
      </c>
      <c r="D68" s="105" t="str">
        <f>IFERROR(" "&amp;VLOOKUP(B68,현장리스트!$B:$C,2,0),"-")</f>
        <v xml:space="preserve"> [1.대우건설] 파주운정지구 도시지원 4-5,6,7,8,9BL(1단지) 및 4-4BL(2단지) 오피스텔 신축공사</v>
      </c>
      <c r="E68" s="13" t="s">
        <v>287</v>
      </c>
      <c r="F68" s="13" t="str">
        <f t="shared" ca="1" si="1"/>
        <v>44세</v>
      </c>
      <c r="G68" s="14" t="s">
        <v>1642</v>
      </c>
      <c r="H68" s="15" t="str">
        <f t="shared" si="2"/>
        <v>남</v>
      </c>
      <c r="I68" s="16" t="s">
        <v>895</v>
      </c>
      <c r="J68" s="16" t="s">
        <v>896</v>
      </c>
      <c r="K68" s="17">
        <v>4850000</v>
      </c>
      <c r="L68" s="18" t="s">
        <v>1324</v>
      </c>
      <c r="M68" s="19" t="s">
        <v>910</v>
      </c>
      <c r="N68" s="19" t="s">
        <v>911</v>
      </c>
      <c r="O68" s="20" t="s">
        <v>926</v>
      </c>
      <c r="P68" s="23" t="s">
        <v>23</v>
      </c>
      <c r="Q68" s="21" t="str">
        <f>VLOOKUP(C68,'2-1. 인사고과표(기능)'!B:AS,44,0)</f>
        <v>S</v>
      </c>
      <c r="R68" s="21" t="str">
        <f>VLOOKUP(C68,'2-2. 인사고과표(안전)'!B:AO,40,0)</f>
        <v>S</v>
      </c>
      <c r="S68" s="18"/>
      <c r="T68" s="19"/>
      <c r="U68" s="19"/>
      <c r="V68" s="19"/>
      <c r="W68" s="19" t="s">
        <v>456</v>
      </c>
      <c r="X68" s="22" t="s">
        <v>2969</v>
      </c>
      <c r="Y68" s="23" t="s">
        <v>23</v>
      </c>
      <c r="Z68" s="19"/>
      <c r="AA68" s="19"/>
      <c r="AB68" s="22"/>
      <c r="AC68" s="19"/>
      <c r="AD68" s="23"/>
      <c r="AE68" s="24"/>
    </row>
    <row r="69" spans="2:31" ht="39.950000000000003" customHeight="1" x14ac:dyDescent="0.3">
      <c r="B69" s="107">
        <v>22073</v>
      </c>
      <c r="C69" s="12">
        <f t="shared" si="0"/>
        <v>64</v>
      </c>
      <c r="D69" s="105" t="str">
        <f>IFERROR(" "&amp;VLOOKUP(B69,현장리스트!$B:$C,2,0),"-")</f>
        <v xml:space="preserve"> [1.대우건설] 파주운정지구 도시지원 4-5,6,7,8,9BL(1단지) 및 4-4BL(2단지) 오피스텔 신축공사</v>
      </c>
      <c r="E69" s="13" t="s">
        <v>2340</v>
      </c>
      <c r="F69" s="13" t="str">
        <f t="shared" ca="1" si="1"/>
        <v>64세</v>
      </c>
      <c r="G69" s="14" t="s">
        <v>2341</v>
      </c>
      <c r="H69" s="15" t="str">
        <f t="shared" si="2"/>
        <v>남</v>
      </c>
      <c r="I69" s="16" t="s">
        <v>899</v>
      </c>
      <c r="J69" s="16" t="s">
        <v>903</v>
      </c>
      <c r="K69" s="17">
        <v>220000</v>
      </c>
      <c r="L69" s="18" t="s">
        <v>2342</v>
      </c>
      <c r="M69" s="19" t="s">
        <v>3073</v>
      </c>
      <c r="N69" s="19" t="s">
        <v>2627</v>
      </c>
      <c r="O69" s="20">
        <v>20</v>
      </c>
      <c r="P69" s="23" t="s">
        <v>23</v>
      </c>
      <c r="Q69" s="21" t="str">
        <f>VLOOKUP(C69,'2-1. 인사고과표(기능)'!B:AS,44,0)</f>
        <v>S</v>
      </c>
      <c r="R69" s="21" t="str">
        <f>VLOOKUP(C69,'2-2. 인사고과표(안전)'!B:AO,40,0)</f>
        <v>S</v>
      </c>
      <c r="S69" s="18"/>
      <c r="T69" s="19"/>
      <c r="U69" s="19"/>
      <c r="V69" s="19"/>
      <c r="W69" s="19" t="s">
        <v>456</v>
      </c>
      <c r="X69" s="22" t="s">
        <v>2969</v>
      </c>
      <c r="Y69" s="23" t="s">
        <v>23</v>
      </c>
      <c r="Z69" s="19"/>
      <c r="AA69" s="19"/>
      <c r="AB69" s="22"/>
      <c r="AC69" s="19"/>
      <c r="AD69" s="23"/>
      <c r="AE69" s="24"/>
    </row>
    <row r="70" spans="2:31" ht="39.950000000000003" customHeight="1" x14ac:dyDescent="0.3">
      <c r="B70" s="107">
        <v>22073</v>
      </c>
      <c r="C70" s="12">
        <f t="shared" ref="C70:C133" si="3">ROW()-5</f>
        <v>65</v>
      </c>
      <c r="D70" s="105" t="str">
        <f>IFERROR(" "&amp;VLOOKUP(B70,현장리스트!$B:$C,2,0),"-")</f>
        <v xml:space="preserve"> [1.대우건설] 파주운정지구 도시지원 4-5,6,7,8,9BL(1단지) 및 4-4BL(2단지) 오피스텔 신축공사</v>
      </c>
      <c r="E70" s="13" t="s">
        <v>1118</v>
      </c>
      <c r="F70" s="13" t="str">
        <f t="shared" ref="F70:F133" ca="1" si="4">IFERROR(DATEDIF(MID(G70,1,2)&amp;"-"&amp;MID(G70,3,2)&amp;"-"&amp;MID(G70,5,2),TODAY(),"y")&amp;"세","")</f>
        <v>39세</v>
      </c>
      <c r="G70" s="14" t="s">
        <v>1119</v>
      </c>
      <c r="H70" s="15" t="str">
        <f t="shared" ref="H70:H133" si="5">IF(G70="","",IF(LEN(G70)&lt;14,"에러",IF(LEN(G70)&lt;14,"에러",IF(ISODD(MID(G70,8,1)),"남","여"))))</f>
        <v>남</v>
      </c>
      <c r="I70" s="16" t="s">
        <v>901</v>
      </c>
      <c r="J70" s="16" t="s">
        <v>30</v>
      </c>
      <c r="K70" s="17">
        <v>190000</v>
      </c>
      <c r="L70" s="18" t="s">
        <v>1120</v>
      </c>
      <c r="M70" s="19" t="s">
        <v>987</v>
      </c>
      <c r="N70" s="19" t="s">
        <v>2968</v>
      </c>
      <c r="O70" s="20">
        <v>15</v>
      </c>
      <c r="P70" s="23" t="s">
        <v>23</v>
      </c>
      <c r="Q70" s="21" t="str">
        <f>VLOOKUP(C70,'2-1. 인사고과표(기능)'!B:AS,44,0)</f>
        <v>S</v>
      </c>
      <c r="R70" s="21" t="str">
        <f>VLOOKUP(C70,'2-2. 인사고과표(안전)'!B:AO,40,0)</f>
        <v>S</v>
      </c>
      <c r="S70" s="18"/>
      <c r="T70" s="19"/>
      <c r="U70" s="19"/>
      <c r="V70" s="19"/>
      <c r="W70" s="19" t="s">
        <v>456</v>
      </c>
      <c r="X70" s="22" t="s">
        <v>2969</v>
      </c>
      <c r="Y70" s="23" t="s">
        <v>23</v>
      </c>
      <c r="Z70" s="19"/>
      <c r="AA70" s="19"/>
      <c r="AB70" s="22"/>
      <c r="AC70" s="19"/>
      <c r="AD70" s="23"/>
      <c r="AE70" s="24"/>
    </row>
    <row r="71" spans="2:31" ht="39.950000000000003" customHeight="1" x14ac:dyDescent="0.3">
      <c r="B71" s="107">
        <v>25035</v>
      </c>
      <c r="C71" s="12">
        <f t="shared" si="3"/>
        <v>66</v>
      </c>
      <c r="D71" s="105" t="str">
        <f>IFERROR(" "&amp;VLOOKUP(B71,현장리스트!$B:$C,2,0),"-")</f>
        <v xml:space="preserve"> [1.두산건설] [전기] 강화2지역 주택조합 전기공사</v>
      </c>
      <c r="E71" s="13" t="s">
        <v>1087</v>
      </c>
      <c r="F71" s="13" t="str">
        <f t="shared" ca="1" si="4"/>
        <v>60세</v>
      </c>
      <c r="G71" s="14" t="s">
        <v>2728</v>
      </c>
      <c r="H71" s="15" t="str">
        <f t="shared" si="5"/>
        <v>남</v>
      </c>
      <c r="I71" s="16" t="s">
        <v>899</v>
      </c>
      <c r="J71" s="16" t="s">
        <v>903</v>
      </c>
      <c r="K71" s="17">
        <v>6300000</v>
      </c>
      <c r="L71" s="18" t="s">
        <v>1985</v>
      </c>
      <c r="M71" s="19" t="s">
        <v>914</v>
      </c>
      <c r="N71" s="19" t="s">
        <v>2616</v>
      </c>
      <c r="O71" s="20">
        <v>35</v>
      </c>
      <c r="P71" s="23" t="s">
        <v>23</v>
      </c>
      <c r="Q71" s="21" t="str">
        <f>VLOOKUP(C71,'2-1. 인사고과표(기능)'!B:AS,44,0)</f>
        <v>S</v>
      </c>
      <c r="R71" s="21" t="str">
        <f>VLOOKUP(C71,'2-2. 인사고과표(안전)'!B:AO,40,0)</f>
        <v>S</v>
      </c>
      <c r="S71" s="18"/>
      <c r="T71" s="19"/>
      <c r="U71" s="19"/>
      <c r="V71" s="19"/>
      <c r="W71" s="19" t="s">
        <v>473</v>
      </c>
      <c r="X71" s="22" t="s">
        <v>2738</v>
      </c>
      <c r="Y71" s="23" t="s">
        <v>23</v>
      </c>
      <c r="Z71" s="19"/>
      <c r="AA71" s="19"/>
      <c r="AB71" s="22"/>
      <c r="AC71" s="19"/>
      <c r="AD71" s="23"/>
      <c r="AE71" s="24"/>
    </row>
    <row r="72" spans="2:31" ht="39.950000000000003" customHeight="1" x14ac:dyDescent="0.3">
      <c r="B72" s="107">
        <v>25035</v>
      </c>
      <c r="C72" s="12">
        <f t="shared" si="3"/>
        <v>67</v>
      </c>
      <c r="D72" s="105" t="str">
        <f>IFERROR(" "&amp;VLOOKUP(B72,현장리스트!$B:$C,2,0),"-")</f>
        <v xml:space="preserve"> [1.두산건설] [전기] 강화2지역 주택조합 전기공사</v>
      </c>
      <c r="E72" s="13" t="s">
        <v>315</v>
      </c>
      <c r="F72" s="13" t="str">
        <f t="shared" ca="1" si="4"/>
        <v>40세</v>
      </c>
      <c r="G72" s="14" t="s">
        <v>2729</v>
      </c>
      <c r="H72" s="15" t="str">
        <f t="shared" si="5"/>
        <v>남</v>
      </c>
      <c r="I72" s="16" t="s">
        <v>899</v>
      </c>
      <c r="J72" s="16" t="s">
        <v>903</v>
      </c>
      <c r="K72" s="17">
        <v>5900000</v>
      </c>
      <c r="L72" s="18" t="s">
        <v>1250</v>
      </c>
      <c r="M72" s="19" t="s">
        <v>910</v>
      </c>
      <c r="N72" s="19" t="s">
        <v>1012</v>
      </c>
      <c r="O72" s="20">
        <v>13</v>
      </c>
      <c r="P72" s="23" t="s">
        <v>23</v>
      </c>
      <c r="Q72" s="21" t="str">
        <f>VLOOKUP(C72,'2-1. 인사고과표(기능)'!B:AS,44,0)</f>
        <v>S</v>
      </c>
      <c r="R72" s="21" t="str">
        <f>VLOOKUP(C72,'2-2. 인사고과표(안전)'!B:AO,40,0)</f>
        <v>S</v>
      </c>
      <c r="S72" s="18"/>
      <c r="T72" s="19"/>
      <c r="U72" s="19"/>
      <c r="V72" s="19"/>
      <c r="W72" s="19" t="s">
        <v>473</v>
      </c>
      <c r="X72" s="22" t="s">
        <v>2738</v>
      </c>
      <c r="Y72" s="23" t="s">
        <v>23</v>
      </c>
      <c r="Z72" s="19"/>
      <c r="AA72" s="19"/>
      <c r="AB72" s="22"/>
      <c r="AC72" s="19"/>
      <c r="AD72" s="23"/>
      <c r="AE72" s="24"/>
    </row>
    <row r="73" spans="2:31" ht="39.950000000000003" customHeight="1" x14ac:dyDescent="0.3">
      <c r="B73" s="107">
        <v>25035</v>
      </c>
      <c r="C73" s="12">
        <f t="shared" si="3"/>
        <v>68</v>
      </c>
      <c r="D73" s="105" t="str">
        <f>IFERROR(" "&amp;VLOOKUP(B73,현장리스트!$B:$C,2,0),"-")</f>
        <v xml:space="preserve"> [1.두산건설] [전기] 강화2지역 주택조합 전기공사</v>
      </c>
      <c r="E73" s="13" t="s">
        <v>1380</v>
      </c>
      <c r="F73" s="13" t="str">
        <f t="shared" ca="1" si="4"/>
        <v>54세</v>
      </c>
      <c r="G73" s="14" t="s">
        <v>2730</v>
      </c>
      <c r="H73" s="15" t="str">
        <f t="shared" si="5"/>
        <v>남</v>
      </c>
      <c r="I73" s="16" t="s">
        <v>895</v>
      </c>
      <c r="J73" s="16" t="s">
        <v>898</v>
      </c>
      <c r="K73" s="17">
        <v>5300000</v>
      </c>
      <c r="L73" s="18" t="s">
        <v>1187</v>
      </c>
      <c r="M73" s="19" t="s">
        <v>914</v>
      </c>
      <c r="N73" s="19" t="s">
        <v>3419</v>
      </c>
      <c r="O73" s="20">
        <v>25</v>
      </c>
      <c r="P73" s="23" t="s">
        <v>23</v>
      </c>
      <c r="Q73" s="21" t="str">
        <f>VLOOKUP(C73,'2-1. 인사고과표(기능)'!B:AS,44,0)</f>
        <v>S</v>
      </c>
      <c r="R73" s="21" t="str">
        <f>VLOOKUP(C73,'2-2. 인사고과표(안전)'!B:AO,40,0)</f>
        <v>S</v>
      </c>
      <c r="S73" s="18"/>
      <c r="T73" s="19"/>
      <c r="U73" s="19" t="s">
        <v>31</v>
      </c>
      <c r="V73" s="19"/>
      <c r="W73" s="19" t="s">
        <v>473</v>
      </c>
      <c r="X73" s="22" t="s">
        <v>2739</v>
      </c>
      <c r="Y73" s="23" t="s">
        <v>23</v>
      </c>
      <c r="Z73" s="19" t="s">
        <v>2740</v>
      </c>
      <c r="AA73" s="19" t="s">
        <v>2635</v>
      </c>
      <c r="AB73" s="22" t="s">
        <v>2741</v>
      </c>
      <c r="AC73" s="19" t="s">
        <v>2742</v>
      </c>
      <c r="AD73" s="23" t="s">
        <v>23</v>
      </c>
      <c r="AE73" s="24"/>
    </row>
    <row r="74" spans="2:31" ht="39.950000000000003" customHeight="1" x14ac:dyDescent="0.3">
      <c r="B74" s="107">
        <v>25035</v>
      </c>
      <c r="C74" s="12">
        <f t="shared" si="3"/>
        <v>69</v>
      </c>
      <c r="D74" s="105" t="str">
        <f>IFERROR(" "&amp;VLOOKUP(B74,현장리스트!$B:$C,2,0),"-")</f>
        <v xml:space="preserve"> [1.두산건설] [전기] 강화2지역 주택조합 전기공사</v>
      </c>
      <c r="E74" s="13" t="s">
        <v>1984</v>
      </c>
      <c r="F74" s="13" t="str">
        <f t="shared" ca="1" si="4"/>
        <v>44세</v>
      </c>
      <c r="G74" s="14" t="s">
        <v>2731</v>
      </c>
      <c r="H74" s="15" t="str">
        <f t="shared" si="5"/>
        <v>남</v>
      </c>
      <c r="I74" s="16" t="s">
        <v>895</v>
      </c>
      <c r="J74" s="16" t="s">
        <v>903</v>
      </c>
      <c r="K74" s="17">
        <v>5900000</v>
      </c>
      <c r="L74" s="18" t="s">
        <v>1985</v>
      </c>
      <c r="M74" s="19" t="s">
        <v>914</v>
      </c>
      <c r="N74" s="19" t="s">
        <v>2617</v>
      </c>
      <c r="O74" s="20">
        <v>15</v>
      </c>
      <c r="P74" s="23" t="s">
        <v>23</v>
      </c>
      <c r="Q74" s="21" t="str">
        <f>VLOOKUP(C74,'2-1. 인사고과표(기능)'!B:AS,44,0)</f>
        <v>S</v>
      </c>
      <c r="R74" s="21" t="str">
        <f>VLOOKUP(C74,'2-2. 인사고과표(안전)'!B:AO,40,0)</f>
        <v>S</v>
      </c>
      <c r="S74" s="18"/>
      <c r="T74" s="19" t="s">
        <v>2567</v>
      </c>
      <c r="U74" s="19"/>
      <c r="V74" s="19"/>
      <c r="W74" s="19" t="s">
        <v>473</v>
      </c>
      <c r="X74" s="22" t="s">
        <v>2739</v>
      </c>
      <c r="Y74" s="23" t="s">
        <v>23</v>
      </c>
      <c r="Z74" s="19"/>
      <c r="AA74" s="19" t="s">
        <v>2695</v>
      </c>
      <c r="AB74" s="22" t="s">
        <v>2743</v>
      </c>
      <c r="AC74" s="19" t="s">
        <v>2744</v>
      </c>
      <c r="AD74" s="23" t="s">
        <v>23</v>
      </c>
      <c r="AE74" s="24"/>
    </row>
    <row r="75" spans="2:31" ht="39.950000000000003" customHeight="1" x14ac:dyDescent="0.3">
      <c r="B75" s="107">
        <v>25035</v>
      </c>
      <c r="C75" s="12">
        <f t="shared" si="3"/>
        <v>70</v>
      </c>
      <c r="D75" s="105" t="str">
        <f>IFERROR(" "&amp;VLOOKUP(B75,현장리스트!$B:$C,2,0),"-")</f>
        <v xml:space="preserve"> [1.두산건설] [전기] 강화2지역 주택조합 전기공사</v>
      </c>
      <c r="E75" s="13" t="s">
        <v>1249</v>
      </c>
      <c r="F75" s="13" t="str">
        <f t="shared" ca="1" si="4"/>
        <v>37세</v>
      </c>
      <c r="G75" s="14" t="s">
        <v>2732</v>
      </c>
      <c r="H75" s="15" t="str">
        <f t="shared" si="5"/>
        <v>남</v>
      </c>
      <c r="I75" s="16" t="s">
        <v>901</v>
      </c>
      <c r="J75" s="16" t="s">
        <v>30</v>
      </c>
      <c r="K75" s="17">
        <v>200000</v>
      </c>
      <c r="L75" s="18" t="s">
        <v>1250</v>
      </c>
      <c r="M75" s="19" t="s">
        <v>910</v>
      </c>
      <c r="N75" s="19" t="s">
        <v>1007</v>
      </c>
      <c r="O75" s="20">
        <v>13</v>
      </c>
      <c r="P75" s="23" t="s">
        <v>23</v>
      </c>
      <c r="Q75" s="21" t="str">
        <f>VLOOKUP(C75,'2-1. 인사고과표(기능)'!B:AS,44,0)</f>
        <v>S</v>
      </c>
      <c r="R75" s="21" t="str">
        <f>VLOOKUP(C75,'2-2. 인사고과표(안전)'!B:AO,40,0)</f>
        <v>S</v>
      </c>
      <c r="S75" s="18"/>
      <c r="T75" s="19"/>
      <c r="U75" s="19"/>
      <c r="V75" s="19"/>
      <c r="W75" s="19" t="s">
        <v>473</v>
      </c>
      <c r="X75" s="22" t="s">
        <v>2738</v>
      </c>
      <c r="Y75" s="23" t="s">
        <v>23</v>
      </c>
      <c r="Z75" s="19"/>
      <c r="AA75" s="19"/>
      <c r="AB75" s="22"/>
      <c r="AC75" s="19"/>
      <c r="AD75" s="23"/>
      <c r="AE75" s="24"/>
    </row>
    <row r="76" spans="2:31" ht="39.950000000000003" customHeight="1" x14ac:dyDescent="0.3">
      <c r="B76" s="107">
        <v>25035</v>
      </c>
      <c r="C76" s="12">
        <f t="shared" si="3"/>
        <v>71</v>
      </c>
      <c r="D76" s="105" t="str">
        <f>IFERROR(" "&amp;VLOOKUP(B76,현장리스트!$B:$C,2,0),"-")</f>
        <v xml:space="preserve"> [1.두산건설] [전기] 강화2지역 주택조합 전기공사</v>
      </c>
      <c r="E76" s="13" t="s">
        <v>1186</v>
      </c>
      <c r="F76" s="13" t="str">
        <f t="shared" ca="1" si="4"/>
        <v>34세</v>
      </c>
      <c r="G76" s="14" t="s">
        <v>2733</v>
      </c>
      <c r="H76" s="15" t="str">
        <f t="shared" si="5"/>
        <v>남</v>
      </c>
      <c r="I76" s="16" t="s">
        <v>901</v>
      </c>
      <c r="J76" s="16" t="s">
        <v>30</v>
      </c>
      <c r="K76" s="17">
        <v>200000</v>
      </c>
      <c r="L76" s="18" t="s">
        <v>1187</v>
      </c>
      <c r="M76" s="19" t="s">
        <v>910</v>
      </c>
      <c r="N76" s="19" t="s">
        <v>1007</v>
      </c>
      <c r="O76" s="20">
        <v>10</v>
      </c>
      <c r="P76" s="23" t="s">
        <v>23</v>
      </c>
      <c r="Q76" s="21" t="str">
        <f>VLOOKUP(C76,'2-1. 인사고과표(기능)'!B:AS,44,0)</f>
        <v>S</v>
      </c>
      <c r="R76" s="21" t="str">
        <f>VLOOKUP(C76,'2-2. 인사고과표(안전)'!B:AO,40,0)</f>
        <v>S</v>
      </c>
      <c r="S76" s="18"/>
      <c r="T76" s="19"/>
      <c r="U76" s="19"/>
      <c r="V76" s="19"/>
      <c r="W76" s="19" t="s">
        <v>473</v>
      </c>
      <c r="X76" s="22" t="s">
        <v>2738</v>
      </c>
      <c r="Y76" s="23" t="s">
        <v>23</v>
      </c>
      <c r="Z76" s="19"/>
      <c r="AA76" s="19"/>
      <c r="AB76" s="22"/>
      <c r="AC76" s="19"/>
      <c r="AD76" s="23"/>
      <c r="AE76" s="24"/>
    </row>
    <row r="77" spans="2:31" ht="39.950000000000003" customHeight="1" x14ac:dyDescent="0.3">
      <c r="B77" s="107">
        <v>25035</v>
      </c>
      <c r="C77" s="12">
        <f t="shared" si="3"/>
        <v>72</v>
      </c>
      <c r="D77" s="105" t="str">
        <f>IFERROR(" "&amp;VLOOKUP(B77,현장리스트!$B:$C,2,0),"-")</f>
        <v xml:space="preserve"> [1.두산건설] [전기] 강화2지역 주택조합 전기공사</v>
      </c>
      <c r="E77" s="13" t="s">
        <v>1156</v>
      </c>
      <c r="F77" s="13" t="str">
        <f t="shared" ca="1" si="4"/>
        <v>53세</v>
      </c>
      <c r="G77" s="14" t="s">
        <v>2734</v>
      </c>
      <c r="H77" s="15" t="str">
        <f t="shared" si="5"/>
        <v>남</v>
      </c>
      <c r="I77" s="16" t="s">
        <v>901</v>
      </c>
      <c r="J77" s="16" t="s">
        <v>30</v>
      </c>
      <c r="K77" s="17">
        <v>200000</v>
      </c>
      <c r="L77" s="18" t="s">
        <v>1157</v>
      </c>
      <c r="M77" s="19" t="s">
        <v>987</v>
      </c>
      <c r="N77" s="19" t="s">
        <v>2737</v>
      </c>
      <c r="O77" s="20">
        <v>15</v>
      </c>
      <c r="P77" s="23" t="s">
        <v>23</v>
      </c>
      <c r="Q77" s="21" t="str">
        <f>VLOOKUP(C77,'2-1. 인사고과표(기능)'!B:AS,44,0)</f>
        <v>S</v>
      </c>
      <c r="R77" s="21" t="str">
        <f>VLOOKUP(C77,'2-2. 인사고과표(안전)'!B:AO,40,0)</f>
        <v>S</v>
      </c>
      <c r="S77" s="18"/>
      <c r="T77" s="19"/>
      <c r="U77" s="19"/>
      <c r="V77" s="19"/>
      <c r="W77" s="19" t="s">
        <v>473</v>
      </c>
      <c r="X77" s="22" t="s">
        <v>2738</v>
      </c>
      <c r="Y77" s="23" t="s">
        <v>23</v>
      </c>
      <c r="Z77" s="19"/>
      <c r="AA77" s="19"/>
      <c r="AB77" s="22"/>
      <c r="AC77" s="19"/>
      <c r="AD77" s="23"/>
      <c r="AE77" s="24"/>
    </row>
    <row r="78" spans="2:31" ht="39.950000000000003" customHeight="1" x14ac:dyDescent="0.3">
      <c r="B78" s="107">
        <v>25035</v>
      </c>
      <c r="C78" s="12">
        <f t="shared" si="3"/>
        <v>73</v>
      </c>
      <c r="D78" s="105" t="str">
        <f>IFERROR(" "&amp;VLOOKUP(B78,현장리스트!$B:$C,2,0),"-")</f>
        <v xml:space="preserve"> [1.두산건설] [전기] 강화2지역 주택조합 전기공사</v>
      </c>
      <c r="E78" s="13" t="s">
        <v>2231</v>
      </c>
      <c r="F78" s="13" t="str">
        <f t="shared" ca="1" si="4"/>
        <v>24세</v>
      </c>
      <c r="G78" s="14" t="s">
        <v>2735</v>
      </c>
      <c r="H78" s="15" t="str">
        <f t="shared" si="5"/>
        <v>남</v>
      </c>
      <c r="I78" s="16" t="s">
        <v>901</v>
      </c>
      <c r="J78" s="16" t="s">
        <v>30</v>
      </c>
      <c r="K78" s="17">
        <v>4800000</v>
      </c>
      <c r="L78" s="18" t="s">
        <v>2232</v>
      </c>
      <c r="M78" s="19" t="s">
        <v>910</v>
      </c>
      <c r="N78" s="19" t="s">
        <v>1007</v>
      </c>
      <c r="O78" s="20">
        <v>4</v>
      </c>
      <c r="P78" s="23" t="s">
        <v>23</v>
      </c>
      <c r="Q78" s="21" t="str">
        <f>VLOOKUP(C78,'2-1. 인사고과표(기능)'!B:AS,44,0)</f>
        <v>S</v>
      </c>
      <c r="R78" s="21" t="str">
        <f>VLOOKUP(C78,'2-2. 인사고과표(안전)'!B:AO,40,0)</f>
        <v>S</v>
      </c>
      <c r="S78" s="18"/>
      <c r="T78" s="19"/>
      <c r="U78" s="19"/>
      <c r="V78" s="19"/>
      <c r="W78" s="19" t="s">
        <v>473</v>
      </c>
      <c r="X78" s="22" t="s">
        <v>2738</v>
      </c>
      <c r="Y78" s="23" t="s">
        <v>23</v>
      </c>
      <c r="Z78" s="19"/>
      <c r="AA78" s="19"/>
      <c r="AB78" s="22"/>
      <c r="AC78" s="19"/>
      <c r="AD78" s="23"/>
      <c r="AE78" s="24"/>
    </row>
    <row r="79" spans="2:31" ht="39.950000000000003" customHeight="1" x14ac:dyDescent="0.3">
      <c r="B79" s="107">
        <v>25035</v>
      </c>
      <c r="C79" s="12">
        <f t="shared" si="3"/>
        <v>74</v>
      </c>
      <c r="D79" s="105" t="str">
        <f>IFERROR(" "&amp;VLOOKUP(B79,현장리스트!$B:$C,2,0),"-")</f>
        <v xml:space="preserve"> [1.두산건설] [전기] 강화2지역 주택조합 전기공사</v>
      </c>
      <c r="E79" s="13" t="s">
        <v>2049</v>
      </c>
      <c r="F79" s="13" t="str">
        <f t="shared" ca="1" si="4"/>
        <v>54세</v>
      </c>
      <c r="G79" s="14" t="s">
        <v>2736</v>
      </c>
      <c r="H79" s="15" t="str">
        <f t="shared" si="5"/>
        <v>남</v>
      </c>
      <c r="I79" s="16" t="s">
        <v>901</v>
      </c>
      <c r="J79" s="16" t="s">
        <v>30</v>
      </c>
      <c r="K79" s="17">
        <v>210000</v>
      </c>
      <c r="L79" s="18" t="s">
        <v>2050</v>
      </c>
      <c r="M79" s="19" t="s">
        <v>914</v>
      </c>
      <c r="N79" s="19" t="s">
        <v>2617</v>
      </c>
      <c r="O79" s="20">
        <v>30</v>
      </c>
      <c r="P79" s="23" t="s">
        <v>23</v>
      </c>
      <c r="Q79" s="21" t="str">
        <f>VLOOKUP(C79,'2-1. 인사고과표(기능)'!B:AS,44,0)</f>
        <v>S</v>
      </c>
      <c r="R79" s="21" t="str">
        <f>VLOOKUP(C79,'2-2. 인사고과표(안전)'!B:AO,40,0)</f>
        <v>S</v>
      </c>
      <c r="S79" s="18"/>
      <c r="T79" s="19"/>
      <c r="U79" s="19"/>
      <c r="V79" s="19"/>
      <c r="W79" s="19" t="s">
        <v>473</v>
      </c>
      <c r="X79" s="22" t="s">
        <v>2739</v>
      </c>
      <c r="Y79" s="23" t="s">
        <v>23</v>
      </c>
      <c r="Z79" s="19"/>
      <c r="AA79" s="19" t="s">
        <v>2635</v>
      </c>
      <c r="AB79" s="22" t="s">
        <v>2745</v>
      </c>
      <c r="AC79" s="19" t="s">
        <v>2746</v>
      </c>
      <c r="AD79" s="23" t="s">
        <v>23</v>
      </c>
      <c r="AE79" s="24"/>
    </row>
    <row r="80" spans="2:31" ht="39.950000000000003" customHeight="1" x14ac:dyDescent="0.3">
      <c r="B80" s="107">
        <v>23048</v>
      </c>
      <c r="C80" s="12">
        <f t="shared" si="3"/>
        <v>75</v>
      </c>
      <c r="D80" s="105" t="str">
        <f>IFERROR(" "&amp;VLOOKUP(B80,현장리스트!$B:$C,2,0),"-")</f>
        <v xml:space="preserve"> [1.두산건설] 송림3구역 주택재개발 중 전기공사1,2공구</v>
      </c>
      <c r="E80" s="13" t="s">
        <v>477</v>
      </c>
      <c r="F80" s="13" t="str">
        <f t="shared" ca="1" si="4"/>
        <v>42세</v>
      </c>
      <c r="G80" s="14" t="s">
        <v>1613</v>
      </c>
      <c r="H80" s="15" t="str">
        <f t="shared" si="5"/>
        <v>남</v>
      </c>
      <c r="I80" s="16" t="s">
        <v>895</v>
      </c>
      <c r="J80" s="16" t="s">
        <v>903</v>
      </c>
      <c r="K80" s="17">
        <v>5500000</v>
      </c>
      <c r="L80" s="18" t="s">
        <v>1614</v>
      </c>
      <c r="M80" s="19" t="s">
        <v>2608</v>
      </c>
      <c r="N80" s="19" t="s">
        <v>2519</v>
      </c>
      <c r="O80" s="20">
        <v>15</v>
      </c>
      <c r="P80" s="23" t="s">
        <v>23</v>
      </c>
      <c r="Q80" s="21" t="str">
        <f>VLOOKUP(C80,'2-1. 인사고과표(기능)'!B:AS,44,0)</f>
        <v>B</v>
      </c>
      <c r="R80" s="21" t="str">
        <f>VLOOKUP(C80,'2-2. 인사고과표(안전)'!B:AO,40,0)</f>
        <v>S</v>
      </c>
      <c r="S80" s="18"/>
      <c r="T80" s="19" t="s">
        <v>2788</v>
      </c>
      <c r="U80" s="19" t="s">
        <v>32</v>
      </c>
      <c r="V80" s="19"/>
      <c r="W80" s="19" t="s">
        <v>2851</v>
      </c>
      <c r="X80" s="22" t="s">
        <v>2852</v>
      </c>
      <c r="Y80" s="23" t="s">
        <v>23</v>
      </c>
      <c r="Z80" s="19"/>
      <c r="AA80" s="19"/>
      <c r="AB80" s="22"/>
      <c r="AC80" s="19"/>
      <c r="AD80" s="23"/>
      <c r="AE80" s="24"/>
    </row>
    <row r="81" spans="2:31" ht="39.950000000000003" customHeight="1" x14ac:dyDescent="0.3">
      <c r="B81" s="107">
        <v>23048</v>
      </c>
      <c r="C81" s="12">
        <f t="shared" si="3"/>
        <v>76</v>
      </c>
      <c r="D81" s="105" t="str">
        <f>IFERROR(" "&amp;VLOOKUP(B81,현장리스트!$B:$C,2,0),"-")</f>
        <v xml:space="preserve"> [1.두산건설] 송림3구역 주택재개발 중 전기공사1,2공구</v>
      </c>
      <c r="E81" s="13" t="s">
        <v>478</v>
      </c>
      <c r="F81" s="13" t="str">
        <f t="shared" ca="1" si="4"/>
        <v>31세</v>
      </c>
      <c r="G81" s="14" t="s">
        <v>1435</v>
      </c>
      <c r="H81" s="15" t="str">
        <f t="shared" si="5"/>
        <v>남</v>
      </c>
      <c r="I81" s="16" t="s">
        <v>895</v>
      </c>
      <c r="J81" s="16" t="s">
        <v>31</v>
      </c>
      <c r="K81" s="17">
        <v>3500000</v>
      </c>
      <c r="L81" s="18" t="s">
        <v>1436</v>
      </c>
      <c r="M81" s="19" t="s">
        <v>910</v>
      </c>
      <c r="N81" s="19" t="s">
        <v>1001</v>
      </c>
      <c r="O81" s="20">
        <v>2</v>
      </c>
      <c r="P81" s="23" t="s">
        <v>23</v>
      </c>
      <c r="Q81" s="21" t="str">
        <f>VLOOKUP(C81,'2-1. 인사고과표(기능)'!B:AS,44,0)</f>
        <v>B</v>
      </c>
      <c r="R81" s="21" t="str">
        <f>VLOOKUP(C81,'2-2. 인사고과표(안전)'!B:AO,40,0)</f>
        <v>S</v>
      </c>
      <c r="S81" s="18" t="s">
        <v>31</v>
      </c>
      <c r="T81" s="19"/>
      <c r="U81" s="19" t="s">
        <v>2788</v>
      </c>
      <c r="V81" s="19"/>
      <c r="W81" s="19"/>
      <c r="X81" s="22"/>
      <c r="Y81" s="23"/>
      <c r="Z81" s="19"/>
      <c r="AA81" s="19"/>
      <c r="AB81" s="22"/>
      <c r="AC81" s="19"/>
      <c r="AD81" s="23"/>
      <c r="AE81" s="24"/>
    </row>
    <row r="82" spans="2:31" ht="39.950000000000003" customHeight="1" x14ac:dyDescent="0.3">
      <c r="B82" s="107">
        <v>23048</v>
      </c>
      <c r="C82" s="12">
        <f t="shared" si="3"/>
        <v>77</v>
      </c>
      <c r="D82" s="105" t="str">
        <f>IFERROR(" "&amp;VLOOKUP(B82,현장리스트!$B:$C,2,0),"-")</f>
        <v xml:space="preserve"> [1.두산건설] 송림3구역 주택재개발 중 전기공사1,2공구</v>
      </c>
      <c r="E82" s="13" t="s">
        <v>2074</v>
      </c>
      <c r="F82" s="13" t="str">
        <f t="shared" ca="1" si="4"/>
        <v>62세</v>
      </c>
      <c r="G82" s="14" t="s">
        <v>2075</v>
      </c>
      <c r="H82" s="15" t="str">
        <f t="shared" si="5"/>
        <v>남</v>
      </c>
      <c r="I82" s="16" t="s">
        <v>901</v>
      </c>
      <c r="J82" s="16" t="s">
        <v>30</v>
      </c>
      <c r="K82" s="17">
        <v>220000</v>
      </c>
      <c r="L82" s="18" t="s">
        <v>2076</v>
      </c>
      <c r="M82" s="19" t="s">
        <v>910</v>
      </c>
      <c r="N82" s="19" t="s">
        <v>911</v>
      </c>
      <c r="O82" s="20">
        <v>30</v>
      </c>
      <c r="P82" s="23" t="s">
        <v>23</v>
      </c>
      <c r="Q82" s="21" t="str">
        <f>VLOOKUP(C82,'2-1. 인사고과표(기능)'!B:AS,44,0)</f>
        <v>B</v>
      </c>
      <c r="R82" s="21" t="str">
        <f>VLOOKUP(C82,'2-2. 인사고과표(안전)'!B:AO,40,0)</f>
        <v>S</v>
      </c>
      <c r="S82" s="18"/>
      <c r="T82" s="19"/>
      <c r="U82" s="19"/>
      <c r="V82" s="19"/>
      <c r="W82" s="19" t="s">
        <v>473</v>
      </c>
      <c r="X82" s="22" t="s">
        <v>2853</v>
      </c>
      <c r="Y82" s="23" t="s">
        <v>23</v>
      </c>
      <c r="Z82" s="19"/>
      <c r="AA82" s="19"/>
      <c r="AB82" s="22"/>
      <c r="AC82" s="19"/>
      <c r="AD82" s="23"/>
      <c r="AE82" s="24"/>
    </row>
    <row r="83" spans="2:31" ht="39.950000000000003" customHeight="1" x14ac:dyDescent="0.3">
      <c r="B83" s="107">
        <v>23048</v>
      </c>
      <c r="C83" s="12">
        <f t="shared" si="3"/>
        <v>78</v>
      </c>
      <c r="D83" s="105" t="str">
        <f>IFERROR(" "&amp;VLOOKUP(B83,현장리스트!$B:$C,2,0),"-")</f>
        <v xml:space="preserve"> [1.두산건설] 송림3구역 주택재개발 중 전기공사1,2공구</v>
      </c>
      <c r="E83" s="13" t="s">
        <v>1999</v>
      </c>
      <c r="F83" s="13" t="str">
        <f t="shared" ca="1" si="4"/>
        <v>62세</v>
      </c>
      <c r="G83" s="14" t="s">
        <v>2000</v>
      </c>
      <c r="H83" s="15" t="str">
        <f t="shared" si="5"/>
        <v>남</v>
      </c>
      <c r="I83" s="16" t="s">
        <v>901</v>
      </c>
      <c r="J83" s="16" t="s">
        <v>30</v>
      </c>
      <c r="K83" s="17">
        <v>200000</v>
      </c>
      <c r="L83" s="18" t="s">
        <v>2001</v>
      </c>
      <c r="M83" s="19" t="s">
        <v>2849</v>
      </c>
      <c r="N83" s="19" t="s">
        <v>2850</v>
      </c>
      <c r="O83" s="20">
        <v>20</v>
      </c>
      <c r="P83" s="23" t="s">
        <v>23</v>
      </c>
      <c r="Q83" s="21" t="str">
        <f>VLOOKUP(C83,'2-1. 인사고과표(기능)'!B:AS,44,0)</f>
        <v>B</v>
      </c>
      <c r="R83" s="21" t="str">
        <f>VLOOKUP(C83,'2-2. 인사고과표(안전)'!B:AO,40,0)</f>
        <v>S</v>
      </c>
      <c r="S83" s="18"/>
      <c r="T83" s="19"/>
      <c r="U83" s="19"/>
      <c r="V83" s="19"/>
      <c r="W83" s="19" t="s">
        <v>2851</v>
      </c>
      <c r="X83" s="22" t="s">
        <v>2854</v>
      </c>
      <c r="Y83" s="23" t="s">
        <v>23</v>
      </c>
      <c r="Z83" s="19"/>
      <c r="AA83" s="19"/>
      <c r="AB83" s="22"/>
      <c r="AC83" s="19"/>
      <c r="AD83" s="23"/>
      <c r="AE83" s="24"/>
    </row>
    <row r="84" spans="2:31" ht="39.950000000000003" customHeight="1" x14ac:dyDescent="0.3">
      <c r="B84" s="107">
        <v>23048</v>
      </c>
      <c r="C84" s="12">
        <f t="shared" si="3"/>
        <v>79</v>
      </c>
      <c r="D84" s="105" t="str">
        <f>IFERROR(" "&amp;VLOOKUP(B84,현장리스트!$B:$C,2,0),"-")</f>
        <v xml:space="preserve"> [1.두산건설] 송림3구역 주택재개발 중 전기공사1,2공구</v>
      </c>
      <c r="E84" s="13" t="s">
        <v>2374</v>
      </c>
      <c r="F84" s="13" t="str">
        <f t="shared" ca="1" si="4"/>
        <v>64세</v>
      </c>
      <c r="G84" s="14" t="s">
        <v>2375</v>
      </c>
      <c r="H84" s="15" t="str">
        <f t="shared" si="5"/>
        <v>남</v>
      </c>
      <c r="I84" s="16" t="s">
        <v>901</v>
      </c>
      <c r="J84" s="16" t="s">
        <v>30</v>
      </c>
      <c r="K84" s="17">
        <v>210000</v>
      </c>
      <c r="L84" s="18" t="s">
        <v>2376</v>
      </c>
      <c r="M84" s="19" t="s">
        <v>2608</v>
      </c>
      <c r="N84" s="19" t="s">
        <v>2519</v>
      </c>
      <c r="O84" s="20">
        <v>25</v>
      </c>
      <c r="P84" s="23" t="s">
        <v>23</v>
      </c>
      <c r="Q84" s="21" t="str">
        <f>VLOOKUP(C84,'2-1. 인사고과표(기능)'!B:AS,44,0)</f>
        <v>B</v>
      </c>
      <c r="R84" s="21" t="str">
        <f>VLOOKUP(C84,'2-2. 인사고과표(안전)'!B:AO,40,0)</f>
        <v>S</v>
      </c>
      <c r="S84" s="18"/>
      <c r="T84" s="19"/>
      <c r="U84" s="19"/>
      <c r="V84" s="19"/>
      <c r="W84" s="19" t="s">
        <v>456</v>
      </c>
      <c r="X84" s="22" t="s">
        <v>2855</v>
      </c>
      <c r="Y84" s="23" t="s">
        <v>23</v>
      </c>
      <c r="Z84" s="19"/>
      <c r="AA84" s="19"/>
      <c r="AB84" s="22"/>
      <c r="AC84" s="19"/>
      <c r="AD84" s="23"/>
      <c r="AE84" s="24"/>
    </row>
    <row r="85" spans="2:31" ht="39.950000000000003" customHeight="1" x14ac:dyDescent="0.3">
      <c r="B85" s="107">
        <v>23048</v>
      </c>
      <c r="C85" s="12">
        <f t="shared" si="3"/>
        <v>80</v>
      </c>
      <c r="D85" s="105" t="str">
        <f>IFERROR(" "&amp;VLOOKUP(B85,현장리스트!$B:$C,2,0),"-")</f>
        <v xml:space="preserve"> [1.두산건설] 송림3구역 주택재개발 중 전기공사1,2공구</v>
      </c>
      <c r="E85" s="13" t="s">
        <v>1039</v>
      </c>
      <c r="F85" s="13" t="str">
        <f t="shared" ca="1" si="4"/>
        <v>50세</v>
      </c>
      <c r="G85" s="14" t="s">
        <v>1040</v>
      </c>
      <c r="H85" s="15" t="str">
        <f t="shared" si="5"/>
        <v>남</v>
      </c>
      <c r="I85" s="16" t="s">
        <v>901</v>
      </c>
      <c r="J85" s="16" t="s">
        <v>30</v>
      </c>
      <c r="K85" s="17">
        <v>200000</v>
      </c>
      <c r="L85" s="18" t="s">
        <v>1041</v>
      </c>
      <c r="M85" s="19" t="s">
        <v>910</v>
      </c>
      <c r="N85" s="19" t="s">
        <v>1001</v>
      </c>
      <c r="O85" s="20">
        <v>20</v>
      </c>
      <c r="P85" s="23" t="s">
        <v>23</v>
      </c>
      <c r="Q85" s="21" t="str">
        <f>VLOOKUP(C85,'2-1. 인사고과표(기능)'!B:AS,44,0)</f>
        <v>B</v>
      </c>
      <c r="R85" s="21" t="str">
        <f>VLOOKUP(C85,'2-2. 인사고과표(안전)'!B:AO,40,0)</f>
        <v>S</v>
      </c>
      <c r="S85" s="18"/>
      <c r="T85" s="19"/>
      <c r="U85" s="19"/>
      <c r="V85" s="19"/>
      <c r="W85" s="19" t="s">
        <v>473</v>
      </c>
      <c r="X85" s="22" t="s">
        <v>2853</v>
      </c>
      <c r="Y85" s="23" t="s">
        <v>23</v>
      </c>
      <c r="Z85" s="19"/>
      <c r="AA85" s="19"/>
      <c r="AB85" s="22"/>
      <c r="AC85" s="19"/>
      <c r="AD85" s="23"/>
      <c r="AE85" s="24"/>
    </row>
    <row r="86" spans="2:31" ht="39.950000000000003" customHeight="1" x14ac:dyDescent="0.3">
      <c r="B86" s="107">
        <v>23048</v>
      </c>
      <c r="C86" s="12">
        <f t="shared" si="3"/>
        <v>81</v>
      </c>
      <c r="D86" s="105" t="str">
        <f>IFERROR(" "&amp;VLOOKUP(B86,현장리스트!$B:$C,2,0),"-")</f>
        <v xml:space="preserve"> [1.두산건설] 송림3구역 주택재개발 중 전기공사1,2공구</v>
      </c>
      <c r="E86" s="13" t="s">
        <v>2446</v>
      </c>
      <c r="F86" s="13" t="str">
        <f t="shared" ca="1" si="4"/>
        <v>50세</v>
      </c>
      <c r="G86" s="14" t="s">
        <v>2447</v>
      </c>
      <c r="H86" s="15" t="str">
        <f t="shared" si="5"/>
        <v>남</v>
      </c>
      <c r="I86" s="16" t="s">
        <v>901</v>
      </c>
      <c r="J86" s="16" t="s">
        <v>30</v>
      </c>
      <c r="K86" s="17">
        <v>200000</v>
      </c>
      <c r="L86" s="18" t="s">
        <v>2448</v>
      </c>
      <c r="M86" s="19" t="s">
        <v>910</v>
      </c>
      <c r="N86" s="19" t="s">
        <v>1007</v>
      </c>
      <c r="O86" s="20">
        <v>20</v>
      </c>
      <c r="P86" s="23" t="s">
        <v>23</v>
      </c>
      <c r="Q86" s="21" t="str">
        <f>VLOOKUP(C86,'2-1. 인사고과표(기능)'!B:AS,44,0)</f>
        <v>B</v>
      </c>
      <c r="R86" s="21" t="str">
        <f>VLOOKUP(C86,'2-2. 인사고과표(안전)'!B:AO,40,0)</f>
        <v>S</v>
      </c>
      <c r="S86" s="18"/>
      <c r="T86" s="19"/>
      <c r="U86" s="19"/>
      <c r="V86" s="19"/>
      <c r="W86" s="19" t="s">
        <v>473</v>
      </c>
      <c r="X86" s="22" t="s">
        <v>2853</v>
      </c>
      <c r="Y86" s="23" t="s">
        <v>23</v>
      </c>
      <c r="Z86" s="19"/>
      <c r="AA86" s="19"/>
      <c r="AB86" s="22"/>
      <c r="AC86" s="19"/>
      <c r="AD86" s="23"/>
      <c r="AE86" s="24"/>
    </row>
    <row r="87" spans="2:31" ht="39.950000000000003" customHeight="1" x14ac:dyDescent="0.3">
      <c r="B87" s="107">
        <v>23048</v>
      </c>
      <c r="C87" s="12">
        <f t="shared" si="3"/>
        <v>82</v>
      </c>
      <c r="D87" s="105" t="str">
        <f>IFERROR(" "&amp;VLOOKUP(B87,현장리스트!$B:$C,2,0),"-")</f>
        <v xml:space="preserve"> [1.두산건설] 송림3구역 주택재개발 중 전기공사1,2공구</v>
      </c>
      <c r="E87" s="13" t="s">
        <v>1445</v>
      </c>
      <c r="F87" s="13" t="str">
        <f t="shared" ca="1" si="4"/>
        <v>34세</v>
      </c>
      <c r="G87" s="14" t="s">
        <v>1446</v>
      </c>
      <c r="H87" s="15" t="str">
        <f t="shared" si="5"/>
        <v>남</v>
      </c>
      <c r="I87" s="16" t="s">
        <v>901</v>
      </c>
      <c r="J87" s="16" t="s">
        <v>902</v>
      </c>
      <c r="K87" s="17">
        <v>180000</v>
      </c>
      <c r="L87" s="18" t="s">
        <v>1447</v>
      </c>
      <c r="M87" s="19" t="s">
        <v>910</v>
      </c>
      <c r="N87" s="19" t="s">
        <v>911</v>
      </c>
      <c r="O87" s="20">
        <v>5</v>
      </c>
      <c r="P87" s="23" t="s">
        <v>23</v>
      </c>
      <c r="Q87" s="21" t="str">
        <f>VLOOKUP(C87,'2-1. 인사고과표(기능)'!B:AS,44,0)</f>
        <v>B</v>
      </c>
      <c r="R87" s="21" t="str">
        <f>VLOOKUP(C87,'2-2. 인사고과표(안전)'!B:AO,40,0)</f>
        <v>S</v>
      </c>
      <c r="S87" s="18"/>
      <c r="T87" s="19"/>
      <c r="U87" s="19"/>
      <c r="V87" s="19"/>
      <c r="W87" s="19" t="s">
        <v>473</v>
      </c>
      <c r="X87" s="22" t="s">
        <v>2853</v>
      </c>
      <c r="Y87" s="23" t="s">
        <v>23</v>
      </c>
      <c r="Z87" s="19"/>
      <c r="AA87" s="19"/>
      <c r="AB87" s="22"/>
      <c r="AC87" s="19"/>
      <c r="AD87" s="23"/>
      <c r="AE87" s="24"/>
    </row>
    <row r="88" spans="2:31" ht="39.950000000000003" customHeight="1" x14ac:dyDescent="0.3">
      <c r="B88" s="107">
        <v>25044</v>
      </c>
      <c r="C88" s="12">
        <f t="shared" si="3"/>
        <v>83</v>
      </c>
      <c r="D88" s="105" t="str">
        <f>IFERROR(" "&amp;VLOOKUP(B88,현장리스트!$B:$C,2,0),"-")</f>
        <v xml:space="preserve"> [1.라온건설] 덕소2구역 주택재개발 정비사업</v>
      </c>
      <c r="E88" s="13" t="s">
        <v>1044</v>
      </c>
      <c r="F88" s="13" t="str">
        <f t="shared" ca="1" si="4"/>
        <v>53세</v>
      </c>
      <c r="G88" s="14" t="s">
        <v>2781</v>
      </c>
      <c r="H88" s="15" t="str">
        <f t="shared" si="5"/>
        <v>남</v>
      </c>
      <c r="I88" s="16" t="s">
        <v>895</v>
      </c>
      <c r="J88" s="16" t="s">
        <v>898</v>
      </c>
      <c r="K88" s="17">
        <v>5000000</v>
      </c>
      <c r="L88" s="18" t="s">
        <v>1045</v>
      </c>
      <c r="M88" s="19" t="s">
        <v>987</v>
      </c>
      <c r="N88" s="19" t="s">
        <v>2691</v>
      </c>
      <c r="O88" s="20">
        <v>25</v>
      </c>
      <c r="P88" s="23" t="s">
        <v>23</v>
      </c>
      <c r="Q88" s="21" t="str">
        <f>VLOOKUP(C88,'2-1. 인사고과표(기능)'!B:AS,44,0)</f>
        <v>A</v>
      </c>
      <c r="R88" s="21" t="str">
        <f>VLOOKUP(C88,'2-2. 인사고과표(안전)'!B:AO,40,0)</f>
        <v>A</v>
      </c>
      <c r="S88" s="18" t="s">
        <v>31</v>
      </c>
      <c r="T88" s="19" t="s">
        <v>2788</v>
      </c>
      <c r="U88" s="19" t="s">
        <v>31</v>
      </c>
      <c r="V88" s="19" t="s">
        <v>2567</v>
      </c>
      <c r="W88" s="19" t="s">
        <v>2789</v>
      </c>
      <c r="X88" s="22" t="s">
        <v>2790</v>
      </c>
      <c r="Y88" s="23" t="s">
        <v>23</v>
      </c>
      <c r="Z88" s="19"/>
      <c r="AA88" s="19" t="s">
        <v>2789</v>
      </c>
      <c r="AB88" s="22"/>
      <c r="AC88" s="19"/>
      <c r="AD88" s="23"/>
      <c r="AE88" s="24"/>
    </row>
    <row r="89" spans="2:31" ht="39.950000000000003" customHeight="1" x14ac:dyDescent="0.3">
      <c r="B89" s="107">
        <v>25044</v>
      </c>
      <c r="C89" s="12">
        <f t="shared" si="3"/>
        <v>84</v>
      </c>
      <c r="D89" s="105" t="str">
        <f>IFERROR(" "&amp;VLOOKUP(B89,현장리스트!$B:$C,2,0),"-")</f>
        <v xml:space="preserve"> [1.라온건설] 덕소2구역 주택재개발 정비사업</v>
      </c>
      <c r="E89" s="13" t="s">
        <v>1204</v>
      </c>
      <c r="F89" s="13" t="str">
        <f t="shared" ca="1" si="4"/>
        <v>52세</v>
      </c>
      <c r="G89" s="14" t="s">
        <v>2782</v>
      </c>
      <c r="H89" s="15" t="str">
        <f t="shared" si="5"/>
        <v>남</v>
      </c>
      <c r="I89" s="16" t="s">
        <v>899</v>
      </c>
      <c r="J89" s="16" t="s">
        <v>903</v>
      </c>
      <c r="K89" s="17">
        <v>5200000</v>
      </c>
      <c r="L89" s="18" t="s">
        <v>2785</v>
      </c>
      <c r="M89" s="19" t="s">
        <v>928</v>
      </c>
      <c r="N89" s="19" t="s">
        <v>929</v>
      </c>
      <c r="O89" s="20" t="s">
        <v>1017</v>
      </c>
      <c r="P89" s="23" t="s">
        <v>23</v>
      </c>
      <c r="Q89" s="21" t="str">
        <f>VLOOKUP(C89,'2-1. 인사고과표(기능)'!B:AS,44,0)</f>
        <v>S</v>
      </c>
      <c r="R89" s="21" t="str">
        <f>VLOOKUP(C89,'2-2. 인사고과표(안전)'!B:AO,40,0)</f>
        <v>A</v>
      </c>
      <c r="S89" s="18"/>
      <c r="T89" s="19"/>
      <c r="U89" s="19" t="s">
        <v>2675</v>
      </c>
      <c r="V89" s="19"/>
      <c r="W89" s="19" t="s">
        <v>2695</v>
      </c>
      <c r="X89" s="22" t="s">
        <v>2791</v>
      </c>
      <c r="Y89" s="23" t="s">
        <v>23</v>
      </c>
      <c r="Z89" s="19"/>
      <c r="AA89" s="19" t="s">
        <v>2792</v>
      </c>
      <c r="AB89" s="22"/>
      <c r="AC89" s="19"/>
      <c r="AD89" s="23"/>
      <c r="AE89" s="24"/>
    </row>
    <row r="90" spans="2:31" ht="39.950000000000003" customHeight="1" x14ac:dyDescent="0.3">
      <c r="B90" s="107">
        <v>25044</v>
      </c>
      <c r="C90" s="12">
        <f t="shared" si="3"/>
        <v>85</v>
      </c>
      <c r="D90" s="105" t="str">
        <f>IFERROR(" "&amp;VLOOKUP(B90,현장리스트!$B:$C,2,0),"-")</f>
        <v xml:space="preserve"> [1.라온건설] 덕소2구역 주택재개발 정비사업</v>
      </c>
      <c r="E90" s="13" t="s">
        <v>2510</v>
      </c>
      <c r="F90" s="13" t="str">
        <f t="shared" ca="1" si="4"/>
        <v>32세</v>
      </c>
      <c r="G90" s="14" t="s">
        <v>2783</v>
      </c>
      <c r="H90" s="15" t="str">
        <f t="shared" si="5"/>
        <v>남</v>
      </c>
      <c r="I90" s="16" t="s">
        <v>901</v>
      </c>
      <c r="J90" s="16" t="s">
        <v>30</v>
      </c>
      <c r="K90" s="17">
        <v>200000</v>
      </c>
      <c r="L90" s="18" t="s">
        <v>2786</v>
      </c>
      <c r="M90" s="19" t="s">
        <v>928</v>
      </c>
      <c r="N90" s="19" t="s">
        <v>2787</v>
      </c>
      <c r="O90" s="20" t="s">
        <v>2550</v>
      </c>
      <c r="P90" s="23" t="s">
        <v>23</v>
      </c>
      <c r="Q90" s="21" t="str">
        <f>VLOOKUP(C90,'2-1. 인사고과표(기능)'!B:AS,44,0)</f>
        <v>A</v>
      </c>
      <c r="R90" s="21" t="str">
        <f>VLOOKUP(C90,'2-2. 인사고과표(안전)'!B:AO,40,0)</f>
        <v>A</v>
      </c>
      <c r="S90" s="18" t="s">
        <v>2675</v>
      </c>
      <c r="T90" s="19"/>
      <c r="U90" s="19"/>
      <c r="V90" s="19"/>
      <c r="W90" s="19" t="s">
        <v>2695</v>
      </c>
      <c r="X90" s="22" t="s">
        <v>2791</v>
      </c>
      <c r="Y90" s="23" t="s">
        <v>23</v>
      </c>
      <c r="Z90" s="19"/>
      <c r="AA90" s="19" t="s">
        <v>2792</v>
      </c>
      <c r="AB90" s="22"/>
      <c r="AC90" s="19"/>
      <c r="AD90" s="23"/>
      <c r="AE90" s="24"/>
    </row>
    <row r="91" spans="2:31" ht="39.950000000000003" customHeight="1" x14ac:dyDescent="0.3">
      <c r="B91" s="107">
        <v>25044</v>
      </c>
      <c r="C91" s="12">
        <f t="shared" si="3"/>
        <v>86</v>
      </c>
      <c r="D91" s="105" t="str">
        <f>IFERROR(" "&amp;VLOOKUP(B91,현장리스트!$B:$C,2,0),"-")</f>
        <v xml:space="preserve"> [1.라온건설] 덕소2구역 주택재개발 정비사업</v>
      </c>
      <c r="E91" s="13" t="s">
        <v>2780</v>
      </c>
      <c r="F91" s="13" t="str">
        <f t="shared" ca="1" si="4"/>
        <v>29세</v>
      </c>
      <c r="G91" s="14" t="s">
        <v>2784</v>
      </c>
      <c r="H91" s="15" t="str">
        <f t="shared" si="5"/>
        <v>남</v>
      </c>
      <c r="I91" s="16" t="s">
        <v>901</v>
      </c>
      <c r="J91" s="16" t="s">
        <v>30</v>
      </c>
      <c r="K91" s="17">
        <v>180000</v>
      </c>
      <c r="L91" s="18" t="s">
        <v>19</v>
      </c>
      <c r="M91" s="19" t="s">
        <v>928</v>
      </c>
      <c r="N91" s="19" t="s">
        <v>1004</v>
      </c>
      <c r="O91" s="20" t="s">
        <v>2529</v>
      </c>
      <c r="P91" s="23" t="s">
        <v>23</v>
      </c>
      <c r="Q91" s="21" t="str">
        <f>VLOOKUP(C91,'2-1. 인사고과표(기능)'!B:AS,44,0)</f>
        <v>A</v>
      </c>
      <c r="R91" s="21" t="str">
        <f>VLOOKUP(C91,'2-2. 인사고과표(안전)'!B:AO,40,0)</f>
        <v>A</v>
      </c>
      <c r="S91" s="18"/>
      <c r="T91" s="19"/>
      <c r="U91" s="19"/>
      <c r="V91" s="19"/>
      <c r="W91" s="19" t="s">
        <v>2695</v>
      </c>
      <c r="X91" s="22" t="s">
        <v>2791</v>
      </c>
      <c r="Y91" s="23" t="s">
        <v>23</v>
      </c>
      <c r="Z91" s="19"/>
      <c r="AA91" s="19" t="s">
        <v>2792</v>
      </c>
      <c r="AB91" s="22"/>
      <c r="AC91" s="19"/>
      <c r="AD91" s="23"/>
      <c r="AE91" s="24"/>
    </row>
    <row r="92" spans="2:31" ht="39.950000000000003" customHeight="1" x14ac:dyDescent="0.3">
      <c r="B92" s="107">
        <v>25011</v>
      </c>
      <c r="C92" s="12">
        <f t="shared" si="3"/>
        <v>87</v>
      </c>
      <c r="D92" s="105" t="str">
        <f>IFERROR(" "&amp;VLOOKUP(B92,현장리스트!$B:$C,2,0),"-")</f>
        <v xml:space="preserve"> [1.라온건설] 인천 신흥동3가 주상복합</v>
      </c>
      <c r="E92" s="13" t="s">
        <v>297</v>
      </c>
      <c r="F92" s="13" t="str">
        <f t="shared" ca="1" si="4"/>
        <v>37세</v>
      </c>
      <c r="G92" s="14" t="s">
        <v>1563</v>
      </c>
      <c r="H92" s="15" t="str">
        <f t="shared" si="5"/>
        <v>남</v>
      </c>
      <c r="I92" s="16" t="s">
        <v>895</v>
      </c>
      <c r="J92" s="16" t="s">
        <v>896</v>
      </c>
      <c r="K92" s="17">
        <v>4500000</v>
      </c>
      <c r="L92" s="18" t="s">
        <v>1564</v>
      </c>
      <c r="M92" s="19" t="s">
        <v>987</v>
      </c>
      <c r="N92" s="19" t="s">
        <v>2553</v>
      </c>
      <c r="O92" s="20">
        <v>4</v>
      </c>
      <c r="P92" s="23" t="s">
        <v>23</v>
      </c>
      <c r="Q92" s="21" t="str">
        <f>VLOOKUP(C92,'2-1. 인사고과표(기능)'!B:AS,44,0)</f>
        <v>S</v>
      </c>
      <c r="R92" s="21" t="str">
        <f>VLOOKUP(C92,'2-2. 인사고과표(안전)'!B:AO,40,0)</f>
        <v>S</v>
      </c>
      <c r="S92" s="18"/>
      <c r="T92" s="19"/>
      <c r="U92" s="19"/>
      <c r="V92" s="19"/>
      <c r="W92" s="19" t="s">
        <v>2695</v>
      </c>
      <c r="X92" s="22" t="s">
        <v>2860</v>
      </c>
      <c r="Y92" s="23" t="s">
        <v>23</v>
      </c>
      <c r="Z92" s="19"/>
      <c r="AA92" s="19"/>
      <c r="AB92" s="22"/>
      <c r="AC92" s="19"/>
      <c r="AD92" s="23"/>
      <c r="AE92" s="24"/>
    </row>
    <row r="93" spans="2:31" ht="39.950000000000003" customHeight="1" x14ac:dyDescent="0.3">
      <c r="B93" s="107">
        <v>25011</v>
      </c>
      <c r="C93" s="12">
        <f t="shared" si="3"/>
        <v>88</v>
      </c>
      <c r="D93" s="105" t="str">
        <f>IFERROR(" "&amp;VLOOKUP(B93,현장리스트!$B:$C,2,0),"-")</f>
        <v xml:space="preserve"> [1.라온건설] 인천 신흥동3가 주상복합</v>
      </c>
      <c r="E93" s="13" t="s">
        <v>2406</v>
      </c>
      <c r="F93" s="13" t="str">
        <f t="shared" ca="1" si="4"/>
        <v>49세</v>
      </c>
      <c r="G93" s="14" t="s">
        <v>2407</v>
      </c>
      <c r="H93" s="15" t="str">
        <f t="shared" si="5"/>
        <v>남</v>
      </c>
      <c r="I93" s="16" t="s">
        <v>899</v>
      </c>
      <c r="J93" s="16" t="s">
        <v>903</v>
      </c>
      <c r="K93" s="17">
        <v>230000</v>
      </c>
      <c r="L93" s="18" t="s">
        <v>2408</v>
      </c>
      <c r="M93" s="19" t="s">
        <v>914</v>
      </c>
      <c r="N93" s="19" t="s">
        <v>2617</v>
      </c>
      <c r="O93" s="20">
        <v>20</v>
      </c>
      <c r="P93" s="23" t="s">
        <v>23</v>
      </c>
      <c r="Q93" s="21" t="str">
        <f>VLOOKUP(C93,'2-1. 인사고과표(기능)'!B:AS,44,0)</f>
        <v>S</v>
      </c>
      <c r="R93" s="21" t="str">
        <f>VLOOKUP(C93,'2-2. 인사고과표(안전)'!B:AO,40,0)</f>
        <v>S</v>
      </c>
      <c r="S93" s="18" t="s">
        <v>2675</v>
      </c>
      <c r="T93" s="19"/>
      <c r="U93" s="19"/>
      <c r="V93" s="19"/>
      <c r="W93" s="19" t="s">
        <v>2576</v>
      </c>
      <c r="X93" s="22" t="s">
        <v>2861</v>
      </c>
      <c r="Y93" s="23" t="s">
        <v>23</v>
      </c>
      <c r="Z93" s="19"/>
      <c r="AA93" s="19"/>
      <c r="AB93" s="22"/>
      <c r="AC93" s="19"/>
      <c r="AD93" s="23"/>
      <c r="AE93" s="24"/>
    </row>
    <row r="94" spans="2:31" ht="39.950000000000003" customHeight="1" x14ac:dyDescent="0.3">
      <c r="B94" s="107">
        <v>25011</v>
      </c>
      <c r="C94" s="12">
        <f t="shared" si="3"/>
        <v>89</v>
      </c>
      <c r="D94" s="105" t="str">
        <f>IFERROR(" "&amp;VLOOKUP(B94,현장리스트!$B:$C,2,0),"-")</f>
        <v xml:space="preserve"> [1.라온건설] 인천 신흥동3가 주상복합</v>
      </c>
      <c r="E94" s="13" t="s">
        <v>2478</v>
      </c>
      <c r="F94" s="13" t="str">
        <f t="shared" ca="1" si="4"/>
        <v>62세</v>
      </c>
      <c r="G94" s="14" t="s">
        <v>2479</v>
      </c>
      <c r="H94" s="15" t="str">
        <f t="shared" si="5"/>
        <v>남</v>
      </c>
      <c r="I94" s="16" t="s">
        <v>895</v>
      </c>
      <c r="J94" s="16" t="s">
        <v>898</v>
      </c>
      <c r="K94" s="17">
        <v>3750000</v>
      </c>
      <c r="L94" s="18" t="s">
        <v>2480</v>
      </c>
      <c r="M94" s="19" t="s">
        <v>910</v>
      </c>
      <c r="N94" s="19" t="s">
        <v>911</v>
      </c>
      <c r="O94" s="20" t="s">
        <v>2858</v>
      </c>
      <c r="P94" s="23" t="s">
        <v>23</v>
      </c>
      <c r="Q94" s="21" t="str">
        <f>VLOOKUP(C94,'2-1. 인사고과표(기능)'!B:AS,44,0)</f>
        <v>A</v>
      </c>
      <c r="R94" s="21" t="str">
        <f>VLOOKUP(C94,'2-2. 인사고과표(안전)'!B:AO,40,0)</f>
        <v>S</v>
      </c>
      <c r="S94" s="18"/>
      <c r="T94" s="19"/>
      <c r="U94" s="19" t="s">
        <v>2765</v>
      </c>
      <c r="V94" s="19"/>
      <c r="W94" s="19"/>
      <c r="X94" s="22"/>
      <c r="Y94" s="23"/>
      <c r="Z94" s="19"/>
      <c r="AA94" s="19"/>
      <c r="AB94" s="22" t="s">
        <v>2862</v>
      </c>
      <c r="AC94" s="19" t="s">
        <v>1730</v>
      </c>
      <c r="AD94" s="23" t="s">
        <v>23</v>
      </c>
      <c r="AE94" s="24"/>
    </row>
    <row r="95" spans="2:31" ht="39.950000000000003" customHeight="1" x14ac:dyDescent="0.3">
      <c r="B95" s="107">
        <v>25011</v>
      </c>
      <c r="C95" s="12">
        <f t="shared" si="3"/>
        <v>90</v>
      </c>
      <c r="D95" s="105" t="str">
        <f>IFERROR(" "&amp;VLOOKUP(B95,현장리스트!$B:$C,2,0),"-")</f>
        <v xml:space="preserve"> [1.라온건설] 인천 신흥동3가 주상복합</v>
      </c>
      <c r="E95" s="13" t="s">
        <v>1792</v>
      </c>
      <c r="F95" s="13" t="str">
        <f t="shared" ca="1" si="4"/>
        <v>57세</v>
      </c>
      <c r="G95" s="14" t="s">
        <v>1793</v>
      </c>
      <c r="H95" s="15" t="str">
        <f t="shared" si="5"/>
        <v>남</v>
      </c>
      <c r="I95" s="16" t="s">
        <v>901</v>
      </c>
      <c r="J95" s="16" t="s">
        <v>30</v>
      </c>
      <c r="K95" s="17">
        <v>190000</v>
      </c>
      <c r="L95" s="18" t="s">
        <v>1794</v>
      </c>
      <c r="M95" s="19" t="s">
        <v>914</v>
      </c>
      <c r="N95" s="19" t="s">
        <v>2627</v>
      </c>
      <c r="O95" s="20" t="s">
        <v>993</v>
      </c>
      <c r="P95" s="23" t="s">
        <v>23</v>
      </c>
      <c r="Q95" s="21" t="str">
        <f>VLOOKUP(C95,'2-1. 인사고과표(기능)'!B:AS,44,0)</f>
        <v>A</v>
      </c>
      <c r="R95" s="21" t="str">
        <f>VLOOKUP(C95,'2-2. 인사고과표(안전)'!B:AO,40,0)</f>
        <v>S</v>
      </c>
      <c r="S95" s="18"/>
      <c r="T95" s="19"/>
      <c r="U95" s="19"/>
      <c r="V95" s="19"/>
      <c r="W95" s="19" t="s">
        <v>2576</v>
      </c>
      <c r="X95" s="22" t="s">
        <v>2861</v>
      </c>
      <c r="Y95" s="23" t="s">
        <v>23</v>
      </c>
      <c r="Z95" s="19"/>
      <c r="AA95" s="19"/>
      <c r="AB95" s="22"/>
      <c r="AC95" s="19"/>
      <c r="AD95" s="23"/>
      <c r="AE95" s="24"/>
    </row>
    <row r="96" spans="2:31" ht="39.950000000000003" customHeight="1" x14ac:dyDescent="0.3">
      <c r="B96" s="107">
        <v>25011</v>
      </c>
      <c r="C96" s="12">
        <f t="shared" si="3"/>
        <v>91</v>
      </c>
      <c r="D96" s="105" t="str">
        <f>IFERROR(" "&amp;VLOOKUP(B96,현장리스트!$B:$C,2,0),"-")</f>
        <v xml:space="preserve"> [1.라온건설] 인천 신흥동3가 주상복합</v>
      </c>
      <c r="E96" s="13" t="s">
        <v>1557</v>
      </c>
      <c r="F96" s="13" t="str">
        <f t="shared" ca="1" si="4"/>
        <v>57세</v>
      </c>
      <c r="G96" s="14" t="s">
        <v>1558</v>
      </c>
      <c r="H96" s="15" t="str">
        <f t="shared" si="5"/>
        <v>남</v>
      </c>
      <c r="I96" s="16" t="s">
        <v>901</v>
      </c>
      <c r="J96" s="16" t="s">
        <v>30</v>
      </c>
      <c r="K96" s="17">
        <v>190000</v>
      </c>
      <c r="L96" s="18" t="s">
        <v>1559</v>
      </c>
      <c r="M96" s="19" t="s">
        <v>910</v>
      </c>
      <c r="N96" s="19" t="s">
        <v>911</v>
      </c>
      <c r="O96" s="20" t="s">
        <v>912</v>
      </c>
      <c r="P96" s="23" t="s">
        <v>23</v>
      </c>
      <c r="Q96" s="21" t="str">
        <f>VLOOKUP(C96,'2-1. 인사고과표(기능)'!B:AS,44,0)</f>
        <v>S</v>
      </c>
      <c r="R96" s="21" t="str">
        <f>VLOOKUP(C96,'2-2. 인사고과표(안전)'!B:AO,40,0)</f>
        <v>S</v>
      </c>
      <c r="S96" s="18"/>
      <c r="T96" s="19"/>
      <c r="U96" s="19"/>
      <c r="V96" s="19"/>
      <c r="W96" s="19" t="s">
        <v>2576</v>
      </c>
      <c r="X96" s="22" t="s">
        <v>2861</v>
      </c>
      <c r="Y96" s="23" t="s">
        <v>23</v>
      </c>
      <c r="Z96" s="19"/>
      <c r="AA96" s="19"/>
      <c r="AB96" s="22"/>
      <c r="AC96" s="19"/>
      <c r="AD96" s="23"/>
      <c r="AE96" s="24"/>
    </row>
    <row r="97" spans="2:31" ht="39.950000000000003" customHeight="1" x14ac:dyDescent="0.3">
      <c r="B97" s="107">
        <v>25011</v>
      </c>
      <c r="C97" s="12">
        <f t="shared" si="3"/>
        <v>92</v>
      </c>
      <c r="D97" s="105" t="str">
        <f>IFERROR(" "&amp;VLOOKUP(B97,현장리스트!$B:$C,2,0),"-")</f>
        <v xml:space="preserve"> [1.라온건설] 인천 신흥동3가 주상복합</v>
      </c>
      <c r="E97" s="13" t="s">
        <v>1570</v>
      </c>
      <c r="F97" s="13" t="str">
        <f t="shared" ca="1" si="4"/>
        <v>48세</v>
      </c>
      <c r="G97" s="14" t="s">
        <v>1571</v>
      </c>
      <c r="H97" s="15" t="str">
        <f t="shared" si="5"/>
        <v>남</v>
      </c>
      <c r="I97" s="16" t="s">
        <v>901</v>
      </c>
      <c r="J97" s="16" t="s">
        <v>30</v>
      </c>
      <c r="K97" s="17">
        <v>180000</v>
      </c>
      <c r="L97" s="18" t="s">
        <v>1572</v>
      </c>
      <c r="M97" s="19" t="s">
        <v>910</v>
      </c>
      <c r="N97" s="19" t="s">
        <v>911</v>
      </c>
      <c r="O97" s="20" t="s">
        <v>2583</v>
      </c>
      <c r="P97" s="23" t="s">
        <v>23</v>
      </c>
      <c r="Q97" s="21" t="str">
        <f>VLOOKUP(C97,'2-1. 인사고과표(기능)'!B:AS,44,0)</f>
        <v>S</v>
      </c>
      <c r="R97" s="21" t="str">
        <f>VLOOKUP(C97,'2-2. 인사고과표(안전)'!B:AO,40,0)</f>
        <v>S</v>
      </c>
      <c r="S97" s="18"/>
      <c r="T97" s="19"/>
      <c r="U97" s="19"/>
      <c r="V97" s="19"/>
      <c r="W97" s="19" t="s">
        <v>2576</v>
      </c>
      <c r="X97" s="22" t="s">
        <v>2861</v>
      </c>
      <c r="Y97" s="23" t="s">
        <v>23</v>
      </c>
      <c r="Z97" s="19"/>
      <c r="AA97" s="19"/>
      <c r="AB97" s="22"/>
      <c r="AC97" s="19"/>
      <c r="AD97" s="23"/>
      <c r="AE97" s="24"/>
    </row>
    <row r="98" spans="2:31" ht="39.950000000000003" customHeight="1" x14ac:dyDescent="0.3">
      <c r="B98" s="107">
        <v>25011</v>
      </c>
      <c r="C98" s="12">
        <f t="shared" si="3"/>
        <v>93</v>
      </c>
      <c r="D98" s="105" t="str">
        <f>IFERROR(" "&amp;VLOOKUP(B98,현장리스트!$B:$C,2,0),"-")</f>
        <v xml:space="preserve"> [1.라온건설] 인천 신흥동3가 주상복합</v>
      </c>
      <c r="E98" s="13" t="s">
        <v>1079</v>
      </c>
      <c r="F98" s="13" t="str">
        <f t="shared" ca="1" si="4"/>
        <v>66세</v>
      </c>
      <c r="G98" s="14" t="s">
        <v>1080</v>
      </c>
      <c r="H98" s="15" t="str">
        <f t="shared" si="5"/>
        <v>남</v>
      </c>
      <c r="I98" s="16" t="s">
        <v>901</v>
      </c>
      <c r="J98" s="16" t="s">
        <v>30</v>
      </c>
      <c r="K98" s="17">
        <v>180000</v>
      </c>
      <c r="L98" s="18" t="s">
        <v>1081</v>
      </c>
      <c r="M98" s="19" t="s">
        <v>910</v>
      </c>
      <c r="N98" s="19" t="s">
        <v>2859</v>
      </c>
      <c r="O98" s="20" t="s">
        <v>1017</v>
      </c>
      <c r="P98" s="23" t="s">
        <v>23</v>
      </c>
      <c r="Q98" s="21" t="str">
        <f>VLOOKUP(C98,'2-1. 인사고과표(기능)'!B:AS,44,0)</f>
        <v>S</v>
      </c>
      <c r="R98" s="21" t="str">
        <f>VLOOKUP(C98,'2-2. 인사고과표(안전)'!B:AO,40,0)</f>
        <v>S</v>
      </c>
      <c r="S98" s="18"/>
      <c r="T98" s="19"/>
      <c r="U98" s="19"/>
      <c r="V98" s="19"/>
      <c r="W98" s="19" t="s">
        <v>2576</v>
      </c>
      <c r="X98" s="22" t="s">
        <v>2861</v>
      </c>
      <c r="Y98" s="23" t="s">
        <v>23</v>
      </c>
      <c r="Z98" s="19"/>
      <c r="AA98" s="19"/>
      <c r="AB98" s="22"/>
      <c r="AC98" s="19"/>
      <c r="AD98" s="23"/>
      <c r="AE98" s="24"/>
    </row>
    <row r="99" spans="2:31" ht="39.950000000000003" customHeight="1" x14ac:dyDescent="0.3">
      <c r="B99" s="107">
        <v>25011</v>
      </c>
      <c r="C99" s="12">
        <f t="shared" si="3"/>
        <v>94</v>
      </c>
      <c r="D99" s="105" t="str">
        <f>IFERROR(" "&amp;VLOOKUP(B99,현장리스트!$B:$C,2,0),"-")</f>
        <v xml:space="preserve"> [1.라온건설] 인천 신흥동3가 주상복합</v>
      </c>
      <c r="E99" s="13" t="s">
        <v>2492</v>
      </c>
      <c r="F99" s="13" t="str">
        <f t="shared" ca="1" si="4"/>
        <v>38세</v>
      </c>
      <c r="G99" s="14" t="s">
        <v>2493</v>
      </c>
      <c r="H99" s="15" t="str">
        <f t="shared" si="5"/>
        <v>남</v>
      </c>
      <c r="I99" s="16" t="s">
        <v>901</v>
      </c>
      <c r="J99" s="16" t="s">
        <v>902</v>
      </c>
      <c r="K99" s="17">
        <v>170000</v>
      </c>
      <c r="L99" s="18" t="s">
        <v>2494</v>
      </c>
      <c r="M99" s="19" t="s">
        <v>910</v>
      </c>
      <c r="N99" s="19" t="s">
        <v>1007</v>
      </c>
      <c r="O99" s="20" t="s">
        <v>950</v>
      </c>
      <c r="P99" s="23" t="s">
        <v>23</v>
      </c>
      <c r="Q99" s="21" t="str">
        <f>VLOOKUP(C99,'2-1. 인사고과표(기능)'!B:AS,44,0)</f>
        <v>S</v>
      </c>
      <c r="R99" s="21" t="str">
        <f>VLOOKUP(C99,'2-2. 인사고과표(안전)'!B:AO,40,0)</f>
        <v>S</v>
      </c>
      <c r="S99" s="18"/>
      <c r="T99" s="19"/>
      <c r="U99" s="19"/>
      <c r="V99" s="19"/>
      <c r="W99" s="19" t="s">
        <v>2576</v>
      </c>
      <c r="X99" s="22" t="s">
        <v>2861</v>
      </c>
      <c r="Y99" s="23" t="s">
        <v>23</v>
      </c>
      <c r="Z99" s="19"/>
      <c r="AA99" s="19"/>
      <c r="AB99" s="22"/>
      <c r="AC99" s="19"/>
      <c r="AD99" s="23"/>
      <c r="AE99" s="24"/>
    </row>
    <row r="100" spans="2:31" ht="39.950000000000003" customHeight="1" x14ac:dyDescent="0.3">
      <c r="B100" s="107">
        <v>25011</v>
      </c>
      <c r="C100" s="12">
        <f t="shared" si="3"/>
        <v>95</v>
      </c>
      <c r="D100" s="105" t="str">
        <f>IFERROR(" "&amp;VLOOKUP(B100,현장리스트!$B:$C,2,0),"-")</f>
        <v xml:space="preserve"> [1.라온건설] 인천 신흥동3가 주상복합</v>
      </c>
      <c r="E100" s="13" t="s">
        <v>1052</v>
      </c>
      <c r="F100" s="13" t="str">
        <f t="shared" ca="1" si="4"/>
        <v>31세</v>
      </c>
      <c r="G100" s="14" t="s">
        <v>1053</v>
      </c>
      <c r="H100" s="15" t="str">
        <f t="shared" si="5"/>
        <v>남</v>
      </c>
      <c r="I100" s="16" t="s">
        <v>901</v>
      </c>
      <c r="J100" s="16" t="s">
        <v>902</v>
      </c>
      <c r="K100" s="17">
        <v>150000</v>
      </c>
      <c r="L100" s="18" t="s">
        <v>1054</v>
      </c>
      <c r="M100" s="19" t="s">
        <v>910</v>
      </c>
      <c r="N100" s="19" t="s">
        <v>995</v>
      </c>
      <c r="O100" s="20">
        <v>1</v>
      </c>
      <c r="P100" s="23" t="s">
        <v>23</v>
      </c>
      <c r="Q100" s="21" t="str">
        <f>VLOOKUP(C100,'2-1. 인사고과표(기능)'!B:AS,44,0)</f>
        <v>S</v>
      </c>
      <c r="R100" s="21" t="str">
        <f>VLOOKUP(C100,'2-2. 인사고과표(안전)'!B:AO,40,0)</f>
        <v>S</v>
      </c>
      <c r="S100" s="18"/>
      <c r="T100" s="19"/>
      <c r="U100" s="19"/>
      <c r="V100" s="19"/>
      <c r="W100" s="19"/>
      <c r="X100" s="22"/>
      <c r="Y100" s="23"/>
      <c r="Z100" s="19"/>
      <c r="AA100" s="19"/>
      <c r="AB100" s="22"/>
      <c r="AC100" s="19"/>
      <c r="AD100" s="23"/>
      <c r="AE100" s="24"/>
    </row>
    <row r="101" spans="2:31" ht="39.950000000000003" customHeight="1" x14ac:dyDescent="0.3">
      <c r="B101" s="107">
        <v>25033</v>
      </c>
      <c r="C101" s="12">
        <f t="shared" si="3"/>
        <v>96</v>
      </c>
      <c r="D101" s="105" t="str">
        <f>IFERROR(" "&amp;VLOOKUP(B101,현장리스트!$B:$C,2,0),"-")</f>
        <v xml:space="preserve"> [1.부영] 김천혁신 2-1블럭 부영아파트 신축공사</v>
      </c>
      <c r="E101" s="13" t="s">
        <v>1070</v>
      </c>
      <c r="F101" s="13" t="str">
        <f t="shared" ca="1" si="4"/>
        <v>59세</v>
      </c>
      <c r="G101" s="14" t="s">
        <v>2815</v>
      </c>
      <c r="H101" s="15" t="str">
        <f t="shared" si="5"/>
        <v>남</v>
      </c>
      <c r="I101" s="16" t="s">
        <v>899</v>
      </c>
      <c r="J101" s="16" t="s">
        <v>903</v>
      </c>
      <c r="K101" s="17">
        <v>5400000</v>
      </c>
      <c r="L101" s="18" t="s">
        <v>2823</v>
      </c>
      <c r="M101" s="19" t="s">
        <v>914</v>
      </c>
      <c r="N101" s="19" t="s">
        <v>2824</v>
      </c>
      <c r="O101" s="20">
        <v>25</v>
      </c>
      <c r="P101" s="23" t="s">
        <v>24</v>
      </c>
      <c r="Q101" s="21" t="str">
        <f>VLOOKUP(C101,'2-1. 인사고과표(기능)'!B:AS,44,0)</f>
        <v>S</v>
      </c>
      <c r="R101" s="21" t="str">
        <f>VLOOKUP(C101,'2-2. 인사고과표(안전)'!B:AO,40,0)</f>
        <v>S</v>
      </c>
      <c r="S101" s="18" t="s">
        <v>2675</v>
      </c>
      <c r="T101" s="19"/>
      <c r="U101" s="19" t="s">
        <v>32</v>
      </c>
      <c r="V101" s="19"/>
      <c r="W101" s="19" t="s">
        <v>2677</v>
      </c>
      <c r="X101" s="22" t="s">
        <v>2828</v>
      </c>
      <c r="Y101" s="23" t="s">
        <v>26</v>
      </c>
      <c r="Z101" s="19"/>
      <c r="AA101" s="19" t="s">
        <v>2829</v>
      </c>
      <c r="AB101" s="22" t="s">
        <v>2830</v>
      </c>
      <c r="AC101" s="19" t="s">
        <v>2831</v>
      </c>
      <c r="AD101" s="23" t="s">
        <v>24</v>
      </c>
      <c r="AE101" s="24"/>
    </row>
    <row r="102" spans="2:31" ht="39.950000000000003" customHeight="1" x14ac:dyDescent="0.3">
      <c r="B102" s="107">
        <v>25033</v>
      </c>
      <c r="C102" s="12">
        <f t="shared" si="3"/>
        <v>97</v>
      </c>
      <c r="D102" s="105" t="str">
        <f>IFERROR(" "&amp;VLOOKUP(B102,현장리스트!$B:$C,2,0),"-")</f>
        <v xml:space="preserve"> [1.부영] 김천혁신 2-1블럭 부영아파트 신축공사</v>
      </c>
      <c r="E102" s="13" t="s">
        <v>1213</v>
      </c>
      <c r="F102" s="13" t="str">
        <f t="shared" ca="1" si="4"/>
        <v>44세</v>
      </c>
      <c r="G102" s="14" t="s">
        <v>2816</v>
      </c>
      <c r="H102" s="15" t="str">
        <f t="shared" si="5"/>
        <v>남</v>
      </c>
      <c r="I102" s="16" t="s">
        <v>895</v>
      </c>
      <c r="J102" s="16" t="s">
        <v>896</v>
      </c>
      <c r="K102" s="17">
        <v>4500000</v>
      </c>
      <c r="L102" s="18" t="s">
        <v>1214</v>
      </c>
      <c r="M102" s="19" t="s">
        <v>2528</v>
      </c>
      <c r="N102" s="19" t="s">
        <v>940</v>
      </c>
      <c r="O102" s="20">
        <v>8</v>
      </c>
      <c r="P102" s="23" t="s">
        <v>23</v>
      </c>
      <c r="Q102" s="21" t="str">
        <f>VLOOKUP(C102,'2-1. 인사고과표(기능)'!B:AS,44,0)</f>
        <v>A</v>
      </c>
      <c r="R102" s="21" t="str">
        <f>VLOOKUP(C102,'2-2. 인사고과표(안전)'!B:AO,40,0)</f>
        <v>S</v>
      </c>
      <c r="S102" s="18"/>
      <c r="T102" s="19"/>
      <c r="U102" s="19"/>
      <c r="V102" s="19"/>
      <c r="W102" s="19" t="s">
        <v>407</v>
      </c>
      <c r="X102" s="22" t="s">
        <v>2832</v>
      </c>
      <c r="Y102" s="23" t="s">
        <v>28</v>
      </c>
      <c r="Z102" s="19" t="s">
        <v>373</v>
      </c>
      <c r="AA102" s="19" t="s">
        <v>427</v>
      </c>
      <c r="AB102" s="22" t="s">
        <v>2833</v>
      </c>
      <c r="AC102" s="19" t="s">
        <v>2834</v>
      </c>
      <c r="AD102" s="23" t="s">
        <v>23</v>
      </c>
      <c r="AE102" s="24"/>
    </row>
    <row r="103" spans="2:31" ht="39.950000000000003" customHeight="1" x14ac:dyDescent="0.3">
      <c r="B103" s="107">
        <v>25033</v>
      </c>
      <c r="C103" s="12">
        <f t="shared" si="3"/>
        <v>98</v>
      </c>
      <c r="D103" s="105" t="str">
        <f>IFERROR(" "&amp;VLOOKUP(B103,현장리스트!$B:$C,2,0),"-")</f>
        <v xml:space="preserve"> [1.부영] 김천혁신 2-1블럭 부영아파트 신축공사</v>
      </c>
      <c r="E103" s="13" t="s">
        <v>1215</v>
      </c>
      <c r="F103" s="13" t="str">
        <f t="shared" ca="1" si="4"/>
        <v>53세</v>
      </c>
      <c r="G103" s="14" t="s">
        <v>2817</v>
      </c>
      <c r="H103" s="15" t="str">
        <f t="shared" si="5"/>
        <v>남</v>
      </c>
      <c r="I103" s="16" t="s">
        <v>897</v>
      </c>
      <c r="J103" s="16" t="s">
        <v>896</v>
      </c>
      <c r="K103" s="17">
        <v>4000000</v>
      </c>
      <c r="L103" s="18" t="s">
        <v>1216</v>
      </c>
      <c r="M103" s="19" t="s">
        <v>942</v>
      </c>
      <c r="N103" s="19" t="s">
        <v>2622</v>
      </c>
      <c r="O103" s="20">
        <v>1</v>
      </c>
      <c r="P103" s="23" t="s">
        <v>23</v>
      </c>
      <c r="Q103" s="21" t="str">
        <f>VLOOKUP(C103,'2-1. 인사고과표(기능)'!B:AS,44,0)</f>
        <v>A</v>
      </c>
      <c r="R103" s="21" t="str">
        <f>VLOOKUP(C103,'2-2. 인사고과표(안전)'!B:AO,40,0)</f>
        <v>S</v>
      </c>
      <c r="S103" s="18"/>
      <c r="T103" s="19"/>
      <c r="U103" s="19"/>
      <c r="V103" s="19"/>
      <c r="W103" s="19"/>
      <c r="X103" s="22"/>
      <c r="Y103" s="23"/>
      <c r="Z103" s="19"/>
      <c r="AA103" s="19"/>
      <c r="AB103" s="22"/>
      <c r="AC103" s="19"/>
      <c r="AD103" s="23"/>
      <c r="AE103" s="24" t="s">
        <v>2835</v>
      </c>
    </row>
    <row r="104" spans="2:31" ht="39.950000000000003" customHeight="1" x14ac:dyDescent="0.3">
      <c r="B104" s="107">
        <v>25033</v>
      </c>
      <c r="C104" s="12">
        <f t="shared" si="3"/>
        <v>99</v>
      </c>
      <c r="D104" s="105" t="str">
        <f>IFERROR(" "&amp;VLOOKUP(B104,현장리스트!$B:$C,2,0),"-")</f>
        <v xml:space="preserve"> [1.부영] 김천혁신 2-1블럭 부영아파트 신축공사</v>
      </c>
      <c r="E104" s="13" t="s">
        <v>1252</v>
      </c>
      <c r="F104" s="13" t="str">
        <f t="shared" ca="1" si="4"/>
        <v>54세</v>
      </c>
      <c r="G104" s="14" t="s">
        <v>2818</v>
      </c>
      <c r="H104" s="15" t="str">
        <f t="shared" si="5"/>
        <v>남</v>
      </c>
      <c r="I104" s="16" t="s">
        <v>901</v>
      </c>
      <c r="J104" s="16" t="s">
        <v>30</v>
      </c>
      <c r="K104" s="17">
        <v>200000</v>
      </c>
      <c r="L104" s="18" t="s">
        <v>2825</v>
      </c>
      <c r="M104" s="19" t="s">
        <v>920</v>
      </c>
      <c r="N104" s="19" t="s">
        <v>3013</v>
      </c>
      <c r="O104" s="20">
        <v>12</v>
      </c>
      <c r="P104" s="23" t="s">
        <v>23</v>
      </c>
      <c r="Q104" s="21" t="str">
        <f>VLOOKUP(C104,'2-1. 인사고과표(기능)'!B:AS,44,0)</f>
        <v>A</v>
      </c>
      <c r="R104" s="21" t="str">
        <f>VLOOKUP(C104,'2-2. 인사고과표(안전)'!B:AO,40,0)</f>
        <v>S</v>
      </c>
      <c r="S104" s="18"/>
      <c r="T104" s="19"/>
      <c r="U104" s="19"/>
      <c r="V104" s="19"/>
      <c r="W104" s="19"/>
      <c r="X104" s="22"/>
      <c r="Y104" s="23"/>
      <c r="Z104" s="19"/>
      <c r="AA104" s="19" t="s">
        <v>456</v>
      </c>
      <c r="AB104" s="22" t="s">
        <v>2836</v>
      </c>
      <c r="AC104" s="19" t="s">
        <v>2837</v>
      </c>
      <c r="AD104" s="23" t="s">
        <v>23</v>
      </c>
      <c r="AE104" s="24"/>
    </row>
    <row r="105" spans="2:31" ht="39.950000000000003" customHeight="1" x14ac:dyDescent="0.3">
      <c r="B105" s="107">
        <v>25033</v>
      </c>
      <c r="C105" s="12">
        <f t="shared" si="3"/>
        <v>100</v>
      </c>
      <c r="D105" s="105" t="str">
        <f>IFERROR(" "&amp;VLOOKUP(B105,현장리스트!$B:$C,2,0),"-")</f>
        <v xml:space="preserve"> [1.부영] 김천혁신 2-1블럭 부영아파트 신축공사</v>
      </c>
      <c r="E105" s="13" t="s">
        <v>1402</v>
      </c>
      <c r="F105" s="13" t="str">
        <f t="shared" ca="1" si="4"/>
        <v>46세</v>
      </c>
      <c r="G105" s="14" t="s">
        <v>2819</v>
      </c>
      <c r="H105" s="15" t="str">
        <f t="shared" si="5"/>
        <v>남</v>
      </c>
      <c r="I105" s="16" t="s">
        <v>901</v>
      </c>
      <c r="J105" s="16" t="s">
        <v>30</v>
      </c>
      <c r="K105" s="17">
        <v>210000</v>
      </c>
      <c r="L105" s="18" t="s">
        <v>2826</v>
      </c>
      <c r="M105" s="19" t="s">
        <v>914</v>
      </c>
      <c r="N105" s="19" t="s">
        <v>3420</v>
      </c>
      <c r="O105" s="20">
        <v>12</v>
      </c>
      <c r="P105" s="23" t="s">
        <v>24</v>
      </c>
      <c r="Q105" s="21" t="str">
        <f>VLOOKUP(C105,'2-1. 인사고과표(기능)'!B:AS,44,0)</f>
        <v>S</v>
      </c>
      <c r="R105" s="21" t="str">
        <f>VLOOKUP(C105,'2-2. 인사고과표(안전)'!B:AO,40,0)</f>
        <v>S</v>
      </c>
      <c r="S105" s="18"/>
      <c r="T105" s="19"/>
      <c r="U105" s="19"/>
      <c r="V105" s="19"/>
      <c r="W105" s="19"/>
      <c r="X105" s="22"/>
      <c r="Y105" s="23"/>
      <c r="Z105" s="19"/>
      <c r="AA105" s="19" t="s">
        <v>2777</v>
      </c>
      <c r="AB105" s="22" t="s">
        <v>2838</v>
      </c>
      <c r="AC105" s="19" t="s">
        <v>2772</v>
      </c>
      <c r="AD105" s="23" t="s">
        <v>26</v>
      </c>
      <c r="AE105" s="24"/>
    </row>
    <row r="106" spans="2:31" ht="39.950000000000003" customHeight="1" x14ac:dyDescent="0.3">
      <c r="B106" s="107">
        <v>25033</v>
      </c>
      <c r="C106" s="12">
        <f t="shared" si="3"/>
        <v>101</v>
      </c>
      <c r="D106" s="105" t="str">
        <f>IFERROR(" "&amp;VLOOKUP(B106,현장리스트!$B:$C,2,0),"-")</f>
        <v xml:space="preserve"> [1.부영] 김천혁신 2-1블럭 부영아파트 신축공사</v>
      </c>
      <c r="E106" s="13" t="s">
        <v>1137</v>
      </c>
      <c r="F106" s="13" t="str">
        <f t="shared" ca="1" si="4"/>
        <v>61세</v>
      </c>
      <c r="G106" s="14" t="s">
        <v>2820</v>
      </c>
      <c r="H106" s="15" t="str">
        <f t="shared" si="5"/>
        <v>남</v>
      </c>
      <c r="I106" s="16" t="s">
        <v>901</v>
      </c>
      <c r="J106" s="16" t="s">
        <v>30</v>
      </c>
      <c r="K106" s="17">
        <v>200000</v>
      </c>
      <c r="L106" s="18" t="s">
        <v>2827</v>
      </c>
      <c r="M106" s="19" t="s">
        <v>914</v>
      </c>
      <c r="N106" s="19" t="s">
        <v>3019</v>
      </c>
      <c r="O106" s="20">
        <v>10</v>
      </c>
      <c r="P106" s="23" t="s">
        <v>23</v>
      </c>
      <c r="Q106" s="21" t="str">
        <f>VLOOKUP(C106,'2-1. 인사고과표(기능)'!B:AS,44,0)</f>
        <v>S</v>
      </c>
      <c r="R106" s="21" t="str">
        <f>VLOOKUP(C106,'2-2. 인사고과표(안전)'!B:AO,40,0)</f>
        <v>A</v>
      </c>
      <c r="S106" s="18"/>
      <c r="T106" s="19"/>
      <c r="U106" s="19"/>
      <c r="V106" s="19"/>
      <c r="W106" s="19"/>
      <c r="X106" s="22"/>
      <c r="Y106" s="23"/>
      <c r="Z106" s="19"/>
      <c r="AA106" s="19" t="s">
        <v>2839</v>
      </c>
      <c r="AB106" s="22" t="s">
        <v>2840</v>
      </c>
      <c r="AC106" s="19" t="s">
        <v>2841</v>
      </c>
      <c r="AD106" s="23" t="s">
        <v>23</v>
      </c>
      <c r="AE106" s="24"/>
    </row>
    <row r="107" spans="2:31" ht="39.950000000000003" customHeight="1" x14ac:dyDescent="0.3">
      <c r="B107" s="107">
        <v>25033</v>
      </c>
      <c r="C107" s="12">
        <f t="shared" si="3"/>
        <v>102</v>
      </c>
      <c r="D107" s="105" t="str">
        <f>IFERROR(" "&amp;VLOOKUP(B107,현장리스트!$B:$C,2,0),"-")</f>
        <v xml:space="preserve"> [1.부영] 김천혁신 2-1블럭 부영아파트 신축공사</v>
      </c>
      <c r="E107" s="13" t="s">
        <v>1178</v>
      </c>
      <c r="F107" s="13" t="str">
        <f t="shared" ca="1" si="4"/>
        <v>44세</v>
      </c>
      <c r="G107" s="14" t="s">
        <v>2821</v>
      </c>
      <c r="H107" s="15" t="str">
        <f t="shared" si="5"/>
        <v>남</v>
      </c>
      <c r="I107" s="16" t="s">
        <v>901</v>
      </c>
      <c r="J107" s="16" t="s">
        <v>30</v>
      </c>
      <c r="K107" s="17">
        <v>210000</v>
      </c>
      <c r="L107" s="18" t="s">
        <v>1179</v>
      </c>
      <c r="M107" s="19" t="s">
        <v>914</v>
      </c>
      <c r="N107" s="19" t="s">
        <v>2608</v>
      </c>
      <c r="O107" s="20">
        <v>10</v>
      </c>
      <c r="P107" s="23" t="s">
        <v>24</v>
      </c>
      <c r="Q107" s="21" t="str">
        <f>VLOOKUP(C107,'2-1. 인사고과표(기능)'!B:AS,44,0)</f>
        <v>A</v>
      </c>
      <c r="R107" s="21" t="str">
        <f>VLOOKUP(C107,'2-2. 인사고과표(안전)'!B:AO,40,0)</f>
        <v>A</v>
      </c>
      <c r="S107" s="18"/>
      <c r="T107" s="19"/>
      <c r="U107" s="19"/>
      <c r="V107" s="19"/>
      <c r="W107" s="19"/>
      <c r="X107" s="22"/>
      <c r="Y107" s="23"/>
      <c r="Z107" s="19"/>
      <c r="AA107" s="19" t="s">
        <v>2777</v>
      </c>
      <c r="AB107" s="22" t="s">
        <v>2838</v>
      </c>
      <c r="AC107" s="19" t="s">
        <v>2772</v>
      </c>
      <c r="AD107" s="23" t="s">
        <v>26</v>
      </c>
      <c r="AE107" s="24"/>
    </row>
    <row r="108" spans="2:31" ht="39.950000000000003" customHeight="1" x14ac:dyDescent="0.3">
      <c r="B108" s="107">
        <v>25033</v>
      </c>
      <c r="C108" s="12">
        <f t="shared" si="3"/>
        <v>103</v>
      </c>
      <c r="D108" s="105" t="str">
        <f>IFERROR(" "&amp;VLOOKUP(B108,현장리스트!$B:$C,2,0),"-")</f>
        <v xml:space="preserve"> [1.부영] 김천혁신 2-1블럭 부영아파트 신축공사</v>
      </c>
      <c r="E108" s="13" t="s">
        <v>1544</v>
      </c>
      <c r="F108" s="13" t="str">
        <f t="shared" ca="1" si="4"/>
        <v>36세</v>
      </c>
      <c r="G108" s="14" t="s">
        <v>2822</v>
      </c>
      <c r="H108" s="15" t="str">
        <f t="shared" si="5"/>
        <v>남</v>
      </c>
      <c r="I108" s="16" t="s">
        <v>901</v>
      </c>
      <c r="J108" s="16" t="s">
        <v>30</v>
      </c>
      <c r="K108" s="17">
        <v>210000</v>
      </c>
      <c r="L108" s="18" t="s">
        <v>1545</v>
      </c>
      <c r="M108" s="19" t="s">
        <v>914</v>
      </c>
      <c r="N108" s="19" t="s">
        <v>2617</v>
      </c>
      <c r="O108" s="20">
        <v>3</v>
      </c>
      <c r="P108" s="23" t="s">
        <v>24</v>
      </c>
      <c r="Q108" s="21" t="str">
        <f>VLOOKUP(C108,'2-1. 인사고과표(기능)'!B:AS,44,0)</f>
        <v>B</v>
      </c>
      <c r="R108" s="21" t="str">
        <f>VLOOKUP(C108,'2-2. 인사고과표(안전)'!B:AO,40,0)</f>
        <v>A</v>
      </c>
      <c r="S108" s="18"/>
      <c r="T108" s="19"/>
      <c r="U108" s="19"/>
      <c r="V108" s="19"/>
      <c r="W108" s="19"/>
      <c r="X108" s="22"/>
      <c r="Y108" s="23"/>
      <c r="Z108" s="19"/>
      <c r="AA108" s="19" t="s">
        <v>2777</v>
      </c>
      <c r="AB108" s="22" t="s">
        <v>2838</v>
      </c>
      <c r="AC108" s="19" t="s">
        <v>2772</v>
      </c>
      <c r="AD108" s="23" t="s">
        <v>26</v>
      </c>
      <c r="AE108" s="24"/>
    </row>
    <row r="109" spans="2:31" ht="39.950000000000003" customHeight="1" x14ac:dyDescent="0.3">
      <c r="B109" s="107">
        <v>23024</v>
      </c>
      <c r="C109" s="12">
        <f t="shared" si="3"/>
        <v>104</v>
      </c>
      <c r="D109" s="105" t="str">
        <f>IFERROR(" "&amp;VLOOKUP(B109,현장리스트!$B:$C,2,0),"-")</f>
        <v xml:space="preserve"> [1.우미건설] 오산세교1차 우미린 아파트 전기공사(2공구)</v>
      </c>
      <c r="E109" s="13" t="s">
        <v>402</v>
      </c>
      <c r="F109" s="13" t="str">
        <f t="shared" ca="1" si="4"/>
        <v>26세</v>
      </c>
      <c r="G109" s="14" t="s">
        <v>1911</v>
      </c>
      <c r="H109" s="15" t="str">
        <f t="shared" si="5"/>
        <v>남</v>
      </c>
      <c r="I109" s="16" t="s">
        <v>895</v>
      </c>
      <c r="J109" s="16" t="s">
        <v>31</v>
      </c>
      <c r="K109" s="17">
        <v>3100000</v>
      </c>
      <c r="L109" s="18" t="s">
        <v>1912</v>
      </c>
      <c r="M109" s="19" t="s">
        <v>914</v>
      </c>
      <c r="N109" s="19" t="s">
        <v>2667</v>
      </c>
      <c r="O109" s="20" t="s">
        <v>2534</v>
      </c>
      <c r="P109" s="23"/>
      <c r="Q109" s="21" t="str">
        <f>VLOOKUP(C109,'2-1. 인사고과표(기능)'!B:AS,44,0)</f>
        <v>S</v>
      </c>
      <c r="R109" s="21" t="str">
        <f>VLOOKUP(C109,'2-2. 인사고과표(안전)'!B:AO,40,0)</f>
        <v>S</v>
      </c>
      <c r="S109" s="18"/>
      <c r="T109" s="19"/>
      <c r="U109" s="19"/>
      <c r="V109" s="19"/>
      <c r="W109" s="19"/>
      <c r="X109" s="22"/>
      <c r="Y109" s="23"/>
      <c r="Z109" s="19"/>
      <c r="AA109" s="19"/>
      <c r="AB109" s="22"/>
      <c r="AC109" s="19"/>
      <c r="AD109" s="23"/>
      <c r="AE109" s="24"/>
    </row>
    <row r="110" spans="2:31" ht="39.950000000000003" customHeight="1" x14ac:dyDescent="0.3">
      <c r="B110" s="107">
        <v>23024</v>
      </c>
      <c r="C110" s="12">
        <f t="shared" si="3"/>
        <v>105</v>
      </c>
      <c r="D110" s="105" t="str">
        <f>IFERROR(" "&amp;VLOOKUP(B110,현장리스트!$B:$C,2,0),"-")</f>
        <v xml:space="preserve"> [1.우미건설] 오산세교1차 우미린 아파트 전기공사(2공구)</v>
      </c>
      <c r="E110" s="13" t="s">
        <v>1764</v>
      </c>
      <c r="F110" s="13" t="str">
        <f t="shared" ca="1" si="4"/>
        <v>64세</v>
      </c>
      <c r="G110" s="14" t="s">
        <v>1765</v>
      </c>
      <c r="H110" s="15" t="str">
        <f t="shared" si="5"/>
        <v>남</v>
      </c>
      <c r="I110" s="16" t="s">
        <v>899</v>
      </c>
      <c r="J110" s="16" t="s">
        <v>896</v>
      </c>
      <c r="K110" s="17">
        <v>195000</v>
      </c>
      <c r="L110" s="18" t="s">
        <v>1766</v>
      </c>
      <c r="M110" s="19" t="s">
        <v>914</v>
      </c>
      <c r="N110" s="19" t="s">
        <v>2627</v>
      </c>
      <c r="O110" s="20" t="s">
        <v>2664</v>
      </c>
      <c r="P110" s="23" t="s">
        <v>23</v>
      </c>
      <c r="Q110" s="21" t="str">
        <f>VLOOKUP(C110,'2-1. 인사고과표(기능)'!B:AS,44,0)</f>
        <v>S</v>
      </c>
      <c r="R110" s="21" t="str">
        <f>VLOOKUP(C110,'2-2. 인사고과표(안전)'!B:AO,40,0)</f>
        <v>S</v>
      </c>
      <c r="S110" s="18"/>
      <c r="T110" s="19"/>
      <c r="U110" s="19"/>
      <c r="V110" s="19"/>
      <c r="W110" s="19"/>
      <c r="X110" s="22"/>
      <c r="Y110" s="23"/>
      <c r="Z110" s="19"/>
      <c r="AA110" s="19" t="s">
        <v>456</v>
      </c>
      <c r="AB110" s="22" t="s">
        <v>2856</v>
      </c>
      <c r="AC110" s="19" t="s">
        <v>2654</v>
      </c>
      <c r="AD110" s="23" t="s">
        <v>23</v>
      </c>
      <c r="AE110" s="24" t="s">
        <v>2857</v>
      </c>
    </row>
    <row r="111" spans="2:31" ht="39.950000000000003" customHeight="1" x14ac:dyDescent="0.3">
      <c r="B111" s="107">
        <v>23024</v>
      </c>
      <c r="C111" s="12">
        <f t="shared" si="3"/>
        <v>106</v>
      </c>
      <c r="D111" s="105" t="str">
        <f>IFERROR(" "&amp;VLOOKUP(B111,현장리스트!$B:$C,2,0),"-")</f>
        <v xml:space="preserve"> [1.우미건설] 오산세교1차 우미린 아파트 전기공사(2공구)</v>
      </c>
      <c r="E111" s="13" t="s">
        <v>2437</v>
      </c>
      <c r="F111" s="13" t="str">
        <f t="shared" ca="1" si="4"/>
        <v>63세</v>
      </c>
      <c r="G111" s="14" t="s">
        <v>2438</v>
      </c>
      <c r="H111" s="15" t="str">
        <f t="shared" si="5"/>
        <v>남</v>
      </c>
      <c r="I111" s="16" t="s">
        <v>901</v>
      </c>
      <c r="J111" s="16" t="s">
        <v>30</v>
      </c>
      <c r="K111" s="17">
        <v>185000</v>
      </c>
      <c r="L111" s="18" t="s">
        <v>2439</v>
      </c>
      <c r="M111" s="19" t="s">
        <v>987</v>
      </c>
      <c r="N111" s="19" t="s">
        <v>988</v>
      </c>
      <c r="O111" s="20" t="s">
        <v>907</v>
      </c>
      <c r="P111" s="23" t="s">
        <v>23</v>
      </c>
      <c r="Q111" s="21" t="str">
        <f>VLOOKUP(C111,'2-1. 인사고과표(기능)'!B:AS,44,0)</f>
        <v>A</v>
      </c>
      <c r="R111" s="21" t="str">
        <f>VLOOKUP(C111,'2-2. 인사고과표(안전)'!B:AO,40,0)</f>
        <v>S</v>
      </c>
      <c r="S111" s="18"/>
      <c r="T111" s="19"/>
      <c r="U111" s="19"/>
      <c r="V111" s="19"/>
      <c r="W111" s="19"/>
      <c r="X111" s="22"/>
      <c r="Y111" s="23"/>
      <c r="Z111" s="19"/>
      <c r="AA111" s="19" t="s">
        <v>456</v>
      </c>
      <c r="AB111" s="22" t="s">
        <v>2856</v>
      </c>
      <c r="AC111" s="19" t="s">
        <v>2654</v>
      </c>
      <c r="AD111" s="23" t="s">
        <v>23</v>
      </c>
      <c r="AE111" s="24"/>
    </row>
    <row r="112" spans="2:31" ht="39.950000000000003" customHeight="1" x14ac:dyDescent="0.3">
      <c r="B112" s="107">
        <v>24036</v>
      </c>
      <c r="C112" s="12">
        <f t="shared" si="3"/>
        <v>107</v>
      </c>
      <c r="D112" s="105" t="str">
        <f>IFERROR(" "&amp;VLOOKUP(B112,현장리스트!$B:$C,2,0),"-")</f>
        <v xml:space="preserve"> [1.중흥건설] 인천 검단지구 공동주택용지 AB20-2BL 중흥S-클래스 공동주택 신축공사</v>
      </c>
      <c r="E112" s="13" t="s">
        <v>598</v>
      </c>
      <c r="F112" s="13" t="str">
        <f t="shared" ca="1" si="4"/>
        <v>43세</v>
      </c>
      <c r="G112" s="14" t="s">
        <v>2210</v>
      </c>
      <c r="H112" s="15" t="str">
        <f t="shared" si="5"/>
        <v>남</v>
      </c>
      <c r="I112" s="16" t="s">
        <v>895</v>
      </c>
      <c r="J112" s="16" t="s">
        <v>896</v>
      </c>
      <c r="K112" s="17">
        <v>5200000</v>
      </c>
      <c r="L112" s="18" t="s">
        <v>2211</v>
      </c>
      <c r="M112" s="19" t="s">
        <v>914</v>
      </c>
      <c r="N112" s="19" t="s">
        <v>2626</v>
      </c>
      <c r="O112" s="20">
        <v>20</v>
      </c>
      <c r="P112" s="23" t="s">
        <v>23</v>
      </c>
      <c r="Q112" s="21" t="str">
        <f>VLOOKUP(C112,'2-1. 인사고과표(기능)'!B:AS,44,0)</f>
        <v>S</v>
      </c>
      <c r="R112" s="21" t="str">
        <f>VLOOKUP(C112,'2-2. 인사고과표(안전)'!B:AO,40,0)</f>
        <v>S</v>
      </c>
      <c r="S112" s="18"/>
      <c r="T112" s="19"/>
      <c r="U112" s="19"/>
      <c r="V112" s="19"/>
      <c r="W112" s="19" t="s">
        <v>456</v>
      </c>
      <c r="X112" s="22" t="s">
        <v>2747</v>
      </c>
      <c r="Y112" s="23" t="s">
        <v>23</v>
      </c>
      <c r="Z112" s="19"/>
      <c r="AA112" s="19" t="s">
        <v>2695</v>
      </c>
      <c r="AB112" s="22" t="s">
        <v>2748</v>
      </c>
      <c r="AC112" s="19" t="s">
        <v>2749</v>
      </c>
      <c r="AD112" s="23" t="s">
        <v>23</v>
      </c>
      <c r="AE112" s="24"/>
    </row>
    <row r="113" spans="2:31" ht="39.950000000000003" customHeight="1" x14ac:dyDescent="0.3">
      <c r="B113" s="107">
        <v>24036</v>
      </c>
      <c r="C113" s="12">
        <f t="shared" si="3"/>
        <v>108</v>
      </c>
      <c r="D113" s="105" t="str">
        <f>IFERROR(" "&amp;VLOOKUP(B113,현장리스트!$B:$C,2,0),"-")</f>
        <v xml:space="preserve"> [1.중흥건설] 인천 검단지구 공동주택용지 AB20-2BL 중흥S-클래스 공동주택 신축공사</v>
      </c>
      <c r="E113" s="13" t="s">
        <v>2069</v>
      </c>
      <c r="F113" s="13" t="str">
        <f t="shared" ca="1" si="4"/>
        <v>37세</v>
      </c>
      <c r="G113" s="14" t="s">
        <v>2070</v>
      </c>
      <c r="H113" s="15" t="str">
        <f t="shared" si="5"/>
        <v>여</v>
      </c>
      <c r="I113" s="16" t="s">
        <v>895</v>
      </c>
      <c r="J113" s="16" t="s">
        <v>900</v>
      </c>
      <c r="K113" s="17">
        <v>4200000</v>
      </c>
      <c r="L113" s="18" t="s">
        <v>2166</v>
      </c>
      <c r="M113" s="19" t="s">
        <v>910</v>
      </c>
      <c r="N113" s="19" t="s">
        <v>995</v>
      </c>
      <c r="O113" s="20">
        <v>3</v>
      </c>
      <c r="P113" s="23" t="s">
        <v>23</v>
      </c>
      <c r="Q113" s="21" t="str">
        <f>VLOOKUP(C113,'2-1. 인사고과표(기능)'!B:AS,44,0)</f>
        <v>A</v>
      </c>
      <c r="R113" s="21" t="str">
        <f>VLOOKUP(C113,'2-2. 인사고과표(안전)'!B:AO,40,0)</f>
        <v>S</v>
      </c>
      <c r="S113" s="18"/>
      <c r="T113" s="19"/>
      <c r="U113" s="19"/>
      <c r="V113" s="19"/>
      <c r="W113" s="19"/>
      <c r="X113" s="22"/>
      <c r="Y113" s="23"/>
      <c r="Z113" s="19"/>
      <c r="AA113" s="19" t="s">
        <v>2705</v>
      </c>
      <c r="AB113" s="22" t="s">
        <v>2750</v>
      </c>
      <c r="AC113" s="19" t="s">
        <v>2751</v>
      </c>
      <c r="AD113" s="23" t="s">
        <v>23</v>
      </c>
      <c r="AE113" s="24"/>
    </row>
    <row r="114" spans="2:31" ht="39.950000000000003" customHeight="1" x14ac:dyDescent="0.3">
      <c r="B114" s="107">
        <v>24036</v>
      </c>
      <c r="C114" s="12">
        <f t="shared" si="3"/>
        <v>109</v>
      </c>
      <c r="D114" s="105" t="str">
        <f>IFERROR(" "&amp;VLOOKUP(B114,현장리스트!$B:$C,2,0),"-")</f>
        <v xml:space="preserve"> [1.중흥건설] 인천 검단지구 공동주택용지 AB20-2BL 중흥S-클래스 공동주택 신축공사</v>
      </c>
      <c r="E114" s="13" t="s">
        <v>1394</v>
      </c>
      <c r="F114" s="13" t="str">
        <f t="shared" ca="1" si="4"/>
        <v>44세</v>
      </c>
      <c r="G114" s="14" t="s">
        <v>1395</v>
      </c>
      <c r="H114" s="15" t="str">
        <f t="shared" si="5"/>
        <v>남</v>
      </c>
      <c r="I114" s="16" t="s">
        <v>899</v>
      </c>
      <c r="J114" s="16" t="s">
        <v>896</v>
      </c>
      <c r="K114" s="17">
        <v>200000</v>
      </c>
      <c r="L114" s="18" t="s">
        <v>1396</v>
      </c>
      <c r="M114" s="19" t="s">
        <v>987</v>
      </c>
      <c r="N114" s="19" t="s">
        <v>2644</v>
      </c>
      <c r="O114" s="20">
        <v>10</v>
      </c>
      <c r="P114" s="23" t="s">
        <v>23</v>
      </c>
      <c r="Q114" s="21" t="str">
        <f>VLOOKUP(C114,'2-1. 인사고과표(기능)'!B:AS,44,0)</f>
        <v>A</v>
      </c>
      <c r="R114" s="21" t="str">
        <f>VLOOKUP(C114,'2-2. 인사고과표(안전)'!B:AO,40,0)</f>
        <v>A</v>
      </c>
      <c r="S114" s="18"/>
      <c r="T114" s="19"/>
      <c r="U114" s="19"/>
      <c r="V114" s="19"/>
      <c r="W114" s="19"/>
      <c r="X114" s="22"/>
      <c r="Y114" s="23"/>
      <c r="Z114" s="19"/>
      <c r="AA114" s="19" t="s">
        <v>2705</v>
      </c>
      <c r="AB114" s="22" t="s">
        <v>2752</v>
      </c>
      <c r="AC114" s="19" t="s">
        <v>2751</v>
      </c>
      <c r="AD114" s="23" t="s">
        <v>23</v>
      </c>
      <c r="AE114" s="24"/>
    </row>
    <row r="115" spans="2:31" ht="39.950000000000003" customHeight="1" x14ac:dyDescent="0.3">
      <c r="B115" s="107">
        <v>24036</v>
      </c>
      <c r="C115" s="12">
        <f t="shared" si="3"/>
        <v>110</v>
      </c>
      <c r="D115" s="105" t="str">
        <f>IFERROR(" "&amp;VLOOKUP(B115,현장리스트!$B:$C,2,0),"-")</f>
        <v xml:space="preserve"> [1.중흥건설] 인천 검단지구 공동주택용지 AB20-2BL 중흥S-클래스 공동주택 신축공사</v>
      </c>
      <c r="E115" s="13" t="s">
        <v>2179</v>
      </c>
      <c r="F115" s="13" t="str">
        <f t="shared" ca="1" si="4"/>
        <v>43세</v>
      </c>
      <c r="G115" s="14" t="s">
        <v>2180</v>
      </c>
      <c r="H115" s="15" t="str">
        <f t="shared" si="5"/>
        <v>남</v>
      </c>
      <c r="I115" s="16" t="s">
        <v>901</v>
      </c>
      <c r="J115" s="16" t="s">
        <v>30</v>
      </c>
      <c r="K115" s="17">
        <v>210000</v>
      </c>
      <c r="L115" s="18" t="s">
        <v>2181</v>
      </c>
      <c r="M115" s="19" t="s">
        <v>910</v>
      </c>
      <c r="N115" s="19" t="s">
        <v>911</v>
      </c>
      <c r="O115" s="20">
        <v>18</v>
      </c>
      <c r="P115" s="23" t="s">
        <v>23</v>
      </c>
      <c r="Q115" s="21" t="str">
        <f>VLOOKUP(C115,'2-1. 인사고과표(기능)'!B:AS,44,0)</f>
        <v>S</v>
      </c>
      <c r="R115" s="21" t="str">
        <f>VLOOKUP(C115,'2-2. 인사고과표(안전)'!B:AO,40,0)</f>
        <v>A</v>
      </c>
      <c r="S115" s="18"/>
      <c r="T115" s="19"/>
      <c r="U115" s="19"/>
      <c r="V115" s="19"/>
      <c r="W115" s="19" t="s">
        <v>2753</v>
      </c>
      <c r="X115" s="22" t="s">
        <v>2754</v>
      </c>
      <c r="Y115" s="23" t="s">
        <v>26</v>
      </c>
      <c r="Z115" s="19"/>
      <c r="AA115" s="19" t="s">
        <v>2705</v>
      </c>
      <c r="AB115" s="22" t="s">
        <v>2750</v>
      </c>
      <c r="AC115" s="19" t="s">
        <v>2751</v>
      </c>
      <c r="AD115" s="23" t="s">
        <v>23</v>
      </c>
      <c r="AE115" s="24"/>
    </row>
    <row r="116" spans="2:31" ht="39.950000000000003" customHeight="1" x14ac:dyDescent="0.3">
      <c r="B116" s="107">
        <v>24036</v>
      </c>
      <c r="C116" s="12">
        <f t="shared" si="3"/>
        <v>111</v>
      </c>
      <c r="D116" s="105" t="str">
        <f>IFERROR(" "&amp;VLOOKUP(B116,현장리스트!$B:$C,2,0),"-")</f>
        <v xml:space="preserve"> [1.중흥건설] 인천 검단지구 공동주택용지 AB20-2BL 중흥S-클래스 공동주택 신축공사</v>
      </c>
      <c r="E116" s="13" t="s">
        <v>1869</v>
      </c>
      <c r="F116" s="13" t="str">
        <f t="shared" ca="1" si="4"/>
        <v>32세</v>
      </c>
      <c r="G116" s="14" t="s">
        <v>1870</v>
      </c>
      <c r="H116" s="15" t="str">
        <f t="shared" si="5"/>
        <v>남</v>
      </c>
      <c r="I116" s="16" t="s">
        <v>901</v>
      </c>
      <c r="J116" s="16" t="s">
        <v>30</v>
      </c>
      <c r="K116" s="17">
        <v>200000</v>
      </c>
      <c r="L116" s="18" t="s">
        <v>1871</v>
      </c>
      <c r="M116" s="19" t="s">
        <v>910</v>
      </c>
      <c r="N116" s="19" t="s">
        <v>1007</v>
      </c>
      <c r="O116" s="20">
        <v>10</v>
      </c>
      <c r="P116" s="23" t="s">
        <v>23</v>
      </c>
      <c r="Q116" s="21" t="str">
        <f>VLOOKUP(C116,'2-1. 인사고과표(기능)'!B:AS,44,0)</f>
        <v>A</v>
      </c>
      <c r="R116" s="21" t="str">
        <f>VLOOKUP(C116,'2-2. 인사고과표(안전)'!B:AO,40,0)</f>
        <v>S</v>
      </c>
      <c r="S116" s="18"/>
      <c r="T116" s="19"/>
      <c r="U116" s="19"/>
      <c r="V116" s="19"/>
      <c r="W116" s="19" t="s">
        <v>456</v>
      </c>
      <c r="X116" s="22" t="s">
        <v>2755</v>
      </c>
      <c r="Y116" s="23" t="s">
        <v>23</v>
      </c>
      <c r="Z116" s="19"/>
      <c r="AA116" s="19" t="s">
        <v>2756</v>
      </c>
      <c r="AB116" s="22" t="s">
        <v>2757</v>
      </c>
      <c r="AC116" s="19" t="s">
        <v>2758</v>
      </c>
      <c r="AD116" s="23" t="s">
        <v>23</v>
      </c>
      <c r="AE116" s="24"/>
    </row>
    <row r="117" spans="2:31" ht="39.950000000000003" customHeight="1" x14ac:dyDescent="0.3">
      <c r="B117" s="107">
        <v>24036</v>
      </c>
      <c r="C117" s="12">
        <f t="shared" si="3"/>
        <v>112</v>
      </c>
      <c r="D117" s="105" t="str">
        <f>IFERROR(" "&amp;VLOOKUP(B117,현장리스트!$B:$C,2,0),"-")</f>
        <v xml:space="preserve"> [1.중흥건설] 인천 검단지구 공동주택용지 AB20-2BL 중흥S-클래스 공동주택 신축공사</v>
      </c>
      <c r="E117" s="13" t="s">
        <v>2395</v>
      </c>
      <c r="F117" s="13" t="str">
        <f t="shared" ca="1" si="4"/>
        <v>25세</v>
      </c>
      <c r="G117" s="14" t="s">
        <v>2396</v>
      </c>
      <c r="H117" s="15" t="str">
        <f t="shared" si="5"/>
        <v>남</v>
      </c>
      <c r="I117" s="16" t="s">
        <v>901</v>
      </c>
      <c r="J117" s="16" t="s">
        <v>30</v>
      </c>
      <c r="K117" s="17">
        <v>170000</v>
      </c>
      <c r="L117" s="18" t="s">
        <v>1729</v>
      </c>
      <c r="M117" s="19" t="s">
        <v>910</v>
      </c>
      <c r="N117" s="19" t="s">
        <v>995</v>
      </c>
      <c r="O117" s="20">
        <v>4</v>
      </c>
      <c r="P117" s="23" t="s">
        <v>23</v>
      </c>
      <c r="Q117" s="21" t="str">
        <f>VLOOKUP(C117,'2-1. 인사고과표(기능)'!B:AS,44,0)</f>
        <v>A</v>
      </c>
      <c r="R117" s="21" t="str">
        <f>VLOOKUP(C117,'2-2. 인사고과표(안전)'!B:AO,40,0)</f>
        <v>A</v>
      </c>
      <c r="S117" s="18"/>
      <c r="T117" s="19"/>
      <c r="U117" s="19"/>
      <c r="V117" s="19"/>
      <c r="W117" s="19" t="s">
        <v>456</v>
      </c>
      <c r="X117" s="22" t="s">
        <v>2755</v>
      </c>
      <c r="Y117" s="23" t="s">
        <v>23</v>
      </c>
      <c r="Z117" s="19"/>
      <c r="AA117" s="19" t="s">
        <v>398</v>
      </c>
      <c r="AB117" s="22" t="s">
        <v>2759</v>
      </c>
      <c r="AC117" s="19" t="s">
        <v>2760</v>
      </c>
      <c r="AD117" s="23" t="s">
        <v>23</v>
      </c>
      <c r="AE117" s="24"/>
    </row>
    <row r="118" spans="2:31" ht="39.950000000000003" customHeight="1" x14ac:dyDescent="0.3">
      <c r="B118" s="107">
        <v>24036</v>
      </c>
      <c r="C118" s="12">
        <f t="shared" si="3"/>
        <v>113</v>
      </c>
      <c r="D118" s="105" t="str">
        <f>IFERROR(" "&amp;VLOOKUP(B118,현장리스트!$B:$C,2,0),"-")</f>
        <v xml:space="preserve"> [1.중흥건설] 인천 검단지구 공동주택용지 AB20-2BL 중흥S-클래스 공동주택 신축공사</v>
      </c>
      <c r="E118" s="13" t="s">
        <v>1727</v>
      </c>
      <c r="F118" s="13" t="str">
        <f t="shared" ca="1" si="4"/>
        <v>25세</v>
      </c>
      <c r="G118" s="14" t="s">
        <v>1728</v>
      </c>
      <c r="H118" s="15" t="str">
        <f t="shared" si="5"/>
        <v>남</v>
      </c>
      <c r="I118" s="16" t="s">
        <v>901</v>
      </c>
      <c r="J118" s="16" t="s">
        <v>902</v>
      </c>
      <c r="K118" s="17">
        <v>170000</v>
      </c>
      <c r="L118" s="18" t="s">
        <v>1729</v>
      </c>
      <c r="M118" s="19" t="s">
        <v>910</v>
      </c>
      <c r="N118" s="19" t="s">
        <v>911</v>
      </c>
      <c r="O118" s="20">
        <v>3</v>
      </c>
      <c r="P118" s="23" t="s">
        <v>23</v>
      </c>
      <c r="Q118" s="21" t="str">
        <f>VLOOKUP(C118,'2-1. 인사고과표(기능)'!B:AS,44,0)</f>
        <v>A</v>
      </c>
      <c r="R118" s="21" t="str">
        <f>VLOOKUP(C118,'2-2. 인사고과표(안전)'!B:AO,40,0)</f>
        <v>A</v>
      </c>
      <c r="S118" s="18"/>
      <c r="T118" s="19"/>
      <c r="U118" s="19"/>
      <c r="V118" s="19"/>
      <c r="W118" s="19"/>
      <c r="X118" s="22"/>
      <c r="Y118" s="23"/>
      <c r="Z118" s="19"/>
      <c r="AA118" s="19" t="s">
        <v>2635</v>
      </c>
      <c r="AB118" s="22" t="s">
        <v>2761</v>
      </c>
      <c r="AC118" s="19" t="s">
        <v>2751</v>
      </c>
      <c r="AD118" s="23" t="s">
        <v>23</v>
      </c>
      <c r="AE118" s="24"/>
    </row>
    <row r="119" spans="2:31" ht="39.950000000000003" customHeight="1" x14ac:dyDescent="0.3">
      <c r="B119" s="107">
        <v>24036</v>
      </c>
      <c r="C119" s="12">
        <f t="shared" si="3"/>
        <v>114</v>
      </c>
      <c r="D119" s="105" t="str">
        <f>IFERROR(" "&amp;VLOOKUP(B119,현장리스트!$B:$C,2,0),"-")</f>
        <v xml:space="preserve"> [1.중흥건설] 인천 검단지구 공동주택용지 AB20-2BL 중흥S-클래스 공동주택 신축공사</v>
      </c>
      <c r="E119" s="13" t="s">
        <v>1246</v>
      </c>
      <c r="F119" s="13" t="str">
        <f t="shared" ca="1" si="4"/>
        <v>25세</v>
      </c>
      <c r="G119" s="14" t="s">
        <v>1247</v>
      </c>
      <c r="H119" s="15" t="str">
        <f t="shared" si="5"/>
        <v>남</v>
      </c>
      <c r="I119" s="16" t="s">
        <v>901</v>
      </c>
      <c r="J119" s="16" t="s">
        <v>902</v>
      </c>
      <c r="K119" s="17">
        <v>150000</v>
      </c>
      <c r="L119" s="18" t="s">
        <v>1248</v>
      </c>
      <c r="M119" s="19" t="s">
        <v>910</v>
      </c>
      <c r="N119" s="19" t="s">
        <v>1007</v>
      </c>
      <c r="O119" s="20">
        <v>1</v>
      </c>
      <c r="P119" s="23" t="s">
        <v>23</v>
      </c>
      <c r="Q119" s="21" t="str">
        <f>VLOOKUP(C119,'2-1. 인사고과표(기능)'!B:AS,44,0)</f>
        <v>A</v>
      </c>
      <c r="R119" s="21" t="str">
        <f>VLOOKUP(C119,'2-2. 인사고과표(안전)'!B:AO,40,0)</f>
        <v>A</v>
      </c>
      <c r="S119" s="18"/>
      <c r="T119" s="19"/>
      <c r="U119" s="19"/>
      <c r="V119" s="19"/>
      <c r="W119" s="19"/>
      <c r="X119" s="22"/>
      <c r="Y119" s="23"/>
      <c r="Z119" s="19"/>
      <c r="AA119" s="19"/>
      <c r="AB119" s="22"/>
      <c r="AC119" s="19"/>
      <c r="AD119" s="23"/>
      <c r="AE119" s="24"/>
    </row>
    <row r="120" spans="2:31" ht="39.950000000000003" customHeight="1" x14ac:dyDescent="0.3">
      <c r="B120" s="107">
        <v>24036</v>
      </c>
      <c r="C120" s="12">
        <f t="shared" si="3"/>
        <v>115</v>
      </c>
      <c r="D120" s="105" t="str">
        <f>IFERROR(" "&amp;VLOOKUP(B120,현장리스트!$B:$C,2,0),"-")</f>
        <v xml:space="preserve"> [1.중흥건설] 인천 검단지구 공동주택용지 AB20-2BL 중흥S-클래스 공동주택 신축공사</v>
      </c>
      <c r="E120" s="13" t="s">
        <v>1296</v>
      </c>
      <c r="F120" s="13" t="str">
        <f t="shared" ca="1" si="4"/>
        <v>53세</v>
      </c>
      <c r="G120" s="14" t="s">
        <v>1297</v>
      </c>
      <c r="H120" s="15" t="str">
        <f t="shared" si="5"/>
        <v>남</v>
      </c>
      <c r="I120" s="16" t="s">
        <v>901</v>
      </c>
      <c r="J120" s="16" t="s">
        <v>902</v>
      </c>
      <c r="K120" s="17">
        <v>180000</v>
      </c>
      <c r="L120" s="18" t="s">
        <v>1298</v>
      </c>
      <c r="M120" s="19" t="s">
        <v>914</v>
      </c>
      <c r="N120" s="19" t="s">
        <v>2611</v>
      </c>
      <c r="O120" s="20">
        <v>2</v>
      </c>
      <c r="P120" s="23" t="s">
        <v>23</v>
      </c>
      <c r="Q120" s="21" t="str">
        <f>VLOOKUP(C120,'2-1. 인사고과표(기능)'!B:AS,44,0)</f>
        <v>A</v>
      </c>
      <c r="R120" s="21" t="str">
        <f>VLOOKUP(C120,'2-2. 인사고과표(안전)'!B:AO,40,0)</f>
        <v>A</v>
      </c>
      <c r="S120" s="18"/>
      <c r="T120" s="19"/>
      <c r="U120" s="19"/>
      <c r="V120" s="19"/>
      <c r="W120" s="19"/>
      <c r="X120" s="22"/>
      <c r="Y120" s="23"/>
      <c r="Z120" s="19"/>
      <c r="AA120" s="19"/>
      <c r="AB120" s="22"/>
      <c r="AC120" s="19"/>
      <c r="AD120" s="23"/>
      <c r="AE120" s="24"/>
    </row>
    <row r="121" spans="2:31" ht="39.950000000000003" customHeight="1" x14ac:dyDescent="0.3">
      <c r="B121" s="107">
        <v>22075</v>
      </c>
      <c r="C121" s="12">
        <f t="shared" si="3"/>
        <v>116</v>
      </c>
      <c r="D121" s="105" t="str">
        <f>IFERROR(" "&amp;VLOOKUP(B121,현장리스트!$B:$C,2,0),"-")</f>
        <v xml:space="preserve"> [1.진흥기업] 해링턴 플레이스 감삼 신축공사</v>
      </c>
      <c r="E121" s="13" t="s">
        <v>305</v>
      </c>
      <c r="F121" s="13" t="str">
        <f t="shared" ca="1" si="4"/>
        <v>42세</v>
      </c>
      <c r="G121" s="14" t="s">
        <v>2793</v>
      </c>
      <c r="H121" s="15" t="str">
        <f t="shared" si="5"/>
        <v>남</v>
      </c>
      <c r="I121" s="16" t="s">
        <v>895</v>
      </c>
      <c r="J121" s="16" t="s">
        <v>896</v>
      </c>
      <c r="K121" s="17">
        <v>6200000</v>
      </c>
      <c r="L121" s="18" t="s">
        <v>19</v>
      </c>
      <c r="M121" s="19" t="s">
        <v>928</v>
      </c>
      <c r="N121" s="19" t="s">
        <v>931</v>
      </c>
      <c r="O121" s="20">
        <v>10</v>
      </c>
      <c r="P121" s="23" t="s">
        <v>23</v>
      </c>
      <c r="Q121" s="21" t="str">
        <f>VLOOKUP(C121,'2-1. 인사고과표(기능)'!B:AS,44,0)</f>
        <v>A</v>
      </c>
      <c r="R121" s="21" t="str">
        <f>VLOOKUP(C121,'2-2. 인사고과표(안전)'!B:AO,40,0)</f>
        <v>A</v>
      </c>
      <c r="S121" s="18"/>
      <c r="T121" s="19"/>
      <c r="U121" s="19" t="s">
        <v>2765</v>
      </c>
      <c r="V121" s="19"/>
      <c r="W121" s="19"/>
      <c r="X121" s="22"/>
      <c r="Y121" s="23"/>
      <c r="Z121" s="19"/>
      <c r="AA121" s="19" t="s">
        <v>2807</v>
      </c>
      <c r="AB121" s="22" t="s">
        <v>2808</v>
      </c>
      <c r="AC121" s="19"/>
      <c r="AD121" s="23" t="s">
        <v>23</v>
      </c>
      <c r="AE121" s="24"/>
    </row>
    <row r="122" spans="2:31" ht="39.950000000000003" customHeight="1" x14ac:dyDescent="0.3">
      <c r="B122" s="107">
        <v>22075</v>
      </c>
      <c r="C122" s="12">
        <f t="shared" si="3"/>
        <v>117</v>
      </c>
      <c r="D122" s="105" t="str">
        <f>IFERROR(" "&amp;VLOOKUP(B122,현장리스트!$B:$C,2,0),"-")</f>
        <v xml:space="preserve"> [1.진흥기업] 해링턴 플레이스 감삼 신축공사</v>
      </c>
      <c r="E122" s="13" t="s">
        <v>1030</v>
      </c>
      <c r="F122" s="13" t="str">
        <f t="shared" ca="1" si="4"/>
        <v>45세</v>
      </c>
      <c r="G122" s="14" t="s">
        <v>2794</v>
      </c>
      <c r="H122" s="15" t="str">
        <f t="shared" si="5"/>
        <v>남</v>
      </c>
      <c r="I122" s="16" t="s">
        <v>901</v>
      </c>
      <c r="J122" s="16" t="s">
        <v>30</v>
      </c>
      <c r="K122" s="17">
        <v>200000</v>
      </c>
      <c r="L122" s="18" t="s">
        <v>19</v>
      </c>
      <c r="M122" s="19" t="s">
        <v>928</v>
      </c>
      <c r="N122" s="19" t="s">
        <v>918</v>
      </c>
      <c r="O122" s="20">
        <v>10</v>
      </c>
      <c r="P122" s="23" t="s">
        <v>23</v>
      </c>
      <c r="Q122" s="21" t="str">
        <f>VLOOKUP(C122,'2-1. 인사고과표(기능)'!B:AS,44,0)</f>
        <v>A</v>
      </c>
      <c r="R122" s="21" t="str">
        <f>VLOOKUP(C122,'2-2. 인사고과표(안전)'!B:AO,40,0)</f>
        <v>A</v>
      </c>
      <c r="S122" s="18"/>
      <c r="T122" s="19"/>
      <c r="U122" s="19"/>
      <c r="V122" s="19"/>
      <c r="W122" s="19"/>
      <c r="X122" s="22"/>
      <c r="Y122" s="23"/>
      <c r="Z122" s="19"/>
      <c r="AA122" s="19" t="s">
        <v>2695</v>
      </c>
      <c r="AB122" s="22" t="s">
        <v>2809</v>
      </c>
      <c r="AC122" s="19"/>
      <c r="AD122" s="23" t="s">
        <v>23</v>
      </c>
      <c r="AE122" s="24"/>
    </row>
    <row r="123" spans="2:31" ht="39.950000000000003" customHeight="1" x14ac:dyDescent="0.3">
      <c r="B123" s="107">
        <v>22075</v>
      </c>
      <c r="C123" s="12">
        <f t="shared" si="3"/>
        <v>118</v>
      </c>
      <c r="D123" s="105" t="str">
        <f>IFERROR(" "&amp;VLOOKUP(B123,현장리스트!$B:$C,2,0),"-")</f>
        <v xml:space="preserve"> [1.진흥기업] 해링턴 플레이스 감삼 신축공사</v>
      </c>
      <c r="E123" s="13" t="s">
        <v>1097</v>
      </c>
      <c r="F123" s="13" t="str">
        <f t="shared" ca="1" si="4"/>
        <v>54세</v>
      </c>
      <c r="G123" s="14" t="s">
        <v>2795</v>
      </c>
      <c r="H123" s="15" t="str">
        <f t="shared" si="5"/>
        <v>남</v>
      </c>
      <c r="I123" s="16" t="s">
        <v>901</v>
      </c>
      <c r="J123" s="16" t="s">
        <v>30</v>
      </c>
      <c r="K123" s="17">
        <v>200000</v>
      </c>
      <c r="L123" s="18" t="s">
        <v>19</v>
      </c>
      <c r="M123" s="19" t="s">
        <v>928</v>
      </c>
      <c r="N123" s="19" t="s">
        <v>931</v>
      </c>
      <c r="O123" s="20">
        <v>30</v>
      </c>
      <c r="P123" s="23" t="s">
        <v>23</v>
      </c>
      <c r="Q123" s="21" t="str">
        <f>VLOOKUP(C123,'2-1. 인사고과표(기능)'!B:AS,44,0)</f>
        <v>A</v>
      </c>
      <c r="R123" s="21" t="str">
        <f>VLOOKUP(C123,'2-2. 인사고과표(안전)'!B:AO,40,0)</f>
        <v>A</v>
      </c>
      <c r="S123" s="18"/>
      <c r="T123" s="19"/>
      <c r="U123" s="19"/>
      <c r="V123" s="19"/>
      <c r="W123" s="19" t="s">
        <v>456</v>
      </c>
      <c r="X123" s="22" t="s">
        <v>2810</v>
      </c>
      <c r="Y123" s="23" t="s">
        <v>23</v>
      </c>
      <c r="Z123" s="19"/>
      <c r="AA123" s="19"/>
      <c r="AB123" s="22"/>
      <c r="AC123" s="19"/>
      <c r="AD123" s="23"/>
      <c r="AE123" s="24"/>
    </row>
    <row r="124" spans="2:31" ht="39.950000000000003" customHeight="1" x14ac:dyDescent="0.3">
      <c r="B124" s="107">
        <v>22075</v>
      </c>
      <c r="C124" s="12">
        <f t="shared" si="3"/>
        <v>119</v>
      </c>
      <c r="D124" s="105" t="str">
        <f>IFERROR(" "&amp;VLOOKUP(B124,현장리스트!$B:$C,2,0),"-")</f>
        <v xml:space="preserve"> [1.진흥기업] 해링턴 플레이스 감삼 신축공사</v>
      </c>
      <c r="E124" s="13" t="s">
        <v>1186</v>
      </c>
      <c r="F124" s="13" t="str">
        <f t="shared" ca="1" si="4"/>
        <v>27세</v>
      </c>
      <c r="G124" s="14" t="s">
        <v>2796</v>
      </c>
      <c r="H124" s="15" t="str">
        <f t="shared" si="5"/>
        <v>남</v>
      </c>
      <c r="I124" s="16" t="s">
        <v>901</v>
      </c>
      <c r="J124" s="16" t="s">
        <v>30</v>
      </c>
      <c r="K124" s="17">
        <v>190000</v>
      </c>
      <c r="L124" s="18" t="s">
        <v>19</v>
      </c>
      <c r="M124" s="19" t="s">
        <v>920</v>
      </c>
      <c r="N124" s="19" t="s">
        <v>2622</v>
      </c>
      <c r="O124" s="20">
        <v>5</v>
      </c>
      <c r="P124" s="23" t="s">
        <v>23</v>
      </c>
      <c r="Q124" s="21" t="str">
        <f>VLOOKUP(C124,'2-1. 인사고과표(기능)'!B:AS,44,0)</f>
        <v>A</v>
      </c>
      <c r="R124" s="21" t="str">
        <f>VLOOKUP(C124,'2-2. 인사고과표(안전)'!B:AO,40,0)</f>
        <v>A</v>
      </c>
      <c r="S124" s="18"/>
      <c r="T124" s="19"/>
      <c r="U124" s="19"/>
      <c r="V124" s="19"/>
      <c r="W124" s="19" t="s">
        <v>456</v>
      </c>
      <c r="X124" s="22" t="s">
        <v>2810</v>
      </c>
      <c r="Y124" s="23" t="s">
        <v>23</v>
      </c>
      <c r="Z124" s="19"/>
      <c r="AA124" s="19"/>
      <c r="AB124" s="22"/>
      <c r="AC124" s="19"/>
      <c r="AD124" s="23"/>
      <c r="AE124" s="24"/>
    </row>
    <row r="125" spans="2:31" ht="39.950000000000003" customHeight="1" x14ac:dyDescent="0.3">
      <c r="B125" s="107">
        <v>22075</v>
      </c>
      <c r="C125" s="12">
        <f t="shared" si="3"/>
        <v>120</v>
      </c>
      <c r="D125" s="105" t="str">
        <f>IFERROR(" "&amp;VLOOKUP(B125,현장리스트!$B:$C,2,0),"-")</f>
        <v xml:space="preserve"> [1.진흥기업] 해링턴 플레이스 감삼 신축공사</v>
      </c>
      <c r="E125" s="13" t="s">
        <v>1530</v>
      </c>
      <c r="F125" s="13" t="str">
        <f t="shared" ca="1" si="4"/>
        <v>31세</v>
      </c>
      <c r="G125" s="14" t="s">
        <v>2797</v>
      </c>
      <c r="H125" s="15" t="str">
        <f t="shared" si="5"/>
        <v>남</v>
      </c>
      <c r="I125" s="16" t="s">
        <v>901</v>
      </c>
      <c r="J125" s="16" t="s">
        <v>902</v>
      </c>
      <c r="K125" s="17">
        <v>160000</v>
      </c>
      <c r="L125" s="18" t="s">
        <v>19</v>
      </c>
      <c r="M125" s="19" t="s">
        <v>928</v>
      </c>
      <c r="N125" s="19" t="s">
        <v>2806</v>
      </c>
      <c r="O125" s="20">
        <v>3</v>
      </c>
      <c r="P125" s="23" t="s">
        <v>23</v>
      </c>
      <c r="Q125" s="21" t="str">
        <f>VLOOKUP(C125,'2-1. 인사고과표(기능)'!B:AS,44,0)</f>
        <v>B</v>
      </c>
      <c r="R125" s="21" t="str">
        <f>VLOOKUP(C125,'2-2. 인사고과표(안전)'!B:AO,40,0)</f>
        <v>S</v>
      </c>
      <c r="S125" s="18"/>
      <c r="T125" s="19"/>
      <c r="U125" s="19"/>
      <c r="V125" s="19"/>
      <c r="W125" s="19"/>
      <c r="X125" s="22"/>
      <c r="Y125" s="23"/>
      <c r="Z125" s="19"/>
      <c r="AA125" s="19" t="s">
        <v>2646</v>
      </c>
      <c r="AB125" s="22" t="s">
        <v>2811</v>
      </c>
      <c r="AC125" s="19"/>
      <c r="AD125" s="23" t="s">
        <v>23</v>
      </c>
      <c r="AE125" s="24"/>
    </row>
    <row r="126" spans="2:31" ht="39.950000000000003" customHeight="1" x14ac:dyDescent="0.3">
      <c r="B126" s="107">
        <v>22075</v>
      </c>
      <c r="C126" s="12">
        <f t="shared" si="3"/>
        <v>121</v>
      </c>
      <c r="D126" s="105" t="str">
        <f>IFERROR(" "&amp;VLOOKUP(B126,현장리스트!$B:$C,2,0),"-")</f>
        <v xml:space="preserve"> [1.진흥기업] 해링턴 플레이스 감삼 신축공사</v>
      </c>
      <c r="E126" s="13" t="s">
        <v>1537</v>
      </c>
      <c r="F126" s="13" t="str">
        <f t="shared" ca="1" si="4"/>
        <v>55세</v>
      </c>
      <c r="G126" s="14" t="s">
        <v>2798</v>
      </c>
      <c r="H126" s="15" t="str">
        <f t="shared" si="5"/>
        <v>남</v>
      </c>
      <c r="I126" s="16" t="s">
        <v>901</v>
      </c>
      <c r="J126" s="16" t="s">
        <v>902</v>
      </c>
      <c r="K126" s="17">
        <v>160000</v>
      </c>
      <c r="L126" s="18" t="s">
        <v>19</v>
      </c>
      <c r="M126" s="19" t="s">
        <v>928</v>
      </c>
      <c r="N126" s="19" t="s">
        <v>995</v>
      </c>
      <c r="O126" s="20">
        <v>3</v>
      </c>
      <c r="P126" s="23" t="s">
        <v>23</v>
      </c>
      <c r="Q126" s="21" t="str">
        <f>VLOOKUP(C126,'2-1. 인사고과표(기능)'!B:AS,44,0)</f>
        <v>B</v>
      </c>
      <c r="R126" s="21" t="str">
        <f>VLOOKUP(C126,'2-2. 인사고과표(안전)'!B:AO,40,0)</f>
        <v>A</v>
      </c>
      <c r="S126" s="18"/>
      <c r="T126" s="19"/>
      <c r="U126" s="19"/>
      <c r="V126" s="19"/>
      <c r="W126" s="19" t="s">
        <v>456</v>
      </c>
      <c r="X126" s="22" t="s">
        <v>2810</v>
      </c>
      <c r="Y126" s="23" t="s">
        <v>23</v>
      </c>
      <c r="Z126" s="19"/>
      <c r="AA126" s="19"/>
      <c r="AB126" s="22"/>
      <c r="AC126" s="19"/>
      <c r="AD126" s="23"/>
      <c r="AE126" s="24"/>
    </row>
    <row r="127" spans="2:31" ht="39.950000000000003" customHeight="1" x14ac:dyDescent="0.3">
      <c r="B127" s="107">
        <v>22075</v>
      </c>
      <c r="C127" s="12">
        <f t="shared" si="3"/>
        <v>122</v>
      </c>
      <c r="D127" s="105" t="str">
        <f>IFERROR(" "&amp;VLOOKUP(B127,현장리스트!$B:$C,2,0),"-")</f>
        <v xml:space="preserve"> [1.진흥기업] 해링턴 플레이스 감삼 신축공사</v>
      </c>
      <c r="E127" s="13" t="s">
        <v>569</v>
      </c>
      <c r="F127" s="13" t="str">
        <f t="shared" ca="1" si="4"/>
        <v>58세</v>
      </c>
      <c r="G127" s="14" t="s">
        <v>2799</v>
      </c>
      <c r="H127" s="15" t="str">
        <f t="shared" si="5"/>
        <v>남</v>
      </c>
      <c r="I127" s="16" t="s">
        <v>901</v>
      </c>
      <c r="J127" s="16" t="s">
        <v>30</v>
      </c>
      <c r="K127" s="17">
        <v>210000</v>
      </c>
      <c r="L127" s="18" t="s">
        <v>19</v>
      </c>
      <c r="M127" s="19" t="s">
        <v>928</v>
      </c>
      <c r="N127" s="19" t="s">
        <v>2787</v>
      </c>
      <c r="O127" s="20">
        <v>30</v>
      </c>
      <c r="P127" s="23" t="s">
        <v>23</v>
      </c>
      <c r="Q127" s="21" t="str">
        <f>VLOOKUP(C127,'2-1. 인사고과표(기능)'!B:AS,44,0)</f>
        <v>S</v>
      </c>
      <c r="R127" s="21" t="str">
        <f>VLOOKUP(C127,'2-2. 인사고과표(안전)'!B:AO,40,0)</f>
        <v>S</v>
      </c>
      <c r="S127" s="18"/>
      <c r="T127" s="19"/>
      <c r="U127" s="19"/>
      <c r="V127" s="19"/>
      <c r="W127" s="19" t="s">
        <v>456</v>
      </c>
      <c r="X127" s="22" t="s">
        <v>2810</v>
      </c>
      <c r="Y127" s="23" t="s">
        <v>23</v>
      </c>
      <c r="Z127" s="19"/>
      <c r="AA127" s="19" t="s">
        <v>2695</v>
      </c>
      <c r="AB127" s="22" t="s">
        <v>2812</v>
      </c>
      <c r="AC127" s="19"/>
      <c r="AD127" s="23" t="s">
        <v>23</v>
      </c>
      <c r="AE127" s="24"/>
    </row>
    <row r="128" spans="2:31" ht="39.950000000000003" customHeight="1" x14ac:dyDescent="0.3">
      <c r="B128" s="107">
        <v>22075</v>
      </c>
      <c r="C128" s="12">
        <f t="shared" si="3"/>
        <v>123</v>
      </c>
      <c r="D128" s="105" t="str">
        <f>IFERROR(" "&amp;VLOOKUP(B128,현장리스트!$B:$C,2,0),"-")</f>
        <v xml:space="preserve"> [1.진흥기업] 해링턴 플레이스 감삼 신축공사</v>
      </c>
      <c r="E128" s="13" t="s">
        <v>1635</v>
      </c>
      <c r="F128" s="13" t="str">
        <f t="shared" ca="1" si="4"/>
        <v>52세</v>
      </c>
      <c r="G128" s="14" t="s">
        <v>2800</v>
      </c>
      <c r="H128" s="15" t="str">
        <f t="shared" si="5"/>
        <v>남</v>
      </c>
      <c r="I128" s="16" t="s">
        <v>901</v>
      </c>
      <c r="J128" s="16" t="s">
        <v>30</v>
      </c>
      <c r="K128" s="17">
        <v>200000</v>
      </c>
      <c r="L128" s="18" t="s">
        <v>19</v>
      </c>
      <c r="M128" s="19" t="s">
        <v>928</v>
      </c>
      <c r="N128" s="19" t="s">
        <v>931</v>
      </c>
      <c r="O128" s="20">
        <v>15</v>
      </c>
      <c r="P128" s="23" t="s">
        <v>23</v>
      </c>
      <c r="Q128" s="21" t="str">
        <f>VLOOKUP(C128,'2-1. 인사고과표(기능)'!B:AS,44,0)</f>
        <v>B</v>
      </c>
      <c r="R128" s="21" t="str">
        <f>VLOOKUP(C128,'2-2. 인사고과표(안전)'!B:AO,40,0)</f>
        <v>B</v>
      </c>
      <c r="S128" s="18"/>
      <c r="T128" s="19"/>
      <c r="U128" s="19"/>
      <c r="V128" s="19"/>
      <c r="W128" s="19" t="s">
        <v>456</v>
      </c>
      <c r="X128" s="22" t="s">
        <v>2810</v>
      </c>
      <c r="Y128" s="23" t="s">
        <v>23</v>
      </c>
      <c r="Z128" s="19"/>
      <c r="AA128" s="19"/>
      <c r="AB128" s="22"/>
      <c r="AC128" s="19"/>
      <c r="AD128" s="23"/>
      <c r="AE128" s="24"/>
    </row>
    <row r="129" spans="2:31" ht="39.950000000000003" customHeight="1" x14ac:dyDescent="0.3">
      <c r="B129" s="107">
        <v>22075</v>
      </c>
      <c r="C129" s="12">
        <f t="shared" si="3"/>
        <v>124</v>
      </c>
      <c r="D129" s="105" t="str">
        <f>IFERROR(" "&amp;VLOOKUP(B129,현장리스트!$B:$C,2,0),"-")</f>
        <v xml:space="preserve"> [1.진흥기업] 해링턴 플레이스 감삼 신축공사</v>
      </c>
      <c r="E129" s="13" t="s">
        <v>1731</v>
      </c>
      <c r="F129" s="13" t="str">
        <f t="shared" ca="1" si="4"/>
        <v>55세</v>
      </c>
      <c r="G129" s="14" t="s">
        <v>2801</v>
      </c>
      <c r="H129" s="15" t="str">
        <f t="shared" si="5"/>
        <v>남</v>
      </c>
      <c r="I129" s="16" t="s">
        <v>901</v>
      </c>
      <c r="J129" s="16" t="s">
        <v>30</v>
      </c>
      <c r="K129" s="17">
        <v>220000</v>
      </c>
      <c r="L129" s="18" t="s">
        <v>19</v>
      </c>
      <c r="M129" s="19" t="s">
        <v>928</v>
      </c>
      <c r="N129" s="19" t="s">
        <v>2787</v>
      </c>
      <c r="O129" s="20">
        <v>30</v>
      </c>
      <c r="P129" s="23" t="s">
        <v>23</v>
      </c>
      <c r="Q129" s="21" t="str">
        <f>VLOOKUP(C129,'2-1. 인사고과표(기능)'!B:AS,44,0)</f>
        <v>S</v>
      </c>
      <c r="R129" s="21" t="str">
        <f>VLOOKUP(C129,'2-2. 인사고과표(안전)'!B:AO,40,0)</f>
        <v>S</v>
      </c>
      <c r="S129" s="18"/>
      <c r="T129" s="19"/>
      <c r="U129" s="19"/>
      <c r="V129" s="19"/>
      <c r="W129" s="19"/>
      <c r="X129" s="22"/>
      <c r="Y129" s="23"/>
      <c r="Z129" s="19"/>
      <c r="AA129" s="19" t="s">
        <v>2813</v>
      </c>
      <c r="AB129" s="22" t="s">
        <v>2814</v>
      </c>
      <c r="AC129" s="19"/>
      <c r="AD129" s="23" t="s">
        <v>23</v>
      </c>
      <c r="AE129" s="24"/>
    </row>
    <row r="130" spans="2:31" ht="39.950000000000003" customHeight="1" x14ac:dyDescent="0.3">
      <c r="B130" s="107">
        <v>22075</v>
      </c>
      <c r="C130" s="12">
        <f t="shared" si="3"/>
        <v>125</v>
      </c>
      <c r="D130" s="105" t="str">
        <f>IFERROR(" "&amp;VLOOKUP(B130,현장리스트!$B:$C,2,0),"-")</f>
        <v xml:space="preserve"> [1.진흥기업] 해링턴 플레이스 감삼 신축공사</v>
      </c>
      <c r="E130" s="13" t="s">
        <v>2200</v>
      </c>
      <c r="F130" s="13" t="str">
        <f t="shared" ca="1" si="4"/>
        <v>52세</v>
      </c>
      <c r="G130" s="14" t="s">
        <v>2802</v>
      </c>
      <c r="H130" s="15" t="str">
        <f t="shared" si="5"/>
        <v>남</v>
      </c>
      <c r="I130" s="16" t="s">
        <v>901</v>
      </c>
      <c r="J130" s="16" t="s">
        <v>30</v>
      </c>
      <c r="K130" s="17">
        <v>210000</v>
      </c>
      <c r="L130" s="18" t="s">
        <v>19</v>
      </c>
      <c r="M130" s="19" t="s">
        <v>928</v>
      </c>
      <c r="N130" s="19" t="s">
        <v>2806</v>
      </c>
      <c r="O130" s="20">
        <v>30</v>
      </c>
      <c r="P130" s="23" t="s">
        <v>23</v>
      </c>
      <c r="Q130" s="21" t="str">
        <f>VLOOKUP(C130,'2-1. 인사고과표(기능)'!B:AS,44,0)</f>
        <v>S</v>
      </c>
      <c r="R130" s="21" t="str">
        <f>VLOOKUP(C130,'2-2. 인사고과표(안전)'!B:AO,40,0)</f>
        <v>S</v>
      </c>
      <c r="S130" s="18"/>
      <c r="T130" s="19"/>
      <c r="U130" s="19"/>
      <c r="V130" s="19"/>
      <c r="W130" s="19"/>
      <c r="X130" s="22"/>
      <c r="Y130" s="23"/>
      <c r="Z130" s="19"/>
      <c r="AA130" s="19" t="s">
        <v>2646</v>
      </c>
      <c r="AB130" s="22" t="s">
        <v>2811</v>
      </c>
      <c r="AC130" s="19"/>
      <c r="AD130" s="23" t="s">
        <v>23</v>
      </c>
      <c r="AE130" s="24"/>
    </row>
    <row r="131" spans="2:31" ht="39.950000000000003" customHeight="1" x14ac:dyDescent="0.3">
      <c r="B131" s="107">
        <v>22075</v>
      </c>
      <c r="C131" s="12">
        <f t="shared" si="3"/>
        <v>126</v>
      </c>
      <c r="D131" s="105" t="str">
        <f>IFERROR(" "&amp;VLOOKUP(B131,현장리스트!$B:$C,2,0),"-")</f>
        <v xml:space="preserve"> [1.진흥기업] 해링턴 플레이스 감삼 신축공사</v>
      </c>
      <c r="E131" s="13" t="s">
        <v>2209</v>
      </c>
      <c r="F131" s="13" t="str">
        <f t="shared" ca="1" si="4"/>
        <v>52세</v>
      </c>
      <c r="G131" s="14" t="s">
        <v>2803</v>
      </c>
      <c r="H131" s="15" t="str">
        <f t="shared" si="5"/>
        <v>남</v>
      </c>
      <c r="I131" s="16" t="s">
        <v>901</v>
      </c>
      <c r="J131" s="16" t="s">
        <v>30</v>
      </c>
      <c r="K131" s="17">
        <v>210000</v>
      </c>
      <c r="L131" s="18" t="s">
        <v>19</v>
      </c>
      <c r="M131" s="19" t="s">
        <v>928</v>
      </c>
      <c r="N131" s="19" t="s">
        <v>918</v>
      </c>
      <c r="O131" s="20">
        <v>30</v>
      </c>
      <c r="P131" s="23" t="s">
        <v>23</v>
      </c>
      <c r="Q131" s="21" t="str">
        <f>VLOOKUP(C131,'2-1. 인사고과표(기능)'!B:AS,44,0)</f>
        <v>S</v>
      </c>
      <c r="R131" s="21" t="str">
        <f>VLOOKUP(C131,'2-2. 인사고과표(안전)'!B:AO,40,0)</f>
        <v>S</v>
      </c>
      <c r="S131" s="18"/>
      <c r="T131" s="19"/>
      <c r="U131" s="19"/>
      <c r="V131" s="19"/>
      <c r="W131" s="19"/>
      <c r="X131" s="22"/>
      <c r="Y131" s="23"/>
      <c r="Z131" s="19"/>
      <c r="AA131" s="19" t="s">
        <v>2646</v>
      </c>
      <c r="AB131" s="22" t="s">
        <v>2811</v>
      </c>
      <c r="AC131" s="19"/>
      <c r="AD131" s="23" t="s">
        <v>23</v>
      </c>
      <c r="AE131" s="24"/>
    </row>
    <row r="132" spans="2:31" ht="39.950000000000003" customHeight="1" x14ac:dyDescent="0.3">
      <c r="B132" s="107">
        <v>22075</v>
      </c>
      <c r="C132" s="12">
        <f t="shared" si="3"/>
        <v>127</v>
      </c>
      <c r="D132" s="105" t="str">
        <f>IFERROR(" "&amp;VLOOKUP(B132,현장리스트!$B:$C,2,0),"-")</f>
        <v xml:space="preserve"> [1.진흥기업] 해링턴 플레이스 감삼 신축공사</v>
      </c>
      <c r="E132" s="13" t="s">
        <v>2218</v>
      </c>
      <c r="F132" s="13" t="str">
        <f t="shared" ca="1" si="4"/>
        <v>31세</v>
      </c>
      <c r="G132" s="14" t="s">
        <v>2804</v>
      </c>
      <c r="H132" s="15" t="str">
        <f t="shared" si="5"/>
        <v>남</v>
      </c>
      <c r="I132" s="16" t="s">
        <v>901</v>
      </c>
      <c r="J132" s="16" t="s">
        <v>30</v>
      </c>
      <c r="K132" s="17">
        <v>200000</v>
      </c>
      <c r="L132" s="18" t="s">
        <v>19</v>
      </c>
      <c r="M132" s="19" t="s">
        <v>928</v>
      </c>
      <c r="N132" s="19" t="s">
        <v>947</v>
      </c>
      <c r="O132" s="20">
        <v>9</v>
      </c>
      <c r="P132" s="23" t="s">
        <v>23</v>
      </c>
      <c r="Q132" s="21" t="str">
        <f>VLOOKUP(C132,'2-1. 인사고과표(기능)'!B:AS,44,0)</f>
        <v>S</v>
      </c>
      <c r="R132" s="21" t="str">
        <f>VLOOKUP(C132,'2-2. 인사고과표(안전)'!B:AO,40,0)</f>
        <v>S</v>
      </c>
      <c r="S132" s="18"/>
      <c r="T132" s="19"/>
      <c r="U132" s="19"/>
      <c r="V132" s="19"/>
      <c r="W132" s="19"/>
      <c r="X132" s="22"/>
      <c r="Y132" s="23"/>
      <c r="Z132" s="19"/>
      <c r="AA132" s="19" t="s">
        <v>2646</v>
      </c>
      <c r="AB132" s="22" t="s">
        <v>2811</v>
      </c>
      <c r="AC132" s="19"/>
      <c r="AD132" s="23" t="s">
        <v>23</v>
      </c>
      <c r="AE132" s="24"/>
    </row>
    <row r="133" spans="2:31" ht="39.950000000000003" customHeight="1" x14ac:dyDescent="0.3">
      <c r="B133" s="107">
        <v>22075</v>
      </c>
      <c r="C133" s="12">
        <f t="shared" si="3"/>
        <v>128</v>
      </c>
      <c r="D133" s="105" t="str">
        <f>IFERROR(" "&amp;VLOOKUP(B133,현장리스트!$B:$C,2,0),"-")</f>
        <v xml:space="preserve"> [1.진흥기업] 해링턴 플레이스 감삼 신축공사</v>
      </c>
      <c r="E133" s="13" t="s">
        <v>2269</v>
      </c>
      <c r="F133" s="13" t="str">
        <f t="shared" ca="1" si="4"/>
        <v>49세</v>
      </c>
      <c r="G133" s="14" t="s">
        <v>2805</v>
      </c>
      <c r="H133" s="15" t="str">
        <f t="shared" si="5"/>
        <v>남</v>
      </c>
      <c r="I133" s="16" t="s">
        <v>901</v>
      </c>
      <c r="J133" s="16" t="s">
        <v>30</v>
      </c>
      <c r="K133" s="17">
        <v>200000</v>
      </c>
      <c r="L133" s="18" t="s">
        <v>19</v>
      </c>
      <c r="M133" s="19" t="s">
        <v>928</v>
      </c>
      <c r="N133" s="19" t="s">
        <v>918</v>
      </c>
      <c r="O133" s="20">
        <v>20</v>
      </c>
      <c r="P133" s="23" t="s">
        <v>23</v>
      </c>
      <c r="Q133" s="21" t="str">
        <f>VLOOKUP(C133,'2-1. 인사고과표(기능)'!B:AS,44,0)</f>
        <v>A</v>
      </c>
      <c r="R133" s="21" t="str">
        <f>VLOOKUP(C133,'2-2. 인사고과표(안전)'!B:AO,40,0)</f>
        <v>A</v>
      </c>
      <c r="S133" s="18"/>
      <c r="T133" s="19"/>
      <c r="U133" s="19"/>
      <c r="V133" s="19"/>
      <c r="W133" s="19"/>
      <c r="X133" s="22"/>
      <c r="Y133" s="23"/>
      <c r="Z133" s="19"/>
      <c r="AA133" s="19" t="s">
        <v>2695</v>
      </c>
      <c r="AB133" s="22" t="s">
        <v>2809</v>
      </c>
      <c r="AC133" s="19"/>
      <c r="AD133" s="23" t="s">
        <v>23</v>
      </c>
      <c r="AE133" s="24"/>
    </row>
    <row r="134" spans="2:31" ht="39.950000000000003" customHeight="1" x14ac:dyDescent="0.3">
      <c r="B134" s="107">
        <v>24023</v>
      </c>
      <c r="C134" s="12">
        <f t="shared" ref="C134:C197" si="6">ROW()-5</f>
        <v>129</v>
      </c>
      <c r="D134" s="105" t="str">
        <f>IFERROR(" "&amp;VLOOKUP(B134,현장리스트!$B:$C,2,0),"-")</f>
        <v xml:space="preserve"> [1.포스코건설] 영종-청라 연결도로(제3연륙교) 건설공사 제2공구 전기 및 통신공사</v>
      </c>
      <c r="E134" s="13" t="s">
        <v>2250</v>
      </c>
      <c r="F134" s="13" t="str">
        <f t="shared" ref="F134:F197" ca="1" si="7">IFERROR(DATEDIF(MID(G134,1,2)&amp;"-"&amp;MID(G134,3,2)&amp;"-"&amp;MID(G134,5,2),TODAY(),"y")&amp;"세","")</f>
        <v>63세</v>
      </c>
      <c r="G134" s="14" t="s">
        <v>2251</v>
      </c>
      <c r="H134" s="15" t="str">
        <f t="shared" ref="H134:H197" si="8">IF(G134="","",IF(LEN(G134)&lt;14,"에러",IF(LEN(G134)&lt;14,"에러",IF(ISODD(MID(G134,8,1)),"남","여"))))</f>
        <v>남</v>
      </c>
      <c r="I134" s="16" t="s">
        <v>899</v>
      </c>
      <c r="J134" s="16" t="s">
        <v>903</v>
      </c>
      <c r="K134" s="17">
        <v>6000000</v>
      </c>
      <c r="L134" s="18" t="s">
        <v>2252</v>
      </c>
      <c r="M134" s="19" t="s">
        <v>3074</v>
      </c>
      <c r="N134" s="19" t="s">
        <v>2849</v>
      </c>
      <c r="O134" s="20">
        <v>35</v>
      </c>
      <c r="P134" s="23" t="s">
        <v>25</v>
      </c>
      <c r="Q134" s="21" t="str">
        <f>VLOOKUP(C134,'2-1. 인사고과표(기능)'!B:AS,44,0)</f>
        <v>S</v>
      </c>
      <c r="R134" s="21" t="str">
        <f>VLOOKUP(C134,'2-2. 인사고과표(안전)'!B:AO,40,0)</f>
        <v>A</v>
      </c>
      <c r="S134" s="18" t="s">
        <v>31</v>
      </c>
      <c r="T134" s="19" t="s">
        <v>2788</v>
      </c>
      <c r="U134" s="19" t="s">
        <v>32</v>
      </c>
      <c r="V134" s="19" t="s">
        <v>2567</v>
      </c>
      <c r="W134" s="19"/>
      <c r="X134" s="22" t="s">
        <v>2747</v>
      </c>
      <c r="Y134" s="23" t="s">
        <v>25</v>
      </c>
      <c r="Z134" s="19"/>
      <c r="AA134" s="19" t="s">
        <v>456</v>
      </c>
      <c r="AB134" s="22" t="s">
        <v>2899</v>
      </c>
      <c r="AC134" s="19" t="s">
        <v>2900</v>
      </c>
      <c r="AD134" s="23"/>
      <c r="AE134" s="24"/>
    </row>
    <row r="135" spans="2:31" ht="39.950000000000003" customHeight="1" x14ac:dyDescent="0.3">
      <c r="B135" s="107">
        <v>24023</v>
      </c>
      <c r="C135" s="12">
        <f t="shared" si="6"/>
        <v>130</v>
      </c>
      <c r="D135" s="105" t="str">
        <f>IFERROR(" "&amp;VLOOKUP(B135,현장리스트!$B:$C,2,0),"-")</f>
        <v xml:space="preserve"> [1.포스코건설] 영종-청라 연결도로(제3연륙교) 건설공사 제2공구 전기 및 통신공사</v>
      </c>
      <c r="E135" s="13" t="s">
        <v>551</v>
      </c>
      <c r="F135" s="13" t="str">
        <f t="shared" ca="1" si="7"/>
        <v>31세</v>
      </c>
      <c r="G135" s="14" t="s">
        <v>1935</v>
      </c>
      <c r="H135" s="15" t="str">
        <f t="shared" si="8"/>
        <v>남</v>
      </c>
      <c r="I135" s="16" t="s">
        <v>897</v>
      </c>
      <c r="J135" s="16" t="s">
        <v>900</v>
      </c>
      <c r="K135" s="17">
        <v>4000000</v>
      </c>
      <c r="L135" s="18" t="s">
        <v>1936</v>
      </c>
      <c r="M135" s="19" t="s">
        <v>3073</v>
      </c>
      <c r="N135" s="19" t="s">
        <v>2824</v>
      </c>
      <c r="O135" s="20">
        <v>3</v>
      </c>
      <c r="P135" s="23" t="s">
        <v>25</v>
      </c>
      <c r="Q135" s="21" t="str">
        <f>VLOOKUP(C135,'2-1. 인사고과표(기능)'!B:AS,44,0)</f>
        <v>A</v>
      </c>
      <c r="R135" s="21" t="str">
        <f>VLOOKUP(C135,'2-2. 인사고과표(안전)'!B:AO,40,0)</f>
        <v>A</v>
      </c>
      <c r="S135" s="18"/>
      <c r="T135" s="19"/>
      <c r="U135" s="19"/>
      <c r="V135" s="19"/>
      <c r="W135" s="19"/>
      <c r="X135" s="22"/>
      <c r="Y135" s="23"/>
      <c r="Z135" s="19"/>
      <c r="AA135" s="19" t="s">
        <v>456</v>
      </c>
      <c r="AB135" s="22" t="s">
        <v>2899</v>
      </c>
      <c r="AC135" s="19" t="s">
        <v>2900</v>
      </c>
      <c r="AD135" s="23"/>
      <c r="AE135" s="24"/>
    </row>
    <row r="136" spans="2:31" ht="39.950000000000003" customHeight="1" x14ac:dyDescent="0.3">
      <c r="B136" s="107">
        <v>24023</v>
      </c>
      <c r="C136" s="12">
        <f t="shared" si="6"/>
        <v>131</v>
      </c>
      <c r="D136" s="105" t="str">
        <f>IFERROR(" "&amp;VLOOKUP(B136,현장리스트!$B:$C,2,0),"-")</f>
        <v xml:space="preserve"> [1.포스코건설] 영종-청라 연결도로(제3연륙교) 건설공사 제2공구 전기 및 통신공사</v>
      </c>
      <c r="E136" s="13" t="s">
        <v>550</v>
      </c>
      <c r="F136" s="13" t="str">
        <f t="shared" ca="1" si="7"/>
        <v>39세</v>
      </c>
      <c r="G136" s="14" t="s">
        <v>1174</v>
      </c>
      <c r="H136" s="15" t="str">
        <f t="shared" si="8"/>
        <v>남</v>
      </c>
      <c r="I136" s="16" t="s">
        <v>895</v>
      </c>
      <c r="J136" s="16" t="s">
        <v>896</v>
      </c>
      <c r="K136" s="17">
        <v>5200000</v>
      </c>
      <c r="L136" s="18" t="s">
        <v>1175</v>
      </c>
      <c r="M136" s="19" t="s">
        <v>3073</v>
      </c>
      <c r="N136" s="19" t="s">
        <v>2626</v>
      </c>
      <c r="O136" s="20">
        <v>9</v>
      </c>
      <c r="P136" s="23" t="s">
        <v>23</v>
      </c>
      <c r="Q136" s="21" t="str">
        <f>VLOOKUP(C136,'2-1. 인사고과표(기능)'!B:AS,44,0)</f>
        <v>A</v>
      </c>
      <c r="R136" s="21" t="str">
        <f>VLOOKUP(C136,'2-2. 인사고과표(안전)'!B:AO,40,0)</f>
        <v>A</v>
      </c>
      <c r="S136" s="18"/>
      <c r="T136" s="19"/>
      <c r="U136" s="19"/>
      <c r="V136" s="19"/>
      <c r="W136" s="19"/>
      <c r="X136" s="22"/>
      <c r="Y136" s="23"/>
      <c r="Z136" s="19"/>
      <c r="AA136" s="19" t="s">
        <v>2901</v>
      </c>
      <c r="AB136" s="22" t="s">
        <v>2902</v>
      </c>
      <c r="AC136" s="19" t="s">
        <v>2903</v>
      </c>
      <c r="AD136" s="23"/>
      <c r="AE136" s="24"/>
    </row>
    <row r="137" spans="2:31" ht="39.950000000000003" customHeight="1" x14ac:dyDescent="0.3">
      <c r="B137" s="107">
        <v>24023</v>
      </c>
      <c r="C137" s="12">
        <f t="shared" si="6"/>
        <v>132</v>
      </c>
      <c r="D137" s="105" t="str">
        <f>IFERROR(" "&amp;VLOOKUP(B137,현장리스트!$B:$C,2,0),"-")</f>
        <v xml:space="preserve"> [1.포스코건설] 영종-청라 연결도로(제3연륙교) 건설공사 제2공구 전기 및 통신공사</v>
      </c>
      <c r="E137" s="13" t="s">
        <v>1125</v>
      </c>
      <c r="F137" s="13" t="str">
        <f t="shared" ca="1" si="7"/>
        <v>55세</v>
      </c>
      <c r="G137" s="14" t="s">
        <v>2897</v>
      </c>
      <c r="H137" s="15" t="str">
        <f t="shared" si="8"/>
        <v>남</v>
      </c>
      <c r="I137" s="16" t="s">
        <v>2995</v>
      </c>
      <c r="J137" s="16" t="s">
        <v>30</v>
      </c>
      <c r="K137" s="17">
        <v>220000</v>
      </c>
      <c r="L137" s="18" t="s">
        <v>2898</v>
      </c>
      <c r="M137" s="19" t="s">
        <v>3405</v>
      </c>
      <c r="N137" s="19" t="s">
        <v>995</v>
      </c>
      <c r="O137" s="20">
        <v>12</v>
      </c>
      <c r="P137" s="23" t="s">
        <v>23</v>
      </c>
      <c r="Q137" s="21" t="str">
        <f>VLOOKUP(C137,'2-1. 인사고과표(기능)'!B:AS,44,0)</f>
        <v>A</v>
      </c>
      <c r="R137" s="21" t="str">
        <f>VLOOKUP(C137,'2-2. 인사고과표(안전)'!B:AO,40,0)</f>
        <v>A</v>
      </c>
      <c r="S137" s="18"/>
      <c r="T137" s="19"/>
      <c r="U137" s="19"/>
      <c r="V137" s="19"/>
      <c r="W137" s="19"/>
      <c r="X137" s="22"/>
      <c r="Y137" s="23" t="s">
        <v>23</v>
      </c>
      <c r="Z137" s="19"/>
      <c r="AA137" s="19" t="s">
        <v>2904</v>
      </c>
      <c r="AB137" s="22" t="s">
        <v>2905</v>
      </c>
      <c r="AC137" s="19" t="s">
        <v>2703</v>
      </c>
      <c r="AD137" s="23"/>
      <c r="AE137" s="24"/>
    </row>
    <row r="138" spans="2:31" ht="39.950000000000003" customHeight="1" x14ac:dyDescent="0.3">
      <c r="B138" s="107">
        <v>24023</v>
      </c>
      <c r="C138" s="12">
        <f t="shared" si="6"/>
        <v>133</v>
      </c>
      <c r="D138" s="105" t="str">
        <f>IFERROR(" "&amp;VLOOKUP(B138,현장리스트!$B:$C,2,0),"-")</f>
        <v xml:space="preserve"> [1.포스코건설] 영종-청라 연결도로(제3연륙교) 건설공사 제2공구 전기 및 통신공사</v>
      </c>
      <c r="E138" s="13" t="s">
        <v>1321</v>
      </c>
      <c r="F138" s="13" t="str">
        <f t="shared" ca="1" si="7"/>
        <v>51세</v>
      </c>
      <c r="G138" s="14" t="s">
        <v>1322</v>
      </c>
      <c r="H138" s="15" t="str">
        <f t="shared" si="8"/>
        <v>남</v>
      </c>
      <c r="I138" s="16" t="s">
        <v>901</v>
      </c>
      <c r="J138" s="16" t="s">
        <v>30</v>
      </c>
      <c r="K138" s="17">
        <v>220000</v>
      </c>
      <c r="L138" s="18" t="s">
        <v>1323</v>
      </c>
      <c r="M138" s="19" t="s">
        <v>914</v>
      </c>
      <c r="N138" s="19" t="s">
        <v>2618</v>
      </c>
      <c r="O138" s="20">
        <v>35</v>
      </c>
      <c r="P138" s="23" t="s">
        <v>25</v>
      </c>
      <c r="Q138" s="21" t="str">
        <f>VLOOKUP(C138,'2-1. 인사고과표(기능)'!B:AS,44,0)</f>
        <v>A</v>
      </c>
      <c r="R138" s="21" t="str">
        <f>VLOOKUP(C138,'2-2. 인사고과표(안전)'!B:AO,40,0)</f>
        <v>A</v>
      </c>
      <c r="S138" s="18" t="s">
        <v>2567</v>
      </c>
      <c r="T138" s="19"/>
      <c r="U138" s="19"/>
      <c r="V138" s="19"/>
      <c r="W138" s="19"/>
      <c r="X138" s="22"/>
      <c r="Y138" s="23"/>
      <c r="Z138" s="19"/>
      <c r="AA138" s="19" t="s">
        <v>813</v>
      </c>
      <c r="AB138" s="22" t="s">
        <v>2906</v>
      </c>
      <c r="AC138" s="19" t="s">
        <v>2907</v>
      </c>
      <c r="AD138" s="23"/>
      <c r="AE138" s="24"/>
    </row>
    <row r="139" spans="2:31" ht="39.950000000000003" customHeight="1" x14ac:dyDescent="0.3">
      <c r="B139" s="107">
        <v>24023</v>
      </c>
      <c r="C139" s="12">
        <f t="shared" si="6"/>
        <v>134</v>
      </c>
      <c r="D139" s="105" t="str">
        <f>IFERROR(" "&amp;VLOOKUP(B139,현장리스트!$B:$C,2,0),"-")</f>
        <v xml:space="preserve"> [1.포스코건설] 영종-청라 연결도로(제3연륙교) 건설공사 제2공구 전기 및 통신공사</v>
      </c>
      <c r="E139" s="13" t="s">
        <v>1493</v>
      </c>
      <c r="F139" s="13" t="str">
        <f t="shared" ca="1" si="7"/>
        <v>63세</v>
      </c>
      <c r="G139" s="14" t="s">
        <v>1494</v>
      </c>
      <c r="H139" s="15" t="str">
        <f t="shared" si="8"/>
        <v>남</v>
      </c>
      <c r="I139" s="16" t="s">
        <v>901</v>
      </c>
      <c r="J139" s="16" t="s">
        <v>30</v>
      </c>
      <c r="K139" s="17">
        <v>210000</v>
      </c>
      <c r="L139" s="18" t="s">
        <v>1495</v>
      </c>
      <c r="M139" s="19" t="s">
        <v>914</v>
      </c>
      <c r="N139" s="19" t="s">
        <v>2979</v>
      </c>
      <c r="O139" s="20">
        <v>10</v>
      </c>
      <c r="P139" s="23" t="s">
        <v>24</v>
      </c>
      <c r="Q139" s="21" t="str">
        <f>VLOOKUP(C139,'2-1. 인사고과표(기능)'!B:AS,44,0)</f>
        <v>A</v>
      </c>
      <c r="R139" s="21" t="str">
        <f>VLOOKUP(C139,'2-2. 인사고과표(안전)'!B:AO,40,0)</f>
        <v>A</v>
      </c>
      <c r="S139" s="18"/>
      <c r="T139" s="19"/>
      <c r="U139" s="19"/>
      <c r="V139" s="19"/>
      <c r="W139" s="19"/>
      <c r="X139" s="22"/>
      <c r="Y139" s="23"/>
      <c r="Z139" s="19"/>
      <c r="AA139" s="19" t="s">
        <v>2908</v>
      </c>
      <c r="AB139" s="22" t="s">
        <v>2909</v>
      </c>
      <c r="AC139" s="19" t="s">
        <v>2910</v>
      </c>
      <c r="AD139" s="23"/>
      <c r="AE139" s="24"/>
    </row>
    <row r="140" spans="2:31" ht="39.950000000000003" customHeight="1" x14ac:dyDescent="0.3">
      <c r="B140" s="107">
        <v>24023</v>
      </c>
      <c r="C140" s="12">
        <f t="shared" si="6"/>
        <v>135</v>
      </c>
      <c r="D140" s="105" t="str">
        <f>IFERROR(" "&amp;VLOOKUP(B140,현장리스트!$B:$C,2,0),"-")</f>
        <v xml:space="preserve"> [1.포스코건설] 영종-청라 연결도로(제3연륙교) 건설공사 제2공구 전기 및 통신공사</v>
      </c>
      <c r="E140" s="13" t="s">
        <v>1636</v>
      </c>
      <c r="F140" s="13" t="str">
        <f t="shared" ca="1" si="7"/>
        <v>63세</v>
      </c>
      <c r="G140" s="14" t="s">
        <v>1637</v>
      </c>
      <c r="H140" s="15" t="str">
        <f t="shared" si="8"/>
        <v>남</v>
      </c>
      <c r="I140" s="16" t="s">
        <v>901</v>
      </c>
      <c r="J140" s="16" t="s">
        <v>30</v>
      </c>
      <c r="K140" s="17">
        <v>230000</v>
      </c>
      <c r="L140" s="18" t="s">
        <v>1638</v>
      </c>
      <c r="M140" s="19" t="s">
        <v>3405</v>
      </c>
      <c r="N140" s="19" t="s">
        <v>1001</v>
      </c>
      <c r="O140" s="20">
        <v>30</v>
      </c>
      <c r="P140" s="23" t="s">
        <v>25</v>
      </c>
      <c r="Q140" s="21" t="str">
        <f>VLOOKUP(C140,'2-1. 인사고과표(기능)'!B:AS,44,0)</f>
        <v>A</v>
      </c>
      <c r="R140" s="21" t="str">
        <f>VLOOKUP(C140,'2-2. 인사고과표(안전)'!B:AO,40,0)</f>
        <v>A</v>
      </c>
      <c r="S140" s="18"/>
      <c r="T140" s="19"/>
      <c r="U140" s="19" t="s">
        <v>2788</v>
      </c>
      <c r="V140" s="19"/>
      <c r="W140" s="19"/>
      <c r="X140" s="22"/>
      <c r="Y140" s="23"/>
      <c r="Z140" s="19"/>
      <c r="AA140" s="19" t="s">
        <v>834</v>
      </c>
      <c r="AB140" s="22" t="s">
        <v>2911</v>
      </c>
      <c r="AC140" s="19" t="s">
        <v>2912</v>
      </c>
      <c r="AD140" s="23"/>
      <c r="AE140" s="24"/>
    </row>
    <row r="141" spans="2:31" ht="39.950000000000003" customHeight="1" x14ac:dyDescent="0.3">
      <c r="B141" s="107">
        <v>24023</v>
      </c>
      <c r="C141" s="12">
        <f t="shared" si="6"/>
        <v>136</v>
      </c>
      <c r="D141" s="105" t="str">
        <f>IFERROR(" "&amp;VLOOKUP(B141,현장리스트!$B:$C,2,0),"-")</f>
        <v xml:space="preserve"> [1.포스코건설] 영종-청라 연결도로(제3연륙교) 건설공사 제2공구 전기 및 통신공사</v>
      </c>
      <c r="E141" s="13" t="s">
        <v>1716</v>
      </c>
      <c r="F141" s="13" t="str">
        <f t="shared" ca="1" si="7"/>
        <v>62세</v>
      </c>
      <c r="G141" s="14" t="s">
        <v>1717</v>
      </c>
      <c r="H141" s="15" t="str">
        <f t="shared" si="8"/>
        <v>남</v>
      </c>
      <c r="I141" s="16" t="s">
        <v>901</v>
      </c>
      <c r="J141" s="16" t="s">
        <v>30</v>
      </c>
      <c r="K141" s="17">
        <v>200000</v>
      </c>
      <c r="L141" s="18" t="s">
        <v>1718</v>
      </c>
      <c r="M141" s="19" t="s">
        <v>3072</v>
      </c>
      <c r="N141" s="19" t="s">
        <v>2566</v>
      </c>
      <c r="O141" s="20">
        <v>8</v>
      </c>
      <c r="P141" s="23" t="s">
        <v>25</v>
      </c>
      <c r="Q141" s="21" t="str">
        <f>VLOOKUP(C141,'2-1. 인사고과표(기능)'!B:AS,44,0)</f>
        <v>A</v>
      </c>
      <c r="R141" s="21" t="str">
        <f>VLOOKUP(C141,'2-2. 인사고과표(안전)'!B:AO,40,0)</f>
        <v>A</v>
      </c>
      <c r="S141" s="18"/>
      <c r="T141" s="19"/>
      <c r="U141" s="19"/>
      <c r="V141" s="19"/>
      <c r="W141" s="19"/>
      <c r="X141" s="22"/>
      <c r="Y141" s="23"/>
      <c r="Z141" s="19"/>
      <c r="AA141" s="19" t="s">
        <v>456</v>
      </c>
      <c r="AB141" s="22" t="s">
        <v>2899</v>
      </c>
      <c r="AC141" s="19" t="s">
        <v>2900</v>
      </c>
      <c r="AD141" s="23"/>
      <c r="AE141" s="24"/>
    </row>
    <row r="142" spans="2:31" ht="39.950000000000003" customHeight="1" x14ac:dyDescent="0.3">
      <c r="B142" s="107">
        <v>24023</v>
      </c>
      <c r="C142" s="12">
        <f t="shared" si="6"/>
        <v>137</v>
      </c>
      <c r="D142" s="105" t="str">
        <f>IFERROR(" "&amp;VLOOKUP(B142,현장리스트!$B:$C,2,0),"-")</f>
        <v xml:space="preserve"> [1.포스코건설] 영종-청라 연결도로(제3연륙교) 건설공사 제2공구 전기 및 통신공사</v>
      </c>
      <c r="E142" s="13" t="s">
        <v>1774</v>
      </c>
      <c r="F142" s="13" t="str">
        <f t="shared" ca="1" si="7"/>
        <v>38세</v>
      </c>
      <c r="G142" s="14" t="s">
        <v>1775</v>
      </c>
      <c r="H142" s="15" t="str">
        <f t="shared" si="8"/>
        <v>남</v>
      </c>
      <c r="I142" s="16" t="s">
        <v>901</v>
      </c>
      <c r="J142" s="16" t="s">
        <v>30</v>
      </c>
      <c r="K142" s="17">
        <v>220000</v>
      </c>
      <c r="L142" s="18" t="s">
        <v>1776</v>
      </c>
      <c r="M142" s="19" t="s">
        <v>3073</v>
      </c>
      <c r="N142" s="19" t="s">
        <v>2606</v>
      </c>
      <c r="O142" s="20">
        <v>6</v>
      </c>
      <c r="P142" s="23" t="s">
        <v>23</v>
      </c>
      <c r="Q142" s="21" t="str">
        <f>VLOOKUP(C142,'2-1. 인사고과표(기능)'!B:AS,44,0)</f>
        <v>A</v>
      </c>
      <c r="R142" s="21" t="str">
        <f>VLOOKUP(C142,'2-2. 인사고과표(안전)'!B:AO,40,0)</f>
        <v>A</v>
      </c>
      <c r="S142" s="18"/>
      <c r="T142" s="19"/>
      <c r="U142" s="19"/>
      <c r="V142" s="19"/>
      <c r="W142" s="19"/>
      <c r="X142" s="22"/>
      <c r="Y142" s="23"/>
      <c r="Z142" s="19"/>
      <c r="AA142" s="19" t="s">
        <v>456</v>
      </c>
      <c r="AB142" s="22" t="s">
        <v>2899</v>
      </c>
      <c r="AC142" s="19" t="s">
        <v>2900</v>
      </c>
      <c r="AD142" s="23"/>
      <c r="AE142" s="24"/>
    </row>
    <row r="143" spans="2:31" ht="39.950000000000003" customHeight="1" x14ac:dyDescent="0.3">
      <c r="B143" s="107">
        <v>24023</v>
      </c>
      <c r="C143" s="12">
        <f t="shared" si="6"/>
        <v>138</v>
      </c>
      <c r="D143" s="105" t="str">
        <f>IFERROR(" "&amp;VLOOKUP(B143,현장리스트!$B:$C,2,0),"-")</f>
        <v xml:space="preserve"> [1.포스코건설] 영종-청라 연결도로(제3연륙교) 건설공사 제2공구 전기 및 통신공사</v>
      </c>
      <c r="E143" s="13" t="s">
        <v>1825</v>
      </c>
      <c r="F143" s="13" t="str">
        <f t="shared" ca="1" si="7"/>
        <v>44세</v>
      </c>
      <c r="G143" s="14" t="s">
        <v>1826</v>
      </c>
      <c r="H143" s="15" t="str">
        <f t="shared" si="8"/>
        <v>남</v>
      </c>
      <c r="I143" s="16" t="s">
        <v>901</v>
      </c>
      <c r="J143" s="16" t="s">
        <v>30</v>
      </c>
      <c r="K143" s="17">
        <v>220000</v>
      </c>
      <c r="L143" s="18" t="s">
        <v>1827</v>
      </c>
      <c r="M143" s="19" t="s">
        <v>3406</v>
      </c>
      <c r="N143" s="19" t="s">
        <v>931</v>
      </c>
      <c r="O143" s="20">
        <v>12</v>
      </c>
      <c r="P143" s="23" t="s">
        <v>25</v>
      </c>
      <c r="Q143" s="21" t="str">
        <f>VLOOKUP(C143,'2-1. 인사고과표(기능)'!B:AS,44,0)</f>
        <v>A</v>
      </c>
      <c r="R143" s="21" t="str">
        <f>VLOOKUP(C143,'2-2. 인사고과표(안전)'!B:AO,40,0)</f>
        <v>A</v>
      </c>
      <c r="S143" s="18"/>
      <c r="T143" s="19"/>
      <c r="U143" s="19"/>
      <c r="V143" s="19"/>
      <c r="W143" s="19"/>
      <c r="X143" s="22"/>
      <c r="Y143" s="23"/>
      <c r="Z143" s="19"/>
      <c r="AA143" s="19" t="s">
        <v>813</v>
      </c>
      <c r="AB143" s="22" t="s">
        <v>2906</v>
      </c>
      <c r="AC143" s="19" t="s">
        <v>2907</v>
      </c>
      <c r="AD143" s="23"/>
      <c r="AE143" s="24"/>
    </row>
    <row r="144" spans="2:31" ht="39.950000000000003" customHeight="1" x14ac:dyDescent="0.3">
      <c r="B144" s="107">
        <v>24023</v>
      </c>
      <c r="C144" s="12">
        <f t="shared" si="6"/>
        <v>139</v>
      </c>
      <c r="D144" s="105" t="str">
        <f>IFERROR(" "&amp;VLOOKUP(B144,현장리스트!$B:$C,2,0),"-")</f>
        <v xml:space="preserve"> [1.포스코건설] 영종-청라 연결도로(제3연륙교) 건설공사 제2공구 전기 및 통신공사</v>
      </c>
      <c r="E144" s="13" t="s">
        <v>1877</v>
      </c>
      <c r="F144" s="13" t="str">
        <f t="shared" ca="1" si="7"/>
        <v>60세</v>
      </c>
      <c r="G144" s="14" t="s">
        <v>1878</v>
      </c>
      <c r="H144" s="15" t="str">
        <f t="shared" si="8"/>
        <v>남</v>
      </c>
      <c r="I144" s="16" t="s">
        <v>901</v>
      </c>
      <c r="J144" s="16" t="s">
        <v>30</v>
      </c>
      <c r="K144" s="17">
        <v>220000</v>
      </c>
      <c r="L144" s="18" t="s">
        <v>1879</v>
      </c>
      <c r="M144" s="19" t="s">
        <v>3072</v>
      </c>
      <c r="N144" s="19" t="s">
        <v>2650</v>
      </c>
      <c r="O144" s="20">
        <v>30</v>
      </c>
      <c r="P144" s="23" t="s">
        <v>25</v>
      </c>
      <c r="Q144" s="21" t="str">
        <f>VLOOKUP(C144,'2-1. 인사고과표(기능)'!B:AS,44,0)</f>
        <v>A</v>
      </c>
      <c r="R144" s="21" t="str">
        <f>VLOOKUP(C144,'2-2. 인사고과표(안전)'!B:AO,40,0)</f>
        <v>A</v>
      </c>
      <c r="S144" s="18"/>
      <c r="T144" s="19"/>
      <c r="U144" s="19"/>
      <c r="V144" s="19"/>
      <c r="W144" s="19"/>
      <c r="X144" s="22"/>
      <c r="Y144" s="23"/>
      <c r="Z144" s="19"/>
      <c r="AA144" s="19" t="s">
        <v>2576</v>
      </c>
      <c r="AB144" s="22" t="s">
        <v>2913</v>
      </c>
      <c r="AC144" s="19" t="s">
        <v>2914</v>
      </c>
      <c r="AD144" s="23"/>
      <c r="AE144" s="24"/>
    </row>
    <row r="145" spans="2:31" ht="39.950000000000003" customHeight="1" x14ac:dyDescent="0.3">
      <c r="B145" s="107">
        <v>24023</v>
      </c>
      <c r="C145" s="12">
        <f t="shared" si="6"/>
        <v>140</v>
      </c>
      <c r="D145" s="105" t="str">
        <f>IFERROR(" "&amp;VLOOKUP(B145,현장리스트!$B:$C,2,0),"-")</f>
        <v xml:space="preserve"> [1.포스코건설] 영종-청라 연결도로(제3연륙교) 건설공사 제2공구 전기 및 통신공사</v>
      </c>
      <c r="E145" s="13" t="s">
        <v>1890</v>
      </c>
      <c r="F145" s="13" t="str">
        <f t="shared" ca="1" si="7"/>
        <v>51세</v>
      </c>
      <c r="G145" s="14" t="s">
        <v>1891</v>
      </c>
      <c r="H145" s="15" t="str">
        <f t="shared" si="8"/>
        <v>남</v>
      </c>
      <c r="I145" s="16" t="s">
        <v>901</v>
      </c>
      <c r="J145" s="16" t="s">
        <v>30</v>
      </c>
      <c r="K145" s="17">
        <v>220000</v>
      </c>
      <c r="L145" s="18" t="s">
        <v>1892</v>
      </c>
      <c r="M145" s="19" t="s">
        <v>3405</v>
      </c>
      <c r="N145" s="19" t="s">
        <v>995</v>
      </c>
      <c r="O145" s="20">
        <v>10</v>
      </c>
      <c r="P145" s="23" t="s">
        <v>25</v>
      </c>
      <c r="Q145" s="21" t="str">
        <f>VLOOKUP(C145,'2-1. 인사고과표(기능)'!B:AS,44,0)</f>
        <v>A</v>
      </c>
      <c r="R145" s="21" t="str">
        <f>VLOOKUP(C145,'2-2. 인사고과표(안전)'!B:AO,40,0)</f>
        <v>A</v>
      </c>
      <c r="S145" s="18"/>
      <c r="T145" s="19"/>
      <c r="U145" s="19"/>
      <c r="V145" s="19"/>
      <c r="W145" s="19"/>
      <c r="X145" s="22"/>
      <c r="Y145" s="23"/>
      <c r="Z145" s="19"/>
      <c r="AA145" s="19" t="s">
        <v>813</v>
      </c>
      <c r="AB145" s="22" t="s">
        <v>2906</v>
      </c>
      <c r="AC145" s="19" t="s">
        <v>2907</v>
      </c>
      <c r="AD145" s="23"/>
      <c r="AE145" s="24"/>
    </row>
    <row r="146" spans="2:31" ht="39.950000000000003" customHeight="1" x14ac:dyDescent="0.3">
      <c r="B146" s="107">
        <v>24023</v>
      </c>
      <c r="C146" s="12">
        <f t="shared" si="6"/>
        <v>141</v>
      </c>
      <c r="D146" s="105" t="str">
        <f>IFERROR(" "&amp;VLOOKUP(B146,현장리스트!$B:$C,2,0),"-")</f>
        <v xml:space="preserve"> [1.포스코건설] 영종-청라 연결도로(제3연륙교) 건설공사 제2공구 전기 및 통신공사</v>
      </c>
      <c r="E146" s="13" t="s">
        <v>1925</v>
      </c>
      <c r="F146" s="13" t="str">
        <f t="shared" ca="1" si="7"/>
        <v>61세</v>
      </c>
      <c r="G146" s="14" t="s">
        <v>1926</v>
      </c>
      <c r="H146" s="15" t="str">
        <f t="shared" si="8"/>
        <v>남</v>
      </c>
      <c r="I146" s="16" t="s">
        <v>901</v>
      </c>
      <c r="J146" s="16" t="s">
        <v>30</v>
      </c>
      <c r="K146" s="17">
        <v>230000</v>
      </c>
      <c r="L146" s="18" t="s">
        <v>1927</v>
      </c>
      <c r="M146" s="19" t="s">
        <v>3072</v>
      </c>
      <c r="N146" s="19" t="s">
        <v>2642</v>
      </c>
      <c r="O146" s="20">
        <v>28</v>
      </c>
      <c r="P146" s="23" t="s">
        <v>25</v>
      </c>
      <c r="Q146" s="21" t="str">
        <f>VLOOKUP(C146,'2-1. 인사고과표(기능)'!B:AS,44,0)</f>
        <v>A</v>
      </c>
      <c r="R146" s="21" t="str">
        <f>VLOOKUP(C146,'2-2. 인사고과표(안전)'!B:AO,40,0)</f>
        <v>A</v>
      </c>
      <c r="S146" s="18"/>
      <c r="T146" s="19"/>
      <c r="U146" s="19"/>
      <c r="V146" s="19"/>
      <c r="W146" s="19"/>
      <c r="X146" s="22"/>
      <c r="Y146" s="23"/>
      <c r="Z146" s="19"/>
      <c r="AA146" s="19" t="s">
        <v>2872</v>
      </c>
      <c r="AB146" s="22" t="s">
        <v>2915</v>
      </c>
      <c r="AC146" s="19" t="s">
        <v>2792</v>
      </c>
      <c r="AD146" s="23"/>
      <c r="AE146" s="24"/>
    </row>
    <row r="147" spans="2:31" ht="39.950000000000003" customHeight="1" x14ac:dyDescent="0.3">
      <c r="B147" s="107">
        <v>24023</v>
      </c>
      <c r="C147" s="12">
        <f t="shared" si="6"/>
        <v>142</v>
      </c>
      <c r="D147" s="105" t="str">
        <f>IFERROR(" "&amp;VLOOKUP(B147,현장리스트!$B:$C,2,0),"-")</f>
        <v xml:space="preserve"> [1.포스코건설] 영종-청라 연결도로(제3연륙교) 건설공사 제2공구 전기 및 통신공사</v>
      </c>
      <c r="E147" s="13" t="s">
        <v>2173</v>
      </c>
      <c r="F147" s="13" t="str">
        <f t="shared" ca="1" si="7"/>
        <v>55세</v>
      </c>
      <c r="G147" s="14" t="s">
        <v>2174</v>
      </c>
      <c r="H147" s="15" t="str">
        <f t="shared" si="8"/>
        <v>남</v>
      </c>
      <c r="I147" s="16" t="s">
        <v>901</v>
      </c>
      <c r="J147" s="16" t="s">
        <v>30</v>
      </c>
      <c r="K147" s="17">
        <v>220000</v>
      </c>
      <c r="L147" s="18" t="s">
        <v>2175</v>
      </c>
      <c r="M147" s="19" t="s">
        <v>3072</v>
      </c>
      <c r="N147" s="19" t="s">
        <v>1010</v>
      </c>
      <c r="O147" s="20">
        <v>28</v>
      </c>
      <c r="P147" s="23" t="s">
        <v>25</v>
      </c>
      <c r="Q147" s="21" t="str">
        <f>VLOOKUP(C147,'2-1. 인사고과표(기능)'!B:AS,44,0)</f>
        <v>A</v>
      </c>
      <c r="R147" s="21" t="str">
        <f>VLOOKUP(C147,'2-2. 인사고과표(안전)'!B:AO,40,0)</f>
        <v>A</v>
      </c>
      <c r="S147" s="18"/>
      <c r="T147" s="19"/>
      <c r="U147" s="19"/>
      <c r="V147" s="19"/>
      <c r="W147" s="19"/>
      <c r="X147" s="22"/>
      <c r="Y147" s="23"/>
      <c r="Z147" s="19"/>
      <c r="AA147" s="19" t="s">
        <v>2576</v>
      </c>
      <c r="AB147" s="22" t="s">
        <v>2913</v>
      </c>
      <c r="AC147" s="19" t="s">
        <v>2914</v>
      </c>
      <c r="AD147" s="23"/>
      <c r="AE147" s="24"/>
    </row>
    <row r="148" spans="2:31" ht="39.950000000000003" customHeight="1" x14ac:dyDescent="0.3">
      <c r="B148" s="107">
        <v>24023</v>
      </c>
      <c r="C148" s="12">
        <f t="shared" si="6"/>
        <v>143</v>
      </c>
      <c r="D148" s="105" t="str">
        <f>IFERROR(" "&amp;VLOOKUP(B148,현장리스트!$B:$C,2,0),"-")</f>
        <v xml:space="preserve"> [1.포스코건설] 영종-청라 연결도로(제3연륙교) 건설공사 제2공구 전기 및 통신공사</v>
      </c>
      <c r="E148" s="13" t="s">
        <v>2354</v>
      </c>
      <c r="F148" s="13" t="str">
        <f t="shared" ca="1" si="7"/>
        <v>54세</v>
      </c>
      <c r="G148" s="14" t="s">
        <v>2355</v>
      </c>
      <c r="H148" s="15" t="str">
        <f t="shared" si="8"/>
        <v>남</v>
      </c>
      <c r="I148" s="16" t="s">
        <v>901</v>
      </c>
      <c r="J148" s="16" t="s">
        <v>30</v>
      </c>
      <c r="K148" s="17">
        <v>220000</v>
      </c>
      <c r="L148" s="18" t="s">
        <v>2356</v>
      </c>
      <c r="M148" s="19" t="s">
        <v>3073</v>
      </c>
      <c r="N148" s="19" t="s">
        <v>2618</v>
      </c>
      <c r="O148" s="20">
        <v>8</v>
      </c>
      <c r="P148" s="23" t="s">
        <v>25</v>
      </c>
      <c r="Q148" s="21" t="str">
        <f>VLOOKUP(C148,'2-1. 인사고과표(기능)'!B:AS,44,0)</f>
        <v>A</v>
      </c>
      <c r="R148" s="21" t="str">
        <f>VLOOKUP(C148,'2-2. 인사고과표(안전)'!B:AO,40,0)</f>
        <v>A</v>
      </c>
      <c r="S148" s="18"/>
      <c r="T148" s="19"/>
      <c r="U148" s="19"/>
      <c r="V148" s="19"/>
      <c r="W148" s="19"/>
      <c r="X148" s="22"/>
      <c r="Y148" s="23"/>
      <c r="Z148" s="19"/>
      <c r="AA148" s="19" t="s">
        <v>813</v>
      </c>
      <c r="AB148" s="22" t="s">
        <v>2906</v>
      </c>
      <c r="AC148" s="19" t="s">
        <v>2907</v>
      </c>
      <c r="AD148" s="23"/>
      <c r="AE148" s="24"/>
    </row>
    <row r="149" spans="2:31" ht="39.950000000000003" customHeight="1" x14ac:dyDescent="0.3">
      <c r="B149" s="107">
        <v>24023</v>
      </c>
      <c r="C149" s="12">
        <f t="shared" si="6"/>
        <v>144</v>
      </c>
      <c r="D149" s="105" t="str">
        <f>IFERROR(" "&amp;VLOOKUP(B149,현장리스트!$B:$C,2,0),"-")</f>
        <v xml:space="preserve"> [1.포스코건설] 영종-청라 연결도로(제3연륙교) 건설공사 제2공구 전기 및 통신공사</v>
      </c>
      <c r="E149" s="13" t="s">
        <v>2360</v>
      </c>
      <c r="F149" s="13" t="str">
        <f t="shared" ca="1" si="7"/>
        <v>57세</v>
      </c>
      <c r="G149" s="14" t="s">
        <v>2361</v>
      </c>
      <c r="H149" s="15" t="str">
        <f t="shared" si="8"/>
        <v>남</v>
      </c>
      <c r="I149" s="16" t="s">
        <v>901</v>
      </c>
      <c r="J149" s="16" t="s">
        <v>30</v>
      </c>
      <c r="K149" s="17">
        <v>200000</v>
      </c>
      <c r="L149" s="18" t="s">
        <v>2362</v>
      </c>
      <c r="M149" s="19" t="s">
        <v>3405</v>
      </c>
      <c r="N149" s="19" t="s">
        <v>995</v>
      </c>
      <c r="O149" s="20">
        <v>9</v>
      </c>
      <c r="P149" s="23" t="s">
        <v>23</v>
      </c>
      <c r="Q149" s="21" t="str">
        <f>VLOOKUP(C149,'2-1. 인사고과표(기능)'!B:AS,44,0)</f>
        <v>A</v>
      </c>
      <c r="R149" s="21" t="str">
        <f>VLOOKUP(C149,'2-2. 인사고과표(안전)'!B:AO,40,0)</f>
        <v>A</v>
      </c>
      <c r="S149" s="18"/>
      <c r="T149" s="19"/>
      <c r="U149" s="19"/>
      <c r="V149" s="19"/>
      <c r="W149" s="19" t="s">
        <v>473</v>
      </c>
      <c r="X149" s="22" t="s">
        <v>2916</v>
      </c>
      <c r="Y149" s="23" t="s">
        <v>23</v>
      </c>
      <c r="Z149" s="19"/>
      <c r="AA149" s="19"/>
      <c r="AB149" s="22"/>
      <c r="AC149" s="19"/>
      <c r="AD149" s="23"/>
      <c r="AE149" s="24"/>
    </row>
    <row r="150" spans="2:31" ht="39.950000000000003" customHeight="1" x14ac:dyDescent="0.3">
      <c r="B150" s="107">
        <v>24023</v>
      </c>
      <c r="C150" s="12">
        <f t="shared" si="6"/>
        <v>145</v>
      </c>
      <c r="D150" s="105" t="str">
        <f>IFERROR(" "&amp;VLOOKUP(B150,현장리스트!$B:$C,2,0),"-")</f>
        <v xml:space="preserve"> [1.포스코건설] 영종-청라 연결도로(제3연륙교) 건설공사 제2공구 전기 및 통신공사</v>
      </c>
      <c r="E150" s="13" t="s">
        <v>2425</v>
      </c>
      <c r="F150" s="13" t="str">
        <f t="shared" ca="1" si="7"/>
        <v>43세</v>
      </c>
      <c r="G150" s="14" t="s">
        <v>2426</v>
      </c>
      <c r="H150" s="15" t="str">
        <f t="shared" si="8"/>
        <v>남</v>
      </c>
      <c r="I150" s="16" t="s">
        <v>901</v>
      </c>
      <c r="J150" s="16" t="s">
        <v>30</v>
      </c>
      <c r="K150" s="17">
        <v>190000</v>
      </c>
      <c r="L150" s="18" t="s">
        <v>2427</v>
      </c>
      <c r="M150" s="19" t="s">
        <v>3073</v>
      </c>
      <c r="N150" s="19" t="s">
        <v>2626</v>
      </c>
      <c r="O150" s="20">
        <v>12</v>
      </c>
      <c r="P150" s="23" t="s">
        <v>24</v>
      </c>
      <c r="Q150" s="21" t="str">
        <f>VLOOKUP(C150,'2-1. 인사고과표(기능)'!B:AS,44,0)</f>
        <v>A</v>
      </c>
      <c r="R150" s="21" t="str">
        <f>VLOOKUP(C150,'2-2. 인사고과표(안전)'!B:AO,40,0)</f>
        <v>A</v>
      </c>
      <c r="S150" s="18"/>
      <c r="T150" s="19"/>
      <c r="U150" s="19"/>
      <c r="V150" s="19"/>
      <c r="W150" s="19"/>
      <c r="X150" s="22"/>
      <c r="Y150" s="23"/>
      <c r="Z150" s="19"/>
      <c r="AA150" s="19" t="s">
        <v>2901</v>
      </c>
      <c r="AB150" s="22" t="s">
        <v>2902</v>
      </c>
      <c r="AC150" s="19" t="s">
        <v>2903</v>
      </c>
      <c r="AD150" s="23"/>
      <c r="AE150" s="24"/>
    </row>
    <row r="151" spans="2:31" ht="39.950000000000003" customHeight="1" x14ac:dyDescent="0.3">
      <c r="B151" s="107">
        <v>24023</v>
      </c>
      <c r="C151" s="12">
        <f t="shared" si="6"/>
        <v>146</v>
      </c>
      <c r="D151" s="105" t="str">
        <f>IFERROR(" "&amp;VLOOKUP(B151,현장리스트!$B:$C,2,0),"-")</f>
        <v xml:space="preserve"> [1.포스코건설] 영종-청라 연결도로(제3연륙교) 건설공사 제2공구 전기 및 통신공사</v>
      </c>
      <c r="E151" s="13" t="s">
        <v>2516</v>
      </c>
      <c r="F151" s="13" t="str">
        <f t="shared" ca="1" si="7"/>
        <v>56세</v>
      </c>
      <c r="G151" s="14" t="s">
        <v>2517</v>
      </c>
      <c r="H151" s="15" t="str">
        <f t="shared" si="8"/>
        <v>남</v>
      </c>
      <c r="I151" s="16" t="s">
        <v>901</v>
      </c>
      <c r="J151" s="16" t="s">
        <v>30</v>
      </c>
      <c r="K151" s="17">
        <v>220000</v>
      </c>
      <c r="L151" s="18" t="s">
        <v>2518</v>
      </c>
      <c r="M151" s="19" t="s">
        <v>3405</v>
      </c>
      <c r="N151" s="19" t="s">
        <v>1007</v>
      </c>
      <c r="O151" s="20">
        <v>16</v>
      </c>
      <c r="P151" s="23" t="s">
        <v>25</v>
      </c>
      <c r="Q151" s="21" t="str">
        <f>VLOOKUP(C151,'2-1. 인사고과표(기능)'!B:AS,44,0)</f>
        <v>A</v>
      </c>
      <c r="R151" s="21" t="str">
        <f>VLOOKUP(C151,'2-2. 인사고과표(안전)'!B:AO,40,0)</f>
        <v>A</v>
      </c>
      <c r="S151" s="18"/>
      <c r="T151" s="19"/>
      <c r="U151" s="19"/>
      <c r="V151" s="19"/>
      <c r="W151" s="19"/>
      <c r="X151" s="22"/>
      <c r="Y151" s="23"/>
      <c r="Z151" s="19"/>
      <c r="AA151" s="19" t="s">
        <v>456</v>
      </c>
      <c r="AB151" s="22" t="s">
        <v>2899</v>
      </c>
      <c r="AC151" s="19" t="s">
        <v>2900</v>
      </c>
      <c r="AD151" s="23"/>
      <c r="AE151" s="24"/>
    </row>
    <row r="152" spans="2:31" ht="39.950000000000003" customHeight="1" x14ac:dyDescent="0.3">
      <c r="B152" s="107">
        <v>22039</v>
      </c>
      <c r="C152" s="12">
        <f t="shared" si="6"/>
        <v>147</v>
      </c>
      <c r="D152" s="105" t="str">
        <f>IFERROR(" "&amp;VLOOKUP(B152,현장리스트!$B:$C,2,0),"-")</f>
        <v xml:space="preserve"> [1.포스코건설] 인천송도 재미동포타운 조성사업 2단계 전기공사(오피스텔)</v>
      </c>
      <c r="E152" s="13" t="s">
        <v>224</v>
      </c>
      <c r="F152" s="13" t="str">
        <f t="shared" ca="1" si="7"/>
        <v>46세</v>
      </c>
      <c r="G152" s="14" t="s">
        <v>1345</v>
      </c>
      <c r="H152" s="15" t="str">
        <f t="shared" si="8"/>
        <v>남</v>
      </c>
      <c r="I152" s="16" t="s">
        <v>895</v>
      </c>
      <c r="J152" s="16" t="s">
        <v>896</v>
      </c>
      <c r="K152" s="17">
        <v>4700000</v>
      </c>
      <c r="L152" s="18" t="s">
        <v>1346</v>
      </c>
      <c r="M152" s="19" t="s">
        <v>987</v>
      </c>
      <c r="N152" s="19" t="s">
        <v>2553</v>
      </c>
      <c r="O152" s="20" t="s">
        <v>921</v>
      </c>
      <c r="P152" s="23" t="s">
        <v>23</v>
      </c>
      <c r="Q152" s="21" t="str">
        <f>VLOOKUP(C152,'2-1. 인사고과표(기능)'!B:AS,44,0)</f>
        <v>S</v>
      </c>
      <c r="R152" s="21" t="str">
        <f>VLOOKUP(C152,'2-2. 인사고과표(안전)'!B:AO,40,0)</f>
        <v>S</v>
      </c>
      <c r="S152" s="18" t="s">
        <v>2675</v>
      </c>
      <c r="T152" s="19"/>
      <c r="U152" s="19"/>
      <c r="V152" s="19"/>
      <c r="W152" s="19" t="s">
        <v>2842</v>
      </c>
      <c r="X152" s="22" t="s">
        <v>2843</v>
      </c>
      <c r="Y152" s="23" t="s">
        <v>23</v>
      </c>
      <c r="Z152" s="19"/>
      <c r="AA152" s="19" t="s">
        <v>2635</v>
      </c>
      <c r="AB152" s="22" t="s">
        <v>2844</v>
      </c>
      <c r="AC152" s="19" t="s">
        <v>2845</v>
      </c>
      <c r="AD152" s="23" t="s">
        <v>23</v>
      </c>
      <c r="AE152" s="24"/>
    </row>
    <row r="153" spans="2:31" ht="39.950000000000003" customHeight="1" x14ac:dyDescent="0.3">
      <c r="B153" s="107">
        <v>22039</v>
      </c>
      <c r="C153" s="12">
        <f t="shared" si="6"/>
        <v>148</v>
      </c>
      <c r="D153" s="105" t="str">
        <f>IFERROR(" "&amp;VLOOKUP(B153,현장리스트!$B:$C,2,0),"-")</f>
        <v xml:space="preserve"> [1.포스코건설] 인천송도 재미동포타운 조성사업 2단계 전기공사(오피스텔)</v>
      </c>
      <c r="E153" s="13" t="s">
        <v>2372</v>
      </c>
      <c r="F153" s="13" t="str">
        <f t="shared" ca="1" si="7"/>
        <v>53세</v>
      </c>
      <c r="G153" s="14" t="s">
        <v>2373</v>
      </c>
      <c r="H153" s="15" t="str">
        <f t="shared" si="8"/>
        <v>남</v>
      </c>
      <c r="I153" s="16" t="s">
        <v>899</v>
      </c>
      <c r="J153" s="16" t="s">
        <v>903</v>
      </c>
      <c r="K153" s="17">
        <v>5800000</v>
      </c>
      <c r="L153" s="18" t="s">
        <v>1284</v>
      </c>
      <c r="M153" s="19" t="s">
        <v>910</v>
      </c>
      <c r="N153" s="19" t="s">
        <v>995</v>
      </c>
      <c r="O153" s="20">
        <v>25</v>
      </c>
      <c r="P153" s="23" t="s">
        <v>23</v>
      </c>
      <c r="Q153" s="21" t="str">
        <f>VLOOKUP(C153,'2-1. 인사고과표(기능)'!B:AS,44,0)</f>
        <v>S</v>
      </c>
      <c r="R153" s="21" t="str">
        <f>VLOOKUP(C153,'2-2. 인사고과표(안전)'!B:AO,40,0)</f>
        <v>S</v>
      </c>
      <c r="S153" s="18"/>
      <c r="T153" s="19"/>
      <c r="U153" s="19"/>
      <c r="V153" s="19"/>
      <c r="W153" s="19" t="s">
        <v>2842</v>
      </c>
      <c r="X153" s="22" t="s">
        <v>2843</v>
      </c>
      <c r="Y153" s="23" t="s">
        <v>24</v>
      </c>
      <c r="Z153" s="19"/>
      <c r="AA153" s="19" t="s">
        <v>2846</v>
      </c>
      <c r="AB153" s="22" t="s">
        <v>2847</v>
      </c>
      <c r="AC153" s="19" t="s">
        <v>2848</v>
      </c>
      <c r="AD153" s="23" t="s">
        <v>23</v>
      </c>
      <c r="AE153" s="24"/>
    </row>
    <row r="154" spans="2:31" ht="39.950000000000003" customHeight="1" x14ac:dyDescent="0.3">
      <c r="B154" s="107">
        <v>24048</v>
      </c>
      <c r="C154" s="12">
        <f t="shared" si="6"/>
        <v>149</v>
      </c>
      <c r="D154" s="105" t="str">
        <f>IFERROR(" "&amp;VLOOKUP(B154,현장리스트!$B:$C,2,0),"-")</f>
        <v xml:space="preserve"> [2.금호건설] 고양장항 B-3BL 공공주택 신축공사</v>
      </c>
      <c r="E154" s="13" t="s">
        <v>1908</v>
      </c>
      <c r="F154" s="13" t="str">
        <f t="shared" ca="1" si="7"/>
        <v>49세</v>
      </c>
      <c r="G154" s="14" t="s">
        <v>1909</v>
      </c>
      <c r="H154" s="15" t="str">
        <f t="shared" si="8"/>
        <v>남</v>
      </c>
      <c r="I154" s="16" t="s">
        <v>899</v>
      </c>
      <c r="J154" s="16" t="s">
        <v>903</v>
      </c>
      <c r="K154" s="17">
        <v>5600000</v>
      </c>
      <c r="L154" s="18" t="s">
        <v>1910</v>
      </c>
      <c r="M154" s="19" t="s">
        <v>910</v>
      </c>
      <c r="N154" s="19" t="s">
        <v>995</v>
      </c>
      <c r="O154" s="20">
        <v>20</v>
      </c>
      <c r="P154" s="23" t="s">
        <v>23</v>
      </c>
      <c r="Q154" s="21" t="str">
        <f>VLOOKUP(C154,'2-1. 인사고과표(기능)'!B:AS,44,0)</f>
        <v>S</v>
      </c>
      <c r="R154" s="21" t="str">
        <f>VLOOKUP(C154,'2-2. 인사고과표(안전)'!B:AO,40,0)</f>
        <v>S</v>
      </c>
      <c r="S154" s="18"/>
      <c r="T154" s="19"/>
      <c r="U154" s="19"/>
      <c r="V154" s="19"/>
      <c r="W154" s="19" t="s">
        <v>857</v>
      </c>
      <c r="X154" s="22" t="s">
        <v>3080</v>
      </c>
      <c r="Y154" s="23" t="s">
        <v>23</v>
      </c>
      <c r="Z154" s="19"/>
      <c r="AA154" s="19" t="s">
        <v>2646</v>
      </c>
      <c r="AB154" s="22" t="s">
        <v>3081</v>
      </c>
      <c r="AC154" s="19" t="s">
        <v>3082</v>
      </c>
      <c r="AD154" s="23" t="s">
        <v>24</v>
      </c>
      <c r="AE154" s="24" t="s">
        <v>3083</v>
      </c>
    </row>
    <row r="155" spans="2:31" ht="39.950000000000003" customHeight="1" x14ac:dyDescent="0.3">
      <c r="B155" s="107">
        <v>24048</v>
      </c>
      <c r="C155" s="12">
        <f t="shared" si="6"/>
        <v>150</v>
      </c>
      <c r="D155" s="105" t="str">
        <f>IFERROR(" "&amp;VLOOKUP(B155,현장리스트!$B:$C,2,0),"-")</f>
        <v xml:space="preserve"> [2.금호건설] 고양장항 B-3BL 공공주택 신축공사</v>
      </c>
      <c r="E155" s="13" t="s">
        <v>189</v>
      </c>
      <c r="F155" s="13" t="str">
        <f t="shared" ca="1" si="7"/>
        <v>39세</v>
      </c>
      <c r="G155" s="14" t="s">
        <v>1770</v>
      </c>
      <c r="H155" s="15" t="str">
        <f t="shared" si="8"/>
        <v>남</v>
      </c>
      <c r="I155" s="16" t="s">
        <v>895</v>
      </c>
      <c r="J155" s="16" t="s">
        <v>896</v>
      </c>
      <c r="K155" s="17">
        <v>4500000</v>
      </c>
      <c r="L155" s="18" t="s">
        <v>1771</v>
      </c>
      <c r="M155" s="19" t="s">
        <v>914</v>
      </c>
      <c r="N155" s="19" t="s">
        <v>2979</v>
      </c>
      <c r="O155" s="20">
        <v>5</v>
      </c>
      <c r="P155" s="23" t="s">
        <v>23</v>
      </c>
      <c r="Q155" s="21" t="str">
        <f>VLOOKUP(C155,'2-1. 인사고과표(기능)'!B:AS,44,0)</f>
        <v>S</v>
      </c>
      <c r="R155" s="21" t="str">
        <f>VLOOKUP(C155,'2-2. 인사고과표(안전)'!B:AO,40,0)</f>
        <v>S</v>
      </c>
      <c r="S155" s="18" t="s">
        <v>32</v>
      </c>
      <c r="T155" s="19" t="s">
        <v>2675</v>
      </c>
      <c r="U155" s="19" t="s">
        <v>32</v>
      </c>
      <c r="V155" s="19" t="s">
        <v>2567</v>
      </c>
      <c r="W155" s="19" t="s">
        <v>857</v>
      </c>
      <c r="X155" s="22" t="s">
        <v>3080</v>
      </c>
      <c r="Y155" s="23" t="s">
        <v>23</v>
      </c>
      <c r="Z155" s="19"/>
      <c r="AA155" s="19"/>
      <c r="AB155" s="22"/>
      <c r="AC155" s="19"/>
      <c r="AD155" s="23"/>
      <c r="AE155" s="24"/>
    </row>
    <row r="156" spans="2:31" ht="39.950000000000003" customHeight="1" x14ac:dyDescent="0.3">
      <c r="B156" s="107">
        <v>24048</v>
      </c>
      <c r="C156" s="12">
        <f t="shared" si="6"/>
        <v>151</v>
      </c>
      <c r="D156" s="105" t="str">
        <f>IFERROR(" "&amp;VLOOKUP(B156,현장리스트!$B:$C,2,0),"-")</f>
        <v xml:space="preserve"> [2.금호건설] 고양장항 B-3BL 공공주택 신축공사</v>
      </c>
      <c r="E156" s="13" t="s">
        <v>1822</v>
      </c>
      <c r="F156" s="13" t="str">
        <f t="shared" ca="1" si="7"/>
        <v>70세</v>
      </c>
      <c r="G156" s="14" t="s">
        <v>1823</v>
      </c>
      <c r="H156" s="15" t="str">
        <f t="shared" si="8"/>
        <v>남</v>
      </c>
      <c r="I156" s="16" t="s">
        <v>901</v>
      </c>
      <c r="J156" s="16" t="s">
        <v>30</v>
      </c>
      <c r="K156" s="17">
        <v>190000</v>
      </c>
      <c r="L156" s="18" t="s">
        <v>1824</v>
      </c>
      <c r="M156" s="19" t="s">
        <v>987</v>
      </c>
      <c r="N156" s="19" t="s">
        <v>2888</v>
      </c>
      <c r="O156" s="20">
        <v>30</v>
      </c>
      <c r="P156" s="23" t="s">
        <v>23</v>
      </c>
      <c r="Q156" s="21" t="str">
        <f>VLOOKUP(C156,'2-1. 인사고과표(기능)'!B:AS,44,0)</f>
        <v>S</v>
      </c>
      <c r="R156" s="21" t="str">
        <f>VLOOKUP(C156,'2-2. 인사고과표(안전)'!B:AO,40,0)</f>
        <v>S</v>
      </c>
      <c r="S156" s="18"/>
      <c r="T156" s="19"/>
      <c r="U156" s="19"/>
      <c r="V156" s="19"/>
      <c r="W156" s="19" t="s">
        <v>857</v>
      </c>
      <c r="X156" s="22" t="s">
        <v>3080</v>
      </c>
      <c r="Y156" s="23" t="s">
        <v>23</v>
      </c>
      <c r="Z156" s="19"/>
      <c r="AA156" s="19" t="s">
        <v>2646</v>
      </c>
      <c r="AB156" s="22" t="s">
        <v>3081</v>
      </c>
      <c r="AC156" s="19" t="s">
        <v>3082</v>
      </c>
      <c r="AD156" s="23" t="s">
        <v>24</v>
      </c>
      <c r="AE156" s="24" t="s">
        <v>3083</v>
      </c>
    </row>
    <row r="157" spans="2:31" ht="39.950000000000003" customHeight="1" x14ac:dyDescent="0.3">
      <c r="B157" s="107">
        <v>24048</v>
      </c>
      <c r="C157" s="12">
        <f t="shared" si="6"/>
        <v>152</v>
      </c>
      <c r="D157" s="105" t="str">
        <f>IFERROR(" "&amp;VLOOKUP(B157,현장리스트!$B:$C,2,0),"-")</f>
        <v xml:space="preserve"> [2.금호건설] 고양장항 B-3BL 공공주택 신축공사</v>
      </c>
      <c r="E157" s="13" t="s">
        <v>1475</v>
      </c>
      <c r="F157" s="13" t="str">
        <f t="shared" ca="1" si="7"/>
        <v>50세</v>
      </c>
      <c r="G157" s="14" t="s">
        <v>1476</v>
      </c>
      <c r="H157" s="15" t="str">
        <f t="shared" si="8"/>
        <v>남</v>
      </c>
      <c r="I157" s="16" t="s">
        <v>901</v>
      </c>
      <c r="J157" s="16" t="s">
        <v>30</v>
      </c>
      <c r="K157" s="17">
        <v>190000</v>
      </c>
      <c r="L157" s="18" t="s">
        <v>1477</v>
      </c>
      <c r="M157" s="19" t="s">
        <v>987</v>
      </c>
      <c r="N157" s="19" t="s">
        <v>2553</v>
      </c>
      <c r="O157" s="20">
        <v>20</v>
      </c>
      <c r="P157" s="23" t="s">
        <v>23</v>
      </c>
      <c r="Q157" s="21" t="str">
        <f>VLOOKUP(C157,'2-1. 인사고과표(기능)'!B:AS,44,0)</f>
        <v>S</v>
      </c>
      <c r="R157" s="21" t="str">
        <f>VLOOKUP(C157,'2-2. 인사고과표(안전)'!B:AO,40,0)</f>
        <v>S</v>
      </c>
      <c r="S157" s="18"/>
      <c r="T157" s="19"/>
      <c r="U157" s="19"/>
      <c r="V157" s="19"/>
      <c r="W157" s="19" t="s">
        <v>857</v>
      </c>
      <c r="X157" s="22" t="s">
        <v>3080</v>
      </c>
      <c r="Y157" s="23" t="s">
        <v>23</v>
      </c>
      <c r="Z157" s="19"/>
      <c r="AA157" s="19" t="s">
        <v>2646</v>
      </c>
      <c r="AB157" s="22" t="s">
        <v>3081</v>
      </c>
      <c r="AC157" s="19" t="s">
        <v>3082</v>
      </c>
      <c r="AD157" s="23" t="s">
        <v>24</v>
      </c>
      <c r="AE157" s="24" t="s">
        <v>3083</v>
      </c>
    </row>
    <row r="158" spans="2:31" ht="39.950000000000003" customHeight="1" x14ac:dyDescent="0.3">
      <c r="B158" s="107">
        <v>24021</v>
      </c>
      <c r="C158" s="12">
        <f t="shared" si="6"/>
        <v>153</v>
      </c>
      <c r="D158" s="105" t="str">
        <f>IFERROR(" "&amp;VLOOKUP(B158,현장리스트!$B:$C,2,0),"-")</f>
        <v xml:space="preserve"> [2.금호건설] 대웅제약 마곡연구소 신축공사</v>
      </c>
      <c r="E158" s="13" t="s">
        <v>1261</v>
      </c>
      <c r="F158" s="13" t="str">
        <f t="shared" ca="1" si="7"/>
        <v>55세</v>
      </c>
      <c r="G158" s="14" t="s">
        <v>1262</v>
      </c>
      <c r="H158" s="15" t="str">
        <f t="shared" si="8"/>
        <v>남</v>
      </c>
      <c r="I158" s="16" t="s">
        <v>895</v>
      </c>
      <c r="J158" s="16" t="s">
        <v>898</v>
      </c>
      <c r="K158" s="17">
        <v>5800000</v>
      </c>
      <c r="L158" s="18" t="s">
        <v>1263</v>
      </c>
      <c r="M158" s="19" t="s">
        <v>987</v>
      </c>
      <c r="N158" s="19" t="s">
        <v>1010</v>
      </c>
      <c r="O158" s="20"/>
      <c r="P158" s="23" t="s">
        <v>28</v>
      </c>
      <c r="Q158" s="21" t="str">
        <f>VLOOKUP(C158,'2-1. 인사고과표(기능)'!B:AS,44,0)</f>
        <v>S</v>
      </c>
      <c r="R158" s="21" t="str">
        <f>VLOOKUP(C158,'2-2. 인사고과표(안전)'!B:AO,40,0)</f>
        <v>S</v>
      </c>
      <c r="S158" s="18" t="s">
        <v>2765</v>
      </c>
      <c r="T158" s="19"/>
      <c r="U158" s="19" t="s">
        <v>2765</v>
      </c>
      <c r="V158" s="19"/>
      <c r="W158" s="19" t="s">
        <v>2695</v>
      </c>
      <c r="X158" s="22" t="s">
        <v>3144</v>
      </c>
      <c r="Y158" s="23" t="s">
        <v>23</v>
      </c>
      <c r="Z158" s="19"/>
      <c r="AA158" s="19"/>
      <c r="AB158" s="22"/>
      <c r="AC158" s="19"/>
      <c r="AD158" s="23"/>
      <c r="AE158" s="24"/>
    </row>
    <row r="159" spans="2:31" ht="39.950000000000003" customHeight="1" x14ac:dyDescent="0.3">
      <c r="B159" s="107">
        <v>24021</v>
      </c>
      <c r="C159" s="12">
        <f t="shared" si="6"/>
        <v>154</v>
      </c>
      <c r="D159" s="105" t="str">
        <f>IFERROR(" "&amp;VLOOKUP(B159,현장리스트!$B:$C,2,0),"-")</f>
        <v xml:space="preserve"> [2.금호건설] 대웅제약 마곡연구소 신축공사</v>
      </c>
      <c r="E159" s="13" t="s">
        <v>1466</v>
      </c>
      <c r="F159" s="13" t="str">
        <f t="shared" ca="1" si="7"/>
        <v>36세</v>
      </c>
      <c r="G159" s="14" t="s">
        <v>1467</v>
      </c>
      <c r="H159" s="15" t="str">
        <f t="shared" si="8"/>
        <v>남</v>
      </c>
      <c r="I159" s="16" t="s">
        <v>899</v>
      </c>
      <c r="J159" s="16" t="s">
        <v>900</v>
      </c>
      <c r="K159" s="17">
        <v>165000</v>
      </c>
      <c r="L159" s="18" t="s">
        <v>1468</v>
      </c>
      <c r="M159" s="19" t="s">
        <v>914</v>
      </c>
      <c r="N159" s="19" t="s">
        <v>2606</v>
      </c>
      <c r="O159" s="20" t="s">
        <v>950</v>
      </c>
      <c r="P159" s="23" t="s">
        <v>28</v>
      </c>
      <c r="Q159" s="21" t="str">
        <f>VLOOKUP(C159,'2-1. 인사고과표(기능)'!B:AS,44,0)</f>
        <v>S</v>
      </c>
      <c r="R159" s="21" t="str">
        <f>VLOOKUP(C159,'2-2. 인사고과표(안전)'!B:AO,40,0)</f>
        <v>S</v>
      </c>
      <c r="S159" s="18"/>
      <c r="T159" s="19"/>
      <c r="U159" s="19"/>
      <c r="V159" s="19"/>
      <c r="W159" s="19"/>
      <c r="X159" s="22"/>
      <c r="Y159" s="23"/>
      <c r="Z159" s="19"/>
      <c r="AA159" s="19"/>
      <c r="AB159" s="22"/>
      <c r="AC159" s="19"/>
      <c r="AD159" s="23"/>
      <c r="AE159" s="24"/>
    </row>
    <row r="160" spans="2:31" ht="39.950000000000003" customHeight="1" x14ac:dyDescent="0.3">
      <c r="B160" s="107">
        <v>24021</v>
      </c>
      <c r="C160" s="12">
        <f t="shared" si="6"/>
        <v>155</v>
      </c>
      <c r="D160" s="105" t="str">
        <f>IFERROR(" "&amp;VLOOKUP(B160,현장리스트!$B:$C,2,0),"-")</f>
        <v xml:space="preserve"> [2.금호건설] 대웅제약 마곡연구소 신축공사</v>
      </c>
      <c r="E160" s="13" t="s">
        <v>1622</v>
      </c>
      <c r="F160" s="13" t="str">
        <f t="shared" ca="1" si="7"/>
        <v>60세</v>
      </c>
      <c r="G160" s="14" t="s">
        <v>1623</v>
      </c>
      <c r="H160" s="15" t="str">
        <f t="shared" si="8"/>
        <v>남</v>
      </c>
      <c r="I160" s="16" t="s">
        <v>895</v>
      </c>
      <c r="J160" s="16" t="s">
        <v>903</v>
      </c>
      <c r="K160" s="17">
        <v>5450000</v>
      </c>
      <c r="L160" s="18" t="s">
        <v>1624</v>
      </c>
      <c r="M160" s="19" t="s">
        <v>914</v>
      </c>
      <c r="N160" s="19" t="s">
        <v>2979</v>
      </c>
      <c r="O160" s="20"/>
      <c r="P160" s="23" t="s">
        <v>28</v>
      </c>
      <c r="Q160" s="21" t="str">
        <f>VLOOKUP(C160,'2-1. 인사고과표(기능)'!B:AS,44,0)</f>
        <v>S</v>
      </c>
      <c r="R160" s="21" t="str">
        <f>VLOOKUP(C160,'2-2. 인사고과표(안전)'!B:AO,40,0)</f>
        <v>S</v>
      </c>
      <c r="S160" s="18"/>
      <c r="T160" s="19"/>
      <c r="U160" s="19"/>
      <c r="V160" s="19"/>
      <c r="W160" s="19" t="s">
        <v>2695</v>
      </c>
      <c r="X160" s="22" t="s">
        <v>3144</v>
      </c>
      <c r="Y160" s="23" t="s">
        <v>23</v>
      </c>
      <c r="Z160" s="19"/>
      <c r="AA160" s="19"/>
      <c r="AB160" s="22"/>
      <c r="AC160" s="19"/>
      <c r="AD160" s="23"/>
      <c r="AE160" s="24"/>
    </row>
    <row r="161" spans="2:31" ht="39.950000000000003" customHeight="1" x14ac:dyDescent="0.3">
      <c r="B161" s="107">
        <v>24021</v>
      </c>
      <c r="C161" s="12">
        <f t="shared" si="6"/>
        <v>156</v>
      </c>
      <c r="D161" s="105" t="str">
        <f>IFERROR(" "&amp;VLOOKUP(B161,현장리스트!$B:$C,2,0),"-")</f>
        <v xml:space="preserve"> [2.금호건설] 대웅제약 마곡연구소 신축공사</v>
      </c>
      <c r="E161" s="13" t="s">
        <v>2188</v>
      </c>
      <c r="F161" s="13" t="str">
        <f t="shared" ca="1" si="7"/>
        <v>48세</v>
      </c>
      <c r="G161" s="14" t="s">
        <v>2189</v>
      </c>
      <c r="H161" s="15" t="str">
        <f t="shared" si="8"/>
        <v>남</v>
      </c>
      <c r="I161" s="16" t="s">
        <v>899</v>
      </c>
      <c r="J161" s="16" t="s">
        <v>903</v>
      </c>
      <c r="K161" s="17">
        <v>230000</v>
      </c>
      <c r="L161" s="18" t="s">
        <v>2190</v>
      </c>
      <c r="M161" s="19" t="s">
        <v>987</v>
      </c>
      <c r="N161" s="19" t="s">
        <v>2644</v>
      </c>
      <c r="O161" s="20" t="s">
        <v>912</v>
      </c>
      <c r="P161" s="23" t="s">
        <v>28</v>
      </c>
      <c r="Q161" s="21" t="str">
        <f>VLOOKUP(C161,'2-1. 인사고과표(기능)'!B:AS,44,0)</f>
        <v>S</v>
      </c>
      <c r="R161" s="21" t="str">
        <f>VLOOKUP(C161,'2-2. 인사고과표(안전)'!B:AO,40,0)</f>
        <v>S</v>
      </c>
      <c r="S161" s="18"/>
      <c r="T161" s="19"/>
      <c r="U161" s="19"/>
      <c r="V161" s="19"/>
      <c r="W161" s="19" t="s">
        <v>2576</v>
      </c>
      <c r="X161" s="22" t="s">
        <v>3145</v>
      </c>
      <c r="Y161" s="23" t="s">
        <v>23</v>
      </c>
      <c r="Z161" s="19"/>
      <c r="AA161" s="19" t="s">
        <v>497</v>
      </c>
      <c r="AB161" s="22" t="s">
        <v>3146</v>
      </c>
      <c r="AC161" s="19" t="s">
        <v>3147</v>
      </c>
      <c r="AD161" s="23" t="s">
        <v>23</v>
      </c>
      <c r="AE161" s="24"/>
    </row>
    <row r="162" spans="2:31" ht="39.950000000000003" customHeight="1" x14ac:dyDescent="0.3">
      <c r="B162" s="107">
        <v>24021</v>
      </c>
      <c r="C162" s="12">
        <f t="shared" si="6"/>
        <v>157</v>
      </c>
      <c r="D162" s="105" t="str">
        <f>IFERROR(" "&amp;VLOOKUP(B162,현장리스트!$B:$C,2,0),"-")</f>
        <v xml:space="preserve"> [2.금호건설] 대웅제약 마곡연구소 신축공사</v>
      </c>
      <c r="E162" s="13" t="s">
        <v>2485</v>
      </c>
      <c r="F162" s="13" t="str">
        <f t="shared" ca="1" si="7"/>
        <v>52세</v>
      </c>
      <c r="G162" s="14" t="s">
        <v>2486</v>
      </c>
      <c r="H162" s="15" t="str">
        <f t="shared" si="8"/>
        <v>남</v>
      </c>
      <c r="I162" s="16" t="s">
        <v>901</v>
      </c>
      <c r="J162" s="16" t="s">
        <v>30</v>
      </c>
      <c r="K162" s="17">
        <v>210000</v>
      </c>
      <c r="L162" s="18" t="s">
        <v>2487</v>
      </c>
      <c r="M162" s="19" t="s">
        <v>910</v>
      </c>
      <c r="N162" s="19" t="s">
        <v>995</v>
      </c>
      <c r="O162" s="20" t="s">
        <v>2555</v>
      </c>
      <c r="P162" s="23" t="s">
        <v>23</v>
      </c>
      <c r="Q162" s="21" t="str">
        <f>VLOOKUP(C162,'2-1. 인사고과표(기능)'!B:AS,44,0)</f>
        <v>S</v>
      </c>
      <c r="R162" s="21" t="str">
        <f>VLOOKUP(C162,'2-2. 인사고과표(안전)'!B:AO,40,0)</f>
        <v>S</v>
      </c>
      <c r="S162" s="18"/>
      <c r="T162" s="19"/>
      <c r="U162" s="19"/>
      <c r="V162" s="19"/>
      <c r="W162" s="19" t="s">
        <v>2695</v>
      </c>
      <c r="X162" s="22" t="s">
        <v>3148</v>
      </c>
      <c r="Y162" s="23" t="s">
        <v>23</v>
      </c>
      <c r="Z162" s="19"/>
      <c r="AA162" s="19"/>
      <c r="AB162" s="22"/>
      <c r="AC162" s="19"/>
      <c r="AD162" s="23"/>
      <c r="AE162" s="24"/>
    </row>
    <row r="163" spans="2:31" ht="39.950000000000003" customHeight="1" x14ac:dyDescent="0.3">
      <c r="B163" s="107">
        <v>24021</v>
      </c>
      <c r="C163" s="12">
        <f t="shared" si="6"/>
        <v>158</v>
      </c>
      <c r="D163" s="105" t="str">
        <f>IFERROR(" "&amp;VLOOKUP(B163,현장리스트!$B:$C,2,0),"-")</f>
        <v xml:space="preserve"> [2.금호건설] 대웅제약 마곡연구소 신축공사</v>
      </c>
      <c r="E163" s="13" t="s">
        <v>1732</v>
      </c>
      <c r="F163" s="13" t="str">
        <f t="shared" ca="1" si="7"/>
        <v>57세</v>
      </c>
      <c r="G163" s="14" t="s">
        <v>1733</v>
      </c>
      <c r="H163" s="15" t="str">
        <f t="shared" si="8"/>
        <v>남</v>
      </c>
      <c r="I163" s="16" t="s">
        <v>901</v>
      </c>
      <c r="J163" s="16" t="s">
        <v>30</v>
      </c>
      <c r="K163" s="17">
        <v>210000</v>
      </c>
      <c r="L163" s="18" t="s">
        <v>1734</v>
      </c>
      <c r="M163" s="19" t="s">
        <v>987</v>
      </c>
      <c r="N163" s="19" t="s">
        <v>3136</v>
      </c>
      <c r="O163" s="20" t="s">
        <v>912</v>
      </c>
      <c r="P163" s="23" t="s">
        <v>28</v>
      </c>
      <c r="Q163" s="21" t="str">
        <f>VLOOKUP(C163,'2-1. 인사고과표(기능)'!B:AS,44,0)</f>
        <v>S</v>
      </c>
      <c r="R163" s="21" t="str">
        <f>VLOOKUP(C163,'2-2. 인사고과표(안전)'!B:AO,40,0)</f>
        <v>S</v>
      </c>
      <c r="S163" s="18"/>
      <c r="T163" s="19"/>
      <c r="U163" s="19"/>
      <c r="V163" s="19"/>
      <c r="W163" s="19" t="s">
        <v>813</v>
      </c>
      <c r="X163" s="22" t="s">
        <v>3149</v>
      </c>
      <c r="Y163" s="23" t="s">
        <v>23</v>
      </c>
      <c r="Z163" s="19"/>
      <c r="AA163" s="19"/>
      <c r="AB163" s="22"/>
      <c r="AC163" s="19"/>
      <c r="AD163" s="23"/>
      <c r="AE163" s="24"/>
    </row>
    <row r="164" spans="2:31" ht="39.950000000000003" customHeight="1" x14ac:dyDescent="0.3">
      <c r="B164" s="107">
        <v>24021</v>
      </c>
      <c r="C164" s="12">
        <f t="shared" si="6"/>
        <v>159</v>
      </c>
      <c r="D164" s="105" t="str">
        <f>IFERROR(" "&amp;VLOOKUP(B164,현장리스트!$B:$C,2,0),"-")</f>
        <v xml:space="preserve"> [2.금호건설] 대웅제약 마곡연구소 신축공사</v>
      </c>
      <c r="E164" s="13" t="s">
        <v>1619</v>
      </c>
      <c r="F164" s="13" t="str">
        <f t="shared" ca="1" si="7"/>
        <v>57세</v>
      </c>
      <c r="G164" s="14" t="s">
        <v>1620</v>
      </c>
      <c r="H164" s="15" t="str">
        <f t="shared" si="8"/>
        <v>남</v>
      </c>
      <c r="I164" s="16" t="s">
        <v>901</v>
      </c>
      <c r="J164" s="16" t="s">
        <v>30</v>
      </c>
      <c r="K164" s="17">
        <v>220000</v>
      </c>
      <c r="L164" s="18" t="s">
        <v>1621</v>
      </c>
      <c r="M164" s="19" t="s">
        <v>987</v>
      </c>
      <c r="N164" s="19" t="s">
        <v>2644</v>
      </c>
      <c r="O164" s="20" t="s">
        <v>1017</v>
      </c>
      <c r="P164" s="23" t="s">
        <v>28</v>
      </c>
      <c r="Q164" s="21" t="str">
        <f>VLOOKUP(C164,'2-1. 인사고과표(기능)'!B:AS,44,0)</f>
        <v>S</v>
      </c>
      <c r="R164" s="21" t="str">
        <f>VLOOKUP(C164,'2-2. 인사고과표(안전)'!B:AO,40,0)</f>
        <v>S</v>
      </c>
      <c r="S164" s="18"/>
      <c r="T164" s="19"/>
      <c r="U164" s="19"/>
      <c r="V164" s="19"/>
      <c r="W164" s="19"/>
      <c r="X164" s="22"/>
      <c r="Y164" s="23"/>
      <c r="Z164" s="19"/>
      <c r="AA164" s="19" t="s">
        <v>497</v>
      </c>
      <c r="AB164" s="22" t="s">
        <v>3150</v>
      </c>
      <c r="AC164" s="19" t="s">
        <v>3147</v>
      </c>
      <c r="AD164" s="23" t="s">
        <v>28</v>
      </c>
      <c r="AE164" s="24"/>
    </row>
    <row r="165" spans="2:31" ht="39.950000000000003" customHeight="1" x14ac:dyDescent="0.3">
      <c r="B165" s="107">
        <v>24021</v>
      </c>
      <c r="C165" s="12">
        <f t="shared" si="6"/>
        <v>160</v>
      </c>
      <c r="D165" s="105" t="str">
        <f>IFERROR(" "&amp;VLOOKUP(B165,현장리스트!$B:$C,2,0),"-")</f>
        <v xml:space="preserve"> [2.금호건설] 대웅제약 마곡연구소 신축공사</v>
      </c>
      <c r="E165" s="13" t="s">
        <v>1639</v>
      </c>
      <c r="F165" s="13" t="str">
        <f t="shared" ca="1" si="7"/>
        <v>58세</v>
      </c>
      <c r="G165" s="14" t="s">
        <v>1640</v>
      </c>
      <c r="H165" s="15" t="str">
        <f t="shared" si="8"/>
        <v>남</v>
      </c>
      <c r="I165" s="16" t="s">
        <v>901</v>
      </c>
      <c r="J165" s="16" t="s">
        <v>30</v>
      </c>
      <c r="K165" s="17">
        <v>220000</v>
      </c>
      <c r="L165" s="18" t="s">
        <v>1641</v>
      </c>
      <c r="M165" s="19" t="s">
        <v>987</v>
      </c>
      <c r="N165" s="19" t="s">
        <v>988</v>
      </c>
      <c r="O165" s="20" t="s">
        <v>993</v>
      </c>
      <c r="P165" s="23" t="s">
        <v>28</v>
      </c>
      <c r="Q165" s="21" t="str">
        <f>VLOOKUP(C165,'2-1. 인사고과표(기능)'!B:AS,44,0)</f>
        <v>A</v>
      </c>
      <c r="R165" s="21" t="str">
        <f>VLOOKUP(C165,'2-2. 인사고과표(안전)'!B:AO,40,0)</f>
        <v>S</v>
      </c>
      <c r="S165" s="18"/>
      <c r="T165" s="19"/>
      <c r="U165" s="19"/>
      <c r="V165" s="19"/>
      <c r="W165" s="19"/>
      <c r="X165" s="22"/>
      <c r="Y165" s="23"/>
      <c r="Z165" s="19"/>
      <c r="AA165" s="19" t="s">
        <v>497</v>
      </c>
      <c r="AB165" s="22" t="s">
        <v>3146</v>
      </c>
      <c r="AC165" s="19" t="s">
        <v>3147</v>
      </c>
      <c r="AD165" s="23" t="s">
        <v>23</v>
      </c>
      <c r="AE165" s="24"/>
    </row>
    <row r="166" spans="2:31" ht="39.950000000000003" customHeight="1" x14ac:dyDescent="0.3">
      <c r="B166" s="107">
        <v>24021</v>
      </c>
      <c r="C166" s="12">
        <f t="shared" si="6"/>
        <v>161</v>
      </c>
      <c r="D166" s="105" t="str">
        <f>IFERROR(" "&amp;VLOOKUP(B166,현장리스트!$B:$C,2,0),"-")</f>
        <v xml:space="preserve"> [2.금호건설] 대웅제약 마곡연구소 신축공사</v>
      </c>
      <c r="E166" s="13" t="s">
        <v>2152</v>
      </c>
      <c r="F166" s="13" t="str">
        <f t="shared" ca="1" si="7"/>
        <v>55세</v>
      </c>
      <c r="G166" s="14" t="s">
        <v>2153</v>
      </c>
      <c r="H166" s="15" t="str">
        <f t="shared" si="8"/>
        <v>남</v>
      </c>
      <c r="I166" s="16" t="s">
        <v>901</v>
      </c>
      <c r="J166" s="16" t="s">
        <v>30</v>
      </c>
      <c r="K166" s="17">
        <v>220000</v>
      </c>
      <c r="L166" s="18" t="s">
        <v>2154</v>
      </c>
      <c r="M166" s="19" t="s">
        <v>987</v>
      </c>
      <c r="N166" s="19" t="s">
        <v>3137</v>
      </c>
      <c r="O166" s="20" t="s">
        <v>2664</v>
      </c>
      <c r="P166" s="23" t="s">
        <v>28</v>
      </c>
      <c r="Q166" s="21" t="str">
        <f>VLOOKUP(C166,'2-1. 인사고과표(기능)'!B:AS,44,0)</f>
        <v>S</v>
      </c>
      <c r="R166" s="21" t="str">
        <f>VLOOKUP(C166,'2-2. 인사고과표(안전)'!B:AO,40,0)</f>
        <v>S</v>
      </c>
      <c r="S166" s="18"/>
      <c r="T166" s="19"/>
      <c r="U166" s="19"/>
      <c r="V166" s="19"/>
      <c r="W166" s="19"/>
      <c r="X166" s="22"/>
      <c r="Y166" s="23"/>
      <c r="Z166" s="19"/>
      <c r="AA166" s="19" t="s">
        <v>2576</v>
      </c>
      <c r="AB166" s="22" t="s">
        <v>3151</v>
      </c>
      <c r="AC166" s="19"/>
      <c r="AD166" s="23" t="s">
        <v>23</v>
      </c>
      <c r="AE166" s="24"/>
    </row>
    <row r="167" spans="2:31" ht="39.950000000000003" customHeight="1" x14ac:dyDescent="0.3">
      <c r="B167" s="107">
        <v>24021</v>
      </c>
      <c r="C167" s="12">
        <f t="shared" si="6"/>
        <v>162</v>
      </c>
      <c r="D167" s="105" t="str">
        <f>IFERROR(" "&amp;VLOOKUP(B167,현장리스트!$B:$C,2,0),"-")</f>
        <v xml:space="preserve"> [2.금호건설] 대웅제약 마곡연구소 신축공사</v>
      </c>
      <c r="E167" s="13" t="s">
        <v>1210</v>
      </c>
      <c r="F167" s="13" t="str">
        <f t="shared" ca="1" si="7"/>
        <v>34세</v>
      </c>
      <c r="G167" s="14" t="s">
        <v>1211</v>
      </c>
      <c r="H167" s="15" t="str">
        <f t="shared" si="8"/>
        <v>남</v>
      </c>
      <c r="I167" s="16" t="s">
        <v>901</v>
      </c>
      <c r="J167" s="16" t="s">
        <v>902</v>
      </c>
      <c r="K167" s="17">
        <v>190000</v>
      </c>
      <c r="L167" s="18" t="s">
        <v>1212</v>
      </c>
      <c r="M167" s="19" t="s">
        <v>987</v>
      </c>
      <c r="N167" s="19" t="s">
        <v>988</v>
      </c>
      <c r="O167" s="20" t="s">
        <v>2529</v>
      </c>
      <c r="P167" s="23" t="s">
        <v>23</v>
      </c>
      <c r="Q167" s="21" t="str">
        <f>VLOOKUP(C167,'2-1. 인사고과표(기능)'!B:AS,44,0)</f>
        <v>S</v>
      </c>
      <c r="R167" s="21" t="str">
        <f>VLOOKUP(C167,'2-2. 인사고과표(안전)'!B:AO,40,0)</f>
        <v>S</v>
      </c>
      <c r="S167" s="18" t="s">
        <v>31</v>
      </c>
      <c r="T167" s="19"/>
      <c r="U167" s="19"/>
      <c r="V167" s="19"/>
      <c r="W167" s="19"/>
      <c r="X167" s="22"/>
      <c r="Y167" s="23"/>
      <c r="Z167" s="19"/>
      <c r="AA167" s="19" t="s">
        <v>2563</v>
      </c>
      <c r="AB167" s="22" t="s">
        <v>3152</v>
      </c>
      <c r="AC167" s="19"/>
      <c r="AD167" s="23" t="s">
        <v>23</v>
      </c>
      <c r="AE167" s="24"/>
    </row>
    <row r="168" spans="2:31" ht="39.950000000000003" customHeight="1" x14ac:dyDescent="0.3">
      <c r="B168" s="107">
        <v>24021</v>
      </c>
      <c r="C168" s="12">
        <f t="shared" si="6"/>
        <v>163</v>
      </c>
      <c r="D168" s="105" t="str">
        <f>IFERROR(" "&amp;VLOOKUP(B168,현장리스트!$B:$C,2,0),"-")</f>
        <v xml:space="preserve"> [2.금호건설] 대웅제약 마곡연구소 신축공사</v>
      </c>
      <c r="E168" s="13" t="s">
        <v>1350</v>
      </c>
      <c r="F168" s="13" t="str">
        <f t="shared" ca="1" si="7"/>
        <v>46세</v>
      </c>
      <c r="G168" s="14" t="s">
        <v>1351</v>
      </c>
      <c r="H168" s="15" t="str">
        <f t="shared" si="8"/>
        <v>남</v>
      </c>
      <c r="I168" s="16" t="s">
        <v>901</v>
      </c>
      <c r="J168" s="16" t="s">
        <v>30</v>
      </c>
      <c r="K168" s="17">
        <v>220000</v>
      </c>
      <c r="L168" s="18" t="s">
        <v>1352</v>
      </c>
      <c r="M168" s="19" t="s">
        <v>914</v>
      </c>
      <c r="N168" s="19" t="s">
        <v>3069</v>
      </c>
      <c r="O168" s="20" t="s">
        <v>993</v>
      </c>
      <c r="P168" s="23" t="s">
        <v>28</v>
      </c>
      <c r="Q168" s="21" t="str">
        <f>VLOOKUP(C168,'2-1. 인사고과표(기능)'!B:AS,44,0)</f>
        <v>S</v>
      </c>
      <c r="R168" s="21" t="str">
        <f>VLOOKUP(C168,'2-2. 인사고과표(안전)'!B:AO,40,0)</f>
        <v>S</v>
      </c>
      <c r="S168" s="18"/>
      <c r="T168" s="19"/>
      <c r="U168" s="19"/>
      <c r="V168" s="19"/>
      <c r="W168" s="19" t="s">
        <v>813</v>
      </c>
      <c r="X168" s="22" t="s">
        <v>3149</v>
      </c>
      <c r="Y168" s="23" t="s">
        <v>23</v>
      </c>
      <c r="Z168" s="19"/>
      <c r="AA168" s="19" t="s">
        <v>2563</v>
      </c>
      <c r="AB168" s="22" t="s">
        <v>3152</v>
      </c>
      <c r="AC168" s="19"/>
      <c r="AD168" s="23" t="s">
        <v>23</v>
      </c>
      <c r="AE168" s="24"/>
    </row>
    <row r="169" spans="2:31" ht="39.950000000000003" customHeight="1" x14ac:dyDescent="0.3">
      <c r="B169" s="107">
        <v>24021</v>
      </c>
      <c r="C169" s="12">
        <f t="shared" si="6"/>
        <v>164</v>
      </c>
      <c r="D169" s="105" t="str">
        <f>IFERROR(" "&amp;VLOOKUP(B169,현장리스트!$B:$C,2,0),"-")</f>
        <v xml:space="preserve"> [2.금호건설] 대웅제약 마곡연구소 신축공사</v>
      </c>
      <c r="E169" s="13" t="s">
        <v>1819</v>
      </c>
      <c r="F169" s="13" t="str">
        <f t="shared" ca="1" si="7"/>
        <v>50세</v>
      </c>
      <c r="G169" s="14" t="s">
        <v>1820</v>
      </c>
      <c r="H169" s="15" t="str">
        <f t="shared" si="8"/>
        <v>남</v>
      </c>
      <c r="I169" s="16" t="s">
        <v>901</v>
      </c>
      <c r="J169" s="16" t="s">
        <v>30</v>
      </c>
      <c r="K169" s="17">
        <v>220000</v>
      </c>
      <c r="L169" s="18" t="s">
        <v>1821</v>
      </c>
      <c r="M169" s="19" t="s">
        <v>987</v>
      </c>
      <c r="N169" s="19" t="s">
        <v>2587</v>
      </c>
      <c r="O169" s="20" t="s">
        <v>912</v>
      </c>
      <c r="P169" s="23" t="s">
        <v>28</v>
      </c>
      <c r="Q169" s="21" t="str">
        <f>VLOOKUP(C169,'2-1. 인사고과표(기능)'!B:AS,44,0)</f>
        <v>S</v>
      </c>
      <c r="R169" s="21" t="str">
        <f>VLOOKUP(C169,'2-2. 인사고과표(안전)'!B:AO,40,0)</f>
        <v>S</v>
      </c>
      <c r="S169" s="18"/>
      <c r="T169" s="19"/>
      <c r="U169" s="19"/>
      <c r="V169" s="19"/>
      <c r="W169" s="19" t="s">
        <v>813</v>
      </c>
      <c r="X169" s="22" t="s">
        <v>3153</v>
      </c>
      <c r="Y169" s="23" t="s">
        <v>23</v>
      </c>
      <c r="Z169" s="19"/>
      <c r="AA169" s="19" t="s">
        <v>497</v>
      </c>
      <c r="AB169" s="22" t="s">
        <v>3154</v>
      </c>
      <c r="AC169" s="19"/>
      <c r="AD169" s="23" t="s">
        <v>28</v>
      </c>
      <c r="AE169" s="24"/>
    </row>
    <row r="170" spans="2:31" ht="39.950000000000003" customHeight="1" x14ac:dyDescent="0.3">
      <c r="B170" s="107">
        <v>24021</v>
      </c>
      <c r="C170" s="12">
        <f t="shared" si="6"/>
        <v>165</v>
      </c>
      <c r="D170" s="105" t="str">
        <f>IFERROR(" "&amp;VLOOKUP(B170,현장리스트!$B:$C,2,0),"-")</f>
        <v xml:space="preserve"> [2.금호건설] 대웅제약 마곡연구소 신축공사</v>
      </c>
      <c r="E170" s="13" t="s">
        <v>1573</v>
      </c>
      <c r="F170" s="13" t="str">
        <f t="shared" ca="1" si="7"/>
        <v>43세</v>
      </c>
      <c r="G170" s="14" t="s">
        <v>1574</v>
      </c>
      <c r="H170" s="15" t="str">
        <f t="shared" si="8"/>
        <v>남</v>
      </c>
      <c r="I170" s="16" t="s">
        <v>901</v>
      </c>
      <c r="J170" s="16" t="s">
        <v>30</v>
      </c>
      <c r="K170" s="17">
        <v>220000</v>
      </c>
      <c r="L170" s="18" t="s">
        <v>1575</v>
      </c>
      <c r="M170" s="19" t="s">
        <v>3407</v>
      </c>
      <c r="N170" s="19" t="s">
        <v>3411</v>
      </c>
      <c r="O170" s="20" t="s">
        <v>3138</v>
      </c>
      <c r="P170" s="23" t="s">
        <v>28</v>
      </c>
      <c r="Q170" s="21" t="str">
        <f>VLOOKUP(C170,'2-1. 인사고과표(기능)'!B:AS,44,0)</f>
        <v>S</v>
      </c>
      <c r="R170" s="21" t="str">
        <f>VLOOKUP(C170,'2-2. 인사고과표(안전)'!B:AO,40,0)</f>
        <v>S</v>
      </c>
      <c r="S170" s="18"/>
      <c r="T170" s="19"/>
      <c r="U170" s="19"/>
      <c r="V170" s="19"/>
      <c r="W170" s="19"/>
      <c r="X170" s="22" t="s">
        <v>3155</v>
      </c>
      <c r="Y170" s="23" t="s">
        <v>28</v>
      </c>
      <c r="Z170" s="19"/>
      <c r="AA170" s="19"/>
      <c r="AB170" s="22" t="s">
        <v>3156</v>
      </c>
      <c r="AC170" s="19"/>
      <c r="AD170" s="23" t="s">
        <v>23</v>
      </c>
      <c r="AE170" s="24"/>
    </row>
    <row r="171" spans="2:31" ht="39.950000000000003" customHeight="1" x14ac:dyDescent="0.3">
      <c r="B171" s="107">
        <v>24021</v>
      </c>
      <c r="C171" s="12">
        <f t="shared" si="6"/>
        <v>166</v>
      </c>
      <c r="D171" s="105" t="str">
        <f>IFERROR(" "&amp;VLOOKUP(B171,현장리스트!$B:$C,2,0),"-")</f>
        <v xml:space="preserve"> [2.금호건설] 대웅제약 마곡연구소 신축공사</v>
      </c>
      <c r="E171" s="13" t="s">
        <v>1975</v>
      </c>
      <c r="F171" s="13" t="str">
        <f t="shared" ca="1" si="7"/>
        <v>61세</v>
      </c>
      <c r="G171" s="14" t="s">
        <v>1976</v>
      </c>
      <c r="H171" s="15" t="str">
        <f t="shared" si="8"/>
        <v>남</v>
      </c>
      <c r="I171" s="16" t="s">
        <v>901</v>
      </c>
      <c r="J171" s="16" t="s">
        <v>30</v>
      </c>
      <c r="K171" s="17">
        <v>220000</v>
      </c>
      <c r="L171" s="18" t="s">
        <v>1977</v>
      </c>
      <c r="M171" s="19" t="s">
        <v>910</v>
      </c>
      <c r="N171" s="19" t="s">
        <v>995</v>
      </c>
      <c r="O171" s="20" t="s">
        <v>3139</v>
      </c>
      <c r="P171" s="23" t="s">
        <v>23</v>
      </c>
      <c r="Q171" s="21" t="str">
        <f>VLOOKUP(C171,'2-1. 인사고과표(기능)'!B:AS,44,0)</f>
        <v>S</v>
      </c>
      <c r="R171" s="21" t="str">
        <f>VLOOKUP(C171,'2-2. 인사고과표(안전)'!B:AO,40,0)</f>
        <v>S</v>
      </c>
      <c r="S171" s="18"/>
      <c r="T171" s="19"/>
      <c r="U171" s="19"/>
      <c r="V171" s="19"/>
      <c r="W171" s="19"/>
      <c r="X171" s="22"/>
      <c r="Y171" s="23"/>
      <c r="Z171" s="19"/>
      <c r="AA171" s="19" t="s">
        <v>3157</v>
      </c>
      <c r="AB171" s="22" t="s">
        <v>3158</v>
      </c>
      <c r="AC171" s="19"/>
      <c r="AD171" s="23" t="s">
        <v>23</v>
      </c>
      <c r="AE171" s="24"/>
    </row>
    <row r="172" spans="2:31" ht="39.950000000000003" customHeight="1" x14ac:dyDescent="0.3">
      <c r="B172" s="107">
        <v>24021</v>
      </c>
      <c r="C172" s="12">
        <f t="shared" si="6"/>
        <v>167</v>
      </c>
      <c r="D172" s="105" t="str">
        <f>IFERROR(" "&amp;VLOOKUP(B172,현장리스트!$B:$C,2,0),"-")</f>
        <v xml:space="preserve"> [2.금호건설] 대웅제약 마곡연구소 신축공사</v>
      </c>
      <c r="E172" s="13" t="s">
        <v>1442</v>
      </c>
      <c r="F172" s="13" t="str">
        <f t="shared" ca="1" si="7"/>
        <v>50세</v>
      </c>
      <c r="G172" s="14" t="s">
        <v>1443</v>
      </c>
      <c r="H172" s="15" t="str">
        <f t="shared" si="8"/>
        <v>남</v>
      </c>
      <c r="I172" s="16" t="s">
        <v>901</v>
      </c>
      <c r="J172" s="16" t="s">
        <v>30</v>
      </c>
      <c r="K172" s="17">
        <v>220000</v>
      </c>
      <c r="L172" s="18" t="s">
        <v>1444</v>
      </c>
      <c r="M172" s="19" t="s">
        <v>987</v>
      </c>
      <c r="N172" s="19" t="s">
        <v>2566</v>
      </c>
      <c r="O172" s="20" t="s">
        <v>912</v>
      </c>
      <c r="P172" s="23" t="s">
        <v>28</v>
      </c>
      <c r="Q172" s="21" t="str">
        <f>VLOOKUP(C172,'2-1. 인사고과표(기능)'!B:AS,44,0)</f>
        <v>S</v>
      </c>
      <c r="R172" s="21" t="str">
        <f>VLOOKUP(C172,'2-2. 인사고과표(안전)'!B:AO,40,0)</f>
        <v>S</v>
      </c>
      <c r="S172" s="18"/>
      <c r="T172" s="19"/>
      <c r="U172" s="19"/>
      <c r="V172" s="19"/>
      <c r="W172" s="19"/>
      <c r="X172" s="22"/>
      <c r="Y172" s="23"/>
      <c r="Z172" s="19"/>
      <c r="AA172" s="19" t="s">
        <v>3157</v>
      </c>
      <c r="AB172" s="22" t="s">
        <v>3159</v>
      </c>
      <c r="AC172" s="19"/>
      <c r="AD172" s="23" t="s">
        <v>27</v>
      </c>
      <c r="AE172" s="24"/>
    </row>
    <row r="173" spans="2:31" ht="39.950000000000003" customHeight="1" x14ac:dyDescent="0.3">
      <c r="B173" s="107">
        <v>24021</v>
      </c>
      <c r="C173" s="12">
        <f t="shared" si="6"/>
        <v>168</v>
      </c>
      <c r="D173" s="105" t="str">
        <f>IFERROR(" "&amp;VLOOKUP(B173,현장리스트!$B:$C,2,0),"-")</f>
        <v xml:space="preserve"> [2.금호건설] 대웅제약 마곡연구소 신축공사</v>
      </c>
      <c r="E173" s="13" t="s">
        <v>2017</v>
      </c>
      <c r="F173" s="13" t="str">
        <f t="shared" ca="1" si="7"/>
        <v>61세</v>
      </c>
      <c r="G173" s="14" t="s">
        <v>2018</v>
      </c>
      <c r="H173" s="15" t="str">
        <f t="shared" si="8"/>
        <v>남</v>
      </c>
      <c r="I173" s="16" t="s">
        <v>901</v>
      </c>
      <c r="J173" s="16" t="s">
        <v>30</v>
      </c>
      <c r="K173" s="17">
        <v>200000</v>
      </c>
      <c r="L173" s="18" t="s">
        <v>2019</v>
      </c>
      <c r="M173" s="19" t="s">
        <v>3074</v>
      </c>
      <c r="N173" s="19" t="s">
        <v>3413</v>
      </c>
      <c r="O173" s="20" t="s">
        <v>921</v>
      </c>
      <c r="P173" s="23" t="s">
        <v>28</v>
      </c>
      <c r="Q173" s="21" t="str">
        <f>VLOOKUP(C173,'2-1. 인사고과표(기능)'!B:AS,44,0)</f>
        <v>S</v>
      </c>
      <c r="R173" s="21" t="str">
        <f>VLOOKUP(C173,'2-2. 인사고과표(안전)'!B:AO,40,0)</f>
        <v>S</v>
      </c>
      <c r="S173" s="18"/>
      <c r="T173" s="19"/>
      <c r="U173" s="19"/>
      <c r="V173" s="19"/>
      <c r="W173" s="19"/>
      <c r="X173" s="22"/>
      <c r="Y173" s="23"/>
      <c r="Z173" s="19"/>
      <c r="AA173" s="19" t="s">
        <v>3157</v>
      </c>
      <c r="AB173" s="22" t="s">
        <v>3159</v>
      </c>
      <c r="AC173" s="19"/>
      <c r="AD173" s="23" t="s">
        <v>27</v>
      </c>
      <c r="AE173" s="24"/>
    </row>
    <row r="174" spans="2:31" ht="39.950000000000003" customHeight="1" x14ac:dyDescent="0.3">
      <c r="B174" s="107">
        <v>24021</v>
      </c>
      <c r="C174" s="12">
        <f t="shared" si="6"/>
        <v>169</v>
      </c>
      <c r="D174" s="105" t="str">
        <f>IFERROR(" "&amp;VLOOKUP(B174,현장리스트!$B:$C,2,0),"-")</f>
        <v xml:space="preserve"> [2.금호건설] 대웅제약 마곡연구소 신축공사</v>
      </c>
      <c r="E174" s="13" t="s">
        <v>1180</v>
      </c>
      <c r="F174" s="13" t="str">
        <f t="shared" ca="1" si="7"/>
        <v>61세</v>
      </c>
      <c r="G174" s="14" t="s">
        <v>1181</v>
      </c>
      <c r="H174" s="15" t="str">
        <f t="shared" si="8"/>
        <v>남</v>
      </c>
      <c r="I174" s="16" t="s">
        <v>901</v>
      </c>
      <c r="J174" s="16" t="s">
        <v>30</v>
      </c>
      <c r="K174" s="17">
        <v>210000</v>
      </c>
      <c r="L174" s="18" t="s">
        <v>1182</v>
      </c>
      <c r="M174" s="19" t="s">
        <v>910</v>
      </c>
      <c r="N174" s="19" t="s">
        <v>1001</v>
      </c>
      <c r="O174" s="20" t="s">
        <v>2887</v>
      </c>
      <c r="P174" s="23" t="s">
        <v>23</v>
      </c>
      <c r="Q174" s="21" t="str">
        <f>VLOOKUP(C174,'2-1. 인사고과표(기능)'!B:AS,44,0)</f>
        <v>S</v>
      </c>
      <c r="R174" s="21" t="str">
        <f>VLOOKUP(C174,'2-2. 인사고과표(안전)'!B:AO,40,0)</f>
        <v>S</v>
      </c>
      <c r="S174" s="18"/>
      <c r="T174" s="19"/>
      <c r="U174" s="19"/>
      <c r="V174" s="19"/>
      <c r="W174" s="19"/>
      <c r="X174" s="22"/>
      <c r="Y174" s="23"/>
      <c r="Z174" s="19"/>
      <c r="AA174" s="19" t="s">
        <v>3160</v>
      </c>
      <c r="AB174" s="22" t="s">
        <v>3161</v>
      </c>
      <c r="AC174" s="19"/>
      <c r="AD174" s="23" t="s">
        <v>23</v>
      </c>
      <c r="AE174" s="24"/>
    </row>
    <row r="175" spans="2:31" ht="39.950000000000003" customHeight="1" x14ac:dyDescent="0.3">
      <c r="B175" s="107">
        <v>24021</v>
      </c>
      <c r="C175" s="12">
        <f t="shared" si="6"/>
        <v>170</v>
      </c>
      <c r="D175" s="105" t="str">
        <f>IFERROR(" "&amp;VLOOKUP(B175,현장리스트!$B:$C,2,0),"-")</f>
        <v xml:space="preserve"> [2.금호건설] 대웅제약 마곡연구소 신축공사</v>
      </c>
      <c r="E175" s="13" t="s">
        <v>2125</v>
      </c>
      <c r="F175" s="13" t="str">
        <f t="shared" ca="1" si="7"/>
        <v>53세</v>
      </c>
      <c r="G175" s="14" t="s">
        <v>2126</v>
      </c>
      <c r="H175" s="15" t="str">
        <f t="shared" si="8"/>
        <v>남</v>
      </c>
      <c r="I175" s="16" t="s">
        <v>901</v>
      </c>
      <c r="J175" s="16" t="s">
        <v>30</v>
      </c>
      <c r="K175" s="17">
        <v>210000</v>
      </c>
      <c r="L175" s="18" t="s">
        <v>2127</v>
      </c>
      <c r="M175" s="19" t="s">
        <v>987</v>
      </c>
      <c r="N175" s="19" t="s">
        <v>1010</v>
      </c>
      <c r="O175" s="20" t="s">
        <v>3140</v>
      </c>
      <c r="P175" s="23" t="s">
        <v>23</v>
      </c>
      <c r="Q175" s="21" t="str">
        <f>VLOOKUP(C175,'2-1. 인사고과표(기능)'!B:AS,44,0)</f>
        <v>S</v>
      </c>
      <c r="R175" s="21" t="str">
        <f>VLOOKUP(C175,'2-2. 인사고과표(안전)'!B:AO,40,0)</f>
        <v>S</v>
      </c>
      <c r="S175" s="18"/>
      <c r="T175" s="19"/>
      <c r="U175" s="19"/>
      <c r="V175" s="19"/>
      <c r="W175" s="19"/>
      <c r="X175" s="22"/>
      <c r="Y175" s="23"/>
      <c r="Z175" s="19"/>
      <c r="AA175" s="19" t="s">
        <v>3162</v>
      </c>
      <c r="AB175" s="22" t="s">
        <v>3163</v>
      </c>
      <c r="AC175" s="19"/>
      <c r="AD175" s="23" t="s">
        <v>23</v>
      </c>
      <c r="AE175" s="24"/>
    </row>
    <row r="176" spans="2:31" ht="39.950000000000003" customHeight="1" x14ac:dyDescent="0.3">
      <c r="B176" s="107">
        <v>24021</v>
      </c>
      <c r="C176" s="12">
        <f t="shared" si="6"/>
        <v>171</v>
      </c>
      <c r="D176" s="105" t="str">
        <f>IFERROR(" "&amp;VLOOKUP(B176,현장리스트!$B:$C,2,0),"-")</f>
        <v xml:space="preserve"> [2.금호건설] 대웅제약 마곡연구소 신축공사</v>
      </c>
      <c r="E176" s="13" t="s">
        <v>1328</v>
      </c>
      <c r="F176" s="13" t="str">
        <f t="shared" ca="1" si="7"/>
        <v>52세</v>
      </c>
      <c r="G176" s="14" t="s">
        <v>1329</v>
      </c>
      <c r="H176" s="15" t="str">
        <f t="shared" si="8"/>
        <v>남</v>
      </c>
      <c r="I176" s="16" t="s">
        <v>901</v>
      </c>
      <c r="J176" s="16" t="s">
        <v>30</v>
      </c>
      <c r="K176" s="17">
        <v>200000</v>
      </c>
      <c r="L176" s="18" t="s">
        <v>1330</v>
      </c>
      <c r="M176" s="19" t="s">
        <v>987</v>
      </c>
      <c r="N176" s="19" t="s">
        <v>2868</v>
      </c>
      <c r="O176" s="20" t="s">
        <v>2555</v>
      </c>
      <c r="P176" s="23" t="s">
        <v>23</v>
      </c>
      <c r="Q176" s="21" t="str">
        <f>VLOOKUP(C176,'2-1. 인사고과표(기능)'!B:AS,44,0)</f>
        <v>S</v>
      </c>
      <c r="R176" s="21" t="str">
        <f>VLOOKUP(C176,'2-2. 인사고과표(안전)'!B:AO,40,0)</f>
        <v>S</v>
      </c>
      <c r="S176" s="18"/>
      <c r="T176" s="19"/>
      <c r="U176" s="19"/>
      <c r="V176" s="19"/>
      <c r="W176" s="19"/>
      <c r="X176" s="22"/>
      <c r="Y176" s="23"/>
      <c r="Z176" s="19"/>
      <c r="AA176" s="19" t="s">
        <v>2576</v>
      </c>
      <c r="AB176" s="22" t="s">
        <v>3164</v>
      </c>
      <c r="AC176" s="19"/>
      <c r="AD176" s="23" t="s">
        <v>23</v>
      </c>
      <c r="AE176" s="24"/>
    </row>
    <row r="177" spans="2:31" ht="39.950000000000003" customHeight="1" x14ac:dyDescent="0.3">
      <c r="B177" s="107">
        <v>24021</v>
      </c>
      <c r="C177" s="12">
        <f t="shared" si="6"/>
        <v>172</v>
      </c>
      <c r="D177" s="105" t="str">
        <f>IFERROR(" "&amp;VLOOKUP(B177,현장리스트!$B:$C,2,0),"-")</f>
        <v xml:space="preserve"> [2.금호건설] 대웅제약 마곡연구소 신축공사</v>
      </c>
      <c r="E177" s="13" t="s">
        <v>1153</v>
      </c>
      <c r="F177" s="13" t="str">
        <f t="shared" ca="1" si="7"/>
        <v>48세</v>
      </c>
      <c r="G177" s="14" t="s">
        <v>1154</v>
      </c>
      <c r="H177" s="15" t="str">
        <f t="shared" si="8"/>
        <v>남</v>
      </c>
      <c r="I177" s="16" t="s">
        <v>901</v>
      </c>
      <c r="J177" s="16" t="s">
        <v>30</v>
      </c>
      <c r="K177" s="17">
        <v>220000</v>
      </c>
      <c r="L177" s="18" t="s">
        <v>1155</v>
      </c>
      <c r="M177" s="19" t="s">
        <v>987</v>
      </c>
      <c r="N177" s="19" t="s">
        <v>2870</v>
      </c>
      <c r="O177" s="20" t="s">
        <v>2949</v>
      </c>
      <c r="P177" s="23" t="s">
        <v>28</v>
      </c>
      <c r="Q177" s="21" t="str">
        <f>VLOOKUP(C177,'2-1. 인사고과표(기능)'!B:AS,44,0)</f>
        <v>S</v>
      </c>
      <c r="R177" s="21" t="str">
        <f>VLOOKUP(C177,'2-2. 인사고과표(안전)'!B:AO,40,0)</f>
        <v>S</v>
      </c>
      <c r="S177" s="18"/>
      <c r="T177" s="19"/>
      <c r="U177" s="19"/>
      <c r="V177" s="19"/>
      <c r="W177" s="19"/>
      <c r="X177" s="22"/>
      <c r="Y177" s="23"/>
      <c r="Z177" s="19"/>
      <c r="AA177" s="19" t="s">
        <v>2695</v>
      </c>
      <c r="AB177" s="22" t="s">
        <v>3165</v>
      </c>
      <c r="AC177" s="19"/>
      <c r="AD177" s="23" t="s">
        <v>28</v>
      </c>
      <c r="AE177" s="24"/>
    </row>
    <row r="178" spans="2:31" ht="39.950000000000003" customHeight="1" x14ac:dyDescent="0.3">
      <c r="B178" s="107">
        <v>24021</v>
      </c>
      <c r="C178" s="12">
        <f t="shared" si="6"/>
        <v>173</v>
      </c>
      <c r="D178" s="105" t="str">
        <f>IFERROR(" "&amp;VLOOKUP(B178,현장리스트!$B:$C,2,0),"-")</f>
        <v xml:space="preserve"> [2.금호건설] 대웅제약 마곡연구소 신축공사</v>
      </c>
      <c r="E178" s="13" t="s">
        <v>1258</v>
      </c>
      <c r="F178" s="13" t="str">
        <f t="shared" ca="1" si="7"/>
        <v>64세</v>
      </c>
      <c r="G178" s="14" t="s">
        <v>1259</v>
      </c>
      <c r="H178" s="15" t="str">
        <f t="shared" si="8"/>
        <v>남</v>
      </c>
      <c r="I178" s="16" t="s">
        <v>901</v>
      </c>
      <c r="J178" s="16" t="s">
        <v>30</v>
      </c>
      <c r="K178" s="17">
        <v>200000</v>
      </c>
      <c r="L178" s="18" t="s">
        <v>1260</v>
      </c>
      <c r="M178" s="19" t="s">
        <v>914</v>
      </c>
      <c r="N178" s="19" t="s">
        <v>3069</v>
      </c>
      <c r="O178" s="20" t="s">
        <v>2664</v>
      </c>
      <c r="P178" s="23" t="s">
        <v>28</v>
      </c>
      <c r="Q178" s="21" t="str">
        <f>VLOOKUP(C178,'2-1. 인사고과표(기능)'!B:AS,44,0)</f>
        <v>S</v>
      </c>
      <c r="R178" s="21" t="str">
        <f>VLOOKUP(C178,'2-2. 인사고과표(안전)'!B:AO,40,0)</f>
        <v>S</v>
      </c>
      <c r="S178" s="18"/>
      <c r="T178" s="19"/>
      <c r="U178" s="19"/>
      <c r="V178" s="19"/>
      <c r="W178" s="19" t="s">
        <v>497</v>
      </c>
      <c r="X178" s="22" t="s">
        <v>3166</v>
      </c>
      <c r="Y178" s="23" t="s">
        <v>23</v>
      </c>
      <c r="Z178" s="19"/>
      <c r="AA178" s="19"/>
      <c r="AB178" s="22"/>
      <c r="AC178" s="19"/>
      <c r="AD178" s="23"/>
      <c r="AE178" s="24"/>
    </row>
    <row r="179" spans="2:31" ht="39.950000000000003" customHeight="1" x14ac:dyDescent="0.3">
      <c r="B179" s="107">
        <v>24021</v>
      </c>
      <c r="C179" s="12">
        <f t="shared" si="6"/>
        <v>174</v>
      </c>
      <c r="D179" s="105" t="str">
        <f>IFERROR(" "&amp;VLOOKUP(B179,현장리스트!$B:$C,2,0),"-")</f>
        <v xml:space="preserve"> [2.금호건설] 대웅제약 마곡연구소 신축공사</v>
      </c>
      <c r="E179" s="13" t="s">
        <v>1913</v>
      </c>
      <c r="F179" s="13" t="str">
        <f t="shared" ca="1" si="7"/>
        <v>59세</v>
      </c>
      <c r="G179" s="14" t="s">
        <v>1914</v>
      </c>
      <c r="H179" s="15" t="str">
        <f t="shared" si="8"/>
        <v>남</v>
      </c>
      <c r="I179" s="16" t="s">
        <v>901</v>
      </c>
      <c r="J179" s="16" t="s">
        <v>30</v>
      </c>
      <c r="K179" s="17">
        <v>220000</v>
      </c>
      <c r="L179" s="18" t="s">
        <v>1915</v>
      </c>
      <c r="M179" s="19" t="s">
        <v>987</v>
      </c>
      <c r="N179" s="19" t="s">
        <v>2587</v>
      </c>
      <c r="O179" s="20"/>
      <c r="P179" s="23"/>
      <c r="Q179" s="21" t="str">
        <f>VLOOKUP(C179,'2-1. 인사고과표(기능)'!B:AS,44,0)</f>
        <v>S</v>
      </c>
      <c r="R179" s="21" t="str">
        <f>VLOOKUP(C179,'2-2. 인사고과표(안전)'!B:AO,40,0)</f>
        <v>S</v>
      </c>
      <c r="S179" s="18"/>
      <c r="T179" s="19"/>
      <c r="U179" s="19"/>
      <c r="V179" s="19"/>
      <c r="W179" s="19"/>
      <c r="X179" s="22"/>
      <c r="Y179" s="23"/>
      <c r="Z179" s="19"/>
      <c r="AA179" s="19" t="s">
        <v>2695</v>
      </c>
      <c r="AB179" s="22" t="s">
        <v>3165</v>
      </c>
      <c r="AC179" s="19"/>
      <c r="AD179" s="23" t="s">
        <v>28</v>
      </c>
      <c r="AE179" s="24"/>
    </row>
    <row r="180" spans="2:31" ht="39.950000000000003" customHeight="1" x14ac:dyDescent="0.3">
      <c r="B180" s="107">
        <v>24021</v>
      </c>
      <c r="C180" s="12">
        <f t="shared" si="6"/>
        <v>175</v>
      </c>
      <c r="D180" s="105" t="str">
        <f>IFERROR(" "&amp;VLOOKUP(B180,현장리스트!$B:$C,2,0),"-")</f>
        <v xml:space="preserve"> [2.금호건설] 대웅제약 마곡연구소 신축공사</v>
      </c>
      <c r="E180" s="13" t="s">
        <v>2366</v>
      </c>
      <c r="F180" s="13" t="str">
        <f t="shared" ca="1" si="7"/>
        <v>58세</v>
      </c>
      <c r="G180" s="14" t="s">
        <v>2367</v>
      </c>
      <c r="H180" s="15" t="str">
        <f t="shared" si="8"/>
        <v>남</v>
      </c>
      <c r="I180" s="16" t="s">
        <v>901</v>
      </c>
      <c r="J180" s="16" t="s">
        <v>30</v>
      </c>
      <c r="K180" s="17">
        <v>220000</v>
      </c>
      <c r="L180" s="18" t="s">
        <v>2368</v>
      </c>
      <c r="M180" s="19" t="s">
        <v>987</v>
      </c>
      <c r="N180" s="19" t="s">
        <v>2870</v>
      </c>
      <c r="O180" s="20"/>
      <c r="P180" s="23"/>
      <c r="Q180" s="21" t="str">
        <f>VLOOKUP(C180,'2-1. 인사고과표(기능)'!B:AS,44,0)</f>
        <v>S</v>
      </c>
      <c r="R180" s="21" t="str">
        <f>VLOOKUP(C180,'2-2. 인사고과표(안전)'!B:AO,40,0)</f>
        <v>S</v>
      </c>
      <c r="S180" s="18"/>
      <c r="T180" s="19"/>
      <c r="U180" s="19"/>
      <c r="V180" s="19"/>
      <c r="W180" s="19"/>
      <c r="X180" s="22"/>
      <c r="Y180" s="23"/>
      <c r="Z180" s="19"/>
      <c r="AA180" s="19" t="s">
        <v>2695</v>
      </c>
      <c r="AB180" s="22" t="s">
        <v>3165</v>
      </c>
      <c r="AC180" s="19"/>
      <c r="AD180" s="23" t="s">
        <v>28</v>
      </c>
      <c r="AE180" s="24"/>
    </row>
    <row r="181" spans="2:31" ht="39.950000000000003" customHeight="1" x14ac:dyDescent="0.3">
      <c r="B181" s="107">
        <v>24021</v>
      </c>
      <c r="C181" s="12">
        <f t="shared" si="6"/>
        <v>176</v>
      </c>
      <c r="D181" s="105" t="str">
        <f>IFERROR(" "&amp;VLOOKUP(B181,현장리스트!$B:$C,2,0),"-")</f>
        <v xml:space="preserve"> [2.금호건설] 대웅제약 마곡연구소 신축공사</v>
      </c>
      <c r="E181" s="13" t="s">
        <v>2403</v>
      </c>
      <c r="F181" s="13" t="str">
        <f t="shared" ca="1" si="7"/>
        <v>63세</v>
      </c>
      <c r="G181" s="14" t="s">
        <v>2404</v>
      </c>
      <c r="H181" s="15" t="str">
        <f t="shared" si="8"/>
        <v>남</v>
      </c>
      <c r="I181" s="16" t="s">
        <v>901</v>
      </c>
      <c r="J181" s="16" t="s">
        <v>30</v>
      </c>
      <c r="K181" s="17">
        <v>220000</v>
      </c>
      <c r="L181" s="18" t="s">
        <v>2405</v>
      </c>
      <c r="M181" s="19" t="s">
        <v>914</v>
      </c>
      <c r="N181" s="19" t="s">
        <v>3420</v>
      </c>
      <c r="O181" s="20" t="s">
        <v>3139</v>
      </c>
      <c r="P181" s="23" t="s">
        <v>28</v>
      </c>
      <c r="Q181" s="21" t="str">
        <f>VLOOKUP(C181,'2-1. 인사고과표(기능)'!B:AS,44,0)</f>
        <v>S</v>
      </c>
      <c r="R181" s="21" t="str">
        <f>VLOOKUP(C181,'2-2. 인사고과표(안전)'!B:AO,40,0)</f>
        <v>S</v>
      </c>
      <c r="S181" s="18"/>
      <c r="T181" s="19"/>
      <c r="U181" s="19"/>
      <c r="V181" s="19"/>
      <c r="W181" s="19" t="s">
        <v>2695</v>
      </c>
      <c r="X181" s="22" t="s">
        <v>3144</v>
      </c>
      <c r="Y181" s="23" t="s">
        <v>23</v>
      </c>
      <c r="Z181" s="19"/>
      <c r="AA181" s="19"/>
      <c r="AB181" s="22"/>
      <c r="AC181" s="19"/>
      <c r="AD181" s="23"/>
      <c r="AE181" s="24"/>
    </row>
    <row r="182" spans="2:31" ht="39.950000000000003" customHeight="1" x14ac:dyDescent="0.3">
      <c r="B182" s="107">
        <v>24021</v>
      </c>
      <c r="C182" s="12">
        <f t="shared" si="6"/>
        <v>177</v>
      </c>
      <c r="D182" s="105" t="str">
        <f>IFERROR(" "&amp;VLOOKUP(B182,현장리스트!$B:$C,2,0),"-")</f>
        <v xml:space="preserve"> [2.금호건설] 대웅제약 마곡연구소 신축공사</v>
      </c>
      <c r="E182" s="13" t="s">
        <v>1391</v>
      </c>
      <c r="F182" s="13" t="str">
        <f t="shared" ca="1" si="7"/>
        <v>56세</v>
      </c>
      <c r="G182" s="14" t="s">
        <v>1392</v>
      </c>
      <c r="H182" s="15" t="str">
        <f t="shared" si="8"/>
        <v>남</v>
      </c>
      <c r="I182" s="16" t="s">
        <v>901</v>
      </c>
      <c r="J182" s="16" t="s">
        <v>30</v>
      </c>
      <c r="K182" s="17">
        <v>220000</v>
      </c>
      <c r="L182" s="18" t="s">
        <v>1393</v>
      </c>
      <c r="M182" s="19" t="s">
        <v>914</v>
      </c>
      <c r="N182" s="19" t="s">
        <v>3019</v>
      </c>
      <c r="O182" s="20" t="s">
        <v>1017</v>
      </c>
      <c r="P182" s="23" t="s">
        <v>28</v>
      </c>
      <c r="Q182" s="21" t="str">
        <f>VLOOKUP(C182,'2-1. 인사고과표(기능)'!B:AS,44,0)</f>
        <v>S</v>
      </c>
      <c r="R182" s="21" t="str">
        <f>VLOOKUP(C182,'2-2. 인사고과표(안전)'!B:AO,40,0)</f>
        <v>S</v>
      </c>
      <c r="S182" s="18"/>
      <c r="T182" s="19"/>
      <c r="U182" s="19"/>
      <c r="V182" s="19"/>
      <c r="W182" s="19"/>
      <c r="X182" s="22"/>
      <c r="Y182" s="23"/>
      <c r="Z182" s="19"/>
      <c r="AA182" s="19" t="s">
        <v>497</v>
      </c>
      <c r="AB182" s="22" t="s">
        <v>3167</v>
      </c>
      <c r="AC182" s="19"/>
      <c r="AD182" s="23" t="s">
        <v>28</v>
      </c>
      <c r="AE182" s="24"/>
    </row>
    <row r="183" spans="2:31" ht="39.950000000000003" customHeight="1" x14ac:dyDescent="0.3">
      <c r="B183" s="107">
        <v>24021</v>
      </c>
      <c r="C183" s="12">
        <f t="shared" si="6"/>
        <v>178</v>
      </c>
      <c r="D183" s="105" t="str">
        <f>IFERROR(" "&amp;VLOOKUP(B183,현장리스트!$B:$C,2,0),"-")</f>
        <v xml:space="preserve"> [2.금호건설] 대웅제약 마곡연구소 신축공사</v>
      </c>
      <c r="E183" s="13" t="s">
        <v>1695</v>
      </c>
      <c r="F183" s="13" t="str">
        <f t="shared" ca="1" si="7"/>
        <v>63세</v>
      </c>
      <c r="G183" s="14" t="s">
        <v>1696</v>
      </c>
      <c r="H183" s="15" t="str">
        <f t="shared" si="8"/>
        <v>남</v>
      </c>
      <c r="I183" s="16" t="s">
        <v>901</v>
      </c>
      <c r="J183" s="16" t="s">
        <v>30</v>
      </c>
      <c r="K183" s="17">
        <v>220000</v>
      </c>
      <c r="L183" s="18" t="s">
        <v>1697</v>
      </c>
      <c r="M183" s="19" t="s">
        <v>914</v>
      </c>
      <c r="N183" s="19" t="s">
        <v>2606</v>
      </c>
      <c r="O183" s="20" t="s">
        <v>2887</v>
      </c>
      <c r="P183" s="23" t="s">
        <v>28</v>
      </c>
      <c r="Q183" s="21" t="str">
        <f>VLOOKUP(C183,'2-1. 인사고과표(기능)'!B:AS,44,0)</f>
        <v>S</v>
      </c>
      <c r="R183" s="21" t="str">
        <f>VLOOKUP(C183,'2-2. 인사고과표(안전)'!B:AO,40,0)</f>
        <v>S</v>
      </c>
      <c r="S183" s="18"/>
      <c r="T183" s="19"/>
      <c r="U183" s="19"/>
      <c r="V183" s="19"/>
      <c r="W183" s="19"/>
      <c r="X183" s="22"/>
      <c r="Y183" s="23"/>
      <c r="Z183" s="19"/>
      <c r="AA183" s="19" t="s">
        <v>3168</v>
      </c>
      <c r="AB183" s="22" t="s">
        <v>3169</v>
      </c>
      <c r="AC183" s="19"/>
      <c r="AD183" s="23" t="s">
        <v>23</v>
      </c>
      <c r="AE183" s="24"/>
    </row>
    <row r="184" spans="2:31" ht="39.950000000000003" customHeight="1" x14ac:dyDescent="0.3">
      <c r="B184" s="107">
        <v>24021</v>
      </c>
      <c r="C184" s="12">
        <f t="shared" si="6"/>
        <v>179</v>
      </c>
      <c r="D184" s="105" t="str">
        <f>IFERROR(" "&amp;VLOOKUP(B184,현장리스트!$B:$C,2,0),"-")</f>
        <v xml:space="preserve"> [2.금호건설] 대웅제약 마곡연구소 신축공사</v>
      </c>
      <c r="E184" s="13" t="s">
        <v>1710</v>
      </c>
      <c r="F184" s="13" t="str">
        <f t="shared" ca="1" si="7"/>
        <v>63세</v>
      </c>
      <c r="G184" s="14" t="s">
        <v>1711</v>
      </c>
      <c r="H184" s="15" t="str">
        <f t="shared" si="8"/>
        <v>남</v>
      </c>
      <c r="I184" s="16" t="s">
        <v>901</v>
      </c>
      <c r="J184" s="16" t="s">
        <v>30</v>
      </c>
      <c r="K184" s="17">
        <v>220000</v>
      </c>
      <c r="L184" s="18" t="s">
        <v>1712</v>
      </c>
      <c r="M184" s="19" t="s">
        <v>914</v>
      </c>
      <c r="N184" s="19" t="s">
        <v>2618</v>
      </c>
      <c r="O184" s="20" t="s">
        <v>3141</v>
      </c>
      <c r="P184" s="23" t="s">
        <v>28</v>
      </c>
      <c r="Q184" s="21" t="str">
        <f>VLOOKUP(C184,'2-1. 인사고과표(기능)'!B:AS,44,0)</f>
        <v>S</v>
      </c>
      <c r="R184" s="21" t="str">
        <f>VLOOKUP(C184,'2-2. 인사고과표(안전)'!B:AO,40,0)</f>
        <v>S</v>
      </c>
      <c r="S184" s="18"/>
      <c r="T184" s="19"/>
      <c r="U184" s="19"/>
      <c r="V184" s="19"/>
      <c r="W184" s="19"/>
      <c r="X184" s="22"/>
      <c r="Y184" s="23"/>
      <c r="Z184" s="19"/>
      <c r="AA184" s="19" t="s">
        <v>2839</v>
      </c>
      <c r="AB184" s="22" t="s">
        <v>162</v>
      </c>
      <c r="AC184" s="19"/>
      <c r="AD184" s="23" t="s">
        <v>23</v>
      </c>
      <c r="AE184" s="24"/>
    </row>
    <row r="185" spans="2:31" ht="39.950000000000003" customHeight="1" x14ac:dyDescent="0.3">
      <c r="B185" s="107">
        <v>24021</v>
      </c>
      <c r="C185" s="12">
        <f t="shared" si="6"/>
        <v>180</v>
      </c>
      <c r="D185" s="105" t="str">
        <f>IFERROR(" "&amp;VLOOKUP(B185,현장리스트!$B:$C,2,0),"-")</f>
        <v xml:space="preserve"> [2.금호건설] 대웅제약 마곡연구소 신축공사</v>
      </c>
      <c r="E185" s="13" t="s">
        <v>1767</v>
      </c>
      <c r="F185" s="13" t="str">
        <f t="shared" ca="1" si="7"/>
        <v>64세</v>
      </c>
      <c r="G185" s="14" t="s">
        <v>1768</v>
      </c>
      <c r="H185" s="15" t="str">
        <f t="shared" si="8"/>
        <v>남</v>
      </c>
      <c r="I185" s="16" t="s">
        <v>901</v>
      </c>
      <c r="J185" s="16" t="s">
        <v>30</v>
      </c>
      <c r="K185" s="17">
        <v>220000</v>
      </c>
      <c r="L185" s="18" t="s">
        <v>1769</v>
      </c>
      <c r="M185" s="19" t="s">
        <v>987</v>
      </c>
      <c r="N185" s="19" t="s">
        <v>2642</v>
      </c>
      <c r="O185" s="20"/>
      <c r="P185" s="23"/>
      <c r="Q185" s="21" t="str">
        <f>VLOOKUP(C185,'2-1. 인사고과표(기능)'!B:AS,44,0)</f>
        <v>S</v>
      </c>
      <c r="R185" s="21" t="str">
        <f>VLOOKUP(C185,'2-2. 인사고과표(안전)'!B:AO,40,0)</f>
        <v>S</v>
      </c>
      <c r="S185" s="18"/>
      <c r="T185" s="19"/>
      <c r="U185" s="19"/>
      <c r="V185" s="19"/>
      <c r="W185" s="19"/>
      <c r="X185" s="22"/>
      <c r="Y185" s="23"/>
      <c r="Z185" s="19"/>
      <c r="AA185" s="19" t="s">
        <v>2839</v>
      </c>
      <c r="AB185" s="22" t="s">
        <v>162</v>
      </c>
      <c r="AC185" s="19"/>
      <c r="AD185" s="23" t="s">
        <v>23</v>
      </c>
      <c r="AE185" s="24"/>
    </row>
    <row r="186" spans="2:31" ht="39.950000000000003" customHeight="1" x14ac:dyDescent="0.3">
      <c r="B186" s="107">
        <v>24021</v>
      </c>
      <c r="C186" s="12">
        <f t="shared" si="6"/>
        <v>181</v>
      </c>
      <c r="D186" s="105" t="str">
        <f>IFERROR(" "&amp;VLOOKUP(B186,현장리스트!$B:$C,2,0),"-")</f>
        <v xml:space="preserve"> [2.금호건설] 대웅제약 마곡연구소 신축공사</v>
      </c>
      <c r="E186" s="13" t="s">
        <v>1837</v>
      </c>
      <c r="F186" s="13" t="str">
        <f t="shared" ca="1" si="7"/>
        <v>66세</v>
      </c>
      <c r="G186" s="14" t="s">
        <v>1838</v>
      </c>
      <c r="H186" s="15" t="str">
        <f t="shared" si="8"/>
        <v>남</v>
      </c>
      <c r="I186" s="16" t="s">
        <v>901</v>
      </c>
      <c r="J186" s="16" t="s">
        <v>30</v>
      </c>
      <c r="K186" s="17">
        <v>220000</v>
      </c>
      <c r="L186" s="18" t="s">
        <v>1839</v>
      </c>
      <c r="M186" s="19" t="s">
        <v>910</v>
      </c>
      <c r="N186" s="19" t="s">
        <v>1004</v>
      </c>
      <c r="O186" s="20">
        <v>40</v>
      </c>
      <c r="P186" s="23" t="s">
        <v>28</v>
      </c>
      <c r="Q186" s="21" t="str">
        <f>VLOOKUP(C186,'2-1. 인사고과표(기능)'!B:AS,44,0)</f>
        <v>S</v>
      </c>
      <c r="R186" s="21" t="str">
        <f>VLOOKUP(C186,'2-2. 인사고과표(안전)'!B:AO,40,0)</f>
        <v>S</v>
      </c>
      <c r="S186" s="18"/>
      <c r="T186" s="19"/>
      <c r="U186" s="19"/>
      <c r="V186" s="19"/>
      <c r="W186" s="19"/>
      <c r="X186" s="22"/>
      <c r="Y186" s="23"/>
      <c r="Z186" s="19"/>
      <c r="AA186" s="19" t="s">
        <v>2646</v>
      </c>
      <c r="AB186" s="22" t="s">
        <v>373</v>
      </c>
      <c r="AC186" s="19" t="s">
        <v>3170</v>
      </c>
      <c r="AD186" s="23" t="s">
        <v>23</v>
      </c>
      <c r="AE186" s="24"/>
    </row>
    <row r="187" spans="2:31" ht="39.950000000000003" customHeight="1" x14ac:dyDescent="0.3">
      <c r="B187" s="107">
        <v>24021</v>
      </c>
      <c r="C187" s="12">
        <f t="shared" si="6"/>
        <v>182</v>
      </c>
      <c r="D187" s="105" t="str">
        <f>IFERROR(" "&amp;VLOOKUP(B187,현장리스트!$B:$C,2,0),"-")</f>
        <v xml:space="preserve"> [2.금호건설] 대웅제약 마곡연구소 신축공사</v>
      </c>
      <c r="E187" s="13" t="s">
        <v>1940</v>
      </c>
      <c r="F187" s="13" t="str">
        <f t="shared" ca="1" si="7"/>
        <v>63세</v>
      </c>
      <c r="G187" s="14" t="s">
        <v>1941</v>
      </c>
      <c r="H187" s="15" t="str">
        <f t="shared" si="8"/>
        <v>남</v>
      </c>
      <c r="I187" s="16" t="s">
        <v>901</v>
      </c>
      <c r="J187" s="16" t="s">
        <v>30</v>
      </c>
      <c r="K187" s="17">
        <v>220000</v>
      </c>
      <c r="L187" s="18" t="s">
        <v>1942</v>
      </c>
      <c r="M187" s="19" t="s">
        <v>914</v>
      </c>
      <c r="N187" s="19" t="s">
        <v>2606</v>
      </c>
      <c r="O187" s="20" t="s">
        <v>2949</v>
      </c>
      <c r="P187" s="23" t="s">
        <v>23</v>
      </c>
      <c r="Q187" s="21" t="str">
        <f>VLOOKUP(C187,'2-1. 인사고과표(기능)'!B:AS,44,0)</f>
        <v>S</v>
      </c>
      <c r="R187" s="21" t="str">
        <f>VLOOKUP(C187,'2-2. 인사고과표(안전)'!B:AO,40,0)</f>
        <v>S</v>
      </c>
      <c r="S187" s="18"/>
      <c r="T187" s="19"/>
      <c r="U187" s="19"/>
      <c r="V187" s="19"/>
      <c r="W187" s="19"/>
      <c r="X187" s="22"/>
      <c r="Y187" s="23"/>
      <c r="Z187" s="19"/>
      <c r="AA187" s="19" t="s">
        <v>2695</v>
      </c>
      <c r="AB187" s="22" t="s">
        <v>3171</v>
      </c>
      <c r="AC187" s="19"/>
      <c r="AD187" s="23" t="s">
        <v>23</v>
      </c>
      <c r="AE187" s="24"/>
    </row>
    <row r="188" spans="2:31" ht="39.950000000000003" customHeight="1" x14ac:dyDescent="0.3">
      <c r="B188" s="107">
        <v>24021</v>
      </c>
      <c r="C188" s="12">
        <f t="shared" si="6"/>
        <v>183</v>
      </c>
      <c r="D188" s="105" t="str">
        <f>IFERROR(" "&amp;VLOOKUP(B188,현장리스트!$B:$C,2,0),"-")</f>
        <v xml:space="preserve"> [2.금호건설] 대웅제약 마곡연구소 신축공사</v>
      </c>
      <c r="E188" s="13" t="s">
        <v>2057</v>
      </c>
      <c r="F188" s="13" t="str">
        <f t="shared" ca="1" si="7"/>
        <v>56세</v>
      </c>
      <c r="G188" s="14" t="s">
        <v>2058</v>
      </c>
      <c r="H188" s="15" t="str">
        <f t="shared" si="8"/>
        <v>남</v>
      </c>
      <c r="I188" s="16" t="s">
        <v>901</v>
      </c>
      <c r="J188" s="16" t="s">
        <v>30</v>
      </c>
      <c r="K188" s="17">
        <v>190000</v>
      </c>
      <c r="L188" s="18" t="s">
        <v>2059</v>
      </c>
      <c r="M188" s="19" t="s">
        <v>910</v>
      </c>
      <c r="N188" s="19" t="s">
        <v>1007</v>
      </c>
      <c r="O188" s="20"/>
      <c r="P188" s="23"/>
      <c r="Q188" s="21" t="str">
        <f>VLOOKUP(C188,'2-1. 인사고과표(기능)'!B:AS,44,0)</f>
        <v>A</v>
      </c>
      <c r="R188" s="21" t="str">
        <f>VLOOKUP(C188,'2-2. 인사고과표(안전)'!B:AO,40,0)</f>
        <v>S</v>
      </c>
      <c r="S188" s="18"/>
      <c r="T188" s="19"/>
      <c r="U188" s="19"/>
      <c r="V188" s="19"/>
      <c r="W188" s="19"/>
      <c r="X188" s="22"/>
      <c r="Y188" s="23"/>
      <c r="Z188" s="19"/>
      <c r="AA188" s="19" t="s">
        <v>2635</v>
      </c>
      <c r="AB188" s="22" t="s">
        <v>3172</v>
      </c>
      <c r="AC188" s="19"/>
      <c r="AD188" s="23" t="s">
        <v>23</v>
      </c>
      <c r="AE188" s="24"/>
    </row>
    <row r="189" spans="2:31" ht="39.950000000000003" customHeight="1" x14ac:dyDescent="0.3">
      <c r="B189" s="107">
        <v>24021</v>
      </c>
      <c r="C189" s="12">
        <f t="shared" si="6"/>
        <v>184</v>
      </c>
      <c r="D189" s="105" t="str">
        <f>IFERROR(" "&amp;VLOOKUP(B189,현장리스트!$B:$C,2,0),"-")</f>
        <v xml:space="preserve"> [2.금호건설] 대웅제약 마곡연구소 신축공사</v>
      </c>
      <c r="E189" s="13" t="s">
        <v>2284</v>
      </c>
      <c r="F189" s="13" t="str">
        <f t="shared" ca="1" si="7"/>
        <v>59세</v>
      </c>
      <c r="G189" s="14" t="s">
        <v>2285</v>
      </c>
      <c r="H189" s="15" t="str">
        <f t="shared" si="8"/>
        <v>남</v>
      </c>
      <c r="I189" s="16" t="s">
        <v>901</v>
      </c>
      <c r="J189" s="16" t="s">
        <v>30</v>
      </c>
      <c r="K189" s="17">
        <v>220000</v>
      </c>
      <c r="L189" s="18" t="s">
        <v>2286</v>
      </c>
      <c r="M189" s="19" t="s">
        <v>987</v>
      </c>
      <c r="N189" s="19" t="s">
        <v>2968</v>
      </c>
      <c r="O189" s="20"/>
      <c r="P189" s="23"/>
      <c r="Q189" s="21" t="str">
        <f>VLOOKUP(C189,'2-1. 인사고과표(기능)'!B:AS,44,0)</f>
        <v>S</v>
      </c>
      <c r="R189" s="21" t="str">
        <f>VLOOKUP(C189,'2-2. 인사고과표(안전)'!B:AO,40,0)</f>
        <v>S</v>
      </c>
      <c r="S189" s="18"/>
      <c r="T189" s="19"/>
      <c r="U189" s="19"/>
      <c r="V189" s="19"/>
      <c r="W189" s="19" t="s">
        <v>497</v>
      </c>
      <c r="X189" s="22" t="s">
        <v>3173</v>
      </c>
      <c r="Y189" s="23"/>
      <c r="Z189" s="19"/>
      <c r="AA189" s="19"/>
      <c r="AB189" s="22"/>
      <c r="AC189" s="19"/>
      <c r="AD189" s="23"/>
      <c r="AE189" s="24"/>
    </row>
    <row r="190" spans="2:31" ht="39.950000000000003" customHeight="1" x14ac:dyDescent="0.3">
      <c r="B190" s="107">
        <v>24021</v>
      </c>
      <c r="C190" s="12">
        <f t="shared" si="6"/>
        <v>185</v>
      </c>
      <c r="D190" s="105" t="str">
        <f>IFERROR(" "&amp;VLOOKUP(B190,현장리스트!$B:$C,2,0),"-")</f>
        <v xml:space="preserve"> [2.금호건설] 대웅제약 마곡연구소 신축공사</v>
      </c>
      <c r="E190" s="13" t="s">
        <v>1646</v>
      </c>
      <c r="F190" s="13" t="str">
        <f t="shared" ca="1" si="7"/>
        <v>59세</v>
      </c>
      <c r="G190" s="14" t="s">
        <v>1647</v>
      </c>
      <c r="H190" s="15" t="str">
        <f t="shared" si="8"/>
        <v>남</v>
      </c>
      <c r="I190" s="16" t="s">
        <v>901</v>
      </c>
      <c r="J190" s="16" t="s">
        <v>30</v>
      </c>
      <c r="K190" s="17">
        <v>220000</v>
      </c>
      <c r="L190" s="18" t="s">
        <v>1648</v>
      </c>
      <c r="M190" s="19" t="s">
        <v>914</v>
      </c>
      <c r="N190" s="19" t="s">
        <v>2613</v>
      </c>
      <c r="O190" s="20"/>
      <c r="P190" s="23"/>
      <c r="Q190" s="21" t="str">
        <f>VLOOKUP(C190,'2-1. 인사고과표(기능)'!B:AS,44,0)</f>
        <v>S</v>
      </c>
      <c r="R190" s="21" t="str">
        <f>VLOOKUP(C190,'2-2. 인사고과표(안전)'!B:AO,40,0)</f>
        <v>S</v>
      </c>
      <c r="S190" s="18"/>
      <c r="T190" s="19"/>
      <c r="U190" s="19"/>
      <c r="V190" s="19"/>
      <c r="W190" s="19" t="s">
        <v>497</v>
      </c>
      <c r="X190" s="22" t="s">
        <v>3173</v>
      </c>
      <c r="Y190" s="23"/>
      <c r="Z190" s="19"/>
      <c r="AA190" s="19"/>
      <c r="AB190" s="22"/>
      <c r="AC190" s="19"/>
      <c r="AD190" s="23"/>
      <c r="AE190" s="24"/>
    </row>
    <row r="191" spans="2:31" ht="39.950000000000003" customHeight="1" x14ac:dyDescent="0.3">
      <c r="B191" s="107">
        <v>24021</v>
      </c>
      <c r="C191" s="12">
        <f t="shared" si="6"/>
        <v>186</v>
      </c>
      <c r="D191" s="105" t="str">
        <f>IFERROR(" "&amp;VLOOKUP(B191,현장리스트!$B:$C,2,0),"-")</f>
        <v xml:space="preserve"> [2.금호건설] 대웅제약 마곡연구소 신축공사</v>
      </c>
      <c r="E191" s="13" t="s">
        <v>2040</v>
      </c>
      <c r="F191" s="13" t="str">
        <f t="shared" ca="1" si="7"/>
        <v>33세</v>
      </c>
      <c r="G191" s="14" t="s">
        <v>2041</v>
      </c>
      <c r="H191" s="15" t="str">
        <f t="shared" si="8"/>
        <v>남</v>
      </c>
      <c r="I191" s="16" t="s">
        <v>901</v>
      </c>
      <c r="J191" s="16" t="s">
        <v>902</v>
      </c>
      <c r="K191" s="17">
        <v>150000</v>
      </c>
      <c r="L191" s="18" t="s">
        <v>2042</v>
      </c>
      <c r="M191" s="19" t="s">
        <v>987</v>
      </c>
      <c r="N191" s="19" t="s">
        <v>3142</v>
      </c>
      <c r="O191" s="20" t="s">
        <v>2534</v>
      </c>
      <c r="P191" s="23" t="s">
        <v>28</v>
      </c>
      <c r="Q191" s="21" t="str">
        <f>VLOOKUP(C191,'2-1. 인사고과표(기능)'!B:AS,44,0)</f>
        <v>S</v>
      </c>
      <c r="R191" s="21" t="str">
        <f>VLOOKUP(C191,'2-2. 인사고과표(안전)'!B:AO,40,0)</f>
        <v>S</v>
      </c>
      <c r="S191" s="18"/>
      <c r="T191" s="19"/>
      <c r="U191" s="19"/>
      <c r="V191" s="19"/>
      <c r="W191" s="19"/>
      <c r="X191" s="22"/>
      <c r="Y191" s="23"/>
      <c r="Z191" s="19"/>
      <c r="AA191" s="19"/>
      <c r="AB191" s="22"/>
      <c r="AC191" s="19"/>
      <c r="AD191" s="23"/>
      <c r="AE191" s="24"/>
    </row>
    <row r="192" spans="2:31" ht="39.950000000000003" customHeight="1" x14ac:dyDescent="0.3">
      <c r="B192" s="107">
        <v>24021</v>
      </c>
      <c r="C192" s="12">
        <f t="shared" si="6"/>
        <v>187</v>
      </c>
      <c r="D192" s="105" t="str">
        <f>IFERROR(" "&amp;VLOOKUP(B192,현장리스트!$B:$C,2,0),"-")</f>
        <v xml:space="preserve"> [2.금호건설] 대웅제약 마곡연구소 신축공사</v>
      </c>
      <c r="E192" s="13" t="s">
        <v>1595</v>
      </c>
      <c r="F192" s="13" t="str">
        <f t="shared" ca="1" si="7"/>
        <v>44세</v>
      </c>
      <c r="G192" s="14" t="s">
        <v>1596</v>
      </c>
      <c r="H192" s="15" t="str">
        <f t="shared" si="8"/>
        <v>남</v>
      </c>
      <c r="I192" s="16" t="s">
        <v>901</v>
      </c>
      <c r="J192" s="16" t="s">
        <v>902</v>
      </c>
      <c r="K192" s="17">
        <v>165000</v>
      </c>
      <c r="L192" s="18" t="s">
        <v>1597</v>
      </c>
      <c r="M192" s="19" t="s">
        <v>910</v>
      </c>
      <c r="N192" s="19" t="s">
        <v>911</v>
      </c>
      <c r="O192" s="20" t="s">
        <v>950</v>
      </c>
      <c r="P192" s="23" t="s">
        <v>28</v>
      </c>
      <c r="Q192" s="21" t="str">
        <f>VLOOKUP(C192,'2-1. 인사고과표(기능)'!B:AS,44,0)</f>
        <v>A</v>
      </c>
      <c r="R192" s="21" t="str">
        <f>VLOOKUP(C192,'2-2. 인사고과표(안전)'!B:AO,40,0)</f>
        <v>S</v>
      </c>
      <c r="S192" s="18"/>
      <c r="T192" s="19"/>
      <c r="U192" s="19"/>
      <c r="V192" s="19"/>
      <c r="W192" s="19"/>
      <c r="X192" s="22"/>
      <c r="Y192" s="23"/>
      <c r="Z192" s="19"/>
      <c r="AA192" s="19" t="s">
        <v>3174</v>
      </c>
      <c r="AB192" s="22" t="s">
        <v>3175</v>
      </c>
      <c r="AC192" s="19"/>
      <c r="AD192" s="23" t="s">
        <v>28</v>
      </c>
      <c r="AE192" s="24"/>
    </row>
    <row r="193" spans="2:31" ht="39.950000000000003" customHeight="1" x14ac:dyDescent="0.3">
      <c r="B193" s="107">
        <v>24021</v>
      </c>
      <c r="C193" s="12">
        <f t="shared" si="6"/>
        <v>188</v>
      </c>
      <c r="D193" s="105" t="str">
        <f>IFERROR(" "&amp;VLOOKUP(B193,현장리스트!$B:$C,2,0),"-")</f>
        <v xml:space="preserve"> [2.금호건설] 대웅제약 마곡연구소 신축공사</v>
      </c>
      <c r="E193" s="13" t="s">
        <v>839</v>
      </c>
      <c r="F193" s="13" t="str">
        <f t="shared" ca="1" si="7"/>
        <v>53세</v>
      </c>
      <c r="G193" s="14" t="s">
        <v>1353</v>
      </c>
      <c r="H193" s="15" t="str">
        <f t="shared" si="8"/>
        <v>남</v>
      </c>
      <c r="I193" s="16" t="s">
        <v>901</v>
      </c>
      <c r="J193" s="16" t="s">
        <v>30</v>
      </c>
      <c r="K193" s="17">
        <v>205000</v>
      </c>
      <c r="L193" s="18" t="s">
        <v>1354</v>
      </c>
      <c r="M193" s="19" t="s">
        <v>914</v>
      </c>
      <c r="N193" s="19" t="s">
        <v>2979</v>
      </c>
      <c r="O193" s="20" t="s">
        <v>3143</v>
      </c>
      <c r="P193" s="23" t="s">
        <v>28</v>
      </c>
      <c r="Q193" s="21" t="str">
        <f>VLOOKUP(C193,'2-1. 인사고과표(기능)'!B:AS,44,0)</f>
        <v>A</v>
      </c>
      <c r="R193" s="21" t="str">
        <f>VLOOKUP(C193,'2-2. 인사고과표(안전)'!B:AO,40,0)</f>
        <v>S</v>
      </c>
      <c r="S193" s="18"/>
      <c r="T193" s="19"/>
      <c r="U193" s="19"/>
      <c r="V193" s="19"/>
      <c r="W193" s="19" t="s">
        <v>813</v>
      </c>
      <c r="X193" s="22" t="s">
        <v>3176</v>
      </c>
      <c r="Y193" s="23" t="s">
        <v>23</v>
      </c>
      <c r="Z193" s="19"/>
      <c r="AA193" s="19"/>
      <c r="AB193" s="22"/>
      <c r="AC193" s="19"/>
      <c r="AD193" s="23"/>
      <c r="AE193" s="24"/>
    </row>
    <row r="194" spans="2:31" ht="39.950000000000003" customHeight="1" x14ac:dyDescent="0.3">
      <c r="B194" s="107">
        <v>22079</v>
      </c>
      <c r="C194" s="12">
        <f t="shared" si="6"/>
        <v>189</v>
      </c>
      <c r="D194" s="105" t="str">
        <f>IFERROR(" "&amp;VLOOKUP(B194,현장리스트!$B:$C,2,0),"-")</f>
        <v xml:space="preserve"> [2.동부건설] 이천 안흥동 주상복합시설사업 전기공사</v>
      </c>
      <c r="E194" s="13" t="s">
        <v>333</v>
      </c>
      <c r="F194" s="13" t="str">
        <f t="shared" ca="1" si="7"/>
        <v>42세</v>
      </c>
      <c r="G194" s="14" t="s">
        <v>1452</v>
      </c>
      <c r="H194" s="15" t="str">
        <f t="shared" si="8"/>
        <v>남</v>
      </c>
      <c r="I194" s="16" t="s">
        <v>895</v>
      </c>
      <c r="J194" s="16" t="s">
        <v>896</v>
      </c>
      <c r="K194" s="17">
        <v>5200000</v>
      </c>
      <c r="L194" s="18" t="s">
        <v>1453</v>
      </c>
      <c r="M194" s="19" t="s">
        <v>914</v>
      </c>
      <c r="N194" s="19" t="s">
        <v>2606</v>
      </c>
      <c r="O194" s="20" t="s">
        <v>2555</v>
      </c>
      <c r="P194" s="23" t="s">
        <v>23</v>
      </c>
      <c r="Q194" s="21" t="str">
        <f>VLOOKUP(C194,'2-1. 인사고과표(기능)'!B:AS,44,0)</f>
        <v>S</v>
      </c>
      <c r="R194" s="21" t="str">
        <f>VLOOKUP(C194,'2-2. 인사고과표(안전)'!B:AO,40,0)</f>
        <v>S</v>
      </c>
      <c r="S194" s="18"/>
      <c r="T194" s="19"/>
      <c r="U194" s="19"/>
      <c r="V194" s="19"/>
      <c r="W194" s="19" t="s">
        <v>529</v>
      </c>
      <c r="X194" s="22" t="s">
        <v>3029</v>
      </c>
      <c r="Y194" s="23" t="s">
        <v>23</v>
      </c>
      <c r="Z194" s="19"/>
      <c r="AA194" s="19"/>
      <c r="AB194" s="22"/>
      <c r="AC194" s="19"/>
      <c r="AD194" s="23"/>
      <c r="AE194" s="24"/>
    </row>
    <row r="195" spans="2:31" ht="39.950000000000003" customHeight="1" x14ac:dyDescent="0.3">
      <c r="B195" s="107">
        <v>22079</v>
      </c>
      <c r="C195" s="12">
        <f t="shared" si="6"/>
        <v>190</v>
      </c>
      <c r="D195" s="105" t="str">
        <f>IFERROR(" "&amp;VLOOKUP(B195,현장리스트!$B:$C,2,0),"-")</f>
        <v xml:space="preserve"> [2.동부건설] 이천 안흥동 주상복합시설사업 전기공사</v>
      </c>
      <c r="E195" s="13" t="s">
        <v>2327</v>
      </c>
      <c r="F195" s="13" t="str">
        <f t="shared" ca="1" si="7"/>
        <v>46세</v>
      </c>
      <c r="G195" s="14" t="s">
        <v>2328</v>
      </c>
      <c r="H195" s="15" t="str">
        <f t="shared" si="8"/>
        <v>남</v>
      </c>
      <c r="I195" s="16" t="s">
        <v>2995</v>
      </c>
      <c r="J195" s="16" t="s">
        <v>30</v>
      </c>
      <c r="K195" s="17">
        <v>200000</v>
      </c>
      <c r="L195" s="18" t="s">
        <v>2329</v>
      </c>
      <c r="M195" s="19" t="s">
        <v>2528</v>
      </c>
      <c r="N195" s="19" t="s">
        <v>3016</v>
      </c>
      <c r="O195" s="20" t="s">
        <v>921</v>
      </c>
      <c r="P195" s="23" t="s">
        <v>23</v>
      </c>
      <c r="Q195" s="21" t="str">
        <f>VLOOKUP(C195,'2-1. 인사고과표(기능)'!B:AS,44,0)</f>
        <v>S</v>
      </c>
      <c r="R195" s="21" t="str">
        <f>VLOOKUP(C195,'2-2. 인사고과표(안전)'!B:AO,40,0)</f>
        <v>S</v>
      </c>
      <c r="S195" s="18"/>
      <c r="T195" s="19"/>
      <c r="U195" s="19"/>
      <c r="V195" s="19"/>
      <c r="W195" s="19" t="s">
        <v>329</v>
      </c>
      <c r="X195" s="22" t="s">
        <v>3030</v>
      </c>
      <c r="Y195" s="23" t="s">
        <v>23</v>
      </c>
      <c r="Z195" s="19"/>
      <c r="AA195" s="19"/>
      <c r="AB195" s="22"/>
      <c r="AC195" s="19"/>
      <c r="AD195" s="23"/>
      <c r="AE195" s="24"/>
    </row>
    <row r="196" spans="2:31" ht="39.950000000000003" customHeight="1" x14ac:dyDescent="0.3">
      <c r="B196" s="107">
        <v>24002</v>
      </c>
      <c r="C196" s="12">
        <f t="shared" si="6"/>
        <v>191</v>
      </c>
      <c r="D196" s="105" t="str">
        <f>IFERROR(" "&amp;VLOOKUP(B196,현장리스트!$B:$C,2,0),"-")</f>
        <v xml:space="preserve"> [2.동양] 한국건강관리협회 인천지부 신청사 건립 신축공사</v>
      </c>
      <c r="E196" s="13" t="s">
        <v>1067</v>
      </c>
      <c r="F196" s="13" t="str">
        <f t="shared" ca="1" si="7"/>
        <v>48세</v>
      </c>
      <c r="G196" s="14" t="s">
        <v>1068</v>
      </c>
      <c r="H196" s="15" t="str">
        <f t="shared" si="8"/>
        <v>남</v>
      </c>
      <c r="I196" s="16" t="s">
        <v>2993</v>
      </c>
      <c r="J196" s="16" t="s">
        <v>896</v>
      </c>
      <c r="K196" s="17">
        <v>210000</v>
      </c>
      <c r="L196" s="18" t="s">
        <v>2975</v>
      </c>
      <c r="M196" s="19" t="s">
        <v>910</v>
      </c>
      <c r="N196" s="19" t="s">
        <v>1007</v>
      </c>
      <c r="O196" s="20">
        <v>20</v>
      </c>
      <c r="P196" s="23" t="s">
        <v>24</v>
      </c>
      <c r="Q196" s="21" t="str">
        <f>VLOOKUP(C196,'2-1. 인사고과표(기능)'!B:AS,44,0)</f>
        <v>A</v>
      </c>
      <c r="R196" s="21" t="str">
        <f>VLOOKUP(C196,'2-2. 인사고과표(안전)'!B:AO,40,0)</f>
        <v>A</v>
      </c>
      <c r="S196" s="18"/>
      <c r="T196" s="19"/>
      <c r="U196" s="19"/>
      <c r="V196" s="19"/>
      <c r="W196" s="19"/>
      <c r="X196" s="22"/>
      <c r="Y196" s="23"/>
      <c r="Z196" s="19"/>
      <c r="AA196" s="19"/>
      <c r="AB196" s="22"/>
      <c r="AC196" s="19"/>
      <c r="AD196" s="23"/>
      <c r="AE196" s="24"/>
    </row>
    <row r="197" spans="2:31" ht="39.950000000000003" customHeight="1" x14ac:dyDescent="0.3">
      <c r="B197" s="107">
        <v>24002</v>
      </c>
      <c r="C197" s="12">
        <f t="shared" si="6"/>
        <v>192</v>
      </c>
      <c r="D197" s="105" t="str">
        <f>IFERROR(" "&amp;VLOOKUP(B197,현장리스트!$B:$C,2,0),"-")</f>
        <v xml:space="preserve"> [2.동양] 한국건강관리협회 인천지부 신청사 건립 신축공사</v>
      </c>
      <c r="E197" s="13" t="s">
        <v>1170</v>
      </c>
      <c r="F197" s="13" t="str">
        <f t="shared" ca="1" si="7"/>
        <v>60세</v>
      </c>
      <c r="G197" s="14" t="s">
        <v>1171</v>
      </c>
      <c r="H197" s="15" t="str">
        <f t="shared" si="8"/>
        <v>남</v>
      </c>
      <c r="I197" s="16" t="s">
        <v>2993</v>
      </c>
      <c r="J197" s="16" t="s">
        <v>2994</v>
      </c>
      <c r="K197" s="17">
        <v>220000</v>
      </c>
      <c r="L197" s="18" t="s">
        <v>1172</v>
      </c>
      <c r="M197" s="19" t="s">
        <v>910</v>
      </c>
      <c r="N197" s="19" t="s">
        <v>995</v>
      </c>
      <c r="O197" s="20">
        <v>30</v>
      </c>
      <c r="P197" s="23" t="s">
        <v>24</v>
      </c>
      <c r="Q197" s="21" t="str">
        <f>VLOOKUP(C197,'2-1. 인사고과표(기능)'!B:AS,44,0)</f>
        <v>A</v>
      </c>
      <c r="R197" s="21" t="str">
        <f>VLOOKUP(C197,'2-2. 인사고과표(안전)'!B:AO,40,0)</f>
        <v>A</v>
      </c>
      <c r="S197" s="18"/>
      <c r="T197" s="19"/>
      <c r="U197" s="19"/>
      <c r="V197" s="19"/>
      <c r="W197" s="19" t="s">
        <v>2829</v>
      </c>
      <c r="X197" s="22" t="s">
        <v>2983</v>
      </c>
      <c r="Y197" s="23"/>
      <c r="Z197" s="19"/>
      <c r="AA197" s="19" t="s">
        <v>2984</v>
      </c>
      <c r="AB197" s="22" t="s">
        <v>2985</v>
      </c>
      <c r="AC197" s="19"/>
      <c r="AD197" s="23"/>
      <c r="AE197" s="24"/>
    </row>
    <row r="198" spans="2:31" ht="39.950000000000003" customHeight="1" x14ac:dyDescent="0.3">
      <c r="B198" s="107">
        <v>24002</v>
      </c>
      <c r="C198" s="12">
        <f t="shared" ref="C198:C261" si="9">ROW()-5</f>
        <v>193</v>
      </c>
      <c r="D198" s="105" t="str">
        <f>IFERROR(" "&amp;VLOOKUP(B198,현장리스트!$B:$C,2,0),"-")</f>
        <v xml:space="preserve"> [2.동양] 한국건강관리협회 인천지부 신청사 건립 신축공사</v>
      </c>
      <c r="E198" s="13" t="s">
        <v>1224</v>
      </c>
      <c r="F198" s="13" t="str">
        <f t="shared" ref="F198:F261" ca="1" si="10">IFERROR(DATEDIF(MID(G198,1,2)&amp;"-"&amp;MID(G198,3,2)&amp;"-"&amp;MID(G198,5,2),TODAY(),"y")&amp;"세","")</f>
        <v>67세</v>
      </c>
      <c r="G198" s="14" t="s">
        <v>1225</v>
      </c>
      <c r="H198" s="15" t="str">
        <f t="shared" ref="H198:H261" si="11">IF(G198="","",IF(LEN(G198)&lt;14,"에러",IF(LEN(G198)&lt;14,"에러",IF(ISODD(MID(G198,8,1)),"남","여"))))</f>
        <v>남</v>
      </c>
      <c r="I198" s="16" t="s">
        <v>2993</v>
      </c>
      <c r="J198" s="16" t="s">
        <v>903</v>
      </c>
      <c r="K198" s="17">
        <v>200000</v>
      </c>
      <c r="L198" s="18" t="s">
        <v>2976</v>
      </c>
      <c r="M198" s="19" t="s">
        <v>914</v>
      </c>
      <c r="N198" s="19" t="s">
        <v>2606</v>
      </c>
      <c r="O198" s="20">
        <v>33</v>
      </c>
      <c r="P198" s="23" t="s">
        <v>24</v>
      </c>
      <c r="Q198" s="21" t="str">
        <f>VLOOKUP(C198,'2-1. 인사고과표(기능)'!B:AS,44,0)</f>
        <v>S</v>
      </c>
      <c r="R198" s="21" t="str">
        <f>VLOOKUP(C198,'2-2. 인사고과표(안전)'!B:AO,40,0)</f>
        <v>S</v>
      </c>
      <c r="S198" s="18"/>
      <c r="T198" s="19"/>
      <c r="U198" s="19"/>
      <c r="V198" s="19"/>
      <c r="W198" s="19" t="s">
        <v>2959</v>
      </c>
      <c r="X198" s="22" t="s">
        <v>2986</v>
      </c>
      <c r="Y198" s="23"/>
      <c r="Z198" s="19"/>
      <c r="AA198" s="19"/>
      <c r="AB198" s="22"/>
      <c r="AC198" s="19"/>
      <c r="AD198" s="23"/>
      <c r="AE198" s="24"/>
    </row>
    <row r="199" spans="2:31" ht="39.950000000000003" customHeight="1" x14ac:dyDescent="0.3">
      <c r="B199" s="107">
        <v>24002</v>
      </c>
      <c r="C199" s="12">
        <f t="shared" si="9"/>
        <v>194</v>
      </c>
      <c r="D199" s="105" t="str">
        <f>IFERROR(" "&amp;VLOOKUP(B199,현장리스트!$B:$C,2,0),"-")</f>
        <v xml:space="preserve"> [2.동양] 한국건강관리협회 인천지부 신청사 건립 신축공사</v>
      </c>
      <c r="E199" s="13" t="s">
        <v>1305</v>
      </c>
      <c r="F199" s="13" t="str">
        <f t="shared" ca="1" si="10"/>
        <v>55세</v>
      </c>
      <c r="G199" s="14" t="s">
        <v>1306</v>
      </c>
      <c r="H199" s="15" t="str">
        <f t="shared" si="11"/>
        <v>남</v>
      </c>
      <c r="I199" s="16" t="s">
        <v>2993</v>
      </c>
      <c r="J199" s="16" t="s">
        <v>903</v>
      </c>
      <c r="K199" s="17">
        <v>210000</v>
      </c>
      <c r="L199" s="18" t="s">
        <v>2977</v>
      </c>
      <c r="M199" s="19" t="s">
        <v>910</v>
      </c>
      <c r="N199" s="19" t="s">
        <v>1004</v>
      </c>
      <c r="O199" s="20">
        <v>15</v>
      </c>
      <c r="P199" s="23" t="s">
        <v>24</v>
      </c>
      <c r="Q199" s="21" t="str">
        <f>VLOOKUP(C199,'2-1. 인사고과표(기능)'!B:AS,44,0)</f>
        <v>S</v>
      </c>
      <c r="R199" s="21" t="str">
        <f>VLOOKUP(C199,'2-2. 인사고과표(안전)'!B:AO,40,0)</f>
        <v>S</v>
      </c>
      <c r="S199" s="18"/>
      <c r="T199" s="19"/>
      <c r="U199" s="19"/>
      <c r="V199" s="19"/>
      <c r="W199" s="19"/>
      <c r="X199" s="22"/>
      <c r="Y199" s="23"/>
      <c r="Z199" s="19"/>
      <c r="AA199" s="19" t="s">
        <v>2987</v>
      </c>
      <c r="AB199" s="22" t="s">
        <v>2985</v>
      </c>
      <c r="AC199" s="19"/>
      <c r="AD199" s="23"/>
      <c r="AE199" s="24"/>
    </row>
    <row r="200" spans="2:31" ht="39.950000000000003" customHeight="1" x14ac:dyDescent="0.3">
      <c r="B200" s="107">
        <v>24002</v>
      </c>
      <c r="C200" s="12">
        <f t="shared" si="9"/>
        <v>195</v>
      </c>
      <c r="D200" s="105" t="str">
        <f>IFERROR(" "&amp;VLOOKUP(B200,현장리스트!$B:$C,2,0),"-")</f>
        <v xml:space="preserve"> [2.동양] 한국건강관리협회 인천지부 신청사 건립 신축공사</v>
      </c>
      <c r="E200" s="13" t="s">
        <v>1381</v>
      </c>
      <c r="F200" s="13" t="str">
        <f t="shared" ca="1" si="10"/>
        <v>25세</v>
      </c>
      <c r="G200" s="14" t="s">
        <v>1382</v>
      </c>
      <c r="H200" s="15" t="str">
        <f t="shared" si="11"/>
        <v>남</v>
      </c>
      <c r="I200" s="16" t="s">
        <v>2995</v>
      </c>
      <c r="J200" s="16" t="s">
        <v>30</v>
      </c>
      <c r="K200" s="17">
        <v>190000</v>
      </c>
      <c r="L200" s="18" t="s">
        <v>2978</v>
      </c>
      <c r="M200" s="19" t="s">
        <v>910</v>
      </c>
      <c r="N200" s="19" t="s">
        <v>1001</v>
      </c>
      <c r="O200" s="20">
        <v>2</v>
      </c>
      <c r="P200" s="23" t="s">
        <v>24</v>
      </c>
      <c r="Q200" s="21" t="str">
        <f>VLOOKUP(C200,'2-1. 인사고과표(기능)'!B:AS,44,0)</f>
        <v>A</v>
      </c>
      <c r="R200" s="21" t="str">
        <f>VLOOKUP(C200,'2-2. 인사고과표(안전)'!B:AO,40,0)</f>
        <v>S</v>
      </c>
      <c r="S200" s="18"/>
      <c r="T200" s="19"/>
      <c r="U200" s="19"/>
      <c r="V200" s="19"/>
      <c r="W200" s="19"/>
      <c r="X200" s="22"/>
      <c r="Y200" s="23"/>
      <c r="Z200" s="19"/>
      <c r="AA200" s="19" t="s">
        <v>2987</v>
      </c>
      <c r="AB200" s="22" t="s">
        <v>2985</v>
      </c>
      <c r="AC200" s="19"/>
      <c r="AD200" s="23"/>
      <c r="AE200" s="24"/>
    </row>
    <row r="201" spans="2:31" ht="39.950000000000003" customHeight="1" x14ac:dyDescent="0.3">
      <c r="B201" s="107">
        <v>24002</v>
      </c>
      <c r="C201" s="12">
        <f t="shared" si="9"/>
        <v>196</v>
      </c>
      <c r="D201" s="105" t="str">
        <f>IFERROR(" "&amp;VLOOKUP(B201,현장리스트!$B:$C,2,0),"-")</f>
        <v xml:space="preserve"> [2.동양] 한국건강관리협회 인천지부 신청사 건립 신축공사</v>
      </c>
      <c r="E201" s="13" t="s">
        <v>1549</v>
      </c>
      <c r="F201" s="13" t="str">
        <f t="shared" ca="1" si="10"/>
        <v>53세</v>
      </c>
      <c r="G201" s="14" t="s">
        <v>1550</v>
      </c>
      <c r="H201" s="15" t="str">
        <f t="shared" si="11"/>
        <v>남</v>
      </c>
      <c r="I201" s="16" t="s">
        <v>2995</v>
      </c>
      <c r="J201" s="16" t="s">
        <v>30</v>
      </c>
      <c r="K201" s="17">
        <v>200000</v>
      </c>
      <c r="L201" s="18" t="s">
        <v>1551</v>
      </c>
      <c r="M201" s="19" t="s">
        <v>987</v>
      </c>
      <c r="N201" s="19" t="s">
        <v>2737</v>
      </c>
      <c r="O201" s="20">
        <v>4</v>
      </c>
      <c r="P201" s="23" t="s">
        <v>24</v>
      </c>
      <c r="Q201" s="21" t="str">
        <f>VLOOKUP(C201,'2-1. 인사고과표(기능)'!B:AS,44,0)</f>
        <v>A</v>
      </c>
      <c r="R201" s="21" t="str">
        <f>VLOOKUP(C201,'2-2. 인사고과표(안전)'!B:AO,40,0)</f>
        <v>A</v>
      </c>
      <c r="S201" s="18"/>
      <c r="T201" s="19"/>
      <c r="U201" s="19"/>
      <c r="V201" s="19"/>
      <c r="W201" s="19" t="s">
        <v>2959</v>
      </c>
      <c r="X201" s="22" t="s">
        <v>2986</v>
      </c>
      <c r="Y201" s="23"/>
      <c r="Z201" s="19"/>
      <c r="AA201" s="19"/>
      <c r="AB201" s="22"/>
      <c r="AC201" s="19"/>
      <c r="AD201" s="23"/>
      <c r="AE201" s="24"/>
    </row>
    <row r="202" spans="2:31" ht="39.950000000000003" customHeight="1" x14ac:dyDescent="0.3">
      <c r="B202" s="107">
        <v>24002</v>
      </c>
      <c r="C202" s="12">
        <f t="shared" si="9"/>
        <v>197</v>
      </c>
      <c r="D202" s="105" t="str">
        <f>IFERROR(" "&amp;VLOOKUP(B202,현장리스트!$B:$C,2,0),"-")</f>
        <v xml:space="preserve"> [2.동양] 한국건강관리협회 인천지부 신청사 건립 신축공사</v>
      </c>
      <c r="E202" s="13" t="s">
        <v>1601</v>
      </c>
      <c r="F202" s="13" t="str">
        <f t="shared" ca="1" si="10"/>
        <v>60세</v>
      </c>
      <c r="G202" s="14" t="s">
        <v>1602</v>
      </c>
      <c r="H202" s="15" t="str">
        <f t="shared" si="11"/>
        <v>남</v>
      </c>
      <c r="I202" s="16" t="s">
        <v>2995</v>
      </c>
      <c r="J202" s="16" t="s">
        <v>30</v>
      </c>
      <c r="K202" s="17">
        <v>200000</v>
      </c>
      <c r="L202" s="18" t="s">
        <v>1603</v>
      </c>
      <c r="M202" s="19" t="s">
        <v>910</v>
      </c>
      <c r="N202" s="19" t="s">
        <v>1007</v>
      </c>
      <c r="O202" s="20">
        <v>15</v>
      </c>
      <c r="P202" s="23" t="s">
        <v>24</v>
      </c>
      <c r="Q202" s="21" t="str">
        <f>VLOOKUP(C202,'2-1. 인사고과표(기능)'!B:AS,44,0)</f>
        <v>B</v>
      </c>
      <c r="R202" s="21" t="str">
        <f>VLOOKUP(C202,'2-2. 인사고과표(안전)'!B:AO,40,0)</f>
        <v>A</v>
      </c>
      <c r="S202" s="18"/>
      <c r="T202" s="19"/>
      <c r="U202" s="19"/>
      <c r="V202" s="19"/>
      <c r="W202" s="19"/>
      <c r="X202" s="22"/>
      <c r="Y202" s="23"/>
      <c r="Z202" s="19"/>
      <c r="AA202" s="19"/>
      <c r="AB202" s="22"/>
      <c r="AC202" s="19"/>
      <c r="AD202" s="23"/>
      <c r="AE202" s="24"/>
    </row>
    <row r="203" spans="2:31" ht="39.950000000000003" customHeight="1" x14ac:dyDescent="0.3">
      <c r="B203" s="107">
        <v>24002</v>
      </c>
      <c r="C203" s="12">
        <f t="shared" si="9"/>
        <v>198</v>
      </c>
      <c r="D203" s="105" t="str">
        <f>IFERROR(" "&amp;VLOOKUP(B203,현장리스트!$B:$C,2,0),"-")</f>
        <v xml:space="preserve"> [2.동양] 한국건강관리협회 인천지부 신청사 건립 신축공사</v>
      </c>
      <c r="E203" s="13" t="s">
        <v>1683</v>
      </c>
      <c r="F203" s="13" t="str">
        <f t="shared" ca="1" si="10"/>
        <v>50세</v>
      </c>
      <c r="G203" s="14" t="s">
        <v>1684</v>
      </c>
      <c r="H203" s="15" t="str">
        <f t="shared" si="11"/>
        <v>남</v>
      </c>
      <c r="I203" s="16" t="s">
        <v>2995</v>
      </c>
      <c r="J203" s="16" t="s">
        <v>30</v>
      </c>
      <c r="K203" s="17">
        <v>220000</v>
      </c>
      <c r="L203" s="18" t="s">
        <v>1685</v>
      </c>
      <c r="M203" s="19" t="s">
        <v>914</v>
      </c>
      <c r="N203" s="19" t="s">
        <v>2979</v>
      </c>
      <c r="O203" s="20">
        <v>17</v>
      </c>
      <c r="P203" s="23" t="s">
        <v>24</v>
      </c>
      <c r="Q203" s="21" t="str">
        <f>VLOOKUP(C203,'2-1. 인사고과표(기능)'!B:AS,44,0)</f>
        <v>S</v>
      </c>
      <c r="R203" s="21" t="str">
        <f>VLOOKUP(C203,'2-2. 인사고과표(안전)'!B:AO,40,0)</f>
        <v>S</v>
      </c>
      <c r="S203" s="18"/>
      <c r="T203" s="19"/>
      <c r="U203" s="19"/>
      <c r="V203" s="19"/>
      <c r="W203" s="19" t="s">
        <v>260</v>
      </c>
      <c r="X203" s="22" t="s">
        <v>2988</v>
      </c>
      <c r="Y203" s="23"/>
      <c r="Z203" s="19"/>
      <c r="AA203" s="19"/>
      <c r="AB203" s="22"/>
      <c r="AC203" s="19"/>
      <c r="AD203" s="23"/>
      <c r="AE203" s="24"/>
    </row>
    <row r="204" spans="2:31" ht="39.950000000000003" customHeight="1" x14ac:dyDescent="0.3">
      <c r="B204" s="107">
        <v>24002</v>
      </c>
      <c r="C204" s="12">
        <f t="shared" si="9"/>
        <v>199</v>
      </c>
      <c r="D204" s="105" t="str">
        <f>IFERROR(" "&amp;VLOOKUP(B204,현장리스트!$B:$C,2,0),"-")</f>
        <v xml:space="preserve"> [2.동양] 한국건강관리협회 인천지부 신청사 건립 신축공사</v>
      </c>
      <c r="E204" s="13" t="s">
        <v>2099</v>
      </c>
      <c r="F204" s="13" t="str">
        <f t="shared" ca="1" si="10"/>
        <v>48세</v>
      </c>
      <c r="G204" s="14" t="s">
        <v>2100</v>
      </c>
      <c r="H204" s="15" t="str">
        <f t="shared" si="11"/>
        <v>남</v>
      </c>
      <c r="I204" s="16" t="s">
        <v>2995</v>
      </c>
      <c r="J204" s="16" t="s">
        <v>902</v>
      </c>
      <c r="K204" s="17">
        <v>210000</v>
      </c>
      <c r="L204" s="18" t="s">
        <v>2101</v>
      </c>
      <c r="M204" s="19" t="s">
        <v>910</v>
      </c>
      <c r="N204" s="19" t="s">
        <v>2787</v>
      </c>
      <c r="O204" s="20">
        <v>19</v>
      </c>
      <c r="P204" s="23" t="s">
        <v>24</v>
      </c>
      <c r="Q204" s="21" t="str">
        <f>VLOOKUP(C204,'2-1. 인사고과표(기능)'!B:AS,44,0)</f>
        <v>A</v>
      </c>
      <c r="R204" s="21" t="str">
        <f>VLOOKUP(C204,'2-2. 인사고과표(안전)'!B:AO,40,0)</f>
        <v>S</v>
      </c>
      <c r="S204" s="18"/>
      <c r="T204" s="19"/>
      <c r="U204" s="19"/>
      <c r="V204" s="19"/>
      <c r="W204" s="19"/>
      <c r="X204" s="22"/>
      <c r="Y204" s="23"/>
      <c r="Z204" s="19"/>
      <c r="AA204" s="19" t="s">
        <v>2984</v>
      </c>
      <c r="AB204" s="22" t="s">
        <v>2989</v>
      </c>
      <c r="AC204" s="19"/>
      <c r="AD204" s="23"/>
      <c r="AE204" s="24"/>
    </row>
    <row r="205" spans="2:31" ht="39.950000000000003" customHeight="1" x14ac:dyDescent="0.3">
      <c r="B205" s="107">
        <v>24002</v>
      </c>
      <c r="C205" s="12">
        <f t="shared" si="9"/>
        <v>200</v>
      </c>
      <c r="D205" s="105" t="str">
        <f>IFERROR(" "&amp;VLOOKUP(B205,현장리스트!$B:$C,2,0),"-")</f>
        <v xml:space="preserve"> [2.동양] 한국건강관리협회 인천지부 신청사 건립 신축공사</v>
      </c>
      <c r="E205" s="13" t="s">
        <v>2204</v>
      </c>
      <c r="F205" s="13" t="str">
        <f t="shared" ca="1" si="10"/>
        <v>58세</v>
      </c>
      <c r="G205" s="14" t="s">
        <v>2205</v>
      </c>
      <c r="H205" s="15" t="str">
        <f t="shared" si="11"/>
        <v>남</v>
      </c>
      <c r="I205" s="16" t="s">
        <v>2995</v>
      </c>
      <c r="J205" s="16" t="s">
        <v>30</v>
      </c>
      <c r="K205" s="17">
        <v>200000</v>
      </c>
      <c r="L205" s="18" t="s">
        <v>2980</v>
      </c>
      <c r="M205" s="19" t="s">
        <v>987</v>
      </c>
      <c r="N205" s="19" t="s">
        <v>1010</v>
      </c>
      <c r="O205" s="20">
        <v>28</v>
      </c>
      <c r="P205" s="23" t="s">
        <v>24</v>
      </c>
      <c r="Q205" s="21" t="str">
        <f>VLOOKUP(C205,'2-1. 인사고과표(기능)'!B:AS,44,0)</f>
        <v>A</v>
      </c>
      <c r="R205" s="21" t="str">
        <f>VLOOKUP(C205,'2-2. 인사고과표(안전)'!B:AO,40,0)</f>
        <v>S</v>
      </c>
      <c r="S205" s="18"/>
      <c r="T205" s="19"/>
      <c r="U205" s="19"/>
      <c r="V205" s="19"/>
      <c r="W205" s="19" t="s">
        <v>2959</v>
      </c>
      <c r="X205" s="22" t="s">
        <v>2986</v>
      </c>
      <c r="Y205" s="23"/>
      <c r="Z205" s="19"/>
      <c r="AA205" s="19" t="s">
        <v>2984</v>
      </c>
      <c r="AB205" s="22" t="s">
        <v>2985</v>
      </c>
      <c r="AC205" s="19"/>
      <c r="AD205" s="23"/>
      <c r="AE205" s="24"/>
    </row>
    <row r="206" spans="2:31" ht="39.950000000000003" customHeight="1" x14ac:dyDescent="0.3">
      <c r="B206" s="107">
        <v>24002</v>
      </c>
      <c r="C206" s="12">
        <f t="shared" si="9"/>
        <v>201</v>
      </c>
      <c r="D206" s="105" t="str">
        <f>IFERROR(" "&amp;VLOOKUP(B206,현장리스트!$B:$C,2,0),"-")</f>
        <v xml:space="preserve"> [2.동양] 한국건강관리협회 인천지부 신청사 건립 신축공사</v>
      </c>
      <c r="E206" s="13" t="s">
        <v>2296</v>
      </c>
      <c r="F206" s="13" t="str">
        <f t="shared" ca="1" si="10"/>
        <v>72세</v>
      </c>
      <c r="G206" s="14" t="s">
        <v>2974</v>
      </c>
      <c r="H206" s="15" t="str">
        <f t="shared" si="11"/>
        <v>남</v>
      </c>
      <c r="I206" s="16" t="s">
        <v>2995</v>
      </c>
      <c r="J206" s="16" t="s">
        <v>902</v>
      </c>
      <c r="K206" s="17">
        <v>200000</v>
      </c>
      <c r="L206" s="18" t="s">
        <v>2981</v>
      </c>
      <c r="M206" s="19" t="s">
        <v>910</v>
      </c>
      <c r="N206" s="19" t="s">
        <v>1012</v>
      </c>
      <c r="O206" s="20">
        <v>31</v>
      </c>
      <c r="P206" s="23" t="s">
        <v>24</v>
      </c>
      <c r="Q206" s="21" t="str">
        <f>VLOOKUP(C206,'2-1. 인사고과표(기능)'!B:AS,44,0)</f>
        <v>A</v>
      </c>
      <c r="R206" s="21" t="str">
        <f>VLOOKUP(C206,'2-2. 인사고과표(안전)'!B:AO,40,0)</f>
        <v>S</v>
      </c>
      <c r="S206" s="18"/>
      <c r="T206" s="19"/>
      <c r="U206" s="19"/>
      <c r="V206" s="19"/>
      <c r="W206" s="19" t="s">
        <v>2959</v>
      </c>
      <c r="X206" s="22" t="s">
        <v>2986</v>
      </c>
      <c r="Y206" s="23"/>
      <c r="Z206" s="19"/>
      <c r="AA206" s="19" t="s">
        <v>2984</v>
      </c>
      <c r="AB206" s="22" t="s">
        <v>2985</v>
      </c>
      <c r="AC206" s="19"/>
      <c r="AD206" s="23"/>
      <c r="AE206" s="24"/>
    </row>
    <row r="207" spans="2:31" ht="39.950000000000003" customHeight="1" x14ac:dyDescent="0.3">
      <c r="B207" s="107">
        <v>24002</v>
      </c>
      <c r="C207" s="12">
        <f t="shared" si="9"/>
        <v>202</v>
      </c>
      <c r="D207" s="105" t="str">
        <f>IFERROR(" "&amp;VLOOKUP(B207,현장리스트!$B:$C,2,0),"-")</f>
        <v xml:space="preserve"> [2.동양] 한국건강관리협회 인천지부 신청사 건립 신축공사</v>
      </c>
      <c r="E207" s="13" t="s">
        <v>2321</v>
      </c>
      <c r="F207" s="13" t="str">
        <f t="shared" ca="1" si="10"/>
        <v>57세</v>
      </c>
      <c r="G207" s="14" t="s">
        <v>2322</v>
      </c>
      <c r="H207" s="15" t="str">
        <f t="shared" si="11"/>
        <v>남</v>
      </c>
      <c r="I207" s="16" t="s">
        <v>2995</v>
      </c>
      <c r="J207" s="16" t="s">
        <v>30</v>
      </c>
      <c r="K207" s="17">
        <v>200000</v>
      </c>
      <c r="L207" s="18" t="s">
        <v>2982</v>
      </c>
      <c r="M207" s="19" t="s">
        <v>910</v>
      </c>
      <c r="N207" s="19" t="s">
        <v>911</v>
      </c>
      <c r="O207" s="20">
        <v>23</v>
      </c>
      <c r="P207" s="23" t="s">
        <v>24</v>
      </c>
      <c r="Q207" s="21" t="str">
        <f>VLOOKUP(C207,'2-1. 인사고과표(기능)'!B:AS,44,0)</f>
        <v>A</v>
      </c>
      <c r="R207" s="21" t="str">
        <f>VLOOKUP(C207,'2-2. 인사고과표(안전)'!B:AO,40,0)</f>
        <v>S</v>
      </c>
      <c r="S207" s="18"/>
      <c r="T207" s="19"/>
      <c r="U207" s="19"/>
      <c r="V207" s="19"/>
      <c r="W207" s="19" t="s">
        <v>2959</v>
      </c>
      <c r="X207" s="22" t="s">
        <v>2986</v>
      </c>
      <c r="Y207" s="23"/>
      <c r="Z207" s="19"/>
      <c r="AA207" s="19" t="s">
        <v>2984</v>
      </c>
      <c r="AB207" s="22" t="s">
        <v>2985</v>
      </c>
      <c r="AC207" s="19"/>
      <c r="AD207" s="23"/>
      <c r="AE207" s="24"/>
    </row>
    <row r="208" spans="2:31" ht="39.950000000000003" customHeight="1" x14ac:dyDescent="0.3">
      <c r="B208" s="107">
        <v>24002</v>
      </c>
      <c r="C208" s="12">
        <f t="shared" si="9"/>
        <v>203</v>
      </c>
      <c r="D208" s="105" t="str">
        <f>IFERROR(" "&amp;VLOOKUP(B208,현장리스트!$B:$C,2,0),"-")</f>
        <v xml:space="preserve"> [2.동양] 한국건강관리협회 인천지부 신청사 건립 신축공사</v>
      </c>
      <c r="E208" s="13" t="s">
        <v>706</v>
      </c>
      <c r="F208" s="13" t="str">
        <f t="shared" ca="1" si="10"/>
        <v>28세</v>
      </c>
      <c r="G208" s="14" t="s">
        <v>2388</v>
      </c>
      <c r="H208" s="15" t="str">
        <f t="shared" si="11"/>
        <v>여</v>
      </c>
      <c r="I208" s="16" t="s">
        <v>2997</v>
      </c>
      <c r="J208" s="16" t="s">
        <v>2998</v>
      </c>
      <c r="K208" s="17">
        <v>160000</v>
      </c>
      <c r="L208" s="18" t="s">
        <v>1069</v>
      </c>
      <c r="M208" s="19" t="s">
        <v>910</v>
      </c>
      <c r="N208" s="19" t="s">
        <v>911</v>
      </c>
      <c r="O208" s="20">
        <v>5</v>
      </c>
      <c r="P208" s="23" t="s">
        <v>24</v>
      </c>
      <c r="Q208" s="21" t="str">
        <f>VLOOKUP(C208,'2-1. 인사고과표(기능)'!B:AS,44,0)</f>
        <v>A</v>
      </c>
      <c r="R208" s="21" t="str">
        <f>VLOOKUP(C208,'2-2. 인사고과표(안전)'!B:AO,40,0)</f>
        <v>S</v>
      </c>
      <c r="S208" s="18"/>
      <c r="T208" s="19"/>
      <c r="U208" s="19"/>
      <c r="V208" s="19"/>
      <c r="W208" s="19"/>
      <c r="X208" s="22"/>
      <c r="Y208" s="23"/>
      <c r="Z208" s="19"/>
      <c r="AA208" s="19" t="s">
        <v>2990</v>
      </c>
      <c r="AB208" s="22" t="s">
        <v>2991</v>
      </c>
      <c r="AC208" s="19"/>
      <c r="AD208" s="23"/>
      <c r="AE208" s="24"/>
    </row>
    <row r="209" spans="2:31" ht="39.950000000000003" customHeight="1" x14ac:dyDescent="0.3">
      <c r="B209" s="107">
        <v>24002</v>
      </c>
      <c r="C209" s="12">
        <f t="shared" si="9"/>
        <v>204</v>
      </c>
      <c r="D209" s="105" t="str">
        <f>IFERROR(" "&amp;VLOOKUP(B209,현장리스트!$B:$C,2,0),"-")</f>
        <v xml:space="preserve"> [2.동양] 한국건강관리협회 인천지부 신청사 건립 신축공사</v>
      </c>
      <c r="E209" s="13" t="s">
        <v>2412</v>
      </c>
      <c r="F209" s="13" t="str">
        <f t="shared" ca="1" si="10"/>
        <v>63세</v>
      </c>
      <c r="G209" s="14" t="s">
        <v>2413</v>
      </c>
      <c r="H209" s="15" t="str">
        <f t="shared" si="11"/>
        <v>남</v>
      </c>
      <c r="I209" s="16" t="s">
        <v>2993</v>
      </c>
      <c r="J209" s="16" t="s">
        <v>2996</v>
      </c>
      <c r="K209" s="17">
        <v>5400000</v>
      </c>
      <c r="L209" s="18" t="s">
        <v>2414</v>
      </c>
      <c r="M209" s="19" t="s">
        <v>987</v>
      </c>
      <c r="N209" s="19" t="s">
        <v>2888</v>
      </c>
      <c r="O209" s="20">
        <v>35</v>
      </c>
      <c r="P209" s="23" t="s">
        <v>24</v>
      </c>
      <c r="Q209" s="21" t="str">
        <f>VLOOKUP(C209,'2-1. 인사고과표(기능)'!B:AS,44,0)</f>
        <v>S</v>
      </c>
      <c r="R209" s="21" t="str">
        <f>VLOOKUP(C209,'2-2. 인사고과표(안전)'!B:AO,40,0)</f>
        <v>S</v>
      </c>
      <c r="S209" s="18"/>
      <c r="T209" s="19"/>
      <c r="U209" s="19"/>
      <c r="V209" s="19"/>
      <c r="W209" s="19" t="s">
        <v>260</v>
      </c>
      <c r="X209" s="22" t="s">
        <v>2988</v>
      </c>
      <c r="Y209" s="23"/>
      <c r="Z209" s="19"/>
      <c r="AA209" s="19" t="s">
        <v>2984</v>
      </c>
      <c r="AB209" s="22" t="s">
        <v>2992</v>
      </c>
      <c r="AC209" s="19"/>
      <c r="AD209" s="23"/>
      <c r="AE209" s="24"/>
    </row>
    <row r="210" spans="2:31" ht="39.950000000000003" customHeight="1" x14ac:dyDescent="0.3">
      <c r="B210" s="107">
        <v>24046</v>
      </c>
      <c r="C210" s="12">
        <f t="shared" si="9"/>
        <v>205</v>
      </c>
      <c r="D210" s="105" t="str">
        <f>IFERROR(" "&amp;VLOOKUP(B210,현장리스트!$B:$C,2,0),"-")</f>
        <v xml:space="preserve"> [2.서희건설] 평택화양센트럴 지역주택조합 아파트 신축공사</v>
      </c>
      <c r="E210" s="13" t="s">
        <v>634</v>
      </c>
      <c r="F210" s="13" t="str">
        <f t="shared" ca="1" si="10"/>
        <v>45세</v>
      </c>
      <c r="G210" s="14" t="s">
        <v>1587</v>
      </c>
      <c r="H210" s="15" t="str">
        <f t="shared" si="11"/>
        <v>남</v>
      </c>
      <c r="I210" s="16" t="s">
        <v>895</v>
      </c>
      <c r="J210" s="16" t="s">
        <v>903</v>
      </c>
      <c r="K210" s="17">
        <v>5400000</v>
      </c>
      <c r="L210" s="18" t="s">
        <v>1588</v>
      </c>
      <c r="M210" s="19" t="s">
        <v>2670</v>
      </c>
      <c r="N210" s="19" t="s">
        <v>3068</v>
      </c>
      <c r="O210" s="20">
        <v>18</v>
      </c>
      <c r="P210" s="23" t="s">
        <v>25</v>
      </c>
      <c r="Q210" s="21" t="str">
        <f>VLOOKUP(C210,'2-1. 인사고과표(기능)'!B:AS,44,0)</f>
        <v>S</v>
      </c>
      <c r="R210" s="21" t="str">
        <f>VLOOKUP(C210,'2-2. 인사고과표(안전)'!B:AO,40,0)</f>
        <v>S</v>
      </c>
      <c r="S210" s="18" t="s">
        <v>2675</v>
      </c>
      <c r="T210" s="19"/>
      <c r="U210" s="19" t="s">
        <v>32</v>
      </c>
      <c r="V210" s="19"/>
      <c r="W210" s="19" t="s">
        <v>630</v>
      </c>
      <c r="X210" s="22" t="s">
        <v>3055</v>
      </c>
      <c r="Y210" s="23" t="s">
        <v>23</v>
      </c>
      <c r="Z210" s="19"/>
      <c r="AA210" s="19" t="s">
        <v>3056</v>
      </c>
      <c r="AB210" s="22" t="s">
        <v>3057</v>
      </c>
      <c r="AC210" s="19" t="s">
        <v>3058</v>
      </c>
      <c r="AD210" s="23" t="s">
        <v>25</v>
      </c>
      <c r="AE210" s="24"/>
    </row>
    <row r="211" spans="2:31" ht="39.950000000000003" customHeight="1" x14ac:dyDescent="0.3">
      <c r="B211" s="107">
        <v>24046</v>
      </c>
      <c r="C211" s="12">
        <f t="shared" si="9"/>
        <v>206</v>
      </c>
      <c r="D211" s="105" t="str">
        <f>IFERROR(" "&amp;VLOOKUP(B211,현장리스트!$B:$C,2,0),"-")</f>
        <v xml:space="preserve"> [2.서희건설] 평택화양센트럴 지역주택조합 아파트 신축공사</v>
      </c>
      <c r="E211" s="13" t="s">
        <v>1141</v>
      </c>
      <c r="F211" s="13" t="str">
        <f t="shared" ca="1" si="10"/>
        <v>60세</v>
      </c>
      <c r="G211" s="14" t="s">
        <v>1142</v>
      </c>
      <c r="H211" s="15" t="str">
        <f t="shared" si="11"/>
        <v>남</v>
      </c>
      <c r="I211" s="16" t="s">
        <v>899</v>
      </c>
      <c r="J211" s="16" t="s">
        <v>903</v>
      </c>
      <c r="K211" s="17">
        <v>5300000</v>
      </c>
      <c r="L211" s="18" t="s">
        <v>3054</v>
      </c>
      <c r="M211" s="19" t="s">
        <v>3073</v>
      </c>
      <c r="N211" s="19" t="s">
        <v>3070</v>
      </c>
      <c r="O211" s="20">
        <v>30</v>
      </c>
      <c r="P211" s="23" t="s">
        <v>23</v>
      </c>
      <c r="Q211" s="21" t="str">
        <f>VLOOKUP(C211,'2-1. 인사고과표(기능)'!B:AS,44,0)</f>
        <v>S</v>
      </c>
      <c r="R211" s="21" t="str">
        <f>VLOOKUP(C211,'2-2. 인사고과표(안전)'!B:AO,40,0)</f>
        <v>S</v>
      </c>
      <c r="S211" s="18" t="s">
        <v>2675</v>
      </c>
      <c r="T211" s="19"/>
      <c r="U211" s="19"/>
      <c r="V211" s="19"/>
      <c r="W211" s="19" t="s">
        <v>630</v>
      </c>
      <c r="X211" s="22" t="s">
        <v>3055</v>
      </c>
      <c r="Y211" s="23" t="s">
        <v>23</v>
      </c>
      <c r="Z211" s="19"/>
      <c r="AA211" s="19" t="s">
        <v>3059</v>
      </c>
      <c r="AB211" s="22" t="s">
        <v>3060</v>
      </c>
      <c r="AC211" s="19" t="s">
        <v>3061</v>
      </c>
      <c r="AD211" s="23" t="s">
        <v>23</v>
      </c>
      <c r="AE211" s="24"/>
    </row>
    <row r="212" spans="2:31" ht="39.950000000000003" customHeight="1" x14ac:dyDescent="0.3">
      <c r="B212" s="107">
        <v>24046</v>
      </c>
      <c r="C212" s="12">
        <f t="shared" si="9"/>
        <v>207</v>
      </c>
      <c r="D212" s="105" t="str">
        <f>IFERROR(" "&amp;VLOOKUP(B212,현장리스트!$B:$C,2,0),"-")</f>
        <v xml:space="preserve"> [2.서희건설] 평택화양센트럴 지역주택조합 아파트 신축공사</v>
      </c>
      <c r="E212" s="13" t="s">
        <v>1541</v>
      </c>
      <c r="F212" s="13" t="str">
        <f t="shared" ca="1" si="10"/>
        <v>32세</v>
      </c>
      <c r="G212" s="14" t="s">
        <v>1542</v>
      </c>
      <c r="H212" s="15" t="str">
        <f t="shared" si="11"/>
        <v>남</v>
      </c>
      <c r="I212" s="16" t="s">
        <v>901</v>
      </c>
      <c r="J212" s="16" t="s">
        <v>3067</v>
      </c>
      <c r="K212" s="17">
        <v>200000</v>
      </c>
      <c r="L212" s="18" t="s">
        <v>1543</v>
      </c>
      <c r="M212" s="19" t="s">
        <v>3073</v>
      </c>
      <c r="N212" s="19" t="s">
        <v>3071</v>
      </c>
      <c r="O212" s="20">
        <v>7</v>
      </c>
      <c r="P212" s="23" t="s">
        <v>23</v>
      </c>
      <c r="Q212" s="21" t="str">
        <f>VLOOKUP(C212,'2-1. 인사고과표(기능)'!B:AS,44,0)</f>
        <v>S</v>
      </c>
      <c r="R212" s="21" t="str">
        <f>VLOOKUP(C212,'2-2. 인사고과표(안전)'!B:AO,40,0)</f>
        <v>S</v>
      </c>
      <c r="S212" s="18"/>
      <c r="T212" s="19"/>
      <c r="U212" s="19"/>
      <c r="V212" s="19"/>
      <c r="W212" s="19" t="s">
        <v>630</v>
      </c>
      <c r="X212" s="22" t="s">
        <v>3055</v>
      </c>
      <c r="Y212" s="23" t="s">
        <v>23</v>
      </c>
      <c r="Z212" s="19"/>
      <c r="AA212" s="19" t="s">
        <v>3062</v>
      </c>
      <c r="AB212" s="22" t="s">
        <v>3063</v>
      </c>
      <c r="AC212" s="19" t="s">
        <v>3061</v>
      </c>
      <c r="AD212" s="23" t="s">
        <v>23</v>
      </c>
      <c r="AE212" s="24"/>
    </row>
    <row r="213" spans="2:31" ht="39.950000000000003" customHeight="1" x14ac:dyDescent="0.3">
      <c r="B213" s="107">
        <v>24046</v>
      </c>
      <c r="C213" s="12">
        <f t="shared" si="9"/>
        <v>208</v>
      </c>
      <c r="D213" s="105" t="str">
        <f>IFERROR(" "&amp;VLOOKUP(B213,현장리스트!$B:$C,2,0),"-")</f>
        <v xml:space="preserve"> [2.서희건설] 평택화양센트럴 지역주택조합 아파트 신축공사</v>
      </c>
      <c r="E213" s="13" t="s">
        <v>2458</v>
      </c>
      <c r="F213" s="13" t="str">
        <f t="shared" ca="1" si="10"/>
        <v>54세</v>
      </c>
      <c r="G213" s="14" t="s">
        <v>2459</v>
      </c>
      <c r="H213" s="15" t="str">
        <f t="shared" si="11"/>
        <v>남</v>
      </c>
      <c r="I213" s="16" t="s">
        <v>901</v>
      </c>
      <c r="J213" s="16" t="s">
        <v>3067</v>
      </c>
      <c r="K213" s="17">
        <v>230000</v>
      </c>
      <c r="L213" s="18" t="s">
        <v>2460</v>
      </c>
      <c r="M213" s="19" t="s">
        <v>3072</v>
      </c>
      <c r="N213" s="19" t="s">
        <v>2650</v>
      </c>
      <c r="O213" s="20">
        <v>20</v>
      </c>
      <c r="P213" s="23" t="s">
        <v>23</v>
      </c>
      <c r="Q213" s="21" t="str">
        <f>VLOOKUP(C213,'2-1. 인사고과표(기능)'!B:AS,44,0)</f>
        <v>S</v>
      </c>
      <c r="R213" s="21" t="str">
        <f>VLOOKUP(C213,'2-2. 인사고과표(안전)'!B:AO,40,0)</f>
        <v>S</v>
      </c>
      <c r="S213" s="18"/>
      <c r="T213" s="19"/>
      <c r="U213" s="19"/>
      <c r="V213" s="19"/>
      <c r="W213" s="19"/>
      <c r="X213" s="22"/>
      <c r="Y213" s="23"/>
      <c r="Z213" s="19"/>
      <c r="AA213" s="19" t="s">
        <v>3064</v>
      </c>
      <c r="AB213" s="22" t="s">
        <v>3065</v>
      </c>
      <c r="AC213" s="19" t="s">
        <v>3066</v>
      </c>
      <c r="AD213" s="23" t="s">
        <v>23</v>
      </c>
      <c r="AE213" s="24"/>
    </row>
    <row r="214" spans="2:31" ht="39.950000000000003" customHeight="1" x14ac:dyDescent="0.3">
      <c r="B214" s="107">
        <v>24046</v>
      </c>
      <c r="C214" s="12">
        <f t="shared" si="9"/>
        <v>209</v>
      </c>
      <c r="D214" s="105" t="str">
        <f>IFERROR(" "&amp;VLOOKUP(B214,현장리스트!$B:$C,2,0),"-")</f>
        <v xml:space="preserve"> [2.서희건설] 평택화양센트럴 지역주택조합 아파트 신축공사</v>
      </c>
      <c r="E214" s="13" t="s">
        <v>1058</v>
      </c>
      <c r="F214" s="13" t="str">
        <f t="shared" ca="1" si="10"/>
        <v>32세</v>
      </c>
      <c r="G214" s="14" t="s">
        <v>1059</v>
      </c>
      <c r="H214" s="15" t="str">
        <f t="shared" si="11"/>
        <v>남</v>
      </c>
      <c r="I214" s="16" t="s">
        <v>901</v>
      </c>
      <c r="J214" s="16" t="s">
        <v>3067</v>
      </c>
      <c r="K214" s="17">
        <v>230000</v>
      </c>
      <c r="L214" s="18" t="s">
        <v>1060</v>
      </c>
      <c r="M214" s="19" t="s">
        <v>3072</v>
      </c>
      <c r="N214" s="19" t="s">
        <v>1010</v>
      </c>
      <c r="O214" s="20">
        <v>10</v>
      </c>
      <c r="P214" s="23" t="s">
        <v>23</v>
      </c>
      <c r="Q214" s="21" t="str">
        <f>VLOOKUP(C214,'2-1. 인사고과표(기능)'!B:AS,44,0)</f>
        <v>S</v>
      </c>
      <c r="R214" s="21" t="str">
        <f>VLOOKUP(C214,'2-2. 인사고과표(안전)'!B:AO,40,0)</f>
        <v>S</v>
      </c>
      <c r="S214" s="18" t="s">
        <v>2675</v>
      </c>
      <c r="T214" s="19"/>
      <c r="U214" s="19"/>
      <c r="V214" s="19"/>
      <c r="W214" s="19"/>
      <c r="X214" s="22"/>
      <c r="Y214" s="23"/>
      <c r="Z214" s="19"/>
      <c r="AA214" s="19" t="s">
        <v>3064</v>
      </c>
      <c r="AB214" s="22" t="s">
        <v>3065</v>
      </c>
      <c r="AC214" s="19" t="s">
        <v>3066</v>
      </c>
      <c r="AD214" s="23" t="s">
        <v>23</v>
      </c>
      <c r="AE214" s="24"/>
    </row>
    <row r="215" spans="2:31" ht="39.950000000000003" customHeight="1" x14ac:dyDescent="0.3">
      <c r="B215" s="107">
        <v>25002</v>
      </c>
      <c r="C215" s="12">
        <f t="shared" si="9"/>
        <v>210</v>
      </c>
      <c r="D215" s="105" t="str">
        <f>IFERROR(" "&amp;VLOOKUP(B215,현장리스트!$B:$C,2,0),"-")</f>
        <v xml:space="preserve"> [2.신세계건설] 스타필드 청라 소방전기공사 2공구</v>
      </c>
      <c r="E215" s="13" t="s">
        <v>1525</v>
      </c>
      <c r="F215" s="13" t="str">
        <f t="shared" ca="1" si="10"/>
        <v>52세</v>
      </c>
      <c r="G215" s="14" t="s">
        <v>2999</v>
      </c>
      <c r="H215" s="15" t="str">
        <f t="shared" si="11"/>
        <v>남</v>
      </c>
      <c r="I215" s="16" t="s">
        <v>895</v>
      </c>
      <c r="J215" s="16" t="s">
        <v>898</v>
      </c>
      <c r="K215" s="17">
        <v>6000000</v>
      </c>
      <c r="L215" s="18" t="s">
        <v>1526</v>
      </c>
      <c r="M215" s="19" t="s">
        <v>917</v>
      </c>
      <c r="N215" s="19" t="s">
        <v>3005</v>
      </c>
      <c r="O215" s="20">
        <v>26</v>
      </c>
      <c r="P215" s="23" t="s">
        <v>28</v>
      </c>
      <c r="Q215" s="21" t="str">
        <f>VLOOKUP(C215,'2-1. 인사고과표(기능)'!B:AS,44,0)</f>
        <v>S</v>
      </c>
      <c r="R215" s="21" t="str">
        <f>VLOOKUP(C215,'2-2. 인사고과표(안전)'!B:AO,40,0)</f>
        <v>S</v>
      </c>
      <c r="S215" s="18" t="s">
        <v>2788</v>
      </c>
      <c r="T215" s="19"/>
      <c r="U215" s="19" t="s">
        <v>2765</v>
      </c>
      <c r="V215" s="19"/>
      <c r="W215" s="19"/>
      <c r="X215" s="22"/>
      <c r="Y215" s="23"/>
      <c r="Z215" s="19"/>
      <c r="AA215" s="19" t="s">
        <v>438</v>
      </c>
      <c r="AB215" s="22" t="s">
        <v>3008</v>
      </c>
      <c r="AC215" s="19" t="s">
        <v>3009</v>
      </c>
      <c r="AD215" s="23"/>
      <c r="AE215" s="24"/>
    </row>
    <row r="216" spans="2:31" ht="39.950000000000003" customHeight="1" x14ac:dyDescent="0.3">
      <c r="B216" s="107">
        <v>25002</v>
      </c>
      <c r="C216" s="12">
        <f t="shared" si="9"/>
        <v>211</v>
      </c>
      <c r="D216" s="105" t="str">
        <f>IFERROR(" "&amp;VLOOKUP(B216,현장리스트!$B:$C,2,0),"-")</f>
        <v xml:space="preserve"> [2.신세계건설] 스타필드 청라 소방전기공사 2공구</v>
      </c>
      <c r="E216" s="13" t="s">
        <v>2131</v>
      </c>
      <c r="F216" s="13" t="str">
        <f t="shared" ca="1" si="10"/>
        <v>56세</v>
      </c>
      <c r="G216" s="14" t="s">
        <v>3000</v>
      </c>
      <c r="H216" s="15" t="str">
        <f t="shared" si="11"/>
        <v>남</v>
      </c>
      <c r="I216" s="16" t="s">
        <v>899</v>
      </c>
      <c r="J216" s="16" t="s">
        <v>903</v>
      </c>
      <c r="K216" s="17">
        <v>6000000</v>
      </c>
      <c r="L216" s="18" t="s">
        <v>2132</v>
      </c>
      <c r="M216" s="19" t="s">
        <v>2670</v>
      </c>
      <c r="N216" s="19" t="s">
        <v>3006</v>
      </c>
      <c r="O216" s="20">
        <v>26</v>
      </c>
      <c r="P216" s="23" t="s">
        <v>28</v>
      </c>
      <c r="Q216" s="21" t="str">
        <f>VLOOKUP(C216,'2-1. 인사고과표(기능)'!B:AS,44,0)</f>
        <v>S</v>
      </c>
      <c r="R216" s="21" t="str">
        <f>VLOOKUP(C216,'2-2. 인사고과표(안전)'!B:AO,40,0)</f>
        <v>S</v>
      </c>
      <c r="S216" s="18"/>
      <c r="T216" s="19"/>
      <c r="U216" s="19"/>
      <c r="V216" s="19"/>
      <c r="W216" s="19"/>
      <c r="X216" s="22"/>
      <c r="Y216" s="23"/>
      <c r="Z216" s="19"/>
      <c r="AA216" s="19" t="s">
        <v>438</v>
      </c>
      <c r="AB216" s="22" t="s">
        <v>3008</v>
      </c>
      <c r="AC216" s="19" t="s">
        <v>3009</v>
      </c>
      <c r="AD216" s="23"/>
      <c r="AE216" s="24"/>
    </row>
    <row r="217" spans="2:31" ht="39.950000000000003" customHeight="1" x14ac:dyDescent="0.3">
      <c r="B217" s="107">
        <v>25002</v>
      </c>
      <c r="C217" s="12">
        <f t="shared" si="9"/>
        <v>212</v>
      </c>
      <c r="D217" s="105" t="str">
        <f>IFERROR(" "&amp;VLOOKUP(B217,현장리스트!$B:$C,2,0),"-")</f>
        <v xml:space="preserve"> [2.신세계건설] 스타필드 청라 소방전기공사 2공구</v>
      </c>
      <c r="E217" s="13" t="s">
        <v>2123</v>
      </c>
      <c r="F217" s="13" t="str">
        <f t="shared" ca="1" si="10"/>
        <v>44세</v>
      </c>
      <c r="G217" s="14" t="s">
        <v>3001</v>
      </c>
      <c r="H217" s="15" t="str">
        <f t="shared" si="11"/>
        <v>남</v>
      </c>
      <c r="I217" s="16" t="s">
        <v>899</v>
      </c>
      <c r="J217" s="16" t="s">
        <v>896</v>
      </c>
      <c r="K217" s="17">
        <v>5200000</v>
      </c>
      <c r="L217" s="18" t="s">
        <v>2124</v>
      </c>
      <c r="M217" s="19" t="s">
        <v>917</v>
      </c>
      <c r="N217" s="19" t="s">
        <v>952</v>
      </c>
      <c r="O217" s="20">
        <v>20</v>
      </c>
      <c r="P217" s="23" t="s">
        <v>28</v>
      </c>
      <c r="Q217" s="21" t="str">
        <f>VLOOKUP(C217,'2-1. 인사고과표(기능)'!B:AS,44,0)</f>
        <v>S</v>
      </c>
      <c r="R217" s="21" t="str">
        <f>VLOOKUP(C217,'2-2. 인사고과표(안전)'!B:AO,40,0)</f>
        <v>S</v>
      </c>
      <c r="S217" s="18"/>
      <c r="T217" s="19"/>
      <c r="U217" s="19"/>
      <c r="V217" s="19"/>
      <c r="W217" s="19"/>
      <c r="X217" s="22"/>
      <c r="Y217" s="23"/>
      <c r="Z217" s="19"/>
      <c r="AA217" s="19" t="s">
        <v>438</v>
      </c>
      <c r="AB217" s="22" t="s">
        <v>3008</v>
      </c>
      <c r="AC217" s="19" t="s">
        <v>3009</v>
      </c>
      <c r="AD217" s="23"/>
      <c r="AE217" s="24"/>
    </row>
    <row r="218" spans="2:31" ht="39.950000000000003" customHeight="1" x14ac:dyDescent="0.3">
      <c r="B218" s="107">
        <v>25002</v>
      </c>
      <c r="C218" s="12">
        <f t="shared" si="9"/>
        <v>213</v>
      </c>
      <c r="D218" s="105" t="str">
        <f>IFERROR(" "&amp;VLOOKUP(B218,현장리스트!$B:$C,2,0),"-")</f>
        <v xml:space="preserve"> [2.신세계건설] 스타필드 청라 소방전기공사 2공구</v>
      </c>
      <c r="E218" s="13" t="s">
        <v>2150</v>
      </c>
      <c r="F218" s="13" t="str">
        <f t="shared" ca="1" si="10"/>
        <v>48세</v>
      </c>
      <c r="G218" s="14" t="s">
        <v>3002</v>
      </c>
      <c r="H218" s="15" t="str">
        <f t="shared" si="11"/>
        <v>남</v>
      </c>
      <c r="I218" s="16" t="s">
        <v>897</v>
      </c>
      <c r="J218" s="16" t="s">
        <v>903</v>
      </c>
      <c r="K218" s="17">
        <v>5400000</v>
      </c>
      <c r="L218" s="18" t="s">
        <v>2151</v>
      </c>
      <c r="M218" s="19" t="s">
        <v>934</v>
      </c>
      <c r="N218" s="19" t="s">
        <v>3007</v>
      </c>
      <c r="O218" s="20">
        <v>10</v>
      </c>
      <c r="P218" s="23" t="s">
        <v>28</v>
      </c>
      <c r="Q218" s="21" t="str">
        <f>VLOOKUP(C218,'2-1. 인사고과표(기능)'!B:AS,44,0)</f>
        <v>S</v>
      </c>
      <c r="R218" s="21" t="str">
        <f>VLOOKUP(C218,'2-2. 인사고과표(안전)'!B:AO,40,0)</f>
        <v>S</v>
      </c>
      <c r="S218" s="18"/>
      <c r="T218" s="19"/>
      <c r="U218" s="19"/>
      <c r="V218" s="19" t="s">
        <v>31</v>
      </c>
      <c r="W218" s="19"/>
      <c r="X218" s="22"/>
      <c r="Y218" s="23"/>
      <c r="Z218" s="19"/>
      <c r="AA218" s="19" t="s">
        <v>438</v>
      </c>
      <c r="AB218" s="22" t="s">
        <v>3008</v>
      </c>
      <c r="AC218" s="19" t="s">
        <v>3009</v>
      </c>
      <c r="AD218" s="23"/>
      <c r="AE218" s="24"/>
    </row>
    <row r="219" spans="2:31" ht="39.950000000000003" customHeight="1" x14ac:dyDescent="0.3">
      <c r="B219" s="107">
        <v>25002</v>
      </c>
      <c r="C219" s="12">
        <f t="shared" si="9"/>
        <v>214</v>
      </c>
      <c r="D219" s="105" t="str">
        <f>IFERROR(" "&amp;VLOOKUP(B219,현장리스트!$B:$C,2,0),"-")</f>
        <v xml:space="preserve"> [2.신세계건설] 스타필드 청라 소방전기공사 2공구</v>
      </c>
      <c r="E219" s="13" t="s">
        <v>1491</v>
      </c>
      <c r="F219" s="13" t="str">
        <f t="shared" ca="1" si="10"/>
        <v>58세</v>
      </c>
      <c r="G219" s="14" t="s">
        <v>3003</v>
      </c>
      <c r="H219" s="15" t="str">
        <f t="shared" si="11"/>
        <v>남</v>
      </c>
      <c r="I219" s="16" t="s">
        <v>901</v>
      </c>
      <c r="J219" s="16" t="s">
        <v>30</v>
      </c>
      <c r="K219" s="17">
        <v>220000</v>
      </c>
      <c r="L219" s="18" t="s">
        <v>1492</v>
      </c>
      <c r="M219" s="19" t="s">
        <v>917</v>
      </c>
      <c r="N219" s="19" t="s">
        <v>2712</v>
      </c>
      <c r="O219" s="20">
        <v>20</v>
      </c>
      <c r="P219" s="23" t="s">
        <v>28</v>
      </c>
      <c r="Q219" s="21" t="str">
        <f>VLOOKUP(C219,'2-1. 인사고과표(기능)'!B:AS,44,0)</f>
        <v>S</v>
      </c>
      <c r="R219" s="21" t="str">
        <f>VLOOKUP(C219,'2-2. 인사고과표(안전)'!B:AO,40,0)</f>
        <v>S</v>
      </c>
      <c r="S219" s="18"/>
      <c r="T219" s="19"/>
      <c r="U219" s="19"/>
      <c r="V219" s="19"/>
      <c r="W219" s="19"/>
      <c r="X219" s="22"/>
      <c r="Y219" s="23"/>
      <c r="Z219" s="19"/>
      <c r="AA219" s="19" t="s">
        <v>438</v>
      </c>
      <c r="AB219" s="22" t="s">
        <v>3008</v>
      </c>
      <c r="AC219" s="19" t="s">
        <v>3009</v>
      </c>
      <c r="AD219" s="23"/>
      <c r="AE219" s="24"/>
    </row>
    <row r="220" spans="2:31" ht="39.950000000000003" customHeight="1" x14ac:dyDescent="0.3">
      <c r="B220" s="107">
        <v>25002</v>
      </c>
      <c r="C220" s="12">
        <f t="shared" si="9"/>
        <v>215</v>
      </c>
      <c r="D220" s="105" t="str">
        <f>IFERROR(" "&amp;VLOOKUP(B220,현장리스트!$B:$C,2,0),"-")</f>
        <v xml:space="preserve"> [2.신세계건설] 스타필드 청라 소방전기공사 2공구</v>
      </c>
      <c r="E220" s="13" t="s">
        <v>2490</v>
      </c>
      <c r="F220" s="13" t="str">
        <f t="shared" ca="1" si="10"/>
        <v>44세</v>
      </c>
      <c r="G220" s="14" t="s">
        <v>3001</v>
      </c>
      <c r="H220" s="15" t="str">
        <f t="shared" si="11"/>
        <v>남</v>
      </c>
      <c r="I220" s="16" t="s">
        <v>901</v>
      </c>
      <c r="J220" s="16" t="s">
        <v>30</v>
      </c>
      <c r="K220" s="17">
        <v>210000</v>
      </c>
      <c r="L220" s="18" t="s">
        <v>2491</v>
      </c>
      <c r="M220" s="19" t="s">
        <v>914</v>
      </c>
      <c r="N220" s="19" t="s">
        <v>940</v>
      </c>
      <c r="O220" s="20">
        <v>18</v>
      </c>
      <c r="P220" s="23" t="s">
        <v>28</v>
      </c>
      <c r="Q220" s="21" t="str">
        <f>VLOOKUP(C220,'2-1. 인사고과표(기능)'!B:AS,44,0)</f>
        <v>S</v>
      </c>
      <c r="R220" s="21" t="str">
        <f>VLOOKUP(C220,'2-2. 인사고과표(안전)'!B:AO,40,0)</f>
        <v>S</v>
      </c>
      <c r="S220" s="18"/>
      <c r="T220" s="19"/>
      <c r="U220" s="19"/>
      <c r="V220" s="19"/>
      <c r="W220" s="19"/>
      <c r="X220" s="22"/>
      <c r="Y220" s="23"/>
      <c r="Z220" s="19"/>
      <c r="AA220" s="19" t="s">
        <v>813</v>
      </c>
      <c r="AB220" s="22" t="s">
        <v>3010</v>
      </c>
      <c r="AC220" s="19" t="s">
        <v>3011</v>
      </c>
      <c r="AD220" s="23"/>
      <c r="AE220" s="24"/>
    </row>
    <row r="221" spans="2:31" ht="39.950000000000003" customHeight="1" x14ac:dyDescent="0.3">
      <c r="B221" s="107">
        <v>25002</v>
      </c>
      <c r="C221" s="12">
        <f t="shared" si="9"/>
        <v>216</v>
      </c>
      <c r="D221" s="105" t="str">
        <f>IFERROR(" "&amp;VLOOKUP(B221,현장리스트!$B:$C,2,0),"-")</f>
        <v xml:space="preserve"> [2.신세계건설] 스타필드 청라 소방전기공사 2공구</v>
      </c>
      <c r="E221" s="13" t="s">
        <v>2219</v>
      </c>
      <c r="F221" s="13" t="str">
        <f t="shared" ca="1" si="10"/>
        <v>36세</v>
      </c>
      <c r="G221" s="14" t="s">
        <v>3004</v>
      </c>
      <c r="H221" s="15" t="str">
        <f t="shared" si="11"/>
        <v>남</v>
      </c>
      <c r="I221" s="16" t="s">
        <v>901</v>
      </c>
      <c r="J221" s="16" t="s">
        <v>30</v>
      </c>
      <c r="K221" s="17">
        <v>200000</v>
      </c>
      <c r="L221" s="18" t="s">
        <v>2220</v>
      </c>
      <c r="M221" s="19" t="s">
        <v>917</v>
      </c>
      <c r="N221" s="19" t="s">
        <v>997</v>
      </c>
      <c r="O221" s="20">
        <v>5</v>
      </c>
      <c r="P221" s="23" t="s">
        <v>28</v>
      </c>
      <c r="Q221" s="21" t="str">
        <f>VLOOKUP(C221,'2-1. 인사고과표(기능)'!B:AS,44,0)</f>
        <v>A</v>
      </c>
      <c r="R221" s="21" t="str">
        <f>VLOOKUP(C221,'2-2. 인사고과표(안전)'!B:AO,40,0)</f>
        <v>S</v>
      </c>
      <c r="S221" s="18"/>
      <c r="T221" s="19"/>
      <c r="U221" s="19"/>
      <c r="V221" s="19"/>
      <c r="W221" s="19"/>
      <c r="X221" s="22"/>
      <c r="Y221" s="23"/>
      <c r="Z221" s="19"/>
      <c r="AA221" s="19" t="s">
        <v>438</v>
      </c>
      <c r="AB221" s="22" t="s">
        <v>3008</v>
      </c>
      <c r="AC221" s="19" t="s">
        <v>3009</v>
      </c>
      <c r="AD221" s="23"/>
      <c r="AE221" s="24"/>
    </row>
    <row r="222" spans="2:31" ht="39.950000000000003" customHeight="1" x14ac:dyDescent="0.3">
      <c r="B222" s="107">
        <v>25001</v>
      </c>
      <c r="C222" s="12">
        <f t="shared" si="9"/>
        <v>217</v>
      </c>
      <c r="D222" s="105" t="str">
        <f>IFERROR(" "&amp;VLOOKUP(B222,현장리스트!$B:$C,2,0),"-")</f>
        <v xml:space="preserve"> [2.신세계건설] 스타필드 청라 신축공사 전기공사</v>
      </c>
      <c r="E222" s="13" t="s">
        <v>1504</v>
      </c>
      <c r="F222" s="13" t="str">
        <f t="shared" ca="1" si="10"/>
        <v>58세</v>
      </c>
      <c r="G222" s="14" t="s">
        <v>1505</v>
      </c>
      <c r="H222" s="15" t="str">
        <f t="shared" si="11"/>
        <v>남</v>
      </c>
      <c r="I222" s="16" t="s">
        <v>899</v>
      </c>
      <c r="J222" s="16" t="s">
        <v>903</v>
      </c>
      <c r="K222" s="17">
        <v>6000000</v>
      </c>
      <c r="L222" s="18" t="s">
        <v>1506</v>
      </c>
      <c r="M222" s="19" t="s">
        <v>917</v>
      </c>
      <c r="N222" s="19" t="s">
        <v>918</v>
      </c>
      <c r="O222" s="20">
        <v>25</v>
      </c>
      <c r="P222" s="23" t="s">
        <v>24</v>
      </c>
      <c r="Q222" s="21" t="str">
        <f>VLOOKUP(C222,'2-1. 인사고과표(기능)'!B:AS,44,0)</f>
        <v>A</v>
      </c>
      <c r="R222" s="21" t="str">
        <f>VLOOKUP(C222,'2-2. 인사고과표(안전)'!B:AO,40,0)</f>
        <v>S</v>
      </c>
      <c r="S222" s="18"/>
      <c r="T222" s="19"/>
      <c r="U222" s="19"/>
      <c r="V222" s="19"/>
      <c r="W222" s="19" t="s">
        <v>2829</v>
      </c>
      <c r="X222" s="22" t="s">
        <v>3105</v>
      </c>
      <c r="Y222" s="23" t="s">
        <v>24</v>
      </c>
      <c r="Z222" s="19"/>
      <c r="AA222" s="19" t="s">
        <v>2829</v>
      </c>
      <c r="AB222" s="22" t="s">
        <v>3106</v>
      </c>
      <c r="AC222" s="19" t="s">
        <v>3107</v>
      </c>
      <c r="AD222" s="23" t="s">
        <v>24</v>
      </c>
      <c r="AE222" s="24"/>
    </row>
    <row r="223" spans="2:31" ht="39.950000000000003" customHeight="1" x14ac:dyDescent="0.3">
      <c r="B223" s="107">
        <v>25001</v>
      </c>
      <c r="C223" s="12">
        <f t="shared" si="9"/>
        <v>218</v>
      </c>
      <c r="D223" s="105" t="str">
        <f>IFERROR(" "&amp;VLOOKUP(B223,현장리스트!$B:$C,2,0),"-")</f>
        <v xml:space="preserve"> [2.신세계건설] 스타필드 청라 신축공사 전기공사</v>
      </c>
      <c r="E223" s="13" t="s">
        <v>2383</v>
      </c>
      <c r="F223" s="13" t="str">
        <f t="shared" ca="1" si="10"/>
        <v>51세</v>
      </c>
      <c r="G223" s="14" t="s">
        <v>3103</v>
      </c>
      <c r="H223" s="15" t="str">
        <f t="shared" si="11"/>
        <v>남</v>
      </c>
      <c r="I223" s="16" t="s">
        <v>899</v>
      </c>
      <c r="J223" s="16" t="s">
        <v>903</v>
      </c>
      <c r="K223" s="17">
        <v>5200000</v>
      </c>
      <c r="L223" s="18" t="s">
        <v>2384</v>
      </c>
      <c r="M223" s="19" t="s">
        <v>987</v>
      </c>
      <c r="N223" s="19" t="s">
        <v>988</v>
      </c>
      <c r="O223" s="20">
        <v>24</v>
      </c>
      <c r="P223" s="23" t="s">
        <v>24</v>
      </c>
      <c r="Q223" s="21" t="str">
        <f>VLOOKUP(C223,'2-1. 인사고과표(기능)'!B:AS,44,0)</f>
        <v>A</v>
      </c>
      <c r="R223" s="21" t="str">
        <f>VLOOKUP(C223,'2-2. 인사고과표(안전)'!B:AO,40,0)</f>
        <v>S</v>
      </c>
      <c r="S223" s="18" t="s">
        <v>2675</v>
      </c>
      <c r="T223" s="19"/>
      <c r="U223" s="19"/>
      <c r="V223" s="19"/>
      <c r="W223" s="19" t="s">
        <v>2829</v>
      </c>
      <c r="X223" s="22" t="s">
        <v>3105</v>
      </c>
      <c r="Y223" s="23" t="s">
        <v>24</v>
      </c>
      <c r="Z223" s="19"/>
      <c r="AA223" s="19" t="s">
        <v>3108</v>
      </c>
      <c r="AB223" s="22" t="s">
        <v>3109</v>
      </c>
      <c r="AC223" s="19" t="s">
        <v>3110</v>
      </c>
      <c r="AD223" s="23" t="s">
        <v>23</v>
      </c>
      <c r="AE223" s="24"/>
    </row>
    <row r="224" spans="2:31" ht="39.950000000000003" customHeight="1" x14ac:dyDescent="0.3">
      <c r="B224" s="107">
        <v>25001</v>
      </c>
      <c r="C224" s="12">
        <f t="shared" si="9"/>
        <v>219</v>
      </c>
      <c r="D224" s="105" t="str">
        <f>IFERROR(" "&amp;VLOOKUP(B224,현장리스트!$B:$C,2,0),"-")</f>
        <v xml:space="preserve"> [2.신세계건설] 스타필드 청라 신축공사 전기공사</v>
      </c>
      <c r="E224" s="13" t="s">
        <v>1220</v>
      </c>
      <c r="F224" s="13" t="str">
        <f t="shared" ca="1" si="10"/>
        <v>54세</v>
      </c>
      <c r="G224" s="14" t="s">
        <v>1221</v>
      </c>
      <c r="H224" s="15" t="str">
        <f t="shared" si="11"/>
        <v>남</v>
      </c>
      <c r="I224" s="16" t="s">
        <v>895</v>
      </c>
      <c r="J224" s="16" t="s">
        <v>903</v>
      </c>
      <c r="K224" s="17">
        <v>5500000</v>
      </c>
      <c r="L224" s="18" t="s">
        <v>1223</v>
      </c>
      <c r="M224" s="19" t="s">
        <v>3075</v>
      </c>
      <c r="N224" s="19" t="s">
        <v>3104</v>
      </c>
      <c r="O224" s="20">
        <v>30</v>
      </c>
      <c r="P224" s="23" t="s">
        <v>24</v>
      </c>
      <c r="Q224" s="21" t="str">
        <f>VLOOKUP(C224,'2-1. 인사고과표(기능)'!B:AS,44,0)</f>
        <v>B</v>
      </c>
      <c r="R224" s="21" t="str">
        <f>VLOOKUP(C224,'2-2. 인사고과표(안전)'!B:AO,40,0)</f>
        <v>A</v>
      </c>
      <c r="S224" s="18"/>
      <c r="T224" s="19"/>
      <c r="U224" s="19" t="s">
        <v>31</v>
      </c>
      <c r="V224" s="19"/>
      <c r="W224" s="19"/>
      <c r="X224" s="22"/>
      <c r="Y224" s="23" t="s">
        <v>24</v>
      </c>
      <c r="Z224" s="19"/>
      <c r="AA224" s="19"/>
      <c r="AB224" s="22" t="s">
        <v>3111</v>
      </c>
      <c r="AC224" s="19" t="s">
        <v>3112</v>
      </c>
      <c r="AD224" s="23" t="s">
        <v>28</v>
      </c>
      <c r="AE224" s="24"/>
    </row>
    <row r="225" spans="2:31" ht="39.950000000000003" customHeight="1" x14ac:dyDescent="0.3">
      <c r="B225" s="107">
        <v>25001</v>
      </c>
      <c r="C225" s="12">
        <f t="shared" si="9"/>
        <v>220</v>
      </c>
      <c r="D225" s="105" t="str">
        <f>IFERROR(" "&amp;VLOOKUP(B225,현장리스트!$B:$C,2,0),"-")</f>
        <v xml:space="preserve"> [2.신세계건설] 스타필드 청라 신축공사 전기공사</v>
      </c>
      <c r="E225" s="13" t="s">
        <v>1532</v>
      </c>
      <c r="F225" s="13" t="str">
        <f t="shared" ca="1" si="10"/>
        <v>55세</v>
      </c>
      <c r="G225" s="14" t="s">
        <v>1533</v>
      </c>
      <c r="H225" s="15" t="str">
        <f t="shared" si="11"/>
        <v>남</v>
      </c>
      <c r="I225" s="16" t="s">
        <v>899</v>
      </c>
      <c r="J225" s="16" t="s">
        <v>903</v>
      </c>
      <c r="K225" s="17">
        <v>6000000</v>
      </c>
      <c r="L225" s="18" t="s">
        <v>1534</v>
      </c>
      <c r="M225" s="19" t="s">
        <v>987</v>
      </c>
      <c r="N225" s="19" t="s">
        <v>2868</v>
      </c>
      <c r="O225" s="20">
        <v>20</v>
      </c>
      <c r="P225" s="23" t="s">
        <v>24</v>
      </c>
      <c r="Q225" s="21" t="str">
        <f>VLOOKUP(C225,'2-1. 인사고과표(기능)'!B:AS,44,0)</f>
        <v>A</v>
      </c>
      <c r="R225" s="21" t="str">
        <f>VLOOKUP(C225,'2-2. 인사고과표(안전)'!B:AO,40,0)</f>
        <v>A</v>
      </c>
      <c r="S225" s="18" t="s">
        <v>31</v>
      </c>
      <c r="T225" s="19"/>
      <c r="U225" s="19" t="s">
        <v>31</v>
      </c>
      <c r="V225" s="19"/>
      <c r="W225" s="19"/>
      <c r="X225" s="22"/>
      <c r="Y225" s="23" t="s">
        <v>24</v>
      </c>
      <c r="Z225" s="19"/>
      <c r="AA225" s="19" t="s">
        <v>456</v>
      </c>
      <c r="AB225" s="22" t="s">
        <v>3113</v>
      </c>
      <c r="AC225" s="19" t="s">
        <v>3114</v>
      </c>
      <c r="AD225" s="23" t="s">
        <v>28</v>
      </c>
      <c r="AE225" s="24"/>
    </row>
    <row r="226" spans="2:31" ht="39.950000000000003" customHeight="1" x14ac:dyDescent="0.3">
      <c r="B226" s="107">
        <v>25001</v>
      </c>
      <c r="C226" s="12">
        <f t="shared" si="9"/>
        <v>221</v>
      </c>
      <c r="D226" s="105" t="str">
        <f>IFERROR(" "&amp;VLOOKUP(B226,현장리스트!$B:$C,2,0),"-")</f>
        <v xml:space="preserve"> [2.신세계건설] 스타필드 청라 신축공사 전기공사</v>
      </c>
      <c r="E226" s="13" t="s">
        <v>1161</v>
      </c>
      <c r="F226" s="13" t="str">
        <f t="shared" ca="1" si="10"/>
        <v>47세</v>
      </c>
      <c r="G226" s="14" t="s">
        <v>1162</v>
      </c>
      <c r="H226" s="15" t="str">
        <f t="shared" si="11"/>
        <v>남</v>
      </c>
      <c r="I226" s="16" t="s">
        <v>897</v>
      </c>
      <c r="J226" s="16" t="s">
        <v>903</v>
      </c>
      <c r="K226" s="17">
        <v>4200000</v>
      </c>
      <c r="L226" s="18" t="s">
        <v>1163</v>
      </c>
      <c r="M226" s="19" t="s">
        <v>910</v>
      </c>
      <c r="N226" s="19" t="s">
        <v>940</v>
      </c>
      <c r="O226" s="20">
        <v>15</v>
      </c>
      <c r="P226" s="23" t="s">
        <v>24</v>
      </c>
      <c r="Q226" s="21" t="str">
        <f>VLOOKUP(C226,'2-1. 인사고과표(기능)'!B:AS,44,0)</f>
        <v>B</v>
      </c>
      <c r="R226" s="21" t="str">
        <f>VLOOKUP(C226,'2-2. 인사고과표(안전)'!B:AO,40,0)</f>
        <v>S</v>
      </c>
      <c r="S226" s="18" t="s">
        <v>2567</v>
      </c>
      <c r="T226" s="19"/>
      <c r="U226" s="19"/>
      <c r="V226" s="19" t="s">
        <v>31</v>
      </c>
      <c r="W226" s="19" t="s">
        <v>2807</v>
      </c>
      <c r="X226" s="22" t="s">
        <v>3115</v>
      </c>
      <c r="Y226" s="23" t="s">
        <v>24</v>
      </c>
      <c r="Z226" s="19"/>
      <c r="AA226" s="19" t="s">
        <v>3116</v>
      </c>
      <c r="AB226" s="22" t="s">
        <v>3117</v>
      </c>
      <c r="AC226" s="19" t="s">
        <v>3118</v>
      </c>
      <c r="AD226" s="23" t="s">
        <v>25</v>
      </c>
      <c r="AE226" s="24"/>
    </row>
    <row r="227" spans="2:31" ht="39.950000000000003" customHeight="1" x14ac:dyDescent="0.3">
      <c r="B227" s="107">
        <v>25001</v>
      </c>
      <c r="C227" s="12">
        <f t="shared" si="9"/>
        <v>222</v>
      </c>
      <c r="D227" s="105" t="str">
        <f>IFERROR(" "&amp;VLOOKUP(B227,현장리스트!$B:$C,2,0),"-")</f>
        <v xml:space="preserve"> [2.신세계건설] 스타필드 청라 신축공사 전기공사</v>
      </c>
      <c r="E227" s="13" t="s">
        <v>1331</v>
      </c>
      <c r="F227" s="13" t="str">
        <f t="shared" ca="1" si="10"/>
        <v>60세</v>
      </c>
      <c r="G227" s="14" t="s">
        <v>1332</v>
      </c>
      <c r="H227" s="15" t="str">
        <f t="shared" si="11"/>
        <v>남</v>
      </c>
      <c r="I227" s="16" t="s">
        <v>901</v>
      </c>
      <c r="J227" s="16" t="s">
        <v>30</v>
      </c>
      <c r="K227" s="17">
        <v>220000</v>
      </c>
      <c r="L227" s="18" t="s">
        <v>1333</v>
      </c>
      <c r="M227" s="19" t="s">
        <v>917</v>
      </c>
      <c r="N227" s="19" t="s">
        <v>947</v>
      </c>
      <c r="O227" s="20">
        <v>20</v>
      </c>
      <c r="P227" s="23" t="s">
        <v>24</v>
      </c>
      <c r="Q227" s="21" t="str">
        <f>VLOOKUP(C227,'2-1. 인사고과표(기능)'!B:AS,44,0)</f>
        <v>A</v>
      </c>
      <c r="R227" s="21" t="str">
        <f>VLOOKUP(C227,'2-2. 인사고과표(안전)'!B:AO,40,0)</f>
        <v>A</v>
      </c>
      <c r="S227" s="18"/>
      <c r="T227" s="19"/>
      <c r="U227" s="19"/>
      <c r="V227" s="19"/>
      <c r="W227" s="19" t="s">
        <v>2829</v>
      </c>
      <c r="X227" s="22" t="s">
        <v>3119</v>
      </c>
      <c r="Y227" s="23" t="s">
        <v>24</v>
      </c>
      <c r="Z227" s="19"/>
      <c r="AA227" s="19" t="s">
        <v>3120</v>
      </c>
      <c r="AB227" s="22" t="s">
        <v>3121</v>
      </c>
      <c r="AC227" s="19" t="s">
        <v>3122</v>
      </c>
      <c r="AD227" s="23" t="s">
        <v>24</v>
      </c>
      <c r="AE227" s="24"/>
    </row>
    <row r="228" spans="2:31" ht="39.950000000000003" customHeight="1" x14ac:dyDescent="0.3">
      <c r="B228" s="107">
        <v>25001</v>
      </c>
      <c r="C228" s="12">
        <f t="shared" si="9"/>
        <v>223</v>
      </c>
      <c r="D228" s="105" t="str">
        <f>IFERROR(" "&amp;VLOOKUP(B228,현장리스트!$B:$C,2,0),"-")</f>
        <v xml:space="preserve"> [2.신세계건설] 스타필드 청라 신축공사 전기공사</v>
      </c>
      <c r="E228" s="13" t="s">
        <v>2400</v>
      </c>
      <c r="F228" s="13" t="str">
        <f t="shared" ca="1" si="10"/>
        <v>50세</v>
      </c>
      <c r="G228" s="14" t="s">
        <v>2401</v>
      </c>
      <c r="H228" s="15" t="str">
        <f t="shared" si="11"/>
        <v>남</v>
      </c>
      <c r="I228" s="16" t="s">
        <v>901</v>
      </c>
      <c r="J228" s="16" t="s">
        <v>30</v>
      </c>
      <c r="K228" s="17">
        <v>220000</v>
      </c>
      <c r="L228" s="18" t="s">
        <v>2402</v>
      </c>
      <c r="M228" s="19" t="s">
        <v>917</v>
      </c>
      <c r="N228" s="19" t="s">
        <v>952</v>
      </c>
      <c r="O228" s="20">
        <v>17</v>
      </c>
      <c r="P228" s="23" t="s">
        <v>24</v>
      </c>
      <c r="Q228" s="21" t="str">
        <f>VLOOKUP(C228,'2-1. 인사고과표(기능)'!B:AS,44,0)</f>
        <v>A</v>
      </c>
      <c r="R228" s="21" t="str">
        <f>VLOOKUP(C228,'2-2. 인사고과표(안전)'!B:AO,40,0)</f>
        <v>A</v>
      </c>
      <c r="S228" s="18"/>
      <c r="T228" s="19"/>
      <c r="U228" s="19"/>
      <c r="V228" s="19"/>
      <c r="W228" s="19" t="s">
        <v>2829</v>
      </c>
      <c r="X228" s="22" t="s">
        <v>3119</v>
      </c>
      <c r="Y228" s="23" t="s">
        <v>24</v>
      </c>
      <c r="Z228" s="19"/>
      <c r="AA228" s="19" t="s">
        <v>3120</v>
      </c>
      <c r="AB228" s="22" t="s">
        <v>3121</v>
      </c>
      <c r="AC228" s="19" t="s">
        <v>3122</v>
      </c>
      <c r="AD228" s="23" t="s">
        <v>24</v>
      </c>
      <c r="AE228" s="24"/>
    </row>
    <row r="229" spans="2:31" ht="39.950000000000003" customHeight="1" x14ac:dyDescent="0.3">
      <c r="B229" s="107">
        <v>25001</v>
      </c>
      <c r="C229" s="12">
        <f t="shared" si="9"/>
        <v>224</v>
      </c>
      <c r="D229" s="105" t="str">
        <f>IFERROR(" "&amp;VLOOKUP(B229,현장리스트!$B:$C,2,0),"-")</f>
        <v xml:space="preserve"> [2.신세계건설] 스타필드 청라 신축공사 전기공사</v>
      </c>
      <c r="E229" s="13" t="s">
        <v>1026</v>
      </c>
      <c r="F229" s="13" t="str">
        <f t="shared" ca="1" si="10"/>
        <v>52세</v>
      </c>
      <c r="G229" s="14" t="s">
        <v>1027</v>
      </c>
      <c r="H229" s="15" t="str">
        <f t="shared" si="11"/>
        <v>남</v>
      </c>
      <c r="I229" s="16" t="s">
        <v>901</v>
      </c>
      <c r="J229" s="16" t="s">
        <v>30</v>
      </c>
      <c r="K229" s="17">
        <v>220000</v>
      </c>
      <c r="L229" s="18" t="s">
        <v>1028</v>
      </c>
      <c r="M229" s="19" t="s">
        <v>917</v>
      </c>
      <c r="N229" s="19" t="s">
        <v>940</v>
      </c>
      <c r="O229" s="20">
        <v>15</v>
      </c>
      <c r="P229" s="23" t="s">
        <v>24</v>
      </c>
      <c r="Q229" s="21" t="str">
        <f>VLOOKUP(C229,'2-1. 인사고과표(기능)'!B:AS,44,0)</f>
        <v>A</v>
      </c>
      <c r="R229" s="21" t="str">
        <f>VLOOKUP(C229,'2-2. 인사고과표(안전)'!B:AO,40,0)</f>
        <v>A</v>
      </c>
      <c r="S229" s="18"/>
      <c r="T229" s="19"/>
      <c r="U229" s="19"/>
      <c r="V229" s="19"/>
      <c r="W229" s="19" t="s">
        <v>2829</v>
      </c>
      <c r="X229" s="22" t="s">
        <v>3119</v>
      </c>
      <c r="Y229" s="23" t="s">
        <v>24</v>
      </c>
      <c r="Z229" s="19"/>
      <c r="AA229" s="19" t="s">
        <v>3120</v>
      </c>
      <c r="AB229" s="22" t="s">
        <v>3121</v>
      </c>
      <c r="AC229" s="19" t="s">
        <v>3122</v>
      </c>
      <c r="AD229" s="23" t="s">
        <v>24</v>
      </c>
      <c r="AE229" s="24"/>
    </row>
    <row r="230" spans="2:31" ht="39.950000000000003" customHeight="1" x14ac:dyDescent="0.3">
      <c r="B230" s="107">
        <v>25001</v>
      </c>
      <c r="C230" s="12">
        <f t="shared" si="9"/>
        <v>225</v>
      </c>
      <c r="D230" s="105" t="str">
        <f>IFERROR(" "&amp;VLOOKUP(B230,현장리스트!$B:$C,2,0),"-")</f>
        <v xml:space="preserve"> [2.신세계건설] 스타필드 청라 신축공사 전기공사</v>
      </c>
      <c r="E230" s="13" t="s">
        <v>1418</v>
      </c>
      <c r="F230" s="13" t="str">
        <f t="shared" ca="1" si="10"/>
        <v>58세</v>
      </c>
      <c r="G230" s="14" t="s">
        <v>1419</v>
      </c>
      <c r="H230" s="15" t="str">
        <f t="shared" si="11"/>
        <v>남</v>
      </c>
      <c r="I230" s="16" t="s">
        <v>901</v>
      </c>
      <c r="J230" s="16" t="s">
        <v>30</v>
      </c>
      <c r="K230" s="17">
        <v>220000</v>
      </c>
      <c r="L230" s="18" t="s">
        <v>1420</v>
      </c>
      <c r="M230" s="19" t="s">
        <v>917</v>
      </c>
      <c r="N230" s="19" t="s">
        <v>2787</v>
      </c>
      <c r="O230" s="20">
        <v>15</v>
      </c>
      <c r="P230" s="23" t="s">
        <v>24</v>
      </c>
      <c r="Q230" s="21" t="str">
        <f>VLOOKUP(C230,'2-1. 인사고과표(기능)'!B:AS,44,0)</f>
        <v>A</v>
      </c>
      <c r="R230" s="21" t="str">
        <f>VLOOKUP(C230,'2-2. 인사고과표(안전)'!B:AO,40,0)</f>
        <v>A</v>
      </c>
      <c r="S230" s="18"/>
      <c r="T230" s="19"/>
      <c r="U230" s="19"/>
      <c r="V230" s="19"/>
      <c r="W230" s="19" t="s">
        <v>2829</v>
      </c>
      <c r="X230" s="22" t="s">
        <v>3119</v>
      </c>
      <c r="Y230" s="23" t="s">
        <v>24</v>
      </c>
      <c r="Z230" s="19"/>
      <c r="AA230" s="19" t="s">
        <v>447</v>
      </c>
      <c r="AB230" s="22" t="s">
        <v>3123</v>
      </c>
      <c r="AC230" s="19" t="s">
        <v>3107</v>
      </c>
      <c r="AD230" s="23" t="s">
        <v>24</v>
      </c>
      <c r="AE230" s="24"/>
    </row>
    <row r="231" spans="2:31" ht="39.950000000000003" customHeight="1" x14ac:dyDescent="0.3">
      <c r="B231" s="107">
        <v>25001</v>
      </c>
      <c r="C231" s="12">
        <f t="shared" si="9"/>
        <v>226</v>
      </c>
      <c r="D231" s="105" t="str">
        <f>IFERROR(" "&amp;VLOOKUP(B231,현장리스트!$B:$C,2,0),"-")</f>
        <v xml:space="preserve"> [2.신세계건설] 스타필드 청라 신축공사 전기공사</v>
      </c>
      <c r="E231" s="13" t="s">
        <v>1724</v>
      </c>
      <c r="F231" s="13" t="str">
        <f t="shared" ca="1" si="10"/>
        <v>46세</v>
      </c>
      <c r="G231" s="14" t="s">
        <v>1725</v>
      </c>
      <c r="H231" s="15" t="str">
        <f t="shared" si="11"/>
        <v>남</v>
      </c>
      <c r="I231" s="16" t="s">
        <v>901</v>
      </c>
      <c r="J231" s="16" t="s">
        <v>30</v>
      </c>
      <c r="K231" s="17">
        <v>210000</v>
      </c>
      <c r="L231" s="18" t="s">
        <v>1726</v>
      </c>
      <c r="M231" s="19" t="s">
        <v>910</v>
      </c>
      <c r="N231" s="19" t="s">
        <v>1001</v>
      </c>
      <c r="O231" s="20">
        <v>12</v>
      </c>
      <c r="P231" s="23" t="s">
        <v>23</v>
      </c>
      <c r="Q231" s="21" t="str">
        <f>VLOOKUP(C231,'2-1. 인사고과표(기능)'!B:AS,44,0)</f>
        <v>B</v>
      </c>
      <c r="R231" s="21" t="str">
        <f>VLOOKUP(C231,'2-2. 인사고과표(안전)'!B:AO,40,0)</f>
        <v>A</v>
      </c>
      <c r="S231" s="18"/>
      <c r="T231" s="19"/>
      <c r="U231" s="19"/>
      <c r="V231" s="19"/>
      <c r="W231" s="19"/>
      <c r="X231" s="22"/>
      <c r="Y231" s="23"/>
      <c r="Z231" s="19"/>
      <c r="AA231" s="19" t="s">
        <v>2701</v>
      </c>
      <c r="AB231" s="22" t="s">
        <v>3124</v>
      </c>
      <c r="AC231" s="19" t="s">
        <v>3107</v>
      </c>
      <c r="AD231" s="23" t="s">
        <v>23</v>
      </c>
      <c r="AE231" s="24"/>
    </row>
    <row r="232" spans="2:31" ht="39.950000000000003" customHeight="1" x14ac:dyDescent="0.3">
      <c r="B232" s="107">
        <v>25001</v>
      </c>
      <c r="C232" s="12">
        <f t="shared" si="9"/>
        <v>227</v>
      </c>
      <c r="D232" s="105" t="str">
        <f>IFERROR(" "&amp;VLOOKUP(B232,현장리스트!$B:$C,2,0),"-")</f>
        <v xml:space="preserve"> [2.신세계건설] 스타필드 청라 신축공사 전기공사</v>
      </c>
      <c r="E232" s="13" t="s">
        <v>1721</v>
      </c>
      <c r="F232" s="13" t="str">
        <f t="shared" ca="1" si="10"/>
        <v>49세</v>
      </c>
      <c r="G232" s="14" t="s">
        <v>1722</v>
      </c>
      <c r="H232" s="15" t="str">
        <f t="shared" si="11"/>
        <v>남</v>
      </c>
      <c r="I232" s="16" t="s">
        <v>901</v>
      </c>
      <c r="J232" s="16" t="s">
        <v>30</v>
      </c>
      <c r="K232" s="17">
        <v>210000</v>
      </c>
      <c r="L232" s="18" t="s">
        <v>1723</v>
      </c>
      <c r="M232" s="19" t="s">
        <v>910</v>
      </c>
      <c r="N232" s="19" t="s">
        <v>1001</v>
      </c>
      <c r="O232" s="20">
        <v>10</v>
      </c>
      <c r="P232" s="23" t="s">
        <v>23</v>
      </c>
      <c r="Q232" s="21" t="str">
        <f>VLOOKUP(C232,'2-1. 인사고과표(기능)'!B:AS,44,0)</f>
        <v>B</v>
      </c>
      <c r="R232" s="21" t="str">
        <f>VLOOKUP(C232,'2-2. 인사고과표(안전)'!B:AO,40,0)</f>
        <v>A</v>
      </c>
      <c r="S232" s="18"/>
      <c r="T232" s="19"/>
      <c r="U232" s="19"/>
      <c r="V232" s="19"/>
      <c r="W232" s="19"/>
      <c r="X232" s="22"/>
      <c r="Y232" s="23"/>
      <c r="Z232" s="19"/>
      <c r="AA232" s="19" t="s">
        <v>2701</v>
      </c>
      <c r="AB232" s="22" t="s">
        <v>3124</v>
      </c>
      <c r="AC232" s="19" t="s">
        <v>3107</v>
      </c>
      <c r="AD232" s="23" t="s">
        <v>23</v>
      </c>
      <c r="AE232" s="24"/>
    </row>
    <row r="233" spans="2:31" ht="39.950000000000003" customHeight="1" x14ac:dyDescent="0.3">
      <c r="B233" s="107">
        <v>24022</v>
      </c>
      <c r="C233" s="12">
        <f t="shared" si="9"/>
        <v>228</v>
      </c>
      <c r="D233" s="105" t="str">
        <f>IFERROR(" "&amp;VLOOKUP(B233,현장리스트!$B:$C,2,0),"-")</f>
        <v xml:space="preserve"> [2.신세계건설] 양주 옥정 물류센터 신축공사</v>
      </c>
      <c r="E233" s="13" t="s">
        <v>542</v>
      </c>
      <c r="F233" s="13" t="str">
        <f t="shared" ca="1" si="10"/>
        <v>44세</v>
      </c>
      <c r="G233" s="14" t="s">
        <v>1511</v>
      </c>
      <c r="H233" s="15" t="str">
        <f t="shared" si="11"/>
        <v>남</v>
      </c>
      <c r="I233" s="16" t="s">
        <v>895</v>
      </c>
      <c r="J233" s="16" t="s">
        <v>903</v>
      </c>
      <c r="K233" s="17">
        <v>6600000</v>
      </c>
      <c r="L233" s="18" t="s">
        <v>1512</v>
      </c>
      <c r="M233" s="19" t="s">
        <v>2692</v>
      </c>
      <c r="N233" s="19" t="s">
        <v>2849</v>
      </c>
      <c r="O233" s="20" t="s">
        <v>1017</v>
      </c>
      <c r="P233" s="23" t="s">
        <v>25</v>
      </c>
      <c r="Q233" s="21" t="str">
        <f>VLOOKUP(C233,'2-1. 인사고과표(기능)'!B:AS,44,0)</f>
        <v>S</v>
      </c>
      <c r="R233" s="21" t="str">
        <f>VLOOKUP(C233,'2-2. 인사고과표(안전)'!B:AO,40,0)</f>
        <v>S</v>
      </c>
      <c r="S233" s="18"/>
      <c r="T233" s="19"/>
      <c r="U233" s="19"/>
      <c r="V233" s="19"/>
      <c r="W233" s="19"/>
      <c r="X233" s="22" t="s">
        <v>3020</v>
      </c>
      <c r="Y233" s="23" t="s">
        <v>25</v>
      </c>
      <c r="Z233" s="19"/>
      <c r="AA233" s="19"/>
      <c r="AB233" s="22"/>
      <c r="AC233" s="19"/>
      <c r="AD233" s="23"/>
      <c r="AE233" s="24"/>
    </row>
    <row r="234" spans="2:31" ht="39.950000000000003" customHeight="1" x14ac:dyDescent="0.3">
      <c r="B234" s="107">
        <v>24022</v>
      </c>
      <c r="C234" s="12">
        <f t="shared" si="9"/>
        <v>229</v>
      </c>
      <c r="D234" s="105" t="str">
        <f>IFERROR(" "&amp;VLOOKUP(B234,현장리스트!$B:$C,2,0),"-")</f>
        <v xml:space="preserve"> [2.신세계건설] 양주 옥정 물류센터 신축공사</v>
      </c>
      <c r="E234" s="13" t="s">
        <v>2377</v>
      </c>
      <c r="F234" s="13" t="str">
        <f t="shared" ca="1" si="10"/>
        <v>34세</v>
      </c>
      <c r="G234" s="14" t="s">
        <v>2378</v>
      </c>
      <c r="H234" s="15" t="str">
        <f t="shared" si="11"/>
        <v>남</v>
      </c>
      <c r="I234" s="16" t="s">
        <v>895</v>
      </c>
      <c r="J234" s="16" t="s">
        <v>900</v>
      </c>
      <c r="K234" s="17" t="s">
        <v>1192</v>
      </c>
      <c r="L234" s="18" t="s">
        <v>2379</v>
      </c>
      <c r="M234" s="19" t="s">
        <v>987</v>
      </c>
      <c r="N234" s="19" t="s">
        <v>3012</v>
      </c>
      <c r="O234" s="20" t="s">
        <v>2524</v>
      </c>
      <c r="P234" s="23" t="s">
        <v>23</v>
      </c>
      <c r="Q234" s="21" t="str">
        <f>VLOOKUP(C234,'2-1. 인사고과표(기능)'!B:AS,44,0)</f>
        <v>A</v>
      </c>
      <c r="R234" s="21" t="str">
        <f>VLOOKUP(C234,'2-2. 인사고과표(안전)'!B:AO,40,0)</f>
        <v>S</v>
      </c>
      <c r="S234" s="18" t="s">
        <v>2567</v>
      </c>
      <c r="T234" s="19"/>
      <c r="U234" s="19" t="s">
        <v>31</v>
      </c>
      <c r="V234" s="19"/>
      <c r="W234" s="19"/>
      <c r="X234" s="22"/>
      <c r="Y234" s="23"/>
      <c r="Z234" s="19"/>
      <c r="AA234" s="19"/>
      <c r="AB234" s="22"/>
      <c r="AC234" s="19"/>
      <c r="AD234" s="23"/>
      <c r="AE234" s="24"/>
    </row>
    <row r="235" spans="2:31" ht="39.950000000000003" customHeight="1" x14ac:dyDescent="0.3">
      <c r="B235" s="107">
        <v>24022</v>
      </c>
      <c r="C235" s="12">
        <f t="shared" si="9"/>
        <v>230</v>
      </c>
      <c r="D235" s="105" t="str">
        <f>IFERROR(" "&amp;VLOOKUP(B235,현장리스트!$B:$C,2,0),"-")</f>
        <v xml:space="preserve"> [2.신세계건설] 양주 옥정 물류센터 신축공사</v>
      </c>
      <c r="E235" s="13" t="s">
        <v>1804</v>
      </c>
      <c r="F235" s="13" t="str">
        <f t="shared" ca="1" si="10"/>
        <v>57세</v>
      </c>
      <c r="G235" s="14" t="s">
        <v>1805</v>
      </c>
      <c r="H235" s="15" t="str">
        <f t="shared" si="11"/>
        <v>남</v>
      </c>
      <c r="I235" s="16" t="s">
        <v>899</v>
      </c>
      <c r="J235" s="16" t="s">
        <v>903</v>
      </c>
      <c r="K235" s="17" t="s">
        <v>1024</v>
      </c>
      <c r="L235" s="18" t="s">
        <v>1806</v>
      </c>
      <c r="M235" s="19" t="s">
        <v>920</v>
      </c>
      <c r="N235" s="19" t="s">
        <v>3013</v>
      </c>
      <c r="O235" s="20">
        <v>30</v>
      </c>
      <c r="P235" s="23" t="s">
        <v>25</v>
      </c>
      <c r="Q235" s="21" t="str">
        <f>VLOOKUP(C235,'2-1. 인사고과표(기능)'!B:AS,44,0)</f>
        <v>S</v>
      </c>
      <c r="R235" s="21" t="str">
        <f>VLOOKUP(C235,'2-2. 인사고과표(안전)'!B:AO,40,0)</f>
        <v>S</v>
      </c>
      <c r="S235" s="18"/>
      <c r="T235" s="19"/>
      <c r="U235" s="19"/>
      <c r="V235" s="19"/>
      <c r="W235" s="19"/>
      <c r="X235" s="22" t="s">
        <v>3020</v>
      </c>
      <c r="Y235" s="23" t="s">
        <v>25</v>
      </c>
      <c r="Z235" s="19"/>
      <c r="AA235" s="19"/>
      <c r="AB235" s="22"/>
      <c r="AC235" s="19"/>
      <c r="AD235" s="23"/>
      <c r="AE235" s="24"/>
    </row>
    <row r="236" spans="2:31" ht="39.950000000000003" customHeight="1" x14ac:dyDescent="0.3">
      <c r="B236" s="107">
        <v>24022</v>
      </c>
      <c r="C236" s="12">
        <f t="shared" si="9"/>
        <v>231</v>
      </c>
      <c r="D236" s="105" t="str">
        <f>IFERROR(" "&amp;VLOOKUP(B236,현장리스트!$B:$C,2,0),"-")</f>
        <v xml:space="preserve"> [2.신세계건설] 양주 옥정 물류센터 신축공사</v>
      </c>
      <c r="E236" s="13" t="s">
        <v>1235</v>
      </c>
      <c r="F236" s="13" t="str">
        <f t="shared" ca="1" si="10"/>
        <v>42세</v>
      </c>
      <c r="G236" s="14" t="s">
        <v>1236</v>
      </c>
      <c r="H236" s="15" t="str">
        <f t="shared" si="11"/>
        <v>남</v>
      </c>
      <c r="I236" s="16" t="s">
        <v>2995</v>
      </c>
      <c r="J236" s="16" t="s">
        <v>30</v>
      </c>
      <c r="K236" s="17" t="s">
        <v>1019</v>
      </c>
      <c r="L236" s="18" t="s">
        <v>1237</v>
      </c>
      <c r="M236" s="19" t="s">
        <v>914</v>
      </c>
      <c r="N236" s="19" t="s">
        <v>3014</v>
      </c>
      <c r="O236" s="20">
        <v>10</v>
      </c>
      <c r="P236" s="23" t="s">
        <v>25</v>
      </c>
      <c r="Q236" s="21" t="str">
        <f>VLOOKUP(C236,'2-1. 인사고과표(기능)'!B:AS,44,0)</f>
        <v>S</v>
      </c>
      <c r="R236" s="21" t="str">
        <f>VLOOKUP(C236,'2-2. 인사고과표(안전)'!B:AO,40,0)</f>
        <v>S</v>
      </c>
      <c r="S236" s="18"/>
      <c r="T236" s="19"/>
      <c r="U236" s="19"/>
      <c r="V236" s="19"/>
      <c r="W236" s="19"/>
      <c r="X236" s="22" t="s">
        <v>3020</v>
      </c>
      <c r="Y236" s="23" t="s">
        <v>25</v>
      </c>
      <c r="Z236" s="19"/>
      <c r="AA236" s="19"/>
      <c r="AB236" s="22"/>
      <c r="AC236" s="19"/>
      <c r="AD236" s="23"/>
      <c r="AE236" s="24"/>
    </row>
    <row r="237" spans="2:31" ht="39.950000000000003" customHeight="1" x14ac:dyDescent="0.3">
      <c r="B237" s="107">
        <v>24022</v>
      </c>
      <c r="C237" s="12">
        <f t="shared" si="9"/>
        <v>232</v>
      </c>
      <c r="D237" s="105" t="str">
        <f>IFERROR(" "&amp;VLOOKUP(B237,현장리스트!$B:$C,2,0),"-")</f>
        <v xml:space="preserve"> [2.신세계건설] 양주 옥정 물류센터 신축공사</v>
      </c>
      <c r="E237" s="13" t="s">
        <v>1307</v>
      </c>
      <c r="F237" s="13" t="str">
        <f t="shared" ca="1" si="10"/>
        <v>56세</v>
      </c>
      <c r="G237" s="14" t="s">
        <v>1308</v>
      </c>
      <c r="H237" s="15" t="str">
        <f t="shared" si="11"/>
        <v>남</v>
      </c>
      <c r="I237" s="16" t="s">
        <v>901</v>
      </c>
      <c r="J237" s="16" t="s">
        <v>30</v>
      </c>
      <c r="K237" s="17" t="s">
        <v>1024</v>
      </c>
      <c r="L237" s="18" t="s">
        <v>1309</v>
      </c>
      <c r="M237" s="19" t="s">
        <v>917</v>
      </c>
      <c r="N237" s="19" t="s">
        <v>3015</v>
      </c>
      <c r="O237" s="20">
        <v>25</v>
      </c>
      <c r="P237" s="23" t="s">
        <v>25</v>
      </c>
      <c r="Q237" s="21" t="str">
        <f>VLOOKUP(C237,'2-1. 인사고과표(기능)'!B:AS,44,0)</f>
        <v>S</v>
      </c>
      <c r="R237" s="21" t="str">
        <f>VLOOKUP(C237,'2-2. 인사고과표(안전)'!B:AO,40,0)</f>
        <v>S</v>
      </c>
      <c r="S237" s="18"/>
      <c r="T237" s="19"/>
      <c r="U237" s="19"/>
      <c r="V237" s="19"/>
      <c r="W237" s="19"/>
      <c r="X237" s="22" t="s">
        <v>3021</v>
      </c>
      <c r="Y237" s="23" t="s">
        <v>25</v>
      </c>
      <c r="Z237" s="19"/>
      <c r="AA237" s="19"/>
      <c r="AB237" s="22"/>
      <c r="AC237" s="19"/>
      <c r="AD237" s="23"/>
      <c r="AE237" s="24"/>
    </row>
    <row r="238" spans="2:31" ht="39.950000000000003" customHeight="1" x14ac:dyDescent="0.3">
      <c r="B238" s="107">
        <v>24022</v>
      </c>
      <c r="C238" s="12">
        <f t="shared" si="9"/>
        <v>233</v>
      </c>
      <c r="D238" s="105" t="str">
        <f>IFERROR(" "&amp;VLOOKUP(B238,현장리스트!$B:$C,2,0),"-")</f>
        <v xml:space="preserve"> [2.신세계건설] 양주 옥정 물류센터 신축공사</v>
      </c>
      <c r="E238" s="13" t="s">
        <v>1358</v>
      </c>
      <c r="F238" s="13" t="str">
        <f t="shared" ca="1" si="10"/>
        <v>61세</v>
      </c>
      <c r="G238" s="14" t="s">
        <v>1359</v>
      </c>
      <c r="H238" s="15" t="str">
        <f t="shared" si="11"/>
        <v>남</v>
      </c>
      <c r="I238" s="16" t="s">
        <v>901</v>
      </c>
      <c r="J238" s="16" t="s">
        <v>30</v>
      </c>
      <c r="K238" s="17" t="s">
        <v>1022</v>
      </c>
      <c r="L238" s="18" t="s">
        <v>1360</v>
      </c>
      <c r="M238" s="19" t="s">
        <v>2528</v>
      </c>
      <c r="N238" s="19" t="s">
        <v>3016</v>
      </c>
      <c r="O238" s="20">
        <v>25</v>
      </c>
      <c r="P238" s="23" t="s">
        <v>25</v>
      </c>
      <c r="Q238" s="21" t="str">
        <f>VLOOKUP(C238,'2-1. 인사고과표(기능)'!B:AS,44,0)</f>
        <v>A</v>
      </c>
      <c r="R238" s="21" t="str">
        <f>VLOOKUP(C238,'2-2. 인사고과표(안전)'!B:AO,40,0)</f>
        <v>S</v>
      </c>
      <c r="S238" s="18"/>
      <c r="T238" s="19"/>
      <c r="U238" s="19"/>
      <c r="V238" s="19"/>
      <c r="W238" s="19"/>
      <c r="X238" s="22"/>
      <c r="Y238" s="23"/>
      <c r="Z238" s="19"/>
      <c r="AA238" s="19"/>
      <c r="AB238" s="22"/>
      <c r="AC238" s="19"/>
      <c r="AD238" s="23"/>
      <c r="AE238" s="24"/>
    </row>
    <row r="239" spans="2:31" ht="39.950000000000003" customHeight="1" x14ac:dyDescent="0.3">
      <c r="B239" s="107">
        <v>24022</v>
      </c>
      <c r="C239" s="12">
        <f t="shared" si="9"/>
        <v>234</v>
      </c>
      <c r="D239" s="105" t="str">
        <f>IFERROR(" "&amp;VLOOKUP(B239,현장리스트!$B:$C,2,0),"-")</f>
        <v xml:space="preserve"> [2.신세계건설] 양주 옥정 물류센터 신축공사</v>
      </c>
      <c r="E239" s="13" t="s">
        <v>1412</v>
      </c>
      <c r="F239" s="13" t="str">
        <f t="shared" ca="1" si="10"/>
        <v>65세</v>
      </c>
      <c r="G239" s="14" t="s">
        <v>1413</v>
      </c>
      <c r="H239" s="15" t="str">
        <f t="shared" si="11"/>
        <v>남</v>
      </c>
      <c r="I239" s="16" t="s">
        <v>901</v>
      </c>
      <c r="J239" s="16" t="s">
        <v>30</v>
      </c>
      <c r="K239" s="17" t="s">
        <v>1022</v>
      </c>
      <c r="L239" s="18" t="s">
        <v>1414</v>
      </c>
      <c r="M239" s="19" t="s">
        <v>2528</v>
      </c>
      <c r="N239" s="19" t="s">
        <v>940</v>
      </c>
      <c r="O239" s="20">
        <v>25</v>
      </c>
      <c r="P239" s="23" t="s">
        <v>25</v>
      </c>
      <c r="Q239" s="21" t="str">
        <f>VLOOKUP(C239,'2-1. 인사고과표(기능)'!B:AS,44,0)</f>
        <v>A</v>
      </c>
      <c r="R239" s="21" t="str">
        <f>VLOOKUP(C239,'2-2. 인사고과표(안전)'!B:AO,40,0)</f>
        <v>S</v>
      </c>
      <c r="S239" s="18"/>
      <c r="T239" s="19"/>
      <c r="U239" s="19"/>
      <c r="V239" s="19"/>
      <c r="W239" s="19"/>
      <c r="X239" s="22"/>
      <c r="Y239" s="23"/>
      <c r="Z239" s="19"/>
      <c r="AA239" s="19"/>
      <c r="AB239" s="22"/>
      <c r="AC239" s="19"/>
      <c r="AD239" s="23"/>
      <c r="AE239" s="24"/>
    </row>
    <row r="240" spans="2:31" ht="39.950000000000003" customHeight="1" x14ac:dyDescent="0.3">
      <c r="B240" s="107">
        <v>24022</v>
      </c>
      <c r="C240" s="12">
        <f t="shared" si="9"/>
        <v>235</v>
      </c>
      <c r="D240" s="105" t="str">
        <f>IFERROR(" "&amp;VLOOKUP(B240,현장리스트!$B:$C,2,0),"-")</f>
        <v xml:space="preserve"> [2.신세계건설] 양주 옥정 물류센터 신축공사</v>
      </c>
      <c r="E240" s="13" t="s">
        <v>1463</v>
      </c>
      <c r="F240" s="13" t="str">
        <f t="shared" ca="1" si="10"/>
        <v>52세</v>
      </c>
      <c r="G240" s="14" t="s">
        <v>1464</v>
      </c>
      <c r="H240" s="15" t="str">
        <f t="shared" si="11"/>
        <v>남</v>
      </c>
      <c r="I240" s="16" t="s">
        <v>901</v>
      </c>
      <c r="J240" s="16" t="s">
        <v>30</v>
      </c>
      <c r="K240" s="17" t="s">
        <v>1025</v>
      </c>
      <c r="L240" s="18" t="s">
        <v>1465</v>
      </c>
      <c r="M240" s="19" t="s">
        <v>987</v>
      </c>
      <c r="N240" s="19" t="s">
        <v>2673</v>
      </c>
      <c r="O240" s="20">
        <v>20</v>
      </c>
      <c r="P240" s="23" t="s">
        <v>25</v>
      </c>
      <c r="Q240" s="21" t="str">
        <f>VLOOKUP(C240,'2-1. 인사고과표(기능)'!B:AS,44,0)</f>
        <v>A</v>
      </c>
      <c r="R240" s="21" t="str">
        <f>VLOOKUP(C240,'2-2. 인사고과표(안전)'!B:AO,40,0)</f>
        <v>S</v>
      </c>
      <c r="S240" s="18"/>
      <c r="T240" s="19"/>
      <c r="U240" s="19"/>
      <c r="V240" s="19"/>
      <c r="W240" s="19"/>
      <c r="X240" s="22"/>
      <c r="Y240" s="23"/>
      <c r="Z240" s="19"/>
      <c r="AA240" s="19"/>
      <c r="AB240" s="22"/>
      <c r="AC240" s="19"/>
      <c r="AD240" s="23"/>
      <c r="AE240" s="24"/>
    </row>
    <row r="241" spans="2:31" ht="39.950000000000003" customHeight="1" x14ac:dyDescent="0.3">
      <c r="B241" s="107">
        <v>24022</v>
      </c>
      <c r="C241" s="12">
        <f t="shared" si="9"/>
        <v>236</v>
      </c>
      <c r="D241" s="105" t="str">
        <f>IFERROR(" "&amp;VLOOKUP(B241,현장리스트!$B:$C,2,0),"-")</f>
        <v xml:space="preserve"> [2.신세계건설] 양주 옥정 물류센터 신축공사</v>
      </c>
      <c r="E241" s="13" t="s">
        <v>1567</v>
      </c>
      <c r="F241" s="13" t="str">
        <f t="shared" ca="1" si="10"/>
        <v>66세</v>
      </c>
      <c r="G241" s="14" t="s">
        <v>1568</v>
      </c>
      <c r="H241" s="15" t="str">
        <f t="shared" si="11"/>
        <v>남</v>
      </c>
      <c r="I241" s="16" t="s">
        <v>901</v>
      </c>
      <c r="J241" s="16" t="s">
        <v>30</v>
      </c>
      <c r="K241" s="17" t="s">
        <v>1022</v>
      </c>
      <c r="L241" s="18" t="s">
        <v>1569</v>
      </c>
      <c r="M241" s="19" t="s">
        <v>2528</v>
      </c>
      <c r="N241" s="19" t="s">
        <v>940</v>
      </c>
      <c r="O241" s="20">
        <v>30</v>
      </c>
      <c r="P241" s="23" t="s">
        <v>25</v>
      </c>
      <c r="Q241" s="21" t="str">
        <f>VLOOKUP(C241,'2-1. 인사고과표(기능)'!B:AS,44,0)</f>
        <v>A</v>
      </c>
      <c r="R241" s="21" t="str">
        <f>VLOOKUP(C241,'2-2. 인사고과표(안전)'!B:AO,40,0)</f>
        <v>S</v>
      </c>
      <c r="S241" s="18"/>
      <c r="T241" s="19"/>
      <c r="U241" s="19"/>
      <c r="V241" s="19"/>
      <c r="W241" s="19"/>
      <c r="X241" s="22" t="s">
        <v>3020</v>
      </c>
      <c r="Y241" s="23" t="s">
        <v>25</v>
      </c>
      <c r="Z241" s="19"/>
      <c r="AA241" s="19"/>
      <c r="AB241" s="22"/>
      <c r="AC241" s="19"/>
      <c r="AD241" s="23"/>
      <c r="AE241" s="24"/>
    </row>
    <row r="242" spans="2:31" ht="39.950000000000003" customHeight="1" x14ac:dyDescent="0.3">
      <c r="B242" s="107">
        <v>24022</v>
      </c>
      <c r="C242" s="12">
        <f t="shared" si="9"/>
        <v>237</v>
      </c>
      <c r="D242" s="105" t="str">
        <f>IFERROR(" "&amp;VLOOKUP(B242,현장리스트!$B:$C,2,0),"-")</f>
        <v xml:space="preserve"> [2.신세계건설] 양주 옥정 물류센터 신축공사</v>
      </c>
      <c r="E242" s="13" t="s">
        <v>1610</v>
      </c>
      <c r="F242" s="13" t="str">
        <f t="shared" ca="1" si="10"/>
        <v>51세</v>
      </c>
      <c r="G242" s="14" t="s">
        <v>1611</v>
      </c>
      <c r="H242" s="15" t="str">
        <f t="shared" si="11"/>
        <v>남</v>
      </c>
      <c r="I242" s="16" t="s">
        <v>901</v>
      </c>
      <c r="J242" s="16" t="s">
        <v>30</v>
      </c>
      <c r="K242" s="17" t="s">
        <v>1025</v>
      </c>
      <c r="L242" s="18" t="s">
        <v>1612</v>
      </c>
      <c r="M242" s="19" t="s">
        <v>910</v>
      </c>
      <c r="N242" s="19" t="s">
        <v>995</v>
      </c>
      <c r="O242" s="20">
        <v>20</v>
      </c>
      <c r="P242" s="23" t="s">
        <v>25</v>
      </c>
      <c r="Q242" s="21" t="str">
        <f>VLOOKUP(C242,'2-1. 인사고과표(기능)'!B:AS,44,0)</f>
        <v>A</v>
      </c>
      <c r="R242" s="21" t="str">
        <f>VLOOKUP(C242,'2-2. 인사고과표(안전)'!B:AO,40,0)</f>
        <v>S</v>
      </c>
      <c r="S242" s="18"/>
      <c r="T242" s="19"/>
      <c r="U242" s="19"/>
      <c r="V242" s="19"/>
      <c r="W242" s="19"/>
      <c r="X242" s="22"/>
      <c r="Y242" s="23"/>
      <c r="Z242" s="19"/>
      <c r="AA242" s="19"/>
      <c r="AB242" s="22"/>
      <c r="AC242" s="19"/>
      <c r="AD242" s="23"/>
      <c r="AE242" s="24"/>
    </row>
    <row r="243" spans="2:31" ht="39.950000000000003" customHeight="1" x14ac:dyDescent="0.3">
      <c r="B243" s="107">
        <v>24022</v>
      </c>
      <c r="C243" s="12">
        <f t="shared" si="9"/>
        <v>238</v>
      </c>
      <c r="D243" s="105" t="str">
        <f>IFERROR(" "&amp;VLOOKUP(B243,현장리스트!$B:$C,2,0),"-")</f>
        <v xml:space="preserve"> [2.신세계건설] 양주 옥정 물류센터 신축공사</v>
      </c>
      <c r="E243" s="13" t="s">
        <v>1628</v>
      </c>
      <c r="F243" s="13" t="str">
        <f t="shared" ca="1" si="10"/>
        <v>52세</v>
      </c>
      <c r="G243" s="14" t="s">
        <v>1629</v>
      </c>
      <c r="H243" s="15" t="str">
        <f t="shared" si="11"/>
        <v>남</v>
      </c>
      <c r="I243" s="16" t="s">
        <v>901</v>
      </c>
      <c r="J243" s="16" t="s">
        <v>30</v>
      </c>
      <c r="K243" s="17" t="s">
        <v>1025</v>
      </c>
      <c r="L243" s="18" t="s">
        <v>1630</v>
      </c>
      <c r="M243" s="19" t="s">
        <v>910</v>
      </c>
      <c r="N243" s="19" t="s">
        <v>3017</v>
      </c>
      <c r="O243" s="20">
        <v>20</v>
      </c>
      <c r="P243" s="23" t="s">
        <v>25</v>
      </c>
      <c r="Q243" s="21" t="str">
        <f>VLOOKUP(C243,'2-1. 인사고과표(기능)'!B:AS,44,0)</f>
        <v>S</v>
      </c>
      <c r="R243" s="21" t="str">
        <f>VLOOKUP(C243,'2-2. 인사고과표(안전)'!B:AO,40,0)</f>
        <v>S</v>
      </c>
      <c r="S243" s="18"/>
      <c r="T243" s="19"/>
      <c r="U243" s="19"/>
      <c r="V243" s="19"/>
      <c r="W243" s="19"/>
      <c r="X243" s="22"/>
      <c r="Y243" s="23"/>
      <c r="Z243" s="19"/>
      <c r="AA243" s="19"/>
      <c r="AB243" s="22"/>
      <c r="AC243" s="19"/>
      <c r="AD243" s="23"/>
      <c r="AE243" s="24"/>
    </row>
    <row r="244" spans="2:31" ht="39.950000000000003" customHeight="1" x14ac:dyDescent="0.3">
      <c r="B244" s="107">
        <v>24022</v>
      </c>
      <c r="C244" s="12">
        <f t="shared" si="9"/>
        <v>239</v>
      </c>
      <c r="D244" s="105" t="str">
        <f>IFERROR(" "&amp;VLOOKUP(B244,현장리스트!$B:$C,2,0),"-")</f>
        <v xml:space="preserve"> [2.신세계건설] 양주 옥정 물류센터 신축공사</v>
      </c>
      <c r="E244" s="13" t="s">
        <v>1652</v>
      </c>
      <c r="F244" s="13" t="str">
        <f t="shared" ca="1" si="10"/>
        <v>30세</v>
      </c>
      <c r="G244" s="14" t="s">
        <v>1653</v>
      </c>
      <c r="H244" s="15" t="str">
        <f t="shared" si="11"/>
        <v>남</v>
      </c>
      <c r="I244" s="16" t="s">
        <v>901</v>
      </c>
      <c r="J244" s="16" t="s">
        <v>30</v>
      </c>
      <c r="K244" s="17" t="s">
        <v>1022</v>
      </c>
      <c r="L244" s="18" t="s">
        <v>1654</v>
      </c>
      <c r="M244" s="19" t="s">
        <v>2692</v>
      </c>
      <c r="N244" s="19" t="s">
        <v>3018</v>
      </c>
      <c r="O244" s="20">
        <v>7</v>
      </c>
      <c r="P244" s="23" t="s">
        <v>25</v>
      </c>
      <c r="Q244" s="21" t="str">
        <f>VLOOKUP(C244,'2-1. 인사고과표(기능)'!B:AS,44,0)</f>
        <v>A</v>
      </c>
      <c r="R244" s="21" t="str">
        <f>VLOOKUP(C244,'2-2. 인사고과표(안전)'!B:AO,40,0)</f>
        <v>S</v>
      </c>
      <c r="S244" s="18"/>
      <c r="T244" s="19"/>
      <c r="U244" s="19"/>
      <c r="V244" s="19"/>
      <c r="W244" s="19"/>
      <c r="X244" s="22"/>
      <c r="Y244" s="23"/>
      <c r="Z244" s="19"/>
      <c r="AA244" s="19"/>
      <c r="AB244" s="22"/>
      <c r="AC244" s="19"/>
      <c r="AD244" s="23"/>
      <c r="AE244" s="24"/>
    </row>
    <row r="245" spans="2:31" ht="39.950000000000003" customHeight="1" x14ac:dyDescent="0.3">
      <c r="B245" s="107">
        <v>24022</v>
      </c>
      <c r="C245" s="12">
        <f t="shared" si="9"/>
        <v>240</v>
      </c>
      <c r="D245" s="105" t="str">
        <f>IFERROR(" "&amp;VLOOKUP(B245,현장리스트!$B:$C,2,0),"-")</f>
        <v xml:space="preserve"> [2.신세계건설] 양주 옥정 물류센터 신축공사</v>
      </c>
      <c r="E245" s="13" t="s">
        <v>1680</v>
      </c>
      <c r="F245" s="13" t="str">
        <f t="shared" ca="1" si="10"/>
        <v>53세</v>
      </c>
      <c r="G245" s="14" t="s">
        <v>1681</v>
      </c>
      <c r="H245" s="15" t="str">
        <f t="shared" si="11"/>
        <v>남</v>
      </c>
      <c r="I245" s="16" t="s">
        <v>901</v>
      </c>
      <c r="J245" s="16" t="s">
        <v>30</v>
      </c>
      <c r="K245" s="17" t="s">
        <v>1022</v>
      </c>
      <c r="L245" s="18" t="s">
        <v>1682</v>
      </c>
      <c r="M245" s="19" t="s">
        <v>914</v>
      </c>
      <c r="N245" s="19" t="s">
        <v>2606</v>
      </c>
      <c r="O245" s="20">
        <v>25</v>
      </c>
      <c r="P245" s="23" t="s">
        <v>25</v>
      </c>
      <c r="Q245" s="21" t="str">
        <f>VLOOKUP(C245,'2-1. 인사고과표(기능)'!B:AS,44,0)</f>
        <v>S</v>
      </c>
      <c r="R245" s="21" t="str">
        <f>VLOOKUP(C245,'2-2. 인사고과표(안전)'!B:AO,40,0)</f>
        <v>S</v>
      </c>
      <c r="S245" s="18"/>
      <c r="T245" s="19"/>
      <c r="U245" s="19"/>
      <c r="V245" s="19"/>
      <c r="W245" s="19"/>
      <c r="X245" s="22" t="s">
        <v>3020</v>
      </c>
      <c r="Y245" s="23" t="s">
        <v>25</v>
      </c>
      <c r="Z245" s="19"/>
      <c r="AA245" s="19"/>
      <c r="AB245" s="22"/>
      <c r="AC245" s="19"/>
      <c r="AD245" s="23"/>
      <c r="AE245" s="24"/>
    </row>
    <row r="246" spans="2:31" ht="39.950000000000003" customHeight="1" x14ac:dyDescent="0.3">
      <c r="B246" s="107">
        <v>24022</v>
      </c>
      <c r="C246" s="12">
        <f t="shared" si="9"/>
        <v>241</v>
      </c>
      <c r="D246" s="105" t="str">
        <f>IFERROR(" "&amp;VLOOKUP(B246,현장리스트!$B:$C,2,0),"-")</f>
        <v xml:space="preserve"> [2.신세계건설] 양주 옥정 물류센터 신축공사</v>
      </c>
      <c r="E246" s="13" t="s">
        <v>1738</v>
      </c>
      <c r="F246" s="13" t="str">
        <f t="shared" ca="1" si="10"/>
        <v>54세</v>
      </c>
      <c r="G246" s="14" t="s">
        <v>1739</v>
      </c>
      <c r="H246" s="15" t="str">
        <f t="shared" si="11"/>
        <v>남</v>
      </c>
      <c r="I246" s="16" t="s">
        <v>901</v>
      </c>
      <c r="J246" s="16" t="s">
        <v>896</v>
      </c>
      <c r="K246" s="17" t="s">
        <v>1024</v>
      </c>
      <c r="L246" s="18" t="s">
        <v>1740</v>
      </c>
      <c r="M246" s="19" t="s">
        <v>2692</v>
      </c>
      <c r="N246" s="19" t="s">
        <v>3018</v>
      </c>
      <c r="O246" s="20">
        <v>25</v>
      </c>
      <c r="P246" s="23" t="s">
        <v>25</v>
      </c>
      <c r="Q246" s="21" t="str">
        <f>VLOOKUP(C246,'2-1. 인사고과표(기능)'!B:AS,44,0)</f>
        <v>S</v>
      </c>
      <c r="R246" s="21" t="str">
        <f>VLOOKUP(C246,'2-2. 인사고과표(안전)'!B:AO,40,0)</f>
        <v>S</v>
      </c>
      <c r="S246" s="18"/>
      <c r="T246" s="19"/>
      <c r="U246" s="19"/>
      <c r="V246" s="19"/>
      <c r="W246" s="19"/>
      <c r="X246" s="22"/>
      <c r="Y246" s="23"/>
      <c r="Z246" s="19"/>
      <c r="AA246" s="19"/>
      <c r="AB246" s="22"/>
      <c r="AC246" s="19"/>
      <c r="AD246" s="23"/>
      <c r="AE246" s="24"/>
    </row>
    <row r="247" spans="2:31" ht="39.950000000000003" customHeight="1" x14ac:dyDescent="0.3">
      <c r="B247" s="107">
        <v>24022</v>
      </c>
      <c r="C247" s="12">
        <f t="shared" si="9"/>
        <v>242</v>
      </c>
      <c r="D247" s="105" t="str">
        <f>IFERROR(" "&amp;VLOOKUP(B247,현장리스트!$B:$C,2,0),"-")</f>
        <v xml:space="preserve"> [2.신세계건설] 양주 옥정 물류센터 신축공사</v>
      </c>
      <c r="E247" s="13" t="s">
        <v>189</v>
      </c>
      <c r="F247" s="13" t="str">
        <f t="shared" ca="1" si="10"/>
        <v>62세</v>
      </c>
      <c r="G247" s="14" t="s">
        <v>1772</v>
      </c>
      <c r="H247" s="15" t="str">
        <f t="shared" si="11"/>
        <v>남</v>
      </c>
      <c r="I247" s="16" t="s">
        <v>901</v>
      </c>
      <c r="J247" s="16" t="s">
        <v>30</v>
      </c>
      <c r="K247" s="17" t="s">
        <v>1024</v>
      </c>
      <c r="L247" s="18" t="s">
        <v>1773</v>
      </c>
      <c r="M247" s="19" t="s">
        <v>914</v>
      </c>
      <c r="N247" s="19" t="s">
        <v>2608</v>
      </c>
      <c r="O247" s="20">
        <v>30</v>
      </c>
      <c r="P247" s="23" t="s">
        <v>25</v>
      </c>
      <c r="Q247" s="21" t="str">
        <f>VLOOKUP(C247,'2-1. 인사고과표(기능)'!B:AS,44,0)</f>
        <v>S</v>
      </c>
      <c r="R247" s="21" t="str">
        <f>VLOOKUP(C247,'2-2. 인사고과표(안전)'!B:AO,40,0)</f>
        <v>S</v>
      </c>
      <c r="S247" s="18"/>
      <c r="T247" s="19"/>
      <c r="U247" s="19"/>
      <c r="V247" s="19"/>
      <c r="W247" s="19"/>
      <c r="X247" s="22"/>
      <c r="Y247" s="23"/>
      <c r="Z247" s="19"/>
      <c r="AA247" s="19"/>
      <c r="AB247" s="22"/>
      <c r="AC247" s="19"/>
      <c r="AD247" s="23"/>
      <c r="AE247" s="24"/>
    </row>
    <row r="248" spans="2:31" ht="39.950000000000003" customHeight="1" x14ac:dyDescent="0.3">
      <c r="B248" s="107">
        <v>24022</v>
      </c>
      <c r="C248" s="12">
        <f t="shared" si="9"/>
        <v>243</v>
      </c>
      <c r="D248" s="105" t="str">
        <f>IFERROR(" "&amp;VLOOKUP(B248,현장리스트!$B:$C,2,0),"-")</f>
        <v xml:space="preserve"> [2.신세계건설] 양주 옥정 물류센터 신축공사</v>
      </c>
      <c r="E248" s="13" t="s">
        <v>1798</v>
      </c>
      <c r="F248" s="13" t="str">
        <f t="shared" ca="1" si="10"/>
        <v>53세</v>
      </c>
      <c r="G248" s="14" t="s">
        <v>1799</v>
      </c>
      <c r="H248" s="15" t="str">
        <f t="shared" si="11"/>
        <v>남</v>
      </c>
      <c r="I248" s="16" t="s">
        <v>901</v>
      </c>
      <c r="J248" s="16" t="s">
        <v>30</v>
      </c>
      <c r="K248" s="17" t="s">
        <v>1024</v>
      </c>
      <c r="L248" s="18" t="s">
        <v>1800</v>
      </c>
      <c r="M248" s="19" t="s">
        <v>914</v>
      </c>
      <c r="N248" s="19" t="s">
        <v>2608</v>
      </c>
      <c r="O248" s="20">
        <v>25</v>
      </c>
      <c r="P248" s="23" t="s">
        <v>25</v>
      </c>
      <c r="Q248" s="21" t="str">
        <f>VLOOKUP(C248,'2-1. 인사고과표(기능)'!B:AS,44,0)</f>
        <v>A</v>
      </c>
      <c r="R248" s="21" t="str">
        <f>VLOOKUP(C248,'2-2. 인사고과표(안전)'!B:AO,40,0)</f>
        <v>S</v>
      </c>
      <c r="S248" s="18"/>
      <c r="T248" s="19"/>
      <c r="U248" s="19"/>
      <c r="V248" s="19"/>
      <c r="W248" s="19"/>
      <c r="X248" s="22"/>
      <c r="Y248" s="23"/>
      <c r="Z248" s="19"/>
      <c r="AA248" s="19"/>
      <c r="AB248" s="22"/>
      <c r="AC248" s="19"/>
      <c r="AD248" s="23"/>
      <c r="AE248" s="24"/>
    </row>
    <row r="249" spans="2:31" ht="39.950000000000003" customHeight="1" x14ac:dyDescent="0.3">
      <c r="B249" s="107">
        <v>24022</v>
      </c>
      <c r="C249" s="12">
        <f t="shared" si="9"/>
        <v>244</v>
      </c>
      <c r="D249" s="105" t="str">
        <f>IFERROR(" "&amp;VLOOKUP(B249,현장리스트!$B:$C,2,0),"-")</f>
        <v xml:space="preserve"> [2.신세계건설] 양주 옥정 물류센터 신축공사</v>
      </c>
      <c r="E249" s="13" t="s">
        <v>1801</v>
      </c>
      <c r="F249" s="13" t="str">
        <f t="shared" ca="1" si="10"/>
        <v>56세</v>
      </c>
      <c r="G249" s="14" t="s">
        <v>1802</v>
      </c>
      <c r="H249" s="15" t="str">
        <f t="shared" si="11"/>
        <v>남</v>
      </c>
      <c r="I249" s="16" t="s">
        <v>901</v>
      </c>
      <c r="J249" s="16" t="s">
        <v>30</v>
      </c>
      <c r="K249" s="17" t="s">
        <v>1022</v>
      </c>
      <c r="L249" s="18" t="s">
        <v>1803</v>
      </c>
      <c r="M249" s="19" t="s">
        <v>914</v>
      </c>
      <c r="N249" s="19" t="s">
        <v>2630</v>
      </c>
      <c r="O249" s="20">
        <v>25</v>
      </c>
      <c r="P249" s="23" t="s">
        <v>25</v>
      </c>
      <c r="Q249" s="21" t="str">
        <f>VLOOKUP(C249,'2-1. 인사고과표(기능)'!B:AS,44,0)</f>
        <v>A</v>
      </c>
      <c r="R249" s="21" t="str">
        <f>VLOOKUP(C249,'2-2. 인사고과표(안전)'!B:AO,40,0)</f>
        <v>S</v>
      </c>
      <c r="S249" s="18"/>
      <c r="T249" s="19"/>
      <c r="U249" s="19"/>
      <c r="V249" s="19"/>
      <c r="W249" s="19"/>
      <c r="X249" s="22"/>
      <c r="Y249" s="23"/>
      <c r="Z249" s="19"/>
      <c r="AA249" s="19"/>
      <c r="AB249" s="22"/>
      <c r="AC249" s="19"/>
      <c r="AD249" s="23"/>
      <c r="AE249" s="24"/>
    </row>
    <row r="250" spans="2:31" ht="39.950000000000003" customHeight="1" x14ac:dyDescent="0.3">
      <c r="B250" s="107">
        <v>24022</v>
      </c>
      <c r="C250" s="12">
        <f t="shared" si="9"/>
        <v>245</v>
      </c>
      <c r="D250" s="105" t="str">
        <f>IFERROR(" "&amp;VLOOKUP(B250,현장리스트!$B:$C,2,0),"-")</f>
        <v xml:space="preserve"> [2.신세계건설] 양주 옥정 물류센터 신축공사</v>
      </c>
      <c r="E250" s="13" t="s">
        <v>1807</v>
      </c>
      <c r="F250" s="13" t="str">
        <f t="shared" ca="1" si="10"/>
        <v>51세</v>
      </c>
      <c r="G250" s="14" t="s">
        <v>1808</v>
      </c>
      <c r="H250" s="15" t="str">
        <f t="shared" si="11"/>
        <v>남</v>
      </c>
      <c r="I250" s="16" t="s">
        <v>901</v>
      </c>
      <c r="J250" s="16" t="s">
        <v>30</v>
      </c>
      <c r="K250" s="17" t="s">
        <v>1024</v>
      </c>
      <c r="L250" s="18" t="s">
        <v>1809</v>
      </c>
      <c r="M250" s="19" t="s">
        <v>2692</v>
      </c>
      <c r="N250" s="19" t="s">
        <v>3018</v>
      </c>
      <c r="O250" s="20">
        <v>20</v>
      </c>
      <c r="P250" s="23" t="s">
        <v>25</v>
      </c>
      <c r="Q250" s="21" t="str">
        <f>VLOOKUP(C250,'2-1. 인사고과표(기능)'!B:AS,44,0)</f>
        <v>A</v>
      </c>
      <c r="R250" s="21" t="str">
        <f>VLOOKUP(C250,'2-2. 인사고과표(안전)'!B:AO,40,0)</f>
        <v>S</v>
      </c>
      <c r="S250" s="18"/>
      <c r="T250" s="19"/>
      <c r="U250" s="19"/>
      <c r="V250" s="19"/>
      <c r="W250" s="19"/>
      <c r="X250" s="22"/>
      <c r="Y250" s="23"/>
      <c r="Z250" s="19"/>
      <c r="AA250" s="19"/>
      <c r="AB250" s="22"/>
      <c r="AC250" s="19"/>
      <c r="AD250" s="23"/>
      <c r="AE250" s="24"/>
    </row>
    <row r="251" spans="2:31" ht="39.950000000000003" customHeight="1" x14ac:dyDescent="0.3">
      <c r="B251" s="107">
        <v>24022</v>
      </c>
      <c r="C251" s="12">
        <f t="shared" si="9"/>
        <v>246</v>
      </c>
      <c r="D251" s="105" t="str">
        <f>IFERROR(" "&amp;VLOOKUP(B251,현장리스트!$B:$C,2,0),"-")</f>
        <v xml:space="preserve"> [2.신세계건설] 양주 옥정 물류센터 신축공사</v>
      </c>
      <c r="E251" s="13" t="s">
        <v>1859</v>
      </c>
      <c r="F251" s="13" t="str">
        <f t="shared" ca="1" si="10"/>
        <v>60세</v>
      </c>
      <c r="G251" s="14" t="s">
        <v>1860</v>
      </c>
      <c r="H251" s="15" t="str">
        <f t="shared" si="11"/>
        <v>남</v>
      </c>
      <c r="I251" s="16" t="s">
        <v>901</v>
      </c>
      <c r="J251" s="16" t="s">
        <v>30</v>
      </c>
      <c r="K251" s="17" t="s">
        <v>1024</v>
      </c>
      <c r="L251" s="18" t="s">
        <v>1861</v>
      </c>
      <c r="M251" s="19" t="s">
        <v>914</v>
      </c>
      <c r="N251" s="19" t="s">
        <v>3019</v>
      </c>
      <c r="O251" s="20">
        <v>25</v>
      </c>
      <c r="P251" s="23" t="s">
        <v>25</v>
      </c>
      <c r="Q251" s="21" t="str">
        <f>VLOOKUP(C251,'2-1. 인사고과표(기능)'!B:AS,44,0)</f>
        <v>S</v>
      </c>
      <c r="R251" s="21" t="str">
        <f>VLOOKUP(C251,'2-2. 인사고과표(안전)'!B:AO,40,0)</f>
        <v>S</v>
      </c>
      <c r="S251" s="18"/>
      <c r="T251" s="19"/>
      <c r="U251" s="19"/>
      <c r="V251" s="19"/>
      <c r="W251" s="19"/>
      <c r="X251" s="22"/>
      <c r="Y251" s="23"/>
      <c r="Z251" s="19"/>
      <c r="AA251" s="19"/>
      <c r="AB251" s="22"/>
      <c r="AC251" s="19"/>
      <c r="AD251" s="23"/>
      <c r="AE251" s="24"/>
    </row>
    <row r="252" spans="2:31" ht="39.950000000000003" customHeight="1" x14ac:dyDescent="0.3">
      <c r="B252" s="107">
        <v>24022</v>
      </c>
      <c r="C252" s="12">
        <f t="shared" si="9"/>
        <v>247</v>
      </c>
      <c r="D252" s="105" t="str">
        <f>IFERROR(" "&amp;VLOOKUP(B252,현장리스트!$B:$C,2,0),"-")</f>
        <v xml:space="preserve"> [2.신세계건설] 양주 옥정 물류센터 신축공사</v>
      </c>
      <c r="E252" s="13" t="s">
        <v>2194</v>
      </c>
      <c r="F252" s="13" t="str">
        <f t="shared" ca="1" si="10"/>
        <v>65세</v>
      </c>
      <c r="G252" s="14" t="s">
        <v>2195</v>
      </c>
      <c r="H252" s="15" t="str">
        <f t="shared" si="11"/>
        <v>남</v>
      </c>
      <c r="I252" s="16" t="s">
        <v>901</v>
      </c>
      <c r="J252" s="16" t="s">
        <v>30</v>
      </c>
      <c r="K252" s="17" t="s">
        <v>1024</v>
      </c>
      <c r="L252" s="18" t="s">
        <v>2196</v>
      </c>
      <c r="M252" s="19" t="s">
        <v>2528</v>
      </c>
      <c r="N252" s="19" t="s">
        <v>940</v>
      </c>
      <c r="O252" s="20">
        <v>27</v>
      </c>
      <c r="P252" s="23" t="s">
        <v>25</v>
      </c>
      <c r="Q252" s="21" t="str">
        <f>VLOOKUP(C252,'2-1. 인사고과표(기능)'!B:AS,44,0)</f>
        <v>S</v>
      </c>
      <c r="R252" s="21" t="str">
        <f>VLOOKUP(C252,'2-2. 인사고과표(안전)'!B:AO,40,0)</f>
        <v>S</v>
      </c>
      <c r="S252" s="18"/>
      <c r="T252" s="19"/>
      <c r="U252" s="19"/>
      <c r="V252" s="19"/>
      <c r="W252" s="19"/>
      <c r="X252" s="22"/>
      <c r="Y252" s="23"/>
      <c r="Z252" s="19"/>
      <c r="AA252" s="19"/>
      <c r="AB252" s="22"/>
      <c r="AC252" s="19"/>
      <c r="AD252" s="23"/>
      <c r="AE252" s="24"/>
    </row>
    <row r="253" spans="2:31" ht="39.950000000000003" customHeight="1" x14ac:dyDescent="0.3">
      <c r="B253" s="107">
        <v>24022</v>
      </c>
      <c r="C253" s="12">
        <f t="shared" si="9"/>
        <v>248</v>
      </c>
      <c r="D253" s="105" t="str">
        <f>IFERROR(" "&amp;VLOOKUP(B253,현장리스트!$B:$C,2,0),"-")</f>
        <v xml:space="preserve"> [2.신세계건설] 양주 옥정 물류센터 신축공사</v>
      </c>
      <c r="E253" s="13" t="s">
        <v>2501</v>
      </c>
      <c r="F253" s="13" t="str">
        <f t="shared" ca="1" si="10"/>
        <v>60세</v>
      </c>
      <c r="G253" s="14" t="s">
        <v>2502</v>
      </c>
      <c r="H253" s="15" t="str">
        <f t="shared" si="11"/>
        <v>남</v>
      </c>
      <c r="I253" s="16" t="s">
        <v>901</v>
      </c>
      <c r="J253" s="16" t="s">
        <v>30</v>
      </c>
      <c r="K253" s="17" t="s">
        <v>1025</v>
      </c>
      <c r="L253" s="18" t="s">
        <v>2503</v>
      </c>
      <c r="M253" s="19" t="s">
        <v>934</v>
      </c>
      <c r="N253" s="19" t="s">
        <v>2623</v>
      </c>
      <c r="O253" s="20">
        <v>25</v>
      </c>
      <c r="P253" s="23" t="s">
        <v>25</v>
      </c>
      <c r="Q253" s="21" t="str">
        <f>VLOOKUP(C253,'2-1. 인사고과표(기능)'!B:AS,44,0)</f>
        <v>A</v>
      </c>
      <c r="R253" s="21" t="str">
        <f>VLOOKUP(C253,'2-2. 인사고과표(안전)'!B:AO,40,0)</f>
        <v>S</v>
      </c>
      <c r="S253" s="18"/>
      <c r="T253" s="19"/>
      <c r="U253" s="19"/>
      <c r="V253" s="19"/>
      <c r="W253" s="19"/>
      <c r="X253" s="22" t="s">
        <v>3022</v>
      </c>
      <c r="Y253" s="23" t="s">
        <v>25</v>
      </c>
      <c r="Z253" s="19"/>
      <c r="AA253" s="19"/>
      <c r="AB253" s="22"/>
      <c r="AC253" s="19"/>
      <c r="AD253" s="23"/>
      <c r="AE253" s="24"/>
    </row>
    <row r="254" spans="2:31" ht="39.950000000000003" customHeight="1" x14ac:dyDescent="0.3">
      <c r="B254" s="107">
        <v>25006</v>
      </c>
      <c r="C254" s="12">
        <f t="shared" si="9"/>
        <v>249</v>
      </c>
      <c r="D254" s="105" t="str">
        <f>IFERROR(" "&amp;VLOOKUP(B254,현장리스트!$B:$C,2,0),"-")</f>
        <v xml:space="preserve"> [2.쌍용건설] 양주 삼숭 지역주택조합 일반전기공사</v>
      </c>
      <c r="E254" s="13" t="s">
        <v>675</v>
      </c>
      <c r="F254" s="13" t="str">
        <f t="shared" ca="1" si="10"/>
        <v>57세</v>
      </c>
      <c r="G254" s="14" t="s">
        <v>3125</v>
      </c>
      <c r="H254" s="15" t="str">
        <f t="shared" si="11"/>
        <v>남</v>
      </c>
      <c r="I254" s="16" t="s">
        <v>895</v>
      </c>
      <c r="J254" s="16" t="s">
        <v>903</v>
      </c>
      <c r="K254" s="17">
        <v>5200000</v>
      </c>
      <c r="L254" s="18" t="s">
        <v>1831</v>
      </c>
      <c r="M254" s="19" t="s">
        <v>987</v>
      </c>
      <c r="N254" s="19" t="s">
        <v>2649</v>
      </c>
      <c r="O254" s="20">
        <v>28</v>
      </c>
      <c r="P254" s="23" t="s">
        <v>24</v>
      </c>
      <c r="Q254" s="21" t="str">
        <f>VLOOKUP(C254,'2-1. 인사고과표(기능)'!B:AS,44,0)</f>
        <v>S</v>
      </c>
      <c r="R254" s="21" t="str">
        <f>VLOOKUP(C254,'2-2. 인사고과표(안전)'!B:AO,40,0)</f>
        <v>S</v>
      </c>
      <c r="S254" s="18"/>
      <c r="T254" s="19"/>
      <c r="U254" s="19"/>
      <c r="V254" s="19"/>
      <c r="W254" s="19" t="s">
        <v>813</v>
      </c>
      <c r="X254" s="22" t="s">
        <v>3129</v>
      </c>
      <c r="Y254" s="23" t="s">
        <v>23</v>
      </c>
      <c r="Z254" s="19"/>
      <c r="AA254" s="19"/>
      <c r="AB254" s="22"/>
      <c r="AC254" s="19"/>
      <c r="AD254" s="23"/>
      <c r="AE254" s="24"/>
    </row>
    <row r="255" spans="2:31" ht="39.950000000000003" customHeight="1" x14ac:dyDescent="0.3">
      <c r="B255" s="107">
        <v>25006</v>
      </c>
      <c r="C255" s="12">
        <f t="shared" si="9"/>
        <v>250</v>
      </c>
      <c r="D255" s="105" t="str">
        <f>IFERROR(" "&amp;VLOOKUP(B255,현장리스트!$B:$C,2,0),"-")</f>
        <v xml:space="preserve"> [2.쌍용건설] 양주 삼숭 지역주택조합 일반전기공사</v>
      </c>
      <c r="E255" s="13" t="s">
        <v>1430</v>
      </c>
      <c r="F255" s="13" t="str">
        <f t="shared" ca="1" si="10"/>
        <v>59세</v>
      </c>
      <c r="G255" s="14" t="s">
        <v>3126</v>
      </c>
      <c r="H255" s="15" t="str">
        <f t="shared" si="11"/>
        <v>남</v>
      </c>
      <c r="I255" s="16" t="s">
        <v>899</v>
      </c>
      <c r="J255" s="16" t="s">
        <v>903</v>
      </c>
      <c r="K255" s="17">
        <v>5700000</v>
      </c>
      <c r="L255" s="18" t="s">
        <v>1431</v>
      </c>
      <c r="M255" s="19" t="s">
        <v>914</v>
      </c>
      <c r="N255" s="19" t="s">
        <v>2630</v>
      </c>
      <c r="O255" s="20">
        <v>2</v>
      </c>
      <c r="P255" s="23" t="s">
        <v>23</v>
      </c>
      <c r="Q255" s="21" t="str">
        <f>VLOOKUP(C255,'2-1. 인사고과표(기능)'!B:AS,44,0)</f>
        <v>S</v>
      </c>
      <c r="R255" s="21" t="str">
        <f>VLOOKUP(C255,'2-2. 인사고과표(안전)'!B:AO,40,0)</f>
        <v>S</v>
      </c>
      <c r="S255" s="18"/>
      <c r="T255" s="19"/>
      <c r="U255" s="19"/>
      <c r="V255" s="19"/>
      <c r="W255" s="19"/>
      <c r="X255" s="22"/>
      <c r="Y255" s="23"/>
      <c r="Z255" s="19"/>
      <c r="AA255" s="19"/>
      <c r="AB255" s="22"/>
      <c r="AC255" s="19"/>
      <c r="AD255" s="23"/>
      <c r="AE255" s="24"/>
    </row>
    <row r="256" spans="2:31" ht="39.950000000000003" customHeight="1" x14ac:dyDescent="0.3">
      <c r="B256" s="107">
        <v>25006</v>
      </c>
      <c r="C256" s="12">
        <f t="shared" si="9"/>
        <v>251</v>
      </c>
      <c r="D256" s="105" t="str">
        <f>IFERROR(" "&amp;VLOOKUP(B256,현장리스트!$B:$C,2,0),"-")</f>
        <v xml:space="preserve"> [2.쌍용건설] 양주 삼숭 지역주택조합 일반전기공사</v>
      </c>
      <c r="E256" s="13" t="s">
        <v>2047</v>
      </c>
      <c r="F256" s="13" t="str">
        <f t="shared" ca="1" si="10"/>
        <v>60세</v>
      </c>
      <c r="G256" s="14" t="s">
        <v>3127</v>
      </c>
      <c r="H256" s="15" t="str">
        <f t="shared" si="11"/>
        <v>남</v>
      </c>
      <c r="I256" s="16" t="s">
        <v>901</v>
      </c>
      <c r="J256" s="16" t="s">
        <v>30</v>
      </c>
      <c r="K256" s="17">
        <v>200000</v>
      </c>
      <c r="L256" s="18" t="s">
        <v>2048</v>
      </c>
      <c r="M256" s="19" t="s">
        <v>914</v>
      </c>
      <c r="N256" s="19" t="s">
        <v>2611</v>
      </c>
      <c r="O256" s="20">
        <v>27</v>
      </c>
      <c r="P256" s="23" t="s">
        <v>24</v>
      </c>
      <c r="Q256" s="21" t="str">
        <f>VLOOKUP(C256,'2-1. 인사고과표(기능)'!B:AS,44,0)</f>
        <v>S</v>
      </c>
      <c r="R256" s="21" t="str">
        <f>VLOOKUP(C256,'2-2. 인사고과표(안전)'!B:AO,40,0)</f>
        <v>S</v>
      </c>
      <c r="S256" s="18"/>
      <c r="T256" s="19"/>
      <c r="U256" s="19"/>
      <c r="V256" s="19"/>
      <c r="W256" s="19" t="s">
        <v>497</v>
      </c>
      <c r="X256" s="22" t="s">
        <v>3130</v>
      </c>
      <c r="Y256" s="23" t="s">
        <v>23</v>
      </c>
      <c r="Z256" s="19"/>
      <c r="AA256" s="19"/>
      <c r="AB256" s="22"/>
      <c r="AC256" s="19"/>
      <c r="AD256" s="23"/>
      <c r="AE256" s="24"/>
    </row>
    <row r="257" spans="2:31" ht="39.950000000000003" customHeight="1" x14ac:dyDescent="0.3">
      <c r="B257" s="107">
        <v>25006</v>
      </c>
      <c r="C257" s="12">
        <f t="shared" si="9"/>
        <v>252</v>
      </c>
      <c r="D257" s="105" t="str">
        <f>IFERROR(" "&amp;VLOOKUP(B257,현장리스트!$B:$C,2,0),"-")</f>
        <v xml:space="preserve"> [2.쌍용건설] 양주 삼숭 지역주택조합 일반전기공사</v>
      </c>
      <c r="E257" s="13" t="s">
        <v>1552</v>
      </c>
      <c r="F257" s="13" t="str">
        <f t="shared" ca="1" si="10"/>
        <v>38세</v>
      </c>
      <c r="G257" s="14" t="s">
        <v>3128</v>
      </c>
      <c r="H257" s="15" t="str">
        <f t="shared" si="11"/>
        <v>남</v>
      </c>
      <c r="I257" s="16" t="s">
        <v>901</v>
      </c>
      <c r="J257" s="16" t="s">
        <v>902</v>
      </c>
      <c r="K257" s="17">
        <v>180000</v>
      </c>
      <c r="L257" s="18" t="s">
        <v>1553</v>
      </c>
      <c r="M257" s="19" t="s">
        <v>914</v>
      </c>
      <c r="N257" s="19" t="s">
        <v>2626</v>
      </c>
      <c r="O257" s="20">
        <v>4</v>
      </c>
      <c r="P257" s="23" t="s">
        <v>23</v>
      </c>
      <c r="Q257" s="21" t="str">
        <f>VLOOKUP(C257,'2-1. 인사고과표(기능)'!B:AS,44,0)</f>
        <v>S</v>
      </c>
      <c r="R257" s="21" t="str">
        <f>VLOOKUP(C257,'2-2. 인사고과표(안전)'!B:AO,40,0)</f>
        <v>S</v>
      </c>
      <c r="S257" s="18"/>
      <c r="T257" s="19"/>
      <c r="U257" s="19"/>
      <c r="V257" s="19"/>
      <c r="W257" s="19" t="s">
        <v>3133</v>
      </c>
      <c r="X257" s="22" t="s">
        <v>3135</v>
      </c>
      <c r="Y257" s="23" t="s">
        <v>23</v>
      </c>
      <c r="Z257" s="19"/>
      <c r="AA257" s="19" t="s">
        <v>2635</v>
      </c>
      <c r="AB257" s="22" t="s">
        <v>3131</v>
      </c>
      <c r="AC257" s="19" t="s">
        <v>3132</v>
      </c>
      <c r="AD257" s="23" t="s">
        <v>23</v>
      </c>
      <c r="AE257" s="24"/>
    </row>
    <row r="258" spans="2:31" ht="39.950000000000003" customHeight="1" x14ac:dyDescent="0.3">
      <c r="B258" s="107">
        <v>24030</v>
      </c>
      <c r="C258" s="12">
        <f t="shared" si="9"/>
        <v>253</v>
      </c>
      <c r="D258" s="105" t="str">
        <f>IFERROR(" "&amp;VLOOKUP(B258,현장리스트!$B:$C,2,0),"-")</f>
        <v xml:space="preserve"> [2.쌍용건설] 평택 가재지구 1블럭 공동주택 신축공사</v>
      </c>
      <c r="E258" s="13" t="s">
        <v>579</v>
      </c>
      <c r="F258" s="13" t="str">
        <f t="shared" ca="1" si="10"/>
        <v>49세</v>
      </c>
      <c r="G258" s="14" t="s">
        <v>1437</v>
      </c>
      <c r="H258" s="15" t="str">
        <f t="shared" si="11"/>
        <v>남</v>
      </c>
      <c r="I258" s="16" t="s">
        <v>895</v>
      </c>
      <c r="J258" s="16" t="s">
        <v>903</v>
      </c>
      <c r="K258" s="17">
        <v>4900000</v>
      </c>
      <c r="L258" s="18" t="s">
        <v>1438</v>
      </c>
      <c r="M258" s="19" t="s">
        <v>3409</v>
      </c>
      <c r="N258" s="19" t="s">
        <v>3421</v>
      </c>
      <c r="O258" s="20">
        <v>11</v>
      </c>
      <c r="P258" s="23" t="s">
        <v>23</v>
      </c>
      <c r="Q258" s="21" t="str">
        <f>VLOOKUP(C258,'2-1. 인사고과표(기능)'!B:AS,44,0)</f>
        <v>S</v>
      </c>
      <c r="R258" s="21" t="str">
        <f>VLOOKUP(C258,'2-2. 인사고과표(안전)'!B:AO,40,0)</f>
        <v>S</v>
      </c>
      <c r="S258" s="18"/>
      <c r="T258" s="19"/>
      <c r="U258" s="19"/>
      <c r="V258" s="19"/>
      <c r="W258" s="19" t="s">
        <v>813</v>
      </c>
      <c r="X258" s="22" t="s">
        <v>3033</v>
      </c>
      <c r="Y258" s="23" t="s">
        <v>25</v>
      </c>
      <c r="Z258" s="19"/>
      <c r="AA258" s="19" t="s">
        <v>630</v>
      </c>
      <c r="AB258" s="22" t="s">
        <v>3034</v>
      </c>
      <c r="AC258" s="19" t="s">
        <v>3035</v>
      </c>
      <c r="AD258" s="23" t="s">
        <v>23</v>
      </c>
      <c r="AE258" s="24"/>
    </row>
    <row r="259" spans="2:31" ht="39.950000000000003" customHeight="1" x14ac:dyDescent="0.3">
      <c r="B259" s="107">
        <v>24030</v>
      </c>
      <c r="C259" s="12">
        <f t="shared" si="9"/>
        <v>254</v>
      </c>
      <c r="D259" s="105" t="str">
        <f>IFERROR(" "&amp;VLOOKUP(B259,현장리스트!$B:$C,2,0),"-")</f>
        <v xml:space="preserve"> [2.쌍용건설] 평택 가재지구 1블럭 공동주택 신축공사</v>
      </c>
      <c r="E259" s="13" t="s">
        <v>1269</v>
      </c>
      <c r="F259" s="13" t="str">
        <f t="shared" ca="1" si="10"/>
        <v>56세</v>
      </c>
      <c r="G259" s="14" t="s">
        <v>1270</v>
      </c>
      <c r="H259" s="15" t="str">
        <f t="shared" si="11"/>
        <v>남</v>
      </c>
      <c r="I259" s="16" t="s">
        <v>899</v>
      </c>
      <c r="J259" s="16" t="s">
        <v>903</v>
      </c>
      <c r="K259" s="17">
        <v>230000</v>
      </c>
      <c r="L259" s="18" t="s">
        <v>1271</v>
      </c>
      <c r="M259" s="19" t="s">
        <v>3410</v>
      </c>
      <c r="N259" s="19" t="s">
        <v>2622</v>
      </c>
      <c r="O259" s="20">
        <v>30</v>
      </c>
      <c r="P259" s="23" t="s">
        <v>23</v>
      </c>
      <c r="Q259" s="21" t="str">
        <f>VLOOKUP(C259,'2-1. 인사고과표(기능)'!B:AS,44,0)</f>
        <v>S</v>
      </c>
      <c r="R259" s="21" t="str">
        <f>VLOOKUP(C259,'2-2. 인사고과표(안전)'!B:AO,40,0)</f>
        <v>S</v>
      </c>
      <c r="S259" s="18"/>
      <c r="T259" s="19"/>
      <c r="U259" s="19"/>
      <c r="V259" s="19"/>
      <c r="W259" s="19" t="s">
        <v>3036</v>
      </c>
      <c r="X259" s="22" t="s">
        <v>3037</v>
      </c>
      <c r="Y259" s="23" t="s">
        <v>23</v>
      </c>
      <c r="Z259" s="19"/>
      <c r="AA259" s="19" t="s">
        <v>3036</v>
      </c>
      <c r="AB259" s="22" t="s">
        <v>3038</v>
      </c>
      <c r="AC259" s="19" t="s">
        <v>3039</v>
      </c>
      <c r="AD259" s="23" t="s">
        <v>23</v>
      </c>
      <c r="AE259" s="24"/>
    </row>
    <row r="260" spans="2:31" ht="39.950000000000003" customHeight="1" x14ac:dyDescent="0.3">
      <c r="B260" s="107">
        <v>24030</v>
      </c>
      <c r="C260" s="12">
        <f t="shared" si="9"/>
        <v>255</v>
      </c>
      <c r="D260" s="105" t="str">
        <f>IFERROR(" "&amp;VLOOKUP(B260,현장리스트!$B:$C,2,0),"-")</f>
        <v xml:space="preserve"> [2.쌍용건설] 평택 가재지구 1블럭 공동주택 신축공사</v>
      </c>
      <c r="E260" s="13" t="s">
        <v>1293</v>
      </c>
      <c r="F260" s="13" t="str">
        <f t="shared" ca="1" si="10"/>
        <v>47세</v>
      </c>
      <c r="G260" s="14" t="s">
        <v>1294</v>
      </c>
      <c r="H260" s="15" t="str">
        <f t="shared" si="11"/>
        <v>남</v>
      </c>
      <c r="I260" s="16" t="s">
        <v>901</v>
      </c>
      <c r="J260" s="16" t="s">
        <v>30</v>
      </c>
      <c r="K260" s="17">
        <v>230000</v>
      </c>
      <c r="L260" s="18" t="s">
        <v>1295</v>
      </c>
      <c r="M260" s="19" t="s">
        <v>910</v>
      </c>
      <c r="N260" s="19" t="s">
        <v>911</v>
      </c>
      <c r="O260" s="20">
        <v>23</v>
      </c>
      <c r="P260" s="23" t="s">
        <v>23</v>
      </c>
      <c r="Q260" s="21" t="str">
        <f>VLOOKUP(C260,'2-1. 인사고과표(기능)'!B:AS,44,0)</f>
        <v>S</v>
      </c>
      <c r="R260" s="21" t="str">
        <f>VLOOKUP(C260,'2-2. 인사고과표(안전)'!B:AO,40,0)</f>
        <v>S</v>
      </c>
      <c r="S260" s="18"/>
      <c r="T260" s="19"/>
      <c r="U260" s="19"/>
      <c r="V260" s="19"/>
      <c r="W260" s="19" t="s">
        <v>513</v>
      </c>
      <c r="X260" s="22" t="s">
        <v>3040</v>
      </c>
      <c r="Y260" s="23" t="s">
        <v>23</v>
      </c>
      <c r="Z260" s="19"/>
      <c r="AA260" s="19" t="s">
        <v>2879</v>
      </c>
      <c r="AB260" s="22" t="s">
        <v>3041</v>
      </c>
      <c r="AC260" s="19" t="s">
        <v>2569</v>
      </c>
      <c r="AD260" s="23" t="s">
        <v>23</v>
      </c>
      <c r="AE260" s="24"/>
    </row>
    <row r="261" spans="2:31" ht="39.950000000000003" customHeight="1" x14ac:dyDescent="0.3">
      <c r="B261" s="107">
        <v>24030</v>
      </c>
      <c r="C261" s="12">
        <f t="shared" si="9"/>
        <v>256</v>
      </c>
      <c r="D261" s="105" t="str">
        <f>IFERROR(" "&amp;VLOOKUP(B261,현장리스트!$B:$C,2,0),"-")</f>
        <v xml:space="preserve"> [2.쌍용건설] 평택 가재지구 1블럭 공동주택 신축공사</v>
      </c>
      <c r="E261" s="13" t="s">
        <v>1810</v>
      </c>
      <c r="F261" s="13" t="str">
        <f t="shared" ca="1" si="10"/>
        <v>40세</v>
      </c>
      <c r="G261" s="14" t="s">
        <v>1811</v>
      </c>
      <c r="H261" s="15" t="str">
        <f t="shared" si="11"/>
        <v>남</v>
      </c>
      <c r="I261" s="16" t="s">
        <v>901</v>
      </c>
      <c r="J261" s="16" t="s">
        <v>30</v>
      </c>
      <c r="K261" s="17">
        <v>190000</v>
      </c>
      <c r="L261" s="18" t="s">
        <v>1812</v>
      </c>
      <c r="M261" s="19" t="s">
        <v>910</v>
      </c>
      <c r="N261" s="19" t="s">
        <v>911</v>
      </c>
      <c r="O261" s="20">
        <v>7</v>
      </c>
      <c r="P261" s="23" t="s">
        <v>23</v>
      </c>
      <c r="Q261" s="21" t="str">
        <f>VLOOKUP(C261,'2-1. 인사고과표(기능)'!B:AS,44,0)</f>
        <v>S</v>
      </c>
      <c r="R261" s="21" t="str">
        <f>VLOOKUP(C261,'2-2. 인사고과표(안전)'!B:AO,40,0)</f>
        <v>S</v>
      </c>
      <c r="S261" s="18"/>
      <c r="T261" s="19"/>
      <c r="U261" s="19"/>
      <c r="V261" s="19"/>
      <c r="W261" s="19" t="s">
        <v>513</v>
      </c>
      <c r="X261" s="22" t="s">
        <v>3040</v>
      </c>
      <c r="Y261" s="23" t="s">
        <v>23</v>
      </c>
      <c r="Z261" s="19"/>
      <c r="AA261" s="19" t="s">
        <v>2879</v>
      </c>
      <c r="AB261" s="22" t="s">
        <v>3041</v>
      </c>
      <c r="AC261" s="19" t="s">
        <v>2569</v>
      </c>
      <c r="AD261" s="23" t="s">
        <v>23</v>
      </c>
      <c r="AE261" s="24"/>
    </row>
    <row r="262" spans="2:31" ht="39.950000000000003" customHeight="1" x14ac:dyDescent="0.3">
      <c r="B262" s="107">
        <v>24030</v>
      </c>
      <c r="C262" s="12">
        <f t="shared" ref="C262:C325" si="12">ROW()-5</f>
        <v>257</v>
      </c>
      <c r="D262" s="105" t="str">
        <f>IFERROR(" "&amp;VLOOKUP(B262,현장리스트!$B:$C,2,0),"-")</f>
        <v xml:space="preserve"> [2.쌍용건설] 평택 가재지구 1블럭 공동주택 신축공사</v>
      </c>
      <c r="E262" s="13" t="s">
        <v>1846</v>
      </c>
      <c r="F262" s="13" t="str">
        <f t="shared" ref="F262:F325" ca="1" si="13">IFERROR(DATEDIF(MID(G262,1,2)&amp;"-"&amp;MID(G262,3,2)&amp;"-"&amp;MID(G262,5,2),TODAY(),"y")&amp;"세","")</f>
        <v>32세</v>
      </c>
      <c r="G262" s="14" t="s">
        <v>1847</v>
      </c>
      <c r="H262" s="15" t="str">
        <f t="shared" ref="H262:H325" si="14">IF(G262="","",IF(LEN(G262)&lt;14,"에러",IF(LEN(G262)&lt;14,"에러",IF(ISODD(MID(G262,8,1)),"남","여"))))</f>
        <v>남</v>
      </c>
      <c r="I262" s="16" t="s">
        <v>901</v>
      </c>
      <c r="J262" s="16" t="s">
        <v>30</v>
      </c>
      <c r="K262" s="17">
        <v>190000</v>
      </c>
      <c r="L262" s="18" t="s">
        <v>1848</v>
      </c>
      <c r="M262" s="19" t="s">
        <v>987</v>
      </c>
      <c r="N262" s="19" t="s">
        <v>2642</v>
      </c>
      <c r="O262" s="20">
        <v>9</v>
      </c>
      <c r="P262" s="23" t="s">
        <v>23</v>
      </c>
      <c r="Q262" s="21" t="str">
        <f>VLOOKUP(C262,'2-1. 인사고과표(기능)'!B:AS,44,0)</f>
        <v>S</v>
      </c>
      <c r="R262" s="21" t="str">
        <f>VLOOKUP(C262,'2-2. 인사고과표(안전)'!B:AO,40,0)</f>
        <v>S</v>
      </c>
      <c r="S262" s="18"/>
      <c r="T262" s="19"/>
      <c r="U262" s="19"/>
      <c r="V262" s="19"/>
      <c r="W262" s="19" t="s">
        <v>513</v>
      </c>
      <c r="X262" s="22" t="s">
        <v>3040</v>
      </c>
      <c r="Y262" s="23" t="s">
        <v>23</v>
      </c>
      <c r="Z262" s="19"/>
      <c r="AA262" s="19" t="s">
        <v>2879</v>
      </c>
      <c r="AB262" s="22" t="s">
        <v>3041</v>
      </c>
      <c r="AC262" s="19" t="s">
        <v>2569</v>
      </c>
      <c r="AD262" s="23" t="s">
        <v>23</v>
      </c>
      <c r="AE262" s="24"/>
    </row>
    <row r="263" spans="2:31" ht="39.950000000000003" customHeight="1" x14ac:dyDescent="0.3">
      <c r="B263" s="107">
        <v>24030</v>
      </c>
      <c r="C263" s="12">
        <f t="shared" si="12"/>
        <v>258</v>
      </c>
      <c r="D263" s="105" t="str">
        <f>IFERROR(" "&amp;VLOOKUP(B263,현장리스트!$B:$C,2,0),"-")</f>
        <v xml:space="preserve"> [2.쌍용건설] 평택 가재지구 1블럭 공동주택 신축공사</v>
      </c>
      <c r="E263" s="13" t="s">
        <v>1229</v>
      </c>
      <c r="F263" s="13" t="str">
        <f t="shared" ca="1" si="13"/>
        <v>54세</v>
      </c>
      <c r="G263" s="14" t="s">
        <v>1230</v>
      </c>
      <c r="H263" s="15" t="str">
        <f t="shared" si="14"/>
        <v>남</v>
      </c>
      <c r="I263" s="16" t="s">
        <v>901</v>
      </c>
      <c r="J263" s="16" t="s">
        <v>30</v>
      </c>
      <c r="K263" s="17">
        <v>220000</v>
      </c>
      <c r="L263" s="18" t="s">
        <v>1231</v>
      </c>
      <c r="M263" s="19" t="s">
        <v>910</v>
      </c>
      <c r="N263" s="19" t="s">
        <v>911</v>
      </c>
      <c r="O263" s="20" t="s">
        <v>921</v>
      </c>
      <c r="P263" s="23" t="s">
        <v>23</v>
      </c>
      <c r="Q263" s="21" t="str">
        <f>VLOOKUP(C263,'2-1. 인사고과표(기능)'!B:AS,44,0)</f>
        <v>S</v>
      </c>
      <c r="R263" s="21" t="str">
        <f>VLOOKUP(C263,'2-2. 인사고과표(안전)'!B:AO,40,0)</f>
        <v>S</v>
      </c>
      <c r="S263" s="18"/>
      <c r="T263" s="19"/>
      <c r="U263" s="19"/>
      <c r="V263" s="19"/>
      <c r="W263" s="19" t="s">
        <v>513</v>
      </c>
      <c r="X263" s="22" t="s">
        <v>3040</v>
      </c>
      <c r="Y263" s="23" t="s">
        <v>23</v>
      </c>
      <c r="Z263" s="19"/>
      <c r="AA263" s="19" t="s">
        <v>595</v>
      </c>
      <c r="AB263" s="22" t="s">
        <v>3042</v>
      </c>
      <c r="AC263" s="19" t="s">
        <v>3043</v>
      </c>
      <c r="AD263" s="23" t="s">
        <v>23</v>
      </c>
      <c r="AE263" s="24"/>
    </row>
    <row r="264" spans="2:31" ht="39.950000000000003" customHeight="1" x14ac:dyDescent="0.3">
      <c r="B264" s="107">
        <v>24030</v>
      </c>
      <c r="C264" s="12">
        <f t="shared" si="12"/>
        <v>259</v>
      </c>
      <c r="D264" s="105" t="str">
        <f>IFERROR(" "&amp;VLOOKUP(B264,현장리스트!$B:$C,2,0),"-")</f>
        <v xml:space="preserve"> [2.쌍용건설] 평택 가재지구 1블럭 공동주택 신축공사</v>
      </c>
      <c r="E264" s="13" t="s">
        <v>1483</v>
      </c>
      <c r="F264" s="13" t="str">
        <f t="shared" ca="1" si="13"/>
        <v>46세</v>
      </c>
      <c r="G264" s="14" t="s">
        <v>1484</v>
      </c>
      <c r="H264" s="15" t="str">
        <f t="shared" si="14"/>
        <v>여</v>
      </c>
      <c r="I264" s="16" t="s">
        <v>901</v>
      </c>
      <c r="J264" s="16" t="s">
        <v>30</v>
      </c>
      <c r="K264" s="17">
        <v>195000</v>
      </c>
      <c r="L264" s="18" t="s">
        <v>3032</v>
      </c>
      <c r="M264" s="19" t="s">
        <v>910</v>
      </c>
      <c r="N264" s="19" t="s">
        <v>911</v>
      </c>
      <c r="O264" s="20">
        <v>6</v>
      </c>
      <c r="P264" s="23" t="s">
        <v>23</v>
      </c>
      <c r="Q264" s="21" t="str">
        <f>VLOOKUP(C264,'2-1. 인사고과표(기능)'!B:AS,44,0)</f>
        <v>S</v>
      </c>
      <c r="R264" s="21" t="str">
        <f>VLOOKUP(C264,'2-2. 인사고과표(안전)'!B:AO,40,0)</f>
        <v>S</v>
      </c>
      <c r="S264" s="18"/>
      <c r="T264" s="19"/>
      <c r="U264" s="19"/>
      <c r="V264" s="19"/>
      <c r="W264" s="19" t="s">
        <v>513</v>
      </c>
      <c r="X264" s="22" t="s">
        <v>3040</v>
      </c>
      <c r="Y264" s="23" t="s">
        <v>23</v>
      </c>
      <c r="Z264" s="19"/>
      <c r="AA264" s="19" t="s">
        <v>595</v>
      </c>
      <c r="AB264" s="22" t="s">
        <v>3042</v>
      </c>
      <c r="AC264" s="19" t="s">
        <v>3043</v>
      </c>
      <c r="AD264" s="23" t="s">
        <v>23</v>
      </c>
      <c r="AE264" s="24"/>
    </row>
    <row r="265" spans="2:31" ht="39.950000000000003" customHeight="1" x14ac:dyDescent="0.3">
      <c r="B265" s="107">
        <v>23039</v>
      </c>
      <c r="C265" s="12">
        <f t="shared" si="12"/>
        <v>260</v>
      </c>
      <c r="D265" s="105" t="str">
        <f>IFERROR(" "&amp;VLOOKUP(B265,현장리스트!$B:$C,2,0),"-")</f>
        <v xml:space="preserve"> [2.한라] 인천작전동 APT 신축공사</v>
      </c>
      <c r="E265" s="13" t="s">
        <v>451</v>
      </c>
      <c r="F265" s="13" t="str">
        <f t="shared" ca="1" si="13"/>
        <v>58세</v>
      </c>
      <c r="G265" s="14" t="s">
        <v>1313</v>
      </c>
      <c r="H265" s="15" t="str">
        <f t="shared" si="14"/>
        <v>남</v>
      </c>
      <c r="I265" s="16" t="s">
        <v>895</v>
      </c>
      <c r="J265" s="16" t="s">
        <v>898</v>
      </c>
      <c r="K265" s="17">
        <v>6000000</v>
      </c>
      <c r="L265" s="18" t="s">
        <v>1314</v>
      </c>
      <c r="M265" s="19" t="s">
        <v>910</v>
      </c>
      <c r="N265" s="19" t="s">
        <v>995</v>
      </c>
      <c r="O265" s="20">
        <v>27</v>
      </c>
      <c r="P265" s="23" t="s">
        <v>23</v>
      </c>
      <c r="Q265" s="21" t="str">
        <f>VLOOKUP(C265,'2-1. 인사고과표(기능)'!B:AS,44,0)</f>
        <v>S</v>
      </c>
      <c r="R265" s="21" t="str">
        <f>VLOOKUP(C265,'2-2. 인사고과표(안전)'!B:AO,40,0)</f>
        <v>S</v>
      </c>
      <c r="S265" s="18" t="s">
        <v>2788</v>
      </c>
      <c r="T265" s="19"/>
      <c r="U265" s="19" t="s">
        <v>2765</v>
      </c>
      <c r="V265" s="19"/>
      <c r="W265" s="19" t="s">
        <v>2521</v>
      </c>
      <c r="X265" s="22" t="s">
        <v>3031</v>
      </c>
      <c r="Y265" s="23" t="s">
        <v>23</v>
      </c>
      <c r="Z265" s="19"/>
      <c r="AA265" s="19" t="s">
        <v>2695</v>
      </c>
      <c r="AB265" s="22"/>
      <c r="AC265" s="19"/>
      <c r="AD265" s="23"/>
      <c r="AE265" s="24"/>
    </row>
    <row r="266" spans="2:31" ht="39.950000000000003" customHeight="1" x14ac:dyDescent="0.3">
      <c r="B266" s="107">
        <v>23039</v>
      </c>
      <c r="C266" s="12">
        <f t="shared" si="12"/>
        <v>261</v>
      </c>
      <c r="D266" s="105" t="str">
        <f>IFERROR(" "&amp;VLOOKUP(B266,현장리스트!$B:$C,2,0),"-")</f>
        <v xml:space="preserve"> [2.한라] 인천작전동 APT 신축공사</v>
      </c>
      <c r="E266" s="13" t="s">
        <v>1692</v>
      </c>
      <c r="F266" s="13" t="str">
        <f t="shared" ca="1" si="13"/>
        <v>35세</v>
      </c>
      <c r="G266" s="14" t="s">
        <v>1693</v>
      </c>
      <c r="H266" s="15" t="str">
        <f t="shared" si="14"/>
        <v>남</v>
      </c>
      <c r="I266" s="16" t="s">
        <v>901</v>
      </c>
      <c r="J266" s="16" t="s">
        <v>30</v>
      </c>
      <c r="K266" s="17">
        <v>200000</v>
      </c>
      <c r="L266" s="18" t="s">
        <v>1694</v>
      </c>
      <c r="M266" s="19" t="s">
        <v>910</v>
      </c>
      <c r="N266" s="19" t="s">
        <v>995</v>
      </c>
      <c r="O266" s="20">
        <v>10</v>
      </c>
      <c r="P266" s="23" t="s">
        <v>23</v>
      </c>
      <c r="Q266" s="21" t="str">
        <f>VLOOKUP(C266,'2-1. 인사고과표(기능)'!B:AS,44,0)</f>
        <v>S</v>
      </c>
      <c r="R266" s="21" t="str">
        <f>VLOOKUP(C266,'2-2. 인사고과표(안전)'!B:AO,40,0)</f>
        <v>S</v>
      </c>
      <c r="S266" s="18"/>
      <c r="T266" s="19"/>
      <c r="U266" s="19"/>
      <c r="V266" s="19"/>
      <c r="W266" s="19" t="s">
        <v>2521</v>
      </c>
      <c r="X266" s="22" t="s">
        <v>3031</v>
      </c>
      <c r="Y266" s="23" t="s">
        <v>23</v>
      </c>
      <c r="Z266" s="19"/>
      <c r="AA266" s="19"/>
      <c r="AB266" s="22"/>
      <c r="AC266" s="19"/>
      <c r="AD266" s="23"/>
      <c r="AE266" s="24"/>
    </row>
    <row r="267" spans="2:31" ht="39.950000000000003" customHeight="1" x14ac:dyDescent="0.3">
      <c r="B267" s="107">
        <v>25023</v>
      </c>
      <c r="C267" s="12">
        <f t="shared" si="12"/>
        <v>262</v>
      </c>
      <c r="D267" s="105" t="str">
        <f>IFERROR(" "&amp;VLOOKUP(B267,현장리스트!$B:$C,2,0),"-")</f>
        <v xml:space="preserve"> [2.한양] 평택브레인시티8BL 공동주택 신축공사</v>
      </c>
      <c r="E267" s="13" t="s">
        <v>1406</v>
      </c>
      <c r="F267" s="13" t="str">
        <f t="shared" ca="1" si="13"/>
        <v>56세</v>
      </c>
      <c r="G267" s="14" t="s">
        <v>1407</v>
      </c>
      <c r="H267" s="15" t="str">
        <f t="shared" si="14"/>
        <v>남</v>
      </c>
      <c r="I267" s="16" t="s">
        <v>899</v>
      </c>
      <c r="J267" s="16" t="s">
        <v>903</v>
      </c>
      <c r="K267" s="17" t="s">
        <v>1222</v>
      </c>
      <c r="L267" s="18" t="s">
        <v>1408</v>
      </c>
      <c r="M267" s="19" t="s">
        <v>3073</v>
      </c>
      <c r="N267" s="19" t="s">
        <v>2608</v>
      </c>
      <c r="O267" s="20">
        <v>25</v>
      </c>
      <c r="P267" s="23" t="s">
        <v>23</v>
      </c>
      <c r="Q267" s="21" t="str">
        <f>VLOOKUP(C267,'2-1. 인사고과표(기능)'!B:AS,44,0)</f>
        <v>A</v>
      </c>
      <c r="R267" s="21" t="str">
        <f>VLOOKUP(C267,'2-2. 인사고과표(안전)'!B:AO,40,0)</f>
        <v>S</v>
      </c>
      <c r="S267" s="18"/>
      <c r="T267" s="19"/>
      <c r="U267" s="19"/>
      <c r="V267" s="19"/>
      <c r="W267" s="19"/>
      <c r="X267" s="22"/>
      <c r="Y267" s="23"/>
      <c r="Z267" s="19"/>
      <c r="AA267" s="19" t="s">
        <v>2970</v>
      </c>
      <c r="AB267" s="22" t="s">
        <v>3044</v>
      </c>
      <c r="AC267" s="19" t="s">
        <v>3045</v>
      </c>
      <c r="AD267" s="23" t="s">
        <v>24</v>
      </c>
      <c r="AE267" s="24"/>
    </row>
    <row r="268" spans="2:31" ht="39.950000000000003" customHeight="1" x14ac:dyDescent="0.3">
      <c r="B268" s="107">
        <v>25023</v>
      </c>
      <c r="C268" s="12">
        <f t="shared" si="12"/>
        <v>263</v>
      </c>
      <c r="D268" s="105" t="str">
        <f>IFERROR(" "&amp;VLOOKUP(B268,현장리스트!$B:$C,2,0),"-")</f>
        <v xml:space="preserve"> [2.한양] 평택브레인시티8BL 공동주택 신축공사</v>
      </c>
      <c r="E268" s="13" t="s">
        <v>1409</v>
      </c>
      <c r="F268" s="13" t="str">
        <f t="shared" ca="1" si="13"/>
        <v>50세</v>
      </c>
      <c r="G268" s="14" t="s">
        <v>1410</v>
      </c>
      <c r="H268" s="15" t="str">
        <f t="shared" si="14"/>
        <v>남</v>
      </c>
      <c r="I268" s="16" t="s">
        <v>901</v>
      </c>
      <c r="J268" s="16" t="s">
        <v>30</v>
      </c>
      <c r="K268" s="17" t="s">
        <v>1025</v>
      </c>
      <c r="L268" s="18" t="s">
        <v>1411</v>
      </c>
      <c r="M268" s="19" t="s">
        <v>917</v>
      </c>
      <c r="N268" s="19" t="s">
        <v>3422</v>
      </c>
      <c r="O268" s="20">
        <v>20</v>
      </c>
      <c r="P268" s="23" t="s">
        <v>23</v>
      </c>
      <c r="Q268" s="21" t="str">
        <f>VLOOKUP(C268,'2-1. 인사고과표(기능)'!B:AS,44,0)</f>
        <v>A</v>
      </c>
      <c r="R268" s="21" t="str">
        <f>VLOOKUP(C268,'2-2. 인사고과표(안전)'!B:AO,40,0)</f>
        <v>S</v>
      </c>
      <c r="S268" s="18"/>
      <c r="T268" s="19"/>
      <c r="U268" s="19"/>
      <c r="V268" s="19"/>
      <c r="W268" s="19"/>
      <c r="X268" s="22"/>
      <c r="Y268" s="23"/>
      <c r="Z268" s="19"/>
      <c r="AA268" s="19" t="s">
        <v>3046</v>
      </c>
      <c r="AB268" s="22" t="s">
        <v>3047</v>
      </c>
      <c r="AC268" s="19" t="s">
        <v>2792</v>
      </c>
      <c r="AD268" s="23" t="s">
        <v>23</v>
      </c>
      <c r="AE268" s="24"/>
    </row>
    <row r="269" spans="2:31" ht="39.950000000000003" customHeight="1" x14ac:dyDescent="0.3">
      <c r="B269" s="107">
        <v>25023</v>
      </c>
      <c r="C269" s="12">
        <f t="shared" si="12"/>
        <v>264</v>
      </c>
      <c r="D269" s="105" t="str">
        <f>IFERROR(" "&amp;VLOOKUP(B269,현장리스트!$B:$C,2,0),"-")</f>
        <v xml:space="preserve"> [2.한양] 평택브레인시티8BL 공동주택 신축공사</v>
      </c>
      <c r="E269" s="13" t="s">
        <v>1432</v>
      </c>
      <c r="F269" s="13" t="str">
        <f t="shared" ca="1" si="13"/>
        <v>46세</v>
      </c>
      <c r="G269" s="14" t="s">
        <v>1433</v>
      </c>
      <c r="H269" s="15" t="str">
        <f t="shared" si="14"/>
        <v>남</v>
      </c>
      <c r="I269" s="16" t="s">
        <v>901</v>
      </c>
      <c r="J269" s="16" t="s">
        <v>30</v>
      </c>
      <c r="K269" s="17" t="s">
        <v>1024</v>
      </c>
      <c r="L269" s="18" t="s">
        <v>1434</v>
      </c>
      <c r="M269" s="19" t="s">
        <v>3073</v>
      </c>
      <c r="N269" s="19" t="s">
        <v>2667</v>
      </c>
      <c r="O269" s="20">
        <v>15</v>
      </c>
      <c r="P269" s="23" t="s">
        <v>23</v>
      </c>
      <c r="Q269" s="21" t="str">
        <f>VLOOKUP(C269,'2-1. 인사고과표(기능)'!B:AS,44,0)</f>
        <v>B</v>
      </c>
      <c r="R269" s="21" t="str">
        <f>VLOOKUP(C269,'2-2. 인사고과표(안전)'!B:AO,40,0)</f>
        <v>S</v>
      </c>
      <c r="S269" s="18"/>
      <c r="T269" s="19"/>
      <c r="U269" s="19"/>
      <c r="V269" s="19"/>
      <c r="W269" s="19"/>
      <c r="X269" s="22"/>
      <c r="Y269" s="23"/>
      <c r="Z269" s="19"/>
      <c r="AA269" s="19" t="s">
        <v>682</v>
      </c>
      <c r="AB269" s="22" t="s">
        <v>3048</v>
      </c>
      <c r="AC269" s="19" t="s">
        <v>2834</v>
      </c>
      <c r="AD269" s="23" t="s">
        <v>23</v>
      </c>
      <c r="AE269" s="24"/>
    </row>
    <row r="270" spans="2:31" ht="39.950000000000003" customHeight="1" x14ac:dyDescent="0.3">
      <c r="B270" s="107">
        <v>25023</v>
      </c>
      <c r="C270" s="12">
        <f t="shared" si="12"/>
        <v>265</v>
      </c>
      <c r="D270" s="105" t="str">
        <f>IFERROR(" "&amp;VLOOKUP(B270,현장리스트!$B:$C,2,0),"-")</f>
        <v xml:space="preserve"> [2.한양] 평택브레인시티8BL 공동주택 신축공사</v>
      </c>
      <c r="E270" s="13" t="s">
        <v>1954</v>
      </c>
      <c r="F270" s="13" t="str">
        <f t="shared" ca="1" si="13"/>
        <v>50세</v>
      </c>
      <c r="G270" s="14" t="s">
        <v>1955</v>
      </c>
      <c r="H270" s="15" t="str">
        <f t="shared" si="14"/>
        <v>남</v>
      </c>
      <c r="I270" s="16" t="s">
        <v>901</v>
      </c>
      <c r="J270" s="16" t="s">
        <v>30</v>
      </c>
      <c r="K270" s="17" t="s">
        <v>1024</v>
      </c>
      <c r="L270" s="18" t="s">
        <v>1956</v>
      </c>
      <c r="M270" s="19" t="s">
        <v>3075</v>
      </c>
      <c r="N270" s="19" t="s">
        <v>2623</v>
      </c>
      <c r="O270" s="20">
        <v>15</v>
      </c>
      <c r="P270" s="23" t="s">
        <v>23</v>
      </c>
      <c r="Q270" s="21" t="str">
        <f>VLOOKUP(C270,'2-1. 인사고과표(기능)'!B:AS,44,0)</f>
        <v>A</v>
      </c>
      <c r="R270" s="21" t="str">
        <f>VLOOKUP(C270,'2-2. 인사고과표(안전)'!B:AO,40,0)</f>
        <v>S</v>
      </c>
      <c r="S270" s="18"/>
      <c r="T270" s="19"/>
      <c r="U270" s="19"/>
      <c r="V270" s="19"/>
      <c r="W270" s="19"/>
      <c r="X270" s="22"/>
      <c r="Y270" s="23"/>
      <c r="Z270" s="19"/>
      <c r="AA270" s="19" t="s">
        <v>447</v>
      </c>
      <c r="AB270" s="22" t="s">
        <v>3049</v>
      </c>
      <c r="AC270" s="19" t="s">
        <v>3043</v>
      </c>
      <c r="AD270" s="23" t="s">
        <v>23</v>
      </c>
      <c r="AE270" s="24"/>
    </row>
    <row r="271" spans="2:31" ht="39.950000000000003" customHeight="1" x14ac:dyDescent="0.3">
      <c r="B271" s="107">
        <v>25023</v>
      </c>
      <c r="C271" s="12">
        <f t="shared" si="12"/>
        <v>266</v>
      </c>
      <c r="D271" s="105" t="str">
        <f>IFERROR(" "&amp;VLOOKUP(B271,현장리스트!$B:$C,2,0),"-")</f>
        <v xml:space="preserve"> [2.한양] 평택브레인시티8BL 공동주택 신축공사</v>
      </c>
      <c r="E271" s="13" t="s">
        <v>2014</v>
      </c>
      <c r="F271" s="13" t="str">
        <f t="shared" ca="1" si="13"/>
        <v>36세</v>
      </c>
      <c r="G271" s="14" t="s">
        <v>2015</v>
      </c>
      <c r="H271" s="15" t="str">
        <f t="shared" si="14"/>
        <v>남</v>
      </c>
      <c r="I271" s="16" t="s">
        <v>901</v>
      </c>
      <c r="J271" s="16" t="s">
        <v>30</v>
      </c>
      <c r="K271" s="17" t="s">
        <v>1019</v>
      </c>
      <c r="L271" s="18" t="s">
        <v>2016</v>
      </c>
      <c r="M271" s="19" t="s">
        <v>3072</v>
      </c>
      <c r="N271" s="19" t="s">
        <v>2566</v>
      </c>
      <c r="O271" s="20">
        <v>10</v>
      </c>
      <c r="P271" s="23" t="s">
        <v>23</v>
      </c>
      <c r="Q271" s="21" t="str">
        <f>VLOOKUP(C271,'2-1. 인사고과표(기능)'!B:AS,44,0)</f>
        <v>B</v>
      </c>
      <c r="R271" s="21" t="str">
        <f>VLOOKUP(C271,'2-2. 인사고과표(안전)'!B:AO,40,0)</f>
        <v>S</v>
      </c>
      <c r="S271" s="18"/>
      <c r="T271" s="19"/>
      <c r="U271" s="19"/>
      <c r="V271" s="19"/>
      <c r="W271" s="19"/>
      <c r="X271" s="22"/>
      <c r="Y271" s="23"/>
      <c r="Z271" s="19"/>
      <c r="AA271" s="19" t="s">
        <v>447</v>
      </c>
      <c r="AB271" s="22" t="s">
        <v>3049</v>
      </c>
      <c r="AC271" s="19" t="s">
        <v>3043</v>
      </c>
      <c r="AD271" s="23" t="s">
        <v>23</v>
      </c>
      <c r="AE271" s="24"/>
    </row>
    <row r="272" spans="2:31" ht="39.950000000000003" customHeight="1" x14ac:dyDescent="0.3">
      <c r="B272" s="107">
        <v>25023</v>
      </c>
      <c r="C272" s="12">
        <f t="shared" si="12"/>
        <v>267</v>
      </c>
      <c r="D272" s="105" t="str">
        <f>IFERROR(" "&amp;VLOOKUP(B272,현장리스트!$B:$C,2,0),"-")</f>
        <v xml:space="preserve"> [2.한양] 평택브레인시티8BL 공동주택 신축공사</v>
      </c>
      <c r="E272" s="13" t="s">
        <v>732</v>
      </c>
      <c r="F272" s="13" t="str">
        <f t="shared" ca="1" si="13"/>
        <v>35세</v>
      </c>
      <c r="G272" s="14" t="s">
        <v>2469</v>
      </c>
      <c r="H272" s="15" t="str">
        <f t="shared" si="14"/>
        <v>남</v>
      </c>
      <c r="I272" s="16" t="s">
        <v>895</v>
      </c>
      <c r="J272" s="16" t="s">
        <v>896</v>
      </c>
      <c r="K272" s="17">
        <v>5200000</v>
      </c>
      <c r="L272" s="18" t="s">
        <v>2470</v>
      </c>
      <c r="M272" s="19" t="s">
        <v>3074</v>
      </c>
      <c r="N272" s="19" t="s">
        <v>2849</v>
      </c>
      <c r="O272" s="20" t="s">
        <v>921</v>
      </c>
      <c r="P272" s="23" t="s">
        <v>23</v>
      </c>
      <c r="Q272" s="21" t="str">
        <f>VLOOKUP(C272,'2-1. 인사고과표(기능)'!B:AS,44,0)</f>
        <v>B</v>
      </c>
      <c r="R272" s="21" t="str">
        <f>VLOOKUP(C272,'2-2. 인사고과표(안전)'!B:AO,40,0)</f>
        <v>S</v>
      </c>
      <c r="S272" s="18"/>
      <c r="T272" s="19"/>
      <c r="U272" s="19" t="s">
        <v>31</v>
      </c>
      <c r="V272" s="19"/>
      <c r="W272" s="19"/>
      <c r="X272" s="22"/>
      <c r="Y272" s="23"/>
      <c r="Z272" s="19"/>
      <c r="AA272" s="19" t="s">
        <v>3050</v>
      </c>
      <c r="AB272" s="22" t="s">
        <v>3051</v>
      </c>
      <c r="AC272" s="19" t="s">
        <v>3052</v>
      </c>
      <c r="AD272" s="23" t="s">
        <v>23</v>
      </c>
      <c r="AE272" s="24"/>
    </row>
    <row r="273" spans="2:31" ht="39.950000000000003" customHeight="1" x14ac:dyDescent="0.3">
      <c r="B273" s="107">
        <v>25023</v>
      </c>
      <c r="C273" s="12">
        <f t="shared" si="12"/>
        <v>268</v>
      </c>
      <c r="D273" s="105" t="str">
        <f>IFERROR(" "&amp;VLOOKUP(B273,현장리스트!$B:$C,2,0),"-")</f>
        <v xml:space="preserve"> [2.한양] 평택브레인시티8BL 공동주택 신축공사</v>
      </c>
      <c r="E273" s="13" t="s">
        <v>1989</v>
      </c>
      <c r="F273" s="13" t="str">
        <f t="shared" ca="1" si="13"/>
        <v>34세</v>
      </c>
      <c r="G273" s="14" t="s">
        <v>1990</v>
      </c>
      <c r="H273" s="15" t="str">
        <f t="shared" si="14"/>
        <v>남</v>
      </c>
      <c r="I273" s="16" t="s">
        <v>895</v>
      </c>
      <c r="J273" s="16" t="s">
        <v>900</v>
      </c>
      <c r="K273" s="17">
        <v>4500000</v>
      </c>
      <c r="L273" s="18" t="s">
        <v>1991</v>
      </c>
      <c r="M273" s="19" t="s">
        <v>3072</v>
      </c>
      <c r="N273" s="19" t="s">
        <v>2968</v>
      </c>
      <c r="O273" s="20" t="s">
        <v>2529</v>
      </c>
      <c r="P273" s="23" t="s">
        <v>23</v>
      </c>
      <c r="Q273" s="21" t="str">
        <f>VLOOKUP(C273,'2-1. 인사고과표(기능)'!B:AS,44,0)</f>
        <v>B</v>
      </c>
      <c r="R273" s="21" t="str">
        <f>VLOOKUP(C273,'2-2. 인사고과표(안전)'!B:AO,40,0)</f>
        <v>S</v>
      </c>
      <c r="S273" s="18"/>
      <c r="T273" s="19"/>
      <c r="U273" s="19"/>
      <c r="V273" s="19"/>
      <c r="W273" s="19" t="s">
        <v>260</v>
      </c>
      <c r="X273" s="22" t="s">
        <v>3053</v>
      </c>
      <c r="Y273" s="23" t="s">
        <v>24</v>
      </c>
      <c r="Z273" s="19"/>
      <c r="AA273" s="19"/>
      <c r="AB273" s="22"/>
      <c r="AC273" s="19"/>
      <c r="AD273" s="23"/>
      <c r="AE273" s="24"/>
    </row>
    <row r="274" spans="2:31" ht="39.950000000000003" customHeight="1" x14ac:dyDescent="0.3">
      <c r="B274" s="107">
        <v>24016</v>
      </c>
      <c r="C274" s="12">
        <f t="shared" si="12"/>
        <v>269</v>
      </c>
      <c r="D274" s="105" t="str">
        <f>IFERROR(" "&amp;VLOOKUP(B274,현장리스트!$B:$C,2,0),"-")</f>
        <v xml:space="preserve"> [2.한화건설] 고잔연립9구역 재건축 전기,통신,소방공사</v>
      </c>
      <c r="E274" s="13" t="s">
        <v>2440</v>
      </c>
      <c r="F274" s="13" t="str">
        <f t="shared" ca="1" si="13"/>
        <v>47세</v>
      </c>
      <c r="G274" s="14" t="s">
        <v>2441</v>
      </c>
      <c r="H274" s="15" t="str">
        <f t="shared" si="14"/>
        <v>남</v>
      </c>
      <c r="I274" s="16" t="s">
        <v>895</v>
      </c>
      <c r="J274" s="16" t="s">
        <v>903</v>
      </c>
      <c r="K274" s="17">
        <v>6000000</v>
      </c>
      <c r="L274" s="18" t="s">
        <v>2442</v>
      </c>
      <c r="M274" s="19" t="s">
        <v>2692</v>
      </c>
      <c r="N274" s="19" t="s">
        <v>3412</v>
      </c>
      <c r="O274" s="20">
        <v>17</v>
      </c>
      <c r="P274" s="23" t="s">
        <v>23</v>
      </c>
      <c r="Q274" s="21" t="str">
        <f>VLOOKUP(C274,'2-1. 인사고과표(기능)'!B:AS,44,0)</f>
        <v>S</v>
      </c>
      <c r="R274" s="21" t="str">
        <f>VLOOKUP(C274,'2-2. 인사고과표(안전)'!B:AO,40,0)</f>
        <v>S</v>
      </c>
      <c r="S274" s="18" t="s">
        <v>32</v>
      </c>
      <c r="T274" s="19"/>
      <c r="U274" s="19" t="s">
        <v>2765</v>
      </c>
      <c r="V274" s="19"/>
      <c r="W274" s="19"/>
      <c r="X274" s="22"/>
      <c r="Y274" s="23"/>
      <c r="Z274" s="19"/>
      <c r="AA274" s="19" t="s">
        <v>2970</v>
      </c>
      <c r="AB274" s="22" t="s">
        <v>2971</v>
      </c>
      <c r="AC274" s="19" t="s">
        <v>2972</v>
      </c>
      <c r="AD274" s="23" t="s">
        <v>23</v>
      </c>
      <c r="AE274" s="24"/>
    </row>
    <row r="275" spans="2:31" ht="39.950000000000003" customHeight="1" x14ac:dyDescent="0.3">
      <c r="B275" s="107">
        <v>24016</v>
      </c>
      <c r="C275" s="12">
        <f t="shared" si="12"/>
        <v>270</v>
      </c>
      <c r="D275" s="105" t="str">
        <f>IFERROR(" "&amp;VLOOKUP(B275,현장리스트!$B:$C,2,0),"-")</f>
        <v xml:space="preserve"> [2.한화건설] 고잔연립9구역 재건축 전기,통신,소방공사</v>
      </c>
      <c r="E275" s="13" t="s">
        <v>1964</v>
      </c>
      <c r="F275" s="13" t="str">
        <f t="shared" ca="1" si="13"/>
        <v>54세</v>
      </c>
      <c r="G275" s="14" t="s">
        <v>1965</v>
      </c>
      <c r="H275" s="15" t="str">
        <f t="shared" si="14"/>
        <v>남</v>
      </c>
      <c r="I275" s="16" t="s">
        <v>899</v>
      </c>
      <c r="J275" s="16" t="s">
        <v>903</v>
      </c>
      <c r="K275" s="17">
        <v>5800000</v>
      </c>
      <c r="L275" s="18" t="s">
        <v>1966</v>
      </c>
      <c r="M275" s="19" t="s">
        <v>2692</v>
      </c>
      <c r="N275" s="19" t="s">
        <v>2849</v>
      </c>
      <c r="O275" s="20" t="s">
        <v>2533</v>
      </c>
      <c r="P275" s="23" t="s">
        <v>23</v>
      </c>
      <c r="Q275" s="21" t="str">
        <f>VLOOKUP(C275,'2-1. 인사고과표(기능)'!B:AS,44,0)</f>
        <v>S</v>
      </c>
      <c r="R275" s="21" t="str">
        <f>VLOOKUP(C275,'2-2. 인사고과표(안전)'!B:AO,40,0)</f>
        <v>A</v>
      </c>
      <c r="S275" s="18"/>
      <c r="T275" s="19"/>
      <c r="U275" s="19"/>
      <c r="V275" s="19"/>
      <c r="W275" s="19" t="s">
        <v>513</v>
      </c>
      <c r="X275" s="22" t="s">
        <v>2973</v>
      </c>
      <c r="Y275" s="23" t="s">
        <v>23</v>
      </c>
      <c r="Z275" s="19"/>
      <c r="AA275" s="19"/>
      <c r="AB275" s="22"/>
      <c r="AC275" s="19"/>
      <c r="AD275" s="23"/>
      <c r="AE275" s="24"/>
    </row>
    <row r="276" spans="2:31" ht="39.950000000000003" customHeight="1" x14ac:dyDescent="0.3">
      <c r="B276" s="107">
        <v>24016</v>
      </c>
      <c r="C276" s="12">
        <f t="shared" si="12"/>
        <v>271</v>
      </c>
      <c r="D276" s="105" t="str">
        <f>IFERROR(" "&amp;VLOOKUP(B276,현장리스트!$B:$C,2,0),"-")</f>
        <v xml:space="preserve"> [2.한화건설] 고잔연립9구역 재건축 전기,통신,소방공사</v>
      </c>
      <c r="E276" s="13" t="s">
        <v>2389</v>
      </c>
      <c r="F276" s="13" t="str">
        <f t="shared" ca="1" si="13"/>
        <v>48세</v>
      </c>
      <c r="G276" s="14" t="s">
        <v>2390</v>
      </c>
      <c r="H276" s="15" t="str">
        <f t="shared" si="14"/>
        <v>남</v>
      </c>
      <c r="I276" s="16" t="s">
        <v>899</v>
      </c>
      <c r="J276" s="16" t="s">
        <v>896</v>
      </c>
      <c r="K276" s="17">
        <v>220000</v>
      </c>
      <c r="L276" s="18" t="s">
        <v>2391</v>
      </c>
      <c r="M276" s="19" t="s">
        <v>914</v>
      </c>
      <c r="N276" s="19" t="s">
        <v>3019</v>
      </c>
      <c r="O276" s="20">
        <v>18</v>
      </c>
      <c r="P276" s="23" t="s">
        <v>23</v>
      </c>
      <c r="Q276" s="21" t="str">
        <f>VLOOKUP(C276,'2-1. 인사고과표(기능)'!B:AS,44,0)</f>
        <v>S</v>
      </c>
      <c r="R276" s="21" t="str">
        <f>VLOOKUP(C276,'2-2. 인사고과표(안전)'!B:AO,40,0)</f>
        <v>S</v>
      </c>
      <c r="S276" s="18"/>
      <c r="T276" s="19"/>
      <c r="U276" s="19"/>
      <c r="V276" s="19"/>
      <c r="W276" s="19" t="s">
        <v>513</v>
      </c>
      <c r="X276" s="22" t="s">
        <v>2973</v>
      </c>
      <c r="Y276" s="23" t="s">
        <v>23</v>
      </c>
      <c r="Z276" s="19"/>
      <c r="AA276" s="19"/>
      <c r="AB276" s="22"/>
      <c r="AC276" s="19"/>
      <c r="AD276" s="23"/>
      <c r="AE276" s="24"/>
    </row>
    <row r="277" spans="2:31" ht="39.950000000000003" customHeight="1" x14ac:dyDescent="0.3">
      <c r="B277" s="107">
        <v>24016</v>
      </c>
      <c r="C277" s="12">
        <f t="shared" si="12"/>
        <v>272</v>
      </c>
      <c r="D277" s="105" t="str">
        <f>IFERROR(" "&amp;VLOOKUP(B277,현장리스트!$B:$C,2,0),"-")</f>
        <v xml:space="preserve"> [2.한화건설] 고잔연립9구역 재건축 전기,통신,소방공사</v>
      </c>
      <c r="E277" s="13" t="s">
        <v>2161</v>
      </c>
      <c r="F277" s="13" t="str">
        <f t="shared" ca="1" si="13"/>
        <v>55세</v>
      </c>
      <c r="G277" s="14" t="s">
        <v>2162</v>
      </c>
      <c r="H277" s="15" t="str">
        <f t="shared" si="14"/>
        <v>남</v>
      </c>
      <c r="I277" s="16" t="s">
        <v>901</v>
      </c>
      <c r="J277" s="16" t="s">
        <v>30</v>
      </c>
      <c r="K277" s="17">
        <v>200000</v>
      </c>
      <c r="L277" s="18" t="s">
        <v>2163</v>
      </c>
      <c r="M277" s="19" t="s">
        <v>2692</v>
      </c>
      <c r="N277" s="19" t="s">
        <v>2849</v>
      </c>
      <c r="O277" s="20">
        <v>12</v>
      </c>
      <c r="P277" s="23" t="s">
        <v>23</v>
      </c>
      <c r="Q277" s="21" t="str">
        <f>VLOOKUP(C277,'2-1. 인사고과표(기능)'!B:AS,44,0)</f>
        <v>A</v>
      </c>
      <c r="R277" s="21" t="str">
        <f>VLOOKUP(C277,'2-2. 인사고과표(안전)'!B:AO,40,0)</f>
        <v>S</v>
      </c>
      <c r="S277" s="18"/>
      <c r="T277" s="19"/>
      <c r="U277" s="19"/>
      <c r="V277" s="19"/>
      <c r="W277" s="19"/>
      <c r="X277" s="22"/>
      <c r="Y277" s="23"/>
      <c r="Z277" s="19"/>
      <c r="AA277" s="19"/>
      <c r="AB277" s="22"/>
      <c r="AC277" s="19"/>
      <c r="AD277" s="23"/>
      <c r="AE277" s="24"/>
    </row>
    <row r="278" spans="2:31" ht="39.950000000000003" customHeight="1" x14ac:dyDescent="0.3">
      <c r="B278" s="107">
        <v>24016</v>
      </c>
      <c r="C278" s="12">
        <f t="shared" si="12"/>
        <v>273</v>
      </c>
      <c r="D278" s="105" t="str">
        <f>IFERROR(" "&amp;VLOOKUP(B278,현장리스트!$B:$C,2,0),"-")</f>
        <v xml:space="preserve"> [2.한화건설] 고잔연립9구역 재건축 전기,통신,소방공사</v>
      </c>
      <c r="E278" s="13" t="s">
        <v>2466</v>
      </c>
      <c r="F278" s="13" t="str">
        <f t="shared" ca="1" si="13"/>
        <v>46세</v>
      </c>
      <c r="G278" s="14" t="s">
        <v>2467</v>
      </c>
      <c r="H278" s="15" t="str">
        <f t="shared" si="14"/>
        <v>남</v>
      </c>
      <c r="I278" s="16" t="s">
        <v>901</v>
      </c>
      <c r="J278" s="16" t="s">
        <v>30</v>
      </c>
      <c r="K278" s="17">
        <v>200000</v>
      </c>
      <c r="L278" s="18" t="s">
        <v>2468</v>
      </c>
      <c r="M278" s="19" t="s">
        <v>910</v>
      </c>
      <c r="N278" s="19" t="s">
        <v>1007</v>
      </c>
      <c r="O278" s="20">
        <v>12</v>
      </c>
      <c r="P278" s="23" t="s">
        <v>23</v>
      </c>
      <c r="Q278" s="21" t="str">
        <f>VLOOKUP(C278,'2-1. 인사고과표(기능)'!B:AS,44,0)</f>
        <v>A</v>
      </c>
      <c r="R278" s="21" t="str">
        <f>VLOOKUP(C278,'2-2. 인사고과표(안전)'!B:AO,40,0)</f>
        <v>S</v>
      </c>
      <c r="S278" s="18"/>
      <c r="T278" s="19"/>
      <c r="U278" s="19"/>
      <c r="V278" s="19"/>
      <c r="W278" s="19"/>
      <c r="X278" s="22"/>
      <c r="Y278" s="23"/>
      <c r="Z278" s="19"/>
      <c r="AA278" s="19"/>
      <c r="AB278" s="22"/>
      <c r="AC278" s="19"/>
      <c r="AD278" s="23"/>
      <c r="AE278" s="24"/>
    </row>
    <row r="279" spans="2:31" ht="39.950000000000003" customHeight="1" x14ac:dyDescent="0.3">
      <c r="B279" s="107">
        <v>24016</v>
      </c>
      <c r="C279" s="12">
        <f t="shared" si="12"/>
        <v>274</v>
      </c>
      <c r="D279" s="105" t="str">
        <f>IFERROR(" "&amp;VLOOKUP(B279,현장리스트!$B:$C,2,0),"-")</f>
        <v xml:space="preserve"> [2.한화건설] 고잔연립9구역 재건축 전기,통신,소방공사</v>
      </c>
      <c r="E279" s="13" t="s">
        <v>2415</v>
      </c>
      <c r="F279" s="13" t="str">
        <f t="shared" ca="1" si="13"/>
        <v>69세</v>
      </c>
      <c r="G279" s="14" t="s">
        <v>2416</v>
      </c>
      <c r="H279" s="15" t="str">
        <f t="shared" si="14"/>
        <v>남</v>
      </c>
      <c r="I279" s="16" t="s">
        <v>901</v>
      </c>
      <c r="J279" s="16" t="s">
        <v>30</v>
      </c>
      <c r="K279" s="17">
        <v>200000</v>
      </c>
      <c r="L279" s="18" t="s">
        <v>2417</v>
      </c>
      <c r="M279" s="19" t="s">
        <v>987</v>
      </c>
      <c r="N279" s="19" t="s">
        <v>2650</v>
      </c>
      <c r="O279" s="20">
        <v>45</v>
      </c>
      <c r="P279" s="23" t="s">
        <v>23</v>
      </c>
      <c r="Q279" s="21" t="str">
        <f>VLOOKUP(C279,'2-1. 인사고과표(기능)'!B:AS,44,0)</f>
        <v>S</v>
      </c>
      <c r="R279" s="21" t="str">
        <f>VLOOKUP(C279,'2-2. 인사고과표(안전)'!B:AO,40,0)</f>
        <v>S</v>
      </c>
      <c r="S279" s="18"/>
      <c r="T279" s="19"/>
      <c r="U279" s="19"/>
      <c r="V279" s="19"/>
      <c r="W279" s="19"/>
      <c r="X279" s="22"/>
      <c r="Y279" s="23"/>
      <c r="Z279" s="19"/>
      <c r="AA279" s="19"/>
      <c r="AB279" s="22"/>
      <c r="AC279" s="19"/>
      <c r="AD279" s="23"/>
      <c r="AE279" s="24"/>
    </row>
    <row r="280" spans="2:31" ht="39.950000000000003" customHeight="1" x14ac:dyDescent="0.3">
      <c r="B280" s="107">
        <v>24016</v>
      </c>
      <c r="C280" s="12">
        <f t="shared" si="12"/>
        <v>275</v>
      </c>
      <c r="D280" s="105" t="str">
        <f>IFERROR(" "&amp;VLOOKUP(B280,현장리스트!$B:$C,2,0),"-")</f>
        <v xml:space="preserve"> [2.한화건설] 고잔연립9구역 재건축 전기,통신,소방공사</v>
      </c>
      <c r="E280" s="13" t="s">
        <v>1986</v>
      </c>
      <c r="F280" s="13" t="str">
        <f t="shared" ca="1" si="13"/>
        <v>39세</v>
      </c>
      <c r="G280" s="14" t="s">
        <v>1987</v>
      </c>
      <c r="H280" s="15" t="str">
        <f t="shared" si="14"/>
        <v>남</v>
      </c>
      <c r="I280" s="16" t="s">
        <v>901</v>
      </c>
      <c r="J280" s="16" t="s">
        <v>30</v>
      </c>
      <c r="K280" s="17">
        <v>185000</v>
      </c>
      <c r="L280" s="18" t="s">
        <v>1988</v>
      </c>
      <c r="M280" s="19" t="s">
        <v>910</v>
      </c>
      <c r="N280" s="19" t="s">
        <v>1004</v>
      </c>
      <c r="O280" s="20">
        <v>10</v>
      </c>
      <c r="P280" s="23" t="s">
        <v>23</v>
      </c>
      <c r="Q280" s="21" t="str">
        <f>VLOOKUP(C280,'2-1. 인사고과표(기능)'!B:AS,44,0)</f>
        <v>A</v>
      </c>
      <c r="R280" s="21" t="str">
        <f>VLOOKUP(C280,'2-2. 인사고과표(안전)'!B:AO,40,0)</f>
        <v>A</v>
      </c>
      <c r="S280" s="18"/>
      <c r="T280" s="19"/>
      <c r="U280" s="19"/>
      <c r="V280" s="19"/>
      <c r="W280" s="19"/>
      <c r="X280" s="22"/>
      <c r="Y280" s="23"/>
      <c r="Z280" s="19"/>
      <c r="AA280" s="19"/>
      <c r="AB280" s="22"/>
      <c r="AC280" s="19"/>
      <c r="AD280" s="23"/>
      <c r="AE280" s="24"/>
    </row>
    <row r="281" spans="2:31" ht="39.950000000000003" customHeight="1" x14ac:dyDescent="0.3">
      <c r="B281" s="107">
        <v>24016</v>
      </c>
      <c r="C281" s="12">
        <f t="shared" si="12"/>
        <v>276</v>
      </c>
      <c r="D281" s="105" t="str">
        <f>IFERROR(" "&amp;VLOOKUP(B281,현장리스트!$B:$C,2,0),"-")</f>
        <v xml:space="preserve"> [2.한화건설] 고잔연립9구역 재건축 전기,통신,소방공사</v>
      </c>
      <c r="E281" s="13" t="s">
        <v>1704</v>
      </c>
      <c r="F281" s="13" t="str">
        <f t="shared" ca="1" si="13"/>
        <v>30세</v>
      </c>
      <c r="G281" s="14" t="s">
        <v>1705</v>
      </c>
      <c r="H281" s="15" t="str">
        <f t="shared" si="14"/>
        <v>남</v>
      </c>
      <c r="I281" s="16" t="s">
        <v>901</v>
      </c>
      <c r="J281" s="16" t="s">
        <v>30</v>
      </c>
      <c r="K281" s="17">
        <v>180000</v>
      </c>
      <c r="L281" s="18" t="s">
        <v>1706</v>
      </c>
      <c r="M281" s="19" t="s">
        <v>987</v>
      </c>
      <c r="N281" s="19" t="s">
        <v>2553</v>
      </c>
      <c r="O281" s="20">
        <v>4</v>
      </c>
      <c r="P281" s="23" t="s">
        <v>24</v>
      </c>
      <c r="Q281" s="21" t="str">
        <f>VLOOKUP(C281,'2-1. 인사고과표(기능)'!B:AS,44,0)</f>
        <v>A</v>
      </c>
      <c r="R281" s="21" t="str">
        <f>VLOOKUP(C281,'2-2. 인사고과표(안전)'!B:AO,40,0)</f>
        <v>S</v>
      </c>
      <c r="S281" s="18"/>
      <c r="T281" s="19"/>
      <c r="U281" s="19"/>
      <c r="V281" s="19"/>
      <c r="W281" s="19"/>
      <c r="X281" s="22"/>
      <c r="Y281" s="23"/>
      <c r="Z281" s="19"/>
      <c r="AA281" s="19"/>
      <c r="AB281" s="22"/>
      <c r="AC281" s="19"/>
      <c r="AD281" s="23"/>
      <c r="AE281" s="24"/>
    </row>
    <row r="282" spans="2:31" ht="39.950000000000003" customHeight="1" x14ac:dyDescent="0.3">
      <c r="B282" s="107">
        <v>25021</v>
      </c>
      <c r="C282" s="12">
        <f t="shared" si="12"/>
        <v>277</v>
      </c>
      <c r="D282" s="105" t="str">
        <f>IFERROR(" "&amp;VLOOKUP(B282,현장리스트!$B:$C,2,0),"-")</f>
        <v xml:space="preserve"> [2.한화건설] 원당1구역 재개발정비사업</v>
      </c>
      <c r="E282" s="13" t="s">
        <v>1454</v>
      </c>
      <c r="F282" s="13" t="str">
        <f t="shared" ca="1" si="13"/>
        <v>42세</v>
      </c>
      <c r="G282" s="14" t="s">
        <v>1455</v>
      </c>
      <c r="H282" s="15" t="str">
        <f t="shared" si="14"/>
        <v>남</v>
      </c>
      <c r="I282" s="16" t="s">
        <v>895</v>
      </c>
      <c r="J282" s="16" t="s">
        <v>903</v>
      </c>
      <c r="K282" s="17">
        <v>5200000</v>
      </c>
      <c r="L282" s="18" t="s">
        <v>1456</v>
      </c>
      <c r="M282" s="19" t="s">
        <v>914</v>
      </c>
      <c r="N282" s="19" t="s">
        <v>2626</v>
      </c>
      <c r="O282" s="20">
        <v>10</v>
      </c>
      <c r="P282" s="23" t="s">
        <v>23</v>
      </c>
      <c r="Q282" s="21" t="str">
        <f>VLOOKUP(C282,'2-1. 인사고과표(기능)'!B:AS,44,0)</f>
        <v>A</v>
      </c>
      <c r="R282" s="21" t="str">
        <f>VLOOKUP(C282,'2-2. 인사고과표(안전)'!B:AO,40,0)</f>
        <v>A</v>
      </c>
      <c r="S282" s="18" t="s">
        <v>2788</v>
      </c>
      <c r="T282" s="19"/>
      <c r="U282" s="19"/>
      <c r="V282" s="19"/>
      <c r="W282" s="19"/>
      <c r="X282" s="22"/>
      <c r="Y282" s="23"/>
      <c r="Z282" s="19"/>
      <c r="AA282" s="19" t="s">
        <v>2563</v>
      </c>
      <c r="AB282" s="22" t="s">
        <v>3024</v>
      </c>
      <c r="AC282" s="19" t="s">
        <v>2744</v>
      </c>
      <c r="AD282" s="23" t="s">
        <v>23</v>
      </c>
      <c r="AE282" s="24"/>
    </row>
    <row r="283" spans="2:31" ht="39.950000000000003" customHeight="1" x14ac:dyDescent="0.3">
      <c r="B283" s="107">
        <v>25021</v>
      </c>
      <c r="C283" s="12">
        <f t="shared" si="12"/>
        <v>278</v>
      </c>
      <c r="D283" s="105" t="str">
        <f>IFERROR(" "&amp;VLOOKUP(B283,현장리스트!$B:$C,2,0),"-")</f>
        <v xml:space="preserve"> [2.한화건설] 원당1구역 재개발정비사업</v>
      </c>
      <c r="E283" s="13" t="s">
        <v>1243</v>
      </c>
      <c r="F283" s="13" t="str">
        <f t="shared" ca="1" si="13"/>
        <v>50세</v>
      </c>
      <c r="G283" s="14" t="s">
        <v>1244</v>
      </c>
      <c r="H283" s="15" t="str">
        <f t="shared" si="14"/>
        <v>남</v>
      </c>
      <c r="I283" s="16" t="s">
        <v>899</v>
      </c>
      <c r="J283" s="16" t="s">
        <v>903</v>
      </c>
      <c r="K283" s="17">
        <v>5500000</v>
      </c>
      <c r="L283" s="18" t="s">
        <v>1245</v>
      </c>
      <c r="M283" s="19" t="s">
        <v>914</v>
      </c>
      <c r="N283" s="19" t="s">
        <v>2979</v>
      </c>
      <c r="O283" s="20">
        <v>20</v>
      </c>
      <c r="P283" s="23" t="s">
        <v>23</v>
      </c>
      <c r="Q283" s="21" t="str">
        <f>VLOOKUP(C283,'2-1. 인사고과표(기능)'!B:AS,44,0)</f>
        <v>A</v>
      </c>
      <c r="R283" s="21" t="str">
        <f>VLOOKUP(C283,'2-2. 인사고과표(안전)'!B:AO,40,0)</f>
        <v>A</v>
      </c>
      <c r="S283" s="18" t="s">
        <v>2675</v>
      </c>
      <c r="T283" s="19"/>
      <c r="U283" s="19"/>
      <c r="V283" s="19"/>
      <c r="W283" s="19"/>
      <c r="X283" s="22"/>
      <c r="Y283" s="23"/>
      <c r="Z283" s="19"/>
      <c r="AA283" s="19" t="s">
        <v>2695</v>
      </c>
      <c r="AB283" s="22" t="s">
        <v>3025</v>
      </c>
      <c r="AC283" s="19" t="s">
        <v>3026</v>
      </c>
      <c r="AD283" s="23" t="s">
        <v>23</v>
      </c>
      <c r="AE283" s="24"/>
    </row>
    <row r="284" spans="2:31" ht="39.950000000000003" customHeight="1" x14ac:dyDescent="0.3">
      <c r="B284" s="107">
        <v>25021</v>
      </c>
      <c r="C284" s="12">
        <f t="shared" si="12"/>
        <v>279</v>
      </c>
      <c r="D284" s="105" t="str">
        <f>IFERROR(" "&amp;VLOOKUP(B284,현장리스트!$B:$C,2,0),"-")</f>
        <v xml:space="preserve"> [2.한화건설] 원당1구역 재개발정비사업</v>
      </c>
      <c r="E284" s="13" t="s">
        <v>2155</v>
      </c>
      <c r="F284" s="13" t="str">
        <f t="shared" ca="1" si="13"/>
        <v>52세</v>
      </c>
      <c r="G284" s="14" t="s">
        <v>2156</v>
      </c>
      <c r="H284" s="15" t="str">
        <f t="shared" si="14"/>
        <v>남</v>
      </c>
      <c r="I284" s="16" t="s">
        <v>901</v>
      </c>
      <c r="J284" s="16" t="s">
        <v>30</v>
      </c>
      <c r="K284" s="17">
        <v>5500000</v>
      </c>
      <c r="L284" s="18" t="s">
        <v>2157</v>
      </c>
      <c r="M284" s="19" t="s">
        <v>2528</v>
      </c>
      <c r="N284" s="19" t="s">
        <v>995</v>
      </c>
      <c r="O284" s="20">
        <v>10</v>
      </c>
      <c r="P284" s="23" t="s">
        <v>28</v>
      </c>
      <c r="Q284" s="21" t="str">
        <f>VLOOKUP(C284,'2-1. 인사고과표(기능)'!B:AS,44,0)</f>
        <v>A</v>
      </c>
      <c r="R284" s="21" t="str">
        <f>VLOOKUP(C284,'2-2. 인사고과표(안전)'!B:AO,40,0)</f>
        <v>A</v>
      </c>
      <c r="S284" s="18"/>
      <c r="T284" s="19" t="s">
        <v>2788</v>
      </c>
      <c r="U284" s="19"/>
      <c r="V284" s="19"/>
      <c r="W284" s="19"/>
      <c r="X284" s="22"/>
      <c r="Y284" s="23"/>
      <c r="Z284" s="19"/>
      <c r="AA284" s="19"/>
      <c r="AB284" s="22" t="s">
        <v>3027</v>
      </c>
      <c r="AC284" s="19"/>
      <c r="AD284" s="23" t="s">
        <v>28</v>
      </c>
      <c r="AE284" s="24"/>
    </row>
    <row r="285" spans="2:31" ht="39.950000000000003" customHeight="1" x14ac:dyDescent="0.3">
      <c r="B285" s="107">
        <v>25021</v>
      </c>
      <c r="C285" s="12">
        <f t="shared" si="12"/>
        <v>280</v>
      </c>
      <c r="D285" s="105" t="str">
        <f>IFERROR(" "&amp;VLOOKUP(B285,현장리스트!$B:$C,2,0),"-")</f>
        <v xml:space="preserve"> [2.한화건설] 원당1구역 재개발정비사업</v>
      </c>
      <c r="E285" s="13" t="s">
        <v>1334</v>
      </c>
      <c r="F285" s="13" t="str">
        <f t="shared" ca="1" si="13"/>
        <v>35세</v>
      </c>
      <c r="G285" s="14" t="s">
        <v>1335</v>
      </c>
      <c r="H285" s="15" t="str">
        <f t="shared" si="14"/>
        <v>남</v>
      </c>
      <c r="I285" s="16" t="s">
        <v>901</v>
      </c>
      <c r="J285" s="16" t="s">
        <v>30</v>
      </c>
      <c r="K285" s="17">
        <v>200000</v>
      </c>
      <c r="L285" s="18" t="s">
        <v>1336</v>
      </c>
      <c r="M285" s="19" t="s">
        <v>910</v>
      </c>
      <c r="N285" s="19" t="s">
        <v>1001</v>
      </c>
      <c r="O285" s="20" t="s">
        <v>926</v>
      </c>
      <c r="P285" s="23" t="s">
        <v>23</v>
      </c>
      <c r="Q285" s="21" t="str">
        <f>VLOOKUP(C285,'2-1. 인사고과표(기능)'!B:AS,44,0)</f>
        <v>A</v>
      </c>
      <c r="R285" s="21" t="str">
        <f>VLOOKUP(C285,'2-2. 인사고과표(안전)'!B:AO,40,0)</f>
        <v>A</v>
      </c>
      <c r="S285" s="18"/>
      <c r="T285" s="19"/>
      <c r="U285" s="19"/>
      <c r="V285" s="19"/>
      <c r="W285" s="19"/>
      <c r="X285" s="22"/>
      <c r="Y285" s="23"/>
      <c r="Z285" s="19"/>
      <c r="AA285" s="19" t="s">
        <v>2695</v>
      </c>
      <c r="AB285" s="22" t="s">
        <v>3025</v>
      </c>
      <c r="AC285" s="19" t="s">
        <v>3026</v>
      </c>
      <c r="AD285" s="23" t="s">
        <v>23</v>
      </c>
      <c r="AE285" s="24"/>
    </row>
    <row r="286" spans="2:31" ht="39.950000000000003" customHeight="1" x14ac:dyDescent="0.3">
      <c r="B286" s="107">
        <v>25021</v>
      </c>
      <c r="C286" s="12">
        <f t="shared" si="12"/>
        <v>281</v>
      </c>
      <c r="D286" s="105" t="str">
        <f>IFERROR(" "&amp;VLOOKUP(B286,현장리스트!$B:$C,2,0),"-")</f>
        <v xml:space="preserve"> [2.한화건설] 원당1구역 재개발정비사업</v>
      </c>
      <c r="E286" s="13" t="s">
        <v>1478</v>
      </c>
      <c r="F286" s="13" t="str">
        <f t="shared" ca="1" si="13"/>
        <v>55세</v>
      </c>
      <c r="G286" s="14" t="s">
        <v>1479</v>
      </c>
      <c r="H286" s="15" t="str">
        <f t="shared" si="14"/>
        <v>남</v>
      </c>
      <c r="I286" s="16" t="s">
        <v>901</v>
      </c>
      <c r="J286" s="16" t="s">
        <v>30</v>
      </c>
      <c r="K286" s="17">
        <v>220000</v>
      </c>
      <c r="L286" s="18" t="s">
        <v>1480</v>
      </c>
      <c r="M286" s="19" t="s">
        <v>910</v>
      </c>
      <c r="N286" s="19" t="s">
        <v>911</v>
      </c>
      <c r="O286" s="20">
        <v>20</v>
      </c>
      <c r="P286" s="23" t="s">
        <v>23</v>
      </c>
      <c r="Q286" s="21" t="str">
        <f>VLOOKUP(C286,'2-1. 인사고과표(기능)'!B:AS,44,0)</f>
        <v>A</v>
      </c>
      <c r="R286" s="21" t="str">
        <f>VLOOKUP(C286,'2-2. 인사고과표(안전)'!B:AO,40,0)</f>
        <v>A</v>
      </c>
      <c r="S286" s="18"/>
      <c r="T286" s="19"/>
      <c r="U286" s="19"/>
      <c r="V286" s="19"/>
      <c r="W286" s="19"/>
      <c r="X286" s="22"/>
      <c r="Y286" s="23"/>
      <c r="Z286" s="19"/>
      <c r="AA286" s="19" t="s">
        <v>2695</v>
      </c>
      <c r="AB286" s="22" t="s">
        <v>3025</v>
      </c>
      <c r="AC286" s="19" t="s">
        <v>3026</v>
      </c>
      <c r="AD286" s="23" t="s">
        <v>23</v>
      </c>
      <c r="AE286" s="24"/>
    </row>
    <row r="287" spans="2:31" ht="39.950000000000003" customHeight="1" x14ac:dyDescent="0.3">
      <c r="B287" s="107">
        <v>25021</v>
      </c>
      <c r="C287" s="12">
        <f t="shared" si="12"/>
        <v>282</v>
      </c>
      <c r="D287" s="105" t="str">
        <f>IFERROR(" "&amp;VLOOKUP(B287,현장리스트!$B:$C,2,0),"-")</f>
        <v xml:space="preserve"> [2.한화건설] 원당1구역 재개발정비사업</v>
      </c>
      <c r="E287" s="13" t="s">
        <v>1967</v>
      </c>
      <c r="F287" s="13" t="str">
        <f t="shared" ca="1" si="13"/>
        <v>60세</v>
      </c>
      <c r="G287" s="14" t="s">
        <v>1968</v>
      </c>
      <c r="H287" s="15" t="str">
        <f t="shared" si="14"/>
        <v>남</v>
      </c>
      <c r="I287" s="16" t="s">
        <v>901</v>
      </c>
      <c r="J287" s="16" t="s">
        <v>30</v>
      </c>
      <c r="K287" s="17">
        <v>5200000</v>
      </c>
      <c r="L287" s="18" t="s">
        <v>3023</v>
      </c>
      <c r="M287" s="19" t="s">
        <v>987</v>
      </c>
      <c r="N287" s="19" t="s">
        <v>988</v>
      </c>
      <c r="O287" s="20" t="s">
        <v>912</v>
      </c>
      <c r="P287" s="23" t="s">
        <v>23</v>
      </c>
      <c r="Q287" s="21" t="str">
        <f>VLOOKUP(C287,'2-1. 인사고과표(기능)'!B:AS,44,0)</f>
        <v>A</v>
      </c>
      <c r="R287" s="21" t="str">
        <f>VLOOKUP(C287,'2-2. 인사고과표(안전)'!B:AO,40,0)</f>
        <v>A</v>
      </c>
      <c r="S287" s="18"/>
      <c r="T287" s="19"/>
      <c r="U287" s="19"/>
      <c r="V287" s="19"/>
      <c r="W287" s="19"/>
      <c r="X287" s="22"/>
      <c r="Y287" s="23"/>
      <c r="Z287" s="19"/>
      <c r="AA287" s="19" t="s">
        <v>2695</v>
      </c>
      <c r="AB287" s="22" t="s">
        <v>3028</v>
      </c>
      <c r="AC287" s="19" t="s">
        <v>3026</v>
      </c>
      <c r="AD287" s="23" t="s">
        <v>23</v>
      </c>
      <c r="AE287" s="24"/>
    </row>
    <row r="288" spans="2:31" ht="39.950000000000003" customHeight="1" x14ac:dyDescent="0.3">
      <c r="B288" s="107">
        <v>23005</v>
      </c>
      <c r="C288" s="12">
        <f t="shared" si="12"/>
        <v>283</v>
      </c>
      <c r="D288" s="105" t="str">
        <f>IFERROR(" "&amp;VLOOKUP(B288,현장리스트!$B:$C,2,0),"-")</f>
        <v xml:space="preserve"> [2.현대산업개발] 광명제4R구역 주택재개발정비사업 일반전기공사-1공구</v>
      </c>
      <c r="E288" s="13" t="s">
        <v>354</v>
      </c>
      <c r="F288" s="13" t="str">
        <f t="shared" ca="1" si="13"/>
        <v>38세</v>
      </c>
      <c r="G288" s="14" t="s">
        <v>1315</v>
      </c>
      <c r="H288" s="15" t="str">
        <f t="shared" si="14"/>
        <v>남</v>
      </c>
      <c r="I288" s="16" t="s">
        <v>895</v>
      </c>
      <c r="J288" s="16" t="s">
        <v>896</v>
      </c>
      <c r="K288" s="17">
        <v>5000000</v>
      </c>
      <c r="L288" s="18" t="s">
        <v>1316</v>
      </c>
      <c r="M288" s="19" t="s">
        <v>3073</v>
      </c>
      <c r="N288" s="19" t="s">
        <v>3019</v>
      </c>
      <c r="O288" s="20" t="s">
        <v>921</v>
      </c>
      <c r="P288" s="23" t="s">
        <v>23</v>
      </c>
      <c r="Q288" s="21" t="str">
        <f>VLOOKUP(C288,'2-1. 인사고과표(기능)'!B:AS,44,0)</f>
        <v>S</v>
      </c>
      <c r="R288" s="21" t="str">
        <f>VLOOKUP(C288,'2-2. 인사고과표(안전)'!B:AO,40,0)</f>
        <v>S</v>
      </c>
      <c r="S288" s="18"/>
      <c r="T288" s="19"/>
      <c r="U288" s="19"/>
      <c r="V288" s="19"/>
      <c r="W288" s="19"/>
      <c r="X288" s="22"/>
      <c r="Y288" s="23"/>
      <c r="Z288" s="19"/>
      <c r="AA288" s="19" t="s">
        <v>2705</v>
      </c>
      <c r="AB288" s="22" t="s">
        <v>3076</v>
      </c>
      <c r="AC288" s="19" t="s">
        <v>3077</v>
      </c>
      <c r="AD288" s="23" t="s">
        <v>23</v>
      </c>
      <c r="AE288" s="24"/>
    </row>
    <row r="289" spans="2:31" ht="39.950000000000003" customHeight="1" x14ac:dyDescent="0.3">
      <c r="B289" s="107">
        <v>23005</v>
      </c>
      <c r="C289" s="12">
        <f t="shared" si="12"/>
        <v>284</v>
      </c>
      <c r="D289" s="105" t="str">
        <f>IFERROR(" "&amp;VLOOKUP(B289,현장리스트!$B:$C,2,0),"-")</f>
        <v xml:space="preserve"> [2.현대산업개발] 광명제4R구역 주택재개발정비사업 일반전기공사-1공구</v>
      </c>
      <c r="E289" s="13" t="s">
        <v>2191</v>
      </c>
      <c r="F289" s="13" t="str">
        <f t="shared" ca="1" si="13"/>
        <v>53세</v>
      </c>
      <c r="G289" s="14" t="s">
        <v>2192</v>
      </c>
      <c r="H289" s="15" t="str">
        <f t="shared" si="14"/>
        <v>남</v>
      </c>
      <c r="I289" s="16" t="s">
        <v>899</v>
      </c>
      <c r="J289" s="16" t="s">
        <v>903</v>
      </c>
      <c r="K289" s="17">
        <v>220000</v>
      </c>
      <c r="L289" s="18" t="s">
        <v>2193</v>
      </c>
      <c r="M289" s="19" t="s">
        <v>914</v>
      </c>
      <c r="N289" s="19" t="s">
        <v>2979</v>
      </c>
      <c r="O289" s="20">
        <v>20</v>
      </c>
      <c r="P289" s="23" t="s">
        <v>23</v>
      </c>
      <c r="Q289" s="21" t="str">
        <f>VLOOKUP(C289,'2-1. 인사고과표(기능)'!B:AS,44,0)</f>
        <v>S</v>
      </c>
      <c r="R289" s="21" t="str">
        <f>VLOOKUP(C289,'2-2. 인사고과표(안전)'!B:AO,40,0)</f>
        <v>S</v>
      </c>
      <c r="S289" s="18" t="s">
        <v>2675</v>
      </c>
      <c r="T289" s="19"/>
      <c r="U289" s="19"/>
      <c r="V289" s="19"/>
      <c r="W289" s="19" t="s">
        <v>3078</v>
      </c>
      <c r="X289" s="22" t="s">
        <v>3079</v>
      </c>
      <c r="Y289" s="23" t="s">
        <v>23</v>
      </c>
      <c r="Z289" s="19"/>
      <c r="AA289" s="19"/>
      <c r="AB289" s="22"/>
      <c r="AC289" s="19"/>
      <c r="AD289" s="23"/>
      <c r="AE289" s="24"/>
    </row>
    <row r="290" spans="2:31" ht="39.950000000000003" customHeight="1" x14ac:dyDescent="0.3">
      <c r="B290" s="107">
        <v>23005</v>
      </c>
      <c r="C290" s="12">
        <f t="shared" si="12"/>
        <v>285</v>
      </c>
      <c r="D290" s="105" t="str">
        <f>IFERROR(" "&amp;VLOOKUP(B290,현장리스트!$B:$C,2,0),"-")</f>
        <v xml:space="preserve"> [2.현대산업개발] 광명제4R구역 주택재개발정비사업 일반전기공사-1공구</v>
      </c>
      <c r="E290" s="13" t="s">
        <v>1134</v>
      </c>
      <c r="F290" s="13" t="str">
        <f t="shared" ca="1" si="13"/>
        <v>48세</v>
      </c>
      <c r="G290" s="14" t="s">
        <v>1135</v>
      </c>
      <c r="H290" s="15" t="str">
        <f t="shared" si="14"/>
        <v>남</v>
      </c>
      <c r="I290" s="16" t="s">
        <v>901</v>
      </c>
      <c r="J290" s="16" t="s">
        <v>30</v>
      </c>
      <c r="K290" s="17">
        <v>5000000</v>
      </c>
      <c r="L290" s="18" t="s">
        <v>1136</v>
      </c>
      <c r="M290" s="19" t="s">
        <v>910</v>
      </c>
      <c r="N290" s="19" t="s">
        <v>911</v>
      </c>
      <c r="O290" s="20">
        <v>20</v>
      </c>
      <c r="P290" s="23" t="s">
        <v>23</v>
      </c>
      <c r="Q290" s="21" t="str">
        <f>VLOOKUP(C290,'2-1. 인사고과표(기능)'!B:AS,44,0)</f>
        <v>S</v>
      </c>
      <c r="R290" s="21" t="str">
        <f>VLOOKUP(C290,'2-2. 인사고과표(안전)'!B:AO,40,0)</f>
        <v>S</v>
      </c>
      <c r="S290" s="18"/>
      <c r="T290" s="19"/>
      <c r="U290" s="19"/>
      <c r="V290" s="19"/>
      <c r="W290" s="19"/>
      <c r="X290" s="22"/>
      <c r="Y290" s="23"/>
      <c r="Z290" s="19"/>
      <c r="AA290" s="19" t="s">
        <v>2705</v>
      </c>
      <c r="AB290" s="22" t="s">
        <v>3076</v>
      </c>
      <c r="AC290" s="19" t="s">
        <v>3077</v>
      </c>
      <c r="AD290" s="23" t="s">
        <v>23</v>
      </c>
      <c r="AE290" s="24"/>
    </row>
    <row r="291" spans="2:31" ht="39.950000000000003" customHeight="1" x14ac:dyDescent="0.3">
      <c r="B291" s="107">
        <v>23005</v>
      </c>
      <c r="C291" s="12">
        <f t="shared" si="12"/>
        <v>286</v>
      </c>
      <c r="D291" s="105" t="str">
        <f>IFERROR(" "&amp;VLOOKUP(B291,현장리스트!$B:$C,2,0),"-")</f>
        <v xml:space="preserve"> [2.현대산업개발] 광명제4R구역 주택재개발정비사업 일반전기공사-1공구</v>
      </c>
      <c r="E291" s="13" t="s">
        <v>2182</v>
      </c>
      <c r="F291" s="13" t="str">
        <f t="shared" ca="1" si="13"/>
        <v>44세</v>
      </c>
      <c r="G291" s="14" t="s">
        <v>2183</v>
      </c>
      <c r="H291" s="15" t="str">
        <f t="shared" si="14"/>
        <v>남</v>
      </c>
      <c r="I291" s="16" t="s">
        <v>901</v>
      </c>
      <c r="J291" s="16" t="s">
        <v>30</v>
      </c>
      <c r="K291" s="17">
        <v>210000</v>
      </c>
      <c r="L291" s="18" t="s">
        <v>2184</v>
      </c>
      <c r="M291" s="19" t="s">
        <v>987</v>
      </c>
      <c r="N291" s="19" t="s">
        <v>2553</v>
      </c>
      <c r="O291" s="20">
        <v>15</v>
      </c>
      <c r="P291" s="23" t="s">
        <v>23</v>
      </c>
      <c r="Q291" s="21" t="str">
        <f>VLOOKUP(C291,'2-1. 인사고과표(기능)'!B:AS,44,0)</f>
        <v>S</v>
      </c>
      <c r="R291" s="21" t="str">
        <f>VLOOKUP(C291,'2-2. 인사고과표(안전)'!B:AO,40,0)</f>
        <v>S</v>
      </c>
      <c r="S291" s="18"/>
      <c r="T291" s="19"/>
      <c r="U291" s="19"/>
      <c r="V291" s="19"/>
      <c r="W291" s="19" t="s">
        <v>3078</v>
      </c>
      <c r="X291" s="22" t="s">
        <v>3079</v>
      </c>
      <c r="Y291" s="23" t="s">
        <v>23</v>
      </c>
      <c r="Z291" s="19"/>
      <c r="AA291" s="19"/>
      <c r="AB291" s="22"/>
      <c r="AC291" s="19"/>
      <c r="AD291" s="23"/>
      <c r="AE291" s="24"/>
    </row>
    <row r="292" spans="2:31" ht="39.950000000000003" customHeight="1" x14ac:dyDescent="0.3">
      <c r="B292" s="107">
        <v>23014</v>
      </c>
      <c r="C292" s="12">
        <f t="shared" si="12"/>
        <v>287</v>
      </c>
      <c r="D292" s="105" t="str">
        <f>IFERROR(" "&amp;VLOOKUP(B292,현장리스트!$B:$C,2,0),"-")</f>
        <v xml:space="preserve"> [2.현대엔지니어링] 상도동 지역주택조합 주상복합 신축사업</v>
      </c>
      <c r="E292" s="13" t="s">
        <v>381</v>
      </c>
      <c r="F292" s="13" t="str">
        <f t="shared" ca="1" si="13"/>
        <v>68세</v>
      </c>
      <c r="G292" s="14" t="s">
        <v>3084</v>
      </c>
      <c r="H292" s="15" t="str">
        <f t="shared" si="14"/>
        <v>남</v>
      </c>
      <c r="I292" s="16" t="s">
        <v>895</v>
      </c>
      <c r="J292" s="16" t="s">
        <v>3092</v>
      </c>
      <c r="K292" s="17">
        <v>5500000</v>
      </c>
      <c r="L292" s="18" t="s">
        <v>1529</v>
      </c>
      <c r="M292" s="19" t="s">
        <v>914</v>
      </c>
      <c r="N292" s="19" t="s">
        <v>3093</v>
      </c>
      <c r="O292" s="20">
        <v>42</v>
      </c>
      <c r="P292" s="23" t="s">
        <v>23</v>
      </c>
      <c r="Q292" s="21" t="str">
        <f>VLOOKUP(C292,'2-1. 인사고과표(기능)'!B:AS,44,0)</f>
        <v>S</v>
      </c>
      <c r="R292" s="21" t="str">
        <f>VLOOKUP(C292,'2-2. 인사고과표(안전)'!B:AO,40,0)</f>
        <v>S</v>
      </c>
      <c r="S292" s="18" t="s">
        <v>2765</v>
      </c>
      <c r="T292" s="19"/>
      <c r="U292" s="19" t="s">
        <v>2765</v>
      </c>
      <c r="V292" s="19" t="s">
        <v>2567</v>
      </c>
      <c r="W292" s="19" t="s">
        <v>813</v>
      </c>
      <c r="X292" s="22" t="s">
        <v>3095</v>
      </c>
      <c r="Y292" s="23" t="s">
        <v>23</v>
      </c>
      <c r="Z292" s="19"/>
      <c r="AA292" s="19" t="s">
        <v>2635</v>
      </c>
      <c r="AB292" s="22" t="s">
        <v>3096</v>
      </c>
      <c r="AC292" s="19" t="s">
        <v>3097</v>
      </c>
      <c r="AD292" s="23" t="s">
        <v>23</v>
      </c>
      <c r="AE292" s="24"/>
    </row>
    <row r="293" spans="2:31" ht="39.950000000000003" customHeight="1" x14ac:dyDescent="0.3">
      <c r="B293" s="107">
        <v>23014</v>
      </c>
      <c r="C293" s="12">
        <f t="shared" si="12"/>
        <v>288</v>
      </c>
      <c r="D293" s="105" t="str">
        <f>IFERROR(" "&amp;VLOOKUP(B293,현장리스트!$B:$C,2,0),"-")</f>
        <v xml:space="preserve"> [2.현대엔지니어링] 상도동 지역주택조합 주상복합 신축사업</v>
      </c>
      <c r="E293" s="13" t="s">
        <v>1481</v>
      </c>
      <c r="F293" s="13" t="str">
        <f t="shared" ca="1" si="13"/>
        <v>57세</v>
      </c>
      <c r="G293" s="14" t="s">
        <v>3085</v>
      </c>
      <c r="H293" s="15" t="str">
        <f t="shared" si="14"/>
        <v>여</v>
      </c>
      <c r="I293" s="16" t="s">
        <v>901</v>
      </c>
      <c r="J293" s="16" t="s">
        <v>30</v>
      </c>
      <c r="K293" s="17">
        <v>180000</v>
      </c>
      <c r="L293" s="18" t="s">
        <v>1482</v>
      </c>
      <c r="M293" s="19" t="s">
        <v>987</v>
      </c>
      <c r="N293" s="19" t="s">
        <v>1010</v>
      </c>
      <c r="O293" s="20">
        <v>12</v>
      </c>
      <c r="P293" s="23" t="s">
        <v>23</v>
      </c>
      <c r="Q293" s="21" t="str">
        <f>VLOOKUP(C293,'2-1. 인사고과표(기능)'!B:AS,44,0)</f>
        <v>S</v>
      </c>
      <c r="R293" s="21" t="str">
        <f>VLOOKUP(C293,'2-2. 인사고과표(안전)'!B:AO,40,0)</f>
        <v>S</v>
      </c>
      <c r="S293" s="18"/>
      <c r="T293" s="19"/>
      <c r="U293" s="19"/>
      <c r="V293" s="19"/>
      <c r="W293" s="19"/>
      <c r="X293" s="22"/>
      <c r="Y293" s="23"/>
      <c r="Z293" s="19"/>
      <c r="AA293" s="19" t="s">
        <v>529</v>
      </c>
      <c r="AB293" s="22" t="s">
        <v>3098</v>
      </c>
      <c r="AC293" s="19" t="s">
        <v>2569</v>
      </c>
      <c r="AD293" s="23" t="s">
        <v>28</v>
      </c>
      <c r="AE293" s="24"/>
    </row>
    <row r="294" spans="2:31" ht="39.950000000000003" customHeight="1" x14ac:dyDescent="0.3">
      <c r="B294" s="107">
        <v>23014</v>
      </c>
      <c r="C294" s="12">
        <f t="shared" si="12"/>
        <v>289</v>
      </c>
      <c r="D294" s="105" t="str">
        <f>IFERROR(" "&amp;VLOOKUP(B294,현장리스트!$B:$C,2,0),"-")</f>
        <v xml:space="preserve"> [2.현대엔지니어링] 상도동 지역주택조합 주상복합 신축사업</v>
      </c>
      <c r="E294" s="13" t="s">
        <v>1238</v>
      </c>
      <c r="F294" s="13" t="str">
        <f t="shared" ca="1" si="13"/>
        <v>56세</v>
      </c>
      <c r="G294" s="14" t="s">
        <v>3086</v>
      </c>
      <c r="H294" s="15" t="str">
        <f t="shared" si="14"/>
        <v>남</v>
      </c>
      <c r="I294" s="16" t="s">
        <v>901</v>
      </c>
      <c r="J294" s="16" t="s">
        <v>30</v>
      </c>
      <c r="K294" s="17">
        <v>210000</v>
      </c>
      <c r="L294" s="18" t="s">
        <v>1239</v>
      </c>
      <c r="M294" s="19" t="s">
        <v>987</v>
      </c>
      <c r="N294" s="19" t="s">
        <v>940</v>
      </c>
      <c r="O294" s="20">
        <v>30</v>
      </c>
      <c r="P294" s="23" t="s">
        <v>23</v>
      </c>
      <c r="Q294" s="21" t="str">
        <f>VLOOKUP(C294,'2-1. 인사고과표(기능)'!B:AS,44,0)</f>
        <v>S</v>
      </c>
      <c r="R294" s="21" t="str">
        <f>VLOOKUP(C294,'2-2. 인사고과표(안전)'!B:AO,40,0)</f>
        <v>S</v>
      </c>
      <c r="S294" s="18"/>
      <c r="T294" s="19"/>
      <c r="U294" s="19"/>
      <c r="V294" s="19"/>
      <c r="W294" s="19"/>
      <c r="X294" s="22"/>
      <c r="Y294" s="23"/>
      <c r="Z294" s="19"/>
      <c r="AA294" s="19"/>
      <c r="AB294" s="22" t="s">
        <v>3099</v>
      </c>
      <c r="AC294" s="19" t="s">
        <v>3100</v>
      </c>
      <c r="AD294" s="23" t="s">
        <v>28</v>
      </c>
      <c r="AE294" s="24"/>
    </row>
    <row r="295" spans="2:31" ht="39.950000000000003" customHeight="1" x14ac:dyDescent="0.3">
      <c r="B295" s="107">
        <v>23014</v>
      </c>
      <c r="C295" s="12">
        <f t="shared" si="12"/>
        <v>290</v>
      </c>
      <c r="D295" s="105" t="str">
        <f>IFERROR(" "&amp;VLOOKUP(B295,현장리스트!$B:$C,2,0),"-")</f>
        <v xml:space="preserve"> [2.현대엔지니어링] 상도동 지역주택조합 주상복합 신축사업</v>
      </c>
      <c r="E295" s="13" t="s">
        <v>2464</v>
      </c>
      <c r="F295" s="13" t="str">
        <f t="shared" ca="1" si="13"/>
        <v>57세</v>
      </c>
      <c r="G295" s="14" t="s">
        <v>3087</v>
      </c>
      <c r="H295" s="15" t="str">
        <f t="shared" si="14"/>
        <v>남</v>
      </c>
      <c r="I295" s="16" t="s">
        <v>901</v>
      </c>
      <c r="J295" s="16" t="s">
        <v>30</v>
      </c>
      <c r="K295" s="17">
        <v>210000</v>
      </c>
      <c r="L295" s="18" t="s">
        <v>2465</v>
      </c>
      <c r="M295" s="19" t="s">
        <v>987</v>
      </c>
      <c r="N295" s="19" t="s">
        <v>2649</v>
      </c>
      <c r="O295" s="20">
        <v>31</v>
      </c>
      <c r="P295" s="23" t="s">
        <v>23</v>
      </c>
      <c r="Q295" s="21" t="str">
        <f>VLOOKUP(C295,'2-1. 인사고과표(기능)'!B:AS,44,0)</f>
        <v>S</v>
      </c>
      <c r="R295" s="21" t="str">
        <f>VLOOKUP(C295,'2-2. 인사고과표(안전)'!B:AO,40,0)</f>
        <v>S</v>
      </c>
      <c r="S295" s="18"/>
      <c r="T295" s="19"/>
      <c r="U295" s="19"/>
      <c r="V295" s="19"/>
      <c r="W295" s="19"/>
      <c r="X295" s="22"/>
      <c r="Y295" s="23"/>
      <c r="Z295" s="19"/>
      <c r="AA295" s="19"/>
      <c r="AB295" s="22" t="s">
        <v>3101</v>
      </c>
      <c r="AC295" s="19" t="s">
        <v>3100</v>
      </c>
      <c r="AD295" s="23" t="s">
        <v>28</v>
      </c>
      <c r="AE295" s="24"/>
    </row>
    <row r="296" spans="2:31" ht="39.950000000000003" customHeight="1" x14ac:dyDescent="0.3">
      <c r="B296" s="107">
        <v>23014</v>
      </c>
      <c r="C296" s="12">
        <f t="shared" si="12"/>
        <v>291</v>
      </c>
      <c r="D296" s="105" t="str">
        <f>IFERROR(" "&amp;VLOOKUP(B296,현장리스트!$B:$C,2,0),"-")</f>
        <v xml:space="preserve"> [2.현대엔지니어링] 상도동 지역주택조합 주상복합 신축사업</v>
      </c>
      <c r="E296" s="13" t="s">
        <v>1535</v>
      </c>
      <c r="F296" s="13" t="str">
        <f t="shared" ca="1" si="13"/>
        <v>50세</v>
      </c>
      <c r="G296" s="14" t="s">
        <v>3088</v>
      </c>
      <c r="H296" s="15" t="str">
        <f t="shared" si="14"/>
        <v>남</v>
      </c>
      <c r="I296" s="16" t="s">
        <v>901</v>
      </c>
      <c r="J296" s="16" t="s">
        <v>30</v>
      </c>
      <c r="K296" s="17">
        <v>210000</v>
      </c>
      <c r="L296" s="18" t="s">
        <v>1536</v>
      </c>
      <c r="M296" s="19" t="s">
        <v>987</v>
      </c>
      <c r="N296" s="19" t="s">
        <v>3094</v>
      </c>
      <c r="O296" s="20">
        <v>25</v>
      </c>
      <c r="P296" s="23" t="s">
        <v>23</v>
      </c>
      <c r="Q296" s="21" t="str">
        <f>VLOOKUP(C296,'2-1. 인사고과표(기능)'!B:AS,44,0)</f>
        <v>S</v>
      </c>
      <c r="R296" s="21" t="str">
        <f>VLOOKUP(C296,'2-2. 인사고과표(안전)'!B:AO,40,0)</f>
        <v>S</v>
      </c>
      <c r="S296" s="18"/>
      <c r="T296" s="19"/>
      <c r="U296" s="19"/>
      <c r="V296" s="19"/>
      <c r="W296" s="19"/>
      <c r="X296" s="22"/>
      <c r="Y296" s="23"/>
      <c r="Z296" s="19"/>
      <c r="AA296" s="19"/>
      <c r="AB296" s="22" t="s">
        <v>3101</v>
      </c>
      <c r="AC296" s="19" t="s">
        <v>3100</v>
      </c>
      <c r="AD296" s="23" t="s">
        <v>28</v>
      </c>
      <c r="AE296" s="24"/>
    </row>
    <row r="297" spans="2:31" ht="39.950000000000003" customHeight="1" x14ac:dyDescent="0.3">
      <c r="B297" s="107">
        <v>23014</v>
      </c>
      <c r="C297" s="12">
        <f t="shared" si="12"/>
        <v>292</v>
      </c>
      <c r="D297" s="105" t="str">
        <f>IFERROR(" "&amp;VLOOKUP(B297,현장리스트!$B:$C,2,0),"-")</f>
        <v xml:space="preserve"> [2.현대엔지니어링] 상도동 지역주택조합 주상복합 신축사업</v>
      </c>
      <c r="E297" s="13" t="s">
        <v>2226</v>
      </c>
      <c r="F297" s="13" t="str">
        <f t="shared" ca="1" si="13"/>
        <v>62세</v>
      </c>
      <c r="G297" s="14" t="s">
        <v>3089</v>
      </c>
      <c r="H297" s="15" t="str">
        <f t="shared" si="14"/>
        <v>남</v>
      </c>
      <c r="I297" s="16" t="s">
        <v>901</v>
      </c>
      <c r="J297" s="16" t="s">
        <v>30</v>
      </c>
      <c r="K297" s="17">
        <v>210000</v>
      </c>
      <c r="L297" s="18" t="s">
        <v>2227</v>
      </c>
      <c r="M297" s="19" t="s">
        <v>987</v>
      </c>
      <c r="N297" s="19" t="s">
        <v>2642</v>
      </c>
      <c r="O297" s="20">
        <v>35</v>
      </c>
      <c r="P297" s="23" t="s">
        <v>23</v>
      </c>
      <c r="Q297" s="21" t="str">
        <f>VLOOKUP(C297,'2-1. 인사고과표(기능)'!B:AS,44,0)</f>
        <v>S</v>
      </c>
      <c r="R297" s="21" t="str">
        <f>VLOOKUP(C297,'2-2. 인사고과표(안전)'!B:AO,40,0)</f>
        <v>S</v>
      </c>
      <c r="S297" s="18"/>
      <c r="T297" s="19"/>
      <c r="U297" s="19"/>
      <c r="V297" s="19"/>
      <c r="W297" s="19"/>
      <c r="X297" s="22"/>
      <c r="Y297" s="23"/>
      <c r="Z297" s="19"/>
      <c r="AA297" s="19"/>
      <c r="AB297" s="22" t="s">
        <v>3102</v>
      </c>
      <c r="AC297" s="19" t="s">
        <v>2569</v>
      </c>
      <c r="AD297" s="23" t="s">
        <v>28</v>
      </c>
      <c r="AE297" s="24"/>
    </row>
    <row r="298" spans="2:31" ht="39.950000000000003" customHeight="1" x14ac:dyDescent="0.3">
      <c r="B298" s="107">
        <v>23014</v>
      </c>
      <c r="C298" s="12">
        <f t="shared" si="12"/>
        <v>293</v>
      </c>
      <c r="D298" s="105" t="str">
        <f>IFERROR(" "&amp;VLOOKUP(B298,현장리스트!$B:$C,2,0),"-")</f>
        <v xml:space="preserve"> [2.현대엔지니어링] 상도동 지역주택조합 주상복합 신축사업</v>
      </c>
      <c r="E298" s="13" t="s">
        <v>2267</v>
      </c>
      <c r="F298" s="13" t="str">
        <f t="shared" ca="1" si="13"/>
        <v>57세</v>
      </c>
      <c r="G298" s="14" t="s">
        <v>3090</v>
      </c>
      <c r="H298" s="15" t="str">
        <f t="shared" si="14"/>
        <v>남</v>
      </c>
      <c r="I298" s="16" t="s">
        <v>901</v>
      </c>
      <c r="J298" s="16" t="s">
        <v>30</v>
      </c>
      <c r="K298" s="17">
        <v>210000</v>
      </c>
      <c r="L298" s="18" t="s">
        <v>2268</v>
      </c>
      <c r="M298" s="19" t="s">
        <v>987</v>
      </c>
      <c r="N298" s="19" t="s">
        <v>1010</v>
      </c>
      <c r="O298" s="20">
        <v>37</v>
      </c>
      <c r="P298" s="23" t="s">
        <v>23</v>
      </c>
      <c r="Q298" s="21" t="str">
        <f>VLOOKUP(C298,'2-1. 인사고과표(기능)'!B:AS,44,0)</f>
        <v>S</v>
      </c>
      <c r="R298" s="21" t="str">
        <f>VLOOKUP(C298,'2-2. 인사고과표(안전)'!B:AO,40,0)</f>
        <v>S</v>
      </c>
      <c r="S298" s="18"/>
      <c r="T298" s="19"/>
      <c r="U298" s="19"/>
      <c r="V298" s="19"/>
      <c r="W298" s="19"/>
      <c r="X298" s="22"/>
      <c r="Y298" s="23"/>
      <c r="Z298" s="19"/>
      <c r="AA298" s="19"/>
      <c r="AB298" s="22" t="s">
        <v>3102</v>
      </c>
      <c r="AC298" s="19" t="s">
        <v>2569</v>
      </c>
      <c r="AD298" s="23" t="s">
        <v>28</v>
      </c>
      <c r="AE298" s="24"/>
    </row>
    <row r="299" spans="2:31" ht="39.950000000000003" customHeight="1" x14ac:dyDescent="0.3">
      <c r="B299" s="107">
        <v>23014</v>
      </c>
      <c r="C299" s="12">
        <f t="shared" si="12"/>
        <v>294</v>
      </c>
      <c r="D299" s="105" t="str">
        <f>IFERROR(" "&amp;VLOOKUP(B299,현장리스트!$B:$C,2,0),"-")</f>
        <v xml:space="preserve"> [2.현대엔지니어링] 상도동 지역주택조합 주상복합 신축사업</v>
      </c>
      <c r="E299" s="13" t="s">
        <v>1101</v>
      </c>
      <c r="F299" s="13" t="str">
        <f t="shared" ca="1" si="13"/>
        <v>44세</v>
      </c>
      <c r="G299" s="14" t="s">
        <v>3091</v>
      </c>
      <c r="H299" s="15" t="str">
        <f t="shared" si="14"/>
        <v>남</v>
      </c>
      <c r="I299" s="16" t="s">
        <v>901</v>
      </c>
      <c r="J299" s="16" t="s">
        <v>30</v>
      </c>
      <c r="K299" s="17">
        <v>210000</v>
      </c>
      <c r="L299" s="18" t="s">
        <v>1102</v>
      </c>
      <c r="M299" s="19" t="s">
        <v>914</v>
      </c>
      <c r="N299" s="19" t="s">
        <v>3093</v>
      </c>
      <c r="O299" s="20">
        <v>18</v>
      </c>
      <c r="P299" s="23" t="s">
        <v>23</v>
      </c>
      <c r="Q299" s="21" t="str">
        <f>VLOOKUP(C299,'2-1. 인사고과표(기능)'!B:AS,44,0)</f>
        <v>S</v>
      </c>
      <c r="R299" s="21" t="str">
        <f>VLOOKUP(C299,'2-2. 인사고과표(안전)'!B:AO,40,0)</f>
        <v>S</v>
      </c>
      <c r="S299" s="18"/>
      <c r="T299" s="19"/>
      <c r="U299" s="19"/>
      <c r="V299" s="19"/>
      <c r="W299" s="19"/>
      <c r="X299" s="22"/>
      <c r="Y299" s="23"/>
      <c r="Z299" s="19"/>
      <c r="AA299" s="19"/>
      <c r="AB299" s="22" t="s">
        <v>27</v>
      </c>
      <c r="AC299" s="19" t="s">
        <v>2569</v>
      </c>
      <c r="AD299" s="23" t="s">
        <v>28</v>
      </c>
      <c r="AE299" s="24"/>
    </row>
    <row r="300" spans="2:31" ht="39.950000000000003" customHeight="1" x14ac:dyDescent="0.3">
      <c r="B300" s="107">
        <v>24029</v>
      </c>
      <c r="C300" s="12">
        <f t="shared" si="12"/>
        <v>295</v>
      </c>
      <c r="D300" s="105" t="str">
        <f>IFERROR(" "&amp;VLOOKUP(B300,현장리스트!$B:$C,2,0),"-")</f>
        <v xml:space="preserve"> [3.DL건설] 인천 검단신도시 AA29BL 공동주택 신축공사</v>
      </c>
      <c r="E300" s="13" t="s">
        <v>570</v>
      </c>
      <c r="F300" s="13" t="str">
        <f t="shared" ca="1" si="13"/>
        <v>32세</v>
      </c>
      <c r="G300" s="126" t="s">
        <v>969</v>
      </c>
      <c r="H300" s="15" t="str">
        <f t="shared" si="14"/>
        <v>남</v>
      </c>
      <c r="I300" s="126" t="s">
        <v>895</v>
      </c>
      <c r="J300" s="127" t="s">
        <v>900</v>
      </c>
      <c r="K300" s="33">
        <v>4500000</v>
      </c>
      <c r="L300" s="28" t="s">
        <v>986</v>
      </c>
      <c r="M300" s="29" t="s">
        <v>987</v>
      </c>
      <c r="N300" s="29" t="s">
        <v>988</v>
      </c>
      <c r="O300" s="20">
        <v>5</v>
      </c>
      <c r="P300" s="31" t="s">
        <v>23</v>
      </c>
      <c r="Q300" s="128" t="str">
        <f>VLOOKUP(C300,'2-1. 인사고과표(기능)'!B:AS,44,0)</f>
        <v>A</v>
      </c>
      <c r="R300" s="20" t="str">
        <f>VLOOKUP(C300,'2-2. 인사고과표(안전)'!B:AO,40,0)</f>
        <v>S</v>
      </c>
      <c r="S300" s="20"/>
      <c r="T300" s="34"/>
      <c r="U300" s="34"/>
      <c r="V300" s="34"/>
      <c r="W300" s="29" t="s">
        <v>989</v>
      </c>
      <c r="X300" s="30" t="s">
        <v>990</v>
      </c>
      <c r="Y300" s="31" t="s">
        <v>23</v>
      </c>
      <c r="Z300" s="29"/>
      <c r="AA300" s="29"/>
      <c r="AB300" s="30"/>
      <c r="AC300" s="29"/>
      <c r="AD300" s="31"/>
      <c r="AE300" s="32"/>
    </row>
    <row r="301" spans="2:31" ht="39.950000000000003" customHeight="1" x14ac:dyDescent="0.3">
      <c r="B301" s="107">
        <f t="shared" ref="B301:B316" si="15">B300</f>
        <v>24029</v>
      </c>
      <c r="C301" s="12">
        <f t="shared" si="12"/>
        <v>296</v>
      </c>
      <c r="D301" s="105" t="str">
        <f>IFERROR(" "&amp;VLOOKUP(B301,현장리스트!$B:$C,2,0),"-")</f>
        <v xml:space="preserve"> [3.DL건설] 인천 검단신도시 AA29BL 공동주택 신축공사</v>
      </c>
      <c r="E301" s="13" t="s">
        <v>953</v>
      </c>
      <c r="F301" s="13" t="str">
        <f t="shared" ca="1" si="13"/>
        <v>53세</v>
      </c>
      <c r="G301" s="14" t="s">
        <v>970</v>
      </c>
      <c r="H301" s="15" t="str">
        <f t="shared" si="14"/>
        <v>남</v>
      </c>
      <c r="I301" s="16" t="s">
        <v>899</v>
      </c>
      <c r="J301" s="16" t="s">
        <v>903</v>
      </c>
      <c r="K301" s="17">
        <v>5500000</v>
      </c>
      <c r="L301" s="18" t="s">
        <v>991</v>
      </c>
      <c r="M301" s="19" t="s">
        <v>2720</v>
      </c>
      <c r="N301" s="19" t="s">
        <v>992</v>
      </c>
      <c r="O301" s="20" t="s">
        <v>993</v>
      </c>
      <c r="P301" s="23" t="s">
        <v>23</v>
      </c>
      <c r="Q301" s="21" t="str">
        <f>VLOOKUP(C301,'2-1. 인사고과표(기능)'!B:AS,44,0)</f>
        <v>S</v>
      </c>
      <c r="R301" s="21" t="str">
        <f>VLOOKUP(C301,'2-2. 인사고과표(안전)'!B:AO,40,0)</f>
        <v>S</v>
      </c>
      <c r="S301" s="18"/>
      <c r="T301" s="19"/>
      <c r="U301" s="19"/>
      <c r="V301" s="19"/>
      <c r="W301" s="19" t="s">
        <v>989</v>
      </c>
      <c r="X301" s="22" t="s">
        <v>990</v>
      </c>
      <c r="Y301" s="23" t="s">
        <v>23</v>
      </c>
      <c r="Z301" s="19"/>
      <c r="AA301" s="19"/>
      <c r="AB301" s="22"/>
      <c r="AC301" s="19"/>
      <c r="AD301" s="23"/>
      <c r="AE301" s="24"/>
    </row>
    <row r="302" spans="2:31" ht="39.950000000000003" customHeight="1" x14ac:dyDescent="0.3">
      <c r="B302" s="107">
        <f t="shared" si="15"/>
        <v>24029</v>
      </c>
      <c r="C302" s="12">
        <f t="shared" si="12"/>
        <v>297</v>
      </c>
      <c r="D302" s="105" t="str">
        <f>IFERROR(" "&amp;VLOOKUP(B302,현장리스트!$B:$C,2,0),"-")</f>
        <v xml:space="preserve"> [3.DL건설] 인천 검단신도시 AA29BL 공동주택 신축공사</v>
      </c>
      <c r="E302" s="13" t="s">
        <v>954</v>
      </c>
      <c r="F302" s="13" t="str">
        <f t="shared" ca="1" si="13"/>
        <v>34세</v>
      </c>
      <c r="G302" s="14" t="s">
        <v>971</v>
      </c>
      <c r="H302" s="15" t="str">
        <f t="shared" si="14"/>
        <v>남</v>
      </c>
      <c r="I302" s="16" t="s">
        <v>901</v>
      </c>
      <c r="J302" s="16" t="s">
        <v>30</v>
      </c>
      <c r="K302" s="17">
        <v>5500000</v>
      </c>
      <c r="L302" s="18" t="s">
        <v>994</v>
      </c>
      <c r="M302" s="19" t="s">
        <v>910</v>
      </c>
      <c r="N302" s="19" t="s">
        <v>995</v>
      </c>
      <c r="O302" s="20">
        <v>30</v>
      </c>
      <c r="P302" s="23" t="s">
        <v>23</v>
      </c>
      <c r="Q302" s="21" t="str">
        <f>VLOOKUP(C302,'2-1. 인사고과표(기능)'!B:AS,44,0)</f>
        <v>A</v>
      </c>
      <c r="R302" s="21" t="str">
        <f>VLOOKUP(C302,'2-2. 인사고과표(안전)'!B:AO,40,0)</f>
        <v>S</v>
      </c>
      <c r="S302" s="18"/>
      <c r="T302" s="19"/>
      <c r="U302" s="19"/>
      <c r="V302" s="19"/>
      <c r="W302" s="19"/>
      <c r="X302" s="22"/>
      <c r="Y302" s="23"/>
      <c r="Z302" s="19"/>
      <c r="AA302" s="19"/>
      <c r="AB302" s="22"/>
      <c r="AC302" s="19"/>
      <c r="AD302" s="23"/>
      <c r="AE302" s="24"/>
    </row>
    <row r="303" spans="2:31" ht="39.950000000000003" customHeight="1" x14ac:dyDescent="0.3">
      <c r="B303" s="107">
        <f t="shared" si="15"/>
        <v>24029</v>
      </c>
      <c r="C303" s="12">
        <f t="shared" si="12"/>
        <v>298</v>
      </c>
      <c r="D303" s="105" t="str">
        <f>IFERROR(" "&amp;VLOOKUP(B303,현장리스트!$B:$C,2,0),"-")</f>
        <v xml:space="preserve"> [3.DL건설] 인천 검단신도시 AA29BL 공동주택 신축공사</v>
      </c>
      <c r="E303" s="13" t="s">
        <v>955</v>
      </c>
      <c r="F303" s="13" t="str">
        <f t="shared" ca="1" si="13"/>
        <v>53세</v>
      </c>
      <c r="G303" s="14" t="s">
        <v>972</v>
      </c>
      <c r="H303" s="15" t="str">
        <f t="shared" si="14"/>
        <v>남</v>
      </c>
      <c r="I303" s="16" t="s">
        <v>901</v>
      </c>
      <c r="J303" s="16" t="s">
        <v>30</v>
      </c>
      <c r="K303" s="17">
        <v>200000</v>
      </c>
      <c r="L303" s="18" t="s">
        <v>996</v>
      </c>
      <c r="M303" s="19" t="s">
        <v>917</v>
      </c>
      <c r="N303" s="19" t="s">
        <v>997</v>
      </c>
      <c r="O303" s="20" t="s">
        <v>912</v>
      </c>
      <c r="P303" s="23" t="s">
        <v>23</v>
      </c>
      <c r="Q303" s="21" t="str">
        <f>VLOOKUP(C303,'2-1. 인사고과표(기능)'!B:AS,44,0)</f>
        <v>A</v>
      </c>
      <c r="R303" s="21" t="str">
        <f>VLOOKUP(C303,'2-2. 인사고과표(안전)'!B:AO,40,0)</f>
        <v>S</v>
      </c>
      <c r="S303" s="18"/>
      <c r="T303" s="19"/>
      <c r="U303" s="19"/>
      <c r="V303" s="19"/>
      <c r="W303" s="19"/>
      <c r="X303" s="22"/>
      <c r="Y303" s="23"/>
      <c r="Z303" s="19"/>
      <c r="AA303" s="19"/>
      <c r="AB303" s="22"/>
      <c r="AC303" s="19"/>
      <c r="AD303" s="23"/>
      <c r="AE303" s="24"/>
    </row>
    <row r="304" spans="2:31" ht="39.950000000000003" customHeight="1" x14ac:dyDescent="0.3">
      <c r="B304" s="107">
        <f t="shared" si="15"/>
        <v>24029</v>
      </c>
      <c r="C304" s="12">
        <f t="shared" si="12"/>
        <v>299</v>
      </c>
      <c r="D304" s="105" t="str">
        <f>IFERROR(" "&amp;VLOOKUP(B304,현장리스트!$B:$C,2,0),"-")</f>
        <v xml:space="preserve"> [3.DL건설] 인천 검단신도시 AA29BL 공동주택 신축공사</v>
      </c>
      <c r="E304" s="13" t="s">
        <v>956</v>
      </c>
      <c r="F304" s="13" t="str">
        <f t="shared" ca="1" si="13"/>
        <v>56세</v>
      </c>
      <c r="G304" s="14" t="s">
        <v>973</v>
      </c>
      <c r="H304" s="15" t="str">
        <f t="shared" si="14"/>
        <v>남</v>
      </c>
      <c r="I304" s="16" t="s">
        <v>901</v>
      </c>
      <c r="J304" s="16" t="s">
        <v>30</v>
      </c>
      <c r="K304" s="17">
        <v>190000</v>
      </c>
      <c r="L304" s="18" t="s">
        <v>998</v>
      </c>
      <c r="M304" s="19" t="s">
        <v>914</v>
      </c>
      <c r="N304" s="19" t="s">
        <v>2616</v>
      </c>
      <c r="O304" s="20">
        <v>30</v>
      </c>
      <c r="P304" s="23" t="s">
        <v>23</v>
      </c>
      <c r="Q304" s="21" t="str">
        <f>VLOOKUP(C304,'2-1. 인사고과표(기능)'!B:AS,44,0)</f>
        <v>A</v>
      </c>
      <c r="R304" s="21" t="str">
        <f>VLOOKUP(C304,'2-2. 인사고과표(안전)'!B:AO,40,0)</f>
        <v>S</v>
      </c>
      <c r="S304" s="18"/>
      <c r="T304" s="19"/>
      <c r="U304" s="19"/>
      <c r="V304" s="19"/>
      <c r="W304" s="19"/>
      <c r="X304" s="22"/>
      <c r="Y304" s="23"/>
      <c r="Z304" s="19"/>
      <c r="AA304" s="19"/>
      <c r="AB304" s="22"/>
      <c r="AC304" s="19"/>
      <c r="AD304" s="23"/>
      <c r="AE304" s="24"/>
    </row>
    <row r="305" spans="2:31" ht="39.950000000000003" customHeight="1" x14ac:dyDescent="0.3">
      <c r="B305" s="107">
        <f t="shared" si="15"/>
        <v>24029</v>
      </c>
      <c r="C305" s="12">
        <f t="shared" si="12"/>
        <v>300</v>
      </c>
      <c r="D305" s="105" t="str">
        <f>IFERROR(" "&amp;VLOOKUP(B305,현장리스트!$B:$C,2,0),"-")</f>
        <v xml:space="preserve"> [3.DL건설] 인천 검단신도시 AA29BL 공동주택 신축공사</v>
      </c>
      <c r="E305" s="13" t="s">
        <v>957</v>
      </c>
      <c r="F305" s="13" t="str">
        <f t="shared" ca="1" si="13"/>
        <v>34세</v>
      </c>
      <c r="G305" s="14" t="s">
        <v>974</v>
      </c>
      <c r="H305" s="15" t="str">
        <f t="shared" si="14"/>
        <v>남</v>
      </c>
      <c r="I305" s="16" t="s">
        <v>901</v>
      </c>
      <c r="J305" s="16" t="s">
        <v>902</v>
      </c>
      <c r="K305" s="17">
        <v>180000</v>
      </c>
      <c r="L305" s="18" t="s">
        <v>1000</v>
      </c>
      <c r="M305" s="19" t="s">
        <v>910</v>
      </c>
      <c r="N305" s="19" t="s">
        <v>1001</v>
      </c>
      <c r="O305" s="20">
        <v>2</v>
      </c>
      <c r="P305" s="23" t="s">
        <v>23</v>
      </c>
      <c r="Q305" s="21" t="str">
        <f>VLOOKUP(C305,'2-1. 인사고과표(기능)'!B:AS,44,0)</f>
        <v>A</v>
      </c>
      <c r="R305" s="21" t="str">
        <f>VLOOKUP(C305,'2-2. 인사고과표(안전)'!B:AO,40,0)</f>
        <v>S</v>
      </c>
      <c r="S305" s="18"/>
      <c r="T305" s="19"/>
      <c r="U305" s="19"/>
      <c r="V305" s="19"/>
      <c r="W305" s="19"/>
      <c r="X305" s="22"/>
      <c r="Y305" s="23"/>
      <c r="Z305" s="19"/>
      <c r="AA305" s="19"/>
      <c r="AB305" s="22"/>
      <c r="AC305" s="19"/>
      <c r="AD305" s="23"/>
      <c r="AE305" s="24"/>
    </row>
    <row r="306" spans="2:31" ht="39.950000000000003" customHeight="1" x14ac:dyDescent="0.3">
      <c r="B306" s="107">
        <f t="shared" si="15"/>
        <v>24029</v>
      </c>
      <c r="C306" s="12">
        <f t="shared" si="12"/>
        <v>301</v>
      </c>
      <c r="D306" s="105" t="str">
        <f>IFERROR(" "&amp;VLOOKUP(B306,현장리스트!$B:$C,2,0),"-")</f>
        <v xml:space="preserve"> [3.DL건설] 인천 검단신도시 AA29BL 공동주택 신축공사</v>
      </c>
      <c r="E306" s="13" t="s">
        <v>958</v>
      </c>
      <c r="F306" s="13" t="str">
        <f t="shared" ca="1" si="13"/>
        <v>62세</v>
      </c>
      <c r="G306" s="14" t="s">
        <v>975</v>
      </c>
      <c r="H306" s="15" t="str">
        <f t="shared" si="14"/>
        <v>남</v>
      </c>
      <c r="I306" s="16" t="s">
        <v>901</v>
      </c>
      <c r="J306" s="16" t="s">
        <v>30</v>
      </c>
      <c r="K306" s="17">
        <v>210000</v>
      </c>
      <c r="L306" s="18" t="s">
        <v>1002</v>
      </c>
      <c r="M306" s="19" t="s">
        <v>914</v>
      </c>
      <c r="N306" s="19" t="s">
        <v>2617</v>
      </c>
      <c r="O306" s="20">
        <v>40</v>
      </c>
      <c r="P306" s="23" t="s">
        <v>23</v>
      </c>
      <c r="Q306" s="21" t="str">
        <f>VLOOKUP(C306,'2-1. 인사고과표(기능)'!B:AS,44,0)</f>
        <v>A</v>
      </c>
      <c r="R306" s="21" t="str">
        <f>VLOOKUP(C306,'2-2. 인사고과표(안전)'!B:AO,40,0)</f>
        <v>S</v>
      </c>
      <c r="S306" s="18"/>
      <c r="T306" s="19"/>
      <c r="U306" s="19"/>
      <c r="V306" s="19"/>
      <c r="W306" s="19"/>
      <c r="X306" s="22"/>
      <c r="Y306" s="23"/>
      <c r="Z306" s="19"/>
      <c r="AA306" s="19"/>
      <c r="AB306" s="22"/>
      <c r="AC306" s="19"/>
      <c r="AD306" s="23"/>
      <c r="AE306" s="24"/>
    </row>
    <row r="307" spans="2:31" ht="39.950000000000003" customHeight="1" x14ac:dyDescent="0.3">
      <c r="B307" s="107">
        <f t="shared" si="15"/>
        <v>24029</v>
      </c>
      <c r="C307" s="12">
        <f t="shared" si="12"/>
        <v>302</v>
      </c>
      <c r="D307" s="105" t="str">
        <f>IFERROR(" "&amp;VLOOKUP(B307,현장리스트!$B:$C,2,0),"-")</f>
        <v xml:space="preserve"> [3.DL건설] 인천 검단신도시 AA29BL 공동주택 신축공사</v>
      </c>
      <c r="E307" s="13" t="s">
        <v>959</v>
      </c>
      <c r="F307" s="13" t="str">
        <f t="shared" ca="1" si="13"/>
        <v>60세</v>
      </c>
      <c r="G307" s="14" t="s">
        <v>976</v>
      </c>
      <c r="H307" s="15" t="str">
        <f t="shared" si="14"/>
        <v>남</v>
      </c>
      <c r="I307" s="16" t="s">
        <v>901</v>
      </c>
      <c r="J307" s="16" t="s">
        <v>30</v>
      </c>
      <c r="K307" s="17">
        <v>200000</v>
      </c>
      <c r="L307" s="18" t="s">
        <v>1003</v>
      </c>
      <c r="M307" s="19" t="s">
        <v>910</v>
      </c>
      <c r="N307" s="19" t="s">
        <v>1004</v>
      </c>
      <c r="O307" s="20">
        <v>35</v>
      </c>
      <c r="P307" s="23" t="s">
        <v>23</v>
      </c>
      <c r="Q307" s="21" t="str">
        <f>VLOOKUP(C307,'2-1. 인사고과표(기능)'!B:AS,44,0)</f>
        <v>A</v>
      </c>
      <c r="R307" s="21" t="str">
        <f>VLOOKUP(C307,'2-2. 인사고과표(안전)'!B:AO,40,0)</f>
        <v>S</v>
      </c>
      <c r="S307" s="18"/>
      <c r="T307" s="19"/>
      <c r="U307" s="19"/>
      <c r="V307" s="19"/>
      <c r="W307" s="19"/>
      <c r="X307" s="22"/>
      <c r="Y307" s="23"/>
      <c r="Z307" s="19"/>
      <c r="AA307" s="19"/>
      <c r="AB307" s="22"/>
      <c r="AC307" s="19"/>
      <c r="AD307" s="23"/>
      <c r="AE307" s="24"/>
    </row>
    <row r="308" spans="2:31" ht="39.950000000000003" customHeight="1" x14ac:dyDescent="0.3">
      <c r="B308" s="107">
        <f t="shared" si="15"/>
        <v>24029</v>
      </c>
      <c r="C308" s="12">
        <f t="shared" si="12"/>
        <v>303</v>
      </c>
      <c r="D308" s="105" t="str">
        <f>IFERROR(" "&amp;VLOOKUP(B308,현장리스트!$B:$C,2,0),"-")</f>
        <v xml:space="preserve"> [3.DL건설] 인천 검단신도시 AA29BL 공동주택 신축공사</v>
      </c>
      <c r="E308" s="13" t="s">
        <v>960</v>
      </c>
      <c r="F308" s="13" t="str">
        <f t="shared" ca="1" si="13"/>
        <v>59세</v>
      </c>
      <c r="G308" s="14" t="s">
        <v>977</v>
      </c>
      <c r="H308" s="15" t="str">
        <f t="shared" si="14"/>
        <v>남</v>
      </c>
      <c r="I308" s="16" t="s">
        <v>901</v>
      </c>
      <c r="J308" s="16" t="s">
        <v>30</v>
      </c>
      <c r="K308" s="17">
        <v>200000</v>
      </c>
      <c r="L308" s="18" t="s">
        <v>1005</v>
      </c>
      <c r="M308" s="19" t="s">
        <v>910</v>
      </c>
      <c r="N308" s="19" t="s">
        <v>1004</v>
      </c>
      <c r="O308" s="20">
        <v>35</v>
      </c>
      <c r="P308" s="23" t="s">
        <v>23</v>
      </c>
      <c r="Q308" s="21" t="str">
        <f>VLOOKUP(C308,'2-1. 인사고과표(기능)'!B:AS,44,0)</f>
        <v>A</v>
      </c>
      <c r="R308" s="21" t="str">
        <f>VLOOKUP(C308,'2-2. 인사고과표(안전)'!B:AO,40,0)</f>
        <v>S</v>
      </c>
      <c r="S308" s="18"/>
      <c r="T308" s="19"/>
      <c r="U308" s="19"/>
      <c r="V308" s="19"/>
      <c r="W308" s="19"/>
      <c r="X308" s="22"/>
      <c r="Y308" s="23"/>
      <c r="Z308" s="19"/>
      <c r="AA308" s="19"/>
      <c r="AB308" s="22"/>
      <c r="AC308" s="19"/>
      <c r="AD308" s="23"/>
      <c r="AE308" s="24"/>
    </row>
    <row r="309" spans="2:31" ht="39.950000000000003" customHeight="1" x14ac:dyDescent="0.3">
      <c r="B309" s="107">
        <f t="shared" si="15"/>
        <v>24029</v>
      </c>
      <c r="C309" s="12">
        <f t="shared" si="12"/>
        <v>304</v>
      </c>
      <c r="D309" s="105" t="str">
        <f>IFERROR(" "&amp;VLOOKUP(B309,현장리스트!$B:$C,2,0),"-")</f>
        <v xml:space="preserve"> [3.DL건설] 인천 검단신도시 AA29BL 공동주택 신축공사</v>
      </c>
      <c r="E309" s="13" t="s">
        <v>961</v>
      </c>
      <c r="F309" s="13" t="str">
        <f t="shared" ca="1" si="13"/>
        <v>48세</v>
      </c>
      <c r="G309" s="14" t="s">
        <v>978</v>
      </c>
      <c r="H309" s="15" t="str">
        <f t="shared" si="14"/>
        <v>남</v>
      </c>
      <c r="I309" s="16" t="s">
        <v>901</v>
      </c>
      <c r="J309" s="16" t="s">
        <v>30</v>
      </c>
      <c r="K309" s="17">
        <v>210000</v>
      </c>
      <c r="L309" s="18" t="s">
        <v>1006</v>
      </c>
      <c r="M309" s="19" t="s">
        <v>910</v>
      </c>
      <c r="N309" s="19" t="s">
        <v>1007</v>
      </c>
      <c r="O309" s="20">
        <v>15</v>
      </c>
      <c r="P309" s="23" t="s">
        <v>23</v>
      </c>
      <c r="Q309" s="21" t="str">
        <f>VLOOKUP(C309,'2-1. 인사고과표(기능)'!B:AS,44,0)</f>
        <v>A</v>
      </c>
      <c r="R309" s="21" t="str">
        <f>VLOOKUP(C309,'2-2. 인사고과표(안전)'!B:AO,40,0)</f>
        <v>S</v>
      </c>
      <c r="S309" s="18"/>
      <c r="T309" s="19"/>
      <c r="U309" s="19"/>
      <c r="V309" s="19"/>
      <c r="W309" s="19"/>
      <c r="X309" s="22"/>
      <c r="Y309" s="23"/>
      <c r="Z309" s="19"/>
      <c r="AA309" s="19"/>
      <c r="AB309" s="22"/>
      <c r="AC309" s="19"/>
      <c r="AD309" s="23"/>
      <c r="AE309" s="24"/>
    </row>
    <row r="310" spans="2:31" ht="39.950000000000003" customHeight="1" x14ac:dyDescent="0.3">
      <c r="B310" s="107">
        <f t="shared" si="15"/>
        <v>24029</v>
      </c>
      <c r="C310" s="12">
        <f t="shared" si="12"/>
        <v>305</v>
      </c>
      <c r="D310" s="105" t="str">
        <f>IFERROR(" "&amp;VLOOKUP(B310,현장리스트!$B:$C,2,0),"-")</f>
        <v xml:space="preserve"> [3.DL건설] 인천 검단신도시 AA29BL 공동주택 신축공사</v>
      </c>
      <c r="E310" s="13" t="s">
        <v>962</v>
      </c>
      <c r="F310" s="13" t="str">
        <f t="shared" ca="1" si="13"/>
        <v>48세</v>
      </c>
      <c r="G310" s="14" t="s">
        <v>979</v>
      </c>
      <c r="H310" s="15" t="str">
        <f t="shared" si="14"/>
        <v>남</v>
      </c>
      <c r="I310" s="16" t="s">
        <v>901</v>
      </c>
      <c r="J310" s="16" t="s">
        <v>30</v>
      </c>
      <c r="K310" s="17">
        <v>210000</v>
      </c>
      <c r="L310" s="18" t="s">
        <v>1008</v>
      </c>
      <c r="M310" s="19" t="s">
        <v>910</v>
      </c>
      <c r="N310" s="19" t="s">
        <v>995</v>
      </c>
      <c r="O310" s="20">
        <v>4</v>
      </c>
      <c r="P310" s="23" t="s">
        <v>23</v>
      </c>
      <c r="Q310" s="21" t="str">
        <f>VLOOKUP(C310,'2-1. 인사고과표(기능)'!B:AS,44,0)</f>
        <v>A</v>
      </c>
      <c r="R310" s="21" t="str">
        <f>VLOOKUP(C310,'2-2. 인사고과표(안전)'!B:AO,40,0)</f>
        <v>S</v>
      </c>
      <c r="S310" s="18"/>
      <c r="T310" s="19"/>
      <c r="U310" s="19"/>
      <c r="V310" s="19"/>
      <c r="W310" s="19"/>
      <c r="X310" s="22"/>
      <c r="Y310" s="23"/>
      <c r="Z310" s="19"/>
      <c r="AA310" s="19"/>
      <c r="AB310" s="22"/>
      <c r="AC310" s="19"/>
      <c r="AD310" s="23"/>
      <c r="AE310" s="24"/>
    </row>
    <row r="311" spans="2:31" ht="39.950000000000003" customHeight="1" x14ac:dyDescent="0.3">
      <c r="B311" s="107">
        <f t="shared" si="15"/>
        <v>24029</v>
      </c>
      <c r="C311" s="12">
        <f t="shared" si="12"/>
        <v>306</v>
      </c>
      <c r="D311" s="105" t="str">
        <f>IFERROR(" "&amp;VLOOKUP(B311,현장리스트!$B:$C,2,0),"-")</f>
        <v xml:space="preserve"> [3.DL건설] 인천 검단신도시 AA29BL 공동주택 신축공사</v>
      </c>
      <c r="E311" s="13" t="s">
        <v>963</v>
      </c>
      <c r="F311" s="13" t="str">
        <f t="shared" ca="1" si="13"/>
        <v>35세</v>
      </c>
      <c r="G311" s="14" t="s">
        <v>980</v>
      </c>
      <c r="H311" s="15" t="str">
        <f t="shared" si="14"/>
        <v>남</v>
      </c>
      <c r="I311" s="16" t="s">
        <v>901</v>
      </c>
      <c r="J311" s="16" t="s">
        <v>30</v>
      </c>
      <c r="K311" s="17">
        <v>210000</v>
      </c>
      <c r="L311" s="18" t="s">
        <v>1009</v>
      </c>
      <c r="M311" s="19" t="s">
        <v>987</v>
      </c>
      <c r="N311" s="19" t="s">
        <v>1010</v>
      </c>
      <c r="O311" s="20">
        <v>5</v>
      </c>
      <c r="P311" s="23" t="s">
        <v>23</v>
      </c>
      <c r="Q311" s="21" t="str">
        <f>VLOOKUP(C311,'2-1. 인사고과표(기능)'!B:AS,44,0)</f>
        <v>A</v>
      </c>
      <c r="R311" s="21" t="str">
        <f>VLOOKUP(C311,'2-2. 인사고과표(안전)'!B:AO,40,0)</f>
        <v>S</v>
      </c>
      <c r="S311" s="18"/>
      <c r="T311" s="19"/>
      <c r="U311" s="19"/>
      <c r="V311" s="19"/>
      <c r="W311" s="19"/>
      <c r="X311" s="22"/>
      <c r="Y311" s="23"/>
      <c r="Z311" s="19"/>
      <c r="AA311" s="19"/>
      <c r="AB311" s="22"/>
      <c r="AC311" s="19"/>
      <c r="AD311" s="23"/>
      <c r="AE311" s="24"/>
    </row>
    <row r="312" spans="2:31" ht="39.950000000000003" customHeight="1" x14ac:dyDescent="0.3">
      <c r="B312" s="107">
        <f t="shared" si="15"/>
        <v>24029</v>
      </c>
      <c r="C312" s="12">
        <f t="shared" si="12"/>
        <v>307</v>
      </c>
      <c r="D312" s="105" t="str">
        <f>IFERROR(" "&amp;VLOOKUP(B312,현장리스트!$B:$C,2,0),"-")</f>
        <v xml:space="preserve"> [3.DL건설] 인천 검단신도시 AA29BL 공동주택 신축공사</v>
      </c>
      <c r="E312" s="13" t="s">
        <v>964</v>
      </c>
      <c r="F312" s="13" t="str">
        <f t="shared" ca="1" si="13"/>
        <v>47세</v>
      </c>
      <c r="G312" s="14" t="s">
        <v>981</v>
      </c>
      <c r="H312" s="15" t="str">
        <f t="shared" si="14"/>
        <v>남</v>
      </c>
      <c r="I312" s="16" t="s">
        <v>901</v>
      </c>
      <c r="J312" s="16" t="s">
        <v>30</v>
      </c>
      <c r="K312" s="17">
        <v>210000</v>
      </c>
      <c r="L312" s="18" t="s">
        <v>1011</v>
      </c>
      <c r="M312" s="19" t="s">
        <v>910</v>
      </c>
      <c r="N312" s="19" t="s">
        <v>1012</v>
      </c>
      <c r="O312" s="20">
        <v>5</v>
      </c>
      <c r="P312" s="23" t="s">
        <v>23</v>
      </c>
      <c r="Q312" s="21" t="str">
        <f>VLOOKUP(C312,'2-1. 인사고과표(기능)'!B:AS,44,0)</f>
        <v>A</v>
      </c>
      <c r="R312" s="21" t="str">
        <f>VLOOKUP(C312,'2-2. 인사고과표(안전)'!B:AO,40,0)</f>
        <v>S</v>
      </c>
      <c r="S312" s="18"/>
      <c r="T312" s="19"/>
      <c r="U312" s="19"/>
      <c r="V312" s="19"/>
      <c r="W312" s="19"/>
      <c r="X312" s="22"/>
      <c r="Y312" s="23"/>
      <c r="Z312" s="19"/>
      <c r="AA312" s="19"/>
      <c r="AB312" s="22"/>
      <c r="AC312" s="19"/>
      <c r="AD312" s="23"/>
      <c r="AE312" s="24"/>
    </row>
    <row r="313" spans="2:31" ht="39.950000000000003" customHeight="1" x14ac:dyDescent="0.3">
      <c r="B313" s="107">
        <f t="shared" si="15"/>
        <v>24029</v>
      </c>
      <c r="C313" s="12">
        <f t="shared" si="12"/>
        <v>308</v>
      </c>
      <c r="D313" s="105" t="str">
        <f>IFERROR(" "&amp;VLOOKUP(B313,현장리스트!$B:$C,2,0),"-")</f>
        <v xml:space="preserve"> [3.DL건설] 인천 검단신도시 AA29BL 공동주택 신축공사</v>
      </c>
      <c r="E313" s="13" t="s">
        <v>965</v>
      </c>
      <c r="F313" s="13" t="str">
        <f t="shared" ca="1" si="13"/>
        <v>39세</v>
      </c>
      <c r="G313" s="14" t="s">
        <v>982</v>
      </c>
      <c r="H313" s="15" t="str">
        <f t="shared" si="14"/>
        <v>남</v>
      </c>
      <c r="I313" s="16" t="s">
        <v>901</v>
      </c>
      <c r="J313" s="16" t="s">
        <v>30</v>
      </c>
      <c r="K313" s="17">
        <v>210000</v>
      </c>
      <c r="L313" s="18" t="s">
        <v>1013</v>
      </c>
      <c r="M313" s="19" t="s">
        <v>910</v>
      </c>
      <c r="N313" s="19" t="s">
        <v>911</v>
      </c>
      <c r="O313" s="20">
        <v>12</v>
      </c>
      <c r="P313" s="23" t="s">
        <v>23</v>
      </c>
      <c r="Q313" s="21" t="str">
        <f>VLOOKUP(C313,'2-1. 인사고과표(기능)'!B:AS,44,0)</f>
        <v>A</v>
      </c>
      <c r="R313" s="21" t="str">
        <f>VLOOKUP(C313,'2-2. 인사고과표(안전)'!B:AO,40,0)</f>
        <v>S</v>
      </c>
      <c r="S313" s="18"/>
      <c r="T313" s="19"/>
      <c r="U313" s="19"/>
      <c r="V313" s="19"/>
      <c r="W313" s="19"/>
      <c r="X313" s="22"/>
      <c r="Y313" s="23"/>
      <c r="Z313" s="19"/>
      <c r="AA313" s="19"/>
      <c r="AB313" s="22"/>
      <c r="AC313" s="19"/>
      <c r="AD313" s="23"/>
      <c r="AE313" s="24"/>
    </row>
    <row r="314" spans="2:31" ht="39.950000000000003" customHeight="1" x14ac:dyDescent="0.3">
      <c r="B314" s="107">
        <f t="shared" si="15"/>
        <v>24029</v>
      </c>
      <c r="C314" s="12">
        <f t="shared" si="12"/>
        <v>309</v>
      </c>
      <c r="D314" s="105" t="str">
        <f>IFERROR(" "&amp;VLOOKUP(B314,현장리스트!$B:$C,2,0),"-")</f>
        <v xml:space="preserve"> [3.DL건설] 인천 검단신도시 AA29BL 공동주택 신축공사</v>
      </c>
      <c r="E314" s="13" t="s">
        <v>966</v>
      </c>
      <c r="F314" s="13" t="str">
        <f t="shared" ca="1" si="13"/>
        <v>57세</v>
      </c>
      <c r="G314" s="14" t="s">
        <v>983</v>
      </c>
      <c r="H314" s="15" t="str">
        <f t="shared" si="14"/>
        <v>남</v>
      </c>
      <c r="I314" s="16" t="s">
        <v>901</v>
      </c>
      <c r="J314" s="16" t="s">
        <v>30</v>
      </c>
      <c r="K314" s="17">
        <v>210000</v>
      </c>
      <c r="L314" s="18" t="s">
        <v>1014</v>
      </c>
      <c r="M314" s="19" t="s">
        <v>910</v>
      </c>
      <c r="N314" s="19" t="s">
        <v>911</v>
      </c>
      <c r="O314" s="20">
        <v>15</v>
      </c>
      <c r="P314" s="23" t="s">
        <v>23</v>
      </c>
      <c r="Q314" s="21" t="str">
        <f>VLOOKUP(C314,'2-1. 인사고과표(기능)'!B:AS,44,0)</f>
        <v>A</v>
      </c>
      <c r="R314" s="21" t="str">
        <f>VLOOKUP(C314,'2-2. 인사고과표(안전)'!B:AO,40,0)</f>
        <v>S</v>
      </c>
      <c r="S314" s="18"/>
      <c r="T314" s="19"/>
      <c r="U314" s="19"/>
      <c r="V314" s="19"/>
      <c r="W314" s="19"/>
      <c r="X314" s="22"/>
      <c r="Y314" s="23"/>
      <c r="Z314" s="19"/>
      <c r="AA314" s="19"/>
      <c r="AB314" s="22"/>
      <c r="AC314" s="19"/>
      <c r="AD314" s="23"/>
      <c r="AE314" s="24"/>
    </row>
    <row r="315" spans="2:31" ht="39.950000000000003" customHeight="1" x14ac:dyDescent="0.3">
      <c r="B315" s="107">
        <f t="shared" si="15"/>
        <v>24029</v>
      </c>
      <c r="C315" s="12">
        <f t="shared" si="12"/>
        <v>310</v>
      </c>
      <c r="D315" s="105" t="str">
        <f>IFERROR(" "&amp;VLOOKUP(B315,현장리스트!$B:$C,2,0),"-")</f>
        <v xml:space="preserve"> [3.DL건설] 인천 검단신도시 AA29BL 공동주택 신축공사</v>
      </c>
      <c r="E315" s="13" t="s">
        <v>967</v>
      </c>
      <c r="F315" s="13" t="str">
        <f t="shared" ca="1" si="13"/>
        <v>51세</v>
      </c>
      <c r="G315" s="14" t="s">
        <v>984</v>
      </c>
      <c r="H315" s="15" t="str">
        <f t="shared" si="14"/>
        <v>남</v>
      </c>
      <c r="I315" s="16" t="s">
        <v>901</v>
      </c>
      <c r="J315" s="16" t="s">
        <v>30</v>
      </c>
      <c r="K315" s="17">
        <v>210000</v>
      </c>
      <c r="L315" s="18" t="s">
        <v>1015</v>
      </c>
      <c r="M315" s="19" t="s">
        <v>914</v>
      </c>
      <c r="N315" s="19" t="s">
        <v>2618</v>
      </c>
      <c r="O315" s="20">
        <v>10</v>
      </c>
      <c r="P315" s="23" t="s">
        <v>23</v>
      </c>
      <c r="Q315" s="21" t="str">
        <f>VLOOKUP(C315,'2-1. 인사고과표(기능)'!B:AS,44,0)</f>
        <v>A</v>
      </c>
      <c r="R315" s="21" t="str">
        <f>VLOOKUP(C315,'2-2. 인사고과표(안전)'!B:AO,40,0)</f>
        <v>S</v>
      </c>
      <c r="S315" s="18"/>
      <c r="T315" s="19"/>
      <c r="U315" s="19"/>
      <c r="V315" s="19"/>
      <c r="W315" s="19"/>
      <c r="X315" s="22"/>
      <c r="Y315" s="23"/>
      <c r="Z315" s="19"/>
      <c r="AA315" s="19"/>
      <c r="AB315" s="22"/>
      <c r="AC315" s="19"/>
      <c r="AD315" s="23"/>
      <c r="AE315" s="24"/>
    </row>
    <row r="316" spans="2:31" ht="39.950000000000003" customHeight="1" x14ac:dyDescent="0.3">
      <c r="B316" s="107">
        <f t="shared" si="15"/>
        <v>24029</v>
      </c>
      <c r="C316" s="12">
        <f t="shared" si="12"/>
        <v>311</v>
      </c>
      <c r="D316" s="105" t="str">
        <f>IFERROR(" "&amp;VLOOKUP(B316,현장리스트!$B:$C,2,0),"-")</f>
        <v xml:space="preserve"> [3.DL건설] 인천 검단신도시 AA29BL 공동주택 신축공사</v>
      </c>
      <c r="E316" s="13" t="s">
        <v>968</v>
      </c>
      <c r="F316" s="13" t="str">
        <f t="shared" ca="1" si="13"/>
        <v>43세</v>
      </c>
      <c r="G316" s="14" t="s">
        <v>985</v>
      </c>
      <c r="H316" s="15" t="str">
        <f t="shared" si="14"/>
        <v>남</v>
      </c>
      <c r="I316" s="16" t="s">
        <v>901</v>
      </c>
      <c r="J316" s="16" t="s">
        <v>30</v>
      </c>
      <c r="K316" s="17">
        <v>190000</v>
      </c>
      <c r="L316" s="18" t="s">
        <v>1016</v>
      </c>
      <c r="M316" s="19" t="s">
        <v>987</v>
      </c>
      <c r="N316" s="19" t="s">
        <v>1010</v>
      </c>
      <c r="O316" s="20" t="s">
        <v>921</v>
      </c>
      <c r="P316" s="23" t="s">
        <v>23</v>
      </c>
      <c r="Q316" s="21" t="str">
        <f>VLOOKUP(C316,'2-1. 인사고과표(기능)'!B:AS,44,0)</f>
        <v>A</v>
      </c>
      <c r="R316" s="21" t="str">
        <f>VLOOKUP(C316,'2-2. 인사고과표(안전)'!B:AO,40,0)</f>
        <v>S</v>
      </c>
      <c r="S316" s="18"/>
      <c r="T316" s="19"/>
      <c r="U316" s="19"/>
      <c r="V316" s="19"/>
      <c r="W316" s="19"/>
      <c r="X316" s="22"/>
      <c r="Y316" s="23"/>
      <c r="Z316" s="19"/>
      <c r="AA316" s="19"/>
      <c r="AB316" s="22"/>
      <c r="AC316" s="19"/>
      <c r="AD316" s="23"/>
      <c r="AE316" s="24"/>
    </row>
    <row r="317" spans="2:31" ht="39.950000000000003" customHeight="1" x14ac:dyDescent="0.3">
      <c r="B317" s="107">
        <v>25039</v>
      </c>
      <c r="C317" s="12">
        <f t="shared" si="12"/>
        <v>312</v>
      </c>
      <c r="D317" s="105" t="str">
        <f>IFERROR(" "&amp;VLOOKUP(B317,현장리스트!$B:$C,2,0),"-")</f>
        <v xml:space="preserve"> [3.쿠팡] CHA6 FC(천안) Ph2 전기공사</v>
      </c>
      <c r="E317" s="13" t="s">
        <v>604</v>
      </c>
      <c r="F317" s="13" t="str">
        <f t="shared" ca="1" si="13"/>
        <v>34세</v>
      </c>
      <c r="G317" s="14" t="s">
        <v>2027</v>
      </c>
      <c r="H317" s="15" t="str">
        <f t="shared" si="14"/>
        <v>남</v>
      </c>
      <c r="I317" s="16" t="s">
        <v>895</v>
      </c>
      <c r="J317" s="16" t="s">
        <v>900</v>
      </c>
      <c r="K317" s="17">
        <v>4750000</v>
      </c>
      <c r="L317" s="18" t="s">
        <v>2028</v>
      </c>
      <c r="M317" s="19" t="s">
        <v>914</v>
      </c>
      <c r="N317" s="19" t="s">
        <v>2519</v>
      </c>
      <c r="O317" s="20" t="s">
        <v>921</v>
      </c>
      <c r="P317" s="23" t="s">
        <v>23</v>
      </c>
      <c r="Q317" s="21" t="str">
        <f>VLOOKUP(C317,'2-1. 인사고과표(기능)'!B:AS,44,0)</f>
        <v>S</v>
      </c>
      <c r="R317" s="21" t="str">
        <f>VLOOKUP(C317,'2-2. 인사고과표(안전)'!B:AO,40,0)</f>
        <v>S</v>
      </c>
      <c r="S317" s="18"/>
      <c r="T317" s="19"/>
      <c r="U317" s="19"/>
      <c r="V317" s="19"/>
      <c r="W317" s="19" t="s">
        <v>513</v>
      </c>
      <c r="X317" s="22" t="s">
        <v>2520</v>
      </c>
      <c r="Y317" s="23" t="s">
        <v>23</v>
      </c>
      <c r="Z317" s="19"/>
      <c r="AA317" s="19" t="s">
        <v>2521</v>
      </c>
      <c r="AB317" s="22" t="s">
        <v>2522</v>
      </c>
      <c r="AC317" s="19" t="s">
        <v>2523</v>
      </c>
      <c r="AD317" s="23" t="s">
        <v>24</v>
      </c>
      <c r="AE317" s="24"/>
    </row>
    <row r="318" spans="2:31" ht="39.950000000000003" customHeight="1" x14ac:dyDescent="0.3">
      <c r="B318" s="107">
        <f t="shared" ref="B318:B326" si="16">B317</f>
        <v>25039</v>
      </c>
      <c r="C318" s="12">
        <f t="shared" si="12"/>
        <v>313</v>
      </c>
      <c r="D318" s="105" t="str">
        <f>IFERROR(" "&amp;VLOOKUP(B318,현장리스트!$B:$C,2,0),"-")</f>
        <v xml:space="preserve"> [3.쿠팡] CHA6 FC(천안) Ph2 전기공사</v>
      </c>
      <c r="E318" s="13" t="s">
        <v>625</v>
      </c>
      <c r="F318" s="13" t="str">
        <f t="shared" ca="1" si="13"/>
        <v>39세</v>
      </c>
      <c r="G318" s="14" t="s">
        <v>1383</v>
      </c>
      <c r="H318" s="15" t="str">
        <f t="shared" si="14"/>
        <v>남</v>
      </c>
      <c r="I318" s="16" t="s">
        <v>897</v>
      </c>
      <c r="J318" s="16" t="s">
        <v>896</v>
      </c>
      <c r="K318" s="17">
        <v>4500000</v>
      </c>
      <c r="L318" s="18" t="s">
        <v>1384</v>
      </c>
      <c r="M318" s="19" t="s">
        <v>1448</v>
      </c>
      <c r="N318" s="19" t="s">
        <v>918</v>
      </c>
      <c r="O318" s="20" t="s">
        <v>2524</v>
      </c>
      <c r="P318" s="23" t="s">
        <v>26</v>
      </c>
      <c r="Q318" s="21" t="str">
        <f>VLOOKUP(C318,'2-1. 인사고과표(기능)'!B:AS,44,0)</f>
        <v>S</v>
      </c>
      <c r="R318" s="21" t="str">
        <f>VLOOKUP(C318,'2-2. 인사고과표(안전)'!B:AO,40,0)</f>
        <v>S</v>
      </c>
      <c r="S318" s="18"/>
      <c r="T318" s="19"/>
      <c r="U318" s="19"/>
      <c r="V318" s="19" t="s">
        <v>31</v>
      </c>
      <c r="W318" s="19" t="s">
        <v>621</v>
      </c>
      <c r="X318" s="22" t="s">
        <v>2525</v>
      </c>
      <c r="Y318" s="23" t="s">
        <v>24</v>
      </c>
      <c r="Z318" s="19"/>
      <c r="AA318" s="19" t="s">
        <v>2526</v>
      </c>
      <c r="AB318" s="22" t="s">
        <v>138</v>
      </c>
      <c r="AC318" s="19" t="s">
        <v>2527</v>
      </c>
      <c r="AD318" s="23" t="s">
        <v>23</v>
      </c>
      <c r="AE318" s="24"/>
    </row>
    <row r="319" spans="2:31" ht="39.950000000000003" customHeight="1" x14ac:dyDescent="0.3">
      <c r="B319" s="107">
        <f t="shared" si="16"/>
        <v>25039</v>
      </c>
      <c r="C319" s="12">
        <f t="shared" si="12"/>
        <v>314</v>
      </c>
      <c r="D319" s="105" t="str">
        <f>IFERROR(" "&amp;VLOOKUP(B319,현장리스트!$B:$C,2,0),"-")</f>
        <v xml:space="preserve"> [3.쿠팡] CHA6 FC(천안) Ph2 전기공사</v>
      </c>
      <c r="E319" s="13" t="s">
        <v>1972</v>
      </c>
      <c r="F319" s="13" t="str">
        <f t="shared" ca="1" si="13"/>
        <v>37세</v>
      </c>
      <c r="G319" s="14" t="s">
        <v>1973</v>
      </c>
      <c r="H319" s="15" t="str">
        <f t="shared" si="14"/>
        <v>남</v>
      </c>
      <c r="I319" s="16" t="s">
        <v>901</v>
      </c>
      <c r="J319" s="16" t="s">
        <v>30</v>
      </c>
      <c r="K319" s="17">
        <v>210000</v>
      </c>
      <c r="L319" s="18" t="s">
        <v>1974</v>
      </c>
      <c r="M319" s="19" t="s">
        <v>2528</v>
      </c>
      <c r="N319" s="19" t="s">
        <v>995</v>
      </c>
      <c r="O319" s="20" t="s">
        <v>2529</v>
      </c>
      <c r="P319" s="23" t="s">
        <v>23</v>
      </c>
      <c r="Q319" s="21" t="str">
        <f>VLOOKUP(C319,'2-1. 인사고과표(기능)'!B:AS,44,0)</f>
        <v>A</v>
      </c>
      <c r="R319" s="21" t="str">
        <f>VLOOKUP(C319,'2-2. 인사고과표(안전)'!B:AO,40,0)</f>
        <v>S</v>
      </c>
      <c r="S319" s="18"/>
      <c r="T319" s="19"/>
      <c r="U319" s="19"/>
      <c r="V319" s="19"/>
      <c r="W319" s="19" t="s">
        <v>465</v>
      </c>
      <c r="X319" s="22" t="s">
        <v>2530</v>
      </c>
      <c r="Y319" s="23" t="s">
        <v>26</v>
      </c>
      <c r="Z319" s="19"/>
      <c r="AA319" s="19"/>
      <c r="AB319" s="22"/>
      <c r="AC319" s="19"/>
      <c r="AD319" s="23"/>
      <c r="AE319" s="24"/>
    </row>
    <row r="320" spans="2:31" ht="39.950000000000003" customHeight="1" x14ac:dyDescent="0.3">
      <c r="B320" s="107">
        <f t="shared" si="16"/>
        <v>25039</v>
      </c>
      <c r="C320" s="12">
        <f t="shared" si="12"/>
        <v>315</v>
      </c>
      <c r="D320" s="105" t="str">
        <f>IFERROR(" "&amp;VLOOKUP(B320,현장리스트!$B:$C,2,0),"-")</f>
        <v xml:space="preserve"> [3.쿠팡] CHA6 FC(천안) Ph2 전기공사</v>
      </c>
      <c r="E320" s="13" t="s">
        <v>2215</v>
      </c>
      <c r="F320" s="13" t="str">
        <f t="shared" ca="1" si="13"/>
        <v>61세</v>
      </c>
      <c r="G320" s="14" t="s">
        <v>2216</v>
      </c>
      <c r="H320" s="15" t="str">
        <f t="shared" si="14"/>
        <v>남</v>
      </c>
      <c r="I320" s="16" t="s">
        <v>901</v>
      </c>
      <c r="J320" s="16" t="s">
        <v>30</v>
      </c>
      <c r="K320" s="17">
        <v>210000</v>
      </c>
      <c r="L320" s="18" t="s">
        <v>2217</v>
      </c>
      <c r="M320" s="19" t="s">
        <v>920</v>
      </c>
      <c r="N320" s="19" t="s">
        <v>2531</v>
      </c>
      <c r="O320" s="20" t="s">
        <v>2529</v>
      </c>
      <c r="P320" s="23" t="s">
        <v>23</v>
      </c>
      <c r="Q320" s="21" t="str">
        <f>VLOOKUP(C320,'2-1. 인사고과표(기능)'!B:AS,44,0)</f>
        <v>A</v>
      </c>
      <c r="R320" s="21" t="str">
        <f>VLOOKUP(C320,'2-2. 인사고과표(안전)'!B:AO,40,0)</f>
        <v>S</v>
      </c>
      <c r="S320" s="18"/>
      <c r="T320" s="19"/>
      <c r="U320" s="19"/>
      <c r="V320" s="19"/>
      <c r="W320" s="19" t="s">
        <v>465</v>
      </c>
      <c r="X320" s="22" t="s">
        <v>2530</v>
      </c>
      <c r="Y320" s="23" t="s">
        <v>26</v>
      </c>
      <c r="Z320" s="19"/>
      <c r="AA320" s="19"/>
      <c r="AB320" s="22"/>
      <c r="AC320" s="19"/>
      <c r="AD320" s="23"/>
      <c r="AE320" s="24"/>
    </row>
    <row r="321" spans="2:31" ht="39.950000000000003" customHeight="1" x14ac:dyDescent="0.3">
      <c r="B321" s="107">
        <f t="shared" si="16"/>
        <v>25039</v>
      </c>
      <c r="C321" s="12">
        <f t="shared" si="12"/>
        <v>316</v>
      </c>
      <c r="D321" s="105" t="str">
        <f>IFERROR(" "&amp;VLOOKUP(B321,현장리스트!$B:$C,2,0),"-")</f>
        <v xml:space="preserve"> [3.쿠팡] CHA6 FC(천안) Ph2 전기공사</v>
      </c>
      <c r="E321" s="13" t="s">
        <v>1020</v>
      </c>
      <c r="F321" s="13" t="str">
        <f t="shared" ca="1" si="13"/>
        <v>55세</v>
      </c>
      <c r="G321" s="14" t="s">
        <v>1021</v>
      </c>
      <c r="H321" s="15" t="str">
        <f t="shared" si="14"/>
        <v>남</v>
      </c>
      <c r="I321" s="16" t="s">
        <v>901</v>
      </c>
      <c r="J321" s="16" t="s">
        <v>30</v>
      </c>
      <c r="K321" s="17">
        <v>210000</v>
      </c>
      <c r="L321" s="18" t="s">
        <v>1023</v>
      </c>
      <c r="M321" s="19" t="s">
        <v>914</v>
      </c>
      <c r="N321" s="19" t="s">
        <v>2532</v>
      </c>
      <c r="O321" s="20" t="s">
        <v>1017</v>
      </c>
      <c r="P321" s="23" t="s">
        <v>23</v>
      </c>
      <c r="Q321" s="21" t="str">
        <f>VLOOKUP(C321,'2-1. 인사고과표(기능)'!B:AS,44,0)</f>
        <v>S</v>
      </c>
      <c r="R321" s="21" t="str">
        <f>VLOOKUP(C321,'2-2. 인사고과표(안전)'!B:AO,40,0)</f>
        <v>S</v>
      </c>
      <c r="S321" s="18"/>
      <c r="T321" s="19"/>
      <c r="U321" s="19"/>
      <c r="V321" s="19"/>
      <c r="W321" s="19" t="s">
        <v>465</v>
      </c>
      <c r="X321" s="22" t="s">
        <v>2530</v>
      </c>
      <c r="Y321" s="23" t="s">
        <v>26</v>
      </c>
      <c r="Z321" s="19"/>
      <c r="AA321" s="19"/>
      <c r="AB321" s="22"/>
      <c r="AC321" s="19"/>
      <c r="AD321" s="23"/>
      <c r="AE321" s="24"/>
    </row>
    <row r="322" spans="2:31" ht="39.950000000000003" customHeight="1" x14ac:dyDescent="0.3">
      <c r="B322" s="107">
        <f t="shared" si="16"/>
        <v>25039</v>
      </c>
      <c r="C322" s="12">
        <f t="shared" si="12"/>
        <v>317</v>
      </c>
      <c r="D322" s="105" t="str">
        <f>IFERROR(" "&amp;VLOOKUP(B322,현장리스트!$B:$C,2,0),"-")</f>
        <v xml:space="preserve"> [3.쿠팡] CHA6 FC(천안) Ph2 전기공사</v>
      </c>
      <c r="E322" s="13" t="s">
        <v>1129</v>
      </c>
      <c r="F322" s="13" t="str">
        <f t="shared" ca="1" si="13"/>
        <v>56세</v>
      </c>
      <c r="G322" s="14" t="s">
        <v>1132</v>
      </c>
      <c r="H322" s="15" t="str">
        <f t="shared" si="14"/>
        <v>남</v>
      </c>
      <c r="I322" s="16" t="s">
        <v>901</v>
      </c>
      <c r="J322" s="16" t="s">
        <v>30</v>
      </c>
      <c r="K322" s="17">
        <v>210000</v>
      </c>
      <c r="L322" s="18" t="s">
        <v>1133</v>
      </c>
      <c r="M322" s="19" t="s">
        <v>914</v>
      </c>
      <c r="N322" s="19" t="s">
        <v>2519</v>
      </c>
      <c r="O322" s="20" t="s">
        <v>912</v>
      </c>
      <c r="P322" s="23" t="s">
        <v>23</v>
      </c>
      <c r="Q322" s="21" t="str">
        <f>VLOOKUP(C322,'2-1. 인사고과표(기능)'!B:AS,44,0)</f>
        <v>S</v>
      </c>
      <c r="R322" s="21" t="str">
        <f>VLOOKUP(C322,'2-2. 인사고과표(안전)'!B:AO,40,0)</f>
        <v>S</v>
      </c>
      <c r="S322" s="18"/>
      <c r="T322" s="19"/>
      <c r="U322" s="19"/>
      <c r="V322" s="19"/>
      <c r="W322" s="19" t="s">
        <v>465</v>
      </c>
      <c r="X322" s="22" t="s">
        <v>2530</v>
      </c>
      <c r="Y322" s="23" t="s">
        <v>26</v>
      </c>
      <c r="Z322" s="19"/>
      <c r="AA322" s="19"/>
      <c r="AB322" s="22"/>
      <c r="AC322" s="19"/>
      <c r="AD322" s="23"/>
      <c r="AE322" s="24"/>
    </row>
    <row r="323" spans="2:31" ht="39.950000000000003" customHeight="1" x14ac:dyDescent="0.3">
      <c r="B323" s="107">
        <f t="shared" si="16"/>
        <v>25039</v>
      </c>
      <c r="C323" s="12">
        <f t="shared" si="12"/>
        <v>318</v>
      </c>
      <c r="D323" s="105" t="str">
        <f>IFERROR(" "&amp;VLOOKUP(B323,현장리스트!$B:$C,2,0),"-")</f>
        <v xml:space="preserve"> [3.쿠팡] CHA6 FC(천안) Ph2 전기공사</v>
      </c>
      <c r="E323" s="13" t="s">
        <v>1560</v>
      </c>
      <c r="F323" s="13" t="str">
        <f t="shared" ca="1" si="13"/>
        <v>52세</v>
      </c>
      <c r="G323" s="14" t="s">
        <v>1561</v>
      </c>
      <c r="H323" s="15" t="str">
        <f t="shared" si="14"/>
        <v>남</v>
      </c>
      <c r="I323" s="16" t="s">
        <v>901</v>
      </c>
      <c r="J323" s="16" t="s">
        <v>30</v>
      </c>
      <c r="K323" s="17">
        <v>210000</v>
      </c>
      <c r="L323" s="18" t="s">
        <v>1562</v>
      </c>
      <c r="M323" s="19" t="s">
        <v>1531</v>
      </c>
      <c r="N323" s="19" t="s">
        <v>1531</v>
      </c>
      <c r="O323" s="20" t="s">
        <v>2533</v>
      </c>
      <c r="P323" s="23" t="s">
        <v>23</v>
      </c>
      <c r="Q323" s="21" t="str">
        <f>VLOOKUP(C323,'2-1. 인사고과표(기능)'!B:AS,44,0)</f>
        <v>S</v>
      </c>
      <c r="R323" s="21" t="str">
        <f>VLOOKUP(C323,'2-2. 인사고과표(안전)'!B:AO,40,0)</f>
        <v>S</v>
      </c>
      <c r="S323" s="18"/>
      <c r="T323" s="19"/>
      <c r="U323" s="19"/>
      <c r="V323" s="19"/>
      <c r="W323" s="19" t="s">
        <v>465</v>
      </c>
      <c r="X323" s="22" t="s">
        <v>2530</v>
      </c>
      <c r="Y323" s="23" t="s">
        <v>26</v>
      </c>
      <c r="Z323" s="19"/>
      <c r="AA323" s="19"/>
      <c r="AB323" s="22"/>
      <c r="AC323" s="19"/>
      <c r="AD323" s="23"/>
      <c r="AE323" s="24"/>
    </row>
    <row r="324" spans="2:31" ht="39.950000000000003" customHeight="1" x14ac:dyDescent="0.3">
      <c r="B324" s="107">
        <f t="shared" si="16"/>
        <v>25039</v>
      </c>
      <c r="C324" s="12">
        <f t="shared" si="12"/>
        <v>319</v>
      </c>
      <c r="D324" s="105" t="str">
        <f>IFERROR(" "&amp;VLOOKUP(B324,현장리스트!$B:$C,2,0),"-")</f>
        <v xml:space="preserve"> [3.쿠팡] CHA6 FC(천안) Ph2 전기공사</v>
      </c>
      <c r="E324" s="13" t="s">
        <v>2228</v>
      </c>
      <c r="F324" s="13" t="str">
        <f t="shared" ca="1" si="13"/>
        <v>58세</v>
      </c>
      <c r="G324" s="14" t="s">
        <v>2229</v>
      </c>
      <c r="H324" s="15" t="str">
        <f t="shared" si="14"/>
        <v>남</v>
      </c>
      <c r="I324" s="16" t="s">
        <v>901</v>
      </c>
      <c r="J324" s="16" t="s">
        <v>30</v>
      </c>
      <c r="K324" s="17">
        <v>210000</v>
      </c>
      <c r="L324" s="18" t="s">
        <v>2230</v>
      </c>
      <c r="M324" s="19" t="s">
        <v>910</v>
      </c>
      <c r="N324" s="19" t="s">
        <v>995</v>
      </c>
      <c r="O324" s="20" t="s">
        <v>921</v>
      </c>
      <c r="P324" s="23" t="s">
        <v>26</v>
      </c>
      <c r="Q324" s="21" t="str">
        <f>VLOOKUP(C324,'2-1. 인사고과표(기능)'!B:AS,44,0)</f>
        <v>S</v>
      </c>
      <c r="R324" s="21" t="str">
        <f>VLOOKUP(C324,'2-2. 인사고과표(안전)'!B:AO,40,0)</f>
        <v>S</v>
      </c>
      <c r="S324" s="18"/>
      <c r="T324" s="19"/>
      <c r="U324" s="19"/>
      <c r="V324" s="19"/>
      <c r="W324" s="19" t="s">
        <v>465</v>
      </c>
      <c r="X324" s="22" t="s">
        <v>2530</v>
      </c>
      <c r="Y324" s="23" t="s">
        <v>26</v>
      </c>
      <c r="Z324" s="19"/>
      <c r="AA324" s="19"/>
      <c r="AB324" s="22"/>
      <c r="AC324" s="19"/>
      <c r="AD324" s="23"/>
      <c r="AE324" s="24"/>
    </row>
    <row r="325" spans="2:31" ht="39.950000000000003" customHeight="1" x14ac:dyDescent="0.3">
      <c r="B325" s="107">
        <f t="shared" si="16"/>
        <v>25039</v>
      </c>
      <c r="C325" s="12">
        <f t="shared" si="12"/>
        <v>320</v>
      </c>
      <c r="D325" s="105" t="str">
        <f>IFERROR(" "&amp;VLOOKUP(B325,현장리스트!$B:$C,2,0),"-")</f>
        <v xml:space="preserve"> [3.쿠팡] CHA6 FC(천안) Ph2 전기공사</v>
      </c>
      <c r="E325" s="13" t="s">
        <v>1049</v>
      </c>
      <c r="F325" s="13" t="str">
        <f t="shared" ca="1" si="13"/>
        <v>25세</v>
      </c>
      <c r="G325" s="14" t="s">
        <v>1050</v>
      </c>
      <c r="H325" s="15" t="str">
        <f t="shared" si="14"/>
        <v>남</v>
      </c>
      <c r="I325" s="16" t="s">
        <v>901</v>
      </c>
      <c r="J325" s="16" t="s">
        <v>30</v>
      </c>
      <c r="K325" s="17">
        <v>210000</v>
      </c>
      <c r="L325" s="18" t="s">
        <v>1051</v>
      </c>
      <c r="M325" s="19" t="s">
        <v>914</v>
      </c>
      <c r="N325" s="19" t="s">
        <v>2532</v>
      </c>
      <c r="O325" s="20" t="s">
        <v>2534</v>
      </c>
      <c r="P325" s="23" t="s">
        <v>26</v>
      </c>
      <c r="Q325" s="21" t="str">
        <f>VLOOKUP(C325,'2-1. 인사고과표(기능)'!B:AS,44,0)</f>
        <v>A</v>
      </c>
      <c r="R325" s="21" t="str">
        <f>VLOOKUP(C325,'2-2. 인사고과표(안전)'!B:AO,40,0)</f>
        <v>S</v>
      </c>
      <c r="S325" s="18"/>
      <c r="T325" s="19"/>
      <c r="U325" s="19"/>
      <c r="V325" s="19"/>
      <c r="W325" s="19" t="s">
        <v>465</v>
      </c>
      <c r="X325" s="22" t="s">
        <v>2530</v>
      </c>
      <c r="Y325" s="23" t="s">
        <v>26</v>
      </c>
      <c r="Z325" s="19"/>
      <c r="AA325" s="19"/>
      <c r="AB325" s="22"/>
      <c r="AC325" s="19"/>
      <c r="AD325" s="23"/>
      <c r="AE325" s="24"/>
    </row>
    <row r="326" spans="2:31" ht="39.950000000000003" customHeight="1" x14ac:dyDescent="0.3">
      <c r="B326" s="107">
        <f t="shared" si="16"/>
        <v>25039</v>
      </c>
      <c r="C326" s="12">
        <f t="shared" ref="C326:C389" si="17">ROW()-5</f>
        <v>321</v>
      </c>
      <c r="D326" s="105" t="str">
        <f>IFERROR(" "&amp;VLOOKUP(B326,현장리스트!$B:$C,2,0),"-")</f>
        <v xml:space="preserve"> [3.쿠팡] CHA6 FC(천안) Ph2 전기공사</v>
      </c>
      <c r="E326" s="13" t="s">
        <v>2511</v>
      </c>
      <c r="F326" s="13" t="str">
        <f t="shared" ref="F326:F389" ca="1" si="18">IFERROR(DATEDIF(MID(G326,1,2)&amp;"-"&amp;MID(G326,3,2)&amp;"-"&amp;MID(G326,5,2),TODAY(),"y")&amp;"세","")</f>
        <v>51세</v>
      </c>
      <c r="G326" s="14" t="s">
        <v>2512</v>
      </c>
      <c r="H326" s="15" t="str">
        <f t="shared" ref="H326:H389" si="19">IF(G326="","",IF(LEN(G326)&lt;14,"에러",IF(LEN(G326)&lt;14,"에러",IF(ISODD(MID(G326,8,1)),"남","여"))))</f>
        <v>남</v>
      </c>
      <c r="I326" s="16" t="s">
        <v>901</v>
      </c>
      <c r="J326" s="16" t="s">
        <v>30</v>
      </c>
      <c r="K326" s="17">
        <v>210000</v>
      </c>
      <c r="L326" s="18" t="s">
        <v>2513</v>
      </c>
      <c r="M326" s="19" t="s">
        <v>917</v>
      </c>
      <c r="N326" s="19" t="s">
        <v>952</v>
      </c>
      <c r="O326" s="20" t="s">
        <v>1017</v>
      </c>
      <c r="P326" s="23" t="s">
        <v>25</v>
      </c>
      <c r="Q326" s="21" t="str">
        <f>VLOOKUP(C326,'2-1. 인사고과표(기능)'!B:AS,44,0)</f>
        <v>S</v>
      </c>
      <c r="R326" s="21" t="str">
        <f>VLOOKUP(C326,'2-2. 인사고과표(안전)'!B:AO,40,0)</f>
        <v>S</v>
      </c>
      <c r="S326" s="18"/>
      <c r="T326" s="19"/>
      <c r="U326" s="19"/>
      <c r="V326" s="19"/>
      <c r="W326" s="19" t="s">
        <v>465</v>
      </c>
      <c r="X326" s="22" t="s">
        <v>2530</v>
      </c>
      <c r="Y326" s="23" t="s">
        <v>26</v>
      </c>
      <c r="Z326" s="19"/>
      <c r="AA326" s="19"/>
      <c r="AB326" s="22"/>
      <c r="AC326" s="19"/>
      <c r="AD326" s="23"/>
      <c r="AE326" s="24"/>
    </row>
    <row r="327" spans="2:31" ht="39.950000000000003" customHeight="1" x14ac:dyDescent="0.3">
      <c r="B327" s="107">
        <v>25027</v>
      </c>
      <c r="C327" s="12">
        <f t="shared" si="17"/>
        <v>322</v>
      </c>
      <c r="D327" s="105" t="str">
        <f>IFERROR(" "&amp;VLOOKUP(B327,현장리스트!$B:$C,2,0),"-")</f>
        <v xml:space="preserve"> [3.쿠팡] DAE3,7,8 FC(대구) Ph2 전기공사</v>
      </c>
      <c r="E327" s="13" t="s">
        <v>611</v>
      </c>
      <c r="F327" s="13" t="str">
        <f t="shared" ca="1" si="18"/>
        <v>42세</v>
      </c>
      <c r="G327" s="111" t="s">
        <v>1251</v>
      </c>
      <c r="H327" s="15" t="str">
        <f t="shared" si="19"/>
        <v>남</v>
      </c>
      <c r="I327" s="16" t="s">
        <v>895</v>
      </c>
      <c r="J327" s="16" t="s">
        <v>896</v>
      </c>
      <c r="K327" s="17">
        <v>5200000</v>
      </c>
      <c r="L327" s="18" t="s">
        <v>905</v>
      </c>
      <c r="M327" s="19" t="s">
        <v>906</v>
      </c>
      <c r="N327" s="19" t="s">
        <v>2619</v>
      </c>
      <c r="O327" s="20" t="s">
        <v>907</v>
      </c>
      <c r="P327" s="23" t="s">
        <v>26</v>
      </c>
      <c r="Q327" s="21" t="str">
        <f>VLOOKUP(C327,'2-1. 인사고과표(기능)'!B:AS,44,0)</f>
        <v>S</v>
      </c>
      <c r="R327" s="21" t="str">
        <f>VLOOKUP(C327,'2-2. 인사고과표(안전)'!B:AO,40,0)</f>
        <v>S</v>
      </c>
      <c r="S327" s="18"/>
      <c r="T327" s="19"/>
      <c r="U327" s="19"/>
      <c r="V327" s="19"/>
      <c r="W327" s="19" t="s">
        <v>465</v>
      </c>
      <c r="X327" s="22" t="s">
        <v>908</v>
      </c>
      <c r="Y327" s="23"/>
      <c r="Z327" s="19"/>
      <c r="AA327" s="19"/>
      <c r="AB327" s="22"/>
      <c r="AC327" s="19"/>
      <c r="AD327" s="23"/>
      <c r="AE327" s="24"/>
    </row>
    <row r="328" spans="2:31" ht="39.950000000000003" customHeight="1" x14ac:dyDescent="0.3">
      <c r="B328" s="107">
        <f>B327</f>
        <v>25027</v>
      </c>
      <c r="C328" s="12">
        <f t="shared" si="17"/>
        <v>323</v>
      </c>
      <c r="D328" s="105" t="str">
        <f>IFERROR(" "&amp;VLOOKUP(B328,현장리스트!$B:$C,2,0),"-")</f>
        <v xml:space="preserve"> [3.쿠팡] DAE3,7,8 FC(대구) Ph2 전기공사</v>
      </c>
      <c r="E328" s="13" t="s">
        <v>605</v>
      </c>
      <c r="F328" s="13" t="str">
        <f t="shared" ca="1" si="18"/>
        <v>52세</v>
      </c>
      <c r="G328" s="14" t="s">
        <v>1862</v>
      </c>
      <c r="H328" s="15" t="str">
        <f t="shared" si="19"/>
        <v>남</v>
      </c>
      <c r="I328" s="16" t="s">
        <v>897</v>
      </c>
      <c r="J328" s="16" t="s">
        <v>898</v>
      </c>
      <c r="K328" s="17">
        <v>5958000</v>
      </c>
      <c r="L328" s="18" t="s">
        <v>909</v>
      </c>
      <c r="M328" s="19" t="s">
        <v>910</v>
      </c>
      <c r="N328" s="19" t="s">
        <v>911</v>
      </c>
      <c r="O328" s="20" t="s">
        <v>912</v>
      </c>
      <c r="P328" s="23" t="s">
        <v>26</v>
      </c>
      <c r="Q328" s="21" t="str">
        <f>VLOOKUP(C328,'2-1. 인사고과표(기능)'!B:AS,44,0)</f>
        <v>S</v>
      </c>
      <c r="R328" s="21" t="str">
        <f>VLOOKUP(C328,'2-2. 인사고과표(안전)'!B:AO,40,0)</f>
        <v>S</v>
      </c>
      <c r="S328" s="18"/>
      <c r="T328" s="19"/>
      <c r="U328" s="19"/>
      <c r="V328" s="19"/>
      <c r="W328" s="19" t="s">
        <v>465</v>
      </c>
      <c r="X328" s="22"/>
      <c r="Y328" s="23"/>
      <c r="Z328" s="19"/>
      <c r="AA328" s="19"/>
      <c r="AB328" s="22"/>
      <c r="AC328" s="19"/>
      <c r="AD328" s="23"/>
      <c r="AE328" s="24"/>
    </row>
    <row r="329" spans="2:31" ht="39.950000000000003" customHeight="1" x14ac:dyDescent="0.3">
      <c r="B329" s="107">
        <f>B331</f>
        <v>25027</v>
      </c>
      <c r="C329" s="12">
        <f t="shared" si="17"/>
        <v>324</v>
      </c>
      <c r="D329" s="105" t="str">
        <f>IFERROR(" "&amp;VLOOKUP(B329,현장리스트!$B:$C,2,0),"-")</f>
        <v xml:space="preserve"> [3.쿠팡] DAE3,7,8 FC(대구) Ph2 전기공사</v>
      </c>
      <c r="E329" s="13" t="s">
        <v>877</v>
      </c>
      <c r="F329" s="13" t="str">
        <f t="shared" ca="1" si="18"/>
        <v>49세</v>
      </c>
      <c r="G329" s="14" t="s">
        <v>1106</v>
      </c>
      <c r="H329" s="15" t="str">
        <f t="shared" si="19"/>
        <v>여</v>
      </c>
      <c r="I329" s="16" t="s">
        <v>897</v>
      </c>
      <c r="J329" s="16" t="s">
        <v>900</v>
      </c>
      <c r="K329" s="26">
        <v>210000</v>
      </c>
      <c r="L329" s="18" t="s">
        <v>913</v>
      </c>
      <c r="M329" s="19" t="s">
        <v>914</v>
      </c>
      <c r="N329" s="19" t="s">
        <v>2620</v>
      </c>
      <c r="O329" s="20" t="s">
        <v>1018</v>
      </c>
      <c r="P329" s="23" t="s">
        <v>26</v>
      </c>
      <c r="Q329" s="21" t="str">
        <f>VLOOKUP(C329,'2-1. 인사고과표(기능)'!B:AS,44,0)</f>
        <v>S</v>
      </c>
      <c r="R329" s="21" t="str">
        <f>VLOOKUP(C329,'2-2. 인사고과표(안전)'!B:AO,40,0)</f>
        <v>S</v>
      </c>
      <c r="S329" s="18"/>
      <c r="T329" s="19"/>
      <c r="U329" s="19"/>
      <c r="V329" s="19"/>
      <c r="W329" s="19" t="s">
        <v>465</v>
      </c>
      <c r="X329" s="22" t="s">
        <v>915</v>
      </c>
      <c r="Y329" s="23"/>
      <c r="Z329" s="19"/>
      <c r="AA329" s="19"/>
      <c r="AB329" s="22"/>
      <c r="AC329" s="19"/>
      <c r="AD329" s="23"/>
      <c r="AE329" s="24"/>
    </row>
    <row r="330" spans="2:31" ht="39.950000000000003" customHeight="1" x14ac:dyDescent="0.3">
      <c r="B330" s="107">
        <f>B328</f>
        <v>25027</v>
      </c>
      <c r="C330" s="12">
        <f t="shared" si="17"/>
        <v>325</v>
      </c>
      <c r="D330" s="105" t="str">
        <f>IFERROR(" "&amp;VLOOKUP(B330,현장리스트!$B:$C,2,0),"-")</f>
        <v xml:space="preserve"> [3.쿠팡] DAE3,7,8 FC(대구) Ph2 전기공사</v>
      </c>
      <c r="E330" s="13" t="s">
        <v>875</v>
      </c>
      <c r="F330" s="13" t="str">
        <f t="shared" ca="1" si="18"/>
        <v>61세</v>
      </c>
      <c r="G330" s="14" t="s">
        <v>2424</v>
      </c>
      <c r="H330" s="15" t="str">
        <f t="shared" si="19"/>
        <v>남</v>
      </c>
      <c r="I330" s="16" t="s">
        <v>899</v>
      </c>
      <c r="J330" s="16" t="s">
        <v>904</v>
      </c>
      <c r="K330" s="17">
        <v>210000</v>
      </c>
      <c r="L330" s="18" t="s">
        <v>916</v>
      </c>
      <c r="M330" s="19" t="s">
        <v>917</v>
      </c>
      <c r="N330" s="19" t="s">
        <v>918</v>
      </c>
      <c r="O330" s="20" t="s">
        <v>1018</v>
      </c>
      <c r="P330" s="23" t="s">
        <v>26</v>
      </c>
      <c r="Q330" s="21" t="str">
        <f>VLOOKUP(C330,'2-1. 인사고과표(기능)'!B:AS,44,0)</f>
        <v>S</v>
      </c>
      <c r="R330" s="21" t="str">
        <f>VLOOKUP(C330,'2-2. 인사고과표(안전)'!B:AO,40,0)</f>
        <v>S</v>
      </c>
      <c r="S330" s="18"/>
      <c r="T330" s="19"/>
      <c r="U330" s="19"/>
      <c r="V330" s="19"/>
      <c r="W330" s="19" t="s">
        <v>465</v>
      </c>
      <c r="X330" s="22" t="s">
        <v>915</v>
      </c>
      <c r="Y330" s="23"/>
      <c r="Z330" s="19"/>
      <c r="AA330" s="19"/>
      <c r="AB330" s="22"/>
      <c r="AC330" s="19"/>
      <c r="AD330" s="23"/>
      <c r="AE330" s="24"/>
    </row>
    <row r="331" spans="2:31" ht="39.950000000000003" customHeight="1" x14ac:dyDescent="0.3">
      <c r="B331" s="107">
        <f>B330</f>
        <v>25027</v>
      </c>
      <c r="C331" s="12">
        <f t="shared" si="17"/>
        <v>326</v>
      </c>
      <c r="D331" s="105" t="str">
        <f>IFERROR(" "&amp;VLOOKUP(B331,현장리스트!$B:$C,2,0),"-")</f>
        <v xml:space="preserve"> [3.쿠팡] DAE3,7,8 FC(대구) Ph2 전기공사</v>
      </c>
      <c r="E331" s="13" t="s">
        <v>876</v>
      </c>
      <c r="F331" s="13" t="str">
        <f t="shared" ca="1" si="18"/>
        <v>62세</v>
      </c>
      <c r="G331" s="14" t="s">
        <v>1760</v>
      </c>
      <c r="H331" s="15" t="str">
        <f t="shared" si="19"/>
        <v>남</v>
      </c>
      <c r="I331" s="16" t="s">
        <v>899</v>
      </c>
      <c r="J331" s="16" t="s">
        <v>904</v>
      </c>
      <c r="K331" s="17">
        <v>170000</v>
      </c>
      <c r="L331" s="18" t="s">
        <v>919</v>
      </c>
      <c r="M331" s="19" t="s">
        <v>920</v>
      </c>
      <c r="N331" s="19" t="s">
        <v>2621</v>
      </c>
      <c r="O331" s="20" t="s">
        <v>921</v>
      </c>
      <c r="P331" s="23" t="s">
        <v>28</v>
      </c>
      <c r="Q331" s="21" t="str">
        <f>VLOOKUP(C331,'2-1. 인사고과표(기능)'!B:AS,44,0)</f>
        <v>S</v>
      </c>
      <c r="R331" s="21" t="str">
        <f>VLOOKUP(C331,'2-2. 인사고과표(안전)'!B:AO,40,0)</f>
        <v>S</v>
      </c>
      <c r="S331" s="18"/>
      <c r="T331" s="19"/>
      <c r="U331" s="19"/>
      <c r="V331" s="19"/>
      <c r="W331" s="19" t="s">
        <v>465</v>
      </c>
      <c r="X331" s="22"/>
      <c r="Y331" s="23"/>
      <c r="Z331" s="19"/>
      <c r="AA331" s="19"/>
      <c r="AB331" s="22"/>
      <c r="AC331" s="19"/>
      <c r="AD331" s="23"/>
      <c r="AE331" s="24"/>
    </row>
    <row r="332" spans="2:31" ht="39.950000000000003" customHeight="1" x14ac:dyDescent="0.3">
      <c r="B332" s="107">
        <f>B329</f>
        <v>25027</v>
      </c>
      <c r="C332" s="12">
        <f t="shared" si="17"/>
        <v>327</v>
      </c>
      <c r="D332" s="105" t="str">
        <f>IFERROR(" "&amp;VLOOKUP(B332,현장리스트!$B:$C,2,0),"-")</f>
        <v xml:space="preserve"> [3.쿠팡] DAE3,7,8 FC(대구) Ph2 전기공사</v>
      </c>
      <c r="E332" s="13" t="s">
        <v>878</v>
      </c>
      <c r="F332" s="13" t="str">
        <f t="shared" ca="1" si="18"/>
        <v>56세</v>
      </c>
      <c r="G332" s="14" t="s">
        <v>3432</v>
      </c>
      <c r="H332" s="15" t="str">
        <f t="shared" si="19"/>
        <v>남</v>
      </c>
      <c r="I332" s="25" t="s">
        <v>901</v>
      </c>
      <c r="J332" s="25" t="s">
        <v>30</v>
      </c>
      <c r="K332" s="26">
        <v>200000</v>
      </c>
      <c r="L332" s="18" t="s">
        <v>922</v>
      </c>
      <c r="M332" s="19" t="s">
        <v>923</v>
      </c>
      <c r="N332" s="19" t="s">
        <v>924</v>
      </c>
      <c r="O332" s="20" t="s">
        <v>1018</v>
      </c>
      <c r="P332" s="23" t="s">
        <v>26</v>
      </c>
      <c r="Q332" s="21" t="str">
        <f>VLOOKUP(C332,'2-1. 인사고과표(기능)'!B:AS,44,0)</f>
        <v>A</v>
      </c>
      <c r="R332" s="21" t="str">
        <f>VLOOKUP(C332,'2-2. 인사고과표(안전)'!B:AO,40,0)</f>
        <v>B</v>
      </c>
      <c r="S332" s="18"/>
      <c r="T332" s="19"/>
      <c r="U332" s="19"/>
      <c r="V332" s="19"/>
      <c r="W332" s="19" t="s">
        <v>465</v>
      </c>
      <c r="X332" s="22"/>
      <c r="Y332" s="23"/>
      <c r="Z332" s="19"/>
      <c r="AA332" s="19"/>
      <c r="AB332" s="22"/>
      <c r="AC332" s="19"/>
      <c r="AD332" s="23"/>
      <c r="AE332" s="24"/>
    </row>
    <row r="333" spans="2:31" ht="39.950000000000003" customHeight="1" x14ac:dyDescent="0.3">
      <c r="B333" s="107">
        <f t="shared" ref="B333:B348" si="20">B332</f>
        <v>25027</v>
      </c>
      <c r="C333" s="12">
        <f t="shared" si="17"/>
        <v>328</v>
      </c>
      <c r="D333" s="105" t="str">
        <f>IFERROR(" "&amp;VLOOKUP(B333,현장리스트!$B:$C,2,0),"-")</f>
        <v xml:space="preserve"> [3.쿠팡] DAE3,7,8 FC(대구) Ph2 전기공사</v>
      </c>
      <c r="E333" s="13" t="s">
        <v>879</v>
      </c>
      <c r="F333" s="13" t="str">
        <f t="shared" ca="1" si="18"/>
        <v>28세</v>
      </c>
      <c r="G333" s="14" t="s">
        <v>1164</v>
      </c>
      <c r="H333" s="15" t="str">
        <f t="shared" si="19"/>
        <v>남</v>
      </c>
      <c r="I333" s="25" t="s">
        <v>901</v>
      </c>
      <c r="J333" s="25" t="s">
        <v>902</v>
      </c>
      <c r="K333" s="26">
        <v>230000</v>
      </c>
      <c r="L333" s="18" t="s">
        <v>925</v>
      </c>
      <c r="M333" s="19" t="s">
        <v>920</v>
      </c>
      <c r="N333" s="19" t="s">
        <v>2622</v>
      </c>
      <c r="O333" s="20" t="s">
        <v>926</v>
      </c>
      <c r="P333" s="23" t="s">
        <v>26</v>
      </c>
      <c r="Q333" s="21" t="str">
        <f>VLOOKUP(C333,'2-1. 인사고과표(기능)'!B:AS,44,0)</f>
        <v>A</v>
      </c>
      <c r="R333" s="21" t="str">
        <f>VLOOKUP(C333,'2-2. 인사고과표(안전)'!B:AO,40,0)</f>
        <v>B</v>
      </c>
      <c r="S333" s="18"/>
      <c r="T333" s="19"/>
      <c r="U333" s="19"/>
      <c r="V333" s="19"/>
      <c r="W333" s="19" t="s">
        <v>465</v>
      </c>
      <c r="X333" s="22"/>
      <c r="Y333" s="23"/>
      <c r="Z333" s="19"/>
      <c r="AA333" s="19"/>
      <c r="AB333" s="22"/>
      <c r="AC333" s="19"/>
      <c r="AD333" s="23"/>
      <c r="AE333" s="24"/>
    </row>
    <row r="334" spans="2:31" ht="39.950000000000003" customHeight="1" x14ac:dyDescent="0.3">
      <c r="B334" s="107">
        <f t="shared" si="20"/>
        <v>25027</v>
      </c>
      <c r="C334" s="12">
        <f t="shared" si="17"/>
        <v>329</v>
      </c>
      <c r="D334" s="105" t="str">
        <f>IFERROR(" "&amp;VLOOKUP(B334,현장리스트!$B:$C,2,0),"-")</f>
        <v xml:space="preserve"> [3.쿠팡] DAE3,7,8 FC(대구) Ph2 전기공사</v>
      </c>
      <c r="E334" s="13" t="s">
        <v>880</v>
      </c>
      <c r="F334" s="13" t="str">
        <f t="shared" ca="1" si="18"/>
        <v>30세</v>
      </c>
      <c r="G334" s="14" t="s">
        <v>2600</v>
      </c>
      <c r="H334" s="15" t="str">
        <f t="shared" si="19"/>
        <v>남</v>
      </c>
      <c r="I334" s="25" t="s">
        <v>901</v>
      </c>
      <c r="J334" s="25" t="s">
        <v>902</v>
      </c>
      <c r="K334" s="26">
        <v>230000</v>
      </c>
      <c r="L334" s="18" t="s">
        <v>927</v>
      </c>
      <c r="M334" s="19" t="s">
        <v>928</v>
      </c>
      <c r="N334" s="19" t="s">
        <v>929</v>
      </c>
      <c r="O334" s="20" t="s">
        <v>926</v>
      </c>
      <c r="P334" s="23" t="s">
        <v>26</v>
      </c>
      <c r="Q334" s="21" t="str">
        <f>VLOOKUP(C334,'2-1. 인사고과표(기능)'!B:AS,44,0)</f>
        <v>A</v>
      </c>
      <c r="R334" s="21" t="str">
        <f>VLOOKUP(C334,'2-2. 인사고과표(안전)'!B:AO,40,0)</f>
        <v>B</v>
      </c>
      <c r="S334" s="18"/>
      <c r="T334" s="19"/>
      <c r="U334" s="19"/>
      <c r="V334" s="19"/>
      <c r="W334" s="19" t="s">
        <v>465</v>
      </c>
      <c r="X334" s="22"/>
      <c r="Y334" s="23"/>
      <c r="Z334" s="19"/>
      <c r="AA334" s="19"/>
      <c r="AB334" s="22"/>
      <c r="AC334" s="19"/>
      <c r="AD334" s="23"/>
      <c r="AE334" s="24"/>
    </row>
    <row r="335" spans="2:31" ht="39.950000000000003" customHeight="1" x14ac:dyDescent="0.3">
      <c r="B335" s="107">
        <f t="shared" si="20"/>
        <v>25027</v>
      </c>
      <c r="C335" s="12">
        <f t="shared" si="17"/>
        <v>330</v>
      </c>
      <c r="D335" s="105" t="str">
        <f>IFERROR(" "&amp;VLOOKUP(B335,현장리스트!$B:$C,2,0),"-")</f>
        <v xml:space="preserve"> [3.쿠팡] DAE3,7,8 FC(대구) Ph2 전기공사</v>
      </c>
      <c r="E335" s="13" t="s">
        <v>881</v>
      </c>
      <c r="F335" s="13" t="str">
        <f t="shared" ca="1" si="18"/>
        <v>61세</v>
      </c>
      <c r="G335" s="14" t="s">
        <v>2601</v>
      </c>
      <c r="H335" s="15" t="str">
        <f t="shared" si="19"/>
        <v>남</v>
      </c>
      <c r="I335" s="25" t="s">
        <v>901</v>
      </c>
      <c r="J335" s="25" t="s">
        <v>30</v>
      </c>
      <c r="K335" s="26">
        <v>230000</v>
      </c>
      <c r="L335" s="18" t="s">
        <v>930</v>
      </c>
      <c r="M335" s="19" t="s">
        <v>928</v>
      </c>
      <c r="N335" s="19" t="s">
        <v>931</v>
      </c>
      <c r="O335" s="20" t="s">
        <v>1018</v>
      </c>
      <c r="P335" s="23" t="s">
        <v>26</v>
      </c>
      <c r="Q335" s="21" t="str">
        <f>VLOOKUP(C335,'2-1. 인사고과표(기능)'!B:AS,44,0)</f>
        <v>B</v>
      </c>
      <c r="R335" s="21" t="str">
        <f>VLOOKUP(C335,'2-2. 인사고과표(안전)'!B:AO,40,0)</f>
        <v>B</v>
      </c>
      <c r="S335" s="18"/>
      <c r="T335" s="19"/>
      <c r="U335" s="19"/>
      <c r="V335" s="19"/>
      <c r="W335" s="19" t="s">
        <v>465</v>
      </c>
      <c r="X335" s="22"/>
      <c r="Y335" s="23"/>
      <c r="Z335" s="19"/>
      <c r="AA335" s="19"/>
      <c r="AB335" s="22"/>
      <c r="AC335" s="19"/>
      <c r="AD335" s="23"/>
      <c r="AE335" s="24"/>
    </row>
    <row r="336" spans="2:31" ht="39.950000000000003" customHeight="1" x14ac:dyDescent="0.3">
      <c r="B336" s="107">
        <f t="shared" si="20"/>
        <v>25027</v>
      </c>
      <c r="C336" s="12">
        <f t="shared" si="17"/>
        <v>331</v>
      </c>
      <c r="D336" s="105" t="str">
        <f>IFERROR(" "&amp;VLOOKUP(B336,현장리스트!$B:$C,2,0),"-")</f>
        <v xml:space="preserve"> [3.쿠팡] DAE3,7,8 FC(대구) Ph2 전기공사</v>
      </c>
      <c r="E336" s="13" t="s">
        <v>882</v>
      </c>
      <c r="F336" s="13" t="str">
        <f t="shared" ca="1" si="18"/>
        <v>61세</v>
      </c>
      <c r="G336" s="14" t="s">
        <v>2602</v>
      </c>
      <c r="H336" s="15" t="str">
        <f t="shared" si="19"/>
        <v>남</v>
      </c>
      <c r="I336" s="25" t="s">
        <v>901</v>
      </c>
      <c r="J336" s="25" t="s">
        <v>30</v>
      </c>
      <c r="K336" s="26">
        <v>230000</v>
      </c>
      <c r="L336" s="18" t="s">
        <v>932</v>
      </c>
      <c r="M336" s="19" t="s">
        <v>920</v>
      </c>
      <c r="N336" s="19" t="s">
        <v>2622</v>
      </c>
      <c r="O336" s="20" t="s">
        <v>1018</v>
      </c>
      <c r="P336" s="23" t="s">
        <v>26</v>
      </c>
      <c r="Q336" s="21" t="str">
        <f>VLOOKUP(C336,'2-1. 인사고과표(기능)'!B:AS,44,0)</f>
        <v>B</v>
      </c>
      <c r="R336" s="21" t="str">
        <f>VLOOKUP(C336,'2-2. 인사고과표(안전)'!B:AO,40,0)</f>
        <v>B</v>
      </c>
      <c r="S336" s="18"/>
      <c r="T336" s="19"/>
      <c r="U336" s="19"/>
      <c r="V336" s="19"/>
      <c r="W336" s="19" t="s">
        <v>465</v>
      </c>
      <c r="X336" s="22"/>
      <c r="Y336" s="23"/>
      <c r="Z336" s="19"/>
      <c r="AA336" s="19"/>
      <c r="AB336" s="22"/>
      <c r="AC336" s="19"/>
      <c r="AD336" s="23"/>
      <c r="AE336" s="24"/>
    </row>
    <row r="337" spans="2:31" ht="39.950000000000003" customHeight="1" x14ac:dyDescent="0.3">
      <c r="B337" s="107">
        <f t="shared" si="20"/>
        <v>25027</v>
      </c>
      <c r="C337" s="12">
        <f t="shared" si="17"/>
        <v>332</v>
      </c>
      <c r="D337" s="105" t="str">
        <f>IFERROR(" "&amp;VLOOKUP(B337,현장리스트!$B:$C,2,0),"-")</f>
        <v xml:space="preserve"> [3.쿠팡] DAE3,7,8 FC(대구) Ph2 전기공사</v>
      </c>
      <c r="E337" s="13" t="s">
        <v>883</v>
      </c>
      <c r="F337" s="13" t="str">
        <f t="shared" ca="1" si="18"/>
        <v>41세</v>
      </c>
      <c r="G337" s="14" t="s">
        <v>1507</v>
      </c>
      <c r="H337" s="15" t="str">
        <f t="shared" si="19"/>
        <v>남</v>
      </c>
      <c r="I337" s="25" t="s">
        <v>901</v>
      </c>
      <c r="J337" s="25" t="s">
        <v>30</v>
      </c>
      <c r="K337" s="26">
        <v>210000</v>
      </c>
      <c r="L337" s="18" t="s">
        <v>933</v>
      </c>
      <c r="M337" s="19" t="s">
        <v>934</v>
      </c>
      <c r="N337" s="19" t="s">
        <v>2623</v>
      </c>
      <c r="O337" s="20" t="s">
        <v>1018</v>
      </c>
      <c r="P337" s="23" t="s">
        <v>26</v>
      </c>
      <c r="Q337" s="21" t="str">
        <f>VLOOKUP(C337,'2-1. 인사고과표(기능)'!B:AS,44,0)</f>
        <v>S</v>
      </c>
      <c r="R337" s="21" t="str">
        <f>VLOOKUP(C337,'2-2. 인사고과표(안전)'!B:AO,40,0)</f>
        <v>S</v>
      </c>
      <c r="S337" s="18"/>
      <c r="T337" s="19"/>
      <c r="U337" s="19"/>
      <c r="V337" s="19"/>
      <c r="W337" s="19" t="s">
        <v>465</v>
      </c>
      <c r="X337" s="22" t="s">
        <v>908</v>
      </c>
      <c r="Y337" s="23"/>
      <c r="Z337" s="19"/>
      <c r="AA337" s="19"/>
      <c r="AB337" s="22"/>
      <c r="AC337" s="19"/>
      <c r="AD337" s="23"/>
      <c r="AE337" s="24"/>
    </row>
    <row r="338" spans="2:31" ht="39.950000000000003" customHeight="1" x14ac:dyDescent="0.3">
      <c r="B338" s="107">
        <f t="shared" si="20"/>
        <v>25027</v>
      </c>
      <c r="C338" s="12">
        <f t="shared" si="17"/>
        <v>333</v>
      </c>
      <c r="D338" s="105" t="str">
        <f>IFERROR(" "&amp;VLOOKUP(B338,현장리스트!$B:$C,2,0),"-")</f>
        <v xml:space="preserve"> [3.쿠팡] DAE3,7,8 FC(대구) Ph2 전기공사</v>
      </c>
      <c r="E338" s="13" t="s">
        <v>884</v>
      </c>
      <c r="F338" s="13" t="str">
        <f t="shared" ca="1" si="18"/>
        <v>43세</v>
      </c>
      <c r="G338" s="14" t="s">
        <v>1508</v>
      </c>
      <c r="H338" s="15" t="str">
        <f t="shared" si="19"/>
        <v>남</v>
      </c>
      <c r="I338" s="25" t="s">
        <v>901</v>
      </c>
      <c r="J338" s="25" t="s">
        <v>30</v>
      </c>
      <c r="K338" s="26">
        <v>210000</v>
      </c>
      <c r="L338" s="18" t="s">
        <v>935</v>
      </c>
      <c r="M338" s="19" t="s">
        <v>934</v>
      </c>
      <c r="N338" s="19" t="s">
        <v>2623</v>
      </c>
      <c r="O338" s="20" t="s">
        <v>1018</v>
      </c>
      <c r="P338" s="23" t="s">
        <v>26</v>
      </c>
      <c r="Q338" s="21" t="str">
        <f>VLOOKUP(C338,'2-1. 인사고과표(기능)'!B:AS,44,0)</f>
        <v>S</v>
      </c>
      <c r="R338" s="21" t="str">
        <f>VLOOKUP(C338,'2-2. 인사고과표(안전)'!B:AO,40,0)</f>
        <v>S</v>
      </c>
      <c r="S338" s="18"/>
      <c r="T338" s="19"/>
      <c r="U338" s="19"/>
      <c r="V338" s="19"/>
      <c r="W338" s="19" t="s">
        <v>465</v>
      </c>
      <c r="X338" s="22" t="s">
        <v>908</v>
      </c>
      <c r="Y338" s="23"/>
      <c r="Z338" s="19"/>
      <c r="AA338" s="19"/>
      <c r="AB338" s="22"/>
      <c r="AC338" s="19"/>
      <c r="AD338" s="23"/>
      <c r="AE338" s="24"/>
    </row>
    <row r="339" spans="2:31" ht="39.950000000000003" customHeight="1" x14ac:dyDescent="0.3">
      <c r="B339" s="107">
        <f t="shared" si="20"/>
        <v>25027</v>
      </c>
      <c r="C339" s="12">
        <f t="shared" si="17"/>
        <v>334</v>
      </c>
      <c r="D339" s="105" t="str">
        <f>IFERROR(" "&amp;VLOOKUP(B339,현장리스트!$B:$C,2,0),"-")</f>
        <v xml:space="preserve"> [3.쿠팡] DAE3,7,8 FC(대구) Ph2 전기공사</v>
      </c>
      <c r="E339" s="13" t="s">
        <v>885</v>
      </c>
      <c r="F339" s="13" t="str">
        <f t="shared" ca="1" si="18"/>
        <v>41세</v>
      </c>
      <c r="G339" s="14" t="s">
        <v>1524</v>
      </c>
      <c r="H339" s="15" t="str">
        <f t="shared" si="19"/>
        <v>남</v>
      </c>
      <c r="I339" s="25" t="s">
        <v>901</v>
      </c>
      <c r="J339" s="25" t="s">
        <v>902</v>
      </c>
      <c r="K339" s="26">
        <v>210000</v>
      </c>
      <c r="L339" s="18" t="s">
        <v>936</v>
      </c>
      <c r="M339" s="19" t="s">
        <v>934</v>
      </c>
      <c r="N339" s="19" t="s">
        <v>2623</v>
      </c>
      <c r="O339" s="20" t="s">
        <v>1018</v>
      </c>
      <c r="P339" s="23" t="s">
        <v>26</v>
      </c>
      <c r="Q339" s="21" t="str">
        <f>VLOOKUP(C339,'2-1. 인사고과표(기능)'!B:AS,44,0)</f>
        <v>A</v>
      </c>
      <c r="R339" s="21" t="str">
        <f>VLOOKUP(C339,'2-2. 인사고과표(안전)'!B:AO,40,0)</f>
        <v>A</v>
      </c>
      <c r="S339" s="18"/>
      <c r="T339" s="19"/>
      <c r="U339" s="19"/>
      <c r="V339" s="19"/>
      <c r="W339" s="19" t="s">
        <v>465</v>
      </c>
      <c r="X339" s="22"/>
      <c r="Y339" s="23"/>
      <c r="Z339" s="19"/>
      <c r="AA339" s="19"/>
      <c r="AB339" s="22"/>
      <c r="AC339" s="19"/>
      <c r="AD339" s="23"/>
      <c r="AE339" s="24"/>
    </row>
    <row r="340" spans="2:31" ht="39.950000000000003" customHeight="1" x14ac:dyDescent="0.3">
      <c r="B340" s="107">
        <f t="shared" si="20"/>
        <v>25027</v>
      </c>
      <c r="C340" s="12">
        <f t="shared" si="17"/>
        <v>335</v>
      </c>
      <c r="D340" s="105" t="str">
        <f>IFERROR(" "&amp;VLOOKUP(B340,현장리스트!$B:$C,2,0),"-")</f>
        <v xml:space="preserve"> [3.쿠팡] DAE3,7,8 FC(대구) Ph2 전기공사</v>
      </c>
      <c r="E340" s="13" t="s">
        <v>886</v>
      </c>
      <c r="F340" s="13" t="str">
        <f t="shared" ca="1" si="18"/>
        <v>31세</v>
      </c>
      <c r="G340" s="14" t="s">
        <v>1634</v>
      </c>
      <c r="H340" s="15" t="str">
        <f t="shared" si="19"/>
        <v>남</v>
      </c>
      <c r="I340" s="25" t="s">
        <v>901</v>
      </c>
      <c r="J340" s="25" t="s">
        <v>30</v>
      </c>
      <c r="K340" s="26">
        <v>230000</v>
      </c>
      <c r="L340" s="18" t="s">
        <v>937</v>
      </c>
      <c r="M340" s="19" t="s">
        <v>928</v>
      </c>
      <c r="N340" s="19" t="s">
        <v>931</v>
      </c>
      <c r="O340" s="20" t="s">
        <v>921</v>
      </c>
      <c r="P340" s="23" t="s">
        <v>26</v>
      </c>
      <c r="Q340" s="21" t="str">
        <f>VLOOKUP(C340,'2-1. 인사고과표(기능)'!B:AS,44,0)</f>
        <v>B</v>
      </c>
      <c r="R340" s="21" t="str">
        <f>VLOOKUP(C340,'2-2. 인사고과표(안전)'!B:AO,40,0)</f>
        <v>B</v>
      </c>
      <c r="S340" s="18"/>
      <c r="T340" s="19"/>
      <c r="U340" s="19"/>
      <c r="V340" s="19"/>
      <c r="W340" s="19" t="s">
        <v>465</v>
      </c>
      <c r="X340" s="22"/>
      <c r="Y340" s="23"/>
      <c r="Z340" s="19"/>
      <c r="AA340" s="19"/>
      <c r="AB340" s="22"/>
      <c r="AC340" s="19"/>
      <c r="AD340" s="23"/>
      <c r="AE340" s="24"/>
    </row>
    <row r="341" spans="2:31" ht="39.950000000000003" customHeight="1" x14ac:dyDescent="0.3">
      <c r="B341" s="107">
        <f t="shared" si="20"/>
        <v>25027</v>
      </c>
      <c r="C341" s="12">
        <f t="shared" si="17"/>
        <v>336</v>
      </c>
      <c r="D341" s="105" t="str">
        <f>IFERROR(" "&amp;VLOOKUP(B341,현장리스트!$B:$C,2,0),"-")</f>
        <v xml:space="preserve"> [3.쿠팡] DAE3,7,8 FC(대구) Ph2 전기공사</v>
      </c>
      <c r="E341" s="13" t="s">
        <v>887</v>
      </c>
      <c r="F341" s="13" t="str">
        <f t="shared" ca="1" si="18"/>
        <v>45세</v>
      </c>
      <c r="G341" s="14" t="s">
        <v>1655</v>
      </c>
      <c r="H341" s="15" t="str">
        <f t="shared" si="19"/>
        <v>남</v>
      </c>
      <c r="I341" s="25" t="s">
        <v>901</v>
      </c>
      <c r="J341" s="25" t="s">
        <v>30</v>
      </c>
      <c r="K341" s="26">
        <v>210000</v>
      </c>
      <c r="L341" s="18" t="s">
        <v>938</v>
      </c>
      <c r="M341" s="19" t="s">
        <v>939</v>
      </c>
      <c r="N341" s="19" t="s">
        <v>940</v>
      </c>
      <c r="O341" s="20" t="s">
        <v>1018</v>
      </c>
      <c r="P341" s="23" t="s">
        <v>26</v>
      </c>
      <c r="Q341" s="21" t="str">
        <f>VLOOKUP(C341,'2-1. 인사고과표(기능)'!B:AS,44,0)</f>
        <v>A</v>
      </c>
      <c r="R341" s="21" t="str">
        <f>VLOOKUP(C341,'2-2. 인사고과표(안전)'!B:AO,40,0)</f>
        <v>A</v>
      </c>
      <c r="S341" s="18"/>
      <c r="T341" s="19"/>
      <c r="U341" s="19"/>
      <c r="V341" s="19"/>
      <c r="W341" s="19" t="s">
        <v>465</v>
      </c>
      <c r="X341" s="22" t="s">
        <v>908</v>
      </c>
      <c r="Y341" s="23"/>
      <c r="Z341" s="19"/>
      <c r="AA341" s="19"/>
      <c r="AB341" s="22"/>
      <c r="AC341" s="19"/>
      <c r="AD341" s="23"/>
      <c r="AE341" s="24"/>
    </row>
    <row r="342" spans="2:31" ht="39.950000000000003" customHeight="1" x14ac:dyDescent="0.3">
      <c r="B342" s="107">
        <f t="shared" si="20"/>
        <v>25027</v>
      </c>
      <c r="C342" s="12">
        <f t="shared" si="17"/>
        <v>337</v>
      </c>
      <c r="D342" s="105" t="str">
        <f>IFERROR(" "&amp;VLOOKUP(B342,현장리스트!$B:$C,2,0),"-")</f>
        <v xml:space="preserve"> [3.쿠팡] DAE3,7,8 FC(대구) Ph2 전기공사</v>
      </c>
      <c r="E342" s="13" t="s">
        <v>888</v>
      </c>
      <c r="F342" s="13" t="str">
        <f t="shared" ca="1" si="18"/>
        <v>47세</v>
      </c>
      <c r="G342" s="14" t="s">
        <v>2603</v>
      </c>
      <c r="H342" s="15" t="str">
        <f t="shared" si="19"/>
        <v>남</v>
      </c>
      <c r="I342" s="25" t="s">
        <v>901</v>
      </c>
      <c r="J342" s="25" t="s">
        <v>30</v>
      </c>
      <c r="K342" s="26">
        <v>200000</v>
      </c>
      <c r="L342" s="18" t="s">
        <v>941</v>
      </c>
      <c r="M342" s="19" t="s">
        <v>942</v>
      </c>
      <c r="N342" s="19" t="s">
        <v>943</v>
      </c>
      <c r="O342" s="20" t="s">
        <v>1018</v>
      </c>
      <c r="P342" s="23" t="s">
        <v>26</v>
      </c>
      <c r="Q342" s="21" t="str">
        <f>VLOOKUP(C342,'2-1. 인사고과표(기능)'!B:AS,44,0)</f>
        <v>A</v>
      </c>
      <c r="R342" s="21" t="str">
        <f>VLOOKUP(C342,'2-2. 인사고과표(안전)'!B:AO,40,0)</f>
        <v>A</v>
      </c>
      <c r="S342" s="18"/>
      <c r="T342" s="19"/>
      <c r="U342" s="19"/>
      <c r="V342" s="19"/>
      <c r="W342" s="19" t="s">
        <v>465</v>
      </c>
      <c r="X342" s="22" t="s">
        <v>915</v>
      </c>
      <c r="Y342" s="23"/>
      <c r="Z342" s="19"/>
      <c r="AA342" s="19"/>
      <c r="AB342" s="22"/>
      <c r="AC342" s="19"/>
      <c r="AD342" s="23"/>
      <c r="AE342" s="24"/>
    </row>
    <row r="343" spans="2:31" ht="39.950000000000003" customHeight="1" x14ac:dyDescent="0.3">
      <c r="B343" s="107">
        <f t="shared" si="20"/>
        <v>25027</v>
      </c>
      <c r="C343" s="12">
        <f t="shared" si="17"/>
        <v>338</v>
      </c>
      <c r="D343" s="105" t="str">
        <f>IFERROR(" "&amp;VLOOKUP(B343,현장리스트!$B:$C,2,0),"-")</f>
        <v xml:space="preserve"> [3.쿠팡] DAE3,7,8 FC(대구) Ph2 전기공사</v>
      </c>
      <c r="E343" s="13" t="s">
        <v>889</v>
      </c>
      <c r="F343" s="13" t="str">
        <f t="shared" ca="1" si="18"/>
        <v>46세</v>
      </c>
      <c r="G343" s="14" t="s">
        <v>1883</v>
      </c>
      <c r="H343" s="15" t="str">
        <f t="shared" si="19"/>
        <v>남</v>
      </c>
      <c r="I343" s="25" t="s">
        <v>901</v>
      </c>
      <c r="J343" s="25" t="s">
        <v>30</v>
      </c>
      <c r="K343" s="27">
        <v>210000</v>
      </c>
      <c r="L343" s="28" t="s">
        <v>944</v>
      </c>
      <c r="M343" s="29" t="s">
        <v>934</v>
      </c>
      <c r="N343" s="29" t="s">
        <v>2623</v>
      </c>
      <c r="O343" s="20" t="s">
        <v>1018</v>
      </c>
      <c r="P343" s="31" t="s">
        <v>26</v>
      </c>
      <c r="Q343" s="20" t="str">
        <f>VLOOKUP(C343,'2-1. 인사고과표(기능)'!B:AS,44,0)</f>
        <v>S</v>
      </c>
      <c r="R343" s="20" t="str">
        <f>VLOOKUP(C343,'2-2. 인사고과표(안전)'!B:AO,40,0)</f>
        <v>A</v>
      </c>
      <c r="S343" s="20"/>
      <c r="T343" s="34"/>
      <c r="U343" s="34"/>
      <c r="V343" s="34"/>
      <c r="W343" s="29" t="s">
        <v>465</v>
      </c>
      <c r="X343" s="30" t="s">
        <v>908</v>
      </c>
      <c r="Y343" s="31"/>
      <c r="Z343" s="29"/>
      <c r="AA343" s="29"/>
      <c r="AB343" s="30"/>
      <c r="AC343" s="29"/>
      <c r="AD343" s="31"/>
      <c r="AE343" s="32"/>
    </row>
    <row r="344" spans="2:31" ht="39.950000000000003" customHeight="1" x14ac:dyDescent="0.3">
      <c r="B344" s="107">
        <f t="shared" si="20"/>
        <v>25027</v>
      </c>
      <c r="C344" s="12">
        <f t="shared" si="17"/>
        <v>339</v>
      </c>
      <c r="D344" s="105" t="str">
        <f>IFERROR(" "&amp;VLOOKUP(B344,현장리스트!$B:$C,2,0),"-")</f>
        <v xml:space="preserve"> [3.쿠팡] DAE3,7,8 FC(대구) Ph2 전기공사</v>
      </c>
      <c r="E344" s="13" t="s">
        <v>890</v>
      </c>
      <c r="F344" s="13" t="str">
        <f t="shared" ca="1" si="18"/>
        <v>52세</v>
      </c>
      <c r="G344" s="14" t="s">
        <v>1893</v>
      </c>
      <c r="H344" s="15" t="str">
        <f t="shared" si="19"/>
        <v>남</v>
      </c>
      <c r="I344" s="25" t="s">
        <v>901</v>
      </c>
      <c r="J344" s="25" t="s">
        <v>30</v>
      </c>
      <c r="K344" s="27">
        <v>230000</v>
      </c>
      <c r="L344" s="28" t="s">
        <v>945</v>
      </c>
      <c r="M344" s="29" t="s">
        <v>928</v>
      </c>
      <c r="N344" s="29" t="s">
        <v>931</v>
      </c>
      <c r="O344" s="20" t="s">
        <v>1018</v>
      </c>
      <c r="P344" s="31" t="s">
        <v>26</v>
      </c>
      <c r="Q344" s="20" t="str">
        <f>VLOOKUP(C344,'2-1. 인사고과표(기능)'!B:AS,44,0)</f>
        <v>A</v>
      </c>
      <c r="R344" s="20" t="str">
        <f>VLOOKUP(C344,'2-2. 인사고과표(안전)'!B:AO,40,0)</f>
        <v>A</v>
      </c>
      <c r="S344" s="20"/>
      <c r="T344" s="34"/>
      <c r="U344" s="34"/>
      <c r="V344" s="34"/>
      <c r="W344" s="29" t="s">
        <v>465</v>
      </c>
      <c r="X344" s="30"/>
      <c r="Y344" s="31"/>
      <c r="Z344" s="29"/>
      <c r="AA344" s="29"/>
      <c r="AB344" s="30"/>
      <c r="AC344" s="29"/>
      <c r="AD344" s="31"/>
      <c r="AE344" s="32"/>
    </row>
    <row r="345" spans="2:31" ht="39.950000000000003" customHeight="1" x14ac:dyDescent="0.3">
      <c r="B345" s="107">
        <f t="shared" si="20"/>
        <v>25027</v>
      </c>
      <c r="C345" s="12">
        <f t="shared" si="17"/>
        <v>340</v>
      </c>
      <c r="D345" s="105" t="str">
        <f>IFERROR(" "&amp;VLOOKUP(B345,현장리스트!$B:$C,2,0),"-")</f>
        <v xml:space="preserve"> [3.쿠팡] DAE3,7,8 FC(대구) Ph2 전기공사</v>
      </c>
      <c r="E345" s="13" t="s">
        <v>891</v>
      </c>
      <c r="F345" s="13" t="str">
        <f t="shared" ca="1" si="18"/>
        <v>54세</v>
      </c>
      <c r="G345" s="14" t="s">
        <v>1922</v>
      </c>
      <c r="H345" s="15" t="str">
        <f t="shared" si="19"/>
        <v>남</v>
      </c>
      <c r="I345" s="25" t="s">
        <v>901</v>
      </c>
      <c r="J345" s="25" t="s">
        <v>30</v>
      </c>
      <c r="K345" s="27">
        <v>210000</v>
      </c>
      <c r="L345" s="28" t="s">
        <v>946</v>
      </c>
      <c r="M345" s="29" t="s">
        <v>910</v>
      </c>
      <c r="N345" s="29" t="s">
        <v>947</v>
      </c>
      <c r="O345" s="20" t="s">
        <v>1018</v>
      </c>
      <c r="P345" s="31" t="s">
        <v>26</v>
      </c>
      <c r="Q345" s="20" t="str">
        <f>VLOOKUP(C345,'2-1. 인사고과표(기능)'!B:AS,44,0)</f>
        <v>A</v>
      </c>
      <c r="R345" s="20" t="str">
        <f>VLOOKUP(C345,'2-2. 인사고과표(안전)'!B:AO,40,0)</f>
        <v>A</v>
      </c>
      <c r="S345" s="20"/>
      <c r="T345" s="34"/>
      <c r="U345" s="34"/>
      <c r="V345" s="34"/>
      <c r="W345" s="29" t="s">
        <v>465</v>
      </c>
      <c r="X345" s="30"/>
      <c r="Y345" s="31"/>
      <c r="Z345" s="29"/>
      <c r="AA345" s="29"/>
      <c r="AB345" s="30"/>
      <c r="AC345" s="29"/>
      <c r="AD345" s="31"/>
      <c r="AE345" s="32"/>
    </row>
    <row r="346" spans="2:31" ht="39.950000000000003" customHeight="1" x14ac:dyDescent="0.3">
      <c r="B346" s="107">
        <f t="shared" si="20"/>
        <v>25027</v>
      </c>
      <c r="C346" s="12">
        <f t="shared" si="17"/>
        <v>341</v>
      </c>
      <c r="D346" s="105" t="str">
        <f>IFERROR(" "&amp;VLOOKUP(B346,현장리스트!$B:$C,2,0),"-")</f>
        <v xml:space="preserve"> [3.쿠팡] DAE3,7,8 FC(대구) Ph2 전기공사</v>
      </c>
      <c r="E346" s="13" t="s">
        <v>892</v>
      </c>
      <c r="F346" s="13" t="str">
        <f t="shared" ca="1" si="18"/>
        <v>44세</v>
      </c>
      <c r="G346" s="14" t="s">
        <v>2113</v>
      </c>
      <c r="H346" s="15" t="str">
        <f t="shared" si="19"/>
        <v>남</v>
      </c>
      <c r="I346" s="25" t="s">
        <v>901</v>
      </c>
      <c r="J346" s="25" t="s">
        <v>30</v>
      </c>
      <c r="K346" s="27">
        <v>210000</v>
      </c>
      <c r="L346" s="28" t="s">
        <v>948</v>
      </c>
      <c r="M346" s="29" t="s">
        <v>934</v>
      </c>
      <c r="N346" s="29" t="s">
        <v>2623</v>
      </c>
      <c r="O346" s="20" t="s">
        <v>921</v>
      </c>
      <c r="P346" s="31" t="s">
        <v>26</v>
      </c>
      <c r="Q346" s="20" t="str">
        <f>VLOOKUP(C346,'2-1. 인사고과표(기능)'!B:AS,44,0)</f>
        <v>S</v>
      </c>
      <c r="R346" s="20" t="str">
        <f>VLOOKUP(C346,'2-2. 인사고과표(안전)'!B:AO,40,0)</f>
        <v>A</v>
      </c>
      <c r="S346" s="20"/>
      <c r="T346" s="34"/>
      <c r="U346" s="34"/>
      <c r="V346" s="34"/>
      <c r="W346" s="29" t="s">
        <v>465</v>
      </c>
      <c r="X346" s="30" t="s">
        <v>908</v>
      </c>
      <c r="Y346" s="31"/>
      <c r="Z346" s="29"/>
      <c r="AA346" s="29"/>
      <c r="AB346" s="30"/>
      <c r="AC346" s="29"/>
      <c r="AD346" s="31"/>
      <c r="AE346" s="32"/>
    </row>
    <row r="347" spans="2:31" ht="39.950000000000003" customHeight="1" x14ac:dyDescent="0.3">
      <c r="B347" s="107">
        <f t="shared" si="20"/>
        <v>25027</v>
      </c>
      <c r="C347" s="12">
        <f t="shared" si="17"/>
        <v>342</v>
      </c>
      <c r="D347" s="105" t="str">
        <f>IFERROR(" "&amp;VLOOKUP(B347,현장리스트!$B:$C,2,0),"-")</f>
        <v xml:space="preserve"> [3.쿠팡] DAE3,7,8 FC(대구) Ph2 전기공사</v>
      </c>
      <c r="E347" s="13" t="s">
        <v>893</v>
      </c>
      <c r="F347" s="13" t="str">
        <f t="shared" ca="1" si="18"/>
        <v>36세</v>
      </c>
      <c r="G347" s="14" t="s">
        <v>2330</v>
      </c>
      <c r="H347" s="15" t="str">
        <f t="shared" si="19"/>
        <v>남</v>
      </c>
      <c r="I347" s="25" t="s">
        <v>901</v>
      </c>
      <c r="J347" s="25" t="s">
        <v>902</v>
      </c>
      <c r="K347" s="33">
        <v>160000</v>
      </c>
      <c r="L347" s="28" t="s">
        <v>949</v>
      </c>
      <c r="M347" s="29" t="s">
        <v>934</v>
      </c>
      <c r="N347" s="29" t="s">
        <v>2624</v>
      </c>
      <c r="O347" s="20" t="s">
        <v>950</v>
      </c>
      <c r="P347" s="31" t="s">
        <v>26</v>
      </c>
      <c r="Q347" s="20" t="str">
        <f>VLOOKUP(C347,'2-1. 인사고과표(기능)'!B:AS,44,0)</f>
        <v>S</v>
      </c>
      <c r="R347" s="20" t="str">
        <f>VLOOKUP(C347,'2-2. 인사고과표(안전)'!B:AO,40,0)</f>
        <v>A</v>
      </c>
      <c r="S347" s="20"/>
      <c r="T347" s="34"/>
      <c r="U347" s="34"/>
      <c r="V347" s="34"/>
      <c r="W347" s="29" t="s">
        <v>465</v>
      </c>
      <c r="X347" s="30" t="s">
        <v>908</v>
      </c>
      <c r="Y347" s="31"/>
      <c r="Z347" s="29"/>
      <c r="AA347" s="29"/>
      <c r="AB347" s="30"/>
      <c r="AC347" s="29"/>
      <c r="AD347" s="31"/>
      <c r="AE347" s="32"/>
    </row>
    <row r="348" spans="2:31" ht="39.950000000000003" customHeight="1" x14ac:dyDescent="0.3">
      <c r="B348" s="107">
        <f t="shared" si="20"/>
        <v>25027</v>
      </c>
      <c r="C348" s="12">
        <f t="shared" si="17"/>
        <v>343</v>
      </c>
      <c r="D348" s="105" t="str">
        <f>IFERROR(" "&amp;VLOOKUP(B348,현장리스트!$B:$C,2,0),"-")</f>
        <v xml:space="preserve"> [3.쿠팡] DAE3,7,8 FC(대구) Ph2 전기공사</v>
      </c>
      <c r="E348" s="13" t="s">
        <v>894</v>
      </c>
      <c r="F348" s="13" t="str">
        <f t="shared" ca="1" si="18"/>
        <v>55세</v>
      </c>
      <c r="G348" s="14" t="s">
        <v>2477</v>
      </c>
      <c r="H348" s="15" t="str">
        <f t="shared" si="19"/>
        <v>남</v>
      </c>
      <c r="I348" s="25" t="s">
        <v>901</v>
      </c>
      <c r="J348" s="25" t="s">
        <v>902</v>
      </c>
      <c r="K348" s="33">
        <v>180000</v>
      </c>
      <c r="L348" s="28" t="s">
        <v>951</v>
      </c>
      <c r="M348" s="29" t="s">
        <v>917</v>
      </c>
      <c r="N348" s="29" t="s">
        <v>952</v>
      </c>
      <c r="O348" s="20" t="s">
        <v>1018</v>
      </c>
      <c r="P348" s="31" t="s">
        <v>26</v>
      </c>
      <c r="Q348" s="20" t="str">
        <f>VLOOKUP(C348,'2-1. 인사고과표(기능)'!B:AS,44,0)</f>
        <v>A</v>
      </c>
      <c r="R348" s="20" t="str">
        <f>VLOOKUP(C348,'2-2. 인사고과표(안전)'!B:AO,40,0)</f>
        <v>S</v>
      </c>
      <c r="S348" s="20"/>
      <c r="T348" s="34"/>
      <c r="U348" s="34"/>
      <c r="V348" s="34"/>
      <c r="W348" s="29" t="s">
        <v>465</v>
      </c>
      <c r="X348" s="30" t="s">
        <v>908</v>
      </c>
      <c r="Y348" s="31"/>
      <c r="Z348" s="29"/>
      <c r="AA348" s="29"/>
      <c r="AB348" s="30"/>
      <c r="AC348" s="29"/>
      <c r="AD348" s="31"/>
      <c r="AE348" s="32"/>
    </row>
    <row r="349" spans="2:31" ht="39.950000000000003" customHeight="1" x14ac:dyDescent="0.3">
      <c r="B349" s="107">
        <v>25009</v>
      </c>
      <c r="C349" s="12">
        <f t="shared" si="17"/>
        <v>344</v>
      </c>
      <c r="D349" s="105" t="str">
        <f>IFERROR(" "&amp;VLOOKUP(B349,현장리스트!$B:$C,2,0),"-")</f>
        <v xml:space="preserve"> [3.쿠팡] GYS 2FC(경산) 전기공사</v>
      </c>
      <c r="E349" s="13" t="s">
        <v>690</v>
      </c>
      <c r="F349" s="13" t="str">
        <f t="shared" ca="1" si="18"/>
        <v>47세</v>
      </c>
      <c r="G349" s="14" t="s">
        <v>2535</v>
      </c>
      <c r="H349" s="15" t="str">
        <f t="shared" si="19"/>
        <v>남</v>
      </c>
      <c r="I349" s="16" t="s">
        <v>895</v>
      </c>
      <c r="J349" s="16" t="s">
        <v>903</v>
      </c>
      <c r="K349" s="17">
        <v>6000000</v>
      </c>
      <c r="L349" s="18" t="s">
        <v>1194</v>
      </c>
      <c r="M349" s="19" t="s">
        <v>934</v>
      </c>
      <c r="N349" s="19" t="s">
        <v>2625</v>
      </c>
      <c r="O349" s="20" t="s">
        <v>912</v>
      </c>
      <c r="P349" s="23"/>
      <c r="Q349" s="21" t="str">
        <f>VLOOKUP(C349,'2-1. 인사고과표(기능)'!B:AS,44,0)</f>
        <v>S</v>
      </c>
      <c r="R349" s="21" t="str">
        <f>VLOOKUP(C349,'2-2. 인사고과표(안전)'!B:AO,40,0)</f>
        <v>S</v>
      </c>
      <c r="S349" s="18" t="s">
        <v>32</v>
      </c>
      <c r="T349" s="19"/>
      <c r="U349" s="19"/>
      <c r="V349" s="19"/>
      <c r="W349" s="19" t="s">
        <v>465</v>
      </c>
      <c r="X349" s="22" t="s">
        <v>2548</v>
      </c>
      <c r="Y349" s="23" t="s">
        <v>26</v>
      </c>
      <c r="Z349" s="19"/>
      <c r="AA349" s="19"/>
      <c r="AB349" s="22"/>
      <c r="AC349" s="19"/>
      <c r="AD349" s="23"/>
      <c r="AE349" s="24"/>
    </row>
    <row r="350" spans="2:31" ht="39.950000000000003" customHeight="1" x14ac:dyDescent="0.3">
      <c r="B350" s="107">
        <f t="shared" ref="B350:B361" si="21">B349</f>
        <v>25009</v>
      </c>
      <c r="C350" s="12">
        <f t="shared" si="17"/>
        <v>345</v>
      </c>
      <c r="D350" s="105" t="str">
        <f>IFERROR(" "&amp;VLOOKUP(B350,현장리스트!$B:$C,2,0),"-")</f>
        <v xml:space="preserve"> [3.쿠팡] GYS 2FC(경산) 전기공사</v>
      </c>
      <c r="E350" s="13" t="s">
        <v>2082</v>
      </c>
      <c r="F350" s="13" t="str">
        <f t="shared" ca="1" si="18"/>
        <v>64세</v>
      </c>
      <c r="G350" s="14" t="s">
        <v>2536</v>
      </c>
      <c r="H350" s="15" t="str">
        <f t="shared" si="19"/>
        <v>남</v>
      </c>
      <c r="I350" s="16" t="s">
        <v>899</v>
      </c>
      <c r="J350" s="16" t="s">
        <v>904</v>
      </c>
      <c r="K350" s="17">
        <v>5500000</v>
      </c>
      <c r="L350" s="18" t="s">
        <v>2083</v>
      </c>
      <c r="M350" s="19" t="s">
        <v>914</v>
      </c>
      <c r="N350" s="19" t="s">
        <v>2626</v>
      </c>
      <c r="O350" s="20" t="s">
        <v>912</v>
      </c>
      <c r="P350" s="23"/>
      <c r="Q350" s="21" t="str">
        <f>VLOOKUP(C350,'2-1. 인사고과표(기능)'!B:AS,44,0)</f>
        <v>S</v>
      </c>
      <c r="R350" s="21" t="str">
        <f>VLOOKUP(C350,'2-2. 인사고과표(안전)'!B:AO,40,0)</f>
        <v>S</v>
      </c>
      <c r="S350" s="18"/>
      <c r="T350" s="19"/>
      <c r="U350" s="19"/>
      <c r="V350" s="19"/>
      <c r="W350" s="19" t="s">
        <v>465</v>
      </c>
      <c r="X350" s="22" t="s">
        <v>2548</v>
      </c>
      <c r="Y350" s="23" t="s">
        <v>26</v>
      </c>
      <c r="Z350" s="19"/>
      <c r="AA350" s="19"/>
      <c r="AB350" s="22"/>
      <c r="AC350" s="19"/>
      <c r="AD350" s="23"/>
      <c r="AE350" s="24"/>
    </row>
    <row r="351" spans="2:31" ht="39.950000000000003" customHeight="1" x14ac:dyDescent="0.3">
      <c r="B351" s="107">
        <f t="shared" si="21"/>
        <v>25009</v>
      </c>
      <c r="C351" s="12">
        <f t="shared" si="17"/>
        <v>346</v>
      </c>
      <c r="D351" s="105" t="str">
        <f>IFERROR(" "&amp;VLOOKUP(B351,현장리스트!$B:$C,2,0),"-")</f>
        <v xml:space="preserve"> [3.쿠팡] GYS 2FC(경산) 전기공사</v>
      </c>
      <c r="E351" s="13" t="s">
        <v>1082</v>
      </c>
      <c r="F351" s="13" t="str">
        <f t="shared" ca="1" si="18"/>
        <v>56세</v>
      </c>
      <c r="G351" s="14" t="s">
        <v>2537</v>
      </c>
      <c r="H351" s="15" t="str">
        <f t="shared" si="19"/>
        <v>남</v>
      </c>
      <c r="I351" s="16" t="s">
        <v>901</v>
      </c>
      <c r="J351" s="16" t="s">
        <v>30</v>
      </c>
      <c r="K351" s="17">
        <v>210000</v>
      </c>
      <c r="L351" s="18" t="s">
        <v>1083</v>
      </c>
      <c r="M351" s="19" t="s">
        <v>910</v>
      </c>
      <c r="N351" s="19" t="s">
        <v>2549</v>
      </c>
      <c r="O351" s="20" t="s">
        <v>912</v>
      </c>
      <c r="P351" s="23"/>
      <c r="Q351" s="21" t="str">
        <f>VLOOKUP(C351,'2-1. 인사고과표(기능)'!B:AS,44,0)</f>
        <v>S</v>
      </c>
      <c r="R351" s="21" t="str">
        <f>VLOOKUP(C351,'2-2. 인사고과표(안전)'!B:AO,40,0)</f>
        <v>S</v>
      </c>
      <c r="S351" s="18"/>
      <c r="T351" s="19"/>
      <c r="U351" s="19"/>
      <c r="V351" s="19"/>
      <c r="W351" s="19" t="s">
        <v>465</v>
      </c>
      <c r="X351" s="22" t="s">
        <v>2548</v>
      </c>
      <c r="Y351" s="23" t="s">
        <v>26</v>
      </c>
      <c r="Z351" s="19"/>
      <c r="AA351" s="19"/>
      <c r="AB351" s="22"/>
      <c r="AC351" s="19"/>
      <c r="AD351" s="23"/>
      <c r="AE351" s="24"/>
    </row>
    <row r="352" spans="2:31" ht="39.950000000000003" customHeight="1" x14ac:dyDescent="0.3">
      <c r="B352" s="107">
        <f t="shared" si="21"/>
        <v>25009</v>
      </c>
      <c r="C352" s="12">
        <f t="shared" si="17"/>
        <v>347</v>
      </c>
      <c r="D352" s="105" t="str">
        <f>IFERROR(" "&amp;VLOOKUP(B352,현장리스트!$B:$C,2,0),"-")</f>
        <v xml:space="preserve"> [3.쿠팡] GYS 2FC(경산) 전기공사</v>
      </c>
      <c r="E352" s="13" t="s">
        <v>1208</v>
      </c>
      <c r="F352" s="13" t="str">
        <f t="shared" ca="1" si="18"/>
        <v>56세</v>
      </c>
      <c r="G352" s="14" t="s">
        <v>2538</v>
      </c>
      <c r="H352" s="15" t="str">
        <f t="shared" si="19"/>
        <v>남</v>
      </c>
      <c r="I352" s="16" t="s">
        <v>901</v>
      </c>
      <c r="J352" s="16" t="s">
        <v>30</v>
      </c>
      <c r="K352" s="17">
        <v>210000</v>
      </c>
      <c r="L352" s="18" t="s">
        <v>1209</v>
      </c>
      <c r="M352" s="19" t="s">
        <v>914</v>
      </c>
      <c r="N352" s="19" t="s">
        <v>2627</v>
      </c>
      <c r="O352" s="20" t="s">
        <v>912</v>
      </c>
      <c r="P352" s="23"/>
      <c r="Q352" s="21" t="str">
        <f>VLOOKUP(C352,'2-1. 인사고과표(기능)'!B:AS,44,0)</f>
        <v>S</v>
      </c>
      <c r="R352" s="21" t="str">
        <f>VLOOKUP(C352,'2-2. 인사고과표(안전)'!B:AO,40,0)</f>
        <v>S</v>
      </c>
      <c r="S352" s="18"/>
      <c r="T352" s="19"/>
      <c r="U352" s="19"/>
      <c r="V352" s="19"/>
      <c r="W352" s="19" t="s">
        <v>465</v>
      </c>
      <c r="X352" s="22" t="s">
        <v>2548</v>
      </c>
      <c r="Y352" s="23" t="s">
        <v>26</v>
      </c>
      <c r="Z352" s="19"/>
      <c r="AA352" s="19"/>
      <c r="AB352" s="22"/>
      <c r="AC352" s="19"/>
      <c r="AD352" s="23"/>
      <c r="AE352" s="24"/>
    </row>
    <row r="353" spans="2:31" ht="39.950000000000003" customHeight="1" x14ac:dyDescent="0.3">
      <c r="B353" s="107">
        <f t="shared" si="21"/>
        <v>25009</v>
      </c>
      <c r="C353" s="12">
        <f t="shared" si="17"/>
        <v>348</v>
      </c>
      <c r="D353" s="105" t="str">
        <f>IFERROR(" "&amp;VLOOKUP(B353,현장리스트!$B:$C,2,0),"-")</f>
        <v xml:space="preserve"> [3.쿠팡] GYS 2FC(경산) 전기공사</v>
      </c>
      <c r="E353" s="13" t="s">
        <v>1285</v>
      </c>
      <c r="F353" s="13" t="str">
        <f t="shared" ca="1" si="18"/>
        <v>65세</v>
      </c>
      <c r="G353" s="14" t="s">
        <v>2539</v>
      </c>
      <c r="H353" s="15" t="str">
        <f t="shared" si="19"/>
        <v>남</v>
      </c>
      <c r="I353" s="16" t="s">
        <v>901</v>
      </c>
      <c r="J353" s="16" t="s">
        <v>30</v>
      </c>
      <c r="K353" s="17">
        <v>210000</v>
      </c>
      <c r="L353" s="18" t="s">
        <v>1286</v>
      </c>
      <c r="M353" s="19" t="s">
        <v>914</v>
      </c>
      <c r="N353" s="19" t="s">
        <v>2611</v>
      </c>
      <c r="O353" s="20" t="s">
        <v>921</v>
      </c>
      <c r="P353" s="23"/>
      <c r="Q353" s="21" t="str">
        <f>VLOOKUP(C353,'2-1. 인사고과표(기능)'!B:AS,44,0)</f>
        <v>S</v>
      </c>
      <c r="R353" s="21" t="str">
        <f>VLOOKUP(C353,'2-2. 인사고과표(안전)'!B:AO,40,0)</f>
        <v>S</v>
      </c>
      <c r="S353" s="18"/>
      <c r="T353" s="19"/>
      <c r="U353" s="19"/>
      <c r="V353" s="19"/>
      <c r="W353" s="19" t="s">
        <v>465</v>
      </c>
      <c r="X353" s="22" t="s">
        <v>2548</v>
      </c>
      <c r="Y353" s="23" t="s">
        <v>26</v>
      </c>
      <c r="Z353" s="19"/>
      <c r="AA353" s="19"/>
      <c r="AB353" s="22"/>
      <c r="AC353" s="19"/>
      <c r="AD353" s="23"/>
      <c r="AE353" s="24"/>
    </row>
    <row r="354" spans="2:31" ht="39.950000000000003" customHeight="1" x14ac:dyDescent="0.3">
      <c r="B354" s="107">
        <f t="shared" si="21"/>
        <v>25009</v>
      </c>
      <c r="C354" s="12">
        <f t="shared" si="17"/>
        <v>349</v>
      </c>
      <c r="D354" s="105" t="str">
        <f>IFERROR(" "&amp;VLOOKUP(B354,현장리스트!$B:$C,2,0),"-")</f>
        <v xml:space="preserve"> [3.쿠팡] GYS 2FC(경산) 전기공사</v>
      </c>
      <c r="E354" s="13" t="s">
        <v>1372</v>
      </c>
      <c r="F354" s="13" t="str">
        <f t="shared" ca="1" si="18"/>
        <v>41세</v>
      </c>
      <c r="G354" s="14" t="s">
        <v>2540</v>
      </c>
      <c r="H354" s="15" t="str">
        <f t="shared" si="19"/>
        <v>남</v>
      </c>
      <c r="I354" s="16" t="s">
        <v>901</v>
      </c>
      <c r="J354" s="16" t="s">
        <v>30</v>
      </c>
      <c r="K354" s="17">
        <v>210000</v>
      </c>
      <c r="L354" s="18" t="s">
        <v>1373</v>
      </c>
      <c r="M354" s="19" t="s">
        <v>910</v>
      </c>
      <c r="N354" s="19" t="s">
        <v>1004</v>
      </c>
      <c r="O354" s="20" t="s">
        <v>2550</v>
      </c>
      <c r="P354" s="23"/>
      <c r="Q354" s="21" t="str">
        <f>VLOOKUP(C354,'2-1. 인사고과표(기능)'!B:AS,44,0)</f>
        <v>S</v>
      </c>
      <c r="R354" s="21" t="str">
        <f>VLOOKUP(C354,'2-2. 인사고과표(안전)'!B:AO,40,0)</f>
        <v>S</v>
      </c>
      <c r="S354" s="18"/>
      <c r="T354" s="19"/>
      <c r="U354" s="19"/>
      <c r="V354" s="19"/>
      <c r="W354" s="19" t="s">
        <v>465</v>
      </c>
      <c r="X354" s="22" t="s">
        <v>2548</v>
      </c>
      <c r="Y354" s="23" t="s">
        <v>26</v>
      </c>
      <c r="Z354" s="19"/>
      <c r="AA354" s="19"/>
      <c r="AB354" s="22"/>
      <c r="AC354" s="19"/>
      <c r="AD354" s="23"/>
      <c r="AE354" s="24"/>
    </row>
    <row r="355" spans="2:31" ht="39.950000000000003" customHeight="1" x14ac:dyDescent="0.3">
      <c r="B355" s="107">
        <f t="shared" si="21"/>
        <v>25009</v>
      </c>
      <c r="C355" s="12">
        <f t="shared" si="17"/>
        <v>350</v>
      </c>
      <c r="D355" s="105" t="str">
        <f>IFERROR(" "&amp;VLOOKUP(B355,현장리스트!$B:$C,2,0),"-")</f>
        <v xml:space="preserve"> [3.쿠팡] GYS 2FC(경산) 전기공사</v>
      </c>
      <c r="E355" s="13" t="s">
        <v>1527</v>
      </c>
      <c r="F355" s="13" t="str">
        <f t="shared" ca="1" si="18"/>
        <v>55세</v>
      </c>
      <c r="G355" s="14" t="s">
        <v>2541</v>
      </c>
      <c r="H355" s="15" t="str">
        <f t="shared" si="19"/>
        <v>남</v>
      </c>
      <c r="I355" s="16" t="s">
        <v>901</v>
      </c>
      <c r="J355" s="16" t="s">
        <v>30</v>
      </c>
      <c r="K355" s="17">
        <v>210000</v>
      </c>
      <c r="L355" s="18" t="s">
        <v>1528</v>
      </c>
      <c r="M355" s="19" t="s">
        <v>914</v>
      </c>
      <c r="N355" s="19" t="s">
        <v>2606</v>
      </c>
      <c r="O355" s="20" t="s">
        <v>921</v>
      </c>
      <c r="P355" s="23"/>
      <c r="Q355" s="21" t="str">
        <f>VLOOKUP(C355,'2-1. 인사고과표(기능)'!B:AS,44,0)</f>
        <v>S</v>
      </c>
      <c r="R355" s="21" t="str">
        <f>VLOOKUP(C355,'2-2. 인사고과표(안전)'!B:AO,40,0)</f>
        <v>S</v>
      </c>
      <c r="S355" s="18"/>
      <c r="T355" s="19"/>
      <c r="U355" s="19"/>
      <c r="V355" s="19"/>
      <c r="W355" s="19" t="s">
        <v>465</v>
      </c>
      <c r="X355" s="22" t="s">
        <v>2548</v>
      </c>
      <c r="Y355" s="23" t="s">
        <v>26</v>
      </c>
      <c r="Z355" s="19"/>
      <c r="AA355" s="19"/>
      <c r="AB355" s="22"/>
      <c r="AC355" s="19"/>
      <c r="AD355" s="23"/>
      <c r="AE355" s="24"/>
    </row>
    <row r="356" spans="2:31" ht="39.950000000000003" customHeight="1" x14ac:dyDescent="0.3">
      <c r="B356" s="107">
        <f t="shared" si="21"/>
        <v>25009</v>
      </c>
      <c r="C356" s="12">
        <f t="shared" si="17"/>
        <v>351</v>
      </c>
      <c r="D356" s="105" t="str">
        <f>IFERROR(" "&amp;VLOOKUP(B356,현장리스트!$B:$C,2,0),"-")</f>
        <v xml:space="preserve"> [3.쿠팡] GYS 2FC(경산) 전기공사</v>
      </c>
      <c r="E356" s="13" t="s">
        <v>2148</v>
      </c>
      <c r="F356" s="13" t="str">
        <f t="shared" ca="1" si="18"/>
        <v>60세</v>
      </c>
      <c r="G356" s="14" t="s">
        <v>2542</v>
      </c>
      <c r="H356" s="15" t="str">
        <f t="shared" si="19"/>
        <v>남</v>
      </c>
      <c r="I356" s="16" t="s">
        <v>901</v>
      </c>
      <c r="J356" s="16" t="s">
        <v>30</v>
      </c>
      <c r="K356" s="17">
        <v>210000</v>
      </c>
      <c r="L356" s="18" t="s">
        <v>2149</v>
      </c>
      <c r="M356" s="19" t="s">
        <v>2551</v>
      </c>
      <c r="N356" s="19" t="s">
        <v>2615</v>
      </c>
      <c r="O356" s="20" t="s">
        <v>912</v>
      </c>
      <c r="P356" s="23"/>
      <c r="Q356" s="21" t="str">
        <f>VLOOKUP(C356,'2-1. 인사고과표(기능)'!B:AS,44,0)</f>
        <v>S</v>
      </c>
      <c r="R356" s="21" t="str">
        <f>VLOOKUP(C356,'2-2. 인사고과표(안전)'!B:AO,40,0)</f>
        <v>S</v>
      </c>
      <c r="S356" s="18"/>
      <c r="T356" s="19"/>
      <c r="U356" s="19"/>
      <c r="V356" s="19"/>
      <c r="W356" s="19" t="s">
        <v>465</v>
      </c>
      <c r="X356" s="22" t="s">
        <v>2548</v>
      </c>
      <c r="Y356" s="23" t="s">
        <v>26</v>
      </c>
      <c r="Z356" s="19"/>
      <c r="AA356" s="19"/>
      <c r="AB356" s="22"/>
      <c r="AC356" s="19"/>
      <c r="AD356" s="23"/>
      <c r="AE356" s="24"/>
    </row>
    <row r="357" spans="2:31" ht="39.950000000000003" customHeight="1" x14ac:dyDescent="0.3">
      <c r="B357" s="107">
        <f t="shared" si="21"/>
        <v>25009</v>
      </c>
      <c r="C357" s="12">
        <f t="shared" si="17"/>
        <v>352</v>
      </c>
      <c r="D357" s="105" t="str">
        <f>IFERROR(" "&amp;VLOOKUP(B357,현장리스트!$B:$C,2,0),"-")</f>
        <v xml:space="preserve"> [3.쿠팡] GYS 2FC(경산) 전기공사</v>
      </c>
      <c r="E357" s="13" t="s">
        <v>2164</v>
      </c>
      <c r="F357" s="13" t="str">
        <f t="shared" ca="1" si="18"/>
        <v>50세</v>
      </c>
      <c r="G357" s="14" t="s">
        <v>2543</v>
      </c>
      <c r="H357" s="15" t="str">
        <f t="shared" si="19"/>
        <v>남</v>
      </c>
      <c r="I357" s="16" t="s">
        <v>901</v>
      </c>
      <c r="J357" s="16" t="s">
        <v>30</v>
      </c>
      <c r="K357" s="17">
        <v>210000</v>
      </c>
      <c r="L357" s="18" t="s">
        <v>2165</v>
      </c>
      <c r="M357" s="19" t="s">
        <v>910</v>
      </c>
      <c r="N357" s="19" t="s">
        <v>1012</v>
      </c>
      <c r="O357" s="20" t="s">
        <v>2550</v>
      </c>
      <c r="P357" s="23"/>
      <c r="Q357" s="21" t="str">
        <f>VLOOKUP(C357,'2-1. 인사고과표(기능)'!B:AS,44,0)</f>
        <v>S</v>
      </c>
      <c r="R357" s="21" t="str">
        <f>VLOOKUP(C357,'2-2. 인사고과표(안전)'!B:AO,40,0)</f>
        <v>S</v>
      </c>
      <c r="S357" s="18"/>
      <c r="T357" s="19"/>
      <c r="U357" s="19"/>
      <c r="V357" s="19"/>
      <c r="W357" s="19" t="s">
        <v>465</v>
      </c>
      <c r="X357" s="22" t="s">
        <v>2548</v>
      </c>
      <c r="Y357" s="23" t="s">
        <v>26</v>
      </c>
      <c r="Z357" s="19"/>
      <c r="AA357" s="19"/>
      <c r="AB357" s="22"/>
      <c r="AC357" s="19"/>
      <c r="AD357" s="23"/>
      <c r="AE357" s="24"/>
    </row>
    <row r="358" spans="2:31" ht="39.950000000000003" customHeight="1" x14ac:dyDescent="0.3">
      <c r="B358" s="107">
        <f t="shared" si="21"/>
        <v>25009</v>
      </c>
      <c r="C358" s="12">
        <f t="shared" si="17"/>
        <v>353</v>
      </c>
      <c r="D358" s="105" t="str">
        <f>IFERROR(" "&amp;VLOOKUP(B358,현장리스트!$B:$C,2,0),"-")</f>
        <v xml:space="preserve"> [3.쿠팡] GYS 2FC(경산) 전기공사</v>
      </c>
      <c r="E358" s="13" t="s">
        <v>2325</v>
      </c>
      <c r="F358" s="13" t="str">
        <f t="shared" ca="1" si="18"/>
        <v>39세</v>
      </c>
      <c r="G358" s="14" t="s">
        <v>2544</v>
      </c>
      <c r="H358" s="15" t="str">
        <f t="shared" si="19"/>
        <v>남</v>
      </c>
      <c r="I358" s="16" t="s">
        <v>901</v>
      </c>
      <c r="J358" s="16" t="s">
        <v>30</v>
      </c>
      <c r="K358" s="17">
        <v>210000</v>
      </c>
      <c r="L358" s="18" t="s">
        <v>2326</v>
      </c>
      <c r="M358" s="19" t="s">
        <v>914</v>
      </c>
      <c r="N358" s="19" t="s">
        <v>2614</v>
      </c>
      <c r="O358" s="20" t="s">
        <v>921</v>
      </c>
      <c r="P358" s="23"/>
      <c r="Q358" s="21" t="str">
        <f>VLOOKUP(C358,'2-1. 인사고과표(기능)'!B:AS,44,0)</f>
        <v>S</v>
      </c>
      <c r="R358" s="21" t="str">
        <f>VLOOKUP(C358,'2-2. 인사고과표(안전)'!B:AO,40,0)</f>
        <v>S</v>
      </c>
      <c r="S358" s="18"/>
      <c r="T358" s="19"/>
      <c r="U358" s="19"/>
      <c r="V358" s="19"/>
      <c r="W358" s="19" t="s">
        <v>465</v>
      </c>
      <c r="X358" s="22" t="s">
        <v>2552</v>
      </c>
      <c r="Y358" s="23" t="s">
        <v>26</v>
      </c>
      <c r="Z358" s="19"/>
      <c r="AA358" s="19"/>
      <c r="AB358" s="22"/>
      <c r="AC358" s="19"/>
      <c r="AD358" s="23"/>
      <c r="AE358" s="24"/>
    </row>
    <row r="359" spans="2:31" ht="39.950000000000003" customHeight="1" x14ac:dyDescent="0.3">
      <c r="B359" s="107">
        <f t="shared" si="21"/>
        <v>25009</v>
      </c>
      <c r="C359" s="12">
        <f t="shared" si="17"/>
        <v>354</v>
      </c>
      <c r="D359" s="105" t="str">
        <f>IFERROR(" "&amp;VLOOKUP(B359,현장리스트!$B:$C,2,0),"-")</f>
        <v xml:space="preserve"> [3.쿠팡] GYS 2FC(경산) 전기공사</v>
      </c>
      <c r="E359" s="13" t="s">
        <v>2443</v>
      </c>
      <c r="F359" s="13" t="str">
        <f t="shared" ca="1" si="18"/>
        <v>57세</v>
      </c>
      <c r="G359" s="14" t="s">
        <v>2545</v>
      </c>
      <c r="H359" s="15" t="str">
        <f t="shared" si="19"/>
        <v>남</v>
      </c>
      <c r="I359" s="16" t="s">
        <v>901</v>
      </c>
      <c r="J359" s="16" t="s">
        <v>30</v>
      </c>
      <c r="K359" s="17">
        <v>210000</v>
      </c>
      <c r="L359" s="18" t="s">
        <v>2444</v>
      </c>
      <c r="M359" s="19" t="s">
        <v>987</v>
      </c>
      <c r="N359" s="19" t="s">
        <v>2553</v>
      </c>
      <c r="O359" s="20" t="s">
        <v>2550</v>
      </c>
      <c r="P359" s="23"/>
      <c r="Q359" s="21" t="str">
        <f>VLOOKUP(C359,'2-1. 인사고과표(기능)'!B:AS,44,0)</f>
        <v>S</v>
      </c>
      <c r="R359" s="21" t="str">
        <f>VLOOKUP(C359,'2-2. 인사고과표(안전)'!B:AO,40,0)</f>
        <v>S</v>
      </c>
      <c r="S359" s="18"/>
      <c r="T359" s="19"/>
      <c r="U359" s="19"/>
      <c r="V359" s="19"/>
      <c r="W359" s="19" t="s">
        <v>465</v>
      </c>
      <c r="X359" s="22" t="s">
        <v>2554</v>
      </c>
      <c r="Y359" s="23" t="s">
        <v>26</v>
      </c>
      <c r="Z359" s="19"/>
      <c r="AA359" s="19"/>
      <c r="AB359" s="22"/>
      <c r="AC359" s="19"/>
      <c r="AD359" s="23"/>
      <c r="AE359" s="24"/>
    </row>
    <row r="360" spans="2:31" ht="39.950000000000003" customHeight="1" x14ac:dyDescent="0.3">
      <c r="B360" s="107">
        <f t="shared" si="21"/>
        <v>25009</v>
      </c>
      <c r="C360" s="12">
        <f t="shared" si="17"/>
        <v>355</v>
      </c>
      <c r="D360" s="105" t="str">
        <f>IFERROR(" "&amp;VLOOKUP(B360,현장리스트!$B:$C,2,0),"-")</f>
        <v xml:space="preserve"> [3.쿠팡] GYS 2FC(경산) 전기공사</v>
      </c>
      <c r="E360" s="13" t="s">
        <v>550</v>
      </c>
      <c r="F360" s="13" t="str">
        <f t="shared" ca="1" si="18"/>
        <v>64세</v>
      </c>
      <c r="G360" s="14" t="s">
        <v>2546</v>
      </c>
      <c r="H360" s="15" t="str">
        <f t="shared" si="19"/>
        <v>남</v>
      </c>
      <c r="I360" s="16" t="s">
        <v>901</v>
      </c>
      <c r="J360" s="16" t="s">
        <v>30</v>
      </c>
      <c r="K360" s="17">
        <v>210000</v>
      </c>
      <c r="L360" s="18" t="s">
        <v>1173</v>
      </c>
      <c r="M360" s="19" t="s">
        <v>914</v>
      </c>
      <c r="N360" s="19" t="s">
        <v>2614</v>
      </c>
      <c r="O360" s="20" t="s">
        <v>912</v>
      </c>
      <c r="P360" s="23"/>
      <c r="Q360" s="21" t="str">
        <f>VLOOKUP(C360,'2-1. 인사고과표(기능)'!B:AS,44,0)</f>
        <v>S</v>
      </c>
      <c r="R360" s="21" t="str">
        <f>VLOOKUP(C360,'2-2. 인사고과표(안전)'!B:AO,40,0)</f>
        <v>S</v>
      </c>
      <c r="S360" s="18"/>
      <c r="T360" s="19"/>
      <c r="U360" s="19"/>
      <c r="V360" s="19"/>
      <c r="W360" s="19" t="s">
        <v>465</v>
      </c>
      <c r="X360" s="22" t="s">
        <v>2552</v>
      </c>
      <c r="Y360" s="23" t="s">
        <v>26</v>
      </c>
      <c r="Z360" s="19"/>
      <c r="AA360" s="19"/>
      <c r="AB360" s="22"/>
      <c r="AC360" s="19"/>
      <c r="AD360" s="23"/>
      <c r="AE360" s="24"/>
    </row>
    <row r="361" spans="2:31" ht="39.950000000000003" customHeight="1" x14ac:dyDescent="0.3">
      <c r="B361" s="107">
        <f t="shared" si="21"/>
        <v>25009</v>
      </c>
      <c r="C361" s="12">
        <f t="shared" si="17"/>
        <v>356</v>
      </c>
      <c r="D361" s="105" t="str">
        <f>IFERROR(" "&amp;VLOOKUP(B361,현장리스트!$B:$C,2,0),"-")</f>
        <v xml:space="preserve"> [3.쿠팡] GYS 2FC(경산) 전기공사</v>
      </c>
      <c r="E361" s="13" t="s">
        <v>1113</v>
      </c>
      <c r="F361" s="13" t="str">
        <f t="shared" ca="1" si="18"/>
        <v>61세</v>
      </c>
      <c r="G361" s="14" t="s">
        <v>2547</v>
      </c>
      <c r="H361" s="15" t="str">
        <f t="shared" si="19"/>
        <v>남</v>
      </c>
      <c r="I361" s="16" t="s">
        <v>901</v>
      </c>
      <c r="J361" s="16" t="s">
        <v>30</v>
      </c>
      <c r="K361" s="17">
        <v>210000</v>
      </c>
      <c r="L361" s="18" t="s">
        <v>1114</v>
      </c>
      <c r="M361" s="19" t="s">
        <v>987</v>
      </c>
      <c r="N361" s="19" t="s">
        <v>940</v>
      </c>
      <c r="O361" s="20" t="s">
        <v>1017</v>
      </c>
      <c r="P361" s="23"/>
      <c r="Q361" s="21" t="str">
        <f>VLOOKUP(C361,'2-1. 인사고과표(기능)'!B:AS,44,0)</f>
        <v>S</v>
      </c>
      <c r="R361" s="21" t="str">
        <f>VLOOKUP(C361,'2-2. 인사고과표(안전)'!B:AO,40,0)</f>
        <v>S</v>
      </c>
      <c r="S361" s="18"/>
      <c r="T361" s="19"/>
      <c r="U361" s="19"/>
      <c r="V361" s="19"/>
      <c r="W361" s="19" t="s">
        <v>465</v>
      </c>
      <c r="X361" s="22" t="s">
        <v>2552</v>
      </c>
      <c r="Y361" s="23" t="s">
        <v>26</v>
      </c>
      <c r="Z361" s="19"/>
      <c r="AA361" s="19"/>
      <c r="AB361" s="22"/>
      <c r="AC361" s="19"/>
      <c r="AD361" s="23"/>
      <c r="AE361" s="24"/>
    </row>
    <row r="362" spans="2:31" ht="39.950000000000003" customHeight="1" x14ac:dyDescent="0.3">
      <c r="B362" s="107">
        <v>25026</v>
      </c>
      <c r="C362" s="12">
        <f t="shared" si="17"/>
        <v>357</v>
      </c>
      <c r="D362" s="105" t="str">
        <f>IFERROR(" "&amp;VLOOKUP(B362,현장리스트!$B:$C,2,0),"-")</f>
        <v xml:space="preserve"> [3.쿠팡] INC 26,28,36FC(인천) HVAC 전원공사</v>
      </c>
      <c r="E362" s="13" t="s">
        <v>1415</v>
      </c>
      <c r="F362" s="13" t="str">
        <f t="shared" ca="1" si="18"/>
        <v>30세</v>
      </c>
      <c r="G362" s="14" t="s">
        <v>1416</v>
      </c>
      <c r="H362" s="15" t="str">
        <f t="shared" si="19"/>
        <v>남</v>
      </c>
      <c r="I362" s="16" t="s">
        <v>895</v>
      </c>
      <c r="J362" s="16" t="s">
        <v>900</v>
      </c>
      <c r="K362" s="17">
        <v>4550000</v>
      </c>
      <c r="L362" s="18" t="s">
        <v>1417</v>
      </c>
      <c r="M362" s="19" t="s">
        <v>2604</v>
      </c>
      <c r="N362" s="19" t="s">
        <v>2612</v>
      </c>
      <c r="O362" s="20" t="s">
        <v>2555</v>
      </c>
      <c r="P362" s="23" t="s">
        <v>26</v>
      </c>
      <c r="Q362" s="21" t="str">
        <f>VLOOKUP(C362,'2-1. 인사고과표(기능)'!B:AS,44,0)</f>
        <v>S</v>
      </c>
      <c r="R362" s="21" t="str">
        <f>VLOOKUP(C362,'2-2. 인사고과표(안전)'!B:AO,40,0)</f>
        <v>S</v>
      </c>
      <c r="S362" s="18"/>
      <c r="T362" s="19"/>
      <c r="U362" s="19"/>
      <c r="V362" s="19"/>
      <c r="W362" s="19" t="s">
        <v>465</v>
      </c>
      <c r="X362" s="22" t="s">
        <v>2556</v>
      </c>
      <c r="Y362" s="23" t="s">
        <v>26</v>
      </c>
      <c r="Z362" s="19"/>
      <c r="AA362" s="19" t="s">
        <v>220</v>
      </c>
      <c r="AB362" s="22" t="s">
        <v>2557</v>
      </c>
      <c r="AC362" s="19" t="s">
        <v>2558</v>
      </c>
      <c r="AD362" s="23" t="s">
        <v>23</v>
      </c>
      <c r="AE362" s="24"/>
    </row>
    <row r="363" spans="2:31" ht="39.950000000000003" customHeight="1" x14ac:dyDescent="0.3">
      <c r="B363" s="107">
        <v>25026</v>
      </c>
      <c r="C363" s="12">
        <f t="shared" si="17"/>
        <v>358</v>
      </c>
      <c r="D363" s="105" t="str">
        <f>IFERROR(" "&amp;VLOOKUP(B363,현장리스트!$B:$C,2,0),"-")</f>
        <v xml:space="preserve"> [3.쿠팡] INC 26,28,36FC(인천) HVAC 전원공사</v>
      </c>
      <c r="E363" s="13" t="s">
        <v>1916</v>
      </c>
      <c r="F363" s="13" t="str">
        <f t="shared" ca="1" si="18"/>
        <v>31세</v>
      </c>
      <c r="G363" s="14" t="s">
        <v>1917</v>
      </c>
      <c r="H363" s="15" t="str">
        <f t="shared" si="19"/>
        <v>남</v>
      </c>
      <c r="I363" s="16" t="s">
        <v>901</v>
      </c>
      <c r="J363" s="16" t="s">
        <v>2573</v>
      </c>
      <c r="K363" s="17">
        <v>170000</v>
      </c>
      <c r="L363" s="18" t="s">
        <v>1918</v>
      </c>
      <c r="M363" s="19" t="s">
        <v>2605</v>
      </c>
      <c r="N363" s="19" t="s">
        <v>2559</v>
      </c>
      <c r="O363" s="20" t="s">
        <v>2529</v>
      </c>
      <c r="P363" s="23" t="s">
        <v>26</v>
      </c>
      <c r="Q363" s="21" t="str">
        <f>VLOOKUP(C363,'2-1. 인사고과표(기능)'!B:AS,44,0)</f>
        <v>S</v>
      </c>
      <c r="R363" s="21" t="str">
        <f>VLOOKUP(C363,'2-2. 인사고과표(안전)'!B:AO,40,0)</f>
        <v>S</v>
      </c>
      <c r="S363" s="18"/>
      <c r="T363" s="19" t="s">
        <v>31</v>
      </c>
      <c r="U363" s="19"/>
      <c r="V363" s="19"/>
      <c r="W363" s="19" t="s">
        <v>465</v>
      </c>
      <c r="X363" s="22" t="s">
        <v>2560</v>
      </c>
      <c r="Y363" s="23" t="s">
        <v>26</v>
      </c>
      <c r="Z363" s="19"/>
      <c r="AA363" s="19" t="s">
        <v>2561</v>
      </c>
      <c r="AB363" s="22" t="s">
        <v>2562</v>
      </c>
      <c r="AC363" s="19" t="s">
        <v>2561</v>
      </c>
      <c r="AD363" s="23" t="s">
        <v>25</v>
      </c>
      <c r="AE363" s="24"/>
    </row>
    <row r="364" spans="2:31" ht="39.950000000000003" customHeight="1" x14ac:dyDescent="0.3">
      <c r="B364" s="107">
        <v>25026</v>
      </c>
      <c r="C364" s="12">
        <f t="shared" si="17"/>
        <v>359</v>
      </c>
      <c r="D364" s="105" t="str">
        <f>IFERROR(" "&amp;VLOOKUP(B364,현장리스트!$B:$C,2,0),"-")</f>
        <v xml:space="preserve"> [3.쿠팡] INC 26,28,36FC(인천) HVAC 전원공사</v>
      </c>
      <c r="E364" s="13" t="s">
        <v>2471</v>
      </c>
      <c r="F364" s="13" t="str">
        <f t="shared" ca="1" si="18"/>
        <v>35세</v>
      </c>
      <c r="G364" s="14" t="s">
        <v>2472</v>
      </c>
      <c r="H364" s="15" t="str">
        <f t="shared" si="19"/>
        <v>남</v>
      </c>
      <c r="I364" s="16" t="s">
        <v>901</v>
      </c>
      <c r="J364" s="16" t="s">
        <v>2573</v>
      </c>
      <c r="K364" s="17">
        <v>180000</v>
      </c>
      <c r="L364" s="18" t="s">
        <v>2473</v>
      </c>
      <c r="M364" s="19" t="s">
        <v>910</v>
      </c>
      <c r="N364" s="19" t="s">
        <v>1001</v>
      </c>
      <c r="O364" s="20" t="s">
        <v>2529</v>
      </c>
      <c r="P364" s="23" t="s">
        <v>26</v>
      </c>
      <c r="Q364" s="21" t="str">
        <f>VLOOKUP(C364,'2-1. 인사고과표(기능)'!B:AS,44,0)</f>
        <v>S</v>
      </c>
      <c r="R364" s="21" t="str">
        <f>VLOOKUP(C364,'2-2. 인사고과표(안전)'!B:AO,40,0)</f>
        <v>S</v>
      </c>
      <c r="S364" s="18"/>
      <c r="T364" s="19"/>
      <c r="U364" s="19" t="s">
        <v>31</v>
      </c>
      <c r="V364" s="19"/>
      <c r="W364" s="19" t="s">
        <v>465</v>
      </c>
      <c r="X364" s="22" t="s">
        <v>2560</v>
      </c>
      <c r="Y364" s="23" t="s">
        <v>26</v>
      </c>
      <c r="Z364" s="19"/>
      <c r="AA364" s="19" t="s">
        <v>2563</v>
      </c>
      <c r="AB364" s="22" t="s">
        <v>2564</v>
      </c>
      <c r="AC364" s="19" t="s">
        <v>2565</v>
      </c>
      <c r="AD364" s="23" t="s">
        <v>25</v>
      </c>
      <c r="AE364" s="24"/>
    </row>
    <row r="365" spans="2:31" ht="39.950000000000003" customHeight="1" x14ac:dyDescent="0.3">
      <c r="B365" s="107">
        <v>25026</v>
      </c>
      <c r="C365" s="12">
        <f t="shared" si="17"/>
        <v>360</v>
      </c>
      <c r="D365" s="105" t="str">
        <f>IFERROR(" "&amp;VLOOKUP(B365,현장리스트!$B:$C,2,0),"-")</f>
        <v xml:space="preserve"> [3.쿠팡] INC 26,28,36FC(인천) HVAC 전원공사</v>
      </c>
      <c r="E365" s="13" t="s">
        <v>2176</v>
      </c>
      <c r="F365" s="13" t="str">
        <f t="shared" ca="1" si="18"/>
        <v>46세</v>
      </c>
      <c r="G365" s="14" t="s">
        <v>2177</v>
      </c>
      <c r="H365" s="15" t="str">
        <f t="shared" si="19"/>
        <v>남</v>
      </c>
      <c r="I365" s="16" t="s">
        <v>901</v>
      </c>
      <c r="J365" s="16" t="s">
        <v>2573</v>
      </c>
      <c r="K365" s="17">
        <v>190000</v>
      </c>
      <c r="L365" s="18" t="s">
        <v>2178</v>
      </c>
      <c r="M365" s="19" t="s">
        <v>987</v>
      </c>
      <c r="N365" s="19" t="s">
        <v>2566</v>
      </c>
      <c r="O365" s="20" t="s">
        <v>1017</v>
      </c>
      <c r="P365" s="23" t="s">
        <v>25</v>
      </c>
      <c r="Q365" s="21" t="str">
        <f>VLOOKUP(C365,'2-1. 인사고과표(기능)'!B:AS,44,0)</f>
        <v>S</v>
      </c>
      <c r="R365" s="21" t="str">
        <f>VLOOKUP(C365,'2-2. 인사고과표(안전)'!B:AO,40,0)</f>
        <v>S</v>
      </c>
      <c r="S365" s="18" t="s">
        <v>2567</v>
      </c>
      <c r="T365" s="19" t="s">
        <v>2567</v>
      </c>
      <c r="U365" s="19"/>
      <c r="V365" s="19"/>
      <c r="W365" s="19" t="s">
        <v>465</v>
      </c>
      <c r="X365" s="22" t="s">
        <v>2560</v>
      </c>
      <c r="Y365" s="23" t="s">
        <v>26</v>
      </c>
      <c r="Z365" s="19"/>
      <c r="AA365" s="19" t="s">
        <v>2563</v>
      </c>
      <c r="AB365" s="22" t="s">
        <v>2568</v>
      </c>
      <c r="AC365" s="19" t="s">
        <v>2569</v>
      </c>
      <c r="AD365" s="23" t="s">
        <v>25</v>
      </c>
      <c r="AE365" s="24"/>
    </row>
    <row r="366" spans="2:31" ht="39.950000000000003" customHeight="1" x14ac:dyDescent="0.3">
      <c r="B366" s="107">
        <v>25026</v>
      </c>
      <c r="C366" s="12">
        <f t="shared" si="17"/>
        <v>361</v>
      </c>
      <c r="D366" s="105" t="str">
        <f>IFERROR(" "&amp;VLOOKUP(B366,현장리스트!$B:$C,2,0),"-")</f>
        <v xml:space="preserve"> [3.쿠팡] INC 26,28,36FC(인천) HVAC 전원공사</v>
      </c>
      <c r="E366" s="13" t="s">
        <v>2114</v>
      </c>
      <c r="F366" s="13" t="str">
        <f t="shared" ca="1" si="18"/>
        <v>27세</v>
      </c>
      <c r="G366" s="14" t="s">
        <v>2115</v>
      </c>
      <c r="H366" s="15" t="str">
        <f t="shared" si="19"/>
        <v>남</v>
      </c>
      <c r="I366" s="16" t="s">
        <v>901</v>
      </c>
      <c r="J366" s="16" t="s">
        <v>2573</v>
      </c>
      <c r="K366" s="17">
        <v>180000</v>
      </c>
      <c r="L366" s="18" t="s">
        <v>2116</v>
      </c>
      <c r="M366" s="19" t="s">
        <v>910</v>
      </c>
      <c r="N366" s="19" t="s">
        <v>911</v>
      </c>
      <c r="O366" s="20" t="s">
        <v>2529</v>
      </c>
      <c r="P366" s="23" t="s">
        <v>26</v>
      </c>
      <c r="Q366" s="21" t="str">
        <f>VLOOKUP(C366,'2-1. 인사고과표(기능)'!B:AS,44,0)</f>
        <v>S</v>
      </c>
      <c r="R366" s="21" t="str">
        <f>VLOOKUP(C366,'2-2. 인사고과표(안전)'!B:AO,40,0)</f>
        <v>S</v>
      </c>
      <c r="S366" s="18"/>
      <c r="T366" s="19"/>
      <c r="U366" s="19"/>
      <c r="V366" s="19"/>
      <c r="W366" s="19" t="s">
        <v>465</v>
      </c>
      <c r="X366" s="22" t="s">
        <v>2560</v>
      </c>
      <c r="Y366" s="23" t="s">
        <v>26</v>
      </c>
      <c r="Z366" s="19"/>
      <c r="AA366" s="19" t="s">
        <v>2570</v>
      </c>
      <c r="AB366" s="22" t="s">
        <v>2571</v>
      </c>
      <c r="AC366" s="19" t="s">
        <v>2572</v>
      </c>
      <c r="AD366" s="23" t="s">
        <v>23</v>
      </c>
      <c r="AE366" s="24"/>
    </row>
    <row r="367" spans="2:31" ht="39.950000000000003" customHeight="1" x14ac:dyDescent="0.3">
      <c r="B367" s="107">
        <v>25025</v>
      </c>
      <c r="C367" s="12">
        <f t="shared" si="17"/>
        <v>362</v>
      </c>
      <c r="D367" s="105" t="str">
        <f>IFERROR(" "&amp;VLOOKUP(B367,현장리스트!$B:$C,2,0),"-")</f>
        <v xml:space="preserve"> [3.쿠팡] INC 45FC(인천) 전기공사</v>
      </c>
      <c r="E367" s="13" t="s">
        <v>507</v>
      </c>
      <c r="F367" s="13" t="str">
        <f t="shared" ca="1" si="18"/>
        <v>34세</v>
      </c>
      <c r="G367" s="14" t="s">
        <v>1933</v>
      </c>
      <c r="H367" s="15" t="str">
        <f t="shared" si="19"/>
        <v>남</v>
      </c>
      <c r="I367" s="16" t="s">
        <v>895</v>
      </c>
      <c r="J367" s="16" t="s">
        <v>903</v>
      </c>
      <c r="K367" s="17">
        <v>6500000</v>
      </c>
      <c r="L367" s="18" t="s">
        <v>1934</v>
      </c>
      <c r="M367" s="19" t="s">
        <v>2604</v>
      </c>
      <c r="N367" s="19" t="s">
        <v>2610</v>
      </c>
      <c r="O367" s="20" t="s">
        <v>921</v>
      </c>
      <c r="P367" s="23" t="s">
        <v>26</v>
      </c>
      <c r="Q367" s="21" t="str">
        <f>VLOOKUP(C367,'2-1. 인사고과표(기능)'!B:AS,44,0)</f>
        <v>S</v>
      </c>
      <c r="R367" s="21" t="str">
        <f>VLOOKUP(C367,'2-2. 인사고과표(안전)'!B:AO,40,0)</f>
        <v>S</v>
      </c>
      <c r="S367" s="18"/>
      <c r="T367" s="19"/>
      <c r="U367" s="19"/>
      <c r="V367" s="19"/>
      <c r="W367" s="19" t="s">
        <v>465</v>
      </c>
      <c r="X367" s="22" t="s">
        <v>2556</v>
      </c>
      <c r="Y367" s="23" t="s">
        <v>26</v>
      </c>
      <c r="Z367" s="19"/>
      <c r="AA367" s="19" t="s">
        <v>2576</v>
      </c>
      <c r="AB367" s="22" t="s">
        <v>2577</v>
      </c>
      <c r="AC367" s="19" t="s">
        <v>2578</v>
      </c>
      <c r="AD367" s="23" t="s">
        <v>28</v>
      </c>
      <c r="AE367" s="24" t="s">
        <v>2579</v>
      </c>
    </row>
    <row r="368" spans="2:31" ht="39.950000000000003" customHeight="1" x14ac:dyDescent="0.3">
      <c r="B368" s="107">
        <v>25025</v>
      </c>
      <c r="C368" s="12">
        <f t="shared" si="17"/>
        <v>363</v>
      </c>
      <c r="D368" s="105" t="str">
        <f>IFERROR(" "&amp;VLOOKUP(B368,현장리스트!$B:$C,2,0),"-")</f>
        <v xml:space="preserve"> [3.쿠팡] INC 45FC(인천) 전기공사</v>
      </c>
      <c r="E368" s="13" t="s">
        <v>2133</v>
      </c>
      <c r="F368" s="13" t="str">
        <f t="shared" ca="1" si="18"/>
        <v>45세</v>
      </c>
      <c r="G368" s="14" t="s">
        <v>2134</v>
      </c>
      <c r="H368" s="15" t="str">
        <f t="shared" si="19"/>
        <v>여</v>
      </c>
      <c r="I368" s="16" t="s">
        <v>895</v>
      </c>
      <c r="J368" s="16" t="s">
        <v>896</v>
      </c>
      <c r="K368" s="17">
        <v>160000</v>
      </c>
      <c r="L368" s="18" t="s">
        <v>2135</v>
      </c>
      <c r="M368" s="19" t="s">
        <v>910</v>
      </c>
      <c r="N368" s="19" t="s">
        <v>1012</v>
      </c>
      <c r="O368" s="20" t="s">
        <v>950</v>
      </c>
      <c r="P368" s="23" t="s">
        <v>26</v>
      </c>
      <c r="Q368" s="21" t="str">
        <f>VLOOKUP(C368,'2-1. 인사고과표(기능)'!B:AS,44,0)</f>
        <v>S</v>
      </c>
      <c r="R368" s="21" t="str">
        <f>VLOOKUP(C368,'2-2. 인사고과표(안전)'!B:AO,40,0)</f>
        <v>S</v>
      </c>
      <c r="S368" s="18"/>
      <c r="T368" s="19"/>
      <c r="U368" s="19"/>
      <c r="V368" s="19"/>
      <c r="W368" s="19" t="s">
        <v>465</v>
      </c>
      <c r="X368" s="22" t="s">
        <v>2556</v>
      </c>
      <c r="Y368" s="23" t="s">
        <v>26</v>
      </c>
      <c r="Z368" s="19"/>
      <c r="AA368" s="19"/>
      <c r="AB368" s="22"/>
      <c r="AC368" s="19"/>
      <c r="AD368" s="23"/>
      <c r="AE368" s="24"/>
    </row>
    <row r="369" spans="2:31" ht="39.950000000000003" customHeight="1" x14ac:dyDescent="0.3">
      <c r="B369" s="107">
        <v>25025</v>
      </c>
      <c r="C369" s="12">
        <f t="shared" si="17"/>
        <v>364</v>
      </c>
      <c r="D369" s="105" t="str">
        <f>IFERROR(" "&amp;VLOOKUP(B369,현장리스트!$B:$C,2,0),"-")</f>
        <v xml:space="preserve"> [3.쿠팡] INC 45FC(인천) 전기공사</v>
      </c>
      <c r="E369" s="13" t="s">
        <v>2574</v>
      </c>
      <c r="F369" s="13" t="str">
        <f t="shared" ca="1" si="18"/>
        <v>42세</v>
      </c>
      <c r="G369" s="14" t="s">
        <v>2575</v>
      </c>
      <c r="H369" s="15" t="str">
        <f t="shared" si="19"/>
        <v>남</v>
      </c>
      <c r="I369" s="16" t="s">
        <v>899</v>
      </c>
      <c r="J369" s="16" t="s">
        <v>900</v>
      </c>
      <c r="K369" s="17">
        <v>4300000</v>
      </c>
      <c r="L369" s="18" t="s">
        <v>2580</v>
      </c>
      <c r="M369" s="19" t="s">
        <v>910</v>
      </c>
      <c r="N369" s="19" t="s">
        <v>1012</v>
      </c>
      <c r="O369" s="20" t="s">
        <v>950</v>
      </c>
      <c r="P369" s="23" t="s">
        <v>23</v>
      </c>
      <c r="Q369" s="21" t="str">
        <f>VLOOKUP(C369,'2-1. 인사고과표(기능)'!B:AS,44,0)</f>
        <v>A</v>
      </c>
      <c r="R369" s="21" t="str">
        <f>VLOOKUP(C369,'2-2. 인사고과표(안전)'!B:AO,40,0)</f>
        <v>S</v>
      </c>
      <c r="S369" s="18" t="s">
        <v>31</v>
      </c>
      <c r="T369" s="19"/>
      <c r="U369" s="19" t="s">
        <v>31</v>
      </c>
      <c r="V369" s="19" t="s">
        <v>31</v>
      </c>
      <c r="W369" s="19"/>
      <c r="X369" s="22"/>
      <c r="Y369" s="23"/>
      <c r="Z369" s="19"/>
      <c r="AA369" s="19" t="s">
        <v>220</v>
      </c>
      <c r="AB369" s="22" t="s">
        <v>2581</v>
      </c>
      <c r="AC369" s="19" t="s">
        <v>2582</v>
      </c>
      <c r="AD369" s="23" t="s">
        <v>23</v>
      </c>
      <c r="AE369" s="24"/>
    </row>
    <row r="370" spans="2:31" ht="39.950000000000003" customHeight="1" x14ac:dyDescent="0.3">
      <c r="B370" s="107">
        <v>25025</v>
      </c>
      <c r="C370" s="12">
        <f t="shared" si="17"/>
        <v>365</v>
      </c>
      <c r="D370" s="105" t="str">
        <f>IFERROR(" "&amp;VLOOKUP(B370,현장리스트!$B:$C,2,0),"-")</f>
        <v xml:space="preserve"> [3.쿠팡] INC 45FC(인천) 전기공사</v>
      </c>
      <c r="E370" s="13" t="s">
        <v>1129</v>
      </c>
      <c r="F370" s="13" t="str">
        <f t="shared" ca="1" si="18"/>
        <v>39세</v>
      </c>
      <c r="G370" s="14" t="s">
        <v>1130</v>
      </c>
      <c r="H370" s="15" t="str">
        <f t="shared" si="19"/>
        <v>남</v>
      </c>
      <c r="I370" s="16" t="s">
        <v>897</v>
      </c>
      <c r="J370" s="16" t="s">
        <v>896</v>
      </c>
      <c r="K370" s="17">
        <v>180000</v>
      </c>
      <c r="L370" s="18" t="s">
        <v>1131</v>
      </c>
      <c r="M370" s="19" t="s">
        <v>910</v>
      </c>
      <c r="N370" s="19" t="s">
        <v>1004</v>
      </c>
      <c r="O370" s="20" t="s">
        <v>2583</v>
      </c>
      <c r="P370" s="23" t="s">
        <v>26</v>
      </c>
      <c r="Q370" s="21" t="str">
        <f>VLOOKUP(C370,'2-1. 인사고과표(기능)'!B:AS,44,0)</f>
        <v>S</v>
      </c>
      <c r="R370" s="21" t="str">
        <f>VLOOKUP(C370,'2-2. 인사고과표(안전)'!B:AO,40,0)</f>
        <v>S</v>
      </c>
      <c r="S370" s="18"/>
      <c r="T370" s="19"/>
      <c r="U370" s="19"/>
      <c r="V370" s="19" t="s">
        <v>2567</v>
      </c>
      <c r="W370" s="19" t="s">
        <v>465</v>
      </c>
      <c r="X370" s="22" t="s">
        <v>2556</v>
      </c>
      <c r="Y370" s="23" t="s">
        <v>26</v>
      </c>
      <c r="Z370" s="19"/>
      <c r="AA370" s="19" t="s">
        <v>465</v>
      </c>
      <c r="AB370" s="22" t="s">
        <v>2584</v>
      </c>
      <c r="AC370" s="19" t="s">
        <v>2585</v>
      </c>
      <c r="AD370" s="23" t="s">
        <v>28</v>
      </c>
      <c r="AE370" s="24" t="s">
        <v>2586</v>
      </c>
    </row>
    <row r="371" spans="2:31" ht="39.950000000000003" customHeight="1" x14ac:dyDescent="0.3">
      <c r="B371" s="107">
        <v>25025</v>
      </c>
      <c r="C371" s="12">
        <f t="shared" si="17"/>
        <v>366</v>
      </c>
      <c r="D371" s="105" t="str">
        <f>IFERROR(" "&amp;VLOOKUP(B371,현장리스트!$B:$C,2,0),"-")</f>
        <v xml:space="preserve"> [3.쿠팡] INC 45FC(인천) 전기공사</v>
      </c>
      <c r="E371" s="13" t="s">
        <v>2315</v>
      </c>
      <c r="F371" s="13" t="str">
        <f t="shared" ca="1" si="18"/>
        <v>60세</v>
      </c>
      <c r="G371" s="14" t="s">
        <v>2316</v>
      </c>
      <c r="H371" s="15" t="str">
        <f t="shared" si="19"/>
        <v>남</v>
      </c>
      <c r="I371" s="16" t="s">
        <v>899</v>
      </c>
      <c r="J371" s="16" t="s">
        <v>903</v>
      </c>
      <c r="K371" s="17">
        <v>5800000</v>
      </c>
      <c r="L371" s="18" t="s">
        <v>2317</v>
      </c>
      <c r="M371" s="19" t="s">
        <v>2604</v>
      </c>
      <c r="N371" s="19" t="s">
        <v>2609</v>
      </c>
      <c r="O371" s="20" t="s">
        <v>912</v>
      </c>
      <c r="P371" s="23" t="s">
        <v>26</v>
      </c>
      <c r="Q371" s="21" t="str">
        <f>VLOOKUP(C371,'2-1. 인사고과표(기능)'!B:AS,44,0)</f>
        <v>S</v>
      </c>
      <c r="R371" s="21" t="str">
        <f>VLOOKUP(C371,'2-2. 인사고과표(안전)'!B:AO,40,0)</f>
        <v>S</v>
      </c>
      <c r="S371" s="18"/>
      <c r="T371" s="19"/>
      <c r="U371" s="19"/>
      <c r="V371" s="19"/>
      <c r="W371" s="19" t="s">
        <v>465</v>
      </c>
      <c r="X371" s="22" t="s">
        <v>2556</v>
      </c>
      <c r="Y371" s="23" t="s">
        <v>26</v>
      </c>
      <c r="Z371" s="19"/>
      <c r="AA371" s="19" t="s">
        <v>2576</v>
      </c>
      <c r="AB371" s="22" t="s">
        <v>2577</v>
      </c>
      <c r="AC371" s="19" t="s">
        <v>2578</v>
      </c>
      <c r="AD371" s="23" t="s">
        <v>28</v>
      </c>
      <c r="AE371" s="24" t="s">
        <v>2579</v>
      </c>
    </row>
    <row r="372" spans="2:31" ht="39.950000000000003" customHeight="1" x14ac:dyDescent="0.3">
      <c r="B372" s="107">
        <v>25025</v>
      </c>
      <c r="C372" s="12">
        <f t="shared" si="17"/>
        <v>367</v>
      </c>
      <c r="D372" s="105" t="str">
        <f>IFERROR(" "&amp;VLOOKUP(B372,현장리스트!$B:$C,2,0),"-")</f>
        <v xml:space="preserve"> [3.쿠팡] INC 45FC(인천) 전기공사</v>
      </c>
      <c r="E372" s="13" t="s">
        <v>2409</v>
      </c>
      <c r="F372" s="13" t="str">
        <f t="shared" ca="1" si="18"/>
        <v>52세</v>
      </c>
      <c r="G372" s="14" t="s">
        <v>2410</v>
      </c>
      <c r="H372" s="15" t="str">
        <f t="shared" si="19"/>
        <v>남</v>
      </c>
      <c r="I372" s="16" t="s">
        <v>901</v>
      </c>
      <c r="J372" s="16" t="s">
        <v>30</v>
      </c>
      <c r="K372" s="17">
        <v>200000</v>
      </c>
      <c r="L372" s="18" t="s">
        <v>2411</v>
      </c>
      <c r="M372" s="19" t="s">
        <v>987</v>
      </c>
      <c r="N372" s="19" t="s">
        <v>2587</v>
      </c>
      <c r="O372" s="20" t="s">
        <v>921</v>
      </c>
      <c r="P372" s="23" t="s">
        <v>24</v>
      </c>
      <c r="Q372" s="21" t="str">
        <f>VLOOKUP(C372,'2-1. 인사고과표(기능)'!B:AS,44,0)</f>
        <v>S</v>
      </c>
      <c r="R372" s="21" t="str">
        <f>VLOOKUP(C372,'2-2. 인사고과표(안전)'!B:AO,40,0)</f>
        <v>S</v>
      </c>
      <c r="S372" s="18"/>
      <c r="T372" s="19"/>
      <c r="U372" s="19"/>
      <c r="V372" s="19"/>
      <c r="W372" s="19" t="s">
        <v>465</v>
      </c>
      <c r="X372" s="22" t="s">
        <v>2556</v>
      </c>
      <c r="Y372" s="23" t="s">
        <v>25</v>
      </c>
      <c r="Z372" s="19"/>
      <c r="AA372" s="19" t="s">
        <v>2576</v>
      </c>
      <c r="AB372" s="22" t="s">
        <v>2577</v>
      </c>
      <c r="AC372" s="19" t="s">
        <v>2578</v>
      </c>
      <c r="AD372" s="23" t="s">
        <v>28</v>
      </c>
      <c r="AE372" s="24" t="s">
        <v>2579</v>
      </c>
    </row>
    <row r="373" spans="2:31" ht="39.950000000000003" customHeight="1" x14ac:dyDescent="0.3">
      <c r="B373" s="107">
        <v>25025</v>
      </c>
      <c r="C373" s="12">
        <f t="shared" si="17"/>
        <v>368</v>
      </c>
      <c r="D373" s="105" t="str">
        <f>IFERROR(" "&amp;VLOOKUP(B373,현장리스트!$B:$C,2,0),"-")</f>
        <v xml:space="preserve"> [3.쿠팡] INC 45FC(인천) 전기공사</v>
      </c>
      <c r="E373" s="13" t="s">
        <v>1240</v>
      </c>
      <c r="F373" s="13" t="str">
        <f t="shared" ca="1" si="18"/>
        <v>54세</v>
      </c>
      <c r="G373" s="14" t="s">
        <v>1241</v>
      </c>
      <c r="H373" s="15" t="str">
        <f t="shared" si="19"/>
        <v>남</v>
      </c>
      <c r="I373" s="16" t="s">
        <v>901</v>
      </c>
      <c r="J373" s="16" t="s">
        <v>30</v>
      </c>
      <c r="K373" s="17">
        <v>180000</v>
      </c>
      <c r="L373" s="18" t="s">
        <v>1242</v>
      </c>
      <c r="M373" s="19" t="s">
        <v>910</v>
      </c>
      <c r="N373" s="19" t="s">
        <v>1012</v>
      </c>
      <c r="O373" s="20" t="s">
        <v>950</v>
      </c>
      <c r="P373" s="23" t="s">
        <v>26</v>
      </c>
      <c r="Q373" s="21" t="str">
        <f>VLOOKUP(C373,'2-1. 인사고과표(기능)'!B:AS,44,0)</f>
        <v>S</v>
      </c>
      <c r="R373" s="21" t="str">
        <f>VLOOKUP(C373,'2-2. 인사고과표(안전)'!B:AO,40,0)</f>
        <v>S</v>
      </c>
      <c r="S373" s="18"/>
      <c r="T373" s="19"/>
      <c r="U373" s="19"/>
      <c r="V373" s="19"/>
      <c r="W373" s="19" t="s">
        <v>465</v>
      </c>
      <c r="X373" s="22" t="s">
        <v>2556</v>
      </c>
      <c r="Y373" s="23" t="s">
        <v>26</v>
      </c>
      <c r="Z373" s="19"/>
      <c r="AA373" s="19"/>
      <c r="AB373" s="22"/>
      <c r="AC373" s="19"/>
      <c r="AD373" s="23"/>
      <c r="AE373" s="24"/>
    </row>
    <row r="374" spans="2:31" ht="39.950000000000003" customHeight="1" x14ac:dyDescent="0.3">
      <c r="B374" s="107">
        <v>25025</v>
      </c>
      <c r="C374" s="12">
        <f t="shared" si="17"/>
        <v>369</v>
      </c>
      <c r="D374" s="105" t="str">
        <f>IFERROR(" "&amp;VLOOKUP(B374,현장리스트!$B:$C,2,0),"-")</f>
        <v xml:space="preserve"> [3.쿠팡] INC 45FC(인천) 전기공사</v>
      </c>
      <c r="E374" s="13" t="s">
        <v>2096</v>
      </c>
      <c r="F374" s="13" t="str">
        <f t="shared" ca="1" si="18"/>
        <v>34세</v>
      </c>
      <c r="G374" s="14" t="s">
        <v>2097</v>
      </c>
      <c r="H374" s="15" t="str">
        <f t="shared" si="19"/>
        <v>남</v>
      </c>
      <c r="I374" s="16" t="s">
        <v>901</v>
      </c>
      <c r="J374" s="16" t="s">
        <v>30</v>
      </c>
      <c r="K374" s="17">
        <v>210000</v>
      </c>
      <c r="L374" s="18" t="s">
        <v>2098</v>
      </c>
      <c r="M374" s="19" t="s">
        <v>910</v>
      </c>
      <c r="N374" s="19" t="s">
        <v>940</v>
      </c>
      <c r="O374" s="20" t="s">
        <v>921</v>
      </c>
      <c r="P374" s="23" t="s">
        <v>26</v>
      </c>
      <c r="Q374" s="21" t="str">
        <f>VLOOKUP(C374,'2-1. 인사고과표(기능)'!B:AS,44,0)</f>
        <v>S</v>
      </c>
      <c r="R374" s="21" t="str">
        <f>VLOOKUP(C374,'2-2. 인사고과표(안전)'!B:AO,40,0)</f>
        <v>S</v>
      </c>
      <c r="S374" s="18"/>
      <c r="T374" s="19"/>
      <c r="U374" s="19"/>
      <c r="V374" s="19"/>
      <c r="W374" s="19" t="s">
        <v>465</v>
      </c>
      <c r="X374" s="22" t="s">
        <v>2556</v>
      </c>
      <c r="Y374" s="23" t="s">
        <v>26</v>
      </c>
      <c r="Z374" s="19"/>
      <c r="AA374" s="19" t="s">
        <v>2588</v>
      </c>
      <c r="AB374" s="22" t="s">
        <v>2589</v>
      </c>
      <c r="AC374" s="19" t="s">
        <v>2590</v>
      </c>
      <c r="AD374" s="23" t="s">
        <v>27</v>
      </c>
      <c r="AE374" s="24" t="s">
        <v>2591</v>
      </c>
    </row>
    <row r="375" spans="2:31" ht="39.950000000000003" customHeight="1" x14ac:dyDescent="0.3">
      <c r="B375" s="107">
        <v>25025</v>
      </c>
      <c r="C375" s="12">
        <f t="shared" si="17"/>
        <v>370</v>
      </c>
      <c r="D375" s="105" t="str">
        <f>IFERROR(" "&amp;VLOOKUP(B375,현장리스트!$B:$C,2,0),"-")</f>
        <v xml:space="preserve"> [3.쿠팡] INC 45FC(인천) 전기공사</v>
      </c>
      <c r="E375" s="13" t="s">
        <v>1513</v>
      </c>
      <c r="F375" s="13" t="str">
        <f t="shared" ca="1" si="18"/>
        <v>29세</v>
      </c>
      <c r="G375" s="14" t="s">
        <v>1514</v>
      </c>
      <c r="H375" s="15" t="str">
        <f t="shared" si="19"/>
        <v>남</v>
      </c>
      <c r="I375" s="16" t="s">
        <v>901</v>
      </c>
      <c r="J375" s="16" t="s">
        <v>30</v>
      </c>
      <c r="K375" s="17">
        <v>190000</v>
      </c>
      <c r="L375" s="18" t="s">
        <v>1515</v>
      </c>
      <c r="M375" s="19" t="s">
        <v>910</v>
      </c>
      <c r="N375" s="19" t="s">
        <v>1001</v>
      </c>
      <c r="O375" s="20" t="s">
        <v>2529</v>
      </c>
      <c r="P375" s="23" t="s">
        <v>26</v>
      </c>
      <c r="Q375" s="21" t="str">
        <f>VLOOKUP(C375,'2-1. 인사고과표(기능)'!B:AS,44,0)</f>
        <v>A</v>
      </c>
      <c r="R375" s="21" t="str">
        <f>VLOOKUP(C375,'2-2. 인사고과표(안전)'!B:AO,40,0)</f>
        <v>S</v>
      </c>
      <c r="S375" s="18"/>
      <c r="T375" s="19"/>
      <c r="U375" s="19"/>
      <c r="V375" s="19"/>
      <c r="W375" s="19" t="s">
        <v>465</v>
      </c>
      <c r="X375" s="22" t="s">
        <v>2556</v>
      </c>
      <c r="Y375" s="23" t="s">
        <v>26</v>
      </c>
      <c r="Z375" s="19"/>
      <c r="AA375" s="19" t="s">
        <v>2588</v>
      </c>
      <c r="AB375" s="22" t="s">
        <v>2589</v>
      </c>
      <c r="AC375" s="19" t="s">
        <v>2590</v>
      </c>
      <c r="AD375" s="23" t="s">
        <v>27</v>
      </c>
      <c r="AE375" s="24" t="s">
        <v>2591</v>
      </c>
    </row>
    <row r="376" spans="2:31" ht="39.950000000000003" customHeight="1" x14ac:dyDescent="0.3">
      <c r="B376" s="107">
        <v>25025</v>
      </c>
      <c r="C376" s="12">
        <f t="shared" si="17"/>
        <v>371</v>
      </c>
      <c r="D376" s="105" t="str">
        <f>IFERROR(" "&amp;VLOOKUP(B376,현장리스트!$B:$C,2,0),"-")</f>
        <v xml:space="preserve"> [3.쿠팡] INC 45FC(인천) 전기공사</v>
      </c>
      <c r="E376" s="13" t="s">
        <v>1615</v>
      </c>
      <c r="F376" s="13" t="str">
        <f t="shared" ca="1" si="18"/>
        <v>25세</v>
      </c>
      <c r="G376" s="14" t="s">
        <v>1616</v>
      </c>
      <c r="H376" s="15" t="str">
        <f t="shared" si="19"/>
        <v>남</v>
      </c>
      <c r="I376" s="16" t="s">
        <v>901</v>
      </c>
      <c r="J376" s="16" t="s">
        <v>30</v>
      </c>
      <c r="K376" s="17">
        <v>190000</v>
      </c>
      <c r="L376" s="18" t="s">
        <v>1617</v>
      </c>
      <c r="M376" s="19" t="s">
        <v>910</v>
      </c>
      <c r="N376" s="19" t="s">
        <v>940</v>
      </c>
      <c r="O376" s="20" t="s">
        <v>2529</v>
      </c>
      <c r="P376" s="23" t="s">
        <v>26</v>
      </c>
      <c r="Q376" s="21" t="str">
        <f>VLOOKUP(C376,'2-1. 인사고과표(기능)'!B:AS,44,0)</f>
        <v>A</v>
      </c>
      <c r="R376" s="21" t="str">
        <f>VLOOKUP(C376,'2-2. 인사고과표(안전)'!B:AO,40,0)</f>
        <v>S</v>
      </c>
      <c r="S376" s="18"/>
      <c r="T376" s="19"/>
      <c r="U376" s="19"/>
      <c r="V376" s="19"/>
      <c r="W376" s="19" t="s">
        <v>465</v>
      </c>
      <c r="X376" s="22" t="s">
        <v>2556</v>
      </c>
      <c r="Y376" s="23" t="s">
        <v>26</v>
      </c>
      <c r="Z376" s="19"/>
      <c r="AA376" s="19" t="s">
        <v>2588</v>
      </c>
      <c r="AB376" s="22" t="s">
        <v>2589</v>
      </c>
      <c r="AC376" s="19" t="s">
        <v>2590</v>
      </c>
      <c r="AD376" s="23" t="s">
        <v>27</v>
      </c>
      <c r="AE376" s="24" t="s">
        <v>2591</v>
      </c>
    </row>
    <row r="377" spans="2:31" ht="39.950000000000003" customHeight="1" x14ac:dyDescent="0.3">
      <c r="B377" s="107">
        <v>25025</v>
      </c>
      <c r="C377" s="12">
        <f t="shared" si="17"/>
        <v>372</v>
      </c>
      <c r="D377" s="105" t="str">
        <f>IFERROR(" "&amp;VLOOKUP(B377,현장리스트!$B:$C,2,0),"-")</f>
        <v xml:space="preserve"> [3.쿠팡] INC 45FC(인천) 전기공사</v>
      </c>
      <c r="E377" s="13" t="s">
        <v>1959</v>
      </c>
      <c r="F377" s="13" t="str">
        <f t="shared" ca="1" si="18"/>
        <v>27세</v>
      </c>
      <c r="G377" s="14" t="s">
        <v>1960</v>
      </c>
      <c r="H377" s="15" t="str">
        <f t="shared" si="19"/>
        <v>남</v>
      </c>
      <c r="I377" s="16" t="s">
        <v>901</v>
      </c>
      <c r="J377" s="16" t="s">
        <v>902</v>
      </c>
      <c r="K377" s="17">
        <v>190000</v>
      </c>
      <c r="L377" s="18" t="s">
        <v>1961</v>
      </c>
      <c r="M377" s="19" t="s">
        <v>910</v>
      </c>
      <c r="N377" s="19" t="s">
        <v>1001</v>
      </c>
      <c r="O377" s="20" t="s">
        <v>950</v>
      </c>
      <c r="P377" s="23" t="s">
        <v>26</v>
      </c>
      <c r="Q377" s="21" t="str">
        <f>VLOOKUP(C377,'2-1. 인사고과표(기능)'!B:AS,44,0)</f>
        <v>A</v>
      </c>
      <c r="R377" s="21" t="str">
        <f>VLOOKUP(C377,'2-2. 인사고과표(안전)'!B:AO,40,0)</f>
        <v>S</v>
      </c>
      <c r="S377" s="18"/>
      <c r="T377" s="19"/>
      <c r="U377" s="19"/>
      <c r="V377" s="19"/>
      <c r="W377" s="19" t="s">
        <v>465</v>
      </c>
      <c r="X377" s="22" t="s">
        <v>2556</v>
      </c>
      <c r="Y377" s="23" t="s">
        <v>26</v>
      </c>
      <c r="Z377" s="19"/>
      <c r="AA377" s="19"/>
      <c r="AB377" s="22"/>
      <c r="AC377" s="19"/>
      <c r="AD377" s="23"/>
      <c r="AE377" s="24"/>
    </row>
    <row r="378" spans="2:31" ht="39.950000000000003" customHeight="1" x14ac:dyDescent="0.3">
      <c r="B378" s="107">
        <v>25025</v>
      </c>
      <c r="C378" s="12">
        <f t="shared" si="17"/>
        <v>373</v>
      </c>
      <c r="D378" s="105" t="str">
        <f>IFERROR(" "&amp;VLOOKUP(B378,현장리스트!$B:$C,2,0),"-")</f>
        <v xml:space="preserve"> [3.쿠팡] INC 45FC(인천) 전기공사</v>
      </c>
      <c r="E378" s="13" t="s">
        <v>2054</v>
      </c>
      <c r="F378" s="13" t="str">
        <f t="shared" ca="1" si="18"/>
        <v>47세</v>
      </c>
      <c r="G378" s="14" t="s">
        <v>2055</v>
      </c>
      <c r="H378" s="15" t="str">
        <f t="shared" si="19"/>
        <v>남</v>
      </c>
      <c r="I378" s="16" t="s">
        <v>901</v>
      </c>
      <c r="J378" s="16" t="s">
        <v>30</v>
      </c>
      <c r="K378" s="17">
        <v>200000</v>
      </c>
      <c r="L378" s="18" t="s">
        <v>2056</v>
      </c>
      <c r="M378" s="19" t="s">
        <v>2604</v>
      </c>
      <c r="N378" s="19" t="s">
        <v>2607</v>
      </c>
      <c r="O378" s="20" t="s">
        <v>912</v>
      </c>
      <c r="P378" s="23" t="s">
        <v>26</v>
      </c>
      <c r="Q378" s="21" t="str">
        <f>VLOOKUP(C378,'2-1. 인사고과표(기능)'!B:AS,44,0)</f>
        <v>S</v>
      </c>
      <c r="R378" s="21" t="str">
        <f>VLOOKUP(C378,'2-2. 인사고과표(안전)'!B:AO,40,0)</f>
        <v>S</v>
      </c>
      <c r="S378" s="18"/>
      <c r="T378" s="19"/>
      <c r="U378" s="19"/>
      <c r="V378" s="19"/>
      <c r="W378" s="19" t="s">
        <v>465</v>
      </c>
      <c r="X378" s="22" t="s">
        <v>2556</v>
      </c>
      <c r="Y378" s="23" t="s">
        <v>26</v>
      </c>
      <c r="Z378" s="19"/>
      <c r="AA378" s="19" t="s">
        <v>456</v>
      </c>
      <c r="AB378" s="22" t="s">
        <v>2592</v>
      </c>
      <c r="AC378" s="19" t="s">
        <v>2593</v>
      </c>
      <c r="AD378" s="23" t="s">
        <v>28</v>
      </c>
      <c r="AE378" s="24" t="s">
        <v>2594</v>
      </c>
    </row>
    <row r="379" spans="2:31" ht="39.950000000000003" customHeight="1" x14ac:dyDescent="0.3">
      <c r="B379" s="107">
        <v>25025</v>
      </c>
      <c r="C379" s="12">
        <f t="shared" si="17"/>
        <v>374</v>
      </c>
      <c r="D379" s="105" t="str">
        <f>IFERROR(" "&amp;VLOOKUP(B379,현장리스트!$B:$C,2,0),"-")</f>
        <v xml:space="preserve"> [3.쿠팡] INC 45FC(인천) 전기공사</v>
      </c>
      <c r="E379" s="13" t="s">
        <v>2481</v>
      </c>
      <c r="F379" s="13" t="str">
        <f t="shared" ca="1" si="18"/>
        <v>34세</v>
      </c>
      <c r="G379" s="14" t="s">
        <v>2482</v>
      </c>
      <c r="H379" s="15" t="str">
        <f t="shared" si="19"/>
        <v>남</v>
      </c>
      <c r="I379" s="16" t="s">
        <v>901</v>
      </c>
      <c r="J379" s="16" t="s">
        <v>902</v>
      </c>
      <c r="K379" s="17">
        <v>200000</v>
      </c>
      <c r="L379" s="18" t="s">
        <v>2595</v>
      </c>
      <c r="M379" s="19" t="s">
        <v>910</v>
      </c>
      <c r="N379" s="19" t="s">
        <v>940</v>
      </c>
      <c r="O379" s="20" t="s">
        <v>2529</v>
      </c>
      <c r="P379" s="23" t="s">
        <v>26</v>
      </c>
      <c r="Q379" s="21" t="str">
        <f>VLOOKUP(C379,'2-1. 인사고과표(기능)'!B:AS,44,0)</f>
        <v>A</v>
      </c>
      <c r="R379" s="21" t="str">
        <f>VLOOKUP(C379,'2-2. 인사고과표(안전)'!B:AO,40,0)</f>
        <v>S</v>
      </c>
      <c r="S379" s="18"/>
      <c r="T379" s="19"/>
      <c r="U379" s="19"/>
      <c r="V379" s="19"/>
      <c r="W379" s="19"/>
      <c r="X379" s="22"/>
      <c r="Y379" s="23"/>
      <c r="Z379" s="19"/>
      <c r="AA379" s="19" t="s">
        <v>2588</v>
      </c>
      <c r="AB379" s="22" t="s">
        <v>2589</v>
      </c>
      <c r="AC379" s="19" t="s">
        <v>2590</v>
      </c>
      <c r="AD379" s="23" t="s">
        <v>27</v>
      </c>
      <c r="AE379" s="24" t="s">
        <v>2591</v>
      </c>
    </row>
    <row r="380" spans="2:31" ht="39.950000000000003" customHeight="1" x14ac:dyDescent="0.3">
      <c r="B380" s="107">
        <v>25025</v>
      </c>
      <c r="C380" s="12">
        <f t="shared" si="17"/>
        <v>375</v>
      </c>
      <c r="D380" s="105" t="str">
        <f>IFERROR(" "&amp;VLOOKUP(B380,현장리스트!$B:$C,2,0),"-")</f>
        <v xml:space="preserve"> [3.쿠팡] INC 45FC(인천) 전기공사</v>
      </c>
      <c r="E380" s="13" t="s">
        <v>1310</v>
      </c>
      <c r="F380" s="13" t="str">
        <f t="shared" ca="1" si="18"/>
        <v>30세</v>
      </c>
      <c r="G380" s="14" t="s">
        <v>1311</v>
      </c>
      <c r="H380" s="15" t="str">
        <f t="shared" si="19"/>
        <v>남</v>
      </c>
      <c r="I380" s="16" t="s">
        <v>901</v>
      </c>
      <c r="J380" s="16" t="s">
        <v>30</v>
      </c>
      <c r="K380" s="17">
        <v>200000</v>
      </c>
      <c r="L380" s="18" t="s">
        <v>1312</v>
      </c>
      <c r="M380" s="19" t="s">
        <v>910</v>
      </c>
      <c r="N380" s="19" t="s">
        <v>1001</v>
      </c>
      <c r="O380" s="20" t="s">
        <v>2583</v>
      </c>
      <c r="P380" s="23" t="s">
        <v>26</v>
      </c>
      <c r="Q380" s="21" t="str">
        <f>VLOOKUP(C380,'2-1. 인사고과표(기능)'!B:AS,44,0)</f>
        <v>S</v>
      </c>
      <c r="R380" s="21" t="str">
        <f>VLOOKUP(C380,'2-2. 인사고과표(안전)'!B:AO,40,0)</f>
        <v>S</v>
      </c>
      <c r="S380" s="18"/>
      <c r="T380" s="19"/>
      <c r="U380" s="19"/>
      <c r="V380" s="19"/>
      <c r="W380" s="19" t="s">
        <v>465</v>
      </c>
      <c r="X380" s="22" t="s">
        <v>2556</v>
      </c>
      <c r="Y380" s="23" t="s">
        <v>26</v>
      </c>
      <c r="Z380" s="19"/>
      <c r="AA380" s="19" t="s">
        <v>2596</v>
      </c>
      <c r="AB380" s="22" t="s">
        <v>2597</v>
      </c>
      <c r="AC380" s="19" t="s">
        <v>2598</v>
      </c>
      <c r="AD380" s="23" t="s">
        <v>28</v>
      </c>
      <c r="AE380" s="24" t="s">
        <v>2599</v>
      </c>
    </row>
    <row r="381" spans="2:31" ht="39.950000000000003" customHeight="1" x14ac:dyDescent="0.3">
      <c r="B381" s="107">
        <v>25022</v>
      </c>
      <c r="C381" s="12">
        <f t="shared" si="17"/>
        <v>376</v>
      </c>
      <c r="D381" s="105" t="str">
        <f>IFERROR(" "&amp;VLOOKUP(B381,현장리스트!$B:$C,2,0),"-")</f>
        <v xml:space="preserve"> [4.롯데CM] 롯데백화점 노원점 리뉴얼 공사</v>
      </c>
      <c r="E381" s="13" t="s">
        <v>1674</v>
      </c>
      <c r="F381" s="13" t="str">
        <f t="shared" ca="1" si="18"/>
        <v>32세</v>
      </c>
      <c r="G381" s="14" t="s">
        <v>1675</v>
      </c>
      <c r="H381" s="15" t="str">
        <f t="shared" si="19"/>
        <v>남</v>
      </c>
      <c r="I381" s="16" t="s">
        <v>895</v>
      </c>
      <c r="J381" s="16" t="s">
        <v>900</v>
      </c>
      <c r="K381" s="17">
        <v>200000</v>
      </c>
      <c r="L381" s="18" t="s">
        <v>1676</v>
      </c>
      <c r="M381" s="19" t="s">
        <v>987</v>
      </c>
      <c r="N381" s="19" t="s">
        <v>3094</v>
      </c>
      <c r="O381" s="20" t="s">
        <v>2534</v>
      </c>
      <c r="P381" s="23" t="s">
        <v>28</v>
      </c>
      <c r="Q381" s="21" t="str">
        <f>VLOOKUP(C381,'2-1. 인사고과표(기능)'!B:AS,44,0)</f>
        <v>A</v>
      </c>
      <c r="R381" s="21" t="str">
        <f>VLOOKUP(C381,'2-2. 인사고과표(안전)'!B:AO,40,0)</f>
        <v>S</v>
      </c>
      <c r="S381" s="18"/>
      <c r="T381" s="19"/>
      <c r="U381" s="19"/>
      <c r="V381" s="19"/>
      <c r="W381" s="19"/>
      <c r="X381" s="22"/>
      <c r="Y381" s="23"/>
      <c r="Z381" s="19"/>
      <c r="AA381" s="19"/>
      <c r="AB381" s="22"/>
      <c r="AC381" s="19"/>
      <c r="AD381" s="23"/>
      <c r="AE381" s="24"/>
    </row>
    <row r="382" spans="2:31" ht="39.950000000000003" customHeight="1" x14ac:dyDescent="0.3">
      <c r="B382" s="107">
        <v>25022</v>
      </c>
      <c r="C382" s="12">
        <f t="shared" si="17"/>
        <v>377</v>
      </c>
      <c r="D382" s="105" t="str">
        <f>IFERROR(" "&amp;VLOOKUP(B382,현장리스트!$B:$C,2,0),"-")</f>
        <v xml:space="preserve"> [4.롯데CM] 롯데백화점 노원점 리뉴얼 공사</v>
      </c>
      <c r="E382" s="13" t="s">
        <v>1993</v>
      </c>
      <c r="F382" s="13" t="str">
        <f t="shared" ca="1" si="18"/>
        <v>61세</v>
      </c>
      <c r="G382" s="14" t="s">
        <v>1994</v>
      </c>
      <c r="H382" s="15" t="str">
        <f t="shared" si="19"/>
        <v>남</v>
      </c>
      <c r="I382" s="16" t="s">
        <v>895</v>
      </c>
      <c r="J382" s="16" t="s">
        <v>898</v>
      </c>
      <c r="K382" s="17">
        <v>6000000</v>
      </c>
      <c r="L382" s="18" t="s">
        <v>1995</v>
      </c>
      <c r="M382" s="19" t="s">
        <v>910</v>
      </c>
      <c r="N382" s="19" t="s">
        <v>940</v>
      </c>
      <c r="O382" s="20" t="s">
        <v>912</v>
      </c>
      <c r="P382" s="23" t="s">
        <v>24</v>
      </c>
      <c r="Q382" s="21" t="str">
        <f>VLOOKUP(C382,'2-1. 인사고과표(기능)'!B:AS,44,0)</f>
        <v>S</v>
      </c>
      <c r="R382" s="21" t="str">
        <f>VLOOKUP(C382,'2-2. 인사고과표(안전)'!B:AO,40,0)</f>
        <v>S</v>
      </c>
      <c r="S382" s="18" t="s">
        <v>2675</v>
      </c>
      <c r="T382" s="19"/>
      <c r="U382" s="19"/>
      <c r="V382" s="19"/>
      <c r="W382" s="19" t="s">
        <v>3197</v>
      </c>
      <c r="X382" s="22" t="s">
        <v>3198</v>
      </c>
      <c r="Y382" s="23" t="s">
        <v>24</v>
      </c>
      <c r="Z382" s="19"/>
      <c r="AA382" s="19" t="s">
        <v>3199</v>
      </c>
      <c r="AB382" s="22" t="s">
        <v>3200</v>
      </c>
      <c r="AC382" s="19" t="s">
        <v>3201</v>
      </c>
      <c r="AD382" s="23" t="s">
        <v>23</v>
      </c>
      <c r="AE382" s="24"/>
    </row>
    <row r="383" spans="2:31" ht="39.950000000000003" customHeight="1" x14ac:dyDescent="0.3">
      <c r="B383" s="107">
        <v>25022</v>
      </c>
      <c r="C383" s="12">
        <f t="shared" si="17"/>
        <v>378</v>
      </c>
      <c r="D383" s="105" t="str">
        <f>IFERROR(" "&amp;VLOOKUP(B383,현장리스트!$B:$C,2,0),"-")</f>
        <v xml:space="preserve"> [4.롯데CM] 롯데백화점 노원점 리뉴얼 공사</v>
      </c>
      <c r="E383" s="13" t="s">
        <v>2005</v>
      </c>
      <c r="F383" s="13" t="str">
        <f t="shared" ca="1" si="18"/>
        <v>55세</v>
      </c>
      <c r="G383" s="14" t="s">
        <v>2006</v>
      </c>
      <c r="H383" s="15" t="str">
        <f t="shared" si="19"/>
        <v>남</v>
      </c>
      <c r="I383" s="16" t="s">
        <v>899</v>
      </c>
      <c r="J383" s="16" t="s">
        <v>903</v>
      </c>
      <c r="K383" s="17">
        <v>230000</v>
      </c>
      <c r="L383" s="18" t="s">
        <v>2007</v>
      </c>
      <c r="M383" s="19" t="s">
        <v>917</v>
      </c>
      <c r="N383" s="19" t="s">
        <v>3190</v>
      </c>
      <c r="O383" s="20" t="s">
        <v>993</v>
      </c>
      <c r="P383" s="23" t="s">
        <v>23</v>
      </c>
      <c r="Q383" s="21" t="str">
        <f>VLOOKUP(C383,'2-1. 인사고과표(기능)'!B:AS,44,0)</f>
        <v>S</v>
      </c>
      <c r="R383" s="21" t="str">
        <f>VLOOKUP(C383,'2-2. 인사고과표(안전)'!B:AO,40,0)</f>
        <v>S</v>
      </c>
      <c r="S383" s="18"/>
      <c r="T383" s="19"/>
      <c r="U383" s="19"/>
      <c r="V383" s="19"/>
      <c r="W383" s="19"/>
      <c r="X383" s="22"/>
      <c r="Y383" s="23"/>
      <c r="Z383" s="19"/>
      <c r="AA383" s="19"/>
      <c r="AB383" s="22"/>
      <c r="AC383" s="19"/>
      <c r="AD383" s="23"/>
      <c r="AE383" s="24"/>
    </row>
    <row r="384" spans="2:31" ht="39.950000000000003" customHeight="1" x14ac:dyDescent="0.3">
      <c r="B384" s="107">
        <v>25022</v>
      </c>
      <c r="C384" s="12">
        <f t="shared" si="17"/>
        <v>379</v>
      </c>
      <c r="D384" s="105" t="str">
        <f>IFERROR(" "&amp;VLOOKUP(B384,현장리스트!$B:$C,2,0),"-")</f>
        <v xml:space="preserve"> [4.롯데CM] 롯데백화점 노원점 리뉴얼 공사</v>
      </c>
      <c r="E384" s="13" t="s">
        <v>1232</v>
      </c>
      <c r="F384" s="13" t="str">
        <f t="shared" ca="1" si="18"/>
        <v>28세</v>
      </c>
      <c r="G384" s="14" t="s">
        <v>1233</v>
      </c>
      <c r="H384" s="15" t="str">
        <f t="shared" si="19"/>
        <v>남</v>
      </c>
      <c r="I384" s="16" t="s">
        <v>901</v>
      </c>
      <c r="J384" s="16" t="s">
        <v>30</v>
      </c>
      <c r="K384" s="17">
        <v>200000</v>
      </c>
      <c r="L384" s="18" t="s">
        <v>1234</v>
      </c>
      <c r="M384" s="19" t="s">
        <v>914</v>
      </c>
      <c r="N384" s="19" t="s">
        <v>3424</v>
      </c>
      <c r="O384" s="20" t="s">
        <v>2583</v>
      </c>
      <c r="P384" s="23" t="s">
        <v>24</v>
      </c>
      <c r="Q384" s="21" t="str">
        <f>VLOOKUP(C384,'2-1. 인사고과표(기능)'!B:AS,44,0)</f>
        <v>S</v>
      </c>
      <c r="R384" s="21" t="str">
        <f>VLOOKUP(C384,'2-2. 인사고과표(안전)'!B:AO,40,0)</f>
        <v>S</v>
      </c>
      <c r="S384" s="18"/>
      <c r="T384" s="19"/>
      <c r="U384" s="19"/>
      <c r="V384" s="19"/>
      <c r="W384" s="19" t="s">
        <v>2851</v>
      </c>
      <c r="X384" s="22" t="s">
        <v>3202</v>
      </c>
      <c r="Y384" s="23" t="s">
        <v>23</v>
      </c>
      <c r="Z384" s="19"/>
      <c r="AA384" s="19" t="s">
        <v>2695</v>
      </c>
      <c r="AB384" s="22" t="s">
        <v>3203</v>
      </c>
      <c r="AC384" s="19" t="s">
        <v>3204</v>
      </c>
      <c r="AD384" s="23" t="s">
        <v>23</v>
      </c>
      <c r="AE384" s="24"/>
    </row>
    <row r="385" spans="2:31" ht="39.950000000000003" customHeight="1" x14ac:dyDescent="0.3">
      <c r="B385" s="107">
        <v>25022</v>
      </c>
      <c r="C385" s="12">
        <f t="shared" si="17"/>
        <v>380</v>
      </c>
      <c r="D385" s="105" t="str">
        <f>IFERROR(" "&amp;VLOOKUP(B385,현장리스트!$B:$C,2,0),"-")</f>
        <v xml:space="preserve"> [4.롯데CM] 롯데백화점 노원점 리뉴얼 공사</v>
      </c>
      <c r="E385" s="13" t="s">
        <v>1363</v>
      </c>
      <c r="F385" s="13" t="str">
        <f t="shared" ca="1" si="18"/>
        <v>58세</v>
      </c>
      <c r="G385" s="14" t="s">
        <v>1364</v>
      </c>
      <c r="H385" s="15" t="str">
        <f t="shared" si="19"/>
        <v>남</v>
      </c>
      <c r="I385" s="16" t="s">
        <v>901</v>
      </c>
      <c r="J385" s="16" t="s">
        <v>30</v>
      </c>
      <c r="K385" s="17">
        <v>230000</v>
      </c>
      <c r="L385" s="18" t="s">
        <v>1365</v>
      </c>
      <c r="M385" s="19" t="s">
        <v>987</v>
      </c>
      <c r="N385" s="19" t="s">
        <v>2649</v>
      </c>
      <c r="O385" s="20" t="s">
        <v>921</v>
      </c>
      <c r="P385" s="23" t="s">
        <v>24</v>
      </c>
      <c r="Q385" s="21" t="str">
        <f>VLOOKUP(C385,'2-1. 인사고과표(기능)'!B:AS,44,0)</f>
        <v>A</v>
      </c>
      <c r="R385" s="21" t="str">
        <f>VLOOKUP(C385,'2-2. 인사고과표(안전)'!B:AO,40,0)</f>
        <v>S</v>
      </c>
      <c r="S385" s="18"/>
      <c r="T385" s="19"/>
      <c r="U385" s="19"/>
      <c r="V385" s="19"/>
      <c r="W385" s="19" t="s">
        <v>2695</v>
      </c>
      <c r="X385" s="22" t="s">
        <v>3205</v>
      </c>
      <c r="Y385" s="23" t="s">
        <v>24</v>
      </c>
      <c r="Z385" s="19"/>
      <c r="AA385" s="19" t="s">
        <v>3206</v>
      </c>
      <c r="AB385" s="22" t="s">
        <v>3207</v>
      </c>
      <c r="AC385" s="19" t="s">
        <v>3208</v>
      </c>
      <c r="AD385" s="23" t="s">
        <v>23</v>
      </c>
      <c r="AE385" s="24"/>
    </row>
    <row r="386" spans="2:31" ht="39.950000000000003" customHeight="1" x14ac:dyDescent="0.3">
      <c r="B386" s="107">
        <v>25022</v>
      </c>
      <c r="C386" s="12">
        <f t="shared" si="17"/>
        <v>381</v>
      </c>
      <c r="D386" s="105" t="str">
        <f>IFERROR(" "&amp;VLOOKUP(B386,현장리스트!$B:$C,2,0),"-")</f>
        <v xml:space="preserve"> [4.롯데CM] 롯데백화점 노원점 리뉴얼 공사</v>
      </c>
      <c r="E386" s="13" t="s">
        <v>1735</v>
      </c>
      <c r="F386" s="13" t="str">
        <f t="shared" ca="1" si="18"/>
        <v>53세</v>
      </c>
      <c r="G386" s="14" t="s">
        <v>1736</v>
      </c>
      <c r="H386" s="15" t="str">
        <f t="shared" si="19"/>
        <v>남</v>
      </c>
      <c r="I386" s="16" t="s">
        <v>901</v>
      </c>
      <c r="J386" s="16" t="s">
        <v>30</v>
      </c>
      <c r="K386" s="17">
        <v>230000</v>
      </c>
      <c r="L386" s="18" t="s">
        <v>1737</v>
      </c>
      <c r="M386" s="19" t="s">
        <v>914</v>
      </c>
      <c r="N386" s="19" t="s">
        <v>2628</v>
      </c>
      <c r="O386" s="20" t="s">
        <v>950</v>
      </c>
      <c r="P386" s="23" t="s">
        <v>24</v>
      </c>
      <c r="Q386" s="21" t="str">
        <f>VLOOKUP(C386,'2-1. 인사고과표(기능)'!B:AS,44,0)</f>
        <v>S</v>
      </c>
      <c r="R386" s="21" t="str">
        <f>VLOOKUP(C386,'2-2. 인사고과표(안전)'!B:AO,40,0)</f>
        <v>S</v>
      </c>
      <c r="S386" s="18"/>
      <c r="T386" s="19"/>
      <c r="U386" s="19"/>
      <c r="V386" s="19"/>
      <c r="W386" s="19" t="s">
        <v>2695</v>
      </c>
      <c r="X386" s="22" t="s">
        <v>3205</v>
      </c>
      <c r="Y386" s="23" t="s">
        <v>24</v>
      </c>
      <c r="Z386" s="19"/>
      <c r="AA386" s="19" t="s">
        <v>3206</v>
      </c>
      <c r="AB386" s="22" t="s">
        <v>3209</v>
      </c>
      <c r="AC386" s="19" t="s">
        <v>2654</v>
      </c>
      <c r="AD386" s="23" t="s">
        <v>24</v>
      </c>
      <c r="AE386" s="24"/>
    </row>
    <row r="387" spans="2:31" ht="39.950000000000003" customHeight="1" x14ac:dyDescent="0.3">
      <c r="B387" s="107">
        <v>25022</v>
      </c>
      <c r="C387" s="12">
        <f t="shared" si="17"/>
        <v>382</v>
      </c>
      <c r="D387" s="105" t="str">
        <f>IFERROR(" "&amp;VLOOKUP(B387,현장리스트!$B:$C,2,0),"-")</f>
        <v xml:space="preserve"> [4.롯데CM] 롯데백화점 노원점 리뉴얼 공사</v>
      </c>
      <c r="E387" s="13" t="s">
        <v>3186</v>
      </c>
      <c r="F387" s="13" t="str">
        <f t="shared" ca="1" si="18"/>
        <v>55세</v>
      </c>
      <c r="G387" s="14" t="s">
        <v>3188</v>
      </c>
      <c r="H387" s="15" t="str">
        <f t="shared" si="19"/>
        <v>남</v>
      </c>
      <c r="I387" s="16" t="s">
        <v>901</v>
      </c>
      <c r="J387" s="16" t="s">
        <v>30</v>
      </c>
      <c r="K387" s="17">
        <v>230000</v>
      </c>
      <c r="L387" s="18" t="s">
        <v>3192</v>
      </c>
      <c r="M387" s="19" t="s">
        <v>987</v>
      </c>
      <c r="N387" s="19" t="s">
        <v>3094</v>
      </c>
      <c r="O387" s="20" t="s">
        <v>993</v>
      </c>
      <c r="P387" s="23" t="s">
        <v>24</v>
      </c>
      <c r="Q387" s="21" t="str">
        <f>VLOOKUP(C387,'2-1. 인사고과표(기능)'!B:AS,44,0)</f>
        <v>S</v>
      </c>
      <c r="R387" s="21" t="str">
        <f>VLOOKUP(C387,'2-2. 인사고과표(안전)'!B:AO,40,0)</f>
        <v>S</v>
      </c>
      <c r="S387" s="18"/>
      <c r="T387" s="19"/>
      <c r="U387" s="19"/>
      <c r="V387" s="19"/>
      <c r="W387" s="19"/>
      <c r="X387" s="22"/>
      <c r="Y387" s="23"/>
      <c r="Z387" s="19"/>
      <c r="AA387" s="19" t="s">
        <v>3210</v>
      </c>
      <c r="AB387" s="22" t="s">
        <v>3211</v>
      </c>
      <c r="AC387" s="19" t="s">
        <v>3212</v>
      </c>
      <c r="AD387" s="23" t="s">
        <v>24</v>
      </c>
      <c r="AE387" s="24"/>
    </row>
    <row r="388" spans="2:31" ht="39.950000000000003" customHeight="1" x14ac:dyDescent="0.3">
      <c r="B388" s="107">
        <v>25022</v>
      </c>
      <c r="C388" s="12">
        <f t="shared" si="17"/>
        <v>383</v>
      </c>
      <c r="D388" s="105" t="str">
        <f>IFERROR(" "&amp;VLOOKUP(B388,현장리스트!$B:$C,2,0),"-")</f>
        <v xml:space="preserve"> [4.롯데CM] 롯데백화점 노원점 리뉴얼 공사</v>
      </c>
      <c r="E388" s="13" t="s">
        <v>1931</v>
      </c>
      <c r="F388" s="13" t="str">
        <f t="shared" ca="1" si="18"/>
        <v>30세</v>
      </c>
      <c r="G388" s="14" t="s">
        <v>1932</v>
      </c>
      <c r="H388" s="15" t="str">
        <f t="shared" si="19"/>
        <v>남</v>
      </c>
      <c r="I388" s="16" t="s">
        <v>901</v>
      </c>
      <c r="J388" s="16" t="s">
        <v>30</v>
      </c>
      <c r="K388" s="17">
        <v>200000</v>
      </c>
      <c r="L388" s="18" t="s">
        <v>3193</v>
      </c>
      <c r="M388" s="19" t="s">
        <v>3414</v>
      </c>
      <c r="N388" s="19" t="s">
        <v>3423</v>
      </c>
      <c r="O388" s="20" t="s">
        <v>926</v>
      </c>
      <c r="P388" s="23" t="s">
        <v>23</v>
      </c>
      <c r="Q388" s="21" t="str">
        <f>VLOOKUP(C388,'2-1. 인사고과표(기능)'!B:AS,44,0)</f>
        <v>A</v>
      </c>
      <c r="R388" s="21" t="str">
        <f>VLOOKUP(C388,'2-2. 인사고과표(안전)'!B:AO,40,0)</f>
        <v>S</v>
      </c>
      <c r="S388" s="18"/>
      <c r="T388" s="19"/>
      <c r="U388" s="19"/>
      <c r="V388" s="19"/>
      <c r="W388" s="19"/>
      <c r="X388" s="22"/>
      <c r="Y388" s="23"/>
      <c r="Z388" s="19"/>
      <c r="AA388" s="19" t="s">
        <v>456</v>
      </c>
      <c r="AB388" s="22" t="s">
        <v>3213</v>
      </c>
      <c r="AC388" s="19" t="s">
        <v>2593</v>
      </c>
      <c r="AD388" s="23" t="s">
        <v>23</v>
      </c>
      <c r="AE388" s="24"/>
    </row>
    <row r="389" spans="2:31" ht="39.950000000000003" customHeight="1" x14ac:dyDescent="0.3">
      <c r="B389" s="107">
        <v>25022</v>
      </c>
      <c r="C389" s="12">
        <f t="shared" si="17"/>
        <v>384</v>
      </c>
      <c r="D389" s="105" t="str">
        <f>IFERROR(" "&amp;VLOOKUP(B389,현장리스트!$B:$C,2,0),"-")</f>
        <v xml:space="preserve"> [4.롯데CM] 롯데백화점 노원점 리뉴얼 공사</v>
      </c>
      <c r="E389" s="13" t="s">
        <v>3187</v>
      </c>
      <c r="F389" s="13" t="str">
        <f t="shared" ca="1" si="18"/>
        <v>47세</v>
      </c>
      <c r="G389" s="14" t="s">
        <v>3189</v>
      </c>
      <c r="H389" s="15" t="str">
        <f t="shared" si="19"/>
        <v>남</v>
      </c>
      <c r="I389" s="16" t="s">
        <v>901</v>
      </c>
      <c r="J389" s="16" t="s">
        <v>30</v>
      </c>
      <c r="K389" s="17">
        <v>230000</v>
      </c>
      <c r="L389" s="18" t="s">
        <v>3194</v>
      </c>
      <c r="M389" s="19" t="s">
        <v>987</v>
      </c>
      <c r="N389" s="19" t="s">
        <v>3142</v>
      </c>
      <c r="O389" s="20" t="s">
        <v>1017</v>
      </c>
      <c r="P389" s="23" t="s">
        <v>24</v>
      </c>
      <c r="Q389" s="21" t="str">
        <f>VLOOKUP(C389,'2-1. 인사고과표(기능)'!B:AS,44,0)</f>
        <v>S</v>
      </c>
      <c r="R389" s="21" t="str">
        <f>VLOOKUP(C389,'2-2. 인사고과표(안전)'!B:AO,40,0)</f>
        <v>S</v>
      </c>
      <c r="S389" s="18"/>
      <c r="T389" s="19"/>
      <c r="U389" s="19"/>
      <c r="V389" s="19"/>
      <c r="W389" s="19"/>
      <c r="X389" s="22"/>
      <c r="Y389" s="23"/>
      <c r="Z389" s="19"/>
      <c r="AA389" s="19" t="s">
        <v>3214</v>
      </c>
      <c r="AB389" s="22" t="s">
        <v>3211</v>
      </c>
      <c r="AC389" s="19" t="s">
        <v>3212</v>
      </c>
      <c r="AD389" s="23" t="s">
        <v>24</v>
      </c>
      <c r="AE389" s="24"/>
    </row>
    <row r="390" spans="2:31" ht="39.950000000000003" customHeight="1" x14ac:dyDescent="0.3">
      <c r="B390" s="107">
        <v>25022</v>
      </c>
      <c r="C390" s="12">
        <f t="shared" ref="C390:C453" si="22">ROW()-5</f>
        <v>385</v>
      </c>
      <c r="D390" s="105" t="str">
        <f>IFERROR(" "&amp;VLOOKUP(B390,현장리스트!$B:$C,2,0),"-")</f>
        <v xml:space="preserve"> [4.롯데CM] 롯데백화점 노원점 리뉴얼 공사</v>
      </c>
      <c r="E390" s="13" t="s">
        <v>1138</v>
      </c>
      <c r="F390" s="13" t="str">
        <f t="shared" ref="F390:F453" ca="1" si="23">IFERROR(DATEDIF(MID(G390,1,2)&amp;"-"&amp;MID(G390,3,2)&amp;"-"&amp;MID(G390,5,2),TODAY(),"y")&amp;"세","")</f>
        <v>49세</v>
      </c>
      <c r="G390" s="14" t="s">
        <v>1139</v>
      </c>
      <c r="H390" s="15" t="str">
        <f t="shared" ref="H390:H453" si="24">IF(G390="","",IF(LEN(G390)&lt;14,"에러",IF(LEN(G390)&lt;14,"에러",IF(ISODD(MID(G390,8,1)),"남","여"))))</f>
        <v>남</v>
      </c>
      <c r="I390" s="16" t="s">
        <v>901</v>
      </c>
      <c r="J390" s="16" t="s">
        <v>30</v>
      </c>
      <c r="K390" s="17">
        <v>230000</v>
      </c>
      <c r="L390" s="18" t="s">
        <v>1140</v>
      </c>
      <c r="M390" s="19" t="s">
        <v>987</v>
      </c>
      <c r="N390" s="19" t="s">
        <v>2642</v>
      </c>
      <c r="O390" s="20" t="s">
        <v>907</v>
      </c>
      <c r="P390" s="23" t="s">
        <v>23</v>
      </c>
      <c r="Q390" s="21" t="str">
        <f>VLOOKUP(C390,'2-1. 인사고과표(기능)'!B:AS,44,0)</f>
        <v>A</v>
      </c>
      <c r="R390" s="21" t="str">
        <f>VLOOKUP(C390,'2-2. 인사고과표(안전)'!B:AO,40,0)</f>
        <v>S</v>
      </c>
      <c r="S390" s="18"/>
      <c r="T390" s="19"/>
      <c r="U390" s="19"/>
      <c r="V390" s="19"/>
      <c r="W390" s="19"/>
      <c r="X390" s="22"/>
      <c r="Y390" s="23"/>
      <c r="Z390" s="19"/>
      <c r="AA390" s="19" t="s">
        <v>3215</v>
      </c>
      <c r="AB390" s="22" t="s">
        <v>3216</v>
      </c>
      <c r="AC390" s="19" t="s">
        <v>2792</v>
      </c>
      <c r="AD390" s="23" t="s">
        <v>23</v>
      </c>
      <c r="AE390" s="24"/>
    </row>
    <row r="391" spans="2:31" ht="39.950000000000003" customHeight="1" x14ac:dyDescent="0.3">
      <c r="B391" s="107">
        <v>25022</v>
      </c>
      <c r="C391" s="12">
        <f t="shared" si="22"/>
        <v>386</v>
      </c>
      <c r="D391" s="105" t="str">
        <f>IFERROR(" "&amp;VLOOKUP(B391,현장리스트!$B:$C,2,0),"-")</f>
        <v xml:space="preserve"> [4.롯데CM] 롯데백화점 노원점 리뉴얼 공사</v>
      </c>
      <c r="E391" s="13" t="s">
        <v>1146</v>
      </c>
      <c r="F391" s="13" t="str">
        <f t="shared" ca="1" si="23"/>
        <v>48세</v>
      </c>
      <c r="G391" s="14" t="s">
        <v>1147</v>
      </c>
      <c r="H391" s="15" t="str">
        <f t="shared" si="24"/>
        <v>남</v>
      </c>
      <c r="I391" s="16" t="s">
        <v>901</v>
      </c>
      <c r="J391" s="16" t="s">
        <v>30</v>
      </c>
      <c r="K391" s="17">
        <v>220000</v>
      </c>
      <c r="L391" s="18" t="s">
        <v>1148</v>
      </c>
      <c r="M391" s="19" t="s">
        <v>987</v>
      </c>
      <c r="N391" s="19" t="s">
        <v>2643</v>
      </c>
      <c r="O391" s="20" t="s">
        <v>926</v>
      </c>
      <c r="P391" s="23" t="s">
        <v>24</v>
      </c>
      <c r="Q391" s="21" t="str">
        <f>VLOOKUP(C391,'2-1. 인사고과표(기능)'!B:AS,44,0)</f>
        <v>S</v>
      </c>
      <c r="R391" s="21" t="str">
        <f>VLOOKUP(C391,'2-2. 인사고과표(안전)'!B:AO,40,0)</f>
        <v>S</v>
      </c>
      <c r="S391" s="18"/>
      <c r="T391" s="19"/>
      <c r="U391" s="19"/>
      <c r="V391" s="19"/>
      <c r="W391" s="19"/>
      <c r="X391" s="22"/>
      <c r="Y391" s="23"/>
      <c r="Z391" s="19"/>
      <c r="AA391" s="19" t="s">
        <v>3206</v>
      </c>
      <c r="AB391" s="22" t="s">
        <v>3217</v>
      </c>
      <c r="AC391" s="19" t="s">
        <v>2654</v>
      </c>
      <c r="AD391" s="23" t="s">
        <v>23</v>
      </c>
      <c r="AE391" s="24"/>
    </row>
    <row r="392" spans="2:31" ht="39.950000000000003" customHeight="1" x14ac:dyDescent="0.3">
      <c r="B392" s="107">
        <v>25022</v>
      </c>
      <c r="C392" s="12">
        <f t="shared" si="22"/>
        <v>387</v>
      </c>
      <c r="D392" s="105" t="str">
        <f>IFERROR(" "&amp;VLOOKUP(B392,현장리스트!$B:$C,2,0),"-")</f>
        <v xml:space="preserve"> [4.롯데CM] 롯데백화점 노원점 리뉴얼 공사</v>
      </c>
      <c r="E392" s="13" t="s">
        <v>1287</v>
      </c>
      <c r="F392" s="13" t="str">
        <f t="shared" ca="1" si="23"/>
        <v>62세</v>
      </c>
      <c r="G392" s="14" t="s">
        <v>1288</v>
      </c>
      <c r="H392" s="15" t="str">
        <f t="shared" si="24"/>
        <v>남</v>
      </c>
      <c r="I392" s="16" t="s">
        <v>901</v>
      </c>
      <c r="J392" s="16" t="s">
        <v>30</v>
      </c>
      <c r="K392" s="17">
        <v>220000</v>
      </c>
      <c r="L392" s="18" t="s">
        <v>1289</v>
      </c>
      <c r="M392" s="19" t="s">
        <v>987</v>
      </c>
      <c r="N392" s="19" t="s">
        <v>2968</v>
      </c>
      <c r="O392" s="20" t="s">
        <v>921</v>
      </c>
      <c r="P392" s="23" t="s">
        <v>24</v>
      </c>
      <c r="Q392" s="21" t="str">
        <f>VLOOKUP(C392,'2-1. 인사고과표(기능)'!B:AS,44,0)</f>
        <v>S</v>
      </c>
      <c r="R392" s="21" t="str">
        <f>VLOOKUP(C392,'2-2. 인사고과표(안전)'!B:AO,40,0)</f>
        <v>S</v>
      </c>
      <c r="S392" s="18"/>
      <c r="T392" s="19"/>
      <c r="U392" s="19"/>
      <c r="V392" s="19"/>
      <c r="W392" s="19"/>
      <c r="X392" s="22"/>
      <c r="Y392" s="23"/>
      <c r="Z392" s="19"/>
      <c r="AA392" s="19"/>
      <c r="AB392" s="22"/>
      <c r="AC392" s="19"/>
      <c r="AD392" s="23"/>
      <c r="AE392" s="24"/>
    </row>
    <row r="393" spans="2:31" ht="39.950000000000003" customHeight="1" x14ac:dyDescent="0.3">
      <c r="B393" s="107">
        <v>25022</v>
      </c>
      <c r="C393" s="12">
        <f t="shared" si="22"/>
        <v>388</v>
      </c>
      <c r="D393" s="105" t="str">
        <f>IFERROR(" "&amp;VLOOKUP(B393,현장리스트!$B:$C,2,0),"-")</f>
        <v xml:space="preserve"> [4.롯데CM] 롯데백화점 노원점 리뉴얼 공사</v>
      </c>
      <c r="E393" s="13" t="s">
        <v>1325</v>
      </c>
      <c r="F393" s="13" t="str">
        <f t="shared" ca="1" si="23"/>
        <v>41세</v>
      </c>
      <c r="G393" s="14" t="s">
        <v>1326</v>
      </c>
      <c r="H393" s="15" t="str">
        <f t="shared" si="24"/>
        <v>남</v>
      </c>
      <c r="I393" s="16" t="s">
        <v>901</v>
      </c>
      <c r="J393" s="16" t="s">
        <v>30</v>
      </c>
      <c r="K393" s="17">
        <v>220000</v>
      </c>
      <c r="L393" s="18" t="s">
        <v>1327</v>
      </c>
      <c r="M393" s="19" t="s">
        <v>914</v>
      </c>
      <c r="N393" s="19" t="s">
        <v>2628</v>
      </c>
      <c r="O393" s="20" t="s">
        <v>921</v>
      </c>
      <c r="P393" s="23" t="s">
        <v>24</v>
      </c>
      <c r="Q393" s="21" t="str">
        <f>VLOOKUP(C393,'2-1. 인사고과표(기능)'!B:AS,44,0)</f>
        <v>S</v>
      </c>
      <c r="R393" s="21" t="str">
        <f>VLOOKUP(C393,'2-2. 인사고과표(안전)'!B:AO,40,0)</f>
        <v>S</v>
      </c>
      <c r="S393" s="18"/>
      <c r="T393" s="19"/>
      <c r="U393" s="19"/>
      <c r="V393" s="19"/>
      <c r="W393" s="19"/>
      <c r="X393" s="22"/>
      <c r="Y393" s="23"/>
      <c r="Z393" s="19"/>
      <c r="AA393" s="19"/>
      <c r="AB393" s="22"/>
      <c r="AC393" s="19"/>
      <c r="AD393" s="23"/>
      <c r="AE393" s="24"/>
    </row>
    <row r="394" spans="2:31" ht="39.950000000000003" customHeight="1" x14ac:dyDescent="0.3">
      <c r="B394" s="107">
        <v>25022</v>
      </c>
      <c r="C394" s="12">
        <f t="shared" si="22"/>
        <v>389</v>
      </c>
      <c r="D394" s="105" t="str">
        <f>IFERROR(" "&amp;VLOOKUP(B394,현장리스트!$B:$C,2,0),"-")</f>
        <v xml:space="preserve"> [4.롯데CM] 롯데백화점 노원점 리뉴얼 공사</v>
      </c>
      <c r="E394" s="13" t="s">
        <v>1457</v>
      </c>
      <c r="F394" s="13" t="str">
        <f t="shared" ca="1" si="23"/>
        <v>52세</v>
      </c>
      <c r="G394" s="14" t="s">
        <v>1458</v>
      </c>
      <c r="H394" s="15" t="str">
        <f t="shared" si="24"/>
        <v>남</v>
      </c>
      <c r="I394" s="16" t="s">
        <v>901</v>
      </c>
      <c r="J394" s="16" t="s">
        <v>30</v>
      </c>
      <c r="K394" s="17">
        <v>230000</v>
      </c>
      <c r="L394" s="18" t="s">
        <v>1459</v>
      </c>
      <c r="M394" s="19" t="s">
        <v>910</v>
      </c>
      <c r="N394" s="19" t="s">
        <v>1007</v>
      </c>
      <c r="O394" s="20" t="s">
        <v>912</v>
      </c>
      <c r="P394" s="23" t="s">
        <v>24</v>
      </c>
      <c r="Q394" s="21" t="str">
        <f>VLOOKUP(C394,'2-1. 인사고과표(기능)'!B:AS,44,0)</f>
        <v>A</v>
      </c>
      <c r="R394" s="21" t="str">
        <f>VLOOKUP(C394,'2-2. 인사고과표(안전)'!B:AO,40,0)</f>
        <v>S</v>
      </c>
      <c r="S394" s="18"/>
      <c r="T394" s="19"/>
      <c r="U394" s="19"/>
      <c r="V394" s="19"/>
      <c r="W394" s="19" t="s">
        <v>2695</v>
      </c>
      <c r="X394" s="22" t="s">
        <v>3218</v>
      </c>
      <c r="Y394" s="23" t="s">
        <v>23</v>
      </c>
      <c r="Z394" s="19"/>
      <c r="AA394" s="19" t="s">
        <v>2695</v>
      </c>
      <c r="AB394" s="22" t="s">
        <v>3219</v>
      </c>
      <c r="AC394" s="19" t="s">
        <v>2792</v>
      </c>
      <c r="AD394" s="23" t="s">
        <v>23</v>
      </c>
      <c r="AE394" s="24"/>
    </row>
    <row r="395" spans="2:31" ht="39.950000000000003" customHeight="1" x14ac:dyDescent="0.3">
      <c r="B395" s="107">
        <v>25022</v>
      </c>
      <c r="C395" s="12">
        <f t="shared" si="22"/>
        <v>390</v>
      </c>
      <c r="D395" s="105" t="str">
        <f>IFERROR(" "&amp;VLOOKUP(B395,현장리스트!$B:$C,2,0),"-")</f>
        <v xml:space="preserve"> [4.롯데CM] 롯데백화점 노원점 리뉴얼 공사</v>
      </c>
      <c r="E395" s="13" t="s">
        <v>1485</v>
      </c>
      <c r="F395" s="13" t="str">
        <f t="shared" ca="1" si="23"/>
        <v>56세</v>
      </c>
      <c r="G395" s="14" t="s">
        <v>1486</v>
      </c>
      <c r="H395" s="15" t="str">
        <f t="shared" si="24"/>
        <v>남</v>
      </c>
      <c r="I395" s="16" t="s">
        <v>901</v>
      </c>
      <c r="J395" s="16" t="s">
        <v>30</v>
      </c>
      <c r="K395" s="17">
        <v>220000</v>
      </c>
      <c r="L395" s="18" t="s">
        <v>1487</v>
      </c>
      <c r="M395" s="19" t="s">
        <v>928</v>
      </c>
      <c r="N395" s="19" t="s">
        <v>931</v>
      </c>
      <c r="O395" s="20" t="s">
        <v>993</v>
      </c>
      <c r="P395" s="23" t="s">
        <v>27</v>
      </c>
      <c r="Q395" s="21" t="str">
        <f>VLOOKUP(C395,'2-1. 인사고과표(기능)'!B:AS,44,0)</f>
        <v>S</v>
      </c>
      <c r="R395" s="21" t="str">
        <f>VLOOKUP(C395,'2-2. 인사고과표(안전)'!B:AO,40,0)</f>
        <v>S</v>
      </c>
      <c r="S395" s="18"/>
      <c r="T395" s="19"/>
      <c r="U395" s="19"/>
      <c r="V395" s="19"/>
      <c r="W395" s="19" t="s">
        <v>3220</v>
      </c>
      <c r="X395" s="22" t="s">
        <v>3221</v>
      </c>
      <c r="Y395" s="23" t="s">
        <v>27</v>
      </c>
      <c r="Z395" s="19"/>
      <c r="AA395" s="19" t="s">
        <v>3222</v>
      </c>
      <c r="AB395" s="22" t="s">
        <v>3223</v>
      </c>
      <c r="AC395" s="19" t="s">
        <v>3224</v>
      </c>
      <c r="AD395" s="23" t="s">
        <v>27</v>
      </c>
      <c r="AE395" s="24"/>
    </row>
    <row r="396" spans="2:31" ht="39.950000000000003" customHeight="1" x14ac:dyDescent="0.3">
      <c r="B396" s="107">
        <v>25022</v>
      </c>
      <c r="C396" s="12">
        <f t="shared" si="22"/>
        <v>391</v>
      </c>
      <c r="D396" s="105" t="str">
        <f>IFERROR(" "&amp;VLOOKUP(B396,현장리스트!$B:$C,2,0),"-")</f>
        <v xml:space="preserve"> [4.롯데CM] 롯데백화점 노원점 리뉴얼 공사</v>
      </c>
      <c r="E396" s="13" t="s">
        <v>1516</v>
      </c>
      <c r="F396" s="13" t="str">
        <f t="shared" ca="1" si="23"/>
        <v>52세</v>
      </c>
      <c r="G396" s="14" t="s">
        <v>1517</v>
      </c>
      <c r="H396" s="15" t="str">
        <f t="shared" si="24"/>
        <v>남</v>
      </c>
      <c r="I396" s="16" t="s">
        <v>901</v>
      </c>
      <c r="J396" s="16" t="s">
        <v>30</v>
      </c>
      <c r="K396" s="17">
        <v>220000</v>
      </c>
      <c r="L396" s="18" t="s">
        <v>1518</v>
      </c>
      <c r="M396" s="19" t="s">
        <v>987</v>
      </c>
      <c r="N396" s="19" t="s">
        <v>2649</v>
      </c>
      <c r="O396" s="20" t="s">
        <v>1017</v>
      </c>
      <c r="P396" s="23" t="s">
        <v>25</v>
      </c>
      <c r="Q396" s="21" t="str">
        <f>VLOOKUP(C396,'2-1. 인사고과표(기능)'!B:AS,44,0)</f>
        <v>A</v>
      </c>
      <c r="R396" s="21" t="str">
        <f>VLOOKUP(C396,'2-2. 인사고과표(안전)'!B:AO,40,0)</f>
        <v>S</v>
      </c>
      <c r="S396" s="18"/>
      <c r="T396" s="19"/>
      <c r="U396" s="19"/>
      <c r="V396" s="19"/>
      <c r="W396" s="19"/>
      <c r="X396" s="22"/>
      <c r="Y396" s="23"/>
      <c r="Z396" s="19"/>
      <c r="AA396" s="19" t="s">
        <v>3046</v>
      </c>
      <c r="AB396" s="22" t="s">
        <v>3225</v>
      </c>
      <c r="AC396" s="19" t="s">
        <v>3226</v>
      </c>
      <c r="AD396" s="23" t="s">
        <v>25</v>
      </c>
      <c r="AE396" s="24"/>
    </row>
    <row r="397" spans="2:31" ht="39.950000000000003" customHeight="1" x14ac:dyDescent="0.3">
      <c r="B397" s="107">
        <v>25022</v>
      </c>
      <c r="C397" s="12">
        <f t="shared" si="22"/>
        <v>392</v>
      </c>
      <c r="D397" s="105" t="str">
        <f>IFERROR(" "&amp;VLOOKUP(B397,현장리스트!$B:$C,2,0),"-")</f>
        <v xml:space="preserve"> [4.롯데CM] 롯데백화점 노원점 리뉴얼 공사</v>
      </c>
      <c r="E397" s="13" t="s">
        <v>1584</v>
      </c>
      <c r="F397" s="13" t="str">
        <f t="shared" ca="1" si="23"/>
        <v>49세</v>
      </c>
      <c r="G397" s="14" t="s">
        <v>1585</v>
      </c>
      <c r="H397" s="15" t="str">
        <f t="shared" si="24"/>
        <v>남</v>
      </c>
      <c r="I397" s="16" t="s">
        <v>901</v>
      </c>
      <c r="J397" s="16" t="s">
        <v>30</v>
      </c>
      <c r="K397" s="17">
        <v>220000</v>
      </c>
      <c r="L397" s="18" t="s">
        <v>1586</v>
      </c>
      <c r="M397" s="19" t="s">
        <v>914</v>
      </c>
      <c r="N397" s="19" t="s">
        <v>3425</v>
      </c>
      <c r="O397" s="20" t="s">
        <v>3178</v>
      </c>
      <c r="P397" s="23" t="s">
        <v>24</v>
      </c>
      <c r="Q397" s="21" t="str">
        <f>VLOOKUP(C397,'2-1. 인사고과표(기능)'!B:AS,44,0)</f>
        <v>S</v>
      </c>
      <c r="R397" s="21" t="str">
        <f>VLOOKUP(C397,'2-2. 인사고과표(안전)'!B:AO,40,0)</f>
        <v>S</v>
      </c>
      <c r="S397" s="18"/>
      <c r="T397" s="19"/>
      <c r="U397" s="19"/>
      <c r="V397" s="19"/>
      <c r="W397" s="19"/>
      <c r="X397" s="22"/>
      <c r="Y397" s="23"/>
      <c r="Z397" s="19"/>
      <c r="AA397" s="19"/>
      <c r="AB397" s="22"/>
      <c r="AC397" s="19"/>
      <c r="AD397" s="23"/>
      <c r="AE397" s="24"/>
    </row>
    <row r="398" spans="2:31" ht="39.950000000000003" customHeight="1" x14ac:dyDescent="0.3">
      <c r="B398" s="107">
        <v>25022</v>
      </c>
      <c r="C398" s="12">
        <f t="shared" si="22"/>
        <v>393</v>
      </c>
      <c r="D398" s="105" t="str">
        <f>IFERROR(" "&amp;VLOOKUP(B398,현장리스트!$B:$C,2,0),"-")</f>
        <v xml:space="preserve"> [4.롯데CM] 롯데백화점 노원점 리뉴얼 공사</v>
      </c>
      <c r="E398" s="13" t="s">
        <v>1659</v>
      </c>
      <c r="F398" s="13" t="str">
        <f t="shared" ca="1" si="23"/>
        <v>62세</v>
      </c>
      <c r="G398" s="14" t="s">
        <v>1660</v>
      </c>
      <c r="H398" s="15" t="str">
        <f t="shared" si="24"/>
        <v>남</v>
      </c>
      <c r="I398" s="16" t="s">
        <v>901</v>
      </c>
      <c r="J398" s="16" t="s">
        <v>30</v>
      </c>
      <c r="K398" s="17">
        <v>230000</v>
      </c>
      <c r="L398" s="18" t="s">
        <v>1661</v>
      </c>
      <c r="M398" s="19" t="s">
        <v>987</v>
      </c>
      <c r="N398" s="19" t="s">
        <v>2553</v>
      </c>
      <c r="O398" s="20" t="s">
        <v>2664</v>
      </c>
      <c r="P398" s="23" t="s">
        <v>23</v>
      </c>
      <c r="Q398" s="21" t="str">
        <f>VLOOKUP(C398,'2-1. 인사고과표(기능)'!B:AS,44,0)</f>
        <v>S</v>
      </c>
      <c r="R398" s="21" t="str">
        <f>VLOOKUP(C398,'2-2. 인사고과표(안전)'!B:AO,40,0)</f>
        <v>S</v>
      </c>
      <c r="S398" s="18"/>
      <c r="T398" s="19"/>
      <c r="U398" s="19"/>
      <c r="V398" s="19"/>
      <c r="W398" s="19" t="s">
        <v>3197</v>
      </c>
      <c r="X398" s="22" t="s">
        <v>3198</v>
      </c>
      <c r="Y398" s="23" t="s">
        <v>24</v>
      </c>
      <c r="Z398" s="19"/>
      <c r="AA398" s="19" t="s">
        <v>2695</v>
      </c>
      <c r="AB398" s="22" t="s">
        <v>3227</v>
      </c>
      <c r="AC398" s="19" t="s">
        <v>2792</v>
      </c>
      <c r="AD398" s="23" t="s">
        <v>23</v>
      </c>
      <c r="AE398" s="24"/>
    </row>
    <row r="399" spans="2:31" ht="39.950000000000003" customHeight="1" x14ac:dyDescent="0.3">
      <c r="B399" s="107">
        <v>25022</v>
      </c>
      <c r="C399" s="12">
        <f t="shared" si="22"/>
        <v>394</v>
      </c>
      <c r="D399" s="105" t="str">
        <f>IFERROR(" "&amp;VLOOKUP(B399,현장리스트!$B:$C,2,0),"-")</f>
        <v xml:space="preserve"> [4.롯데CM] 롯데백화점 노원점 리뉴얼 공사</v>
      </c>
      <c r="E399" s="13" t="s">
        <v>1668</v>
      </c>
      <c r="F399" s="13" t="str">
        <f t="shared" ca="1" si="23"/>
        <v>46세</v>
      </c>
      <c r="G399" s="14" t="s">
        <v>1669</v>
      </c>
      <c r="H399" s="15" t="str">
        <f t="shared" si="24"/>
        <v>남</v>
      </c>
      <c r="I399" s="16" t="s">
        <v>901</v>
      </c>
      <c r="J399" s="16" t="s">
        <v>30</v>
      </c>
      <c r="K399" s="17">
        <v>220000</v>
      </c>
      <c r="L399" s="18" t="s">
        <v>1670</v>
      </c>
      <c r="M399" s="19" t="s">
        <v>987</v>
      </c>
      <c r="N399" s="19" t="s">
        <v>1010</v>
      </c>
      <c r="O399" s="20" t="s">
        <v>1017</v>
      </c>
      <c r="P399" s="23" t="s">
        <v>24</v>
      </c>
      <c r="Q399" s="21" t="str">
        <f>VLOOKUP(C399,'2-1. 인사고과표(기능)'!B:AS,44,0)</f>
        <v>S</v>
      </c>
      <c r="R399" s="21" t="str">
        <f>VLOOKUP(C399,'2-2. 인사고과표(안전)'!B:AO,40,0)</f>
        <v>S</v>
      </c>
      <c r="S399" s="18"/>
      <c r="T399" s="19"/>
      <c r="U399" s="19"/>
      <c r="V399" s="19"/>
      <c r="W399" s="19"/>
      <c r="X399" s="22"/>
      <c r="Y399" s="23"/>
      <c r="Z399" s="19"/>
      <c r="AA399" s="19"/>
      <c r="AB399" s="22"/>
      <c r="AC399" s="19"/>
      <c r="AD399" s="23"/>
      <c r="AE399" s="24"/>
    </row>
    <row r="400" spans="2:31" ht="39.950000000000003" customHeight="1" x14ac:dyDescent="0.3">
      <c r="B400" s="107">
        <v>25022</v>
      </c>
      <c r="C400" s="12">
        <f t="shared" si="22"/>
        <v>395</v>
      </c>
      <c r="D400" s="105" t="str">
        <f>IFERROR(" "&amp;VLOOKUP(B400,현장리스트!$B:$C,2,0),"-")</f>
        <v xml:space="preserve"> [4.롯데CM] 롯데백화점 노원점 리뉴얼 공사</v>
      </c>
      <c r="E400" s="13" t="s">
        <v>1853</v>
      </c>
      <c r="F400" s="13" t="str">
        <f t="shared" ca="1" si="23"/>
        <v>60세</v>
      </c>
      <c r="G400" s="14" t="s">
        <v>1854</v>
      </c>
      <c r="H400" s="15" t="str">
        <f t="shared" si="24"/>
        <v>남</v>
      </c>
      <c r="I400" s="16" t="s">
        <v>901</v>
      </c>
      <c r="J400" s="16" t="s">
        <v>30</v>
      </c>
      <c r="K400" s="17">
        <v>230000</v>
      </c>
      <c r="L400" s="18" t="s">
        <v>1855</v>
      </c>
      <c r="M400" s="19" t="s">
        <v>987</v>
      </c>
      <c r="N400" s="19" t="s">
        <v>2649</v>
      </c>
      <c r="O400" s="20" t="s">
        <v>3139</v>
      </c>
      <c r="P400" s="23" t="s">
        <v>26</v>
      </c>
      <c r="Q400" s="21" t="str">
        <f>VLOOKUP(C400,'2-1. 인사고과표(기능)'!B:AS,44,0)</f>
        <v>S</v>
      </c>
      <c r="R400" s="21" t="str">
        <f>VLOOKUP(C400,'2-2. 인사고과표(안전)'!B:AO,40,0)</f>
        <v>S</v>
      </c>
      <c r="S400" s="18"/>
      <c r="T400" s="19"/>
      <c r="U400" s="19"/>
      <c r="V400" s="19"/>
      <c r="W400" s="19"/>
      <c r="X400" s="22"/>
      <c r="Y400" s="23"/>
      <c r="Z400" s="19"/>
      <c r="AA400" s="19" t="s">
        <v>3228</v>
      </c>
      <c r="AB400" s="22" t="s">
        <v>3229</v>
      </c>
      <c r="AC400" s="19" t="s">
        <v>3230</v>
      </c>
      <c r="AD400" s="23" t="s">
        <v>26</v>
      </c>
      <c r="AE400" s="24"/>
    </row>
    <row r="401" spans="2:31" ht="39.950000000000003" customHeight="1" x14ac:dyDescent="0.3">
      <c r="B401" s="107">
        <v>25022</v>
      </c>
      <c r="C401" s="12">
        <f t="shared" si="22"/>
        <v>396</v>
      </c>
      <c r="D401" s="105" t="str">
        <f>IFERROR(" "&amp;VLOOKUP(B401,현장리스트!$B:$C,2,0),"-")</f>
        <v xml:space="preserve"> [4.롯데CM] 롯데백화점 노원점 리뉴얼 공사</v>
      </c>
      <c r="E401" s="13" t="s">
        <v>1880</v>
      </c>
      <c r="F401" s="13" t="str">
        <f t="shared" ca="1" si="23"/>
        <v>56세</v>
      </c>
      <c r="G401" s="14" t="s">
        <v>1881</v>
      </c>
      <c r="H401" s="15" t="str">
        <f t="shared" si="24"/>
        <v>남</v>
      </c>
      <c r="I401" s="16" t="s">
        <v>901</v>
      </c>
      <c r="J401" s="16" t="s">
        <v>30</v>
      </c>
      <c r="K401" s="17">
        <v>200000</v>
      </c>
      <c r="L401" s="18" t="s">
        <v>1882</v>
      </c>
      <c r="M401" s="19" t="s">
        <v>987</v>
      </c>
      <c r="N401" s="19" t="s">
        <v>1010</v>
      </c>
      <c r="O401" s="20" t="s">
        <v>3140</v>
      </c>
      <c r="P401" s="23" t="s">
        <v>24</v>
      </c>
      <c r="Q401" s="21" t="str">
        <f>VLOOKUP(C401,'2-1. 인사고과표(기능)'!B:AS,44,0)</f>
        <v>S</v>
      </c>
      <c r="R401" s="21" t="str">
        <f>VLOOKUP(C401,'2-2. 인사고과표(안전)'!B:AO,40,0)</f>
        <v>S</v>
      </c>
      <c r="S401" s="18"/>
      <c r="T401" s="19"/>
      <c r="U401" s="19"/>
      <c r="V401" s="19"/>
      <c r="W401" s="19"/>
      <c r="X401" s="22"/>
      <c r="Y401" s="23"/>
      <c r="Z401" s="19"/>
      <c r="AA401" s="19"/>
      <c r="AB401" s="22"/>
      <c r="AC401" s="19"/>
      <c r="AD401" s="23"/>
      <c r="AE401" s="24"/>
    </row>
    <row r="402" spans="2:31" ht="39.950000000000003" customHeight="1" x14ac:dyDescent="0.3">
      <c r="B402" s="107">
        <v>25022</v>
      </c>
      <c r="C402" s="12">
        <f t="shared" si="22"/>
        <v>397</v>
      </c>
      <c r="D402" s="105" t="str">
        <f>IFERROR(" "&amp;VLOOKUP(B402,현장리스트!$B:$C,2,0),"-")</f>
        <v xml:space="preserve"> [4.롯데CM] 롯데백화점 노원점 리뉴얼 공사</v>
      </c>
      <c r="E402" s="13" t="s">
        <v>1887</v>
      </c>
      <c r="F402" s="13" t="str">
        <f t="shared" ca="1" si="23"/>
        <v>56세</v>
      </c>
      <c r="G402" s="14" t="s">
        <v>1888</v>
      </c>
      <c r="H402" s="15" t="str">
        <f t="shared" si="24"/>
        <v>남</v>
      </c>
      <c r="I402" s="16" t="s">
        <v>901</v>
      </c>
      <c r="J402" s="16" t="s">
        <v>30</v>
      </c>
      <c r="K402" s="17">
        <v>230000</v>
      </c>
      <c r="L402" s="18" t="s">
        <v>1889</v>
      </c>
      <c r="M402" s="19" t="s">
        <v>910</v>
      </c>
      <c r="N402" s="19" t="s">
        <v>1007</v>
      </c>
      <c r="O402" s="20" t="s">
        <v>993</v>
      </c>
      <c r="P402" s="23" t="s">
        <v>23</v>
      </c>
      <c r="Q402" s="21" t="str">
        <f>VLOOKUP(C402,'2-1. 인사고과표(기능)'!B:AS,44,0)</f>
        <v>S</v>
      </c>
      <c r="R402" s="21" t="str">
        <f>VLOOKUP(C402,'2-2. 인사고과표(안전)'!B:AO,40,0)</f>
        <v>S</v>
      </c>
      <c r="S402" s="18"/>
      <c r="T402" s="19"/>
      <c r="U402" s="19"/>
      <c r="V402" s="19"/>
      <c r="W402" s="19" t="s">
        <v>3197</v>
      </c>
      <c r="X402" s="22" t="s">
        <v>3198</v>
      </c>
      <c r="Y402" s="23" t="s">
        <v>24</v>
      </c>
      <c r="Z402" s="19"/>
      <c r="AA402" s="19" t="s">
        <v>2695</v>
      </c>
      <c r="AB402" s="22" t="s">
        <v>3219</v>
      </c>
      <c r="AC402" s="19" t="s">
        <v>2792</v>
      </c>
      <c r="AD402" s="23" t="s">
        <v>23</v>
      </c>
      <c r="AE402" s="24"/>
    </row>
    <row r="403" spans="2:31" ht="39.950000000000003" customHeight="1" x14ac:dyDescent="0.3">
      <c r="B403" s="107">
        <v>25022</v>
      </c>
      <c r="C403" s="12">
        <f t="shared" si="22"/>
        <v>398</v>
      </c>
      <c r="D403" s="105" t="str">
        <f>IFERROR(" "&amp;VLOOKUP(B403,현장리스트!$B:$C,2,0),"-")</f>
        <v xml:space="preserve"> [4.롯데CM] 롯데백화점 노원점 리뉴얼 공사</v>
      </c>
      <c r="E403" s="13" t="s">
        <v>1928</v>
      </c>
      <c r="F403" s="13" t="str">
        <f t="shared" ca="1" si="23"/>
        <v>55세</v>
      </c>
      <c r="G403" s="14" t="s">
        <v>1929</v>
      </c>
      <c r="H403" s="15" t="str">
        <f t="shared" si="24"/>
        <v>남</v>
      </c>
      <c r="I403" s="16" t="s">
        <v>901</v>
      </c>
      <c r="J403" s="16" t="s">
        <v>30</v>
      </c>
      <c r="K403" s="17">
        <v>220000</v>
      </c>
      <c r="L403" s="18" t="s">
        <v>1930</v>
      </c>
      <c r="M403" s="19" t="s">
        <v>987</v>
      </c>
      <c r="N403" s="19" t="s">
        <v>3195</v>
      </c>
      <c r="O403" s="20" t="s">
        <v>912</v>
      </c>
      <c r="P403" s="23" t="s">
        <v>24</v>
      </c>
      <c r="Q403" s="21" t="str">
        <f>VLOOKUP(C403,'2-1. 인사고과표(기능)'!B:AS,44,0)</f>
        <v>A</v>
      </c>
      <c r="R403" s="21" t="str">
        <f>VLOOKUP(C403,'2-2. 인사고과표(안전)'!B:AO,40,0)</f>
        <v>S</v>
      </c>
      <c r="S403" s="18"/>
      <c r="T403" s="19"/>
      <c r="U403" s="19"/>
      <c r="V403" s="19"/>
      <c r="W403" s="19"/>
      <c r="X403" s="22"/>
      <c r="Y403" s="23"/>
      <c r="Z403" s="19"/>
      <c r="AA403" s="19"/>
      <c r="AB403" s="22"/>
      <c r="AC403" s="19"/>
      <c r="AD403" s="23"/>
      <c r="AE403" s="24"/>
    </row>
    <row r="404" spans="2:31" ht="39.950000000000003" customHeight="1" x14ac:dyDescent="0.3">
      <c r="B404" s="107">
        <v>25022</v>
      </c>
      <c r="C404" s="12">
        <f t="shared" si="22"/>
        <v>399</v>
      </c>
      <c r="D404" s="105" t="str">
        <f>IFERROR(" "&amp;VLOOKUP(B404,현장리스트!$B:$C,2,0),"-")</f>
        <v xml:space="preserve"> [4.롯데CM] 롯데백화점 노원점 리뉴얼 공사</v>
      </c>
      <c r="E404" s="13" t="s">
        <v>2136</v>
      </c>
      <c r="F404" s="13" t="str">
        <f t="shared" ca="1" si="23"/>
        <v>32세</v>
      </c>
      <c r="G404" s="14" t="s">
        <v>2137</v>
      </c>
      <c r="H404" s="15" t="str">
        <f t="shared" si="24"/>
        <v>남</v>
      </c>
      <c r="I404" s="16" t="s">
        <v>901</v>
      </c>
      <c r="J404" s="16" t="s">
        <v>30</v>
      </c>
      <c r="K404" s="17">
        <v>220000</v>
      </c>
      <c r="L404" s="18" t="s">
        <v>2138</v>
      </c>
      <c r="M404" s="19" t="s">
        <v>987</v>
      </c>
      <c r="N404" s="19" t="s">
        <v>2644</v>
      </c>
      <c r="O404" s="20" t="s">
        <v>2550</v>
      </c>
      <c r="P404" s="23" t="s">
        <v>24</v>
      </c>
      <c r="Q404" s="21" t="str">
        <f>VLOOKUP(C404,'2-1. 인사고과표(기능)'!B:AS,44,0)</f>
        <v>S</v>
      </c>
      <c r="R404" s="21" t="str">
        <f>VLOOKUP(C404,'2-2. 인사고과표(안전)'!B:AO,40,0)</f>
        <v>S</v>
      </c>
      <c r="S404" s="18"/>
      <c r="T404" s="19"/>
      <c r="U404" s="19"/>
      <c r="V404" s="19"/>
      <c r="W404" s="19" t="s">
        <v>2777</v>
      </c>
      <c r="X404" s="22" t="s">
        <v>3231</v>
      </c>
      <c r="Y404" s="23" t="s">
        <v>24</v>
      </c>
      <c r="Z404" s="19"/>
      <c r="AA404" s="19" t="s">
        <v>3232</v>
      </c>
      <c r="AB404" s="22" t="s">
        <v>3233</v>
      </c>
      <c r="AC404" s="19" t="s">
        <v>3234</v>
      </c>
      <c r="AD404" s="23" t="s">
        <v>24</v>
      </c>
      <c r="AE404" s="24"/>
    </row>
    <row r="405" spans="2:31" ht="39.950000000000003" customHeight="1" x14ac:dyDescent="0.3">
      <c r="B405" s="107">
        <v>25022</v>
      </c>
      <c r="C405" s="12">
        <f t="shared" si="22"/>
        <v>400</v>
      </c>
      <c r="D405" s="105" t="str">
        <f>IFERROR(" "&amp;VLOOKUP(B405,현장리스트!$B:$C,2,0),"-")</f>
        <v xml:space="preserve"> [4.롯데CM] 롯데백화점 노원점 리뉴얼 공사</v>
      </c>
      <c r="E405" s="13" t="s">
        <v>2158</v>
      </c>
      <c r="F405" s="13" t="str">
        <f t="shared" ca="1" si="23"/>
        <v>50세</v>
      </c>
      <c r="G405" s="14" t="s">
        <v>2159</v>
      </c>
      <c r="H405" s="15" t="str">
        <f t="shared" si="24"/>
        <v>남</v>
      </c>
      <c r="I405" s="16" t="s">
        <v>901</v>
      </c>
      <c r="J405" s="16" t="s">
        <v>30</v>
      </c>
      <c r="K405" s="17">
        <v>225000</v>
      </c>
      <c r="L405" s="18" t="s">
        <v>2160</v>
      </c>
      <c r="M405" s="19" t="s">
        <v>987</v>
      </c>
      <c r="N405" s="19" t="s">
        <v>2868</v>
      </c>
      <c r="O405" s="20" t="s">
        <v>950</v>
      </c>
      <c r="P405" s="23" t="s">
        <v>24</v>
      </c>
      <c r="Q405" s="21" t="str">
        <f>VLOOKUP(C405,'2-1. 인사고과표(기능)'!B:AS,44,0)</f>
        <v>S</v>
      </c>
      <c r="R405" s="21" t="str">
        <f>VLOOKUP(C405,'2-2. 인사고과표(안전)'!B:AO,40,0)</f>
        <v>S</v>
      </c>
      <c r="S405" s="18"/>
      <c r="T405" s="19"/>
      <c r="U405" s="19"/>
      <c r="V405" s="19"/>
      <c r="W405" s="19"/>
      <c r="X405" s="22"/>
      <c r="Y405" s="23"/>
      <c r="Z405" s="19"/>
      <c r="AA405" s="19" t="s">
        <v>2695</v>
      </c>
      <c r="AB405" s="22" t="s">
        <v>3235</v>
      </c>
      <c r="AC405" s="19" t="s">
        <v>3236</v>
      </c>
      <c r="AD405" s="23" t="s">
        <v>27</v>
      </c>
      <c r="AE405" s="24"/>
    </row>
    <row r="406" spans="2:31" ht="39.950000000000003" customHeight="1" x14ac:dyDescent="0.3">
      <c r="B406" s="107">
        <v>25022</v>
      </c>
      <c r="C406" s="12">
        <f t="shared" si="22"/>
        <v>401</v>
      </c>
      <c r="D406" s="105" t="str">
        <f>IFERROR(" "&amp;VLOOKUP(B406,현장리스트!$B:$C,2,0),"-")</f>
        <v xml:space="preserve"> [4.롯데CM] 롯데백화점 노원점 리뉴얼 공사</v>
      </c>
      <c r="E406" s="13" t="s">
        <v>2233</v>
      </c>
      <c r="F406" s="13" t="str">
        <f t="shared" ca="1" si="23"/>
        <v>47세</v>
      </c>
      <c r="G406" s="14" t="s">
        <v>2234</v>
      </c>
      <c r="H406" s="15" t="str">
        <f t="shared" si="24"/>
        <v>남</v>
      </c>
      <c r="I406" s="16" t="s">
        <v>901</v>
      </c>
      <c r="J406" s="16" t="s">
        <v>30</v>
      </c>
      <c r="K406" s="17">
        <v>220000</v>
      </c>
      <c r="L406" s="18" t="s">
        <v>2235</v>
      </c>
      <c r="M406" s="19" t="s">
        <v>914</v>
      </c>
      <c r="N406" s="19" t="s">
        <v>2611</v>
      </c>
      <c r="O406" s="20" t="s">
        <v>2533</v>
      </c>
      <c r="P406" s="23" t="s">
        <v>24</v>
      </c>
      <c r="Q406" s="21" t="str">
        <f>VLOOKUP(C406,'2-1. 인사고과표(기능)'!B:AS,44,0)</f>
        <v>S</v>
      </c>
      <c r="R406" s="21" t="str">
        <f>VLOOKUP(C406,'2-2. 인사고과표(안전)'!B:AO,40,0)</f>
        <v>S</v>
      </c>
      <c r="S406" s="18"/>
      <c r="T406" s="19"/>
      <c r="U406" s="19"/>
      <c r="V406" s="19"/>
      <c r="W406" s="19"/>
      <c r="X406" s="22"/>
      <c r="Y406" s="23"/>
      <c r="Z406" s="19"/>
      <c r="AA406" s="19"/>
      <c r="AB406" s="22"/>
      <c r="AC406" s="19"/>
      <c r="AD406" s="23"/>
      <c r="AE406" s="24"/>
    </row>
    <row r="407" spans="2:31" ht="39.950000000000003" customHeight="1" x14ac:dyDescent="0.3">
      <c r="B407" s="107">
        <v>25022</v>
      </c>
      <c r="C407" s="12">
        <f t="shared" si="22"/>
        <v>402</v>
      </c>
      <c r="D407" s="105" t="str">
        <f>IFERROR(" "&amp;VLOOKUP(B407,현장리스트!$B:$C,2,0),"-")</f>
        <v xml:space="preserve"> [4.롯데CM] 롯데백화점 노원점 리뉴얼 공사</v>
      </c>
      <c r="E407" s="13" t="s">
        <v>2278</v>
      </c>
      <c r="F407" s="13" t="str">
        <f t="shared" ca="1" si="23"/>
        <v>51세</v>
      </c>
      <c r="G407" s="14" t="s">
        <v>2279</v>
      </c>
      <c r="H407" s="15" t="str">
        <f t="shared" si="24"/>
        <v>남</v>
      </c>
      <c r="I407" s="16" t="s">
        <v>901</v>
      </c>
      <c r="J407" s="16" t="s">
        <v>30</v>
      </c>
      <c r="K407" s="17">
        <v>230000</v>
      </c>
      <c r="L407" s="18" t="s">
        <v>2280</v>
      </c>
      <c r="M407" s="19" t="s">
        <v>910</v>
      </c>
      <c r="N407" s="19" t="s">
        <v>911</v>
      </c>
      <c r="O407" s="20" t="s">
        <v>907</v>
      </c>
      <c r="P407" s="23" t="s">
        <v>23</v>
      </c>
      <c r="Q407" s="21" t="str">
        <f>VLOOKUP(C407,'2-1. 인사고과표(기능)'!B:AS,44,0)</f>
        <v>S</v>
      </c>
      <c r="R407" s="21" t="str">
        <f>VLOOKUP(C407,'2-2. 인사고과표(안전)'!B:AO,40,0)</f>
        <v>S</v>
      </c>
      <c r="S407" s="18"/>
      <c r="T407" s="19"/>
      <c r="U407" s="19"/>
      <c r="V407" s="19"/>
      <c r="W407" s="19" t="s">
        <v>3197</v>
      </c>
      <c r="X407" s="22" t="s">
        <v>3198</v>
      </c>
      <c r="Y407" s="23" t="s">
        <v>24</v>
      </c>
      <c r="Z407" s="19"/>
      <c r="AA407" s="19" t="s">
        <v>2695</v>
      </c>
      <c r="AB407" s="22" t="s">
        <v>3219</v>
      </c>
      <c r="AC407" s="19" t="s">
        <v>2792</v>
      </c>
      <c r="AD407" s="23" t="s">
        <v>23</v>
      </c>
      <c r="AE407" s="24"/>
    </row>
    <row r="408" spans="2:31" ht="39.950000000000003" customHeight="1" x14ac:dyDescent="0.3">
      <c r="B408" s="107">
        <v>25022</v>
      </c>
      <c r="C408" s="12">
        <f t="shared" si="22"/>
        <v>403</v>
      </c>
      <c r="D408" s="105" t="str">
        <f>IFERROR(" "&amp;VLOOKUP(B408,현장리스트!$B:$C,2,0),"-")</f>
        <v xml:space="preserve"> [4.롯데CM] 롯데백화점 노원점 리뉴얼 공사</v>
      </c>
      <c r="E408" s="13" t="s">
        <v>2392</v>
      </c>
      <c r="F408" s="13" t="str">
        <f t="shared" ca="1" si="23"/>
        <v>49세</v>
      </c>
      <c r="G408" s="14" t="s">
        <v>2393</v>
      </c>
      <c r="H408" s="15" t="str">
        <f t="shared" si="24"/>
        <v>남</v>
      </c>
      <c r="I408" s="16" t="s">
        <v>901</v>
      </c>
      <c r="J408" s="16" t="s">
        <v>30</v>
      </c>
      <c r="K408" s="17">
        <v>220000</v>
      </c>
      <c r="L408" s="18" t="s">
        <v>2394</v>
      </c>
      <c r="M408" s="19" t="s">
        <v>914</v>
      </c>
      <c r="N408" s="19" t="s">
        <v>2628</v>
      </c>
      <c r="O408" s="20" t="s">
        <v>3196</v>
      </c>
      <c r="P408" s="23" t="s">
        <v>24</v>
      </c>
      <c r="Q408" s="21" t="str">
        <f>VLOOKUP(C408,'2-1. 인사고과표(기능)'!B:AS,44,0)</f>
        <v>S</v>
      </c>
      <c r="R408" s="21" t="str">
        <f>VLOOKUP(C408,'2-2. 인사고과표(안전)'!B:AO,40,0)</f>
        <v>S</v>
      </c>
      <c r="S408" s="18"/>
      <c r="T408" s="19"/>
      <c r="U408" s="19"/>
      <c r="V408" s="19"/>
      <c r="W408" s="19"/>
      <c r="X408" s="22"/>
      <c r="Y408" s="23"/>
      <c r="Z408" s="19"/>
      <c r="AA408" s="19"/>
      <c r="AB408" s="22"/>
      <c r="AC408" s="19"/>
      <c r="AD408" s="23"/>
      <c r="AE408" s="24"/>
    </row>
    <row r="409" spans="2:31" ht="39.950000000000003" customHeight="1" x14ac:dyDescent="0.3">
      <c r="B409" s="107">
        <v>24010</v>
      </c>
      <c r="C409" s="12">
        <f t="shared" si="22"/>
        <v>404</v>
      </c>
      <c r="D409" s="105" t="str">
        <f>IFERROR(" "&amp;VLOOKUP(B409,현장리스트!$B:$C,2,0),"-")</f>
        <v xml:space="preserve"> [4.롯데건설] 검단신도시 101 역세권 공모사업(C9-1BL, C9-2BL)</v>
      </c>
      <c r="E409" s="13" t="s">
        <v>500</v>
      </c>
      <c r="F409" s="13" t="str">
        <f t="shared" ca="1" si="23"/>
        <v>35세</v>
      </c>
      <c r="G409" s="14" t="s">
        <v>1756</v>
      </c>
      <c r="H409" s="15" t="str">
        <f t="shared" si="24"/>
        <v>남</v>
      </c>
      <c r="I409" s="16" t="s">
        <v>895</v>
      </c>
      <c r="J409" s="16" t="s">
        <v>896</v>
      </c>
      <c r="K409" s="17">
        <v>5400000</v>
      </c>
      <c r="L409" s="18" t="s">
        <v>1757</v>
      </c>
      <c r="M409" s="19" t="s">
        <v>914</v>
      </c>
      <c r="N409" s="19" t="s">
        <v>3019</v>
      </c>
      <c r="O409" s="20" t="s">
        <v>921</v>
      </c>
      <c r="P409" s="23" t="s">
        <v>23</v>
      </c>
      <c r="Q409" s="21" t="str">
        <f>VLOOKUP(C409,'2-1. 인사고과표(기능)'!B:AS,44,0)</f>
        <v>S</v>
      </c>
      <c r="R409" s="21" t="str">
        <f>VLOOKUP(C409,'2-2. 인사고과표(안전)'!B:AO,40,0)</f>
        <v>S</v>
      </c>
      <c r="S409" s="18" t="s">
        <v>2675</v>
      </c>
      <c r="T409" s="19"/>
      <c r="U409" s="19"/>
      <c r="V409" s="19"/>
      <c r="W409" s="19" t="s">
        <v>2695</v>
      </c>
      <c r="X409" s="22" t="s">
        <v>3179</v>
      </c>
      <c r="Y409" s="23" t="s">
        <v>23</v>
      </c>
      <c r="Z409" s="19"/>
      <c r="AA409" s="19"/>
      <c r="AB409" s="22"/>
      <c r="AC409" s="19"/>
      <c r="AD409" s="23"/>
      <c r="AE409" s="24"/>
    </row>
    <row r="410" spans="2:31" ht="39.950000000000003" customHeight="1" x14ac:dyDescent="0.3">
      <c r="B410" s="107">
        <v>24010</v>
      </c>
      <c r="C410" s="12">
        <f t="shared" si="22"/>
        <v>405</v>
      </c>
      <c r="D410" s="105" t="str">
        <f>IFERROR(" "&amp;VLOOKUP(B410,현장리스트!$B:$C,2,0),"-")</f>
        <v xml:space="preserve"> [4.롯데건설] 검단신도시 101 역세권 공모사업(C9-1BL, C9-2BL)</v>
      </c>
      <c r="E410" s="13" t="s">
        <v>1761</v>
      </c>
      <c r="F410" s="13" t="str">
        <f t="shared" ca="1" si="23"/>
        <v>29세</v>
      </c>
      <c r="G410" s="14" t="s">
        <v>1762</v>
      </c>
      <c r="H410" s="15" t="str">
        <f t="shared" si="24"/>
        <v>남</v>
      </c>
      <c r="I410" s="16" t="s">
        <v>897</v>
      </c>
      <c r="J410" s="16" t="s">
        <v>31</v>
      </c>
      <c r="K410" s="17">
        <v>3000000</v>
      </c>
      <c r="L410" s="18" t="s">
        <v>1763</v>
      </c>
      <c r="M410" s="19" t="s">
        <v>910</v>
      </c>
      <c r="N410" s="19" t="s">
        <v>995</v>
      </c>
      <c r="O410" s="20" t="s">
        <v>2534</v>
      </c>
      <c r="P410" s="23" t="s">
        <v>23</v>
      </c>
      <c r="Q410" s="21" t="str">
        <f>VLOOKUP(C410,'2-1. 인사고과표(기능)'!B:AS,44,0)</f>
        <v>A</v>
      </c>
      <c r="R410" s="21" t="str">
        <f>VLOOKUP(C410,'2-2. 인사고과표(안전)'!B:AO,40,0)</f>
        <v>S</v>
      </c>
      <c r="S410" s="18" t="s">
        <v>2567</v>
      </c>
      <c r="T410" s="19"/>
      <c r="U410" s="19"/>
      <c r="V410" s="19" t="s">
        <v>31</v>
      </c>
      <c r="W410" s="19"/>
      <c r="X410" s="22"/>
      <c r="Y410" s="23"/>
      <c r="Z410" s="19"/>
      <c r="AA410" s="19"/>
      <c r="AB410" s="22"/>
      <c r="AC410" s="19"/>
      <c r="AD410" s="23"/>
      <c r="AE410" s="24"/>
    </row>
    <row r="411" spans="2:31" ht="39.950000000000003" customHeight="1" x14ac:dyDescent="0.3">
      <c r="B411" s="107">
        <v>24010</v>
      </c>
      <c r="C411" s="12">
        <f t="shared" si="22"/>
        <v>406</v>
      </c>
      <c r="D411" s="105" t="str">
        <f>IFERROR(" "&amp;VLOOKUP(B411,현장리스트!$B:$C,2,0),"-")</f>
        <v xml:space="preserve"> [4.롯데건설] 검단신도시 101 역세권 공모사업(C9-1BL, C9-2BL)</v>
      </c>
      <c r="E411" s="13" t="s">
        <v>2120</v>
      </c>
      <c r="F411" s="13" t="str">
        <f t="shared" ca="1" si="23"/>
        <v>56세</v>
      </c>
      <c r="G411" s="14" t="s">
        <v>2121</v>
      </c>
      <c r="H411" s="15" t="str">
        <f t="shared" si="24"/>
        <v>남</v>
      </c>
      <c r="I411" s="16" t="s">
        <v>899</v>
      </c>
      <c r="J411" s="16" t="s">
        <v>903</v>
      </c>
      <c r="K411" s="17">
        <v>220000</v>
      </c>
      <c r="L411" s="18" t="s">
        <v>2122</v>
      </c>
      <c r="M411" s="19" t="s">
        <v>999</v>
      </c>
      <c r="N411" s="19" t="s">
        <v>3177</v>
      </c>
      <c r="O411" s="20" t="s">
        <v>2668</v>
      </c>
      <c r="P411" s="23" t="s">
        <v>23</v>
      </c>
      <c r="Q411" s="21" t="str">
        <f>VLOOKUP(C411,'2-1. 인사고과표(기능)'!B:AS,44,0)</f>
        <v>S</v>
      </c>
      <c r="R411" s="21" t="str">
        <f>VLOOKUP(C411,'2-2. 인사고과표(안전)'!B:AO,40,0)</f>
        <v>S</v>
      </c>
      <c r="S411" s="18"/>
      <c r="T411" s="19"/>
      <c r="U411" s="19"/>
      <c r="V411" s="19"/>
      <c r="W411" s="19" t="s">
        <v>2695</v>
      </c>
      <c r="X411" s="22" t="s">
        <v>3179</v>
      </c>
      <c r="Y411" s="23" t="s">
        <v>23</v>
      </c>
      <c r="Z411" s="19"/>
      <c r="AA411" s="19"/>
      <c r="AB411" s="22"/>
      <c r="AC411" s="19"/>
      <c r="AD411" s="23"/>
      <c r="AE411" s="24"/>
    </row>
    <row r="412" spans="2:31" ht="39.950000000000003" customHeight="1" x14ac:dyDescent="0.3">
      <c r="B412" s="107">
        <v>24010</v>
      </c>
      <c r="C412" s="12">
        <f t="shared" si="22"/>
        <v>407</v>
      </c>
      <c r="D412" s="105" t="str">
        <f>IFERROR(" "&amp;VLOOKUP(B412,현장리스트!$B:$C,2,0),"-")</f>
        <v xml:space="preserve"> [4.롯데건설] 검단신도시 101 역세권 공모사업(C9-1BL, C9-2BL)</v>
      </c>
      <c r="E412" s="13" t="s">
        <v>1064</v>
      </c>
      <c r="F412" s="13" t="str">
        <f t="shared" ca="1" si="23"/>
        <v>57세</v>
      </c>
      <c r="G412" s="14" t="s">
        <v>1065</v>
      </c>
      <c r="H412" s="15" t="str">
        <f t="shared" si="24"/>
        <v>남</v>
      </c>
      <c r="I412" s="16" t="s">
        <v>899</v>
      </c>
      <c r="J412" s="16" t="s">
        <v>903</v>
      </c>
      <c r="K412" s="17">
        <v>220000</v>
      </c>
      <c r="L412" s="18" t="s">
        <v>1066</v>
      </c>
      <c r="M412" s="19" t="s">
        <v>914</v>
      </c>
      <c r="N412" s="19" t="s">
        <v>3019</v>
      </c>
      <c r="O412" s="20" t="s">
        <v>2668</v>
      </c>
      <c r="P412" s="23" t="s">
        <v>23</v>
      </c>
      <c r="Q412" s="21" t="str">
        <f>VLOOKUP(C412,'2-1. 인사고과표(기능)'!B:AS,44,0)</f>
        <v>S</v>
      </c>
      <c r="R412" s="21" t="str">
        <f>VLOOKUP(C412,'2-2. 인사고과표(안전)'!B:AO,40,0)</f>
        <v>S</v>
      </c>
      <c r="S412" s="18"/>
      <c r="T412" s="19"/>
      <c r="U412" s="19"/>
      <c r="V412" s="19"/>
      <c r="W412" s="19" t="s">
        <v>2695</v>
      </c>
      <c r="X412" s="22" t="s">
        <v>3179</v>
      </c>
      <c r="Y412" s="23" t="s">
        <v>23</v>
      </c>
      <c r="Z412" s="19"/>
      <c r="AA412" s="19"/>
      <c r="AB412" s="22"/>
      <c r="AC412" s="19"/>
      <c r="AD412" s="23"/>
      <c r="AE412" s="24"/>
    </row>
    <row r="413" spans="2:31" ht="39.950000000000003" customHeight="1" x14ac:dyDescent="0.3">
      <c r="B413" s="107">
        <v>24010</v>
      </c>
      <c r="C413" s="12">
        <f t="shared" si="22"/>
        <v>408</v>
      </c>
      <c r="D413" s="105" t="str">
        <f>IFERROR(" "&amp;VLOOKUP(B413,현장리스트!$B:$C,2,0),"-")</f>
        <v xml:space="preserve"> [4.롯데건설] 검단신도시 101 역세권 공모사업(C9-1BL, C9-2BL)</v>
      </c>
      <c r="E413" s="13" t="s">
        <v>1397</v>
      </c>
      <c r="F413" s="13" t="str">
        <f t="shared" ca="1" si="23"/>
        <v>45세</v>
      </c>
      <c r="G413" s="14" t="s">
        <v>1400</v>
      </c>
      <c r="H413" s="15" t="str">
        <f t="shared" si="24"/>
        <v>남</v>
      </c>
      <c r="I413" s="16" t="s">
        <v>901</v>
      </c>
      <c r="J413" s="16" t="s">
        <v>30</v>
      </c>
      <c r="K413" s="17">
        <v>210000</v>
      </c>
      <c r="L413" s="18" t="s">
        <v>1401</v>
      </c>
      <c r="M413" s="19" t="s">
        <v>914</v>
      </c>
      <c r="N413" s="19" t="s">
        <v>2617</v>
      </c>
      <c r="O413" s="20" t="s">
        <v>2648</v>
      </c>
      <c r="P413" s="23" t="s">
        <v>23</v>
      </c>
      <c r="Q413" s="21" t="str">
        <f>VLOOKUP(C413,'2-1. 인사고과표(기능)'!B:AS,44,0)</f>
        <v>S</v>
      </c>
      <c r="R413" s="21" t="str">
        <f>VLOOKUP(C413,'2-2. 인사고과표(안전)'!B:AO,40,0)</f>
        <v>S</v>
      </c>
      <c r="S413" s="18"/>
      <c r="T413" s="19"/>
      <c r="U413" s="19"/>
      <c r="V413" s="19"/>
      <c r="W413" s="19" t="s">
        <v>2695</v>
      </c>
      <c r="X413" s="22" t="s">
        <v>3179</v>
      </c>
      <c r="Y413" s="23" t="s">
        <v>23</v>
      </c>
      <c r="Z413" s="19"/>
      <c r="AA413" s="19"/>
      <c r="AB413" s="22"/>
      <c r="AC413" s="19"/>
      <c r="AD413" s="23"/>
      <c r="AE413" s="24"/>
    </row>
    <row r="414" spans="2:31" ht="39.950000000000003" customHeight="1" x14ac:dyDescent="0.3">
      <c r="B414" s="107">
        <v>24010</v>
      </c>
      <c r="C414" s="12">
        <f t="shared" si="22"/>
        <v>409</v>
      </c>
      <c r="D414" s="105" t="str">
        <f>IFERROR(" "&amp;VLOOKUP(B414,현장리스트!$B:$C,2,0),"-")</f>
        <v xml:space="preserve"> [4.롯데건설] 검단신도시 101 역세권 공모사업(C9-1BL, C9-2BL)</v>
      </c>
      <c r="E414" s="13" t="s">
        <v>2223</v>
      </c>
      <c r="F414" s="13" t="str">
        <f t="shared" ca="1" si="23"/>
        <v>46세</v>
      </c>
      <c r="G414" s="14" t="s">
        <v>2224</v>
      </c>
      <c r="H414" s="15" t="str">
        <f t="shared" si="24"/>
        <v>남</v>
      </c>
      <c r="I414" s="16" t="s">
        <v>901</v>
      </c>
      <c r="J414" s="16" t="s">
        <v>30</v>
      </c>
      <c r="K414" s="17">
        <v>190000</v>
      </c>
      <c r="L414" s="18" t="s">
        <v>2225</v>
      </c>
      <c r="M414" s="19" t="s">
        <v>914</v>
      </c>
      <c r="N414" s="19" t="s">
        <v>2617</v>
      </c>
      <c r="O414" s="20" t="s">
        <v>3178</v>
      </c>
      <c r="P414" s="23" t="s">
        <v>23</v>
      </c>
      <c r="Q414" s="21" t="str">
        <f>VLOOKUP(C414,'2-1. 인사고과표(기능)'!B:AS,44,0)</f>
        <v>S</v>
      </c>
      <c r="R414" s="21" t="str">
        <f>VLOOKUP(C414,'2-2. 인사고과표(안전)'!B:AO,40,0)</f>
        <v>S</v>
      </c>
      <c r="S414" s="18"/>
      <c r="T414" s="19"/>
      <c r="U414" s="19"/>
      <c r="V414" s="19"/>
      <c r="W414" s="19" t="s">
        <v>2695</v>
      </c>
      <c r="X414" s="22" t="s">
        <v>3179</v>
      </c>
      <c r="Y414" s="23" t="s">
        <v>23</v>
      </c>
      <c r="Z414" s="19"/>
      <c r="AA414" s="19"/>
      <c r="AB414" s="22"/>
      <c r="AC414" s="19"/>
      <c r="AD414" s="23"/>
      <c r="AE414" s="24"/>
    </row>
    <row r="415" spans="2:31" ht="39.950000000000003" customHeight="1" x14ac:dyDescent="0.3">
      <c r="B415" s="107">
        <v>24010</v>
      </c>
      <c r="C415" s="12">
        <f t="shared" si="22"/>
        <v>410</v>
      </c>
      <c r="D415" s="105" t="str">
        <f>IFERROR(" "&amp;VLOOKUP(B415,현장리스트!$B:$C,2,0),"-")</f>
        <v xml:space="preserve"> [4.롯데건설] 검단신도시 101 역세권 공모사업(C9-1BL, C9-2BL)</v>
      </c>
      <c r="E415" s="13" t="s">
        <v>2259</v>
      </c>
      <c r="F415" s="13" t="str">
        <f t="shared" ca="1" si="23"/>
        <v>48세</v>
      </c>
      <c r="G415" s="14" t="s">
        <v>2260</v>
      </c>
      <c r="H415" s="15" t="str">
        <f t="shared" si="24"/>
        <v>남</v>
      </c>
      <c r="I415" s="16" t="s">
        <v>901</v>
      </c>
      <c r="J415" s="16" t="s">
        <v>30</v>
      </c>
      <c r="K415" s="17">
        <v>190000</v>
      </c>
      <c r="L415" s="18" t="s">
        <v>2261</v>
      </c>
      <c r="M415" s="19" t="s">
        <v>914</v>
      </c>
      <c r="N415" s="19" t="s">
        <v>2617</v>
      </c>
      <c r="O415" s="20" t="s">
        <v>3178</v>
      </c>
      <c r="P415" s="23" t="s">
        <v>23</v>
      </c>
      <c r="Q415" s="21" t="str">
        <f>VLOOKUP(C415,'2-1. 인사고과표(기능)'!B:AS,44,0)</f>
        <v>S</v>
      </c>
      <c r="R415" s="21" t="str">
        <f>VLOOKUP(C415,'2-2. 인사고과표(안전)'!B:AO,40,0)</f>
        <v>S</v>
      </c>
      <c r="S415" s="18"/>
      <c r="T415" s="19"/>
      <c r="U415" s="19"/>
      <c r="V415" s="19"/>
      <c r="W415" s="19" t="s">
        <v>2695</v>
      </c>
      <c r="X415" s="22" t="s">
        <v>3179</v>
      </c>
      <c r="Y415" s="23" t="s">
        <v>23</v>
      </c>
      <c r="Z415" s="19"/>
      <c r="AA415" s="19"/>
      <c r="AB415" s="22"/>
      <c r="AC415" s="19"/>
      <c r="AD415" s="23"/>
      <c r="AE415" s="24"/>
    </row>
    <row r="416" spans="2:31" ht="39.950000000000003" customHeight="1" x14ac:dyDescent="0.3">
      <c r="B416" s="107">
        <v>24010</v>
      </c>
      <c r="C416" s="12">
        <f t="shared" si="22"/>
        <v>411</v>
      </c>
      <c r="D416" s="105" t="str">
        <f>IFERROR(" "&amp;VLOOKUP(B416,현장리스트!$B:$C,2,0),"-")</f>
        <v xml:space="preserve"> [4.롯데건설] 검단신도시 101 역세권 공모사업(C9-1BL, C9-2BL)</v>
      </c>
      <c r="E416" s="13" t="s">
        <v>2128</v>
      </c>
      <c r="F416" s="13" t="str">
        <f t="shared" ca="1" si="23"/>
        <v>30세</v>
      </c>
      <c r="G416" s="14" t="s">
        <v>2129</v>
      </c>
      <c r="H416" s="15" t="str">
        <f t="shared" si="24"/>
        <v>남</v>
      </c>
      <c r="I416" s="16" t="s">
        <v>901</v>
      </c>
      <c r="J416" s="16" t="s">
        <v>902</v>
      </c>
      <c r="K416" s="17">
        <v>160000</v>
      </c>
      <c r="L416" s="18" t="s">
        <v>2130</v>
      </c>
      <c r="M416" s="19" t="s">
        <v>914</v>
      </c>
      <c r="N416" s="19" t="s">
        <v>2979</v>
      </c>
      <c r="O416" s="20" t="s">
        <v>2534</v>
      </c>
      <c r="P416" s="23" t="s">
        <v>23</v>
      </c>
      <c r="Q416" s="21" t="str">
        <f>VLOOKUP(C416,'2-1. 인사고과표(기능)'!B:AS,44,0)</f>
        <v>A</v>
      </c>
      <c r="R416" s="21" t="str">
        <f>VLOOKUP(C416,'2-2. 인사고과표(안전)'!B:AO,40,0)</f>
        <v>S</v>
      </c>
      <c r="S416" s="18"/>
      <c r="T416" s="19"/>
      <c r="U416" s="19"/>
      <c r="V416" s="19"/>
      <c r="W416" s="19"/>
      <c r="X416" s="22"/>
      <c r="Y416" s="23"/>
      <c r="Z416" s="19"/>
      <c r="AA416" s="19"/>
      <c r="AB416" s="22" t="s">
        <v>3180</v>
      </c>
      <c r="AC416" s="19" t="s">
        <v>3181</v>
      </c>
      <c r="AD416" s="23" t="s">
        <v>23</v>
      </c>
      <c r="AE416" s="24"/>
    </row>
    <row r="417" spans="2:31" ht="39.950000000000003" customHeight="1" x14ac:dyDescent="0.3">
      <c r="B417" s="107">
        <v>24010</v>
      </c>
      <c r="C417" s="12">
        <f t="shared" si="22"/>
        <v>412</v>
      </c>
      <c r="D417" s="105" t="str">
        <f>IFERROR(" "&amp;VLOOKUP(B417,현장리스트!$B:$C,2,0),"-")</f>
        <v xml:space="preserve"> [4.롯데건설] 검단신도시 101 역세권 공모사업(C9-1BL, C9-2BL)</v>
      </c>
      <c r="E417" s="13" t="s">
        <v>1449</v>
      </c>
      <c r="F417" s="13" t="str">
        <f t="shared" ca="1" si="23"/>
        <v>31세</v>
      </c>
      <c r="G417" s="14" t="s">
        <v>1450</v>
      </c>
      <c r="H417" s="15" t="str">
        <f t="shared" si="24"/>
        <v>남</v>
      </c>
      <c r="I417" s="16" t="s">
        <v>901</v>
      </c>
      <c r="J417" s="16" t="s">
        <v>902</v>
      </c>
      <c r="K417" s="17">
        <v>180000</v>
      </c>
      <c r="L417" s="18" t="s">
        <v>1451</v>
      </c>
      <c r="M417" s="19" t="s">
        <v>910</v>
      </c>
      <c r="N417" s="19" t="s">
        <v>995</v>
      </c>
      <c r="O417" s="20" t="s">
        <v>2524</v>
      </c>
      <c r="P417" s="23" t="s">
        <v>23</v>
      </c>
      <c r="Q417" s="21" t="str">
        <f>VLOOKUP(C417,'2-1. 인사고과표(기능)'!B:AS,44,0)</f>
        <v>S</v>
      </c>
      <c r="R417" s="21" t="str">
        <f>VLOOKUP(C417,'2-2. 인사고과표(안전)'!B:AO,40,0)</f>
        <v>S</v>
      </c>
      <c r="S417" s="18"/>
      <c r="T417" s="19"/>
      <c r="U417" s="19"/>
      <c r="V417" s="19"/>
      <c r="W417" s="19"/>
      <c r="X417" s="22"/>
      <c r="Y417" s="23"/>
      <c r="Z417" s="19"/>
      <c r="AA417" s="19" t="s">
        <v>2695</v>
      </c>
      <c r="AB417" s="22" t="s">
        <v>3134</v>
      </c>
      <c r="AC417" s="19" t="s">
        <v>2682</v>
      </c>
      <c r="AD417" s="23" t="s">
        <v>23</v>
      </c>
      <c r="AE417" s="24"/>
    </row>
    <row r="418" spans="2:31" ht="39.950000000000003" customHeight="1" x14ac:dyDescent="0.3">
      <c r="B418" s="107">
        <v>24010</v>
      </c>
      <c r="C418" s="12">
        <f t="shared" si="22"/>
        <v>413</v>
      </c>
      <c r="D418" s="105" t="str">
        <f>IFERROR(" "&amp;VLOOKUP(B418,현장리스트!$B:$C,2,0),"-")</f>
        <v xml:space="preserve"> [4.롯데건설] 검단신도시 101 역세권 공모사업(C9-1BL, C9-2BL)</v>
      </c>
      <c r="E418" s="13" t="s">
        <v>1884</v>
      </c>
      <c r="F418" s="13" t="str">
        <f t="shared" ca="1" si="23"/>
        <v>50세</v>
      </c>
      <c r="G418" s="14" t="s">
        <v>1885</v>
      </c>
      <c r="H418" s="15" t="str">
        <f t="shared" si="24"/>
        <v>남</v>
      </c>
      <c r="I418" s="16" t="s">
        <v>901</v>
      </c>
      <c r="J418" s="16" t="s">
        <v>30</v>
      </c>
      <c r="K418" s="17">
        <v>220000</v>
      </c>
      <c r="L418" s="18" t="s">
        <v>1886</v>
      </c>
      <c r="M418" s="19" t="s">
        <v>987</v>
      </c>
      <c r="N418" s="19" t="s">
        <v>2649</v>
      </c>
      <c r="O418" s="20" t="s">
        <v>912</v>
      </c>
      <c r="P418" s="23" t="s">
        <v>23</v>
      </c>
      <c r="Q418" s="21" t="str">
        <f>VLOOKUP(C418,'2-1. 인사고과표(기능)'!B:AS,44,0)</f>
        <v>S</v>
      </c>
      <c r="R418" s="21" t="str">
        <f>VLOOKUP(C418,'2-2. 인사고과표(안전)'!B:AO,40,0)</f>
        <v>S</v>
      </c>
      <c r="S418" s="18"/>
      <c r="T418" s="19"/>
      <c r="U418" s="19"/>
      <c r="V418" s="19"/>
      <c r="W418" s="19" t="s">
        <v>456</v>
      </c>
      <c r="X418" s="22" t="s">
        <v>3182</v>
      </c>
      <c r="Y418" s="23" t="s">
        <v>23</v>
      </c>
      <c r="Z418" s="19"/>
      <c r="AA418" s="19"/>
      <c r="AB418" s="22"/>
      <c r="AC418" s="19"/>
      <c r="AD418" s="23"/>
      <c r="AE418" s="24"/>
    </row>
    <row r="419" spans="2:31" ht="39.950000000000003" customHeight="1" x14ac:dyDescent="0.3">
      <c r="B419" s="107">
        <v>24010</v>
      </c>
      <c r="C419" s="12">
        <f t="shared" si="22"/>
        <v>414</v>
      </c>
      <c r="D419" s="105" t="str">
        <f>IFERROR(" "&amp;VLOOKUP(B419,현장리스트!$B:$C,2,0),"-")</f>
        <v xml:space="preserve"> [4.롯데건설] 검단신도시 101 역세권 공모사업(C9-1BL, C9-2BL)</v>
      </c>
      <c r="E419" s="13" t="s">
        <v>1110</v>
      </c>
      <c r="F419" s="13" t="str">
        <f t="shared" ca="1" si="23"/>
        <v>40세</v>
      </c>
      <c r="G419" s="14" t="s">
        <v>1111</v>
      </c>
      <c r="H419" s="15" t="str">
        <f t="shared" si="24"/>
        <v>남</v>
      </c>
      <c r="I419" s="16" t="s">
        <v>901</v>
      </c>
      <c r="J419" s="16" t="s">
        <v>902</v>
      </c>
      <c r="K419" s="17">
        <v>160000</v>
      </c>
      <c r="L419" s="18" t="s">
        <v>1112</v>
      </c>
      <c r="M419" s="19" t="s">
        <v>914</v>
      </c>
      <c r="N419" s="19" t="s">
        <v>2617</v>
      </c>
      <c r="O419" s="20" t="s">
        <v>2534</v>
      </c>
      <c r="P419" s="23" t="s">
        <v>23</v>
      </c>
      <c r="Q419" s="21" t="str">
        <f>VLOOKUP(C419,'2-1. 인사고과표(기능)'!B:AS,44,0)</f>
        <v>A</v>
      </c>
      <c r="R419" s="21" t="str">
        <f>VLOOKUP(C419,'2-2. 인사고과표(안전)'!B:AO,40,0)</f>
        <v>S</v>
      </c>
      <c r="S419" s="18"/>
      <c r="T419" s="19"/>
      <c r="U419" s="19"/>
      <c r="V419" s="19"/>
      <c r="W419" s="19"/>
      <c r="X419" s="22"/>
      <c r="Y419" s="23"/>
      <c r="Z419" s="19"/>
      <c r="AA419" s="19" t="s">
        <v>2695</v>
      </c>
      <c r="AB419" s="22" t="s">
        <v>3183</v>
      </c>
      <c r="AC419" s="19" t="s">
        <v>3184</v>
      </c>
      <c r="AD419" s="23" t="s">
        <v>23</v>
      </c>
      <c r="AE419" s="24"/>
    </row>
    <row r="420" spans="2:31" ht="39.950000000000003" customHeight="1" x14ac:dyDescent="0.3">
      <c r="B420" s="107">
        <v>24010</v>
      </c>
      <c r="C420" s="12">
        <f t="shared" si="22"/>
        <v>415</v>
      </c>
      <c r="D420" s="105" t="str">
        <f>IFERROR(" "&amp;VLOOKUP(B420,현장리스트!$B:$C,2,0),"-")</f>
        <v xml:space="preserve"> [4.롯데건설] 검단신도시 101 역세권 공모사업(C9-1BL, C9-2BL)</v>
      </c>
      <c r="E420" s="13" t="s">
        <v>1780</v>
      </c>
      <c r="F420" s="13" t="str">
        <f t="shared" ca="1" si="23"/>
        <v>59세</v>
      </c>
      <c r="G420" s="14" t="s">
        <v>1781</v>
      </c>
      <c r="H420" s="15" t="str">
        <f t="shared" si="24"/>
        <v>남</v>
      </c>
      <c r="I420" s="16" t="s">
        <v>901</v>
      </c>
      <c r="J420" s="16" t="s">
        <v>30</v>
      </c>
      <c r="K420" s="17">
        <v>220000</v>
      </c>
      <c r="L420" s="18" t="s">
        <v>1782</v>
      </c>
      <c r="M420" s="19" t="s">
        <v>914</v>
      </c>
      <c r="N420" s="19" t="s">
        <v>2979</v>
      </c>
      <c r="O420" s="20" t="s">
        <v>912</v>
      </c>
      <c r="P420" s="23" t="s">
        <v>23</v>
      </c>
      <c r="Q420" s="21" t="str">
        <f>VLOOKUP(C420,'2-1. 인사고과표(기능)'!B:AS,44,0)</f>
        <v>S</v>
      </c>
      <c r="R420" s="21" t="str">
        <f>VLOOKUP(C420,'2-2. 인사고과표(안전)'!B:AO,40,0)</f>
        <v>S</v>
      </c>
      <c r="S420" s="18"/>
      <c r="T420" s="19"/>
      <c r="U420" s="19"/>
      <c r="V420" s="19"/>
      <c r="W420" s="19" t="s">
        <v>582</v>
      </c>
      <c r="X420" s="22" t="s">
        <v>3185</v>
      </c>
      <c r="Y420" s="23" t="s">
        <v>26</v>
      </c>
      <c r="Z420" s="19"/>
      <c r="AA420" s="19"/>
      <c r="AB420" s="22"/>
      <c r="AC420" s="19"/>
      <c r="AD420" s="23"/>
      <c r="AE420" s="24"/>
    </row>
    <row r="421" spans="2:31" ht="39.950000000000003" customHeight="1" x14ac:dyDescent="0.3">
      <c r="B421" s="107">
        <v>24010</v>
      </c>
      <c r="C421" s="12">
        <f t="shared" si="22"/>
        <v>416</v>
      </c>
      <c r="D421" s="105" t="str">
        <f>IFERROR(" "&amp;VLOOKUP(B421,현장리스트!$B:$C,2,0),"-")</f>
        <v xml:space="preserve"> [4.롯데건설] 검단신도시 101 역세권 공모사업(C9-1BL, C9-2BL)</v>
      </c>
      <c r="E421" s="13" t="s">
        <v>2167</v>
      </c>
      <c r="F421" s="13" t="str">
        <f t="shared" ca="1" si="23"/>
        <v>56세</v>
      </c>
      <c r="G421" s="14" t="s">
        <v>2168</v>
      </c>
      <c r="H421" s="15" t="str">
        <f t="shared" si="24"/>
        <v>남</v>
      </c>
      <c r="I421" s="16" t="s">
        <v>901</v>
      </c>
      <c r="J421" s="16" t="s">
        <v>30</v>
      </c>
      <c r="K421" s="17">
        <v>220000</v>
      </c>
      <c r="L421" s="18" t="s">
        <v>2169</v>
      </c>
      <c r="M421" s="19" t="s">
        <v>910</v>
      </c>
      <c r="N421" s="19" t="s">
        <v>911</v>
      </c>
      <c r="O421" s="20" t="s">
        <v>912</v>
      </c>
      <c r="P421" s="23" t="s">
        <v>23</v>
      </c>
      <c r="Q421" s="21" t="str">
        <f>VLOOKUP(C421,'2-1. 인사고과표(기능)'!B:AS,44,0)</f>
        <v>S</v>
      </c>
      <c r="R421" s="21" t="str">
        <f>VLOOKUP(C421,'2-2. 인사고과표(안전)'!B:AO,40,0)</f>
        <v>S</v>
      </c>
      <c r="S421" s="18"/>
      <c r="T421" s="19"/>
      <c r="U421" s="19"/>
      <c r="V421" s="19"/>
      <c r="W421" s="19" t="s">
        <v>582</v>
      </c>
      <c r="X421" s="22" t="s">
        <v>3185</v>
      </c>
      <c r="Y421" s="23" t="s">
        <v>26</v>
      </c>
      <c r="Z421" s="19"/>
      <c r="AA421" s="19"/>
      <c r="AB421" s="22"/>
      <c r="AC421" s="19"/>
      <c r="AD421" s="23"/>
      <c r="AE421" s="24"/>
    </row>
    <row r="422" spans="2:31" ht="39.950000000000003" customHeight="1" x14ac:dyDescent="0.3">
      <c r="B422" s="107">
        <v>22052</v>
      </c>
      <c r="C422" s="12">
        <f t="shared" si="22"/>
        <v>417</v>
      </c>
      <c r="D422" s="105" t="str">
        <f>IFERROR(" "&amp;VLOOKUP(B422,현장리스트!$B:$C,2,0),"-")</f>
        <v xml:space="preserve"> [4.롯데건설] 구리 인창C구역 주택재개발정비사업 중 일반전기공사</v>
      </c>
      <c r="E422" s="13" t="s">
        <v>2273</v>
      </c>
      <c r="F422" s="13" t="str">
        <f t="shared" ca="1" si="23"/>
        <v>39세</v>
      </c>
      <c r="G422" s="14" t="s">
        <v>2274</v>
      </c>
      <c r="H422" s="15" t="str">
        <f t="shared" si="24"/>
        <v>남</v>
      </c>
      <c r="I422" s="16" t="s">
        <v>895</v>
      </c>
      <c r="J422" s="16" t="s">
        <v>896</v>
      </c>
      <c r="K422" s="17">
        <v>4700000</v>
      </c>
      <c r="L422" s="18" t="s">
        <v>2275</v>
      </c>
      <c r="M422" s="19" t="s">
        <v>987</v>
      </c>
      <c r="N422" s="19" t="s">
        <v>2868</v>
      </c>
      <c r="O422" s="20">
        <v>6</v>
      </c>
      <c r="P422" s="23" t="s">
        <v>23</v>
      </c>
      <c r="Q422" s="21" t="str">
        <f>VLOOKUP(C422,'2-1. 인사고과표(기능)'!B:AS,44,0)</f>
        <v>S</v>
      </c>
      <c r="R422" s="21" t="str">
        <f>VLOOKUP(C422,'2-2. 인사고과표(안전)'!B:AO,40,0)</f>
        <v>S</v>
      </c>
      <c r="S422" s="18"/>
      <c r="T422" s="19"/>
      <c r="U422" s="19"/>
      <c r="V422" s="19"/>
      <c r="W422" s="19"/>
      <c r="X422" s="22"/>
      <c r="Y422" s="23"/>
      <c r="Z422" s="19"/>
      <c r="AA422" s="19" t="s">
        <v>2576</v>
      </c>
      <c r="AB422" s="22" t="s">
        <v>3237</v>
      </c>
      <c r="AC422" s="19" t="s">
        <v>2654</v>
      </c>
      <c r="AD422" s="23" t="s">
        <v>23</v>
      </c>
      <c r="AE422" s="24"/>
    </row>
    <row r="423" spans="2:31" ht="39.950000000000003" customHeight="1" x14ac:dyDescent="0.3">
      <c r="B423" s="107">
        <v>22052</v>
      </c>
      <c r="C423" s="12">
        <f t="shared" si="22"/>
        <v>418</v>
      </c>
      <c r="D423" s="105" t="str">
        <f>IFERROR(" "&amp;VLOOKUP(B423,현장리스트!$B:$C,2,0),"-")</f>
        <v xml:space="preserve"> [4.롯데건설] 구리 인창C구역 주택재개발정비사업 중 일반전기공사</v>
      </c>
      <c r="E423" s="13" t="s">
        <v>1592</v>
      </c>
      <c r="F423" s="13" t="str">
        <f t="shared" ca="1" si="23"/>
        <v>65세</v>
      </c>
      <c r="G423" s="14" t="s">
        <v>1593</v>
      </c>
      <c r="H423" s="15" t="str">
        <f t="shared" si="24"/>
        <v>남</v>
      </c>
      <c r="I423" s="16" t="s">
        <v>899</v>
      </c>
      <c r="J423" s="16" t="s">
        <v>903</v>
      </c>
      <c r="K423" s="17">
        <v>5200000</v>
      </c>
      <c r="L423" s="18" t="s">
        <v>1594</v>
      </c>
      <c r="M423" s="19" t="s">
        <v>987</v>
      </c>
      <c r="N423" s="19" t="s">
        <v>2870</v>
      </c>
      <c r="O423" s="20">
        <v>35</v>
      </c>
      <c r="P423" s="23" t="s">
        <v>23</v>
      </c>
      <c r="Q423" s="21" t="str">
        <f>VLOOKUP(C423,'2-1. 인사고과표(기능)'!B:AS,44,0)</f>
        <v>S</v>
      </c>
      <c r="R423" s="21" t="str">
        <f>VLOOKUP(C423,'2-2. 인사고과표(안전)'!B:AO,40,0)</f>
        <v>S</v>
      </c>
      <c r="S423" s="18"/>
      <c r="T423" s="19"/>
      <c r="U423" s="19"/>
      <c r="V423" s="19"/>
      <c r="W423" s="19" t="s">
        <v>2695</v>
      </c>
      <c r="X423" s="22" t="s">
        <v>3238</v>
      </c>
      <c r="Y423" s="23" t="s">
        <v>23</v>
      </c>
      <c r="Z423" s="19"/>
      <c r="AA423" s="19"/>
      <c r="AB423" s="22"/>
      <c r="AC423" s="19"/>
      <c r="AD423" s="23" t="s">
        <v>23</v>
      </c>
      <c r="AE423" s="24"/>
    </row>
    <row r="424" spans="2:31" ht="39.950000000000003" customHeight="1" x14ac:dyDescent="0.3">
      <c r="B424" s="107">
        <v>22052</v>
      </c>
      <c r="C424" s="12">
        <f t="shared" si="22"/>
        <v>419</v>
      </c>
      <c r="D424" s="105" t="str">
        <f>IFERROR(" "&amp;VLOOKUP(B424,현장리스트!$B:$C,2,0),"-")</f>
        <v xml:space="preserve"> [4.롯데건설] 구리 인창C구역 주택재개발정비사업 중 일반전기공사</v>
      </c>
      <c r="E424" s="13" t="s">
        <v>2369</v>
      </c>
      <c r="F424" s="13" t="str">
        <f t="shared" ca="1" si="23"/>
        <v>53세</v>
      </c>
      <c r="G424" s="14" t="s">
        <v>2370</v>
      </c>
      <c r="H424" s="15" t="str">
        <f t="shared" si="24"/>
        <v>남</v>
      </c>
      <c r="I424" s="16" t="s">
        <v>899</v>
      </c>
      <c r="J424" s="16" t="s">
        <v>903</v>
      </c>
      <c r="K424" s="17">
        <v>5000000</v>
      </c>
      <c r="L424" s="18" t="s">
        <v>2371</v>
      </c>
      <c r="M424" s="19" t="s">
        <v>987</v>
      </c>
      <c r="N424" s="19" t="s">
        <v>2644</v>
      </c>
      <c r="O424" s="20">
        <v>30</v>
      </c>
      <c r="P424" s="23" t="s">
        <v>23</v>
      </c>
      <c r="Q424" s="21" t="str">
        <f>VLOOKUP(C424,'2-1. 인사고과표(기능)'!B:AS,44,0)</f>
        <v>S</v>
      </c>
      <c r="R424" s="21" t="str">
        <f>VLOOKUP(C424,'2-2. 인사고과표(안전)'!B:AO,40,0)</f>
        <v>S</v>
      </c>
      <c r="S424" s="18"/>
      <c r="T424" s="19"/>
      <c r="U424" s="19"/>
      <c r="V424" s="19"/>
      <c r="W424" s="19"/>
      <c r="X424" s="22"/>
      <c r="Y424" s="23"/>
      <c r="Z424" s="19"/>
      <c r="AA424" s="19" t="s">
        <v>2576</v>
      </c>
      <c r="AB424" s="22" t="s">
        <v>3237</v>
      </c>
      <c r="AC424" s="19" t="s">
        <v>2654</v>
      </c>
      <c r="AD424" s="23" t="s">
        <v>23</v>
      </c>
      <c r="AE424" s="24"/>
    </row>
    <row r="425" spans="2:31" ht="39.950000000000003" customHeight="1" x14ac:dyDescent="0.3">
      <c r="B425" s="107">
        <v>22052</v>
      </c>
      <c r="C425" s="12">
        <f t="shared" si="22"/>
        <v>420</v>
      </c>
      <c r="D425" s="105" t="str">
        <f>IFERROR(" "&amp;VLOOKUP(B425,현장리스트!$B:$C,2,0),"-")</f>
        <v xml:space="preserve"> [4.롯데건설] 구리 인창C구역 주택재개발정비사업 중 일반전기공사</v>
      </c>
      <c r="E425" s="13" t="s">
        <v>2071</v>
      </c>
      <c r="F425" s="13" t="str">
        <f t="shared" ca="1" si="23"/>
        <v>63세</v>
      </c>
      <c r="G425" s="14" t="s">
        <v>2072</v>
      </c>
      <c r="H425" s="15" t="str">
        <f t="shared" si="24"/>
        <v>남</v>
      </c>
      <c r="I425" s="16" t="s">
        <v>899</v>
      </c>
      <c r="J425" s="16" t="s">
        <v>903</v>
      </c>
      <c r="K425" s="17">
        <v>5000000</v>
      </c>
      <c r="L425" s="18" t="s">
        <v>2073</v>
      </c>
      <c r="M425" s="19" t="s">
        <v>987</v>
      </c>
      <c r="N425" s="19" t="s">
        <v>2649</v>
      </c>
      <c r="O425" s="20">
        <v>32</v>
      </c>
      <c r="P425" s="23" t="s">
        <v>23</v>
      </c>
      <c r="Q425" s="21" t="str">
        <f>VLOOKUP(C425,'2-1. 인사고과표(기능)'!B:AS,44,0)</f>
        <v>S</v>
      </c>
      <c r="R425" s="21" t="str">
        <f>VLOOKUP(C425,'2-2. 인사고과표(안전)'!B:AO,40,0)</f>
        <v>S</v>
      </c>
      <c r="S425" s="18"/>
      <c r="T425" s="19"/>
      <c r="U425" s="19"/>
      <c r="V425" s="19"/>
      <c r="W425" s="19"/>
      <c r="X425" s="22"/>
      <c r="Y425" s="23"/>
      <c r="Z425" s="19"/>
      <c r="AA425" s="19" t="s">
        <v>3239</v>
      </c>
      <c r="AB425" s="22" t="s">
        <v>3240</v>
      </c>
      <c r="AC425" s="19" t="s">
        <v>2697</v>
      </c>
      <c r="AD425" s="23" t="s">
        <v>23</v>
      </c>
      <c r="AE425" s="24"/>
    </row>
    <row r="426" spans="2:31" ht="39.950000000000003" customHeight="1" x14ac:dyDescent="0.3">
      <c r="B426" s="107">
        <v>22052</v>
      </c>
      <c r="C426" s="12">
        <f t="shared" si="22"/>
        <v>421</v>
      </c>
      <c r="D426" s="105" t="str">
        <f>IFERROR(" "&amp;VLOOKUP(B426,현장리스트!$B:$C,2,0),"-")</f>
        <v xml:space="preserve"> [4.롯데건설] 구리 인창C구역 주택재개발정비사업 중 일반전기공사</v>
      </c>
      <c r="E426" s="13" t="s">
        <v>1076</v>
      </c>
      <c r="F426" s="13" t="str">
        <f t="shared" ca="1" si="23"/>
        <v>62세</v>
      </c>
      <c r="G426" s="14" t="s">
        <v>1077</v>
      </c>
      <c r="H426" s="15" t="str">
        <f t="shared" si="24"/>
        <v>남</v>
      </c>
      <c r="I426" s="16" t="s">
        <v>2995</v>
      </c>
      <c r="J426" s="16" t="s">
        <v>30</v>
      </c>
      <c r="K426" s="17">
        <v>200000</v>
      </c>
      <c r="L426" s="18" t="s">
        <v>1078</v>
      </c>
      <c r="M426" s="19" t="s">
        <v>914</v>
      </c>
      <c r="N426" s="19" t="s">
        <v>2606</v>
      </c>
      <c r="O426" s="20">
        <v>30</v>
      </c>
      <c r="P426" s="23" t="s">
        <v>24</v>
      </c>
      <c r="Q426" s="21" t="str">
        <f>VLOOKUP(C426,'2-1. 인사고과표(기능)'!B:AS,44,0)</f>
        <v>S</v>
      </c>
      <c r="R426" s="21" t="str">
        <f>VLOOKUP(C426,'2-2. 인사고과표(안전)'!B:AO,40,0)</f>
        <v>S</v>
      </c>
      <c r="S426" s="18"/>
      <c r="T426" s="19"/>
      <c r="U426" s="19"/>
      <c r="V426" s="19"/>
      <c r="W426" s="19"/>
      <c r="X426" s="22"/>
      <c r="Y426" s="23"/>
      <c r="Z426" s="19"/>
      <c r="AA426" s="19" t="s">
        <v>2695</v>
      </c>
      <c r="AB426" s="22" t="s">
        <v>3241</v>
      </c>
      <c r="AC426" s="19" t="s">
        <v>3242</v>
      </c>
      <c r="AD426" s="23" t="s">
        <v>23</v>
      </c>
      <c r="AE426" s="24"/>
    </row>
    <row r="427" spans="2:31" ht="39.950000000000003" customHeight="1" x14ac:dyDescent="0.3">
      <c r="B427" s="107">
        <v>22052</v>
      </c>
      <c r="C427" s="12">
        <f t="shared" si="22"/>
        <v>422</v>
      </c>
      <c r="D427" s="105" t="str">
        <f>IFERROR(" "&amp;VLOOKUP(B427,현장리스트!$B:$C,2,0),"-")</f>
        <v xml:space="preserve"> [4.롯데건설] 구리 인창C구역 주택재개발정비사업 중 일반전기공사</v>
      </c>
      <c r="E427" s="13" t="s">
        <v>1084</v>
      </c>
      <c r="F427" s="13" t="str">
        <f t="shared" ca="1" si="23"/>
        <v>40세</v>
      </c>
      <c r="G427" s="14" t="s">
        <v>1085</v>
      </c>
      <c r="H427" s="15" t="str">
        <f t="shared" si="24"/>
        <v>남</v>
      </c>
      <c r="I427" s="16" t="s">
        <v>901</v>
      </c>
      <c r="J427" s="16" t="s">
        <v>30</v>
      </c>
      <c r="K427" s="17">
        <v>200000</v>
      </c>
      <c r="L427" s="18" t="s">
        <v>1086</v>
      </c>
      <c r="M427" s="19" t="s">
        <v>987</v>
      </c>
      <c r="N427" s="19" t="s">
        <v>3137</v>
      </c>
      <c r="O427" s="20">
        <v>13</v>
      </c>
      <c r="P427" s="23" t="s">
        <v>23</v>
      </c>
      <c r="Q427" s="21" t="str">
        <f>VLOOKUP(C427,'2-1. 인사고과표(기능)'!B:AS,44,0)</f>
        <v>S</v>
      </c>
      <c r="R427" s="21" t="str">
        <f>VLOOKUP(C427,'2-2. 인사고과표(안전)'!B:AO,40,0)</f>
        <v>S</v>
      </c>
      <c r="S427" s="18"/>
      <c r="T427" s="19"/>
      <c r="U427" s="19"/>
      <c r="V427" s="19"/>
      <c r="W427" s="19"/>
      <c r="X427" s="22"/>
      <c r="Y427" s="23"/>
      <c r="Z427" s="19"/>
      <c r="AA427" s="19" t="s">
        <v>473</v>
      </c>
      <c r="AB427" s="22" t="s">
        <v>3243</v>
      </c>
      <c r="AC427" s="19" t="s">
        <v>2937</v>
      </c>
      <c r="AD427" s="23" t="s">
        <v>23</v>
      </c>
      <c r="AE427" s="24"/>
    </row>
    <row r="428" spans="2:31" ht="39.950000000000003" customHeight="1" x14ac:dyDescent="0.3">
      <c r="B428" s="107">
        <v>22052</v>
      </c>
      <c r="C428" s="12">
        <f t="shared" si="22"/>
        <v>423</v>
      </c>
      <c r="D428" s="105" t="str">
        <f>IFERROR(" "&amp;VLOOKUP(B428,현장리스트!$B:$C,2,0),"-")</f>
        <v xml:space="preserve"> [4.롯데건설] 구리 인창C구역 주택재개발정비사업 중 일반전기공사</v>
      </c>
      <c r="E428" s="13" t="s">
        <v>1554</v>
      </c>
      <c r="F428" s="13" t="str">
        <f t="shared" ca="1" si="23"/>
        <v>38세</v>
      </c>
      <c r="G428" s="14" t="s">
        <v>1555</v>
      </c>
      <c r="H428" s="15" t="str">
        <f t="shared" si="24"/>
        <v>남</v>
      </c>
      <c r="I428" s="16" t="s">
        <v>901</v>
      </c>
      <c r="J428" s="16" t="s">
        <v>30</v>
      </c>
      <c r="K428" s="17">
        <v>190000</v>
      </c>
      <c r="L428" s="18" t="s">
        <v>1556</v>
      </c>
      <c r="M428" s="19" t="s">
        <v>987</v>
      </c>
      <c r="N428" s="19" t="s">
        <v>2888</v>
      </c>
      <c r="O428" s="20">
        <v>8</v>
      </c>
      <c r="P428" s="23" t="s">
        <v>23</v>
      </c>
      <c r="Q428" s="21" t="str">
        <f>VLOOKUP(C428,'2-1. 인사고과표(기능)'!B:AS,44,0)</f>
        <v>S</v>
      </c>
      <c r="R428" s="21" t="str">
        <f>VLOOKUP(C428,'2-2. 인사고과표(안전)'!B:AO,40,0)</f>
        <v>A</v>
      </c>
      <c r="S428" s="18"/>
      <c r="T428" s="19"/>
      <c r="U428" s="19"/>
      <c r="V428" s="19"/>
      <c r="W428" s="19"/>
      <c r="X428" s="22"/>
      <c r="Y428" s="23"/>
      <c r="Z428" s="19"/>
      <c r="AA428" s="19" t="s">
        <v>2576</v>
      </c>
      <c r="AB428" s="22" t="s">
        <v>3237</v>
      </c>
      <c r="AC428" s="19" t="s">
        <v>2654</v>
      </c>
      <c r="AD428" s="23" t="s">
        <v>23</v>
      </c>
      <c r="AE428" s="24"/>
    </row>
    <row r="429" spans="2:31" ht="39.950000000000003" customHeight="1" x14ac:dyDescent="0.3">
      <c r="B429" s="107">
        <v>22052</v>
      </c>
      <c r="C429" s="12">
        <f t="shared" si="22"/>
        <v>424</v>
      </c>
      <c r="D429" s="105" t="str">
        <f>IFERROR(" "&amp;VLOOKUP(B429,현장리스트!$B:$C,2,0),"-")</f>
        <v xml:space="preserve"> [4.롯데건설] 구리 인창C구역 주택재개발정비사업 중 일반전기공사</v>
      </c>
      <c r="E429" s="13" t="s">
        <v>1943</v>
      </c>
      <c r="F429" s="13" t="str">
        <f t="shared" ca="1" si="23"/>
        <v>62세</v>
      </c>
      <c r="G429" s="14" t="s">
        <v>1944</v>
      </c>
      <c r="H429" s="15" t="str">
        <f t="shared" si="24"/>
        <v>남</v>
      </c>
      <c r="I429" s="16" t="s">
        <v>901</v>
      </c>
      <c r="J429" s="16" t="s">
        <v>30</v>
      </c>
      <c r="K429" s="17">
        <v>190000</v>
      </c>
      <c r="L429" s="18" t="s">
        <v>1945</v>
      </c>
      <c r="M429" s="19" t="s">
        <v>987</v>
      </c>
      <c r="N429" s="19" t="s">
        <v>2888</v>
      </c>
      <c r="O429" s="20">
        <v>15</v>
      </c>
      <c r="P429" s="23" t="s">
        <v>23</v>
      </c>
      <c r="Q429" s="21" t="str">
        <f>VLOOKUP(C429,'2-1. 인사고과표(기능)'!B:AS,44,0)</f>
        <v>S</v>
      </c>
      <c r="R429" s="21" t="str">
        <f>VLOOKUP(C429,'2-2. 인사고과표(안전)'!B:AO,40,0)</f>
        <v>S</v>
      </c>
      <c r="S429" s="18"/>
      <c r="T429" s="19"/>
      <c r="U429" s="19"/>
      <c r="V429" s="19"/>
      <c r="W429" s="19"/>
      <c r="X429" s="22"/>
      <c r="Y429" s="23"/>
      <c r="Z429" s="19"/>
      <c r="AA429" s="19" t="s">
        <v>2576</v>
      </c>
      <c r="AB429" s="22" t="s">
        <v>3237</v>
      </c>
      <c r="AC429" s="19" t="s">
        <v>2654</v>
      </c>
      <c r="AD429" s="23" t="s">
        <v>23</v>
      </c>
      <c r="AE429" s="24"/>
    </row>
    <row r="430" spans="2:31" ht="39.950000000000003" customHeight="1" x14ac:dyDescent="0.3">
      <c r="B430" s="107">
        <v>22052</v>
      </c>
      <c r="C430" s="12">
        <f t="shared" si="22"/>
        <v>425</v>
      </c>
      <c r="D430" s="105" t="str">
        <f>IFERROR(" "&amp;VLOOKUP(B430,현장리스트!$B:$C,2,0),"-")</f>
        <v xml:space="preserve"> [4.롯데건설] 구리 인창C구역 주택재개발정비사업 중 일반전기공사</v>
      </c>
      <c r="E430" s="13" t="s">
        <v>2281</v>
      </c>
      <c r="F430" s="13" t="str">
        <f t="shared" ca="1" si="23"/>
        <v>51세</v>
      </c>
      <c r="G430" s="14" t="s">
        <v>2282</v>
      </c>
      <c r="H430" s="15" t="str">
        <f t="shared" si="24"/>
        <v>남</v>
      </c>
      <c r="I430" s="16" t="s">
        <v>901</v>
      </c>
      <c r="J430" s="16" t="s">
        <v>30</v>
      </c>
      <c r="K430" s="17">
        <v>190000</v>
      </c>
      <c r="L430" s="18" t="s">
        <v>2283</v>
      </c>
      <c r="M430" s="19" t="s">
        <v>914</v>
      </c>
      <c r="N430" s="19" t="s">
        <v>3191</v>
      </c>
      <c r="O430" s="20">
        <v>12</v>
      </c>
      <c r="P430" s="23" t="s">
        <v>23</v>
      </c>
      <c r="Q430" s="21" t="str">
        <f>VLOOKUP(C430,'2-1. 인사고과표(기능)'!B:AS,44,0)</f>
        <v>A</v>
      </c>
      <c r="R430" s="21" t="str">
        <f>VLOOKUP(C430,'2-2. 인사고과표(안전)'!B:AO,40,0)</f>
        <v>S</v>
      </c>
      <c r="S430" s="18"/>
      <c r="T430" s="19"/>
      <c r="U430" s="19"/>
      <c r="V430" s="19"/>
      <c r="W430" s="19"/>
      <c r="X430" s="22"/>
      <c r="Y430" s="23"/>
      <c r="Z430" s="19"/>
      <c r="AA430" s="19" t="s">
        <v>2695</v>
      </c>
      <c r="AB430" s="22" t="s">
        <v>3244</v>
      </c>
      <c r="AC430" s="19" t="s">
        <v>3242</v>
      </c>
      <c r="AD430" s="23" t="s">
        <v>23</v>
      </c>
      <c r="AE430" s="24"/>
    </row>
    <row r="431" spans="2:31" ht="39.950000000000003" customHeight="1" x14ac:dyDescent="0.3">
      <c r="B431" s="107">
        <v>22052</v>
      </c>
      <c r="C431" s="12">
        <f t="shared" si="22"/>
        <v>426</v>
      </c>
      <c r="D431" s="105" t="str">
        <f>IFERROR(" "&amp;VLOOKUP(B431,현장리스트!$B:$C,2,0),"-")</f>
        <v xml:space="preserve"> [4.롯데건설] 구리 인창C구역 주택재개발정비사업 중 일반전기공사</v>
      </c>
      <c r="E431" s="13" t="s">
        <v>2421</v>
      </c>
      <c r="F431" s="13" t="str">
        <f t="shared" ca="1" si="23"/>
        <v>60세</v>
      </c>
      <c r="G431" s="14" t="s">
        <v>2422</v>
      </c>
      <c r="H431" s="15" t="str">
        <f t="shared" si="24"/>
        <v>남</v>
      </c>
      <c r="I431" s="16" t="s">
        <v>901</v>
      </c>
      <c r="J431" s="16" t="s">
        <v>30</v>
      </c>
      <c r="K431" s="17">
        <v>200000</v>
      </c>
      <c r="L431" s="18" t="s">
        <v>2423</v>
      </c>
      <c r="M431" s="19" t="s">
        <v>987</v>
      </c>
      <c r="N431" s="19" t="s">
        <v>988</v>
      </c>
      <c r="O431" s="20">
        <v>22</v>
      </c>
      <c r="P431" s="23" t="s">
        <v>23</v>
      </c>
      <c r="Q431" s="21" t="str">
        <f>VLOOKUP(C431,'2-1. 인사고과표(기능)'!B:AS,44,0)</f>
        <v>S</v>
      </c>
      <c r="R431" s="21" t="str">
        <f>VLOOKUP(C431,'2-2. 인사고과표(안전)'!B:AO,40,0)</f>
        <v>S</v>
      </c>
      <c r="S431" s="18"/>
      <c r="T431" s="19"/>
      <c r="U431" s="19"/>
      <c r="V431" s="19"/>
      <c r="W431" s="19"/>
      <c r="X431" s="22"/>
      <c r="Y431" s="23"/>
      <c r="Z431" s="19"/>
      <c r="AA431" s="19"/>
      <c r="AB431" s="22"/>
      <c r="AC431" s="19"/>
      <c r="AD431" s="23"/>
      <c r="AE431" s="24"/>
    </row>
    <row r="432" spans="2:31" ht="39.950000000000003" customHeight="1" x14ac:dyDescent="0.3">
      <c r="B432" s="107">
        <v>25031</v>
      </c>
      <c r="C432" s="12">
        <f t="shared" si="22"/>
        <v>427</v>
      </c>
      <c r="D432" s="105" t="str">
        <f>IFERROR(" "&amp;VLOOKUP(B432,현장리스트!$B:$C,2,0),"-")</f>
        <v xml:space="preserve"> [4.롯데건설] 롯데바이오로직스 Project PROVIDENCE</v>
      </c>
      <c r="E432" s="13" t="s">
        <v>1719</v>
      </c>
      <c r="F432" s="13" t="str">
        <f t="shared" ca="1" si="23"/>
        <v>54세</v>
      </c>
      <c r="G432" s="14" t="s">
        <v>1720</v>
      </c>
      <c r="H432" s="15" t="str">
        <f t="shared" si="24"/>
        <v>남</v>
      </c>
      <c r="I432" s="16" t="s">
        <v>899</v>
      </c>
      <c r="J432" s="16" t="s">
        <v>903</v>
      </c>
      <c r="K432" s="17">
        <v>7583333</v>
      </c>
      <c r="L432" s="18" t="s">
        <v>761</v>
      </c>
      <c r="M432" s="19" t="s">
        <v>2528</v>
      </c>
      <c r="N432" s="19" t="s">
        <v>3291</v>
      </c>
      <c r="O432" s="20">
        <v>30</v>
      </c>
      <c r="P432" s="23" t="s">
        <v>25</v>
      </c>
      <c r="Q432" s="21" t="str">
        <f>VLOOKUP(C432,'2-1. 인사고과표(기능)'!B:AS,44,0)</f>
        <v>S</v>
      </c>
      <c r="R432" s="21" t="str">
        <f>VLOOKUP(C432,'2-2. 인사고과표(안전)'!B:AO,40,0)</f>
        <v>S</v>
      </c>
      <c r="S432" s="18" t="s">
        <v>2675</v>
      </c>
      <c r="T432" s="19"/>
      <c r="U432" s="19"/>
      <c r="V432" s="19"/>
      <c r="W432" s="19"/>
      <c r="X432" s="22"/>
      <c r="Y432" s="23"/>
      <c r="Z432" s="19"/>
      <c r="AA432" s="19" t="s">
        <v>3316</v>
      </c>
      <c r="AB432" s="22" t="s">
        <v>3317</v>
      </c>
      <c r="AC432" s="19" t="s">
        <v>3318</v>
      </c>
      <c r="AD432" s="23" t="s">
        <v>25</v>
      </c>
      <c r="AE432" s="24"/>
    </row>
    <row r="433" spans="2:31" ht="39.950000000000003" customHeight="1" x14ac:dyDescent="0.3">
      <c r="B433" s="107">
        <v>25031</v>
      </c>
      <c r="C433" s="12">
        <f t="shared" si="22"/>
        <v>428</v>
      </c>
      <c r="D433" s="105" t="str">
        <f>IFERROR(" "&amp;VLOOKUP(B433,현장리스트!$B:$C,2,0),"-")</f>
        <v xml:space="preserve"> [4.롯데건설] 롯데바이오로직스 Project PROVIDENCE</v>
      </c>
      <c r="E433" s="13" t="s">
        <v>1091</v>
      </c>
      <c r="F433" s="13" t="str">
        <f t="shared" ca="1" si="23"/>
        <v>41세</v>
      </c>
      <c r="G433" s="14" t="s">
        <v>1092</v>
      </c>
      <c r="H433" s="15" t="str">
        <f t="shared" si="24"/>
        <v>남</v>
      </c>
      <c r="I433" s="16" t="s">
        <v>895</v>
      </c>
      <c r="J433" s="16" t="s">
        <v>898</v>
      </c>
      <c r="K433" s="17">
        <v>7041666</v>
      </c>
      <c r="L433" s="18" t="s">
        <v>1093</v>
      </c>
      <c r="M433" s="19" t="s">
        <v>910</v>
      </c>
      <c r="N433" s="19" t="s">
        <v>1012</v>
      </c>
      <c r="O433" s="20" t="s">
        <v>907</v>
      </c>
      <c r="P433" s="23" t="s">
        <v>25</v>
      </c>
      <c r="Q433" s="21" t="str">
        <f>VLOOKUP(C433,'2-1. 인사고과표(기능)'!B:AS,44,0)</f>
        <v>S</v>
      </c>
      <c r="R433" s="21" t="str">
        <f>VLOOKUP(C433,'2-2. 인사고과표(안전)'!B:AO,40,0)</f>
        <v>S</v>
      </c>
      <c r="S433" s="18" t="s">
        <v>31</v>
      </c>
      <c r="T433" s="19"/>
      <c r="U433" s="19" t="s">
        <v>32</v>
      </c>
      <c r="V433" s="19" t="s">
        <v>31</v>
      </c>
      <c r="W433" s="19"/>
      <c r="X433" s="22"/>
      <c r="Y433" s="23"/>
      <c r="Z433" s="19"/>
      <c r="AA433" s="19" t="s">
        <v>329</v>
      </c>
      <c r="AB433" s="22" t="s">
        <v>3319</v>
      </c>
      <c r="AC433" s="19" t="s">
        <v>329</v>
      </c>
      <c r="AD433" s="23" t="s">
        <v>25</v>
      </c>
      <c r="AE433" s="24"/>
    </row>
    <row r="434" spans="2:31" ht="39.950000000000003" customHeight="1" x14ac:dyDescent="0.3">
      <c r="B434" s="107">
        <v>25031</v>
      </c>
      <c r="C434" s="12">
        <f t="shared" si="22"/>
        <v>429</v>
      </c>
      <c r="D434" s="105" t="str">
        <f>IFERROR(" "&amp;VLOOKUP(B434,현장리스트!$B:$C,2,0),"-")</f>
        <v xml:space="preserve"> [4.롯데건설] 롯데바이오로직스 Project PROVIDENCE</v>
      </c>
      <c r="E434" s="13" t="s">
        <v>1388</v>
      </c>
      <c r="F434" s="13" t="str">
        <f t="shared" ca="1" si="23"/>
        <v>50세</v>
      </c>
      <c r="G434" s="14" t="s">
        <v>1389</v>
      </c>
      <c r="H434" s="15" t="str">
        <f t="shared" si="24"/>
        <v>남</v>
      </c>
      <c r="I434" s="16" t="s">
        <v>899</v>
      </c>
      <c r="J434" s="16" t="s">
        <v>903</v>
      </c>
      <c r="K434" s="17">
        <v>210000</v>
      </c>
      <c r="L434" s="18" t="s">
        <v>1390</v>
      </c>
      <c r="M434" s="19" t="s">
        <v>2616</v>
      </c>
      <c r="N434" s="19" t="s">
        <v>3177</v>
      </c>
      <c r="O434" s="20">
        <v>30</v>
      </c>
      <c r="P434" s="23" t="s">
        <v>25</v>
      </c>
      <c r="Q434" s="21" t="str">
        <f>VLOOKUP(C434,'2-1. 인사고과표(기능)'!B:AS,44,0)</f>
        <v>S</v>
      </c>
      <c r="R434" s="21" t="str">
        <f>VLOOKUP(C434,'2-2. 인사고과표(안전)'!B:AO,40,0)</f>
        <v>S</v>
      </c>
      <c r="S434" s="18"/>
      <c r="T434" s="19"/>
      <c r="U434" s="19"/>
      <c r="V434" s="19"/>
      <c r="W434" s="19"/>
      <c r="X434" s="22"/>
      <c r="Y434" s="23"/>
      <c r="Z434" s="19"/>
      <c r="AA434" s="19" t="s">
        <v>456</v>
      </c>
      <c r="AB434" s="22" t="s">
        <v>3320</v>
      </c>
      <c r="AC434" s="19" t="s">
        <v>2758</v>
      </c>
      <c r="AD434" s="23" t="s">
        <v>23</v>
      </c>
      <c r="AE434" s="24"/>
    </row>
    <row r="435" spans="2:31" ht="39.950000000000003" customHeight="1" x14ac:dyDescent="0.3">
      <c r="B435" s="107">
        <v>25031</v>
      </c>
      <c r="C435" s="12">
        <f t="shared" si="22"/>
        <v>430</v>
      </c>
      <c r="D435" s="105" t="str">
        <f>IFERROR(" "&amp;VLOOKUP(B435,현장리스트!$B:$C,2,0),"-")</f>
        <v xml:space="preserve"> [4.롯데건설] 롯데바이오로직스 Project PROVIDENCE</v>
      </c>
      <c r="E435" s="13" t="s">
        <v>968</v>
      </c>
      <c r="F435" s="13" t="str">
        <f t="shared" ca="1" si="23"/>
        <v>53세</v>
      </c>
      <c r="G435" s="14" t="s">
        <v>1547</v>
      </c>
      <c r="H435" s="15" t="str">
        <f t="shared" si="24"/>
        <v>남</v>
      </c>
      <c r="I435" s="16" t="s">
        <v>899</v>
      </c>
      <c r="J435" s="16" t="s">
        <v>903</v>
      </c>
      <c r="K435" s="17">
        <v>6300000</v>
      </c>
      <c r="L435" s="18" t="s">
        <v>1548</v>
      </c>
      <c r="M435" s="19" t="s">
        <v>939</v>
      </c>
      <c r="N435" s="19" t="s">
        <v>918</v>
      </c>
      <c r="O435" s="20" t="s">
        <v>993</v>
      </c>
      <c r="P435" s="23" t="s">
        <v>25</v>
      </c>
      <c r="Q435" s="21" t="str">
        <f>VLOOKUP(C435,'2-1. 인사고과표(기능)'!B:AS,44,0)</f>
        <v>S</v>
      </c>
      <c r="R435" s="21" t="str">
        <f>VLOOKUP(C435,'2-2. 인사고과표(안전)'!B:AO,40,0)</f>
        <v>S</v>
      </c>
      <c r="S435" s="18" t="s">
        <v>2567</v>
      </c>
      <c r="T435" s="19"/>
      <c r="U435" s="19"/>
      <c r="V435" s="19"/>
      <c r="W435" s="19"/>
      <c r="X435" s="22"/>
      <c r="Y435" s="23"/>
      <c r="Z435" s="19"/>
      <c r="AA435" s="19" t="s">
        <v>3321</v>
      </c>
      <c r="AB435" s="22" t="s">
        <v>3322</v>
      </c>
      <c r="AC435" s="19" t="s">
        <v>3323</v>
      </c>
      <c r="AD435" s="23" t="s">
        <v>25</v>
      </c>
      <c r="AE435" s="24"/>
    </row>
    <row r="436" spans="2:31" ht="39.950000000000003" customHeight="1" x14ac:dyDescent="0.3">
      <c r="B436" s="107">
        <v>25031</v>
      </c>
      <c r="C436" s="12">
        <f t="shared" si="22"/>
        <v>431</v>
      </c>
      <c r="D436" s="105" t="str">
        <f>IFERROR(" "&amp;VLOOKUP(B436,현장리스트!$B:$C,2,0),"-")</f>
        <v xml:space="preserve"> [4.롯데건설] 롯데바이오로직스 Project PROVIDENCE</v>
      </c>
      <c r="E436" s="13" t="s">
        <v>2461</v>
      </c>
      <c r="F436" s="13" t="str">
        <f t="shared" ca="1" si="23"/>
        <v>61세</v>
      </c>
      <c r="G436" s="14" t="s">
        <v>2462</v>
      </c>
      <c r="H436" s="15" t="str">
        <f t="shared" si="24"/>
        <v>남</v>
      </c>
      <c r="I436" s="16" t="s">
        <v>899</v>
      </c>
      <c r="J436" s="16" t="s">
        <v>903</v>
      </c>
      <c r="K436" s="17">
        <v>210000</v>
      </c>
      <c r="L436" s="18" t="s">
        <v>2463</v>
      </c>
      <c r="M436" s="19" t="s">
        <v>987</v>
      </c>
      <c r="N436" s="19" t="s">
        <v>2868</v>
      </c>
      <c r="O436" s="20">
        <v>40</v>
      </c>
      <c r="P436" s="23" t="s">
        <v>25</v>
      </c>
      <c r="Q436" s="21" t="str">
        <f>VLOOKUP(C436,'2-1. 인사고과표(기능)'!B:AS,44,0)</f>
        <v>S</v>
      </c>
      <c r="R436" s="21" t="str">
        <f>VLOOKUP(C436,'2-2. 인사고과표(안전)'!B:AO,40,0)</f>
        <v>S</v>
      </c>
      <c r="S436" s="18"/>
      <c r="T436" s="19"/>
      <c r="U436" s="19"/>
      <c r="V436" s="19"/>
      <c r="W436" s="19"/>
      <c r="X436" s="22"/>
      <c r="Y436" s="23"/>
      <c r="Z436" s="19"/>
      <c r="AA436" s="19" t="s">
        <v>456</v>
      </c>
      <c r="AB436" s="22" t="s">
        <v>3320</v>
      </c>
      <c r="AC436" s="19" t="s">
        <v>2758</v>
      </c>
      <c r="AD436" s="23" t="s">
        <v>23</v>
      </c>
      <c r="AE436" s="24"/>
    </row>
    <row r="437" spans="2:31" ht="39.950000000000003" customHeight="1" x14ac:dyDescent="0.3">
      <c r="B437" s="107">
        <v>25031</v>
      </c>
      <c r="C437" s="12">
        <f t="shared" si="22"/>
        <v>432</v>
      </c>
      <c r="D437" s="105" t="str">
        <f>IFERROR(" "&amp;VLOOKUP(B437,현장리스트!$B:$C,2,0),"-")</f>
        <v xml:space="preserve"> [4.롯데건설] 롯데바이오로직스 Project PROVIDENCE</v>
      </c>
      <c r="E437" s="13" t="s">
        <v>2343</v>
      </c>
      <c r="F437" s="13" t="str">
        <f t="shared" ca="1" si="23"/>
        <v>31세</v>
      </c>
      <c r="G437" s="14" t="s">
        <v>2344</v>
      </c>
      <c r="H437" s="15" t="str">
        <f t="shared" si="24"/>
        <v>남</v>
      </c>
      <c r="I437" s="16" t="s">
        <v>899</v>
      </c>
      <c r="J437" s="16" t="s">
        <v>896</v>
      </c>
      <c r="K437" s="17">
        <v>3900000</v>
      </c>
      <c r="L437" s="18" t="s">
        <v>2345</v>
      </c>
      <c r="M437" s="19" t="s">
        <v>914</v>
      </c>
      <c r="N437" s="19" t="s">
        <v>2667</v>
      </c>
      <c r="O437" s="20">
        <v>4</v>
      </c>
      <c r="P437" s="23" t="s">
        <v>25</v>
      </c>
      <c r="Q437" s="21" t="str">
        <f>VLOOKUP(C437,'2-1. 인사고과표(기능)'!B:AS,44,0)</f>
        <v>A</v>
      </c>
      <c r="R437" s="21" t="str">
        <f>VLOOKUP(C437,'2-2. 인사고과표(안전)'!B:AO,40,0)</f>
        <v>S</v>
      </c>
      <c r="S437" s="18"/>
      <c r="T437" s="19"/>
      <c r="U437" s="19"/>
      <c r="V437" s="19"/>
      <c r="W437" s="19"/>
      <c r="X437" s="22"/>
      <c r="Y437" s="23"/>
      <c r="Z437" s="19"/>
      <c r="AA437" s="19" t="s">
        <v>3324</v>
      </c>
      <c r="AB437" s="22" t="s">
        <v>3325</v>
      </c>
      <c r="AC437" s="19" t="s">
        <v>2569</v>
      </c>
      <c r="AD437" s="23" t="s">
        <v>25</v>
      </c>
      <c r="AE437" s="24"/>
    </row>
    <row r="438" spans="2:31" ht="39.950000000000003" customHeight="1" x14ac:dyDescent="0.3">
      <c r="B438" s="107">
        <v>25031</v>
      </c>
      <c r="C438" s="12">
        <f t="shared" si="22"/>
        <v>433</v>
      </c>
      <c r="D438" s="105" t="str">
        <f>IFERROR(" "&amp;VLOOKUP(B438,현장리스트!$B:$C,2,0),"-")</f>
        <v xml:space="preserve"> [4.롯데건설] 롯데바이오로직스 Project PROVIDENCE</v>
      </c>
      <c r="E438" s="13" t="s">
        <v>1190</v>
      </c>
      <c r="F438" s="13" t="str">
        <f t="shared" ca="1" si="23"/>
        <v>27세</v>
      </c>
      <c r="G438" s="14" t="s">
        <v>1191</v>
      </c>
      <c r="H438" s="15" t="str">
        <f t="shared" si="24"/>
        <v>남</v>
      </c>
      <c r="I438" s="16" t="s">
        <v>895</v>
      </c>
      <c r="J438" s="16" t="s">
        <v>900</v>
      </c>
      <c r="K438" s="17">
        <v>4000000</v>
      </c>
      <c r="L438" s="18" t="s">
        <v>1193</v>
      </c>
      <c r="M438" s="19" t="s">
        <v>910</v>
      </c>
      <c r="N438" s="19" t="s">
        <v>995</v>
      </c>
      <c r="O438" s="20" t="s">
        <v>950</v>
      </c>
      <c r="P438" s="23" t="s">
        <v>25</v>
      </c>
      <c r="Q438" s="21" t="str">
        <f>VLOOKUP(C438,'2-1. 인사고과표(기능)'!B:AS,44,0)</f>
        <v>A</v>
      </c>
      <c r="R438" s="21" t="str">
        <f>VLOOKUP(C438,'2-2. 인사고과표(안전)'!B:AO,40,0)</f>
        <v>S</v>
      </c>
      <c r="S438" s="18"/>
      <c r="T438" s="19"/>
      <c r="U438" s="19"/>
      <c r="V438" s="19"/>
      <c r="W438" s="19"/>
      <c r="X438" s="22"/>
      <c r="Y438" s="23"/>
      <c r="Z438" s="19"/>
      <c r="AA438" s="19" t="s">
        <v>2563</v>
      </c>
      <c r="AB438" s="22" t="s">
        <v>3326</v>
      </c>
      <c r="AC438" s="19" t="s">
        <v>2558</v>
      </c>
      <c r="AD438" s="23" t="s">
        <v>25</v>
      </c>
      <c r="AE438" s="24"/>
    </row>
    <row r="439" spans="2:31" ht="39.950000000000003" customHeight="1" x14ac:dyDescent="0.3">
      <c r="B439" s="107">
        <v>25031</v>
      </c>
      <c r="C439" s="12">
        <f t="shared" si="22"/>
        <v>434</v>
      </c>
      <c r="D439" s="105" t="str">
        <f>IFERROR(" "&amp;VLOOKUP(B439,현장리스트!$B:$C,2,0),"-")</f>
        <v xml:space="preserve"> [4.롯데건설] 롯데바이오로직스 Project PROVIDENCE</v>
      </c>
      <c r="E439" s="13" t="s">
        <v>1121</v>
      </c>
      <c r="F439" s="13" t="str">
        <f t="shared" ca="1" si="23"/>
        <v>25세</v>
      </c>
      <c r="G439" s="14" t="s">
        <v>1123</v>
      </c>
      <c r="H439" s="15" t="str">
        <f t="shared" si="24"/>
        <v>남</v>
      </c>
      <c r="I439" s="16" t="s">
        <v>895</v>
      </c>
      <c r="J439" s="16" t="s">
        <v>900</v>
      </c>
      <c r="K439" s="17">
        <v>200000</v>
      </c>
      <c r="L439" s="18" t="s">
        <v>1124</v>
      </c>
      <c r="M439" s="19" t="s">
        <v>914</v>
      </c>
      <c r="N439" s="19" t="s">
        <v>3426</v>
      </c>
      <c r="O439" s="20">
        <v>3</v>
      </c>
      <c r="P439" s="23" t="s">
        <v>25</v>
      </c>
      <c r="Q439" s="21" t="str">
        <f>VLOOKUP(C439,'2-1. 인사고과표(기능)'!B:AS,44,0)</f>
        <v>A</v>
      </c>
      <c r="R439" s="21" t="str">
        <f>VLOOKUP(C439,'2-2. 인사고과표(안전)'!B:AO,40,0)</f>
        <v>S</v>
      </c>
      <c r="S439" s="18"/>
      <c r="T439" s="19"/>
      <c r="U439" s="19"/>
      <c r="V439" s="19"/>
      <c r="W439" s="19"/>
      <c r="X439" s="22"/>
      <c r="Y439" s="23"/>
      <c r="Z439" s="19"/>
      <c r="AA439" s="19" t="s">
        <v>456</v>
      </c>
      <c r="AB439" s="22" t="s">
        <v>3320</v>
      </c>
      <c r="AC439" s="19" t="s">
        <v>2758</v>
      </c>
      <c r="AD439" s="23" t="s">
        <v>23</v>
      </c>
      <c r="AE439" s="24"/>
    </row>
    <row r="440" spans="2:31" ht="39.950000000000003" customHeight="1" x14ac:dyDescent="0.3">
      <c r="B440" s="107">
        <v>25031</v>
      </c>
      <c r="C440" s="12">
        <f t="shared" si="22"/>
        <v>435</v>
      </c>
      <c r="D440" s="105" t="str">
        <f>IFERROR(" "&amp;VLOOKUP(B440,현장리스트!$B:$C,2,0),"-")</f>
        <v xml:space="preserve"> [4.롯데건설] 롯데바이오로직스 Project PROVIDENCE</v>
      </c>
      <c r="E440" s="13" t="s">
        <v>1107</v>
      </c>
      <c r="F440" s="13" t="str">
        <f t="shared" ca="1" si="23"/>
        <v>51세</v>
      </c>
      <c r="G440" s="14" t="s">
        <v>1108</v>
      </c>
      <c r="H440" s="15" t="str">
        <f t="shared" si="24"/>
        <v>여</v>
      </c>
      <c r="I440" s="16" t="s">
        <v>897</v>
      </c>
      <c r="J440" s="16" t="s">
        <v>896</v>
      </c>
      <c r="K440" s="17">
        <v>4500000</v>
      </c>
      <c r="L440" s="18" t="s">
        <v>1109</v>
      </c>
      <c r="M440" s="19" t="s">
        <v>910</v>
      </c>
      <c r="N440" s="19" t="s">
        <v>1012</v>
      </c>
      <c r="O440" s="20">
        <v>5</v>
      </c>
      <c r="P440" s="23" t="s">
        <v>25</v>
      </c>
      <c r="Q440" s="21" t="str">
        <f>VLOOKUP(C440,'2-1. 인사고과표(기능)'!B:AS,44,0)</f>
        <v>S</v>
      </c>
      <c r="R440" s="21" t="str">
        <f>VLOOKUP(C440,'2-2. 인사고과표(안전)'!B:AO,40,0)</f>
        <v>S</v>
      </c>
      <c r="S440" s="18"/>
      <c r="T440" s="19"/>
      <c r="U440" s="19"/>
      <c r="V440" s="19" t="s">
        <v>2567</v>
      </c>
      <c r="W440" s="19"/>
      <c r="X440" s="22"/>
      <c r="Y440" s="23"/>
      <c r="Z440" s="19"/>
      <c r="AA440" s="19" t="s">
        <v>3324</v>
      </c>
      <c r="AB440" s="22" t="s">
        <v>3327</v>
      </c>
      <c r="AC440" s="19" t="s">
        <v>3328</v>
      </c>
      <c r="AD440" s="23" t="s">
        <v>25</v>
      </c>
      <c r="AE440" s="24"/>
    </row>
    <row r="441" spans="2:31" ht="39.950000000000003" customHeight="1" x14ac:dyDescent="0.3">
      <c r="B441" s="107">
        <v>25031</v>
      </c>
      <c r="C441" s="12">
        <f t="shared" si="22"/>
        <v>436</v>
      </c>
      <c r="D441" s="105" t="str">
        <f>IFERROR(" "&amp;VLOOKUP(B441,현장리스트!$B:$C,2,0),"-")</f>
        <v xml:space="preserve"> [4.롯데건설] 롯데바이오로직스 Project PROVIDENCE</v>
      </c>
      <c r="E441" s="13" t="s">
        <v>2334</v>
      </c>
      <c r="F441" s="13" t="str">
        <f t="shared" ca="1" si="23"/>
        <v>32세</v>
      </c>
      <c r="G441" s="14" t="s">
        <v>2335</v>
      </c>
      <c r="H441" s="15" t="str">
        <f t="shared" si="24"/>
        <v>남</v>
      </c>
      <c r="I441" s="16" t="s">
        <v>897</v>
      </c>
      <c r="J441" s="16" t="s">
        <v>896</v>
      </c>
      <c r="K441" s="17">
        <v>4500000</v>
      </c>
      <c r="L441" s="18" t="s">
        <v>2336</v>
      </c>
      <c r="M441" s="19" t="s">
        <v>910</v>
      </c>
      <c r="N441" s="19" t="s">
        <v>1007</v>
      </c>
      <c r="O441" s="20">
        <v>4</v>
      </c>
      <c r="P441" s="23" t="s">
        <v>25</v>
      </c>
      <c r="Q441" s="21" t="str">
        <f>VLOOKUP(C441,'2-1. 인사고과표(기능)'!B:AS,44,0)</f>
        <v>A</v>
      </c>
      <c r="R441" s="21" t="str">
        <f>VLOOKUP(C441,'2-2. 인사고과표(안전)'!B:AO,40,0)</f>
        <v>S</v>
      </c>
      <c r="S441" s="18"/>
      <c r="T441" s="19"/>
      <c r="U441" s="19"/>
      <c r="V441" s="19" t="s">
        <v>2567</v>
      </c>
      <c r="W441" s="19"/>
      <c r="X441" s="22"/>
      <c r="Y441" s="23"/>
      <c r="Z441" s="19"/>
      <c r="AA441" s="19" t="s">
        <v>456</v>
      </c>
      <c r="AB441" s="22" t="s">
        <v>3329</v>
      </c>
      <c r="AC441" s="19" t="s">
        <v>3328</v>
      </c>
      <c r="AD441" s="23" t="s">
        <v>23</v>
      </c>
      <c r="AE441" s="24"/>
    </row>
    <row r="442" spans="2:31" ht="39.950000000000003" customHeight="1" x14ac:dyDescent="0.3">
      <c r="B442" s="107">
        <v>25031</v>
      </c>
      <c r="C442" s="12">
        <f t="shared" si="22"/>
        <v>437</v>
      </c>
      <c r="D442" s="105" t="str">
        <f>IFERROR(" "&amp;VLOOKUP(B442,현장리스트!$B:$C,2,0),"-")</f>
        <v xml:space="preserve"> [4.롯데건설] 롯데바이오로직스 Project PROVIDENCE</v>
      </c>
      <c r="E442" s="13" t="s">
        <v>2303</v>
      </c>
      <c r="F442" s="13" t="str">
        <f t="shared" ca="1" si="23"/>
        <v>28세</v>
      </c>
      <c r="G442" s="14" t="s">
        <v>2304</v>
      </c>
      <c r="H442" s="15" t="str">
        <f t="shared" si="24"/>
        <v>남</v>
      </c>
      <c r="I442" s="16" t="s">
        <v>897</v>
      </c>
      <c r="J442" s="16" t="s">
        <v>900</v>
      </c>
      <c r="K442" s="17">
        <v>3700000</v>
      </c>
      <c r="L442" s="18" t="s">
        <v>2305</v>
      </c>
      <c r="M442" s="19" t="s">
        <v>910</v>
      </c>
      <c r="N442" s="19" t="s">
        <v>995</v>
      </c>
      <c r="O442" s="20">
        <v>1</v>
      </c>
      <c r="P442" s="23" t="s">
        <v>25</v>
      </c>
      <c r="Q442" s="21" t="str">
        <f>VLOOKUP(C442,'2-1. 인사고과표(기능)'!B:AS,44,0)</f>
        <v>A</v>
      </c>
      <c r="R442" s="21" t="str">
        <f>VLOOKUP(C442,'2-2. 인사고과표(안전)'!B:AO,40,0)</f>
        <v>S</v>
      </c>
      <c r="S442" s="18"/>
      <c r="T442" s="19"/>
      <c r="U442" s="19"/>
      <c r="V442" s="19" t="s">
        <v>2567</v>
      </c>
      <c r="W442" s="19"/>
      <c r="X442" s="22"/>
      <c r="Y442" s="23"/>
      <c r="Z442" s="19"/>
      <c r="AA442" s="19"/>
      <c r="AB442" s="22"/>
      <c r="AC442" s="19"/>
      <c r="AD442" s="23"/>
      <c r="AE442" s="24"/>
    </row>
    <row r="443" spans="2:31" ht="39.950000000000003" customHeight="1" x14ac:dyDescent="0.3">
      <c r="B443" s="107">
        <v>25031</v>
      </c>
      <c r="C443" s="12">
        <f t="shared" si="22"/>
        <v>438</v>
      </c>
      <c r="D443" s="105" t="str">
        <f>IFERROR(" "&amp;VLOOKUP(B443,현장리스트!$B:$C,2,0),"-")</f>
        <v xml:space="preserve"> [4.롯데건설] 롯데바이오로직스 Project PROVIDENCE</v>
      </c>
      <c r="E443" s="13" t="s">
        <v>1403</v>
      </c>
      <c r="F443" s="13" t="str">
        <f t="shared" ca="1" si="23"/>
        <v>57세</v>
      </c>
      <c r="G443" s="14" t="s">
        <v>1404</v>
      </c>
      <c r="H443" s="15" t="str">
        <f t="shared" si="24"/>
        <v>남</v>
      </c>
      <c r="I443" s="16" t="s">
        <v>901</v>
      </c>
      <c r="J443" s="16" t="s">
        <v>30</v>
      </c>
      <c r="K443" s="17">
        <v>230000</v>
      </c>
      <c r="L443" s="18" t="s">
        <v>1405</v>
      </c>
      <c r="M443" s="19" t="s">
        <v>914</v>
      </c>
      <c r="N443" s="19" t="s">
        <v>2627</v>
      </c>
      <c r="O443" s="20" t="s">
        <v>1017</v>
      </c>
      <c r="P443" s="23" t="s">
        <v>25</v>
      </c>
      <c r="Q443" s="21" t="str">
        <f>VLOOKUP(C443,'2-1. 인사고과표(기능)'!B:AS,44,0)</f>
        <v>A</v>
      </c>
      <c r="R443" s="21" t="str">
        <f>VLOOKUP(C443,'2-2. 인사고과표(안전)'!B:AO,40,0)</f>
        <v>A</v>
      </c>
      <c r="S443" s="18"/>
      <c r="T443" s="19"/>
      <c r="U443" s="19"/>
      <c r="V443" s="19"/>
      <c r="W443" s="19"/>
      <c r="X443" s="22"/>
      <c r="Y443" s="23"/>
      <c r="Z443" s="19"/>
      <c r="AA443" s="19" t="s">
        <v>3330</v>
      </c>
      <c r="AB443" s="22" t="s">
        <v>3331</v>
      </c>
      <c r="AC443" s="19" t="s">
        <v>2758</v>
      </c>
      <c r="AD443" s="23" t="s">
        <v>28</v>
      </c>
      <c r="AE443" s="24" t="s">
        <v>3332</v>
      </c>
    </row>
    <row r="444" spans="2:31" ht="39.950000000000003" customHeight="1" x14ac:dyDescent="0.3">
      <c r="B444" s="107">
        <v>25031</v>
      </c>
      <c r="C444" s="12">
        <f t="shared" si="22"/>
        <v>439</v>
      </c>
      <c r="D444" s="105" t="str">
        <f>IFERROR(" "&amp;VLOOKUP(B444,현장리스트!$B:$C,2,0),"-")</f>
        <v xml:space="preserve"> [4.롯데건설] 롯데바이오로직스 Project PROVIDENCE</v>
      </c>
      <c r="E444" s="13" t="s">
        <v>1253</v>
      </c>
      <c r="F444" s="13" t="str">
        <f t="shared" ca="1" si="23"/>
        <v>49세</v>
      </c>
      <c r="G444" s="14" t="s">
        <v>1254</v>
      </c>
      <c r="H444" s="15" t="str">
        <f t="shared" si="24"/>
        <v>남</v>
      </c>
      <c r="I444" s="16" t="s">
        <v>901</v>
      </c>
      <c r="J444" s="16" t="s">
        <v>30</v>
      </c>
      <c r="K444" s="17">
        <v>230000</v>
      </c>
      <c r="L444" s="18" t="s">
        <v>1255</v>
      </c>
      <c r="M444" s="19" t="s">
        <v>2551</v>
      </c>
      <c r="N444" s="19" t="s">
        <v>3292</v>
      </c>
      <c r="O444" s="20" t="s">
        <v>2944</v>
      </c>
      <c r="P444" s="23" t="s">
        <v>25</v>
      </c>
      <c r="Q444" s="21" t="str">
        <f>VLOOKUP(C444,'2-1. 인사고과표(기능)'!B:AS,44,0)</f>
        <v>S</v>
      </c>
      <c r="R444" s="21" t="str">
        <f>VLOOKUP(C444,'2-2. 인사고과표(안전)'!B:AO,40,0)</f>
        <v>S</v>
      </c>
      <c r="S444" s="18"/>
      <c r="T444" s="19"/>
      <c r="U444" s="19"/>
      <c r="V444" s="19"/>
      <c r="W444" s="19"/>
      <c r="X444" s="22"/>
      <c r="Y444" s="23"/>
      <c r="Z444" s="19"/>
      <c r="AA444" s="19" t="s">
        <v>2563</v>
      </c>
      <c r="AB444" s="22" t="s">
        <v>3333</v>
      </c>
      <c r="AC444" s="19" t="s">
        <v>2714</v>
      </c>
      <c r="AD444" s="23" t="s">
        <v>25</v>
      </c>
      <c r="AE444" s="24"/>
    </row>
    <row r="445" spans="2:31" ht="39.950000000000003" customHeight="1" x14ac:dyDescent="0.3">
      <c r="B445" s="107">
        <v>25031</v>
      </c>
      <c r="C445" s="12">
        <f t="shared" si="22"/>
        <v>440</v>
      </c>
      <c r="D445" s="105" t="str">
        <f>IFERROR(" "&amp;VLOOKUP(B445,현장리스트!$B:$C,2,0),"-")</f>
        <v xml:space="preserve"> [4.롯데건설] 롯데바이오로직스 Project PROVIDENCE</v>
      </c>
      <c r="E445" s="13" t="s">
        <v>1165</v>
      </c>
      <c r="F445" s="13" t="str">
        <f t="shared" ca="1" si="23"/>
        <v>27세</v>
      </c>
      <c r="G445" s="14" t="s">
        <v>1166</v>
      </c>
      <c r="H445" s="15" t="str">
        <f t="shared" si="24"/>
        <v>남</v>
      </c>
      <c r="I445" s="16" t="s">
        <v>901</v>
      </c>
      <c r="J445" s="16" t="s">
        <v>902</v>
      </c>
      <c r="K445" s="17">
        <v>165000</v>
      </c>
      <c r="L445" s="18" t="s">
        <v>1167</v>
      </c>
      <c r="M445" s="19" t="s">
        <v>917</v>
      </c>
      <c r="N445" s="19" t="s">
        <v>3422</v>
      </c>
      <c r="O445" s="20">
        <v>3</v>
      </c>
      <c r="P445" s="23" t="s">
        <v>25</v>
      </c>
      <c r="Q445" s="21" t="str">
        <f>VLOOKUP(C445,'2-1. 인사고과표(기능)'!B:AS,44,0)</f>
        <v>A</v>
      </c>
      <c r="R445" s="21" t="str">
        <f>VLOOKUP(C445,'2-2. 인사고과표(안전)'!B:AO,40,0)</f>
        <v>S</v>
      </c>
      <c r="S445" s="18"/>
      <c r="T445" s="19"/>
      <c r="U445" s="19"/>
      <c r="V445" s="19"/>
      <c r="W445" s="19"/>
      <c r="X445" s="22"/>
      <c r="Y445" s="23"/>
      <c r="Z445" s="19"/>
      <c r="AA445" s="19" t="s">
        <v>2563</v>
      </c>
      <c r="AB445" s="22" t="s">
        <v>3333</v>
      </c>
      <c r="AC445" s="19" t="s">
        <v>2714</v>
      </c>
      <c r="AD445" s="23" t="s">
        <v>25</v>
      </c>
      <c r="AE445" s="24"/>
    </row>
    <row r="446" spans="2:31" ht="39.950000000000003" customHeight="1" x14ac:dyDescent="0.3">
      <c r="B446" s="107">
        <v>25031</v>
      </c>
      <c r="C446" s="12">
        <f t="shared" si="22"/>
        <v>441</v>
      </c>
      <c r="D446" s="105" t="str">
        <f>IFERROR(" "&amp;VLOOKUP(B446,현장리스트!$B:$C,2,0),"-")</f>
        <v xml:space="preserve"> [4.롯데건설] 롯데바이오로직스 Project PROVIDENCE</v>
      </c>
      <c r="E446" s="13" t="s">
        <v>1488</v>
      </c>
      <c r="F446" s="13" t="str">
        <f t="shared" ca="1" si="23"/>
        <v>33세</v>
      </c>
      <c r="G446" s="14" t="s">
        <v>1489</v>
      </c>
      <c r="H446" s="15" t="str">
        <f t="shared" si="24"/>
        <v>남</v>
      </c>
      <c r="I446" s="16" t="s">
        <v>901</v>
      </c>
      <c r="J446" s="16" t="s">
        <v>30</v>
      </c>
      <c r="K446" s="17">
        <v>165000</v>
      </c>
      <c r="L446" s="18" t="s">
        <v>1490</v>
      </c>
      <c r="M446" s="19" t="s">
        <v>987</v>
      </c>
      <c r="N446" s="19" t="s">
        <v>2737</v>
      </c>
      <c r="O446" s="20">
        <v>5</v>
      </c>
      <c r="P446" s="23" t="s">
        <v>25</v>
      </c>
      <c r="Q446" s="21" t="str">
        <f>VLOOKUP(C446,'2-1. 인사고과표(기능)'!B:AS,44,0)</f>
        <v>A</v>
      </c>
      <c r="R446" s="21" t="str">
        <f>VLOOKUP(C446,'2-2. 인사고과표(안전)'!B:AO,40,0)</f>
        <v>S</v>
      </c>
      <c r="S446" s="18"/>
      <c r="T446" s="19"/>
      <c r="U446" s="19"/>
      <c r="V446" s="19"/>
      <c r="W446" s="19"/>
      <c r="X446" s="22"/>
      <c r="Y446" s="23"/>
      <c r="Z446" s="19"/>
      <c r="AA446" s="19" t="s">
        <v>2563</v>
      </c>
      <c r="AB446" s="22" t="s">
        <v>3333</v>
      </c>
      <c r="AC446" s="19" t="s">
        <v>2714</v>
      </c>
      <c r="AD446" s="23" t="s">
        <v>25</v>
      </c>
      <c r="AE446" s="24"/>
    </row>
    <row r="447" spans="2:31" ht="39.950000000000003" customHeight="1" x14ac:dyDescent="0.3">
      <c r="B447" s="107">
        <v>25031</v>
      </c>
      <c r="C447" s="12">
        <f t="shared" si="22"/>
        <v>442</v>
      </c>
      <c r="D447" s="105" t="str">
        <f>IFERROR(" "&amp;VLOOKUP(B447,현장리스트!$B:$C,2,0),"-")</f>
        <v xml:space="preserve"> [4.롯데건설] 롯데바이오로직스 Project PROVIDENCE</v>
      </c>
      <c r="E447" s="13" t="s">
        <v>1969</v>
      </c>
      <c r="F447" s="13" t="str">
        <f t="shared" ca="1" si="23"/>
        <v>29세</v>
      </c>
      <c r="G447" s="14" t="s">
        <v>1970</v>
      </c>
      <c r="H447" s="15" t="str">
        <f t="shared" si="24"/>
        <v>남</v>
      </c>
      <c r="I447" s="16" t="s">
        <v>901</v>
      </c>
      <c r="J447" s="16" t="s">
        <v>30</v>
      </c>
      <c r="K447" s="17">
        <v>185000</v>
      </c>
      <c r="L447" s="18" t="s">
        <v>1971</v>
      </c>
      <c r="M447" s="19" t="s">
        <v>914</v>
      </c>
      <c r="N447" s="19" t="s">
        <v>3293</v>
      </c>
      <c r="O447" s="20">
        <v>7</v>
      </c>
      <c r="P447" s="23" t="s">
        <v>25</v>
      </c>
      <c r="Q447" s="21" t="str">
        <f>VLOOKUP(C447,'2-1. 인사고과표(기능)'!B:AS,44,0)</f>
        <v>A</v>
      </c>
      <c r="R447" s="21" t="str">
        <f>VLOOKUP(C447,'2-2. 인사고과표(안전)'!B:AO,40,0)</f>
        <v>S</v>
      </c>
      <c r="S447" s="18"/>
      <c r="T447" s="19"/>
      <c r="U447" s="19"/>
      <c r="V447" s="19"/>
      <c r="W447" s="19"/>
      <c r="X447" s="22"/>
      <c r="Y447" s="23"/>
      <c r="Z447" s="19"/>
      <c r="AA447" s="19" t="s">
        <v>2563</v>
      </c>
      <c r="AB447" s="22" t="s">
        <v>3333</v>
      </c>
      <c r="AC447" s="19" t="s">
        <v>2714</v>
      </c>
      <c r="AD447" s="23" t="s">
        <v>25</v>
      </c>
      <c r="AE447" s="24"/>
    </row>
    <row r="448" spans="2:31" ht="39.950000000000003" customHeight="1" x14ac:dyDescent="0.3">
      <c r="B448" s="107">
        <v>25031</v>
      </c>
      <c r="C448" s="12">
        <f t="shared" si="22"/>
        <v>443</v>
      </c>
      <c r="D448" s="105" t="str">
        <f>IFERROR(" "&amp;VLOOKUP(B448,현장리스트!$B:$C,2,0),"-")</f>
        <v xml:space="preserve"> [4.롯데건설] 롯데바이오로직스 Project PROVIDENCE</v>
      </c>
      <c r="E448" s="13" t="s">
        <v>2239</v>
      </c>
      <c r="F448" s="13" t="str">
        <f t="shared" ca="1" si="23"/>
        <v>27세</v>
      </c>
      <c r="G448" s="14" t="s">
        <v>2240</v>
      </c>
      <c r="H448" s="15" t="str">
        <f t="shared" si="24"/>
        <v>남</v>
      </c>
      <c r="I448" s="16" t="s">
        <v>901</v>
      </c>
      <c r="J448" s="16" t="s">
        <v>30</v>
      </c>
      <c r="K448" s="17">
        <v>160000</v>
      </c>
      <c r="L448" s="18" t="s">
        <v>2241</v>
      </c>
      <c r="M448" s="19" t="s">
        <v>917</v>
      </c>
      <c r="N448" s="19" t="s">
        <v>3294</v>
      </c>
      <c r="O448" s="20">
        <v>2</v>
      </c>
      <c r="P448" s="23" t="s">
        <v>25</v>
      </c>
      <c r="Q448" s="21" t="str">
        <f>VLOOKUP(C448,'2-1. 인사고과표(기능)'!B:AS,44,0)</f>
        <v>A</v>
      </c>
      <c r="R448" s="21" t="str">
        <f>VLOOKUP(C448,'2-2. 인사고과표(안전)'!B:AO,40,0)</f>
        <v>S</v>
      </c>
      <c r="S448" s="18"/>
      <c r="T448" s="19"/>
      <c r="U448" s="19"/>
      <c r="V448" s="19"/>
      <c r="W448" s="19"/>
      <c r="X448" s="22"/>
      <c r="Y448" s="23"/>
      <c r="Z448" s="19"/>
      <c r="AA448" s="19" t="s">
        <v>2563</v>
      </c>
      <c r="AB448" s="22" t="s">
        <v>3333</v>
      </c>
      <c r="AC448" s="19" t="s">
        <v>2714</v>
      </c>
      <c r="AD448" s="23" t="s">
        <v>25</v>
      </c>
      <c r="AE448" s="24"/>
    </row>
    <row r="449" spans="2:31" ht="39.950000000000003" customHeight="1" x14ac:dyDescent="0.3">
      <c r="B449" s="107">
        <v>25031</v>
      </c>
      <c r="C449" s="12">
        <f t="shared" si="22"/>
        <v>444</v>
      </c>
      <c r="D449" s="105" t="str">
        <f>IFERROR(" "&amp;VLOOKUP(B449,현장리스트!$B:$C,2,0),"-")</f>
        <v xml:space="preserve"> [4.롯데건설] 롯데바이오로직스 Project PROVIDENCE</v>
      </c>
      <c r="E449" s="13" t="s">
        <v>2312</v>
      </c>
      <c r="F449" s="13" t="str">
        <f t="shared" ca="1" si="23"/>
        <v>27세</v>
      </c>
      <c r="G449" s="14" t="s">
        <v>2313</v>
      </c>
      <c r="H449" s="15" t="str">
        <f t="shared" si="24"/>
        <v>남</v>
      </c>
      <c r="I449" s="16" t="s">
        <v>901</v>
      </c>
      <c r="J449" s="16" t="s">
        <v>30</v>
      </c>
      <c r="K449" s="17">
        <v>160000</v>
      </c>
      <c r="L449" s="18" t="s">
        <v>2314</v>
      </c>
      <c r="M449" s="19" t="s">
        <v>917</v>
      </c>
      <c r="N449" s="19" t="s">
        <v>3422</v>
      </c>
      <c r="O449" s="20" t="s">
        <v>950</v>
      </c>
      <c r="P449" s="23" t="s">
        <v>25</v>
      </c>
      <c r="Q449" s="21" t="str">
        <f>VLOOKUP(C449,'2-1. 인사고과표(기능)'!B:AS,44,0)</f>
        <v>A</v>
      </c>
      <c r="R449" s="21" t="str">
        <f>VLOOKUP(C449,'2-2. 인사고과표(안전)'!B:AO,40,0)</f>
        <v>S</v>
      </c>
      <c r="S449" s="18"/>
      <c r="T449" s="19"/>
      <c r="U449" s="19"/>
      <c r="V449" s="19"/>
      <c r="W449" s="19"/>
      <c r="X449" s="22"/>
      <c r="Y449" s="23"/>
      <c r="Z449" s="19"/>
      <c r="AA449" s="19" t="s">
        <v>2563</v>
      </c>
      <c r="AB449" s="22" t="s">
        <v>3333</v>
      </c>
      <c r="AC449" s="19" t="s">
        <v>2714</v>
      </c>
      <c r="AD449" s="23" t="s">
        <v>25</v>
      </c>
      <c r="AE449" s="24"/>
    </row>
    <row r="450" spans="2:31" ht="39.950000000000003" customHeight="1" x14ac:dyDescent="0.3">
      <c r="B450" s="107">
        <v>25031</v>
      </c>
      <c r="C450" s="12">
        <f t="shared" si="22"/>
        <v>445</v>
      </c>
      <c r="D450" s="105" t="str">
        <f>IFERROR(" "&amp;VLOOKUP(B450,현장리스트!$B:$C,2,0),"-")</f>
        <v xml:space="preserve"> [4.롯데건설] 롯데바이오로직스 Project PROVIDENCE</v>
      </c>
      <c r="E450" s="13" t="s">
        <v>1347</v>
      </c>
      <c r="F450" s="13" t="str">
        <f t="shared" ca="1" si="23"/>
        <v>35세</v>
      </c>
      <c r="G450" s="14" t="s">
        <v>1348</v>
      </c>
      <c r="H450" s="15" t="str">
        <f t="shared" si="24"/>
        <v>남</v>
      </c>
      <c r="I450" s="16" t="s">
        <v>901</v>
      </c>
      <c r="J450" s="16" t="s">
        <v>30</v>
      </c>
      <c r="K450" s="17">
        <v>230000</v>
      </c>
      <c r="L450" s="18" t="s">
        <v>1349</v>
      </c>
      <c r="M450" s="19" t="s">
        <v>914</v>
      </c>
      <c r="N450" s="19" t="s">
        <v>3293</v>
      </c>
      <c r="O450" s="20" t="s">
        <v>926</v>
      </c>
      <c r="P450" s="23" t="s">
        <v>25</v>
      </c>
      <c r="Q450" s="21" t="str">
        <f>VLOOKUP(C450,'2-1. 인사고과표(기능)'!B:AS,44,0)</f>
        <v>S</v>
      </c>
      <c r="R450" s="21" t="str">
        <f>VLOOKUP(C450,'2-2. 인사고과표(안전)'!B:AO,40,0)</f>
        <v>S</v>
      </c>
      <c r="S450" s="18"/>
      <c r="T450" s="19"/>
      <c r="U450" s="19"/>
      <c r="V450" s="19"/>
      <c r="W450" s="19"/>
      <c r="X450" s="22"/>
      <c r="Y450" s="23"/>
      <c r="Z450" s="19"/>
      <c r="AA450" s="19" t="s">
        <v>2576</v>
      </c>
      <c r="AB450" s="22" t="s">
        <v>3334</v>
      </c>
      <c r="AC450" s="19" t="s">
        <v>3026</v>
      </c>
      <c r="AD450" s="23" t="s">
        <v>27</v>
      </c>
      <c r="AE450" s="24"/>
    </row>
    <row r="451" spans="2:31" ht="39.950000000000003" customHeight="1" x14ac:dyDescent="0.3">
      <c r="B451" s="107">
        <v>25031</v>
      </c>
      <c r="C451" s="12">
        <f t="shared" si="22"/>
        <v>446</v>
      </c>
      <c r="D451" s="105" t="str">
        <f>IFERROR(" "&amp;VLOOKUP(B451,현장리스트!$B:$C,2,0),"-")</f>
        <v xml:space="preserve"> [4.롯데건설] 롯데바이오로직스 Project PROVIDENCE</v>
      </c>
      <c r="E451" s="13" t="s">
        <v>1195</v>
      </c>
      <c r="F451" s="13" t="str">
        <f t="shared" ca="1" si="23"/>
        <v>27세</v>
      </c>
      <c r="G451" s="14" t="s">
        <v>1196</v>
      </c>
      <c r="H451" s="15" t="str">
        <f t="shared" si="24"/>
        <v>남</v>
      </c>
      <c r="I451" s="16" t="s">
        <v>901</v>
      </c>
      <c r="J451" s="16" t="s">
        <v>30</v>
      </c>
      <c r="K451" s="17">
        <v>230000</v>
      </c>
      <c r="L451" s="18" t="s">
        <v>1197</v>
      </c>
      <c r="M451" s="19" t="s">
        <v>917</v>
      </c>
      <c r="N451" s="19" t="s">
        <v>2553</v>
      </c>
      <c r="O451" s="20">
        <v>3</v>
      </c>
      <c r="P451" s="23" t="s">
        <v>25</v>
      </c>
      <c r="Q451" s="21" t="str">
        <f>VLOOKUP(C451,'2-1. 인사고과표(기능)'!B:AS,44,0)</f>
        <v>A</v>
      </c>
      <c r="R451" s="21" t="str">
        <f>VLOOKUP(C451,'2-2. 인사고과표(안전)'!B:AO,40,0)</f>
        <v>S</v>
      </c>
      <c r="S451" s="18"/>
      <c r="T451" s="19"/>
      <c r="U451" s="19"/>
      <c r="V451" s="19"/>
      <c r="W451" s="19"/>
      <c r="X451" s="22"/>
      <c r="Y451" s="23"/>
      <c r="Z451" s="19"/>
      <c r="AA451" s="19" t="s">
        <v>2563</v>
      </c>
      <c r="AB451" s="22" t="s">
        <v>3335</v>
      </c>
      <c r="AC451" s="19" t="s">
        <v>2558</v>
      </c>
      <c r="AD451" s="23" t="s">
        <v>25</v>
      </c>
      <c r="AE451" s="24"/>
    </row>
    <row r="452" spans="2:31" ht="39.950000000000003" customHeight="1" x14ac:dyDescent="0.3">
      <c r="B452" s="107">
        <v>25031</v>
      </c>
      <c r="C452" s="12">
        <f t="shared" si="22"/>
        <v>447</v>
      </c>
      <c r="D452" s="105" t="str">
        <f>IFERROR(" "&amp;VLOOKUP(B452,현장리스트!$B:$C,2,0),"-")</f>
        <v xml:space="preserve"> [4.롯데건설] 롯데바이오로직스 Project PROVIDENCE</v>
      </c>
      <c r="E452" s="13" t="s">
        <v>1198</v>
      </c>
      <c r="F452" s="13" t="str">
        <f t="shared" ca="1" si="23"/>
        <v>36세</v>
      </c>
      <c r="G452" s="14" t="s">
        <v>1199</v>
      </c>
      <c r="H452" s="15" t="str">
        <f t="shared" si="24"/>
        <v>남</v>
      </c>
      <c r="I452" s="16" t="s">
        <v>901</v>
      </c>
      <c r="J452" s="16" t="s">
        <v>30</v>
      </c>
      <c r="K452" s="17">
        <v>230000</v>
      </c>
      <c r="L452" s="18" t="s">
        <v>1200</v>
      </c>
      <c r="M452" s="19" t="s">
        <v>2608</v>
      </c>
      <c r="N452" s="19" t="s">
        <v>3295</v>
      </c>
      <c r="O452" s="20">
        <v>9</v>
      </c>
      <c r="P452" s="23" t="s">
        <v>25</v>
      </c>
      <c r="Q452" s="21" t="str">
        <f>VLOOKUP(C452,'2-1. 인사고과표(기능)'!B:AS,44,0)</f>
        <v>A</v>
      </c>
      <c r="R452" s="21" t="str">
        <f>VLOOKUP(C452,'2-2. 인사고과표(안전)'!B:AO,40,0)</f>
        <v>S</v>
      </c>
      <c r="S452" s="18"/>
      <c r="T452" s="19"/>
      <c r="U452" s="19"/>
      <c r="V452" s="19"/>
      <c r="W452" s="19"/>
      <c r="X452" s="22"/>
      <c r="Y452" s="23"/>
      <c r="Z452" s="19"/>
      <c r="AA452" s="19" t="s">
        <v>2576</v>
      </c>
      <c r="AB452" s="22" t="s">
        <v>3334</v>
      </c>
      <c r="AC452" s="19" t="s">
        <v>3026</v>
      </c>
      <c r="AD452" s="23" t="s">
        <v>27</v>
      </c>
      <c r="AE452" s="24"/>
    </row>
    <row r="453" spans="2:31" ht="39.950000000000003" customHeight="1" x14ac:dyDescent="0.3">
      <c r="B453" s="107">
        <v>25031</v>
      </c>
      <c r="C453" s="12">
        <f t="shared" si="22"/>
        <v>448</v>
      </c>
      <c r="D453" s="105" t="str">
        <f>IFERROR(" "&amp;VLOOKUP(B453,현장리스트!$B:$C,2,0),"-")</f>
        <v xml:space="preserve"> [4.롯데건설] 롯데바이오로직스 Project PROVIDENCE</v>
      </c>
      <c r="E453" s="13" t="s">
        <v>1299</v>
      </c>
      <c r="F453" s="13" t="str">
        <f t="shared" ca="1" si="23"/>
        <v>35세</v>
      </c>
      <c r="G453" s="14" t="s">
        <v>1300</v>
      </c>
      <c r="H453" s="15" t="str">
        <f t="shared" si="24"/>
        <v>남</v>
      </c>
      <c r="I453" s="16" t="s">
        <v>901</v>
      </c>
      <c r="J453" s="16" t="s">
        <v>30</v>
      </c>
      <c r="K453" s="17">
        <v>160000</v>
      </c>
      <c r="L453" s="18" t="s">
        <v>1301</v>
      </c>
      <c r="M453" s="19" t="s">
        <v>910</v>
      </c>
      <c r="N453" s="19" t="s">
        <v>1007</v>
      </c>
      <c r="O453" s="20">
        <v>1</v>
      </c>
      <c r="P453" s="23" t="s">
        <v>25</v>
      </c>
      <c r="Q453" s="21" t="str">
        <f>VLOOKUP(C453,'2-1. 인사고과표(기능)'!B:AS,44,0)</f>
        <v>A</v>
      </c>
      <c r="R453" s="21" t="str">
        <f>VLOOKUP(C453,'2-2. 인사고과표(안전)'!B:AO,40,0)</f>
        <v>S</v>
      </c>
      <c r="S453" s="18"/>
      <c r="T453" s="19"/>
      <c r="U453" s="19"/>
      <c r="V453" s="19"/>
      <c r="W453" s="19"/>
      <c r="X453" s="22"/>
      <c r="Y453" s="23"/>
      <c r="Z453" s="19"/>
      <c r="AA453" s="19"/>
      <c r="AB453" s="22"/>
      <c r="AC453" s="19"/>
      <c r="AD453" s="23"/>
      <c r="AE453" s="24"/>
    </row>
    <row r="454" spans="2:31" ht="39.950000000000003" customHeight="1" x14ac:dyDescent="0.3">
      <c r="B454" s="107">
        <v>25031</v>
      </c>
      <c r="C454" s="12">
        <f t="shared" ref="C454:C517" si="25">ROW()-5</f>
        <v>449</v>
      </c>
      <c r="D454" s="105" t="str">
        <f>IFERROR(" "&amp;VLOOKUP(B454,현장리스트!$B:$C,2,0),"-")</f>
        <v xml:space="preserve"> [4.롯데건설] 롯데바이오로직스 Project PROVIDENCE</v>
      </c>
      <c r="E454" s="13" t="s">
        <v>2063</v>
      </c>
      <c r="F454" s="13" t="str">
        <f t="shared" ref="F454:F517" ca="1" si="26">IFERROR(DATEDIF(MID(G454,1,2)&amp;"-"&amp;MID(G454,3,2)&amp;"-"&amp;MID(G454,5,2),TODAY(),"y")&amp;"세","")</f>
        <v>52세</v>
      </c>
      <c r="G454" s="14" t="s">
        <v>2064</v>
      </c>
      <c r="H454" s="15" t="str">
        <f t="shared" ref="H454:H517" si="27">IF(G454="","",IF(LEN(G454)&lt;14,"에러",IF(LEN(G454)&lt;14,"에러",IF(ISODD(MID(G454,8,1)),"남","여"))))</f>
        <v>남</v>
      </c>
      <c r="I454" s="16" t="s">
        <v>901</v>
      </c>
      <c r="J454" s="16" t="s">
        <v>30</v>
      </c>
      <c r="K454" s="17">
        <v>230000</v>
      </c>
      <c r="L454" s="18" t="s">
        <v>2065</v>
      </c>
      <c r="M454" s="19" t="s">
        <v>987</v>
      </c>
      <c r="N454" s="19" t="s">
        <v>3296</v>
      </c>
      <c r="O454" s="20" t="s">
        <v>926</v>
      </c>
      <c r="P454" s="23" t="s">
        <v>25</v>
      </c>
      <c r="Q454" s="21" t="str">
        <f>VLOOKUP(C454,'2-1. 인사고과표(기능)'!B:AS,44,0)</f>
        <v>S</v>
      </c>
      <c r="R454" s="21" t="str">
        <f>VLOOKUP(C454,'2-2. 인사고과표(안전)'!B:AO,40,0)</f>
        <v>S</v>
      </c>
      <c r="S454" s="18"/>
      <c r="T454" s="19"/>
      <c r="U454" s="19"/>
      <c r="V454" s="19"/>
      <c r="W454" s="19"/>
      <c r="X454" s="22"/>
      <c r="Y454" s="23"/>
      <c r="Z454" s="19"/>
      <c r="AA454" s="19" t="s">
        <v>2576</v>
      </c>
      <c r="AB454" s="22" t="s">
        <v>3334</v>
      </c>
      <c r="AC454" s="19" t="s">
        <v>3026</v>
      </c>
      <c r="AD454" s="23" t="s">
        <v>27</v>
      </c>
      <c r="AE454" s="24"/>
    </row>
    <row r="455" spans="2:31" ht="39.950000000000003" customHeight="1" x14ac:dyDescent="0.3">
      <c r="B455" s="107">
        <v>25031</v>
      </c>
      <c r="C455" s="12">
        <f t="shared" si="25"/>
        <v>450</v>
      </c>
      <c r="D455" s="105" t="str">
        <f>IFERROR(" "&amp;VLOOKUP(B455,현장리스트!$B:$C,2,0),"-")</f>
        <v xml:space="preserve"> [4.롯데건설] 롯데바이오로직스 Project PROVIDENCE</v>
      </c>
      <c r="E455" s="13" t="s">
        <v>2066</v>
      </c>
      <c r="F455" s="13" t="str">
        <f t="shared" ca="1" si="26"/>
        <v>54세</v>
      </c>
      <c r="G455" s="14" t="s">
        <v>2067</v>
      </c>
      <c r="H455" s="15" t="str">
        <f t="shared" si="27"/>
        <v>남</v>
      </c>
      <c r="I455" s="16" t="s">
        <v>901</v>
      </c>
      <c r="J455" s="16" t="s">
        <v>30</v>
      </c>
      <c r="K455" s="17">
        <v>230000</v>
      </c>
      <c r="L455" s="18" t="s">
        <v>2068</v>
      </c>
      <c r="M455" s="19" t="s">
        <v>987</v>
      </c>
      <c r="N455" s="19" t="s">
        <v>3296</v>
      </c>
      <c r="O455" s="20" t="s">
        <v>2555</v>
      </c>
      <c r="P455" s="23" t="s">
        <v>25</v>
      </c>
      <c r="Q455" s="21" t="str">
        <f>VLOOKUP(C455,'2-1. 인사고과표(기능)'!B:AS,44,0)</f>
        <v>S</v>
      </c>
      <c r="R455" s="21" t="str">
        <f>VLOOKUP(C455,'2-2. 인사고과표(안전)'!B:AO,40,0)</f>
        <v>S</v>
      </c>
      <c r="S455" s="18"/>
      <c r="T455" s="19"/>
      <c r="U455" s="19"/>
      <c r="V455" s="19"/>
      <c r="W455" s="19"/>
      <c r="X455" s="22"/>
      <c r="Y455" s="23"/>
      <c r="Z455" s="19"/>
      <c r="AA455" s="19" t="s">
        <v>2576</v>
      </c>
      <c r="AB455" s="22" t="s">
        <v>3334</v>
      </c>
      <c r="AC455" s="19" t="s">
        <v>3026</v>
      </c>
      <c r="AD455" s="23" t="s">
        <v>27</v>
      </c>
      <c r="AE455" s="24"/>
    </row>
    <row r="456" spans="2:31" ht="39.950000000000003" customHeight="1" x14ac:dyDescent="0.3">
      <c r="B456" s="107">
        <v>25031</v>
      </c>
      <c r="C456" s="12">
        <f t="shared" si="25"/>
        <v>451</v>
      </c>
      <c r="D456" s="105" t="str">
        <f>IFERROR(" "&amp;VLOOKUP(B456,현장리스트!$B:$C,2,0),"-")</f>
        <v xml:space="preserve"> [4.롯데건설] 롯데바이오로직스 Project PROVIDENCE</v>
      </c>
      <c r="E456" s="13" t="s">
        <v>2079</v>
      </c>
      <c r="F456" s="13" t="str">
        <f t="shared" ca="1" si="26"/>
        <v>32세</v>
      </c>
      <c r="G456" s="14" t="s">
        <v>2080</v>
      </c>
      <c r="H456" s="15" t="str">
        <f t="shared" si="27"/>
        <v>남</v>
      </c>
      <c r="I456" s="16" t="s">
        <v>901</v>
      </c>
      <c r="J456" s="16" t="s">
        <v>30</v>
      </c>
      <c r="K456" s="17">
        <v>230000</v>
      </c>
      <c r="L456" s="18" t="s">
        <v>2081</v>
      </c>
      <c r="M456" s="19" t="s">
        <v>2618</v>
      </c>
      <c r="N456" s="19" t="s">
        <v>3297</v>
      </c>
      <c r="O456" s="20">
        <v>5</v>
      </c>
      <c r="P456" s="23" t="s">
        <v>25</v>
      </c>
      <c r="Q456" s="21" t="str">
        <f>VLOOKUP(C456,'2-1. 인사고과표(기능)'!B:AS,44,0)</f>
        <v>A</v>
      </c>
      <c r="R456" s="21" t="str">
        <f>VLOOKUP(C456,'2-2. 인사고과표(안전)'!B:AO,40,0)</f>
        <v>S</v>
      </c>
      <c r="S456" s="18"/>
      <c r="T456" s="19"/>
      <c r="U456" s="19"/>
      <c r="V456" s="19"/>
      <c r="W456" s="19"/>
      <c r="X456" s="22"/>
      <c r="Y456" s="23"/>
      <c r="Z456" s="19"/>
      <c r="AA456" s="19" t="s">
        <v>2563</v>
      </c>
      <c r="AB456" s="22" t="s">
        <v>3336</v>
      </c>
      <c r="AC456" s="19" t="s">
        <v>3337</v>
      </c>
      <c r="AD456" s="23" t="s">
        <v>25</v>
      </c>
      <c r="AE456" s="24"/>
    </row>
    <row r="457" spans="2:31" ht="39.950000000000003" customHeight="1" x14ac:dyDescent="0.3">
      <c r="B457" s="107">
        <v>25031</v>
      </c>
      <c r="C457" s="12">
        <f t="shared" si="25"/>
        <v>452</v>
      </c>
      <c r="D457" s="105" t="str">
        <f>IFERROR(" "&amp;VLOOKUP(B457,현장리스트!$B:$C,2,0),"-")</f>
        <v xml:space="preserve"> [4.롯데건설] 롯데바이오로직스 Project PROVIDENCE</v>
      </c>
      <c r="E457" s="13" t="s">
        <v>2087</v>
      </c>
      <c r="F457" s="13" t="str">
        <f t="shared" ca="1" si="26"/>
        <v>48세</v>
      </c>
      <c r="G457" s="14" t="s">
        <v>2088</v>
      </c>
      <c r="H457" s="15" t="str">
        <f t="shared" si="27"/>
        <v>남</v>
      </c>
      <c r="I457" s="16" t="s">
        <v>901</v>
      </c>
      <c r="J457" s="16" t="s">
        <v>30</v>
      </c>
      <c r="K457" s="17">
        <v>230000</v>
      </c>
      <c r="L457" s="18" t="s">
        <v>2089</v>
      </c>
      <c r="M457" s="19" t="s">
        <v>2618</v>
      </c>
      <c r="N457" s="19" t="s">
        <v>3298</v>
      </c>
      <c r="O457" s="20">
        <v>10</v>
      </c>
      <c r="P457" s="23" t="s">
        <v>23</v>
      </c>
      <c r="Q457" s="21" t="str">
        <f>VLOOKUP(C457,'2-1. 인사고과표(기능)'!B:AS,44,0)</f>
        <v>A</v>
      </c>
      <c r="R457" s="21" t="str">
        <f>VLOOKUP(C457,'2-2. 인사고과표(안전)'!B:AO,40,0)</f>
        <v>S</v>
      </c>
      <c r="S457" s="18"/>
      <c r="T457" s="19"/>
      <c r="U457" s="19"/>
      <c r="V457" s="19"/>
      <c r="W457" s="19"/>
      <c r="X457" s="22"/>
      <c r="Y457" s="23"/>
      <c r="Z457" s="19"/>
      <c r="AA457" s="19" t="s">
        <v>497</v>
      </c>
      <c r="AB457" s="22" t="s">
        <v>3338</v>
      </c>
      <c r="AC457" s="19" t="s">
        <v>3339</v>
      </c>
      <c r="AD457" s="23" t="s">
        <v>23</v>
      </c>
      <c r="AE457" s="24"/>
    </row>
    <row r="458" spans="2:31" ht="39.950000000000003" customHeight="1" x14ac:dyDescent="0.3">
      <c r="B458" s="107">
        <v>25031</v>
      </c>
      <c r="C458" s="12">
        <f t="shared" si="25"/>
        <v>453</v>
      </c>
      <c r="D458" s="105" t="str">
        <f>IFERROR(" "&amp;VLOOKUP(B458,현장리스트!$B:$C,2,0),"-")</f>
        <v xml:space="preserve"> [4.롯데건설] 롯데바이오로직스 Project PROVIDENCE</v>
      </c>
      <c r="E458" s="13" t="s">
        <v>1604</v>
      </c>
      <c r="F458" s="13" t="str">
        <f t="shared" ca="1" si="26"/>
        <v>53세</v>
      </c>
      <c r="G458" s="14" t="s">
        <v>1605</v>
      </c>
      <c r="H458" s="15" t="str">
        <f t="shared" si="27"/>
        <v>남</v>
      </c>
      <c r="I458" s="16" t="s">
        <v>901</v>
      </c>
      <c r="J458" s="16" t="s">
        <v>30</v>
      </c>
      <c r="K458" s="17">
        <v>230000</v>
      </c>
      <c r="L458" s="18" t="s">
        <v>1606</v>
      </c>
      <c r="M458" s="19" t="s">
        <v>2692</v>
      </c>
      <c r="N458" s="19" t="s">
        <v>3412</v>
      </c>
      <c r="O458" s="20">
        <v>23</v>
      </c>
      <c r="P458" s="23" t="s">
        <v>25</v>
      </c>
      <c r="Q458" s="21" t="str">
        <f>VLOOKUP(C458,'2-1. 인사고과표(기능)'!B:AS,44,0)</f>
        <v>A</v>
      </c>
      <c r="R458" s="21" t="str">
        <f>VLOOKUP(C458,'2-2. 인사고과표(안전)'!B:AO,40,0)</f>
        <v>S</v>
      </c>
      <c r="S458" s="18"/>
      <c r="T458" s="19"/>
      <c r="U458" s="19"/>
      <c r="V458" s="19"/>
      <c r="W458" s="19"/>
      <c r="X458" s="22"/>
      <c r="Y458" s="23"/>
      <c r="Z458" s="19"/>
      <c r="AA458" s="19" t="s">
        <v>3324</v>
      </c>
      <c r="AB458" s="22" t="s">
        <v>3340</v>
      </c>
      <c r="AC458" s="19" t="s">
        <v>2569</v>
      </c>
      <c r="AD458" s="23" t="s">
        <v>25</v>
      </c>
      <c r="AE458" s="24"/>
    </row>
    <row r="459" spans="2:31" ht="39.950000000000003" customHeight="1" x14ac:dyDescent="0.3">
      <c r="B459" s="107">
        <v>25031</v>
      </c>
      <c r="C459" s="12">
        <f t="shared" si="25"/>
        <v>454</v>
      </c>
      <c r="D459" s="105" t="str">
        <f>IFERROR(" "&amp;VLOOKUP(B459,현장리스트!$B:$C,2,0),"-")</f>
        <v xml:space="preserve"> [4.롯데건설] 롯데바이오로직스 Project PROVIDENCE</v>
      </c>
      <c r="E459" s="13" t="s">
        <v>1088</v>
      </c>
      <c r="F459" s="13" t="str">
        <f t="shared" ca="1" si="26"/>
        <v>54세</v>
      </c>
      <c r="G459" s="14" t="s">
        <v>1089</v>
      </c>
      <c r="H459" s="15" t="str">
        <f t="shared" si="27"/>
        <v>남</v>
      </c>
      <c r="I459" s="16" t="s">
        <v>901</v>
      </c>
      <c r="J459" s="16" t="s">
        <v>30</v>
      </c>
      <c r="K459" s="17">
        <v>200000</v>
      </c>
      <c r="L459" s="18" t="s">
        <v>1090</v>
      </c>
      <c r="M459" s="19" t="s">
        <v>2608</v>
      </c>
      <c r="N459" s="19" t="s">
        <v>2519</v>
      </c>
      <c r="O459" s="20">
        <v>18</v>
      </c>
      <c r="P459" s="23" t="s">
        <v>25</v>
      </c>
      <c r="Q459" s="21" t="str">
        <f>VLOOKUP(C459,'2-1. 인사고과표(기능)'!B:AS,44,0)</f>
        <v>A</v>
      </c>
      <c r="R459" s="21" t="str">
        <f>VLOOKUP(C459,'2-2. 인사고과표(안전)'!B:AO,40,0)</f>
        <v>S</v>
      </c>
      <c r="S459" s="18"/>
      <c r="T459" s="19"/>
      <c r="U459" s="19"/>
      <c r="V459" s="19"/>
      <c r="W459" s="19"/>
      <c r="X459" s="22"/>
      <c r="Y459" s="23"/>
      <c r="Z459" s="19"/>
      <c r="AA459" s="19" t="s">
        <v>2701</v>
      </c>
      <c r="AB459" s="22" t="s">
        <v>3341</v>
      </c>
      <c r="AC459" s="19" t="s">
        <v>3342</v>
      </c>
      <c r="AD459" s="23" t="s">
        <v>25</v>
      </c>
      <c r="AE459" s="24"/>
    </row>
    <row r="460" spans="2:31" ht="39.950000000000003" customHeight="1" x14ac:dyDescent="0.3">
      <c r="B460" s="107">
        <v>25031</v>
      </c>
      <c r="C460" s="12">
        <f t="shared" si="25"/>
        <v>455</v>
      </c>
      <c r="D460" s="105" t="str">
        <f>IFERROR(" "&amp;VLOOKUP(B460,현장리스트!$B:$C,2,0),"-")</f>
        <v xml:space="preserve"> [4.롯데건설] 롯데바이오로직스 Project PROVIDENCE</v>
      </c>
      <c r="E460" s="13" t="s">
        <v>1217</v>
      </c>
      <c r="F460" s="13" t="str">
        <f t="shared" ca="1" si="26"/>
        <v>39세</v>
      </c>
      <c r="G460" s="14" t="s">
        <v>1218</v>
      </c>
      <c r="H460" s="15" t="str">
        <f t="shared" si="27"/>
        <v>남</v>
      </c>
      <c r="I460" s="16" t="s">
        <v>901</v>
      </c>
      <c r="J460" s="16" t="s">
        <v>30</v>
      </c>
      <c r="K460" s="17">
        <v>170000</v>
      </c>
      <c r="L460" s="18" t="s">
        <v>1219</v>
      </c>
      <c r="M460" s="19" t="s">
        <v>910</v>
      </c>
      <c r="N460" s="19" t="s">
        <v>1001</v>
      </c>
      <c r="O460" s="20">
        <v>6</v>
      </c>
      <c r="P460" s="23" t="s">
        <v>25</v>
      </c>
      <c r="Q460" s="21" t="str">
        <f>VLOOKUP(C460,'2-1. 인사고과표(기능)'!B:AS,44,0)</f>
        <v>A</v>
      </c>
      <c r="R460" s="21" t="str">
        <f>VLOOKUP(C460,'2-2. 인사고과표(안전)'!B:AO,40,0)</f>
        <v>S</v>
      </c>
      <c r="S460" s="18"/>
      <c r="T460" s="19"/>
      <c r="U460" s="19"/>
      <c r="V460" s="19"/>
      <c r="W460" s="19"/>
      <c r="X460" s="22"/>
      <c r="Y460" s="23"/>
      <c r="Z460" s="19"/>
      <c r="AA460" s="19" t="s">
        <v>2701</v>
      </c>
      <c r="AB460" s="22" t="s">
        <v>3341</v>
      </c>
      <c r="AC460" s="19" t="s">
        <v>3342</v>
      </c>
      <c r="AD460" s="23" t="s">
        <v>25</v>
      </c>
      <c r="AE460" s="24"/>
    </row>
    <row r="461" spans="2:31" ht="39.950000000000003" customHeight="1" x14ac:dyDescent="0.3">
      <c r="B461" s="107">
        <v>25031</v>
      </c>
      <c r="C461" s="12">
        <f t="shared" si="25"/>
        <v>456</v>
      </c>
      <c r="D461" s="105" t="str">
        <f>IFERROR(" "&amp;VLOOKUP(B461,현장리스트!$B:$C,2,0),"-")</f>
        <v xml:space="preserve"> [4.롯데건설] 롯데바이오로직스 Project PROVIDENCE</v>
      </c>
      <c r="E461" s="13" t="s">
        <v>1813</v>
      </c>
      <c r="F461" s="13" t="str">
        <f t="shared" ca="1" si="26"/>
        <v>34세</v>
      </c>
      <c r="G461" s="14" t="s">
        <v>1814</v>
      </c>
      <c r="H461" s="15" t="str">
        <f t="shared" si="27"/>
        <v>남</v>
      </c>
      <c r="I461" s="16" t="s">
        <v>901</v>
      </c>
      <c r="J461" s="16" t="s">
        <v>30</v>
      </c>
      <c r="K461" s="17">
        <v>195000</v>
      </c>
      <c r="L461" s="18" t="s">
        <v>1815</v>
      </c>
      <c r="M461" s="19" t="s">
        <v>910</v>
      </c>
      <c r="N461" s="19" t="s">
        <v>1001</v>
      </c>
      <c r="O461" s="20">
        <v>6</v>
      </c>
      <c r="P461" s="23" t="s">
        <v>25</v>
      </c>
      <c r="Q461" s="21" t="str">
        <f>VLOOKUP(C461,'2-1. 인사고과표(기능)'!B:AS,44,0)</f>
        <v>A</v>
      </c>
      <c r="R461" s="21" t="str">
        <f>VLOOKUP(C461,'2-2. 인사고과표(안전)'!B:AO,40,0)</f>
        <v>S</v>
      </c>
      <c r="S461" s="18"/>
      <c r="T461" s="19"/>
      <c r="U461" s="19"/>
      <c r="V461" s="19"/>
      <c r="W461" s="19"/>
      <c r="X461" s="22"/>
      <c r="Y461" s="23"/>
      <c r="Z461" s="19"/>
      <c r="AA461" s="19" t="s">
        <v>3324</v>
      </c>
      <c r="AB461" s="22" t="s">
        <v>3340</v>
      </c>
      <c r="AC461" s="19" t="s">
        <v>2569</v>
      </c>
      <c r="AD461" s="23" t="s">
        <v>25</v>
      </c>
      <c r="AE461" s="24"/>
    </row>
    <row r="462" spans="2:31" ht="39.950000000000003" customHeight="1" x14ac:dyDescent="0.3">
      <c r="B462" s="107">
        <v>25031</v>
      </c>
      <c r="C462" s="12">
        <f t="shared" si="25"/>
        <v>457</v>
      </c>
      <c r="D462" s="105" t="str">
        <f>IFERROR(" "&amp;VLOOKUP(B462,현장리스트!$B:$C,2,0),"-")</f>
        <v xml:space="preserve"> [4.롯데건설] 롯데바이오로직스 Project PROVIDENCE</v>
      </c>
      <c r="E462" s="13" t="s">
        <v>2318</v>
      </c>
      <c r="F462" s="13" t="str">
        <f t="shared" ca="1" si="26"/>
        <v>29세</v>
      </c>
      <c r="G462" s="14" t="s">
        <v>2319</v>
      </c>
      <c r="H462" s="15" t="str">
        <f t="shared" si="27"/>
        <v>남</v>
      </c>
      <c r="I462" s="16" t="s">
        <v>901</v>
      </c>
      <c r="J462" s="16" t="s">
        <v>30</v>
      </c>
      <c r="K462" s="17">
        <v>165000</v>
      </c>
      <c r="L462" s="18" t="s">
        <v>2320</v>
      </c>
      <c r="M462" s="19" t="s">
        <v>910</v>
      </c>
      <c r="N462" s="19" t="s">
        <v>1012</v>
      </c>
      <c r="O462" s="20">
        <v>4</v>
      </c>
      <c r="P462" s="23" t="s">
        <v>25</v>
      </c>
      <c r="Q462" s="21" t="str">
        <f>VLOOKUP(C462,'2-1. 인사고과표(기능)'!B:AS,44,0)</f>
        <v>A</v>
      </c>
      <c r="R462" s="21" t="str">
        <f>VLOOKUP(C462,'2-2. 인사고과표(안전)'!B:AO,40,0)</f>
        <v>S</v>
      </c>
      <c r="S462" s="18"/>
      <c r="T462" s="19"/>
      <c r="U462" s="19"/>
      <c r="V462" s="19"/>
      <c r="W462" s="19"/>
      <c r="X462" s="22"/>
      <c r="Y462" s="23"/>
      <c r="Z462" s="19"/>
      <c r="AA462" s="19" t="s">
        <v>3324</v>
      </c>
      <c r="AB462" s="22" t="s">
        <v>3340</v>
      </c>
      <c r="AC462" s="19" t="s">
        <v>2569</v>
      </c>
      <c r="AD462" s="23" t="s">
        <v>25</v>
      </c>
      <c r="AE462" s="24"/>
    </row>
    <row r="463" spans="2:31" ht="39.950000000000003" customHeight="1" x14ac:dyDescent="0.3">
      <c r="B463" s="107">
        <v>25031</v>
      </c>
      <c r="C463" s="12">
        <f t="shared" si="25"/>
        <v>458</v>
      </c>
      <c r="D463" s="105" t="str">
        <f>IFERROR(" "&amp;VLOOKUP(B463,현장리스트!$B:$C,2,0),"-")</f>
        <v xml:space="preserve"> [4.롯데건설] 롯데바이오로직스 Project PROVIDENCE</v>
      </c>
      <c r="E463" s="13" t="s">
        <v>3266</v>
      </c>
      <c r="F463" s="13" t="str">
        <f t="shared" ca="1" si="26"/>
        <v>36세</v>
      </c>
      <c r="G463" s="14" t="s">
        <v>3276</v>
      </c>
      <c r="H463" s="15" t="str">
        <f t="shared" si="27"/>
        <v>남</v>
      </c>
      <c r="I463" s="16" t="s">
        <v>901</v>
      </c>
      <c r="J463" s="16" t="s">
        <v>30</v>
      </c>
      <c r="K463" s="17">
        <v>165000</v>
      </c>
      <c r="L463" s="18" t="s">
        <v>3299</v>
      </c>
      <c r="M463" s="19" t="s">
        <v>914</v>
      </c>
      <c r="N463" s="19" t="s">
        <v>3019</v>
      </c>
      <c r="O463" s="20">
        <v>5</v>
      </c>
      <c r="P463" s="23" t="s">
        <v>25</v>
      </c>
      <c r="Q463" s="21" t="str">
        <f>VLOOKUP(C463,'2-1. 인사고과표(기능)'!B:AS,44,0)</f>
        <v>A</v>
      </c>
      <c r="R463" s="21" t="str">
        <f>VLOOKUP(C463,'2-2. 인사고과표(안전)'!B:AO,40,0)</f>
        <v>S</v>
      </c>
      <c r="S463" s="18"/>
      <c r="T463" s="19"/>
      <c r="U463" s="19"/>
      <c r="V463" s="19"/>
      <c r="W463" s="19"/>
      <c r="X463" s="22"/>
      <c r="Y463" s="23"/>
      <c r="Z463" s="19"/>
      <c r="AA463" s="19" t="s">
        <v>3324</v>
      </c>
      <c r="AB463" s="22" t="s">
        <v>3340</v>
      </c>
      <c r="AC463" s="19" t="s">
        <v>2569</v>
      </c>
      <c r="AD463" s="23" t="s">
        <v>25</v>
      </c>
      <c r="AE463" s="24"/>
    </row>
    <row r="464" spans="2:31" ht="39.950000000000003" customHeight="1" x14ac:dyDescent="0.3">
      <c r="B464" s="107">
        <v>25031</v>
      </c>
      <c r="C464" s="12">
        <f t="shared" si="25"/>
        <v>459</v>
      </c>
      <c r="D464" s="105" t="str">
        <f>IFERROR(" "&amp;VLOOKUP(B464,현장리스트!$B:$C,2,0),"-")</f>
        <v xml:space="preserve"> [4.롯데건설] 롯데바이오로직스 Project PROVIDENCE</v>
      </c>
      <c r="E464" s="13" t="s">
        <v>1783</v>
      </c>
      <c r="F464" s="13" t="str">
        <f t="shared" ca="1" si="26"/>
        <v>58세</v>
      </c>
      <c r="G464" s="14" t="s">
        <v>1784</v>
      </c>
      <c r="H464" s="15" t="str">
        <f t="shared" si="27"/>
        <v>남</v>
      </c>
      <c r="I464" s="16" t="s">
        <v>901</v>
      </c>
      <c r="J464" s="16" t="s">
        <v>30</v>
      </c>
      <c r="K464" s="17">
        <v>230000</v>
      </c>
      <c r="L464" s="18" t="s">
        <v>1785</v>
      </c>
      <c r="M464" s="19" t="s">
        <v>2670</v>
      </c>
      <c r="N464" s="19" t="s">
        <v>3427</v>
      </c>
      <c r="O464" s="20">
        <v>20</v>
      </c>
      <c r="P464" s="23" t="s">
        <v>23</v>
      </c>
      <c r="Q464" s="21" t="str">
        <f>VLOOKUP(C464,'2-1. 인사고과표(기능)'!B:AS,44,0)</f>
        <v>A</v>
      </c>
      <c r="R464" s="21" t="str">
        <f>VLOOKUP(C464,'2-2. 인사고과표(안전)'!B:AO,40,0)</f>
        <v>S</v>
      </c>
      <c r="S464" s="18"/>
      <c r="T464" s="19"/>
      <c r="U464" s="19"/>
      <c r="V464" s="19"/>
      <c r="W464" s="19" t="s">
        <v>456</v>
      </c>
      <c r="X464" s="22" t="s">
        <v>3343</v>
      </c>
      <c r="Y464" s="23" t="s">
        <v>23</v>
      </c>
      <c r="Z464" s="19"/>
      <c r="AA464" s="19"/>
      <c r="AB464" s="22"/>
      <c r="AC464" s="19"/>
      <c r="AD464" s="23"/>
      <c r="AE464" s="24"/>
    </row>
    <row r="465" spans="2:31" ht="39.950000000000003" customHeight="1" x14ac:dyDescent="0.3">
      <c r="B465" s="107">
        <v>25031</v>
      </c>
      <c r="C465" s="12">
        <f t="shared" si="25"/>
        <v>460</v>
      </c>
      <c r="D465" s="105" t="str">
        <f>IFERROR(" "&amp;VLOOKUP(B465,현장리스트!$B:$C,2,0),"-")</f>
        <v xml:space="preserve"> [4.롯데건설] 롯데바이오로직스 Project PROVIDENCE</v>
      </c>
      <c r="E465" s="13" t="s">
        <v>2242</v>
      </c>
      <c r="F465" s="13" t="str">
        <f t="shared" ca="1" si="26"/>
        <v>43세</v>
      </c>
      <c r="G465" s="14" t="s">
        <v>2243</v>
      </c>
      <c r="H465" s="15" t="str">
        <f t="shared" si="27"/>
        <v>남</v>
      </c>
      <c r="I465" s="16" t="s">
        <v>901</v>
      </c>
      <c r="J465" s="16" t="s">
        <v>30</v>
      </c>
      <c r="K465" s="17">
        <v>190000</v>
      </c>
      <c r="L465" s="18" t="s">
        <v>2244</v>
      </c>
      <c r="M465" s="19" t="s">
        <v>910</v>
      </c>
      <c r="N465" s="19" t="s">
        <v>995</v>
      </c>
      <c r="O465" s="20">
        <v>8</v>
      </c>
      <c r="P465" s="23" t="s">
        <v>25</v>
      </c>
      <c r="Q465" s="21" t="str">
        <f>VLOOKUP(C465,'2-1. 인사고과표(기능)'!B:AS,44,0)</f>
        <v>A</v>
      </c>
      <c r="R465" s="21" t="str">
        <f>VLOOKUP(C465,'2-2. 인사고과표(안전)'!B:AO,40,0)</f>
        <v>S</v>
      </c>
      <c r="S465" s="18"/>
      <c r="T465" s="19"/>
      <c r="U465" s="19"/>
      <c r="V465" s="19"/>
      <c r="W465" s="19"/>
      <c r="X465" s="22"/>
      <c r="Y465" s="23"/>
      <c r="Z465" s="19"/>
      <c r="AA465" s="19" t="s">
        <v>3344</v>
      </c>
      <c r="AB465" s="22" t="s">
        <v>3345</v>
      </c>
      <c r="AC465" s="19" t="s">
        <v>3344</v>
      </c>
      <c r="AD465" s="23" t="s">
        <v>28</v>
      </c>
      <c r="AE465" s="24" t="s">
        <v>3346</v>
      </c>
    </row>
    <row r="466" spans="2:31" ht="39.950000000000003" customHeight="1" x14ac:dyDescent="0.3">
      <c r="B466" s="107">
        <v>25031</v>
      </c>
      <c r="C466" s="12">
        <f t="shared" si="25"/>
        <v>461</v>
      </c>
      <c r="D466" s="105" t="str">
        <f>IFERROR(" "&amp;VLOOKUP(B466,현장리스트!$B:$C,2,0),"-")</f>
        <v xml:space="preserve"> [4.롯데건설] 롯데바이오로직스 Project PROVIDENCE</v>
      </c>
      <c r="E466" s="13" t="s">
        <v>2309</v>
      </c>
      <c r="F466" s="13" t="str">
        <f t="shared" ca="1" si="26"/>
        <v>58세</v>
      </c>
      <c r="G466" s="14" t="s">
        <v>2310</v>
      </c>
      <c r="H466" s="15" t="str">
        <f t="shared" si="27"/>
        <v>남</v>
      </c>
      <c r="I466" s="16" t="s">
        <v>901</v>
      </c>
      <c r="J466" s="16" t="s">
        <v>30</v>
      </c>
      <c r="K466" s="17">
        <v>200000</v>
      </c>
      <c r="L466" s="18" t="s">
        <v>2311</v>
      </c>
      <c r="M466" s="19" t="s">
        <v>910</v>
      </c>
      <c r="N466" s="19" t="s">
        <v>1001</v>
      </c>
      <c r="O466" s="20">
        <v>16</v>
      </c>
      <c r="P466" s="23" t="s">
        <v>25</v>
      </c>
      <c r="Q466" s="21" t="str">
        <f>VLOOKUP(C466,'2-1. 인사고과표(기능)'!B:AS,44,0)</f>
        <v>A</v>
      </c>
      <c r="R466" s="21" t="str">
        <f>VLOOKUP(C466,'2-2. 인사고과표(안전)'!B:AO,40,0)</f>
        <v>A</v>
      </c>
      <c r="S466" s="18"/>
      <c r="T466" s="19"/>
      <c r="U466" s="19"/>
      <c r="V466" s="19"/>
      <c r="W466" s="19"/>
      <c r="X466" s="22"/>
      <c r="Y466" s="23"/>
      <c r="Z466" s="19"/>
      <c r="AA466" s="19" t="s">
        <v>813</v>
      </c>
      <c r="AB466" s="22" t="s">
        <v>3347</v>
      </c>
      <c r="AC466" s="19" t="s">
        <v>3348</v>
      </c>
      <c r="AD466" s="23" t="s">
        <v>25</v>
      </c>
      <c r="AE466" s="24"/>
    </row>
    <row r="467" spans="2:31" ht="39.950000000000003" customHeight="1" x14ac:dyDescent="0.3">
      <c r="B467" s="107">
        <v>25031</v>
      </c>
      <c r="C467" s="12">
        <f t="shared" si="25"/>
        <v>462</v>
      </c>
      <c r="D467" s="105" t="str">
        <f>IFERROR(" "&amp;VLOOKUP(B467,현장리스트!$B:$C,2,0),"-")</f>
        <v xml:space="preserve"> [4.롯데건설] 롯데바이오로직스 Project PROVIDENCE</v>
      </c>
      <c r="E467" s="13" t="s">
        <v>2452</v>
      </c>
      <c r="F467" s="13" t="str">
        <f t="shared" ca="1" si="26"/>
        <v>45세</v>
      </c>
      <c r="G467" s="14" t="s">
        <v>2453</v>
      </c>
      <c r="H467" s="15" t="str">
        <f t="shared" si="27"/>
        <v>남</v>
      </c>
      <c r="I467" s="16" t="s">
        <v>901</v>
      </c>
      <c r="J467" s="16" t="s">
        <v>30</v>
      </c>
      <c r="K467" s="17">
        <v>200000</v>
      </c>
      <c r="L467" s="18" t="s">
        <v>2454</v>
      </c>
      <c r="M467" s="19" t="s">
        <v>910</v>
      </c>
      <c r="N467" s="19" t="s">
        <v>1001</v>
      </c>
      <c r="O467" s="20">
        <v>8</v>
      </c>
      <c r="P467" s="23" t="s">
        <v>25</v>
      </c>
      <c r="Q467" s="21" t="str">
        <f>VLOOKUP(C467,'2-1. 인사고과표(기능)'!B:AS,44,0)</f>
        <v>S</v>
      </c>
      <c r="R467" s="21" t="str">
        <f>VLOOKUP(C467,'2-2. 인사고과표(안전)'!B:AO,40,0)</f>
        <v>S</v>
      </c>
      <c r="S467" s="18"/>
      <c r="T467" s="19"/>
      <c r="U467" s="19"/>
      <c r="V467" s="19"/>
      <c r="W467" s="19"/>
      <c r="X467" s="22"/>
      <c r="Y467" s="23"/>
      <c r="Z467" s="19"/>
      <c r="AA467" s="19" t="s">
        <v>3349</v>
      </c>
      <c r="AB467" s="22" t="s">
        <v>3350</v>
      </c>
      <c r="AC467" s="19" t="s">
        <v>3351</v>
      </c>
      <c r="AD467" s="23" t="s">
        <v>23</v>
      </c>
      <c r="AE467" s="24"/>
    </row>
    <row r="468" spans="2:31" ht="39.950000000000003" customHeight="1" x14ac:dyDescent="0.3">
      <c r="B468" s="107">
        <v>25031</v>
      </c>
      <c r="C468" s="12">
        <f t="shared" si="25"/>
        <v>463</v>
      </c>
      <c r="D468" s="105" t="str">
        <f>IFERROR(" "&amp;VLOOKUP(B468,현장리스트!$B:$C,2,0),"-")</f>
        <v xml:space="preserve"> [4.롯데건설] 롯데바이오로직스 Project PROVIDENCE</v>
      </c>
      <c r="E468" s="13" t="s">
        <v>2495</v>
      </c>
      <c r="F468" s="13" t="str">
        <f t="shared" ca="1" si="26"/>
        <v>35세</v>
      </c>
      <c r="G468" s="14" t="s">
        <v>2496</v>
      </c>
      <c r="H468" s="15" t="str">
        <f t="shared" si="27"/>
        <v>남</v>
      </c>
      <c r="I468" s="16" t="s">
        <v>901</v>
      </c>
      <c r="J468" s="16" t="s">
        <v>30</v>
      </c>
      <c r="K468" s="17">
        <v>170000</v>
      </c>
      <c r="L468" s="18" t="s">
        <v>2497</v>
      </c>
      <c r="M468" s="19" t="s">
        <v>914</v>
      </c>
      <c r="N468" s="19" t="s">
        <v>3420</v>
      </c>
      <c r="O468" s="20" t="s">
        <v>2672</v>
      </c>
      <c r="P468" s="23" t="s">
        <v>25</v>
      </c>
      <c r="Q468" s="21" t="str">
        <f>VLOOKUP(C468,'2-1. 인사고과표(기능)'!B:AS,44,0)</f>
        <v>A</v>
      </c>
      <c r="R468" s="21" t="str">
        <f>VLOOKUP(C468,'2-2. 인사고과표(안전)'!B:AO,40,0)</f>
        <v>S</v>
      </c>
      <c r="S468" s="18" t="s">
        <v>2567</v>
      </c>
      <c r="T468" s="19"/>
      <c r="U468" s="19"/>
      <c r="V468" s="19"/>
      <c r="W468" s="19"/>
      <c r="X468" s="22"/>
      <c r="Y468" s="23"/>
      <c r="Z468" s="19"/>
      <c r="AA468" s="19" t="s">
        <v>3330</v>
      </c>
      <c r="AB468" s="22" t="s">
        <v>3331</v>
      </c>
      <c r="AC468" s="19" t="s">
        <v>2758</v>
      </c>
      <c r="AD468" s="23" t="s">
        <v>28</v>
      </c>
      <c r="AE468" s="24" t="s">
        <v>3332</v>
      </c>
    </row>
    <row r="469" spans="2:31" ht="39.950000000000003" customHeight="1" x14ac:dyDescent="0.3">
      <c r="B469" s="107">
        <v>25031</v>
      </c>
      <c r="C469" s="12">
        <f t="shared" si="25"/>
        <v>464</v>
      </c>
      <c r="D469" s="105" t="str">
        <f>IFERROR(" "&amp;VLOOKUP(B469,현장리스트!$B:$C,2,0),"-")</f>
        <v xml:space="preserve"> [4.롯데건설] 롯데바이오로직스 Project PROVIDENCE</v>
      </c>
      <c r="E469" s="13" t="s">
        <v>3267</v>
      </c>
      <c r="F469" s="13" t="str">
        <f t="shared" ca="1" si="26"/>
        <v>31세</v>
      </c>
      <c r="G469" s="14" t="s">
        <v>3277</v>
      </c>
      <c r="H469" s="15" t="str">
        <f t="shared" si="27"/>
        <v>남</v>
      </c>
      <c r="I469" s="16" t="s">
        <v>901</v>
      </c>
      <c r="J469" s="16" t="s">
        <v>30</v>
      </c>
      <c r="K469" s="17">
        <v>150000</v>
      </c>
      <c r="L469" s="18" t="s">
        <v>3300</v>
      </c>
      <c r="M469" s="19" t="s">
        <v>910</v>
      </c>
      <c r="N469" s="19" t="s">
        <v>1007</v>
      </c>
      <c r="O469" s="20">
        <v>1</v>
      </c>
      <c r="P469" s="23" t="s">
        <v>25</v>
      </c>
      <c r="Q469" s="21" t="str">
        <f>VLOOKUP(C469,'2-1. 인사고과표(기능)'!B:AS,44,0)</f>
        <v>A</v>
      </c>
      <c r="R469" s="21" t="str">
        <f>VLOOKUP(C469,'2-2. 인사고과표(안전)'!B:AO,40,0)</f>
        <v>S</v>
      </c>
      <c r="S469" s="18"/>
      <c r="T469" s="19"/>
      <c r="U469" s="19"/>
      <c r="V469" s="19"/>
      <c r="W469" s="19"/>
      <c r="X469" s="22"/>
      <c r="Y469" s="23"/>
      <c r="Z469" s="19"/>
      <c r="AA469" s="19"/>
      <c r="AB469" s="22"/>
      <c r="AC469" s="19"/>
      <c r="AD469" s="23"/>
      <c r="AE469" s="24"/>
    </row>
    <row r="470" spans="2:31" ht="39.950000000000003" customHeight="1" x14ac:dyDescent="0.3">
      <c r="B470" s="107">
        <v>25031</v>
      </c>
      <c r="C470" s="12">
        <f t="shared" si="25"/>
        <v>465</v>
      </c>
      <c r="D470" s="105" t="str">
        <f>IFERROR(" "&amp;VLOOKUP(B470,현장리스트!$B:$C,2,0),"-")</f>
        <v xml:space="preserve"> [4.롯데건설] 롯데바이오로직스 Project PROVIDENCE</v>
      </c>
      <c r="E470" s="13" t="s">
        <v>2507</v>
      </c>
      <c r="F470" s="13" t="str">
        <f t="shared" ca="1" si="26"/>
        <v>29세</v>
      </c>
      <c r="G470" s="14" t="s">
        <v>2508</v>
      </c>
      <c r="H470" s="15" t="str">
        <f t="shared" si="27"/>
        <v>남</v>
      </c>
      <c r="I470" s="16" t="s">
        <v>901</v>
      </c>
      <c r="J470" s="16" t="s">
        <v>30</v>
      </c>
      <c r="K470" s="17">
        <v>230000</v>
      </c>
      <c r="L470" s="18" t="s">
        <v>2509</v>
      </c>
      <c r="M470" s="19" t="s">
        <v>2979</v>
      </c>
      <c r="N470" s="19" t="s">
        <v>3301</v>
      </c>
      <c r="O470" s="20" t="s">
        <v>2550</v>
      </c>
      <c r="P470" s="23" t="s">
        <v>25</v>
      </c>
      <c r="Q470" s="21" t="str">
        <f>VLOOKUP(C470,'2-1. 인사고과표(기능)'!B:AS,44,0)</f>
        <v>S</v>
      </c>
      <c r="R470" s="21" t="str">
        <f>VLOOKUP(C470,'2-2. 인사고과표(안전)'!B:AO,40,0)</f>
        <v>S</v>
      </c>
      <c r="S470" s="18"/>
      <c r="T470" s="19"/>
      <c r="U470" s="19"/>
      <c r="V470" s="19"/>
      <c r="W470" s="19"/>
      <c r="X470" s="22"/>
      <c r="Y470" s="23"/>
      <c r="Z470" s="19"/>
      <c r="AA470" s="19" t="s">
        <v>2701</v>
      </c>
      <c r="AB470" s="22" t="s">
        <v>3352</v>
      </c>
      <c r="AC470" s="19" t="s">
        <v>2703</v>
      </c>
      <c r="AD470" s="23" t="s">
        <v>25</v>
      </c>
      <c r="AE470" s="24"/>
    </row>
    <row r="471" spans="2:31" ht="39.950000000000003" customHeight="1" x14ac:dyDescent="0.3">
      <c r="B471" s="107">
        <v>25031</v>
      </c>
      <c r="C471" s="12">
        <f t="shared" si="25"/>
        <v>466</v>
      </c>
      <c r="D471" s="105" t="str">
        <f>IFERROR(" "&amp;VLOOKUP(B471,현장리스트!$B:$C,2,0),"-")</f>
        <v xml:space="preserve"> [4.롯데건설] 롯데바이오로직스 Project PROVIDENCE</v>
      </c>
      <c r="E471" s="13" t="s">
        <v>1126</v>
      </c>
      <c r="F471" s="13" t="str">
        <f t="shared" ca="1" si="26"/>
        <v>30세</v>
      </c>
      <c r="G471" s="14" t="s">
        <v>1127</v>
      </c>
      <c r="H471" s="15" t="str">
        <f t="shared" si="27"/>
        <v>남</v>
      </c>
      <c r="I471" s="16" t="s">
        <v>901</v>
      </c>
      <c r="J471" s="16" t="s">
        <v>30</v>
      </c>
      <c r="K471" s="17">
        <v>155000</v>
      </c>
      <c r="L471" s="18" t="s">
        <v>1128</v>
      </c>
      <c r="M471" s="19" t="s">
        <v>910</v>
      </c>
      <c r="N471" s="19" t="s">
        <v>1001</v>
      </c>
      <c r="O471" s="20">
        <v>4</v>
      </c>
      <c r="P471" s="23" t="s">
        <v>25</v>
      </c>
      <c r="Q471" s="21" t="str">
        <f>VLOOKUP(C471,'2-1. 인사고과표(기능)'!B:AS,44,0)</f>
        <v>A</v>
      </c>
      <c r="R471" s="21" t="str">
        <f>VLOOKUP(C471,'2-2. 인사고과표(안전)'!B:AO,40,0)</f>
        <v>S</v>
      </c>
      <c r="S471" s="18"/>
      <c r="T471" s="19"/>
      <c r="U471" s="19"/>
      <c r="V471" s="19"/>
      <c r="W471" s="19"/>
      <c r="X471" s="22"/>
      <c r="Y471" s="23"/>
      <c r="Z471" s="19"/>
      <c r="AA471" s="19" t="s">
        <v>3324</v>
      </c>
      <c r="AB471" s="22" t="s">
        <v>3353</v>
      </c>
      <c r="AC471" s="19" t="s">
        <v>2569</v>
      </c>
      <c r="AD471" s="23" t="s">
        <v>25</v>
      </c>
      <c r="AE471" s="24"/>
    </row>
    <row r="472" spans="2:31" ht="39.950000000000003" customHeight="1" x14ac:dyDescent="0.3">
      <c r="B472" s="107">
        <v>25031</v>
      </c>
      <c r="C472" s="12">
        <f t="shared" si="25"/>
        <v>467</v>
      </c>
      <c r="D472" s="105" t="str">
        <f>IFERROR(" "&amp;VLOOKUP(B472,현장리스트!$B:$C,2,0),"-")</f>
        <v xml:space="preserve"> [4.롯데건설] 롯데바이오로직스 Project PROVIDENCE</v>
      </c>
      <c r="E472" s="13" t="s">
        <v>1342</v>
      </c>
      <c r="F472" s="13" t="str">
        <f t="shared" ca="1" si="26"/>
        <v>55세</v>
      </c>
      <c r="G472" s="14" t="s">
        <v>1343</v>
      </c>
      <c r="H472" s="15" t="str">
        <f t="shared" si="27"/>
        <v>남</v>
      </c>
      <c r="I472" s="16" t="s">
        <v>901</v>
      </c>
      <c r="J472" s="16" t="s">
        <v>30</v>
      </c>
      <c r="K472" s="17">
        <v>185000</v>
      </c>
      <c r="L472" s="18" t="s">
        <v>1344</v>
      </c>
      <c r="M472" s="19" t="s">
        <v>987</v>
      </c>
      <c r="N472" s="19" t="s">
        <v>3296</v>
      </c>
      <c r="O472" s="20" t="s">
        <v>2949</v>
      </c>
      <c r="P472" s="23" t="s">
        <v>25</v>
      </c>
      <c r="Q472" s="21" t="str">
        <f>VLOOKUP(C472,'2-1. 인사고과표(기능)'!B:AS,44,0)</f>
        <v>A</v>
      </c>
      <c r="R472" s="21" t="str">
        <f>VLOOKUP(C472,'2-2. 인사고과표(안전)'!B:AO,40,0)</f>
        <v>S</v>
      </c>
      <c r="S472" s="18"/>
      <c r="T472" s="19"/>
      <c r="U472" s="19"/>
      <c r="V472" s="19"/>
      <c r="W472" s="19"/>
      <c r="X472" s="22"/>
      <c r="Y472" s="23"/>
      <c r="Z472" s="19"/>
      <c r="AA472" s="19" t="s">
        <v>2701</v>
      </c>
      <c r="AB472" s="22" t="s">
        <v>3352</v>
      </c>
      <c r="AC472" s="19" t="s">
        <v>2703</v>
      </c>
      <c r="AD472" s="23" t="s">
        <v>25</v>
      </c>
      <c r="AE472" s="24"/>
    </row>
    <row r="473" spans="2:31" ht="39.950000000000003" customHeight="1" x14ac:dyDescent="0.3">
      <c r="B473" s="107">
        <v>25031</v>
      </c>
      <c r="C473" s="12">
        <f t="shared" si="25"/>
        <v>468</v>
      </c>
      <c r="D473" s="105" t="str">
        <f>IFERROR(" "&amp;VLOOKUP(B473,현장리스트!$B:$C,2,0),"-")</f>
        <v xml:space="preserve"> [4.롯데건설] 롯데바이오로직스 Project PROVIDENCE</v>
      </c>
      <c r="E473" s="13" t="s">
        <v>1366</v>
      </c>
      <c r="F473" s="13" t="str">
        <f t="shared" ca="1" si="26"/>
        <v>26세</v>
      </c>
      <c r="G473" s="14" t="s">
        <v>1367</v>
      </c>
      <c r="H473" s="15" t="str">
        <f t="shared" si="27"/>
        <v>남</v>
      </c>
      <c r="I473" s="16" t="s">
        <v>901</v>
      </c>
      <c r="J473" s="16" t="s">
        <v>30</v>
      </c>
      <c r="K473" s="17">
        <v>155000</v>
      </c>
      <c r="L473" s="18" t="s">
        <v>1368</v>
      </c>
      <c r="M473" s="19" t="s">
        <v>2611</v>
      </c>
      <c r="N473" s="19" t="s">
        <v>3302</v>
      </c>
      <c r="O473" s="20">
        <v>3</v>
      </c>
      <c r="P473" s="23" t="s">
        <v>25</v>
      </c>
      <c r="Q473" s="21" t="str">
        <f>VLOOKUP(C473,'2-1. 인사고과표(기능)'!B:AS,44,0)</f>
        <v>A</v>
      </c>
      <c r="R473" s="21" t="str">
        <f>VLOOKUP(C473,'2-2. 인사고과표(안전)'!B:AO,40,0)</f>
        <v>S</v>
      </c>
      <c r="S473" s="18" t="s">
        <v>2567</v>
      </c>
      <c r="T473" s="19"/>
      <c r="U473" s="19"/>
      <c r="V473" s="19" t="s">
        <v>2567</v>
      </c>
      <c r="W473" s="19"/>
      <c r="X473" s="22"/>
      <c r="Y473" s="23"/>
      <c r="Z473" s="19"/>
      <c r="AA473" s="19" t="s">
        <v>2563</v>
      </c>
      <c r="AB473" s="22" t="s">
        <v>3354</v>
      </c>
      <c r="AC473" s="19" t="s">
        <v>3355</v>
      </c>
      <c r="AD473" s="23" t="s">
        <v>25</v>
      </c>
      <c r="AE473" s="24"/>
    </row>
    <row r="474" spans="2:31" ht="39.950000000000003" customHeight="1" x14ac:dyDescent="0.3">
      <c r="B474" s="107">
        <v>25031</v>
      </c>
      <c r="C474" s="12">
        <f t="shared" si="25"/>
        <v>469</v>
      </c>
      <c r="D474" s="105" t="str">
        <f>IFERROR(" "&amp;VLOOKUP(B474,현장리스트!$B:$C,2,0),"-")</f>
        <v xml:space="preserve"> [4.롯데건설] 롯데바이오로직스 Project PROVIDENCE</v>
      </c>
      <c r="E474" s="13" t="s">
        <v>1579</v>
      </c>
      <c r="F474" s="13" t="str">
        <f t="shared" ca="1" si="26"/>
        <v>57세</v>
      </c>
      <c r="G474" s="14" t="s">
        <v>1580</v>
      </c>
      <c r="H474" s="15" t="str">
        <f t="shared" si="27"/>
        <v>남</v>
      </c>
      <c r="I474" s="16" t="s">
        <v>901</v>
      </c>
      <c r="J474" s="16" t="s">
        <v>30</v>
      </c>
      <c r="K474" s="17">
        <v>160000</v>
      </c>
      <c r="L474" s="18" t="s">
        <v>1581</v>
      </c>
      <c r="M474" s="19" t="s">
        <v>987</v>
      </c>
      <c r="N474" s="19" t="s">
        <v>2870</v>
      </c>
      <c r="O474" s="20" t="s">
        <v>2529</v>
      </c>
      <c r="P474" s="23" t="s">
        <v>25</v>
      </c>
      <c r="Q474" s="21" t="str">
        <f>VLOOKUP(C474,'2-1. 인사고과표(기능)'!B:AS,44,0)</f>
        <v>A</v>
      </c>
      <c r="R474" s="21" t="str">
        <f>VLOOKUP(C474,'2-2. 인사고과표(안전)'!B:AO,40,0)</f>
        <v>S</v>
      </c>
      <c r="S474" s="18"/>
      <c r="T474" s="19"/>
      <c r="U474" s="19"/>
      <c r="V474" s="19"/>
      <c r="W474" s="19"/>
      <c r="X474" s="22"/>
      <c r="Y474" s="23"/>
      <c r="Z474" s="19"/>
      <c r="AA474" s="19" t="s">
        <v>2701</v>
      </c>
      <c r="AB474" s="22" t="s">
        <v>3352</v>
      </c>
      <c r="AC474" s="19" t="s">
        <v>2703</v>
      </c>
      <c r="AD474" s="23" t="s">
        <v>25</v>
      </c>
      <c r="AE474" s="24"/>
    </row>
    <row r="475" spans="2:31" ht="39.950000000000003" customHeight="1" x14ac:dyDescent="0.3">
      <c r="B475" s="107">
        <v>25031</v>
      </c>
      <c r="C475" s="12">
        <f t="shared" si="25"/>
        <v>470</v>
      </c>
      <c r="D475" s="105" t="str">
        <f>IFERROR(" "&amp;VLOOKUP(B475,현장리스트!$B:$C,2,0),"-")</f>
        <v xml:space="preserve"> [4.롯데건설] 롯데바이오로직스 Project PROVIDENCE</v>
      </c>
      <c r="E475" s="13" t="s">
        <v>1713</v>
      </c>
      <c r="F475" s="13" t="str">
        <f t="shared" ca="1" si="26"/>
        <v>44세</v>
      </c>
      <c r="G475" s="14" t="s">
        <v>1714</v>
      </c>
      <c r="H475" s="15" t="str">
        <f t="shared" si="27"/>
        <v>남</v>
      </c>
      <c r="I475" s="16" t="s">
        <v>901</v>
      </c>
      <c r="J475" s="16" t="s">
        <v>30</v>
      </c>
      <c r="K475" s="17">
        <v>185000</v>
      </c>
      <c r="L475" s="18" t="s">
        <v>1715</v>
      </c>
      <c r="M475" s="19" t="s">
        <v>2551</v>
      </c>
      <c r="N475" s="19" t="s">
        <v>3428</v>
      </c>
      <c r="O475" s="20" t="s">
        <v>921</v>
      </c>
      <c r="P475" s="23" t="s">
        <v>25</v>
      </c>
      <c r="Q475" s="21" t="str">
        <f>VLOOKUP(C475,'2-1. 인사고과표(기능)'!B:AS,44,0)</f>
        <v>A</v>
      </c>
      <c r="R475" s="21" t="str">
        <f>VLOOKUP(C475,'2-2. 인사고과표(안전)'!B:AO,40,0)</f>
        <v>S</v>
      </c>
      <c r="S475" s="18"/>
      <c r="T475" s="19"/>
      <c r="U475" s="19"/>
      <c r="V475" s="19"/>
      <c r="W475" s="19"/>
      <c r="X475" s="22"/>
      <c r="Y475" s="23"/>
      <c r="Z475" s="19"/>
      <c r="AA475" s="19" t="s">
        <v>2701</v>
      </c>
      <c r="AB475" s="22" t="s">
        <v>3352</v>
      </c>
      <c r="AC475" s="19" t="s">
        <v>2703</v>
      </c>
      <c r="AD475" s="23" t="s">
        <v>25</v>
      </c>
      <c r="AE475" s="24"/>
    </row>
    <row r="476" spans="2:31" ht="39.950000000000003" customHeight="1" x14ac:dyDescent="0.3">
      <c r="B476" s="107">
        <v>25031</v>
      </c>
      <c r="C476" s="12">
        <f t="shared" si="25"/>
        <v>471</v>
      </c>
      <c r="D476" s="105" t="str">
        <f>IFERROR(" "&amp;VLOOKUP(B476,현장리스트!$B:$C,2,0),"-")</f>
        <v xml:space="preserve"> [4.롯데건설] 롯데바이오로직스 Project PROVIDENCE</v>
      </c>
      <c r="E476" s="13" t="s">
        <v>1816</v>
      </c>
      <c r="F476" s="13" t="str">
        <f t="shared" ca="1" si="26"/>
        <v>29세</v>
      </c>
      <c r="G476" s="14" t="s">
        <v>1817</v>
      </c>
      <c r="H476" s="15" t="str">
        <f t="shared" si="27"/>
        <v>남</v>
      </c>
      <c r="I476" s="16" t="s">
        <v>901</v>
      </c>
      <c r="J476" s="16" t="s">
        <v>30</v>
      </c>
      <c r="K476" s="17">
        <v>185000</v>
      </c>
      <c r="L476" s="18" t="s">
        <v>1818</v>
      </c>
      <c r="M476" s="19" t="s">
        <v>910</v>
      </c>
      <c r="N476" s="19" t="s">
        <v>911</v>
      </c>
      <c r="O476" s="20" t="s">
        <v>2583</v>
      </c>
      <c r="P476" s="23" t="s">
        <v>25</v>
      </c>
      <c r="Q476" s="21" t="str">
        <f>VLOOKUP(C476,'2-1. 인사고과표(기능)'!B:AS,44,0)</f>
        <v>A</v>
      </c>
      <c r="R476" s="21" t="str">
        <f>VLOOKUP(C476,'2-2. 인사고과표(안전)'!B:AO,40,0)</f>
        <v>S</v>
      </c>
      <c r="S476" s="18" t="s">
        <v>2567</v>
      </c>
      <c r="T476" s="19"/>
      <c r="U476" s="19"/>
      <c r="V476" s="19"/>
      <c r="W476" s="19"/>
      <c r="X476" s="22"/>
      <c r="Y476" s="23"/>
      <c r="Z476" s="19"/>
      <c r="AA476" s="19" t="s">
        <v>2701</v>
      </c>
      <c r="AB476" s="22" t="s">
        <v>3352</v>
      </c>
      <c r="AC476" s="19" t="s">
        <v>2703</v>
      </c>
      <c r="AD476" s="23" t="s">
        <v>25</v>
      </c>
      <c r="AE476" s="24"/>
    </row>
    <row r="477" spans="2:31" ht="39.950000000000003" customHeight="1" x14ac:dyDescent="0.3">
      <c r="B477" s="107">
        <v>25031</v>
      </c>
      <c r="C477" s="12">
        <f t="shared" si="25"/>
        <v>472</v>
      </c>
      <c r="D477" s="105" t="str">
        <f>IFERROR(" "&amp;VLOOKUP(B477,현장리스트!$B:$C,2,0),"-")</f>
        <v xml:space="preserve"> [4.롯데건설] 롯데바이오로직스 Project PROVIDENCE</v>
      </c>
      <c r="E477" s="13" t="s">
        <v>1843</v>
      </c>
      <c r="F477" s="13" t="str">
        <f t="shared" ca="1" si="26"/>
        <v>29세</v>
      </c>
      <c r="G477" s="14" t="s">
        <v>1844</v>
      </c>
      <c r="H477" s="15" t="str">
        <f t="shared" si="27"/>
        <v>남</v>
      </c>
      <c r="I477" s="16" t="s">
        <v>901</v>
      </c>
      <c r="J477" s="16" t="s">
        <v>30</v>
      </c>
      <c r="K477" s="17">
        <v>210000</v>
      </c>
      <c r="L477" s="18" t="s">
        <v>1845</v>
      </c>
      <c r="M477" s="19" t="s">
        <v>910</v>
      </c>
      <c r="N477" s="19" t="s">
        <v>995</v>
      </c>
      <c r="O477" s="20" t="s">
        <v>2583</v>
      </c>
      <c r="P477" s="23" t="s">
        <v>25</v>
      </c>
      <c r="Q477" s="21" t="str">
        <f>VLOOKUP(C477,'2-1. 인사고과표(기능)'!B:AS,44,0)</f>
        <v>A</v>
      </c>
      <c r="R477" s="21" t="str">
        <f>VLOOKUP(C477,'2-2. 인사고과표(안전)'!B:AO,40,0)</f>
        <v>S</v>
      </c>
      <c r="S477" s="18"/>
      <c r="T477" s="19"/>
      <c r="U477" s="19"/>
      <c r="V477" s="19"/>
      <c r="W477" s="19"/>
      <c r="X477" s="22"/>
      <c r="Y477" s="23"/>
      <c r="Z477" s="19"/>
      <c r="AA477" s="19" t="s">
        <v>2701</v>
      </c>
      <c r="AB477" s="22" t="s">
        <v>3352</v>
      </c>
      <c r="AC477" s="19" t="s">
        <v>2703</v>
      </c>
      <c r="AD477" s="23" t="s">
        <v>25</v>
      </c>
      <c r="AE477" s="24"/>
    </row>
    <row r="478" spans="2:31" ht="39.950000000000003" customHeight="1" x14ac:dyDescent="0.3">
      <c r="B478" s="107">
        <v>25031</v>
      </c>
      <c r="C478" s="12">
        <f t="shared" si="25"/>
        <v>473</v>
      </c>
      <c r="D478" s="105" t="str">
        <f>IFERROR(" "&amp;VLOOKUP(B478,현장리스트!$B:$C,2,0),"-")</f>
        <v xml:space="preserve"> [4.롯데건설] 롯데바이오로직스 Project PROVIDENCE</v>
      </c>
      <c r="E478" s="13" t="s">
        <v>1981</v>
      </c>
      <c r="F478" s="13" t="str">
        <f t="shared" ca="1" si="26"/>
        <v>29세</v>
      </c>
      <c r="G478" s="14" t="s">
        <v>1982</v>
      </c>
      <c r="H478" s="15" t="str">
        <f t="shared" si="27"/>
        <v>남</v>
      </c>
      <c r="I478" s="16" t="s">
        <v>901</v>
      </c>
      <c r="J478" s="16" t="s">
        <v>30</v>
      </c>
      <c r="K478" s="17">
        <v>190000</v>
      </c>
      <c r="L478" s="18" t="s">
        <v>1983</v>
      </c>
      <c r="M478" s="19" t="s">
        <v>910</v>
      </c>
      <c r="N478" s="19" t="s">
        <v>911</v>
      </c>
      <c r="O478" s="20" t="s">
        <v>2524</v>
      </c>
      <c r="P478" s="23" t="s">
        <v>25</v>
      </c>
      <c r="Q478" s="21" t="str">
        <f>VLOOKUP(C478,'2-1. 인사고과표(기능)'!B:AS,44,0)</f>
        <v>A</v>
      </c>
      <c r="R478" s="21" t="str">
        <f>VLOOKUP(C478,'2-2. 인사고과표(안전)'!B:AO,40,0)</f>
        <v>S</v>
      </c>
      <c r="S478" s="18" t="s">
        <v>2567</v>
      </c>
      <c r="T478" s="19"/>
      <c r="U478" s="19"/>
      <c r="V478" s="19"/>
      <c r="W478" s="19"/>
      <c r="X478" s="22"/>
      <c r="Y478" s="23"/>
      <c r="Z478" s="19"/>
      <c r="AA478" s="19" t="s">
        <v>2701</v>
      </c>
      <c r="AB478" s="22" t="s">
        <v>3352</v>
      </c>
      <c r="AC478" s="19" t="s">
        <v>2703</v>
      </c>
      <c r="AD478" s="23" t="s">
        <v>25</v>
      </c>
      <c r="AE478" s="24"/>
    </row>
    <row r="479" spans="2:31" ht="39.950000000000003" customHeight="1" x14ac:dyDescent="0.3">
      <c r="B479" s="107">
        <v>25031</v>
      </c>
      <c r="C479" s="12">
        <f t="shared" si="25"/>
        <v>474</v>
      </c>
      <c r="D479" s="105" t="str">
        <f>IFERROR(" "&amp;VLOOKUP(B479,현장리스트!$B:$C,2,0),"-")</f>
        <v xml:space="preserve"> [4.롯데건설] 롯데바이오로직스 Project PROVIDENCE</v>
      </c>
      <c r="E479" s="13" t="s">
        <v>2306</v>
      </c>
      <c r="F479" s="13" t="str">
        <f t="shared" ca="1" si="26"/>
        <v>52세</v>
      </c>
      <c r="G479" s="14" t="s">
        <v>2307</v>
      </c>
      <c r="H479" s="15" t="str">
        <f t="shared" si="27"/>
        <v>남</v>
      </c>
      <c r="I479" s="16" t="s">
        <v>901</v>
      </c>
      <c r="J479" s="16" t="s">
        <v>30</v>
      </c>
      <c r="K479" s="17">
        <v>230000</v>
      </c>
      <c r="L479" s="18" t="s">
        <v>2308</v>
      </c>
      <c r="M479" s="19" t="s">
        <v>910</v>
      </c>
      <c r="N479" s="19" t="s">
        <v>995</v>
      </c>
      <c r="O479" s="20">
        <v>25</v>
      </c>
      <c r="P479" s="23" t="s">
        <v>25</v>
      </c>
      <c r="Q479" s="21" t="str">
        <f>VLOOKUP(C479,'2-1. 인사고과표(기능)'!B:AS,44,0)</f>
        <v>S</v>
      </c>
      <c r="R479" s="21" t="str">
        <f>VLOOKUP(C479,'2-2. 인사고과표(안전)'!B:AO,40,0)</f>
        <v>S</v>
      </c>
      <c r="S479" s="18" t="s">
        <v>2567</v>
      </c>
      <c r="T479" s="19"/>
      <c r="U479" s="19"/>
      <c r="V479" s="19"/>
      <c r="W479" s="19"/>
      <c r="X479" s="22"/>
      <c r="Y479" s="23"/>
      <c r="Z479" s="19"/>
      <c r="AA479" s="19" t="s">
        <v>3050</v>
      </c>
      <c r="AB479" s="22" t="s">
        <v>3356</v>
      </c>
      <c r="AC479" s="19" t="s">
        <v>3262</v>
      </c>
      <c r="AD479" s="23" t="s">
        <v>27</v>
      </c>
      <c r="AE479" s="24"/>
    </row>
    <row r="480" spans="2:31" ht="39.950000000000003" customHeight="1" x14ac:dyDescent="0.3">
      <c r="B480" s="107">
        <v>25031</v>
      </c>
      <c r="C480" s="12">
        <f t="shared" si="25"/>
        <v>475</v>
      </c>
      <c r="D480" s="105" t="str">
        <f>IFERROR(" "&amp;VLOOKUP(B480,현장리스트!$B:$C,2,0),"-")</f>
        <v xml:space="preserve"> [4.롯데건설] 롯데바이오로직스 Project PROVIDENCE</v>
      </c>
      <c r="E480" s="13" t="s">
        <v>1103</v>
      </c>
      <c r="F480" s="13" t="str">
        <f t="shared" ca="1" si="26"/>
        <v>38세</v>
      </c>
      <c r="G480" s="14" t="s">
        <v>1104</v>
      </c>
      <c r="H480" s="15" t="str">
        <f t="shared" si="27"/>
        <v>남</v>
      </c>
      <c r="I480" s="16" t="s">
        <v>901</v>
      </c>
      <c r="J480" s="16" t="s">
        <v>30</v>
      </c>
      <c r="K480" s="17">
        <v>170000</v>
      </c>
      <c r="L480" s="18" t="s">
        <v>1105</v>
      </c>
      <c r="M480" s="19" t="s">
        <v>910</v>
      </c>
      <c r="N480" s="19" t="s">
        <v>911</v>
      </c>
      <c r="O480" s="20">
        <v>9</v>
      </c>
      <c r="P480" s="23" t="s">
        <v>25</v>
      </c>
      <c r="Q480" s="21" t="str">
        <f>VLOOKUP(C480,'2-1. 인사고과표(기능)'!B:AS,44,0)</f>
        <v>A</v>
      </c>
      <c r="R480" s="21" t="str">
        <f>VLOOKUP(C480,'2-2. 인사고과표(안전)'!B:AO,40,0)</f>
        <v>S</v>
      </c>
      <c r="S480" s="18"/>
      <c r="T480" s="19"/>
      <c r="U480" s="19"/>
      <c r="V480" s="19"/>
      <c r="W480" s="19"/>
      <c r="X480" s="22"/>
      <c r="Y480" s="23"/>
      <c r="Z480" s="19"/>
      <c r="AA480" s="19" t="s">
        <v>3050</v>
      </c>
      <c r="AB480" s="22" t="s">
        <v>3356</v>
      </c>
      <c r="AC480" s="19" t="s">
        <v>3262</v>
      </c>
      <c r="AD480" s="23" t="s">
        <v>27</v>
      </c>
      <c r="AE480" s="24"/>
    </row>
    <row r="481" spans="2:31" ht="39.950000000000003" customHeight="1" x14ac:dyDescent="0.3">
      <c r="B481" s="107">
        <v>25031</v>
      </c>
      <c r="C481" s="12">
        <f t="shared" si="25"/>
        <v>476</v>
      </c>
      <c r="D481" s="105" t="str">
        <f>IFERROR(" "&amp;VLOOKUP(B481,현장리스트!$B:$C,2,0),"-")</f>
        <v xml:space="preserve"> [4.롯데건설] 롯데바이오로직스 Project PROVIDENCE</v>
      </c>
      <c r="E481" s="13" t="s">
        <v>1201</v>
      </c>
      <c r="F481" s="13" t="str">
        <f t="shared" ca="1" si="26"/>
        <v>40세</v>
      </c>
      <c r="G481" s="14" t="s">
        <v>1202</v>
      </c>
      <c r="H481" s="15" t="str">
        <f t="shared" si="27"/>
        <v>남</v>
      </c>
      <c r="I481" s="16" t="s">
        <v>901</v>
      </c>
      <c r="J481" s="16" t="s">
        <v>30</v>
      </c>
      <c r="K481" s="17">
        <v>230000</v>
      </c>
      <c r="L481" s="18" t="s">
        <v>1203</v>
      </c>
      <c r="M481" s="19" t="s">
        <v>910</v>
      </c>
      <c r="N481" s="19" t="s">
        <v>1007</v>
      </c>
      <c r="O481" s="20">
        <v>17</v>
      </c>
      <c r="P481" s="23" t="s">
        <v>25</v>
      </c>
      <c r="Q481" s="21" t="str">
        <f>VLOOKUP(C481,'2-1. 인사고과표(기능)'!B:AS,44,0)</f>
        <v>S</v>
      </c>
      <c r="R481" s="21" t="str">
        <f>VLOOKUP(C481,'2-2. 인사고과표(안전)'!B:AO,40,0)</f>
        <v>S</v>
      </c>
      <c r="S481" s="18"/>
      <c r="T481" s="19"/>
      <c r="U481" s="19"/>
      <c r="V481" s="19"/>
      <c r="W481" s="19"/>
      <c r="X481" s="22"/>
      <c r="Y481" s="23"/>
      <c r="Z481" s="19"/>
      <c r="AA481" s="19" t="s">
        <v>3050</v>
      </c>
      <c r="AB481" s="22" t="s">
        <v>3356</v>
      </c>
      <c r="AC481" s="19" t="s">
        <v>3262</v>
      </c>
      <c r="AD481" s="23" t="s">
        <v>27</v>
      </c>
      <c r="AE481" s="24"/>
    </row>
    <row r="482" spans="2:31" ht="39.950000000000003" customHeight="1" x14ac:dyDescent="0.3">
      <c r="B482" s="107">
        <v>25031</v>
      </c>
      <c r="C482" s="12">
        <f t="shared" si="25"/>
        <v>477</v>
      </c>
      <c r="D482" s="105" t="str">
        <f>IFERROR(" "&amp;VLOOKUP(B482,현장리스트!$B:$C,2,0),"-")</f>
        <v xml:space="preserve"> [4.롯데건설] 롯데바이오로직스 Project PROVIDENCE</v>
      </c>
      <c r="E482" s="13" t="s">
        <v>1589</v>
      </c>
      <c r="F482" s="13" t="str">
        <f t="shared" ca="1" si="26"/>
        <v>38세</v>
      </c>
      <c r="G482" s="14" t="s">
        <v>1590</v>
      </c>
      <c r="H482" s="15" t="str">
        <f t="shared" si="27"/>
        <v>남</v>
      </c>
      <c r="I482" s="16" t="s">
        <v>901</v>
      </c>
      <c r="J482" s="16" t="s">
        <v>30</v>
      </c>
      <c r="K482" s="17">
        <v>230000</v>
      </c>
      <c r="L482" s="18" t="s">
        <v>1591</v>
      </c>
      <c r="M482" s="19" t="s">
        <v>910</v>
      </c>
      <c r="N482" s="19" t="s">
        <v>911</v>
      </c>
      <c r="O482" s="20">
        <v>8</v>
      </c>
      <c r="P482" s="23" t="s">
        <v>25</v>
      </c>
      <c r="Q482" s="21" t="str">
        <f>VLOOKUP(C482,'2-1. 인사고과표(기능)'!B:AS,44,0)</f>
        <v>A</v>
      </c>
      <c r="R482" s="21" t="str">
        <f>VLOOKUP(C482,'2-2. 인사고과표(안전)'!B:AO,40,0)</f>
        <v>S</v>
      </c>
      <c r="S482" s="18"/>
      <c r="T482" s="19"/>
      <c r="U482" s="19"/>
      <c r="V482" s="19"/>
      <c r="W482" s="19"/>
      <c r="X482" s="22"/>
      <c r="Y482" s="23"/>
      <c r="Z482" s="19"/>
      <c r="AA482" s="19" t="s">
        <v>3050</v>
      </c>
      <c r="AB482" s="22" t="s">
        <v>3356</v>
      </c>
      <c r="AC482" s="19" t="s">
        <v>3262</v>
      </c>
      <c r="AD482" s="23" t="s">
        <v>27</v>
      </c>
      <c r="AE482" s="24"/>
    </row>
    <row r="483" spans="2:31" ht="39.950000000000003" customHeight="1" x14ac:dyDescent="0.3">
      <c r="B483" s="107">
        <v>25031</v>
      </c>
      <c r="C483" s="12">
        <f t="shared" si="25"/>
        <v>478</v>
      </c>
      <c r="D483" s="105" t="str">
        <f>IFERROR(" "&amp;VLOOKUP(B483,현장리스트!$B:$C,2,0),"-")</f>
        <v xml:space="preserve"> [4.롯데건설] 롯데바이오로직스 Project PROVIDENCE</v>
      </c>
      <c r="E483" s="13" t="s">
        <v>2197</v>
      </c>
      <c r="F483" s="13" t="str">
        <f t="shared" ca="1" si="26"/>
        <v>46세</v>
      </c>
      <c r="G483" s="14" t="s">
        <v>2198</v>
      </c>
      <c r="H483" s="15" t="str">
        <f t="shared" si="27"/>
        <v>남</v>
      </c>
      <c r="I483" s="16" t="s">
        <v>901</v>
      </c>
      <c r="J483" s="16" t="s">
        <v>30</v>
      </c>
      <c r="K483" s="17">
        <v>230000</v>
      </c>
      <c r="L483" s="18" t="s">
        <v>2199</v>
      </c>
      <c r="M483" s="19" t="s">
        <v>910</v>
      </c>
      <c r="N483" s="19" t="s">
        <v>911</v>
      </c>
      <c r="O483" s="20" t="s">
        <v>1017</v>
      </c>
      <c r="P483" s="23" t="s">
        <v>25</v>
      </c>
      <c r="Q483" s="21" t="str">
        <f>VLOOKUP(C483,'2-1. 인사고과표(기능)'!B:AS,44,0)</f>
        <v>A</v>
      </c>
      <c r="R483" s="21" t="str">
        <f>VLOOKUP(C483,'2-2. 인사고과표(안전)'!B:AO,40,0)</f>
        <v>S</v>
      </c>
      <c r="S483" s="18"/>
      <c r="T483" s="19"/>
      <c r="U483" s="19"/>
      <c r="V483" s="19"/>
      <c r="W483" s="19"/>
      <c r="X483" s="22"/>
      <c r="Y483" s="23"/>
      <c r="Z483" s="19"/>
      <c r="AA483" s="19" t="s">
        <v>3050</v>
      </c>
      <c r="AB483" s="22" t="s">
        <v>3356</v>
      </c>
      <c r="AC483" s="19" t="s">
        <v>3262</v>
      </c>
      <c r="AD483" s="23" t="s">
        <v>27</v>
      </c>
      <c r="AE483" s="24"/>
    </row>
    <row r="484" spans="2:31" ht="39.950000000000003" customHeight="1" x14ac:dyDescent="0.3">
      <c r="B484" s="107">
        <v>25031</v>
      </c>
      <c r="C484" s="12">
        <f t="shared" si="25"/>
        <v>479</v>
      </c>
      <c r="D484" s="105" t="str">
        <f>IFERROR(" "&amp;VLOOKUP(B484,현장리스트!$B:$C,2,0),"-")</f>
        <v xml:space="preserve"> [4.롯데건설] 롯데바이오로직스 Project PROVIDENCE</v>
      </c>
      <c r="E484" s="13" t="s">
        <v>2290</v>
      </c>
      <c r="F484" s="13" t="str">
        <f t="shared" ca="1" si="26"/>
        <v>33세</v>
      </c>
      <c r="G484" s="14" t="s">
        <v>2291</v>
      </c>
      <c r="H484" s="15" t="str">
        <f t="shared" si="27"/>
        <v>남</v>
      </c>
      <c r="I484" s="16" t="s">
        <v>901</v>
      </c>
      <c r="J484" s="16" t="s">
        <v>30</v>
      </c>
      <c r="K484" s="17">
        <v>230000</v>
      </c>
      <c r="L484" s="18" t="s">
        <v>2292</v>
      </c>
      <c r="M484" s="19" t="s">
        <v>910</v>
      </c>
      <c r="N484" s="19" t="s">
        <v>911</v>
      </c>
      <c r="O484" s="20">
        <v>5</v>
      </c>
      <c r="P484" s="23" t="s">
        <v>25</v>
      </c>
      <c r="Q484" s="21" t="str">
        <f>VLOOKUP(C484,'2-1. 인사고과표(기능)'!B:AS,44,0)</f>
        <v>A</v>
      </c>
      <c r="R484" s="21" t="str">
        <f>VLOOKUP(C484,'2-2. 인사고과표(안전)'!B:AO,40,0)</f>
        <v>S</v>
      </c>
      <c r="S484" s="18"/>
      <c r="T484" s="19"/>
      <c r="U484" s="19"/>
      <c r="V484" s="19"/>
      <c r="W484" s="19"/>
      <c r="X484" s="22"/>
      <c r="Y484" s="23"/>
      <c r="Z484" s="19"/>
      <c r="AA484" s="19" t="s">
        <v>3050</v>
      </c>
      <c r="AB484" s="22" t="s">
        <v>3356</v>
      </c>
      <c r="AC484" s="19" t="s">
        <v>3262</v>
      </c>
      <c r="AD484" s="23" t="s">
        <v>27</v>
      </c>
      <c r="AE484" s="24"/>
    </row>
    <row r="485" spans="2:31" ht="39.950000000000003" customHeight="1" x14ac:dyDescent="0.3">
      <c r="B485" s="107">
        <v>25031</v>
      </c>
      <c r="C485" s="12">
        <f t="shared" si="25"/>
        <v>480</v>
      </c>
      <c r="D485" s="105" t="str">
        <f>IFERROR(" "&amp;VLOOKUP(B485,현장리스트!$B:$C,2,0),"-")</f>
        <v xml:space="preserve"> [4.롯데건설] 롯데바이오로직스 Project PROVIDENCE</v>
      </c>
      <c r="E485" s="13" t="s">
        <v>2385</v>
      </c>
      <c r="F485" s="13" t="str">
        <f t="shared" ca="1" si="26"/>
        <v>49세</v>
      </c>
      <c r="G485" s="14" t="s">
        <v>2386</v>
      </c>
      <c r="H485" s="15" t="str">
        <f t="shared" si="27"/>
        <v>남</v>
      </c>
      <c r="I485" s="16" t="s">
        <v>901</v>
      </c>
      <c r="J485" s="16" t="s">
        <v>30</v>
      </c>
      <c r="K485" s="17">
        <v>230000</v>
      </c>
      <c r="L485" s="18" t="s">
        <v>2387</v>
      </c>
      <c r="M485" s="19" t="s">
        <v>928</v>
      </c>
      <c r="N485" s="19" t="s">
        <v>2787</v>
      </c>
      <c r="O485" s="20">
        <v>19</v>
      </c>
      <c r="P485" s="23" t="s">
        <v>25</v>
      </c>
      <c r="Q485" s="21" t="str">
        <f>VLOOKUP(C485,'2-1. 인사고과표(기능)'!B:AS,44,0)</f>
        <v>S</v>
      </c>
      <c r="R485" s="21" t="str">
        <f>VLOOKUP(C485,'2-2. 인사고과표(안전)'!B:AO,40,0)</f>
        <v>S</v>
      </c>
      <c r="S485" s="18"/>
      <c r="T485" s="19"/>
      <c r="U485" s="19"/>
      <c r="V485" s="19"/>
      <c r="W485" s="19"/>
      <c r="X485" s="22"/>
      <c r="Y485" s="23"/>
      <c r="Z485" s="19"/>
      <c r="AA485" s="19" t="s">
        <v>3324</v>
      </c>
      <c r="AB485" s="22" t="s">
        <v>3353</v>
      </c>
      <c r="AC485" s="19" t="s">
        <v>2744</v>
      </c>
      <c r="AD485" s="23" t="s">
        <v>25</v>
      </c>
      <c r="AE485" s="24"/>
    </row>
    <row r="486" spans="2:31" ht="39.950000000000003" customHeight="1" x14ac:dyDescent="0.3">
      <c r="B486" s="107">
        <v>25031</v>
      </c>
      <c r="C486" s="12">
        <f t="shared" si="25"/>
        <v>481</v>
      </c>
      <c r="D486" s="105" t="str">
        <f>IFERROR(" "&amp;VLOOKUP(B486,현장리스트!$B:$C,2,0),"-")</f>
        <v xml:space="preserve"> [4.롯데건설] 롯데바이오로직스 Project PROVIDENCE</v>
      </c>
      <c r="E486" s="13" t="s">
        <v>1055</v>
      </c>
      <c r="F486" s="13" t="str">
        <f t="shared" ca="1" si="26"/>
        <v>40세</v>
      </c>
      <c r="G486" s="14" t="s">
        <v>1056</v>
      </c>
      <c r="H486" s="15" t="str">
        <f t="shared" si="27"/>
        <v>남</v>
      </c>
      <c r="I486" s="16" t="s">
        <v>901</v>
      </c>
      <c r="J486" s="16" t="s">
        <v>30</v>
      </c>
      <c r="K486" s="17">
        <v>160000</v>
      </c>
      <c r="L486" s="18" t="s">
        <v>1057</v>
      </c>
      <c r="M486" s="19" t="s">
        <v>910</v>
      </c>
      <c r="N486" s="19" t="s">
        <v>1001</v>
      </c>
      <c r="O486" s="20">
        <v>3</v>
      </c>
      <c r="P486" s="23" t="s">
        <v>25</v>
      </c>
      <c r="Q486" s="21" t="str">
        <f>VLOOKUP(C486,'2-1. 인사고과표(기능)'!B:AS,44,0)</f>
        <v>A</v>
      </c>
      <c r="R486" s="21" t="str">
        <f>VLOOKUP(C486,'2-2. 인사고과표(안전)'!B:AO,40,0)</f>
        <v>S</v>
      </c>
      <c r="S486" s="18"/>
      <c r="T486" s="19"/>
      <c r="U486" s="19"/>
      <c r="V486" s="19"/>
      <c r="W486" s="19"/>
      <c r="X486" s="22"/>
      <c r="Y486" s="23"/>
      <c r="Z486" s="19"/>
      <c r="AA486" s="19" t="s">
        <v>3324</v>
      </c>
      <c r="AB486" s="22" t="s">
        <v>3357</v>
      </c>
      <c r="AC486" s="19" t="s">
        <v>3358</v>
      </c>
      <c r="AD486" s="23" t="s">
        <v>25</v>
      </c>
      <c r="AE486" s="24"/>
    </row>
    <row r="487" spans="2:31" ht="39.950000000000003" customHeight="1" x14ac:dyDescent="0.3">
      <c r="B487" s="107">
        <v>25031</v>
      </c>
      <c r="C487" s="12">
        <f t="shared" si="25"/>
        <v>482</v>
      </c>
      <c r="D487" s="105" t="str">
        <f>IFERROR(" "&amp;VLOOKUP(B487,현장리스트!$B:$C,2,0),"-")</f>
        <v xml:space="preserve"> [4.롯데건설] 롯데바이오로직스 Project PROVIDENCE</v>
      </c>
      <c r="E487" s="13" t="s">
        <v>1094</v>
      </c>
      <c r="F487" s="13" t="str">
        <f t="shared" ca="1" si="26"/>
        <v>51세</v>
      </c>
      <c r="G487" s="14" t="s">
        <v>1095</v>
      </c>
      <c r="H487" s="15" t="str">
        <f t="shared" si="27"/>
        <v>남</v>
      </c>
      <c r="I487" s="16" t="s">
        <v>901</v>
      </c>
      <c r="J487" s="16" t="s">
        <v>30</v>
      </c>
      <c r="K487" s="17">
        <v>230000</v>
      </c>
      <c r="L487" s="18" t="s">
        <v>1096</v>
      </c>
      <c r="M487" s="19" t="s">
        <v>906</v>
      </c>
      <c r="N487" s="19" t="s">
        <v>3429</v>
      </c>
      <c r="O487" s="20">
        <v>21</v>
      </c>
      <c r="P487" s="23" t="s">
        <v>25</v>
      </c>
      <c r="Q487" s="21" t="str">
        <f>VLOOKUP(C487,'2-1. 인사고과표(기능)'!B:AS,44,0)</f>
        <v>A</v>
      </c>
      <c r="R487" s="21" t="str">
        <f>VLOOKUP(C487,'2-2. 인사고과표(안전)'!B:AO,40,0)</f>
        <v>S</v>
      </c>
      <c r="S487" s="18"/>
      <c r="T487" s="19"/>
      <c r="U487" s="19"/>
      <c r="V487" s="19"/>
      <c r="W487" s="19"/>
      <c r="X487" s="22"/>
      <c r="Y487" s="23"/>
      <c r="Z487" s="19"/>
      <c r="AA487" s="19" t="s">
        <v>3056</v>
      </c>
      <c r="AB487" s="22" t="s">
        <v>3359</v>
      </c>
      <c r="AC487" s="19" t="s">
        <v>3360</v>
      </c>
      <c r="AD487" s="23" t="s">
        <v>23</v>
      </c>
      <c r="AE487" s="24"/>
    </row>
    <row r="488" spans="2:31" ht="39.950000000000003" customHeight="1" x14ac:dyDescent="0.3">
      <c r="B488" s="107">
        <v>25031</v>
      </c>
      <c r="C488" s="12">
        <f t="shared" si="25"/>
        <v>483</v>
      </c>
      <c r="D488" s="105" t="str">
        <f>IFERROR(" "&amp;VLOOKUP(B488,현장리스트!$B:$C,2,0),"-")</f>
        <v xml:space="preserve"> [4.롯데건설] 롯데바이오로직스 Project PROVIDENCE</v>
      </c>
      <c r="E488" s="13" t="s">
        <v>1741</v>
      </c>
      <c r="F488" s="13" t="str">
        <f t="shared" ca="1" si="26"/>
        <v>31세</v>
      </c>
      <c r="G488" s="14" t="s">
        <v>1742</v>
      </c>
      <c r="H488" s="15" t="str">
        <f t="shared" si="27"/>
        <v>남</v>
      </c>
      <c r="I488" s="16" t="s">
        <v>901</v>
      </c>
      <c r="J488" s="16" t="s">
        <v>30</v>
      </c>
      <c r="K488" s="17">
        <v>150000</v>
      </c>
      <c r="L488" s="18" t="s">
        <v>1743</v>
      </c>
      <c r="M488" s="19" t="s">
        <v>987</v>
      </c>
      <c r="N488" s="19" t="s">
        <v>1010</v>
      </c>
      <c r="O488" s="20">
        <v>4</v>
      </c>
      <c r="P488" s="23" t="s">
        <v>25</v>
      </c>
      <c r="Q488" s="21" t="str">
        <f>VLOOKUP(C488,'2-1. 인사고과표(기능)'!B:AS,44,0)</f>
        <v>A</v>
      </c>
      <c r="R488" s="21" t="str">
        <f>VLOOKUP(C488,'2-2. 인사고과표(안전)'!B:AO,40,0)</f>
        <v>S</v>
      </c>
      <c r="S488" s="18"/>
      <c r="T488" s="19"/>
      <c r="U488" s="19"/>
      <c r="V488" s="19"/>
      <c r="W488" s="19"/>
      <c r="X488" s="22"/>
      <c r="Y488" s="23"/>
      <c r="Z488" s="19"/>
      <c r="AA488" s="19" t="s">
        <v>3324</v>
      </c>
      <c r="AB488" s="22" t="s">
        <v>3353</v>
      </c>
      <c r="AC488" s="19" t="s">
        <v>2744</v>
      </c>
      <c r="AD488" s="23" t="s">
        <v>25</v>
      </c>
      <c r="AE488" s="24"/>
    </row>
    <row r="489" spans="2:31" ht="39.950000000000003" customHeight="1" x14ac:dyDescent="0.3">
      <c r="B489" s="107">
        <v>25031</v>
      </c>
      <c r="C489" s="12">
        <f t="shared" si="25"/>
        <v>484</v>
      </c>
      <c r="D489" s="105" t="str">
        <f>IFERROR(" "&amp;VLOOKUP(B489,현장리스트!$B:$C,2,0),"-")</f>
        <v xml:space="preserve"> [4.롯데건설] 롯데바이오로직스 Project PROVIDENCE</v>
      </c>
      <c r="E489" s="13" t="s">
        <v>2256</v>
      </c>
      <c r="F489" s="13" t="str">
        <f t="shared" ca="1" si="26"/>
        <v>29세</v>
      </c>
      <c r="G489" s="14" t="s">
        <v>2257</v>
      </c>
      <c r="H489" s="15" t="str">
        <f t="shared" si="27"/>
        <v>남</v>
      </c>
      <c r="I489" s="16" t="s">
        <v>901</v>
      </c>
      <c r="J489" s="16" t="s">
        <v>30</v>
      </c>
      <c r="K489" s="17">
        <v>160000</v>
      </c>
      <c r="L489" s="18" t="s">
        <v>2258</v>
      </c>
      <c r="M489" s="19" t="s">
        <v>910</v>
      </c>
      <c r="N489" s="19" t="s">
        <v>1001</v>
      </c>
      <c r="O489" s="20">
        <v>3</v>
      </c>
      <c r="P489" s="23" t="s">
        <v>25</v>
      </c>
      <c r="Q489" s="21" t="str">
        <f>VLOOKUP(C489,'2-1. 인사고과표(기능)'!B:AS,44,0)</f>
        <v>A</v>
      </c>
      <c r="R489" s="21" t="str">
        <f>VLOOKUP(C489,'2-2. 인사고과표(안전)'!B:AO,40,0)</f>
        <v>S</v>
      </c>
      <c r="S489" s="18"/>
      <c r="T489" s="19"/>
      <c r="U489" s="19"/>
      <c r="V489" s="19"/>
      <c r="W489" s="19"/>
      <c r="X489" s="22"/>
      <c r="Y489" s="23"/>
      <c r="Z489" s="19"/>
      <c r="AA489" s="19" t="s">
        <v>3324</v>
      </c>
      <c r="AB489" s="22" t="s">
        <v>3357</v>
      </c>
      <c r="AC489" s="19" t="s">
        <v>3358</v>
      </c>
      <c r="AD489" s="23" t="s">
        <v>25</v>
      </c>
      <c r="AE489" s="24"/>
    </row>
    <row r="490" spans="2:31" ht="39.950000000000003" customHeight="1" x14ac:dyDescent="0.3">
      <c r="B490" s="107">
        <v>25031</v>
      </c>
      <c r="C490" s="12">
        <f t="shared" si="25"/>
        <v>485</v>
      </c>
      <c r="D490" s="105" t="str">
        <f>IFERROR(" "&amp;VLOOKUP(B490,현장리스트!$B:$C,2,0),"-")</f>
        <v xml:space="preserve"> [4.롯데건설] 롯데바이오로직스 Project PROVIDENCE</v>
      </c>
      <c r="E490" s="13" t="s">
        <v>2270</v>
      </c>
      <c r="F490" s="13" t="str">
        <f t="shared" ca="1" si="26"/>
        <v>53세</v>
      </c>
      <c r="G490" s="14" t="s">
        <v>2271</v>
      </c>
      <c r="H490" s="15" t="str">
        <f t="shared" si="27"/>
        <v>남</v>
      </c>
      <c r="I490" s="16" t="s">
        <v>901</v>
      </c>
      <c r="J490" s="16" t="s">
        <v>30</v>
      </c>
      <c r="K490" s="17">
        <v>210000</v>
      </c>
      <c r="L490" s="18" t="s">
        <v>2272</v>
      </c>
      <c r="M490" s="19" t="s">
        <v>910</v>
      </c>
      <c r="N490" s="19" t="s">
        <v>1001</v>
      </c>
      <c r="O490" s="20">
        <v>22</v>
      </c>
      <c r="P490" s="23" t="s">
        <v>25</v>
      </c>
      <c r="Q490" s="21" t="str">
        <f>VLOOKUP(C490,'2-1. 인사고과표(기능)'!B:AS,44,0)</f>
        <v>A</v>
      </c>
      <c r="R490" s="21" t="str">
        <f>VLOOKUP(C490,'2-2. 인사고과표(안전)'!B:AO,40,0)</f>
        <v>S</v>
      </c>
      <c r="S490" s="18"/>
      <c r="T490" s="19"/>
      <c r="U490" s="19"/>
      <c r="V490" s="19"/>
      <c r="W490" s="19"/>
      <c r="X490" s="22"/>
      <c r="Y490" s="23"/>
      <c r="Z490" s="19"/>
      <c r="AA490" s="19" t="s">
        <v>3324</v>
      </c>
      <c r="AB490" s="22" t="s">
        <v>3353</v>
      </c>
      <c r="AC490" s="19" t="s">
        <v>2744</v>
      </c>
      <c r="AD490" s="23" t="s">
        <v>25</v>
      </c>
      <c r="AE490" s="24"/>
    </row>
    <row r="491" spans="2:31" ht="39.950000000000003" customHeight="1" x14ac:dyDescent="0.3">
      <c r="B491" s="107">
        <v>25031</v>
      </c>
      <c r="C491" s="12">
        <f t="shared" si="25"/>
        <v>486</v>
      </c>
      <c r="D491" s="105" t="str">
        <f>IFERROR(" "&amp;VLOOKUP(B491,현장리스트!$B:$C,2,0),"-")</f>
        <v xml:space="preserve"> [4.롯데건설] 롯데바이오로직스 Project PROVIDENCE</v>
      </c>
      <c r="E491" s="13" t="s">
        <v>2287</v>
      </c>
      <c r="F491" s="13" t="str">
        <f t="shared" ca="1" si="26"/>
        <v>36세</v>
      </c>
      <c r="G491" s="14" t="s">
        <v>2288</v>
      </c>
      <c r="H491" s="15" t="str">
        <f t="shared" si="27"/>
        <v>남</v>
      </c>
      <c r="I491" s="16" t="s">
        <v>901</v>
      </c>
      <c r="J491" s="16" t="s">
        <v>30</v>
      </c>
      <c r="K491" s="17">
        <v>150000</v>
      </c>
      <c r="L491" s="18" t="s">
        <v>2289</v>
      </c>
      <c r="M491" s="19" t="s">
        <v>910</v>
      </c>
      <c r="N491" s="19" t="s">
        <v>1001</v>
      </c>
      <c r="O491" s="20">
        <v>3</v>
      </c>
      <c r="P491" s="23" t="s">
        <v>25</v>
      </c>
      <c r="Q491" s="21" t="str">
        <f>VLOOKUP(C491,'2-1. 인사고과표(기능)'!B:AS,44,0)</f>
        <v>A</v>
      </c>
      <c r="R491" s="21" t="str">
        <f>VLOOKUP(C491,'2-2. 인사고과표(안전)'!B:AO,40,0)</f>
        <v>S</v>
      </c>
      <c r="S491" s="18"/>
      <c r="T491" s="19"/>
      <c r="U491" s="19"/>
      <c r="V491" s="19"/>
      <c r="W491" s="19"/>
      <c r="X491" s="22"/>
      <c r="Y491" s="23"/>
      <c r="Z491" s="19"/>
      <c r="AA491" s="19" t="s">
        <v>3361</v>
      </c>
      <c r="AB491" s="22" t="s">
        <v>3362</v>
      </c>
      <c r="AC491" s="19" t="s">
        <v>3361</v>
      </c>
      <c r="AD491" s="23" t="s">
        <v>25</v>
      </c>
      <c r="AE491" s="24"/>
    </row>
    <row r="492" spans="2:31" ht="39.950000000000003" customHeight="1" x14ac:dyDescent="0.3">
      <c r="B492" s="107">
        <v>25031</v>
      </c>
      <c r="C492" s="12">
        <f t="shared" si="25"/>
        <v>487</v>
      </c>
      <c r="D492" s="105" t="str">
        <f>IFERROR(" "&amp;VLOOKUP(B492,현장리스트!$B:$C,2,0),"-")</f>
        <v xml:space="preserve"> [4.롯데건설] 롯데바이오로직스 Project PROVIDENCE</v>
      </c>
      <c r="E492" s="13" t="s">
        <v>2428</v>
      </c>
      <c r="F492" s="13" t="str">
        <f t="shared" ca="1" si="26"/>
        <v>55세</v>
      </c>
      <c r="G492" s="14" t="s">
        <v>2429</v>
      </c>
      <c r="H492" s="15" t="str">
        <f t="shared" si="27"/>
        <v>남</v>
      </c>
      <c r="I492" s="16" t="s">
        <v>901</v>
      </c>
      <c r="J492" s="16" t="s">
        <v>30</v>
      </c>
      <c r="K492" s="17">
        <v>200000</v>
      </c>
      <c r="L492" s="18" t="s">
        <v>2430</v>
      </c>
      <c r="M492" s="19" t="s">
        <v>910</v>
      </c>
      <c r="N492" s="19" t="s">
        <v>1001</v>
      </c>
      <c r="O492" s="20">
        <v>21</v>
      </c>
      <c r="P492" s="23" t="s">
        <v>25</v>
      </c>
      <c r="Q492" s="21" t="str">
        <f>VLOOKUP(C492,'2-1. 인사고과표(기능)'!B:AS,44,0)</f>
        <v>A</v>
      </c>
      <c r="R492" s="21" t="str">
        <f>VLOOKUP(C492,'2-2. 인사고과표(안전)'!B:AO,40,0)</f>
        <v>S</v>
      </c>
      <c r="S492" s="18"/>
      <c r="T492" s="19"/>
      <c r="U492" s="19"/>
      <c r="V492" s="19"/>
      <c r="W492" s="19"/>
      <c r="X492" s="22"/>
      <c r="Y492" s="23"/>
      <c r="Z492" s="19"/>
      <c r="AA492" s="19" t="s">
        <v>3324</v>
      </c>
      <c r="AB492" s="22" t="s">
        <v>3353</v>
      </c>
      <c r="AC492" s="19" t="s">
        <v>2744</v>
      </c>
      <c r="AD492" s="23" t="s">
        <v>25</v>
      </c>
      <c r="AE492" s="24"/>
    </row>
    <row r="493" spans="2:31" ht="39.950000000000003" customHeight="1" x14ac:dyDescent="0.3">
      <c r="B493" s="107">
        <v>25031</v>
      </c>
      <c r="C493" s="12">
        <f t="shared" si="25"/>
        <v>488</v>
      </c>
      <c r="D493" s="105" t="str">
        <f>IFERROR(" "&amp;VLOOKUP(B493,현장리스트!$B:$C,2,0),"-")</f>
        <v xml:space="preserve"> [4.롯데건설] 롯데바이오로직스 Project PROVIDENCE</v>
      </c>
      <c r="E493" s="13" t="s">
        <v>2474</v>
      </c>
      <c r="F493" s="13" t="str">
        <f t="shared" ca="1" si="26"/>
        <v>55세</v>
      </c>
      <c r="G493" s="14" t="s">
        <v>2475</v>
      </c>
      <c r="H493" s="15" t="str">
        <f t="shared" si="27"/>
        <v>남</v>
      </c>
      <c r="I493" s="16" t="s">
        <v>901</v>
      </c>
      <c r="J493" s="16" t="s">
        <v>30</v>
      </c>
      <c r="K493" s="17">
        <v>170000</v>
      </c>
      <c r="L493" s="18" t="s">
        <v>2476</v>
      </c>
      <c r="M493" s="19" t="s">
        <v>2979</v>
      </c>
      <c r="N493" s="19" t="s">
        <v>3301</v>
      </c>
      <c r="O493" s="20">
        <v>5</v>
      </c>
      <c r="P493" s="23" t="s">
        <v>25</v>
      </c>
      <c r="Q493" s="21" t="str">
        <f>VLOOKUP(C493,'2-1. 인사고과표(기능)'!B:AS,44,0)</f>
        <v>A</v>
      </c>
      <c r="R493" s="21" t="str">
        <f>VLOOKUP(C493,'2-2. 인사고과표(안전)'!B:AO,40,0)</f>
        <v>S</v>
      </c>
      <c r="S493" s="18"/>
      <c r="T493" s="19"/>
      <c r="U493" s="19"/>
      <c r="V493" s="19"/>
      <c r="W493" s="19"/>
      <c r="X493" s="22"/>
      <c r="Y493" s="23"/>
      <c r="Z493" s="19"/>
      <c r="AA493" s="19" t="s">
        <v>693</v>
      </c>
      <c r="AB493" s="22" t="s">
        <v>3363</v>
      </c>
      <c r="AC493" s="19" t="s">
        <v>3364</v>
      </c>
      <c r="AD493" s="23" t="s">
        <v>23</v>
      </c>
      <c r="AE493" s="24"/>
    </row>
    <row r="494" spans="2:31" ht="39.950000000000003" customHeight="1" x14ac:dyDescent="0.3">
      <c r="B494" s="107">
        <v>25031</v>
      </c>
      <c r="C494" s="12">
        <f t="shared" si="25"/>
        <v>489</v>
      </c>
      <c r="D494" s="105" t="str">
        <f>IFERROR(" "&amp;VLOOKUP(B494,현장리스트!$B:$C,2,0),"-")</f>
        <v xml:space="preserve"> [4.롯데건설] 롯데바이오로직스 Project PROVIDENCE</v>
      </c>
      <c r="E494" s="13" t="s">
        <v>2397</v>
      </c>
      <c r="F494" s="13" t="str">
        <f t="shared" ca="1" si="26"/>
        <v>57세</v>
      </c>
      <c r="G494" s="14" t="s">
        <v>2398</v>
      </c>
      <c r="H494" s="15" t="str">
        <f t="shared" si="27"/>
        <v>남</v>
      </c>
      <c r="I494" s="16" t="s">
        <v>901</v>
      </c>
      <c r="J494" s="16" t="s">
        <v>30</v>
      </c>
      <c r="K494" s="17">
        <v>230000</v>
      </c>
      <c r="L494" s="18" t="s">
        <v>2399</v>
      </c>
      <c r="M494" s="19" t="s">
        <v>910</v>
      </c>
      <c r="N494" s="19" t="s">
        <v>2787</v>
      </c>
      <c r="O494" s="20" t="s">
        <v>2664</v>
      </c>
      <c r="P494" s="23" t="s">
        <v>25</v>
      </c>
      <c r="Q494" s="21" t="str">
        <f>VLOOKUP(C494,'2-1. 인사고과표(기능)'!B:AS,44,0)</f>
        <v>S</v>
      </c>
      <c r="R494" s="21" t="str">
        <f>VLOOKUP(C494,'2-2. 인사고과표(안전)'!B:AO,40,0)</f>
        <v>S</v>
      </c>
      <c r="S494" s="18"/>
      <c r="T494" s="19"/>
      <c r="U494" s="19"/>
      <c r="V494" s="19"/>
      <c r="W494" s="19"/>
      <c r="X494" s="22"/>
      <c r="Y494" s="23"/>
      <c r="Z494" s="19"/>
      <c r="AA494" s="19" t="s">
        <v>497</v>
      </c>
      <c r="AB494" s="22" t="s">
        <v>827</v>
      </c>
      <c r="AC494" s="19" t="s">
        <v>3365</v>
      </c>
      <c r="AD494" s="23" t="s">
        <v>25</v>
      </c>
      <c r="AE494" s="24"/>
    </row>
    <row r="495" spans="2:31" ht="39.950000000000003" customHeight="1" x14ac:dyDescent="0.3">
      <c r="B495" s="107">
        <v>25031</v>
      </c>
      <c r="C495" s="12">
        <f t="shared" si="25"/>
        <v>490</v>
      </c>
      <c r="D495" s="105" t="str">
        <f>IFERROR(" "&amp;VLOOKUP(B495,현장리스트!$B:$C,2,0),"-")</f>
        <v xml:space="preserve"> [4.롯데건설] 롯데바이오로직스 Project PROVIDENCE</v>
      </c>
      <c r="E495" s="13" t="s">
        <v>1460</v>
      </c>
      <c r="F495" s="13" t="str">
        <f t="shared" ca="1" si="26"/>
        <v>53세</v>
      </c>
      <c r="G495" s="14" t="s">
        <v>1461</v>
      </c>
      <c r="H495" s="15" t="str">
        <f t="shared" si="27"/>
        <v>남</v>
      </c>
      <c r="I495" s="16" t="s">
        <v>901</v>
      </c>
      <c r="J495" s="16" t="s">
        <v>30</v>
      </c>
      <c r="K495" s="17">
        <v>200000</v>
      </c>
      <c r="L495" s="18" t="s">
        <v>1462</v>
      </c>
      <c r="M495" s="19" t="s">
        <v>910</v>
      </c>
      <c r="N495" s="19" t="s">
        <v>1001</v>
      </c>
      <c r="O495" s="20" t="s">
        <v>2555</v>
      </c>
      <c r="P495" s="23" t="s">
        <v>25</v>
      </c>
      <c r="Q495" s="21" t="str">
        <f>VLOOKUP(C495,'2-1. 인사고과표(기능)'!B:AS,44,0)</f>
        <v>A</v>
      </c>
      <c r="R495" s="21" t="str">
        <f>VLOOKUP(C495,'2-2. 인사고과표(안전)'!B:AO,40,0)</f>
        <v>A</v>
      </c>
      <c r="S495" s="18"/>
      <c r="T495" s="19"/>
      <c r="U495" s="19"/>
      <c r="V495" s="19"/>
      <c r="W495" s="19"/>
      <c r="X495" s="22"/>
      <c r="Y495" s="23"/>
      <c r="Z495" s="19"/>
      <c r="AA495" s="19" t="s">
        <v>3324</v>
      </c>
      <c r="AB495" s="22" t="s">
        <v>3366</v>
      </c>
      <c r="AC495" s="19" t="s">
        <v>2569</v>
      </c>
      <c r="AD495" s="23" t="s">
        <v>25</v>
      </c>
      <c r="AE495" s="24"/>
    </row>
    <row r="496" spans="2:31" ht="39.950000000000003" customHeight="1" x14ac:dyDescent="0.3">
      <c r="B496" s="107">
        <v>25031</v>
      </c>
      <c r="C496" s="12">
        <f t="shared" si="25"/>
        <v>491</v>
      </c>
      <c r="D496" s="105" t="str">
        <f>IFERROR(" "&amp;VLOOKUP(B496,현장리스트!$B:$C,2,0),"-")</f>
        <v xml:space="preserve"> [4.롯데건설] 롯데바이오로직스 Project PROVIDENCE</v>
      </c>
      <c r="E496" s="13" t="s">
        <v>1625</v>
      </c>
      <c r="F496" s="13" t="str">
        <f t="shared" ca="1" si="26"/>
        <v>42세</v>
      </c>
      <c r="G496" s="14" t="s">
        <v>1626</v>
      </c>
      <c r="H496" s="15" t="str">
        <f t="shared" si="27"/>
        <v>남</v>
      </c>
      <c r="I496" s="16" t="s">
        <v>901</v>
      </c>
      <c r="J496" s="16" t="s">
        <v>30</v>
      </c>
      <c r="K496" s="17">
        <v>155000</v>
      </c>
      <c r="L496" s="18" t="s">
        <v>1627</v>
      </c>
      <c r="M496" s="19" t="s">
        <v>910</v>
      </c>
      <c r="N496" s="19" t="s">
        <v>1001</v>
      </c>
      <c r="O496" s="20" t="s">
        <v>950</v>
      </c>
      <c r="P496" s="23" t="s">
        <v>25</v>
      </c>
      <c r="Q496" s="21" t="str">
        <f>VLOOKUP(C496,'2-1. 인사고과표(기능)'!B:AS,44,0)</f>
        <v>A</v>
      </c>
      <c r="R496" s="21" t="str">
        <f>VLOOKUP(C496,'2-2. 인사고과표(안전)'!B:AO,40,0)</f>
        <v>A</v>
      </c>
      <c r="S496" s="18"/>
      <c r="T496" s="19"/>
      <c r="U496" s="19"/>
      <c r="V496" s="19"/>
      <c r="W496" s="19"/>
      <c r="X496" s="22"/>
      <c r="Y496" s="23"/>
      <c r="Z496" s="19"/>
      <c r="AA496" s="19" t="s">
        <v>3324</v>
      </c>
      <c r="AB496" s="22" t="s">
        <v>3367</v>
      </c>
      <c r="AC496" s="19" t="s">
        <v>2569</v>
      </c>
      <c r="AD496" s="23" t="s">
        <v>25</v>
      </c>
      <c r="AE496" s="24"/>
    </row>
    <row r="497" spans="2:31" ht="39.950000000000003" customHeight="1" x14ac:dyDescent="0.3">
      <c r="B497" s="107">
        <v>25031</v>
      </c>
      <c r="C497" s="12">
        <f t="shared" si="25"/>
        <v>492</v>
      </c>
      <c r="D497" s="105" t="str">
        <f>IFERROR(" "&amp;VLOOKUP(B497,현장리스트!$B:$C,2,0),"-")</f>
        <v xml:space="preserve"> [4.롯데건설] 롯데바이오로직스 Project PROVIDENCE</v>
      </c>
      <c r="E497" s="13" t="s">
        <v>1665</v>
      </c>
      <c r="F497" s="13" t="str">
        <f t="shared" ca="1" si="26"/>
        <v>31세</v>
      </c>
      <c r="G497" s="14" t="s">
        <v>1666</v>
      </c>
      <c r="H497" s="15" t="str">
        <f t="shared" si="27"/>
        <v>남</v>
      </c>
      <c r="I497" s="16" t="s">
        <v>901</v>
      </c>
      <c r="J497" s="16" t="s">
        <v>30</v>
      </c>
      <c r="K497" s="17">
        <v>210000</v>
      </c>
      <c r="L497" s="18" t="s">
        <v>1667</v>
      </c>
      <c r="M497" s="19" t="s">
        <v>910</v>
      </c>
      <c r="N497" s="19" t="s">
        <v>1007</v>
      </c>
      <c r="O497" s="20" t="s">
        <v>926</v>
      </c>
      <c r="P497" s="23" t="s">
        <v>25</v>
      </c>
      <c r="Q497" s="21" t="str">
        <f>VLOOKUP(C497,'2-1. 인사고과표(기능)'!B:AS,44,0)</f>
        <v>A</v>
      </c>
      <c r="R497" s="21" t="str">
        <f>VLOOKUP(C497,'2-2. 인사고과표(안전)'!B:AO,40,0)</f>
        <v>A</v>
      </c>
      <c r="S497" s="18"/>
      <c r="T497" s="19"/>
      <c r="U497" s="19"/>
      <c r="V497" s="19"/>
      <c r="W497" s="19"/>
      <c r="X497" s="22"/>
      <c r="Y497" s="23"/>
      <c r="Z497" s="19"/>
      <c r="AA497" s="19" t="s">
        <v>3324</v>
      </c>
      <c r="AB497" s="22" t="s">
        <v>3366</v>
      </c>
      <c r="AC497" s="19" t="s">
        <v>2569</v>
      </c>
      <c r="AD497" s="23" t="s">
        <v>25</v>
      </c>
      <c r="AE497" s="24"/>
    </row>
    <row r="498" spans="2:31" ht="39.950000000000003" customHeight="1" x14ac:dyDescent="0.3">
      <c r="B498" s="107">
        <v>25031</v>
      </c>
      <c r="C498" s="12">
        <f t="shared" si="25"/>
        <v>493</v>
      </c>
      <c r="D498" s="105" t="str">
        <f>IFERROR(" "&amp;VLOOKUP(B498,현장리스트!$B:$C,2,0),"-")</f>
        <v xml:space="preserve"> [4.롯데건설] 롯데바이오로직스 Project PROVIDENCE</v>
      </c>
      <c r="E498" s="13" t="s">
        <v>1671</v>
      </c>
      <c r="F498" s="13" t="str">
        <f t="shared" ca="1" si="26"/>
        <v>39세</v>
      </c>
      <c r="G498" s="14" t="s">
        <v>1672</v>
      </c>
      <c r="H498" s="15" t="str">
        <f t="shared" si="27"/>
        <v>남</v>
      </c>
      <c r="I498" s="16" t="s">
        <v>901</v>
      </c>
      <c r="J498" s="16" t="s">
        <v>30</v>
      </c>
      <c r="K498" s="17">
        <v>150000</v>
      </c>
      <c r="L498" s="18" t="s">
        <v>1673</v>
      </c>
      <c r="M498" s="19" t="s">
        <v>914</v>
      </c>
      <c r="N498" s="19" t="s">
        <v>3019</v>
      </c>
      <c r="O498" s="20" t="s">
        <v>950</v>
      </c>
      <c r="P498" s="23" t="s">
        <v>25</v>
      </c>
      <c r="Q498" s="21" t="str">
        <f>VLOOKUP(C498,'2-1. 인사고과표(기능)'!B:AS,44,0)</f>
        <v>A</v>
      </c>
      <c r="R498" s="21" t="str">
        <f>VLOOKUP(C498,'2-2. 인사고과표(안전)'!B:AO,40,0)</f>
        <v>S</v>
      </c>
      <c r="S498" s="18"/>
      <c r="T498" s="19"/>
      <c r="U498" s="19"/>
      <c r="V498" s="19"/>
      <c r="W498" s="19"/>
      <c r="X498" s="22"/>
      <c r="Y498" s="23"/>
      <c r="Z498" s="19"/>
      <c r="AA498" s="19" t="s">
        <v>497</v>
      </c>
      <c r="AB498" s="22" t="s">
        <v>827</v>
      </c>
      <c r="AC498" s="19" t="s">
        <v>3368</v>
      </c>
      <c r="AD498" s="23" t="s">
        <v>25</v>
      </c>
      <c r="AE498" s="24"/>
    </row>
    <row r="499" spans="2:31" ht="39.950000000000003" customHeight="1" x14ac:dyDescent="0.3">
      <c r="B499" s="107">
        <v>25031</v>
      </c>
      <c r="C499" s="12">
        <f t="shared" si="25"/>
        <v>494</v>
      </c>
      <c r="D499" s="105" t="str">
        <f>IFERROR(" "&amp;VLOOKUP(B499,현장리스트!$B:$C,2,0),"-")</f>
        <v xml:space="preserve"> [4.롯데건설] 롯데바이오로직스 Project PROVIDENCE</v>
      </c>
      <c r="E499" s="13" t="s">
        <v>1698</v>
      </c>
      <c r="F499" s="13" t="str">
        <f t="shared" ca="1" si="26"/>
        <v>31세</v>
      </c>
      <c r="G499" s="14" t="s">
        <v>1699</v>
      </c>
      <c r="H499" s="15" t="str">
        <f t="shared" si="27"/>
        <v>남</v>
      </c>
      <c r="I499" s="16" t="s">
        <v>901</v>
      </c>
      <c r="J499" s="16" t="s">
        <v>30</v>
      </c>
      <c r="K499" s="17">
        <v>170000</v>
      </c>
      <c r="L499" s="18" t="s">
        <v>1700</v>
      </c>
      <c r="M499" s="19" t="s">
        <v>910</v>
      </c>
      <c r="N499" s="19" t="s">
        <v>995</v>
      </c>
      <c r="O499" s="20" t="s">
        <v>2534</v>
      </c>
      <c r="P499" s="23" t="s">
        <v>25</v>
      </c>
      <c r="Q499" s="21" t="str">
        <f>VLOOKUP(C499,'2-1. 인사고과표(기능)'!B:AS,44,0)</f>
        <v>A</v>
      </c>
      <c r="R499" s="21" t="str">
        <f>VLOOKUP(C499,'2-2. 인사고과표(안전)'!B:AO,40,0)</f>
        <v>A</v>
      </c>
      <c r="S499" s="18"/>
      <c r="T499" s="19"/>
      <c r="U499" s="19"/>
      <c r="V499" s="19"/>
      <c r="W499" s="19"/>
      <c r="X499" s="22"/>
      <c r="Y499" s="23"/>
      <c r="Z499" s="19"/>
      <c r="AA499" s="19"/>
      <c r="AB499" s="22"/>
      <c r="AC499" s="19"/>
      <c r="AD499" s="23"/>
      <c r="AE499" s="24"/>
    </row>
    <row r="500" spans="2:31" ht="39.950000000000003" customHeight="1" x14ac:dyDescent="0.3">
      <c r="B500" s="107">
        <v>25031</v>
      </c>
      <c r="C500" s="12">
        <f t="shared" si="25"/>
        <v>495</v>
      </c>
      <c r="D500" s="105" t="str">
        <f>IFERROR(" "&amp;VLOOKUP(B500,현장리스트!$B:$C,2,0),"-")</f>
        <v xml:space="preserve"> [4.롯데건설] 롯데바이오로직스 Project PROVIDENCE</v>
      </c>
      <c r="E500" s="13" t="s">
        <v>1905</v>
      </c>
      <c r="F500" s="13" t="str">
        <f t="shared" ca="1" si="26"/>
        <v>38세</v>
      </c>
      <c r="G500" s="14" t="s">
        <v>1906</v>
      </c>
      <c r="H500" s="15" t="str">
        <f t="shared" si="27"/>
        <v>남</v>
      </c>
      <c r="I500" s="16" t="s">
        <v>901</v>
      </c>
      <c r="J500" s="16" t="s">
        <v>30</v>
      </c>
      <c r="K500" s="17">
        <v>170000</v>
      </c>
      <c r="L500" s="18" t="s">
        <v>1907</v>
      </c>
      <c r="M500" s="19" t="s">
        <v>910</v>
      </c>
      <c r="N500" s="19" t="s">
        <v>1004</v>
      </c>
      <c r="O500" s="20" t="s">
        <v>3178</v>
      </c>
      <c r="P500" s="23" t="s">
        <v>25</v>
      </c>
      <c r="Q500" s="21" t="str">
        <f>VLOOKUP(C500,'2-1. 인사고과표(기능)'!B:AS,44,0)</f>
        <v>A</v>
      </c>
      <c r="R500" s="21" t="str">
        <f>VLOOKUP(C500,'2-2. 인사고과표(안전)'!B:AO,40,0)</f>
        <v>S</v>
      </c>
      <c r="S500" s="18"/>
      <c r="T500" s="19"/>
      <c r="U500" s="19"/>
      <c r="V500" s="19"/>
      <c r="W500" s="19"/>
      <c r="X500" s="22"/>
      <c r="Y500" s="23"/>
      <c r="Z500" s="19"/>
      <c r="AA500" s="19" t="s">
        <v>497</v>
      </c>
      <c r="AB500" s="22" t="s">
        <v>827</v>
      </c>
      <c r="AC500" s="19" t="s">
        <v>3365</v>
      </c>
      <c r="AD500" s="23" t="s">
        <v>25</v>
      </c>
      <c r="AE500" s="24"/>
    </row>
    <row r="501" spans="2:31" ht="39.950000000000003" customHeight="1" x14ac:dyDescent="0.3">
      <c r="B501" s="107">
        <v>25031</v>
      </c>
      <c r="C501" s="12">
        <f t="shared" si="25"/>
        <v>496</v>
      </c>
      <c r="D501" s="105" t="str">
        <f>IFERROR(" "&amp;VLOOKUP(B501,현장리스트!$B:$C,2,0),"-")</f>
        <v xml:space="preserve"> [4.롯데건설] 롯데바이오로직스 Project PROVIDENCE</v>
      </c>
      <c r="E501" s="13" t="s">
        <v>2253</v>
      </c>
      <c r="F501" s="13" t="str">
        <f t="shared" ca="1" si="26"/>
        <v>54세</v>
      </c>
      <c r="G501" s="14" t="s">
        <v>2254</v>
      </c>
      <c r="H501" s="15" t="str">
        <f t="shared" si="27"/>
        <v>남</v>
      </c>
      <c r="I501" s="16" t="s">
        <v>901</v>
      </c>
      <c r="J501" s="16" t="s">
        <v>30</v>
      </c>
      <c r="K501" s="17">
        <v>230000</v>
      </c>
      <c r="L501" s="18" t="s">
        <v>2255</v>
      </c>
      <c r="M501" s="19" t="s">
        <v>910</v>
      </c>
      <c r="N501" s="19" t="s">
        <v>1001</v>
      </c>
      <c r="O501" s="20" t="s">
        <v>993</v>
      </c>
      <c r="P501" s="23" t="s">
        <v>25</v>
      </c>
      <c r="Q501" s="21" t="str">
        <f>VLOOKUP(C501,'2-1. 인사고과표(기능)'!B:AS,44,0)</f>
        <v>A</v>
      </c>
      <c r="R501" s="21" t="str">
        <f>VLOOKUP(C501,'2-2. 인사고과표(안전)'!B:AO,40,0)</f>
        <v>S</v>
      </c>
      <c r="S501" s="18"/>
      <c r="T501" s="19"/>
      <c r="U501" s="19"/>
      <c r="V501" s="19"/>
      <c r="W501" s="19"/>
      <c r="X501" s="22"/>
      <c r="Y501" s="23"/>
      <c r="Z501" s="19"/>
      <c r="AA501" s="19" t="s">
        <v>497</v>
      </c>
      <c r="AB501" s="22" t="s">
        <v>827</v>
      </c>
      <c r="AC501" s="19" t="s">
        <v>3365</v>
      </c>
      <c r="AD501" s="23" t="s">
        <v>25</v>
      </c>
      <c r="AE501" s="24"/>
    </row>
    <row r="502" spans="2:31" ht="39.950000000000003" customHeight="1" x14ac:dyDescent="0.3">
      <c r="B502" s="107">
        <v>25031</v>
      </c>
      <c r="C502" s="12">
        <f t="shared" si="25"/>
        <v>497</v>
      </c>
      <c r="D502" s="105" t="str">
        <f>IFERROR(" "&amp;VLOOKUP(B502,현장리스트!$B:$C,2,0),"-")</f>
        <v xml:space="preserve"> [4.롯데건설] 롯데바이오로직스 Project PROVIDENCE</v>
      </c>
      <c r="E502" s="13" t="s">
        <v>2380</v>
      </c>
      <c r="F502" s="13" t="str">
        <f t="shared" ca="1" si="26"/>
        <v>31세</v>
      </c>
      <c r="G502" s="14" t="s">
        <v>2381</v>
      </c>
      <c r="H502" s="15" t="str">
        <f t="shared" si="27"/>
        <v>남</v>
      </c>
      <c r="I502" s="16" t="s">
        <v>901</v>
      </c>
      <c r="J502" s="16" t="s">
        <v>30</v>
      </c>
      <c r="K502" s="17">
        <v>230000</v>
      </c>
      <c r="L502" s="18" t="s">
        <v>2382</v>
      </c>
      <c r="M502" s="19" t="s">
        <v>910</v>
      </c>
      <c r="N502" s="19" t="s">
        <v>2787</v>
      </c>
      <c r="O502" s="20" t="s">
        <v>921</v>
      </c>
      <c r="P502" s="23" t="s">
        <v>25</v>
      </c>
      <c r="Q502" s="21" t="str">
        <f>VLOOKUP(C502,'2-1. 인사고과표(기능)'!B:AS,44,0)</f>
        <v>S</v>
      </c>
      <c r="R502" s="21" t="str">
        <f>VLOOKUP(C502,'2-2. 인사고과표(안전)'!B:AO,40,0)</f>
        <v>S</v>
      </c>
      <c r="S502" s="18"/>
      <c r="T502" s="19"/>
      <c r="U502" s="19"/>
      <c r="V502" s="19"/>
      <c r="W502" s="19"/>
      <c r="X502" s="22"/>
      <c r="Y502" s="23"/>
      <c r="Z502" s="19"/>
      <c r="AA502" s="19" t="s">
        <v>497</v>
      </c>
      <c r="AB502" s="22" t="s">
        <v>827</v>
      </c>
      <c r="AC502" s="19" t="s">
        <v>3365</v>
      </c>
      <c r="AD502" s="23" t="s">
        <v>25</v>
      </c>
      <c r="AE502" s="24"/>
    </row>
    <row r="503" spans="2:31" ht="39.950000000000003" customHeight="1" x14ac:dyDescent="0.3">
      <c r="B503" s="107">
        <v>25031</v>
      </c>
      <c r="C503" s="12">
        <f t="shared" si="25"/>
        <v>498</v>
      </c>
      <c r="D503" s="105" t="str">
        <f>IFERROR(" "&amp;VLOOKUP(B503,현장리스트!$B:$C,2,0),"-")</f>
        <v xml:space="preserve"> [4.롯데건설] 롯데바이오로직스 Project PROVIDENCE</v>
      </c>
      <c r="E503" s="13" t="s">
        <v>2418</v>
      </c>
      <c r="F503" s="13" t="str">
        <f t="shared" ca="1" si="26"/>
        <v>43세</v>
      </c>
      <c r="G503" s="14" t="s">
        <v>2419</v>
      </c>
      <c r="H503" s="15" t="str">
        <f t="shared" si="27"/>
        <v>남</v>
      </c>
      <c r="I503" s="16" t="s">
        <v>901</v>
      </c>
      <c r="J503" s="16" t="s">
        <v>30</v>
      </c>
      <c r="K503" s="17">
        <v>160000</v>
      </c>
      <c r="L503" s="18" t="s">
        <v>2420</v>
      </c>
      <c r="M503" s="19" t="s">
        <v>910</v>
      </c>
      <c r="N503" s="19" t="s">
        <v>947</v>
      </c>
      <c r="O503" s="20" t="s">
        <v>2534</v>
      </c>
      <c r="P503" s="23" t="s">
        <v>25</v>
      </c>
      <c r="Q503" s="21" t="str">
        <f>VLOOKUP(C503,'2-1. 인사고과표(기능)'!B:AS,44,0)</f>
        <v>A</v>
      </c>
      <c r="R503" s="21" t="str">
        <f>VLOOKUP(C503,'2-2. 인사고과표(안전)'!B:AO,40,0)</f>
        <v>S</v>
      </c>
      <c r="S503" s="18"/>
      <c r="T503" s="19"/>
      <c r="U503" s="19"/>
      <c r="V503" s="19"/>
      <c r="W503" s="19"/>
      <c r="X503" s="22"/>
      <c r="Y503" s="23"/>
      <c r="Z503" s="19"/>
      <c r="AA503" s="19" t="s">
        <v>3050</v>
      </c>
      <c r="AB503" s="22" t="s">
        <v>3369</v>
      </c>
      <c r="AC503" s="19" t="s">
        <v>3370</v>
      </c>
      <c r="AD503" s="23" t="s">
        <v>25</v>
      </c>
      <c r="AE503" s="24"/>
    </row>
    <row r="504" spans="2:31" ht="39.950000000000003" customHeight="1" x14ac:dyDescent="0.3">
      <c r="B504" s="107">
        <v>25031</v>
      </c>
      <c r="C504" s="12">
        <f t="shared" si="25"/>
        <v>499</v>
      </c>
      <c r="D504" s="105" t="str">
        <f>IFERROR(" "&amp;VLOOKUP(B504,현장리스트!$B:$C,2,0),"-")</f>
        <v xml:space="preserve"> [4.롯데건설] 롯데바이오로직스 Project PROVIDENCE</v>
      </c>
      <c r="E504" s="13" t="s">
        <v>2247</v>
      </c>
      <c r="F504" s="13" t="str">
        <f t="shared" ca="1" si="26"/>
        <v>25세</v>
      </c>
      <c r="G504" s="14" t="s">
        <v>2248</v>
      </c>
      <c r="H504" s="15" t="str">
        <f t="shared" si="27"/>
        <v>남</v>
      </c>
      <c r="I504" s="16" t="s">
        <v>901</v>
      </c>
      <c r="J504" s="16" t="s">
        <v>30</v>
      </c>
      <c r="K504" s="17">
        <v>200000</v>
      </c>
      <c r="L504" s="18" t="s">
        <v>2249</v>
      </c>
      <c r="M504" s="19" t="s">
        <v>914</v>
      </c>
      <c r="N504" s="19" t="s">
        <v>3426</v>
      </c>
      <c r="O504" s="20" t="s">
        <v>2534</v>
      </c>
      <c r="P504" s="23" t="s">
        <v>25</v>
      </c>
      <c r="Q504" s="21" t="str">
        <f>VLOOKUP(C504,'2-1. 인사고과표(기능)'!B:AS,44,0)</f>
        <v>A</v>
      </c>
      <c r="R504" s="21" t="str">
        <f>VLOOKUP(C504,'2-2. 인사고과표(안전)'!B:AO,40,0)</f>
        <v>S</v>
      </c>
      <c r="S504" s="18"/>
      <c r="T504" s="19"/>
      <c r="U504" s="19"/>
      <c r="V504" s="19"/>
      <c r="W504" s="19"/>
      <c r="X504" s="22"/>
      <c r="Y504" s="23"/>
      <c r="Z504" s="19"/>
      <c r="AA504" s="19" t="s">
        <v>456</v>
      </c>
      <c r="AB504" s="22" t="s">
        <v>3320</v>
      </c>
      <c r="AC504" s="19" t="s">
        <v>2758</v>
      </c>
      <c r="AD504" s="23" t="s">
        <v>23</v>
      </c>
      <c r="AE504" s="24"/>
    </row>
    <row r="505" spans="2:31" ht="39.950000000000003" customHeight="1" x14ac:dyDescent="0.3">
      <c r="B505" s="107">
        <v>25031</v>
      </c>
      <c r="C505" s="12">
        <f t="shared" si="25"/>
        <v>500</v>
      </c>
      <c r="D505" s="105" t="str">
        <f>IFERROR(" "&amp;VLOOKUP(B505,현장리스트!$B:$C,2,0),"-")</f>
        <v xml:space="preserve"> [4.롯데건설] 롯데바이오로직스 Project PROVIDENCE</v>
      </c>
      <c r="E505" s="13" t="s">
        <v>1439</v>
      </c>
      <c r="F505" s="13" t="str">
        <f t="shared" ca="1" si="26"/>
        <v>51세</v>
      </c>
      <c r="G505" s="14" t="s">
        <v>1440</v>
      </c>
      <c r="H505" s="15" t="str">
        <f t="shared" si="27"/>
        <v>남</v>
      </c>
      <c r="I505" s="16" t="s">
        <v>901</v>
      </c>
      <c r="J505" s="16" t="s">
        <v>30</v>
      </c>
      <c r="K505" s="17">
        <v>200000</v>
      </c>
      <c r="L505" s="18" t="s">
        <v>1441</v>
      </c>
      <c r="M505" s="19" t="s">
        <v>910</v>
      </c>
      <c r="N505" s="19" t="s">
        <v>1012</v>
      </c>
      <c r="O505" s="20" t="s">
        <v>2583</v>
      </c>
      <c r="P505" s="23" t="s">
        <v>25</v>
      </c>
      <c r="Q505" s="21" t="str">
        <f>VLOOKUP(C505,'2-1. 인사고과표(기능)'!B:AS,44,0)</f>
        <v>S</v>
      </c>
      <c r="R505" s="21" t="str">
        <f>VLOOKUP(C505,'2-2. 인사고과표(안전)'!B:AO,40,0)</f>
        <v>S</v>
      </c>
      <c r="S505" s="18"/>
      <c r="T505" s="19"/>
      <c r="U505" s="19"/>
      <c r="V505" s="19"/>
      <c r="W505" s="19"/>
      <c r="X505" s="22"/>
      <c r="Y505" s="23"/>
      <c r="Z505" s="19"/>
      <c r="AA505" s="19" t="s">
        <v>3324</v>
      </c>
      <c r="AB505" s="22" t="s">
        <v>3371</v>
      </c>
      <c r="AC505" s="19" t="s">
        <v>3372</v>
      </c>
      <c r="AD505" s="23" t="s">
        <v>25</v>
      </c>
      <c r="AE505" s="24"/>
    </row>
    <row r="506" spans="2:31" ht="39.950000000000003" customHeight="1" x14ac:dyDescent="0.3">
      <c r="B506" s="107">
        <v>25031</v>
      </c>
      <c r="C506" s="12">
        <f t="shared" si="25"/>
        <v>501</v>
      </c>
      <c r="D506" s="105" t="str">
        <f>IFERROR(" "&amp;VLOOKUP(B506,현장리스트!$B:$C,2,0),"-")</f>
        <v xml:space="preserve"> [4.롯데건설] 롯데바이오로직스 Project PROVIDENCE</v>
      </c>
      <c r="E506" s="13" t="s">
        <v>1863</v>
      </c>
      <c r="F506" s="13" t="str">
        <f t="shared" ca="1" si="26"/>
        <v>35세</v>
      </c>
      <c r="G506" s="14" t="s">
        <v>1864</v>
      </c>
      <c r="H506" s="15" t="str">
        <f t="shared" si="27"/>
        <v>남</v>
      </c>
      <c r="I506" s="16" t="s">
        <v>901</v>
      </c>
      <c r="J506" s="16" t="s">
        <v>30</v>
      </c>
      <c r="K506" s="17">
        <v>210000</v>
      </c>
      <c r="L506" s="18" t="s">
        <v>1865</v>
      </c>
      <c r="M506" s="19" t="s">
        <v>910</v>
      </c>
      <c r="N506" s="19" t="s">
        <v>1001</v>
      </c>
      <c r="O506" s="20" t="s">
        <v>2583</v>
      </c>
      <c r="P506" s="23" t="s">
        <v>25</v>
      </c>
      <c r="Q506" s="21" t="str">
        <f>VLOOKUP(C506,'2-1. 인사고과표(기능)'!B:AS,44,0)</f>
        <v>S</v>
      </c>
      <c r="R506" s="21" t="str">
        <f>VLOOKUP(C506,'2-2. 인사고과표(안전)'!B:AO,40,0)</f>
        <v>S</v>
      </c>
      <c r="S506" s="18"/>
      <c r="T506" s="19"/>
      <c r="U506" s="19"/>
      <c r="V506" s="19"/>
      <c r="W506" s="19" t="s">
        <v>3373</v>
      </c>
      <c r="X506" s="22" t="s">
        <v>3374</v>
      </c>
      <c r="Y506" s="23" t="s">
        <v>26</v>
      </c>
      <c r="Z506" s="19"/>
      <c r="AA506" s="19"/>
      <c r="AB506" s="22"/>
      <c r="AC506" s="19"/>
      <c r="AD506" s="23"/>
      <c r="AE506" s="24"/>
    </row>
    <row r="507" spans="2:31" ht="39.950000000000003" customHeight="1" x14ac:dyDescent="0.3">
      <c r="B507" s="107">
        <v>25031</v>
      </c>
      <c r="C507" s="12">
        <f t="shared" si="25"/>
        <v>502</v>
      </c>
      <c r="D507" s="105" t="str">
        <f>IFERROR(" "&amp;VLOOKUP(B507,현장리스트!$B:$C,2,0),"-")</f>
        <v xml:space="preserve"> [4.롯데건설] 롯데바이오로직스 Project PROVIDENCE</v>
      </c>
      <c r="E507" s="13" t="s">
        <v>1744</v>
      </c>
      <c r="F507" s="13" t="str">
        <f t="shared" ca="1" si="26"/>
        <v>56세</v>
      </c>
      <c r="G507" s="14" t="s">
        <v>1745</v>
      </c>
      <c r="H507" s="15" t="str">
        <f t="shared" si="27"/>
        <v>남</v>
      </c>
      <c r="I507" s="16" t="s">
        <v>901</v>
      </c>
      <c r="J507" s="16" t="s">
        <v>30</v>
      </c>
      <c r="K507" s="17">
        <v>230000</v>
      </c>
      <c r="L507" s="18" t="s">
        <v>1746</v>
      </c>
      <c r="M507" s="19" t="s">
        <v>910</v>
      </c>
      <c r="N507" s="19" t="s">
        <v>1007</v>
      </c>
      <c r="O507" s="20">
        <v>25</v>
      </c>
      <c r="P507" s="23" t="s">
        <v>25</v>
      </c>
      <c r="Q507" s="21" t="str">
        <f>VLOOKUP(C507,'2-1. 인사고과표(기능)'!B:AS,44,0)</f>
        <v>S</v>
      </c>
      <c r="R507" s="21" t="str">
        <f>VLOOKUP(C507,'2-2. 인사고과표(안전)'!B:AO,40,0)</f>
        <v>S</v>
      </c>
      <c r="S507" s="18"/>
      <c r="T507" s="19"/>
      <c r="U507" s="19"/>
      <c r="V507" s="19"/>
      <c r="W507" s="19"/>
      <c r="X507" s="22"/>
      <c r="Y507" s="23"/>
      <c r="Z507" s="19"/>
      <c r="AA507" s="19" t="s">
        <v>497</v>
      </c>
      <c r="AB507" s="22" t="s">
        <v>3375</v>
      </c>
      <c r="AC507" s="19" t="s">
        <v>3376</v>
      </c>
      <c r="AD507" s="23" t="s">
        <v>23</v>
      </c>
      <c r="AE507" s="24"/>
    </row>
    <row r="508" spans="2:31" ht="39.950000000000003" customHeight="1" x14ac:dyDescent="0.3">
      <c r="B508" s="107">
        <v>25031</v>
      </c>
      <c r="C508" s="12">
        <f t="shared" si="25"/>
        <v>503</v>
      </c>
      <c r="D508" s="105" t="str">
        <f>IFERROR(" "&amp;VLOOKUP(B508,현장리스트!$B:$C,2,0),"-")</f>
        <v xml:space="preserve"> [4.롯데건설] 롯데바이오로직스 Project PROVIDENCE</v>
      </c>
      <c r="E508" s="13" t="s">
        <v>1828</v>
      </c>
      <c r="F508" s="13" t="str">
        <f t="shared" ca="1" si="26"/>
        <v>52세</v>
      </c>
      <c r="G508" s="14" t="s">
        <v>1829</v>
      </c>
      <c r="H508" s="15" t="str">
        <f t="shared" si="27"/>
        <v>남</v>
      </c>
      <c r="I508" s="16" t="s">
        <v>901</v>
      </c>
      <c r="J508" s="16" t="s">
        <v>30</v>
      </c>
      <c r="K508" s="17">
        <v>190000</v>
      </c>
      <c r="L508" s="18" t="s">
        <v>1830</v>
      </c>
      <c r="M508" s="19" t="s">
        <v>910</v>
      </c>
      <c r="N508" s="19" t="s">
        <v>1001</v>
      </c>
      <c r="O508" s="20">
        <v>17</v>
      </c>
      <c r="P508" s="23" t="s">
        <v>25</v>
      </c>
      <c r="Q508" s="21" t="str">
        <f>VLOOKUP(C508,'2-1. 인사고과표(기능)'!B:AS,44,0)</f>
        <v>S</v>
      </c>
      <c r="R508" s="21" t="str">
        <f>VLOOKUP(C508,'2-2. 인사고과표(안전)'!B:AO,40,0)</f>
        <v>S</v>
      </c>
      <c r="S508" s="18"/>
      <c r="T508" s="19"/>
      <c r="U508" s="19"/>
      <c r="V508" s="19"/>
      <c r="W508" s="19"/>
      <c r="X508" s="22"/>
      <c r="Y508" s="23"/>
      <c r="Z508" s="19"/>
      <c r="AA508" s="19" t="s">
        <v>3324</v>
      </c>
      <c r="AB508" s="22" t="s">
        <v>3377</v>
      </c>
      <c r="AC508" s="19" t="s">
        <v>3378</v>
      </c>
      <c r="AD508" s="23" t="s">
        <v>25</v>
      </c>
      <c r="AE508" s="24"/>
    </row>
    <row r="509" spans="2:31" ht="39.950000000000003" customHeight="1" x14ac:dyDescent="0.3">
      <c r="B509" s="107">
        <v>25031</v>
      </c>
      <c r="C509" s="12">
        <f t="shared" si="25"/>
        <v>504</v>
      </c>
      <c r="D509" s="105" t="str">
        <f>IFERROR(" "&amp;VLOOKUP(B509,현장리스트!$B:$C,2,0),"-")</f>
        <v xml:space="preserve"> [4.롯데건설] 롯데바이오로직스 Project PROVIDENCE</v>
      </c>
      <c r="E509" s="13" t="s">
        <v>2034</v>
      </c>
      <c r="F509" s="13" t="str">
        <f t="shared" ca="1" si="26"/>
        <v>40세</v>
      </c>
      <c r="G509" s="14" t="s">
        <v>2035</v>
      </c>
      <c r="H509" s="15" t="str">
        <f t="shared" si="27"/>
        <v>남</v>
      </c>
      <c r="I509" s="16" t="s">
        <v>901</v>
      </c>
      <c r="J509" s="16" t="s">
        <v>30</v>
      </c>
      <c r="K509" s="17">
        <v>210000</v>
      </c>
      <c r="L509" s="18" t="s">
        <v>2036</v>
      </c>
      <c r="M509" s="19" t="s">
        <v>910</v>
      </c>
      <c r="N509" s="19" t="s">
        <v>1007</v>
      </c>
      <c r="O509" s="20">
        <v>10</v>
      </c>
      <c r="P509" s="23" t="s">
        <v>25</v>
      </c>
      <c r="Q509" s="21" t="str">
        <f>VLOOKUP(C509,'2-1. 인사고과표(기능)'!B:AS,44,0)</f>
        <v>A</v>
      </c>
      <c r="R509" s="21" t="str">
        <f>VLOOKUP(C509,'2-2. 인사고과표(안전)'!B:AO,40,0)</f>
        <v>S</v>
      </c>
      <c r="S509" s="18"/>
      <c r="T509" s="19"/>
      <c r="U509" s="19"/>
      <c r="V509" s="19"/>
      <c r="W509" s="19"/>
      <c r="X509" s="22"/>
      <c r="Y509" s="23"/>
      <c r="Z509" s="19"/>
      <c r="AA509" s="19" t="s">
        <v>497</v>
      </c>
      <c r="AB509" s="22" t="s">
        <v>3379</v>
      </c>
      <c r="AC509" s="19" t="s">
        <v>2746</v>
      </c>
      <c r="AD509" s="23" t="s">
        <v>23</v>
      </c>
      <c r="AE509" s="24"/>
    </row>
    <row r="510" spans="2:31" ht="39.950000000000003" customHeight="1" x14ac:dyDescent="0.3">
      <c r="B510" s="107">
        <v>25031</v>
      </c>
      <c r="C510" s="12">
        <f t="shared" si="25"/>
        <v>505</v>
      </c>
      <c r="D510" s="105" t="str">
        <f>IFERROR(" "&amp;VLOOKUP(B510,현장리스트!$B:$C,2,0),"-")</f>
        <v xml:space="preserve"> [4.롯데건설] 롯데바이오로직스 Project PROVIDENCE</v>
      </c>
      <c r="E510" s="13" t="s">
        <v>2084</v>
      </c>
      <c r="F510" s="13" t="str">
        <f t="shared" ca="1" si="26"/>
        <v>52세</v>
      </c>
      <c r="G510" s="14" t="s">
        <v>2085</v>
      </c>
      <c r="H510" s="15" t="str">
        <f t="shared" si="27"/>
        <v>남</v>
      </c>
      <c r="I510" s="16" t="s">
        <v>901</v>
      </c>
      <c r="J510" s="16" t="s">
        <v>30</v>
      </c>
      <c r="K510" s="17">
        <v>220000</v>
      </c>
      <c r="L510" s="18" t="s">
        <v>2086</v>
      </c>
      <c r="M510" s="19" t="s">
        <v>910</v>
      </c>
      <c r="N510" s="19" t="s">
        <v>1001</v>
      </c>
      <c r="O510" s="20">
        <v>20</v>
      </c>
      <c r="P510" s="23" t="s">
        <v>25</v>
      </c>
      <c r="Q510" s="21" t="str">
        <f>VLOOKUP(C510,'2-1. 인사고과표(기능)'!B:AS,44,0)</f>
        <v>A</v>
      </c>
      <c r="R510" s="21" t="str">
        <f>VLOOKUP(C510,'2-2. 인사고과표(안전)'!B:AO,40,0)</f>
        <v>S</v>
      </c>
      <c r="S510" s="18"/>
      <c r="T510" s="19"/>
      <c r="U510" s="19"/>
      <c r="V510" s="19"/>
      <c r="W510" s="19"/>
      <c r="X510" s="22"/>
      <c r="Y510" s="23"/>
      <c r="Z510" s="19"/>
      <c r="AA510" s="19" t="s">
        <v>513</v>
      </c>
      <c r="AB510" s="22" t="s">
        <v>3380</v>
      </c>
      <c r="AC510" s="19" t="s">
        <v>3365</v>
      </c>
      <c r="AD510" s="23" t="s">
        <v>23</v>
      </c>
      <c r="AE510" s="24"/>
    </row>
    <row r="511" spans="2:31" ht="39.950000000000003" customHeight="1" x14ac:dyDescent="0.3">
      <c r="B511" s="107">
        <v>25031</v>
      </c>
      <c r="C511" s="12">
        <f t="shared" si="25"/>
        <v>506</v>
      </c>
      <c r="D511" s="105" t="str">
        <f>IFERROR(" "&amp;VLOOKUP(B511,현장리스트!$B:$C,2,0),"-")</f>
        <v xml:space="preserve"> [4.롯데건설] 롯데바이오로직스 Project PROVIDENCE</v>
      </c>
      <c r="E511" s="13" t="s">
        <v>3268</v>
      </c>
      <c r="F511" s="13" t="str">
        <f t="shared" ca="1" si="26"/>
        <v>49세</v>
      </c>
      <c r="G511" s="14" t="s">
        <v>3278</v>
      </c>
      <c r="H511" s="15" t="str">
        <f t="shared" si="27"/>
        <v>남</v>
      </c>
      <c r="I511" s="16" t="s">
        <v>901</v>
      </c>
      <c r="J511" s="16" t="s">
        <v>30</v>
      </c>
      <c r="K511" s="17">
        <v>220000</v>
      </c>
      <c r="L511" s="18" t="s">
        <v>3303</v>
      </c>
      <c r="M511" s="19" t="s">
        <v>910</v>
      </c>
      <c r="N511" s="19" t="s">
        <v>1007</v>
      </c>
      <c r="O511" s="20">
        <v>19</v>
      </c>
      <c r="P511" s="23" t="s">
        <v>25</v>
      </c>
      <c r="Q511" s="21" t="str">
        <f>VLOOKUP(C511,'2-1. 인사고과표(기능)'!B:AS,44,0)</f>
        <v>A</v>
      </c>
      <c r="R511" s="21" t="str">
        <f>VLOOKUP(C511,'2-2. 인사고과표(안전)'!B:AO,40,0)</f>
        <v>S</v>
      </c>
      <c r="S511" s="18"/>
      <c r="T511" s="19"/>
      <c r="U511" s="19"/>
      <c r="V511" s="19"/>
      <c r="W511" s="19"/>
      <c r="X511" s="22"/>
      <c r="Y511" s="23"/>
      <c r="Z511" s="19"/>
      <c r="AA511" s="19" t="s">
        <v>3373</v>
      </c>
      <c r="AB511" s="22" t="s">
        <v>3381</v>
      </c>
      <c r="AC511" s="19" t="s">
        <v>1730</v>
      </c>
      <c r="AD511" s="23" t="s">
        <v>26</v>
      </c>
      <c r="AE511" s="24"/>
    </row>
    <row r="512" spans="2:31" ht="39.950000000000003" customHeight="1" x14ac:dyDescent="0.3">
      <c r="B512" s="107">
        <v>25031</v>
      </c>
      <c r="C512" s="12">
        <f t="shared" si="25"/>
        <v>507</v>
      </c>
      <c r="D512" s="105" t="str">
        <f>IFERROR(" "&amp;VLOOKUP(B512,현장리스트!$B:$C,2,0),"-")</f>
        <v xml:space="preserve"> [4.롯데건설] 롯데바이오로직스 Project PROVIDENCE</v>
      </c>
      <c r="E512" s="13" t="s">
        <v>2346</v>
      </c>
      <c r="F512" s="13" t="str">
        <f t="shared" ca="1" si="26"/>
        <v>58세</v>
      </c>
      <c r="G512" s="14" t="s">
        <v>2347</v>
      </c>
      <c r="H512" s="15" t="str">
        <f t="shared" si="27"/>
        <v>남</v>
      </c>
      <c r="I512" s="16" t="s">
        <v>901</v>
      </c>
      <c r="J512" s="16" t="s">
        <v>30</v>
      </c>
      <c r="K512" s="17">
        <v>220000</v>
      </c>
      <c r="L512" s="18" t="s">
        <v>2348</v>
      </c>
      <c r="M512" s="19" t="s">
        <v>910</v>
      </c>
      <c r="N512" s="19" t="s">
        <v>995</v>
      </c>
      <c r="O512" s="20">
        <v>20</v>
      </c>
      <c r="P512" s="23" t="s">
        <v>25</v>
      </c>
      <c r="Q512" s="21" t="str">
        <f>VLOOKUP(C512,'2-1. 인사고과표(기능)'!B:AS,44,0)</f>
        <v>A</v>
      </c>
      <c r="R512" s="21" t="str">
        <f>VLOOKUP(C512,'2-2. 인사고과표(안전)'!B:AO,40,0)</f>
        <v>S</v>
      </c>
      <c r="S512" s="18"/>
      <c r="T512" s="19"/>
      <c r="U512" s="19"/>
      <c r="V512" s="19"/>
      <c r="W512" s="19"/>
      <c r="X512" s="22"/>
      <c r="Y512" s="23"/>
      <c r="Z512" s="19"/>
      <c r="AA512" s="19" t="s">
        <v>438</v>
      </c>
      <c r="AB512" s="22" t="s">
        <v>3382</v>
      </c>
      <c r="AC512" s="19" t="s">
        <v>3383</v>
      </c>
      <c r="AD512" s="23" t="s">
        <v>25</v>
      </c>
      <c r="AE512" s="24"/>
    </row>
    <row r="513" spans="2:31" ht="39.950000000000003" customHeight="1" x14ac:dyDescent="0.3">
      <c r="B513" s="107">
        <v>25031</v>
      </c>
      <c r="C513" s="12">
        <f t="shared" si="25"/>
        <v>508</v>
      </c>
      <c r="D513" s="105" t="str">
        <f>IFERROR(" "&amp;VLOOKUP(B513,현장리스트!$B:$C,2,0),"-")</f>
        <v xml:space="preserve"> [4.롯데건설] 롯데바이오로직스 Project PROVIDENCE</v>
      </c>
      <c r="E513" s="13" t="s">
        <v>2449</v>
      </c>
      <c r="F513" s="13" t="str">
        <f t="shared" ca="1" si="26"/>
        <v>54세</v>
      </c>
      <c r="G513" s="14" t="s">
        <v>2450</v>
      </c>
      <c r="H513" s="15" t="str">
        <f t="shared" si="27"/>
        <v>남</v>
      </c>
      <c r="I513" s="16" t="s">
        <v>901</v>
      </c>
      <c r="J513" s="16" t="s">
        <v>30</v>
      </c>
      <c r="K513" s="17">
        <v>220000</v>
      </c>
      <c r="L513" s="18" t="s">
        <v>2451</v>
      </c>
      <c r="M513" s="19" t="s">
        <v>910</v>
      </c>
      <c r="N513" s="19" t="s">
        <v>1012</v>
      </c>
      <c r="O513" s="20">
        <v>18</v>
      </c>
      <c r="P513" s="23" t="s">
        <v>25</v>
      </c>
      <c r="Q513" s="21" t="str">
        <f>VLOOKUP(C513,'2-1. 인사고과표(기능)'!B:AS,44,0)</f>
        <v>A</v>
      </c>
      <c r="R513" s="21" t="str">
        <f>VLOOKUP(C513,'2-2. 인사고과표(안전)'!B:AO,40,0)</f>
        <v>S</v>
      </c>
      <c r="S513" s="18"/>
      <c r="T513" s="19"/>
      <c r="U513" s="19"/>
      <c r="V513" s="19"/>
      <c r="W513" s="19"/>
      <c r="X513" s="22"/>
      <c r="Y513" s="23"/>
      <c r="Z513" s="19"/>
      <c r="AA513" s="19" t="s">
        <v>3324</v>
      </c>
      <c r="AB513" s="22" t="s">
        <v>3377</v>
      </c>
      <c r="AC513" s="19" t="s">
        <v>3378</v>
      </c>
      <c r="AD513" s="23" t="s">
        <v>25</v>
      </c>
      <c r="AE513" s="24"/>
    </row>
    <row r="514" spans="2:31" ht="39.950000000000003" customHeight="1" x14ac:dyDescent="0.3">
      <c r="B514" s="107">
        <v>25031</v>
      </c>
      <c r="C514" s="12">
        <f t="shared" si="25"/>
        <v>509</v>
      </c>
      <c r="D514" s="105" t="str">
        <f>IFERROR(" "&amp;VLOOKUP(B514,현장리스트!$B:$C,2,0),"-")</f>
        <v xml:space="preserve"> [4.롯데건설] 롯데바이오로직스 Project PROVIDENCE</v>
      </c>
      <c r="E514" s="13" t="s">
        <v>1777</v>
      </c>
      <c r="F514" s="13" t="str">
        <f t="shared" ca="1" si="26"/>
        <v>47세</v>
      </c>
      <c r="G514" s="14" t="s">
        <v>1778</v>
      </c>
      <c r="H514" s="15" t="str">
        <f t="shared" si="27"/>
        <v>남</v>
      </c>
      <c r="I514" s="16" t="s">
        <v>901</v>
      </c>
      <c r="J514" s="16" t="s">
        <v>30</v>
      </c>
      <c r="K514" s="17">
        <v>230000</v>
      </c>
      <c r="L514" s="18" t="s">
        <v>1779</v>
      </c>
      <c r="M514" s="19" t="s">
        <v>910</v>
      </c>
      <c r="N514" s="19" t="s">
        <v>1007</v>
      </c>
      <c r="O514" s="20">
        <v>16</v>
      </c>
      <c r="P514" s="23" t="s">
        <v>25</v>
      </c>
      <c r="Q514" s="21" t="str">
        <f>VLOOKUP(C514,'2-1. 인사고과표(기능)'!B:AS,44,0)</f>
        <v>S</v>
      </c>
      <c r="R514" s="21" t="str">
        <f>VLOOKUP(C514,'2-2. 인사고과표(안전)'!B:AO,40,0)</f>
        <v>S</v>
      </c>
      <c r="S514" s="18"/>
      <c r="T514" s="19"/>
      <c r="U514" s="19"/>
      <c r="V514" s="19"/>
      <c r="W514" s="19"/>
      <c r="X514" s="22"/>
      <c r="Y514" s="23"/>
      <c r="Z514" s="19"/>
      <c r="AA514" s="19" t="s">
        <v>3324</v>
      </c>
      <c r="AB514" s="22" t="s">
        <v>3384</v>
      </c>
      <c r="AC514" s="19" t="s">
        <v>3358</v>
      </c>
      <c r="AD514" s="23" t="s">
        <v>25</v>
      </c>
      <c r="AE514" s="24"/>
    </row>
    <row r="515" spans="2:31" ht="39.950000000000003" customHeight="1" x14ac:dyDescent="0.3">
      <c r="B515" s="107">
        <v>25031</v>
      </c>
      <c r="C515" s="12">
        <f t="shared" si="25"/>
        <v>510</v>
      </c>
      <c r="D515" s="105" t="str">
        <f>IFERROR(" "&amp;VLOOKUP(B515,현장리스트!$B:$C,2,0),"-")</f>
        <v xml:space="preserve"> [4.롯데건설] 롯데바이오로직스 Project PROVIDENCE</v>
      </c>
      <c r="E515" s="13" t="s">
        <v>1424</v>
      </c>
      <c r="F515" s="13" t="str">
        <f t="shared" ca="1" si="26"/>
        <v>42세</v>
      </c>
      <c r="G515" s="14" t="s">
        <v>1425</v>
      </c>
      <c r="H515" s="15" t="str">
        <f t="shared" si="27"/>
        <v>남</v>
      </c>
      <c r="I515" s="16" t="s">
        <v>901</v>
      </c>
      <c r="J515" s="16" t="s">
        <v>30</v>
      </c>
      <c r="K515" s="17">
        <v>200000</v>
      </c>
      <c r="L515" s="18" t="s">
        <v>1426</v>
      </c>
      <c r="M515" s="19" t="s">
        <v>914</v>
      </c>
      <c r="N515" s="19" t="s">
        <v>3019</v>
      </c>
      <c r="O515" s="20">
        <v>10</v>
      </c>
      <c r="P515" s="23" t="s">
        <v>25</v>
      </c>
      <c r="Q515" s="21" t="str">
        <f>VLOOKUP(C515,'2-1. 인사고과표(기능)'!B:AS,44,0)</f>
        <v>A</v>
      </c>
      <c r="R515" s="21" t="str">
        <f>VLOOKUP(C515,'2-2. 인사고과표(안전)'!B:AO,40,0)</f>
        <v>A</v>
      </c>
      <c r="S515" s="18"/>
      <c r="T515" s="19"/>
      <c r="U515" s="19"/>
      <c r="V515" s="19"/>
      <c r="W515" s="19"/>
      <c r="X515" s="22"/>
      <c r="Y515" s="23"/>
      <c r="Z515" s="19"/>
      <c r="AA515" s="19" t="s">
        <v>3324</v>
      </c>
      <c r="AB515" s="22" t="s">
        <v>3385</v>
      </c>
      <c r="AC515" s="19" t="s">
        <v>3386</v>
      </c>
      <c r="AD515" s="23" t="s">
        <v>25</v>
      </c>
      <c r="AE515" s="24"/>
    </row>
    <row r="516" spans="2:31" ht="39.950000000000003" customHeight="1" x14ac:dyDescent="0.3">
      <c r="B516" s="107">
        <v>25031</v>
      </c>
      <c r="C516" s="12">
        <f t="shared" si="25"/>
        <v>511</v>
      </c>
      <c r="D516" s="105" t="str">
        <f>IFERROR(" "&amp;VLOOKUP(B516,현장리스트!$B:$C,2,0),"-")</f>
        <v xml:space="preserve"> [4.롯데건설] 롯데바이오로직스 Project PROVIDENCE</v>
      </c>
      <c r="E516" s="13" t="s">
        <v>1689</v>
      </c>
      <c r="F516" s="13" t="str">
        <f t="shared" ca="1" si="26"/>
        <v>26세</v>
      </c>
      <c r="G516" s="14" t="s">
        <v>1690</v>
      </c>
      <c r="H516" s="15" t="str">
        <f t="shared" si="27"/>
        <v>남</v>
      </c>
      <c r="I516" s="16" t="s">
        <v>901</v>
      </c>
      <c r="J516" s="16" t="s">
        <v>30</v>
      </c>
      <c r="K516" s="17">
        <v>180000</v>
      </c>
      <c r="L516" s="18" t="s">
        <v>1691</v>
      </c>
      <c r="M516" s="19" t="s">
        <v>910</v>
      </c>
      <c r="N516" s="19" t="s">
        <v>1001</v>
      </c>
      <c r="O516" s="20">
        <v>2</v>
      </c>
      <c r="P516" s="23" t="s">
        <v>25</v>
      </c>
      <c r="Q516" s="21" t="str">
        <f>VLOOKUP(C516,'2-1. 인사고과표(기능)'!B:AS,44,0)</f>
        <v>A</v>
      </c>
      <c r="R516" s="21" t="str">
        <f>VLOOKUP(C516,'2-2. 인사고과표(안전)'!B:AO,40,0)</f>
        <v>A</v>
      </c>
      <c r="S516" s="18"/>
      <c r="T516" s="19"/>
      <c r="U516" s="19"/>
      <c r="V516" s="19"/>
      <c r="W516" s="19"/>
      <c r="X516" s="22"/>
      <c r="Y516" s="23"/>
      <c r="Z516" s="19"/>
      <c r="AA516" s="19" t="s">
        <v>3324</v>
      </c>
      <c r="AB516" s="22" t="s">
        <v>3387</v>
      </c>
      <c r="AC516" s="19" t="s">
        <v>3386</v>
      </c>
      <c r="AD516" s="23" t="s">
        <v>25</v>
      </c>
      <c r="AE516" s="24"/>
    </row>
    <row r="517" spans="2:31" ht="39.950000000000003" customHeight="1" x14ac:dyDescent="0.3">
      <c r="B517" s="107">
        <v>25031</v>
      </c>
      <c r="C517" s="12">
        <f t="shared" si="25"/>
        <v>512</v>
      </c>
      <c r="D517" s="105" t="str">
        <f>IFERROR(" "&amp;VLOOKUP(B517,현장리스트!$B:$C,2,0),"-")</f>
        <v xml:space="preserve"> [4.롯데건설] 롯데바이오로직스 Project PROVIDENCE</v>
      </c>
      <c r="E517" s="13" t="s">
        <v>1786</v>
      </c>
      <c r="F517" s="13" t="str">
        <f t="shared" ca="1" si="26"/>
        <v>42세</v>
      </c>
      <c r="G517" s="14" t="s">
        <v>1787</v>
      </c>
      <c r="H517" s="15" t="str">
        <f t="shared" si="27"/>
        <v>남</v>
      </c>
      <c r="I517" s="16" t="s">
        <v>901</v>
      </c>
      <c r="J517" s="16" t="s">
        <v>30</v>
      </c>
      <c r="K517" s="17">
        <v>200000</v>
      </c>
      <c r="L517" s="18" t="s">
        <v>1788</v>
      </c>
      <c r="M517" s="19" t="s">
        <v>910</v>
      </c>
      <c r="N517" s="19" t="s">
        <v>1012</v>
      </c>
      <c r="O517" s="20">
        <v>6</v>
      </c>
      <c r="P517" s="23" t="s">
        <v>25</v>
      </c>
      <c r="Q517" s="21" t="str">
        <f>VLOOKUP(C517,'2-1. 인사고과표(기능)'!B:AS,44,0)</f>
        <v>A</v>
      </c>
      <c r="R517" s="21" t="str">
        <f>VLOOKUP(C517,'2-2. 인사고과표(안전)'!B:AO,40,0)</f>
        <v>S</v>
      </c>
      <c r="S517" s="18"/>
      <c r="T517" s="19"/>
      <c r="U517" s="19"/>
      <c r="V517" s="19"/>
      <c r="W517" s="19"/>
      <c r="X517" s="22"/>
      <c r="Y517" s="23"/>
      <c r="Z517" s="19"/>
      <c r="AA517" s="19" t="s">
        <v>3324</v>
      </c>
      <c r="AB517" s="22" t="s">
        <v>3385</v>
      </c>
      <c r="AC517" s="19" t="s">
        <v>3386</v>
      </c>
      <c r="AD517" s="23" t="s">
        <v>25</v>
      </c>
      <c r="AE517" s="24"/>
    </row>
    <row r="518" spans="2:31" ht="39.950000000000003" customHeight="1" x14ac:dyDescent="0.3">
      <c r="B518" s="107">
        <v>25031</v>
      </c>
      <c r="C518" s="12">
        <f t="shared" ref="C518:C581" si="28">ROW()-5</f>
        <v>513</v>
      </c>
      <c r="D518" s="105" t="str">
        <f>IFERROR(" "&amp;VLOOKUP(B518,현장리스트!$B:$C,2,0),"-")</f>
        <v xml:space="preserve"> [4.롯데건설] 롯데바이오로직스 Project PROVIDENCE</v>
      </c>
      <c r="E518" s="13" t="s">
        <v>2236</v>
      </c>
      <c r="F518" s="13" t="str">
        <f t="shared" ref="F518:F581" ca="1" si="29">IFERROR(DATEDIF(MID(G518,1,2)&amp;"-"&amp;MID(G518,3,2)&amp;"-"&amp;MID(G518,5,2),TODAY(),"y")&amp;"세","")</f>
        <v>28세</v>
      </c>
      <c r="G518" s="14" t="s">
        <v>2237</v>
      </c>
      <c r="H518" s="15" t="str">
        <f t="shared" ref="H518:H581" si="30">IF(G518="","",IF(LEN(G518)&lt;14,"에러",IF(LEN(G518)&lt;14,"에러",IF(ISODD(MID(G518,8,1)),"남","여"))))</f>
        <v>남</v>
      </c>
      <c r="I518" s="16" t="s">
        <v>901</v>
      </c>
      <c r="J518" s="16" t="s">
        <v>30</v>
      </c>
      <c r="K518" s="17">
        <v>160000</v>
      </c>
      <c r="L518" s="18" t="s">
        <v>2238</v>
      </c>
      <c r="M518" s="19" t="s">
        <v>910</v>
      </c>
      <c r="N518" s="19" t="s">
        <v>1001</v>
      </c>
      <c r="O518" s="20">
        <v>4</v>
      </c>
      <c r="P518" s="23" t="s">
        <v>25</v>
      </c>
      <c r="Q518" s="21" t="str">
        <f>VLOOKUP(C518,'2-1. 인사고과표(기능)'!B:AS,44,0)</f>
        <v>A</v>
      </c>
      <c r="R518" s="21" t="str">
        <f>VLOOKUP(C518,'2-2. 인사고과표(안전)'!B:AO,40,0)</f>
        <v>S</v>
      </c>
      <c r="S518" s="18"/>
      <c r="T518" s="19"/>
      <c r="U518" s="19"/>
      <c r="V518" s="19"/>
      <c r="W518" s="19"/>
      <c r="X518" s="22"/>
      <c r="Y518" s="23"/>
      <c r="Z518" s="19"/>
      <c r="AA518" s="19" t="s">
        <v>3324</v>
      </c>
      <c r="AB518" s="22" t="s">
        <v>3385</v>
      </c>
      <c r="AC518" s="19" t="s">
        <v>3386</v>
      </c>
      <c r="AD518" s="23" t="s">
        <v>25</v>
      </c>
      <c r="AE518" s="24"/>
    </row>
    <row r="519" spans="2:31" ht="39.950000000000003" customHeight="1" x14ac:dyDescent="0.3">
      <c r="B519" s="107">
        <v>25031</v>
      </c>
      <c r="C519" s="12">
        <f t="shared" si="28"/>
        <v>514</v>
      </c>
      <c r="D519" s="105" t="str">
        <f>IFERROR(" "&amp;VLOOKUP(B519,현장리스트!$B:$C,2,0),"-")</f>
        <v xml:space="preserve"> [4.롯데건설] 롯데바이오로직스 Project PROVIDENCE</v>
      </c>
      <c r="E519" s="13" t="s">
        <v>1919</v>
      </c>
      <c r="F519" s="13" t="str">
        <f t="shared" ca="1" si="29"/>
        <v>61세</v>
      </c>
      <c r="G519" s="14" t="s">
        <v>1920</v>
      </c>
      <c r="H519" s="15" t="str">
        <f t="shared" si="30"/>
        <v>남</v>
      </c>
      <c r="I519" s="16" t="s">
        <v>901</v>
      </c>
      <c r="J519" s="16" t="s">
        <v>30</v>
      </c>
      <c r="K519" s="17">
        <v>230000</v>
      </c>
      <c r="L519" s="18" t="s">
        <v>1921</v>
      </c>
      <c r="M519" s="19" t="s">
        <v>914</v>
      </c>
      <c r="N519" s="19" t="s">
        <v>2979</v>
      </c>
      <c r="O519" s="20">
        <v>30</v>
      </c>
      <c r="P519" s="23" t="s">
        <v>25</v>
      </c>
      <c r="Q519" s="21" t="str">
        <f>VLOOKUP(C519,'2-1. 인사고과표(기능)'!B:AS,44,0)</f>
        <v>S</v>
      </c>
      <c r="R519" s="21" t="str">
        <f>VLOOKUP(C519,'2-2. 인사고과표(안전)'!B:AO,40,0)</f>
        <v>S</v>
      </c>
      <c r="S519" s="18"/>
      <c r="T519" s="19"/>
      <c r="U519" s="19"/>
      <c r="V519" s="19"/>
      <c r="W519" s="19"/>
      <c r="X519" s="22"/>
      <c r="Y519" s="23"/>
      <c r="Z519" s="19"/>
      <c r="AA519" s="19" t="s">
        <v>497</v>
      </c>
      <c r="AB519" s="22" t="s">
        <v>3388</v>
      </c>
      <c r="AC519" s="19" t="s">
        <v>3389</v>
      </c>
      <c r="AD519" s="23" t="s">
        <v>23</v>
      </c>
      <c r="AE519" s="24"/>
    </row>
    <row r="520" spans="2:31" ht="39.950000000000003" customHeight="1" x14ac:dyDescent="0.3">
      <c r="B520" s="107">
        <v>25031</v>
      </c>
      <c r="C520" s="12">
        <f t="shared" si="28"/>
        <v>515</v>
      </c>
      <c r="D520" s="105" t="str">
        <f>IFERROR(" "&amp;VLOOKUP(B520,현장리스트!$B:$C,2,0),"-")</f>
        <v xml:space="preserve"> [4.롯데건설] 롯데바이오로직스 Project PROVIDENCE</v>
      </c>
      <c r="E520" s="13" t="s">
        <v>1902</v>
      </c>
      <c r="F520" s="13" t="str">
        <f t="shared" ca="1" si="29"/>
        <v>35세</v>
      </c>
      <c r="G520" s="14" t="s">
        <v>1903</v>
      </c>
      <c r="H520" s="15" t="str">
        <f t="shared" si="30"/>
        <v>남</v>
      </c>
      <c r="I520" s="16" t="s">
        <v>901</v>
      </c>
      <c r="J520" s="16" t="s">
        <v>30</v>
      </c>
      <c r="K520" s="17">
        <v>230000</v>
      </c>
      <c r="L520" s="18" t="s">
        <v>1904</v>
      </c>
      <c r="M520" s="19" t="s">
        <v>914</v>
      </c>
      <c r="N520" s="19" t="s">
        <v>2979</v>
      </c>
      <c r="O520" s="20">
        <v>4</v>
      </c>
      <c r="P520" s="23" t="s">
        <v>25</v>
      </c>
      <c r="Q520" s="21" t="str">
        <f>VLOOKUP(C520,'2-1. 인사고과표(기능)'!B:AS,44,0)</f>
        <v>A</v>
      </c>
      <c r="R520" s="21" t="str">
        <f>VLOOKUP(C520,'2-2. 인사고과표(안전)'!B:AO,40,0)</f>
        <v>A</v>
      </c>
      <c r="S520" s="18"/>
      <c r="T520" s="19"/>
      <c r="U520" s="19"/>
      <c r="V520" s="19"/>
      <c r="W520" s="19"/>
      <c r="X520" s="22"/>
      <c r="Y520" s="23"/>
      <c r="Z520" s="19"/>
      <c r="AA520" s="19" t="s">
        <v>497</v>
      </c>
      <c r="AB520" s="22" t="s">
        <v>3388</v>
      </c>
      <c r="AC520" s="19" t="s">
        <v>3389</v>
      </c>
      <c r="AD520" s="23" t="s">
        <v>23</v>
      </c>
      <c r="AE520" s="24"/>
    </row>
    <row r="521" spans="2:31" ht="39.950000000000003" customHeight="1" x14ac:dyDescent="0.3">
      <c r="B521" s="107">
        <v>25031</v>
      </c>
      <c r="C521" s="12">
        <f t="shared" si="28"/>
        <v>516</v>
      </c>
      <c r="D521" s="105" t="str">
        <f>IFERROR(" "&amp;VLOOKUP(B521,현장리스트!$B:$C,2,0),"-")</f>
        <v xml:space="preserve"> [4.롯데건설] 롯데바이오로직스 Project PROVIDENCE</v>
      </c>
      <c r="E521" s="13" t="s">
        <v>3269</v>
      </c>
      <c r="F521" s="13" t="str">
        <f t="shared" ca="1" si="29"/>
        <v>59세</v>
      </c>
      <c r="G521" s="14" t="s">
        <v>3279</v>
      </c>
      <c r="H521" s="15" t="str">
        <f t="shared" si="30"/>
        <v>남</v>
      </c>
      <c r="I521" s="16" t="s">
        <v>901</v>
      </c>
      <c r="J521" s="16" t="s">
        <v>30</v>
      </c>
      <c r="K521" s="17">
        <v>230000</v>
      </c>
      <c r="L521" s="18" t="s">
        <v>3304</v>
      </c>
      <c r="M521" s="19" t="s">
        <v>914</v>
      </c>
      <c r="N521" s="19" t="s">
        <v>2667</v>
      </c>
      <c r="O521" s="20">
        <v>25</v>
      </c>
      <c r="P521" s="23" t="s">
        <v>25</v>
      </c>
      <c r="Q521" s="21" t="str">
        <f>VLOOKUP(C521,'2-1. 인사고과표(기능)'!B:AS,44,0)</f>
        <v>S</v>
      </c>
      <c r="R521" s="21" t="str">
        <f>VLOOKUP(C521,'2-2. 인사고과표(안전)'!B:AO,40,0)</f>
        <v>S</v>
      </c>
      <c r="S521" s="18"/>
      <c r="T521" s="19"/>
      <c r="U521" s="19"/>
      <c r="V521" s="19"/>
      <c r="W521" s="19"/>
      <c r="X521" s="22"/>
      <c r="Y521" s="23"/>
      <c r="Z521" s="19"/>
      <c r="AA521" s="19" t="s">
        <v>2563</v>
      </c>
      <c r="AB521" s="22" t="s">
        <v>3390</v>
      </c>
      <c r="AC521" s="19" t="s">
        <v>3391</v>
      </c>
      <c r="AD521" s="23" t="s">
        <v>25</v>
      </c>
      <c r="AE521" s="24"/>
    </row>
    <row r="522" spans="2:31" ht="39.950000000000003" customHeight="1" x14ac:dyDescent="0.3">
      <c r="B522" s="107">
        <v>25031</v>
      </c>
      <c r="C522" s="12">
        <f t="shared" si="28"/>
        <v>517</v>
      </c>
      <c r="D522" s="105" t="str">
        <f>IFERROR(" "&amp;VLOOKUP(B522,현장리스트!$B:$C,2,0),"-")</f>
        <v xml:space="preserve"> [4.롯데건설] 롯데바이오로직스 Project PROVIDENCE</v>
      </c>
      <c r="E522" s="13" t="s">
        <v>3270</v>
      </c>
      <c r="F522" s="13" t="str">
        <f t="shared" ca="1" si="29"/>
        <v>41세</v>
      </c>
      <c r="G522" s="14" t="s">
        <v>3280</v>
      </c>
      <c r="H522" s="15" t="str">
        <f t="shared" si="30"/>
        <v>남</v>
      </c>
      <c r="I522" s="16" t="s">
        <v>901</v>
      </c>
      <c r="J522" s="16" t="s">
        <v>30</v>
      </c>
      <c r="K522" s="17">
        <v>160000</v>
      </c>
      <c r="L522" s="18" t="s">
        <v>3305</v>
      </c>
      <c r="M522" s="19" t="s">
        <v>914</v>
      </c>
      <c r="N522" s="19" t="s">
        <v>3019</v>
      </c>
      <c r="O522" s="20">
        <v>14</v>
      </c>
      <c r="P522" s="23" t="s">
        <v>25</v>
      </c>
      <c r="Q522" s="21" t="str">
        <f>VLOOKUP(C522,'2-1. 인사고과표(기능)'!B:AS,44,0)</f>
        <v>A</v>
      </c>
      <c r="R522" s="21" t="str">
        <f>VLOOKUP(C522,'2-2. 인사고과표(안전)'!B:AO,40,0)</f>
        <v>S</v>
      </c>
      <c r="S522" s="18"/>
      <c r="T522" s="19"/>
      <c r="U522" s="19"/>
      <c r="V522" s="19"/>
      <c r="W522" s="19"/>
      <c r="X522" s="22"/>
      <c r="Y522" s="23"/>
      <c r="Z522" s="19"/>
      <c r="AA522" s="19" t="s">
        <v>2563</v>
      </c>
      <c r="AB522" s="22" t="s">
        <v>3392</v>
      </c>
      <c r="AC522" s="19" t="s">
        <v>2777</v>
      </c>
      <c r="AD522" s="23" t="s">
        <v>25</v>
      </c>
      <c r="AE522" s="24"/>
    </row>
    <row r="523" spans="2:31" ht="39.950000000000003" customHeight="1" x14ac:dyDescent="0.3">
      <c r="B523" s="107">
        <v>25031</v>
      </c>
      <c r="C523" s="12">
        <f t="shared" si="28"/>
        <v>518</v>
      </c>
      <c r="D523" s="105" t="str">
        <f>IFERROR(" "&amp;VLOOKUP(B523,현장리스트!$B:$C,2,0),"-")</f>
        <v xml:space="preserve"> [4.롯데건설] 롯데바이오로직스 Project PROVIDENCE</v>
      </c>
      <c r="E523" s="13" t="s">
        <v>3271</v>
      </c>
      <c r="F523" s="13" t="str">
        <f t="shared" ca="1" si="29"/>
        <v>25세</v>
      </c>
      <c r="G523" s="14" t="s">
        <v>3281</v>
      </c>
      <c r="H523" s="15" t="str">
        <f t="shared" si="30"/>
        <v>남</v>
      </c>
      <c r="I523" s="16" t="s">
        <v>901</v>
      </c>
      <c r="J523" s="16" t="s">
        <v>30</v>
      </c>
      <c r="K523" s="17">
        <v>150000</v>
      </c>
      <c r="L523" s="18" t="s">
        <v>3306</v>
      </c>
      <c r="M523" s="19" t="s">
        <v>914</v>
      </c>
      <c r="N523" s="19" t="s">
        <v>2667</v>
      </c>
      <c r="O523" s="20">
        <v>2</v>
      </c>
      <c r="P523" s="23" t="s">
        <v>25</v>
      </c>
      <c r="Q523" s="21" t="str">
        <f>VLOOKUP(C523,'2-1. 인사고과표(기능)'!B:AS,44,0)</f>
        <v>A</v>
      </c>
      <c r="R523" s="21" t="str">
        <f>VLOOKUP(C523,'2-2. 인사고과표(안전)'!B:AO,40,0)</f>
        <v>S</v>
      </c>
      <c r="S523" s="18"/>
      <c r="T523" s="19"/>
      <c r="U523" s="19"/>
      <c r="V523" s="19"/>
      <c r="W523" s="19"/>
      <c r="X523" s="22"/>
      <c r="Y523" s="23"/>
      <c r="Z523" s="19"/>
      <c r="AA523" s="19" t="s">
        <v>2563</v>
      </c>
      <c r="AB523" s="22" t="s">
        <v>3393</v>
      </c>
      <c r="AC523" s="19" t="s">
        <v>3391</v>
      </c>
      <c r="AD523" s="23" t="s">
        <v>25</v>
      </c>
      <c r="AE523" s="24"/>
    </row>
    <row r="524" spans="2:31" ht="39.950000000000003" customHeight="1" x14ac:dyDescent="0.3">
      <c r="B524" s="107">
        <v>25031</v>
      </c>
      <c r="C524" s="12">
        <f t="shared" si="28"/>
        <v>519</v>
      </c>
      <c r="D524" s="105" t="str">
        <f>IFERROR(" "&amp;VLOOKUP(B524,현장리스트!$B:$C,2,0),"-")</f>
        <v xml:space="preserve"> [4.롯데건설] 롯데바이오로직스 Project PROVIDENCE</v>
      </c>
      <c r="E524" s="13" t="s">
        <v>1618</v>
      </c>
      <c r="F524" s="13" t="str">
        <f t="shared" ca="1" si="29"/>
        <v>40세</v>
      </c>
      <c r="G524" s="14" t="s">
        <v>3282</v>
      </c>
      <c r="H524" s="15" t="str">
        <f t="shared" si="30"/>
        <v>남</v>
      </c>
      <c r="I524" s="16" t="s">
        <v>901</v>
      </c>
      <c r="J524" s="16" t="s">
        <v>30</v>
      </c>
      <c r="K524" s="17">
        <v>220000</v>
      </c>
      <c r="L524" s="18" t="s">
        <v>3307</v>
      </c>
      <c r="M524" s="19" t="s">
        <v>914</v>
      </c>
      <c r="N524" s="19" t="s">
        <v>2667</v>
      </c>
      <c r="O524" s="20">
        <v>13</v>
      </c>
      <c r="P524" s="23" t="s">
        <v>25</v>
      </c>
      <c r="Q524" s="21" t="str">
        <f>VLOOKUP(C524,'2-1. 인사고과표(기능)'!B:AS,44,0)</f>
        <v>A</v>
      </c>
      <c r="R524" s="21" t="str">
        <f>VLOOKUP(C524,'2-2. 인사고과표(안전)'!B:AO,40,0)</f>
        <v>S</v>
      </c>
      <c r="S524" s="18"/>
      <c r="T524" s="19"/>
      <c r="U524" s="19"/>
      <c r="V524" s="19"/>
      <c r="W524" s="19"/>
      <c r="X524" s="22"/>
      <c r="Y524" s="23"/>
      <c r="Z524" s="19"/>
      <c r="AA524" s="19" t="s">
        <v>2563</v>
      </c>
      <c r="AB524" s="22" t="s">
        <v>3390</v>
      </c>
      <c r="AC524" s="19" t="s">
        <v>3391</v>
      </c>
      <c r="AD524" s="23" t="s">
        <v>25</v>
      </c>
      <c r="AE524" s="24"/>
    </row>
    <row r="525" spans="2:31" ht="39.950000000000003" customHeight="1" x14ac:dyDescent="0.3">
      <c r="B525" s="107">
        <v>25031</v>
      </c>
      <c r="C525" s="12">
        <f t="shared" si="28"/>
        <v>520</v>
      </c>
      <c r="D525" s="105" t="str">
        <f>IFERROR(" "&amp;VLOOKUP(B525,현장리스트!$B:$C,2,0),"-")</f>
        <v xml:space="preserve"> [4.롯데건설] 롯데바이오로직스 Project PROVIDENCE</v>
      </c>
      <c r="E525" s="13" t="s">
        <v>2043</v>
      </c>
      <c r="F525" s="13" t="str">
        <f t="shared" ca="1" si="29"/>
        <v>39세</v>
      </c>
      <c r="G525" s="14" t="s">
        <v>3283</v>
      </c>
      <c r="H525" s="15" t="str">
        <f t="shared" si="30"/>
        <v>남</v>
      </c>
      <c r="I525" s="16" t="s">
        <v>901</v>
      </c>
      <c r="J525" s="16" t="s">
        <v>30</v>
      </c>
      <c r="K525" s="17">
        <v>170000</v>
      </c>
      <c r="L525" s="18" t="s">
        <v>3308</v>
      </c>
      <c r="M525" s="19" t="s">
        <v>934</v>
      </c>
      <c r="N525" s="19" t="s">
        <v>3430</v>
      </c>
      <c r="O525" s="20">
        <v>7</v>
      </c>
      <c r="P525" s="23" t="s">
        <v>25</v>
      </c>
      <c r="Q525" s="21" t="str">
        <f>VLOOKUP(C525,'2-1. 인사고과표(기능)'!B:AS,44,0)</f>
        <v>A</v>
      </c>
      <c r="R525" s="21" t="str">
        <f>VLOOKUP(C525,'2-2. 인사고과표(안전)'!B:AO,40,0)</f>
        <v>S</v>
      </c>
      <c r="S525" s="18"/>
      <c r="T525" s="19"/>
      <c r="U525" s="19"/>
      <c r="V525" s="19"/>
      <c r="W525" s="19"/>
      <c r="X525" s="22"/>
      <c r="Y525" s="23"/>
      <c r="Z525" s="19"/>
      <c r="AA525" s="19" t="s">
        <v>2563</v>
      </c>
      <c r="AB525" s="22" t="s">
        <v>3390</v>
      </c>
      <c r="AC525" s="19" t="s">
        <v>3391</v>
      </c>
      <c r="AD525" s="23" t="s">
        <v>25</v>
      </c>
      <c r="AE525" s="24"/>
    </row>
    <row r="526" spans="2:31" ht="39.950000000000003" customHeight="1" x14ac:dyDescent="0.3">
      <c r="B526" s="107">
        <v>25031</v>
      </c>
      <c r="C526" s="12">
        <f t="shared" si="28"/>
        <v>521</v>
      </c>
      <c r="D526" s="105" t="str">
        <f>IFERROR(" "&amp;VLOOKUP(B526,현장리스트!$B:$C,2,0),"-")</f>
        <v xml:space="preserve"> [4.롯데건설] 롯데바이오로직스 Project PROVIDENCE</v>
      </c>
      <c r="E526" s="13" t="s">
        <v>3272</v>
      </c>
      <c r="F526" s="13" t="str">
        <f t="shared" ca="1" si="29"/>
        <v>30세</v>
      </c>
      <c r="G526" s="14" t="s">
        <v>3284</v>
      </c>
      <c r="H526" s="15" t="str">
        <f t="shared" si="30"/>
        <v>남</v>
      </c>
      <c r="I526" s="16" t="s">
        <v>901</v>
      </c>
      <c r="J526" s="16" t="s">
        <v>30</v>
      </c>
      <c r="K526" s="17">
        <v>150000</v>
      </c>
      <c r="L526" s="18" t="s">
        <v>3309</v>
      </c>
      <c r="M526" s="19" t="s">
        <v>910</v>
      </c>
      <c r="N526" s="19" t="s">
        <v>1001</v>
      </c>
      <c r="O526" s="20">
        <v>2</v>
      </c>
      <c r="P526" s="23" t="s">
        <v>25</v>
      </c>
      <c r="Q526" s="21" t="str">
        <f>VLOOKUP(C526,'2-1. 인사고과표(기능)'!B:AS,44,0)</f>
        <v>A</v>
      </c>
      <c r="R526" s="21" t="str">
        <f>VLOOKUP(C526,'2-2. 인사고과표(안전)'!B:AO,40,0)</f>
        <v>S</v>
      </c>
      <c r="S526" s="18"/>
      <c r="T526" s="19"/>
      <c r="U526" s="19"/>
      <c r="V526" s="19"/>
      <c r="W526" s="19"/>
      <c r="X526" s="22"/>
      <c r="Y526" s="23"/>
      <c r="Z526" s="19"/>
      <c r="AA526" s="19" t="s">
        <v>220</v>
      </c>
      <c r="AB526" s="22" t="s">
        <v>3394</v>
      </c>
      <c r="AC526" s="19" t="s">
        <v>3395</v>
      </c>
      <c r="AD526" s="23" t="s">
        <v>23</v>
      </c>
      <c r="AE526" s="24"/>
    </row>
    <row r="527" spans="2:31" ht="39.950000000000003" customHeight="1" x14ac:dyDescent="0.3">
      <c r="B527" s="107">
        <v>25031</v>
      </c>
      <c r="C527" s="12">
        <f t="shared" si="28"/>
        <v>522</v>
      </c>
      <c r="D527" s="105" t="str">
        <f>IFERROR(" "&amp;VLOOKUP(B527,현장리스트!$B:$C,2,0),"-")</f>
        <v xml:space="preserve"> [4.롯데건설] 롯데바이오로직스 Project PROVIDENCE</v>
      </c>
      <c r="E527" s="13" t="s">
        <v>3273</v>
      </c>
      <c r="F527" s="13" t="str">
        <f t="shared" ca="1" si="29"/>
        <v>53세</v>
      </c>
      <c r="G527" s="14" t="s">
        <v>3285</v>
      </c>
      <c r="H527" s="15" t="str">
        <f t="shared" si="30"/>
        <v>남</v>
      </c>
      <c r="I527" s="16" t="s">
        <v>901</v>
      </c>
      <c r="J527" s="16" t="s">
        <v>30</v>
      </c>
      <c r="K527" s="17">
        <v>230000</v>
      </c>
      <c r="L527" s="18" t="s">
        <v>3310</v>
      </c>
      <c r="M527" s="19" t="s">
        <v>910</v>
      </c>
      <c r="N527" s="19" t="s">
        <v>911</v>
      </c>
      <c r="O527" s="20">
        <v>18</v>
      </c>
      <c r="P527" s="23" t="s">
        <v>25</v>
      </c>
      <c r="Q527" s="21" t="str">
        <f>VLOOKUP(C527,'2-1. 인사고과표(기능)'!B:AS,44,0)</f>
        <v>S</v>
      </c>
      <c r="R527" s="21" t="str">
        <f>VLOOKUP(C527,'2-2. 인사고과표(안전)'!B:AO,40,0)</f>
        <v>S</v>
      </c>
      <c r="S527" s="18"/>
      <c r="T527" s="19"/>
      <c r="U527" s="19"/>
      <c r="V527" s="19"/>
      <c r="W527" s="19"/>
      <c r="X527" s="22"/>
      <c r="Y527" s="23"/>
      <c r="Z527" s="19"/>
      <c r="AA527" s="19" t="s">
        <v>2701</v>
      </c>
      <c r="AB527" s="22" t="s">
        <v>3396</v>
      </c>
      <c r="AC527" s="19" t="s">
        <v>2714</v>
      </c>
      <c r="AD527" s="23" t="s">
        <v>27</v>
      </c>
      <c r="AE527" s="24"/>
    </row>
    <row r="528" spans="2:31" ht="39.950000000000003" customHeight="1" x14ac:dyDescent="0.3">
      <c r="B528" s="107">
        <v>25031</v>
      </c>
      <c r="C528" s="12">
        <f t="shared" si="28"/>
        <v>523</v>
      </c>
      <c r="D528" s="105" t="str">
        <f>IFERROR(" "&amp;VLOOKUP(B528,현장리스트!$B:$C,2,0),"-")</f>
        <v xml:space="preserve"> [4.롯데건설] 롯데바이오로직스 Project PROVIDENCE</v>
      </c>
      <c r="E528" s="13" t="s">
        <v>3274</v>
      </c>
      <c r="F528" s="13" t="str">
        <f t="shared" ca="1" si="29"/>
        <v>42세</v>
      </c>
      <c r="G528" s="14" t="s">
        <v>3286</v>
      </c>
      <c r="H528" s="15" t="str">
        <f t="shared" si="30"/>
        <v>남</v>
      </c>
      <c r="I528" s="16" t="s">
        <v>901</v>
      </c>
      <c r="J528" s="16" t="s">
        <v>30</v>
      </c>
      <c r="K528" s="17">
        <v>180000</v>
      </c>
      <c r="L528" s="18" t="s">
        <v>3311</v>
      </c>
      <c r="M528" s="19" t="s">
        <v>914</v>
      </c>
      <c r="N528" s="19" t="s">
        <v>2628</v>
      </c>
      <c r="O528" s="20">
        <v>8</v>
      </c>
      <c r="P528" s="23" t="s">
        <v>25</v>
      </c>
      <c r="Q528" s="21" t="str">
        <f>VLOOKUP(C528,'2-1. 인사고과표(기능)'!B:AS,44,0)</f>
        <v>A</v>
      </c>
      <c r="R528" s="21" t="str">
        <f>VLOOKUP(C528,'2-2. 인사고과표(안전)'!B:AO,40,0)</f>
        <v>S</v>
      </c>
      <c r="S528" s="18"/>
      <c r="T528" s="19"/>
      <c r="U528" s="19"/>
      <c r="V528" s="19"/>
      <c r="W528" s="19"/>
      <c r="X528" s="22"/>
      <c r="Y528" s="23"/>
      <c r="Z528" s="19"/>
      <c r="AA528" s="19" t="s">
        <v>2701</v>
      </c>
      <c r="AB528" s="22" t="s">
        <v>3396</v>
      </c>
      <c r="AC528" s="19" t="s">
        <v>2714</v>
      </c>
      <c r="AD528" s="23" t="s">
        <v>27</v>
      </c>
      <c r="AE528" s="24"/>
    </row>
    <row r="529" spans="2:31" ht="39.950000000000003" customHeight="1" x14ac:dyDescent="0.3">
      <c r="B529" s="107">
        <v>25031</v>
      </c>
      <c r="C529" s="12">
        <f t="shared" si="28"/>
        <v>524</v>
      </c>
      <c r="D529" s="105" t="str">
        <f>IFERROR(" "&amp;VLOOKUP(B529,현장리스트!$B:$C,2,0),"-")</f>
        <v xml:space="preserve"> [4.롯데건설] 롯데바이오로직스 Project PROVIDENCE</v>
      </c>
      <c r="E529" s="13" t="s">
        <v>1546</v>
      </c>
      <c r="F529" s="13" t="str">
        <f t="shared" ca="1" si="29"/>
        <v>53세</v>
      </c>
      <c r="G529" s="14" t="s">
        <v>3287</v>
      </c>
      <c r="H529" s="15" t="str">
        <f t="shared" si="30"/>
        <v>남</v>
      </c>
      <c r="I529" s="16" t="s">
        <v>901</v>
      </c>
      <c r="J529" s="16" t="s">
        <v>30</v>
      </c>
      <c r="K529" s="17">
        <v>170000</v>
      </c>
      <c r="L529" s="18" t="s">
        <v>3312</v>
      </c>
      <c r="M529" s="19" t="s">
        <v>920</v>
      </c>
      <c r="N529" s="19" t="s">
        <v>3431</v>
      </c>
      <c r="O529" s="20">
        <v>10</v>
      </c>
      <c r="P529" s="23" t="s">
        <v>25</v>
      </c>
      <c r="Q529" s="21" t="str">
        <f>VLOOKUP(C529,'2-1. 인사고과표(기능)'!B:AS,44,0)</f>
        <v>A</v>
      </c>
      <c r="R529" s="21" t="str">
        <f>VLOOKUP(C529,'2-2. 인사고과표(안전)'!B:AO,40,0)</f>
        <v>S</v>
      </c>
      <c r="S529" s="18"/>
      <c r="T529" s="19"/>
      <c r="U529" s="19"/>
      <c r="V529" s="19"/>
      <c r="W529" s="19"/>
      <c r="X529" s="22"/>
      <c r="Y529" s="23"/>
      <c r="Z529" s="19"/>
      <c r="AA529" s="19" t="s">
        <v>2701</v>
      </c>
      <c r="AB529" s="22" t="s">
        <v>3396</v>
      </c>
      <c r="AC529" s="19" t="s">
        <v>2714</v>
      </c>
      <c r="AD529" s="23" t="s">
        <v>27</v>
      </c>
      <c r="AE529" s="24"/>
    </row>
    <row r="530" spans="2:31" ht="39.950000000000003" customHeight="1" x14ac:dyDescent="0.3">
      <c r="B530" s="107">
        <v>25031</v>
      </c>
      <c r="C530" s="12">
        <f t="shared" si="28"/>
        <v>525</v>
      </c>
      <c r="D530" s="105" t="str">
        <f>IFERROR(" "&amp;VLOOKUP(B530,현장리스트!$B:$C,2,0),"-")</f>
        <v xml:space="preserve"> [4.롯데건설] 롯데바이오로직스 Project PROVIDENCE</v>
      </c>
      <c r="E530" s="13" t="s">
        <v>2023</v>
      </c>
      <c r="F530" s="13" t="str">
        <f t="shared" ca="1" si="29"/>
        <v>23세</v>
      </c>
      <c r="G530" s="14" t="s">
        <v>3288</v>
      </c>
      <c r="H530" s="15" t="str">
        <f t="shared" si="30"/>
        <v>남</v>
      </c>
      <c r="I530" s="16" t="s">
        <v>901</v>
      </c>
      <c r="J530" s="16" t="s">
        <v>30</v>
      </c>
      <c r="K530" s="17">
        <v>150000</v>
      </c>
      <c r="L530" s="18" t="s">
        <v>3313</v>
      </c>
      <c r="M530" s="19" t="s">
        <v>910</v>
      </c>
      <c r="N530" s="19" t="s">
        <v>911</v>
      </c>
      <c r="O530" s="20">
        <v>1</v>
      </c>
      <c r="P530" s="23" t="s">
        <v>25</v>
      </c>
      <c r="Q530" s="21" t="str">
        <f>VLOOKUP(C530,'2-1. 인사고과표(기능)'!B:AS,44,0)</f>
        <v>A</v>
      </c>
      <c r="R530" s="21" t="str">
        <f>VLOOKUP(C530,'2-2. 인사고과표(안전)'!B:AO,40,0)</f>
        <v>S</v>
      </c>
      <c r="S530" s="18"/>
      <c r="T530" s="19"/>
      <c r="U530" s="19"/>
      <c r="V530" s="19"/>
      <c r="W530" s="19"/>
      <c r="X530" s="22"/>
      <c r="Y530" s="23"/>
      <c r="Z530" s="19"/>
      <c r="AA530" s="19" t="s">
        <v>2701</v>
      </c>
      <c r="AB530" s="22" t="s">
        <v>3396</v>
      </c>
      <c r="AC530" s="19" t="s">
        <v>2714</v>
      </c>
      <c r="AD530" s="23" t="s">
        <v>27</v>
      </c>
      <c r="AE530" s="24"/>
    </row>
    <row r="531" spans="2:31" ht="39.950000000000003" customHeight="1" x14ac:dyDescent="0.3">
      <c r="B531" s="107">
        <v>25031</v>
      </c>
      <c r="C531" s="12">
        <f t="shared" si="28"/>
        <v>526</v>
      </c>
      <c r="D531" s="105" t="str">
        <f>IFERROR(" "&amp;VLOOKUP(B531,현장리스트!$B:$C,2,0),"-")</f>
        <v xml:space="preserve"> [4.롯데건설] 롯데바이오로직스 Project PROVIDENCE</v>
      </c>
      <c r="E531" s="13" t="s">
        <v>3275</v>
      </c>
      <c r="F531" s="13" t="str">
        <f t="shared" ca="1" si="29"/>
        <v>51세</v>
      </c>
      <c r="G531" s="14" t="s">
        <v>3289</v>
      </c>
      <c r="H531" s="15" t="str">
        <f t="shared" si="30"/>
        <v>남</v>
      </c>
      <c r="I531" s="16" t="s">
        <v>901</v>
      </c>
      <c r="J531" s="16" t="s">
        <v>30</v>
      </c>
      <c r="K531" s="17">
        <v>200000</v>
      </c>
      <c r="L531" s="18" t="s">
        <v>3314</v>
      </c>
      <c r="M531" s="19" t="s">
        <v>920</v>
      </c>
      <c r="N531" s="19" t="s">
        <v>3013</v>
      </c>
      <c r="O531" s="20">
        <v>15</v>
      </c>
      <c r="P531" s="23" t="s">
        <v>25</v>
      </c>
      <c r="Q531" s="21" t="str">
        <f>VLOOKUP(C531,'2-1. 인사고과표(기능)'!B:AS,44,0)</f>
        <v>S</v>
      </c>
      <c r="R531" s="21" t="str">
        <f>VLOOKUP(C531,'2-2. 인사고과표(안전)'!B:AO,40,0)</f>
        <v>S</v>
      </c>
      <c r="S531" s="18"/>
      <c r="T531" s="19"/>
      <c r="U531" s="19"/>
      <c r="V531" s="19"/>
      <c r="W531" s="19"/>
      <c r="X531" s="22"/>
      <c r="Y531" s="23"/>
      <c r="Z531" s="19"/>
      <c r="AA531" s="19" t="s">
        <v>2701</v>
      </c>
      <c r="AB531" s="22" t="s">
        <v>3396</v>
      </c>
      <c r="AC531" s="19" t="s">
        <v>2714</v>
      </c>
      <c r="AD531" s="23" t="s">
        <v>27</v>
      </c>
      <c r="AE531" s="24"/>
    </row>
    <row r="532" spans="2:31" ht="39.950000000000003" customHeight="1" x14ac:dyDescent="0.3">
      <c r="B532" s="107">
        <v>25031</v>
      </c>
      <c r="C532" s="12">
        <f t="shared" si="28"/>
        <v>527</v>
      </c>
      <c r="D532" s="105" t="str">
        <f>IFERROR(" "&amp;VLOOKUP(B532,현장리스트!$B:$C,2,0),"-")</f>
        <v xml:space="preserve"> [4.롯데건설] 롯데바이오로직스 Project PROVIDENCE</v>
      </c>
      <c r="E532" s="13" t="s">
        <v>1866</v>
      </c>
      <c r="F532" s="13" t="str">
        <f t="shared" ca="1" si="29"/>
        <v>42세</v>
      </c>
      <c r="G532" s="14" t="s">
        <v>1867</v>
      </c>
      <c r="H532" s="15" t="str">
        <f t="shared" si="30"/>
        <v>남</v>
      </c>
      <c r="I532" s="16" t="s">
        <v>901</v>
      </c>
      <c r="J532" s="16" t="s">
        <v>30</v>
      </c>
      <c r="K532" s="17">
        <v>230000</v>
      </c>
      <c r="L532" s="18" t="s">
        <v>1868</v>
      </c>
      <c r="M532" s="19" t="s">
        <v>914</v>
      </c>
      <c r="N532" s="19" t="s">
        <v>3019</v>
      </c>
      <c r="O532" s="20" t="s">
        <v>2550</v>
      </c>
      <c r="P532" s="23" t="s">
        <v>25</v>
      </c>
      <c r="Q532" s="21" t="str">
        <f>VLOOKUP(C532,'2-1. 인사고과표(기능)'!B:AS,44,0)</f>
        <v>A</v>
      </c>
      <c r="R532" s="21" t="str">
        <f>VLOOKUP(C532,'2-2. 인사고과표(안전)'!B:AO,40,0)</f>
        <v>S</v>
      </c>
      <c r="S532" s="18" t="s">
        <v>2567</v>
      </c>
      <c r="T532" s="19"/>
      <c r="U532" s="19"/>
      <c r="V532" s="19"/>
      <c r="W532" s="19"/>
      <c r="X532" s="22"/>
      <c r="Y532" s="23"/>
      <c r="Z532" s="19"/>
      <c r="AA532" s="19" t="s">
        <v>2563</v>
      </c>
      <c r="AB532" s="22" t="s">
        <v>3397</v>
      </c>
      <c r="AC532" s="19" t="s">
        <v>3398</v>
      </c>
      <c r="AD532" s="23" t="s">
        <v>23</v>
      </c>
      <c r="AE532" s="24"/>
    </row>
    <row r="533" spans="2:31" ht="39.950000000000003" customHeight="1" x14ac:dyDescent="0.3">
      <c r="B533" s="107">
        <v>25031</v>
      </c>
      <c r="C533" s="12">
        <f t="shared" si="28"/>
        <v>528</v>
      </c>
      <c r="D533" s="105" t="str">
        <f>IFERROR(" "&amp;VLOOKUP(B533,현장리스트!$B:$C,2,0),"-")</f>
        <v xml:space="preserve"> [4.롯데건설] 롯데바이오로직스 Project PROVIDENCE</v>
      </c>
      <c r="E533" s="13" t="s">
        <v>1031</v>
      </c>
      <c r="F533" s="13" t="str">
        <f t="shared" ca="1" si="29"/>
        <v>58세</v>
      </c>
      <c r="G533" s="14" t="s">
        <v>1034</v>
      </c>
      <c r="H533" s="15" t="str">
        <f t="shared" si="30"/>
        <v>남</v>
      </c>
      <c r="I533" s="16" t="s">
        <v>901</v>
      </c>
      <c r="J533" s="16" t="s">
        <v>30</v>
      </c>
      <c r="K533" s="17">
        <v>210000</v>
      </c>
      <c r="L533" s="18" t="s">
        <v>1035</v>
      </c>
      <c r="M533" s="19" t="s">
        <v>987</v>
      </c>
      <c r="N533" s="19" t="s">
        <v>2737</v>
      </c>
      <c r="O533" s="20" t="s">
        <v>2524</v>
      </c>
      <c r="P533" s="23" t="s">
        <v>25</v>
      </c>
      <c r="Q533" s="21" t="str">
        <f>VLOOKUP(C533,'2-1. 인사고과표(기능)'!B:AS,44,0)</f>
        <v>A</v>
      </c>
      <c r="R533" s="21" t="str">
        <f>VLOOKUP(C533,'2-2. 인사고과표(안전)'!B:AO,40,0)</f>
        <v>S</v>
      </c>
      <c r="S533" s="18"/>
      <c r="T533" s="19"/>
      <c r="U533" s="19"/>
      <c r="V533" s="19"/>
      <c r="W533" s="19"/>
      <c r="X533" s="22"/>
      <c r="Y533" s="23"/>
      <c r="Z533" s="19"/>
      <c r="AA533" s="19" t="s">
        <v>3399</v>
      </c>
      <c r="AB533" s="22" t="s">
        <v>3400</v>
      </c>
      <c r="AC533" s="19" t="s">
        <v>3401</v>
      </c>
      <c r="AD533" s="23" t="s">
        <v>23</v>
      </c>
      <c r="AE533" s="24"/>
    </row>
    <row r="534" spans="2:31" ht="39.950000000000003" customHeight="1" x14ac:dyDescent="0.3">
      <c r="B534" s="107">
        <v>25031</v>
      </c>
      <c r="C534" s="12">
        <f t="shared" si="28"/>
        <v>529</v>
      </c>
      <c r="D534" s="105" t="str">
        <f>IFERROR(" "&amp;VLOOKUP(B534,현장리스트!$B:$C,2,0),"-")</f>
        <v xml:space="preserve"> [4.롯데건설] 롯데바이오로직스 Project PROVIDENCE</v>
      </c>
      <c r="E534" s="13" t="s">
        <v>1643</v>
      </c>
      <c r="F534" s="13" t="str">
        <f t="shared" ca="1" si="29"/>
        <v>59세</v>
      </c>
      <c r="G534" s="14" t="s">
        <v>1644</v>
      </c>
      <c r="H534" s="15" t="str">
        <f t="shared" si="30"/>
        <v>남</v>
      </c>
      <c r="I534" s="16" t="s">
        <v>901</v>
      </c>
      <c r="J534" s="16" t="s">
        <v>30</v>
      </c>
      <c r="K534" s="17">
        <v>200000</v>
      </c>
      <c r="L534" s="18" t="s">
        <v>1645</v>
      </c>
      <c r="M534" s="19" t="s">
        <v>910</v>
      </c>
      <c r="N534" s="19" t="s">
        <v>940</v>
      </c>
      <c r="O534" s="20">
        <v>1</v>
      </c>
      <c r="P534" s="23" t="s">
        <v>25</v>
      </c>
      <c r="Q534" s="21" t="str">
        <f>VLOOKUP(C534,'2-1. 인사고과표(기능)'!B:AS,44,0)</f>
        <v>A</v>
      </c>
      <c r="R534" s="21" t="str">
        <f>VLOOKUP(C534,'2-2. 인사고과표(안전)'!B:AO,40,0)</f>
        <v>S</v>
      </c>
      <c r="S534" s="18"/>
      <c r="T534" s="19"/>
      <c r="U534" s="19"/>
      <c r="V534" s="19"/>
      <c r="W534" s="19"/>
      <c r="X534" s="22"/>
      <c r="Y534" s="23"/>
      <c r="Z534" s="19"/>
      <c r="AA534" s="19" t="s">
        <v>3399</v>
      </c>
      <c r="AB534" s="22" t="s">
        <v>3400</v>
      </c>
      <c r="AC534" s="19" t="s">
        <v>3401</v>
      </c>
      <c r="AD534" s="23" t="s">
        <v>23</v>
      </c>
      <c r="AE534" s="24"/>
    </row>
    <row r="535" spans="2:31" ht="39.950000000000003" customHeight="1" x14ac:dyDescent="0.3">
      <c r="B535" s="107">
        <v>25031</v>
      </c>
      <c r="C535" s="12">
        <f t="shared" si="28"/>
        <v>530</v>
      </c>
      <c r="D535" s="105" t="str">
        <f>IFERROR(" "&amp;VLOOKUP(B535,현장리스트!$B:$C,2,0),"-")</f>
        <v xml:space="preserve"> [4.롯데건설] 롯데바이오로직스 Project PROVIDENCE</v>
      </c>
      <c r="E535" s="13" t="s">
        <v>2147</v>
      </c>
      <c r="F535" s="13" t="str">
        <f t="shared" ca="1" si="29"/>
        <v>48세</v>
      </c>
      <c r="G535" s="14" t="s">
        <v>3290</v>
      </c>
      <c r="H535" s="15" t="str">
        <f t="shared" si="30"/>
        <v>남</v>
      </c>
      <c r="I535" s="16" t="s">
        <v>901</v>
      </c>
      <c r="J535" s="16" t="s">
        <v>30</v>
      </c>
      <c r="K535" s="17">
        <v>210000</v>
      </c>
      <c r="L535" s="18" t="s">
        <v>3315</v>
      </c>
      <c r="M535" s="19" t="s">
        <v>914</v>
      </c>
      <c r="N535" s="19" t="s">
        <v>2979</v>
      </c>
      <c r="O535" s="20">
        <v>15</v>
      </c>
      <c r="P535" s="23" t="s">
        <v>25</v>
      </c>
      <c r="Q535" s="21" t="str">
        <f>VLOOKUP(C535,'2-1. 인사고과표(기능)'!B:AS,44,0)</f>
        <v>A</v>
      </c>
      <c r="R535" s="21" t="str">
        <f>VLOOKUP(C535,'2-2. 인사고과표(안전)'!B:AO,40,0)</f>
        <v>S</v>
      </c>
      <c r="S535" s="18"/>
      <c r="T535" s="19"/>
      <c r="U535" s="19"/>
      <c r="V535" s="19"/>
      <c r="W535" s="19"/>
      <c r="X535" s="22"/>
      <c r="Y535" s="23"/>
      <c r="Z535" s="19"/>
      <c r="AA535" s="19" t="s">
        <v>3402</v>
      </c>
      <c r="AB535" s="22" t="s">
        <v>3403</v>
      </c>
      <c r="AC535" s="19" t="s">
        <v>3404</v>
      </c>
      <c r="AD535" s="23" t="s">
        <v>25</v>
      </c>
      <c r="AE535" s="24"/>
    </row>
    <row r="536" spans="2:31" ht="39.950000000000003" customHeight="1" x14ac:dyDescent="0.3">
      <c r="B536" s="107">
        <v>24044</v>
      </c>
      <c r="C536" s="12">
        <f t="shared" si="28"/>
        <v>531</v>
      </c>
      <c r="D536" s="105" t="str">
        <f>IFERROR(" "&amp;VLOOKUP(B536,현장리스트!$B:$C,2,0),"-")</f>
        <v xml:space="preserve"> [4.롯데건설] 인천 효성지구 도시개발사업 공동주택 3BL</v>
      </c>
      <c r="E536" s="13" t="s">
        <v>616</v>
      </c>
      <c r="F536" s="13" t="str">
        <f t="shared" ca="1" si="29"/>
        <v>53세</v>
      </c>
      <c r="G536" s="14" t="s">
        <v>3245</v>
      </c>
      <c r="H536" s="15" t="str">
        <f t="shared" si="30"/>
        <v>남</v>
      </c>
      <c r="I536" s="16" t="s">
        <v>895</v>
      </c>
      <c r="J536" s="16" t="s">
        <v>903</v>
      </c>
      <c r="K536" s="17">
        <v>6700000</v>
      </c>
      <c r="L536" s="18" t="s">
        <v>1992</v>
      </c>
      <c r="M536" s="19" t="s">
        <v>910</v>
      </c>
      <c r="N536" s="19" t="s">
        <v>995</v>
      </c>
      <c r="O536" s="20">
        <v>28</v>
      </c>
      <c r="P536" s="23" t="s">
        <v>23</v>
      </c>
      <c r="Q536" s="21" t="str">
        <f>VLOOKUP(C536,'2-1. 인사고과표(기능)'!B:AS,44,0)</f>
        <v>S</v>
      </c>
      <c r="R536" s="21" t="str">
        <f>VLOOKUP(C536,'2-2. 인사고과표(안전)'!B:AO,40,0)</f>
        <v>S</v>
      </c>
      <c r="S536" s="18" t="s">
        <v>31</v>
      </c>
      <c r="T536" s="19"/>
      <c r="U536" s="19"/>
      <c r="V536" s="19"/>
      <c r="W536" s="19" t="s">
        <v>456</v>
      </c>
      <c r="X536" s="22" t="s">
        <v>3259</v>
      </c>
      <c r="Y536" s="23" t="s">
        <v>23</v>
      </c>
      <c r="Z536" s="19"/>
      <c r="AA536" s="19"/>
      <c r="AB536" s="22"/>
      <c r="AC536" s="19"/>
      <c r="AD536" s="23"/>
      <c r="AE536" s="24"/>
    </row>
    <row r="537" spans="2:31" ht="39.950000000000003" customHeight="1" x14ac:dyDescent="0.3">
      <c r="B537" s="107">
        <v>24044</v>
      </c>
      <c r="C537" s="12">
        <f t="shared" si="28"/>
        <v>532</v>
      </c>
      <c r="D537" s="105" t="str">
        <f>IFERROR(" "&amp;VLOOKUP(B537,현장리스트!$B:$C,2,0),"-")</f>
        <v xml:space="preserve"> [4.롯데건설] 인천 효성지구 도시개발사업 공동주택 3BL</v>
      </c>
      <c r="E537" s="13" t="s">
        <v>617</v>
      </c>
      <c r="F537" s="13" t="str">
        <f t="shared" ca="1" si="29"/>
        <v>26세</v>
      </c>
      <c r="G537" s="14" t="s">
        <v>3246</v>
      </c>
      <c r="H537" s="15" t="str">
        <f t="shared" si="30"/>
        <v>남</v>
      </c>
      <c r="I537" s="16" t="s">
        <v>895</v>
      </c>
      <c r="J537" s="16" t="s">
        <v>900</v>
      </c>
      <c r="K537" s="17">
        <v>4000000</v>
      </c>
      <c r="L537" s="18" t="s">
        <v>1849</v>
      </c>
      <c r="M537" s="19" t="s">
        <v>987</v>
      </c>
      <c r="N537" s="19" t="s">
        <v>2643</v>
      </c>
      <c r="O537" s="20">
        <v>3</v>
      </c>
      <c r="P537" s="23" t="s">
        <v>24</v>
      </c>
      <c r="Q537" s="21" t="str">
        <f>VLOOKUP(C537,'2-1. 인사고과표(기능)'!B:AS,44,0)</f>
        <v>S</v>
      </c>
      <c r="R537" s="21" t="str">
        <f>VLOOKUP(C537,'2-2. 인사고과표(안전)'!B:AO,40,0)</f>
        <v>S</v>
      </c>
      <c r="S537" s="18" t="s">
        <v>2567</v>
      </c>
      <c r="T537" s="19"/>
      <c r="U537" s="19" t="s">
        <v>31</v>
      </c>
      <c r="V537" s="19" t="s">
        <v>2567</v>
      </c>
      <c r="W537" s="19" t="s">
        <v>2934</v>
      </c>
      <c r="X537" s="22" t="s">
        <v>3260</v>
      </c>
      <c r="Y537" s="23" t="s">
        <v>23</v>
      </c>
      <c r="Z537" s="19"/>
      <c r="AA537" s="19" t="s">
        <v>3050</v>
      </c>
      <c r="AB537" s="22" t="s">
        <v>3261</v>
      </c>
      <c r="AC537" s="19" t="s">
        <v>3262</v>
      </c>
      <c r="AD537" s="23" t="s">
        <v>24</v>
      </c>
      <c r="AE537" s="24"/>
    </row>
    <row r="538" spans="2:31" ht="39.950000000000003" customHeight="1" x14ac:dyDescent="0.3">
      <c r="B538" s="107">
        <v>24044</v>
      </c>
      <c r="C538" s="12">
        <f t="shared" si="28"/>
        <v>533</v>
      </c>
      <c r="D538" s="105" t="str">
        <f>IFERROR(" "&amp;VLOOKUP(B538,현장리스트!$B:$C,2,0),"-")</f>
        <v xml:space="preserve"> [4.롯데건설] 인천 효성지구 도시개발사업 공동주택 3BL</v>
      </c>
      <c r="E538" s="13" t="s">
        <v>2029</v>
      </c>
      <c r="F538" s="13" t="str">
        <f t="shared" ca="1" si="29"/>
        <v>62세</v>
      </c>
      <c r="G538" s="14" t="s">
        <v>3247</v>
      </c>
      <c r="H538" s="15" t="str">
        <f t="shared" si="30"/>
        <v>남</v>
      </c>
      <c r="I538" s="16" t="s">
        <v>899</v>
      </c>
      <c r="J538" s="16" t="s">
        <v>903</v>
      </c>
      <c r="K538" s="17">
        <v>220000</v>
      </c>
      <c r="L538" s="18" t="s">
        <v>2030</v>
      </c>
      <c r="M538" s="19" t="s">
        <v>914</v>
      </c>
      <c r="N538" s="19" t="s">
        <v>2824</v>
      </c>
      <c r="O538" s="20">
        <v>43</v>
      </c>
      <c r="P538" s="23" t="s">
        <v>23</v>
      </c>
      <c r="Q538" s="21" t="str">
        <f>VLOOKUP(C538,'2-1. 인사고과표(기능)'!B:AS,44,0)</f>
        <v>S</v>
      </c>
      <c r="R538" s="21" t="str">
        <f>VLOOKUP(C538,'2-2. 인사고과표(안전)'!B:AO,40,0)</f>
        <v>S</v>
      </c>
      <c r="S538" s="18"/>
      <c r="T538" s="19"/>
      <c r="U538" s="19"/>
      <c r="V538" s="19"/>
      <c r="W538" s="19" t="s">
        <v>456</v>
      </c>
      <c r="X538" s="22" t="s">
        <v>3259</v>
      </c>
      <c r="Y538" s="23" t="s">
        <v>23</v>
      </c>
      <c r="Z538" s="19"/>
      <c r="AA538" s="19"/>
      <c r="AB538" s="22"/>
      <c r="AC538" s="19"/>
      <c r="AD538" s="23"/>
      <c r="AE538" s="24"/>
    </row>
    <row r="539" spans="2:31" ht="39.950000000000003" customHeight="1" x14ac:dyDescent="0.3">
      <c r="B539" s="107">
        <v>24044</v>
      </c>
      <c r="C539" s="12">
        <f t="shared" si="28"/>
        <v>534</v>
      </c>
      <c r="D539" s="105" t="str">
        <f>IFERROR(" "&amp;VLOOKUP(B539,현장리스트!$B:$C,2,0),"-")</f>
        <v xml:space="preserve"> [4.롯데건설] 인천 효성지구 도시개발사업 공동주택 3BL</v>
      </c>
      <c r="E539" s="13" t="s">
        <v>2139</v>
      </c>
      <c r="F539" s="13" t="str">
        <f t="shared" ca="1" si="29"/>
        <v>62세</v>
      </c>
      <c r="G539" s="14" t="s">
        <v>3248</v>
      </c>
      <c r="H539" s="15" t="str">
        <f t="shared" si="30"/>
        <v>남</v>
      </c>
      <c r="I539" s="16" t="s">
        <v>899</v>
      </c>
      <c r="J539" s="16" t="s">
        <v>896</v>
      </c>
      <c r="K539" s="17">
        <v>220000</v>
      </c>
      <c r="L539" s="18" t="s">
        <v>2140</v>
      </c>
      <c r="M539" s="19" t="s">
        <v>914</v>
      </c>
      <c r="N539" s="19" t="s">
        <v>2824</v>
      </c>
      <c r="O539" s="20">
        <v>42</v>
      </c>
      <c r="P539" s="23" t="s">
        <v>23</v>
      </c>
      <c r="Q539" s="21" t="str">
        <f>VLOOKUP(C539,'2-1. 인사고과표(기능)'!B:AS,44,0)</f>
        <v>S</v>
      </c>
      <c r="R539" s="21" t="str">
        <f>VLOOKUP(C539,'2-2. 인사고과표(안전)'!B:AO,40,0)</f>
        <v>S</v>
      </c>
      <c r="S539" s="18"/>
      <c r="T539" s="19"/>
      <c r="U539" s="19"/>
      <c r="V539" s="19"/>
      <c r="W539" s="19" t="s">
        <v>456</v>
      </c>
      <c r="X539" s="22" t="s">
        <v>3259</v>
      </c>
      <c r="Y539" s="23" t="s">
        <v>23</v>
      </c>
      <c r="Z539" s="19"/>
      <c r="AA539" s="19"/>
      <c r="AB539" s="22"/>
      <c r="AC539" s="19"/>
      <c r="AD539" s="23"/>
      <c r="AE539" s="24"/>
    </row>
    <row r="540" spans="2:31" ht="39.950000000000003" customHeight="1" x14ac:dyDescent="0.3">
      <c r="B540" s="107">
        <v>24044</v>
      </c>
      <c r="C540" s="12">
        <f t="shared" si="28"/>
        <v>535</v>
      </c>
      <c r="D540" s="105" t="str">
        <f>IFERROR(" "&amp;VLOOKUP(B540,현장리스트!$B:$C,2,0),"-")</f>
        <v xml:space="preserve"> [4.롯데건설] 인천 효성지구 도시개발사업 공동주택 3BL</v>
      </c>
      <c r="E540" s="13" t="s">
        <v>2265</v>
      </c>
      <c r="F540" s="13" t="str">
        <f t="shared" ca="1" si="29"/>
        <v>66세</v>
      </c>
      <c r="G540" s="14" t="s">
        <v>3249</v>
      </c>
      <c r="H540" s="15" t="str">
        <f t="shared" si="30"/>
        <v>남</v>
      </c>
      <c r="I540" s="16" t="s">
        <v>901</v>
      </c>
      <c r="J540" s="16" t="s">
        <v>30</v>
      </c>
      <c r="K540" s="17">
        <v>220000</v>
      </c>
      <c r="L540" s="18" t="s">
        <v>2266</v>
      </c>
      <c r="M540" s="19" t="s">
        <v>914</v>
      </c>
      <c r="N540" s="19" t="s">
        <v>2617</v>
      </c>
      <c r="O540" s="20">
        <v>40</v>
      </c>
      <c r="P540" s="23" t="s">
        <v>23</v>
      </c>
      <c r="Q540" s="21" t="str">
        <f>VLOOKUP(C540,'2-1. 인사고과표(기능)'!B:AS,44,0)</f>
        <v>S</v>
      </c>
      <c r="R540" s="21" t="str">
        <f>VLOOKUP(C540,'2-2. 인사고과표(안전)'!B:AO,40,0)</f>
        <v>S</v>
      </c>
      <c r="S540" s="18"/>
      <c r="T540" s="19"/>
      <c r="U540" s="19"/>
      <c r="V540" s="19"/>
      <c r="W540" s="19" t="s">
        <v>456</v>
      </c>
      <c r="X540" s="22" t="s">
        <v>3259</v>
      </c>
      <c r="Y540" s="23" t="s">
        <v>23</v>
      </c>
      <c r="Z540" s="19"/>
      <c r="AA540" s="19"/>
      <c r="AB540" s="22"/>
      <c r="AC540" s="19"/>
      <c r="AD540" s="23"/>
      <c r="AE540" s="24"/>
    </row>
    <row r="541" spans="2:31" ht="39.950000000000003" customHeight="1" x14ac:dyDescent="0.3">
      <c r="B541" s="107">
        <v>24044</v>
      </c>
      <c r="C541" s="12">
        <f t="shared" si="28"/>
        <v>536</v>
      </c>
      <c r="D541" s="105" t="str">
        <f>IFERROR(" "&amp;VLOOKUP(B541,현장리스트!$B:$C,2,0),"-")</f>
        <v xml:space="preserve"> [4.롯데건설] 인천 효성지구 도시개발사업 공동주택 3BL</v>
      </c>
      <c r="E541" s="13" t="s">
        <v>1923</v>
      </c>
      <c r="F541" s="13" t="str">
        <f t="shared" ca="1" si="29"/>
        <v>52세</v>
      </c>
      <c r="G541" s="14" t="s">
        <v>3250</v>
      </c>
      <c r="H541" s="15" t="str">
        <f t="shared" si="30"/>
        <v>남</v>
      </c>
      <c r="I541" s="16" t="s">
        <v>901</v>
      </c>
      <c r="J541" s="16" t="s">
        <v>30</v>
      </c>
      <c r="K541" s="17">
        <v>220000</v>
      </c>
      <c r="L541" s="18" t="s">
        <v>1924</v>
      </c>
      <c r="M541" s="19" t="s">
        <v>914</v>
      </c>
      <c r="N541" s="19" t="s">
        <v>3256</v>
      </c>
      <c r="O541" s="20">
        <v>28</v>
      </c>
      <c r="P541" s="23" t="s">
        <v>23</v>
      </c>
      <c r="Q541" s="21" t="str">
        <f>VLOOKUP(C541,'2-1. 인사고과표(기능)'!B:AS,44,0)</f>
        <v>S</v>
      </c>
      <c r="R541" s="21" t="str">
        <f>VLOOKUP(C541,'2-2. 인사고과표(안전)'!B:AO,40,0)</f>
        <v>S</v>
      </c>
      <c r="S541" s="18" t="s">
        <v>31</v>
      </c>
      <c r="T541" s="19" t="s">
        <v>31</v>
      </c>
      <c r="U541" s="19"/>
      <c r="V541" s="19"/>
      <c r="W541" s="19"/>
      <c r="X541" s="22"/>
      <c r="Y541" s="23"/>
      <c r="Z541" s="19"/>
      <c r="AA541" s="19" t="s">
        <v>2576</v>
      </c>
      <c r="AB541" s="22" t="s">
        <v>3263</v>
      </c>
      <c r="AC541" s="19" t="s">
        <v>3264</v>
      </c>
      <c r="AD541" s="23" t="s">
        <v>23</v>
      </c>
      <c r="AE541" s="24"/>
    </row>
    <row r="542" spans="2:31" ht="39.950000000000003" customHeight="1" x14ac:dyDescent="0.3">
      <c r="B542" s="107">
        <v>24044</v>
      </c>
      <c r="C542" s="12">
        <f t="shared" si="28"/>
        <v>537</v>
      </c>
      <c r="D542" s="105" t="str">
        <f>IFERROR(" "&amp;VLOOKUP(B542,현장리스트!$B:$C,2,0),"-")</f>
        <v xml:space="preserve"> [4.롯데건설] 인천 효성지구 도시개발사업 공동주택 3BL</v>
      </c>
      <c r="E542" s="13" t="s">
        <v>1149</v>
      </c>
      <c r="F542" s="13" t="str">
        <f t="shared" ca="1" si="29"/>
        <v>51세</v>
      </c>
      <c r="G542" s="14" t="s">
        <v>3251</v>
      </c>
      <c r="H542" s="15" t="str">
        <f t="shared" si="30"/>
        <v>남</v>
      </c>
      <c r="I542" s="16" t="s">
        <v>901</v>
      </c>
      <c r="J542" s="16" t="s">
        <v>30</v>
      </c>
      <c r="K542" s="17">
        <v>220000</v>
      </c>
      <c r="L542" s="18" t="s">
        <v>1150</v>
      </c>
      <c r="M542" s="19" t="s">
        <v>910</v>
      </c>
      <c r="N542" s="19" t="s">
        <v>3257</v>
      </c>
      <c r="O542" s="20">
        <v>28</v>
      </c>
      <c r="P542" s="23" t="s">
        <v>23</v>
      </c>
      <c r="Q542" s="21" t="str">
        <f>VLOOKUP(C542,'2-1. 인사고과표(기능)'!B:AS,44,0)</f>
        <v>S</v>
      </c>
      <c r="R542" s="21" t="str">
        <f>VLOOKUP(C542,'2-2. 인사고과표(안전)'!B:AO,40,0)</f>
        <v>S</v>
      </c>
      <c r="S542" s="18"/>
      <c r="T542" s="19"/>
      <c r="U542" s="19"/>
      <c r="V542" s="19"/>
      <c r="W542" s="19" t="s">
        <v>456</v>
      </c>
      <c r="X542" s="22" t="s">
        <v>3259</v>
      </c>
      <c r="Y542" s="23" t="s">
        <v>23</v>
      </c>
      <c r="Z542" s="19"/>
      <c r="AA542" s="19"/>
      <c r="AB542" s="22"/>
      <c r="AC542" s="19"/>
      <c r="AD542" s="23"/>
      <c r="AE542" s="24"/>
    </row>
    <row r="543" spans="2:31" ht="39.950000000000003" customHeight="1" x14ac:dyDescent="0.3">
      <c r="B543" s="107">
        <v>24044</v>
      </c>
      <c r="C543" s="12">
        <f t="shared" si="28"/>
        <v>538</v>
      </c>
      <c r="D543" s="105" t="str">
        <f>IFERROR(" "&amp;VLOOKUP(B543,현장리스트!$B:$C,2,0),"-")</f>
        <v xml:space="preserve"> [4.롯데건설] 인천 효성지구 도시개발사업 공동주택 3BL</v>
      </c>
      <c r="E543" s="13" t="s">
        <v>1337</v>
      </c>
      <c r="F543" s="13" t="str">
        <f t="shared" ca="1" si="29"/>
        <v>51세</v>
      </c>
      <c r="G543" s="14" t="s">
        <v>3252</v>
      </c>
      <c r="H543" s="15" t="str">
        <f t="shared" si="30"/>
        <v>남</v>
      </c>
      <c r="I543" s="16" t="s">
        <v>901</v>
      </c>
      <c r="J543" s="16" t="s">
        <v>30</v>
      </c>
      <c r="K543" s="17">
        <v>220000</v>
      </c>
      <c r="L543" s="18" t="s">
        <v>1338</v>
      </c>
      <c r="M543" s="19" t="s">
        <v>987</v>
      </c>
      <c r="N543" s="19" t="s">
        <v>2673</v>
      </c>
      <c r="O543" s="20">
        <v>32</v>
      </c>
      <c r="P543" s="23" t="s">
        <v>23</v>
      </c>
      <c r="Q543" s="21" t="str">
        <f>VLOOKUP(C543,'2-1. 인사고과표(기능)'!B:AS,44,0)</f>
        <v>S</v>
      </c>
      <c r="R543" s="21" t="str">
        <f>VLOOKUP(C543,'2-2. 인사고과표(안전)'!B:AO,40,0)</f>
        <v>S</v>
      </c>
      <c r="S543" s="18"/>
      <c r="T543" s="19"/>
      <c r="U543" s="19"/>
      <c r="V543" s="19"/>
      <c r="W543" s="19"/>
      <c r="X543" s="22"/>
      <c r="Y543" s="23"/>
      <c r="Z543" s="19"/>
      <c r="AA543" s="19" t="s">
        <v>2635</v>
      </c>
      <c r="AB543" s="22" t="s">
        <v>3265</v>
      </c>
      <c r="AC543" s="19" t="s">
        <v>2654</v>
      </c>
      <c r="AD543" s="23" t="s">
        <v>28</v>
      </c>
      <c r="AE543" s="24"/>
    </row>
    <row r="544" spans="2:31" ht="39.950000000000003" customHeight="1" x14ac:dyDescent="0.3">
      <c r="B544" s="107">
        <v>24044</v>
      </c>
      <c r="C544" s="12">
        <f t="shared" si="28"/>
        <v>539</v>
      </c>
      <c r="D544" s="105" t="str">
        <f>IFERROR(" "&amp;VLOOKUP(B544,현장리스트!$B:$C,2,0),"-")</f>
        <v xml:space="preserve"> [4.롯데건설] 인천 효성지구 도시개발사업 공동주택 3BL</v>
      </c>
      <c r="E544" s="13" t="s">
        <v>1256</v>
      </c>
      <c r="F544" s="13" t="str">
        <f t="shared" ca="1" si="29"/>
        <v>47세</v>
      </c>
      <c r="G544" s="14" t="s">
        <v>3253</v>
      </c>
      <c r="H544" s="15" t="str">
        <f t="shared" si="30"/>
        <v>남</v>
      </c>
      <c r="I544" s="16" t="s">
        <v>901</v>
      </c>
      <c r="J544" s="16" t="s">
        <v>902</v>
      </c>
      <c r="K544" s="17">
        <v>180000</v>
      </c>
      <c r="L544" s="18" t="s">
        <v>1257</v>
      </c>
      <c r="M544" s="19" t="s">
        <v>914</v>
      </c>
      <c r="N544" s="19" t="s">
        <v>2611</v>
      </c>
      <c r="O544" s="20">
        <v>3</v>
      </c>
      <c r="P544" s="23" t="s">
        <v>23</v>
      </c>
      <c r="Q544" s="21" t="str">
        <f>VLOOKUP(C544,'2-1. 인사고과표(기능)'!B:AS,44,0)</f>
        <v>S</v>
      </c>
      <c r="R544" s="21" t="str">
        <f>VLOOKUP(C544,'2-2. 인사고과표(안전)'!B:AO,40,0)</f>
        <v>S</v>
      </c>
      <c r="S544" s="18"/>
      <c r="T544" s="19"/>
      <c r="U544" s="19"/>
      <c r="V544" s="19"/>
      <c r="W544" s="19" t="s">
        <v>456</v>
      </c>
      <c r="X544" s="22" t="s">
        <v>3259</v>
      </c>
      <c r="Y544" s="23" t="s">
        <v>23</v>
      </c>
      <c r="Z544" s="19"/>
      <c r="AA544" s="19"/>
      <c r="AB544" s="22"/>
      <c r="AC544" s="19"/>
      <c r="AD544" s="23"/>
      <c r="AE544" s="24"/>
    </row>
    <row r="545" spans="2:31" ht="39.950000000000003" customHeight="1" x14ac:dyDescent="0.3">
      <c r="B545" s="107">
        <v>24044</v>
      </c>
      <c r="C545" s="12">
        <f t="shared" si="28"/>
        <v>540</v>
      </c>
      <c r="D545" s="105" t="str">
        <f>IFERROR(" "&amp;VLOOKUP(B545,현장리스트!$B:$C,2,0),"-")</f>
        <v xml:space="preserve"> [4.롯데건설] 인천 효성지구 도시개발사업 공동주택 3BL</v>
      </c>
      <c r="E545" s="13" t="s">
        <v>2514</v>
      </c>
      <c r="F545" s="13" t="str">
        <f t="shared" ca="1" si="29"/>
        <v>55세</v>
      </c>
      <c r="G545" s="14" t="s">
        <v>3254</v>
      </c>
      <c r="H545" s="15" t="str">
        <f t="shared" si="30"/>
        <v>남</v>
      </c>
      <c r="I545" s="16" t="s">
        <v>901</v>
      </c>
      <c r="J545" s="16" t="s">
        <v>902</v>
      </c>
      <c r="K545" s="17">
        <v>180000</v>
      </c>
      <c r="L545" s="18" t="s">
        <v>2515</v>
      </c>
      <c r="M545" s="19" t="s">
        <v>914</v>
      </c>
      <c r="N545" s="19" t="s">
        <v>2824</v>
      </c>
      <c r="O545" s="20">
        <v>17</v>
      </c>
      <c r="P545" s="23" t="s">
        <v>23</v>
      </c>
      <c r="Q545" s="21" t="str">
        <f>VLOOKUP(C545,'2-1. 인사고과표(기능)'!B:AS,44,0)</f>
        <v>S</v>
      </c>
      <c r="R545" s="21" t="str">
        <f>VLOOKUP(C545,'2-2. 인사고과표(안전)'!B:AO,40,0)</f>
        <v>S</v>
      </c>
      <c r="S545" s="18"/>
      <c r="T545" s="19"/>
      <c r="U545" s="19"/>
      <c r="V545" s="19"/>
      <c r="W545" s="19" t="s">
        <v>456</v>
      </c>
      <c r="X545" s="22" t="s">
        <v>3259</v>
      </c>
      <c r="Y545" s="23" t="s">
        <v>23</v>
      </c>
      <c r="Z545" s="19"/>
      <c r="AA545" s="19"/>
      <c r="AB545" s="22"/>
      <c r="AC545" s="19"/>
      <c r="AD545" s="23"/>
      <c r="AE545" s="24"/>
    </row>
    <row r="546" spans="2:31" ht="39.950000000000003" customHeight="1" x14ac:dyDescent="0.3">
      <c r="B546" s="107">
        <v>24044</v>
      </c>
      <c r="C546" s="12">
        <f t="shared" si="28"/>
        <v>541</v>
      </c>
      <c r="D546" s="105" t="str">
        <f>IFERROR(" "&amp;VLOOKUP(B546,현장리스트!$B:$C,2,0),"-")</f>
        <v xml:space="preserve"> [4.롯데건설] 인천 효성지구 도시개발사업 공동주택 3BL</v>
      </c>
      <c r="E546" s="13" t="s">
        <v>1320</v>
      </c>
      <c r="F546" s="13" t="str">
        <f t="shared" ca="1" si="29"/>
        <v>57세</v>
      </c>
      <c r="G546" s="14" t="s">
        <v>3255</v>
      </c>
      <c r="H546" s="15" t="str">
        <f t="shared" si="30"/>
        <v>여</v>
      </c>
      <c r="I546" s="16" t="s">
        <v>901</v>
      </c>
      <c r="J546" s="16" t="s">
        <v>902</v>
      </c>
      <c r="K546" s="17">
        <v>180000</v>
      </c>
      <c r="L546" s="18" t="s">
        <v>3258</v>
      </c>
      <c r="M546" s="19" t="s">
        <v>914</v>
      </c>
      <c r="N546" s="19" t="s">
        <v>2979</v>
      </c>
      <c r="O546" s="20">
        <v>17</v>
      </c>
      <c r="P546" s="23" t="s">
        <v>23</v>
      </c>
      <c r="Q546" s="21" t="str">
        <f>VLOOKUP(C546,'2-1. 인사고과표(기능)'!B:AS,44,0)</f>
        <v>S</v>
      </c>
      <c r="R546" s="21" t="str">
        <f>VLOOKUP(C546,'2-2. 인사고과표(안전)'!B:AO,40,0)</f>
        <v>S</v>
      </c>
      <c r="S546" s="18"/>
      <c r="T546" s="19"/>
      <c r="U546" s="19"/>
      <c r="V546" s="19"/>
      <c r="W546" s="19" t="s">
        <v>456</v>
      </c>
      <c r="X546" s="22" t="s">
        <v>3259</v>
      </c>
      <c r="Y546" s="23" t="s">
        <v>23</v>
      </c>
      <c r="Z546" s="19"/>
      <c r="AA546" s="19"/>
      <c r="AB546" s="22"/>
      <c r="AC546" s="19"/>
      <c r="AD546" s="23"/>
      <c r="AE546" s="24"/>
    </row>
    <row r="547" spans="2:31" ht="39.950000000000003" customHeight="1" x14ac:dyDescent="0.3">
      <c r="B547" s="107">
        <v>25034</v>
      </c>
      <c r="C547" s="12">
        <f t="shared" si="28"/>
        <v>542</v>
      </c>
      <c r="D547" s="105" t="str">
        <f>IFERROR(" "&amp;VLOOKUP(B547,현장리스트!$B:$C,2,0),"-")</f>
        <v xml:space="preserve"> [5.SG신성건설] 판교 SG세계물산 사옥 신축공사</v>
      </c>
      <c r="E547" s="13" t="s">
        <v>1856</v>
      </c>
      <c r="F547" s="13" t="str">
        <f t="shared" ca="1" si="29"/>
        <v>56세</v>
      </c>
      <c r="G547" s="14" t="s">
        <v>1857</v>
      </c>
      <c r="H547" s="15" t="str">
        <f t="shared" si="30"/>
        <v>남</v>
      </c>
      <c r="I547" s="16" t="s">
        <v>899</v>
      </c>
      <c r="J547" s="16" t="s">
        <v>903</v>
      </c>
      <c r="K547" s="17">
        <v>5300000</v>
      </c>
      <c r="L547" s="18" t="s">
        <v>1858</v>
      </c>
      <c r="M547" s="19" t="s">
        <v>987</v>
      </c>
      <c r="N547" s="19" t="s">
        <v>2650</v>
      </c>
      <c r="O547" s="20" t="s">
        <v>2664</v>
      </c>
      <c r="P547" s="23" t="s">
        <v>28</v>
      </c>
      <c r="Q547" s="21" t="str">
        <f>VLOOKUP(C547,'2-1. 인사고과표(기능)'!B:AS,44,0)</f>
        <v>S</v>
      </c>
      <c r="R547" s="21" t="str">
        <f>VLOOKUP(C547,'2-2. 인사고과표(안전)'!B:AO,40,0)</f>
        <v>S</v>
      </c>
      <c r="S547" s="18"/>
      <c r="T547" s="19"/>
      <c r="U547" s="19"/>
      <c r="V547" s="19"/>
      <c r="W547" s="19" t="s">
        <v>582</v>
      </c>
      <c r="X547" s="22" t="s">
        <v>2665</v>
      </c>
      <c r="Y547" s="23" t="s">
        <v>26</v>
      </c>
      <c r="Z547" s="19"/>
      <c r="AA547" s="19"/>
      <c r="AB547" s="22"/>
      <c r="AC547" s="19"/>
      <c r="AD547" s="23"/>
      <c r="AE547" s="24"/>
    </row>
    <row r="548" spans="2:31" ht="39.950000000000003" customHeight="1" x14ac:dyDescent="0.3">
      <c r="B548" s="107">
        <v>25034</v>
      </c>
      <c r="C548" s="12">
        <f t="shared" si="28"/>
        <v>543</v>
      </c>
      <c r="D548" s="105" t="str">
        <f>IFERROR(" "&amp;VLOOKUP(B548,현장리스트!$B:$C,2,0),"-")</f>
        <v xml:space="preserve"> [5.SG신성건설] 판교 SG세계물산 사옥 신축공사</v>
      </c>
      <c r="E548" s="13" t="s">
        <v>2037</v>
      </c>
      <c r="F548" s="13" t="str">
        <f t="shared" ca="1" si="29"/>
        <v>32세</v>
      </c>
      <c r="G548" s="14" t="s">
        <v>2038</v>
      </c>
      <c r="H548" s="15" t="str">
        <f t="shared" si="30"/>
        <v>여</v>
      </c>
      <c r="I548" s="16" t="s">
        <v>895</v>
      </c>
      <c r="J548" s="16" t="s">
        <v>900</v>
      </c>
      <c r="K548" s="17">
        <v>3800000</v>
      </c>
      <c r="L548" s="18" t="s">
        <v>2039</v>
      </c>
      <c r="M548" s="19" t="s">
        <v>910</v>
      </c>
      <c r="N548" s="19" t="s">
        <v>995</v>
      </c>
      <c r="O548" s="20" t="s">
        <v>2550</v>
      </c>
      <c r="P548" s="23" t="s">
        <v>28</v>
      </c>
      <c r="Q548" s="21" t="str">
        <f>VLOOKUP(C548,'2-1. 인사고과표(기능)'!B:AS,44,0)</f>
        <v>S</v>
      </c>
      <c r="R548" s="21" t="str">
        <f>VLOOKUP(C548,'2-2. 인사고과표(안전)'!B:AO,40,0)</f>
        <v>S</v>
      </c>
      <c r="S548" s="18"/>
      <c r="T548" s="19"/>
      <c r="U548" s="19"/>
      <c r="V548" s="19"/>
      <c r="W548" s="19" t="s">
        <v>582</v>
      </c>
      <c r="X548" s="22" t="s">
        <v>2665</v>
      </c>
      <c r="Y548" s="23" t="s">
        <v>26</v>
      </c>
      <c r="Z548" s="19"/>
      <c r="AA548" s="19"/>
      <c r="AB548" s="22"/>
      <c r="AC548" s="19"/>
      <c r="AD548" s="23"/>
      <c r="AE548" s="24"/>
    </row>
    <row r="549" spans="2:31" ht="39.950000000000003" customHeight="1" x14ac:dyDescent="0.3">
      <c r="B549" s="107">
        <v>25034</v>
      </c>
      <c r="C549" s="12">
        <f t="shared" si="28"/>
        <v>544</v>
      </c>
      <c r="D549" s="105" t="str">
        <f>IFERROR(" "&amp;VLOOKUP(B549,현장리스트!$B:$C,2,0),"-")</f>
        <v xml:space="preserve"> [5.SG신성건설] 판교 SG세계물산 사옥 신축공사</v>
      </c>
      <c r="E549" s="13" t="s">
        <v>1897</v>
      </c>
      <c r="F549" s="13" t="str">
        <f t="shared" ca="1" si="29"/>
        <v>54세</v>
      </c>
      <c r="G549" s="14" t="s">
        <v>1898</v>
      </c>
      <c r="H549" s="15" t="str">
        <f t="shared" si="30"/>
        <v>남</v>
      </c>
      <c r="I549" s="16" t="s">
        <v>901</v>
      </c>
      <c r="J549" s="16" t="s">
        <v>30</v>
      </c>
      <c r="K549" s="17">
        <v>230000</v>
      </c>
      <c r="L549" s="18" t="s">
        <v>1899</v>
      </c>
      <c r="M549" s="19" t="s">
        <v>923</v>
      </c>
      <c r="N549" s="19" t="s">
        <v>2663</v>
      </c>
      <c r="O549" s="20" t="s">
        <v>2664</v>
      </c>
      <c r="P549" s="23" t="s">
        <v>28</v>
      </c>
      <c r="Q549" s="21" t="str">
        <f>VLOOKUP(C549,'2-1. 인사고과표(기능)'!B:AS,44,0)</f>
        <v>S</v>
      </c>
      <c r="R549" s="21" t="str">
        <f>VLOOKUP(C549,'2-2. 인사고과표(안전)'!B:AO,40,0)</f>
        <v>S</v>
      </c>
      <c r="S549" s="18"/>
      <c r="T549" s="19"/>
      <c r="U549" s="19"/>
      <c r="V549" s="19"/>
      <c r="W549" s="19" t="s">
        <v>582</v>
      </c>
      <c r="X549" s="22" t="s">
        <v>2665</v>
      </c>
      <c r="Y549" s="23" t="s">
        <v>26</v>
      </c>
      <c r="Z549" s="19"/>
      <c r="AA549" s="19"/>
      <c r="AB549" s="22"/>
      <c r="AC549" s="19"/>
      <c r="AD549" s="23"/>
      <c r="AE549" s="24"/>
    </row>
    <row r="550" spans="2:31" ht="39.950000000000003" customHeight="1" x14ac:dyDescent="0.3">
      <c r="B550" s="107">
        <v>25034</v>
      </c>
      <c r="C550" s="12">
        <f t="shared" si="28"/>
        <v>545</v>
      </c>
      <c r="D550" s="105" t="str">
        <f>IFERROR(" "&amp;VLOOKUP(B550,현장리스트!$B:$C,2,0),"-")</f>
        <v xml:space="preserve"> [5.SG신성건설] 판교 SG세계물산 사옥 신축공사</v>
      </c>
      <c r="E550" s="13" t="s">
        <v>1598</v>
      </c>
      <c r="F550" s="13" t="str">
        <f t="shared" ca="1" si="29"/>
        <v>53세</v>
      </c>
      <c r="G550" s="14" t="s">
        <v>1599</v>
      </c>
      <c r="H550" s="15" t="str">
        <f t="shared" si="30"/>
        <v>남</v>
      </c>
      <c r="I550" s="16" t="s">
        <v>901</v>
      </c>
      <c r="J550" s="16" t="s">
        <v>30</v>
      </c>
      <c r="K550" s="17">
        <v>230000</v>
      </c>
      <c r="L550" s="18" t="s">
        <v>1600</v>
      </c>
      <c r="M550" s="19" t="s">
        <v>923</v>
      </c>
      <c r="N550" s="19" t="s">
        <v>2663</v>
      </c>
      <c r="O550" s="20" t="s">
        <v>2664</v>
      </c>
      <c r="P550" s="23" t="s">
        <v>28</v>
      </c>
      <c r="Q550" s="21" t="str">
        <f>VLOOKUP(C550,'2-1. 인사고과표(기능)'!B:AS,44,0)</f>
        <v>S</v>
      </c>
      <c r="R550" s="21" t="str">
        <f>VLOOKUP(C550,'2-2. 인사고과표(안전)'!B:AO,40,0)</f>
        <v>S</v>
      </c>
      <c r="S550" s="18"/>
      <c r="T550" s="19"/>
      <c r="U550" s="19"/>
      <c r="V550" s="19"/>
      <c r="W550" s="19" t="s">
        <v>582</v>
      </c>
      <c r="X550" s="22" t="s">
        <v>2665</v>
      </c>
      <c r="Y550" s="23" t="s">
        <v>26</v>
      </c>
      <c r="Z550" s="19"/>
      <c r="AA550" s="19"/>
      <c r="AB550" s="22"/>
      <c r="AC550" s="19"/>
      <c r="AD550" s="23"/>
      <c r="AE550" s="24"/>
    </row>
    <row r="551" spans="2:31" ht="39.950000000000003" customHeight="1" x14ac:dyDescent="0.3">
      <c r="B551" s="107">
        <v>25034</v>
      </c>
      <c r="C551" s="12">
        <f t="shared" si="28"/>
        <v>546</v>
      </c>
      <c r="D551" s="105" t="str">
        <f>IFERROR(" "&amp;VLOOKUP(B551,현장리스트!$B:$C,2,0),"-")</f>
        <v xml:space="preserve"> [5.SG신성건설] 판교 SG세계물산 사옥 신축공사</v>
      </c>
      <c r="E551" s="13" t="s">
        <v>2662</v>
      </c>
      <c r="F551" s="13" t="str">
        <f t="shared" ca="1" si="29"/>
        <v>52세</v>
      </c>
      <c r="G551" s="14" t="s">
        <v>1398</v>
      </c>
      <c r="H551" s="15" t="str">
        <f t="shared" si="30"/>
        <v>남</v>
      </c>
      <c r="I551" s="16" t="s">
        <v>901</v>
      </c>
      <c r="J551" s="16" t="s">
        <v>30</v>
      </c>
      <c r="K551" s="17">
        <v>210000</v>
      </c>
      <c r="L551" s="18" t="s">
        <v>1399</v>
      </c>
      <c r="M551" s="19" t="s">
        <v>914</v>
      </c>
      <c r="N551" s="19" t="s">
        <v>3019</v>
      </c>
      <c r="O551" s="20" t="s">
        <v>912</v>
      </c>
      <c r="P551" s="23" t="s">
        <v>28</v>
      </c>
      <c r="Q551" s="21" t="str">
        <f>VLOOKUP(C551,'2-1. 인사고과표(기능)'!B:AS,44,0)</f>
        <v>S</v>
      </c>
      <c r="R551" s="21" t="str">
        <f>VLOOKUP(C551,'2-2. 인사고과표(안전)'!B:AO,40,0)</f>
        <v>S</v>
      </c>
      <c r="S551" s="18"/>
      <c r="T551" s="19"/>
      <c r="U551" s="19"/>
      <c r="V551" s="19"/>
      <c r="W551" s="19" t="s">
        <v>582</v>
      </c>
      <c r="X551" s="22" t="s">
        <v>2665</v>
      </c>
      <c r="Y551" s="23" t="s">
        <v>26</v>
      </c>
      <c r="Z551" s="19"/>
      <c r="AA551" s="19"/>
      <c r="AB551" s="22"/>
      <c r="AC551" s="19"/>
      <c r="AD551" s="23"/>
      <c r="AE551" s="24"/>
    </row>
    <row r="552" spans="2:31" ht="39.950000000000003" customHeight="1" x14ac:dyDescent="0.3">
      <c r="B552" s="107">
        <v>24024</v>
      </c>
      <c r="C552" s="12">
        <f t="shared" si="28"/>
        <v>547</v>
      </c>
      <c r="D552" s="105" t="str">
        <f>IFERROR(" "&amp;VLOOKUP(B552,현장리스트!$B:$C,2,0),"-")</f>
        <v xml:space="preserve"> [5.대광건영] 양주회천 A12 대광로제비앙 아파트 신축공사</v>
      </c>
      <c r="E552" s="13" t="s">
        <v>557</v>
      </c>
      <c r="F552" s="13" t="str">
        <f t="shared" ca="1" si="29"/>
        <v>44세</v>
      </c>
      <c r="G552" s="14" t="s">
        <v>2488</v>
      </c>
      <c r="H552" s="15" t="str">
        <f t="shared" si="30"/>
        <v>남</v>
      </c>
      <c r="I552" s="16" t="s">
        <v>895</v>
      </c>
      <c r="J552" s="16" t="s">
        <v>903</v>
      </c>
      <c r="K552" s="17">
        <v>5200000</v>
      </c>
      <c r="L552" s="18" t="s">
        <v>2489</v>
      </c>
      <c r="M552" s="19" t="s">
        <v>914</v>
      </c>
      <c r="N552" s="19" t="s">
        <v>2608</v>
      </c>
      <c r="O552" s="20">
        <v>10</v>
      </c>
      <c r="P552" s="23" t="s">
        <v>23</v>
      </c>
      <c r="Q552" s="21" t="str">
        <f>VLOOKUP(C552,'2-1. 인사고과표(기능)'!B:AS,44,0)</f>
        <v>S</v>
      </c>
      <c r="R552" s="21" t="str">
        <f>VLOOKUP(C552,'2-2. 인사고과표(안전)'!B:AO,40,0)</f>
        <v>S</v>
      </c>
      <c r="S552" s="18"/>
      <c r="T552" s="19"/>
      <c r="U552" s="19"/>
      <c r="V552" s="19"/>
      <c r="W552" s="19" t="s">
        <v>989</v>
      </c>
      <c r="X552" s="22" t="s">
        <v>2631</v>
      </c>
      <c r="Y552" s="23" t="s">
        <v>23</v>
      </c>
      <c r="Z552" s="19"/>
      <c r="AA552" s="19"/>
      <c r="AB552" s="22"/>
      <c r="AC552" s="19"/>
      <c r="AD552" s="23"/>
      <c r="AE552" s="24"/>
    </row>
    <row r="553" spans="2:31" ht="39.950000000000003" customHeight="1" x14ac:dyDescent="0.3">
      <c r="B553" s="107">
        <v>24024</v>
      </c>
      <c r="C553" s="12">
        <f t="shared" si="28"/>
        <v>548</v>
      </c>
      <c r="D553" s="105" t="str">
        <f>IFERROR(" "&amp;VLOOKUP(B553,현장리스트!$B:$C,2,0),"-")</f>
        <v xml:space="preserve"> [5.대광건영] 양주회천 A12 대광로제비앙 아파트 신축공사</v>
      </c>
      <c r="E553" s="13" t="s">
        <v>1900</v>
      </c>
      <c r="F553" s="13" t="str">
        <f t="shared" ca="1" si="29"/>
        <v>45세</v>
      </c>
      <c r="G553" s="14" t="s">
        <v>1901</v>
      </c>
      <c r="H553" s="15" t="str">
        <f t="shared" si="30"/>
        <v>남</v>
      </c>
      <c r="I553" s="16" t="s">
        <v>899</v>
      </c>
      <c r="J553" s="16" t="s">
        <v>903</v>
      </c>
      <c r="K553" s="17">
        <v>5500000</v>
      </c>
      <c r="L553" s="18" t="s">
        <v>986</v>
      </c>
      <c r="M553" s="19" t="s">
        <v>914</v>
      </c>
      <c r="N553" s="19" t="s">
        <v>2628</v>
      </c>
      <c r="O553" s="20">
        <v>15</v>
      </c>
      <c r="P553" s="23" t="s">
        <v>23</v>
      </c>
      <c r="Q553" s="21" t="str">
        <f>VLOOKUP(C553,'2-1. 인사고과표(기능)'!B:AS,44,0)</f>
        <v>S</v>
      </c>
      <c r="R553" s="21" t="str">
        <f>VLOOKUP(C553,'2-2. 인사고과표(안전)'!B:AO,40,0)</f>
        <v>S</v>
      </c>
      <c r="S553" s="18"/>
      <c r="T553" s="19"/>
      <c r="U553" s="19"/>
      <c r="V553" s="19"/>
      <c r="W553" s="19"/>
      <c r="X553" s="22"/>
      <c r="Y553" s="23"/>
      <c r="Z553" s="19"/>
      <c r="AA553" s="19" t="s">
        <v>2632</v>
      </c>
      <c r="AB553" s="22" t="s">
        <v>2633</v>
      </c>
      <c r="AC553" s="19" t="s">
        <v>2634</v>
      </c>
      <c r="AD553" s="23" t="s">
        <v>23</v>
      </c>
      <c r="AE553" s="24"/>
    </row>
    <row r="554" spans="2:31" ht="39.950000000000003" customHeight="1" x14ac:dyDescent="0.3">
      <c r="B554" s="107">
        <v>24024</v>
      </c>
      <c r="C554" s="12">
        <f t="shared" si="28"/>
        <v>549</v>
      </c>
      <c r="D554" s="105" t="str">
        <f>IFERROR(" "&amp;VLOOKUP(B554,현장리스트!$B:$C,2,0),"-")</f>
        <v xml:space="preserve"> [5.대광건영] 양주회천 A12 대광로제비앙 아파트 신축공사</v>
      </c>
      <c r="E554" s="13" t="s">
        <v>2020</v>
      </c>
      <c r="F554" s="13" t="str">
        <f t="shared" ca="1" si="29"/>
        <v>45세</v>
      </c>
      <c r="G554" s="14" t="s">
        <v>2021</v>
      </c>
      <c r="H554" s="15" t="str">
        <f t="shared" si="30"/>
        <v>남</v>
      </c>
      <c r="I554" s="16" t="s">
        <v>901</v>
      </c>
      <c r="J554" s="16" t="s">
        <v>902</v>
      </c>
      <c r="K554" s="17">
        <v>180000</v>
      </c>
      <c r="L554" s="18" t="s">
        <v>2022</v>
      </c>
      <c r="M554" s="19" t="s">
        <v>987</v>
      </c>
      <c r="N554" s="19" t="s">
        <v>2629</v>
      </c>
      <c r="O554" s="20">
        <v>5</v>
      </c>
      <c r="P554" s="23" t="s">
        <v>23</v>
      </c>
      <c r="Q554" s="21" t="str">
        <f>VLOOKUP(C554,'2-1. 인사고과표(기능)'!B:AS,44,0)</f>
        <v>A</v>
      </c>
      <c r="R554" s="21" t="str">
        <f>VLOOKUP(C554,'2-2. 인사고과표(안전)'!B:AO,40,0)</f>
        <v>S</v>
      </c>
      <c r="S554" s="18"/>
      <c r="T554" s="19"/>
      <c r="U554" s="19"/>
      <c r="V554" s="19"/>
      <c r="W554" s="19" t="s">
        <v>989</v>
      </c>
      <c r="X554" s="22" t="s">
        <v>2631</v>
      </c>
      <c r="Y554" s="23" t="s">
        <v>23</v>
      </c>
      <c r="Z554" s="19"/>
      <c r="AA554" s="19"/>
      <c r="AB554" s="22"/>
      <c r="AC554" s="19"/>
      <c r="AD554" s="23"/>
      <c r="AE554" s="24"/>
    </row>
    <row r="555" spans="2:31" ht="39.950000000000003" customHeight="1" x14ac:dyDescent="0.3">
      <c r="B555" s="107">
        <v>24024</v>
      </c>
      <c r="C555" s="12">
        <f t="shared" si="28"/>
        <v>550</v>
      </c>
      <c r="D555" s="105" t="str">
        <f>IFERROR(" "&amp;VLOOKUP(B555,현장리스트!$B:$C,2,0),"-")</f>
        <v xml:space="preserve"> [5.대광건영] 양주회천 A12 대광로제비앙 아파트 신축공사</v>
      </c>
      <c r="E555" s="13" t="s">
        <v>1355</v>
      </c>
      <c r="F555" s="13" t="str">
        <f t="shared" ca="1" si="29"/>
        <v>46세</v>
      </c>
      <c r="G555" s="14" t="s">
        <v>1356</v>
      </c>
      <c r="H555" s="15" t="str">
        <f t="shared" si="30"/>
        <v>남</v>
      </c>
      <c r="I555" s="16" t="s">
        <v>901</v>
      </c>
      <c r="J555" s="16" t="s">
        <v>30</v>
      </c>
      <c r="K555" s="17">
        <v>200000</v>
      </c>
      <c r="L555" s="18" t="s">
        <v>1357</v>
      </c>
      <c r="M555" s="19" t="s">
        <v>914</v>
      </c>
      <c r="N555" s="19" t="s">
        <v>2630</v>
      </c>
      <c r="O555" s="20">
        <v>15</v>
      </c>
      <c r="P555" s="23" t="s">
        <v>23</v>
      </c>
      <c r="Q555" s="21" t="str">
        <f>VLOOKUP(C555,'2-1. 인사고과표(기능)'!B:AS,44,0)</f>
        <v>S</v>
      </c>
      <c r="R555" s="21" t="str">
        <f>VLOOKUP(C555,'2-2. 인사고과표(안전)'!B:AO,40,0)</f>
        <v>S</v>
      </c>
      <c r="S555" s="18"/>
      <c r="T555" s="19"/>
      <c r="U555" s="19"/>
      <c r="V555" s="19"/>
      <c r="W555" s="19"/>
      <c r="X555" s="22"/>
      <c r="Y555" s="23"/>
      <c r="Z555" s="19"/>
      <c r="AA555" s="19" t="s">
        <v>2632</v>
      </c>
      <c r="AB555" s="22" t="s">
        <v>2633</v>
      </c>
      <c r="AC555" s="19" t="s">
        <v>2634</v>
      </c>
      <c r="AD555" s="23" t="s">
        <v>23</v>
      </c>
      <c r="AE555" s="24"/>
    </row>
    <row r="556" spans="2:31" ht="39.950000000000003" customHeight="1" x14ac:dyDescent="0.3">
      <c r="B556" s="107">
        <v>24024</v>
      </c>
      <c r="C556" s="12">
        <f t="shared" si="28"/>
        <v>551</v>
      </c>
      <c r="D556" s="105" t="str">
        <f>IFERROR(" "&amp;VLOOKUP(B556,현장리스트!$B:$C,2,0),"-")</f>
        <v xml:space="preserve"> [5.대광건영] 양주회천 A12 대광로제비앙 아파트 신축공사</v>
      </c>
      <c r="E556" s="13" t="s">
        <v>1565</v>
      </c>
      <c r="F556" s="13" t="str">
        <f t="shared" ca="1" si="29"/>
        <v>45세</v>
      </c>
      <c r="G556" s="14" t="s">
        <v>1566</v>
      </c>
      <c r="H556" s="15" t="str">
        <f t="shared" si="30"/>
        <v>남</v>
      </c>
      <c r="I556" s="16" t="s">
        <v>901</v>
      </c>
      <c r="J556" s="16" t="s">
        <v>902</v>
      </c>
      <c r="K556" s="17">
        <v>180000</v>
      </c>
      <c r="L556" s="18" t="s">
        <v>1357</v>
      </c>
      <c r="M556" s="19" t="s">
        <v>914</v>
      </c>
      <c r="N556" s="19" t="s">
        <v>1448</v>
      </c>
      <c r="O556" s="20">
        <v>5</v>
      </c>
      <c r="P556" s="23" t="s">
        <v>23</v>
      </c>
      <c r="Q556" s="21" t="str">
        <f>VLOOKUP(C556,'2-1. 인사고과표(기능)'!B:AS,44,0)</f>
        <v>S</v>
      </c>
      <c r="R556" s="21" t="str">
        <f>VLOOKUP(C556,'2-2. 인사고과표(안전)'!B:AO,40,0)</f>
        <v>S</v>
      </c>
      <c r="S556" s="18"/>
      <c r="T556" s="19"/>
      <c r="U556" s="19"/>
      <c r="V556" s="19"/>
      <c r="W556" s="19"/>
      <c r="X556" s="22"/>
      <c r="Y556" s="23"/>
      <c r="Z556" s="19"/>
      <c r="AA556" s="19" t="s">
        <v>2635</v>
      </c>
      <c r="AB556" s="22" t="s">
        <v>2636</v>
      </c>
      <c r="AC556" s="19" t="s">
        <v>2637</v>
      </c>
      <c r="AD556" s="23" t="s">
        <v>23</v>
      </c>
      <c r="AE556" s="24"/>
    </row>
    <row r="557" spans="2:31" ht="39.950000000000003" customHeight="1" x14ac:dyDescent="0.3">
      <c r="B557" s="107">
        <v>24024</v>
      </c>
      <c r="C557" s="12">
        <f t="shared" si="28"/>
        <v>552</v>
      </c>
      <c r="D557" s="105" t="str">
        <f>IFERROR(" "&amp;VLOOKUP(B557,현장리스트!$B:$C,2,0),"-")</f>
        <v xml:space="preserve"> [5.대광건영] 양주회천 A12 대광로제비앙 아파트 신축공사</v>
      </c>
      <c r="E557" s="13" t="s">
        <v>2363</v>
      </c>
      <c r="F557" s="13" t="str">
        <f t="shared" ca="1" si="29"/>
        <v>64세</v>
      </c>
      <c r="G557" s="14" t="s">
        <v>2364</v>
      </c>
      <c r="H557" s="15" t="str">
        <f t="shared" si="30"/>
        <v>남</v>
      </c>
      <c r="I557" s="16" t="s">
        <v>901</v>
      </c>
      <c r="J557" s="16" t="s">
        <v>30</v>
      </c>
      <c r="K557" s="17">
        <v>190000</v>
      </c>
      <c r="L557" s="18" t="s">
        <v>2365</v>
      </c>
      <c r="M557" s="19" t="s">
        <v>914</v>
      </c>
      <c r="N557" s="19" t="s">
        <v>2613</v>
      </c>
      <c r="O557" s="20">
        <v>30</v>
      </c>
      <c r="P557" s="23" t="s">
        <v>23</v>
      </c>
      <c r="Q557" s="21" t="str">
        <f>VLOOKUP(C557,'2-1. 인사고과표(기능)'!B:AS,44,0)</f>
        <v>S</v>
      </c>
      <c r="R557" s="21" t="str">
        <f>VLOOKUP(C557,'2-2. 인사고과표(안전)'!B:AO,40,0)</f>
        <v>S</v>
      </c>
      <c r="S557" s="18"/>
      <c r="T557" s="19"/>
      <c r="U557" s="19"/>
      <c r="V557" s="19"/>
      <c r="W557" s="19"/>
      <c r="X557" s="22"/>
      <c r="Y557" s="23"/>
      <c r="Z557" s="19"/>
      <c r="AA557" s="19" t="s">
        <v>2635</v>
      </c>
      <c r="AB557" s="22" t="s">
        <v>2638</v>
      </c>
      <c r="AC557" s="19" t="s">
        <v>2639</v>
      </c>
      <c r="AD557" s="23" t="s">
        <v>23</v>
      </c>
      <c r="AE557" s="24"/>
    </row>
    <row r="558" spans="2:31" ht="39.950000000000003" customHeight="1" x14ac:dyDescent="0.3">
      <c r="B558" s="107">
        <v>24024</v>
      </c>
      <c r="C558" s="12">
        <f t="shared" si="28"/>
        <v>553</v>
      </c>
      <c r="D558" s="105" t="str">
        <f>IFERROR(" "&amp;VLOOKUP(B558,현장리스트!$B:$C,2,0),"-")</f>
        <v xml:space="preserve"> [5.대광건영] 양주회천 A12 대광로제비앙 아파트 신축공사</v>
      </c>
      <c r="E558" s="13" t="s">
        <v>2102</v>
      </c>
      <c r="F558" s="13" t="str">
        <f t="shared" ca="1" si="29"/>
        <v>31세</v>
      </c>
      <c r="G558" s="14" t="s">
        <v>2103</v>
      </c>
      <c r="H558" s="15" t="str">
        <f t="shared" si="30"/>
        <v>남</v>
      </c>
      <c r="I558" s="16" t="s">
        <v>901</v>
      </c>
      <c r="J558" s="16" t="s">
        <v>902</v>
      </c>
      <c r="K558" s="17">
        <v>170000</v>
      </c>
      <c r="L558" s="18" t="s">
        <v>2365</v>
      </c>
      <c r="M558" s="19" t="s">
        <v>987</v>
      </c>
      <c r="N558" s="19" t="s">
        <v>988</v>
      </c>
      <c r="O558" s="20">
        <v>5</v>
      </c>
      <c r="P558" s="23" t="s">
        <v>23</v>
      </c>
      <c r="Q558" s="21" t="str">
        <f>VLOOKUP(C558,'2-1. 인사고과표(기능)'!B:AS,44,0)</f>
        <v>S</v>
      </c>
      <c r="R558" s="21" t="str">
        <f>VLOOKUP(C558,'2-2. 인사고과표(안전)'!B:AO,40,0)</f>
        <v>S</v>
      </c>
      <c r="S558" s="18"/>
      <c r="T558" s="19"/>
      <c r="U558" s="19"/>
      <c r="V558" s="19"/>
      <c r="W558" s="19"/>
      <c r="X558" s="22"/>
      <c r="Y558" s="23"/>
      <c r="Z558" s="19"/>
      <c r="AA558" s="19" t="s">
        <v>595</v>
      </c>
      <c r="AB558" s="22" t="s">
        <v>2640</v>
      </c>
      <c r="AC558" s="19" t="s">
        <v>2641</v>
      </c>
      <c r="AD558" s="23" t="s">
        <v>23</v>
      </c>
      <c r="AE558" s="24"/>
    </row>
    <row r="559" spans="2:31" ht="39.950000000000003" customHeight="1" x14ac:dyDescent="0.3">
      <c r="B559" s="107">
        <v>25008</v>
      </c>
      <c r="C559" s="12">
        <f t="shared" si="28"/>
        <v>554</v>
      </c>
      <c r="D559" s="105" t="str">
        <f>IFERROR(" "&amp;VLOOKUP(B559,현장리스트!$B:$C,2,0),"-")</f>
        <v xml:space="preserve"> [5.대광로제비앙] 평택 브레인시티 (가칭)도일1초등학교 신축공사</v>
      </c>
      <c r="E559" s="13" t="s">
        <v>686</v>
      </c>
      <c r="F559" s="13" t="str">
        <f t="shared" ca="1" si="29"/>
        <v>34세</v>
      </c>
      <c r="G559" s="14" t="s">
        <v>1499</v>
      </c>
      <c r="H559" s="15" t="str">
        <f t="shared" si="30"/>
        <v>남</v>
      </c>
      <c r="I559" s="16" t="s">
        <v>895</v>
      </c>
      <c r="J559" s="16" t="s">
        <v>31</v>
      </c>
      <c r="K559" s="17">
        <v>3300000</v>
      </c>
      <c r="L559" s="18" t="s">
        <v>1500</v>
      </c>
      <c r="M559" s="19" t="s">
        <v>987</v>
      </c>
      <c r="N559" s="19" t="s">
        <v>2691</v>
      </c>
      <c r="O559" s="20">
        <v>1</v>
      </c>
      <c r="P559" s="23" t="s">
        <v>24</v>
      </c>
      <c r="Q559" s="21" t="str">
        <f>VLOOKUP(C559,'2-1. 인사고과표(기능)'!B:AS,44,0)</f>
        <v>S</v>
      </c>
      <c r="R559" s="21" t="str">
        <f>VLOOKUP(C559,'2-2. 인사고과표(안전)'!B:AO,40,0)</f>
        <v>S</v>
      </c>
      <c r="S559" s="18" t="s">
        <v>31</v>
      </c>
      <c r="T559" s="19"/>
      <c r="U559" s="19"/>
      <c r="V559" s="19" t="s">
        <v>2567</v>
      </c>
      <c r="W559" s="19"/>
      <c r="X559" s="22"/>
      <c r="Y559" s="23"/>
      <c r="Z559" s="19"/>
      <c r="AA559" s="19"/>
      <c r="AB559" s="22"/>
      <c r="AC559" s="19"/>
      <c r="AD559" s="23"/>
      <c r="AE559" s="24"/>
    </row>
    <row r="560" spans="2:31" ht="39.950000000000003" customHeight="1" x14ac:dyDescent="0.3">
      <c r="B560" s="107">
        <v>25008</v>
      </c>
      <c r="C560" s="12">
        <f t="shared" si="28"/>
        <v>555</v>
      </c>
      <c r="D560" s="105" t="str">
        <f>IFERROR(" "&amp;VLOOKUP(B560,현장리스트!$B:$C,2,0),"-")</f>
        <v xml:space="preserve"> [5.대광로제비앙] 평택 브레인시티 (가칭)도일1초등학교 신축공사</v>
      </c>
      <c r="E560" s="13" t="s">
        <v>1031</v>
      </c>
      <c r="F560" s="13" t="str">
        <f t="shared" ca="1" si="29"/>
        <v>52세</v>
      </c>
      <c r="G560" s="14" t="s">
        <v>1032</v>
      </c>
      <c r="H560" s="15" t="str">
        <f t="shared" si="30"/>
        <v>남</v>
      </c>
      <c r="I560" s="16" t="s">
        <v>899</v>
      </c>
      <c r="J560" s="16" t="s">
        <v>903</v>
      </c>
      <c r="K560" s="17">
        <v>5300000</v>
      </c>
      <c r="L560" s="18" t="s">
        <v>1033</v>
      </c>
      <c r="M560" s="19" t="s">
        <v>914</v>
      </c>
      <c r="N560" s="19" t="s">
        <v>2626</v>
      </c>
      <c r="O560" s="20">
        <v>30</v>
      </c>
      <c r="P560" s="23" t="s">
        <v>23</v>
      </c>
      <c r="Q560" s="21" t="str">
        <f>VLOOKUP(C560,'2-1. 인사고과표(기능)'!B:AS,44,0)</f>
        <v>A</v>
      </c>
      <c r="R560" s="21" t="str">
        <f>VLOOKUP(C560,'2-2. 인사고과표(안전)'!B:AO,40,0)</f>
        <v>B</v>
      </c>
      <c r="S560" s="18"/>
      <c r="T560" s="19"/>
      <c r="U560" s="19"/>
      <c r="V560" s="19"/>
      <c r="W560" s="19"/>
      <c r="X560" s="22"/>
      <c r="Y560" s="23"/>
      <c r="Z560" s="19"/>
      <c r="AA560" s="19" t="s">
        <v>813</v>
      </c>
      <c r="AB560" s="22" t="s">
        <v>2693</v>
      </c>
      <c r="AC560" s="19" t="s">
        <v>2694</v>
      </c>
      <c r="AD560" s="23" t="s">
        <v>23</v>
      </c>
      <c r="AE560" s="24"/>
    </row>
    <row r="561" spans="2:31" ht="39.950000000000003" customHeight="1" x14ac:dyDescent="0.3">
      <c r="B561" s="107">
        <v>25008</v>
      </c>
      <c r="C561" s="12">
        <f t="shared" si="28"/>
        <v>556</v>
      </c>
      <c r="D561" s="105" t="str">
        <f>IFERROR(" "&amp;VLOOKUP(B561,현장리스트!$B:$C,2,0),"-")</f>
        <v xml:space="preserve"> [5.대광로제비앙] 평택 브레인시티 (가칭)도일1초등학교 신축공사</v>
      </c>
      <c r="E561" s="13" t="s">
        <v>1272</v>
      </c>
      <c r="F561" s="13" t="str">
        <f t="shared" ca="1" si="29"/>
        <v>57세</v>
      </c>
      <c r="G561" s="14" t="s">
        <v>1267</v>
      </c>
      <c r="H561" s="15" t="str">
        <f t="shared" si="30"/>
        <v>남</v>
      </c>
      <c r="I561" s="16" t="s">
        <v>899</v>
      </c>
      <c r="J561" s="16" t="s">
        <v>903</v>
      </c>
      <c r="K561" s="17">
        <v>5300000</v>
      </c>
      <c r="L561" s="18" t="s">
        <v>1268</v>
      </c>
      <c r="M561" s="19" t="s">
        <v>2692</v>
      </c>
      <c r="N561" s="19" t="s">
        <v>3415</v>
      </c>
      <c r="O561" s="20">
        <v>30</v>
      </c>
      <c r="P561" s="23" t="s">
        <v>23</v>
      </c>
      <c r="Q561" s="21" t="str">
        <f>VLOOKUP(C561,'2-1. 인사고과표(기능)'!B:AS,44,0)</f>
        <v>S</v>
      </c>
      <c r="R561" s="21" t="str">
        <f>VLOOKUP(C561,'2-2. 인사고과표(안전)'!B:AO,40,0)</f>
        <v>A</v>
      </c>
      <c r="S561" s="18"/>
      <c r="T561" s="19"/>
      <c r="U561" s="19"/>
      <c r="V561" s="19"/>
      <c r="W561" s="19"/>
      <c r="X561" s="22"/>
      <c r="Y561" s="23"/>
      <c r="Z561" s="19"/>
      <c r="AA561" s="19" t="s">
        <v>2695</v>
      </c>
      <c r="AB561" s="22" t="s">
        <v>2696</v>
      </c>
      <c r="AC561" s="19" t="s">
        <v>2697</v>
      </c>
      <c r="AD561" s="23" t="s">
        <v>28</v>
      </c>
      <c r="AE561" s="24"/>
    </row>
    <row r="562" spans="2:31" ht="39.950000000000003" customHeight="1" x14ac:dyDescent="0.3">
      <c r="B562" s="107">
        <v>25008</v>
      </c>
      <c r="C562" s="12">
        <f t="shared" si="28"/>
        <v>557</v>
      </c>
      <c r="D562" s="105" t="str">
        <f>IFERROR(" "&amp;VLOOKUP(B562,현장리스트!$B:$C,2,0),"-")</f>
        <v xml:space="preserve"> [5.대광로제비앙] 평택 브레인시티 (가칭)도일1초등학교 신축공사</v>
      </c>
      <c r="E562" s="13" t="s">
        <v>1607</v>
      </c>
      <c r="F562" s="13" t="str">
        <f t="shared" ca="1" si="29"/>
        <v>38세</v>
      </c>
      <c r="G562" s="14" t="s">
        <v>1608</v>
      </c>
      <c r="H562" s="15" t="str">
        <f t="shared" si="30"/>
        <v>남</v>
      </c>
      <c r="I562" s="16" t="s">
        <v>901</v>
      </c>
      <c r="J562" s="16" t="s">
        <v>30</v>
      </c>
      <c r="K562" s="17">
        <v>210000</v>
      </c>
      <c r="L562" s="18" t="s">
        <v>1609</v>
      </c>
      <c r="M562" s="19" t="s">
        <v>914</v>
      </c>
      <c r="N562" s="19" t="s">
        <v>2611</v>
      </c>
      <c r="O562" s="20">
        <v>10</v>
      </c>
      <c r="P562" s="23" t="s">
        <v>23</v>
      </c>
      <c r="Q562" s="21" t="str">
        <f>VLOOKUP(C562,'2-1. 인사고과표(기능)'!B:AS,44,0)</f>
        <v>S</v>
      </c>
      <c r="R562" s="21" t="str">
        <f>VLOOKUP(C562,'2-2. 인사고과표(안전)'!B:AO,40,0)</f>
        <v>A</v>
      </c>
      <c r="S562" s="18"/>
      <c r="T562" s="19"/>
      <c r="U562" s="19"/>
      <c r="V562" s="19"/>
      <c r="W562" s="19"/>
      <c r="X562" s="22"/>
      <c r="Y562" s="23"/>
      <c r="Z562" s="19"/>
      <c r="AA562" s="19" t="s">
        <v>2698</v>
      </c>
      <c r="AB562" s="22" t="s">
        <v>2699</v>
      </c>
      <c r="AC562" s="19" t="s">
        <v>2700</v>
      </c>
      <c r="AD562" s="23" t="s">
        <v>23</v>
      </c>
      <c r="AE562" s="24"/>
    </row>
    <row r="563" spans="2:31" ht="39.950000000000003" customHeight="1" x14ac:dyDescent="0.3">
      <c r="B563" s="107">
        <v>25008</v>
      </c>
      <c r="C563" s="12">
        <f t="shared" si="28"/>
        <v>558</v>
      </c>
      <c r="D563" s="105" t="str">
        <f>IFERROR(" "&amp;VLOOKUP(B563,현장리스트!$B:$C,2,0),"-")</f>
        <v xml:space="preserve"> [5.대광로제비앙] 평택 브레인시티 (가칭)도일1초등학교 신축공사</v>
      </c>
      <c r="E563" s="13" t="s">
        <v>1649</v>
      </c>
      <c r="F563" s="13" t="str">
        <f t="shared" ca="1" si="29"/>
        <v>42세</v>
      </c>
      <c r="G563" s="14" t="s">
        <v>1650</v>
      </c>
      <c r="H563" s="15" t="str">
        <f t="shared" si="30"/>
        <v>남</v>
      </c>
      <c r="I563" s="16" t="s">
        <v>901</v>
      </c>
      <c r="J563" s="16" t="s">
        <v>30</v>
      </c>
      <c r="K563" s="17">
        <v>200000</v>
      </c>
      <c r="L563" s="18" t="s">
        <v>1651</v>
      </c>
      <c r="M563" s="19" t="s">
        <v>910</v>
      </c>
      <c r="N563" s="19" t="s">
        <v>1001</v>
      </c>
      <c r="O563" s="20">
        <v>10</v>
      </c>
      <c r="P563" s="23" t="s">
        <v>23</v>
      </c>
      <c r="Q563" s="21" t="str">
        <f>VLOOKUP(C563,'2-1. 인사고과표(기능)'!B:AS,44,0)</f>
        <v>S</v>
      </c>
      <c r="R563" s="21" t="str">
        <f>VLOOKUP(C563,'2-2. 인사고과표(안전)'!B:AO,40,0)</f>
        <v>A</v>
      </c>
      <c r="S563" s="18"/>
      <c r="T563" s="19"/>
      <c r="U563" s="19"/>
      <c r="V563" s="19"/>
      <c r="W563" s="19"/>
      <c r="X563" s="22"/>
      <c r="Y563" s="23"/>
      <c r="Z563" s="19"/>
      <c r="AA563" s="19" t="s">
        <v>2701</v>
      </c>
      <c r="AB563" s="22" t="s">
        <v>2702</v>
      </c>
      <c r="AC563" s="19" t="s">
        <v>2703</v>
      </c>
      <c r="AD563" s="23" t="s">
        <v>25</v>
      </c>
      <c r="AE563" s="24"/>
    </row>
    <row r="564" spans="2:31" ht="39.950000000000003" customHeight="1" x14ac:dyDescent="0.3">
      <c r="B564" s="107">
        <v>25030</v>
      </c>
      <c r="C564" s="12">
        <f t="shared" si="28"/>
        <v>559</v>
      </c>
      <c r="D564" s="105" t="str">
        <f>IFERROR(" "&amp;VLOOKUP(B564,현장리스트!$B:$C,2,0),"-")</f>
        <v xml:space="preserve"> [5.대광로제비앙] 평택 브레인시티 2블럭</v>
      </c>
      <c r="E564" s="13" t="s">
        <v>2498</v>
      </c>
      <c r="F564" s="13" t="str">
        <f t="shared" ca="1" si="29"/>
        <v>33세</v>
      </c>
      <c r="G564" s="14" t="s">
        <v>2499</v>
      </c>
      <c r="H564" s="15" t="str">
        <f t="shared" si="30"/>
        <v>남</v>
      </c>
      <c r="I564" s="16" t="s">
        <v>895</v>
      </c>
      <c r="J564" s="16" t="s">
        <v>896</v>
      </c>
      <c r="K564" s="17">
        <v>5500000</v>
      </c>
      <c r="L564" s="18" t="s">
        <v>2500</v>
      </c>
      <c r="M564" s="19" t="s">
        <v>914</v>
      </c>
      <c r="N564" s="19" t="s">
        <v>2667</v>
      </c>
      <c r="O564" s="20" t="s">
        <v>2583</v>
      </c>
      <c r="P564" s="23" t="s">
        <v>23</v>
      </c>
      <c r="Q564" s="21" t="str">
        <f>VLOOKUP(C564,'2-1. 인사고과표(기능)'!B:AS,44,0)</f>
        <v>A</v>
      </c>
      <c r="R564" s="21" t="str">
        <f>VLOOKUP(C564,'2-2. 인사고과표(안전)'!B:AO,40,0)</f>
        <v>A</v>
      </c>
      <c r="S564" s="18" t="s">
        <v>2675</v>
      </c>
      <c r="T564" s="19"/>
      <c r="U564" s="19"/>
      <c r="V564" s="19"/>
      <c r="W564" s="19"/>
      <c r="X564" s="22"/>
      <c r="Y564" s="23" t="s">
        <v>23</v>
      </c>
      <c r="Z564" s="19"/>
      <c r="AA564" s="19" t="s">
        <v>682</v>
      </c>
      <c r="AB564" s="22" t="s">
        <v>2676</v>
      </c>
      <c r="AC564" s="19" t="s">
        <v>682</v>
      </c>
      <c r="AD564" s="23" t="s">
        <v>23</v>
      </c>
      <c r="AE564" s="24"/>
    </row>
    <row r="565" spans="2:31" ht="39.950000000000003" customHeight="1" x14ac:dyDescent="0.3">
      <c r="B565" s="107">
        <v>25030</v>
      </c>
      <c r="C565" s="12">
        <f t="shared" si="28"/>
        <v>560</v>
      </c>
      <c r="D565" s="105" t="str">
        <f>IFERROR(" "&amp;VLOOKUP(B565,현장리스트!$B:$C,2,0),"-")</f>
        <v xml:space="preserve"> [5.대광로제비앙] 평택 브레인시티 2블럭</v>
      </c>
      <c r="E565" s="13" t="s">
        <v>1226</v>
      </c>
      <c r="F565" s="13" t="str">
        <f t="shared" ca="1" si="29"/>
        <v>46세</v>
      </c>
      <c r="G565" s="14" t="s">
        <v>1227</v>
      </c>
      <c r="H565" s="15" t="str">
        <f t="shared" si="30"/>
        <v>여</v>
      </c>
      <c r="I565" s="16" t="s">
        <v>895</v>
      </c>
      <c r="J565" s="16" t="s">
        <v>900</v>
      </c>
      <c r="K565" s="17">
        <v>150000</v>
      </c>
      <c r="L565" s="18" t="s">
        <v>1228</v>
      </c>
      <c r="M565" s="19" t="s">
        <v>914</v>
      </c>
      <c r="N565" s="19" t="s">
        <v>2667</v>
      </c>
      <c r="O565" s="20" t="s">
        <v>2529</v>
      </c>
      <c r="P565" s="23" t="s">
        <v>26</v>
      </c>
      <c r="Q565" s="21" t="str">
        <f>VLOOKUP(C565,'2-1. 인사고과표(기능)'!B:AS,44,0)</f>
        <v>S</v>
      </c>
      <c r="R565" s="21" t="str">
        <f>VLOOKUP(C565,'2-2. 인사고과표(안전)'!B:AO,40,0)</f>
        <v>S</v>
      </c>
      <c r="S565" s="18"/>
      <c r="T565" s="19"/>
      <c r="U565" s="19"/>
      <c r="V565" s="19"/>
      <c r="W565" s="19"/>
      <c r="X565" s="22"/>
      <c r="Y565" s="23" t="s">
        <v>23</v>
      </c>
      <c r="Z565" s="19"/>
      <c r="AA565" s="19" t="s">
        <v>2677</v>
      </c>
      <c r="AB565" s="22" t="s">
        <v>2678</v>
      </c>
      <c r="AC565" s="19" t="s">
        <v>2677</v>
      </c>
      <c r="AD565" s="23" t="s">
        <v>26</v>
      </c>
      <c r="AE565" s="24"/>
    </row>
    <row r="566" spans="2:31" ht="39.950000000000003" customHeight="1" x14ac:dyDescent="0.3">
      <c r="B566" s="107">
        <v>25030</v>
      </c>
      <c r="C566" s="12">
        <f t="shared" si="28"/>
        <v>561</v>
      </c>
      <c r="D566" s="105" t="str">
        <f>IFERROR(" "&amp;VLOOKUP(B566,현장리스트!$B:$C,2,0),"-")</f>
        <v xml:space="preserve"> [5.대광로제비앙] 평택 브레인시티 2블럭</v>
      </c>
      <c r="E566" s="13" t="s">
        <v>2504</v>
      </c>
      <c r="F566" s="13" t="str">
        <f t="shared" ca="1" si="29"/>
        <v>47세</v>
      </c>
      <c r="G566" s="14" t="s">
        <v>2505</v>
      </c>
      <c r="H566" s="15" t="str">
        <f t="shared" si="30"/>
        <v>남</v>
      </c>
      <c r="I566" s="16" t="s">
        <v>899</v>
      </c>
      <c r="J566" s="16" t="s">
        <v>903</v>
      </c>
      <c r="K566" s="17">
        <v>5500000</v>
      </c>
      <c r="L566" s="18" t="s">
        <v>2506</v>
      </c>
      <c r="M566" s="19" t="s">
        <v>914</v>
      </c>
      <c r="N566" s="19" t="s">
        <v>2606</v>
      </c>
      <c r="O566" s="20" t="s">
        <v>2668</v>
      </c>
      <c r="P566" s="23" t="s">
        <v>23</v>
      </c>
      <c r="Q566" s="21" t="str">
        <f>VLOOKUP(C566,'2-1. 인사고과표(기능)'!B:AS,44,0)</f>
        <v>A</v>
      </c>
      <c r="R566" s="21" t="str">
        <f>VLOOKUP(C566,'2-2. 인사고과표(안전)'!B:AO,40,0)</f>
        <v>A</v>
      </c>
      <c r="S566" s="18" t="s">
        <v>2675</v>
      </c>
      <c r="T566" s="19"/>
      <c r="U566" s="19"/>
      <c r="V566" s="19"/>
      <c r="W566" s="19"/>
      <c r="X566" s="22"/>
      <c r="Y566" s="23" t="s">
        <v>23</v>
      </c>
      <c r="Z566" s="19"/>
      <c r="AA566" s="19" t="s">
        <v>682</v>
      </c>
      <c r="AB566" s="22" t="s">
        <v>2676</v>
      </c>
      <c r="AC566" s="19" t="s">
        <v>682</v>
      </c>
      <c r="AD566" s="23" t="s">
        <v>23</v>
      </c>
      <c r="AE566" s="24"/>
    </row>
    <row r="567" spans="2:31" ht="39.950000000000003" customHeight="1" x14ac:dyDescent="0.3">
      <c r="B567" s="107">
        <v>25030</v>
      </c>
      <c r="C567" s="12">
        <f t="shared" si="28"/>
        <v>562</v>
      </c>
      <c r="D567" s="105" t="str">
        <f>IFERROR(" "&amp;VLOOKUP(B567,현장리스트!$B:$C,2,0),"-")</f>
        <v xml:space="preserve"> [5.대광로제비앙] 평택 브레인시티 2블럭</v>
      </c>
      <c r="E567" s="13" t="s">
        <v>2300</v>
      </c>
      <c r="F567" s="13" t="str">
        <f t="shared" ca="1" si="29"/>
        <v>60세</v>
      </c>
      <c r="G567" s="14" t="s">
        <v>2301</v>
      </c>
      <c r="H567" s="15" t="str">
        <f t="shared" si="30"/>
        <v>남</v>
      </c>
      <c r="I567" s="16" t="s">
        <v>901</v>
      </c>
      <c r="J567" s="16" t="s">
        <v>30</v>
      </c>
      <c r="K567" s="17">
        <v>230000</v>
      </c>
      <c r="L567" s="18" t="s">
        <v>2302</v>
      </c>
      <c r="M567" s="19" t="s">
        <v>914</v>
      </c>
      <c r="N567" s="19" t="s">
        <v>2617</v>
      </c>
      <c r="O567" s="20" t="s">
        <v>993</v>
      </c>
      <c r="P567" s="23" t="s">
        <v>28</v>
      </c>
      <c r="Q567" s="21" t="str">
        <f>VLOOKUP(C567,'2-1. 인사고과표(기능)'!B:AS,44,0)</f>
        <v>A</v>
      </c>
      <c r="R567" s="21" t="str">
        <f>VLOOKUP(C567,'2-2. 인사고과표(안전)'!B:AO,40,0)</f>
        <v>A</v>
      </c>
      <c r="S567" s="18"/>
      <c r="T567" s="19"/>
      <c r="U567" s="19"/>
      <c r="V567" s="19"/>
      <c r="W567" s="19"/>
      <c r="X567" s="22"/>
      <c r="Y567" s="23" t="s">
        <v>23</v>
      </c>
      <c r="Z567" s="19"/>
      <c r="AA567" s="19" t="s">
        <v>2679</v>
      </c>
      <c r="AB567" s="22" t="s">
        <v>2680</v>
      </c>
      <c r="AC567" s="19" t="s">
        <v>2679</v>
      </c>
      <c r="AD567" s="23" t="s">
        <v>28</v>
      </c>
      <c r="AE567" s="24"/>
    </row>
    <row r="568" spans="2:31" ht="39.950000000000003" customHeight="1" x14ac:dyDescent="0.3">
      <c r="B568" s="107">
        <v>25030</v>
      </c>
      <c r="C568" s="12">
        <f t="shared" si="28"/>
        <v>563</v>
      </c>
      <c r="D568" s="105" t="str">
        <f>IFERROR(" "&amp;VLOOKUP(B568,현장리스트!$B:$C,2,0),"-")</f>
        <v xml:space="preserve"> [5.대광로제비앙] 평택 브레인시티 2블럭</v>
      </c>
      <c r="E568" s="13" t="s">
        <v>1281</v>
      </c>
      <c r="F568" s="13" t="str">
        <f t="shared" ca="1" si="29"/>
        <v>44세</v>
      </c>
      <c r="G568" s="14" t="s">
        <v>1282</v>
      </c>
      <c r="H568" s="15" t="str">
        <f t="shared" si="30"/>
        <v>남</v>
      </c>
      <c r="I568" s="16" t="s">
        <v>901</v>
      </c>
      <c r="J568" s="16" t="s">
        <v>30</v>
      </c>
      <c r="K568" s="17">
        <v>210000</v>
      </c>
      <c r="L568" s="18" t="s">
        <v>1283</v>
      </c>
      <c r="M568" s="19" t="s">
        <v>914</v>
      </c>
      <c r="N568" s="19" t="s">
        <v>2669</v>
      </c>
      <c r="O568" s="20" t="s">
        <v>921</v>
      </c>
      <c r="P568" s="23" t="s">
        <v>24</v>
      </c>
      <c r="Q568" s="21" t="str">
        <f>VLOOKUP(C568,'2-1. 인사고과표(기능)'!B:AS,44,0)</f>
        <v>A</v>
      </c>
      <c r="R568" s="21" t="str">
        <f>VLOOKUP(C568,'2-2. 인사고과표(안전)'!B:AO,40,0)</f>
        <v>A</v>
      </c>
      <c r="S568" s="18"/>
      <c r="T568" s="19"/>
      <c r="U568" s="19"/>
      <c r="V568" s="19"/>
      <c r="W568" s="19"/>
      <c r="X568" s="22"/>
      <c r="Y568" s="23" t="s">
        <v>23</v>
      </c>
      <c r="Z568" s="19"/>
      <c r="AA568" s="19" t="s">
        <v>813</v>
      </c>
      <c r="AB568" s="22" t="s">
        <v>2681</v>
      </c>
      <c r="AC568" s="19" t="s">
        <v>2682</v>
      </c>
      <c r="AD568" s="23" t="s">
        <v>24</v>
      </c>
      <c r="AE568" s="24"/>
    </row>
    <row r="569" spans="2:31" ht="39.950000000000003" customHeight="1" x14ac:dyDescent="0.3">
      <c r="B569" s="107">
        <v>25030</v>
      </c>
      <c r="C569" s="12">
        <f t="shared" si="28"/>
        <v>564</v>
      </c>
      <c r="D569" s="105" t="str">
        <f>IFERROR(" "&amp;VLOOKUP(B569,현장리스트!$B:$C,2,0),"-")</f>
        <v xml:space="preserve"> [5.대광로제비앙] 평택 브레인시티 2블럭</v>
      </c>
      <c r="E569" s="13" t="s">
        <v>1753</v>
      </c>
      <c r="F569" s="13" t="str">
        <f t="shared" ca="1" si="29"/>
        <v>34세</v>
      </c>
      <c r="G569" s="14" t="s">
        <v>1754</v>
      </c>
      <c r="H569" s="15" t="str">
        <f t="shared" si="30"/>
        <v>남</v>
      </c>
      <c r="I569" s="16" t="s">
        <v>901</v>
      </c>
      <c r="J569" s="16" t="s">
        <v>30</v>
      </c>
      <c r="K569" s="17">
        <v>200000</v>
      </c>
      <c r="L569" s="18" t="s">
        <v>1755</v>
      </c>
      <c r="M569" s="19" t="s">
        <v>2670</v>
      </c>
      <c r="N569" s="19" t="s">
        <v>2671</v>
      </c>
      <c r="O569" s="20" t="s">
        <v>2672</v>
      </c>
      <c r="P569" s="23" t="s">
        <v>24</v>
      </c>
      <c r="Q569" s="21" t="str">
        <f>VLOOKUP(C569,'2-1. 인사고과표(기능)'!B:AS,44,0)</f>
        <v>A</v>
      </c>
      <c r="R569" s="21" t="str">
        <f>VLOOKUP(C569,'2-2. 인사고과표(안전)'!B:AO,40,0)</f>
        <v>A</v>
      </c>
      <c r="S569" s="18"/>
      <c r="T569" s="19"/>
      <c r="U569" s="19"/>
      <c r="V569" s="19"/>
      <c r="W569" s="19"/>
      <c r="X569" s="22"/>
      <c r="Y569" s="23" t="s">
        <v>23</v>
      </c>
      <c r="Z569" s="19"/>
      <c r="AA569" s="19" t="s">
        <v>2683</v>
      </c>
      <c r="AB569" s="22" t="s">
        <v>2684</v>
      </c>
      <c r="AC569" s="19" t="s">
        <v>2685</v>
      </c>
      <c r="AD569" s="23" t="s">
        <v>24</v>
      </c>
      <c r="AE569" s="24"/>
    </row>
    <row r="570" spans="2:31" ht="39.950000000000003" customHeight="1" x14ac:dyDescent="0.3">
      <c r="B570" s="107">
        <v>25030</v>
      </c>
      <c r="C570" s="12">
        <f t="shared" si="28"/>
        <v>565</v>
      </c>
      <c r="D570" s="105" t="str">
        <f>IFERROR(" "&amp;VLOOKUP(B570,현장리스트!$B:$C,2,0),"-")</f>
        <v xml:space="preserve"> [5.대광로제비앙] 평택 브레인시티 2블럭</v>
      </c>
      <c r="E570" s="13" t="s">
        <v>1421</v>
      </c>
      <c r="F570" s="13" t="str">
        <f t="shared" ca="1" si="29"/>
        <v>32세</v>
      </c>
      <c r="G570" s="14" t="s">
        <v>1422</v>
      </c>
      <c r="H570" s="15" t="str">
        <f t="shared" si="30"/>
        <v>남</v>
      </c>
      <c r="I570" s="16" t="s">
        <v>901</v>
      </c>
      <c r="J570" s="16" t="s">
        <v>30</v>
      </c>
      <c r="K570" s="17">
        <v>180000</v>
      </c>
      <c r="L570" s="18" t="s">
        <v>1423</v>
      </c>
      <c r="M570" s="19" t="s">
        <v>987</v>
      </c>
      <c r="N570" s="19" t="s">
        <v>2673</v>
      </c>
      <c r="O570" s="20" t="s">
        <v>2550</v>
      </c>
      <c r="P570" s="23" t="s">
        <v>24</v>
      </c>
      <c r="Q570" s="21" t="str">
        <f>VLOOKUP(C570,'2-1. 인사고과표(기능)'!B:AS,44,0)</f>
        <v>A</v>
      </c>
      <c r="R570" s="21" t="str">
        <f>VLOOKUP(C570,'2-2. 인사고과표(안전)'!B:AO,40,0)</f>
        <v>A</v>
      </c>
      <c r="S570" s="18"/>
      <c r="T570" s="19"/>
      <c r="U570" s="19"/>
      <c r="V570" s="19"/>
      <c r="W570" s="19"/>
      <c r="X570" s="22"/>
      <c r="Y570" s="23" t="s">
        <v>23</v>
      </c>
      <c r="Z570" s="19"/>
      <c r="AA570" s="19" t="s">
        <v>2683</v>
      </c>
      <c r="AB570" s="22" t="s">
        <v>2684</v>
      </c>
      <c r="AC570" s="19" t="s">
        <v>2685</v>
      </c>
      <c r="AD570" s="23" t="s">
        <v>24</v>
      </c>
      <c r="AE570" s="24"/>
    </row>
    <row r="571" spans="2:31" ht="39.950000000000003" customHeight="1" x14ac:dyDescent="0.3">
      <c r="B571" s="107">
        <v>25030</v>
      </c>
      <c r="C571" s="12">
        <f t="shared" si="28"/>
        <v>566</v>
      </c>
      <c r="D571" s="105" t="str">
        <f>IFERROR(" "&amp;VLOOKUP(B571,현장리스트!$B:$C,2,0),"-")</f>
        <v xml:space="preserve"> [5.대광로제비앙] 평택 브레인시티 2블럭</v>
      </c>
      <c r="E571" s="13" t="s">
        <v>1183</v>
      </c>
      <c r="F571" s="13" t="str">
        <f t="shared" ca="1" si="29"/>
        <v>55세</v>
      </c>
      <c r="G571" s="14" t="s">
        <v>1184</v>
      </c>
      <c r="H571" s="15" t="str">
        <f t="shared" si="30"/>
        <v>남</v>
      </c>
      <c r="I571" s="16" t="s">
        <v>901</v>
      </c>
      <c r="J571" s="16" t="s">
        <v>30</v>
      </c>
      <c r="K571" s="17">
        <v>200000</v>
      </c>
      <c r="L571" s="18" t="s">
        <v>1185</v>
      </c>
      <c r="M571" s="19" t="s">
        <v>928</v>
      </c>
      <c r="N571" s="19" t="s">
        <v>2674</v>
      </c>
      <c r="O571" s="20" t="s">
        <v>1017</v>
      </c>
      <c r="P571" s="23" t="s">
        <v>25</v>
      </c>
      <c r="Q571" s="21" t="str">
        <f>VLOOKUP(C571,'2-1. 인사고과표(기능)'!B:AS,44,0)</f>
        <v>S</v>
      </c>
      <c r="R571" s="21" t="str">
        <f>VLOOKUP(C571,'2-2. 인사고과표(안전)'!B:AO,40,0)</f>
        <v>S</v>
      </c>
      <c r="S571" s="18"/>
      <c r="T571" s="19"/>
      <c r="U571" s="19"/>
      <c r="V571" s="19"/>
      <c r="W571" s="19"/>
      <c r="X571" s="22"/>
      <c r="Y571" s="23" t="s">
        <v>23</v>
      </c>
      <c r="Z571" s="19"/>
      <c r="AA571" s="19" t="s">
        <v>2686</v>
      </c>
      <c r="AB571" s="22" t="s">
        <v>2687</v>
      </c>
      <c r="AC571" s="19" t="s">
        <v>2688</v>
      </c>
      <c r="AD571" s="23" t="s">
        <v>25</v>
      </c>
      <c r="AE571" s="24"/>
    </row>
    <row r="572" spans="2:31" ht="39.950000000000003" customHeight="1" x14ac:dyDescent="0.3">
      <c r="B572" s="107">
        <v>25030</v>
      </c>
      <c r="C572" s="12">
        <f t="shared" si="28"/>
        <v>567</v>
      </c>
      <c r="D572" s="105" t="str">
        <f>IFERROR(" "&amp;VLOOKUP(B572,현장리스트!$B:$C,2,0),"-")</f>
        <v xml:space="preserve"> [5.대광로제비앙] 평택 브레인시티 2블럭</v>
      </c>
      <c r="E572" s="13" t="s">
        <v>1071</v>
      </c>
      <c r="F572" s="13" t="str">
        <f t="shared" ca="1" si="29"/>
        <v>42세</v>
      </c>
      <c r="G572" s="14" t="s">
        <v>2666</v>
      </c>
      <c r="H572" s="15" t="str">
        <f t="shared" si="30"/>
        <v>남</v>
      </c>
      <c r="I572" s="16" t="s">
        <v>901</v>
      </c>
      <c r="J572" s="16" t="s">
        <v>902</v>
      </c>
      <c r="K572" s="17">
        <v>200000</v>
      </c>
      <c r="L572" s="18" t="s">
        <v>1072</v>
      </c>
      <c r="M572" s="19" t="s">
        <v>914</v>
      </c>
      <c r="N572" s="19" t="s">
        <v>2606</v>
      </c>
      <c r="O572" s="20" t="s">
        <v>921</v>
      </c>
      <c r="P572" s="23" t="s">
        <v>25</v>
      </c>
      <c r="Q572" s="21" t="str">
        <f>VLOOKUP(C572,'2-1. 인사고과표(기능)'!B:AS,44,0)</f>
        <v>S</v>
      </c>
      <c r="R572" s="21" t="str">
        <f>VLOOKUP(C572,'2-2. 인사고과표(안전)'!B:AO,40,0)</f>
        <v>S</v>
      </c>
      <c r="S572" s="18" t="s">
        <v>2675</v>
      </c>
      <c r="T572" s="19"/>
      <c r="U572" s="19"/>
      <c r="V572" s="19"/>
      <c r="W572" s="19"/>
      <c r="X572" s="22"/>
      <c r="Y572" s="23" t="s">
        <v>23</v>
      </c>
      <c r="Z572" s="19"/>
      <c r="AA572" s="19" t="s">
        <v>2563</v>
      </c>
      <c r="AB572" s="22" t="s">
        <v>2689</v>
      </c>
      <c r="AC572" s="19" t="s">
        <v>2690</v>
      </c>
      <c r="AD572" s="23" t="s">
        <v>25</v>
      </c>
      <c r="AE572" s="24"/>
    </row>
    <row r="573" spans="2:31" ht="39.950000000000003" customHeight="1" x14ac:dyDescent="0.3">
      <c r="B573" s="107">
        <v>25042</v>
      </c>
      <c r="C573" s="12">
        <f t="shared" si="28"/>
        <v>568</v>
      </c>
      <c r="D573" s="105" t="str">
        <f>IFERROR(" "&amp;VLOOKUP(B573,현장리스트!$B:$C,2,0),"-")</f>
        <v xml:space="preserve"> [5.대보건설] 등촌동 청년주택 신축공사</v>
      </c>
      <c r="E573" s="13" t="s">
        <v>382</v>
      </c>
      <c r="F573" s="13" t="str">
        <f t="shared" ca="1" si="29"/>
        <v>23세</v>
      </c>
      <c r="G573" s="14" t="s">
        <v>1176</v>
      </c>
      <c r="H573" s="15" t="str">
        <f t="shared" si="30"/>
        <v>남</v>
      </c>
      <c r="I573" s="16" t="s">
        <v>895</v>
      </c>
      <c r="J573" s="16" t="s">
        <v>900</v>
      </c>
      <c r="K573" s="17">
        <v>3000000</v>
      </c>
      <c r="L573" s="18" t="s">
        <v>1177</v>
      </c>
      <c r="M573" s="19" t="s">
        <v>987</v>
      </c>
      <c r="N573" s="19" t="s">
        <v>2642</v>
      </c>
      <c r="O573" s="20">
        <v>1</v>
      </c>
      <c r="P573" s="23" t="s">
        <v>23</v>
      </c>
      <c r="Q573" s="21" t="str">
        <f>VLOOKUP(C573,'2-1. 인사고과표(기능)'!B:AS,44,0)</f>
        <v>S</v>
      </c>
      <c r="R573" s="21" t="str">
        <f>VLOOKUP(C573,'2-2. 인사고과표(안전)'!B:AO,40,0)</f>
        <v>S</v>
      </c>
      <c r="S573" s="18"/>
      <c r="T573" s="19"/>
      <c r="U573" s="19"/>
      <c r="V573" s="19"/>
      <c r="W573" s="19" t="s">
        <v>813</v>
      </c>
      <c r="X573" s="22" t="s">
        <v>2645</v>
      </c>
      <c r="Y573" s="23" t="s">
        <v>23</v>
      </c>
      <c r="Z573" s="19"/>
      <c r="AA573" s="19"/>
      <c r="AB573" s="22"/>
      <c r="AC573" s="19"/>
      <c r="AD573" s="23"/>
      <c r="AE573" s="24"/>
    </row>
    <row r="574" spans="2:31" ht="39.950000000000003" customHeight="1" x14ac:dyDescent="0.3">
      <c r="B574" s="107">
        <v>25042</v>
      </c>
      <c r="C574" s="12">
        <f t="shared" si="28"/>
        <v>569</v>
      </c>
      <c r="D574" s="105" t="str">
        <f>IFERROR(" "&amp;VLOOKUP(B574,현장리스트!$B:$C,2,0),"-")</f>
        <v xml:space="preserve"> [5.대보건설] 등촌동 청년주택 신축공사</v>
      </c>
      <c r="E574" s="13" t="s">
        <v>1686</v>
      </c>
      <c r="F574" s="13" t="str">
        <f t="shared" ca="1" si="29"/>
        <v>52세</v>
      </c>
      <c r="G574" s="14" t="s">
        <v>1687</v>
      </c>
      <c r="H574" s="15" t="str">
        <f t="shared" si="30"/>
        <v>남</v>
      </c>
      <c r="I574" s="16" t="s">
        <v>899</v>
      </c>
      <c r="J574" s="16" t="s">
        <v>30</v>
      </c>
      <c r="K574" s="17">
        <v>210000</v>
      </c>
      <c r="L574" s="18" t="s">
        <v>1688</v>
      </c>
      <c r="M574" s="19" t="s">
        <v>2721</v>
      </c>
      <c r="N574" s="19" t="s">
        <v>911</v>
      </c>
      <c r="O574" s="20">
        <v>25</v>
      </c>
      <c r="P574" s="23" t="s">
        <v>23</v>
      </c>
      <c r="Q574" s="21" t="str">
        <f>VLOOKUP(C574,'2-1. 인사고과표(기능)'!B:AS,44,0)</f>
        <v>S</v>
      </c>
      <c r="R574" s="21" t="str">
        <f>VLOOKUP(C574,'2-2. 인사고과표(안전)'!B:AO,40,0)</f>
        <v>S</v>
      </c>
      <c r="S574" s="18"/>
      <c r="T574" s="19"/>
      <c r="U574" s="19"/>
      <c r="V574" s="19"/>
      <c r="W574" s="19" t="s">
        <v>2646</v>
      </c>
      <c r="X574" s="22" t="s">
        <v>2647</v>
      </c>
      <c r="Y574" s="23" t="s">
        <v>24</v>
      </c>
      <c r="Z574" s="19"/>
      <c r="AA574" s="19"/>
      <c r="AB574" s="22"/>
      <c r="AC574" s="19"/>
      <c r="AD574" s="23"/>
      <c r="AE574" s="24"/>
    </row>
    <row r="575" spans="2:31" ht="39.950000000000003" customHeight="1" x14ac:dyDescent="0.3">
      <c r="B575" s="107">
        <v>25042</v>
      </c>
      <c r="C575" s="12">
        <f t="shared" si="28"/>
        <v>570</v>
      </c>
      <c r="D575" s="105" t="str">
        <f>IFERROR(" "&amp;VLOOKUP(B575,현장리스트!$B:$C,2,0),"-")</f>
        <v xml:space="preserve"> [5.대보건설] 등촌동 청년주택 신축공사</v>
      </c>
      <c r="E575" s="13" t="s">
        <v>1158</v>
      </c>
      <c r="F575" s="13" t="str">
        <f t="shared" ca="1" si="29"/>
        <v>65세</v>
      </c>
      <c r="G575" s="14" t="s">
        <v>1159</v>
      </c>
      <c r="H575" s="15" t="str">
        <f t="shared" si="30"/>
        <v>남</v>
      </c>
      <c r="I575" s="16" t="s">
        <v>901</v>
      </c>
      <c r="J575" s="16" t="s">
        <v>30</v>
      </c>
      <c r="K575" s="17">
        <v>210000</v>
      </c>
      <c r="L575" s="18" t="s">
        <v>1160</v>
      </c>
      <c r="M575" s="19" t="s">
        <v>987</v>
      </c>
      <c r="N575" s="19" t="s">
        <v>2643</v>
      </c>
      <c r="O575" s="20">
        <v>20</v>
      </c>
      <c r="P575" s="23" t="s">
        <v>23</v>
      </c>
      <c r="Q575" s="21" t="str">
        <f>VLOOKUP(C575,'2-1. 인사고과표(기능)'!B:AS,44,0)</f>
        <v>S</v>
      </c>
      <c r="R575" s="21" t="str">
        <f>VLOOKUP(C575,'2-2. 인사고과표(안전)'!B:AO,40,0)</f>
        <v>S</v>
      </c>
      <c r="S575" s="18"/>
      <c r="T575" s="19"/>
      <c r="U575" s="19"/>
      <c r="V575" s="19"/>
      <c r="W575" s="19" t="s">
        <v>2646</v>
      </c>
      <c r="X575" s="22" t="s">
        <v>2647</v>
      </c>
      <c r="Y575" s="23" t="s">
        <v>24</v>
      </c>
      <c r="Z575" s="19"/>
      <c r="AA575" s="19"/>
      <c r="AB575" s="22"/>
      <c r="AC575" s="19"/>
      <c r="AD575" s="23"/>
      <c r="AE575" s="24"/>
    </row>
    <row r="576" spans="2:31" ht="39.950000000000003" customHeight="1" x14ac:dyDescent="0.3">
      <c r="B576" s="107">
        <v>25042</v>
      </c>
      <c r="C576" s="12">
        <f t="shared" si="28"/>
        <v>571</v>
      </c>
      <c r="D576" s="105" t="str">
        <f>IFERROR(" "&amp;VLOOKUP(B576,현장리스트!$B:$C,2,0),"-")</f>
        <v xml:space="preserve"> [5.대보건설] 등촌동 청년주택 신축공사</v>
      </c>
      <c r="E576" s="13" t="s">
        <v>2117</v>
      </c>
      <c r="F576" s="13" t="str">
        <f t="shared" ca="1" si="29"/>
        <v>45세</v>
      </c>
      <c r="G576" s="14" t="s">
        <v>2118</v>
      </c>
      <c r="H576" s="15" t="str">
        <f t="shared" si="30"/>
        <v>남</v>
      </c>
      <c r="I576" s="16" t="s">
        <v>901</v>
      </c>
      <c r="J576" s="16" t="s">
        <v>30</v>
      </c>
      <c r="K576" s="17">
        <v>210000</v>
      </c>
      <c r="L576" s="18" t="s">
        <v>2119</v>
      </c>
      <c r="M576" s="19" t="s">
        <v>914</v>
      </c>
      <c r="N576" s="19" t="s">
        <v>2628</v>
      </c>
      <c r="O576" s="20">
        <v>6</v>
      </c>
      <c r="P576" s="23" t="s">
        <v>24</v>
      </c>
      <c r="Q576" s="21" t="str">
        <f>VLOOKUP(C576,'2-1. 인사고과표(기능)'!B:AS,44,0)</f>
        <v>S</v>
      </c>
      <c r="R576" s="21" t="str">
        <f>VLOOKUP(C576,'2-2. 인사고과표(안전)'!B:AO,40,0)</f>
        <v>S</v>
      </c>
      <c r="S576" s="18"/>
      <c r="T576" s="19"/>
      <c r="U576" s="19"/>
      <c r="V576" s="19"/>
      <c r="W576" s="19" t="s">
        <v>2646</v>
      </c>
      <c r="X576" s="22" t="s">
        <v>2647</v>
      </c>
      <c r="Y576" s="23" t="s">
        <v>24</v>
      </c>
      <c r="Z576" s="19"/>
      <c r="AA576" s="19"/>
      <c r="AB576" s="22"/>
      <c r="AC576" s="19"/>
      <c r="AD576" s="23"/>
      <c r="AE576" s="24"/>
    </row>
    <row r="577" spans="2:31" ht="39.950000000000003" customHeight="1" x14ac:dyDescent="0.3">
      <c r="B577" s="107">
        <v>25042</v>
      </c>
      <c r="C577" s="12">
        <f t="shared" si="28"/>
        <v>572</v>
      </c>
      <c r="D577" s="105" t="str">
        <f>IFERROR(" "&amp;VLOOKUP(B577,현장리스트!$B:$C,2,0),"-")</f>
        <v xml:space="preserve"> [5.대보건설] 등촌동 청년주택 신축공사</v>
      </c>
      <c r="E577" s="13" t="s">
        <v>2002</v>
      </c>
      <c r="F577" s="13" t="str">
        <f t="shared" ca="1" si="29"/>
        <v>57세</v>
      </c>
      <c r="G577" s="14" t="s">
        <v>2003</v>
      </c>
      <c r="H577" s="15" t="str">
        <f t="shared" si="30"/>
        <v>남</v>
      </c>
      <c r="I577" s="16" t="s">
        <v>901</v>
      </c>
      <c r="J577" s="16" t="s">
        <v>30</v>
      </c>
      <c r="K577" s="17">
        <v>200000</v>
      </c>
      <c r="L577" s="18" t="s">
        <v>2004</v>
      </c>
      <c r="M577" s="19" t="s">
        <v>987</v>
      </c>
      <c r="N577" s="19" t="s">
        <v>2644</v>
      </c>
      <c r="O577" s="20">
        <v>6</v>
      </c>
      <c r="P577" s="23" t="s">
        <v>23</v>
      </c>
      <c r="Q577" s="21" t="str">
        <f>VLOOKUP(C577,'2-1. 인사고과표(기능)'!B:AS,44,0)</f>
        <v>S</v>
      </c>
      <c r="R577" s="21" t="str">
        <f>VLOOKUP(C577,'2-2. 인사고과표(안전)'!B:AO,40,0)</f>
        <v>S</v>
      </c>
      <c r="S577" s="18"/>
      <c r="T577" s="19"/>
      <c r="U577" s="19"/>
      <c r="V577" s="19"/>
      <c r="W577" s="19" t="s">
        <v>2646</v>
      </c>
      <c r="X577" s="22" t="s">
        <v>2647</v>
      </c>
      <c r="Y577" s="23" t="s">
        <v>24</v>
      </c>
      <c r="Z577" s="19"/>
      <c r="AA577" s="19"/>
      <c r="AB577" s="22"/>
      <c r="AC577" s="19"/>
      <c r="AD577" s="23"/>
      <c r="AE577" s="24"/>
    </row>
    <row r="578" spans="2:31" ht="39.950000000000003" customHeight="1" x14ac:dyDescent="0.3">
      <c r="B578" s="107">
        <v>25045</v>
      </c>
      <c r="C578" s="12">
        <f t="shared" si="28"/>
        <v>573</v>
      </c>
      <c r="D578" s="105" t="str">
        <f>IFERROR(" "&amp;VLOOKUP(B578,현장리스트!$B:$C,2,0),"-")</f>
        <v xml:space="preserve"> [5.롯데건설] 마곡사옥 르웨스트 시티 D동 8-11층 이전공사</v>
      </c>
      <c r="E578" s="13" t="s">
        <v>2093</v>
      </c>
      <c r="F578" s="13" t="str">
        <f t="shared" ca="1" si="29"/>
        <v>60세</v>
      </c>
      <c r="G578" s="14" t="s">
        <v>2094</v>
      </c>
      <c r="H578" s="15" t="str">
        <f t="shared" si="30"/>
        <v>남</v>
      </c>
      <c r="I578" s="16" t="s">
        <v>899</v>
      </c>
      <c r="J578" s="16" t="s">
        <v>904</v>
      </c>
      <c r="K578" s="17">
        <v>5400000</v>
      </c>
      <c r="L578" s="18" t="s">
        <v>2095</v>
      </c>
      <c r="M578" s="19" t="s">
        <v>987</v>
      </c>
      <c r="N578" s="19" t="s">
        <v>2566</v>
      </c>
      <c r="O578" s="20">
        <v>35</v>
      </c>
      <c r="P578" s="23" t="s">
        <v>24</v>
      </c>
      <c r="Q578" s="21" t="str">
        <f>VLOOKUP(C578,'2-1. 인사고과표(기능)'!B:AS,44,0)</f>
        <v>S</v>
      </c>
      <c r="R578" s="21" t="str">
        <f>VLOOKUP(C578,'2-2. 인사고과표(안전)'!B:AO,40,0)</f>
        <v>S</v>
      </c>
      <c r="S578" s="18"/>
      <c r="T578" s="19"/>
      <c r="U578" s="19"/>
      <c r="V578" s="19"/>
      <c r="W578" s="19" t="s">
        <v>2651</v>
      </c>
      <c r="X578" s="22" t="s">
        <v>2652</v>
      </c>
      <c r="Y578" s="23" t="s">
        <v>24</v>
      </c>
      <c r="Z578" s="19"/>
      <c r="AA578" s="19" t="s">
        <v>456</v>
      </c>
      <c r="AB578" s="22" t="s">
        <v>2653</v>
      </c>
      <c r="AC578" s="19" t="s">
        <v>2654</v>
      </c>
      <c r="AD578" s="23" t="s">
        <v>24</v>
      </c>
      <c r="AE578" s="24" t="s">
        <v>2655</v>
      </c>
    </row>
    <row r="579" spans="2:31" ht="39.950000000000003" customHeight="1" x14ac:dyDescent="0.3">
      <c r="B579" s="107">
        <v>25045</v>
      </c>
      <c r="C579" s="12">
        <f t="shared" si="28"/>
        <v>574</v>
      </c>
      <c r="D579" s="105" t="str">
        <f>IFERROR(" "&amp;VLOOKUP(B579,현장리스트!$B:$C,2,0),"-")</f>
        <v xml:space="preserve"> [5.롯데건설] 마곡사옥 르웨스트 시티 D동 8-11층 이전공사</v>
      </c>
      <c r="E579" s="13" t="s">
        <v>264</v>
      </c>
      <c r="F579" s="13" t="str">
        <f t="shared" ca="1" si="29"/>
        <v>48세</v>
      </c>
      <c r="G579" s="14" t="s">
        <v>1361</v>
      </c>
      <c r="H579" s="15" t="str">
        <f t="shared" si="30"/>
        <v>남</v>
      </c>
      <c r="I579" s="16" t="s">
        <v>895</v>
      </c>
      <c r="J579" s="16" t="s">
        <v>903</v>
      </c>
      <c r="K579" s="17">
        <v>5400000</v>
      </c>
      <c r="L579" s="18" t="s">
        <v>1362</v>
      </c>
      <c r="M579" s="19" t="s">
        <v>987</v>
      </c>
      <c r="N579" s="19" t="s">
        <v>2644</v>
      </c>
      <c r="O579" s="20" t="s">
        <v>2648</v>
      </c>
      <c r="P579" s="23" t="s">
        <v>24</v>
      </c>
      <c r="Q579" s="21" t="str">
        <f>VLOOKUP(C579,'2-1. 인사고과표(기능)'!B:AS,44,0)</f>
        <v>S</v>
      </c>
      <c r="R579" s="21" t="str">
        <f>VLOOKUP(C579,'2-2. 인사고과표(안전)'!B:AO,40,0)</f>
        <v>S</v>
      </c>
      <c r="S579" s="18"/>
      <c r="T579" s="19" t="s">
        <v>2567</v>
      </c>
      <c r="U579" s="19" t="s">
        <v>31</v>
      </c>
      <c r="V579" s="19" t="s">
        <v>31</v>
      </c>
      <c r="W579" s="19" t="s">
        <v>2651</v>
      </c>
      <c r="X579" s="22" t="s">
        <v>2652</v>
      </c>
      <c r="Y579" s="23" t="s">
        <v>24</v>
      </c>
      <c r="Z579" s="19"/>
      <c r="AA579" s="19" t="s">
        <v>456</v>
      </c>
      <c r="AB579" s="22" t="s">
        <v>2653</v>
      </c>
      <c r="AC579" s="19" t="s">
        <v>2654</v>
      </c>
      <c r="AD579" s="23" t="s">
        <v>24</v>
      </c>
      <c r="AE579" s="24" t="s">
        <v>2655</v>
      </c>
    </row>
    <row r="580" spans="2:31" ht="39.950000000000003" customHeight="1" x14ac:dyDescent="0.3">
      <c r="B580" s="107">
        <v>25045</v>
      </c>
      <c r="C580" s="12">
        <f t="shared" si="28"/>
        <v>575</v>
      </c>
      <c r="D580" s="105" t="str">
        <f>IFERROR(" "&amp;VLOOKUP(B580,현장리스트!$B:$C,2,0),"-")</f>
        <v xml:space="preserve"> [5.롯데건설] 마곡사옥 르웨스트 시티 D동 8-11층 이전공사</v>
      </c>
      <c r="E580" s="13" t="s">
        <v>2024</v>
      </c>
      <c r="F580" s="13" t="str">
        <f t="shared" ca="1" si="29"/>
        <v>67세</v>
      </c>
      <c r="G580" s="14" t="s">
        <v>2025</v>
      </c>
      <c r="H580" s="15" t="str">
        <f t="shared" si="30"/>
        <v>남</v>
      </c>
      <c r="I580" s="16" t="s">
        <v>901</v>
      </c>
      <c r="J580" s="16" t="s">
        <v>30</v>
      </c>
      <c r="K580" s="17">
        <v>220000</v>
      </c>
      <c r="L580" s="18" t="s">
        <v>2026</v>
      </c>
      <c r="M580" s="19" t="s">
        <v>914</v>
      </c>
      <c r="N580" s="19" t="s">
        <v>2613</v>
      </c>
      <c r="O580" s="20">
        <v>35</v>
      </c>
      <c r="P580" s="23" t="s">
        <v>24</v>
      </c>
      <c r="Q580" s="21" t="str">
        <f>VLOOKUP(C580,'2-1. 인사고과표(기능)'!B:AS,44,0)</f>
        <v>S</v>
      </c>
      <c r="R580" s="21" t="str">
        <f>VLOOKUP(C580,'2-2. 인사고과표(안전)'!B:AO,40,0)</f>
        <v>S</v>
      </c>
      <c r="S580" s="18"/>
      <c r="T580" s="19"/>
      <c r="U580" s="19"/>
      <c r="V580" s="19"/>
      <c r="W580" s="19" t="s">
        <v>2651</v>
      </c>
      <c r="X580" s="22" t="s">
        <v>2652</v>
      </c>
      <c r="Y580" s="23" t="s">
        <v>24</v>
      </c>
      <c r="Z580" s="19"/>
      <c r="AA580" s="19" t="s">
        <v>456</v>
      </c>
      <c r="AB580" s="22" t="s">
        <v>2653</v>
      </c>
      <c r="AC580" s="19" t="s">
        <v>2654</v>
      </c>
      <c r="AD580" s="23" t="s">
        <v>24</v>
      </c>
      <c r="AE580" s="24" t="s">
        <v>2656</v>
      </c>
    </row>
    <row r="581" spans="2:31" ht="39.950000000000003" customHeight="1" x14ac:dyDescent="0.3">
      <c r="B581" s="107">
        <v>25045</v>
      </c>
      <c r="C581" s="12">
        <f t="shared" si="28"/>
        <v>576</v>
      </c>
      <c r="D581" s="105" t="str">
        <f>IFERROR(" "&amp;VLOOKUP(B581,현장리스트!$B:$C,2,0),"-")</f>
        <v xml:space="preserve"> [5.롯데건설] 마곡사옥 르웨스트 시티 D동 8-11층 이전공사</v>
      </c>
      <c r="E581" s="13" t="s">
        <v>2090</v>
      </c>
      <c r="F581" s="13" t="str">
        <f t="shared" ca="1" si="29"/>
        <v>59세</v>
      </c>
      <c r="G581" s="14" t="s">
        <v>2091</v>
      </c>
      <c r="H581" s="15" t="str">
        <f t="shared" si="30"/>
        <v>남</v>
      </c>
      <c r="I581" s="16" t="s">
        <v>901</v>
      </c>
      <c r="J581" s="16" t="s">
        <v>30</v>
      </c>
      <c r="K581" s="17">
        <v>220000</v>
      </c>
      <c r="L581" s="18" t="s">
        <v>2092</v>
      </c>
      <c r="M581" s="19" t="s">
        <v>987</v>
      </c>
      <c r="N581" s="19" t="s">
        <v>2643</v>
      </c>
      <c r="O581" s="20">
        <v>29</v>
      </c>
      <c r="P581" s="23" t="s">
        <v>24</v>
      </c>
      <c r="Q581" s="21" t="str">
        <f>VLOOKUP(C581,'2-1. 인사고과표(기능)'!B:AS,44,0)</f>
        <v>S</v>
      </c>
      <c r="R581" s="21" t="str">
        <f>VLOOKUP(C581,'2-2. 인사고과표(안전)'!B:AO,40,0)</f>
        <v>S</v>
      </c>
      <c r="S581" s="18"/>
      <c r="T581" s="19"/>
      <c r="U581" s="19"/>
      <c r="V581" s="19"/>
      <c r="W581" s="19" t="s">
        <v>2651</v>
      </c>
      <c r="X581" s="22" t="s">
        <v>2652</v>
      </c>
      <c r="Y581" s="23" t="s">
        <v>24</v>
      </c>
      <c r="Z581" s="19"/>
      <c r="AA581" s="19" t="s">
        <v>2657</v>
      </c>
      <c r="AB581" s="22" t="s">
        <v>2658</v>
      </c>
      <c r="AC581" s="19" t="s">
        <v>2654</v>
      </c>
      <c r="AD581" s="23" t="s">
        <v>24</v>
      </c>
      <c r="AE581" s="24" t="s">
        <v>2594</v>
      </c>
    </row>
    <row r="582" spans="2:31" ht="39.950000000000003" customHeight="1" x14ac:dyDescent="0.3">
      <c r="B582" s="107">
        <v>25045</v>
      </c>
      <c r="C582" s="12">
        <f t="shared" ref="C582:C616" si="31">ROW()-5</f>
        <v>577</v>
      </c>
      <c r="D582" s="105" t="str">
        <f>IFERROR(" "&amp;VLOOKUP(B582,현장리스트!$B:$C,2,0),"-")</f>
        <v xml:space="preserve"> [5.롯데건설] 마곡사옥 르웨스트 시티 D동 8-11층 이전공사</v>
      </c>
      <c r="E582" s="13" t="s">
        <v>2297</v>
      </c>
      <c r="F582" s="13" t="str">
        <f t="shared" ref="F582:F616" ca="1" si="32">IFERROR(DATEDIF(MID(G582,1,2)&amp;"-"&amp;MID(G582,3,2)&amp;"-"&amp;MID(G582,5,2),TODAY(),"y")&amp;"세","")</f>
        <v>62세</v>
      </c>
      <c r="G582" s="14" t="s">
        <v>2298</v>
      </c>
      <c r="H582" s="15" t="str">
        <f t="shared" ref="H582:H616" si="33">IF(G582="","",IF(LEN(G582)&lt;14,"에러",IF(LEN(G582)&lt;14,"에러",IF(ISODD(MID(G582,8,1)),"남","여"))))</f>
        <v>남</v>
      </c>
      <c r="I582" s="16" t="s">
        <v>901</v>
      </c>
      <c r="J582" s="16" t="s">
        <v>30</v>
      </c>
      <c r="K582" s="17">
        <v>210000</v>
      </c>
      <c r="L582" s="18" t="s">
        <v>2299</v>
      </c>
      <c r="M582" s="19" t="s">
        <v>987</v>
      </c>
      <c r="N582" s="19" t="s">
        <v>2644</v>
      </c>
      <c r="O582" s="20">
        <v>36</v>
      </c>
      <c r="P582" s="23" t="s">
        <v>24</v>
      </c>
      <c r="Q582" s="21" t="str">
        <f>VLOOKUP(C582,'2-1. 인사고과표(기능)'!B:AS,44,0)</f>
        <v>S</v>
      </c>
      <c r="R582" s="21" t="str">
        <f>VLOOKUP(C582,'2-2. 인사고과표(안전)'!B:AO,40,0)</f>
        <v>S</v>
      </c>
      <c r="S582" s="18"/>
      <c r="T582" s="19"/>
      <c r="U582" s="19"/>
      <c r="V582" s="19"/>
      <c r="W582" s="19" t="s">
        <v>2651</v>
      </c>
      <c r="X582" s="22" t="s">
        <v>2652</v>
      </c>
      <c r="Y582" s="23" t="s">
        <v>24</v>
      </c>
      <c r="Z582" s="19"/>
      <c r="AA582" s="19" t="s">
        <v>456</v>
      </c>
      <c r="AB582" s="22" t="s">
        <v>2653</v>
      </c>
      <c r="AC582" s="19" t="s">
        <v>2654</v>
      </c>
      <c r="AD582" s="23" t="s">
        <v>24</v>
      </c>
      <c r="AE582" s="24" t="s">
        <v>2656</v>
      </c>
    </row>
    <row r="583" spans="2:31" ht="39.950000000000003" customHeight="1" x14ac:dyDescent="0.3">
      <c r="B583" s="107">
        <v>25045</v>
      </c>
      <c r="C583" s="12">
        <f t="shared" si="31"/>
        <v>578</v>
      </c>
      <c r="D583" s="105" t="str">
        <f>IFERROR(" "&amp;VLOOKUP(B583,현장리스트!$B:$C,2,0),"-")</f>
        <v xml:space="preserve"> [5.롯데건설] 마곡사옥 르웨스트 시티 D동 8-11층 이전공사</v>
      </c>
      <c r="E583" s="13" t="s">
        <v>1978</v>
      </c>
      <c r="F583" s="13" t="str">
        <f t="shared" ca="1" si="32"/>
        <v>66세</v>
      </c>
      <c r="G583" s="14" t="s">
        <v>1979</v>
      </c>
      <c r="H583" s="15" t="str">
        <f t="shared" si="33"/>
        <v>남</v>
      </c>
      <c r="I583" s="16" t="s">
        <v>901</v>
      </c>
      <c r="J583" s="16" t="s">
        <v>30</v>
      </c>
      <c r="K583" s="17">
        <v>200000</v>
      </c>
      <c r="L583" s="18" t="s">
        <v>1980</v>
      </c>
      <c r="M583" s="19" t="s">
        <v>987</v>
      </c>
      <c r="N583" s="19" t="s">
        <v>2649</v>
      </c>
      <c r="O583" s="20">
        <v>29</v>
      </c>
      <c r="P583" s="23" t="s">
        <v>24</v>
      </c>
      <c r="Q583" s="21" t="str">
        <f>VLOOKUP(C583,'2-1. 인사고과표(기능)'!B:AS,44,0)</f>
        <v>S</v>
      </c>
      <c r="R583" s="21" t="str">
        <f>VLOOKUP(C583,'2-2. 인사고과표(안전)'!B:AO,40,0)</f>
        <v>S</v>
      </c>
      <c r="S583" s="18"/>
      <c r="T583" s="19"/>
      <c r="U583" s="19"/>
      <c r="V583" s="19"/>
      <c r="W583" s="19" t="s">
        <v>2651</v>
      </c>
      <c r="X583" s="22" t="s">
        <v>2652</v>
      </c>
      <c r="Y583" s="23" t="s">
        <v>24</v>
      </c>
      <c r="Z583" s="19"/>
      <c r="AA583" s="19" t="s">
        <v>456</v>
      </c>
      <c r="AB583" s="22" t="s">
        <v>2653</v>
      </c>
      <c r="AC583" s="19" t="s">
        <v>2654</v>
      </c>
      <c r="AD583" s="23" t="s">
        <v>24</v>
      </c>
      <c r="AE583" s="24" t="s">
        <v>2656</v>
      </c>
    </row>
    <row r="584" spans="2:31" ht="39.950000000000003" customHeight="1" x14ac:dyDescent="0.3">
      <c r="B584" s="107">
        <v>25045</v>
      </c>
      <c r="C584" s="12">
        <f t="shared" si="31"/>
        <v>579</v>
      </c>
      <c r="D584" s="105" t="str">
        <f>IFERROR(" "&amp;VLOOKUP(B584,현장리스트!$B:$C,2,0),"-")</f>
        <v xml:space="preserve"> [5.롯데건설] 마곡사옥 르웨스트 시티 D동 8-11층 이전공사</v>
      </c>
      <c r="E584" s="13" t="s">
        <v>1276</v>
      </c>
      <c r="F584" s="13" t="str">
        <f t="shared" ca="1" si="32"/>
        <v>67세</v>
      </c>
      <c r="G584" s="14" t="s">
        <v>1277</v>
      </c>
      <c r="H584" s="15" t="str">
        <f t="shared" si="33"/>
        <v>남</v>
      </c>
      <c r="I584" s="16" t="s">
        <v>901</v>
      </c>
      <c r="J584" s="16" t="s">
        <v>30</v>
      </c>
      <c r="K584" s="17">
        <v>210000</v>
      </c>
      <c r="L584" s="18" t="s">
        <v>1278</v>
      </c>
      <c r="M584" s="19" t="s">
        <v>987</v>
      </c>
      <c r="N584" s="19" t="s">
        <v>2650</v>
      </c>
      <c r="O584" s="20">
        <v>36</v>
      </c>
      <c r="P584" s="23" t="s">
        <v>24</v>
      </c>
      <c r="Q584" s="21" t="str">
        <f>VLOOKUP(C584,'2-1. 인사고과표(기능)'!B:AS,44,0)</f>
        <v>S</v>
      </c>
      <c r="R584" s="21" t="str">
        <f>VLOOKUP(C584,'2-2. 인사고과표(안전)'!B:AO,40,0)</f>
        <v>S</v>
      </c>
      <c r="S584" s="18"/>
      <c r="T584" s="19"/>
      <c r="U584" s="19"/>
      <c r="V584" s="19"/>
      <c r="W584" s="19" t="s">
        <v>2651</v>
      </c>
      <c r="X584" s="22" t="s">
        <v>2652</v>
      </c>
      <c r="Y584" s="23" t="s">
        <v>24</v>
      </c>
      <c r="Z584" s="19"/>
      <c r="AA584" s="19" t="s">
        <v>2659</v>
      </c>
      <c r="AB584" s="22" t="s">
        <v>2660</v>
      </c>
      <c r="AC584" s="19" t="s">
        <v>2654</v>
      </c>
      <c r="AD584" s="23" t="s">
        <v>24</v>
      </c>
      <c r="AE584" s="24" t="s">
        <v>2661</v>
      </c>
    </row>
    <row r="585" spans="2:31" ht="39.950000000000003" customHeight="1" x14ac:dyDescent="0.3">
      <c r="B585" s="107">
        <v>24045</v>
      </c>
      <c r="C585" s="12">
        <f t="shared" si="31"/>
        <v>580</v>
      </c>
      <c r="D585" s="105" t="str">
        <f>IFERROR(" "&amp;VLOOKUP(B585,현장리스트!$B:$C,2,0),"-")</f>
        <v xml:space="preserve"> [5.한국교직원공제회] The-K 제주호텔 리모델링 공사</v>
      </c>
      <c r="E585" s="13" t="s">
        <v>624</v>
      </c>
      <c r="F585" s="13" t="str">
        <f t="shared" ca="1" si="32"/>
        <v>55세</v>
      </c>
      <c r="G585" s="14" t="s">
        <v>1758</v>
      </c>
      <c r="H585" s="15" t="str">
        <f t="shared" si="33"/>
        <v>남</v>
      </c>
      <c r="I585" s="16" t="s">
        <v>895</v>
      </c>
      <c r="J585" s="16" t="s">
        <v>903</v>
      </c>
      <c r="K585" s="17">
        <v>5670000</v>
      </c>
      <c r="L585" s="18" t="s">
        <v>1759</v>
      </c>
      <c r="M585" s="19" t="s">
        <v>914</v>
      </c>
      <c r="N585" s="19" t="s">
        <v>2613</v>
      </c>
      <c r="O585" s="20" t="s">
        <v>2533</v>
      </c>
      <c r="P585" s="23" t="s">
        <v>28</v>
      </c>
      <c r="Q585" s="21" t="str">
        <f>VLOOKUP(C585,'2-1. 인사고과표(기능)'!B:AS,44,0)</f>
        <v>S</v>
      </c>
      <c r="R585" s="21" t="str">
        <f>VLOOKUP(C585,'2-2. 인사고과표(안전)'!B:AO,40,0)</f>
        <v>S</v>
      </c>
      <c r="S585" s="18"/>
      <c r="T585" s="19"/>
      <c r="U585" s="19"/>
      <c r="V585" s="19"/>
      <c r="W585" s="19" t="s">
        <v>2705</v>
      </c>
      <c r="X585" s="22" t="s">
        <v>2706</v>
      </c>
      <c r="Y585" s="23" t="s">
        <v>23</v>
      </c>
      <c r="Z585" s="19"/>
      <c r="AA585" s="19"/>
      <c r="AB585" s="22"/>
      <c r="AC585" s="19"/>
      <c r="AD585" s="23"/>
      <c r="AE585" s="24"/>
    </row>
    <row r="586" spans="2:31" ht="39.950000000000003" customHeight="1" x14ac:dyDescent="0.3">
      <c r="B586" s="107">
        <v>24045</v>
      </c>
      <c r="C586" s="12">
        <f t="shared" si="31"/>
        <v>581</v>
      </c>
      <c r="D586" s="105" t="str">
        <f>IFERROR(" "&amp;VLOOKUP(B586,현장리스트!$B:$C,2,0),"-")</f>
        <v xml:space="preserve"> [5.한국교직원공제회] The-K 제주호텔 리모델링 공사</v>
      </c>
      <c r="E586" s="13" t="s">
        <v>2144</v>
      </c>
      <c r="F586" s="13" t="str">
        <f t="shared" ca="1" si="32"/>
        <v>29세</v>
      </c>
      <c r="G586" s="14" t="s">
        <v>2145</v>
      </c>
      <c r="H586" s="15" t="str">
        <f t="shared" si="33"/>
        <v>남</v>
      </c>
      <c r="I586" s="16" t="s">
        <v>897</v>
      </c>
      <c r="J586" s="16" t="s">
        <v>900</v>
      </c>
      <c r="K586" s="17">
        <v>4200000</v>
      </c>
      <c r="L586" s="18" t="s">
        <v>2146</v>
      </c>
      <c r="M586" s="19" t="s">
        <v>914</v>
      </c>
      <c r="N586" s="19" t="s">
        <v>2627</v>
      </c>
      <c r="O586" s="20">
        <v>1</v>
      </c>
      <c r="P586" s="23" t="s">
        <v>24</v>
      </c>
      <c r="Q586" s="21" t="str">
        <f>VLOOKUP(C586,'2-1. 인사고과표(기능)'!B:AS,44,0)</f>
        <v>A</v>
      </c>
      <c r="R586" s="21" t="str">
        <f>VLOOKUP(C586,'2-2. 인사고과표(안전)'!B:AO,40,0)</f>
        <v>S</v>
      </c>
      <c r="S586" s="18"/>
      <c r="T586" s="19"/>
      <c r="U586" s="19"/>
      <c r="V586" s="19" t="s">
        <v>2567</v>
      </c>
      <c r="W586" s="19"/>
      <c r="X586" s="22"/>
      <c r="Y586" s="23"/>
      <c r="Z586" s="19"/>
      <c r="AA586" s="19" t="s">
        <v>2635</v>
      </c>
      <c r="AB586" s="22" t="s">
        <v>2707</v>
      </c>
      <c r="AC586" s="19" t="s">
        <v>2708</v>
      </c>
      <c r="AD586" s="23" t="s">
        <v>28</v>
      </c>
      <c r="AE586" s="24"/>
    </row>
    <row r="587" spans="2:31" ht="39.950000000000003" customHeight="1" x14ac:dyDescent="0.3">
      <c r="B587" s="107">
        <v>24045</v>
      </c>
      <c r="C587" s="12">
        <f t="shared" si="31"/>
        <v>582</v>
      </c>
      <c r="D587" s="105" t="str">
        <f>IFERROR(" "&amp;VLOOKUP(B587,현장리스트!$B:$C,2,0),"-")</f>
        <v xml:space="preserve"> [5.한국교직원공제회] The-K 제주호텔 리모델링 공사</v>
      </c>
      <c r="E587" s="13" t="s">
        <v>1496</v>
      </c>
      <c r="F587" s="13" t="str">
        <f t="shared" ca="1" si="32"/>
        <v>46세</v>
      </c>
      <c r="G587" s="14" t="s">
        <v>1497</v>
      </c>
      <c r="H587" s="15" t="str">
        <f t="shared" si="33"/>
        <v>남</v>
      </c>
      <c r="I587" s="16" t="s">
        <v>899</v>
      </c>
      <c r="J587" s="16" t="s">
        <v>903</v>
      </c>
      <c r="K587" s="17">
        <v>5500000</v>
      </c>
      <c r="L587" s="18" t="s">
        <v>1498</v>
      </c>
      <c r="M587" s="19" t="s">
        <v>914</v>
      </c>
      <c r="N587" s="19" t="s">
        <v>2608</v>
      </c>
      <c r="O587" s="20">
        <v>24</v>
      </c>
      <c r="P587" s="23" t="s">
        <v>28</v>
      </c>
      <c r="Q587" s="21" t="str">
        <f>VLOOKUP(C587,'2-1. 인사고과표(기능)'!B:AS,44,0)</f>
        <v>S</v>
      </c>
      <c r="R587" s="21" t="str">
        <f>VLOOKUP(C587,'2-2. 인사고과표(안전)'!B:AO,40,0)</f>
        <v>S</v>
      </c>
      <c r="S587" s="18"/>
      <c r="T587" s="19"/>
      <c r="U587" s="19"/>
      <c r="V587" s="19"/>
      <c r="W587" s="19" t="s">
        <v>2705</v>
      </c>
      <c r="X587" s="22" t="s">
        <v>2706</v>
      </c>
      <c r="Y587" s="23" t="s">
        <v>23</v>
      </c>
      <c r="Z587" s="19"/>
      <c r="AA587" s="19"/>
      <c r="AB587" s="22"/>
      <c r="AC587" s="19"/>
      <c r="AD587" s="23"/>
      <c r="AE587" s="24"/>
    </row>
    <row r="588" spans="2:31" ht="39.950000000000003" customHeight="1" x14ac:dyDescent="0.3">
      <c r="B588" s="107">
        <v>24045</v>
      </c>
      <c r="C588" s="12">
        <f t="shared" si="31"/>
        <v>583</v>
      </c>
      <c r="D588" s="105" t="str">
        <f>IFERROR(" "&amp;VLOOKUP(B588,현장리스트!$B:$C,2,0),"-")</f>
        <v xml:space="preserve"> [5.한국교직원공제회] The-K 제주호텔 리모델링 공사</v>
      </c>
      <c r="E588" s="13" t="s">
        <v>2704</v>
      </c>
      <c r="F588" s="13" t="str">
        <f t="shared" ca="1" si="32"/>
        <v>65세</v>
      </c>
      <c r="G588" s="14" t="s">
        <v>1957</v>
      </c>
      <c r="H588" s="15" t="str">
        <f t="shared" si="33"/>
        <v>남</v>
      </c>
      <c r="I588" s="16" t="s">
        <v>901</v>
      </c>
      <c r="J588" s="16" t="s">
        <v>30</v>
      </c>
      <c r="K588" s="17">
        <v>4800000</v>
      </c>
      <c r="L588" s="18" t="s">
        <v>1958</v>
      </c>
      <c r="M588" s="19" t="s">
        <v>914</v>
      </c>
      <c r="N588" s="19" t="s">
        <v>2608</v>
      </c>
      <c r="O588" s="20">
        <v>15</v>
      </c>
      <c r="P588" s="23" t="s">
        <v>28</v>
      </c>
      <c r="Q588" s="21" t="str">
        <f>VLOOKUP(C588,'2-1. 인사고과표(기능)'!B:AS,44,0)</f>
        <v>A</v>
      </c>
      <c r="R588" s="21" t="str">
        <f>VLOOKUP(C588,'2-2. 인사고과표(안전)'!B:AO,40,0)</f>
        <v>S</v>
      </c>
      <c r="S588" s="18"/>
      <c r="T588" s="19"/>
      <c r="U588" s="19"/>
      <c r="V588" s="19"/>
      <c r="W588" s="19" t="s">
        <v>2705</v>
      </c>
      <c r="X588" s="22" t="s">
        <v>2706</v>
      </c>
      <c r="Y588" s="23" t="s">
        <v>23</v>
      </c>
      <c r="Z588" s="19"/>
      <c r="AA588" s="19"/>
      <c r="AB588" s="22"/>
      <c r="AC588" s="19"/>
      <c r="AD588" s="23"/>
      <c r="AE588" s="24"/>
    </row>
    <row r="589" spans="2:31" ht="39.950000000000003" customHeight="1" x14ac:dyDescent="0.3">
      <c r="B589" s="107">
        <v>24045</v>
      </c>
      <c r="C589" s="12">
        <f t="shared" si="31"/>
        <v>584</v>
      </c>
      <c r="D589" s="105" t="str">
        <f>IFERROR(" "&amp;VLOOKUP(B589,현장리스트!$B:$C,2,0),"-")</f>
        <v xml:space="preserve"> [5.한국교직원공제회] The-K 제주호텔 리모델링 공사</v>
      </c>
      <c r="E589" s="13" t="s">
        <v>2141</v>
      </c>
      <c r="F589" s="13" t="str">
        <f t="shared" ca="1" si="32"/>
        <v>45세</v>
      </c>
      <c r="G589" s="14" t="s">
        <v>2142</v>
      </c>
      <c r="H589" s="15" t="str">
        <f t="shared" si="33"/>
        <v>남</v>
      </c>
      <c r="I589" s="16" t="s">
        <v>901</v>
      </c>
      <c r="J589" s="16" t="s">
        <v>30</v>
      </c>
      <c r="K589" s="17">
        <v>220000</v>
      </c>
      <c r="L589" s="18" t="s">
        <v>2143</v>
      </c>
      <c r="M589" s="19" t="s">
        <v>2722</v>
      </c>
      <c r="N589" s="19" t="s">
        <v>3416</v>
      </c>
      <c r="O589" s="20">
        <v>25</v>
      </c>
      <c r="P589" s="23" t="s">
        <v>24</v>
      </c>
      <c r="Q589" s="21" t="str">
        <f>VLOOKUP(C589,'2-1. 인사고과표(기능)'!B:AS,44,0)</f>
        <v>S</v>
      </c>
      <c r="R589" s="21" t="str">
        <f>VLOOKUP(C589,'2-2. 인사고과표(안전)'!B:AO,40,0)</f>
        <v>S</v>
      </c>
      <c r="S589" s="18" t="s">
        <v>31</v>
      </c>
      <c r="T589" s="19"/>
      <c r="U589" s="19"/>
      <c r="V589" s="19"/>
      <c r="W589" s="19"/>
      <c r="X589" s="22"/>
      <c r="Y589" s="23"/>
      <c r="Z589" s="19"/>
      <c r="AA589" s="19" t="s">
        <v>497</v>
      </c>
      <c r="AB589" s="22" t="s">
        <v>2709</v>
      </c>
      <c r="AC589" s="19" t="s">
        <v>2710</v>
      </c>
      <c r="AD589" s="23" t="s">
        <v>24</v>
      </c>
      <c r="AE589" s="24"/>
    </row>
    <row r="590" spans="2:31" ht="39.950000000000003" customHeight="1" x14ac:dyDescent="0.3">
      <c r="B590" s="107">
        <v>24045</v>
      </c>
      <c r="C590" s="12">
        <f t="shared" si="31"/>
        <v>585</v>
      </c>
      <c r="D590" s="105" t="str">
        <f>IFERROR(" "&amp;VLOOKUP(B590,현장리스트!$B:$C,2,0),"-")</f>
        <v xml:space="preserve"> [5.한국교직원공제회] The-K 제주호텔 리모델링 공사</v>
      </c>
      <c r="E590" s="13" t="s">
        <v>1374</v>
      </c>
      <c r="F590" s="13" t="str">
        <f t="shared" ca="1" si="32"/>
        <v>60세</v>
      </c>
      <c r="G590" s="14" t="s">
        <v>1375</v>
      </c>
      <c r="H590" s="15" t="str">
        <f t="shared" si="33"/>
        <v>남</v>
      </c>
      <c r="I590" s="16" t="s">
        <v>901</v>
      </c>
      <c r="J590" s="16" t="s">
        <v>30</v>
      </c>
      <c r="K590" s="17">
        <v>220000</v>
      </c>
      <c r="L590" s="18" t="s">
        <v>1376</v>
      </c>
      <c r="M590" s="19" t="s">
        <v>987</v>
      </c>
      <c r="N590" s="19" t="s">
        <v>2642</v>
      </c>
      <c r="O590" s="20">
        <v>15</v>
      </c>
      <c r="P590" s="23" t="s">
        <v>24</v>
      </c>
      <c r="Q590" s="21" t="str">
        <f>VLOOKUP(C590,'2-1. 인사고과표(기능)'!B:AS,44,0)</f>
        <v>S</v>
      </c>
      <c r="R590" s="21" t="str">
        <f>VLOOKUP(C590,'2-2. 인사고과표(안전)'!B:AO,40,0)</f>
        <v>S</v>
      </c>
      <c r="S590" s="18"/>
      <c r="T590" s="19" t="s">
        <v>31</v>
      </c>
      <c r="U590" s="19"/>
      <c r="V590" s="19"/>
      <c r="W590" s="19"/>
      <c r="X590" s="22"/>
      <c r="Y590" s="23"/>
      <c r="Z590" s="19"/>
      <c r="AA590" s="19" t="s">
        <v>497</v>
      </c>
      <c r="AB590" s="22" t="s">
        <v>2709</v>
      </c>
      <c r="AC590" s="19" t="s">
        <v>2710</v>
      </c>
      <c r="AD590" s="23" t="s">
        <v>24</v>
      </c>
      <c r="AE590" s="24"/>
    </row>
    <row r="591" spans="2:31" ht="39.950000000000003" customHeight="1" x14ac:dyDescent="0.3">
      <c r="B591" s="107">
        <v>24045</v>
      </c>
      <c r="C591" s="12">
        <f t="shared" si="31"/>
        <v>586</v>
      </c>
      <c r="D591" s="105" t="str">
        <f>IFERROR(" "&amp;VLOOKUP(B591,현장리스트!$B:$C,2,0),"-")</f>
        <v xml:space="preserve"> [5.한국교직원공제회] The-K 제주호텔 리모델링 공사</v>
      </c>
      <c r="E591" s="13" t="s">
        <v>2349</v>
      </c>
      <c r="F591" s="13" t="str">
        <f t="shared" ca="1" si="32"/>
        <v>23세</v>
      </c>
      <c r="G591" s="14" t="s">
        <v>2350</v>
      </c>
      <c r="H591" s="15" t="str">
        <f t="shared" si="33"/>
        <v>남</v>
      </c>
      <c r="I591" s="16" t="s">
        <v>901</v>
      </c>
      <c r="J591" s="16" t="s">
        <v>30</v>
      </c>
      <c r="K591" s="17">
        <v>220000</v>
      </c>
      <c r="L591" s="18" t="s">
        <v>2351</v>
      </c>
      <c r="M591" s="19" t="s">
        <v>914</v>
      </c>
      <c r="N591" s="19" t="s">
        <v>2616</v>
      </c>
      <c r="O591" s="20">
        <v>5</v>
      </c>
      <c r="P591" s="23" t="s">
        <v>28</v>
      </c>
      <c r="Q591" s="21" t="str">
        <f>VLOOKUP(C591,'2-1. 인사고과표(기능)'!B:AS,44,0)</f>
        <v>A</v>
      </c>
      <c r="R591" s="21" t="str">
        <f>VLOOKUP(C591,'2-2. 인사고과표(안전)'!B:AO,40,0)</f>
        <v>A</v>
      </c>
      <c r="S591" s="18"/>
      <c r="T591" s="19"/>
      <c r="U591" s="19"/>
      <c r="V591" s="19"/>
      <c r="W591" s="19"/>
      <c r="X591" s="22"/>
      <c r="Y591" s="23"/>
      <c r="Z591" s="19"/>
      <c r="AA591" s="19"/>
      <c r="AB591" s="22"/>
      <c r="AC591" s="19"/>
      <c r="AD591" s="23"/>
      <c r="AE591" s="24"/>
    </row>
    <row r="592" spans="2:31" ht="39.950000000000003" customHeight="1" x14ac:dyDescent="0.3">
      <c r="B592" s="107">
        <v>24045</v>
      </c>
      <c r="C592" s="12">
        <f t="shared" si="31"/>
        <v>587</v>
      </c>
      <c r="D592" s="105" t="str">
        <f>IFERROR(" "&amp;VLOOKUP(B592,현장리스트!$B:$C,2,0),"-")</f>
        <v xml:space="preserve"> [5.한국교직원공제회] The-K 제주호텔 리모델링 공사</v>
      </c>
      <c r="E592" s="13" t="s">
        <v>1046</v>
      </c>
      <c r="F592" s="13" t="str">
        <f t="shared" ca="1" si="32"/>
        <v>48세</v>
      </c>
      <c r="G592" s="14" t="s">
        <v>1037</v>
      </c>
      <c r="H592" s="15" t="str">
        <f t="shared" si="33"/>
        <v>남</v>
      </c>
      <c r="I592" s="16" t="s">
        <v>901</v>
      </c>
      <c r="J592" s="16" t="s">
        <v>30</v>
      </c>
      <c r="K592" s="17">
        <v>230000</v>
      </c>
      <c r="L592" s="18" t="s">
        <v>1048</v>
      </c>
      <c r="M592" s="19" t="s">
        <v>2723</v>
      </c>
      <c r="N592" s="19" t="s">
        <v>1531</v>
      </c>
      <c r="O592" s="20">
        <v>15</v>
      </c>
      <c r="P592" s="23" t="s">
        <v>24</v>
      </c>
      <c r="Q592" s="21" t="str">
        <f>VLOOKUP(C592,'2-1. 인사고과표(기능)'!B:AS,44,0)</f>
        <v>A</v>
      </c>
      <c r="R592" s="21" t="str">
        <f>VLOOKUP(C592,'2-2. 인사고과표(안전)'!B:AO,40,0)</f>
        <v>A</v>
      </c>
      <c r="S592" s="18"/>
      <c r="T592" s="19"/>
      <c r="U592" s="19"/>
      <c r="V592" s="19"/>
      <c r="W592" s="19"/>
      <c r="X592" s="22"/>
      <c r="Y592" s="23"/>
      <c r="Z592" s="19"/>
      <c r="AA592" s="19"/>
      <c r="AB592" s="22"/>
      <c r="AC592" s="19"/>
      <c r="AD592" s="23"/>
      <c r="AE592" s="24"/>
    </row>
    <row r="593" spans="2:31" ht="39.950000000000003" customHeight="1" x14ac:dyDescent="0.3">
      <c r="B593" s="107">
        <v>24045</v>
      </c>
      <c r="C593" s="12">
        <f t="shared" si="31"/>
        <v>588</v>
      </c>
      <c r="D593" s="105" t="str">
        <f>IFERROR(" "&amp;VLOOKUP(B593,현장리스트!$B:$C,2,0),"-")</f>
        <v xml:space="preserve"> [5.한국교직원공제회] The-K 제주호텔 리모델링 공사</v>
      </c>
      <c r="E593" s="13" t="s">
        <v>1036</v>
      </c>
      <c r="F593" s="13" t="str">
        <f t="shared" ca="1" si="32"/>
        <v>44세</v>
      </c>
      <c r="G593" s="14" t="s">
        <v>1047</v>
      </c>
      <c r="H593" s="15" t="str">
        <f t="shared" si="33"/>
        <v>남</v>
      </c>
      <c r="I593" s="16" t="s">
        <v>901</v>
      </c>
      <c r="J593" s="16" t="s">
        <v>30</v>
      </c>
      <c r="K593" s="17">
        <v>230000</v>
      </c>
      <c r="L593" s="18" t="s">
        <v>1038</v>
      </c>
      <c r="M593" s="19" t="s">
        <v>2723</v>
      </c>
      <c r="N593" s="19" t="s">
        <v>1531</v>
      </c>
      <c r="O593" s="20">
        <v>15</v>
      </c>
      <c r="P593" s="23" t="s">
        <v>24</v>
      </c>
      <c r="Q593" s="21" t="str">
        <f>VLOOKUP(C593,'2-1. 인사고과표(기능)'!B:AS,44,0)</f>
        <v>A</v>
      </c>
      <c r="R593" s="21" t="str">
        <f>VLOOKUP(C593,'2-2. 인사고과표(안전)'!B:AO,40,0)</f>
        <v>A</v>
      </c>
      <c r="S593" s="18"/>
      <c r="T593" s="19"/>
      <c r="U593" s="19"/>
      <c r="V593" s="19"/>
      <c r="W593" s="19"/>
      <c r="X593" s="22"/>
      <c r="Y593" s="23"/>
      <c r="Z593" s="19"/>
      <c r="AA593" s="19"/>
      <c r="AB593" s="22"/>
      <c r="AC593" s="19"/>
      <c r="AD593" s="23"/>
      <c r="AE593" s="24"/>
    </row>
    <row r="594" spans="2:31" ht="39.950000000000003" customHeight="1" x14ac:dyDescent="0.3">
      <c r="B594" s="107">
        <v>24045</v>
      </c>
      <c r="C594" s="12">
        <f t="shared" si="31"/>
        <v>589</v>
      </c>
      <c r="D594" s="105" t="str">
        <f>IFERROR(" "&amp;VLOOKUP(B594,현장리스트!$B:$C,2,0),"-")</f>
        <v xml:space="preserve"> [5.한국교직원공제회] The-K 제주호텔 리모델링 공사</v>
      </c>
      <c r="E594" s="13" t="s">
        <v>2107</v>
      </c>
      <c r="F594" s="13" t="str">
        <f t="shared" ca="1" si="32"/>
        <v>45세</v>
      </c>
      <c r="G594" s="14" t="s">
        <v>2108</v>
      </c>
      <c r="H594" s="15" t="str">
        <f t="shared" si="33"/>
        <v>남</v>
      </c>
      <c r="I594" s="16" t="s">
        <v>901</v>
      </c>
      <c r="J594" s="16" t="s">
        <v>30</v>
      </c>
      <c r="K594" s="17">
        <v>200000</v>
      </c>
      <c r="L594" s="18" t="s">
        <v>2109</v>
      </c>
      <c r="M594" s="19" t="s">
        <v>2723</v>
      </c>
      <c r="N594" s="19" t="s">
        <v>1531</v>
      </c>
      <c r="O594" s="20">
        <v>7</v>
      </c>
      <c r="P594" s="23" t="s">
        <v>24</v>
      </c>
      <c r="Q594" s="21" t="str">
        <f>VLOOKUP(C594,'2-1. 인사고과표(기능)'!B:AS,44,0)</f>
        <v>S</v>
      </c>
      <c r="R594" s="21" t="str">
        <f>VLOOKUP(C594,'2-2. 인사고과표(안전)'!B:AO,40,0)</f>
        <v>S</v>
      </c>
      <c r="S594" s="18"/>
      <c r="T594" s="19"/>
      <c r="U594" s="19"/>
      <c r="V594" s="19"/>
      <c r="W594" s="19"/>
      <c r="X594" s="22"/>
      <c r="Y594" s="23"/>
      <c r="Z594" s="19"/>
      <c r="AA594" s="19"/>
      <c r="AB594" s="22"/>
      <c r="AC594" s="19"/>
      <c r="AD594" s="23"/>
      <c r="AE594" s="24"/>
    </row>
    <row r="595" spans="2:31" ht="39.950000000000003" customHeight="1" x14ac:dyDescent="0.3">
      <c r="B595" s="107">
        <v>24045</v>
      </c>
      <c r="C595" s="12">
        <f t="shared" si="31"/>
        <v>590</v>
      </c>
      <c r="D595" s="105" t="str">
        <f>IFERROR(" "&amp;VLOOKUP(B595,현장리스트!$B:$C,2,0),"-")</f>
        <v xml:space="preserve"> [5.한국교직원공제회] The-K 제주호텔 리모델링 공사</v>
      </c>
      <c r="E595" s="13" t="s">
        <v>2185</v>
      </c>
      <c r="F595" s="13" t="str">
        <f t="shared" ca="1" si="32"/>
        <v>53세</v>
      </c>
      <c r="G595" s="14" t="s">
        <v>2186</v>
      </c>
      <c r="H595" s="15" t="str">
        <f t="shared" si="33"/>
        <v>남</v>
      </c>
      <c r="I595" s="16" t="s">
        <v>901</v>
      </c>
      <c r="J595" s="16" t="s">
        <v>30</v>
      </c>
      <c r="K595" s="17">
        <v>210000</v>
      </c>
      <c r="L595" s="18" t="s">
        <v>2187</v>
      </c>
      <c r="M595" s="19" t="s">
        <v>1531</v>
      </c>
      <c r="N595" s="19" t="s">
        <v>1531</v>
      </c>
      <c r="O595" s="20">
        <v>20</v>
      </c>
      <c r="P595" s="23" t="s">
        <v>24</v>
      </c>
      <c r="Q595" s="21" t="str">
        <f>VLOOKUP(C595,'2-1. 인사고과표(기능)'!B:AS,44,0)</f>
        <v>S</v>
      </c>
      <c r="R595" s="21" t="str">
        <f>VLOOKUP(C595,'2-2. 인사고과표(안전)'!B:AO,40,0)</f>
        <v>S</v>
      </c>
      <c r="S595" s="18"/>
      <c r="T595" s="19"/>
      <c r="U595" s="19"/>
      <c r="V595" s="19"/>
      <c r="W595" s="19"/>
      <c r="X595" s="22"/>
      <c r="Y595" s="23"/>
      <c r="Z595" s="19"/>
      <c r="AA595" s="19"/>
      <c r="AB595" s="22"/>
      <c r="AC595" s="19"/>
      <c r="AD595" s="23"/>
      <c r="AE595" s="24"/>
    </row>
    <row r="596" spans="2:31" ht="39.950000000000003" customHeight="1" x14ac:dyDescent="0.3">
      <c r="B596" s="107">
        <v>24045</v>
      </c>
      <c r="C596" s="12">
        <f t="shared" si="31"/>
        <v>591</v>
      </c>
      <c r="D596" s="105" t="str">
        <f>IFERROR(" "&amp;VLOOKUP(B596,현장리스트!$B:$C,2,0),"-")</f>
        <v xml:space="preserve"> [5.한국교직원공제회] The-K 제주호텔 리모델링 공사</v>
      </c>
      <c r="E596" s="13" t="s">
        <v>1747</v>
      </c>
      <c r="F596" s="13" t="str">
        <f t="shared" ca="1" si="32"/>
        <v>45세</v>
      </c>
      <c r="G596" s="14" t="s">
        <v>1748</v>
      </c>
      <c r="H596" s="15" t="str">
        <f t="shared" si="33"/>
        <v>남</v>
      </c>
      <c r="I596" s="16" t="s">
        <v>901</v>
      </c>
      <c r="J596" s="16" t="s">
        <v>30</v>
      </c>
      <c r="K596" s="17">
        <v>210000</v>
      </c>
      <c r="L596" s="18" t="s">
        <v>1749</v>
      </c>
      <c r="M596" s="19" t="s">
        <v>1531</v>
      </c>
      <c r="N596" s="19" t="s">
        <v>1531</v>
      </c>
      <c r="O596" s="20">
        <v>20</v>
      </c>
      <c r="P596" s="23" t="s">
        <v>24</v>
      </c>
      <c r="Q596" s="21" t="str">
        <f>VLOOKUP(C596,'2-1. 인사고과표(기능)'!B:AS,44,0)</f>
        <v>S</v>
      </c>
      <c r="R596" s="21" t="str">
        <f>VLOOKUP(C596,'2-2. 인사고과표(안전)'!B:AO,40,0)</f>
        <v>S</v>
      </c>
      <c r="S596" s="18"/>
      <c r="T596" s="19"/>
      <c r="U596" s="19"/>
      <c r="V596" s="19"/>
      <c r="W596" s="19"/>
      <c r="X596" s="22"/>
      <c r="Y596" s="23"/>
      <c r="Z596" s="19"/>
      <c r="AA596" s="19"/>
      <c r="AB596" s="22"/>
      <c r="AC596" s="19"/>
      <c r="AD596" s="23"/>
      <c r="AE596" s="24"/>
    </row>
    <row r="597" spans="2:31" ht="39.950000000000003" customHeight="1" x14ac:dyDescent="0.3">
      <c r="B597" s="107">
        <v>24045</v>
      </c>
      <c r="C597" s="12">
        <f t="shared" si="31"/>
        <v>592</v>
      </c>
      <c r="D597" s="105" t="str">
        <f>IFERROR(" "&amp;VLOOKUP(B597,현장리스트!$B:$C,2,0),"-")</f>
        <v xml:space="preserve"> [5.한국교직원공제회] The-K 제주호텔 리모델링 공사</v>
      </c>
      <c r="E597" s="13" t="s">
        <v>2455</v>
      </c>
      <c r="F597" s="13" t="str">
        <f t="shared" ca="1" si="32"/>
        <v>53세</v>
      </c>
      <c r="G597" s="14" t="s">
        <v>2456</v>
      </c>
      <c r="H597" s="15" t="str">
        <f t="shared" si="33"/>
        <v>남</v>
      </c>
      <c r="I597" s="16" t="s">
        <v>901</v>
      </c>
      <c r="J597" s="16" t="s">
        <v>30</v>
      </c>
      <c r="K597" s="17">
        <v>230000</v>
      </c>
      <c r="L597" s="18" t="s">
        <v>2457</v>
      </c>
      <c r="M597" s="19" t="s">
        <v>1531</v>
      </c>
      <c r="N597" s="19" t="s">
        <v>1531</v>
      </c>
      <c r="O597" s="20">
        <v>20</v>
      </c>
      <c r="P597" s="23" t="s">
        <v>24</v>
      </c>
      <c r="Q597" s="21" t="str">
        <f>VLOOKUP(C597,'2-1. 인사고과표(기능)'!B:AS,44,0)</f>
        <v>A</v>
      </c>
      <c r="R597" s="21" t="str">
        <f>VLOOKUP(C597,'2-2. 인사고과표(안전)'!B:AO,40,0)</f>
        <v>A</v>
      </c>
      <c r="S597" s="18"/>
      <c r="T597" s="19"/>
      <c r="U597" s="19"/>
      <c r="V597" s="19"/>
      <c r="W597" s="19"/>
      <c r="X597" s="22"/>
      <c r="Y597" s="23"/>
      <c r="Z597" s="19"/>
      <c r="AA597" s="19"/>
      <c r="AB597" s="22"/>
      <c r="AC597" s="19"/>
      <c r="AD597" s="23"/>
      <c r="AE597" s="24"/>
    </row>
    <row r="598" spans="2:31" ht="39.950000000000003" customHeight="1" x14ac:dyDescent="0.3">
      <c r="B598" s="107">
        <v>24045</v>
      </c>
      <c r="C598" s="12">
        <f t="shared" si="31"/>
        <v>593</v>
      </c>
      <c r="D598" s="105" t="str">
        <f>IFERROR(" "&amp;VLOOKUP(B598,현장리스트!$B:$C,2,0),"-")</f>
        <v xml:space="preserve"> [5.한국교직원공제회] The-K 제주호텔 리모델링 공사</v>
      </c>
      <c r="E598" s="13" t="s">
        <v>1834</v>
      </c>
      <c r="F598" s="13" t="str">
        <f t="shared" ca="1" si="32"/>
        <v>54세</v>
      </c>
      <c r="G598" s="14" t="s">
        <v>1835</v>
      </c>
      <c r="H598" s="15" t="str">
        <f t="shared" si="33"/>
        <v>남</v>
      </c>
      <c r="I598" s="16" t="s">
        <v>901</v>
      </c>
      <c r="J598" s="16" t="s">
        <v>30</v>
      </c>
      <c r="K598" s="17">
        <v>200000</v>
      </c>
      <c r="L598" s="18" t="s">
        <v>1836</v>
      </c>
      <c r="M598" s="19" t="s">
        <v>1531</v>
      </c>
      <c r="N598" s="19" t="s">
        <v>1531</v>
      </c>
      <c r="O598" s="20">
        <v>15</v>
      </c>
      <c r="P598" s="23" t="s">
        <v>24</v>
      </c>
      <c r="Q598" s="21" t="str">
        <f>VLOOKUP(C598,'2-1. 인사고과표(기능)'!B:AS,44,0)</f>
        <v>A</v>
      </c>
      <c r="R598" s="21" t="str">
        <f>VLOOKUP(C598,'2-2. 인사고과표(안전)'!B:AO,40,0)</f>
        <v>A</v>
      </c>
      <c r="S598" s="18"/>
      <c r="T598" s="19"/>
      <c r="U598" s="19"/>
      <c r="V598" s="19"/>
      <c r="W598" s="19"/>
      <c r="X598" s="22"/>
      <c r="Y598" s="23"/>
      <c r="Z598" s="19"/>
      <c r="AA598" s="19"/>
      <c r="AB598" s="22"/>
      <c r="AC598" s="19"/>
      <c r="AD598" s="23"/>
      <c r="AE598" s="24"/>
    </row>
    <row r="599" spans="2:31" ht="39.950000000000003" customHeight="1" x14ac:dyDescent="0.3">
      <c r="B599" s="107">
        <v>24045</v>
      </c>
      <c r="C599" s="12">
        <f t="shared" si="31"/>
        <v>594</v>
      </c>
      <c r="D599" s="105" t="str">
        <f>IFERROR(" "&amp;VLOOKUP(B599,현장리스트!$B:$C,2,0),"-")</f>
        <v xml:space="preserve"> [5.한국교직원공제회] The-K 제주호텔 리모델링 공사</v>
      </c>
      <c r="E599" s="13" t="s">
        <v>1840</v>
      </c>
      <c r="F599" s="13" t="str">
        <f t="shared" ca="1" si="32"/>
        <v>52세</v>
      </c>
      <c r="G599" s="14" t="s">
        <v>1841</v>
      </c>
      <c r="H599" s="15" t="str">
        <f t="shared" si="33"/>
        <v>남</v>
      </c>
      <c r="I599" s="16" t="s">
        <v>901</v>
      </c>
      <c r="J599" s="16" t="s">
        <v>30</v>
      </c>
      <c r="K599" s="17">
        <v>250000</v>
      </c>
      <c r="L599" s="18" t="s">
        <v>1842</v>
      </c>
      <c r="M599" s="19" t="s">
        <v>2724</v>
      </c>
      <c r="N599" s="19" t="s">
        <v>947</v>
      </c>
      <c r="O599" s="20">
        <v>20</v>
      </c>
      <c r="P599" s="23" t="s">
        <v>26</v>
      </c>
      <c r="Q599" s="21" t="str">
        <f>VLOOKUP(C599,'2-1. 인사고과표(기능)'!B:AS,44,0)</f>
        <v>A</v>
      </c>
      <c r="R599" s="21" t="str">
        <f>VLOOKUP(C599,'2-2. 인사고과표(안전)'!B:AO,40,0)</f>
        <v>A</v>
      </c>
      <c r="S599" s="18"/>
      <c r="T599" s="19"/>
      <c r="U599" s="19"/>
      <c r="V599" s="19"/>
      <c r="W599" s="19"/>
      <c r="X599" s="22"/>
      <c r="Y599" s="23"/>
      <c r="Z599" s="19"/>
      <c r="AA599" s="19" t="s">
        <v>2695</v>
      </c>
      <c r="AB599" s="22" t="s">
        <v>2711</v>
      </c>
      <c r="AC599" s="19" t="s">
        <v>2682</v>
      </c>
      <c r="AD599" s="23" t="s">
        <v>23</v>
      </c>
      <c r="AE599" s="24"/>
    </row>
    <row r="600" spans="2:31" ht="39.950000000000003" customHeight="1" x14ac:dyDescent="0.3">
      <c r="B600" s="107">
        <v>24045</v>
      </c>
      <c r="C600" s="12">
        <f t="shared" si="31"/>
        <v>595</v>
      </c>
      <c r="D600" s="105" t="str">
        <f>IFERROR(" "&amp;VLOOKUP(B600,현장리스트!$B:$C,2,0),"-")</f>
        <v xml:space="preserve"> [5.한국교직원공제회] The-K 제주호텔 리모델링 공사</v>
      </c>
      <c r="E600" s="13" t="s">
        <v>2110</v>
      </c>
      <c r="F600" s="13" t="str">
        <f t="shared" ca="1" si="32"/>
        <v>43세</v>
      </c>
      <c r="G600" s="14" t="s">
        <v>2111</v>
      </c>
      <c r="H600" s="15" t="str">
        <f t="shared" si="33"/>
        <v>남</v>
      </c>
      <c r="I600" s="16" t="s">
        <v>901</v>
      </c>
      <c r="J600" s="16" t="s">
        <v>30</v>
      </c>
      <c r="K600" s="17">
        <v>220000</v>
      </c>
      <c r="L600" s="18" t="s">
        <v>2112</v>
      </c>
      <c r="M600" s="19" t="s">
        <v>2725</v>
      </c>
      <c r="N600" s="19" t="s">
        <v>918</v>
      </c>
      <c r="O600" s="20">
        <v>15</v>
      </c>
      <c r="P600" s="23" t="s">
        <v>26</v>
      </c>
      <c r="Q600" s="21" t="str">
        <f>VLOOKUP(C600,'2-1. 인사고과표(기능)'!B:AS,44,0)</f>
        <v>A</v>
      </c>
      <c r="R600" s="21" t="str">
        <f>VLOOKUP(C600,'2-2. 인사고과표(안전)'!B:AO,40,0)</f>
        <v>A</v>
      </c>
      <c r="S600" s="18"/>
      <c r="T600" s="19"/>
      <c r="U600" s="19"/>
      <c r="V600" s="19"/>
      <c r="W600" s="19"/>
      <c r="X600" s="22"/>
      <c r="Y600" s="23"/>
      <c r="Z600" s="19"/>
      <c r="AA600" s="19" t="s">
        <v>2695</v>
      </c>
      <c r="AB600" s="22" t="s">
        <v>2711</v>
      </c>
      <c r="AC600" s="19" t="s">
        <v>2682</v>
      </c>
      <c r="AD600" s="23" t="s">
        <v>23</v>
      </c>
      <c r="AE600" s="24"/>
    </row>
    <row r="601" spans="2:31" ht="39.950000000000003" customHeight="1" x14ac:dyDescent="0.3">
      <c r="B601" s="107">
        <v>24045</v>
      </c>
      <c r="C601" s="12">
        <f t="shared" si="31"/>
        <v>596</v>
      </c>
      <c r="D601" s="105" t="str">
        <f>IFERROR(" "&amp;VLOOKUP(B601,현장리스트!$B:$C,2,0),"-")</f>
        <v xml:space="preserve"> [5.한국교직원공제회] The-K 제주호텔 리모델링 공사</v>
      </c>
      <c r="E601" s="13" t="s">
        <v>1098</v>
      </c>
      <c r="F601" s="13" t="str">
        <f t="shared" ca="1" si="32"/>
        <v>47세</v>
      </c>
      <c r="G601" s="14" t="s">
        <v>1099</v>
      </c>
      <c r="H601" s="15" t="str">
        <f t="shared" si="33"/>
        <v>남</v>
      </c>
      <c r="I601" s="16" t="s">
        <v>901</v>
      </c>
      <c r="J601" s="16" t="s">
        <v>30</v>
      </c>
      <c r="K601" s="17">
        <v>220000</v>
      </c>
      <c r="L601" s="18" t="s">
        <v>1100</v>
      </c>
      <c r="M601" s="19" t="s">
        <v>914</v>
      </c>
      <c r="N601" s="19" t="s">
        <v>2669</v>
      </c>
      <c r="O601" s="20">
        <v>20</v>
      </c>
      <c r="P601" s="23" t="s">
        <v>26</v>
      </c>
      <c r="Q601" s="21" t="str">
        <f>VLOOKUP(C601,'2-1. 인사고과표(기능)'!B:AS,44,0)</f>
        <v>S</v>
      </c>
      <c r="R601" s="21" t="str">
        <f>VLOOKUP(C601,'2-2. 인사고과표(안전)'!B:AO,40,0)</f>
        <v>S</v>
      </c>
      <c r="S601" s="18"/>
      <c r="T601" s="19"/>
      <c r="U601" s="19"/>
      <c r="V601" s="19"/>
      <c r="W601" s="19"/>
      <c r="X601" s="22"/>
      <c r="Y601" s="23"/>
      <c r="Z601" s="19"/>
      <c r="AA601" s="19" t="s">
        <v>2695</v>
      </c>
      <c r="AB601" s="22" t="s">
        <v>2711</v>
      </c>
      <c r="AC601" s="19" t="s">
        <v>2682</v>
      </c>
      <c r="AD601" s="23" t="s">
        <v>23</v>
      </c>
      <c r="AE601" s="24"/>
    </row>
    <row r="602" spans="2:31" ht="39.950000000000003" customHeight="1" x14ac:dyDescent="0.3">
      <c r="B602" s="107">
        <v>24045</v>
      </c>
      <c r="C602" s="12">
        <f t="shared" si="31"/>
        <v>597</v>
      </c>
      <c r="D602" s="105" t="str">
        <f>IFERROR(" "&amp;VLOOKUP(B602,현장리스트!$B:$C,2,0),"-")</f>
        <v xml:space="preserve"> [5.한국교직원공제회] The-K 제주호텔 리모델링 공사</v>
      </c>
      <c r="E602" s="13" t="s">
        <v>1061</v>
      </c>
      <c r="F602" s="13" t="str">
        <f t="shared" ca="1" si="32"/>
        <v>44세</v>
      </c>
      <c r="G602" s="14" t="s">
        <v>1062</v>
      </c>
      <c r="H602" s="15" t="str">
        <f t="shared" si="33"/>
        <v>남</v>
      </c>
      <c r="I602" s="16" t="s">
        <v>901</v>
      </c>
      <c r="J602" s="16" t="s">
        <v>30</v>
      </c>
      <c r="K602" s="17">
        <v>190000</v>
      </c>
      <c r="L602" s="18" t="s">
        <v>1063</v>
      </c>
      <c r="M602" s="19" t="s">
        <v>914</v>
      </c>
      <c r="N602" s="19" t="s">
        <v>2617</v>
      </c>
      <c r="O602" s="20">
        <v>15</v>
      </c>
      <c r="P602" s="23" t="s">
        <v>26</v>
      </c>
      <c r="Q602" s="21" t="str">
        <f>VLOOKUP(C602,'2-1. 인사고과표(기능)'!B:AS,44,0)</f>
        <v>A</v>
      </c>
      <c r="R602" s="21" t="str">
        <f>VLOOKUP(C602,'2-2. 인사고과표(안전)'!B:AO,40,0)</f>
        <v>A</v>
      </c>
      <c r="S602" s="18"/>
      <c r="T602" s="19"/>
      <c r="U602" s="19"/>
      <c r="V602" s="19"/>
      <c r="W602" s="19"/>
      <c r="X602" s="22"/>
      <c r="Y602" s="23"/>
      <c r="Z602" s="19"/>
      <c r="AA602" s="19" t="s">
        <v>2695</v>
      </c>
      <c r="AB602" s="22" t="s">
        <v>2711</v>
      </c>
      <c r="AC602" s="19" t="s">
        <v>2682</v>
      </c>
      <c r="AD602" s="23" t="s">
        <v>23</v>
      </c>
      <c r="AE602" s="24"/>
    </row>
    <row r="603" spans="2:31" ht="39.950000000000003" customHeight="1" x14ac:dyDescent="0.3">
      <c r="B603" s="107">
        <v>24045</v>
      </c>
      <c r="C603" s="12">
        <f t="shared" si="31"/>
        <v>598</v>
      </c>
      <c r="D603" s="105" t="str">
        <f>IFERROR(" "&amp;VLOOKUP(B603,현장리스트!$B:$C,2,0),"-")</f>
        <v xml:space="preserve"> [5.한국교직원공제회] The-K 제주호텔 리모델링 공사</v>
      </c>
      <c r="E603" s="13" t="s">
        <v>1937</v>
      </c>
      <c r="F603" s="13" t="str">
        <f t="shared" ca="1" si="32"/>
        <v>49세</v>
      </c>
      <c r="G603" s="14" t="s">
        <v>1938</v>
      </c>
      <c r="H603" s="15" t="str">
        <f t="shared" si="33"/>
        <v>남</v>
      </c>
      <c r="I603" s="16" t="s">
        <v>901</v>
      </c>
      <c r="J603" s="16" t="s">
        <v>30</v>
      </c>
      <c r="K603" s="17">
        <v>220000</v>
      </c>
      <c r="L603" s="18" t="s">
        <v>1939</v>
      </c>
      <c r="M603" s="19" t="s">
        <v>914</v>
      </c>
      <c r="N603" s="19" t="s">
        <v>2824</v>
      </c>
      <c r="O603" s="20">
        <v>15</v>
      </c>
      <c r="P603" s="23" t="s">
        <v>26</v>
      </c>
      <c r="Q603" s="21" t="str">
        <f>VLOOKUP(C603,'2-1. 인사고과표(기능)'!B:AS,44,0)</f>
        <v>A</v>
      </c>
      <c r="R603" s="21" t="str">
        <f>VLOOKUP(C603,'2-2. 인사고과표(안전)'!B:AO,40,0)</f>
        <v>A</v>
      </c>
      <c r="S603" s="18"/>
      <c r="T603" s="19"/>
      <c r="U603" s="19"/>
      <c r="V603" s="19"/>
      <c r="W603" s="19"/>
      <c r="X603" s="22"/>
      <c r="Y603" s="23"/>
      <c r="Z603" s="19"/>
      <c r="AA603" s="19" t="s">
        <v>2695</v>
      </c>
      <c r="AB603" s="22" t="s">
        <v>2711</v>
      </c>
      <c r="AC603" s="19" t="s">
        <v>2682</v>
      </c>
      <c r="AD603" s="23" t="s">
        <v>23</v>
      </c>
      <c r="AE603" s="24"/>
    </row>
    <row r="604" spans="2:31" ht="39.950000000000003" customHeight="1" x14ac:dyDescent="0.3">
      <c r="B604" s="107">
        <v>24045</v>
      </c>
      <c r="C604" s="12">
        <f t="shared" si="31"/>
        <v>599</v>
      </c>
      <c r="D604" s="105" t="str">
        <f>IFERROR(" "&amp;VLOOKUP(B604,현장리스트!$B:$C,2,0),"-")</f>
        <v xml:space="preserve"> [5.한국교직원공제회] The-K 제주호텔 리모델링 공사</v>
      </c>
      <c r="E604" s="13" t="s">
        <v>1205</v>
      </c>
      <c r="F604" s="13" t="str">
        <f t="shared" ca="1" si="32"/>
        <v>37세</v>
      </c>
      <c r="G604" s="14" t="s">
        <v>1206</v>
      </c>
      <c r="H604" s="15" t="str">
        <f t="shared" si="33"/>
        <v>남</v>
      </c>
      <c r="I604" s="16" t="s">
        <v>901</v>
      </c>
      <c r="J604" s="16" t="s">
        <v>30</v>
      </c>
      <c r="K604" s="17">
        <v>220000</v>
      </c>
      <c r="L604" s="18" t="s">
        <v>1207</v>
      </c>
      <c r="M604" s="19" t="s">
        <v>2726</v>
      </c>
      <c r="N604" s="19" t="s">
        <v>3417</v>
      </c>
      <c r="O604" s="20">
        <v>15</v>
      </c>
      <c r="P604" s="23" t="s">
        <v>26</v>
      </c>
      <c r="Q604" s="21" t="str">
        <f>VLOOKUP(C604,'2-1. 인사고과표(기능)'!B:AS,44,0)</f>
        <v>A</v>
      </c>
      <c r="R604" s="21" t="str">
        <f>VLOOKUP(C604,'2-2. 인사고과표(안전)'!B:AO,40,0)</f>
        <v>A</v>
      </c>
      <c r="S604" s="18"/>
      <c r="T604" s="19"/>
      <c r="U604" s="19"/>
      <c r="V604" s="19"/>
      <c r="W604" s="19"/>
      <c r="X604" s="22"/>
      <c r="Y604" s="23"/>
      <c r="Z604" s="19"/>
      <c r="AA604" s="19" t="s">
        <v>2695</v>
      </c>
      <c r="AB604" s="22" t="s">
        <v>2711</v>
      </c>
      <c r="AC604" s="19" t="s">
        <v>2682</v>
      </c>
      <c r="AD604" s="23" t="s">
        <v>23</v>
      </c>
      <c r="AE604" s="24"/>
    </row>
    <row r="605" spans="2:31" ht="39.950000000000003" customHeight="1" x14ac:dyDescent="0.3">
      <c r="B605" s="107">
        <v>24045</v>
      </c>
      <c r="C605" s="12">
        <f t="shared" si="31"/>
        <v>600</v>
      </c>
      <c r="D605" s="105" t="str">
        <f>IFERROR(" "&amp;VLOOKUP(B605,현장리스트!$B:$C,2,0),"-")</f>
        <v xml:space="preserve"> [5.한국교직원공제회] The-K 제주호텔 리모델링 공사</v>
      </c>
      <c r="E605" s="13" t="s">
        <v>1795</v>
      </c>
      <c r="F605" s="13" t="str">
        <f t="shared" ca="1" si="32"/>
        <v>47세</v>
      </c>
      <c r="G605" s="14" t="s">
        <v>1796</v>
      </c>
      <c r="H605" s="15" t="str">
        <f t="shared" si="33"/>
        <v>남</v>
      </c>
      <c r="I605" s="16" t="s">
        <v>901</v>
      </c>
      <c r="J605" s="16" t="s">
        <v>30</v>
      </c>
      <c r="K605" s="17">
        <v>220000</v>
      </c>
      <c r="L605" s="18" t="s">
        <v>1797</v>
      </c>
      <c r="M605" s="19" t="s">
        <v>2722</v>
      </c>
      <c r="N605" s="19" t="s">
        <v>2763</v>
      </c>
      <c r="O605" s="20">
        <v>15</v>
      </c>
      <c r="P605" s="23" t="s">
        <v>26</v>
      </c>
      <c r="Q605" s="21" t="str">
        <f>VLOOKUP(C605,'2-1. 인사고과표(기능)'!B:AS,44,0)</f>
        <v>S</v>
      </c>
      <c r="R605" s="21" t="str">
        <f>VLOOKUP(C605,'2-2. 인사고과표(안전)'!B:AO,40,0)</f>
        <v>S</v>
      </c>
      <c r="S605" s="18"/>
      <c r="T605" s="19"/>
      <c r="U605" s="19"/>
      <c r="V605" s="19"/>
      <c r="W605" s="19"/>
      <c r="X605" s="22"/>
      <c r="Y605" s="23"/>
      <c r="Z605" s="19"/>
      <c r="AA605" s="19" t="s">
        <v>2695</v>
      </c>
      <c r="AB605" s="22" t="s">
        <v>2711</v>
      </c>
      <c r="AC605" s="19" t="s">
        <v>2682</v>
      </c>
      <c r="AD605" s="23" t="s">
        <v>23</v>
      </c>
      <c r="AE605" s="24"/>
    </row>
    <row r="606" spans="2:31" ht="39.950000000000003" customHeight="1" x14ac:dyDescent="0.3">
      <c r="B606" s="107">
        <v>24045</v>
      </c>
      <c r="C606" s="12">
        <f t="shared" si="31"/>
        <v>601</v>
      </c>
      <c r="D606" s="105" t="str">
        <f>IFERROR(" "&amp;VLOOKUP(B606,현장리스트!$B:$C,2,0),"-")</f>
        <v xml:space="preserve"> [5.한국교직원공제회] The-K 제주호텔 리모델링 공사</v>
      </c>
      <c r="E606" s="13" t="s">
        <v>2212</v>
      </c>
      <c r="F606" s="13" t="str">
        <f t="shared" ca="1" si="32"/>
        <v>34세</v>
      </c>
      <c r="G606" s="14" t="s">
        <v>2213</v>
      </c>
      <c r="H606" s="15" t="str">
        <f t="shared" si="33"/>
        <v>남</v>
      </c>
      <c r="I606" s="16" t="s">
        <v>901</v>
      </c>
      <c r="J606" s="16" t="s">
        <v>30</v>
      </c>
      <c r="K606" s="17">
        <v>220000</v>
      </c>
      <c r="L606" s="18" t="s">
        <v>2214</v>
      </c>
      <c r="M606" s="19" t="s">
        <v>2727</v>
      </c>
      <c r="N606" s="19" t="s">
        <v>3415</v>
      </c>
      <c r="O606" s="20">
        <v>5</v>
      </c>
      <c r="P606" s="23" t="s">
        <v>26</v>
      </c>
      <c r="Q606" s="21" t="str">
        <f>VLOOKUP(C606,'2-1. 인사고과표(기능)'!B:AS,44,0)</f>
        <v>B</v>
      </c>
      <c r="R606" s="21" t="str">
        <f>VLOOKUP(C606,'2-2. 인사고과표(안전)'!B:AO,40,0)</f>
        <v>A</v>
      </c>
      <c r="S606" s="18"/>
      <c r="T606" s="19"/>
      <c r="U606" s="19"/>
      <c r="V606" s="19"/>
      <c r="W606" s="19"/>
      <c r="X606" s="22"/>
      <c r="Y606" s="23"/>
      <c r="Z606" s="19"/>
      <c r="AA606" s="19" t="s">
        <v>2695</v>
      </c>
      <c r="AB606" s="22" t="s">
        <v>2711</v>
      </c>
      <c r="AC606" s="19" t="s">
        <v>2682</v>
      </c>
      <c r="AD606" s="23" t="s">
        <v>23</v>
      </c>
      <c r="AE606" s="24"/>
    </row>
    <row r="607" spans="2:31" ht="39.950000000000003" customHeight="1" x14ac:dyDescent="0.3">
      <c r="B607" s="107">
        <v>25038</v>
      </c>
      <c r="C607" s="12">
        <f t="shared" si="31"/>
        <v>602</v>
      </c>
      <c r="D607" s="105" t="str">
        <f>IFERROR(" "&amp;VLOOKUP(B607,현장리스트!$B:$C,2,0),"-")</f>
        <v xml:space="preserve"> [6.현대엔지니어링] AutoLand 화성 기아 LW 프로젝트 일반전기공사(도장)</v>
      </c>
      <c r="E607" s="13" t="s">
        <v>2201</v>
      </c>
      <c r="F607" s="13" t="str">
        <f t="shared" ca="1" si="32"/>
        <v>62세</v>
      </c>
      <c r="G607" s="14" t="s">
        <v>2202</v>
      </c>
      <c r="H607" s="15" t="str">
        <f t="shared" si="33"/>
        <v>남</v>
      </c>
      <c r="I607" s="16" t="s">
        <v>895</v>
      </c>
      <c r="J607" s="16" t="s">
        <v>898</v>
      </c>
      <c r="K607" s="17">
        <v>6900000</v>
      </c>
      <c r="L607" s="18" t="s">
        <v>2203</v>
      </c>
      <c r="M607" s="19" t="s">
        <v>920</v>
      </c>
      <c r="N607" s="19" t="s">
        <v>3418</v>
      </c>
      <c r="O607" s="20">
        <v>38</v>
      </c>
      <c r="P607" s="23" t="s">
        <v>24</v>
      </c>
      <c r="Q607" s="21" t="str">
        <f>VLOOKUP(C607,'2-1. 인사고과표(기능)'!B:AS,44,0)</f>
        <v>C</v>
      </c>
      <c r="R607" s="21" t="str">
        <f>VLOOKUP(C607,'2-2. 인사고과표(안전)'!B:AO,40,0)</f>
        <v>A</v>
      </c>
      <c r="S607" s="18" t="s">
        <v>2675</v>
      </c>
      <c r="T607" s="19"/>
      <c r="U607" s="19"/>
      <c r="V607" s="19"/>
      <c r="W607" s="19"/>
      <c r="X607" s="22"/>
      <c r="Y607" s="23"/>
      <c r="Z607" s="19"/>
      <c r="AA607" s="19" t="s">
        <v>2563</v>
      </c>
      <c r="AB607" s="22" t="s">
        <v>2713</v>
      </c>
      <c r="AC607" s="19" t="s">
        <v>2714</v>
      </c>
      <c r="AD607" s="23" t="s">
        <v>25</v>
      </c>
      <c r="AE607" s="24"/>
    </row>
    <row r="608" spans="2:31" ht="39.950000000000003" customHeight="1" x14ac:dyDescent="0.3">
      <c r="B608" s="107">
        <v>25038</v>
      </c>
      <c r="C608" s="12">
        <f t="shared" si="31"/>
        <v>603</v>
      </c>
      <c r="D608" s="105" t="str">
        <f>IFERROR(" "&amp;VLOOKUP(B608,현장리스트!$B:$C,2,0),"-")</f>
        <v xml:space="preserve"> [6.현대엔지니어링] AutoLand 화성 기아 LW 프로젝트 일반전기공사(도장)</v>
      </c>
      <c r="E608" s="13" t="s">
        <v>1951</v>
      </c>
      <c r="F608" s="13" t="str">
        <f t="shared" ca="1" si="32"/>
        <v>63세</v>
      </c>
      <c r="G608" s="14" t="s">
        <v>1952</v>
      </c>
      <c r="H608" s="15" t="str">
        <f t="shared" si="33"/>
        <v>남</v>
      </c>
      <c r="I608" s="16" t="s">
        <v>899</v>
      </c>
      <c r="J608" s="16" t="s">
        <v>903</v>
      </c>
      <c r="K608" s="17">
        <v>5700000</v>
      </c>
      <c r="L608" s="18" t="s">
        <v>1953</v>
      </c>
      <c r="M608" s="19" t="s">
        <v>914</v>
      </c>
      <c r="N608" s="19" t="s">
        <v>2626</v>
      </c>
      <c r="O608" s="20">
        <v>30</v>
      </c>
      <c r="P608" s="23" t="s">
        <v>25</v>
      </c>
      <c r="Q608" s="21" t="str">
        <f>VLOOKUP(C608,'2-1. 인사고과표(기능)'!B:AS,44,0)</f>
        <v>C</v>
      </c>
      <c r="R608" s="21" t="str">
        <f>VLOOKUP(C608,'2-2. 인사고과표(안전)'!B:AO,40,0)</f>
        <v>A</v>
      </c>
      <c r="S608" s="18"/>
      <c r="T608" s="19"/>
      <c r="U608" s="19"/>
      <c r="V608" s="19"/>
      <c r="W608" s="19"/>
      <c r="X608" s="22"/>
      <c r="Y608" s="23"/>
      <c r="Z608" s="19"/>
      <c r="AA608" s="19" t="s">
        <v>497</v>
      </c>
      <c r="AB608" s="22" t="s">
        <v>2715</v>
      </c>
      <c r="AC608" s="19" t="s">
        <v>2682</v>
      </c>
      <c r="AD608" s="23" t="s">
        <v>25</v>
      </c>
      <c r="AE608" s="24"/>
    </row>
    <row r="609" spans="2:31" ht="39.950000000000003" customHeight="1" x14ac:dyDescent="0.3">
      <c r="B609" s="107">
        <v>25038</v>
      </c>
      <c r="C609" s="12">
        <f t="shared" si="31"/>
        <v>604</v>
      </c>
      <c r="D609" s="105" t="str">
        <f>IFERROR(" "&amp;VLOOKUP(B609,현장리스트!$B:$C,2,0),"-")</f>
        <v xml:space="preserve"> [6.현대엔지니어링] AutoLand 화성 기아 LW 프로젝트 일반전기공사(도장)</v>
      </c>
      <c r="E609" s="13" t="s">
        <v>1750</v>
      </c>
      <c r="F609" s="13" t="str">
        <f t="shared" ca="1" si="32"/>
        <v>51세</v>
      </c>
      <c r="G609" s="14" t="s">
        <v>1751</v>
      </c>
      <c r="H609" s="15" t="str">
        <f t="shared" si="33"/>
        <v>남</v>
      </c>
      <c r="I609" s="16" t="s">
        <v>899</v>
      </c>
      <c r="J609" s="16" t="s">
        <v>903</v>
      </c>
      <c r="K609" s="17">
        <v>5070000</v>
      </c>
      <c r="L609" s="18" t="s">
        <v>1752</v>
      </c>
      <c r="M609" s="19" t="s">
        <v>914</v>
      </c>
      <c r="N609" s="19" t="s">
        <v>2606</v>
      </c>
      <c r="O609" s="20">
        <v>27</v>
      </c>
      <c r="P609" s="23" t="s">
        <v>24</v>
      </c>
      <c r="Q609" s="21" t="str">
        <f>VLOOKUP(C609,'2-1. 인사고과표(기능)'!B:AS,44,0)</f>
        <v>B</v>
      </c>
      <c r="R609" s="21" t="str">
        <f>VLOOKUP(C609,'2-2. 인사고과표(안전)'!B:AO,40,0)</f>
        <v>A</v>
      </c>
      <c r="S609" s="18"/>
      <c r="T609" s="19"/>
      <c r="U609" s="19"/>
      <c r="V609" s="19"/>
      <c r="W609" s="19"/>
      <c r="X609" s="22"/>
      <c r="Y609" s="23"/>
      <c r="Z609" s="19"/>
      <c r="AA609" s="19" t="s">
        <v>2563</v>
      </c>
      <c r="AB609" s="22" t="s">
        <v>2713</v>
      </c>
      <c r="AC609" s="19" t="s">
        <v>2714</v>
      </c>
      <c r="AD609" s="23" t="s">
        <v>25</v>
      </c>
      <c r="AE609" s="24"/>
    </row>
    <row r="610" spans="2:31" ht="39.950000000000003" customHeight="1" x14ac:dyDescent="0.3">
      <c r="B610" s="107">
        <v>25038</v>
      </c>
      <c r="C610" s="12">
        <f t="shared" si="31"/>
        <v>605</v>
      </c>
      <c r="D610" s="105" t="str">
        <f>IFERROR(" "&amp;VLOOKUP(B610,현장리스트!$B:$C,2,0),"-")</f>
        <v xml:space="preserve"> [6.현대엔지니어링] AutoLand 화성 기아 LW 프로젝트 일반전기공사(도장)</v>
      </c>
      <c r="E610" s="13" t="s">
        <v>1115</v>
      </c>
      <c r="F610" s="13" t="str">
        <f t="shared" ca="1" si="32"/>
        <v>46세</v>
      </c>
      <c r="G610" s="14" t="s">
        <v>1116</v>
      </c>
      <c r="H610" s="15" t="str">
        <f t="shared" si="33"/>
        <v>남</v>
      </c>
      <c r="I610" s="16" t="s">
        <v>897</v>
      </c>
      <c r="J610" s="16" t="s">
        <v>903</v>
      </c>
      <c r="K610" s="17">
        <v>5000000</v>
      </c>
      <c r="L610" s="18" t="s">
        <v>1117</v>
      </c>
      <c r="M610" s="19" t="s">
        <v>2692</v>
      </c>
      <c r="N610" s="19" t="s">
        <v>3412</v>
      </c>
      <c r="O610" s="20">
        <v>20</v>
      </c>
      <c r="P610" s="23" t="s">
        <v>25</v>
      </c>
      <c r="Q610" s="21" t="str">
        <f>VLOOKUP(C610,'2-1. 인사고과표(기능)'!B:AS,44,0)</f>
        <v>A</v>
      </c>
      <c r="R610" s="21" t="str">
        <f>VLOOKUP(C610,'2-2. 인사고과표(안전)'!B:AO,40,0)</f>
        <v>B</v>
      </c>
      <c r="S610" s="18"/>
      <c r="T610" s="19"/>
      <c r="U610" s="19"/>
      <c r="V610" s="19"/>
      <c r="W610" s="19"/>
      <c r="X610" s="22"/>
      <c r="Y610" s="23"/>
      <c r="Z610" s="19"/>
      <c r="AA610" s="19" t="s">
        <v>2563</v>
      </c>
      <c r="AB610" s="22" t="s">
        <v>2713</v>
      </c>
      <c r="AC610" s="19" t="s">
        <v>2716</v>
      </c>
      <c r="AD610" s="23" t="s">
        <v>25</v>
      </c>
      <c r="AE610" s="24"/>
    </row>
    <row r="611" spans="2:31" ht="39.950000000000003" customHeight="1" x14ac:dyDescent="0.3">
      <c r="B611" s="107">
        <v>25038</v>
      </c>
      <c r="C611" s="12">
        <f t="shared" si="31"/>
        <v>606</v>
      </c>
      <c r="D611" s="105" t="str">
        <f>IFERROR(" "&amp;VLOOKUP(B611,현장리스트!$B:$C,2,0),"-")</f>
        <v xml:space="preserve"> [6.현대엔지니어링] AutoLand 화성 기아 LW 프로젝트 일반전기공사(도장)</v>
      </c>
      <c r="E611" s="13" t="s">
        <v>1264</v>
      </c>
      <c r="F611" s="13" t="str">
        <f t="shared" ca="1" si="32"/>
        <v>32세</v>
      </c>
      <c r="G611" s="14" t="s">
        <v>1265</v>
      </c>
      <c r="H611" s="15" t="str">
        <f t="shared" si="33"/>
        <v>남</v>
      </c>
      <c r="I611" s="16" t="s">
        <v>895</v>
      </c>
      <c r="J611" s="16" t="s">
        <v>900</v>
      </c>
      <c r="K611" s="17">
        <v>4000000</v>
      </c>
      <c r="L611" s="18" t="s">
        <v>1266</v>
      </c>
      <c r="M611" s="19" t="s">
        <v>914</v>
      </c>
      <c r="N611" s="19" t="s">
        <v>2606</v>
      </c>
      <c r="O611" s="20" t="s">
        <v>2529</v>
      </c>
      <c r="P611" s="23" t="s">
        <v>25</v>
      </c>
      <c r="Q611" s="21" t="str">
        <f>VLOOKUP(C611,'2-1. 인사고과표(기능)'!B:AS,44,0)</f>
        <v>B</v>
      </c>
      <c r="R611" s="21" t="str">
        <f>VLOOKUP(C611,'2-2. 인사고과표(안전)'!B:AO,40,0)</f>
        <v>B</v>
      </c>
      <c r="S611" s="18" t="s">
        <v>31</v>
      </c>
      <c r="T611" s="19"/>
      <c r="U611" s="19"/>
      <c r="V611" s="19"/>
      <c r="W611" s="19"/>
      <c r="X611" s="22"/>
      <c r="Y611" s="23"/>
      <c r="Z611" s="19"/>
      <c r="AA611" s="19" t="s">
        <v>2695</v>
      </c>
      <c r="AB611" s="22" t="s">
        <v>2717</v>
      </c>
      <c r="AC611" s="19" t="s">
        <v>2718</v>
      </c>
      <c r="AD611" s="23" t="s">
        <v>24</v>
      </c>
      <c r="AE611" s="24"/>
    </row>
    <row r="612" spans="2:31" ht="39.950000000000003" customHeight="1" x14ac:dyDescent="0.3">
      <c r="B612" s="107">
        <v>25038</v>
      </c>
      <c r="C612" s="12">
        <f t="shared" si="31"/>
        <v>607</v>
      </c>
      <c r="D612" s="105" t="str">
        <f>IFERROR(" "&amp;VLOOKUP(B612,현장리스트!$B:$C,2,0),"-")</f>
        <v xml:space="preserve"> [6.현대엔지니어링] AutoLand 화성 기아 LW 프로젝트 일반전기공사(도장)</v>
      </c>
      <c r="E612" s="13" t="s">
        <v>2262</v>
      </c>
      <c r="F612" s="13" t="str">
        <f t="shared" ca="1" si="32"/>
        <v>41세</v>
      </c>
      <c r="G612" s="14" t="s">
        <v>2263</v>
      </c>
      <c r="H612" s="15" t="str">
        <f t="shared" si="33"/>
        <v>남</v>
      </c>
      <c r="I612" s="16" t="s">
        <v>901</v>
      </c>
      <c r="J612" s="16" t="s">
        <v>30</v>
      </c>
      <c r="K612" s="17">
        <v>225000</v>
      </c>
      <c r="L612" s="18" t="s">
        <v>2264</v>
      </c>
      <c r="M612" s="19" t="s">
        <v>914</v>
      </c>
      <c r="N612" s="19" t="s">
        <v>2667</v>
      </c>
      <c r="O612" s="20">
        <v>20</v>
      </c>
      <c r="P612" s="23" t="s">
        <v>24</v>
      </c>
      <c r="Q612" s="21" t="str">
        <f>VLOOKUP(C612,'2-1. 인사고과표(기능)'!B:AS,44,0)</f>
        <v>B</v>
      </c>
      <c r="R612" s="21" t="str">
        <f>VLOOKUP(C612,'2-2. 인사고과표(안전)'!B:AO,40,0)</f>
        <v>A</v>
      </c>
      <c r="S612" s="18"/>
      <c r="T612" s="19"/>
      <c r="U612" s="19"/>
      <c r="V612" s="19"/>
      <c r="W612" s="19"/>
      <c r="X612" s="22"/>
      <c r="Y612" s="23"/>
      <c r="Z612" s="19"/>
      <c r="AA612" s="19" t="s">
        <v>2563</v>
      </c>
      <c r="AB612" s="22" t="s">
        <v>2713</v>
      </c>
      <c r="AC612" s="19" t="s">
        <v>2714</v>
      </c>
      <c r="AD612" s="23" t="s">
        <v>25</v>
      </c>
      <c r="AE612" s="24"/>
    </row>
    <row r="613" spans="2:31" ht="39.950000000000003" customHeight="1" x14ac:dyDescent="0.3">
      <c r="B613" s="107">
        <v>25038</v>
      </c>
      <c r="C613" s="12">
        <f t="shared" si="31"/>
        <v>608</v>
      </c>
      <c r="D613" s="105" t="str">
        <f>IFERROR(" "&amp;VLOOKUP(B613,현장리스트!$B:$C,2,0),"-")</f>
        <v xml:space="preserve"> [6.현대엔지니어링] AutoLand 화성 기아 LW 프로젝트 일반전기공사(도장)</v>
      </c>
      <c r="E613" s="13" t="s">
        <v>1521</v>
      </c>
      <c r="F613" s="13" t="str">
        <f t="shared" ca="1" si="32"/>
        <v>46세</v>
      </c>
      <c r="G613" s="14" t="s">
        <v>1522</v>
      </c>
      <c r="H613" s="15" t="str">
        <f t="shared" si="33"/>
        <v>남</v>
      </c>
      <c r="I613" s="16" t="s">
        <v>901</v>
      </c>
      <c r="J613" s="16" t="s">
        <v>30</v>
      </c>
      <c r="K613" s="17">
        <v>215000</v>
      </c>
      <c r="L613" s="18" t="s">
        <v>1523</v>
      </c>
      <c r="M613" s="19" t="s">
        <v>917</v>
      </c>
      <c r="N613" s="19" t="s">
        <v>2712</v>
      </c>
      <c r="O613" s="20" t="s">
        <v>2555</v>
      </c>
      <c r="P613" s="23" t="s">
        <v>24</v>
      </c>
      <c r="Q613" s="21" t="str">
        <f>VLOOKUP(C613,'2-1. 인사고과표(기능)'!B:AS,44,0)</f>
        <v>B</v>
      </c>
      <c r="R613" s="21" t="str">
        <f>VLOOKUP(C613,'2-2. 인사고과표(안전)'!B:AO,40,0)</f>
        <v>B</v>
      </c>
      <c r="S613" s="18"/>
      <c r="T613" s="19"/>
      <c r="U613" s="19"/>
      <c r="V613" s="19"/>
      <c r="W613" s="19"/>
      <c r="X613" s="22"/>
      <c r="Y613" s="23"/>
      <c r="Z613" s="19"/>
      <c r="AA613" s="19" t="s">
        <v>2563</v>
      </c>
      <c r="AB613" s="22" t="s">
        <v>2713</v>
      </c>
      <c r="AC613" s="19" t="s">
        <v>2714</v>
      </c>
      <c r="AD613" s="23" t="s">
        <v>25</v>
      </c>
      <c r="AE613" s="24"/>
    </row>
    <row r="614" spans="2:31" ht="39.950000000000003" customHeight="1" x14ac:dyDescent="0.3">
      <c r="B614" s="107">
        <v>25038</v>
      </c>
      <c r="C614" s="12">
        <f t="shared" si="31"/>
        <v>609</v>
      </c>
      <c r="D614" s="105" t="str">
        <f>IFERROR(" "&amp;VLOOKUP(B614,현장리스트!$B:$C,2,0),"-")</f>
        <v xml:space="preserve"> [6.현대엔지니어링] AutoLand 화성 기아 LW 프로젝트 일반전기공사(도장)</v>
      </c>
      <c r="E614" s="13" t="s">
        <v>1789</v>
      </c>
      <c r="F614" s="13" t="str">
        <f t="shared" ca="1" si="32"/>
        <v>40세</v>
      </c>
      <c r="G614" s="14" t="s">
        <v>1790</v>
      </c>
      <c r="H614" s="15" t="str">
        <f t="shared" si="33"/>
        <v>남</v>
      </c>
      <c r="I614" s="16" t="s">
        <v>901</v>
      </c>
      <c r="J614" s="16" t="s">
        <v>30</v>
      </c>
      <c r="K614" s="17">
        <v>215000</v>
      </c>
      <c r="L614" s="18" t="s">
        <v>1791</v>
      </c>
      <c r="M614" s="19" t="s">
        <v>914</v>
      </c>
      <c r="N614" s="19" t="s">
        <v>2620</v>
      </c>
      <c r="O614" s="20" t="s">
        <v>2672</v>
      </c>
      <c r="P614" s="23" t="s">
        <v>24</v>
      </c>
      <c r="Q614" s="21" t="str">
        <f>VLOOKUP(C614,'2-1. 인사고과표(기능)'!B:AS,44,0)</f>
        <v>B</v>
      </c>
      <c r="R614" s="21" t="str">
        <f>VLOOKUP(C614,'2-2. 인사고과표(안전)'!B:AO,40,0)</f>
        <v>B</v>
      </c>
      <c r="S614" s="18"/>
      <c r="T614" s="19"/>
      <c r="U614" s="19"/>
      <c r="V614" s="19"/>
      <c r="W614" s="19"/>
      <c r="X614" s="22"/>
      <c r="Y614" s="23"/>
      <c r="Z614" s="19"/>
      <c r="AA614" s="19" t="s">
        <v>2563</v>
      </c>
      <c r="AB614" s="22" t="s">
        <v>2713</v>
      </c>
      <c r="AC614" s="19" t="s">
        <v>2714</v>
      </c>
      <c r="AD614" s="23" t="s">
        <v>25</v>
      </c>
      <c r="AE614" s="24"/>
    </row>
    <row r="615" spans="2:31" ht="39.950000000000003" customHeight="1" x14ac:dyDescent="0.3">
      <c r="B615" s="107">
        <v>25038</v>
      </c>
      <c r="C615" s="12">
        <f t="shared" si="31"/>
        <v>610</v>
      </c>
      <c r="D615" s="105" t="str">
        <f>IFERROR(" "&amp;VLOOKUP(B615,현장리스트!$B:$C,2,0),"-")</f>
        <v xml:space="preserve"> [6.현대엔지니어링] AutoLand 화성 기아 LW 프로젝트 일반전기공사(도장)</v>
      </c>
      <c r="E615" s="13" t="s">
        <v>1186</v>
      </c>
      <c r="F615" s="13" t="str">
        <f t="shared" ca="1" si="32"/>
        <v>44세</v>
      </c>
      <c r="G615" s="14" t="s">
        <v>1188</v>
      </c>
      <c r="H615" s="15" t="str">
        <f t="shared" si="33"/>
        <v>남</v>
      </c>
      <c r="I615" s="16" t="s">
        <v>901</v>
      </c>
      <c r="J615" s="16" t="s">
        <v>30</v>
      </c>
      <c r="K615" s="17">
        <v>215000</v>
      </c>
      <c r="L615" s="18" t="s">
        <v>1189</v>
      </c>
      <c r="M615" s="19" t="s">
        <v>917</v>
      </c>
      <c r="N615" s="19" t="s">
        <v>3422</v>
      </c>
      <c r="O615" s="20" t="s">
        <v>921</v>
      </c>
      <c r="P615" s="23" t="s">
        <v>24</v>
      </c>
      <c r="Q615" s="21" t="str">
        <f>VLOOKUP(C615,'2-1. 인사고과표(기능)'!B:AS,44,0)</f>
        <v>C</v>
      </c>
      <c r="R615" s="21" t="str">
        <f>VLOOKUP(C615,'2-2. 인사고과표(안전)'!B:AO,40,0)</f>
        <v>B</v>
      </c>
      <c r="S615" s="18"/>
      <c r="T615" s="19"/>
      <c r="U615" s="19"/>
      <c r="V615" s="19"/>
      <c r="W615" s="19"/>
      <c r="X615" s="22"/>
      <c r="Y615" s="23"/>
      <c r="Z615" s="19"/>
      <c r="AA615" s="19" t="s">
        <v>2563</v>
      </c>
      <c r="AB615" s="22" t="s">
        <v>2713</v>
      </c>
      <c r="AC615" s="19" t="s">
        <v>2714</v>
      </c>
      <c r="AD615" s="23" t="s">
        <v>25</v>
      </c>
      <c r="AE615" s="24"/>
    </row>
    <row r="616" spans="2:31" ht="39.950000000000003" customHeight="1" thickBot="1" x14ac:dyDescent="0.35">
      <c r="B616" s="107">
        <v>25038</v>
      </c>
      <c r="C616" s="35">
        <f t="shared" si="31"/>
        <v>611</v>
      </c>
      <c r="D616" s="106" t="str">
        <f>IFERROR(" "&amp;VLOOKUP(B616,현장리스트!$B:$C,2,0),"-")</f>
        <v xml:space="preserve"> [6.현대엔지니어링] AutoLand 화성 기아 LW 프로젝트 일반전기공사(도장)</v>
      </c>
      <c r="E616" s="36" t="s">
        <v>1339</v>
      </c>
      <c r="F616" s="36" t="str">
        <f t="shared" ca="1" si="32"/>
        <v>52세</v>
      </c>
      <c r="G616" s="37" t="s">
        <v>1340</v>
      </c>
      <c r="H616" s="38" t="str">
        <f t="shared" si="33"/>
        <v>여</v>
      </c>
      <c r="I616" s="39" t="s">
        <v>901</v>
      </c>
      <c r="J616" s="39" t="s">
        <v>902</v>
      </c>
      <c r="K616" s="40">
        <v>160000</v>
      </c>
      <c r="L616" s="41" t="s">
        <v>1341</v>
      </c>
      <c r="M616" s="42" t="s">
        <v>914</v>
      </c>
      <c r="N616" s="42" t="s">
        <v>2667</v>
      </c>
      <c r="O616" s="43" t="s">
        <v>921</v>
      </c>
      <c r="P616" s="44" t="s">
        <v>24</v>
      </c>
      <c r="Q616" s="45" t="str">
        <f>VLOOKUP(C616,'2-1. 인사고과표(기능)'!B:AS,44,0)</f>
        <v>A</v>
      </c>
      <c r="R616" s="45" t="str">
        <f>VLOOKUP(C616,'2-2. 인사고과표(안전)'!B:AO,40,0)</f>
        <v>A</v>
      </c>
      <c r="S616" s="41"/>
      <c r="T616" s="42"/>
      <c r="U616" s="42"/>
      <c r="V616" s="42"/>
      <c r="W616" s="42"/>
      <c r="X616" s="46"/>
      <c r="Y616" s="44"/>
      <c r="Z616" s="42"/>
      <c r="AA616" s="42" t="s">
        <v>813</v>
      </c>
      <c r="AB616" s="46" t="s">
        <v>2719</v>
      </c>
      <c r="AC616" s="42" t="s">
        <v>2682</v>
      </c>
      <c r="AD616" s="44" t="s">
        <v>25</v>
      </c>
      <c r="AE616" s="47"/>
    </row>
    <row r="617" spans="2:31" ht="35.1" customHeight="1" x14ac:dyDescent="0.3">
      <c r="K617" s="124">
        <f>SUBTOTAL(101,K6:K616)</f>
        <v>1246771.3293515358</v>
      </c>
    </row>
  </sheetData>
  <autoFilter ref="B5:AE616" xr:uid="{5C6D892F-A254-41E8-8908-1F00B846122C}">
    <sortState xmlns:xlrd2="http://schemas.microsoft.com/office/spreadsheetml/2017/richdata2" ref="B6:AE616">
      <sortCondition ref="D5:D616"/>
    </sortState>
  </autoFilter>
  <mergeCells count="14">
    <mergeCell ref="K3:K4"/>
    <mergeCell ref="P3:P4"/>
    <mergeCell ref="C3:C4"/>
    <mergeCell ref="E3:E4"/>
    <mergeCell ref="G3:G4"/>
    <mergeCell ref="I3:I4"/>
    <mergeCell ref="J3:J4"/>
    <mergeCell ref="L3:L4"/>
    <mergeCell ref="N3:N4"/>
    <mergeCell ref="O3:O4"/>
    <mergeCell ref="M3:M4"/>
    <mergeCell ref="H3:H4"/>
    <mergeCell ref="F3:F4"/>
    <mergeCell ref="D3:D4"/>
  </mergeCells>
  <phoneticPr fontId="4" type="noConversion"/>
  <conditionalFormatting sqref="C6:AE502">
    <cfRule type="expression" dxfId="37" priority="2">
      <formula>TEXT($D6,0)=TEXT($D7,0)=FALSE</formula>
    </cfRule>
  </conditionalFormatting>
  <conditionalFormatting sqref="C503:AE503">
    <cfRule type="expression" dxfId="36" priority="939">
      <formula>TEXT($D503,0)=TEXT($D557,0)=FALSE</formula>
    </cfRule>
  </conditionalFormatting>
  <conditionalFormatting sqref="C504:AE616">
    <cfRule type="expression" dxfId="35" priority="1">
      <formula>TEXT($D504,0)=TEXT($D505,0)=FALSE</formula>
    </cfRule>
  </conditionalFormatting>
  <conditionalFormatting sqref="G6:AE9 G10:N11 H12:N14 G12:G27 G28:AE616">
    <cfRule type="cellIs" dxfId="34" priority="17" operator="lessThan">
      <formula>0</formula>
    </cfRule>
  </conditionalFormatting>
  <conditionalFormatting sqref="H6:H616">
    <cfRule type="cellIs" dxfId="33" priority="21" operator="equal">
      <formula>"에러"</formula>
    </cfRule>
  </conditionalFormatting>
  <conditionalFormatting sqref="H15:AE27">
    <cfRule type="cellIs" dxfId="32" priority="3" operator="lessThan">
      <formula>0</formula>
    </cfRule>
  </conditionalFormatting>
  <conditionalFormatting sqref="O10:AE14">
    <cfRule type="cellIs" dxfId="31" priority="4" operator="lessThan">
      <formula>0</formula>
    </cfRule>
  </conditionalFormatting>
  <printOptions horizontalCentered="1"/>
  <pageMargins left="0.19685039370078741" right="0.19685039370078741" top="0.59055118110236227" bottom="0.39370078740157483" header="0.31496062992125984" footer="0.31496062992125984"/>
  <pageSetup paperSize="8" scale="2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8ABC-4D4B-4DCB-B5FA-ED6A97E8BA81}">
  <dimension ref="I40:L40"/>
  <sheetViews>
    <sheetView workbookViewId="0">
      <selection activeCell="K38" sqref="K38"/>
    </sheetView>
  </sheetViews>
  <sheetFormatPr defaultRowHeight="16.5" x14ac:dyDescent="0.3"/>
  <sheetData>
    <row r="40" spans="9:12" x14ac:dyDescent="0.3">
      <c r="I40" s="133"/>
      <c r="L40" s="132"/>
    </row>
  </sheetData>
  <phoneticPr fontId="4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9560-9ED4-4313-A89D-E82763C21AEC}">
  <sheetPr>
    <tabColor theme="6" tint="0.79998168889431442"/>
    <pageSetUpPr fitToPage="1"/>
  </sheetPr>
  <dimension ref="A1:CE644"/>
  <sheetViews>
    <sheetView view="pageBreakPreview" topLeftCell="A58" zoomScale="40" zoomScaleNormal="100" zoomScaleSheetLayoutView="40" workbookViewId="0">
      <selection activeCell="CF26" sqref="CF26"/>
    </sheetView>
  </sheetViews>
  <sheetFormatPr defaultRowHeight="24.95" customHeight="1" x14ac:dyDescent="0.3"/>
  <cols>
    <col min="1" max="2" width="9" style="49"/>
    <col min="3" max="3" width="60.625" style="49" customWidth="1"/>
    <col min="4" max="7" width="10.625" style="49" customWidth="1"/>
    <col min="8" max="43" width="9" style="49"/>
    <col min="44" max="45" width="12.625" style="49" customWidth="1"/>
    <col min="46" max="47" width="9" style="49"/>
    <col min="48" max="78" width="9" style="49" hidden="1" customWidth="1"/>
    <col min="79" max="79" width="9.375" style="49" hidden="1" customWidth="1"/>
    <col min="80" max="82" width="9" style="49" hidden="1" customWidth="1"/>
    <col min="83" max="83" width="9.375" style="49" hidden="1" customWidth="1"/>
    <col min="84" max="16384" width="9" style="49"/>
  </cols>
  <sheetData>
    <row r="1" spans="1:83" ht="75" customHeight="1" thickBot="1" x14ac:dyDescent="0.35">
      <c r="B1" s="48" t="s">
        <v>82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</row>
    <row r="2" spans="1:83" ht="35.1" customHeight="1" x14ac:dyDescent="0.3">
      <c r="B2" s="144" t="s">
        <v>55</v>
      </c>
      <c r="C2" s="166" t="s">
        <v>13</v>
      </c>
      <c r="D2" s="147" t="s">
        <v>35</v>
      </c>
      <c r="E2" s="147" t="s">
        <v>36</v>
      </c>
      <c r="F2" s="147" t="s">
        <v>37</v>
      </c>
      <c r="G2" s="150" t="s">
        <v>38</v>
      </c>
      <c r="H2" s="50" t="s">
        <v>39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2"/>
      <c r="X2" s="50" t="s">
        <v>47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2"/>
      <c r="AJ2" s="53" t="s">
        <v>53</v>
      </c>
      <c r="AK2" s="51"/>
      <c r="AL2" s="51"/>
      <c r="AM2" s="51"/>
      <c r="AN2" s="51"/>
      <c r="AO2" s="51"/>
      <c r="AP2" s="51"/>
      <c r="AQ2" s="52"/>
      <c r="AR2" s="153" t="s">
        <v>56</v>
      </c>
      <c r="AS2" s="142" t="s">
        <v>57</v>
      </c>
    </row>
    <row r="3" spans="1:83" ht="35.1" customHeight="1" x14ac:dyDescent="0.3">
      <c r="B3" s="145"/>
      <c r="C3" s="167"/>
      <c r="D3" s="148"/>
      <c r="E3" s="148"/>
      <c r="F3" s="148"/>
      <c r="G3" s="151"/>
      <c r="H3" s="57" t="s">
        <v>54</v>
      </c>
      <c r="I3" s="58"/>
      <c r="J3" s="58"/>
      <c r="K3" s="59"/>
      <c r="L3" s="57" t="s">
        <v>44</v>
      </c>
      <c r="M3" s="58"/>
      <c r="N3" s="58"/>
      <c r="O3" s="59"/>
      <c r="P3" s="57" t="s">
        <v>45</v>
      </c>
      <c r="Q3" s="58"/>
      <c r="R3" s="58"/>
      <c r="S3" s="59"/>
      <c r="T3" s="57" t="s">
        <v>46</v>
      </c>
      <c r="U3" s="58"/>
      <c r="V3" s="58"/>
      <c r="W3" s="59"/>
      <c r="X3" s="57" t="s">
        <v>48</v>
      </c>
      <c r="Y3" s="58"/>
      <c r="Z3" s="58"/>
      <c r="AA3" s="59"/>
      <c r="AB3" s="57" t="s">
        <v>49</v>
      </c>
      <c r="AC3" s="58"/>
      <c r="AD3" s="58"/>
      <c r="AE3" s="59"/>
      <c r="AF3" s="57" t="s">
        <v>50</v>
      </c>
      <c r="AG3" s="58"/>
      <c r="AH3" s="58"/>
      <c r="AI3" s="59"/>
      <c r="AJ3" s="57" t="s">
        <v>51</v>
      </c>
      <c r="AK3" s="58"/>
      <c r="AL3" s="58"/>
      <c r="AM3" s="59"/>
      <c r="AN3" s="58" t="s">
        <v>52</v>
      </c>
      <c r="AO3" s="58"/>
      <c r="AP3" s="58"/>
      <c r="AQ3" s="59"/>
      <c r="AR3" s="154"/>
      <c r="AS3" s="143"/>
    </row>
    <row r="4" spans="1:83" ht="35.1" customHeight="1" x14ac:dyDescent="0.3">
      <c r="B4" s="146"/>
      <c r="C4" s="167"/>
      <c r="D4" s="149"/>
      <c r="E4" s="149"/>
      <c r="F4" s="149"/>
      <c r="G4" s="152"/>
      <c r="H4" s="54" t="s">
        <v>40</v>
      </c>
      <c r="I4" s="55" t="s">
        <v>41</v>
      </c>
      <c r="J4" s="55" t="s">
        <v>42</v>
      </c>
      <c r="K4" s="56" t="s">
        <v>43</v>
      </c>
      <c r="L4" s="54" t="s">
        <v>40</v>
      </c>
      <c r="M4" s="55" t="s">
        <v>41</v>
      </c>
      <c r="N4" s="55" t="s">
        <v>42</v>
      </c>
      <c r="O4" s="56" t="s">
        <v>43</v>
      </c>
      <c r="P4" s="54" t="s">
        <v>40</v>
      </c>
      <c r="Q4" s="55" t="s">
        <v>41</v>
      </c>
      <c r="R4" s="55" t="s">
        <v>42</v>
      </c>
      <c r="S4" s="56" t="s">
        <v>43</v>
      </c>
      <c r="T4" s="54" t="s">
        <v>40</v>
      </c>
      <c r="U4" s="55" t="s">
        <v>41</v>
      </c>
      <c r="V4" s="55" t="s">
        <v>42</v>
      </c>
      <c r="W4" s="56" t="s">
        <v>43</v>
      </c>
      <c r="X4" s="54" t="s">
        <v>40</v>
      </c>
      <c r="Y4" s="55" t="s">
        <v>41</v>
      </c>
      <c r="Z4" s="55" t="s">
        <v>42</v>
      </c>
      <c r="AA4" s="56" t="s">
        <v>43</v>
      </c>
      <c r="AB4" s="54" t="s">
        <v>40</v>
      </c>
      <c r="AC4" s="55" t="s">
        <v>41</v>
      </c>
      <c r="AD4" s="55" t="s">
        <v>42</v>
      </c>
      <c r="AE4" s="56" t="s">
        <v>43</v>
      </c>
      <c r="AF4" s="54" t="s">
        <v>40</v>
      </c>
      <c r="AG4" s="55" t="s">
        <v>41</v>
      </c>
      <c r="AH4" s="55" t="s">
        <v>42</v>
      </c>
      <c r="AI4" s="56" t="s">
        <v>43</v>
      </c>
      <c r="AJ4" s="54" t="s">
        <v>40</v>
      </c>
      <c r="AK4" s="55" t="s">
        <v>41</v>
      </c>
      <c r="AL4" s="55" t="s">
        <v>42</v>
      </c>
      <c r="AM4" s="56" t="s">
        <v>43</v>
      </c>
      <c r="AN4" s="55" t="s">
        <v>40</v>
      </c>
      <c r="AO4" s="55" t="s">
        <v>41</v>
      </c>
      <c r="AP4" s="55" t="s">
        <v>42</v>
      </c>
      <c r="AQ4" s="56" t="s">
        <v>43</v>
      </c>
      <c r="AR4" s="154"/>
      <c r="AS4" s="143"/>
    </row>
    <row r="5" spans="1:83" ht="35.1" customHeight="1" x14ac:dyDescent="0.3">
      <c r="B5" s="163"/>
      <c r="C5" s="168"/>
      <c r="D5" s="164"/>
      <c r="E5" s="164"/>
      <c r="F5" s="164"/>
      <c r="G5" s="165"/>
      <c r="H5" s="112">
        <v>12</v>
      </c>
      <c r="I5" s="113">
        <v>9</v>
      </c>
      <c r="J5" s="113">
        <v>6</v>
      </c>
      <c r="K5" s="114">
        <v>3</v>
      </c>
      <c r="L5" s="112">
        <v>12</v>
      </c>
      <c r="M5" s="113">
        <v>9</v>
      </c>
      <c r="N5" s="113">
        <v>6</v>
      </c>
      <c r="O5" s="114">
        <v>3</v>
      </c>
      <c r="P5" s="112">
        <v>12</v>
      </c>
      <c r="Q5" s="113">
        <v>9</v>
      </c>
      <c r="R5" s="113">
        <v>6</v>
      </c>
      <c r="S5" s="114">
        <v>3</v>
      </c>
      <c r="T5" s="112">
        <v>10</v>
      </c>
      <c r="U5" s="113">
        <v>8</v>
      </c>
      <c r="V5" s="113">
        <v>6</v>
      </c>
      <c r="W5" s="114">
        <v>4</v>
      </c>
      <c r="X5" s="112">
        <v>10</v>
      </c>
      <c r="Y5" s="113">
        <v>8</v>
      </c>
      <c r="Z5" s="113">
        <v>6</v>
      </c>
      <c r="AA5" s="114">
        <v>4</v>
      </c>
      <c r="AB5" s="112">
        <v>10</v>
      </c>
      <c r="AC5" s="113">
        <v>8</v>
      </c>
      <c r="AD5" s="113">
        <v>6</v>
      </c>
      <c r="AE5" s="114">
        <v>4</v>
      </c>
      <c r="AF5" s="112">
        <v>10</v>
      </c>
      <c r="AG5" s="113">
        <v>8</v>
      </c>
      <c r="AH5" s="113">
        <v>6</v>
      </c>
      <c r="AI5" s="114">
        <v>4</v>
      </c>
      <c r="AJ5" s="112">
        <v>12</v>
      </c>
      <c r="AK5" s="113">
        <v>9</v>
      </c>
      <c r="AL5" s="113">
        <v>6</v>
      </c>
      <c r="AM5" s="114">
        <v>3</v>
      </c>
      <c r="AN5" s="113">
        <v>12</v>
      </c>
      <c r="AO5" s="113">
        <v>9</v>
      </c>
      <c r="AP5" s="113">
        <v>6</v>
      </c>
      <c r="AQ5" s="114">
        <v>3</v>
      </c>
      <c r="AR5" s="154"/>
      <c r="AS5" s="143"/>
    </row>
    <row r="6" spans="1:83" ht="35.1" customHeight="1" thickBot="1" x14ac:dyDescent="0.35">
      <c r="B6" s="60"/>
      <c r="C6" s="118"/>
      <c r="D6" s="61"/>
      <c r="E6" s="61"/>
      <c r="F6" s="61"/>
      <c r="G6" s="117"/>
      <c r="H6" s="60"/>
      <c r="I6" s="61"/>
      <c r="J6" s="61"/>
      <c r="K6" s="62"/>
      <c r="L6" s="60"/>
      <c r="M6" s="61"/>
      <c r="N6" s="61"/>
      <c r="O6" s="62"/>
      <c r="P6" s="60"/>
      <c r="Q6" s="61"/>
      <c r="R6" s="61"/>
      <c r="S6" s="62"/>
      <c r="T6" s="60"/>
      <c r="U6" s="61"/>
      <c r="V6" s="61"/>
      <c r="W6" s="62"/>
      <c r="X6" s="60"/>
      <c r="Y6" s="61"/>
      <c r="Z6" s="61"/>
      <c r="AA6" s="62"/>
      <c r="AB6" s="60"/>
      <c r="AC6" s="61"/>
      <c r="AD6" s="61"/>
      <c r="AE6" s="62"/>
      <c r="AF6" s="60"/>
      <c r="AG6" s="61"/>
      <c r="AH6" s="61"/>
      <c r="AI6" s="62"/>
      <c r="AJ6" s="60"/>
      <c r="AK6" s="61"/>
      <c r="AL6" s="61"/>
      <c r="AM6" s="62"/>
      <c r="AN6" s="61"/>
      <c r="AO6" s="61"/>
      <c r="AP6" s="61"/>
      <c r="AQ6" s="62"/>
      <c r="AR6" s="60"/>
      <c r="AS6" s="62"/>
    </row>
    <row r="7" spans="1:83" ht="35.1" customHeight="1" thickTop="1" x14ac:dyDescent="0.3">
      <c r="A7" s="123" t="str">
        <f t="shared" ref="A7:A70" si="0">MID(C7,3,1)&amp;"팀"</f>
        <v>1팀</v>
      </c>
      <c r="B7" s="115">
        <f t="shared" ref="B7:B70" si="1">ROW()-6</f>
        <v>1</v>
      </c>
      <c r="C7" s="119" t="str">
        <f>IF(VLOOKUP($B7,'1. 현장별 인원현황'!$C:$J,2,0)=0,"",VLOOKUP($B7,'1. 현장별 인원현황'!$C:$J,2,0))</f>
        <v xml:space="preserve"> [1.DL건설] 전도관구역 주택재개발 정비사업조합(01공구)</v>
      </c>
      <c r="D7" s="116" t="str">
        <f>IF(VLOOKUP($B7,'1. 현장별 인원현황'!$C:$J,3,0)=0,"",VLOOKUP($B7,'1. 현장별 인원현황'!$C:$J,3,0))</f>
        <v>강민</v>
      </c>
      <c r="E7" s="63" t="str">
        <f ca="1">IF(VLOOKUP($B7,'1. 현장별 인원현황'!$C:$J,4,0)=0,"",VLOOKUP($B7,'1. 현장별 인원현황'!$C:$J,4,0))</f>
        <v>37세</v>
      </c>
      <c r="F7" s="63" t="str">
        <f>IF(VLOOKUP($B7,'1. 현장별 인원현황'!$C:$J,7,0)=0,"",VLOOKUP($B7,'1. 현장별 인원현황'!$C:$J,7,0))</f>
        <v>공무</v>
      </c>
      <c r="G7" s="63" t="str">
        <f>IF(VLOOKUP($B7,'1. 현장별 인원현황'!$C:$J,8,0)=0,"",VLOOKUP($B7,'1. 현장별 인원현황'!$C:$J,8,0))</f>
        <v>과장</v>
      </c>
      <c r="H7" s="64" t="s">
        <v>69</v>
      </c>
      <c r="I7" s="65"/>
      <c r="J7" s="65"/>
      <c r="K7" s="66"/>
      <c r="L7" s="64" t="s">
        <v>69</v>
      </c>
      <c r="M7" s="65"/>
      <c r="N7" s="65"/>
      <c r="O7" s="66"/>
      <c r="P7" s="64" t="s">
        <v>69</v>
      </c>
      <c r="Q7" s="65"/>
      <c r="R7" s="65"/>
      <c r="S7" s="66"/>
      <c r="T7" s="64" t="s">
        <v>69</v>
      </c>
      <c r="U7" s="65"/>
      <c r="V7" s="65"/>
      <c r="W7" s="66"/>
      <c r="X7" s="64" t="s">
        <v>69</v>
      </c>
      <c r="Y7" s="65"/>
      <c r="Z7" s="65"/>
      <c r="AA7" s="66"/>
      <c r="AB7" s="64" t="s">
        <v>69</v>
      </c>
      <c r="AC7" s="65"/>
      <c r="AD7" s="65"/>
      <c r="AE7" s="66"/>
      <c r="AF7" s="64" t="s">
        <v>69</v>
      </c>
      <c r="AG7" s="65"/>
      <c r="AH7" s="65"/>
      <c r="AI7" s="66"/>
      <c r="AJ7" s="64" t="s">
        <v>69</v>
      </c>
      <c r="AK7" s="65"/>
      <c r="AL7" s="65"/>
      <c r="AM7" s="66"/>
      <c r="AN7" s="65" t="s">
        <v>69</v>
      </c>
      <c r="AO7" s="65"/>
      <c r="AP7" s="65"/>
      <c r="AQ7" s="66"/>
      <c r="AR7" s="64">
        <f t="shared" ref="AR7:AR70" si="2">SUMPRODUCT($H$5:$AQ$5,AV7:CE7)</f>
        <v>100</v>
      </c>
      <c r="AS7" s="66" t="str">
        <f t="shared" ref="AS7:AS70" si="3">IF(AR7&gt;85,"S",IF(AR7&gt;70,"A",IF(AR7&gt;50,"B",IF(AR7&gt;0,"C",""))))</f>
        <v>S</v>
      </c>
      <c r="AV7" s="49">
        <f>IF(H7&gt;0,1,0)</f>
        <v>1</v>
      </c>
      <c r="AW7" s="49">
        <f t="shared" ref="AW7:AW70" si="4">IF(I7&gt;0,1,0)</f>
        <v>0</v>
      </c>
      <c r="AX7" s="49">
        <f t="shared" ref="AX7:AX70" si="5">IF(J7&gt;0,1,0)</f>
        <v>0</v>
      </c>
      <c r="AY7" s="49">
        <f t="shared" ref="AY7:AY70" si="6">IF(K7&gt;0,1,0)</f>
        <v>0</v>
      </c>
      <c r="AZ7" s="49">
        <f t="shared" ref="AZ7:AZ70" si="7">IF(L7&gt;0,1,0)</f>
        <v>1</v>
      </c>
      <c r="BA7" s="49">
        <f t="shared" ref="BA7:BA70" si="8">IF(M7&gt;0,1,0)</f>
        <v>0</v>
      </c>
      <c r="BB7" s="49">
        <f t="shared" ref="BB7:BB70" si="9">IF(N7&gt;0,1,0)</f>
        <v>0</v>
      </c>
      <c r="BC7" s="49">
        <f t="shared" ref="BC7:BC70" si="10">IF(O7&gt;0,1,0)</f>
        <v>0</v>
      </c>
      <c r="BD7" s="49">
        <f t="shared" ref="BD7:BD70" si="11">IF(P7&gt;0,1,0)</f>
        <v>1</v>
      </c>
      <c r="BE7" s="49">
        <f t="shared" ref="BE7:BE70" si="12">IF(Q7&gt;0,1,0)</f>
        <v>0</v>
      </c>
      <c r="BF7" s="49">
        <f t="shared" ref="BF7:BF70" si="13">IF(R7&gt;0,1,0)</f>
        <v>0</v>
      </c>
      <c r="BG7" s="49">
        <f t="shared" ref="BG7:BG70" si="14">IF(S7&gt;0,1,0)</f>
        <v>0</v>
      </c>
      <c r="BH7" s="49">
        <f t="shared" ref="BH7:BH70" si="15">IF(T7&gt;0,1,0)</f>
        <v>1</v>
      </c>
      <c r="BI7" s="49">
        <f t="shared" ref="BI7:BI70" si="16">IF(U7&gt;0,1,0)</f>
        <v>0</v>
      </c>
      <c r="BJ7" s="49">
        <f t="shared" ref="BJ7:BJ70" si="17">IF(V7&gt;0,1,0)</f>
        <v>0</v>
      </c>
      <c r="BK7" s="49">
        <f t="shared" ref="BK7:BK70" si="18">IF(W7&gt;0,1,0)</f>
        <v>0</v>
      </c>
      <c r="BL7" s="49">
        <f t="shared" ref="BL7:BL70" si="19">IF(X7&gt;0,1,0)</f>
        <v>1</v>
      </c>
      <c r="BM7" s="49">
        <f t="shared" ref="BM7:BM70" si="20">IF(Y7&gt;0,1,0)</f>
        <v>0</v>
      </c>
      <c r="BN7" s="49">
        <f t="shared" ref="BN7:BN70" si="21">IF(Z7&gt;0,1,0)</f>
        <v>0</v>
      </c>
      <c r="BO7" s="49">
        <f t="shared" ref="BO7:BO70" si="22">IF(AA7&gt;0,1,0)</f>
        <v>0</v>
      </c>
      <c r="BP7" s="49">
        <f t="shared" ref="BP7:BP70" si="23">IF(AB7&gt;0,1,0)</f>
        <v>1</v>
      </c>
      <c r="BQ7" s="49">
        <f t="shared" ref="BQ7:BQ70" si="24">IF(AC7&gt;0,1,0)</f>
        <v>0</v>
      </c>
      <c r="BR7" s="49">
        <f t="shared" ref="BR7:BR70" si="25">IF(AD7&gt;0,1,0)</f>
        <v>0</v>
      </c>
      <c r="BS7" s="49">
        <f t="shared" ref="BS7:BS70" si="26">IF(AE7&gt;0,1,0)</f>
        <v>0</v>
      </c>
      <c r="BT7" s="49">
        <f t="shared" ref="BT7:BT70" si="27">IF(AF7&gt;0,1,0)</f>
        <v>1</v>
      </c>
      <c r="BU7" s="49">
        <f t="shared" ref="BU7:BU70" si="28">IF(AG7&gt;0,1,0)</f>
        <v>0</v>
      </c>
      <c r="BV7" s="49">
        <f t="shared" ref="BV7:BV70" si="29">IF(AH7&gt;0,1,0)</f>
        <v>0</v>
      </c>
      <c r="BW7" s="49">
        <f t="shared" ref="BW7:BW70" si="30">IF(AI7&gt;0,1,0)</f>
        <v>0</v>
      </c>
      <c r="BX7" s="49">
        <f t="shared" ref="BX7:BX70" si="31">IF(AJ7&gt;0,1,0)</f>
        <v>1</v>
      </c>
      <c r="BY7" s="49">
        <f t="shared" ref="BY7:BY70" si="32">IF(AK7&gt;0,1,0)</f>
        <v>0</v>
      </c>
      <c r="BZ7" s="49">
        <f t="shared" ref="BZ7:BZ70" si="33">IF(AL7&gt;0,1,0)</f>
        <v>0</v>
      </c>
      <c r="CA7" s="49">
        <f t="shared" ref="CA7:CA70" si="34">IF(AM7&gt;0,1,0)</f>
        <v>0</v>
      </c>
      <c r="CB7" s="49">
        <f t="shared" ref="CB7:CB70" si="35">IF(AN7&gt;0,1,0)</f>
        <v>1</v>
      </c>
      <c r="CC7" s="49">
        <f t="shared" ref="CC7:CC70" si="36">IF(AO7&gt;0,1,0)</f>
        <v>0</v>
      </c>
      <c r="CD7" s="49">
        <f t="shared" ref="CD7:CD70" si="37">IF(AP7&gt;0,1,0)</f>
        <v>0</v>
      </c>
      <c r="CE7" s="49">
        <f t="shared" ref="CE7:CE70" si="38">IF(AQ7&gt;0,1,0)</f>
        <v>0</v>
      </c>
    </row>
    <row r="8" spans="1:83" ht="35.1" customHeight="1" x14ac:dyDescent="0.3">
      <c r="A8" s="123" t="str">
        <f t="shared" si="0"/>
        <v>1팀</v>
      </c>
      <c r="B8" s="69">
        <f t="shared" si="1"/>
        <v>2</v>
      </c>
      <c r="C8" s="119" t="str">
        <f>IF(VLOOKUP($B8,'1. 현장별 인원현황'!$C:$J,2,0)=0,"",VLOOKUP($B8,'1. 현장별 인원현황'!$C:$J,2,0))</f>
        <v xml:space="preserve"> [1.DL건설] 전도관구역 주택재개발 정비사업조합(01공구)</v>
      </c>
      <c r="D8" s="116" t="str">
        <f>IF(VLOOKUP($B8,'1. 현장별 인원현황'!$C:$J,3,0)=0,"",VLOOKUP($B8,'1. 현장별 인원현황'!$C:$J,3,0))</f>
        <v>오재욱</v>
      </c>
      <c r="E8" s="63" t="str">
        <f ca="1">IF(VLOOKUP($B8,'1. 현장별 인원현황'!$C:$J,4,0)=0,"",VLOOKUP($B8,'1. 현장별 인원현황'!$C:$J,4,0))</f>
        <v>32세</v>
      </c>
      <c r="F8" s="63" t="str">
        <f>IF(VLOOKUP($B8,'1. 현장별 인원현황'!$C:$J,7,0)=0,"",VLOOKUP($B8,'1. 현장별 인원현황'!$C:$J,7,0))</f>
        <v>안전관리자</v>
      </c>
      <c r="G8" s="63" t="str">
        <f>IF(VLOOKUP($B8,'1. 현장별 인원현황'!$C:$J,8,0)=0,"",VLOOKUP($B8,'1. 현장별 인원현황'!$C:$J,8,0))</f>
        <v>대리</v>
      </c>
      <c r="H8" s="67"/>
      <c r="I8" s="73" t="s">
        <v>69</v>
      </c>
      <c r="J8" s="73"/>
      <c r="K8" s="68"/>
      <c r="L8" s="67"/>
      <c r="M8" s="73" t="s">
        <v>69</v>
      </c>
      <c r="N8" s="73"/>
      <c r="O8" s="68"/>
      <c r="P8" s="67"/>
      <c r="Q8" s="73" t="s">
        <v>69</v>
      </c>
      <c r="R8" s="73"/>
      <c r="S8" s="68"/>
      <c r="T8" s="67"/>
      <c r="U8" s="73" t="s">
        <v>69</v>
      </c>
      <c r="V8" s="73"/>
      <c r="W8" s="68"/>
      <c r="X8" s="67"/>
      <c r="Y8" s="73" t="s">
        <v>69</v>
      </c>
      <c r="Z8" s="73"/>
      <c r="AA8" s="68"/>
      <c r="AB8" s="67"/>
      <c r="AC8" s="73" t="s">
        <v>69</v>
      </c>
      <c r="AD8" s="73"/>
      <c r="AE8" s="68"/>
      <c r="AF8" s="67"/>
      <c r="AG8" s="73" t="s">
        <v>69</v>
      </c>
      <c r="AH8" s="73"/>
      <c r="AI8" s="68"/>
      <c r="AJ8" s="67"/>
      <c r="AK8" s="73" t="s">
        <v>69</v>
      </c>
      <c r="AL8" s="73"/>
      <c r="AM8" s="68"/>
      <c r="AN8" s="73" t="s">
        <v>69</v>
      </c>
      <c r="AO8" s="73"/>
      <c r="AP8" s="73"/>
      <c r="AQ8" s="68"/>
      <c r="AR8" s="67">
        <f t="shared" si="2"/>
        <v>80</v>
      </c>
      <c r="AS8" s="68" t="str">
        <f t="shared" si="3"/>
        <v>A</v>
      </c>
      <c r="AV8" s="49">
        <f t="shared" ref="AV8:AV71" si="39">IF(H8&gt;0,1,0)</f>
        <v>0</v>
      </c>
      <c r="AW8" s="49">
        <f t="shared" si="4"/>
        <v>1</v>
      </c>
      <c r="AX8" s="49">
        <f t="shared" si="5"/>
        <v>0</v>
      </c>
      <c r="AY8" s="49">
        <f t="shared" si="6"/>
        <v>0</v>
      </c>
      <c r="AZ8" s="49">
        <f t="shared" si="7"/>
        <v>0</v>
      </c>
      <c r="BA8" s="49">
        <f t="shared" si="8"/>
        <v>1</v>
      </c>
      <c r="BB8" s="49">
        <f t="shared" si="9"/>
        <v>0</v>
      </c>
      <c r="BC8" s="49">
        <f t="shared" si="10"/>
        <v>0</v>
      </c>
      <c r="BD8" s="49">
        <f t="shared" si="11"/>
        <v>0</v>
      </c>
      <c r="BE8" s="49">
        <f t="shared" si="12"/>
        <v>1</v>
      </c>
      <c r="BF8" s="49">
        <f t="shared" si="13"/>
        <v>0</v>
      </c>
      <c r="BG8" s="49">
        <f t="shared" si="14"/>
        <v>0</v>
      </c>
      <c r="BH8" s="49">
        <f t="shared" si="15"/>
        <v>0</v>
      </c>
      <c r="BI8" s="49">
        <f t="shared" si="16"/>
        <v>1</v>
      </c>
      <c r="BJ8" s="49">
        <f t="shared" si="17"/>
        <v>0</v>
      </c>
      <c r="BK8" s="49">
        <f t="shared" si="18"/>
        <v>0</v>
      </c>
      <c r="BL8" s="49">
        <f t="shared" si="19"/>
        <v>0</v>
      </c>
      <c r="BM8" s="49">
        <f t="shared" si="20"/>
        <v>1</v>
      </c>
      <c r="BN8" s="49">
        <f t="shared" si="21"/>
        <v>0</v>
      </c>
      <c r="BO8" s="49">
        <f t="shared" si="22"/>
        <v>0</v>
      </c>
      <c r="BP8" s="49">
        <f t="shared" si="23"/>
        <v>0</v>
      </c>
      <c r="BQ8" s="49">
        <f t="shared" si="24"/>
        <v>1</v>
      </c>
      <c r="BR8" s="49">
        <f t="shared" si="25"/>
        <v>0</v>
      </c>
      <c r="BS8" s="49">
        <f t="shared" si="26"/>
        <v>0</v>
      </c>
      <c r="BT8" s="49">
        <f t="shared" si="27"/>
        <v>0</v>
      </c>
      <c r="BU8" s="49">
        <f t="shared" si="28"/>
        <v>1</v>
      </c>
      <c r="BV8" s="49">
        <f t="shared" si="29"/>
        <v>0</v>
      </c>
      <c r="BW8" s="49">
        <f t="shared" si="30"/>
        <v>0</v>
      </c>
      <c r="BX8" s="49">
        <f t="shared" si="31"/>
        <v>0</v>
      </c>
      <c r="BY8" s="49">
        <f t="shared" si="32"/>
        <v>1</v>
      </c>
      <c r="BZ8" s="49">
        <f t="shared" si="33"/>
        <v>0</v>
      </c>
      <c r="CA8" s="49">
        <f t="shared" si="34"/>
        <v>0</v>
      </c>
      <c r="CB8" s="49">
        <f t="shared" si="35"/>
        <v>1</v>
      </c>
      <c r="CC8" s="49">
        <f t="shared" si="36"/>
        <v>0</v>
      </c>
      <c r="CD8" s="49">
        <f t="shared" si="37"/>
        <v>0</v>
      </c>
      <c r="CE8" s="49">
        <f t="shared" si="38"/>
        <v>0</v>
      </c>
    </row>
    <row r="9" spans="1:83" ht="35.1" customHeight="1" x14ac:dyDescent="0.3">
      <c r="A9" s="123" t="str">
        <f t="shared" si="0"/>
        <v>1팀</v>
      </c>
      <c r="B9" s="69">
        <f t="shared" si="1"/>
        <v>3</v>
      </c>
      <c r="C9" s="119" t="str">
        <f>IF(VLOOKUP($B9,'1. 현장별 인원현황'!$C:$J,2,0)=0,"",VLOOKUP($B9,'1. 현장별 인원현황'!$C:$J,2,0))</f>
        <v xml:space="preserve"> [1.DL건설] 전도관구역 주택재개발 정비사업조합(01공구)</v>
      </c>
      <c r="D9" s="116" t="str">
        <f>IF(VLOOKUP($B9,'1. 현장별 인원현황'!$C:$J,3,0)=0,"",VLOOKUP($B9,'1. 현장별 인원현황'!$C:$J,3,0))</f>
        <v>조경호</v>
      </c>
      <c r="E9" s="63" t="str">
        <f ca="1">IF(VLOOKUP($B9,'1. 현장별 인원현황'!$C:$J,4,0)=0,"",VLOOKUP($B9,'1. 현장별 인원현황'!$C:$J,4,0))</f>
        <v>57세</v>
      </c>
      <c r="F9" s="63" t="str">
        <f>IF(VLOOKUP($B9,'1. 현장별 인원현황'!$C:$J,7,0)=0,"",VLOOKUP($B9,'1. 현장별 인원현황'!$C:$J,7,0))</f>
        <v>공사</v>
      </c>
      <c r="G9" s="63" t="str">
        <f>IF(VLOOKUP($B9,'1. 현장별 인원현황'!$C:$J,8,0)=0,"",VLOOKUP($B9,'1. 현장별 인원현황'!$C:$J,8,0))</f>
        <v>차장</v>
      </c>
      <c r="H9" s="67" t="s">
        <v>69</v>
      </c>
      <c r="I9" s="73"/>
      <c r="J9" s="73"/>
      <c r="K9" s="68"/>
      <c r="L9" s="67" t="s">
        <v>69</v>
      </c>
      <c r="M9" s="73"/>
      <c r="N9" s="73"/>
      <c r="O9" s="68"/>
      <c r="P9" s="67" t="s">
        <v>69</v>
      </c>
      <c r="Q9" s="73"/>
      <c r="R9" s="73"/>
      <c r="S9" s="68"/>
      <c r="T9" s="67" t="s">
        <v>69</v>
      </c>
      <c r="U9" s="73"/>
      <c r="V9" s="73"/>
      <c r="W9" s="68"/>
      <c r="X9" s="67" t="s">
        <v>69</v>
      </c>
      <c r="Y9" s="73"/>
      <c r="Z9" s="73"/>
      <c r="AA9" s="68"/>
      <c r="AB9" s="67" t="s">
        <v>69</v>
      </c>
      <c r="AC9" s="73"/>
      <c r="AD9" s="73"/>
      <c r="AE9" s="68"/>
      <c r="AF9" s="67" t="s">
        <v>69</v>
      </c>
      <c r="AG9" s="73"/>
      <c r="AH9" s="73"/>
      <c r="AI9" s="68"/>
      <c r="AJ9" s="67" t="s">
        <v>69</v>
      </c>
      <c r="AK9" s="73"/>
      <c r="AL9" s="73"/>
      <c r="AM9" s="68"/>
      <c r="AN9" s="73" t="s">
        <v>69</v>
      </c>
      <c r="AO9" s="73"/>
      <c r="AP9" s="73"/>
      <c r="AQ9" s="68"/>
      <c r="AR9" s="67">
        <f t="shared" si="2"/>
        <v>100</v>
      </c>
      <c r="AS9" s="68" t="str">
        <f t="shared" si="3"/>
        <v>S</v>
      </c>
      <c r="AV9" s="49">
        <f t="shared" si="39"/>
        <v>1</v>
      </c>
      <c r="AW9" s="49">
        <f t="shared" si="4"/>
        <v>0</v>
      </c>
      <c r="AX9" s="49">
        <f t="shared" si="5"/>
        <v>0</v>
      </c>
      <c r="AY9" s="49">
        <f t="shared" si="6"/>
        <v>0</v>
      </c>
      <c r="AZ9" s="49">
        <f t="shared" si="7"/>
        <v>1</v>
      </c>
      <c r="BA9" s="49">
        <f t="shared" si="8"/>
        <v>0</v>
      </c>
      <c r="BB9" s="49">
        <f t="shared" si="9"/>
        <v>0</v>
      </c>
      <c r="BC9" s="49">
        <f t="shared" si="10"/>
        <v>0</v>
      </c>
      <c r="BD9" s="49">
        <f t="shared" si="11"/>
        <v>1</v>
      </c>
      <c r="BE9" s="49">
        <f t="shared" si="12"/>
        <v>0</v>
      </c>
      <c r="BF9" s="49">
        <f t="shared" si="13"/>
        <v>0</v>
      </c>
      <c r="BG9" s="49">
        <f t="shared" si="14"/>
        <v>0</v>
      </c>
      <c r="BH9" s="49">
        <f t="shared" si="15"/>
        <v>1</v>
      </c>
      <c r="BI9" s="49">
        <f t="shared" si="16"/>
        <v>0</v>
      </c>
      <c r="BJ9" s="49">
        <f t="shared" si="17"/>
        <v>0</v>
      </c>
      <c r="BK9" s="49">
        <f t="shared" si="18"/>
        <v>0</v>
      </c>
      <c r="BL9" s="49">
        <f t="shared" si="19"/>
        <v>1</v>
      </c>
      <c r="BM9" s="49">
        <f t="shared" si="20"/>
        <v>0</v>
      </c>
      <c r="BN9" s="49">
        <f t="shared" si="21"/>
        <v>0</v>
      </c>
      <c r="BO9" s="49">
        <f t="shared" si="22"/>
        <v>0</v>
      </c>
      <c r="BP9" s="49">
        <f t="shared" si="23"/>
        <v>1</v>
      </c>
      <c r="BQ9" s="49">
        <f t="shared" si="24"/>
        <v>0</v>
      </c>
      <c r="BR9" s="49">
        <f t="shared" si="25"/>
        <v>0</v>
      </c>
      <c r="BS9" s="49">
        <f t="shared" si="26"/>
        <v>0</v>
      </c>
      <c r="BT9" s="49">
        <f t="shared" si="27"/>
        <v>1</v>
      </c>
      <c r="BU9" s="49">
        <f t="shared" si="28"/>
        <v>0</v>
      </c>
      <c r="BV9" s="49">
        <f t="shared" si="29"/>
        <v>0</v>
      </c>
      <c r="BW9" s="49">
        <f t="shared" si="30"/>
        <v>0</v>
      </c>
      <c r="BX9" s="49">
        <f t="shared" si="31"/>
        <v>1</v>
      </c>
      <c r="BY9" s="49">
        <f t="shared" si="32"/>
        <v>0</v>
      </c>
      <c r="BZ9" s="49">
        <f t="shared" si="33"/>
        <v>0</v>
      </c>
      <c r="CA9" s="49">
        <f t="shared" si="34"/>
        <v>0</v>
      </c>
      <c r="CB9" s="49">
        <f t="shared" si="35"/>
        <v>1</v>
      </c>
      <c r="CC9" s="49">
        <f t="shared" si="36"/>
        <v>0</v>
      </c>
      <c r="CD9" s="49">
        <f t="shared" si="37"/>
        <v>0</v>
      </c>
      <c r="CE9" s="49">
        <f t="shared" si="38"/>
        <v>0</v>
      </c>
    </row>
    <row r="10" spans="1:83" ht="35.1" customHeight="1" x14ac:dyDescent="0.3">
      <c r="A10" s="123" t="str">
        <f t="shared" si="0"/>
        <v>1팀</v>
      </c>
      <c r="B10" s="69">
        <f t="shared" si="1"/>
        <v>4</v>
      </c>
      <c r="C10" s="119" t="str">
        <f>IF(VLOOKUP($B10,'1. 현장별 인원현황'!$C:$J,2,0)=0,"",VLOOKUP($B10,'1. 현장별 인원현황'!$C:$J,2,0))</f>
        <v xml:space="preserve"> [1.DL건설] 전도관구역 주택재개발 정비사업조합(01공구)</v>
      </c>
      <c r="D10" s="116" t="str">
        <f>IF(VLOOKUP($B10,'1. 현장별 인원현황'!$C:$J,3,0)=0,"",VLOOKUP($B10,'1. 현장별 인원현황'!$C:$J,3,0))</f>
        <v>남춘섭</v>
      </c>
      <c r="E10" s="63" t="str">
        <f ca="1">IF(VLOOKUP($B10,'1. 현장별 인원현황'!$C:$J,4,0)=0,"",VLOOKUP($B10,'1. 현장별 인원현황'!$C:$J,4,0))</f>
        <v>62세</v>
      </c>
      <c r="F10" s="63" t="str">
        <f>IF(VLOOKUP($B10,'1. 현장별 인원현황'!$C:$J,7,0)=0,"",VLOOKUP($B10,'1. 현장별 인원현황'!$C:$J,7,0))</f>
        <v>공사</v>
      </c>
      <c r="G10" s="63" t="str">
        <f>IF(VLOOKUP($B10,'1. 현장별 인원현황'!$C:$J,8,0)=0,"",VLOOKUP($B10,'1. 현장별 인원현황'!$C:$J,8,0))</f>
        <v>과장</v>
      </c>
      <c r="H10" s="67" t="s">
        <v>69</v>
      </c>
      <c r="I10" s="73"/>
      <c r="J10" s="73"/>
      <c r="K10" s="68"/>
      <c r="L10" s="67"/>
      <c r="M10" s="73" t="s">
        <v>69</v>
      </c>
      <c r="N10" s="73"/>
      <c r="O10" s="68"/>
      <c r="P10" s="67" t="s">
        <v>69</v>
      </c>
      <c r="Q10" s="73"/>
      <c r="R10" s="73"/>
      <c r="S10" s="68"/>
      <c r="T10" s="67"/>
      <c r="U10" s="73" t="s">
        <v>69</v>
      </c>
      <c r="V10" s="73"/>
      <c r="W10" s="68"/>
      <c r="X10" s="67"/>
      <c r="Y10" s="73" t="s">
        <v>69</v>
      </c>
      <c r="Z10" s="73"/>
      <c r="AA10" s="68"/>
      <c r="AB10" s="67"/>
      <c r="AC10" s="73" t="s">
        <v>69</v>
      </c>
      <c r="AD10" s="73"/>
      <c r="AE10" s="68"/>
      <c r="AF10" s="67"/>
      <c r="AG10" s="73" t="s">
        <v>69</v>
      </c>
      <c r="AH10" s="73"/>
      <c r="AI10" s="68"/>
      <c r="AJ10" s="67"/>
      <c r="AK10" s="73" t="s">
        <v>69</v>
      </c>
      <c r="AL10" s="73"/>
      <c r="AM10" s="68"/>
      <c r="AN10" s="73" t="s">
        <v>69</v>
      </c>
      <c r="AO10" s="73"/>
      <c r="AP10" s="73"/>
      <c r="AQ10" s="68"/>
      <c r="AR10" s="67">
        <f t="shared" si="2"/>
        <v>86</v>
      </c>
      <c r="AS10" s="68" t="str">
        <f t="shared" si="3"/>
        <v>S</v>
      </c>
      <c r="AV10" s="49">
        <f t="shared" si="39"/>
        <v>1</v>
      </c>
      <c r="AW10" s="49">
        <f t="shared" si="4"/>
        <v>0</v>
      </c>
      <c r="AX10" s="49">
        <f t="shared" si="5"/>
        <v>0</v>
      </c>
      <c r="AY10" s="49">
        <f t="shared" si="6"/>
        <v>0</v>
      </c>
      <c r="AZ10" s="49">
        <f t="shared" si="7"/>
        <v>0</v>
      </c>
      <c r="BA10" s="49">
        <f t="shared" si="8"/>
        <v>1</v>
      </c>
      <c r="BB10" s="49">
        <f t="shared" si="9"/>
        <v>0</v>
      </c>
      <c r="BC10" s="49">
        <f t="shared" si="10"/>
        <v>0</v>
      </c>
      <c r="BD10" s="49">
        <f t="shared" si="11"/>
        <v>1</v>
      </c>
      <c r="BE10" s="49">
        <f t="shared" si="12"/>
        <v>0</v>
      </c>
      <c r="BF10" s="49">
        <f t="shared" si="13"/>
        <v>0</v>
      </c>
      <c r="BG10" s="49">
        <f t="shared" si="14"/>
        <v>0</v>
      </c>
      <c r="BH10" s="49">
        <f t="shared" si="15"/>
        <v>0</v>
      </c>
      <c r="BI10" s="49">
        <f t="shared" si="16"/>
        <v>1</v>
      </c>
      <c r="BJ10" s="49">
        <f t="shared" si="17"/>
        <v>0</v>
      </c>
      <c r="BK10" s="49">
        <f t="shared" si="18"/>
        <v>0</v>
      </c>
      <c r="BL10" s="49">
        <f t="shared" si="19"/>
        <v>0</v>
      </c>
      <c r="BM10" s="49">
        <f t="shared" si="20"/>
        <v>1</v>
      </c>
      <c r="BN10" s="49">
        <f t="shared" si="21"/>
        <v>0</v>
      </c>
      <c r="BO10" s="49">
        <f t="shared" si="22"/>
        <v>0</v>
      </c>
      <c r="BP10" s="49">
        <f t="shared" si="23"/>
        <v>0</v>
      </c>
      <c r="BQ10" s="49">
        <f t="shared" si="24"/>
        <v>1</v>
      </c>
      <c r="BR10" s="49">
        <f t="shared" si="25"/>
        <v>0</v>
      </c>
      <c r="BS10" s="49">
        <f t="shared" si="26"/>
        <v>0</v>
      </c>
      <c r="BT10" s="49">
        <f t="shared" si="27"/>
        <v>0</v>
      </c>
      <c r="BU10" s="49">
        <f t="shared" si="28"/>
        <v>1</v>
      </c>
      <c r="BV10" s="49">
        <f t="shared" si="29"/>
        <v>0</v>
      </c>
      <c r="BW10" s="49">
        <f t="shared" si="30"/>
        <v>0</v>
      </c>
      <c r="BX10" s="49">
        <f t="shared" si="31"/>
        <v>0</v>
      </c>
      <c r="BY10" s="49">
        <f t="shared" si="32"/>
        <v>1</v>
      </c>
      <c r="BZ10" s="49">
        <f t="shared" si="33"/>
        <v>0</v>
      </c>
      <c r="CA10" s="49">
        <f t="shared" si="34"/>
        <v>0</v>
      </c>
      <c r="CB10" s="49">
        <f t="shared" si="35"/>
        <v>1</v>
      </c>
      <c r="CC10" s="49">
        <f t="shared" si="36"/>
        <v>0</v>
      </c>
      <c r="CD10" s="49">
        <f t="shared" si="37"/>
        <v>0</v>
      </c>
      <c r="CE10" s="49">
        <f t="shared" si="38"/>
        <v>0</v>
      </c>
    </row>
    <row r="11" spans="1:83" ht="35.1" customHeight="1" x14ac:dyDescent="0.3">
      <c r="A11" s="123" t="str">
        <f t="shared" si="0"/>
        <v>1팀</v>
      </c>
      <c r="B11" s="69">
        <f t="shared" si="1"/>
        <v>5</v>
      </c>
      <c r="C11" s="119" t="str">
        <f>IF(VLOOKUP($B11,'1. 현장별 인원현황'!$C:$J,2,0)=0,"",VLOOKUP($B11,'1. 현장별 인원현황'!$C:$J,2,0))</f>
        <v xml:space="preserve"> [1.DL건설] 전도관구역 주택재개발 정비사업조합(01공구)</v>
      </c>
      <c r="D11" s="116" t="str">
        <f>IF(VLOOKUP($B11,'1. 현장별 인원현황'!$C:$J,3,0)=0,"",VLOOKUP($B11,'1. 현장별 인원현황'!$C:$J,3,0))</f>
        <v>김옥수</v>
      </c>
      <c r="E11" s="63" t="str">
        <f ca="1">IF(VLOOKUP($B11,'1. 현장별 인원현황'!$C:$J,4,0)=0,"",VLOOKUP($B11,'1. 현장별 인원현황'!$C:$J,4,0))</f>
        <v>57세</v>
      </c>
      <c r="F11" s="63" t="str">
        <f>IF(VLOOKUP($B11,'1. 현장별 인원현황'!$C:$J,7,0)=0,"",VLOOKUP($B11,'1. 현장별 인원현황'!$C:$J,7,0))</f>
        <v>기능공</v>
      </c>
      <c r="G11" s="63" t="str">
        <f>IF(VLOOKUP($B11,'1. 현장별 인원현황'!$C:$J,8,0)=0,"",VLOOKUP($B11,'1. 현장별 인원현황'!$C:$J,8,0))</f>
        <v>전공</v>
      </c>
      <c r="H11" s="67" t="s">
        <v>69</v>
      </c>
      <c r="I11" s="73"/>
      <c r="J11" s="73"/>
      <c r="K11" s="68"/>
      <c r="L11" s="67"/>
      <c r="M11" s="73" t="s">
        <v>69</v>
      </c>
      <c r="N11" s="73"/>
      <c r="O11" s="68"/>
      <c r="P11" s="67" t="s">
        <v>69</v>
      </c>
      <c r="Q11" s="73"/>
      <c r="R11" s="73"/>
      <c r="S11" s="68"/>
      <c r="T11" s="67" t="s">
        <v>69</v>
      </c>
      <c r="U11" s="73"/>
      <c r="V11" s="73"/>
      <c r="W11" s="68"/>
      <c r="X11" s="67"/>
      <c r="Y11" s="73" t="s">
        <v>69</v>
      </c>
      <c r="Z11" s="73"/>
      <c r="AA11" s="68"/>
      <c r="AB11" s="67"/>
      <c r="AC11" s="73" t="s">
        <v>69</v>
      </c>
      <c r="AD11" s="73"/>
      <c r="AE11" s="68"/>
      <c r="AF11" s="67"/>
      <c r="AG11" s="73" t="s">
        <v>69</v>
      </c>
      <c r="AH11" s="73"/>
      <c r="AI11" s="68"/>
      <c r="AJ11" s="67"/>
      <c r="AK11" s="73" t="s">
        <v>69</v>
      </c>
      <c r="AL11" s="73"/>
      <c r="AM11" s="68"/>
      <c r="AN11" s="73" t="s">
        <v>69</v>
      </c>
      <c r="AO11" s="73"/>
      <c r="AP11" s="73"/>
      <c r="AQ11" s="68"/>
      <c r="AR11" s="67">
        <f t="shared" si="2"/>
        <v>88</v>
      </c>
      <c r="AS11" s="68" t="str">
        <f t="shared" si="3"/>
        <v>S</v>
      </c>
      <c r="AV11" s="49">
        <f t="shared" si="39"/>
        <v>1</v>
      </c>
      <c r="AW11" s="49">
        <f t="shared" si="4"/>
        <v>0</v>
      </c>
      <c r="AX11" s="49">
        <f t="shared" si="5"/>
        <v>0</v>
      </c>
      <c r="AY11" s="49">
        <f t="shared" si="6"/>
        <v>0</v>
      </c>
      <c r="AZ11" s="49">
        <f t="shared" si="7"/>
        <v>0</v>
      </c>
      <c r="BA11" s="49">
        <f t="shared" si="8"/>
        <v>1</v>
      </c>
      <c r="BB11" s="49">
        <f t="shared" si="9"/>
        <v>0</v>
      </c>
      <c r="BC11" s="49">
        <f t="shared" si="10"/>
        <v>0</v>
      </c>
      <c r="BD11" s="49">
        <f t="shared" si="11"/>
        <v>1</v>
      </c>
      <c r="BE11" s="49">
        <f t="shared" si="12"/>
        <v>0</v>
      </c>
      <c r="BF11" s="49">
        <f t="shared" si="13"/>
        <v>0</v>
      </c>
      <c r="BG11" s="49">
        <f t="shared" si="14"/>
        <v>0</v>
      </c>
      <c r="BH11" s="49">
        <f t="shared" si="15"/>
        <v>1</v>
      </c>
      <c r="BI11" s="49">
        <f t="shared" si="16"/>
        <v>0</v>
      </c>
      <c r="BJ11" s="49">
        <f t="shared" si="17"/>
        <v>0</v>
      </c>
      <c r="BK11" s="49">
        <f t="shared" si="18"/>
        <v>0</v>
      </c>
      <c r="BL11" s="49">
        <f t="shared" si="19"/>
        <v>0</v>
      </c>
      <c r="BM11" s="49">
        <f t="shared" si="20"/>
        <v>1</v>
      </c>
      <c r="BN11" s="49">
        <f t="shared" si="21"/>
        <v>0</v>
      </c>
      <c r="BO11" s="49">
        <f t="shared" si="22"/>
        <v>0</v>
      </c>
      <c r="BP11" s="49">
        <f t="shared" si="23"/>
        <v>0</v>
      </c>
      <c r="BQ11" s="49">
        <f t="shared" si="24"/>
        <v>1</v>
      </c>
      <c r="BR11" s="49">
        <f t="shared" si="25"/>
        <v>0</v>
      </c>
      <c r="BS11" s="49">
        <f t="shared" si="26"/>
        <v>0</v>
      </c>
      <c r="BT11" s="49">
        <f t="shared" si="27"/>
        <v>0</v>
      </c>
      <c r="BU11" s="49">
        <f t="shared" si="28"/>
        <v>1</v>
      </c>
      <c r="BV11" s="49">
        <f t="shared" si="29"/>
        <v>0</v>
      </c>
      <c r="BW11" s="49">
        <f t="shared" si="30"/>
        <v>0</v>
      </c>
      <c r="BX11" s="49">
        <f t="shared" si="31"/>
        <v>0</v>
      </c>
      <c r="BY11" s="49">
        <f t="shared" si="32"/>
        <v>1</v>
      </c>
      <c r="BZ11" s="49">
        <f t="shared" si="33"/>
        <v>0</v>
      </c>
      <c r="CA11" s="49">
        <f t="shared" si="34"/>
        <v>0</v>
      </c>
      <c r="CB11" s="49">
        <f t="shared" si="35"/>
        <v>1</v>
      </c>
      <c r="CC11" s="49">
        <f t="shared" si="36"/>
        <v>0</v>
      </c>
      <c r="CD11" s="49">
        <f t="shared" si="37"/>
        <v>0</v>
      </c>
      <c r="CE11" s="49">
        <f t="shared" si="38"/>
        <v>0</v>
      </c>
    </row>
    <row r="12" spans="1:83" ht="35.1" customHeight="1" x14ac:dyDescent="0.3">
      <c r="A12" s="123" t="str">
        <f t="shared" si="0"/>
        <v>1팀</v>
      </c>
      <c r="B12" s="69">
        <f t="shared" si="1"/>
        <v>6</v>
      </c>
      <c r="C12" s="119" t="str">
        <f>IF(VLOOKUP($B12,'1. 현장별 인원현황'!$C:$J,2,0)=0,"",VLOOKUP($B12,'1. 현장별 인원현황'!$C:$J,2,0))</f>
        <v xml:space="preserve"> [1.DL건설] 전도관구역 주택재개발 정비사업조합(01공구)</v>
      </c>
      <c r="D12" s="116" t="str">
        <f>IF(VLOOKUP($B12,'1. 현장별 인원현황'!$C:$J,3,0)=0,"",VLOOKUP($B12,'1. 현장별 인원현황'!$C:$J,3,0))</f>
        <v>박예만</v>
      </c>
      <c r="E12" s="63" t="str">
        <f ca="1">IF(VLOOKUP($B12,'1. 현장별 인원현황'!$C:$J,4,0)=0,"",VLOOKUP($B12,'1. 현장별 인원현황'!$C:$J,4,0))</f>
        <v>37세</v>
      </c>
      <c r="F12" s="63" t="str">
        <f>IF(VLOOKUP($B12,'1. 현장별 인원현황'!$C:$J,7,0)=0,"",VLOOKUP($B12,'1. 현장별 인원현황'!$C:$J,7,0))</f>
        <v>기능공</v>
      </c>
      <c r="G12" s="63" t="str">
        <f>IF(VLOOKUP($B12,'1. 현장별 인원현황'!$C:$J,8,0)=0,"",VLOOKUP($B12,'1. 현장별 인원현황'!$C:$J,8,0))</f>
        <v>전공</v>
      </c>
      <c r="H12" s="67"/>
      <c r="I12" s="73" t="s">
        <v>69</v>
      </c>
      <c r="J12" s="73"/>
      <c r="K12" s="68"/>
      <c r="L12" s="67"/>
      <c r="M12" s="73" t="s">
        <v>69</v>
      </c>
      <c r="N12" s="73"/>
      <c r="O12" s="68"/>
      <c r="P12" s="67"/>
      <c r="Q12" s="73" t="s">
        <v>69</v>
      </c>
      <c r="R12" s="73"/>
      <c r="S12" s="68"/>
      <c r="T12" s="67"/>
      <c r="U12" s="73" t="s">
        <v>69</v>
      </c>
      <c r="V12" s="73"/>
      <c r="W12" s="68"/>
      <c r="X12" s="67"/>
      <c r="Y12" s="73" t="s">
        <v>69</v>
      </c>
      <c r="Z12" s="73"/>
      <c r="AA12" s="68"/>
      <c r="AB12" s="67"/>
      <c r="AC12" s="73" t="s">
        <v>69</v>
      </c>
      <c r="AD12" s="73"/>
      <c r="AE12" s="68"/>
      <c r="AF12" s="67"/>
      <c r="AG12" s="73" t="s">
        <v>69</v>
      </c>
      <c r="AH12" s="73"/>
      <c r="AI12" s="68"/>
      <c r="AJ12" s="67"/>
      <c r="AK12" s="73" t="s">
        <v>69</v>
      </c>
      <c r="AL12" s="73"/>
      <c r="AM12" s="68"/>
      <c r="AN12" s="73" t="s">
        <v>69</v>
      </c>
      <c r="AO12" s="73"/>
      <c r="AP12" s="73"/>
      <c r="AQ12" s="68"/>
      <c r="AR12" s="67">
        <f t="shared" si="2"/>
        <v>80</v>
      </c>
      <c r="AS12" s="68" t="str">
        <f t="shared" si="3"/>
        <v>A</v>
      </c>
      <c r="AV12" s="49">
        <f t="shared" si="39"/>
        <v>0</v>
      </c>
      <c r="AW12" s="49">
        <f t="shared" si="4"/>
        <v>1</v>
      </c>
      <c r="AX12" s="49">
        <f t="shared" si="5"/>
        <v>0</v>
      </c>
      <c r="AY12" s="49">
        <f t="shared" si="6"/>
        <v>0</v>
      </c>
      <c r="AZ12" s="49">
        <f t="shared" si="7"/>
        <v>0</v>
      </c>
      <c r="BA12" s="49">
        <f t="shared" si="8"/>
        <v>1</v>
      </c>
      <c r="BB12" s="49">
        <f t="shared" si="9"/>
        <v>0</v>
      </c>
      <c r="BC12" s="49">
        <f t="shared" si="10"/>
        <v>0</v>
      </c>
      <c r="BD12" s="49">
        <f t="shared" si="11"/>
        <v>0</v>
      </c>
      <c r="BE12" s="49">
        <f t="shared" si="12"/>
        <v>1</v>
      </c>
      <c r="BF12" s="49">
        <f t="shared" si="13"/>
        <v>0</v>
      </c>
      <c r="BG12" s="49">
        <f t="shared" si="14"/>
        <v>0</v>
      </c>
      <c r="BH12" s="49">
        <f t="shared" si="15"/>
        <v>0</v>
      </c>
      <c r="BI12" s="49">
        <f t="shared" si="16"/>
        <v>1</v>
      </c>
      <c r="BJ12" s="49">
        <f t="shared" si="17"/>
        <v>0</v>
      </c>
      <c r="BK12" s="49">
        <f t="shared" si="18"/>
        <v>0</v>
      </c>
      <c r="BL12" s="49">
        <f t="shared" si="19"/>
        <v>0</v>
      </c>
      <c r="BM12" s="49">
        <f t="shared" si="20"/>
        <v>1</v>
      </c>
      <c r="BN12" s="49">
        <f t="shared" si="21"/>
        <v>0</v>
      </c>
      <c r="BO12" s="49">
        <f t="shared" si="22"/>
        <v>0</v>
      </c>
      <c r="BP12" s="49">
        <f t="shared" si="23"/>
        <v>0</v>
      </c>
      <c r="BQ12" s="49">
        <f t="shared" si="24"/>
        <v>1</v>
      </c>
      <c r="BR12" s="49">
        <f t="shared" si="25"/>
        <v>0</v>
      </c>
      <c r="BS12" s="49">
        <f t="shared" si="26"/>
        <v>0</v>
      </c>
      <c r="BT12" s="49">
        <f t="shared" si="27"/>
        <v>0</v>
      </c>
      <c r="BU12" s="49">
        <f t="shared" si="28"/>
        <v>1</v>
      </c>
      <c r="BV12" s="49">
        <f t="shared" si="29"/>
        <v>0</v>
      </c>
      <c r="BW12" s="49">
        <f t="shared" si="30"/>
        <v>0</v>
      </c>
      <c r="BX12" s="49">
        <f t="shared" si="31"/>
        <v>0</v>
      </c>
      <c r="BY12" s="49">
        <f t="shared" si="32"/>
        <v>1</v>
      </c>
      <c r="BZ12" s="49">
        <f t="shared" si="33"/>
        <v>0</v>
      </c>
      <c r="CA12" s="49">
        <f t="shared" si="34"/>
        <v>0</v>
      </c>
      <c r="CB12" s="49">
        <f t="shared" si="35"/>
        <v>1</v>
      </c>
      <c r="CC12" s="49">
        <f t="shared" si="36"/>
        <v>0</v>
      </c>
      <c r="CD12" s="49">
        <f t="shared" si="37"/>
        <v>0</v>
      </c>
      <c r="CE12" s="49">
        <f t="shared" si="38"/>
        <v>0</v>
      </c>
    </row>
    <row r="13" spans="1:83" ht="35.1" customHeight="1" x14ac:dyDescent="0.3">
      <c r="A13" s="123" t="str">
        <f t="shared" si="0"/>
        <v>1팀</v>
      </c>
      <c r="B13" s="69">
        <f t="shared" si="1"/>
        <v>7</v>
      </c>
      <c r="C13" s="119" t="str">
        <f>IF(VLOOKUP($B13,'1. 현장별 인원현황'!$C:$J,2,0)=0,"",VLOOKUP($B13,'1. 현장별 인원현황'!$C:$J,2,0))</f>
        <v xml:space="preserve"> [1.DL건설] 전도관구역 주택재개발 정비사업조합(01공구)</v>
      </c>
      <c r="D13" s="116" t="str">
        <f>IF(VLOOKUP($B13,'1. 현장별 인원현황'!$C:$J,3,0)=0,"",VLOOKUP($B13,'1. 현장별 인원현황'!$C:$J,3,0))</f>
        <v>유동민</v>
      </c>
      <c r="E13" s="63" t="str">
        <f ca="1">IF(VLOOKUP($B13,'1. 현장별 인원현황'!$C:$J,4,0)=0,"",VLOOKUP($B13,'1. 현장별 인원현황'!$C:$J,4,0))</f>
        <v>54세</v>
      </c>
      <c r="F13" s="63" t="str">
        <f>IF(VLOOKUP($B13,'1. 현장별 인원현황'!$C:$J,7,0)=0,"",VLOOKUP($B13,'1. 현장별 인원현황'!$C:$J,7,0))</f>
        <v>기능공</v>
      </c>
      <c r="G13" s="63" t="str">
        <f>IF(VLOOKUP($B13,'1. 현장별 인원현황'!$C:$J,8,0)=0,"",VLOOKUP($B13,'1. 현장별 인원현황'!$C:$J,8,0))</f>
        <v>전공</v>
      </c>
      <c r="H13" s="67" t="s">
        <v>69</v>
      </c>
      <c r="I13" s="73"/>
      <c r="J13" s="73"/>
      <c r="K13" s="68"/>
      <c r="L13" s="67" t="s">
        <v>69</v>
      </c>
      <c r="M13" s="73"/>
      <c r="N13" s="73"/>
      <c r="O13" s="68"/>
      <c r="P13" s="67" t="s">
        <v>69</v>
      </c>
      <c r="Q13" s="73"/>
      <c r="R13" s="73"/>
      <c r="S13" s="68"/>
      <c r="T13" s="67" t="s">
        <v>69</v>
      </c>
      <c r="U13" s="73"/>
      <c r="V13" s="73"/>
      <c r="W13" s="68"/>
      <c r="X13" s="67"/>
      <c r="Y13" s="73" t="s">
        <v>69</v>
      </c>
      <c r="Z13" s="73"/>
      <c r="AA13" s="68"/>
      <c r="AB13" s="67"/>
      <c r="AC13" s="73" t="s">
        <v>69</v>
      </c>
      <c r="AD13" s="73"/>
      <c r="AE13" s="68"/>
      <c r="AF13" s="67"/>
      <c r="AG13" s="73" t="s">
        <v>69</v>
      </c>
      <c r="AH13" s="73"/>
      <c r="AI13" s="68"/>
      <c r="AJ13" s="67" t="s">
        <v>69</v>
      </c>
      <c r="AK13" s="73"/>
      <c r="AL13" s="73"/>
      <c r="AM13" s="68"/>
      <c r="AN13" s="73" t="s">
        <v>69</v>
      </c>
      <c r="AO13" s="73"/>
      <c r="AP13" s="73"/>
      <c r="AQ13" s="68"/>
      <c r="AR13" s="67">
        <f t="shared" si="2"/>
        <v>94</v>
      </c>
      <c r="AS13" s="68" t="str">
        <f t="shared" si="3"/>
        <v>S</v>
      </c>
      <c r="AV13" s="49">
        <f t="shared" si="39"/>
        <v>1</v>
      </c>
      <c r="AW13" s="49">
        <f t="shared" si="4"/>
        <v>0</v>
      </c>
      <c r="AX13" s="49">
        <f t="shared" si="5"/>
        <v>0</v>
      </c>
      <c r="AY13" s="49">
        <f t="shared" si="6"/>
        <v>0</v>
      </c>
      <c r="AZ13" s="49">
        <f t="shared" si="7"/>
        <v>1</v>
      </c>
      <c r="BA13" s="49">
        <f t="shared" si="8"/>
        <v>0</v>
      </c>
      <c r="BB13" s="49">
        <f t="shared" si="9"/>
        <v>0</v>
      </c>
      <c r="BC13" s="49">
        <f t="shared" si="10"/>
        <v>0</v>
      </c>
      <c r="BD13" s="49">
        <f t="shared" si="11"/>
        <v>1</v>
      </c>
      <c r="BE13" s="49">
        <f t="shared" si="12"/>
        <v>0</v>
      </c>
      <c r="BF13" s="49">
        <f t="shared" si="13"/>
        <v>0</v>
      </c>
      <c r="BG13" s="49">
        <f t="shared" si="14"/>
        <v>0</v>
      </c>
      <c r="BH13" s="49">
        <f t="shared" si="15"/>
        <v>1</v>
      </c>
      <c r="BI13" s="49">
        <f t="shared" si="16"/>
        <v>0</v>
      </c>
      <c r="BJ13" s="49">
        <f t="shared" si="17"/>
        <v>0</v>
      </c>
      <c r="BK13" s="49">
        <f t="shared" si="18"/>
        <v>0</v>
      </c>
      <c r="BL13" s="49">
        <f t="shared" si="19"/>
        <v>0</v>
      </c>
      <c r="BM13" s="49">
        <f t="shared" si="20"/>
        <v>1</v>
      </c>
      <c r="BN13" s="49">
        <f t="shared" si="21"/>
        <v>0</v>
      </c>
      <c r="BO13" s="49">
        <f t="shared" si="22"/>
        <v>0</v>
      </c>
      <c r="BP13" s="49">
        <f t="shared" si="23"/>
        <v>0</v>
      </c>
      <c r="BQ13" s="49">
        <f t="shared" si="24"/>
        <v>1</v>
      </c>
      <c r="BR13" s="49">
        <f t="shared" si="25"/>
        <v>0</v>
      </c>
      <c r="BS13" s="49">
        <f t="shared" si="26"/>
        <v>0</v>
      </c>
      <c r="BT13" s="49">
        <f t="shared" si="27"/>
        <v>0</v>
      </c>
      <c r="BU13" s="49">
        <f t="shared" si="28"/>
        <v>1</v>
      </c>
      <c r="BV13" s="49">
        <f t="shared" si="29"/>
        <v>0</v>
      </c>
      <c r="BW13" s="49">
        <f t="shared" si="30"/>
        <v>0</v>
      </c>
      <c r="BX13" s="49">
        <f t="shared" si="31"/>
        <v>1</v>
      </c>
      <c r="BY13" s="49">
        <f t="shared" si="32"/>
        <v>0</v>
      </c>
      <c r="BZ13" s="49">
        <f t="shared" si="33"/>
        <v>0</v>
      </c>
      <c r="CA13" s="49">
        <f t="shared" si="34"/>
        <v>0</v>
      </c>
      <c r="CB13" s="49">
        <f t="shared" si="35"/>
        <v>1</v>
      </c>
      <c r="CC13" s="49">
        <f t="shared" si="36"/>
        <v>0</v>
      </c>
      <c r="CD13" s="49">
        <f t="shared" si="37"/>
        <v>0</v>
      </c>
      <c r="CE13" s="49">
        <f t="shared" si="38"/>
        <v>0</v>
      </c>
    </row>
    <row r="14" spans="1:83" ht="35.1" customHeight="1" x14ac:dyDescent="0.3">
      <c r="A14" s="123" t="str">
        <f t="shared" si="0"/>
        <v>1팀</v>
      </c>
      <c r="B14" s="69">
        <f t="shared" si="1"/>
        <v>8</v>
      </c>
      <c r="C14" s="119" t="str">
        <f>IF(VLOOKUP($B14,'1. 현장별 인원현황'!$C:$J,2,0)=0,"",VLOOKUP($B14,'1. 현장별 인원현황'!$C:$J,2,0))</f>
        <v xml:space="preserve"> [1.DL건설] 전도관구역 주택재개발 정비사업조합(01공구)</v>
      </c>
      <c r="D14" s="116" t="str">
        <f>IF(VLOOKUP($B14,'1. 현장별 인원현황'!$C:$J,3,0)=0,"",VLOOKUP($B14,'1. 현장별 인원현황'!$C:$J,3,0))</f>
        <v>윤효상</v>
      </c>
      <c r="E14" s="63" t="str">
        <f ca="1">IF(VLOOKUP($B14,'1. 현장별 인원현황'!$C:$J,4,0)=0,"",VLOOKUP($B14,'1. 현장별 인원현황'!$C:$J,4,0))</f>
        <v>56세</v>
      </c>
      <c r="F14" s="63" t="str">
        <f>IF(VLOOKUP($B14,'1. 현장별 인원현황'!$C:$J,7,0)=0,"",VLOOKUP($B14,'1. 현장별 인원현황'!$C:$J,7,0))</f>
        <v>기능공</v>
      </c>
      <c r="G14" s="63" t="str">
        <f>IF(VLOOKUP($B14,'1. 현장별 인원현황'!$C:$J,8,0)=0,"",VLOOKUP($B14,'1. 현장별 인원현황'!$C:$J,8,0))</f>
        <v>전공</v>
      </c>
      <c r="H14" s="67"/>
      <c r="I14" s="73" t="s">
        <v>69</v>
      </c>
      <c r="J14" s="73"/>
      <c r="K14" s="68"/>
      <c r="L14" s="67"/>
      <c r="M14" s="73" t="s">
        <v>69</v>
      </c>
      <c r="N14" s="73"/>
      <c r="O14" s="68"/>
      <c r="P14" s="67"/>
      <c r="Q14" s="73" t="s">
        <v>69</v>
      </c>
      <c r="R14" s="73"/>
      <c r="S14" s="68"/>
      <c r="T14" s="67"/>
      <c r="U14" s="73" t="s">
        <v>69</v>
      </c>
      <c r="V14" s="73"/>
      <c r="W14" s="68"/>
      <c r="X14" s="67"/>
      <c r="Y14" s="73" t="s">
        <v>69</v>
      </c>
      <c r="Z14" s="73"/>
      <c r="AA14" s="68"/>
      <c r="AB14" s="67"/>
      <c r="AC14" s="73" t="s">
        <v>69</v>
      </c>
      <c r="AD14" s="73"/>
      <c r="AE14" s="68"/>
      <c r="AF14" s="67"/>
      <c r="AG14" s="73" t="s">
        <v>69</v>
      </c>
      <c r="AH14" s="73"/>
      <c r="AI14" s="68"/>
      <c r="AJ14" s="67"/>
      <c r="AK14" s="73" t="s">
        <v>69</v>
      </c>
      <c r="AL14" s="73"/>
      <c r="AM14" s="68"/>
      <c r="AN14" s="73" t="s">
        <v>69</v>
      </c>
      <c r="AO14" s="73"/>
      <c r="AP14" s="73"/>
      <c r="AQ14" s="68"/>
      <c r="AR14" s="67">
        <f t="shared" si="2"/>
        <v>80</v>
      </c>
      <c r="AS14" s="68" t="str">
        <f t="shared" si="3"/>
        <v>A</v>
      </c>
      <c r="AV14" s="49">
        <f t="shared" si="39"/>
        <v>0</v>
      </c>
      <c r="AW14" s="49">
        <f t="shared" si="4"/>
        <v>1</v>
      </c>
      <c r="AX14" s="49">
        <f t="shared" si="5"/>
        <v>0</v>
      </c>
      <c r="AY14" s="49">
        <f t="shared" si="6"/>
        <v>0</v>
      </c>
      <c r="AZ14" s="49">
        <f t="shared" si="7"/>
        <v>0</v>
      </c>
      <c r="BA14" s="49">
        <f t="shared" si="8"/>
        <v>1</v>
      </c>
      <c r="BB14" s="49">
        <f t="shared" si="9"/>
        <v>0</v>
      </c>
      <c r="BC14" s="49">
        <f t="shared" si="10"/>
        <v>0</v>
      </c>
      <c r="BD14" s="49">
        <f t="shared" si="11"/>
        <v>0</v>
      </c>
      <c r="BE14" s="49">
        <f t="shared" si="12"/>
        <v>1</v>
      </c>
      <c r="BF14" s="49">
        <f t="shared" si="13"/>
        <v>0</v>
      </c>
      <c r="BG14" s="49">
        <f t="shared" si="14"/>
        <v>0</v>
      </c>
      <c r="BH14" s="49">
        <f t="shared" si="15"/>
        <v>0</v>
      </c>
      <c r="BI14" s="49">
        <f t="shared" si="16"/>
        <v>1</v>
      </c>
      <c r="BJ14" s="49">
        <f t="shared" si="17"/>
        <v>0</v>
      </c>
      <c r="BK14" s="49">
        <f t="shared" si="18"/>
        <v>0</v>
      </c>
      <c r="BL14" s="49">
        <f t="shared" si="19"/>
        <v>0</v>
      </c>
      <c r="BM14" s="49">
        <f t="shared" si="20"/>
        <v>1</v>
      </c>
      <c r="BN14" s="49">
        <f t="shared" si="21"/>
        <v>0</v>
      </c>
      <c r="BO14" s="49">
        <f t="shared" si="22"/>
        <v>0</v>
      </c>
      <c r="BP14" s="49">
        <f t="shared" si="23"/>
        <v>0</v>
      </c>
      <c r="BQ14" s="49">
        <f t="shared" si="24"/>
        <v>1</v>
      </c>
      <c r="BR14" s="49">
        <f t="shared" si="25"/>
        <v>0</v>
      </c>
      <c r="BS14" s="49">
        <f t="shared" si="26"/>
        <v>0</v>
      </c>
      <c r="BT14" s="49">
        <f t="shared" si="27"/>
        <v>0</v>
      </c>
      <c r="BU14" s="49">
        <f t="shared" si="28"/>
        <v>1</v>
      </c>
      <c r="BV14" s="49">
        <f t="shared" si="29"/>
        <v>0</v>
      </c>
      <c r="BW14" s="49">
        <f t="shared" si="30"/>
        <v>0</v>
      </c>
      <c r="BX14" s="49">
        <f t="shared" si="31"/>
        <v>0</v>
      </c>
      <c r="BY14" s="49">
        <f t="shared" si="32"/>
        <v>1</v>
      </c>
      <c r="BZ14" s="49">
        <f t="shared" si="33"/>
        <v>0</v>
      </c>
      <c r="CA14" s="49">
        <f t="shared" si="34"/>
        <v>0</v>
      </c>
      <c r="CB14" s="49">
        <f t="shared" si="35"/>
        <v>1</v>
      </c>
      <c r="CC14" s="49">
        <f t="shared" si="36"/>
        <v>0</v>
      </c>
      <c r="CD14" s="49">
        <f t="shared" si="37"/>
        <v>0</v>
      </c>
      <c r="CE14" s="49">
        <f t="shared" si="38"/>
        <v>0</v>
      </c>
    </row>
    <row r="15" spans="1:83" ht="35.1" customHeight="1" x14ac:dyDescent="0.3">
      <c r="A15" s="123" t="str">
        <f t="shared" si="0"/>
        <v>1팀</v>
      </c>
      <c r="B15" s="69">
        <f t="shared" si="1"/>
        <v>9</v>
      </c>
      <c r="C15" s="119" t="str">
        <f>IF(VLOOKUP($B15,'1. 현장별 인원현황'!$C:$J,2,0)=0,"",VLOOKUP($B15,'1. 현장별 인원현황'!$C:$J,2,0))</f>
        <v xml:space="preserve"> [1.DL건설] 전도관구역 주택재개발 정비사업조합(01공구)</v>
      </c>
      <c r="D15" s="116" t="str">
        <f>IF(VLOOKUP($B15,'1. 현장별 인원현황'!$C:$J,3,0)=0,"",VLOOKUP($B15,'1. 현장별 인원현황'!$C:$J,3,0))</f>
        <v>이봉운</v>
      </c>
      <c r="E15" s="63" t="str">
        <f ca="1">IF(VLOOKUP($B15,'1. 현장별 인원현황'!$C:$J,4,0)=0,"",VLOOKUP($B15,'1. 현장별 인원현황'!$C:$J,4,0))</f>
        <v>44세</v>
      </c>
      <c r="F15" s="63" t="str">
        <f>IF(VLOOKUP($B15,'1. 현장별 인원현황'!$C:$J,7,0)=0,"",VLOOKUP($B15,'1. 현장별 인원현황'!$C:$J,7,0))</f>
        <v>기능공</v>
      </c>
      <c r="G15" s="63" t="str">
        <f>IF(VLOOKUP($B15,'1. 현장별 인원현황'!$C:$J,8,0)=0,"",VLOOKUP($B15,'1. 현장별 인원현황'!$C:$J,8,0))</f>
        <v>전공</v>
      </c>
      <c r="H15" s="67"/>
      <c r="I15" s="73" t="s">
        <v>69</v>
      </c>
      <c r="J15" s="73"/>
      <c r="K15" s="68"/>
      <c r="L15" s="67"/>
      <c r="M15" s="73" t="s">
        <v>69</v>
      </c>
      <c r="N15" s="73"/>
      <c r="O15" s="68"/>
      <c r="P15" s="67"/>
      <c r="Q15" s="73" t="s">
        <v>69</v>
      </c>
      <c r="R15" s="73"/>
      <c r="S15" s="68"/>
      <c r="T15" s="67"/>
      <c r="U15" s="73" t="s">
        <v>69</v>
      </c>
      <c r="V15" s="73"/>
      <c r="W15" s="68"/>
      <c r="X15" s="67"/>
      <c r="Y15" s="73" t="s">
        <v>69</v>
      </c>
      <c r="Z15" s="73"/>
      <c r="AA15" s="68"/>
      <c r="AB15" s="67"/>
      <c r="AC15" s="73" t="s">
        <v>69</v>
      </c>
      <c r="AD15" s="73"/>
      <c r="AE15" s="68"/>
      <c r="AF15" s="67"/>
      <c r="AG15" s="73" t="s">
        <v>69</v>
      </c>
      <c r="AH15" s="73"/>
      <c r="AI15" s="68"/>
      <c r="AJ15" s="67"/>
      <c r="AK15" s="73" t="s">
        <v>69</v>
      </c>
      <c r="AL15" s="73"/>
      <c r="AM15" s="68"/>
      <c r="AN15" s="73" t="s">
        <v>69</v>
      </c>
      <c r="AO15" s="73"/>
      <c r="AP15" s="73"/>
      <c r="AQ15" s="68"/>
      <c r="AR15" s="67">
        <f t="shared" si="2"/>
        <v>80</v>
      </c>
      <c r="AS15" s="68" t="str">
        <f t="shared" si="3"/>
        <v>A</v>
      </c>
      <c r="AV15" s="49">
        <f t="shared" si="39"/>
        <v>0</v>
      </c>
      <c r="AW15" s="49">
        <f t="shared" si="4"/>
        <v>1</v>
      </c>
      <c r="AX15" s="49">
        <f t="shared" si="5"/>
        <v>0</v>
      </c>
      <c r="AY15" s="49">
        <f t="shared" si="6"/>
        <v>0</v>
      </c>
      <c r="AZ15" s="49">
        <f t="shared" si="7"/>
        <v>0</v>
      </c>
      <c r="BA15" s="49">
        <f t="shared" si="8"/>
        <v>1</v>
      </c>
      <c r="BB15" s="49">
        <f t="shared" si="9"/>
        <v>0</v>
      </c>
      <c r="BC15" s="49">
        <f t="shared" si="10"/>
        <v>0</v>
      </c>
      <c r="BD15" s="49">
        <f t="shared" si="11"/>
        <v>0</v>
      </c>
      <c r="BE15" s="49">
        <f t="shared" si="12"/>
        <v>1</v>
      </c>
      <c r="BF15" s="49">
        <f t="shared" si="13"/>
        <v>0</v>
      </c>
      <c r="BG15" s="49">
        <f t="shared" si="14"/>
        <v>0</v>
      </c>
      <c r="BH15" s="49">
        <f t="shared" si="15"/>
        <v>0</v>
      </c>
      <c r="BI15" s="49">
        <f t="shared" si="16"/>
        <v>1</v>
      </c>
      <c r="BJ15" s="49">
        <f t="shared" si="17"/>
        <v>0</v>
      </c>
      <c r="BK15" s="49">
        <f t="shared" si="18"/>
        <v>0</v>
      </c>
      <c r="BL15" s="49">
        <f t="shared" si="19"/>
        <v>0</v>
      </c>
      <c r="BM15" s="49">
        <f t="shared" si="20"/>
        <v>1</v>
      </c>
      <c r="BN15" s="49">
        <f t="shared" si="21"/>
        <v>0</v>
      </c>
      <c r="BO15" s="49">
        <f t="shared" si="22"/>
        <v>0</v>
      </c>
      <c r="BP15" s="49">
        <f t="shared" si="23"/>
        <v>0</v>
      </c>
      <c r="BQ15" s="49">
        <f t="shared" si="24"/>
        <v>1</v>
      </c>
      <c r="BR15" s="49">
        <f t="shared" si="25"/>
        <v>0</v>
      </c>
      <c r="BS15" s="49">
        <f t="shared" si="26"/>
        <v>0</v>
      </c>
      <c r="BT15" s="49">
        <f t="shared" si="27"/>
        <v>0</v>
      </c>
      <c r="BU15" s="49">
        <f t="shared" si="28"/>
        <v>1</v>
      </c>
      <c r="BV15" s="49">
        <f t="shared" si="29"/>
        <v>0</v>
      </c>
      <c r="BW15" s="49">
        <f t="shared" si="30"/>
        <v>0</v>
      </c>
      <c r="BX15" s="49">
        <f t="shared" si="31"/>
        <v>0</v>
      </c>
      <c r="BY15" s="49">
        <f t="shared" si="32"/>
        <v>1</v>
      </c>
      <c r="BZ15" s="49">
        <f t="shared" si="33"/>
        <v>0</v>
      </c>
      <c r="CA15" s="49">
        <f t="shared" si="34"/>
        <v>0</v>
      </c>
      <c r="CB15" s="49">
        <f t="shared" si="35"/>
        <v>1</v>
      </c>
      <c r="CC15" s="49">
        <f t="shared" si="36"/>
        <v>0</v>
      </c>
      <c r="CD15" s="49">
        <f t="shared" si="37"/>
        <v>0</v>
      </c>
      <c r="CE15" s="49">
        <f t="shared" si="38"/>
        <v>0</v>
      </c>
    </row>
    <row r="16" spans="1:83" ht="35.1" customHeight="1" x14ac:dyDescent="0.3">
      <c r="A16" s="123" t="str">
        <f t="shared" si="0"/>
        <v>1팀</v>
      </c>
      <c r="B16" s="69">
        <f t="shared" si="1"/>
        <v>10</v>
      </c>
      <c r="C16" s="119" t="str">
        <f>IF(VLOOKUP($B16,'1. 현장별 인원현황'!$C:$J,2,0)=0,"",VLOOKUP($B16,'1. 현장별 인원현황'!$C:$J,2,0))</f>
        <v xml:space="preserve"> [1.DL건설] 전도관구역 주택재개발 정비사업조합(01공구)</v>
      </c>
      <c r="D16" s="116" t="str">
        <f>IF(VLOOKUP($B16,'1. 현장별 인원현황'!$C:$J,3,0)=0,"",VLOOKUP($B16,'1. 현장별 인원현황'!$C:$J,3,0))</f>
        <v>이상열</v>
      </c>
      <c r="E16" s="63" t="str">
        <f ca="1">IF(VLOOKUP($B16,'1. 현장별 인원현황'!$C:$J,4,0)=0,"",VLOOKUP($B16,'1. 현장별 인원현황'!$C:$J,4,0))</f>
        <v>53세</v>
      </c>
      <c r="F16" s="63" t="str">
        <f>IF(VLOOKUP($B16,'1. 현장별 인원현황'!$C:$J,7,0)=0,"",VLOOKUP($B16,'1. 현장별 인원현황'!$C:$J,7,0))</f>
        <v>기능공</v>
      </c>
      <c r="G16" s="63" t="str">
        <f>IF(VLOOKUP($B16,'1. 현장별 인원현황'!$C:$J,8,0)=0,"",VLOOKUP($B16,'1. 현장별 인원현황'!$C:$J,8,0))</f>
        <v>전공</v>
      </c>
      <c r="H16" s="67" t="s">
        <v>69</v>
      </c>
      <c r="I16" s="73"/>
      <c r="J16" s="73"/>
      <c r="K16" s="68"/>
      <c r="L16" s="67" t="s">
        <v>69</v>
      </c>
      <c r="M16" s="73"/>
      <c r="N16" s="73"/>
      <c r="O16" s="68"/>
      <c r="P16" s="67" t="s">
        <v>69</v>
      </c>
      <c r="Q16" s="73"/>
      <c r="R16" s="73"/>
      <c r="S16" s="68"/>
      <c r="T16" s="67" t="s">
        <v>69</v>
      </c>
      <c r="U16" s="73"/>
      <c r="V16" s="73"/>
      <c r="W16" s="68"/>
      <c r="X16" s="67" t="s">
        <v>69</v>
      </c>
      <c r="Y16" s="73"/>
      <c r="Z16" s="73"/>
      <c r="AA16" s="68"/>
      <c r="AB16" s="67" t="s">
        <v>69</v>
      </c>
      <c r="AC16" s="73"/>
      <c r="AD16" s="73"/>
      <c r="AE16" s="68"/>
      <c r="AF16" s="67" t="s">
        <v>69</v>
      </c>
      <c r="AG16" s="73"/>
      <c r="AH16" s="73"/>
      <c r="AI16" s="68"/>
      <c r="AJ16" s="67" t="s">
        <v>69</v>
      </c>
      <c r="AK16" s="73"/>
      <c r="AL16" s="73"/>
      <c r="AM16" s="68"/>
      <c r="AN16" s="73" t="s">
        <v>69</v>
      </c>
      <c r="AO16" s="73"/>
      <c r="AP16" s="73"/>
      <c r="AQ16" s="68"/>
      <c r="AR16" s="67">
        <f t="shared" si="2"/>
        <v>100</v>
      </c>
      <c r="AS16" s="68" t="str">
        <f t="shared" si="3"/>
        <v>S</v>
      </c>
      <c r="AV16" s="49">
        <f t="shared" si="39"/>
        <v>1</v>
      </c>
      <c r="AW16" s="49">
        <f t="shared" si="4"/>
        <v>0</v>
      </c>
      <c r="AX16" s="49">
        <f t="shared" si="5"/>
        <v>0</v>
      </c>
      <c r="AY16" s="49">
        <f t="shared" si="6"/>
        <v>0</v>
      </c>
      <c r="AZ16" s="49">
        <f t="shared" si="7"/>
        <v>1</v>
      </c>
      <c r="BA16" s="49">
        <f t="shared" si="8"/>
        <v>0</v>
      </c>
      <c r="BB16" s="49">
        <f t="shared" si="9"/>
        <v>0</v>
      </c>
      <c r="BC16" s="49">
        <f t="shared" si="10"/>
        <v>0</v>
      </c>
      <c r="BD16" s="49">
        <f t="shared" si="11"/>
        <v>1</v>
      </c>
      <c r="BE16" s="49">
        <f t="shared" si="12"/>
        <v>0</v>
      </c>
      <c r="BF16" s="49">
        <f t="shared" si="13"/>
        <v>0</v>
      </c>
      <c r="BG16" s="49">
        <f t="shared" si="14"/>
        <v>0</v>
      </c>
      <c r="BH16" s="49">
        <f t="shared" si="15"/>
        <v>1</v>
      </c>
      <c r="BI16" s="49">
        <f t="shared" si="16"/>
        <v>0</v>
      </c>
      <c r="BJ16" s="49">
        <f t="shared" si="17"/>
        <v>0</v>
      </c>
      <c r="BK16" s="49">
        <f t="shared" si="18"/>
        <v>0</v>
      </c>
      <c r="BL16" s="49">
        <f t="shared" si="19"/>
        <v>1</v>
      </c>
      <c r="BM16" s="49">
        <f t="shared" si="20"/>
        <v>0</v>
      </c>
      <c r="BN16" s="49">
        <f t="shared" si="21"/>
        <v>0</v>
      </c>
      <c r="BO16" s="49">
        <f t="shared" si="22"/>
        <v>0</v>
      </c>
      <c r="BP16" s="49">
        <f t="shared" si="23"/>
        <v>1</v>
      </c>
      <c r="BQ16" s="49">
        <f t="shared" si="24"/>
        <v>0</v>
      </c>
      <c r="BR16" s="49">
        <f t="shared" si="25"/>
        <v>0</v>
      </c>
      <c r="BS16" s="49">
        <f t="shared" si="26"/>
        <v>0</v>
      </c>
      <c r="BT16" s="49">
        <f t="shared" si="27"/>
        <v>1</v>
      </c>
      <c r="BU16" s="49">
        <f t="shared" si="28"/>
        <v>0</v>
      </c>
      <c r="BV16" s="49">
        <f t="shared" si="29"/>
        <v>0</v>
      </c>
      <c r="BW16" s="49">
        <f t="shared" si="30"/>
        <v>0</v>
      </c>
      <c r="BX16" s="49">
        <f t="shared" si="31"/>
        <v>1</v>
      </c>
      <c r="BY16" s="49">
        <f t="shared" si="32"/>
        <v>0</v>
      </c>
      <c r="BZ16" s="49">
        <f t="shared" si="33"/>
        <v>0</v>
      </c>
      <c r="CA16" s="49">
        <f t="shared" si="34"/>
        <v>0</v>
      </c>
      <c r="CB16" s="49">
        <f t="shared" si="35"/>
        <v>1</v>
      </c>
      <c r="CC16" s="49">
        <f t="shared" si="36"/>
        <v>0</v>
      </c>
      <c r="CD16" s="49">
        <f t="shared" si="37"/>
        <v>0</v>
      </c>
      <c r="CE16" s="49">
        <f t="shared" si="38"/>
        <v>0</v>
      </c>
    </row>
    <row r="17" spans="1:83" ht="35.1" customHeight="1" x14ac:dyDescent="0.3">
      <c r="A17" s="123" t="str">
        <f t="shared" si="0"/>
        <v>1팀</v>
      </c>
      <c r="B17" s="69">
        <f t="shared" si="1"/>
        <v>11</v>
      </c>
      <c r="C17" s="119" t="str">
        <f>IF(VLOOKUP($B17,'1. 현장별 인원현황'!$C:$J,2,0)=0,"",VLOOKUP($B17,'1. 현장별 인원현황'!$C:$J,2,0))</f>
        <v xml:space="preserve"> [1.DL건설] 전도관구역 주택재개발 정비사업조합(01공구)</v>
      </c>
      <c r="D17" s="116" t="str">
        <f>IF(VLOOKUP($B17,'1. 현장별 인원현황'!$C:$J,3,0)=0,"",VLOOKUP($B17,'1. 현장별 인원현황'!$C:$J,3,0))</f>
        <v>이후승</v>
      </c>
      <c r="E17" s="63" t="str">
        <f ca="1">IF(VLOOKUP($B17,'1. 현장별 인원현황'!$C:$J,4,0)=0,"",VLOOKUP($B17,'1. 현장별 인원현황'!$C:$J,4,0))</f>
        <v>27세</v>
      </c>
      <c r="F17" s="63" t="str">
        <f>IF(VLOOKUP($B17,'1. 현장별 인원현황'!$C:$J,7,0)=0,"",VLOOKUP($B17,'1. 현장별 인원현황'!$C:$J,7,0))</f>
        <v>기능공</v>
      </c>
      <c r="G17" s="63" t="str">
        <f>IF(VLOOKUP($B17,'1. 현장별 인원현황'!$C:$J,8,0)=0,"",VLOOKUP($B17,'1. 현장별 인원현황'!$C:$J,8,0))</f>
        <v>전공</v>
      </c>
      <c r="H17" s="67"/>
      <c r="I17" s="73" t="s">
        <v>69</v>
      </c>
      <c r="J17" s="73"/>
      <c r="K17" s="68"/>
      <c r="L17" s="67" t="s">
        <v>69</v>
      </c>
      <c r="M17" s="73"/>
      <c r="N17" s="73"/>
      <c r="O17" s="68"/>
      <c r="P17" s="67" t="s">
        <v>69</v>
      </c>
      <c r="Q17" s="73"/>
      <c r="R17" s="73"/>
      <c r="S17" s="68"/>
      <c r="T17" s="67"/>
      <c r="U17" s="73" t="s">
        <v>69</v>
      </c>
      <c r="V17" s="73"/>
      <c r="W17" s="68"/>
      <c r="X17" s="67" t="s">
        <v>69</v>
      </c>
      <c r="Y17" s="73"/>
      <c r="Z17" s="73"/>
      <c r="AA17" s="68"/>
      <c r="AB17" s="67" t="s">
        <v>69</v>
      </c>
      <c r="AC17" s="73"/>
      <c r="AD17" s="73"/>
      <c r="AE17" s="68"/>
      <c r="AF17" s="67" t="s">
        <v>69</v>
      </c>
      <c r="AG17" s="73"/>
      <c r="AH17" s="73"/>
      <c r="AI17" s="68"/>
      <c r="AJ17" s="67" t="s">
        <v>69</v>
      </c>
      <c r="AK17" s="73"/>
      <c r="AL17" s="73"/>
      <c r="AM17" s="68"/>
      <c r="AN17" s="73" t="s">
        <v>69</v>
      </c>
      <c r="AO17" s="73"/>
      <c r="AP17" s="73"/>
      <c r="AQ17" s="68"/>
      <c r="AR17" s="67">
        <f t="shared" si="2"/>
        <v>95</v>
      </c>
      <c r="AS17" s="68" t="str">
        <f t="shared" si="3"/>
        <v>S</v>
      </c>
      <c r="AV17" s="49">
        <f t="shared" si="39"/>
        <v>0</v>
      </c>
      <c r="AW17" s="49">
        <f t="shared" si="4"/>
        <v>1</v>
      </c>
      <c r="AX17" s="49">
        <f t="shared" si="5"/>
        <v>0</v>
      </c>
      <c r="AY17" s="49">
        <f t="shared" si="6"/>
        <v>0</v>
      </c>
      <c r="AZ17" s="49">
        <f t="shared" si="7"/>
        <v>1</v>
      </c>
      <c r="BA17" s="49">
        <f t="shared" si="8"/>
        <v>0</v>
      </c>
      <c r="BB17" s="49">
        <f t="shared" si="9"/>
        <v>0</v>
      </c>
      <c r="BC17" s="49">
        <f t="shared" si="10"/>
        <v>0</v>
      </c>
      <c r="BD17" s="49">
        <f t="shared" si="11"/>
        <v>1</v>
      </c>
      <c r="BE17" s="49">
        <f t="shared" si="12"/>
        <v>0</v>
      </c>
      <c r="BF17" s="49">
        <f t="shared" si="13"/>
        <v>0</v>
      </c>
      <c r="BG17" s="49">
        <f t="shared" si="14"/>
        <v>0</v>
      </c>
      <c r="BH17" s="49">
        <f t="shared" si="15"/>
        <v>0</v>
      </c>
      <c r="BI17" s="49">
        <f t="shared" si="16"/>
        <v>1</v>
      </c>
      <c r="BJ17" s="49">
        <f t="shared" si="17"/>
        <v>0</v>
      </c>
      <c r="BK17" s="49">
        <f t="shared" si="18"/>
        <v>0</v>
      </c>
      <c r="BL17" s="49">
        <f t="shared" si="19"/>
        <v>1</v>
      </c>
      <c r="BM17" s="49">
        <f t="shared" si="20"/>
        <v>0</v>
      </c>
      <c r="BN17" s="49">
        <f t="shared" si="21"/>
        <v>0</v>
      </c>
      <c r="BO17" s="49">
        <f t="shared" si="22"/>
        <v>0</v>
      </c>
      <c r="BP17" s="49">
        <f t="shared" si="23"/>
        <v>1</v>
      </c>
      <c r="BQ17" s="49">
        <f t="shared" si="24"/>
        <v>0</v>
      </c>
      <c r="BR17" s="49">
        <f t="shared" si="25"/>
        <v>0</v>
      </c>
      <c r="BS17" s="49">
        <f t="shared" si="26"/>
        <v>0</v>
      </c>
      <c r="BT17" s="49">
        <f t="shared" si="27"/>
        <v>1</v>
      </c>
      <c r="BU17" s="49">
        <f t="shared" si="28"/>
        <v>0</v>
      </c>
      <c r="BV17" s="49">
        <f t="shared" si="29"/>
        <v>0</v>
      </c>
      <c r="BW17" s="49">
        <f t="shared" si="30"/>
        <v>0</v>
      </c>
      <c r="BX17" s="49">
        <f t="shared" si="31"/>
        <v>1</v>
      </c>
      <c r="BY17" s="49">
        <f t="shared" si="32"/>
        <v>0</v>
      </c>
      <c r="BZ17" s="49">
        <f t="shared" si="33"/>
        <v>0</v>
      </c>
      <c r="CA17" s="49">
        <f t="shared" si="34"/>
        <v>0</v>
      </c>
      <c r="CB17" s="49">
        <f t="shared" si="35"/>
        <v>1</v>
      </c>
      <c r="CC17" s="49">
        <f t="shared" si="36"/>
        <v>0</v>
      </c>
      <c r="CD17" s="49">
        <f t="shared" si="37"/>
        <v>0</v>
      </c>
      <c r="CE17" s="49">
        <f t="shared" si="38"/>
        <v>0</v>
      </c>
    </row>
    <row r="18" spans="1:83" ht="35.1" customHeight="1" x14ac:dyDescent="0.3">
      <c r="A18" s="123" t="str">
        <f t="shared" si="0"/>
        <v>1팀</v>
      </c>
      <c r="B18" s="69">
        <f t="shared" si="1"/>
        <v>12</v>
      </c>
      <c r="C18" s="119" t="str">
        <f>IF(VLOOKUP($B18,'1. 현장별 인원현황'!$C:$J,2,0)=0,"",VLOOKUP($B18,'1. 현장별 인원현황'!$C:$J,2,0))</f>
        <v xml:space="preserve"> [1.DL건설] 전도관구역 주택재개발 정비사업조합(01공구)</v>
      </c>
      <c r="D18" s="116" t="str">
        <f>IF(VLOOKUP($B18,'1. 현장별 인원현황'!$C:$J,3,0)=0,"",VLOOKUP($B18,'1. 현장별 인원현황'!$C:$J,3,0))</f>
        <v>조해제</v>
      </c>
      <c r="E18" s="63" t="str">
        <f ca="1">IF(VLOOKUP($B18,'1. 현장별 인원현황'!$C:$J,4,0)=0,"",VLOOKUP($B18,'1. 현장별 인원현황'!$C:$J,4,0))</f>
        <v>62세</v>
      </c>
      <c r="F18" s="63" t="str">
        <f>IF(VLOOKUP($B18,'1. 현장별 인원현황'!$C:$J,7,0)=0,"",VLOOKUP($B18,'1. 현장별 인원현황'!$C:$J,7,0))</f>
        <v>기능공</v>
      </c>
      <c r="G18" s="63" t="str">
        <f>IF(VLOOKUP($B18,'1. 현장별 인원현황'!$C:$J,8,0)=0,"",VLOOKUP($B18,'1. 현장별 인원현황'!$C:$J,8,0))</f>
        <v>전공</v>
      </c>
      <c r="H18" s="67" t="s">
        <v>69</v>
      </c>
      <c r="I18" s="73"/>
      <c r="J18" s="73"/>
      <c r="K18" s="68"/>
      <c r="L18" s="67"/>
      <c r="M18" s="73" t="s">
        <v>69</v>
      </c>
      <c r="N18" s="73"/>
      <c r="O18" s="68"/>
      <c r="P18" s="67" t="s">
        <v>69</v>
      </c>
      <c r="Q18" s="73"/>
      <c r="R18" s="73"/>
      <c r="S18" s="68"/>
      <c r="T18" s="67"/>
      <c r="U18" s="73" t="s">
        <v>69</v>
      </c>
      <c r="V18" s="73"/>
      <c r="W18" s="68"/>
      <c r="X18" s="67" t="s">
        <v>69</v>
      </c>
      <c r="Y18" s="73"/>
      <c r="Z18" s="73"/>
      <c r="AA18" s="68"/>
      <c r="AB18" s="67" t="s">
        <v>69</v>
      </c>
      <c r="AC18" s="73"/>
      <c r="AD18" s="73"/>
      <c r="AE18" s="68"/>
      <c r="AF18" s="67" t="s">
        <v>69</v>
      </c>
      <c r="AG18" s="73"/>
      <c r="AH18" s="73"/>
      <c r="AI18" s="68"/>
      <c r="AJ18" s="67" t="s">
        <v>69</v>
      </c>
      <c r="AK18" s="73"/>
      <c r="AL18" s="73"/>
      <c r="AM18" s="68"/>
      <c r="AN18" s="73" t="s">
        <v>69</v>
      </c>
      <c r="AO18" s="73"/>
      <c r="AP18" s="73"/>
      <c r="AQ18" s="68"/>
      <c r="AR18" s="67">
        <f t="shared" si="2"/>
        <v>95</v>
      </c>
      <c r="AS18" s="68" t="str">
        <f t="shared" si="3"/>
        <v>S</v>
      </c>
      <c r="AV18" s="49">
        <f t="shared" si="39"/>
        <v>1</v>
      </c>
      <c r="AW18" s="49">
        <f t="shared" si="4"/>
        <v>0</v>
      </c>
      <c r="AX18" s="49">
        <f t="shared" si="5"/>
        <v>0</v>
      </c>
      <c r="AY18" s="49">
        <f t="shared" si="6"/>
        <v>0</v>
      </c>
      <c r="AZ18" s="49">
        <f t="shared" si="7"/>
        <v>0</v>
      </c>
      <c r="BA18" s="49">
        <f t="shared" si="8"/>
        <v>1</v>
      </c>
      <c r="BB18" s="49">
        <f t="shared" si="9"/>
        <v>0</v>
      </c>
      <c r="BC18" s="49">
        <f t="shared" si="10"/>
        <v>0</v>
      </c>
      <c r="BD18" s="49">
        <f t="shared" si="11"/>
        <v>1</v>
      </c>
      <c r="BE18" s="49">
        <f t="shared" si="12"/>
        <v>0</v>
      </c>
      <c r="BF18" s="49">
        <f t="shared" si="13"/>
        <v>0</v>
      </c>
      <c r="BG18" s="49">
        <f t="shared" si="14"/>
        <v>0</v>
      </c>
      <c r="BH18" s="49">
        <f t="shared" si="15"/>
        <v>0</v>
      </c>
      <c r="BI18" s="49">
        <f t="shared" si="16"/>
        <v>1</v>
      </c>
      <c r="BJ18" s="49">
        <f t="shared" si="17"/>
        <v>0</v>
      </c>
      <c r="BK18" s="49">
        <f t="shared" si="18"/>
        <v>0</v>
      </c>
      <c r="BL18" s="49">
        <f t="shared" si="19"/>
        <v>1</v>
      </c>
      <c r="BM18" s="49">
        <f t="shared" si="20"/>
        <v>0</v>
      </c>
      <c r="BN18" s="49">
        <f t="shared" si="21"/>
        <v>0</v>
      </c>
      <c r="BO18" s="49">
        <f t="shared" si="22"/>
        <v>0</v>
      </c>
      <c r="BP18" s="49">
        <f t="shared" si="23"/>
        <v>1</v>
      </c>
      <c r="BQ18" s="49">
        <f t="shared" si="24"/>
        <v>0</v>
      </c>
      <c r="BR18" s="49">
        <f t="shared" si="25"/>
        <v>0</v>
      </c>
      <c r="BS18" s="49">
        <f t="shared" si="26"/>
        <v>0</v>
      </c>
      <c r="BT18" s="49">
        <f t="shared" si="27"/>
        <v>1</v>
      </c>
      <c r="BU18" s="49">
        <f t="shared" si="28"/>
        <v>0</v>
      </c>
      <c r="BV18" s="49">
        <f t="shared" si="29"/>
        <v>0</v>
      </c>
      <c r="BW18" s="49">
        <f t="shared" si="30"/>
        <v>0</v>
      </c>
      <c r="BX18" s="49">
        <f t="shared" si="31"/>
        <v>1</v>
      </c>
      <c r="BY18" s="49">
        <f t="shared" si="32"/>
        <v>0</v>
      </c>
      <c r="BZ18" s="49">
        <f t="shared" si="33"/>
        <v>0</v>
      </c>
      <c r="CA18" s="49">
        <f t="shared" si="34"/>
        <v>0</v>
      </c>
      <c r="CB18" s="49">
        <f t="shared" si="35"/>
        <v>1</v>
      </c>
      <c r="CC18" s="49">
        <f t="shared" si="36"/>
        <v>0</v>
      </c>
      <c r="CD18" s="49">
        <f t="shared" si="37"/>
        <v>0</v>
      </c>
      <c r="CE18" s="49">
        <f t="shared" si="38"/>
        <v>0</v>
      </c>
    </row>
    <row r="19" spans="1:83" ht="35.1" customHeight="1" x14ac:dyDescent="0.3">
      <c r="A19" s="123" t="str">
        <f t="shared" si="0"/>
        <v>1팀</v>
      </c>
      <c r="B19" s="69">
        <f t="shared" si="1"/>
        <v>13</v>
      </c>
      <c r="C19" s="119" t="str">
        <f>IF(VLOOKUP($B19,'1. 현장별 인원현황'!$C:$J,2,0)=0,"",VLOOKUP($B19,'1. 현장별 인원현황'!$C:$J,2,0))</f>
        <v xml:space="preserve"> [1.대우건설] 고양향동 지원1BL 지식산업센터 신축공사</v>
      </c>
      <c r="D19" s="116" t="str">
        <f>IF(VLOOKUP($B19,'1. 현장별 인원현황'!$C:$J,3,0)=0,"",VLOOKUP($B19,'1. 현장별 인원현황'!$C:$J,3,0))</f>
        <v>홍병수</v>
      </c>
      <c r="E19" s="63" t="str">
        <f ca="1">IF(VLOOKUP($B19,'1. 현장별 인원현황'!$C:$J,4,0)=0,"",VLOOKUP($B19,'1. 현장별 인원현황'!$C:$J,4,0))</f>
        <v>44세</v>
      </c>
      <c r="F19" s="63" t="str">
        <f>IF(VLOOKUP($B19,'1. 현장별 인원현황'!$C:$J,7,0)=0,"",VLOOKUP($B19,'1. 현장별 인원현황'!$C:$J,7,0))</f>
        <v>공무</v>
      </c>
      <c r="G19" s="63" t="str">
        <f>IF(VLOOKUP($B19,'1. 현장별 인원현황'!$C:$J,8,0)=0,"",VLOOKUP($B19,'1. 현장별 인원현황'!$C:$J,8,0))</f>
        <v>과장</v>
      </c>
      <c r="H19" s="67" t="s">
        <v>69</v>
      </c>
      <c r="I19" s="73"/>
      <c r="J19" s="73"/>
      <c r="K19" s="68"/>
      <c r="L19" s="67" t="s">
        <v>69</v>
      </c>
      <c r="M19" s="73"/>
      <c r="N19" s="73"/>
      <c r="O19" s="68"/>
      <c r="P19" s="67" t="s">
        <v>69</v>
      </c>
      <c r="Q19" s="73"/>
      <c r="R19" s="73"/>
      <c r="S19" s="68"/>
      <c r="T19" s="67" t="s">
        <v>69</v>
      </c>
      <c r="U19" s="73"/>
      <c r="V19" s="73"/>
      <c r="W19" s="68"/>
      <c r="X19" s="67" t="s">
        <v>69</v>
      </c>
      <c r="Y19" s="73"/>
      <c r="Z19" s="73"/>
      <c r="AA19" s="68"/>
      <c r="AB19" s="67" t="s">
        <v>69</v>
      </c>
      <c r="AC19" s="73"/>
      <c r="AD19" s="73"/>
      <c r="AE19" s="68"/>
      <c r="AF19" s="67" t="s">
        <v>69</v>
      </c>
      <c r="AG19" s="73"/>
      <c r="AH19" s="73"/>
      <c r="AI19" s="68"/>
      <c r="AJ19" s="67" t="s">
        <v>69</v>
      </c>
      <c r="AK19" s="73"/>
      <c r="AL19" s="73"/>
      <c r="AM19" s="68"/>
      <c r="AN19" s="73" t="s">
        <v>69</v>
      </c>
      <c r="AO19" s="73"/>
      <c r="AP19" s="73"/>
      <c r="AQ19" s="68"/>
      <c r="AR19" s="67">
        <f t="shared" si="2"/>
        <v>100</v>
      </c>
      <c r="AS19" s="68" t="str">
        <f t="shared" si="3"/>
        <v>S</v>
      </c>
      <c r="AV19" s="49">
        <f t="shared" si="39"/>
        <v>1</v>
      </c>
      <c r="AW19" s="49">
        <f t="shared" si="4"/>
        <v>0</v>
      </c>
      <c r="AX19" s="49">
        <f t="shared" si="5"/>
        <v>0</v>
      </c>
      <c r="AY19" s="49">
        <f t="shared" si="6"/>
        <v>0</v>
      </c>
      <c r="AZ19" s="49">
        <f t="shared" si="7"/>
        <v>1</v>
      </c>
      <c r="BA19" s="49">
        <f t="shared" si="8"/>
        <v>0</v>
      </c>
      <c r="BB19" s="49">
        <f t="shared" si="9"/>
        <v>0</v>
      </c>
      <c r="BC19" s="49">
        <f t="shared" si="10"/>
        <v>0</v>
      </c>
      <c r="BD19" s="49">
        <f t="shared" si="11"/>
        <v>1</v>
      </c>
      <c r="BE19" s="49">
        <f t="shared" si="12"/>
        <v>0</v>
      </c>
      <c r="BF19" s="49">
        <f t="shared" si="13"/>
        <v>0</v>
      </c>
      <c r="BG19" s="49">
        <f t="shared" si="14"/>
        <v>0</v>
      </c>
      <c r="BH19" s="49">
        <f t="shared" si="15"/>
        <v>1</v>
      </c>
      <c r="BI19" s="49">
        <f t="shared" si="16"/>
        <v>0</v>
      </c>
      <c r="BJ19" s="49">
        <f t="shared" si="17"/>
        <v>0</v>
      </c>
      <c r="BK19" s="49">
        <f t="shared" si="18"/>
        <v>0</v>
      </c>
      <c r="BL19" s="49">
        <f t="shared" si="19"/>
        <v>1</v>
      </c>
      <c r="BM19" s="49">
        <f t="shared" si="20"/>
        <v>0</v>
      </c>
      <c r="BN19" s="49">
        <f t="shared" si="21"/>
        <v>0</v>
      </c>
      <c r="BO19" s="49">
        <f t="shared" si="22"/>
        <v>0</v>
      </c>
      <c r="BP19" s="49">
        <f t="shared" si="23"/>
        <v>1</v>
      </c>
      <c r="BQ19" s="49">
        <f t="shared" si="24"/>
        <v>0</v>
      </c>
      <c r="BR19" s="49">
        <f t="shared" si="25"/>
        <v>0</v>
      </c>
      <c r="BS19" s="49">
        <f t="shared" si="26"/>
        <v>0</v>
      </c>
      <c r="BT19" s="49">
        <f t="shared" si="27"/>
        <v>1</v>
      </c>
      <c r="BU19" s="49">
        <f t="shared" si="28"/>
        <v>0</v>
      </c>
      <c r="BV19" s="49">
        <f t="shared" si="29"/>
        <v>0</v>
      </c>
      <c r="BW19" s="49">
        <f t="shared" si="30"/>
        <v>0</v>
      </c>
      <c r="BX19" s="49">
        <f t="shared" si="31"/>
        <v>1</v>
      </c>
      <c r="BY19" s="49">
        <f t="shared" si="32"/>
        <v>0</v>
      </c>
      <c r="BZ19" s="49">
        <f t="shared" si="33"/>
        <v>0</v>
      </c>
      <c r="CA19" s="49">
        <f t="shared" si="34"/>
        <v>0</v>
      </c>
      <c r="CB19" s="49">
        <f t="shared" si="35"/>
        <v>1</v>
      </c>
      <c r="CC19" s="49">
        <f t="shared" si="36"/>
        <v>0</v>
      </c>
      <c r="CD19" s="49">
        <f t="shared" si="37"/>
        <v>0</v>
      </c>
      <c r="CE19" s="49">
        <f t="shared" si="38"/>
        <v>0</v>
      </c>
    </row>
    <row r="20" spans="1:83" ht="35.1" customHeight="1" x14ac:dyDescent="0.3">
      <c r="A20" s="123" t="str">
        <f t="shared" si="0"/>
        <v>1팀</v>
      </c>
      <c r="B20" s="69">
        <f t="shared" si="1"/>
        <v>14</v>
      </c>
      <c r="C20" s="119" t="str">
        <f>IF(VLOOKUP($B20,'1. 현장별 인원현황'!$C:$J,2,0)=0,"",VLOOKUP($B20,'1. 현장별 인원현황'!$C:$J,2,0))</f>
        <v xml:space="preserve"> [1.대우건설] 고양향동 지원1BL 지식산업센터 신축공사</v>
      </c>
      <c r="D20" s="116" t="str">
        <f>IF(VLOOKUP($B20,'1. 현장별 인원현황'!$C:$J,3,0)=0,"",VLOOKUP($B20,'1. 현장별 인원현황'!$C:$J,3,0))</f>
        <v>남치원</v>
      </c>
      <c r="E20" s="63" t="str">
        <f ca="1">IF(VLOOKUP($B20,'1. 현장별 인원현황'!$C:$J,4,0)=0,"",VLOOKUP($B20,'1. 현장별 인원현황'!$C:$J,4,0))</f>
        <v>63세</v>
      </c>
      <c r="F20" s="63" t="str">
        <f>IF(VLOOKUP($B20,'1. 현장별 인원현황'!$C:$J,7,0)=0,"",VLOOKUP($B20,'1. 현장별 인원현황'!$C:$J,7,0))</f>
        <v>공사</v>
      </c>
      <c r="G20" s="63" t="str">
        <f>IF(VLOOKUP($B20,'1. 현장별 인원현황'!$C:$J,8,0)=0,"",VLOOKUP($B20,'1. 현장별 인원현황'!$C:$J,8,0))</f>
        <v>차장</v>
      </c>
      <c r="H20" s="67" t="s">
        <v>69</v>
      </c>
      <c r="I20" s="73"/>
      <c r="J20" s="73"/>
      <c r="K20" s="68"/>
      <c r="L20" s="67" t="s">
        <v>69</v>
      </c>
      <c r="M20" s="73"/>
      <c r="N20" s="73"/>
      <c r="O20" s="68"/>
      <c r="P20" s="67" t="s">
        <v>69</v>
      </c>
      <c r="Q20" s="73"/>
      <c r="R20" s="73"/>
      <c r="S20" s="68"/>
      <c r="T20" s="67" t="s">
        <v>69</v>
      </c>
      <c r="U20" s="73"/>
      <c r="V20" s="73"/>
      <c r="W20" s="68"/>
      <c r="X20" s="67" t="s">
        <v>69</v>
      </c>
      <c r="Y20" s="73"/>
      <c r="Z20" s="73"/>
      <c r="AA20" s="68"/>
      <c r="AB20" s="67" t="s">
        <v>69</v>
      </c>
      <c r="AC20" s="73"/>
      <c r="AD20" s="73"/>
      <c r="AE20" s="68"/>
      <c r="AF20" s="67" t="s">
        <v>69</v>
      </c>
      <c r="AG20" s="73"/>
      <c r="AH20" s="73"/>
      <c r="AI20" s="68"/>
      <c r="AJ20" s="67" t="s">
        <v>69</v>
      </c>
      <c r="AK20" s="73"/>
      <c r="AL20" s="73"/>
      <c r="AM20" s="68"/>
      <c r="AN20" s="73" t="s">
        <v>69</v>
      </c>
      <c r="AO20" s="73"/>
      <c r="AP20" s="73"/>
      <c r="AQ20" s="68"/>
      <c r="AR20" s="67">
        <f t="shared" si="2"/>
        <v>100</v>
      </c>
      <c r="AS20" s="68" t="str">
        <f t="shared" si="3"/>
        <v>S</v>
      </c>
      <c r="AV20" s="49">
        <f t="shared" si="39"/>
        <v>1</v>
      </c>
      <c r="AW20" s="49">
        <f t="shared" si="4"/>
        <v>0</v>
      </c>
      <c r="AX20" s="49">
        <f t="shared" si="5"/>
        <v>0</v>
      </c>
      <c r="AY20" s="49">
        <f t="shared" si="6"/>
        <v>0</v>
      </c>
      <c r="AZ20" s="49">
        <f t="shared" si="7"/>
        <v>1</v>
      </c>
      <c r="BA20" s="49">
        <f t="shared" si="8"/>
        <v>0</v>
      </c>
      <c r="BB20" s="49">
        <f t="shared" si="9"/>
        <v>0</v>
      </c>
      <c r="BC20" s="49">
        <f t="shared" si="10"/>
        <v>0</v>
      </c>
      <c r="BD20" s="49">
        <f t="shared" si="11"/>
        <v>1</v>
      </c>
      <c r="BE20" s="49">
        <f t="shared" si="12"/>
        <v>0</v>
      </c>
      <c r="BF20" s="49">
        <f t="shared" si="13"/>
        <v>0</v>
      </c>
      <c r="BG20" s="49">
        <f t="shared" si="14"/>
        <v>0</v>
      </c>
      <c r="BH20" s="49">
        <f t="shared" si="15"/>
        <v>1</v>
      </c>
      <c r="BI20" s="49">
        <f t="shared" si="16"/>
        <v>0</v>
      </c>
      <c r="BJ20" s="49">
        <f t="shared" si="17"/>
        <v>0</v>
      </c>
      <c r="BK20" s="49">
        <f t="shared" si="18"/>
        <v>0</v>
      </c>
      <c r="BL20" s="49">
        <f t="shared" si="19"/>
        <v>1</v>
      </c>
      <c r="BM20" s="49">
        <f t="shared" si="20"/>
        <v>0</v>
      </c>
      <c r="BN20" s="49">
        <f t="shared" si="21"/>
        <v>0</v>
      </c>
      <c r="BO20" s="49">
        <f t="shared" si="22"/>
        <v>0</v>
      </c>
      <c r="BP20" s="49">
        <f t="shared" si="23"/>
        <v>1</v>
      </c>
      <c r="BQ20" s="49">
        <f t="shared" si="24"/>
        <v>0</v>
      </c>
      <c r="BR20" s="49">
        <f t="shared" si="25"/>
        <v>0</v>
      </c>
      <c r="BS20" s="49">
        <f t="shared" si="26"/>
        <v>0</v>
      </c>
      <c r="BT20" s="49">
        <f t="shared" si="27"/>
        <v>1</v>
      </c>
      <c r="BU20" s="49">
        <f t="shared" si="28"/>
        <v>0</v>
      </c>
      <c r="BV20" s="49">
        <f t="shared" si="29"/>
        <v>0</v>
      </c>
      <c r="BW20" s="49">
        <f t="shared" si="30"/>
        <v>0</v>
      </c>
      <c r="BX20" s="49">
        <f t="shared" si="31"/>
        <v>1</v>
      </c>
      <c r="BY20" s="49">
        <f t="shared" si="32"/>
        <v>0</v>
      </c>
      <c r="BZ20" s="49">
        <f t="shared" si="33"/>
        <v>0</v>
      </c>
      <c r="CA20" s="49">
        <f t="shared" si="34"/>
        <v>0</v>
      </c>
      <c r="CB20" s="49">
        <f t="shared" si="35"/>
        <v>1</v>
      </c>
      <c r="CC20" s="49">
        <f t="shared" si="36"/>
        <v>0</v>
      </c>
      <c r="CD20" s="49">
        <f t="shared" si="37"/>
        <v>0</v>
      </c>
      <c r="CE20" s="49">
        <f t="shared" si="38"/>
        <v>0</v>
      </c>
    </row>
    <row r="21" spans="1:83" ht="35.1" customHeight="1" x14ac:dyDescent="0.3">
      <c r="A21" s="123" t="str">
        <f t="shared" si="0"/>
        <v>1팀</v>
      </c>
      <c r="B21" s="69">
        <f t="shared" si="1"/>
        <v>15</v>
      </c>
      <c r="C21" s="119" t="str">
        <f>IF(VLOOKUP($B21,'1. 현장별 인원현황'!$C:$J,2,0)=0,"",VLOOKUP($B21,'1. 현장별 인원현황'!$C:$J,2,0))</f>
        <v xml:space="preserve"> [1.대우건설] 고양향동 지원1BL 지식산업센터 신축공사</v>
      </c>
      <c r="D21" s="116" t="str">
        <f>IF(VLOOKUP($B21,'1. 현장별 인원현황'!$C:$J,3,0)=0,"",VLOOKUP($B21,'1. 현장별 인원현황'!$C:$J,3,0))</f>
        <v>문대준</v>
      </c>
      <c r="E21" s="63" t="str">
        <f ca="1">IF(VLOOKUP($B21,'1. 현장별 인원현황'!$C:$J,4,0)=0,"",VLOOKUP($B21,'1. 현장별 인원현황'!$C:$J,4,0))</f>
        <v>58세</v>
      </c>
      <c r="F21" s="63" t="str">
        <f>IF(VLOOKUP($B21,'1. 현장별 인원현황'!$C:$J,7,0)=0,"",VLOOKUP($B21,'1. 현장별 인원현황'!$C:$J,7,0))</f>
        <v>공사</v>
      </c>
      <c r="G21" s="63" t="str">
        <f>IF(VLOOKUP($B21,'1. 현장별 인원현황'!$C:$J,8,0)=0,"",VLOOKUP($B21,'1. 현장별 인원현황'!$C:$J,8,0))</f>
        <v>차장</v>
      </c>
      <c r="H21" s="67"/>
      <c r="I21" s="73" t="s">
        <v>69</v>
      </c>
      <c r="J21" s="73"/>
      <c r="K21" s="68"/>
      <c r="L21" s="67" t="s">
        <v>69</v>
      </c>
      <c r="M21" s="73"/>
      <c r="N21" s="73"/>
      <c r="O21" s="68"/>
      <c r="P21" s="67"/>
      <c r="Q21" s="73" t="s">
        <v>69</v>
      </c>
      <c r="R21" s="73"/>
      <c r="S21" s="68"/>
      <c r="T21" s="67"/>
      <c r="U21" s="73" t="s">
        <v>69</v>
      </c>
      <c r="V21" s="73"/>
      <c r="W21" s="68"/>
      <c r="X21" s="67"/>
      <c r="Y21" s="73" t="s">
        <v>69</v>
      </c>
      <c r="Z21" s="73"/>
      <c r="AA21" s="68"/>
      <c r="AB21" s="67" t="s">
        <v>69</v>
      </c>
      <c r="AC21" s="73"/>
      <c r="AD21" s="73"/>
      <c r="AE21" s="68"/>
      <c r="AF21" s="67"/>
      <c r="AG21" s="73" t="s">
        <v>69</v>
      </c>
      <c r="AH21" s="73"/>
      <c r="AI21" s="68"/>
      <c r="AJ21" s="67" t="s">
        <v>69</v>
      </c>
      <c r="AK21" s="73"/>
      <c r="AL21" s="73"/>
      <c r="AM21" s="68"/>
      <c r="AN21" s="73" t="s">
        <v>69</v>
      </c>
      <c r="AO21" s="73"/>
      <c r="AP21" s="73"/>
      <c r="AQ21" s="68"/>
      <c r="AR21" s="67">
        <f t="shared" si="2"/>
        <v>88</v>
      </c>
      <c r="AS21" s="68" t="str">
        <f t="shared" si="3"/>
        <v>S</v>
      </c>
      <c r="AV21" s="49">
        <f t="shared" si="39"/>
        <v>0</v>
      </c>
      <c r="AW21" s="49">
        <f t="shared" si="4"/>
        <v>1</v>
      </c>
      <c r="AX21" s="49">
        <f t="shared" si="5"/>
        <v>0</v>
      </c>
      <c r="AY21" s="49">
        <f t="shared" si="6"/>
        <v>0</v>
      </c>
      <c r="AZ21" s="49">
        <f t="shared" si="7"/>
        <v>1</v>
      </c>
      <c r="BA21" s="49">
        <f t="shared" si="8"/>
        <v>0</v>
      </c>
      <c r="BB21" s="49">
        <f t="shared" si="9"/>
        <v>0</v>
      </c>
      <c r="BC21" s="49">
        <f t="shared" si="10"/>
        <v>0</v>
      </c>
      <c r="BD21" s="49">
        <f t="shared" si="11"/>
        <v>0</v>
      </c>
      <c r="BE21" s="49">
        <f t="shared" si="12"/>
        <v>1</v>
      </c>
      <c r="BF21" s="49">
        <f t="shared" si="13"/>
        <v>0</v>
      </c>
      <c r="BG21" s="49">
        <f t="shared" si="14"/>
        <v>0</v>
      </c>
      <c r="BH21" s="49">
        <f t="shared" si="15"/>
        <v>0</v>
      </c>
      <c r="BI21" s="49">
        <f t="shared" si="16"/>
        <v>1</v>
      </c>
      <c r="BJ21" s="49">
        <f t="shared" si="17"/>
        <v>0</v>
      </c>
      <c r="BK21" s="49">
        <f t="shared" si="18"/>
        <v>0</v>
      </c>
      <c r="BL21" s="49">
        <f t="shared" si="19"/>
        <v>0</v>
      </c>
      <c r="BM21" s="49">
        <f t="shared" si="20"/>
        <v>1</v>
      </c>
      <c r="BN21" s="49">
        <f t="shared" si="21"/>
        <v>0</v>
      </c>
      <c r="BO21" s="49">
        <f t="shared" si="22"/>
        <v>0</v>
      </c>
      <c r="BP21" s="49">
        <f t="shared" si="23"/>
        <v>1</v>
      </c>
      <c r="BQ21" s="49">
        <f t="shared" si="24"/>
        <v>0</v>
      </c>
      <c r="BR21" s="49">
        <f t="shared" si="25"/>
        <v>0</v>
      </c>
      <c r="BS21" s="49">
        <f t="shared" si="26"/>
        <v>0</v>
      </c>
      <c r="BT21" s="49">
        <f t="shared" si="27"/>
        <v>0</v>
      </c>
      <c r="BU21" s="49">
        <f t="shared" si="28"/>
        <v>1</v>
      </c>
      <c r="BV21" s="49">
        <f t="shared" si="29"/>
        <v>0</v>
      </c>
      <c r="BW21" s="49">
        <f t="shared" si="30"/>
        <v>0</v>
      </c>
      <c r="BX21" s="49">
        <f t="shared" si="31"/>
        <v>1</v>
      </c>
      <c r="BY21" s="49">
        <f t="shared" si="32"/>
        <v>0</v>
      </c>
      <c r="BZ21" s="49">
        <f t="shared" si="33"/>
        <v>0</v>
      </c>
      <c r="CA21" s="49">
        <f t="shared" si="34"/>
        <v>0</v>
      </c>
      <c r="CB21" s="49">
        <f t="shared" si="35"/>
        <v>1</v>
      </c>
      <c r="CC21" s="49">
        <f t="shared" si="36"/>
        <v>0</v>
      </c>
      <c r="CD21" s="49">
        <f t="shared" si="37"/>
        <v>0</v>
      </c>
      <c r="CE21" s="49">
        <f t="shared" si="38"/>
        <v>0</v>
      </c>
    </row>
    <row r="22" spans="1:83" ht="35.1" customHeight="1" x14ac:dyDescent="0.3">
      <c r="A22" s="123" t="str">
        <f t="shared" si="0"/>
        <v>1팀</v>
      </c>
      <c r="B22" s="69">
        <f t="shared" si="1"/>
        <v>16</v>
      </c>
      <c r="C22" s="119" t="str">
        <f>IF(VLOOKUP($B22,'1. 현장별 인원현황'!$C:$J,2,0)=0,"",VLOOKUP($B22,'1. 현장별 인원현황'!$C:$J,2,0))</f>
        <v xml:space="preserve"> [1.대우건설] 고양향동 지원1BL 지식산업센터 신축공사</v>
      </c>
      <c r="D22" s="116" t="str">
        <f>IF(VLOOKUP($B22,'1. 현장별 인원현황'!$C:$J,3,0)=0,"",VLOOKUP($B22,'1. 현장별 인원현황'!$C:$J,3,0))</f>
        <v>김인철</v>
      </c>
      <c r="E22" s="63" t="str">
        <f ca="1">IF(VLOOKUP($B22,'1. 현장별 인원현황'!$C:$J,4,0)=0,"",VLOOKUP($B22,'1. 현장별 인원현황'!$C:$J,4,0))</f>
        <v>68세</v>
      </c>
      <c r="F22" s="63" t="str">
        <f>IF(VLOOKUP($B22,'1. 현장별 인원현황'!$C:$J,7,0)=0,"",VLOOKUP($B22,'1. 현장별 인원현황'!$C:$J,7,0))</f>
        <v>기능공</v>
      </c>
      <c r="G22" s="63" t="str">
        <f>IF(VLOOKUP($B22,'1. 현장별 인원현황'!$C:$J,8,0)=0,"",VLOOKUP($B22,'1. 현장별 인원현황'!$C:$J,8,0))</f>
        <v>전공</v>
      </c>
      <c r="H22" s="67"/>
      <c r="I22" s="73" t="s">
        <v>69</v>
      </c>
      <c r="J22" s="73"/>
      <c r="K22" s="68"/>
      <c r="L22" s="67" t="s">
        <v>69</v>
      </c>
      <c r="M22" s="73"/>
      <c r="N22" s="73"/>
      <c r="O22" s="68"/>
      <c r="P22" s="67"/>
      <c r="Q22" s="73" t="s">
        <v>69</v>
      </c>
      <c r="R22" s="73"/>
      <c r="S22" s="68"/>
      <c r="T22" s="67"/>
      <c r="U22" s="73" t="s">
        <v>69</v>
      </c>
      <c r="V22" s="73"/>
      <c r="W22" s="68"/>
      <c r="X22" s="67"/>
      <c r="Y22" s="73" t="s">
        <v>69</v>
      </c>
      <c r="Z22" s="73"/>
      <c r="AA22" s="68"/>
      <c r="AB22" s="67"/>
      <c r="AC22" s="73" t="s">
        <v>69</v>
      </c>
      <c r="AD22" s="73"/>
      <c r="AE22" s="68"/>
      <c r="AF22" s="67"/>
      <c r="AG22" s="73" t="s">
        <v>69</v>
      </c>
      <c r="AH22" s="73"/>
      <c r="AI22" s="68"/>
      <c r="AJ22" s="67" t="s">
        <v>69</v>
      </c>
      <c r="AK22" s="73"/>
      <c r="AL22" s="73"/>
      <c r="AM22" s="68"/>
      <c r="AN22" s="73" t="s">
        <v>69</v>
      </c>
      <c r="AO22" s="73"/>
      <c r="AP22" s="73"/>
      <c r="AQ22" s="68"/>
      <c r="AR22" s="67">
        <f t="shared" si="2"/>
        <v>86</v>
      </c>
      <c r="AS22" s="68" t="str">
        <f t="shared" si="3"/>
        <v>S</v>
      </c>
      <c r="AV22" s="49">
        <f t="shared" si="39"/>
        <v>0</v>
      </c>
      <c r="AW22" s="49">
        <f t="shared" si="4"/>
        <v>1</v>
      </c>
      <c r="AX22" s="49">
        <f t="shared" si="5"/>
        <v>0</v>
      </c>
      <c r="AY22" s="49">
        <f t="shared" si="6"/>
        <v>0</v>
      </c>
      <c r="AZ22" s="49">
        <f t="shared" si="7"/>
        <v>1</v>
      </c>
      <c r="BA22" s="49">
        <f t="shared" si="8"/>
        <v>0</v>
      </c>
      <c r="BB22" s="49">
        <f t="shared" si="9"/>
        <v>0</v>
      </c>
      <c r="BC22" s="49">
        <f t="shared" si="10"/>
        <v>0</v>
      </c>
      <c r="BD22" s="49">
        <f t="shared" si="11"/>
        <v>0</v>
      </c>
      <c r="BE22" s="49">
        <f t="shared" si="12"/>
        <v>1</v>
      </c>
      <c r="BF22" s="49">
        <f t="shared" si="13"/>
        <v>0</v>
      </c>
      <c r="BG22" s="49">
        <f t="shared" si="14"/>
        <v>0</v>
      </c>
      <c r="BH22" s="49">
        <f t="shared" si="15"/>
        <v>0</v>
      </c>
      <c r="BI22" s="49">
        <f t="shared" si="16"/>
        <v>1</v>
      </c>
      <c r="BJ22" s="49">
        <f t="shared" si="17"/>
        <v>0</v>
      </c>
      <c r="BK22" s="49">
        <f t="shared" si="18"/>
        <v>0</v>
      </c>
      <c r="BL22" s="49">
        <f t="shared" si="19"/>
        <v>0</v>
      </c>
      <c r="BM22" s="49">
        <f t="shared" si="20"/>
        <v>1</v>
      </c>
      <c r="BN22" s="49">
        <f t="shared" si="21"/>
        <v>0</v>
      </c>
      <c r="BO22" s="49">
        <f t="shared" si="22"/>
        <v>0</v>
      </c>
      <c r="BP22" s="49">
        <f t="shared" si="23"/>
        <v>0</v>
      </c>
      <c r="BQ22" s="49">
        <f t="shared" si="24"/>
        <v>1</v>
      </c>
      <c r="BR22" s="49">
        <f t="shared" si="25"/>
        <v>0</v>
      </c>
      <c r="BS22" s="49">
        <f t="shared" si="26"/>
        <v>0</v>
      </c>
      <c r="BT22" s="49">
        <f t="shared" si="27"/>
        <v>0</v>
      </c>
      <c r="BU22" s="49">
        <f t="shared" si="28"/>
        <v>1</v>
      </c>
      <c r="BV22" s="49">
        <f t="shared" si="29"/>
        <v>0</v>
      </c>
      <c r="BW22" s="49">
        <f t="shared" si="30"/>
        <v>0</v>
      </c>
      <c r="BX22" s="49">
        <f t="shared" si="31"/>
        <v>1</v>
      </c>
      <c r="BY22" s="49">
        <f t="shared" si="32"/>
        <v>0</v>
      </c>
      <c r="BZ22" s="49">
        <f t="shared" si="33"/>
        <v>0</v>
      </c>
      <c r="CA22" s="49">
        <f t="shared" si="34"/>
        <v>0</v>
      </c>
      <c r="CB22" s="49">
        <f t="shared" si="35"/>
        <v>1</v>
      </c>
      <c r="CC22" s="49">
        <f t="shared" si="36"/>
        <v>0</v>
      </c>
      <c r="CD22" s="49">
        <f t="shared" si="37"/>
        <v>0</v>
      </c>
      <c r="CE22" s="49">
        <f t="shared" si="38"/>
        <v>0</v>
      </c>
    </row>
    <row r="23" spans="1:83" ht="35.1" customHeight="1" x14ac:dyDescent="0.3">
      <c r="A23" s="123" t="str">
        <f t="shared" si="0"/>
        <v>1팀</v>
      </c>
      <c r="B23" s="69">
        <f t="shared" si="1"/>
        <v>17</v>
      </c>
      <c r="C23" s="119" t="str">
        <f>IF(VLOOKUP($B23,'1. 현장별 인원현황'!$C:$J,2,0)=0,"",VLOOKUP($B23,'1. 현장별 인원현황'!$C:$J,2,0))</f>
        <v xml:space="preserve"> [1.대우건설] 고양향동 지원1BL 지식산업센터 신축공사</v>
      </c>
      <c r="D23" s="116" t="str">
        <f>IF(VLOOKUP($B23,'1. 현장별 인원현황'!$C:$J,3,0)=0,"",VLOOKUP($B23,'1. 현장별 인원현황'!$C:$J,3,0))</f>
        <v>엄관영</v>
      </c>
      <c r="E23" s="63" t="str">
        <f ca="1">IF(VLOOKUP($B23,'1. 현장별 인원현황'!$C:$J,4,0)=0,"",VLOOKUP($B23,'1. 현장별 인원현황'!$C:$J,4,0))</f>
        <v>64세</v>
      </c>
      <c r="F23" s="63" t="str">
        <f>IF(VLOOKUP($B23,'1. 현장별 인원현황'!$C:$J,7,0)=0,"",VLOOKUP($B23,'1. 현장별 인원현황'!$C:$J,7,0))</f>
        <v>기능공</v>
      </c>
      <c r="G23" s="63" t="str">
        <f>IF(VLOOKUP($B23,'1. 현장별 인원현황'!$C:$J,8,0)=0,"",VLOOKUP($B23,'1. 현장별 인원현황'!$C:$J,8,0))</f>
        <v>전공</v>
      </c>
      <c r="H23" s="67"/>
      <c r="I23" s="73"/>
      <c r="J23" s="73" t="s">
        <v>69</v>
      </c>
      <c r="K23" s="68"/>
      <c r="L23" s="67"/>
      <c r="M23" s="73" t="s">
        <v>69</v>
      </c>
      <c r="N23" s="73"/>
      <c r="O23" s="68"/>
      <c r="P23" s="67"/>
      <c r="Q23" s="73"/>
      <c r="R23" s="73" t="s">
        <v>69</v>
      </c>
      <c r="S23" s="68"/>
      <c r="T23" s="67"/>
      <c r="U23" s="73" t="s">
        <v>69</v>
      </c>
      <c r="V23" s="73"/>
      <c r="W23" s="68"/>
      <c r="X23" s="67"/>
      <c r="Y23" s="73" t="s">
        <v>69</v>
      </c>
      <c r="Z23" s="73"/>
      <c r="AA23" s="68"/>
      <c r="AB23" s="67"/>
      <c r="AC23" s="73" t="s">
        <v>69</v>
      </c>
      <c r="AD23" s="73"/>
      <c r="AE23" s="68"/>
      <c r="AF23" s="67"/>
      <c r="AG23" s="73" t="s">
        <v>69</v>
      </c>
      <c r="AH23" s="73"/>
      <c r="AI23" s="68"/>
      <c r="AJ23" s="67" t="s">
        <v>69</v>
      </c>
      <c r="AK23" s="73"/>
      <c r="AL23" s="73"/>
      <c r="AM23" s="68"/>
      <c r="AN23" s="73" t="s">
        <v>69</v>
      </c>
      <c r="AO23" s="73"/>
      <c r="AP23" s="73"/>
      <c r="AQ23" s="68"/>
      <c r="AR23" s="67">
        <f t="shared" si="2"/>
        <v>77</v>
      </c>
      <c r="AS23" s="68" t="str">
        <f t="shared" si="3"/>
        <v>A</v>
      </c>
      <c r="AV23" s="49">
        <f t="shared" si="39"/>
        <v>0</v>
      </c>
      <c r="AW23" s="49">
        <f t="shared" si="4"/>
        <v>0</v>
      </c>
      <c r="AX23" s="49">
        <f t="shared" si="5"/>
        <v>1</v>
      </c>
      <c r="AY23" s="49">
        <f t="shared" si="6"/>
        <v>0</v>
      </c>
      <c r="AZ23" s="49">
        <f t="shared" si="7"/>
        <v>0</v>
      </c>
      <c r="BA23" s="49">
        <f t="shared" si="8"/>
        <v>1</v>
      </c>
      <c r="BB23" s="49">
        <f t="shared" si="9"/>
        <v>0</v>
      </c>
      <c r="BC23" s="49">
        <f t="shared" si="10"/>
        <v>0</v>
      </c>
      <c r="BD23" s="49">
        <f t="shared" si="11"/>
        <v>0</v>
      </c>
      <c r="BE23" s="49">
        <f t="shared" si="12"/>
        <v>0</v>
      </c>
      <c r="BF23" s="49">
        <f t="shared" si="13"/>
        <v>1</v>
      </c>
      <c r="BG23" s="49">
        <f t="shared" si="14"/>
        <v>0</v>
      </c>
      <c r="BH23" s="49">
        <f t="shared" si="15"/>
        <v>0</v>
      </c>
      <c r="BI23" s="49">
        <f t="shared" si="16"/>
        <v>1</v>
      </c>
      <c r="BJ23" s="49">
        <f t="shared" si="17"/>
        <v>0</v>
      </c>
      <c r="BK23" s="49">
        <f t="shared" si="18"/>
        <v>0</v>
      </c>
      <c r="BL23" s="49">
        <f t="shared" si="19"/>
        <v>0</v>
      </c>
      <c r="BM23" s="49">
        <f t="shared" si="20"/>
        <v>1</v>
      </c>
      <c r="BN23" s="49">
        <f t="shared" si="21"/>
        <v>0</v>
      </c>
      <c r="BO23" s="49">
        <f t="shared" si="22"/>
        <v>0</v>
      </c>
      <c r="BP23" s="49">
        <f t="shared" si="23"/>
        <v>0</v>
      </c>
      <c r="BQ23" s="49">
        <f t="shared" si="24"/>
        <v>1</v>
      </c>
      <c r="BR23" s="49">
        <f t="shared" si="25"/>
        <v>0</v>
      </c>
      <c r="BS23" s="49">
        <f t="shared" si="26"/>
        <v>0</v>
      </c>
      <c r="BT23" s="49">
        <f t="shared" si="27"/>
        <v>0</v>
      </c>
      <c r="BU23" s="49">
        <f t="shared" si="28"/>
        <v>1</v>
      </c>
      <c r="BV23" s="49">
        <f t="shared" si="29"/>
        <v>0</v>
      </c>
      <c r="BW23" s="49">
        <f t="shared" si="30"/>
        <v>0</v>
      </c>
      <c r="BX23" s="49">
        <f t="shared" si="31"/>
        <v>1</v>
      </c>
      <c r="BY23" s="49">
        <f t="shared" si="32"/>
        <v>0</v>
      </c>
      <c r="BZ23" s="49">
        <f t="shared" si="33"/>
        <v>0</v>
      </c>
      <c r="CA23" s="49">
        <f t="shared" si="34"/>
        <v>0</v>
      </c>
      <c r="CB23" s="49">
        <f t="shared" si="35"/>
        <v>1</v>
      </c>
      <c r="CC23" s="49">
        <f t="shared" si="36"/>
        <v>0</v>
      </c>
      <c r="CD23" s="49">
        <f t="shared" si="37"/>
        <v>0</v>
      </c>
      <c r="CE23" s="49">
        <f t="shared" si="38"/>
        <v>0</v>
      </c>
    </row>
    <row r="24" spans="1:83" ht="35.1" customHeight="1" x14ac:dyDescent="0.3">
      <c r="A24" s="123" t="str">
        <f t="shared" si="0"/>
        <v>1팀</v>
      </c>
      <c r="B24" s="69">
        <f t="shared" si="1"/>
        <v>18</v>
      </c>
      <c r="C24" s="119" t="str">
        <f>IF(VLOOKUP($B24,'1. 현장별 인원현황'!$C:$J,2,0)=0,"",VLOOKUP($B24,'1. 현장별 인원현황'!$C:$J,2,0))</f>
        <v xml:space="preserve"> [1.대우건설] 인천검단 신도시 AA28BL 공동주택 신축공사</v>
      </c>
      <c r="D24" s="116" t="str">
        <f>IF(VLOOKUP($B24,'1. 현장별 인원현황'!$C:$J,3,0)=0,"",VLOOKUP($B24,'1. 현장별 인원현황'!$C:$J,3,0))</f>
        <v>윤홍식</v>
      </c>
      <c r="E24" s="63" t="str">
        <f ca="1">IF(VLOOKUP($B24,'1. 현장별 인원현황'!$C:$J,4,0)=0,"",VLOOKUP($B24,'1. 현장별 인원현황'!$C:$J,4,0))</f>
        <v>49세</v>
      </c>
      <c r="F24" s="63" t="str">
        <f>IF(VLOOKUP($B24,'1. 현장별 인원현황'!$C:$J,7,0)=0,"",VLOOKUP($B24,'1. 현장별 인원현황'!$C:$J,7,0))</f>
        <v>공무</v>
      </c>
      <c r="G24" s="63" t="str">
        <f>IF(VLOOKUP($B24,'1. 현장별 인원현황'!$C:$J,8,0)=0,"",VLOOKUP($B24,'1. 현장별 인원현황'!$C:$J,8,0))</f>
        <v>차장</v>
      </c>
      <c r="H24" s="67" t="s">
        <v>69</v>
      </c>
      <c r="I24" s="73"/>
      <c r="J24" s="73"/>
      <c r="K24" s="68"/>
      <c r="L24" s="67" t="s">
        <v>69</v>
      </c>
      <c r="M24" s="73"/>
      <c r="N24" s="73"/>
      <c r="O24" s="68"/>
      <c r="P24" s="67" t="s">
        <v>69</v>
      </c>
      <c r="Q24" s="73"/>
      <c r="R24" s="73"/>
      <c r="S24" s="68"/>
      <c r="T24" s="67" t="s">
        <v>69</v>
      </c>
      <c r="U24" s="73"/>
      <c r="V24" s="73"/>
      <c r="W24" s="68"/>
      <c r="X24" s="67" t="s">
        <v>69</v>
      </c>
      <c r="Y24" s="73"/>
      <c r="Z24" s="73"/>
      <c r="AA24" s="68"/>
      <c r="AB24" s="67" t="s">
        <v>69</v>
      </c>
      <c r="AC24" s="73"/>
      <c r="AD24" s="73"/>
      <c r="AE24" s="68"/>
      <c r="AF24" s="67" t="s">
        <v>69</v>
      </c>
      <c r="AG24" s="73"/>
      <c r="AH24" s="73"/>
      <c r="AI24" s="68"/>
      <c r="AJ24" s="67" t="s">
        <v>69</v>
      </c>
      <c r="AK24" s="73"/>
      <c r="AL24" s="73"/>
      <c r="AM24" s="68"/>
      <c r="AN24" s="73" t="s">
        <v>69</v>
      </c>
      <c r="AO24" s="73"/>
      <c r="AP24" s="73"/>
      <c r="AQ24" s="68"/>
      <c r="AR24" s="67">
        <f t="shared" si="2"/>
        <v>100</v>
      </c>
      <c r="AS24" s="68" t="str">
        <f t="shared" si="3"/>
        <v>S</v>
      </c>
      <c r="AV24" s="49">
        <f t="shared" si="39"/>
        <v>1</v>
      </c>
      <c r="AW24" s="49">
        <f t="shared" si="4"/>
        <v>0</v>
      </c>
      <c r="AX24" s="49">
        <f t="shared" si="5"/>
        <v>0</v>
      </c>
      <c r="AY24" s="49">
        <f t="shared" si="6"/>
        <v>0</v>
      </c>
      <c r="AZ24" s="49">
        <f t="shared" si="7"/>
        <v>1</v>
      </c>
      <c r="BA24" s="49">
        <f t="shared" si="8"/>
        <v>0</v>
      </c>
      <c r="BB24" s="49">
        <f t="shared" si="9"/>
        <v>0</v>
      </c>
      <c r="BC24" s="49">
        <f t="shared" si="10"/>
        <v>0</v>
      </c>
      <c r="BD24" s="49">
        <f t="shared" si="11"/>
        <v>1</v>
      </c>
      <c r="BE24" s="49">
        <f t="shared" si="12"/>
        <v>0</v>
      </c>
      <c r="BF24" s="49">
        <f t="shared" si="13"/>
        <v>0</v>
      </c>
      <c r="BG24" s="49">
        <f t="shared" si="14"/>
        <v>0</v>
      </c>
      <c r="BH24" s="49">
        <f t="shared" si="15"/>
        <v>1</v>
      </c>
      <c r="BI24" s="49">
        <f t="shared" si="16"/>
        <v>0</v>
      </c>
      <c r="BJ24" s="49">
        <f t="shared" si="17"/>
        <v>0</v>
      </c>
      <c r="BK24" s="49">
        <f t="shared" si="18"/>
        <v>0</v>
      </c>
      <c r="BL24" s="49">
        <f t="shared" si="19"/>
        <v>1</v>
      </c>
      <c r="BM24" s="49">
        <f t="shared" si="20"/>
        <v>0</v>
      </c>
      <c r="BN24" s="49">
        <f t="shared" si="21"/>
        <v>0</v>
      </c>
      <c r="BO24" s="49">
        <f t="shared" si="22"/>
        <v>0</v>
      </c>
      <c r="BP24" s="49">
        <f t="shared" si="23"/>
        <v>1</v>
      </c>
      <c r="BQ24" s="49">
        <f t="shared" si="24"/>
        <v>0</v>
      </c>
      <c r="BR24" s="49">
        <f t="shared" si="25"/>
        <v>0</v>
      </c>
      <c r="BS24" s="49">
        <f t="shared" si="26"/>
        <v>0</v>
      </c>
      <c r="BT24" s="49">
        <f t="shared" si="27"/>
        <v>1</v>
      </c>
      <c r="BU24" s="49">
        <f t="shared" si="28"/>
        <v>0</v>
      </c>
      <c r="BV24" s="49">
        <f t="shared" si="29"/>
        <v>0</v>
      </c>
      <c r="BW24" s="49">
        <f t="shared" si="30"/>
        <v>0</v>
      </c>
      <c r="BX24" s="49">
        <f t="shared" si="31"/>
        <v>1</v>
      </c>
      <c r="BY24" s="49">
        <f t="shared" si="32"/>
        <v>0</v>
      </c>
      <c r="BZ24" s="49">
        <f t="shared" si="33"/>
        <v>0</v>
      </c>
      <c r="CA24" s="49">
        <f t="shared" si="34"/>
        <v>0</v>
      </c>
      <c r="CB24" s="49">
        <f t="shared" si="35"/>
        <v>1</v>
      </c>
      <c r="CC24" s="49">
        <f t="shared" si="36"/>
        <v>0</v>
      </c>
      <c r="CD24" s="49">
        <f t="shared" si="37"/>
        <v>0</v>
      </c>
      <c r="CE24" s="49">
        <f t="shared" si="38"/>
        <v>0</v>
      </c>
    </row>
    <row r="25" spans="1:83" ht="35.1" customHeight="1" x14ac:dyDescent="0.3">
      <c r="A25" s="123" t="str">
        <f t="shared" si="0"/>
        <v>1팀</v>
      </c>
      <c r="B25" s="69">
        <f t="shared" si="1"/>
        <v>19</v>
      </c>
      <c r="C25" s="119" t="str">
        <f>IF(VLOOKUP($B25,'1. 현장별 인원현황'!$C:$J,2,0)=0,"",VLOOKUP($B25,'1. 현장별 인원현황'!$C:$J,2,0))</f>
        <v xml:space="preserve"> [1.대우건설] 인천검단 신도시 AA28BL 공동주택 신축공사</v>
      </c>
      <c r="D25" s="116" t="str">
        <f>IF(VLOOKUP($B25,'1. 현장별 인원현황'!$C:$J,3,0)=0,"",VLOOKUP($B25,'1. 현장별 인원현황'!$C:$J,3,0))</f>
        <v>김지호</v>
      </c>
      <c r="E25" s="63" t="str">
        <f ca="1">IF(VLOOKUP($B25,'1. 현장별 인원현황'!$C:$J,4,0)=0,"",VLOOKUP($B25,'1. 현장별 인원현황'!$C:$J,4,0))</f>
        <v>31세</v>
      </c>
      <c r="F25" s="63" t="str">
        <f>IF(VLOOKUP($B25,'1. 현장별 인원현황'!$C:$J,7,0)=0,"",VLOOKUP($B25,'1. 현장별 인원현황'!$C:$J,7,0))</f>
        <v>안전관리자</v>
      </c>
      <c r="G25" s="63" t="str">
        <f>IF(VLOOKUP($B25,'1. 현장별 인원현황'!$C:$J,8,0)=0,"",VLOOKUP($B25,'1. 현장별 인원현황'!$C:$J,8,0))</f>
        <v>대리</v>
      </c>
      <c r="H25" s="67"/>
      <c r="I25" s="73" t="s">
        <v>69</v>
      </c>
      <c r="J25" s="73"/>
      <c r="K25" s="68"/>
      <c r="L25" s="67"/>
      <c r="M25" s="73" t="s">
        <v>69</v>
      </c>
      <c r="N25" s="73"/>
      <c r="O25" s="68"/>
      <c r="P25" s="67"/>
      <c r="Q25" s="73" t="s">
        <v>69</v>
      </c>
      <c r="R25" s="73"/>
      <c r="S25" s="68"/>
      <c r="T25" s="67"/>
      <c r="U25" s="73" t="s">
        <v>69</v>
      </c>
      <c r="V25" s="73"/>
      <c r="W25" s="68"/>
      <c r="X25" s="67"/>
      <c r="Y25" s="73" t="s">
        <v>69</v>
      </c>
      <c r="Z25" s="73"/>
      <c r="AA25" s="68"/>
      <c r="AB25" s="67"/>
      <c r="AC25" s="73" t="s">
        <v>69</v>
      </c>
      <c r="AD25" s="73"/>
      <c r="AE25" s="68"/>
      <c r="AF25" s="67" t="s">
        <v>69</v>
      </c>
      <c r="AG25" s="73"/>
      <c r="AH25" s="73"/>
      <c r="AI25" s="68"/>
      <c r="AJ25" s="67"/>
      <c r="AK25" s="73" t="s">
        <v>69</v>
      </c>
      <c r="AL25" s="73"/>
      <c r="AM25" s="68"/>
      <c r="AN25" s="73" t="s">
        <v>69</v>
      </c>
      <c r="AO25" s="73"/>
      <c r="AP25" s="73"/>
      <c r="AQ25" s="68"/>
      <c r="AR25" s="67">
        <f t="shared" si="2"/>
        <v>82</v>
      </c>
      <c r="AS25" s="68" t="str">
        <f t="shared" si="3"/>
        <v>A</v>
      </c>
      <c r="AV25" s="49">
        <f t="shared" si="39"/>
        <v>0</v>
      </c>
      <c r="AW25" s="49">
        <f t="shared" si="4"/>
        <v>1</v>
      </c>
      <c r="AX25" s="49">
        <f t="shared" si="5"/>
        <v>0</v>
      </c>
      <c r="AY25" s="49">
        <f t="shared" si="6"/>
        <v>0</v>
      </c>
      <c r="AZ25" s="49">
        <f t="shared" si="7"/>
        <v>0</v>
      </c>
      <c r="BA25" s="49">
        <f t="shared" si="8"/>
        <v>1</v>
      </c>
      <c r="BB25" s="49">
        <f t="shared" si="9"/>
        <v>0</v>
      </c>
      <c r="BC25" s="49">
        <f t="shared" si="10"/>
        <v>0</v>
      </c>
      <c r="BD25" s="49">
        <f t="shared" si="11"/>
        <v>0</v>
      </c>
      <c r="BE25" s="49">
        <f t="shared" si="12"/>
        <v>1</v>
      </c>
      <c r="BF25" s="49">
        <f t="shared" si="13"/>
        <v>0</v>
      </c>
      <c r="BG25" s="49">
        <f t="shared" si="14"/>
        <v>0</v>
      </c>
      <c r="BH25" s="49">
        <f t="shared" si="15"/>
        <v>0</v>
      </c>
      <c r="BI25" s="49">
        <f t="shared" si="16"/>
        <v>1</v>
      </c>
      <c r="BJ25" s="49">
        <f t="shared" si="17"/>
        <v>0</v>
      </c>
      <c r="BK25" s="49">
        <f t="shared" si="18"/>
        <v>0</v>
      </c>
      <c r="BL25" s="49">
        <f t="shared" si="19"/>
        <v>0</v>
      </c>
      <c r="BM25" s="49">
        <f t="shared" si="20"/>
        <v>1</v>
      </c>
      <c r="BN25" s="49">
        <f t="shared" si="21"/>
        <v>0</v>
      </c>
      <c r="BO25" s="49">
        <f t="shared" si="22"/>
        <v>0</v>
      </c>
      <c r="BP25" s="49">
        <f t="shared" si="23"/>
        <v>0</v>
      </c>
      <c r="BQ25" s="49">
        <f t="shared" si="24"/>
        <v>1</v>
      </c>
      <c r="BR25" s="49">
        <f t="shared" si="25"/>
        <v>0</v>
      </c>
      <c r="BS25" s="49">
        <f t="shared" si="26"/>
        <v>0</v>
      </c>
      <c r="BT25" s="49">
        <f t="shared" si="27"/>
        <v>1</v>
      </c>
      <c r="BU25" s="49">
        <f t="shared" si="28"/>
        <v>0</v>
      </c>
      <c r="BV25" s="49">
        <f t="shared" si="29"/>
        <v>0</v>
      </c>
      <c r="BW25" s="49">
        <f t="shared" si="30"/>
        <v>0</v>
      </c>
      <c r="BX25" s="49">
        <f t="shared" si="31"/>
        <v>0</v>
      </c>
      <c r="BY25" s="49">
        <f t="shared" si="32"/>
        <v>1</v>
      </c>
      <c r="BZ25" s="49">
        <f t="shared" si="33"/>
        <v>0</v>
      </c>
      <c r="CA25" s="49">
        <f t="shared" si="34"/>
        <v>0</v>
      </c>
      <c r="CB25" s="49">
        <f t="shared" si="35"/>
        <v>1</v>
      </c>
      <c r="CC25" s="49">
        <f t="shared" si="36"/>
        <v>0</v>
      </c>
      <c r="CD25" s="49">
        <f t="shared" si="37"/>
        <v>0</v>
      </c>
      <c r="CE25" s="49">
        <f t="shared" si="38"/>
        <v>0</v>
      </c>
    </row>
    <row r="26" spans="1:83" ht="35.1" customHeight="1" x14ac:dyDescent="0.3">
      <c r="A26" s="123" t="str">
        <f t="shared" si="0"/>
        <v>1팀</v>
      </c>
      <c r="B26" s="69">
        <f t="shared" si="1"/>
        <v>20</v>
      </c>
      <c r="C26" s="119" t="str">
        <f>IF(VLOOKUP($B26,'1. 현장별 인원현황'!$C:$J,2,0)=0,"",VLOOKUP($B26,'1. 현장별 인원현황'!$C:$J,2,0))</f>
        <v xml:space="preserve"> [1.대우건설] 인천검단 신도시 AA28BL 공동주택 신축공사</v>
      </c>
      <c r="D26" s="116" t="str">
        <f>IF(VLOOKUP($B26,'1. 현장별 인원현황'!$C:$J,3,0)=0,"",VLOOKUP($B26,'1. 현장별 인원현황'!$C:$J,3,0))</f>
        <v>차성철</v>
      </c>
      <c r="E26" s="63" t="str">
        <f ca="1">IF(VLOOKUP($B26,'1. 현장별 인원현황'!$C:$J,4,0)=0,"",VLOOKUP($B26,'1. 현장별 인원현황'!$C:$J,4,0))</f>
        <v>51세</v>
      </c>
      <c r="F26" s="63" t="str">
        <f>IF(VLOOKUP($B26,'1. 현장별 인원현황'!$C:$J,7,0)=0,"",VLOOKUP($B26,'1. 현장별 인원현황'!$C:$J,7,0))</f>
        <v>기능공</v>
      </c>
      <c r="G26" s="63" t="str">
        <f>IF(VLOOKUP($B26,'1. 현장별 인원현황'!$C:$J,8,0)=0,"",VLOOKUP($B26,'1. 현장별 인원현황'!$C:$J,8,0))</f>
        <v>전공</v>
      </c>
      <c r="H26" s="67" t="s">
        <v>69</v>
      </c>
      <c r="I26" s="73"/>
      <c r="J26" s="73"/>
      <c r="K26" s="68"/>
      <c r="L26" s="67" t="s">
        <v>69</v>
      </c>
      <c r="M26" s="73"/>
      <c r="N26" s="73"/>
      <c r="O26" s="68"/>
      <c r="P26" s="67" t="s">
        <v>69</v>
      </c>
      <c r="Q26" s="73"/>
      <c r="R26" s="73"/>
      <c r="S26" s="68"/>
      <c r="T26" s="67" t="s">
        <v>69</v>
      </c>
      <c r="U26" s="73"/>
      <c r="V26" s="73"/>
      <c r="W26" s="68"/>
      <c r="X26" s="67" t="s">
        <v>69</v>
      </c>
      <c r="Y26" s="73"/>
      <c r="Z26" s="73"/>
      <c r="AA26" s="68"/>
      <c r="AB26" s="67" t="s">
        <v>69</v>
      </c>
      <c r="AC26" s="73"/>
      <c r="AD26" s="73"/>
      <c r="AE26" s="68"/>
      <c r="AF26" s="67" t="s">
        <v>69</v>
      </c>
      <c r="AG26" s="73"/>
      <c r="AH26" s="73"/>
      <c r="AI26" s="68"/>
      <c r="AJ26" s="67" t="s">
        <v>69</v>
      </c>
      <c r="AK26" s="73"/>
      <c r="AL26" s="73"/>
      <c r="AM26" s="68"/>
      <c r="AN26" s="73" t="s">
        <v>69</v>
      </c>
      <c r="AO26" s="73"/>
      <c r="AP26" s="73"/>
      <c r="AQ26" s="68"/>
      <c r="AR26" s="67">
        <f t="shared" si="2"/>
        <v>100</v>
      </c>
      <c r="AS26" s="68" t="str">
        <f t="shared" si="3"/>
        <v>S</v>
      </c>
      <c r="AV26" s="49">
        <f t="shared" si="39"/>
        <v>1</v>
      </c>
      <c r="AW26" s="49">
        <f t="shared" si="4"/>
        <v>0</v>
      </c>
      <c r="AX26" s="49">
        <f t="shared" si="5"/>
        <v>0</v>
      </c>
      <c r="AY26" s="49">
        <f t="shared" si="6"/>
        <v>0</v>
      </c>
      <c r="AZ26" s="49">
        <f t="shared" si="7"/>
        <v>1</v>
      </c>
      <c r="BA26" s="49">
        <f t="shared" si="8"/>
        <v>0</v>
      </c>
      <c r="BB26" s="49">
        <f t="shared" si="9"/>
        <v>0</v>
      </c>
      <c r="BC26" s="49">
        <f t="shared" si="10"/>
        <v>0</v>
      </c>
      <c r="BD26" s="49">
        <f t="shared" si="11"/>
        <v>1</v>
      </c>
      <c r="BE26" s="49">
        <f t="shared" si="12"/>
        <v>0</v>
      </c>
      <c r="BF26" s="49">
        <f t="shared" si="13"/>
        <v>0</v>
      </c>
      <c r="BG26" s="49">
        <f t="shared" si="14"/>
        <v>0</v>
      </c>
      <c r="BH26" s="49">
        <f t="shared" si="15"/>
        <v>1</v>
      </c>
      <c r="BI26" s="49">
        <f t="shared" si="16"/>
        <v>0</v>
      </c>
      <c r="BJ26" s="49">
        <f t="shared" si="17"/>
        <v>0</v>
      </c>
      <c r="BK26" s="49">
        <f t="shared" si="18"/>
        <v>0</v>
      </c>
      <c r="BL26" s="49">
        <f t="shared" si="19"/>
        <v>1</v>
      </c>
      <c r="BM26" s="49">
        <f t="shared" si="20"/>
        <v>0</v>
      </c>
      <c r="BN26" s="49">
        <f t="shared" si="21"/>
        <v>0</v>
      </c>
      <c r="BO26" s="49">
        <f t="shared" si="22"/>
        <v>0</v>
      </c>
      <c r="BP26" s="49">
        <f t="shared" si="23"/>
        <v>1</v>
      </c>
      <c r="BQ26" s="49">
        <f t="shared" si="24"/>
        <v>0</v>
      </c>
      <c r="BR26" s="49">
        <f t="shared" si="25"/>
        <v>0</v>
      </c>
      <c r="BS26" s="49">
        <f t="shared" si="26"/>
        <v>0</v>
      </c>
      <c r="BT26" s="49">
        <f t="shared" si="27"/>
        <v>1</v>
      </c>
      <c r="BU26" s="49">
        <f t="shared" si="28"/>
        <v>0</v>
      </c>
      <c r="BV26" s="49">
        <f t="shared" si="29"/>
        <v>0</v>
      </c>
      <c r="BW26" s="49">
        <f t="shared" si="30"/>
        <v>0</v>
      </c>
      <c r="BX26" s="49">
        <f t="shared" si="31"/>
        <v>1</v>
      </c>
      <c r="BY26" s="49">
        <f t="shared" si="32"/>
        <v>0</v>
      </c>
      <c r="BZ26" s="49">
        <f t="shared" si="33"/>
        <v>0</v>
      </c>
      <c r="CA26" s="49">
        <f t="shared" si="34"/>
        <v>0</v>
      </c>
      <c r="CB26" s="49">
        <f t="shared" si="35"/>
        <v>1</v>
      </c>
      <c r="CC26" s="49">
        <f t="shared" si="36"/>
        <v>0</v>
      </c>
      <c r="CD26" s="49">
        <f t="shared" si="37"/>
        <v>0</v>
      </c>
      <c r="CE26" s="49">
        <f t="shared" si="38"/>
        <v>0</v>
      </c>
    </row>
    <row r="27" spans="1:83" ht="35.1" customHeight="1" x14ac:dyDescent="0.3">
      <c r="A27" s="123" t="str">
        <f t="shared" si="0"/>
        <v>1팀</v>
      </c>
      <c r="B27" s="69">
        <f t="shared" si="1"/>
        <v>21</v>
      </c>
      <c r="C27" s="119" t="str">
        <f>IF(VLOOKUP($B27,'1. 현장별 인원현황'!$C:$J,2,0)=0,"",VLOOKUP($B27,'1. 현장별 인원현황'!$C:$J,2,0))</f>
        <v xml:space="preserve"> [1.대우건설] 인천검단 신도시 AA28BL 공동주택 신축공사</v>
      </c>
      <c r="D27" s="116" t="str">
        <f>IF(VLOOKUP($B27,'1. 현장별 인원현황'!$C:$J,3,0)=0,"",VLOOKUP($B27,'1. 현장별 인원현황'!$C:$J,3,0))</f>
        <v>박상걸</v>
      </c>
      <c r="E27" s="63" t="str">
        <f ca="1">IF(VLOOKUP($B27,'1. 현장별 인원현황'!$C:$J,4,0)=0,"",VLOOKUP($B27,'1. 현장별 인원현황'!$C:$J,4,0))</f>
        <v>46세</v>
      </c>
      <c r="F27" s="63" t="str">
        <f>IF(VLOOKUP($B27,'1. 현장별 인원현황'!$C:$J,7,0)=0,"",VLOOKUP($B27,'1. 현장별 인원현황'!$C:$J,7,0))</f>
        <v>기능공</v>
      </c>
      <c r="G27" s="63" t="str">
        <f>IF(VLOOKUP($B27,'1. 현장별 인원현황'!$C:$J,8,0)=0,"",VLOOKUP($B27,'1. 현장별 인원현황'!$C:$J,8,0))</f>
        <v>전공</v>
      </c>
      <c r="H27" s="67"/>
      <c r="I27" s="73" t="s">
        <v>69</v>
      </c>
      <c r="J27" s="73"/>
      <c r="K27" s="68"/>
      <c r="L27" s="67"/>
      <c r="M27" s="73" t="s">
        <v>69</v>
      </c>
      <c r="N27" s="73"/>
      <c r="O27" s="68"/>
      <c r="P27" s="67"/>
      <c r="Q27" s="73" t="s">
        <v>69</v>
      </c>
      <c r="R27" s="73"/>
      <c r="S27" s="68"/>
      <c r="T27" s="67"/>
      <c r="U27" s="73" t="s">
        <v>69</v>
      </c>
      <c r="V27" s="73"/>
      <c r="W27" s="68"/>
      <c r="X27" s="67"/>
      <c r="Y27" s="73" t="s">
        <v>69</v>
      </c>
      <c r="Z27" s="73"/>
      <c r="AA27" s="68"/>
      <c r="AB27" s="67"/>
      <c r="AC27" s="73" t="s">
        <v>69</v>
      </c>
      <c r="AD27" s="73"/>
      <c r="AE27" s="68"/>
      <c r="AF27" s="67"/>
      <c r="AG27" s="73" t="s">
        <v>69</v>
      </c>
      <c r="AH27" s="73"/>
      <c r="AI27" s="68"/>
      <c r="AJ27" s="67"/>
      <c r="AK27" s="73" t="s">
        <v>69</v>
      </c>
      <c r="AL27" s="73"/>
      <c r="AM27" s="68"/>
      <c r="AN27" s="73" t="s">
        <v>69</v>
      </c>
      <c r="AO27" s="73"/>
      <c r="AP27" s="73"/>
      <c r="AQ27" s="68"/>
      <c r="AR27" s="67">
        <f t="shared" si="2"/>
        <v>80</v>
      </c>
      <c r="AS27" s="68" t="str">
        <f t="shared" si="3"/>
        <v>A</v>
      </c>
      <c r="AV27" s="49">
        <f t="shared" si="39"/>
        <v>0</v>
      </c>
      <c r="AW27" s="49">
        <f t="shared" si="4"/>
        <v>1</v>
      </c>
      <c r="AX27" s="49">
        <f t="shared" si="5"/>
        <v>0</v>
      </c>
      <c r="AY27" s="49">
        <f t="shared" si="6"/>
        <v>0</v>
      </c>
      <c r="AZ27" s="49">
        <f t="shared" si="7"/>
        <v>0</v>
      </c>
      <c r="BA27" s="49">
        <f t="shared" si="8"/>
        <v>1</v>
      </c>
      <c r="BB27" s="49">
        <f t="shared" si="9"/>
        <v>0</v>
      </c>
      <c r="BC27" s="49">
        <f t="shared" si="10"/>
        <v>0</v>
      </c>
      <c r="BD27" s="49">
        <f t="shared" si="11"/>
        <v>0</v>
      </c>
      <c r="BE27" s="49">
        <f t="shared" si="12"/>
        <v>1</v>
      </c>
      <c r="BF27" s="49">
        <f t="shared" si="13"/>
        <v>0</v>
      </c>
      <c r="BG27" s="49">
        <f t="shared" si="14"/>
        <v>0</v>
      </c>
      <c r="BH27" s="49">
        <f t="shared" si="15"/>
        <v>0</v>
      </c>
      <c r="BI27" s="49">
        <f t="shared" si="16"/>
        <v>1</v>
      </c>
      <c r="BJ27" s="49">
        <f t="shared" si="17"/>
        <v>0</v>
      </c>
      <c r="BK27" s="49">
        <f t="shared" si="18"/>
        <v>0</v>
      </c>
      <c r="BL27" s="49">
        <f t="shared" si="19"/>
        <v>0</v>
      </c>
      <c r="BM27" s="49">
        <f t="shared" si="20"/>
        <v>1</v>
      </c>
      <c r="BN27" s="49">
        <f t="shared" si="21"/>
        <v>0</v>
      </c>
      <c r="BO27" s="49">
        <f t="shared" si="22"/>
        <v>0</v>
      </c>
      <c r="BP27" s="49">
        <f t="shared" si="23"/>
        <v>0</v>
      </c>
      <c r="BQ27" s="49">
        <f t="shared" si="24"/>
        <v>1</v>
      </c>
      <c r="BR27" s="49">
        <f t="shared" si="25"/>
        <v>0</v>
      </c>
      <c r="BS27" s="49">
        <f t="shared" si="26"/>
        <v>0</v>
      </c>
      <c r="BT27" s="49">
        <f t="shared" si="27"/>
        <v>0</v>
      </c>
      <c r="BU27" s="49">
        <f t="shared" si="28"/>
        <v>1</v>
      </c>
      <c r="BV27" s="49">
        <f t="shared" si="29"/>
        <v>0</v>
      </c>
      <c r="BW27" s="49">
        <f t="shared" si="30"/>
        <v>0</v>
      </c>
      <c r="BX27" s="49">
        <f t="shared" si="31"/>
        <v>0</v>
      </c>
      <c r="BY27" s="49">
        <f t="shared" si="32"/>
        <v>1</v>
      </c>
      <c r="BZ27" s="49">
        <f t="shared" si="33"/>
        <v>0</v>
      </c>
      <c r="CA27" s="49">
        <f t="shared" si="34"/>
        <v>0</v>
      </c>
      <c r="CB27" s="49">
        <f t="shared" si="35"/>
        <v>1</v>
      </c>
      <c r="CC27" s="49">
        <f t="shared" si="36"/>
        <v>0</v>
      </c>
      <c r="CD27" s="49">
        <f t="shared" si="37"/>
        <v>0</v>
      </c>
      <c r="CE27" s="49">
        <f t="shared" si="38"/>
        <v>0</v>
      </c>
    </row>
    <row r="28" spans="1:83" ht="35.1" customHeight="1" x14ac:dyDescent="0.3">
      <c r="A28" s="123" t="str">
        <f t="shared" si="0"/>
        <v>1팀</v>
      </c>
      <c r="B28" s="69">
        <f t="shared" si="1"/>
        <v>22</v>
      </c>
      <c r="C28" s="119" t="str">
        <f>IF(VLOOKUP($B28,'1. 현장별 인원현황'!$C:$J,2,0)=0,"",VLOOKUP($B28,'1. 현장별 인원현황'!$C:$J,2,0))</f>
        <v xml:space="preserve"> [1.대우건설] 인천검단 신도시 AA28BL 공동주택 신축공사</v>
      </c>
      <c r="D28" s="116" t="str">
        <f>IF(VLOOKUP($B28,'1. 현장별 인원현황'!$C:$J,3,0)=0,"",VLOOKUP($B28,'1. 현장별 인원현황'!$C:$J,3,0))</f>
        <v>이세열</v>
      </c>
      <c r="E28" s="63" t="str">
        <f ca="1">IF(VLOOKUP($B28,'1. 현장별 인원현황'!$C:$J,4,0)=0,"",VLOOKUP($B28,'1. 현장별 인원현황'!$C:$J,4,0))</f>
        <v>42세</v>
      </c>
      <c r="F28" s="63" t="str">
        <f>IF(VLOOKUP($B28,'1. 현장별 인원현황'!$C:$J,7,0)=0,"",VLOOKUP($B28,'1. 현장별 인원현황'!$C:$J,7,0))</f>
        <v>기능공</v>
      </c>
      <c r="G28" s="63" t="str">
        <f>IF(VLOOKUP($B28,'1. 현장별 인원현황'!$C:$J,8,0)=0,"",VLOOKUP($B28,'1. 현장별 인원현황'!$C:$J,8,0))</f>
        <v>전공</v>
      </c>
      <c r="H28" s="67"/>
      <c r="I28" s="73" t="s">
        <v>69</v>
      </c>
      <c r="J28" s="73"/>
      <c r="K28" s="68"/>
      <c r="L28" s="67" t="s">
        <v>69</v>
      </c>
      <c r="M28" s="73"/>
      <c r="N28" s="73"/>
      <c r="O28" s="68"/>
      <c r="P28" s="67" t="s">
        <v>69</v>
      </c>
      <c r="Q28" s="73"/>
      <c r="R28" s="73"/>
      <c r="S28" s="68"/>
      <c r="T28" s="67" t="s">
        <v>69</v>
      </c>
      <c r="U28" s="73"/>
      <c r="V28" s="73"/>
      <c r="W28" s="68"/>
      <c r="X28" s="67" t="s">
        <v>69</v>
      </c>
      <c r="Y28" s="73"/>
      <c r="Z28" s="73"/>
      <c r="AA28" s="68"/>
      <c r="AB28" s="67" t="s">
        <v>69</v>
      </c>
      <c r="AC28" s="73"/>
      <c r="AD28" s="73"/>
      <c r="AE28" s="68"/>
      <c r="AF28" s="67" t="s">
        <v>69</v>
      </c>
      <c r="AG28" s="73"/>
      <c r="AH28" s="73"/>
      <c r="AI28" s="68"/>
      <c r="AJ28" s="67" t="s">
        <v>69</v>
      </c>
      <c r="AK28" s="73"/>
      <c r="AL28" s="73"/>
      <c r="AM28" s="68"/>
      <c r="AN28" s="73" t="s">
        <v>69</v>
      </c>
      <c r="AO28" s="73"/>
      <c r="AP28" s="73"/>
      <c r="AQ28" s="68"/>
      <c r="AR28" s="67">
        <f t="shared" si="2"/>
        <v>97</v>
      </c>
      <c r="AS28" s="68" t="str">
        <f t="shared" si="3"/>
        <v>S</v>
      </c>
      <c r="AV28" s="49">
        <f t="shared" si="39"/>
        <v>0</v>
      </c>
      <c r="AW28" s="49">
        <f t="shared" si="4"/>
        <v>1</v>
      </c>
      <c r="AX28" s="49">
        <f t="shared" si="5"/>
        <v>0</v>
      </c>
      <c r="AY28" s="49">
        <f t="shared" si="6"/>
        <v>0</v>
      </c>
      <c r="AZ28" s="49">
        <f t="shared" si="7"/>
        <v>1</v>
      </c>
      <c r="BA28" s="49">
        <f t="shared" si="8"/>
        <v>0</v>
      </c>
      <c r="BB28" s="49">
        <f t="shared" si="9"/>
        <v>0</v>
      </c>
      <c r="BC28" s="49">
        <f t="shared" si="10"/>
        <v>0</v>
      </c>
      <c r="BD28" s="49">
        <f t="shared" si="11"/>
        <v>1</v>
      </c>
      <c r="BE28" s="49">
        <f t="shared" si="12"/>
        <v>0</v>
      </c>
      <c r="BF28" s="49">
        <f t="shared" si="13"/>
        <v>0</v>
      </c>
      <c r="BG28" s="49">
        <f t="shared" si="14"/>
        <v>0</v>
      </c>
      <c r="BH28" s="49">
        <f t="shared" si="15"/>
        <v>1</v>
      </c>
      <c r="BI28" s="49">
        <f t="shared" si="16"/>
        <v>0</v>
      </c>
      <c r="BJ28" s="49">
        <f t="shared" si="17"/>
        <v>0</v>
      </c>
      <c r="BK28" s="49">
        <f t="shared" si="18"/>
        <v>0</v>
      </c>
      <c r="BL28" s="49">
        <f t="shared" si="19"/>
        <v>1</v>
      </c>
      <c r="BM28" s="49">
        <f t="shared" si="20"/>
        <v>0</v>
      </c>
      <c r="BN28" s="49">
        <f t="shared" si="21"/>
        <v>0</v>
      </c>
      <c r="BO28" s="49">
        <f t="shared" si="22"/>
        <v>0</v>
      </c>
      <c r="BP28" s="49">
        <f t="shared" si="23"/>
        <v>1</v>
      </c>
      <c r="BQ28" s="49">
        <f t="shared" si="24"/>
        <v>0</v>
      </c>
      <c r="BR28" s="49">
        <f t="shared" si="25"/>
        <v>0</v>
      </c>
      <c r="BS28" s="49">
        <f t="shared" si="26"/>
        <v>0</v>
      </c>
      <c r="BT28" s="49">
        <f t="shared" si="27"/>
        <v>1</v>
      </c>
      <c r="BU28" s="49">
        <f t="shared" si="28"/>
        <v>0</v>
      </c>
      <c r="BV28" s="49">
        <f t="shared" si="29"/>
        <v>0</v>
      </c>
      <c r="BW28" s="49">
        <f t="shared" si="30"/>
        <v>0</v>
      </c>
      <c r="BX28" s="49">
        <f t="shared" si="31"/>
        <v>1</v>
      </c>
      <c r="BY28" s="49">
        <f t="shared" si="32"/>
        <v>0</v>
      </c>
      <c r="BZ28" s="49">
        <f t="shared" si="33"/>
        <v>0</v>
      </c>
      <c r="CA28" s="49">
        <f t="shared" si="34"/>
        <v>0</v>
      </c>
      <c r="CB28" s="49">
        <f t="shared" si="35"/>
        <v>1</v>
      </c>
      <c r="CC28" s="49">
        <f t="shared" si="36"/>
        <v>0</v>
      </c>
      <c r="CD28" s="49">
        <f t="shared" si="37"/>
        <v>0</v>
      </c>
      <c r="CE28" s="49">
        <f t="shared" si="38"/>
        <v>0</v>
      </c>
    </row>
    <row r="29" spans="1:83" ht="35.1" customHeight="1" x14ac:dyDescent="0.3">
      <c r="A29" s="123" t="str">
        <f t="shared" si="0"/>
        <v>1팀</v>
      </c>
      <c r="B29" s="69">
        <f t="shared" si="1"/>
        <v>23</v>
      </c>
      <c r="C29" s="119" t="str">
        <f>IF(VLOOKUP($B29,'1. 현장별 인원현황'!$C:$J,2,0)=0,"",VLOOKUP($B29,'1. 현장별 인원현황'!$C:$J,2,0))</f>
        <v xml:space="preserve"> [1.대우건설] 인천검단 신도시 AA28BL 공동주택 신축공사</v>
      </c>
      <c r="D29" s="116" t="str">
        <f>IF(VLOOKUP($B29,'1. 현장별 인원현황'!$C:$J,3,0)=0,"",VLOOKUP($B29,'1. 현장별 인원현황'!$C:$J,3,0))</f>
        <v>한성필</v>
      </c>
      <c r="E29" s="63" t="str">
        <f ca="1">IF(VLOOKUP($B29,'1. 현장별 인원현황'!$C:$J,4,0)=0,"",VLOOKUP($B29,'1. 현장별 인원현황'!$C:$J,4,0))</f>
        <v>53세</v>
      </c>
      <c r="F29" s="63" t="str">
        <f>IF(VLOOKUP($B29,'1. 현장별 인원현황'!$C:$J,7,0)=0,"",VLOOKUP($B29,'1. 현장별 인원현황'!$C:$J,7,0))</f>
        <v>기능공</v>
      </c>
      <c r="G29" s="63" t="str">
        <f>IF(VLOOKUP($B29,'1. 현장별 인원현황'!$C:$J,8,0)=0,"",VLOOKUP($B29,'1. 현장별 인원현황'!$C:$J,8,0))</f>
        <v>전공</v>
      </c>
      <c r="H29" s="67" t="s">
        <v>69</v>
      </c>
      <c r="I29" s="73"/>
      <c r="J29" s="73"/>
      <c r="K29" s="68"/>
      <c r="L29" s="67" t="s">
        <v>69</v>
      </c>
      <c r="M29" s="73"/>
      <c r="N29" s="73"/>
      <c r="O29" s="68"/>
      <c r="P29" s="67" t="s">
        <v>69</v>
      </c>
      <c r="Q29" s="73"/>
      <c r="R29" s="73"/>
      <c r="S29" s="68"/>
      <c r="T29" s="67" t="s">
        <v>69</v>
      </c>
      <c r="U29" s="73"/>
      <c r="V29" s="73"/>
      <c r="W29" s="68"/>
      <c r="X29" s="67" t="s">
        <v>69</v>
      </c>
      <c r="Y29" s="73"/>
      <c r="Z29" s="73"/>
      <c r="AA29" s="68"/>
      <c r="AB29" s="67" t="s">
        <v>69</v>
      </c>
      <c r="AC29" s="73"/>
      <c r="AD29" s="73"/>
      <c r="AE29" s="68"/>
      <c r="AF29" s="67" t="s">
        <v>69</v>
      </c>
      <c r="AG29" s="73"/>
      <c r="AH29" s="73"/>
      <c r="AI29" s="68"/>
      <c r="AJ29" s="67" t="s">
        <v>69</v>
      </c>
      <c r="AK29" s="73"/>
      <c r="AL29" s="73"/>
      <c r="AM29" s="68"/>
      <c r="AN29" s="73" t="s">
        <v>69</v>
      </c>
      <c r="AO29" s="73"/>
      <c r="AP29" s="73"/>
      <c r="AQ29" s="68"/>
      <c r="AR29" s="67">
        <f t="shared" si="2"/>
        <v>100</v>
      </c>
      <c r="AS29" s="68" t="str">
        <f t="shared" si="3"/>
        <v>S</v>
      </c>
      <c r="AV29" s="49">
        <f t="shared" si="39"/>
        <v>1</v>
      </c>
      <c r="AW29" s="49">
        <f t="shared" si="4"/>
        <v>0</v>
      </c>
      <c r="AX29" s="49">
        <f t="shared" si="5"/>
        <v>0</v>
      </c>
      <c r="AY29" s="49">
        <f t="shared" si="6"/>
        <v>0</v>
      </c>
      <c r="AZ29" s="49">
        <f t="shared" si="7"/>
        <v>1</v>
      </c>
      <c r="BA29" s="49">
        <f t="shared" si="8"/>
        <v>0</v>
      </c>
      <c r="BB29" s="49">
        <f t="shared" si="9"/>
        <v>0</v>
      </c>
      <c r="BC29" s="49">
        <f t="shared" si="10"/>
        <v>0</v>
      </c>
      <c r="BD29" s="49">
        <f t="shared" si="11"/>
        <v>1</v>
      </c>
      <c r="BE29" s="49">
        <f t="shared" si="12"/>
        <v>0</v>
      </c>
      <c r="BF29" s="49">
        <f t="shared" si="13"/>
        <v>0</v>
      </c>
      <c r="BG29" s="49">
        <f t="shared" si="14"/>
        <v>0</v>
      </c>
      <c r="BH29" s="49">
        <f t="shared" si="15"/>
        <v>1</v>
      </c>
      <c r="BI29" s="49">
        <f t="shared" si="16"/>
        <v>0</v>
      </c>
      <c r="BJ29" s="49">
        <f t="shared" si="17"/>
        <v>0</v>
      </c>
      <c r="BK29" s="49">
        <f t="shared" si="18"/>
        <v>0</v>
      </c>
      <c r="BL29" s="49">
        <f t="shared" si="19"/>
        <v>1</v>
      </c>
      <c r="BM29" s="49">
        <f t="shared" si="20"/>
        <v>0</v>
      </c>
      <c r="BN29" s="49">
        <f t="shared" si="21"/>
        <v>0</v>
      </c>
      <c r="BO29" s="49">
        <f t="shared" si="22"/>
        <v>0</v>
      </c>
      <c r="BP29" s="49">
        <f t="shared" si="23"/>
        <v>1</v>
      </c>
      <c r="BQ29" s="49">
        <f t="shared" si="24"/>
        <v>0</v>
      </c>
      <c r="BR29" s="49">
        <f t="shared" si="25"/>
        <v>0</v>
      </c>
      <c r="BS29" s="49">
        <f t="shared" si="26"/>
        <v>0</v>
      </c>
      <c r="BT29" s="49">
        <f t="shared" si="27"/>
        <v>1</v>
      </c>
      <c r="BU29" s="49">
        <f t="shared" si="28"/>
        <v>0</v>
      </c>
      <c r="BV29" s="49">
        <f t="shared" si="29"/>
        <v>0</v>
      </c>
      <c r="BW29" s="49">
        <f t="shared" si="30"/>
        <v>0</v>
      </c>
      <c r="BX29" s="49">
        <f t="shared" si="31"/>
        <v>1</v>
      </c>
      <c r="BY29" s="49">
        <f t="shared" si="32"/>
        <v>0</v>
      </c>
      <c r="BZ29" s="49">
        <f t="shared" si="33"/>
        <v>0</v>
      </c>
      <c r="CA29" s="49">
        <f t="shared" si="34"/>
        <v>0</v>
      </c>
      <c r="CB29" s="49">
        <f t="shared" si="35"/>
        <v>1</v>
      </c>
      <c r="CC29" s="49">
        <f t="shared" si="36"/>
        <v>0</v>
      </c>
      <c r="CD29" s="49">
        <f t="shared" si="37"/>
        <v>0</v>
      </c>
      <c r="CE29" s="49">
        <f t="shared" si="38"/>
        <v>0</v>
      </c>
    </row>
    <row r="30" spans="1:83" ht="35.1" customHeight="1" x14ac:dyDescent="0.3">
      <c r="A30" s="123" t="str">
        <f t="shared" si="0"/>
        <v>1팀</v>
      </c>
      <c r="B30" s="69">
        <f t="shared" si="1"/>
        <v>24</v>
      </c>
      <c r="C30" s="119" t="str">
        <f>IF(VLOOKUP($B30,'1. 현장별 인원현황'!$C:$J,2,0)=0,"",VLOOKUP($B30,'1. 현장별 인원현황'!$C:$J,2,0))</f>
        <v xml:space="preserve"> [1.대우건설] 장위6구역 주택재개발 정비사업아파트 신축공사</v>
      </c>
      <c r="D30" s="116" t="str">
        <f>IF(VLOOKUP($B30,'1. 현장별 인원현황'!$C:$J,3,0)=0,"",VLOOKUP($B30,'1. 현장별 인원현황'!$C:$J,3,0))</f>
        <v>강지성</v>
      </c>
      <c r="E30" s="63" t="str">
        <f ca="1">IF(VLOOKUP($B30,'1. 현장별 인원현황'!$C:$J,4,0)=0,"",VLOOKUP($B30,'1. 현장별 인원현황'!$C:$J,4,0))</f>
        <v>50세</v>
      </c>
      <c r="F30" s="63" t="str">
        <f>IF(VLOOKUP($B30,'1. 현장별 인원현황'!$C:$J,7,0)=0,"",VLOOKUP($B30,'1. 현장별 인원현황'!$C:$J,7,0))</f>
        <v>공무</v>
      </c>
      <c r="G30" s="63" t="str">
        <f>IF(VLOOKUP($B30,'1. 현장별 인원현황'!$C:$J,8,0)=0,"",VLOOKUP($B30,'1. 현장별 인원현황'!$C:$J,8,0))</f>
        <v>차장</v>
      </c>
      <c r="H30" s="67" t="s">
        <v>69</v>
      </c>
      <c r="I30" s="73"/>
      <c r="J30" s="73"/>
      <c r="K30" s="68"/>
      <c r="L30" s="67" t="s">
        <v>69</v>
      </c>
      <c r="M30" s="73"/>
      <c r="N30" s="73"/>
      <c r="O30" s="68"/>
      <c r="P30" s="67" t="s">
        <v>69</v>
      </c>
      <c r="Q30" s="73"/>
      <c r="R30" s="73"/>
      <c r="S30" s="68"/>
      <c r="T30" s="67" t="s">
        <v>69</v>
      </c>
      <c r="U30" s="73"/>
      <c r="V30" s="73"/>
      <c r="W30" s="68"/>
      <c r="X30" s="67"/>
      <c r="Y30" s="73"/>
      <c r="Z30" s="73"/>
      <c r="AA30" s="68" t="s">
        <v>69</v>
      </c>
      <c r="AB30" s="67"/>
      <c r="AC30" s="73"/>
      <c r="AD30" s="73" t="s">
        <v>69</v>
      </c>
      <c r="AE30" s="68"/>
      <c r="AF30" s="67"/>
      <c r="AG30" s="73"/>
      <c r="AH30" s="73" t="s">
        <v>69</v>
      </c>
      <c r="AI30" s="68"/>
      <c r="AJ30" s="67"/>
      <c r="AK30" s="73" t="s">
        <v>69</v>
      </c>
      <c r="AL30" s="73"/>
      <c r="AM30" s="68"/>
      <c r="AN30" s="73"/>
      <c r="AO30" s="73"/>
      <c r="AP30" s="73"/>
      <c r="AQ30" s="68" t="s">
        <v>69</v>
      </c>
      <c r="AR30" s="67">
        <f t="shared" si="2"/>
        <v>74</v>
      </c>
      <c r="AS30" s="68" t="str">
        <f t="shared" si="3"/>
        <v>A</v>
      </c>
      <c r="AV30" s="49">
        <f t="shared" si="39"/>
        <v>1</v>
      </c>
      <c r="AW30" s="49">
        <f t="shared" si="4"/>
        <v>0</v>
      </c>
      <c r="AX30" s="49">
        <f t="shared" si="5"/>
        <v>0</v>
      </c>
      <c r="AY30" s="49">
        <f t="shared" si="6"/>
        <v>0</v>
      </c>
      <c r="AZ30" s="49">
        <f t="shared" si="7"/>
        <v>1</v>
      </c>
      <c r="BA30" s="49">
        <f t="shared" si="8"/>
        <v>0</v>
      </c>
      <c r="BB30" s="49">
        <f t="shared" si="9"/>
        <v>0</v>
      </c>
      <c r="BC30" s="49">
        <f t="shared" si="10"/>
        <v>0</v>
      </c>
      <c r="BD30" s="49">
        <f t="shared" si="11"/>
        <v>1</v>
      </c>
      <c r="BE30" s="49">
        <f t="shared" si="12"/>
        <v>0</v>
      </c>
      <c r="BF30" s="49">
        <f t="shared" si="13"/>
        <v>0</v>
      </c>
      <c r="BG30" s="49">
        <f t="shared" si="14"/>
        <v>0</v>
      </c>
      <c r="BH30" s="49">
        <f t="shared" si="15"/>
        <v>1</v>
      </c>
      <c r="BI30" s="49">
        <f t="shared" si="16"/>
        <v>0</v>
      </c>
      <c r="BJ30" s="49">
        <f t="shared" si="17"/>
        <v>0</v>
      </c>
      <c r="BK30" s="49">
        <f t="shared" si="18"/>
        <v>0</v>
      </c>
      <c r="BL30" s="49">
        <f t="shared" si="19"/>
        <v>0</v>
      </c>
      <c r="BM30" s="49">
        <f t="shared" si="20"/>
        <v>0</v>
      </c>
      <c r="BN30" s="49">
        <f t="shared" si="21"/>
        <v>0</v>
      </c>
      <c r="BO30" s="49">
        <f t="shared" si="22"/>
        <v>1</v>
      </c>
      <c r="BP30" s="49">
        <f t="shared" si="23"/>
        <v>0</v>
      </c>
      <c r="BQ30" s="49">
        <f t="shared" si="24"/>
        <v>0</v>
      </c>
      <c r="BR30" s="49">
        <f t="shared" si="25"/>
        <v>1</v>
      </c>
      <c r="BS30" s="49">
        <f t="shared" si="26"/>
        <v>0</v>
      </c>
      <c r="BT30" s="49">
        <f t="shared" si="27"/>
        <v>0</v>
      </c>
      <c r="BU30" s="49">
        <f t="shared" si="28"/>
        <v>0</v>
      </c>
      <c r="BV30" s="49">
        <f t="shared" si="29"/>
        <v>1</v>
      </c>
      <c r="BW30" s="49">
        <f t="shared" si="30"/>
        <v>0</v>
      </c>
      <c r="BX30" s="49">
        <f t="shared" si="31"/>
        <v>0</v>
      </c>
      <c r="BY30" s="49">
        <f t="shared" si="32"/>
        <v>1</v>
      </c>
      <c r="BZ30" s="49">
        <f t="shared" si="33"/>
        <v>0</v>
      </c>
      <c r="CA30" s="49">
        <f t="shared" si="34"/>
        <v>0</v>
      </c>
      <c r="CB30" s="49">
        <f t="shared" si="35"/>
        <v>0</v>
      </c>
      <c r="CC30" s="49">
        <f t="shared" si="36"/>
        <v>0</v>
      </c>
      <c r="CD30" s="49">
        <f t="shared" si="37"/>
        <v>0</v>
      </c>
      <c r="CE30" s="49">
        <f t="shared" si="38"/>
        <v>1</v>
      </c>
    </row>
    <row r="31" spans="1:83" ht="35.1" customHeight="1" x14ac:dyDescent="0.3">
      <c r="A31" s="123" t="str">
        <f t="shared" si="0"/>
        <v>1팀</v>
      </c>
      <c r="B31" s="69">
        <f t="shared" si="1"/>
        <v>25</v>
      </c>
      <c r="C31" s="119" t="str">
        <f>IF(VLOOKUP($B31,'1. 현장별 인원현황'!$C:$J,2,0)=0,"",VLOOKUP($B31,'1. 현장별 인원현황'!$C:$J,2,0))</f>
        <v xml:space="preserve"> [1.대우건설] 장위6구역 주택재개발 정비사업아파트 신축공사</v>
      </c>
      <c r="D31" s="116" t="str">
        <f>IF(VLOOKUP($B31,'1. 현장별 인원현황'!$C:$J,3,0)=0,"",VLOOKUP($B31,'1. 현장별 인원현황'!$C:$J,3,0))</f>
        <v>이시우</v>
      </c>
      <c r="E31" s="63" t="str">
        <f ca="1">IF(VLOOKUP($B31,'1. 현장별 인원현황'!$C:$J,4,0)=0,"",VLOOKUP($B31,'1. 현장별 인원현황'!$C:$J,4,0))</f>
        <v>24세</v>
      </c>
      <c r="F31" s="63" t="str">
        <f>IF(VLOOKUP($B31,'1. 현장별 인원현황'!$C:$J,7,0)=0,"",VLOOKUP($B31,'1. 현장별 인원현황'!$C:$J,7,0))</f>
        <v>공무</v>
      </c>
      <c r="G31" s="63" t="str">
        <f>IF(VLOOKUP($B31,'1. 현장별 인원현황'!$C:$J,8,0)=0,"",VLOOKUP($B31,'1. 현장별 인원현황'!$C:$J,8,0))</f>
        <v>대리</v>
      </c>
      <c r="H31" s="67" t="s">
        <v>69</v>
      </c>
      <c r="I31" s="73"/>
      <c r="J31" s="73"/>
      <c r="K31" s="68"/>
      <c r="L31" s="67" t="s">
        <v>69</v>
      </c>
      <c r="M31" s="73"/>
      <c r="N31" s="73"/>
      <c r="O31" s="68"/>
      <c r="P31" s="67" t="s">
        <v>69</v>
      </c>
      <c r="Q31" s="73"/>
      <c r="R31" s="73"/>
      <c r="S31" s="68"/>
      <c r="T31" s="67"/>
      <c r="U31" s="73" t="s">
        <v>69</v>
      </c>
      <c r="V31" s="73"/>
      <c r="W31" s="68"/>
      <c r="X31" s="67" t="s">
        <v>69</v>
      </c>
      <c r="Y31" s="73"/>
      <c r="Z31" s="73"/>
      <c r="AA31" s="68"/>
      <c r="AB31" s="67" t="s">
        <v>69</v>
      </c>
      <c r="AC31" s="73"/>
      <c r="AD31" s="73"/>
      <c r="AE31" s="68"/>
      <c r="AF31" s="67"/>
      <c r="AG31" s="73" t="s">
        <v>69</v>
      </c>
      <c r="AH31" s="73"/>
      <c r="AI31" s="68"/>
      <c r="AJ31" s="67" t="s">
        <v>69</v>
      </c>
      <c r="AK31" s="73"/>
      <c r="AL31" s="73"/>
      <c r="AM31" s="68"/>
      <c r="AN31" s="73" t="s">
        <v>69</v>
      </c>
      <c r="AO31" s="73"/>
      <c r="AP31" s="73"/>
      <c r="AQ31" s="68"/>
      <c r="AR31" s="67">
        <f t="shared" si="2"/>
        <v>96</v>
      </c>
      <c r="AS31" s="68" t="str">
        <f t="shared" si="3"/>
        <v>S</v>
      </c>
      <c r="AV31" s="49">
        <f t="shared" si="39"/>
        <v>1</v>
      </c>
      <c r="AW31" s="49">
        <f t="shared" si="4"/>
        <v>0</v>
      </c>
      <c r="AX31" s="49">
        <f t="shared" si="5"/>
        <v>0</v>
      </c>
      <c r="AY31" s="49">
        <f t="shared" si="6"/>
        <v>0</v>
      </c>
      <c r="AZ31" s="49">
        <f t="shared" si="7"/>
        <v>1</v>
      </c>
      <c r="BA31" s="49">
        <f t="shared" si="8"/>
        <v>0</v>
      </c>
      <c r="BB31" s="49">
        <f t="shared" si="9"/>
        <v>0</v>
      </c>
      <c r="BC31" s="49">
        <f t="shared" si="10"/>
        <v>0</v>
      </c>
      <c r="BD31" s="49">
        <f t="shared" si="11"/>
        <v>1</v>
      </c>
      <c r="BE31" s="49">
        <f t="shared" si="12"/>
        <v>0</v>
      </c>
      <c r="BF31" s="49">
        <f t="shared" si="13"/>
        <v>0</v>
      </c>
      <c r="BG31" s="49">
        <f t="shared" si="14"/>
        <v>0</v>
      </c>
      <c r="BH31" s="49">
        <f t="shared" si="15"/>
        <v>0</v>
      </c>
      <c r="BI31" s="49">
        <f t="shared" si="16"/>
        <v>1</v>
      </c>
      <c r="BJ31" s="49">
        <f t="shared" si="17"/>
        <v>0</v>
      </c>
      <c r="BK31" s="49">
        <f t="shared" si="18"/>
        <v>0</v>
      </c>
      <c r="BL31" s="49">
        <f t="shared" si="19"/>
        <v>1</v>
      </c>
      <c r="BM31" s="49">
        <f t="shared" si="20"/>
        <v>0</v>
      </c>
      <c r="BN31" s="49">
        <f t="shared" si="21"/>
        <v>0</v>
      </c>
      <c r="BO31" s="49">
        <f t="shared" si="22"/>
        <v>0</v>
      </c>
      <c r="BP31" s="49">
        <f t="shared" si="23"/>
        <v>1</v>
      </c>
      <c r="BQ31" s="49">
        <f t="shared" si="24"/>
        <v>0</v>
      </c>
      <c r="BR31" s="49">
        <f t="shared" si="25"/>
        <v>0</v>
      </c>
      <c r="BS31" s="49">
        <f t="shared" si="26"/>
        <v>0</v>
      </c>
      <c r="BT31" s="49">
        <f t="shared" si="27"/>
        <v>0</v>
      </c>
      <c r="BU31" s="49">
        <f t="shared" si="28"/>
        <v>1</v>
      </c>
      <c r="BV31" s="49">
        <f t="shared" si="29"/>
        <v>0</v>
      </c>
      <c r="BW31" s="49">
        <f t="shared" si="30"/>
        <v>0</v>
      </c>
      <c r="BX31" s="49">
        <f t="shared" si="31"/>
        <v>1</v>
      </c>
      <c r="BY31" s="49">
        <f t="shared" si="32"/>
        <v>0</v>
      </c>
      <c r="BZ31" s="49">
        <f t="shared" si="33"/>
        <v>0</v>
      </c>
      <c r="CA31" s="49">
        <f t="shared" si="34"/>
        <v>0</v>
      </c>
      <c r="CB31" s="49">
        <f t="shared" si="35"/>
        <v>1</v>
      </c>
      <c r="CC31" s="49">
        <f t="shared" si="36"/>
        <v>0</v>
      </c>
      <c r="CD31" s="49">
        <f t="shared" si="37"/>
        <v>0</v>
      </c>
      <c r="CE31" s="49">
        <f t="shared" si="38"/>
        <v>0</v>
      </c>
    </row>
    <row r="32" spans="1:83" ht="35.1" customHeight="1" x14ac:dyDescent="0.3">
      <c r="A32" s="123" t="str">
        <f t="shared" si="0"/>
        <v>1팀</v>
      </c>
      <c r="B32" s="69">
        <f t="shared" si="1"/>
        <v>26</v>
      </c>
      <c r="C32" s="119" t="str">
        <f>IF(VLOOKUP($B32,'1. 현장별 인원현황'!$C:$J,2,0)=0,"",VLOOKUP($B32,'1. 현장별 인원현황'!$C:$J,2,0))</f>
        <v xml:space="preserve"> [1.대우건설] 장위6구역 주택재개발 정비사업아파트 신축공사</v>
      </c>
      <c r="D32" s="116" t="str">
        <f>IF(VLOOKUP($B32,'1. 현장별 인원현황'!$C:$J,3,0)=0,"",VLOOKUP($B32,'1. 현장별 인원현황'!$C:$J,3,0))</f>
        <v>정  권</v>
      </c>
      <c r="E32" s="63" t="str">
        <f ca="1">IF(VLOOKUP($B32,'1. 현장별 인원현황'!$C:$J,4,0)=0,"",VLOOKUP($B32,'1. 현장별 인원현황'!$C:$J,4,0))</f>
        <v>60세</v>
      </c>
      <c r="F32" s="63" t="str">
        <f>IF(VLOOKUP($B32,'1. 현장별 인원현황'!$C:$J,7,0)=0,"",VLOOKUP($B32,'1. 현장별 인원현황'!$C:$J,7,0))</f>
        <v>공사</v>
      </c>
      <c r="G32" s="63" t="str">
        <f>IF(VLOOKUP($B32,'1. 현장별 인원현황'!$C:$J,8,0)=0,"",VLOOKUP($B32,'1. 현장별 인원현황'!$C:$J,8,0))</f>
        <v>차장</v>
      </c>
      <c r="H32" s="67" t="s">
        <v>69</v>
      </c>
      <c r="I32" s="73"/>
      <c r="J32" s="73"/>
      <c r="K32" s="68"/>
      <c r="L32" s="67" t="s">
        <v>69</v>
      </c>
      <c r="M32" s="73"/>
      <c r="N32" s="73"/>
      <c r="O32" s="68"/>
      <c r="P32" s="67" t="s">
        <v>69</v>
      </c>
      <c r="Q32" s="73"/>
      <c r="R32" s="73"/>
      <c r="S32" s="68"/>
      <c r="T32" s="67" t="s">
        <v>69</v>
      </c>
      <c r="U32" s="73"/>
      <c r="V32" s="73"/>
      <c r="W32" s="68"/>
      <c r="X32" s="67" t="s">
        <v>69</v>
      </c>
      <c r="Y32" s="73"/>
      <c r="Z32" s="73"/>
      <c r="AA32" s="68"/>
      <c r="AB32" s="67" t="s">
        <v>69</v>
      </c>
      <c r="AC32" s="73"/>
      <c r="AD32" s="73"/>
      <c r="AE32" s="68"/>
      <c r="AF32" s="67"/>
      <c r="AG32" s="73" t="s">
        <v>69</v>
      </c>
      <c r="AH32" s="73"/>
      <c r="AI32" s="68"/>
      <c r="AJ32" s="67" t="s">
        <v>69</v>
      </c>
      <c r="AK32" s="73"/>
      <c r="AL32" s="73"/>
      <c r="AM32" s="68"/>
      <c r="AN32" s="73"/>
      <c r="AO32" s="73" t="s">
        <v>69</v>
      </c>
      <c r="AP32" s="73"/>
      <c r="AQ32" s="68"/>
      <c r="AR32" s="67">
        <f t="shared" si="2"/>
        <v>95</v>
      </c>
      <c r="AS32" s="68" t="str">
        <f t="shared" si="3"/>
        <v>S</v>
      </c>
      <c r="AV32" s="49">
        <f t="shared" si="39"/>
        <v>1</v>
      </c>
      <c r="AW32" s="49">
        <f t="shared" si="4"/>
        <v>0</v>
      </c>
      <c r="AX32" s="49">
        <f t="shared" si="5"/>
        <v>0</v>
      </c>
      <c r="AY32" s="49">
        <f t="shared" si="6"/>
        <v>0</v>
      </c>
      <c r="AZ32" s="49">
        <f t="shared" si="7"/>
        <v>1</v>
      </c>
      <c r="BA32" s="49">
        <f t="shared" si="8"/>
        <v>0</v>
      </c>
      <c r="BB32" s="49">
        <f t="shared" si="9"/>
        <v>0</v>
      </c>
      <c r="BC32" s="49">
        <f t="shared" si="10"/>
        <v>0</v>
      </c>
      <c r="BD32" s="49">
        <f t="shared" si="11"/>
        <v>1</v>
      </c>
      <c r="BE32" s="49">
        <f t="shared" si="12"/>
        <v>0</v>
      </c>
      <c r="BF32" s="49">
        <f t="shared" si="13"/>
        <v>0</v>
      </c>
      <c r="BG32" s="49">
        <f t="shared" si="14"/>
        <v>0</v>
      </c>
      <c r="BH32" s="49">
        <f t="shared" si="15"/>
        <v>1</v>
      </c>
      <c r="BI32" s="49">
        <f t="shared" si="16"/>
        <v>0</v>
      </c>
      <c r="BJ32" s="49">
        <f t="shared" si="17"/>
        <v>0</v>
      </c>
      <c r="BK32" s="49">
        <f t="shared" si="18"/>
        <v>0</v>
      </c>
      <c r="BL32" s="49">
        <f t="shared" si="19"/>
        <v>1</v>
      </c>
      <c r="BM32" s="49">
        <f t="shared" si="20"/>
        <v>0</v>
      </c>
      <c r="BN32" s="49">
        <f t="shared" si="21"/>
        <v>0</v>
      </c>
      <c r="BO32" s="49">
        <f t="shared" si="22"/>
        <v>0</v>
      </c>
      <c r="BP32" s="49">
        <f t="shared" si="23"/>
        <v>1</v>
      </c>
      <c r="BQ32" s="49">
        <f t="shared" si="24"/>
        <v>0</v>
      </c>
      <c r="BR32" s="49">
        <f t="shared" si="25"/>
        <v>0</v>
      </c>
      <c r="BS32" s="49">
        <f t="shared" si="26"/>
        <v>0</v>
      </c>
      <c r="BT32" s="49">
        <f t="shared" si="27"/>
        <v>0</v>
      </c>
      <c r="BU32" s="49">
        <f t="shared" si="28"/>
        <v>1</v>
      </c>
      <c r="BV32" s="49">
        <f t="shared" si="29"/>
        <v>0</v>
      </c>
      <c r="BW32" s="49">
        <f t="shared" si="30"/>
        <v>0</v>
      </c>
      <c r="BX32" s="49">
        <f t="shared" si="31"/>
        <v>1</v>
      </c>
      <c r="BY32" s="49">
        <f t="shared" si="32"/>
        <v>0</v>
      </c>
      <c r="BZ32" s="49">
        <f t="shared" si="33"/>
        <v>0</v>
      </c>
      <c r="CA32" s="49">
        <f t="shared" si="34"/>
        <v>0</v>
      </c>
      <c r="CB32" s="49">
        <f t="shared" si="35"/>
        <v>0</v>
      </c>
      <c r="CC32" s="49">
        <f t="shared" si="36"/>
        <v>1</v>
      </c>
      <c r="CD32" s="49">
        <f t="shared" si="37"/>
        <v>0</v>
      </c>
      <c r="CE32" s="49">
        <f t="shared" si="38"/>
        <v>0</v>
      </c>
    </row>
    <row r="33" spans="1:83" ht="35.1" customHeight="1" x14ac:dyDescent="0.3">
      <c r="A33" s="123" t="str">
        <f t="shared" si="0"/>
        <v>1팀</v>
      </c>
      <c r="B33" s="69">
        <f t="shared" si="1"/>
        <v>27</v>
      </c>
      <c r="C33" s="119" t="str">
        <f>IF(VLOOKUP($B33,'1. 현장별 인원현황'!$C:$J,2,0)=0,"",VLOOKUP($B33,'1. 현장별 인원현황'!$C:$J,2,0))</f>
        <v xml:space="preserve"> [1.대우건설] 장위6구역 주택재개발 정비사업아파트 신축공사</v>
      </c>
      <c r="D33" s="116" t="str">
        <f>IF(VLOOKUP($B33,'1. 현장별 인원현황'!$C:$J,3,0)=0,"",VLOOKUP($B33,'1. 현장별 인원현황'!$C:$J,3,0))</f>
        <v>성경웅</v>
      </c>
      <c r="E33" s="63" t="str">
        <f ca="1">IF(VLOOKUP($B33,'1. 현장별 인원현황'!$C:$J,4,0)=0,"",VLOOKUP($B33,'1. 현장별 인원현황'!$C:$J,4,0))</f>
        <v>56세</v>
      </c>
      <c r="F33" s="63" t="str">
        <f>IF(VLOOKUP($B33,'1. 현장별 인원현황'!$C:$J,7,0)=0,"",VLOOKUP($B33,'1. 현장별 인원현황'!$C:$J,7,0))</f>
        <v>공사</v>
      </c>
      <c r="G33" s="63" t="str">
        <f>IF(VLOOKUP($B33,'1. 현장별 인원현황'!$C:$J,8,0)=0,"",VLOOKUP($B33,'1. 현장별 인원현황'!$C:$J,8,0))</f>
        <v>차장</v>
      </c>
      <c r="H33" s="67" t="s">
        <v>69</v>
      </c>
      <c r="I33" s="73"/>
      <c r="J33" s="73"/>
      <c r="K33" s="68"/>
      <c r="L33" s="67" t="s">
        <v>69</v>
      </c>
      <c r="M33" s="73"/>
      <c r="N33" s="73"/>
      <c r="O33" s="68"/>
      <c r="P33" s="67" t="s">
        <v>69</v>
      </c>
      <c r="Q33" s="73"/>
      <c r="R33" s="73"/>
      <c r="S33" s="68"/>
      <c r="T33" s="67" t="s">
        <v>69</v>
      </c>
      <c r="U33" s="73"/>
      <c r="V33" s="73"/>
      <c r="W33" s="68"/>
      <c r="X33" s="67" t="s">
        <v>69</v>
      </c>
      <c r="Y33" s="73"/>
      <c r="Z33" s="73"/>
      <c r="AA33" s="68"/>
      <c r="AB33" s="67" t="s">
        <v>69</v>
      </c>
      <c r="AC33" s="73"/>
      <c r="AD33" s="73"/>
      <c r="AE33" s="68"/>
      <c r="AF33" s="67" t="s">
        <v>69</v>
      </c>
      <c r="AG33" s="73"/>
      <c r="AH33" s="73"/>
      <c r="AI33" s="68"/>
      <c r="AJ33" s="67" t="s">
        <v>69</v>
      </c>
      <c r="AK33" s="73"/>
      <c r="AL33" s="73"/>
      <c r="AM33" s="68"/>
      <c r="AN33" s="73" t="s">
        <v>69</v>
      </c>
      <c r="AO33" s="73"/>
      <c r="AP33" s="73"/>
      <c r="AQ33" s="68"/>
      <c r="AR33" s="67">
        <f t="shared" si="2"/>
        <v>100</v>
      </c>
      <c r="AS33" s="68" t="str">
        <f t="shared" si="3"/>
        <v>S</v>
      </c>
      <c r="AV33" s="49">
        <f t="shared" si="39"/>
        <v>1</v>
      </c>
      <c r="AW33" s="49">
        <f t="shared" si="4"/>
        <v>0</v>
      </c>
      <c r="AX33" s="49">
        <f t="shared" si="5"/>
        <v>0</v>
      </c>
      <c r="AY33" s="49">
        <f t="shared" si="6"/>
        <v>0</v>
      </c>
      <c r="AZ33" s="49">
        <f t="shared" si="7"/>
        <v>1</v>
      </c>
      <c r="BA33" s="49">
        <f t="shared" si="8"/>
        <v>0</v>
      </c>
      <c r="BB33" s="49">
        <f t="shared" si="9"/>
        <v>0</v>
      </c>
      <c r="BC33" s="49">
        <f t="shared" si="10"/>
        <v>0</v>
      </c>
      <c r="BD33" s="49">
        <f t="shared" si="11"/>
        <v>1</v>
      </c>
      <c r="BE33" s="49">
        <f t="shared" si="12"/>
        <v>0</v>
      </c>
      <c r="BF33" s="49">
        <f t="shared" si="13"/>
        <v>0</v>
      </c>
      <c r="BG33" s="49">
        <f t="shared" si="14"/>
        <v>0</v>
      </c>
      <c r="BH33" s="49">
        <f t="shared" si="15"/>
        <v>1</v>
      </c>
      <c r="BI33" s="49">
        <f t="shared" si="16"/>
        <v>0</v>
      </c>
      <c r="BJ33" s="49">
        <f t="shared" si="17"/>
        <v>0</v>
      </c>
      <c r="BK33" s="49">
        <f t="shared" si="18"/>
        <v>0</v>
      </c>
      <c r="BL33" s="49">
        <f t="shared" si="19"/>
        <v>1</v>
      </c>
      <c r="BM33" s="49">
        <f t="shared" si="20"/>
        <v>0</v>
      </c>
      <c r="BN33" s="49">
        <f t="shared" si="21"/>
        <v>0</v>
      </c>
      <c r="BO33" s="49">
        <f t="shared" si="22"/>
        <v>0</v>
      </c>
      <c r="BP33" s="49">
        <f t="shared" si="23"/>
        <v>1</v>
      </c>
      <c r="BQ33" s="49">
        <f t="shared" si="24"/>
        <v>0</v>
      </c>
      <c r="BR33" s="49">
        <f t="shared" si="25"/>
        <v>0</v>
      </c>
      <c r="BS33" s="49">
        <f t="shared" si="26"/>
        <v>0</v>
      </c>
      <c r="BT33" s="49">
        <f t="shared" si="27"/>
        <v>1</v>
      </c>
      <c r="BU33" s="49">
        <f t="shared" si="28"/>
        <v>0</v>
      </c>
      <c r="BV33" s="49">
        <f t="shared" si="29"/>
        <v>0</v>
      </c>
      <c r="BW33" s="49">
        <f t="shared" si="30"/>
        <v>0</v>
      </c>
      <c r="BX33" s="49">
        <f t="shared" si="31"/>
        <v>1</v>
      </c>
      <c r="BY33" s="49">
        <f t="shared" si="32"/>
        <v>0</v>
      </c>
      <c r="BZ33" s="49">
        <f t="shared" si="33"/>
        <v>0</v>
      </c>
      <c r="CA33" s="49">
        <f t="shared" si="34"/>
        <v>0</v>
      </c>
      <c r="CB33" s="49">
        <f t="shared" si="35"/>
        <v>1</v>
      </c>
      <c r="CC33" s="49">
        <f t="shared" si="36"/>
        <v>0</v>
      </c>
      <c r="CD33" s="49">
        <f t="shared" si="37"/>
        <v>0</v>
      </c>
      <c r="CE33" s="49">
        <f t="shared" si="38"/>
        <v>0</v>
      </c>
    </row>
    <row r="34" spans="1:83" ht="35.1" customHeight="1" x14ac:dyDescent="0.3">
      <c r="A34" s="123" t="str">
        <f t="shared" si="0"/>
        <v>1팀</v>
      </c>
      <c r="B34" s="69">
        <f t="shared" si="1"/>
        <v>28</v>
      </c>
      <c r="C34" s="119" t="str">
        <f>IF(VLOOKUP($B34,'1. 현장별 인원현황'!$C:$J,2,0)=0,"",VLOOKUP($B34,'1. 현장별 인원현황'!$C:$J,2,0))</f>
        <v xml:space="preserve"> [1.대우건설] 장위6구역 주택재개발 정비사업아파트 신축공사</v>
      </c>
      <c r="D34" s="116" t="str">
        <f>IF(VLOOKUP($B34,'1. 현장별 인원현황'!$C:$J,3,0)=0,"",VLOOKUP($B34,'1. 현장별 인원현황'!$C:$J,3,0))</f>
        <v>용효중</v>
      </c>
      <c r="E34" s="63" t="str">
        <f ca="1">IF(VLOOKUP($B34,'1. 현장별 인원현황'!$C:$J,4,0)=0,"",VLOOKUP($B34,'1. 현장별 인원현황'!$C:$J,4,0))</f>
        <v>49세</v>
      </c>
      <c r="F34" s="63" t="str">
        <f>IF(VLOOKUP($B34,'1. 현장별 인원현황'!$C:$J,7,0)=0,"",VLOOKUP($B34,'1. 현장별 인원현황'!$C:$J,7,0))</f>
        <v>기능공</v>
      </c>
      <c r="G34" s="63" t="str">
        <f>IF(VLOOKUP($B34,'1. 현장별 인원현황'!$C:$J,8,0)=0,"",VLOOKUP($B34,'1. 현장별 인원현황'!$C:$J,8,0))</f>
        <v>전공</v>
      </c>
      <c r="H34" s="67" t="s">
        <v>69</v>
      </c>
      <c r="I34" s="73"/>
      <c r="J34" s="73"/>
      <c r="K34" s="68"/>
      <c r="L34" s="67"/>
      <c r="M34" s="73" t="s">
        <v>69</v>
      </c>
      <c r="N34" s="73"/>
      <c r="O34" s="68"/>
      <c r="P34" s="67" t="s">
        <v>69</v>
      </c>
      <c r="Q34" s="73"/>
      <c r="R34" s="73"/>
      <c r="S34" s="68"/>
      <c r="T34" s="67" t="s">
        <v>69</v>
      </c>
      <c r="U34" s="73"/>
      <c r="V34" s="73"/>
      <c r="W34" s="68"/>
      <c r="X34" s="67" t="s">
        <v>69</v>
      </c>
      <c r="Y34" s="73"/>
      <c r="Z34" s="73"/>
      <c r="AA34" s="68"/>
      <c r="AB34" s="67"/>
      <c r="AC34" s="73" t="s">
        <v>69</v>
      </c>
      <c r="AD34" s="73"/>
      <c r="AE34" s="68"/>
      <c r="AF34" s="67"/>
      <c r="AG34" s="73" t="s">
        <v>69</v>
      </c>
      <c r="AH34" s="73"/>
      <c r="AI34" s="68"/>
      <c r="AJ34" s="67" t="s">
        <v>69</v>
      </c>
      <c r="AK34" s="73"/>
      <c r="AL34" s="73"/>
      <c r="AM34" s="68"/>
      <c r="AN34" s="73" t="s">
        <v>69</v>
      </c>
      <c r="AO34" s="73"/>
      <c r="AP34" s="73"/>
      <c r="AQ34" s="68"/>
      <c r="AR34" s="67">
        <f t="shared" si="2"/>
        <v>93</v>
      </c>
      <c r="AS34" s="68" t="str">
        <f t="shared" si="3"/>
        <v>S</v>
      </c>
      <c r="AV34" s="49">
        <f t="shared" si="39"/>
        <v>1</v>
      </c>
      <c r="AW34" s="49">
        <f t="shared" si="4"/>
        <v>0</v>
      </c>
      <c r="AX34" s="49">
        <f t="shared" si="5"/>
        <v>0</v>
      </c>
      <c r="AY34" s="49">
        <f t="shared" si="6"/>
        <v>0</v>
      </c>
      <c r="AZ34" s="49">
        <f t="shared" si="7"/>
        <v>0</v>
      </c>
      <c r="BA34" s="49">
        <f t="shared" si="8"/>
        <v>1</v>
      </c>
      <c r="BB34" s="49">
        <f t="shared" si="9"/>
        <v>0</v>
      </c>
      <c r="BC34" s="49">
        <f t="shared" si="10"/>
        <v>0</v>
      </c>
      <c r="BD34" s="49">
        <f t="shared" si="11"/>
        <v>1</v>
      </c>
      <c r="BE34" s="49">
        <f t="shared" si="12"/>
        <v>0</v>
      </c>
      <c r="BF34" s="49">
        <f t="shared" si="13"/>
        <v>0</v>
      </c>
      <c r="BG34" s="49">
        <f t="shared" si="14"/>
        <v>0</v>
      </c>
      <c r="BH34" s="49">
        <f t="shared" si="15"/>
        <v>1</v>
      </c>
      <c r="BI34" s="49">
        <f t="shared" si="16"/>
        <v>0</v>
      </c>
      <c r="BJ34" s="49">
        <f t="shared" si="17"/>
        <v>0</v>
      </c>
      <c r="BK34" s="49">
        <f t="shared" si="18"/>
        <v>0</v>
      </c>
      <c r="BL34" s="49">
        <f t="shared" si="19"/>
        <v>1</v>
      </c>
      <c r="BM34" s="49">
        <f t="shared" si="20"/>
        <v>0</v>
      </c>
      <c r="BN34" s="49">
        <f t="shared" si="21"/>
        <v>0</v>
      </c>
      <c r="BO34" s="49">
        <f t="shared" si="22"/>
        <v>0</v>
      </c>
      <c r="BP34" s="49">
        <f t="shared" si="23"/>
        <v>0</v>
      </c>
      <c r="BQ34" s="49">
        <f t="shared" si="24"/>
        <v>1</v>
      </c>
      <c r="BR34" s="49">
        <f t="shared" si="25"/>
        <v>0</v>
      </c>
      <c r="BS34" s="49">
        <f t="shared" si="26"/>
        <v>0</v>
      </c>
      <c r="BT34" s="49">
        <f t="shared" si="27"/>
        <v>0</v>
      </c>
      <c r="BU34" s="49">
        <f t="shared" si="28"/>
        <v>1</v>
      </c>
      <c r="BV34" s="49">
        <f t="shared" si="29"/>
        <v>0</v>
      </c>
      <c r="BW34" s="49">
        <f t="shared" si="30"/>
        <v>0</v>
      </c>
      <c r="BX34" s="49">
        <f t="shared" si="31"/>
        <v>1</v>
      </c>
      <c r="BY34" s="49">
        <f t="shared" si="32"/>
        <v>0</v>
      </c>
      <c r="BZ34" s="49">
        <f t="shared" si="33"/>
        <v>0</v>
      </c>
      <c r="CA34" s="49">
        <f t="shared" si="34"/>
        <v>0</v>
      </c>
      <c r="CB34" s="49">
        <f t="shared" si="35"/>
        <v>1</v>
      </c>
      <c r="CC34" s="49">
        <f t="shared" si="36"/>
        <v>0</v>
      </c>
      <c r="CD34" s="49">
        <f t="shared" si="37"/>
        <v>0</v>
      </c>
      <c r="CE34" s="49">
        <f t="shared" si="38"/>
        <v>0</v>
      </c>
    </row>
    <row r="35" spans="1:83" ht="35.1" customHeight="1" x14ac:dyDescent="0.3">
      <c r="A35" s="123" t="str">
        <f t="shared" si="0"/>
        <v>1팀</v>
      </c>
      <c r="B35" s="69">
        <f t="shared" si="1"/>
        <v>29</v>
      </c>
      <c r="C35" s="119" t="str">
        <f>IF(VLOOKUP($B35,'1. 현장별 인원현황'!$C:$J,2,0)=0,"",VLOOKUP($B35,'1. 현장별 인원현황'!$C:$J,2,0))</f>
        <v xml:space="preserve"> [1.대우건설] 장위6구역 주택재개발 정비사업아파트 신축공사</v>
      </c>
      <c r="D35" s="116" t="str">
        <f>IF(VLOOKUP($B35,'1. 현장별 인원현황'!$C:$J,3,0)=0,"",VLOOKUP($B35,'1. 현장별 인원현황'!$C:$J,3,0))</f>
        <v>서경배</v>
      </c>
      <c r="E35" s="63" t="str">
        <f ca="1">IF(VLOOKUP($B35,'1. 현장별 인원현황'!$C:$J,4,0)=0,"",VLOOKUP($B35,'1. 현장별 인원현황'!$C:$J,4,0))</f>
        <v>62세</v>
      </c>
      <c r="F35" s="63" t="str">
        <f>IF(VLOOKUP($B35,'1. 현장별 인원현황'!$C:$J,7,0)=0,"",VLOOKUP($B35,'1. 현장별 인원현황'!$C:$J,7,0))</f>
        <v>기능공</v>
      </c>
      <c r="G35" s="63" t="str">
        <f>IF(VLOOKUP($B35,'1. 현장별 인원현황'!$C:$J,8,0)=0,"",VLOOKUP($B35,'1. 현장별 인원현황'!$C:$J,8,0))</f>
        <v>전공</v>
      </c>
      <c r="H35" s="67"/>
      <c r="I35" s="73" t="s">
        <v>69</v>
      </c>
      <c r="J35" s="73"/>
      <c r="K35" s="68"/>
      <c r="L35" s="67" t="s">
        <v>69</v>
      </c>
      <c r="M35" s="73"/>
      <c r="N35" s="73"/>
      <c r="O35" s="68"/>
      <c r="P35" s="67" t="s">
        <v>69</v>
      </c>
      <c r="Q35" s="73"/>
      <c r="R35" s="73"/>
      <c r="S35" s="68"/>
      <c r="T35" s="67" t="s">
        <v>69</v>
      </c>
      <c r="U35" s="73"/>
      <c r="V35" s="73"/>
      <c r="W35" s="68"/>
      <c r="X35" s="67" t="s">
        <v>69</v>
      </c>
      <c r="Y35" s="73"/>
      <c r="Z35" s="73"/>
      <c r="AA35" s="68"/>
      <c r="AB35" s="67" t="s">
        <v>69</v>
      </c>
      <c r="AC35" s="73"/>
      <c r="AD35" s="73"/>
      <c r="AE35" s="68"/>
      <c r="AF35" s="67"/>
      <c r="AG35" s="73" t="s">
        <v>69</v>
      </c>
      <c r="AH35" s="73"/>
      <c r="AI35" s="68"/>
      <c r="AJ35" s="67" t="s">
        <v>69</v>
      </c>
      <c r="AK35" s="73"/>
      <c r="AL35" s="73"/>
      <c r="AM35" s="68"/>
      <c r="AN35" s="73" t="s">
        <v>69</v>
      </c>
      <c r="AO35" s="73"/>
      <c r="AP35" s="73"/>
      <c r="AQ35" s="68"/>
      <c r="AR35" s="67">
        <f t="shared" si="2"/>
        <v>95</v>
      </c>
      <c r="AS35" s="68" t="str">
        <f t="shared" si="3"/>
        <v>S</v>
      </c>
      <c r="AV35" s="49">
        <f t="shared" si="39"/>
        <v>0</v>
      </c>
      <c r="AW35" s="49">
        <f t="shared" si="4"/>
        <v>1</v>
      </c>
      <c r="AX35" s="49">
        <f t="shared" si="5"/>
        <v>0</v>
      </c>
      <c r="AY35" s="49">
        <f t="shared" si="6"/>
        <v>0</v>
      </c>
      <c r="AZ35" s="49">
        <f t="shared" si="7"/>
        <v>1</v>
      </c>
      <c r="BA35" s="49">
        <f t="shared" si="8"/>
        <v>0</v>
      </c>
      <c r="BB35" s="49">
        <f t="shared" si="9"/>
        <v>0</v>
      </c>
      <c r="BC35" s="49">
        <f t="shared" si="10"/>
        <v>0</v>
      </c>
      <c r="BD35" s="49">
        <f t="shared" si="11"/>
        <v>1</v>
      </c>
      <c r="BE35" s="49">
        <f t="shared" si="12"/>
        <v>0</v>
      </c>
      <c r="BF35" s="49">
        <f t="shared" si="13"/>
        <v>0</v>
      </c>
      <c r="BG35" s="49">
        <f t="shared" si="14"/>
        <v>0</v>
      </c>
      <c r="BH35" s="49">
        <f t="shared" si="15"/>
        <v>1</v>
      </c>
      <c r="BI35" s="49">
        <f t="shared" si="16"/>
        <v>0</v>
      </c>
      <c r="BJ35" s="49">
        <f t="shared" si="17"/>
        <v>0</v>
      </c>
      <c r="BK35" s="49">
        <f t="shared" si="18"/>
        <v>0</v>
      </c>
      <c r="BL35" s="49">
        <f t="shared" si="19"/>
        <v>1</v>
      </c>
      <c r="BM35" s="49">
        <f t="shared" si="20"/>
        <v>0</v>
      </c>
      <c r="BN35" s="49">
        <f t="shared" si="21"/>
        <v>0</v>
      </c>
      <c r="BO35" s="49">
        <f t="shared" si="22"/>
        <v>0</v>
      </c>
      <c r="BP35" s="49">
        <f t="shared" si="23"/>
        <v>1</v>
      </c>
      <c r="BQ35" s="49">
        <f t="shared" si="24"/>
        <v>0</v>
      </c>
      <c r="BR35" s="49">
        <f t="shared" si="25"/>
        <v>0</v>
      </c>
      <c r="BS35" s="49">
        <f t="shared" si="26"/>
        <v>0</v>
      </c>
      <c r="BT35" s="49">
        <f t="shared" si="27"/>
        <v>0</v>
      </c>
      <c r="BU35" s="49">
        <f t="shared" si="28"/>
        <v>1</v>
      </c>
      <c r="BV35" s="49">
        <f t="shared" si="29"/>
        <v>0</v>
      </c>
      <c r="BW35" s="49">
        <f t="shared" si="30"/>
        <v>0</v>
      </c>
      <c r="BX35" s="49">
        <f t="shared" si="31"/>
        <v>1</v>
      </c>
      <c r="BY35" s="49">
        <f t="shared" si="32"/>
        <v>0</v>
      </c>
      <c r="BZ35" s="49">
        <f t="shared" si="33"/>
        <v>0</v>
      </c>
      <c r="CA35" s="49">
        <f t="shared" si="34"/>
        <v>0</v>
      </c>
      <c r="CB35" s="49">
        <f t="shared" si="35"/>
        <v>1</v>
      </c>
      <c r="CC35" s="49">
        <f t="shared" si="36"/>
        <v>0</v>
      </c>
      <c r="CD35" s="49">
        <f t="shared" si="37"/>
        <v>0</v>
      </c>
      <c r="CE35" s="49">
        <f t="shared" si="38"/>
        <v>0</v>
      </c>
    </row>
    <row r="36" spans="1:83" ht="35.1" customHeight="1" x14ac:dyDescent="0.3">
      <c r="A36" s="123" t="str">
        <f t="shared" si="0"/>
        <v>1팀</v>
      </c>
      <c r="B36" s="69">
        <f t="shared" si="1"/>
        <v>30</v>
      </c>
      <c r="C36" s="119" t="str">
        <f>IF(VLOOKUP($B36,'1. 현장별 인원현황'!$C:$J,2,0)=0,"",VLOOKUP($B36,'1. 현장별 인원현황'!$C:$J,2,0))</f>
        <v xml:space="preserve"> [1.대우건설] 장위6구역 주택재개발 정비사업아파트 신축공사</v>
      </c>
      <c r="D36" s="116" t="str">
        <f>IF(VLOOKUP($B36,'1. 현장별 인원현황'!$C:$J,3,0)=0,"",VLOOKUP($B36,'1. 현장별 인원현황'!$C:$J,3,0))</f>
        <v>장대용</v>
      </c>
      <c r="E36" s="63" t="str">
        <f ca="1">IF(VLOOKUP($B36,'1. 현장별 인원현황'!$C:$J,4,0)=0,"",VLOOKUP($B36,'1. 현장별 인원현황'!$C:$J,4,0))</f>
        <v>42세</v>
      </c>
      <c r="F36" s="63" t="str">
        <f>IF(VLOOKUP($B36,'1. 현장별 인원현황'!$C:$J,7,0)=0,"",VLOOKUP($B36,'1. 현장별 인원현황'!$C:$J,7,0))</f>
        <v>기능공</v>
      </c>
      <c r="G36" s="63" t="str">
        <f>IF(VLOOKUP($B36,'1. 현장별 인원현황'!$C:$J,8,0)=0,"",VLOOKUP($B36,'1. 현장별 인원현황'!$C:$J,8,0))</f>
        <v>전공</v>
      </c>
      <c r="H36" s="67" t="s">
        <v>69</v>
      </c>
      <c r="I36" s="73"/>
      <c r="J36" s="73"/>
      <c r="K36" s="68"/>
      <c r="L36" s="67" t="s">
        <v>69</v>
      </c>
      <c r="M36" s="73"/>
      <c r="N36" s="73"/>
      <c r="O36" s="68"/>
      <c r="P36" s="67" t="s">
        <v>69</v>
      </c>
      <c r="Q36" s="73"/>
      <c r="R36" s="73"/>
      <c r="S36" s="68"/>
      <c r="T36" s="67" t="s">
        <v>69</v>
      </c>
      <c r="U36" s="73"/>
      <c r="V36" s="73"/>
      <c r="W36" s="68"/>
      <c r="X36" s="67" t="s">
        <v>69</v>
      </c>
      <c r="Y36" s="73"/>
      <c r="Z36" s="73"/>
      <c r="AA36" s="68"/>
      <c r="AB36" s="67" t="s">
        <v>69</v>
      </c>
      <c r="AC36" s="73"/>
      <c r="AD36" s="73"/>
      <c r="AE36" s="68"/>
      <c r="AF36" s="67" t="s">
        <v>69</v>
      </c>
      <c r="AG36" s="73"/>
      <c r="AH36" s="73"/>
      <c r="AI36" s="68"/>
      <c r="AJ36" s="67" t="s">
        <v>69</v>
      </c>
      <c r="AK36" s="73"/>
      <c r="AL36" s="73"/>
      <c r="AM36" s="68"/>
      <c r="AN36" s="73" t="s">
        <v>69</v>
      </c>
      <c r="AO36" s="73"/>
      <c r="AP36" s="73"/>
      <c r="AQ36" s="68"/>
      <c r="AR36" s="67">
        <f t="shared" si="2"/>
        <v>100</v>
      </c>
      <c r="AS36" s="68" t="str">
        <f t="shared" si="3"/>
        <v>S</v>
      </c>
      <c r="AV36" s="49">
        <f t="shared" si="39"/>
        <v>1</v>
      </c>
      <c r="AW36" s="49">
        <f t="shared" si="4"/>
        <v>0</v>
      </c>
      <c r="AX36" s="49">
        <f t="shared" si="5"/>
        <v>0</v>
      </c>
      <c r="AY36" s="49">
        <f t="shared" si="6"/>
        <v>0</v>
      </c>
      <c r="AZ36" s="49">
        <f t="shared" si="7"/>
        <v>1</v>
      </c>
      <c r="BA36" s="49">
        <f t="shared" si="8"/>
        <v>0</v>
      </c>
      <c r="BB36" s="49">
        <f t="shared" si="9"/>
        <v>0</v>
      </c>
      <c r="BC36" s="49">
        <f t="shared" si="10"/>
        <v>0</v>
      </c>
      <c r="BD36" s="49">
        <f t="shared" si="11"/>
        <v>1</v>
      </c>
      <c r="BE36" s="49">
        <f t="shared" si="12"/>
        <v>0</v>
      </c>
      <c r="BF36" s="49">
        <f t="shared" si="13"/>
        <v>0</v>
      </c>
      <c r="BG36" s="49">
        <f t="shared" si="14"/>
        <v>0</v>
      </c>
      <c r="BH36" s="49">
        <f t="shared" si="15"/>
        <v>1</v>
      </c>
      <c r="BI36" s="49">
        <f t="shared" si="16"/>
        <v>0</v>
      </c>
      <c r="BJ36" s="49">
        <f t="shared" si="17"/>
        <v>0</v>
      </c>
      <c r="BK36" s="49">
        <f t="shared" si="18"/>
        <v>0</v>
      </c>
      <c r="BL36" s="49">
        <f t="shared" si="19"/>
        <v>1</v>
      </c>
      <c r="BM36" s="49">
        <f t="shared" si="20"/>
        <v>0</v>
      </c>
      <c r="BN36" s="49">
        <f t="shared" si="21"/>
        <v>0</v>
      </c>
      <c r="BO36" s="49">
        <f t="shared" si="22"/>
        <v>0</v>
      </c>
      <c r="BP36" s="49">
        <f t="shared" si="23"/>
        <v>1</v>
      </c>
      <c r="BQ36" s="49">
        <f t="shared" si="24"/>
        <v>0</v>
      </c>
      <c r="BR36" s="49">
        <f t="shared" si="25"/>
        <v>0</v>
      </c>
      <c r="BS36" s="49">
        <f t="shared" si="26"/>
        <v>0</v>
      </c>
      <c r="BT36" s="49">
        <f t="shared" si="27"/>
        <v>1</v>
      </c>
      <c r="BU36" s="49">
        <f t="shared" si="28"/>
        <v>0</v>
      </c>
      <c r="BV36" s="49">
        <f t="shared" si="29"/>
        <v>0</v>
      </c>
      <c r="BW36" s="49">
        <f t="shared" si="30"/>
        <v>0</v>
      </c>
      <c r="BX36" s="49">
        <f t="shared" si="31"/>
        <v>1</v>
      </c>
      <c r="BY36" s="49">
        <f t="shared" si="32"/>
        <v>0</v>
      </c>
      <c r="BZ36" s="49">
        <f t="shared" si="33"/>
        <v>0</v>
      </c>
      <c r="CA36" s="49">
        <f t="shared" si="34"/>
        <v>0</v>
      </c>
      <c r="CB36" s="49">
        <f t="shared" si="35"/>
        <v>1</v>
      </c>
      <c r="CC36" s="49">
        <f t="shared" si="36"/>
        <v>0</v>
      </c>
      <c r="CD36" s="49">
        <f t="shared" si="37"/>
        <v>0</v>
      </c>
      <c r="CE36" s="49">
        <f t="shared" si="38"/>
        <v>0</v>
      </c>
    </row>
    <row r="37" spans="1:83" ht="35.1" customHeight="1" x14ac:dyDescent="0.3">
      <c r="A37" s="123" t="str">
        <f t="shared" si="0"/>
        <v>1팀</v>
      </c>
      <c r="B37" s="69">
        <f t="shared" si="1"/>
        <v>31</v>
      </c>
      <c r="C37" s="119" t="str">
        <f>IF(VLOOKUP($B37,'1. 현장별 인원현황'!$C:$J,2,0)=0,"",VLOOKUP($B37,'1. 현장별 인원현황'!$C:$J,2,0))</f>
        <v xml:space="preserve"> [1.대우건설] 장위6구역 주택재개발 정비사업아파트 신축공사</v>
      </c>
      <c r="D37" s="116" t="str">
        <f>IF(VLOOKUP($B37,'1. 현장별 인원현황'!$C:$J,3,0)=0,"",VLOOKUP($B37,'1. 현장별 인원현황'!$C:$J,3,0))</f>
        <v>석준수</v>
      </c>
      <c r="E37" s="63" t="str">
        <f ca="1">IF(VLOOKUP($B37,'1. 현장별 인원현황'!$C:$J,4,0)=0,"",VLOOKUP($B37,'1. 현장별 인원현황'!$C:$J,4,0))</f>
        <v>50세</v>
      </c>
      <c r="F37" s="63" t="str">
        <f>IF(VLOOKUP($B37,'1. 현장별 인원현황'!$C:$J,7,0)=0,"",VLOOKUP($B37,'1. 현장별 인원현황'!$C:$J,7,0))</f>
        <v>기능공</v>
      </c>
      <c r="G37" s="63" t="str">
        <f>IF(VLOOKUP($B37,'1. 현장별 인원현황'!$C:$J,8,0)=0,"",VLOOKUP($B37,'1. 현장별 인원현황'!$C:$J,8,0))</f>
        <v>전공</v>
      </c>
      <c r="H37" s="67"/>
      <c r="I37" s="73" t="s">
        <v>69</v>
      </c>
      <c r="J37" s="73"/>
      <c r="K37" s="68"/>
      <c r="L37" s="67"/>
      <c r="M37" s="73" t="s">
        <v>69</v>
      </c>
      <c r="N37" s="73"/>
      <c r="O37" s="68"/>
      <c r="P37" s="67"/>
      <c r="Q37" s="73" t="s">
        <v>69</v>
      </c>
      <c r="R37" s="73"/>
      <c r="S37" s="68"/>
      <c r="T37" s="67" t="s">
        <v>69</v>
      </c>
      <c r="U37" s="73"/>
      <c r="V37" s="73"/>
      <c r="W37" s="68"/>
      <c r="X37" s="67" t="s">
        <v>69</v>
      </c>
      <c r="Y37" s="73"/>
      <c r="Z37" s="73"/>
      <c r="AA37" s="68"/>
      <c r="AB37" s="67"/>
      <c r="AC37" s="73" t="s">
        <v>69</v>
      </c>
      <c r="AD37" s="73"/>
      <c r="AE37" s="68"/>
      <c r="AF37" s="67"/>
      <c r="AG37" s="73" t="s">
        <v>69</v>
      </c>
      <c r="AH37" s="73"/>
      <c r="AI37" s="68"/>
      <c r="AJ37" s="67" t="s">
        <v>69</v>
      </c>
      <c r="AK37" s="73"/>
      <c r="AL37" s="73"/>
      <c r="AM37" s="68"/>
      <c r="AN37" s="73"/>
      <c r="AO37" s="73" t="s">
        <v>69</v>
      </c>
      <c r="AP37" s="73"/>
      <c r="AQ37" s="68"/>
      <c r="AR37" s="67">
        <f t="shared" si="2"/>
        <v>84</v>
      </c>
      <c r="AS37" s="68" t="str">
        <f t="shared" si="3"/>
        <v>A</v>
      </c>
      <c r="AV37" s="49">
        <f t="shared" si="39"/>
        <v>0</v>
      </c>
      <c r="AW37" s="49">
        <f t="shared" si="4"/>
        <v>1</v>
      </c>
      <c r="AX37" s="49">
        <f t="shared" si="5"/>
        <v>0</v>
      </c>
      <c r="AY37" s="49">
        <f t="shared" si="6"/>
        <v>0</v>
      </c>
      <c r="AZ37" s="49">
        <f t="shared" si="7"/>
        <v>0</v>
      </c>
      <c r="BA37" s="49">
        <f t="shared" si="8"/>
        <v>1</v>
      </c>
      <c r="BB37" s="49">
        <f t="shared" si="9"/>
        <v>0</v>
      </c>
      <c r="BC37" s="49">
        <f t="shared" si="10"/>
        <v>0</v>
      </c>
      <c r="BD37" s="49">
        <f t="shared" si="11"/>
        <v>0</v>
      </c>
      <c r="BE37" s="49">
        <f t="shared" si="12"/>
        <v>1</v>
      </c>
      <c r="BF37" s="49">
        <f t="shared" si="13"/>
        <v>0</v>
      </c>
      <c r="BG37" s="49">
        <f t="shared" si="14"/>
        <v>0</v>
      </c>
      <c r="BH37" s="49">
        <f t="shared" si="15"/>
        <v>1</v>
      </c>
      <c r="BI37" s="49">
        <f t="shared" si="16"/>
        <v>0</v>
      </c>
      <c r="BJ37" s="49">
        <f t="shared" si="17"/>
        <v>0</v>
      </c>
      <c r="BK37" s="49">
        <f t="shared" si="18"/>
        <v>0</v>
      </c>
      <c r="BL37" s="49">
        <f t="shared" si="19"/>
        <v>1</v>
      </c>
      <c r="BM37" s="49">
        <f t="shared" si="20"/>
        <v>0</v>
      </c>
      <c r="BN37" s="49">
        <f t="shared" si="21"/>
        <v>0</v>
      </c>
      <c r="BO37" s="49">
        <f t="shared" si="22"/>
        <v>0</v>
      </c>
      <c r="BP37" s="49">
        <f t="shared" si="23"/>
        <v>0</v>
      </c>
      <c r="BQ37" s="49">
        <f t="shared" si="24"/>
        <v>1</v>
      </c>
      <c r="BR37" s="49">
        <f t="shared" si="25"/>
        <v>0</v>
      </c>
      <c r="BS37" s="49">
        <f t="shared" si="26"/>
        <v>0</v>
      </c>
      <c r="BT37" s="49">
        <f t="shared" si="27"/>
        <v>0</v>
      </c>
      <c r="BU37" s="49">
        <f t="shared" si="28"/>
        <v>1</v>
      </c>
      <c r="BV37" s="49">
        <f t="shared" si="29"/>
        <v>0</v>
      </c>
      <c r="BW37" s="49">
        <f t="shared" si="30"/>
        <v>0</v>
      </c>
      <c r="BX37" s="49">
        <f t="shared" si="31"/>
        <v>1</v>
      </c>
      <c r="BY37" s="49">
        <f t="shared" si="32"/>
        <v>0</v>
      </c>
      <c r="BZ37" s="49">
        <f t="shared" si="33"/>
        <v>0</v>
      </c>
      <c r="CA37" s="49">
        <f t="shared" si="34"/>
        <v>0</v>
      </c>
      <c r="CB37" s="49">
        <f t="shared" si="35"/>
        <v>0</v>
      </c>
      <c r="CC37" s="49">
        <f t="shared" si="36"/>
        <v>1</v>
      </c>
      <c r="CD37" s="49">
        <f t="shared" si="37"/>
        <v>0</v>
      </c>
      <c r="CE37" s="49">
        <f t="shared" si="38"/>
        <v>0</v>
      </c>
    </row>
    <row r="38" spans="1:83" ht="35.1" customHeight="1" x14ac:dyDescent="0.3">
      <c r="A38" s="123" t="str">
        <f t="shared" si="0"/>
        <v>1팀</v>
      </c>
      <c r="B38" s="69">
        <f t="shared" si="1"/>
        <v>32</v>
      </c>
      <c r="C38" s="119" t="str">
        <f>IF(VLOOKUP($B38,'1. 현장별 인원현황'!$C:$J,2,0)=0,"",VLOOKUP($B38,'1. 현장별 인원현황'!$C:$J,2,0))</f>
        <v xml:space="preserve"> [1.대우건설] 장위6구역 주택재개발 정비사업아파트 신축공사</v>
      </c>
      <c r="D38" s="116" t="str">
        <f>IF(VLOOKUP($B38,'1. 현장별 인원현황'!$C:$J,3,0)=0,"",VLOOKUP($B38,'1. 현장별 인원현황'!$C:$J,3,0))</f>
        <v>배기정</v>
      </c>
      <c r="E38" s="63" t="str">
        <f ca="1">IF(VLOOKUP($B38,'1. 현장별 인원현황'!$C:$J,4,0)=0,"",VLOOKUP($B38,'1. 현장별 인원현황'!$C:$J,4,0))</f>
        <v>32세</v>
      </c>
      <c r="F38" s="63" t="str">
        <f>IF(VLOOKUP($B38,'1. 현장별 인원현황'!$C:$J,7,0)=0,"",VLOOKUP($B38,'1. 현장별 인원현황'!$C:$J,7,0))</f>
        <v>기능공</v>
      </c>
      <c r="G38" s="63" t="str">
        <f>IF(VLOOKUP($B38,'1. 현장별 인원현황'!$C:$J,8,0)=0,"",VLOOKUP($B38,'1. 현장별 인원현황'!$C:$J,8,0))</f>
        <v>조공</v>
      </c>
      <c r="H38" s="67"/>
      <c r="I38" s="73"/>
      <c r="J38" s="73" t="s">
        <v>69</v>
      </c>
      <c r="K38" s="68"/>
      <c r="L38" s="67"/>
      <c r="M38" s="73" t="s">
        <v>69</v>
      </c>
      <c r="N38" s="73"/>
      <c r="O38" s="68"/>
      <c r="P38" s="67"/>
      <c r="Q38" s="73" t="s">
        <v>69</v>
      </c>
      <c r="R38" s="73"/>
      <c r="S38" s="68"/>
      <c r="T38" s="67"/>
      <c r="U38" s="73"/>
      <c r="V38" s="73" t="s">
        <v>69</v>
      </c>
      <c r="W38" s="68"/>
      <c r="X38" s="67"/>
      <c r="Y38" s="73" t="s">
        <v>69</v>
      </c>
      <c r="Z38" s="73"/>
      <c r="AA38" s="68"/>
      <c r="AB38" s="67"/>
      <c r="AC38" s="73" t="s">
        <v>69</v>
      </c>
      <c r="AD38" s="73"/>
      <c r="AE38" s="68"/>
      <c r="AF38" s="67"/>
      <c r="AG38" s="73" t="s">
        <v>69</v>
      </c>
      <c r="AH38" s="73"/>
      <c r="AI38" s="68"/>
      <c r="AJ38" s="67"/>
      <c r="AK38" s="73" t="s">
        <v>69</v>
      </c>
      <c r="AL38" s="73"/>
      <c r="AM38" s="68"/>
      <c r="AN38" s="73"/>
      <c r="AO38" s="73" t="s">
        <v>69</v>
      </c>
      <c r="AP38" s="73"/>
      <c r="AQ38" s="68"/>
      <c r="AR38" s="67">
        <f t="shared" si="2"/>
        <v>72</v>
      </c>
      <c r="AS38" s="68" t="str">
        <f t="shared" si="3"/>
        <v>A</v>
      </c>
      <c r="AV38" s="49">
        <f t="shared" si="39"/>
        <v>0</v>
      </c>
      <c r="AW38" s="49">
        <f t="shared" si="4"/>
        <v>0</v>
      </c>
      <c r="AX38" s="49">
        <f t="shared" si="5"/>
        <v>1</v>
      </c>
      <c r="AY38" s="49">
        <f t="shared" si="6"/>
        <v>0</v>
      </c>
      <c r="AZ38" s="49">
        <f t="shared" si="7"/>
        <v>0</v>
      </c>
      <c r="BA38" s="49">
        <f t="shared" si="8"/>
        <v>1</v>
      </c>
      <c r="BB38" s="49">
        <f t="shared" si="9"/>
        <v>0</v>
      </c>
      <c r="BC38" s="49">
        <f t="shared" si="10"/>
        <v>0</v>
      </c>
      <c r="BD38" s="49">
        <f t="shared" si="11"/>
        <v>0</v>
      </c>
      <c r="BE38" s="49">
        <f t="shared" si="12"/>
        <v>1</v>
      </c>
      <c r="BF38" s="49">
        <f t="shared" si="13"/>
        <v>0</v>
      </c>
      <c r="BG38" s="49">
        <f t="shared" si="14"/>
        <v>0</v>
      </c>
      <c r="BH38" s="49">
        <f t="shared" si="15"/>
        <v>0</v>
      </c>
      <c r="BI38" s="49">
        <f t="shared" si="16"/>
        <v>0</v>
      </c>
      <c r="BJ38" s="49">
        <f t="shared" si="17"/>
        <v>1</v>
      </c>
      <c r="BK38" s="49">
        <f t="shared" si="18"/>
        <v>0</v>
      </c>
      <c r="BL38" s="49">
        <f t="shared" si="19"/>
        <v>0</v>
      </c>
      <c r="BM38" s="49">
        <f t="shared" si="20"/>
        <v>1</v>
      </c>
      <c r="BN38" s="49">
        <f t="shared" si="21"/>
        <v>0</v>
      </c>
      <c r="BO38" s="49">
        <f t="shared" si="22"/>
        <v>0</v>
      </c>
      <c r="BP38" s="49">
        <f t="shared" si="23"/>
        <v>0</v>
      </c>
      <c r="BQ38" s="49">
        <f t="shared" si="24"/>
        <v>1</v>
      </c>
      <c r="BR38" s="49">
        <f t="shared" si="25"/>
        <v>0</v>
      </c>
      <c r="BS38" s="49">
        <f t="shared" si="26"/>
        <v>0</v>
      </c>
      <c r="BT38" s="49">
        <f t="shared" si="27"/>
        <v>0</v>
      </c>
      <c r="BU38" s="49">
        <f t="shared" si="28"/>
        <v>1</v>
      </c>
      <c r="BV38" s="49">
        <f t="shared" si="29"/>
        <v>0</v>
      </c>
      <c r="BW38" s="49">
        <f t="shared" si="30"/>
        <v>0</v>
      </c>
      <c r="BX38" s="49">
        <f t="shared" si="31"/>
        <v>0</v>
      </c>
      <c r="BY38" s="49">
        <f t="shared" si="32"/>
        <v>1</v>
      </c>
      <c r="BZ38" s="49">
        <f t="shared" si="33"/>
        <v>0</v>
      </c>
      <c r="CA38" s="49">
        <f t="shared" si="34"/>
        <v>0</v>
      </c>
      <c r="CB38" s="49">
        <f t="shared" si="35"/>
        <v>0</v>
      </c>
      <c r="CC38" s="49">
        <f t="shared" si="36"/>
        <v>1</v>
      </c>
      <c r="CD38" s="49">
        <f t="shared" si="37"/>
        <v>0</v>
      </c>
      <c r="CE38" s="49">
        <f t="shared" si="38"/>
        <v>0</v>
      </c>
    </row>
    <row r="39" spans="1:83" ht="35.1" customHeight="1" x14ac:dyDescent="0.3">
      <c r="A39" s="123" t="str">
        <f t="shared" si="0"/>
        <v>1팀</v>
      </c>
      <c r="B39" s="69">
        <f t="shared" si="1"/>
        <v>33</v>
      </c>
      <c r="C39" s="119" t="str">
        <f>IF(VLOOKUP($B39,'1. 현장별 인원현황'!$C:$J,2,0)=0,"",VLOOKUP($B39,'1. 현장별 인원현황'!$C:$J,2,0))</f>
        <v xml:space="preserve"> [1.대우건설] 장위6구역 주택재개발 정비사업아파트 신축공사</v>
      </c>
      <c r="D39" s="116" t="str">
        <f>IF(VLOOKUP($B39,'1. 현장별 인원현황'!$C:$J,3,0)=0,"",VLOOKUP($B39,'1. 현장별 인원현황'!$C:$J,3,0))</f>
        <v>김기현</v>
      </c>
      <c r="E39" s="63" t="str">
        <f ca="1">IF(VLOOKUP($B39,'1. 현장별 인원현황'!$C:$J,4,0)=0,"",VLOOKUP($B39,'1. 현장별 인원현황'!$C:$J,4,0))</f>
        <v>55세</v>
      </c>
      <c r="F39" s="63" t="str">
        <f>IF(VLOOKUP($B39,'1. 현장별 인원현황'!$C:$J,7,0)=0,"",VLOOKUP($B39,'1. 현장별 인원현황'!$C:$J,7,0))</f>
        <v>기능공</v>
      </c>
      <c r="G39" s="63" t="str">
        <f>IF(VLOOKUP($B39,'1. 현장별 인원현황'!$C:$J,8,0)=0,"",VLOOKUP($B39,'1. 현장별 인원현황'!$C:$J,8,0))</f>
        <v>전공</v>
      </c>
      <c r="H39" s="67" t="s">
        <v>69</v>
      </c>
      <c r="I39" s="73"/>
      <c r="J39" s="73"/>
      <c r="K39" s="68"/>
      <c r="L39" s="67"/>
      <c r="M39" s="73" t="s">
        <v>69</v>
      </c>
      <c r="N39" s="73"/>
      <c r="O39" s="68"/>
      <c r="P39" s="67"/>
      <c r="Q39" s="73" t="s">
        <v>69</v>
      </c>
      <c r="R39" s="73"/>
      <c r="S39" s="68"/>
      <c r="T39" s="67"/>
      <c r="U39" s="73" t="s">
        <v>69</v>
      </c>
      <c r="V39" s="73"/>
      <c r="W39" s="68"/>
      <c r="X39" s="67" t="s">
        <v>69</v>
      </c>
      <c r="Y39" s="73"/>
      <c r="Z39" s="73"/>
      <c r="AA39" s="68"/>
      <c r="AB39" s="67"/>
      <c r="AC39" s="73" t="s">
        <v>69</v>
      </c>
      <c r="AD39" s="73"/>
      <c r="AE39" s="68"/>
      <c r="AF39" s="67"/>
      <c r="AG39" s="73" t="s">
        <v>69</v>
      </c>
      <c r="AH39" s="73"/>
      <c r="AI39" s="68"/>
      <c r="AJ39" s="67" t="s">
        <v>69</v>
      </c>
      <c r="AK39" s="73"/>
      <c r="AL39" s="73"/>
      <c r="AM39" s="68"/>
      <c r="AN39" s="73" t="s">
        <v>69</v>
      </c>
      <c r="AO39" s="73"/>
      <c r="AP39" s="73"/>
      <c r="AQ39" s="68"/>
      <c r="AR39" s="67">
        <f t="shared" si="2"/>
        <v>88</v>
      </c>
      <c r="AS39" s="68" t="str">
        <f t="shared" si="3"/>
        <v>S</v>
      </c>
      <c r="AV39" s="49">
        <f t="shared" si="39"/>
        <v>1</v>
      </c>
      <c r="AW39" s="49">
        <f t="shared" si="4"/>
        <v>0</v>
      </c>
      <c r="AX39" s="49">
        <f t="shared" si="5"/>
        <v>0</v>
      </c>
      <c r="AY39" s="49">
        <f t="shared" si="6"/>
        <v>0</v>
      </c>
      <c r="AZ39" s="49">
        <f t="shared" si="7"/>
        <v>0</v>
      </c>
      <c r="BA39" s="49">
        <f t="shared" si="8"/>
        <v>1</v>
      </c>
      <c r="BB39" s="49">
        <f t="shared" si="9"/>
        <v>0</v>
      </c>
      <c r="BC39" s="49">
        <f t="shared" si="10"/>
        <v>0</v>
      </c>
      <c r="BD39" s="49">
        <f t="shared" si="11"/>
        <v>0</v>
      </c>
      <c r="BE39" s="49">
        <f t="shared" si="12"/>
        <v>1</v>
      </c>
      <c r="BF39" s="49">
        <f t="shared" si="13"/>
        <v>0</v>
      </c>
      <c r="BG39" s="49">
        <f t="shared" si="14"/>
        <v>0</v>
      </c>
      <c r="BH39" s="49">
        <f t="shared" si="15"/>
        <v>0</v>
      </c>
      <c r="BI39" s="49">
        <f t="shared" si="16"/>
        <v>1</v>
      </c>
      <c r="BJ39" s="49">
        <f t="shared" si="17"/>
        <v>0</v>
      </c>
      <c r="BK39" s="49">
        <f t="shared" si="18"/>
        <v>0</v>
      </c>
      <c r="BL39" s="49">
        <f t="shared" si="19"/>
        <v>1</v>
      </c>
      <c r="BM39" s="49">
        <f t="shared" si="20"/>
        <v>0</v>
      </c>
      <c r="BN39" s="49">
        <f t="shared" si="21"/>
        <v>0</v>
      </c>
      <c r="BO39" s="49">
        <f t="shared" si="22"/>
        <v>0</v>
      </c>
      <c r="BP39" s="49">
        <f t="shared" si="23"/>
        <v>0</v>
      </c>
      <c r="BQ39" s="49">
        <f t="shared" si="24"/>
        <v>1</v>
      </c>
      <c r="BR39" s="49">
        <f t="shared" si="25"/>
        <v>0</v>
      </c>
      <c r="BS39" s="49">
        <f t="shared" si="26"/>
        <v>0</v>
      </c>
      <c r="BT39" s="49">
        <f t="shared" si="27"/>
        <v>0</v>
      </c>
      <c r="BU39" s="49">
        <f t="shared" si="28"/>
        <v>1</v>
      </c>
      <c r="BV39" s="49">
        <f t="shared" si="29"/>
        <v>0</v>
      </c>
      <c r="BW39" s="49">
        <f t="shared" si="30"/>
        <v>0</v>
      </c>
      <c r="BX39" s="49">
        <f t="shared" si="31"/>
        <v>1</v>
      </c>
      <c r="BY39" s="49">
        <f t="shared" si="32"/>
        <v>0</v>
      </c>
      <c r="BZ39" s="49">
        <f t="shared" si="33"/>
        <v>0</v>
      </c>
      <c r="CA39" s="49">
        <f t="shared" si="34"/>
        <v>0</v>
      </c>
      <c r="CB39" s="49">
        <f t="shared" si="35"/>
        <v>1</v>
      </c>
      <c r="CC39" s="49">
        <f t="shared" si="36"/>
        <v>0</v>
      </c>
      <c r="CD39" s="49">
        <f t="shared" si="37"/>
        <v>0</v>
      </c>
      <c r="CE39" s="49">
        <f t="shared" si="38"/>
        <v>0</v>
      </c>
    </row>
    <row r="40" spans="1:83" ht="35.1" customHeight="1" x14ac:dyDescent="0.3">
      <c r="A40" s="123" t="str">
        <f t="shared" si="0"/>
        <v>1팀</v>
      </c>
      <c r="B40" s="69">
        <f t="shared" si="1"/>
        <v>34</v>
      </c>
      <c r="C40" s="119" t="str">
        <f>IF(VLOOKUP($B40,'1. 현장별 인원현황'!$C:$J,2,0)=0,"",VLOOKUP($B40,'1. 현장별 인원현황'!$C:$J,2,0))</f>
        <v xml:space="preserve"> [1.대우건설] 장위6구역 주택재개발 정비사업아파트 신축공사</v>
      </c>
      <c r="D40" s="116" t="str">
        <f>IF(VLOOKUP($B40,'1. 현장별 인원현황'!$C:$J,3,0)=0,"",VLOOKUP($B40,'1. 현장별 인원현황'!$C:$J,3,0))</f>
        <v>문원규</v>
      </c>
      <c r="E40" s="63" t="str">
        <f ca="1">IF(VLOOKUP($B40,'1. 현장별 인원현황'!$C:$J,4,0)=0,"",VLOOKUP($B40,'1. 현장별 인원현황'!$C:$J,4,0))</f>
        <v>35세</v>
      </c>
      <c r="F40" s="63" t="str">
        <f>IF(VLOOKUP($B40,'1. 현장별 인원현황'!$C:$J,7,0)=0,"",VLOOKUP($B40,'1. 현장별 인원현황'!$C:$J,7,0))</f>
        <v>기능공</v>
      </c>
      <c r="G40" s="63" t="str">
        <f>IF(VLOOKUP($B40,'1. 현장별 인원현황'!$C:$J,8,0)=0,"",VLOOKUP($B40,'1. 현장별 인원현황'!$C:$J,8,0))</f>
        <v>조공</v>
      </c>
      <c r="H40" s="67"/>
      <c r="I40" s="73" t="s">
        <v>69</v>
      </c>
      <c r="J40" s="73"/>
      <c r="K40" s="68"/>
      <c r="L40" s="67" t="s">
        <v>69</v>
      </c>
      <c r="M40" s="73"/>
      <c r="N40" s="73"/>
      <c r="O40" s="68"/>
      <c r="P40" s="67"/>
      <c r="Q40" s="73" t="s">
        <v>69</v>
      </c>
      <c r="R40" s="73"/>
      <c r="S40" s="68"/>
      <c r="T40" s="67"/>
      <c r="U40" s="73" t="s">
        <v>69</v>
      </c>
      <c r="V40" s="73"/>
      <c r="W40" s="68"/>
      <c r="X40" s="67" t="s">
        <v>69</v>
      </c>
      <c r="Y40" s="73"/>
      <c r="Z40" s="73"/>
      <c r="AA40" s="68"/>
      <c r="AB40" s="67" t="s">
        <v>69</v>
      </c>
      <c r="AC40" s="73"/>
      <c r="AD40" s="73"/>
      <c r="AE40" s="68"/>
      <c r="AF40" s="67" t="s">
        <v>69</v>
      </c>
      <c r="AG40" s="73"/>
      <c r="AH40" s="73"/>
      <c r="AI40" s="68"/>
      <c r="AJ40" s="67" t="s">
        <v>69</v>
      </c>
      <c r="AK40" s="73"/>
      <c r="AL40" s="73"/>
      <c r="AM40" s="68"/>
      <c r="AN40" s="73" t="s">
        <v>69</v>
      </c>
      <c r="AO40" s="73"/>
      <c r="AP40" s="73"/>
      <c r="AQ40" s="68"/>
      <c r="AR40" s="67">
        <f t="shared" si="2"/>
        <v>92</v>
      </c>
      <c r="AS40" s="68" t="str">
        <f t="shared" si="3"/>
        <v>S</v>
      </c>
      <c r="AV40" s="49">
        <f t="shared" si="39"/>
        <v>0</v>
      </c>
      <c r="AW40" s="49">
        <f t="shared" si="4"/>
        <v>1</v>
      </c>
      <c r="AX40" s="49">
        <f t="shared" si="5"/>
        <v>0</v>
      </c>
      <c r="AY40" s="49">
        <f t="shared" si="6"/>
        <v>0</v>
      </c>
      <c r="AZ40" s="49">
        <f t="shared" si="7"/>
        <v>1</v>
      </c>
      <c r="BA40" s="49">
        <f t="shared" si="8"/>
        <v>0</v>
      </c>
      <c r="BB40" s="49">
        <f t="shared" si="9"/>
        <v>0</v>
      </c>
      <c r="BC40" s="49">
        <f t="shared" si="10"/>
        <v>0</v>
      </c>
      <c r="BD40" s="49">
        <f t="shared" si="11"/>
        <v>0</v>
      </c>
      <c r="BE40" s="49">
        <f t="shared" si="12"/>
        <v>1</v>
      </c>
      <c r="BF40" s="49">
        <f t="shared" si="13"/>
        <v>0</v>
      </c>
      <c r="BG40" s="49">
        <f t="shared" si="14"/>
        <v>0</v>
      </c>
      <c r="BH40" s="49">
        <f t="shared" si="15"/>
        <v>0</v>
      </c>
      <c r="BI40" s="49">
        <f t="shared" si="16"/>
        <v>1</v>
      </c>
      <c r="BJ40" s="49">
        <f t="shared" si="17"/>
        <v>0</v>
      </c>
      <c r="BK40" s="49">
        <f t="shared" si="18"/>
        <v>0</v>
      </c>
      <c r="BL40" s="49">
        <f t="shared" si="19"/>
        <v>1</v>
      </c>
      <c r="BM40" s="49">
        <f t="shared" si="20"/>
        <v>0</v>
      </c>
      <c r="BN40" s="49">
        <f t="shared" si="21"/>
        <v>0</v>
      </c>
      <c r="BO40" s="49">
        <f t="shared" si="22"/>
        <v>0</v>
      </c>
      <c r="BP40" s="49">
        <f t="shared" si="23"/>
        <v>1</v>
      </c>
      <c r="BQ40" s="49">
        <f t="shared" si="24"/>
        <v>0</v>
      </c>
      <c r="BR40" s="49">
        <f t="shared" si="25"/>
        <v>0</v>
      </c>
      <c r="BS40" s="49">
        <f t="shared" si="26"/>
        <v>0</v>
      </c>
      <c r="BT40" s="49">
        <f t="shared" si="27"/>
        <v>1</v>
      </c>
      <c r="BU40" s="49">
        <f t="shared" si="28"/>
        <v>0</v>
      </c>
      <c r="BV40" s="49">
        <f t="shared" si="29"/>
        <v>0</v>
      </c>
      <c r="BW40" s="49">
        <f t="shared" si="30"/>
        <v>0</v>
      </c>
      <c r="BX40" s="49">
        <f t="shared" si="31"/>
        <v>1</v>
      </c>
      <c r="BY40" s="49">
        <f t="shared" si="32"/>
        <v>0</v>
      </c>
      <c r="BZ40" s="49">
        <f t="shared" si="33"/>
        <v>0</v>
      </c>
      <c r="CA40" s="49">
        <f t="shared" si="34"/>
        <v>0</v>
      </c>
      <c r="CB40" s="49">
        <f t="shared" si="35"/>
        <v>1</v>
      </c>
      <c r="CC40" s="49">
        <f t="shared" si="36"/>
        <v>0</v>
      </c>
      <c r="CD40" s="49">
        <f t="shared" si="37"/>
        <v>0</v>
      </c>
      <c r="CE40" s="49">
        <f t="shared" si="38"/>
        <v>0</v>
      </c>
    </row>
    <row r="41" spans="1:83" ht="35.1" customHeight="1" x14ac:dyDescent="0.3">
      <c r="A41" s="123" t="str">
        <f t="shared" si="0"/>
        <v>1팀</v>
      </c>
      <c r="B41" s="69">
        <f t="shared" si="1"/>
        <v>35</v>
      </c>
      <c r="C41" s="119" t="str">
        <f>IF(VLOOKUP($B41,'1. 현장별 인원현황'!$C:$J,2,0)=0,"",VLOOKUP($B41,'1. 현장별 인원현황'!$C:$J,2,0))</f>
        <v xml:space="preserve"> [1.대우건설] 청라C18BL 오피스텔 신축공사</v>
      </c>
      <c r="D41" s="116" t="str">
        <f>IF(VLOOKUP($B41,'1. 현장별 인원현황'!$C:$J,3,0)=0,"",VLOOKUP($B41,'1. 현장별 인원현황'!$C:$J,3,0))</f>
        <v>양규성</v>
      </c>
      <c r="E41" s="63" t="str">
        <f ca="1">IF(VLOOKUP($B41,'1. 현장별 인원현황'!$C:$J,4,0)=0,"",VLOOKUP($B41,'1. 현장별 인원현황'!$C:$J,4,0))</f>
        <v>42세</v>
      </c>
      <c r="F41" s="63" t="str">
        <f>IF(VLOOKUP($B41,'1. 현장별 인원현황'!$C:$J,7,0)=0,"",VLOOKUP($B41,'1. 현장별 인원현황'!$C:$J,7,0))</f>
        <v>공무</v>
      </c>
      <c r="G41" s="63" t="str">
        <f>IF(VLOOKUP($B41,'1. 현장별 인원현황'!$C:$J,8,0)=0,"",VLOOKUP($B41,'1. 현장별 인원현황'!$C:$J,8,0))</f>
        <v>과장</v>
      </c>
      <c r="H41" s="67" t="s">
        <v>69</v>
      </c>
      <c r="I41" s="73"/>
      <c r="J41" s="73"/>
      <c r="K41" s="68"/>
      <c r="L41" s="67" t="s">
        <v>69</v>
      </c>
      <c r="M41" s="73"/>
      <c r="N41" s="73"/>
      <c r="O41" s="68"/>
      <c r="P41" s="67" t="s">
        <v>69</v>
      </c>
      <c r="Q41" s="73"/>
      <c r="R41" s="73"/>
      <c r="S41" s="68"/>
      <c r="T41" s="67" t="s">
        <v>69</v>
      </c>
      <c r="U41" s="73"/>
      <c r="V41" s="73"/>
      <c r="W41" s="68"/>
      <c r="X41" s="67" t="s">
        <v>69</v>
      </c>
      <c r="Y41" s="73"/>
      <c r="Z41" s="73"/>
      <c r="AA41" s="68"/>
      <c r="AB41" s="67" t="s">
        <v>69</v>
      </c>
      <c r="AC41" s="73"/>
      <c r="AD41" s="73"/>
      <c r="AE41" s="68"/>
      <c r="AF41" s="67" t="s">
        <v>69</v>
      </c>
      <c r="AG41" s="73"/>
      <c r="AH41" s="73"/>
      <c r="AI41" s="68"/>
      <c r="AJ41" s="67" t="s">
        <v>69</v>
      </c>
      <c r="AK41" s="73"/>
      <c r="AL41" s="73"/>
      <c r="AM41" s="68"/>
      <c r="AN41" s="73" t="s">
        <v>69</v>
      </c>
      <c r="AO41" s="73"/>
      <c r="AP41" s="73"/>
      <c r="AQ41" s="68"/>
      <c r="AR41" s="67">
        <f t="shared" si="2"/>
        <v>100</v>
      </c>
      <c r="AS41" s="68" t="str">
        <f t="shared" si="3"/>
        <v>S</v>
      </c>
      <c r="AV41" s="49">
        <f t="shared" si="39"/>
        <v>1</v>
      </c>
      <c r="AW41" s="49">
        <f t="shared" si="4"/>
        <v>0</v>
      </c>
      <c r="AX41" s="49">
        <f t="shared" si="5"/>
        <v>0</v>
      </c>
      <c r="AY41" s="49">
        <f t="shared" si="6"/>
        <v>0</v>
      </c>
      <c r="AZ41" s="49">
        <f t="shared" si="7"/>
        <v>1</v>
      </c>
      <c r="BA41" s="49">
        <f t="shared" si="8"/>
        <v>0</v>
      </c>
      <c r="BB41" s="49">
        <f t="shared" si="9"/>
        <v>0</v>
      </c>
      <c r="BC41" s="49">
        <f t="shared" si="10"/>
        <v>0</v>
      </c>
      <c r="BD41" s="49">
        <f t="shared" si="11"/>
        <v>1</v>
      </c>
      <c r="BE41" s="49">
        <f t="shared" si="12"/>
        <v>0</v>
      </c>
      <c r="BF41" s="49">
        <f t="shared" si="13"/>
        <v>0</v>
      </c>
      <c r="BG41" s="49">
        <f t="shared" si="14"/>
        <v>0</v>
      </c>
      <c r="BH41" s="49">
        <f t="shared" si="15"/>
        <v>1</v>
      </c>
      <c r="BI41" s="49">
        <f t="shared" si="16"/>
        <v>0</v>
      </c>
      <c r="BJ41" s="49">
        <f t="shared" si="17"/>
        <v>0</v>
      </c>
      <c r="BK41" s="49">
        <f t="shared" si="18"/>
        <v>0</v>
      </c>
      <c r="BL41" s="49">
        <f t="shared" si="19"/>
        <v>1</v>
      </c>
      <c r="BM41" s="49">
        <f t="shared" si="20"/>
        <v>0</v>
      </c>
      <c r="BN41" s="49">
        <f t="shared" si="21"/>
        <v>0</v>
      </c>
      <c r="BO41" s="49">
        <f t="shared" si="22"/>
        <v>0</v>
      </c>
      <c r="BP41" s="49">
        <f t="shared" si="23"/>
        <v>1</v>
      </c>
      <c r="BQ41" s="49">
        <f t="shared" si="24"/>
        <v>0</v>
      </c>
      <c r="BR41" s="49">
        <f t="shared" si="25"/>
        <v>0</v>
      </c>
      <c r="BS41" s="49">
        <f t="shared" si="26"/>
        <v>0</v>
      </c>
      <c r="BT41" s="49">
        <f t="shared" si="27"/>
        <v>1</v>
      </c>
      <c r="BU41" s="49">
        <f t="shared" si="28"/>
        <v>0</v>
      </c>
      <c r="BV41" s="49">
        <f t="shared" si="29"/>
        <v>0</v>
      </c>
      <c r="BW41" s="49">
        <f t="shared" si="30"/>
        <v>0</v>
      </c>
      <c r="BX41" s="49">
        <f t="shared" si="31"/>
        <v>1</v>
      </c>
      <c r="BY41" s="49">
        <f t="shared" si="32"/>
        <v>0</v>
      </c>
      <c r="BZ41" s="49">
        <f t="shared" si="33"/>
        <v>0</v>
      </c>
      <c r="CA41" s="49">
        <f t="shared" si="34"/>
        <v>0</v>
      </c>
      <c r="CB41" s="49">
        <f t="shared" si="35"/>
        <v>1</v>
      </c>
      <c r="CC41" s="49">
        <f t="shared" si="36"/>
        <v>0</v>
      </c>
      <c r="CD41" s="49">
        <f t="shared" si="37"/>
        <v>0</v>
      </c>
      <c r="CE41" s="49">
        <f t="shared" si="38"/>
        <v>0</v>
      </c>
    </row>
    <row r="42" spans="1:83" ht="35.1" customHeight="1" x14ac:dyDescent="0.3">
      <c r="A42" s="123" t="str">
        <f t="shared" si="0"/>
        <v>1팀</v>
      </c>
      <c r="B42" s="69">
        <f t="shared" si="1"/>
        <v>36</v>
      </c>
      <c r="C42" s="119" t="str">
        <f>IF(VLOOKUP($B42,'1. 현장별 인원현황'!$C:$J,2,0)=0,"",VLOOKUP($B42,'1. 현장별 인원현황'!$C:$J,2,0))</f>
        <v xml:space="preserve"> [1.대우건설] 청라C18BL 오피스텔 신축공사</v>
      </c>
      <c r="D42" s="116" t="str">
        <f>IF(VLOOKUP($B42,'1. 현장별 인원현황'!$C:$J,3,0)=0,"",VLOOKUP($B42,'1. 현장별 인원현황'!$C:$J,3,0))</f>
        <v>박규철</v>
      </c>
      <c r="E42" s="63" t="str">
        <f ca="1">IF(VLOOKUP($B42,'1. 현장별 인원현황'!$C:$J,4,0)=0,"",VLOOKUP($B42,'1. 현장별 인원현황'!$C:$J,4,0))</f>
        <v>30세</v>
      </c>
      <c r="F42" s="63" t="str">
        <f>IF(VLOOKUP($B42,'1. 현장별 인원현황'!$C:$J,7,0)=0,"",VLOOKUP($B42,'1. 현장별 인원현황'!$C:$J,7,0))</f>
        <v>공무</v>
      </c>
      <c r="G42" s="63" t="str">
        <f>IF(VLOOKUP($B42,'1. 현장별 인원현황'!$C:$J,8,0)=0,"",VLOOKUP($B42,'1. 현장별 인원현황'!$C:$J,8,0))</f>
        <v>과장</v>
      </c>
      <c r="H42" s="67" t="s">
        <v>69</v>
      </c>
      <c r="I42" s="73"/>
      <c r="J42" s="73"/>
      <c r="K42" s="68"/>
      <c r="L42" s="67" t="s">
        <v>69</v>
      </c>
      <c r="M42" s="73"/>
      <c r="N42" s="73"/>
      <c r="O42" s="68"/>
      <c r="P42" s="67" t="s">
        <v>69</v>
      </c>
      <c r="Q42" s="73"/>
      <c r="R42" s="73"/>
      <c r="S42" s="68"/>
      <c r="T42" s="67" t="s">
        <v>69</v>
      </c>
      <c r="U42" s="73"/>
      <c r="V42" s="73"/>
      <c r="W42" s="68"/>
      <c r="X42" s="67" t="s">
        <v>69</v>
      </c>
      <c r="Y42" s="73"/>
      <c r="Z42" s="73"/>
      <c r="AA42" s="68"/>
      <c r="AB42" s="67" t="s">
        <v>69</v>
      </c>
      <c r="AC42" s="73"/>
      <c r="AD42" s="73"/>
      <c r="AE42" s="68"/>
      <c r="AF42" s="67" t="s">
        <v>69</v>
      </c>
      <c r="AG42" s="73"/>
      <c r="AH42" s="73"/>
      <c r="AI42" s="68"/>
      <c r="AJ42" s="67" t="s">
        <v>69</v>
      </c>
      <c r="AK42" s="73"/>
      <c r="AL42" s="73"/>
      <c r="AM42" s="68"/>
      <c r="AN42" s="73" t="s">
        <v>69</v>
      </c>
      <c r="AO42" s="73"/>
      <c r="AP42" s="73"/>
      <c r="AQ42" s="68"/>
      <c r="AR42" s="67">
        <f t="shared" si="2"/>
        <v>100</v>
      </c>
      <c r="AS42" s="68" t="str">
        <f t="shared" si="3"/>
        <v>S</v>
      </c>
      <c r="AV42" s="49">
        <f t="shared" si="39"/>
        <v>1</v>
      </c>
      <c r="AW42" s="49">
        <f t="shared" si="4"/>
        <v>0</v>
      </c>
      <c r="AX42" s="49">
        <f t="shared" si="5"/>
        <v>0</v>
      </c>
      <c r="AY42" s="49">
        <f t="shared" si="6"/>
        <v>0</v>
      </c>
      <c r="AZ42" s="49">
        <f t="shared" si="7"/>
        <v>1</v>
      </c>
      <c r="BA42" s="49">
        <f t="shared" si="8"/>
        <v>0</v>
      </c>
      <c r="BB42" s="49">
        <f t="shared" si="9"/>
        <v>0</v>
      </c>
      <c r="BC42" s="49">
        <f t="shared" si="10"/>
        <v>0</v>
      </c>
      <c r="BD42" s="49">
        <f t="shared" si="11"/>
        <v>1</v>
      </c>
      <c r="BE42" s="49">
        <f t="shared" si="12"/>
        <v>0</v>
      </c>
      <c r="BF42" s="49">
        <f t="shared" si="13"/>
        <v>0</v>
      </c>
      <c r="BG42" s="49">
        <f t="shared" si="14"/>
        <v>0</v>
      </c>
      <c r="BH42" s="49">
        <f t="shared" si="15"/>
        <v>1</v>
      </c>
      <c r="BI42" s="49">
        <f t="shared" si="16"/>
        <v>0</v>
      </c>
      <c r="BJ42" s="49">
        <f t="shared" si="17"/>
        <v>0</v>
      </c>
      <c r="BK42" s="49">
        <f t="shared" si="18"/>
        <v>0</v>
      </c>
      <c r="BL42" s="49">
        <f t="shared" si="19"/>
        <v>1</v>
      </c>
      <c r="BM42" s="49">
        <f t="shared" si="20"/>
        <v>0</v>
      </c>
      <c r="BN42" s="49">
        <f t="shared" si="21"/>
        <v>0</v>
      </c>
      <c r="BO42" s="49">
        <f t="shared" si="22"/>
        <v>0</v>
      </c>
      <c r="BP42" s="49">
        <f t="shared" si="23"/>
        <v>1</v>
      </c>
      <c r="BQ42" s="49">
        <f t="shared" si="24"/>
        <v>0</v>
      </c>
      <c r="BR42" s="49">
        <f t="shared" si="25"/>
        <v>0</v>
      </c>
      <c r="BS42" s="49">
        <f t="shared" si="26"/>
        <v>0</v>
      </c>
      <c r="BT42" s="49">
        <f t="shared" si="27"/>
        <v>1</v>
      </c>
      <c r="BU42" s="49">
        <f t="shared" si="28"/>
        <v>0</v>
      </c>
      <c r="BV42" s="49">
        <f t="shared" si="29"/>
        <v>0</v>
      </c>
      <c r="BW42" s="49">
        <f t="shared" si="30"/>
        <v>0</v>
      </c>
      <c r="BX42" s="49">
        <f t="shared" si="31"/>
        <v>1</v>
      </c>
      <c r="BY42" s="49">
        <f t="shared" si="32"/>
        <v>0</v>
      </c>
      <c r="BZ42" s="49">
        <f t="shared" si="33"/>
        <v>0</v>
      </c>
      <c r="CA42" s="49">
        <f t="shared" si="34"/>
        <v>0</v>
      </c>
      <c r="CB42" s="49">
        <f t="shared" si="35"/>
        <v>1</v>
      </c>
      <c r="CC42" s="49">
        <f t="shared" si="36"/>
        <v>0</v>
      </c>
      <c r="CD42" s="49">
        <f t="shared" si="37"/>
        <v>0</v>
      </c>
      <c r="CE42" s="49">
        <f t="shared" si="38"/>
        <v>0</v>
      </c>
    </row>
    <row r="43" spans="1:83" ht="35.1" customHeight="1" x14ac:dyDescent="0.3">
      <c r="A43" s="123" t="str">
        <f t="shared" si="0"/>
        <v>1팀</v>
      </c>
      <c r="B43" s="69">
        <f t="shared" si="1"/>
        <v>37</v>
      </c>
      <c r="C43" s="119" t="str">
        <f>IF(VLOOKUP($B43,'1. 현장별 인원현황'!$C:$J,2,0)=0,"",VLOOKUP($B43,'1. 현장별 인원현황'!$C:$J,2,0))</f>
        <v xml:space="preserve"> [1.대우건설] 청라C18BL 오피스텔 신축공사</v>
      </c>
      <c r="D43" s="116" t="str">
        <f>IF(VLOOKUP($B43,'1. 현장별 인원현황'!$C:$J,3,0)=0,"",VLOOKUP($B43,'1. 현장별 인원현황'!$C:$J,3,0))</f>
        <v>차광식</v>
      </c>
      <c r="E43" s="63" t="str">
        <f ca="1">IF(VLOOKUP($B43,'1. 현장별 인원현황'!$C:$J,4,0)=0,"",VLOOKUP($B43,'1. 현장별 인원현황'!$C:$J,4,0))</f>
        <v>64세</v>
      </c>
      <c r="F43" s="63" t="str">
        <f>IF(VLOOKUP($B43,'1. 현장별 인원현황'!$C:$J,7,0)=0,"",VLOOKUP($B43,'1. 현장별 인원현황'!$C:$J,7,0))</f>
        <v>공사</v>
      </c>
      <c r="G43" s="63" t="str">
        <f>IF(VLOOKUP($B43,'1. 현장별 인원현황'!$C:$J,8,0)=0,"",VLOOKUP($B43,'1. 현장별 인원현황'!$C:$J,8,0))</f>
        <v>차장</v>
      </c>
      <c r="H43" s="67" t="s">
        <v>69</v>
      </c>
      <c r="I43" s="73"/>
      <c r="J43" s="73"/>
      <c r="K43" s="68"/>
      <c r="L43" s="67" t="s">
        <v>69</v>
      </c>
      <c r="M43" s="73"/>
      <c r="N43" s="73"/>
      <c r="O43" s="68"/>
      <c r="P43" s="67" t="s">
        <v>69</v>
      </c>
      <c r="Q43" s="73"/>
      <c r="R43" s="73"/>
      <c r="S43" s="68"/>
      <c r="T43" s="67" t="s">
        <v>69</v>
      </c>
      <c r="U43" s="73"/>
      <c r="V43" s="73"/>
      <c r="W43" s="68"/>
      <c r="X43" s="67" t="s">
        <v>69</v>
      </c>
      <c r="Y43" s="73"/>
      <c r="Z43" s="73"/>
      <c r="AA43" s="68"/>
      <c r="AB43" s="67" t="s">
        <v>69</v>
      </c>
      <c r="AC43" s="73"/>
      <c r="AD43" s="73"/>
      <c r="AE43" s="68"/>
      <c r="AF43" s="67" t="s">
        <v>69</v>
      </c>
      <c r="AG43" s="73"/>
      <c r="AH43" s="73"/>
      <c r="AI43" s="68"/>
      <c r="AJ43" s="67" t="s">
        <v>69</v>
      </c>
      <c r="AK43" s="73"/>
      <c r="AL43" s="73"/>
      <c r="AM43" s="68"/>
      <c r="AN43" s="73" t="s">
        <v>69</v>
      </c>
      <c r="AO43" s="73"/>
      <c r="AP43" s="73"/>
      <c r="AQ43" s="68"/>
      <c r="AR43" s="67">
        <f t="shared" si="2"/>
        <v>100</v>
      </c>
      <c r="AS43" s="68" t="str">
        <f t="shared" si="3"/>
        <v>S</v>
      </c>
      <c r="AV43" s="49">
        <f t="shared" si="39"/>
        <v>1</v>
      </c>
      <c r="AW43" s="49">
        <f t="shared" si="4"/>
        <v>0</v>
      </c>
      <c r="AX43" s="49">
        <f t="shared" si="5"/>
        <v>0</v>
      </c>
      <c r="AY43" s="49">
        <f t="shared" si="6"/>
        <v>0</v>
      </c>
      <c r="AZ43" s="49">
        <f t="shared" si="7"/>
        <v>1</v>
      </c>
      <c r="BA43" s="49">
        <f t="shared" si="8"/>
        <v>0</v>
      </c>
      <c r="BB43" s="49">
        <f t="shared" si="9"/>
        <v>0</v>
      </c>
      <c r="BC43" s="49">
        <f t="shared" si="10"/>
        <v>0</v>
      </c>
      <c r="BD43" s="49">
        <f t="shared" si="11"/>
        <v>1</v>
      </c>
      <c r="BE43" s="49">
        <f t="shared" si="12"/>
        <v>0</v>
      </c>
      <c r="BF43" s="49">
        <f t="shared" si="13"/>
        <v>0</v>
      </c>
      <c r="BG43" s="49">
        <f t="shared" si="14"/>
        <v>0</v>
      </c>
      <c r="BH43" s="49">
        <f t="shared" si="15"/>
        <v>1</v>
      </c>
      <c r="BI43" s="49">
        <f t="shared" si="16"/>
        <v>0</v>
      </c>
      <c r="BJ43" s="49">
        <f t="shared" si="17"/>
        <v>0</v>
      </c>
      <c r="BK43" s="49">
        <f t="shared" si="18"/>
        <v>0</v>
      </c>
      <c r="BL43" s="49">
        <f t="shared" si="19"/>
        <v>1</v>
      </c>
      <c r="BM43" s="49">
        <f t="shared" si="20"/>
        <v>0</v>
      </c>
      <c r="BN43" s="49">
        <f t="shared" si="21"/>
        <v>0</v>
      </c>
      <c r="BO43" s="49">
        <f t="shared" si="22"/>
        <v>0</v>
      </c>
      <c r="BP43" s="49">
        <f t="shared" si="23"/>
        <v>1</v>
      </c>
      <c r="BQ43" s="49">
        <f t="shared" si="24"/>
        <v>0</v>
      </c>
      <c r="BR43" s="49">
        <f t="shared" si="25"/>
        <v>0</v>
      </c>
      <c r="BS43" s="49">
        <f t="shared" si="26"/>
        <v>0</v>
      </c>
      <c r="BT43" s="49">
        <f t="shared" si="27"/>
        <v>1</v>
      </c>
      <c r="BU43" s="49">
        <f t="shared" si="28"/>
        <v>0</v>
      </c>
      <c r="BV43" s="49">
        <f t="shared" si="29"/>
        <v>0</v>
      </c>
      <c r="BW43" s="49">
        <f t="shared" si="30"/>
        <v>0</v>
      </c>
      <c r="BX43" s="49">
        <f t="shared" si="31"/>
        <v>1</v>
      </c>
      <c r="BY43" s="49">
        <f t="shared" si="32"/>
        <v>0</v>
      </c>
      <c r="BZ43" s="49">
        <f t="shared" si="33"/>
        <v>0</v>
      </c>
      <c r="CA43" s="49">
        <f t="shared" si="34"/>
        <v>0</v>
      </c>
      <c r="CB43" s="49">
        <f t="shared" si="35"/>
        <v>1</v>
      </c>
      <c r="CC43" s="49">
        <f t="shared" si="36"/>
        <v>0</v>
      </c>
      <c r="CD43" s="49">
        <f t="shared" si="37"/>
        <v>0</v>
      </c>
      <c r="CE43" s="49">
        <f t="shared" si="38"/>
        <v>0</v>
      </c>
    </row>
    <row r="44" spans="1:83" ht="35.1" customHeight="1" x14ac:dyDescent="0.3">
      <c r="A44" s="123" t="str">
        <f t="shared" si="0"/>
        <v>1팀</v>
      </c>
      <c r="B44" s="69">
        <f t="shared" si="1"/>
        <v>38</v>
      </c>
      <c r="C44" s="119" t="str">
        <f>IF(VLOOKUP($B44,'1. 현장별 인원현황'!$C:$J,2,0)=0,"",VLOOKUP($B44,'1. 현장별 인원현황'!$C:$J,2,0))</f>
        <v xml:space="preserve"> [1.대우건설] 청라C18BL 오피스텔 신축공사</v>
      </c>
      <c r="D44" s="116" t="str">
        <f>IF(VLOOKUP($B44,'1. 현장별 인원현황'!$C:$J,3,0)=0,"",VLOOKUP($B44,'1. 현장별 인원현황'!$C:$J,3,0))</f>
        <v>김 동 석</v>
      </c>
      <c r="E44" s="63" t="str">
        <f ca="1">IF(VLOOKUP($B44,'1. 현장별 인원현황'!$C:$J,4,0)=0,"",VLOOKUP($B44,'1. 현장별 인원현황'!$C:$J,4,0))</f>
        <v>53세</v>
      </c>
      <c r="F44" s="63" t="str">
        <f>IF(VLOOKUP($B44,'1. 현장별 인원현황'!$C:$J,7,0)=0,"",VLOOKUP($B44,'1. 현장별 인원현황'!$C:$J,7,0))</f>
        <v>공사</v>
      </c>
      <c r="G44" s="63" t="str">
        <f>IF(VLOOKUP($B44,'1. 현장별 인원현황'!$C:$J,8,0)=0,"",VLOOKUP($B44,'1. 현장별 인원현황'!$C:$J,8,0))</f>
        <v>차장</v>
      </c>
      <c r="H44" s="67" t="s">
        <v>69</v>
      </c>
      <c r="I44" s="73"/>
      <c r="J44" s="73"/>
      <c r="K44" s="68"/>
      <c r="L44" s="67" t="s">
        <v>69</v>
      </c>
      <c r="M44" s="73"/>
      <c r="N44" s="73"/>
      <c r="O44" s="68"/>
      <c r="P44" s="67" t="s">
        <v>69</v>
      </c>
      <c r="Q44" s="73"/>
      <c r="R44" s="73"/>
      <c r="S44" s="68"/>
      <c r="T44" s="67" t="s">
        <v>69</v>
      </c>
      <c r="U44" s="73"/>
      <c r="V44" s="73"/>
      <c r="W44" s="68"/>
      <c r="X44" s="67" t="s">
        <v>69</v>
      </c>
      <c r="Y44" s="73"/>
      <c r="Z44" s="73"/>
      <c r="AA44" s="68"/>
      <c r="AB44" s="67" t="s">
        <v>69</v>
      </c>
      <c r="AC44" s="73"/>
      <c r="AD44" s="73"/>
      <c r="AE44" s="68"/>
      <c r="AF44" s="67" t="s">
        <v>69</v>
      </c>
      <c r="AG44" s="73"/>
      <c r="AH44" s="73"/>
      <c r="AI44" s="68"/>
      <c r="AJ44" s="67" t="s">
        <v>69</v>
      </c>
      <c r="AK44" s="73"/>
      <c r="AL44" s="73"/>
      <c r="AM44" s="68"/>
      <c r="AN44" s="73" t="s">
        <v>69</v>
      </c>
      <c r="AO44" s="73"/>
      <c r="AP44" s="73"/>
      <c r="AQ44" s="68"/>
      <c r="AR44" s="67">
        <f t="shared" si="2"/>
        <v>100</v>
      </c>
      <c r="AS44" s="68" t="str">
        <f t="shared" si="3"/>
        <v>S</v>
      </c>
      <c r="AV44" s="49">
        <f t="shared" si="39"/>
        <v>1</v>
      </c>
      <c r="AW44" s="49">
        <f t="shared" si="4"/>
        <v>0</v>
      </c>
      <c r="AX44" s="49">
        <f t="shared" si="5"/>
        <v>0</v>
      </c>
      <c r="AY44" s="49">
        <f t="shared" si="6"/>
        <v>0</v>
      </c>
      <c r="AZ44" s="49">
        <f t="shared" si="7"/>
        <v>1</v>
      </c>
      <c r="BA44" s="49">
        <f t="shared" si="8"/>
        <v>0</v>
      </c>
      <c r="BB44" s="49">
        <f t="shared" si="9"/>
        <v>0</v>
      </c>
      <c r="BC44" s="49">
        <f t="shared" si="10"/>
        <v>0</v>
      </c>
      <c r="BD44" s="49">
        <f t="shared" si="11"/>
        <v>1</v>
      </c>
      <c r="BE44" s="49">
        <f t="shared" si="12"/>
        <v>0</v>
      </c>
      <c r="BF44" s="49">
        <f t="shared" si="13"/>
        <v>0</v>
      </c>
      <c r="BG44" s="49">
        <f t="shared" si="14"/>
        <v>0</v>
      </c>
      <c r="BH44" s="49">
        <f t="shared" si="15"/>
        <v>1</v>
      </c>
      <c r="BI44" s="49">
        <f t="shared" si="16"/>
        <v>0</v>
      </c>
      <c r="BJ44" s="49">
        <f t="shared" si="17"/>
        <v>0</v>
      </c>
      <c r="BK44" s="49">
        <f t="shared" si="18"/>
        <v>0</v>
      </c>
      <c r="BL44" s="49">
        <f t="shared" si="19"/>
        <v>1</v>
      </c>
      <c r="BM44" s="49">
        <f t="shared" si="20"/>
        <v>0</v>
      </c>
      <c r="BN44" s="49">
        <f t="shared" si="21"/>
        <v>0</v>
      </c>
      <c r="BO44" s="49">
        <f t="shared" si="22"/>
        <v>0</v>
      </c>
      <c r="BP44" s="49">
        <f t="shared" si="23"/>
        <v>1</v>
      </c>
      <c r="BQ44" s="49">
        <f t="shared" si="24"/>
        <v>0</v>
      </c>
      <c r="BR44" s="49">
        <f t="shared" si="25"/>
        <v>0</v>
      </c>
      <c r="BS44" s="49">
        <f t="shared" si="26"/>
        <v>0</v>
      </c>
      <c r="BT44" s="49">
        <f t="shared" si="27"/>
        <v>1</v>
      </c>
      <c r="BU44" s="49">
        <f t="shared" si="28"/>
        <v>0</v>
      </c>
      <c r="BV44" s="49">
        <f t="shared" si="29"/>
        <v>0</v>
      </c>
      <c r="BW44" s="49">
        <f t="shared" si="30"/>
        <v>0</v>
      </c>
      <c r="BX44" s="49">
        <f t="shared" si="31"/>
        <v>1</v>
      </c>
      <c r="BY44" s="49">
        <f t="shared" si="32"/>
        <v>0</v>
      </c>
      <c r="BZ44" s="49">
        <f t="shared" si="33"/>
        <v>0</v>
      </c>
      <c r="CA44" s="49">
        <f t="shared" si="34"/>
        <v>0</v>
      </c>
      <c r="CB44" s="49">
        <f t="shared" si="35"/>
        <v>1</v>
      </c>
      <c r="CC44" s="49">
        <f t="shared" si="36"/>
        <v>0</v>
      </c>
      <c r="CD44" s="49">
        <f t="shared" si="37"/>
        <v>0</v>
      </c>
      <c r="CE44" s="49">
        <f t="shared" si="38"/>
        <v>0</v>
      </c>
    </row>
    <row r="45" spans="1:83" ht="35.1" customHeight="1" x14ac:dyDescent="0.3">
      <c r="A45" s="123" t="str">
        <f t="shared" si="0"/>
        <v>1팀</v>
      </c>
      <c r="B45" s="69">
        <f t="shared" si="1"/>
        <v>39</v>
      </c>
      <c r="C45" s="119" t="str">
        <f>IF(VLOOKUP($B45,'1. 현장별 인원현황'!$C:$J,2,0)=0,"",VLOOKUP($B45,'1. 현장별 인원현황'!$C:$J,2,0))</f>
        <v xml:space="preserve"> [1.대우건설] 청라C18BL 오피스텔 신축공사</v>
      </c>
      <c r="D45" s="116" t="str">
        <f>IF(VLOOKUP($B45,'1. 현장별 인원현황'!$C:$J,3,0)=0,"",VLOOKUP($B45,'1. 현장별 인원현황'!$C:$J,3,0))</f>
        <v>강 용</v>
      </c>
      <c r="E45" s="63" t="str">
        <f ca="1">IF(VLOOKUP($B45,'1. 현장별 인원현황'!$C:$J,4,0)=0,"",VLOOKUP($B45,'1. 현장별 인원현황'!$C:$J,4,0))</f>
        <v>33세</v>
      </c>
      <c r="F45" s="63" t="str">
        <f>IF(VLOOKUP($B45,'1. 현장별 인원현황'!$C:$J,7,0)=0,"",VLOOKUP($B45,'1. 현장별 인원현황'!$C:$J,7,0))</f>
        <v>기능공</v>
      </c>
      <c r="G45" s="63" t="str">
        <f>IF(VLOOKUP($B45,'1. 현장별 인원현황'!$C:$J,8,0)=0,"",VLOOKUP($B45,'1. 현장별 인원현황'!$C:$J,8,0))</f>
        <v>전공</v>
      </c>
      <c r="H45" s="67" t="s">
        <v>69</v>
      </c>
      <c r="I45" s="73"/>
      <c r="J45" s="73"/>
      <c r="K45" s="68"/>
      <c r="L45" s="67" t="s">
        <v>69</v>
      </c>
      <c r="M45" s="73"/>
      <c r="N45" s="73"/>
      <c r="O45" s="68"/>
      <c r="P45" s="67" t="s">
        <v>69</v>
      </c>
      <c r="Q45" s="73"/>
      <c r="R45" s="73"/>
      <c r="S45" s="68"/>
      <c r="T45" s="67" t="s">
        <v>69</v>
      </c>
      <c r="U45" s="73"/>
      <c r="V45" s="73"/>
      <c r="W45" s="68"/>
      <c r="X45" s="67" t="s">
        <v>69</v>
      </c>
      <c r="Y45" s="73"/>
      <c r="Z45" s="73"/>
      <c r="AA45" s="68"/>
      <c r="AB45" s="67" t="s">
        <v>69</v>
      </c>
      <c r="AC45" s="73"/>
      <c r="AD45" s="73"/>
      <c r="AE45" s="68"/>
      <c r="AF45" s="67" t="s">
        <v>69</v>
      </c>
      <c r="AG45" s="73"/>
      <c r="AH45" s="73"/>
      <c r="AI45" s="68"/>
      <c r="AJ45" s="67" t="s">
        <v>69</v>
      </c>
      <c r="AK45" s="73"/>
      <c r="AL45" s="73"/>
      <c r="AM45" s="68"/>
      <c r="AN45" s="73" t="s">
        <v>69</v>
      </c>
      <c r="AO45" s="73"/>
      <c r="AP45" s="73"/>
      <c r="AQ45" s="68"/>
      <c r="AR45" s="67">
        <f t="shared" si="2"/>
        <v>100</v>
      </c>
      <c r="AS45" s="68" t="str">
        <f t="shared" si="3"/>
        <v>S</v>
      </c>
      <c r="AV45" s="49">
        <f t="shared" si="39"/>
        <v>1</v>
      </c>
      <c r="AW45" s="49">
        <f t="shared" si="4"/>
        <v>0</v>
      </c>
      <c r="AX45" s="49">
        <f t="shared" si="5"/>
        <v>0</v>
      </c>
      <c r="AY45" s="49">
        <f t="shared" si="6"/>
        <v>0</v>
      </c>
      <c r="AZ45" s="49">
        <f t="shared" si="7"/>
        <v>1</v>
      </c>
      <c r="BA45" s="49">
        <f t="shared" si="8"/>
        <v>0</v>
      </c>
      <c r="BB45" s="49">
        <f t="shared" si="9"/>
        <v>0</v>
      </c>
      <c r="BC45" s="49">
        <f t="shared" si="10"/>
        <v>0</v>
      </c>
      <c r="BD45" s="49">
        <f t="shared" si="11"/>
        <v>1</v>
      </c>
      <c r="BE45" s="49">
        <f t="shared" si="12"/>
        <v>0</v>
      </c>
      <c r="BF45" s="49">
        <f t="shared" si="13"/>
        <v>0</v>
      </c>
      <c r="BG45" s="49">
        <f t="shared" si="14"/>
        <v>0</v>
      </c>
      <c r="BH45" s="49">
        <f t="shared" si="15"/>
        <v>1</v>
      </c>
      <c r="BI45" s="49">
        <f t="shared" si="16"/>
        <v>0</v>
      </c>
      <c r="BJ45" s="49">
        <f t="shared" si="17"/>
        <v>0</v>
      </c>
      <c r="BK45" s="49">
        <f t="shared" si="18"/>
        <v>0</v>
      </c>
      <c r="BL45" s="49">
        <f t="shared" si="19"/>
        <v>1</v>
      </c>
      <c r="BM45" s="49">
        <f t="shared" si="20"/>
        <v>0</v>
      </c>
      <c r="BN45" s="49">
        <f t="shared" si="21"/>
        <v>0</v>
      </c>
      <c r="BO45" s="49">
        <f t="shared" si="22"/>
        <v>0</v>
      </c>
      <c r="BP45" s="49">
        <f t="shared" si="23"/>
        <v>1</v>
      </c>
      <c r="BQ45" s="49">
        <f t="shared" si="24"/>
        <v>0</v>
      </c>
      <c r="BR45" s="49">
        <f t="shared" si="25"/>
        <v>0</v>
      </c>
      <c r="BS45" s="49">
        <f t="shared" si="26"/>
        <v>0</v>
      </c>
      <c r="BT45" s="49">
        <f t="shared" si="27"/>
        <v>1</v>
      </c>
      <c r="BU45" s="49">
        <f t="shared" si="28"/>
        <v>0</v>
      </c>
      <c r="BV45" s="49">
        <f t="shared" si="29"/>
        <v>0</v>
      </c>
      <c r="BW45" s="49">
        <f t="shared" si="30"/>
        <v>0</v>
      </c>
      <c r="BX45" s="49">
        <f t="shared" si="31"/>
        <v>1</v>
      </c>
      <c r="BY45" s="49">
        <f t="shared" si="32"/>
        <v>0</v>
      </c>
      <c r="BZ45" s="49">
        <f t="shared" si="33"/>
        <v>0</v>
      </c>
      <c r="CA45" s="49">
        <f t="shared" si="34"/>
        <v>0</v>
      </c>
      <c r="CB45" s="49">
        <f t="shared" si="35"/>
        <v>1</v>
      </c>
      <c r="CC45" s="49">
        <f t="shared" si="36"/>
        <v>0</v>
      </c>
      <c r="CD45" s="49">
        <f t="shared" si="37"/>
        <v>0</v>
      </c>
      <c r="CE45" s="49">
        <f t="shared" si="38"/>
        <v>0</v>
      </c>
    </row>
    <row r="46" spans="1:83" ht="35.1" customHeight="1" x14ac:dyDescent="0.3">
      <c r="A46" s="123" t="str">
        <f t="shared" si="0"/>
        <v>1팀</v>
      </c>
      <c r="B46" s="69">
        <f t="shared" si="1"/>
        <v>40</v>
      </c>
      <c r="C46" s="119" t="str">
        <f>IF(VLOOKUP($B46,'1. 현장별 인원현황'!$C:$J,2,0)=0,"",VLOOKUP($B46,'1. 현장별 인원현황'!$C:$J,2,0))</f>
        <v xml:space="preserve"> [1.대우건설] 청라C18BL 오피스텔 신축공사</v>
      </c>
      <c r="D46" s="116" t="str">
        <f>IF(VLOOKUP($B46,'1. 현장별 인원현황'!$C:$J,3,0)=0,"",VLOOKUP($B46,'1. 현장별 인원현황'!$C:$J,3,0))</f>
        <v>김 용</v>
      </c>
      <c r="E46" s="63" t="str">
        <f ca="1">IF(VLOOKUP($B46,'1. 현장별 인원현황'!$C:$J,4,0)=0,"",VLOOKUP($B46,'1. 현장별 인원현황'!$C:$J,4,0))</f>
        <v>48세</v>
      </c>
      <c r="F46" s="63" t="str">
        <f>IF(VLOOKUP($B46,'1. 현장별 인원현황'!$C:$J,7,0)=0,"",VLOOKUP($B46,'1. 현장별 인원현황'!$C:$J,7,0))</f>
        <v>기능공</v>
      </c>
      <c r="G46" s="63" t="str">
        <f>IF(VLOOKUP($B46,'1. 현장별 인원현황'!$C:$J,8,0)=0,"",VLOOKUP($B46,'1. 현장별 인원현황'!$C:$J,8,0))</f>
        <v>전공</v>
      </c>
      <c r="H46" s="67" t="s">
        <v>69</v>
      </c>
      <c r="I46" s="73"/>
      <c r="J46" s="73"/>
      <c r="K46" s="68"/>
      <c r="L46" s="67" t="s">
        <v>69</v>
      </c>
      <c r="M46" s="73"/>
      <c r="N46" s="73"/>
      <c r="O46" s="68"/>
      <c r="P46" s="67" t="s">
        <v>69</v>
      </c>
      <c r="Q46" s="73"/>
      <c r="R46" s="73"/>
      <c r="S46" s="68"/>
      <c r="T46" s="67" t="s">
        <v>69</v>
      </c>
      <c r="U46" s="73"/>
      <c r="V46" s="73"/>
      <c r="W46" s="68"/>
      <c r="X46" s="67" t="s">
        <v>69</v>
      </c>
      <c r="Y46" s="73"/>
      <c r="Z46" s="73"/>
      <c r="AA46" s="68"/>
      <c r="AB46" s="67" t="s">
        <v>69</v>
      </c>
      <c r="AC46" s="73"/>
      <c r="AD46" s="73"/>
      <c r="AE46" s="68"/>
      <c r="AF46" s="67" t="s">
        <v>69</v>
      </c>
      <c r="AG46" s="73"/>
      <c r="AH46" s="73"/>
      <c r="AI46" s="68"/>
      <c r="AJ46" s="67" t="s">
        <v>69</v>
      </c>
      <c r="AK46" s="73"/>
      <c r="AL46" s="73"/>
      <c r="AM46" s="68"/>
      <c r="AN46" s="73" t="s">
        <v>69</v>
      </c>
      <c r="AO46" s="73"/>
      <c r="AP46" s="73"/>
      <c r="AQ46" s="68"/>
      <c r="AR46" s="67">
        <f t="shared" si="2"/>
        <v>100</v>
      </c>
      <c r="AS46" s="68" t="str">
        <f t="shared" si="3"/>
        <v>S</v>
      </c>
      <c r="AV46" s="49">
        <f t="shared" si="39"/>
        <v>1</v>
      </c>
      <c r="AW46" s="49">
        <f t="shared" si="4"/>
        <v>0</v>
      </c>
      <c r="AX46" s="49">
        <f t="shared" si="5"/>
        <v>0</v>
      </c>
      <c r="AY46" s="49">
        <f t="shared" si="6"/>
        <v>0</v>
      </c>
      <c r="AZ46" s="49">
        <f t="shared" si="7"/>
        <v>1</v>
      </c>
      <c r="BA46" s="49">
        <f t="shared" si="8"/>
        <v>0</v>
      </c>
      <c r="BB46" s="49">
        <f t="shared" si="9"/>
        <v>0</v>
      </c>
      <c r="BC46" s="49">
        <f t="shared" si="10"/>
        <v>0</v>
      </c>
      <c r="BD46" s="49">
        <f t="shared" si="11"/>
        <v>1</v>
      </c>
      <c r="BE46" s="49">
        <f t="shared" si="12"/>
        <v>0</v>
      </c>
      <c r="BF46" s="49">
        <f t="shared" si="13"/>
        <v>0</v>
      </c>
      <c r="BG46" s="49">
        <f t="shared" si="14"/>
        <v>0</v>
      </c>
      <c r="BH46" s="49">
        <f t="shared" si="15"/>
        <v>1</v>
      </c>
      <c r="BI46" s="49">
        <f t="shared" si="16"/>
        <v>0</v>
      </c>
      <c r="BJ46" s="49">
        <f t="shared" si="17"/>
        <v>0</v>
      </c>
      <c r="BK46" s="49">
        <f t="shared" si="18"/>
        <v>0</v>
      </c>
      <c r="BL46" s="49">
        <f t="shared" si="19"/>
        <v>1</v>
      </c>
      <c r="BM46" s="49">
        <f t="shared" si="20"/>
        <v>0</v>
      </c>
      <c r="BN46" s="49">
        <f t="shared" si="21"/>
        <v>0</v>
      </c>
      <c r="BO46" s="49">
        <f t="shared" si="22"/>
        <v>0</v>
      </c>
      <c r="BP46" s="49">
        <f t="shared" si="23"/>
        <v>1</v>
      </c>
      <c r="BQ46" s="49">
        <f t="shared" si="24"/>
        <v>0</v>
      </c>
      <c r="BR46" s="49">
        <f t="shared" si="25"/>
        <v>0</v>
      </c>
      <c r="BS46" s="49">
        <f t="shared" si="26"/>
        <v>0</v>
      </c>
      <c r="BT46" s="49">
        <f t="shared" si="27"/>
        <v>1</v>
      </c>
      <c r="BU46" s="49">
        <f t="shared" si="28"/>
        <v>0</v>
      </c>
      <c r="BV46" s="49">
        <f t="shared" si="29"/>
        <v>0</v>
      </c>
      <c r="BW46" s="49">
        <f t="shared" si="30"/>
        <v>0</v>
      </c>
      <c r="BX46" s="49">
        <f t="shared" si="31"/>
        <v>1</v>
      </c>
      <c r="BY46" s="49">
        <f t="shared" si="32"/>
        <v>0</v>
      </c>
      <c r="BZ46" s="49">
        <f t="shared" si="33"/>
        <v>0</v>
      </c>
      <c r="CA46" s="49">
        <f t="shared" si="34"/>
        <v>0</v>
      </c>
      <c r="CB46" s="49">
        <f t="shared" si="35"/>
        <v>1</v>
      </c>
      <c r="CC46" s="49">
        <f t="shared" si="36"/>
        <v>0</v>
      </c>
      <c r="CD46" s="49">
        <f t="shared" si="37"/>
        <v>0</v>
      </c>
      <c r="CE46" s="49">
        <f t="shared" si="38"/>
        <v>0</v>
      </c>
    </row>
    <row r="47" spans="1:83" ht="35.1" customHeight="1" x14ac:dyDescent="0.3">
      <c r="A47" s="123" t="str">
        <f t="shared" si="0"/>
        <v>1팀</v>
      </c>
      <c r="B47" s="69">
        <f t="shared" si="1"/>
        <v>41</v>
      </c>
      <c r="C47" s="119" t="str">
        <f>IF(VLOOKUP($B47,'1. 현장별 인원현황'!$C:$J,2,0)=0,"",VLOOKUP($B47,'1. 현장별 인원현황'!$C:$J,2,0))</f>
        <v xml:space="preserve"> [1.대우건설] 청라C18BL 오피스텔 신축공사</v>
      </c>
      <c r="D47" s="116" t="str">
        <f>IF(VLOOKUP($B47,'1. 현장별 인원현황'!$C:$J,3,0)=0,"",VLOOKUP($B47,'1. 현장별 인원현황'!$C:$J,3,0))</f>
        <v>박옥수</v>
      </c>
      <c r="E47" s="63" t="str">
        <f ca="1">IF(VLOOKUP($B47,'1. 현장별 인원현황'!$C:$J,4,0)=0,"",VLOOKUP($B47,'1. 현장별 인원현황'!$C:$J,4,0))</f>
        <v>61세</v>
      </c>
      <c r="F47" s="63" t="str">
        <f>IF(VLOOKUP($B47,'1. 현장별 인원현황'!$C:$J,7,0)=0,"",VLOOKUP($B47,'1. 현장별 인원현황'!$C:$J,7,0))</f>
        <v>기능공</v>
      </c>
      <c r="G47" s="63" t="str">
        <f>IF(VLOOKUP($B47,'1. 현장별 인원현황'!$C:$J,8,0)=0,"",VLOOKUP($B47,'1. 현장별 인원현황'!$C:$J,8,0))</f>
        <v>조공</v>
      </c>
      <c r="H47" s="67"/>
      <c r="I47" s="73" t="s">
        <v>69</v>
      </c>
      <c r="J47" s="73"/>
      <c r="K47" s="68"/>
      <c r="L47" s="67"/>
      <c r="M47" s="73" t="s">
        <v>69</v>
      </c>
      <c r="N47" s="73"/>
      <c r="O47" s="68"/>
      <c r="P47" s="67"/>
      <c r="Q47" s="73" t="s">
        <v>69</v>
      </c>
      <c r="R47" s="73"/>
      <c r="S47" s="68"/>
      <c r="T47" s="67"/>
      <c r="U47" s="73" t="s">
        <v>69</v>
      </c>
      <c r="V47" s="73"/>
      <c r="W47" s="68"/>
      <c r="X47" s="67" t="s">
        <v>69</v>
      </c>
      <c r="Y47" s="73"/>
      <c r="Z47" s="73"/>
      <c r="AA47" s="68"/>
      <c r="AB47" s="67" t="s">
        <v>69</v>
      </c>
      <c r="AC47" s="73"/>
      <c r="AD47" s="73"/>
      <c r="AE47" s="68"/>
      <c r="AF47" s="67" t="s">
        <v>69</v>
      </c>
      <c r="AG47" s="73"/>
      <c r="AH47" s="73"/>
      <c r="AI47" s="68"/>
      <c r="AJ47" s="67" t="s">
        <v>69</v>
      </c>
      <c r="AK47" s="73"/>
      <c r="AL47" s="73"/>
      <c r="AM47" s="68"/>
      <c r="AN47" s="73" t="s">
        <v>69</v>
      </c>
      <c r="AO47" s="73"/>
      <c r="AP47" s="73"/>
      <c r="AQ47" s="68"/>
      <c r="AR47" s="67">
        <f t="shared" si="2"/>
        <v>89</v>
      </c>
      <c r="AS47" s="68" t="str">
        <f t="shared" si="3"/>
        <v>S</v>
      </c>
      <c r="AV47" s="49">
        <f t="shared" si="39"/>
        <v>0</v>
      </c>
      <c r="AW47" s="49">
        <f t="shared" si="4"/>
        <v>1</v>
      </c>
      <c r="AX47" s="49">
        <f t="shared" si="5"/>
        <v>0</v>
      </c>
      <c r="AY47" s="49">
        <f t="shared" si="6"/>
        <v>0</v>
      </c>
      <c r="AZ47" s="49">
        <f t="shared" si="7"/>
        <v>0</v>
      </c>
      <c r="BA47" s="49">
        <f t="shared" si="8"/>
        <v>1</v>
      </c>
      <c r="BB47" s="49">
        <f t="shared" si="9"/>
        <v>0</v>
      </c>
      <c r="BC47" s="49">
        <f t="shared" si="10"/>
        <v>0</v>
      </c>
      <c r="BD47" s="49">
        <f t="shared" si="11"/>
        <v>0</v>
      </c>
      <c r="BE47" s="49">
        <f t="shared" si="12"/>
        <v>1</v>
      </c>
      <c r="BF47" s="49">
        <f t="shared" si="13"/>
        <v>0</v>
      </c>
      <c r="BG47" s="49">
        <f t="shared" si="14"/>
        <v>0</v>
      </c>
      <c r="BH47" s="49">
        <f t="shared" si="15"/>
        <v>0</v>
      </c>
      <c r="BI47" s="49">
        <f t="shared" si="16"/>
        <v>1</v>
      </c>
      <c r="BJ47" s="49">
        <f t="shared" si="17"/>
        <v>0</v>
      </c>
      <c r="BK47" s="49">
        <f t="shared" si="18"/>
        <v>0</v>
      </c>
      <c r="BL47" s="49">
        <f t="shared" si="19"/>
        <v>1</v>
      </c>
      <c r="BM47" s="49">
        <f t="shared" si="20"/>
        <v>0</v>
      </c>
      <c r="BN47" s="49">
        <f t="shared" si="21"/>
        <v>0</v>
      </c>
      <c r="BO47" s="49">
        <f t="shared" si="22"/>
        <v>0</v>
      </c>
      <c r="BP47" s="49">
        <f t="shared" si="23"/>
        <v>1</v>
      </c>
      <c r="BQ47" s="49">
        <f t="shared" si="24"/>
        <v>0</v>
      </c>
      <c r="BR47" s="49">
        <f t="shared" si="25"/>
        <v>0</v>
      </c>
      <c r="BS47" s="49">
        <f t="shared" si="26"/>
        <v>0</v>
      </c>
      <c r="BT47" s="49">
        <f t="shared" si="27"/>
        <v>1</v>
      </c>
      <c r="BU47" s="49">
        <f t="shared" si="28"/>
        <v>0</v>
      </c>
      <c r="BV47" s="49">
        <f t="shared" si="29"/>
        <v>0</v>
      </c>
      <c r="BW47" s="49">
        <f t="shared" si="30"/>
        <v>0</v>
      </c>
      <c r="BX47" s="49">
        <f t="shared" si="31"/>
        <v>1</v>
      </c>
      <c r="BY47" s="49">
        <f t="shared" si="32"/>
        <v>0</v>
      </c>
      <c r="BZ47" s="49">
        <f t="shared" si="33"/>
        <v>0</v>
      </c>
      <c r="CA47" s="49">
        <f t="shared" si="34"/>
        <v>0</v>
      </c>
      <c r="CB47" s="49">
        <f t="shared" si="35"/>
        <v>1</v>
      </c>
      <c r="CC47" s="49">
        <f t="shared" si="36"/>
        <v>0</v>
      </c>
      <c r="CD47" s="49">
        <f t="shared" si="37"/>
        <v>0</v>
      </c>
      <c r="CE47" s="49">
        <f t="shared" si="38"/>
        <v>0</v>
      </c>
    </row>
    <row r="48" spans="1:83" ht="35.1" customHeight="1" x14ac:dyDescent="0.3">
      <c r="A48" s="123" t="str">
        <f t="shared" si="0"/>
        <v>1팀</v>
      </c>
      <c r="B48" s="69">
        <f t="shared" si="1"/>
        <v>42</v>
      </c>
      <c r="C48" s="119" t="str">
        <f>IF(VLOOKUP($B48,'1. 현장별 인원현황'!$C:$J,2,0)=0,"",VLOOKUP($B48,'1. 현장별 인원현황'!$C:$J,2,0))</f>
        <v xml:space="preserve"> [1.대우건설] 청라C18BL 오피스텔 신축공사</v>
      </c>
      <c r="D48" s="116" t="str">
        <f>IF(VLOOKUP($B48,'1. 현장별 인원현황'!$C:$J,3,0)=0,"",VLOOKUP($B48,'1. 현장별 인원현황'!$C:$J,3,0))</f>
        <v>전봉기</v>
      </c>
      <c r="E48" s="63" t="str">
        <f ca="1">IF(VLOOKUP($B48,'1. 현장별 인원현황'!$C:$J,4,0)=0,"",VLOOKUP($B48,'1. 현장별 인원현황'!$C:$J,4,0))</f>
        <v>63세</v>
      </c>
      <c r="F48" s="63" t="str">
        <f>IF(VLOOKUP($B48,'1. 현장별 인원현황'!$C:$J,7,0)=0,"",VLOOKUP($B48,'1. 현장별 인원현황'!$C:$J,7,0))</f>
        <v>기능공</v>
      </c>
      <c r="G48" s="63" t="str">
        <f>IF(VLOOKUP($B48,'1. 현장별 인원현황'!$C:$J,8,0)=0,"",VLOOKUP($B48,'1. 현장별 인원현황'!$C:$J,8,0))</f>
        <v>전공</v>
      </c>
      <c r="H48" s="67" t="s">
        <v>69</v>
      </c>
      <c r="I48" s="73"/>
      <c r="J48" s="73"/>
      <c r="K48" s="68"/>
      <c r="L48" s="67" t="s">
        <v>69</v>
      </c>
      <c r="M48" s="73"/>
      <c r="N48" s="73"/>
      <c r="O48" s="68"/>
      <c r="P48" s="67" t="s">
        <v>69</v>
      </c>
      <c r="Q48" s="73"/>
      <c r="R48" s="73"/>
      <c r="S48" s="68"/>
      <c r="T48" s="67" t="s">
        <v>69</v>
      </c>
      <c r="U48" s="73"/>
      <c r="V48" s="73"/>
      <c r="W48" s="68"/>
      <c r="X48" s="67" t="s">
        <v>69</v>
      </c>
      <c r="Y48" s="73"/>
      <c r="Z48" s="73"/>
      <c r="AA48" s="68"/>
      <c r="AB48" s="67" t="s">
        <v>69</v>
      </c>
      <c r="AC48" s="73"/>
      <c r="AD48" s="73"/>
      <c r="AE48" s="68"/>
      <c r="AF48" s="67" t="s">
        <v>69</v>
      </c>
      <c r="AG48" s="73"/>
      <c r="AH48" s="73"/>
      <c r="AI48" s="68"/>
      <c r="AJ48" s="67" t="s">
        <v>69</v>
      </c>
      <c r="AK48" s="73"/>
      <c r="AL48" s="73"/>
      <c r="AM48" s="68"/>
      <c r="AN48" s="73" t="s">
        <v>69</v>
      </c>
      <c r="AO48" s="73"/>
      <c r="AP48" s="73"/>
      <c r="AQ48" s="68"/>
      <c r="AR48" s="67">
        <f t="shared" si="2"/>
        <v>100</v>
      </c>
      <c r="AS48" s="68" t="str">
        <f t="shared" si="3"/>
        <v>S</v>
      </c>
      <c r="AV48" s="49">
        <f t="shared" si="39"/>
        <v>1</v>
      </c>
      <c r="AW48" s="49">
        <f t="shared" si="4"/>
        <v>0</v>
      </c>
      <c r="AX48" s="49">
        <f t="shared" si="5"/>
        <v>0</v>
      </c>
      <c r="AY48" s="49">
        <f t="shared" si="6"/>
        <v>0</v>
      </c>
      <c r="AZ48" s="49">
        <f t="shared" si="7"/>
        <v>1</v>
      </c>
      <c r="BA48" s="49">
        <f t="shared" si="8"/>
        <v>0</v>
      </c>
      <c r="BB48" s="49">
        <f t="shared" si="9"/>
        <v>0</v>
      </c>
      <c r="BC48" s="49">
        <f t="shared" si="10"/>
        <v>0</v>
      </c>
      <c r="BD48" s="49">
        <f t="shared" si="11"/>
        <v>1</v>
      </c>
      <c r="BE48" s="49">
        <f t="shared" si="12"/>
        <v>0</v>
      </c>
      <c r="BF48" s="49">
        <f t="shared" si="13"/>
        <v>0</v>
      </c>
      <c r="BG48" s="49">
        <f t="shared" si="14"/>
        <v>0</v>
      </c>
      <c r="BH48" s="49">
        <f t="shared" si="15"/>
        <v>1</v>
      </c>
      <c r="BI48" s="49">
        <f t="shared" si="16"/>
        <v>0</v>
      </c>
      <c r="BJ48" s="49">
        <f t="shared" si="17"/>
        <v>0</v>
      </c>
      <c r="BK48" s="49">
        <f t="shared" si="18"/>
        <v>0</v>
      </c>
      <c r="BL48" s="49">
        <f t="shared" si="19"/>
        <v>1</v>
      </c>
      <c r="BM48" s="49">
        <f t="shared" si="20"/>
        <v>0</v>
      </c>
      <c r="BN48" s="49">
        <f t="shared" si="21"/>
        <v>0</v>
      </c>
      <c r="BO48" s="49">
        <f t="shared" si="22"/>
        <v>0</v>
      </c>
      <c r="BP48" s="49">
        <f t="shared" si="23"/>
        <v>1</v>
      </c>
      <c r="BQ48" s="49">
        <f t="shared" si="24"/>
        <v>0</v>
      </c>
      <c r="BR48" s="49">
        <f t="shared" si="25"/>
        <v>0</v>
      </c>
      <c r="BS48" s="49">
        <f t="shared" si="26"/>
        <v>0</v>
      </c>
      <c r="BT48" s="49">
        <f t="shared" si="27"/>
        <v>1</v>
      </c>
      <c r="BU48" s="49">
        <f t="shared" si="28"/>
        <v>0</v>
      </c>
      <c r="BV48" s="49">
        <f t="shared" si="29"/>
        <v>0</v>
      </c>
      <c r="BW48" s="49">
        <f t="shared" si="30"/>
        <v>0</v>
      </c>
      <c r="BX48" s="49">
        <f t="shared" si="31"/>
        <v>1</v>
      </c>
      <c r="BY48" s="49">
        <f t="shared" si="32"/>
        <v>0</v>
      </c>
      <c r="BZ48" s="49">
        <f t="shared" si="33"/>
        <v>0</v>
      </c>
      <c r="CA48" s="49">
        <f t="shared" si="34"/>
        <v>0</v>
      </c>
      <c r="CB48" s="49">
        <f t="shared" si="35"/>
        <v>1</v>
      </c>
      <c r="CC48" s="49">
        <f t="shared" si="36"/>
        <v>0</v>
      </c>
      <c r="CD48" s="49">
        <f t="shared" si="37"/>
        <v>0</v>
      </c>
      <c r="CE48" s="49">
        <f t="shared" si="38"/>
        <v>0</v>
      </c>
    </row>
    <row r="49" spans="1:83" ht="35.1" customHeight="1" x14ac:dyDescent="0.3">
      <c r="A49" s="123" t="str">
        <f t="shared" si="0"/>
        <v>1팀</v>
      </c>
      <c r="B49" s="69">
        <f t="shared" si="1"/>
        <v>43</v>
      </c>
      <c r="C49" s="119" t="str">
        <f>IF(VLOOKUP($B49,'1. 현장별 인원현황'!$C:$J,2,0)=0,"",VLOOKUP($B49,'1. 현장별 인원현황'!$C:$J,2,0))</f>
        <v xml:space="preserve"> [1.대우건설] 청라C18BL 오피스텔 신축공사</v>
      </c>
      <c r="D49" s="116" t="str">
        <f>IF(VLOOKUP($B49,'1. 현장별 인원현황'!$C:$J,3,0)=0,"",VLOOKUP($B49,'1. 현장별 인원현황'!$C:$J,3,0))</f>
        <v>정진형</v>
      </c>
      <c r="E49" s="63" t="str">
        <f ca="1">IF(VLOOKUP($B49,'1. 현장별 인원현황'!$C:$J,4,0)=0,"",VLOOKUP($B49,'1. 현장별 인원현황'!$C:$J,4,0))</f>
        <v>29세</v>
      </c>
      <c r="F49" s="63" t="str">
        <f>IF(VLOOKUP($B49,'1. 현장별 인원현황'!$C:$J,7,0)=0,"",VLOOKUP($B49,'1. 현장별 인원현황'!$C:$J,7,0))</f>
        <v>기능공</v>
      </c>
      <c r="G49" s="63" t="str">
        <f>IF(VLOOKUP($B49,'1. 현장별 인원현황'!$C:$J,8,0)=0,"",VLOOKUP($B49,'1. 현장별 인원현황'!$C:$J,8,0))</f>
        <v>조공</v>
      </c>
      <c r="H49" s="67"/>
      <c r="I49" s="73" t="s">
        <v>69</v>
      </c>
      <c r="J49" s="73"/>
      <c r="K49" s="68"/>
      <c r="L49" s="67"/>
      <c r="M49" s="73" t="s">
        <v>69</v>
      </c>
      <c r="N49" s="73"/>
      <c r="O49" s="68"/>
      <c r="P49" s="67"/>
      <c r="Q49" s="73" t="s">
        <v>69</v>
      </c>
      <c r="R49" s="73"/>
      <c r="S49" s="68"/>
      <c r="T49" s="67"/>
      <c r="U49" s="73" t="s">
        <v>69</v>
      </c>
      <c r="V49" s="73"/>
      <c r="W49" s="68"/>
      <c r="X49" s="67" t="s">
        <v>69</v>
      </c>
      <c r="Y49" s="73"/>
      <c r="Z49" s="73"/>
      <c r="AA49" s="68"/>
      <c r="AB49" s="67" t="s">
        <v>69</v>
      </c>
      <c r="AC49" s="73"/>
      <c r="AD49" s="73"/>
      <c r="AE49" s="68"/>
      <c r="AF49" s="67" t="s">
        <v>69</v>
      </c>
      <c r="AG49" s="73"/>
      <c r="AH49" s="73"/>
      <c r="AI49" s="68"/>
      <c r="AJ49" s="67" t="s">
        <v>69</v>
      </c>
      <c r="AK49" s="73"/>
      <c r="AL49" s="73"/>
      <c r="AM49" s="68"/>
      <c r="AN49" s="73" t="s">
        <v>69</v>
      </c>
      <c r="AO49" s="73"/>
      <c r="AP49" s="73"/>
      <c r="AQ49" s="68"/>
      <c r="AR49" s="67">
        <f t="shared" si="2"/>
        <v>89</v>
      </c>
      <c r="AS49" s="68" t="str">
        <f t="shared" si="3"/>
        <v>S</v>
      </c>
      <c r="AV49" s="49">
        <f t="shared" si="39"/>
        <v>0</v>
      </c>
      <c r="AW49" s="49">
        <f t="shared" si="4"/>
        <v>1</v>
      </c>
      <c r="AX49" s="49">
        <f t="shared" si="5"/>
        <v>0</v>
      </c>
      <c r="AY49" s="49">
        <f t="shared" si="6"/>
        <v>0</v>
      </c>
      <c r="AZ49" s="49">
        <f t="shared" si="7"/>
        <v>0</v>
      </c>
      <c r="BA49" s="49">
        <f t="shared" si="8"/>
        <v>1</v>
      </c>
      <c r="BB49" s="49">
        <f t="shared" si="9"/>
        <v>0</v>
      </c>
      <c r="BC49" s="49">
        <f t="shared" si="10"/>
        <v>0</v>
      </c>
      <c r="BD49" s="49">
        <f t="shared" si="11"/>
        <v>0</v>
      </c>
      <c r="BE49" s="49">
        <f t="shared" si="12"/>
        <v>1</v>
      </c>
      <c r="BF49" s="49">
        <f t="shared" si="13"/>
        <v>0</v>
      </c>
      <c r="BG49" s="49">
        <f t="shared" si="14"/>
        <v>0</v>
      </c>
      <c r="BH49" s="49">
        <f t="shared" si="15"/>
        <v>0</v>
      </c>
      <c r="BI49" s="49">
        <f t="shared" si="16"/>
        <v>1</v>
      </c>
      <c r="BJ49" s="49">
        <f t="shared" si="17"/>
        <v>0</v>
      </c>
      <c r="BK49" s="49">
        <f t="shared" si="18"/>
        <v>0</v>
      </c>
      <c r="BL49" s="49">
        <f t="shared" si="19"/>
        <v>1</v>
      </c>
      <c r="BM49" s="49">
        <f t="shared" si="20"/>
        <v>0</v>
      </c>
      <c r="BN49" s="49">
        <f t="shared" si="21"/>
        <v>0</v>
      </c>
      <c r="BO49" s="49">
        <f t="shared" si="22"/>
        <v>0</v>
      </c>
      <c r="BP49" s="49">
        <f t="shared" si="23"/>
        <v>1</v>
      </c>
      <c r="BQ49" s="49">
        <f t="shared" si="24"/>
        <v>0</v>
      </c>
      <c r="BR49" s="49">
        <f t="shared" si="25"/>
        <v>0</v>
      </c>
      <c r="BS49" s="49">
        <f t="shared" si="26"/>
        <v>0</v>
      </c>
      <c r="BT49" s="49">
        <f t="shared" si="27"/>
        <v>1</v>
      </c>
      <c r="BU49" s="49">
        <f t="shared" si="28"/>
        <v>0</v>
      </c>
      <c r="BV49" s="49">
        <f t="shared" si="29"/>
        <v>0</v>
      </c>
      <c r="BW49" s="49">
        <f t="shared" si="30"/>
        <v>0</v>
      </c>
      <c r="BX49" s="49">
        <f t="shared" si="31"/>
        <v>1</v>
      </c>
      <c r="BY49" s="49">
        <f t="shared" si="32"/>
        <v>0</v>
      </c>
      <c r="BZ49" s="49">
        <f t="shared" si="33"/>
        <v>0</v>
      </c>
      <c r="CA49" s="49">
        <f t="shared" si="34"/>
        <v>0</v>
      </c>
      <c r="CB49" s="49">
        <f t="shared" si="35"/>
        <v>1</v>
      </c>
      <c r="CC49" s="49">
        <f t="shared" si="36"/>
        <v>0</v>
      </c>
      <c r="CD49" s="49">
        <f t="shared" si="37"/>
        <v>0</v>
      </c>
      <c r="CE49" s="49">
        <f t="shared" si="38"/>
        <v>0</v>
      </c>
    </row>
    <row r="50" spans="1:83" ht="35.1" customHeight="1" x14ac:dyDescent="0.3">
      <c r="A50" s="123" t="str">
        <f t="shared" si="0"/>
        <v>1팀</v>
      </c>
      <c r="B50" s="69">
        <f t="shared" si="1"/>
        <v>44</v>
      </c>
      <c r="C50" s="119" t="str">
        <f>IF(VLOOKUP($B50,'1. 현장별 인원현황'!$C:$J,2,0)=0,"",VLOOKUP($B50,'1. 현장별 인원현황'!$C:$J,2,0))</f>
        <v xml:space="preserve"> [1.대우건설] 청라C18BL 오피스텔 신축공사</v>
      </c>
      <c r="D50" s="116" t="str">
        <f>IF(VLOOKUP($B50,'1. 현장별 인원현황'!$C:$J,3,0)=0,"",VLOOKUP($B50,'1. 현장별 인원현황'!$C:$J,3,0))</f>
        <v>조영종</v>
      </c>
      <c r="E50" s="63" t="str">
        <f ca="1">IF(VLOOKUP($B50,'1. 현장별 인원현황'!$C:$J,4,0)=0,"",VLOOKUP($B50,'1. 현장별 인원현황'!$C:$J,4,0))</f>
        <v>51세</v>
      </c>
      <c r="F50" s="63" t="str">
        <f>IF(VLOOKUP($B50,'1. 현장별 인원현황'!$C:$J,7,0)=0,"",VLOOKUP($B50,'1. 현장별 인원현황'!$C:$J,7,0))</f>
        <v>기능공</v>
      </c>
      <c r="G50" s="63" t="str">
        <f>IF(VLOOKUP($B50,'1. 현장별 인원현황'!$C:$J,8,0)=0,"",VLOOKUP($B50,'1. 현장별 인원현황'!$C:$J,8,0))</f>
        <v>전공</v>
      </c>
      <c r="H50" s="67" t="s">
        <v>69</v>
      </c>
      <c r="I50" s="73"/>
      <c r="J50" s="73"/>
      <c r="K50" s="68"/>
      <c r="L50" s="67" t="s">
        <v>69</v>
      </c>
      <c r="M50" s="73"/>
      <c r="N50" s="73"/>
      <c r="O50" s="68"/>
      <c r="P50" s="67" t="s">
        <v>69</v>
      </c>
      <c r="Q50" s="73"/>
      <c r="R50" s="73"/>
      <c r="S50" s="68"/>
      <c r="T50" s="67" t="s">
        <v>69</v>
      </c>
      <c r="U50" s="73"/>
      <c r="V50" s="73"/>
      <c r="W50" s="68"/>
      <c r="X50" s="67" t="s">
        <v>69</v>
      </c>
      <c r="Y50" s="73"/>
      <c r="Z50" s="73"/>
      <c r="AA50" s="68"/>
      <c r="AB50" s="67" t="s">
        <v>69</v>
      </c>
      <c r="AC50" s="73"/>
      <c r="AD50" s="73"/>
      <c r="AE50" s="68"/>
      <c r="AF50" s="67" t="s">
        <v>69</v>
      </c>
      <c r="AG50" s="73"/>
      <c r="AH50" s="73"/>
      <c r="AI50" s="68"/>
      <c r="AJ50" s="67" t="s">
        <v>69</v>
      </c>
      <c r="AK50" s="73"/>
      <c r="AL50" s="73"/>
      <c r="AM50" s="68"/>
      <c r="AN50" s="73" t="s">
        <v>69</v>
      </c>
      <c r="AO50" s="73"/>
      <c r="AP50" s="73"/>
      <c r="AQ50" s="68"/>
      <c r="AR50" s="67">
        <f t="shared" si="2"/>
        <v>100</v>
      </c>
      <c r="AS50" s="68" t="str">
        <f t="shared" si="3"/>
        <v>S</v>
      </c>
      <c r="AV50" s="49">
        <f t="shared" si="39"/>
        <v>1</v>
      </c>
      <c r="AW50" s="49">
        <f t="shared" si="4"/>
        <v>0</v>
      </c>
      <c r="AX50" s="49">
        <f t="shared" si="5"/>
        <v>0</v>
      </c>
      <c r="AY50" s="49">
        <f t="shared" si="6"/>
        <v>0</v>
      </c>
      <c r="AZ50" s="49">
        <f t="shared" si="7"/>
        <v>1</v>
      </c>
      <c r="BA50" s="49">
        <f t="shared" si="8"/>
        <v>0</v>
      </c>
      <c r="BB50" s="49">
        <f t="shared" si="9"/>
        <v>0</v>
      </c>
      <c r="BC50" s="49">
        <f t="shared" si="10"/>
        <v>0</v>
      </c>
      <c r="BD50" s="49">
        <f t="shared" si="11"/>
        <v>1</v>
      </c>
      <c r="BE50" s="49">
        <f t="shared" si="12"/>
        <v>0</v>
      </c>
      <c r="BF50" s="49">
        <f t="shared" si="13"/>
        <v>0</v>
      </c>
      <c r="BG50" s="49">
        <f t="shared" si="14"/>
        <v>0</v>
      </c>
      <c r="BH50" s="49">
        <f t="shared" si="15"/>
        <v>1</v>
      </c>
      <c r="BI50" s="49">
        <f t="shared" si="16"/>
        <v>0</v>
      </c>
      <c r="BJ50" s="49">
        <f t="shared" si="17"/>
        <v>0</v>
      </c>
      <c r="BK50" s="49">
        <f t="shared" si="18"/>
        <v>0</v>
      </c>
      <c r="BL50" s="49">
        <f t="shared" si="19"/>
        <v>1</v>
      </c>
      <c r="BM50" s="49">
        <f t="shared" si="20"/>
        <v>0</v>
      </c>
      <c r="BN50" s="49">
        <f t="shared" si="21"/>
        <v>0</v>
      </c>
      <c r="BO50" s="49">
        <f t="shared" si="22"/>
        <v>0</v>
      </c>
      <c r="BP50" s="49">
        <f t="shared" si="23"/>
        <v>1</v>
      </c>
      <c r="BQ50" s="49">
        <f t="shared" si="24"/>
        <v>0</v>
      </c>
      <c r="BR50" s="49">
        <f t="shared" si="25"/>
        <v>0</v>
      </c>
      <c r="BS50" s="49">
        <f t="shared" si="26"/>
        <v>0</v>
      </c>
      <c r="BT50" s="49">
        <f t="shared" si="27"/>
        <v>1</v>
      </c>
      <c r="BU50" s="49">
        <f t="shared" si="28"/>
        <v>0</v>
      </c>
      <c r="BV50" s="49">
        <f t="shared" si="29"/>
        <v>0</v>
      </c>
      <c r="BW50" s="49">
        <f t="shared" si="30"/>
        <v>0</v>
      </c>
      <c r="BX50" s="49">
        <f t="shared" si="31"/>
        <v>1</v>
      </c>
      <c r="BY50" s="49">
        <f t="shared" si="32"/>
        <v>0</v>
      </c>
      <c r="BZ50" s="49">
        <f t="shared" si="33"/>
        <v>0</v>
      </c>
      <c r="CA50" s="49">
        <f t="shared" si="34"/>
        <v>0</v>
      </c>
      <c r="CB50" s="49">
        <f t="shared" si="35"/>
        <v>1</v>
      </c>
      <c r="CC50" s="49">
        <f t="shared" si="36"/>
        <v>0</v>
      </c>
      <c r="CD50" s="49">
        <f t="shared" si="37"/>
        <v>0</v>
      </c>
      <c r="CE50" s="49">
        <f t="shared" si="38"/>
        <v>0</v>
      </c>
    </row>
    <row r="51" spans="1:83" ht="35.1" customHeight="1" x14ac:dyDescent="0.3">
      <c r="A51" s="123" t="str">
        <f t="shared" si="0"/>
        <v>1팀</v>
      </c>
      <c r="B51" s="69">
        <f t="shared" si="1"/>
        <v>45</v>
      </c>
      <c r="C51" s="119" t="str">
        <f>IF(VLOOKUP($B51,'1. 현장별 인원현황'!$C:$J,2,0)=0,"",VLOOKUP($B51,'1. 현장별 인원현황'!$C:$J,2,0))</f>
        <v xml:space="preserve"> [1.대우건설] 청주 테크노폴리스 S1-1,2BL 주상복합 신축공사</v>
      </c>
      <c r="D51" s="116" t="str">
        <f>IF(VLOOKUP($B51,'1. 현장별 인원현황'!$C:$J,3,0)=0,"",VLOOKUP($B51,'1. 현장별 인원현황'!$C:$J,3,0))</f>
        <v>이경애</v>
      </c>
      <c r="E51" s="63" t="str">
        <f ca="1">IF(VLOOKUP($B51,'1. 현장별 인원현황'!$C:$J,4,0)=0,"",VLOOKUP($B51,'1. 현장별 인원현황'!$C:$J,4,0))</f>
        <v>51세</v>
      </c>
      <c r="F51" s="63" t="str">
        <f>IF(VLOOKUP($B51,'1. 현장별 인원현황'!$C:$J,7,0)=0,"",VLOOKUP($B51,'1. 현장별 인원현황'!$C:$J,7,0))</f>
        <v>공무</v>
      </c>
      <c r="G51" s="63" t="str">
        <f>IF(VLOOKUP($B51,'1. 현장별 인원현황'!$C:$J,8,0)=0,"",VLOOKUP($B51,'1. 현장별 인원현황'!$C:$J,8,0))</f>
        <v>과장</v>
      </c>
      <c r="H51" s="67"/>
      <c r="I51" s="73" t="s">
        <v>69</v>
      </c>
      <c r="J51" s="73"/>
      <c r="K51" s="68"/>
      <c r="L51" s="67" t="s">
        <v>69</v>
      </c>
      <c r="M51" s="73"/>
      <c r="N51" s="73"/>
      <c r="O51" s="68"/>
      <c r="P51" s="67" t="s">
        <v>69</v>
      </c>
      <c r="Q51" s="73"/>
      <c r="R51" s="73"/>
      <c r="S51" s="68"/>
      <c r="T51" s="67" t="s">
        <v>69</v>
      </c>
      <c r="U51" s="73"/>
      <c r="V51" s="73"/>
      <c r="W51" s="68"/>
      <c r="X51" s="67" t="s">
        <v>69</v>
      </c>
      <c r="Y51" s="73"/>
      <c r="Z51" s="73"/>
      <c r="AA51" s="68"/>
      <c r="AB51" s="67" t="s">
        <v>69</v>
      </c>
      <c r="AC51" s="73"/>
      <c r="AD51" s="73"/>
      <c r="AE51" s="68"/>
      <c r="AF51" s="67" t="s">
        <v>69</v>
      </c>
      <c r="AG51" s="73"/>
      <c r="AH51" s="73"/>
      <c r="AI51" s="68"/>
      <c r="AJ51" s="67" t="s">
        <v>69</v>
      </c>
      <c r="AK51" s="73"/>
      <c r="AL51" s="73"/>
      <c r="AM51" s="68"/>
      <c r="AN51" s="73" t="s">
        <v>69</v>
      </c>
      <c r="AO51" s="73"/>
      <c r="AP51" s="73"/>
      <c r="AQ51" s="68"/>
      <c r="AR51" s="67">
        <f t="shared" si="2"/>
        <v>97</v>
      </c>
      <c r="AS51" s="68" t="str">
        <f t="shared" si="3"/>
        <v>S</v>
      </c>
      <c r="AV51" s="49">
        <f t="shared" si="39"/>
        <v>0</v>
      </c>
      <c r="AW51" s="49">
        <f t="shared" si="4"/>
        <v>1</v>
      </c>
      <c r="AX51" s="49">
        <f t="shared" si="5"/>
        <v>0</v>
      </c>
      <c r="AY51" s="49">
        <f t="shared" si="6"/>
        <v>0</v>
      </c>
      <c r="AZ51" s="49">
        <f t="shared" si="7"/>
        <v>1</v>
      </c>
      <c r="BA51" s="49">
        <f t="shared" si="8"/>
        <v>0</v>
      </c>
      <c r="BB51" s="49">
        <f t="shared" si="9"/>
        <v>0</v>
      </c>
      <c r="BC51" s="49">
        <f t="shared" si="10"/>
        <v>0</v>
      </c>
      <c r="BD51" s="49">
        <f t="shared" si="11"/>
        <v>1</v>
      </c>
      <c r="BE51" s="49">
        <f t="shared" si="12"/>
        <v>0</v>
      </c>
      <c r="BF51" s="49">
        <f t="shared" si="13"/>
        <v>0</v>
      </c>
      <c r="BG51" s="49">
        <f t="shared" si="14"/>
        <v>0</v>
      </c>
      <c r="BH51" s="49">
        <f t="shared" si="15"/>
        <v>1</v>
      </c>
      <c r="BI51" s="49">
        <f t="shared" si="16"/>
        <v>0</v>
      </c>
      <c r="BJ51" s="49">
        <f t="shared" si="17"/>
        <v>0</v>
      </c>
      <c r="BK51" s="49">
        <f t="shared" si="18"/>
        <v>0</v>
      </c>
      <c r="BL51" s="49">
        <f t="shared" si="19"/>
        <v>1</v>
      </c>
      <c r="BM51" s="49">
        <f t="shared" si="20"/>
        <v>0</v>
      </c>
      <c r="BN51" s="49">
        <f t="shared" si="21"/>
        <v>0</v>
      </c>
      <c r="BO51" s="49">
        <f t="shared" si="22"/>
        <v>0</v>
      </c>
      <c r="BP51" s="49">
        <f t="shared" si="23"/>
        <v>1</v>
      </c>
      <c r="BQ51" s="49">
        <f t="shared" si="24"/>
        <v>0</v>
      </c>
      <c r="BR51" s="49">
        <f t="shared" si="25"/>
        <v>0</v>
      </c>
      <c r="BS51" s="49">
        <f t="shared" si="26"/>
        <v>0</v>
      </c>
      <c r="BT51" s="49">
        <f t="shared" si="27"/>
        <v>1</v>
      </c>
      <c r="BU51" s="49">
        <f t="shared" si="28"/>
        <v>0</v>
      </c>
      <c r="BV51" s="49">
        <f t="shared" si="29"/>
        <v>0</v>
      </c>
      <c r="BW51" s="49">
        <f t="shared" si="30"/>
        <v>0</v>
      </c>
      <c r="BX51" s="49">
        <f t="shared" si="31"/>
        <v>1</v>
      </c>
      <c r="BY51" s="49">
        <f t="shared" si="32"/>
        <v>0</v>
      </c>
      <c r="BZ51" s="49">
        <f t="shared" si="33"/>
        <v>0</v>
      </c>
      <c r="CA51" s="49">
        <f t="shared" si="34"/>
        <v>0</v>
      </c>
      <c r="CB51" s="49">
        <f t="shared" si="35"/>
        <v>1</v>
      </c>
      <c r="CC51" s="49">
        <f t="shared" si="36"/>
        <v>0</v>
      </c>
      <c r="CD51" s="49">
        <f t="shared" si="37"/>
        <v>0</v>
      </c>
      <c r="CE51" s="49">
        <f t="shared" si="38"/>
        <v>0</v>
      </c>
    </row>
    <row r="52" spans="1:83" ht="35.1" customHeight="1" x14ac:dyDescent="0.3">
      <c r="A52" s="123" t="str">
        <f t="shared" si="0"/>
        <v>1팀</v>
      </c>
      <c r="B52" s="69">
        <f t="shared" si="1"/>
        <v>46</v>
      </c>
      <c r="C52" s="119" t="str">
        <f>IF(VLOOKUP($B52,'1. 현장별 인원현황'!$C:$J,2,0)=0,"",VLOOKUP($B52,'1. 현장별 인원현황'!$C:$J,2,0))</f>
        <v xml:space="preserve"> [1.대우건설] 청주 테크노폴리스 S1-1,2BL 주상복합 신축공사</v>
      </c>
      <c r="D52" s="116" t="str">
        <f>IF(VLOOKUP($B52,'1. 현장별 인원현황'!$C:$J,3,0)=0,"",VLOOKUP($B52,'1. 현장별 인원현황'!$C:$J,3,0))</f>
        <v>김차영</v>
      </c>
      <c r="E52" s="63" t="str">
        <f ca="1">IF(VLOOKUP($B52,'1. 현장별 인원현황'!$C:$J,4,0)=0,"",VLOOKUP($B52,'1. 현장별 인원현황'!$C:$J,4,0))</f>
        <v>56세</v>
      </c>
      <c r="F52" s="63" t="str">
        <f>IF(VLOOKUP($B52,'1. 현장별 인원현황'!$C:$J,7,0)=0,"",VLOOKUP($B52,'1. 현장별 인원현황'!$C:$J,7,0))</f>
        <v>공사</v>
      </c>
      <c r="G52" s="63" t="str">
        <f>IF(VLOOKUP($B52,'1. 현장별 인원현황'!$C:$J,8,0)=0,"",VLOOKUP($B52,'1. 현장별 인원현황'!$C:$J,8,0))</f>
        <v>차장</v>
      </c>
      <c r="H52" s="67" t="s">
        <v>69</v>
      </c>
      <c r="I52" s="73"/>
      <c r="J52" s="73"/>
      <c r="K52" s="68"/>
      <c r="L52" s="67" t="s">
        <v>69</v>
      </c>
      <c r="M52" s="73"/>
      <c r="N52" s="73"/>
      <c r="O52" s="68"/>
      <c r="P52" s="67" t="s">
        <v>69</v>
      </c>
      <c r="Q52" s="73"/>
      <c r="R52" s="73"/>
      <c r="S52" s="68"/>
      <c r="T52" s="67" t="s">
        <v>69</v>
      </c>
      <c r="U52" s="73"/>
      <c r="V52" s="73"/>
      <c r="W52" s="68"/>
      <c r="X52" s="67" t="s">
        <v>69</v>
      </c>
      <c r="Y52" s="73"/>
      <c r="Z52" s="73"/>
      <c r="AA52" s="68"/>
      <c r="AB52" s="67" t="s">
        <v>69</v>
      </c>
      <c r="AC52" s="73"/>
      <c r="AD52" s="73"/>
      <c r="AE52" s="68"/>
      <c r="AF52" s="67"/>
      <c r="AG52" s="73" t="s">
        <v>69</v>
      </c>
      <c r="AH52" s="73"/>
      <c r="AI52" s="68"/>
      <c r="AJ52" s="67" t="s">
        <v>69</v>
      </c>
      <c r="AK52" s="73"/>
      <c r="AL52" s="73"/>
      <c r="AM52" s="68"/>
      <c r="AN52" s="73" t="s">
        <v>69</v>
      </c>
      <c r="AO52" s="73"/>
      <c r="AP52" s="73"/>
      <c r="AQ52" s="68"/>
      <c r="AR52" s="67">
        <f t="shared" si="2"/>
        <v>98</v>
      </c>
      <c r="AS52" s="68" t="str">
        <f t="shared" si="3"/>
        <v>S</v>
      </c>
      <c r="AV52" s="49">
        <f t="shared" si="39"/>
        <v>1</v>
      </c>
      <c r="AW52" s="49">
        <f t="shared" si="4"/>
        <v>0</v>
      </c>
      <c r="AX52" s="49">
        <f t="shared" si="5"/>
        <v>0</v>
      </c>
      <c r="AY52" s="49">
        <f t="shared" si="6"/>
        <v>0</v>
      </c>
      <c r="AZ52" s="49">
        <f t="shared" si="7"/>
        <v>1</v>
      </c>
      <c r="BA52" s="49">
        <f t="shared" si="8"/>
        <v>0</v>
      </c>
      <c r="BB52" s="49">
        <f t="shared" si="9"/>
        <v>0</v>
      </c>
      <c r="BC52" s="49">
        <f t="shared" si="10"/>
        <v>0</v>
      </c>
      <c r="BD52" s="49">
        <f t="shared" si="11"/>
        <v>1</v>
      </c>
      <c r="BE52" s="49">
        <f t="shared" si="12"/>
        <v>0</v>
      </c>
      <c r="BF52" s="49">
        <f t="shared" si="13"/>
        <v>0</v>
      </c>
      <c r="BG52" s="49">
        <f t="shared" si="14"/>
        <v>0</v>
      </c>
      <c r="BH52" s="49">
        <f t="shared" si="15"/>
        <v>1</v>
      </c>
      <c r="BI52" s="49">
        <f t="shared" si="16"/>
        <v>0</v>
      </c>
      <c r="BJ52" s="49">
        <f t="shared" si="17"/>
        <v>0</v>
      </c>
      <c r="BK52" s="49">
        <f t="shared" si="18"/>
        <v>0</v>
      </c>
      <c r="BL52" s="49">
        <f t="shared" si="19"/>
        <v>1</v>
      </c>
      <c r="BM52" s="49">
        <f t="shared" si="20"/>
        <v>0</v>
      </c>
      <c r="BN52" s="49">
        <f t="shared" si="21"/>
        <v>0</v>
      </c>
      <c r="BO52" s="49">
        <f t="shared" si="22"/>
        <v>0</v>
      </c>
      <c r="BP52" s="49">
        <f t="shared" si="23"/>
        <v>1</v>
      </c>
      <c r="BQ52" s="49">
        <f t="shared" si="24"/>
        <v>0</v>
      </c>
      <c r="BR52" s="49">
        <f t="shared" si="25"/>
        <v>0</v>
      </c>
      <c r="BS52" s="49">
        <f t="shared" si="26"/>
        <v>0</v>
      </c>
      <c r="BT52" s="49">
        <f t="shared" si="27"/>
        <v>0</v>
      </c>
      <c r="BU52" s="49">
        <f t="shared" si="28"/>
        <v>1</v>
      </c>
      <c r="BV52" s="49">
        <f t="shared" si="29"/>
        <v>0</v>
      </c>
      <c r="BW52" s="49">
        <f t="shared" si="30"/>
        <v>0</v>
      </c>
      <c r="BX52" s="49">
        <f t="shared" si="31"/>
        <v>1</v>
      </c>
      <c r="BY52" s="49">
        <f t="shared" si="32"/>
        <v>0</v>
      </c>
      <c r="BZ52" s="49">
        <f t="shared" si="33"/>
        <v>0</v>
      </c>
      <c r="CA52" s="49">
        <f t="shared" si="34"/>
        <v>0</v>
      </c>
      <c r="CB52" s="49">
        <f t="shared" si="35"/>
        <v>1</v>
      </c>
      <c r="CC52" s="49">
        <f t="shared" si="36"/>
        <v>0</v>
      </c>
      <c r="CD52" s="49">
        <f t="shared" si="37"/>
        <v>0</v>
      </c>
      <c r="CE52" s="49">
        <f t="shared" si="38"/>
        <v>0</v>
      </c>
    </row>
    <row r="53" spans="1:83" ht="35.1" customHeight="1" x14ac:dyDescent="0.3">
      <c r="A53" s="123" t="str">
        <f t="shared" si="0"/>
        <v>1팀</v>
      </c>
      <c r="B53" s="69">
        <f t="shared" si="1"/>
        <v>47</v>
      </c>
      <c r="C53" s="119" t="str">
        <f>IF(VLOOKUP($B53,'1. 현장별 인원현황'!$C:$J,2,0)=0,"",VLOOKUP($B53,'1. 현장별 인원현황'!$C:$J,2,0))</f>
        <v xml:space="preserve"> [1.대우건설] 청주 테크노폴리스 S1-1,2BL 주상복합 신축공사</v>
      </c>
      <c r="D53" s="116" t="str">
        <f>IF(VLOOKUP($B53,'1. 현장별 인원현황'!$C:$J,3,0)=0,"",VLOOKUP($B53,'1. 현장별 인원현황'!$C:$J,3,0))</f>
        <v>이정국</v>
      </c>
      <c r="E53" s="63" t="str">
        <f ca="1">IF(VLOOKUP($B53,'1. 현장별 인원현황'!$C:$J,4,0)=0,"",VLOOKUP($B53,'1. 현장별 인원현황'!$C:$J,4,0))</f>
        <v>51세</v>
      </c>
      <c r="F53" s="63" t="str">
        <f>IF(VLOOKUP($B53,'1. 현장별 인원현황'!$C:$J,7,0)=0,"",VLOOKUP($B53,'1. 현장별 인원현황'!$C:$J,7,0))</f>
        <v>기능공</v>
      </c>
      <c r="G53" s="63" t="str">
        <f>IF(VLOOKUP($B53,'1. 현장별 인원현황'!$C:$J,8,0)=0,"",VLOOKUP($B53,'1. 현장별 인원현황'!$C:$J,8,0))</f>
        <v>전공</v>
      </c>
      <c r="H53" s="67" t="s">
        <v>69</v>
      </c>
      <c r="I53" s="73"/>
      <c r="J53" s="73"/>
      <c r="K53" s="68"/>
      <c r="L53" s="67"/>
      <c r="M53" s="73" t="s">
        <v>69</v>
      </c>
      <c r="N53" s="73"/>
      <c r="O53" s="68"/>
      <c r="P53" s="67" t="s">
        <v>69</v>
      </c>
      <c r="Q53" s="73"/>
      <c r="R53" s="73"/>
      <c r="S53" s="68"/>
      <c r="T53" s="67"/>
      <c r="U53" s="73" t="s">
        <v>69</v>
      </c>
      <c r="V53" s="73"/>
      <c r="W53" s="68"/>
      <c r="X53" s="67" t="s">
        <v>69</v>
      </c>
      <c r="Y53" s="73"/>
      <c r="Z53" s="73"/>
      <c r="AA53" s="68"/>
      <c r="AB53" s="67"/>
      <c r="AC53" s="73" t="s">
        <v>69</v>
      </c>
      <c r="AD53" s="73"/>
      <c r="AE53" s="68"/>
      <c r="AF53" s="67"/>
      <c r="AG53" s="73" t="s">
        <v>69</v>
      </c>
      <c r="AH53" s="73"/>
      <c r="AI53" s="68"/>
      <c r="AJ53" s="67"/>
      <c r="AK53" s="73" t="s">
        <v>69</v>
      </c>
      <c r="AL53" s="73"/>
      <c r="AM53" s="68"/>
      <c r="AN53" s="73"/>
      <c r="AO53" s="73"/>
      <c r="AP53" s="73"/>
      <c r="AQ53" s="68" t="s">
        <v>69</v>
      </c>
      <c r="AR53" s="67">
        <f t="shared" si="2"/>
        <v>79</v>
      </c>
      <c r="AS53" s="68" t="str">
        <f t="shared" si="3"/>
        <v>A</v>
      </c>
      <c r="AV53" s="49">
        <f t="shared" si="39"/>
        <v>1</v>
      </c>
      <c r="AW53" s="49">
        <f t="shared" si="4"/>
        <v>0</v>
      </c>
      <c r="AX53" s="49">
        <f t="shared" si="5"/>
        <v>0</v>
      </c>
      <c r="AY53" s="49">
        <f t="shared" si="6"/>
        <v>0</v>
      </c>
      <c r="AZ53" s="49">
        <f t="shared" si="7"/>
        <v>0</v>
      </c>
      <c r="BA53" s="49">
        <f t="shared" si="8"/>
        <v>1</v>
      </c>
      <c r="BB53" s="49">
        <f t="shared" si="9"/>
        <v>0</v>
      </c>
      <c r="BC53" s="49">
        <f t="shared" si="10"/>
        <v>0</v>
      </c>
      <c r="BD53" s="49">
        <f t="shared" si="11"/>
        <v>1</v>
      </c>
      <c r="BE53" s="49">
        <f t="shared" si="12"/>
        <v>0</v>
      </c>
      <c r="BF53" s="49">
        <f t="shared" si="13"/>
        <v>0</v>
      </c>
      <c r="BG53" s="49">
        <f t="shared" si="14"/>
        <v>0</v>
      </c>
      <c r="BH53" s="49">
        <f t="shared" si="15"/>
        <v>0</v>
      </c>
      <c r="BI53" s="49">
        <f t="shared" si="16"/>
        <v>1</v>
      </c>
      <c r="BJ53" s="49">
        <f t="shared" si="17"/>
        <v>0</v>
      </c>
      <c r="BK53" s="49">
        <f t="shared" si="18"/>
        <v>0</v>
      </c>
      <c r="BL53" s="49">
        <f t="shared" si="19"/>
        <v>1</v>
      </c>
      <c r="BM53" s="49">
        <f t="shared" si="20"/>
        <v>0</v>
      </c>
      <c r="BN53" s="49">
        <f t="shared" si="21"/>
        <v>0</v>
      </c>
      <c r="BO53" s="49">
        <f t="shared" si="22"/>
        <v>0</v>
      </c>
      <c r="BP53" s="49">
        <f t="shared" si="23"/>
        <v>0</v>
      </c>
      <c r="BQ53" s="49">
        <f t="shared" si="24"/>
        <v>1</v>
      </c>
      <c r="BR53" s="49">
        <f t="shared" si="25"/>
        <v>0</v>
      </c>
      <c r="BS53" s="49">
        <f t="shared" si="26"/>
        <v>0</v>
      </c>
      <c r="BT53" s="49">
        <f t="shared" si="27"/>
        <v>0</v>
      </c>
      <c r="BU53" s="49">
        <f t="shared" si="28"/>
        <v>1</v>
      </c>
      <c r="BV53" s="49">
        <f t="shared" si="29"/>
        <v>0</v>
      </c>
      <c r="BW53" s="49">
        <f t="shared" si="30"/>
        <v>0</v>
      </c>
      <c r="BX53" s="49">
        <f t="shared" si="31"/>
        <v>0</v>
      </c>
      <c r="BY53" s="49">
        <f t="shared" si="32"/>
        <v>1</v>
      </c>
      <c r="BZ53" s="49">
        <f t="shared" si="33"/>
        <v>0</v>
      </c>
      <c r="CA53" s="49">
        <f t="shared" si="34"/>
        <v>0</v>
      </c>
      <c r="CB53" s="49">
        <f t="shared" si="35"/>
        <v>0</v>
      </c>
      <c r="CC53" s="49">
        <f t="shared" si="36"/>
        <v>0</v>
      </c>
      <c r="CD53" s="49">
        <f t="shared" si="37"/>
        <v>0</v>
      </c>
      <c r="CE53" s="49">
        <f t="shared" si="38"/>
        <v>1</v>
      </c>
    </row>
    <row r="54" spans="1:83" ht="35.1" customHeight="1" x14ac:dyDescent="0.3">
      <c r="A54" s="123" t="str">
        <f t="shared" si="0"/>
        <v>1팀</v>
      </c>
      <c r="B54" s="69">
        <f t="shared" si="1"/>
        <v>48</v>
      </c>
      <c r="C54" s="119" t="str">
        <f>IF(VLOOKUP($B54,'1. 현장별 인원현황'!$C:$J,2,0)=0,"",VLOOKUP($B54,'1. 현장별 인원현황'!$C:$J,2,0))</f>
        <v xml:space="preserve"> [1.대우건설] 청주 테크노폴리스 S1-1,2BL 주상복합 신축공사</v>
      </c>
      <c r="D54" s="116" t="str">
        <f>IF(VLOOKUP($B54,'1. 현장별 인원현황'!$C:$J,3,0)=0,"",VLOOKUP($B54,'1. 현장별 인원현황'!$C:$J,3,0))</f>
        <v>김태훈</v>
      </c>
      <c r="E54" s="63" t="str">
        <f ca="1">IF(VLOOKUP($B54,'1. 현장별 인원현황'!$C:$J,4,0)=0,"",VLOOKUP($B54,'1. 현장별 인원현황'!$C:$J,4,0))</f>
        <v>38세</v>
      </c>
      <c r="F54" s="63" t="str">
        <f>IF(VLOOKUP($B54,'1. 현장별 인원현황'!$C:$J,7,0)=0,"",VLOOKUP($B54,'1. 현장별 인원현황'!$C:$J,7,0))</f>
        <v>기능공</v>
      </c>
      <c r="G54" s="63" t="str">
        <f>IF(VLOOKUP($B54,'1. 현장별 인원현황'!$C:$J,8,0)=0,"",VLOOKUP($B54,'1. 현장별 인원현황'!$C:$J,8,0))</f>
        <v>조공</v>
      </c>
      <c r="H54" s="67"/>
      <c r="I54" s="73"/>
      <c r="J54" s="73" t="s">
        <v>69</v>
      </c>
      <c r="K54" s="68"/>
      <c r="L54" s="67"/>
      <c r="M54" s="73"/>
      <c r="N54" s="73" t="s">
        <v>69</v>
      </c>
      <c r="O54" s="68"/>
      <c r="P54" s="67"/>
      <c r="Q54" s="73"/>
      <c r="R54" s="73" t="s">
        <v>69</v>
      </c>
      <c r="S54" s="68"/>
      <c r="T54" s="67"/>
      <c r="U54" s="73"/>
      <c r="V54" s="73" t="s">
        <v>69</v>
      </c>
      <c r="W54" s="68"/>
      <c r="X54" s="67"/>
      <c r="Y54" s="73" t="s">
        <v>69</v>
      </c>
      <c r="Z54" s="73"/>
      <c r="AA54" s="68"/>
      <c r="AB54" s="67"/>
      <c r="AC54" s="73" t="s">
        <v>69</v>
      </c>
      <c r="AD54" s="73"/>
      <c r="AE54" s="68"/>
      <c r="AF54" s="67"/>
      <c r="AG54" s="73"/>
      <c r="AH54" s="73" t="s">
        <v>69</v>
      </c>
      <c r="AI54" s="68"/>
      <c r="AJ54" s="67" t="s">
        <v>69</v>
      </c>
      <c r="AK54" s="73"/>
      <c r="AL54" s="73"/>
      <c r="AM54" s="68"/>
      <c r="AN54" s="73" t="s">
        <v>69</v>
      </c>
      <c r="AO54" s="73"/>
      <c r="AP54" s="73"/>
      <c r="AQ54" s="68"/>
      <c r="AR54" s="67">
        <f t="shared" si="2"/>
        <v>70</v>
      </c>
      <c r="AS54" s="68" t="str">
        <f t="shared" si="3"/>
        <v>B</v>
      </c>
      <c r="AV54" s="49">
        <f t="shared" si="39"/>
        <v>0</v>
      </c>
      <c r="AW54" s="49">
        <f t="shared" si="4"/>
        <v>0</v>
      </c>
      <c r="AX54" s="49">
        <f t="shared" si="5"/>
        <v>1</v>
      </c>
      <c r="AY54" s="49">
        <f t="shared" si="6"/>
        <v>0</v>
      </c>
      <c r="AZ54" s="49">
        <f t="shared" si="7"/>
        <v>0</v>
      </c>
      <c r="BA54" s="49">
        <f t="shared" si="8"/>
        <v>0</v>
      </c>
      <c r="BB54" s="49">
        <f t="shared" si="9"/>
        <v>1</v>
      </c>
      <c r="BC54" s="49">
        <f t="shared" si="10"/>
        <v>0</v>
      </c>
      <c r="BD54" s="49">
        <f t="shared" si="11"/>
        <v>0</v>
      </c>
      <c r="BE54" s="49">
        <f t="shared" si="12"/>
        <v>0</v>
      </c>
      <c r="BF54" s="49">
        <f t="shared" si="13"/>
        <v>1</v>
      </c>
      <c r="BG54" s="49">
        <f t="shared" si="14"/>
        <v>0</v>
      </c>
      <c r="BH54" s="49">
        <f t="shared" si="15"/>
        <v>0</v>
      </c>
      <c r="BI54" s="49">
        <f t="shared" si="16"/>
        <v>0</v>
      </c>
      <c r="BJ54" s="49">
        <f t="shared" si="17"/>
        <v>1</v>
      </c>
      <c r="BK54" s="49">
        <f t="shared" si="18"/>
        <v>0</v>
      </c>
      <c r="BL54" s="49">
        <f t="shared" si="19"/>
        <v>0</v>
      </c>
      <c r="BM54" s="49">
        <f t="shared" si="20"/>
        <v>1</v>
      </c>
      <c r="BN54" s="49">
        <f t="shared" si="21"/>
        <v>0</v>
      </c>
      <c r="BO54" s="49">
        <f t="shared" si="22"/>
        <v>0</v>
      </c>
      <c r="BP54" s="49">
        <f t="shared" si="23"/>
        <v>0</v>
      </c>
      <c r="BQ54" s="49">
        <f t="shared" si="24"/>
        <v>1</v>
      </c>
      <c r="BR54" s="49">
        <f t="shared" si="25"/>
        <v>0</v>
      </c>
      <c r="BS54" s="49">
        <f t="shared" si="26"/>
        <v>0</v>
      </c>
      <c r="BT54" s="49">
        <f t="shared" si="27"/>
        <v>0</v>
      </c>
      <c r="BU54" s="49">
        <f t="shared" si="28"/>
        <v>0</v>
      </c>
      <c r="BV54" s="49">
        <f t="shared" si="29"/>
        <v>1</v>
      </c>
      <c r="BW54" s="49">
        <f t="shared" si="30"/>
        <v>0</v>
      </c>
      <c r="BX54" s="49">
        <f t="shared" si="31"/>
        <v>1</v>
      </c>
      <c r="BY54" s="49">
        <f t="shared" si="32"/>
        <v>0</v>
      </c>
      <c r="BZ54" s="49">
        <f t="shared" si="33"/>
        <v>0</v>
      </c>
      <c r="CA54" s="49">
        <f t="shared" si="34"/>
        <v>0</v>
      </c>
      <c r="CB54" s="49">
        <f t="shared" si="35"/>
        <v>1</v>
      </c>
      <c r="CC54" s="49">
        <f t="shared" si="36"/>
        <v>0</v>
      </c>
      <c r="CD54" s="49">
        <f t="shared" si="37"/>
        <v>0</v>
      </c>
      <c r="CE54" s="49">
        <f t="shared" si="38"/>
        <v>0</v>
      </c>
    </row>
    <row r="55" spans="1:83" ht="35.1" customHeight="1" x14ac:dyDescent="0.3">
      <c r="A55" s="123" t="str">
        <f t="shared" si="0"/>
        <v>1팀</v>
      </c>
      <c r="B55" s="69">
        <f t="shared" si="1"/>
        <v>49</v>
      </c>
      <c r="C55" s="119" t="str">
        <f>IF(VLOOKUP($B55,'1. 현장별 인원현황'!$C:$J,2,0)=0,"",VLOOKUP($B55,'1. 현장별 인원현황'!$C:$J,2,0))</f>
        <v xml:space="preserve"> [1.대우건설] 청주 테크노폴리스 S1-1,2BL 주상복합 신축공사</v>
      </c>
      <c r="D55" s="116" t="str">
        <f>IF(VLOOKUP($B55,'1. 현장별 인원현황'!$C:$J,3,0)=0,"",VLOOKUP($B55,'1. 현장별 인원현황'!$C:$J,3,0))</f>
        <v>김용세</v>
      </c>
      <c r="E55" s="63" t="str">
        <f ca="1">IF(VLOOKUP($B55,'1. 현장별 인원현황'!$C:$J,4,0)=0,"",VLOOKUP($B55,'1. 현장별 인원현황'!$C:$J,4,0))</f>
        <v>50세</v>
      </c>
      <c r="F55" s="63" t="str">
        <f>IF(VLOOKUP($B55,'1. 현장별 인원현황'!$C:$J,7,0)=0,"",VLOOKUP($B55,'1. 현장별 인원현황'!$C:$J,7,0))</f>
        <v>기능공</v>
      </c>
      <c r="G55" s="63" t="str">
        <f>IF(VLOOKUP($B55,'1. 현장별 인원현황'!$C:$J,8,0)=0,"",VLOOKUP($B55,'1. 현장별 인원현황'!$C:$J,8,0))</f>
        <v>전공</v>
      </c>
      <c r="H55" s="67" t="s">
        <v>69</v>
      </c>
      <c r="I55" s="73"/>
      <c r="J55" s="73"/>
      <c r="K55" s="68"/>
      <c r="L55" s="67" t="s">
        <v>69</v>
      </c>
      <c r="M55" s="73"/>
      <c r="N55" s="73"/>
      <c r="O55" s="68"/>
      <c r="P55" s="67" t="s">
        <v>69</v>
      </c>
      <c r="Q55" s="73"/>
      <c r="R55" s="73"/>
      <c r="S55" s="68"/>
      <c r="T55" s="67"/>
      <c r="U55" s="73" t="s">
        <v>69</v>
      </c>
      <c r="V55" s="73"/>
      <c r="W55" s="68"/>
      <c r="X55" s="67" t="s">
        <v>69</v>
      </c>
      <c r="Y55" s="73"/>
      <c r="Z55" s="73"/>
      <c r="AA55" s="68"/>
      <c r="AB55" s="67" t="s">
        <v>69</v>
      </c>
      <c r="AC55" s="73"/>
      <c r="AD55" s="73"/>
      <c r="AE55" s="68"/>
      <c r="AF55" s="67"/>
      <c r="AG55" s="73" t="s">
        <v>69</v>
      </c>
      <c r="AH55" s="73"/>
      <c r="AI55" s="68"/>
      <c r="AJ55" s="67" t="s">
        <v>69</v>
      </c>
      <c r="AK55" s="73"/>
      <c r="AL55" s="73"/>
      <c r="AM55" s="68"/>
      <c r="AN55" s="73" t="s">
        <v>69</v>
      </c>
      <c r="AO55" s="73"/>
      <c r="AP55" s="73"/>
      <c r="AQ55" s="68"/>
      <c r="AR55" s="67">
        <f t="shared" si="2"/>
        <v>96</v>
      </c>
      <c r="AS55" s="68" t="str">
        <f t="shared" si="3"/>
        <v>S</v>
      </c>
      <c r="AV55" s="49">
        <f t="shared" si="39"/>
        <v>1</v>
      </c>
      <c r="AW55" s="49">
        <f t="shared" si="4"/>
        <v>0</v>
      </c>
      <c r="AX55" s="49">
        <f t="shared" si="5"/>
        <v>0</v>
      </c>
      <c r="AY55" s="49">
        <f t="shared" si="6"/>
        <v>0</v>
      </c>
      <c r="AZ55" s="49">
        <f t="shared" si="7"/>
        <v>1</v>
      </c>
      <c r="BA55" s="49">
        <f t="shared" si="8"/>
        <v>0</v>
      </c>
      <c r="BB55" s="49">
        <f t="shared" si="9"/>
        <v>0</v>
      </c>
      <c r="BC55" s="49">
        <f t="shared" si="10"/>
        <v>0</v>
      </c>
      <c r="BD55" s="49">
        <f t="shared" si="11"/>
        <v>1</v>
      </c>
      <c r="BE55" s="49">
        <f t="shared" si="12"/>
        <v>0</v>
      </c>
      <c r="BF55" s="49">
        <f t="shared" si="13"/>
        <v>0</v>
      </c>
      <c r="BG55" s="49">
        <f t="shared" si="14"/>
        <v>0</v>
      </c>
      <c r="BH55" s="49">
        <f t="shared" si="15"/>
        <v>0</v>
      </c>
      <c r="BI55" s="49">
        <f t="shared" si="16"/>
        <v>1</v>
      </c>
      <c r="BJ55" s="49">
        <f t="shared" si="17"/>
        <v>0</v>
      </c>
      <c r="BK55" s="49">
        <f t="shared" si="18"/>
        <v>0</v>
      </c>
      <c r="BL55" s="49">
        <f t="shared" si="19"/>
        <v>1</v>
      </c>
      <c r="BM55" s="49">
        <f t="shared" si="20"/>
        <v>0</v>
      </c>
      <c r="BN55" s="49">
        <f t="shared" si="21"/>
        <v>0</v>
      </c>
      <c r="BO55" s="49">
        <f t="shared" si="22"/>
        <v>0</v>
      </c>
      <c r="BP55" s="49">
        <f t="shared" si="23"/>
        <v>1</v>
      </c>
      <c r="BQ55" s="49">
        <f t="shared" si="24"/>
        <v>0</v>
      </c>
      <c r="BR55" s="49">
        <f t="shared" si="25"/>
        <v>0</v>
      </c>
      <c r="BS55" s="49">
        <f t="shared" si="26"/>
        <v>0</v>
      </c>
      <c r="BT55" s="49">
        <f t="shared" si="27"/>
        <v>0</v>
      </c>
      <c r="BU55" s="49">
        <f t="shared" si="28"/>
        <v>1</v>
      </c>
      <c r="BV55" s="49">
        <f t="shared" si="29"/>
        <v>0</v>
      </c>
      <c r="BW55" s="49">
        <f t="shared" si="30"/>
        <v>0</v>
      </c>
      <c r="BX55" s="49">
        <f t="shared" si="31"/>
        <v>1</v>
      </c>
      <c r="BY55" s="49">
        <f t="shared" si="32"/>
        <v>0</v>
      </c>
      <c r="BZ55" s="49">
        <f t="shared" si="33"/>
        <v>0</v>
      </c>
      <c r="CA55" s="49">
        <f t="shared" si="34"/>
        <v>0</v>
      </c>
      <c r="CB55" s="49">
        <f t="shared" si="35"/>
        <v>1</v>
      </c>
      <c r="CC55" s="49">
        <f t="shared" si="36"/>
        <v>0</v>
      </c>
      <c r="CD55" s="49">
        <f t="shared" si="37"/>
        <v>0</v>
      </c>
      <c r="CE55" s="49">
        <f t="shared" si="38"/>
        <v>0</v>
      </c>
    </row>
    <row r="56" spans="1:83" ht="35.1" customHeight="1" x14ac:dyDescent="0.3">
      <c r="A56" s="123" t="str">
        <f t="shared" si="0"/>
        <v>1팀</v>
      </c>
      <c r="B56" s="69">
        <f t="shared" si="1"/>
        <v>50</v>
      </c>
      <c r="C56" s="119" t="str">
        <f>IF(VLOOKUP($B56,'1. 현장별 인원현황'!$C:$J,2,0)=0,"",VLOOKUP($B56,'1. 현장별 인원현황'!$C:$J,2,0))</f>
        <v xml:space="preserve"> [1.대우건설] 청주 테크노폴리스 S1-1,2BL 주상복합 신축공사</v>
      </c>
      <c r="D56" s="116" t="str">
        <f>IF(VLOOKUP($B56,'1. 현장별 인원현황'!$C:$J,3,0)=0,"",VLOOKUP($B56,'1. 현장별 인원현황'!$C:$J,3,0))</f>
        <v>이상범</v>
      </c>
      <c r="E56" s="63" t="str">
        <f ca="1">IF(VLOOKUP($B56,'1. 현장별 인원현황'!$C:$J,4,0)=0,"",VLOOKUP($B56,'1. 현장별 인원현황'!$C:$J,4,0))</f>
        <v>51세</v>
      </c>
      <c r="F56" s="63" t="str">
        <f>IF(VLOOKUP($B56,'1. 현장별 인원현황'!$C:$J,7,0)=0,"",VLOOKUP($B56,'1. 현장별 인원현황'!$C:$J,7,0))</f>
        <v>기능공</v>
      </c>
      <c r="G56" s="63" t="str">
        <f>IF(VLOOKUP($B56,'1. 현장별 인원현황'!$C:$J,8,0)=0,"",VLOOKUP($B56,'1. 현장별 인원현황'!$C:$J,8,0))</f>
        <v>전공</v>
      </c>
      <c r="H56" s="67"/>
      <c r="I56" s="73" t="s">
        <v>69</v>
      </c>
      <c r="J56" s="73"/>
      <c r="K56" s="68"/>
      <c r="L56" s="67"/>
      <c r="M56" s="73" t="s">
        <v>69</v>
      </c>
      <c r="N56" s="73"/>
      <c r="O56" s="68"/>
      <c r="P56" s="67"/>
      <c r="Q56" s="73" t="s">
        <v>69</v>
      </c>
      <c r="R56" s="73"/>
      <c r="S56" s="68"/>
      <c r="T56" s="67"/>
      <c r="U56" s="73" t="s">
        <v>69</v>
      </c>
      <c r="V56" s="73"/>
      <c r="W56" s="68"/>
      <c r="X56" s="67" t="s">
        <v>69</v>
      </c>
      <c r="Y56" s="73"/>
      <c r="Z56" s="73"/>
      <c r="AA56" s="68"/>
      <c r="AB56" s="67" t="s">
        <v>69</v>
      </c>
      <c r="AC56" s="73"/>
      <c r="AD56" s="73"/>
      <c r="AE56" s="68"/>
      <c r="AF56" s="67" t="s">
        <v>69</v>
      </c>
      <c r="AG56" s="73"/>
      <c r="AH56" s="73"/>
      <c r="AI56" s="68"/>
      <c r="AJ56" s="67" t="s">
        <v>69</v>
      </c>
      <c r="AK56" s="73"/>
      <c r="AL56" s="73"/>
      <c r="AM56" s="68"/>
      <c r="AN56" s="73"/>
      <c r="AO56" s="73"/>
      <c r="AP56" s="73" t="s">
        <v>69</v>
      </c>
      <c r="AQ56" s="68"/>
      <c r="AR56" s="67">
        <f t="shared" si="2"/>
        <v>83</v>
      </c>
      <c r="AS56" s="68" t="str">
        <f t="shared" si="3"/>
        <v>A</v>
      </c>
      <c r="AV56" s="49">
        <f t="shared" si="39"/>
        <v>0</v>
      </c>
      <c r="AW56" s="49">
        <f t="shared" si="4"/>
        <v>1</v>
      </c>
      <c r="AX56" s="49">
        <f t="shared" si="5"/>
        <v>0</v>
      </c>
      <c r="AY56" s="49">
        <f t="shared" si="6"/>
        <v>0</v>
      </c>
      <c r="AZ56" s="49">
        <f t="shared" si="7"/>
        <v>0</v>
      </c>
      <c r="BA56" s="49">
        <f t="shared" si="8"/>
        <v>1</v>
      </c>
      <c r="BB56" s="49">
        <f t="shared" si="9"/>
        <v>0</v>
      </c>
      <c r="BC56" s="49">
        <f t="shared" si="10"/>
        <v>0</v>
      </c>
      <c r="BD56" s="49">
        <f t="shared" si="11"/>
        <v>0</v>
      </c>
      <c r="BE56" s="49">
        <f t="shared" si="12"/>
        <v>1</v>
      </c>
      <c r="BF56" s="49">
        <f t="shared" si="13"/>
        <v>0</v>
      </c>
      <c r="BG56" s="49">
        <f t="shared" si="14"/>
        <v>0</v>
      </c>
      <c r="BH56" s="49">
        <f t="shared" si="15"/>
        <v>0</v>
      </c>
      <c r="BI56" s="49">
        <f t="shared" si="16"/>
        <v>1</v>
      </c>
      <c r="BJ56" s="49">
        <f t="shared" si="17"/>
        <v>0</v>
      </c>
      <c r="BK56" s="49">
        <f t="shared" si="18"/>
        <v>0</v>
      </c>
      <c r="BL56" s="49">
        <f t="shared" si="19"/>
        <v>1</v>
      </c>
      <c r="BM56" s="49">
        <f t="shared" si="20"/>
        <v>0</v>
      </c>
      <c r="BN56" s="49">
        <f t="shared" si="21"/>
        <v>0</v>
      </c>
      <c r="BO56" s="49">
        <f t="shared" si="22"/>
        <v>0</v>
      </c>
      <c r="BP56" s="49">
        <f t="shared" si="23"/>
        <v>1</v>
      </c>
      <c r="BQ56" s="49">
        <f t="shared" si="24"/>
        <v>0</v>
      </c>
      <c r="BR56" s="49">
        <f t="shared" si="25"/>
        <v>0</v>
      </c>
      <c r="BS56" s="49">
        <f t="shared" si="26"/>
        <v>0</v>
      </c>
      <c r="BT56" s="49">
        <f t="shared" si="27"/>
        <v>1</v>
      </c>
      <c r="BU56" s="49">
        <f t="shared" si="28"/>
        <v>0</v>
      </c>
      <c r="BV56" s="49">
        <f t="shared" si="29"/>
        <v>0</v>
      </c>
      <c r="BW56" s="49">
        <f t="shared" si="30"/>
        <v>0</v>
      </c>
      <c r="BX56" s="49">
        <f t="shared" si="31"/>
        <v>1</v>
      </c>
      <c r="BY56" s="49">
        <f t="shared" si="32"/>
        <v>0</v>
      </c>
      <c r="BZ56" s="49">
        <f t="shared" si="33"/>
        <v>0</v>
      </c>
      <c r="CA56" s="49">
        <f t="shared" si="34"/>
        <v>0</v>
      </c>
      <c r="CB56" s="49">
        <f t="shared" si="35"/>
        <v>0</v>
      </c>
      <c r="CC56" s="49">
        <f t="shared" si="36"/>
        <v>0</v>
      </c>
      <c r="CD56" s="49">
        <f t="shared" si="37"/>
        <v>1</v>
      </c>
      <c r="CE56" s="49">
        <f t="shared" si="38"/>
        <v>0</v>
      </c>
    </row>
    <row r="57" spans="1:83" ht="35.1" customHeight="1" x14ac:dyDescent="0.3">
      <c r="A57" s="123" t="str">
        <f t="shared" si="0"/>
        <v>1팀</v>
      </c>
      <c r="B57" s="69">
        <f t="shared" si="1"/>
        <v>51</v>
      </c>
      <c r="C57" s="119" t="str">
        <f>IF(VLOOKUP($B57,'1. 현장별 인원현황'!$C:$J,2,0)=0,"",VLOOKUP($B57,'1. 현장별 인원현황'!$C:$J,2,0))</f>
        <v xml:space="preserve"> [1.대우건설] 청주 테크노폴리스 S1-1,2BL 주상복합 신축공사</v>
      </c>
      <c r="D57" s="116" t="str">
        <f>IF(VLOOKUP($B57,'1. 현장별 인원현황'!$C:$J,3,0)=0,"",VLOOKUP($B57,'1. 현장별 인원현황'!$C:$J,3,0))</f>
        <v>이용호</v>
      </c>
      <c r="E57" s="63" t="str">
        <f ca="1">IF(VLOOKUP($B57,'1. 현장별 인원현황'!$C:$J,4,0)=0,"",VLOOKUP($B57,'1. 현장별 인원현황'!$C:$J,4,0))</f>
        <v>61세</v>
      </c>
      <c r="F57" s="63" t="str">
        <f>IF(VLOOKUP($B57,'1. 현장별 인원현황'!$C:$J,7,0)=0,"",VLOOKUP($B57,'1. 현장별 인원현황'!$C:$J,7,0))</f>
        <v>기능공</v>
      </c>
      <c r="G57" s="63" t="str">
        <f>IF(VLOOKUP($B57,'1. 현장별 인원현황'!$C:$J,8,0)=0,"",VLOOKUP($B57,'1. 현장별 인원현황'!$C:$J,8,0))</f>
        <v>전공</v>
      </c>
      <c r="H57" s="67" t="s">
        <v>69</v>
      </c>
      <c r="I57" s="73"/>
      <c r="J57" s="73"/>
      <c r="K57" s="68"/>
      <c r="L57" s="67" t="s">
        <v>69</v>
      </c>
      <c r="M57" s="73"/>
      <c r="N57" s="73"/>
      <c r="O57" s="68"/>
      <c r="P57" s="67" t="s">
        <v>69</v>
      </c>
      <c r="Q57" s="73"/>
      <c r="R57" s="73"/>
      <c r="S57" s="68"/>
      <c r="T57" s="67"/>
      <c r="U57" s="73" t="s">
        <v>69</v>
      </c>
      <c r="V57" s="73"/>
      <c r="W57" s="68"/>
      <c r="X57" s="67"/>
      <c r="Y57" s="73" t="s">
        <v>69</v>
      </c>
      <c r="Z57" s="73"/>
      <c r="AA57" s="68"/>
      <c r="AB57" s="67" t="s">
        <v>69</v>
      </c>
      <c r="AC57" s="73"/>
      <c r="AD57" s="73"/>
      <c r="AE57" s="68"/>
      <c r="AF57" s="67" t="s">
        <v>69</v>
      </c>
      <c r="AG57" s="73"/>
      <c r="AH57" s="73"/>
      <c r="AI57" s="68"/>
      <c r="AJ57" s="67" t="s">
        <v>69</v>
      </c>
      <c r="AK57" s="73"/>
      <c r="AL57" s="73"/>
      <c r="AM57" s="68"/>
      <c r="AN57" s="73" t="s">
        <v>69</v>
      </c>
      <c r="AO57" s="73"/>
      <c r="AP57" s="73"/>
      <c r="AQ57" s="68"/>
      <c r="AR57" s="67">
        <f t="shared" si="2"/>
        <v>96</v>
      </c>
      <c r="AS57" s="68" t="str">
        <f t="shared" si="3"/>
        <v>S</v>
      </c>
      <c r="AV57" s="49">
        <f t="shared" si="39"/>
        <v>1</v>
      </c>
      <c r="AW57" s="49">
        <f t="shared" si="4"/>
        <v>0</v>
      </c>
      <c r="AX57" s="49">
        <f t="shared" si="5"/>
        <v>0</v>
      </c>
      <c r="AY57" s="49">
        <f t="shared" si="6"/>
        <v>0</v>
      </c>
      <c r="AZ57" s="49">
        <f t="shared" si="7"/>
        <v>1</v>
      </c>
      <c r="BA57" s="49">
        <f t="shared" si="8"/>
        <v>0</v>
      </c>
      <c r="BB57" s="49">
        <f t="shared" si="9"/>
        <v>0</v>
      </c>
      <c r="BC57" s="49">
        <f t="shared" si="10"/>
        <v>0</v>
      </c>
      <c r="BD57" s="49">
        <f t="shared" si="11"/>
        <v>1</v>
      </c>
      <c r="BE57" s="49">
        <f t="shared" si="12"/>
        <v>0</v>
      </c>
      <c r="BF57" s="49">
        <f t="shared" si="13"/>
        <v>0</v>
      </c>
      <c r="BG57" s="49">
        <f t="shared" si="14"/>
        <v>0</v>
      </c>
      <c r="BH57" s="49">
        <f t="shared" si="15"/>
        <v>0</v>
      </c>
      <c r="BI57" s="49">
        <f t="shared" si="16"/>
        <v>1</v>
      </c>
      <c r="BJ57" s="49">
        <f t="shared" si="17"/>
        <v>0</v>
      </c>
      <c r="BK57" s="49">
        <f t="shared" si="18"/>
        <v>0</v>
      </c>
      <c r="BL57" s="49">
        <f t="shared" si="19"/>
        <v>0</v>
      </c>
      <c r="BM57" s="49">
        <f t="shared" si="20"/>
        <v>1</v>
      </c>
      <c r="BN57" s="49">
        <f t="shared" si="21"/>
        <v>0</v>
      </c>
      <c r="BO57" s="49">
        <f t="shared" si="22"/>
        <v>0</v>
      </c>
      <c r="BP57" s="49">
        <f t="shared" si="23"/>
        <v>1</v>
      </c>
      <c r="BQ57" s="49">
        <f t="shared" si="24"/>
        <v>0</v>
      </c>
      <c r="BR57" s="49">
        <f t="shared" si="25"/>
        <v>0</v>
      </c>
      <c r="BS57" s="49">
        <f t="shared" si="26"/>
        <v>0</v>
      </c>
      <c r="BT57" s="49">
        <f t="shared" si="27"/>
        <v>1</v>
      </c>
      <c r="BU57" s="49">
        <f t="shared" si="28"/>
        <v>0</v>
      </c>
      <c r="BV57" s="49">
        <f t="shared" si="29"/>
        <v>0</v>
      </c>
      <c r="BW57" s="49">
        <f t="shared" si="30"/>
        <v>0</v>
      </c>
      <c r="BX57" s="49">
        <f t="shared" si="31"/>
        <v>1</v>
      </c>
      <c r="BY57" s="49">
        <f t="shared" si="32"/>
        <v>0</v>
      </c>
      <c r="BZ57" s="49">
        <f t="shared" si="33"/>
        <v>0</v>
      </c>
      <c r="CA57" s="49">
        <f t="shared" si="34"/>
        <v>0</v>
      </c>
      <c r="CB57" s="49">
        <f t="shared" si="35"/>
        <v>1</v>
      </c>
      <c r="CC57" s="49">
        <f t="shared" si="36"/>
        <v>0</v>
      </c>
      <c r="CD57" s="49">
        <f t="shared" si="37"/>
        <v>0</v>
      </c>
      <c r="CE57" s="49">
        <f t="shared" si="38"/>
        <v>0</v>
      </c>
    </row>
    <row r="58" spans="1:83" ht="35.1" customHeight="1" x14ac:dyDescent="0.3">
      <c r="A58" s="123" t="str">
        <f t="shared" si="0"/>
        <v>1팀</v>
      </c>
      <c r="B58" s="69">
        <f t="shared" si="1"/>
        <v>52</v>
      </c>
      <c r="C58" s="119" t="str">
        <f>IF(VLOOKUP($B58,'1. 현장별 인원현황'!$C:$J,2,0)=0,"",VLOOKUP($B58,'1. 현장별 인원현황'!$C:$J,2,0))</f>
        <v xml:space="preserve"> [1.대우건설] 청주 테크노폴리스 S1-1,2BL 주상복합 신축공사</v>
      </c>
      <c r="D58" s="116" t="str">
        <f>IF(VLOOKUP($B58,'1. 현장별 인원현황'!$C:$J,3,0)=0,"",VLOOKUP($B58,'1. 현장별 인원현황'!$C:$J,3,0))</f>
        <v>하재근</v>
      </c>
      <c r="E58" s="63" t="str">
        <f ca="1">IF(VLOOKUP($B58,'1. 현장별 인원현황'!$C:$J,4,0)=0,"",VLOOKUP($B58,'1. 현장별 인원현황'!$C:$J,4,0))</f>
        <v>54세</v>
      </c>
      <c r="F58" s="63" t="str">
        <f>IF(VLOOKUP($B58,'1. 현장별 인원현황'!$C:$J,7,0)=0,"",VLOOKUP($B58,'1. 현장별 인원현황'!$C:$J,7,0))</f>
        <v>기능공</v>
      </c>
      <c r="G58" s="63" t="str">
        <f>IF(VLOOKUP($B58,'1. 현장별 인원현황'!$C:$J,8,0)=0,"",VLOOKUP($B58,'1. 현장별 인원현황'!$C:$J,8,0))</f>
        <v>전공</v>
      </c>
      <c r="H58" s="67" t="s">
        <v>69</v>
      </c>
      <c r="I58" s="73"/>
      <c r="J58" s="73"/>
      <c r="K58" s="68"/>
      <c r="L58" s="67"/>
      <c r="M58" s="73" t="s">
        <v>69</v>
      </c>
      <c r="N58" s="73"/>
      <c r="O58" s="68"/>
      <c r="P58" s="67"/>
      <c r="Q58" s="73" t="s">
        <v>69</v>
      </c>
      <c r="R58" s="73"/>
      <c r="S58" s="68"/>
      <c r="T58" s="67"/>
      <c r="U58" s="73" t="s">
        <v>69</v>
      </c>
      <c r="V58" s="73"/>
      <c r="W58" s="68"/>
      <c r="X58" s="67" t="s">
        <v>69</v>
      </c>
      <c r="Y58" s="73"/>
      <c r="Z58" s="73"/>
      <c r="AA58" s="68"/>
      <c r="AB58" s="67"/>
      <c r="AC58" s="73" t="s">
        <v>69</v>
      </c>
      <c r="AD58" s="73"/>
      <c r="AE58" s="68"/>
      <c r="AF58" s="67"/>
      <c r="AG58" s="73" t="s">
        <v>69</v>
      </c>
      <c r="AH58" s="73"/>
      <c r="AI58" s="68"/>
      <c r="AJ58" s="67" t="s">
        <v>69</v>
      </c>
      <c r="AK58" s="73"/>
      <c r="AL58" s="73"/>
      <c r="AM58" s="68"/>
      <c r="AN58" s="73" t="s">
        <v>69</v>
      </c>
      <c r="AO58" s="73"/>
      <c r="AP58" s="73"/>
      <c r="AQ58" s="68"/>
      <c r="AR58" s="67">
        <f t="shared" si="2"/>
        <v>88</v>
      </c>
      <c r="AS58" s="68" t="str">
        <f t="shared" si="3"/>
        <v>S</v>
      </c>
      <c r="AV58" s="49">
        <f t="shared" si="39"/>
        <v>1</v>
      </c>
      <c r="AW58" s="49">
        <f t="shared" si="4"/>
        <v>0</v>
      </c>
      <c r="AX58" s="49">
        <f t="shared" si="5"/>
        <v>0</v>
      </c>
      <c r="AY58" s="49">
        <f t="shared" si="6"/>
        <v>0</v>
      </c>
      <c r="AZ58" s="49">
        <f t="shared" si="7"/>
        <v>0</v>
      </c>
      <c r="BA58" s="49">
        <f t="shared" si="8"/>
        <v>1</v>
      </c>
      <c r="BB58" s="49">
        <f t="shared" si="9"/>
        <v>0</v>
      </c>
      <c r="BC58" s="49">
        <f t="shared" si="10"/>
        <v>0</v>
      </c>
      <c r="BD58" s="49">
        <f t="shared" si="11"/>
        <v>0</v>
      </c>
      <c r="BE58" s="49">
        <f t="shared" si="12"/>
        <v>1</v>
      </c>
      <c r="BF58" s="49">
        <f t="shared" si="13"/>
        <v>0</v>
      </c>
      <c r="BG58" s="49">
        <f t="shared" si="14"/>
        <v>0</v>
      </c>
      <c r="BH58" s="49">
        <f t="shared" si="15"/>
        <v>0</v>
      </c>
      <c r="BI58" s="49">
        <f t="shared" si="16"/>
        <v>1</v>
      </c>
      <c r="BJ58" s="49">
        <f t="shared" si="17"/>
        <v>0</v>
      </c>
      <c r="BK58" s="49">
        <f t="shared" si="18"/>
        <v>0</v>
      </c>
      <c r="BL58" s="49">
        <f t="shared" si="19"/>
        <v>1</v>
      </c>
      <c r="BM58" s="49">
        <f t="shared" si="20"/>
        <v>0</v>
      </c>
      <c r="BN58" s="49">
        <f t="shared" si="21"/>
        <v>0</v>
      </c>
      <c r="BO58" s="49">
        <f t="shared" si="22"/>
        <v>0</v>
      </c>
      <c r="BP58" s="49">
        <f t="shared" si="23"/>
        <v>0</v>
      </c>
      <c r="BQ58" s="49">
        <f t="shared" si="24"/>
        <v>1</v>
      </c>
      <c r="BR58" s="49">
        <f t="shared" si="25"/>
        <v>0</v>
      </c>
      <c r="BS58" s="49">
        <f t="shared" si="26"/>
        <v>0</v>
      </c>
      <c r="BT58" s="49">
        <f t="shared" si="27"/>
        <v>0</v>
      </c>
      <c r="BU58" s="49">
        <f t="shared" si="28"/>
        <v>1</v>
      </c>
      <c r="BV58" s="49">
        <f t="shared" si="29"/>
        <v>0</v>
      </c>
      <c r="BW58" s="49">
        <f t="shared" si="30"/>
        <v>0</v>
      </c>
      <c r="BX58" s="49">
        <f t="shared" si="31"/>
        <v>1</v>
      </c>
      <c r="BY58" s="49">
        <f t="shared" si="32"/>
        <v>0</v>
      </c>
      <c r="BZ58" s="49">
        <f t="shared" si="33"/>
        <v>0</v>
      </c>
      <c r="CA58" s="49">
        <f t="shared" si="34"/>
        <v>0</v>
      </c>
      <c r="CB58" s="49">
        <f t="shared" si="35"/>
        <v>1</v>
      </c>
      <c r="CC58" s="49">
        <f t="shared" si="36"/>
        <v>0</v>
      </c>
      <c r="CD58" s="49">
        <f t="shared" si="37"/>
        <v>0</v>
      </c>
      <c r="CE58" s="49">
        <f t="shared" si="38"/>
        <v>0</v>
      </c>
    </row>
    <row r="59" spans="1:83" ht="35.1" customHeight="1" x14ac:dyDescent="0.3">
      <c r="A59" s="123" t="str">
        <f t="shared" si="0"/>
        <v>1팀</v>
      </c>
      <c r="B59" s="69">
        <f t="shared" si="1"/>
        <v>53</v>
      </c>
      <c r="C59" s="119" t="str">
        <f>IF(VLOOKUP($B59,'1. 현장별 인원현황'!$C:$J,2,0)=0,"",VLOOKUP($B59,'1. 현장별 인원현황'!$C:$J,2,0))</f>
        <v xml:space="preserve"> [1.대우건설] 청주 테크노폴리스 S1-1,2BL 주상복합 신축공사</v>
      </c>
      <c r="D59" s="116" t="str">
        <f>IF(VLOOKUP($B59,'1. 현장별 인원현황'!$C:$J,3,0)=0,"",VLOOKUP($B59,'1. 현장별 인원현황'!$C:$J,3,0))</f>
        <v>이영환</v>
      </c>
      <c r="E59" s="63" t="str">
        <f ca="1">IF(VLOOKUP($B59,'1. 현장별 인원현황'!$C:$J,4,0)=0,"",VLOOKUP($B59,'1. 현장별 인원현황'!$C:$J,4,0))</f>
        <v>47세</v>
      </c>
      <c r="F59" s="63" t="str">
        <f>IF(VLOOKUP($B59,'1. 현장별 인원현황'!$C:$J,7,0)=0,"",VLOOKUP($B59,'1. 현장별 인원현황'!$C:$J,7,0))</f>
        <v>기능공</v>
      </c>
      <c r="G59" s="63" t="str">
        <f>IF(VLOOKUP($B59,'1. 현장별 인원현황'!$C:$J,8,0)=0,"",VLOOKUP($B59,'1. 현장별 인원현황'!$C:$J,8,0))</f>
        <v>전공</v>
      </c>
      <c r="H59" s="67" t="s">
        <v>69</v>
      </c>
      <c r="I59" s="73"/>
      <c r="J59" s="73"/>
      <c r="K59" s="68"/>
      <c r="L59" s="67"/>
      <c r="M59" s="73" t="s">
        <v>69</v>
      </c>
      <c r="N59" s="73"/>
      <c r="O59" s="68"/>
      <c r="P59" s="67"/>
      <c r="Q59" s="73" t="s">
        <v>69</v>
      </c>
      <c r="R59" s="73"/>
      <c r="S59" s="68"/>
      <c r="T59" s="67" t="s">
        <v>69</v>
      </c>
      <c r="U59" s="73"/>
      <c r="V59" s="73"/>
      <c r="W59" s="68"/>
      <c r="X59" s="67"/>
      <c r="Y59" s="73" t="s">
        <v>69</v>
      </c>
      <c r="Z59" s="73"/>
      <c r="AA59" s="68"/>
      <c r="AB59" s="67"/>
      <c r="AC59" s="73" t="s">
        <v>69</v>
      </c>
      <c r="AD59" s="73"/>
      <c r="AE59" s="68"/>
      <c r="AF59" s="67"/>
      <c r="AG59" s="73" t="s">
        <v>69</v>
      </c>
      <c r="AH59" s="73"/>
      <c r="AI59" s="68"/>
      <c r="AJ59" s="67"/>
      <c r="AK59" s="73" t="s">
        <v>69</v>
      </c>
      <c r="AL59" s="73"/>
      <c r="AM59" s="68"/>
      <c r="AN59" s="73"/>
      <c r="AO59" s="73"/>
      <c r="AP59" s="73" t="s">
        <v>69</v>
      </c>
      <c r="AQ59" s="68"/>
      <c r="AR59" s="67">
        <f t="shared" si="2"/>
        <v>79</v>
      </c>
      <c r="AS59" s="68" t="str">
        <f t="shared" si="3"/>
        <v>A</v>
      </c>
      <c r="AV59" s="49">
        <f t="shared" si="39"/>
        <v>1</v>
      </c>
      <c r="AW59" s="49">
        <f t="shared" si="4"/>
        <v>0</v>
      </c>
      <c r="AX59" s="49">
        <f t="shared" si="5"/>
        <v>0</v>
      </c>
      <c r="AY59" s="49">
        <f t="shared" si="6"/>
        <v>0</v>
      </c>
      <c r="AZ59" s="49">
        <f t="shared" si="7"/>
        <v>0</v>
      </c>
      <c r="BA59" s="49">
        <f t="shared" si="8"/>
        <v>1</v>
      </c>
      <c r="BB59" s="49">
        <f t="shared" si="9"/>
        <v>0</v>
      </c>
      <c r="BC59" s="49">
        <f t="shared" si="10"/>
        <v>0</v>
      </c>
      <c r="BD59" s="49">
        <f t="shared" si="11"/>
        <v>0</v>
      </c>
      <c r="BE59" s="49">
        <f t="shared" si="12"/>
        <v>1</v>
      </c>
      <c r="BF59" s="49">
        <f t="shared" si="13"/>
        <v>0</v>
      </c>
      <c r="BG59" s="49">
        <f t="shared" si="14"/>
        <v>0</v>
      </c>
      <c r="BH59" s="49">
        <f t="shared" si="15"/>
        <v>1</v>
      </c>
      <c r="BI59" s="49">
        <f t="shared" si="16"/>
        <v>0</v>
      </c>
      <c r="BJ59" s="49">
        <f t="shared" si="17"/>
        <v>0</v>
      </c>
      <c r="BK59" s="49">
        <f t="shared" si="18"/>
        <v>0</v>
      </c>
      <c r="BL59" s="49">
        <f t="shared" si="19"/>
        <v>0</v>
      </c>
      <c r="BM59" s="49">
        <f t="shared" si="20"/>
        <v>1</v>
      </c>
      <c r="BN59" s="49">
        <f t="shared" si="21"/>
        <v>0</v>
      </c>
      <c r="BO59" s="49">
        <f t="shared" si="22"/>
        <v>0</v>
      </c>
      <c r="BP59" s="49">
        <f t="shared" si="23"/>
        <v>0</v>
      </c>
      <c r="BQ59" s="49">
        <f t="shared" si="24"/>
        <v>1</v>
      </c>
      <c r="BR59" s="49">
        <f t="shared" si="25"/>
        <v>0</v>
      </c>
      <c r="BS59" s="49">
        <f t="shared" si="26"/>
        <v>0</v>
      </c>
      <c r="BT59" s="49">
        <f t="shared" si="27"/>
        <v>0</v>
      </c>
      <c r="BU59" s="49">
        <f t="shared" si="28"/>
        <v>1</v>
      </c>
      <c r="BV59" s="49">
        <f t="shared" si="29"/>
        <v>0</v>
      </c>
      <c r="BW59" s="49">
        <f t="shared" si="30"/>
        <v>0</v>
      </c>
      <c r="BX59" s="49">
        <f t="shared" si="31"/>
        <v>0</v>
      </c>
      <c r="BY59" s="49">
        <f t="shared" si="32"/>
        <v>1</v>
      </c>
      <c r="BZ59" s="49">
        <f t="shared" si="33"/>
        <v>0</v>
      </c>
      <c r="CA59" s="49">
        <f t="shared" si="34"/>
        <v>0</v>
      </c>
      <c r="CB59" s="49">
        <f t="shared" si="35"/>
        <v>0</v>
      </c>
      <c r="CC59" s="49">
        <f t="shared" si="36"/>
        <v>0</v>
      </c>
      <c r="CD59" s="49">
        <f t="shared" si="37"/>
        <v>1</v>
      </c>
      <c r="CE59" s="49">
        <f t="shared" si="38"/>
        <v>0</v>
      </c>
    </row>
    <row r="60" spans="1:83" ht="35.1" customHeight="1" x14ac:dyDescent="0.3">
      <c r="A60" s="123" t="str">
        <f t="shared" si="0"/>
        <v>1팀</v>
      </c>
      <c r="B60" s="69">
        <f t="shared" si="1"/>
        <v>54</v>
      </c>
      <c r="C60" s="119" t="str">
        <f>IF(VLOOKUP($B60,'1. 현장별 인원현황'!$C:$J,2,0)=0,"",VLOOKUP($B60,'1. 현장별 인원현황'!$C:$J,2,0))</f>
        <v xml:space="preserve"> [1.대우건설] 청주 테크노폴리스 S1-1,2BL 주상복합 신축공사</v>
      </c>
      <c r="D60" s="116" t="str">
        <f>IF(VLOOKUP($B60,'1. 현장별 인원현황'!$C:$J,3,0)=0,"",VLOOKUP($B60,'1. 현장별 인원현황'!$C:$J,3,0))</f>
        <v>김기수</v>
      </c>
      <c r="E60" s="63" t="str">
        <f ca="1">IF(VLOOKUP($B60,'1. 현장별 인원현황'!$C:$J,4,0)=0,"",VLOOKUP($B60,'1. 현장별 인원현황'!$C:$J,4,0))</f>
        <v>47세</v>
      </c>
      <c r="F60" s="63" t="str">
        <f>IF(VLOOKUP($B60,'1. 현장별 인원현황'!$C:$J,7,0)=0,"",VLOOKUP($B60,'1. 현장별 인원현황'!$C:$J,7,0))</f>
        <v>기능공</v>
      </c>
      <c r="G60" s="63" t="str">
        <f>IF(VLOOKUP($B60,'1. 현장별 인원현황'!$C:$J,8,0)=0,"",VLOOKUP($B60,'1. 현장별 인원현황'!$C:$J,8,0))</f>
        <v>전공</v>
      </c>
      <c r="H60" s="67" t="s">
        <v>69</v>
      </c>
      <c r="I60" s="73"/>
      <c r="J60" s="73"/>
      <c r="K60" s="68"/>
      <c r="L60" s="67"/>
      <c r="M60" s="73" t="s">
        <v>69</v>
      </c>
      <c r="N60" s="73"/>
      <c r="O60" s="68"/>
      <c r="P60" s="67" t="s">
        <v>69</v>
      </c>
      <c r="Q60" s="73"/>
      <c r="R60" s="73"/>
      <c r="S60" s="68"/>
      <c r="T60" s="67" t="s">
        <v>69</v>
      </c>
      <c r="U60" s="73"/>
      <c r="V60" s="73"/>
      <c r="W60" s="68"/>
      <c r="X60" s="67"/>
      <c r="Y60" s="73" t="s">
        <v>69</v>
      </c>
      <c r="Z60" s="73"/>
      <c r="AA60" s="68"/>
      <c r="AB60" s="67" t="s">
        <v>69</v>
      </c>
      <c r="AC60" s="73"/>
      <c r="AD60" s="73"/>
      <c r="AE60" s="68"/>
      <c r="AF60" s="67"/>
      <c r="AG60" s="73" t="s">
        <v>69</v>
      </c>
      <c r="AH60" s="73"/>
      <c r="AI60" s="68"/>
      <c r="AJ60" s="67"/>
      <c r="AK60" s="73" t="s">
        <v>69</v>
      </c>
      <c r="AL60" s="73"/>
      <c r="AM60" s="68"/>
      <c r="AN60" s="73"/>
      <c r="AO60" s="73"/>
      <c r="AP60" s="73" t="s">
        <v>69</v>
      </c>
      <c r="AQ60" s="68"/>
      <c r="AR60" s="67">
        <f t="shared" si="2"/>
        <v>84</v>
      </c>
      <c r="AS60" s="68" t="str">
        <f t="shared" si="3"/>
        <v>A</v>
      </c>
      <c r="AV60" s="49">
        <f t="shared" si="39"/>
        <v>1</v>
      </c>
      <c r="AW60" s="49">
        <f t="shared" si="4"/>
        <v>0</v>
      </c>
      <c r="AX60" s="49">
        <f t="shared" si="5"/>
        <v>0</v>
      </c>
      <c r="AY60" s="49">
        <f t="shared" si="6"/>
        <v>0</v>
      </c>
      <c r="AZ60" s="49">
        <f t="shared" si="7"/>
        <v>0</v>
      </c>
      <c r="BA60" s="49">
        <f t="shared" si="8"/>
        <v>1</v>
      </c>
      <c r="BB60" s="49">
        <f t="shared" si="9"/>
        <v>0</v>
      </c>
      <c r="BC60" s="49">
        <f t="shared" si="10"/>
        <v>0</v>
      </c>
      <c r="BD60" s="49">
        <f t="shared" si="11"/>
        <v>1</v>
      </c>
      <c r="BE60" s="49">
        <f t="shared" si="12"/>
        <v>0</v>
      </c>
      <c r="BF60" s="49">
        <f t="shared" si="13"/>
        <v>0</v>
      </c>
      <c r="BG60" s="49">
        <f t="shared" si="14"/>
        <v>0</v>
      </c>
      <c r="BH60" s="49">
        <f t="shared" si="15"/>
        <v>1</v>
      </c>
      <c r="BI60" s="49">
        <f t="shared" si="16"/>
        <v>0</v>
      </c>
      <c r="BJ60" s="49">
        <f t="shared" si="17"/>
        <v>0</v>
      </c>
      <c r="BK60" s="49">
        <f t="shared" si="18"/>
        <v>0</v>
      </c>
      <c r="BL60" s="49">
        <f t="shared" si="19"/>
        <v>0</v>
      </c>
      <c r="BM60" s="49">
        <f t="shared" si="20"/>
        <v>1</v>
      </c>
      <c r="BN60" s="49">
        <f t="shared" si="21"/>
        <v>0</v>
      </c>
      <c r="BO60" s="49">
        <f t="shared" si="22"/>
        <v>0</v>
      </c>
      <c r="BP60" s="49">
        <f t="shared" si="23"/>
        <v>1</v>
      </c>
      <c r="BQ60" s="49">
        <f t="shared" si="24"/>
        <v>0</v>
      </c>
      <c r="BR60" s="49">
        <f t="shared" si="25"/>
        <v>0</v>
      </c>
      <c r="BS60" s="49">
        <f t="shared" si="26"/>
        <v>0</v>
      </c>
      <c r="BT60" s="49">
        <f t="shared" si="27"/>
        <v>0</v>
      </c>
      <c r="BU60" s="49">
        <f t="shared" si="28"/>
        <v>1</v>
      </c>
      <c r="BV60" s="49">
        <f t="shared" si="29"/>
        <v>0</v>
      </c>
      <c r="BW60" s="49">
        <f t="shared" si="30"/>
        <v>0</v>
      </c>
      <c r="BX60" s="49">
        <f t="shared" si="31"/>
        <v>0</v>
      </c>
      <c r="BY60" s="49">
        <f t="shared" si="32"/>
        <v>1</v>
      </c>
      <c r="BZ60" s="49">
        <f t="shared" si="33"/>
        <v>0</v>
      </c>
      <c r="CA60" s="49">
        <f t="shared" si="34"/>
        <v>0</v>
      </c>
      <c r="CB60" s="49">
        <f t="shared" si="35"/>
        <v>0</v>
      </c>
      <c r="CC60" s="49">
        <f t="shared" si="36"/>
        <v>0</v>
      </c>
      <c r="CD60" s="49">
        <f t="shared" si="37"/>
        <v>1</v>
      </c>
      <c r="CE60" s="49">
        <f t="shared" si="38"/>
        <v>0</v>
      </c>
    </row>
    <row r="61" spans="1:83" ht="35.1" customHeight="1" x14ac:dyDescent="0.3">
      <c r="A61" s="123" t="str">
        <f t="shared" si="0"/>
        <v>1팀</v>
      </c>
      <c r="B61" s="69">
        <f t="shared" si="1"/>
        <v>55</v>
      </c>
      <c r="C61" s="119" t="str">
        <f>IF(VLOOKUP($B61,'1. 현장별 인원현황'!$C:$J,2,0)=0,"",VLOOKUP($B61,'1. 현장별 인원현황'!$C:$J,2,0))</f>
        <v xml:space="preserve"> [1.대우건설] 청주 테크노폴리스 S1-1,2BL 주상복합 신축공사</v>
      </c>
      <c r="D61" s="116" t="str">
        <f>IF(VLOOKUP($B61,'1. 현장별 인원현황'!$C:$J,3,0)=0,"",VLOOKUP($B61,'1. 현장별 인원현황'!$C:$J,3,0))</f>
        <v>박진연</v>
      </c>
      <c r="E61" s="63" t="str">
        <f ca="1">IF(VLOOKUP($B61,'1. 현장별 인원현황'!$C:$J,4,0)=0,"",VLOOKUP($B61,'1. 현장별 인원현황'!$C:$J,4,0))</f>
        <v>50세</v>
      </c>
      <c r="F61" s="63" t="str">
        <f>IF(VLOOKUP($B61,'1. 현장별 인원현황'!$C:$J,7,0)=0,"",VLOOKUP($B61,'1. 현장별 인원현황'!$C:$J,7,0))</f>
        <v>기능공</v>
      </c>
      <c r="G61" s="63" t="str">
        <f>IF(VLOOKUP($B61,'1. 현장별 인원현황'!$C:$J,8,0)=0,"",VLOOKUP($B61,'1. 현장별 인원현황'!$C:$J,8,0))</f>
        <v>조공</v>
      </c>
      <c r="H61" s="67"/>
      <c r="I61" s="73"/>
      <c r="J61" s="73" t="s">
        <v>69</v>
      </c>
      <c r="K61" s="68"/>
      <c r="L61" s="67"/>
      <c r="M61" s="73"/>
      <c r="N61" s="73" t="s">
        <v>69</v>
      </c>
      <c r="O61" s="68"/>
      <c r="P61" s="67"/>
      <c r="Q61" s="73"/>
      <c r="R61" s="73" t="s">
        <v>69</v>
      </c>
      <c r="S61" s="68"/>
      <c r="T61" s="67"/>
      <c r="U61" s="73"/>
      <c r="V61" s="73" t="s">
        <v>69</v>
      </c>
      <c r="W61" s="68"/>
      <c r="X61" s="67" t="s">
        <v>69</v>
      </c>
      <c r="Y61" s="73"/>
      <c r="Z61" s="73"/>
      <c r="AA61" s="68"/>
      <c r="AB61" s="67" t="s">
        <v>69</v>
      </c>
      <c r="AC61" s="73"/>
      <c r="AD61" s="73"/>
      <c r="AE61" s="68"/>
      <c r="AF61" s="67"/>
      <c r="AG61" s="73" t="s">
        <v>69</v>
      </c>
      <c r="AH61" s="73"/>
      <c r="AI61" s="68"/>
      <c r="AJ61" s="67"/>
      <c r="AK61" s="73" t="s">
        <v>69</v>
      </c>
      <c r="AL61" s="73"/>
      <c r="AM61" s="68"/>
      <c r="AN61" s="73"/>
      <c r="AO61" s="73"/>
      <c r="AP61" s="73" t="s">
        <v>69</v>
      </c>
      <c r="AQ61" s="68"/>
      <c r="AR61" s="67">
        <f t="shared" si="2"/>
        <v>67</v>
      </c>
      <c r="AS61" s="68" t="str">
        <f t="shared" si="3"/>
        <v>B</v>
      </c>
      <c r="AV61" s="49">
        <f t="shared" si="39"/>
        <v>0</v>
      </c>
      <c r="AW61" s="49">
        <f t="shared" si="4"/>
        <v>0</v>
      </c>
      <c r="AX61" s="49">
        <f t="shared" si="5"/>
        <v>1</v>
      </c>
      <c r="AY61" s="49">
        <f t="shared" si="6"/>
        <v>0</v>
      </c>
      <c r="AZ61" s="49">
        <f t="shared" si="7"/>
        <v>0</v>
      </c>
      <c r="BA61" s="49">
        <f t="shared" si="8"/>
        <v>0</v>
      </c>
      <c r="BB61" s="49">
        <f t="shared" si="9"/>
        <v>1</v>
      </c>
      <c r="BC61" s="49">
        <f t="shared" si="10"/>
        <v>0</v>
      </c>
      <c r="BD61" s="49">
        <f t="shared" si="11"/>
        <v>0</v>
      </c>
      <c r="BE61" s="49">
        <f t="shared" si="12"/>
        <v>0</v>
      </c>
      <c r="BF61" s="49">
        <f t="shared" si="13"/>
        <v>1</v>
      </c>
      <c r="BG61" s="49">
        <f t="shared" si="14"/>
        <v>0</v>
      </c>
      <c r="BH61" s="49">
        <f t="shared" si="15"/>
        <v>0</v>
      </c>
      <c r="BI61" s="49">
        <f t="shared" si="16"/>
        <v>0</v>
      </c>
      <c r="BJ61" s="49">
        <f t="shared" si="17"/>
        <v>1</v>
      </c>
      <c r="BK61" s="49">
        <f t="shared" si="18"/>
        <v>0</v>
      </c>
      <c r="BL61" s="49">
        <f t="shared" si="19"/>
        <v>1</v>
      </c>
      <c r="BM61" s="49">
        <f t="shared" si="20"/>
        <v>0</v>
      </c>
      <c r="BN61" s="49">
        <f t="shared" si="21"/>
        <v>0</v>
      </c>
      <c r="BO61" s="49">
        <f t="shared" si="22"/>
        <v>0</v>
      </c>
      <c r="BP61" s="49">
        <f t="shared" si="23"/>
        <v>1</v>
      </c>
      <c r="BQ61" s="49">
        <f t="shared" si="24"/>
        <v>0</v>
      </c>
      <c r="BR61" s="49">
        <f t="shared" si="25"/>
        <v>0</v>
      </c>
      <c r="BS61" s="49">
        <f t="shared" si="26"/>
        <v>0</v>
      </c>
      <c r="BT61" s="49">
        <f t="shared" si="27"/>
        <v>0</v>
      </c>
      <c r="BU61" s="49">
        <f t="shared" si="28"/>
        <v>1</v>
      </c>
      <c r="BV61" s="49">
        <f t="shared" si="29"/>
        <v>0</v>
      </c>
      <c r="BW61" s="49">
        <f t="shared" si="30"/>
        <v>0</v>
      </c>
      <c r="BX61" s="49">
        <f t="shared" si="31"/>
        <v>0</v>
      </c>
      <c r="BY61" s="49">
        <f t="shared" si="32"/>
        <v>1</v>
      </c>
      <c r="BZ61" s="49">
        <f t="shared" si="33"/>
        <v>0</v>
      </c>
      <c r="CA61" s="49">
        <f t="shared" si="34"/>
        <v>0</v>
      </c>
      <c r="CB61" s="49">
        <f t="shared" si="35"/>
        <v>0</v>
      </c>
      <c r="CC61" s="49">
        <f t="shared" si="36"/>
        <v>0</v>
      </c>
      <c r="CD61" s="49">
        <f t="shared" si="37"/>
        <v>1</v>
      </c>
      <c r="CE61" s="49">
        <f t="shared" si="38"/>
        <v>0</v>
      </c>
    </row>
    <row r="62" spans="1:83" ht="35.1" customHeight="1" x14ac:dyDescent="0.3">
      <c r="A62" s="123" t="str">
        <f t="shared" si="0"/>
        <v>1팀</v>
      </c>
      <c r="B62" s="69">
        <f t="shared" si="1"/>
        <v>56</v>
      </c>
      <c r="C62" s="119" t="str">
        <f>IF(VLOOKUP($B62,'1. 현장별 인원현황'!$C:$J,2,0)=0,"",VLOOKUP($B62,'1. 현장별 인원현황'!$C:$J,2,0))</f>
        <v xml:space="preserve"> [1.대우건설] 청주 테크노폴리스 S1-1,2BL 주상복합 신축공사</v>
      </c>
      <c r="D62" s="116" t="str">
        <f>IF(VLOOKUP($B62,'1. 현장별 인원현황'!$C:$J,3,0)=0,"",VLOOKUP($B62,'1. 현장별 인원현황'!$C:$J,3,0))</f>
        <v>배경훈</v>
      </c>
      <c r="E62" s="63" t="str">
        <f ca="1">IF(VLOOKUP($B62,'1. 현장별 인원현황'!$C:$J,4,0)=0,"",VLOOKUP($B62,'1. 현장별 인원현황'!$C:$J,4,0))</f>
        <v>48세</v>
      </c>
      <c r="F62" s="63" t="str">
        <f>IF(VLOOKUP($B62,'1. 현장별 인원현황'!$C:$J,7,0)=0,"",VLOOKUP($B62,'1. 현장별 인원현황'!$C:$J,7,0))</f>
        <v>기능공</v>
      </c>
      <c r="G62" s="63" t="str">
        <f>IF(VLOOKUP($B62,'1. 현장별 인원현황'!$C:$J,8,0)=0,"",VLOOKUP($B62,'1. 현장별 인원현황'!$C:$J,8,0))</f>
        <v>조공</v>
      </c>
      <c r="H62" s="67"/>
      <c r="I62" s="73" t="s">
        <v>69</v>
      </c>
      <c r="J62" s="73"/>
      <c r="K62" s="68"/>
      <c r="L62" s="67"/>
      <c r="M62" s="73"/>
      <c r="N62" s="73" t="s">
        <v>69</v>
      </c>
      <c r="O62" s="68"/>
      <c r="P62" s="67"/>
      <c r="Q62" s="73"/>
      <c r="R62" s="73" t="s">
        <v>69</v>
      </c>
      <c r="S62" s="68"/>
      <c r="T62" s="67"/>
      <c r="U62" s="73"/>
      <c r="V62" s="73" t="s">
        <v>69</v>
      </c>
      <c r="W62" s="68"/>
      <c r="X62" s="67"/>
      <c r="Y62" s="73" t="s">
        <v>69</v>
      </c>
      <c r="Z62" s="73"/>
      <c r="AA62" s="68"/>
      <c r="AB62" s="67"/>
      <c r="AC62" s="73" t="s">
        <v>69</v>
      </c>
      <c r="AD62" s="73"/>
      <c r="AE62" s="68"/>
      <c r="AF62" s="67"/>
      <c r="AG62" s="73" t="s">
        <v>69</v>
      </c>
      <c r="AH62" s="73"/>
      <c r="AI62" s="68"/>
      <c r="AJ62" s="67"/>
      <c r="AK62" s="73" t="s">
        <v>69</v>
      </c>
      <c r="AL62" s="73"/>
      <c r="AM62" s="68"/>
      <c r="AN62" s="73" t="s">
        <v>69</v>
      </c>
      <c r="AO62" s="73"/>
      <c r="AP62" s="73"/>
      <c r="AQ62" s="68"/>
      <c r="AR62" s="67">
        <f t="shared" si="2"/>
        <v>72</v>
      </c>
      <c r="AS62" s="68" t="str">
        <f t="shared" si="3"/>
        <v>A</v>
      </c>
      <c r="AV62" s="49">
        <f t="shared" si="39"/>
        <v>0</v>
      </c>
      <c r="AW62" s="49">
        <f t="shared" si="4"/>
        <v>1</v>
      </c>
      <c r="AX62" s="49">
        <f t="shared" si="5"/>
        <v>0</v>
      </c>
      <c r="AY62" s="49">
        <f t="shared" si="6"/>
        <v>0</v>
      </c>
      <c r="AZ62" s="49">
        <f t="shared" si="7"/>
        <v>0</v>
      </c>
      <c r="BA62" s="49">
        <f t="shared" si="8"/>
        <v>0</v>
      </c>
      <c r="BB62" s="49">
        <f t="shared" si="9"/>
        <v>1</v>
      </c>
      <c r="BC62" s="49">
        <f t="shared" si="10"/>
        <v>0</v>
      </c>
      <c r="BD62" s="49">
        <f t="shared" si="11"/>
        <v>0</v>
      </c>
      <c r="BE62" s="49">
        <f t="shared" si="12"/>
        <v>0</v>
      </c>
      <c r="BF62" s="49">
        <f t="shared" si="13"/>
        <v>1</v>
      </c>
      <c r="BG62" s="49">
        <f t="shared" si="14"/>
        <v>0</v>
      </c>
      <c r="BH62" s="49">
        <f t="shared" si="15"/>
        <v>0</v>
      </c>
      <c r="BI62" s="49">
        <f t="shared" si="16"/>
        <v>0</v>
      </c>
      <c r="BJ62" s="49">
        <f t="shared" si="17"/>
        <v>1</v>
      </c>
      <c r="BK62" s="49">
        <f t="shared" si="18"/>
        <v>0</v>
      </c>
      <c r="BL62" s="49">
        <f t="shared" si="19"/>
        <v>0</v>
      </c>
      <c r="BM62" s="49">
        <f t="shared" si="20"/>
        <v>1</v>
      </c>
      <c r="BN62" s="49">
        <f t="shared" si="21"/>
        <v>0</v>
      </c>
      <c r="BO62" s="49">
        <f t="shared" si="22"/>
        <v>0</v>
      </c>
      <c r="BP62" s="49">
        <f t="shared" si="23"/>
        <v>0</v>
      </c>
      <c r="BQ62" s="49">
        <f t="shared" si="24"/>
        <v>1</v>
      </c>
      <c r="BR62" s="49">
        <f t="shared" si="25"/>
        <v>0</v>
      </c>
      <c r="BS62" s="49">
        <f t="shared" si="26"/>
        <v>0</v>
      </c>
      <c r="BT62" s="49">
        <f t="shared" si="27"/>
        <v>0</v>
      </c>
      <c r="BU62" s="49">
        <f t="shared" si="28"/>
        <v>1</v>
      </c>
      <c r="BV62" s="49">
        <f t="shared" si="29"/>
        <v>0</v>
      </c>
      <c r="BW62" s="49">
        <f t="shared" si="30"/>
        <v>0</v>
      </c>
      <c r="BX62" s="49">
        <f t="shared" si="31"/>
        <v>0</v>
      </c>
      <c r="BY62" s="49">
        <f t="shared" si="32"/>
        <v>1</v>
      </c>
      <c r="BZ62" s="49">
        <f t="shared" si="33"/>
        <v>0</v>
      </c>
      <c r="CA62" s="49">
        <f t="shared" si="34"/>
        <v>0</v>
      </c>
      <c r="CB62" s="49">
        <f t="shared" si="35"/>
        <v>1</v>
      </c>
      <c r="CC62" s="49">
        <f t="shared" si="36"/>
        <v>0</v>
      </c>
      <c r="CD62" s="49">
        <f t="shared" si="37"/>
        <v>0</v>
      </c>
      <c r="CE62" s="49">
        <f t="shared" si="38"/>
        <v>0</v>
      </c>
    </row>
    <row r="63" spans="1:83" ht="35.1" customHeight="1" x14ac:dyDescent="0.3">
      <c r="A63" s="123" t="str">
        <f t="shared" si="0"/>
        <v>1팀</v>
      </c>
      <c r="B63" s="69">
        <f t="shared" si="1"/>
        <v>57</v>
      </c>
      <c r="C63" s="119" t="str">
        <f>IF(VLOOKUP($B63,'1. 현장별 인원현황'!$C:$J,2,0)=0,"",VLOOKUP($B63,'1. 현장별 인원현황'!$C:$J,2,0))</f>
        <v xml:space="preserve"> [1.대우건설] 청주 테크노폴리스 S1-1,2BL 주상복합 신축공사</v>
      </c>
      <c r="D63" s="116" t="str">
        <f>IF(VLOOKUP($B63,'1. 현장별 인원현황'!$C:$J,3,0)=0,"",VLOOKUP($B63,'1. 현장별 인원현황'!$C:$J,3,0))</f>
        <v>김원</v>
      </c>
      <c r="E63" s="63" t="str">
        <f ca="1">IF(VLOOKUP($B63,'1. 현장별 인원현황'!$C:$J,4,0)=0,"",VLOOKUP($B63,'1. 현장별 인원현황'!$C:$J,4,0))</f>
        <v>43세</v>
      </c>
      <c r="F63" s="63" t="str">
        <f>IF(VLOOKUP($B63,'1. 현장별 인원현황'!$C:$J,7,0)=0,"",VLOOKUP($B63,'1. 현장별 인원현황'!$C:$J,7,0))</f>
        <v>기능공</v>
      </c>
      <c r="G63" s="63" t="str">
        <f>IF(VLOOKUP($B63,'1. 현장별 인원현황'!$C:$J,8,0)=0,"",VLOOKUP($B63,'1. 현장별 인원현황'!$C:$J,8,0))</f>
        <v>전공</v>
      </c>
      <c r="H63" s="67"/>
      <c r="I63" s="73" t="s">
        <v>69</v>
      </c>
      <c r="J63" s="73"/>
      <c r="K63" s="68"/>
      <c r="L63" s="67"/>
      <c r="M63" s="73" t="s">
        <v>69</v>
      </c>
      <c r="N63" s="73"/>
      <c r="O63" s="68"/>
      <c r="P63" s="67"/>
      <c r="Q63" s="73" t="s">
        <v>69</v>
      </c>
      <c r="R63" s="73"/>
      <c r="S63" s="68"/>
      <c r="T63" s="67"/>
      <c r="U63" s="73" t="s">
        <v>69</v>
      </c>
      <c r="V63" s="73"/>
      <c r="W63" s="68"/>
      <c r="X63" s="67"/>
      <c r="Y63" s="73" t="s">
        <v>69</v>
      </c>
      <c r="Z63" s="73"/>
      <c r="AA63" s="68"/>
      <c r="AB63" s="67"/>
      <c r="AC63" s="73" t="s">
        <v>69</v>
      </c>
      <c r="AD63" s="73"/>
      <c r="AE63" s="68"/>
      <c r="AF63" s="67"/>
      <c r="AG63" s="73" t="s">
        <v>69</v>
      </c>
      <c r="AH63" s="73"/>
      <c r="AI63" s="68"/>
      <c r="AJ63" s="67"/>
      <c r="AK63" s="73" t="s">
        <v>69</v>
      </c>
      <c r="AL63" s="73"/>
      <c r="AM63" s="68"/>
      <c r="AN63" s="73"/>
      <c r="AO63" s="73" t="s">
        <v>69</v>
      </c>
      <c r="AP63" s="73"/>
      <c r="AQ63" s="68"/>
      <c r="AR63" s="67">
        <f t="shared" si="2"/>
        <v>77</v>
      </c>
      <c r="AS63" s="68" t="str">
        <f t="shared" si="3"/>
        <v>A</v>
      </c>
      <c r="AV63" s="49">
        <f t="shared" si="39"/>
        <v>0</v>
      </c>
      <c r="AW63" s="49">
        <f t="shared" si="4"/>
        <v>1</v>
      </c>
      <c r="AX63" s="49">
        <f t="shared" si="5"/>
        <v>0</v>
      </c>
      <c r="AY63" s="49">
        <f t="shared" si="6"/>
        <v>0</v>
      </c>
      <c r="AZ63" s="49">
        <f t="shared" si="7"/>
        <v>0</v>
      </c>
      <c r="BA63" s="49">
        <f t="shared" si="8"/>
        <v>1</v>
      </c>
      <c r="BB63" s="49">
        <f t="shared" si="9"/>
        <v>0</v>
      </c>
      <c r="BC63" s="49">
        <f t="shared" si="10"/>
        <v>0</v>
      </c>
      <c r="BD63" s="49">
        <f t="shared" si="11"/>
        <v>0</v>
      </c>
      <c r="BE63" s="49">
        <f t="shared" si="12"/>
        <v>1</v>
      </c>
      <c r="BF63" s="49">
        <f t="shared" si="13"/>
        <v>0</v>
      </c>
      <c r="BG63" s="49">
        <f t="shared" si="14"/>
        <v>0</v>
      </c>
      <c r="BH63" s="49">
        <f t="shared" si="15"/>
        <v>0</v>
      </c>
      <c r="BI63" s="49">
        <f t="shared" si="16"/>
        <v>1</v>
      </c>
      <c r="BJ63" s="49">
        <f t="shared" si="17"/>
        <v>0</v>
      </c>
      <c r="BK63" s="49">
        <f t="shared" si="18"/>
        <v>0</v>
      </c>
      <c r="BL63" s="49">
        <f t="shared" si="19"/>
        <v>0</v>
      </c>
      <c r="BM63" s="49">
        <f t="shared" si="20"/>
        <v>1</v>
      </c>
      <c r="BN63" s="49">
        <f t="shared" si="21"/>
        <v>0</v>
      </c>
      <c r="BO63" s="49">
        <f t="shared" si="22"/>
        <v>0</v>
      </c>
      <c r="BP63" s="49">
        <f t="shared" si="23"/>
        <v>0</v>
      </c>
      <c r="BQ63" s="49">
        <f t="shared" si="24"/>
        <v>1</v>
      </c>
      <c r="BR63" s="49">
        <f t="shared" si="25"/>
        <v>0</v>
      </c>
      <c r="BS63" s="49">
        <f t="shared" si="26"/>
        <v>0</v>
      </c>
      <c r="BT63" s="49">
        <f t="shared" si="27"/>
        <v>0</v>
      </c>
      <c r="BU63" s="49">
        <f t="shared" si="28"/>
        <v>1</v>
      </c>
      <c r="BV63" s="49">
        <f t="shared" si="29"/>
        <v>0</v>
      </c>
      <c r="BW63" s="49">
        <f t="shared" si="30"/>
        <v>0</v>
      </c>
      <c r="BX63" s="49">
        <f t="shared" si="31"/>
        <v>0</v>
      </c>
      <c r="BY63" s="49">
        <f t="shared" si="32"/>
        <v>1</v>
      </c>
      <c r="BZ63" s="49">
        <f t="shared" si="33"/>
        <v>0</v>
      </c>
      <c r="CA63" s="49">
        <f t="shared" si="34"/>
        <v>0</v>
      </c>
      <c r="CB63" s="49">
        <f t="shared" si="35"/>
        <v>0</v>
      </c>
      <c r="CC63" s="49">
        <f t="shared" si="36"/>
        <v>1</v>
      </c>
      <c r="CD63" s="49">
        <f t="shared" si="37"/>
        <v>0</v>
      </c>
      <c r="CE63" s="49">
        <f t="shared" si="38"/>
        <v>0</v>
      </c>
    </row>
    <row r="64" spans="1:83" ht="35.1" customHeight="1" x14ac:dyDescent="0.3">
      <c r="A64" s="123" t="str">
        <f t="shared" si="0"/>
        <v>1팀</v>
      </c>
      <c r="B64" s="69">
        <f t="shared" si="1"/>
        <v>58</v>
      </c>
      <c r="C64" s="119" t="str">
        <f>IF(VLOOKUP($B64,'1. 현장별 인원현황'!$C:$J,2,0)=0,"",VLOOKUP($B64,'1. 현장별 인원현황'!$C:$J,2,0))</f>
        <v xml:space="preserve"> [1.대우건설] 청주 테크노폴리스 S1-1,2BL 주상복합 신축공사</v>
      </c>
      <c r="D64" s="116" t="str">
        <f>IF(VLOOKUP($B64,'1. 현장별 인원현황'!$C:$J,3,0)=0,"",VLOOKUP($B64,'1. 현장별 인원현황'!$C:$J,3,0))</f>
        <v>고상용</v>
      </c>
      <c r="E64" s="63" t="str">
        <f ca="1">IF(VLOOKUP($B64,'1. 현장별 인원현황'!$C:$J,4,0)=0,"",VLOOKUP($B64,'1. 현장별 인원현황'!$C:$J,4,0))</f>
        <v>53세</v>
      </c>
      <c r="F64" s="63" t="str">
        <f>IF(VLOOKUP($B64,'1. 현장별 인원현황'!$C:$J,7,0)=0,"",VLOOKUP($B64,'1. 현장별 인원현황'!$C:$J,7,0))</f>
        <v>기능공</v>
      </c>
      <c r="G64" s="63" t="str">
        <f>IF(VLOOKUP($B64,'1. 현장별 인원현황'!$C:$J,8,0)=0,"",VLOOKUP($B64,'1. 현장별 인원현황'!$C:$J,8,0))</f>
        <v>전공</v>
      </c>
      <c r="H64" s="67"/>
      <c r="I64" s="73" t="s">
        <v>69</v>
      </c>
      <c r="J64" s="73"/>
      <c r="K64" s="68"/>
      <c r="L64" s="67"/>
      <c r="M64" s="73" t="s">
        <v>69</v>
      </c>
      <c r="N64" s="73"/>
      <c r="O64" s="68"/>
      <c r="P64" s="67"/>
      <c r="Q64" s="73" t="s">
        <v>69</v>
      </c>
      <c r="R64" s="73"/>
      <c r="S64" s="68"/>
      <c r="T64" s="67"/>
      <c r="U64" s="73" t="s">
        <v>69</v>
      </c>
      <c r="V64" s="73"/>
      <c r="W64" s="68"/>
      <c r="X64" s="67"/>
      <c r="Y64" s="73" t="s">
        <v>69</v>
      </c>
      <c r="Z64" s="73"/>
      <c r="AA64" s="68"/>
      <c r="AB64" s="67"/>
      <c r="AC64" s="73" t="s">
        <v>69</v>
      </c>
      <c r="AD64" s="73"/>
      <c r="AE64" s="68"/>
      <c r="AF64" s="67"/>
      <c r="AG64" s="73" t="s">
        <v>69</v>
      </c>
      <c r="AH64" s="73"/>
      <c r="AI64" s="68"/>
      <c r="AJ64" s="67"/>
      <c r="AK64" s="73" t="s">
        <v>69</v>
      </c>
      <c r="AL64" s="73"/>
      <c r="AM64" s="68"/>
      <c r="AN64" s="73"/>
      <c r="AO64" s="73"/>
      <c r="AP64" s="73" t="s">
        <v>69</v>
      </c>
      <c r="AQ64" s="68"/>
      <c r="AR64" s="67">
        <f t="shared" si="2"/>
        <v>74</v>
      </c>
      <c r="AS64" s="68" t="str">
        <f t="shared" si="3"/>
        <v>A</v>
      </c>
      <c r="AV64" s="49">
        <f t="shared" si="39"/>
        <v>0</v>
      </c>
      <c r="AW64" s="49">
        <f t="shared" si="4"/>
        <v>1</v>
      </c>
      <c r="AX64" s="49">
        <f t="shared" si="5"/>
        <v>0</v>
      </c>
      <c r="AY64" s="49">
        <f t="shared" si="6"/>
        <v>0</v>
      </c>
      <c r="AZ64" s="49">
        <f t="shared" si="7"/>
        <v>0</v>
      </c>
      <c r="BA64" s="49">
        <f t="shared" si="8"/>
        <v>1</v>
      </c>
      <c r="BB64" s="49">
        <f t="shared" si="9"/>
        <v>0</v>
      </c>
      <c r="BC64" s="49">
        <f t="shared" si="10"/>
        <v>0</v>
      </c>
      <c r="BD64" s="49">
        <f t="shared" si="11"/>
        <v>0</v>
      </c>
      <c r="BE64" s="49">
        <f t="shared" si="12"/>
        <v>1</v>
      </c>
      <c r="BF64" s="49">
        <f t="shared" si="13"/>
        <v>0</v>
      </c>
      <c r="BG64" s="49">
        <f t="shared" si="14"/>
        <v>0</v>
      </c>
      <c r="BH64" s="49">
        <f t="shared" si="15"/>
        <v>0</v>
      </c>
      <c r="BI64" s="49">
        <f t="shared" si="16"/>
        <v>1</v>
      </c>
      <c r="BJ64" s="49">
        <f t="shared" si="17"/>
        <v>0</v>
      </c>
      <c r="BK64" s="49">
        <f t="shared" si="18"/>
        <v>0</v>
      </c>
      <c r="BL64" s="49">
        <f t="shared" si="19"/>
        <v>0</v>
      </c>
      <c r="BM64" s="49">
        <f t="shared" si="20"/>
        <v>1</v>
      </c>
      <c r="BN64" s="49">
        <f t="shared" si="21"/>
        <v>0</v>
      </c>
      <c r="BO64" s="49">
        <f t="shared" si="22"/>
        <v>0</v>
      </c>
      <c r="BP64" s="49">
        <f t="shared" si="23"/>
        <v>0</v>
      </c>
      <c r="BQ64" s="49">
        <f t="shared" si="24"/>
        <v>1</v>
      </c>
      <c r="BR64" s="49">
        <f t="shared" si="25"/>
        <v>0</v>
      </c>
      <c r="BS64" s="49">
        <f t="shared" si="26"/>
        <v>0</v>
      </c>
      <c r="BT64" s="49">
        <f t="shared" si="27"/>
        <v>0</v>
      </c>
      <c r="BU64" s="49">
        <f t="shared" si="28"/>
        <v>1</v>
      </c>
      <c r="BV64" s="49">
        <f t="shared" si="29"/>
        <v>0</v>
      </c>
      <c r="BW64" s="49">
        <f t="shared" si="30"/>
        <v>0</v>
      </c>
      <c r="BX64" s="49">
        <f t="shared" si="31"/>
        <v>0</v>
      </c>
      <c r="BY64" s="49">
        <f t="shared" si="32"/>
        <v>1</v>
      </c>
      <c r="BZ64" s="49">
        <f t="shared" si="33"/>
        <v>0</v>
      </c>
      <c r="CA64" s="49">
        <f t="shared" si="34"/>
        <v>0</v>
      </c>
      <c r="CB64" s="49">
        <f t="shared" si="35"/>
        <v>0</v>
      </c>
      <c r="CC64" s="49">
        <f t="shared" si="36"/>
        <v>0</v>
      </c>
      <c r="CD64" s="49">
        <f t="shared" si="37"/>
        <v>1</v>
      </c>
      <c r="CE64" s="49">
        <f t="shared" si="38"/>
        <v>0</v>
      </c>
    </row>
    <row r="65" spans="1:83" ht="35.1" customHeight="1" x14ac:dyDescent="0.3">
      <c r="A65" s="123" t="str">
        <f t="shared" si="0"/>
        <v>1팀</v>
      </c>
      <c r="B65" s="69">
        <f t="shared" si="1"/>
        <v>59</v>
      </c>
      <c r="C65" s="119" t="str">
        <f>IF(VLOOKUP($B65,'1. 현장별 인원현황'!$C:$J,2,0)=0,"",VLOOKUP($B65,'1. 현장별 인원현황'!$C:$J,2,0))</f>
        <v xml:space="preserve"> [1.대우건설] 청주 테크노폴리스 S1-1,2BL 주상복합 신축공사</v>
      </c>
      <c r="D65" s="116" t="str">
        <f>IF(VLOOKUP($B65,'1. 현장별 인원현황'!$C:$J,3,0)=0,"",VLOOKUP($B65,'1. 현장별 인원현황'!$C:$J,3,0))</f>
        <v>하태홍</v>
      </c>
      <c r="E65" s="63" t="str">
        <f ca="1">IF(VLOOKUP($B65,'1. 현장별 인원현황'!$C:$J,4,0)=0,"",VLOOKUP($B65,'1. 현장별 인원현황'!$C:$J,4,0))</f>
        <v>58세</v>
      </c>
      <c r="F65" s="63" t="str">
        <f>IF(VLOOKUP($B65,'1. 현장별 인원현황'!$C:$J,7,0)=0,"",VLOOKUP($B65,'1. 현장별 인원현황'!$C:$J,7,0))</f>
        <v>기능공</v>
      </c>
      <c r="G65" s="63" t="str">
        <f>IF(VLOOKUP($B65,'1. 현장별 인원현황'!$C:$J,8,0)=0,"",VLOOKUP($B65,'1. 현장별 인원현황'!$C:$J,8,0))</f>
        <v>전공</v>
      </c>
      <c r="H65" s="67" t="s">
        <v>69</v>
      </c>
      <c r="I65" s="73"/>
      <c r="J65" s="73"/>
      <c r="K65" s="68"/>
      <c r="L65" s="67"/>
      <c r="M65" s="73" t="s">
        <v>69</v>
      </c>
      <c r="N65" s="73"/>
      <c r="O65" s="68"/>
      <c r="P65" s="67"/>
      <c r="Q65" s="73" t="s">
        <v>69</v>
      </c>
      <c r="R65" s="73"/>
      <c r="S65" s="68"/>
      <c r="T65" s="67"/>
      <c r="U65" s="73" t="s">
        <v>69</v>
      </c>
      <c r="V65" s="73"/>
      <c r="W65" s="68"/>
      <c r="X65" s="67" t="s">
        <v>69</v>
      </c>
      <c r="Y65" s="73"/>
      <c r="Z65" s="73"/>
      <c r="AA65" s="68"/>
      <c r="AB65" s="67" t="s">
        <v>69</v>
      </c>
      <c r="AC65" s="73"/>
      <c r="AD65" s="73"/>
      <c r="AE65" s="68"/>
      <c r="AF65" s="67"/>
      <c r="AG65" s="73" t="s">
        <v>69</v>
      </c>
      <c r="AH65" s="73"/>
      <c r="AI65" s="68"/>
      <c r="AJ65" s="67" t="s">
        <v>69</v>
      </c>
      <c r="AK65" s="73"/>
      <c r="AL65" s="73"/>
      <c r="AM65" s="68"/>
      <c r="AN65" s="73" t="s">
        <v>69</v>
      </c>
      <c r="AO65" s="73"/>
      <c r="AP65" s="73"/>
      <c r="AQ65" s="68"/>
      <c r="AR65" s="67">
        <f t="shared" si="2"/>
        <v>90</v>
      </c>
      <c r="AS65" s="68" t="str">
        <f t="shared" si="3"/>
        <v>S</v>
      </c>
      <c r="AV65" s="49">
        <f t="shared" si="39"/>
        <v>1</v>
      </c>
      <c r="AW65" s="49">
        <f t="shared" si="4"/>
        <v>0</v>
      </c>
      <c r="AX65" s="49">
        <f t="shared" si="5"/>
        <v>0</v>
      </c>
      <c r="AY65" s="49">
        <f t="shared" si="6"/>
        <v>0</v>
      </c>
      <c r="AZ65" s="49">
        <f t="shared" si="7"/>
        <v>0</v>
      </c>
      <c r="BA65" s="49">
        <f t="shared" si="8"/>
        <v>1</v>
      </c>
      <c r="BB65" s="49">
        <f t="shared" si="9"/>
        <v>0</v>
      </c>
      <c r="BC65" s="49">
        <f t="shared" si="10"/>
        <v>0</v>
      </c>
      <c r="BD65" s="49">
        <f t="shared" si="11"/>
        <v>0</v>
      </c>
      <c r="BE65" s="49">
        <f t="shared" si="12"/>
        <v>1</v>
      </c>
      <c r="BF65" s="49">
        <f t="shared" si="13"/>
        <v>0</v>
      </c>
      <c r="BG65" s="49">
        <f t="shared" si="14"/>
        <v>0</v>
      </c>
      <c r="BH65" s="49">
        <f t="shared" si="15"/>
        <v>0</v>
      </c>
      <c r="BI65" s="49">
        <f t="shared" si="16"/>
        <v>1</v>
      </c>
      <c r="BJ65" s="49">
        <f t="shared" si="17"/>
        <v>0</v>
      </c>
      <c r="BK65" s="49">
        <f t="shared" si="18"/>
        <v>0</v>
      </c>
      <c r="BL65" s="49">
        <f t="shared" si="19"/>
        <v>1</v>
      </c>
      <c r="BM65" s="49">
        <f t="shared" si="20"/>
        <v>0</v>
      </c>
      <c r="BN65" s="49">
        <f t="shared" si="21"/>
        <v>0</v>
      </c>
      <c r="BO65" s="49">
        <f t="shared" si="22"/>
        <v>0</v>
      </c>
      <c r="BP65" s="49">
        <f t="shared" si="23"/>
        <v>1</v>
      </c>
      <c r="BQ65" s="49">
        <f t="shared" si="24"/>
        <v>0</v>
      </c>
      <c r="BR65" s="49">
        <f t="shared" si="25"/>
        <v>0</v>
      </c>
      <c r="BS65" s="49">
        <f t="shared" si="26"/>
        <v>0</v>
      </c>
      <c r="BT65" s="49">
        <f t="shared" si="27"/>
        <v>0</v>
      </c>
      <c r="BU65" s="49">
        <f t="shared" si="28"/>
        <v>1</v>
      </c>
      <c r="BV65" s="49">
        <f t="shared" si="29"/>
        <v>0</v>
      </c>
      <c r="BW65" s="49">
        <f t="shared" si="30"/>
        <v>0</v>
      </c>
      <c r="BX65" s="49">
        <f t="shared" si="31"/>
        <v>1</v>
      </c>
      <c r="BY65" s="49">
        <f t="shared" si="32"/>
        <v>0</v>
      </c>
      <c r="BZ65" s="49">
        <f t="shared" si="33"/>
        <v>0</v>
      </c>
      <c r="CA65" s="49">
        <f t="shared" si="34"/>
        <v>0</v>
      </c>
      <c r="CB65" s="49">
        <f t="shared" si="35"/>
        <v>1</v>
      </c>
      <c r="CC65" s="49">
        <f t="shared" si="36"/>
        <v>0</v>
      </c>
      <c r="CD65" s="49">
        <f t="shared" si="37"/>
        <v>0</v>
      </c>
      <c r="CE65" s="49">
        <f t="shared" si="38"/>
        <v>0</v>
      </c>
    </row>
    <row r="66" spans="1:83" ht="35.1" customHeight="1" x14ac:dyDescent="0.3">
      <c r="A66" s="123" t="str">
        <f t="shared" si="0"/>
        <v>1팀</v>
      </c>
      <c r="B66" s="69">
        <f t="shared" si="1"/>
        <v>60</v>
      </c>
      <c r="C66" s="119" t="str">
        <f>IF(VLOOKUP($B66,'1. 현장별 인원현황'!$C:$J,2,0)=0,"",VLOOKUP($B66,'1. 현장별 인원현황'!$C:$J,2,0))</f>
        <v xml:space="preserve"> [1.대우건설] 청주 테크노폴리스 S1-1,2BL 주상복합 신축공사</v>
      </c>
      <c r="D66" s="116" t="str">
        <f>IF(VLOOKUP($B66,'1. 현장별 인원현황'!$C:$J,3,0)=0,"",VLOOKUP($B66,'1. 현장별 인원현황'!$C:$J,3,0))</f>
        <v>이윤희</v>
      </c>
      <c r="E66" s="63" t="str">
        <f ca="1">IF(VLOOKUP($B66,'1. 현장별 인원현황'!$C:$J,4,0)=0,"",VLOOKUP($B66,'1. 현장별 인원현황'!$C:$J,4,0))</f>
        <v>54세</v>
      </c>
      <c r="F66" s="63" t="str">
        <f>IF(VLOOKUP($B66,'1. 현장별 인원현황'!$C:$J,7,0)=0,"",VLOOKUP($B66,'1. 현장별 인원현황'!$C:$J,7,0))</f>
        <v>기능공</v>
      </c>
      <c r="G66" s="63" t="str">
        <f>IF(VLOOKUP($B66,'1. 현장별 인원현황'!$C:$J,8,0)=0,"",VLOOKUP($B66,'1. 현장별 인원현황'!$C:$J,8,0))</f>
        <v>전공</v>
      </c>
      <c r="H66" s="67" t="s">
        <v>69</v>
      </c>
      <c r="I66" s="73"/>
      <c r="J66" s="73"/>
      <c r="K66" s="68"/>
      <c r="L66" s="67" t="s">
        <v>69</v>
      </c>
      <c r="M66" s="73"/>
      <c r="N66" s="73"/>
      <c r="O66" s="68"/>
      <c r="P66" s="67" t="s">
        <v>69</v>
      </c>
      <c r="Q66" s="73"/>
      <c r="R66" s="73"/>
      <c r="S66" s="68"/>
      <c r="T66" s="67" t="s">
        <v>69</v>
      </c>
      <c r="U66" s="73"/>
      <c r="V66" s="73"/>
      <c r="W66" s="68"/>
      <c r="X66" s="67" t="s">
        <v>69</v>
      </c>
      <c r="Y66" s="73"/>
      <c r="Z66" s="73"/>
      <c r="AA66" s="68"/>
      <c r="AB66" s="67"/>
      <c r="AC66" s="73" t="s">
        <v>69</v>
      </c>
      <c r="AD66" s="73"/>
      <c r="AE66" s="68"/>
      <c r="AF66" s="67"/>
      <c r="AG66" s="73" t="s">
        <v>69</v>
      </c>
      <c r="AH66" s="73"/>
      <c r="AI66" s="68"/>
      <c r="AJ66" s="67" t="s">
        <v>69</v>
      </c>
      <c r="AK66" s="73"/>
      <c r="AL66" s="73"/>
      <c r="AM66" s="68"/>
      <c r="AN66" s="73" t="s">
        <v>69</v>
      </c>
      <c r="AO66" s="73"/>
      <c r="AP66" s="73"/>
      <c r="AQ66" s="68"/>
      <c r="AR66" s="67">
        <f t="shared" si="2"/>
        <v>96</v>
      </c>
      <c r="AS66" s="68" t="str">
        <f t="shared" si="3"/>
        <v>S</v>
      </c>
      <c r="AV66" s="49">
        <f t="shared" si="39"/>
        <v>1</v>
      </c>
      <c r="AW66" s="49">
        <f t="shared" si="4"/>
        <v>0</v>
      </c>
      <c r="AX66" s="49">
        <f t="shared" si="5"/>
        <v>0</v>
      </c>
      <c r="AY66" s="49">
        <f t="shared" si="6"/>
        <v>0</v>
      </c>
      <c r="AZ66" s="49">
        <f t="shared" si="7"/>
        <v>1</v>
      </c>
      <c r="BA66" s="49">
        <f t="shared" si="8"/>
        <v>0</v>
      </c>
      <c r="BB66" s="49">
        <f t="shared" si="9"/>
        <v>0</v>
      </c>
      <c r="BC66" s="49">
        <f t="shared" si="10"/>
        <v>0</v>
      </c>
      <c r="BD66" s="49">
        <f t="shared" si="11"/>
        <v>1</v>
      </c>
      <c r="BE66" s="49">
        <f t="shared" si="12"/>
        <v>0</v>
      </c>
      <c r="BF66" s="49">
        <f t="shared" si="13"/>
        <v>0</v>
      </c>
      <c r="BG66" s="49">
        <f t="shared" si="14"/>
        <v>0</v>
      </c>
      <c r="BH66" s="49">
        <f t="shared" si="15"/>
        <v>1</v>
      </c>
      <c r="BI66" s="49">
        <f t="shared" si="16"/>
        <v>0</v>
      </c>
      <c r="BJ66" s="49">
        <f t="shared" si="17"/>
        <v>0</v>
      </c>
      <c r="BK66" s="49">
        <f t="shared" si="18"/>
        <v>0</v>
      </c>
      <c r="BL66" s="49">
        <f t="shared" si="19"/>
        <v>1</v>
      </c>
      <c r="BM66" s="49">
        <f t="shared" si="20"/>
        <v>0</v>
      </c>
      <c r="BN66" s="49">
        <f t="shared" si="21"/>
        <v>0</v>
      </c>
      <c r="BO66" s="49">
        <f t="shared" si="22"/>
        <v>0</v>
      </c>
      <c r="BP66" s="49">
        <f t="shared" si="23"/>
        <v>0</v>
      </c>
      <c r="BQ66" s="49">
        <f t="shared" si="24"/>
        <v>1</v>
      </c>
      <c r="BR66" s="49">
        <f t="shared" si="25"/>
        <v>0</v>
      </c>
      <c r="BS66" s="49">
        <f t="shared" si="26"/>
        <v>0</v>
      </c>
      <c r="BT66" s="49">
        <f t="shared" si="27"/>
        <v>0</v>
      </c>
      <c r="BU66" s="49">
        <f t="shared" si="28"/>
        <v>1</v>
      </c>
      <c r="BV66" s="49">
        <f t="shared" si="29"/>
        <v>0</v>
      </c>
      <c r="BW66" s="49">
        <f t="shared" si="30"/>
        <v>0</v>
      </c>
      <c r="BX66" s="49">
        <f t="shared" si="31"/>
        <v>1</v>
      </c>
      <c r="BY66" s="49">
        <f t="shared" si="32"/>
        <v>0</v>
      </c>
      <c r="BZ66" s="49">
        <f t="shared" si="33"/>
        <v>0</v>
      </c>
      <c r="CA66" s="49">
        <f t="shared" si="34"/>
        <v>0</v>
      </c>
      <c r="CB66" s="49">
        <f t="shared" si="35"/>
        <v>1</v>
      </c>
      <c r="CC66" s="49">
        <f t="shared" si="36"/>
        <v>0</v>
      </c>
      <c r="CD66" s="49">
        <f t="shared" si="37"/>
        <v>0</v>
      </c>
      <c r="CE66" s="49">
        <f t="shared" si="38"/>
        <v>0</v>
      </c>
    </row>
    <row r="67" spans="1:83" ht="35.1" customHeight="1" x14ac:dyDescent="0.3">
      <c r="A67" s="123" t="str">
        <f t="shared" si="0"/>
        <v>1팀</v>
      </c>
      <c r="B67" s="69">
        <f t="shared" si="1"/>
        <v>61</v>
      </c>
      <c r="C67" s="119" t="str">
        <f>IF(VLOOKUP($B67,'1. 현장별 인원현황'!$C:$J,2,0)=0,"",VLOOKUP($B67,'1. 현장별 인원현황'!$C:$J,2,0))</f>
        <v xml:space="preserve"> [1.대우건설] 청주 테크노폴리스 S1-1,2BL 주상복합 신축공사</v>
      </c>
      <c r="D67" s="116" t="str">
        <f>IF(VLOOKUP($B67,'1. 현장별 인원현황'!$C:$J,3,0)=0,"",VLOOKUP($B67,'1. 현장별 인원현황'!$C:$J,3,0))</f>
        <v>주봉진</v>
      </c>
      <c r="E67" s="63" t="str">
        <f ca="1">IF(VLOOKUP($B67,'1. 현장별 인원현황'!$C:$J,4,0)=0,"",VLOOKUP($B67,'1. 현장별 인원현황'!$C:$J,4,0))</f>
        <v>45세</v>
      </c>
      <c r="F67" s="63" t="str">
        <f>IF(VLOOKUP($B67,'1. 현장별 인원현황'!$C:$J,7,0)=0,"",VLOOKUP($B67,'1. 현장별 인원현황'!$C:$J,7,0))</f>
        <v>기능공</v>
      </c>
      <c r="G67" s="63" t="str">
        <f>IF(VLOOKUP($B67,'1. 현장별 인원현황'!$C:$J,8,0)=0,"",VLOOKUP($B67,'1. 현장별 인원현황'!$C:$J,8,0))</f>
        <v>전공</v>
      </c>
      <c r="H67" s="67"/>
      <c r="I67" s="73" t="s">
        <v>69</v>
      </c>
      <c r="J67" s="73"/>
      <c r="K67" s="68"/>
      <c r="L67" s="67"/>
      <c r="M67" s="73" t="s">
        <v>69</v>
      </c>
      <c r="N67" s="73"/>
      <c r="O67" s="68"/>
      <c r="P67" s="67"/>
      <c r="Q67" s="73" t="s">
        <v>69</v>
      </c>
      <c r="R67" s="73"/>
      <c r="S67" s="68"/>
      <c r="T67" s="67"/>
      <c r="U67" s="73" t="s">
        <v>69</v>
      </c>
      <c r="V67" s="73"/>
      <c r="W67" s="68"/>
      <c r="X67" s="67" t="s">
        <v>69</v>
      </c>
      <c r="Y67" s="73"/>
      <c r="Z67" s="73"/>
      <c r="AA67" s="68"/>
      <c r="AB67" s="67"/>
      <c r="AC67" s="73" t="s">
        <v>69</v>
      </c>
      <c r="AD67" s="73"/>
      <c r="AE67" s="68"/>
      <c r="AF67" s="67"/>
      <c r="AG67" s="73" t="s">
        <v>69</v>
      </c>
      <c r="AH67" s="73"/>
      <c r="AI67" s="68"/>
      <c r="AJ67" s="67"/>
      <c r="AK67" s="73" t="s">
        <v>69</v>
      </c>
      <c r="AL67" s="73"/>
      <c r="AM67" s="68"/>
      <c r="AN67" s="73" t="s">
        <v>69</v>
      </c>
      <c r="AO67" s="73"/>
      <c r="AP67" s="73"/>
      <c r="AQ67" s="68"/>
      <c r="AR67" s="67">
        <f t="shared" si="2"/>
        <v>82</v>
      </c>
      <c r="AS67" s="68" t="str">
        <f t="shared" si="3"/>
        <v>A</v>
      </c>
      <c r="AV67" s="49">
        <f t="shared" si="39"/>
        <v>0</v>
      </c>
      <c r="AW67" s="49">
        <f t="shared" si="4"/>
        <v>1</v>
      </c>
      <c r="AX67" s="49">
        <f t="shared" si="5"/>
        <v>0</v>
      </c>
      <c r="AY67" s="49">
        <f t="shared" si="6"/>
        <v>0</v>
      </c>
      <c r="AZ67" s="49">
        <f t="shared" si="7"/>
        <v>0</v>
      </c>
      <c r="BA67" s="49">
        <f t="shared" si="8"/>
        <v>1</v>
      </c>
      <c r="BB67" s="49">
        <f t="shared" si="9"/>
        <v>0</v>
      </c>
      <c r="BC67" s="49">
        <f t="shared" si="10"/>
        <v>0</v>
      </c>
      <c r="BD67" s="49">
        <f t="shared" si="11"/>
        <v>0</v>
      </c>
      <c r="BE67" s="49">
        <f t="shared" si="12"/>
        <v>1</v>
      </c>
      <c r="BF67" s="49">
        <f t="shared" si="13"/>
        <v>0</v>
      </c>
      <c r="BG67" s="49">
        <f t="shared" si="14"/>
        <v>0</v>
      </c>
      <c r="BH67" s="49">
        <f t="shared" si="15"/>
        <v>0</v>
      </c>
      <c r="BI67" s="49">
        <f t="shared" si="16"/>
        <v>1</v>
      </c>
      <c r="BJ67" s="49">
        <f t="shared" si="17"/>
        <v>0</v>
      </c>
      <c r="BK67" s="49">
        <f t="shared" si="18"/>
        <v>0</v>
      </c>
      <c r="BL67" s="49">
        <f t="shared" si="19"/>
        <v>1</v>
      </c>
      <c r="BM67" s="49">
        <f t="shared" si="20"/>
        <v>0</v>
      </c>
      <c r="BN67" s="49">
        <f t="shared" si="21"/>
        <v>0</v>
      </c>
      <c r="BO67" s="49">
        <f t="shared" si="22"/>
        <v>0</v>
      </c>
      <c r="BP67" s="49">
        <f t="shared" si="23"/>
        <v>0</v>
      </c>
      <c r="BQ67" s="49">
        <f t="shared" si="24"/>
        <v>1</v>
      </c>
      <c r="BR67" s="49">
        <f t="shared" si="25"/>
        <v>0</v>
      </c>
      <c r="BS67" s="49">
        <f t="shared" si="26"/>
        <v>0</v>
      </c>
      <c r="BT67" s="49">
        <f t="shared" si="27"/>
        <v>0</v>
      </c>
      <c r="BU67" s="49">
        <f t="shared" si="28"/>
        <v>1</v>
      </c>
      <c r="BV67" s="49">
        <f t="shared" si="29"/>
        <v>0</v>
      </c>
      <c r="BW67" s="49">
        <f t="shared" si="30"/>
        <v>0</v>
      </c>
      <c r="BX67" s="49">
        <f t="shared" si="31"/>
        <v>0</v>
      </c>
      <c r="BY67" s="49">
        <f t="shared" si="32"/>
        <v>1</v>
      </c>
      <c r="BZ67" s="49">
        <f t="shared" si="33"/>
        <v>0</v>
      </c>
      <c r="CA67" s="49">
        <f t="shared" si="34"/>
        <v>0</v>
      </c>
      <c r="CB67" s="49">
        <f t="shared" si="35"/>
        <v>1</v>
      </c>
      <c r="CC67" s="49">
        <f t="shared" si="36"/>
        <v>0</v>
      </c>
      <c r="CD67" s="49">
        <f t="shared" si="37"/>
        <v>0</v>
      </c>
      <c r="CE67" s="49">
        <f t="shared" si="38"/>
        <v>0</v>
      </c>
    </row>
    <row r="68" spans="1:83" ht="35.1" customHeight="1" x14ac:dyDescent="0.3">
      <c r="A68" s="123" t="str">
        <f t="shared" si="0"/>
        <v>1팀</v>
      </c>
      <c r="B68" s="69">
        <f t="shared" si="1"/>
        <v>62</v>
      </c>
      <c r="C68" s="119" t="str">
        <f>IF(VLOOKUP($B68,'1. 현장별 인원현황'!$C:$J,2,0)=0,"",VLOOKUP($B68,'1. 현장별 인원현황'!$C:$J,2,0))</f>
        <v xml:space="preserve"> [1.대우건설] 청주 테크노폴리스 S1-1,2BL 주상복합 신축공사</v>
      </c>
      <c r="D68" s="116" t="str">
        <f>IF(VLOOKUP($B68,'1. 현장별 인원현황'!$C:$J,3,0)=0,"",VLOOKUP($B68,'1. 현장별 인원현황'!$C:$J,3,0))</f>
        <v>김진영</v>
      </c>
      <c r="E68" s="63" t="str">
        <f ca="1">IF(VLOOKUP($B68,'1. 현장별 인원현황'!$C:$J,4,0)=0,"",VLOOKUP($B68,'1. 현장별 인원현황'!$C:$J,4,0))</f>
        <v>56세</v>
      </c>
      <c r="F68" s="63" t="str">
        <f>IF(VLOOKUP($B68,'1. 현장별 인원현황'!$C:$J,7,0)=0,"",VLOOKUP($B68,'1. 현장별 인원현황'!$C:$J,7,0))</f>
        <v>안전관리자</v>
      </c>
      <c r="G68" s="63" t="str">
        <f>IF(VLOOKUP($B68,'1. 현장별 인원현황'!$C:$J,8,0)=0,"",VLOOKUP($B68,'1. 현장별 인원현황'!$C:$J,8,0))</f>
        <v>과장</v>
      </c>
      <c r="H68" s="67"/>
      <c r="I68" s="73"/>
      <c r="J68" s="73" t="s">
        <v>69</v>
      </c>
      <c r="K68" s="68"/>
      <c r="L68" s="67"/>
      <c r="M68" s="73" t="s">
        <v>69</v>
      </c>
      <c r="N68" s="73"/>
      <c r="O68" s="68"/>
      <c r="P68" s="67"/>
      <c r="Q68" s="73" t="s">
        <v>69</v>
      </c>
      <c r="R68" s="73"/>
      <c r="S68" s="68"/>
      <c r="T68" s="67"/>
      <c r="U68" s="73" t="s">
        <v>69</v>
      </c>
      <c r="V68" s="73"/>
      <c r="W68" s="68"/>
      <c r="X68" s="67" t="s">
        <v>69</v>
      </c>
      <c r="Y68" s="73"/>
      <c r="Z68" s="73"/>
      <c r="AA68" s="68"/>
      <c r="AB68" s="67" t="s">
        <v>69</v>
      </c>
      <c r="AC68" s="73"/>
      <c r="AD68" s="73"/>
      <c r="AE68" s="68"/>
      <c r="AF68" s="67" t="s">
        <v>69</v>
      </c>
      <c r="AG68" s="73"/>
      <c r="AH68" s="73"/>
      <c r="AI68" s="68"/>
      <c r="AJ68" s="67" t="s">
        <v>69</v>
      </c>
      <c r="AK68" s="73"/>
      <c r="AL68" s="73"/>
      <c r="AM68" s="68"/>
      <c r="AN68" s="73" t="s">
        <v>69</v>
      </c>
      <c r="AO68" s="73"/>
      <c r="AP68" s="73"/>
      <c r="AQ68" s="68"/>
      <c r="AR68" s="67">
        <f t="shared" si="2"/>
        <v>86</v>
      </c>
      <c r="AS68" s="68" t="str">
        <f t="shared" si="3"/>
        <v>S</v>
      </c>
      <c r="AV68" s="49">
        <f t="shared" si="39"/>
        <v>0</v>
      </c>
      <c r="AW68" s="49">
        <f t="shared" si="4"/>
        <v>0</v>
      </c>
      <c r="AX68" s="49">
        <f t="shared" si="5"/>
        <v>1</v>
      </c>
      <c r="AY68" s="49">
        <f t="shared" si="6"/>
        <v>0</v>
      </c>
      <c r="AZ68" s="49">
        <f t="shared" si="7"/>
        <v>0</v>
      </c>
      <c r="BA68" s="49">
        <f t="shared" si="8"/>
        <v>1</v>
      </c>
      <c r="BB68" s="49">
        <f t="shared" si="9"/>
        <v>0</v>
      </c>
      <c r="BC68" s="49">
        <f t="shared" si="10"/>
        <v>0</v>
      </c>
      <c r="BD68" s="49">
        <f t="shared" si="11"/>
        <v>0</v>
      </c>
      <c r="BE68" s="49">
        <f t="shared" si="12"/>
        <v>1</v>
      </c>
      <c r="BF68" s="49">
        <f t="shared" si="13"/>
        <v>0</v>
      </c>
      <c r="BG68" s="49">
        <f t="shared" si="14"/>
        <v>0</v>
      </c>
      <c r="BH68" s="49">
        <f t="shared" si="15"/>
        <v>0</v>
      </c>
      <c r="BI68" s="49">
        <f t="shared" si="16"/>
        <v>1</v>
      </c>
      <c r="BJ68" s="49">
        <f t="shared" si="17"/>
        <v>0</v>
      </c>
      <c r="BK68" s="49">
        <f t="shared" si="18"/>
        <v>0</v>
      </c>
      <c r="BL68" s="49">
        <f t="shared" si="19"/>
        <v>1</v>
      </c>
      <c r="BM68" s="49">
        <f t="shared" si="20"/>
        <v>0</v>
      </c>
      <c r="BN68" s="49">
        <f t="shared" si="21"/>
        <v>0</v>
      </c>
      <c r="BO68" s="49">
        <f t="shared" si="22"/>
        <v>0</v>
      </c>
      <c r="BP68" s="49">
        <f t="shared" si="23"/>
        <v>1</v>
      </c>
      <c r="BQ68" s="49">
        <f t="shared" si="24"/>
        <v>0</v>
      </c>
      <c r="BR68" s="49">
        <f t="shared" si="25"/>
        <v>0</v>
      </c>
      <c r="BS68" s="49">
        <f t="shared" si="26"/>
        <v>0</v>
      </c>
      <c r="BT68" s="49">
        <f t="shared" si="27"/>
        <v>1</v>
      </c>
      <c r="BU68" s="49">
        <f t="shared" si="28"/>
        <v>0</v>
      </c>
      <c r="BV68" s="49">
        <f t="shared" si="29"/>
        <v>0</v>
      </c>
      <c r="BW68" s="49">
        <f t="shared" si="30"/>
        <v>0</v>
      </c>
      <c r="BX68" s="49">
        <f t="shared" si="31"/>
        <v>1</v>
      </c>
      <c r="BY68" s="49">
        <f t="shared" si="32"/>
        <v>0</v>
      </c>
      <c r="BZ68" s="49">
        <f t="shared" si="33"/>
        <v>0</v>
      </c>
      <c r="CA68" s="49">
        <f t="shared" si="34"/>
        <v>0</v>
      </c>
      <c r="CB68" s="49">
        <f t="shared" si="35"/>
        <v>1</v>
      </c>
      <c r="CC68" s="49">
        <f t="shared" si="36"/>
        <v>0</v>
      </c>
      <c r="CD68" s="49">
        <f t="shared" si="37"/>
        <v>0</v>
      </c>
      <c r="CE68" s="49">
        <f t="shared" si="38"/>
        <v>0</v>
      </c>
    </row>
    <row r="69" spans="1:83" ht="35.1" customHeight="1" x14ac:dyDescent="0.3">
      <c r="A69" s="123" t="str">
        <f t="shared" si="0"/>
        <v>1팀</v>
      </c>
      <c r="B69" s="69">
        <f t="shared" si="1"/>
        <v>63</v>
      </c>
      <c r="C69" s="119" t="str">
        <f>IF(VLOOKUP($B69,'1. 현장별 인원현황'!$C:$J,2,0)=0,"",VLOOKUP($B69,'1. 현장별 인원현황'!$C:$J,2,0))</f>
        <v xml:space="preserve"> [1.대우건설] 파주운정지구 도시지원 4-5,6,7,8,9BL(1단지) 및 4-4BL(2단지) 오피스텔 신축공사</v>
      </c>
      <c r="D69" s="116" t="str">
        <f>IF(VLOOKUP($B69,'1. 현장별 인원현황'!$C:$J,3,0)=0,"",VLOOKUP($B69,'1. 현장별 인원현황'!$C:$J,3,0))</f>
        <v>박현준</v>
      </c>
      <c r="E69" s="63" t="str">
        <f ca="1">IF(VLOOKUP($B69,'1. 현장별 인원현황'!$C:$J,4,0)=0,"",VLOOKUP($B69,'1. 현장별 인원현황'!$C:$J,4,0))</f>
        <v>44세</v>
      </c>
      <c r="F69" s="63" t="str">
        <f>IF(VLOOKUP($B69,'1. 현장별 인원현황'!$C:$J,7,0)=0,"",VLOOKUP($B69,'1. 현장별 인원현황'!$C:$J,7,0))</f>
        <v>공무</v>
      </c>
      <c r="G69" s="63" t="str">
        <f>IF(VLOOKUP($B69,'1. 현장별 인원현황'!$C:$J,8,0)=0,"",VLOOKUP($B69,'1. 현장별 인원현황'!$C:$J,8,0))</f>
        <v>과장</v>
      </c>
      <c r="H69" s="67" t="s">
        <v>69</v>
      </c>
      <c r="I69" s="73"/>
      <c r="J69" s="73"/>
      <c r="K69" s="68"/>
      <c r="L69" s="67" t="s">
        <v>69</v>
      </c>
      <c r="M69" s="73"/>
      <c r="N69" s="73"/>
      <c r="O69" s="68"/>
      <c r="P69" s="67"/>
      <c r="Q69" s="73" t="s">
        <v>69</v>
      </c>
      <c r="R69" s="73"/>
      <c r="S69" s="68"/>
      <c r="T69" s="67"/>
      <c r="U69" s="73" t="s">
        <v>69</v>
      </c>
      <c r="V69" s="73"/>
      <c r="W69" s="68"/>
      <c r="X69" s="67"/>
      <c r="Y69" s="73" t="s">
        <v>69</v>
      </c>
      <c r="Z69" s="73"/>
      <c r="AA69" s="68"/>
      <c r="AB69" s="67" t="s">
        <v>69</v>
      </c>
      <c r="AC69" s="73"/>
      <c r="AD69" s="73"/>
      <c r="AE69" s="68"/>
      <c r="AF69" s="67"/>
      <c r="AG69" s="73" t="s">
        <v>69</v>
      </c>
      <c r="AH69" s="73"/>
      <c r="AI69" s="68"/>
      <c r="AJ69" s="67"/>
      <c r="AK69" s="73" t="s">
        <v>69</v>
      </c>
      <c r="AL69" s="73"/>
      <c r="AM69" s="68"/>
      <c r="AN69" s="73" t="s">
        <v>69</v>
      </c>
      <c r="AO69" s="73"/>
      <c r="AP69" s="73"/>
      <c r="AQ69" s="68"/>
      <c r="AR69" s="67">
        <f t="shared" si="2"/>
        <v>88</v>
      </c>
      <c r="AS69" s="68" t="str">
        <f t="shared" si="3"/>
        <v>S</v>
      </c>
      <c r="AV69" s="49">
        <f t="shared" si="39"/>
        <v>1</v>
      </c>
      <c r="AW69" s="49">
        <f t="shared" si="4"/>
        <v>0</v>
      </c>
      <c r="AX69" s="49">
        <f t="shared" si="5"/>
        <v>0</v>
      </c>
      <c r="AY69" s="49">
        <f t="shared" si="6"/>
        <v>0</v>
      </c>
      <c r="AZ69" s="49">
        <f t="shared" si="7"/>
        <v>1</v>
      </c>
      <c r="BA69" s="49">
        <f t="shared" si="8"/>
        <v>0</v>
      </c>
      <c r="BB69" s="49">
        <f t="shared" si="9"/>
        <v>0</v>
      </c>
      <c r="BC69" s="49">
        <f t="shared" si="10"/>
        <v>0</v>
      </c>
      <c r="BD69" s="49">
        <f t="shared" si="11"/>
        <v>0</v>
      </c>
      <c r="BE69" s="49">
        <f t="shared" si="12"/>
        <v>1</v>
      </c>
      <c r="BF69" s="49">
        <f t="shared" si="13"/>
        <v>0</v>
      </c>
      <c r="BG69" s="49">
        <f t="shared" si="14"/>
        <v>0</v>
      </c>
      <c r="BH69" s="49">
        <f t="shared" si="15"/>
        <v>0</v>
      </c>
      <c r="BI69" s="49">
        <f t="shared" si="16"/>
        <v>1</v>
      </c>
      <c r="BJ69" s="49">
        <f t="shared" si="17"/>
        <v>0</v>
      </c>
      <c r="BK69" s="49">
        <f t="shared" si="18"/>
        <v>0</v>
      </c>
      <c r="BL69" s="49">
        <f t="shared" si="19"/>
        <v>0</v>
      </c>
      <c r="BM69" s="49">
        <f t="shared" si="20"/>
        <v>1</v>
      </c>
      <c r="BN69" s="49">
        <f t="shared" si="21"/>
        <v>0</v>
      </c>
      <c r="BO69" s="49">
        <f t="shared" si="22"/>
        <v>0</v>
      </c>
      <c r="BP69" s="49">
        <f t="shared" si="23"/>
        <v>1</v>
      </c>
      <c r="BQ69" s="49">
        <f t="shared" si="24"/>
        <v>0</v>
      </c>
      <c r="BR69" s="49">
        <f t="shared" si="25"/>
        <v>0</v>
      </c>
      <c r="BS69" s="49">
        <f t="shared" si="26"/>
        <v>0</v>
      </c>
      <c r="BT69" s="49">
        <f t="shared" si="27"/>
        <v>0</v>
      </c>
      <c r="BU69" s="49">
        <f t="shared" si="28"/>
        <v>1</v>
      </c>
      <c r="BV69" s="49">
        <f t="shared" si="29"/>
        <v>0</v>
      </c>
      <c r="BW69" s="49">
        <f t="shared" si="30"/>
        <v>0</v>
      </c>
      <c r="BX69" s="49">
        <f t="shared" si="31"/>
        <v>0</v>
      </c>
      <c r="BY69" s="49">
        <f t="shared" si="32"/>
        <v>1</v>
      </c>
      <c r="BZ69" s="49">
        <f t="shared" si="33"/>
        <v>0</v>
      </c>
      <c r="CA69" s="49">
        <f t="shared" si="34"/>
        <v>0</v>
      </c>
      <c r="CB69" s="49">
        <f t="shared" si="35"/>
        <v>1</v>
      </c>
      <c r="CC69" s="49">
        <f t="shared" si="36"/>
        <v>0</v>
      </c>
      <c r="CD69" s="49">
        <f t="shared" si="37"/>
        <v>0</v>
      </c>
      <c r="CE69" s="49">
        <f t="shared" si="38"/>
        <v>0</v>
      </c>
    </row>
    <row r="70" spans="1:83" ht="35.1" customHeight="1" x14ac:dyDescent="0.3">
      <c r="A70" s="123" t="str">
        <f t="shared" si="0"/>
        <v>1팀</v>
      </c>
      <c r="B70" s="69">
        <f t="shared" si="1"/>
        <v>64</v>
      </c>
      <c r="C70" s="119" t="str">
        <f>IF(VLOOKUP($B70,'1. 현장별 인원현황'!$C:$J,2,0)=0,"",VLOOKUP($B70,'1. 현장별 인원현황'!$C:$J,2,0))</f>
        <v xml:space="preserve"> [1.대우건설] 파주운정지구 도시지원 4-5,6,7,8,9BL(1단지) 및 4-4BL(2단지) 오피스텔 신축공사</v>
      </c>
      <c r="D70" s="116" t="str">
        <f>IF(VLOOKUP($B70,'1. 현장별 인원현황'!$C:$J,3,0)=0,"",VLOOKUP($B70,'1. 현장별 인원현황'!$C:$J,3,0))</f>
        <v>주원덕</v>
      </c>
      <c r="E70" s="63" t="str">
        <f ca="1">IF(VLOOKUP($B70,'1. 현장별 인원현황'!$C:$J,4,0)=0,"",VLOOKUP($B70,'1. 현장별 인원현황'!$C:$J,4,0))</f>
        <v>64세</v>
      </c>
      <c r="F70" s="63" t="str">
        <f>IF(VLOOKUP($B70,'1. 현장별 인원현황'!$C:$J,7,0)=0,"",VLOOKUP($B70,'1. 현장별 인원현황'!$C:$J,7,0))</f>
        <v>공사</v>
      </c>
      <c r="G70" s="63" t="str">
        <f>IF(VLOOKUP($B70,'1. 현장별 인원현황'!$C:$J,8,0)=0,"",VLOOKUP($B70,'1. 현장별 인원현황'!$C:$J,8,0))</f>
        <v>차장</v>
      </c>
      <c r="H70" s="67" t="s">
        <v>69</v>
      </c>
      <c r="I70" s="73"/>
      <c r="J70" s="73"/>
      <c r="K70" s="68"/>
      <c r="L70" s="67" t="s">
        <v>69</v>
      </c>
      <c r="M70" s="73"/>
      <c r="N70" s="73"/>
      <c r="O70" s="68"/>
      <c r="P70" s="67"/>
      <c r="Q70" s="73" t="s">
        <v>69</v>
      </c>
      <c r="R70" s="73"/>
      <c r="S70" s="68"/>
      <c r="T70" s="67"/>
      <c r="U70" s="73" t="s">
        <v>69</v>
      </c>
      <c r="V70" s="73"/>
      <c r="W70" s="68"/>
      <c r="X70" s="67" t="s">
        <v>69</v>
      </c>
      <c r="Y70" s="73"/>
      <c r="Z70" s="73"/>
      <c r="AA70" s="68"/>
      <c r="AB70" s="67" t="s">
        <v>69</v>
      </c>
      <c r="AC70" s="73"/>
      <c r="AD70" s="73"/>
      <c r="AE70" s="68"/>
      <c r="AF70" s="67" t="s">
        <v>69</v>
      </c>
      <c r="AG70" s="73"/>
      <c r="AH70" s="73"/>
      <c r="AI70" s="68"/>
      <c r="AJ70" s="67" t="s">
        <v>69</v>
      </c>
      <c r="AK70" s="73"/>
      <c r="AL70" s="73"/>
      <c r="AM70" s="68"/>
      <c r="AN70" s="73" t="s">
        <v>69</v>
      </c>
      <c r="AO70" s="73"/>
      <c r="AP70" s="73"/>
      <c r="AQ70" s="68"/>
      <c r="AR70" s="67">
        <f t="shared" si="2"/>
        <v>95</v>
      </c>
      <c r="AS70" s="68" t="str">
        <f t="shared" si="3"/>
        <v>S</v>
      </c>
      <c r="AV70" s="49">
        <f t="shared" si="39"/>
        <v>1</v>
      </c>
      <c r="AW70" s="49">
        <f t="shared" si="4"/>
        <v>0</v>
      </c>
      <c r="AX70" s="49">
        <f t="shared" si="5"/>
        <v>0</v>
      </c>
      <c r="AY70" s="49">
        <f t="shared" si="6"/>
        <v>0</v>
      </c>
      <c r="AZ70" s="49">
        <f t="shared" si="7"/>
        <v>1</v>
      </c>
      <c r="BA70" s="49">
        <f t="shared" si="8"/>
        <v>0</v>
      </c>
      <c r="BB70" s="49">
        <f t="shared" si="9"/>
        <v>0</v>
      </c>
      <c r="BC70" s="49">
        <f t="shared" si="10"/>
        <v>0</v>
      </c>
      <c r="BD70" s="49">
        <f t="shared" si="11"/>
        <v>0</v>
      </c>
      <c r="BE70" s="49">
        <f t="shared" si="12"/>
        <v>1</v>
      </c>
      <c r="BF70" s="49">
        <f t="shared" si="13"/>
        <v>0</v>
      </c>
      <c r="BG70" s="49">
        <f t="shared" si="14"/>
        <v>0</v>
      </c>
      <c r="BH70" s="49">
        <f t="shared" si="15"/>
        <v>0</v>
      </c>
      <c r="BI70" s="49">
        <f t="shared" si="16"/>
        <v>1</v>
      </c>
      <c r="BJ70" s="49">
        <f t="shared" si="17"/>
        <v>0</v>
      </c>
      <c r="BK70" s="49">
        <f t="shared" si="18"/>
        <v>0</v>
      </c>
      <c r="BL70" s="49">
        <f t="shared" si="19"/>
        <v>1</v>
      </c>
      <c r="BM70" s="49">
        <f t="shared" si="20"/>
        <v>0</v>
      </c>
      <c r="BN70" s="49">
        <f t="shared" si="21"/>
        <v>0</v>
      </c>
      <c r="BO70" s="49">
        <f t="shared" si="22"/>
        <v>0</v>
      </c>
      <c r="BP70" s="49">
        <f t="shared" si="23"/>
        <v>1</v>
      </c>
      <c r="BQ70" s="49">
        <f t="shared" si="24"/>
        <v>0</v>
      </c>
      <c r="BR70" s="49">
        <f t="shared" si="25"/>
        <v>0</v>
      </c>
      <c r="BS70" s="49">
        <f t="shared" si="26"/>
        <v>0</v>
      </c>
      <c r="BT70" s="49">
        <f t="shared" si="27"/>
        <v>1</v>
      </c>
      <c r="BU70" s="49">
        <f t="shared" si="28"/>
        <v>0</v>
      </c>
      <c r="BV70" s="49">
        <f t="shared" si="29"/>
        <v>0</v>
      </c>
      <c r="BW70" s="49">
        <f t="shared" si="30"/>
        <v>0</v>
      </c>
      <c r="BX70" s="49">
        <f t="shared" si="31"/>
        <v>1</v>
      </c>
      <c r="BY70" s="49">
        <f t="shared" si="32"/>
        <v>0</v>
      </c>
      <c r="BZ70" s="49">
        <f t="shared" si="33"/>
        <v>0</v>
      </c>
      <c r="CA70" s="49">
        <f t="shared" si="34"/>
        <v>0</v>
      </c>
      <c r="CB70" s="49">
        <f t="shared" si="35"/>
        <v>1</v>
      </c>
      <c r="CC70" s="49">
        <f t="shared" si="36"/>
        <v>0</v>
      </c>
      <c r="CD70" s="49">
        <f t="shared" si="37"/>
        <v>0</v>
      </c>
      <c r="CE70" s="49">
        <f t="shared" si="38"/>
        <v>0</v>
      </c>
    </row>
    <row r="71" spans="1:83" ht="35.1" customHeight="1" x14ac:dyDescent="0.3">
      <c r="A71" s="123" t="str">
        <f t="shared" ref="A71:A134" si="40">MID(C71,3,1)&amp;"팀"</f>
        <v>1팀</v>
      </c>
      <c r="B71" s="69">
        <f t="shared" ref="B71:B134" si="41">ROW()-6</f>
        <v>65</v>
      </c>
      <c r="C71" s="119" t="str">
        <f>IF(VLOOKUP($B71,'1. 현장별 인원현황'!$C:$J,2,0)=0,"",VLOOKUP($B71,'1. 현장별 인원현황'!$C:$J,2,0))</f>
        <v xml:space="preserve"> [1.대우건설] 파주운정지구 도시지원 4-5,6,7,8,9BL(1단지) 및 4-4BL(2단지) 오피스텔 신축공사</v>
      </c>
      <c r="D71" s="116" t="str">
        <f>IF(VLOOKUP($B71,'1. 현장별 인원현황'!$C:$J,3,0)=0,"",VLOOKUP($B71,'1. 현장별 인원현황'!$C:$J,3,0))</f>
        <v>김강남</v>
      </c>
      <c r="E71" s="63" t="str">
        <f ca="1">IF(VLOOKUP($B71,'1. 현장별 인원현황'!$C:$J,4,0)=0,"",VLOOKUP($B71,'1. 현장별 인원현황'!$C:$J,4,0))</f>
        <v>39세</v>
      </c>
      <c r="F71" s="63" t="str">
        <f>IF(VLOOKUP($B71,'1. 현장별 인원현황'!$C:$J,7,0)=0,"",VLOOKUP($B71,'1. 현장별 인원현황'!$C:$J,7,0))</f>
        <v>기능공</v>
      </c>
      <c r="G71" s="63" t="str">
        <f>IF(VLOOKUP($B71,'1. 현장별 인원현황'!$C:$J,8,0)=0,"",VLOOKUP($B71,'1. 현장별 인원현황'!$C:$J,8,0))</f>
        <v>전공</v>
      </c>
      <c r="H71" s="67"/>
      <c r="I71" s="73" t="s">
        <v>69</v>
      </c>
      <c r="J71" s="73"/>
      <c r="K71" s="68"/>
      <c r="L71" s="67"/>
      <c r="M71" s="73" t="s">
        <v>69</v>
      </c>
      <c r="N71" s="73"/>
      <c r="O71" s="68"/>
      <c r="P71" s="67"/>
      <c r="Q71" s="73" t="s">
        <v>69</v>
      </c>
      <c r="R71" s="73"/>
      <c r="S71" s="68"/>
      <c r="T71" s="67"/>
      <c r="U71" s="73" t="s">
        <v>69</v>
      </c>
      <c r="V71" s="73"/>
      <c r="W71" s="68"/>
      <c r="X71" s="67" t="s">
        <v>69</v>
      </c>
      <c r="Y71" s="73"/>
      <c r="Z71" s="73"/>
      <c r="AA71" s="68"/>
      <c r="AB71" s="67" t="s">
        <v>69</v>
      </c>
      <c r="AC71" s="73"/>
      <c r="AD71" s="73"/>
      <c r="AE71" s="68"/>
      <c r="AF71" s="67"/>
      <c r="AG71" s="73" t="s">
        <v>69</v>
      </c>
      <c r="AH71" s="73"/>
      <c r="AI71" s="68"/>
      <c r="AJ71" s="67" t="s">
        <v>69</v>
      </c>
      <c r="AK71" s="73"/>
      <c r="AL71" s="73"/>
      <c r="AM71" s="68"/>
      <c r="AN71" s="73" t="s">
        <v>69</v>
      </c>
      <c r="AO71" s="73"/>
      <c r="AP71" s="73"/>
      <c r="AQ71" s="68"/>
      <c r="AR71" s="67">
        <f t="shared" ref="AR71:AR134" si="42">SUMPRODUCT($H$5:$AQ$5,AV71:CE71)</f>
        <v>87</v>
      </c>
      <c r="AS71" s="68" t="str">
        <f t="shared" ref="AS71:AS134" si="43">IF(AR71&gt;85,"S",IF(AR71&gt;70,"A",IF(AR71&gt;50,"B",IF(AR71&gt;0,"C",""))))</f>
        <v>S</v>
      </c>
      <c r="AV71" s="49">
        <f t="shared" si="39"/>
        <v>0</v>
      </c>
      <c r="AW71" s="49">
        <f t="shared" ref="AW71:AW508" si="44">IF(I71&gt;0,1,0)</f>
        <v>1</v>
      </c>
      <c r="AX71" s="49">
        <f t="shared" ref="AX71:AX508" si="45">IF(J71&gt;0,1,0)</f>
        <v>0</v>
      </c>
      <c r="AY71" s="49">
        <f t="shared" ref="AY71:AY508" si="46">IF(K71&gt;0,1,0)</f>
        <v>0</v>
      </c>
      <c r="AZ71" s="49">
        <f t="shared" ref="AZ71:AZ508" si="47">IF(L71&gt;0,1,0)</f>
        <v>0</v>
      </c>
      <c r="BA71" s="49">
        <f t="shared" ref="BA71:BA508" si="48">IF(M71&gt;0,1,0)</f>
        <v>1</v>
      </c>
      <c r="BB71" s="49">
        <f t="shared" ref="BB71:BB508" si="49">IF(N71&gt;0,1,0)</f>
        <v>0</v>
      </c>
      <c r="BC71" s="49">
        <f t="shared" ref="BC71:BC508" si="50">IF(O71&gt;0,1,0)</f>
        <v>0</v>
      </c>
      <c r="BD71" s="49">
        <f t="shared" ref="BD71:BD508" si="51">IF(P71&gt;0,1,0)</f>
        <v>0</v>
      </c>
      <c r="BE71" s="49">
        <f t="shared" ref="BE71:BE508" si="52">IF(Q71&gt;0,1,0)</f>
        <v>1</v>
      </c>
      <c r="BF71" s="49">
        <f t="shared" ref="BF71:BF508" si="53">IF(R71&gt;0,1,0)</f>
        <v>0</v>
      </c>
      <c r="BG71" s="49">
        <f t="shared" ref="BG71:BG508" si="54">IF(S71&gt;0,1,0)</f>
        <v>0</v>
      </c>
      <c r="BH71" s="49">
        <f t="shared" ref="BH71:BH508" si="55">IF(T71&gt;0,1,0)</f>
        <v>0</v>
      </c>
      <c r="BI71" s="49">
        <f t="shared" ref="BI71:BI508" si="56">IF(U71&gt;0,1,0)</f>
        <v>1</v>
      </c>
      <c r="BJ71" s="49">
        <f t="shared" ref="BJ71:BJ508" si="57">IF(V71&gt;0,1,0)</f>
        <v>0</v>
      </c>
      <c r="BK71" s="49">
        <f t="shared" ref="BK71:BK508" si="58">IF(W71&gt;0,1,0)</f>
        <v>0</v>
      </c>
      <c r="BL71" s="49">
        <f t="shared" ref="BL71:BL508" si="59">IF(X71&gt;0,1,0)</f>
        <v>1</v>
      </c>
      <c r="BM71" s="49">
        <f t="shared" ref="BM71:BM508" si="60">IF(Y71&gt;0,1,0)</f>
        <v>0</v>
      </c>
      <c r="BN71" s="49">
        <f t="shared" ref="BN71:BN508" si="61">IF(Z71&gt;0,1,0)</f>
        <v>0</v>
      </c>
      <c r="BO71" s="49">
        <f t="shared" ref="BO71:BO508" si="62">IF(AA71&gt;0,1,0)</f>
        <v>0</v>
      </c>
      <c r="BP71" s="49">
        <f t="shared" ref="BP71:BP508" si="63">IF(AB71&gt;0,1,0)</f>
        <v>1</v>
      </c>
      <c r="BQ71" s="49">
        <f t="shared" ref="BQ71:BQ508" si="64">IF(AC71&gt;0,1,0)</f>
        <v>0</v>
      </c>
      <c r="BR71" s="49">
        <f t="shared" ref="BR71:BR508" si="65">IF(AD71&gt;0,1,0)</f>
        <v>0</v>
      </c>
      <c r="BS71" s="49">
        <f t="shared" ref="BS71:BS508" si="66">IF(AE71&gt;0,1,0)</f>
        <v>0</v>
      </c>
      <c r="BT71" s="49">
        <f t="shared" ref="BT71:BT508" si="67">IF(AF71&gt;0,1,0)</f>
        <v>0</v>
      </c>
      <c r="BU71" s="49">
        <f t="shared" ref="BU71:BU508" si="68">IF(AG71&gt;0,1,0)</f>
        <v>1</v>
      </c>
      <c r="BV71" s="49">
        <f t="shared" ref="BV71:BV508" si="69">IF(AH71&gt;0,1,0)</f>
        <v>0</v>
      </c>
      <c r="BW71" s="49">
        <f t="shared" ref="BW71:BW508" si="70">IF(AI71&gt;0,1,0)</f>
        <v>0</v>
      </c>
      <c r="BX71" s="49">
        <f t="shared" ref="BX71:BX508" si="71">IF(AJ71&gt;0,1,0)</f>
        <v>1</v>
      </c>
      <c r="BY71" s="49">
        <f t="shared" ref="BY71:BY508" si="72">IF(AK71&gt;0,1,0)</f>
        <v>0</v>
      </c>
      <c r="BZ71" s="49">
        <f t="shared" ref="BZ71:BZ508" si="73">IF(AL71&gt;0,1,0)</f>
        <v>0</v>
      </c>
      <c r="CA71" s="49">
        <f t="shared" ref="CA71:CA508" si="74">IF(AM71&gt;0,1,0)</f>
        <v>0</v>
      </c>
      <c r="CB71" s="49">
        <f t="shared" ref="CB71:CB508" si="75">IF(AN71&gt;0,1,0)</f>
        <v>1</v>
      </c>
      <c r="CC71" s="49">
        <f t="shared" ref="CC71:CC508" si="76">IF(AO71&gt;0,1,0)</f>
        <v>0</v>
      </c>
      <c r="CD71" s="49">
        <f t="shared" ref="CD71:CD508" si="77">IF(AP71&gt;0,1,0)</f>
        <v>0</v>
      </c>
      <c r="CE71" s="49">
        <f t="shared" ref="CE71:CE508" si="78">IF(AQ71&gt;0,1,0)</f>
        <v>0</v>
      </c>
    </row>
    <row r="72" spans="1:83" ht="35.1" customHeight="1" x14ac:dyDescent="0.3">
      <c r="A72" s="123" t="str">
        <f t="shared" si="40"/>
        <v>1팀</v>
      </c>
      <c r="B72" s="69">
        <f t="shared" si="41"/>
        <v>66</v>
      </c>
      <c r="C72" s="119" t="str">
        <f>IF(VLOOKUP($B72,'1. 현장별 인원현황'!$C:$J,2,0)=0,"",VLOOKUP($B72,'1. 현장별 인원현황'!$C:$J,2,0))</f>
        <v xml:space="preserve"> [1.두산건설] [전기] 강화2지역 주택조합 전기공사</v>
      </c>
      <c r="D72" s="116" t="str">
        <f>IF(VLOOKUP($B72,'1. 현장별 인원현황'!$C:$J,3,0)=0,"",VLOOKUP($B72,'1. 현장별 인원현황'!$C:$J,3,0))</f>
        <v>고원석</v>
      </c>
      <c r="E72" s="63" t="str">
        <f ca="1">IF(VLOOKUP($B72,'1. 현장별 인원현황'!$C:$J,4,0)=0,"",VLOOKUP($B72,'1. 현장별 인원현황'!$C:$J,4,0))</f>
        <v>60세</v>
      </c>
      <c r="F72" s="63" t="str">
        <f>IF(VLOOKUP($B72,'1. 현장별 인원현황'!$C:$J,7,0)=0,"",VLOOKUP($B72,'1. 현장별 인원현황'!$C:$J,7,0))</f>
        <v>공사</v>
      </c>
      <c r="G72" s="63" t="str">
        <f>IF(VLOOKUP($B72,'1. 현장별 인원현황'!$C:$J,8,0)=0,"",VLOOKUP($B72,'1. 현장별 인원현황'!$C:$J,8,0))</f>
        <v>차장</v>
      </c>
      <c r="H72" s="67" t="s">
        <v>69</v>
      </c>
      <c r="I72" s="73"/>
      <c r="J72" s="73"/>
      <c r="K72" s="68"/>
      <c r="L72" s="67" t="s">
        <v>69</v>
      </c>
      <c r="M72" s="73"/>
      <c r="N72" s="73"/>
      <c r="O72" s="68"/>
      <c r="P72" s="67" t="s">
        <v>69</v>
      </c>
      <c r="Q72" s="73"/>
      <c r="R72" s="73"/>
      <c r="S72" s="68"/>
      <c r="T72" s="67" t="s">
        <v>69</v>
      </c>
      <c r="U72" s="73"/>
      <c r="V72" s="73"/>
      <c r="W72" s="68"/>
      <c r="X72" s="67" t="s">
        <v>69</v>
      </c>
      <c r="Y72" s="73"/>
      <c r="Z72" s="73"/>
      <c r="AA72" s="68"/>
      <c r="AB72" s="67" t="s">
        <v>69</v>
      </c>
      <c r="AC72" s="73"/>
      <c r="AD72" s="73"/>
      <c r="AE72" s="68"/>
      <c r="AF72" s="67" t="s">
        <v>69</v>
      </c>
      <c r="AG72" s="73"/>
      <c r="AH72" s="73"/>
      <c r="AI72" s="68"/>
      <c r="AJ72" s="67" t="s">
        <v>69</v>
      </c>
      <c r="AK72" s="73"/>
      <c r="AL72" s="73"/>
      <c r="AM72" s="68"/>
      <c r="AN72" s="73" t="s">
        <v>69</v>
      </c>
      <c r="AO72" s="73"/>
      <c r="AP72" s="73"/>
      <c r="AQ72" s="68"/>
      <c r="AR72" s="67">
        <f t="shared" si="42"/>
        <v>100</v>
      </c>
      <c r="AS72" s="68" t="str">
        <f t="shared" si="43"/>
        <v>S</v>
      </c>
      <c r="AV72" s="49">
        <f t="shared" ref="AV72:AV508" si="79">IF(H72&gt;0,1,0)</f>
        <v>1</v>
      </c>
      <c r="AW72" s="49">
        <f t="shared" si="44"/>
        <v>0</v>
      </c>
      <c r="AX72" s="49">
        <f t="shared" si="45"/>
        <v>0</v>
      </c>
      <c r="AY72" s="49">
        <f t="shared" si="46"/>
        <v>0</v>
      </c>
      <c r="AZ72" s="49">
        <f t="shared" si="47"/>
        <v>1</v>
      </c>
      <c r="BA72" s="49">
        <f t="shared" si="48"/>
        <v>0</v>
      </c>
      <c r="BB72" s="49">
        <f t="shared" si="49"/>
        <v>0</v>
      </c>
      <c r="BC72" s="49">
        <f t="shared" si="50"/>
        <v>0</v>
      </c>
      <c r="BD72" s="49">
        <f t="shared" si="51"/>
        <v>1</v>
      </c>
      <c r="BE72" s="49">
        <f t="shared" si="52"/>
        <v>0</v>
      </c>
      <c r="BF72" s="49">
        <f t="shared" si="53"/>
        <v>0</v>
      </c>
      <c r="BG72" s="49">
        <f t="shared" si="54"/>
        <v>0</v>
      </c>
      <c r="BH72" s="49">
        <f t="shared" si="55"/>
        <v>1</v>
      </c>
      <c r="BI72" s="49">
        <f t="shared" si="56"/>
        <v>0</v>
      </c>
      <c r="BJ72" s="49">
        <f t="shared" si="57"/>
        <v>0</v>
      </c>
      <c r="BK72" s="49">
        <f t="shared" si="58"/>
        <v>0</v>
      </c>
      <c r="BL72" s="49">
        <f t="shared" si="59"/>
        <v>1</v>
      </c>
      <c r="BM72" s="49">
        <f t="shared" si="60"/>
        <v>0</v>
      </c>
      <c r="BN72" s="49">
        <f t="shared" si="61"/>
        <v>0</v>
      </c>
      <c r="BO72" s="49">
        <f t="shared" si="62"/>
        <v>0</v>
      </c>
      <c r="BP72" s="49">
        <f t="shared" si="63"/>
        <v>1</v>
      </c>
      <c r="BQ72" s="49">
        <f t="shared" si="64"/>
        <v>0</v>
      </c>
      <c r="BR72" s="49">
        <f t="shared" si="65"/>
        <v>0</v>
      </c>
      <c r="BS72" s="49">
        <f t="shared" si="66"/>
        <v>0</v>
      </c>
      <c r="BT72" s="49">
        <f t="shared" si="67"/>
        <v>1</v>
      </c>
      <c r="BU72" s="49">
        <f t="shared" si="68"/>
        <v>0</v>
      </c>
      <c r="BV72" s="49">
        <f t="shared" si="69"/>
        <v>0</v>
      </c>
      <c r="BW72" s="49">
        <f t="shared" si="70"/>
        <v>0</v>
      </c>
      <c r="BX72" s="49">
        <f t="shared" si="71"/>
        <v>1</v>
      </c>
      <c r="BY72" s="49">
        <f t="shared" si="72"/>
        <v>0</v>
      </c>
      <c r="BZ72" s="49">
        <f t="shared" si="73"/>
        <v>0</v>
      </c>
      <c r="CA72" s="49">
        <f t="shared" si="74"/>
        <v>0</v>
      </c>
      <c r="CB72" s="49">
        <f t="shared" si="75"/>
        <v>1</v>
      </c>
      <c r="CC72" s="49">
        <f t="shared" si="76"/>
        <v>0</v>
      </c>
      <c r="CD72" s="49">
        <f t="shared" si="77"/>
        <v>0</v>
      </c>
      <c r="CE72" s="49">
        <f t="shared" si="78"/>
        <v>0</v>
      </c>
    </row>
    <row r="73" spans="1:83" ht="35.1" customHeight="1" x14ac:dyDescent="0.3">
      <c r="A73" s="123" t="str">
        <f t="shared" si="40"/>
        <v>1팀</v>
      </c>
      <c r="B73" s="69">
        <f t="shared" si="41"/>
        <v>67</v>
      </c>
      <c r="C73" s="119" t="str">
        <f>IF(VLOOKUP($B73,'1. 현장별 인원현황'!$C:$J,2,0)=0,"",VLOOKUP($B73,'1. 현장별 인원현황'!$C:$J,2,0))</f>
        <v xml:space="preserve"> [1.두산건설] [전기] 강화2지역 주택조합 전기공사</v>
      </c>
      <c r="D73" s="116" t="str">
        <f>IF(VLOOKUP($B73,'1. 현장별 인원현황'!$C:$J,3,0)=0,"",VLOOKUP($B73,'1. 현장별 인원현황'!$C:$J,3,0))</f>
        <v>최진우</v>
      </c>
      <c r="E73" s="63" t="str">
        <f ca="1">IF(VLOOKUP($B73,'1. 현장별 인원현황'!$C:$J,4,0)=0,"",VLOOKUP($B73,'1. 현장별 인원현황'!$C:$J,4,0))</f>
        <v>40세</v>
      </c>
      <c r="F73" s="63" t="str">
        <f>IF(VLOOKUP($B73,'1. 현장별 인원현황'!$C:$J,7,0)=0,"",VLOOKUP($B73,'1. 현장별 인원현황'!$C:$J,7,0))</f>
        <v>공사</v>
      </c>
      <c r="G73" s="63" t="str">
        <f>IF(VLOOKUP($B73,'1. 현장별 인원현황'!$C:$J,8,0)=0,"",VLOOKUP($B73,'1. 현장별 인원현황'!$C:$J,8,0))</f>
        <v>차장</v>
      </c>
      <c r="H73" s="67" t="s">
        <v>69</v>
      </c>
      <c r="I73" s="73"/>
      <c r="J73" s="73"/>
      <c r="K73" s="68"/>
      <c r="L73" s="67" t="s">
        <v>69</v>
      </c>
      <c r="M73" s="73"/>
      <c r="N73" s="73"/>
      <c r="O73" s="68"/>
      <c r="P73" s="67" t="s">
        <v>69</v>
      </c>
      <c r="Q73" s="73"/>
      <c r="R73" s="73"/>
      <c r="S73" s="68"/>
      <c r="T73" s="67" t="s">
        <v>69</v>
      </c>
      <c r="U73" s="73"/>
      <c r="V73" s="73"/>
      <c r="W73" s="68"/>
      <c r="X73" s="67" t="s">
        <v>69</v>
      </c>
      <c r="Y73" s="73"/>
      <c r="Z73" s="73"/>
      <c r="AA73" s="68"/>
      <c r="AB73" s="67" t="s">
        <v>69</v>
      </c>
      <c r="AC73" s="73"/>
      <c r="AD73" s="73"/>
      <c r="AE73" s="68"/>
      <c r="AF73" s="67" t="s">
        <v>69</v>
      </c>
      <c r="AG73" s="73"/>
      <c r="AH73" s="73"/>
      <c r="AI73" s="68"/>
      <c r="AJ73" s="67" t="s">
        <v>69</v>
      </c>
      <c r="AK73" s="73"/>
      <c r="AL73" s="73"/>
      <c r="AM73" s="68"/>
      <c r="AN73" s="73" t="s">
        <v>69</v>
      </c>
      <c r="AO73" s="73"/>
      <c r="AP73" s="73"/>
      <c r="AQ73" s="68"/>
      <c r="AR73" s="67">
        <f t="shared" si="42"/>
        <v>100</v>
      </c>
      <c r="AS73" s="68" t="str">
        <f t="shared" si="43"/>
        <v>S</v>
      </c>
      <c r="AV73" s="49">
        <f t="shared" si="79"/>
        <v>1</v>
      </c>
      <c r="AW73" s="49">
        <f t="shared" si="44"/>
        <v>0</v>
      </c>
      <c r="AX73" s="49">
        <f t="shared" si="45"/>
        <v>0</v>
      </c>
      <c r="AY73" s="49">
        <f t="shared" si="46"/>
        <v>0</v>
      </c>
      <c r="AZ73" s="49">
        <f t="shared" si="47"/>
        <v>1</v>
      </c>
      <c r="BA73" s="49">
        <f t="shared" si="48"/>
        <v>0</v>
      </c>
      <c r="BB73" s="49">
        <f t="shared" si="49"/>
        <v>0</v>
      </c>
      <c r="BC73" s="49">
        <f t="shared" si="50"/>
        <v>0</v>
      </c>
      <c r="BD73" s="49">
        <f t="shared" si="51"/>
        <v>1</v>
      </c>
      <c r="BE73" s="49">
        <f t="shared" si="52"/>
        <v>0</v>
      </c>
      <c r="BF73" s="49">
        <f t="shared" si="53"/>
        <v>0</v>
      </c>
      <c r="BG73" s="49">
        <f t="shared" si="54"/>
        <v>0</v>
      </c>
      <c r="BH73" s="49">
        <f t="shared" si="55"/>
        <v>1</v>
      </c>
      <c r="BI73" s="49">
        <f t="shared" si="56"/>
        <v>0</v>
      </c>
      <c r="BJ73" s="49">
        <f t="shared" si="57"/>
        <v>0</v>
      </c>
      <c r="BK73" s="49">
        <f t="shared" si="58"/>
        <v>0</v>
      </c>
      <c r="BL73" s="49">
        <f t="shared" si="59"/>
        <v>1</v>
      </c>
      <c r="BM73" s="49">
        <f t="shared" si="60"/>
        <v>0</v>
      </c>
      <c r="BN73" s="49">
        <f t="shared" si="61"/>
        <v>0</v>
      </c>
      <c r="BO73" s="49">
        <f t="shared" si="62"/>
        <v>0</v>
      </c>
      <c r="BP73" s="49">
        <f t="shared" si="63"/>
        <v>1</v>
      </c>
      <c r="BQ73" s="49">
        <f t="shared" si="64"/>
        <v>0</v>
      </c>
      <c r="BR73" s="49">
        <f t="shared" si="65"/>
        <v>0</v>
      </c>
      <c r="BS73" s="49">
        <f t="shared" si="66"/>
        <v>0</v>
      </c>
      <c r="BT73" s="49">
        <f t="shared" si="67"/>
        <v>1</v>
      </c>
      <c r="BU73" s="49">
        <f t="shared" si="68"/>
        <v>0</v>
      </c>
      <c r="BV73" s="49">
        <f t="shared" si="69"/>
        <v>0</v>
      </c>
      <c r="BW73" s="49">
        <f t="shared" si="70"/>
        <v>0</v>
      </c>
      <c r="BX73" s="49">
        <f t="shared" si="71"/>
        <v>1</v>
      </c>
      <c r="BY73" s="49">
        <f t="shared" si="72"/>
        <v>0</v>
      </c>
      <c r="BZ73" s="49">
        <f t="shared" si="73"/>
        <v>0</v>
      </c>
      <c r="CA73" s="49">
        <f t="shared" si="74"/>
        <v>0</v>
      </c>
      <c r="CB73" s="49">
        <f t="shared" si="75"/>
        <v>1</v>
      </c>
      <c r="CC73" s="49">
        <f t="shared" si="76"/>
        <v>0</v>
      </c>
      <c r="CD73" s="49">
        <f t="shared" si="77"/>
        <v>0</v>
      </c>
      <c r="CE73" s="49">
        <f t="shared" si="78"/>
        <v>0</v>
      </c>
    </row>
    <row r="74" spans="1:83" ht="35.1" customHeight="1" x14ac:dyDescent="0.3">
      <c r="A74" s="123" t="str">
        <f t="shared" si="40"/>
        <v>1팀</v>
      </c>
      <c r="B74" s="69">
        <f t="shared" si="41"/>
        <v>68</v>
      </c>
      <c r="C74" s="119" t="str">
        <f>IF(VLOOKUP($B74,'1. 현장별 인원현황'!$C:$J,2,0)=0,"",VLOOKUP($B74,'1. 현장별 인원현황'!$C:$J,2,0))</f>
        <v xml:space="preserve"> [1.두산건설] [전기] 강화2지역 주택조합 전기공사</v>
      </c>
      <c r="D74" s="116" t="str">
        <f>IF(VLOOKUP($B74,'1. 현장별 인원현황'!$C:$J,3,0)=0,"",VLOOKUP($B74,'1. 현장별 인원현황'!$C:$J,3,0))</f>
        <v>김진오</v>
      </c>
      <c r="E74" s="63" t="str">
        <f ca="1">IF(VLOOKUP($B74,'1. 현장별 인원현황'!$C:$J,4,0)=0,"",VLOOKUP($B74,'1. 현장별 인원현황'!$C:$J,4,0))</f>
        <v>54세</v>
      </c>
      <c r="F74" s="63" t="str">
        <f>IF(VLOOKUP($B74,'1. 현장별 인원현황'!$C:$J,7,0)=0,"",VLOOKUP($B74,'1. 현장별 인원현황'!$C:$J,7,0))</f>
        <v>공무</v>
      </c>
      <c r="G74" s="63" t="str">
        <f>IF(VLOOKUP($B74,'1. 현장별 인원현황'!$C:$J,8,0)=0,"",VLOOKUP($B74,'1. 현장별 인원현황'!$C:$J,8,0))</f>
        <v>부장</v>
      </c>
      <c r="H74" s="67" t="s">
        <v>69</v>
      </c>
      <c r="I74" s="73"/>
      <c r="J74" s="73"/>
      <c r="K74" s="68"/>
      <c r="L74" s="67" t="s">
        <v>69</v>
      </c>
      <c r="M74" s="73"/>
      <c r="N74" s="73"/>
      <c r="O74" s="68"/>
      <c r="P74" s="67" t="s">
        <v>69</v>
      </c>
      <c r="Q74" s="73"/>
      <c r="R74" s="73"/>
      <c r="S74" s="68"/>
      <c r="T74" s="67" t="s">
        <v>69</v>
      </c>
      <c r="U74" s="73"/>
      <c r="V74" s="73"/>
      <c r="W74" s="68"/>
      <c r="X74" s="67" t="s">
        <v>69</v>
      </c>
      <c r="Y74" s="73"/>
      <c r="Z74" s="73"/>
      <c r="AA74" s="68"/>
      <c r="AB74" s="67" t="s">
        <v>69</v>
      </c>
      <c r="AC74" s="73"/>
      <c r="AD74" s="73"/>
      <c r="AE74" s="68"/>
      <c r="AF74" s="67" t="s">
        <v>69</v>
      </c>
      <c r="AG74" s="73"/>
      <c r="AH74" s="73"/>
      <c r="AI74" s="68"/>
      <c r="AJ74" s="67" t="s">
        <v>69</v>
      </c>
      <c r="AK74" s="73"/>
      <c r="AL74" s="73"/>
      <c r="AM74" s="68"/>
      <c r="AN74" s="73" t="s">
        <v>69</v>
      </c>
      <c r="AO74" s="73"/>
      <c r="AP74" s="73"/>
      <c r="AQ74" s="68"/>
      <c r="AR74" s="67">
        <f t="shared" si="42"/>
        <v>100</v>
      </c>
      <c r="AS74" s="68" t="str">
        <f t="shared" si="43"/>
        <v>S</v>
      </c>
      <c r="AV74" s="49">
        <f t="shared" si="79"/>
        <v>1</v>
      </c>
      <c r="AW74" s="49">
        <f t="shared" si="44"/>
        <v>0</v>
      </c>
      <c r="AX74" s="49">
        <f t="shared" si="45"/>
        <v>0</v>
      </c>
      <c r="AY74" s="49">
        <f t="shared" si="46"/>
        <v>0</v>
      </c>
      <c r="AZ74" s="49">
        <f t="shared" si="47"/>
        <v>1</v>
      </c>
      <c r="BA74" s="49">
        <f t="shared" si="48"/>
        <v>0</v>
      </c>
      <c r="BB74" s="49">
        <f t="shared" si="49"/>
        <v>0</v>
      </c>
      <c r="BC74" s="49">
        <f t="shared" si="50"/>
        <v>0</v>
      </c>
      <c r="BD74" s="49">
        <f t="shared" si="51"/>
        <v>1</v>
      </c>
      <c r="BE74" s="49">
        <f t="shared" si="52"/>
        <v>0</v>
      </c>
      <c r="BF74" s="49">
        <f t="shared" si="53"/>
        <v>0</v>
      </c>
      <c r="BG74" s="49">
        <f t="shared" si="54"/>
        <v>0</v>
      </c>
      <c r="BH74" s="49">
        <f t="shared" si="55"/>
        <v>1</v>
      </c>
      <c r="BI74" s="49">
        <f t="shared" si="56"/>
        <v>0</v>
      </c>
      <c r="BJ74" s="49">
        <f t="shared" si="57"/>
        <v>0</v>
      </c>
      <c r="BK74" s="49">
        <f t="shared" si="58"/>
        <v>0</v>
      </c>
      <c r="BL74" s="49">
        <f t="shared" si="59"/>
        <v>1</v>
      </c>
      <c r="BM74" s="49">
        <f t="shared" si="60"/>
        <v>0</v>
      </c>
      <c r="BN74" s="49">
        <f t="shared" si="61"/>
        <v>0</v>
      </c>
      <c r="BO74" s="49">
        <f t="shared" si="62"/>
        <v>0</v>
      </c>
      <c r="BP74" s="49">
        <f t="shared" si="63"/>
        <v>1</v>
      </c>
      <c r="BQ74" s="49">
        <f t="shared" si="64"/>
        <v>0</v>
      </c>
      <c r="BR74" s="49">
        <f t="shared" si="65"/>
        <v>0</v>
      </c>
      <c r="BS74" s="49">
        <f t="shared" si="66"/>
        <v>0</v>
      </c>
      <c r="BT74" s="49">
        <f t="shared" si="67"/>
        <v>1</v>
      </c>
      <c r="BU74" s="49">
        <f t="shared" si="68"/>
        <v>0</v>
      </c>
      <c r="BV74" s="49">
        <f t="shared" si="69"/>
        <v>0</v>
      </c>
      <c r="BW74" s="49">
        <f t="shared" si="70"/>
        <v>0</v>
      </c>
      <c r="BX74" s="49">
        <f t="shared" si="71"/>
        <v>1</v>
      </c>
      <c r="BY74" s="49">
        <f t="shared" si="72"/>
        <v>0</v>
      </c>
      <c r="BZ74" s="49">
        <f t="shared" si="73"/>
        <v>0</v>
      </c>
      <c r="CA74" s="49">
        <f t="shared" si="74"/>
        <v>0</v>
      </c>
      <c r="CB74" s="49">
        <f t="shared" si="75"/>
        <v>1</v>
      </c>
      <c r="CC74" s="49">
        <f t="shared" si="76"/>
        <v>0</v>
      </c>
      <c r="CD74" s="49">
        <f t="shared" si="77"/>
        <v>0</v>
      </c>
      <c r="CE74" s="49">
        <f t="shared" si="78"/>
        <v>0</v>
      </c>
    </row>
    <row r="75" spans="1:83" ht="35.1" customHeight="1" x14ac:dyDescent="0.3">
      <c r="A75" s="123" t="str">
        <f t="shared" si="40"/>
        <v>1팀</v>
      </c>
      <c r="B75" s="69">
        <f t="shared" si="41"/>
        <v>69</v>
      </c>
      <c r="C75" s="119" t="str">
        <f>IF(VLOOKUP($B75,'1. 현장별 인원현황'!$C:$J,2,0)=0,"",VLOOKUP($B75,'1. 현장별 인원현황'!$C:$J,2,0))</f>
        <v xml:space="preserve"> [1.두산건설] [전기] 강화2지역 주택조합 전기공사</v>
      </c>
      <c r="D75" s="116" t="str">
        <f>IF(VLOOKUP($B75,'1. 현장별 인원현황'!$C:$J,3,0)=0,"",VLOOKUP($B75,'1. 현장별 인원현황'!$C:$J,3,0))</f>
        <v>이두현</v>
      </c>
      <c r="E75" s="63" t="str">
        <f ca="1">IF(VLOOKUP($B75,'1. 현장별 인원현황'!$C:$J,4,0)=0,"",VLOOKUP($B75,'1. 현장별 인원현황'!$C:$J,4,0))</f>
        <v>44세</v>
      </c>
      <c r="F75" s="63" t="str">
        <f>IF(VLOOKUP($B75,'1. 현장별 인원현황'!$C:$J,7,0)=0,"",VLOOKUP($B75,'1. 현장별 인원현황'!$C:$J,7,0))</f>
        <v>공무</v>
      </c>
      <c r="G75" s="63" t="str">
        <f>IF(VLOOKUP($B75,'1. 현장별 인원현황'!$C:$J,8,0)=0,"",VLOOKUP($B75,'1. 현장별 인원현황'!$C:$J,8,0))</f>
        <v>차장</v>
      </c>
      <c r="H75" s="67" t="s">
        <v>69</v>
      </c>
      <c r="I75" s="73"/>
      <c r="J75" s="73"/>
      <c r="K75" s="68"/>
      <c r="L75" s="67" t="s">
        <v>69</v>
      </c>
      <c r="M75" s="73"/>
      <c r="N75" s="73"/>
      <c r="O75" s="68"/>
      <c r="P75" s="67" t="s">
        <v>69</v>
      </c>
      <c r="Q75" s="73"/>
      <c r="R75" s="73"/>
      <c r="S75" s="68"/>
      <c r="T75" s="67" t="s">
        <v>69</v>
      </c>
      <c r="U75" s="73"/>
      <c r="V75" s="73"/>
      <c r="W75" s="68"/>
      <c r="X75" s="67" t="s">
        <v>69</v>
      </c>
      <c r="Y75" s="73"/>
      <c r="Z75" s="73"/>
      <c r="AA75" s="68"/>
      <c r="AB75" s="67" t="s">
        <v>69</v>
      </c>
      <c r="AC75" s="73"/>
      <c r="AD75" s="73"/>
      <c r="AE75" s="68"/>
      <c r="AF75" s="67" t="s">
        <v>69</v>
      </c>
      <c r="AG75" s="73"/>
      <c r="AH75" s="73"/>
      <c r="AI75" s="68"/>
      <c r="AJ75" s="67" t="s">
        <v>69</v>
      </c>
      <c r="AK75" s="73"/>
      <c r="AL75" s="73"/>
      <c r="AM75" s="68"/>
      <c r="AN75" s="73" t="s">
        <v>69</v>
      </c>
      <c r="AO75" s="73"/>
      <c r="AP75" s="73"/>
      <c r="AQ75" s="68"/>
      <c r="AR75" s="67">
        <f t="shared" si="42"/>
        <v>100</v>
      </c>
      <c r="AS75" s="68" t="str">
        <f t="shared" si="43"/>
        <v>S</v>
      </c>
      <c r="AV75" s="49">
        <f t="shared" si="79"/>
        <v>1</v>
      </c>
      <c r="AW75" s="49">
        <f t="shared" si="44"/>
        <v>0</v>
      </c>
      <c r="AX75" s="49">
        <f t="shared" si="45"/>
        <v>0</v>
      </c>
      <c r="AY75" s="49">
        <f t="shared" si="46"/>
        <v>0</v>
      </c>
      <c r="AZ75" s="49">
        <f t="shared" si="47"/>
        <v>1</v>
      </c>
      <c r="BA75" s="49">
        <f t="shared" si="48"/>
        <v>0</v>
      </c>
      <c r="BB75" s="49">
        <f t="shared" si="49"/>
        <v>0</v>
      </c>
      <c r="BC75" s="49">
        <f t="shared" si="50"/>
        <v>0</v>
      </c>
      <c r="BD75" s="49">
        <f t="shared" si="51"/>
        <v>1</v>
      </c>
      <c r="BE75" s="49">
        <f t="shared" si="52"/>
        <v>0</v>
      </c>
      <c r="BF75" s="49">
        <f t="shared" si="53"/>
        <v>0</v>
      </c>
      <c r="BG75" s="49">
        <f t="shared" si="54"/>
        <v>0</v>
      </c>
      <c r="BH75" s="49">
        <f t="shared" si="55"/>
        <v>1</v>
      </c>
      <c r="BI75" s="49">
        <f t="shared" si="56"/>
        <v>0</v>
      </c>
      <c r="BJ75" s="49">
        <f t="shared" si="57"/>
        <v>0</v>
      </c>
      <c r="BK75" s="49">
        <f t="shared" si="58"/>
        <v>0</v>
      </c>
      <c r="BL75" s="49">
        <f t="shared" si="59"/>
        <v>1</v>
      </c>
      <c r="BM75" s="49">
        <f t="shared" si="60"/>
        <v>0</v>
      </c>
      <c r="BN75" s="49">
        <f t="shared" si="61"/>
        <v>0</v>
      </c>
      <c r="BO75" s="49">
        <f t="shared" si="62"/>
        <v>0</v>
      </c>
      <c r="BP75" s="49">
        <f t="shared" si="63"/>
        <v>1</v>
      </c>
      <c r="BQ75" s="49">
        <f t="shared" si="64"/>
        <v>0</v>
      </c>
      <c r="BR75" s="49">
        <f t="shared" si="65"/>
        <v>0</v>
      </c>
      <c r="BS75" s="49">
        <f t="shared" si="66"/>
        <v>0</v>
      </c>
      <c r="BT75" s="49">
        <f t="shared" si="67"/>
        <v>1</v>
      </c>
      <c r="BU75" s="49">
        <f t="shared" si="68"/>
        <v>0</v>
      </c>
      <c r="BV75" s="49">
        <f t="shared" si="69"/>
        <v>0</v>
      </c>
      <c r="BW75" s="49">
        <f t="shared" si="70"/>
        <v>0</v>
      </c>
      <c r="BX75" s="49">
        <f t="shared" si="71"/>
        <v>1</v>
      </c>
      <c r="BY75" s="49">
        <f t="shared" si="72"/>
        <v>0</v>
      </c>
      <c r="BZ75" s="49">
        <f t="shared" si="73"/>
        <v>0</v>
      </c>
      <c r="CA75" s="49">
        <f t="shared" si="74"/>
        <v>0</v>
      </c>
      <c r="CB75" s="49">
        <f t="shared" si="75"/>
        <v>1</v>
      </c>
      <c r="CC75" s="49">
        <f t="shared" si="76"/>
        <v>0</v>
      </c>
      <c r="CD75" s="49">
        <f t="shared" si="77"/>
        <v>0</v>
      </c>
      <c r="CE75" s="49">
        <f t="shared" si="78"/>
        <v>0</v>
      </c>
    </row>
    <row r="76" spans="1:83" ht="35.1" customHeight="1" x14ac:dyDescent="0.3">
      <c r="A76" s="123" t="str">
        <f t="shared" si="40"/>
        <v>1팀</v>
      </c>
      <c r="B76" s="69">
        <f t="shared" si="41"/>
        <v>70</v>
      </c>
      <c r="C76" s="119" t="str">
        <f>IF(VLOOKUP($B76,'1. 현장별 인원현황'!$C:$J,2,0)=0,"",VLOOKUP($B76,'1. 현장별 인원현황'!$C:$J,2,0))</f>
        <v xml:space="preserve"> [1.두산건설] [전기] 강화2지역 주택조합 전기공사</v>
      </c>
      <c r="D76" s="116" t="str">
        <f>IF(VLOOKUP($B76,'1. 현장별 인원현황'!$C:$J,3,0)=0,"",VLOOKUP($B76,'1. 현장별 인원현황'!$C:$J,3,0))</f>
        <v>김영규</v>
      </c>
      <c r="E76" s="63" t="str">
        <f ca="1">IF(VLOOKUP($B76,'1. 현장별 인원현황'!$C:$J,4,0)=0,"",VLOOKUP($B76,'1. 현장별 인원현황'!$C:$J,4,0))</f>
        <v>37세</v>
      </c>
      <c r="F76" s="63" t="str">
        <f>IF(VLOOKUP($B76,'1. 현장별 인원현황'!$C:$J,7,0)=0,"",VLOOKUP($B76,'1. 현장별 인원현황'!$C:$J,7,0))</f>
        <v>기능공</v>
      </c>
      <c r="G76" s="63" t="str">
        <f>IF(VLOOKUP($B76,'1. 현장별 인원현황'!$C:$J,8,0)=0,"",VLOOKUP($B76,'1. 현장별 인원현황'!$C:$J,8,0))</f>
        <v>전공</v>
      </c>
      <c r="H76" s="67" t="s">
        <v>69</v>
      </c>
      <c r="I76" s="73"/>
      <c r="J76" s="73"/>
      <c r="K76" s="68"/>
      <c r="L76" s="67" t="s">
        <v>69</v>
      </c>
      <c r="M76" s="73"/>
      <c r="N76" s="73"/>
      <c r="O76" s="68"/>
      <c r="P76" s="67" t="s">
        <v>69</v>
      </c>
      <c r="Q76" s="73"/>
      <c r="R76" s="73"/>
      <c r="S76" s="68"/>
      <c r="T76" s="67" t="s">
        <v>69</v>
      </c>
      <c r="U76" s="73"/>
      <c r="V76" s="73"/>
      <c r="W76" s="68"/>
      <c r="X76" s="67" t="s">
        <v>69</v>
      </c>
      <c r="Y76" s="73"/>
      <c r="Z76" s="73"/>
      <c r="AA76" s="68"/>
      <c r="AB76" s="67" t="s">
        <v>69</v>
      </c>
      <c r="AC76" s="73"/>
      <c r="AD76" s="73"/>
      <c r="AE76" s="68"/>
      <c r="AF76" s="67" t="s">
        <v>69</v>
      </c>
      <c r="AG76" s="73"/>
      <c r="AH76" s="73"/>
      <c r="AI76" s="68"/>
      <c r="AJ76" s="67" t="s">
        <v>69</v>
      </c>
      <c r="AK76" s="73"/>
      <c r="AL76" s="73"/>
      <c r="AM76" s="68"/>
      <c r="AN76" s="73" t="s">
        <v>69</v>
      </c>
      <c r="AO76" s="73"/>
      <c r="AP76" s="73"/>
      <c r="AQ76" s="68"/>
      <c r="AR76" s="67">
        <f t="shared" si="42"/>
        <v>100</v>
      </c>
      <c r="AS76" s="68" t="str">
        <f t="shared" si="43"/>
        <v>S</v>
      </c>
      <c r="AV76" s="49">
        <f t="shared" si="79"/>
        <v>1</v>
      </c>
      <c r="AW76" s="49">
        <f t="shared" si="44"/>
        <v>0</v>
      </c>
      <c r="AX76" s="49">
        <f t="shared" si="45"/>
        <v>0</v>
      </c>
      <c r="AY76" s="49">
        <f t="shared" si="46"/>
        <v>0</v>
      </c>
      <c r="AZ76" s="49">
        <f t="shared" si="47"/>
        <v>1</v>
      </c>
      <c r="BA76" s="49">
        <f t="shared" si="48"/>
        <v>0</v>
      </c>
      <c r="BB76" s="49">
        <f t="shared" si="49"/>
        <v>0</v>
      </c>
      <c r="BC76" s="49">
        <f t="shared" si="50"/>
        <v>0</v>
      </c>
      <c r="BD76" s="49">
        <f t="shared" si="51"/>
        <v>1</v>
      </c>
      <c r="BE76" s="49">
        <f t="shared" si="52"/>
        <v>0</v>
      </c>
      <c r="BF76" s="49">
        <f t="shared" si="53"/>
        <v>0</v>
      </c>
      <c r="BG76" s="49">
        <f t="shared" si="54"/>
        <v>0</v>
      </c>
      <c r="BH76" s="49">
        <f t="shared" si="55"/>
        <v>1</v>
      </c>
      <c r="BI76" s="49">
        <f t="shared" si="56"/>
        <v>0</v>
      </c>
      <c r="BJ76" s="49">
        <f t="shared" si="57"/>
        <v>0</v>
      </c>
      <c r="BK76" s="49">
        <f t="shared" si="58"/>
        <v>0</v>
      </c>
      <c r="BL76" s="49">
        <f t="shared" si="59"/>
        <v>1</v>
      </c>
      <c r="BM76" s="49">
        <f t="shared" si="60"/>
        <v>0</v>
      </c>
      <c r="BN76" s="49">
        <f t="shared" si="61"/>
        <v>0</v>
      </c>
      <c r="BO76" s="49">
        <f t="shared" si="62"/>
        <v>0</v>
      </c>
      <c r="BP76" s="49">
        <f t="shared" si="63"/>
        <v>1</v>
      </c>
      <c r="BQ76" s="49">
        <f t="shared" si="64"/>
        <v>0</v>
      </c>
      <c r="BR76" s="49">
        <f t="shared" si="65"/>
        <v>0</v>
      </c>
      <c r="BS76" s="49">
        <f t="shared" si="66"/>
        <v>0</v>
      </c>
      <c r="BT76" s="49">
        <f t="shared" si="67"/>
        <v>1</v>
      </c>
      <c r="BU76" s="49">
        <f t="shared" si="68"/>
        <v>0</v>
      </c>
      <c r="BV76" s="49">
        <f t="shared" si="69"/>
        <v>0</v>
      </c>
      <c r="BW76" s="49">
        <f t="shared" si="70"/>
        <v>0</v>
      </c>
      <c r="BX76" s="49">
        <f t="shared" si="71"/>
        <v>1</v>
      </c>
      <c r="BY76" s="49">
        <f t="shared" si="72"/>
        <v>0</v>
      </c>
      <c r="BZ76" s="49">
        <f t="shared" si="73"/>
        <v>0</v>
      </c>
      <c r="CA76" s="49">
        <f t="shared" si="74"/>
        <v>0</v>
      </c>
      <c r="CB76" s="49">
        <f t="shared" si="75"/>
        <v>1</v>
      </c>
      <c r="CC76" s="49">
        <f t="shared" si="76"/>
        <v>0</v>
      </c>
      <c r="CD76" s="49">
        <f t="shared" si="77"/>
        <v>0</v>
      </c>
      <c r="CE76" s="49">
        <f t="shared" si="78"/>
        <v>0</v>
      </c>
    </row>
    <row r="77" spans="1:83" ht="35.1" customHeight="1" x14ac:dyDescent="0.3">
      <c r="A77" s="123" t="str">
        <f t="shared" si="40"/>
        <v>1팀</v>
      </c>
      <c r="B77" s="69">
        <f t="shared" si="41"/>
        <v>71</v>
      </c>
      <c r="C77" s="119" t="str">
        <f>IF(VLOOKUP($B77,'1. 현장별 인원현황'!$C:$J,2,0)=0,"",VLOOKUP($B77,'1. 현장별 인원현황'!$C:$J,2,0))</f>
        <v xml:space="preserve"> [1.두산건설] [전기] 강화2지역 주택조합 전기공사</v>
      </c>
      <c r="D77" s="116" t="str">
        <f>IF(VLOOKUP($B77,'1. 현장별 인원현황'!$C:$J,3,0)=0,"",VLOOKUP($B77,'1. 현장별 인원현황'!$C:$J,3,0))</f>
        <v>김민규</v>
      </c>
      <c r="E77" s="63" t="str">
        <f ca="1">IF(VLOOKUP($B77,'1. 현장별 인원현황'!$C:$J,4,0)=0,"",VLOOKUP($B77,'1. 현장별 인원현황'!$C:$J,4,0))</f>
        <v>34세</v>
      </c>
      <c r="F77" s="63" t="str">
        <f>IF(VLOOKUP($B77,'1. 현장별 인원현황'!$C:$J,7,0)=0,"",VLOOKUP($B77,'1. 현장별 인원현황'!$C:$J,7,0))</f>
        <v>기능공</v>
      </c>
      <c r="G77" s="63" t="str">
        <f>IF(VLOOKUP($B77,'1. 현장별 인원현황'!$C:$J,8,0)=0,"",VLOOKUP($B77,'1. 현장별 인원현황'!$C:$J,8,0))</f>
        <v>전공</v>
      </c>
      <c r="H77" s="67" t="s">
        <v>69</v>
      </c>
      <c r="I77" s="73"/>
      <c r="J77" s="73"/>
      <c r="K77" s="68"/>
      <c r="L77" s="67" t="s">
        <v>69</v>
      </c>
      <c r="M77" s="73"/>
      <c r="N77" s="73"/>
      <c r="O77" s="68"/>
      <c r="P77" s="67" t="s">
        <v>69</v>
      </c>
      <c r="Q77" s="73"/>
      <c r="R77" s="73"/>
      <c r="S77" s="68"/>
      <c r="T77" s="67" t="s">
        <v>69</v>
      </c>
      <c r="U77" s="73"/>
      <c r="V77" s="73"/>
      <c r="W77" s="68"/>
      <c r="X77" s="67" t="s">
        <v>69</v>
      </c>
      <c r="Y77" s="73"/>
      <c r="Z77" s="73"/>
      <c r="AA77" s="68"/>
      <c r="AB77" s="67" t="s">
        <v>69</v>
      </c>
      <c r="AC77" s="73"/>
      <c r="AD77" s="73"/>
      <c r="AE77" s="68"/>
      <c r="AF77" s="67" t="s">
        <v>69</v>
      </c>
      <c r="AG77" s="73"/>
      <c r="AH77" s="73"/>
      <c r="AI77" s="68"/>
      <c r="AJ77" s="67" t="s">
        <v>69</v>
      </c>
      <c r="AK77" s="73"/>
      <c r="AL77" s="73"/>
      <c r="AM77" s="68"/>
      <c r="AN77" s="73" t="s">
        <v>69</v>
      </c>
      <c r="AO77" s="73"/>
      <c r="AP77" s="73"/>
      <c r="AQ77" s="68"/>
      <c r="AR77" s="67">
        <f t="shared" si="42"/>
        <v>100</v>
      </c>
      <c r="AS77" s="68" t="str">
        <f t="shared" si="43"/>
        <v>S</v>
      </c>
      <c r="AV77" s="49">
        <f t="shared" si="79"/>
        <v>1</v>
      </c>
      <c r="AW77" s="49">
        <f t="shared" si="44"/>
        <v>0</v>
      </c>
      <c r="AX77" s="49">
        <f t="shared" si="45"/>
        <v>0</v>
      </c>
      <c r="AY77" s="49">
        <f t="shared" si="46"/>
        <v>0</v>
      </c>
      <c r="AZ77" s="49">
        <f t="shared" si="47"/>
        <v>1</v>
      </c>
      <c r="BA77" s="49">
        <f t="shared" si="48"/>
        <v>0</v>
      </c>
      <c r="BB77" s="49">
        <f t="shared" si="49"/>
        <v>0</v>
      </c>
      <c r="BC77" s="49">
        <f t="shared" si="50"/>
        <v>0</v>
      </c>
      <c r="BD77" s="49">
        <f t="shared" si="51"/>
        <v>1</v>
      </c>
      <c r="BE77" s="49">
        <f t="shared" si="52"/>
        <v>0</v>
      </c>
      <c r="BF77" s="49">
        <f t="shared" si="53"/>
        <v>0</v>
      </c>
      <c r="BG77" s="49">
        <f t="shared" si="54"/>
        <v>0</v>
      </c>
      <c r="BH77" s="49">
        <f t="shared" si="55"/>
        <v>1</v>
      </c>
      <c r="BI77" s="49">
        <f t="shared" si="56"/>
        <v>0</v>
      </c>
      <c r="BJ77" s="49">
        <f t="shared" si="57"/>
        <v>0</v>
      </c>
      <c r="BK77" s="49">
        <f t="shared" si="58"/>
        <v>0</v>
      </c>
      <c r="BL77" s="49">
        <f t="shared" si="59"/>
        <v>1</v>
      </c>
      <c r="BM77" s="49">
        <f t="shared" si="60"/>
        <v>0</v>
      </c>
      <c r="BN77" s="49">
        <f t="shared" si="61"/>
        <v>0</v>
      </c>
      <c r="BO77" s="49">
        <f t="shared" si="62"/>
        <v>0</v>
      </c>
      <c r="BP77" s="49">
        <f t="shared" si="63"/>
        <v>1</v>
      </c>
      <c r="BQ77" s="49">
        <f t="shared" si="64"/>
        <v>0</v>
      </c>
      <c r="BR77" s="49">
        <f t="shared" si="65"/>
        <v>0</v>
      </c>
      <c r="BS77" s="49">
        <f t="shared" si="66"/>
        <v>0</v>
      </c>
      <c r="BT77" s="49">
        <f t="shared" si="67"/>
        <v>1</v>
      </c>
      <c r="BU77" s="49">
        <f t="shared" si="68"/>
        <v>0</v>
      </c>
      <c r="BV77" s="49">
        <f t="shared" si="69"/>
        <v>0</v>
      </c>
      <c r="BW77" s="49">
        <f t="shared" si="70"/>
        <v>0</v>
      </c>
      <c r="BX77" s="49">
        <f t="shared" si="71"/>
        <v>1</v>
      </c>
      <c r="BY77" s="49">
        <f t="shared" si="72"/>
        <v>0</v>
      </c>
      <c r="BZ77" s="49">
        <f t="shared" si="73"/>
        <v>0</v>
      </c>
      <c r="CA77" s="49">
        <f t="shared" si="74"/>
        <v>0</v>
      </c>
      <c r="CB77" s="49">
        <f t="shared" si="75"/>
        <v>1</v>
      </c>
      <c r="CC77" s="49">
        <f t="shared" si="76"/>
        <v>0</v>
      </c>
      <c r="CD77" s="49">
        <f t="shared" si="77"/>
        <v>0</v>
      </c>
      <c r="CE77" s="49">
        <f t="shared" si="78"/>
        <v>0</v>
      </c>
    </row>
    <row r="78" spans="1:83" ht="35.1" customHeight="1" x14ac:dyDescent="0.3">
      <c r="A78" s="123" t="str">
        <f t="shared" si="40"/>
        <v>1팀</v>
      </c>
      <c r="B78" s="69">
        <f t="shared" si="41"/>
        <v>72</v>
      </c>
      <c r="C78" s="119" t="str">
        <f>IF(VLOOKUP($B78,'1. 현장별 인원현황'!$C:$J,2,0)=0,"",VLOOKUP($B78,'1. 현장별 인원현황'!$C:$J,2,0))</f>
        <v xml:space="preserve"> [1.두산건설] [전기] 강화2지역 주택조합 전기공사</v>
      </c>
      <c r="D78" s="116" t="str">
        <f>IF(VLOOKUP($B78,'1. 현장별 인원현황'!$C:$J,3,0)=0,"",VLOOKUP($B78,'1. 현장별 인원현황'!$C:$J,3,0))</f>
        <v>김남현</v>
      </c>
      <c r="E78" s="63" t="str">
        <f ca="1">IF(VLOOKUP($B78,'1. 현장별 인원현황'!$C:$J,4,0)=0,"",VLOOKUP($B78,'1. 현장별 인원현황'!$C:$J,4,0))</f>
        <v>53세</v>
      </c>
      <c r="F78" s="63" t="str">
        <f>IF(VLOOKUP($B78,'1. 현장별 인원현황'!$C:$J,7,0)=0,"",VLOOKUP($B78,'1. 현장별 인원현황'!$C:$J,7,0))</f>
        <v>기능공</v>
      </c>
      <c r="G78" s="63" t="str">
        <f>IF(VLOOKUP($B78,'1. 현장별 인원현황'!$C:$J,8,0)=0,"",VLOOKUP($B78,'1. 현장별 인원현황'!$C:$J,8,0))</f>
        <v>전공</v>
      </c>
      <c r="H78" s="67" t="s">
        <v>69</v>
      </c>
      <c r="I78" s="73"/>
      <c r="J78" s="73"/>
      <c r="K78" s="68"/>
      <c r="L78" s="67" t="s">
        <v>69</v>
      </c>
      <c r="M78" s="73"/>
      <c r="N78" s="73"/>
      <c r="O78" s="68"/>
      <c r="P78" s="67" t="s">
        <v>69</v>
      </c>
      <c r="Q78" s="73"/>
      <c r="R78" s="73"/>
      <c r="S78" s="68"/>
      <c r="T78" s="67" t="s">
        <v>69</v>
      </c>
      <c r="U78" s="73"/>
      <c r="V78" s="73"/>
      <c r="W78" s="68"/>
      <c r="X78" s="67" t="s">
        <v>69</v>
      </c>
      <c r="Y78" s="73"/>
      <c r="Z78" s="73"/>
      <c r="AA78" s="68"/>
      <c r="AB78" s="67" t="s">
        <v>69</v>
      </c>
      <c r="AC78" s="73"/>
      <c r="AD78" s="73"/>
      <c r="AE78" s="68"/>
      <c r="AF78" s="67" t="s">
        <v>69</v>
      </c>
      <c r="AG78" s="73"/>
      <c r="AH78" s="73"/>
      <c r="AI78" s="68"/>
      <c r="AJ78" s="67" t="s">
        <v>69</v>
      </c>
      <c r="AK78" s="73"/>
      <c r="AL78" s="73"/>
      <c r="AM78" s="68"/>
      <c r="AN78" s="73" t="s">
        <v>69</v>
      </c>
      <c r="AO78" s="73"/>
      <c r="AP78" s="73"/>
      <c r="AQ78" s="68"/>
      <c r="AR78" s="67">
        <f t="shared" si="42"/>
        <v>100</v>
      </c>
      <c r="AS78" s="68" t="str">
        <f t="shared" si="43"/>
        <v>S</v>
      </c>
      <c r="AV78" s="49">
        <f t="shared" si="79"/>
        <v>1</v>
      </c>
      <c r="AW78" s="49">
        <f t="shared" si="44"/>
        <v>0</v>
      </c>
      <c r="AX78" s="49">
        <f t="shared" si="45"/>
        <v>0</v>
      </c>
      <c r="AY78" s="49">
        <f t="shared" si="46"/>
        <v>0</v>
      </c>
      <c r="AZ78" s="49">
        <f t="shared" si="47"/>
        <v>1</v>
      </c>
      <c r="BA78" s="49">
        <f t="shared" si="48"/>
        <v>0</v>
      </c>
      <c r="BB78" s="49">
        <f t="shared" si="49"/>
        <v>0</v>
      </c>
      <c r="BC78" s="49">
        <f t="shared" si="50"/>
        <v>0</v>
      </c>
      <c r="BD78" s="49">
        <f t="shared" si="51"/>
        <v>1</v>
      </c>
      <c r="BE78" s="49">
        <f t="shared" si="52"/>
        <v>0</v>
      </c>
      <c r="BF78" s="49">
        <f t="shared" si="53"/>
        <v>0</v>
      </c>
      <c r="BG78" s="49">
        <f t="shared" si="54"/>
        <v>0</v>
      </c>
      <c r="BH78" s="49">
        <f t="shared" si="55"/>
        <v>1</v>
      </c>
      <c r="BI78" s="49">
        <f t="shared" si="56"/>
        <v>0</v>
      </c>
      <c r="BJ78" s="49">
        <f t="shared" si="57"/>
        <v>0</v>
      </c>
      <c r="BK78" s="49">
        <f t="shared" si="58"/>
        <v>0</v>
      </c>
      <c r="BL78" s="49">
        <f t="shared" si="59"/>
        <v>1</v>
      </c>
      <c r="BM78" s="49">
        <f t="shared" si="60"/>
        <v>0</v>
      </c>
      <c r="BN78" s="49">
        <f t="shared" si="61"/>
        <v>0</v>
      </c>
      <c r="BO78" s="49">
        <f t="shared" si="62"/>
        <v>0</v>
      </c>
      <c r="BP78" s="49">
        <f t="shared" si="63"/>
        <v>1</v>
      </c>
      <c r="BQ78" s="49">
        <f t="shared" si="64"/>
        <v>0</v>
      </c>
      <c r="BR78" s="49">
        <f t="shared" si="65"/>
        <v>0</v>
      </c>
      <c r="BS78" s="49">
        <f t="shared" si="66"/>
        <v>0</v>
      </c>
      <c r="BT78" s="49">
        <f t="shared" si="67"/>
        <v>1</v>
      </c>
      <c r="BU78" s="49">
        <f t="shared" si="68"/>
        <v>0</v>
      </c>
      <c r="BV78" s="49">
        <f t="shared" si="69"/>
        <v>0</v>
      </c>
      <c r="BW78" s="49">
        <f t="shared" si="70"/>
        <v>0</v>
      </c>
      <c r="BX78" s="49">
        <f t="shared" si="71"/>
        <v>1</v>
      </c>
      <c r="BY78" s="49">
        <f t="shared" si="72"/>
        <v>0</v>
      </c>
      <c r="BZ78" s="49">
        <f t="shared" si="73"/>
        <v>0</v>
      </c>
      <c r="CA78" s="49">
        <f t="shared" si="74"/>
        <v>0</v>
      </c>
      <c r="CB78" s="49">
        <f t="shared" si="75"/>
        <v>1</v>
      </c>
      <c r="CC78" s="49">
        <f t="shared" si="76"/>
        <v>0</v>
      </c>
      <c r="CD78" s="49">
        <f t="shared" si="77"/>
        <v>0</v>
      </c>
      <c r="CE78" s="49">
        <f t="shared" si="78"/>
        <v>0</v>
      </c>
    </row>
    <row r="79" spans="1:83" ht="35.1" customHeight="1" x14ac:dyDescent="0.3">
      <c r="A79" s="123" t="str">
        <f t="shared" si="40"/>
        <v>1팀</v>
      </c>
      <c r="B79" s="69">
        <f t="shared" si="41"/>
        <v>73</v>
      </c>
      <c r="C79" s="119" t="str">
        <f>IF(VLOOKUP($B79,'1. 현장별 인원현황'!$C:$J,2,0)=0,"",VLOOKUP($B79,'1. 현장별 인원현황'!$C:$J,2,0))</f>
        <v xml:space="preserve"> [1.두산건설] [전기] 강화2지역 주택조합 전기공사</v>
      </c>
      <c r="D79" s="116" t="str">
        <f>IF(VLOOKUP($B79,'1. 현장별 인원현황'!$C:$J,3,0)=0,"",VLOOKUP($B79,'1. 현장별 인원현황'!$C:$J,3,0))</f>
        <v>전영재</v>
      </c>
      <c r="E79" s="63" t="str">
        <f ca="1">IF(VLOOKUP($B79,'1. 현장별 인원현황'!$C:$J,4,0)=0,"",VLOOKUP($B79,'1. 현장별 인원현황'!$C:$J,4,0))</f>
        <v>24세</v>
      </c>
      <c r="F79" s="63" t="str">
        <f>IF(VLOOKUP($B79,'1. 현장별 인원현황'!$C:$J,7,0)=0,"",VLOOKUP($B79,'1. 현장별 인원현황'!$C:$J,7,0))</f>
        <v>기능공</v>
      </c>
      <c r="G79" s="63" t="str">
        <f>IF(VLOOKUP($B79,'1. 현장별 인원현황'!$C:$J,8,0)=0,"",VLOOKUP($B79,'1. 현장별 인원현황'!$C:$J,8,0))</f>
        <v>전공</v>
      </c>
      <c r="H79" s="67"/>
      <c r="I79" s="73" t="s">
        <v>69</v>
      </c>
      <c r="J79" s="73"/>
      <c r="K79" s="68"/>
      <c r="L79" s="67" t="s">
        <v>69</v>
      </c>
      <c r="M79" s="73"/>
      <c r="N79" s="73"/>
      <c r="O79" s="68"/>
      <c r="P79" s="67" t="s">
        <v>69</v>
      </c>
      <c r="Q79" s="73"/>
      <c r="R79" s="73"/>
      <c r="S79" s="68"/>
      <c r="T79" s="67" t="s">
        <v>69</v>
      </c>
      <c r="U79" s="73"/>
      <c r="V79" s="73"/>
      <c r="W79" s="68"/>
      <c r="X79" s="67" t="s">
        <v>69</v>
      </c>
      <c r="Y79" s="73"/>
      <c r="Z79" s="73"/>
      <c r="AA79" s="68"/>
      <c r="AB79" s="67" t="s">
        <v>69</v>
      </c>
      <c r="AC79" s="73"/>
      <c r="AD79" s="73"/>
      <c r="AE79" s="68"/>
      <c r="AF79" s="67" t="s">
        <v>69</v>
      </c>
      <c r="AG79" s="73"/>
      <c r="AH79" s="73"/>
      <c r="AI79" s="68"/>
      <c r="AJ79" s="67" t="s">
        <v>69</v>
      </c>
      <c r="AK79" s="73"/>
      <c r="AL79" s="73"/>
      <c r="AM79" s="68"/>
      <c r="AN79" s="73" t="s">
        <v>69</v>
      </c>
      <c r="AO79" s="73"/>
      <c r="AP79" s="73"/>
      <c r="AQ79" s="68"/>
      <c r="AR79" s="67">
        <f t="shared" si="42"/>
        <v>97</v>
      </c>
      <c r="AS79" s="68" t="str">
        <f t="shared" si="43"/>
        <v>S</v>
      </c>
      <c r="AV79" s="49">
        <f t="shared" si="79"/>
        <v>0</v>
      </c>
      <c r="AW79" s="49">
        <f t="shared" si="44"/>
        <v>1</v>
      </c>
      <c r="AX79" s="49">
        <f t="shared" si="45"/>
        <v>0</v>
      </c>
      <c r="AY79" s="49">
        <f t="shared" si="46"/>
        <v>0</v>
      </c>
      <c r="AZ79" s="49">
        <f t="shared" si="47"/>
        <v>1</v>
      </c>
      <c r="BA79" s="49">
        <f t="shared" si="48"/>
        <v>0</v>
      </c>
      <c r="BB79" s="49">
        <f t="shared" si="49"/>
        <v>0</v>
      </c>
      <c r="BC79" s="49">
        <f t="shared" si="50"/>
        <v>0</v>
      </c>
      <c r="BD79" s="49">
        <f t="shared" si="51"/>
        <v>1</v>
      </c>
      <c r="BE79" s="49">
        <f t="shared" si="52"/>
        <v>0</v>
      </c>
      <c r="BF79" s="49">
        <f t="shared" si="53"/>
        <v>0</v>
      </c>
      <c r="BG79" s="49">
        <f t="shared" si="54"/>
        <v>0</v>
      </c>
      <c r="BH79" s="49">
        <f t="shared" si="55"/>
        <v>1</v>
      </c>
      <c r="BI79" s="49">
        <f t="shared" si="56"/>
        <v>0</v>
      </c>
      <c r="BJ79" s="49">
        <f t="shared" si="57"/>
        <v>0</v>
      </c>
      <c r="BK79" s="49">
        <f t="shared" si="58"/>
        <v>0</v>
      </c>
      <c r="BL79" s="49">
        <f t="shared" si="59"/>
        <v>1</v>
      </c>
      <c r="BM79" s="49">
        <f t="shared" si="60"/>
        <v>0</v>
      </c>
      <c r="BN79" s="49">
        <f t="shared" si="61"/>
        <v>0</v>
      </c>
      <c r="BO79" s="49">
        <f t="shared" si="62"/>
        <v>0</v>
      </c>
      <c r="BP79" s="49">
        <f t="shared" si="63"/>
        <v>1</v>
      </c>
      <c r="BQ79" s="49">
        <f t="shared" si="64"/>
        <v>0</v>
      </c>
      <c r="BR79" s="49">
        <f t="shared" si="65"/>
        <v>0</v>
      </c>
      <c r="BS79" s="49">
        <f t="shared" si="66"/>
        <v>0</v>
      </c>
      <c r="BT79" s="49">
        <f t="shared" si="67"/>
        <v>1</v>
      </c>
      <c r="BU79" s="49">
        <f t="shared" si="68"/>
        <v>0</v>
      </c>
      <c r="BV79" s="49">
        <f t="shared" si="69"/>
        <v>0</v>
      </c>
      <c r="BW79" s="49">
        <f t="shared" si="70"/>
        <v>0</v>
      </c>
      <c r="BX79" s="49">
        <f t="shared" si="71"/>
        <v>1</v>
      </c>
      <c r="BY79" s="49">
        <f t="shared" si="72"/>
        <v>0</v>
      </c>
      <c r="BZ79" s="49">
        <f t="shared" si="73"/>
        <v>0</v>
      </c>
      <c r="CA79" s="49">
        <f t="shared" si="74"/>
        <v>0</v>
      </c>
      <c r="CB79" s="49">
        <f t="shared" si="75"/>
        <v>1</v>
      </c>
      <c r="CC79" s="49">
        <f t="shared" si="76"/>
        <v>0</v>
      </c>
      <c r="CD79" s="49">
        <f t="shared" si="77"/>
        <v>0</v>
      </c>
      <c r="CE79" s="49">
        <f t="shared" si="78"/>
        <v>0</v>
      </c>
    </row>
    <row r="80" spans="1:83" ht="35.1" customHeight="1" x14ac:dyDescent="0.3">
      <c r="A80" s="123" t="str">
        <f t="shared" si="40"/>
        <v>1팀</v>
      </c>
      <c r="B80" s="69">
        <f t="shared" si="41"/>
        <v>74</v>
      </c>
      <c r="C80" s="119" t="str">
        <f>IF(VLOOKUP($B80,'1. 현장별 인원현황'!$C:$J,2,0)=0,"",VLOOKUP($B80,'1. 현장별 인원현황'!$C:$J,2,0))</f>
        <v xml:space="preserve"> [1.두산건설] [전기] 강화2지역 주택조합 전기공사</v>
      </c>
      <c r="D80" s="116" t="str">
        <f>IF(VLOOKUP($B80,'1. 현장별 인원현황'!$C:$J,3,0)=0,"",VLOOKUP($B80,'1. 현장별 인원현황'!$C:$J,3,0))</f>
        <v>이영철</v>
      </c>
      <c r="E80" s="63" t="str">
        <f ca="1">IF(VLOOKUP($B80,'1. 현장별 인원현황'!$C:$J,4,0)=0,"",VLOOKUP($B80,'1. 현장별 인원현황'!$C:$J,4,0))</f>
        <v>54세</v>
      </c>
      <c r="F80" s="63" t="str">
        <f>IF(VLOOKUP($B80,'1. 현장별 인원현황'!$C:$J,7,0)=0,"",VLOOKUP($B80,'1. 현장별 인원현황'!$C:$J,7,0))</f>
        <v>기능공</v>
      </c>
      <c r="G80" s="63" t="str">
        <f>IF(VLOOKUP($B80,'1. 현장별 인원현황'!$C:$J,8,0)=0,"",VLOOKUP($B80,'1. 현장별 인원현황'!$C:$J,8,0))</f>
        <v>전공</v>
      </c>
      <c r="H80" s="67" t="s">
        <v>69</v>
      </c>
      <c r="I80" s="73"/>
      <c r="J80" s="73"/>
      <c r="K80" s="68"/>
      <c r="L80" s="67" t="s">
        <v>69</v>
      </c>
      <c r="M80" s="73"/>
      <c r="N80" s="73"/>
      <c r="O80" s="68"/>
      <c r="P80" s="67" t="s">
        <v>69</v>
      </c>
      <c r="Q80" s="73"/>
      <c r="R80" s="73"/>
      <c r="S80" s="68"/>
      <c r="T80" s="67" t="s">
        <v>69</v>
      </c>
      <c r="U80" s="73"/>
      <c r="V80" s="73"/>
      <c r="W80" s="68"/>
      <c r="X80" s="67" t="s">
        <v>69</v>
      </c>
      <c r="Y80" s="73"/>
      <c r="Z80" s="73"/>
      <c r="AA80" s="68"/>
      <c r="AB80" s="67" t="s">
        <v>69</v>
      </c>
      <c r="AC80" s="73"/>
      <c r="AD80" s="73"/>
      <c r="AE80" s="68"/>
      <c r="AF80" s="67" t="s">
        <v>69</v>
      </c>
      <c r="AG80" s="73"/>
      <c r="AH80" s="73"/>
      <c r="AI80" s="68"/>
      <c r="AJ80" s="67" t="s">
        <v>69</v>
      </c>
      <c r="AK80" s="73"/>
      <c r="AL80" s="73"/>
      <c r="AM80" s="68"/>
      <c r="AN80" s="73" t="s">
        <v>69</v>
      </c>
      <c r="AO80" s="73"/>
      <c r="AP80" s="73"/>
      <c r="AQ80" s="68"/>
      <c r="AR80" s="67">
        <f t="shared" si="42"/>
        <v>100</v>
      </c>
      <c r="AS80" s="68" t="str">
        <f t="shared" si="43"/>
        <v>S</v>
      </c>
      <c r="AV80" s="49">
        <f t="shared" si="79"/>
        <v>1</v>
      </c>
      <c r="AW80" s="49">
        <f t="shared" si="44"/>
        <v>0</v>
      </c>
      <c r="AX80" s="49">
        <f t="shared" si="45"/>
        <v>0</v>
      </c>
      <c r="AY80" s="49">
        <f t="shared" si="46"/>
        <v>0</v>
      </c>
      <c r="AZ80" s="49">
        <f t="shared" si="47"/>
        <v>1</v>
      </c>
      <c r="BA80" s="49">
        <f t="shared" si="48"/>
        <v>0</v>
      </c>
      <c r="BB80" s="49">
        <f t="shared" si="49"/>
        <v>0</v>
      </c>
      <c r="BC80" s="49">
        <f t="shared" si="50"/>
        <v>0</v>
      </c>
      <c r="BD80" s="49">
        <f t="shared" si="51"/>
        <v>1</v>
      </c>
      <c r="BE80" s="49">
        <f t="shared" si="52"/>
        <v>0</v>
      </c>
      <c r="BF80" s="49">
        <f t="shared" si="53"/>
        <v>0</v>
      </c>
      <c r="BG80" s="49">
        <f t="shared" si="54"/>
        <v>0</v>
      </c>
      <c r="BH80" s="49">
        <f t="shared" si="55"/>
        <v>1</v>
      </c>
      <c r="BI80" s="49">
        <f t="shared" si="56"/>
        <v>0</v>
      </c>
      <c r="BJ80" s="49">
        <f t="shared" si="57"/>
        <v>0</v>
      </c>
      <c r="BK80" s="49">
        <f t="shared" si="58"/>
        <v>0</v>
      </c>
      <c r="BL80" s="49">
        <f t="shared" si="59"/>
        <v>1</v>
      </c>
      <c r="BM80" s="49">
        <f t="shared" si="60"/>
        <v>0</v>
      </c>
      <c r="BN80" s="49">
        <f t="shared" si="61"/>
        <v>0</v>
      </c>
      <c r="BO80" s="49">
        <f t="shared" si="62"/>
        <v>0</v>
      </c>
      <c r="BP80" s="49">
        <f t="shared" si="63"/>
        <v>1</v>
      </c>
      <c r="BQ80" s="49">
        <f t="shared" si="64"/>
        <v>0</v>
      </c>
      <c r="BR80" s="49">
        <f t="shared" si="65"/>
        <v>0</v>
      </c>
      <c r="BS80" s="49">
        <f t="shared" si="66"/>
        <v>0</v>
      </c>
      <c r="BT80" s="49">
        <f t="shared" si="67"/>
        <v>1</v>
      </c>
      <c r="BU80" s="49">
        <f t="shared" si="68"/>
        <v>0</v>
      </c>
      <c r="BV80" s="49">
        <f t="shared" si="69"/>
        <v>0</v>
      </c>
      <c r="BW80" s="49">
        <f t="shared" si="70"/>
        <v>0</v>
      </c>
      <c r="BX80" s="49">
        <f t="shared" si="71"/>
        <v>1</v>
      </c>
      <c r="BY80" s="49">
        <f t="shared" si="72"/>
        <v>0</v>
      </c>
      <c r="BZ80" s="49">
        <f t="shared" si="73"/>
        <v>0</v>
      </c>
      <c r="CA80" s="49">
        <f t="shared" si="74"/>
        <v>0</v>
      </c>
      <c r="CB80" s="49">
        <f t="shared" si="75"/>
        <v>1</v>
      </c>
      <c r="CC80" s="49">
        <f t="shared" si="76"/>
        <v>0</v>
      </c>
      <c r="CD80" s="49">
        <f t="shared" si="77"/>
        <v>0</v>
      </c>
      <c r="CE80" s="49">
        <f t="shared" si="78"/>
        <v>0</v>
      </c>
    </row>
    <row r="81" spans="1:83" ht="35.1" customHeight="1" x14ac:dyDescent="0.3">
      <c r="A81" s="123" t="str">
        <f t="shared" si="40"/>
        <v>1팀</v>
      </c>
      <c r="B81" s="69">
        <f t="shared" si="41"/>
        <v>75</v>
      </c>
      <c r="C81" s="119" t="str">
        <f>IF(VLOOKUP($B81,'1. 현장별 인원현황'!$C:$J,2,0)=0,"",VLOOKUP($B81,'1. 현장별 인원현황'!$C:$J,2,0))</f>
        <v xml:space="preserve"> [1.두산건설] 송림3구역 주택재개발 중 전기공사1,2공구</v>
      </c>
      <c r="D81" s="116" t="str">
        <f>IF(VLOOKUP($B81,'1. 현장별 인원현황'!$C:$J,3,0)=0,"",VLOOKUP($B81,'1. 현장별 인원현황'!$C:$J,3,0))</f>
        <v>박전규</v>
      </c>
      <c r="E81" s="63" t="str">
        <f ca="1">IF(VLOOKUP($B81,'1. 현장별 인원현황'!$C:$J,4,0)=0,"",VLOOKUP($B81,'1. 현장별 인원현황'!$C:$J,4,0))</f>
        <v>42세</v>
      </c>
      <c r="F81" s="63" t="str">
        <f>IF(VLOOKUP($B81,'1. 현장별 인원현황'!$C:$J,7,0)=0,"",VLOOKUP($B81,'1. 현장별 인원현황'!$C:$J,7,0))</f>
        <v>공무</v>
      </c>
      <c r="G81" s="63" t="str">
        <f>IF(VLOOKUP($B81,'1. 현장별 인원현황'!$C:$J,8,0)=0,"",VLOOKUP($B81,'1. 현장별 인원현황'!$C:$J,8,0))</f>
        <v>차장</v>
      </c>
      <c r="H81" s="67"/>
      <c r="I81" s="73"/>
      <c r="J81" s="73" t="s">
        <v>69</v>
      </c>
      <c r="K81" s="68"/>
      <c r="L81" s="67"/>
      <c r="M81" s="73"/>
      <c r="N81" s="73" t="s">
        <v>69</v>
      </c>
      <c r="O81" s="68"/>
      <c r="P81" s="67"/>
      <c r="Q81" s="73" t="s">
        <v>69</v>
      </c>
      <c r="R81" s="73"/>
      <c r="S81" s="68"/>
      <c r="T81" s="67"/>
      <c r="U81" s="73"/>
      <c r="V81" s="73" t="s">
        <v>69</v>
      </c>
      <c r="W81" s="68"/>
      <c r="X81" s="67"/>
      <c r="Y81" s="73" t="s">
        <v>69</v>
      </c>
      <c r="Z81" s="73"/>
      <c r="AA81" s="68"/>
      <c r="AB81" s="67"/>
      <c r="AC81" s="73" t="s">
        <v>69</v>
      </c>
      <c r="AD81" s="73"/>
      <c r="AE81" s="68"/>
      <c r="AF81" s="67"/>
      <c r="AG81" s="73"/>
      <c r="AH81" s="73" t="s">
        <v>69</v>
      </c>
      <c r="AI81" s="68"/>
      <c r="AJ81" s="67"/>
      <c r="AK81" s="73" t="s">
        <v>69</v>
      </c>
      <c r="AL81" s="73"/>
      <c r="AM81" s="68"/>
      <c r="AN81" s="73" t="s">
        <v>69</v>
      </c>
      <c r="AO81" s="73"/>
      <c r="AP81" s="73"/>
      <c r="AQ81" s="68"/>
      <c r="AR81" s="67">
        <f t="shared" si="42"/>
        <v>70</v>
      </c>
      <c r="AS81" s="68" t="str">
        <f t="shared" si="43"/>
        <v>B</v>
      </c>
      <c r="AV81" s="49">
        <f t="shared" si="79"/>
        <v>0</v>
      </c>
      <c r="AW81" s="49">
        <f t="shared" si="44"/>
        <v>0</v>
      </c>
      <c r="AX81" s="49">
        <f t="shared" si="45"/>
        <v>1</v>
      </c>
      <c r="AY81" s="49">
        <f t="shared" si="46"/>
        <v>0</v>
      </c>
      <c r="AZ81" s="49">
        <f t="shared" si="47"/>
        <v>0</v>
      </c>
      <c r="BA81" s="49">
        <f t="shared" si="48"/>
        <v>0</v>
      </c>
      <c r="BB81" s="49">
        <f t="shared" si="49"/>
        <v>1</v>
      </c>
      <c r="BC81" s="49">
        <f t="shared" si="50"/>
        <v>0</v>
      </c>
      <c r="BD81" s="49">
        <f t="shared" si="51"/>
        <v>0</v>
      </c>
      <c r="BE81" s="49">
        <f t="shared" si="52"/>
        <v>1</v>
      </c>
      <c r="BF81" s="49">
        <f t="shared" si="53"/>
        <v>0</v>
      </c>
      <c r="BG81" s="49">
        <f t="shared" si="54"/>
        <v>0</v>
      </c>
      <c r="BH81" s="49">
        <f t="shared" si="55"/>
        <v>0</v>
      </c>
      <c r="BI81" s="49">
        <f t="shared" si="56"/>
        <v>0</v>
      </c>
      <c r="BJ81" s="49">
        <f t="shared" si="57"/>
        <v>1</v>
      </c>
      <c r="BK81" s="49">
        <f t="shared" si="58"/>
        <v>0</v>
      </c>
      <c r="BL81" s="49">
        <f t="shared" si="59"/>
        <v>0</v>
      </c>
      <c r="BM81" s="49">
        <f t="shared" si="60"/>
        <v>1</v>
      </c>
      <c r="BN81" s="49">
        <f t="shared" si="61"/>
        <v>0</v>
      </c>
      <c r="BO81" s="49">
        <f t="shared" si="62"/>
        <v>0</v>
      </c>
      <c r="BP81" s="49">
        <f t="shared" si="63"/>
        <v>0</v>
      </c>
      <c r="BQ81" s="49">
        <f t="shared" si="64"/>
        <v>1</v>
      </c>
      <c r="BR81" s="49">
        <f t="shared" si="65"/>
        <v>0</v>
      </c>
      <c r="BS81" s="49">
        <f t="shared" si="66"/>
        <v>0</v>
      </c>
      <c r="BT81" s="49">
        <f t="shared" si="67"/>
        <v>0</v>
      </c>
      <c r="BU81" s="49">
        <f t="shared" si="68"/>
        <v>0</v>
      </c>
      <c r="BV81" s="49">
        <f t="shared" si="69"/>
        <v>1</v>
      </c>
      <c r="BW81" s="49">
        <f t="shared" si="70"/>
        <v>0</v>
      </c>
      <c r="BX81" s="49">
        <f t="shared" si="71"/>
        <v>0</v>
      </c>
      <c r="BY81" s="49">
        <f t="shared" si="72"/>
        <v>1</v>
      </c>
      <c r="BZ81" s="49">
        <f t="shared" si="73"/>
        <v>0</v>
      </c>
      <c r="CA81" s="49">
        <f t="shared" si="74"/>
        <v>0</v>
      </c>
      <c r="CB81" s="49">
        <f t="shared" si="75"/>
        <v>1</v>
      </c>
      <c r="CC81" s="49">
        <f t="shared" si="76"/>
        <v>0</v>
      </c>
      <c r="CD81" s="49">
        <f t="shared" si="77"/>
        <v>0</v>
      </c>
      <c r="CE81" s="49">
        <f t="shared" si="78"/>
        <v>0</v>
      </c>
    </row>
    <row r="82" spans="1:83" ht="35.1" customHeight="1" x14ac:dyDescent="0.3">
      <c r="A82" s="123" t="str">
        <f t="shared" si="40"/>
        <v>1팀</v>
      </c>
      <c r="B82" s="69">
        <f t="shared" si="41"/>
        <v>76</v>
      </c>
      <c r="C82" s="119" t="str">
        <f>IF(VLOOKUP($B82,'1. 현장별 인원현황'!$C:$J,2,0)=0,"",VLOOKUP($B82,'1. 현장별 인원현황'!$C:$J,2,0))</f>
        <v xml:space="preserve"> [1.두산건설] 송림3구역 주택재개발 중 전기공사1,2공구</v>
      </c>
      <c r="D82" s="116" t="str">
        <f>IF(VLOOKUP($B82,'1. 현장별 인원현황'!$C:$J,3,0)=0,"",VLOOKUP($B82,'1. 현장별 인원현황'!$C:$J,3,0))</f>
        <v>김항규</v>
      </c>
      <c r="E82" s="63" t="str">
        <f ca="1">IF(VLOOKUP($B82,'1. 현장별 인원현황'!$C:$J,4,0)=0,"",VLOOKUP($B82,'1. 현장별 인원현황'!$C:$J,4,0))</f>
        <v>31세</v>
      </c>
      <c r="F82" s="63" t="str">
        <f>IF(VLOOKUP($B82,'1. 현장별 인원현황'!$C:$J,7,0)=0,"",VLOOKUP($B82,'1. 현장별 인원현황'!$C:$J,7,0))</f>
        <v>공무</v>
      </c>
      <c r="G82" s="63" t="str">
        <f>IF(VLOOKUP($B82,'1. 현장별 인원현황'!$C:$J,8,0)=0,"",VLOOKUP($B82,'1. 현장별 인원현황'!$C:$J,8,0))</f>
        <v>기사</v>
      </c>
      <c r="H82" s="67"/>
      <c r="I82" s="73"/>
      <c r="J82" s="73" t="s">
        <v>69</v>
      </c>
      <c r="K82" s="68"/>
      <c r="L82" s="67"/>
      <c r="M82" s="73"/>
      <c r="N82" s="73" t="s">
        <v>69</v>
      </c>
      <c r="O82" s="68"/>
      <c r="P82" s="67"/>
      <c r="Q82" s="73"/>
      <c r="R82" s="73" t="s">
        <v>69</v>
      </c>
      <c r="S82" s="68"/>
      <c r="T82" s="67"/>
      <c r="U82" s="73"/>
      <c r="V82" s="73" t="s">
        <v>69</v>
      </c>
      <c r="W82" s="68"/>
      <c r="X82" s="67"/>
      <c r="Y82" s="73" t="s">
        <v>69</v>
      </c>
      <c r="Z82" s="73"/>
      <c r="AA82" s="68"/>
      <c r="AB82" s="67"/>
      <c r="AC82" s="73" t="s">
        <v>69</v>
      </c>
      <c r="AD82" s="73"/>
      <c r="AE82" s="68"/>
      <c r="AF82" s="67"/>
      <c r="AG82" s="73"/>
      <c r="AH82" s="73" t="s">
        <v>69</v>
      </c>
      <c r="AI82" s="68"/>
      <c r="AJ82" s="67"/>
      <c r="AK82" s="73" t="s">
        <v>69</v>
      </c>
      <c r="AL82" s="73"/>
      <c r="AM82" s="68"/>
      <c r="AN82" s="73" t="s">
        <v>69</v>
      </c>
      <c r="AO82" s="73"/>
      <c r="AP82" s="73"/>
      <c r="AQ82" s="68"/>
      <c r="AR82" s="67">
        <f t="shared" si="42"/>
        <v>67</v>
      </c>
      <c r="AS82" s="68" t="str">
        <f t="shared" si="43"/>
        <v>B</v>
      </c>
      <c r="AV82" s="49">
        <f t="shared" si="79"/>
        <v>0</v>
      </c>
      <c r="AW82" s="49">
        <f t="shared" si="44"/>
        <v>0</v>
      </c>
      <c r="AX82" s="49">
        <f t="shared" si="45"/>
        <v>1</v>
      </c>
      <c r="AY82" s="49">
        <f t="shared" si="46"/>
        <v>0</v>
      </c>
      <c r="AZ82" s="49">
        <f t="shared" si="47"/>
        <v>0</v>
      </c>
      <c r="BA82" s="49">
        <f t="shared" si="48"/>
        <v>0</v>
      </c>
      <c r="BB82" s="49">
        <f t="shared" si="49"/>
        <v>1</v>
      </c>
      <c r="BC82" s="49">
        <f t="shared" si="50"/>
        <v>0</v>
      </c>
      <c r="BD82" s="49">
        <f t="shared" si="51"/>
        <v>0</v>
      </c>
      <c r="BE82" s="49">
        <f t="shared" si="52"/>
        <v>0</v>
      </c>
      <c r="BF82" s="49">
        <f t="shared" si="53"/>
        <v>1</v>
      </c>
      <c r="BG82" s="49">
        <f t="shared" si="54"/>
        <v>0</v>
      </c>
      <c r="BH82" s="49">
        <f t="shared" si="55"/>
        <v>0</v>
      </c>
      <c r="BI82" s="49">
        <f t="shared" si="56"/>
        <v>0</v>
      </c>
      <c r="BJ82" s="49">
        <f t="shared" si="57"/>
        <v>1</v>
      </c>
      <c r="BK82" s="49">
        <f t="shared" si="58"/>
        <v>0</v>
      </c>
      <c r="BL82" s="49">
        <f t="shared" si="59"/>
        <v>0</v>
      </c>
      <c r="BM82" s="49">
        <f t="shared" si="60"/>
        <v>1</v>
      </c>
      <c r="BN82" s="49">
        <f t="shared" si="61"/>
        <v>0</v>
      </c>
      <c r="BO82" s="49">
        <f t="shared" si="62"/>
        <v>0</v>
      </c>
      <c r="BP82" s="49">
        <f t="shared" si="63"/>
        <v>0</v>
      </c>
      <c r="BQ82" s="49">
        <f t="shared" si="64"/>
        <v>1</v>
      </c>
      <c r="BR82" s="49">
        <f t="shared" si="65"/>
        <v>0</v>
      </c>
      <c r="BS82" s="49">
        <f t="shared" si="66"/>
        <v>0</v>
      </c>
      <c r="BT82" s="49">
        <f t="shared" si="67"/>
        <v>0</v>
      </c>
      <c r="BU82" s="49">
        <f t="shared" si="68"/>
        <v>0</v>
      </c>
      <c r="BV82" s="49">
        <f t="shared" si="69"/>
        <v>1</v>
      </c>
      <c r="BW82" s="49">
        <f t="shared" si="70"/>
        <v>0</v>
      </c>
      <c r="BX82" s="49">
        <f t="shared" si="71"/>
        <v>0</v>
      </c>
      <c r="BY82" s="49">
        <f t="shared" si="72"/>
        <v>1</v>
      </c>
      <c r="BZ82" s="49">
        <f t="shared" si="73"/>
        <v>0</v>
      </c>
      <c r="CA82" s="49">
        <f t="shared" si="74"/>
        <v>0</v>
      </c>
      <c r="CB82" s="49">
        <f t="shared" si="75"/>
        <v>1</v>
      </c>
      <c r="CC82" s="49">
        <f t="shared" si="76"/>
        <v>0</v>
      </c>
      <c r="CD82" s="49">
        <f t="shared" si="77"/>
        <v>0</v>
      </c>
      <c r="CE82" s="49">
        <f t="shared" si="78"/>
        <v>0</v>
      </c>
    </row>
    <row r="83" spans="1:83" ht="35.1" customHeight="1" x14ac:dyDescent="0.3">
      <c r="A83" s="123" t="str">
        <f t="shared" si="40"/>
        <v>1팀</v>
      </c>
      <c r="B83" s="69">
        <f t="shared" si="41"/>
        <v>77</v>
      </c>
      <c r="C83" s="119" t="str">
        <f>IF(VLOOKUP($B83,'1. 현장별 인원현황'!$C:$J,2,0)=0,"",VLOOKUP($B83,'1. 현장별 인원현황'!$C:$J,2,0))</f>
        <v xml:space="preserve"> [1.두산건설] 송림3구역 주택재개발 중 전기공사1,2공구</v>
      </c>
      <c r="D83" s="116" t="str">
        <f>IF(VLOOKUP($B83,'1. 현장별 인원현황'!$C:$J,3,0)=0,"",VLOOKUP($B83,'1. 현장별 인원현황'!$C:$J,3,0))</f>
        <v>이윤희</v>
      </c>
      <c r="E83" s="63" t="str">
        <f ca="1">IF(VLOOKUP($B83,'1. 현장별 인원현황'!$C:$J,4,0)=0,"",VLOOKUP($B83,'1. 현장별 인원현황'!$C:$J,4,0))</f>
        <v>62세</v>
      </c>
      <c r="F83" s="63" t="str">
        <f>IF(VLOOKUP($B83,'1. 현장별 인원현황'!$C:$J,7,0)=0,"",VLOOKUP($B83,'1. 현장별 인원현황'!$C:$J,7,0))</f>
        <v>기능공</v>
      </c>
      <c r="G83" s="63" t="str">
        <f>IF(VLOOKUP($B83,'1. 현장별 인원현황'!$C:$J,8,0)=0,"",VLOOKUP($B83,'1. 현장별 인원현황'!$C:$J,8,0))</f>
        <v>전공</v>
      </c>
      <c r="H83" s="67"/>
      <c r="I83" s="73"/>
      <c r="J83" s="73" t="s">
        <v>69</v>
      </c>
      <c r="K83" s="68"/>
      <c r="L83" s="67"/>
      <c r="M83" s="73"/>
      <c r="N83" s="73" t="s">
        <v>69</v>
      </c>
      <c r="O83" s="68"/>
      <c r="P83" s="67"/>
      <c r="Q83" s="73" t="s">
        <v>69</v>
      </c>
      <c r="R83" s="73"/>
      <c r="S83" s="68"/>
      <c r="T83" s="67"/>
      <c r="U83" s="73"/>
      <c r="V83" s="73" t="s">
        <v>69</v>
      </c>
      <c r="W83" s="68"/>
      <c r="X83" s="67"/>
      <c r="Y83" s="73"/>
      <c r="Z83" s="73" t="s">
        <v>69</v>
      </c>
      <c r="AA83" s="68"/>
      <c r="AB83" s="67"/>
      <c r="AC83" s="73" t="s">
        <v>69</v>
      </c>
      <c r="AD83" s="73"/>
      <c r="AE83" s="68"/>
      <c r="AF83" s="67"/>
      <c r="AG83" s="73"/>
      <c r="AH83" s="73" t="s">
        <v>69</v>
      </c>
      <c r="AI83" s="68"/>
      <c r="AJ83" s="67"/>
      <c r="AK83" s="73" t="s">
        <v>69</v>
      </c>
      <c r="AL83" s="73"/>
      <c r="AM83" s="68"/>
      <c r="AN83" s="73" t="s">
        <v>69</v>
      </c>
      <c r="AO83" s="73"/>
      <c r="AP83" s="73"/>
      <c r="AQ83" s="68"/>
      <c r="AR83" s="67">
        <f t="shared" si="42"/>
        <v>68</v>
      </c>
      <c r="AS83" s="68" t="str">
        <f t="shared" si="43"/>
        <v>B</v>
      </c>
      <c r="AV83" s="49">
        <f t="shared" si="79"/>
        <v>0</v>
      </c>
      <c r="AW83" s="49">
        <f t="shared" si="44"/>
        <v>0</v>
      </c>
      <c r="AX83" s="49">
        <f t="shared" si="45"/>
        <v>1</v>
      </c>
      <c r="AY83" s="49">
        <f t="shared" si="46"/>
        <v>0</v>
      </c>
      <c r="AZ83" s="49">
        <f t="shared" si="47"/>
        <v>0</v>
      </c>
      <c r="BA83" s="49">
        <f t="shared" si="48"/>
        <v>0</v>
      </c>
      <c r="BB83" s="49">
        <f t="shared" si="49"/>
        <v>1</v>
      </c>
      <c r="BC83" s="49">
        <f t="shared" si="50"/>
        <v>0</v>
      </c>
      <c r="BD83" s="49">
        <f t="shared" si="51"/>
        <v>0</v>
      </c>
      <c r="BE83" s="49">
        <f t="shared" si="52"/>
        <v>1</v>
      </c>
      <c r="BF83" s="49">
        <f t="shared" si="53"/>
        <v>0</v>
      </c>
      <c r="BG83" s="49">
        <f t="shared" si="54"/>
        <v>0</v>
      </c>
      <c r="BH83" s="49">
        <f t="shared" si="55"/>
        <v>0</v>
      </c>
      <c r="BI83" s="49">
        <f t="shared" si="56"/>
        <v>0</v>
      </c>
      <c r="BJ83" s="49">
        <f t="shared" si="57"/>
        <v>1</v>
      </c>
      <c r="BK83" s="49">
        <f t="shared" si="58"/>
        <v>0</v>
      </c>
      <c r="BL83" s="49">
        <f t="shared" si="59"/>
        <v>0</v>
      </c>
      <c r="BM83" s="49">
        <f t="shared" si="60"/>
        <v>0</v>
      </c>
      <c r="BN83" s="49">
        <f t="shared" si="61"/>
        <v>1</v>
      </c>
      <c r="BO83" s="49">
        <f t="shared" si="62"/>
        <v>0</v>
      </c>
      <c r="BP83" s="49">
        <f t="shared" si="63"/>
        <v>0</v>
      </c>
      <c r="BQ83" s="49">
        <f t="shared" si="64"/>
        <v>1</v>
      </c>
      <c r="BR83" s="49">
        <f t="shared" si="65"/>
        <v>0</v>
      </c>
      <c r="BS83" s="49">
        <f t="shared" si="66"/>
        <v>0</v>
      </c>
      <c r="BT83" s="49">
        <f t="shared" si="67"/>
        <v>0</v>
      </c>
      <c r="BU83" s="49">
        <f t="shared" si="68"/>
        <v>0</v>
      </c>
      <c r="BV83" s="49">
        <f t="shared" si="69"/>
        <v>1</v>
      </c>
      <c r="BW83" s="49">
        <f t="shared" si="70"/>
        <v>0</v>
      </c>
      <c r="BX83" s="49">
        <f t="shared" si="71"/>
        <v>0</v>
      </c>
      <c r="BY83" s="49">
        <f t="shared" si="72"/>
        <v>1</v>
      </c>
      <c r="BZ83" s="49">
        <f t="shared" si="73"/>
        <v>0</v>
      </c>
      <c r="CA83" s="49">
        <f t="shared" si="74"/>
        <v>0</v>
      </c>
      <c r="CB83" s="49">
        <f t="shared" si="75"/>
        <v>1</v>
      </c>
      <c r="CC83" s="49">
        <f t="shared" si="76"/>
        <v>0</v>
      </c>
      <c r="CD83" s="49">
        <f t="shared" si="77"/>
        <v>0</v>
      </c>
      <c r="CE83" s="49">
        <f t="shared" si="78"/>
        <v>0</v>
      </c>
    </row>
    <row r="84" spans="1:83" ht="35.1" customHeight="1" x14ac:dyDescent="0.3">
      <c r="A84" s="123" t="str">
        <f t="shared" si="40"/>
        <v>1팀</v>
      </c>
      <c r="B84" s="69">
        <f t="shared" si="41"/>
        <v>78</v>
      </c>
      <c r="C84" s="119" t="str">
        <f>IF(VLOOKUP($B84,'1. 현장별 인원현황'!$C:$J,2,0)=0,"",VLOOKUP($B84,'1. 현장별 인원현황'!$C:$J,2,0))</f>
        <v xml:space="preserve"> [1.두산건설] 송림3구역 주택재개발 중 전기공사1,2공구</v>
      </c>
      <c r="D84" s="116" t="str">
        <f>IF(VLOOKUP($B84,'1. 현장별 인원현황'!$C:$J,3,0)=0,"",VLOOKUP($B84,'1. 현장별 인원현황'!$C:$J,3,0))</f>
        <v>이봉일</v>
      </c>
      <c r="E84" s="63" t="str">
        <f ca="1">IF(VLOOKUP($B84,'1. 현장별 인원현황'!$C:$J,4,0)=0,"",VLOOKUP($B84,'1. 현장별 인원현황'!$C:$J,4,0))</f>
        <v>62세</v>
      </c>
      <c r="F84" s="63" t="str">
        <f>IF(VLOOKUP($B84,'1. 현장별 인원현황'!$C:$J,7,0)=0,"",VLOOKUP($B84,'1. 현장별 인원현황'!$C:$J,7,0))</f>
        <v>기능공</v>
      </c>
      <c r="G84" s="63" t="str">
        <f>IF(VLOOKUP($B84,'1. 현장별 인원현황'!$C:$J,8,0)=0,"",VLOOKUP($B84,'1. 현장별 인원현황'!$C:$J,8,0))</f>
        <v>전공</v>
      </c>
      <c r="H84" s="67"/>
      <c r="I84" s="73"/>
      <c r="J84" s="73" t="s">
        <v>69</v>
      </c>
      <c r="K84" s="68"/>
      <c r="L84" s="67"/>
      <c r="M84" s="73"/>
      <c r="N84" s="73" t="s">
        <v>69</v>
      </c>
      <c r="O84" s="68"/>
      <c r="P84" s="67"/>
      <c r="Q84" s="73"/>
      <c r="R84" s="73" t="s">
        <v>69</v>
      </c>
      <c r="S84" s="68"/>
      <c r="T84" s="67"/>
      <c r="U84" s="73"/>
      <c r="V84" s="73" t="s">
        <v>69</v>
      </c>
      <c r="W84" s="68"/>
      <c r="X84" s="67"/>
      <c r="Y84" s="73"/>
      <c r="Z84" s="73" t="s">
        <v>69</v>
      </c>
      <c r="AA84" s="68"/>
      <c r="AB84" s="67"/>
      <c r="AC84" s="73" t="s">
        <v>69</v>
      </c>
      <c r="AD84" s="73"/>
      <c r="AE84" s="68"/>
      <c r="AF84" s="67"/>
      <c r="AG84" s="73"/>
      <c r="AH84" s="73" t="s">
        <v>69</v>
      </c>
      <c r="AI84" s="68"/>
      <c r="AJ84" s="67"/>
      <c r="AK84" s="73" t="s">
        <v>69</v>
      </c>
      <c r="AL84" s="73"/>
      <c r="AM84" s="68"/>
      <c r="AN84" s="73" t="s">
        <v>69</v>
      </c>
      <c r="AO84" s="73"/>
      <c r="AP84" s="73"/>
      <c r="AQ84" s="68"/>
      <c r="AR84" s="67">
        <f t="shared" si="42"/>
        <v>65</v>
      </c>
      <c r="AS84" s="68" t="str">
        <f t="shared" si="43"/>
        <v>B</v>
      </c>
      <c r="AV84" s="49">
        <f t="shared" si="79"/>
        <v>0</v>
      </c>
      <c r="AW84" s="49">
        <f t="shared" si="44"/>
        <v>0</v>
      </c>
      <c r="AX84" s="49">
        <f t="shared" si="45"/>
        <v>1</v>
      </c>
      <c r="AY84" s="49">
        <f t="shared" si="46"/>
        <v>0</v>
      </c>
      <c r="AZ84" s="49">
        <f t="shared" si="47"/>
        <v>0</v>
      </c>
      <c r="BA84" s="49">
        <f t="shared" si="48"/>
        <v>0</v>
      </c>
      <c r="BB84" s="49">
        <f t="shared" si="49"/>
        <v>1</v>
      </c>
      <c r="BC84" s="49">
        <f t="shared" si="50"/>
        <v>0</v>
      </c>
      <c r="BD84" s="49">
        <f t="shared" si="51"/>
        <v>0</v>
      </c>
      <c r="BE84" s="49">
        <f t="shared" si="52"/>
        <v>0</v>
      </c>
      <c r="BF84" s="49">
        <f t="shared" si="53"/>
        <v>1</v>
      </c>
      <c r="BG84" s="49">
        <f t="shared" si="54"/>
        <v>0</v>
      </c>
      <c r="BH84" s="49">
        <f t="shared" si="55"/>
        <v>0</v>
      </c>
      <c r="BI84" s="49">
        <f t="shared" si="56"/>
        <v>0</v>
      </c>
      <c r="BJ84" s="49">
        <f t="shared" si="57"/>
        <v>1</v>
      </c>
      <c r="BK84" s="49">
        <f t="shared" si="58"/>
        <v>0</v>
      </c>
      <c r="BL84" s="49">
        <f t="shared" si="59"/>
        <v>0</v>
      </c>
      <c r="BM84" s="49">
        <f t="shared" si="60"/>
        <v>0</v>
      </c>
      <c r="BN84" s="49">
        <f t="shared" si="61"/>
        <v>1</v>
      </c>
      <c r="BO84" s="49">
        <f t="shared" si="62"/>
        <v>0</v>
      </c>
      <c r="BP84" s="49">
        <f t="shared" si="63"/>
        <v>0</v>
      </c>
      <c r="BQ84" s="49">
        <f t="shared" si="64"/>
        <v>1</v>
      </c>
      <c r="BR84" s="49">
        <f t="shared" si="65"/>
        <v>0</v>
      </c>
      <c r="BS84" s="49">
        <f t="shared" si="66"/>
        <v>0</v>
      </c>
      <c r="BT84" s="49">
        <f t="shared" si="67"/>
        <v>0</v>
      </c>
      <c r="BU84" s="49">
        <f t="shared" si="68"/>
        <v>0</v>
      </c>
      <c r="BV84" s="49">
        <f t="shared" si="69"/>
        <v>1</v>
      </c>
      <c r="BW84" s="49">
        <f t="shared" si="70"/>
        <v>0</v>
      </c>
      <c r="BX84" s="49">
        <f t="shared" si="71"/>
        <v>0</v>
      </c>
      <c r="BY84" s="49">
        <f t="shared" si="72"/>
        <v>1</v>
      </c>
      <c r="BZ84" s="49">
        <f t="shared" si="73"/>
        <v>0</v>
      </c>
      <c r="CA84" s="49">
        <f t="shared" si="74"/>
        <v>0</v>
      </c>
      <c r="CB84" s="49">
        <f t="shared" si="75"/>
        <v>1</v>
      </c>
      <c r="CC84" s="49">
        <f t="shared" si="76"/>
        <v>0</v>
      </c>
      <c r="CD84" s="49">
        <f t="shared" si="77"/>
        <v>0</v>
      </c>
      <c r="CE84" s="49">
        <f t="shared" si="78"/>
        <v>0</v>
      </c>
    </row>
    <row r="85" spans="1:83" ht="35.1" customHeight="1" x14ac:dyDescent="0.3">
      <c r="A85" s="123" t="str">
        <f t="shared" si="40"/>
        <v>1팀</v>
      </c>
      <c r="B85" s="69">
        <f t="shared" si="41"/>
        <v>79</v>
      </c>
      <c r="C85" s="119" t="str">
        <f>IF(VLOOKUP($B85,'1. 현장별 인원현황'!$C:$J,2,0)=0,"",VLOOKUP($B85,'1. 현장별 인원현황'!$C:$J,2,0))</f>
        <v xml:space="preserve"> [1.두산건설] 송림3구역 주택재개발 중 전기공사1,2공구</v>
      </c>
      <c r="D85" s="116" t="str">
        <f>IF(VLOOKUP($B85,'1. 현장별 인원현황'!$C:$J,3,0)=0,"",VLOOKUP($B85,'1. 현장별 인원현황'!$C:$J,3,0))</f>
        <v>최동환</v>
      </c>
      <c r="E85" s="63" t="str">
        <f ca="1">IF(VLOOKUP($B85,'1. 현장별 인원현황'!$C:$J,4,0)=0,"",VLOOKUP($B85,'1. 현장별 인원현황'!$C:$J,4,0))</f>
        <v>64세</v>
      </c>
      <c r="F85" s="63" t="str">
        <f>IF(VLOOKUP($B85,'1. 현장별 인원현황'!$C:$J,7,0)=0,"",VLOOKUP($B85,'1. 현장별 인원현황'!$C:$J,7,0))</f>
        <v>기능공</v>
      </c>
      <c r="G85" s="63" t="str">
        <f>IF(VLOOKUP($B85,'1. 현장별 인원현황'!$C:$J,8,0)=0,"",VLOOKUP($B85,'1. 현장별 인원현황'!$C:$J,8,0))</f>
        <v>전공</v>
      </c>
      <c r="H85" s="67"/>
      <c r="I85" s="73"/>
      <c r="J85" s="73" t="s">
        <v>69</v>
      </c>
      <c r="K85" s="68"/>
      <c r="L85" s="67"/>
      <c r="M85" s="73"/>
      <c r="N85" s="73" t="s">
        <v>69</v>
      </c>
      <c r="O85" s="68"/>
      <c r="P85" s="67"/>
      <c r="Q85" s="73" t="s">
        <v>69</v>
      </c>
      <c r="R85" s="73"/>
      <c r="S85" s="68"/>
      <c r="T85" s="67"/>
      <c r="U85" s="73"/>
      <c r="V85" s="73" t="s">
        <v>69</v>
      </c>
      <c r="W85" s="68"/>
      <c r="X85" s="67"/>
      <c r="Y85" s="73"/>
      <c r="Z85" s="73" t="s">
        <v>69</v>
      </c>
      <c r="AA85" s="68"/>
      <c r="AB85" s="67"/>
      <c r="AC85" s="73" t="s">
        <v>69</v>
      </c>
      <c r="AD85" s="73"/>
      <c r="AE85" s="68"/>
      <c r="AF85" s="67"/>
      <c r="AG85" s="73"/>
      <c r="AH85" s="73" t="s">
        <v>69</v>
      </c>
      <c r="AI85" s="68"/>
      <c r="AJ85" s="67"/>
      <c r="AK85" s="73" t="s">
        <v>69</v>
      </c>
      <c r="AL85" s="73"/>
      <c r="AM85" s="68"/>
      <c r="AN85" s="73" t="s">
        <v>69</v>
      </c>
      <c r="AO85" s="73"/>
      <c r="AP85" s="73"/>
      <c r="AQ85" s="68"/>
      <c r="AR85" s="67">
        <f t="shared" si="42"/>
        <v>68</v>
      </c>
      <c r="AS85" s="68" t="str">
        <f t="shared" si="43"/>
        <v>B</v>
      </c>
      <c r="AV85" s="49">
        <f t="shared" si="79"/>
        <v>0</v>
      </c>
      <c r="AW85" s="49">
        <f t="shared" si="44"/>
        <v>0</v>
      </c>
      <c r="AX85" s="49">
        <f t="shared" si="45"/>
        <v>1</v>
      </c>
      <c r="AY85" s="49">
        <f t="shared" si="46"/>
        <v>0</v>
      </c>
      <c r="AZ85" s="49">
        <f t="shared" si="47"/>
        <v>0</v>
      </c>
      <c r="BA85" s="49">
        <f t="shared" si="48"/>
        <v>0</v>
      </c>
      <c r="BB85" s="49">
        <f t="shared" si="49"/>
        <v>1</v>
      </c>
      <c r="BC85" s="49">
        <f t="shared" si="50"/>
        <v>0</v>
      </c>
      <c r="BD85" s="49">
        <f t="shared" si="51"/>
        <v>0</v>
      </c>
      <c r="BE85" s="49">
        <f t="shared" si="52"/>
        <v>1</v>
      </c>
      <c r="BF85" s="49">
        <f t="shared" si="53"/>
        <v>0</v>
      </c>
      <c r="BG85" s="49">
        <f t="shared" si="54"/>
        <v>0</v>
      </c>
      <c r="BH85" s="49">
        <f t="shared" si="55"/>
        <v>0</v>
      </c>
      <c r="BI85" s="49">
        <f t="shared" si="56"/>
        <v>0</v>
      </c>
      <c r="BJ85" s="49">
        <f t="shared" si="57"/>
        <v>1</v>
      </c>
      <c r="BK85" s="49">
        <f t="shared" si="58"/>
        <v>0</v>
      </c>
      <c r="BL85" s="49">
        <f t="shared" si="59"/>
        <v>0</v>
      </c>
      <c r="BM85" s="49">
        <f t="shared" si="60"/>
        <v>0</v>
      </c>
      <c r="BN85" s="49">
        <f t="shared" si="61"/>
        <v>1</v>
      </c>
      <c r="BO85" s="49">
        <f t="shared" si="62"/>
        <v>0</v>
      </c>
      <c r="BP85" s="49">
        <f t="shared" si="63"/>
        <v>0</v>
      </c>
      <c r="BQ85" s="49">
        <f t="shared" si="64"/>
        <v>1</v>
      </c>
      <c r="BR85" s="49">
        <f t="shared" si="65"/>
        <v>0</v>
      </c>
      <c r="BS85" s="49">
        <f t="shared" si="66"/>
        <v>0</v>
      </c>
      <c r="BT85" s="49">
        <f t="shared" si="67"/>
        <v>0</v>
      </c>
      <c r="BU85" s="49">
        <f t="shared" si="68"/>
        <v>0</v>
      </c>
      <c r="BV85" s="49">
        <f t="shared" si="69"/>
        <v>1</v>
      </c>
      <c r="BW85" s="49">
        <f t="shared" si="70"/>
        <v>0</v>
      </c>
      <c r="BX85" s="49">
        <f t="shared" si="71"/>
        <v>0</v>
      </c>
      <c r="BY85" s="49">
        <f t="shared" si="72"/>
        <v>1</v>
      </c>
      <c r="BZ85" s="49">
        <f t="shared" si="73"/>
        <v>0</v>
      </c>
      <c r="CA85" s="49">
        <f t="shared" si="74"/>
        <v>0</v>
      </c>
      <c r="CB85" s="49">
        <f t="shared" si="75"/>
        <v>1</v>
      </c>
      <c r="CC85" s="49">
        <f t="shared" si="76"/>
        <v>0</v>
      </c>
      <c r="CD85" s="49">
        <f t="shared" si="77"/>
        <v>0</v>
      </c>
      <c r="CE85" s="49">
        <f t="shared" si="78"/>
        <v>0</v>
      </c>
    </row>
    <row r="86" spans="1:83" ht="35.1" customHeight="1" x14ac:dyDescent="0.3">
      <c r="A86" s="123" t="str">
        <f t="shared" si="40"/>
        <v>1팀</v>
      </c>
      <c r="B86" s="69">
        <f t="shared" si="41"/>
        <v>80</v>
      </c>
      <c r="C86" s="119" t="str">
        <f>IF(VLOOKUP($B86,'1. 현장별 인원현황'!$C:$J,2,0)=0,"",VLOOKUP($B86,'1. 현장별 인원현황'!$C:$J,2,0))</f>
        <v xml:space="preserve"> [1.두산건설] 송림3구역 주택재개발 중 전기공사1,2공구</v>
      </c>
      <c r="D86" s="116" t="str">
        <f>IF(VLOOKUP($B86,'1. 현장별 인원현황'!$C:$J,3,0)=0,"",VLOOKUP($B86,'1. 현장별 인원현황'!$C:$J,3,0))</f>
        <v>강상욱</v>
      </c>
      <c r="E86" s="63" t="str">
        <f ca="1">IF(VLOOKUP($B86,'1. 현장별 인원현황'!$C:$J,4,0)=0,"",VLOOKUP($B86,'1. 현장별 인원현황'!$C:$J,4,0))</f>
        <v>50세</v>
      </c>
      <c r="F86" s="63" t="str">
        <f>IF(VLOOKUP($B86,'1. 현장별 인원현황'!$C:$J,7,0)=0,"",VLOOKUP($B86,'1. 현장별 인원현황'!$C:$J,7,0))</f>
        <v>기능공</v>
      </c>
      <c r="G86" s="63" t="str">
        <f>IF(VLOOKUP($B86,'1. 현장별 인원현황'!$C:$J,8,0)=0,"",VLOOKUP($B86,'1. 현장별 인원현황'!$C:$J,8,0))</f>
        <v>전공</v>
      </c>
      <c r="H86" s="67"/>
      <c r="I86" s="73"/>
      <c r="J86" s="73" t="s">
        <v>69</v>
      </c>
      <c r="K86" s="68"/>
      <c r="L86" s="67"/>
      <c r="M86" s="73"/>
      <c r="N86" s="73" t="s">
        <v>69</v>
      </c>
      <c r="O86" s="68"/>
      <c r="P86" s="67"/>
      <c r="Q86" s="73" t="s">
        <v>69</v>
      </c>
      <c r="R86" s="73"/>
      <c r="S86" s="68"/>
      <c r="T86" s="67"/>
      <c r="U86" s="73"/>
      <c r="V86" s="73" t="s">
        <v>69</v>
      </c>
      <c r="W86" s="68"/>
      <c r="X86" s="67"/>
      <c r="Y86" s="73"/>
      <c r="Z86" s="73" t="s">
        <v>69</v>
      </c>
      <c r="AA86" s="68"/>
      <c r="AB86" s="67"/>
      <c r="AC86" s="73" t="s">
        <v>69</v>
      </c>
      <c r="AD86" s="73"/>
      <c r="AE86" s="68"/>
      <c r="AF86" s="67"/>
      <c r="AG86" s="73"/>
      <c r="AH86" s="73" t="s">
        <v>69</v>
      </c>
      <c r="AI86" s="68"/>
      <c r="AJ86" s="67"/>
      <c r="AK86" s="73" t="s">
        <v>69</v>
      </c>
      <c r="AL86" s="73"/>
      <c r="AM86" s="68"/>
      <c r="AN86" s="73" t="s">
        <v>69</v>
      </c>
      <c r="AO86" s="73"/>
      <c r="AP86" s="73"/>
      <c r="AQ86" s="68"/>
      <c r="AR86" s="67">
        <f t="shared" si="42"/>
        <v>68</v>
      </c>
      <c r="AS86" s="68" t="str">
        <f t="shared" si="43"/>
        <v>B</v>
      </c>
      <c r="AV86" s="49">
        <f t="shared" si="79"/>
        <v>0</v>
      </c>
      <c r="AW86" s="49">
        <f t="shared" si="44"/>
        <v>0</v>
      </c>
      <c r="AX86" s="49">
        <f t="shared" si="45"/>
        <v>1</v>
      </c>
      <c r="AY86" s="49">
        <f t="shared" si="46"/>
        <v>0</v>
      </c>
      <c r="AZ86" s="49">
        <f t="shared" si="47"/>
        <v>0</v>
      </c>
      <c r="BA86" s="49">
        <f t="shared" si="48"/>
        <v>0</v>
      </c>
      <c r="BB86" s="49">
        <f t="shared" si="49"/>
        <v>1</v>
      </c>
      <c r="BC86" s="49">
        <f t="shared" si="50"/>
        <v>0</v>
      </c>
      <c r="BD86" s="49">
        <f t="shared" si="51"/>
        <v>0</v>
      </c>
      <c r="BE86" s="49">
        <f t="shared" si="52"/>
        <v>1</v>
      </c>
      <c r="BF86" s="49">
        <f t="shared" si="53"/>
        <v>0</v>
      </c>
      <c r="BG86" s="49">
        <f t="shared" si="54"/>
        <v>0</v>
      </c>
      <c r="BH86" s="49">
        <f t="shared" si="55"/>
        <v>0</v>
      </c>
      <c r="BI86" s="49">
        <f t="shared" si="56"/>
        <v>0</v>
      </c>
      <c r="BJ86" s="49">
        <f t="shared" si="57"/>
        <v>1</v>
      </c>
      <c r="BK86" s="49">
        <f t="shared" si="58"/>
        <v>0</v>
      </c>
      <c r="BL86" s="49">
        <f t="shared" si="59"/>
        <v>0</v>
      </c>
      <c r="BM86" s="49">
        <f t="shared" si="60"/>
        <v>0</v>
      </c>
      <c r="BN86" s="49">
        <f t="shared" si="61"/>
        <v>1</v>
      </c>
      <c r="BO86" s="49">
        <f t="shared" si="62"/>
        <v>0</v>
      </c>
      <c r="BP86" s="49">
        <f t="shared" si="63"/>
        <v>0</v>
      </c>
      <c r="BQ86" s="49">
        <f t="shared" si="64"/>
        <v>1</v>
      </c>
      <c r="BR86" s="49">
        <f t="shared" si="65"/>
        <v>0</v>
      </c>
      <c r="BS86" s="49">
        <f t="shared" si="66"/>
        <v>0</v>
      </c>
      <c r="BT86" s="49">
        <f t="shared" si="67"/>
        <v>0</v>
      </c>
      <c r="BU86" s="49">
        <f t="shared" si="68"/>
        <v>0</v>
      </c>
      <c r="BV86" s="49">
        <f t="shared" si="69"/>
        <v>1</v>
      </c>
      <c r="BW86" s="49">
        <f t="shared" si="70"/>
        <v>0</v>
      </c>
      <c r="BX86" s="49">
        <f t="shared" si="71"/>
        <v>0</v>
      </c>
      <c r="BY86" s="49">
        <f t="shared" si="72"/>
        <v>1</v>
      </c>
      <c r="BZ86" s="49">
        <f t="shared" si="73"/>
        <v>0</v>
      </c>
      <c r="CA86" s="49">
        <f t="shared" si="74"/>
        <v>0</v>
      </c>
      <c r="CB86" s="49">
        <f t="shared" si="75"/>
        <v>1</v>
      </c>
      <c r="CC86" s="49">
        <f t="shared" si="76"/>
        <v>0</v>
      </c>
      <c r="CD86" s="49">
        <f t="shared" si="77"/>
        <v>0</v>
      </c>
      <c r="CE86" s="49">
        <f t="shared" si="78"/>
        <v>0</v>
      </c>
    </row>
    <row r="87" spans="1:83" ht="35.1" customHeight="1" x14ac:dyDescent="0.3">
      <c r="A87" s="123" t="str">
        <f t="shared" si="40"/>
        <v>1팀</v>
      </c>
      <c r="B87" s="69">
        <f t="shared" si="41"/>
        <v>81</v>
      </c>
      <c r="C87" s="119" t="str">
        <f>IF(VLOOKUP($B87,'1. 현장별 인원현황'!$C:$J,2,0)=0,"",VLOOKUP($B87,'1. 현장별 인원현황'!$C:$J,2,0))</f>
        <v xml:space="preserve"> [1.두산건설] 송림3구역 주택재개발 중 전기공사1,2공구</v>
      </c>
      <c r="D87" s="116" t="str">
        <f>IF(VLOOKUP($B87,'1. 현장별 인원현황'!$C:$J,3,0)=0,"",VLOOKUP($B87,'1. 현장별 인원현황'!$C:$J,3,0))</f>
        <v>한수영</v>
      </c>
      <c r="E87" s="63" t="str">
        <f ca="1">IF(VLOOKUP($B87,'1. 현장별 인원현황'!$C:$J,4,0)=0,"",VLOOKUP($B87,'1. 현장별 인원현황'!$C:$J,4,0))</f>
        <v>50세</v>
      </c>
      <c r="F87" s="63" t="str">
        <f>IF(VLOOKUP($B87,'1. 현장별 인원현황'!$C:$J,7,0)=0,"",VLOOKUP($B87,'1. 현장별 인원현황'!$C:$J,7,0))</f>
        <v>기능공</v>
      </c>
      <c r="G87" s="63" t="str">
        <f>IF(VLOOKUP($B87,'1. 현장별 인원현황'!$C:$J,8,0)=0,"",VLOOKUP($B87,'1. 현장별 인원현황'!$C:$J,8,0))</f>
        <v>전공</v>
      </c>
      <c r="H87" s="67"/>
      <c r="I87" s="73"/>
      <c r="J87" s="73" t="s">
        <v>69</v>
      </c>
      <c r="K87" s="68"/>
      <c r="L87" s="67"/>
      <c r="M87" s="73"/>
      <c r="N87" s="73" t="s">
        <v>69</v>
      </c>
      <c r="O87" s="68"/>
      <c r="P87" s="67"/>
      <c r="Q87" s="73" t="s">
        <v>69</v>
      </c>
      <c r="R87" s="73"/>
      <c r="S87" s="68"/>
      <c r="T87" s="67"/>
      <c r="U87" s="73"/>
      <c r="V87" s="73" t="s">
        <v>69</v>
      </c>
      <c r="W87" s="68"/>
      <c r="X87" s="67"/>
      <c r="Y87" s="73"/>
      <c r="Z87" s="73" t="s">
        <v>69</v>
      </c>
      <c r="AA87" s="68"/>
      <c r="AB87" s="67"/>
      <c r="AC87" s="73" t="s">
        <v>69</v>
      </c>
      <c r="AD87" s="73"/>
      <c r="AE87" s="68"/>
      <c r="AF87" s="67"/>
      <c r="AG87" s="73"/>
      <c r="AH87" s="73" t="s">
        <v>69</v>
      </c>
      <c r="AI87" s="68"/>
      <c r="AJ87" s="67"/>
      <c r="AK87" s="73" t="s">
        <v>69</v>
      </c>
      <c r="AL87" s="73"/>
      <c r="AM87" s="68"/>
      <c r="AN87" s="73" t="s">
        <v>69</v>
      </c>
      <c r="AO87" s="73"/>
      <c r="AP87" s="73"/>
      <c r="AQ87" s="68"/>
      <c r="AR87" s="67">
        <f t="shared" si="42"/>
        <v>68</v>
      </c>
      <c r="AS87" s="68" t="str">
        <f t="shared" si="43"/>
        <v>B</v>
      </c>
      <c r="AV87" s="49">
        <f t="shared" si="79"/>
        <v>0</v>
      </c>
      <c r="AW87" s="49">
        <f t="shared" si="44"/>
        <v>0</v>
      </c>
      <c r="AX87" s="49">
        <f t="shared" si="45"/>
        <v>1</v>
      </c>
      <c r="AY87" s="49">
        <f t="shared" si="46"/>
        <v>0</v>
      </c>
      <c r="AZ87" s="49">
        <f t="shared" si="47"/>
        <v>0</v>
      </c>
      <c r="BA87" s="49">
        <f t="shared" si="48"/>
        <v>0</v>
      </c>
      <c r="BB87" s="49">
        <f t="shared" si="49"/>
        <v>1</v>
      </c>
      <c r="BC87" s="49">
        <f t="shared" si="50"/>
        <v>0</v>
      </c>
      <c r="BD87" s="49">
        <f t="shared" si="51"/>
        <v>0</v>
      </c>
      <c r="BE87" s="49">
        <f t="shared" si="52"/>
        <v>1</v>
      </c>
      <c r="BF87" s="49">
        <f t="shared" si="53"/>
        <v>0</v>
      </c>
      <c r="BG87" s="49">
        <f t="shared" si="54"/>
        <v>0</v>
      </c>
      <c r="BH87" s="49">
        <f t="shared" si="55"/>
        <v>0</v>
      </c>
      <c r="BI87" s="49">
        <f t="shared" si="56"/>
        <v>0</v>
      </c>
      <c r="BJ87" s="49">
        <f t="shared" si="57"/>
        <v>1</v>
      </c>
      <c r="BK87" s="49">
        <f t="shared" si="58"/>
        <v>0</v>
      </c>
      <c r="BL87" s="49">
        <f t="shared" si="59"/>
        <v>0</v>
      </c>
      <c r="BM87" s="49">
        <f t="shared" si="60"/>
        <v>0</v>
      </c>
      <c r="BN87" s="49">
        <f t="shared" si="61"/>
        <v>1</v>
      </c>
      <c r="BO87" s="49">
        <f t="shared" si="62"/>
        <v>0</v>
      </c>
      <c r="BP87" s="49">
        <f t="shared" si="63"/>
        <v>0</v>
      </c>
      <c r="BQ87" s="49">
        <f t="shared" si="64"/>
        <v>1</v>
      </c>
      <c r="BR87" s="49">
        <f t="shared" si="65"/>
        <v>0</v>
      </c>
      <c r="BS87" s="49">
        <f t="shared" si="66"/>
        <v>0</v>
      </c>
      <c r="BT87" s="49">
        <f t="shared" si="67"/>
        <v>0</v>
      </c>
      <c r="BU87" s="49">
        <f t="shared" si="68"/>
        <v>0</v>
      </c>
      <c r="BV87" s="49">
        <f t="shared" si="69"/>
        <v>1</v>
      </c>
      <c r="BW87" s="49">
        <f t="shared" si="70"/>
        <v>0</v>
      </c>
      <c r="BX87" s="49">
        <f t="shared" si="71"/>
        <v>0</v>
      </c>
      <c r="BY87" s="49">
        <f t="shared" si="72"/>
        <v>1</v>
      </c>
      <c r="BZ87" s="49">
        <f t="shared" si="73"/>
        <v>0</v>
      </c>
      <c r="CA87" s="49">
        <f t="shared" si="74"/>
        <v>0</v>
      </c>
      <c r="CB87" s="49">
        <f t="shared" si="75"/>
        <v>1</v>
      </c>
      <c r="CC87" s="49">
        <f t="shared" si="76"/>
        <v>0</v>
      </c>
      <c r="CD87" s="49">
        <f t="shared" si="77"/>
        <v>0</v>
      </c>
      <c r="CE87" s="49">
        <f t="shared" si="78"/>
        <v>0</v>
      </c>
    </row>
    <row r="88" spans="1:83" ht="35.1" customHeight="1" x14ac:dyDescent="0.3">
      <c r="A88" s="123" t="str">
        <f t="shared" si="40"/>
        <v>1팀</v>
      </c>
      <c r="B88" s="69">
        <f t="shared" si="41"/>
        <v>82</v>
      </c>
      <c r="C88" s="120" t="str">
        <f>IF(VLOOKUP($B88,'1. 현장별 인원현황'!$C:$J,2,0)=0,"",VLOOKUP($B88,'1. 현장별 인원현황'!$C:$J,2,0))</f>
        <v xml:space="preserve"> [1.두산건설] 송림3구역 주택재개발 중 전기공사1,2공구</v>
      </c>
      <c r="D88" s="70" t="str">
        <f>IF(VLOOKUP($B88,'1. 현장별 인원현황'!$C:$J,3,0)=0,"",VLOOKUP($B88,'1. 현장별 인원현황'!$C:$J,3,0))</f>
        <v>김형진</v>
      </c>
      <c r="E88" s="74" t="str">
        <f ca="1">IF(VLOOKUP($B88,'1. 현장별 인원현황'!$C:$J,4,0)=0,"",VLOOKUP($B88,'1. 현장별 인원현황'!$C:$J,4,0))</f>
        <v>34세</v>
      </c>
      <c r="F88" s="70" t="str">
        <f>IF(VLOOKUP($B88,'1. 현장별 인원현황'!$C:$J,7,0)=0,"",VLOOKUP($B88,'1. 현장별 인원현황'!$C:$J,7,0))</f>
        <v>기능공</v>
      </c>
      <c r="G88" s="72" t="str">
        <f>IF(VLOOKUP($B88,'1. 현장별 인원현황'!$C:$J,8,0)=0,"",VLOOKUP($B88,'1. 현장별 인원현황'!$C:$J,8,0))</f>
        <v>조공</v>
      </c>
      <c r="H88" s="67"/>
      <c r="I88" s="73"/>
      <c r="J88" s="73" t="s">
        <v>69</v>
      </c>
      <c r="K88" s="68"/>
      <c r="L88" s="67"/>
      <c r="M88" s="73"/>
      <c r="N88" s="73" t="s">
        <v>69</v>
      </c>
      <c r="O88" s="68"/>
      <c r="P88" s="67"/>
      <c r="Q88" s="73"/>
      <c r="R88" s="73" t="s">
        <v>69</v>
      </c>
      <c r="S88" s="68"/>
      <c r="T88" s="67"/>
      <c r="U88" s="73"/>
      <c r="V88" s="73" t="s">
        <v>69</v>
      </c>
      <c r="W88" s="68"/>
      <c r="X88" s="67"/>
      <c r="Y88" s="73"/>
      <c r="Z88" s="73" t="s">
        <v>69</v>
      </c>
      <c r="AA88" s="68"/>
      <c r="AB88" s="67"/>
      <c r="AC88" s="73" t="s">
        <v>69</v>
      </c>
      <c r="AD88" s="73"/>
      <c r="AE88" s="68"/>
      <c r="AF88" s="67"/>
      <c r="AG88" s="73"/>
      <c r="AH88" s="73" t="s">
        <v>69</v>
      </c>
      <c r="AI88" s="68"/>
      <c r="AJ88" s="67"/>
      <c r="AK88" s="73" t="s">
        <v>69</v>
      </c>
      <c r="AL88" s="73"/>
      <c r="AM88" s="68"/>
      <c r="AN88" s="73" t="s">
        <v>69</v>
      </c>
      <c r="AO88" s="73"/>
      <c r="AP88" s="73"/>
      <c r="AQ88" s="68"/>
      <c r="AR88" s="67">
        <f t="shared" si="42"/>
        <v>65</v>
      </c>
      <c r="AS88" s="68" t="str">
        <f t="shared" si="43"/>
        <v>B</v>
      </c>
      <c r="AV88" s="49">
        <f t="shared" si="79"/>
        <v>0</v>
      </c>
      <c r="AW88" s="49">
        <f t="shared" si="44"/>
        <v>0</v>
      </c>
      <c r="AX88" s="49">
        <f t="shared" si="45"/>
        <v>1</v>
      </c>
      <c r="AY88" s="49">
        <f t="shared" si="46"/>
        <v>0</v>
      </c>
      <c r="AZ88" s="49">
        <f t="shared" si="47"/>
        <v>0</v>
      </c>
      <c r="BA88" s="49">
        <f t="shared" si="48"/>
        <v>0</v>
      </c>
      <c r="BB88" s="49">
        <f t="shared" si="49"/>
        <v>1</v>
      </c>
      <c r="BC88" s="49">
        <f t="shared" si="50"/>
        <v>0</v>
      </c>
      <c r="BD88" s="49">
        <f t="shared" si="51"/>
        <v>0</v>
      </c>
      <c r="BE88" s="49">
        <f t="shared" si="52"/>
        <v>0</v>
      </c>
      <c r="BF88" s="49">
        <f t="shared" si="53"/>
        <v>1</v>
      </c>
      <c r="BG88" s="49">
        <f t="shared" si="54"/>
        <v>0</v>
      </c>
      <c r="BH88" s="49">
        <f t="shared" si="55"/>
        <v>0</v>
      </c>
      <c r="BI88" s="49">
        <f t="shared" si="56"/>
        <v>0</v>
      </c>
      <c r="BJ88" s="49">
        <f t="shared" si="57"/>
        <v>1</v>
      </c>
      <c r="BK88" s="49">
        <f t="shared" si="58"/>
        <v>0</v>
      </c>
      <c r="BL88" s="49">
        <f t="shared" si="59"/>
        <v>0</v>
      </c>
      <c r="BM88" s="49">
        <f t="shared" si="60"/>
        <v>0</v>
      </c>
      <c r="BN88" s="49">
        <f t="shared" si="61"/>
        <v>1</v>
      </c>
      <c r="BO88" s="49">
        <f t="shared" si="62"/>
        <v>0</v>
      </c>
      <c r="BP88" s="49">
        <f t="shared" si="63"/>
        <v>0</v>
      </c>
      <c r="BQ88" s="49">
        <f t="shared" si="64"/>
        <v>1</v>
      </c>
      <c r="BR88" s="49">
        <f t="shared" si="65"/>
        <v>0</v>
      </c>
      <c r="BS88" s="49">
        <f t="shared" si="66"/>
        <v>0</v>
      </c>
      <c r="BT88" s="49">
        <f t="shared" si="67"/>
        <v>0</v>
      </c>
      <c r="BU88" s="49">
        <f t="shared" si="68"/>
        <v>0</v>
      </c>
      <c r="BV88" s="49">
        <f t="shared" si="69"/>
        <v>1</v>
      </c>
      <c r="BW88" s="49">
        <f t="shared" si="70"/>
        <v>0</v>
      </c>
      <c r="BX88" s="49">
        <f t="shared" si="71"/>
        <v>0</v>
      </c>
      <c r="BY88" s="49">
        <f t="shared" si="72"/>
        <v>1</v>
      </c>
      <c r="BZ88" s="49">
        <f t="shared" si="73"/>
        <v>0</v>
      </c>
      <c r="CA88" s="49">
        <f t="shared" si="74"/>
        <v>0</v>
      </c>
      <c r="CB88" s="49">
        <f t="shared" si="75"/>
        <v>1</v>
      </c>
      <c r="CC88" s="49">
        <f t="shared" si="76"/>
        <v>0</v>
      </c>
      <c r="CD88" s="49">
        <f t="shared" si="77"/>
        <v>0</v>
      </c>
      <c r="CE88" s="49">
        <f t="shared" si="78"/>
        <v>0</v>
      </c>
    </row>
    <row r="89" spans="1:83" ht="35.1" customHeight="1" x14ac:dyDescent="0.3">
      <c r="A89" s="123" t="str">
        <f t="shared" si="40"/>
        <v>1팀</v>
      </c>
      <c r="B89" s="69">
        <f t="shared" si="41"/>
        <v>83</v>
      </c>
      <c r="C89" s="120" t="str">
        <f>IF(VLOOKUP($B89,'1. 현장별 인원현황'!$C:$J,2,0)=0,"",VLOOKUP($B89,'1. 현장별 인원현황'!$C:$J,2,0))</f>
        <v xml:space="preserve"> [1.라온건설] 덕소2구역 주택재개발 정비사업</v>
      </c>
      <c r="D89" s="70" t="str">
        <f>IF(VLOOKUP($B89,'1. 현장별 인원현황'!$C:$J,3,0)=0,"",VLOOKUP($B89,'1. 현장별 인원현황'!$C:$J,3,0))</f>
        <v>강윤석</v>
      </c>
      <c r="E89" s="74" t="str">
        <f ca="1">IF(VLOOKUP($B89,'1. 현장별 인원현황'!$C:$J,4,0)=0,"",VLOOKUP($B89,'1. 현장별 인원현황'!$C:$J,4,0))</f>
        <v>53세</v>
      </c>
      <c r="F89" s="70" t="str">
        <f>IF(VLOOKUP($B89,'1. 현장별 인원현황'!$C:$J,7,0)=0,"",VLOOKUP($B89,'1. 현장별 인원현황'!$C:$J,7,0))</f>
        <v>공무</v>
      </c>
      <c r="G89" s="72" t="str">
        <f>IF(VLOOKUP($B89,'1. 현장별 인원현황'!$C:$J,8,0)=0,"",VLOOKUP($B89,'1. 현장별 인원현황'!$C:$J,8,0))</f>
        <v>부장</v>
      </c>
      <c r="H89" s="67"/>
      <c r="I89" s="73" t="s">
        <v>69</v>
      </c>
      <c r="J89" s="73"/>
      <c r="K89" s="68"/>
      <c r="L89" s="67"/>
      <c r="M89" s="73" t="s">
        <v>69</v>
      </c>
      <c r="N89" s="73"/>
      <c r="O89" s="68"/>
      <c r="P89" s="67"/>
      <c r="Q89" s="73" t="s">
        <v>69</v>
      </c>
      <c r="R89" s="73"/>
      <c r="S89" s="68"/>
      <c r="T89" s="67"/>
      <c r="U89" s="73" t="s">
        <v>69</v>
      </c>
      <c r="V89" s="73"/>
      <c r="W89" s="68"/>
      <c r="X89" s="67"/>
      <c r="Y89" s="73" t="s">
        <v>69</v>
      </c>
      <c r="Z89" s="73"/>
      <c r="AA89" s="68"/>
      <c r="AB89" s="67"/>
      <c r="AC89" s="73" t="s">
        <v>69</v>
      </c>
      <c r="AD89" s="73"/>
      <c r="AE89" s="68"/>
      <c r="AF89" s="67"/>
      <c r="AG89" s="73" t="s">
        <v>69</v>
      </c>
      <c r="AH89" s="73"/>
      <c r="AI89" s="68"/>
      <c r="AJ89" s="67"/>
      <c r="AK89" s="73" t="s">
        <v>69</v>
      </c>
      <c r="AL89" s="73"/>
      <c r="AM89" s="68"/>
      <c r="AN89" s="73"/>
      <c r="AO89" s="73" t="s">
        <v>69</v>
      </c>
      <c r="AP89" s="73"/>
      <c r="AQ89" s="68"/>
      <c r="AR89" s="67">
        <f t="shared" si="42"/>
        <v>77</v>
      </c>
      <c r="AS89" s="68" t="str">
        <f t="shared" si="43"/>
        <v>A</v>
      </c>
      <c r="AV89" s="49">
        <f t="shared" si="79"/>
        <v>0</v>
      </c>
      <c r="AW89" s="49">
        <f t="shared" si="44"/>
        <v>1</v>
      </c>
      <c r="AX89" s="49">
        <f t="shared" si="45"/>
        <v>0</v>
      </c>
      <c r="AY89" s="49">
        <f t="shared" si="46"/>
        <v>0</v>
      </c>
      <c r="AZ89" s="49">
        <f t="shared" si="47"/>
        <v>0</v>
      </c>
      <c r="BA89" s="49">
        <f t="shared" si="48"/>
        <v>1</v>
      </c>
      <c r="BB89" s="49">
        <f t="shared" si="49"/>
        <v>0</v>
      </c>
      <c r="BC89" s="49">
        <f t="shared" si="50"/>
        <v>0</v>
      </c>
      <c r="BD89" s="49">
        <f t="shared" si="51"/>
        <v>0</v>
      </c>
      <c r="BE89" s="49">
        <f t="shared" si="52"/>
        <v>1</v>
      </c>
      <c r="BF89" s="49">
        <f t="shared" si="53"/>
        <v>0</v>
      </c>
      <c r="BG89" s="49">
        <f t="shared" si="54"/>
        <v>0</v>
      </c>
      <c r="BH89" s="49">
        <f t="shared" si="55"/>
        <v>0</v>
      </c>
      <c r="BI89" s="49">
        <f t="shared" si="56"/>
        <v>1</v>
      </c>
      <c r="BJ89" s="49">
        <f t="shared" si="57"/>
        <v>0</v>
      </c>
      <c r="BK89" s="49">
        <f t="shared" si="58"/>
        <v>0</v>
      </c>
      <c r="BL89" s="49">
        <f t="shared" si="59"/>
        <v>0</v>
      </c>
      <c r="BM89" s="49">
        <f t="shared" si="60"/>
        <v>1</v>
      </c>
      <c r="BN89" s="49">
        <f t="shared" si="61"/>
        <v>0</v>
      </c>
      <c r="BO89" s="49">
        <f t="shared" si="62"/>
        <v>0</v>
      </c>
      <c r="BP89" s="49">
        <f t="shared" si="63"/>
        <v>0</v>
      </c>
      <c r="BQ89" s="49">
        <f t="shared" si="64"/>
        <v>1</v>
      </c>
      <c r="BR89" s="49">
        <f t="shared" si="65"/>
        <v>0</v>
      </c>
      <c r="BS89" s="49">
        <f t="shared" si="66"/>
        <v>0</v>
      </c>
      <c r="BT89" s="49">
        <f t="shared" si="67"/>
        <v>0</v>
      </c>
      <c r="BU89" s="49">
        <f t="shared" si="68"/>
        <v>1</v>
      </c>
      <c r="BV89" s="49">
        <f t="shared" si="69"/>
        <v>0</v>
      </c>
      <c r="BW89" s="49">
        <f t="shared" si="70"/>
        <v>0</v>
      </c>
      <c r="BX89" s="49">
        <f t="shared" si="71"/>
        <v>0</v>
      </c>
      <c r="BY89" s="49">
        <f t="shared" si="72"/>
        <v>1</v>
      </c>
      <c r="BZ89" s="49">
        <f t="shared" si="73"/>
        <v>0</v>
      </c>
      <c r="CA89" s="49">
        <f t="shared" si="74"/>
        <v>0</v>
      </c>
      <c r="CB89" s="49">
        <f t="shared" si="75"/>
        <v>0</v>
      </c>
      <c r="CC89" s="49">
        <f t="shared" si="76"/>
        <v>1</v>
      </c>
      <c r="CD89" s="49">
        <f t="shared" si="77"/>
        <v>0</v>
      </c>
      <c r="CE89" s="49">
        <f t="shared" si="78"/>
        <v>0</v>
      </c>
    </row>
    <row r="90" spans="1:83" ht="35.1" customHeight="1" x14ac:dyDescent="0.3">
      <c r="A90" s="123" t="str">
        <f t="shared" si="40"/>
        <v>1팀</v>
      </c>
      <c r="B90" s="69">
        <f t="shared" si="41"/>
        <v>84</v>
      </c>
      <c r="C90" s="120" t="str">
        <f>IF(VLOOKUP($B90,'1. 현장별 인원현황'!$C:$J,2,0)=0,"",VLOOKUP($B90,'1. 현장별 인원현황'!$C:$J,2,0))</f>
        <v xml:space="preserve"> [1.라온건설] 덕소2구역 주택재개발 정비사업</v>
      </c>
      <c r="D90" s="70" t="str">
        <f>IF(VLOOKUP($B90,'1. 현장별 인원현황'!$C:$J,3,0)=0,"",VLOOKUP($B90,'1. 현장별 인원현황'!$C:$J,3,0))</f>
        <v>김병석</v>
      </c>
      <c r="E90" s="74" t="str">
        <f ca="1">IF(VLOOKUP($B90,'1. 현장별 인원현황'!$C:$J,4,0)=0,"",VLOOKUP($B90,'1. 현장별 인원현황'!$C:$J,4,0))</f>
        <v>52세</v>
      </c>
      <c r="F90" s="70" t="str">
        <f>IF(VLOOKUP($B90,'1. 현장별 인원현황'!$C:$J,7,0)=0,"",VLOOKUP($B90,'1. 현장별 인원현황'!$C:$J,7,0))</f>
        <v>공사</v>
      </c>
      <c r="G90" s="72" t="str">
        <f>IF(VLOOKUP($B90,'1. 현장별 인원현황'!$C:$J,8,0)=0,"",VLOOKUP($B90,'1. 현장별 인원현황'!$C:$J,8,0))</f>
        <v>차장</v>
      </c>
      <c r="H90" s="67"/>
      <c r="I90" s="73" t="s">
        <v>69</v>
      </c>
      <c r="J90" s="73"/>
      <c r="K90" s="68"/>
      <c r="L90" s="67"/>
      <c r="M90" s="73" t="s">
        <v>69</v>
      </c>
      <c r="N90" s="73"/>
      <c r="O90" s="68"/>
      <c r="P90" s="67"/>
      <c r="Q90" s="73" t="s">
        <v>69</v>
      </c>
      <c r="R90" s="73"/>
      <c r="S90" s="68"/>
      <c r="T90" s="67"/>
      <c r="U90" s="73" t="s">
        <v>69</v>
      </c>
      <c r="V90" s="73"/>
      <c r="W90" s="68"/>
      <c r="X90" s="67" t="s">
        <v>69</v>
      </c>
      <c r="Y90" s="73"/>
      <c r="Z90" s="73"/>
      <c r="AA90" s="68"/>
      <c r="AB90" s="67" t="s">
        <v>69</v>
      </c>
      <c r="AC90" s="73"/>
      <c r="AD90" s="73"/>
      <c r="AE90" s="68"/>
      <c r="AF90" s="67" t="s">
        <v>69</v>
      </c>
      <c r="AG90" s="73"/>
      <c r="AH90" s="73"/>
      <c r="AI90" s="68"/>
      <c r="AJ90" s="67"/>
      <c r="AK90" s="73" t="s">
        <v>69</v>
      </c>
      <c r="AL90" s="73"/>
      <c r="AM90" s="68"/>
      <c r="AN90" s="73" t="s">
        <v>69</v>
      </c>
      <c r="AO90" s="73"/>
      <c r="AP90" s="73"/>
      <c r="AQ90" s="68"/>
      <c r="AR90" s="67">
        <f t="shared" si="42"/>
        <v>86</v>
      </c>
      <c r="AS90" s="68" t="str">
        <f t="shared" si="43"/>
        <v>S</v>
      </c>
      <c r="AV90" s="49">
        <f t="shared" si="79"/>
        <v>0</v>
      </c>
      <c r="AW90" s="49">
        <f t="shared" si="44"/>
        <v>1</v>
      </c>
      <c r="AX90" s="49">
        <f t="shared" si="45"/>
        <v>0</v>
      </c>
      <c r="AY90" s="49">
        <f t="shared" si="46"/>
        <v>0</v>
      </c>
      <c r="AZ90" s="49">
        <f t="shared" si="47"/>
        <v>0</v>
      </c>
      <c r="BA90" s="49">
        <f t="shared" si="48"/>
        <v>1</v>
      </c>
      <c r="BB90" s="49">
        <f t="shared" si="49"/>
        <v>0</v>
      </c>
      <c r="BC90" s="49">
        <f t="shared" si="50"/>
        <v>0</v>
      </c>
      <c r="BD90" s="49">
        <f t="shared" si="51"/>
        <v>0</v>
      </c>
      <c r="BE90" s="49">
        <f t="shared" si="52"/>
        <v>1</v>
      </c>
      <c r="BF90" s="49">
        <f t="shared" si="53"/>
        <v>0</v>
      </c>
      <c r="BG90" s="49">
        <f t="shared" si="54"/>
        <v>0</v>
      </c>
      <c r="BH90" s="49">
        <f t="shared" si="55"/>
        <v>0</v>
      </c>
      <c r="BI90" s="49">
        <f t="shared" si="56"/>
        <v>1</v>
      </c>
      <c r="BJ90" s="49">
        <f t="shared" si="57"/>
        <v>0</v>
      </c>
      <c r="BK90" s="49">
        <f t="shared" si="58"/>
        <v>0</v>
      </c>
      <c r="BL90" s="49">
        <f t="shared" si="59"/>
        <v>1</v>
      </c>
      <c r="BM90" s="49">
        <f t="shared" si="60"/>
        <v>0</v>
      </c>
      <c r="BN90" s="49">
        <f t="shared" si="61"/>
        <v>0</v>
      </c>
      <c r="BO90" s="49">
        <f t="shared" si="62"/>
        <v>0</v>
      </c>
      <c r="BP90" s="49">
        <f t="shared" si="63"/>
        <v>1</v>
      </c>
      <c r="BQ90" s="49">
        <f t="shared" si="64"/>
        <v>0</v>
      </c>
      <c r="BR90" s="49">
        <f t="shared" si="65"/>
        <v>0</v>
      </c>
      <c r="BS90" s="49">
        <f t="shared" si="66"/>
        <v>0</v>
      </c>
      <c r="BT90" s="49">
        <f t="shared" si="67"/>
        <v>1</v>
      </c>
      <c r="BU90" s="49">
        <f t="shared" si="68"/>
        <v>0</v>
      </c>
      <c r="BV90" s="49">
        <f t="shared" si="69"/>
        <v>0</v>
      </c>
      <c r="BW90" s="49">
        <f t="shared" si="70"/>
        <v>0</v>
      </c>
      <c r="BX90" s="49">
        <f t="shared" si="71"/>
        <v>0</v>
      </c>
      <c r="BY90" s="49">
        <f t="shared" si="72"/>
        <v>1</v>
      </c>
      <c r="BZ90" s="49">
        <f t="shared" si="73"/>
        <v>0</v>
      </c>
      <c r="CA90" s="49">
        <f t="shared" si="74"/>
        <v>0</v>
      </c>
      <c r="CB90" s="49">
        <f t="shared" si="75"/>
        <v>1</v>
      </c>
      <c r="CC90" s="49">
        <f t="shared" si="76"/>
        <v>0</v>
      </c>
      <c r="CD90" s="49">
        <f t="shared" si="77"/>
        <v>0</v>
      </c>
      <c r="CE90" s="49">
        <f t="shared" si="78"/>
        <v>0</v>
      </c>
    </row>
    <row r="91" spans="1:83" ht="35.1" customHeight="1" x14ac:dyDescent="0.3">
      <c r="A91" s="123" t="str">
        <f t="shared" si="40"/>
        <v>1팀</v>
      </c>
      <c r="B91" s="69">
        <f t="shared" si="41"/>
        <v>85</v>
      </c>
      <c r="C91" s="120" t="str">
        <f>IF(VLOOKUP($B91,'1. 현장별 인원현황'!$C:$J,2,0)=0,"",VLOOKUP($B91,'1. 현장별 인원현황'!$C:$J,2,0))</f>
        <v xml:space="preserve"> [1.라온건설] 덕소2구역 주택재개발 정비사업</v>
      </c>
      <c r="D91" s="70" t="str">
        <f>IF(VLOOKUP($B91,'1. 현장별 인원현황'!$C:$J,3,0)=0,"",VLOOKUP($B91,'1. 현장별 인원현황'!$C:$J,3,0))</f>
        <v>황성욱</v>
      </c>
      <c r="E91" s="74" t="str">
        <f ca="1">IF(VLOOKUP($B91,'1. 현장별 인원현황'!$C:$J,4,0)=0,"",VLOOKUP($B91,'1. 현장별 인원현황'!$C:$J,4,0))</f>
        <v>32세</v>
      </c>
      <c r="F91" s="70" t="str">
        <f>IF(VLOOKUP($B91,'1. 현장별 인원현황'!$C:$J,7,0)=0,"",VLOOKUP($B91,'1. 현장별 인원현황'!$C:$J,7,0))</f>
        <v>기능공</v>
      </c>
      <c r="G91" s="72" t="str">
        <f>IF(VLOOKUP($B91,'1. 현장별 인원현황'!$C:$J,8,0)=0,"",VLOOKUP($B91,'1. 현장별 인원현황'!$C:$J,8,0))</f>
        <v>전공</v>
      </c>
      <c r="H91" s="67"/>
      <c r="I91" s="73" t="s">
        <v>69</v>
      </c>
      <c r="J91" s="73"/>
      <c r="K91" s="68"/>
      <c r="L91" s="67"/>
      <c r="M91" s="73" t="s">
        <v>69</v>
      </c>
      <c r="N91" s="73"/>
      <c r="O91" s="68"/>
      <c r="P91" s="67"/>
      <c r="Q91" s="73" t="s">
        <v>69</v>
      </c>
      <c r="R91" s="73"/>
      <c r="S91" s="68"/>
      <c r="T91" s="67"/>
      <c r="U91" s="73"/>
      <c r="V91" s="73" t="s">
        <v>69</v>
      </c>
      <c r="W91" s="68"/>
      <c r="X91" s="67"/>
      <c r="Y91" s="73" t="s">
        <v>69</v>
      </c>
      <c r="Z91" s="73"/>
      <c r="AA91" s="68"/>
      <c r="AB91" s="67" t="s">
        <v>69</v>
      </c>
      <c r="AC91" s="73"/>
      <c r="AD91" s="73"/>
      <c r="AE91" s="68"/>
      <c r="AF91" s="67" t="s">
        <v>69</v>
      </c>
      <c r="AG91" s="73"/>
      <c r="AH91" s="73"/>
      <c r="AI91" s="68"/>
      <c r="AJ91" s="67"/>
      <c r="AK91" s="73" t="s">
        <v>69</v>
      </c>
      <c r="AL91" s="73"/>
      <c r="AM91" s="68"/>
      <c r="AN91" s="73" t="s">
        <v>69</v>
      </c>
      <c r="AO91" s="73"/>
      <c r="AP91" s="73"/>
      <c r="AQ91" s="68"/>
      <c r="AR91" s="67">
        <f t="shared" si="42"/>
        <v>82</v>
      </c>
      <c r="AS91" s="68" t="str">
        <f t="shared" si="43"/>
        <v>A</v>
      </c>
      <c r="AV91" s="49">
        <f t="shared" si="79"/>
        <v>0</v>
      </c>
      <c r="AW91" s="49">
        <f t="shared" si="44"/>
        <v>1</v>
      </c>
      <c r="AX91" s="49">
        <f t="shared" si="45"/>
        <v>0</v>
      </c>
      <c r="AY91" s="49">
        <f t="shared" si="46"/>
        <v>0</v>
      </c>
      <c r="AZ91" s="49">
        <f t="shared" si="47"/>
        <v>0</v>
      </c>
      <c r="BA91" s="49">
        <f t="shared" si="48"/>
        <v>1</v>
      </c>
      <c r="BB91" s="49">
        <f t="shared" si="49"/>
        <v>0</v>
      </c>
      <c r="BC91" s="49">
        <f t="shared" si="50"/>
        <v>0</v>
      </c>
      <c r="BD91" s="49">
        <f t="shared" si="51"/>
        <v>0</v>
      </c>
      <c r="BE91" s="49">
        <f t="shared" si="52"/>
        <v>1</v>
      </c>
      <c r="BF91" s="49">
        <f t="shared" si="53"/>
        <v>0</v>
      </c>
      <c r="BG91" s="49">
        <f t="shared" si="54"/>
        <v>0</v>
      </c>
      <c r="BH91" s="49">
        <f t="shared" si="55"/>
        <v>0</v>
      </c>
      <c r="BI91" s="49">
        <f t="shared" si="56"/>
        <v>0</v>
      </c>
      <c r="BJ91" s="49">
        <f t="shared" si="57"/>
        <v>1</v>
      </c>
      <c r="BK91" s="49">
        <f t="shared" si="58"/>
        <v>0</v>
      </c>
      <c r="BL91" s="49">
        <f t="shared" si="59"/>
        <v>0</v>
      </c>
      <c r="BM91" s="49">
        <f t="shared" si="60"/>
        <v>1</v>
      </c>
      <c r="BN91" s="49">
        <f t="shared" si="61"/>
        <v>0</v>
      </c>
      <c r="BO91" s="49">
        <f t="shared" si="62"/>
        <v>0</v>
      </c>
      <c r="BP91" s="49">
        <f t="shared" si="63"/>
        <v>1</v>
      </c>
      <c r="BQ91" s="49">
        <f t="shared" si="64"/>
        <v>0</v>
      </c>
      <c r="BR91" s="49">
        <f t="shared" si="65"/>
        <v>0</v>
      </c>
      <c r="BS91" s="49">
        <f t="shared" si="66"/>
        <v>0</v>
      </c>
      <c r="BT91" s="49">
        <f t="shared" si="67"/>
        <v>1</v>
      </c>
      <c r="BU91" s="49">
        <f t="shared" si="68"/>
        <v>0</v>
      </c>
      <c r="BV91" s="49">
        <f t="shared" si="69"/>
        <v>0</v>
      </c>
      <c r="BW91" s="49">
        <f t="shared" si="70"/>
        <v>0</v>
      </c>
      <c r="BX91" s="49">
        <f t="shared" si="71"/>
        <v>0</v>
      </c>
      <c r="BY91" s="49">
        <f t="shared" si="72"/>
        <v>1</v>
      </c>
      <c r="BZ91" s="49">
        <f t="shared" si="73"/>
        <v>0</v>
      </c>
      <c r="CA91" s="49">
        <f t="shared" si="74"/>
        <v>0</v>
      </c>
      <c r="CB91" s="49">
        <f t="shared" si="75"/>
        <v>1</v>
      </c>
      <c r="CC91" s="49">
        <f t="shared" si="76"/>
        <v>0</v>
      </c>
      <c r="CD91" s="49">
        <f t="shared" si="77"/>
        <v>0</v>
      </c>
      <c r="CE91" s="49">
        <f t="shared" si="78"/>
        <v>0</v>
      </c>
    </row>
    <row r="92" spans="1:83" ht="35.1" customHeight="1" x14ac:dyDescent="0.3">
      <c r="A92" s="123" t="str">
        <f t="shared" si="40"/>
        <v>1팀</v>
      </c>
      <c r="B92" s="69">
        <f t="shared" si="41"/>
        <v>86</v>
      </c>
      <c r="C92" s="120" t="str">
        <f>IF(VLOOKUP($B92,'1. 현장별 인원현황'!$C:$J,2,0)=0,"",VLOOKUP($B92,'1. 현장별 인원현황'!$C:$J,2,0))</f>
        <v xml:space="preserve"> [1.라온건설] 덕소2구역 주택재개발 정비사업</v>
      </c>
      <c r="D92" s="70" t="str">
        <f>IF(VLOOKUP($B92,'1. 현장별 인원현황'!$C:$J,3,0)=0,"",VLOOKUP($B92,'1. 현장별 인원현황'!$C:$J,3,0))</f>
        <v>이영재</v>
      </c>
      <c r="E92" s="74" t="str">
        <f ca="1">IF(VLOOKUP($B92,'1. 현장별 인원현황'!$C:$J,4,0)=0,"",VLOOKUP($B92,'1. 현장별 인원현황'!$C:$J,4,0))</f>
        <v>29세</v>
      </c>
      <c r="F92" s="70" t="str">
        <f>IF(VLOOKUP($B92,'1. 현장별 인원현황'!$C:$J,7,0)=0,"",VLOOKUP($B92,'1. 현장별 인원현황'!$C:$J,7,0))</f>
        <v>기능공</v>
      </c>
      <c r="G92" s="72" t="str">
        <f>IF(VLOOKUP($B92,'1. 현장별 인원현황'!$C:$J,8,0)=0,"",VLOOKUP($B92,'1. 현장별 인원현황'!$C:$J,8,0))</f>
        <v>전공</v>
      </c>
      <c r="H92" s="67"/>
      <c r="I92" s="73"/>
      <c r="J92" s="73" t="s">
        <v>69</v>
      </c>
      <c r="K92" s="68"/>
      <c r="L92" s="67"/>
      <c r="M92" s="73" t="s">
        <v>69</v>
      </c>
      <c r="N92" s="73"/>
      <c r="O92" s="68"/>
      <c r="P92" s="67"/>
      <c r="Q92" s="73" t="s">
        <v>69</v>
      </c>
      <c r="R92" s="73"/>
      <c r="S92" s="68"/>
      <c r="T92" s="67"/>
      <c r="U92" s="73"/>
      <c r="V92" s="73" t="s">
        <v>69</v>
      </c>
      <c r="W92" s="68"/>
      <c r="X92" s="67"/>
      <c r="Y92" s="73" t="s">
        <v>69</v>
      </c>
      <c r="Z92" s="73"/>
      <c r="AA92" s="68"/>
      <c r="AB92" s="67" t="s">
        <v>69</v>
      </c>
      <c r="AC92" s="73"/>
      <c r="AD92" s="73"/>
      <c r="AE92" s="68"/>
      <c r="AF92" s="67" t="s">
        <v>69</v>
      </c>
      <c r="AG92" s="73"/>
      <c r="AH92" s="73"/>
      <c r="AI92" s="68"/>
      <c r="AJ92" s="67"/>
      <c r="AK92" s="73" t="s">
        <v>69</v>
      </c>
      <c r="AL92" s="73"/>
      <c r="AM92" s="68"/>
      <c r="AN92" s="73" t="s">
        <v>69</v>
      </c>
      <c r="AO92" s="73"/>
      <c r="AP92" s="73"/>
      <c r="AQ92" s="68"/>
      <c r="AR92" s="67">
        <f t="shared" si="42"/>
        <v>79</v>
      </c>
      <c r="AS92" s="68" t="str">
        <f t="shared" si="43"/>
        <v>A</v>
      </c>
      <c r="AV92" s="49">
        <f t="shared" si="79"/>
        <v>0</v>
      </c>
      <c r="AW92" s="49">
        <f t="shared" si="44"/>
        <v>0</v>
      </c>
      <c r="AX92" s="49">
        <f t="shared" si="45"/>
        <v>1</v>
      </c>
      <c r="AY92" s="49">
        <f t="shared" si="46"/>
        <v>0</v>
      </c>
      <c r="AZ92" s="49">
        <f t="shared" si="47"/>
        <v>0</v>
      </c>
      <c r="BA92" s="49">
        <f t="shared" si="48"/>
        <v>1</v>
      </c>
      <c r="BB92" s="49">
        <f t="shared" si="49"/>
        <v>0</v>
      </c>
      <c r="BC92" s="49">
        <f t="shared" si="50"/>
        <v>0</v>
      </c>
      <c r="BD92" s="49">
        <f t="shared" si="51"/>
        <v>0</v>
      </c>
      <c r="BE92" s="49">
        <f t="shared" si="52"/>
        <v>1</v>
      </c>
      <c r="BF92" s="49">
        <f t="shared" si="53"/>
        <v>0</v>
      </c>
      <c r="BG92" s="49">
        <f t="shared" si="54"/>
        <v>0</v>
      </c>
      <c r="BH92" s="49">
        <f t="shared" si="55"/>
        <v>0</v>
      </c>
      <c r="BI92" s="49">
        <f t="shared" si="56"/>
        <v>0</v>
      </c>
      <c r="BJ92" s="49">
        <f t="shared" si="57"/>
        <v>1</v>
      </c>
      <c r="BK92" s="49">
        <f t="shared" si="58"/>
        <v>0</v>
      </c>
      <c r="BL92" s="49">
        <f t="shared" si="59"/>
        <v>0</v>
      </c>
      <c r="BM92" s="49">
        <f t="shared" si="60"/>
        <v>1</v>
      </c>
      <c r="BN92" s="49">
        <f t="shared" si="61"/>
        <v>0</v>
      </c>
      <c r="BO92" s="49">
        <f t="shared" si="62"/>
        <v>0</v>
      </c>
      <c r="BP92" s="49">
        <f t="shared" si="63"/>
        <v>1</v>
      </c>
      <c r="BQ92" s="49">
        <f t="shared" si="64"/>
        <v>0</v>
      </c>
      <c r="BR92" s="49">
        <f t="shared" si="65"/>
        <v>0</v>
      </c>
      <c r="BS92" s="49">
        <f t="shared" si="66"/>
        <v>0</v>
      </c>
      <c r="BT92" s="49">
        <f t="shared" si="67"/>
        <v>1</v>
      </c>
      <c r="BU92" s="49">
        <f t="shared" si="68"/>
        <v>0</v>
      </c>
      <c r="BV92" s="49">
        <f t="shared" si="69"/>
        <v>0</v>
      </c>
      <c r="BW92" s="49">
        <f t="shared" si="70"/>
        <v>0</v>
      </c>
      <c r="BX92" s="49">
        <f t="shared" si="71"/>
        <v>0</v>
      </c>
      <c r="BY92" s="49">
        <f t="shared" si="72"/>
        <v>1</v>
      </c>
      <c r="BZ92" s="49">
        <f t="shared" si="73"/>
        <v>0</v>
      </c>
      <c r="CA92" s="49">
        <f t="shared" si="74"/>
        <v>0</v>
      </c>
      <c r="CB92" s="49">
        <f t="shared" si="75"/>
        <v>1</v>
      </c>
      <c r="CC92" s="49">
        <f t="shared" si="76"/>
        <v>0</v>
      </c>
      <c r="CD92" s="49">
        <f t="shared" si="77"/>
        <v>0</v>
      </c>
      <c r="CE92" s="49">
        <f t="shared" si="78"/>
        <v>0</v>
      </c>
    </row>
    <row r="93" spans="1:83" ht="35.1" customHeight="1" x14ac:dyDescent="0.3">
      <c r="A93" s="123" t="str">
        <f t="shared" si="40"/>
        <v>1팀</v>
      </c>
      <c r="B93" s="69">
        <f t="shared" si="41"/>
        <v>87</v>
      </c>
      <c r="C93" s="120" t="str">
        <f>IF(VLOOKUP($B93,'1. 현장별 인원현황'!$C:$J,2,0)=0,"",VLOOKUP($B93,'1. 현장별 인원현황'!$C:$J,2,0))</f>
        <v xml:space="preserve"> [1.라온건설] 인천 신흥동3가 주상복합</v>
      </c>
      <c r="D93" s="70" t="str">
        <f>IF(VLOOKUP($B93,'1. 현장별 인원현황'!$C:$J,3,0)=0,"",VLOOKUP($B93,'1. 현장별 인원현황'!$C:$J,3,0))</f>
        <v>박승용</v>
      </c>
      <c r="E93" s="74" t="str">
        <f ca="1">IF(VLOOKUP($B93,'1. 현장별 인원현황'!$C:$J,4,0)=0,"",VLOOKUP($B93,'1. 현장별 인원현황'!$C:$J,4,0))</f>
        <v>37세</v>
      </c>
      <c r="F93" s="70" t="str">
        <f>IF(VLOOKUP($B93,'1. 현장별 인원현황'!$C:$J,7,0)=0,"",VLOOKUP($B93,'1. 현장별 인원현황'!$C:$J,7,0))</f>
        <v>공무</v>
      </c>
      <c r="G93" s="72" t="str">
        <f>IF(VLOOKUP($B93,'1. 현장별 인원현황'!$C:$J,8,0)=0,"",VLOOKUP($B93,'1. 현장별 인원현황'!$C:$J,8,0))</f>
        <v>과장</v>
      </c>
      <c r="H93" s="67"/>
      <c r="I93" s="73" t="s">
        <v>69</v>
      </c>
      <c r="J93" s="73"/>
      <c r="K93" s="68"/>
      <c r="L93" s="67"/>
      <c r="M93" s="73" t="s">
        <v>69</v>
      </c>
      <c r="N93" s="73"/>
      <c r="O93" s="68"/>
      <c r="P93" s="67" t="s">
        <v>69</v>
      </c>
      <c r="Q93" s="73"/>
      <c r="R93" s="73"/>
      <c r="S93" s="68"/>
      <c r="T93" s="67"/>
      <c r="U93" s="73" t="s">
        <v>69</v>
      </c>
      <c r="V93" s="73"/>
      <c r="W93" s="68"/>
      <c r="X93" s="67" t="s">
        <v>69</v>
      </c>
      <c r="Y93" s="73"/>
      <c r="Z93" s="73"/>
      <c r="AA93" s="68"/>
      <c r="AB93" s="67" t="s">
        <v>69</v>
      </c>
      <c r="AC93" s="73"/>
      <c r="AD93" s="73"/>
      <c r="AE93" s="68"/>
      <c r="AF93" s="67" t="s">
        <v>69</v>
      </c>
      <c r="AG93" s="73"/>
      <c r="AH93" s="73"/>
      <c r="AI93" s="68"/>
      <c r="AJ93" s="67" t="s">
        <v>69</v>
      </c>
      <c r="AK93" s="73"/>
      <c r="AL93" s="73"/>
      <c r="AM93" s="68"/>
      <c r="AN93" s="73" t="s">
        <v>69</v>
      </c>
      <c r="AO93" s="73"/>
      <c r="AP93" s="73"/>
      <c r="AQ93" s="68"/>
      <c r="AR93" s="67">
        <f t="shared" si="42"/>
        <v>92</v>
      </c>
      <c r="AS93" s="68" t="str">
        <f t="shared" si="43"/>
        <v>S</v>
      </c>
      <c r="AV93" s="49">
        <f t="shared" si="79"/>
        <v>0</v>
      </c>
      <c r="AW93" s="49">
        <f t="shared" si="44"/>
        <v>1</v>
      </c>
      <c r="AX93" s="49">
        <f t="shared" si="45"/>
        <v>0</v>
      </c>
      <c r="AY93" s="49">
        <f t="shared" si="46"/>
        <v>0</v>
      </c>
      <c r="AZ93" s="49">
        <f t="shared" si="47"/>
        <v>0</v>
      </c>
      <c r="BA93" s="49">
        <f t="shared" si="48"/>
        <v>1</v>
      </c>
      <c r="BB93" s="49">
        <f t="shared" si="49"/>
        <v>0</v>
      </c>
      <c r="BC93" s="49">
        <f t="shared" si="50"/>
        <v>0</v>
      </c>
      <c r="BD93" s="49">
        <f t="shared" si="51"/>
        <v>1</v>
      </c>
      <c r="BE93" s="49">
        <f t="shared" si="52"/>
        <v>0</v>
      </c>
      <c r="BF93" s="49">
        <f t="shared" si="53"/>
        <v>0</v>
      </c>
      <c r="BG93" s="49">
        <f t="shared" si="54"/>
        <v>0</v>
      </c>
      <c r="BH93" s="49">
        <f t="shared" si="55"/>
        <v>0</v>
      </c>
      <c r="BI93" s="49">
        <f t="shared" si="56"/>
        <v>1</v>
      </c>
      <c r="BJ93" s="49">
        <f t="shared" si="57"/>
        <v>0</v>
      </c>
      <c r="BK93" s="49">
        <f t="shared" si="58"/>
        <v>0</v>
      </c>
      <c r="BL93" s="49">
        <f t="shared" si="59"/>
        <v>1</v>
      </c>
      <c r="BM93" s="49">
        <f t="shared" si="60"/>
        <v>0</v>
      </c>
      <c r="BN93" s="49">
        <f t="shared" si="61"/>
        <v>0</v>
      </c>
      <c r="BO93" s="49">
        <f t="shared" si="62"/>
        <v>0</v>
      </c>
      <c r="BP93" s="49">
        <f t="shared" si="63"/>
        <v>1</v>
      </c>
      <c r="BQ93" s="49">
        <f t="shared" si="64"/>
        <v>0</v>
      </c>
      <c r="BR93" s="49">
        <f t="shared" si="65"/>
        <v>0</v>
      </c>
      <c r="BS93" s="49">
        <f t="shared" si="66"/>
        <v>0</v>
      </c>
      <c r="BT93" s="49">
        <f t="shared" si="67"/>
        <v>1</v>
      </c>
      <c r="BU93" s="49">
        <f t="shared" si="68"/>
        <v>0</v>
      </c>
      <c r="BV93" s="49">
        <f t="shared" si="69"/>
        <v>0</v>
      </c>
      <c r="BW93" s="49">
        <f t="shared" si="70"/>
        <v>0</v>
      </c>
      <c r="BX93" s="49">
        <f t="shared" si="71"/>
        <v>1</v>
      </c>
      <c r="BY93" s="49">
        <f t="shared" si="72"/>
        <v>0</v>
      </c>
      <c r="BZ93" s="49">
        <f t="shared" si="73"/>
        <v>0</v>
      </c>
      <c r="CA93" s="49">
        <f t="shared" si="74"/>
        <v>0</v>
      </c>
      <c r="CB93" s="49">
        <f t="shared" si="75"/>
        <v>1</v>
      </c>
      <c r="CC93" s="49">
        <f t="shared" si="76"/>
        <v>0</v>
      </c>
      <c r="CD93" s="49">
        <f t="shared" si="77"/>
        <v>0</v>
      </c>
      <c r="CE93" s="49">
        <f t="shared" si="78"/>
        <v>0</v>
      </c>
    </row>
    <row r="94" spans="1:83" ht="35.1" customHeight="1" x14ac:dyDescent="0.3">
      <c r="A94" s="123" t="str">
        <f t="shared" si="40"/>
        <v>1팀</v>
      </c>
      <c r="B94" s="69">
        <f t="shared" si="41"/>
        <v>88</v>
      </c>
      <c r="C94" s="120" t="str">
        <f>IF(VLOOKUP($B94,'1. 현장별 인원현황'!$C:$J,2,0)=0,"",VLOOKUP($B94,'1. 현장별 인원현황'!$C:$J,2,0))</f>
        <v xml:space="preserve"> [1.라온건설] 인천 신흥동3가 주상복합</v>
      </c>
      <c r="D94" s="70" t="str">
        <f>IF(VLOOKUP($B94,'1. 현장별 인원현황'!$C:$J,3,0)=0,"",VLOOKUP($B94,'1. 현장별 인원현황'!$C:$J,3,0))</f>
        <v>최재용</v>
      </c>
      <c r="E94" s="74" t="str">
        <f ca="1">IF(VLOOKUP($B94,'1. 현장별 인원현황'!$C:$J,4,0)=0,"",VLOOKUP($B94,'1. 현장별 인원현황'!$C:$J,4,0))</f>
        <v>49세</v>
      </c>
      <c r="F94" s="70" t="str">
        <f>IF(VLOOKUP($B94,'1. 현장별 인원현황'!$C:$J,7,0)=0,"",VLOOKUP($B94,'1. 현장별 인원현황'!$C:$J,7,0))</f>
        <v>공사</v>
      </c>
      <c r="G94" s="72" t="str">
        <f>IF(VLOOKUP($B94,'1. 현장별 인원현황'!$C:$J,8,0)=0,"",VLOOKUP($B94,'1. 현장별 인원현황'!$C:$J,8,0))</f>
        <v>차장</v>
      </c>
      <c r="H94" s="67" t="s">
        <v>69</v>
      </c>
      <c r="I94" s="73"/>
      <c r="J94" s="73"/>
      <c r="K94" s="68"/>
      <c r="L94" s="67" t="s">
        <v>69</v>
      </c>
      <c r="M94" s="73"/>
      <c r="N94" s="73"/>
      <c r="O94" s="68"/>
      <c r="P94" s="67" t="s">
        <v>69</v>
      </c>
      <c r="Q94" s="73"/>
      <c r="R94" s="73"/>
      <c r="S94" s="68"/>
      <c r="T94" s="67" t="s">
        <v>69</v>
      </c>
      <c r="U94" s="73"/>
      <c r="V94" s="73"/>
      <c r="W94" s="68"/>
      <c r="X94" s="67" t="s">
        <v>69</v>
      </c>
      <c r="Y94" s="73"/>
      <c r="Z94" s="73"/>
      <c r="AA94" s="68"/>
      <c r="AB94" s="67" t="s">
        <v>69</v>
      </c>
      <c r="AC94" s="73"/>
      <c r="AD94" s="73"/>
      <c r="AE94" s="68"/>
      <c r="AF94" s="67" t="s">
        <v>69</v>
      </c>
      <c r="AG94" s="73"/>
      <c r="AH94" s="73"/>
      <c r="AI94" s="68"/>
      <c r="AJ94" s="67" t="s">
        <v>69</v>
      </c>
      <c r="AK94" s="73"/>
      <c r="AL94" s="73"/>
      <c r="AM94" s="68"/>
      <c r="AN94" s="73" t="s">
        <v>69</v>
      </c>
      <c r="AO94" s="73"/>
      <c r="AP94" s="73"/>
      <c r="AQ94" s="68"/>
      <c r="AR94" s="67">
        <f t="shared" si="42"/>
        <v>100</v>
      </c>
      <c r="AS94" s="68" t="str">
        <f t="shared" si="43"/>
        <v>S</v>
      </c>
      <c r="AV94" s="49">
        <f t="shared" si="79"/>
        <v>1</v>
      </c>
      <c r="AW94" s="49">
        <f t="shared" si="44"/>
        <v>0</v>
      </c>
      <c r="AX94" s="49">
        <f t="shared" si="45"/>
        <v>0</v>
      </c>
      <c r="AY94" s="49">
        <f t="shared" si="46"/>
        <v>0</v>
      </c>
      <c r="AZ94" s="49">
        <f t="shared" si="47"/>
        <v>1</v>
      </c>
      <c r="BA94" s="49">
        <f t="shared" si="48"/>
        <v>0</v>
      </c>
      <c r="BB94" s="49">
        <f t="shared" si="49"/>
        <v>0</v>
      </c>
      <c r="BC94" s="49">
        <f t="shared" si="50"/>
        <v>0</v>
      </c>
      <c r="BD94" s="49">
        <f t="shared" si="51"/>
        <v>1</v>
      </c>
      <c r="BE94" s="49">
        <f t="shared" si="52"/>
        <v>0</v>
      </c>
      <c r="BF94" s="49">
        <f t="shared" si="53"/>
        <v>0</v>
      </c>
      <c r="BG94" s="49">
        <f t="shared" si="54"/>
        <v>0</v>
      </c>
      <c r="BH94" s="49">
        <f t="shared" si="55"/>
        <v>1</v>
      </c>
      <c r="BI94" s="49">
        <f t="shared" si="56"/>
        <v>0</v>
      </c>
      <c r="BJ94" s="49">
        <f t="shared" si="57"/>
        <v>0</v>
      </c>
      <c r="BK94" s="49">
        <f t="shared" si="58"/>
        <v>0</v>
      </c>
      <c r="BL94" s="49">
        <f t="shared" si="59"/>
        <v>1</v>
      </c>
      <c r="BM94" s="49">
        <f t="shared" si="60"/>
        <v>0</v>
      </c>
      <c r="BN94" s="49">
        <f t="shared" si="61"/>
        <v>0</v>
      </c>
      <c r="BO94" s="49">
        <f t="shared" si="62"/>
        <v>0</v>
      </c>
      <c r="BP94" s="49">
        <f t="shared" si="63"/>
        <v>1</v>
      </c>
      <c r="BQ94" s="49">
        <f t="shared" si="64"/>
        <v>0</v>
      </c>
      <c r="BR94" s="49">
        <f t="shared" si="65"/>
        <v>0</v>
      </c>
      <c r="BS94" s="49">
        <f t="shared" si="66"/>
        <v>0</v>
      </c>
      <c r="BT94" s="49">
        <f t="shared" si="67"/>
        <v>1</v>
      </c>
      <c r="BU94" s="49">
        <f t="shared" si="68"/>
        <v>0</v>
      </c>
      <c r="BV94" s="49">
        <f t="shared" si="69"/>
        <v>0</v>
      </c>
      <c r="BW94" s="49">
        <f t="shared" si="70"/>
        <v>0</v>
      </c>
      <c r="BX94" s="49">
        <f t="shared" si="71"/>
        <v>1</v>
      </c>
      <c r="BY94" s="49">
        <f t="shared" si="72"/>
        <v>0</v>
      </c>
      <c r="BZ94" s="49">
        <f t="shared" si="73"/>
        <v>0</v>
      </c>
      <c r="CA94" s="49">
        <f t="shared" si="74"/>
        <v>0</v>
      </c>
      <c r="CB94" s="49">
        <f t="shared" si="75"/>
        <v>1</v>
      </c>
      <c r="CC94" s="49">
        <f t="shared" si="76"/>
        <v>0</v>
      </c>
      <c r="CD94" s="49">
        <f t="shared" si="77"/>
        <v>0</v>
      </c>
      <c r="CE94" s="49">
        <f t="shared" si="78"/>
        <v>0</v>
      </c>
    </row>
    <row r="95" spans="1:83" ht="35.1" customHeight="1" x14ac:dyDescent="0.3">
      <c r="A95" s="123" t="str">
        <f t="shared" si="40"/>
        <v>1팀</v>
      </c>
      <c r="B95" s="69">
        <f t="shared" si="41"/>
        <v>89</v>
      </c>
      <c r="C95" s="120" t="str">
        <f>IF(VLOOKUP($B95,'1. 현장별 인원현황'!$C:$J,2,0)=0,"",VLOOKUP($B95,'1. 현장별 인원현황'!$C:$J,2,0))</f>
        <v xml:space="preserve"> [1.라온건설] 인천 신흥동3가 주상복합</v>
      </c>
      <c r="D95" s="70" t="str">
        <f>IF(VLOOKUP($B95,'1. 현장별 인원현황'!$C:$J,3,0)=0,"",VLOOKUP($B95,'1. 현장별 인원현황'!$C:$J,3,0))</f>
        <v>홍광표</v>
      </c>
      <c r="E95" s="74" t="str">
        <f ca="1">IF(VLOOKUP($B95,'1. 현장별 인원현황'!$C:$J,4,0)=0,"",VLOOKUP($B95,'1. 현장별 인원현황'!$C:$J,4,0))</f>
        <v>62세</v>
      </c>
      <c r="F95" s="70" t="str">
        <f>IF(VLOOKUP($B95,'1. 현장별 인원현황'!$C:$J,7,0)=0,"",VLOOKUP($B95,'1. 현장별 인원현황'!$C:$J,7,0))</f>
        <v>공무</v>
      </c>
      <c r="G95" s="72" t="str">
        <f>IF(VLOOKUP($B95,'1. 현장별 인원현황'!$C:$J,8,0)=0,"",VLOOKUP($B95,'1. 현장별 인원현황'!$C:$J,8,0))</f>
        <v>부장</v>
      </c>
      <c r="H95" s="67"/>
      <c r="I95" s="73"/>
      <c r="J95" s="73" t="s">
        <v>69</v>
      </c>
      <c r="K95" s="68"/>
      <c r="L95" s="67"/>
      <c r="M95" s="73" t="s">
        <v>69</v>
      </c>
      <c r="N95" s="73"/>
      <c r="O95" s="68"/>
      <c r="P95" s="67"/>
      <c r="Q95" s="73" t="s">
        <v>69</v>
      </c>
      <c r="R95" s="73"/>
      <c r="S95" s="68"/>
      <c r="T95" s="67"/>
      <c r="U95" s="73" t="s">
        <v>69</v>
      </c>
      <c r="V95" s="73"/>
      <c r="W95" s="68"/>
      <c r="X95" s="67" t="s">
        <v>69</v>
      </c>
      <c r="Y95" s="73"/>
      <c r="Z95" s="73"/>
      <c r="AA95" s="68"/>
      <c r="AB95" s="67" t="s">
        <v>69</v>
      </c>
      <c r="AC95" s="73"/>
      <c r="AD95" s="73"/>
      <c r="AE95" s="68"/>
      <c r="AF95" s="67"/>
      <c r="AG95" s="73" t="s">
        <v>69</v>
      </c>
      <c r="AH95" s="73"/>
      <c r="AI95" s="68"/>
      <c r="AJ95" s="67"/>
      <c r="AK95" s="73" t="s">
        <v>69</v>
      </c>
      <c r="AL95" s="73"/>
      <c r="AM95" s="68"/>
      <c r="AN95" s="73" t="s">
        <v>69</v>
      </c>
      <c r="AO95" s="73"/>
      <c r="AP95" s="73"/>
      <c r="AQ95" s="68"/>
      <c r="AR95" s="67">
        <f t="shared" si="42"/>
        <v>81</v>
      </c>
      <c r="AS95" s="68" t="str">
        <f t="shared" si="43"/>
        <v>A</v>
      </c>
      <c r="AV95" s="49">
        <f t="shared" si="79"/>
        <v>0</v>
      </c>
      <c r="AW95" s="49">
        <f t="shared" si="44"/>
        <v>0</v>
      </c>
      <c r="AX95" s="49">
        <f t="shared" si="45"/>
        <v>1</v>
      </c>
      <c r="AY95" s="49">
        <f t="shared" si="46"/>
        <v>0</v>
      </c>
      <c r="AZ95" s="49">
        <f t="shared" si="47"/>
        <v>0</v>
      </c>
      <c r="BA95" s="49">
        <f t="shared" si="48"/>
        <v>1</v>
      </c>
      <c r="BB95" s="49">
        <f t="shared" si="49"/>
        <v>0</v>
      </c>
      <c r="BC95" s="49">
        <f t="shared" si="50"/>
        <v>0</v>
      </c>
      <c r="BD95" s="49">
        <f t="shared" si="51"/>
        <v>0</v>
      </c>
      <c r="BE95" s="49">
        <f t="shared" si="52"/>
        <v>1</v>
      </c>
      <c r="BF95" s="49">
        <f t="shared" si="53"/>
        <v>0</v>
      </c>
      <c r="BG95" s="49">
        <f t="shared" si="54"/>
        <v>0</v>
      </c>
      <c r="BH95" s="49">
        <f t="shared" si="55"/>
        <v>0</v>
      </c>
      <c r="BI95" s="49">
        <f t="shared" si="56"/>
        <v>1</v>
      </c>
      <c r="BJ95" s="49">
        <f t="shared" si="57"/>
        <v>0</v>
      </c>
      <c r="BK95" s="49">
        <f t="shared" si="58"/>
        <v>0</v>
      </c>
      <c r="BL95" s="49">
        <f t="shared" si="59"/>
        <v>1</v>
      </c>
      <c r="BM95" s="49">
        <f t="shared" si="60"/>
        <v>0</v>
      </c>
      <c r="BN95" s="49">
        <f t="shared" si="61"/>
        <v>0</v>
      </c>
      <c r="BO95" s="49">
        <f t="shared" si="62"/>
        <v>0</v>
      </c>
      <c r="BP95" s="49">
        <f t="shared" si="63"/>
        <v>1</v>
      </c>
      <c r="BQ95" s="49">
        <f t="shared" si="64"/>
        <v>0</v>
      </c>
      <c r="BR95" s="49">
        <f t="shared" si="65"/>
        <v>0</v>
      </c>
      <c r="BS95" s="49">
        <f t="shared" si="66"/>
        <v>0</v>
      </c>
      <c r="BT95" s="49">
        <f t="shared" si="67"/>
        <v>0</v>
      </c>
      <c r="BU95" s="49">
        <f t="shared" si="68"/>
        <v>1</v>
      </c>
      <c r="BV95" s="49">
        <f t="shared" si="69"/>
        <v>0</v>
      </c>
      <c r="BW95" s="49">
        <f t="shared" si="70"/>
        <v>0</v>
      </c>
      <c r="BX95" s="49">
        <f t="shared" si="71"/>
        <v>0</v>
      </c>
      <c r="BY95" s="49">
        <f t="shared" si="72"/>
        <v>1</v>
      </c>
      <c r="BZ95" s="49">
        <f t="shared" si="73"/>
        <v>0</v>
      </c>
      <c r="CA95" s="49">
        <f t="shared" si="74"/>
        <v>0</v>
      </c>
      <c r="CB95" s="49">
        <f t="shared" si="75"/>
        <v>1</v>
      </c>
      <c r="CC95" s="49">
        <f t="shared" si="76"/>
        <v>0</v>
      </c>
      <c r="CD95" s="49">
        <f t="shared" si="77"/>
        <v>0</v>
      </c>
      <c r="CE95" s="49">
        <f t="shared" si="78"/>
        <v>0</v>
      </c>
    </row>
    <row r="96" spans="1:83" ht="35.1" customHeight="1" x14ac:dyDescent="0.3">
      <c r="A96" s="123" t="str">
        <f t="shared" si="40"/>
        <v>1팀</v>
      </c>
      <c r="B96" s="69">
        <f t="shared" si="41"/>
        <v>90</v>
      </c>
      <c r="C96" s="120" t="str">
        <f>IF(VLOOKUP($B96,'1. 현장별 인원현황'!$C:$J,2,0)=0,"",VLOOKUP($B96,'1. 현장별 인원현황'!$C:$J,2,0))</f>
        <v xml:space="preserve"> [1.라온건설] 인천 신흥동3가 주상복합</v>
      </c>
      <c r="D96" s="70" t="str">
        <f>IF(VLOOKUP($B96,'1. 현장별 인원현황'!$C:$J,3,0)=0,"",VLOOKUP($B96,'1. 현장별 인원현황'!$C:$J,3,0))</f>
        <v>신하영</v>
      </c>
      <c r="E96" s="74" t="str">
        <f ca="1">IF(VLOOKUP($B96,'1. 현장별 인원현황'!$C:$J,4,0)=0,"",VLOOKUP($B96,'1. 현장별 인원현황'!$C:$J,4,0))</f>
        <v>57세</v>
      </c>
      <c r="F96" s="70" t="str">
        <f>IF(VLOOKUP($B96,'1. 현장별 인원현황'!$C:$J,7,0)=0,"",VLOOKUP($B96,'1. 현장별 인원현황'!$C:$J,7,0))</f>
        <v>기능공</v>
      </c>
      <c r="G96" s="72" t="str">
        <f>IF(VLOOKUP($B96,'1. 현장별 인원현황'!$C:$J,8,0)=0,"",VLOOKUP($B96,'1. 현장별 인원현황'!$C:$J,8,0))</f>
        <v>전공</v>
      </c>
      <c r="H96" s="67" t="s">
        <v>69</v>
      </c>
      <c r="I96" s="73"/>
      <c r="J96" s="73"/>
      <c r="K96" s="68"/>
      <c r="L96" s="67"/>
      <c r="M96" s="73" t="s">
        <v>69</v>
      </c>
      <c r="N96" s="73"/>
      <c r="O96" s="68"/>
      <c r="P96" s="67"/>
      <c r="Q96" s="73" t="s">
        <v>69</v>
      </c>
      <c r="R96" s="73"/>
      <c r="S96" s="68"/>
      <c r="T96" s="67"/>
      <c r="U96" s="73" t="s">
        <v>69</v>
      </c>
      <c r="V96" s="73"/>
      <c r="W96" s="68"/>
      <c r="X96" s="67"/>
      <c r="Y96" s="73" t="s">
        <v>69</v>
      </c>
      <c r="Z96" s="73"/>
      <c r="AA96" s="68"/>
      <c r="AB96" s="67" t="s">
        <v>69</v>
      </c>
      <c r="AC96" s="73"/>
      <c r="AD96" s="73"/>
      <c r="AE96" s="68"/>
      <c r="AF96" s="67"/>
      <c r="AG96" s="73" t="s">
        <v>69</v>
      </c>
      <c r="AH96" s="73"/>
      <c r="AI96" s="68"/>
      <c r="AJ96" s="67"/>
      <c r="AK96" s="73" t="s">
        <v>69</v>
      </c>
      <c r="AL96" s="73"/>
      <c r="AM96" s="68"/>
      <c r="AN96" s="73" t="s">
        <v>69</v>
      </c>
      <c r="AO96" s="73"/>
      <c r="AP96" s="73"/>
      <c r="AQ96" s="68"/>
      <c r="AR96" s="67">
        <f t="shared" si="42"/>
        <v>85</v>
      </c>
      <c r="AS96" s="68" t="str">
        <f t="shared" si="43"/>
        <v>A</v>
      </c>
      <c r="AV96" s="49">
        <f t="shared" si="79"/>
        <v>1</v>
      </c>
      <c r="AW96" s="49">
        <f t="shared" si="44"/>
        <v>0</v>
      </c>
      <c r="AX96" s="49">
        <f t="shared" si="45"/>
        <v>0</v>
      </c>
      <c r="AY96" s="49">
        <f t="shared" si="46"/>
        <v>0</v>
      </c>
      <c r="AZ96" s="49">
        <f t="shared" si="47"/>
        <v>0</v>
      </c>
      <c r="BA96" s="49">
        <f t="shared" si="48"/>
        <v>1</v>
      </c>
      <c r="BB96" s="49">
        <f t="shared" si="49"/>
        <v>0</v>
      </c>
      <c r="BC96" s="49">
        <f t="shared" si="50"/>
        <v>0</v>
      </c>
      <c r="BD96" s="49">
        <f t="shared" si="51"/>
        <v>0</v>
      </c>
      <c r="BE96" s="49">
        <f t="shared" si="52"/>
        <v>1</v>
      </c>
      <c r="BF96" s="49">
        <f t="shared" si="53"/>
        <v>0</v>
      </c>
      <c r="BG96" s="49">
        <f t="shared" si="54"/>
        <v>0</v>
      </c>
      <c r="BH96" s="49">
        <f t="shared" si="55"/>
        <v>0</v>
      </c>
      <c r="BI96" s="49">
        <f t="shared" si="56"/>
        <v>1</v>
      </c>
      <c r="BJ96" s="49">
        <f t="shared" si="57"/>
        <v>0</v>
      </c>
      <c r="BK96" s="49">
        <f t="shared" si="58"/>
        <v>0</v>
      </c>
      <c r="BL96" s="49">
        <f t="shared" si="59"/>
        <v>0</v>
      </c>
      <c r="BM96" s="49">
        <f t="shared" si="60"/>
        <v>1</v>
      </c>
      <c r="BN96" s="49">
        <f t="shared" si="61"/>
        <v>0</v>
      </c>
      <c r="BO96" s="49">
        <f t="shared" si="62"/>
        <v>0</v>
      </c>
      <c r="BP96" s="49">
        <f t="shared" si="63"/>
        <v>1</v>
      </c>
      <c r="BQ96" s="49">
        <f t="shared" si="64"/>
        <v>0</v>
      </c>
      <c r="BR96" s="49">
        <f t="shared" si="65"/>
        <v>0</v>
      </c>
      <c r="BS96" s="49">
        <f t="shared" si="66"/>
        <v>0</v>
      </c>
      <c r="BT96" s="49">
        <f t="shared" si="67"/>
        <v>0</v>
      </c>
      <c r="BU96" s="49">
        <f t="shared" si="68"/>
        <v>1</v>
      </c>
      <c r="BV96" s="49">
        <f t="shared" si="69"/>
        <v>0</v>
      </c>
      <c r="BW96" s="49">
        <f t="shared" si="70"/>
        <v>0</v>
      </c>
      <c r="BX96" s="49">
        <f t="shared" si="71"/>
        <v>0</v>
      </c>
      <c r="BY96" s="49">
        <f t="shared" si="72"/>
        <v>1</v>
      </c>
      <c r="BZ96" s="49">
        <f t="shared" si="73"/>
        <v>0</v>
      </c>
      <c r="CA96" s="49">
        <f t="shared" si="74"/>
        <v>0</v>
      </c>
      <c r="CB96" s="49">
        <f t="shared" si="75"/>
        <v>1</v>
      </c>
      <c r="CC96" s="49">
        <f t="shared" si="76"/>
        <v>0</v>
      </c>
      <c r="CD96" s="49">
        <f t="shared" si="77"/>
        <v>0</v>
      </c>
      <c r="CE96" s="49">
        <f t="shared" si="78"/>
        <v>0</v>
      </c>
    </row>
    <row r="97" spans="1:83" ht="35.1" customHeight="1" x14ac:dyDescent="0.3">
      <c r="A97" s="123" t="str">
        <f t="shared" si="40"/>
        <v>1팀</v>
      </c>
      <c r="B97" s="69">
        <f t="shared" si="41"/>
        <v>91</v>
      </c>
      <c r="C97" s="120" t="str">
        <f>IF(VLOOKUP($B97,'1. 현장별 인원현황'!$C:$J,2,0)=0,"",VLOOKUP($B97,'1. 현장별 인원현황'!$C:$J,2,0))</f>
        <v xml:space="preserve"> [1.라온건설] 인천 신흥동3가 주상복합</v>
      </c>
      <c r="D97" s="70" t="str">
        <f>IF(VLOOKUP($B97,'1. 현장별 인원현황'!$C:$J,3,0)=0,"",VLOOKUP($B97,'1. 현장별 인원현황'!$C:$J,3,0))</f>
        <v>박순걸</v>
      </c>
      <c r="E97" s="74" t="str">
        <f ca="1">IF(VLOOKUP($B97,'1. 현장별 인원현황'!$C:$J,4,0)=0,"",VLOOKUP($B97,'1. 현장별 인원현황'!$C:$J,4,0))</f>
        <v>57세</v>
      </c>
      <c r="F97" s="70" t="str">
        <f>IF(VLOOKUP($B97,'1. 현장별 인원현황'!$C:$J,7,0)=0,"",VLOOKUP($B97,'1. 현장별 인원현황'!$C:$J,7,0))</f>
        <v>기능공</v>
      </c>
      <c r="G97" s="72" t="str">
        <f>IF(VLOOKUP($B97,'1. 현장별 인원현황'!$C:$J,8,0)=0,"",VLOOKUP($B97,'1. 현장별 인원현황'!$C:$J,8,0))</f>
        <v>전공</v>
      </c>
      <c r="H97" s="67"/>
      <c r="I97" s="73" t="s">
        <v>69</v>
      </c>
      <c r="J97" s="73"/>
      <c r="K97" s="68"/>
      <c r="L97" s="67"/>
      <c r="M97" s="73" t="s">
        <v>69</v>
      </c>
      <c r="N97" s="73"/>
      <c r="O97" s="68"/>
      <c r="P97" s="67" t="s">
        <v>69</v>
      </c>
      <c r="Q97" s="73"/>
      <c r="R97" s="73"/>
      <c r="S97" s="68"/>
      <c r="T97" s="67" t="s">
        <v>69</v>
      </c>
      <c r="U97" s="73"/>
      <c r="V97" s="73"/>
      <c r="W97" s="68"/>
      <c r="X97" s="67"/>
      <c r="Y97" s="73" t="s">
        <v>69</v>
      </c>
      <c r="Z97" s="73"/>
      <c r="AA97" s="68"/>
      <c r="AB97" s="67" t="s">
        <v>69</v>
      </c>
      <c r="AC97" s="73"/>
      <c r="AD97" s="73"/>
      <c r="AE97" s="68"/>
      <c r="AF97" s="67" t="s">
        <v>69</v>
      </c>
      <c r="AG97" s="73"/>
      <c r="AH97" s="73"/>
      <c r="AI97" s="68"/>
      <c r="AJ97" s="67" t="s">
        <v>69</v>
      </c>
      <c r="AK97" s="73"/>
      <c r="AL97" s="73"/>
      <c r="AM97" s="68"/>
      <c r="AN97" s="73" t="s">
        <v>69</v>
      </c>
      <c r="AO97" s="73"/>
      <c r="AP97" s="73"/>
      <c r="AQ97" s="68"/>
      <c r="AR97" s="67">
        <f t="shared" si="42"/>
        <v>92</v>
      </c>
      <c r="AS97" s="68" t="str">
        <f t="shared" si="43"/>
        <v>S</v>
      </c>
      <c r="AV97" s="49">
        <f t="shared" si="79"/>
        <v>0</v>
      </c>
      <c r="AW97" s="49">
        <f t="shared" si="44"/>
        <v>1</v>
      </c>
      <c r="AX97" s="49">
        <f t="shared" si="45"/>
        <v>0</v>
      </c>
      <c r="AY97" s="49">
        <f t="shared" si="46"/>
        <v>0</v>
      </c>
      <c r="AZ97" s="49">
        <f t="shared" si="47"/>
        <v>0</v>
      </c>
      <c r="BA97" s="49">
        <f t="shared" si="48"/>
        <v>1</v>
      </c>
      <c r="BB97" s="49">
        <f t="shared" si="49"/>
        <v>0</v>
      </c>
      <c r="BC97" s="49">
        <f t="shared" si="50"/>
        <v>0</v>
      </c>
      <c r="BD97" s="49">
        <f t="shared" si="51"/>
        <v>1</v>
      </c>
      <c r="BE97" s="49">
        <f t="shared" si="52"/>
        <v>0</v>
      </c>
      <c r="BF97" s="49">
        <f t="shared" si="53"/>
        <v>0</v>
      </c>
      <c r="BG97" s="49">
        <f t="shared" si="54"/>
        <v>0</v>
      </c>
      <c r="BH97" s="49">
        <f t="shared" si="55"/>
        <v>1</v>
      </c>
      <c r="BI97" s="49">
        <f t="shared" si="56"/>
        <v>0</v>
      </c>
      <c r="BJ97" s="49">
        <f t="shared" si="57"/>
        <v>0</v>
      </c>
      <c r="BK97" s="49">
        <f t="shared" si="58"/>
        <v>0</v>
      </c>
      <c r="BL97" s="49">
        <f t="shared" si="59"/>
        <v>0</v>
      </c>
      <c r="BM97" s="49">
        <f t="shared" si="60"/>
        <v>1</v>
      </c>
      <c r="BN97" s="49">
        <f t="shared" si="61"/>
        <v>0</v>
      </c>
      <c r="BO97" s="49">
        <f t="shared" si="62"/>
        <v>0</v>
      </c>
      <c r="BP97" s="49">
        <f t="shared" si="63"/>
        <v>1</v>
      </c>
      <c r="BQ97" s="49">
        <f t="shared" si="64"/>
        <v>0</v>
      </c>
      <c r="BR97" s="49">
        <f t="shared" si="65"/>
        <v>0</v>
      </c>
      <c r="BS97" s="49">
        <f t="shared" si="66"/>
        <v>0</v>
      </c>
      <c r="BT97" s="49">
        <f t="shared" si="67"/>
        <v>1</v>
      </c>
      <c r="BU97" s="49">
        <f t="shared" si="68"/>
        <v>0</v>
      </c>
      <c r="BV97" s="49">
        <f t="shared" si="69"/>
        <v>0</v>
      </c>
      <c r="BW97" s="49">
        <f t="shared" si="70"/>
        <v>0</v>
      </c>
      <c r="BX97" s="49">
        <f t="shared" si="71"/>
        <v>1</v>
      </c>
      <c r="BY97" s="49">
        <f t="shared" si="72"/>
        <v>0</v>
      </c>
      <c r="BZ97" s="49">
        <f t="shared" si="73"/>
        <v>0</v>
      </c>
      <c r="CA97" s="49">
        <f t="shared" si="74"/>
        <v>0</v>
      </c>
      <c r="CB97" s="49">
        <f t="shared" si="75"/>
        <v>1</v>
      </c>
      <c r="CC97" s="49">
        <f t="shared" si="76"/>
        <v>0</v>
      </c>
      <c r="CD97" s="49">
        <f t="shared" si="77"/>
        <v>0</v>
      </c>
      <c r="CE97" s="49">
        <f t="shared" si="78"/>
        <v>0</v>
      </c>
    </row>
    <row r="98" spans="1:83" ht="35.1" customHeight="1" x14ac:dyDescent="0.3">
      <c r="A98" s="123" t="str">
        <f t="shared" si="40"/>
        <v>1팀</v>
      </c>
      <c r="B98" s="69">
        <f t="shared" si="41"/>
        <v>92</v>
      </c>
      <c r="C98" s="120" t="str">
        <f>IF(VLOOKUP($B98,'1. 현장별 인원현황'!$C:$J,2,0)=0,"",VLOOKUP($B98,'1. 현장별 인원현황'!$C:$J,2,0))</f>
        <v xml:space="preserve"> [1.라온건설] 인천 신흥동3가 주상복합</v>
      </c>
      <c r="D98" s="70" t="str">
        <f>IF(VLOOKUP($B98,'1. 현장별 인원현황'!$C:$J,3,0)=0,"",VLOOKUP($B98,'1. 현장별 인원현황'!$C:$J,3,0))</f>
        <v>박연민</v>
      </c>
      <c r="E98" s="74" t="str">
        <f ca="1">IF(VLOOKUP($B98,'1. 현장별 인원현황'!$C:$J,4,0)=0,"",VLOOKUP($B98,'1. 현장별 인원현황'!$C:$J,4,0))</f>
        <v>48세</v>
      </c>
      <c r="F98" s="70" t="str">
        <f>IF(VLOOKUP($B98,'1. 현장별 인원현황'!$C:$J,7,0)=0,"",VLOOKUP($B98,'1. 현장별 인원현황'!$C:$J,7,0))</f>
        <v>기능공</v>
      </c>
      <c r="G98" s="72" t="str">
        <f>IF(VLOOKUP($B98,'1. 현장별 인원현황'!$C:$J,8,0)=0,"",VLOOKUP($B98,'1. 현장별 인원현황'!$C:$J,8,0))</f>
        <v>전공</v>
      </c>
      <c r="H98" s="67"/>
      <c r="I98" s="73" t="s">
        <v>69</v>
      </c>
      <c r="J98" s="73"/>
      <c r="K98" s="68"/>
      <c r="L98" s="67" t="s">
        <v>69</v>
      </c>
      <c r="M98" s="73"/>
      <c r="N98" s="73"/>
      <c r="O98" s="68"/>
      <c r="P98" s="67" t="s">
        <v>69</v>
      </c>
      <c r="Q98" s="73"/>
      <c r="R98" s="73"/>
      <c r="S98" s="68"/>
      <c r="T98" s="67" t="s">
        <v>69</v>
      </c>
      <c r="U98" s="73"/>
      <c r="V98" s="73"/>
      <c r="W98" s="68"/>
      <c r="X98" s="67" t="s">
        <v>69</v>
      </c>
      <c r="Y98" s="73"/>
      <c r="Z98" s="73"/>
      <c r="AA98" s="68"/>
      <c r="AB98" s="67" t="s">
        <v>69</v>
      </c>
      <c r="AC98" s="73"/>
      <c r="AD98" s="73"/>
      <c r="AE98" s="68"/>
      <c r="AF98" s="67"/>
      <c r="AG98" s="73" t="s">
        <v>69</v>
      </c>
      <c r="AH98" s="73"/>
      <c r="AI98" s="68"/>
      <c r="AJ98" s="67"/>
      <c r="AK98" s="73" t="s">
        <v>69</v>
      </c>
      <c r="AL98" s="73"/>
      <c r="AM98" s="68"/>
      <c r="AN98" s="73" t="s">
        <v>69</v>
      </c>
      <c r="AO98" s="73"/>
      <c r="AP98" s="73"/>
      <c r="AQ98" s="68"/>
      <c r="AR98" s="67">
        <f t="shared" si="42"/>
        <v>92</v>
      </c>
      <c r="AS98" s="68" t="str">
        <f t="shared" si="43"/>
        <v>S</v>
      </c>
      <c r="AV98" s="49">
        <f t="shared" si="79"/>
        <v>0</v>
      </c>
      <c r="AW98" s="49">
        <f t="shared" si="44"/>
        <v>1</v>
      </c>
      <c r="AX98" s="49">
        <f t="shared" si="45"/>
        <v>0</v>
      </c>
      <c r="AY98" s="49">
        <f t="shared" si="46"/>
        <v>0</v>
      </c>
      <c r="AZ98" s="49">
        <f t="shared" si="47"/>
        <v>1</v>
      </c>
      <c r="BA98" s="49">
        <f t="shared" si="48"/>
        <v>0</v>
      </c>
      <c r="BB98" s="49">
        <f t="shared" si="49"/>
        <v>0</v>
      </c>
      <c r="BC98" s="49">
        <f t="shared" si="50"/>
        <v>0</v>
      </c>
      <c r="BD98" s="49">
        <f t="shared" si="51"/>
        <v>1</v>
      </c>
      <c r="BE98" s="49">
        <f t="shared" si="52"/>
        <v>0</v>
      </c>
      <c r="BF98" s="49">
        <f t="shared" si="53"/>
        <v>0</v>
      </c>
      <c r="BG98" s="49">
        <f t="shared" si="54"/>
        <v>0</v>
      </c>
      <c r="BH98" s="49">
        <f t="shared" si="55"/>
        <v>1</v>
      </c>
      <c r="BI98" s="49">
        <f t="shared" si="56"/>
        <v>0</v>
      </c>
      <c r="BJ98" s="49">
        <f t="shared" si="57"/>
        <v>0</v>
      </c>
      <c r="BK98" s="49">
        <f t="shared" si="58"/>
        <v>0</v>
      </c>
      <c r="BL98" s="49">
        <f t="shared" si="59"/>
        <v>1</v>
      </c>
      <c r="BM98" s="49">
        <f t="shared" si="60"/>
        <v>0</v>
      </c>
      <c r="BN98" s="49">
        <f t="shared" si="61"/>
        <v>0</v>
      </c>
      <c r="BO98" s="49">
        <f t="shared" si="62"/>
        <v>0</v>
      </c>
      <c r="BP98" s="49">
        <f t="shared" si="63"/>
        <v>1</v>
      </c>
      <c r="BQ98" s="49">
        <f t="shared" si="64"/>
        <v>0</v>
      </c>
      <c r="BR98" s="49">
        <f t="shared" si="65"/>
        <v>0</v>
      </c>
      <c r="BS98" s="49">
        <f t="shared" si="66"/>
        <v>0</v>
      </c>
      <c r="BT98" s="49">
        <f t="shared" si="67"/>
        <v>0</v>
      </c>
      <c r="BU98" s="49">
        <f t="shared" si="68"/>
        <v>1</v>
      </c>
      <c r="BV98" s="49">
        <f t="shared" si="69"/>
        <v>0</v>
      </c>
      <c r="BW98" s="49">
        <f t="shared" si="70"/>
        <v>0</v>
      </c>
      <c r="BX98" s="49">
        <f t="shared" si="71"/>
        <v>0</v>
      </c>
      <c r="BY98" s="49">
        <f t="shared" si="72"/>
        <v>1</v>
      </c>
      <c r="BZ98" s="49">
        <f t="shared" si="73"/>
        <v>0</v>
      </c>
      <c r="CA98" s="49">
        <f t="shared" si="74"/>
        <v>0</v>
      </c>
      <c r="CB98" s="49">
        <f t="shared" si="75"/>
        <v>1</v>
      </c>
      <c r="CC98" s="49">
        <f t="shared" si="76"/>
        <v>0</v>
      </c>
      <c r="CD98" s="49">
        <f t="shared" si="77"/>
        <v>0</v>
      </c>
      <c r="CE98" s="49">
        <f t="shared" si="78"/>
        <v>0</v>
      </c>
    </row>
    <row r="99" spans="1:83" ht="35.1" customHeight="1" x14ac:dyDescent="0.3">
      <c r="A99" s="123" t="str">
        <f t="shared" si="40"/>
        <v>1팀</v>
      </c>
      <c r="B99" s="69">
        <f t="shared" si="41"/>
        <v>93</v>
      </c>
      <c r="C99" s="120" t="str">
        <f>IF(VLOOKUP($B99,'1. 현장별 인원현황'!$C:$J,2,0)=0,"",VLOOKUP($B99,'1. 현장별 인원현황'!$C:$J,2,0))</f>
        <v xml:space="preserve"> [1.라온건설] 인천 신흥동3가 주상복합</v>
      </c>
      <c r="D99" s="70" t="str">
        <f>IF(VLOOKUP($B99,'1. 현장별 인원현황'!$C:$J,3,0)=0,"",VLOOKUP($B99,'1. 현장별 인원현황'!$C:$J,3,0))</f>
        <v>고석출</v>
      </c>
      <c r="E99" s="74" t="str">
        <f ca="1">IF(VLOOKUP($B99,'1. 현장별 인원현황'!$C:$J,4,0)=0,"",VLOOKUP($B99,'1. 현장별 인원현황'!$C:$J,4,0))</f>
        <v>66세</v>
      </c>
      <c r="F99" s="70" t="str">
        <f>IF(VLOOKUP($B99,'1. 현장별 인원현황'!$C:$J,7,0)=0,"",VLOOKUP($B99,'1. 현장별 인원현황'!$C:$J,7,0))</f>
        <v>기능공</v>
      </c>
      <c r="G99" s="72" t="str">
        <f>IF(VLOOKUP($B99,'1. 현장별 인원현황'!$C:$J,8,0)=0,"",VLOOKUP($B99,'1. 현장별 인원현황'!$C:$J,8,0))</f>
        <v>전공</v>
      </c>
      <c r="H99" s="67"/>
      <c r="I99" s="73" t="s">
        <v>69</v>
      </c>
      <c r="J99" s="73"/>
      <c r="K99" s="68"/>
      <c r="L99" s="67"/>
      <c r="M99" s="73" t="s">
        <v>69</v>
      </c>
      <c r="N99" s="73"/>
      <c r="O99" s="68"/>
      <c r="P99" s="67"/>
      <c r="Q99" s="73" t="s">
        <v>69</v>
      </c>
      <c r="R99" s="73"/>
      <c r="S99" s="68"/>
      <c r="T99" s="67"/>
      <c r="U99" s="73" t="s">
        <v>69</v>
      </c>
      <c r="V99" s="73"/>
      <c r="W99" s="68"/>
      <c r="X99" s="67" t="s">
        <v>69</v>
      </c>
      <c r="Y99" s="73"/>
      <c r="Z99" s="73"/>
      <c r="AA99" s="68"/>
      <c r="AB99" s="67" t="s">
        <v>69</v>
      </c>
      <c r="AC99" s="73"/>
      <c r="AD99" s="73"/>
      <c r="AE99" s="68"/>
      <c r="AF99" s="67"/>
      <c r="AG99" s="73" t="s">
        <v>69</v>
      </c>
      <c r="AH99" s="73"/>
      <c r="AI99" s="68"/>
      <c r="AJ99" s="67" t="s">
        <v>69</v>
      </c>
      <c r="AK99" s="73"/>
      <c r="AL99" s="73"/>
      <c r="AM99" s="68"/>
      <c r="AN99" s="73" t="s">
        <v>69</v>
      </c>
      <c r="AO99" s="73"/>
      <c r="AP99" s="73"/>
      <c r="AQ99" s="68"/>
      <c r="AR99" s="67">
        <f t="shared" si="42"/>
        <v>87</v>
      </c>
      <c r="AS99" s="68" t="str">
        <f t="shared" si="43"/>
        <v>S</v>
      </c>
      <c r="AV99" s="49">
        <f t="shared" si="79"/>
        <v>0</v>
      </c>
      <c r="AW99" s="49">
        <f t="shared" si="44"/>
        <v>1</v>
      </c>
      <c r="AX99" s="49">
        <f t="shared" si="45"/>
        <v>0</v>
      </c>
      <c r="AY99" s="49">
        <f t="shared" si="46"/>
        <v>0</v>
      </c>
      <c r="AZ99" s="49">
        <f t="shared" si="47"/>
        <v>0</v>
      </c>
      <c r="BA99" s="49">
        <f t="shared" si="48"/>
        <v>1</v>
      </c>
      <c r="BB99" s="49">
        <f t="shared" si="49"/>
        <v>0</v>
      </c>
      <c r="BC99" s="49">
        <f t="shared" si="50"/>
        <v>0</v>
      </c>
      <c r="BD99" s="49">
        <f t="shared" si="51"/>
        <v>0</v>
      </c>
      <c r="BE99" s="49">
        <f t="shared" si="52"/>
        <v>1</v>
      </c>
      <c r="BF99" s="49">
        <f t="shared" si="53"/>
        <v>0</v>
      </c>
      <c r="BG99" s="49">
        <f t="shared" si="54"/>
        <v>0</v>
      </c>
      <c r="BH99" s="49">
        <f t="shared" si="55"/>
        <v>0</v>
      </c>
      <c r="BI99" s="49">
        <f t="shared" si="56"/>
        <v>1</v>
      </c>
      <c r="BJ99" s="49">
        <f t="shared" si="57"/>
        <v>0</v>
      </c>
      <c r="BK99" s="49">
        <f t="shared" si="58"/>
        <v>0</v>
      </c>
      <c r="BL99" s="49">
        <f t="shared" si="59"/>
        <v>1</v>
      </c>
      <c r="BM99" s="49">
        <f t="shared" si="60"/>
        <v>0</v>
      </c>
      <c r="BN99" s="49">
        <f t="shared" si="61"/>
        <v>0</v>
      </c>
      <c r="BO99" s="49">
        <f t="shared" si="62"/>
        <v>0</v>
      </c>
      <c r="BP99" s="49">
        <f t="shared" si="63"/>
        <v>1</v>
      </c>
      <c r="BQ99" s="49">
        <f t="shared" si="64"/>
        <v>0</v>
      </c>
      <c r="BR99" s="49">
        <f t="shared" si="65"/>
        <v>0</v>
      </c>
      <c r="BS99" s="49">
        <f t="shared" si="66"/>
        <v>0</v>
      </c>
      <c r="BT99" s="49">
        <f t="shared" si="67"/>
        <v>0</v>
      </c>
      <c r="BU99" s="49">
        <f t="shared" si="68"/>
        <v>1</v>
      </c>
      <c r="BV99" s="49">
        <f t="shared" si="69"/>
        <v>0</v>
      </c>
      <c r="BW99" s="49">
        <f t="shared" si="70"/>
        <v>0</v>
      </c>
      <c r="BX99" s="49">
        <f t="shared" si="71"/>
        <v>1</v>
      </c>
      <c r="BY99" s="49">
        <f t="shared" si="72"/>
        <v>0</v>
      </c>
      <c r="BZ99" s="49">
        <f t="shared" si="73"/>
        <v>0</v>
      </c>
      <c r="CA99" s="49">
        <f t="shared" si="74"/>
        <v>0</v>
      </c>
      <c r="CB99" s="49">
        <f t="shared" si="75"/>
        <v>1</v>
      </c>
      <c r="CC99" s="49">
        <f t="shared" si="76"/>
        <v>0</v>
      </c>
      <c r="CD99" s="49">
        <f t="shared" si="77"/>
        <v>0</v>
      </c>
      <c r="CE99" s="49">
        <f t="shared" si="78"/>
        <v>0</v>
      </c>
    </row>
    <row r="100" spans="1:83" ht="35.1" customHeight="1" x14ac:dyDescent="0.3">
      <c r="A100" s="123" t="str">
        <f t="shared" si="40"/>
        <v>1팀</v>
      </c>
      <c r="B100" s="69">
        <f t="shared" si="41"/>
        <v>94</v>
      </c>
      <c r="C100" s="120" t="str">
        <f>IF(VLOOKUP($B100,'1. 현장별 인원현황'!$C:$J,2,0)=0,"",VLOOKUP($B100,'1. 현장별 인원현황'!$C:$J,2,0))</f>
        <v xml:space="preserve"> [1.라온건설] 인천 신흥동3가 주상복합</v>
      </c>
      <c r="D100" s="70" t="str">
        <f>IF(VLOOKUP($B100,'1. 현장별 인원현황'!$C:$J,3,0)=0,"",VLOOKUP($B100,'1. 현장별 인원현황'!$C:$J,3,0))</f>
        <v>홍철군</v>
      </c>
      <c r="E100" s="74" t="str">
        <f ca="1">IF(VLOOKUP($B100,'1. 현장별 인원현황'!$C:$J,4,0)=0,"",VLOOKUP($B100,'1. 현장별 인원현황'!$C:$J,4,0))</f>
        <v>38세</v>
      </c>
      <c r="F100" s="70" t="str">
        <f>IF(VLOOKUP($B100,'1. 현장별 인원현황'!$C:$J,7,0)=0,"",VLOOKUP($B100,'1. 현장별 인원현황'!$C:$J,7,0))</f>
        <v>기능공</v>
      </c>
      <c r="G100" s="72" t="str">
        <f>IF(VLOOKUP($B100,'1. 현장별 인원현황'!$C:$J,8,0)=0,"",VLOOKUP($B100,'1. 현장별 인원현황'!$C:$J,8,0))</f>
        <v>조공</v>
      </c>
      <c r="H100" s="67"/>
      <c r="I100" s="73" t="s">
        <v>69</v>
      </c>
      <c r="J100" s="73"/>
      <c r="K100" s="68"/>
      <c r="L100" s="67" t="s">
        <v>69</v>
      </c>
      <c r="M100" s="73"/>
      <c r="N100" s="73"/>
      <c r="O100" s="68"/>
      <c r="P100" s="67" t="s">
        <v>69</v>
      </c>
      <c r="Q100" s="73"/>
      <c r="R100" s="73"/>
      <c r="S100" s="68"/>
      <c r="T100" s="67"/>
      <c r="U100" s="73"/>
      <c r="V100" s="73" t="s">
        <v>69</v>
      </c>
      <c r="W100" s="68"/>
      <c r="X100" s="67" t="s">
        <v>69</v>
      </c>
      <c r="Y100" s="73"/>
      <c r="Z100" s="73"/>
      <c r="AA100" s="68"/>
      <c r="AB100" s="67" t="s">
        <v>69</v>
      </c>
      <c r="AC100" s="73"/>
      <c r="AD100" s="73"/>
      <c r="AE100" s="68"/>
      <c r="AF100" s="67" t="s">
        <v>69</v>
      </c>
      <c r="AG100" s="73"/>
      <c r="AH100" s="73"/>
      <c r="AI100" s="68"/>
      <c r="AJ100" s="67" t="s">
        <v>69</v>
      </c>
      <c r="AK100" s="73"/>
      <c r="AL100" s="73"/>
      <c r="AM100" s="68"/>
      <c r="AN100" s="73" t="s">
        <v>69</v>
      </c>
      <c r="AO100" s="73"/>
      <c r="AP100" s="73"/>
      <c r="AQ100" s="68"/>
      <c r="AR100" s="67">
        <f t="shared" si="42"/>
        <v>93</v>
      </c>
      <c r="AS100" s="68" t="str">
        <f t="shared" si="43"/>
        <v>S</v>
      </c>
      <c r="AV100" s="49">
        <f t="shared" si="79"/>
        <v>0</v>
      </c>
      <c r="AW100" s="49">
        <f t="shared" si="44"/>
        <v>1</v>
      </c>
      <c r="AX100" s="49">
        <f t="shared" si="45"/>
        <v>0</v>
      </c>
      <c r="AY100" s="49">
        <f t="shared" si="46"/>
        <v>0</v>
      </c>
      <c r="AZ100" s="49">
        <f t="shared" si="47"/>
        <v>1</v>
      </c>
      <c r="BA100" s="49">
        <f t="shared" si="48"/>
        <v>0</v>
      </c>
      <c r="BB100" s="49">
        <f t="shared" si="49"/>
        <v>0</v>
      </c>
      <c r="BC100" s="49">
        <f t="shared" si="50"/>
        <v>0</v>
      </c>
      <c r="BD100" s="49">
        <f t="shared" si="51"/>
        <v>1</v>
      </c>
      <c r="BE100" s="49">
        <f t="shared" si="52"/>
        <v>0</v>
      </c>
      <c r="BF100" s="49">
        <f t="shared" si="53"/>
        <v>0</v>
      </c>
      <c r="BG100" s="49">
        <f t="shared" si="54"/>
        <v>0</v>
      </c>
      <c r="BH100" s="49">
        <f t="shared" si="55"/>
        <v>0</v>
      </c>
      <c r="BI100" s="49">
        <f t="shared" si="56"/>
        <v>0</v>
      </c>
      <c r="BJ100" s="49">
        <f t="shared" si="57"/>
        <v>1</v>
      </c>
      <c r="BK100" s="49">
        <f t="shared" si="58"/>
        <v>0</v>
      </c>
      <c r="BL100" s="49">
        <f t="shared" si="59"/>
        <v>1</v>
      </c>
      <c r="BM100" s="49">
        <f t="shared" si="60"/>
        <v>0</v>
      </c>
      <c r="BN100" s="49">
        <f t="shared" si="61"/>
        <v>0</v>
      </c>
      <c r="BO100" s="49">
        <f t="shared" si="62"/>
        <v>0</v>
      </c>
      <c r="BP100" s="49">
        <f t="shared" si="63"/>
        <v>1</v>
      </c>
      <c r="BQ100" s="49">
        <f t="shared" si="64"/>
        <v>0</v>
      </c>
      <c r="BR100" s="49">
        <f t="shared" si="65"/>
        <v>0</v>
      </c>
      <c r="BS100" s="49">
        <f t="shared" si="66"/>
        <v>0</v>
      </c>
      <c r="BT100" s="49">
        <f t="shared" si="67"/>
        <v>1</v>
      </c>
      <c r="BU100" s="49">
        <f t="shared" si="68"/>
        <v>0</v>
      </c>
      <c r="BV100" s="49">
        <f t="shared" si="69"/>
        <v>0</v>
      </c>
      <c r="BW100" s="49">
        <f t="shared" si="70"/>
        <v>0</v>
      </c>
      <c r="BX100" s="49">
        <f t="shared" si="71"/>
        <v>1</v>
      </c>
      <c r="BY100" s="49">
        <f t="shared" si="72"/>
        <v>0</v>
      </c>
      <c r="BZ100" s="49">
        <f t="shared" si="73"/>
        <v>0</v>
      </c>
      <c r="CA100" s="49">
        <f t="shared" si="74"/>
        <v>0</v>
      </c>
      <c r="CB100" s="49">
        <f t="shared" si="75"/>
        <v>1</v>
      </c>
      <c r="CC100" s="49">
        <f t="shared" si="76"/>
        <v>0</v>
      </c>
      <c r="CD100" s="49">
        <f t="shared" si="77"/>
        <v>0</v>
      </c>
      <c r="CE100" s="49">
        <f t="shared" si="78"/>
        <v>0</v>
      </c>
    </row>
    <row r="101" spans="1:83" ht="35.1" customHeight="1" x14ac:dyDescent="0.3">
      <c r="A101" s="123" t="str">
        <f t="shared" si="40"/>
        <v>1팀</v>
      </c>
      <c r="B101" s="69">
        <f t="shared" si="41"/>
        <v>95</v>
      </c>
      <c r="C101" s="120" t="str">
        <f>IF(VLOOKUP($B101,'1. 현장별 인원현황'!$C:$J,2,0)=0,"",VLOOKUP($B101,'1. 현장별 인원현황'!$C:$J,2,0))</f>
        <v xml:space="preserve"> [1.라온건설] 인천 신흥동3가 주상복합</v>
      </c>
      <c r="D101" s="70" t="str">
        <f>IF(VLOOKUP($B101,'1. 현장별 인원현황'!$C:$J,3,0)=0,"",VLOOKUP($B101,'1. 현장별 인원현황'!$C:$J,3,0))</f>
        <v>강진모</v>
      </c>
      <c r="E101" s="74" t="str">
        <f ca="1">IF(VLOOKUP($B101,'1. 현장별 인원현황'!$C:$J,4,0)=0,"",VLOOKUP($B101,'1. 현장별 인원현황'!$C:$J,4,0))</f>
        <v>31세</v>
      </c>
      <c r="F101" s="70" t="str">
        <f>IF(VLOOKUP($B101,'1. 현장별 인원현황'!$C:$J,7,0)=0,"",VLOOKUP($B101,'1. 현장별 인원현황'!$C:$J,7,0))</f>
        <v>기능공</v>
      </c>
      <c r="G101" s="72" t="str">
        <f>IF(VLOOKUP($B101,'1. 현장별 인원현황'!$C:$J,8,0)=0,"",VLOOKUP($B101,'1. 현장별 인원현황'!$C:$J,8,0))</f>
        <v>조공</v>
      </c>
      <c r="H101" s="67"/>
      <c r="I101" s="73"/>
      <c r="J101" s="73" t="s">
        <v>69</v>
      </c>
      <c r="K101" s="68"/>
      <c r="L101" s="67"/>
      <c r="M101" s="73" t="s">
        <v>69</v>
      </c>
      <c r="N101" s="73"/>
      <c r="O101" s="68"/>
      <c r="P101" s="67" t="s">
        <v>69</v>
      </c>
      <c r="Q101" s="73"/>
      <c r="R101" s="73"/>
      <c r="S101" s="68"/>
      <c r="T101" s="67"/>
      <c r="U101" s="73"/>
      <c r="V101" s="73" t="s">
        <v>69</v>
      </c>
      <c r="W101" s="68"/>
      <c r="X101" s="67" t="s">
        <v>69</v>
      </c>
      <c r="Y101" s="73"/>
      <c r="Z101" s="73"/>
      <c r="AA101" s="68"/>
      <c r="AB101" s="67" t="s">
        <v>69</v>
      </c>
      <c r="AC101" s="73"/>
      <c r="AD101" s="73"/>
      <c r="AE101" s="68"/>
      <c r="AF101" s="67" t="s">
        <v>69</v>
      </c>
      <c r="AG101" s="73"/>
      <c r="AH101" s="73"/>
      <c r="AI101" s="68"/>
      <c r="AJ101" s="67" t="s">
        <v>69</v>
      </c>
      <c r="AK101" s="73"/>
      <c r="AL101" s="73"/>
      <c r="AM101" s="68"/>
      <c r="AN101" s="73" t="s">
        <v>69</v>
      </c>
      <c r="AO101" s="73"/>
      <c r="AP101" s="73"/>
      <c r="AQ101" s="68"/>
      <c r="AR101" s="67">
        <f t="shared" si="42"/>
        <v>87</v>
      </c>
      <c r="AS101" s="68" t="str">
        <f t="shared" si="43"/>
        <v>S</v>
      </c>
      <c r="AV101" s="49">
        <f t="shared" si="79"/>
        <v>0</v>
      </c>
      <c r="AW101" s="49">
        <f t="shared" si="44"/>
        <v>0</v>
      </c>
      <c r="AX101" s="49">
        <f t="shared" si="45"/>
        <v>1</v>
      </c>
      <c r="AY101" s="49">
        <f t="shared" si="46"/>
        <v>0</v>
      </c>
      <c r="AZ101" s="49">
        <f t="shared" si="47"/>
        <v>0</v>
      </c>
      <c r="BA101" s="49">
        <f t="shared" si="48"/>
        <v>1</v>
      </c>
      <c r="BB101" s="49">
        <f t="shared" si="49"/>
        <v>0</v>
      </c>
      <c r="BC101" s="49">
        <f t="shared" si="50"/>
        <v>0</v>
      </c>
      <c r="BD101" s="49">
        <f t="shared" si="51"/>
        <v>1</v>
      </c>
      <c r="BE101" s="49">
        <f t="shared" si="52"/>
        <v>0</v>
      </c>
      <c r="BF101" s="49">
        <f t="shared" si="53"/>
        <v>0</v>
      </c>
      <c r="BG101" s="49">
        <f t="shared" si="54"/>
        <v>0</v>
      </c>
      <c r="BH101" s="49">
        <f t="shared" si="55"/>
        <v>0</v>
      </c>
      <c r="BI101" s="49">
        <f t="shared" si="56"/>
        <v>0</v>
      </c>
      <c r="BJ101" s="49">
        <f t="shared" si="57"/>
        <v>1</v>
      </c>
      <c r="BK101" s="49">
        <f t="shared" si="58"/>
        <v>0</v>
      </c>
      <c r="BL101" s="49">
        <f t="shared" si="59"/>
        <v>1</v>
      </c>
      <c r="BM101" s="49">
        <f t="shared" si="60"/>
        <v>0</v>
      </c>
      <c r="BN101" s="49">
        <f t="shared" si="61"/>
        <v>0</v>
      </c>
      <c r="BO101" s="49">
        <f t="shared" si="62"/>
        <v>0</v>
      </c>
      <c r="BP101" s="49">
        <f t="shared" si="63"/>
        <v>1</v>
      </c>
      <c r="BQ101" s="49">
        <f t="shared" si="64"/>
        <v>0</v>
      </c>
      <c r="BR101" s="49">
        <f t="shared" si="65"/>
        <v>0</v>
      </c>
      <c r="BS101" s="49">
        <f t="shared" si="66"/>
        <v>0</v>
      </c>
      <c r="BT101" s="49">
        <f t="shared" si="67"/>
        <v>1</v>
      </c>
      <c r="BU101" s="49">
        <f t="shared" si="68"/>
        <v>0</v>
      </c>
      <c r="BV101" s="49">
        <f t="shared" si="69"/>
        <v>0</v>
      </c>
      <c r="BW101" s="49">
        <f t="shared" si="70"/>
        <v>0</v>
      </c>
      <c r="BX101" s="49">
        <f t="shared" si="71"/>
        <v>1</v>
      </c>
      <c r="BY101" s="49">
        <f t="shared" si="72"/>
        <v>0</v>
      </c>
      <c r="BZ101" s="49">
        <f t="shared" si="73"/>
        <v>0</v>
      </c>
      <c r="CA101" s="49">
        <f t="shared" si="74"/>
        <v>0</v>
      </c>
      <c r="CB101" s="49">
        <f t="shared" si="75"/>
        <v>1</v>
      </c>
      <c r="CC101" s="49">
        <f t="shared" si="76"/>
        <v>0</v>
      </c>
      <c r="CD101" s="49">
        <f t="shared" si="77"/>
        <v>0</v>
      </c>
      <c r="CE101" s="49">
        <f t="shared" si="78"/>
        <v>0</v>
      </c>
    </row>
    <row r="102" spans="1:83" ht="35.1" customHeight="1" x14ac:dyDescent="0.3">
      <c r="A102" s="123" t="str">
        <f t="shared" si="40"/>
        <v>1팀</v>
      </c>
      <c r="B102" s="69">
        <f t="shared" si="41"/>
        <v>96</v>
      </c>
      <c r="C102" s="120" t="str">
        <f>IF(VLOOKUP($B102,'1. 현장별 인원현황'!$C:$J,2,0)=0,"",VLOOKUP($B102,'1. 현장별 인원현황'!$C:$J,2,0))</f>
        <v xml:space="preserve"> [1.부영] 김천혁신 2-1블럭 부영아파트 신축공사</v>
      </c>
      <c r="D102" s="70" t="str">
        <f>IF(VLOOKUP($B102,'1. 현장별 인원현황'!$C:$J,3,0)=0,"",VLOOKUP($B102,'1. 현장별 인원현황'!$C:$J,3,0))</f>
        <v>김재성</v>
      </c>
      <c r="E102" s="74" t="str">
        <f ca="1">IF(VLOOKUP($B102,'1. 현장별 인원현황'!$C:$J,4,0)=0,"",VLOOKUP($B102,'1. 현장별 인원현황'!$C:$J,4,0))</f>
        <v>59세</v>
      </c>
      <c r="F102" s="70" t="str">
        <f>IF(VLOOKUP($B102,'1. 현장별 인원현황'!$C:$J,7,0)=0,"",VLOOKUP($B102,'1. 현장별 인원현황'!$C:$J,7,0))</f>
        <v>공사</v>
      </c>
      <c r="G102" s="72" t="str">
        <f>IF(VLOOKUP($B102,'1. 현장별 인원현황'!$C:$J,8,0)=0,"",VLOOKUP($B102,'1. 현장별 인원현황'!$C:$J,8,0))</f>
        <v>차장</v>
      </c>
      <c r="H102" s="67" t="s">
        <v>69</v>
      </c>
      <c r="I102" s="73"/>
      <c r="J102" s="73"/>
      <c r="K102" s="68"/>
      <c r="L102" s="67" t="s">
        <v>69</v>
      </c>
      <c r="M102" s="73"/>
      <c r="N102" s="73"/>
      <c r="O102" s="68"/>
      <c r="P102" s="67"/>
      <c r="Q102" s="73" t="s">
        <v>69</v>
      </c>
      <c r="R102" s="73"/>
      <c r="S102" s="68"/>
      <c r="T102" s="67"/>
      <c r="U102" s="73" t="s">
        <v>69</v>
      </c>
      <c r="V102" s="73"/>
      <c r="W102" s="68"/>
      <c r="X102" s="67"/>
      <c r="Y102" s="73" t="s">
        <v>69</v>
      </c>
      <c r="Z102" s="73"/>
      <c r="AA102" s="68"/>
      <c r="AB102" s="67"/>
      <c r="AC102" s="73" t="s">
        <v>69</v>
      </c>
      <c r="AD102" s="73"/>
      <c r="AE102" s="68"/>
      <c r="AF102" s="67" t="s">
        <v>69</v>
      </c>
      <c r="AG102" s="73"/>
      <c r="AH102" s="73"/>
      <c r="AI102" s="68"/>
      <c r="AJ102" s="67" t="s">
        <v>69</v>
      </c>
      <c r="AK102" s="73"/>
      <c r="AL102" s="73"/>
      <c r="AM102" s="68"/>
      <c r="AN102" s="73" t="s">
        <v>69</v>
      </c>
      <c r="AO102" s="73"/>
      <c r="AP102" s="73"/>
      <c r="AQ102" s="68"/>
      <c r="AR102" s="67">
        <f t="shared" si="42"/>
        <v>91</v>
      </c>
      <c r="AS102" s="68" t="str">
        <f t="shared" si="43"/>
        <v>S</v>
      </c>
      <c r="AV102" s="49">
        <f t="shared" si="79"/>
        <v>1</v>
      </c>
      <c r="AW102" s="49">
        <f t="shared" si="44"/>
        <v>0</v>
      </c>
      <c r="AX102" s="49">
        <f t="shared" si="45"/>
        <v>0</v>
      </c>
      <c r="AY102" s="49">
        <f t="shared" si="46"/>
        <v>0</v>
      </c>
      <c r="AZ102" s="49">
        <f t="shared" si="47"/>
        <v>1</v>
      </c>
      <c r="BA102" s="49">
        <f t="shared" si="48"/>
        <v>0</v>
      </c>
      <c r="BB102" s="49">
        <f t="shared" si="49"/>
        <v>0</v>
      </c>
      <c r="BC102" s="49">
        <f t="shared" si="50"/>
        <v>0</v>
      </c>
      <c r="BD102" s="49">
        <f t="shared" si="51"/>
        <v>0</v>
      </c>
      <c r="BE102" s="49">
        <f t="shared" si="52"/>
        <v>1</v>
      </c>
      <c r="BF102" s="49">
        <f t="shared" si="53"/>
        <v>0</v>
      </c>
      <c r="BG102" s="49">
        <f t="shared" si="54"/>
        <v>0</v>
      </c>
      <c r="BH102" s="49">
        <f t="shared" si="55"/>
        <v>0</v>
      </c>
      <c r="BI102" s="49">
        <f t="shared" si="56"/>
        <v>1</v>
      </c>
      <c r="BJ102" s="49">
        <f t="shared" si="57"/>
        <v>0</v>
      </c>
      <c r="BK102" s="49">
        <f t="shared" si="58"/>
        <v>0</v>
      </c>
      <c r="BL102" s="49">
        <f t="shared" si="59"/>
        <v>0</v>
      </c>
      <c r="BM102" s="49">
        <f t="shared" si="60"/>
        <v>1</v>
      </c>
      <c r="BN102" s="49">
        <f t="shared" si="61"/>
        <v>0</v>
      </c>
      <c r="BO102" s="49">
        <f t="shared" si="62"/>
        <v>0</v>
      </c>
      <c r="BP102" s="49">
        <f t="shared" si="63"/>
        <v>0</v>
      </c>
      <c r="BQ102" s="49">
        <f t="shared" si="64"/>
        <v>1</v>
      </c>
      <c r="BR102" s="49">
        <f t="shared" si="65"/>
        <v>0</v>
      </c>
      <c r="BS102" s="49">
        <f t="shared" si="66"/>
        <v>0</v>
      </c>
      <c r="BT102" s="49">
        <f t="shared" si="67"/>
        <v>1</v>
      </c>
      <c r="BU102" s="49">
        <f t="shared" si="68"/>
        <v>0</v>
      </c>
      <c r="BV102" s="49">
        <f t="shared" si="69"/>
        <v>0</v>
      </c>
      <c r="BW102" s="49">
        <f t="shared" si="70"/>
        <v>0</v>
      </c>
      <c r="BX102" s="49">
        <f t="shared" si="71"/>
        <v>1</v>
      </c>
      <c r="BY102" s="49">
        <f t="shared" si="72"/>
        <v>0</v>
      </c>
      <c r="BZ102" s="49">
        <f t="shared" si="73"/>
        <v>0</v>
      </c>
      <c r="CA102" s="49">
        <f t="shared" si="74"/>
        <v>0</v>
      </c>
      <c r="CB102" s="49">
        <f t="shared" si="75"/>
        <v>1</v>
      </c>
      <c r="CC102" s="49">
        <f t="shared" si="76"/>
        <v>0</v>
      </c>
      <c r="CD102" s="49">
        <f t="shared" si="77"/>
        <v>0</v>
      </c>
      <c r="CE102" s="49">
        <f t="shared" si="78"/>
        <v>0</v>
      </c>
    </row>
    <row r="103" spans="1:83" ht="35.1" customHeight="1" x14ac:dyDescent="0.3">
      <c r="A103" s="123" t="str">
        <f t="shared" si="40"/>
        <v>1팀</v>
      </c>
      <c r="B103" s="69">
        <f t="shared" si="41"/>
        <v>97</v>
      </c>
      <c r="C103" s="120" t="str">
        <f>IF(VLOOKUP($B103,'1. 현장별 인원현황'!$C:$J,2,0)=0,"",VLOOKUP($B103,'1. 현장별 인원현황'!$C:$J,2,0))</f>
        <v xml:space="preserve"> [1.부영] 김천혁신 2-1블럭 부영아파트 신축공사</v>
      </c>
      <c r="D103" s="70" t="str">
        <f>IF(VLOOKUP($B103,'1. 현장별 인원현황'!$C:$J,3,0)=0,"",VLOOKUP($B103,'1. 현장별 인원현황'!$C:$J,3,0))</f>
        <v>김선동</v>
      </c>
      <c r="E103" s="74" t="str">
        <f ca="1">IF(VLOOKUP($B103,'1. 현장별 인원현황'!$C:$J,4,0)=0,"",VLOOKUP($B103,'1. 현장별 인원현황'!$C:$J,4,0))</f>
        <v>44세</v>
      </c>
      <c r="F103" s="70" t="str">
        <f>IF(VLOOKUP($B103,'1. 현장별 인원현황'!$C:$J,7,0)=0,"",VLOOKUP($B103,'1. 현장별 인원현황'!$C:$J,7,0))</f>
        <v>공무</v>
      </c>
      <c r="G103" s="72" t="str">
        <f>IF(VLOOKUP($B103,'1. 현장별 인원현황'!$C:$J,8,0)=0,"",VLOOKUP($B103,'1. 현장별 인원현황'!$C:$J,8,0))</f>
        <v>과장</v>
      </c>
      <c r="H103" s="67"/>
      <c r="I103" s="73"/>
      <c r="J103" s="73" t="s">
        <v>69</v>
      </c>
      <c r="K103" s="68"/>
      <c r="L103" s="67"/>
      <c r="M103" s="73" t="s">
        <v>69</v>
      </c>
      <c r="N103" s="73"/>
      <c r="O103" s="68"/>
      <c r="P103" s="67"/>
      <c r="Q103" s="73" t="s">
        <v>69</v>
      </c>
      <c r="R103" s="73"/>
      <c r="S103" s="68"/>
      <c r="T103" s="67"/>
      <c r="U103" s="73" t="s">
        <v>69</v>
      </c>
      <c r="V103" s="73"/>
      <c r="W103" s="68"/>
      <c r="X103" s="67"/>
      <c r="Y103" s="73" t="s">
        <v>69</v>
      </c>
      <c r="Z103" s="73"/>
      <c r="AA103" s="68"/>
      <c r="AB103" s="67" t="s">
        <v>69</v>
      </c>
      <c r="AC103" s="73"/>
      <c r="AD103" s="73"/>
      <c r="AE103" s="68"/>
      <c r="AF103" s="67"/>
      <c r="AG103" s="73" t="s">
        <v>69</v>
      </c>
      <c r="AH103" s="73"/>
      <c r="AI103" s="68"/>
      <c r="AJ103" s="67" t="s">
        <v>69</v>
      </c>
      <c r="AK103" s="73"/>
      <c r="AL103" s="73"/>
      <c r="AM103" s="68"/>
      <c r="AN103" s="73" t="s">
        <v>69</v>
      </c>
      <c r="AO103" s="73"/>
      <c r="AP103" s="73"/>
      <c r="AQ103" s="68"/>
      <c r="AR103" s="67">
        <f t="shared" si="42"/>
        <v>82</v>
      </c>
      <c r="AS103" s="68" t="str">
        <f t="shared" si="43"/>
        <v>A</v>
      </c>
      <c r="AV103" s="49">
        <f t="shared" si="79"/>
        <v>0</v>
      </c>
      <c r="AW103" s="49">
        <f t="shared" si="44"/>
        <v>0</v>
      </c>
      <c r="AX103" s="49">
        <f t="shared" si="45"/>
        <v>1</v>
      </c>
      <c r="AY103" s="49">
        <f t="shared" si="46"/>
        <v>0</v>
      </c>
      <c r="AZ103" s="49">
        <f t="shared" si="47"/>
        <v>0</v>
      </c>
      <c r="BA103" s="49">
        <f t="shared" si="48"/>
        <v>1</v>
      </c>
      <c r="BB103" s="49">
        <f t="shared" si="49"/>
        <v>0</v>
      </c>
      <c r="BC103" s="49">
        <f t="shared" si="50"/>
        <v>0</v>
      </c>
      <c r="BD103" s="49">
        <f t="shared" si="51"/>
        <v>0</v>
      </c>
      <c r="BE103" s="49">
        <f t="shared" si="52"/>
        <v>1</v>
      </c>
      <c r="BF103" s="49">
        <f t="shared" si="53"/>
        <v>0</v>
      </c>
      <c r="BG103" s="49">
        <f t="shared" si="54"/>
        <v>0</v>
      </c>
      <c r="BH103" s="49">
        <f t="shared" si="55"/>
        <v>0</v>
      </c>
      <c r="BI103" s="49">
        <f t="shared" si="56"/>
        <v>1</v>
      </c>
      <c r="BJ103" s="49">
        <f t="shared" si="57"/>
        <v>0</v>
      </c>
      <c r="BK103" s="49">
        <f t="shared" si="58"/>
        <v>0</v>
      </c>
      <c r="BL103" s="49">
        <f t="shared" si="59"/>
        <v>0</v>
      </c>
      <c r="BM103" s="49">
        <f t="shared" si="60"/>
        <v>1</v>
      </c>
      <c r="BN103" s="49">
        <f t="shared" si="61"/>
        <v>0</v>
      </c>
      <c r="BO103" s="49">
        <f t="shared" si="62"/>
        <v>0</v>
      </c>
      <c r="BP103" s="49">
        <f t="shared" si="63"/>
        <v>1</v>
      </c>
      <c r="BQ103" s="49">
        <f t="shared" si="64"/>
        <v>0</v>
      </c>
      <c r="BR103" s="49">
        <f t="shared" si="65"/>
        <v>0</v>
      </c>
      <c r="BS103" s="49">
        <f t="shared" si="66"/>
        <v>0</v>
      </c>
      <c r="BT103" s="49">
        <f t="shared" si="67"/>
        <v>0</v>
      </c>
      <c r="BU103" s="49">
        <f t="shared" si="68"/>
        <v>1</v>
      </c>
      <c r="BV103" s="49">
        <f t="shared" si="69"/>
        <v>0</v>
      </c>
      <c r="BW103" s="49">
        <f t="shared" si="70"/>
        <v>0</v>
      </c>
      <c r="BX103" s="49">
        <f t="shared" si="71"/>
        <v>1</v>
      </c>
      <c r="BY103" s="49">
        <f t="shared" si="72"/>
        <v>0</v>
      </c>
      <c r="BZ103" s="49">
        <f t="shared" si="73"/>
        <v>0</v>
      </c>
      <c r="CA103" s="49">
        <f t="shared" si="74"/>
        <v>0</v>
      </c>
      <c r="CB103" s="49">
        <f t="shared" si="75"/>
        <v>1</v>
      </c>
      <c r="CC103" s="49">
        <f t="shared" si="76"/>
        <v>0</v>
      </c>
      <c r="CD103" s="49">
        <f t="shared" si="77"/>
        <v>0</v>
      </c>
      <c r="CE103" s="49">
        <f t="shared" si="78"/>
        <v>0</v>
      </c>
    </row>
    <row r="104" spans="1:83" ht="35.1" customHeight="1" x14ac:dyDescent="0.3">
      <c r="A104" s="123" t="str">
        <f t="shared" si="40"/>
        <v>1팀</v>
      </c>
      <c r="B104" s="69">
        <f t="shared" si="41"/>
        <v>98</v>
      </c>
      <c r="C104" s="120" t="str">
        <f>IF(VLOOKUP($B104,'1. 현장별 인원현황'!$C:$J,2,0)=0,"",VLOOKUP($B104,'1. 현장별 인원현황'!$C:$J,2,0))</f>
        <v xml:space="preserve"> [1.부영] 김천혁신 2-1블럭 부영아파트 신축공사</v>
      </c>
      <c r="D104" s="70" t="str">
        <f>IF(VLOOKUP($B104,'1. 현장별 인원현황'!$C:$J,3,0)=0,"",VLOOKUP($B104,'1. 현장별 인원현황'!$C:$J,3,0))</f>
        <v>김성규</v>
      </c>
      <c r="E104" s="74" t="str">
        <f ca="1">IF(VLOOKUP($B104,'1. 현장별 인원현황'!$C:$J,4,0)=0,"",VLOOKUP($B104,'1. 현장별 인원현황'!$C:$J,4,0))</f>
        <v>53세</v>
      </c>
      <c r="F104" s="70" t="str">
        <f>IF(VLOOKUP($B104,'1. 현장별 인원현황'!$C:$J,7,0)=0,"",VLOOKUP($B104,'1. 현장별 인원현황'!$C:$J,7,0))</f>
        <v>안전관리자</v>
      </c>
      <c r="G104" s="72" t="str">
        <f>IF(VLOOKUP($B104,'1. 현장별 인원현황'!$C:$J,8,0)=0,"",VLOOKUP($B104,'1. 현장별 인원현황'!$C:$J,8,0))</f>
        <v>과장</v>
      </c>
      <c r="H104" s="67"/>
      <c r="I104" s="73"/>
      <c r="J104" s="73" t="s">
        <v>69</v>
      </c>
      <c r="K104" s="68"/>
      <c r="L104" s="67" t="s">
        <v>69</v>
      </c>
      <c r="M104" s="73"/>
      <c r="N104" s="73"/>
      <c r="O104" s="68"/>
      <c r="P104" s="67"/>
      <c r="Q104" s="73" t="s">
        <v>69</v>
      </c>
      <c r="R104" s="73"/>
      <c r="S104" s="68"/>
      <c r="T104" s="67"/>
      <c r="U104" s="73"/>
      <c r="V104" s="73" t="s">
        <v>69</v>
      </c>
      <c r="W104" s="68"/>
      <c r="X104" s="67"/>
      <c r="Y104" s="73" t="s">
        <v>69</v>
      </c>
      <c r="Z104" s="73"/>
      <c r="AA104" s="68"/>
      <c r="AB104" s="67"/>
      <c r="AC104" s="73" t="s">
        <v>69</v>
      </c>
      <c r="AD104" s="73"/>
      <c r="AE104" s="68"/>
      <c r="AF104" s="67"/>
      <c r="AG104" s="73" t="s">
        <v>69</v>
      </c>
      <c r="AH104" s="73"/>
      <c r="AI104" s="68"/>
      <c r="AJ104" s="67" t="s">
        <v>69</v>
      </c>
      <c r="AK104" s="73"/>
      <c r="AL104" s="73"/>
      <c r="AM104" s="68"/>
      <c r="AN104" s="73" t="s">
        <v>69</v>
      </c>
      <c r="AO104" s="73"/>
      <c r="AP104" s="73"/>
      <c r="AQ104" s="68"/>
      <c r="AR104" s="67">
        <f t="shared" si="42"/>
        <v>81</v>
      </c>
      <c r="AS104" s="68" t="str">
        <f t="shared" si="43"/>
        <v>A</v>
      </c>
      <c r="AV104" s="49">
        <f t="shared" si="79"/>
        <v>0</v>
      </c>
      <c r="AW104" s="49">
        <f t="shared" si="44"/>
        <v>0</v>
      </c>
      <c r="AX104" s="49">
        <f t="shared" si="45"/>
        <v>1</v>
      </c>
      <c r="AY104" s="49">
        <f t="shared" si="46"/>
        <v>0</v>
      </c>
      <c r="AZ104" s="49">
        <f t="shared" si="47"/>
        <v>1</v>
      </c>
      <c r="BA104" s="49">
        <f t="shared" si="48"/>
        <v>0</v>
      </c>
      <c r="BB104" s="49">
        <f t="shared" si="49"/>
        <v>0</v>
      </c>
      <c r="BC104" s="49">
        <f t="shared" si="50"/>
        <v>0</v>
      </c>
      <c r="BD104" s="49">
        <f t="shared" si="51"/>
        <v>0</v>
      </c>
      <c r="BE104" s="49">
        <f t="shared" si="52"/>
        <v>1</v>
      </c>
      <c r="BF104" s="49">
        <f t="shared" si="53"/>
        <v>0</v>
      </c>
      <c r="BG104" s="49">
        <f t="shared" si="54"/>
        <v>0</v>
      </c>
      <c r="BH104" s="49">
        <f t="shared" si="55"/>
        <v>0</v>
      </c>
      <c r="BI104" s="49">
        <f t="shared" si="56"/>
        <v>0</v>
      </c>
      <c r="BJ104" s="49">
        <f t="shared" si="57"/>
        <v>1</v>
      </c>
      <c r="BK104" s="49">
        <f t="shared" si="58"/>
        <v>0</v>
      </c>
      <c r="BL104" s="49">
        <f t="shared" si="59"/>
        <v>0</v>
      </c>
      <c r="BM104" s="49">
        <f t="shared" si="60"/>
        <v>1</v>
      </c>
      <c r="BN104" s="49">
        <f t="shared" si="61"/>
        <v>0</v>
      </c>
      <c r="BO104" s="49">
        <f t="shared" si="62"/>
        <v>0</v>
      </c>
      <c r="BP104" s="49">
        <f t="shared" si="63"/>
        <v>0</v>
      </c>
      <c r="BQ104" s="49">
        <f t="shared" si="64"/>
        <v>1</v>
      </c>
      <c r="BR104" s="49">
        <f t="shared" si="65"/>
        <v>0</v>
      </c>
      <c r="BS104" s="49">
        <f t="shared" si="66"/>
        <v>0</v>
      </c>
      <c r="BT104" s="49">
        <f t="shared" si="67"/>
        <v>0</v>
      </c>
      <c r="BU104" s="49">
        <f t="shared" si="68"/>
        <v>1</v>
      </c>
      <c r="BV104" s="49">
        <f t="shared" si="69"/>
        <v>0</v>
      </c>
      <c r="BW104" s="49">
        <f t="shared" si="70"/>
        <v>0</v>
      </c>
      <c r="BX104" s="49">
        <f t="shared" si="71"/>
        <v>1</v>
      </c>
      <c r="BY104" s="49">
        <f t="shared" si="72"/>
        <v>0</v>
      </c>
      <c r="BZ104" s="49">
        <f t="shared" si="73"/>
        <v>0</v>
      </c>
      <c r="CA104" s="49">
        <f t="shared" si="74"/>
        <v>0</v>
      </c>
      <c r="CB104" s="49">
        <f t="shared" si="75"/>
        <v>1</v>
      </c>
      <c r="CC104" s="49">
        <f t="shared" si="76"/>
        <v>0</v>
      </c>
      <c r="CD104" s="49">
        <f t="shared" si="77"/>
        <v>0</v>
      </c>
      <c r="CE104" s="49">
        <f t="shared" si="78"/>
        <v>0</v>
      </c>
    </row>
    <row r="105" spans="1:83" ht="35.1" customHeight="1" x14ac:dyDescent="0.3">
      <c r="A105" s="123" t="str">
        <f t="shared" si="40"/>
        <v>1팀</v>
      </c>
      <c r="B105" s="69">
        <f t="shared" si="41"/>
        <v>99</v>
      </c>
      <c r="C105" s="120" t="str">
        <f>IF(VLOOKUP($B105,'1. 현장별 인원현황'!$C:$J,2,0)=0,"",VLOOKUP($B105,'1. 현장별 인원현황'!$C:$J,2,0))</f>
        <v xml:space="preserve"> [1.부영] 김천혁신 2-1블럭 부영아파트 신축공사</v>
      </c>
      <c r="D105" s="70" t="str">
        <f>IF(VLOOKUP($B105,'1. 현장별 인원현황'!$C:$J,3,0)=0,"",VLOOKUP($B105,'1. 현장별 인원현황'!$C:$J,3,0))</f>
        <v>김영수</v>
      </c>
      <c r="E105" s="74" t="str">
        <f ca="1">IF(VLOOKUP($B105,'1. 현장별 인원현황'!$C:$J,4,0)=0,"",VLOOKUP($B105,'1. 현장별 인원현황'!$C:$J,4,0))</f>
        <v>54세</v>
      </c>
      <c r="F105" s="70" t="str">
        <f>IF(VLOOKUP($B105,'1. 현장별 인원현황'!$C:$J,7,0)=0,"",VLOOKUP($B105,'1. 현장별 인원현황'!$C:$J,7,0))</f>
        <v>기능공</v>
      </c>
      <c r="G105" s="72" t="str">
        <f>IF(VLOOKUP($B105,'1. 현장별 인원현황'!$C:$J,8,0)=0,"",VLOOKUP($B105,'1. 현장별 인원현황'!$C:$J,8,0))</f>
        <v>전공</v>
      </c>
      <c r="H105" s="67"/>
      <c r="I105" s="73" t="s">
        <v>69</v>
      </c>
      <c r="J105" s="73"/>
      <c r="K105" s="68"/>
      <c r="L105" s="67" t="s">
        <v>69</v>
      </c>
      <c r="M105" s="73"/>
      <c r="N105" s="73"/>
      <c r="O105" s="68"/>
      <c r="P105" s="67" t="s">
        <v>69</v>
      </c>
      <c r="Q105" s="73"/>
      <c r="R105" s="73"/>
      <c r="S105" s="68"/>
      <c r="T105" s="67"/>
      <c r="U105" s="73" t="s">
        <v>69</v>
      </c>
      <c r="V105" s="73"/>
      <c r="W105" s="68"/>
      <c r="X105" s="67"/>
      <c r="Y105" s="73" t="s">
        <v>69</v>
      </c>
      <c r="Z105" s="73"/>
      <c r="AA105" s="68"/>
      <c r="AB105" s="67"/>
      <c r="AC105" s="73" t="s">
        <v>69</v>
      </c>
      <c r="AD105" s="73"/>
      <c r="AE105" s="68"/>
      <c r="AF105" s="67" t="s">
        <v>69</v>
      </c>
      <c r="AG105" s="73"/>
      <c r="AH105" s="73"/>
      <c r="AI105" s="68"/>
      <c r="AJ105" s="67"/>
      <c r="AK105" s="73" t="s">
        <v>69</v>
      </c>
      <c r="AL105" s="73"/>
      <c r="AM105" s="68"/>
      <c r="AN105" s="73"/>
      <c r="AO105" s="73" t="s">
        <v>69</v>
      </c>
      <c r="AP105" s="73"/>
      <c r="AQ105" s="68"/>
      <c r="AR105" s="67">
        <f t="shared" si="42"/>
        <v>85</v>
      </c>
      <c r="AS105" s="68" t="str">
        <f t="shared" si="43"/>
        <v>A</v>
      </c>
      <c r="AV105" s="49">
        <f t="shared" si="79"/>
        <v>0</v>
      </c>
      <c r="AW105" s="49">
        <f t="shared" si="44"/>
        <v>1</v>
      </c>
      <c r="AX105" s="49">
        <f t="shared" si="45"/>
        <v>0</v>
      </c>
      <c r="AY105" s="49">
        <f t="shared" si="46"/>
        <v>0</v>
      </c>
      <c r="AZ105" s="49">
        <f t="shared" si="47"/>
        <v>1</v>
      </c>
      <c r="BA105" s="49">
        <f t="shared" si="48"/>
        <v>0</v>
      </c>
      <c r="BB105" s="49">
        <f t="shared" si="49"/>
        <v>0</v>
      </c>
      <c r="BC105" s="49">
        <f t="shared" si="50"/>
        <v>0</v>
      </c>
      <c r="BD105" s="49">
        <f t="shared" si="51"/>
        <v>1</v>
      </c>
      <c r="BE105" s="49">
        <f t="shared" si="52"/>
        <v>0</v>
      </c>
      <c r="BF105" s="49">
        <f t="shared" si="53"/>
        <v>0</v>
      </c>
      <c r="BG105" s="49">
        <f t="shared" si="54"/>
        <v>0</v>
      </c>
      <c r="BH105" s="49">
        <f t="shared" si="55"/>
        <v>0</v>
      </c>
      <c r="BI105" s="49">
        <f t="shared" si="56"/>
        <v>1</v>
      </c>
      <c r="BJ105" s="49">
        <f t="shared" si="57"/>
        <v>0</v>
      </c>
      <c r="BK105" s="49">
        <f t="shared" si="58"/>
        <v>0</v>
      </c>
      <c r="BL105" s="49">
        <f t="shared" si="59"/>
        <v>0</v>
      </c>
      <c r="BM105" s="49">
        <f t="shared" si="60"/>
        <v>1</v>
      </c>
      <c r="BN105" s="49">
        <f t="shared" si="61"/>
        <v>0</v>
      </c>
      <c r="BO105" s="49">
        <f t="shared" si="62"/>
        <v>0</v>
      </c>
      <c r="BP105" s="49">
        <f t="shared" si="63"/>
        <v>0</v>
      </c>
      <c r="BQ105" s="49">
        <f t="shared" si="64"/>
        <v>1</v>
      </c>
      <c r="BR105" s="49">
        <f t="shared" si="65"/>
        <v>0</v>
      </c>
      <c r="BS105" s="49">
        <f t="shared" si="66"/>
        <v>0</v>
      </c>
      <c r="BT105" s="49">
        <f t="shared" si="67"/>
        <v>1</v>
      </c>
      <c r="BU105" s="49">
        <f t="shared" si="68"/>
        <v>0</v>
      </c>
      <c r="BV105" s="49">
        <f t="shared" si="69"/>
        <v>0</v>
      </c>
      <c r="BW105" s="49">
        <f t="shared" si="70"/>
        <v>0</v>
      </c>
      <c r="BX105" s="49">
        <f t="shared" si="71"/>
        <v>0</v>
      </c>
      <c r="BY105" s="49">
        <f t="shared" si="72"/>
        <v>1</v>
      </c>
      <c r="BZ105" s="49">
        <f t="shared" si="73"/>
        <v>0</v>
      </c>
      <c r="CA105" s="49">
        <f t="shared" si="74"/>
        <v>0</v>
      </c>
      <c r="CB105" s="49">
        <f t="shared" si="75"/>
        <v>0</v>
      </c>
      <c r="CC105" s="49">
        <f t="shared" si="76"/>
        <v>1</v>
      </c>
      <c r="CD105" s="49">
        <f t="shared" si="77"/>
        <v>0</v>
      </c>
      <c r="CE105" s="49">
        <f t="shared" si="78"/>
        <v>0</v>
      </c>
    </row>
    <row r="106" spans="1:83" ht="35.1" customHeight="1" x14ac:dyDescent="0.3">
      <c r="A106" s="123" t="str">
        <f t="shared" si="40"/>
        <v>1팀</v>
      </c>
      <c r="B106" s="69">
        <f t="shared" si="41"/>
        <v>100</v>
      </c>
      <c r="C106" s="120" t="str">
        <f>IF(VLOOKUP($B106,'1. 현장별 인원현황'!$C:$J,2,0)=0,"",VLOOKUP($B106,'1. 현장별 인원현황'!$C:$J,2,0))</f>
        <v xml:space="preserve"> [1.부영] 김천혁신 2-1블럭 부영아파트 신축공사</v>
      </c>
      <c r="D106" s="70" t="str">
        <f>IF(VLOOKUP($B106,'1. 현장별 인원현황'!$C:$J,3,0)=0,"",VLOOKUP($B106,'1. 현장별 인원현황'!$C:$J,3,0))</f>
        <v>김철영</v>
      </c>
      <c r="E106" s="74" t="str">
        <f ca="1">IF(VLOOKUP($B106,'1. 현장별 인원현황'!$C:$J,4,0)=0,"",VLOOKUP($B106,'1. 현장별 인원현황'!$C:$J,4,0))</f>
        <v>46세</v>
      </c>
      <c r="F106" s="70" t="str">
        <f>IF(VLOOKUP($B106,'1. 현장별 인원현황'!$C:$J,7,0)=0,"",VLOOKUP($B106,'1. 현장별 인원현황'!$C:$J,7,0))</f>
        <v>기능공</v>
      </c>
      <c r="G106" s="72" t="str">
        <f>IF(VLOOKUP($B106,'1. 현장별 인원현황'!$C:$J,8,0)=0,"",VLOOKUP($B106,'1. 현장별 인원현황'!$C:$J,8,0))</f>
        <v>전공</v>
      </c>
      <c r="H106" s="67"/>
      <c r="I106" s="73" t="s">
        <v>69</v>
      </c>
      <c r="J106" s="73"/>
      <c r="K106" s="68"/>
      <c r="L106" s="67" t="s">
        <v>69</v>
      </c>
      <c r="M106" s="73"/>
      <c r="N106" s="73"/>
      <c r="O106" s="68"/>
      <c r="P106" s="67" t="s">
        <v>69</v>
      </c>
      <c r="Q106" s="73"/>
      <c r="R106" s="73"/>
      <c r="S106" s="68"/>
      <c r="T106" s="67"/>
      <c r="U106" s="73" t="s">
        <v>69</v>
      </c>
      <c r="V106" s="73"/>
      <c r="W106" s="68"/>
      <c r="X106" s="67"/>
      <c r="Y106" s="73" t="s">
        <v>69</v>
      </c>
      <c r="Z106" s="73"/>
      <c r="AA106" s="68"/>
      <c r="AB106" s="67" t="s">
        <v>69</v>
      </c>
      <c r="AC106" s="73"/>
      <c r="AD106" s="73"/>
      <c r="AE106" s="68"/>
      <c r="AF106" s="67"/>
      <c r="AG106" s="73" t="s">
        <v>69</v>
      </c>
      <c r="AH106" s="73"/>
      <c r="AI106" s="68"/>
      <c r="AJ106" s="67" t="s">
        <v>69</v>
      </c>
      <c r="AK106" s="73"/>
      <c r="AL106" s="73"/>
      <c r="AM106" s="68"/>
      <c r="AN106" s="73"/>
      <c r="AO106" s="73" t="s">
        <v>69</v>
      </c>
      <c r="AP106" s="73"/>
      <c r="AQ106" s="68"/>
      <c r="AR106" s="67">
        <f t="shared" si="42"/>
        <v>88</v>
      </c>
      <c r="AS106" s="68" t="str">
        <f t="shared" si="43"/>
        <v>S</v>
      </c>
      <c r="AV106" s="49">
        <f t="shared" si="79"/>
        <v>0</v>
      </c>
      <c r="AW106" s="49">
        <f t="shared" si="44"/>
        <v>1</v>
      </c>
      <c r="AX106" s="49">
        <f t="shared" si="45"/>
        <v>0</v>
      </c>
      <c r="AY106" s="49">
        <f t="shared" si="46"/>
        <v>0</v>
      </c>
      <c r="AZ106" s="49">
        <f t="shared" si="47"/>
        <v>1</v>
      </c>
      <c r="BA106" s="49">
        <f t="shared" si="48"/>
        <v>0</v>
      </c>
      <c r="BB106" s="49">
        <f t="shared" si="49"/>
        <v>0</v>
      </c>
      <c r="BC106" s="49">
        <f t="shared" si="50"/>
        <v>0</v>
      </c>
      <c r="BD106" s="49">
        <f t="shared" si="51"/>
        <v>1</v>
      </c>
      <c r="BE106" s="49">
        <f t="shared" si="52"/>
        <v>0</v>
      </c>
      <c r="BF106" s="49">
        <f t="shared" si="53"/>
        <v>0</v>
      </c>
      <c r="BG106" s="49">
        <f t="shared" si="54"/>
        <v>0</v>
      </c>
      <c r="BH106" s="49">
        <f t="shared" si="55"/>
        <v>0</v>
      </c>
      <c r="BI106" s="49">
        <f t="shared" si="56"/>
        <v>1</v>
      </c>
      <c r="BJ106" s="49">
        <f t="shared" si="57"/>
        <v>0</v>
      </c>
      <c r="BK106" s="49">
        <f t="shared" si="58"/>
        <v>0</v>
      </c>
      <c r="BL106" s="49">
        <f t="shared" si="59"/>
        <v>0</v>
      </c>
      <c r="BM106" s="49">
        <f t="shared" si="60"/>
        <v>1</v>
      </c>
      <c r="BN106" s="49">
        <f t="shared" si="61"/>
        <v>0</v>
      </c>
      <c r="BO106" s="49">
        <f t="shared" si="62"/>
        <v>0</v>
      </c>
      <c r="BP106" s="49">
        <f t="shared" si="63"/>
        <v>1</v>
      </c>
      <c r="BQ106" s="49">
        <f t="shared" si="64"/>
        <v>0</v>
      </c>
      <c r="BR106" s="49">
        <f t="shared" si="65"/>
        <v>0</v>
      </c>
      <c r="BS106" s="49">
        <f t="shared" si="66"/>
        <v>0</v>
      </c>
      <c r="BT106" s="49">
        <f t="shared" si="67"/>
        <v>0</v>
      </c>
      <c r="BU106" s="49">
        <f t="shared" si="68"/>
        <v>1</v>
      </c>
      <c r="BV106" s="49">
        <f t="shared" si="69"/>
        <v>0</v>
      </c>
      <c r="BW106" s="49">
        <f t="shared" si="70"/>
        <v>0</v>
      </c>
      <c r="BX106" s="49">
        <f t="shared" si="71"/>
        <v>1</v>
      </c>
      <c r="BY106" s="49">
        <f t="shared" si="72"/>
        <v>0</v>
      </c>
      <c r="BZ106" s="49">
        <f t="shared" si="73"/>
        <v>0</v>
      </c>
      <c r="CA106" s="49">
        <f t="shared" si="74"/>
        <v>0</v>
      </c>
      <c r="CB106" s="49">
        <f t="shared" si="75"/>
        <v>0</v>
      </c>
      <c r="CC106" s="49">
        <f t="shared" si="76"/>
        <v>1</v>
      </c>
      <c r="CD106" s="49">
        <f t="shared" si="77"/>
        <v>0</v>
      </c>
      <c r="CE106" s="49">
        <f t="shared" si="78"/>
        <v>0</v>
      </c>
    </row>
    <row r="107" spans="1:83" ht="35.1" customHeight="1" x14ac:dyDescent="0.3">
      <c r="A107" s="123" t="str">
        <f t="shared" si="40"/>
        <v>1팀</v>
      </c>
      <c r="B107" s="69">
        <f t="shared" si="41"/>
        <v>101</v>
      </c>
      <c r="C107" s="120" t="str">
        <f>IF(VLOOKUP($B107,'1. 현장별 인원현황'!$C:$J,2,0)=0,"",VLOOKUP($B107,'1. 현장별 인원현황'!$C:$J,2,0))</f>
        <v xml:space="preserve"> [1.부영] 김천혁신 2-1블럭 부영아파트 신축공사</v>
      </c>
      <c r="D107" s="70" t="str">
        <f>IF(VLOOKUP($B107,'1. 현장별 인원현황'!$C:$J,3,0)=0,"",VLOOKUP($B107,'1. 현장별 인원현황'!$C:$J,3,0))</f>
        <v>김광호</v>
      </c>
      <c r="E107" s="74" t="str">
        <f ca="1">IF(VLOOKUP($B107,'1. 현장별 인원현황'!$C:$J,4,0)=0,"",VLOOKUP($B107,'1. 현장별 인원현황'!$C:$J,4,0))</f>
        <v>61세</v>
      </c>
      <c r="F107" s="70" t="str">
        <f>IF(VLOOKUP($B107,'1. 현장별 인원현황'!$C:$J,7,0)=0,"",VLOOKUP($B107,'1. 현장별 인원현황'!$C:$J,7,0))</f>
        <v>기능공</v>
      </c>
      <c r="G107" s="72" t="str">
        <f>IF(VLOOKUP($B107,'1. 현장별 인원현황'!$C:$J,8,0)=0,"",VLOOKUP($B107,'1. 현장별 인원현황'!$C:$J,8,0))</f>
        <v>전공</v>
      </c>
      <c r="H107" s="67"/>
      <c r="I107" s="73" t="s">
        <v>69</v>
      </c>
      <c r="J107" s="73"/>
      <c r="K107" s="68"/>
      <c r="L107" s="67" t="s">
        <v>69</v>
      </c>
      <c r="M107" s="73"/>
      <c r="N107" s="73"/>
      <c r="O107" s="68"/>
      <c r="P107" s="67" t="s">
        <v>69</v>
      </c>
      <c r="Q107" s="73"/>
      <c r="R107" s="73"/>
      <c r="S107" s="68"/>
      <c r="T107" s="67"/>
      <c r="U107" s="73" t="s">
        <v>69</v>
      </c>
      <c r="V107" s="73"/>
      <c r="W107" s="68"/>
      <c r="X107" s="67"/>
      <c r="Y107" s="73" t="s">
        <v>69</v>
      </c>
      <c r="Z107" s="73"/>
      <c r="AA107" s="68"/>
      <c r="AB107" s="67"/>
      <c r="AC107" s="73" t="s">
        <v>69</v>
      </c>
      <c r="AD107" s="73"/>
      <c r="AE107" s="68"/>
      <c r="AF107" s="67" t="s">
        <v>69</v>
      </c>
      <c r="AG107" s="73"/>
      <c r="AH107" s="73"/>
      <c r="AI107" s="68"/>
      <c r="AJ107" s="67"/>
      <c r="AK107" s="73" t="s">
        <v>69</v>
      </c>
      <c r="AL107" s="73"/>
      <c r="AM107" s="68"/>
      <c r="AN107" s="73" t="s">
        <v>69</v>
      </c>
      <c r="AO107" s="73"/>
      <c r="AP107" s="73"/>
      <c r="AQ107" s="68"/>
      <c r="AR107" s="67">
        <f t="shared" si="42"/>
        <v>88</v>
      </c>
      <c r="AS107" s="68" t="str">
        <f t="shared" si="43"/>
        <v>S</v>
      </c>
      <c r="AV107" s="49">
        <f t="shared" si="79"/>
        <v>0</v>
      </c>
      <c r="AW107" s="49">
        <f t="shared" si="44"/>
        <v>1</v>
      </c>
      <c r="AX107" s="49">
        <f t="shared" si="45"/>
        <v>0</v>
      </c>
      <c r="AY107" s="49">
        <f t="shared" si="46"/>
        <v>0</v>
      </c>
      <c r="AZ107" s="49">
        <f t="shared" si="47"/>
        <v>1</v>
      </c>
      <c r="BA107" s="49">
        <f t="shared" si="48"/>
        <v>0</v>
      </c>
      <c r="BB107" s="49">
        <f t="shared" si="49"/>
        <v>0</v>
      </c>
      <c r="BC107" s="49">
        <f t="shared" si="50"/>
        <v>0</v>
      </c>
      <c r="BD107" s="49">
        <f t="shared" si="51"/>
        <v>1</v>
      </c>
      <c r="BE107" s="49">
        <f t="shared" si="52"/>
        <v>0</v>
      </c>
      <c r="BF107" s="49">
        <f t="shared" si="53"/>
        <v>0</v>
      </c>
      <c r="BG107" s="49">
        <f t="shared" si="54"/>
        <v>0</v>
      </c>
      <c r="BH107" s="49">
        <f t="shared" si="55"/>
        <v>0</v>
      </c>
      <c r="BI107" s="49">
        <f t="shared" si="56"/>
        <v>1</v>
      </c>
      <c r="BJ107" s="49">
        <f t="shared" si="57"/>
        <v>0</v>
      </c>
      <c r="BK107" s="49">
        <f t="shared" si="58"/>
        <v>0</v>
      </c>
      <c r="BL107" s="49">
        <f t="shared" si="59"/>
        <v>0</v>
      </c>
      <c r="BM107" s="49">
        <f t="shared" si="60"/>
        <v>1</v>
      </c>
      <c r="BN107" s="49">
        <f t="shared" si="61"/>
        <v>0</v>
      </c>
      <c r="BO107" s="49">
        <f t="shared" si="62"/>
        <v>0</v>
      </c>
      <c r="BP107" s="49">
        <f t="shared" si="63"/>
        <v>0</v>
      </c>
      <c r="BQ107" s="49">
        <f t="shared" si="64"/>
        <v>1</v>
      </c>
      <c r="BR107" s="49">
        <f t="shared" si="65"/>
        <v>0</v>
      </c>
      <c r="BS107" s="49">
        <f t="shared" si="66"/>
        <v>0</v>
      </c>
      <c r="BT107" s="49">
        <f t="shared" si="67"/>
        <v>1</v>
      </c>
      <c r="BU107" s="49">
        <f t="shared" si="68"/>
        <v>0</v>
      </c>
      <c r="BV107" s="49">
        <f t="shared" si="69"/>
        <v>0</v>
      </c>
      <c r="BW107" s="49">
        <f t="shared" si="70"/>
        <v>0</v>
      </c>
      <c r="BX107" s="49">
        <f t="shared" si="71"/>
        <v>0</v>
      </c>
      <c r="BY107" s="49">
        <f t="shared" si="72"/>
        <v>1</v>
      </c>
      <c r="BZ107" s="49">
        <f t="shared" si="73"/>
        <v>0</v>
      </c>
      <c r="CA107" s="49">
        <f t="shared" si="74"/>
        <v>0</v>
      </c>
      <c r="CB107" s="49">
        <f t="shared" si="75"/>
        <v>1</v>
      </c>
      <c r="CC107" s="49">
        <f t="shared" si="76"/>
        <v>0</v>
      </c>
      <c r="CD107" s="49">
        <f t="shared" si="77"/>
        <v>0</v>
      </c>
      <c r="CE107" s="49">
        <f t="shared" si="78"/>
        <v>0</v>
      </c>
    </row>
    <row r="108" spans="1:83" ht="35.1" customHeight="1" x14ac:dyDescent="0.3">
      <c r="A108" s="123" t="str">
        <f t="shared" si="40"/>
        <v>1팀</v>
      </c>
      <c r="B108" s="69">
        <f t="shared" si="41"/>
        <v>102</v>
      </c>
      <c r="C108" s="120" t="str">
        <f>IF(VLOOKUP($B108,'1. 현장별 인원현황'!$C:$J,2,0)=0,"",VLOOKUP($B108,'1. 현장별 인원현황'!$C:$J,2,0))</f>
        <v xml:space="preserve"> [1.부영] 김천혁신 2-1블럭 부영아파트 신축공사</v>
      </c>
      <c r="D108" s="70" t="str">
        <f>IF(VLOOKUP($B108,'1. 현장별 인원현황'!$C:$J,3,0)=0,"",VLOOKUP($B108,'1. 현장별 인원현황'!$C:$J,3,0))</f>
        <v>김동준</v>
      </c>
      <c r="E108" s="74" t="str">
        <f ca="1">IF(VLOOKUP($B108,'1. 현장별 인원현황'!$C:$J,4,0)=0,"",VLOOKUP($B108,'1. 현장별 인원현황'!$C:$J,4,0))</f>
        <v>44세</v>
      </c>
      <c r="F108" s="70" t="str">
        <f>IF(VLOOKUP($B108,'1. 현장별 인원현황'!$C:$J,7,0)=0,"",VLOOKUP($B108,'1. 현장별 인원현황'!$C:$J,7,0))</f>
        <v>기능공</v>
      </c>
      <c r="G108" s="72" t="str">
        <f>IF(VLOOKUP($B108,'1. 현장별 인원현황'!$C:$J,8,0)=0,"",VLOOKUP($B108,'1. 현장별 인원현황'!$C:$J,8,0))</f>
        <v>전공</v>
      </c>
      <c r="H108" s="67"/>
      <c r="I108" s="73" t="s">
        <v>69</v>
      </c>
      <c r="J108" s="73"/>
      <c r="K108" s="68"/>
      <c r="L108" s="67"/>
      <c r="M108" s="73" t="s">
        <v>69</v>
      </c>
      <c r="N108" s="73"/>
      <c r="O108" s="68"/>
      <c r="P108" s="67"/>
      <c r="Q108" s="73" t="s">
        <v>69</v>
      </c>
      <c r="R108" s="73"/>
      <c r="S108" s="68"/>
      <c r="T108" s="67"/>
      <c r="U108" s="73" t="s">
        <v>69</v>
      </c>
      <c r="V108" s="73"/>
      <c r="W108" s="68"/>
      <c r="X108" s="67"/>
      <c r="Y108" s="73" t="s">
        <v>69</v>
      </c>
      <c r="Z108" s="73"/>
      <c r="AA108" s="68"/>
      <c r="AB108" s="67"/>
      <c r="AC108" s="73" t="s">
        <v>69</v>
      </c>
      <c r="AD108" s="73"/>
      <c r="AE108" s="68"/>
      <c r="AF108" s="67"/>
      <c r="AG108" s="73" t="s">
        <v>69</v>
      </c>
      <c r="AH108" s="73"/>
      <c r="AI108" s="68"/>
      <c r="AJ108" s="67"/>
      <c r="AK108" s="73" t="s">
        <v>69</v>
      </c>
      <c r="AL108" s="73"/>
      <c r="AM108" s="68"/>
      <c r="AN108" s="73"/>
      <c r="AO108" s="73" t="s">
        <v>69</v>
      </c>
      <c r="AP108" s="73"/>
      <c r="AQ108" s="68"/>
      <c r="AR108" s="67">
        <f t="shared" si="42"/>
        <v>77</v>
      </c>
      <c r="AS108" s="68" t="str">
        <f t="shared" si="43"/>
        <v>A</v>
      </c>
      <c r="AV108" s="49">
        <f t="shared" si="79"/>
        <v>0</v>
      </c>
      <c r="AW108" s="49">
        <f t="shared" si="44"/>
        <v>1</v>
      </c>
      <c r="AX108" s="49">
        <f t="shared" si="45"/>
        <v>0</v>
      </c>
      <c r="AY108" s="49">
        <f t="shared" si="46"/>
        <v>0</v>
      </c>
      <c r="AZ108" s="49">
        <f t="shared" si="47"/>
        <v>0</v>
      </c>
      <c r="BA108" s="49">
        <f t="shared" si="48"/>
        <v>1</v>
      </c>
      <c r="BB108" s="49">
        <f t="shared" si="49"/>
        <v>0</v>
      </c>
      <c r="BC108" s="49">
        <f t="shared" si="50"/>
        <v>0</v>
      </c>
      <c r="BD108" s="49">
        <f t="shared" si="51"/>
        <v>0</v>
      </c>
      <c r="BE108" s="49">
        <f t="shared" si="52"/>
        <v>1</v>
      </c>
      <c r="BF108" s="49">
        <f t="shared" si="53"/>
        <v>0</v>
      </c>
      <c r="BG108" s="49">
        <f t="shared" si="54"/>
        <v>0</v>
      </c>
      <c r="BH108" s="49">
        <f t="shared" si="55"/>
        <v>0</v>
      </c>
      <c r="BI108" s="49">
        <f t="shared" si="56"/>
        <v>1</v>
      </c>
      <c r="BJ108" s="49">
        <f t="shared" si="57"/>
        <v>0</v>
      </c>
      <c r="BK108" s="49">
        <f t="shared" si="58"/>
        <v>0</v>
      </c>
      <c r="BL108" s="49">
        <f t="shared" si="59"/>
        <v>0</v>
      </c>
      <c r="BM108" s="49">
        <f t="shared" si="60"/>
        <v>1</v>
      </c>
      <c r="BN108" s="49">
        <f t="shared" si="61"/>
        <v>0</v>
      </c>
      <c r="BO108" s="49">
        <f t="shared" si="62"/>
        <v>0</v>
      </c>
      <c r="BP108" s="49">
        <f t="shared" si="63"/>
        <v>0</v>
      </c>
      <c r="BQ108" s="49">
        <f t="shared" si="64"/>
        <v>1</v>
      </c>
      <c r="BR108" s="49">
        <f t="shared" si="65"/>
        <v>0</v>
      </c>
      <c r="BS108" s="49">
        <f t="shared" si="66"/>
        <v>0</v>
      </c>
      <c r="BT108" s="49">
        <f t="shared" si="67"/>
        <v>0</v>
      </c>
      <c r="BU108" s="49">
        <f t="shared" si="68"/>
        <v>1</v>
      </c>
      <c r="BV108" s="49">
        <f t="shared" si="69"/>
        <v>0</v>
      </c>
      <c r="BW108" s="49">
        <f t="shared" si="70"/>
        <v>0</v>
      </c>
      <c r="BX108" s="49">
        <f t="shared" si="71"/>
        <v>0</v>
      </c>
      <c r="BY108" s="49">
        <f t="shared" si="72"/>
        <v>1</v>
      </c>
      <c r="BZ108" s="49">
        <f t="shared" si="73"/>
        <v>0</v>
      </c>
      <c r="CA108" s="49">
        <f t="shared" si="74"/>
        <v>0</v>
      </c>
      <c r="CB108" s="49">
        <f t="shared" si="75"/>
        <v>0</v>
      </c>
      <c r="CC108" s="49">
        <f t="shared" si="76"/>
        <v>1</v>
      </c>
      <c r="CD108" s="49">
        <f t="shared" si="77"/>
        <v>0</v>
      </c>
      <c r="CE108" s="49">
        <f t="shared" si="78"/>
        <v>0</v>
      </c>
    </row>
    <row r="109" spans="1:83" ht="35.1" customHeight="1" x14ac:dyDescent="0.3">
      <c r="A109" s="123" t="str">
        <f t="shared" si="40"/>
        <v>1팀</v>
      </c>
      <c r="B109" s="69">
        <f t="shared" si="41"/>
        <v>103</v>
      </c>
      <c r="C109" s="120" t="str">
        <f>IF(VLOOKUP($B109,'1. 현장별 인원현황'!$C:$J,2,0)=0,"",VLOOKUP($B109,'1. 현장별 인원현황'!$C:$J,2,0))</f>
        <v xml:space="preserve"> [1.부영] 김천혁신 2-1블럭 부영아파트 신축공사</v>
      </c>
      <c r="D109" s="70" t="str">
        <f>IF(VLOOKUP($B109,'1. 현장별 인원현황'!$C:$J,3,0)=0,"",VLOOKUP($B109,'1. 현장별 인원현황'!$C:$J,3,0))</f>
        <v>박상욱</v>
      </c>
      <c r="E109" s="74" t="str">
        <f ca="1">IF(VLOOKUP($B109,'1. 현장별 인원현황'!$C:$J,4,0)=0,"",VLOOKUP($B109,'1. 현장별 인원현황'!$C:$J,4,0))</f>
        <v>36세</v>
      </c>
      <c r="F109" s="70" t="str">
        <f>IF(VLOOKUP($B109,'1. 현장별 인원현황'!$C:$J,7,0)=0,"",VLOOKUP($B109,'1. 현장별 인원현황'!$C:$J,7,0))</f>
        <v>기능공</v>
      </c>
      <c r="G109" s="72" t="str">
        <f>IF(VLOOKUP($B109,'1. 현장별 인원현황'!$C:$J,8,0)=0,"",VLOOKUP($B109,'1. 현장별 인원현황'!$C:$J,8,0))</f>
        <v>전공</v>
      </c>
      <c r="H109" s="67"/>
      <c r="I109" s="73"/>
      <c r="J109" s="73" t="s">
        <v>69</v>
      </c>
      <c r="K109" s="68"/>
      <c r="L109" s="67"/>
      <c r="M109" s="73"/>
      <c r="N109" s="73" t="s">
        <v>69</v>
      </c>
      <c r="O109" s="68"/>
      <c r="P109" s="67"/>
      <c r="Q109" s="73" t="s">
        <v>69</v>
      </c>
      <c r="R109" s="73"/>
      <c r="S109" s="68"/>
      <c r="T109" s="67"/>
      <c r="U109" s="73"/>
      <c r="V109" s="73" t="s">
        <v>69</v>
      </c>
      <c r="W109" s="68"/>
      <c r="X109" s="67"/>
      <c r="Y109" s="73" t="s">
        <v>69</v>
      </c>
      <c r="Z109" s="73"/>
      <c r="AA109" s="68"/>
      <c r="AB109" s="67"/>
      <c r="AC109" s="73" t="s">
        <v>69</v>
      </c>
      <c r="AD109" s="73"/>
      <c r="AE109" s="68"/>
      <c r="AF109" s="67"/>
      <c r="AG109" s="73" t="s">
        <v>69</v>
      </c>
      <c r="AH109" s="73"/>
      <c r="AI109" s="68"/>
      <c r="AJ109" s="67"/>
      <c r="AK109" s="73"/>
      <c r="AL109" s="73" t="s">
        <v>69</v>
      </c>
      <c r="AM109" s="68"/>
      <c r="AN109" s="73" t="s">
        <v>69</v>
      </c>
      <c r="AO109" s="73"/>
      <c r="AP109" s="73"/>
      <c r="AQ109" s="68"/>
      <c r="AR109" s="67">
        <f t="shared" si="42"/>
        <v>69</v>
      </c>
      <c r="AS109" s="68" t="str">
        <f t="shared" si="43"/>
        <v>B</v>
      </c>
      <c r="AV109" s="49">
        <f t="shared" si="79"/>
        <v>0</v>
      </c>
      <c r="AW109" s="49">
        <f t="shared" si="44"/>
        <v>0</v>
      </c>
      <c r="AX109" s="49">
        <f t="shared" si="45"/>
        <v>1</v>
      </c>
      <c r="AY109" s="49">
        <f t="shared" si="46"/>
        <v>0</v>
      </c>
      <c r="AZ109" s="49">
        <f t="shared" si="47"/>
        <v>0</v>
      </c>
      <c r="BA109" s="49">
        <f t="shared" si="48"/>
        <v>0</v>
      </c>
      <c r="BB109" s="49">
        <f t="shared" si="49"/>
        <v>1</v>
      </c>
      <c r="BC109" s="49">
        <f t="shared" si="50"/>
        <v>0</v>
      </c>
      <c r="BD109" s="49">
        <f t="shared" si="51"/>
        <v>0</v>
      </c>
      <c r="BE109" s="49">
        <f t="shared" si="52"/>
        <v>1</v>
      </c>
      <c r="BF109" s="49">
        <f t="shared" si="53"/>
        <v>0</v>
      </c>
      <c r="BG109" s="49">
        <f t="shared" si="54"/>
        <v>0</v>
      </c>
      <c r="BH109" s="49">
        <f t="shared" si="55"/>
        <v>0</v>
      </c>
      <c r="BI109" s="49">
        <f t="shared" si="56"/>
        <v>0</v>
      </c>
      <c r="BJ109" s="49">
        <f t="shared" si="57"/>
        <v>1</v>
      </c>
      <c r="BK109" s="49">
        <f t="shared" si="58"/>
        <v>0</v>
      </c>
      <c r="BL109" s="49">
        <f t="shared" si="59"/>
        <v>0</v>
      </c>
      <c r="BM109" s="49">
        <f t="shared" si="60"/>
        <v>1</v>
      </c>
      <c r="BN109" s="49">
        <f t="shared" si="61"/>
        <v>0</v>
      </c>
      <c r="BO109" s="49">
        <f t="shared" si="62"/>
        <v>0</v>
      </c>
      <c r="BP109" s="49">
        <f t="shared" si="63"/>
        <v>0</v>
      </c>
      <c r="BQ109" s="49">
        <f t="shared" si="64"/>
        <v>1</v>
      </c>
      <c r="BR109" s="49">
        <f t="shared" si="65"/>
        <v>0</v>
      </c>
      <c r="BS109" s="49">
        <f t="shared" si="66"/>
        <v>0</v>
      </c>
      <c r="BT109" s="49">
        <f t="shared" si="67"/>
        <v>0</v>
      </c>
      <c r="BU109" s="49">
        <f t="shared" si="68"/>
        <v>1</v>
      </c>
      <c r="BV109" s="49">
        <f t="shared" si="69"/>
        <v>0</v>
      </c>
      <c r="BW109" s="49">
        <f t="shared" si="70"/>
        <v>0</v>
      </c>
      <c r="BX109" s="49">
        <f t="shared" si="71"/>
        <v>0</v>
      </c>
      <c r="BY109" s="49">
        <f t="shared" si="72"/>
        <v>0</v>
      </c>
      <c r="BZ109" s="49">
        <f t="shared" si="73"/>
        <v>1</v>
      </c>
      <c r="CA109" s="49">
        <f t="shared" si="74"/>
        <v>0</v>
      </c>
      <c r="CB109" s="49">
        <f t="shared" si="75"/>
        <v>1</v>
      </c>
      <c r="CC109" s="49">
        <f t="shared" si="76"/>
        <v>0</v>
      </c>
      <c r="CD109" s="49">
        <f t="shared" si="77"/>
        <v>0</v>
      </c>
      <c r="CE109" s="49">
        <f t="shared" si="78"/>
        <v>0</v>
      </c>
    </row>
    <row r="110" spans="1:83" ht="35.1" customHeight="1" x14ac:dyDescent="0.3">
      <c r="A110" s="123" t="str">
        <f t="shared" si="40"/>
        <v>1팀</v>
      </c>
      <c r="B110" s="69">
        <f t="shared" si="41"/>
        <v>104</v>
      </c>
      <c r="C110" s="120" t="str">
        <f>IF(VLOOKUP($B110,'1. 현장별 인원현황'!$C:$J,2,0)=0,"",VLOOKUP($B110,'1. 현장별 인원현황'!$C:$J,2,0))</f>
        <v xml:space="preserve"> [1.우미건설] 오산세교1차 우미린 아파트 전기공사(2공구)</v>
      </c>
      <c r="D110" s="70" t="str">
        <f>IF(VLOOKUP($B110,'1. 현장별 인원현황'!$C:$J,3,0)=0,"",VLOOKUP($B110,'1. 현장별 인원현황'!$C:$J,3,0))</f>
        <v>유영석</v>
      </c>
      <c r="E110" s="74" t="str">
        <f ca="1">IF(VLOOKUP($B110,'1. 현장별 인원현황'!$C:$J,4,0)=0,"",VLOOKUP($B110,'1. 현장별 인원현황'!$C:$J,4,0))</f>
        <v>26세</v>
      </c>
      <c r="F110" s="70" t="str">
        <f>IF(VLOOKUP($B110,'1. 현장별 인원현황'!$C:$J,7,0)=0,"",VLOOKUP($B110,'1. 현장별 인원현황'!$C:$J,7,0))</f>
        <v>공무</v>
      </c>
      <c r="G110" s="72" t="str">
        <f>IF(VLOOKUP($B110,'1. 현장별 인원현황'!$C:$J,8,0)=0,"",VLOOKUP($B110,'1. 현장별 인원현황'!$C:$J,8,0))</f>
        <v>기사</v>
      </c>
      <c r="H110" s="67"/>
      <c r="I110" s="73"/>
      <c r="J110" s="73" t="s">
        <v>69</v>
      </c>
      <c r="K110" s="68"/>
      <c r="L110" s="67" t="s">
        <v>69</v>
      </c>
      <c r="M110" s="73"/>
      <c r="N110" s="73"/>
      <c r="O110" s="68"/>
      <c r="P110" s="67" t="s">
        <v>69</v>
      </c>
      <c r="Q110" s="73"/>
      <c r="R110" s="73"/>
      <c r="S110" s="68"/>
      <c r="T110" s="67"/>
      <c r="U110" s="73" t="s">
        <v>69</v>
      </c>
      <c r="V110" s="73"/>
      <c r="W110" s="68"/>
      <c r="X110" s="67" t="s">
        <v>69</v>
      </c>
      <c r="Y110" s="73"/>
      <c r="Z110" s="73"/>
      <c r="AA110" s="68"/>
      <c r="AB110" s="67" t="s">
        <v>69</v>
      </c>
      <c r="AC110" s="73"/>
      <c r="AD110" s="73"/>
      <c r="AE110" s="68"/>
      <c r="AF110" s="67"/>
      <c r="AG110" s="73" t="s">
        <v>69</v>
      </c>
      <c r="AH110" s="73"/>
      <c r="AI110" s="68"/>
      <c r="AJ110" s="67" t="s">
        <v>69</v>
      </c>
      <c r="AK110" s="73"/>
      <c r="AL110" s="73"/>
      <c r="AM110" s="68"/>
      <c r="AN110" s="73" t="s">
        <v>69</v>
      </c>
      <c r="AO110" s="73"/>
      <c r="AP110" s="73"/>
      <c r="AQ110" s="68"/>
      <c r="AR110" s="67">
        <f t="shared" si="42"/>
        <v>90</v>
      </c>
      <c r="AS110" s="68" t="str">
        <f t="shared" si="43"/>
        <v>S</v>
      </c>
      <c r="AV110" s="49">
        <f t="shared" si="79"/>
        <v>0</v>
      </c>
      <c r="AW110" s="49">
        <f t="shared" si="44"/>
        <v>0</v>
      </c>
      <c r="AX110" s="49">
        <f t="shared" si="45"/>
        <v>1</v>
      </c>
      <c r="AY110" s="49">
        <f t="shared" si="46"/>
        <v>0</v>
      </c>
      <c r="AZ110" s="49">
        <f t="shared" si="47"/>
        <v>1</v>
      </c>
      <c r="BA110" s="49">
        <f t="shared" si="48"/>
        <v>0</v>
      </c>
      <c r="BB110" s="49">
        <f t="shared" si="49"/>
        <v>0</v>
      </c>
      <c r="BC110" s="49">
        <f t="shared" si="50"/>
        <v>0</v>
      </c>
      <c r="BD110" s="49">
        <f t="shared" si="51"/>
        <v>1</v>
      </c>
      <c r="BE110" s="49">
        <f t="shared" si="52"/>
        <v>0</v>
      </c>
      <c r="BF110" s="49">
        <f t="shared" si="53"/>
        <v>0</v>
      </c>
      <c r="BG110" s="49">
        <f t="shared" si="54"/>
        <v>0</v>
      </c>
      <c r="BH110" s="49">
        <f t="shared" si="55"/>
        <v>0</v>
      </c>
      <c r="BI110" s="49">
        <f t="shared" si="56"/>
        <v>1</v>
      </c>
      <c r="BJ110" s="49">
        <f t="shared" si="57"/>
        <v>0</v>
      </c>
      <c r="BK110" s="49">
        <f t="shared" si="58"/>
        <v>0</v>
      </c>
      <c r="BL110" s="49">
        <f t="shared" si="59"/>
        <v>1</v>
      </c>
      <c r="BM110" s="49">
        <f t="shared" si="60"/>
        <v>0</v>
      </c>
      <c r="BN110" s="49">
        <f t="shared" si="61"/>
        <v>0</v>
      </c>
      <c r="BO110" s="49">
        <f t="shared" si="62"/>
        <v>0</v>
      </c>
      <c r="BP110" s="49">
        <f t="shared" si="63"/>
        <v>1</v>
      </c>
      <c r="BQ110" s="49">
        <f t="shared" si="64"/>
        <v>0</v>
      </c>
      <c r="BR110" s="49">
        <f t="shared" si="65"/>
        <v>0</v>
      </c>
      <c r="BS110" s="49">
        <f t="shared" si="66"/>
        <v>0</v>
      </c>
      <c r="BT110" s="49">
        <f t="shared" si="67"/>
        <v>0</v>
      </c>
      <c r="BU110" s="49">
        <f t="shared" si="68"/>
        <v>1</v>
      </c>
      <c r="BV110" s="49">
        <f t="shared" si="69"/>
        <v>0</v>
      </c>
      <c r="BW110" s="49">
        <f t="shared" si="70"/>
        <v>0</v>
      </c>
      <c r="BX110" s="49">
        <f t="shared" si="71"/>
        <v>1</v>
      </c>
      <c r="BY110" s="49">
        <f t="shared" si="72"/>
        <v>0</v>
      </c>
      <c r="BZ110" s="49">
        <f t="shared" si="73"/>
        <v>0</v>
      </c>
      <c r="CA110" s="49">
        <f t="shared" si="74"/>
        <v>0</v>
      </c>
      <c r="CB110" s="49">
        <f t="shared" si="75"/>
        <v>1</v>
      </c>
      <c r="CC110" s="49">
        <f t="shared" si="76"/>
        <v>0</v>
      </c>
      <c r="CD110" s="49">
        <f t="shared" si="77"/>
        <v>0</v>
      </c>
      <c r="CE110" s="49">
        <f t="shared" si="78"/>
        <v>0</v>
      </c>
    </row>
    <row r="111" spans="1:83" ht="35.1" customHeight="1" x14ac:dyDescent="0.3">
      <c r="A111" s="123" t="str">
        <f t="shared" si="40"/>
        <v>1팀</v>
      </c>
      <c r="B111" s="69">
        <f t="shared" si="41"/>
        <v>105</v>
      </c>
      <c r="C111" s="120" t="str">
        <f>IF(VLOOKUP($B111,'1. 현장별 인원현황'!$C:$J,2,0)=0,"",VLOOKUP($B111,'1. 현장별 인원현황'!$C:$J,2,0))</f>
        <v xml:space="preserve"> [1.우미건설] 오산세교1차 우미린 아파트 전기공사(2공구)</v>
      </c>
      <c r="D111" s="70" t="str">
        <f>IF(VLOOKUP($B111,'1. 현장별 인원현황'!$C:$J,3,0)=0,"",VLOOKUP($B111,'1. 현장별 인원현황'!$C:$J,3,0))</f>
        <v>송헌</v>
      </c>
      <c r="E111" s="74" t="str">
        <f ca="1">IF(VLOOKUP($B111,'1. 현장별 인원현황'!$C:$J,4,0)=0,"",VLOOKUP($B111,'1. 현장별 인원현황'!$C:$J,4,0))</f>
        <v>64세</v>
      </c>
      <c r="F111" s="70" t="str">
        <f>IF(VLOOKUP($B111,'1. 현장별 인원현황'!$C:$J,7,0)=0,"",VLOOKUP($B111,'1. 현장별 인원현황'!$C:$J,7,0))</f>
        <v>공사</v>
      </c>
      <c r="G111" s="72" t="str">
        <f>IF(VLOOKUP($B111,'1. 현장별 인원현황'!$C:$J,8,0)=0,"",VLOOKUP($B111,'1. 현장별 인원현황'!$C:$J,8,0))</f>
        <v>과장</v>
      </c>
      <c r="H111" s="67" t="s">
        <v>69</v>
      </c>
      <c r="I111" s="73"/>
      <c r="J111" s="73"/>
      <c r="K111" s="68"/>
      <c r="L111" s="67" t="s">
        <v>69</v>
      </c>
      <c r="M111" s="73"/>
      <c r="N111" s="73"/>
      <c r="O111" s="68"/>
      <c r="P111" s="67" t="s">
        <v>69</v>
      </c>
      <c r="Q111" s="73"/>
      <c r="R111" s="73"/>
      <c r="S111" s="68"/>
      <c r="T111" s="67"/>
      <c r="U111" s="73" t="s">
        <v>69</v>
      </c>
      <c r="V111" s="73"/>
      <c r="W111" s="68"/>
      <c r="X111" s="67" t="s">
        <v>69</v>
      </c>
      <c r="Y111" s="73"/>
      <c r="Z111" s="73"/>
      <c r="AA111" s="68"/>
      <c r="AB111" s="67" t="s">
        <v>69</v>
      </c>
      <c r="AC111" s="73"/>
      <c r="AD111" s="73"/>
      <c r="AE111" s="68"/>
      <c r="AF111" s="67"/>
      <c r="AG111" s="73" t="s">
        <v>69</v>
      </c>
      <c r="AH111" s="73"/>
      <c r="AI111" s="68"/>
      <c r="AJ111" s="67"/>
      <c r="AK111" s="73" t="s">
        <v>69</v>
      </c>
      <c r="AL111" s="73"/>
      <c r="AM111" s="68"/>
      <c r="AN111" s="73" t="s">
        <v>69</v>
      </c>
      <c r="AO111" s="73"/>
      <c r="AP111" s="73"/>
      <c r="AQ111" s="68"/>
      <c r="AR111" s="67">
        <f t="shared" si="42"/>
        <v>93</v>
      </c>
      <c r="AS111" s="68" t="str">
        <f t="shared" si="43"/>
        <v>S</v>
      </c>
      <c r="AV111" s="49">
        <f t="shared" si="79"/>
        <v>1</v>
      </c>
      <c r="AW111" s="49">
        <f t="shared" si="44"/>
        <v>0</v>
      </c>
      <c r="AX111" s="49">
        <f t="shared" si="45"/>
        <v>0</v>
      </c>
      <c r="AY111" s="49">
        <f t="shared" si="46"/>
        <v>0</v>
      </c>
      <c r="AZ111" s="49">
        <f t="shared" si="47"/>
        <v>1</v>
      </c>
      <c r="BA111" s="49">
        <f t="shared" si="48"/>
        <v>0</v>
      </c>
      <c r="BB111" s="49">
        <f t="shared" si="49"/>
        <v>0</v>
      </c>
      <c r="BC111" s="49">
        <f t="shared" si="50"/>
        <v>0</v>
      </c>
      <c r="BD111" s="49">
        <f t="shared" si="51"/>
        <v>1</v>
      </c>
      <c r="BE111" s="49">
        <f t="shared" si="52"/>
        <v>0</v>
      </c>
      <c r="BF111" s="49">
        <f t="shared" si="53"/>
        <v>0</v>
      </c>
      <c r="BG111" s="49">
        <f t="shared" si="54"/>
        <v>0</v>
      </c>
      <c r="BH111" s="49">
        <f t="shared" si="55"/>
        <v>0</v>
      </c>
      <c r="BI111" s="49">
        <f t="shared" si="56"/>
        <v>1</v>
      </c>
      <c r="BJ111" s="49">
        <f t="shared" si="57"/>
        <v>0</v>
      </c>
      <c r="BK111" s="49">
        <f t="shared" si="58"/>
        <v>0</v>
      </c>
      <c r="BL111" s="49">
        <f t="shared" si="59"/>
        <v>1</v>
      </c>
      <c r="BM111" s="49">
        <f t="shared" si="60"/>
        <v>0</v>
      </c>
      <c r="BN111" s="49">
        <f t="shared" si="61"/>
        <v>0</v>
      </c>
      <c r="BO111" s="49">
        <f t="shared" si="62"/>
        <v>0</v>
      </c>
      <c r="BP111" s="49">
        <f t="shared" si="63"/>
        <v>1</v>
      </c>
      <c r="BQ111" s="49">
        <f t="shared" si="64"/>
        <v>0</v>
      </c>
      <c r="BR111" s="49">
        <f t="shared" si="65"/>
        <v>0</v>
      </c>
      <c r="BS111" s="49">
        <f t="shared" si="66"/>
        <v>0</v>
      </c>
      <c r="BT111" s="49">
        <f t="shared" si="67"/>
        <v>0</v>
      </c>
      <c r="BU111" s="49">
        <f t="shared" si="68"/>
        <v>1</v>
      </c>
      <c r="BV111" s="49">
        <f t="shared" si="69"/>
        <v>0</v>
      </c>
      <c r="BW111" s="49">
        <f t="shared" si="70"/>
        <v>0</v>
      </c>
      <c r="BX111" s="49">
        <f t="shared" si="71"/>
        <v>0</v>
      </c>
      <c r="BY111" s="49">
        <f t="shared" si="72"/>
        <v>1</v>
      </c>
      <c r="BZ111" s="49">
        <f t="shared" si="73"/>
        <v>0</v>
      </c>
      <c r="CA111" s="49">
        <f t="shared" si="74"/>
        <v>0</v>
      </c>
      <c r="CB111" s="49">
        <f t="shared" si="75"/>
        <v>1</v>
      </c>
      <c r="CC111" s="49">
        <f t="shared" si="76"/>
        <v>0</v>
      </c>
      <c r="CD111" s="49">
        <f t="shared" si="77"/>
        <v>0</v>
      </c>
      <c r="CE111" s="49">
        <f t="shared" si="78"/>
        <v>0</v>
      </c>
    </row>
    <row r="112" spans="1:83" ht="35.1" customHeight="1" x14ac:dyDescent="0.3">
      <c r="A112" s="123" t="str">
        <f t="shared" si="40"/>
        <v>1팀</v>
      </c>
      <c r="B112" s="69">
        <f t="shared" si="41"/>
        <v>106</v>
      </c>
      <c r="C112" s="120" t="str">
        <f>IF(VLOOKUP($B112,'1. 현장별 인원현황'!$C:$J,2,0)=0,"",VLOOKUP($B112,'1. 현장별 인원현황'!$C:$J,2,0))</f>
        <v xml:space="preserve"> [1.우미건설] 오산세교1차 우미린 아파트 전기공사(2공구)</v>
      </c>
      <c r="D112" s="70" t="str">
        <f>IF(VLOOKUP($B112,'1. 현장별 인원현황'!$C:$J,3,0)=0,"",VLOOKUP($B112,'1. 현장별 인원현황'!$C:$J,3,0))</f>
        <v>한광철</v>
      </c>
      <c r="E112" s="74" t="str">
        <f ca="1">IF(VLOOKUP($B112,'1. 현장별 인원현황'!$C:$J,4,0)=0,"",VLOOKUP($B112,'1. 현장별 인원현황'!$C:$J,4,0))</f>
        <v>63세</v>
      </c>
      <c r="F112" s="70" t="str">
        <f>IF(VLOOKUP($B112,'1. 현장별 인원현황'!$C:$J,7,0)=0,"",VLOOKUP($B112,'1. 현장별 인원현황'!$C:$J,7,0))</f>
        <v>기능공</v>
      </c>
      <c r="G112" s="72" t="str">
        <f>IF(VLOOKUP($B112,'1. 현장별 인원현황'!$C:$J,8,0)=0,"",VLOOKUP($B112,'1. 현장별 인원현황'!$C:$J,8,0))</f>
        <v>전공</v>
      </c>
      <c r="H112" s="67"/>
      <c r="I112" s="73" t="s">
        <v>69</v>
      </c>
      <c r="J112" s="73"/>
      <c r="K112" s="68"/>
      <c r="L112" s="67" t="s">
        <v>69</v>
      </c>
      <c r="M112" s="73"/>
      <c r="N112" s="73"/>
      <c r="O112" s="68"/>
      <c r="P112" s="67"/>
      <c r="Q112" s="73" t="s">
        <v>69</v>
      </c>
      <c r="R112" s="73"/>
      <c r="S112" s="68"/>
      <c r="T112" s="67"/>
      <c r="U112" s="73"/>
      <c r="V112" s="73" t="s">
        <v>69</v>
      </c>
      <c r="W112" s="68"/>
      <c r="X112" s="67" t="s">
        <v>69</v>
      </c>
      <c r="Y112" s="73"/>
      <c r="Z112" s="73"/>
      <c r="AA112" s="68"/>
      <c r="AB112" s="67"/>
      <c r="AC112" s="73" t="s">
        <v>69</v>
      </c>
      <c r="AD112" s="73"/>
      <c r="AE112" s="68"/>
      <c r="AF112" s="67"/>
      <c r="AG112" s="73" t="s">
        <v>69</v>
      </c>
      <c r="AH112" s="73"/>
      <c r="AI112" s="68"/>
      <c r="AJ112" s="67"/>
      <c r="AK112" s="73" t="s">
        <v>69</v>
      </c>
      <c r="AL112" s="73"/>
      <c r="AM112" s="68"/>
      <c r="AN112" s="73" t="s">
        <v>69</v>
      </c>
      <c r="AO112" s="73"/>
      <c r="AP112" s="73"/>
      <c r="AQ112" s="68"/>
      <c r="AR112" s="67">
        <f t="shared" si="42"/>
        <v>83</v>
      </c>
      <c r="AS112" s="68" t="str">
        <f t="shared" si="43"/>
        <v>A</v>
      </c>
      <c r="AV112" s="49">
        <f t="shared" si="79"/>
        <v>0</v>
      </c>
      <c r="AW112" s="49">
        <f t="shared" si="44"/>
        <v>1</v>
      </c>
      <c r="AX112" s="49">
        <f t="shared" si="45"/>
        <v>0</v>
      </c>
      <c r="AY112" s="49">
        <f t="shared" si="46"/>
        <v>0</v>
      </c>
      <c r="AZ112" s="49">
        <f t="shared" si="47"/>
        <v>1</v>
      </c>
      <c r="BA112" s="49">
        <f t="shared" si="48"/>
        <v>0</v>
      </c>
      <c r="BB112" s="49">
        <f t="shared" si="49"/>
        <v>0</v>
      </c>
      <c r="BC112" s="49">
        <f t="shared" si="50"/>
        <v>0</v>
      </c>
      <c r="BD112" s="49">
        <f t="shared" si="51"/>
        <v>0</v>
      </c>
      <c r="BE112" s="49">
        <f t="shared" si="52"/>
        <v>1</v>
      </c>
      <c r="BF112" s="49">
        <f t="shared" si="53"/>
        <v>0</v>
      </c>
      <c r="BG112" s="49">
        <f t="shared" si="54"/>
        <v>0</v>
      </c>
      <c r="BH112" s="49">
        <f t="shared" si="55"/>
        <v>0</v>
      </c>
      <c r="BI112" s="49">
        <f t="shared" si="56"/>
        <v>0</v>
      </c>
      <c r="BJ112" s="49">
        <f t="shared" si="57"/>
        <v>1</v>
      </c>
      <c r="BK112" s="49">
        <f t="shared" si="58"/>
        <v>0</v>
      </c>
      <c r="BL112" s="49">
        <f t="shared" si="59"/>
        <v>1</v>
      </c>
      <c r="BM112" s="49">
        <f t="shared" si="60"/>
        <v>0</v>
      </c>
      <c r="BN112" s="49">
        <f t="shared" si="61"/>
        <v>0</v>
      </c>
      <c r="BO112" s="49">
        <f t="shared" si="62"/>
        <v>0</v>
      </c>
      <c r="BP112" s="49">
        <f t="shared" si="63"/>
        <v>0</v>
      </c>
      <c r="BQ112" s="49">
        <f t="shared" si="64"/>
        <v>1</v>
      </c>
      <c r="BR112" s="49">
        <f t="shared" si="65"/>
        <v>0</v>
      </c>
      <c r="BS112" s="49">
        <f t="shared" si="66"/>
        <v>0</v>
      </c>
      <c r="BT112" s="49">
        <f t="shared" si="67"/>
        <v>0</v>
      </c>
      <c r="BU112" s="49">
        <f t="shared" si="68"/>
        <v>1</v>
      </c>
      <c r="BV112" s="49">
        <f t="shared" si="69"/>
        <v>0</v>
      </c>
      <c r="BW112" s="49">
        <f t="shared" si="70"/>
        <v>0</v>
      </c>
      <c r="BX112" s="49">
        <f t="shared" si="71"/>
        <v>0</v>
      </c>
      <c r="BY112" s="49">
        <f t="shared" si="72"/>
        <v>1</v>
      </c>
      <c r="BZ112" s="49">
        <f t="shared" si="73"/>
        <v>0</v>
      </c>
      <c r="CA112" s="49">
        <f t="shared" si="74"/>
        <v>0</v>
      </c>
      <c r="CB112" s="49">
        <f t="shared" si="75"/>
        <v>1</v>
      </c>
      <c r="CC112" s="49">
        <f t="shared" si="76"/>
        <v>0</v>
      </c>
      <c r="CD112" s="49">
        <f t="shared" si="77"/>
        <v>0</v>
      </c>
      <c r="CE112" s="49">
        <f t="shared" si="78"/>
        <v>0</v>
      </c>
    </row>
    <row r="113" spans="1:83" ht="35.1" customHeight="1" x14ac:dyDescent="0.3">
      <c r="A113" s="123" t="str">
        <f t="shared" si="40"/>
        <v>1팀</v>
      </c>
      <c r="B113" s="69">
        <f t="shared" si="41"/>
        <v>107</v>
      </c>
      <c r="C113" s="120" t="str">
        <f>IF(VLOOKUP($B113,'1. 현장별 인원현황'!$C:$J,2,0)=0,"",VLOOKUP($B113,'1. 현장별 인원현황'!$C:$J,2,0))</f>
        <v xml:space="preserve"> [1.중흥건설] 인천 검단지구 공동주택용지 AB20-2BL 중흥S-클래스 공동주택 신축공사</v>
      </c>
      <c r="D113" s="70" t="str">
        <f>IF(VLOOKUP($B113,'1. 현장별 인원현황'!$C:$J,3,0)=0,"",VLOOKUP($B113,'1. 현장별 인원현황'!$C:$J,3,0))</f>
        <v>장명훈</v>
      </c>
      <c r="E113" s="74" t="str">
        <f ca="1">IF(VLOOKUP($B113,'1. 현장별 인원현황'!$C:$J,4,0)=0,"",VLOOKUP($B113,'1. 현장별 인원현황'!$C:$J,4,0))</f>
        <v>43세</v>
      </c>
      <c r="F113" s="70" t="str">
        <f>IF(VLOOKUP($B113,'1. 현장별 인원현황'!$C:$J,7,0)=0,"",VLOOKUP($B113,'1. 현장별 인원현황'!$C:$J,7,0))</f>
        <v>공무</v>
      </c>
      <c r="G113" s="72" t="str">
        <f>IF(VLOOKUP($B113,'1. 현장별 인원현황'!$C:$J,8,0)=0,"",VLOOKUP($B113,'1. 현장별 인원현황'!$C:$J,8,0))</f>
        <v>과장</v>
      </c>
      <c r="H113" s="67" t="s">
        <v>69</v>
      </c>
      <c r="I113" s="73"/>
      <c r="J113" s="73"/>
      <c r="K113" s="68"/>
      <c r="L113" s="67"/>
      <c r="M113" s="73" t="s">
        <v>69</v>
      </c>
      <c r="N113" s="73"/>
      <c r="O113" s="68"/>
      <c r="P113" s="67" t="s">
        <v>69</v>
      </c>
      <c r="Q113" s="73"/>
      <c r="R113" s="73"/>
      <c r="S113" s="68"/>
      <c r="T113" s="67"/>
      <c r="U113" s="73" t="s">
        <v>69</v>
      </c>
      <c r="V113" s="73"/>
      <c r="W113" s="68"/>
      <c r="X113" s="67" t="s">
        <v>69</v>
      </c>
      <c r="Y113" s="73"/>
      <c r="Z113" s="73"/>
      <c r="AA113" s="68"/>
      <c r="AB113" s="67" t="s">
        <v>69</v>
      </c>
      <c r="AC113" s="73"/>
      <c r="AD113" s="73"/>
      <c r="AE113" s="68"/>
      <c r="AF113" s="67"/>
      <c r="AG113" s="73" t="s">
        <v>69</v>
      </c>
      <c r="AH113" s="73"/>
      <c r="AI113" s="68"/>
      <c r="AJ113" s="67"/>
      <c r="AK113" s="73" t="s">
        <v>69</v>
      </c>
      <c r="AL113" s="73"/>
      <c r="AM113" s="68"/>
      <c r="AN113" s="73"/>
      <c r="AO113" s="73" t="s">
        <v>69</v>
      </c>
      <c r="AP113" s="73"/>
      <c r="AQ113" s="68"/>
      <c r="AR113" s="67">
        <f t="shared" si="42"/>
        <v>87</v>
      </c>
      <c r="AS113" s="68" t="str">
        <f t="shared" si="43"/>
        <v>S</v>
      </c>
      <c r="AV113" s="49">
        <f t="shared" si="79"/>
        <v>1</v>
      </c>
      <c r="AW113" s="49">
        <f t="shared" si="44"/>
        <v>0</v>
      </c>
      <c r="AX113" s="49">
        <f t="shared" si="45"/>
        <v>0</v>
      </c>
      <c r="AY113" s="49">
        <f t="shared" si="46"/>
        <v>0</v>
      </c>
      <c r="AZ113" s="49">
        <f t="shared" si="47"/>
        <v>0</v>
      </c>
      <c r="BA113" s="49">
        <f t="shared" si="48"/>
        <v>1</v>
      </c>
      <c r="BB113" s="49">
        <f t="shared" si="49"/>
        <v>0</v>
      </c>
      <c r="BC113" s="49">
        <f t="shared" si="50"/>
        <v>0</v>
      </c>
      <c r="BD113" s="49">
        <f t="shared" si="51"/>
        <v>1</v>
      </c>
      <c r="BE113" s="49">
        <f t="shared" si="52"/>
        <v>0</v>
      </c>
      <c r="BF113" s="49">
        <f t="shared" si="53"/>
        <v>0</v>
      </c>
      <c r="BG113" s="49">
        <f t="shared" si="54"/>
        <v>0</v>
      </c>
      <c r="BH113" s="49">
        <f t="shared" si="55"/>
        <v>0</v>
      </c>
      <c r="BI113" s="49">
        <f t="shared" si="56"/>
        <v>1</v>
      </c>
      <c r="BJ113" s="49">
        <f t="shared" si="57"/>
        <v>0</v>
      </c>
      <c r="BK113" s="49">
        <f t="shared" si="58"/>
        <v>0</v>
      </c>
      <c r="BL113" s="49">
        <f t="shared" si="59"/>
        <v>1</v>
      </c>
      <c r="BM113" s="49">
        <f t="shared" si="60"/>
        <v>0</v>
      </c>
      <c r="BN113" s="49">
        <f t="shared" si="61"/>
        <v>0</v>
      </c>
      <c r="BO113" s="49">
        <f t="shared" si="62"/>
        <v>0</v>
      </c>
      <c r="BP113" s="49">
        <f t="shared" si="63"/>
        <v>1</v>
      </c>
      <c r="BQ113" s="49">
        <f t="shared" si="64"/>
        <v>0</v>
      </c>
      <c r="BR113" s="49">
        <f t="shared" si="65"/>
        <v>0</v>
      </c>
      <c r="BS113" s="49">
        <f t="shared" si="66"/>
        <v>0</v>
      </c>
      <c r="BT113" s="49">
        <f t="shared" si="67"/>
        <v>0</v>
      </c>
      <c r="BU113" s="49">
        <f t="shared" si="68"/>
        <v>1</v>
      </c>
      <c r="BV113" s="49">
        <f t="shared" si="69"/>
        <v>0</v>
      </c>
      <c r="BW113" s="49">
        <f t="shared" si="70"/>
        <v>0</v>
      </c>
      <c r="BX113" s="49">
        <f t="shared" si="71"/>
        <v>0</v>
      </c>
      <c r="BY113" s="49">
        <f t="shared" si="72"/>
        <v>1</v>
      </c>
      <c r="BZ113" s="49">
        <f t="shared" si="73"/>
        <v>0</v>
      </c>
      <c r="CA113" s="49">
        <f t="shared" si="74"/>
        <v>0</v>
      </c>
      <c r="CB113" s="49">
        <f t="shared" si="75"/>
        <v>0</v>
      </c>
      <c r="CC113" s="49">
        <f t="shared" si="76"/>
        <v>1</v>
      </c>
      <c r="CD113" s="49">
        <f t="shared" si="77"/>
        <v>0</v>
      </c>
      <c r="CE113" s="49">
        <f t="shared" si="78"/>
        <v>0</v>
      </c>
    </row>
    <row r="114" spans="1:83" ht="35.1" customHeight="1" x14ac:dyDescent="0.3">
      <c r="A114" s="123" t="str">
        <f t="shared" si="40"/>
        <v>1팀</v>
      </c>
      <c r="B114" s="69">
        <f t="shared" si="41"/>
        <v>108</v>
      </c>
      <c r="C114" s="120" t="str">
        <f>IF(VLOOKUP($B114,'1. 현장별 인원현황'!$C:$J,2,0)=0,"",VLOOKUP($B114,'1. 현장별 인원현황'!$C:$J,2,0))</f>
        <v xml:space="preserve"> [1.중흥건설] 인천 검단지구 공동주택용지 AB20-2BL 중흥S-클래스 공동주택 신축공사</v>
      </c>
      <c r="D114" s="70" t="str">
        <f>IF(VLOOKUP($B114,'1. 현장별 인원현황'!$C:$J,3,0)=0,"",VLOOKUP($B114,'1. 현장별 인원현황'!$C:$J,3,0))</f>
        <v>이유진</v>
      </c>
      <c r="E114" s="74" t="str">
        <f ca="1">IF(VLOOKUP($B114,'1. 현장별 인원현황'!$C:$J,4,0)=0,"",VLOOKUP($B114,'1. 현장별 인원현황'!$C:$J,4,0))</f>
        <v>37세</v>
      </c>
      <c r="F114" s="70" t="str">
        <f>IF(VLOOKUP($B114,'1. 현장별 인원현황'!$C:$J,7,0)=0,"",VLOOKUP($B114,'1. 현장별 인원현황'!$C:$J,7,0))</f>
        <v>공무</v>
      </c>
      <c r="G114" s="72" t="str">
        <f>IF(VLOOKUP($B114,'1. 현장별 인원현황'!$C:$J,8,0)=0,"",VLOOKUP($B114,'1. 현장별 인원현황'!$C:$J,8,0))</f>
        <v>대리</v>
      </c>
      <c r="H114" s="67"/>
      <c r="I114" s="73"/>
      <c r="J114" s="73" t="s">
        <v>69</v>
      </c>
      <c r="K114" s="68"/>
      <c r="L114" s="67"/>
      <c r="M114" s="73" t="s">
        <v>69</v>
      </c>
      <c r="N114" s="73"/>
      <c r="O114" s="68"/>
      <c r="P114" s="67"/>
      <c r="Q114" s="73" t="s">
        <v>69</v>
      </c>
      <c r="R114" s="73"/>
      <c r="S114" s="68"/>
      <c r="T114" s="67"/>
      <c r="U114" s="73"/>
      <c r="V114" s="73" t="s">
        <v>69</v>
      </c>
      <c r="W114" s="68"/>
      <c r="X114" s="67" t="s">
        <v>69</v>
      </c>
      <c r="Y114" s="73"/>
      <c r="Z114" s="73"/>
      <c r="AA114" s="68"/>
      <c r="AB114" s="67" t="s">
        <v>69</v>
      </c>
      <c r="AC114" s="73"/>
      <c r="AD114" s="73"/>
      <c r="AE114" s="68"/>
      <c r="AF114" s="67"/>
      <c r="AG114" s="73" t="s">
        <v>69</v>
      </c>
      <c r="AH114" s="73"/>
      <c r="AI114" s="68"/>
      <c r="AJ114" s="67"/>
      <c r="AK114" s="73" t="s">
        <v>69</v>
      </c>
      <c r="AL114" s="73"/>
      <c r="AM114" s="68"/>
      <c r="AN114" s="73"/>
      <c r="AO114" s="73" t="s">
        <v>69</v>
      </c>
      <c r="AP114" s="73"/>
      <c r="AQ114" s="68"/>
      <c r="AR114" s="67">
        <f t="shared" si="42"/>
        <v>76</v>
      </c>
      <c r="AS114" s="68" t="str">
        <f t="shared" si="43"/>
        <v>A</v>
      </c>
      <c r="AV114" s="49">
        <f t="shared" si="79"/>
        <v>0</v>
      </c>
      <c r="AW114" s="49">
        <f t="shared" si="44"/>
        <v>0</v>
      </c>
      <c r="AX114" s="49">
        <f t="shared" si="45"/>
        <v>1</v>
      </c>
      <c r="AY114" s="49">
        <f t="shared" si="46"/>
        <v>0</v>
      </c>
      <c r="AZ114" s="49">
        <f t="shared" si="47"/>
        <v>0</v>
      </c>
      <c r="BA114" s="49">
        <f t="shared" si="48"/>
        <v>1</v>
      </c>
      <c r="BB114" s="49">
        <f t="shared" si="49"/>
        <v>0</v>
      </c>
      <c r="BC114" s="49">
        <f t="shared" si="50"/>
        <v>0</v>
      </c>
      <c r="BD114" s="49">
        <f t="shared" si="51"/>
        <v>0</v>
      </c>
      <c r="BE114" s="49">
        <f t="shared" si="52"/>
        <v>1</v>
      </c>
      <c r="BF114" s="49">
        <f t="shared" si="53"/>
        <v>0</v>
      </c>
      <c r="BG114" s="49">
        <f t="shared" si="54"/>
        <v>0</v>
      </c>
      <c r="BH114" s="49">
        <f t="shared" si="55"/>
        <v>0</v>
      </c>
      <c r="BI114" s="49">
        <f t="shared" si="56"/>
        <v>0</v>
      </c>
      <c r="BJ114" s="49">
        <f t="shared" si="57"/>
        <v>1</v>
      </c>
      <c r="BK114" s="49">
        <f t="shared" si="58"/>
        <v>0</v>
      </c>
      <c r="BL114" s="49">
        <f t="shared" si="59"/>
        <v>1</v>
      </c>
      <c r="BM114" s="49">
        <f t="shared" si="60"/>
        <v>0</v>
      </c>
      <c r="BN114" s="49">
        <f t="shared" si="61"/>
        <v>0</v>
      </c>
      <c r="BO114" s="49">
        <f t="shared" si="62"/>
        <v>0</v>
      </c>
      <c r="BP114" s="49">
        <f t="shared" si="63"/>
        <v>1</v>
      </c>
      <c r="BQ114" s="49">
        <f t="shared" si="64"/>
        <v>0</v>
      </c>
      <c r="BR114" s="49">
        <f t="shared" si="65"/>
        <v>0</v>
      </c>
      <c r="BS114" s="49">
        <f t="shared" si="66"/>
        <v>0</v>
      </c>
      <c r="BT114" s="49">
        <f t="shared" si="67"/>
        <v>0</v>
      </c>
      <c r="BU114" s="49">
        <f t="shared" si="68"/>
        <v>1</v>
      </c>
      <c r="BV114" s="49">
        <f t="shared" si="69"/>
        <v>0</v>
      </c>
      <c r="BW114" s="49">
        <f t="shared" si="70"/>
        <v>0</v>
      </c>
      <c r="BX114" s="49">
        <f t="shared" si="71"/>
        <v>0</v>
      </c>
      <c r="BY114" s="49">
        <f t="shared" si="72"/>
        <v>1</v>
      </c>
      <c r="BZ114" s="49">
        <f t="shared" si="73"/>
        <v>0</v>
      </c>
      <c r="CA114" s="49">
        <f t="shared" si="74"/>
        <v>0</v>
      </c>
      <c r="CB114" s="49">
        <f t="shared" si="75"/>
        <v>0</v>
      </c>
      <c r="CC114" s="49">
        <f t="shared" si="76"/>
        <v>1</v>
      </c>
      <c r="CD114" s="49">
        <f t="shared" si="77"/>
        <v>0</v>
      </c>
      <c r="CE114" s="49">
        <f t="shared" si="78"/>
        <v>0</v>
      </c>
    </row>
    <row r="115" spans="1:83" ht="35.1" customHeight="1" x14ac:dyDescent="0.3">
      <c r="A115" s="123" t="str">
        <f t="shared" si="40"/>
        <v>1팀</v>
      </c>
      <c r="B115" s="69">
        <f t="shared" si="41"/>
        <v>109</v>
      </c>
      <c r="C115" s="120" t="str">
        <f>IF(VLOOKUP($B115,'1. 현장별 인원현황'!$C:$J,2,0)=0,"",VLOOKUP($B115,'1. 현장별 인원현황'!$C:$J,2,0))</f>
        <v xml:space="preserve"> [1.중흥건설] 인천 검단지구 공동주택용지 AB20-2BL 중흥S-클래스 공동주택 신축공사</v>
      </c>
      <c r="D115" s="70" t="str">
        <f>IF(VLOOKUP($B115,'1. 현장별 인원현황'!$C:$J,3,0)=0,"",VLOOKUP($B115,'1. 현장별 인원현황'!$C:$J,3,0))</f>
        <v>김창훈</v>
      </c>
      <c r="E115" s="74" t="str">
        <f ca="1">IF(VLOOKUP($B115,'1. 현장별 인원현황'!$C:$J,4,0)=0,"",VLOOKUP($B115,'1. 현장별 인원현황'!$C:$J,4,0))</f>
        <v>44세</v>
      </c>
      <c r="F115" s="70" t="str">
        <f>IF(VLOOKUP($B115,'1. 현장별 인원현황'!$C:$J,7,0)=0,"",VLOOKUP($B115,'1. 현장별 인원현황'!$C:$J,7,0))</f>
        <v>공사</v>
      </c>
      <c r="G115" s="72" t="str">
        <f>IF(VLOOKUP($B115,'1. 현장별 인원현황'!$C:$J,8,0)=0,"",VLOOKUP($B115,'1. 현장별 인원현황'!$C:$J,8,0))</f>
        <v>과장</v>
      </c>
      <c r="H115" s="67"/>
      <c r="I115" s="73" t="s">
        <v>69</v>
      </c>
      <c r="J115" s="73"/>
      <c r="K115" s="68"/>
      <c r="L115" s="67"/>
      <c r="M115" s="73" t="s">
        <v>69</v>
      </c>
      <c r="N115" s="73"/>
      <c r="O115" s="68"/>
      <c r="P115" s="67"/>
      <c r="Q115" s="73" t="s">
        <v>69</v>
      </c>
      <c r="R115" s="73"/>
      <c r="S115" s="68"/>
      <c r="T115" s="67"/>
      <c r="U115" s="73" t="s">
        <v>69</v>
      </c>
      <c r="V115" s="73"/>
      <c r="W115" s="68"/>
      <c r="X115" s="67" t="s">
        <v>69</v>
      </c>
      <c r="Y115" s="73"/>
      <c r="Z115" s="73"/>
      <c r="AA115" s="68"/>
      <c r="AB115" s="67" t="s">
        <v>69</v>
      </c>
      <c r="AC115" s="73"/>
      <c r="AD115" s="73"/>
      <c r="AE115" s="68"/>
      <c r="AF115" s="67"/>
      <c r="AG115" s="73" t="s">
        <v>69</v>
      </c>
      <c r="AH115" s="73"/>
      <c r="AI115" s="68"/>
      <c r="AJ115" s="67"/>
      <c r="AK115" s="73" t="s">
        <v>69</v>
      </c>
      <c r="AL115" s="73"/>
      <c r="AM115" s="68"/>
      <c r="AN115" s="73"/>
      <c r="AO115" s="73" t="s">
        <v>69</v>
      </c>
      <c r="AP115" s="73"/>
      <c r="AQ115" s="68"/>
      <c r="AR115" s="67">
        <f t="shared" si="42"/>
        <v>81</v>
      </c>
      <c r="AS115" s="68" t="str">
        <f t="shared" si="43"/>
        <v>A</v>
      </c>
      <c r="AV115" s="49">
        <f t="shared" si="79"/>
        <v>0</v>
      </c>
      <c r="AW115" s="49">
        <f t="shared" si="44"/>
        <v>1</v>
      </c>
      <c r="AX115" s="49">
        <f t="shared" si="45"/>
        <v>0</v>
      </c>
      <c r="AY115" s="49">
        <f t="shared" si="46"/>
        <v>0</v>
      </c>
      <c r="AZ115" s="49">
        <f t="shared" si="47"/>
        <v>0</v>
      </c>
      <c r="BA115" s="49">
        <f t="shared" si="48"/>
        <v>1</v>
      </c>
      <c r="BB115" s="49">
        <f t="shared" si="49"/>
        <v>0</v>
      </c>
      <c r="BC115" s="49">
        <f t="shared" si="50"/>
        <v>0</v>
      </c>
      <c r="BD115" s="49">
        <f t="shared" si="51"/>
        <v>0</v>
      </c>
      <c r="BE115" s="49">
        <f t="shared" si="52"/>
        <v>1</v>
      </c>
      <c r="BF115" s="49">
        <f t="shared" si="53"/>
        <v>0</v>
      </c>
      <c r="BG115" s="49">
        <f t="shared" si="54"/>
        <v>0</v>
      </c>
      <c r="BH115" s="49">
        <f t="shared" si="55"/>
        <v>0</v>
      </c>
      <c r="BI115" s="49">
        <f t="shared" si="56"/>
        <v>1</v>
      </c>
      <c r="BJ115" s="49">
        <f t="shared" si="57"/>
        <v>0</v>
      </c>
      <c r="BK115" s="49">
        <f t="shared" si="58"/>
        <v>0</v>
      </c>
      <c r="BL115" s="49">
        <f t="shared" si="59"/>
        <v>1</v>
      </c>
      <c r="BM115" s="49">
        <f t="shared" si="60"/>
        <v>0</v>
      </c>
      <c r="BN115" s="49">
        <f t="shared" si="61"/>
        <v>0</v>
      </c>
      <c r="BO115" s="49">
        <f t="shared" si="62"/>
        <v>0</v>
      </c>
      <c r="BP115" s="49">
        <f t="shared" si="63"/>
        <v>1</v>
      </c>
      <c r="BQ115" s="49">
        <f t="shared" si="64"/>
        <v>0</v>
      </c>
      <c r="BR115" s="49">
        <f t="shared" si="65"/>
        <v>0</v>
      </c>
      <c r="BS115" s="49">
        <f t="shared" si="66"/>
        <v>0</v>
      </c>
      <c r="BT115" s="49">
        <f t="shared" si="67"/>
        <v>0</v>
      </c>
      <c r="BU115" s="49">
        <f t="shared" si="68"/>
        <v>1</v>
      </c>
      <c r="BV115" s="49">
        <f t="shared" si="69"/>
        <v>0</v>
      </c>
      <c r="BW115" s="49">
        <f t="shared" si="70"/>
        <v>0</v>
      </c>
      <c r="BX115" s="49">
        <f t="shared" si="71"/>
        <v>0</v>
      </c>
      <c r="BY115" s="49">
        <f t="shared" si="72"/>
        <v>1</v>
      </c>
      <c r="BZ115" s="49">
        <f t="shared" si="73"/>
        <v>0</v>
      </c>
      <c r="CA115" s="49">
        <f t="shared" si="74"/>
        <v>0</v>
      </c>
      <c r="CB115" s="49">
        <f t="shared" si="75"/>
        <v>0</v>
      </c>
      <c r="CC115" s="49">
        <f t="shared" si="76"/>
        <v>1</v>
      </c>
      <c r="CD115" s="49">
        <f t="shared" si="77"/>
        <v>0</v>
      </c>
      <c r="CE115" s="49">
        <f t="shared" si="78"/>
        <v>0</v>
      </c>
    </row>
    <row r="116" spans="1:83" ht="35.1" customHeight="1" x14ac:dyDescent="0.3">
      <c r="A116" s="123" t="str">
        <f t="shared" si="40"/>
        <v>1팀</v>
      </c>
      <c r="B116" s="69">
        <f t="shared" si="41"/>
        <v>110</v>
      </c>
      <c r="C116" s="120" t="str">
        <f>IF(VLOOKUP($B116,'1. 현장별 인원현황'!$C:$J,2,0)=0,"",VLOOKUP($B116,'1. 현장별 인원현황'!$C:$J,2,0))</f>
        <v xml:space="preserve"> [1.중흥건설] 인천 검단지구 공동주택용지 AB20-2BL 중흥S-클래스 공동주택 신축공사</v>
      </c>
      <c r="D116" s="70" t="str">
        <f>IF(VLOOKUP($B116,'1. 현장별 인원현황'!$C:$J,3,0)=0,"",VLOOKUP($B116,'1. 현장별 인원현황'!$C:$J,3,0))</f>
        <v>임대복</v>
      </c>
      <c r="E116" s="74" t="str">
        <f ca="1">IF(VLOOKUP($B116,'1. 현장별 인원현황'!$C:$J,4,0)=0,"",VLOOKUP($B116,'1. 현장별 인원현황'!$C:$J,4,0))</f>
        <v>43세</v>
      </c>
      <c r="F116" s="70" t="str">
        <f>IF(VLOOKUP($B116,'1. 현장별 인원현황'!$C:$J,7,0)=0,"",VLOOKUP($B116,'1. 현장별 인원현황'!$C:$J,7,0))</f>
        <v>기능공</v>
      </c>
      <c r="G116" s="72" t="str">
        <f>IF(VLOOKUP($B116,'1. 현장별 인원현황'!$C:$J,8,0)=0,"",VLOOKUP($B116,'1. 현장별 인원현황'!$C:$J,8,0))</f>
        <v>전공</v>
      </c>
      <c r="H116" s="67"/>
      <c r="I116" s="73" t="s">
        <v>69</v>
      </c>
      <c r="J116" s="73"/>
      <c r="K116" s="68"/>
      <c r="L116" s="67"/>
      <c r="M116" s="73" t="s">
        <v>69</v>
      </c>
      <c r="N116" s="73"/>
      <c r="O116" s="68"/>
      <c r="P116" s="67" t="s">
        <v>69</v>
      </c>
      <c r="Q116" s="73"/>
      <c r="R116" s="73"/>
      <c r="S116" s="68"/>
      <c r="T116" s="67"/>
      <c r="U116" s="73" t="s">
        <v>69</v>
      </c>
      <c r="V116" s="73"/>
      <c r="W116" s="68"/>
      <c r="X116" s="67" t="s">
        <v>69</v>
      </c>
      <c r="Y116" s="73"/>
      <c r="Z116" s="73"/>
      <c r="AA116" s="68"/>
      <c r="AB116" s="67" t="s">
        <v>69</v>
      </c>
      <c r="AC116" s="73"/>
      <c r="AD116" s="73"/>
      <c r="AE116" s="68"/>
      <c r="AF116" s="67" t="s">
        <v>69</v>
      </c>
      <c r="AG116" s="73"/>
      <c r="AH116" s="73"/>
      <c r="AI116" s="68"/>
      <c r="AJ116" s="67"/>
      <c r="AK116" s="73" t="s">
        <v>69</v>
      </c>
      <c r="AL116" s="73"/>
      <c r="AM116" s="68"/>
      <c r="AN116" s="73"/>
      <c r="AO116" s="73" t="s">
        <v>69</v>
      </c>
      <c r="AP116" s="73"/>
      <c r="AQ116" s="68"/>
      <c r="AR116" s="67">
        <f t="shared" si="42"/>
        <v>86</v>
      </c>
      <c r="AS116" s="68" t="str">
        <f t="shared" si="43"/>
        <v>S</v>
      </c>
      <c r="AV116" s="49">
        <f t="shared" si="79"/>
        <v>0</v>
      </c>
      <c r="AW116" s="49">
        <f t="shared" si="44"/>
        <v>1</v>
      </c>
      <c r="AX116" s="49">
        <f t="shared" si="45"/>
        <v>0</v>
      </c>
      <c r="AY116" s="49">
        <f t="shared" si="46"/>
        <v>0</v>
      </c>
      <c r="AZ116" s="49">
        <f t="shared" si="47"/>
        <v>0</v>
      </c>
      <c r="BA116" s="49">
        <f t="shared" si="48"/>
        <v>1</v>
      </c>
      <c r="BB116" s="49">
        <f t="shared" si="49"/>
        <v>0</v>
      </c>
      <c r="BC116" s="49">
        <f t="shared" si="50"/>
        <v>0</v>
      </c>
      <c r="BD116" s="49">
        <f t="shared" si="51"/>
        <v>1</v>
      </c>
      <c r="BE116" s="49">
        <f t="shared" si="52"/>
        <v>0</v>
      </c>
      <c r="BF116" s="49">
        <f t="shared" si="53"/>
        <v>0</v>
      </c>
      <c r="BG116" s="49">
        <f t="shared" si="54"/>
        <v>0</v>
      </c>
      <c r="BH116" s="49">
        <f t="shared" si="55"/>
        <v>0</v>
      </c>
      <c r="BI116" s="49">
        <f t="shared" si="56"/>
        <v>1</v>
      </c>
      <c r="BJ116" s="49">
        <f t="shared" si="57"/>
        <v>0</v>
      </c>
      <c r="BK116" s="49">
        <f t="shared" si="58"/>
        <v>0</v>
      </c>
      <c r="BL116" s="49">
        <f t="shared" si="59"/>
        <v>1</v>
      </c>
      <c r="BM116" s="49">
        <f t="shared" si="60"/>
        <v>0</v>
      </c>
      <c r="BN116" s="49">
        <f t="shared" si="61"/>
        <v>0</v>
      </c>
      <c r="BO116" s="49">
        <f t="shared" si="62"/>
        <v>0</v>
      </c>
      <c r="BP116" s="49">
        <f t="shared" si="63"/>
        <v>1</v>
      </c>
      <c r="BQ116" s="49">
        <f t="shared" si="64"/>
        <v>0</v>
      </c>
      <c r="BR116" s="49">
        <f t="shared" si="65"/>
        <v>0</v>
      </c>
      <c r="BS116" s="49">
        <f t="shared" si="66"/>
        <v>0</v>
      </c>
      <c r="BT116" s="49">
        <f t="shared" si="67"/>
        <v>1</v>
      </c>
      <c r="BU116" s="49">
        <f t="shared" si="68"/>
        <v>0</v>
      </c>
      <c r="BV116" s="49">
        <f t="shared" si="69"/>
        <v>0</v>
      </c>
      <c r="BW116" s="49">
        <f t="shared" si="70"/>
        <v>0</v>
      </c>
      <c r="BX116" s="49">
        <f t="shared" si="71"/>
        <v>0</v>
      </c>
      <c r="BY116" s="49">
        <f t="shared" si="72"/>
        <v>1</v>
      </c>
      <c r="BZ116" s="49">
        <f t="shared" si="73"/>
        <v>0</v>
      </c>
      <c r="CA116" s="49">
        <f t="shared" si="74"/>
        <v>0</v>
      </c>
      <c r="CB116" s="49">
        <f t="shared" si="75"/>
        <v>0</v>
      </c>
      <c r="CC116" s="49">
        <f t="shared" si="76"/>
        <v>1</v>
      </c>
      <c r="CD116" s="49">
        <f t="shared" si="77"/>
        <v>0</v>
      </c>
      <c r="CE116" s="49">
        <f t="shared" si="78"/>
        <v>0</v>
      </c>
    </row>
    <row r="117" spans="1:83" ht="35.1" customHeight="1" x14ac:dyDescent="0.3">
      <c r="A117" s="123" t="str">
        <f t="shared" si="40"/>
        <v>1팀</v>
      </c>
      <c r="B117" s="69">
        <f t="shared" si="41"/>
        <v>111</v>
      </c>
      <c r="C117" s="120" t="str">
        <f>IF(VLOOKUP($B117,'1. 현장별 인원현황'!$C:$J,2,0)=0,"",VLOOKUP($B117,'1. 현장별 인원현황'!$C:$J,2,0))</f>
        <v xml:space="preserve"> [1.중흥건설] 인천 검단지구 공동주택용지 AB20-2BL 중흥S-클래스 공동주택 신축공사</v>
      </c>
      <c r="D117" s="70" t="str">
        <f>IF(VLOOKUP($B117,'1. 현장별 인원현황'!$C:$J,3,0)=0,"",VLOOKUP($B117,'1. 현장별 인원현황'!$C:$J,3,0))</f>
        <v>오원호</v>
      </c>
      <c r="E117" s="74" t="str">
        <f ca="1">IF(VLOOKUP($B117,'1. 현장별 인원현황'!$C:$J,4,0)=0,"",VLOOKUP($B117,'1. 현장별 인원현황'!$C:$J,4,0))</f>
        <v>32세</v>
      </c>
      <c r="F117" s="70" t="str">
        <f>IF(VLOOKUP($B117,'1. 현장별 인원현황'!$C:$J,7,0)=0,"",VLOOKUP($B117,'1. 현장별 인원현황'!$C:$J,7,0))</f>
        <v>기능공</v>
      </c>
      <c r="G117" s="72" t="str">
        <f>IF(VLOOKUP($B117,'1. 현장별 인원현황'!$C:$J,8,0)=0,"",VLOOKUP($B117,'1. 현장별 인원현황'!$C:$J,8,0))</f>
        <v>전공</v>
      </c>
      <c r="H117" s="67"/>
      <c r="I117" s="73" t="s">
        <v>69</v>
      </c>
      <c r="J117" s="73"/>
      <c r="K117" s="68"/>
      <c r="L117" s="67"/>
      <c r="M117" s="73" t="s">
        <v>69</v>
      </c>
      <c r="N117" s="73"/>
      <c r="O117" s="68"/>
      <c r="P117" s="67" t="s">
        <v>69</v>
      </c>
      <c r="Q117" s="73"/>
      <c r="R117" s="73"/>
      <c r="S117" s="68"/>
      <c r="T117" s="67"/>
      <c r="U117" s="73" t="s">
        <v>69</v>
      </c>
      <c r="V117" s="73"/>
      <c r="W117" s="68"/>
      <c r="X117" s="67" t="s">
        <v>69</v>
      </c>
      <c r="Y117" s="73"/>
      <c r="Z117" s="73"/>
      <c r="AA117" s="68"/>
      <c r="AB117" s="67" t="s">
        <v>69</v>
      </c>
      <c r="AC117" s="73"/>
      <c r="AD117" s="73"/>
      <c r="AE117" s="68"/>
      <c r="AF117" s="67"/>
      <c r="AG117" s="73" t="s">
        <v>69</v>
      </c>
      <c r="AH117" s="73"/>
      <c r="AI117" s="68"/>
      <c r="AJ117" s="67"/>
      <c r="AK117" s="73" t="s">
        <v>69</v>
      </c>
      <c r="AL117" s="73"/>
      <c r="AM117" s="68"/>
      <c r="AN117" s="73"/>
      <c r="AO117" s="73" t="s">
        <v>69</v>
      </c>
      <c r="AP117" s="73"/>
      <c r="AQ117" s="68"/>
      <c r="AR117" s="67">
        <f t="shared" si="42"/>
        <v>84</v>
      </c>
      <c r="AS117" s="68" t="str">
        <f t="shared" si="43"/>
        <v>A</v>
      </c>
      <c r="AV117" s="49">
        <f t="shared" si="79"/>
        <v>0</v>
      </c>
      <c r="AW117" s="49">
        <f t="shared" si="44"/>
        <v>1</v>
      </c>
      <c r="AX117" s="49">
        <f t="shared" si="45"/>
        <v>0</v>
      </c>
      <c r="AY117" s="49">
        <f t="shared" si="46"/>
        <v>0</v>
      </c>
      <c r="AZ117" s="49">
        <f t="shared" si="47"/>
        <v>0</v>
      </c>
      <c r="BA117" s="49">
        <f t="shared" si="48"/>
        <v>1</v>
      </c>
      <c r="BB117" s="49">
        <f t="shared" si="49"/>
        <v>0</v>
      </c>
      <c r="BC117" s="49">
        <f t="shared" si="50"/>
        <v>0</v>
      </c>
      <c r="BD117" s="49">
        <f t="shared" si="51"/>
        <v>1</v>
      </c>
      <c r="BE117" s="49">
        <f t="shared" si="52"/>
        <v>0</v>
      </c>
      <c r="BF117" s="49">
        <f t="shared" si="53"/>
        <v>0</v>
      </c>
      <c r="BG117" s="49">
        <f t="shared" si="54"/>
        <v>0</v>
      </c>
      <c r="BH117" s="49">
        <f t="shared" si="55"/>
        <v>0</v>
      </c>
      <c r="BI117" s="49">
        <f t="shared" si="56"/>
        <v>1</v>
      </c>
      <c r="BJ117" s="49">
        <f t="shared" si="57"/>
        <v>0</v>
      </c>
      <c r="BK117" s="49">
        <f t="shared" si="58"/>
        <v>0</v>
      </c>
      <c r="BL117" s="49">
        <f t="shared" si="59"/>
        <v>1</v>
      </c>
      <c r="BM117" s="49">
        <f t="shared" si="60"/>
        <v>0</v>
      </c>
      <c r="BN117" s="49">
        <f t="shared" si="61"/>
        <v>0</v>
      </c>
      <c r="BO117" s="49">
        <f t="shared" si="62"/>
        <v>0</v>
      </c>
      <c r="BP117" s="49">
        <f t="shared" si="63"/>
        <v>1</v>
      </c>
      <c r="BQ117" s="49">
        <f t="shared" si="64"/>
        <v>0</v>
      </c>
      <c r="BR117" s="49">
        <f t="shared" si="65"/>
        <v>0</v>
      </c>
      <c r="BS117" s="49">
        <f t="shared" si="66"/>
        <v>0</v>
      </c>
      <c r="BT117" s="49">
        <f t="shared" si="67"/>
        <v>0</v>
      </c>
      <c r="BU117" s="49">
        <f t="shared" si="68"/>
        <v>1</v>
      </c>
      <c r="BV117" s="49">
        <f t="shared" si="69"/>
        <v>0</v>
      </c>
      <c r="BW117" s="49">
        <f t="shared" si="70"/>
        <v>0</v>
      </c>
      <c r="BX117" s="49">
        <f t="shared" si="71"/>
        <v>0</v>
      </c>
      <c r="BY117" s="49">
        <f t="shared" si="72"/>
        <v>1</v>
      </c>
      <c r="BZ117" s="49">
        <f t="shared" si="73"/>
        <v>0</v>
      </c>
      <c r="CA117" s="49">
        <f t="shared" si="74"/>
        <v>0</v>
      </c>
      <c r="CB117" s="49">
        <f t="shared" si="75"/>
        <v>0</v>
      </c>
      <c r="CC117" s="49">
        <f t="shared" si="76"/>
        <v>1</v>
      </c>
      <c r="CD117" s="49">
        <f t="shared" si="77"/>
        <v>0</v>
      </c>
      <c r="CE117" s="49">
        <f t="shared" si="78"/>
        <v>0</v>
      </c>
    </row>
    <row r="118" spans="1:83" ht="35.1" customHeight="1" x14ac:dyDescent="0.3">
      <c r="A118" s="123" t="str">
        <f t="shared" si="40"/>
        <v>1팀</v>
      </c>
      <c r="B118" s="69">
        <f t="shared" si="41"/>
        <v>112</v>
      </c>
      <c r="C118" s="120" t="str">
        <f>IF(VLOOKUP($B118,'1. 현장별 인원현황'!$C:$J,2,0)=0,"",VLOOKUP($B118,'1. 현장별 인원현황'!$C:$J,2,0))</f>
        <v xml:space="preserve"> [1.중흥건설] 인천 검단지구 공동주택용지 AB20-2BL 중흥S-클래스 공동주택 신축공사</v>
      </c>
      <c r="D118" s="70" t="str">
        <f>IF(VLOOKUP($B118,'1. 현장별 인원현황'!$C:$J,3,0)=0,"",VLOOKUP($B118,'1. 현장별 인원현황'!$C:$J,3,0))</f>
        <v>최윤호</v>
      </c>
      <c r="E118" s="74" t="str">
        <f ca="1">IF(VLOOKUP($B118,'1. 현장별 인원현황'!$C:$J,4,0)=0,"",VLOOKUP($B118,'1. 현장별 인원현황'!$C:$J,4,0))</f>
        <v>25세</v>
      </c>
      <c r="F118" s="70" t="str">
        <f>IF(VLOOKUP($B118,'1. 현장별 인원현황'!$C:$J,7,0)=0,"",VLOOKUP($B118,'1. 현장별 인원현황'!$C:$J,7,0))</f>
        <v>기능공</v>
      </c>
      <c r="G118" s="72" t="str">
        <f>IF(VLOOKUP($B118,'1. 현장별 인원현황'!$C:$J,8,0)=0,"",VLOOKUP($B118,'1. 현장별 인원현황'!$C:$J,8,0))</f>
        <v>전공</v>
      </c>
      <c r="H118" s="67"/>
      <c r="I118" s="73" t="s">
        <v>69</v>
      </c>
      <c r="J118" s="73"/>
      <c r="K118" s="68"/>
      <c r="L118" s="67"/>
      <c r="M118" s="73" t="s">
        <v>69</v>
      </c>
      <c r="N118" s="73"/>
      <c r="O118" s="68"/>
      <c r="P118" s="67"/>
      <c r="Q118" s="73" t="s">
        <v>69</v>
      </c>
      <c r="R118" s="73"/>
      <c r="S118" s="68"/>
      <c r="T118" s="67"/>
      <c r="U118" s="73" t="s">
        <v>69</v>
      </c>
      <c r="V118" s="73"/>
      <c r="W118" s="68"/>
      <c r="X118" s="67" t="s">
        <v>69</v>
      </c>
      <c r="Y118" s="73"/>
      <c r="Z118" s="73"/>
      <c r="AA118" s="68"/>
      <c r="AB118" s="67"/>
      <c r="AC118" s="73" t="s">
        <v>69</v>
      </c>
      <c r="AD118" s="73"/>
      <c r="AE118" s="68"/>
      <c r="AF118" s="67"/>
      <c r="AG118" s="73" t="s">
        <v>69</v>
      </c>
      <c r="AH118" s="73"/>
      <c r="AI118" s="68"/>
      <c r="AJ118" s="67"/>
      <c r="AK118" s="73" t="s">
        <v>69</v>
      </c>
      <c r="AL118" s="73"/>
      <c r="AM118" s="68"/>
      <c r="AN118" s="73"/>
      <c r="AO118" s="73" t="s">
        <v>69</v>
      </c>
      <c r="AP118" s="73"/>
      <c r="AQ118" s="68"/>
      <c r="AR118" s="67">
        <f t="shared" si="42"/>
        <v>79</v>
      </c>
      <c r="AS118" s="68" t="str">
        <f t="shared" si="43"/>
        <v>A</v>
      </c>
      <c r="AV118" s="49">
        <f t="shared" si="79"/>
        <v>0</v>
      </c>
      <c r="AW118" s="49">
        <f t="shared" si="44"/>
        <v>1</v>
      </c>
      <c r="AX118" s="49">
        <f t="shared" si="45"/>
        <v>0</v>
      </c>
      <c r="AY118" s="49">
        <f t="shared" si="46"/>
        <v>0</v>
      </c>
      <c r="AZ118" s="49">
        <f t="shared" si="47"/>
        <v>0</v>
      </c>
      <c r="BA118" s="49">
        <f t="shared" si="48"/>
        <v>1</v>
      </c>
      <c r="BB118" s="49">
        <f t="shared" si="49"/>
        <v>0</v>
      </c>
      <c r="BC118" s="49">
        <f t="shared" si="50"/>
        <v>0</v>
      </c>
      <c r="BD118" s="49">
        <f t="shared" si="51"/>
        <v>0</v>
      </c>
      <c r="BE118" s="49">
        <f t="shared" si="52"/>
        <v>1</v>
      </c>
      <c r="BF118" s="49">
        <f t="shared" si="53"/>
        <v>0</v>
      </c>
      <c r="BG118" s="49">
        <f t="shared" si="54"/>
        <v>0</v>
      </c>
      <c r="BH118" s="49">
        <f t="shared" si="55"/>
        <v>0</v>
      </c>
      <c r="BI118" s="49">
        <f t="shared" si="56"/>
        <v>1</v>
      </c>
      <c r="BJ118" s="49">
        <f t="shared" si="57"/>
        <v>0</v>
      </c>
      <c r="BK118" s="49">
        <f t="shared" si="58"/>
        <v>0</v>
      </c>
      <c r="BL118" s="49">
        <f t="shared" si="59"/>
        <v>1</v>
      </c>
      <c r="BM118" s="49">
        <f t="shared" si="60"/>
        <v>0</v>
      </c>
      <c r="BN118" s="49">
        <f t="shared" si="61"/>
        <v>0</v>
      </c>
      <c r="BO118" s="49">
        <f t="shared" si="62"/>
        <v>0</v>
      </c>
      <c r="BP118" s="49">
        <f t="shared" si="63"/>
        <v>0</v>
      </c>
      <c r="BQ118" s="49">
        <f t="shared" si="64"/>
        <v>1</v>
      </c>
      <c r="BR118" s="49">
        <f t="shared" si="65"/>
        <v>0</v>
      </c>
      <c r="BS118" s="49">
        <f t="shared" si="66"/>
        <v>0</v>
      </c>
      <c r="BT118" s="49">
        <f t="shared" si="67"/>
        <v>0</v>
      </c>
      <c r="BU118" s="49">
        <f t="shared" si="68"/>
        <v>1</v>
      </c>
      <c r="BV118" s="49">
        <f t="shared" si="69"/>
        <v>0</v>
      </c>
      <c r="BW118" s="49">
        <f t="shared" si="70"/>
        <v>0</v>
      </c>
      <c r="BX118" s="49">
        <f t="shared" si="71"/>
        <v>0</v>
      </c>
      <c r="BY118" s="49">
        <f t="shared" si="72"/>
        <v>1</v>
      </c>
      <c r="BZ118" s="49">
        <f t="shared" si="73"/>
        <v>0</v>
      </c>
      <c r="CA118" s="49">
        <f t="shared" si="74"/>
        <v>0</v>
      </c>
      <c r="CB118" s="49">
        <f t="shared" si="75"/>
        <v>0</v>
      </c>
      <c r="CC118" s="49">
        <f t="shared" si="76"/>
        <v>1</v>
      </c>
      <c r="CD118" s="49">
        <f t="shared" si="77"/>
        <v>0</v>
      </c>
      <c r="CE118" s="49">
        <f t="shared" si="78"/>
        <v>0</v>
      </c>
    </row>
    <row r="119" spans="1:83" ht="35.1" customHeight="1" x14ac:dyDescent="0.3">
      <c r="A119" s="123" t="str">
        <f t="shared" si="40"/>
        <v>1팀</v>
      </c>
      <c r="B119" s="69">
        <f t="shared" si="41"/>
        <v>113</v>
      </c>
      <c r="C119" s="120" t="str">
        <f>IF(VLOOKUP($B119,'1. 현장별 인원현황'!$C:$J,2,0)=0,"",VLOOKUP($B119,'1. 현장별 인원현황'!$C:$J,2,0))</f>
        <v xml:space="preserve"> [1.중흥건설] 인천 검단지구 공동주택용지 AB20-2BL 중흥S-클래스 공동주택 신축공사</v>
      </c>
      <c r="D119" s="70" t="str">
        <f>IF(VLOOKUP($B119,'1. 현장별 인원현황'!$C:$J,3,0)=0,"",VLOOKUP($B119,'1. 현장별 인원현황'!$C:$J,3,0))</f>
        <v>성혁제</v>
      </c>
      <c r="E119" s="74" t="str">
        <f ca="1">IF(VLOOKUP($B119,'1. 현장별 인원현황'!$C:$J,4,0)=0,"",VLOOKUP($B119,'1. 현장별 인원현황'!$C:$J,4,0))</f>
        <v>25세</v>
      </c>
      <c r="F119" s="70" t="str">
        <f>IF(VLOOKUP($B119,'1. 현장별 인원현황'!$C:$J,7,0)=0,"",VLOOKUP($B119,'1. 현장별 인원현황'!$C:$J,7,0))</f>
        <v>기능공</v>
      </c>
      <c r="G119" s="72" t="str">
        <f>IF(VLOOKUP($B119,'1. 현장별 인원현황'!$C:$J,8,0)=0,"",VLOOKUP($B119,'1. 현장별 인원현황'!$C:$J,8,0))</f>
        <v>조공</v>
      </c>
      <c r="H119" s="67"/>
      <c r="I119" s="73" t="s">
        <v>69</v>
      </c>
      <c r="J119" s="73"/>
      <c r="K119" s="68"/>
      <c r="L119" s="67"/>
      <c r="M119" s="73" t="s">
        <v>69</v>
      </c>
      <c r="N119" s="73"/>
      <c r="O119" s="68"/>
      <c r="P119" s="67"/>
      <c r="Q119" s="73" t="s">
        <v>69</v>
      </c>
      <c r="R119" s="73"/>
      <c r="S119" s="68"/>
      <c r="T119" s="67"/>
      <c r="U119" s="73" t="s">
        <v>69</v>
      </c>
      <c r="V119" s="73"/>
      <c r="W119" s="68"/>
      <c r="X119" s="67" t="s">
        <v>69</v>
      </c>
      <c r="Y119" s="73"/>
      <c r="Z119" s="73"/>
      <c r="AA119" s="68"/>
      <c r="AB119" s="67"/>
      <c r="AC119" s="73" t="s">
        <v>69</v>
      </c>
      <c r="AD119" s="73"/>
      <c r="AE119" s="68"/>
      <c r="AF119" s="67"/>
      <c r="AG119" s="73" t="s">
        <v>69</v>
      </c>
      <c r="AH119" s="73"/>
      <c r="AI119" s="68"/>
      <c r="AJ119" s="67"/>
      <c r="AK119" s="73" t="s">
        <v>69</v>
      </c>
      <c r="AL119" s="73"/>
      <c r="AM119" s="68"/>
      <c r="AN119" s="73"/>
      <c r="AO119" s="73" t="s">
        <v>69</v>
      </c>
      <c r="AP119" s="73"/>
      <c r="AQ119" s="68"/>
      <c r="AR119" s="67">
        <f t="shared" si="42"/>
        <v>79</v>
      </c>
      <c r="AS119" s="68" t="str">
        <f t="shared" si="43"/>
        <v>A</v>
      </c>
      <c r="AV119" s="49">
        <f t="shared" si="79"/>
        <v>0</v>
      </c>
      <c r="AW119" s="49">
        <f t="shared" si="44"/>
        <v>1</v>
      </c>
      <c r="AX119" s="49">
        <f t="shared" si="45"/>
        <v>0</v>
      </c>
      <c r="AY119" s="49">
        <f t="shared" si="46"/>
        <v>0</v>
      </c>
      <c r="AZ119" s="49">
        <f t="shared" si="47"/>
        <v>0</v>
      </c>
      <c r="BA119" s="49">
        <f t="shared" si="48"/>
        <v>1</v>
      </c>
      <c r="BB119" s="49">
        <f t="shared" si="49"/>
        <v>0</v>
      </c>
      <c r="BC119" s="49">
        <f t="shared" si="50"/>
        <v>0</v>
      </c>
      <c r="BD119" s="49">
        <f t="shared" si="51"/>
        <v>0</v>
      </c>
      <c r="BE119" s="49">
        <f t="shared" si="52"/>
        <v>1</v>
      </c>
      <c r="BF119" s="49">
        <f t="shared" si="53"/>
        <v>0</v>
      </c>
      <c r="BG119" s="49">
        <f t="shared" si="54"/>
        <v>0</v>
      </c>
      <c r="BH119" s="49">
        <f t="shared" si="55"/>
        <v>0</v>
      </c>
      <c r="BI119" s="49">
        <f t="shared" si="56"/>
        <v>1</v>
      </c>
      <c r="BJ119" s="49">
        <f t="shared" si="57"/>
        <v>0</v>
      </c>
      <c r="BK119" s="49">
        <f t="shared" si="58"/>
        <v>0</v>
      </c>
      <c r="BL119" s="49">
        <f t="shared" si="59"/>
        <v>1</v>
      </c>
      <c r="BM119" s="49">
        <f t="shared" si="60"/>
        <v>0</v>
      </c>
      <c r="BN119" s="49">
        <f t="shared" si="61"/>
        <v>0</v>
      </c>
      <c r="BO119" s="49">
        <f t="shared" si="62"/>
        <v>0</v>
      </c>
      <c r="BP119" s="49">
        <f t="shared" si="63"/>
        <v>0</v>
      </c>
      <c r="BQ119" s="49">
        <f t="shared" si="64"/>
        <v>1</v>
      </c>
      <c r="BR119" s="49">
        <f t="shared" si="65"/>
        <v>0</v>
      </c>
      <c r="BS119" s="49">
        <f t="shared" si="66"/>
        <v>0</v>
      </c>
      <c r="BT119" s="49">
        <f t="shared" si="67"/>
        <v>0</v>
      </c>
      <c r="BU119" s="49">
        <f t="shared" si="68"/>
        <v>1</v>
      </c>
      <c r="BV119" s="49">
        <f t="shared" si="69"/>
        <v>0</v>
      </c>
      <c r="BW119" s="49">
        <f t="shared" si="70"/>
        <v>0</v>
      </c>
      <c r="BX119" s="49">
        <f t="shared" si="71"/>
        <v>0</v>
      </c>
      <c r="BY119" s="49">
        <f t="shared" si="72"/>
        <v>1</v>
      </c>
      <c r="BZ119" s="49">
        <f t="shared" si="73"/>
        <v>0</v>
      </c>
      <c r="CA119" s="49">
        <f t="shared" si="74"/>
        <v>0</v>
      </c>
      <c r="CB119" s="49">
        <f t="shared" si="75"/>
        <v>0</v>
      </c>
      <c r="CC119" s="49">
        <f t="shared" si="76"/>
        <v>1</v>
      </c>
      <c r="CD119" s="49">
        <f t="shared" si="77"/>
        <v>0</v>
      </c>
      <c r="CE119" s="49">
        <f t="shared" si="78"/>
        <v>0</v>
      </c>
    </row>
    <row r="120" spans="1:83" ht="35.1" customHeight="1" x14ac:dyDescent="0.3">
      <c r="A120" s="123" t="str">
        <f t="shared" si="40"/>
        <v>1팀</v>
      </c>
      <c r="B120" s="69">
        <f t="shared" si="41"/>
        <v>114</v>
      </c>
      <c r="C120" s="120" t="str">
        <f>IF(VLOOKUP($B120,'1. 현장별 인원현황'!$C:$J,2,0)=0,"",VLOOKUP($B120,'1. 현장별 인원현황'!$C:$J,2,0))</f>
        <v xml:space="preserve"> [1.중흥건설] 인천 검단지구 공동주택용지 AB20-2BL 중흥S-클래스 공동주택 신축공사</v>
      </c>
      <c r="D120" s="70" t="str">
        <f>IF(VLOOKUP($B120,'1. 현장별 인원현황'!$C:$J,3,0)=0,"",VLOOKUP($B120,'1. 현장별 인원현황'!$C:$J,3,0))</f>
        <v>김승욱</v>
      </c>
      <c r="E120" s="74" t="str">
        <f ca="1">IF(VLOOKUP($B120,'1. 현장별 인원현황'!$C:$J,4,0)=0,"",VLOOKUP($B120,'1. 현장별 인원현황'!$C:$J,4,0))</f>
        <v>25세</v>
      </c>
      <c r="F120" s="70" t="str">
        <f>IF(VLOOKUP($B120,'1. 현장별 인원현황'!$C:$J,7,0)=0,"",VLOOKUP($B120,'1. 현장별 인원현황'!$C:$J,7,0))</f>
        <v>기능공</v>
      </c>
      <c r="G120" s="72" t="str">
        <f>IF(VLOOKUP($B120,'1. 현장별 인원현황'!$C:$J,8,0)=0,"",VLOOKUP($B120,'1. 현장별 인원현황'!$C:$J,8,0))</f>
        <v>조공</v>
      </c>
      <c r="H120" s="67"/>
      <c r="I120" s="73"/>
      <c r="J120" s="73" t="s">
        <v>69</v>
      </c>
      <c r="K120" s="68"/>
      <c r="L120" s="67"/>
      <c r="M120" s="73"/>
      <c r="N120" s="73" t="s">
        <v>69</v>
      </c>
      <c r="O120" s="68"/>
      <c r="P120" s="67"/>
      <c r="Q120" s="73" t="s">
        <v>69</v>
      </c>
      <c r="R120" s="73"/>
      <c r="S120" s="68"/>
      <c r="T120" s="67"/>
      <c r="U120" s="73" t="s">
        <v>69</v>
      </c>
      <c r="V120" s="73"/>
      <c r="W120" s="68"/>
      <c r="X120" s="67" t="s">
        <v>69</v>
      </c>
      <c r="Y120" s="73"/>
      <c r="Z120" s="73"/>
      <c r="AA120" s="68"/>
      <c r="AB120" s="67"/>
      <c r="AC120" s="73" t="s">
        <v>69</v>
      </c>
      <c r="AD120" s="73"/>
      <c r="AE120" s="68"/>
      <c r="AF120" s="67"/>
      <c r="AG120" s="73" t="s">
        <v>69</v>
      </c>
      <c r="AH120" s="73"/>
      <c r="AI120" s="68"/>
      <c r="AJ120" s="67"/>
      <c r="AK120" s="73" t="s">
        <v>69</v>
      </c>
      <c r="AL120" s="73"/>
      <c r="AM120" s="68"/>
      <c r="AN120" s="73"/>
      <c r="AO120" s="73" t="s">
        <v>69</v>
      </c>
      <c r="AP120" s="73"/>
      <c r="AQ120" s="68"/>
      <c r="AR120" s="67">
        <f t="shared" si="42"/>
        <v>73</v>
      </c>
      <c r="AS120" s="68" t="str">
        <f t="shared" si="43"/>
        <v>A</v>
      </c>
      <c r="AV120" s="49">
        <f t="shared" si="79"/>
        <v>0</v>
      </c>
      <c r="AW120" s="49">
        <f t="shared" si="44"/>
        <v>0</v>
      </c>
      <c r="AX120" s="49">
        <f t="shared" si="45"/>
        <v>1</v>
      </c>
      <c r="AY120" s="49">
        <f t="shared" si="46"/>
        <v>0</v>
      </c>
      <c r="AZ120" s="49">
        <f t="shared" si="47"/>
        <v>0</v>
      </c>
      <c r="BA120" s="49">
        <f t="shared" si="48"/>
        <v>0</v>
      </c>
      <c r="BB120" s="49">
        <f t="shared" si="49"/>
        <v>1</v>
      </c>
      <c r="BC120" s="49">
        <f t="shared" si="50"/>
        <v>0</v>
      </c>
      <c r="BD120" s="49">
        <f t="shared" si="51"/>
        <v>0</v>
      </c>
      <c r="BE120" s="49">
        <f t="shared" si="52"/>
        <v>1</v>
      </c>
      <c r="BF120" s="49">
        <f t="shared" si="53"/>
        <v>0</v>
      </c>
      <c r="BG120" s="49">
        <f t="shared" si="54"/>
        <v>0</v>
      </c>
      <c r="BH120" s="49">
        <f t="shared" si="55"/>
        <v>0</v>
      </c>
      <c r="BI120" s="49">
        <f t="shared" si="56"/>
        <v>1</v>
      </c>
      <c r="BJ120" s="49">
        <f t="shared" si="57"/>
        <v>0</v>
      </c>
      <c r="BK120" s="49">
        <f t="shared" si="58"/>
        <v>0</v>
      </c>
      <c r="BL120" s="49">
        <f t="shared" si="59"/>
        <v>1</v>
      </c>
      <c r="BM120" s="49">
        <f t="shared" si="60"/>
        <v>0</v>
      </c>
      <c r="BN120" s="49">
        <f t="shared" si="61"/>
        <v>0</v>
      </c>
      <c r="BO120" s="49">
        <f t="shared" si="62"/>
        <v>0</v>
      </c>
      <c r="BP120" s="49">
        <f t="shared" si="63"/>
        <v>0</v>
      </c>
      <c r="BQ120" s="49">
        <f t="shared" si="64"/>
        <v>1</v>
      </c>
      <c r="BR120" s="49">
        <f t="shared" si="65"/>
        <v>0</v>
      </c>
      <c r="BS120" s="49">
        <f t="shared" si="66"/>
        <v>0</v>
      </c>
      <c r="BT120" s="49">
        <f t="shared" si="67"/>
        <v>0</v>
      </c>
      <c r="BU120" s="49">
        <f t="shared" si="68"/>
        <v>1</v>
      </c>
      <c r="BV120" s="49">
        <f t="shared" si="69"/>
        <v>0</v>
      </c>
      <c r="BW120" s="49">
        <f t="shared" si="70"/>
        <v>0</v>
      </c>
      <c r="BX120" s="49">
        <f t="shared" si="71"/>
        <v>0</v>
      </c>
      <c r="BY120" s="49">
        <f t="shared" si="72"/>
        <v>1</v>
      </c>
      <c r="BZ120" s="49">
        <f t="shared" si="73"/>
        <v>0</v>
      </c>
      <c r="CA120" s="49">
        <f t="shared" si="74"/>
        <v>0</v>
      </c>
      <c r="CB120" s="49">
        <f t="shared" si="75"/>
        <v>0</v>
      </c>
      <c r="CC120" s="49">
        <f t="shared" si="76"/>
        <v>1</v>
      </c>
      <c r="CD120" s="49">
        <f t="shared" si="77"/>
        <v>0</v>
      </c>
      <c r="CE120" s="49">
        <f t="shared" si="78"/>
        <v>0</v>
      </c>
    </row>
    <row r="121" spans="1:83" ht="35.1" customHeight="1" x14ac:dyDescent="0.3">
      <c r="A121" s="123" t="str">
        <f t="shared" si="40"/>
        <v>1팀</v>
      </c>
      <c r="B121" s="69">
        <f t="shared" si="41"/>
        <v>115</v>
      </c>
      <c r="C121" s="120" t="str">
        <f>IF(VLOOKUP($B121,'1. 현장별 인원현황'!$C:$J,2,0)=0,"",VLOOKUP($B121,'1. 현장별 인원현황'!$C:$J,2,0))</f>
        <v xml:space="preserve"> [1.중흥건설] 인천 검단지구 공동주택용지 AB20-2BL 중흥S-클래스 공동주택 신축공사</v>
      </c>
      <c r="D121" s="70" t="str">
        <f>IF(VLOOKUP($B121,'1. 현장별 인원현황'!$C:$J,3,0)=0,"",VLOOKUP($B121,'1. 현장별 인원현황'!$C:$J,3,0))</f>
        <v>김용호</v>
      </c>
      <c r="E121" s="74" t="str">
        <f ca="1">IF(VLOOKUP($B121,'1. 현장별 인원현황'!$C:$J,4,0)=0,"",VLOOKUP($B121,'1. 현장별 인원현황'!$C:$J,4,0))</f>
        <v>53세</v>
      </c>
      <c r="F121" s="70" t="str">
        <f>IF(VLOOKUP($B121,'1. 현장별 인원현황'!$C:$J,7,0)=0,"",VLOOKUP($B121,'1. 현장별 인원현황'!$C:$J,7,0))</f>
        <v>기능공</v>
      </c>
      <c r="G121" s="72" t="str">
        <f>IF(VLOOKUP($B121,'1. 현장별 인원현황'!$C:$J,8,0)=0,"",VLOOKUP($B121,'1. 현장별 인원현황'!$C:$J,8,0))</f>
        <v>조공</v>
      </c>
      <c r="H121" s="67"/>
      <c r="I121" s="73"/>
      <c r="J121" s="73" t="s">
        <v>69</v>
      </c>
      <c r="K121" s="68"/>
      <c r="L121" s="67"/>
      <c r="M121" s="73"/>
      <c r="N121" s="73" t="s">
        <v>69</v>
      </c>
      <c r="O121" s="68"/>
      <c r="P121" s="67"/>
      <c r="Q121" s="73" t="s">
        <v>69</v>
      </c>
      <c r="R121" s="73"/>
      <c r="S121" s="68"/>
      <c r="T121" s="67"/>
      <c r="U121" s="73"/>
      <c r="V121" s="73" t="s">
        <v>69</v>
      </c>
      <c r="W121" s="68"/>
      <c r="X121" s="67" t="s">
        <v>69</v>
      </c>
      <c r="Y121" s="73"/>
      <c r="Z121" s="73"/>
      <c r="AA121" s="68"/>
      <c r="AB121" s="67"/>
      <c r="AC121" s="73" t="s">
        <v>69</v>
      </c>
      <c r="AD121" s="73"/>
      <c r="AE121" s="68"/>
      <c r="AF121" s="67"/>
      <c r="AG121" s="73" t="s">
        <v>69</v>
      </c>
      <c r="AH121" s="73"/>
      <c r="AI121" s="68"/>
      <c r="AJ121" s="67"/>
      <c r="AK121" s="73" t="s">
        <v>69</v>
      </c>
      <c r="AL121" s="73"/>
      <c r="AM121" s="68"/>
      <c r="AN121" s="73"/>
      <c r="AO121" s="73" t="s">
        <v>69</v>
      </c>
      <c r="AP121" s="73"/>
      <c r="AQ121" s="68"/>
      <c r="AR121" s="67">
        <f t="shared" si="42"/>
        <v>71</v>
      </c>
      <c r="AS121" s="68" t="str">
        <f t="shared" si="43"/>
        <v>A</v>
      </c>
      <c r="AV121" s="49">
        <f t="shared" si="79"/>
        <v>0</v>
      </c>
      <c r="AW121" s="49">
        <f t="shared" si="44"/>
        <v>0</v>
      </c>
      <c r="AX121" s="49">
        <f t="shared" si="45"/>
        <v>1</v>
      </c>
      <c r="AY121" s="49">
        <f t="shared" si="46"/>
        <v>0</v>
      </c>
      <c r="AZ121" s="49">
        <f t="shared" si="47"/>
        <v>0</v>
      </c>
      <c r="BA121" s="49">
        <f t="shared" si="48"/>
        <v>0</v>
      </c>
      <c r="BB121" s="49">
        <f t="shared" si="49"/>
        <v>1</v>
      </c>
      <c r="BC121" s="49">
        <f t="shared" si="50"/>
        <v>0</v>
      </c>
      <c r="BD121" s="49">
        <f t="shared" si="51"/>
        <v>0</v>
      </c>
      <c r="BE121" s="49">
        <f t="shared" si="52"/>
        <v>1</v>
      </c>
      <c r="BF121" s="49">
        <f t="shared" si="53"/>
        <v>0</v>
      </c>
      <c r="BG121" s="49">
        <f t="shared" si="54"/>
        <v>0</v>
      </c>
      <c r="BH121" s="49">
        <f t="shared" si="55"/>
        <v>0</v>
      </c>
      <c r="BI121" s="49">
        <f t="shared" si="56"/>
        <v>0</v>
      </c>
      <c r="BJ121" s="49">
        <f t="shared" si="57"/>
        <v>1</v>
      </c>
      <c r="BK121" s="49">
        <f t="shared" si="58"/>
        <v>0</v>
      </c>
      <c r="BL121" s="49">
        <f t="shared" si="59"/>
        <v>1</v>
      </c>
      <c r="BM121" s="49">
        <f t="shared" si="60"/>
        <v>0</v>
      </c>
      <c r="BN121" s="49">
        <f t="shared" si="61"/>
        <v>0</v>
      </c>
      <c r="BO121" s="49">
        <f t="shared" si="62"/>
        <v>0</v>
      </c>
      <c r="BP121" s="49">
        <f t="shared" si="63"/>
        <v>0</v>
      </c>
      <c r="BQ121" s="49">
        <f t="shared" si="64"/>
        <v>1</v>
      </c>
      <c r="BR121" s="49">
        <f t="shared" si="65"/>
        <v>0</v>
      </c>
      <c r="BS121" s="49">
        <f t="shared" si="66"/>
        <v>0</v>
      </c>
      <c r="BT121" s="49">
        <f t="shared" si="67"/>
        <v>0</v>
      </c>
      <c r="BU121" s="49">
        <f t="shared" si="68"/>
        <v>1</v>
      </c>
      <c r="BV121" s="49">
        <f t="shared" si="69"/>
        <v>0</v>
      </c>
      <c r="BW121" s="49">
        <f t="shared" si="70"/>
        <v>0</v>
      </c>
      <c r="BX121" s="49">
        <f t="shared" si="71"/>
        <v>0</v>
      </c>
      <c r="BY121" s="49">
        <f t="shared" si="72"/>
        <v>1</v>
      </c>
      <c r="BZ121" s="49">
        <f t="shared" si="73"/>
        <v>0</v>
      </c>
      <c r="CA121" s="49">
        <f t="shared" si="74"/>
        <v>0</v>
      </c>
      <c r="CB121" s="49">
        <f t="shared" si="75"/>
        <v>0</v>
      </c>
      <c r="CC121" s="49">
        <f t="shared" si="76"/>
        <v>1</v>
      </c>
      <c r="CD121" s="49">
        <f t="shared" si="77"/>
        <v>0</v>
      </c>
      <c r="CE121" s="49">
        <f t="shared" si="78"/>
        <v>0</v>
      </c>
    </row>
    <row r="122" spans="1:83" ht="35.1" customHeight="1" x14ac:dyDescent="0.3">
      <c r="A122" s="123" t="str">
        <f t="shared" si="40"/>
        <v>1팀</v>
      </c>
      <c r="B122" s="69">
        <f t="shared" si="41"/>
        <v>116</v>
      </c>
      <c r="C122" s="120" t="str">
        <f>IF(VLOOKUP($B122,'1. 현장별 인원현황'!$C:$J,2,0)=0,"",VLOOKUP($B122,'1. 현장별 인원현황'!$C:$J,2,0))</f>
        <v xml:space="preserve"> [1.진흥기업] 해링턴 플레이스 감삼 신축공사</v>
      </c>
      <c r="D122" s="70" t="str">
        <f>IF(VLOOKUP($B122,'1. 현장별 인원현황'!$C:$J,3,0)=0,"",VLOOKUP($B122,'1. 현장별 인원현황'!$C:$J,3,0))</f>
        <v>최준열</v>
      </c>
      <c r="E122" s="74" t="str">
        <f ca="1">IF(VLOOKUP($B122,'1. 현장별 인원현황'!$C:$J,4,0)=0,"",VLOOKUP($B122,'1. 현장별 인원현황'!$C:$J,4,0))</f>
        <v>42세</v>
      </c>
      <c r="F122" s="70" t="str">
        <f>IF(VLOOKUP($B122,'1. 현장별 인원현황'!$C:$J,7,0)=0,"",VLOOKUP($B122,'1. 현장별 인원현황'!$C:$J,7,0))</f>
        <v>공무</v>
      </c>
      <c r="G122" s="72" t="str">
        <f>IF(VLOOKUP($B122,'1. 현장별 인원현황'!$C:$J,8,0)=0,"",VLOOKUP($B122,'1. 현장별 인원현황'!$C:$J,8,0))</f>
        <v>과장</v>
      </c>
      <c r="H122" s="67"/>
      <c r="I122" s="73" t="s">
        <v>69</v>
      </c>
      <c r="J122" s="73"/>
      <c r="K122" s="68"/>
      <c r="L122" s="67" t="s">
        <v>69</v>
      </c>
      <c r="M122" s="73"/>
      <c r="N122" s="73"/>
      <c r="O122" s="68"/>
      <c r="P122" s="67" t="s">
        <v>69</v>
      </c>
      <c r="Q122" s="73"/>
      <c r="R122" s="73"/>
      <c r="S122" s="68"/>
      <c r="T122" s="67"/>
      <c r="U122" s="73" t="s">
        <v>69</v>
      </c>
      <c r="V122" s="73"/>
      <c r="W122" s="68"/>
      <c r="X122" s="67"/>
      <c r="Y122" s="73" t="s">
        <v>69</v>
      </c>
      <c r="Z122" s="73"/>
      <c r="AA122" s="68"/>
      <c r="AB122" s="67"/>
      <c r="AC122" s="73" t="s">
        <v>69</v>
      </c>
      <c r="AD122" s="73"/>
      <c r="AE122" s="68"/>
      <c r="AF122" s="67"/>
      <c r="AG122" s="73" t="s">
        <v>69</v>
      </c>
      <c r="AH122" s="73"/>
      <c r="AI122" s="68"/>
      <c r="AJ122" s="67"/>
      <c r="AK122" s="73" t="s">
        <v>69</v>
      </c>
      <c r="AL122" s="73"/>
      <c r="AM122" s="68"/>
      <c r="AN122" s="73"/>
      <c r="AO122" s="73" t="s">
        <v>69</v>
      </c>
      <c r="AP122" s="73"/>
      <c r="AQ122" s="68"/>
      <c r="AR122" s="67">
        <f t="shared" si="42"/>
        <v>83</v>
      </c>
      <c r="AS122" s="68" t="str">
        <f t="shared" si="43"/>
        <v>A</v>
      </c>
      <c r="AV122" s="49">
        <f t="shared" si="79"/>
        <v>0</v>
      </c>
      <c r="AW122" s="49">
        <f t="shared" si="44"/>
        <v>1</v>
      </c>
      <c r="AX122" s="49">
        <f t="shared" si="45"/>
        <v>0</v>
      </c>
      <c r="AY122" s="49">
        <f t="shared" si="46"/>
        <v>0</v>
      </c>
      <c r="AZ122" s="49">
        <f t="shared" si="47"/>
        <v>1</v>
      </c>
      <c r="BA122" s="49">
        <f t="shared" si="48"/>
        <v>0</v>
      </c>
      <c r="BB122" s="49">
        <f t="shared" si="49"/>
        <v>0</v>
      </c>
      <c r="BC122" s="49">
        <f t="shared" si="50"/>
        <v>0</v>
      </c>
      <c r="BD122" s="49">
        <f t="shared" si="51"/>
        <v>1</v>
      </c>
      <c r="BE122" s="49">
        <f t="shared" si="52"/>
        <v>0</v>
      </c>
      <c r="BF122" s="49">
        <f t="shared" si="53"/>
        <v>0</v>
      </c>
      <c r="BG122" s="49">
        <f t="shared" si="54"/>
        <v>0</v>
      </c>
      <c r="BH122" s="49">
        <f t="shared" si="55"/>
        <v>0</v>
      </c>
      <c r="BI122" s="49">
        <f t="shared" si="56"/>
        <v>1</v>
      </c>
      <c r="BJ122" s="49">
        <f t="shared" si="57"/>
        <v>0</v>
      </c>
      <c r="BK122" s="49">
        <f t="shared" si="58"/>
        <v>0</v>
      </c>
      <c r="BL122" s="49">
        <f t="shared" si="59"/>
        <v>0</v>
      </c>
      <c r="BM122" s="49">
        <f t="shared" si="60"/>
        <v>1</v>
      </c>
      <c r="BN122" s="49">
        <f t="shared" si="61"/>
        <v>0</v>
      </c>
      <c r="BO122" s="49">
        <f t="shared" si="62"/>
        <v>0</v>
      </c>
      <c r="BP122" s="49">
        <f t="shared" si="63"/>
        <v>0</v>
      </c>
      <c r="BQ122" s="49">
        <f t="shared" si="64"/>
        <v>1</v>
      </c>
      <c r="BR122" s="49">
        <f t="shared" si="65"/>
        <v>0</v>
      </c>
      <c r="BS122" s="49">
        <f t="shared" si="66"/>
        <v>0</v>
      </c>
      <c r="BT122" s="49">
        <f t="shared" si="67"/>
        <v>0</v>
      </c>
      <c r="BU122" s="49">
        <f t="shared" si="68"/>
        <v>1</v>
      </c>
      <c r="BV122" s="49">
        <f t="shared" si="69"/>
        <v>0</v>
      </c>
      <c r="BW122" s="49">
        <f t="shared" si="70"/>
        <v>0</v>
      </c>
      <c r="BX122" s="49">
        <f t="shared" si="71"/>
        <v>0</v>
      </c>
      <c r="BY122" s="49">
        <f t="shared" si="72"/>
        <v>1</v>
      </c>
      <c r="BZ122" s="49">
        <f t="shared" si="73"/>
        <v>0</v>
      </c>
      <c r="CA122" s="49">
        <f t="shared" si="74"/>
        <v>0</v>
      </c>
      <c r="CB122" s="49">
        <f t="shared" si="75"/>
        <v>0</v>
      </c>
      <c r="CC122" s="49">
        <f t="shared" si="76"/>
        <v>1</v>
      </c>
      <c r="CD122" s="49">
        <f t="shared" si="77"/>
        <v>0</v>
      </c>
      <c r="CE122" s="49">
        <f t="shared" si="78"/>
        <v>0</v>
      </c>
    </row>
    <row r="123" spans="1:83" ht="35.1" customHeight="1" x14ac:dyDescent="0.3">
      <c r="A123" s="123" t="str">
        <f t="shared" si="40"/>
        <v>1팀</v>
      </c>
      <c r="B123" s="69">
        <f t="shared" si="41"/>
        <v>117</v>
      </c>
      <c r="C123" s="120" t="str">
        <f>IF(VLOOKUP($B123,'1. 현장별 인원현황'!$C:$J,2,0)=0,"",VLOOKUP($B123,'1. 현장별 인원현황'!$C:$J,2,0))</f>
        <v xml:space="preserve"> [1.진흥기업] 해링턴 플레이스 감삼 신축공사</v>
      </c>
      <c r="D123" s="70" t="str">
        <f>IF(VLOOKUP($B123,'1. 현장별 인원현황'!$C:$J,3,0)=0,"",VLOOKUP($B123,'1. 현장별 인원현황'!$C:$J,3,0))</f>
        <v>강민구</v>
      </c>
      <c r="E123" s="74" t="str">
        <f ca="1">IF(VLOOKUP($B123,'1. 현장별 인원현황'!$C:$J,4,0)=0,"",VLOOKUP($B123,'1. 현장별 인원현황'!$C:$J,4,0))</f>
        <v>45세</v>
      </c>
      <c r="F123" s="70" t="str">
        <f>IF(VLOOKUP($B123,'1. 현장별 인원현황'!$C:$J,7,0)=0,"",VLOOKUP($B123,'1. 현장별 인원현황'!$C:$J,7,0))</f>
        <v>기능공</v>
      </c>
      <c r="G123" s="72" t="str">
        <f>IF(VLOOKUP($B123,'1. 현장별 인원현황'!$C:$J,8,0)=0,"",VLOOKUP($B123,'1. 현장별 인원현황'!$C:$J,8,0))</f>
        <v>전공</v>
      </c>
      <c r="H123" s="67"/>
      <c r="I123" s="73"/>
      <c r="J123" s="73" t="s">
        <v>69</v>
      </c>
      <c r="K123" s="68"/>
      <c r="L123" s="67"/>
      <c r="M123" s="73" t="s">
        <v>69</v>
      </c>
      <c r="N123" s="73"/>
      <c r="O123" s="68"/>
      <c r="P123" s="67"/>
      <c r="Q123" s="73"/>
      <c r="R123" s="73" t="s">
        <v>69</v>
      </c>
      <c r="S123" s="68"/>
      <c r="T123" s="67"/>
      <c r="U123" s="73"/>
      <c r="V123" s="73" t="s">
        <v>69</v>
      </c>
      <c r="W123" s="68"/>
      <c r="X123" s="67"/>
      <c r="Y123" s="73" t="s">
        <v>69</v>
      </c>
      <c r="Z123" s="73"/>
      <c r="AA123" s="68"/>
      <c r="AB123" s="67"/>
      <c r="AC123" s="73" t="s">
        <v>69</v>
      </c>
      <c r="AD123" s="73"/>
      <c r="AE123" s="68"/>
      <c r="AF123" s="67" t="s">
        <v>69</v>
      </c>
      <c r="AG123" s="73"/>
      <c r="AH123" s="73"/>
      <c r="AI123" s="68"/>
      <c r="AJ123" s="67" t="s">
        <v>69</v>
      </c>
      <c r="AK123" s="73"/>
      <c r="AL123" s="73"/>
      <c r="AM123" s="68"/>
      <c r="AN123" s="73" t="s">
        <v>69</v>
      </c>
      <c r="AO123" s="73"/>
      <c r="AP123" s="73"/>
      <c r="AQ123" s="68"/>
      <c r="AR123" s="67">
        <f t="shared" si="42"/>
        <v>77</v>
      </c>
      <c r="AS123" s="68" t="str">
        <f t="shared" si="43"/>
        <v>A</v>
      </c>
      <c r="AV123" s="49">
        <f t="shared" si="79"/>
        <v>0</v>
      </c>
      <c r="AW123" s="49">
        <f t="shared" si="44"/>
        <v>0</v>
      </c>
      <c r="AX123" s="49">
        <f t="shared" si="45"/>
        <v>1</v>
      </c>
      <c r="AY123" s="49">
        <f t="shared" si="46"/>
        <v>0</v>
      </c>
      <c r="AZ123" s="49">
        <f t="shared" si="47"/>
        <v>0</v>
      </c>
      <c r="BA123" s="49">
        <f t="shared" si="48"/>
        <v>1</v>
      </c>
      <c r="BB123" s="49">
        <f t="shared" si="49"/>
        <v>0</v>
      </c>
      <c r="BC123" s="49">
        <f t="shared" si="50"/>
        <v>0</v>
      </c>
      <c r="BD123" s="49">
        <f t="shared" si="51"/>
        <v>0</v>
      </c>
      <c r="BE123" s="49">
        <f t="shared" si="52"/>
        <v>0</v>
      </c>
      <c r="BF123" s="49">
        <f t="shared" si="53"/>
        <v>1</v>
      </c>
      <c r="BG123" s="49">
        <f t="shared" si="54"/>
        <v>0</v>
      </c>
      <c r="BH123" s="49">
        <f t="shared" si="55"/>
        <v>0</v>
      </c>
      <c r="BI123" s="49">
        <f t="shared" si="56"/>
        <v>0</v>
      </c>
      <c r="BJ123" s="49">
        <f t="shared" si="57"/>
        <v>1</v>
      </c>
      <c r="BK123" s="49">
        <f t="shared" si="58"/>
        <v>0</v>
      </c>
      <c r="BL123" s="49">
        <f t="shared" si="59"/>
        <v>0</v>
      </c>
      <c r="BM123" s="49">
        <f t="shared" si="60"/>
        <v>1</v>
      </c>
      <c r="BN123" s="49">
        <f t="shared" si="61"/>
        <v>0</v>
      </c>
      <c r="BO123" s="49">
        <f t="shared" si="62"/>
        <v>0</v>
      </c>
      <c r="BP123" s="49">
        <f t="shared" si="63"/>
        <v>0</v>
      </c>
      <c r="BQ123" s="49">
        <f t="shared" si="64"/>
        <v>1</v>
      </c>
      <c r="BR123" s="49">
        <f t="shared" si="65"/>
        <v>0</v>
      </c>
      <c r="BS123" s="49">
        <f t="shared" si="66"/>
        <v>0</v>
      </c>
      <c r="BT123" s="49">
        <f t="shared" si="67"/>
        <v>1</v>
      </c>
      <c r="BU123" s="49">
        <f t="shared" si="68"/>
        <v>0</v>
      </c>
      <c r="BV123" s="49">
        <f t="shared" si="69"/>
        <v>0</v>
      </c>
      <c r="BW123" s="49">
        <f t="shared" si="70"/>
        <v>0</v>
      </c>
      <c r="BX123" s="49">
        <f t="shared" si="71"/>
        <v>1</v>
      </c>
      <c r="BY123" s="49">
        <f t="shared" si="72"/>
        <v>0</v>
      </c>
      <c r="BZ123" s="49">
        <f t="shared" si="73"/>
        <v>0</v>
      </c>
      <c r="CA123" s="49">
        <f t="shared" si="74"/>
        <v>0</v>
      </c>
      <c r="CB123" s="49">
        <f t="shared" si="75"/>
        <v>1</v>
      </c>
      <c r="CC123" s="49">
        <f t="shared" si="76"/>
        <v>0</v>
      </c>
      <c r="CD123" s="49">
        <f t="shared" si="77"/>
        <v>0</v>
      </c>
      <c r="CE123" s="49">
        <f t="shared" si="78"/>
        <v>0</v>
      </c>
    </row>
    <row r="124" spans="1:83" ht="35.1" customHeight="1" x14ac:dyDescent="0.3">
      <c r="A124" s="123" t="str">
        <f t="shared" si="40"/>
        <v>1팀</v>
      </c>
      <c r="B124" s="69">
        <f t="shared" si="41"/>
        <v>118</v>
      </c>
      <c r="C124" s="120" t="str">
        <f>IF(VLOOKUP($B124,'1. 현장별 인원현황'!$C:$J,2,0)=0,"",VLOOKUP($B124,'1. 현장별 인원현황'!$C:$J,2,0))</f>
        <v xml:space="preserve"> [1.진흥기업] 해링턴 플레이스 감삼 신축공사</v>
      </c>
      <c r="D124" s="70" t="str">
        <f>IF(VLOOKUP($B124,'1. 현장별 인원현황'!$C:$J,3,0)=0,"",VLOOKUP($B124,'1. 현장별 인원현황'!$C:$J,3,0))</f>
        <v>권대엽</v>
      </c>
      <c r="E124" s="74" t="str">
        <f ca="1">IF(VLOOKUP($B124,'1. 현장별 인원현황'!$C:$J,4,0)=0,"",VLOOKUP($B124,'1. 현장별 인원현황'!$C:$J,4,0))</f>
        <v>54세</v>
      </c>
      <c r="F124" s="70" t="str">
        <f>IF(VLOOKUP($B124,'1. 현장별 인원현황'!$C:$J,7,0)=0,"",VLOOKUP($B124,'1. 현장별 인원현황'!$C:$J,7,0))</f>
        <v>기능공</v>
      </c>
      <c r="G124" s="72" t="str">
        <f>IF(VLOOKUP($B124,'1. 현장별 인원현황'!$C:$J,8,0)=0,"",VLOOKUP($B124,'1. 현장별 인원현황'!$C:$J,8,0))</f>
        <v>전공</v>
      </c>
      <c r="H124" s="67"/>
      <c r="I124" s="73" t="s">
        <v>69</v>
      </c>
      <c r="J124" s="73"/>
      <c r="K124" s="68"/>
      <c r="L124" s="67"/>
      <c r="M124" s="73" t="s">
        <v>69</v>
      </c>
      <c r="N124" s="73"/>
      <c r="O124" s="68"/>
      <c r="P124" s="67"/>
      <c r="Q124" s="73"/>
      <c r="R124" s="73" t="s">
        <v>69</v>
      </c>
      <c r="S124" s="68"/>
      <c r="T124" s="67"/>
      <c r="U124" s="73" t="s">
        <v>69</v>
      </c>
      <c r="V124" s="73"/>
      <c r="W124" s="68"/>
      <c r="X124" s="67"/>
      <c r="Y124" s="73" t="s">
        <v>69</v>
      </c>
      <c r="Z124" s="73"/>
      <c r="AA124" s="68"/>
      <c r="AB124" s="67"/>
      <c r="AC124" s="73" t="s">
        <v>69</v>
      </c>
      <c r="AD124" s="73"/>
      <c r="AE124" s="68"/>
      <c r="AF124" s="67" t="s">
        <v>69</v>
      </c>
      <c r="AG124" s="73"/>
      <c r="AH124" s="73"/>
      <c r="AI124" s="68"/>
      <c r="AJ124" s="67"/>
      <c r="AK124" s="73" t="s">
        <v>69</v>
      </c>
      <c r="AL124" s="73"/>
      <c r="AM124" s="68"/>
      <c r="AN124" s="73"/>
      <c r="AO124" s="73" t="s">
        <v>69</v>
      </c>
      <c r="AP124" s="73"/>
      <c r="AQ124" s="68"/>
      <c r="AR124" s="67">
        <f t="shared" si="42"/>
        <v>76</v>
      </c>
      <c r="AS124" s="68" t="str">
        <f t="shared" si="43"/>
        <v>A</v>
      </c>
      <c r="AV124" s="49">
        <f t="shared" si="79"/>
        <v>0</v>
      </c>
      <c r="AW124" s="49">
        <f t="shared" si="44"/>
        <v>1</v>
      </c>
      <c r="AX124" s="49">
        <f t="shared" si="45"/>
        <v>0</v>
      </c>
      <c r="AY124" s="49">
        <f t="shared" si="46"/>
        <v>0</v>
      </c>
      <c r="AZ124" s="49">
        <f t="shared" si="47"/>
        <v>0</v>
      </c>
      <c r="BA124" s="49">
        <f t="shared" si="48"/>
        <v>1</v>
      </c>
      <c r="BB124" s="49">
        <f t="shared" si="49"/>
        <v>0</v>
      </c>
      <c r="BC124" s="49">
        <f t="shared" si="50"/>
        <v>0</v>
      </c>
      <c r="BD124" s="49">
        <f t="shared" si="51"/>
        <v>0</v>
      </c>
      <c r="BE124" s="49">
        <f t="shared" si="52"/>
        <v>0</v>
      </c>
      <c r="BF124" s="49">
        <f t="shared" si="53"/>
        <v>1</v>
      </c>
      <c r="BG124" s="49">
        <f t="shared" si="54"/>
        <v>0</v>
      </c>
      <c r="BH124" s="49">
        <f t="shared" si="55"/>
        <v>0</v>
      </c>
      <c r="BI124" s="49">
        <f t="shared" si="56"/>
        <v>1</v>
      </c>
      <c r="BJ124" s="49">
        <f t="shared" si="57"/>
        <v>0</v>
      </c>
      <c r="BK124" s="49">
        <f t="shared" si="58"/>
        <v>0</v>
      </c>
      <c r="BL124" s="49">
        <f t="shared" si="59"/>
        <v>0</v>
      </c>
      <c r="BM124" s="49">
        <f t="shared" si="60"/>
        <v>1</v>
      </c>
      <c r="BN124" s="49">
        <f t="shared" si="61"/>
        <v>0</v>
      </c>
      <c r="BO124" s="49">
        <f t="shared" si="62"/>
        <v>0</v>
      </c>
      <c r="BP124" s="49">
        <f t="shared" si="63"/>
        <v>0</v>
      </c>
      <c r="BQ124" s="49">
        <f t="shared" si="64"/>
        <v>1</v>
      </c>
      <c r="BR124" s="49">
        <f t="shared" si="65"/>
        <v>0</v>
      </c>
      <c r="BS124" s="49">
        <f t="shared" si="66"/>
        <v>0</v>
      </c>
      <c r="BT124" s="49">
        <f t="shared" si="67"/>
        <v>1</v>
      </c>
      <c r="BU124" s="49">
        <f t="shared" si="68"/>
        <v>0</v>
      </c>
      <c r="BV124" s="49">
        <f t="shared" si="69"/>
        <v>0</v>
      </c>
      <c r="BW124" s="49">
        <f t="shared" si="70"/>
        <v>0</v>
      </c>
      <c r="BX124" s="49">
        <f t="shared" si="71"/>
        <v>0</v>
      </c>
      <c r="BY124" s="49">
        <f t="shared" si="72"/>
        <v>1</v>
      </c>
      <c r="BZ124" s="49">
        <f t="shared" si="73"/>
        <v>0</v>
      </c>
      <c r="CA124" s="49">
        <f t="shared" si="74"/>
        <v>0</v>
      </c>
      <c r="CB124" s="49">
        <f t="shared" si="75"/>
        <v>0</v>
      </c>
      <c r="CC124" s="49">
        <f t="shared" si="76"/>
        <v>1</v>
      </c>
      <c r="CD124" s="49">
        <f t="shared" si="77"/>
        <v>0</v>
      </c>
      <c r="CE124" s="49">
        <f t="shared" si="78"/>
        <v>0</v>
      </c>
    </row>
    <row r="125" spans="1:83" ht="35.1" customHeight="1" x14ac:dyDescent="0.3">
      <c r="A125" s="123" t="str">
        <f t="shared" si="40"/>
        <v>1팀</v>
      </c>
      <c r="B125" s="69">
        <f t="shared" si="41"/>
        <v>119</v>
      </c>
      <c r="C125" s="120" t="str">
        <f>IF(VLOOKUP($B125,'1. 현장별 인원현황'!$C:$J,2,0)=0,"",VLOOKUP($B125,'1. 현장별 인원현황'!$C:$J,2,0))</f>
        <v xml:space="preserve"> [1.진흥기업] 해링턴 플레이스 감삼 신축공사</v>
      </c>
      <c r="D125" s="70" t="str">
        <f>IF(VLOOKUP($B125,'1. 현장별 인원현황'!$C:$J,3,0)=0,"",VLOOKUP($B125,'1. 현장별 인원현황'!$C:$J,3,0))</f>
        <v>김민규</v>
      </c>
      <c r="E125" s="74" t="str">
        <f ca="1">IF(VLOOKUP($B125,'1. 현장별 인원현황'!$C:$J,4,0)=0,"",VLOOKUP($B125,'1. 현장별 인원현황'!$C:$J,4,0))</f>
        <v>27세</v>
      </c>
      <c r="F125" s="70" t="str">
        <f>IF(VLOOKUP($B125,'1. 현장별 인원현황'!$C:$J,7,0)=0,"",VLOOKUP($B125,'1. 현장별 인원현황'!$C:$J,7,0))</f>
        <v>기능공</v>
      </c>
      <c r="G125" s="72" t="str">
        <f>IF(VLOOKUP($B125,'1. 현장별 인원현황'!$C:$J,8,0)=0,"",VLOOKUP($B125,'1. 현장별 인원현황'!$C:$J,8,0))</f>
        <v>전공</v>
      </c>
      <c r="H125" s="67"/>
      <c r="I125" s="73"/>
      <c r="J125" s="73" t="s">
        <v>69</v>
      </c>
      <c r="K125" s="68"/>
      <c r="L125" s="67"/>
      <c r="M125" s="73" t="s">
        <v>69</v>
      </c>
      <c r="N125" s="73"/>
      <c r="O125" s="68"/>
      <c r="P125" s="67"/>
      <c r="Q125" s="73" t="s">
        <v>69</v>
      </c>
      <c r="R125" s="73"/>
      <c r="S125" s="68"/>
      <c r="T125" s="67"/>
      <c r="U125" s="73"/>
      <c r="V125" s="73" t="s">
        <v>69</v>
      </c>
      <c r="W125" s="68"/>
      <c r="X125" s="67"/>
      <c r="Y125" s="73" t="s">
        <v>69</v>
      </c>
      <c r="Z125" s="73"/>
      <c r="AA125" s="68"/>
      <c r="AB125" s="67"/>
      <c r="AC125" s="73" t="s">
        <v>69</v>
      </c>
      <c r="AD125" s="73"/>
      <c r="AE125" s="68"/>
      <c r="AF125" s="67" t="s">
        <v>69</v>
      </c>
      <c r="AG125" s="73"/>
      <c r="AH125" s="73"/>
      <c r="AI125" s="68"/>
      <c r="AJ125" s="67" t="s">
        <v>69</v>
      </c>
      <c r="AK125" s="73"/>
      <c r="AL125" s="73"/>
      <c r="AM125" s="68"/>
      <c r="AN125" s="73"/>
      <c r="AO125" s="73" t="s">
        <v>69</v>
      </c>
      <c r="AP125" s="73"/>
      <c r="AQ125" s="68"/>
      <c r="AR125" s="67">
        <f t="shared" si="42"/>
        <v>77</v>
      </c>
      <c r="AS125" s="68" t="str">
        <f t="shared" si="43"/>
        <v>A</v>
      </c>
      <c r="AV125" s="49">
        <f t="shared" si="79"/>
        <v>0</v>
      </c>
      <c r="AW125" s="49">
        <f t="shared" si="44"/>
        <v>0</v>
      </c>
      <c r="AX125" s="49">
        <f t="shared" si="45"/>
        <v>1</v>
      </c>
      <c r="AY125" s="49">
        <f t="shared" si="46"/>
        <v>0</v>
      </c>
      <c r="AZ125" s="49">
        <f t="shared" si="47"/>
        <v>0</v>
      </c>
      <c r="BA125" s="49">
        <f t="shared" si="48"/>
        <v>1</v>
      </c>
      <c r="BB125" s="49">
        <f t="shared" si="49"/>
        <v>0</v>
      </c>
      <c r="BC125" s="49">
        <f t="shared" si="50"/>
        <v>0</v>
      </c>
      <c r="BD125" s="49">
        <f t="shared" si="51"/>
        <v>0</v>
      </c>
      <c r="BE125" s="49">
        <f t="shared" si="52"/>
        <v>1</v>
      </c>
      <c r="BF125" s="49">
        <f t="shared" si="53"/>
        <v>0</v>
      </c>
      <c r="BG125" s="49">
        <f t="shared" si="54"/>
        <v>0</v>
      </c>
      <c r="BH125" s="49">
        <f t="shared" si="55"/>
        <v>0</v>
      </c>
      <c r="BI125" s="49">
        <f t="shared" si="56"/>
        <v>0</v>
      </c>
      <c r="BJ125" s="49">
        <f t="shared" si="57"/>
        <v>1</v>
      </c>
      <c r="BK125" s="49">
        <f t="shared" si="58"/>
        <v>0</v>
      </c>
      <c r="BL125" s="49">
        <f t="shared" si="59"/>
        <v>0</v>
      </c>
      <c r="BM125" s="49">
        <f t="shared" si="60"/>
        <v>1</v>
      </c>
      <c r="BN125" s="49">
        <f t="shared" si="61"/>
        <v>0</v>
      </c>
      <c r="BO125" s="49">
        <f t="shared" si="62"/>
        <v>0</v>
      </c>
      <c r="BP125" s="49">
        <f t="shared" si="63"/>
        <v>0</v>
      </c>
      <c r="BQ125" s="49">
        <f t="shared" si="64"/>
        <v>1</v>
      </c>
      <c r="BR125" s="49">
        <f t="shared" si="65"/>
        <v>0</v>
      </c>
      <c r="BS125" s="49">
        <f t="shared" si="66"/>
        <v>0</v>
      </c>
      <c r="BT125" s="49">
        <f t="shared" si="67"/>
        <v>1</v>
      </c>
      <c r="BU125" s="49">
        <f t="shared" si="68"/>
        <v>0</v>
      </c>
      <c r="BV125" s="49">
        <f t="shared" si="69"/>
        <v>0</v>
      </c>
      <c r="BW125" s="49">
        <f t="shared" si="70"/>
        <v>0</v>
      </c>
      <c r="BX125" s="49">
        <f t="shared" si="71"/>
        <v>1</v>
      </c>
      <c r="BY125" s="49">
        <f t="shared" si="72"/>
        <v>0</v>
      </c>
      <c r="BZ125" s="49">
        <f t="shared" si="73"/>
        <v>0</v>
      </c>
      <c r="CA125" s="49">
        <f t="shared" si="74"/>
        <v>0</v>
      </c>
      <c r="CB125" s="49">
        <f t="shared" si="75"/>
        <v>0</v>
      </c>
      <c r="CC125" s="49">
        <f t="shared" si="76"/>
        <v>1</v>
      </c>
      <c r="CD125" s="49">
        <f t="shared" si="77"/>
        <v>0</v>
      </c>
      <c r="CE125" s="49">
        <f t="shared" si="78"/>
        <v>0</v>
      </c>
    </row>
    <row r="126" spans="1:83" ht="35.1" customHeight="1" x14ac:dyDescent="0.3">
      <c r="A126" s="123" t="str">
        <f t="shared" si="40"/>
        <v>1팀</v>
      </c>
      <c r="B126" s="69">
        <f t="shared" si="41"/>
        <v>120</v>
      </c>
      <c r="C126" s="120" t="str">
        <f>IF(VLOOKUP($B126,'1. 현장별 인원현황'!$C:$J,2,0)=0,"",VLOOKUP($B126,'1. 현장별 인원현황'!$C:$J,2,0))</f>
        <v xml:space="preserve"> [1.진흥기업] 해링턴 플레이스 감삼 신축공사</v>
      </c>
      <c r="D126" s="70" t="str">
        <f>IF(VLOOKUP($B126,'1. 현장별 인원현황'!$C:$J,3,0)=0,"",VLOOKUP($B126,'1. 현장별 인원현황'!$C:$J,3,0))</f>
        <v>박도원</v>
      </c>
      <c r="E126" s="74" t="str">
        <f ca="1">IF(VLOOKUP($B126,'1. 현장별 인원현황'!$C:$J,4,0)=0,"",VLOOKUP($B126,'1. 현장별 인원현황'!$C:$J,4,0))</f>
        <v>31세</v>
      </c>
      <c r="F126" s="70" t="str">
        <f>IF(VLOOKUP($B126,'1. 현장별 인원현황'!$C:$J,7,0)=0,"",VLOOKUP($B126,'1. 현장별 인원현황'!$C:$J,7,0))</f>
        <v>기능공</v>
      </c>
      <c r="G126" s="72" t="str">
        <f>IF(VLOOKUP($B126,'1. 현장별 인원현황'!$C:$J,8,0)=0,"",VLOOKUP($B126,'1. 현장별 인원현황'!$C:$J,8,0))</f>
        <v>조공</v>
      </c>
      <c r="H126" s="67"/>
      <c r="I126" s="73"/>
      <c r="J126" s="73"/>
      <c r="K126" s="68" t="s">
        <v>69</v>
      </c>
      <c r="L126" s="67"/>
      <c r="M126" s="73" t="s">
        <v>69</v>
      </c>
      <c r="N126" s="73"/>
      <c r="O126" s="68"/>
      <c r="P126" s="67"/>
      <c r="Q126" s="73"/>
      <c r="R126" s="73" t="s">
        <v>69</v>
      </c>
      <c r="S126" s="68"/>
      <c r="T126" s="67"/>
      <c r="U126" s="73"/>
      <c r="V126" s="73" t="s">
        <v>69</v>
      </c>
      <c r="W126" s="68"/>
      <c r="X126" s="67"/>
      <c r="Y126" s="73"/>
      <c r="Z126" s="73" t="s">
        <v>69</v>
      </c>
      <c r="AA126" s="68"/>
      <c r="AB126" s="67"/>
      <c r="AC126" s="73" t="s">
        <v>69</v>
      </c>
      <c r="AD126" s="73"/>
      <c r="AE126" s="68"/>
      <c r="AF126" s="67"/>
      <c r="AG126" s="73"/>
      <c r="AH126" s="73" t="s">
        <v>69</v>
      </c>
      <c r="AI126" s="68"/>
      <c r="AJ126" s="67"/>
      <c r="AK126" s="73" t="s">
        <v>69</v>
      </c>
      <c r="AL126" s="73"/>
      <c r="AM126" s="68"/>
      <c r="AN126" s="73" t="s">
        <v>69</v>
      </c>
      <c r="AO126" s="73"/>
      <c r="AP126" s="73"/>
      <c r="AQ126" s="68"/>
      <c r="AR126" s="67">
        <f t="shared" si="42"/>
        <v>65</v>
      </c>
      <c r="AS126" s="68" t="str">
        <f t="shared" si="43"/>
        <v>B</v>
      </c>
      <c r="AV126" s="49">
        <f t="shared" si="79"/>
        <v>0</v>
      </c>
      <c r="AW126" s="49">
        <f t="shared" si="44"/>
        <v>0</v>
      </c>
      <c r="AX126" s="49">
        <f t="shared" si="45"/>
        <v>0</v>
      </c>
      <c r="AY126" s="49">
        <f t="shared" si="46"/>
        <v>1</v>
      </c>
      <c r="AZ126" s="49">
        <f t="shared" si="47"/>
        <v>0</v>
      </c>
      <c r="BA126" s="49">
        <f t="shared" si="48"/>
        <v>1</v>
      </c>
      <c r="BB126" s="49">
        <f t="shared" si="49"/>
        <v>0</v>
      </c>
      <c r="BC126" s="49">
        <f t="shared" si="50"/>
        <v>0</v>
      </c>
      <c r="BD126" s="49">
        <f t="shared" si="51"/>
        <v>0</v>
      </c>
      <c r="BE126" s="49">
        <f t="shared" si="52"/>
        <v>0</v>
      </c>
      <c r="BF126" s="49">
        <f t="shared" si="53"/>
        <v>1</v>
      </c>
      <c r="BG126" s="49">
        <f t="shared" si="54"/>
        <v>0</v>
      </c>
      <c r="BH126" s="49">
        <f t="shared" si="55"/>
        <v>0</v>
      </c>
      <c r="BI126" s="49">
        <f t="shared" si="56"/>
        <v>0</v>
      </c>
      <c r="BJ126" s="49">
        <f t="shared" si="57"/>
        <v>1</v>
      </c>
      <c r="BK126" s="49">
        <f t="shared" si="58"/>
        <v>0</v>
      </c>
      <c r="BL126" s="49">
        <f t="shared" si="59"/>
        <v>0</v>
      </c>
      <c r="BM126" s="49">
        <f t="shared" si="60"/>
        <v>0</v>
      </c>
      <c r="BN126" s="49">
        <f t="shared" si="61"/>
        <v>1</v>
      </c>
      <c r="BO126" s="49">
        <f t="shared" si="62"/>
        <v>0</v>
      </c>
      <c r="BP126" s="49">
        <f t="shared" si="63"/>
        <v>0</v>
      </c>
      <c r="BQ126" s="49">
        <f t="shared" si="64"/>
        <v>1</v>
      </c>
      <c r="BR126" s="49">
        <f t="shared" si="65"/>
        <v>0</v>
      </c>
      <c r="BS126" s="49">
        <f t="shared" si="66"/>
        <v>0</v>
      </c>
      <c r="BT126" s="49">
        <f t="shared" si="67"/>
        <v>0</v>
      </c>
      <c r="BU126" s="49">
        <f t="shared" si="68"/>
        <v>0</v>
      </c>
      <c r="BV126" s="49">
        <f t="shared" si="69"/>
        <v>1</v>
      </c>
      <c r="BW126" s="49">
        <f t="shared" si="70"/>
        <v>0</v>
      </c>
      <c r="BX126" s="49">
        <f t="shared" si="71"/>
        <v>0</v>
      </c>
      <c r="BY126" s="49">
        <f t="shared" si="72"/>
        <v>1</v>
      </c>
      <c r="BZ126" s="49">
        <f t="shared" si="73"/>
        <v>0</v>
      </c>
      <c r="CA126" s="49">
        <f t="shared" si="74"/>
        <v>0</v>
      </c>
      <c r="CB126" s="49">
        <f t="shared" si="75"/>
        <v>1</v>
      </c>
      <c r="CC126" s="49">
        <f t="shared" si="76"/>
        <v>0</v>
      </c>
      <c r="CD126" s="49">
        <f t="shared" si="77"/>
        <v>0</v>
      </c>
      <c r="CE126" s="49">
        <f t="shared" si="78"/>
        <v>0</v>
      </c>
    </row>
    <row r="127" spans="1:83" ht="35.1" customHeight="1" x14ac:dyDescent="0.3">
      <c r="A127" s="123" t="str">
        <f t="shared" si="40"/>
        <v>1팀</v>
      </c>
      <c r="B127" s="69">
        <f t="shared" si="41"/>
        <v>121</v>
      </c>
      <c r="C127" s="120" t="str">
        <f>IF(VLOOKUP($B127,'1. 현장별 인원현황'!$C:$J,2,0)=0,"",VLOOKUP($B127,'1. 현장별 인원현황'!$C:$J,2,0))</f>
        <v xml:space="preserve"> [1.진흥기업] 해링턴 플레이스 감삼 신축공사</v>
      </c>
      <c r="D127" s="70" t="str">
        <f>IF(VLOOKUP($B127,'1. 현장별 인원현황'!$C:$J,3,0)=0,"",VLOOKUP($B127,'1. 현장별 인원현황'!$C:$J,3,0))</f>
        <v>박민호</v>
      </c>
      <c r="E127" s="74" t="str">
        <f ca="1">IF(VLOOKUP($B127,'1. 현장별 인원현황'!$C:$J,4,0)=0,"",VLOOKUP($B127,'1. 현장별 인원현황'!$C:$J,4,0))</f>
        <v>55세</v>
      </c>
      <c r="F127" s="70" t="str">
        <f>IF(VLOOKUP($B127,'1. 현장별 인원현황'!$C:$J,7,0)=0,"",VLOOKUP($B127,'1. 현장별 인원현황'!$C:$J,7,0))</f>
        <v>기능공</v>
      </c>
      <c r="G127" s="72" t="str">
        <f>IF(VLOOKUP($B127,'1. 현장별 인원현황'!$C:$J,8,0)=0,"",VLOOKUP($B127,'1. 현장별 인원현황'!$C:$J,8,0))</f>
        <v>조공</v>
      </c>
      <c r="H127" s="67"/>
      <c r="I127" s="73"/>
      <c r="J127" s="73"/>
      <c r="K127" s="68" t="s">
        <v>69</v>
      </c>
      <c r="L127" s="67"/>
      <c r="M127" s="73"/>
      <c r="N127" s="73" t="s">
        <v>69</v>
      </c>
      <c r="O127" s="68"/>
      <c r="P127" s="67"/>
      <c r="Q127" s="73"/>
      <c r="R127" s="73" t="s">
        <v>69</v>
      </c>
      <c r="S127" s="68"/>
      <c r="T127" s="67"/>
      <c r="U127" s="73"/>
      <c r="V127" s="73" t="s">
        <v>69</v>
      </c>
      <c r="W127" s="68"/>
      <c r="X127" s="67"/>
      <c r="Y127" s="73" t="s">
        <v>69</v>
      </c>
      <c r="Z127" s="73"/>
      <c r="AA127" s="68"/>
      <c r="AB127" s="67"/>
      <c r="AC127" s="73"/>
      <c r="AD127" s="73" t="s">
        <v>69</v>
      </c>
      <c r="AE127" s="68"/>
      <c r="AF127" s="67"/>
      <c r="AG127" s="73"/>
      <c r="AH127" s="73" t="s">
        <v>69</v>
      </c>
      <c r="AI127" s="68"/>
      <c r="AJ127" s="67"/>
      <c r="AK127" s="73" t="s">
        <v>69</v>
      </c>
      <c r="AL127" s="73"/>
      <c r="AM127" s="68"/>
      <c r="AN127" s="73" t="s">
        <v>69</v>
      </c>
      <c r="AO127" s="73"/>
      <c r="AP127" s="73"/>
      <c r="AQ127" s="68"/>
      <c r="AR127" s="67">
        <f t="shared" si="42"/>
        <v>62</v>
      </c>
      <c r="AS127" s="68" t="str">
        <f t="shared" si="43"/>
        <v>B</v>
      </c>
      <c r="AV127" s="49">
        <f t="shared" si="79"/>
        <v>0</v>
      </c>
      <c r="AW127" s="49">
        <f t="shared" si="44"/>
        <v>0</v>
      </c>
      <c r="AX127" s="49">
        <f t="shared" si="45"/>
        <v>0</v>
      </c>
      <c r="AY127" s="49">
        <f t="shared" si="46"/>
        <v>1</v>
      </c>
      <c r="AZ127" s="49">
        <f t="shared" si="47"/>
        <v>0</v>
      </c>
      <c r="BA127" s="49">
        <f t="shared" si="48"/>
        <v>0</v>
      </c>
      <c r="BB127" s="49">
        <f t="shared" si="49"/>
        <v>1</v>
      </c>
      <c r="BC127" s="49">
        <f t="shared" si="50"/>
        <v>0</v>
      </c>
      <c r="BD127" s="49">
        <f t="shared" si="51"/>
        <v>0</v>
      </c>
      <c r="BE127" s="49">
        <f t="shared" si="52"/>
        <v>0</v>
      </c>
      <c r="BF127" s="49">
        <f t="shared" si="53"/>
        <v>1</v>
      </c>
      <c r="BG127" s="49">
        <f t="shared" si="54"/>
        <v>0</v>
      </c>
      <c r="BH127" s="49">
        <f t="shared" si="55"/>
        <v>0</v>
      </c>
      <c r="BI127" s="49">
        <f t="shared" si="56"/>
        <v>0</v>
      </c>
      <c r="BJ127" s="49">
        <f t="shared" si="57"/>
        <v>1</v>
      </c>
      <c r="BK127" s="49">
        <f t="shared" si="58"/>
        <v>0</v>
      </c>
      <c r="BL127" s="49">
        <f t="shared" si="59"/>
        <v>0</v>
      </c>
      <c r="BM127" s="49">
        <f t="shared" si="60"/>
        <v>1</v>
      </c>
      <c r="BN127" s="49">
        <f t="shared" si="61"/>
        <v>0</v>
      </c>
      <c r="BO127" s="49">
        <f t="shared" si="62"/>
        <v>0</v>
      </c>
      <c r="BP127" s="49">
        <f t="shared" si="63"/>
        <v>0</v>
      </c>
      <c r="BQ127" s="49">
        <f t="shared" si="64"/>
        <v>0</v>
      </c>
      <c r="BR127" s="49">
        <f t="shared" si="65"/>
        <v>1</v>
      </c>
      <c r="BS127" s="49">
        <f t="shared" si="66"/>
        <v>0</v>
      </c>
      <c r="BT127" s="49">
        <f t="shared" si="67"/>
        <v>0</v>
      </c>
      <c r="BU127" s="49">
        <f t="shared" si="68"/>
        <v>0</v>
      </c>
      <c r="BV127" s="49">
        <f t="shared" si="69"/>
        <v>1</v>
      </c>
      <c r="BW127" s="49">
        <f t="shared" si="70"/>
        <v>0</v>
      </c>
      <c r="BX127" s="49">
        <f t="shared" si="71"/>
        <v>0</v>
      </c>
      <c r="BY127" s="49">
        <f t="shared" si="72"/>
        <v>1</v>
      </c>
      <c r="BZ127" s="49">
        <f t="shared" si="73"/>
        <v>0</v>
      </c>
      <c r="CA127" s="49">
        <f t="shared" si="74"/>
        <v>0</v>
      </c>
      <c r="CB127" s="49">
        <f t="shared" si="75"/>
        <v>1</v>
      </c>
      <c r="CC127" s="49">
        <f t="shared" si="76"/>
        <v>0</v>
      </c>
      <c r="CD127" s="49">
        <f t="shared" si="77"/>
        <v>0</v>
      </c>
      <c r="CE127" s="49">
        <f t="shared" si="78"/>
        <v>0</v>
      </c>
    </row>
    <row r="128" spans="1:83" ht="35.1" customHeight="1" x14ac:dyDescent="0.3">
      <c r="A128" s="123" t="str">
        <f t="shared" si="40"/>
        <v>1팀</v>
      </c>
      <c r="B128" s="69">
        <f t="shared" si="41"/>
        <v>122</v>
      </c>
      <c r="C128" s="120" t="str">
        <f>IF(VLOOKUP($B128,'1. 현장별 인원현황'!$C:$J,2,0)=0,"",VLOOKUP($B128,'1. 현장별 인원현황'!$C:$J,2,0))</f>
        <v xml:space="preserve"> [1.진흥기업] 해링턴 플레이스 감삼 신축공사</v>
      </c>
      <c r="D128" s="70" t="str">
        <f>IF(VLOOKUP($B128,'1. 현장별 인원현황'!$C:$J,3,0)=0,"",VLOOKUP($B128,'1. 현장별 인원현황'!$C:$J,3,0))</f>
        <v>박성호</v>
      </c>
      <c r="E128" s="74" t="str">
        <f ca="1">IF(VLOOKUP($B128,'1. 현장별 인원현황'!$C:$J,4,0)=0,"",VLOOKUP($B128,'1. 현장별 인원현황'!$C:$J,4,0))</f>
        <v>58세</v>
      </c>
      <c r="F128" s="70" t="str">
        <f>IF(VLOOKUP($B128,'1. 현장별 인원현황'!$C:$J,7,0)=0,"",VLOOKUP($B128,'1. 현장별 인원현황'!$C:$J,7,0))</f>
        <v>기능공</v>
      </c>
      <c r="G128" s="72" t="str">
        <f>IF(VLOOKUP($B128,'1. 현장별 인원현황'!$C:$J,8,0)=0,"",VLOOKUP($B128,'1. 현장별 인원현황'!$C:$J,8,0))</f>
        <v>전공</v>
      </c>
      <c r="H128" s="67" t="s">
        <v>69</v>
      </c>
      <c r="I128" s="73"/>
      <c r="J128" s="73"/>
      <c r="K128" s="68"/>
      <c r="L128" s="67" t="s">
        <v>69</v>
      </c>
      <c r="M128" s="73"/>
      <c r="N128" s="73"/>
      <c r="O128" s="68"/>
      <c r="P128" s="67" t="s">
        <v>69</v>
      </c>
      <c r="Q128" s="73"/>
      <c r="R128" s="73"/>
      <c r="S128" s="68"/>
      <c r="T128" s="67" t="s">
        <v>69</v>
      </c>
      <c r="U128" s="73"/>
      <c r="V128" s="73"/>
      <c r="W128" s="68"/>
      <c r="X128" s="67"/>
      <c r="Y128" s="73" t="s">
        <v>69</v>
      </c>
      <c r="Z128" s="73"/>
      <c r="AA128" s="68"/>
      <c r="AB128" s="67" t="s">
        <v>69</v>
      </c>
      <c r="AC128" s="73"/>
      <c r="AD128" s="73"/>
      <c r="AE128" s="68"/>
      <c r="AF128" s="67" t="s">
        <v>69</v>
      </c>
      <c r="AG128" s="73"/>
      <c r="AH128" s="73"/>
      <c r="AI128" s="68"/>
      <c r="AJ128" s="67"/>
      <c r="AK128" s="73" t="s">
        <v>69</v>
      </c>
      <c r="AL128" s="73"/>
      <c r="AM128" s="68"/>
      <c r="AN128" s="73" t="s">
        <v>69</v>
      </c>
      <c r="AO128" s="73"/>
      <c r="AP128" s="73"/>
      <c r="AQ128" s="68"/>
      <c r="AR128" s="67">
        <f t="shared" si="42"/>
        <v>95</v>
      </c>
      <c r="AS128" s="68" t="str">
        <f t="shared" si="43"/>
        <v>S</v>
      </c>
      <c r="AV128" s="49">
        <f t="shared" si="79"/>
        <v>1</v>
      </c>
      <c r="AW128" s="49">
        <f t="shared" si="44"/>
        <v>0</v>
      </c>
      <c r="AX128" s="49">
        <f t="shared" si="45"/>
        <v>0</v>
      </c>
      <c r="AY128" s="49">
        <f t="shared" si="46"/>
        <v>0</v>
      </c>
      <c r="AZ128" s="49">
        <f t="shared" si="47"/>
        <v>1</v>
      </c>
      <c r="BA128" s="49">
        <f t="shared" si="48"/>
        <v>0</v>
      </c>
      <c r="BB128" s="49">
        <f t="shared" si="49"/>
        <v>0</v>
      </c>
      <c r="BC128" s="49">
        <f t="shared" si="50"/>
        <v>0</v>
      </c>
      <c r="BD128" s="49">
        <f t="shared" si="51"/>
        <v>1</v>
      </c>
      <c r="BE128" s="49">
        <f t="shared" si="52"/>
        <v>0</v>
      </c>
      <c r="BF128" s="49">
        <f t="shared" si="53"/>
        <v>0</v>
      </c>
      <c r="BG128" s="49">
        <f t="shared" si="54"/>
        <v>0</v>
      </c>
      <c r="BH128" s="49">
        <f t="shared" si="55"/>
        <v>1</v>
      </c>
      <c r="BI128" s="49">
        <f t="shared" si="56"/>
        <v>0</v>
      </c>
      <c r="BJ128" s="49">
        <f t="shared" si="57"/>
        <v>0</v>
      </c>
      <c r="BK128" s="49">
        <f t="shared" si="58"/>
        <v>0</v>
      </c>
      <c r="BL128" s="49">
        <f t="shared" si="59"/>
        <v>0</v>
      </c>
      <c r="BM128" s="49">
        <f t="shared" si="60"/>
        <v>1</v>
      </c>
      <c r="BN128" s="49">
        <f t="shared" si="61"/>
        <v>0</v>
      </c>
      <c r="BO128" s="49">
        <f t="shared" si="62"/>
        <v>0</v>
      </c>
      <c r="BP128" s="49">
        <f t="shared" si="63"/>
        <v>1</v>
      </c>
      <c r="BQ128" s="49">
        <f t="shared" si="64"/>
        <v>0</v>
      </c>
      <c r="BR128" s="49">
        <f t="shared" si="65"/>
        <v>0</v>
      </c>
      <c r="BS128" s="49">
        <f t="shared" si="66"/>
        <v>0</v>
      </c>
      <c r="BT128" s="49">
        <f t="shared" si="67"/>
        <v>1</v>
      </c>
      <c r="BU128" s="49">
        <f t="shared" si="68"/>
        <v>0</v>
      </c>
      <c r="BV128" s="49">
        <f t="shared" si="69"/>
        <v>0</v>
      </c>
      <c r="BW128" s="49">
        <f t="shared" si="70"/>
        <v>0</v>
      </c>
      <c r="BX128" s="49">
        <f t="shared" si="71"/>
        <v>0</v>
      </c>
      <c r="BY128" s="49">
        <f t="shared" si="72"/>
        <v>1</v>
      </c>
      <c r="BZ128" s="49">
        <f t="shared" si="73"/>
        <v>0</v>
      </c>
      <c r="CA128" s="49">
        <f t="shared" si="74"/>
        <v>0</v>
      </c>
      <c r="CB128" s="49">
        <f t="shared" si="75"/>
        <v>1</v>
      </c>
      <c r="CC128" s="49">
        <f t="shared" si="76"/>
        <v>0</v>
      </c>
      <c r="CD128" s="49">
        <f t="shared" si="77"/>
        <v>0</v>
      </c>
      <c r="CE128" s="49">
        <f t="shared" si="78"/>
        <v>0</v>
      </c>
    </row>
    <row r="129" spans="1:83" ht="35.1" customHeight="1" x14ac:dyDescent="0.3">
      <c r="A129" s="123" t="str">
        <f t="shared" si="40"/>
        <v>1팀</v>
      </c>
      <c r="B129" s="69">
        <f t="shared" si="41"/>
        <v>123</v>
      </c>
      <c r="C129" s="120" t="str">
        <f>IF(VLOOKUP($B129,'1. 현장별 인원현황'!$C:$J,2,0)=0,"",VLOOKUP($B129,'1. 현장별 인원현황'!$C:$J,2,0))</f>
        <v xml:space="preserve"> [1.진흥기업] 해링턴 플레이스 감삼 신축공사</v>
      </c>
      <c r="D129" s="70" t="str">
        <f>IF(VLOOKUP($B129,'1. 현장별 인원현황'!$C:$J,3,0)=0,"",VLOOKUP($B129,'1. 현장별 인원현황'!$C:$J,3,0))</f>
        <v>박찬선</v>
      </c>
      <c r="E129" s="74" t="str">
        <f ca="1">IF(VLOOKUP($B129,'1. 현장별 인원현황'!$C:$J,4,0)=0,"",VLOOKUP($B129,'1. 현장별 인원현황'!$C:$J,4,0))</f>
        <v>52세</v>
      </c>
      <c r="F129" s="70" t="str">
        <f>IF(VLOOKUP($B129,'1. 현장별 인원현황'!$C:$J,7,0)=0,"",VLOOKUP($B129,'1. 현장별 인원현황'!$C:$J,7,0))</f>
        <v>기능공</v>
      </c>
      <c r="G129" s="72" t="str">
        <f>IF(VLOOKUP($B129,'1. 현장별 인원현황'!$C:$J,8,0)=0,"",VLOOKUP($B129,'1. 현장별 인원현황'!$C:$J,8,0))</f>
        <v>전공</v>
      </c>
      <c r="H129" s="67"/>
      <c r="I129" s="73"/>
      <c r="J129" s="73" t="s">
        <v>69</v>
      </c>
      <c r="K129" s="68"/>
      <c r="L129" s="67"/>
      <c r="M129" s="73"/>
      <c r="N129" s="73" t="s">
        <v>69</v>
      </c>
      <c r="O129" s="68"/>
      <c r="P129" s="67"/>
      <c r="Q129" s="73"/>
      <c r="R129" s="73"/>
      <c r="S129" s="68" t="s">
        <v>69</v>
      </c>
      <c r="T129" s="67"/>
      <c r="U129" s="73"/>
      <c r="V129" s="73" t="s">
        <v>69</v>
      </c>
      <c r="W129" s="68"/>
      <c r="X129" s="67"/>
      <c r="Y129" s="73" t="s">
        <v>69</v>
      </c>
      <c r="Z129" s="73"/>
      <c r="AA129" s="68"/>
      <c r="AB129" s="67"/>
      <c r="AC129" s="73"/>
      <c r="AD129" s="73" t="s">
        <v>69</v>
      </c>
      <c r="AE129" s="68"/>
      <c r="AF129" s="67"/>
      <c r="AG129" s="73"/>
      <c r="AH129" s="73" t="s">
        <v>69</v>
      </c>
      <c r="AI129" s="68"/>
      <c r="AJ129" s="67"/>
      <c r="AK129" s="73" t="s">
        <v>69</v>
      </c>
      <c r="AL129" s="73"/>
      <c r="AM129" s="68"/>
      <c r="AN129" s="73"/>
      <c r="AO129" s="73"/>
      <c r="AP129" s="73"/>
      <c r="AQ129" s="68" t="s">
        <v>69</v>
      </c>
      <c r="AR129" s="67">
        <f t="shared" si="42"/>
        <v>53</v>
      </c>
      <c r="AS129" s="68" t="str">
        <f t="shared" si="43"/>
        <v>B</v>
      </c>
      <c r="AV129" s="49">
        <f t="shared" si="79"/>
        <v>0</v>
      </c>
      <c r="AW129" s="49">
        <f t="shared" si="44"/>
        <v>0</v>
      </c>
      <c r="AX129" s="49">
        <f t="shared" si="45"/>
        <v>1</v>
      </c>
      <c r="AY129" s="49">
        <f t="shared" si="46"/>
        <v>0</v>
      </c>
      <c r="AZ129" s="49">
        <f t="shared" si="47"/>
        <v>0</v>
      </c>
      <c r="BA129" s="49">
        <f t="shared" si="48"/>
        <v>0</v>
      </c>
      <c r="BB129" s="49">
        <f t="shared" si="49"/>
        <v>1</v>
      </c>
      <c r="BC129" s="49">
        <f t="shared" si="50"/>
        <v>0</v>
      </c>
      <c r="BD129" s="49">
        <f t="shared" si="51"/>
        <v>0</v>
      </c>
      <c r="BE129" s="49">
        <f t="shared" si="52"/>
        <v>0</v>
      </c>
      <c r="BF129" s="49">
        <f t="shared" si="53"/>
        <v>0</v>
      </c>
      <c r="BG129" s="49">
        <f t="shared" si="54"/>
        <v>1</v>
      </c>
      <c r="BH129" s="49">
        <f t="shared" si="55"/>
        <v>0</v>
      </c>
      <c r="BI129" s="49">
        <f t="shared" si="56"/>
        <v>0</v>
      </c>
      <c r="BJ129" s="49">
        <f t="shared" si="57"/>
        <v>1</v>
      </c>
      <c r="BK129" s="49">
        <f t="shared" si="58"/>
        <v>0</v>
      </c>
      <c r="BL129" s="49">
        <f t="shared" si="59"/>
        <v>0</v>
      </c>
      <c r="BM129" s="49">
        <f t="shared" si="60"/>
        <v>1</v>
      </c>
      <c r="BN129" s="49">
        <f t="shared" si="61"/>
        <v>0</v>
      </c>
      <c r="BO129" s="49">
        <f t="shared" si="62"/>
        <v>0</v>
      </c>
      <c r="BP129" s="49">
        <f t="shared" si="63"/>
        <v>0</v>
      </c>
      <c r="BQ129" s="49">
        <f t="shared" si="64"/>
        <v>0</v>
      </c>
      <c r="BR129" s="49">
        <f t="shared" si="65"/>
        <v>1</v>
      </c>
      <c r="BS129" s="49">
        <f t="shared" si="66"/>
        <v>0</v>
      </c>
      <c r="BT129" s="49">
        <f t="shared" si="67"/>
        <v>0</v>
      </c>
      <c r="BU129" s="49">
        <f t="shared" si="68"/>
        <v>0</v>
      </c>
      <c r="BV129" s="49">
        <f t="shared" si="69"/>
        <v>1</v>
      </c>
      <c r="BW129" s="49">
        <f t="shared" si="70"/>
        <v>0</v>
      </c>
      <c r="BX129" s="49">
        <f t="shared" si="71"/>
        <v>0</v>
      </c>
      <c r="BY129" s="49">
        <f t="shared" si="72"/>
        <v>1</v>
      </c>
      <c r="BZ129" s="49">
        <f t="shared" si="73"/>
        <v>0</v>
      </c>
      <c r="CA129" s="49">
        <f t="shared" si="74"/>
        <v>0</v>
      </c>
      <c r="CB129" s="49">
        <f t="shared" si="75"/>
        <v>0</v>
      </c>
      <c r="CC129" s="49">
        <f t="shared" si="76"/>
        <v>0</v>
      </c>
      <c r="CD129" s="49">
        <f t="shared" si="77"/>
        <v>0</v>
      </c>
      <c r="CE129" s="49">
        <f t="shared" si="78"/>
        <v>1</v>
      </c>
    </row>
    <row r="130" spans="1:83" ht="35.1" customHeight="1" x14ac:dyDescent="0.3">
      <c r="A130" s="123" t="str">
        <f t="shared" si="40"/>
        <v>1팀</v>
      </c>
      <c r="B130" s="69">
        <f t="shared" si="41"/>
        <v>124</v>
      </c>
      <c r="C130" s="120" t="str">
        <f>IF(VLOOKUP($B130,'1. 현장별 인원현황'!$C:$J,2,0)=0,"",VLOOKUP($B130,'1. 현장별 인원현황'!$C:$J,2,0))</f>
        <v xml:space="preserve"> [1.진흥기업] 해링턴 플레이스 감삼 신축공사</v>
      </c>
      <c r="D130" s="70" t="str">
        <f>IF(VLOOKUP($B130,'1. 현장별 인원현황'!$C:$J,3,0)=0,"",VLOOKUP($B130,'1. 현장별 인원현황'!$C:$J,3,0))</f>
        <v>손동호</v>
      </c>
      <c r="E130" s="74" t="str">
        <f ca="1">IF(VLOOKUP($B130,'1. 현장별 인원현황'!$C:$J,4,0)=0,"",VLOOKUP($B130,'1. 현장별 인원현황'!$C:$J,4,0))</f>
        <v>55세</v>
      </c>
      <c r="F130" s="70" t="str">
        <f>IF(VLOOKUP($B130,'1. 현장별 인원현황'!$C:$J,7,0)=0,"",VLOOKUP($B130,'1. 현장별 인원현황'!$C:$J,7,0))</f>
        <v>기능공</v>
      </c>
      <c r="G130" s="72" t="str">
        <f>IF(VLOOKUP($B130,'1. 현장별 인원현황'!$C:$J,8,0)=0,"",VLOOKUP($B130,'1. 현장별 인원현황'!$C:$J,8,0))</f>
        <v>전공</v>
      </c>
      <c r="H130" s="67"/>
      <c r="I130" s="73" t="s">
        <v>69</v>
      </c>
      <c r="J130" s="73"/>
      <c r="K130" s="68"/>
      <c r="L130" s="67" t="s">
        <v>69</v>
      </c>
      <c r="M130" s="73"/>
      <c r="N130" s="73"/>
      <c r="O130" s="68"/>
      <c r="P130" s="67" t="s">
        <v>69</v>
      </c>
      <c r="Q130" s="73"/>
      <c r="R130" s="73"/>
      <c r="S130" s="68"/>
      <c r="T130" s="67" t="s">
        <v>69</v>
      </c>
      <c r="U130" s="73"/>
      <c r="V130" s="73"/>
      <c r="W130" s="68"/>
      <c r="X130" s="67"/>
      <c r="Y130" s="73" t="s">
        <v>69</v>
      </c>
      <c r="Z130" s="73"/>
      <c r="AA130" s="68"/>
      <c r="AB130" s="67" t="s">
        <v>69</v>
      </c>
      <c r="AC130" s="73"/>
      <c r="AD130" s="73"/>
      <c r="AE130" s="68"/>
      <c r="AF130" s="67" t="s">
        <v>69</v>
      </c>
      <c r="AG130" s="73"/>
      <c r="AH130" s="73"/>
      <c r="AI130" s="68"/>
      <c r="AJ130" s="67" t="s">
        <v>69</v>
      </c>
      <c r="AK130" s="73"/>
      <c r="AL130" s="73"/>
      <c r="AM130" s="68"/>
      <c r="AN130" s="73" t="s">
        <v>69</v>
      </c>
      <c r="AO130" s="73"/>
      <c r="AP130" s="73"/>
      <c r="AQ130" s="68"/>
      <c r="AR130" s="67">
        <f t="shared" si="42"/>
        <v>95</v>
      </c>
      <c r="AS130" s="68" t="str">
        <f t="shared" si="43"/>
        <v>S</v>
      </c>
      <c r="AV130" s="49">
        <f t="shared" si="79"/>
        <v>0</v>
      </c>
      <c r="AW130" s="49">
        <f t="shared" si="44"/>
        <v>1</v>
      </c>
      <c r="AX130" s="49">
        <f t="shared" si="45"/>
        <v>0</v>
      </c>
      <c r="AY130" s="49">
        <f t="shared" si="46"/>
        <v>0</v>
      </c>
      <c r="AZ130" s="49">
        <f t="shared" si="47"/>
        <v>1</v>
      </c>
      <c r="BA130" s="49">
        <f t="shared" si="48"/>
        <v>0</v>
      </c>
      <c r="BB130" s="49">
        <f t="shared" si="49"/>
        <v>0</v>
      </c>
      <c r="BC130" s="49">
        <f t="shared" si="50"/>
        <v>0</v>
      </c>
      <c r="BD130" s="49">
        <f t="shared" si="51"/>
        <v>1</v>
      </c>
      <c r="BE130" s="49">
        <f t="shared" si="52"/>
        <v>0</v>
      </c>
      <c r="BF130" s="49">
        <f t="shared" si="53"/>
        <v>0</v>
      </c>
      <c r="BG130" s="49">
        <f t="shared" si="54"/>
        <v>0</v>
      </c>
      <c r="BH130" s="49">
        <f t="shared" si="55"/>
        <v>1</v>
      </c>
      <c r="BI130" s="49">
        <f t="shared" si="56"/>
        <v>0</v>
      </c>
      <c r="BJ130" s="49">
        <f t="shared" si="57"/>
        <v>0</v>
      </c>
      <c r="BK130" s="49">
        <f t="shared" si="58"/>
        <v>0</v>
      </c>
      <c r="BL130" s="49">
        <f t="shared" si="59"/>
        <v>0</v>
      </c>
      <c r="BM130" s="49">
        <f t="shared" si="60"/>
        <v>1</v>
      </c>
      <c r="BN130" s="49">
        <f t="shared" si="61"/>
        <v>0</v>
      </c>
      <c r="BO130" s="49">
        <f t="shared" si="62"/>
        <v>0</v>
      </c>
      <c r="BP130" s="49">
        <f t="shared" si="63"/>
        <v>1</v>
      </c>
      <c r="BQ130" s="49">
        <f t="shared" si="64"/>
        <v>0</v>
      </c>
      <c r="BR130" s="49">
        <f t="shared" si="65"/>
        <v>0</v>
      </c>
      <c r="BS130" s="49">
        <f t="shared" si="66"/>
        <v>0</v>
      </c>
      <c r="BT130" s="49">
        <f t="shared" si="67"/>
        <v>1</v>
      </c>
      <c r="BU130" s="49">
        <f t="shared" si="68"/>
        <v>0</v>
      </c>
      <c r="BV130" s="49">
        <f t="shared" si="69"/>
        <v>0</v>
      </c>
      <c r="BW130" s="49">
        <f t="shared" si="70"/>
        <v>0</v>
      </c>
      <c r="BX130" s="49">
        <f t="shared" si="71"/>
        <v>1</v>
      </c>
      <c r="BY130" s="49">
        <f t="shared" si="72"/>
        <v>0</v>
      </c>
      <c r="BZ130" s="49">
        <f t="shared" si="73"/>
        <v>0</v>
      </c>
      <c r="CA130" s="49">
        <f t="shared" si="74"/>
        <v>0</v>
      </c>
      <c r="CB130" s="49">
        <f t="shared" si="75"/>
        <v>1</v>
      </c>
      <c r="CC130" s="49">
        <f t="shared" si="76"/>
        <v>0</v>
      </c>
      <c r="CD130" s="49">
        <f t="shared" si="77"/>
        <v>0</v>
      </c>
      <c r="CE130" s="49">
        <f t="shared" si="78"/>
        <v>0</v>
      </c>
    </row>
    <row r="131" spans="1:83" ht="35.1" customHeight="1" x14ac:dyDescent="0.3">
      <c r="A131" s="123" t="str">
        <f t="shared" si="40"/>
        <v>1팀</v>
      </c>
      <c r="B131" s="69">
        <f t="shared" si="41"/>
        <v>125</v>
      </c>
      <c r="C131" s="120" t="str">
        <f>IF(VLOOKUP($B131,'1. 현장별 인원현황'!$C:$J,2,0)=0,"",VLOOKUP($B131,'1. 현장별 인원현황'!$C:$J,2,0))</f>
        <v xml:space="preserve"> [1.진흥기업] 해링턴 플레이스 감삼 신축공사</v>
      </c>
      <c r="D131" s="70" t="str">
        <f>IF(VLOOKUP($B131,'1. 현장별 인원현황'!$C:$J,3,0)=0,"",VLOOKUP($B131,'1. 현장별 인원현황'!$C:$J,3,0))</f>
        <v>장경수</v>
      </c>
      <c r="E131" s="74" t="str">
        <f ca="1">IF(VLOOKUP($B131,'1. 현장별 인원현황'!$C:$J,4,0)=0,"",VLOOKUP($B131,'1. 현장별 인원현황'!$C:$J,4,0))</f>
        <v>52세</v>
      </c>
      <c r="F131" s="70" t="str">
        <f>IF(VLOOKUP($B131,'1. 현장별 인원현황'!$C:$J,7,0)=0,"",VLOOKUP($B131,'1. 현장별 인원현황'!$C:$J,7,0))</f>
        <v>기능공</v>
      </c>
      <c r="G131" s="72" t="str">
        <f>IF(VLOOKUP($B131,'1. 현장별 인원현황'!$C:$J,8,0)=0,"",VLOOKUP($B131,'1. 현장별 인원현황'!$C:$J,8,0))</f>
        <v>전공</v>
      </c>
      <c r="H131" s="67" t="s">
        <v>69</v>
      </c>
      <c r="I131" s="73"/>
      <c r="J131" s="73"/>
      <c r="K131" s="68"/>
      <c r="L131" s="67"/>
      <c r="M131" s="73" t="s">
        <v>69</v>
      </c>
      <c r="N131" s="73"/>
      <c r="O131" s="68"/>
      <c r="P131" s="67" t="s">
        <v>69</v>
      </c>
      <c r="Q131" s="73"/>
      <c r="R131" s="73"/>
      <c r="S131" s="68"/>
      <c r="T131" s="67" t="s">
        <v>69</v>
      </c>
      <c r="U131" s="73"/>
      <c r="V131" s="73"/>
      <c r="W131" s="68"/>
      <c r="X131" s="67"/>
      <c r="Y131" s="73" t="s">
        <v>69</v>
      </c>
      <c r="Z131" s="73"/>
      <c r="AA131" s="68"/>
      <c r="AB131" s="67" t="s">
        <v>69</v>
      </c>
      <c r="AC131" s="73"/>
      <c r="AD131" s="73"/>
      <c r="AE131" s="68"/>
      <c r="AF131" s="67" t="s">
        <v>69</v>
      </c>
      <c r="AG131" s="73"/>
      <c r="AH131" s="73"/>
      <c r="AI131" s="68"/>
      <c r="AJ131" s="67"/>
      <c r="AK131" s="73" t="s">
        <v>69</v>
      </c>
      <c r="AL131" s="73"/>
      <c r="AM131" s="68"/>
      <c r="AN131" s="73" t="s">
        <v>69</v>
      </c>
      <c r="AO131" s="73"/>
      <c r="AP131" s="73"/>
      <c r="AQ131" s="68"/>
      <c r="AR131" s="67">
        <f t="shared" si="42"/>
        <v>92</v>
      </c>
      <c r="AS131" s="68" t="str">
        <f t="shared" si="43"/>
        <v>S</v>
      </c>
      <c r="AV131" s="49">
        <f t="shared" si="79"/>
        <v>1</v>
      </c>
      <c r="AW131" s="49">
        <f t="shared" si="44"/>
        <v>0</v>
      </c>
      <c r="AX131" s="49">
        <f t="shared" si="45"/>
        <v>0</v>
      </c>
      <c r="AY131" s="49">
        <f t="shared" si="46"/>
        <v>0</v>
      </c>
      <c r="AZ131" s="49">
        <f t="shared" si="47"/>
        <v>0</v>
      </c>
      <c r="BA131" s="49">
        <f t="shared" si="48"/>
        <v>1</v>
      </c>
      <c r="BB131" s="49">
        <f t="shared" si="49"/>
        <v>0</v>
      </c>
      <c r="BC131" s="49">
        <f t="shared" si="50"/>
        <v>0</v>
      </c>
      <c r="BD131" s="49">
        <f t="shared" si="51"/>
        <v>1</v>
      </c>
      <c r="BE131" s="49">
        <f t="shared" si="52"/>
        <v>0</v>
      </c>
      <c r="BF131" s="49">
        <f t="shared" si="53"/>
        <v>0</v>
      </c>
      <c r="BG131" s="49">
        <f t="shared" si="54"/>
        <v>0</v>
      </c>
      <c r="BH131" s="49">
        <f t="shared" si="55"/>
        <v>1</v>
      </c>
      <c r="BI131" s="49">
        <f t="shared" si="56"/>
        <v>0</v>
      </c>
      <c r="BJ131" s="49">
        <f t="shared" si="57"/>
        <v>0</v>
      </c>
      <c r="BK131" s="49">
        <f t="shared" si="58"/>
        <v>0</v>
      </c>
      <c r="BL131" s="49">
        <f t="shared" si="59"/>
        <v>0</v>
      </c>
      <c r="BM131" s="49">
        <f t="shared" si="60"/>
        <v>1</v>
      </c>
      <c r="BN131" s="49">
        <f t="shared" si="61"/>
        <v>0</v>
      </c>
      <c r="BO131" s="49">
        <f t="shared" si="62"/>
        <v>0</v>
      </c>
      <c r="BP131" s="49">
        <f t="shared" si="63"/>
        <v>1</v>
      </c>
      <c r="BQ131" s="49">
        <f t="shared" si="64"/>
        <v>0</v>
      </c>
      <c r="BR131" s="49">
        <f t="shared" si="65"/>
        <v>0</v>
      </c>
      <c r="BS131" s="49">
        <f t="shared" si="66"/>
        <v>0</v>
      </c>
      <c r="BT131" s="49">
        <f t="shared" si="67"/>
        <v>1</v>
      </c>
      <c r="BU131" s="49">
        <f t="shared" si="68"/>
        <v>0</v>
      </c>
      <c r="BV131" s="49">
        <f t="shared" si="69"/>
        <v>0</v>
      </c>
      <c r="BW131" s="49">
        <f t="shared" si="70"/>
        <v>0</v>
      </c>
      <c r="BX131" s="49">
        <f t="shared" si="71"/>
        <v>0</v>
      </c>
      <c r="BY131" s="49">
        <f t="shared" si="72"/>
        <v>1</v>
      </c>
      <c r="BZ131" s="49">
        <f t="shared" si="73"/>
        <v>0</v>
      </c>
      <c r="CA131" s="49">
        <f t="shared" si="74"/>
        <v>0</v>
      </c>
      <c r="CB131" s="49">
        <f t="shared" si="75"/>
        <v>1</v>
      </c>
      <c r="CC131" s="49">
        <f t="shared" si="76"/>
        <v>0</v>
      </c>
      <c r="CD131" s="49">
        <f t="shared" si="77"/>
        <v>0</v>
      </c>
      <c r="CE131" s="49">
        <f t="shared" si="78"/>
        <v>0</v>
      </c>
    </row>
    <row r="132" spans="1:83" ht="35.1" customHeight="1" x14ac:dyDescent="0.3">
      <c r="A132" s="123" t="str">
        <f t="shared" si="40"/>
        <v>1팀</v>
      </c>
      <c r="B132" s="69">
        <f t="shared" si="41"/>
        <v>126</v>
      </c>
      <c r="C132" s="120" t="str">
        <f>IF(VLOOKUP($B132,'1. 현장별 인원현황'!$C:$J,2,0)=0,"",VLOOKUP($B132,'1. 현장별 인원현황'!$C:$J,2,0))</f>
        <v xml:space="preserve"> [1.진흥기업] 해링턴 플레이스 감삼 신축공사</v>
      </c>
      <c r="D132" s="70" t="str">
        <f>IF(VLOOKUP($B132,'1. 현장별 인원현황'!$C:$J,3,0)=0,"",VLOOKUP($B132,'1. 현장별 인원현황'!$C:$J,3,0))</f>
        <v>장덕구</v>
      </c>
      <c r="E132" s="74" t="str">
        <f ca="1">IF(VLOOKUP($B132,'1. 현장별 인원현황'!$C:$J,4,0)=0,"",VLOOKUP($B132,'1. 현장별 인원현황'!$C:$J,4,0))</f>
        <v>52세</v>
      </c>
      <c r="F132" s="70" t="str">
        <f>IF(VLOOKUP($B132,'1. 현장별 인원현황'!$C:$J,7,0)=0,"",VLOOKUP($B132,'1. 현장별 인원현황'!$C:$J,7,0))</f>
        <v>기능공</v>
      </c>
      <c r="G132" s="72" t="str">
        <f>IF(VLOOKUP($B132,'1. 현장별 인원현황'!$C:$J,8,0)=0,"",VLOOKUP($B132,'1. 현장별 인원현황'!$C:$J,8,0))</f>
        <v>전공</v>
      </c>
      <c r="H132" s="67" t="s">
        <v>69</v>
      </c>
      <c r="I132" s="73"/>
      <c r="J132" s="73"/>
      <c r="K132" s="68"/>
      <c r="L132" s="67"/>
      <c r="M132" s="73" t="s">
        <v>69</v>
      </c>
      <c r="N132" s="73"/>
      <c r="O132" s="68"/>
      <c r="P132" s="67" t="s">
        <v>69</v>
      </c>
      <c r="Q132" s="73"/>
      <c r="R132" s="73"/>
      <c r="S132" s="68"/>
      <c r="T132" s="67" t="s">
        <v>69</v>
      </c>
      <c r="U132" s="73"/>
      <c r="V132" s="73"/>
      <c r="W132" s="68"/>
      <c r="X132" s="67"/>
      <c r="Y132" s="73" t="s">
        <v>69</v>
      </c>
      <c r="Z132" s="73"/>
      <c r="AA132" s="68"/>
      <c r="AB132" s="67" t="s">
        <v>69</v>
      </c>
      <c r="AC132" s="73"/>
      <c r="AD132" s="73"/>
      <c r="AE132" s="68"/>
      <c r="AF132" s="67" t="s">
        <v>69</v>
      </c>
      <c r="AG132" s="73"/>
      <c r="AH132" s="73"/>
      <c r="AI132" s="68"/>
      <c r="AJ132" s="67"/>
      <c r="AK132" s="73" t="s">
        <v>69</v>
      </c>
      <c r="AL132" s="73"/>
      <c r="AM132" s="68"/>
      <c r="AN132" s="73" t="s">
        <v>69</v>
      </c>
      <c r="AO132" s="73"/>
      <c r="AP132" s="73"/>
      <c r="AQ132" s="68"/>
      <c r="AR132" s="67">
        <f t="shared" si="42"/>
        <v>92</v>
      </c>
      <c r="AS132" s="68" t="str">
        <f t="shared" si="43"/>
        <v>S</v>
      </c>
      <c r="AV132" s="49">
        <f t="shared" si="79"/>
        <v>1</v>
      </c>
      <c r="AW132" s="49">
        <f t="shared" si="44"/>
        <v>0</v>
      </c>
      <c r="AX132" s="49">
        <f t="shared" si="45"/>
        <v>0</v>
      </c>
      <c r="AY132" s="49">
        <f t="shared" si="46"/>
        <v>0</v>
      </c>
      <c r="AZ132" s="49">
        <f t="shared" si="47"/>
        <v>0</v>
      </c>
      <c r="BA132" s="49">
        <f t="shared" si="48"/>
        <v>1</v>
      </c>
      <c r="BB132" s="49">
        <f t="shared" si="49"/>
        <v>0</v>
      </c>
      <c r="BC132" s="49">
        <f t="shared" si="50"/>
        <v>0</v>
      </c>
      <c r="BD132" s="49">
        <f t="shared" si="51"/>
        <v>1</v>
      </c>
      <c r="BE132" s="49">
        <f t="shared" si="52"/>
        <v>0</v>
      </c>
      <c r="BF132" s="49">
        <f t="shared" si="53"/>
        <v>0</v>
      </c>
      <c r="BG132" s="49">
        <f t="shared" si="54"/>
        <v>0</v>
      </c>
      <c r="BH132" s="49">
        <f t="shared" si="55"/>
        <v>1</v>
      </c>
      <c r="BI132" s="49">
        <f t="shared" si="56"/>
        <v>0</v>
      </c>
      <c r="BJ132" s="49">
        <f t="shared" si="57"/>
        <v>0</v>
      </c>
      <c r="BK132" s="49">
        <f t="shared" si="58"/>
        <v>0</v>
      </c>
      <c r="BL132" s="49">
        <f t="shared" si="59"/>
        <v>0</v>
      </c>
      <c r="BM132" s="49">
        <f t="shared" si="60"/>
        <v>1</v>
      </c>
      <c r="BN132" s="49">
        <f t="shared" si="61"/>
        <v>0</v>
      </c>
      <c r="BO132" s="49">
        <f t="shared" si="62"/>
        <v>0</v>
      </c>
      <c r="BP132" s="49">
        <f t="shared" si="63"/>
        <v>1</v>
      </c>
      <c r="BQ132" s="49">
        <f t="shared" si="64"/>
        <v>0</v>
      </c>
      <c r="BR132" s="49">
        <f t="shared" si="65"/>
        <v>0</v>
      </c>
      <c r="BS132" s="49">
        <f t="shared" si="66"/>
        <v>0</v>
      </c>
      <c r="BT132" s="49">
        <f t="shared" si="67"/>
        <v>1</v>
      </c>
      <c r="BU132" s="49">
        <f t="shared" si="68"/>
        <v>0</v>
      </c>
      <c r="BV132" s="49">
        <f t="shared" si="69"/>
        <v>0</v>
      </c>
      <c r="BW132" s="49">
        <f t="shared" si="70"/>
        <v>0</v>
      </c>
      <c r="BX132" s="49">
        <f t="shared" si="71"/>
        <v>0</v>
      </c>
      <c r="BY132" s="49">
        <f t="shared" si="72"/>
        <v>1</v>
      </c>
      <c r="BZ132" s="49">
        <f t="shared" si="73"/>
        <v>0</v>
      </c>
      <c r="CA132" s="49">
        <f t="shared" si="74"/>
        <v>0</v>
      </c>
      <c r="CB132" s="49">
        <f t="shared" si="75"/>
        <v>1</v>
      </c>
      <c r="CC132" s="49">
        <f t="shared" si="76"/>
        <v>0</v>
      </c>
      <c r="CD132" s="49">
        <f t="shared" si="77"/>
        <v>0</v>
      </c>
      <c r="CE132" s="49">
        <f t="shared" si="78"/>
        <v>0</v>
      </c>
    </row>
    <row r="133" spans="1:83" ht="35.1" customHeight="1" x14ac:dyDescent="0.3">
      <c r="A133" s="123" t="str">
        <f t="shared" si="40"/>
        <v>1팀</v>
      </c>
      <c r="B133" s="69">
        <f t="shared" si="41"/>
        <v>127</v>
      </c>
      <c r="C133" s="120" t="str">
        <f>IF(VLOOKUP($B133,'1. 현장별 인원현황'!$C:$J,2,0)=0,"",VLOOKUP($B133,'1. 현장별 인원현황'!$C:$J,2,0))</f>
        <v xml:space="preserve"> [1.진흥기업] 해링턴 플레이스 감삼 신축공사</v>
      </c>
      <c r="D133" s="70" t="str">
        <f>IF(VLOOKUP($B133,'1. 현장별 인원현황'!$C:$J,3,0)=0,"",VLOOKUP($B133,'1. 현장별 인원현황'!$C:$J,3,0))</f>
        <v>전광민</v>
      </c>
      <c r="E133" s="74" t="str">
        <f ca="1">IF(VLOOKUP($B133,'1. 현장별 인원현황'!$C:$J,4,0)=0,"",VLOOKUP($B133,'1. 현장별 인원현황'!$C:$J,4,0))</f>
        <v>31세</v>
      </c>
      <c r="F133" s="70" t="str">
        <f>IF(VLOOKUP($B133,'1. 현장별 인원현황'!$C:$J,7,0)=0,"",VLOOKUP($B133,'1. 현장별 인원현황'!$C:$J,7,0))</f>
        <v>기능공</v>
      </c>
      <c r="G133" s="72" t="str">
        <f>IF(VLOOKUP($B133,'1. 현장별 인원현황'!$C:$J,8,0)=0,"",VLOOKUP($B133,'1. 현장별 인원현황'!$C:$J,8,0))</f>
        <v>전공</v>
      </c>
      <c r="H133" s="67"/>
      <c r="I133" s="73" t="s">
        <v>69</v>
      </c>
      <c r="J133" s="73"/>
      <c r="K133" s="68"/>
      <c r="L133" s="67"/>
      <c r="M133" s="73" t="s">
        <v>69</v>
      </c>
      <c r="N133" s="73"/>
      <c r="O133" s="68"/>
      <c r="P133" s="67" t="s">
        <v>69</v>
      </c>
      <c r="Q133" s="73"/>
      <c r="R133" s="73"/>
      <c r="S133" s="68"/>
      <c r="T133" s="67" t="s">
        <v>69</v>
      </c>
      <c r="U133" s="73"/>
      <c r="V133" s="73"/>
      <c r="W133" s="68"/>
      <c r="X133" s="67"/>
      <c r="Y133" s="73" t="s">
        <v>69</v>
      </c>
      <c r="Z133" s="73"/>
      <c r="AA133" s="68"/>
      <c r="AB133" s="67" t="s">
        <v>69</v>
      </c>
      <c r="AC133" s="73"/>
      <c r="AD133" s="73"/>
      <c r="AE133" s="68"/>
      <c r="AF133" s="67" t="s">
        <v>69</v>
      </c>
      <c r="AG133" s="73"/>
      <c r="AH133" s="73"/>
      <c r="AI133" s="68"/>
      <c r="AJ133" s="67" t="s">
        <v>69</v>
      </c>
      <c r="AK133" s="73"/>
      <c r="AL133" s="73"/>
      <c r="AM133" s="68"/>
      <c r="AN133" s="73"/>
      <c r="AO133" s="73" t="s">
        <v>69</v>
      </c>
      <c r="AP133" s="73"/>
      <c r="AQ133" s="68"/>
      <c r="AR133" s="67">
        <f t="shared" si="42"/>
        <v>89</v>
      </c>
      <c r="AS133" s="68" t="str">
        <f t="shared" si="43"/>
        <v>S</v>
      </c>
      <c r="AV133" s="49">
        <f t="shared" si="79"/>
        <v>0</v>
      </c>
      <c r="AW133" s="49">
        <f t="shared" si="44"/>
        <v>1</v>
      </c>
      <c r="AX133" s="49">
        <f t="shared" si="45"/>
        <v>0</v>
      </c>
      <c r="AY133" s="49">
        <f t="shared" si="46"/>
        <v>0</v>
      </c>
      <c r="AZ133" s="49">
        <f t="shared" si="47"/>
        <v>0</v>
      </c>
      <c r="BA133" s="49">
        <f t="shared" si="48"/>
        <v>1</v>
      </c>
      <c r="BB133" s="49">
        <f t="shared" si="49"/>
        <v>0</v>
      </c>
      <c r="BC133" s="49">
        <f t="shared" si="50"/>
        <v>0</v>
      </c>
      <c r="BD133" s="49">
        <f t="shared" si="51"/>
        <v>1</v>
      </c>
      <c r="BE133" s="49">
        <f t="shared" si="52"/>
        <v>0</v>
      </c>
      <c r="BF133" s="49">
        <f t="shared" si="53"/>
        <v>0</v>
      </c>
      <c r="BG133" s="49">
        <f t="shared" si="54"/>
        <v>0</v>
      </c>
      <c r="BH133" s="49">
        <f t="shared" si="55"/>
        <v>1</v>
      </c>
      <c r="BI133" s="49">
        <f t="shared" si="56"/>
        <v>0</v>
      </c>
      <c r="BJ133" s="49">
        <f t="shared" si="57"/>
        <v>0</v>
      </c>
      <c r="BK133" s="49">
        <f t="shared" si="58"/>
        <v>0</v>
      </c>
      <c r="BL133" s="49">
        <f t="shared" si="59"/>
        <v>0</v>
      </c>
      <c r="BM133" s="49">
        <f t="shared" si="60"/>
        <v>1</v>
      </c>
      <c r="BN133" s="49">
        <f t="shared" si="61"/>
        <v>0</v>
      </c>
      <c r="BO133" s="49">
        <f t="shared" si="62"/>
        <v>0</v>
      </c>
      <c r="BP133" s="49">
        <f t="shared" si="63"/>
        <v>1</v>
      </c>
      <c r="BQ133" s="49">
        <f t="shared" si="64"/>
        <v>0</v>
      </c>
      <c r="BR133" s="49">
        <f t="shared" si="65"/>
        <v>0</v>
      </c>
      <c r="BS133" s="49">
        <f t="shared" si="66"/>
        <v>0</v>
      </c>
      <c r="BT133" s="49">
        <f t="shared" si="67"/>
        <v>1</v>
      </c>
      <c r="BU133" s="49">
        <f t="shared" si="68"/>
        <v>0</v>
      </c>
      <c r="BV133" s="49">
        <f t="shared" si="69"/>
        <v>0</v>
      </c>
      <c r="BW133" s="49">
        <f t="shared" si="70"/>
        <v>0</v>
      </c>
      <c r="BX133" s="49">
        <f t="shared" si="71"/>
        <v>1</v>
      </c>
      <c r="BY133" s="49">
        <f t="shared" si="72"/>
        <v>0</v>
      </c>
      <c r="BZ133" s="49">
        <f t="shared" si="73"/>
        <v>0</v>
      </c>
      <c r="CA133" s="49">
        <f t="shared" si="74"/>
        <v>0</v>
      </c>
      <c r="CB133" s="49">
        <f t="shared" si="75"/>
        <v>0</v>
      </c>
      <c r="CC133" s="49">
        <f t="shared" si="76"/>
        <v>1</v>
      </c>
      <c r="CD133" s="49">
        <f t="shared" si="77"/>
        <v>0</v>
      </c>
      <c r="CE133" s="49">
        <f t="shared" si="78"/>
        <v>0</v>
      </c>
    </row>
    <row r="134" spans="1:83" ht="35.1" customHeight="1" x14ac:dyDescent="0.3">
      <c r="A134" s="123" t="str">
        <f t="shared" si="40"/>
        <v>1팀</v>
      </c>
      <c r="B134" s="69">
        <f t="shared" si="41"/>
        <v>128</v>
      </c>
      <c r="C134" s="120" t="str">
        <f>IF(VLOOKUP($B134,'1. 현장별 인원현황'!$C:$J,2,0)=0,"",VLOOKUP($B134,'1. 현장별 인원현황'!$C:$J,2,0))</f>
        <v xml:space="preserve"> [1.진흥기업] 해링턴 플레이스 감삼 신축공사</v>
      </c>
      <c r="D134" s="70" t="str">
        <f>IF(VLOOKUP($B134,'1. 현장별 인원현황'!$C:$J,3,0)=0,"",VLOOKUP($B134,'1. 현장별 인원현황'!$C:$J,3,0))</f>
        <v>정종필</v>
      </c>
      <c r="E134" s="74" t="str">
        <f ca="1">IF(VLOOKUP($B134,'1. 현장별 인원현황'!$C:$J,4,0)=0,"",VLOOKUP($B134,'1. 현장별 인원현황'!$C:$J,4,0))</f>
        <v>49세</v>
      </c>
      <c r="F134" s="70" t="str">
        <f>IF(VLOOKUP($B134,'1. 현장별 인원현황'!$C:$J,7,0)=0,"",VLOOKUP($B134,'1. 현장별 인원현황'!$C:$J,7,0))</f>
        <v>기능공</v>
      </c>
      <c r="G134" s="72" t="str">
        <f>IF(VLOOKUP($B134,'1. 현장별 인원현황'!$C:$J,8,0)=0,"",VLOOKUP($B134,'1. 현장별 인원현황'!$C:$J,8,0))</f>
        <v>전공</v>
      </c>
      <c r="H134" s="67"/>
      <c r="I134" s="73"/>
      <c r="J134" s="73" t="s">
        <v>69</v>
      </c>
      <c r="K134" s="68"/>
      <c r="L134" s="67"/>
      <c r="M134" s="73" t="s">
        <v>69</v>
      </c>
      <c r="N134" s="73"/>
      <c r="O134" s="68"/>
      <c r="P134" s="67"/>
      <c r="Q134" s="73" t="s">
        <v>69</v>
      </c>
      <c r="R134" s="73"/>
      <c r="S134" s="68"/>
      <c r="T134" s="67"/>
      <c r="U134" s="73" t="s">
        <v>69</v>
      </c>
      <c r="V134" s="73"/>
      <c r="W134" s="68"/>
      <c r="X134" s="67"/>
      <c r="Y134" s="73" t="s">
        <v>69</v>
      </c>
      <c r="Z134" s="73"/>
      <c r="AA134" s="68"/>
      <c r="AB134" s="67" t="s">
        <v>69</v>
      </c>
      <c r="AC134" s="73"/>
      <c r="AD134" s="73"/>
      <c r="AE134" s="68"/>
      <c r="AF134" s="67" t="s">
        <v>69</v>
      </c>
      <c r="AG134" s="73"/>
      <c r="AH134" s="73"/>
      <c r="AI134" s="68"/>
      <c r="AJ134" s="67"/>
      <c r="AK134" s="73" t="s">
        <v>69</v>
      </c>
      <c r="AL134" s="73"/>
      <c r="AM134" s="68"/>
      <c r="AN134" s="73" t="s">
        <v>69</v>
      </c>
      <c r="AO134" s="73"/>
      <c r="AP134" s="73"/>
      <c r="AQ134" s="68"/>
      <c r="AR134" s="67">
        <f t="shared" si="42"/>
        <v>81</v>
      </c>
      <c r="AS134" s="68" t="str">
        <f t="shared" si="43"/>
        <v>A</v>
      </c>
      <c r="AV134" s="49">
        <f t="shared" ref="AV134:AV167" si="80">IF(H134&gt;0,1,0)</f>
        <v>0</v>
      </c>
      <c r="AW134" s="49">
        <f t="shared" ref="AW134:AW167" si="81">IF(I134&gt;0,1,0)</f>
        <v>0</v>
      </c>
      <c r="AX134" s="49">
        <f t="shared" ref="AX134:AX167" si="82">IF(J134&gt;0,1,0)</f>
        <v>1</v>
      </c>
      <c r="AY134" s="49">
        <f t="shared" ref="AY134:AY167" si="83">IF(K134&gt;0,1,0)</f>
        <v>0</v>
      </c>
      <c r="AZ134" s="49">
        <f t="shared" ref="AZ134:AZ167" si="84">IF(L134&gt;0,1,0)</f>
        <v>0</v>
      </c>
      <c r="BA134" s="49">
        <f t="shared" ref="BA134:BA167" si="85">IF(M134&gt;0,1,0)</f>
        <v>1</v>
      </c>
      <c r="BB134" s="49">
        <f t="shared" ref="BB134:BB167" si="86">IF(N134&gt;0,1,0)</f>
        <v>0</v>
      </c>
      <c r="BC134" s="49">
        <f t="shared" ref="BC134:BC167" si="87">IF(O134&gt;0,1,0)</f>
        <v>0</v>
      </c>
      <c r="BD134" s="49">
        <f t="shared" ref="BD134:BD167" si="88">IF(P134&gt;0,1,0)</f>
        <v>0</v>
      </c>
      <c r="BE134" s="49">
        <f t="shared" ref="BE134:BE167" si="89">IF(Q134&gt;0,1,0)</f>
        <v>1</v>
      </c>
      <c r="BF134" s="49">
        <f t="shared" ref="BF134:BF167" si="90">IF(R134&gt;0,1,0)</f>
        <v>0</v>
      </c>
      <c r="BG134" s="49">
        <f t="shared" ref="BG134:BG167" si="91">IF(S134&gt;0,1,0)</f>
        <v>0</v>
      </c>
      <c r="BH134" s="49">
        <f t="shared" ref="BH134:BH167" si="92">IF(T134&gt;0,1,0)</f>
        <v>0</v>
      </c>
      <c r="BI134" s="49">
        <f t="shared" ref="BI134:BI167" si="93">IF(U134&gt;0,1,0)</f>
        <v>1</v>
      </c>
      <c r="BJ134" s="49">
        <f t="shared" ref="BJ134:BJ167" si="94">IF(V134&gt;0,1,0)</f>
        <v>0</v>
      </c>
      <c r="BK134" s="49">
        <f t="shared" ref="BK134:BK167" si="95">IF(W134&gt;0,1,0)</f>
        <v>0</v>
      </c>
      <c r="BL134" s="49">
        <f t="shared" ref="BL134:BL167" si="96">IF(X134&gt;0,1,0)</f>
        <v>0</v>
      </c>
      <c r="BM134" s="49">
        <f t="shared" ref="BM134:BM167" si="97">IF(Y134&gt;0,1,0)</f>
        <v>1</v>
      </c>
      <c r="BN134" s="49">
        <f t="shared" ref="BN134:BN167" si="98">IF(Z134&gt;0,1,0)</f>
        <v>0</v>
      </c>
      <c r="BO134" s="49">
        <f t="shared" ref="BO134:BO167" si="99">IF(AA134&gt;0,1,0)</f>
        <v>0</v>
      </c>
      <c r="BP134" s="49">
        <f t="shared" ref="BP134:BP167" si="100">IF(AB134&gt;0,1,0)</f>
        <v>1</v>
      </c>
      <c r="BQ134" s="49">
        <f t="shared" ref="BQ134:BQ167" si="101">IF(AC134&gt;0,1,0)</f>
        <v>0</v>
      </c>
      <c r="BR134" s="49">
        <f t="shared" ref="BR134:BR167" si="102">IF(AD134&gt;0,1,0)</f>
        <v>0</v>
      </c>
      <c r="BS134" s="49">
        <f t="shared" ref="BS134:BS167" si="103">IF(AE134&gt;0,1,0)</f>
        <v>0</v>
      </c>
      <c r="BT134" s="49">
        <f t="shared" ref="BT134:BT167" si="104">IF(AF134&gt;0,1,0)</f>
        <v>1</v>
      </c>
      <c r="BU134" s="49">
        <f t="shared" ref="BU134:BU167" si="105">IF(AG134&gt;0,1,0)</f>
        <v>0</v>
      </c>
      <c r="BV134" s="49">
        <f t="shared" ref="BV134:BV167" si="106">IF(AH134&gt;0,1,0)</f>
        <v>0</v>
      </c>
      <c r="BW134" s="49">
        <f t="shared" ref="BW134:BW167" si="107">IF(AI134&gt;0,1,0)</f>
        <v>0</v>
      </c>
      <c r="BX134" s="49">
        <f t="shared" ref="BX134:BX167" si="108">IF(AJ134&gt;0,1,0)</f>
        <v>0</v>
      </c>
      <c r="BY134" s="49">
        <f t="shared" ref="BY134:BY167" si="109">IF(AK134&gt;0,1,0)</f>
        <v>1</v>
      </c>
      <c r="BZ134" s="49">
        <f t="shared" ref="BZ134:BZ167" si="110">IF(AL134&gt;0,1,0)</f>
        <v>0</v>
      </c>
      <c r="CA134" s="49">
        <f t="shared" ref="CA134:CA167" si="111">IF(AM134&gt;0,1,0)</f>
        <v>0</v>
      </c>
      <c r="CB134" s="49">
        <f t="shared" ref="CB134:CB167" si="112">IF(AN134&gt;0,1,0)</f>
        <v>1</v>
      </c>
      <c r="CC134" s="49">
        <f t="shared" ref="CC134:CC167" si="113">IF(AO134&gt;0,1,0)</f>
        <v>0</v>
      </c>
      <c r="CD134" s="49">
        <f t="shared" ref="CD134:CD167" si="114">IF(AP134&gt;0,1,0)</f>
        <v>0</v>
      </c>
      <c r="CE134" s="49">
        <f t="shared" ref="CE134:CE167" si="115">IF(AQ134&gt;0,1,0)</f>
        <v>0</v>
      </c>
    </row>
    <row r="135" spans="1:83" ht="35.1" customHeight="1" x14ac:dyDescent="0.3">
      <c r="A135" s="123" t="str">
        <f t="shared" ref="A135:A198" si="116">MID(C135,3,1)&amp;"팀"</f>
        <v>1팀</v>
      </c>
      <c r="B135" s="69">
        <f t="shared" ref="B135:B198" si="117">ROW()-6</f>
        <v>129</v>
      </c>
      <c r="C135" s="120" t="str">
        <f>IF(VLOOKUP($B135,'1. 현장별 인원현황'!$C:$J,2,0)=0,"",VLOOKUP($B135,'1. 현장별 인원현황'!$C:$J,2,0))</f>
        <v xml:space="preserve"> [1.포스코건설] 영종-청라 연결도로(제3연륙교) 건설공사 제2공구 전기 및 통신공사</v>
      </c>
      <c r="D135" s="70" t="str">
        <f>IF(VLOOKUP($B135,'1. 현장별 인원현황'!$C:$J,3,0)=0,"",VLOOKUP($B135,'1. 현장별 인원현황'!$C:$J,3,0))</f>
        <v>정두환</v>
      </c>
      <c r="E135" s="74" t="str">
        <f ca="1">IF(VLOOKUP($B135,'1. 현장별 인원현황'!$C:$J,4,0)=0,"",VLOOKUP($B135,'1. 현장별 인원현황'!$C:$J,4,0))</f>
        <v>63세</v>
      </c>
      <c r="F135" s="70" t="str">
        <f>IF(VLOOKUP($B135,'1. 현장별 인원현황'!$C:$J,7,0)=0,"",VLOOKUP($B135,'1. 현장별 인원현황'!$C:$J,7,0))</f>
        <v>공사</v>
      </c>
      <c r="G135" s="72" t="str">
        <f>IF(VLOOKUP($B135,'1. 현장별 인원현황'!$C:$J,8,0)=0,"",VLOOKUP($B135,'1. 현장별 인원현황'!$C:$J,8,0))</f>
        <v>차장</v>
      </c>
      <c r="H135" s="67" t="s">
        <v>69</v>
      </c>
      <c r="I135" s="73"/>
      <c r="J135" s="73"/>
      <c r="K135" s="68"/>
      <c r="L135" s="67"/>
      <c r="M135" s="73" t="s">
        <v>69</v>
      </c>
      <c r="N135" s="73"/>
      <c r="O135" s="68"/>
      <c r="P135" s="67" t="s">
        <v>69</v>
      </c>
      <c r="Q135" s="73"/>
      <c r="R135" s="73"/>
      <c r="S135" s="68"/>
      <c r="T135" s="67"/>
      <c r="U135" s="73" t="s">
        <v>69</v>
      </c>
      <c r="V135" s="73"/>
      <c r="W135" s="68"/>
      <c r="X135" s="67"/>
      <c r="Y135" s="73" t="s">
        <v>69</v>
      </c>
      <c r="Z135" s="73"/>
      <c r="AA135" s="68"/>
      <c r="AB135" s="67" t="s">
        <v>69</v>
      </c>
      <c r="AC135" s="73"/>
      <c r="AD135" s="73"/>
      <c r="AE135" s="68"/>
      <c r="AF135" s="67"/>
      <c r="AG135" s="73" t="s">
        <v>69</v>
      </c>
      <c r="AH135" s="73"/>
      <c r="AI135" s="68"/>
      <c r="AJ135" s="67"/>
      <c r="AK135" s="73" t="s">
        <v>69</v>
      </c>
      <c r="AL135" s="73"/>
      <c r="AM135" s="68"/>
      <c r="AN135" s="73" t="s">
        <v>69</v>
      </c>
      <c r="AO135" s="73"/>
      <c r="AP135" s="73"/>
      <c r="AQ135" s="68"/>
      <c r="AR135" s="67">
        <f t="shared" ref="AR135:AR198" si="118">SUMPRODUCT($H$5:$AQ$5,AV135:CE135)</f>
        <v>88</v>
      </c>
      <c r="AS135" s="68" t="str">
        <f t="shared" ref="AS135:AS198" si="119">IF(AR135&gt;85,"S",IF(AR135&gt;70,"A",IF(AR135&gt;50,"B",IF(AR135&gt;0,"C",""))))</f>
        <v>S</v>
      </c>
      <c r="AV135" s="49">
        <f t="shared" si="80"/>
        <v>1</v>
      </c>
      <c r="AW135" s="49">
        <f t="shared" si="81"/>
        <v>0</v>
      </c>
      <c r="AX135" s="49">
        <f t="shared" si="82"/>
        <v>0</v>
      </c>
      <c r="AY135" s="49">
        <f t="shared" si="83"/>
        <v>0</v>
      </c>
      <c r="AZ135" s="49">
        <f t="shared" si="84"/>
        <v>0</v>
      </c>
      <c r="BA135" s="49">
        <f t="shared" si="85"/>
        <v>1</v>
      </c>
      <c r="BB135" s="49">
        <f t="shared" si="86"/>
        <v>0</v>
      </c>
      <c r="BC135" s="49">
        <f t="shared" si="87"/>
        <v>0</v>
      </c>
      <c r="BD135" s="49">
        <f t="shared" si="88"/>
        <v>1</v>
      </c>
      <c r="BE135" s="49">
        <f t="shared" si="89"/>
        <v>0</v>
      </c>
      <c r="BF135" s="49">
        <f t="shared" si="90"/>
        <v>0</v>
      </c>
      <c r="BG135" s="49">
        <f t="shared" si="91"/>
        <v>0</v>
      </c>
      <c r="BH135" s="49">
        <f t="shared" si="92"/>
        <v>0</v>
      </c>
      <c r="BI135" s="49">
        <f t="shared" si="93"/>
        <v>1</v>
      </c>
      <c r="BJ135" s="49">
        <f t="shared" si="94"/>
        <v>0</v>
      </c>
      <c r="BK135" s="49">
        <f t="shared" si="95"/>
        <v>0</v>
      </c>
      <c r="BL135" s="49">
        <f t="shared" si="96"/>
        <v>0</v>
      </c>
      <c r="BM135" s="49">
        <f t="shared" si="97"/>
        <v>1</v>
      </c>
      <c r="BN135" s="49">
        <f t="shared" si="98"/>
        <v>0</v>
      </c>
      <c r="BO135" s="49">
        <f t="shared" si="99"/>
        <v>0</v>
      </c>
      <c r="BP135" s="49">
        <f t="shared" si="100"/>
        <v>1</v>
      </c>
      <c r="BQ135" s="49">
        <f t="shared" si="101"/>
        <v>0</v>
      </c>
      <c r="BR135" s="49">
        <f t="shared" si="102"/>
        <v>0</v>
      </c>
      <c r="BS135" s="49">
        <f t="shared" si="103"/>
        <v>0</v>
      </c>
      <c r="BT135" s="49">
        <f t="shared" si="104"/>
        <v>0</v>
      </c>
      <c r="BU135" s="49">
        <f t="shared" si="105"/>
        <v>1</v>
      </c>
      <c r="BV135" s="49">
        <f t="shared" si="106"/>
        <v>0</v>
      </c>
      <c r="BW135" s="49">
        <f t="shared" si="107"/>
        <v>0</v>
      </c>
      <c r="BX135" s="49">
        <f t="shared" si="108"/>
        <v>0</v>
      </c>
      <c r="BY135" s="49">
        <f t="shared" si="109"/>
        <v>1</v>
      </c>
      <c r="BZ135" s="49">
        <f t="shared" si="110"/>
        <v>0</v>
      </c>
      <c r="CA135" s="49">
        <f t="shared" si="111"/>
        <v>0</v>
      </c>
      <c r="CB135" s="49">
        <f t="shared" si="112"/>
        <v>1</v>
      </c>
      <c r="CC135" s="49">
        <f t="shared" si="113"/>
        <v>0</v>
      </c>
      <c r="CD135" s="49">
        <f t="shared" si="114"/>
        <v>0</v>
      </c>
      <c r="CE135" s="49">
        <f t="shared" si="115"/>
        <v>0</v>
      </c>
    </row>
    <row r="136" spans="1:83" ht="35.1" customHeight="1" x14ac:dyDescent="0.3">
      <c r="A136" s="123" t="str">
        <f t="shared" si="116"/>
        <v>1팀</v>
      </c>
      <c r="B136" s="69">
        <f t="shared" si="117"/>
        <v>130</v>
      </c>
      <c r="C136" s="120" t="str">
        <f>IF(VLOOKUP($B136,'1. 현장별 인원현황'!$C:$J,2,0)=0,"",VLOOKUP($B136,'1. 현장별 인원현황'!$C:$J,2,0))</f>
        <v xml:space="preserve"> [1.포스코건설] 영종-청라 연결도로(제3연륙교) 건설공사 제2공구 전기 및 통신공사</v>
      </c>
      <c r="D136" s="70" t="str">
        <f>IF(VLOOKUP($B136,'1. 현장별 인원현황'!$C:$J,3,0)=0,"",VLOOKUP($B136,'1. 현장별 인원현황'!$C:$J,3,0))</f>
        <v>윤동환</v>
      </c>
      <c r="E136" s="74" t="str">
        <f ca="1">IF(VLOOKUP($B136,'1. 현장별 인원현황'!$C:$J,4,0)=0,"",VLOOKUP($B136,'1. 현장별 인원현황'!$C:$J,4,0))</f>
        <v>31세</v>
      </c>
      <c r="F136" s="70" t="str">
        <f>IF(VLOOKUP($B136,'1. 현장별 인원현황'!$C:$J,7,0)=0,"",VLOOKUP($B136,'1. 현장별 인원현황'!$C:$J,7,0))</f>
        <v>안전관리자</v>
      </c>
      <c r="G136" s="72" t="str">
        <f>IF(VLOOKUP($B136,'1. 현장별 인원현황'!$C:$J,8,0)=0,"",VLOOKUP($B136,'1. 현장별 인원현황'!$C:$J,8,0))</f>
        <v>대리</v>
      </c>
      <c r="H136" s="67"/>
      <c r="I136" s="73" t="s">
        <v>69</v>
      </c>
      <c r="J136" s="73"/>
      <c r="K136" s="68"/>
      <c r="L136" s="67"/>
      <c r="M136" s="73" t="s">
        <v>69</v>
      </c>
      <c r="N136" s="73"/>
      <c r="O136" s="68"/>
      <c r="P136" s="67"/>
      <c r="Q136" s="73" t="s">
        <v>69</v>
      </c>
      <c r="R136" s="73"/>
      <c r="S136" s="68"/>
      <c r="T136" s="67"/>
      <c r="U136" s="73" t="s">
        <v>69</v>
      </c>
      <c r="V136" s="73"/>
      <c r="W136" s="68"/>
      <c r="X136" s="67"/>
      <c r="Y136" s="73" t="s">
        <v>69</v>
      </c>
      <c r="Z136" s="73"/>
      <c r="AA136" s="68"/>
      <c r="AB136" s="67"/>
      <c r="AC136" s="73" t="s">
        <v>69</v>
      </c>
      <c r="AD136" s="73"/>
      <c r="AE136" s="68"/>
      <c r="AF136" s="67"/>
      <c r="AG136" s="73" t="s">
        <v>69</v>
      </c>
      <c r="AH136" s="73"/>
      <c r="AI136" s="68"/>
      <c r="AJ136" s="67"/>
      <c r="AK136" s="73" t="s">
        <v>69</v>
      </c>
      <c r="AL136" s="73"/>
      <c r="AM136" s="68"/>
      <c r="AN136" s="73"/>
      <c r="AO136" s="73" t="s">
        <v>69</v>
      </c>
      <c r="AP136" s="73"/>
      <c r="AQ136" s="68"/>
      <c r="AR136" s="67">
        <f t="shared" si="118"/>
        <v>77</v>
      </c>
      <c r="AS136" s="68" t="str">
        <f t="shared" si="119"/>
        <v>A</v>
      </c>
      <c r="AV136" s="49">
        <f t="shared" si="80"/>
        <v>0</v>
      </c>
      <c r="AW136" s="49">
        <f t="shared" si="81"/>
        <v>1</v>
      </c>
      <c r="AX136" s="49">
        <f t="shared" si="82"/>
        <v>0</v>
      </c>
      <c r="AY136" s="49">
        <f t="shared" si="83"/>
        <v>0</v>
      </c>
      <c r="AZ136" s="49">
        <f t="shared" si="84"/>
        <v>0</v>
      </c>
      <c r="BA136" s="49">
        <f t="shared" si="85"/>
        <v>1</v>
      </c>
      <c r="BB136" s="49">
        <f t="shared" si="86"/>
        <v>0</v>
      </c>
      <c r="BC136" s="49">
        <f t="shared" si="87"/>
        <v>0</v>
      </c>
      <c r="BD136" s="49">
        <f t="shared" si="88"/>
        <v>0</v>
      </c>
      <c r="BE136" s="49">
        <f t="shared" si="89"/>
        <v>1</v>
      </c>
      <c r="BF136" s="49">
        <f t="shared" si="90"/>
        <v>0</v>
      </c>
      <c r="BG136" s="49">
        <f t="shared" si="91"/>
        <v>0</v>
      </c>
      <c r="BH136" s="49">
        <f t="shared" si="92"/>
        <v>0</v>
      </c>
      <c r="BI136" s="49">
        <f t="shared" si="93"/>
        <v>1</v>
      </c>
      <c r="BJ136" s="49">
        <f t="shared" si="94"/>
        <v>0</v>
      </c>
      <c r="BK136" s="49">
        <f t="shared" si="95"/>
        <v>0</v>
      </c>
      <c r="BL136" s="49">
        <f t="shared" si="96"/>
        <v>0</v>
      </c>
      <c r="BM136" s="49">
        <f t="shared" si="97"/>
        <v>1</v>
      </c>
      <c r="BN136" s="49">
        <f t="shared" si="98"/>
        <v>0</v>
      </c>
      <c r="BO136" s="49">
        <f t="shared" si="99"/>
        <v>0</v>
      </c>
      <c r="BP136" s="49">
        <f t="shared" si="100"/>
        <v>0</v>
      </c>
      <c r="BQ136" s="49">
        <f t="shared" si="101"/>
        <v>1</v>
      </c>
      <c r="BR136" s="49">
        <f t="shared" si="102"/>
        <v>0</v>
      </c>
      <c r="BS136" s="49">
        <f t="shared" si="103"/>
        <v>0</v>
      </c>
      <c r="BT136" s="49">
        <f t="shared" si="104"/>
        <v>0</v>
      </c>
      <c r="BU136" s="49">
        <f t="shared" si="105"/>
        <v>1</v>
      </c>
      <c r="BV136" s="49">
        <f t="shared" si="106"/>
        <v>0</v>
      </c>
      <c r="BW136" s="49">
        <f t="shared" si="107"/>
        <v>0</v>
      </c>
      <c r="BX136" s="49">
        <f t="shared" si="108"/>
        <v>0</v>
      </c>
      <c r="BY136" s="49">
        <f t="shared" si="109"/>
        <v>1</v>
      </c>
      <c r="BZ136" s="49">
        <f t="shared" si="110"/>
        <v>0</v>
      </c>
      <c r="CA136" s="49">
        <f t="shared" si="111"/>
        <v>0</v>
      </c>
      <c r="CB136" s="49">
        <f t="shared" si="112"/>
        <v>0</v>
      </c>
      <c r="CC136" s="49">
        <f t="shared" si="113"/>
        <v>1</v>
      </c>
      <c r="CD136" s="49">
        <f t="shared" si="114"/>
        <v>0</v>
      </c>
      <c r="CE136" s="49">
        <f t="shared" si="115"/>
        <v>0</v>
      </c>
    </row>
    <row r="137" spans="1:83" ht="35.1" customHeight="1" x14ac:dyDescent="0.3">
      <c r="A137" s="123" t="str">
        <f t="shared" si="116"/>
        <v>1팀</v>
      </c>
      <c r="B137" s="69">
        <f t="shared" si="117"/>
        <v>131</v>
      </c>
      <c r="C137" s="120" t="str">
        <f>IF(VLOOKUP($B137,'1. 현장별 인원현황'!$C:$J,2,0)=0,"",VLOOKUP($B137,'1. 현장별 인원현황'!$C:$J,2,0))</f>
        <v xml:space="preserve"> [1.포스코건설] 영종-청라 연결도로(제3연륙교) 건설공사 제2공구 전기 및 통신공사</v>
      </c>
      <c r="D137" s="70" t="str">
        <f>IF(VLOOKUP($B137,'1. 현장별 인원현황'!$C:$J,3,0)=0,"",VLOOKUP($B137,'1. 현장별 인원현황'!$C:$J,3,0))</f>
        <v>김동완</v>
      </c>
      <c r="E137" s="74" t="str">
        <f ca="1">IF(VLOOKUP($B137,'1. 현장별 인원현황'!$C:$J,4,0)=0,"",VLOOKUP($B137,'1. 현장별 인원현황'!$C:$J,4,0))</f>
        <v>39세</v>
      </c>
      <c r="F137" s="70" t="str">
        <f>IF(VLOOKUP($B137,'1. 현장별 인원현황'!$C:$J,7,0)=0,"",VLOOKUP($B137,'1. 현장별 인원현황'!$C:$J,7,0))</f>
        <v>공무</v>
      </c>
      <c r="G137" s="72" t="str">
        <f>IF(VLOOKUP($B137,'1. 현장별 인원현황'!$C:$J,8,0)=0,"",VLOOKUP($B137,'1. 현장별 인원현황'!$C:$J,8,0))</f>
        <v>과장</v>
      </c>
      <c r="H137" s="67"/>
      <c r="I137" s="73" t="s">
        <v>69</v>
      </c>
      <c r="J137" s="73"/>
      <c r="K137" s="68"/>
      <c r="L137" s="67"/>
      <c r="M137" s="73" t="s">
        <v>69</v>
      </c>
      <c r="N137" s="73"/>
      <c r="O137" s="68"/>
      <c r="P137" s="67"/>
      <c r="Q137" s="73" t="s">
        <v>69</v>
      </c>
      <c r="R137" s="73"/>
      <c r="S137" s="68"/>
      <c r="T137" s="67"/>
      <c r="U137" s="73" t="s">
        <v>69</v>
      </c>
      <c r="V137" s="73"/>
      <c r="W137" s="68"/>
      <c r="X137" s="67"/>
      <c r="Y137" s="73" t="s">
        <v>69</v>
      </c>
      <c r="Z137" s="73"/>
      <c r="AA137" s="68"/>
      <c r="AB137" s="67"/>
      <c r="AC137" s="73" t="s">
        <v>69</v>
      </c>
      <c r="AD137" s="73"/>
      <c r="AE137" s="68"/>
      <c r="AF137" s="67"/>
      <c r="AG137" s="73" t="s">
        <v>69</v>
      </c>
      <c r="AH137" s="73"/>
      <c r="AI137" s="68"/>
      <c r="AJ137" s="67"/>
      <c r="AK137" s="73" t="s">
        <v>69</v>
      </c>
      <c r="AL137" s="73"/>
      <c r="AM137" s="68"/>
      <c r="AN137" s="73"/>
      <c r="AO137" s="73" t="s">
        <v>69</v>
      </c>
      <c r="AP137" s="73"/>
      <c r="AQ137" s="68"/>
      <c r="AR137" s="67">
        <f t="shared" si="118"/>
        <v>77</v>
      </c>
      <c r="AS137" s="68" t="str">
        <f t="shared" si="119"/>
        <v>A</v>
      </c>
      <c r="AV137" s="49">
        <f t="shared" si="80"/>
        <v>0</v>
      </c>
      <c r="AW137" s="49">
        <f t="shared" si="81"/>
        <v>1</v>
      </c>
      <c r="AX137" s="49">
        <f t="shared" si="82"/>
        <v>0</v>
      </c>
      <c r="AY137" s="49">
        <f t="shared" si="83"/>
        <v>0</v>
      </c>
      <c r="AZ137" s="49">
        <f t="shared" si="84"/>
        <v>0</v>
      </c>
      <c r="BA137" s="49">
        <f t="shared" si="85"/>
        <v>1</v>
      </c>
      <c r="BB137" s="49">
        <f t="shared" si="86"/>
        <v>0</v>
      </c>
      <c r="BC137" s="49">
        <f t="shared" si="87"/>
        <v>0</v>
      </c>
      <c r="BD137" s="49">
        <f t="shared" si="88"/>
        <v>0</v>
      </c>
      <c r="BE137" s="49">
        <f t="shared" si="89"/>
        <v>1</v>
      </c>
      <c r="BF137" s="49">
        <f t="shared" si="90"/>
        <v>0</v>
      </c>
      <c r="BG137" s="49">
        <f t="shared" si="91"/>
        <v>0</v>
      </c>
      <c r="BH137" s="49">
        <f t="shared" si="92"/>
        <v>0</v>
      </c>
      <c r="BI137" s="49">
        <f t="shared" si="93"/>
        <v>1</v>
      </c>
      <c r="BJ137" s="49">
        <f t="shared" si="94"/>
        <v>0</v>
      </c>
      <c r="BK137" s="49">
        <f t="shared" si="95"/>
        <v>0</v>
      </c>
      <c r="BL137" s="49">
        <f t="shared" si="96"/>
        <v>0</v>
      </c>
      <c r="BM137" s="49">
        <f t="shared" si="97"/>
        <v>1</v>
      </c>
      <c r="BN137" s="49">
        <f t="shared" si="98"/>
        <v>0</v>
      </c>
      <c r="BO137" s="49">
        <f t="shared" si="99"/>
        <v>0</v>
      </c>
      <c r="BP137" s="49">
        <f t="shared" si="100"/>
        <v>0</v>
      </c>
      <c r="BQ137" s="49">
        <f t="shared" si="101"/>
        <v>1</v>
      </c>
      <c r="BR137" s="49">
        <f t="shared" si="102"/>
        <v>0</v>
      </c>
      <c r="BS137" s="49">
        <f t="shared" si="103"/>
        <v>0</v>
      </c>
      <c r="BT137" s="49">
        <f t="shared" si="104"/>
        <v>0</v>
      </c>
      <c r="BU137" s="49">
        <f t="shared" si="105"/>
        <v>1</v>
      </c>
      <c r="BV137" s="49">
        <f t="shared" si="106"/>
        <v>0</v>
      </c>
      <c r="BW137" s="49">
        <f t="shared" si="107"/>
        <v>0</v>
      </c>
      <c r="BX137" s="49">
        <f t="shared" si="108"/>
        <v>0</v>
      </c>
      <c r="BY137" s="49">
        <f t="shared" si="109"/>
        <v>1</v>
      </c>
      <c r="BZ137" s="49">
        <f t="shared" si="110"/>
        <v>0</v>
      </c>
      <c r="CA137" s="49">
        <f t="shared" si="111"/>
        <v>0</v>
      </c>
      <c r="CB137" s="49">
        <f t="shared" si="112"/>
        <v>0</v>
      </c>
      <c r="CC137" s="49">
        <f t="shared" si="113"/>
        <v>1</v>
      </c>
      <c r="CD137" s="49">
        <f t="shared" si="114"/>
        <v>0</v>
      </c>
      <c r="CE137" s="49">
        <f t="shared" si="115"/>
        <v>0</v>
      </c>
    </row>
    <row r="138" spans="1:83" ht="35.1" customHeight="1" x14ac:dyDescent="0.3">
      <c r="A138" s="123" t="str">
        <f t="shared" si="116"/>
        <v>1팀</v>
      </c>
      <c r="B138" s="69">
        <f t="shared" si="117"/>
        <v>132</v>
      </c>
      <c r="C138" s="120" t="str">
        <f>IF(VLOOKUP($B138,'1. 현장별 인원현황'!$C:$J,2,0)=0,"",VLOOKUP($B138,'1. 현장별 인원현황'!$C:$J,2,0))</f>
        <v xml:space="preserve"> [1.포스코건설] 영종-청라 연결도로(제3연륙교) 건설공사 제2공구 전기 및 통신공사</v>
      </c>
      <c r="D138" s="70" t="str">
        <f>IF(VLOOKUP($B138,'1. 현장별 인원현황'!$C:$J,3,0)=0,"",VLOOKUP($B138,'1. 현장별 인원현황'!$C:$J,3,0))</f>
        <v>김경수</v>
      </c>
      <c r="E138" s="74" t="str">
        <f ca="1">IF(VLOOKUP($B138,'1. 현장별 인원현황'!$C:$J,4,0)=0,"",VLOOKUP($B138,'1. 현장별 인원현황'!$C:$J,4,0))</f>
        <v>55세</v>
      </c>
      <c r="F138" s="70" t="str">
        <f>IF(VLOOKUP($B138,'1. 현장별 인원현황'!$C:$J,7,0)=0,"",VLOOKUP($B138,'1. 현장별 인원현황'!$C:$J,7,0))</f>
        <v>기능공</v>
      </c>
      <c r="G138" s="72" t="str">
        <f>IF(VLOOKUP($B138,'1. 현장별 인원현황'!$C:$J,8,0)=0,"",VLOOKUP($B138,'1. 현장별 인원현황'!$C:$J,8,0))</f>
        <v>전공</v>
      </c>
      <c r="H138" s="67"/>
      <c r="I138" s="73" t="s">
        <v>69</v>
      </c>
      <c r="J138" s="73"/>
      <c r="K138" s="68"/>
      <c r="L138" s="67"/>
      <c r="M138" s="73" t="s">
        <v>69</v>
      </c>
      <c r="N138" s="73"/>
      <c r="O138" s="68"/>
      <c r="P138" s="67"/>
      <c r="Q138" s="73" t="s">
        <v>69</v>
      </c>
      <c r="R138" s="73"/>
      <c r="S138" s="68"/>
      <c r="T138" s="67"/>
      <c r="U138" s="73" t="s">
        <v>69</v>
      </c>
      <c r="V138" s="73"/>
      <c r="W138" s="68"/>
      <c r="X138" s="67"/>
      <c r="Y138" s="73" t="s">
        <v>69</v>
      </c>
      <c r="Z138" s="73"/>
      <c r="AA138" s="68"/>
      <c r="AB138" s="67"/>
      <c r="AC138" s="73" t="s">
        <v>69</v>
      </c>
      <c r="AD138" s="73"/>
      <c r="AE138" s="68"/>
      <c r="AF138" s="67"/>
      <c r="AG138" s="73" t="s">
        <v>69</v>
      </c>
      <c r="AH138" s="73"/>
      <c r="AI138" s="68"/>
      <c r="AJ138" s="67"/>
      <c r="AK138" s="73" t="s">
        <v>69</v>
      </c>
      <c r="AL138" s="73"/>
      <c r="AM138" s="68"/>
      <c r="AN138" s="73"/>
      <c r="AO138" s="73" t="s">
        <v>69</v>
      </c>
      <c r="AP138" s="73"/>
      <c r="AQ138" s="68"/>
      <c r="AR138" s="67">
        <f t="shared" si="118"/>
        <v>77</v>
      </c>
      <c r="AS138" s="68" t="str">
        <f t="shared" si="119"/>
        <v>A</v>
      </c>
      <c r="AV138" s="49">
        <f t="shared" si="80"/>
        <v>0</v>
      </c>
      <c r="AW138" s="49">
        <f t="shared" si="81"/>
        <v>1</v>
      </c>
      <c r="AX138" s="49">
        <f t="shared" si="82"/>
        <v>0</v>
      </c>
      <c r="AY138" s="49">
        <f t="shared" si="83"/>
        <v>0</v>
      </c>
      <c r="AZ138" s="49">
        <f t="shared" si="84"/>
        <v>0</v>
      </c>
      <c r="BA138" s="49">
        <f t="shared" si="85"/>
        <v>1</v>
      </c>
      <c r="BB138" s="49">
        <f t="shared" si="86"/>
        <v>0</v>
      </c>
      <c r="BC138" s="49">
        <f t="shared" si="87"/>
        <v>0</v>
      </c>
      <c r="BD138" s="49">
        <f t="shared" si="88"/>
        <v>0</v>
      </c>
      <c r="BE138" s="49">
        <f t="shared" si="89"/>
        <v>1</v>
      </c>
      <c r="BF138" s="49">
        <f t="shared" si="90"/>
        <v>0</v>
      </c>
      <c r="BG138" s="49">
        <f t="shared" si="91"/>
        <v>0</v>
      </c>
      <c r="BH138" s="49">
        <f t="shared" si="92"/>
        <v>0</v>
      </c>
      <c r="BI138" s="49">
        <f t="shared" si="93"/>
        <v>1</v>
      </c>
      <c r="BJ138" s="49">
        <f t="shared" si="94"/>
        <v>0</v>
      </c>
      <c r="BK138" s="49">
        <f t="shared" si="95"/>
        <v>0</v>
      </c>
      <c r="BL138" s="49">
        <f t="shared" si="96"/>
        <v>0</v>
      </c>
      <c r="BM138" s="49">
        <f t="shared" si="97"/>
        <v>1</v>
      </c>
      <c r="BN138" s="49">
        <f t="shared" si="98"/>
        <v>0</v>
      </c>
      <c r="BO138" s="49">
        <f t="shared" si="99"/>
        <v>0</v>
      </c>
      <c r="BP138" s="49">
        <f t="shared" si="100"/>
        <v>0</v>
      </c>
      <c r="BQ138" s="49">
        <f t="shared" si="101"/>
        <v>1</v>
      </c>
      <c r="BR138" s="49">
        <f t="shared" si="102"/>
        <v>0</v>
      </c>
      <c r="BS138" s="49">
        <f t="shared" si="103"/>
        <v>0</v>
      </c>
      <c r="BT138" s="49">
        <f t="shared" si="104"/>
        <v>0</v>
      </c>
      <c r="BU138" s="49">
        <f t="shared" si="105"/>
        <v>1</v>
      </c>
      <c r="BV138" s="49">
        <f t="shared" si="106"/>
        <v>0</v>
      </c>
      <c r="BW138" s="49">
        <f t="shared" si="107"/>
        <v>0</v>
      </c>
      <c r="BX138" s="49">
        <f t="shared" si="108"/>
        <v>0</v>
      </c>
      <c r="BY138" s="49">
        <f t="shared" si="109"/>
        <v>1</v>
      </c>
      <c r="BZ138" s="49">
        <f t="shared" si="110"/>
        <v>0</v>
      </c>
      <c r="CA138" s="49">
        <f t="shared" si="111"/>
        <v>0</v>
      </c>
      <c r="CB138" s="49">
        <f t="shared" si="112"/>
        <v>0</v>
      </c>
      <c r="CC138" s="49">
        <f t="shared" si="113"/>
        <v>1</v>
      </c>
      <c r="CD138" s="49">
        <f t="shared" si="114"/>
        <v>0</v>
      </c>
      <c r="CE138" s="49">
        <f t="shared" si="115"/>
        <v>0</v>
      </c>
    </row>
    <row r="139" spans="1:83" ht="35.1" customHeight="1" x14ac:dyDescent="0.3">
      <c r="A139" s="123" t="str">
        <f t="shared" si="116"/>
        <v>1팀</v>
      </c>
      <c r="B139" s="69">
        <f t="shared" si="117"/>
        <v>133</v>
      </c>
      <c r="C139" s="120" t="str">
        <f>IF(VLOOKUP($B139,'1. 현장별 인원현황'!$C:$J,2,0)=0,"",VLOOKUP($B139,'1. 현장별 인원현황'!$C:$J,2,0))</f>
        <v xml:space="preserve"> [1.포스코건설] 영종-청라 연결도로(제3연륙교) 건설공사 제2공구 전기 및 통신공사</v>
      </c>
      <c r="D139" s="70" t="str">
        <f>IF(VLOOKUP($B139,'1. 현장별 인원현황'!$C:$J,3,0)=0,"",VLOOKUP($B139,'1. 현장별 인원현황'!$C:$J,3,0))</f>
        <v>김재명</v>
      </c>
      <c r="E139" s="74" t="str">
        <f ca="1">IF(VLOOKUP($B139,'1. 현장별 인원현황'!$C:$J,4,0)=0,"",VLOOKUP($B139,'1. 현장별 인원현황'!$C:$J,4,0))</f>
        <v>51세</v>
      </c>
      <c r="F139" s="70" t="str">
        <f>IF(VLOOKUP($B139,'1. 현장별 인원현황'!$C:$J,7,0)=0,"",VLOOKUP($B139,'1. 현장별 인원현황'!$C:$J,7,0))</f>
        <v>기능공</v>
      </c>
      <c r="G139" s="72" t="str">
        <f>IF(VLOOKUP($B139,'1. 현장별 인원현황'!$C:$J,8,0)=0,"",VLOOKUP($B139,'1. 현장별 인원현황'!$C:$J,8,0))</f>
        <v>전공</v>
      </c>
      <c r="H139" s="67"/>
      <c r="I139" s="73" t="s">
        <v>69</v>
      </c>
      <c r="J139" s="73"/>
      <c r="K139" s="68"/>
      <c r="L139" s="67"/>
      <c r="M139" s="73" t="s">
        <v>69</v>
      </c>
      <c r="N139" s="73"/>
      <c r="O139" s="68"/>
      <c r="P139" s="67"/>
      <c r="Q139" s="73" t="s">
        <v>69</v>
      </c>
      <c r="R139" s="73"/>
      <c r="S139" s="68"/>
      <c r="T139" s="67"/>
      <c r="U139" s="73" t="s">
        <v>69</v>
      </c>
      <c r="V139" s="73"/>
      <c r="W139" s="68"/>
      <c r="X139" s="67"/>
      <c r="Y139" s="73" t="s">
        <v>69</v>
      </c>
      <c r="Z139" s="73"/>
      <c r="AA139" s="68"/>
      <c r="AB139" s="67" t="s">
        <v>69</v>
      </c>
      <c r="AC139" s="73"/>
      <c r="AD139" s="73"/>
      <c r="AE139" s="68"/>
      <c r="AF139" s="67"/>
      <c r="AG139" s="73" t="s">
        <v>69</v>
      </c>
      <c r="AH139" s="73"/>
      <c r="AI139" s="68"/>
      <c r="AJ139" s="67"/>
      <c r="AK139" s="73" t="s">
        <v>69</v>
      </c>
      <c r="AL139" s="73"/>
      <c r="AM139" s="68"/>
      <c r="AN139" s="73"/>
      <c r="AO139" s="73" t="s">
        <v>69</v>
      </c>
      <c r="AP139" s="73"/>
      <c r="AQ139" s="68"/>
      <c r="AR139" s="67">
        <f t="shared" si="118"/>
        <v>79</v>
      </c>
      <c r="AS139" s="68" t="str">
        <f t="shared" si="119"/>
        <v>A</v>
      </c>
      <c r="AV139" s="49">
        <f t="shared" si="80"/>
        <v>0</v>
      </c>
      <c r="AW139" s="49">
        <f t="shared" si="81"/>
        <v>1</v>
      </c>
      <c r="AX139" s="49">
        <f t="shared" si="82"/>
        <v>0</v>
      </c>
      <c r="AY139" s="49">
        <f t="shared" si="83"/>
        <v>0</v>
      </c>
      <c r="AZ139" s="49">
        <f t="shared" si="84"/>
        <v>0</v>
      </c>
      <c r="BA139" s="49">
        <f t="shared" si="85"/>
        <v>1</v>
      </c>
      <c r="BB139" s="49">
        <f t="shared" si="86"/>
        <v>0</v>
      </c>
      <c r="BC139" s="49">
        <f t="shared" si="87"/>
        <v>0</v>
      </c>
      <c r="BD139" s="49">
        <f t="shared" si="88"/>
        <v>0</v>
      </c>
      <c r="BE139" s="49">
        <f t="shared" si="89"/>
        <v>1</v>
      </c>
      <c r="BF139" s="49">
        <f t="shared" si="90"/>
        <v>0</v>
      </c>
      <c r="BG139" s="49">
        <f t="shared" si="91"/>
        <v>0</v>
      </c>
      <c r="BH139" s="49">
        <f t="shared" si="92"/>
        <v>0</v>
      </c>
      <c r="BI139" s="49">
        <f t="shared" si="93"/>
        <v>1</v>
      </c>
      <c r="BJ139" s="49">
        <f t="shared" si="94"/>
        <v>0</v>
      </c>
      <c r="BK139" s="49">
        <f t="shared" si="95"/>
        <v>0</v>
      </c>
      <c r="BL139" s="49">
        <f t="shared" si="96"/>
        <v>0</v>
      </c>
      <c r="BM139" s="49">
        <f t="shared" si="97"/>
        <v>1</v>
      </c>
      <c r="BN139" s="49">
        <f t="shared" si="98"/>
        <v>0</v>
      </c>
      <c r="BO139" s="49">
        <f t="shared" si="99"/>
        <v>0</v>
      </c>
      <c r="BP139" s="49">
        <f t="shared" si="100"/>
        <v>1</v>
      </c>
      <c r="BQ139" s="49">
        <f t="shared" si="101"/>
        <v>0</v>
      </c>
      <c r="BR139" s="49">
        <f t="shared" si="102"/>
        <v>0</v>
      </c>
      <c r="BS139" s="49">
        <f t="shared" si="103"/>
        <v>0</v>
      </c>
      <c r="BT139" s="49">
        <f t="shared" si="104"/>
        <v>0</v>
      </c>
      <c r="BU139" s="49">
        <f t="shared" si="105"/>
        <v>1</v>
      </c>
      <c r="BV139" s="49">
        <f t="shared" si="106"/>
        <v>0</v>
      </c>
      <c r="BW139" s="49">
        <f t="shared" si="107"/>
        <v>0</v>
      </c>
      <c r="BX139" s="49">
        <f t="shared" si="108"/>
        <v>0</v>
      </c>
      <c r="BY139" s="49">
        <f t="shared" si="109"/>
        <v>1</v>
      </c>
      <c r="BZ139" s="49">
        <f t="shared" si="110"/>
        <v>0</v>
      </c>
      <c r="CA139" s="49">
        <f t="shared" si="111"/>
        <v>0</v>
      </c>
      <c r="CB139" s="49">
        <f t="shared" si="112"/>
        <v>0</v>
      </c>
      <c r="CC139" s="49">
        <f t="shared" si="113"/>
        <v>1</v>
      </c>
      <c r="CD139" s="49">
        <f t="shared" si="114"/>
        <v>0</v>
      </c>
      <c r="CE139" s="49">
        <f t="shared" si="115"/>
        <v>0</v>
      </c>
    </row>
    <row r="140" spans="1:83" ht="35.1" customHeight="1" x14ac:dyDescent="0.3">
      <c r="A140" s="123" t="str">
        <f t="shared" si="116"/>
        <v>1팀</v>
      </c>
      <c r="B140" s="69">
        <f t="shared" si="117"/>
        <v>134</v>
      </c>
      <c r="C140" s="120" t="str">
        <f>IF(VLOOKUP($B140,'1. 현장별 인원현황'!$C:$J,2,0)=0,"",VLOOKUP($B140,'1. 현장별 인원현황'!$C:$J,2,0))</f>
        <v xml:space="preserve"> [1.포스코건설] 영종-청라 연결도로(제3연륙교) 건설공사 제2공구 전기 및 통신공사</v>
      </c>
      <c r="D140" s="70" t="str">
        <f>IF(VLOOKUP($B140,'1. 현장별 인원현황'!$C:$J,3,0)=0,"",VLOOKUP($B140,'1. 현장별 인원현황'!$C:$J,3,0))</f>
        <v>마영수</v>
      </c>
      <c r="E140" s="74" t="str">
        <f ca="1">IF(VLOOKUP($B140,'1. 현장별 인원현황'!$C:$J,4,0)=0,"",VLOOKUP($B140,'1. 현장별 인원현황'!$C:$J,4,0))</f>
        <v>63세</v>
      </c>
      <c r="F140" s="70" t="str">
        <f>IF(VLOOKUP($B140,'1. 현장별 인원현황'!$C:$J,7,0)=0,"",VLOOKUP($B140,'1. 현장별 인원현황'!$C:$J,7,0))</f>
        <v>기능공</v>
      </c>
      <c r="G140" s="72" t="str">
        <f>IF(VLOOKUP($B140,'1. 현장별 인원현황'!$C:$J,8,0)=0,"",VLOOKUP($B140,'1. 현장별 인원현황'!$C:$J,8,0))</f>
        <v>전공</v>
      </c>
      <c r="H140" s="67"/>
      <c r="I140" s="73" t="s">
        <v>69</v>
      </c>
      <c r="J140" s="73"/>
      <c r="K140" s="68"/>
      <c r="L140" s="67"/>
      <c r="M140" s="73"/>
      <c r="N140" s="73" t="s">
        <v>69</v>
      </c>
      <c r="O140" s="68"/>
      <c r="P140" s="67"/>
      <c r="Q140" s="73" t="s">
        <v>69</v>
      </c>
      <c r="R140" s="73"/>
      <c r="S140" s="68"/>
      <c r="T140" s="67"/>
      <c r="U140" s="73" t="s">
        <v>69</v>
      </c>
      <c r="V140" s="73"/>
      <c r="W140" s="68"/>
      <c r="X140" s="67"/>
      <c r="Y140" s="73" t="s">
        <v>69</v>
      </c>
      <c r="Z140" s="73"/>
      <c r="AA140" s="68"/>
      <c r="AB140" s="67"/>
      <c r="AC140" s="73" t="s">
        <v>69</v>
      </c>
      <c r="AD140" s="73"/>
      <c r="AE140" s="68"/>
      <c r="AF140" s="67"/>
      <c r="AG140" s="73" t="s">
        <v>69</v>
      </c>
      <c r="AH140" s="73"/>
      <c r="AI140" s="68"/>
      <c r="AJ140" s="67"/>
      <c r="AK140" s="73" t="s">
        <v>69</v>
      </c>
      <c r="AL140" s="73"/>
      <c r="AM140" s="68"/>
      <c r="AN140" s="73"/>
      <c r="AO140" s="73"/>
      <c r="AP140" s="73" t="s">
        <v>69</v>
      </c>
      <c r="AQ140" s="68"/>
      <c r="AR140" s="67">
        <f t="shared" si="118"/>
        <v>71</v>
      </c>
      <c r="AS140" s="68" t="str">
        <f t="shared" si="119"/>
        <v>A</v>
      </c>
      <c r="AV140" s="49">
        <f t="shared" si="80"/>
        <v>0</v>
      </c>
      <c r="AW140" s="49">
        <f t="shared" si="81"/>
        <v>1</v>
      </c>
      <c r="AX140" s="49">
        <f t="shared" si="82"/>
        <v>0</v>
      </c>
      <c r="AY140" s="49">
        <f t="shared" si="83"/>
        <v>0</v>
      </c>
      <c r="AZ140" s="49">
        <f t="shared" si="84"/>
        <v>0</v>
      </c>
      <c r="BA140" s="49">
        <f t="shared" si="85"/>
        <v>0</v>
      </c>
      <c r="BB140" s="49">
        <f t="shared" si="86"/>
        <v>1</v>
      </c>
      <c r="BC140" s="49">
        <f t="shared" si="87"/>
        <v>0</v>
      </c>
      <c r="BD140" s="49">
        <f t="shared" si="88"/>
        <v>0</v>
      </c>
      <c r="BE140" s="49">
        <f t="shared" si="89"/>
        <v>1</v>
      </c>
      <c r="BF140" s="49">
        <f t="shared" si="90"/>
        <v>0</v>
      </c>
      <c r="BG140" s="49">
        <f t="shared" si="91"/>
        <v>0</v>
      </c>
      <c r="BH140" s="49">
        <f t="shared" si="92"/>
        <v>0</v>
      </c>
      <c r="BI140" s="49">
        <f t="shared" si="93"/>
        <v>1</v>
      </c>
      <c r="BJ140" s="49">
        <f t="shared" si="94"/>
        <v>0</v>
      </c>
      <c r="BK140" s="49">
        <f t="shared" si="95"/>
        <v>0</v>
      </c>
      <c r="BL140" s="49">
        <f t="shared" si="96"/>
        <v>0</v>
      </c>
      <c r="BM140" s="49">
        <f t="shared" si="97"/>
        <v>1</v>
      </c>
      <c r="BN140" s="49">
        <f t="shared" si="98"/>
        <v>0</v>
      </c>
      <c r="BO140" s="49">
        <f t="shared" si="99"/>
        <v>0</v>
      </c>
      <c r="BP140" s="49">
        <f t="shared" si="100"/>
        <v>0</v>
      </c>
      <c r="BQ140" s="49">
        <f t="shared" si="101"/>
        <v>1</v>
      </c>
      <c r="BR140" s="49">
        <f t="shared" si="102"/>
        <v>0</v>
      </c>
      <c r="BS140" s="49">
        <f t="shared" si="103"/>
        <v>0</v>
      </c>
      <c r="BT140" s="49">
        <f t="shared" si="104"/>
        <v>0</v>
      </c>
      <c r="BU140" s="49">
        <f t="shared" si="105"/>
        <v>1</v>
      </c>
      <c r="BV140" s="49">
        <f t="shared" si="106"/>
        <v>0</v>
      </c>
      <c r="BW140" s="49">
        <f t="shared" si="107"/>
        <v>0</v>
      </c>
      <c r="BX140" s="49">
        <f t="shared" si="108"/>
        <v>0</v>
      </c>
      <c r="BY140" s="49">
        <f t="shared" si="109"/>
        <v>1</v>
      </c>
      <c r="BZ140" s="49">
        <f t="shared" si="110"/>
        <v>0</v>
      </c>
      <c r="CA140" s="49">
        <f t="shared" si="111"/>
        <v>0</v>
      </c>
      <c r="CB140" s="49">
        <f t="shared" si="112"/>
        <v>0</v>
      </c>
      <c r="CC140" s="49">
        <f t="shared" si="113"/>
        <v>0</v>
      </c>
      <c r="CD140" s="49">
        <f t="shared" si="114"/>
        <v>1</v>
      </c>
      <c r="CE140" s="49">
        <f t="shared" si="115"/>
        <v>0</v>
      </c>
    </row>
    <row r="141" spans="1:83" ht="35.1" customHeight="1" x14ac:dyDescent="0.3">
      <c r="A141" s="123" t="str">
        <f t="shared" si="116"/>
        <v>1팀</v>
      </c>
      <c r="B141" s="69">
        <f t="shared" si="117"/>
        <v>135</v>
      </c>
      <c r="C141" s="120" t="str">
        <f>IF(VLOOKUP($B141,'1. 현장별 인원현황'!$C:$J,2,0)=0,"",VLOOKUP($B141,'1. 현장별 인원현황'!$C:$J,2,0))</f>
        <v xml:space="preserve"> [1.포스코건설] 영종-청라 연결도로(제3연륙교) 건설공사 제2공구 전기 및 통신공사</v>
      </c>
      <c r="D141" s="70" t="str">
        <f>IF(VLOOKUP($B141,'1. 현장별 인원현황'!$C:$J,3,0)=0,"",VLOOKUP($B141,'1. 현장별 인원현황'!$C:$J,3,0))</f>
        <v>박창명</v>
      </c>
      <c r="E141" s="74" t="str">
        <f ca="1">IF(VLOOKUP($B141,'1. 현장별 인원현황'!$C:$J,4,0)=0,"",VLOOKUP($B141,'1. 현장별 인원현황'!$C:$J,4,0))</f>
        <v>63세</v>
      </c>
      <c r="F141" s="70" t="str">
        <f>IF(VLOOKUP($B141,'1. 현장별 인원현황'!$C:$J,7,0)=0,"",VLOOKUP($B141,'1. 현장별 인원현황'!$C:$J,7,0))</f>
        <v>기능공</v>
      </c>
      <c r="G141" s="72" t="str">
        <f>IF(VLOOKUP($B141,'1. 현장별 인원현황'!$C:$J,8,0)=0,"",VLOOKUP($B141,'1. 현장별 인원현황'!$C:$J,8,0))</f>
        <v>전공</v>
      </c>
      <c r="H141" s="67" t="s">
        <v>69</v>
      </c>
      <c r="I141" s="73"/>
      <c r="J141" s="73"/>
      <c r="K141" s="68"/>
      <c r="L141" s="67"/>
      <c r="M141" s="73" t="s">
        <v>69</v>
      </c>
      <c r="N141" s="73"/>
      <c r="O141" s="68"/>
      <c r="P141" s="67"/>
      <c r="Q141" s="73"/>
      <c r="R141" s="73" t="s">
        <v>69</v>
      </c>
      <c r="S141" s="68"/>
      <c r="T141" s="67"/>
      <c r="U141" s="73" t="s">
        <v>69</v>
      </c>
      <c r="V141" s="73"/>
      <c r="W141" s="68"/>
      <c r="X141" s="67"/>
      <c r="Y141" s="73" t="s">
        <v>69</v>
      </c>
      <c r="Z141" s="73"/>
      <c r="AA141" s="68"/>
      <c r="AB141" s="67"/>
      <c r="AC141" s="73" t="s">
        <v>69</v>
      </c>
      <c r="AD141" s="73"/>
      <c r="AE141" s="68"/>
      <c r="AF141" s="67"/>
      <c r="AG141" s="73" t="s">
        <v>69</v>
      </c>
      <c r="AH141" s="73"/>
      <c r="AI141" s="68"/>
      <c r="AJ141" s="67"/>
      <c r="AK141" s="73" t="s">
        <v>69</v>
      </c>
      <c r="AL141" s="73"/>
      <c r="AM141" s="68"/>
      <c r="AN141" s="73"/>
      <c r="AO141" s="73" t="s">
        <v>69</v>
      </c>
      <c r="AP141" s="73"/>
      <c r="AQ141" s="68"/>
      <c r="AR141" s="67">
        <f t="shared" si="118"/>
        <v>77</v>
      </c>
      <c r="AS141" s="68" t="str">
        <f t="shared" si="119"/>
        <v>A</v>
      </c>
      <c r="AV141" s="49">
        <f t="shared" si="80"/>
        <v>1</v>
      </c>
      <c r="AW141" s="49">
        <f t="shared" si="81"/>
        <v>0</v>
      </c>
      <c r="AX141" s="49">
        <f t="shared" si="82"/>
        <v>0</v>
      </c>
      <c r="AY141" s="49">
        <f t="shared" si="83"/>
        <v>0</v>
      </c>
      <c r="AZ141" s="49">
        <f t="shared" si="84"/>
        <v>0</v>
      </c>
      <c r="BA141" s="49">
        <f t="shared" si="85"/>
        <v>1</v>
      </c>
      <c r="BB141" s="49">
        <f t="shared" si="86"/>
        <v>0</v>
      </c>
      <c r="BC141" s="49">
        <f t="shared" si="87"/>
        <v>0</v>
      </c>
      <c r="BD141" s="49">
        <f t="shared" si="88"/>
        <v>0</v>
      </c>
      <c r="BE141" s="49">
        <f t="shared" si="89"/>
        <v>0</v>
      </c>
      <c r="BF141" s="49">
        <f t="shared" si="90"/>
        <v>1</v>
      </c>
      <c r="BG141" s="49">
        <f t="shared" si="91"/>
        <v>0</v>
      </c>
      <c r="BH141" s="49">
        <f t="shared" si="92"/>
        <v>0</v>
      </c>
      <c r="BI141" s="49">
        <f t="shared" si="93"/>
        <v>1</v>
      </c>
      <c r="BJ141" s="49">
        <f t="shared" si="94"/>
        <v>0</v>
      </c>
      <c r="BK141" s="49">
        <f t="shared" si="95"/>
        <v>0</v>
      </c>
      <c r="BL141" s="49">
        <f t="shared" si="96"/>
        <v>0</v>
      </c>
      <c r="BM141" s="49">
        <f t="shared" si="97"/>
        <v>1</v>
      </c>
      <c r="BN141" s="49">
        <f t="shared" si="98"/>
        <v>0</v>
      </c>
      <c r="BO141" s="49">
        <f t="shared" si="99"/>
        <v>0</v>
      </c>
      <c r="BP141" s="49">
        <f t="shared" si="100"/>
        <v>0</v>
      </c>
      <c r="BQ141" s="49">
        <f t="shared" si="101"/>
        <v>1</v>
      </c>
      <c r="BR141" s="49">
        <f t="shared" si="102"/>
        <v>0</v>
      </c>
      <c r="BS141" s="49">
        <f t="shared" si="103"/>
        <v>0</v>
      </c>
      <c r="BT141" s="49">
        <f t="shared" si="104"/>
        <v>0</v>
      </c>
      <c r="BU141" s="49">
        <f t="shared" si="105"/>
        <v>1</v>
      </c>
      <c r="BV141" s="49">
        <f t="shared" si="106"/>
        <v>0</v>
      </c>
      <c r="BW141" s="49">
        <f t="shared" si="107"/>
        <v>0</v>
      </c>
      <c r="BX141" s="49">
        <f t="shared" si="108"/>
        <v>0</v>
      </c>
      <c r="BY141" s="49">
        <f t="shared" si="109"/>
        <v>1</v>
      </c>
      <c r="BZ141" s="49">
        <f t="shared" si="110"/>
        <v>0</v>
      </c>
      <c r="CA141" s="49">
        <f t="shared" si="111"/>
        <v>0</v>
      </c>
      <c r="CB141" s="49">
        <f t="shared" si="112"/>
        <v>0</v>
      </c>
      <c r="CC141" s="49">
        <f t="shared" si="113"/>
        <v>1</v>
      </c>
      <c r="CD141" s="49">
        <f t="shared" si="114"/>
        <v>0</v>
      </c>
      <c r="CE141" s="49">
        <f t="shared" si="115"/>
        <v>0</v>
      </c>
    </row>
    <row r="142" spans="1:83" ht="35.1" customHeight="1" x14ac:dyDescent="0.3">
      <c r="A142" s="123" t="str">
        <f t="shared" si="116"/>
        <v>1팀</v>
      </c>
      <c r="B142" s="69">
        <f t="shared" si="117"/>
        <v>136</v>
      </c>
      <c r="C142" s="120" t="str">
        <f>IF(VLOOKUP($B142,'1. 현장별 인원현황'!$C:$J,2,0)=0,"",VLOOKUP($B142,'1. 현장별 인원현황'!$C:$J,2,0))</f>
        <v xml:space="preserve"> [1.포스코건설] 영종-청라 연결도로(제3연륙교) 건설공사 제2공구 전기 및 통신공사</v>
      </c>
      <c r="D142" s="70" t="str">
        <f>IF(VLOOKUP($B142,'1. 현장별 인원현황'!$C:$J,3,0)=0,"",VLOOKUP($B142,'1. 현장별 인원현황'!$C:$J,3,0))</f>
        <v>성승현</v>
      </c>
      <c r="E142" s="74" t="str">
        <f ca="1">IF(VLOOKUP($B142,'1. 현장별 인원현황'!$C:$J,4,0)=0,"",VLOOKUP($B142,'1. 현장별 인원현황'!$C:$J,4,0))</f>
        <v>62세</v>
      </c>
      <c r="F142" s="70" t="str">
        <f>IF(VLOOKUP($B142,'1. 현장별 인원현황'!$C:$J,7,0)=0,"",VLOOKUP($B142,'1. 현장별 인원현황'!$C:$J,7,0))</f>
        <v>기능공</v>
      </c>
      <c r="G142" s="72" t="str">
        <f>IF(VLOOKUP($B142,'1. 현장별 인원현황'!$C:$J,8,0)=0,"",VLOOKUP($B142,'1. 현장별 인원현황'!$C:$J,8,0))</f>
        <v>전공</v>
      </c>
      <c r="H142" s="67"/>
      <c r="I142" s="73" t="s">
        <v>69</v>
      </c>
      <c r="J142" s="73"/>
      <c r="K142" s="68"/>
      <c r="L142" s="67"/>
      <c r="M142" s="73" t="s">
        <v>69</v>
      </c>
      <c r="N142" s="73"/>
      <c r="O142" s="68"/>
      <c r="P142" s="67"/>
      <c r="Q142" s="73" t="s">
        <v>69</v>
      </c>
      <c r="R142" s="73"/>
      <c r="S142" s="68"/>
      <c r="T142" s="67"/>
      <c r="U142" s="73" t="s">
        <v>69</v>
      </c>
      <c r="V142" s="73"/>
      <c r="W142" s="68"/>
      <c r="X142" s="67"/>
      <c r="Y142" s="73" t="s">
        <v>69</v>
      </c>
      <c r="Z142" s="73"/>
      <c r="AA142" s="68"/>
      <c r="AB142" s="67"/>
      <c r="AC142" s="73" t="s">
        <v>69</v>
      </c>
      <c r="AD142" s="73"/>
      <c r="AE142" s="68"/>
      <c r="AF142" s="67"/>
      <c r="AG142" s="73" t="s">
        <v>69</v>
      </c>
      <c r="AH142" s="73"/>
      <c r="AI142" s="68"/>
      <c r="AJ142" s="67"/>
      <c r="AK142" s="73" t="s">
        <v>69</v>
      </c>
      <c r="AL142" s="73"/>
      <c r="AM142" s="68"/>
      <c r="AN142" s="73"/>
      <c r="AO142" s="73"/>
      <c r="AP142" s="73" t="s">
        <v>69</v>
      </c>
      <c r="AQ142" s="68"/>
      <c r="AR142" s="67">
        <f t="shared" si="118"/>
        <v>74</v>
      </c>
      <c r="AS142" s="68" t="str">
        <f t="shared" si="119"/>
        <v>A</v>
      </c>
      <c r="AV142" s="49">
        <f t="shared" si="80"/>
        <v>0</v>
      </c>
      <c r="AW142" s="49">
        <f t="shared" si="81"/>
        <v>1</v>
      </c>
      <c r="AX142" s="49">
        <f t="shared" si="82"/>
        <v>0</v>
      </c>
      <c r="AY142" s="49">
        <f t="shared" si="83"/>
        <v>0</v>
      </c>
      <c r="AZ142" s="49">
        <f t="shared" si="84"/>
        <v>0</v>
      </c>
      <c r="BA142" s="49">
        <f t="shared" si="85"/>
        <v>1</v>
      </c>
      <c r="BB142" s="49">
        <f t="shared" si="86"/>
        <v>0</v>
      </c>
      <c r="BC142" s="49">
        <f t="shared" si="87"/>
        <v>0</v>
      </c>
      <c r="BD142" s="49">
        <f t="shared" si="88"/>
        <v>0</v>
      </c>
      <c r="BE142" s="49">
        <f t="shared" si="89"/>
        <v>1</v>
      </c>
      <c r="BF142" s="49">
        <f t="shared" si="90"/>
        <v>0</v>
      </c>
      <c r="BG142" s="49">
        <f t="shared" si="91"/>
        <v>0</v>
      </c>
      <c r="BH142" s="49">
        <f t="shared" si="92"/>
        <v>0</v>
      </c>
      <c r="BI142" s="49">
        <f t="shared" si="93"/>
        <v>1</v>
      </c>
      <c r="BJ142" s="49">
        <f t="shared" si="94"/>
        <v>0</v>
      </c>
      <c r="BK142" s="49">
        <f t="shared" si="95"/>
        <v>0</v>
      </c>
      <c r="BL142" s="49">
        <f t="shared" si="96"/>
        <v>0</v>
      </c>
      <c r="BM142" s="49">
        <f t="shared" si="97"/>
        <v>1</v>
      </c>
      <c r="BN142" s="49">
        <f t="shared" si="98"/>
        <v>0</v>
      </c>
      <c r="BO142" s="49">
        <f t="shared" si="99"/>
        <v>0</v>
      </c>
      <c r="BP142" s="49">
        <f t="shared" si="100"/>
        <v>0</v>
      </c>
      <c r="BQ142" s="49">
        <f t="shared" si="101"/>
        <v>1</v>
      </c>
      <c r="BR142" s="49">
        <f t="shared" si="102"/>
        <v>0</v>
      </c>
      <c r="BS142" s="49">
        <f t="shared" si="103"/>
        <v>0</v>
      </c>
      <c r="BT142" s="49">
        <f t="shared" si="104"/>
        <v>0</v>
      </c>
      <c r="BU142" s="49">
        <f t="shared" si="105"/>
        <v>1</v>
      </c>
      <c r="BV142" s="49">
        <f t="shared" si="106"/>
        <v>0</v>
      </c>
      <c r="BW142" s="49">
        <f t="shared" si="107"/>
        <v>0</v>
      </c>
      <c r="BX142" s="49">
        <f t="shared" si="108"/>
        <v>0</v>
      </c>
      <c r="BY142" s="49">
        <f t="shared" si="109"/>
        <v>1</v>
      </c>
      <c r="BZ142" s="49">
        <f t="shared" si="110"/>
        <v>0</v>
      </c>
      <c r="CA142" s="49">
        <f t="shared" si="111"/>
        <v>0</v>
      </c>
      <c r="CB142" s="49">
        <f t="shared" si="112"/>
        <v>0</v>
      </c>
      <c r="CC142" s="49">
        <f t="shared" si="113"/>
        <v>0</v>
      </c>
      <c r="CD142" s="49">
        <f t="shared" si="114"/>
        <v>1</v>
      </c>
      <c r="CE142" s="49">
        <f t="shared" si="115"/>
        <v>0</v>
      </c>
    </row>
    <row r="143" spans="1:83" ht="35.1" customHeight="1" x14ac:dyDescent="0.3">
      <c r="A143" s="123" t="str">
        <f t="shared" si="116"/>
        <v>1팀</v>
      </c>
      <c r="B143" s="69">
        <f t="shared" si="117"/>
        <v>137</v>
      </c>
      <c r="C143" s="120" t="str">
        <f>IF(VLOOKUP($B143,'1. 현장별 인원현황'!$C:$J,2,0)=0,"",VLOOKUP($B143,'1. 현장별 인원현황'!$C:$J,2,0))</f>
        <v xml:space="preserve"> [1.포스코건설] 영종-청라 연결도로(제3연륙교) 건설공사 제2공구 전기 및 통신공사</v>
      </c>
      <c r="D143" s="70" t="str">
        <f>IF(VLOOKUP($B143,'1. 현장별 인원현황'!$C:$J,3,0)=0,"",VLOOKUP($B143,'1. 현장별 인원현황'!$C:$J,3,0))</f>
        <v>신덕진</v>
      </c>
      <c r="E143" s="74" t="str">
        <f ca="1">IF(VLOOKUP($B143,'1. 현장별 인원현황'!$C:$J,4,0)=0,"",VLOOKUP($B143,'1. 현장별 인원현황'!$C:$J,4,0))</f>
        <v>38세</v>
      </c>
      <c r="F143" s="70" t="str">
        <f>IF(VLOOKUP($B143,'1. 현장별 인원현황'!$C:$J,7,0)=0,"",VLOOKUP($B143,'1. 현장별 인원현황'!$C:$J,7,0))</f>
        <v>기능공</v>
      </c>
      <c r="G143" s="72" t="str">
        <f>IF(VLOOKUP($B143,'1. 현장별 인원현황'!$C:$J,8,0)=0,"",VLOOKUP($B143,'1. 현장별 인원현황'!$C:$J,8,0))</f>
        <v>전공</v>
      </c>
      <c r="H143" s="67"/>
      <c r="I143" s="73" t="s">
        <v>69</v>
      </c>
      <c r="J143" s="73"/>
      <c r="K143" s="68"/>
      <c r="L143" s="67"/>
      <c r="M143" s="73"/>
      <c r="N143" s="73" t="s">
        <v>69</v>
      </c>
      <c r="O143" s="68"/>
      <c r="P143" s="67"/>
      <c r="Q143" s="73" t="s">
        <v>69</v>
      </c>
      <c r="R143" s="73"/>
      <c r="S143" s="68"/>
      <c r="T143" s="67"/>
      <c r="U143" s="73" t="s">
        <v>69</v>
      </c>
      <c r="V143" s="73"/>
      <c r="W143" s="68"/>
      <c r="X143" s="67"/>
      <c r="Y143" s="73" t="s">
        <v>69</v>
      </c>
      <c r="Z143" s="73"/>
      <c r="AA143" s="68"/>
      <c r="AB143" s="67"/>
      <c r="AC143" s="73" t="s">
        <v>69</v>
      </c>
      <c r="AD143" s="73"/>
      <c r="AE143" s="68"/>
      <c r="AF143" s="67"/>
      <c r="AG143" s="73" t="s">
        <v>69</v>
      </c>
      <c r="AH143" s="73"/>
      <c r="AI143" s="68"/>
      <c r="AJ143" s="67"/>
      <c r="AK143" s="73" t="s">
        <v>69</v>
      </c>
      <c r="AL143" s="73"/>
      <c r="AM143" s="68"/>
      <c r="AN143" s="73"/>
      <c r="AO143" s="73" t="s">
        <v>69</v>
      </c>
      <c r="AP143" s="73"/>
      <c r="AQ143" s="68"/>
      <c r="AR143" s="67">
        <f t="shared" si="118"/>
        <v>74</v>
      </c>
      <c r="AS143" s="68" t="str">
        <f t="shared" si="119"/>
        <v>A</v>
      </c>
      <c r="AV143" s="49">
        <f t="shared" si="80"/>
        <v>0</v>
      </c>
      <c r="AW143" s="49">
        <f t="shared" si="81"/>
        <v>1</v>
      </c>
      <c r="AX143" s="49">
        <f t="shared" si="82"/>
        <v>0</v>
      </c>
      <c r="AY143" s="49">
        <f t="shared" si="83"/>
        <v>0</v>
      </c>
      <c r="AZ143" s="49">
        <f t="shared" si="84"/>
        <v>0</v>
      </c>
      <c r="BA143" s="49">
        <f t="shared" si="85"/>
        <v>0</v>
      </c>
      <c r="BB143" s="49">
        <f t="shared" si="86"/>
        <v>1</v>
      </c>
      <c r="BC143" s="49">
        <f t="shared" si="87"/>
        <v>0</v>
      </c>
      <c r="BD143" s="49">
        <f t="shared" si="88"/>
        <v>0</v>
      </c>
      <c r="BE143" s="49">
        <f t="shared" si="89"/>
        <v>1</v>
      </c>
      <c r="BF143" s="49">
        <f t="shared" si="90"/>
        <v>0</v>
      </c>
      <c r="BG143" s="49">
        <f t="shared" si="91"/>
        <v>0</v>
      </c>
      <c r="BH143" s="49">
        <f t="shared" si="92"/>
        <v>0</v>
      </c>
      <c r="BI143" s="49">
        <f t="shared" si="93"/>
        <v>1</v>
      </c>
      <c r="BJ143" s="49">
        <f t="shared" si="94"/>
        <v>0</v>
      </c>
      <c r="BK143" s="49">
        <f t="shared" si="95"/>
        <v>0</v>
      </c>
      <c r="BL143" s="49">
        <f t="shared" si="96"/>
        <v>0</v>
      </c>
      <c r="BM143" s="49">
        <f t="shared" si="97"/>
        <v>1</v>
      </c>
      <c r="BN143" s="49">
        <f t="shared" si="98"/>
        <v>0</v>
      </c>
      <c r="BO143" s="49">
        <f t="shared" si="99"/>
        <v>0</v>
      </c>
      <c r="BP143" s="49">
        <f t="shared" si="100"/>
        <v>0</v>
      </c>
      <c r="BQ143" s="49">
        <f t="shared" si="101"/>
        <v>1</v>
      </c>
      <c r="BR143" s="49">
        <f t="shared" si="102"/>
        <v>0</v>
      </c>
      <c r="BS143" s="49">
        <f t="shared" si="103"/>
        <v>0</v>
      </c>
      <c r="BT143" s="49">
        <f t="shared" si="104"/>
        <v>0</v>
      </c>
      <c r="BU143" s="49">
        <f t="shared" si="105"/>
        <v>1</v>
      </c>
      <c r="BV143" s="49">
        <f t="shared" si="106"/>
        <v>0</v>
      </c>
      <c r="BW143" s="49">
        <f t="shared" si="107"/>
        <v>0</v>
      </c>
      <c r="BX143" s="49">
        <f t="shared" si="108"/>
        <v>0</v>
      </c>
      <c r="BY143" s="49">
        <f t="shared" si="109"/>
        <v>1</v>
      </c>
      <c r="BZ143" s="49">
        <f t="shared" si="110"/>
        <v>0</v>
      </c>
      <c r="CA143" s="49">
        <f t="shared" si="111"/>
        <v>0</v>
      </c>
      <c r="CB143" s="49">
        <f t="shared" si="112"/>
        <v>0</v>
      </c>
      <c r="CC143" s="49">
        <f t="shared" si="113"/>
        <v>1</v>
      </c>
      <c r="CD143" s="49">
        <f t="shared" si="114"/>
        <v>0</v>
      </c>
      <c r="CE143" s="49">
        <f t="shared" si="115"/>
        <v>0</v>
      </c>
    </row>
    <row r="144" spans="1:83" ht="35.1" customHeight="1" x14ac:dyDescent="0.3">
      <c r="A144" s="123" t="str">
        <f t="shared" si="116"/>
        <v>1팀</v>
      </c>
      <c r="B144" s="69">
        <f t="shared" si="117"/>
        <v>138</v>
      </c>
      <c r="C144" s="120" t="str">
        <f>IF(VLOOKUP($B144,'1. 현장별 인원현황'!$C:$J,2,0)=0,"",VLOOKUP($B144,'1. 현장별 인원현황'!$C:$J,2,0))</f>
        <v xml:space="preserve"> [1.포스코건설] 영종-청라 연결도로(제3연륙교) 건설공사 제2공구 전기 및 통신공사</v>
      </c>
      <c r="D144" s="70" t="str">
        <f>IF(VLOOKUP($B144,'1. 현장별 인원현황'!$C:$J,3,0)=0,"",VLOOKUP($B144,'1. 현장별 인원현황'!$C:$J,3,0))</f>
        <v>안은호</v>
      </c>
      <c r="E144" s="74" t="str">
        <f ca="1">IF(VLOOKUP($B144,'1. 현장별 인원현황'!$C:$J,4,0)=0,"",VLOOKUP($B144,'1. 현장별 인원현황'!$C:$J,4,0))</f>
        <v>44세</v>
      </c>
      <c r="F144" s="70" t="str">
        <f>IF(VLOOKUP($B144,'1. 현장별 인원현황'!$C:$J,7,0)=0,"",VLOOKUP($B144,'1. 현장별 인원현황'!$C:$J,7,0))</f>
        <v>기능공</v>
      </c>
      <c r="G144" s="72" t="str">
        <f>IF(VLOOKUP($B144,'1. 현장별 인원현황'!$C:$J,8,0)=0,"",VLOOKUP($B144,'1. 현장별 인원현황'!$C:$J,8,0))</f>
        <v>전공</v>
      </c>
      <c r="H144" s="67"/>
      <c r="I144" s="73" t="s">
        <v>69</v>
      </c>
      <c r="J144" s="73"/>
      <c r="K144" s="68"/>
      <c r="L144" s="67"/>
      <c r="M144" s="73" t="s">
        <v>69</v>
      </c>
      <c r="N144" s="73"/>
      <c r="O144" s="68"/>
      <c r="P144" s="67"/>
      <c r="Q144" s="73" t="s">
        <v>69</v>
      </c>
      <c r="R144" s="73"/>
      <c r="S144" s="68"/>
      <c r="T144" s="67"/>
      <c r="U144" s="73" t="s">
        <v>69</v>
      </c>
      <c r="V144" s="73"/>
      <c r="W144" s="68"/>
      <c r="X144" s="67"/>
      <c r="Y144" s="73" t="s">
        <v>69</v>
      </c>
      <c r="Z144" s="73"/>
      <c r="AA144" s="68"/>
      <c r="AB144" s="67"/>
      <c r="AC144" s="73" t="s">
        <v>69</v>
      </c>
      <c r="AD144" s="73"/>
      <c r="AE144" s="68"/>
      <c r="AF144" s="67"/>
      <c r="AG144" s="73" t="s">
        <v>69</v>
      </c>
      <c r="AH144" s="73"/>
      <c r="AI144" s="68"/>
      <c r="AJ144" s="67"/>
      <c r="AK144" s="73" t="s">
        <v>69</v>
      </c>
      <c r="AL144" s="73"/>
      <c r="AM144" s="68"/>
      <c r="AN144" s="73"/>
      <c r="AO144" s="73" t="s">
        <v>69</v>
      </c>
      <c r="AP144" s="73"/>
      <c r="AQ144" s="68"/>
      <c r="AR144" s="67">
        <f t="shared" si="118"/>
        <v>77</v>
      </c>
      <c r="AS144" s="68" t="str">
        <f t="shared" si="119"/>
        <v>A</v>
      </c>
      <c r="AV144" s="49">
        <f t="shared" si="80"/>
        <v>0</v>
      </c>
      <c r="AW144" s="49">
        <f t="shared" si="81"/>
        <v>1</v>
      </c>
      <c r="AX144" s="49">
        <f t="shared" si="82"/>
        <v>0</v>
      </c>
      <c r="AY144" s="49">
        <f t="shared" si="83"/>
        <v>0</v>
      </c>
      <c r="AZ144" s="49">
        <f t="shared" si="84"/>
        <v>0</v>
      </c>
      <c r="BA144" s="49">
        <f t="shared" si="85"/>
        <v>1</v>
      </c>
      <c r="BB144" s="49">
        <f t="shared" si="86"/>
        <v>0</v>
      </c>
      <c r="BC144" s="49">
        <f t="shared" si="87"/>
        <v>0</v>
      </c>
      <c r="BD144" s="49">
        <f t="shared" si="88"/>
        <v>0</v>
      </c>
      <c r="BE144" s="49">
        <f t="shared" si="89"/>
        <v>1</v>
      </c>
      <c r="BF144" s="49">
        <f t="shared" si="90"/>
        <v>0</v>
      </c>
      <c r="BG144" s="49">
        <f t="shared" si="91"/>
        <v>0</v>
      </c>
      <c r="BH144" s="49">
        <f t="shared" si="92"/>
        <v>0</v>
      </c>
      <c r="BI144" s="49">
        <f t="shared" si="93"/>
        <v>1</v>
      </c>
      <c r="BJ144" s="49">
        <f t="shared" si="94"/>
        <v>0</v>
      </c>
      <c r="BK144" s="49">
        <f t="shared" si="95"/>
        <v>0</v>
      </c>
      <c r="BL144" s="49">
        <f t="shared" si="96"/>
        <v>0</v>
      </c>
      <c r="BM144" s="49">
        <f t="shared" si="97"/>
        <v>1</v>
      </c>
      <c r="BN144" s="49">
        <f t="shared" si="98"/>
        <v>0</v>
      </c>
      <c r="BO144" s="49">
        <f t="shared" si="99"/>
        <v>0</v>
      </c>
      <c r="BP144" s="49">
        <f t="shared" si="100"/>
        <v>0</v>
      </c>
      <c r="BQ144" s="49">
        <f t="shared" si="101"/>
        <v>1</v>
      </c>
      <c r="BR144" s="49">
        <f t="shared" si="102"/>
        <v>0</v>
      </c>
      <c r="BS144" s="49">
        <f t="shared" si="103"/>
        <v>0</v>
      </c>
      <c r="BT144" s="49">
        <f t="shared" si="104"/>
        <v>0</v>
      </c>
      <c r="BU144" s="49">
        <f t="shared" si="105"/>
        <v>1</v>
      </c>
      <c r="BV144" s="49">
        <f t="shared" si="106"/>
        <v>0</v>
      </c>
      <c r="BW144" s="49">
        <f t="shared" si="107"/>
        <v>0</v>
      </c>
      <c r="BX144" s="49">
        <f t="shared" si="108"/>
        <v>0</v>
      </c>
      <c r="BY144" s="49">
        <f t="shared" si="109"/>
        <v>1</v>
      </c>
      <c r="BZ144" s="49">
        <f t="shared" si="110"/>
        <v>0</v>
      </c>
      <c r="CA144" s="49">
        <f t="shared" si="111"/>
        <v>0</v>
      </c>
      <c r="CB144" s="49">
        <f t="shared" si="112"/>
        <v>0</v>
      </c>
      <c r="CC144" s="49">
        <f t="shared" si="113"/>
        <v>1</v>
      </c>
      <c r="CD144" s="49">
        <f t="shared" si="114"/>
        <v>0</v>
      </c>
      <c r="CE144" s="49">
        <f t="shared" si="115"/>
        <v>0</v>
      </c>
    </row>
    <row r="145" spans="1:83" ht="35.1" customHeight="1" x14ac:dyDescent="0.3">
      <c r="A145" s="123" t="str">
        <f t="shared" si="116"/>
        <v>1팀</v>
      </c>
      <c r="B145" s="69">
        <f t="shared" si="117"/>
        <v>139</v>
      </c>
      <c r="C145" s="120" t="str">
        <f>IF(VLOOKUP($B145,'1. 현장별 인원현황'!$C:$J,2,0)=0,"",VLOOKUP($B145,'1. 현장별 인원현황'!$C:$J,2,0))</f>
        <v xml:space="preserve"> [1.포스코건설] 영종-청라 연결도로(제3연륙교) 건설공사 제2공구 전기 및 통신공사</v>
      </c>
      <c r="D145" s="70" t="str">
        <f>IF(VLOOKUP($B145,'1. 현장별 인원현황'!$C:$J,3,0)=0,"",VLOOKUP($B145,'1. 현장별 인원현황'!$C:$J,3,0))</f>
        <v>우덕균</v>
      </c>
      <c r="E145" s="74" t="str">
        <f ca="1">IF(VLOOKUP($B145,'1. 현장별 인원현황'!$C:$J,4,0)=0,"",VLOOKUP($B145,'1. 현장별 인원현황'!$C:$J,4,0))</f>
        <v>60세</v>
      </c>
      <c r="F145" s="70" t="str">
        <f>IF(VLOOKUP($B145,'1. 현장별 인원현황'!$C:$J,7,0)=0,"",VLOOKUP($B145,'1. 현장별 인원현황'!$C:$J,7,0))</f>
        <v>기능공</v>
      </c>
      <c r="G145" s="72" t="str">
        <f>IF(VLOOKUP($B145,'1. 현장별 인원현황'!$C:$J,8,0)=0,"",VLOOKUP($B145,'1. 현장별 인원현황'!$C:$J,8,0))</f>
        <v>전공</v>
      </c>
      <c r="H145" s="67"/>
      <c r="I145" s="73" t="s">
        <v>69</v>
      </c>
      <c r="J145" s="73"/>
      <c r="K145" s="68"/>
      <c r="L145" s="67"/>
      <c r="M145" s="73"/>
      <c r="N145" s="73" t="s">
        <v>69</v>
      </c>
      <c r="O145" s="68"/>
      <c r="P145" s="67"/>
      <c r="Q145" s="73"/>
      <c r="R145" s="73" t="s">
        <v>69</v>
      </c>
      <c r="S145" s="68"/>
      <c r="T145" s="67"/>
      <c r="U145" s="73" t="s">
        <v>69</v>
      </c>
      <c r="V145" s="73"/>
      <c r="W145" s="68"/>
      <c r="X145" s="67"/>
      <c r="Y145" s="73" t="s">
        <v>69</v>
      </c>
      <c r="Z145" s="73"/>
      <c r="AA145" s="68"/>
      <c r="AB145" s="67"/>
      <c r="AC145" s="73" t="s">
        <v>69</v>
      </c>
      <c r="AD145" s="73"/>
      <c r="AE145" s="68"/>
      <c r="AF145" s="67"/>
      <c r="AG145" s="73" t="s">
        <v>69</v>
      </c>
      <c r="AH145" s="73"/>
      <c r="AI145" s="68"/>
      <c r="AJ145" s="67"/>
      <c r="AK145" s="73" t="s">
        <v>69</v>
      </c>
      <c r="AL145" s="73"/>
      <c r="AM145" s="68"/>
      <c r="AN145" s="73"/>
      <c r="AO145" s="73" t="s">
        <v>69</v>
      </c>
      <c r="AP145" s="73"/>
      <c r="AQ145" s="68"/>
      <c r="AR145" s="67">
        <f t="shared" si="118"/>
        <v>71</v>
      </c>
      <c r="AS145" s="68" t="str">
        <f t="shared" si="119"/>
        <v>A</v>
      </c>
      <c r="AV145" s="49">
        <f t="shared" si="80"/>
        <v>0</v>
      </c>
      <c r="AW145" s="49">
        <f t="shared" si="81"/>
        <v>1</v>
      </c>
      <c r="AX145" s="49">
        <f t="shared" si="82"/>
        <v>0</v>
      </c>
      <c r="AY145" s="49">
        <f t="shared" si="83"/>
        <v>0</v>
      </c>
      <c r="AZ145" s="49">
        <f t="shared" si="84"/>
        <v>0</v>
      </c>
      <c r="BA145" s="49">
        <f t="shared" si="85"/>
        <v>0</v>
      </c>
      <c r="BB145" s="49">
        <f t="shared" si="86"/>
        <v>1</v>
      </c>
      <c r="BC145" s="49">
        <f t="shared" si="87"/>
        <v>0</v>
      </c>
      <c r="BD145" s="49">
        <f t="shared" si="88"/>
        <v>0</v>
      </c>
      <c r="BE145" s="49">
        <f t="shared" si="89"/>
        <v>0</v>
      </c>
      <c r="BF145" s="49">
        <f t="shared" si="90"/>
        <v>1</v>
      </c>
      <c r="BG145" s="49">
        <f t="shared" si="91"/>
        <v>0</v>
      </c>
      <c r="BH145" s="49">
        <f t="shared" si="92"/>
        <v>0</v>
      </c>
      <c r="BI145" s="49">
        <f t="shared" si="93"/>
        <v>1</v>
      </c>
      <c r="BJ145" s="49">
        <f t="shared" si="94"/>
        <v>0</v>
      </c>
      <c r="BK145" s="49">
        <f t="shared" si="95"/>
        <v>0</v>
      </c>
      <c r="BL145" s="49">
        <f t="shared" si="96"/>
        <v>0</v>
      </c>
      <c r="BM145" s="49">
        <f t="shared" si="97"/>
        <v>1</v>
      </c>
      <c r="BN145" s="49">
        <f t="shared" si="98"/>
        <v>0</v>
      </c>
      <c r="BO145" s="49">
        <f t="shared" si="99"/>
        <v>0</v>
      </c>
      <c r="BP145" s="49">
        <f t="shared" si="100"/>
        <v>0</v>
      </c>
      <c r="BQ145" s="49">
        <f t="shared" si="101"/>
        <v>1</v>
      </c>
      <c r="BR145" s="49">
        <f t="shared" si="102"/>
        <v>0</v>
      </c>
      <c r="BS145" s="49">
        <f t="shared" si="103"/>
        <v>0</v>
      </c>
      <c r="BT145" s="49">
        <f t="shared" si="104"/>
        <v>0</v>
      </c>
      <c r="BU145" s="49">
        <f t="shared" si="105"/>
        <v>1</v>
      </c>
      <c r="BV145" s="49">
        <f t="shared" si="106"/>
        <v>0</v>
      </c>
      <c r="BW145" s="49">
        <f t="shared" si="107"/>
        <v>0</v>
      </c>
      <c r="BX145" s="49">
        <f t="shared" si="108"/>
        <v>0</v>
      </c>
      <c r="BY145" s="49">
        <f t="shared" si="109"/>
        <v>1</v>
      </c>
      <c r="BZ145" s="49">
        <f t="shared" si="110"/>
        <v>0</v>
      </c>
      <c r="CA145" s="49">
        <f t="shared" si="111"/>
        <v>0</v>
      </c>
      <c r="CB145" s="49">
        <f t="shared" si="112"/>
        <v>0</v>
      </c>
      <c r="CC145" s="49">
        <f t="shared" si="113"/>
        <v>1</v>
      </c>
      <c r="CD145" s="49">
        <f t="shared" si="114"/>
        <v>0</v>
      </c>
      <c r="CE145" s="49">
        <f t="shared" si="115"/>
        <v>0</v>
      </c>
    </row>
    <row r="146" spans="1:83" ht="35.1" customHeight="1" x14ac:dyDescent="0.3">
      <c r="A146" s="123" t="str">
        <f t="shared" si="116"/>
        <v>1팀</v>
      </c>
      <c r="B146" s="69">
        <f t="shared" si="117"/>
        <v>140</v>
      </c>
      <c r="C146" s="120" t="str">
        <f>IF(VLOOKUP($B146,'1. 현장별 인원현황'!$C:$J,2,0)=0,"",VLOOKUP($B146,'1. 현장별 인원현황'!$C:$J,2,0))</f>
        <v xml:space="preserve"> [1.포스코건설] 영종-청라 연결도로(제3연륙교) 건설공사 제2공구 전기 및 통신공사</v>
      </c>
      <c r="D146" s="70" t="str">
        <f>IF(VLOOKUP($B146,'1. 현장별 인원현황'!$C:$J,3,0)=0,"",VLOOKUP($B146,'1. 현장별 인원현황'!$C:$J,3,0))</f>
        <v>유경철</v>
      </c>
      <c r="E146" s="74" t="str">
        <f ca="1">IF(VLOOKUP($B146,'1. 현장별 인원현황'!$C:$J,4,0)=0,"",VLOOKUP($B146,'1. 현장별 인원현황'!$C:$J,4,0))</f>
        <v>51세</v>
      </c>
      <c r="F146" s="70" t="str">
        <f>IF(VLOOKUP($B146,'1. 현장별 인원현황'!$C:$J,7,0)=0,"",VLOOKUP($B146,'1. 현장별 인원현황'!$C:$J,7,0))</f>
        <v>기능공</v>
      </c>
      <c r="G146" s="72" t="str">
        <f>IF(VLOOKUP($B146,'1. 현장별 인원현황'!$C:$J,8,0)=0,"",VLOOKUP($B146,'1. 현장별 인원현황'!$C:$J,8,0))</f>
        <v>전공</v>
      </c>
      <c r="H146" s="67"/>
      <c r="I146" s="73" t="s">
        <v>69</v>
      </c>
      <c r="J146" s="73"/>
      <c r="K146" s="68"/>
      <c r="L146" s="67"/>
      <c r="M146" s="73" t="s">
        <v>69</v>
      </c>
      <c r="N146" s="73"/>
      <c r="O146" s="68"/>
      <c r="P146" s="67"/>
      <c r="Q146" s="73" t="s">
        <v>69</v>
      </c>
      <c r="R146" s="73"/>
      <c r="S146" s="68"/>
      <c r="T146" s="67"/>
      <c r="U146" s="73" t="s">
        <v>69</v>
      </c>
      <c r="V146" s="73"/>
      <c r="W146" s="68"/>
      <c r="X146" s="67"/>
      <c r="Y146" s="73" t="s">
        <v>69</v>
      </c>
      <c r="Z146" s="73"/>
      <c r="AA146" s="68"/>
      <c r="AB146" s="67"/>
      <c r="AC146" s="73" t="s">
        <v>69</v>
      </c>
      <c r="AD146" s="73"/>
      <c r="AE146" s="68"/>
      <c r="AF146" s="67"/>
      <c r="AG146" s="73" t="s">
        <v>69</v>
      </c>
      <c r="AH146" s="73"/>
      <c r="AI146" s="68"/>
      <c r="AJ146" s="67"/>
      <c r="AK146" s="73" t="s">
        <v>69</v>
      </c>
      <c r="AL146" s="73"/>
      <c r="AM146" s="68"/>
      <c r="AN146" s="73"/>
      <c r="AO146" s="73" t="s">
        <v>69</v>
      </c>
      <c r="AP146" s="73"/>
      <c r="AQ146" s="68"/>
      <c r="AR146" s="67">
        <f t="shared" si="118"/>
        <v>77</v>
      </c>
      <c r="AS146" s="68" t="str">
        <f t="shared" si="119"/>
        <v>A</v>
      </c>
      <c r="AV146" s="49">
        <f t="shared" si="80"/>
        <v>0</v>
      </c>
      <c r="AW146" s="49">
        <f t="shared" si="81"/>
        <v>1</v>
      </c>
      <c r="AX146" s="49">
        <f t="shared" si="82"/>
        <v>0</v>
      </c>
      <c r="AY146" s="49">
        <f t="shared" si="83"/>
        <v>0</v>
      </c>
      <c r="AZ146" s="49">
        <f t="shared" si="84"/>
        <v>0</v>
      </c>
      <c r="BA146" s="49">
        <f t="shared" si="85"/>
        <v>1</v>
      </c>
      <c r="BB146" s="49">
        <f t="shared" si="86"/>
        <v>0</v>
      </c>
      <c r="BC146" s="49">
        <f t="shared" si="87"/>
        <v>0</v>
      </c>
      <c r="BD146" s="49">
        <f t="shared" si="88"/>
        <v>0</v>
      </c>
      <c r="BE146" s="49">
        <f t="shared" si="89"/>
        <v>1</v>
      </c>
      <c r="BF146" s="49">
        <f t="shared" si="90"/>
        <v>0</v>
      </c>
      <c r="BG146" s="49">
        <f t="shared" si="91"/>
        <v>0</v>
      </c>
      <c r="BH146" s="49">
        <f t="shared" si="92"/>
        <v>0</v>
      </c>
      <c r="BI146" s="49">
        <f t="shared" si="93"/>
        <v>1</v>
      </c>
      <c r="BJ146" s="49">
        <f t="shared" si="94"/>
        <v>0</v>
      </c>
      <c r="BK146" s="49">
        <f t="shared" si="95"/>
        <v>0</v>
      </c>
      <c r="BL146" s="49">
        <f t="shared" si="96"/>
        <v>0</v>
      </c>
      <c r="BM146" s="49">
        <f t="shared" si="97"/>
        <v>1</v>
      </c>
      <c r="BN146" s="49">
        <f t="shared" si="98"/>
        <v>0</v>
      </c>
      <c r="BO146" s="49">
        <f t="shared" si="99"/>
        <v>0</v>
      </c>
      <c r="BP146" s="49">
        <f t="shared" si="100"/>
        <v>0</v>
      </c>
      <c r="BQ146" s="49">
        <f t="shared" si="101"/>
        <v>1</v>
      </c>
      <c r="BR146" s="49">
        <f t="shared" si="102"/>
        <v>0</v>
      </c>
      <c r="BS146" s="49">
        <f t="shared" si="103"/>
        <v>0</v>
      </c>
      <c r="BT146" s="49">
        <f t="shared" si="104"/>
        <v>0</v>
      </c>
      <c r="BU146" s="49">
        <f t="shared" si="105"/>
        <v>1</v>
      </c>
      <c r="BV146" s="49">
        <f t="shared" si="106"/>
        <v>0</v>
      </c>
      <c r="BW146" s="49">
        <f t="shared" si="107"/>
        <v>0</v>
      </c>
      <c r="BX146" s="49">
        <f t="shared" si="108"/>
        <v>0</v>
      </c>
      <c r="BY146" s="49">
        <f t="shared" si="109"/>
        <v>1</v>
      </c>
      <c r="BZ146" s="49">
        <f t="shared" si="110"/>
        <v>0</v>
      </c>
      <c r="CA146" s="49">
        <f t="shared" si="111"/>
        <v>0</v>
      </c>
      <c r="CB146" s="49">
        <f t="shared" si="112"/>
        <v>0</v>
      </c>
      <c r="CC146" s="49">
        <f t="shared" si="113"/>
        <v>1</v>
      </c>
      <c r="CD146" s="49">
        <f t="shared" si="114"/>
        <v>0</v>
      </c>
      <c r="CE146" s="49">
        <f t="shared" si="115"/>
        <v>0</v>
      </c>
    </row>
    <row r="147" spans="1:83" ht="35.1" customHeight="1" x14ac:dyDescent="0.3">
      <c r="A147" s="123" t="str">
        <f t="shared" si="116"/>
        <v>1팀</v>
      </c>
      <c r="B147" s="69">
        <f t="shared" si="117"/>
        <v>141</v>
      </c>
      <c r="C147" s="120" t="str">
        <f>IF(VLOOKUP($B147,'1. 현장별 인원현황'!$C:$J,2,0)=0,"",VLOOKUP($B147,'1. 현장별 인원현황'!$C:$J,2,0))</f>
        <v xml:space="preserve"> [1.포스코건설] 영종-청라 연결도로(제3연륙교) 건설공사 제2공구 전기 및 통신공사</v>
      </c>
      <c r="D147" s="70" t="str">
        <f>IF(VLOOKUP($B147,'1. 현장별 인원현황'!$C:$J,3,0)=0,"",VLOOKUP($B147,'1. 현장별 인원현황'!$C:$J,3,0))</f>
        <v>유철호</v>
      </c>
      <c r="E147" s="74" t="str">
        <f ca="1">IF(VLOOKUP($B147,'1. 현장별 인원현황'!$C:$J,4,0)=0,"",VLOOKUP($B147,'1. 현장별 인원현황'!$C:$J,4,0))</f>
        <v>61세</v>
      </c>
      <c r="F147" s="70" t="str">
        <f>IF(VLOOKUP($B147,'1. 현장별 인원현황'!$C:$J,7,0)=0,"",VLOOKUP($B147,'1. 현장별 인원현황'!$C:$J,7,0))</f>
        <v>기능공</v>
      </c>
      <c r="G147" s="72" t="str">
        <f>IF(VLOOKUP($B147,'1. 현장별 인원현황'!$C:$J,8,0)=0,"",VLOOKUP($B147,'1. 현장별 인원현황'!$C:$J,8,0))</f>
        <v>전공</v>
      </c>
      <c r="H147" s="67"/>
      <c r="I147" s="73" t="s">
        <v>69</v>
      </c>
      <c r="J147" s="73"/>
      <c r="K147" s="68"/>
      <c r="L147" s="67"/>
      <c r="M147" s="73" t="s">
        <v>69</v>
      </c>
      <c r="N147" s="73"/>
      <c r="O147" s="68"/>
      <c r="P147" s="67"/>
      <c r="Q147" s="73" t="s">
        <v>69</v>
      </c>
      <c r="R147" s="73"/>
      <c r="S147" s="68"/>
      <c r="T147" s="67"/>
      <c r="U147" s="73" t="s">
        <v>69</v>
      </c>
      <c r="V147" s="73"/>
      <c r="W147" s="68"/>
      <c r="X147" s="67"/>
      <c r="Y147" s="73" t="s">
        <v>69</v>
      </c>
      <c r="Z147" s="73"/>
      <c r="AA147" s="68"/>
      <c r="AB147" s="67"/>
      <c r="AC147" s="73"/>
      <c r="AD147" s="73" t="s">
        <v>69</v>
      </c>
      <c r="AE147" s="68"/>
      <c r="AF147" s="67"/>
      <c r="AG147" s="73" t="s">
        <v>69</v>
      </c>
      <c r="AH147" s="73"/>
      <c r="AI147" s="68"/>
      <c r="AJ147" s="67"/>
      <c r="AK147" s="73" t="s">
        <v>69</v>
      </c>
      <c r="AL147" s="73"/>
      <c r="AM147" s="68"/>
      <c r="AN147" s="73" t="s">
        <v>69</v>
      </c>
      <c r="AO147" s="73"/>
      <c r="AP147" s="73"/>
      <c r="AQ147" s="68"/>
      <c r="AR147" s="67">
        <f t="shared" si="118"/>
        <v>78</v>
      </c>
      <c r="AS147" s="68" t="str">
        <f t="shared" si="119"/>
        <v>A</v>
      </c>
      <c r="AV147" s="49">
        <f t="shared" si="80"/>
        <v>0</v>
      </c>
      <c r="AW147" s="49">
        <f t="shared" si="81"/>
        <v>1</v>
      </c>
      <c r="AX147" s="49">
        <f t="shared" si="82"/>
        <v>0</v>
      </c>
      <c r="AY147" s="49">
        <f t="shared" si="83"/>
        <v>0</v>
      </c>
      <c r="AZ147" s="49">
        <f t="shared" si="84"/>
        <v>0</v>
      </c>
      <c r="BA147" s="49">
        <f t="shared" si="85"/>
        <v>1</v>
      </c>
      <c r="BB147" s="49">
        <f t="shared" si="86"/>
        <v>0</v>
      </c>
      <c r="BC147" s="49">
        <f t="shared" si="87"/>
        <v>0</v>
      </c>
      <c r="BD147" s="49">
        <f t="shared" si="88"/>
        <v>0</v>
      </c>
      <c r="BE147" s="49">
        <f t="shared" si="89"/>
        <v>1</v>
      </c>
      <c r="BF147" s="49">
        <f t="shared" si="90"/>
        <v>0</v>
      </c>
      <c r="BG147" s="49">
        <f t="shared" si="91"/>
        <v>0</v>
      </c>
      <c r="BH147" s="49">
        <f t="shared" si="92"/>
        <v>0</v>
      </c>
      <c r="BI147" s="49">
        <f t="shared" si="93"/>
        <v>1</v>
      </c>
      <c r="BJ147" s="49">
        <f t="shared" si="94"/>
        <v>0</v>
      </c>
      <c r="BK147" s="49">
        <f t="shared" si="95"/>
        <v>0</v>
      </c>
      <c r="BL147" s="49">
        <f t="shared" si="96"/>
        <v>0</v>
      </c>
      <c r="BM147" s="49">
        <f t="shared" si="97"/>
        <v>1</v>
      </c>
      <c r="BN147" s="49">
        <f t="shared" si="98"/>
        <v>0</v>
      </c>
      <c r="BO147" s="49">
        <f t="shared" si="99"/>
        <v>0</v>
      </c>
      <c r="BP147" s="49">
        <f t="shared" si="100"/>
        <v>0</v>
      </c>
      <c r="BQ147" s="49">
        <f t="shared" si="101"/>
        <v>0</v>
      </c>
      <c r="BR147" s="49">
        <f t="shared" si="102"/>
        <v>1</v>
      </c>
      <c r="BS147" s="49">
        <f t="shared" si="103"/>
        <v>0</v>
      </c>
      <c r="BT147" s="49">
        <f t="shared" si="104"/>
        <v>0</v>
      </c>
      <c r="BU147" s="49">
        <f t="shared" si="105"/>
        <v>1</v>
      </c>
      <c r="BV147" s="49">
        <f t="shared" si="106"/>
        <v>0</v>
      </c>
      <c r="BW147" s="49">
        <f t="shared" si="107"/>
        <v>0</v>
      </c>
      <c r="BX147" s="49">
        <f t="shared" si="108"/>
        <v>0</v>
      </c>
      <c r="BY147" s="49">
        <f t="shared" si="109"/>
        <v>1</v>
      </c>
      <c r="BZ147" s="49">
        <f t="shared" si="110"/>
        <v>0</v>
      </c>
      <c r="CA147" s="49">
        <f t="shared" si="111"/>
        <v>0</v>
      </c>
      <c r="CB147" s="49">
        <f t="shared" si="112"/>
        <v>1</v>
      </c>
      <c r="CC147" s="49">
        <f t="shared" si="113"/>
        <v>0</v>
      </c>
      <c r="CD147" s="49">
        <f t="shared" si="114"/>
        <v>0</v>
      </c>
      <c r="CE147" s="49">
        <f t="shared" si="115"/>
        <v>0</v>
      </c>
    </row>
    <row r="148" spans="1:83" ht="35.1" customHeight="1" x14ac:dyDescent="0.3">
      <c r="A148" s="123" t="str">
        <f t="shared" si="116"/>
        <v>1팀</v>
      </c>
      <c r="B148" s="69">
        <f t="shared" si="117"/>
        <v>142</v>
      </c>
      <c r="C148" s="120" t="str">
        <f>IF(VLOOKUP($B148,'1. 현장별 인원현황'!$C:$J,2,0)=0,"",VLOOKUP($B148,'1. 현장별 인원현황'!$C:$J,2,0))</f>
        <v xml:space="preserve"> [1.포스코건설] 영종-청라 연결도로(제3연륙교) 건설공사 제2공구 전기 및 통신공사</v>
      </c>
      <c r="D148" s="70" t="str">
        <f>IF(VLOOKUP($B148,'1. 현장별 인원현황'!$C:$J,3,0)=0,"",VLOOKUP($B148,'1. 현장별 인원현황'!$C:$J,3,0))</f>
        <v>이흥주</v>
      </c>
      <c r="E148" s="74" t="str">
        <f ca="1">IF(VLOOKUP($B148,'1. 현장별 인원현황'!$C:$J,4,0)=0,"",VLOOKUP($B148,'1. 현장별 인원현황'!$C:$J,4,0))</f>
        <v>55세</v>
      </c>
      <c r="F148" s="70" t="str">
        <f>IF(VLOOKUP($B148,'1. 현장별 인원현황'!$C:$J,7,0)=0,"",VLOOKUP($B148,'1. 현장별 인원현황'!$C:$J,7,0))</f>
        <v>기능공</v>
      </c>
      <c r="G148" s="72" t="str">
        <f>IF(VLOOKUP($B148,'1. 현장별 인원현황'!$C:$J,8,0)=0,"",VLOOKUP($B148,'1. 현장별 인원현황'!$C:$J,8,0))</f>
        <v>전공</v>
      </c>
      <c r="H148" s="67"/>
      <c r="I148" s="73" t="s">
        <v>69</v>
      </c>
      <c r="J148" s="73"/>
      <c r="K148" s="68"/>
      <c r="L148" s="67"/>
      <c r="M148" s="73"/>
      <c r="N148" s="73" t="s">
        <v>69</v>
      </c>
      <c r="O148" s="68"/>
      <c r="P148" s="67"/>
      <c r="Q148" s="73"/>
      <c r="R148" s="73" t="s">
        <v>69</v>
      </c>
      <c r="S148" s="68"/>
      <c r="T148" s="67"/>
      <c r="U148" s="73" t="s">
        <v>69</v>
      </c>
      <c r="V148" s="73"/>
      <c r="W148" s="68"/>
      <c r="X148" s="67"/>
      <c r="Y148" s="73" t="s">
        <v>69</v>
      </c>
      <c r="Z148" s="73"/>
      <c r="AA148" s="68"/>
      <c r="AB148" s="67"/>
      <c r="AC148" s="73" t="s">
        <v>69</v>
      </c>
      <c r="AD148" s="73"/>
      <c r="AE148" s="68"/>
      <c r="AF148" s="67"/>
      <c r="AG148" s="73" t="s">
        <v>69</v>
      </c>
      <c r="AH148" s="73"/>
      <c r="AI148" s="68"/>
      <c r="AJ148" s="67"/>
      <c r="AK148" s="73" t="s">
        <v>69</v>
      </c>
      <c r="AL148" s="73"/>
      <c r="AM148" s="68"/>
      <c r="AN148" s="73"/>
      <c r="AO148" s="73" t="s">
        <v>69</v>
      </c>
      <c r="AP148" s="73"/>
      <c r="AQ148" s="68"/>
      <c r="AR148" s="67">
        <f t="shared" si="118"/>
        <v>71</v>
      </c>
      <c r="AS148" s="68" t="str">
        <f t="shared" si="119"/>
        <v>A</v>
      </c>
      <c r="AV148" s="49">
        <f t="shared" si="80"/>
        <v>0</v>
      </c>
      <c r="AW148" s="49">
        <f t="shared" si="81"/>
        <v>1</v>
      </c>
      <c r="AX148" s="49">
        <f t="shared" si="82"/>
        <v>0</v>
      </c>
      <c r="AY148" s="49">
        <f t="shared" si="83"/>
        <v>0</v>
      </c>
      <c r="AZ148" s="49">
        <f t="shared" si="84"/>
        <v>0</v>
      </c>
      <c r="BA148" s="49">
        <f t="shared" si="85"/>
        <v>0</v>
      </c>
      <c r="BB148" s="49">
        <f t="shared" si="86"/>
        <v>1</v>
      </c>
      <c r="BC148" s="49">
        <f t="shared" si="87"/>
        <v>0</v>
      </c>
      <c r="BD148" s="49">
        <f t="shared" si="88"/>
        <v>0</v>
      </c>
      <c r="BE148" s="49">
        <f t="shared" si="89"/>
        <v>0</v>
      </c>
      <c r="BF148" s="49">
        <f t="shared" si="90"/>
        <v>1</v>
      </c>
      <c r="BG148" s="49">
        <f t="shared" si="91"/>
        <v>0</v>
      </c>
      <c r="BH148" s="49">
        <f t="shared" si="92"/>
        <v>0</v>
      </c>
      <c r="BI148" s="49">
        <f t="shared" si="93"/>
        <v>1</v>
      </c>
      <c r="BJ148" s="49">
        <f t="shared" si="94"/>
        <v>0</v>
      </c>
      <c r="BK148" s="49">
        <f t="shared" si="95"/>
        <v>0</v>
      </c>
      <c r="BL148" s="49">
        <f t="shared" si="96"/>
        <v>0</v>
      </c>
      <c r="BM148" s="49">
        <f t="shared" si="97"/>
        <v>1</v>
      </c>
      <c r="BN148" s="49">
        <f t="shared" si="98"/>
        <v>0</v>
      </c>
      <c r="BO148" s="49">
        <f t="shared" si="99"/>
        <v>0</v>
      </c>
      <c r="BP148" s="49">
        <f t="shared" si="100"/>
        <v>0</v>
      </c>
      <c r="BQ148" s="49">
        <f t="shared" si="101"/>
        <v>1</v>
      </c>
      <c r="BR148" s="49">
        <f t="shared" si="102"/>
        <v>0</v>
      </c>
      <c r="BS148" s="49">
        <f t="shared" si="103"/>
        <v>0</v>
      </c>
      <c r="BT148" s="49">
        <f t="shared" si="104"/>
        <v>0</v>
      </c>
      <c r="BU148" s="49">
        <f t="shared" si="105"/>
        <v>1</v>
      </c>
      <c r="BV148" s="49">
        <f t="shared" si="106"/>
        <v>0</v>
      </c>
      <c r="BW148" s="49">
        <f t="shared" si="107"/>
        <v>0</v>
      </c>
      <c r="BX148" s="49">
        <f t="shared" si="108"/>
        <v>0</v>
      </c>
      <c r="BY148" s="49">
        <f t="shared" si="109"/>
        <v>1</v>
      </c>
      <c r="BZ148" s="49">
        <f t="shared" si="110"/>
        <v>0</v>
      </c>
      <c r="CA148" s="49">
        <f t="shared" si="111"/>
        <v>0</v>
      </c>
      <c r="CB148" s="49">
        <f t="shared" si="112"/>
        <v>0</v>
      </c>
      <c r="CC148" s="49">
        <f t="shared" si="113"/>
        <v>1</v>
      </c>
      <c r="CD148" s="49">
        <f t="shared" si="114"/>
        <v>0</v>
      </c>
      <c r="CE148" s="49">
        <f t="shared" si="115"/>
        <v>0</v>
      </c>
    </row>
    <row r="149" spans="1:83" ht="35.1" customHeight="1" x14ac:dyDescent="0.3">
      <c r="A149" s="123" t="str">
        <f t="shared" si="116"/>
        <v>1팀</v>
      </c>
      <c r="B149" s="69">
        <f t="shared" si="117"/>
        <v>143</v>
      </c>
      <c r="C149" s="120" t="str">
        <f>IF(VLOOKUP($B149,'1. 현장별 인원현황'!$C:$J,2,0)=0,"",VLOOKUP($B149,'1. 현장별 인원현황'!$C:$J,2,0))</f>
        <v xml:space="preserve"> [1.포스코건설] 영종-청라 연결도로(제3연륙교) 건설공사 제2공구 전기 및 통신공사</v>
      </c>
      <c r="D149" s="70" t="str">
        <f>IF(VLOOKUP($B149,'1. 현장별 인원현황'!$C:$J,3,0)=0,"",VLOOKUP($B149,'1. 현장별 인원현황'!$C:$J,3,0))</f>
        <v>차병석</v>
      </c>
      <c r="E149" s="74" t="str">
        <f ca="1">IF(VLOOKUP($B149,'1. 현장별 인원현황'!$C:$J,4,0)=0,"",VLOOKUP($B149,'1. 현장별 인원현황'!$C:$J,4,0))</f>
        <v>54세</v>
      </c>
      <c r="F149" s="70" t="str">
        <f>IF(VLOOKUP($B149,'1. 현장별 인원현황'!$C:$J,7,0)=0,"",VLOOKUP($B149,'1. 현장별 인원현황'!$C:$J,7,0))</f>
        <v>기능공</v>
      </c>
      <c r="G149" s="72" t="str">
        <f>IF(VLOOKUP($B149,'1. 현장별 인원현황'!$C:$J,8,0)=0,"",VLOOKUP($B149,'1. 현장별 인원현황'!$C:$J,8,0))</f>
        <v>전공</v>
      </c>
      <c r="H149" s="67"/>
      <c r="I149" s="73" t="s">
        <v>69</v>
      </c>
      <c r="J149" s="73"/>
      <c r="K149" s="68"/>
      <c r="L149" s="67"/>
      <c r="M149" s="73" t="s">
        <v>69</v>
      </c>
      <c r="N149" s="73"/>
      <c r="O149" s="68"/>
      <c r="P149" s="67"/>
      <c r="Q149" s="73" t="s">
        <v>69</v>
      </c>
      <c r="R149" s="73"/>
      <c r="S149" s="68"/>
      <c r="T149" s="67"/>
      <c r="U149" s="73" t="s">
        <v>69</v>
      </c>
      <c r="V149" s="73"/>
      <c r="W149" s="68"/>
      <c r="X149" s="67"/>
      <c r="Y149" s="73" t="s">
        <v>69</v>
      </c>
      <c r="Z149" s="73"/>
      <c r="AA149" s="68"/>
      <c r="AB149" s="67"/>
      <c r="AC149" s="73" t="s">
        <v>69</v>
      </c>
      <c r="AD149" s="73"/>
      <c r="AE149" s="68"/>
      <c r="AF149" s="67"/>
      <c r="AG149" s="73" t="s">
        <v>69</v>
      </c>
      <c r="AH149" s="73"/>
      <c r="AI149" s="68"/>
      <c r="AJ149" s="67"/>
      <c r="AK149" s="73" t="s">
        <v>69</v>
      </c>
      <c r="AL149" s="73"/>
      <c r="AM149" s="68"/>
      <c r="AN149" s="73"/>
      <c r="AO149" s="73" t="s">
        <v>69</v>
      </c>
      <c r="AP149" s="73"/>
      <c r="AQ149" s="68"/>
      <c r="AR149" s="67">
        <f t="shared" si="118"/>
        <v>77</v>
      </c>
      <c r="AS149" s="68" t="str">
        <f t="shared" si="119"/>
        <v>A</v>
      </c>
      <c r="AV149" s="49">
        <f t="shared" si="80"/>
        <v>0</v>
      </c>
      <c r="AW149" s="49">
        <f t="shared" si="81"/>
        <v>1</v>
      </c>
      <c r="AX149" s="49">
        <f t="shared" si="82"/>
        <v>0</v>
      </c>
      <c r="AY149" s="49">
        <f t="shared" si="83"/>
        <v>0</v>
      </c>
      <c r="AZ149" s="49">
        <f t="shared" si="84"/>
        <v>0</v>
      </c>
      <c r="BA149" s="49">
        <f t="shared" si="85"/>
        <v>1</v>
      </c>
      <c r="BB149" s="49">
        <f t="shared" si="86"/>
        <v>0</v>
      </c>
      <c r="BC149" s="49">
        <f t="shared" si="87"/>
        <v>0</v>
      </c>
      <c r="BD149" s="49">
        <f t="shared" si="88"/>
        <v>0</v>
      </c>
      <c r="BE149" s="49">
        <f t="shared" si="89"/>
        <v>1</v>
      </c>
      <c r="BF149" s="49">
        <f t="shared" si="90"/>
        <v>0</v>
      </c>
      <c r="BG149" s="49">
        <f t="shared" si="91"/>
        <v>0</v>
      </c>
      <c r="BH149" s="49">
        <f t="shared" si="92"/>
        <v>0</v>
      </c>
      <c r="BI149" s="49">
        <f t="shared" si="93"/>
        <v>1</v>
      </c>
      <c r="BJ149" s="49">
        <f t="shared" si="94"/>
        <v>0</v>
      </c>
      <c r="BK149" s="49">
        <f t="shared" si="95"/>
        <v>0</v>
      </c>
      <c r="BL149" s="49">
        <f t="shared" si="96"/>
        <v>0</v>
      </c>
      <c r="BM149" s="49">
        <f t="shared" si="97"/>
        <v>1</v>
      </c>
      <c r="BN149" s="49">
        <f t="shared" si="98"/>
        <v>0</v>
      </c>
      <c r="BO149" s="49">
        <f t="shared" si="99"/>
        <v>0</v>
      </c>
      <c r="BP149" s="49">
        <f t="shared" si="100"/>
        <v>0</v>
      </c>
      <c r="BQ149" s="49">
        <f t="shared" si="101"/>
        <v>1</v>
      </c>
      <c r="BR149" s="49">
        <f t="shared" si="102"/>
        <v>0</v>
      </c>
      <c r="BS149" s="49">
        <f t="shared" si="103"/>
        <v>0</v>
      </c>
      <c r="BT149" s="49">
        <f t="shared" si="104"/>
        <v>0</v>
      </c>
      <c r="BU149" s="49">
        <f t="shared" si="105"/>
        <v>1</v>
      </c>
      <c r="BV149" s="49">
        <f t="shared" si="106"/>
        <v>0</v>
      </c>
      <c r="BW149" s="49">
        <f t="shared" si="107"/>
        <v>0</v>
      </c>
      <c r="BX149" s="49">
        <f t="shared" si="108"/>
        <v>0</v>
      </c>
      <c r="BY149" s="49">
        <f t="shared" si="109"/>
        <v>1</v>
      </c>
      <c r="BZ149" s="49">
        <f t="shared" si="110"/>
        <v>0</v>
      </c>
      <c r="CA149" s="49">
        <f t="shared" si="111"/>
        <v>0</v>
      </c>
      <c r="CB149" s="49">
        <f t="shared" si="112"/>
        <v>0</v>
      </c>
      <c r="CC149" s="49">
        <f t="shared" si="113"/>
        <v>1</v>
      </c>
      <c r="CD149" s="49">
        <f t="shared" si="114"/>
        <v>0</v>
      </c>
      <c r="CE149" s="49">
        <f t="shared" si="115"/>
        <v>0</v>
      </c>
    </row>
    <row r="150" spans="1:83" ht="35.1" customHeight="1" x14ac:dyDescent="0.3">
      <c r="A150" s="123" t="str">
        <f t="shared" si="116"/>
        <v>1팀</v>
      </c>
      <c r="B150" s="69">
        <f t="shared" si="117"/>
        <v>144</v>
      </c>
      <c r="C150" s="120" t="str">
        <f>IF(VLOOKUP($B150,'1. 현장별 인원현황'!$C:$J,2,0)=0,"",VLOOKUP($B150,'1. 현장별 인원현황'!$C:$J,2,0))</f>
        <v xml:space="preserve"> [1.포스코건설] 영종-청라 연결도로(제3연륙교) 건설공사 제2공구 전기 및 통신공사</v>
      </c>
      <c r="D150" s="70" t="str">
        <f>IF(VLOOKUP($B150,'1. 현장별 인원현황'!$C:$J,3,0)=0,"",VLOOKUP($B150,'1. 현장별 인원현황'!$C:$J,3,0))</f>
        <v>채광복</v>
      </c>
      <c r="E150" s="74" t="str">
        <f ca="1">IF(VLOOKUP($B150,'1. 현장별 인원현황'!$C:$J,4,0)=0,"",VLOOKUP($B150,'1. 현장별 인원현황'!$C:$J,4,0))</f>
        <v>57세</v>
      </c>
      <c r="F150" s="70" t="str">
        <f>IF(VLOOKUP($B150,'1. 현장별 인원현황'!$C:$J,7,0)=0,"",VLOOKUP($B150,'1. 현장별 인원현황'!$C:$J,7,0))</f>
        <v>기능공</v>
      </c>
      <c r="G150" s="72" t="str">
        <f>IF(VLOOKUP($B150,'1. 현장별 인원현황'!$C:$J,8,0)=0,"",VLOOKUP($B150,'1. 현장별 인원현황'!$C:$J,8,0))</f>
        <v>전공</v>
      </c>
      <c r="H150" s="67"/>
      <c r="I150" s="73" t="s">
        <v>69</v>
      </c>
      <c r="J150" s="73"/>
      <c r="K150" s="68"/>
      <c r="L150" s="67"/>
      <c r="M150" s="73" t="s">
        <v>69</v>
      </c>
      <c r="N150" s="73"/>
      <c r="O150" s="68"/>
      <c r="P150" s="67"/>
      <c r="Q150" s="73" t="s">
        <v>69</v>
      </c>
      <c r="R150" s="73"/>
      <c r="S150" s="68"/>
      <c r="T150" s="67"/>
      <c r="U150" s="73" t="s">
        <v>69</v>
      </c>
      <c r="V150" s="73"/>
      <c r="W150" s="68"/>
      <c r="X150" s="67"/>
      <c r="Y150" s="73" t="s">
        <v>69</v>
      </c>
      <c r="Z150" s="73"/>
      <c r="AA150" s="68"/>
      <c r="AB150" s="67"/>
      <c r="AC150" s="73" t="s">
        <v>69</v>
      </c>
      <c r="AD150" s="73"/>
      <c r="AE150" s="68"/>
      <c r="AF150" s="67"/>
      <c r="AG150" s="73" t="s">
        <v>69</v>
      </c>
      <c r="AH150" s="73"/>
      <c r="AI150" s="68"/>
      <c r="AJ150" s="67"/>
      <c r="AK150" s="73" t="s">
        <v>69</v>
      </c>
      <c r="AL150" s="73"/>
      <c r="AM150" s="68"/>
      <c r="AN150" s="73"/>
      <c r="AO150" s="73"/>
      <c r="AP150" s="73" t="s">
        <v>69</v>
      </c>
      <c r="AQ150" s="68"/>
      <c r="AR150" s="67">
        <f t="shared" si="118"/>
        <v>74</v>
      </c>
      <c r="AS150" s="68" t="str">
        <f t="shared" si="119"/>
        <v>A</v>
      </c>
      <c r="AV150" s="49">
        <f t="shared" si="80"/>
        <v>0</v>
      </c>
      <c r="AW150" s="49">
        <f t="shared" si="81"/>
        <v>1</v>
      </c>
      <c r="AX150" s="49">
        <f t="shared" si="82"/>
        <v>0</v>
      </c>
      <c r="AY150" s="49">
        <f t="shared" si="83"/>
        <v>0</v>
      </c>
      <c r="AZ150" s="49">
        <f t="shared" si="84"/>
        <v>0</v>
      </c>
      <c r="BA150" s="49">
        <f t="shared" si="85"/>
        <v>1</v>
      </c>
      <c r="BB150" s="49">
        <f t="shared" si="86"/>
        <v>0</v>
      </c>
      <c r="BC150" s="49">
        <f t="shared" si="87"/>
        <v>0</v>
      </c>
      <c r="BD150" s="49">
        <f t="shared" si="88"/>
        <v>0</v>
      </c>
      <c r="BE150" s="49">
        <f t="shared" si="89"/>
        <v>1</v>
      </c>
      <c r="BF150" s="49">
        <f t="shared" si="90"/>
        <v>0</v>
      </c>
      <c r="BG150" s="49">
        <f t="shared" si="91"/>
        <v>0</v>
      </c>
      <c r="BH150" s="49">
        <f t="shared" si="92"/>
        <v>0</v>
      </c>
      <c r="BI150" s="49">
        <f t="shared" si="93"/>
        <v>1</v>
      </c>
      <c r="BJ150" s="49">
        <f t="shared" si="94"/>
        <v>0</v>
      </c>
      <c r="BK150" s="49">
        <f t="shared" si="95"/>
        <v>0</v>
      </c>
      <c r="BL150" s="49">
        <f t="shared" si="96"/>
        <v>0</v>
      </c>
      <c r="BM150" s="49">
        <f t="shared" si="97"/>
        <v>1</v>
      </c>
      <c r="BN150" s="49">
        <f t="shared" si="98"/>
        <v>0</v>
      </c>
      <c r="BO150" s="49">
        <f t="shared" si="99"/>
        <v>0</v>
      </c>
      <c r="BP150" s="49">
        <f t="shared" si="100"/>
        <v>0</v>
      </c>
      <c r="BQ150" s="49">
        <f t="shared" si="101"/>
        <v>1</v>
      </c>
      <c r="BR150" s="49">
        <f t="shared" si="102"/>
        <v>0</v>
      </c>
      <c r="BS150" s="49">
        <f t="shared" si="103"/>
        <v>0</v>
      </c>
      <c r="BT150" s="49">
        <f t="shared" si="104"/>
        <v>0</v>
      </c>
      <c r="BU150" s="49">
        <f t="shared" si="105"/>
        <v>1</v>
      </c>
      <c r="BV150" s="49">
        <f t="shared" si="106"/>
        <v>0</v>
      </c>
      <c r="BW150" s="49">
        <f t="shared" si="107"/>
        <v>0</v>
      </c>
      <c r="BX150" s="49">
        <f t="shared" si="108"/>
        <v>0</v>
      </c>
      <c r="BY150" s="49">
        <f t="shared" si="109"/>
        <v>1</v>
      </c>
      <c r="BZ150" s="49">
        <f t="shared" si="110"/>
        <v>0</v>
      </c>
      <c r="CA150" s="49">
        <f t="shared" si="111"/>
        <v>0</v>
      </c>
      <c r="CB150" s="49">
        <f t="shared" si="112"/>
        <v>0</v>
      </c>
      <c r="CC150" s="49">
        <f t="shared" si="113"/>
        <v>0</v>
      </c>
      <c r="CD150" s="49">
        <f t="shared" si="114"/>
        <v>1</v>
      </c>
      <c r="CE150" s="49">
        <f t="shared" si="115"/>
        <v>0</v>
      </c>
    </row>
    <row r="151" spans="1:83" ht="35.1" customHeight="1" x14ac:dyDescent="0.3">
      <c r="A151" s="123" t="str">
        <f t="shared" si="116"/>
        <v>1팀</v>
      </c>
      <c r="B151" s="69">
        <f t="shared" si="117"/>
        <v>145</v>
      </c>
      <c r="C151" s="120" t="str">
        <f>IF(VLOOKUP($B151,'1. 현장별 인원현황'!$C:$J,2,0)=0,"",VLOOKUP($B151,'1. 현장별 인원현황'!$C:$J,2,0))</f>
        <v xml:space="preserve"> [1.포스코건설] 영종-청라 연결도로(제3연륙교) 건설공사 제2공구 전기 및 통신공사</v>
      </c>
      <c r="D151" s="70" t="str">
        <f>IF(VLOOKUP($B151,'1. 현장별 인원현황'!$C:$J,3,0)=0,"",VLOOKUP($B151,'1. 현장별 인원현황'!$C:$J,3,0))</f>
        <v>최희건</v>
      </c>
      <c r="E151" s="74" t="str">
        <f ca="1">IF(VLOOKUP($B151,'1. 현장별 인원현황'!$C:$J,4,0)=0,"",VLOOKUP($B151,'1. 현장별 인원현황'!$C:$J,4,0))</f>
        <v>43세</v>
      </c>
      <c r="F151" s="70" t="str">
        <f>IF(VLOOKUP($B151,'1. 현장별 인원현황'!$C:$J,7,0)=0,"",VLOOKUP($B151,'1. 현장별 인원현황'!$C:$J,7,0))</f>
        <v>기능공</v>
      </c>
      <c r="G151" s="72" t="str">
        <f>IF(VLOOKUP($B151,'1. 현장별 인원현황'!$C:$J,8,0)=0,"",VLOOKUP($B151,'1. 현장별 인원현황'!$C:$J,8,0))</f>
        <v>전공</v>
      </c>
      <c r="H151" s="67"/>
      <c r="I151" s="73" t="s">
        <v>69</v>
      </c>
      <c r="J151" s="73"/>
      <c r="K151" s="68"/>
      <c r="L151" s="67"/>
      <c r="M151" s="73"/>
      <c r="N151" s="73" t="s">
        <v>69</v>
      </c>
      <c r="O151" s="68"/>
      <c r="P151" s="67"/>
      <c r="Q151" s="73" t="s">
        <v>69</v>
      </c>
      <c r="R151" s="73"/>
      <c r="S151" s="68"/>
      <c r="T151" s="67"/>
      <c r="U151" s="73" t="s">
        <v>69</v>
      </c>
      <c r="V151" s="73"/>
      <c r="W151" s="68"/>
      <c r="X151" s="67"/>
      <c r="Y151" s="73" t="s">
        <v>69</v>
      </c>
      <c r="Z151" s="73"/>
      <c r="AA151" s="68"/>
      <c r="AB151" s="67"/>
      <c r="AC151" s="73" t="s">
        <v>69</v>
      </c>
      <c r="AD151" s="73" t="s">
        <v>69</v>
      </c>
      <c r="AE151" s="68"/>
      <c r="AF151" s="67"/>
      <c r="AG151" s="73" t="s">
        <v>69</v>
      </c>
      <c r="AH151" s="73"/>
      <c r="AI151" s="68"/>
      <c r="AJ151" s="67"/>
      <c r="AK151" s="73" t="s">
        <v>69</v>
      </c>
      <c r="AL151" s="73"/>
      <c r="AM151" s="68"/>
      <c r="AN151" s="73"/>
      <c r="AO151" s="73" t="s">
        <v>69</v>
      </c>
      <c r="AP151" s="73"/>
      <c r="AQ151" s="68"/>
      <c r="AR151" s="67">
        <f t="shared" si="118"/>
        <v>80</v>
      </c>
      <c r="AS151" s="68" t="str">
        <f t="shared" si="119"/>
        <v>A</v>
      </c>
      <c r="AV151" s="49">
        <f t="shared" si="80"/>
        <v>0</v>
      </c>
      <c r="AW151" s="49">
        <f t="shared" si="81"/>
        <v>1</v>
      </c>
      <c r="AX151" s="49">
        <f t="shared" si="82"/>
        <v>0</v>
      </c>
      <c r="AY151" s="49">
        <f t="shared" si="83"/>
        <v>0</v>
      </c>
      <c r="AZ151" s="49">
        <f t="shared" si="84"/>
        <v>0</v>
      </c>
      <c r="BA151" s="49">
        <f t="shared" si="85"/>
        <v>0</v>
      </c>
      <c r="BB151" s="49">
        <f t="shared" si="86"/>
        <v>1</v>
      </c>
      <c r="BC151" s="49">
        <f t="shared" si="87"/>
        <v>0</v>
      </c>
      <c r="BD151" s="49">
        <f t="shared" si="88"/>
        <v>0</v>
      </c>
      <c r="BE151" s="49">
        <f t="shared" si="89"/>
        <v>1</v>
      </c>
      <c r="BF151" s="49">
        <f t="shared" si="90"/>
        <v>0</v>
      </c>
      <c r="BG151" s="49">
        <f t="shared" si="91"/>
        <v>0</v>
      </c>
      <c r="BH151" s="49">
        <f t="shared" si="92"/>
        <v>0</v>
      </c>
      <c r="BI151" s="49">
        <f t="shared" si="93"/>
        <v>1</v>
      </c>
      <c r="BJ151" s="49">
        <f t="shared" si="94"/>
        <v>0</v>
      </c>
      <c r="BK151" s="49">
        <f t="shared" si="95"/>
        <v>0</v>
      </c>
      <c r="BL151" s="49">
        <f t="shared" si="96"/>
        <v>0</v>
      </c>
      <c r="BM151" s="49">
        <f t="shared" si="97"/>
        <v>1</v>
      </c>
      <c r="BN151" s="49">
        <f t="shared" si="98"/>
        <v>0</v>
      </c>
      <c r="BO151" s="49">
        <f t="shared" si="99"/>
        <v>0</v>
      </c>
      <c r="BP151" s="49">
        <f t="shared" si="100"/>
        <v>0</v>
      </c>
      <c r="BQ151" s="49">
        <f t="shared" si="101"/>
        <v>1</v>
      </c>
      <c r="BR151" s="49">
        <f t="shared" si="102"/>
        <v>1</v>
      </c>
      <c r="BS151" s="49">
        <f t="shared" si="103"/>
        <v>0</v>
      </c>
      <c r="BT151" s="49">
        <f t="shared" si="104"/>
        <v>0</v>
      </c>
      <c r="BU151" s="49">
        <f t="shared" si="105"/>
        <v>1</v>
      </c>
      <c r="BV151" s="49">
        <f t="shared" si="106"/>
        <v>0</v>
      </c>
      <c r="BW151" s="49">
        <f t="shared" si="107"/>
        <v>0</v>
      </c>
      <c r="BX151" s="49">
        <f t="shared" si="108"/>
        <v>0</v>
      </c>
      <c r="BY151" s="49">
        <f t="shared" si="109"/>
        <v>1</v>
      </c>
      <c r="BZ151" s="49">
        <f t="shared" si="110"/>
        <v>0</v>
      </c>
      <c r="CA151" s="49">
        <f t="shared" si="111"/>
        <v>0</v>
      </c>
      <c r="CB151" s="49">
        <f t="shared" si="112"/>
        <v>0</v>
      </c>
      <c r="CC151" s="49">
        <f t="shared" si="113"/>
        <v>1</v>
      </c>
      <c r="CD151" s="49">
        <f t="shared" si="114"/>
        <v>0</v>
      </c>
      <c r="CE151" s="49">
        <f t="shared" si="115"/>
        <v>0</v>
      </c>
    </row>
    <row r="152" spans="1:83" ht="35.1" customHeight="1" x14ac:dyDescent="0.3">
      <c r="A152" s="123" t="str">
        <f t="shared" si="116"/>
        <v>1팀</v>
      </c>
      <c r="B152" s="69">
        <f t="shared" si="117"/>
        <v>146</v>
      </c>
      <c r="C152" s="120" t="str">
        <f>IF(VLOOKUP($B152,'1. 현장별 인원현황'!$C:$J,2,0)=0,"",VLOOKUP($B152,'1. 현장별 인원현황'!$C:$J,2,0))</f>
        <v xml:space="preserve"> [1.포스코건설] 영종-청라 연결도로(제3연륙교) 건설공사 제2공구 전기 및 통신공사</v>
      </c>
      <c r="D152" s="70" t="str">
        <f>IF(VLOOKUP($B152,'1. 현장별 인원현황'!$C:$J,3,0)=0,"",VLOOKUP($B152,'1. 현장별 인원현황'!$C:$J,3,0))</f>
        <v>황의범</v>
      </c>
      <c r="E152" s="74" t="str">
        <f ca="1">IF(VLOOKUP($B152,'1. 현장별 인원현황'!$C:$J,4,0)=0,"",VLOOKUP($B152,'1. 현장별 인원현황'!$C:$J,4,0))</f>
        <v>56세</v>
      </c>
      <c r="F152" s="70" t="str">
        <f>IF(VLOOKUP($B152,'1. 현장별 인원현황'!$C:$J,7,0)=0,"",VLOOKUP($B152,'1. 현장별 인원현황'!$C:$J,7,0))</f>
        <v>기능공</v>
      </c>
      <c r="G152" s="72" t="str">
        <f>IF(VLOOKUP($B152,'1. 현장별 인원현황'!$C:$J,8,0)=0,"",VLOOKUP($B152,'1. 현장별 인원현황'!$C:$J,8,0))</f>
        <v>전공</v>
      </c>
      <c r="H152" s="67"/>
      <c r="I152" s="73" t="s">
        <v>69</v>
      </c>
      <c r="J152" s="73"/>
      <c r="K152" s="68"/>
      <c r="L152" s="67"/>
      <c r="M152" s="73"/>
      <c r="N152" s="73" t="s">
        <v>69</v>
      </c>
      <c r="O152" s="68"/>
      <c r="P152" s="67"/>
      <c r="Q152" s="73" t="s">
        <v>69</v>
      </c>
      <c r="R152" s="73"/>
      <c r="S152" s="68"/>
      <c r="T152" s="67"/>
      <c r="U152" s="73" t="s">
        <v>69</v>
      </c>
      <c r="V152" s="73"/>
      <c r="W152" s="68"/>
      <c r="X152" s="67"/>
      <c r="Y152" s="73" t="s">
        <v>69</v>
      </c>
      <c r="Z152" s="73"/>
      <c r="AA152" s="68"/>
      <c r="AB152" s="67"/>
      <c r="AC152" s="73" t="s">
        <v>69</v>
      </c>
      <c r="AD152" s="73"/>
      <c r="AE152" s="68"/>
      <c r="AF152" s="67"/>
      <c r="AG152" s="73" t="s">
        <v>69</v>
      </c>
      <c r="AH152" s="73"/>
      <c r="AI152" s="68"/>
      <c r="AJ152" s="67"/>
      <c r="AK152" s="73" t="s">
        <v>69</v>
      </c>
      <c r="AL152" s="73"/>
      <c r="AM152" s="68"/>
      <c r="AN152" s="73"/>
      <c r="AO152" s="73" t="s">
        <v>69</v>
      </c>
      <c r="AP152" s="73"/>
      <c r="AQ152" s="68"/>
      <c r="AR152" s="67">
        <f t="shared" si="118"/>
        <v>74</v>
      </c>
      <c r="AS152" s="68" t="str">
        <f t="shared" si="119"/>
        <v>A</v>
      </c>
      <c r="AV152" s="49">
        <f t="shared" si="80"/>
        <v>0</v>
      </c>
      <c r="AW152" s="49">
        <f t="shared" si="81"/>
        <v>1</v>
      </c>
      <c r="AX152" s="49">
        <f t="shared" si="82"/>
        <v>0</v>
      </c>
      <c r="AY152" s="49">
        <f t="shared" si="83"/>
        <v>0</v>
      </c>
      <c r="AZ152" s="49">
        <f t="shared" si="84"/>
        <v>0</v>
      </c>
      <c r="BA152" s="49">
        <f t="shared" si="85"/>
        <v>0</v>
      </c>
      <c r="BB152" s="49">
        <f t="shared" si="86"/>
        <v>1</v>
      </c>
      <c r="BC152" s="49">
        <f t="shared" si="87"/>
        <v>0</v>
      </c>
      <c r="BD152" s="49">
        <f t="shared" si="88"/>
        <v>0</v>
      </c>
      <c r="BE152" s="49">
        <f t="shared" si="89"/>
        <v>1</v>
      </c>
      <c r="BF152" s="49">
        <f t="shared" si="90"/>
        <v>0</v>
      </c>
      <c r="BG152" s="49">
        <f t="shared" si="91"/>
        <v>0</v>
      </c>
      <c r="BH152" s="49">
        <f t="shared" si="92"/>
        <v>0</v>
      </c>
      <c r="BI152" s="49">
        <f t="shared" si="93"/>
        <v>1</v>
      </c>
      <c r="BJ152" s="49">
        <f t="shared" si="94"/>
        <v>0</v>
      </c>
      <c r="BK152" s="49">
        <f t="shared" si="95"/>
        <v>0</v>
      </c>
      <c r="BL152" s="49">
        <f t="shared" si="96"/>
        <v>0</v>
      </c>
      <c r="BM152" s="49">
        <f t="shared" si="97"/>
        <v>1</v>
      </c>
      <c r="BN152" s="49">
        <f t="shared" si="98"/>
        <v>0</v>
      </c>
      <c r="BO152" s="49">
        <f t="shared" si="99"/>
        <v>0</v>
      </c>
      <c r="BP152" s="49">
        <f t="shared" si="100"/>
        <v>0</v>
      </c>
      <c r="BQ152" s="49">
        <f t="shared" si="101"/>
        <v>1</v>
      </c>
      <c r="BR152" s="49">
        <f t="shared" si="102"/>
        <v>0</v>
      </c>
      <c r="BS152" s="49">
        <f t="shared" si="103"/>
        <v>0</v>
      </c>
      <c r="BT152" s="49">
        <f t="shared" si="104"/>
        <v>0</v>
      </c>
      <c r="BU152" s="49">
        <f t="shared" si="105"/>
        <v>1</v>
      </c>
      <c r="BV152" s="49">
        <f t="shared" si="106"/>
        <v>0</v>
      </c>
      <c r="BW152" s="49">
        <f t="shared" si="107"/>
        <v>0</v>
      </c>
      <c r="BX152" s="49">
        <f t="shared" si="108"/>
        <v>0</v>
      </c>
      <c r="BY152" s="49">
        <f t="shared" si="109"/>
        <v>1</v>
      </c>
      <c r="BZ152" s="49">
        <f t="shared" si="110"/>
        <v>0</v>
      </c>
      <c r="CA152" s="49">
        <f t="shared" si="111"/>
        <v>0</v>
      </c>
      <c r="CB152" s="49">
        <f t="shared" si="112"/>
        <v>0</v>
      </c>
      <c r="CC152" s="49">
        <f t="shared" si="113"/>
        <v>1</v>
      </c>
      <c r="CD152" s="49">
        <f t="shared" si="114"/>
        <v>0</v>
      </c>
      <c r="CE152" s="49">
        <f t="shared" si="115"/>
        <v>0</v>
      </c>
    </row>
    <row r="153" spans="1:83" ht="35.1" customHeight="1" x14ac:dyDescent="0.3">
      <c r="A153" s="123" t="str">
        <f t="shared" si="116"/>
        <v>1팀</v>
      </c>
      <c r="B153" s="69">
        <f t="shared" si="117"/>
        <v>147</v>
      </c>
      <c r="C153" s="120" t="str">
        <f>IF(VLOOKUP($B153,'1. 현장별 인원현황'!$C:$J,2,0)=0,"",VLOOKUP($B153,'1. 현장별 인원현황'!$C:$J,2,0))</f>
        <v xml:space="preserve"> [1.포스코건설] 인천송도 재미동포타운 조성사업 2단계 전기공사(오피스텔)</v>
      </c>
      <c r="D153" s="70" t="str">
        <f>IF(VLOOKUP($B153,'1. 현장별 인원현황'!$C:$J,3,0)=0,"",VLOOKUP($B153,'1. 현장별 인원현황'!$C:$J,3,0))</f>
        <v>김정휘</v>
      </c>
      <c r="E153" s="74" t="str">
        <f ca="1">IF(VLOOKUP($B153,'1. 현장별 인원현황'!$C:$J,4,0)=0,"",VLOOKUP($B153,'1. 현장별 인원현황'!$C:$J,4,0))</f>
        <v>46세</v>
      </c>
      <c r="F153" s="70" t="str">
        <f>IF(VLOOKUP($B153,'1. 현장별 인원현황'!$C:$J,7,0)=0,"",VLOOKUP($B153,'1. 현장별 인원현황'!$C:$J,7,0))</f>
        <v>공무</v>
      </c>
      <c r="G153" s="72" t="str">
        <f>IF(VLOOKUP($B153,'1. 현장별 인원현황'!$C:$J,8,0)=0,"",VLOOKUP($B153,'1. 현장별 인원현황'!$C:$J,8,0))</f>
        <v>과장</v>
      </c>
      <c r="H153" s="67"/>
      <c r="I153" s="73" t="s">
        <v>69</v>
      </c>
      <c r="J153" s="73"/>
      <c r="K153" s="68"/>
      <c r="L153" s="67"/>
      <c r="M153" s="73" t="s">
        <v>69</v>
      </c>
      <c r="N153" s="73"/>
      <c r="O153" s="68"/>
      <c r="P153" s="67"/>
      <c r="Q153" s="73" t="s">
        <v>69</v>
      </c>
      <c r="R153" s="73"/>
      <c r="S153" s="68"/>
      <c r="T153" s="67"/>
      <c r="U153" s="73" t="s">
        <v>69</v>
      </c>
      <c r="V153" s="73"/>
      <c r="W153" s="68"/>
      <c r="X153" s="67" t="s">
        <v>69</v>
      </c>
      <c r="Y153" s="73"/>
      <c r="Z153" s="73"/>
      <c r="AA153" s="68"/>
      <c r="AB153" s="67" t="s">
        <v>69</v>
      </c>
      <c r="AC153" s="73"/>
      <c r="AD153" s="73"/>
      <c r="AE153" s="68"/>
      <c r="AF153" s="67"/>
      <c r="AG153" s="73" t="s">
        <v>69</v>
      </c>
      <c r="AH153" s="73"/>
      <c r="AI153" s="68"/>
      <c r="AJ153" s="67" t="s">
        <v>69</v>
      </c>
      <c r="AK153" s="73"/>
      <c r="AL153" s="73"/>
      <c r="AM153" s="68"/>
      <c r="AN153" s="73" t="s">
        <v>69</v>
      </c>
      <c r="AO153" s="73"/>
      <c r="AP153" s="73"/>
      <c r="AQ153" s="68"/>
      <c r="AR153" s="67">
        <f t="shared" si="118"/>
        <v>87</v>
      </c>
      <c r="AS153" s="68" t="str">
        <f t="shared" si="119"/>
        <v>S</v>
      </c>
      <c r="AV153" s="49">
        <f t="shared" si="80"/>
        <v>0</v>
      </c>
      <c r="AW153" s="49">
        <f t="shared" si="81"/>
        <v>1</v>
      </c>
      <c r="AX153" s="49">
        <f t="shared" si="82"/>
        <v>0</v>
      </c>
      <c r="AY153" s="49">
        <f t="shared" si="83"/>
        <v>0</v>
      </c>
      <c r="AZ153" s="49">
        <f t="shared" si="84"/>
        <v>0</v>
      </c>
      <c r="BA153" s="49">
        <f t="shared" si="85"/>
        <v>1</v>
      </c>
      <c r="BB153" s="49">
        <f t="shared" si="86"/>
        <v>0</v>
      </c>
      <c r="BC153" s="49">
        <f t="shared" si="87"/>
        <v>0</v>
      </c>
      <c r="BD153" s="49">
        <f t="shared" si="88"/>
        <v>0</v>
      </c>
      <c r="BE153" s="49">
        <f t="shared" si="89"/>
        <v>1</v>
      </c>
      <c r="BF153" s="49">
        <f t="shared" si="90"/>
        <v>0</v>
      </c>
      <c r="BG153" s="49">
        <f t="shared" si="91"/>
        <v>0</v>
      </c>
      <c r="BH153" s="49">
        <f t="shared" si="92"/>
        <v>0</v>
      </c>
      <c r="BI153" s="49">
        <f t="shared" si="93"/>
        <v>1</v>
      </c>
      <c r="BJ153" s="49">
        <f t="shared" si="94"/>
        <v>0</v>
      </c>
      <c r="BK153" s="49">
        <f t="shared" si="95"/>
        <v>0</v>
      </c>
      <c r="BL153" s="49">
        <f t="shared" si="96"/>
        <v>1</v>
      </c>
      <c r="BM153" s="49">
        <f t="shared" si="97"/>
        <v>0</v>
      </c>
      <c r="BN153" s="49">
        <f t="shared" si="98"/>
        <v>0</v>
      </c>
      <c r="BO153" s="49">
        <f t="shared" si="99"/>
        <v>0</v>
      </c>
      <c r="BP153" s="49">
        <f t="shared" si="100"/>
        <v>1</v>
      </c>
      <c r="BQ153" s="49">
        <f t="shared" si="101"/>
        <v>0</v>
      </c>
      <c r="BR153" s="49">
        <f t="shared" si="102"/>
        <v>0</v>
      </c>
      <c r="BS153" s="49">
        <f t="shared" si="103"/>
        <v>0</v>
      </c>
      <c r="BT153" s="49">
        <f t="shared" si="104"/>
        <v>0</v>
      </c>
      <c r="BU153" s="49">
        <f t="shared" si="105"/>
        <v>1</v>
      </c>
      <c r="BV153" s="49">
        <f t="shared" si="106"/>
        <v>0</v>
      </c>
      <c r="BW153" s="49">
        <f t="shared" si="107"/>
        <v>0</v>
      </c>
      <c r="BX153" s="49">
        <f t="shared" si="108"/>
        <v>1</v>
      </c>
      <c r="BY153" s="49">
        <f t="shared" si="109"/>
        <v>0</v>
      </c>
      <c r="BZ153" s="49">
        <f t="shared" si="110"/>
        <v>0</v>
      </c>
      <c r="CA153" s="49">
        <f t="shared" si="111"/>
        <v>0</v>
      </c>
      <c r="CB153" s="49">
        <f t="shared" si="112"/>
        <v>1</v>
      </c>
      <c r="CC153" s="49">
        <f t="shared" si="113"/>
        <v>0</v>
      </c>
      <c r="CD153" s="49">
        <f t="shared" si="114"/>
        <v>0</v>
      </c>
      <c r="CE153" s="49">
        <f t="shared" si="115"/>
        <v>0</v>
      </c>
    </row>
    <row r="154" spans="1:83" ht="35.1" customHeight="1" x14ac:dyDescent="0.3">
      <c r="A154" s="123" t="str">
        <f t="shared" si="116"/>
        <v>1팀</v>
      </c>
      <c r="B154" s="69">
        <f t="shared" si="117"/>
        <v>148</v>
      </c>
      <c r="C154" s="120" t="str">
        <f>IF(VLOOKUP($B154,'1. 현장별 인원현황'!$C:$J,2,0)=0,"",VLOOKUP($B154,'1. 현장별 인원현황'!$C:$J,2,0))</f>
        <v xml:space="preserve"> [1.포스코건설] 인천송도 재미동포타운 조성사업 2단계 전기공사(오피스텔)</v>
      </c>
      <c r="D154" s="70" t="str">
        <f>IF(VLOOKUP($B154,'1. 현장별 인원현황'!$C:$J,3,0)=0,"",VLOOKUP($B154,'1. 현장별 인원현황'!$C:$J,3,0))</f>
        <v>최근용</v>
      </c>
      <c r="E154" s="74" t="str">
        <f ca="1">IF(VLOOKUP($B154,'1. 현장별 인원현황'!$C:$J,4,0)=0,"",VLOOKUP($B154,'1. 현장별 인원현황'!$C:$J,4,0))</f>
        <v>53세</v>
      </c>
      <c r="F154" s="70" t="str">
        <f>IF(VLOOKUP($B154,'1. 현장별 인원현황'!$C:$J,7,0)=0,"",VLOOKUP($B154,'1. 현장별 인원현황'!$C:$J,7,0))</f>
        <v>공사</v>
      </c>
      <c r="G154" s="72" t="str">
        <f>IF(VLOOKUP($B154,'1. 현장별 인원현황'!$C:$J,8,0)=0,"",VLOOKUP($B154,'1. 현장별 인원현황'!$C:$J,8,0))</f>
        <v>차장</v>
      </c>
      <c r="H154" s="67" t="s">
        <v>69</v>
      </c>
      <c r="I154" s="73"/>
      <c r="J154" s="73"/>
      <c r="K154" s="68"/>
      <c r="L154" s="67" t="s">
        <v>69</v>
      </c>
      <c r="M154" s="73"/>
      <c r="N154" s="73"/>
      <c r="O154" s="68"/>
      <c r="P154" s="67" t="s">
        <v>69</v>
      </c>
      <c r="Q154" s="73"/>
      <c r="R154" s="73"/>
      <c r="S154" s="68"/>
      <c r="T154" s="67" t="s">
        <v>69</v>
      </c>
      <c r="U154" s="73"/>
      <c r="V154" s="73"/>
      <c r="W154" s="68"/>
      <c r="X154" s="67" t="s">
        <v>69</v>
      </c>
      <c r="Y154" s="73"/>
      <c r="Z154" s="73"/>
      <c r="AA154" s="68"/>
      <c r="AB154" s="67" t="s">
        <v>69</v>
      </c>
      <c r="AC154" s="73"/>
      <c r="AD154" s="73"/>
      <c r="AE154" s="68"/>
      <c r="AF154" s="67" t="s">
        <v>69</v>
      </c>
      <c r="AG154" s="73"/>
      <c r="AH154" s="73"/>
      <c r="AI154" s="68"/>
      <c r="AJ154" s="67" t="s">
        <v>69</v>
      </c>
      <c r="AK154" s="73"/>
      <c r="AL154" s="73"/>
      <c r="AM154" s="68"/>
      <c r="AN154" s="73" t="s">
        <v>69</v>
      </c>
      <c r="AO154" s="73"/>
      <c r="AP154" s="73"/>
      <c r="AQ154" s="68"/>
      <c r="AR154" s="67">
        <f t="shared" si="118"/>
        <v>100</v>
      </c>
      <c r="AS154" s="68" t="str">
        <f t="shared" si="119"/>
        <v>S</v>
      </c>
      <c r="AV154" s="49">
        <f t="shared" si="80"/>
        <v>1</v>
      </c>
      <c r="AW154" s="49">
        <f t="shared" si="81"/>
        <v>0</v>
      </c>
      <c r="AX154" s="49">
        <f t="shared" si="82"/>
        <v>0</v>
      </c>
      <c r="AY154" s="49">
        <f t="shared" si="83"/>
        <v>0</v>
      </c>
      <c r="AZ154" s="49">
        <f t="shared" si="84"/>
        <v>1</v>
      </c>
      <c r="BA154" s="49">
        <f t="shared" si="85"/>
        <v>0</v>
      </c>
      <c r="BB154" s="49">
        <f t="shared" si="86"/>
        <v>0</v>
      </c>
      <c r="BC154" s="49">
        <f t="shared" si="87"/>
        <v>0</v>
      </c>
      <c r="BD154" s="49">
        <f t="shared" si="88"/>
        <v>1</v>
      </c>
      <c r="BE154" s="49">
        <f t="shared" si="89"/>
        <v>0</v>
      </c>
      <c r="BF154" s="49">
        <f t="shared" si="90"/>
        <v>0</v>
      </c>
      <c r="BG154" s="49">
        <f t="shared" si="91"/>
        <v>0</v>
      </c>
      <c r="BH154" s="49">
        <f t="shared" si="92"/>
        <v>1</v>
      </c>
      <c r="BI154" s="49">
        <f t="shared" si="93"/>
        <v>0</v>
      </c>
      <c r="BJ154" s="49">
        <f t="shared" si="94"/>
        <v>0</v>
      </c>
      <c r="BK154" s="49">
        <f t="shared" si="95"/>
        <v>0</v>
      </c>
      <c r="BL154" s="49">
        <f t="shared" si="96"/>
        <v>1</v>
      </c>
      <c r="BM154" s="49">
        <f t="shared" si="97"/>
        <v>0</v>
      </c>
      <c r="BN154" s="49">
        <f t="shared" si="98"/>
        <v>0</v>
      </c>
      <c r="BO154" s="49">
        <f t="shared" si="99"/>
        <v>0</v>
      </c>
      <c r="BP154" s="49">
        <f t="shared" si="100"/>
        <v>1</v>
      </c>
      <c r="BQ154" s="49">
        <f t="shared" si="101"/>
        <v>0</v>
      </c>
      <c r="BR154" s="49">
        <f t="shared" si="102"/>
        <v>0</v>
      </c>
      <c r="BS154" s="49">
        <f t="shared" si="103"/>
        <v>0</v>
      </c>
      <c r="BT154" s="49">
        <f t="shared" si="104"/>
        <v>1</v>
      </c>
      <c r="BU154" s="49">
        <f t="shared" si="105"/>
        <v>0</v>
      </c>
      <c r="BV154" s="49">
        <f t="shared" si="106"/>
        <v>0</v>
      </c>
      <c r="BW154" s="49">
        <f t="shared" si="107"/>
        <v>0</v>
      </c>
      <c r="BX154" s="49">
        <f t="shared" si="108"/>
        <v>1</v>
      </c>
      <c r="BY154" s="49">
        <f t="shared" si="109"/>
        <v>0</v>
      </c>
      <c r="BZ154" s="49">
        <f t="shared" si="110"/>
        <v>0</v>
      </c>
      <c r="CA154" s="49">
        <f t="shared" si="111"/>
        <v>0</v>
      </c>
      <c r="CB154" s="49">
        <f t="shared" si="112"/>
        <v>1</v>
      </c>
      <c r="CC154" s="49">
        <f t="shared" si="113"/>
        <v>0</v>
      </c>
      <c r="CD154" s="49">
        <f t="shared" si="114"/>
        <v>0</v>
      </c>
      <c r="CE154" s="49">
        <f t="shared" si="115"/>
        <v>0</v>
      </c>
    </row>
    <row r="155" spans="1:83" ht="35.1" customHeight="1" x14ac:dyDescent="0.3">
      <c r="A155" s="123" t="str">
        <f t="shared" si="116"/>
        <v>2팀</v>
      </c>
      <c r="B155" s="69">
        <f t="shared" si="117"/>
        <v>149</v>
      </c>
      <c r="C155" s="120" t="str">
        <f>IF(VLOOKUP($B155,'1. 현장별 인원현황'!$C:$J,2,0)=0,"",VLOOKUP($B155,'1. 현장별 인원현황'!$C:$J,2,0))</f>
        <v xml:space="preserve"> [2.금호건설] 고양장항 B-3BL 공공주택 신축공사</v>
      </c>
      <c r="D155" s="70" t="str">
        <f>IF(VLOOKUP($B155,'1. 현장별 인원현황'!$C:$J,3,0)=0,"",VLOOKUP($B155,'1. 현장별 인원현황'!$C:$J,3,0))</f>
        <v>유승판</v>
      </c>
      <c r="E155" s="74" t="str">
        <f ca="1">IF(VLOOKUP($B155,'1. 현장별 인원현황'!$C:$J,4,0)=0,"",VLOOKUP($B155,'1. 현장별 인원현황'!$C:$J,4,0))</f>
        <v>49세</v>
      </c>
      <c r="F155" s="70" t="str">
        <f>IF(VLOOKUP($B155,'1. 현장별 인원현황'!$C:$J,7,0)=0,"",VLOOKUP($B155,'1. 현장별 인원현황'!$C:$J,7,0))</f>
        <v>공사</v>
      </c>
      <c r="G155" s="72" t="str">
        <f>IF(VLOOKUP($B155,'1. 현장별 인원현황'!$C:$J,8,0)=0,"",VLOOKUP($B155,'1. 현장별 인원현황'!$C:$J,8,0))</f>
        <v>차장</v>
      </c>
      <c r="H155" s="67" t="s">
        <v>69</v>
      </c>
      <c r="I155" s="73"/>
      <c r="J155" s="73"/>
      <c r="K155" s="68"/>
      <c r="L155" s="67" t="s">
        <v>69</v>
      </c>
      <c r="M155" s="73"/>
      <c r="N155" s="73"/>
      <c r="O155" s="68"/>
      <c r="P155" s="67" t="s">
        <v>69</v>
      </c>
      <c r="Q155" s="73"/>
      <c r="R155" s="73"/>
      <c r="S155" s="68"/>
      <c r="T155" s="67" t="s">
        <v>69</v>
      </c>
      <c r="U155" s="73"/>
      <c r="V155" s="73"/>
      <c r="W155" s="68"/>
      <c r="X155" s="67" t="s">
        <v>69</v>
      </c>
      <c r="Y155" s="73"/>
      <c r="Z155" s="73"/>
      <c r="AA155" s="68"/>
      <c r="AB155" s="67" t="s">
        <v>69</v>
      </c>
      <c r="AC155" s="73"/>
      <c r="AD155" s="73"/>
      <c r="AE155" s="68"/>
      <c r="AF155" s="67" t="s">
        <v>69</v>
      </c>
      <c r="AG155" s="73"/>
      <c r="AH155" s="73"/>
      <c r="AI155" s="68"/>
      <c r="AJ155" s="67" t="s">
        <v>69</v>
      </c>
      <c r="AK155" s="73"/>
      <c r="AL155" s="73"/>
      <c r="AM155" s="68"/>
      <c r="AN155" s="73" t="s">
        <v>69</v>
      </c>
      <c r="AO155" s="73"/>
      <c r="AP155" s="73"/>
      <c r="AQ155" s="68"/>
      <c r="AR155" s="67">
        <f t="shared" si="118"/>
        <v>100</v>
      </c>
      <c r="AS155" s="68" t="str">
        <f t="shared" si="119"/>
        <v>S</v>
      </c>
      <c r="AV155" s="49">
        <f t="shared" si="80"/>
        <v>1</v>
      </c>
      <c r="AW155" s="49">
        <f t="shared" si="81"/>
        <v>0</v>
      </c>
      <c r="AX155" s="49">
        <f t="shared" si="82"/>
        <v>0</v>
      </c>
      <c r="AY155" s="49">
        <f t="shared" si="83"/>
        <v>0</v>
      </c>
      <c r="AZ155" s="49">
        <f t="shared" si="84"/>
        <v>1</v>
      </c>
      <c r="BA155" s="49">
        <f t="shared" si="85"/>
        <v>0</v>
      </c>
      <c r="BB155" s="49">
        <f t="shared" si="86"/>
        <v>0</v>
      </c>
      <c r="BC155" s="49">
        <f t="shared" si="87"/>
        <v>0</v>
      </c>
      <c r="BD155" s="49">
        <f t="shared" si="88"/>
        <v>1</v>
      </c>
      <c r="BE155" s="49">
        <f t="shared" si="89"/>
        <v>0</v>
      </c>
      <c r="BF155" s="49">
        <f t="shared" si="90"/>
        <v>0</v>
      </c>
      <c r="BG155" s="49">
        <f t="shared" si="91"/>
        <v>0</v>
      </c>
      <c r="BH155" s="49">
        <f t="shared" si="92"/>
        <v>1</v>
      </c>
      <c r="BI155" s="49">
        <f t="shared" si="93"/>
        <v>0</v>
      </c>
      <c r="BJ155" s="49">
        <f t="shared" si="94"/>
        <v>0</v>
      </c>
      <c r="BK155" s="49">
        <f t="shared" si="95"/>
        <v>0</v>
      </c>
      <c r="BL155" s="49">
        <f t="shared" si="96"/>
        <v>1</v>
      </c>
      <c r="BM155" s="49">
        <f t="shared" si="97"/>
        <v>0</v>
      </c>
      <c r="BN155" s="49">
        <f t="shared" si="98"/>
        <v>0</v>
      </c>
      <c r="BO155" s="49">
        <f t="shared" si="99"/>
        <v>0</v>
      </c>
      <c r="BP155" s="49">
        <f t="shared" si="100"/>
        <v>1</v>
      </c>
      <c r="BQ155" s="49">
        <f t="shared" si="101"/>
        <v>0</v>
      </c>
      <c r="BR155" s="49">
        <f t="shared" si="102"/>
        <v>0</v>
      </c>
      <c r="BS155" s="49">
        <f t="shared" si="103"/>
        <v>0</v>
      </c>
      <c r="BT155" s="49">
        <f t="shared" si="104"/>
        <v>1</v>
      </c>
      <c r="BU155" s="49">
        <f t="shared" si="105"/>
        <v>0</v>
      </c>
      <c r="BV155" s="49">
        <f t="shared" si="106"/>
        <v>0</v>
      </c>
      <c r="BW155" s="49">
        <f t="shared" si="107"/>
        <v>0</v>
      </c>
      <c r="BX155" s="49">
        <f t="shared" si="108"/>
        <v>1</v>
      </c>
      <c r="BY155" s="49">
        <f t="shared" si="109"/>
        <v>0</v>
      </c>
      <c r="BZ155" s="49">
        <f t="shared" si="110"/>
        <v>0</v>
      </c>
      <c r="CA155" s="49">
        <f t="shared" si="111"/>
        <v>0</v>
      </c>
      <c r="CB155" s="49">
        <f t="shared" si="112"/>
        <v>1</v>
      </c>
      <c r="CC155" s="49">
        <f t="shared" si="113"/>
        <v>0</v>
      </c>
      <c r="CD155" s="49">
        <f t="shared" si="114"/>
        <v>0</v>
      </c>
      <c r="CE155" s="49">
        <f t="shared" si="115"/>
        <v>0</v>
      </c>
    </row>
    <row r="156" spans="1:83" ht="35.1" customHeight="1" x14ac:dyDescent="0.3">
      <c r="A156" s="123" t="str">
        <f t="shared" si="116"/>
        <v>2팀</v>
      </c>
      <c r="B156" s="69">
        <f t="shared" si="117"/>
        <v>150</v>
      </c>
      <c r="C156" s="120" t="str">
        <f>IF(VLOOKUP($B156,'1. 현장별 인원현황'!$C:$J,2,0)=0,"",VLOOKUP($B156,'1. 현장별 인원현황'!$C:$J,2,0))</f>
        <v xml:space="preserve"> [2.금호건설] 고양장항 B-3BL 공공주택 신축공사</v>
      </c>
      <c r="D156" s="70" t="str">
        <f>IF(VLOOKUP($B156,'1. 현장별 인원현황'!$C:$J,3,0)=0,"",VLOOKUP($B156,'1. 현장별 인원현황'!$C:$J,3,0))</f>
        <v>신대식</v>
      </c>
      <c r="E156" s="74" t="str">
        <f ca="1">IF(VLOOKUP($B156,'1. 현장별 인원현황'!$C:$J,4,0)=0,"",VLOOKUP($B156,'1. 현장별 인원현황'!$C:$J,4,0))</f>
        <v>39세</v>
      </c>
      <c r="F156" s="70" t="str">
        <f>IF(VLOOKUP($B156,'1. 현장별 인원현황'!$C:$J,7,0)=0,"",VLOOKUP($B156,'1. 현장별 인원현황'!$C:$J,7,0))</f>
        <v>공무</v>
      </c>
      <c r="G156" s="72" t="str">
        <f>IF(VLOOKUP($B156,'1. 현장별 인원현황'!$C:$J,8,0)=0,"",VLOOKUP($B156,'1. 현장별 인원현황'!$C:$J,8,0))</f>
        <v>과장</v>
      </c>
      <c r="H156" s="67"/>
      <c r="I156" s="73" t="s">
        <v>69</v>
      </c>
      <c r="J156" s="73"/>
      <c r="K156" s="68"/>
      <c r="L156" s="67" t="s">
        <v>69</v>
      </c>
      <c r="M156" s="73"/>
      <c r="N156" s="73"/>
      <c r="O156" s="68"/>
      <c r="P156" s="67" t="s">
        <v>69</v>
      </c>
      <c r="Q156" s="73"/>
      <c r="R156" s="73"/>
      <c r="S156" s="68"/>
      <c r="T156" s="67"/>
      <c r="U156" s="73" t="s">
        <v>69</v>
      </c>
      <c r="V156" s="73"/>
      <c r="W156" s="68"/>
      <c r="X156" s="67" t="s">
        <v>69</v>
      </c>
      <c r="Y156" s="73"/>
      <c r="Z156" s="73"/>
      <c r="AA156" s="68"/>
      <c r="AB156" s="67" t="s">
        <v>69</v>
      </c>
      <c r="AC156" s="73"/>
      <c r="AD156" s="73"/>
      <c r="AE156" s="68"/>
      <c r="AF156" s="67" t="s">
        <v>69</v>
      </c>
      <c r="AG156" s="73"/>
      <c r="AH156" s="73"/>
      <c r="AI156" s="68"/>
      <c r="AJ156" s="67" t="s">
        <v>69</v>
      </c>
      <c r="AK156" s="73"/>
      <c r="AL156" s="73"/>
      <c r="AM156" s="68"/>
      <c r="AN156" s="73" t="s">
        <v>69</v>
      </c>
      <c r="AO156" s="73"/>
      <c r="AP156" s="73"/>
      <c r="AQ156" s="68"/>
      <c r="AR156" s="67">
        <f t="shared" si="118"/>
        <v>95</v>
      </c>
      <c r="AS156" s="68" t="str">
        <f t="shared" si="119"/>
        <v>S</v>
      </c>
      <c r="AV156" s="49">
        <f t="shared" si="80"/>
        <v>0</v>
      </c>
      <c r="AW156" s="49">
        <f t="shared" si="81"/>
        <v>1</v>
      </c>
      <c r="AX156" s="49">
        <f t="shared" si="82"/>
        <v>0</v>
      </c>
      <c r="AY156" s="49">
        <f t="shared" si="83"/>
        <v>0</v>
      </c>
      <c r="AZ156" s="49">
        <f t="shared" si="84"/>
        <v>1</v>
      </c>
      <c r="BA156" s="49">
        <f t="shared" si="85"/>
        <v>0</v>
      </c>
      <c r="BB156" s="49">
        <f t="shared" si="86"/>
        <v>0</v>
      </c>
      <c r="BC156" s="49">
        <f t="shared" si="87"/>
        <v>0</v>
      </c>
      <c r="BD156" s="49">
        <f t="shared" si="88"/>
        <v>1</v>
      </c>
      <c r="BE156" s="49">
        <f t="shared" si="89"/>
        <v>0</v>
      </c>
      <c r="BF156" s="49">
        <f t="shared" si="90"/>
        <v>0</v>
      </c>
      <c r="BG156" s="49">
        <f t="shared" si="91"/>
        <v>0</v>
      </c>
      <c r="BH156" s="49">
        <f t="shared" si="92"/>
        <v>0</v>
      </c>
      <c r="BI156" s="49">
        <f t="shared" si="93"/>
        <v>1</v>
      </c>
      <c r="BJ156" s="49">
        <f t="shared" si="94"/>
        <v>0</v>
      </c>
      <c r="BK156" s="49">
        <f t="shared" si="95"/>
        <v>0</v>
      </c>
      <c r="BL156" s="49">
        <f t="shared" si="96"/>
        <v>1</v>
      </c>
      <c r="BM156" s="49">
        <f t="shared" si="97"/>
        <v>0</v>
      </c>
      <c r="BN156" s="49">
        <f t="shared" si="98"/>
        <v>0</v>
      </c>
      <c r="BO156" s="49">
        <f t="shared" si="99"/>
        <v>0</v>
      </c>
      <c r="BP156" s="49">
        <f t="shared" si="100"/>
        <v>1</v>
      </c>
      <c r="BQ156" s="49">
        <f t="shared" si="101"/>
        <v>0</v>
      </c>
      <c r="BR156" s="49">
        <f t="shared" si="102"/>
        <v>0</v>
      </c>
      <c r="BS156" s="49">
        <f t="shared" si="103"/>
        <v>0</v>
      </c>
      <c r="BT156" s="49">
        <f t="shared" si="104"/>
        <v>1</v>
      </c>
      <c r="BU156" s="49">
        <f t="shared" si="105"/>
        <v>0</v>
      </c>
      <c r="BV156" s="49">
        <f t="shared" si="106"/>
        <v>0</v>
      </c>
      <c r="BW156" s="49">
        <f t="shared" si="107"/>
        <v>0</v>
      </c>
      <c r="BX156" s="49">
        <f t="shared" si="108"/>
        <v>1</v>
      </c>
      <c r="BY156" s="49">
        <f t="shared" si="109"/>
        <v>0</v>
      </c>
      <c r="BZ156" s="49">
        <f t="shared" si="110"/>
        <v>0</v>
      </c>
      <c r="CA156" s="49">
        <f t="shared" si="111"/>
        <v>0</v>
      </c>
      <c r="CB156" s="49">
        <f t="shared" si="112"/>
        <v>1</v>
      </c>
      <c r="CC156" s="49">
        <f t="shared" si="113"/>
        <v>0</v>
      </c>
      <c r="CD156" s="49">
        <f t="shared" si="114"/>
        <v>0</v>
      </c>
      <c r="CE156" s="49">
        <f t="shared" si="115"/>
        <v>0</v>
      </c>
    </row>
    <row r="157" spans="1:83" ht="35.1" customHeight="1" x14ac:dyDescent="0.3">
      <c r="A157" s="123" t="str">
        <f t="shared" si="116"/>
        <v>2팀</v>
      </c>
      <c r="B157" s="69">
        <f t="shared" si="117"/>
        <v>151</v>
      </c>
      <c r="C157" s="120" t="str">
        <f>IF(VLOOKUP($B157,'1. 현장별 인원현황'!$C:$J,2,0)=0,"",VLOOKUP($B157,'1. 현장별 인원현황'!$C:$J,2,0))</f>
        <v xml:space="preserve"> [2.금호건설] 고양장항 B-3BL 공공주택 신축공사</v>
      </c>
      <c r="D157" s="70" t="str">
        <f>IF(VLOOKUP($B157,'1. 현장별 인원현황'!$C:$J,3,0)=0,"",VLOOKUP($B157,'1. 현장별 인원현황'!$C:$J,3,0))</f>
        <v>안윤기</v>
      </c>
      <c r="E157" s="74" t="str">
        <f ca="1">IF(VLOOKUP($B157,'1. 현장별 인원현황'!$C:$J,4,0)=0,"",VLOOKUP($B157,'1. 현장별 인원현황'!$C:$J,4,0))</f>
        <v>70세</v>
      </c>
      <c r="F157" s="70" t="str">
        <f>IF(VLOOKUP($B157,'1. 현장별 인원현황'!$C:$J,7,0)=0,"",VLOOKUP($B157,'1. 현장별 인원현황'!$C:$J,7,0))</f>
        <v>기능공</v>
      </c>
      <c r="G157" s="72" t="str">
        <f>IF(VLOOKUP($B157,'1. 현장별 인원현황'!$C:$J,8,0)=0,"",VLOOKUP($B157,'1. 현장별 인원현황'!$C:$J,8,0))</f>
        <v>전공</v>
      </c>
      <c r="H157" s="67" t="s">
        <v>69</v>
      </c>
      <c r="I157" s="73"/>
      <c r="J157" s="73"/>
      <c r="K157" s="68"/>
      <c r="L157" s="67"/>
      <c r="M157" s="73" t="s">
        <v>69</v>
      </c>
      <c r="N157" s="73"/>
      <c r="O157" s="68"/>
      <c r="P157" s="67" t="s">
        <v>69</v>
      </c>
      <c r="Q157" s="73"/>
      <c r="R157" s="73"/>
      <c r="S157" s="68"/>
      <c r="T157" s="67"/>
      <c r="U157" s="73" t="s">
        <v>69</v>
      </c>
      <c r="V157" s="73"/>
      <c r="W157" s="68"/>
      <c r="X157" s="67" t="s">
        <v>69</v>
      </c>
      <c r="Y157" s="73"/>
      <c r="Z157" s="73"/>
      <c r="AA157" s="68"/>
      <c r="AB157" s="67" t="s">
        <v>69</v>
      </c>
      <c r="AC157" s="73"/>
      <c r="AD157" s="73"/>
      <c r="AE157" s="68"/>
      <c r="AF157" s="67" t="s">
        <v>69</v>
      </c>
      <c r="AG157" s="73"/>
      <c r="AH157" s="73"/>
      <c r="AI157" s="68"/>
      <c r="AJ157" s="67" t="s">
        <v>69</v>
      </c>
      <c r="AK157" s="73"/>
      <c r="AL157" s="73"/>
      <c r="AM157" s="68"/>
      <c r="AN157" s="73" t="s">
        <v>69</v>
      </c>
      <c r="AO157" s="73"/>
      <c r="AP157" s="73"/>
      <c r="AQ157" s="68"/>
      <c r="AR157" s="67">
        <f t="shared" si="118"/>
        <v>95</v>
      </c>
      <c r="AS157" s="68" t="str">
        <f t="shared" si="119"/>
        <v>S</v>
      </c>
      <c r="AV157" s="49">
        <f t="shared" si="80"/>
        <v>1</v>
      </c>
      <c r="AW157" s="49">
        <f t="shared" si="81"/>
        <v>0</v>
      </c>
      <c r="AX157" s="49">
        <f t="shared" si="82"/>
        <v>0</v>
      </c>
      <c r="AY157" s="49">
        <f t="shared" si="83"/>
        <v>0</v>
      </c>
      <c r="AZ157" s="49">
        <f t="shared" si="84"/>
        <v>0</v>
      </c>
      <c r="BA157" s="49">
        <f t="shared" si="85"/>
        <v>1</v>
      </c>
      <c r="BB157" s="49">
        <f t="shared" si="86"/>
        <v>0</v>
      </c>
      <c r="BC157" s="49">
        <f t="shared" si="87"/>
        <v>0</v>
      </c>
      <c r="BD157" s="49">
        <f t="shared" si="88"/>
        <v>1</v>
      </c>
      <c r="BE157" s="49">
        <f t="shared" si="89"/>
        <v>0</v>
      </c>
      <c r="BF157" s="49">
        <f t="shared" si="90"/>
        <v>0</v>
      </c>
      <c r="BG157" s="49">
        <f t="shared" si="91"/>
        <v>0</v>
      </c>
      <c r="BH157" s="49">
        <f t="shared" si="92"/>
        <v>0</v>
      </c>
      <c r="BI157" s="49">
        <f t="shared" si="93"/>
        <v>1</v>
      </c>
      <c r="BJ157" s="49">
        <f t="shared" si="94"/>
        <v>0</v>
      </c>
      <c r="BK157" s="49">
        <f t="shared" si="95"/>
        <v>0</v>
      </c>
      <c r="BL157" s="49">
        <f t="shared" si="96"/>
        <v>1</v>
      </c>
      <c r="BM157" s="49">
        <f t="shared" si="97"/>
        <v>0</v>
      </c>
      <c r="BN157" s="49">
        <f t="shared" si="98"/>
        <v>0</v>
      </c>
      <c r="BO157" s="49">
        <f t="shared" si="99"/>
        <v>0</v>
      </c>
      <c r="BP157" s="49">
        <f t="shared" si="100"/>
        <v>1</v>
      </c>
      <c r="BQ157" s="49">
        <f t="shared" si="101"/>
        <v>0</v>
      </c>
      <c r="BR157" s="49">
        <f t="shared" si="102"/>
        <v>0</v>
      </c>
      <c r="BS157" s="49">
        <f t="shared" si="103"/>
        <v>0</v>
      </c>
      <c r="BT157" s="49">
        <f t="shared" si="104"/>
        <v>1</v>
      </c>
      <c r="BU157" s="49">
        <f t="shared" si="105"/>
        <v>0</v>
      </c>
      <c r="BV157" s="49">
        <f t="shared" si="106"/>
        <v>0</v>
      </c>
      <c r="BW157" s="49">
        <f t="shared" si="107"/>
        <v>0</v>
      </c>
      <c r="BX157" s="49">
        <f t="shared" si="108"/>
        <v>1</v>
      </c>
      <c r="BY157" s="49">
        <f t="shared" si="109"/>
        <v>0</v>
      </c>
      <c r="BZ157" s="49">
        <f t="shared" si="110"/>
        <v>0</v>
      </c>
      <c r="CA157" s="49">
        <f t="shared" si="111"/>
        <v>0</v>
      </c>
      <c r="CB157" s="49">
        <f t="shared" si="112"/>
        <v>1</v>
      </c>
      <c r="CC157" s="49">
        <f t="shared" si="113"/>
        <v>0</v>
      </c>
      <c r="CD157" s="49">
        <f t="shared" si="114"/>
        <v>0</v>
      </c>
      <c r="CE157" s="49">
        <f t="shared" si="115"/>
        <v>0</v>
      </c>
    </row>
    <row r="158" spans="1:83" ht="35.1" customHeight="1" x14ac:dyDescent="0.3">
      <c r="A158" s="123" t="str">
        <f t="shared" si="116"/>
        <v>2팀</v>
      </c>
      <c r="B158" s="69">
        <f t="shared" si="117"/>
        <v>152</v>
      </c>
      <c r="C158" s="120" t="str">
        <f>IF(VLOOKUP($B158,'1. 현장별 인원현황'!$C:$J,2,0)=0,"",VLOOKUP($B158,'1. 현장별 인원현황'!$C:$J,2,0))</f>
        <v xml:space="preserve"> [2.금호건설] 고양장항 B-3BL 공공주택 신축공사</v>
      </c>
      <c r="D158" s="70" t="str">
        <f>IF(VLOOKUP($B158,'1. 현장별 인원현황'!$C:$J,3,0)=0,"",VLOOKUP($B158,'1. 현장별 인원현황'!$C:$J,3,0))</f>
        <v>노형재</v>
      </c>
      <c r="E158" s="74" t="str">
        <f ca="1">IF(VLOOKUP($B158,'1. 현장별 인원현황'!$C:$J,4,0)=0,"",VLOOKUP($B158,'1. 현장별 인원현황'!$C:$J,4,0))</f>
        <v>50세</v>
      </c>
      <c r="F158" s="70" t="str">
        <f>IF(VLOOKUP($B158,'1. 현장별 인원현황'!$C:$J,7,0)=0,"",VLOOKUP($B158,'1. 현장별 인원현황'!$C:$J,7,0))</f>
        <v>기능공</v>
      </c>
      <c r="G158" s="72" t="str">
        <f>IF(VLOOKUP($B158,'1. 현장별 인원현황'!$C:$J,8,0)=0,"",VLOOKUP($B158,'1. 현장별 인원현황'!$C:$J,8,0))</f>
        <v>전공</v>
      </c>
      <c r="H158" s="67" t="s">
        <v>69</v>
      </c>
      <c r="I158" s="73"/>
      <c r="J158" s="73"/>
      <c r="K158" s="68"/>
      <c r="L158" s="67"/>
      <c r="M158" s="73" t="s">
        <v>69</v>
      </c>
      <c r="N158" s="73"/>
      <c r="O158" s="68"/>
      <c r="P158" s="67" t="s">
        <v>69</v>
      </c>
      <c r="Q158" s="73"/>
      <c r="R158" s="73"/>
      <c r="S158" s="68"/>
      <c r="T158" s="67"/>
      <c r="U158" s="73" t="s">
        <v>69</v>
      </c>
      <c r="V158" s="73"/>
      <c r="W158" s="68"/>
      <c r="X158" s="67" t="s">
        <v>69</v>
      </c>
      <c r="Y158" s="73"/>
      <c r="Z158" s="73"/>
      <c r="AA158" s="68"/>
      <c r="AB158" s="67" t="s">
        <v>69</v>
      </c>
      <c r="AC158" s="73"/>
      <c r="AD158" s="73"/>
      <c r="AE158" s="68"/>
      <c r="AF158" s="67" t="s">
        <v>69</v>
      </c>
      <c r="AG158" s="73"/>
      <c r="AH158" s="73"/>
      <c r="AI158" s="68"/>
      <c r="AJ158" s="67" t="s">
        <v>69</v>
      </c>
      <c r="AK158" s="73"/>
      <c r="AL158" s="73"/>
      <c r="AM158" s="68"/>
      <c r="AN158" s="73" t="s">
        <v>69</v>
      </c>
      <c r="AO158" s="73"/>
      <c r="AP158" s="73"/>
      <c r="AQ158" s="68"/>
      <c r="AR158" s="67">
        <f t="shared" si="118"/>
        <v>95</v>
      </c>
      <c r="AS158" s="68" t="str">
        <f t="shared" si="119"/>
        <v>S</v>
      </c>
      <c r="AV158" s="49">
        <f t="shared" si="80"/>
        <v>1</v>
      </c>
      <c r="AW158" s="49">
        <f t="shared" si="81"/>
        <v>0</v>
      </c>
      <c r="AX158" s="49">
        <f t="shared" si="82"/>
        <v>0</v>
      </c>
      <c r="AY158" s="49">
        <f t="shared" si="83"/>
        <v>0</v>
      </c>
      <c r="AZ158" s="49">
        <f t="shared" si="84"/>
        <v>0</v>
      </c>
      <c r="BA158" s="49">
        <f t="shared" si="85"/>
        <v>1</v>
      </c>
      <c r="BB158" s="49">
        <f t="shared" si="86"/>
        <v>0</v>
      </c>
      <c r="BC158" s="49">
        <f t="shared" si="87"/>
        <v>0</v>
      </c>
      <c r="BD158" s="49">
        <f t="shared" si="88"/>
        <v>1</v>
      </c>
      <c r="BE158" s="49">
        <f t="shared" si="89"/>
        <v>0</v>
      </c>
      <c r="BF158" s="49">
        <f t="shared" si="90"/>
        <v>0</v>
      </c>
      <c r="BG158" s="49">
        <f t="shared" si="91"/>
        <v>0</v>
      </c>
      <c r="BH158" s="49">
        <f t="shared" si="92"/>
        <v>0</v>
      </c>
      <c r="BI158" s="49">
        <f t="shared" si="93"/>
        <v>1</v>
      </c>
      <c r="BJ158" s="49">
        <f t="shared" si="94"/>
        <v>0</v>
      </c>
      <c r="BK158" s="49">
        <f t="shared" si="95"/>
        <v>0</v>
      </c>
      <c r="BL158" s="49">
        <f t="shared" si="96"/>
        <v>1</v>
      </c>
      <c r="BM158" s="49">
        <f t="shared" si="97"/>
        <v>0</v>
      </c>
      <c r="BN158" s="49">
        <f t="shared" si="98"/>
        <v>0</v>
      </c>
      <c r="BO158" s="49">
        <f t="shared" si="99"/>
        <v>0</v>
      </c>
      <c r="BP158" s="49">
        <f t="shared" si="100"/>
        <v>1</v>
      </c>
      <c r="BQ158" s="49">
        <f t="shared" si="101"/>
        <v>0</v>
      </c>
      <c r="BR158" s="49">
        <f t="shared" si="102"/>
        <v>0</v>
      </c>
      <c r="BS158" s="49">
        <f t="shared" si="103"/>
        <v>0</v>
      </c>
      <c r="BT158" s="49">
        <f t="shared" si="104"/>
        <v>1</v>
      </c>
      <c r="BU158" s="49">
        <f t="shared" si="105"/>
        <v>0</v>
      </c>
      <c r="BV158" s="49">
        <f t="shared" si="106"/>
        <v>0</v>
      </c>
      <c r="BW158" s="49">
        <f t="shared" si="107"/>
        <v>0</v>
      </c>
      <c r="BX158" s="49">
        <f t="shared" si="108"/>
        <v>1</v>
      </c>
      <c r="BY158" s="49">
        <f t="shared" si="109"/>
        <v>0</v>
      </c>
      <c r="BZ158" s="49">
        <f t="shared" si="110"/>
        <v>0</v>
      </c>
      <c r="CA158" s="49">
        <f t="shared" si="111"/>
        <v>0</v>
      </c>
      <c r="CB158" s="49">
        <f t="shared" si="112"/>
        <v>1</v>
      </c>
      <c r="CC158" s="49">
        <f t="shared" si="113"/>
        <v>0</v>
      </c>
      <c r="CD158" s="49">
        <f t="shared" si="114"/>
        <v>0</v>
      </c>
      <c r="CE158" s="49">
        <f t="shared" si="115"/>
        <v>0</v>
      </c>
    </row>
    <row r="159" spans="1:83" ht="35.1" customHeight="1" x14ac:dyDescent="0.3">
      <c r="A159" s="123" t="str">
        <f t="shared" si="116"/>
        <v>2팀</v>
      </c>
      <c r="B159" s="69">
        <f t="shared" si="117"/>
        <v>153</v>
      </c>
      <c r="C159" s="120" t="str">
        <f>IF(VLOOKUP($B159,'1. 현장별 인원현황'!$C:$J,2,0)=0,"",VLOOKUP($B159,'1. 현장별 인원현황'!$C:$J,2,0))</f>
        <v xml:space="preserve"> [2.금호건설] 대웅제약 마곡연구소 신축공사</v>
      </c>
      <c r="D159" s="70" t="str">
        <f>IF(VLOOKUP($B159,'1. 현장별 인원현황'!$C:$J,3,0)=0,"",VLOOKUP($B159,'1. 현장별 인원현황'!$C:$J,3,0))</f>
        <v>김영하</v>
      </c>
      <c r="E159" s="74" t="str">
        <f ca="1">IF(VLOOKUP($B159,'1. 현장별 인원현황'!$C:$J,4,0)=0,"",VLOOKUP($B159,'1. 현장별 인원현황'!$C:$J,4,0))</f>
        <v>55세</v>
      </c>
      <c r="F159" s="70" t="str">
        <f>IF(VLOOKUP($B159,'1. 현장별 인원현황'!$C:$J,7,0)=0,"",VLOOKUP($B159,'1. 현장별 인원현황'!$C:$J,7,0))</f>
        <v>공무</v>
      </c>
      <c r="G159" s="72" t="str">
        <f>IF(VLOOKUP($B159,'1. 현장별 인원현황'!$C:$J,8,0)=0,"",VLOOKUP($B159,'1. 현장별 인원현황'!$C:$J,8,0))</f>
        <v>부장</v>
      </c>
      <c r="H159" s="67" t="s">
        <v>69</v>
      </c>
      <c r="I159" s="73"/>
      <c r="J159" s="73"/>
      <c r="K159" s="68"/>
      <c r="L159" s="67" t="s">
        <v>69</v>
      </c>
      <c r="M159" s="73"/>
      <c r="N159" s="73"/>
      <c r="O159" s="68"/>
      <c r="P159" s="67" t="s">
        <v>69</v>
      </c>
      <c r="Q159" s="73"/>
      <c r="R159" s="73"/>
      <c r="S159" s="68"/>
      <c r="T159" s="67" t="s">
        <v>69</v>
      </c>
      <c r="U159" s="73"/>
      <c r="V159" s="73"/>
      <c r="W159" s="68"/>
      <c r="X159" s="67" t="s">
        <v>69</v>
      </c>
      <c r="Y159" s="73"/>
      <c r="Z159" s="73"/>
      <c r="AA159" s="68"/>
      <c r="AB159" s="67" t="s">
        <v>69</v>
      </c>
      <c r="AC159" s="73"/>
      <c r="AD159" s="73"/>
      <c r="AE159" s="68"/>
      <c r="AF159" s="67" t="s">
        <v>69</v>
      </c>
      <c r="AG159" s="73"/>
      <c r="AH159" s="73"/>
      <c r="AI159" s="68"/>
      <c r="AJ159" s="67" t="s">
        <v>69</v>
      </c>
      <c r="AK159" s="73"/>
      <c r="AL159" s="73"/>
      <c r="AM159" s="68"/>
      <c r="AN159" s="73" t="s">
        <v>69</v>
      </c>
      <c r="AO159" s="73"/>
      <c r="AP159" s="73"/>
      <c r="AQ159" s="68"/>
      <c r="AR159" s="67">
        <f t="shared" si="118"/>
        <v>100</v>
      </c>
      <c r="AS159" s="68" t="str">
        <f t="shared" si="119"/>
        <v>S</v>
      </c>
      <c r="AV159" s="49">
        <f t="shared" si="80"/>
        <v>1</v>
      </c>
      <c r="AW159" s="49">
        <f t="shared" si="81"/>
        <v>0</v>
      </c>
      <c r="AX159" s="49">
        <f t="shared" si="82"/>
        <v>0</v>
      </c>
      <c r="AY159" s="49">
        <f t="shared" si="83"/>
        <v>0</v>
      </c>
      <c r="AZ159" s="49">
        <f t="shared" si="84"/>
        <v>1</v>
      </c>
      <c r="BA159" s="49">
        <f t="shared" si="85"/>
        <v>0</v>
      </c>
      <c r="BB159" s="49">
        <f t="shared" si="86"/>
        <v>0</v>
      </c>
      <c r="BC159" s="49">
        <f t="shared" si="87"/>
        <v>0</v>
      </c>
      <c r="BD159" s="49">
        <f t="shared" si="88"/>
        <v>1</v>
      </c>
      <c r="BE159" s="49">
        <f t="shared" si="89"/>
        <v>0</v>
      </c>
      <c r="BF159" s="49">
        <f t="shared" si="90"/>
        <v>0</v>
      </c>
      <c r="BG159" s="49">
        <f t="shared" si="91"/>
        <v>0</v>
      </c>
      <c r="BH159" s="49">
        <f t="shared" si="92"/>
        <v>1</v>
      </c>
      <c r="BI159" s="49">
        <f t="shared" si="93"/>
        <v>0</v>
      </c>
      <c r="BJ159" s="49">
        <f t="shared" si="94"/>
        <v>0</v>
      </c>
      <c r="BK159" s="49">
        <f t="shared" si="95"/>
        <v>0</v>
      </c>
      <c r="BL159" s="49">
        <f t="shared" si="96"/>
        <v>1</v>
      </c>
      <c r="BM159" s="49">
        <f t="shared" si="97"/>
        <v>0</v>
      </c>
      <c r="BN159" s="49">
        <f t="shared" si="98"/>
        <v>0</v>
      </c>
      <c r="BO159" s="49">
        <f t="shared" si="99"/>
        <v>0</v>
      </c>
      <c r="BP159" s="49">
        <f t="shared" si="100"/>
        <v>1</v>
      </c>
      <c r="BQ159" s="49">
        <f t="shared" si="101"/>
        <v>0</v>
      </c>
      <c r="BR159" s="49">
        <f t="shared" si="102"/>
        <v>0</v>
      </c>
      <c r="BS159" s="49">
        <f t="shared" si="103"/>
        <v>0</v>
      </c>
      <c r="BT159" s="49">
        <f t="shared" si="104"/>
        <v>1</v>
      </c>
      <c r="BU159" s="49">
        <f t="shared" si="105"/>
        <v>0</v>
      </c>
      <c r="BV159" s="49">
        <f t="shared" si="106"/>
        <v>0</v>
      </c>
      <c r="BW159" s="49">
        <f t="shared" si="107"/>
        <v>0</v>
      </c>
      <c r="BX159" s="49">
        <f t="shared" si="108"/>
        <v>1</v>
      </c>
      <c r="BY159" s="49">
        <f t="shared" si="109"/>
        <v>0</v>
      </c>
      <c r="BZ159" s="49">
        <f t="shared" si="110"/>
        <v>0</v>
      </c>
      <c r="CA159" s="49">
        <f t="shared" si="111"/>
        <v>0</v>
      </c>
      <c r="CB159" s="49">
        <f t="shared" si="112"/>
        <v>1</v>
      </c>
      <c r="CC159" s="49">
        <f t="shared" si="113"/>
        <v>0</v>
      </c>
      <c r="CD159" s="49">
        <f t="shared" si="114"/>
        <v>0</v>
      </c>
      <c r="CE159" s="49">
        <f t="shared" si="115"/>
        <v>0</v>
      </c>
    </row>
    <row r="160" spans="1:83" ht="35.1" customHeight="1" x14ac:dyDescent="0.3">
      <c r="A160" s="123" t="str">
        <f t="shared" si="116"/>
        <v>2팀</v>
      </c>
      <c r="B160" s="69">
        <f t="shared" si="117"/>
        <v>154</v>
      </c>
      <c r="C160" s="120" t="str">
        <f>IF(VLOOKUP($B160,'1. 현장별 인원현황'!$C:$J,2,0)=0,"",VLOOKUP($B160,'1. 현장별 인원현황'!$C:$J,2,0))</f>
        <v xml:space="preserve"> [2.금호건설] 대웅제약 마곡연구소 신축공사</v>
      </c>
      <c r="D160" s="70" t="str">
        <f>IF(VLOOKUP($B160,'1. 현장별 인원현황'!$C:$J,3,0)=0,"",VLOOKUP($B160,'1. 현장별 인원현황'!$C:$J,3,0))</f>
        <v>나태형</v>
      </c>
      <c r="E160" s="74" t="str">
        <f ca="1">IF(VLOOKUP($B160,'1. 현장별 인원현황'!$C:$J,4,0)=0,"",VLOOKUP($B160,'1. 현장별 인원현황'!$C:$J,4,0))</f>
        <v>36세</v>
      </c>
      <c r="F160" s="70" t="str">
        <f>IF(VLOOKUP($B160,'1. 현장별 인원현황'!$C:$J,7,0)=0,"",VLOOKUP($B160,'1. 현장별 인원현황'!$C:$J,7,0))</f>
        <v>공사</v>
      </c>
      <c r="G160" s="72" t="str">
        <f>IF(VLOOKUP($B160,'1. 현장별 인원현황'!$C:$J,8,0)=0,"",VLOOKUP($B160,'1. 현장별 인원현황'!$C:$J,8,0))</f>
        <v>대리</v>
      </c>
      <c r="H160" s="67"/>
      <c r="I160" s="73"/>
      <c r="J160" s="73" t="s">
        <v>69</v>
      </c>
      <c r="K160" s="68"/>
      <c r="L160" s="67" t="s">
        <v>69</v>
      </c>
      <c r="M160" s="73"/>
      <c r="N160" s="73"/>
      <c r="O160" s="68"/>
      <c r="P160" s="67" t="s">
        <v>69</v>
      </c>
      <c r="Q160" s="73"/>
      <c r="R160" s="73"/>
      <c r="S160" s="68"/>
      <c r="T160" s="67" t="s">
        <v>69</v>
      </c>
      <c r="U160" s="73"/>
      <c r="V160" s="73"/>
      <c r="W160" s="68"/>
      <c r="X160" s="67" t="s">
        <v>69</v>
      </c>
      <c r="Y160" s="73"/>
      <c r="Z160" s="73"/>
      <c r="AA160" s="68"/>
      <c r="AB160" s="67" t="s">
        <v>69</v>
      </c>
      <c r="AC160" s="73"/>
      <c r="AD160" s="73"/>
      <c r="AE160" s="68"/>
      <c r="AF160" s="67" t="s">
        <v>69</v>
      </c>
      <c r="AG160" s="73"/>
      <c r="AH160" s="73"/>
      <c r="AI160" s="68"/>
      <c r="AJ160" s="67" t="s">
        <v>69</v>
      </c>
      <c r="AK160" s="73"/>
      <c r="AL160" s="73"/>
      <c r="AM160" s="68"/>
      <c r="AN160" s="73" t="s">
        <v>69</v>
      </c>
      <c r="AO160" s="73"/>
      <c r="AP160" s="73"/>
      <c r="AQ160" s="68"/>
      <c r="AR160" s="67">
        <f t="shared" si="118"/>
        <v>94</v>
      </c>
      <c r="AS160" s="68" t="str">
        <f t="shared" si="119"/>
        <v>S</v>
      </c>
      <c r="AV160" s="49">
        <f t="shared" si="80"/>
        <v>0</v>
      </c>
      <c r="AW160" s="49">
        <f t="shared" si="81"/>
        <v>0</v>
      </c>
      <c r="AX160" s="49">
        <f t="shared" si="82"/>
        <v>1</v>
      </c>
      <c r="AY160" s="49">
        <f t="shared" si="83"/>
        <v>0</v>
      </c>
      <c r="AZ160" s="49">
        <f t="shared" si="84"/>
        <v>1</v>
      </c>
      <c r="BA160" s="49">
        <f t="shared" si="85"/>
        <v>0</v>
      </c>
      <c r="BB160" s="49">
        <f t="shared" si="86"/>
        <v>0</v>
      </c>
      <c r="BC160" s="49">
        <f t="shared" si="87"/>
        <v>0</v>
      </c>
      <c r="BD160" s="49">
        <f t="shared" si="88"/>
        <v>1</v>
      </c>
      <c r="BE160" s="49">
        <f t="shared" si="89"/>
        <v>0</v>
      </c>
      <c r="BF160" s="49">
        <f t="shared" si="90"/>
        <v>0</v>
      </c>
      <c r="BG160" s="49">
        <f t="shared" si="91"/>
        <v>0</v>
      </c>
      <c r="BH160" s="49">
        <f t="shared" si="92"/>
        <v>1</v>
      </c>
      <c r="BI160" s="49">
        <f t="shared" si="93"/>
        <v>0</v>
      </c>
      <c r="BJ160" s="49">
        <f t="shared" si="94"/>
        <v>0</v>
      </c>
      <c r="BK160" s="49">
        <f t="shared" si="95"/>
        <v>0</v>
      </c>
      <c r="BL160" s="49">
        <f t="shared" si="96"/>
        <v>1</v>
      </c>
      <c r="BM160" s="49">
        <f t="shared" si="97"/>
        <v>0</v>
      </c>
      <c r="BN160" s="49">
        <f t="shared" si="98"/>
        <v>0</v>
      </c>
      <c r="BO160" s="49">
        <f t="shared" si="99"/>
        <v>0</v>
      </c>
      <c r="BP160" s="49">
        <f t="shared" si="100"/>
        <v>1</v>
      </c>
      <c r="BQ160" s="49">
        <f t="shared" si="101"/>
        <v>0</v>
      </c>
      <c r="BR160" s="49">
        <f t="shared" si="102"/>
        <v>0</v>
      </c>
      <c r="BS160" s="49">
        <f t="shared" si="103"/>
        <v>0</v>
      </c>
      <c r="BT160" s="49">
        <f t="shared" si="104"/>
        <v>1</v>
      </c>
      <c r="BU160" s="49">
        <f t="shared" si="105"/>
        <v>0</v>
      </c>
      <c r="BV160" s="49">
        <f t="shared" si="106"/>
        <v>0</v>
      </c>
      <c r="BW160" s="49">
        <f t="shared" si="107"/>
        <v>0</v>
      </c>
      <c r="BX160" s="49">
        <f t="shared" si="108"/>
        <v>1</v>
      </c>
      <c r="BY160" s="49">
        <f t="shared" si="109"/>
        <v>0</v>
      </c>
      <c r="BZ160" s="49">
        <f t="shared" si="110"/>
        <v>0</v>
      </c>
      <c r="CA160" s="49">
        <f t="shared" si="111"/>
        <v>0</v>
      </c>
      <c r="CB160" s="49">
        <f t="shared" si="112"/>
        <v>1</v>
      </c>
      <c r="CC160" s="49">
        <f t="shared" si="113"/>
        <v>0</v>
      </c>
      <c r="CD160" s="49">
        <f t="shared" si="114"/>
        <v>0</v>
      </c>
      <c r="CE160" s="49">
        <f t="shared" si="115"/>
        <v>0</v>
      </c>
    </row>
    <row r="161" spans="1:83" ht="35.1" customHeight="1" x14ac:dyDescent="0.3">
      <c r="A161" s="123" t="str">
        <f t="shared" si="116"/>
        <v>2팀</v>
      </c>
      <c r="B161" s="69">
        <f t="shared" si="117"/>
        <v>155</v>
      </c>
      <c r="C161" s="120" t="str">
        <f>IF(VLOOKUP($B161,'1. 현장별 인원현황'!$C:$J,2,0)=0,"",VLOOKUP($B161,'1. 현장별 인원현황'!$C:$J,2,0))</f>
        <v xml:space="preserve"> [2.금호건설] 대웅제약 마곡연구소 신축공사</v>
      </c>
      <c r="D161" s="70" t="str">
        <f>IF(VLOOKUP($B161,'1. 현장별 인원현황'!$C:$J,3,0)=0,"",VLOOKUP($B161,'1. 현장별 인원현황'!$C:$J,3,0))</f>
        <v>박주형</v>
      </c>
      <c r="E161" s="74" t="str">
        <f ca="1">IF(VLOOKUP($B161,'1. 현장별 인원현황'!$C:$J,4,0)=0,"",VLOOKUP($B161,'1. 현장별 인원현황'!$C:$J,4,0))</f>
        <v>60세</v>
      </c>
      <c r="F161" s="70" t="str">
        <f>IF(VLOOKUP($B161,'1. 현장별 인원현황'!$C:$J,7,0)=0,"",VLOOKUP($B161,'1. 현장별 인원현황'!$C:$J,7,0))</f>
        <v>공무</v>
      </c>
      <c r="G161" s="72" t="str">
        <f>IF(VLOOKUP($B161,'1. 현장별 인원현황'!$C:$J,8,0)=0,"",VLOOKUP($B161,'1. 현장별 인원현황'!$C:$J,8,0))</f>
        <v>차장</v>
      </c>
      <c r="H161" s="67" t="s">
        <v>69</v>
      </c>
      <c r="I161" s="73"/>
      <c r="J161" s="73"/>
      <c r="K161" s="68"/>
      <c r="L161" s="67" t="s">
        <v>69</v>
      </c>
      <c r="M161" s="73"/>
      <c r="N161" s="73"/>
      <c r="O161" s="68"/>
      <c r="P161" s="67" t="s">
        <v>69</v>
      </c>
      <c r="Q161" s="73"/>
      <c r="R161" s="73"/>
      <c r="S161" s="68"/>
      <c r="T161" s="67" t="s">
        <v>69</v>
      </c>
      <c r="U161" s="73"/>
      <c r="V161" s="73"/>
      <c r="W161" s="68"/>
      <c r="X161" s="67" t="s">
        <v>69</v>
      </c>
      <c r="Y161" s="73"/>
      <c r="Z161" s="73"/>
      <c r="AA161" s="68"/>
      <c r="AB161" s="67" t="s">
        <v>69</v>
      </c>
      <c r="AC161" s="73"/>
      <c r="AD161" s="73"/>
      <c r="AE161" s="68"/>
      <c r="AF161" s="67" t="s">
        <v>69</v>
      </c>
      <c r="AG161" s="73"/>
      <c r="AH161" s="73"/>
      <c r="AI161" s="68"/>
      <c r="AJ161" s="67" t="s">
        <v>69</v>
      </c>
      <c r="AK161" s="73"/>
      <c r="AL161" s="73"/>
      <c r="AM161" s="68"/>
      <c r="AN161" s="73" t="s">
        <v>69</v>
      </c>
      <c r="AO161" s="73"/>
      <c r="AP161" s="73"/>
      <c r="AQ161" s="68"/>
      <c r="AR161" s="67">
        <f t="shared" si="118"/>
        <v>100</v>
      </c>
      <c r="AS161" s="68" t="str">
        <f t="shared" si="119"/>
        <v>S</v>
      </c>
      <c r="AV161" s="49">
        <f t="shared" si="80"/>
        <v>1</v>
      </c>
      <c r="AW161" s="49">
        <f t="shared" si="81"/>
        <v>0</v>
      </c>
      <c r="AX161" s="49">
        <f t="shared" si="82"/>
        <v>0</v>
      </c>
      <c r="AY161" s="49">
        <f t="shared" si="83"/>
        <v>0</v>
      </c>
      <c r="AZ161" s="49">
        <f t="shared" si="84"/>
        <v>1</v>
      </c>
      <c r="BA161" s="49">
        <f t="shared" si="85"/>
        <v>0</v>
      </c>
      <c r="BB161" s="49">
        <f t="shared" si="86"/>
        <v>0</v>
      </c>
      <c r="BC161" s="49">
        <f t="shared" si="87"/>
        <v>0</v>
      </c>
      <c r="BD161" s="49">
        <f t="shared" si="88"/>
        <v>1</v>
      </c>
      <c r="BE161" s="49">
        <f t="shared" si="89"/>
        <v>0</v>
      </c>
      <c r="BF161" s="49">
        <f t="shared" si="90"/>
        <v>0</v>
      </c>
      <c r="BG161" s="49">
        <f t="shared" si="91"/>
        <v>0</v>
      </c>
      <c r="BH161" s="49">
        <f t="shared" si="92"/>
        <v>1</v>
      </c>
      <c r="BI161" s="49">
        <f t="shared" si="93"/>
        <v>0</v>
      </c>
      <c r="BJ161" s="49">
        <f t="shared" si="94"/>
        <v>0</v>
      </c>
      <c r="BK161" s="49">
        <f t="shared" si="95"/>
        <v>0</v>
      </c>
      <c r="BL161" s="49">
        <f t="shared" si="96"/>
        <v>1</v>
      </c>
      <c r="BM161" s="49">
        <f t="shared" si="97"/>
        <v>0</v>
      </c>
      <c r="BN161" s="49">
        <f t="shared" si="98"/>
        <v>0</v>
      </c>
      <c r="BO161" s="49">
        <f t="shared" si="99"/>
        <v>0</v>
      </c>
      <c r="BP161" s="49">
        <f t="shared" si="100"/>
        <v>1</v>
      </c>
      <c r="BQ161" s="49">
        <f t="shared" si="101"/>
        <v>0</v>
      </c>
      <c r="BR161" s="49">
        <f t="shared" si="102"/>
        <v>0</v>
      </c>
      <c r="BS161" s="49">
        <f t="shared" si="103"/>
        <v>0</v>
      </c>
      <c r="BT161" s="49">
        <f t="shared" si="104"/>
        <v>1</v>
      </c>
      <c r="BU161" s="49">
        <f t="shared" si="105"/>
        <v>0</v>
      </c>
      <c r="BV161" s="49">
        <f t="shared" si="106"/>
        <v>0</v>
      </c>
      <c r="BW161" s="49">
        <f t="shared" si="107"/>
        <v>0</v>
      </c>
      <c r="BX161" s="49">
        <f t="shared" si="108"/>
        <v>1</v>
      </c>
      <c r="BY161" s="49">
        <f t="shared" si="109"/>
        <v>0</v>
      </c>
      <c r="BZ161" s="49">
        <f t="shared" si="110"/>
        <v>0</v>
      </c>
      <c r="CA161" s="49">
        <f t="shared" si="111"/>
        <v>0</v>
      </c>
      <c r="CB161" s="49">
        <f t="shared" si="112"/>
        <v>1</v>
      </c>
      <c r="CC161" s="49">
        <f t="shared" si="113"/>
        <v>0</v>
      </c>
      <c r="CD161" s="49">
        <f t="shared" si="114"/>
        <v>0</v>
      </c>
      <c r="CE161" s="49">
        <f t="shared" si="115"/>
        <v>0</v>
      </c>
    </row>
    <row r="162" spans="1:83" ht="35.1" customHeight="1" x14ac:dyDescent="0.3">
      <c r="A162" s="123" t="str">
        <f t="shared" si="116"/>
        <v>2팀</v>
      </c>
      <c r="B162" s="69">
        <f t="shared" si="117"/>
        <v>156</v>
      </c>
      <c r="C162" s="120" t="str">
        <f>IF(VLOOKUP($B162,'1. 현장별 인원현황'!$C:$J,2,0)=0,"",VLOOKUP($B162,'1. 현장별 인원현황'!$C:$J,2,0))</f>
        <v xml:space="preserve"> [2.금호건설] 대웅제약 마곡연구소 신축공사</v>
      </c>
      <c r="D162" s="70" t="str">
        <f>IF(VLOOKUP($B162,'1. 현장별 인원현황'!$C:$J,3,0)=0,"",VLOOKUP($B162,'1. 현장별 인원현황'!$C:$J,3,0))</f>
        <v>임준성</v>
      </c>
      <c r="E162" s="74" t="str">
        <f ca="1">IF(VLOOKUP($B162,'1. 현장별 인원현황'!$C:$J,4,0)=0,"",VLOOKUP($B162,'1. 현장별 인원현황'!$C:$J,4,0))</f>
        <v>48세</v>
      </c>
      <c r="F162" s="70" t="str">
        <f>IF(VLOOKUP($B162,'1. 현장별 인원현황'!$C:$J,7,0)=0,"",VLOOKUP($B162,'1. 현장별 인원현황'!$C:$J,7,0))</f>
        <v>공사</v>
      </c>
      <c r="G162" s="72" t="str">
        <f>IF(VLOOKUP($B162,'1. 현장별 인원현황'!$C:$J,8,0)=0,"",VLOOKUP($B162,'1. 현장별 인원현황'!$C:$J,8,0))</f>
        <v>차장</v>
      </c>
      <c r="H162" s="67" t="s">
        <v>69</v>
      </c>
      <c r="I162" s="73"/>
      <c r="J162" s="73"/>
      <c r="K162" s="68"/>
      <c r="L162" s="67" t="s">
        <v>69</v>
      </c>
      <c r="M162" s="73"/>
      <c r="N162" s="73"/>
      <c r="O162" s="68"/>
      <c r="P162" s="67" t="s">
        <v>69</v>
      </c>
      <c r="Q162" s="73"/>
      <c r="R162" s="73"/>
      <c r="S162" s="68"/>
      <c r="T162" s="67" t="s">
        <v>69</v>
      </c>
      <c r="U162" s="73"/>
      <c r="V162" s="73"/>
      <c r="W162" s="68"/>
      <c r="X162" s="67" t="s">
        <v>69</v>
      </c>
      <c r="Y162" s="73"/>
      <c r="Z162" s="73"/>
      <c r="AA162" s="68"/>
      <c r="AB162" s="67" t="s">
        <v>69</v>
      </c>
      <c r="AC162" s="73"/>
      <c r="AD162" s="73"/>
      <c r="AE162" s="68"/>
      <c r="AF162" s="67" t="s">
        <v>69</v>
      </c>
      <c r="AG162" s="73"/>
      <c r="AH162" s="73"/>
      <c r="AI162" s="68"/>
      <c r="AJ162" s="67" t="s">
        <v>69</v>
      </c>
      <c r="AK162" s="73"/>
      <c r="AL162" s="73"/>
      <c r="AM162" s="68"/>
      <c r="AN162" s="73" t="s">
        <v>69</v>
      </c>
      <c r="AO162" s="73"/>
      <c r="AP162" s="73"/>
      <c r="AQ162" s="68"/>
      <c r="AR162" s="67">
        <f t="shared" si="118"/>
        <v>100</v>
      </c>
      <c r="AS162" s="68" t="str">
        <f t="shared" si="119"/>
        <v>S</v>
      </c>
      <c r="AV162" s="49">
        <f t="shared" si="80"/>
        <v>1</v>
      </c>
      <c r="AW162" s="49">
        <f t="shared" si="81"/>
        <v>0</v>
      </c>
      <c r="AX162" s="49">
        <f t="shared" si="82"/>
        <v>0</v>
      </c>
      <c r="AY162" s="49">
        <f t="shared" si="83"/>
        <v>0</v>
      </c>
      <c r="AZ162" s="49">
        <f t="shared" si="84"/>
        <v>1</v>
      </c>
      <c r="BA162" s="49">
        <f t="shared" si="85"/>
        <v>0</v>
      </c>
      <c r="BB162" s="49">
        <f t="shared" si="86"/>
        <v>0</v>
      </c>
      <c r="BC162" s="49">
        <f t="shared" si="87"/>
        <v>0</v>
      </c>
      <c r="BD162" s="49">
        <f t="shared" si="88"/>
        <v>1</v>
      </c>
      <c r="BE162" s="49">
        <f t="shared" si="89"/>
        <v>0</v>
      </c>
      <c r="BF162" s="49">
        <f t="shared" si="90"/>
        <v>0</v>
      </c>
      <c r="BG162" s="49">
        <f t="shared" si="91"/>
        <v>0</v>
      </c>
      <c r="BH162" s="49">
        <f t="shared" si="92"/>
        <v>1</v>
      </c>
      <c r="BI162" s="49">
        <f t="shared" si="93"/>
        <v>0</v>
      </c>
      <c r="BJ162" s="49">
        <f t="shared" si="94"/>
        <v>0</v>
      </c>
      <c r="BK162" s="49">
        <f t="shared" si="95"/>
        <v>0</v>
      </c>
      <c r="BL162" s="49">
        <f t="shared" si="96"/>
        <v>1</v>
      </c>
      <c r="BM162" s="49">
        <f t="shared" si="97"/>
        <v>0</v>
      </c>
      <c r="BN162" s="49">
        <f t="shared" si="98"/>
        <v>0</v>
      </c>
      <c r="BO162" s="49">
        <f t="shared" si="99"/>
        <v>0</v>
      </c>
      <c r="BP162" s="49">
        <f t="shared" si="100"/>
        <v>1</v>
      </c>
      <c r="BQ162" s="49">
        <f t="shared" si="101"/>
        <v>0</v>
      </c>
      <c r="BR162" s="49">
        <f t="shared" si="102"/>
        <v>0</v>
      </c>
      <c r="BS162" s="49">
        <f t="shared" si="103"/>
        <v>0</v>
      </c>
      <c r="BT162" s="49">
        <f t="shared" si="104"/>
        <v>1</v>
      </c>
      <c r="BU162" s="49">
        <f t="shared" si="105"/>
        <v>0</v>
      </c>
      <c r="BV162" s="49">
        <f t="shared" si="106"/>
        <v>0</v>
      </c>
      <c r="BW162" s="49">
        <f t="shared" si="107"/>
        <v>0</v>
      </c>
      <c r="BX162" s="49">
        <f t="shared" si="108"/>
        <v>1</v>
      </c>
      <c r="BY162" s="49">
        <f t="shared" si="109"/>
        <v>0</v>
      </c>
      <c r="BZ162" s="49">
        <f t="shared" si="110"/>
        <v>0</v>
      </c>
      <c r="CA162" s="49">
        <f t="shared" si="111"/>
        <v>0</v>
      </c>
      <c r="CB162" s="49">
        <f t="shared" si="112"/>
        <v>1</v>
      </c>
      <c r="CC162" s="49">
        <f t="shared" si="113"/>
        <v>0</v>
      </c>
      <c r="CD162" s="49">
        <f t="shared" si="114"/>
        <v>0</v>
      </c>
      <c r="CE162" s="49">
        <f t="shared" si="115"/>
        <v>0</v>
      </c>
    </row>
    <row r="163" spans="1:83" ht="35.1" customHeight="1" x14ac:dyDescent="0.3">
      <c r="A163" s="123" t="str">
        <f t="shared" si="116"/>
        <v>2팀</v>
      </c>
      <c r="B163" s="69">
        <f t="shared" si="117"/>
        <v>157</v>
      </c>
      <c r="C163" s="120" t="str">
        <f>IF(VLOOKUP($B163,'1. 현장별 인원현황'!$C:$J,2,0)=0,"",VLOOKUP($B163,'1. 현장별 인원현황'!$C:$J,2,0))</f>
        <v xml:space="preserve"> [2.금호건설] 대웅제약 마곡연구소 신축공사</v>
      </c>
      <c r="D163" s="70" t="str">
        <f>IF(VLOOKUP($B163,'1. 현장별 인원현황'!$C:$J,3,0)=0,"",VLOOKUP($B163,'1. 현장별 인원현황'!$C:$J,3,0))</f>
        <v>홍상진</v>
      </c>
      <c r="E163" s="74" t="str">
        <f ca="1">IF(VLOOKUP($B163,'1. 현장별 인원현황'!$C:$J,4,0)=0,"",VLOOKUP($B163,'1. 현장별 인원현황'!$C:$J,4,0))</f>
        <v>52세</v>
      </c>
      <c r="F163" s="70" t="str">
        <f>IF(VLOOKUP($B163,'1. 현장별 인원현황'!$C:$J,7,0)=0,"",VLOOKUP($B163,'1. 현장별 인원현황'!$C:$J,7,0))</f>
        <v>기능공</v>
      </c>
      <c r="G163" s="72" t="str">
        <f>IF(VLOOKUP($B163,'1. 현장별 인원현황'!$C:$J,8,0)=0,"",VLOOKUP($B163,'1. 현장별 인원현황'!$C:$J,8,0))</f>
        <v>전공</v>
      </c>
      <c r="H163" s="67"/>
      <c r="I163" s="73" t="s">
        <v>69</v>
      </c>
      <c r="J163" s="73"/>
      <c r="K163" s="68"/>
      <c r="L163" s="67"/>
      <c r="M163" s="73" t="s">
        <v>69</v>
      </c>
      <c r="N163" s="73"/>
      <c r="O163" s="68"/>
      <c r="P163" s="67"/>
      <c r="Q163" s="73" t="s">
        <v>69</v>
      </c>
      <c r="R163" s="73"/>
      <c r="S163" s="68"/>
      <c r="T163" s="67"/>
      <c r="U163" s="73" t="s">
        <v>69</v>
      </c>
      <c r="V163" s="73"/>
      <c r="W163" s="68"/>
      <c r="X163" s="67"/>
      <c r="Y163" s="73" t="s">
        <v>69</v>
      </c>
      <c r="Z163" s="73"/>
      <c r="AA163" s="68"/>
      <c r="AB163" s="67" t="s">
        <v>69</v>
      </c>
      <c r="AC163" s="73"/>
      <c r="AD163" s="73"/>
      <c r="AE163" s="68"/>
      <c r="AF163" s="67" t="s">
        <v>69</v>
      </c>
      <c r="AG163" s="73"/>
      <c r="AH163" s="73"/>
      <c r="AI163" s="68"/>
      <c r="AJ163" s="67" t="s">
        <v>69</v>
      </c>
      <c r="AK163" s="73"/>
      <c r="AL163" s="73"/>
      <c r="AM163" s="68"/>
      <c r="AN163" s="73" t="s">
        <v>69</v>
      </c>
      <c r="AO163" s="73"/>
      <c r="AP163" s="73"/>
      <c r="AQ163" s="68"/>
      <c r="AR163" s="67">
        <f t="shared" si="118"/>
        <v>87</v>
      </c>
      <c r="AS163" s="68" t="str">
        <f t="shared" si="119"/>
        <v>S</v>
      </c>
      <c r="AV163" s="49">
        <f t="shared" si="80"/>
        <v>0</v>
      </c>
      <c r="AW163" s="49">
        <f t="shared" si="81"/>
        <v>1</v>
      </c>
      <c r="AX163" s="49">
        <f t="shared" si="82"/>
        <v>0</v>
      </c>
      <c r="AY163" s="49">
        <f t="shared" si="83"/>
        <v>0</v>
      </c>
      <c r="AZ163" s="49">
        <f t="shared" si="84"/>
        <v>0</v>
      </c>
      <c r="BA163" s="49">
        <f t="shared" si="85"/>
        <v>1</v>
      </c>
      <c r="BB163" s="49">
        <f t="shared" si="86"/>
        <v>0</v>
      </c>
      <c r="BC163" s="49">
        <f t="shared" si="87"/>
        <v>0</v>
      </c>
      <c r="BD163" s="49">
        <f t="shared" si="88"/>
        <v>0</v>
      </c>
      <c r="BE163" s="49">
        <f t="shared" si="89"/>
        <v>1</v>
      </c>
      <c r="BF163" s="49">
        <f t="shared" si="90"/>
        <v>0</v>
      </c>
      <c r="BG163" s="49">
        <f t="shared" si="91"/>
        <v>0</v>
      </c>
      <c r="BH163" s="49">
        <f t="shared" si="92"/>
        <v>0</v>
      </c>
      <c r="BI163" s="49">
        <f t="shared" si="93"/>
        <v>1</v>
      </c>
      <c r="BJ163" s="49">
        <f t="shared" si="94"/>
        <v>0</v>
      </c>
      <c r="BK163" s="49">
        <f t="shared" si="95"/>
        <v>0</v>
      </c>
      <c r="BL163" s="49">
        <f t="shared" si="96"/>
        <v>0</v>
      </c>
      <c r="BM163" s="49">
        <f t="shared" si="97"/>
        <v>1</v>
      </c>
      <c r="BN163" s="49">
        <f t="shared" si="98"/>
        <v>0</v>
      </c>
      <c r="BO163" s="49">
        <f t="shared" si="99"/>
        <v>0</v>
      </c>
      <c r="BP163" s="49">
        <f t="shared" si="100"/>
        <v>1</v>
      </c>
      <c r="BQ163" s="49">
        <f t="shared" si="101"/>
        <v>0</v>
      </c>
      <c r="BR163" s="49">
        <f t="shared" si="102"/>
        <v>0</v>
      </c>
      <c r="BS163" s="49">
        <f t="shared" si="103"/>
        <v>0</v>
      </c>
      <c r="BT163" s="49">
        <f t="shared" si="104"/>
        <v>1</v>
      </c>
      <c r="BU163" s="49">
        <f t="shared" si="105"/>
        <v>0</v>
      </c>
      <c r="BV163" s="49">
        <f t="shared" si="106"/>
        <v>0</v>
      </c>
      <c r="BW163" s="49">
        <f t="shared" si="107"/>
        <v>0</v>
      </c>
      <c r="BX163" s="49">
        <f t="shared" si="108"/>
        <v>1</v>
      </c>
      <c r="BY163" s="49">
        <f t="shared" si="109"/>
        <v>0</v>
      </c>
      <c r="BZ163" s="49">
        <f t="shared" si="110"/>
        <v>0</v>
      </c>
      <c r="CA163" s="49">
        <f t="shared" si="111"/>
        <v>0</v>
      </c>
      <c r="CB163" s="49">
        <f t="shared" si="112"/>
        <v>1</v>
      </c>
      <c r="CC163" s="49">
        <f t="shared" si="113"/>
        <v>0</v>
      </c>
      <c r="CD163" s="49">
        <f t="shared" si="114"/>
        <v>0</v>
      </c>
      <c r="CE163" s="49">
        <f t="shared" si="115"/>
        <v>0</v>
      </c>
    </row>
    <row r="164" spans="1:83" ht="35.1" customHeight="1" x14ac:dyDescent="0.3">
      <c r="A164" s="123" t="str">
        <f t="shared" si="116"/>
        <v>2팀</v>
      </c>
      <c r="B164" s="69">
        <f t="shared" si="117"/>
        <v>158</v>
      </c>
      <c r="C164" s="120" t="str">
        <f>IF(VLOOKUP($B164,'1. 현장별 인원현황'!$C:$J,2,0)=0,"",VLOOKUP($B164,'1. 현장별 인원현황'!$C:$J,2,0))</f>
        <v xml:space="preserve"> [2.금호건설] 대웅제약 마곡연구소 신축공사</v>
      </c>
      <c r="D164" s="70" t="str">
        <f>IF(VLOOKUP($B164,'1. 현장별 인원현황'!$C:$J,3,0)=0,"",VLOOKUP($B164,'1. 현장별 인원현황'!$C:$J,3,0))</f>
        <v>손병태</v>
      </c>
      <c r="E164" s="74" t="str">
        <f ca="1">IF(VLOOKUP($B164,'1. 현장별 인원현황'!$C:$J,4,0)=0,"",VLOOKUP($B164,'1. 현장별 인원현황'!$C:$J,4,0))</f>
        <v>57세</v>
      </c>
      <c r="F164" s="70" t="str">
        <f>IF(VLOOKUP($B164,'1. 현장별 인원현황'!$C:$J,7,0)=0,"",VLOOKUP($B164,'1. 현장별 인원현황'!$C:$J,7,0))</f>
        <v>기능공</v>
      </c>
      <c r="G164" s="72" t="str">
        <f>IF(VLOOKUP($B164,'1. 현장별 인원현황'!$C:$J,8,0)=0,"",VLOOKUP($B164,'1. 현장별 인원현황'!$C:$J,8,0))</f>
        <v>전공</v>
      </c>
      <c r="H164" s="67" t="s">
        <v>69</v>
      </c>
      <c r="I164" s="73"/>
      <c r="J164" s="73"/>
      <c r="K164" s="68"/>
      <c r="L164" s="67" t="s">
        <v>69</v>
      </c>
      <c r="M164" s="73"/>
      <c r="N164" s="73"/>
      <c r="O164" s="68"/>
      <c r="P164" s="67" t="s">
        <v>69</v>
      </c>
      <c r="Q164" s="73"/>
      <c r="R164" s="73"/>
      <c r="S164" s="68"/>
      <c r="T164" s="67" t="s">
        <v>69</v>
      </c>
      <c r="U164" s="73"/>
      <c r="V164" s="73"/>
      <c r="W164" s="68"/>
      <c r="X164" s="67" t="s">
        <v>69</v>
      </c>
      <c r="Y164" s="73"/>
      <c r="Z164" s="73"/>
      <c r="AA164" s="68"/>
      <c r="AB164" s="67" t="s">
        <v>69</v>
      </c>
      <c r="AC164" s="73"/>
      <c r="AD164" s="73"/>
      <c r="AE164" s="68"/>
      <c r="AF164" s="67" t="s">
        <v>69</v>
      </c>
      <c r="AG164" s="73"/>
      <c r="AH164" s="73"/>
      <c r="AI164" s="68"/>
      <c r="AJ164" s="67" t="s">
        <v>69</v>
      </c>
      <c r="AK164" s="73"/>
      <c r="AL164" s="73"/>
      <c r="AM164" s="68"/>
      <c r="AN164" s="73" t="s">
        <v>69</v>
      </c>
      <c r="AO164" s="73"/>
      <c r="AP164" s="73"/>
      <c r="AQ164" s="68"/>
      <c r="AR164" s="67">
        <f t="shared" si="118"/>
        <v>100</v>
      </c>
      <c r="AS164" s="68" t="str">
        <f t="shared" si="119"/>
        <v>S</v>
      </c>
      <c r="AV164" s="49">
        <f t="shared" si="80"/>
        <v>1</v>
      </c>
      <c r="AW164" s="49">
        <f t="shared" si="81"/>
        <v>0</v>
      </c>
      <c r="AX164" s="49">
        <f t="shared" si="82"/>
        <v>0</v>
      </c>
      <c r="AY164" s="49">
        <f t="shared" si="83"/>
        <v>0</v>
      </c>
      <c r="AZ164" s="49">
        <f t="shared" si="84"/>
        <v>1</v>
      </c>
      <c r="BA164" s="49">
        <f t="shared" si="85"/>
        <v>0</v>
      </c>
      <c r="BB164" s="49">
        <f t="shared" si="86"/>
        <v>0</v>
      </c>
      <c r="BC164" s="49">
        <f t="shared" si="87"/>
        <v>0</v>
      </c>
      <c r="BD164" s="49">
        <f t="shared" si="88"/>
        <v>1</v>
      </c>
      <c r="BE164" s="49">
        <f t="shared" si="89"/>
        <v>0</v>
      </c>
      <c r="BF164" s="49">
        <f t="shared" si="90"/>
        <v>0</v>
      </c>
      <c r="BG164" s="49">
        <f t="shared" si="91"/>
        <v>0</v>
      </c>
      <c r="BH164" s="49">
        <f t="shared" si="92"/>
        <v>1</v>
      </c>
      <c r="BI164" s="49">
        <f t="shared" si="93"/>
        <v>0</v>
      </c>
      <c r="BJ164" s="49">
        <f t="shared" si="94"/>
        <v>0</v>
      </c>
      <c r="BK164" s="49">
        <f t="shared" si="95"/>
        <v>0</v>
      </c>
      <c r="BL164" s="49">
        <f t="shared" si="96"/>
        <v>1</v>
      </c>
      <c r="BM164" s="49">
        <f t="shared" si="97"/>
        <v>0</v>
      </c>
      <c r="BN164" s="49">
        <f t="shared" si="98"/>
        <v>0</v>
      </c>
      <c r="BO164" s="49">
        <f t="shared" si="99"/>
        <v>0</v>
      </c>
      <c r="BP164" s="49">
        <f t="shared" si="100"/>
        <v>1</v>
      </c>
      <c r="BQ164" s="49">
        <f t="shared" si="101"/>
        <v>0</v>
      </c>
      <c r="BR164" s="49">
        <f t="shared" si="102"/>
        <v>0</v>
      </c>
      <c r="BS164" s="49">
        <f t="shared" si="103"/>
        <v>0</v>
      </c>
      <c r="BT164" s="49">
        <f t="shared" si="104"/>
        <v>1</v>
      </c>
      <c r="BU164" s="49">
        <f t="shared" si="105"/>
        <v>0</v>
      </c>
      <c r="BV164" s="49">
        <f t="shared" si="106"/>
        <v>0</v>
      </c>
      <c r="BW164" s="49">
        <f t="shared" si="107"/>
        <v>0</v>
      </c>
      <c r="BX164" s="49">
        <f t="shared" si="108"/>
        <v>1</v>
      </c>
      <c r="BY164" s="49">
        <f t="shared" si="109"/>
        <v>0</v>
      </c>
      <c r="BZ164" s="49">
        <f t="shared" si="110"/>
        <v>0</v>
      </c>
      <c r="CA164" s="49">
        <f t="shared" si="111"/>
        <v>0</v>
      </c>
      <c r="CB164" s="49">
        <f t="shared" si="112"/>
        <v>1</v>
      </c>
      <c r="CC164" s="49">
        <f t="shared" si="113"/>
        <v>0</v>
      </c>
      <c r="CD164" s="49">
        <f t="shared" si="114"/>
        <v>0</v>
      </c>
      <c r="CE164" s="49">
        <f t="shared" si="115"/>
        <v>0</v>
      </c>
    </row>
    <row r="165" spans="1:83" ht="35.1" customHeight="1" x14ac:dyDescent="0.3">
      <c r="A165" s="123" t="str">
        <f t="shared" si="116"/>
        <v>2팀</v>
      </c>
      <c r="B165" s="69">
        <f t="shared" si="117"/>
        <v>159</v>
      </c>
      <c r="C165" s="120" t="str">
        <f>IF(VLOOKUP($B165,'1. 현장별 인원현황'!$C:$J,2,0)=0,"",VLOOKUP($B165,'1. 현장별 인원현황'!$C:$J,2,0))</f>
        <v xml:space="preserve"> [2.금호건설] 대웅제약 마곡연구소 신축공사</v>
      </c>
      <c r="D165" s="70" t="str">
        <f>IF(VLOOKUP($B165,'1. 현장별 인원현황'!$C:$J,3,0)=0,"",VLOOKUP($B165,'1. 현장별 인원현황'!$C:$J,3,0))</f>
        <v>박종찬</v>
      </c>
      <c r="E165" s="74" t="str">
        <f ca="1">IF(VLOOKUP($B165,'1. 현장별 인원현황'!$C:$J,4,0)=0,"",VLOOKUP($B165,'1. 현장별 인원현황'!$C:$J,4,0))</f>
        <v>57세</v>
      </c>
      <c r="F165" s="70" t="str">
        <f>IF(VLOOKUP($B165,'1. 현장별 인원현황'!$C:$J,7,0)=0,"",VLOOKUP($B165,'1. 현장별 인원현황'!$C:$J,7,0))</f>
        <v>기능공</v>
      </c>
      <c r="G165" s="72" t="str">
        <f>IF(VLOOKUP($B165,'1. 현장별 인원현황'!$C:$J,8,0)=0,"",VLOOKUP($B165,'1. 현장별 인원현황'!$C:$J,8,0))</f>
        <v>전공</v>
      </c>
      <c r="H165" s="67"/>
      <c r="I165" s="73" t="s">
        <v>69</v>
      </c>
      <c r="J165" s="73"/>
      <c r="K165" s="68"/>
      <c r="L165" s="67"/>
      <c r="M165" s="73" t="s">
        <v>69</v>
      </c>
      <c r="N165" s="73"/>
      <c r="O165" s="68"/>
      <c r="P165" s="67"/>
      <c r="Q165" s="73" t="s">
        <v>69</v>
      </c>
      <c r="R165" s="73"/>
      <c r="S165" s="68"/>
      <c r="T165" s="67"/>
      <c r="U165" s="73" t="s">
        <v>69</v>
      </c>
      <c r="V165" s="73"/>
      <c r="W165" s="68"/>
      <c r="X165" s="67" t="s">
        <v>69</v>
      </c>
      <c r="Y165" s="73"/>
      <c r="Z165" s="73"/>
      <c r="AA165" s="68"/>
      <c r="AB165" s="67" t="s">
        <v>69</v>
      </c>
      <c r="AC165" s="73"/>
      <c r="AD165" s="73"/>
      <c r="AE165" s="68"/>
      <c r="AF165" s="67" t="s">
        <v>69</v>
      </c>
      <c r="AG165" s="73"/>
      <c r="AH165" s="73"/>
      <c r="AI165" s="68"/>
      <c r="AJ165" s="67" t="s">
        <v>69</v>
      </c>
      <c r="AK165" s="73"/>
      <c r="AL165" s="73"/>
      <c r="AM165" s="68"/>
      <c r="AN165" s="73" t="s">
        <v>69</v>
      </c>
      <c r="AO165" s="73"/>
      <c r="AP165" s="73"/>
      <c r="AQ165" s="68"/>
      <c r="AR165" s="67">
        <f t="shared" si="118"/>
        <v>89</v>
      </c>
      <c r="AS165" s="68" t="str">
        <f t="shared" si="119"/>
        <v>S</v>
      </c>
      <c r="AV165" s="49">
        <f t="shared" si="80"/>
        <v>0</v>
      </c>
      <c r="AW165" s="49">
        <f t="shared" si="81"/>
        <v>1</v>
      </c>
      <c r="AX165" s="49">
        <f t="shared" si="82"/>
        <v>0</v>
      </c>
      <c r="AY165" s="49">
        <f t="shared" si="83"/>
        <v>0</v>
      </c>
      <c r="AZ165" s="49">
        <f t="shared" si="84"/>
        <v>0</v>
      </c>
      <c r="BA165" s="49">
        <f t="shared" si="85"/>
        <v>1</v>
      </c>
      <c r="BB165" s="49">
        <f t="shared" si="86"/>
        <v>0</v>
      </c>
      <c r="BC165" s="49">
        <f t="shared" si="87"/>
        <v>0</v>
      </c>
      <c r="BD165" s="49">
        <f t="shared" si="88"/>
        <v>0</v>
      </c>
      <c r="BE165" s="49">
        <f t="shared" si="89"/>
        <v>1</v>
      </c>
      <c r="BF165" s="49">
        <f t="shared" si="90"/>
        <v>0</v>
      </c>
      <c r="BG165" s="49">
        <f t="shared" si="91"/>
        <v>0</v>
      </c>
      <c r="BH165" s="49">
        <f t="shared" si="92"/>
        <v>0</v>
      </c>
      <c r="BI165" s="49">
        <f t="shared" si="93"/>
        <v>1</v>
      </c>
      <c r="BJ165" s="49">
        <f t="shared" si="94"/>
        <v>0</v>
      </c>
      <c r="BK165" s="49">
        <f t="shared" si="95"/>
        <v>0</v>
      </c>
      <c r="BL165" s="49">
        <f t="shared" si="96"/>
        <v>1</v>
      </c>
      <c r="BM165" s="49">
        <f t="shared" si="97"/>
        <v>0</v>
      </c>
      <c r="BN165" s="49">
        <f t="shared" si="98"/>
        <v>0</v>
      </c>
      <c r="BO165" s="49">
        <f t="shared" si="99"/>
        <v>0</v>
      </c>
      <c r="BP165" s="49">
        <f t="shared" si="100"/>
        <v>1</v>
      </c>
      <c r="BQ165" s="49">
        <f t="shared" si="101"/>
        <v>0</v>
      </c>
      <c r="BR165" s="49">
        <f t="shared" si="102"/>
        <v>0</v>
      </c>
      <c r="BS165" s="49">
        <f t="shared" si="103"/>
        <v>0</v>
      </c>
      <c r="BT165" s="49">
        <f t="shared" si="104"/>
        <v>1</v>
      </c>
      <c r="BU165" s="49">
        <f t="shared" si="105"/>
        <v>0</v>
      </c>
      <c r="BV165" s="49">
        <f t="shared" si="106"/>
        <v>0</v>
      </c>
      <c r="BW165" s="49">
        <f t="shared" si="107"/>
        <v>0</v>
      </c>
      <c r="BX165" s="49">
        <f t="shared" si="108"/>
        <v>1</v>
      </c>
      <c r="BY165" s="49">
        <f t="shared" si="109"/>
        <v>0</v>
      </c>
      <c r="BZ165" s="49">
        <f t="shared" si="110"/>
        <v>0</v>
      </c>
      <c r="CA165" s="49">
        <f t="shared" si="111"/>
        <v>0</v>
      </c>
      <c r="CB165" s="49">
        <f t="shared" si="112"/>
        <v>1</v>
      </c>
      <c r="CC165" s="49">
        <f t="shared" si="113"/>
        <v>0</v>
      </c>
      <c r="CD165" s="49">
        <f t="shared" si="114"/>
        <v>0</v>
      </c>
      <c r="CE165" s="49">
        <f t="shared" si="115"/>
        <v>0</v>
      </c>
    </row>
    <row r="166" spans="1:83" ht="35.1" customHeight="1" x14ac:dyDescent="0.3">
      <c r="A166" s="123" t="str">
        <f t="shared" si="116"/>
        <v>2팀</v>
      </c>
      <c r="B166" s="69">
        <f t="shared" si="117"/>
        <v>160</v>
      </c>
      <c r="C166" s="120" t="str">
        <f>IF(VLOOKUP($B166,'1. 현장별 인원현황'!$C:$J,2,0)=0,"",VLOOKUP($B166,'1. 현장별 인원현황'!$C:$J,2,0))</f>
        <v xml:space="preserve"> [2.금호건설] 대웅제약 마곡연구소 신축공사</v>
      </c>
      <c r="D166" s="70" t="str">
        <f>IF(VLOOKUP($B166,'1. 현장별 인원현황'!$C:$J,3,0)=0,"",VLOOKUP($B166,'1. 현장별 인원현황'!$C:$J,3,0))</f>
        <v>박해웅</v>
      </c>
      <c r="E166" s="74" t="str">
        <f ca="1">IF(VLOOKUP($B166,'1. 현장별 인원현황'!$C:$J,4,0)=0,"",VLOOKUP($B166,'1. 현장별 인원현황'!$C:$J,4,0))</f>
        <v>58세</v>
      </c>
      <c r="F166" s="70" t="str">
        <f>IF(VLOOKUP($B166,'1. 현장별 인원현황'!$C:$J,7,0)=0,"",VLOOKUP($B166,'1. 현장별 인원현황'!$C:$J,7,0))</f>
        <v>기능공</v>
      </c>
      <c r="G166" s="72" t="str">
        <f>IF(VLOOKUP($B166,'1. 현장별 인원현황'!$C:$J,8,0)=0,"",VLOOKUP($B166,'1. 현장별 인원현황'!$C:$J,8,0))</f>
        <v>전공</v>
      </c>
      <c r="H166" s="67"/>
      <c r="I166" s="73" t="s">
        <v>69</v>
      </c>
      <c r="J166" s="73"/>
      <c r="K166" s="68"/>
      <c r="L166" s="67"/>
      <c r="M166" s="73" t="s">
        <v>69</v>
      </c>
      <c r="N166" s="73"/>
      <c r="O166" s="68"/>
      <c r="P166" s="67"/>
      <c r="Q166" s="73" t="s">
        <v>69</v>
      </c>
      <c r="R166" s="73"/>
      <c r="S166" s="68"/>
      <c r="T166" s="67"/>
      <c r="U166" s="73" t="s">
        <v>69</v>
      </c>
      <c r="V166" s="73"/>
      <c r="W166" s="68"/>
      <c r="X166" s="67"/>
      <c r="Y166" s="73" t="s">
        <v>69</v>
      </c>
      <c r="Z166" s="73"/>
      <c r="AA166" s="68"/>
      <c r="AB166" s="67"/>
      <c r="AC166" s="73" t="s">
        <v>69</v>
      </c>
      <c r="AD166" s="73"/>
      <c r="AE166" s="68"/>
      <c r="AF166" s="67"/>
      <c r="AG166" s="73" t="s">
        <v>69</v>
      </c>
      <c r="AH166" s="73"/>
      <c r="AI166" s="68"/>
      <c r="AJ166" s="67" t="s">
        <v>69</v>
      </c>
      <c r="AK166" s="73"/>
      <c r="AL166" s="73"/>
      <c r="AM166" s="68"/>
      <c r="AN166" s="73" t="s">
        <v>69</v>
      </c>
      <c r="AO166" s="73"/>
      <c r="AP166" s="73"/>
      <c r="AQ166" s="68"/>
      <c r="AR166" s="67">
        <f t="shared" si="118"/>
        <v>83</v>
      </c>
      <c r="AS166" s="68" t="str">
        <f t="shared" si="119"/>
        <v>A</v>
      </c>
      <c r="AV166" s="49">
        <f t="shared" si="80"/>
        <v>0</v>
      </c>
      <c r="AW166" s="49">
        <f t="shared" si="81"/>
        <v>1</v>
      </c>
      <c r="AX166" s="49">
        <f t="shared" si="82"/>
        <v>0</v>
      </c>
      <c r="AY166" s="49">
        <f t="shared" si="83"/>
        <v>0</v>
      </c>
      <c r="AZ166" s="49">
        <f t="shared" si="84"/>
        <v>0</v>
      </c>
      <c r="BA166" s="49">
        <f t="shared" si="85"/>
        <v>1</v>
      </c>
      <c r="BB166" s="49">
        <f t="shared" si="86"/>
        <v>0</v>
      </c>
      <c r="BC166" s="49">
        <f t="shared" si="87"/>
        <v>0</v>
      </c>
      <c r="BD166" s="49">
        <f t="shared" si="88"/>
        <v>0</v>
      </c>
      <c r="BE166" s="49">
        <f t="shared" si="89"/>
        <v>1</v>
      </c>
      <c r="BF166" s="49">
        <f t="shared" si="90"/>
        <v>0</v>
      </c>
      <c r="BG166" s="49">
        <f t="shared" si="91"/>
        <v>0</v>
      </c>
      <c r="BH166" s="49">
        <f t="shared" si="92"/>
        <v>0</v>
      </c>
      <c r="BI166" s="49">
        <f t="shared" si="93"/>
        <v>1</v>
      </c>
      <c r="BJ166" s="49">
        <f t="shared" si="94"/>
        <v>0</v>
      </c>
      <c r="BK166" s="49">
        <f t="shared" si="95"/>
        <v>0</v>
      </c>
      <c r="BL166" s="49">
        <f t="shared" si="96"/>
        <v>0</v>
      </c>
      <c r="BM166" s="49">
        <f t="shared" si="97"/>
        <v>1</v>
      </c>
      <c r="BN166" s="49">
        <f t="shared" si="98"/>
        <v>0</v>
      </c>
      <c r="BO166" s="49">
        <f t="shared" si="99"/>
        <v>0</v>
      </c>
      <c r="BP166" s="49">
        <f t="shared" si="100"/>
        <v>0</v>
      </c>
      <c r="BQ166" s="49">
        <f t="shared" si="101"/>
        <v>1</v>
      </c>
      <c r="BR166" s="49">
        <f t="shared" si="102"/>
        <v>0</v>
      </c>
      <c r="BS166" s="49">
        <f t="shared" si="103"/>
        <v>0</v>
      </c>
      <c r="BT166" s="49">
        <f t="shared" si="104"/>
        <v>0</v>
      </c>
      <c r="BU166" s="49">
        <f t="shared" si="105"/>
        <v>1</v>
      </c>
      <c r="BV166" s="49">
        <f t="shared" si="106"/>
        <v>0</v>
      </c>
      <c r="BW166" s="49">
        <f t="shared" si="107"/>
        <v>0</v>
      </c>
      <c r="BX166" s="49">
        <f t="shared" si="108"/>
        <v>1</v>
      </c>
      <c r="BY166" s="49">
        <f t="shared" si="109"/>
        <v>0</v>
      </c>
      <c r="BZ166" s="49">
        <f t="shared" si="110"/>
        <v>0</v>
      </c>
      <c r="CA166" s="49">
        <f t="shared" si="111"/>
        <v>0</v>
      </c>
      <c r="CB166" s="49">
        <f t="shared" si="112"/>
        <v>1</v>
      </c>
      <c r="CC166" s="49">
        <f t="shared" si="113"/>
        <v>0</v>
      </c>
      <c r="CD166" s="49">
        <f t="shared" si="114"/>
        <v>0</v>
      </c>
      <c r="CE166" s="49">
        <f t="shared" si="115"/>
        <v>0</v>
      </c>
    </row>
    <row r="167" spans="1:83" ht="35.1" customHeight="1" x14ac:dyDescent="0.3">
      <c r="A167" s="123" t="str">
        <f t="shared" si="116"/>
        <v>2팀</v>
      </c>
      <c r="B167" s="69">
        <f t="shared" si="117"/>
        <v>161</v>
      </c>
      <c r="C167" s="120" t="str">
        <f>IF(VLOOKUP($B167,'1. 현장별 인원현황'!$C:$J,2,0)=0,"",VLOOKUP($B167,'1. 현장별 인원현황'!$C:$J,2,0))</f>
        <v xml:space="preserve"> [2.금호건설] 대웅제약 마곡연구소 신축공사</v>
      </c>
      <c r="D167" s="70" t="str">
        <f>IF(VLOOKUP($B167,'1. 현장별 인원현황'!$C:$J,3,0)=0,"",VLOOKUP($B167,'1. 현장별 인원현황'!$C:$J,3,0))</f>
        <v>이학운</v>
      </c>
      <c r="E167" s="74" t="str">
        <f ca="1">IF(VLOOKUP($B167,'1. 현장별 인원현황'!$C:$J,4,0)=0,"",VLOOKUP($B167,'1. 현장별 인원현황'!$C:$J,4,0))</f>
        <v>55세</v>
      </c>
      <c r="F167" s="70" t="str">
        <f>IF(VLOOKUP($B167,'1. 현장별 인원현황'!$C:$J,7,0)=0,"",VLOOKUP($B167,'1. 현장별 인원현황'!$C:$J,7,0))</f>
        <v>기능공</v>
      </c>
      <c r="G167" s="72" t="str">
        <f>IF(VLOOKUP($B167,'1. 현장별 인원현황'!$C:$J,8,0)=0,"",VLOOKUP($B167,'1. 현장별 인원현황'!$C:$J,8,0))</f>
        <v>전공</v>
      </c>
      <c r="H167" s="67"/>
      <c r="I167" s="73" t="s">
        <v>69</v>
      </c>
      <c r="J167" s="73"/>
      <c r="K167" s="68"/>
      <c r="L167" s="67"/>
      <c r="M167" s="73" t="s">
        <v>69</v>
      </c>
      <c r="N167" s="73"/>
      <c r="O167" s="68"/>
      <c r="P167" s="67"/>
      <c r="Q167" s="73" t="s">
        <v>69</v>
      </c>
      <c r="R167" s="73"/>
      <c r="S167" s="68"/>
      <c r="T167" s="67"/>
      <c r="U167" s="73" t="s">
        <v>69</v>
      </c>
      <c r="V167" s="73"/>
      <c r="W167" s="68"/>
      <c r="X167" s="67" t="s">
        <v>69</v>
      </c>
      <c r="Y167" s="73"/>
      <c r="Z167" s="73"/>
      <c r="AA167" s="68"/>
      <c r="AB167" s="67" t="s">
        <v>69</v>
      </c>
      <c r="AC167" s="73"/>
      <c r="AD167" s="73"/>
      <c r="AE167" s="68"/>
      <c r="AF167" s="67" t="s">
        <v>69</v>
      </c>
      <c r="AG167" s="73"/>
      <c r="AH167" s="73"/>
      <c r="AI167" s="68"/>
      <c r="AJ167" s="67"/>
      <c r="AK167" s="73" t="s">
        <v>69</v>
      </c>
      <c r="AL167" s="73"/>
      <c r="AM167" s="68"/>
      <c r="AN167" s="73" t="s">
        <v>69</v>
      </c>
      <c r="AO167" s="73"/>
      <c r="AP167" s="73"/>
      <c r="AQ167" s="68"/>
      <c r="AR167" s="67">
        <f t="shared" si="118"/>
        <v>86</v>
      </c>
      <c r="AS167" s="68" t="str">
        <f t="shared" si="119"/>
        <v>S</v>
      </c>
      <c r="AV167" s="49">
        <f t="shared" si="80"/>
        <v>0</v>
      </c>
      <c r="AW167" s="49">
        <f t="shared" si="81"/>
        <v>1</v>
      </c>
      <c r="AX167" s="49">
        <f t="shared" si="82"/>
        <v>0</v>
      </c>
      <c r="AY167" s="49">
        <f t="shared" si="83"/>
        <v>0</v>
      </c>
      <c r="AZ167" s="49">
        <f t="shared" si="84"/>
        <v>0</v>
      </c>
      <c r="BA167" s="49">
        <f t="shared" si="85"/>
        <v>1</v>
      </c>
      <c r="BB167" s="49">
        <f t="shared" si="86"/>
        <v>0</v>
      </c>
      <c r="BC167" s="49">
        <f t="shared" si="87"/>
        <v>0</v>
      </c>
      <c r="BD167" s="49">
        <f t="shared" si="88"/>
        <v>0</v>
      </c>
      <c r="BE167" s="49">
        <f t="shared" si="89"/>
        <v>1</v>
      </c>
      <c r="BF167" s="49">
        <f t="shared" si="90"/>
        <v>0</v>
      </c>
      <c r="BG167" s="49">
        <f t="shared" si="91"/>
        <v>0</v>
      </c>
      <c r="BH167" s="49">
        <f t="shared" si="92"/>
        <v>0</v>
      </c>
      <c r="BI167" s="49">
        <f t="shared" si="93"/>
        <v>1</v>
      </c>
      <c r="BJ167" s="49">
        <f t="shared" si="94"/>
        <v>0</v>
      </c>
      <c r="BK167" s="49">
        <f t="shared" si="95"/>
        <v>0</v>
      </c>
      <c r="BL167" s="49">
        <f t="shared" si="96"/>
        <v>1</v>
      </c>
      <c r="BM167" s="49">
        <f t="shared" si="97"/>
        <v>0</v>
      </c>
      <c r="BN167" s="49">
        <f t="shared" si="98"/>
        <v>0</v>
      </c>
      <c r="BO167" s="49">
        <f t="shared" si="99"/>
        <v>0</v>
      </c>
      <c r="BP167" s="49">
        <f t="shared" si="100"/>
        <v>1</v>
      </c>
      <c r="BQ167" s="49">
        <f t="shared" si="101"/>
        <v>0</v>
      </c>
      <c r="BR167" s="49">
        <f t="shared" si="102"/>
        <v>0</v>
      </c>
      <c r="BS167" s="49">
        <f t="shared" si="103"/>
        <v>0</v>
      </c>
      <c r="BT167" s="49">
        <f t="shared" si="104"/>
        <v>1</v>
      </c>
      <c r="BU167" s="49">
        <f t="shared" si="105"/>
        <v>0</v>
      </c>
      <c r="BV167" s="49">
        <f t="shared" si="106"/>
        <v>0</v>
      </c>
      <c r="BW167" s="49">
        <f t="shared" si="107"/>
        <v>0</v>
      </c>
      <c r="BX167" s="49">
        <f t="shared" si="108"/>
        <v>0</v>
      </c>
      <c r="BY167" s="49">
        <f t="shared" si="109"/>
        <v>1</v>
      </c>
      <c r="BZ167" s="49">
        <f t="shared" si="110"/>
        <v>0</v>
      </c>
      <c r="CA167" s="49">
        <f t="shared" si="111"/>
        <v>0</v>
      </c>
      <c r="CB167" s="49">
        <f t="shared" si="112"/>
        <v>1</v>
      </c>
      <c r="CC167" s="49">
        <f t="shared" si="113"/>
        <v>0</v>
      </c>
      <c r="CD167" s="49">
        <f t="shared" si="114"/>
        <v>0</v>
      </c>
      <c r="CE167" s="49">
        <f t="shared" si="115"/>
        <v>0</v>
      </c>
    </row>
    <row r="168" spans="1:83" ht="35.1" customHeight="1" x14ac:dyDescent="0.3">
      <c r="A168" s="123" t="str">
        <f t="shared" si="116"/>
        <v>2팀</v>
      </c>
      <c r="B168" s="69">
        <f t="shared" si="117"/>
        <v>162</v>
      </c>
      <c r="C168" s="120" t="str">
        <f>IF(VLOOKUP($B168,'1. 현장별 인원현황'!$C:$J,2,0)=0,"",VLOOKUP($B168,'1. 현장별 인원현황'!$C:$J,2,0))</f>
        <v xml:space="preserve"> [2.금호건설] 대웅제약 마곡연구소 신축공사</v>
      </c>
      <c r="D168" s="70" t="str">
        <f>IF(VLOOKUP($B168,'1. 현장별 인원현황'!$C:$J,3,0)=0,"",VLOOKUP($B168,'1. 현장별 인원현황'!$C:$J,3,0))</f>
        <v>김선규</v>
      </c>
      <c r="E168" s="74" t="str">
        <f ca="1">IF(VLOOKUP($B168,'1. 현장별 인원현황'!$C:$J,4,0)=0,"",VLOOKUP($B168,'1. 현장별 인원현황'!$C:$J,4,0))</f>
        <v>34세</v>
      </c>
      <c r="F168" s="70" t="str">
        <f>IF(VLOOKUP($B168,'1. 현장별 인원현황'!$C:$J,7,0)=0,"",VLOOKUP($B168,'1. 현장별 인원현황'!$C:$J,7,0))</f>
        <v>기능공</v>
      </c>
      <c r="G168" s="72" t="str">
        <f>IF(VLOOKUP($B168,'1. 현장별 인원현황'!$C:$J,8,0)=0,"",VLOOKUP($B168,'1. 현장별 인원현황'!$C:$J,8,0))</f>
        <v>조공</v>
      </c>
      <c r="H168" s="67"/>
      <c r="I168" s="73"/>
      <c r="J168" s="73" t="s">
        <v>69</v>
      </c>
      <c r="K168" s="68"/>
      <c r="L168" s="67"/>
      <c r="M168" s="73" t="s">
        <v>69</v>
      </c>
      <c r="N168" s="73"/>
      <c r="O168" s="68"/>
      <c r="P168" s="67"/>
      <c r="Q168" s="73" t="s">
        <v>69</v>
      </c>
      <c r="R168" s="73"/>
      <c r="S168" s="68"/>
      <c r="T168" s="67"/>
      <c r="U168" s="73" t="s">
        <v>69</v>
      </c>
      <c r="V168" s="73"/>
      <c r="W168" s="68"/>
      <c r="X168" s="67" t="s">
        <v>69</v>
      </c>
      <c r="Y168" s="73"/>
      <c r="Z168" s="73"/>
      <c r="AA168" s="68"/>
      <c r="AB168" s="67" t="s">
        <v>69</v>
      </c>
      <c r="AC168" s="73"/>
      <c r="AD168" s="73"/>
      <c r="AE168" s="68"/>
      <c r="AF168" s="67" t="s">
        <v>69</v>
      </c>
      <c r="AG168" s="73"/>
      <c r="AH168" s="73"/>
      <c r="AI168" s="68"/>
      <c r="AJ168" s="67" t="s">
        <v>69</v>
      </c>
      <c r="AK168" s="73"/>
      <c r="AL168" s="73"/>
      <c r="AM168" s="68"/>
      <c r="AN168" s="73" t="s">
        <v>69</v>
      </c>
      <c r="AO168" s="73"/>
      <c r="AP168" s="73"/>
      <c r="AQ168" s="68"/>
      <c r="AR168" s="67">
        <f t="shared" si="118"/>
        <v>86</v>
      </c>
      <c r="AS168" s="68" t="str">
        <f t="shared" si="119"/>
        <v>S</v>
      </c>
      <c r="AV168" s="49">
        <f t="shared" si="79"/>
        <v>0</v>
      </c>
      <c r="AW168" s="49">
        <f t="shared" si="44"/>
        <v>0</v>
      </c>
      <c r="AX168" s="49">
        <f t="shared" si="45"/>
        <v>1</v>
      </c>
      <c r="AY168" s="49">
        <f t="shared" si="46"/>
        <v>0</v>
      </c>
      <c r="AZ168" s="49">
        <f t="shared" si="47"/>
        <v>0</v>
      </c>
      <c r="BA168" s="49">
        <f t="shared" si="48"/>
        <v>1</v>
      </c>
      <c r="BB168" s="49">
        <f t="shared" si="49"/>
        <v>0</v>
      </c>
      <c r="BC168" s="49">
        <f t="shared" si="50"/>
        <v>0</v>
      </c>
      <c r="BD168" s="49">
        <f t="shared" si="51"/>
        <v>0</v>
      </c>
      <c r="BE168" s="49">
        <f t="shared" si="52"/>
        <v>1</v>
      </c>
      <c r="BF168" s="49">
        <f t="shared" si="53"/>
        <v>0</v>
      </c>
      <c r="BG168" s="49">
        <f t="shared" si="54"/>
        <v>0</v>
      </c>
      <c r="BH168" s="49">
        <f t="shared" si="55"/>
        <v>0</v>
      </c>
      <c r="BI168" s="49">
        <f t="shared" si="56"/>
        <v>1</v>
      </c>
      <c r="BJ168" s="49">
        <f t="shared" si="57"/>
        <v>0</v>
      </c>
      <c r="BK168" s="49">
        <f t="shared" si="58"/>
        <v>0</v>
      </c>
      <c r="BL168" s="49">
        <f t="shared" si="59"/>
        <v>1</v>
      </c>
      <c r="BM168" s="49">
        <f t="shared" si="60"/>
        <v>0</v>
      </c>
      <c r="BN168" s="49">
        <f t="shared" si="61"/>
        <v>0</v>
      </c>
      <c r="BO168" s="49">
        <f t="shared" si="62"/>
        <v>0</v>
      </c>
      <c r="BP168" s="49">
        <f t="shared" si="63"/>
        <v>1</v>
      </c>
      <c r="BQ168" s="49">
        <f t="shared" si="64"/>
        <v>0</v>
      </c>
      <c r="BR168" s="49">
        <f t="shared" si="65"/>
        <v>0</v>
      </c>
      <c r="BS168" s="49">
        <f t="shared" si="66"/>
        <v>0</v>
      </c>
      <c r="BT168" s="49">
        <f t="shared" si="67"/>
        <v>1</v>
      </c>
      <c r="BU168" s="49">
        <f t="shared" si="68"/>
        <v>0</v>
      </c>
      <c r="BV168" s="49">
        <f t="shared" si="69"/>
        <v>0</v>
      </c>
      <c r="BW168" s="49">
        <f t="shared" si="70"/>
        <v>0</v>
      </c>
      <c r="BX168" s="49">
        <f t="shared" si="71"/>
        <v>1</v>
      </c>
      <c r="BY168" s="49">
        <f t="shared" si="72"/>
        <v>0</v>
      </c>
      <c r="BZ168" s="49">
        <f t="shared" si="73"/>
        <v>0</v>
      </c>
      <c r="CA168" s="49">
        <f t="shared" si="74"/>
        <v>0</v>
      </c>
      <c r="CB168" s="49">
        <f t="shared" si="75"/>
        <v>1</v>
      </c>
      <c r="CC168" s="49">
        <f t="shared" si="76"/>
        <v>0</v>
      </c>
      <c r="CD168" s="49">
        <f t="shared" si="77"/>
        <v>0</v>
      </c>
      <c r="CE168" s="49">
        <f t="shared" si="78"/>
        <v>0</v>
      </c>
    </row>
    <row r="169" spans="1:83" ht="35.1" customHeight="1" x14ac:dyDescent="0.3">
      <c r="A169" s="123" t="str">
        <f t="shared" si="116"/>
        <v>2팀</v>
      </c>
      <c r="B169" s="69">
        <f t="shared" si="117"/>
        <v>163</v>
      </c>
      <c r="C169" s="120" t="str">
        <f>IF(VLOOKUP($B169,'1. 현장별 인원현황'!$C:$J,2,0)=0,"",VLOOKUP($B169,'1. 현장별 인원현황'!$C:$J,2,0))</f>
        <v xml:space="preserve"> [2.금호건설] 대웅제약 마곡연구소 신축공사</v>
      </c>
      <c r="D169" s="70" t="str">
        <f>IF(VLOOKUP($B169,'1. 현장별 인원현황'!$C:$J,3,0)=0,"",VLOOKUP($B169,'1. 현장별 인원현황'!$C:$J,3,0))</f>
        <v>김종만</v>
      </c>
      <c r="E169" s="74" t="str">
        <f ca="1">IF(VLOOKUP($B169,'1. 현장별 인원현황'!$C:$J,4,0)=0,"",VLOOKUP($B169,'1. 현장별 인원현황'!$C:$J,4,0))</f>
        <v>46세</v>
      </c>
      <c r="F169" s="70" t="str">
        <f>IF(VLOOKUP($B169,'1. 현장별 인원현황'!$C:$J,7,0)=0,"",VLOOKUP($B169,'1. 현장별 인원현황'!$C:$J,7,0))</f>
        <v>기능공</v>
      </c>
      <c r="G169" s="72" t="str">
        <f>IF(VLOOKUP($B169,'1. 현장별 인원현황'!$C:$J,8,0)=0,"",VLOOKUP($B169,'1. 현장별 인원현황'!$C:$J,8,0))</f>
        <v>전공</v>
      </c>
      <c r="H169" s="67" t="s">
        <v>69</v>
      </c>
      <c r="I169" s="73"/>
      <c r="J169" s="73"/>
      <c r="K169" s="68"/>
      <c r="L169" s="67" t="s">
        <v>69</v>
      </c>
      <c r="M169" s="73"/>
      <c r="N169" s="73"/>
      <c r="O169" s="68"/>
      <c r="P169" s="67" t="s">
        <v>69</v>
      </c>
      <c r="Q169" s="73"/>
      <c r="R169" s="73"/>
      <c r="S169" s="68"/>
      <c r="T169" s="67" t="s">
        <v>69</v>
      </c>
      <c r="U169" s="73"/>
      <c r="V169" s="73"/>
      <c r="W169" s="68"/>
      <c r="X169" s="67" t="s">
        <v>69</v>
      </c>
      <c r="Y169" s="73"/>
      <c r="Z169" s="73"/>
      <c r="AA169" s="68"/>
      <c r="AB169" s="67" t="s">
        <v>69</v>
      </c>
      <c r="AC169" s="73"/>
      <c r="AD169" s="73"/>
      <c r="AE169" s="68"/>
      <c r="AF169" s="67" t="s">
        <v>69</v>
      </c>
      <c r="AG169" s="73"/>
      <c r="AH169" s="73"/>
      <c r="AI169" s="68"/>
      <c r="AJ169" s="67" t="s">
        <v>69</v>
      </c>
      <c r="AK169" s="73"/>
      <c r="AL169" s="73"/>
      <c r="AM169" s="68"/>
      <c r="AN169" s="73" t="s">
        <v>69</v>
      </c>
      <c r="AO169" s="73"/>
      <c r="AP169" s="73"/>
      <c r="AQ169" s="68"/>
      <c r="AR169" s="67">
        <f t="shared" si="118"/>
        <v>100</v>
      </c>
      <c r="AS169" s="68" t="str">
        <f t="shared" si="119"/>
        <v>S</v>
      </c>
      <c r="AV169" s="49">
        <f t="shared" si="79"/>
        <v>1</v>
      </c>
      <c r="AW169" s="49">
        <f t="shared" si="44"/>
        <v>0</v>
      </c>
      <c r="AX169" s="49">
        <f t="shared" si="45"/>
        <v>0</v>
      </c>
      <c r="AY169" s="49">
        <f t="shared" si="46"/>
        <v>0</v>
      </c>
      <c r="AZ169" s="49">
        <f t="shared" si="47"/>
        <v>1</v>
      </c>
      <c r="BA169" s="49">
        <f t="shared" si="48"/>
        <v>0</v>
      </c>
      <c r="BB169" s="49">
        <f t="shared" si="49"/>
        <v>0</v>
      </c>
      <c r="BC169" s="49">
        <f t="shared" si="50"/>
        <v>0</v>
      </c>
      <c r="BD169" s="49">
        <f t="shared" si="51"/>
        <v>1</v>
      </c>
      <c r="BE169" s="49">
        <f t="shared" si="52"/>
        <v>0</v>
      </c>
      <c r="BF169" s="49">
        <f t="shared" si="53"/>
        <v>0</v>
      </c>
      <c r="BG169" s="49">
        <f t="shared" si="54"/>
        <v>0</v>
      </c>
      <c r="BH169" s="49">
        <f t="shared" si="55"/>
        <v>1</v>
      </c>
      <c r="BI169" s="49">
        <f t="shared" si="56"/>
        <v>0</v>
      </c>
      <c r="BJ169" s="49">
        <f t="shared" si="57"/>
        <v>0</v>
      </c>
      <c r="BK169" s="49">
        <f t="shared" si="58"/>
        <v>0</v>
      </c>
      <c r="BL169" s="49">
        <f t="shared" si="59"/>
        <v>1</v>
      </c>
      <c r="BM169" s="49">
        <f t="shared" si="60"/>
        <v>0</v>
      </c>
      <c r="BN169" s="49">
        <f t="shared" si="61"/>
        <v>0</v>
      </c>
      <c r="BO169" s="49">
        <f t="shared" si="62"/>
        <v>0</v>
      </c>
      <c r="BP169" s="49">
        <f t="shared" si="63"/>
        <v>1</v>
      </c>
      <c r="BQ169" s="49">
        <f t="shared" si="64"/>
        <v>0</v>
      </c>
      <c r="BR169" s="49">
        <f t="shared" si="65"/>
        <v>0</v>
      </c>
      <c r="BS169" s="49">
        <f t="shared" si="66"/>
        <v>0</v>
      </c>
      <c r="BT169" s="49">
        <f t="shared" si="67"/>
        <v>1</v>
      </c>
      <c r="BU169" s="49">
        <f t="shared" si="68"/>
        <v>0</v>
      </c>
      <c r="BV169" s="49">
        <f t="shared" si="69"/>
        <v>0</v>
      </c>
      <c r="BW169" s="49">
        <f t="shared" si="70"/>
        <v>0</v>
      </c>
      <c r="BX169" s="49">
        <f t="shared" si="71"/>
        <v>1</v>
      </c>
      <c r="BY169" s="49">
        <f t="shared" si="72"/>
        <v>0</v>
      </c>
      <c r="BZ169" s="49">
        <f t="shared" si="73"/>
        <v>0</v>
      </c>
      <c r="CA169" s="49">
        <f t="shared" si="74"/>
        <v>0</v>
      </c>
      <c r="CB169" s="49">
        <f t="shared" si="75"/>
        <v>1</v>
      </c>
      <c r="CC169" s="49">
        <f t="shared" si="76"/>
        <v>0</v>
      </c>
      <c r="CD169" s="49">
        <f t="shared" si="77"/>
        <v>0</v>
      </c>
      <c r="CE169" s="49">
        <f t="shared" si="78"/>
        <v>0</v>
      </c>
    </row>
    <row r="170" spans="1:83" ht="35.1" customHeight="1" x14ac:dyDescent="0.3">
      <c r="A170" s="123" t="str">
        <f t="shared" si="116"/>
        <v>2팀</v>
      </c>
      <c r="B170" s="69">
        <f t="shared" si="117"/>
        <v>164</v>
      </c>
      <c r="C170" s="120" t="str">
        <f>IF(VLOOKUP($B170,'1. 현장별 인원현황'!$C:$J,2,0)=0,"",VLOOKUP($B170,'1. 현장별 인원현황'!$C:$J,2,0))</f>
        <v xml:space="preserve"> [2.금호건설] 대웅제약 마곡연구소 신축공사</v>
      </c>
      <c r="D170" s="70" t="str">
        <f>IF(VLOOKUP($B170,'1. 현장별 인원현황'!$C:$J,3,0)=0,"",VLOOKUP($B170,'1. 현장별 인원현황'!$C:$J,3,0))</f>
        <v>안성현</v>
      </c>
      <c r="E170" s="74" t="str">
        <f ca="1">IF(VLOOKUP($B170,'1. 현장별 인원현황'!$C:$J,4,0)=0,"",VLOOKUP($B170,'1. 현장별 인원현황'!$C:$J,4,0))</f>
        <v>50세</v>
      </c>
      <c r="F170" s="70" t="str">
        <f>IF(VLOOKUP($B170,'1. 현장별 인원현황'!$C:$J,7,0)=0,"",VLOOKUP($B170,'1. 현장별 인원현황'!$C:$J,7,0))</f>
        <v>기능공</v>
      </c>
      <c r="G170" s="72" t="str">
        <f>IF(VLOOKUP($B170,'1. 현장별 인원현황'!$C:$J,8,0)=0,"",VLOOKUP($B170,'1. 현장별 인원현황'!$C:$J,8,0))</f>
        <v>전공</v>
      </c>
      <c r="H170" s="67" t="s">
        <v>69</v>
      </c>
      <c r="I170" s="73"/>
      <c r="J170" s="73"/>
      <c r="K170" s="68"/>
      <c r="L170" s="67" t="s">
        <v>69</v>
      </c>
      <c r="M170" s="73"/>
      <c r="N170" s="73"/>
      <c r="O170" s="68"/>
      <c r="P170" s="67" t="s">
        <v>69</v>
      </c>
      <c r="Q170" s="73"/>
      <c r="R170" s="73"/>
      <c r="S170" s="68"/>
      <c r="T170" s="67" t="s">
        <v>69</v>
      </c>
      <c r="U170" s="73"/>
      <c r="V170" s="73"/>
      <c r="W170" s="68"/>
      <c r="X170" s="67" t="s">
        <v>69</v>
      </c>
      <c r="Y170" s="73"/>
      <c r="Z170" s="73"/>
      <c r="AA170" s="68"/>
      <c r="AB170" s="67" t="s">
        <v>69</v>
      </c>
      <c r="AC170" s="73"/>
      <c r="AD170" s="73"/>
      <c r="AE170" s="68"/>
      <c r="AF170" s="67" t="s">
        <v>69</v>
      </c>
      <c r="AG170" s="73"/>
      <c r="AH170" s="73"/>
      <c r="AI170" s="68"/>
      <c r="AJ170" s="67" t="s">
        <v>69</v>
      </c>
      <c r="AK170" s="73"/>
      <c r="AL170" s="73"/>
      <c r="AM170" s="68"/>
      <c r="AN170" s="73" t="s">
        <v>69</v>
      </c>
      <c r="AO170" s="73"/>
      <c r="AP170" s="73"/>
      <c r="AQ170" s="68"/>
      <c r="AR170" s="67">
        <f t="shared" si="118"/>
        <v>100</v>
      </c>
      <c r="AS170" s="68" t="str">
        <f t="shared" si="119"/>
        <v>S</v>
      </c>
      <c r="AV170" s="49">
        <f t="shared" si="79"/>
        <v>1</v>
      </c>
      <c r="AW170" s="49">
        <f t="shared" si="44"/>
        <v>0</v>
      </c>
      <c r="AX170" s="49">
        <f t="shared" si="45"/>
        <v>0</v>
      </c>
      <c r="AY170" s="49">
        <f t="shared" si="46"/>
        <v>0</v>
      </c>
      <c r="AZ170" s="49">
        <f t="shared" si="47"/>
        <v>1</v>
      </c>
      <c r="BA170" s="49">
        <f t="shared" si="48"/>
        <v>0</v>
      </c>
      <c r="BB170" s="49">
        <f t="shared" si="49"/>
        <v>0</v>
      </c>
      <c r="BC170" s="49">
        <f t="shared" si="50"/>
        <v>0</v>
      </c>
      <c r="BD170" s="49">
        <f t="shared" si="51"/>
        <v>1</v>
      </c>
      <c r="BE170" s="49">
        <f t="shared" si="52"/>
        <v>0</v>
      </c>
      <c r="BF170" s="49">
        <f t="shared" si="53"/>
        <v>0</v>
      </c>
      <c r="BG170" s="49">
        <f t="shared" si="54"/>
        <v>0</v>
      </c>
      <c r="BH170" s="49">
        <f t="shared" si="55"/>
        <v>1</v>
      </c>
      <c r="BI170" s="49">
        <f t="shared" si="56"/>
        <v>0</v>
      </c>
      <c r="BJ170" s="49">
        <f t="shared" si="57"/>
        <v>0</v>
      </c>
      <c r="BK170" s="49">
        <f t="shared" si="58"/>
        <v>0</v>
      </c>
      <c r="BL170" s="49">
        <f t="shared" si="59"/>
        <v>1</v>
      </c>
      <c r="BM170" s="49">
        <f t="shared" si="60"/>
        <v>0</v>
      </c>
      <c r="BN170" s="49">
        <f t="shared" si="61"/>
        <v>0</v>
      </c>
      <c r="BO170" s="49">
        <f t="shared" si="62"/>
        <v>0</v>
      </c>
      <c r="BP170" s="49">
        <f t="shared" si="63"/>
        <v>1</v>
      </c>
      <c r="BQ170" s="49">
        <f t="shared" si="64"/>
        <v>0</v>
      </c>
      <c r="BR170" s="49">
        <f t="shared" si="65"/>
        <v>0</v>
      </c>
      <c r="BS170" s="49">
        <f t="shared" si="66"/>
        <v>0</v>
      </c>
      <c r="BT170" s="49">
        <f t="shared" si="67"/>
        <v>1</v>
      </c>
      <c r="BU170" s="49">
        <f t="shared" si="68"/>
        <v>0</v>
      </c>
      <c r="BV170" s="49">
        <f t="shared" si="69"/>
        <v>0</v>
      </c>
      <c r="BW170" s="49">
        <f t="shared" si="70"/>
        <v>0</v>
      </c>
      <c r="BX170" s="49">
        <f t="shared" si="71"/>
        <v>1</v>
      </c>
      <c r="BY170" s="49">
        <f t="shared" si="72"/>
        <v>0</v>
      </c>
      <c r="BZ170" s="49">
        <f t="shared" si="73"/>
        <v>0</v>
      </c>
      <c r="CA170" s="49">
        <f t="shared" si="74"/>
        <v>0</v>
      </c>
      <c r="CB170" s="49">
        <f t="shared" si="75"/>
        <v>1</v>
      </c>
      <c r="CC170" s="49">
        <f t="shared" si="76"/>
        <v>0</v>
      </c>
      <c r="CD170" s="49">
        <f t="shared" si="77"/>
        <v>0</v>
      </c>
      <c r="CE170" s="49">
        <f t="shared" si="78"/>
        <v>0</v>
      </c>
    </row>
    <row r="171" spans="1:83" ht="35.1" customHeight="1" x14ac:dyDescent="0.3">
      <c r="A171" s="123" t="str">
        <f t="shared" si="116"/>
        <v>2팀</v>
      </c>
      <c r="B171" s="69">
        <f t="shared" si="117"/>
        <v>165</v>
      </c>
      <c r="C171" s="120" t="str">
        <f>IF(VLOOKUP($B171,'1. 현장별 인원현황'!$C:$J,2,0)=0,"",VLOOKUP($B171,'1. 현장별 인원현황'!$C:$J,2,0))</f>
        <v xml:space="preserve"> [2.금호건설] 대웅제약 마곡연구소 신축공사</v>
      </c>
      <c r="D171" s="70" t="str">
        <f>IF(VLOOKUP($B171,'1. 현장별 인원현황'!$C:$J,3,0)=0,"",VLOOKUP($B171,'1. 현장별 인원현황'!$C:$J,3,0))</f>
        <v>박연수</v>
      </c>
      <c r="E171" s="74" t="str">
        <f ca="1">IF(VLOOKUP($B171,'1. 현장별 인원현황'!$C:$J,4,0)=0,"",VLOOKUP($B171,'1. 현장별 인원현황'!$C:$J,4,0))</f>
        <v>43세</v>
      </c>
      <c r="F171" s="70" t="str">
        <f>IF(VLOOKUP($B171,'1. 현장별 인원현황'!$C:$J,7,0)=0,"",VLOOKUP($B171,'1. 현장별 인원현황'!$C:$J,7,0))</f>
        <v>기능공</v>
      </c>
      <c r="G171" s="72" t="str">
        <f>IF(VLOOKUP($B171,'1. 현장별 인원현황'!$C:$J,8,0)=0,"",VLOOKUP($B171,'1. 현장별 인원현황'!$C:$J,8,0))</f>
        <v>전공</v>
      </c>
      <c r="H171" s="67" t="s">
        <v>69</v>
      </c>
      <c r="I171" s="73"/>
      <c r="J171" s="73"/>
      <c r="K171" s="68"/>
      <c r="L171" s="67" t="s">
        <v>69</v>
      </c>
      <c r="M171" s="73"/>
      <c r="N171" s="73"/>
      <c r="O171" s="68"/>
      <c r="P171" s="67" t="s">
        <v>69</v>
      </c>
      <c r="Q171" s="73"/>
      <c r="R171" s="73"/>
      <c r="S171" s="68"/>
      <c r="T171" s="67" t="s">
        <v>69</v>
      </c>
      <c r="U171" s="73"/>
      <c r="V171" s="73"/>
      <c r="W171" s="68"/>
      <c r="X171" s="67"/>
      <c r="Y171" s="73" t="s">
        <v>69</v>
      </c>
      <c r="Z171" s="73"/>
      <c r="AA171" s="68"/>
      <c r="AB171" s="67"/>
      <c r="AC171" s="73" t="s">
        <v>69</v>
      </c>
      <c r="AD171" s="73"/>
      <c r="AE171" s="68"/>
      <c r="AF171" s="67" t="s">
        <v>69</v>
      </c>
      <c r="AG171" s="73"/>
      <c r="AH171" s="73"/>
      <c r="AI171" s="68"/>
      <c r="AJ171" s="67"/>
      <c r="AK171" s="73" t="s">
        <v>69</v>
      </c>
      <c r="AL171" s="73"/>
      <c r="AM171" s="68"/>
      <c r="AN171" s="73"/>
      <c r="AO171" s="73" t="s">
        <v>69</v>
      </c>
      <c r="AP171" s="73"/>
      <c r="AQ171" s="68"/>
      <c r="AR171" s="67">
        <f t="shared" si="118"/>
        <v>90</v>
      </c>
      <c r="AS171" s="68" t="str">
        <f t="shared" si="119"/>
        <v>S</v>
      </c>
      <c r="AV171" s="49">
        <f t="shared" si="79"/>
        <v>1</v>
      </c>
      <c r="AW171" s="49">
        <f t="shared" si="44"/>
        <v>0</v>
      </c>
      <c r="AX171" s="49">
        <f t="shared" si="45"/>
        <v>0</v>
      </c>
      <c r="AY171" s="49">
        <f t="shared" si="46"/>
        <v>0</v>
      </c>
      <c r="AZ171" s="49">
        <f t="shared" si="47"/>
        <v>1</v>
      </c>
      <c r="BA171" s="49">
        <f t="shared" si="48"/>
        <v>0</v>
      </c>
      <c r="BB171" s="49">
        <f t="shared" si="49"/>
        <v>0</v>
      </c>
      <c r="BC171" s="49">
        <f t="shared" si="50"/>
        <v>0</v>
      </c>
      <c r="BD171" s="49">
        <f t="shared" si="51"/>
        <v>1</v>
      </c>
      <c r="BE171" s="49">
        <f t="shared" si="52"/>
        <v>0</v>
      </c>
      <c r="BF171" s="49">
        <f t="shared" si="53"/>
        <v>0</v>
      </c>
      <c r="BG171" s="49">
        <f t="shared" si="54"/>
        <v>0</v>
      </c>
      <c r="BH171" s="49">
        <f t="shared" si="55"/>
        <v>1</v>
      </c>
      <c r="BI171" s="49">
        <f t="shared" si="56"/>
        <v>0</v>
      </c>
      <c r="BJ171" s="49">
        <f t="shared" si="57"/>
        <v>0</v>
      </c>
      <c r="BK171" s="49">
        <f t="shared" si="58"/>
        <v>0</v>
      </c>
      <c r="BL171" s="49">
        <f t="shared" si="59"/>
        <v>0</v>
      </c>
      <c r="BM171" s="49">
        <f t="shared" si="60"/>
        <v>1</v>
      </c>
      <c r="BN171" s="49">
        <f t="shared" si="61"/>
        <v>0</v>
      </c>
      <c r="BO171" s="49">
        <f t="shared" si="62"/>
        <v>0</v>
      </c>
      <c r="BP171" s="49">
        <f t="shared" si="63"/>
        <v>0</v>
      </c>
      <c r="BQ171" s="49">
        <f t="shared" si="64"/>
        <v>1</v>
      </c>
      <c r="BR171" s="49">
        <f t="shared" si="65"/>
        <v>0</v>
      </c>
      <c r="BS171" s="49">
        <f t="shared" si="66"/>
        <v>0</v>
      </c>
      <c r="BT171" s="49">
        <f t="shared" si="67"/>
        <v>1</v>
      </c>
      <c r="BU171" s="49">
        <f t="shared" si="68"/>
        <v>0</v>
      </c>
      <c r="BV171" s="49">
        <f t="shared" si="69"/>
        <v>0</v>
      </c>
      <c r="BW171" s="49">
        <f t="shared" si="70"/>
        <v>0</v>
      </c>
      <c r="BX171" s="49">
        <f t="shared" si="71"/>
        <v>0</v>
      </c>
      <c r="BY171" s="49">
        <f t="shared" si="72"/>
        <v>1</v>
      </c>
      <c r="BZ171" s="49">
        <f t="shared" si="73"/>
        <v>0</v>
      </c>
      <c r="CA171" s="49">
        <f t="shared" si="74"/>
        <v>0</v>
      </c>
      <c r="CB171" s="49">
        <f t="shared" si="75"/>
        <v>0</v>
      </c>
      <c r="CC171" s="49">
        <f t="shared" si="76"/>
        <v>1</v>
      </c>
      <c r="CD171" s="49">
        <f t="shared" si="77"/>
        <v>0</v>
      </c>
      <c r="CE171" s="49">
        <f t="shared" si="78"/>
        <v>0</v>
      </c>
    </row>
    <row r="172" spans="1:83" ht="35.1" customHeight="1" x14ac:dyDescent="0.3">
      <c r="A172" s="123" t="str">
        <f t="shared" si="116"/>
        <v>2팀</v>
      </c>
      <c r="B172" s="69">
        <f t="shared" si="117"/>
        <v>166</v>
      </c>
      <c r="C172" s="120" t="str">
        <f>IF(VLOOKUP($B172,'1. 현장별 인원현황'!$C:$J,2,0)=0,"",VLOOKUP($B172,'1. 현장별 인원현황'!$C:$J,2,0))</f>
        <v xml:space="preserve"> [2.금호건설] 대웅제약 마곡연구소 신축공사</v>
      </c>
      <c r="D172" s="70" t="str">
        <f>IF(VLOOKUP($B172,'1. 현장별 인원현황'!$C:$J,3,0)=0,"",VLOOKUP($B172,'1. 현장별 인원현황'!$C:$J,3,0))</f>
        <v>이덕영</v>
      </c>
      <c r="E172" s="74" t="str">
        <f ca="1">IF(VLOOKUP($B172,'1. 현장별 인원현황'!$C:$J,4,0)=0,"",VLOOKUP($B172,'1. 현장별 인원현황'!$C:$J,4,0))</f>
        <v>61세</v>
      </c>
      <c r="F172" s="70" t="str">
        <f>IF(VLOOKUP($B172,'1. 현장별 인원현황'!$C:$J,7,0)=0,"",VLOOKUP($B172,'1. 현장별 인원현황'!$C:$J,7,0))</f>
        <v>기능공</v>
      </c>
      <c r="G172" s="72" t="str">
        <f>IF(VLOOKUP($B172,'1. 현장별 인원현황'!$C:$J,8,0)=0,"",VLOOKUP($B172,'1. 현장별 인원현황'!$C:$J,8,0))</f>
        <v>전공</v>
      </c>
      <c r="H172" s="67" t="s">
        <v>69</v>
      </c>
      <c r="I172" s="73"/>
      <c r="J172" s="73"/>
      <c r="K172" s="68"/>
      <c r="L172" s="67" t="s">
        <v>69</v>
      </c>
      <c r="M172" s="73"/>
      <c r="N172" s="73"/>
      <c r="O172" s="68"/>
      <c r="P172" s="67" t="s">
        <v>69</v>
      </c>
      <c r="Q172" s="73"/>
      <c r="R172" s="73"/>
      <c r="S172" s="68"/>
      <c r="T172" s="67" t="s">
        <v>69</v>
      </c>
      <c r="U172" s="73"/>
      <c r="V172" s="73"/>
      <c r="W172" s="68"/>
      <c r="X172" s="67"/>
      <c r="Y172" s="73" t="s">
        <v>69</v>
      </c>
      <c r="Z172" s="73"/>
      <c r="AA172" s="68"/>
      <c r="AB172" s="67"/>
      <c r="AC172" s="73" t="s">
        <v>69</v>
      </c>
      <c r="AD172" s="73"/>
      <c r="AE172" s="68"/>
      <c r="AF172" s="67" t="s">
        <v>69</v>
      </c>
      <c r="AG172" s="73"/>
      <c r="AH172" s="73"/>
      <c r="AI172" s="68"/>
      <c r="AJ172" s="67" t="s">
        <v>69</v>
      </c>
      <c r="AK172" s="73"/>
      <c r="AL172" s="73"/>
      <c r="AM172" s="68"/>
      <c r="AN172" s="73" t="s">
        <v>69</v>
      </c>
      <c r="AO172" s="73"/>
      <c r="AP172" s="73"/>
      <c r="AQ172" s="68"/>
      <c r="AR172" s="67">
        <f t="shared" si="118"/>
        <v>96</v>
      </c>
      <c r="AS172" s="68" t="str">
        <f t="shared" si="119"/>
        <v>S</v>
      </c>
      <c r="AV172" s="49">
        <f t="shared" si="79"/>
        <v>1</v>
      </c>
      <c r="AW172" s="49">
        <f t="shared" si="44"/>
        <v>0</v>
      </c>
      <c r="AX172" s="49">
        <f t="shared" si="45"/>
        <v>0</v>
      </c>
      <c r="AY172" s="49">
        <f t="shared" si="46"/>
        <v>0</v>
      </c>
      <c r="AZ172" s="49">
        <f t="shared" si="47"/>
        <v>1</v>
      </c>
      <c r="BA172" s="49">
        <f t="shared" si="48"/>
        <v>0</v>
      </c>
      <c r="BB172" s="49">
        <f t="shared" si="49"/>
        <v>0</v>
      </c>
      <c r="BC172" s="49">
        <f t="shared" si="50"/>
        <v>0</v>
      </c>
      <c r="BD172" s="49">
        <f t="shared" si="51"/>
        <v>1</v>
      </c>
      <c r="BE172" s="49">
        <f t="shared" si="52"/>
        <v>0</v>
      </c>
      <c r="BF172" s="49">
        <f t="shared" si="53"/>
        <v>0</v>
      </c>
      <c r="BG172" s="49">
        <f t="shared" si="54"/>
        <v>0</v>
      </c>
      <c r="BH172" s="49">
        <f t="shared" si="55"/>
        <v>1</v>
      </c>
      <c r="BI172" s="49">
        <f t="shared" si="56"/>
        <v>0</v>
      </c>
      <c r="BJ172" s="49">
        <f t="shared" si="57"/>
        <v>0</v>
      </c>
      <c r="BK172" s="49">
        <f t="shared" si="58"/>
        <v>0</v>
      </c>
      <c r="BL172" s="49">
        <f t="shared" si="59"/>
        <v>0</v>
      </c>
      <c r="BM172" s="49">
        <f t="shared" si="60"/>
        <v>1</v>
      </c>
      <c r="BN172" s="49">
        <f t="shared" si="61"/>
        <v>0</v>
      </c>
      <c r="BO172" s="49">
        <f t="shared" si="62"/>
        <v>0</v>
      </c>
      <c r="BP172" s="49">
        <f t="shared" si="63"/>
        <v>0</v>
      </c>
      <c r="BQ172" s="49">
        <f t="shared" si="64"/>
        <v>1</v>
      </c>
      <c r="BR172" s="49">
        <f t="shared" si="65"/>
        <v>0</v>
      </c>
      <c r="BS172" s="49">
        <f t="shared" si="66"/>
        <v>0</v>
      </c>
      <c r="BT172" s="49">
        <f t="shared" si="67"/>
        <v>1</v>
      </c>
      <c r="BU172" s="49">
        <f t="shared" si="68"/>
        <v>0</v>
      </c>
      <c r="BV172" s="49">
        <f t="shared" si="69"/>
        <v>0</v>
      </c>
      <c r="BW172" s="49">
        <f t="shared" si="70"/>
        <v>0</v>
      </c>
      <c r="BX172" s="49">
        <f t="shared" si="71"/>
        <v>1</v>
      </c>
      <c r="BY172" s="49">
        <f t="shared" si="72"/>
        <v>0</v>
      </c>
      <c r="BZ172" s="49">
        <f t="shared" si="73"/>
        <v>0</v>
      </c>
      <c r="CA172" s="49">
        <f t="shared" si="74"/>
        <v>0</v>
      </c>
      <c r="CB172" s="49">
        <f t="shared" si="75"/>
        <v>1</v>
      </c>
      <c r="CC172" s="49">
        <f t="shared" si="76"/>
        <v>0</v>
      </c>
      <c r="CD172" s="49">
        <f t="shared" si="77"/>
        <v>0</v>
      </c>
      <c r="CE172" s="49">
        <f t="shared" si="78"/>
        <v>0</v>
      </c>
    </row>
    <row r="173" spans="1:83" ht="35.1" customHeight="1" x14ac:dyDescent="0.3">
      <c r="A173" s="123" t="str">
        <f t="shared" si="116"/>
        <v>2팀</v>
      </c>
      <c r="B173" s="69">
        <f t="shared" si="117"/>
        <v>167</v>
      </c>
      <c r="C173" s="120" t="str">
        <f>IF(VLOOKUP($B173,'1. 현장별 인원현황'!$C:$J,2,0)=0,"",VLOOKUP($B173,'1. 현장별 인원현황'!$C:$J,2,0))</f>
        <v xml:space="preserve"> [2.금호건설] 대웅제약 마곡연구소 신축공사</v>
      </c>
      <c r="D173" s="70" t="str">
        <f>IF(VLOOKUP($B173,'1. 현장별 인원현황'!$C:$J,3,0)=0,"",VLOOKUP($B173,'1. 현장별 인원현황'!$C:$J,3,0))</f>
        <v>김형곤</v>
      </c>
      <c r="E173" s="74" t="str">
        <f ca="1">IF(VLOOKUP($B173,'1. 현장별 인원현황'!$C:$J,4,0)=0,"",VLOOKUP($B173,'1. 현장별 인원현황'!$C:$J,4,0))</f>
        <v>50세</v>
      </c>
      <c r="F173" s="70" t="str">
        <f>IF(VLOOKUP($B173,'1. 현장별 인원현황'!$C:$J,7,0)=0,"",VLOOKUP($B173,'1. 현장별 인원현황'!$C:$J,7,0))</f>
        <v>기능공</v>
      </c>
      <c r="G173" s="72" t="str">
        <f>IF(VLOOKUP($B173,'1. 현장별 인원현황'!$C:$J,8,0)=0,"",VLOOKUP($B173,'1. 현장별 인원현황'!$C:$J,8,0))</f>
        <v>전공</v>
      </c>
      <c r="H173" s="67" t="s">
        <v>69</v>
      </c>
      <c r="I173" s="73"/>
      <c r="J173" s="73"/>
      <c r="K173" s="68"/>
      <c r="L173" s="67" t="s">
        <v>69</v>
      </c>
      <c r="M173" s="73"/>
      <c r="N173" s="73"/>
      <c r="O173" s="68"/>
      <c r="P173" s="67" t="s">
        <v>69</v>
      </c>
      <c r="Q173" s="73"/>
      <c r="R173" s="73"/>
      <c r="S173" s="68"/>
      <c r="T173" s="67" t="s">
        <v>69</v>
      </c>
      <c r="U173" s="73"/>
      <c r="V173" s="73"/>
      <c r="W173" s="68"/>
      <c r="X173" s="67" t="s">
        <v>69</v>
      </c>
      <c r="Y173" s="73"/>
      <c r="Z173" s="73"/>
      <c r="AA173" s="68"/>
      <c r="AB173" s="67" t="s">
        <v>69</v>
      </c>
      <c r="AC173" s="73"/>
      <c r="AD173" s="73"/>
      <c r="AE173" s="68"/>
      <c r="AF173" s="67" t="s">
        <v>69</v>
      </c>
      <c r="AG173" s="73"/>
      <c r="AH173" s="73"/>
      <c r="AI173" s="68"/>
      <c r="AJ173" s="67" t="s">
        <v>69</v>
      </c>
      <c r="AK173" s="73"/>
      <c r="AL173" s="73"/>
      <c r="AM173" s="68"/>
      <c r="AN173" s="73" t="s">
        <v>69</v>
      </c>
      <c r="AO173" s="73"/>
      <c r="AP173" s="73"/>
      <c r="AQ173" s="68"/>
      <c r="AR173" s="67">
        <f t="shared" si="118"/>
        <v>100</v>
      </c>
      <c r="AS173" s="68" t="str">
        <f t="shared" si="119"/>
        <v>S</v>
      </c>
      <c r="AV173" s="49">
        <f t="shared" si="79"/>
        <v>1</v>
      </c>
      <c r="AW173" s="49">
        <f t="shared" si="44"/>
        <v>0</v>
      </c>
      <c r="AX173" s="49">
        <f t="shared" si="45"/>
        <v>0</v>
      </c>
      <c r="AY173" s="49">
        <f t="shared" si="46"/>
        <v>0</v>
      </c>
      <c r="AZ173" s="49">
        <f t="shared" si="47"/>
        <v>1</v>
      </c>
      <c r="BA173" s="49">
        <f t="shared" si="48"/>
        <v>0</v>
      </c>
      <c r="BB173" s="49">
        <f t="shared" si="49"/>
        <v>0</v>
      </c>
      <c r="BC173" s="49">
        <f t="shared" si="50"/>
        <v>0</v>
      </c>
      <c r="BD173" s="49">
        <f t="shared" si="51"/>
        <v>1</v>
      </c>
      <c r="BE173" s="49">
        <f t="shared" si="52"/>
        <v>0</v>
      </c>
      <c r="BF173" s="49">
        <f t="shared" si="53"/>
        <v>0</v>
      </c>
      <c r="BG173" s="49">
        <f t="shared" si="54"/>
        <v>0</v>
      </c>
      <c r="BH173" s="49">
        <f t="shared" si="55"/>
        <v>1</v>
      </c>
      <c r="BI173" s="49">
        <f t="shared" si="56"/>
        <v>0</v>
      </c>
      <c r="BJ173" s="49">
        <f t="shared" si="57"/>
        <v>0</v>
      </c>
      <c r="BK173" s="49">
        <f t="shared" si="58"/>
        <v>0</v>
      </c>
      <c r="BL173" s="49">
        <f t="shared" si="59"/>
        <v>1</v>
      </c>
      <c r="BM173" s="49">
        <f t="shared" si="60"/>
        <v>0</v>
      </c>
      <c r="BN173" s="49">
        <f t="shared" si="61"/>
        <v>0</v>
      </c>
      <c r="BO173" s="49">
        <f t="shared" si="62"/>
        <v>0</v>
      </c>
      <c r="BP173" s="49">
        <f t="shared" si="63"/>
        <v>1</v>
      </c>
      <c r="BQ173" s="49">
        <f t="shared" si="64"/>
        <v>0</v>
      </c>
      <c r="BR173" s="49">
        <f t="shared" si="65"/>
        <v>0</v>
      </c>
      <c r="BS173" s="49">
        <f t="shared" si="66"/>
        <v>0</v>
      </c>
      <c r="BT173" s="49">
        <f t="shared" si="67"/>
        <v>1</v>
      </c>
      <c r="BU173" s="49">
        <f t="shared" si="68"/>
        <v>0</v>
      </c>
      <c r="BV173" s="49">
        <f t="shared" si="69"/>
        <v>0</v>
      </c>
      <c r="BW173" s="49">
        <f t="shared" si="70"/>
        <v>0</v>
      </c>
      <c r="BX173" s="49">
        <f t="shared" si="71"/>
        <v>1</v>
      </c>
      <c r="BY173" s="49">
        <f t="shared" si="72"/>
        <v>0</v>
      </c>
      <c r="BZ173" s="49">
        <f t="shared" si="73"/>
        <v>0</v>
      </c>
      <c r="CA173" s="49">
        <f t="shared" si="74"/>
        <v>0</v>
      </c>
      <c r="CB173" s="49">
        <f t="shared" si="75"/>
        <v>1</v>
      </c>
      <c r="CC173" s="49">
        <f t="shared" si="76"/>
        <v>0</v>
      </c>
      <c r="CD173" s="49">
        <f t="shared" si="77"/>
        <v>0</v>
      </c>
      <c r="CE173" s="49">
        <f t="shared" si="78"/>
        <v>0</v>
      </c>
    </row>
    <row r="174" spans="1:83" ht="35.1" customHeight="1" x14ac:dyDescent="0.3">
      <c r="A174" s="123" t="str">
        <f t="shared" si="116"/>
        <v>2팀</v>
      </c>
      <c r="B174" s="69">
        <f t="shared" si="117"/>
        <v>168</v>
      </c>
      <c r="C174" s="120" t="str">
        <f>IF(VLOOKUP($B174,'1. 현장별 인원현황'!$C:$J,2,0)=0,"",VLOOKUP($B174,'1. 현장별 인원현황'!$C:$J,2,0))</f>
        <v xml:space="preserve"> [2.금호건설] 대웅제약 마곡연구소 신축공사</v>
      </c>
      <c r="D174" s="70" t="str">
        <f>IF(VLOOKUP($B174,'1. 현장별 인원현황'!$C:$J,3,0)=0,"",VLOOKUP($B174,'1. 현장별 인원현황'!$C:$J,3,0))</f>
        <v>이상철</v>
      </c>
      <c r="E174" s="74" t="str">
        <f ca="1">IF(VLOOKUP($B174,'1. 현장별 인원현황'!$C:$J,4,0)=0,"",VLOOKUP($B174,'1. 현장별 인원현황'!$C:$J,4,0))</f>
        <v>61세</v>
      </c>
      <c r="F174" s="70" t="str">
        <f>IF(VLOOKUP($B174,'1. 현장별 인원현황'!$C:$J,7,0)=0,"",VLOOKUP($B174,'1. 현장별 인원현황'!$C:$J,7,0))</f>
        <v>기능공</v>
      </c>
      <c r="G174" s="72" t="str">
        <f>IF(VLOOKUP($B174,'1. 현장별 인원현황'!$C:$J,8,0)=0,"",VLOOKUP($B174,'1. 현장별 인원현황'!$C:$J,8,0))</f>
        <v>전공</v>
      </c>
      <c r="H174" s="67"/>
      <c r="I174" s="73" t="s">
        <v>69</v>
      </c>
      <c r="J174" s="73"/>
      <c r="K174" s="68"/>
      <c r="L174" s="67"/>
      <c r="M174" s="73" t="s">
        <v>69</v>
      </c>
      <c r="N174" s="73"/>
      <c r="O174" s="68"/>
      <c r="P174" s="67"/>
      <c r="Q174" s="73" t="s">
        <v>69</v>
      </c>
      <c r="R174" s="73"/>
      <c r="S174" s="68"/>
      <c r="T174" s="67"/>
      <c r="U174" s="73" t="s">
        <v>69</v>
      </c>
      <c r="V174" s="73"/>
      <c r="W174" s="68"/>
      <c r="X174" s="67" t="s">
        <v>69</v>
      </c>
      <c r="Y174" s="73"/>
      <c r="Z174" s="73"/>
      <c r="AA174" s="68"/>
      <c r="AB174" s="67" t="s">
        <v>69</v>
      </c>
      <c r="AC174" s="73"/>
      <c r="AD174" s="73"/>
      <c r="AE174" s="68"/>
      <c r="AF174" s="67" t="s">
        <v>69</v>
      </c>
      <c r="AG174" s="73"/>
      <c r="AH174" s="73"/>
      <c r="AI174" s="68"/>
      <c r="AJ174" s="67" t="s">
        <v>69</v>
      </c>
      <c r="AK174" s="73"/>
      <c r="AL174" s="73"/>
      <c r="AM174" s="68"/>
      <c r="AN174" s="73" t="s">
        <v>69</v>
      </c>
      <c r="AO174" s="73"/>
      <c r="AP174" s="73"/>
      <c r="AQ174" s="68"/>
      <c r="AR174" s="67">
        <f t="shared" si="118"/>
        <v>89</v>
      </c>
      <c r="AS174" s="68" t="str">
        <f t="shared" si="119"/>
        <v>S</v>
      </c>
      <c r="AV174" s="49">
        <f t="shared" si="79"/>
        <v>0</v>
      </c>
      <c r="AW174" s="49">
        <f t="shared" si="44"/>
        <v>1</v>
      </c>
      <c r="AX174" s="49">
        <f t="shared" si="45"/>
        <v>0</v>
      </c>
      <c r="AY174" s="49">
        <f t="shared" si="46"/>
        <v>0</v>
      </c>
      <c r="AZ174" s="49">
        <f t="shared" si="47"/>
        <v>0</v>
      </c>
      <c r="BA174" s="49">
        <f t="shared" si="48"/>
        <v>1</v>
      </c>
      <c r="BB174" s="49">
        <f t="shared" si="49"/>
        <v>0</v>
      </c>
      <c r="BC174" s="49">
        <f t="shared" si="50"/>
        <v>0</v>
      </c>
      <c r="BD174" s="49">
        <f t="shared" si="51"/>
        <v>0</v>
      </c>
      <c r="BE174" s="49">
        <f t="shared" si="52"/>
        <v>1</v>
      </c>
      <c r="BF174" s="49">
        <f t="shared" si="53"/>
        <v>0</v>
      </c>
      <c r="BG174" s="49">
        <f t="shared" si="54"/>
        <v>0</v>
      </c>
      <c r="BH174" s="49">
        <f t="shared" si="55"/>
        <v>0</v>
      </c>
      <c r="BI174" s="49">
        <f t="shared" si="56"/>
        <v>1</v>
      </c>
      <c r="BJ174" s="49">
        <f t="shared" si="57"/>
        <v>0</v>
      </c>
      <c r="BK174" s="49">
        <f t="shared" si="58"/>
        <v>0</v>
      </c>
      <c r="BL174" s="49">
        <f t="shared" si="59"/>
        <v>1</v>
      </c>
      <c r="BM174" s="49">
        <f t="shared" si="60"/>
        <v>0</v>
      </c>
      <c r="BN174" s="49">
        <f t="shared" si="61"/>
        <v>0</v>
      </c>
      <c r="BO174" s="49">
        <f t="shared" si="62"/>
        <v>0</v>
      </c>
      <c r="BP174" s="49">
        <f t="shared" si="63"/>
        <v>1</v>
      </c>
      <c r="BQ174" s="49">
        <f t="shared" si="64"/>
        <v>0</v>
      </c>
      <c r="BR174" s="49">
        <f t="shared" si="65"/>
        <v>0</v>
      </c>
      <c r="BS174" s="49">
        <f t="shared" si="66"/>
        <v>0</v>
      </c>
      <c r="BT174" s="49">
        <f t="shared" si="67"/>
        <v>1</v>
      </c>
      <c r="BU174" s="49">
        <f t="shared" si="68"/>
        <v>0</v>
      </c>
      <c r="BV174" s="49">
        <f t="shared" si="69"/>
        <v>0</v>
      </c>
      <c r="BW174" s="49">
        <f t="shared" si="70"/>
        <v>0</v>
      </c>
      <c r="BX174" s="49">
        <f t="shared" si="71"/>
        <v>1</v>
      </c>
      <c r="BY174" s="49">
        <f t="shared" si="72"/>
        <v>0</v>
      </c>
      <c r="BZ174" s="49">
        <f t="shared" si="73"/>
        <v>0</v>
      </c>
      <c r="CA174" s="49">
        <f t="shared" si="74"/>
        <v>0</v>
      </c>
      <c r="CB174" s="49">
        <f t="shared" si="75"/>
        <v>1</v>
      </c>
      <c r="CC174" s="49">
        <f t="shared" si="76"/>
        <v>0</v>
      </c>
      <c r="CD174" s="49">
        <f t="shared" si="77"/>
        <v>0</v>
      </c>
      <c r="CE174" s="49">
        <f t="shared" si="78"/>
        <v>0</v>
      </c>
    </row>
    <row r="175" spans="1:83" ht="35.1" customHeight="1" x14ac:dyDescent="0.3">
      <c r="A175" s="123" t="str">
        <f t="shared" si="116"/>
        <v>2팀</v>
      </c>
      <c r="B175" s="69">
        <f t="shared" si="117"/>
        <v>169</v>
      </c>
      <c r="C175" s="120" t="str">
        <f>IF(VLOOKUP($B175,'1. 현장별 인원현황'!$C:$J,2,0)=0,"",VLOOKUP($B175,'1. 현장별 인원현황'!$C:$J,2,0))</f>
        <v xml:space="preserve"> [2.금호건설] 대웅제약 마곡연구소 신축공사</v>
      </c>
      <c r="D175" s="70" t="str">
        <f>IF(VLOOKUP($B175,'1. 현장별 인원현황'!$C:$J,3,0)=0,"",VLOOKUP($B175,'1. 현장별 인원현황'!$C:$J,3,0))</f>
        <v>김동진</v>
      </c>
      <c r="E175" s="74" t="str">
        <f ca="1">IF(VLOOKUP($B175,'1. 현장별 인원현황'!$C:$J,4,0)=0,"",VLOOKUP($B175,'1. 현장별 인원현황'!$C:$J,4,0))</f>
        <v>61세</v>
      </c>
      <c r="F175" s="70" t="str">
        <f>IF(VLOOKUP($B175,'1. 현장별 인원현황'!$C:$J,7,0)=0,"",VLOOKUP($B175,'1. 현장별 인원현황'!$C:$J,7,0))</f>
        <v>기능공</v>
      </c>
      <c r="G175" s="72" t="str">
        <f>IF(VLOOKUP($B175,'1. 현장별 인원현황'!$C:$J,8,0)=0,"",VLOOKUP($B175,'1. 현장별 인원현황'!$C:$J,8,0))</f>
        <v>전공</v>
      </c>
      <c r="H175" s="67"/>
      <c r="I175" s="73" t="s">
        <v>69</v>
      </c>
      <c r="J175" s="73"/>
      <c r="K175" s="68"/>
      <c r="L175" s="67" t="s">
        <v>69</v>
      </c>
      <c r="M175" s="73"/>
      <c r="N175" s="73"/>
      <c r="O175" s="68"/>
      <c r="P175" s="67" t="s">
        <v>69</v>
      </c>
      <c r="Q175" s="73"/>
      <c r="R175" s="73"/>
      <c r="S175" s="68"/>
      <c r="T175" s="67" t="s">
        <v>69</v>
      </c>
      <c r="U175" s="73"/>
      <c r="V175" s="73"/>
      <c r="W175" s="68"/>
      <c r="X175" s="67" t="s">
        <v>69</v>
      </c>
      <c r="Y175" s="73"/>
      <c r="Z175" s="73"/>
      <c r="AA175" s="68"/>
      <c r="AB175" s="67" t="s">
        <v>69</v>
      </c>
      <c r="AC175" s="73"/>
      <c r="AD175" s="73"/>
      <c r="AE175" s="68"/>
      <c r="AF175" s="67" t="s">
        <v>69</v>
      </c>
      <c r="AG175" s="73"/>
      <c r="AH175" s="73"/>
      <c r="AI175" s="68"/>
      <c r="AJ175" s="67" t="s">
        <v>69</v>
      </c>
      <c r="AK175" s="73"/>
      <c r="AL175" s="73"/>
      <c r="AM175" s="68"/>
      <c r="AN175" s="73" t="s">
        <v>69</v>
      </c>
      <c r="AO175" s="73"/>
      <c r="AP175" s="73"/>
      <c r="AQ175" s="68"/>
      <c r="AR175" s="67">
        <f t="shared" si="118"/>
        <v>97</v>
      </c>
      <c r="AS175" s="68" t="str">
        <f t="shared" si="119"/>
        <v>S</v>
      </c>
      <c r="AV175" s="49">
        <f t="shared" si="79"/>
        <v>0</v>
      </c>
      <c r="AW175" s="49">
        <f t="shared" si="44"/>
        <v>1</v>
      </c>
      <c r="AX175" s="49">
        <f t="shared" si="45"/>
        <v>0</v>
      </c>
      <c r="AY175" s="49">
        <f t="shared" si="46"/>
        <v>0</v>
      </c>
      <c r="AZ175" s="49">
        <f t="shared" si="47"/>
        <v>1</v>
      </c>
      <c r="BA175" s="49">
        <f t="shared" si="48"/>
        <v>0</v>
      </c>
      <c r="BB175" s="49">
        <f t="shared" si="49"/>
        <v>0</v>
      </c>
      <c r="BC175" s="49">
        <f t="shared" si="50"/>
        <v>0</v>
      </c>
      <c r="BD175" s="49">
        <f t="shared" si="51"/>
        <v>1</v>
      </c>
      <c r="BE175" s="49">
        <f t="shared" si="52"/>
        <v>0</v>
      </c>
      <c r="BF175" s="49">
        <f t="shared" si="53"/>
        <v>0</v>
      </c>
      <c r="BG175" s="49">
        <f t="shared" si="54"/>
        <v>0</v>
      </c>
      <c r="BH175" s="49">
        <f t="shared" si="55"/>
        <v>1</v>
      </c>
      <c r="BI175" s="49">
        <f t="shared" si="56"/>
        <v>0</v>
      </c>
      <c r="BJ175" s="49">
        <f t="shared" si="57"/>
        <v>0</v>
      </c>
      <c r="BK175" s="49">
        <f t="shared" si="58"/>
        <v>0</v>
      </c>
      <c r="BL175" s="49">
        <f t="shared" si="59"/>
        <v>1</v>
      </c>
      <c r="BM175" s="49">
        <f t="shared" si="60"/>
        <v>0</v>
      </c>
      <c r="BN175" s="49">
        <f t="shared" si="61"/>
        <v>0</v>
      </c>
      <c r="BO175" s="49">
        <f t="shared" si="62"/>
        <v>0</v>
      </c>
      <c r="BP175" s="49">
        <f t="shared" si="63"/>
        <v>1</v>
      </c>
      <c r="BQ175" s="49">
        <f t="shared" si="64"/>
        <v>0</v>
      </c>
      <c r="BR175" s="49">
        <f t="shared" si="65"/>
        <v>0</v>
      </c>
      <c r="BS175" s="49">
        <f t="shared" si="66"/>
        <v>0</v>
      </c>
      <c r="BT175" s="49">
        <f t="shared" si="67"/>
        <v>1</v>
      </c>
      <c r="BU175" s="49">
        <f t="shared" si="68"/>
        <v>0</v>
      </c>
      <c r="BV175" s="49">
        <f t="shared" si="69"/>
        <v>0</v>
      </c>
      <c r="BW175" s="49">
        <f t="shared" si="70"/>
        <v>0</v>
      </c>
      <c r="BX175" s="49">
        <f t="shared" si="71"/>
        <v>1</v>
      </c>
      <c r="BY175" s="49">
        <f t="shared" si="72"/>
        <v>0</v>
      </c>
      <c r="BZ175" s="49">
        <f t="shared" si="73"/>
        <v>0</v>
      </c>
      <c r="CA175" s="49">
        <f t="shared" si="74"/>
        <v>0</v>
      </c>
      <c r="CB175" s="49">
        <f t="shared" si="75"/>
        <v>1</v>
      </c>
      <c r="CC175" s="49">
        <f t="shared" si="76"/>
        <v>0</v>
      </c>
      <c r="CD175" s="49">
        <f t="shared" si="77"/>
        <v>0</v>
      </c>
      <c r="CE175" s="49">
        <f t="shared" si="78"/>
        <v>0</v>
      </c>
    </row>
    <row r="176" spans="1:83" ht="35.1" customHeight="1" x14ac:dyDescent="0.3">
      <c r="A176" s="123" t="str">
        <f t="shared" si="116"/>
        <v>2팀</v>
      </c>
      <c r="B176" s="69">
        <f t="shared" si="117"/>
        <v>170</v>
      </c>
      <c r="C176" s="120" t="str">
        <f>IF(VLOOKUP($B176,'1. 현장별 인원현황'!$C:$J,2,0)=0,"",VLOOKUP($B176,'1. 현장별 인원현황'!$C:$J,2,0))</f>
        <v xml:space="preserve"> [2.금호건설] 대웅제약 마곡연구소 신축공사</v>
      </c>
      <c r="D176" s="70" t="str">
        <f>IF(VLOOKUP($B176,'1. 현장별 인원현황'!$C:$J,3,0)=0,"",VLOOKUP($B176,'1. 현장별 인원현황'!$C:$J,3,0))</f>
        <v>이준영</v>
      </c>
      <c r="E176" s="74" t="str">
        <f ca="1">IF(VLOOKUP($B176,'1. 현장별 인원현황'!$C:$J,4,0)=0,"",VLOOKUP($B176,'1. 현장별 인원현황'!$C:$J,4,0))</f>
        <v>53세</v>
      </c>
      <c r="F176" s="70" t="str">
        <f>IF(VLOOKUP($B176,'1. 현장별 인원현황'!$C:$J,7,0)=0,"",VLOOKUP($B176,'1. 현장별 인원현황'!$C:$J,7,0))</f>
        <v>기능공</v>
      </c>
      <c r="G176" s="72" t="str">
        <f>IF(VLOOKUP($B176,'1. 현장별 인원현황'!$C:$J,8,0)=0,"",VLOOKUP($B176,'1. 현장별 인원현황'!$C:$J,8,0))</f>
        <v>전공</v>
      </c>
      <c r="H176" s="67" t="s">
        <v>69</v>
      </c>
      <c r="I176" s="73"/>
      <c r="J176" s="73"/>
      <c r="K176" s="68"/>
      <c r="L176" s="67" t="s">
        <v>69</v>
      </c>
      <c r="M176" s="73"/>
      <c r="N176" s="73"/>
      <c r="O176" s="68"/>
      <c r="P176" s="67" t="s">
        <v>69</v>
      </c>
      <c r="Q176" s="73"/>
      <c r="R176" s="73"/>
      <c r="S176" s="68"/>
      <c r="T176" s="67" t="s">
        <v>69</v>
      </c>
      <c r="U176" s="73"/>
      <c r="V176" s="73"/>
      <c r="W176" s="68"/>
      <c r="X176" s="67" t="s">
        <v>69</v>
      </c>
      <c r="Y176" s="73"/>
      <c r="Z176" s="73"/>
      <c r="AA176" s="68"/>
      <c r="AB176" s="67" t="s">
        <v>69</v>
      </c>
      <c r="AC176" s="73"/>
      <c r="AD176" s="73"/>
      <c r="AE176" s="68"/>
      <c r="AF176" s="67" t="s">
        <v>69</v>
      </c>
      <c r="AG176" s="73"/>
      <c r="AH176" s="73"/>
      <c r="AI176" s="68"/>
      <c r="AJ176" s="67" t="s">
        <v>69</v>
      </c>
      <c r="AK176" s="73"/>
      <c r="AL176" s="73"/>
      <c r="AM176" s="68"/>
      <c r="AN176" s="73" t="s">
        <v>69</v>
      </c>
      <c r="AO176" s="73"/>
      <c r="AP176" s="73"/>
      <c r="AQ176" s="68"/>
      <c r="AR176" s="67">
        <f t="shared" si="118"/>
        <v>100</v>
      </c>
      <c r="AS176" s="68" t="str">
        <f t="shared" si="119"/>
        <v>S</v>
      </c>
      <c r="AV176" s="49">
        <f t="shared" si="79"/>
        <v>1</v>
      </c>
      <c r="AW176" s="49">
        <f t="shared" si="44"/>
        <v>0</v>
      </c>
      <c r="AX176" s="49">
        <f t="shared" si="45"/>
        <v>0</v>
      </c>
      <c r="AY176" s="49">
        <f t="shared" si="46"/>
        <v>0</v>
      </c>
      <c r="AZ176" s="49">
        <f t="shared" si="47"/>
        <v>1</v>
      </c>
      <c r="BA176" s="49">
        <f t="shared" si="48"/>
        <v>0</v>
      </c>
      <c r="BB176" s="49">
        <f t="shared" si="49"/>
        <v>0</v>
      </c>
      <c r="BC176" s="49">
        <f t="shared" si="50"/>
        <v>0</v>
      </c>
      <c r="BD176" s="49">
        <f t="shared" si="51"/>
        <v>1</v>
      </c>
      <c r="BE176" s="49">
        <f t="shared" si="52"/>
        <v>0</v>
      </c>
      <c r="BF176" s="49">
        <f t="shared" si="53"/>
        <v>0</v>
      </c>
      <c r="BG176" s="49">
        <f t="shared" si="54"/>
        <v>0</v>
      </c>
      <c r="BH176" s="49">
        <f t="shared" si="55"/>
        <v>1</v>
      </c>
      <c r="BI176" s="49">
        <f t="shared" si="56"/>
        <v>0</v>
      </c>
      <c r="BJ176" s="49">
        <f t="shared" si="57"/>
        <v>0</v>
      </c>
      <c r="BK176" s="49">
        <f t="shared" si="58"/>
        <v>0</v>
      </c>
      <c r="BL176" s="49">
        <f t="shared" si="59"/>
        <v>1</v>
      </c>
      <c r="BM176" s="49">
        <f t="shared" si="60"/>
        <v>0</v>
      </c>
      <c r="BN176" s="49">
        <f t="shared" si="61"/>
        <v>0</v>
      </c>
      <c r="BO176" s="49">
        <f t="shared" si="62"/>
        <v>0</v>
      </c>
      <c r="BP176" s="49">
        <f t="shared" si="63"/>
        <v>1</v>
      </c>
      <c r="BQ176" s="49">
        <f t="shared" si="64"/>
        <v>0</v>
      </c>
      <c r="BR176" s="49">
        <f t="shared" si="65"/>
        <v>0</v>
      </c>
      <c r="BS176" s="49">
        <f t="shared" si="66"/>
        <v>0</v>
      </c>
      <c r="BT176" s="49">
        <f t="shared" si="67"/>
        <v>1</v>
      </c>
      <c r="BU176" s="49">
        <f t="shared" si="68"/>
        <v>0</v>
      </c>
      <c r="BV176" s="49">
        <f t="shared" si="69"/>
        <v>0</v>
      </c>
      <c r="BW176" s="49">
        <f t="shared" si="70"/>
        <v>0</v>
      </c>
      <c r="BX176" s="49">
        <f t="shared" si="71"/>
        <v>1</v>
      </c>
      <c r="BY176" s="49">
        <f t="shared" si="72"/>
        <v>0</v>
      </c>
      <c r="BZ176" s="49">
        <f t="shared" si="73"/>
        <v>0</v>
      </c>
      <c r="CA176" s="49">
        <f t="shared" si="74"/>
        <v>0</v>
      </c>
      <c r="CB176" s="49">
        <f t="shared" si="75"/>
        <v>1</v>
      </c>
      <c r="CC176" s="49">
        <f t="shared" si="76"/>
        <v>0</v>
      </c>
      <c r="CD176" s="49">
        <f t="shared" si="77"/>
        <v>0</v>
      </c>
      <c r="CE176" s="49">
        <f t="shared" si="78"/>
        <v>0</v>
      </c>
    </row>
    <row r="177" spans="1:83" ht="35.1" customHeight="1" x14ac:dyDescent="0.3">
      <c r="A177" s="123" t="str">
        <f t="shared" si="116"/>
        <v>2팀</v>
      </c>
      <c r="B177" s="69">
        <f t="shared" si="117"/>
        <v>171</v>
      </c>
      <c r="C177" s="120" t="str">
        <f>IF(VLOOKUP($B177,'1. 현장별 인원현황'!$C:$J,2,0)=0,"",VLOOKUP($B177,'1. 현장별 인원현황'!$C:$J,2,0))</f>
        <v xml:space="preserve"> [2.금호건설] 대웅제약 마곡연구소 신축공사</v>
      </c>
      <c r="D177" s="70" t="str">
        <f>IF(VLOOKUP($B177,'1. 현장별 인원현황'!$C:$J,3,0)=0,"",VLOOKUP($B177,'1. 현장별 인원현황'!$C:$J,3,0))</f>
        <v>김재희</v>
      </c>
      <c r="E177" s="74" t="str">
        <f ca="1">IF(VLOOKUP($B177,'1. 현장별 인원현황'!$C:$J,4,0)=0,"",VLOOKUP($B177,'1. 현장별 인원현황'!$C:$J,4,0))</f>
        <v>52세</v>
      </c>
      <c r="F177" s="70" t="str">
        <f>IF(VLOOKUP($B177,'1. 현장별 인원현황'!$C:$J,7,0)=0,"",VLOOKUP($B177,'1. 현장별 인원현황'!$C:$J,7,0))</f>
        <v>기능공</v>
      </c>
      <c r="G177" s="72" t="str">
        <f>IF(VLOOKUP($B177,'1. 현장별 인원현황'!$C:$J,8,0)=0,"",VLOOKUP($B177,'1. 현장별 인원현황'!$C:$J,8,0))</f>
        <v>전공</v>
      </c>
      <c r="H177" s="67"/>
      <c r="I177" s="73" t="s">
        <v>69</v>
      </c>
      <c r="J177" s="73"/>
      <c r="K177" s="68"/>
      <c r="L177" s="67" t="s">
        <v>69</v>
      </c>
      <c r="M177" s="73"/>
      <c r="N177" s="73"/>
      <c r="O177" s="68"/>
      <c r="P177" s="67" t="s">
        <v>69</v>
      </c>
      <c r="Q177" s="73"/>
      <c r="R177" s="73"/>
      <c r="S177" s="68"/>
      <c r="T177" s="67" t="s">
        <v>69</v>
      </c>
      <c r="U177" s="73"/>
      <c r="V177" s="73"/>
      <c r="W177" s="68"/>
      <c r="X177" s="67" t="s">
        <v>69</v>
      </c>
      <c r="Y177" s="73"/>
      <c r="Z177" s="73"/>
      <c r="AA177" s="68"/>
      <c r="AB177" s="67" t="s">
        <v>69</v>
      </c>
      <c r="AC177" s="73"/>
      <c r="AD177" s="73"/>
      <c r="AE177" s="68"/>
      <c r="AF177" s="67" t="s">
        <v>69</v>
      </c>
      <c r="AG177" s="73"/>
      <c r="AH177" s="73"/>
      <c r="AI177" s="68"/>
      <c r="AJ177" s="67" t="s">
        <v>69</v>
      </c>
      <c r="AK177" s="73"/>
      <c r="AL177" s="73"/>
      <c r="AM177" s="68"/>
      <c r="AN177" s="73" t="s">
        <v>69</v>
      </c>
      <c r="AO177" s="73"/>
      <c r="AP177" s="73"/>
      <c r="AQ177" s="68"/>
      <c r="AR177" s="67">
        <f t="shared" si="118"/>
        <v>97</v>
      </c>
      <c r="AS177" s="68" t="str">
        <f t="shared" si="119"/>
        <v>S</v>
      </c>
      <c r="AV177" s="49">
        <f t="shared" si="79"/>
        <v>0</v>
      </c>
      <c r="AW177" s="49">
        <f t="shared" si="44"/>
        <v>1</v>
      </c>
      <c r="AX177" s="49">
        <f t="shared" si="45"/>
        <v>0</v>
      </c>
      <c r="AY177" s="49">
        <f t="shared" si="46"/>
        <v>0</v>
      </c>
      <c r="AZ177" s="49">
        <f t="shared" si="47"/>
        <v>1</v>
      </c>
      <c r="BA177" s="49">
        <f t="shared" si="48"/>
        <v>0</v>
      </c>
      <c r="BB177" s="49">
        <f t="shared" si="49"/>
        <v>0</v>
      </c>
      <c r="BC177" s="49">
        <f t="shared" si="50"/>
        <v>0</v>
      </c>
      <c r="BD177" s="49">
        <f t="shared" si="51"/>
        <v>1</v>
      </c>
      <c r="BE177" s="49">
        <f t="shared" si="52"/>
        <v>0</v>
      </c>
      <c r="BF177" s="49">
        <f t="shared" si="53"/>
        <v>0</v>
      </c>
      <c r="BG177" s="49">
        <f t="shared" si="54"/>
        <v>0</v>
      </c>
      <c r="BH177" s="49">
        <f t="shared" si="55"/>
        <v>1</v>
      </c>
      <c r="BI177" s="49">
        <f t="shared" si="56"/>
        <v>0</v>
      </c>
      <c r="BJ177" s="49">
        <f t="shared" si="57"/>
        <v>0</v>
      </c>
      <c r="BK177" s="49">
        <f t="shared" si="58"/>
        <v>0</v>
      </c>
      <c r="BL177" s="49">
        <f t="shared" si="59"/>
        <v>1</v>
      </c>
      <c r="BM177" s="49">
        <f t="shared" si="60"/>
        <v>0</v>
      </c>
      <c r="BN177" s="49">
        <f t="shared" si="61"/>
        <v>0</v>
      </c>
      <c r="BO177" s="49">
        <f t="shared" si="62"/>
        <v>0</v>
      </c>
      <c r="BP177" s="49">
        <f t="shared" si="63"/>
        <v>1</v>
      </c>
      <c r="BQ177" s="49">
        <f t="shared" si="64"/>
        <v>0</v>
      </c>
      <c r="BR177" s="49">
        <f t="shared" si="65"/>
        <v>0</v>
      </c>
      <c r="BS177" s="49">
        <f t="shared" si="66"/>
        <v>0</v>
      </c>
      <c r="BT177" s="49">
        <f t="shared" si="67"/>
        <v>1</v>
      </c>
      <c r="BU177" s="49">
        <f t="shared" si="68"/>
        <v>0</v>
      </c>
      <c r="BV177" s="49">
        <f t="shared" si="69"/>
        <v>0</v>
      </c>
      <c r="BW177" s="49">
        <f t="shared" si="70"/>
        <v>0</v>
      </c>
      <c r="BX177" s="49">
        <f t="shared" si="71"/>
        <v>1</v>
      </c>
      <c r="BY177" s="49">
        <f t="shared" si="72"/>
        <v>0</v>
      </c>
      <c r="BZ177" s="49">
        <f t="shared" si="73"/>
        <v>0</v>
      </c>
      <c r="CA177" s="49">
        <f t="shared" si="74"/>
        <v>0</v>
      </c>
      <c r="CB177" s="49">
        <f t="shared" si="75"/>
        <v>1</v>
      </c>
      <c r="CC177" s="49">
        <f t="shared" si="76"/>
        <v>0</v>
      </c>
      <c r="CD177" s="49">
        <f t="shared" si="77"/>
        <v>0</v>
      </c>
      <c r="CE177" s="49">
        <f t="shared" si="78"/>
        <v>0</v>
      </c>
    </row>
    <row r="178" spans="1:83" ht="35.1" customHeight="1" x14ac:dyDescent="0.3">
      <c r="A178" s="123" t="str">
        <f t="shared" si="116"/>
        <v>2팀</v>
      </c>
      <c r="B178" s="69">
        <f t="shared" si="117"/>
        <v>172</v>
      </c>
      <c r="C178" s="120" t="str">
        <f>IF(VLOOKUP($B178,'1. 현장별 인원현황'!$C:$J,2,0)=0,"",VLOOKUP($B178,'1. 현장별 인원현황'!$C:$J,2,0))</f>
        <v xml:space="preserve"> [2.금호건설] 대웅제약 마곡연구소 신축공사</v>
      </c>
      <c r="D178" s="70" t="str">
        <f>IF(VLOOKUP($B178,'1. 현장별 인원현황'!$C:$J,3,0)=0,"",VLOOKUP($B178,'1. 현장별 인원현황'!$C:$J,3,0))</f>
        <v>김기후</v>
      </c>
      <c r="E178" s="74" t="str">
        <f ca="1">IF(VLOOKUP($B178,'1. 현장별 인원현황'!$C:$J,4,0)=0,"",VLOOKUP($B178,'1. 현장별 인원현황'!$C:$J,4,0))</f>
        <v>48세</v>
      </c>
      <c r="F178" s="70" t="str">
        <f>IF(VLOOKUP($B178,'1. 현장별 인원현황'!$C:$J,7,0)=0,"",VLOOKUP($B178,'1. 현장별 인원현황'!$C:$J,7,0))</f>
        <v>기능공</v>
      </c>
      <c r="G178" s="72" t="str">
        <f>IF(VLOOKUP($B178,'1. 현장별 인원현황'!$C:$J,8,0)=0,"",VLOOKUP($B178,'1. 현장별 인원현황'!$C:$J,8,0))</f>
        <v>전공</v>
      </c>
      <c r="H178" s="67" t="s">
        <v>69</v>
      </c>
      <c r="I178" s="73"/>
      <c r="J178" s="73"/>
      <c r="K178" s="68"/>
      <c r="L178" s="67" t="s">
        <v>69</v>
      </c>
      <c r="M178" s="73"/>
      <c r="N178" s="73"/>
      <c r="O178" s="68"/>
      <c r="P178" s="67" t="s">
        <v>69</v>
      </c>
      <c r="Q178" s="73"/>
      <c r="R178" s="73"/>
      <c r="S178" s="68"/>
      <c r="T178" s="67" t="s">
        <v>69</v>
      </c>
      <c r="U178" s="73"/>
      <c r="V178" s="73"/>
      <c r="W178" s="68"/>
      <c r="X178" s="67" t="s">
        <v>69</v>
      </c>
      <c r="Y178" s="73"/>
      <c r="Z178" s="73"/>
      <c r="AA178" s="68"/>
      <c r="AB178" s="67" t="s">
        <v>69</v>
      </c>
      <c r="AC178" s="73"/>
      <c r="AD178" s="73"/>
      <c r="AE178" s="68"/>
      <c r="AF178" s="67" t="s">
        <v>69</v>
      </c>
      <c r="AG178" s="73"/>
      <c r="AH178" s="73"/>
      <c r="AI178" s="68"/>
      <c r="AJ178" s="67" t="s">
        <v>69</v>
      </c>
      <c r="AK178" s="73"/>
      <c r="AL178" s="73"/>
      <c r="AM178" s="68"/>
      <c r="AN178" s="73" t="s">
        <v>69</v>
      </c>
      <c r="AO178" s="73"/>
      <c r="AP178" s="73"/>
      <c r="AQ178" s="68"/>
      <c r="AR178" s="67">
        <f t="shared" si="118"/>
        <v>100</v>
      </c>
      <c r="AS178" s="68" t="str">
        <f t="shared" si="119"/>
        <v>S</v>
      </c>
      <c r="AV178" s="49">
        <f t="shared" si="79"/>
        <v>1</v>
      </c>
      <c r="AW178" s="49">
        <f t="shared" si="44"/>
        <v>0</v>
      </c>
      <c r="AX178" s="49">
        <f t="shared" si="45"/>
        <v>0</v>
      </c>
      <c r="AY178" s="49">
        <f t="shared" si="46"/>
        <v>0</v>
      </c>
      <c r="AZ178" s="49">
        <f t="shared" si="47"/>
        <v>1</v>
      </c>
      <c r="BA178" s="49">
        <f t="shared" si="48"/>
        <v>0</v>
      </c>
      <c r="BB178" s="49">
        <f t="shared" si="49"/>
        <v>0</v>
      </c>
      <c r="BC178" s="49">
        <f t="shared" si="50"/>
        <v>0</v>
      </c>
      <c r="BD178" s="49">
        <f t="shared" si="51"/>
        <v>1</v>
      </c>
      <c r="BE178" s="49">
        <f t="shared" si="52"/>
        <v>0</v>
      </c>
      <c r="BF178" s="49">
        <f t="shared" si="53"/>
        <v>0</v>
      </c>
      <c r="BG178" s="49">
        <f t="shared" si="54"/>
        <v>0</v>
      </c>
      <c r="BH178" s="49">
        <f t="shared" si="55"/>
        <v>1</v>
      </c>
      <c r="BI178" s="49">
        <f t="shared" si="56"/>
        <v>0</v>
      </c>
      <c r="BJ178" s="49">
        <f t="shared" si="57"/>
        <v>0</v>
      </c>
      <c r="BK178" s="49">
        <f t="shared" si="58"/>
        <v>0</v>
      </c>
      <c r="BL178" s="49">
        <f t="shared" si="59"/>
        <v>1</v>
      </c>
      <c r="BM178" s="49">
        <f t="shared" si="60"/>
        <v>0</v>
      </c>
      <c r="BN178" s="49">
        <f t="shared" si="61"/>
        <v>0</v>
      </c>
      <c r="BO178" s="49">
        <f t="shared" si="62"/>
        <v>0</v>
      </c>
      <c r="BP178" s="49">
        <f t="shared" si="63"/>
        <v>1</v>
      </c>
      <c r="BQ178" s="49">
        <f t="shared" si="64"/>
        <v>0</v>
      </c>
      <c r="BR178" s="49">
        <f t="shared" si="65"/>
        <v>0</v>
      </c>
      <c r="BS178" s="49">
        <f t="shared" si="66"/>
        <v>0</v>
      </c>
      <c r="BT178" s="49">
        <f t="shared" si="67"/>
        <v>1</v>
      </c>
      <c r="BU178" s="49">
        <f t="shared" si="68"/>
        <v>0</v>
      </c>
      <c r="BV178" s="49">
        <f t="shared" si="69"/>
        <v>0</v>
      </c>
      <c r="BW178" s="49">
        <f t="shared" si="70"/>
        <v>0</v>
      </c>
      <c r="BX178" s="49">
        <f t="shared" si="71"/>
        <v>1</v>
      </c>
      <c r="BY178" s="49">
        <f t="shared" si="72"/>
        <v>0</v>
      </c>
      <c r="BZ178" s="49">
        <f t="shared" si="73"/>
        <v>0</v>
      </c>
      <c r="CA178" s="49">
        <f t="shared" si="74"/>
        <v>0</v>
      </c>
      <c r="CB178" s="49">
        <f t="shared" si="75"/>
        <v>1</v>
      </c>
      <c r="CC178" s="49">
        <f t="shared" si="76"/>
        <v>0</v>
      </c>
      <c r="CD178" s="49">
        <f t="shared" si="77"/>
        <v>0</v>
      </c>
      <c r="CE178" s="49">
        <f t="shared" si="78"/>
        <v>0</v>
      </c>
    </row>
    <row r="179" spans="1:83" ht="35.1" customHeight="1" x14ac:dyDescent="0.3">
      <c r="A179" s="123" t="str">
        <f t="shared" si="116"/>
        <v>2팀</v>
      </c>
      <c r="B179" s="69">
        <f t="shared" si="117"/>
        <v>173</v>
      </c>
      <c r="C179" s="120" t="str">
        <f>IF(VLOOKUP($B179,'1. 현장별 인원현황'!$C:$J,2,0)=0,"",VLOOKUP($B179,'1. 현장별 인원현황'!$C:$J,2,0))</f>
        <v xml:space="preserve"> [2.금호건설] 대웅제약 마곡연구소 신축공사</v>
      </c>
      <c r="D179" s="70" t="str">
        <f>IF(VLOOKUP($B179,'1. 현장별 인원현황'!$C:$J,3,0)=0,"",VLOOKUP($B179,'1. 현장별 인원현황'!$C:$J,3,0))</f>
        <v>김영춘</v>
      </c>
      <c r="E179" s="74" t="str">
        <f ca="1">IF(VLOOKUP($B179,'1. 현장별 인원현황'!$C:$J,4,0)=0,"",VLOOKUP($B179,'1. 현장별 인원현황'!$C:$J,4,0))</f>
        <v>64세</v>
      </c>
      <c r="F179" s="70" t="str">
        <f>IF(VLOOKUP($B179,'1. 현장별 인원현황'!$C:$J,7,0)=0,"",VLOOKUP($B179,'1. 현장별 인원현황'!$C:$J,7,0))</f>
        <v>기능공</v>
      </c>
      <c r="G179" s="72" t="str">
        <f>IF(VLOOKUP($B179,'1. 현장별 인원현황'!$C:$J,8,0)=0,"",VLOOKUP($B179,'1. 현장별 인원현황'!$C:$J,8,0))</f>
        <v>전공</v>
      </c>
      <c r="H179" s="67"/>
      <c r="I179" s="73" t="s">
        <v>69</v>
      </c>
      <c r="J179" s="73"/>
      <c r="K179" s="68"/>
      <c r="L179" s="67" t="s">
        <v>69</v>
      </c>
      <c r="M179" s="73"/>
      <c r="N179" s="73"/>
      <c r="O179" s="68"/>
      <c r="P179" s="67"/>
      <c r="Q179" s="73" t="s">
        <v>69</v>
      </c>
      <c r="R179" s="73"/>
      <c r="S179" s="68"/>
      <c r="T179" s="67"/>
      <c r="U179" s="73" t="s">
        <v>69</v>
      </c>
      <c r="V179" s="73"/>
      <c r="W179" s="68"/>
      <c r="X179" s="67" t="s">
        <v>69</v>
      </c>
      <c r="Y179" s="73"/>
      <c r="Z179" s="73"/>
      <c r="AA179" s="68"/>
      <c r="AB179" s="67" t="s">
        <v>69</v>
      </c>
      <c r="AC179" s="73"/>
      <c r="AD179" s="73"/>
      <c r="AE179" s="68"/>
      <c r="AF179" s="67" t="s">
        <v>69</v>
      </c>
      <c r="AG179" s="73"/>
      <c r="AH179" s="73"/>
      <c r="AI179" s="68"/>
      <c r="AJ179" s="67" t="s">
        <v>69</v>
      </c>
      <c r="AK179" s="73"/>
      <c r="AL179" s="73"/>
      <c r="AM179" s="68"/>
      <c r="AN179" s="73" t="s">
        <v>69</v>
      </c>
      <c r="AO179" s="73"/>
      <c r="AP179" s="73"/>
      <c r="AQ179" s="68"/>
      <c r="AR179" s="67">
        <f t="shared" si="118"/>
        <v>92</v>
      </c>
      <c r="AS179" s="68" t="str">
        <f t="shared" si="119"/>
        <v>S</v>
      </c>
      <c r="AV179" s="49">
        <f t="shared" si="79"/>
        <v>0</v>
      </c>
      <c r="AW179" s="49">
        <f t="shared" si="44"/>
        <v>1</v>
      </c>
      <c r="AX179" s="49">
        <f t="shared" si="45"/>
        <v>0</v>
      </c>
      <c r="AY179" s="49">
        <f t="shared" si="46"/>
        <v>0</v>
      </c>
      <c r="AZ179" s="49">
        <f t="shared" si="47"/>
        <v>1</v>
      </c>
      <c r="BA179" s="49">
        <f t="shared" si="48"/>
        <v>0</v>
      </c>
      <c r="BB179" s="49">
        <f t="shared" si="49"/>
        <v>0</v>
      </c>
      <c r="BC179" s="49">
        <f t="shared" si="50"/>
        <v>0</v>
      </c>
      <c r="BD179" s="49">
        <f t="shared" si="51"/>
        <v>0</v>
      </c>
      <c r="BE179" s="49">
        <f t="shared" si="52"/>
        <v>1</v>
      </c>
      <c r="BF179" s="49">
        <f t="shared" si="53"/>
        <v>0</v>
      </c>
      <c r="BG179" s="49">
        <f t="shared" si="54"/>
        <v>0</v>
      </c>
      <c r="BH179" s="49">
        <f t="shared" si="55"/>
        <v>0</v>
      </c>
      <c r="BI179" s="49">
        <f t="shared" si="56"/>
        <v>1</v>
      </c>
      <c r="BJ179" s="49">
        <f t="shared" si="57"/>
        <v>0</v>
      </c>
      <c r="BK179" s="49">
        <f t="shared" si="58"/>
        <v>0</v>
      </c>
      <c r="BL179" s="49">
        <f t="shared" si="59"/>
        <v>1</v>
      </c>
      <c r="BM179" s="49">
        <f t="shared" si="60"/>
        <v>0</v>
      </c>
      <c r="BN179" s="49">
        <f t="shared" si="61"/>
        <v>0</v>
      </c>
      <c r="BO179" s="49">
        <f t="shared" si="62"/>
        <v>0</v>
      </c>
      <c r="BP179" s="49">
        <f t="shared" si="63"/>
        <v>1</v>
      </c>
      <c r="BQ179" s="49">
        <f t="shared" si="64"/>
        <v>0</v>
      </c>
      <c r="BR179" s="49">
        <f t="shared" si="65"/>
        <v>0</v>
      </c>
      <c r="BS179" s="49">
        <f t="shared" si="66"/>
        <v>0</v>
      </c>
      <c r="BT179" s="49">
        <f t="shared" si="67"/>
        <v>1</v>
      </c>
      <c r="BU179" s="49">
        <f t="shared" si="68"/>
        <v>0</v>
      </c>
      <c r="BV179" s="49">
        <f t="shared" si="69"/>
        <v>0</v>
      </c>
      <c r="BW179" s="49">
        <f t="shared" si="70"/>
        <v>0</v>
      </c>
      <c r="BX179" s="49">
        <f t="shared" si="71"/>
        <v>1</v>
      </c>
      <c r="BY179" s="49">
        <f t="shared" si="72"/>
        <v>0</v>
      </c>
      <c r="BZ179" s="49">
        <f t="shared" si="73"/>
        <v>0</v>
      </c>
      <c r="CA179" s="49">
        <f t="shared" si="74"/>
        <v>0</v>
      </c>
      <c r="CB179" s="49">
        <f t="shared" si="75"/>
        <v>1</v>
      </c>
      <c r="CC179" s="49">
        <f t="shared" si="76"/>
        <v>0</v>
      </c>
      <c r="CD179" s="49">
        <f t="shared" si="77"/>
        <v>0</v>
      </c>
      <c r="CE179" s="49">
        <f t="shared" si="78"/>
        <v>0</v>
      </c>
    </row>
    <row r="180" spans="1:83" ht="35.1" customHeight="1" x14ac:dyDescent="0.3">
      <c r="A180" s="123" t="str">
        <f t="shared" si="116"/>
        <v>2팀</v>
      </c>
      <c r="B180" s="69">
        <f t="shared" si="117"/>
        <v>174</v>
      </c>
      <c r="C180" s="120" t="str">
        <f>IF(VLOOKUP($B180,'1. 현장별 인원현황'!$C:$J,2,0)=0,"",VLOOKUP($B180,'1. 현장별 인원현황'!$C:$J,2,0))</f>
        <v xml:space="preserve"> [2.금호건설] 대웅제약 마곡연구소 신축공사</v>
      </c>
      <c r="D180" s="70" t="str">
        <f>IF(VLOOKUP($B180,'1. 현장별 인원현황'!$C:$J,3,0)=0,"",VLOOKUP($B180,'1. 현장별 인원현황'!$C:$J,3,0))</f>
        <v>유영진</v>
      </c>
      <c r="E180" s="74" t="str">
        <f ca="1">IF(VLOOKUP($B180,'1. 현장별 인원현황'!$C:$J,4,0)=0,"",VLOOKUP($B180,'1. 현장별 인원현황'!$C:$J,4,0))</f>
        <v>59세</v>
      </c>
      <c r="F180" s="70" t="str">
        <f>IF(VLOOKUP($B180,'1. 현장별 인원현황'!$C:$J,7,0)=0,"",VLOOKUP($B180,'1. 현장별 인원현황'!$C:$J,7,0))</f>
        <v>기능공</v>
      </c>
      <c r="G180" s="72" t="str">
        <f>IF(VLOOKUP($B180,'1. 현장별 인원현황'!$C:$J,8,0)=0,"",VLOOKUP($B180,'1. 현장별 인원현황'!$C:$J,8,0))</f>
        <v>전공</v>
      </c>
      <c r="H180" s="67" t="s">
        <v>69</v>
      </c>
      <c r="I180" s="73"/>
      <c r="J180" s="73"/>
      <c r="K180" s="68"/>
      <c r="L180" s="67" t="s">
        <v>69</v>
      </c>
      <c r="M180" s="73"/>
      <c r="N180" s="73"/>
      <c r="O180" s="68"/>
      <c r="P180" s="67" t="s">
        <v>69</v>
      </c>
      <c r="Q180" s="73"/>
      <c r="R180" s="73"/>
      <c r="S180" s="68"/>
      <c r="T180" s="67" t="s">
        <v>69</v>
      </c>
      <c r="U180" s="73"/>
      <c r="V180" s="73"/>
      <c r="W180" s="68"/>
      <c r="X180" s="67" t="s">
        <v>69</v>
      </c>
      <c r="Y180" s="73"/>
      <c r="Z180" s="73"/>
      <c r="AA180" s="68"/>
      <c r="AB180" s="67" t="s">
        <v>69</v>
      </c>
      <c r="AC180" s="73"/>
      <c r="AD180" s="73"/>
      <c r="AE180" s="68"/>
      <c r="AF180" s="67" t="s">
        <v>69</v>
      </c>
      <c r="AG180" s="73"/>
      <c r="AH180" s="73"/>
      <c r="AI180" s="68"/>
      <c r="AJ180" s="67" t="s">
        <v>69</v>
      </c>
      <c r="AK180" s="73"/>
      <c r="AL180" s="73"/>
      <c r="AM180" s="68"/>
      <c r="AN180" s="73" t="s">
        <v>69</v>
      </c>
      <c r="AO180" s="73"/>
      <c r="AP180" s="73"/>
      <c r="AQ180" s="68"/>
      <c r="AR180" s="67">
        <f t="shared" si="118"/>
        <v>100</v>
      </c>
      <c r="AS180" s="68" t="str">
        <f t="shared" si="119"/>
        <v>S</v>
      </c>
      <c r="AV180" s="49">
        <f t="shared" si="79"/>
        <v>1</v>
      </c>
      <c r="AW180" s="49">
        <f t="shared" si="44"/>
        <v>0</v>
      </c>
      <c r="AX180" s="49">
        <f t="shared" si="45"/>
        <v>0</v>
      </c>
      <c r="AY180" s="49">
        <f t="shared" si="46"/>
        <v>0</v>
      </c>
      <c r="AZ180" s="49">
        <f t="shared" si="47"/>
        <v>1</v>
      </c>
      <c r="BA180" s="49">
        <f t="shared" si="48"/>
        <v>0</v>
      </c>
      <c r="BB180" s="49">
        <f t="shared" si="49"/>
        <v>0</v>
      </c>
      <c r="BC180" s="49">
        <f t="shared" si="50"/>
        <v>0</v>
      </c>
      <c r="BD180" s="49">
        <f t="shared" si="51"/>
        <v>1</v>
      </c>
      <c r="BE180" s="49">
        <f t="shared" si="52"/>
        <v>0</v>
      </c>
      <c r="BF180" s="49">
        <f t="shared" si="53"/>
        <v>0</v>
      </c>
      <c r="BG180" s="49">
        <f t="shared" si="54"/>
        <v>0</v>
      </c>
      <c r="BH180" s="49">
        <f t="shared" si="55"/>
        <v>1</v>
      </c>
      <c r="BI180" s="49">
        <f t="shared" si="56"/>
        <v>0</v>
      </c>
      <c r="BJ180" s="49">
        <f t="shared" si="57"/>
        <v>0</v>
      </c>
      <c r="BK180" s="49">
        <f t="shared" si="58"/>
        <v>0</v>
      </c>
      <c r="BL180" s="49">
        <f t="shared" si="59"/>
        <v>1</v>
      </c>
      <c r="BM180" s="49">
        <f t="shared" si="60"/>
        <v>0</v>
      </c>
      <c r="BN180" s="49">
        <f t="shared" si="61"/>
        <v>0</v>
      </c>
      <c r="BO180" s="49">
        <f t="shared" si="62"/>
        <v>0</v>
      </c>
      <c r="BP180" s="49">
        <f t="shared" si="63"/>
        <v>1</v>
      </c>
      <c r="BQ180" s="49">
        <f t="shared" si="64"/>
        <v>0</v>
      </c>
      <c r="BR180" s="49">
        <f t="shared" si="65"/>
        <v>0</v>
      </c>
      <c r="BS180" s="49">
        <f t="shared" si="66"/>
        <v>0</v>
      </c>
      <c r="BT180" s="49">
        <f t="shared" si="67"/>
        <v>1</v>
      </c>
      <c r="BU180" s="49">
        <f t="shared" si="68"/>
        <v>0</v>
      </c>
      <c r="BV180" s="49">
        <f t="shared" si="69"/>
        <v>0</v>
      </c>
      <c r="BW180" s="49">
        <f t="shared" si="70"/>
        <v>0</v>
      </c>
      <c r="BX180" s="49">
        <f t="shared" si="71"/>
        <v>1</v>
      </c>
      <c r="BY180" s="49">
        <f t="shared" si="72"/>
        <v>0</v>
      </c>
      <c r="BZ180" s="49">
        <f t="shared" si="73"/>
        <v>0</v>
      </c>
      <c r="CA180" s="49">
        <f t="shared" si="74"/>
        <v>0</v>
      </c>
      <c r="CB180" s="49">
        <f t="shared" si="75"/>
        <v>1</v>
      </c>
      <c r="CC180" s="49">
        <f t="shared" si="76"/>
        <v>0</v>
      </c>
      <c r="CD180" s="49">
        <f t="shared" si="77"/>
        <v>0</v>
      </c>
      <c r="CE180" s="49">
        <f t="shared" si="78"/>
        <v>0</v>
      </c>
    </row>
    <row r="181" spans="1:83" ht="35.1" customHeight="1" x14ac:dyDescent="0.3">
      <c r="A181" s="123" t="str">
        <f t="shared" si="116"/>
        <v>2팀</v>
      </c>
      <c r="B181" s="69">
        <f t="shared" si="117"/>
        <v>175</v>
      </c>
      <c r="C181" s="120" t="str">
        <f>IF(VLOOKUP($B181,'1. 현장별 인원현황'!$C:$J,2,0)=0,"",VLOOKUP($B181,'1. 현장별 인원현황'!$C:$J,2,0))</f>
        <v xml:space="preserve"> [2.금호건설] 대웅제약 마곡연구소 신축공사</v>
      </c>
      <c r="D181" s="70" t="str">
        <f>IF(VLOOKUP($B181,'1. 현장별 인원현황'!$C:$J,3,0)=0,"",VLOOKUP($B181,'1. 현장별 인원현황'!$C:$J,3,0))</f>
        <v>천도영</v>
      </c>
      <c r="E181" s="74" t="str">
        <f ca="1">IF(VLOOKUP($B181,'1. 현장별 인원현황'!$C:$J,4,0)=0,"",VLOOKUP($B181,'1. 현장별 인원현황'!$C:$J,4,0))</f>
        <v>58세</v>
      </c>
      <c r="F181" s="70" t="str">
        <f>IF(VLOOKUP($B181,'1. 현장별 인원현황'!$C:$J,7,0)=0,"",VLOOKUP($B181,'1. 현장별 인원현황'!$C:$J,7,0))</f>
        <v>기능공</v>
      </c>
      <c r="G181" s="72" t="str">
        <f>IF(VLOOKUP($B181,'1. 현장별 인원현황'!$C:$J,8,0)=0,"",VLOOKUP($B181,'1. 현장별 인원현황'!$C:$J,8,0))</f>
        <v>전공</v>
      </c>
      <c r="H181" s="67" t="s">
        <v>69</v>
      </c>
      <c r="I181" s="73"/>
      <c r="J181" s="73"/>
      <c r="K181" s="68"/>
      <c r="L181" s="67" t="s">
        <v>69</v>
      </c>
      <c r="M181" s="73"/>
      <c r="N181" s="73"/>
      <c r="O181" s="68"/>
      <c r="P181" s="67" t="s">
        <v>69</v>
      </c>
      <c r="Q181" s="73"/>
      <c r="R181" s="73"/>
      <c r="S181" s="68"/>
      <c r="T181" s="67" t="s">
        <v>69</v>
      </c>
      <c r="U181" s="73"/>
      <c r="V181" s="73"/>
      <c r="W181" s="68"/>
      <c r="X181" s="67" t="s">
        <v>69</v>
      </c>
      <c r="Y181" s="73"/>
      <c r="Z181" s="73"/>
      <c r="AA181" s="68"/>
      <c r="AB181" s="67" t="s">
        <v>69</v>
      </c>
      <c r="AC181" s="73"/>
      <c r="AD181" s="73"/>
      <c r="AE181" s="68"/>
      <c r="AF181" s="67" t="s">
        <v>69</v>
      </c>
      <c r="AG181" s="73"/>
      <c r="AH181" s="73"/>
      <c r="AI181" s="68"/>
      <c r="AJ181" s="67" t="s">
        <v>69</v>
      </c>
      <c r="AK181" s="73"/>
      <c r="AL181" s="73"/>
      <c r="AM181" s="68"/>
      <c r="AN181" s="73" t="s">
        <v>69</v>
      </c>
      <c r="AO181" s="73"/>
      <c r="AP181" s="73"/>
      <c r="AQ181" s="68"/>
      <c r="AR181" s="67">
        <f t="shared" si="118"/>
        <v>100</v>
      </c>
      <c r="AS181" s="68" t="str">
        <f t="shared" si="119"/>
        <v>S</v>
      </c>
      <c r="AV181" s="49">
        <f t="shared" si="79"/>
        <v>1</v>
      </c>
      <c r="AW181" s="49">
        <f t="shared" si="44"/>
        <v>0</v>
      </c>
      <c r="AX181" s="49">
        <f t="shared" si="45"/>
        <v>0</v>
      </c>
      <c r="AY181" s="49">
        <f t="shared" si="46"/>
        <v>0</v>
      </c>
      <c r="AZ181" s="49">
        <f t="shared" si="47"/>
        <v>1</v>
      </c>
      <c r="BA181" s="49">
        <f t="shared" si="48"/>
        <v>0</v>
      </c>
      <c r="BB181" s="49">
        <f t="shared" si="49"/>
        <v>0</v>
      </c>
      <c r="BC181" s="49">
        <f t="shared" si="50"/>
        <v>0</v>
      </c>
      <c r="BD181" s="49">
        <f t="shared" si="51"/>
        <v>1</v>
      </c>
      <c r="BE181" s="49">
        <f t="shared" si="52"/>
        <v>0</v>
      </c>
      <c r="BF181" s="49">
        <f t="shared" si="53"/>
        <v>0</v>
      </c>
      <c r="BG181" s="49">
        <f t="shared" si="54"/>
        <v>0</v>
      </c>
      <c r="BH181" s="49">
        <f t="shared" si="55"/>
        <v>1</v>
      </c>
      <c r="BI181" s="49">
        <f t="shared" si="56"/>
        <v>0</v>
      </c>
      <c r="BJ181" s="49">
        <f t="shared" si="57"/>
        <v>0</v>
      </c>
      <c r="BK181" s="49">
        <f t="shared" si="58"/>
        <v>0</v>
      </c>
      <c r="BL181" s="49">
        <f t="shared" si="59"/>
        <v>1</v>
      </c>
      <c r="BM181" s="49">
        <f t="shared" si="60"/>
        <v>0</v>
      </c>
      <c r="BN181" s="49">
        <f t="shared" si="61"/>
        <v>0</v>
      </c>
      <c r="BO181" s="49">
        <f t="shared" si="62"/>
        <v>0</v>
      </c>
      <c r="BP181" s="49">
        <f t="shared" si="63"/>
        <v>1</v>
      </c>
      <c r="BQ181" s="49">
        <f t="shared" si="64"/>
        <v>0</v>
      </c>
      <c r="BR181" s="49">
        <f t="shared" si="65"/>
        <v>0</v>
      </c>
      <c r="BS181" s="49">
        <f t="shared" si="66"/>
        <v>0</v>
      </c>
      <c r="BT181" s="49">
        <f t="shared" si="67"/>
        <v>1</v>
      </c>
      <c r="BU181" s="49">
        <f t="shared" si="68"/>
        <v>0</v>
      </c>
      <c r="BV181" s="49">
        <f t="shared" si="69"/>
        <v>0</v>
      </c>
      <c r="BW181" s="49">
        <f t="shared" si="70"/>
        <v>0</v>
      </c>
      <c r="BX181" s="49">
        <f t="shared" si="71"/>
        <v>1</v>
      </c>
      <c r="BY181" s="49">
        <f t="shared" si="72"/>
        <v>0</v>
      </c>
      <c r="BZ181" s="49">
        <f t="shared" si="73"/>
        <v>0</v>
      </c>
      <c r="CA181" s="49">
        <f t="shared" si="74"/>
        <v>0</v>
      </c>
      <c r="CB181" s="49">
        <f t="shared" si="75"/>
        <v>1</v>
      </c>
      <c r="CC181" s="49">
        <f t="shared" si="76"/>
        <v>0</v>
      </c>
      <c r="CD181" s="49">
        <f t="shared" si="77"/>
        <v>0</v>
      </c>
      <c r="CE181" s="49">
        <f t="shared" si="78"/>
        <v>0</v>
      </c>
    </row>
    <row r="182" spans="1:83" ht="35.1" customHeight="1" x14ac:dyDescent="0.3">
      <c r="A182" s="123" t="str">
        <f t="shared" si="116"/>
        <v>2팀</v>
      </c>
      <c r="B182" s="69">
        <f t="shared" si="117"/>
        <v>176</v>
      </c>
      <c r="C182" s="120" t="str">
        <f>IF(VLOOKUP($B182,'1. 현장별 인원현황'!$C:$J,2,0)=0,"",VLOOKUP($B182,'1. 현장별 인원현황'!$C:$J,2,0))</f>
        <v xml:space="preserve"> [2.금호건설] 대웅제약 마곡연구소 신축공사</v>
      </c>
      <c r="D182" s="70" t="str">
        <f>IF(VLOOKUP($B182,'1. 현장별 인원현황'!$C:$J,3,0)=0,"",VLOOKUP($B182,'1. 현장별 인원현황'!$C:$J,3,0))</f>
        <v>최재복</v>
      </c>
      <c r="E182" s="74" t="str">
        <f ca="1">IF(VLOOKUP($B182,'1. 현장별 인원현황'!$C:$J,4,0)=0,"",VLOOKUP($B182,'1. 현장별 인원현황'!$C:$J,4,0))</f>
        <v>63세</v>
      </c>
      <c r="F182" s="70" t="str">
        <f>IF(VLOOKUP($B182,'1. 현장별 인원현황'!$C:$J,7,0)=0,"",VLOOKUP($B182,'1. 현장별 인원현황'!$C:$J,7,0))</f>
        <v>기능공</v>
      </c>
      <c r="G182" s="72" t="str">
        <f>IF(VLOOKUP($B182,'1. 현장별 인원현황'!$C:$J,8,0)=0,"",VLOOKUP($B182,'1. 현장별 인원현황'!$C:$J,8,0))</f>
        <v>전공</v>
      </c>
      <c r="H182" s="67" t="s">
        <v>69</v>
      </c>
      <c r="I182" s="73"/>
      <c r="J182" s="73"/>
      <c r="K182" s="68"/>
      <c r="L182" s="67" t="s">
        <v>69</v>
      </c>
      <c r="M182" s="73"/>
      <c r="N182" s="73"/>
      <c r="O182" s="68"/>
      <c r="P182" s="67" t="s">
        <v>69</v>
      </c>
      <c r="Q182" s="73"/>
      <c r="R182" s="73"/>
      <c r="S182" s="68"/>
      <c r="T182" s="67" t="s">
        <v>69</v>
      </c>
      <c r="U182" s="73"/>
      <c r="V182" s="73"/>
      <c r="W182" s="68"/>
      <c r="X182" s="67" t="s">
        <v>69</v>
      </c>
      <c r="Y182" s="73"/>
      <c r="Z182" s="73"/>
      <c r="AA182" s="68"/>
      <c r="AB182" s="67" t="s">
        <v>69</v>
      </c>
      <c r="AC182" s="73"/>
      <c r="AD182" s="73"/>
      <c r="AE182" s="68"/>
      <c r="AF182" s="67" t="s">
        <v>69</v>
      </c>
      <c r="AG182" s="73"/>
      <c r="AH182" s="73"/>
      <c r="AI182" s="68"/>
      <c r="AJ182" s="67" t="s">
        <v>69</v>
      </c>
      <c r="AK182" s="73"/>
      <c r="AL182" s="73"/>
      <c r="AM182" s="68"/>
      <c r="AN182" s="73" t="s">
        <v>69</v>
      </c>
      <c r="AO182" s="73"/>
      <c r="AP182" s="73"/>
      <c r="AQ182" s="68"/>
      <c r="AR182" s="67">
        <f t="shared" si="118"/>
        <v>100</v>
      </c>
      <c r="AS182" s="68" t="str">
        <f t="shared" si="119"/>
        <v>S</v>
      </c>
      <c r="AV182" s="49">
        <f t="shared" si="79"/>
        <v>1</v>
      </c>
      <c r="AW182" s="49">
        <f t="shared" si="44"/>
        <v>0</v>
      </c>
      <c r="AX182" s="49">
        <f t="shared" si="45"/>
        <v>0</v>
      </c>
      <c r="AY182" s="49">
        <f t="shared" si="46"/>
        <v>0</v>
      </c>
      <c r="AZ182" s="49">
        <f t="shared" si="47"/>
        <v>1</v>
      </c>
      <c r="BA182" s="49">
        <f t="shared" si="48"/>
        <v>0</v>
      </c>
      <c r="BB182" s="49">
        <f t="shared" si="49"/>
        <v>0</v>
      </c>
      <c r="BC182" s="49">
        <f t="shared" si="50"/>
        <v>0</v>
      </c>
      <c r="BD182" s="49">
        <f t="shared" si="51"/>
        <v>1</v>
      </c>
      <c r="BE182" s="49">
        <f t="shared" si="52"/>
        <v>0</v>
      </c>
      <c r="BF182" s="49">
        <f t="shared" si="53"/>
        <v>0</v>
      </c>
      <c r="BG182" s="49">
        <f t="shared" si="54"/>
        <v>0</v>
      </c>
      <c r="BH182" s="49">
        <f t="shared" si="55"/>
        <v>1</v>
      </c>
      <c r="BI182" s="49">
        <f t="shared" si="56"/>
        <v>0</v>
      </c>
      <c r="BJ182" s="49">
        <f t="shared" si="57"/>
        <v>0</v>
      </c>
      <c r="BK182" s="49">
        <f t="shared" si="58"/>
        <v>0</v>
      </c>
      <c r="BL182" s="49">
        <f t="shared" si="59"/>
        <v>1</v>
      </c>
      <c r="BM182" s="49">
        <f t="shared" si="60"/>
        <v>0</v>
      </c>
      <c r="BN182" s="49">
        <f t="shared" si="61"/>
        <v>0</v>
      </c>
      <c r="BO182" s="49">
        <f t="shared" si="62"/>
        <v>0</v>
      </c>
      <c r="BP182" s="49">
        <f t="shared" si="63"/>
        <v>1</v>
      </c>
      <c r="BQ182" s="49">
        <f t="shared" si="64"/>
        <v>0</v>
      </c>
      <c r="BR182" s="49">
        <f t="shared" si="65"/>
        <v>0</v>
      </c>
      <c r="BS182" s="49">
        <f t="shared" si="66"/>
        <v>0</v>
      </c>
      <c r="BT182" s="49">
        <f t="shared" si="67"/>
        <v>1</v>
      </c>
      <c r="BU182" s="49">
        <f t="shared" si="68"/>
        <v>0</v>
      </c>
      <c r="BV182" s="49">
        <f t="shared" si="69"/>
        <v>0</v>
      </c>
      <c r="BW182" s="49">
        <f t="shared" si="70"/>
        <v>0</v>
      </c>
      <c r="BX182" s="49">
        <f t="shared" si="71"/>
        <v>1</v>
      </c>
      <c r="BY182" s="49">
        <f t="shared" si="72"/>
        <v>0</v>
      </c>
      <c r="BZ182" s="49">
        <f t="shared" si="73"/>
        <v>0</v>
      </c>
      <c r="CA182" s="49">
        <f t="shared" si="74"/>
        <v>0</v>
      </c>
      <c r="CB182" s="49">
        <f t="shared" si="75"/>
        <v>1</v>
      </c>
      <c r="CC182" s="49">
        <f t="shared" si="76"/>
        <v>0</v>
      </c>
      <c r="CD182" s="49">
        <f t="shared" si="77"/>
        <v>0</v>
      </c>
      <c r="CE182" s="49">
        <f t="shared" si="78"/>
        <v>0</v>
      </c>
    </row>
    <row r="183" spans="1:83" ht="35.1" customHeight="1" x14ac:dyDescent="0.3">
      <c r="A183" s="123" t="str">
        <f t="shared" si="116"/>
        <v>2팀</v>
      </c>
      <c r="B183" s="69">
        <f t="shared" si="117"/>
        <v>177</v>
      </c>
      <c r="C183" s="120" t="str">
        <f>IF(VLOOKUP($B183,'1. 현장별 인원현황'!$C:$J,2,0)=0,"",VLOOKUP($B183,'1. 현장별 인원현황'!$C:$J,2,0))</f>
        <v xml:space="preserve"> [2.금호건설] 대웅제약 마곡연구소 신축공사</v>
      </c>
      <c r="D183" s="70" t="str">
        <f>IF(VLOOKUP($B183,'1. 현장별 인원현황'!$C:$J,3,0)=0,"",VLOOKUP($B183,'1. 현장별 인원현황'!$C:$J,3,0))</f>
        <v>김찬희</v>
      </c>
      <c r="E183" s="74" t="str">
        <f ca="1">IF(VLOOKUP($B183,'1. 현장별 인원현황'!$C:$J,4,0)=0,"",VLOOKUP($B183,'1. 현장별 인원현황'!$C:$J,4,0))</f>
        <v>56세</v>
      </c>
      <c r="F183" s="70" t="str">
        <f>IF(VLOOKUP($B183,'1. 현장별 인원현황'!$C:$J,7,0)=0,"",VLOOKUP($B183,'1. 현장별 인원현황'!$C:$J,7,0))</f>
        <v>기능공</v>
      </c>
      <c r="G183" s="72" t="str">
        <f>IF(VLOOKUP($B183,'1. 현장별 인원현황'!$C:$J,8,0)=0,"",VLOOKUP($B183,'1. 현장별 인원현황'!$C:$J,8,0))</f>
        <v>전공</v>
      </c>
      <c r="H183" s="67" t="s">
        <v>69</v>
      </c>
      <c r="I183" s="73"/>
      <c r="J183" s="73"/>
      <c r="K183" s="68"/>
      <c r="L183" s="67" t="s">
        <v>69</v>
      </c>
      <c r="M183" s="73"/>
      <c r="N183" s="73"/>
      <c r="O183" s="68"/>
      <c r="P183" s="67" t="s">
        <v>69</v>
      </c>
      <c r="Q183" s="73"/>
      <c r="R183" s="73"/>
      <c r="S183" s="68"/>
      <c r="T183" s="67" t="s">
        <v>69</v>
      </c>
      <c r="U183" s="73"/>
      <c r="V183" s="73"/>
      <c r="W183" s="68"/>
      <c r="X183" s="67" t="s">
        <v>69</v>
      </c>
      <c r="Y183" s="73"/>
      <c r="Z183" s="73"/>
      <c r="AA183" s="68"/>
      <c r="AB183" s="67" t="s">
        <v>69</v>
      </c>
      <c r="AC183" s="73"/>
      <c r="AD183" s="73"/>
      <c r="AE183" s="68"/>
      <c r="AF183" s="67" t="s">
        <v>69</v>
      </c>
      <c r="AG183" s="73"/>
      <c r="AH183" s="73"/>
      <c r="AI183" s="68"/>
      <c r="AJ183" s="67" t="s">
        <v>69</v>
      </c>
      <c r="AK183" s="73"/>
      <c r="AL183" s="73"/>
      <c r="AM183" s="68"/>
      <c r="AN183" s="73" t="s">
        <v>69</v>
      </c>
      <c r="AO183" s="73"/>
      <c r="AP183" s="73"/>
      <c r="AQ183" s="68"/>
      <c r="AR183" s="67">
        <f t="shared" si="118"/>
        <v>100</v>
      </c>
      <c r="AS183" s="68" t="str">
        <f t="shared" si="119"/>
        <v>S</v>
      </c>
      <c r="AV183" s="49">
        <f t="shared" si="79"/>
        <v>1</v>
      </c>
      <c r="AW183" s="49">
        <f t="shared" si="44"/>
        <v>0</v>
      </c>
      <c r="AX183" s="49">
        <f t="shared" si="45"/>
        <v>0</v>
      </c>
      <c r="AY183" s="49">
        <f t="shared" si="46"/>
        <v>0</v>
      </c>
      <c r="AZ183" s="49">
        <f t="shared" si="47"/>
        <v>1</v>
      </c>
      <c r="BA183" s="49">
        <f t="shared" si="48"/>
        <v>0</v>
      </c>
      <c r="BB183" s="49">
        <f t="shared" si="49"/>
        <v>0</v>
      </c>
      <c r="BC183" s="49">
        <f t="shared" si="50"/>
        <v>0</v>
      </c>
      <c r="BD183" s="49">
        <f t="shared" si="51"/>
        <v>1</v>
      </c>
      <c r="BE183" s="49">
        <f t="shared" si="52"/>
        <v>0</v>
      </c>
      <c r="BF183" s="49">
        <f t="shared" si="53"/>
        <v>0</v>
      </c>
      <c r="BG183" s="49">
        <f t="shared" si="54"/>
        <v>0</v>
      </c>
      <c r="BH183" s="49">
        <f t="shared" si="55"/>
        <v>1</v>
      </c>
      <c r="BI183" s="49">
        <f t="shared" si="56"/>
        <v>0</v>
      </c>
      <c r="BJ183" s="49">
        <f t="shared" si="57"/>
        <v>0</v>
      </c>
      <c r="BK183" s="49">
        <f t="shared" si="58"/>
        <v>0</v>
      </c>
      <c r="BL183" s="49">
        <f t="shared" si="59"/>
        <v>1</v>
      </c>
      <c r="BM183" s="49">
        <f t="shared" si="60"/>
        <v>0</v>
      </c>
      <c r="BN183" s="49">
        <f t="shared" si="61"/>
        <v>0</v>
      </c>
      <c r="BO183" s="49">
        <f t="shared" si="62"/>
        <v>0</v>
      </c>
      <c r="BP183" s="49">
        <f t="shared" si="63"/>
        <v>1</v>
      </c>
      <c r="BQ183" s="49">
        <f t="shared" si="64"/>
        <v>0</v>
      </c>
      <c r="BR183" s="49">
        <f t="shared" si="65"/>
        <v>0</v>
      </c>
      <c r="BS183" s="49">
        <f t="shared" si="66"/>
        <v>0</v>
      </c>
      <c r="BT183" s="49">
        <f t="shared" si="67"/>
        <v>1</v>
      </c>
      <c r="BU183" s="49">
        <f t="shared" si="68"/>
        <v>0</v>
      </c>
      <c r="BV183" s="49">
        <f t="shared" si="69"/>
        <v>0</v>
      </c>
      <c r="BW183" s="49">
        <f t="shared" si="70"/>
        <v>0</v>
      </c>
      <c r="BX183" s="49">
        <f t="shared" si="71"/>
        <v>1</v>
      </c>
      <c r="BY183" s="49">
        <f t="shared" si="72"/>
        <v>0</v>
      </c>
      <c r="BZ183" s="49">
        <f t="shared" si="73"/>
        <v>0</v>
      </c>
      <c r="CA183" s="49">
        <f t="shared" si="74"/>
        <v>0</v>
      </c>
      <c r="CB183" s="49">
        <f t="shared" si="75"/>
        <v>1</v>
      </c>
      <c r="CC183" s="49">
        <f t="shared" si="76"/>
        <v>0</v>
      </c>
      <c r="CD183" s="49">
        <f t="shared" si="77"/>
        <v>0</v>
      </c>
      <c r="CE183" s="49">
        <f t="shared" si="78"/>
        <v>0</v>
      </c>
    </row>
    <row r="184" spans="1:83" ht="35.1" customHeight="1" x14ac:dyDescent="0.3">
      <c r="A184" s="123" t="str">
        <f t="shared" si="116"/>
        <v>2팀</v>
      </c>
      <c r="B184" s="69">
        <f t="shared" si="117"/>
        <v>178</v>
      </c>
      <c r="C184" s="120" t="str">
        <f>IF(VLOOKUP($B184,'1. 현장별 인원현황'!$C:$J,2,0)=0,"",VLOOKUP($B184,'1. 현장별 인원현황'!$C:$J,2,0))</f>
        <v xml:space="preserve"> [2.금호건설] 대웅제약 마곡연구소 신축공사</v>
      </c>
      <c r="D184" s="70" t="str">
        <f>IF(VLOOKUP($B184,'1. 현장별 인원현황'!$C:$J,3,0)=0,"",VLOOKUP($B184,'1. 현장별 인원현황'!$C:$J,3,0))</f>
        <v>서호원</v>
      </c>
      <c r="E184" s="74" t="str">
        <f ca="1">IF(VLOOKUP($B184,'1. 현장별 인원현황'!$C:$J,4,0)=0,"",VLOOKUP($B184,'1. 현장별 인원현황'!$C:$J,4,0))</f>
        <v>63세</v>
      </c>
      <c r="F184" s="70" t="str">
        <f>IF(VLOOKUP($B184,'1. 현장별 인원현황'!$C:$J,7,0)=0,"",VLOOKUP($B184,'1. 현장별 인원현황'!$C:$J,7,0))</f>
        <v>기능공</v>
      </c>
      <c r="G184" s="72" t="str">
        <f>IF(VLOOKUP($B184,'1. 현장별 인원현황'!$C:$J,8,0)=0,"",VLOOKUP($B184,'1. 현장별 인원현황'!$C:$J,8,0))</f>
        <v>전공</v>
      </c>
      <c r="H184" s="67" t="s">
        <v>69</v>
      </c>
      <c r="I184" s="73"/>
      <c r="J184" s="73"/>
      <c r="K184" s="68"/>
      <c r="L184" s="67" t="s">
        <v>69</v>
      </c>
      <c r="M184" s="73"/>
      <c r="N184" s="73"/>
      <c r="O184" s="68"/>
      <c r="P184" s="67" t="s">
        <v>69</v>
      </c>
      <c r="Q184" s="73"/>
      <c r="R184" s="73"/>
      <c r="S184" s="68"/>
      <c r="T184" s="67" t="s">
        <v>69</v>
      </c>
      <c r="U184" s="73"/>
      <c r="V184" s="73"/>
      <c r="W184" s="68"/>
      <c r="X184" s="67" t="s">
        <v>69</v>
      </c>
      <c r="Y184" s="73"/>
      <c r="Z184" s="73"/>
      <c r="AA184" s="68"/>
      <c r="AB184" s="67" t="s">
        <v>69</v>
      </c>
      <c r="AC184" s="73"/>
      <c r="AD184" s="73"/>
      <c r="AE184" s="68"/>
      <c r="AF184" s="67" t="s">
        <v>69</v>
      </c>
      <c r="AG184" s="73"/>
      <c r="AH184" s="73"/>
      <c r="AI184" s="68"/>
      <c r="AJ184" s="67" t="s">
        <v>69</v>
      </c>
      <c r="AK184" s="73"/>
      <c r="AL184" s="73"/>
      <c r="AM184" s="68"/>
      <c r="AN184" s="73" t="s">
        <v>69</v>
      </c>
      <c r="AO184" s="73"/>
      <c r="AP184" s="73"/>
      <c r="AQ184" s="68"/>
      <c r="AR184" s="67">
        <f t="shared" si="118"/>
        <v>100</v>
      </c>
      <c r="AS184" s="68" t="str">
        <f t="shared" si="119"/>
        <v>S</v>
      </c>
      <c r="AV184" s="49">
        <f t="shared" si="79"/>
        <v>1</v>
      </c>
      <c r="AW184" s="49">
        <f t="shared" si="44"/>
        <v>0</v>
      </c>
      <c r="AX184" s="49">
        <f t="shared" si="45"/>
        <v>0</v>
      </c>
      <c r="AY184" s="49">
        <f t="shared" si="46"/>
        <v>0</v>
      </c>
      <c r="AZ184" s="49">
        <f t="shared" si="47"/>
        <v>1</v>
      </c>
      <c r="BA184" s="49">
        <f t="shared" si="48"/>
        <v>0</v>
      </c>
      <c r="BB184" s="49">
        <f t="shared" si="49"/>
        <v>0</v>
      </c>
      <c r="BC184" s="49">
        <f t="shared" si="50"/>
        <v>0</v>
      </c>
      <c r="BD184" s="49">
        <f t="shared" si="51"/>
        <v>1</v>
      </c>
      <c r="BE184" s="49">
        <f t="shared" si="52"/>
        <v>0</v>
      </c>
      <c r="BF184" s="49">
        <f t="shared" si="53"/>
        <v>0</v>
      </c>
      <c r="BG184" s="49">
        <f t="shared" si="54"/>
        <v>0</v>
      </c>
      <c r="BH184" s="49">
        <f t="shared" si="55"/>
        <v>1</v>
      </c>
      <c r="BI184" s="49">
        <f t="shared" si="56"/>
        <v>0</v>
      </c>
      <c r="BJ184" s="49">
        <f t="shared" si="57"/>
        <v>0</v>
      </c>
      <c r="BK184" s="49">
        <f t="shared" si="58"/>
        <v>0</v>
      </c>
      <c r="BL184" s="49">
        <f t="shared" si="59"/>
        <v>1</v>
      </c>
      <c r="BM184" s="49">
        <f t="shared" si="60"/>
        <v>0</v>
      </c>
      <c r="BN184" s="49">
        <f t="shared" si="61"/>
        <v>0</v>
      </c>
      <c r="BO184" s="49">
        <f t="shared" si="62"/>
        <v>0</v>
      </c>
      <c r="BP184" s="49">
        <f t="shared" si="63"/>
        <v>1</v>
      </c>
      <c r="BQ184" s="49">
        <f t="shared" si="64"/>
        <v>0</v>
      </c>
      <c r="BR184" s="49">
        <f t="shared" si="65"/>
        <v>0</v>
      </c>
      <c r="BS184" s="49">
        <f t="shared" si="66"/>
        <v>0</v>
      </c>
      <c r="BT184" s="49">
        <f t="shared" si="67"/>
        <v>1</v>
      </c>
      <c r="BU184" s="49">
        <f t="shared" si="68"/>
        <v>0</v>
      </c>
      <c r="BV184" s="49">
        <f t="shared" si="69"/>
        <v>0</v>
      </c>
      <c r="BW184" s="49">
        <f t="shared" si="70"/>
        <v>0</v>
      </c>
      <c r="BX184" s="49">
        <f t="shared" si="71"/>
        <v>1</v>
      </c>
      <c r="BY184" s="49">
        <f t="shared" si="72"/>
        <v>0</v>
      </c>
      <c r="BZ184" s="49">
        <f t="shared" si="73"/>
        <v>0</v>
      </c>
      <c r="CA184" s="49">
        <f t="shared" si="74"/>
        <v>0</v>
      </c>
      <c r="CB184" s="49">
        <f t="shared" si="75"/>
        <v>1</v>
      </c>
      <c r="CC184" s="49">
        <f t="shared" si="76"/>
        <v>0</v>
      </c>
      <c r="CD184" s="49">
        <f t="shared" si="77"/>
        <v>0</v>
      </c>
      <c r="CE184" s="49">
        <f t="shared" si="78"/>
        <v>0</v>
      </c>
    </row>
    <row r="185" spans="1:83" ht="35.1" customHeight="1" x14ac:dyDescent="0.3">
      <c r="A185" s="123" t="str">
        <f t="shared" si="116"/>
        <v>2팀</v>
      </c>
      <c r="B185" s="69">
        <f t="shared" si="117"/>
        <v>179</v>
      </c>
      <c r="C185" s="120" t="str">
        <f>IF(VLOOKUP($B185,'1. 현장별 인원현황'!$C:$J,2,0)=0,"",VLOOKUP($B185,'1. 현장별 인원현황'!$C:$J,2,0))</f>
        <v xml:space="preserve"> [2.금호건설] 대웅제약 마곡연구소 신축공사</v>
      </c>
      <c r="D185" s="70" t="str">
        <f>IF(VLOOKUP($B185,'1. 현장별 인원현황'!$C:$J,3,0)=0,"",VLOOKUP($B185,'1. 현장별 인원현황'!$C:$J,3,0))</f>
        <v>성낙원</v>
      </c>
      <c r="E185" s="74" t="str">
        <f ca="1">IF(VLOOKUP($B185,'1. 현장별 인원현황'!$C:$J,4,0)=0,"",VLOOKUP($B185,'1. 현장별 인원현황'!$C:$J,4,0))</f>
        <v>63세</v>
      </c>
      <c r="F185" s="70" t="str">
        <f>IF(VLOOKUP($B185,'1. 현장별 인원현황'!$C:$J,7,0)=0,"",VLOOKUP($B185,'1. 현장별 인원현황'!$C:$J,7,0))</f>
        <v>기능공</v>
      </c>
      <c r="G185" s="72" t="str">
        <f>IF(VLOOKUP($B185,'1. 현장별 인원현황'!$C:$J,8,0)=0,"",VLOOKUP($B185,'1. 현장별 인원현황'!$C:$J,8,0))</f>
        <v>전공</v>
      </c>
      <c r="H185" s="67"/>
      <c r="I185" s="73" t="s">
        <v>69</v>
      </c>
      <c r="J185" s="73"/>
      <c r="K185" s="68"/>
      <c r="L185" s="67" t="s">
        <v>69</v>
      </c>
      <c r="M185" s="73"/>
      <c r="N185" s="73"/>
      <c r="O185" s="68"/>
      <c r="P185" s="67" t="s">
        <v>69</v>
      </c>
      <c r="Q185" s="73"/>
      <c r="R185" s="73"/>
      <c r="S185" s="68"/>
      <c r="T185" s="67" t="s">
        <v>69</v>
      </c>
      <c r="U185" s="73"/>
      <c r="V185" s="73"/>
      <c r="W185" s="68"/>
      <c r="X185" s="67" t="s">
        <v>69</v>
      </c>
      <c r="Y185" s="73"/>
      <c r="Z185" s="73"/>
      <c r="AA185" s="68"/>
      <c r="AB185" s="67" t="s">
        <v>69</v>
      </c>
      <c r="AC185" s="73"/>
      <c r="AD185" s="73"/>
      <c r="AE185" s="68"/>
      <c r="AF185" s="67" t="s">
        <v>69</v>
      </c>
      <c r="AG185" s="73"/>
      <c r="AH185" s="73"/>
      <c r="AI185" s="68"/>
      <c r="AJ185" s="67" t="s">
        <v>69</v>
      </c>
      <c r="AK185" s="73"/>
      <c r="AL185" s="73"/>
      <c r="AM185" s="68"/>
      <c r="AN185" s="73" t="s">
        <v>69</v>
      </c>
      <c r="AO185" s="73"/>
      <c r="AP185" s="73"/>
      <c r="AQ185" s="68"/>
      <c r="AR185" s="67">
        <f t="shared" si="118"/>
        <v>97</v>
      </c>
      <c r="AS185" s="68" t="str">
        <f t="shared" si="119"/>
        <v>S</v>
      </c>
      <c r="AV185" s="49">
        <f t="shared" si="79"/>
        <v>0</v>
      </c>
      <c r="AW185" s="49">
        <f t="shared" si="44"/>
        <v>1</v>
      </c>
      <c r="AX185" s="49">
        <f t="shared" si="45"/>
        <v>0</v>
      </c>
      <c r="AY185" s="49">
        <f t="shared" si="46"/>
        <v>0</v>
      </c>
      <c r="AZ185" s="49">
        <f t="shared" si="47"/>
        <v>1</v>
      </c>
      <c r="BA185" s="49">
        <f t="shared" si="48"/>
        <v>0</v>
      </c>
      <c r="BB185" s="49">
        <f t="shared" si="49"/>
        <v>0</v>
      </c>
      <c r="BC185" s="49">
        <f t="shared" si="50"/>
        <v>0</v>
      </c>
      <c r="BD185" s="49">
        <f t="shared" si="51"/>
        <v>1</v>
      </c>
      <c r="BE185" s="49">
        <f t="shared" si="52"/>
        <v>0</v>
      </c>
      <c r="BF185" s="49">
        <f t="shared" si="53"/>
        <v>0</v>
      </c>
      <c r="BG185" s="49">
        <f t="shared" si="54"/>
        <v>0</v>
      </c>
      <c r="BH185" s="49">
        <f t="shared" si="55"/>
        <v>1</v>
      </c>
      <c r="BI185" s="49">
        <f t="shared" si="56"/>
        <v>0</v>
      </c>
      <c r="BJ185" s="49">
        <f t="shared" si="57"/>
        <v>0</v>
      </c>
      <c r="BK185" s="49">
        <f t="shared" si="58"/>
        <v>0</v>
      </c>
      <c r="BL185" s="49">
        <f t="shared" si="59"/>
        <v>1</v>
      </c>
      <c r="BM185" s="49">
        <f t="shared" si="60"/>
        <v>0</v>
      </c>
      <c r="BN185" s="49">
        <f t="shared" si="61"/>
        <v>0</v>
      </c>
      <c r="BO185" s="49">
        <f t="shared" si="62"/>
        <v>0</v>
      </c>
      <c r="BP185" s="49">
        <f t="shared" si="63"/>
        <v>1</v>
      </c>
      <c r="BQ185" s="49">
        <f t="shared" si="64"/>
        <v>0</v>
      </c>
      <c r="BR185" s="49">
        <f t="shared" si="65"/>
        <v>0</v>
      </c>
      <c r="BS185" s="49">
        <f t="shared" si="66"/>
        <v>0</v>
      </c>
      <c r="BT185" s="49">
        <f t="shared" si="67"/>
        <v>1</v>
      </c>
      <c r="BU185" s="49">
        <f t="shared" si="68"/>
        <v>0</v>
      </c>
      <c r="BV185" s="49">
        <f t="shared" si="69"/>
        <v>0</v>
      </c>
      <c r="BW185" s="49">
        <f t="shared" si="70"/>
        <v>0</v>
      </c>
      <c r="BX185" s="49">
        <f t="shared" si="71"/>
        <v>1</v>
      </c>
      <c r="BY185" s="49">
        <f t="shared" si="72"/>
        <v>0</v>
      </c>
      <c r="BZ185" s="49">
        <f t="shared" si="73"/>
        <v>0</v>
      </c>
      <c r="CA185" s="49">
        <f t="shared" si="74"/>
        <v>0</v>
      </c>
      <c r="CB185" s="49">
        <f t="shared" si="75"/>
        <v>1</v>
      </c>
      <c r="CC185" s="49">
        <f t="shared" si="76"/>
        <v>0</v>
      </c>
      <c r="CD185" s="49">
        <f t="shared" si="77"/>
        <v>0</v>
      </c>
      <c r="CE185" s="49">
        <f t="shared" si="78"/>
        <v>0</v>
      </c>
    </row>
    <row r="186" spans="1:83" ht="35.1" customHeight="1" x14ac:dyDescent="0.3">
      <c r="A186" s="123" t="str">
        <f t="shared" si="116"/>
        <v>2팀</v>
      </c>
      <c r="B186" s="69">
        <f t="shared" si="117"/>
        <v>180</v>
      </c>
      <c r="C186" s="120" t="str">
        <f>IF(VLOOKUP($B186,'1. 현장별 인원현황'!$C:$J,2,0)=0,"",VLOOKUP($B186,'1. 현장별 인원현황'!$C:$J,2,0))</f>
        <v xml:space="preserve"> [2.금호건설] 대웅제약 마곡연구소 신축공사</v>
      </c>
      <c r="D186" s="70" t="str">
        <f>IF(VLOOKUP($B186,'1. 현장별 인원현황'!$C:$J,3,0)=0,"",VLOOKUP($B186,'1. 현장별 인원현황'!$C:$J,3,0))</f>
        <v>송형준</v>
      </c>
      <c r="E186" s="74" t="str">
        <f ca="1">IF(VLOOKUP($B186,'1. 현장별 인원현황'!$C:$J,4,0)=0,"",VLOOKUP($B186,'1. 현장별 인원현황'!$C:$J,4,0))</f>
        <v>64세</v>
      </c>
      <c r="F186" s="70" t="str">
        <f>IF(VLOOKUP($B186,'1. 현장별 인원현황'!$C:$J,7,0)=0,"",VLOOKUP($B186,'1. 현장별 인원현황'!$C:$J,7,0))</f>
        <v>기능공</v>
      </c>
      <c r="G186" s="72" t="str">
        <f>IF(VLOOKUP($B186,'1. 현장별 인원현황'!$C:$J,8,0)=0,"",VLOOKUP($B186,'1. 현장별 인원현황'!$C:$J,8,0))</f>
        <v>전공</v>
      </c>
      <c r="H186" s="67" t="s">
        <v>69</v>
      </c>
      <c r="I186" s="73"/>
      <c r="J186" s="73"/>
      <c r="K186" s="68"/>
      <c r="L186" s="67" t="s">
        <v>69</v>
      </c>
      <c r="M186" s="73"/>
      <c r="N186" s="73"/>
      <c r="O186" s="68"/>
      <c r="P186" s="67" t="s">
        <v>69</v>
      </c>
      <c r="Q186" s="73"/>
      <c r="R186" s="73"/>
      <c r="S186" s="68"/>
      <c r="T186" s="67" t="s">
        <v>69</v>
      </c>
      <c r="U186" s="73"/>
      <c r="V186" s="73"/>
      <c r="W186" s="68"/>
      <c r="X186" s="67" t="s">
        <v>69</v>
      </c>
      <c r="Y186" s="73"/>
      <c r="Z186" s="73"/>
      <c r="AA186" s="68"/>
      <c r="AB186" s="67" t="s">
        <v>69</v>
      </c>
      <c r="AC186" s="73"/>
      <c r="AD186" s="73"/>
      <c r="AE186" s="68"/>
      <c r="AF186" s="67" t="s">
        <v>69</v>
      </c>
      <c r="AG186" s="73"/>
      <c r="AH186" s="73"/>
      <c r="AI186" s="68"/>
      <c r="AJ186" s="67" t="s">
        <v>69</v>
      </c>
      <c r="AK186" s="73"/>
      <c r="AL186" s="73"/>
      <c r="AM186" s="68"/>
      <c r="AN186" s="73" t="s">
        <v>69</v>
      </c>
      <c r="AO186" s="73"/>
      <c r="AP186" s="73"/>
      <c r="AQ186" s="68"/>
      <c r="AR186" s="67">
        <f t="shared" si="118"/>
        <v>100</v>
      </c>
      <c r="AS186" s="68" t="str">
        <f t="shared" si="119"/>
        <v>S</v>
      </c>
      <c r="AV186" s="49">
        <f t="shared" si="79"/>
        <v>1</v>
      </c>
      <c r="AW186" s="49">
        <f t="shared" si="44"/>
        <v>0</v>
      </c>
      <c r="AX186" s="49">
        <f t="shared" si="45"/>
        <v>0</v>
      </c>
      <c r="AY186" s="49">
        <f t="shared" si="46"/>
        <v>0</v>
      </c>
      <c r="AZ186" s="49">
        <f t="shared" si="47"/>
        <v>1</v>
      </c>
      <c r="BA186" s="49">
        <f t="shared" si="48"/>
        <v>0</v>
      </c>
      <c r="BB186" s="49">
        <f t="shared" si="49"/>
        <v>0</v>
      </c>
      <c r="BC186" s="49">
        <f t="shared" si="50"/>
        <v>0</v>
      </c>
      <c r="BD186" s="49">
        <f t="shared" si="51"/>
        <v>1</v>
      </c>
      <c r="BE186" s="49">
        <f t="shared" si="52"/>
        <v>0</v>
      </c>
      <c r="BF186" s="49">
        <f t="shared" si="53"/>
        <v>0</v>
      </c>
      <c r="BG186" s="49">
        <f t="shared" si="54"/>
        <v>0</v>
      </c>
      <c r="BH186" s="49">
        <f t="shared" si="55"/>
        <v>1</v>
      </c>
      <c r="BI186" s="49">
        <f t="shared" si="56"/>
        <v>0</v>
      </c>
      <c r="BJ186" s="49">
        <f t="shared" si="57"/>
        <v>0</v>
      </c>
      <c r="BK186" s="49">
        <f t="shared" si="58"/>
        <v>0</v>
      </c>
      <c r="BL186" s="49">
        <f t="shared" si="59"/>
        <v>1</v>
      </c>
      <c r="BM186" s="49">
        <f t="shared" si="60"/>
        <v>0</v>
      </c>
      <c r="BN186" s="49">
        <f t="shared" si="61"/>
        <v>0</v>
      </c>
      <c r="BO186" s="49">
        <f t="shared" si="62"/>
        <v>0</v>
      </c>
      <c r="BP186" s="49">
        <f t="shared" si="63"/>
        <v>1</v>
      </c>
      <c r="BQ186" s="49">
        <f t="shared" si="64"/>
        <v>0</v>
      </c>
      <c r="BR186" s="49">
        <f t="shared" si="65"/>
        <v>0</v>
      </c>
      <c r="BS186" s="49">
        <f t="shared" si="66"/>
        <v>0</v>
      </c>
      <c r="BT186" s="49">
        <f t="shared" si="67"/>
        <v>1</v>
      </c>
      <c r="BU186" s="49">
        <f t="shared" si="68"/>
        <v>0</v>
      </c>
      <c r="BV186" s="49">
        <f t="shared" si="69"/>
        <v>0</v>
      </c>
      <c r="BW186" s="49">
        <f t="shared" si="70"/>
        <v>0</v>
      </c>
      <c r="BX186" s="49">
        <f t="shared" si="71"/>
        <v>1</v>
      </c>
      <c r="BY186" s="49">
        <f t="shared" si="72"/>
        <v>0</v>
      </c>
      <c r="BZ186" s="49">
        <f t="shared" si="73"/>
        <v>0</v>
      </c>
      <c r="CA186" s="49">
        <f t="shared" si="74"/>
        <v>0</v>
      </c>
      <c r="CB186" s="49">
        <f t="shared" si="75"/>
        <v>1</v>
      </c>
      <c r="CC186" s="49">
        <f t="shared" si="76"/>
        <v>0</v>
      </c>
      <c r="CD186" s="49">
        <f t="shared" si="77"/>
        <v>0</v>
      </c>
      <c r="CE186" s="49">
        <f t="shared" si="78"/>
        <v>0</v>
      </c>
    </row>
    <row r="187" spans="1:83" ht="35.1" customHeight="1" x14ac:dyDescent="0.3">
      <c r="A187" s="123" t="str">
        <f t="shared" si="116"/>
        <v>2팀</v>
      </c>
      <c r="B187" s="69">
        <f t="shared" si="117"/>
        <v>181</v>
      </c>
      <c r="C187" s="120" t="str">
        <f>IF(VLOOKUP($B187,'1. 현장별 인원현황'!$C:$J,2,0)=0,"",VLOOKUP($B187,'1. 현장별 인원현황'!$C:$J,2,0))</f>
        <v xml:space="preserve"> [2.금호건설] 대웅제약 마곡연구소 신축공사</v>
      </c>
      <c r="D187" s="70" t="str">
        <f>IF(VLOOKUP($B187,'1. 현장별 인원현황'!$C:$J,3,0)=0,"",VLOOKUP($B187,'1. 현장별 인원현황'!$C:$J,3,0))</f>
        <v>양영식</v>
      </c>
      <c r="E187" s="74" t="str">
        <f ca="1">IF(VLOOKUP($B187,'1. 현장별 인원현황'!$C:$J,4,0)=0,"",VLOOKUP($B187,'1. 현장별 인원현황'!$C:$J,4,0))</f>
        <v>66세</v>
      </c>
      <c r="F187" s="70" t="str">
        <f>IF(VLOOKUP($B187,'1. 현장별 인원현황'!$C:$J,7,0)=0,"",VLOOKUP($B187,'1. 현장별 인원현황'!$C:$J,7,0))</f>
        <v>기능공</v>
      </c>
      <c r="G187" s="72" t="str">
        <f>IF(VLOOKUP($B187,'1. 현장별 인원현황'!$C:$J,8,0)=0,"",VLOOKUP($B187,'1. 현장별 인원현황'!$C:$J,8,0))</f>
        <v>전공</v>
      </c>
      <c r="H187" s="67" t="s">
        <v>69</v>
      </c>
      <c r="I187" s="73"/>
      <c r="J187" s="73"/>
      <c r="K187" s="68"/>
      <c r="L187" s="67" t="s">
        <v>69</v>
      </c>
      <c r="M187" s="73"/>
      <c r="N187" s="73"/>
      <c r="O187" s="68"/>
      <c r="P187" s="67" t="s">
        <v>69</v>
      </c>
      <c r="Q187" s="73"/>
      <c r="R187" s="73"/>
      <c r="S187" s="68"/>
      <c r="T187" s="67" t="s">
        <v>69</v>
      </c>
      <c r="U187" s="73"/>
      <c r="V187" s="73"/>
      <c r="W187" s="68"/>
      <c r="X187" s="67" t="s">
        <v>69</v>
      </c>
      <c r="Y187" s="73"/>
      <c r="Z187" s="73"/>
      <c r="AA187" s="68"/>
      <c r="AB187" s="67" t="s">
        <v>69</v>
      </c>
      <c r="AC187" s="73"/>
      <c r="AD187" s="73"/>
      <c r="AE187" s="68"/>
      <c r="AF187" s="67" t="s">
        <v>69</v>
      </c>
      <c r="AG187" s="73"/>
      <c r="AH187" s="73"/>
      <c r="AI187" s="68"/>
      <c r="AJ187" s="67" t="s">
        <v>69</v>
      </c>
      <c r="AK187" s="73"/>
      <c r="AL187" s="73"/>
      <c r="AM187" s="68"/>
      <c r="AN187" s="73" t="s">
        <v>69</v>
      </c>
      <c r="AO187" s="73"/>
      <c r="AP187" s="73"/>
      <c r="AQ187" s="68"/>
      <c r="AR187" s="67">
        <f t="shared" si="118"/>
        <v>100</v>
      </c>
      <c r="AS187" s="68" t="str">
        <f t="shared" si="119"/>
        <v>S</v>
      </c>
      <c r="AV187" s="49">
        <f t="shared" si="79"/>
        <v>1</v>
      </c>
      <c r="AW187" s="49">
        <f t="shared" si="44"/>
        <v>0</v>
      </c>
      <c r="AX187" s="49">
        <f t="shared" si="45"/>
        <v>0</v>
      </c>
      <c r="AY187" s="49">
        <f t="shared" si="46"/>
        <v>0</v>
      </c>
      <c r="AZ187" s="49">
        <f t="shared" si="47"/>
        <v>1</v>
      </c>
      <c r="BA187" s="49">
        <f t="shared" si="48"/>
        <v>0</v>
      </c>
      <c r="BB187" s="49">
        <f t="shared" si="49"/>
        <v>0</v>
      </c>
      <c r="BC187" s="49">
        <f t="shared" si="50"/>
        <v>0</v>
      </c>
      <c r="BD187" s="49">
        <f t="shared" si="51"/>
        <v>1</v>
      </c>
      <c r="BE187" s="49">
        <f t="shared" si="52"/>
        <v>0</v>
      </c>
      <c r="BF187" s="49">
        <f t="shared" si="53"/>
        <v>0</v>
      </c>
      <c r="BG187" s="49">
        <f t="shared" si="54"/>
        <v>0</v>
      </c>
      <c r="BH187" s="49">
        <f t="shared" si="55"/>
        <v>1</v>
      </c>
      <c r="BI187" s="49">
        <f t="shared" si="56"/>
        <v>0</v>
      </c>
      <c r="BJ187" s="49">
        <f t="shared" si="57"/>
        <v>0</v>
      </c>
      <c r="BK187" s="49">
        <f t="shared" si="58"/>
        <v>0</v>
      </c>
      <c r="BL187" s="49">
        <f t="shared" si="59"/>
        <v>1</v>
      </c>
      <c r="BM187" s="49">
        <f t="shared" si="60"/>
        <v>0</v>
      </c>
      <c r="BN187" s="49">
        <f t="shared" si="61"/>
        <v>0</v>
      </c>
      <c r="BO187" s="49">
        <f t="shared" si="62"/>
        <v>0</v>
      </c>
      <c r="BP187" s="49">
        <f t="shared" si="63"/>
        <v>1</v>
      </c>
      <c r="BQ187" s="49">
        <f t="shared" si="64"/>
        <v>0</v>
      </c>
      <c r="BR187" s="49">
        <f t="shared" si="65"/>
        <v>0</v>
      </c>
      <c r="BS187" s="49">
        <f t="shared" si="66"/>
        <v>0</v>
      </c>
      <c r="BT187" s="49">
        <f t="shared" si="67"/>
        <v>1</v>
      </c>
      <c r="BU187" s="49">
        <f t="shared" si="68"/>
        <v>0</v>
      </c>
      <c r="BV187" s="49">
        <f t="shared" si="69"/>
        <v>0</v>
      </c>
      <c r="BW187" s="49">
        <f t="shared" si="70"/>
        <v>0</v>
      </c>
      <c r="BX187" s="49">
        <f t="shared" si="71"/>
        <v>1</v>
      </c>
      <c r="BY187" s="49">
        <f t="shared" si="72"/>
        <v>0</v>
      </c>
      <c r="BZ187" s="49">
        <f t="shared" si="73"/>
        <v>0</v>
      </c>
      <c r="CA187" s="49">
        <f t="shared" si="74"/>
        <v>0</v>
      </c>
      <c r="CB187" s="49">
        <f t="shared" si="75"/>
        <v>1</v>
      </c>
      <c r="CC187" s="49">
        <f t="shared" si="76"/>
        <v>0</v>
      </c>
      <c r="CD187" s="49">
        <f t="shared" si="77"/>
        <v>0</v>
      </c>
      <c r="CE187" s="49">
        <f t="shared" si="78"/>
        <v>0</v>
      </c>
    </row>
    <row r="188" spans="1:83" ht="35.1" customHeight="1" x14ac:dyDescent="0.3">
      <c r="A188" s="123" t="str">
        <f t="shared" si="116"/>
        <v>2팀</v>
      </c>
      <c r="B188" s="69">
        <f t="shared" si="117"/>
        <v>182</v>
      </c>
      <c r="C188" s="120" t="str">
        <f>IF(VLOOKUP($B188,'1. 현장별 인원현황'!$C:$J,2,0)=0,"",VLOOKUP($B188,'1. 현장별 인원현황'!$C:$J,2,0))</f>
        <v xml:space="preserve"> [2.금호건설] 대웅제약 마곡연구소 신축공사</v>
      </c>
      <c r="D188" s="70" t="str">
        <f>IF(VLOOKUP($B188,'1. 현장별 인원현황'!$C:$J,3,0)=0,"",VLOOKUP($B188,'1. 현장별 인원현황'!$C:$J,3,0))</f>
        <v>윤영의</v>
      </c>
      <c r="E188" s="74" t="str">
        <f ca="1">IF(VLOOKUP($B188,'1. 현장별 인원현황'!$C:$J,4,0)=0,"",VLOOKUP($B188,'1. 현장별 인원현황'!$C:$J,4,0))</f>
        <v>63세</v>
      </c>
      <c r="F188" s="70" t="str">
        <f>IF(VLOOKUP($B188,'1. 현장별 인원현황'!$C:$J,7,0)=0,"",VLOOKUP($B188,'1. 현장별 인원현황'!$C:$J,7,0))</f>
        <v>기능공</v>
      </c>
      <c r="G188" s="72" t="str">
        <f>IF(VLOOKUP($B188,'1. 현장별 인원현황'!$C:$J,8,0)=0,"",VLOOKUP($B188,'1. 현장별 인원현황'!$C:$J,8,0))</f>
        <v>전공</v>
      </c>
      <c r="H188" s="67" t="s">
        <v>69</v>
      </c>
      <c r="I188" s="73"/>
      <c r="J188" s="73"/>
      <c r="K188" s="68"/>
      <c r="L188" s="67" t="s">
        <v>69</v>
      </c>
      <c r="M188" s="73"/>
      <c r="N188" s="73"/>
      <c r="O188" s="68"/>
      <c r="P188" s="67" t="s">
        <v>69</v>
      </c>
      <c r="Q188" s="73"/>
      <c r="R188" s="73"/>
      <c r="S188" s="68"/>
      <c r="T188" s="67" t="s">
        <v>69</v>
      </c>
      <c r="U188" s="73"/>
      <c r="V188" s="73"/>
      <c r="W188" s="68"/>
      <c r="X188" s="67" t="s">
        <v>69</v>
      </c>
      <c r="Y188" s="73"/>
      <c r="Z188" s="73"/>
      <c r="AA188" s="68"/>
      <c r="AB188" s="67" t="s">
        <v>69</v>
      </c>
      <c r="AC188" s="73"/>
      <c r="AD188" s="73"/>
      <c r="AE188" s="68"/>
      <c r="AF188" s="67" t="s">
        <v>69</v>
      </c>
      <c r="AG188" s="73"/>
      <c r="AH188" s="73"/>
      <c r="AI188" s="68"/>
      <c r="AJ188" s="67" t="s">
        <v>69</v>
      </c>
      <c r="AK188" s="73"/>
      <c r="AL188" s="73"/>
      <c r="AM188" s="68"/>
      <c r="AN188" s="73" t="s">
        <v>69</v>
      </c>
      <c r="AO188" s="73"/>
      <c r="AP188" s="73"/>
      <c r="AQ188" s="68"/>
      <c r="AR188" s="67">
        <f t="shared" si="118"/>
        <v>100</v>
      </c>
      <c r="AS188" s="68" t="str">
        <f t="shared" si="119"/>
        <v>S</v>
      </c>
      <c r="AV188" s="49">
        <f t="shared" si="79"/>
        <v>1</v>
      </c>
      <c r="AW188" s="49">
        <f t="shared" si="44"/>
        <v>0</v>
      </c>
      <c r="AX188" s="49">
        <f t="shared" si="45"/>
        <v>0</v>
      </c>
      <c r="AY188" s="49">
        <f t="shared" si="46"/>
        <v>0</v>
      </c>
      <c r="AZ188" s="49">
        <f t="shared" si="47"/>
        <v>1</v>
      </c>
      <c r="BA188" s="49">
        <f t="shared" si="48"/>
        <v>0</v>
      </c>
      <c r="BB188" s="49">
        <f t="shared" si="49"/>
        <v>0</v>
      </c>
      <c r="BC188" s="49">
        <f t="shared" si="50"/>
        <v>0</v>
      </c>
      <c r="BD188" s="49">
        <f t="shared" si="51"/>
        <v>1</v>
      </c>
      <c r="BE188" s="49">
        <f t="shared" si="52"/>
        <v>0</v>
      </c>
      <c r="BF188" s="49">
        <f t="shared" si="53"/>
        <v>0</v>
      </c>
      <c r="BG188" s="49">
        <f t="shared" si="54"/>
        <v>0</v>
      </c>
      <c r="BH188" s="49">
        <f t="shared" si="55"/>
        <v>1</v>
      </c>
      <c r="BI188" s="49">
        <f t="shared" si="56"/>
        <v>0</v>
      </c>
      <c r="BJ188" s="49">
        <f t="shared" si="57"/>
        <v>0</v>
      </c>
      <c r="BK188" s="49">
        <f t="shared" si="58"/>
        <v>0</v>
      </c>
      <c r="BL188" s="49">
        <f t="shared" si="59"/>
        <v>1</v>
      </c>
      <c r="BM188" s="49">
        <f t="shared" si="60"/>
        <v>0</v>
      </c>
      <c r="BN188" s="49">
        <f t="shared" si="61"/>
        <v>0</v>
      </c>
      <c r="BO188" s="49">
        <f t="shared" si="62"/>
        <v>0</v>
      </c>
      <c r="BP188" s="49">
        <f t="shared" si="63"/>
        <v>1</v>
      </c>
      <c r="BQ188" s="49">
        <f t="shared" si="64"/>
        <v>0</v>
      </c>
      <c r="BR188" s="49">
        <f t="shared" si="65"/>
        <v>0</v>
      </c>
      <c r="BS188" s="49">
        <f t="shared" si="66"/>
        <v>0</v>
      </c>
      <c r="BT188" s="49">
        <f t="shared" si="67"/>
        <v>1</v>
      </c>
      <c r="BU188" s="49">
        <f t="shared" si="68"/>
        <v>0</v>
      </c>
      <c r="BV188" s="49">
        <f t="shared" si="69"/>
        <v>0</v>
      </c>
      <c r="BW188" s="49">
        <f t="shared" si="70"/>
        <v>0</v>
      </c>
      <c r="BX188" s="49">
        <f t="shared" si="71"/>
        <v>1</v>
      </c>
      <c r="BY188" s="49">
        <f t="shared" si="72"/>
        <v>0</v>
      </c>
      <c r="BZ188" s="49">
        <f t="shared" si="73"/>
        <v>0</v>
      </c>
      <c r="CA188" s="49">
        <f t="shared" si="74"/>
        <v>0</v>
      </c>
      <c r="CB188" s="49">
        <f t="shared" si="75"/>
        <v>1</v>
      </c>
      <c r="CC188" s="49">
        <f t="shared" si="76"/>
        <v>0</v>
      </c>
      <c r="CD188" s="49">
        <f t="shared" si="77"/>
        <v>0</v>
      </c>
      <c r="CE188" s="49">
        <f t="shared" si="78"/>
        <v>0</v>
      </c>
    </row>
    <row r="189" spans="1:83" ht="35.1" customHeight="1" x14ac:dyDescent="0.3">
      <c r="A189" s="123" t="str">
        <f t="shared" si="116"/>
        <v>2팀</v>
      </c>
      <c r="B189" s="69">
        <f t="shared" si="117"/>
        <v>183</v>
      </c>
      <c r="C189" s="120" t="str">
        <f>IF(VLOOKUP($B189,'1. 현장별 인원현황'!$C:$J,2,0)=0,"",VLOOKUP($B189,'1. 현장별 인원현황'!$C:$J,2,0))</f>
        <v xml:space="preserve"> [2.금호건설] 대웅제약 마곡연구소 신축공사</v>
      </c>
      <c r="D189" s="70" t="str">
        <f>IF(VLOOKUP($B189,'1. 현장별 인원현황'!$C:$J,3,0)=0,"",VLOOKUP($B189,'1. 현장별 인원현황'!$C:$J,3,0))</f>
        <v>이용철</v>
      </c>
      <c r="E189" s="74" t="str">
        <f ca="1">IF(VLOOKUP($B189,'1. 현장별 인원현황'!$C:$J,4,0)=0,"",VLOOKUP($B189,'1. 현장별 인원현황'!$C:$J,4,0))</f>
        <v>56세</v>
      </c>
      <c r="F189" s="70" t="str">
        <f>IF(VLOOKUP($B189,'1. 현장별 인원현황'!$C:$J,7,0)=0,"",VLOOKUP($B189,'1. 현장별 인원현황'!$C:$J,7,0))</f>
        <v>기능공</v>
      </c>
      <c r="G189" s="72" t="str">
        <f>IF(VLOOKUP($B189,'1. 현장별 인원현황'!$C:$J,8,0)=0,"",VLOOKUP($B189,'1. 현장별 인원현황'!$C:$J,8,0))</f>
        <v>전공</v>
      </c>
      <c r="H189" s="67"/>
      <c r="I189" s="73" t="s">
        <v>69</v>
      </c>
      <c r="J189" s="73"/>
      <c r="K189" s="68"/>
      <c r="L189" s="67"/>
      <c r="M189" s="73" t="s">
        <v>69</v>
      </c>
      <c r="N189" s="73"/>
      <c r="O189" s="68"/>
      <c r="P189" s="67"/>
      <c r="Q189" s="73" t="s">
        <v>69</v>
      </c>
      <c r="R189" s="73"/>
      <c r="S189" s="68"/>
      <c r="T189" s="67"/>
      <c r="U189" s="73" t="s">
        <v>69</v>
      </c>
      <c r="V189" s="73"/>
      <c r="W189" s="68"/>
      <c r="X189" s="67"/>
      <c r="Y189" s="73" t="s">
        <v>69</v>
      </c>
      <c r="Z189" s="73"/>
      <c r="AA189" s="68"/>
      <c r="AB189" s="67"/>
      <c r="AC189" s="73" t="s">
        <v>69</v>
      </c>
      <c r="AD189" s="73"/>
      <c r="AE189" s="68"/>
      <c r="AF189" s="67" t="s">
        <v>69</v>
      </c>
      <c r="AG189" s="73"/>
      <c r="AH189" s="73"/>
      <c r="AI189" s="68"/>
      <c r="AJ189" s="67" t="s">
        <v>69</v>
      </c>
      <c r="AK189" s="73"/>
      <c r="AL189" s="73"/>
      <c r="AM189" s="68"/>
      <c r="AN189" s="73" t="s">
        <v>69</v>
      </c>
      <c r="AO189" s="73"/>
      <c r="AP189" s="73"/>
      <c r="AQ189" s="68"/>
      <c r="AR189" s="67">
        <f t="shared" si="118"/>
        <v>85</v>
      </c>
      <c r="AS189" s="68" t="str">
        <f t="shared" si="119"/>
        <v>A</v>
      </c>
      <c r="AV189" s="49">
        <f t="shared" si="79"/>
        <v>0</v>
      </c>
      <c r="AW189" s="49">
        <f t="shared" si="44"/>
        <v>1</v>
      </c>
      <c r="AX189" s="49">
        <f t="shared" si="45"/>
        <v>0</v>
      </c>
      <c r="AY189" s="49">
        <f t="shared" si="46"/>
        <v>0</v>
      </c>
      <c r="AZ189" s="49">
        <f t="shared" si="47"/>
        <v>0</v>
      </c>
      <c r="BA189" s="49">
        <f t="shared" si="48"/>
        <v>1</v>
      </c>
      <c r="BB189" s="49">
        <f t="shared" si="49"/>
        <v>0</v>
      </c>
      <c r="BC189" s="49">
        <f t="shared" si="50"/>
        <v>0</v>
      </c>
      <c r="BD189" s="49">
        <f t="shared" si="51"/>
        <v>0</v>
      </c>
      <c r="BE189" s="49">
        <f t="shared" si="52"/>
        <v>1</v>
      </c>
      <c r="BF189" s="49">
        <f t="shared" si="53"/>
        <v>0</v>
      </c>
      <c r="BG189" s="49">
        <f t="shared" si="54"/>
        <v>0</v>
      </c>
      <c r="BH189" s="49">
        <f t="shared" si="55"/>
        <v>0</v>
      </c>
      <c r="BI189" s="49">
        <f t="shared" si="56"/>
        <v>1</v>
      </c>
      <c r="BJ189" s="49">
        <f t="shared" si="57"/>
        <v>0</v>
      </c>
      <c r="BK189" s="49">
        <f t="shared" si="58"/>
        <v>0</v>
      </c>
      <c r="BL189" s="49">
        <f t="shared" si="59"/>
        <v>0</v>
      </c>
      <c r="BM189" s="49">
        <f t="shared" si="60"/>
        <v>1</v>
      </c>
      <c r="BN189" s="49">
        <f t="shared" si="61"/>
        <v>0</v>
      </c>
      <c r="BO189" s="49">
        <f t="shared" si="62"/>
        <v>0</v>
      </c>
      <c r="BP189" s="49">
        <f t="shared" si="63"/>
        <v>0</v>
      </c>
      <c r="BQ189" s="49">
        <f t="shared" si="64"/>
        <v>1</v>
      </c>
      <c r="BR189" s="49">
        <f t="shared" si="65"/>
        <v>0</v>
      </c>
      <c r="BS189" s="49">
        <f t="shared" si="66"/>
        <v>0</v>
      </c>
      <c r="BT189" s="49">
        <f t="shared" si="67"/>
        <v>1</v>
      </c>
      <c r="BU189" s="49">
        <f t="shared" si="68"/>
        <v>0</v>
      </c>
      <c r="BV189" s="49">
        <f t="shared" si="69"/>
        <v>0</v>
      </c>
      <c r="BW189" s="49">
        <f t="shared" si="70"/>
        <v>0</v>
      </c>
      <c r="BX189" s="49">
        <f t="shared" si="71"/>
        <v>1</v>
      </c>
      <c r="BY189" s="49">
        <f t="shared" si="72"/>
        <v>0</v>
      </c>
      <c r="BZ189" s="49">
        <f t="shared" si="73"/>
        <v>0</v>
      </c>
      <c r="CA189" s="49">
        <f t="shared" si="74"/>
        <v>0</v>
      </c>
      <c r="CB189" s="49">
        <f t="shared" si="75"/>
        <v>1</v>
      </c>
      <c r="CC189" s="49">
        <f t="shared" si="76"/>
        <v>0</v>
      </c>
      <c r="CD189" s="49">
        <f t="shared" si="77"/>
        <v>0</v>
      </c>
      <c r="CE189" s="49">
        <f t="shared" si="78"/>
        <v>0</v>
      </c>
    </row>
    <row r="190" spans="1:83" ht="35.1" customHeight="1" x14ac:dyDescent="0.3">
      <c r="A190" s="123" t="str">
        <f t="shared" si="116"/>
        <v>2팀</v>
      </c>
      <c r="B190" s="69">
        <f t="shared" si="117"/>
        <v>184</v>
      </c>
      <c r="C190" s="120" t="str">
        <f>IF(VLOOKUP($B190,'1. 현장별 인원현황'!$C:$J,2,0)=0,"",VLOOKUP($B190,'1. 현장별 인원현황'!$C:$J,2,0))</f>
        <v xml:space="preserve"> [2.금호건설] 대웅제약 마곡연구소 신축공사</v>
      </c>
      <c r="D190" s="70" t="str">
        <f>IF(VLOOKUP($B190,'1. 현장별 인원현황'!$C:$J,3,0)=0,"",VLOOKUP($B190,'1. 현장별 인원현황'!$C:$J,3,0))</f>
        <v>정해승</v>
      </c>
      <c r="E190" s="74" t="str">
        <f ca="1">IF(VLOOKUP($B190,'1. 현장별 인원현황'!$C:$J,4,0)=0,"",VLOOKUP($B190,'1. 현장별 인원현황'!$C:$J,4,0))</f>
        <v>59세</v>
      </c>
      <c r="F190" s="70" t="str">
        <f>IF(VLOOKUP($B190,'1. 현장별 인원현황'!$C:$J,7,0)=0,"",VLOOKUP($B190,'1. 현장별 인원현황'!$C:$J,7,0))</f>
        <v>기능공</v>
      </c>
      <c r="G190" s="72" t="str">
        <f>IF(VLOOKUP($B190,'1. 현장별 인원현황'!$C:$J,8,0)=0,"",VLOOKUP($B190,'1. 현장별 인원현황'!$C:$J,8,0))</f>
        <v>전공</v>
      </c>
      <c r="H190" s="67" t="s">
        <v>69</v>
      </c>
      <c r="I190" s="73"/>
      <c r="J190" s="73"/>
      <c r="K190" s="68"/>
      <c r="L190" s="67" t="s">
        <v>69</v>
      </c>
      <c r="M190" s="73"/>
      <c r="N190" s="73"/>
      <c r="O190" s="68"/>
      <c r="P190" s="67" t="s">
        <v>69</v>
      </c>
      <c r="Q190" s="73"/>
      <c r="R190" s="73"/>
      <c r="S190" s="68"/>
      <c r="T190" s="67" t="s">
        <v>69</v>
      </c>
      <c r="U190" s="73"/>
      <c r="V190" s="73"/>
      <c r="W190" s="68"/>
      <c r="X190" s="67" t="s">
        <v>69</v>
      </c>
      <c r="Y190" s="73"/>
      <c r="Z190" s="73"/>
      <c r="AA190" s="68"/>
      <c r="AB190" s="67" t="s">
        <v>69</v>
      </c>
      <c r="AC190" s="73"/>
      <c r="AD190" s="73"/>
      <c r="AE190" s="68"/>
      <c r="AF190" s="67" t="s">
        <v>69</v>
      </c>
      <c r="AG190" s="73"/>
      <c r="AH190" s="73"/>
      <c r="AI190" s="68"/>
      <c r="AJ190" s="67" t="s">
        <v>69</v>
      </c>
      <c r="AK190" s="73"/>
      <c r="AL190" s="73"/>
      <c r="AM190" s="68"/>
      <c r="AN190" s="73" t="s">
        <v>69</v>
      </c>
      <c r="AO190" s="73"/>
      <c r="AP190" s="73"/>
      <c r="AQ190" s="68"/>
      <c r="AR190" s="67">
        <f t="shared" si="118"/>
        <v>100</v>
      </c>
      <c r="AS190" s="68" t="str">
        <f t="shared" si="119"/>
        <v>S</v>
      </c>
      <c r="AV190" s="49">
        <f t="shared" si="79"/>
        <v>1</v>
      </c>
      <c r="AW190" s="49">
        <f t="shared" si="44"/>
        <v>0</v>
      </c>
      <c r="AX190" s="49">
        <f t="shared" si="45"/>
        <v>0</v>
      </c>
      <c r="AY190" s="49">
        <f t="shared" si="46"/>
        <v>0</v>
      </c>
      <c r="AZ190" s="49">
        <f t="shared" si="47"/>
        <v>1</v>
      </c>
      <c r="BA190" s="49">
        <f t="shared" si="48"/>
        <v>0</v>
      </c>
      <c r="BB190" s="49">
        <f t="shared" si="49"/>
        <v>0</v>
      </c>
      <c r="BC190" s="49">
        <f t="shared" si="50"/>
        <v>0</v>
      </c>
      <c r="BD190" s="49">
        <f t="shared" si="51"/>
        <v>1</v>
      </c>
      <c r="BE190" s="49">
        <f t="shared" si="52"/>
        <v>0</v>
      </c>
      <c r="BF190" s="49">
        <f t="shared" si="53"/>
        <v>0</v>
      </c>
      <c r="BG190" s="49">
        <f t="shared" si="54"/>
        <v>0</v>
      </c>
      <c r="BH190" s="49">
        <f t="shared" si="55"/>
        <v>1</v>
      </c>
      <c r="BI190" s="49">
        <f t="shared" si="56"/>
        <v>0</v>
      </c>
      <c r="BJ190" s="49">
        <f t="shared" si="57"/>
        <v>0</v>
      </c>
      <c r="BK190" s="49">
        <f t="shared" si="58"/>
        <v>0</v>
      </c>
      <c r="BL190" s="49">
        <f t="shared" si="59"/>
        <v>1</v>
      </c>
      <c r="BM190" s="49">
        <f t="shared" si="60"/>
        <v>0</v>
      </c>
      <c r="BN190" s="49">
        <f t="shared" si="61"/>
        <v>0</v>
      </c>
      <c r="BO190" s="49">
        <f t="shared" si="62"/>
        <v>0</v>
      </c>
      <c r="BP190" s="49">
        <f t="shared" si="63"/>
        <v>1</v>
      </c>
      <c r="BQ190" s="49">
        <f t="shared" si="64"/>
        <v>0</v>
      </c>
      <c r="BR190" s="49">
        <f t="shared" si="65"/>
        <v>0</v>
      </c>
      <c r="BS190" s="49">
        <f t="shared" si="66"/>
        <v>0</v>
      </c>
      <c r="BT190" s="49">
        <f t="shared" si="67"/>
        <v>1</v>
      </c>
      <c r="BU190" s="49">
        <f t="shared" si="68"/>
        <v>0</v>
      </c>
      <c r="BV190" s="49">
        <f t="shared" si="69"/>
        <v>0</v>
      </c>
      <c r="BW190" s="49">
        <f t="shared" si="70"/>
        <v>0</v>
      </c>
      <c r="BX190" s="49">
        <f t="shared" si="71"/>
        <v>1</v>
      </c>
      <c r="BY190" s="49">
        <f t="shared" si="72"/>
        <v>0</v>
      </c>
      <c r="BZ190" s="49">
        <f t="shared" si="73"/>
        <v>0</v>
      </c>
      <c r="CA190" s="49">
        <f t="shared" si="74"/>
        <v>0</v>
      </c>
      <c r="CB190" s="49">
        <f t="shared" si="75"/>
        <v>1</v>
      </c>
      <c r="CC190" s="49">
        <f t="shared" si="76"/>
        <v>0</v>
      </c>
      <c r="CD190" s="49">
        <f t="shared" si="77"/>
        <v>0</v>
      </c>
      <c r="CE190" s="49">
        <f t="shared" si="78"/>
        <v>0</v>
      </c>
    </row>
    <row r="191" spans="1:83" ht="35.1" customHeight="1" x14ac:dyDescent="0.3">
      <c r="A191" s="123" t="str">
        <f t="shared" si="116"/>
        <v>2팀</v>
      </c>
      <c r="B191" s="69">
        <f t="shared" si="117"/>
        <v>185</v>
      </c>
      <c r="C191" s="120" t="str">
        <f>IF(VLOOKUP($B191,'1. 현장별 인원현황'!$C:$J,2,0)=0,"",VLOOKUP($B191,'1. 현장별 인원현황'!$C:$J,2,0))</f>
        <v xml:space="preserve"> [2.금호건설] 대웅제약 마곡연구소 신축공사</v>
      </c>
      <c r="D191" s="70" t="str">
        <f>IF(VLOOKUP($B191,'1. 현장별 인원현황'!$C:$J,3,0)=0,"",VLOOKUP($B191,'1. 현장별 인원현황'!$C:$J,3,0))</f>
        <v>반채문</v>
      </c>
      <c r="E191" s="74" t="str">
        <f ca="1">IF(VLOOKUP($B191,'1. 현장별 인원현황'!$C:$J,4,0)=0,"",VLOOKUP($B191,'1. 현장별 인원현황'!$C:$J,4,0))</f>
        <v>59세</v>
      </c>
      <c r="F191" s="70" t="str">
        <f>IF(VLOOKUP($B191,'1. 현장별 인원현황'!$C:$J,7,0)=0,"",VLOOKUP($B191,'1. 현장별 인원현황'!$C:$J,7,0))</f>
        <v>기능공</v>
      </c>
      <c r="G191" s="72" t="str">
        <f>IF(VLOOKUP($B191,'1. 현장별 인원현황'!$C:$J,8,0)=0,"",VLOOKUP($B191,'1. 현장별 인원현황'!$C:$J,8,0))</f>
        <v>전공</v>
      </c>
      <c r="H191" s="67" t="s">
        <v>69</v>
      </c>
      <c r="I191" s="73"/>
      <c r="J191" s="73"/>
      <c r="K191" s="68"/>
      <c r="L191" s="67" t="s">
        <v>69</v>
      </c>
      <c r="M191" s="73"/>
      <c r="N191" s="73"/>
      <c r="O191" s="68"/>
      <c r="P191" s="67" t="s">
        <v>69</v>
      </c>
      <c r="Q191" s="73"/>
      <c r="R191" s="73"/>
      <c r="S191" s="68"/>
      <c r="T191" s="67" t="s">
        <v>69</v>
      </c>
      <c r="U191" s="73"/>
      <c r="V191" s="73"/>
      <c r="W191" s="68"/>
      <c r="X191" s="67" t="s">
        <v>69</v>
      </c>
      <c r="Y191" s="73"/>
      <c r="Z191" s="73"/>
      <c r="AA191" s="68"/>
      <c r="AB191" s="67" t="s">
        <v>69</v>
      </c>
      <c r="AC191" s="73"/>
      <c r="AD191" s="73"/>
      <c r="AE191" s="68"/>
      <c r="AF191" s="67" t="s">
        <v>69</v>
      </c>
      <c r="AG191" s="73"/>
      <c r="AH191" s="73"/>
      <c r="AI191" s="68"/>
      <c r="AJ191" s="67" t="s">
        <v>69</v>
      </c>
      <c r="AK191" s="73"/>
      <c r="AL191" s="73"/>
      <c r="AM191" s="68"/>
      <c r="AN191" s="73" t="s">
        <v>69</v>
      </c>
      <c r="AO191" s="73"/>
      <c r="AP191" s="73"/>
      <c r="AQ191" s="68"/>
      <c r="AR191" s="67">
        <f t="shared" si="118"/>
        <v>100</v>
      </c>
      <c r="AS191" s="68" t="str">
        <f t="shared" si="119"/>
        <v>S</v>
      </c>
      <c r="AV191" s="49">
        <f t="shared" si="79"/>
        <v>1</v>
      </c>
      <c r="AW191" s="49">
        <f t="shared" si="44"/>
        <v>0</v>
      </c>
      <c r="AX191" s="49">
        <f t="shared" si="45"/>
        <v>0</v>
      </c>
      <c r="AY191" s="49">
        <f t="shared" si="46"/>
        <v>0</v>
      </c>
      <c r="AZ191" s="49">
        <f t="shared" si="47"/>
        <v>1</v>
      </c>
      <c r="BA191" s="49">
        <f t="shared" si="48"/>
        <v>0</v>
      </c>
      <c r="BB191" s="49">
        <f t="shared" si="49"/>
        <v>0</v>
      </c>
      <c r="BC191" s="49">
        <f t="shared" si="50"/>
        <v>0</v>
      </c>
      <c r="BD191" s="49">
        <f t="shared" si="51"/>
        <v>1</v>
      </c>
      <c r="BE191" s="49">
        <f t="shared" si="52"/>
        <v>0</v>
      </c>
      <c r="BF191" s="49">
        <f t="shared" si="53"/>
        <v>0</v>
      </c>
      <c r="BG191" s="49">
        <f t="shared" si="54"/>
        <v>0</v>
      </c>
      <c r="BH191" s="49">
        <f t="shared" si="55"/>
        <v>1</v>
      </c>
      <c r="BI191" s="49">
        <f t="shared" si="56"/>
        <v>0</v>
      </c>
      <c r="BJ191" s="49">
        <f t="shared" si="57"/>
        <v>0</v>
      </c>
      <c r="BK191" s="49">
        <f t="shared" si="58"/>
        <v>0</v>
      </c>
      <c r="BL191" s="49">
        <f t="shared" si="59"/>
        <v>1</v>
      </c>
      <c r="BM191" s="49">
        <f t="shared" si="60"/>
        <v>0</v>
      </c>
      <c r="BN191" s="49">
        <f t="shared" si="61"/>
        <v>0</v>
      </c>
      <c r="BO191" s="49">
        <f t="shared" si="62"/>
        <v>0</v>
      </c>
      <c r="BP191" s="49">
        <f t="shared" si="63"/>
        <v>1</v>
      </c>
      <c r="BQ191" s="49">
        <f t="shared" si="64"/>
        <v>0</v>
      </c>
      <c r="BR191" s="49">
        <f t="shared" si="65"/>
        <v>0</v>
      </c>
      <c r="BS191" s="49">
        <f t="shared" si="66"/>
        <v>0</v>
      </c>
      <c r="BT191" s="49">
        <f t="shared" si="67"/>
        <v>1</v>
      </c>
      <c r="BU191" s="49">
        <f t="shared" si="68"/>
        <v>0</v>
      </c>
      <c r="BV191" s="49">
        <f t="shared" si="69"/>
        <v>0</v>
      </c>
      <c r="BW191" s="49">
        <f t="shared" si="70"/>
        <v>0</v>
      </c>
      <c r="BX191" s="49">
        <f t="shared" si="71"/>
        <v>1</v>
      </c>
      <c r="BY191" s="49">
        <f t="shared" si="72"/>
        <v>0</v>
      </c>
      <c r="BZ191" s="49">
        <f t="shared" si="73"/>
        <v>0</v>
      </c>
      <c r="CA191" s="49">
        <f t="shared" si="74"/>
        <v>0</v>
      </c>
      <c r="CB191" s="49">
        <f t="shared" si="75"/>
        <v>1</v>
      </c>
      <c r="CC191" s="49">
        <f t="shared" si="76"/>
        <v>0</v>
      </c>
      <c r="CD191" s="49">
        <f t="shared" si="77"/>
        <v>0</v>
      </c>
      <c r="CE191" s="49">
        <f t="shared" si="78"/>
        <v>0</v>
      </c>
    </row>
    <row r="192" spans="1:83" ht="35.1" customHeight="1" x14ac:dyDescent="0.3">
      <c r="A192" s="123" t="str">
        <f t="shared" si="116"/>
        <v>2팀</v>
      </c>
      <c r="B192" s="69">
        <f t="shared" si="117"/>
        <v>186</v>
      </c>
      <c r="C192" s="120" t="str">
        <f>IF(VLOOKUP($B192,'1. 현장별 인원현황'!$C:$J,2,0)=0,"",VLOOKUP($B192,'1. 현장별 인원현황'!$C:$J,2,0))</f>
        <v xml:space="preserve"> [2.금호건설] 대웅제약 마곡연구소 신축공사</v>
      </c>
      <c r="D192" s="70" t="str">
        <f>IF(VLOOKUP($B192,'1. 현장별 인원현황'!$C:$J,3,0)=0,"",VLOOKUP($B192,'1. 현장별 인원현황'!$C:$J,3,0))</f>
        <v>이승재</v>
      </c>
      <c r="E192" s="74" t="str">
        <f ca="1">IF(VLOOKUP($B192,'1. 현장별 인원현황'!$C:$J,4,0)=0,"",VLOOKUP($B192,'1. 현장별 인원현황'!$C:$J,4,0))</f>
        <v>33세</v>
      </c>
      <c r="F192" s="70" t="str">
        <f>IF(VLOOKUP($B192,'1. 현장별 인원현황'!$C:$J,7,0)=0,"",VLOOKUP($B192,'1. 현장별 인원현황'!$C:$J,7,0))</f>
        <v>기능공</v>
      </c>
      <c r="G192" s="72" t="str">
        <f>IF(VLOOKUP($B192,'1. 현장별 인원현황'!$C:$J,8,0)=0,"",VLOOKUP($B192,'1. 현장별 인원현황'!$C:$J,8,0))</f>
        <v>조공</v>
      </c>
      <c r="H192" s="67"/>
      <c r="I192" s="73"/>
      <c r="J192" s="73" t="s">
        <v>69</v>
      </c>
      <c r="K192" s="68"/>
      <c r="L192" s="67" t="s">
        <v>69</v>
      </c>
      <c r="M192" s="73"/>
      <c r="N192" s="73"/>
      <c r="O192" s="68"/>
      <c r="P192" s="67"/>
      <c r="Q192" s="73" t="s">
        <v>69</v>
      </c>
      <c r="R192" s="73"/>
      <c r="S192" s="68"/>
      <c r="T192" s="67"/>
      <c r="U192" s="73" t="s">
        <v>69</v>
      </c>
      <c r="V192" s="73"/>
      <c r="W192" s="68"/>
      <c r="X192" s="67" t="s">
        <v>69</v>
      </c>
      <c r="Y192" s="73"/>
      <c r="Z192" s="73"/>
      <c r="AA192" s="68"/>
      <c r="AB192" s="67" t="s">
        <v>69</v>
      </c>
      <c r="AC192" s="73"/>
      <c r="AD192" s="73"/>
      <c r="AE192" s="68"/>
      <c r="AF192" s="67" t="s">
        <v>69</v>
      </c>
      <c r="AG192" s="73"/>
      <c r="AH192" s="73"/>
      <c r="AI192" s="68"/>
      <c r="AJ192" s="67" t="s">
        <v>69</v>
      </c>
      <c r="AK192" s="73"/>
      <c r="AL192" s="73"/>
      <c r="AM192" s="68"/>
      <c r="AN192" s="73" t="s">
        <v>69</v>
      </c>
      <c r="AO192" s="73"/>
      <c r="AP192" s="73"/>
      <c r="AQ192" s="68"/>
      <c r="AR192" s="67">
        <f t="shared" si="118"/>
        <v>89</v>
      </c>
      <c r="AS192" s="68" t="str">
        <f t="shared" si="119"/>
        <v>S</v>
      </c>
      <c r="AV192" s="49">
        <f t="shared" si="79"/>
        <v>0</v>
      </c>
      <c r="AW192" s="49">
        <f t="shared" si="44"/>
        <v>0</v>
      </c>
      <c r="AX192" s="49">
        <f t="shared" si="45"/>
        <v>1</v>
      </c>
      <c r="AY192" s="49">
        <f t="shared" si="46"/>
        <v>0</v>
      </c>
      <c r="AZ192" s="49">
        <f t="shared" si="47"/>
        <v>1</v>
      </c>
      <c r="BA192" s="49">
        <f t="shared" si="48"/>
        <v>0</v>
      </c>
      <c r="BB192" s="49">
        <f t="shared" si="49"/>
        <v>0</v>
      </c>
      <c r="BC192" s="49">
        <f t="shared" si="50"/>
        <v>0</v>
      </c>
      <c r="BD192" s="49">
        <f t="shared" si="51"/>
        <v>0</v>
      </c>
      <c r="BE192" s="49">
        <f t="shared" si="52"/>
        <v>1</v>
      </c>
      <c r="BF192" s="49">
        <f t="shared" si="53"/>
        <v>0</v>
      </c>
      <c r="BG192" s="49">
        <f t="shared" si="54"/>
        <v>0</v>
      </c>
      <c r="BH192" s="49">
        <f t="shared" si="55"/>
        <v>0</v>
      </c>
      <c r="BI192" s="49">
        <f t="shared" si="56"/>
        <v>1</v>
      </c>
      <c r="BJ192" s="49">
        <f t="shared" si="57"/>
        <v>0</v>
      </c>
      <c r="BK192" s="49">
        <f t="shared" si="58"/>
        <v>0</v>
      </c>
      <c r="BL192" s="49">
        <f t="shared" si="59"/>
        <v>1</v>
      </c>
      <c r="BM192" s="49">
        <f t="shared" si="60"/>
        <v>0</v>
      </c>
      <c r="BN192" s="49">
        <f t="shared" si="61"/>
        <v>0</v>
      </c>
      <c r="BO192" s="49">
        <f t="shared" si="62"/>
        <v>0</v>
      </c>
      <c r="BP192" s="49">
        <f t="shared" si="63"/>
        <v>1</v>
      </c>
      <c r="BQ192" s="49">
        <f t="shared" si="64"/>
        <v>0</v>
      </c>
      <c r="BR192" s="49">
        <f t="shared" si="65"/>
        <v>0</v>
      </c>
      <c r="BS192" s="49">
        <f t="shared" si="66"/>
        <v>0</v>
      </c>
      <c r="BT192" s="49">
        <f t="shared" si="67"/>
        <v>1</v>
      </c>
      <c r="BU192" s="49">
        <f t="shared" si="68"/>
        <v>0</v>
      </c>
      <c r="BV192" s="49">
        <f t="shared" si="69"/>
        <v>0</v>
      </c>
      <c r="BW192" s="49">
        <f t="shared" si="70"/>
        <v>0</v>
      </c>
      <c r="BX192" s="49">
        <f t="shared" si="71"/>
        <v>1</v>
      </c>
      <c r="BY192" s="49">
        <f t="shared" si="72"/>
        <v>0</v>
      </c>
      <c r="BZ192" s="49">
        <f t="shared" si="73"/>
        <v>0</v>
      </c>
      <c r="CA192" s="49">
        <f t="shared" si="74"/>
        <v>0</v>
      </c>
      <c r="CB192" s="49">
        <f t="shared" si="75"/>
        <v>1</v>
      </c>
      <c r="CC192" s="49">
        <f t="shared" si="76"/>
        <v>0</v>
      </c>
      <c r="CD192" s="49">
        <f t="shared" si="77"/>
        <v>0</v>
      </c>
      <c r="CE192" s="49">
        <f t="shared" si="78"/>
        <v>0</v>
      </c>
    </row>
    <row r="193" spans="1:83" ht="35.1" customHeight="1" x14ac:dyDescent="0.3">
      <c r="A193" s="123" t="str">
        <f t="shared" si="116"/>
        <v>2팀</v>
      </c>
      <c r="B193" s="69">
        <f t="shared" si="117"/>
        <v>187</v>
      </c>
      <c r="C193" s="120" t="str">
        <f>IF(VLOOKUP($B193,'1. 현장별 인원현황'!$C:$J,2,0)=0,"",VLOOKUP($B193,'1. 현장별 인원현황'!$C:$J,2,0))</f>
        <v xml:space="preserve"> [2.금호건설] 대웅제약 마곡연구소 신축공사</v>
      </c>
      <c r="D193" s="70" t="str">
        <f>IF(VLOOKUP($B193,'1. 현장별 인원현황'!$C:$J,3,0)=0,"",VLOOKUP($B193,'1. 현장별 인원현황'!$C:$J,3,0))</f>
        <v>박장순</v>
      </c>
      <c r="E193" s="74" t="str">
        <f ca="1">IF(VLOOKUP($B193,'1. 현장별 인원현황'!$C:$J,4,0)=0,"",VLOOKUP($B193,'1. 현장별 인원현황'!$C:$J,4,0))</f>
        <v>44세</v>
      </c>
      <c r="F193" s="70" t="str">
        <f>IF(VLOOKUP($B193,'1. 현장별 인원현황'!$C:$J,7,0)=0,"",VLOOKUP($B193,'1. 현장별 인원현황'!$C:$J,7,0))</f>
        <v>기능공</v>
      </c>
      <c r="G193" s="72" t="str">
        <f>IF(VLOOKUP($B193,'1. 현장별 인원현황'!$C:$J,8,0)=0,"",VLOOKUP($B193,'1. 현장별 인원현황'!$C:$J,8,0))</f>
        <v>조공</v>
      </c>
      <c r="H193" s="67"/>
      <c r="I193" s="73"/>
      <c r="J193" s="73" t="s">
        <v>69</v>
      </c>
      <c r="K193" s="68"/>
      <c r="L193" s="67"/>
      <c r="M193" s="73" t="s">
        <v>69</v>
      </c>
      <c r="N193" s="73"/>
      <c r="O193" s="68"/>
      <c r="P193" s="67"/>
      <c r="Q193" s="73" t="s">
        <v>69</v>
      </c>
      <c r="R193" s="73"/>
      <c r="S193" s="68"/>
      <c r="T193" s="67"/>
      <c r="U193" s="73" t="s">
        <v>69</v>
      </c>
      <c r="V193" s="73"/>
      <c r="W193" s="68"/>
      <c r="X193" s="67"/>
      <c r="Y193" s="73" t="s">
        <v>69</v>
      </c>
      <c r="Z193" s="73"/>
      <c r="AA193" s="68"/>
      <c r="AB193" s="67"/>
      <c r="AC193" s="73" t="s">
        <v>69</v>
      </c>
      <c r="AD193" s="73"/>
      <c r="AE193" s="68"/>
      <c r="AF193" s="67"/>
      <c r="AG193" s="73" t="s">
        <v>69</v>
      </c>
      <c r="AH193" s="73"/>
      <c r="AI193" s="68"/>
      <c r="AJ193" s="67" t="s">
        <v>69</v>
      </c>
      <c r="AK193" s="73"/>
      <c r="AL193" s="73"/>
      <c r="AM193" s="68"/>
      <c r="AN193" s="73" t="s">
        <v>69</v>
      </c>
      <c r="AO193" s="73"/>
      <c r="AP193" s="73"/>
      <c r="AQ193" s="68"/>
      <c r="AR193" s="67">
        <f t="shared" si="118"/>
        <v>80</v>
      </c>
      <c r="AS193" s="68" t="str">
        <f t="shared" si="119"/>
        <v>A</v>
      </c>
      <c r="AV193" s="49">
        <f t="shared" si="79"/>
        <v>0</v>
      </c>
      <c r="AW193" s="49">
        <f t="shared" si="44"/>
        <v>0</v>
      </c>
      <c r="AX193" s="49">
        <f t="shared" si="45"/>
        <v>1</v>
      </c>
      <c r="AY193" s="49">
        <f t="shared" si="46"/>
        <v>0</v>
      </c>
      <c r="AZ193" s="49">
        <f t="shared" si="47"/>
        <v>0</v>
      </c>
      <c r="BA193" s="49">
        <f t="shared" si="48"/>
        <v>1</v>
      </c>
      <c r="BB193" s="49">
        <f t="shared" si="49"/>
        <v>0</v>
      </c>
      <c r="BC193" s="49">
        <f t="shared" si="50"/>
        <v>0</v>
      </c>
      <c r="BD193" s="49">
        <f t="shared" si="51"/>
        <v>0</v>
      </c>
      <c r="BE193" s="49">
        <f t="shared" si="52"/>
        <v>1</v>
      </c>
      <c r="BF193" s="49">
        <f t="shared" si="53"/>
        <v>0</v>
      </c>
      <c r="BG193" s="49">
        <f t="shared" si="54"/>
        <v>0</v>
      </c>
      <c r="BH193" s="49">
        <f t="shared" si="55"/>
        <v>0</v>
      </c>
      <c r="BI193" s="49">
        <f t="shared" si="56"/>
        <v>1</v>
      </c>
      <c r="BJ193" s="49">
        <f t="shared" si="57"/>
        <v>0</v>
      </c>
      <c r="BK193" s="49">
        <f t="shared" si="58"/>
        <v>0</v>
      </c>
      <c r="BL193" s="49">
        <f t="shared" si="59"/>
        <v>0</v>
      </c>
      <c r="BM193" s="49">
        <f t="shared" si="60"/>
        <v>1</v>
      </c>
      <c r="BN193" s="49">
        <f t="shared" si="61"/>
        <v>0</v>
      </c>
      <c r="BO193" s="49">
        <f t="shared" si="62"/>
        <v>0</v>
      </c>
      <c r="BP193" s="49">
        <f t="shared" si="63"/>
        <v>0</v>
      </c>
      <c r="BQ193" s="49">
        <f t="shared" si="64"/>
        <v>1</v>
      </c>
      <c r="BR193" s="49">
        <f t="shared" si="65"/>
        <v>0</v>
      </c>
      <c r="BS193" s="49">
        <f t="shared" si="66"/>
        <v>0</v>
      </c>
      <c r="BT193" s="49">
        <f t="shared" si="67"/>
        <v>0</v>
      </c>
      <c r="BU193" s="49">
        <f t="shared" si="68"/>
        <v>1</v>
      </c>
      <c r="BV193" s="49">
        <f t="shared" si="69"/>
        <v>0</v>
      </c>
      <c r="BW193" s="49">
        <f t="shared" si="70"/>
        <v>0</v>
      </c>
      <c r="BX193" s="49">
        <f t="shared" si="71"/>
        <v>1</v>
      </c>
      <c r="BY193" s="49">
        <f t="shared" si="72"/>
        <v>0</v>
      </c>
      <c r="BZ193" s="49">
        <f t="shared" si="73"/>
        <v>0</v>
      </c>
      <c r="CA193" s="49">
        <f t="shared" si="74"/>
        <v>0</v>
      </c>
      <c r="CB193" s="49">
        <f t="shared" si="75"/>
        <v>1</v>
      </c>
      <c r="CC193" s="49">
        <f t="shared" si="76"/>
        <v>0</v>
      </c>
      <c r="CD193" s="49">
        <f t="shared" si="77"/>
        <v>0</v>
      </c>
      <c r="CE193" s="49">
        <f t="shared" si="78"/>
        <v>0</v>
      </c>
    </row>
    <row r="194" spans="1:83" ht="35.1" customHeight="1" x14ac:dyDescent="0.3">
      <c r="A194" s="123" t="str">
        <f t="shared" si="116"/>
        <v>2팀</v>
      </c>
      <c r="B194" s="69">
        <f t="shared" si="117"/>
        <v>188</v>
      </c>
      <c r="C194" s="120" t="str">
        <f>IF(VLOOKUP($B194,'1. 현장별 인원현황'!$C:$J,2,0)=0,"",VLOOKUP($B194,'1. 현장별 인원현황'!$C:$J,2,0))</f>
        <v xml:space="preserve"> [2.금호건설] 대웅제약 마곡연구소 신축공사</v>
      </c>
      <c r="D194" s="70" t="str">
        <f>IF(VLOOKUP($B194,'1. 현장별 인원현황'!$C:$J,3,0)=0,"",VLOOKUP($B194,'1. 현장별 인원현황'!$C:$J,3,0))</f>
        <v>김종석</v>
      </c>
      <c r="E194" s="74" t="str">
        <f ca="1">IF(VLOOKUP($B194,'1. 현장별 인원현황'!$C:$J,4,0)=0,"",VLOOKUP($B194,'1. 현장별 인원현황'!$C:$J,4,0))</f>
        <v>53세</v>
      </c>
      <c r="F194" s="70" t="str">
        <f>IF(VLOOKUP($B194,'1. 현장별 인원현황'!$C:$J,7,0)=0,"",VLOOKUP($B194,'1. 현장별 인원현황'!$C:$J,7,0))</f>
        <v>기능공</v>
      </c>
      <c r="G194" s="72" t="str">
        <f>IF(VLOOKUP($B194,'1. 현장별 인원현황'!$C:$J,8,0)=0,"",VLOOKUP($B194,'1. 현장별 인원현황'!$C:$J,8,0))</f>
        <v>전공</v>
      </c>
      <c r="H194" s="67"/>
      <c r="I194" s="73" t="s">
        <v>69</v>
      </c>
      <c r="J194" s="73"/>
      <c r="K194" s="68"/>
      <c r="L194" s="67"/>
      <c r="M194" s="73" t="s">
        <v>69</v>
      </c>
      <c r="N194" s="73"/>
      <c r="O194" s="68"/>
      <c r="P194" s="67"/>
      <c r="Q194" s="73" t="s">
        <v>69</v>
      </c>
      <c r="R194" s="73"/>
      <c r="S194" s="68"/>
      <c r="T194" s="67"/>
      <c r="U194" s="73" t="s">
        <v>69</v>
      </c>
      <c r="V194" s="73"/>
      <c r="W194" s="68"/>
      <c r="X194" s="67"/>
      <c r="Y194" s="73" t="s">
        <v>69</v>
      </c>
      <c r="Z194" s="73"/>
      <c r="AA194" s="68"/>
      <c r="AB194" s="67"/>
      <c r="AC194" s="73" t="s">
        <v>69</v>
      </c>
      <c r="AD194" s="73"/>
      <c r="AE194" s="68"/>
      <c r="AF194" s="67" t="s">
        <v>69</v>
      </c>
      <c r="AG194" s="73"/>
      <c r="AH194" s="73"/>
      <c r="AI194" s="68"/>
      <c r="AJ194" s="67" t="s">
        <v>69</v>
      </c>
      <c r="AK194" s="73"/>
      <c r="AL194" s="73"/>
      <c r="AM194" s="68"/>
      <c r="AN194" s="73" t="s">
        <v>69</v>
      </c>
      <c r="AO194" s="73"/>
      <c r="AP194" s="73"/>
      <c r="AQ194" s="68"/>
      <c r="AR194" s="67">
        <f t="shared" si="118"/>
        <v>85</v>
      </c>
      <c r="AS194" s="68" t="str">
        <f t="shared" si="119"/>
        <v>A</v>
      </c>
      <c r="AV194" s="49">
        <f t="shared" si="79"/>
        <v>0</v>
      </c>
      <c r="AW194" s="49">
        <f t="shared" si="44"/>
        <v>1</v>
      </c>
      <c r="AX194" s="49">
        <f t="shared" si="45"/>
        <v>0</v>
      </c>
      <c r="AY194" s="49">
        <f t="shared" si="46"/>
        <v>0</v>
      </c>
      <c r="AZ194" s="49">
        <f t="shared" si="47"/>
        <v>0</v>
      </c>
      <c r="BA194" s="49">
        <f t="shared" si="48"/>
        <v>1</v>
      </c>
      <c r="BB194" s="49">
        <f t="shared" si="49"/>
        <v>0</v>
      </c>
      <c r="BC194" s="49">
        <f t="shared" si="50"/>
        <v>0</v>
      </c>
      <c r="BD194" s="49">
        <f t="shared" si="51"/>
        <v>0</v>
      </c>
      <c r="BE194" s="49">
        <f t="shared" si="52"/>
        <v>1</v>
      </c>
      <c r="BF194" s="49">
        <f t="shared" si="53"/>
        <v>0</v>
      </c>
      <c r="BG194" s="49">
        <f t="shared" si="54"/>
        <v>0</v>
      </c>
      <c r="BH194" s="49">
        <f t="shared" si="55"/>
        <v>0</v>
      </c>
      <c r="BI194" s="49">
        <f t="shared" si="56"/>
        <v>1</v>
      </c>
      <c r="BJ194" s="49">
        <f t="shared" si="57"/>
        <v>0</v>
      </c>
      <c r="BK194" s="49">
        <f t="shared" si="58"/>
        <v>0</v>
      </c>
      <c r="BL194" s="49">
        <f t="shared" si="59"/>
        <v>0</v>
      </c>
      <c r="BM194" s="49">
        <f t="shared" si="60"/>
        <v>1</v>
      </c>
      <c r="BN194" s="49">
        <f t="shared" si="61"/>
        <v>0</v>
      </c>
      <c r="BO194" s="49">
        <f t="shared" si="62"/>
        <v>0</v>
      </c>
      <c r="BP194" s="49">
        <f t="shared" si="63"/>
        <v>0</v>
      </c>
      <c r="BQ194" s="49">
        <f t="shared" si="64"/>
        <v>1</v>
      </c>
      <c r="BR194" s="49">
        <f t="shared" si="65"/>
        <v>0</v>
      </c>
      <c r="BS194" s="49">
        <f t="shared" si="66"/>
        <v>0</v>
      </c>
      <c r="BT194" s="49">
        <f t="shared" si="67"/>
        <v>1</v>
      </c>
      <c r="BU194" s="49">
        <f t="shared" si="68"/>
        <v>0</v>
      </c>
      <c r="BV194" s="49">
        <f t="shared" si="69"/>
        <v>0</v>
      </c>
      <c r="BW194" s="49">
        <f t="shared" si="70"/>
        <v>0</v>
      </c>
      <c r="BX194" s="49">
        <f t="shared" si="71"/>
        <v>1</v>
      </c>
      <c r="BY194" s="49">
        <f t="shared" si="72"/>
        <v>0</v>
      </c>
      <c r="BZ194" s="49">
        <f t="shared" si="73"/>
        <v>0</v>
      </c>
      <c r="CA194" s="49">
        <f t="shared" si="74"/>
        <v>0</v>
      </c>
      <c r="CB194" s="49">
        <f t="shared" si="75"/>
        <v>1</v>
      </c>
      <c r="CC194" s="49">
        <f t="shared" si="76"/>
        <v>0</v>
      </c>
      <c r="CD194" s="49">
        <f t="shared" si="77"/>
        <v>0</v>
      </c>
      <c r="CE194" s="49">
        <f t="shared" si="78"/>
        <v>0</v>
      </c>
    </row>
    <row r="195" spans="1:83" ht="35.1" customHeight="1" x14ac:dyDescent="0.3">
      <c r="A195" s="123" t="str">
        <f t="shared" si="116"/>
        <v>2팀</v>
      </c>
      <c r="B195" s="69">
        <f t="shared" si="117"/>
        <v>189</v>
      </c>
      <c r="C195" s="120" t="str">
        <f>IF(VLOOKUP($B195,'1. 현장별 인원현황'!$C:$J,2,0)=0,"",VLOOKUP($B195,'1. 현장별 인원현황'!$C:$J,2,0))</f>
        <v xml:space="preserve"> [2.동부건설] 이천 안흥동 주상복합시설사업 전기공사</v>
      </c>
      <c r="D195" s="70" t="str">
        <f>IF(VLOOKUP($B195,'1. 현장별 인원현황'!$C:$J,3,0)=0,"",VLOOKUP($B195,'1. 현장별 인원현황'!$C:$J,3,0))</f>
        <v>김효순</v>
      </c>
      <c r="E195" s="74" t="str">
        <f ca="1">IF(VLOOKUP($B195,'1. 현장별 인원현황'!$C:$J,4,0)=0,"",VLOOKUP($B195,'1. 현장별 인원현황'!$C:$J,4,0))</f>
        <v>42세</v>
      </c>
      <c r="F195" s="70" t="str">
        <f>IF(VLOOKUP($B195,'1. 현장별 인원현황'!$C:$J,7,0)=0,"",VLOOKUP($B195,'1. 현장별 인원현황'!$C:$J,7,0))</f>
        <v>공무</v>
      </c>
      <c r="G195" s="72" t="str">
        <f>IF(VLOOKUP($B195,'1. 현장별 인원현황'!$C:$J,8,0)=0,"",VLOOKUP($B195,'1. 현장별 인원현황'!$C:$J,8,0))</f>
        <v>과장</v>
      </c>
      <c r="H195" s="67" t="s">
        <v>69</v>
      </c>
      <c r="I195" s="73"/>
      <c r="J195" s="73"/>
      <c r="K195" s="68"/>
      <c r="L195" s="67" t="s">
        <v>69</v>
      </c>
      <c r="M195" s="73"/>
      <c r="N195" s="73"/>
      <c r="O195" s="68"/>
      <c r="P195" s="67" t="s">
        <v>69</v>
      </c>
      <c r="Q195" s="73"/>
      <c r="R195" s="73"/>
      <c r="S195" s="68"/>
      <c r="T195" s="67" t="s">
        <v>69</v>
      </c>
      <c r="U195" s="73"/>
      <c r="V195" s="73"/>
      <c r="W195" s="68"/>
      <c r="X195" s="67" t="s">
        <v>69</v>
      </c>
      <c r="Y195" s="73"/>
      <c r="Z195" s="73"/>
      <c r="AA195" s="68"/>
      <c r="AB195" s="67" t="s">
        <v>69</v>
      </c>
      <c r="AC195" s="73"/>
      <c r="AD195" s="73"/>
      <c r="AE195" s="68"/>
      <c r="AF195" s="67" t="s">
        <v>69</v>
      </c>
      <c r="AG195" s="73"/>
      <c r="AH195" s="73"/>
      <c r="AI195" s="68"/>
      <c r="AJ195" s="67" t="s">
        <v>69</v>
      </c>
      <c r="AK195" s="73"/>
      <c r="AL195" s="73"/>
      <c r="AM195" s="68"/>
      <c r="AN195" s="73" t="s">
        <v>69</v>
      </c>
      <c r="AO195" s="73"/>
      <c r="AP195" s="73"/>
      <c r="AQ195" s="68"/>
      <c r="AR195" s="67">
        <f t="shared" si="118"/>
        <v>100</v>
      </c>
      <c r="AS195" s="68" t="str">
        <f t="shared" si="119"/>
        <v>S</v>
      </c>
      <c r="AV195" s="49">
        <f t="shared" si="79"/>
        <v>1</v>
      </c>
      <c r="AW195" s="49">
        <f t="shared" si="44"/>
        <v>0</v>
      </c>
      <c r="AX195" s="49">
        <f t="shared" si="45"/>
        <v>0</v>
      </c>
      <c r="AY195" s="49">
        <f t="shared" si="46"/>
        <v>0</v>
      </c>
      <c r="AZ195" s="49">
        <f t="shared" si="47"/>
        <v>1</v>
      </c>
      <c r="BA195" s="49">
        <f t="shared" si="48"/>
        <v>0</v>
      </c>
      <c r="BB195" s="49">
        <f t="shared" si="49"/>
        <v>0</v>
      </c>
      <c r="BC195" s="49">
        <f t="shared" si="50"/>
        <v>0</v>
      </c>
      <c r="BD195" s="49">
        <f t="shared" si="51"/>
        <v>1</v>
      </c>
      <c r="BE195" s="49">
        <f t="shared" si="52"/>
        <v>0</v>
      </c>
      <c r="BF195" s="49">
        <f t="shared" si="53"/>
        <v>0</v>
      </c>
      <c r="BG195" s="49">
        <f t="shared" si="54"/>
        <v>0</v>
      </c>
      <c r="BH195" s="49">
        <f t="shared" si="55"/>
        <v>1</v>
      </c>
      <c r="BI195" s="49">
        <f t="shared" si="56"/>
        <v>0</v>
      </c>
      <c r="BJ195" s="49">
        <f t="shared" si="57"/>
        <v>0</v>
      </c>
      <c r="BK195" s="49">
        <f t="shared" si="58"/>
        <v>0</v>
      </c>
      <c r="BL195" s="49">
        <f t="shared" si="59"/>
        <v>1</v>
      </c>
      <c r="BM195" s="49">
        <f t="shared" si="60"/>
        <v>0</v>
      </c>
      <c r="BN195" s="49">
        <f t="shared" si="61"/>
        <v>0</v>
      </c>
      <c r="BO195" s="49">
        <f t="shared" si="62"/>
        <v>0</v>
      </c>
      <c r="BP195" s="49">
        <f t="shared" si="63"/>
        <v>1</v>
      </c>
      <c r="BQ195" s="49">
        <f t="shared" si="64"/>
        <v>0</v>
      </c>
      <c r="BR195" s="49">
        <f t="shared" si="65"/>
        <v>0</v>
      </c>
      <c r="BS195" s="49">
        <f t="shared" si="66"/>
        <v>0</v>
      </c>
      <c r="BT195" s="49">
        <f t="shared" si="67"/>
        <v>1</v>
      </c>
      <c r="BU195" s="49">
        <f t="shared" si="68"/>
        <v>0</v>
      </c>
      <c r="BV195" s="49">
        <f t="shared" si="69"/>
        <v>0</v>
      </c>
      <c r="BW195" s="49">
        <f t="shared" si="70"/>
        <v>0</v>
      </c>
      <c r="BX195" s="49">
        <f t="shared" si="71"/>
        <v>1</v>
      </c>
      <c r="BY195" s="49">
        <f t="shared" si="72"/>
        <v>0</v>
      </c>
      <c r="BZ195" s="49">
        <f t="shared" si="73"/>
        <v>0</v>
      </c>
      <c r="CA195" s="49">
        <f t="shared" si="74"/>
        <v>0</v>
      </c>
      <c r="CB195" s="49">
        <f t="shared" si="75"/>
        <v>1</v>
      </c>
      <c r="CC195" s="49">
        <f t="shared" si="76"/>
        <v>0</v>
      </c>
      <c r="CD195" s="49">
        <f t="shared" si="77"/>
        <v>0</v>
      </c>
      <c r="CE195" s="49">
        <f t="shared" si="78"/>
        <v>0</v>
      </c>
    </row>
    <row r="196" spans="1:83" ht="35.1" customHeight="1" x14ac:dyDescent="0.3">
      <c r="A196" s="123" t="str">
        <f t="shared" si="116"/>
        <v>2팀</v>
      </c>
      <c r="B196" s="69">
        <f t="shared" si="117"/>
        <v>190</v>
      </c>
      <c r="C196" s="120" t="str">
        <f>IF(VLOOKUP($B196,'1. 현장별 인원현황'!$C:$J,2,0)=0,"",VLOOKUP($B196,'1. 현장별 인원현황'!$C:$J,2,0))</f>
        <v xml:space="preserve"> [2.동부건설] 이천 안흥동 주상복합시설사업 전기공사</v>
      </c>
      <c r="D196" s="70" t="str">
        <f>IF(VLOOKUP($B196,'1. 현장별 인원현황'!$C:$J,3,0)=0,"",VLOOKUP($B196,'1. 현장별 인원현황'!$C:$J,3,0))</f>
        <v>조원일</v>
      </c>
      <c r="E196" s="74" t="str">
        <f ca="1">IF(VLOOKUP($B196,'1. 현장별 인원현황'!$C:$J,4,0)=0,"",VLOOKUP($B196,'1. 현장별 인원현황'!$C:$J,4,0))</f>
        <v>46세</v>
      </c>
      <c r="F196" s="70" t="str">
        <f>IF(VLOOKUP($B196,'1. 현장별 인원현황'!$C:$J,7,0)=0,"",VLOOKUP($B196,'1. 현장별 인원현황'!$C:$J,7,0))</f>
        <v>기능공</v>
      </c>
      <c r="G196" s="72" t="str">
        <f>IF(VLOOKUP($B196,'1. 현장별 인원현황'!$C:$J,8,0)=0,"",VLOOKUP($B196,'1. 현장별 인원현황'!$C:$J,8,0))</f>
        <v>전공</v>
      </c>
      <c r="H196" s="67"/>
      <c r="I196" s="73" t="s">
        <v>69</v>
      </c>
      <c r="J196" s="73"/>
      <c r="K196" s="68"/>
      <c r="L196" s="67" t="s">
        <v>69</v>
      </c>
      <c r="M196" s="73"/>
      <c r="N196" s="73"/>
      <c r="O196" s="68"/>
      <c r="P196" s="67" t="s">
        <v>69</v>
      </c>
      <c r="Q196" s="73"/>
      <c r="R196" s="73"/>
      <c r="S196" s="68"/>
      <c r="T196" s="67" t="s">
        <v>69</v>
      </c>
      <c r="U196" s="73"/>
      <c r="V196" s="73"/>
      <c r="W196" s="68"/>
      <c r="X196" s="67" t="s">
        <v>69</v>
      </c>
      <c r="Y196" s="73"/>
      <c r="Z196" s="73"/>
      <c r="AA196" s="68"/>
      <c r="AB196" s="67" t="s">
        <v>69</v>
      </c>
      <c r="AC196" s="73"/>
      <c r="AD196" s="73"/>
      <c r="AE196" s="68"/>
      <c r="AF196" s="67" t="s">
        <v>69</v>
      </c>
      <c r="AG196" s="73"/>
      <c r="AH196" s="73"/>
      <c r="AI196" s="68"/>
      <c r="AJ196" s="67" t="s">
        <v>69</v>
      </c>
      <c r="AK196" s="73"/>
      <c r="AL196" s="73"/>
      <c r="AM196" s="68"/>
      <c r="AN196" s="73" t="s">
        <v>69</v>
      </c>
      <c r="AO196" s="73"/>
      <c r="AP196" s="73"/>
      <c r="AQ196" s="68"/>
      <c r="AR196" s="67">
        <f t="shared" si="118"/>
        <v>97</v>
      </c>
      <c r="AS196" s="68" t="str">
        <f t="shared" si="119"/>
        <v>S</v>
      </c>
      <c r="AV196" s="49">
        <f t="shared" si="79"/>
        <v>0</v>
      </c>
      <c r="AW196" s="49">
        <f t="shared" si="44"/>
        <v>1</v>
      </c>
      <c r="AX196" s="49">
        <f t="shared" si="45"/>
        <v>0</v>
      </c>
      <c r="AY196" s="49">
        <f t="shared" si="46"/>
        <v>0</v>
      </c>
      <c r="AZ196" s="49">
        <f t="shared" si="47"/>
        <v>1</v>
      </c>
      <c r="BA196" s="49">
        <f t="shared" si="48"/>
        <v>0</v>
      </c>
      <c r="BB196" s="49">
        <f t="shared" si="49"/>
        <v>0</v>
      </c>
      <c r="BC196" s="49">
        <f t="shared" si="50"/>
        <v>0</v>
      </c>
      <c r="BD196" s="49">
        <f t="shared" si="51"/>
        <v>1</v>
      </c>
      <c r="BE196" s="49">
        <f t="shared" si="52"/>
        <v>0</v>
      </c>
      <c r="BF196" s="49">
        <f t="shared" si="53"/>
        <v>0</v>
      </c>
      <c r="BG196" s="49">
        <f t="shared" si="54"/>
        <v>0</v>
      </c>
      <c r="BH196" s="49">
        <f t="shared" si="55"/>
        <v>1</v>
      </c>
      <c r="BI196" s="49">
        <f t="shared" si="56"/>
        <v>0</v>
      </c>
      <c r="BJ196" s="49">
        <f t="shared" si="57"/>
        <v>0</v>
      </c>
      <c r="BK196" s="49">
        <f t="shared" si="58"/>
        <v>0</v>
      </c>
      <c r="BL196" s="49">
        <f t="shared" si="59"/>
        <v>1</v>
      </c>
      <c r="BM196" s="49">
        <f t="shared" si="60"/>
        <v>0</v>
      </c>
      <c r="BN196" s="49">
        <f t="shared" si="61"/>
        <v>0</v>
      </c>
      <c r="BO196" s="49">
        <f t="shared" si="62"/>
        <v>0</v>
      </c>
      <c r="BP196" s="49">
        <f t="shared" si="63"/>
        <v>1</v>
      </c>
      <c r="BQ196" s="49">
        <f t="shared" si="64"/>
        <v>0</v>
      </c>
      <c r="BR196" s="49">
        <f t="shared" si="65"/>
        <v>0</v>
      </c>
      <c r="BS196" s="49">
        <f t="shared" si="66"/>
        <v>0</v>
      </c>
      <c r="BT196" s="49">
        <f t="shared" si="67"/>
        <v>1</v>
      </c>
      <c r="BU196" s="49">
        <f t="shared" si="68"/>
        <v>0</v>
      </c>
      <c r="BV196" s="49">
        <f t="shared" si="69"/>
        <v>0</v>
      </c>
      <c r="BW196" s="49">
        <f t="shared" si="70"/>
        <v>0</v>
      </c>
      <c r="BX196" s="49">
        <f t="shared" si="71"/>
        <v>1</v>
      </c>
      <c r="BY196" s="49">
        <f t="shared" si="72"/>
        <v>0</v>
      </c>
      <c r="BZ196" s="49">
        <f t="shared" si="73"/>
        <v>0</v>
      </c>
      <c r="CA196" s="49">
        <f t="shared" si="74"/>
        <v>0</v>
      </c>
      <c r="CB196" s="49">
        <f t="shared" si="75"/>
        <v>1</v>
      </c>
      <c r="CC196" s="49">
        <f t="shared" si="76"/>
        <v>0</v>
      </c>
      <c r="CD196" s="49">
        <f t="shared" si="77"/>
        <v>0</v>
      </c>
      <c r="CE196" s="49">
        <f t="shared" si="78"/>
        <v>0</v>
      </c>
    </row>
    <row r="197" spans="1:83" ht="35.1" customHeight="1" x14ac:dyDescent="0.3">
      <c r="A197" s="123" t="str">
        <f t="shared" si="116"/>
        <v>2팀</v>
      </c>
      <c r="B197" s="69">
        <f t="shared" si="117"/>
        <v>191</v>
      </c>
      <c r="C197" s="120" t="str">
        <f>IF(VLOOKUP($B197,'1. 현장별 인원현황'!$C:$J,2,0)=0,"",VLOOKUP($B197,'1. 현장별 인원현황'!$C:$J,2,0))</f>
        <v xml:space="preserve"> [2.동양] 한국건강관리협회 인천지부 신청사 건립 신축공사</v>
      </c>
      <c r="D197" s="70" t="str">
        <f>IF(VLOOKUP($B197,'1. 현장별 인원현황'!$C:$J,3,0)=0,"",VLOOKUP($B197,'1. 현장별 인원현황'!$C:$J,3,0))</f>
        <v>강호신</v>
      </c>
      <c r="E197" s="74" t="str">
        <f ca="1">IF(VLOOKUP($B197,'1. 현장별 인원현황'!$C:$J,4,0)=0,"",VLOOKUP($B197,'1. 현장별 인원현황'!$C:$J,4,0))</f>
        <v>48세</v>
      </c>
      <c r="F197" s="70" t="str">
        <f>IF(VLOOKUP($B197,'1. 현장별 인원현황'!$C:$J,7,0)=0,"",VLOOKUP($B197,'1. 현장별 인원현황'!$C:$J,7,0))</f>
        <v>공사</v>
      </c>
      <c r="G197" s="72" t="str">
        <f>IF(VLOOKUP($B197,'1. 현장별 인원현황'!$C:$J,8,0)=0,"",VLOOKUP($B197,'1. 현장별 인원현황'!$C:$J,8,0))</f>
        <v>과장</v>
      </c>
      <c r="H197" s="67"/>
      <c r="I197" s="73" t="s">
        <v>69</v>
      </c>
      <c r="J197" s="73"/>
      <c r="K197" s="68"/>
      <c r="L197" s="67"/>
      <c r="M197" s="73" t="s">
        <v>69</v>
      </c>
      <c r="N197" s="73"/>
      <c r="O197" s="68"/>
      <c r="P197" s="67" t="s">
        <v>69</v>
      </c>
      <c r="Q197" s="73"/>
      <c r="R197" s="73"/>
      <c r="S197" s="68"/>
      <c r="T197" s="67"/>
      <c r="U197" s="73" t="s">
        <v>69</v>
      </c>
      <c r="V197" s="73"/>
      <c r="W197" s="68"/>
      <c r="X197" s="67"/>
      <c r="Y197" s="73" t="s">
        <v>69</v>
      </c>
      <c r="Z197" s="73"/>
      <c r="AA197" s="68"/>
      <c r="AB197" s="67"/>
      <c r="AC197" s="73" t="s">
        <v>69</v>
      </c>
      <c r="AD197" s="73"/>
      <c r="AE197" s="68"/>
      <c r="AF197" s="67" t="s">
        <v>69</v>
      </c>
      <c r="AG197" s="73"/>
      <c r="AH197" s="73"/>
      <c r="AI197" s="68"/>
      <c r="AJ197" s="67" t="s">
        <v>69</v>
      </c>
      <c r="AK197" s="73"/>
      <c r="AL197" s="73"/>
      <c r="AM197" s="68"/>
      <c r="AN197" s="73"/>
      <c r="AO197" s="73" t="s">
        <v>69</v>
      </c>
      <c r="AP197" s="73"/>
      <c r="AQ197" s="68"/>
      <c r="AR197" s="67">
        <f t="shared" si="118"/>
        <v>85</v>
      </c>
      <c r="AS197" s="68" t="str">
        <f t="shared" si="119"/>
        <v>A</v>
      </c>
      <c r="AV197" s="49">
        <f t="shared" si="79"/>
        <v>0</v>
      </c>
      <c r="AW197" s="49">
        <f t="shared" si="44"/>
        <v>1</v>
      </c>
      <c r="AX197" s="49">
        <f t="shared" si="45"/>
        <v>0</v>
      </c>
      <c r="AY197" s="49">
        <f t="shared" si="46"/>
        <v>0</v>
      </c>
      <c r="AZ197" s="49">
        <f t="shared" si="47"/>
        <v>0</v>
      </c>
      <c r="BA197" s="49">
        <f t="shared" si="48"/>
        <v>1</v>
      </c>
      <c r="BB197" s="49">
        <f t="shared" si="49"/>
        <v>0</v>
      </c>
      <c r="BC197" s="49">
        <f t="shared" si="50"/>
        <v>0</v>
      </c>
      <c r="BD197" s="49">
        <f t="shared" si="51"/>
        <v>1</v>
      </c>
      <c r="BE197" s="49">
        <f t="shared" si="52"/>
        <v>0</v>
      </c>
      <c r="BF197" s="49">
        <f t="shared" si="53"/>
        <v>0</v>
      </c>
      <c r="BG197" s="49">
        <f t="shared" si="54"/>
        <v>0</v>
      </c>
      <c r="BH197" s="49">
        <f t="shared" si="55"/>
        <v>0</v>
      </c>
      <c r="BI197" s="49">
        <f t="shared" si="56"/>
        <v>1</v>
      </c>
      <c r="BJ197" s="49">
        <f t="shared" si="57"/>
        <v>0</v>
      </c>
      <c r="BK197" s="49">
        <f t="shared" si="58"/>
        <v>0</v>
      </c>
      <c r="BL197" s="49">
        <f t="shared" si="59"/>
        <v>0</v>
      </c>
      <c r="BM197" s="49">
        <f t="shared" si="60"/>
        <v>1</v>
      </c>
      <c r="BN197" s="49">
        <f t="shared" si="61"/>
        <v>0</v>
      </c>
      <c r="BO197" s="49">
        <f t="shared" si="62"/>
        <v>0</v>
      </c>
      <c r="BP197" s="49">
        <f t="shared" si="63"/>
        <v>0</v>
      </c>
      <c r="BQ197" s="49">
        <f t="shared" si="64"/>
        <v>1</v>
      </c>
      <c r="BR197" s="49">
        <f t="shared" si="65"/>
        <v>0</v>
      </c>
      <c r="BS197" s="49">
        <f t="shared" si="66"/>
        <v>0</v>
      </c>
      <c r="BT197" s="49">
        <f t="shared" si="67"/>
        <v>1</v>
      </c>
      <c r="BU197" s="49">
        <f t="shared" si="68"/>
        <v>0</v>
      </c>
      <c r="BV197" s="49">
        <f t="shared" si="69"/>
        <v>0</v>
      </c>
      <c r="BW197" s="49">
        <f t="shared" si="70"/>
        <v>0</v>
      </c>
      <c r="BX197" s="49">
        <f t="shared" si="71"/>
        <v>1</v>
      </c>
      <c r="BY197" s="49">
        <f t="shared" si="72"/>
        <v>0</v>
      </c>
      <c r="BZ197" s="49">
        <f t="shared" si="73"/>
        <v>0</v>
      </c>
      <c r="CA197" s="49">
        <f t="shared" si="74"/>
        <v>0</v>
      </c>
      <c r="CB197" s="49">
        <f t="shared" si="75"/>
        <v>0</v>
      </c>
      <c r="CC197" s="49">
        <f t="shared" si="76"/>
        <v>1</v>
      </c>
      <c r="CD197" s="49">
        <f t="shared" si="77"/>
        <v>0</v>
      </c>
      <c r="CE197" s="49">
        <f t="shared" si="78"/>
        <v>0</v>
      </c>
    </row>
    <row r="198" spans="1:83" ht="35.1" customHeight="1" x14ac:dyDescent="0.3">
      <c r="A198" s="123" t="str">
        <f t="shared" si="116"/>
        <v>2팀</v>
      </c>
      <c r="B198" s="69">
        <f t="shared" si="117"/>
        <v>192</v>
      </c>
      <c r="C198" s="120" t="str">
        <f>IF(VLOOKUP($B198,'1. 현장별 인원현황'!$C:$J,2,0)=0,"",VLOOKUP($B198,'1. 현장별 인원현황'!$C:$J,2,0))</f>
        <v xml:space="preserve"> [2.동양] 한국건강관리협회 인천지부 신청사 건립 신축공사</v>
      </c>
      <c r="D198" s="70" t="str">
        <f>IF(VLOOKUP($B198,'1. 현장별 인원현황'!$C:$J,3,0)=0,"",VLOOKUP($B198,'1. 현장별 인원현황'!$C:$J,3,0))</f>
        <v>김동신</v>
      </c>
      <c r="E198" s="74" t="str">
        <f ca="1">IF(VLOOKUP($B198,'1. 현장별 인원현황'!$C:$J,4,0)=0,"",VLOOKUP($B198,'1. 현장별 인원현황'!$C:$J,4,0))</f>
        <v>60세</v>
      </c>
      <c r="F198" s="70" t="str">
        <f>IF(VLOOKUP($B198,'1. 현장별 인원현황'!$C:$J,7,0)=0,"",VLOOKUP($B198,'1. 현장별 인원현황'!$C:$J,7,0))</f>
        <v>공사</v>
      </c>
      <c r="G198" s="72" t="str">
        <f>IF(VLOOKUP($B198,'1. 현장별 인원현황'!$C:$J,8,0)=0,"",VLOOKUP($B198,'1. 현장별 인원현황'!$C:$J,8,0))</f>
        <v>과장</v>
      </c>
      <c r="H198" s="67"/>
      <c r="I198" s="73" t="s">
        <v>69</v>
      </c>
      <c r="J198" s="73"/>
      <c r="K198" s="68"/>
      <c r="L198" s="67" t="s">
        <v>69</v>
      </c>
      <c r="M198" s="73"/>
      <c r="N198" s="73"/>
      <c r="O198" s="68"/>
      <c r="P198" s="67"/>
      <c r="Q198" s="73" t="s">
        <v>69</v>
      </c>
      <c r="R198" s="73"/>
      <c r="S198" s="68"/>
      <c r="T198" s="67" t="s">
        <v>69</v>
      </c>
      <c r="U198" s="73"/>
      <c r="V198" s="73"/>
      <c r="W198" s="68"/>
      <c r="X198" s="67"/>
      <c r="Y198" s="73" t="s">
        <v>69</v>
      </c>
      <c r="Z198" s="73"/>
      <c r="AA198" s="68"/>
      <c r="AB198" s="67"/>
      <c r="AC198" s="73" t="s">
        <v>69</v>
      </c>
      <c r="AD198" s="73"/>
      <c r="AE198" s="68"/>
      <c r="AF198" s="67" t="s">
        <v>69</v>
      </c>
      <c r="AG198" s="73"/>
      <c r="AH198" s="73"/>
      <c r="AI198" s="68"/>
      <c r="AJ198" s="67"/>
      <c r="AK198" s="73" t="s">
        <v>69</v>
      </c>
      <c r="AL198" s="73"/>
      <c r="AM198" s="68"/>
      <c r="AN198" s="73"/>
      <c r="AO198" s="73" t="s">
        <v>69</v>
      </c>
      <c r="AP198" s="73"/>
      <c r="AQ198" s="68"/>
      <c r="AR198" s="67">
        <f t="shared" si="118"/>
        <v>84</v>
      </c>
      <c r="AS198" s="68" t="str">
        <f t="shared" si="119"/>
        <v>A</v>
      </c>
      <c r="AV198" s="49">
        <f t="shared" si="79"/>
        <v>0</v>
      </c>
      <c r="AW198" s="49">
        <f t="shared" si="44"/>
        <v>1</v>
      </c>
      <c r="AX198" s="49">
        <f t="shared" si="45"/>
        <v>0</v>
      </c>
      <c r="AY198" s="49">
        <f t="shared" si="46"/>
        <v>0</v>
      </c>
      <c r="AZ198" s="49">
        <f t="shared" si="47"/>
        <v>1</v>
      </c>
      <c r="BA198" s="49">
        <f t="shared" si="48"/>
        <v>0</v>
      </c>
      <c r="BB198" s="49">
        <f t="shared" si="49"/>
        <v>0</v>
      </c>
      <c r="BC198" s="49">
        <f t="shared" si="50"/>
        <v>0</v>
      </c>
      <c r="BD198" s="49">
        <f t="shared" si="51"/>
        <v>0</v>
      </c>
      <c r="BE198" s="49">
        <f t="shared" si="52"/>
        <v>1</v>
      </c>
      <c r="BF198" s="49">
        <f t="shared" si="53"/>
        <v>0</v>
      </c>
      <c r="BG198" s="49">
        <f t="shared" si="54"/>
        <v>0</v>
      </c>
      <c r="BH198" s="49">
        <f t="shared" si="55"/>
        <v>1</v>
      </c>
      <c r="BI198" s="49">
        <f t="shared" si="56"/>
        <v>0</v>
      </c>
      <c r="BJ198" s="49">
        <f t="shared" si="57"/>
        <v>0</v>
      </c>
      <c r="BK198" s="49">
        <f t="shared" si="58"/>
        <v>0</v>
      </c>
      <c r="BL198" s="49">
        <f t="shared" si="59"/>
        <v>0</v>
      </c>
      <c r="BM198" s="49">
        <f t="shared" si="60"/>
        <v>1</v>
      </c>
      <c r="BN198" s="49">
        <f t="shared" si="61"/>
        <v>0</v>
      </c>
      <c r="BO198" s="49">
        <f t="shared" si="62"/>
        <v>0</v>
      </c>
      <c r="BP198" s="49">
        <f t="shared" si="63"/>
        <v>0</v>
      </c>
      <c r="BQ198" s="49">
        <f t="shared" si="64"/>
        <v>1</v>
      </c>
      <c r="BR198" s="49">
        <f t="shared" si="65"/>
        <v>0</v>
      </c>
      <c r="BS198" s="49">
        <f t="shared" si="66"/>
        <v>0</v>
      </c>
      <c r="BT198" s="49">
        <f t="shared" si="67"/>
        <v>1</v>
      </c>
      <c r="BU198" s="49">
        <f t="shared" si="68"/>
        <v>0</v>
      </c>
      <c r="BV198" s="49">
        <f t="shared" si="69"/>
        <v>0</v>
      </c>
      <c r="BW198" s="49">
        <f t="shared" si="70"/>
        <v>0</v>
      </c>
      <c r="BX198" s="49">
        <f t="shared" si="71"/>
        <v>0</v>
      </c>
      <c r="BY198" s="49">
        <f t="shared" si="72"/>
        <v>1</v>
      </c>
      <c r="BZ198" s="49">
        <f t="shared" si="73"/>
        <v>0</v>
      </c>
      <c r="CA198" s="49">
        <f t="shared" si="74"/>
        <v>0</v>
      </c>
      <c r="CB198" s="49">
        <f t="shared" si="75"/>
        <v>0</v>
      </c>
      <c r="CC198" s="49">
        <f t="shared" si="76"/>
        <v>1</v>
      </c>
      <c r="CD198" s="49">
        <f t="shared" si="77"/>
        <v>0</v>
      </c>
      <c r="CE198" s="49">
        <f t="shared" si="78"/>
        <v>0</v>
      </c>
    </row>
    <row r="199" spans="1:83" ht="35.1" customHeight="1" x14ac:dyDescent="0.3">
      <c r="A199" s="123" t="str">
        <f t="shared" ref="A199:A262" si="120">MID(C199,3,1)&amp;"팀"</f>
        <v>2팀</v>
      </c>
      <c r="B199" s="69">
        <f t="shared" ref="B199:B262" si="121">ROW()-6</f>
        <v>193</v>
      </c>
      <c r="C199" s="120" t="str">
        <f>IF(VLOOKUP($B199,'1. 현장별 인원현황'!$C:$J,2,0)=0,"",VLOOKUP($B199,'1. 현장별 인원현황'!$C:$J,2,0))</f>
        <v xml:space="preserve"> [2.동양] 한국건강관리협회 인천지부 신청사 건립 신축공사</v>
      </c>
      <c r="D199" s="70" t="str">
        <f>IF(VLOOKUP($B199,'1. 현장별 인원현황'!$C:$J,3,0)=0,"",VLOOKUP($B199,'1. 현장별 인원현황'!$C:$J,3,0))</f>
        <v>김성훈</v>
      </c>
      <c r="E199" s="74" t="str">
        <f ca="1">IF(VLOOKUP($B199,'1. 현장별 인원현황'!$C:$J,4,0)=0,"",VLOOKUP($B199,'1. 현장별 인원현황'!$C:$J,4,0))</f>
        <v>67세</v>
      </c>
      <c r="F199" s="70" t="str">
        <f>IF(VLOOKUP($B199,'1. 현장별 인원현황'!$C:$J,7,0)=0,"",VLOOKUP($B199,'1. 현장별 인원현황'!$C:$J,7,0))</f>
        <v>공사</v>
      </c>
      <c r="G199" s="72" t="str">
        <f>IF(VLOOKUP($B199,'1. 현장별 인원현황'!$C:$J,8,0)=0,"",VLOOKUP($B199,'1. 현장별 인원현황'!$C:$J,8,0))</f>
        <v>차장</v>
      </c>
      <c r="H199" s="67" t="s">
        <v>69</v>
      </c>
      <c r="I199" s="73"/>
      <c r="J199" s="73"/>
      <c r="K199" s="68"/>
      <c r="L199" s="67" t="s">
        <v>69</v>
      </c>
      <c r="M199" s="73"/>
      <c r="N199" s="73"/>
      <c r="O199" s="68"/>
      <c r="P199" s="67" t="s">
        <v>69</v>
      </c>
      <c r="Q199" s="73"/>
      <c r="R199" s="73"/>
      <c r="S199" s="68"/>
      <c r="T199" s="67"/>
      <c r="U199" s="73" t="s">
        <v>69</v>
      </c>
      <c r="V199" s="73"/>
      <c r="W199" s="68"/>
      <c r="X199" s="67" t="s">
        <v>69</v>
      </c>
      <c r="Y199" s="73"/>
      <c r="Z199" s="73"/>
      <c r="AA199" s="68"/>
      <c r="AB199" s="67" t="s">
        <v>69</v>
      </c>
      <c r="AC199" s="73"/>
      <c r="AD199" s="73"/>
      <c r="AE199" s="68"/>
      <c r="AF199" s="67"/>
      <c r="AG199" s="73" t="s">
        <v>69</v>
      </c>
      <c r="AH199" s="73"/>
      <c r="AI199" s="68"/>
      <c r="AJ199" s="67"/>
      <c r="AK199" s="73" t="s">
        <v>69</v>
      </c>
      <c r="AL199" s="73"/>
      <c r="AM199" s="68"/>
      <c r="AN199" s="73"/>
      <c r="AO199" s="73" t="s">
        <v>69</v>
      </c>
      <c r="AP199" s="73"/>
      <c r="AQ199" s="68"/>
      <c r="AR199" s="67">
        <f t="shared" ref="AR199:AR262" si="122">SUMPRODUCT($H$5:$AQ$5,AV199:CE199)</f>
        <v>90</v>
      </c>
      <c r="AS199" s="68" t="str">
        <f t="shared" ref="AS199:AS262" si="123">IF(AR199&gt;85,"S",IF(AR199&gt;70,"A",IF(AR199&gt;50,"B",IF(AR199&gt;0,"C",""))))</f>
        <v>S</v>
      </c>
      <c r="AV199" s="49">
        <f t="shared" si="79"/>
        <v>1</v>
      </c>
      <c r="AW199" s="49">
        <f t="shared" si="44"/>
        <v>0</v>
      </c>
      <c r="AX199" s="49">
        <f t="shared" si="45"/>
        <v>0</v>
      </c>
      <c r="AY199" s="49">
        <f t="shared" si="46"/>
        <v>0</v>
      </c>
      <c r="AZ199" s="49">
        <f t="shared" si="47"/>
        <v>1</v>
      </c>
      <c r="BA199" s="49">
        <f t="shared" si="48"/>
        <v>0</v>
      </c>
      <c r="BB199" s="49">
        <f t="shared" si="49"/>
        <v>0</v>
      </c>
      <c r="BC199" s="49">
        <f t="shared" si="50"/>
        <v>0</v>
      </c>
      <c r="BD199" s="49">
        <f t="shared" si="51"/>
        <v>1</v>
      </c>
      <c r="BE199" s="49">
        <f t="shared" si="52"/>
        <v>0</v>
      </c>
      <c r="BF199" s="49">
        <f t="shared" si="53"/>
        <v>0</v>
      </c>
      <c r="BG199" s="49">
        <f t="shared" si="54"/>
        <v>0</v>
      </c>
      <c r="BH199" s="49">
        <f t="shared" si="55"/>
        <v>0</v>
      </c>
      <c r="BI199" s="49">
        <f t="shared" si="56"/>
        <v>1</v>
      </c>
      <c r="BJ199" s="49">
        <f t="shared" si="57"/>
        <v>0</v>
      </c>
      <c r="BK199" s="49">
        <f t="shared" si="58"/>
        <v>0</v>
      </c>
      <c r="BL199" s="49">
        <f t="shared" si="59"/>
        <v>1</v>
      </c>
      <c r="BM199" s="49">
        <f t="shared" si="60"/>
        <v>0</v>
      </c>
      <c r="BN199" s="49">
        <f t="shared" si="61"/>
        <v>0</v>
      </c>
      <c r="BO199" s="49">
        <f t="shared" si="62"/>
        <v>0</v>
      </c>
      <c r="BP199" s="49">
        <f t="shared" si="63"/>
        <v>1</v>
      </c>
      <c r="BQ199" s="49">
        <f t="shared" si="64"/>
        <v>0</v>
      </c>
      <c r="BR199" s="49">
        <f t="shared" si="65"/>
        <v>0</v>
      </c>
      <c r="BS199" s="49">
        <f t="shared" si="66"/>
        <v>0</v>
      </c>
      <c r="BT199" s="49">
        <f t="shared" si="67"/>
        <v>0</v>
      </c>
      <c r="BU199" s="49">
        <f t="shared" si="68"/>
        <v>1</v>
      </c>
      <c r="BV199" s="49">
        <f t="shared" si="69"/>
        <v>0</v>
      </c>
      <c r="BW199" s="49">
        <f t="shared" si="70"/>
        <v>0</v>
      </c>
      <c r="BX199" s="49">
        <f t="shared" si="71"/>
        <v>0</v>
      </c>
      <c r="BY199" s="49">
        <f t="shared" si="72"/>
        <v>1</v>
      </c>
      <c r="BZ199" s="49">
        <f t="shared" si="73"/>
        <v>0</v>
      </c>
      <c r="CA199" s="49">
        <f t="shared" si="74"/>
        <v>0</v>
      </c>
      <c r="CB199" s="49">
        <f t="shared" si="75"/>
        <v>0</v>
      </c>
      <c r="CC199" s="49">
        <f t="shared" si="76"/>
        <v>1</v>
      </c>
      <c r="CD199" s="49">
        <f t="shared" si="77"/>
        <v>0</v>
      </c>
      <c r="CE199" s="49">
        <f t="shared" si="78"/>
        <v>0</v>
      </c>
    </row>
    <row r="200" spans="1:83" ht="35.1" customHeight="1" x14ac:dyDescent="0.3">
      <c r="A200" s="123" t="str">
        <f t="shared" si="120"/>
        <v>2팀</v>
      </c>
      <c r="B200" s="69">
        <f t="shared" si="121"/>
        <v>194</v>
      </c>
      <c r="C200" s="120" t="str">
        <f>IF(VLOOKUP($B200,'1. 현장별 인원현황'!$C:$J,2,0)=0,"",VLOOKUP($B200,'1. 현장별 인원현황'!$C:$J,2,0))</f>
        <v xml:space="preserve"> [2.동양] 한국건강관리협회 인천지부 신청사 건립 신축공사</v>
      </c>
      <c r="D200" s="70" t="str">
        <f>IF(VLOOKUP($B200,'1. 현장별 인원현황'!$C:$J,3,0)=0,"",VLOOKUP($B200,'1. 현장별 인원현황'!$C:$J,3,0))</f>
        <v>김은철</v>
      </c>
      <c r="E200" s="74" t="str">
        <f ca="1">IF(VLOOKUP($B200,'1. 현장별 인원현황'!$C:$J,4,0)=0,"",VLOOKUP($B200,'1. 현장별 인원현황'!$C:$J,4,0))</f>
        <v>55세</v>
      </c>
      <c r="F200" s="70" t="str">
        <f>IF(VLOOKUP($B200,'1. 현장별 인원현황'!$C:$J,7,0)=0,"",VLOOKUP($B200,'1. 현장별 인원현황'!$C:$J,7,0))</f>
        <v>공사</v>
      </c>
      <c r="G200" s="72" t="str">
        <f>IF(VLOOKUP($B200,'1. 현장별 인원현황'!$C:$J,8,0)=0,"",VLOOKUP($B200,'1. 현장별 인원현황'!$C:$J,8,0))</f>
        <v>차장</v>
      </c>
      <c r="H200" s="67" t="s">
        <v>69</v>
      </c>
      <c r="I200" s="73"/>
      <c r="J200" s="73"/>
      <c r="K200" s="68"/>
      <c r="L200" s="67"/>
      <c r="M200" s="73"/>
      <c r="N200" s="73" t="s">
        <v>69</v>
      </c>
      <c r="O200" s="68"/>
      <c r="P200" s="67" t="s">
        <v>69</v>
      </c>
      <c r="Q200" s="73"/>
      <c r="R200" s="73"/>
      <c r="S200" s="68"/>
      <c r="T200" s="67" t="s">
        <v>69</v>
      </c>
      <c r="U200" s="73"/>
      <c r="V200" s="73"/>
      <c r="W200" s="68"/>
      <c r="X200" s="67" t="s">
        <v>69</v>
      </c>
      <c r="Y200" s="73"/>
      <c r="Z200" s="73"/>
      <c r="AA200" s="68"/>
      <c r="AB200" s="67" t="s">
        <v>69</v>
      </c>
      <c r="AC200" s="73"/>
      <c r="AD200" s="73"/>
      <c r="AE200" s="68"/>
      <c r="AF200" s="67"/>
      <c r="AG200" s="73" t="s">
        <v>69</v>
      </c>
      <c r="AH200" s="73"/>
      <c r="AI200" s="68"/>
      <c r="AJ200" s="67"/>
      <c r="AK200" s="73" t="s">
        <v>69</v>
      </c>
      <c r="AL200" s="73"/>
      <c r="AM200" s="68"/>
      <c r="AN200" s="73" t="s">
        <v>69</v>
      </c>
      <c r="AO200" s="73"/>
      <c r="AP200" s="73"/>
      <c r="AQ200" s="68"/>
      <c r="AR200" s="67">
        <f t="shared" si="122"/>
        <v>89</v>
      </c>
      <c r="AS200" s="68" t="str">
        <f t="shared" si="123"/>
        <v>S</v>
      </c>
      <c r="AV200" s="49">
        <f t="shared" si="79"/>
        <v>1</v>
      </c>
      <c r="AW200" s="49">
        <f t="shared" si="44"/>
        <v>0</v>
      </c>
      <c r="AX200" s="49">
        <f t="shared" si="45"/>
        <v>0</v>
      </c>
      <c r="AY200" s="49">
        <f t="shared" si="46"/>
        <v>0</v>
      </c>
      <c r="AZ200" s="49">
        <f t="shared" si="47"/>
        <v>0</v>
      </c>
      <c r="BA200" s="49">
        <f t="shared" si="48"/>
        <v>0</v>
      </c>
      <c r="BB200" s="49">
        <f t="shared" si="49"/>
        <v>1</v>
      </c>
      <c r="BC200" s="49">
        <f t="shared" si="50"/>
        <v>0</v>
      </c>
      <c r="BD200" s="49">
        <f t="shared" si="51"/>
        <v>1</v>
      </c>
      <c r="BE200" s="49">
        <f t="shared" si="52"/>
        <v>0</v>
      </c>
      <c r="BF200" s="49">
        <f t="shared" si="53"/>
        <v>0</v>
      </c>
      <c r="BG200" s="49">
        <f t="shared" si="54"/>
        <v>0</v>
      </c>
      <c r="BH200" s="49">
        <f t="shared" si="55"/>
        <v>1</v>
      </c>
      <c r="BI200" s="49">
        <f t="shared" si="56"/>
        <v>0</v>
      </c>
      <c r="BJ200" s="49">
        <f t="shared" si="57"/>
        <v>0</v>
      </c>
      <c r="BK200" s="49">
        <f t="shared" si="58"/>
        <v>0</v>
      </c>
      <c r="BL200" s="49">
        <f t="shared" si="59"/>
        <v>1</v>
      </c>
      <c r="BM200" s="49">
        <f t="shared" si="60"/>
        <v>0</v>
      </c>
      <c r="BN200" s="49">
        <f t="shared" si="61"/>
        <v>0</v>
      </c>
      <c r="BO200" s="49">
        <f t="shared" si="62"/>
        <v>0</v>
      </c>
      <c r="BP200" s="49">
        <f t="shared" si="63"/>
        <v>1</v>
      </c>
      <c r="BQ200" s="49">
        <f t="shared" si="64"/>
        <v>0</v>
      </c>
      <c r="BR200" s="49">
        <f t="shared" si="65"/>
        <v>0</v>
      </c>
      <c r="BS200" s="49">
        <f t="shared" si="66"/>
        <v>0</v>
      </c>
      <c r="BT200" s="49">
        <f t="shared" si="67"/>
        <v>0</v>
      </c>
      <c r="BU200" s="49">
        <f t="shared" si="68"/>
        <v>1</v>
      </c>
      <c r="BV200" s="49">
        <f t="shared" si="69"/>
        <v>0</v>
      </c>
      <c r="BW200" s="49">
        <f t="shared" si="70"/>
        <v>0</v>
      </c>
      <c r="BX200" s="49">
        <f t="shared" si="71"/>
        <v>0</v>
      </c>
      <c r="BY200" s="49">
        <f t="shared" si="72"/>
        <v>1</v>
      </c>
      <c r="BZ200" s="49">
        <f t="shared" si="73"/>
        <v>0</v>
      </c>
      <c r="CA200" s="49">
        <f t="shared" si="74"/>
        <v>0</v>
      </c>
      <c r="CB200" s="49">
        <f t="shared" si="75"/>
        <v>1</v>
      </c>
      <c r="CC200" s="49">
        <f t="shared" si="76"/>
        <v>0</v>
      </c>
      <c r="CD200" s="49">
        <f t="shared" si="77"/>
        <v>0</v>
      </c>
      <c r="CE200" s="49">
        <f t="shared" si="78"/>
        <v>0</v>
      </c>
    </row>
    <row r="201" spans="1:83" ht="35.1" customHeight="1" x14ac:dyDescent="0.3">
      <c r="A201" s="123" t="str">
        <f t="shared" si="120"/>
        <v>2팀</v>
      </c>
      <c r="B201" s="69">
        <f t="shared" si="121"/>
        <v>195</v>
      </c>
      <c r="C201" s="120" t="str">
        <f>IF(VLOOKUP($B201,'1. 현장별 인원현황'!$C:$J,2,0)=0,"",VLOOKUP($B201,'1. 현장별 인원현황'!$C:$J,2,0))</f>
        <v xml:space="preserve"> [2.동양] 한국건강관리협회 인천지부 신청사 건립 신축공사</v>
      </c>
      <c r="D201" s="70" t="str">
        <f>IF(VLOOKUP($B201,'1. 현장별 인원현황'!$C:$J,3,0)=0,"",VLOOKUP($B201,'1. 현장별 인원현황'!$C:$J,3,0))</f>
        <v>김진우</v>
      </c>
      <c r="E201" s="74" t="str">
        <f ca="1">IF(VLOOKUP($B201,'1. 현장별 인원현황'!$C:$J,4,0)=0,"",VLOOKUP($B201,'1. 현장별 인원현황'!$C:$J,4,0))</f>
        <v>25세</v>
      </c>
      <c r="F201" s="70" t="str">
        <f>IF(VLOOKUP($B201,'1. 현장별 인원현황'!$C:$J,7,0)=0,"",VLOOKUP($B201,'1. 현장별 인원현황'!$C:$J,7,0))</f>
        <v>기능공</v>
      </c>
      <c r="G201" s="72" t="str">
        <f>IF(VLOOKUP($B201,'1. 현장별 인원현황'!$C:$J,8,0)=0,"",VLOOKUP($B201,'1. 현장별 인원현황'!$C:$J,8,0))</f>
        <v>전공</v>
      </c>
      <c r="H201" s="67"/>
      <c r="I201" s="73"/>
      <c r="J201" s="73" t="s">
        <v>69</v>
      </c>
      <c r="K201" s="68"/>
      <c r="L201" s="67"/>
      <c r="M201" s="73" t="s">
        <v>69</v>
      </c>
      <c r="N201" s="73"/>
      <c r="O201" s="68"/>
      <c r="P201" s="67"/>
      <c r="Q201" s="73" t="s">
        <v>69</v>
      </c>
      <c r="R201" s="73"/>
      <c r="S201" s="68"/>
      <c r="T201" s="67"/>
      <c r="U201" s="73" t="s">
        <v>69</v>
      </c>
      <c r="V201" s="73"/>
      <c r="W201" s="68"/>
      <c r="X201" s="67" t="s">
        <v>69</v>
      </c>
      <c r="Y201" s="73"/>
      <c r="Z201" s="73"/>
      <c r="AA201" s="68"/>
      <c r="AB201" s="67"/>
      <c r="AC201" s="73" t="s">
        <v>69</v>
      </c>
      <c r="AD201" s="73"/>
      <c r="AE201" s="68"/>
      <c r="AF201" s="67"/>
      <c r="AG201" s="73" t="s">
        <v>69</v>
      </c>
      <c r="AH201" s="73"/>
      <c r="AI201" s="68"/>
      <c r="AJ201" s="67"/>
      <c r="AK201" s="73" t="s">
        <v>69</v>
      </c>
      <c r="AL201" s="73"/>
      <c r="AM201" s="68"/>
      <c r="AN201" s="73" t="s">
        <v>69</v>
      </c>
      <c r="AO201" s="73"/>
      <c r="AP201" s="73"/>
      <c r="AQ201" s="68"/>
      <c r="AR201" s="67">
        <f t="shared" si="122"/>
        <v>79</v>
      </c>
      <c r="AS201" s="68" t="str">
        <f t="shared" si="123"/>
        <v>A</v>
      </c>
      <c r="AV201" s="49">
        <f t="shared" si="79"/>
        <v>0</v>
      </c>
      <c r="AW201" s="49">
        <f t="shared" si="44"/>
        <v>0</v>
      </c>
      <c r="AX201" s="49">
        <f t="shared" si="45"/>
        <v>1</v>
      </c>
      <c r="AY201" s="49">
        <f t="shared" si="46"/>
        <v>0</v>
      </c>
      <c r="AZ201" s="49">
        <f t="shared" si="47"/>
        <v>0</v>
      </c>
      <c r="BA201" s="49">
        <f t="shared" si="48"/>
        <v>1</v>
      </c>
      <c r="BB201" s="49">
        <f t="shared" si="49"/>
        <v>0</v>
      </c>
      <c r="BC201" s="49">
        <f t="shared" si="50"/>
        <v>0</v>
      </c>
      <c r="BD201" s="49">
        <f t="shared" si="51"/>
        <v>0</v>
      </c>
      <c r="BE201" s="49">
        <f t="shared" si="52"/>
        <v>1</v>
      </c>
      <c r="BF201" s="49">
        <f t="shared" si="53"/>
        <v>0</v>
      </c>
      <c r="BG201" s="49">
        <f t="shared" si="54"/>
        <v>0</v>
      </c>
      <c r="BH201" s="49">
        <f t="shared" si="55"/>
        <v>0</v>
      </c>
      <c r="BI201" s="49">
        <f t="shared" si="56"/>
        <v>1</v>
      </c>
      <c r="BJ201" s="49">
        <f t="shared" si="57"/>
        <v>0</v>
      </c>
      <c r="BK201" s="49">
        <f t="shared" si="58"/>
        <v>0</v>
      </c>
      <c r="BL201" s="49">
        <f t="shared" si="59"/>
        <v>1</v>
      </c>
      <c r="BM201" s="49">
        <f t="shared" si="60"/>
        <v>0</v>
      </c>
      <c r="BN201" s="49">
        <f t="shared" si="61"/>
        <v>0</v>
      </c>
      <c r="BO201" s="49">
        <f t="shared" si="62"/>
        <v>0</v>
      </c>
      <c r="BP201" s="49">
        <f t="shared" si="63"/>
        <v>0</v>
      </c>
      <c r="BQ201" s="49">
        <f t="shared" si="64"/>
        <v>1</v>
      </c>
      <c r="BR201" s="49">
        <f t="shared" si="65"/>
        <v>0</v>
      </c>
      <c r="BS201" s="49">
        <f t="shared" si="66"/>
        <v>0</v>
      </c>
      <c r="BT201" s="49">
        <f t="shared" si="67"/>
        <v>0</v>
      </c>
      <c r="BU201" s="49">
        <f t="shared" si="68"/>
        <v>1</v>
      </c>
      <c r="BV201" s="49">
        <f t="shared" si="69"/>
        <v>0</v>
      </c>
      <c r="BW201" s="49">
        <f t="shared" si="70"/>
        <v>0</v>
      </c>
      <c r="BX201" s="49">
        <f t="shared" si="71"/>
        <v>0</v>
      </c>
      <c r="BY201" s="49">
        <f t="shared" si="72"/>
        <v>1</v>
      </c>
      <c r="BZ201" s="49">
        <f t="shared" si="73"/>
        <v>0</v>
      </c>
      <c r="CA201" s="49">
        <f t="shared" si="74"/>
        <v>0</v>
      </c>
      <c r="CB201" s="49">
        <f t="shared" si="75"/>
        <v>1</v>
      </c>
      <c r="CC201" s="49">
        <f t="shared" si="76"/>
        <v>0</v>
      </c>
      <c r="CD201" s="49">
        <f t="shared" si="77"/>
        <v>0</v>
      </c>
      <c r="CE201" s="49">
        <f t="shared" si="78"/>
        <v>0</v>
      </c>
    </row>
    <row r="202" spans="1:83" ht="35.1" customHeight="1" x14ac:dyDescent="0.3">
      <c r="A202" s="123" t="str">
        <f t="shared" si="120"/>
        <v>2팀</v>
      </c>
      <c r="B202" s="69">
        <f t="shared" si="121"/>
        <v>196</v>
      </c>
      <c r="C202" s="120" t="str">
        <f>IF(VLOOKUP($B202,'1. 현장별 인원현황'!$C:$J,2,0)=0,"",VLOOKUP($B202,'1. 현장별 인원현황'!$C:$J,2,0))</f>
        <v xml:space="preserve"> [2.동양] 한국건강관리협회 인천지부 신청사 건립 신축공사</v>
      </c>
      <c r="D202" s="70" t="str">
        <f>IF(VLOOKUP($B202,'1. 현장별 인원현황'!$C:$J,3,0)=0,"",VLOOKUP($B202,'1. 현장별 인원현황'!$C:$J,3,0))</f>
        <v>박성찬</v>
      </c>
      <c r="E202" s="74" t="str">
        <f ca="1">IF(VLOOKUP($B202,'1. 현장별 인원현황'!$C:$J,4,0)=0,"",VLOOKUP($B202,'1. 현장별 인원현황'!$C:$J,4,0))</f>
        <v>53세</v>
      </c>
      <c r="F202" s="70" t="str">
        <f>IF(VLOOKUP($B202,'1. 현장별 인원현황'!$C:$J,7,0)=0,"",VLOOKUP($B202,'1. 현장별 인원현황'!$C:$J,7,0))</f>
        <v>기능공</v>
      </c>
      <c r="G202" s="72" t="str">
        <f>IF(VLOOKUP($B202,'1. 현장별 인원현황'!$C:$J,8,0)=0,"",VLOOKUP($B202,'1. 현장별 인원현황'!$C:$J,8,0))</f>
        <v>전공</v>
      </c>
      <c r="H202" s="67"/>
      <c r="I202" s="73"/>
      <c r="J202" s="73" t="s">
        <v>69</v>
      </c>
      <c r="K202" s="68"/>
      <c r="L202" s="67"/>
      <c r="M202" s="73" t="s">
        <v>69</v>
      </c>
      <c r="N202" s="73"/>
      <c r="O202" s="68"/>
      <c r="P202" s="67"/>
      <c r="Q202" s="73" t="s">
        <v>69</v>
      </c>
      <c r="R202" s="73"/>
      <c r="S202" s="68"/>
      <c r="T202" s="67" t="s">
        <v>69</v>
      </c>
      <c r="U202" s="73"/>
      <c r="V202" s="73"/>
      <c r="W202" s="68"/>
      <c r="X202" s="67"/>
      <c r="Y202" s="73" t="s">
        <v>69</v>
      </c>
      <c r="Z202" s="73"/>
      <c r="AA202" s="68"/>
      <c r="AB202" s="67" t="s">
        <v>69</v>
      </c>
      <c r="AC202" s="73"/>
      <c r="AD202" s="73"/>
      <c r="AE202" s="68"/>
      <c r="AF202" s="67" t="s">
        <v>69</v>
      </c>
      <c r="AG202" s="73"/>
      <c r="AH202" s="73"/>
      <c r="AI202" s="68"/>
      <c r="AJ202" s="67"/>
      <c r="AK202" s="73" t="s">
        <v>69</v>
      </c>
      <c r="AL202" s="73"/>
      <c r="AM202" s="68"/>
      <c r="AN202" s="73" t="s">
        <v>69</v>
      </c>
      <c r="AO202" s="73"/>
      <c r="AP202" s="73"/>
      <c r="AQ202" s="68"/>
      <c r="AR202" s="67">
        <f t="shared" si="122"/>
        <v>83</v>
      </c>
      <c r="AS202" s="68" t="str">
        <f t="shared" si="123"/>
        <v>A</v>
      </c>
      <c r="AV202" s="49">
        <f t="shared" ref="AV202:AV235" si="124">IF(H202&gt;0,1,0)</f>
        <v>0</v>
      </c>
      <c r="AW202" s="49">
        <f t="shared" ref="AW202:AW235" si="125">IF(I202&gt;0,1,0)</f>
        <v>0</v>
      </c>
      <c r="AX202" s="49">
        <f t="shared" ref="AX202:AX235" si="126">IF(J202&gt;0,1,0)</f>
        <v>1</v>
      </c>
      <c r="AY202" s="49">
        <f t="shared" ref="AY202:AY235" si="127">IF(K202&gt;0,1,0)</f>
        <v>0</v>
      </c>
      <c r="AZ202" s="49">
        <f t="shared" ref="AZ202:AZ235" si="128">IF(L202&gt;0,1,0)</f>
        <v>0</v>
      </c>
      <c r="BA202" s="49">
        <f t="shared" ref="BA202:BA235" si="129">IF(M202&gt;0,1,0)</f>
        <v>1</v>
      </c>
      <c r="BB202" s="49">
        <f t="shared" ref="BB202:BB235" si="130">IF(N202&gt;0,1,0)</f>
        <v>0</v>
      </c>
      <c r="BC202" s="49">
        <f t="shared" ref="BC202:BC235" si="131">IF(O202&gt;0,1,0)</f>
        <v>0</v>
      </c>
      <c r="BD202" s="49">
        <f t="shared" ref="BD202:BD235" si="132">IF(P202&gt;0,1,0)</f>
        <v>0</v>
      </c>
      <c r="BE202" s="49">
        <f t="shared" ref="BE202:BE235" si="133">IF(Q202&gt;0,1,0)</f>
        <v>1</v>
      </c>
      <c r="BF202" s="49">
        <f t="shared" ref="BF202:BF235" si="134">IF(R202&gt;0,1,0)</f>
        <v>0</v>
      </c>
      <c r="BG202" s="49">
        <f t="shared" ref="BG202:BG235" si="135">IF(S202&gt;0,1,0)</f>
        <v>0</v>
      </c>
      <c r="BH202" s="49">
        <f t="shared" ref="BH202:BH235" si="136">IF(T202&gt;0,1,0)</f>
        <v>1</v>
      </c>
      <c r="BI202" s="49">
        <f t="shared" ref="BI202:BI235" si="137">IF(U202&gt;0,1,0)</f>
        <v>0</v>
      </c>
      <c r="BJ202" s="49">
        <f t="shared" ref="BJ202:BJ235" si="138">IF(V202&gt;0,1,0)</f>
        <v>0</v>
      </c>
      <c r="BK202" s="49">
        <f t="shared" ref="BK202:BK235" si="139">IF(W202&gt;0,1,0)</f>
        <v>0</v>
      </c>
      <c r="BL202" s="49">
        <f t="shared" ref="BL202:BL235" si="140">IF(X202&gt;0,1,0)</f>
        <v>0</v>
      </c>
      <c r="BM202" s="49">
        <f t="shared" ref="BM202:BM235" si="141">IF(Y202&gt;0,1,0)</f>
        <v>1</v>
      </c>
      <c r="BN202" s="49">
        <f t="shared" ref="BN202:BN235" si="142">IF(Z202&gt;0,1,0)</f>
        <v>0</v>
      </c>
      <c r="BO202" s="49">
        <f t="shared" ref="BO202:BO235" si="143">IF(AA202&gt;0,1,0)</f>
        <v>0</v>
      </c>
      <c r="BP202" s="49">
        <f t="shared" ref="BP202:BP235" si="144">IF(AB202&gt;0,1,0)</f>
        <v>1</v>
      </c>
      <c r="BQ202" s="49">
        <f t="shared" ref="BQ202:BQ235" si="145">IF(AC202&gt;0,1,0)</f>
        <v>0</v>
      </c>
      <c r="BR202" s="49">
        <f t="shared" ref="BR202:BR235" si="146">IF(AD202&gt;0,1,0)</f>
        <v>0</v>
      </c>
      <c r="BS202" s="49">
        <f t="shared" ref="BS202:BS235" si="147">IF(AE202&gt;0,1,0)</f>
        <v>0</v>
      </c>
      <c r="BT202" s="49">
        <f t="shared" ref="BT202:BT235" si="148">IF(AF202&gt;0,1,0)</f>
        <v>1</v>
      </c>
      <c r="BU202" s="49">
        <f t="shared" ref="BU202:BU235" si="149">IF(AG202&gt;0,1,0)</f>
        <v>0</v>
      </c>
      <c r="BV202" s="49">
        <f t="shared" ref="BV202:BV235" si="150">IF(AH202&gt;0,1,0)</f>
        <v>0</v>
      </c>
      <c r="BW202" s="49">
        <f t="shared" ref="BW202:BW235" si="151">IF(AI202&gt;0,1,0)</f>
        <v>0</v>
      </c>
      <c r="BX202" s="49">
        <f t="shared" ref="BX202:BX235" si="152">IF(AJ202&gt;0,1,0)</f>
        <v>0</v>
      </c>
      <c r="BY202" s="49">
        <f t="shared" ref="BY202:BY235" si="153">IF(AK202&gt;0,1,0)</f>
        <v>1</v>
      </c>
      <c r="BZ202" s="49">
        <f t="shared" ref="BZ202:BZ235" si="154">IF(AL202&gt;0,1,0)</f>
        <v>0</v>
      </c>
      <c r="CA202" s="49">
        <f t="shared" ref="CA202:CA235" si="155">IF(AM202&gt;0,1,0)</f>
        <v>0</v>
      </c>
      <c r="CB202" s="49">
        <f t="shared" ref="CB202:CB235" si="156">IF(AN202&gt;0,1,0)</f>
        <v>1</v>
      </c>
      <c r="CC202" s="49">
        <f t="shared" ref="CC202:CC235" si="157">IF(AO202&gt;0,1,0)</f>
        <v>0</v>
      </c>
      <c r="CD202" s="49">
        <f t="shared" ref="CD202:CD235" si="158">IF(AP202&gt;0,1,0)</f>
        <v>0</v>
      </c>
      <c r="CE202" s="49">
        <f t="shared" ref="CE202:CE235" si="159">IF(AQ202&gt;0,1,0)</f>
        <v>0</v>
      </c>
    </row>
    <row r="203" spans="1:83" ht="35.1" customHeight="1" x14ac:dyDescent="0.3">
      <c r="A203" s="123" t="str">
        <f t="shared" si="120"/>
        <v>2팀</v>
      </c>
      <c r="B203" s="69">
        <f t="shared" si="121"/>
        <v>197</v>
      </c>
      <c r="C203" s="120" t="str">
        <f>IF(VLOOKUP($B203,'1. 현장별 인원현황'!$C:$J,2,0)=0,"",VLOOKUP($B203,'1. 현장별 인원현황'!$C:$J,2,0))</f>
        <v xml:space="preserve"> [2.동양] 한국건강관리협회 인천지부 신청사 건립 신축공사</v>
      </c>
      <c r="D203" s="70" t="str">
        <f>IF(VLOOKUP($B203,'1. 현장별 인원현황'!$C:$J,3,0)=0,"",VLOOKUP($B203,'1. 현장별 인원현황'!$C:$J,3,0))</f>
        <v>박재욱</v>
      </c>
      <c r="E203" s="74" t="str">
        <f ca="1">IF(VLOOKUP($B203,'1. 현장별 인원현황'!$C:$J,4,0)=0,"",VLOOKUP($B203,'1. 현장별 인원현황'!$C:$J,4,0))</f>
        <v>60세</v>
      </c>
      <c r="F203" s="70" t="str">
        <f>IF(VLOOKUP($B203,'1. 현장별 인원현황'!$C:$J,7,0)=0,"",VLOOKUP($B203,'1. 현장별 인원현황'!$C:$J,7,0))</f>
        <v>기능공</v>
      </c>
      <c r="G203" s="72" t="str">
        <f>IF(VLOOKUP($B203,'1. 현장별 인원현황'!$C:$J,8,0)=0,"",VLOOKUP($B203,'1. 현장별 인원현황'!$C:$J,8,0))</f>
        <v>전공</v>
      </c>
      <c r="H203" s="67"/>
      <c r="I203" s="73"/>
      <c r="J203" s="73" t="s">
        <v>69</v>
      </c>
      <c r="K203" s="68"/>
      <c r="L203" s="67"/>
      <c r="M203" s="73"/>
      <c r="N203" s="73" t="s">
        <v>69</v>
      </c>
      <c r="O203" s="68"/>
      <c r="P203" s="67"/>
      <c r="Q203" s="73" t="s">
        <v>69</v>
      </c>
      <c r="R203" s="73"/>
      <c r="S203" s="68"/>
      <c r="T203" s="67"/>
      <c r="U203" s="73"/>
      <c r="V203" s="73" t="s">
        <v>69</v>
      </c>
      <c r="W203" s="68"/>
      <c r="X203" s="67"/>
      <c r="Y203" s="73" t="s">
        <v>69</v>
      </c>
      <c r="Z203" s="73"/>
      <c r="AA203" s="68"/>
      <c r="AB203" s="67"/>
      <c r="AC203" s="73" t="s">
        <v>69</v>
      </c>
      <c r="AD203" s="73"/>
      <c r="AE203" s="68"/>
      <c r="AF203" s="67"/>
      <c r="AG203" s="73"/>
      <c r="AH203" s="73" t="s">
        <v>69</v>
      </c>
      <c r="AI203" s="68"/>
      <c r="AJ203" s="67"/>
      <c r="AK203" s="73" t="s">
        <v>69</v>
      </c>
      <c r="AL203" s="73"/>
      <c r="AM203" s="68"/>
      <c r="AN203" s="73"/>
      <c r="AO203" s="73" t="s">
        <v>69</v>
      </c>
      <c r="AP203" s="73"/>
      <c r="AQ203" s="68"/>
      <c r="AR203" s="67">
        <f t="shared" si="122"/>
        <v>67</v>
      </c>
      <c r="AS203" s="68" t="str">
        <f t="shared" si="123"/>
        <v>B</v>
      </c>
      <c r="AV203" s="49">
        <f t="shared" si="124"/>
        <v>0</v>
      </c>
      <c r="AW203" s="49">
        <f t="shared" si="125"/>
        <v>0</v>
      </c>
      <c r="AX203" s="49">
        <f t="shared" si="126"/>
        <v>1</v>
      </c>
      <c r="AY203" s="49">
        <f t="shared" si="127"/>
        <v>0</v>
      </c>
      <c r="AZ203" s="49">
        <f t="shared" si="128"/>
        <v>0</v>
      </c>
      <c r="BA203" s="49">
        <f t="shared" si="129"/>
        <v>0</v>
      </c>
      <c r="BB203" s="49">
        <f t="shared" si="130"/>
        <v>1</v>
      </c>
      <c r="BC203" s="49">
        <f t="shared" si="131"/>
        <v>0</v>
      </c>
      <c r="BD203" s="49">
        <f t="shared" si="132"/>
        <v>0</v>
      </c>
      <c r="BE203" s="49">
        <f t="shared" si="133"/>
        <v>1</v>
      </c>
      <c r="BF203" s="49">
        <f t="shared" si="134"/>
        <v>0</v>
      </c>
      <c r="BG203" s="49">
        <f t="shared" si="135"/>
        <v>0</v>
      </c>
      <c r="BH203" s="49">
        <f t="shared" si="136"/>
        <v>0</v>
      </c>
      <c r="BI203" s="49">
        <f t="shared" si="137"/>
        <v>0</v>
      </c>
      <c r="BJ203" s="49">
        <f t="shared" si="138"/>
        <v>1</v>
      </c>
      <c r="BK203" s="49">
        <f t="shared" si="139"/>
        <v>0</v>
      </c>
      <c r="BL203" s="49">
        <f t="shared" si="140"/>
        <v>0</v>
      </c>
      <c r="BM203" s="49">
        <f t="shared" si="141"/>
        <v>1</v>
      </c>
      <c r="BN203" s="49">
        <f t="shared" si="142"/>
        <v>0</v>
      </c>
      <c r="BO203" s="49">
        <f t="shared" si="143"/>
        <v>0</v>
      </c>
      <c r="BP203" s="49">
        <f t="shared" si="144"/>
        <v>0</v>
      </c>
      <c r="BQ203" s="49">
        <f t="shared" si="145"/>
        <v>1</v>
      </c>
      <c r="BR203" s="49">
        <f t="shared" si="146"/>
        <v>0</v>
      </c>
      <c r="BS203" s="49">
        <f t="shared" si="147"/>
        <v>0</v>
      </c>
      <c r="BT203" s="49">
        <f t="shared" si="148"/>
        <v>0</v>
      </c>
      <c r="BU203" s="49">
        <f t="shared" si="149"/>
        <v>0</v>
      </c>
      <c r="BV203" s="49">
        <f t="shared" si="150"/>
        <v>1</v>
      </c>
      <c r="BW203" s="49">
        <f t="shared" si="151"/>
        <v>0</v>
      </c>
      <c r="BX203" s="49">
        <f t="shared" si="152"/>
        <v>0</v>
      </c>
      <c r="BY203" s="49">
        <f t="shared" si="153"/>
        <v>1</v>
      </c>
      <c r="BZ203" s="49">
        <f t="shared" si="154"/>
        <v>0</v>
      </c>
      <c r="CA203" s="49">
        <f t="shared" si="155"/>
        <v>0</v>
      </c>
      <c r="CB203" s="49">
        <f t="shared" si="156"/>
        <v>0</v>
      </c>
      <c r="CC203" s="49">
        <f t="shared" si="157"/>
        <v>1</v>
      </c>
      <c r="CD203" s="49">
        <f t="shared" si="158"/>
        <v>0</v>
      </c>
      <c r="CE203" s="49">
        <f t="shared" si="159"/>
        <v>0</v>
      </c>
    </row>
    <row r="204" spans="1:83" ht="35.1" customHeight="1" x14ac:dyDescent="0.3">
      <c r="A204" s="123" t="str">
        <f t="shared" si="120"/>
        <v>2팀</v>
      </c>
      <c r="B204" s="69">
        <f t="shared" si="121"/>
        <v>198</v>
      </c>
      <c r="C204" s="120" t="str">
        <f>IF(VLOOKUP($B204,'1. 현장별 인원현황'!$C:$J,2,0)=0,"",VLOOKUP($B204,'1. 현장별 인원현황'!$C:$J,2,0))</f>
        <v xml:space="preserve"> [2.동양] 한국건강관리협회 인천지부 신청사 건립 신축공사</v>
      </c>
      <c r="D204" s="70" t="str">
        <f>IF(VLOOKUP($B204,'1. 현장별 인원현황'!$C:$J,3,0)=0,"",VLOOKUP($B204,'1. 현장별 인원현황'!$C:$J,3,0))</f>
        <v>서성필</v>
      </c>
      <c r="E204" s="74" t="str">
        <f ca="1">IF(VLOOKUP($B204,'1. 현장별 인원현황'!$C:$J,4,0)=0,"",VLOOKUP($B204,'1. 현장별 인원현황'!$C:$J,4,0))</f>
        <v>50세</v>
      </c>
      <c r="F204" s="70" t="str">
        <f>IF(VLOOKUP($B204,'1. 현장별 인원현황'!$C:$J,7,0)=0,"",VLOOKUP($B204,'1. 현장별 인원현황'!$C:$J,7,0))</f>
        <v>기능공</v>
      </c>
      <c r="G204" s="72" t="str">
        <f>IF(VLOOKUP($B204,'1. 현장별 인원현황'!$C:$J,8,0)=0,"",VLOOKUP($B204,'1. 현장별 인원현황'!$C:$J,8,0))</f>
        <v>전공</v>
      </c>
      <c r="H204" s="67"/>
      <c r="I204" s="73" t="s">
        <v>69</v>
      </c>
      <c r="J204" s="73"/>
      <c r="K204" s="68"/>
      <c r="L204" s="67" t="s">
        <v>69</v>
      </c>
      <c r="M204" s="73"/>
      <c r="N204" s="73"/>
      <c r="O204" s="68"/>
      <c r="P204" s="67" t="s">
        <v>69</v>
      </c>
      <c r="Q204" s="73"/>
      <c r="R204" s="73"/>
      <c r="S204" s="68"/>
      <c r="T204" s="67"/>
      <c r="U204" s="73"/>
      <c r="V204" s="73" t="s">
        <v>69</v>
      </c>
      <c r="W204" s="68"/>
      <c r="X204" s="67" t="s">
        <v>69</v>
      </c>
      <c r="Y204" s="73"/>
      <c r="Z204" s="73"/>
      <c r="AA204" s="68"/>
      <c r="AB204" s="67" t="s">
        <v>69</v>
      </c>
      <c r="AC204" s="73"/>
      <c r="AD204" s="73"/>
      <c r="AE204" s="68"/>
      <c r="AF204" s="67" t="s">
        <v>69</v>
      </c>
      <c r="AG204" s="73"/>
      <c r="AH204" s="73"/>
      <c r="AI204" s="68"/>
      <c r="AJ204" s="67" t="s">
        <v>69</v>
      </c>
      <c r="AK204" s="73"/>
      <c r="AL204" s="73"/>
      <c r="AM204" s="68"/>
      <c r="AN204" s="73" t="s">
        <v>69</v>
      </c>
      <c r="AO204" s="73"/>
      <c r="AP204" s="73"/>
      <c r="AQ204" s="68"/>
      <c r="AR204" s="67">
        <f t="shared" si="122"/>
        <v>93</v>
      </c>
      <c r="AS204" s="68" t="str">
        <f t="shared" si="123"/>
        <v>S</v>
      </c>
      <c r="AV204" s="49">
        <f t="shared" si="124"/>
        <v>0</v>
      </c>
      <c r="AW204" s="49">
        <f t="shared" si="125"/>
        <v>1</v>
      </c>
      <c r="AX204" s="49">
        <f t="shared" si="126"/>
        <v>0</v>
      </c>
      <c r="AY204" s="49">
        <f t="shared" si="127"/>
        <v>0</v>
      </c>
      <c r="AZ204" s="49">
        <f t="shared" si="128"/>
        <v>1</v>
      </c>
      <c r="BA204" s="49">
        <f t="shared" si="129"/>
        <v>0</v>
      </c>
      <c r="BB204" s="49">
        <f t="shared" si="130"/>
        <v>0</v>
      </c>
      <c r="BC204" s="49">
        <f t="shared" si="131"/>
        <v>0</v>
      </c>
      <c r="BD204" s="49">
        <f t="shared" si="132"/>
        <v>1</v>
      </c>
      <c r="BE204" s="49">
        <f t="shared" si="133"/>
        <v>0</v>
      </c>
      <c r="BF204" s="49">
        <f t="shared" si="134"/>
        <v>0</v>
      </c>
      <c r="BG204" s="49">
        <f t="shared" si="135"/>
        <v>0</v>
      </c>
      <c r="BH204" s="49">
        <f t="shared" si="136"/>
        <v>0</v>
      </c>
      <c r="BI204" s="49">
        <f t="shared" si="137"/>
        <v>0</v>
      </c>
      <c r="BJ204" s="49">
        <f t="shared" si="138"/>
        <v>1</v>
      </c>
      <c r="BK204" s="49">
        <f t="shared" si="139"/>
        <v>0</v>
      </c>
      <c r="BL204" s="49">
        <f t="shared" si="140"/>
        <v>1</v>
      </c>
      <c r="BM204" s="49">
        <f t="shared" si="141"/>
        <v>0</v>
      </c>
      <c r="BN204" s="49">
        <f t="shared" si="142"/>
        <v>0</v>
      </c>
      <c r="BO204" s="49">
        <f t="shared" si="143"/>
        <v>0</v>
      </c>
      <c r="BP204" s="49">
        <f t="shared" si="144"/>
        <v>1</v>
      </c>
      <c r="BQ204" s="49">
        <f t="shared" si="145"/>
        <v>0</v>
      </c>
      <c r="BR204" s="49">
        <f t="shared" si="146"/>
        <v>0</v>
      </c>
      <c r="BS204" s="49">
        <f t="shared" si="147"/>
        <v>0</v>
      </c>
      <c r="BT204" s="49">
        <f t="shared" si="148"/>
        <v>1</v>
      </c>
      <c r="BU204" s="49">
        <f t="shared" si="149"/>
        <v>0</v>
      </c>
      <c r="BV204" s="49">
        <f t="shared" si="150"/>
        <v>0</v>
      </c>
      <c r="BW204" s="49">
        <f t="shared" si="151"/>
        <v>0</v>
      </c>
      <c r="BX204" s="49">
        <f t="shared" si="152"/>
        <v>1</v>
      </c>
      <c r="BY204" s="49">
        <f t="shared" si="153"/>
        <v>0</v>
      </c>
      <c r="BZ204" s="49">
        <f t="shared" si="154"/>
        <v>0</v>
      </c>
      <c r="CA204" s="49">
        <f t="shared" si="155"/>
        <v>0</v>
      </c>
      <c r="CB204" s="49">
        <f t="shared" si="156"/>
        <v>1</v>
      </c>
      <c r="CC204" s="49">
        <f t="shared" si="157"/>
        <v>0</v>
      </c>
      <c r="CD204" s="49">
        <f t="shared" si="158"/>
        <v>0</v>
      </c>
      <c r="CE204" s="49">
        <f t="shared" si="159"/>
        <v>0</v>
      </c>
    </row>
    <row r="205" spans="1:83" ht="35.1" customHeight="1" x14ac:dyDescent="0.3">
      <c r="A205" s="123" t="str">
        <f t="shared" si="120"/>
        <v>2팀</v>
      </c>
      <c r="B205" s="69">
        <f t="shared" si="121"/>
        <v>199</v>
      </c>
      <c r="C205" s="120" t="str">
        <f>IF(VLOOKUP($B205,'1. 현장별 인원현황'!$C:$J,2,0)=0,"",VLOOKUP($B205,'1. 현장별 인원현황'!$C:$J,2,0))</f>
        <v xml:space="preserve"> [2.동양] 한국건강관리협회 인천지부 신청사 건립 신축공사</v>
      </c>
      <c r="D205" s="70" t="str">
        <f>IF(VLOOKUP($B205,'1. 현장별 인원현황'!$C:$J,3,0)=0,"",VLOOKUP($B205,'1. 현장별 인원현황'!$C:$J,3,0))</f>
        <v>이재형</v>
      </c>
      <c r="E205" s="74" t="str">
        <f ca="1">IF(VLOOKUP($B205,'1. 현장별 인원현황'!$C:$J,4,0)=0,"",VLOOKUP($B205,'1. 현장별 인원현황'!$C:$J,4,0))</f>
        <v>48세</v>
      </c>
      <c r="F205" s="70" t="str">
        <f>IF(VLOOKUP($B205,'1. 현장별 인원현황'!$C:$J,7,0)=0,"",VLOOKUP($B205,'1. 현장별 인원현황'!$C:$J,7,0))</f>
        <v>기능공</v>
      </c>
      <c r="G205" s="72" t="str">
        <f>IF(VLOOKUP($B205,'1. 현장별 인원현황'!$C:$J,8,0)=0,"",VLOOKUP($B205,'1. 현장별 인원현황'!$C:$J,8,0))</f>
        <v>조공</v>
      </c>
      <c r="H205" s="67"/>
      <c r="I205" s="73" t="s">
        <v>69</v>
      </c>
      <c r="J205" s="73"/>
      <c r="K205" s="68"/>
      <c r="L205" s="67"/>
      <c r="M205" s="73"/>
      <c r="N205" s="73" t="s">
        <v>69</v>
      </c>
      <c r="O205" s="68"/>
      <c r="P205" s="67" t="s">
        <v>69</v>
      </c>
      <c r="Q205" s="73"/>
      <c r="R205" s="73"/>
      <c r="S205" s="68"/>
      <c r="T205" s="67" t="s">
        <v>69</v>
      </c>
      <c r="U205" s="73"/>
      <c r="V205" s="73"/>
      <c r="W205" s="68"/>
      <c r="X205" s="67"/>
      <c r="Y205" s="73" t="s">
        <v>69</v>
      </c>
      <c r="Z205" s="73"/>
      <c r="AA205" s="68"/>
      <c r="AB205" s="67"/>
      <c r="AC205" s="73" t="s">
        <v>69</v>
      </c>
      <c r="AD205" s="73"/>
      <c r="AE205" s="68"/>
      <c r="AF205" s="67"/>
      <c r="AG205" s="73"/>
      <c r="AH205" s="73" t="s">
        <v>69</v>
      </c>
      <c r="AI205" s="68"/>
      <c r="AJ205" s="67"/>
      <c r="AK205" s="73" t="s">
        <v>69</v>
      </c>
      <c r="AL205" s="73"/>
      <c r="AM205" s="68"/>
      <c r="AN205" s="73"/>
      <c r="AO205" s="73" t="s">
        <v>69</v>
      </c>
      <c r="AP205" s="73"/>
      <c r="AQ205" s="68"/>
      <c r="AR205" s="67">
        <f t="shared" si="122"/>
        <v>77</v>
      </c>
      <c r="AS205" s="68" t="str">
        <f t="shared" si="123"/>
        <v>A</v>
      </c>
      <c r="AV205" s="49">
        <f t="shared" si="124"/>
        <v>0</v>
      </c>
      <c r="AW205" s="49">
        <f t="shared" si="125"/>
        <v>1</v>
      </c>
      <c r="AX205" s="49">
        <f t="shared" si="126"/>
        <v>0</v>
      </c>
      <c r="AY205" s="49">
        <f t="shared" si="127"/>
        <v>0</v>
      </c>
      <c r="AZ205" s="49">
        <f t="shared" si="128"/>
        <v>0</v>
      </c>
      <c r="BA205" s="49">
        <f t="shared" si="129"/>
        <v>0</v>
      </c>
      <c r="BB205" s="49">
        <f t="shared" si="130"/>
        <v>1</v>
      </c>
      <c r="BC205" s="49">
        <f t="shared" si="131"/>
        <v>0</v>
      </c>
      <c r="BD205" s="49">
        <f t="shared" si="132"/>
        <v>1</v>
      </c>
      <c r="BE205" s="49">
        <f t="shared" si="133"/>
        <v>0</v>
      </c>
      <c r="BF205" s="49">
        <f t="shared" si="134"/>
        <v>0</v>
      </c>
      <c r="BG205" s="49">
        <f t="shared" si="135"/>
        <v>0</v>
      </c>
      <c r="BH205" s="49">
        <f t="shared" si="136"/>
        <v>1</v>
      </c>
      <c r="BI205" s="49">
        <f t="shared" si="137"/>
        <v>0</v>
      </c>
      <c r="BJ205" s="49">
        <f t="shared" si="138"/>
        <v>0</v>
      </c>
      <c r="BK205" s="49">
        <f t="shared" si="139"/>
        <v>0</v>
      </c>
      <c r="BL205" s="49">
        <f t="shared" si="140"/>
        <v>0</v>
      </c>
      <c r="BM205" s="49">
        <f t="shared" si="141"/>
        <v>1</v>
      </c>
      <c r="BN205" s="49">
        <f t="shared" si="142"/>
        <v>0</v>
      </c>
      <c r="BO205" s="49">
        <f t="shared" si="143"/>
        <v>0</v>
      </c>
      <c r="BP205" s="49">
        <f t="shared" si="144"/>
        <v>0</v>
      </c>
      <c r="BQ205" s="49">
        <f t="shared" si="145"/>
        <v>1</v>
      </c>
      <c r="BR205" s="49">
        <f t="shared" si="146"/>
        <v>0</v>
      </c>
      <c r="BS205" s="49">
        <f t="shared" si="147"/>
        <v>0</v>
      </c>
      <c r="BT205" s="49">
        <f t="shared" si="148"/>
        <v>0</v>
      </c>
      <c r="BU205" s="49">
        <f t="shared" si="149"/>
        <v>0</v>
      </c>
      <c r="BV205" s="49">
        <f t="shared" si="150"/>
        <v>1</v>
      </c>
      <c r="BW205" s="49">
        <f t="shared" si="151"/>
        <v>0</v>
      </c>
      <c r="BX205" s="49">
        <f t="shared" si="152"/>
        <v>0</v>
      </c>
      <c r="BY205" s="49">
        <f t="shared" si="153"/>
        <v>1</v>
      </c>
      <c r="BZ205" s="49">
        <f t="shared" si="154"/>
        <v>0</v>
      </c>
      <c r="CA205" s="49">
        <f t="shared" si="155"/>
        <v>0</v>
      </c>
      <c r="CB205" s="49">
        <f t="shared" si="156"/>
        <v>0</v>
      </c>
      <c r="CC205" s="49">
        <f t="shared" si="157"/>
        <v>1</v>
      </c>
      <c r="CD205" s="49">
        <f t="shared" si="158"/>
        <v>0</v>
      </c>
      <c r="CE205" s="49">
        <f t="shared" si="159"/>
        <v>0</v>
      </c>
    </row>
    <row r="206" spans="1:83" ht="35.1" customHeight="1" x14ac:dyDescent="0.3">
      <c r="A206" s="123" t="str">
        <f t="shared" si="120"/>
        <v>2팀</v>
      </c>
      <c r="B206" s="69">
        <f t="shared" si="121"/>
        <v>200</v>
      </c>
      <c r="C206" s="120" t="str">
        <f>IF(VLOOKUP($B206,'1. 현장별 인원현황'!$C:$J,2,0)=0,"",VLOOKUP($B206,'1. 현장별 인원현황'!$C:$J,2,0))</f>
        <v xml:space="preserve"> [2.동양] 한국건강관리협회 인천지부 신청사 건립 신축공사</v>
      </c>
      <c r="D206" s="70" t="str">
        <f>IF(VLOOKUP($B206,'1. 현장별 인원현황'!$C:$J,3,0)=0,"",VLOOKUP($B206,'1. 현장별 인원현황'!$C:$J,3,0))</f>
        <v>장근직</v>
      </c>
      <c r="E206" s="74" t="str">
        <f ca="1">IF(VLOOKUP($B206,'1. 현장별 인원현황'!$C:$J,4,0)=0,"",VLOOKUP($B206,'1. 현장별 인원현황'!$C:$J,4,0))</f>
        <v>58세</v>
      </c>
      <c r="F206" s="70" t="str">
        <f>IF(VLOOKUP($B206,'1. 현장별 인원현황'!$C:$J,7,0)=0,"",VLOOKUP($B206,'1. 현장별 인원현황'!$C:$J,7,0))</f>
        <v>기능공</v>
      </c>
      <c r="G206" s="72" t="str">
        <f>IF(VLOOKUP($B206,'1. 현장별 인원현황'!$C:$J,8,0)=0,"",VLOOKUP($B206,'1. 현장별 인원현황'!$C:$J,8,0))</f>
        <v>전공</v>
      </c>
      <c r="H206" s="67"/>
      <c r="I206" s="73" t="s">
        <v>69</v>
      </c>
      <c r="J206" s="73"/>
      <c r="K206" s="68"/>
      <c r="L206" s="67" t="s">
        <v>69</v>
      </c>
      <c r="M206" s="73"/>
      <c r="N206" s="73"/>
      <c r="O206" s="68"/>
      <c r="P206" s="67"/>
      <c r="Q206" s="73" t="s">
        <v>69</v>
      </c>
      <c r="R206" s="73"/>
      <c r="S206" s="68"/>
      <c r="T206" s="67"/>
      <c r="U206" s="73"/>
      <c r="V206" s="73" t="s">
        <v>69</v>
      </c>
      <c r="W206" s="68"/>
      <c r="X206" s="67" t="s">
        <v>69</v>
      </c>
      <c r="Y206" s="73"/>
      <c r="Z206" s="73"/>
      <c r="AA206" s="68"/>
      <c r="AB206" s="67"/>
      <c r="AC206" s="73" t="s">
        <v>69</v>
      </c>
      <c r="AD206" s="73"/>
      <c r="AE206" s="68"/>
      <c r="AF206" s="67"/>
      <c r="AG206" s="73"/>
      <c r="AH206" s="73" t="s">
        <v>69</v>
      </c>
      <c r="AI206" s="68"/>
      <c r="AJ206" s="67"/>
      <c r="AK206" s="73" t="s">
        <v>69</v>
      </c>
      <c r="AL206" s="73"/>
      <c r="AM206" s="68"/>
      <c r="AN206" s="73" t="s">
        <v>69</v>
      </c>
      <c r="AO206" s="73"/>
      <c r="AP206" s="73"/>
      <c r="AQ206" s="68"/>
      <c r="AR206" s="67">
        <f t="shared" si="122"/>
        <v>81</v>
      </c>
      <c r="AS206" s="68" t="str">
        <f t="shared" si="123"/>
        <v>A</v>
      </c>
      <c r="AV206" s="49">
        <f t="shared" si="124"/>
        <v>0</v>
      </c>
      <c r="AW206" s="49">
        <f t="shared" si="125"/>
        <v>1</v>
      </c>
      <c r="AX206" s="49">
        <f t="shared" si="126"/>
        <v>0</v>
      </c>
      <c r="AY206" s="49">
        <f t="shared" si="127"/>
        <v>0</v>
      </c>
      <c r="AZ206" s="49">
        <f t="shared" si="128"/>
        <v>1</v>
      </c>
      <c r="BA206" s="49">
        <f t="shared" si="129"/>
        <v>0</v>
      </c>
      <c r="BB206" s="49">
        <f t="shared" si="130"/>
        <v>0</v>
      </c>
      <c r="BC206" s="49">
        <f t="shared" si="131"/>
        <v>0</v>
      </c>
      <c r="BD206" s="49">
        <f t="shared" si="132"/>
        <v>0</v>
      </c>
      <c r="BE206" s="49">
        <f t="shared" si="133"/>
        <v>1</v>
      </c>
      <c r="BF206" s="49">
        <f t="shared" si="134"/>
        <v>0</v>
      </c>
      <c r="BG206" s="49">
        <f t="shared" si="135"/>
        <v>0</v>
      </c>
      <c r="BH206" s="49">
        <f t="shared" si="136"/>
        <v>0</v>
      </c>
      <c r="BI206" s="49">
        <f t="shared" si="137"/>
        <v>0</v>
      </c>
      <c r="BJ206" s="49">
        <f t="shared" si="138"/>
        <v>1</v>
      </c>
      <c r="BK206" s="49">
        <f t="shared" si="139"/>
        <v>0</v>
      </c>
      <c r="BL206" s="49">
        <f t="shared" si="140"/>
        <v>1</v>
      </c>
      <c r="BM206" s="49">
        <f t="shared" si="141"/>
        <v>0</v>
      </c>
      <c r="BN206" s="49">
        <f t="shared" si="142"/>
        <v>0</v>
      </c>
      <c r="BO206" s="49">
        <f t="shared" si="143"/>
        <v>0</v>
      </c>
      <c r="BP206" s="49">
        <f t="shared" si="144"/>
        <v>0</v>
      </c>
      <c r="BQ206" s="49">
        <f t="shared" si="145"/>
        <v>1</v>
      </c>
      <c r="BR206" s="49">
        <f t="shared" si="146"/>
        <v>0</v>
      </c>
      <c r="BS206" s="49">
        <f t="shared" si="147"/>
        <v>0</v>
      </c>
      <c r="BT206" s="49">
        <f t="shared" si="148"/>
        <v>0</v>
      </c>
      <c r="BU206" s="49">
        <f t="shared" si="149"/>
        <v>0</v>
      </c>
      <c r="BV206" s="49">
        <f t="shared" si="150"/>
        <v>1</v>
      </c>
      <c r="BW206" s="49">
        <f t="shared" si="151"/>
        <v>0</v>
      </c>
      <c r="BX206" s="49">
        <f t="shared" si="152"/>
        <v>0</v>
      </c>
      <c r="BY206" s="49">
        <f t="shared" si="153"/>
        <v>1</v>
      </c>
      <c r="BZ206" s="49">
        <f t="shared" si="154"/>
        <v>0</v>
      </c>
      <c r="CA206" s="49">
        <f t="shared" si="155"/>
        <v>0</v>
      </c>
      <c r="CB206" s="49">
        <f t="shared" si="156"/>
        <v>1</v>
      </c>
      <c r="CC206" s="49">
        <f t="shared" si="157"/>
        <v>0</v>
      </c>
      <c r="CD206" s="49">
        <f t="shared" si="158"/>
        <v>0</v>
      </c>
      <c r="CE206" s="49">
        <f t="shared" si="159"/>
        <v>0</v>
      </c>
    </row>
    <row r="207" spans="1:83" ht="35.1" customHeight="1" x14ac:dyDescent="0.3">
      <c r="A207" s="123" t="str">
        <f t="shared" si="120"/>
        <v>2팀</v>
      </c>
      <c r="B207" s="69">
        <f t="shared" si="121"/>
        <v>201</v>
      </c>
      <c r="C207" s="120" t="str">
        <f>IF(VLOOKUP($B207,'1. 현장별 인원현황'!$C:$J,2,0)=0,"",VLOOKUP($B207,'1. 현장별 인원현황'!$C:$J,2,0))</f>
        <v xml:space="preserve"> [2.동양] 한국건강관리협회 인천지부 신청사 건립 신축공사</v>
      </c>
      <c r="D207" s="70" t="str">
        <f>IF(VLOOKUP($B207,'1. 현장별 인원현황'!$C:$J,3,0)=0,"",VLOOKUP($B207,'1. 현장별 인원현황'!$C:$J,3,0))</f>
        <v>조규평</v>
      </c>
      <c r="E207" s="74" t="str">
        <f ca="1">IF(VLOOKUP($B207,'1. 현장별 인원현황'!$C:$J,4,0)=0,"",VLOOKUP($B207,'1. 현장별 인원현황'!$C:$J,4,0))</f>
        <v>72세</v>
      </c>
      <c r="F207" s="70" t="str">
        <f>IF(VLOOKUP($B207,'1. 현장별 인원현황'!$C:$J,7,0)=0,"",VLOOKUP($B207,'1. 현장별 인원현황'!$C:$J,7,0))</f>
        <v>기능공</v>
      </c>
      <c r="G207" s="72" t="str">
        <f>IF(VLOOKUP($B207,'1. 현장별 인원현황'!$C:$J,8,0)=0,"",VLOOKUP($B207,'1. 현장별 인원현황'!$C:$J,8,0))</f>
        <v>조공</v>
      </c>
      <c r="H207" s="67"/>
      <c r="I207" s="73" t="s">
        <v>69</v>
      </c>
      <c r="J207" s="73"/>
      <c r="K207" s="68"/>
      <c r="L207" s="67"/>
      <c r="M207" s="73" t="s">
        <v>69</v>
      </c>
      <c r="N207" s="73"/>
      <c r="O207" s="68"/>
      <c r="P207" s="67"/>
      <c r="Q207" s="73" t="s">
        <v>69</v>
      </c>
      <c r="R207" s="73"/>
      <c r="S207" s="68"/>
      <c r="T207" s="67"/>
      <c r="U207" s="73" t="s">
        <v>69</v>
      </c>
      <c r="V207" s="73"/>
      <c r="W207" s="68"/>
      <c r="X207" s="67" t="s">
        <v>69</v>
      </c>
      <c r="Y207" s="73"/>
      <c r="Z207" s="73"/>
      <c r="AA207" s="68"/>
      <c r="AB207" s="67" t="s">
        <v>69</v>
      </c>
      <c r="AC207" s="73"/>
      <c r="AD207" s="73"/>
      <c r="AE207" s="68"/>
      <c r="AF207" s="67"/>
      <c r="AG207" s="73"/>
      <c r="AH207" s="73" t="s">
        <v>69</v>
      </c>
      <c r="AI207" s="68"/>
      <c r="AJ207" s="67"/>
      <c r="AK207" s="73" t="s">
        <v>69</v>
      </c>
      <c r="AL207" s="73"/>
      <c r="AM207" s="68"/>
      <c r="AN207" s="73" t="s">
        <v>69</v>
      </c>
      <c r="AO207" s="73"/>
      <c r="AP207" s="73"/>
      <c r="AQ207" s="68"/>
      <c r="AR207" s="67">
        <f t="shared" si="122"/>
        <v>82</v>
      </c>
      <c r="AS207" s="68" t="str">
        <f t="shared" si="123"/>
        <v>A</v>
      </c>
      <c r="AV207" s="49">
        <f t="shared" si="124"/>
        <v>0</v>
      </c>
      <c r="AW207" s="49">
        <f t="shared" si="125"/>
        <v>1</v>
      </c>
      <c r="AX207" s="49">
        <f t="shared" si="126"/>
        <v>0</v>
      </c>
      <c r="AY207" s="49">
        <f t="shared" si="127"/>
        <v>0</v>
      </c>
      <c r="AZ207" s="49">
        <f t="shared" si="128"/>
        <v>0</v>
      </c>
      <c r="BA207" s="49">
        <f t="shared" si="129"/>
        <v>1</v>
      </c>
      <c r="BB207" s="49">
        <f t="shared" si="130"/>
        <v>0</v>
      </c>
      <c r="BC207" s="49">
        <f t="shared" si="131"/>
        <v>0</v>
      </c>
      <c r="BD207" s="49">
        <f t="shared" si="132"/>
        <v>0</v>
      </c>
      <c r="BE207" s="49">
        <f t="shared" si="133"/>
        <v>1</v>
      </c>
      <c r="BF207" s="49">
        <f t="shared" si="134"/>
        <v>0</v>
      </c>
      <c r="BG207" s="49">
        <f t="shared" si="135"/>
        <v>0</v>
      </c>
      <c r="BH207" s="49">
        <f t="shared" si="136"/>
        <v>0</v>
      </c>
      <c r="BI207" s="49">
        <f t="shared" si="137"/>
        <v>1</v>
      </c>
      <c r="BJ207" s="49">
        <f t="shared" si="138"/>
        <v>0</v>
      </c>
      <c r="BK207" s="49">
        <f t="shared" si="139"/>
        <v>0</v>
      </c>
      <c r="BL207" s="49">
        <f t="shared" si="140"/>
        <v>1</v>
      </c>
      <c r="BM207" s="49">
        <f t="shared" si="141"/>
        <v>0</v>
      </c>
      <c r="BN207" s="49">
        <f t="shared" si="142"/>
        <v>0</v>
      </c>
      <c r="BO207" s="49">
        <f t="shared" si="143"/>
        <v>0</v>
      </c>
      <c r="BP207" s="49">
        <f t="shared" si="144"/>
        <v>1</v>
      </c>
      <c r="BQ207" s="49">
        <f t="shared" si="145"/>
        <v>0</v>
      </c>
      <c r="BR207" s="49">
        <f t="shared" si="146"/>
        <v>0</v>
      </c>
      <c r="BS207" s="49">
        <f t="shared" si="147"/>
        <v>0</v>
      </c>
      <c r="BT207" s="49">
        <f t="shared" si="148"/>
        <v>0</v>
      </c>
      <c r="BU207" s="49">
        <f t="shared" si="149"/>
        <v>0</v>
      </c>
      <c r="BV207" s="49">
        <f t="shared" si="150"/>
        <v>1</v>
      </c>
      <c r="BW207" s="49">
        <f t="shared" si="151"/>
        <v>0</v>
      </c>
      <c r="BX207" s="49">
        <f t="shared" si="152"/>
        <v>0</v>
      </c>
      <c r="BY207" s="49">
        <f t="shared" si="153"/>
        <v>1</v>
      </c>
      <c r="BZ207" s="49">
        <f t="shared" si="154"/>
        <v>0</v>
      </c>
      <c r="CA207" s="49">
        <f t="shared" si="155"/>
        <v>0</v>
      </c>
      <c r="CB207" s="49">
        <f t="shared" si="156"/>
        <v>1</v>
      </c>
      <c r="CC207" s="49">
        <f t="shared" si="157"/>
        <v>0</v>
      </c>
      <c r="CD207" s="49">
        <f t="shared" si="158"/>
        <v>0</v>
      </c>
      <c r="CE207" s="49">
        <f t="shared" si="159"/>
        <v>0</v>
      </c>
    </row>
    <row r="208" spans="1:83" ht="35.1" customHeight="1" x14ac:dyDescent="0.3">
      <c r="A208" s="123" t="str">
        <f t="shared" si="120"/>
        <v>2팀</v>
      </c>
      <c r="B208" s="69">
        <f t="shared" si="121"/>
        <v>202</v>
      </c>
      <c r="C208" s="120" t="str">
        <f>IF(VLOOKUP($B208,'1. 현장별 인원현황'!$C:$J,2,0)=0,"",VLOOKUP($B208,'1. 현장별 인원현황'!$C:$J,2,0))</f>
        <v xml:space="preserve"> [2.동양] 한국건강관리협회 인천지부 신청사 건립 신축공사</v>
      </c>
      <c r="D208" s="70" t="str">
        <f>IF(VLOOKUP($B208,'1. 현장별 인원현황'!$C:$J,3,0)=0,"",VLOOKUP($B208,'1. 현장별 인원현황'!$C:$J,3,0))</f>
        <v>조영삼</v>
      </c>
      <c r="E208" s="74" t="str">
        <f ca="1">IF(VLOOKUP($B208,'1. 현장별 인원현황'!$C:$J,4,0)=0,"",VLOOKUP($B208,'1. 현장별 인원현황'!$C:$J,4,0))</f>
        <v>57세</v>
      </c>
      <c r="F208" s="70" t="str">
        <f>IF(VLOOKUP($B208,'1. 현장별 인원현황'!$C:$J,7,0)=0,"",VLOOKUP($B208,'1. 현장별 인원현황'!$C:$J,7,0))</f>
        <v>기능공</v>
      </c>
      <c r="G208" s="72" t="str">
        <f>IF(VLOOKUP($B208,'1. 현장별 인원현황'!$C:$J,8,0)=0,"",VLOOKUP($B208,'1. 현장별 인원현황'!$C:$J,8,0))</f>
        <v>전공</v>
      </c>
      <c r="H208" s="67"/>
      <c r="I208" s="73" t="s">
        <v>69</v>
      </c>
      <c r="J208" s="73"/>
      <c r="K208" s="68"/>
      <c r="L208" s="67"/>
      <c r="M208" s="73" t="s">
        <v>69</v>
      </c>
      <c r="N208" s="73"/>
      <c r="O208" s="68"/>
      <c r="P208" s="67"/>
      <c r="Q208" s="73" t="s">
        <v>69</v>
      </c>
      <c r="R208" s="73"/>
      <c r="S208" s="68"/>
      <c r="T208" s="67"/>
      <c r="U208" s="73" t="s">
        <v>69</v>
      </c>
      <c r="V208" s="73"/>
      <c r="W208" s="68"/>
      <c r="X208" s="67" t="s">
        <v>69</v>
      </c>
      <c r="Y208" s="73"/>
      <c r="Z208" s="73"/>
      <c r="AA208" s="68"/>
      <c r="AB208" s="67" t="s">
        <v>69</v>
      </c>
      <c r="AC208" s="73"/>
      <c r="AD208" s="73"/>
      <c r="AE208" s="68"/>
      <c r="AF208" s="67"/>
      <c r="AG208" s="73"/>
      <c r="AH208" s="73" t="s">
        <v>69</v>
      </c>
      <c r="AI208" s="68"/>
      <c r="AJ208" s="67"/>
      <c r="AK208" s="73" t="s">
        <v>69</v>
      </c>
      <c r="AL208" s="73"/>
      <c r="AM208" s="68"/>
      <c r="AN208" s="73" t="s">
        <v>69</v>
      </c>
      <c r="AO208" s="73"/>
      <c r="AP208" s="73"/>
      <c r="AQ208" s="68"/>
      <c r="AR208" s="67">
        <f t="shared" si="122"/>
        <v>82</v>
      </c>
      <c r="AS208" s="68" t="str">
        <f t="shared" si="123"/>
        <v>A</v>
      </c>
      <c r="AV208" s="49">
        <f t="shared" si="124"/>
        <v>0</v>
      </c>
      <c r="AW208" s="49">
        <f t="shared" si="125"/>
        <v>1</v>
      </c>
      <c r="AX208" s="49">
        <f t="shared" si="126"/>
        <v>0</v>
      </c>
      <c r="AY208" s="49">
        <f t="shared" si="127"/>
        <v>0</v>
      </c>
      <c r="AZ208" s="49">
        <f t="shared" si="128"/>
        <v>0</v>
      </c>
      <c r="BA208" s="49">
        <f t="shared" si="129"/>
        <v>1</v>
      </c>
      <c r="BB208" s="49">
        <f t="shared" si="130"/>
        <v>0</v>
      </c>
      <c r="BC208" s="49">
        <f t="shared" si="131"/>
        <v>0</v>
      </c>
      <c r="BD208" s="49">
        <f t="shared" si="132"/>
        <v>0</v>
      </c>
      <c r="BE208" s="49">
        <f t="shared" si="133"/>
        <v>1</v>
      </c>
      <c r="BF208" s="49">
        <f t="shared" si="134"/>
        <v>0</v>
      </c>
      <c r="BG208" s="49">
        <f t="shared" si="135"/>
        <v>0</v>
      </c>
      <c r="BH208" s="49">
        <f t="shared" si="136"/>
        <v>0</v>
      </c>
      <c r="BI208" s="49">
        <f t="shared" si="137"/>
        <v>1</v>
      </c>
      <c r="BJ208" s="49">
        <f t="shared" si="138"/>
        <v>0</v>
      </c>
      <c r="BK208" s="49">
        <f t="shared" si="139"/>
        <v>0</v>
      </c>
      <c r="BL208" s="49">
        <f t="shared" si="140"/>
        <v>1</v>
      </c>
      <c r="BM208" s="49">
        <f t="shared" si="141"/>
        <v>0</v>
      </c>
      <c r="BN208" s="49">
        <f t="shared" si="142"/>
        <v>0</v>
      </c>
      <c r="BO208" s="49">
        <f t="shared" si="143"/>
        <v>0</v>
      </c>
      <c r="BP208" s="49">
        <f t="shared" si="144"/>
        <v>1</v>
      </c>
      <c r="BQ208" s="49">
        <f t="shared" si="145"/>
        <v>0</v>
      </c>
      <c r="BR208" s="49">
        <f t="shared" si="146"/>
        <v>0</v>
      </c>
      <c r="BS208" s="49">
        <f t="shared" si="147"/>
        <v>0</v>
      </c>
      <c r="BT208" s="49">
        <f t="shared" si="148"/>
        <v>0</v>
      </c>
      <c r="BU208" s="49">
        <f t="shared" si="149"/>
        <v>0</v>
      </c>
      <c r="BV208" s="49">
        <f t="shared" si="150"/>
        <v>1</v>
      </c>
      <c r="BW208" s="49">
        <f t="shared" si="151"/>
        <v>0</v>
      </c>
      <c r="BX208" s="49">
        <f t="shared" si="152"/>
        <v>0</v>
      </c>
      <c r="BY208" s="49">
        <f t="shared" si="153"/>
        <v>1</v>
      </c>
      <c r="BZ208" s="49">
        <f t="shared" si="154"/>
        <v>0</v>
      </c>
      <c r="CA208" s="49">
        <f t="shared" si="155"/>
        <v>0</v>
      </c>
      <c r="CB208" s="49">
        <f t="shared" si="156"/>
        <v>1</v>
      </c>
      <c r="CC208" s="49">
        <f t="shared" si="157"/>
        <v>0</v>
      </c>
      <c r="CD208" s="49">
        <f t="shared" si="158"/>
        <v>0</v>
      </c>
      <c r="CE208" s="49">
        <f t="shared" si="159"/>
        <v>0</v>
      </c>
    </row>
    <row r="209" spans="1:83" ht="35.1" customHeight="1" x14ac:dyDescent="0.3">
      <c r="A209" s="123" t="str">
        <f t="shared" si="120"/>
        <v>2팀</v>
      </c>
      <c r="B209" s="69">
        <f t="shared" si="121"/>
        <v>203</v>
      </c>
      <c r="C209" s="120" t="str">
        <f>IF(VLOOKUP($B209,'1. 현장별 인원현황'!$C:$J,2,0)=0,"",VLOOKUP($B209,'1. 현장별 인원현황'!$C:$J,2,0))</f>
        <v xml:space="preserve"> [2.동양] 한국건강관리협회 인천지부 신청사 건립 신축공사</v>
      </c>
      <c r="D209" s="70" t="str">
        <f>IF(VLOOKUP($B209,'1. 현장별 인원현황'!$C:$J,3,0)=0,"",VLOOKUP($B209,'1. 현장별 인원현황'!$C:$J,3,0))</f>
        <v>최소영</v>
      </c>
      <c r="E209" s="74" t="str">
        <f ca="1">IF(VLOOKUP($B209,'1. 현장별 인원현황'!$C:$J,4,0)=0,"",VLOOKUP($B209,'1. 현장별 인원현황'!$C:$J,4,0))</f>
        <v>28세</v>
      </c>
      <c r="F209" s="70" t="str">
        <f>IF(VLOOKUP($B209,'1. 현장별 인원현황'!$C:$J,7,0)=0,"",VLOOKUP($B209,'1. 현장별 인원현황'!$C:$J,7,0))</f>
        <v>공무</v>
      </c>
      <c r="G209" s="72" t="str">
        <f>IF(VLOOKUP($B209,'1. 현장별 인원현황'!$C:$J,8,0)=0,"",VLOOKUP($B209,'1. 현장별 인원현황'!$C:$J,8,0))</f>
        <v>대리</v>
      </c>
      <c r="H209" s="67"/>
      <c r="I209" s="73" t="s">
        <v>69</v>
      </c>
      <c r="J209" s="73"/>
      <c r="K209" s="68"/>
      <c r="L209" s="67"/>
      <c r="M209" s="73" t="s">
        <v>69</v>
      </c>
      <c r="N209" s="73"/>
      <c r="O209" s="68"/>
      <c r="P209" s="67" t="s">
        <v>69</v>
      </c>
      <c r="Q209" s="73"/>
      <c r="R209" s="73"/>
      <c r="S209" s="68"/>
      <c r="T209" s="67"/>
      <c r="U209" s="73" t="s">
        <v>69</v>
      </c>
      <c r="V209" s="73"/>
      <c r="W209" s="68"/>
      <c r="X209" s="67"/>
      <c r="Y209" s="73"/>
      <c r="Z209" s="73"/>
      <c r="AA209" s="68"/>
      <c r="AB209" s="67" t="s">
        <v>69</v>
      </c>
      <c r="AC209" s="73"/>
      <c r="AD209" s="73"/>
      <c r="AE209" s="68"/>
      <c r="AF209" s="67"/>
      <c r="AG209" s="73" t="s">
        <v>69</v>
      </c>
      <c r="AH209" s="73"/>
      <c r="AI209" s="68"/>
      <c r="AJ209" s="67"/>
      <c r="AK209" s="73" t="s">
        <v>69</v>
      </c>
      <c r="AL209" s="73"/>
      <c r="AM209" s="68"/>
      <c r="AN209" s="73" t="s">
        <v>69</v>
      </c>
      <c r="AO209" s="73"/>
      <c r="AP209" s="73"/>
      <c r="AQ209" s="68"/>
      <c r="AR209" s="67">
        <f t="shared" si="122"/>
        <v>77</v>
      </c>
      <c r="AS209" s="68" t="str">
        <f t="shared" si="123"/>
        <v>A</v>
      </c>
      <c r="AV209" s="49">
        <f t="shared" si="124"/>
        <v>0</v>
      </c>
      <c r="AW209" s="49">
        <f t="shared" si="125"/>
        <v>1</v>
      </c>
      <c r="AX209" s="49">
        <f t="shared" si="126"/>
        <v>0</v>
      </c>
      <c r="AY209" s="49">
        <f t="shared" si="127"/>
        <v>0</v>
      </c>
      <c r="AZ209" s="49">
        <f t="shared" si="128"/>
        <v>0</v>
      </c>
      <c r="BA209" s="49">
        <f t="shared" si="129"/>
        <v>1</v>
      </c>
      <c r="BB209" s="49">
        <f t="shared" si="130"/>
        <v>0</v>
      </c>
      <c r="BC209" s="49">
        <f t="shared" si="131"/>
        <v>0</v>
      </c>
      <c r="BD209" s="49">
        <f t="shared" si="132"/>
        <v>1</v>
      </c>
      <c r="BE209" s="49">
        <f t="shared" si="133"/>
        <v>0</v>
      </c>
      <c r="BF209" s="49">
        <f t="shared" si="134"/>
        <v>0</v>
      </c>
      <c r="BG209" s="49">
        <f t="shared" si="135"/>
        <v>0</v>
      </c>
      <c r="BH209" s="49">
        <f t="shared" si="136"/>
        <v>0</v>
      </c>
      <c r="BI209" s="49">
        <f t="shared" si="137"/>
        <v>1</v>
      </c>
      <c r="BJ209" s="49">
        <f t="shared" si="138"/>
        <v>0</v>
      </c>
      <c r="BK209" s="49">
        <f t="shared" si="139"/>
        <v>0</v>
      </c>
      <c r="BL209" s="49">
        <f t="shared" si="140"/>
        <v>0</v>
      </c>
      <c r="BM209" s="49">
        <f t="shared" si="141"/>
        <v>0</v>
      </c>
      <c r="BN209" s="49">
        <f t="shared" si="142"/>
        <v>0</v>
      </c>
      <c r="BO209" s="49">
        <f t="shared" si="143"/>
        <v>0</v>
      </c>
      <c r="BP209" s="49">
        <f t="shared" si="144"/>
        <v>1</v>
      </c>
      <c r="BQ209" s="49">
        <f t="shared" si="145"/>
        <v>0</v>
      </c>
      <c r="BR209" s="49">
        <f t="shared" si="146"/>
        <v>0</v>
      </c>
      <c r="BS209" s="49">
        <f t="shared" si="147"/>
        <v>0</v>
      </c>
      <c r="BT209" s="49">
        <f t="shared" si="148"/>
        <v>0</v>
      </c>
      <c r="BU209" s="49">
        <f t="shared" si="149"/>
        <v>1</v>
      </c>
      <c r="BV209" s="49">
        <f t="shared" si="150"/>
        <v>0</v>
      </c>
      <c r="BW209" s="49">
        <f t="shared" si="151"/>
        <v>0</v>
      </c>
      <c r="BX209" s="49">
        <f t="shared" si="152"/>
        <v>0</v>
      </c>
      <c r="BY209" s="49">
        <f t="shared" si="153"/>
        <v>1</v>
      </c>
      <c r="BZ209" s="49">
        <f t="shared" si="154"/>
        <v>0</v>
      </c>
      <c r="CA209" s="49">
        <f t="shared" si="155"/>
        <v>0</v>
      </c>
      <c r="CB209" s="49">
        <f t="shared" si="156"/>
        <v>1</v>
      </c>
      <c r="CC209" s="49">
        <f t="shared" si="157"/>
        <v>0</v>
      </c>
      <c r="CD209" s="49">
        <f t="shared" si="158"/>
        <v>0</v>
      </c>
      <c r="CE209" s="49">
        <f t="shared" si="159"/>
        <v>0</v>
      </c>
    </row>
    <row r="210" spans="1:83" ht="35.1" customHeight="1" x14ac:dyDescent="0.3">
      <c r="A210" s="123" t="str">
        <f t="shared" si="120"/>
        <v>2팀</v>
      </c>
      <c r="B210" s="69">
        <f t="shared" si="121"/>
        <v>204</v>
      </c>
      <c r="C210" s="120" t="str">
        <f>IF(VLOOKUP($B210,'1. 현장별 인원현황'!$C:$J,2,0)=0,"",VLOOKUP($B210,'1. 현장별 인원현황'!$C:$J,2,0))</f>
        <v xml:space="preserve"> [2.동양] 한국건강관리협회 인천지부 신청사 건립 신축공사</v>
      </c>
      <c r="D210" s="70" t="str">
        <f>IF(VLOOKUP($B210,'1. 현장별 인원현황'!$C:$J,3,0)=0,"",VLOOKUP($B210,'1. 현장별 인원현황'!$C:$J,3,0))</f>
        <v>최종상</v>
      </c>
      <c r="E210" s="74" t="str">
        <f ca="1">IF(VLOOKUP($B210,'1. 현장별 인원현황'!$C:$J,4,0)=0,"",VLOOKUP($B210,'1. 현장별 인원현황'!$C:$J,4,0))</f>
        <v>63세</v>
      </c>
      <c r="F210" s="70" t="str">
        <f>IF(VLOOKUP($B210,'1. 현장별 인원현황'!$C:$J,7,0)=0,"",VLOOKUP($B210,'1. 현장별 인원현황'!$C:$J,7,0))</f>
        <v>공사</v>
      </c>
      <c r="G210" s="72" t="str">
        <f>IF(VLOOKUP($B210,'1. 현장별 인원현황'!$C:$J,8,0)=0,"",VLOOKUP($B210,'1. 현장별 인원현황'!$C:$J,8,0))</f>
        <v>차장</v>
      </c>
      <c r="H210" s="67" t="s">
        <v>69</v>
      </c>
      <c r="I210" s="73"/>
      <c r="J210" s="73"/>
      <c r="K210" s="68"/>
      <c r="L210" s="67" t="s">
        <v>69</v>
      </c>
      <c r="M210" s="73"/>
      <c r="N210" s="73"/>
      <c r="O210" s="68"/>
      <c r="P210" s="67"/>
      <c r="Q210" s="73" t="s">
        <v>69</v>
      </c>
      <c r="R210" s="73"/>
      <c r="S210" s="68"/>
      <c r="T210" s="67" t="s">
        <v>69</v>
      </c>
      <c r="U210" s="73"/>
      <c r="V210" s="73"/>
      <c r="W210" s="68"/>
      <c r="X210" s="67" t="s">
        <v>69</v>
      </c>
      <c r="Y210" s="73"/>
      <c r="Z210" s="73"/>
      <c r="AA210" s="68"/>
      <c r="AB210" s="67" t="s">
        <v>69</v>
      </c>
      <c r="AC210" s="73"/>
      <c r="AD210" s="73"/>
      <c r="AE210" s="68"/>
      <c r="AF210" s="67" t="s">
        <v>69</v>
      </c>
      <c r="AG210" s="73"/>
      <c r="AH210" s="73"/>
      <c r="AI210" s="68"/>
      <c r="AJ210" s="67"/>
      <c r="AK210" s="73" t="s">
        <v>69</v>
      </c>
      <c r="AL210" s="73"/>
      <c r="AM210" s="68"/>
      <c r="AN210" s="73"/>
      <c r="AO210" s="73" t="s">
        <v>69</v>
      </c>
      <c r="AP210" s="73"/>
      <c r="AQ210" s="68"/>
      <c r="AR210" s="67">
        <f t="shared" si="122"/>
        <v>91</v>
      </c>
      <c r="AS210" s="68" t="str">
        <f t="shared" si="123"/>
        <v>S</v>
      </c>
      <c r="AV210" s="49">
        <f t="shared" si="124"/>
        <v>1</v>
      </c>
      <c r="AW210" s="49">
        <f t="shared" si="125"/>
        <v>0</v>
      </c>
      <c r="AX210" s="49">
        <f t="shared" si="126"/>
        <v>0</v>
      </c>
      <c r="AY210" s="49">
        <f t="shared" si="127"/>
        <v>0</v>
      </c>
      <c r="AZ210" s="49">
        <f t="shared" si="128"/>
        <v>1</v>
      </c>
      <c r="BA210" s="49">
        <f t="shared" si="129"/>
        <v>0</v>
      </c>
      <c r="BB210" s="49">
        <f t="shared" si="130"/>
        <v>0</v>
      </c>
      <c r="BC210" s="49">
        <f t="shared" si="131"/>
        <v>0</v>
      </c>
      <c r="BD210" s="49">
        <f t="shared" si="132"/>
        <v>0</v>
      </c>
      <c r="BE210" s="49">
        <f t="shared" si="133"/>
        <v>1</v>
      </c>
      <c r="BF210" s="49">
        <f t="shared" si="134"/>
        <v>0</v>
      </c>
      <c r="BG210" s="49">
        <f t="shared" si="135"/>
        <v>0</v>
      </c>
      <c r="BH210" s="49">
        <f t="shared" si="136"/>
        <v>1</v>
      </c>
      <c r="BI210" s="49">
        <f t="shared" si="137"/>
        <v>0</v>
      </c>
      <c r="BJ210" s="49">
        <f t="shared" si="138"/>
        <v>0</v>
      </c>
      <c r="BK210" s="49">
        <f t="shared" si="139"/>
        <v>0</v>
      </c>
      <c r="BL210" s="49">
        <f t="shared" si="140"/>
        <v>1</v>
      </c>
      <c r="BM210" s="49">
        <f t="shared" si="141"/>
        <v>0</v>
      </c>
      <c r="BN210" s="49">
        <f t="shared" si="142"/>
        <v>0</v>
      </c>
      <c r="BO210" s="49">
        <f t="shared" si="143"/>
        <v>0</v>
      </c>
      <c r="BP210" s="49">
        <f t="shared" si="144"/>
        <v>1</v>
      </c>
      <c r="BQ210" s="49">
        <f t="shared" si="145"/>
        <v>0</v>
      </c>
      <c r="BR210" s="49">
        <f t="shared" si="146"/>
        <v>0</v>
      </c>
      <c r="BS210" s="49">
        <f t="shared" si="147"/>
        <v>0</v>
      </c>
      <c r="BT210" s="49">
        <f t="shared" si="148"/>
        <v>1</v>
      </c>
      <c r="BU210" s="49">
        <f t="shared" si="149"/>
        <v>0</v>
      </c>
      <c r="BV210" s="49">
        <f t="shared" si="150"/>
        <v>0</v>
      </c>
      <c r="BW210" s="49">
        <f t="shared" si="151"/>
        <v>0</v>
      </c>
      <c r="BX210" s="49">
        <f t="shared" si="152"/>
        <v>0</v>
      </c>
      <c r="BY210" s="49">
        <f t="shared" si="153"/>
        <v>1</v>
      </c>
      <c r="BZ210" s="49">
        <f t="shared" si="154"/>
        <v>0</v>
      </c>
      <c r="CA210" s="49">
        <f t="shared" si="155"/>
        <v>0</v>
      </c>
      <c r="CB210" s="49">
        <f t="shared" si="156"/>
        <v>0</v>
      </c>
      <c r="CC210" s="49">
        <f t="shared" si="157"/>
        <v>1</v>
      </c>
      <c r="CD210" s="49">
        <f t="shared" si="158"/>
        <v>0</v>
      </c>
      <c r="CE210" s="49">
        <f t="shared" si="159"/>
        <v>0</v>
      </c>
    </row>
    <row r="211" spans="1:83" ht="35.1" customHeight="1" x14ac:dyDescent="0.3">
      <c r="A211" s="123" t="str">
        <f t="shared" si="120"/>
        <v>2팀</v>
      </c>
      <c r="B211" s="69">
        <f t="shared" si="121"/>
        <v>205</v>
      </c>
      <c r="C211" s="120" t="str">
        <f>IF(VLOOKUP($B211,'1. 현장별 인원현황'!$C:$J,2,0)=0,"",VLOOKUP($B211,'1. 현장별 인원현황'!$C:$J,2,0))</f>
        <v xml:space="preserve"> [2.서희건설] 평택화양센트럴 지역주택조합 아파트 신축공사</v>
      </c>
      <c r="D211" s="70" t="str">
        <f>IF(VLOOKUP($B211,'1. 현장별 인원현황'!$C:$J,3,0)=0,"",VLOOKUP($B211,'1. 현장별 인원현황'!$C:$J,3,0))</f>
        <v>박용범</v>
      </c>
      <c r="E211" s="74" t="str">
        <f ca="1">IF(VLOOKUP($B211,'1. 현장별 인원현황'!$C:$J,4,0)=0,"",VLOOKUP($B211,'1. 현장별 인원현황'!$C:$J,4,0))</f>
        <v>45세</v>
      </c>
      <c r="F211" s="70" t="str">
        <f>IF(VLOOKUP($B211,'1. 현장별 인원현황'!$C:$J,7,0)=0,"",VLOOKUP($B211,'1. 현장별 인원현황'!$C:$J,7,0))</f>
        <v>공무</v>
      </c>
      <c r="G211" s="72" t="str">
        <f>IF(VLOOKUP($B211,'1. 현장별 인원현황'!$C:$J,8,0)=0,"",VLOOKUP($B211,'1. 현장별 인원현황'!$C:$J,8,0))</f>
        <v>차장</v>
      </c>
      <c r="H211" s="67" t="s">
        <v>69</v>
      </c>
      <c r="I211" s="73"/>
      <c r="J211" s="73"/>
      <c r="K211" s="68"/>
      <c r="L211" s="67" t="s">
        <v>69</v>
      </c>
      <c r="M211" s="73"/>
      <c r="N211" s="73"/>
      <c r="O211" s="68"/>
      <c r="P211" s="67" t="s">
        <v>69</v>
      </c>
      <c r="Q211" s="73"/>
      <c r="R211" s="73"/>
      <c r="S211" s="68"/>
      <c r="T211" s="67" t="s">
        <v>69</v>
      </c>
      <c r="U211" s="73"/>
      <c r="V211" s="73"/>
      <c r="W211" s="68"/>
      <c r="X211" s="67" t="s">
        <v>69</v>
      </c>
      <c r="Y211" s="73"/>
      <c r="Z211" s="73"/>
      <c r="AA211" s="68"/>
      <c r="AB211" s="67" t="s">
        <v>69</v>
      </c>
      <c r="AC211" s="73"/>
      <c r="AD211" s="73"/>
      <c r="AE211" s="68"/>
      <c r="AF211" s="67" t="s">
        <v>69</v>
      </c>
      <c r="AG211" s="73"/>
      <c r="AH211" s="73"/>
      <c r="AI211" s="68"/>
      <c r="AJ211" s="67" t="s">
        <v>69</v>
      </c>
      <c r="AK211" s="73"/>
      <c r="AL211" s="73"/>
      <c r="AM211" s="68"/>
      <c r="AN211" s="73" t="s">
        <v>69</v>
      </c>
      <c r="AO211" s="73"/>
      <c r="AP211" s="73"/>
      <c r="AQ211" s="68"/>
      <c r="AR211" s="67">
        <f t="shared" si="122"/>
        <v>100</v>
      </c>
      <c r="AS211" s="68" t="str">
        <f t="shared" si="123"/>
        <v>S</v>
      </c>
      <c r="AV211" s="49">
        <f t="shared" si="124"/>
        <v>1</v>
      </c>
      <c r="AW211" s="49">
        <f t="shared" si="125"/>
        <v>0</v>
      </c>
      <c r="AX211" s="49">
        <f t="shared" si="126"/>
        <v>0</v>
      </c>
      <c r="AY211" s="49">
        <f t="shared" si="127"/>
        <v>0</v>
      </c>
      <c r="AZ211" s="49">
        <f t="shared" si="128"/>
        <v>1</v>
      </c>
      <c r="BA211" s="49">
        <f t="shared" si="129"/>
        <v>0</v>
      </c>
      <c r="BB211" s="49">
        <f t="shared" si="130"/>
        <v>0</v>
      </c>
      <c r="BC211" s="49">
        <f t="shared" si="131"/>
        <v>0</v>
      </c>
      <c r="BD211" s="49">
        <f t="shared" si="132"/>
        <v>1</v>
      </c>
      <c r="BE211" s="49">
        <f t="shared" si="133"/>
        <v>0</v>
      </c>
      <c r="BF211" s="49">
        <f t="shared" si="134"/>
        <v>0</v>
      </c>
      <c r="BG211" s="49">
        <f t="shared" si="135"/>
        <v>0</v>
      </c>
      <c r="BH211" s="49">
        <f t="shared" si="136"/>
        <v>1</v>
      </c>
      <c r="BI211" s="49">
        <f t="shared" si="137"/>
        <v>0</v>
      </c>
      <c r="BJ211" s="49">
        <f t="shared" si="138"/>
        <v>0</v>
      </c>
      <c r="BK211" s="49">
        <f t="shared" si="139"/>
        <v>0</v>
      </c>
      <c r="BL211" s="49">
        <f t="shared" si="140"/>
        <v>1</v>
      </c>
      <c r="BM211" s="49">
        <f t="shared" si="141"/>
        <v>0</v>
      </c>
      <c r="BN211" s="49">
        <f t="shared" si="142"/>
        <v>0</v>
      </c>
      <c r="BO211" s="49">
        <f t="shared" si="143"/>
        <v>0</v>
      </c>
      <c r="BP211" s="49">
        <f t="shared" si="144"/>
        <v>1</v>
      </c>
      <c r="BQ211" s="49">
        <f t="shared" si="145"/>
        <v>0</v>
      </c>
      <c r="BR211" s="49">
        <f t="shared" si="146"/>
        <v>0</v>
      </c>
      <c r="BS211" s="49">
        <f t="shared" si="147"/>
        <v>0</v>
      </c>
      <c r="BT211" s="49">
        <f t="shared" si="148"/>
        <v>1</v>
      </c>
      <c r="BU211" s="49">
        <f t="shared" si="149"/>
        <v>0</v>
      </c>
      <c r="BV211" s="49">
        <f t="shared" si="150"/>
        <v>0</v>
      </c>
      <c r="BW211" s="49">
        <f t="shared" si="151"/>
        <v>0</v>
      </c>
      <c r="BX211" s="49">
        <f t="shared" si="152"/>
        <v>1</v>
      </c>
      <c r="BY211" s="49">
        <f t="shared" si="153"/>
        <v>0</v>
      </c>
      <c r="BZ211" s="49">
        <f t="shared" si="154"/>
        <v>0</v>
      </c>
      <c r="CA211" s="49">
        <f t="shared" si="155"/>
        <v>0</v>
      </c>
      <c r="CB211" s="49">
        <f t="shared" si="156"/>
        <v>1</v>
      </c>
      <c r="CC211" s="49">
        <f t="shared" si="157"/>
        <v>0</v>
      </c>
      <c r="CD211" s="49">
        <f t="shared" si="158"/>
        <v>0</v>
      </c>
      <c r="CE211" s="49">
        <f t="shared" si="159"/>
        <v>0</v>
      </c>
    </row>
    <row r="212" spans="1:83" ht="35.1" customHeight="1" x14ac:dyDescent="0.3">
      <c r="A212" s="123" t="str">
        <f t="shared" si="120"/>
        <v>2팀</v>
      </c>
      <c r="B212" s="69">
        <f t="shared" si="121"/>
        <v>206</v>
      </c>
      <c r="C212" s="120" t="str">
        <f>IF(VLOOKUP($B212,'1. 현장별 인원현황'!$C:$J,2,0)=0,"",VLOOKUP($B212,'1. 현장별 인원현황'!$C:$J,2,0))</f>
        <v xml:space="preserve"> [2.서희건설] 평택화양센트럴 지역주택조합 아파트 신축공사</v>
      </c>
      <c r="D212" s="70" t="str">
        <f>IF(VLOOKUP($B212,'1. 현장별 인원현황'!$C:$J,3,0)=0,"",VLOOKUP($B212,'1. 현장별 인원현황'!$C:$J,3,0))</f>
        <v>김기섭</v>
      </c>
      <c r="E212" s="74" t="str">
        <f ca="1">IF(VLOOKUP($B212,'1. 현장별 인원현황'!$C:$J,4,0)=0,"",VLOOKUP($B212,'1. 현장별 인원현황'!$C:$J,4,0))</f>
        <v>60세</v>
      </c>
      <c r="F212" s="70" t="str">
        <f>IF(VLOOKUP($B212,'1. 현장별 인원현황'!$C:$J,7,0)=0,"",VLOOKUP($B212,'1. 현장별 인원현황'!$C:$J,7,0))</f>
        <v>공사</v>
      </c>
      <c r="G212" s="72" t="str">
        <f>IF(VLOOKUP($B212,'1. 현장별 인원현황'!$C:$J,8,0)=0,"",VLOOKUP($B212,'1. 현장별 인원현황'!$C:$J,8,0))</f>
        <v>차장</v>
      </c>
      <c r="H212" s="67" t="s">
        <v>69</v>
      </c>
      <c r="I212" s="73"/>
      <c r="J212" s="73"/>
      <c r="K212" s="68"/>
      <c r="L212" s="67" t="s">
        <v>69</v>
      </c>
      <c r="M212" s="73"/>
      <c r="N212" s="73"/>
      <c r="O212" s="68"/>
      <c r="P212" s="67" t="s">
        <v>69</v>
      </c>
      <c r="Q212" s="73"/>
      <c r="R212" s="73"/>
      <c r="S212" s="68"/>
      <c r="T212" s="67" t="s">
        <v>69</v>
      </c>
      <c r="U212" s="73"/>
      <c r="V212" s="73"/>
      <c r="W212" s="68"/>
      <c r="X212" s="67" t="s">
        <v>69</v>
      </c>
      <c r="Y212" s="73"/>
      <c r="Z212" s="73"/>
      <c r="AA212" s="68"/>
      <c r="AB212" s="67" t="s">
        <v>69</v>
      </c>
      <c r="AC212" s="73"/>
      <c r="AD212" s="73"/>
      <c r="AE212" s="68"/>
      <c r="AF212" s="67" t="s">
        <v>69</v>
      </c>
      <c r="AG212" s="73"/>
      <c r="AH212" s="73"/>
      <c r="AI212" s="68"/>
      <c r="AJ212" s="67" t="s">
        <v>69</v>
      </c>
      <c r="AK212" s="73"/>
      <c r="AL212" s="73"/>
      <c r="AM212" s="68"/>
      <c r="AN212" s="73" t="s">
        <v>69</v>
      </c>
      <c r="AO212" s="73"/>
      <c r="AP212" s="73"/>
      <c r="AQ212" s="68"/>
      <c r="AR212" s="67">
        <f t="shared" si="122"/>
        <v>100</v>
      </c>
      <c r="AS212" s="68" t="str">
        <f t="shared" si="123"/>
        <v>S</v>
      </c>
      <c r="AV212" s="49">
        <f t="shared" si="124"/>
        <v>1</v>
      </c>
      <c r="AW212" s="49">
        <f t="shared" si="125"/>
        <v>0</v>
      </c>
      <c r="AX212" s="49">
        <f t="shared" si="126"/>
        <v>0</v>
      </c>
      <c r="AY212" s="49">
        <f t="shared" si="127"/>
        <v>0</v>
      </c>
      <c r="AZ212" s="49">
        <f t="shared" si="128"/>
        <v>1</v>
      </c>
      <c r="BA212" s="49">
        <f t="shared" si="129"/>
        <v>0</v>
      </c>
      <c r="BB212" s="49">
        <f t="shared" si="130"/>
        <v>0</v>
      </c>
      <c r="BC212" s="49">
        <f t="shared" si="131"/>
        <v>0</v>
      </c>
      <c r="BD212" s="49">
        <f t="shared" si="132"/>
        <v>1</v>
      </c>
      <c r="BE212" s="49">
        <f t="shared" si="133"/>
        <v>0</v>
      </c>
      <c r="BF212" s="49">
        <f t="shared" si="134"/>
        <v>0</v>
      </c>
      <c r="BG212" s="49">
        <f t="shared" si="135"/>
        <v>0</v>
      </c>
      <c r="BH212" s="49">
        <f t="shared" si="136"/>
        <v>1</v>
      </c>
      <c r="BI212" s="49">
        <f t="shared" si="137"/>
        <v>0</v>
      </c>
      <c r="BJ212" s="49">
        <f t="shared" si="138"/>
        <v>0</v>
      </c>
      <c r="BK212" s="49">
        <f t="shared" si="139"/>
        <v>0</v>
      </c>
      <c r="BL212" s="49">
        <f t="shared" si="140"/>
        <v>1</v>
      </c>
      <c r="BM212" s="49">
        <f t="shared" si="141"/>
        <v>0</v>
      </c>
      <c r="BN212" s="49">
        <f t="shared" si="142"/>
        <v>0</v>
      </c>
      <c r="BO212" s="49">
        <f t="shared" si="143"/>
        <v>0</v>
      </c>
      <c r="BP212" s="49">
        <f t="shared" si="144"/>
        <v>1</v>
      </c>
      <c r="BQ212" s="49">
        <f t="shared" si="145"/>
        <v>0</v>
      </c>
      <c r="BR212" s="49">
        <f t="shared" si="146"/>
        <v>0</v>
      </c>
      <c r="BS212" s="49">
        <f t="shared" si="147"/>
        <v>0</v>
      </c>
      <c r="BT212" s="49">
        <f t="shared" si="148"/>
        <v>1</v>
      </c>
      <c r="BU212" s="49">
        <f t="shared" si="149"/>
        <v>0</v>
      </c>
      <c r="BV212" s="49">
        <f t="shared" si="150"/>
        <v>0</v>
      </c>
      <c r="BW212" s="49">
        <f t="shared" si="151"/>
        <v>0</v>
      </c>
      <c r="BX212" s="49">
        <f t="shared" si="152"/>
        <v>1</v>
      </c>
      <c r="BY212" s="49">
        <f t="shared" si="153"/>
        <v>0</v>
      </c>
      <c r="BZ212" s="49">
        <f t="shared" si="154"/>
        <v>0</v>
      </c>
      <c r="CA212" s="49">
        <f t="shared" si="155"/>
        <v>0</v>
      </c>
      <c r="CB212" s="49">
        <f t="shared" si="156"/>
        <v>1</v>
      </c>
      <c r="CC212" s="49">
        <f t="shared" si="157"/>
        <v>0</v>
      </c>
      <c r="CD212" s="49">
        <f t="shared" si="158"/>
        <v>0</v>
      </c>
      <c r="CE212" s="49">
        <f t="shared" si="159"/>
        <v>0</v>
      </c>
    </row>
    <row r="213" spans="1:83" ht="35.1" customHeight="1" x14ac:dyDescent="0.3">
      <c r="A213" s="123" t="str">
        <f t="shared" si="120"/>
        <v>2팀</v>
      </c>
      <c r="B213" s="69">
        <f t="shared" si="121"/>
        <v>207</v>
      </c>
      <c r="C213" s="120" t="str">
        <f>IF(VLOOKUP($B213,'1. 현장별 인원현황'!$C:$J,2,0)=0,"",VLOOKUP($B213,'1. 현장별 인원현황'!$C:$J,2,0))</f>
        <v xml:space="preserve"> [2.서희건설] 평택화양센트럴 지역주택조합 아파트 신축공사</v>
      </c>
      <c r="D213" s="70" t="str">
        <f>IF(VLOOKUP($B213,'1. 현장별 인원현황'!$C:$J,3,0)=0,"",VLOOKUP($B213,'1. 현장별 인원현황'!$C:$J,3,0))</f>
        <v>박상우</v>
      </c>
      <c r="E213" s="74" t="str">
        <f ca="1">IF(VLOOKUP($B213,'1. 현장별 인원현황'!$C:$J,4,0)=0,"",VLOOKUP($B213,'1. 현장별 인원현황'!$C:$J,4,0))</f>
        <v>32세</v>
      </c>
      <c r="F213" s="70" t="str">
        <f>IF(VLOOKUP($B213,'1. 현장별 인원현황'!$C:$J,7,0)=0,"",VLOOKUP($B213,'1. 현장별 인원현황'!$C:$J,7,0))</f>
        <v>기능공</v>
      </c>
      <c r="G213" s="72" t="str">
        <f>IF(VLOOKUP($B213,'1. 현장별 인원현황'!$C:$J,8,0)=0,"",VLOOKUP($B213,'1. 현장별 인원현황'!$C:$J,8,0))</f>
        <v>전공</v>
      </c>
      <c r="H213" s="67" t="s">
        <v>69</v>
      </c>
      <c r="I213" s="73"/>
      <c r="J213" s="73"/>
      <c r="K213" s="68"/>
      <c r="L213" s="67" t="s">
        <v>69</v>
      </c>
      <c r="M213" s="73"/>
      <c r="N213" s="73"/>
      <c r="O213" s="68"/>
      <c r="P213" s="67"/>
      <c r="Q213" s="73" t="s">
        <v>69</v>
      </c>
      <c r="R213" s="73"/>
      <c r="S213" s="68"/>
      <c r="T213" s="67"/>
      <c r="U213" s="73" t="s">
        <v>69</v>
      </c>
      <c r="V213" s="73"/>
      <c r="W213" s="68"/>
      <c r="X213" s="67" t="s">
        <v>69</v>
      </c>
      <c r="Y213" s="73"/>
      <c r="Z213" s="73"/>
      <c r="AA213" s="68"/>
      <c r="AB213" s="67" t="s">
        <v>69</v>
      </c>
      <c r="AC213" s="73"/>
      <c r="AD213" s="73"/>
      <c r="AE213" s="68"/>
      <c r="AF213" s="67" t="s">
        <v>69</v>
      </c>
      <c r="AG213" s="73"/>
      <c r="AH213" s="73"/>
      <c r="AI213" s="68"/>
      <c r="AJ213" s="67"/>
      <c r="AK213" s="73" t="s">
        <v>69</v>
      </c>
      <c r="AL213" s="73"/>
      <c r="AM213" s="68"/>
      <c r="AN213" s="73" t="s">
        <v>69</v>
      </c>
      <c r="AO213" s="73"/>
      <c r="AP213" s="73"/>
      <c r="AQ213" s="68"/>
      <c r="AR213" s="67">
        <f t="shared" si="122"/>
        <v>92</v>
      </c>
      <c r="AS213" s="68" t="str">
        <f t="shared" si="123"/>
        <v>S</v>
      </c>
      <c r="AV213" s="49">
        <f t="shared" si="124"/>
        <v>1</v>
      </c>
      <c r="AW213" s="49">
        <f t="shared" si="125"/>
        <v>0</v>
      </c>
      <c r="AX213" s="49">
        <f t="shared" si="126"/>
        <v>0</v>
      </c>
      <c r="AY213" s="49">
        <f t="shared" si="127"/>
        <v>0</v>
      </c>
      <c r="AZ213" s="49">
        <f t="shared" si="128"/>
        <v>1</v>
      </c>
      <c r="BA213" s="49">
        <f t="shared" si="129"/>
        <v>0</v>
      </c>
      <c r="BB213" s="49">
        <f t="shared" si="130"/>
        <v>0</v>
      </c>
      <c r="BC213" s="49">
        <f t="shared" si="131"/>
        <v>0</v>
      </c>
      <c r="BD213" s="49">
        <f t="shared" si="132"/>
        <v>0</v>
      </c>
      <c r="BE213" s="49">
        <f t="shared" si="133"/>
        <v>1</v>
      </c>
      <c r="BF213" s="49">
        <f t="shared" si="134"/>
        <v>0</v>
      </c>
      <c r="BG213" s="49">
        <f t="shared" si="135"/>
        <v>0</v>
      </c>
      <c r="BH213" s="49">
        <f t="shared" si="136"/>
        <v>0</v>
      </c>
      <c r="BI213" s="49">
        <f t="shared" si="137"/>
        <v>1</v>
      </c>
      <c r="BJ213" s="49">
        <f t="shared" si="138"/>
        <v>0</v>
      </c>
      <c r="BK213" s="49">
        <f t="shared" si="139"/>
        <v>0</v>
      </c>
      <c r="BL213" s="49">
        <f t="shared" si="140"/>
        <v>1</v>
      </c>
      <c r="BM213" s="49">
        <f t="shared" si="141"/>
        <v>0</v>
      </c>
      <c r="BN213" s="49">
        <f t="shared" si="142"/>
        <v>0</v>
      </c>
      <c r="BO213" s="49">
        <f t="shared" si="143"/>
        <v>0</v>
      </c>
      <c r="BP213" s="49">
        <f t="shared" si="144"/>
        <v>1</v>
      </c>
      <c r="BQ213" s="49">
        <f t="shared" si="145"/>
        <v>0</v>
      </c>
      <c r="BR213" s="49">
        <f t="shared" si="146"/>
        <v>0</v>
      </c>
      <c r="BS213" s="49">
        <f t="shared" si="147"/>
        <v>0</v>
      </c>
      <c r="BT213" s="49">
        <f t="shared" si="148"/>
        <v>1</v>
      </c>
      <c r="BU213" s="49">
        <f t="shared" si="149"/>
        <v>0</v>
      </c>
      <c r="BV213" s="49">
        <f t="shared" si="150"/>
        <v>0</v>
      </c>
      <c r="BW213" s="49">
        <f t="shared" si="151"/>
        <v>0</v>
      </c>
      <c r="BX213" s="49">
        <f t="shared" si="152"/>
        <v>0</v>
      </c>
      <c r="BY213" s="49">
        <f t="shared" si="153"/>
        <v>1</v>
      </c>
      <c r="BZ213" s="49">
        <f t="shared" si="154"/>
        <v>0</v>
      </c>
      <c r="CA213" s="49">
        <f t="shared" si="155"/>
        <v>0</v>
      </c>
      <c r="CB213" s="49">
        <f t="shared" si="156"/>
        <v>1</v>
      </c>
      <c r="CC213" s="49">
        <f t="shared" si="157"/>
        <v>0</v>
      </c>
      <c r="CD213" s="49">
        <f t="shared" si="158"/>
        <v>0</v>
      </c>
      <c r="CE213" s="49">
        <f t="shared" si="159"/>
        <v>0</v>
      </c>
    </row>
    <row r="214" spans="1:83" ht="35.1" customHeight="1" x14ac:dyDescent="0.3">
      <c r="A214" s="123" t="str">
        <f t="shared" si="120"/>
        <v>2팀</v>
      </c>
      <c r="B214" s="69">
        <f t="shared" si="121"/>
        <v>208</v>
      </c>
      <c r="C214" s="120" t="str">
        <f>IF(VLOOKUP($B214,'1. 현장별 인원현황'!$C:$J,2,0)=0,"",VLOOKUP($B214,'1. 현장별 인원현황'!$C:$J,2,0))</f>
        <v xml:space="preserve"> [2.서희건설] 평택화양센트럴 지역주택조합 아파트 신축공사</v>
      </c>
      <c r="D214" s="70" t="str">
        <f>IF(VLOOKUP($B214,'1. 현장별 인원현황'!$C:$J,3,0)=0,"",VLOOKUP($B214,'1. 현장별 인원현황'!$C:$J,3,0))</f>
        <v>한태석</v>
      </c>
      <c r="E214" s="74" t="str">
        <f ca="1">IF(VLOOKUP($B214,'1. 현장별 인원현황'!$C:$J,4,0)=0,"",VLOOKUP($B214,'1. 현장별 인원현황'!$C:$J,4,0))</f>
        <v>54세</v>
      </c>
      <c r="F214" s="70" t="str">
        <f>IF(VLOOKUP($B214,'1. 현장별 인원현황'!$C:$J,7,0)=0,"",VLOOKUP($B214,'1. 현장별 인원현황'!$C:$J,7,0))</f>
        <v>기능공</v>
      </c>
      <c r="G214" s="72" t="str">
        <f>IF(VLOOKUP($B214,'1. 현장별 인원현황'!$C:$J,8,0)=0,"",VLOOKUP($B214,'1. 현장별 인원현황'!$C:$J,8,0))</f>
        <v>전공</v>
      </c>
      <c r="H214" s="67"/>
      <c r="I214" s="73" t="s">
        <v>69</v>
      </c>
      <c r="J214" s="73"/>
      <c r="K214" s="68"/>
      <c r="L214" s="67" t="s">
        <v>69</v>
      </c>
      <c r="M214" s="73"/>
      <c r="N214" s="73"/>
      <c r="O214" s="68"/>
      <c r="P214" s="67" t="s">
        <v>69</v>
      </c>
      <c r="Q214" s="73"/>
      <c r="R214" s="73"/>
      <c r="S214" s="68"/>
      <c r="T214" s="67"/>
      <c r="U214" s="73" t="s">
        <v>69</v>
      </c>
      <c r="V214" s="73"/>
      <c r="W214" s="68"/>
      <c r="X214" s="67"/>
      <c r="Y214" s="73" t="s">
        <v>69</v>
      </c>
      <c r="Z214" s="73"/>
      <c r="AA214" s="68"/>
      <c r="AB214" s="67" t="s">
        <v>69</v>
      </c>
      <c r="AC214" s="73"/>
      <c r="AD214" s="73"/>
      <c r="AE214" s="68"/>
      <c r="AF214" s="67"/>
      <c r="AG214" s="73" t="s">
        <v>69</v>
      </c>
      <c r="AH214" s="73"/>
      <c r="AI214" s="68"/>
      <c r="AJ214" s="67" t="s">
        <v>69</v>
      </c>
      <c r="AK214" s="73"/>
      <c r="AL214" s="73"/>
      <c r="AM214" s="68"/>
      <c r="AN214" s="73" t="s">
        <v>69</v>
      </c>
      <c r="AO214" s="73"/>
      <c r="AP214" s="73"/>
      <c r="AQ214" s="68"/>
      <c r="AR214" s="67">
        <f t="shared" si="122"/>
        <v>91</v>
      </c>
      <c r="AS214" s="68" t="str">
        <f t="shared" si="123"/>
        <v>S</v>
      </c>
      <c r="AV214" s="49">
        <f t="shared" si="124"/>
        <v>0</v>
      </c>
      <c r="AW214" s="49">
        <f t="shared" si="125"/>
        <v>1</v>
      </c>
      <c r="AX214" s="49">
        <f t="shared" si="126"/>
        <v>0</v>
      </c>
      <c r="AY214" s="49">
        <f t="shared" si="127"/>
        <v>0</v>
      </c>
      <c r="AZ214" s="49">
        <f t="shared" si="128"/>
        <v>1</v>
      </c>
      <c r="BA214" s="49">
        <f t="shared" si="129"/>
        <v>0</v>
      </c>
      <c r="BB214" s="49">
        <f t="shared" si="130"/>
        <v>0</v>
      </c>
      <c r="BC214" s="49">
        <f t="shared" si="131"/>
        <v>0</v>
      </c>
      <c r="BD214" s="49">
        <f t="shared" si="132"/>
        <v>1</v>
      </c>
      <c r="BE214" s="49">
        <f t="shared" si="133"/>
        <v>0</v>
      </c>
      <c r="BF214" s="49">
        <f t="shared" si="134"/>
        <v>0</v>
      </c>
      <c r="BG214" s="49">
        <f t="shared" si="135"/>
        <v>0</v>
      </c>
      <c r="BH214" s="49">
        <f t="shared" si="136"/>
        <v>0</v>
      </c>
      <c r="BI214" s="49">
        <f t="shared" si="137"/>
        <v>1</v>
      </c>
      <c r="BJ214" s="49">
        <f t="shared" si="138"/>
        <v>0</v>
      </c>
      <c r="BK214" s="49">
        <f t="shared" si="139"/>
        <v>0</v>
      </c>
      <c r="BL214" s="49">
        <f t="shared" si="140"/>
        <v>0</v>
      </c>
      <c r="BM214" s="49">
        <f t="shared" si="141"/>
        <v>1</v>
      </c>
      <c r="BN214" s="49">
        <f t="shared" si="142"/>
        <v>0</v>
      </c>
      <c r="BO214" s="49">
        <f t="shared" si="143"/>
        <v>0</v>
      </c>
      <c r="BP214" s="49">
        <f t="shared" si="144"/>
        <v>1</v>
      </c>
      <c r="BQ214" s="49">
        <f t="shared" si="145"/>
        <v>0</v>
      </c>
      <c r="BR214" s="49">
        <f t="shared" si="146"/>
        <v>0</v>
      </c>
      <c r="BS214" s="49">
        <f t="shared" si="147"/>
        <v>0</v>
      </c>
      <c r="BT214" s="49">
        <f t="shared" si="148"/>
        <v>0</v>
      </c>
      <c r="BU214" s="49">
        <f t="shared" si="149"/>
        <v>1</v>
      </c>
      <c r="BV214" s="49">
        <f t="shared" si="150"/>
        <v>0</v>
      </c>
      <c r="BW214" s="49">
        <f t="shared" si="151"/>
        <v>0</v>
      </c>
      <c r="BX214" s="49">
        <f t="shared" si="152"/>
        <v>1</v>
      </c>
      <c r="BY214" s="49">
        <f t="shared" si="153"/>
        <v>0</v>
      </c>
      <c r="BZ214" s="49">
        <f t="shared" si="154"/>
        <v>0</v>
      </c>
      <c r="CA214" s="49">
        <f t="shared" si="155"/>
        <v>0</v>
      </c>
      <c r="CB214" s="49">
        <f t="shared" si="156"/>
        <v>1</v>
      </c>
      <c r="CC214" s="49">
        <f t="shared" si="157"/>
        <v>0</v>
      </c>
      <c r="CD214" s="49">
        <f t="shared" si="158"/>
        <v>0</v>
      </c>
      <c r="CE214" s="49">
        <f t="shared" si="159"/>
        <v>0</v>
      </c>
    </row>
    <row r="215" spans="1:83" ht="35.1" customHeight="1" x14ac:dyDescent="0.3">
      <c r="A215" s="123" t="str">
        <f t="shared" si="120"/>
        <v>2팀</v>
      </c>
      <c r="B215" s="69">
        <f t="shared" si="121"/>
        <v>209</v>
      </c>
      <c r="C215" s="120" t="str">
        <f>IF(VLOOKUP($B215,'1. 현장별 인원현황'!$C:$J,2,0)=0,"",VLOOKUP($B215,'1. 현장별 인원현황'!$C:$J,2,0))</f>
        <v xml:space="preserve"> [2.서희건설] 평택화양센트럴 지역주택조합 아파트 신축공사</v>
      </c>
      <c r="D215" s="70" t="str">
        <f>IF(VLOOKUP($B215,'1. 현장별 인원현황'!$C:$J,3,0)=0,"",VLOOKUP($B215,'1. 현장별 인원현황'!$C:$J,3,0))</f>
        <v>강태길</v>
      </c>
      <c r="E215" s="74" t="str">
        <f ca="1">IF(VLOOKUP($B215,'1. 현장별 인원현황'!$C:$J,4,0)=0,"",VLOOKUP($B215,'1. 현장별 인원현황'!$C:$J,4,0))</f>
        <v>32세</v>
      </c>
      <c r="F215" s="70" t="str">
        <f>IF(VLOOKUP($B215,'1. 현장별 인원현황'!$C:$J,7,0)=0,"",VLOOKUP($B215,'1. 현장별 인원현황'!$C:$J,7,0))</f>
        <v>기능공</v>
      </c>
      <c r="G215" s="72" t="str">
        <f>IF(VLOOKUP($B215,'1. 현장별 인원현황'!$C:$J,8,0)=0,"",VLOOKUP($B215,'1. 현장별 인원현황'!$C:$J,8,0))</f>
        <v>전공</v>
      </c>
      <c r="H215" s="67" t="s">
        <v>69</v>
      </c>
      <c r="I215" s="73"/>
      <c r="J215" s="73"/>
      <c r="K215" s="68"/>
      <c r="L215" s="67" t="s">
        <v>69</v>
      </c>
      <c r="M215" s="73"/>
      <c r="N215" s="73"/>
      <c r="O215" s="68"/>
      <c r="P215" s="67" t="s">
        <v>69</v>
      </c>
      <c r="Q215" s="73"/>
      <c r="R215" s="73"/>
      <c r="S215" s="68"/>
      <c r="T215" s="67" t="s">
        <v>69</v>
      </c>
      <c r="U215" s="73"/>
      <c r="V215" s="73"/>
      <c r="W215" s="68"/>
      <c r="X215" s="67" t="s">
        <v>69</v>
      </c>
      <c r="Y215" s="73"/>
      <c r="Z215" s="73"/>
      <c r="AA215" s="68"/>
      <c r="AB215" s="67" t="s">
        <v>69</v>
      </c>
      <c r="AC215" s="73"/>
      <c r="AD215" s="73"/>
      <c r="AE215" s="68"/>
      <c r="AF215" s="67" t="s">
        <v>69</v>
      </c>
      <c r="AG215" s="73"/>
      <c r="AH215" s="73"/>
      <c r="AI215" s="68"/>
      <c r="AJ215" s="67" t="s">
        <v>69</v>
      </c>
      <c r="AK215" s="73"/>
      <c r="AL215" s="73"/>
      <c r="AM215" s="68"/>
      <c r="AN215" s="73" t="s">
        <v>69</v>
      </c>
      <c r="AO215" s="73"/>
      <c r="AP215" s="73"/>
      <c r="AQ215" s="68"/>
      <c r="AR215" s="67">
        <f t="shared" si="122"/>
        <v>100</v>
      </c>
      <c r="AS215" s="68" t="str">
        <f t="shared" si="123"/>
        <v>S</v>
      </c>
      <c r="AV215" s="49">
        <f t="shared" si="124"/>
        <v>1</v>
      </c>
      <c r="AW215" s="49">
        <f t="shared" si="125"/>
        <v>0</v>
      </c>
      <c r="AX215" s="49">
        <f t="shared" si="126"/>
        <v>0</v>
      </c>
      <c r="AY215" s="49">
        <f t="shared" si="127"/>
        <v>0</v>
      </c>
      <c r="AZ215" s="49">
        <f t="shared" si="128"/>
        <v>1</v>
      </c>
      <c r="BA215" s="49">
        <f t="shared" si="129"/>
        <v>0</v>
      </c>
      <c r="BB215" s="49">
        <f t="shared" si="130"/>
        <v>0</v>
      </c>
      <c r="BC215" s="49">
        <f t="shared" si="131"/>
        <v>0</v>
      </c>
      <c r="BD215" s="49">
        <f t="shared" si="132"/>
        <v>1</v>
      </c>
      <c r="BE215" s="49">
        <f t="shared" si="133"/>
        <v>0</v>
      </c>
      <c r="BF215" s="49">
        <f t="shared" si="134"/>
        <v>0</v>
      </c>
      <c r="BG215" s="49">
        <f t="shared" si="135"/>
        <v>0</v>
      </c>
      <c r="BH215" s="49">
        <f t="shared" si="136"/>
        <v>1</v>
      </c>
      <c r="BI215" s="49">
        <f t="shared" si="137"/>
        <v>0</v>
      </c>
      <c r="BJ215" s="49">
        <f t="shared" si="138"/>
        <v>0</v>
      </c>
      <c r="BK215" s="49">
        <f t="shared" si="139"/>
        <v>0</v>
      </c>
      <c r="BL215" s="49">
        <f t="shared" si="140"/>
        <v>1</v>
      </c>
      <c r="BM215" s="49">
        <f t="shared" si="141"/>
        <v>0</v>
      </c>
      <c r="BN215" s="49">
        <f t="shared" si="142"/>
        <v>0</v>
      </c>
      <c r="BO215" s="49">
        <f t="shared" si="143"/>
        <v>0</v>
      </c>
      <c r="BP215" s="49">
        <f t="shared" si="144"/>
        <v>1</v>
      </c>
      <c r="BQ215" s="49">
        <f t="shared" si="145"/>
        <v>0</v>
      </c>
      <c r="BR215" s="49">
        <f t="shared" si="146"/>
        <v>0</v>
      </c>
      <c r="BS215" s="49">
        <f t="shared" si="147"/>
        <v>0</v>
      </c>
      <c r="BT215" s="49">
        <f t="shared" si="148"/>
        <v>1</v>
      </c>
      <c r="BU215" s="49">
        <f t="shared" si="149"/>
        <v>0</v>
      </c>
      <c r="BV215" s="49">
        <f t="shared" si="150"/>
        <v>0</v>
      </c>
      <c r="BW215" s="49">
        <f t="shared" si="151"/>
        <v>0</v>
      </c>
      <c r="BX215" s="49">
        <f t="shared" si="152"/>
        <v>1</v>
      </c>
      <c r="BY215" s="49">
        <f t="shared" si="153"/>
        <v>0</v>
      </c>
      <c r="BZ215" s="49">
        <f t="shared" si="154"/>
        <v>0</v>
      </c>
      <c r="CA215" s="49">
        <f t="shared" si="155"/>
        <v>0</v>
      </c>
      <c r="CB215" s="49">
        <f t="shared" si="156"/>
        <v>1</v>
      </c>
      <c r="CC215" s="49">
        <f t="shared" si="157"/>
        <v>0</v>
      </c>
      <c r="CD215" s="49">
        <f t="shared" si="158"/>
        <v>0</v>
      </c>
      <c r="CE215" s="49">
        <f t="shared" si="159"/>
        <v>0</v>
      </c>
    </row>
    <row r="216" spans="1:83" ht="35.1" customHeight="1" x14ac:dyDescent="0.3">
      <c r="A216" s="123" t="str">
        <f t="shared" si="120"/>
        <v>2팀</v>
      </c>
      <c r="B216" s="69">
        <f t="shared" si="121"/>
        <v>210</v>
      </c>
      <c r="C216" s="120" t="str">
        <f>IF(VLOOKUP($B216,'1. 현장별 인원현황'!$C:$J,2,0)=0,"",VLOOKUP($B216,'1. 현장별 인원현황'!$C:$J,2,0))</f>
        <v xml:space="preserve"> [2.신세계건설] 스타필드 청라 소방전기공사 2공구</v>
      </c>
      <c r="D216" s="70" t="str">
        <f>IF(VLOOKUP($B216,'1. 현장별 인원현황'!$C:$J,3,0)=0,"",VLOOKUP($B216,'1. 현장별 인원현황'!$C:$J,3,0))</f>
        <v>박기용</v>
      </c>
      <c r="E216" s="74" t="str">
        <f ca="1">IF(VLOOKUP($B216,'1. 현장별 인원현황'!$C:$J,4,0)=0,"",VLOOKUP($B216,'1. 현장별 인원현황'!$C:$J,4,0))</f>
        <v>52세</v>
      </c>
      <c r="F216" s="70" t="str">
        <f>IF(VLOOKUP($B216,'1. 현장별 인원현황'!$C:$J,7,0)=0,"",VLOOKUP($B216,'1. 현장별 인원현황'!$C:$J,7,0))</f>
        <v>공무</v>
      </c>
      <c r="G216" s="72" t="str">
        <f>IF(VLOOKUP($B216,'1. 현장별 인원현황'!$C:$J,8,0)=0,"",VLOOKUP($B216,'1. 현장별 인원현황'!$C:$J,8,0))</f>
        <v>부장</v>
      </c>
      <c r="H216" s="67"/>
      <c r="I216" s="73" t="s">
        <v>69</v>
      </c>
      <c r="J216" s="73"/>
      <c r="K216" s="68"/>
      <c r="L216" s="67" t="s">
        <v>69</v>
      </c>
      <c r="M216" s="73"/>
      <c r="N216" s="73"/>
      <c r="O216" s="68"/>
      <c r="P216" s="67"/>
      <c r="Q216" s="73" t="s">
        <v>69</v>
      </c>
      <c r="R216" s="73"/>
      <c r="S216" s="68"/>
      <c r="T216" s="67"/>
      <c r="U216" s="73" t="s">
        <v>69</v>
      </c>
      <c r="V216" s="73"/>
      <c r="W216" s="68"/>
      <c r="X216" s="67"/>
      <c r="Y216" s="73" t="s">
        <v>69</v>
      </c>
      <c r="Z216" s="73"/>
      <c r="AA216" s="68"/>
      <c r="AB216" s="67" t="s">
        <v>69</v>
      </c>
      <c r="AC216" s="73"/>
      <c r="AD216" s="73"/>
      <c r="AE216" s="68"/>
      <c r="AF216" s="67" t="s">
        <v>69</v>
      </c>
      <c r="AG216" s="73"/>
      <c r="AH216" s="73"/>
      <c r="AI216" s="68"/>
      <c r="AJ216" s="67"/>
      <c r="AK216" s="73" t="s">
        <v>69</v>
      </c>
      <c r="AL216" s="73"/>
      <c r="AM216" s="68"/>
      <c r="AN216" s="73" t="s">
        <v>69</v>
      </c>
      <c r="AO216" s="73"/>
      <c r="AP216" s="73"/>
      <c r="AQ216" s="68"/>
      <c r="AR216" s="67">
        <f t="shared" si="122"/>
        <v>87</v>
      </c>
      <c r="AS216" s="68" t="str">
        <f t="shared" si="123"/>
        <v>S</v>
      </c>
      <c r="AV216" s="49">
        <f t="shared" si="124"/>
        <v>0</v>
      </c>
      <c r="AW216" s="49">
        <f t="shared" si="125"/>
        <v>1</v>
      </c>
      <c r="AX216" s="49">
        <f t="shared" si="126"/>
        <v>0</v>
      </c>
      <c r="AY216" s="49">
        <f t="shared" si="127"/>
        <v>0</v>
      </c>
      <c r="AZ216" s="49">
        <f t="shared" si="128"/>
        <v>1</v>
      </c>
      <c r="BA216" s="49">
        <f t="shared" si="129"/>
        <v>0</v>
      </c>
      <c r="BB216" s="49">
        <f t="shared" si="130"/>
        <v>0</v>
      </c>
      <c r="BC216" s="49">
        <f t="shared" si="131"/>
        <v>0</v>
      </c>
      <c r="BD216" s="49">
        <f t="shared" si="132"/>
        <v>0</v>
      </c>
      <c r="BE216" s="49">
        <f t="shared" si="133"/>
        <v>1</v>
      </c>
      <c r="BF216" s="49">
        <f t="shared" si="134"/>
        <v>0</v>
      </c>
      <c r="BG216" s="49">
        <f t="shared" si="135"/>
        <v>0</v>
      </c>
      <c r="BH216" s="49">
        <f t="shared" si="136"/>
        <v>0</v>
      </c>
      <c r="BI216" s="49">
        <f t="shared" si="137"/>
        <v>1</v>
      </c>
      <c r="BJ216" s="49">
        <f t="shared" si="138"/>
        <v>0</v>
      </c>
      <c r="BK216" s="49">
        <f t="shared" si="139"/>
        <v>0</v>
      </c>
      <c r="BL216" s="49">
        <f t="shared" si="140"/>
        <v>0</v>
      </c>
      <c r="BM216" s="49">
        <f t="shared" si="141"/>
        <v>1</v>
      </c>
      <c r="BN216" s="49">
        <f t="shared" si="142"/>
        <v>0</v>
      </c>
      <c r="BO216" s="49">
        <f t="shared" si="143"/>
        <v>0</v>
      </c>
      <c r="BP216" s="49">
        <f t="shared" si="144"/>
        <v>1</v>
      </c>
      <c r="BQ216" s="49">
        <f t="shared" si="145"/>
        <v>0</v>
      </c>
      <c r="BR216" s="49">
        <f t="shared" si="146"/>
        <v>0</v>
      </c>
      <c r="BS216" s="49">
        <f t="shared" si="147"/>
        <v>0</v>
      </c>
      <c r="BT216" s="49">
        <f t="shared" si="148"/>
        <v>1</v>
      </c>
      <c r="BU216" s="49">
        <f t="shared" si="149"/>
        <v>0</v>
      </c>
      <c r="BV216" s="49">
        <f t="shared" si="150"/>
        <v>0</v>
      </c>
      <c r="BW216" s="49">
        <f t="shared" si="151"/>
        <v>0</v>
      </c>
      <c r="BX216" s="49">
        <f t="shared" si="152"/>
        <v>0</v>
      </c>
      <c r="BY216" s="49">
        <f t="shared" si="153"/>
        <v>1</v>
      </c>
      <c r="BZ216" s="49">
        <f t="shared" si="154"/>
        <v>0</v>
      </c>
      <c r="CA216" s="49">
        <f t="shared" si="155"/>
        <v>0</v>
      </c>
      <c r="CB216" s="49">
        <f t="shared" si="156"/>
        <v>1</v>
      </c>
      <c r="CC216" s="49">
        <f t="shared" si="157"/>
        <v>0</v>
      </c>
      <c r="CD216" s="49">
        <f t="shared" si="158"/>
        <v>0</v>
      </c>
      <c r="CE216" s="49">
        <f t="shared" si="159"/>
        <v>0</v>
      </c>
    </row>
    <row r="217" spans="1:83" ht="35.1" customHeight="1" x14ac:dyDescent="0.3">
      <c r="A217" s="123" t="str">
        <f t="shared" si="120"/>
        <v>2팀</v>
      </c>
      <c r="B217" s="69">
        <f t="shared" si="121"/>
        <v>211</v>
      </c>
      <c r="C217" s="120" t="str">
        <f>IF(VLOOKUP($B217,'1. 현장별 인원현황'!$C:$J,2,0)=0,"",VLOOKUP($B217,'1. 현장별 인원현황'!$C:$J,2,0))</f>
        <v xml:space="preserve"> [2.신세계건설] 스타필드 청라 소방전기공사 2공구</v>
      </c>
      <c r="D217" s="70" t="str">
        <f>IF(VLOOKUP($B217,'1. 현장별 인원현황'!$C:$J,3,0)=0,"",VLOOKUP($B217,'1. 현장별 인원현황'!$C:$J,3,0))</f>
        <v>이지태</v>
      </c>
      <c r="E217" s="74" t="str">
        <f ca="1">IF(VLOOKUP($B217,'1. 현장별 인원현황'!$C:$J,4,0)=0,"",VLOOKUP($B217,'1. 현장별 인원현황'!$C:$J,4,0))</f>
        <v>56세</v>
      </c>
      <c r="F217" s="70" t="str">
        <f>IF(VLOOKUP($B217,'1. 현장별 인원현황'!$C:$J,7,0)=0,"",VLOOKUP($B217,'1. 현장별 인원현황'!$C:$J,7,0))</f>
        <v>공사</v>
      </c>
      <c r="G217" s="72" t="str">
        <f>IF(VLOOKUP($B217,'1. 현장별 인원현황'!$C:$J,8,0)=0,"",VLOOKUP($B217,'1. 현장별 인원현황'!$C:$J,8,0))</f>
        <v>차장</v>
      </c>
      <c r="H217" s="67" t="s">
        <v>69</v>
      </c>
      <c r="I217" s="73"/>
      <c r="J217" s="73"/>
      <c r="K217" s="68"/>
      <c r="L217" s="67" t="s">
        <v>69</v>
      </c>
      <c r="M217" s="73"/>
      <c r="N217" s="73"/>
      <c r="O217" s="68"/>
      <c r="P217" s="67"/>
      <c r="Q217" s="73" t="s">
        <v>69</v>
      </c>
      <c r="R217" s="73"/>
      <c r="S217" s="68"/>
      <c r="T217" s="67"/>
      <c r="U217" s="73" t="s">
        <v>69</v>
      </c>
      <c r="V217" s="73"/>
      <c r="W217" s="68"/>
      <c r="X217" s="67"/>
      <c r="Y217" s="73" t="s">
        <v>69</v>
      </c>
      <c r="Z217" s="73"/>
      <c r="AA217" s="68"/>
      <c r="AB217" s="67" t="s">
        <v>69</v>
      </c>
      <c r="AC217" s="73"/>
      <c r="AD217" s="73"/>
      <c r="AE217" s="68"/>
      <c r="AF217" s="67" t="s">
        <v>69</v>
      </c>
      <c r="AG217" s="73"/>
      <c r="AH217" s="73"/>
      <c r="AI217" s="68"/>
      <c r="AJ217" s="67"/>
      <c r="AK217" s="73" t="s">
        <v>69</v>
      </c>
      <c r="AL217" s="73"/>
      <c r="AM217" s="68"/>
      <c r="AN217" s="73" t="s">
        <v>69</v>
      </c>
      <c r="AO217" s="73"/>
      <c r="AP217" s="73"/>
      <c r="AQ217" s="68"/>
      <c r="AR217" s="67">
        <f t="shared" si="122"/>
        <v>90</v>
      </c>
      <c r="AS217" s="68" t="str">
        <f t="shared" si="123"/>
        <v>S</v>
      </c>
      <c r="AV217" s="49">
        <f t="shared" si="124"/>
        <v>1</v>
      </c>
      <c r="AW217" s="49">
        <f t="shared" si="125"/>
        <v>0</v>
      </c>
      <c r="AX217" s="49">
        <f t="shared" si="126"/>
        <v>0</v>
      </c>
      <c r="AY217" s="49">
        <f t="shared" si="127"/>
        <v>0</v>
      </c>
      <c r="AZ217" s="49">
        <f t="shared" si="128"/>
        <v>1</v>
      </c>
      <c r="BA217" s="49">
        <f t="shared" si="129"/>
        <v>0</v>
      </c>
      <c r="BB217" s="49">
        <f t="shared" si="130"/>
        <v>0</v>
      </c>
      <c r="BC217" s="49">
        <f t="shared" si="131"/>
        <v>0</v>
      </c>
      <c r="BD217" s="49">
        <f t="shared" si="132"/>
        <v>0</v>
      </c>
      <c r="BE217" s="49">
        <f t="shared" si="133"/>
        <v>1</v>
      </c>
      <c r="BF217" s="49">
        <f t="shared" si="134"/>
        <v>0</v>
      </c>
      <c r="BG217" s="49">
        <f t="shared" si="135"/>
        <v>0</v>
      </c>
      <c r="BH217" s="49">
        <f t="shared" si="136"/>
        <v>0</v>
      </c>
      <c r="BI217" s="49">
        <f t="shared" si="137"/>
        <v>1</v>
      </c>
      <c r="BJ217" s="49">
        <f t="shared" si="138"/>
        <v>0</v>
      </c>
      <c r="BK217" s="49">
        <f t="shared" si="139"/>
        <v>0</v>
      </c>
      <c r="BL217" s="49">
        <f t="shared" si="140"/>
        <v>0</v>
      </c>
      <c r="BM217" s="49">
        <f t="shared" si="141"/>
        <v>1</v>
      </c>
      <c r="BN217" s="49">
        <f t="shared" si="142"/>
        <v>0</v>
      </c>
      <c r="BO217" s="49">
        <f t="shared" si="143"/>
        <v>0</v>
      </c>
      <c r="BP217" s="49">
        <f t="shared" si="144"/>
        <v>1</v>
      </c>
      <c r="BQ217" s="49">
        <f t="shared" si="145"/>
        <v>0</v>
      </c>
      <c r="BR217" s="49">
        <f t="shared" si="146"/>
        <v>0</v>
      </c>
      <c r="BS217" s="49">
        <f t="shared" si="147"/>
        <v>0</v>
      </c>
      <c r="BT217" s="49">
        <f t="shared" si="148"/>
        <v>1</v>
      </c>
      <c r="BU217" s="49">
        <f t="shared" si="149"/>
        <v>0</v>
      </c>
      <c r="BV217" s="49">
        <f t="shared" si="150"/>
        <v>0</v>
      </c>
      <c r="BW217" s="49">
        <f t="shared" si="151"/>
        <v>0</v>
      </c>
      <c r="BX217" s="49">
        <f t="shared" si="152"/>
        <v>0</v>
      </c>
      <c r="BY217" s="49">
        <f t="shared" si="153"/>
        <v>1</v>
      </c>
      <c r="BZ217" s="49">
        <f t="shared" si="154"/>
        <v>0</v>
      </c>
      <c r="CA217" s="49">
        <f t="shared" si="155"/>
        <v>0</v>
      </c>
      <c r="CB217" s="49">
        <f t="shared" si="156"/>
        <v>1</v>
      </c>
      <c r="CC217" s="49">
        <f t="shared" si="157"/>
        <v>0</v>
      </c>
      <c r="CD217" s="49">
        <f t="shared" si="158"/>
        <v>0</v>
      </c>
      <c r="CE217" s="49">
        <f t="shared" si="159"/>
        <v>0</v>
      </c>
    </row>
    <row r="218" spans="1:83" ht="35.1" customHeight="1" x14ac:dyDescent="0.3">
      <c r="A218" s="123" t="str">
        <f t="shared" si="120"/>
        <v>2팀</v>
      </c>
      <c r="B218" s="69">
        <f t="shared" si="121"/>
        <v>212</v>
      </c>
      <c r="C218" s="120" t="str">
        <f>IF(VLOOKUP($B218,'1. 현장별 인원현황'!$C:$J,2,0)=0,"",VLOOKUP($B218,'1. 현장별 인원현황'!$C:$J,2,0))</f>
        <v xml:space="preserve"> [2.신세계건설] 스타필드 청라 소방전기공사 2공구</v>
      </c>
      <c r="D218" s="70" t="str">
        <f>IF(VLOOKUP($B218,'1. 현장별 인원현황'!$C:$J,3,0)=0,"",VLOOKUP($B218,'1. 현장별 인원현황'!$C:$J,3,0))</f>
        <v>이주한</v>
      </c>
      <c r="E218" s="74" t="str">
        <f ca="1">IF(VLOOKUP($B218,'1. 현장별 인원현황'!$C:$J,4,0)=0,"",VLOOKUP($B218,'1. 현장별 인원현황'!$C:$J,4,0))</f>
        <v>44세</v>
      </c>
      <c r="F218" s="70" t="str">
        <f>IF(VLOOKUP($B218,'1. 현장별 인원현황'!$C:$J,7,0)=0,"",VLOOKUP($B218,'1. 현장별 인원현황'!$C:$J,7,0))</f>
        <v>공사</v>
      </c>
      <c r="G218" s="72" t="str">
        <f>IF(VLOOKUP($B218,'1. 현장별 인원현황'!$C:$J,8,0)=0,"",VLOOKUP($B218,'1. 현장별 인원현황'!$C:$J,8,0))</f>
        <v>과장</v>
      </c>
      <c r="H218" s="67"/>
      <c r="I218" s="73" t="s">
        <v>69</v>
      </c>
      <c r="J218" s="73"/>
      <c r="K218" s="68"/>
      <c r="L218" s="67" t="s">
        <v>69</v>
      </c>
      <c r="M218" s="73"/>
      <c r="N218" s="73"/>
      <c r="O218" s="68"/>
      <c r="P218" s="67"/>
      <c r="Q218" s="73" t="s">
        <v>69</v>
      </c>
      <c r="R218" s="73"/>
      <c r="S218" s="68"/>
      <c r="T218" s="67"/>
      <c r="U218" s="73" t="s">
        <v>69</v>
      </c>
      <c r="V218" s="73"/>
      <c r="W218" s="68"/>
      <c r="X218" s="67"/>
      <c r="Y218" s="73" t="s">
        <v>69</v>
      </c>
      <c r="Z218" s="73"/>
      <c r="AA218" s="68"/>
      <c r="AB218" s="67" t="s">
        <v>69</v>
      </c>
      <c r="AC218" s="73"/>
      <c r="AD218" s="73"/>
      <c r="AE218" s="68"/>
      <c r="AF218" s="67" t="s">
        <v>69</v>
      </c>
      <c r="AG218" s="73"/>
      <c r="AH218" s="73"/>
      <c r="AI218" s="68"/>
      <c r="AJ218" s="67"/>
      <c r="AK218" s="73" t="s">
        <v>69</v>
      </c>
      <c r="AL218" s="73"/>
      <c r="AM218" s="68"/>
      <c r="AN218" s="73" t="s">
        <v>69</v>
      </c>
      <c r="AO218" s="73"/>
      <c r="AP218" s="73"/>
      <c r="AQ218" s="68"/>
      <c r="AR218" s="67">
        <f t="shared" si="122"/>
        <v>87</v>
      </c>
      <c r="AS218" s="68" t="str">
        <f t="shared" si="123"/>
        <v>S</v>
      </c>
      <c r="AV218" s="49">
        <f t="shared" si="124"/>
        <v>0</v>
      </c>
      <c r="AW218" s="49">
        <f t="shared" si="125"/>
        <v>1</v>
      </c>
      <c r="AX218" s="49">
        <f t="shared" si="126"/>
        <v>0</v>
      </c>
      <c r="AY218" s="49">
        <f t="shared" si="127"/>
        <v>0</v>
      </c>
      <c r="AZ218" s="49">
        <f t="shared" si="128"/>
        <v>1</v>
      </c>
      <c r="BA218" s="49">
        <f t="shared" si="129"/>
        <v>0</v>
      </c>
      <c r="BB218" s="49">
        <f t="shared" si="130"/>
        <v>0</v>
      </c>
      <c r="BC218" s="49">
        <f t="shared" si="131"/>
        <v>0</v>
      </c>
      <c r="BD218" s="49">
        <f t="shared" si="132"/>
        <v>0</v>
      </c>
      <c r="BE218" s="49">
        <f t="shared" si="133"/>
        <v>1</v>
      </c>
      <c r="BF218" s="49">
        <f t="shared" si="134"/>
        <v>0</v>
      </c>
      <c r="BG218" s="49">
        <f t="shared" si="135"/>
        <v>0</v>
      </c>
      <c r="BH218" s="49">
        <f t="shared" si="136"/>
        <v>0</v>
      </c>
      <c r="BI218" s="49">
        <f t="shared" si="137"/>
        <v>1</v>
      </c>
      <c r="BJ218" s="49">
        <f t="shared" si="138"/>
        <v>0</v>
      </c>
      <c r="BK218" s="49">
        <f t="shared" si="139"/>
        <v>0</v>
      </c>
      <c r="BL218" s="49">
        <f t="shared" si="140"/>
        <v>0</v>
      </c>
      <c r="BM218" s="49">
        <f t="shared" si="141"/>
        <v>1</v>
      </c>
      <c r="BN218" s="49">
        <f t="shared" si="142"/>
        <v>0</v>
      </c>
      <c r="BO218" s="49">
        <f t="shared" si="143"/>
        <v>0</v>
      </c>
      <c r="BP218" s="49">
        <f t="shared" si="144"/>
        <v>1</v>
      </c>
      <c r="BQ218" s="49">
        <f t="shared" si="145"/>
        <v>0</v>
      </c>
      <c r="BR218" s="49">
        <f t="shared" si="146"/>
        <v>0</v>
      </c>
      <c r="BS218" s="49">
        <f t="shared" si="147"/>
        <v>0</v>
      </c>
      <c r="BT218" s="49">
        <f t="shared" si="148"/>
        <v>1</v>
      </c>
      <c r="BU218" s="49">
        <f t="shared" si="149"/>
        <v>0</v>
      </c>
      <c r="BV218" s="49">
        <f t="shared" si="150"/>
        <v>0</v>
      </c>
      <c r="BW218" s="49">
        <f t="shared" si="151"/>
        <v>0</v>
      </c>
      <c r="BX218" s="49">
        <f t="shared" si="152"/>
        <v>0</v>
      </c>
      <c r="BY218" s="49">
        <f t="shared" si="153"/>
        <v>1</v>
      </c>
      <c r="BZ218" s="49">
        <f t="shared" si="154"/>
        <v>0</v>
      </c>
      <c r="CA218" s="49">
        <f t="shared" si="155"/>
        <v>0</v>
      </c>
      <c r="CB218" s="49">
        <f t="shared" si="156"/>
        <v>1</v>
      </c>
      <c r="CC218" s="49">
        <f t="shared" si="157"/>
        <v>0</v>
      </c>
      <c r="CD218" s="49">
        <f t="shared" si="158"/>
        <v>0</v>
      </c>
      <c r="CE218" s="49">
        <f t="shared" si="159"/>
        <v>0</v>
      </c>
    </row>
    <row r="219" spans="1:83" ht="35.1" customHeight="1" x14ac:dyDescent="0.3">
      <c r="A219" s="123" t="str">
        <f t="shared" si="120"/>
        <v>2팀</v>
      </c>
      <c r="B219" s="69">
        <f t="shared" si="121"/>
        <v>213</v>
      </c>
      <c r="C219" s="120" t="str">
        <f>IF(VLOOKUP($B219,'1. 현장별 인원현황'!$C:$J,2,0)=0,"",VLOOKUP($B219,'1. 현장별 인원현황'!$C:$J,2,0))</f>
        <v xml:space="preserve"> [2.신세계건설] 스타필드 청라 소방전기공사 2공구</v>
      </c>
      <c r="D219" s="70" t="str">
        <f>IF(VLOOKUP($B219,'1. 현장별 인원현황'!$C:$J,3,0)=0,"",VLOOKUP($B219,'1. 현장별 인원현황'!$C:$J,3,0))</f>
        <v>이태준</v>
      </c>
      <c r="E219" s="74" t="str">
        <f ca="1">IF(VLOOKUP($B219,'1. 현장별 인원현황'!$C:$J,4,0)=0,"",VLOOKUP($B219,'1. 현장별 인원현황'!$C:$J,4,0))</f>
        <v>48세</v>
      </c>
      <c r="F219" s="70" t="str">
        <f>IF(VLOOKUP($B219,'1. 현장별 인원현황'!$C:$J,7,0)=0,"",VLOOKUP($B219,'1. 현장별 인원현황'!$C:$J,7,0))</f>
        <v>안전관리자</v>
      </c>
      <c r="G219" s="72" t="str">
        <f>IF(VLOOKUP($B219,'1. 현장별 인원현황'!$C:$J,8,0)=0,"",VLOOKUP($B219,'1. 현장별 인원현황'!$C:$J,8,0))</f>
        <v>차장</v>
      </c>
      <c r="H219" s="67"/>
      <c r="I219" s="73"/>
      <c r="J219" s="73" t="s">
        <v>69</v>
      </c>
      <c r="K219" s="68"/>
      <c r="L219" s="67" t="s">
        <v>69</v>
      </c>
      <c r="M219" s="73"/>
      <c r="N219" s="73"/>
      <c r="O219" s="68"/>
      <c r="P219" s="67"/>
      <c r="Q219" s="73" t="s">
        <v>69</v>
      </c>
      <c r="R219" s="73"/>
      <c r="S219" s="68"/>
      <c r="T219" s="67"/>
      <c r="U219" s="73" t="s">
        <v>69</v>
      </c>
      <c r="V219" s="73"/>
      <c r="W219" s="68"/>
      <c r="X219" s="67" t="s">
        <v>69</v>
      </c>
      <c r="Y219" s="73"/>
      <c r="Z219" s="73"/>
      <c r="AA219" s="68"/>
      <c r="AB219" s="67" t="s">
        <v>69</v>
      </c>
      <c r="AC219" s="73"/>
      <c r="AD219" s="73"/>
      <c r="AE219" s="68"/>
      <c r="AF219" s="67" t="s">
        <v>69</v>
      </c>
      <c r="AG219" s="73"/>
      <c r="AH219" s="73"/>
      <c r="AI219" s="68"/>
      <c r="AJ219" s="67"/>
      <c r="AK219" s="73" t="s">
        <v>69</v>
      </c>
      <c r="AL219" s="73"/>
      <c r="AM219" s="68"/>
      <c r="AN219" s="73" t="s">
        <v>69</v>
      </c>
      <c r="AO219" s="73"/>
      <c r="AP219" s="73"/>
      <c r="AQ219" s="68"/>
      <c r="AR219" s="67">
        <f t="shared" si="122"/>
        <v>86</v>
      </c>
      <c r="AS219" s="68" t="str">
        <f t="shared" si="123"/>
        <v>S</v>
      </c>
      <c r="AV219" s="49">
        <f t="shared" si="124"/>
        <v>0</v>
      </c>
      <c r="AW219" s="49">
        <f t="shared" si="125"/>
        <v>0</v>
      </c>
      <c r="AX219" s="49">
        <f t="shared" si="126"/>
        <v>1</v>
      </c>
      <c r="AY219" s="49">
        <f t="shared" si="127"/>
        <v>0</v>
      </c>
      <c r="AZ219" s="49">
        <f t="shared" si="128"/>
        <v>1</v>
      </c>
      <c r="BA219" s="49">
        <f t="shared" si="129"/>
        <v>0</v>
      </c>
      <c r="BB219" s="49">
        <f t="shared" si="130"/>
        <v>0</v>
      </c>
      <c r="BC219" s="49">
        <f t="shared" si="131"/>
        <v>0</v>
      </c>
      <c r="BD219" s="49">
        <f t="shared" si="132"/>
        <v>0</v>
      </c>
      <c r="BE219" s="49">
        <f t="shared" si="133"/>
        <v>1</v>
      </c>
      <c r="BF219" s="49">
        <f t="shared" si="134"/>
        <v>0</v>
      </c>
      <c r="BG219" s="49">
        <f t="shared" si="135"/>
        <v>0</v>
      </c>
      <c r="BH219" s="49">
        <f t="shared" si="136"/>
        <v>0</v>
      </c>
      <c r="BI219" s="49">
        <f t="shared" si="137"/>
        <v>1</v>
      </c>
      <c r="BJ219" s="49">
        <f t="shared" si="138"/>
        <v>0</v>
      </c>
      <c r="BK219" s="49">
        <f t="shared" si="139"/>
        <v>0</v>
      </c>
      <c r="BL219" s="49">
        <f t="shared" si="140"/>
        <v>1</v>
      </c>
      <c r="BM219" s="49">
        <f t="shared" si="141"/>
        <v>0</v>
      </c>
      <c r="BN219" s="49">
        <f t="shared" si="142"/>
        <v>0</v>
      </c>
      <c r="BO219" s="49">
        <f t="shared" si="143"/>
        <v>0</v>
      </c>
      <c r="BP219" s="49">
        <f t="shared" si="144"/>
        <v>1</v>
      </c>
      <c r="BQ219" s="49">
        <f t="shared" si="145"/>
        <v>0</v>
      </c>
      <c r="BR219" s="49">
        <f t="shared" si="146"/>
        <v>0</v>
      </c>
      <c r="BS219" s="49">
        <f t="shared" si="147"/>
        <v>0</v>
      </c>
      <c r="BT219" s="49">
        <f t="shared" si="148"/>
        <v>1</v>
      </c>
      <c r="BU219" s="49">
        <f t="shared" si="149"/>
        <v>0</v>
      </c>
      <c r="BV219" s="49">
        <f t="shared" si="150"/>
        <v>0</v>
      </c>
      <c r="BW219" s="49">
        <f t="shared" si="151"/>
        <v>0</v>
      </c>
      <c r="BX219" s="49">
        <f t="shared" si="152"/>
        <v>0</v>
      </c>
      <c r="BY219" s="49">
        <f t="shared" si="153"/>
        <v>1</v>
      </c>
      <c r="BZ219" s="49">
        <f t="shared" si="154"/>
        <v>0</v>
      </c>
      <c r="CA219" s="49">
        <f t="shared" si="155"/>
        <v>0</v>
      </c>
      <c r="CB219" s="49">
        <f t="shared" si="156"/>
        <v>1</v>
      </c>
      <c r="CC219" s="49">
        <f t="shared" si="157"/>
        <v>0</v>
      </c>
      <c r="CD219" s="49">
        <f t="shared" si="158"/>
        <v>0</v>
      </c>
      <c r="CE219" s="49">
        <f t="shared" si="159"/>
        <v>0</v>
      </c>
    </row>
    <row r="220" spans="1:83" ht="35.1" customHeight="1" x14ac:dyDescent="0.3">
      <c r="A220" s="123" t="str">
        <f t="shared" si="120"/>
        <v>2팀</v>
      </c>
      <c r="B220" s="69">
        <f t="shared" si="121"/>
        <v>214</v>
      </c>
      <c r="C220" s="120" t="str">
        <f>IF(VLOOKUP($B220,'1. 현장별 인원현황'!$C:$J,2,0)=0,"",VLOOKUP($B220,'1. 현장별 인원현황'!$C:$J,2,0))</f>
        <v xml:space="preserve"> [2.신세계건설] 스타필드 청라 소방전기공사 2공구</v>
      </c>
      <c r="D220" s="70" t="str">
        <f>IF(VLOOKUP($B220,'1. 현장별 인원현황'!$C:$J,3,0)=0,"",VLOOKUP($B220,'1. 현장별 인원현황'!$C:$J,3,0))</f>
        <v>류철선</v>
      </c>
      <c r="E220" s="74" t="str">
        <f ca="1">IF(VLOOKUP($B220,'1. 현장별 인원현황'!$C:$J,4,0)=0,"",VLOOKUP($B220,'1. 현장별 인원현황'!$C:$J,4,0))</f>
        <v>58세</v>
      </c>
      <c r="F220" s="70" t="str">
        <f>IF(VLOOKUP($B220,'1. 현장별 인원현황'!$C:$J,7,0)=0,"",VLOOKUP($B220,'1. 현장별 인원현황'!$C:$J,7,0))</f>
        <v>기능공</v>
      </c>
      <c r="G220" s="72" t="str">
        <f>IF(VLOOKUP($B220,'1. 현장별 인원현황'!$C:$J,8,0)=0,"",VLOOKUP($B220,'1. 현장별 인원현황'!$C:$J,8,0))</f>
        <v>전공</v>
      </c>
      <c r="H220" s="67"/>
      <c r="I220" s="73" t="s">
        <v>69</v>
      </c>
      <c r="J220" s="73"/>
      <c r="K220" s="68"/>
      <c r="L220" s="67" t="s">
        <v>69</v>
      </c>
      <c r="M220" s="73"/>
      <c r="N220" s="73"/>
      <c r="O220" s="68"/>
      <c r="P220" s="67"/>
      <c r="Q220" s="73" t="s">
        <v>69</v>
      </c>
      <c r="R220" s="73"/>
      <c r="S220" s="68"/>
      <c r="T220" s="67"/>
      <c r="U220" s="73" t="s">
        <v>69</v>
      </c>
      <c r="V220" s="73"/>
      <c r="W220" s="68"/>
      <c r="X220" s="67"/>
      <c r="Y220" s="73" t="s">
        <v>69</v>
      </c>
      <c r="Z220" s="73"/>
      <c r="AA220" s="68"/>
      <c r="AB220" s="67" t="s">
        <v>69</v>
      </c>
      <c r="AC220" s="73"/>
      <c r="AD220" s="73"/>
      <c r="AE220" s="68"/>
      <c r="AF220" s="67" t="s">
        <v>69</v>
      </c>
      <c r="AG220" s="73"/>
      <c r="AH220" s="73"/>
      <c r="AI220" s="68"/>
      <c r="AJ220" s="67"/>
      <c r="AK220" s="73" t="s">
        <v>69</v>
      </c>
      <c r="AL220" s="73"/>
      <c r="AM220" s="68"/>
      <c r="AN220" s="73" t="s">
        <v>69</v>
      </c>
      <c r="AO220" s="73"/>
      <c r="AP220" s="73"/>
      <c r="AQ220" s="68"/>
      <c r="AR220" s="67">
        <f t="shared" si="122"/>
        <v>87</v>
      </c>
      <c r="AS220" s="68" t="str">
        <f t="shared" si="123"/>
        <v>S</v>
      </c>
      <c r="AV220" s="49">
        <f t="shared" si="124"/>
        <v>0</v>
      </c>
      <c r="AW220" s="49">
        <f t="shared" si="125"/>
        <v>1</v>
      </c>
      <c r="AX220" s="49">
        <f t="shared" si="126"/>
        <v>0</v>
      </c>
      <c r="AY220" s="49">
        <f t="shared" si="127"/>
        <v>0</v>
      </c>
      <c r="AZ220" s="49">
        <f t="shared" si="128"/>
        <v>1</v>
      </c>
      <c r="BA220" s="49">
        <f t="shared" si="129"/>
        <v>0</v>
      </c>
      <c r="BB220" s="49">
        <f t="shared" si="130"/>
        <v>0</v>
      </c>
      <c r="BC220" s="49">
        <f t="shared" si="131"/>
        <v>0</v>
      </c>
      <c r="BD220" s="49">
        <f t="shared" si="132"/>
        <v>0</v>
      </c>
      <c r="BE220" s="49">
        <f t="shared" si="133"/>
        <v>1</v>
      </c>
      <c r="BF220" s="49">
        <f t="shared" si="134"/>
        <v>0</v>
      </c>
      <c r="BG220" s="49">
        <f t="shared" si="135"/>
        <v>0</v>
      </c>
      <c r="BH220" s="49">
        <f t="shared" si="136"/>
        <v>0</v>
      </c>
      <c r="BI220" s="49">
        <f t="shared" si="137"/>
        <v>1</v>
      </c>
      <c r="BJ220" s="49">
        <f t="shared" si="138"/>
        <v>0</v>
      </c>
      <c r="BK220" s="49">
        <f t="shared" si="139"/>
        <v>0</v>
      </c>
      <c r="BL220" s="49">
        <f t="shared" si="140"/>
        <v>0</v>
      </c>
      <c r="BM220" s="49">
        <f t="shared" si="141"/>
        <v>1</v>
      </c>
      <c r="BN220" s="49">
        <f t="shared" si="142"/>
        <v>0</v>
      </c>
      <c r="BO220" s="49">
        <f t="shared" si="143"/>
        <v>0</v>
      </c>
      <c r="BP220" s="49">
        <f t="shared" si="144"/>
        <v>1</v>
      </c>
      <c r="BQ220" s="49">
        <f t="shared" si="145"/>
        <v>0</v>
      </c>
      <c r="BR220" s="49">
        <f t="shared" si="146"/>
        <v>0</v>
      </c>
      <c r="BS220" s="49">
        <f t="shared" si="147"/>
        <v>0</v>
      </c>
      <c r="BT220" s="49">
        <f t="shared" si="148"/>
        <v>1</v>
      </c>
      <c r="BU220" s="49">
        <f t="shared" si="149"/>
        <v>0</v>
      </c>
      <c r="BV220" s="49">
        <f t="shared" si="150"/>
        <v>0</v>
      </c>
      <c r="BW220" s="49">
        <f t="shared" si="151"/>
        <v>0</v>
      </c>
      <c r="BX220" s="49">
        <f t="shared" si="152"/>
        <v>0</v>
      </c>
      <c r="BY220" s="49">
        <f t="shared" si="153"/>
        <v>1</v>
      </c>
      <c r="BZ220" s="49">
        <f t="shared" si="154"/>
        <v>0</v>
      </c>
      <c r="CA220" s="49">
        <f t="shared" si="155"/>
        <v>0</v>
      </c>
      <c r="CB220" s="49">
        <f t="shared" si="156"/>
        <v>1</v>
      </c>
      <c r="CC220" s="49">
        <f t="shared" si="157"/>
        <v>0</v>
      </c>
      <c r="CD220" s="49">
        <f t="shared" si="158"/>
        <v>0</v>
      </c>
      <c r="CE220" s="49">
        <f t="shared" si="159"/>
        <v>0</v>
      </c>
    </row>
    <row r="221" spans="1:83" ht="35.1" customHeight="1" x14ac:dyDescent="0.3">
      <c r="A221" s="123" t="str">
        <f t="shared" si="120"/>
        <v>2팀</v>
      </c>
      <c r="B221" s="69">
        <f t="shared" si="121"/>
        <v>215</v>
      </c>
      <c r="C221" s="120" t="str">
        <f>IF(VLOOKUP($B221,'1. 현장별 인원현황'!$C:$J,2,0)=0,"",VLOOKUP($B221,'1. 현장별 인원현황'!$C:$J,2,0))</f>
        <v xml:space="preserve"> [2.신세계건설] 스타필드 청라 소방전기공사 2공구</v>
      </c>
      <c r="D221" s="70" t="str">
        <f>IF(VLOOKUP($B221,'1. 현장별 인원현황'!$C:$J,3,0)=0,"",VLOOKUP($B221,'1. 현장별 인원현황'!$C:$J,3,0))</f>
        <v>홍진구</v>
      </c>
      <c r="E221" s="74" t="str">
        <f ca="1">IF(VLOOKUP($B221,'1. 현장별 인원현황'!$C:$J,4,0)=0,"",VLOOKUP($B221,'1. 현장별 인원현황'!$C:$J,4,0))</f>
        <v>44세</v>
      </c>
      <c r="F221" s="70" t="str">
        <f>IF(VLOOKUP($B221,'1. 현장별 인원현황'!$C:$J,7,0)=0,"",VLOOKUP($B221,'1. 현장별 인원현황'!$C:$J,7,0))</f>
        <v>기능공</v>
      </c>
      <c r="G221" s="72" t="str">
        <f>IF(VLOOKUP($B221,'1. 현장별 인원현황'!$C:$J,8,0)=0,"",VLOOKUP($B221,'1. 현장별 인원현황'!$C:$J,8,0))</f>
        <v>전공</v>
      </c>
      <c r="H221" s="67"/>
      <c r="I221" s="73" t="s">
        <v>69</v>
      </c>
      <c r="J221" s="73"/>
      <c r="K221" s="68"/>
      <c r="L221" s="67" t="s">
        <v>69</v>
      </c>
      <c r="M221" s="73"/>
      <c r="N221" s="73"/>
      <c r="O221" s="68"/>
      <c r="P221" s="67"/>
      <c r="Q221" s="73" t="s">
        <v>69</v>
      </c>
      <c r="R221" s="73"/>
      <c r="S221" s="68"/>
      <c r="T221" s="67"/>
      <c r="U221" s="73" t="s">
        <v>69</v>
      </c>
      <c r="V221" s="73"/>
      <c r="W221" s="68"/>
      <c r="X221" s="67"/>
      <c r="Y221" s="73" t="s">
        <v>69</v>
      </c>
      <c r="Z221" s="73"/>
      <c r="AA221" s="68"/>
      <c r="AB221" s="67" t="s">
        <v>69</v>
      </c>
      <c r="AC221" s="73"/>
      <c r="AD221" s="73"/>
      <c r="AE221" s="68"/>
      <c r="AF221" s="67" t="s">
        <v>69</v>
      </c>
      <c r="AG221" s="73"/>
      <c r="AH221" s="73"/>
      <c r="AI221" s="68"/>
      <c r="AJ221" s="67"/>
      <c r="AK221" s="73" t="s">
        <v>69</v>
      </c>
      <c r="AL221" s="73"/>
      <c r="AM221" s="68"/>
      <c r="AN221" s="73" t="s">
        <v>69</v>
      </c>
      <c r="AO221" s="73"/>
      <c r="AP221" s="73"/>
      <c r="AQ221" s="68"/>
      <c r="AR221" s="67">
        <f t="shared" si="122"/>
        <v>87</v>
      </c>
      <c r="AS221" s="68" t="str">
        <f t="shared" si="123"/>
        <v>S</v>
      </c>
      <c r="AV221" s="49">
        <f t="shared" si="124"/>
        <v>0</v>
      </c>
      <c r="AW221" s="49">
        <f t="shared" si="125"/>
        <v>1</v>
      </c>
      <c r="AX221" s="49">
        <f t="shared" si="126"/>
        <v>0</v>
      </c>
      <c r="AY221" s="49">
        <f t="shared" si="127"/>
        <v>0</v>
      </c>
      <c r="AZ221" s="49">
        <f t="shared" si="128"/>
        <v>1</v>
      </c>
      <c r="BA221" s="49">
        <f t="shared" si="129"/>
        <v>0</v>
      </c>
      <c r="BB221" s="49">
        <f t="shared" si="130"/>
        <v>0</v>
      </c>
      <c r="BC221" s="49">
        <f t="shared" si="131"/>
        <v>0</v>
      </c>
      <c r="BD221" s="49">
        <f t="shared" si="132"/>
        <v>0</v>
      </c>
      <c r="BE221" s="49">
        <f t="shared" si="133"/>
        <v>1</v>
      </c>
      <c r="BF221" s="49">
        <f t="shared" si="134"/>
        <v>0</v>
      </c>
      <c r="BG221" s="49">
        <f t="shared" si="135"/>
        <v>0</v>
      </c>
      <c r="BH221" s="49">
        <f t="shared" si="136"/>
        <v>0</v>
      </c>
      <c r="BI221" s="49">
        <f t="shared" si="137"/>
        <v>1</v>
      </c>
      <c r="BJ221" s="49">
        <f t="shared" si="138"/>
        <v>0</v>
      </c>
      <c r="BK221" s="49">
        <f t="shared" si="139"/>
        <v>0</v>
      </c>
      <c r="BL221" s="49">
        <f t="shared" si="140"/>
        <v>0</v>
      </c>
      <c r="BM221" s="49">
        <f t="shared" si="141"/>
        <v>1</v>
      </c>
      <c r="BN221" s="49">
        <f t="shared" si="142"/>
        <v>0</v>
      </c>
      <c r="BO221" s="49">
        <f t="shared" si="143"/>
        <v>0</v>
      </c>
      <c r="BP221" s="49">
        <f t="shared" si="144"/>
        <v>1</v>
      </c>
      <c r="BQ221" s="49">
        <f t="shared" si="145"/>
        <v>0</v>
      </c>
      <c r="BR221" s="49">
        <f t="shared" si="146"/>
        <v>0</v>
      </c>
      <c r="BS221" s="49">
        <f t="shared" si="147"/>
        <v>0</v>
      </c>
      <c r="BT221" s="49">
        <f t="shared" si="148"/>
        <v>1</v>
      </c>
      <c r="BU221" s="49">
        <f t="shared" si="149"/>
        <v>0</v>
      </c>
      <c r="BV221" s="49">
        <f t="shared" si="150"/>
        <v>0</v>
      </c>
      <c r="BW221" s="49">
        <f t="shared" si="151"/>
        <v>0</v>
      </c>
      <c r="BX221" s="49">
        <f t="shared" si="152"/>
        <v>0</v>
      </c>
      <c r="BY221" s="49">
        <f t="shared" si="153"/>
        <v>1</v>
      </c>
      <c r="BZ221" s="49">
        <f t="shared" si="154"/>
        <v>0</v>
      </c>
      <c r="CA221" s="49">
        <f t="shared" si="155"/>
        <v>0</v>
      </c>
      <c r="CB221" s="49">
        <f t="shared" si="156"/>
        <v>1</v>
      </c>
      <c r="CC221" s="49">
        <f t="shared" si="157"/>
        <v>0</v>
      </c>
      <c r="CD221" s="49">
        <f t="shared" si="158"/>
        <v>0</v>
      </c>
      <c r="CE221" s="49">
        <f t="shared" si="159"/>
        <v>0</v>
      </c>
    </row>
    <row r="222" spans="1:83" ht="35.1" customHeight="1" x14ac:dyDescent="0.3">
      <c r="A222" s="123" t="str">
        <f t="shared" si="120"/>
        <v>2팀</v>
      </c>
      <c r="B222" s="69">
        <f t="shared" si="121"/>
        <v>216</v>
      </c>
      <c r="C222" s="120" t="str">
        <f>IF(VLOOKUP($B222,'1. 현장별 인원현황'!$C:$J,2,0)=0,"",VLOOKUP($B222,'1. 현장별 인원현황'!$C:$J,2,0))</f>
        <v xml:space="preserve"> [2.신세계건설] 스타필드 청라 소방전기공사 2공구</v>
      </c>
      <c r="D222" s="70" t="str">
        <f>IF(VLOOKUP($B222,'1. 현장별 인원현황'!$C:$J,3,0)=0,"",VLOOKUP($B222,'1. 현장별 인원현황'!$C:$J,3,0))</f>
        <v>전금환</v>
      </c>
      <c r="E222" s="74" t="str">
        <f ca="1">IF(VLOOKUP($B222,'1. 현장별 인원현황'!$C:$J,4,0)=0,"",VLOOKUP($B222,'1. 현장별 인원현황'!$C:$J,4,0))</f>
        <v>36세</v>
      </c>
      <c r="F222" s="70" t="str">
        <f>IF(VLOOKUP($B222,'1. 현장별 인원현황'!$C:$J,7,0)=0,"",VLOOKUP($B222,'1. 현장별 인원현황'!$C:$J,7,0))</f>
        <v>기능공</v>
      </c>
      <c r="G222" s="72" t="str">
        <f>IF(VLOOKUP($B222,'1. 현장별 인원현황'!$C:$J,8,0)=0,"",VLOOKUP($B222,'1. 현장별 인원현황'!$C:$J,8,0))</f>
        <v>전공</v>
      </c>
      <c r="H222" s="67"/>
      <c r="I222" s="73"/>
      <c r="J222" s="73" t="s">
        <v>69</v>
      </c>
      <c r="K222" s="68"/>
      <c r="L222" s="67"/>
      <c r="M222" s="73" t="s">
        <v>69</v>
      </c>
      <c r="N222" s="73"/>
      <c r="O222" s="68"/>
      <c r="P222" s="67"/>
      <c r="Q222" s="73" t="s">
        <v>69</v>
      </c>
      <c r="R222" s="73"/>
      <c r="S222" s="68"/>
      <c r="T222" s="67"/>
      <c r="U222" s="73" t="s">
        <v>69</v>
      </c>
      <c r="V222" s="73"/>
      <c r="W222" s="68"/>
      <c r="X222" s="67"/>
      <c r="Y222" s="73" t="s">
        <v>69</v>
      </c>
      <c r="Z222" s="73"/>
      <c r="AA222" s="68"/>
      <c r="AB222" s="67" t="s">
        <v>69</v>
      </c>
      <c r="AC222" s="73"/>
      <c r="AD222" s="73"/>
      <c r="AE222" s="68"/>
      <c r="AF222" s="67"/>
      <c r="AG222" s="73" t="s">
        <v>69</v>
      </c>
      <c r="AH222" s="73"/>
      <c r="AI222" s="68"/>
      <c r="AJ222" s="67"/>
      <c r="AK222" s="73" t="s">
        <v>69</v>
      </c>
      <c r="AL222" s="73"/>
      <c r="AM222" s="68"/>
      <c r="AN222" s="73"/>
      <c r="AO222" s="73" t="s">
        <v>69</v>
      </c>
      <c r="AP222" s="73"/>
      <c r="AQ222" s="68"/>
      <c r="AR222" s="67">
        <f t="shared" si="122"/>
        <v>76</v>
      </c>
      <c r="AS222" s="68" t="str">
        <f t="shared" si="123"/>
        <v>A</v>
      </c>
      <c r="AV222" s="49">
        <f t="shared" si="124"/>
        <v>0</v>
      </c>
      <c r="AW222" s="49">
        <f t="shared" si="125"/>
        <v>0</v>
      </c>
      <c r="AX222" s="49">
        <f t="shared" si="126"/>
        <v>1</v>
      </c>
      <c r="AY222" s="49">
        <f t="shared" si="127"/>
        <v>0</v>
      </c>
      <c r="AZ222" s="49">
        <f t="shared" si="128"/>
        <v>0</v>
      </c>
      <c r="BA222" s="49">
        <f t="shared" si="129"/>
        <v>1</v>
      </c>
      <c r="BB222" s="49">
        <f t="shared" si="130"/>
        <v>0</v>
      </c>
      <c r="BC222" s="49">
        <f t="shared" si="131"/>
        <v>0</v>
      </c>
      <c r="BD222" s="49">
        <f t="shared" si="132"/>
        <v>0</v>
      </c>
      <c r="BE222" s="49">
        <f t="shared" si="133"/>
        <v>1</v>
      </c>
      <c r="BF222" s="49">
        <f t="shared" si="134"/>
        <v>0</v>
      </c>
      <c r="BG222" s="49">
        <f t="shared" si="135"/>
        <v>0</v>
      </c>
      <c r="BH222" s="49">
        <f t="shared" si="136"/>
        <v>0</v>
      </c>
      <c r="BI222" s="49">
        <f t="shared" si="137"/>
        <v>1</v>
      </c>
      <c r="BJ222" s="49">
        <f t="shared" si="138"/>
        <v>0</v>
      </c>
      <c r="BK222" s="49">
        <f t="shared" si="139"/>
        <v>0</v>
      </c>
      <c r="BL222" s="49">
        <f t="shared" si="140"/>
        <v>0</v>
      </c>
      <c r="BM222" s="49">
        <f t="shared" si="141"/>
        <v>1</v>
      </c>
      <c r="BN222" s="49">
        <f t="shared" si="142"/>
        <v>0</v>
      </c>
      <c r="BO222" s="49">
        <f t="shared" si="143"/>
        <v>0</v>
      </c>
      <c r="BP222" s="49">
        <f t="shared" si="144"/>
        <v>1</v>
      </c>
      <c r="BQ222" s="49">
        <f t="shared" si="145"/>
        <v>0</v>
      </c>
      <c r="BR222" s="49">
        <f t="shared" si="146"/>
        <v>0</v>
      </c>
      <c r="BS222" s="49">
        <f t="shared" si="147"/>
        <v>0</v>
      </c>
      <c r="BT222" s="49">
        <f t="shared" si="148"/>
        <v>0</v>
      </c>
      <c r="BU222" s="49">
        <f t="shared" si="149"/>
        <v>1</v>
      </c>
      <c r="BV222" s="49">
        <f t="shared" si="150"/>
        <v>0</v>
      </c>
      <c r="BW222" s="49">
        <f t="shared" si="151"/>
        <v>0</v>
      </c>
      <c r="BX222" s="49">
        <f t="shared" si="152"/>
        <v>0</v>
      </c>
      <c r="BY222" s="49">
        <f t="shared" si="153"/>
        <v>1</v>
      </c>
      <c r="BZ222" s="49">
        <f t="shared" si="154"/>
        <v>0</v>
      </c>
      <c r="CA222" s="49">
        <f t="shared" si="155"/>
        <v>0</v>
      </c>
      <c r="CB222" s="49">
        <f t="shared" si="156"/>
        <v>0</v>
      </c>
      <c r="CC222" s="49">
        <f t="shared" si="157"/>
        <v>1</v>
      </c>
      <c r="CD222" s="49">
        <f t="shared" si="158"/>
        <v>0</v>
      </c>
      <c r="CE222" s="49">
        <f t="shared" si="159"/>
        <v>0</v>
      </c>
    </row>
    <row r="223" spans="1:83" ht="35.1" customHeight="1" x14ac:dyDescent="0.3">
      <c r="A223" s="123" t="str">
        <f t="shared" si="120"/>
        <v>2팀</v>
      </c>
      <c r="B223" s="69">
        <f t="shared" si="121"/>
        <v>217</v>
      </c>
      <c r="C223" s="120" t="str">
        <f>IF(VLOOKUP($B223,'1. 현장별 인원현황'!$C:$J,2,0)=0,"",VLOOKUP($B223,'1. 현장별 인원현황'!$C:$J,2,0))</f>
        <v xml:space="preserve"> [2.신세계건설] 스타필드 청라 신축공사 전기공사</v>
      </c>
      <c r="D223" s="70" t="str">
        <f>IF(VLOOKUP($B223,'1. 현장별 인원현황'!$C:$J,3,0)=0,"",VLOOKUP($B223,'1. 현장별 인원현황'!$C:$J,3,0))</f>
        <v>문순태</v>
      </c>
      <c r="E223" s="74" t="str">
        <f ca="1">IF(VLOOKUP($B223,'1. 현장별 인원현황'!$C:$J,4,0)=0,"",VLOOKUP($B223,'1. 현장별 인원현황'!$C:$J,4,0))</f>
        <v>58세</v>
      </c>
      <c r="F223" s="70" t="str">
        <f>IF(VLOOKUP($B223,'1. 현장별 인원현황'!$C:$J,7,0)=0,"",VLOOKUP($B223,'1. 현장별 인원현황'!$C:$J,7,0))</f>
        <v>공사</v>
      </c>
      <c r="G223" s="72" t="str">
        <f>IF(VLOOKUP($B223,'1. 현장별 인원현황'!$C:$J,8,0)=0,"",VLOOKUP($B223,'1. 현장별 인원현황'!$C:$J,8,0))</f>
        <v>차장</v>
      </c>
      <c r="H223" s="67"/>
      <c r="I223" s="73" t="s">
        <v>69</v>
      </c>
      <c r="J223" s="73"/>
      <c r="K223" s="68"/>
      <c r="L223" s="67"/>
      <c r="M223" s="73" t="s">
        <v>69</v>
      </c>
      <c r="N223" s="73"/>
      <c r="O223" s="68"/>
      <c r="P223" s="67"/>
      <c r="Q223" s="73" t="s">
        <v>69</v>
      </c>
      <c r="R223" s="73"/>
      <c r="S223" s="68"/>
      <c r="T223" s="67"/>
      <c r="U223" s="73" t="s">
        <v>69</v>
      </c>
      <c r="V223" s="73"/>
      <c r="W223" s="68"/>
      <c r="X223" s="67"/>
      <c r="Y223" s="73" t="s">
        <v>69</v>
      </c>
      <c r="Z223" s="73"/>
      <c r="AA223" s="68"/>
      <c r="AB223" s="67"/>
      <c r="AC223" s="73" t="s">
        <v>69</v>
      </c>
      <c r="AD223" s="73"/>
      <c r="AE223" s="68"/>
      <c r="AF223" s="67"/>
      <c r="AG223" s="73" t="s">
        <v>69</v>
      </c>
      <c r="AH223" s="73"/>
      <c r="AI223" s="68"/>
      <c r="AJ223" s="67"/>
      <c r="AK223" s="73" t="s">
        <v>69</v>
      </c>
      <c r="AL223" s="73"/>
      <c r="AM223" s="68"/>
      <c r="AN223" s="73" t="s">
        <v>69</v>
      </c>
      <c r="AO223" s="73"/>
      <c r="AP223" s="73"/>
      <c r="AQ223" s="68"/>
      <c r="AR223" s="67">
        <f t="shared" si="122"/>
        <v>80</v>
      </c>
      <c r="AS223" s="68" t="str">
        <f t="shared" si="123"/>
        <v>A</v>
      </c>
      <c r="AV223" s="49">
        <f t="shared" si="124"/>
        <v>0</v>
      </c>
      <c r="AW223" s="49">
        <f t="shared" si="125"/>
        <v>1</v>
      </c>
      <c r="AX223" s="49">
        <f t="shared" si="126"/>
        <v>0</v>
      </c>
      <c r="AY223" s="49">
        <f t="shared" si="127"/>
        <v>0</v>
      </c>
      <c r="AZ223" s="49">
        <f t="shared" si="128"/>
        <v>0</v>
      </c>
      <c r="BA223" s="49">
        <f t="shared" si="129"/>
        <v>1</v>
      </c>
      <c r="BB223" s="49">
        <f t="shared" si="130"/>
        <v>0</v>
      </c>
      <c r="BC223" s="49">
        <f t="shared" si="131"/>
        <v>0</v>
      </c>
      <c r="BD223" s="49">
        <f t="shared" si="132"/>
        <v>0</v>
      </c>
      <c r="BE223" s="49">
        <f t="shared" si="133"/>
        <v>1</v>
      </c>
      <c r="BF223" s="49">
        <f t="shared" si="134"/>
        <v>0</v>
      </c>
      <c r="BG223" s="49">
        <f t="shared" si="135"/>
        <v>0</v>
      </c>
      <c r="BH223" s="49">
        <f t="shared" si="136"/>
        <v>0</v>
      </c>
      <c r="BI223" s="49">
        <f t="shared" si="137"/>
        <v>1</v>
      </c>
      <c r="BJ223" s="49">
        <f t="shared" si="138"/>
        <v>0</v>
      </c>
      <c r="BK223" s="49">
        <f t="shared" si="139"/>
        <v>0</v>
      </c>
      <c r="BL223" s="49">
        <f t="shared" si="140"/>
        <v>0</v>
      </c>
      <c r="BM223" s="49">
        <f t="shared" si="141"/>
        <v>1</v>
      </c>
      <c r="BN223" s="49">
        <f t="shared" si="142"/>
        <v>0</v>
      </c>
      <c r="BO223" s="49">
        <f t="shared" si="143"/>
        <v>0</v>
      </c>
      <c r="BP223" s="49">
        <f t="shared" si="144"/>
        <v>0</v>
      </c>
      <c r="BQ223" s="49">
        <f t="shared" si="145"/>
        <v>1</v>
      </c>
      <c r="BR223" s="49">
        <f t="shared" si="146"/>
        <v>0</v>
      </c>
      <c r="BS223" s="49">
        <f t="shared" si="147"/>
        <v>0</v>
      </c>
      <c r="BT223" s="49">
        <f t="shared" si="148"/>
        <v>0</v>
      </c>
      <c r="BU223" s="49">
        <f t="shared" si="149"/>
        <v>1</v>
      </c>
      <c r="BV223" s="49">
        <f t="shared" si="150"/>
        <v>0</v>
      </c>
      <c r="BW223" s="49">
        <f t="shared" si="151"/>
        <v>0</v>
      </c>
      <c r="BX223" s="49">
        <f t="shared" si="152"/>
        <v>0</v>
      </c>
      <c r="BY223" s="49">
        <f t="shared" si="153"/>
        <v>1</v>
      </c>
      <c r="BZ223" s="49">
        <f t="shared" si="154"/>
        <v>0</v>
      </c>
      <c r="CA223" s="49">
        <f t="shared" si="155"/>
        <v>0</v>
      </c>
      <c r="CB223" s="49">
        <f t="shared" si="156"/>
        <v>1</v>
      </c>
      <c r="CC223" s="49">
        <f t="shared" si="157"/>
        <v>0</v>
      </c>
      <c r="CD223" s="49">
        <f t="shared" si="158"/>
        <v>0</v>
      </c>
      <c r="CE223" s="49">
        <f t="shared" si="159"/>
        <v>0</v>
      </c>
    </row>
    <row r="224" spans="1:83" ht="35.1" customHeight="1" x14ac:dyDescent="0.3">
      <c r="A224" s="123" t="str">
        <f t="shared" si="120"/>
        <v>2팀</v>
      </c>
      <c r="B224" s="69">
        <f t="shared" si="121"/>
        <v>218</v>
      </c>
      <c r="C224" s="120" t="str">
        <f>IF(VLOOKUP($B224,'1. 현장별 인원현황'!$C:$J,2,0)=0,"",VLOOKUP($B224,'1. 현장별 인원현황'!$C:$J,2,0))</f>
        <v xml:space="preserve"> [2.신세계건설] 스타필드 청라 신축공사 전기공사</v>
      </c>
      <c r="D224" s="70" t="str">
        <f>IF(VLOOKUP($B224,'1. 현장별 인원현황'!$C:$J,3,0)=0,"",VLOOKUP($B224,'1. 현장별 인원현황'!$C:$J,3,0))</f>
        <v>최문철</v>
      </c>
      <c r="E224" s="74" t="str">
        <f ca="1">IF(VLOOKUP($B224,'1. 현장별 인원현황'!$C:$J,4,0)=0,"",VLOOKUP($B224,'1. 현장별 인원현황'!$C:$J,4,0))</f>
        <v>51세</v>
      </c>
      <c r="F224" s="70" t="str">
        <f>IF(VLOOKUP($B224,'1. 현장별 인원현황'!$C:$J,7,0)=0,"",VLOOKUP($B224,'1. 현장별 인원현황'!$C:$J,7,0))</f>
        <v>공사</v>
      </c>
      <c r="G224" s="72" t="str">
        <f>IF(VLOOKUP($B224,'1. 현장별 인원현황'!$C:$J,8,0)=0,"",VLOOKUP($B224,'1. 현장별 인원현황'!$C:$J,8,0))</f>
        <v>차장</v>
      </c>
      <c r="H224" s="67"/>
      <c r="I224" s="73" t="s">
        <v>69</v>
      </c>
      <c r="J224" s="73"/>
      <c r="K224" s="68"/>
      <c r="L224" s="67"/>
      <c r="M224" s="73" t="s">
        <v>69</v>
      </c>
      <c r="N224" s="73"/>
      <c r="O224" s="68"/>
      <c r="P224" s="67"/>
      <c r="Q224" s="73" t="s">
        <v>69</v>
      </c>
      <c r="R224" s="73"/>
      <c r="S224" s="68"/>
      <c r="T224" s="67"/>
      <c r="U224" s="73"/>
      <c r="V224" s="73" t="s">
        <v>69</v>
      </c>
      <c r="W224" s="68"/>
      <c r="X224" s="67"/>
      <c r="Y224" s="73" t="s">
        <v>69</v>
      </c>
      <c r="Z224" s="73"/>
      <c r="AA224" s="68"/>
      <c r="AB224" s="67"/>
      <c r="AC224" s="73" t="s">
        <v>69</v>
      </c>
      <c r="AD224" s="73"/>
      <c r="AE224" s="68"/>
      <c r="AF224" s="67"/>
      <c r="AG224" s="73" t="s">
        <v>69</v>
      </c>
      <c r="AH224" s="73"/>
      <c r="AI224" s="68"/>
      <c r="AJ224" s="67"/>
      <c r="AK224" s="73" t="s">
        <v>69</v>
      </c>
      <c r="AL224" s="73"/>
      <c r="AM224" s="68"/>
      <c r="AN224" s="73" t="s">
        <v>69</v>
      </c>
      <c r="AO224" s="73"/>
      <c r="AP224" s="73"/>
      <c r="AQ224" s="68"/>
      <c r="AR224" s="67">
        <f t="shared" si="122"/>
        <v>78</v>
      </c>
      <c r="AS224" s="68" t="str">
        <f t="shared" si="123"/>
        <v>A</v>
      </c>
      <c r="AV224" s="49">
        <f t="shared" si="124"/>
        <v>0</v>
      </c>
      <c r="AW224" s="49">
        <f t="shared" si="125"/>
        <v>1</v>
      </c>
      <c r="AX224" s="49">
        <f t="shared" si="126"/>
        <v>0</v>
      </c>
      <c r="AY224" s="49">
        <f t="shared" si="127"/>
        <v>0</v>
      </c>
      <c r="AZ224" s="49">
        <f t="shared" si="128"/>
        <v>0</v>
      </c>
      <c r="BA224" s="49">
        <f t="shared" si="129"/>
        <v>1</v>
      </c>
      <c r="BB224" s="49">
        <f t="shared" si="130"/>
        <v>0</v>
      </c>
      <c r="BC224" s="49">
        <f t="shared" si="131"/>
        <v>0</v>
      </c>
      <c r="BD224" s="49">
        <f t="shared" si="132"/>
        <v>0</v>
      </c>
      <c r="BE224" s="49">
        <f t="shared" si="133"/>
        <v>1</v>
      </c>
      <c r="BF224" s="49">
        <f t="shared" si="134"/>
        <v>0</v>
      </c>
      <c r="BG224" s="49">
        <f t="shared" si="135"/>
        <v>0</v>
      </c>
      <c r="BH224" s="49">
        <f t="shared" si="136"/>
        <v>0</v>
      </c>
      <c r="BI224" s="49">
        <f t="shared" si="137"/>
        <v>0</v>
      </c>
      <c r="BJ224" s="49">
        <f t="shared" si="138"/>
        <v>1</v>
      </c>
      <c r="BK224" s="49">
        <f t="shared" si="139"/>
        <v>0</v>
      </c>
      <c r="BL224" s="49">
        <f t="shared" si="140"/>
        <v>0</v>
      </c>
      <c r="BM224" s="49">
        <f t="shared" si="141"/>
        <v>1</v>
      </c>
      <c r="BN224" s="49">
        <f t="shared" si="142"/>
        <v>0</v>
      </c>
      <c r="BO224" s="49">
        <f t="shared" si="143"/>
        <v>0</v>
      </c>
      <c r="BP224" s="49">
        <f t="shared" si="144"/>
        <v>0</v>
      </c>
      <c r="BQ224" s="49">
        <f t="shared" si="145"/>
        <v>1</v>
      </c>
      <c r="BR224" s="49">
        <f t="shared" si="146"/>
        <v>0</v>
      </c>
      <c r="BS224" s="49">
        <f t="shared" si="147"/>
        <v>0</v>
      </c>
      <c r="BT224" s="49">
        <f t="shared" si="148"/>
        <v>0</v>
      </c>
      <c r="BU224" s="49">
        <f t="shared" si="149"/>
        <v>1</v>
      </c>
      <c r="BV224" s="49">
        <f t="shared" si="150"/>
        <v>0</v>
      </c>
      <c r="BW224" s="49">
        <f t="shared" si="151"/>
        <v>0</v>
      </c>
      <c r="BX224" s="49">
        <f t="shared" si="152"/>
        <v>0</v>
      </c>
      <c r="BY224" s="49">
        <f t="shared" si="153"/>
        <v>1</v>
      </c>
      <c r="BZ224" s="49">
        <f t="shared" si="154"/>
        <v>0</v>
      </c>
      <c r="CA224" s="49">
        <f t="shared" si="155"/>
        <v>0</v>
      </c>
      <c r="CB224" s="49">
        <f t="shared" si="156"/>
        <v>1</v>
      </c>
      <c r="CC224" s="49">
        <f t="shared" si="157"/>
        <v>0</v>
      </c>
      <c r="CD224" s="49">
        <f t="shared" si="158"/>
        <v>0</v>
      </c>
      <c r="CE224" s="49">
        <f t="shared" si="159"/>
        <v>0</v>
      </c>
    </row>
    <row r="225" spans="1:83" ht="35.1" customHeight="1" x14ac:dyDescent="0.3">
      <c r="A225" s="123" t="str">
        <f t="shared" si="120"/>
        <v>2팀</v>
      </c>
      <c r="B225" s="69">
        <f t="shared" si="121"/>
        <v>219</v>
      </c>
      <c r="C225" s="120" t="str">
        <f>IF(VLOOKUP($B225,'1. 현장별 인원현황'!$C:$J,2,0)=0,"",VLOOKUP($B225,'1. 현장별 인원현황'!$C:$J,2,0))</f>
        <v xml:space="preserve"> [2.신세계건설] 스타필드 청라 신축공사 전기공사</v>
      </c>
      <c r="D225" s="70" t="str">
        <f>IF(VLOOKUP($B225,'1. 현장별 인원현황'!$C:$J,3,0)=0,"",VLOOKUP($B225,'1. 현장별 인원현황'!$C:$J,3,0))</f>
        <v>김성우</v>
      </c>
      <c r="E225" s="74" t="str">
        <f ca="1">IF(VLOOKUP($B225,'1. 현장별 인원현황'!$C:$J,4,0)=0,"",VLOOKUP($B225,'1. 현장별 인원현황'!$C:$J,4,0))</f>
        <v>54세</v>
      </c>
      <c r="F225" s="70" t="str">
        <f>IF(VLOOKUP($B225,'1. 현장별 인원현황'!$C:$J,7,0)=0,"",VLOOKUP($B225,'1. 현장별 인원현황'!$C:$J,7,0))</f>
        <v>공무</v>
      </c>
      <c r="G225" s="72" t="str">
        <f>IF(VLOOKUP($B225,'1. 현장별 인원현황'!$C:$J,8,0)=0,"",VLOOKUP($B225,'1. 현장별 인원현황'!$C:$J,8,0))</f>
        <v>차장</v>
      </c>
      <c r="H225" s="67"/>
      <c r="I225" s="73"/>
      <c r="J225" s="73" t="s">
        <v>69</v>
      </c>
      <c r="K225" s="68"/>
      <c r="L225" s="67"/>
      <c r="M225" s="73"/>
      <c r="N225" s="73" t="s">
        <v>69</v>
      </c>
      <c r="O225" s="68"/>
      <c r="P225" s="67"/>
      <c r="Q225" s="73"/>
      <c r="R225" s="73" t="s">
        <v>69</v>
      </c>
      <c r="S225" s="68"/>
      <c r="T225" s="67"/>
      <c r="U225" s="73"/>
      <c r="V225" s="73" t="s">
        <v>69</v>
      </c>
      <c r="W225" s="68"/>
      <c r="X225" s="67"/>
      <c r="Y225" s="73" t="s">
        <v>69</v>
      </c>
      <c r="Z225" s="73"/>
      <c r="AA225" s="68"/>
      <c r="AB225" s="67"/>
      <c r="AC225" s="73"/>
      <c r="AD225" s="73" t="s">
        <v>69</v>
      </c>
      <c r="AE225" s="68"/>
      <c r="AF225" s="67"/>
      <c r="AG225" s="73"/>
      <c r="AH225" s="73" t="s">
        <v>69</v>
      </c>
      <c r="AI225" s="68"/>
      <c r="AJ225" s="67"/>
      <c r="AK225" s="73"/>
      <c r="AL225" s="73" t="s">
        <v>69</v>
      </c>
      <c r="AM225" s="68"/>
      <c r="AN225" s="73"/>
      <c r="AO225" s="73" t="s">
        <v>69</v>
      </c>
      <c r="AP225" s="73"/>
      <c r="AQ225" s="68"/>
      <c r="AR225" s="67">
        <f t="shared" si="122"/>
        <v>59</v>
      </c>
      <c r="AS225" s="68" t="str">
        <f t="shared" si="123"/>
        <v>B</v>
      </c>
      <c r="AV225" s="49">
        <f t="shared" si="124"/>
        <v>0</v>
      </c>
      <c r="AW225" s="49">
        <f t="shared" si="125"/>
        <v>0</v>
      </c>
      <c r="AX225" s="49">
        <f t="shared" si="126"/>
        <v>1</v>
      </c>
      <c r="AY225" s="49">
        <f t="shared" si="127"/>
        <v>0</v>
      </c>
      <c r="AZ225" s="49">
        <f t="shared" si="128"/>
        <v>0</v>
      </c>
      <c r="BA225" s="49">
        <f t="shared" si="129"/>
        <v>0</v>
      </c>
      <c r="BB225" s="49">
        <f t="shared" si="130"/>
        <v>1</v>
      </c>
      <c r="BC225" s="49">
        <f t="shared" si="131"/>
        <v>0</v>
      </c>
      <c r="BD225" s="49">
        <f t="shared" si="132"/>
        <v>0</v>
      </c>
      <c r="BE225" s="49">
        <f t="shared" si="133"/>
        <v>0</v>
      </c>
      <c r="BF225" s="49">
        <f t="shared" si="134"/>
        <v>1</v>
      </c>
      <c r="BG225" s="49">
        <f t="shared" si="135"/>
        <v>0</v>
      </c>
      <c r="BH225" s="49">
        <f t="shared" si="136"/>
        <v>0</v>
      </c>
      <c r="BI225" s="49">
        <f t="shared" si="137"/>
        <v>0</v>
      </c>
      <c r="BJ225" s="49">
        <f t="shared" si="138"/>
        <v>1</v>
      </c>
      <c r="BK225" s="49">
        <f t="shared" si="139"/>
        <v>0</v>
      </c>
      <c r="BL225" s="49">
        <f t="shared" si="140"/>
        <v>0</v>
      </c>
      <c r="BM225" s="49">
        <f t="shared" si="141"/>
        <v>1</v>
      </c>
      <c r="BN225" s="49">
        <f t="shared" si="142"/>
        <v>0</v>
      </c>
      <c r="BO225" s="49">
        <f t="shared" si="143"/>
        <v>0</v>
      </c>
      <c r="BP225" s="49">
        <f t="shared" si="144"/>
        <v>0</v>
      </c>
      <c r="BQ225" s="49">
        <f t="shared" si="145"/>
        <v>0</v>
      </c>
      <c r="BR225" s="49">
        <f t="shared" si="146"/>
        <v>1</v>
      </c>
      <c r="BS225" s="49">
        <f t="shared" si="147"/>
        <v>0</v>
      </c>
      <c r="BT225" s="49">
        <f t="shared" si="148"/>
        <v>0</v>
      </c>
      <c r="BU225" s="49">
        <f t="shared" si="149"/>
        <v>0</v>
      </c>
      <c r="BV225" s="49">
        <f t="shared" si="150"/>
        <v>1</v>
      </c>
      <c r="BW225" s="49">
        <f t="shared" si="151"/>
        <v>0</v>
      </c>
      <c r="BX225" s="49">
        <f t="shared" si="152"/>
        <v>0</v>
      </c>
      <c r="BY225" s="49">
        <f t="shared" si="153"/>
        <v>0</v>
      </c>
      <c r="BZ225" s="49">
        <f t="shared" si="154"/>
        <v>1</v>
      </c>
      <c r="CA225" s="49">
        <f t="shared" si="155"/>
        <v>0</v>
      </c>
      <c r="CB225" s="49">
        <f t="shared" si="156"/>
        <v>0</v>
      </c>
      <c r="CC225" s="49">
        <f t="shared" si="157"/>
        <v>1</v>
      </c>
      <c r="CD225" s="49">
        <f t="shared" si="158"/>
        <v>0</v>
      </c>
      <c r="CE225" s="49">
        <f t="shared" si="159"/>
        <v>0</v>
      </c>
    </row>
    <row r="226" spans="1:83" ht="35.1" customHeight="1" x14ac:dyDescent="0.3">
      <c r="A226" s="123" t="str">
        <f t="shared" si="120"/>
        <v>2팀</v>
      </c>
      <c r="B226" s="69">
        <f t="shared" si="121"/>
        <v>220</v>
      </c>
      <c r="C226" s="120" t="str">
        <f>IF(VLOOKUP($B226,'1. 현장별 인원현황'!$C:$J,2,0)=0,"",VLOOKUP($B226,'1. 현장별 인원현황'!$C:$J,2,0))</f>
        <v xml:space="preserve"> [2.신세계건설] 스타필드 청라 신축공사 전기공사</v>
      </c>
      <c r="D226" s="70" t="str">
        <f>IF(VLOOKUP($B226,'1. 현장별 인원현황'!$C:$J,3,0)=0,"",VLOOKUP($B226,'1. 현장별 인원현황'!$C:$J,3,0))</f>
        <v>박동욱</v>
      </c>
      <c r="E226" s="74" t="str">
        <f ca="1">IF(VLOOKUP($B226,'1. 현장별 인원현황'!$C:$J,4,0)=0,"",VLOOKUP($B226,'1. 현장별 인원현황'!$C:$J,4,0))</f>
        <v>55세</v>
      </c>
      <c r="F226" s="70" t="str">
        <f>IF(VLOOKUP($B226,'1. 현장별 인원현황'!$C:$J,7,0)=0,"",VLOOKUP($B226,'1. 현장별 인원현황'!$C:$J,7,0))</f>
        <v>공사</v>
      </c>
      <c r="G226" s="72" t="str">
        <f>IF(VLOOKUP($B226,'1. 현장별 인원현황'!$C:$J,8,0)=0,"",VLOOKUP($B226,'1. 현장별 인원현황'!$C:$J,8,0))</f>
        <v>차장</v>
      </c>
      <c r="H226" s="67"/>
      <c r="I226" s="73" t="s">
        <v>69</v>
      </c>
      <c r="J226" s="73"/>
      <c r="K226" s="68"/>
      <c r="L226" s="67"/>
      <c r="M226" s="73" t="s">
        <v>69</v>
      </c>
      <c r="N226" s="73"/>
      <c r="O226" s="68"/>
      <c r="P226" s="67"/>
      <c r="Q226" s="73" t="s">
        <v>69</v>
      </c>
      <c r="R226" s="73"/>
      <c r="S226" s="68"/>
      <c r="T226" s="67"/>
      <c r="U226" s="73" t="s">
        <v>69</v>
      </c>
      <c r="V226" s="73"/>
      <c r="W226" s="68"/>
      <c r="X226" s="67"/>
      <c r="Y226" s="73" t="s">
        <v>69</v>
      </c>
      <c r="Z226" s="73"/>
      <c r="AA226" s="68"/>
      <c r="AB226" s="67"/>
      <c r="AC226" s="73" t="s">
        <v>69</v>
      </c>
      <c r="AD226" s="73"/>
      <c r="AE226" s="68"/>
      <c r="AF226" s="67"/>
      <c r="AG226" s="73"/>
      <c r="AH226" s="73" t="s">
        <v>69</v>
      </c>
      <c r="AI226" s="68"/>
      <c r="AJ226" s="67"/>
      <c r="AK226" s="73"/>
      <c r="AL226" s="73" t="s">
        <v>69</v>
      </c>
      <c r="AM226" s="68"/>
      <c r="AN226" s="73"/>
      <c r="AO226" s="73" t="s">
        <v>69</v>
      </c>
      <c r="AP226" s="73"/>
      <c r="AQ226" s="68"/>
      <c r="AR226" s="67">
        <f t="shared" si="122"/>
        <v>72</v>
      </c>
      <c r="AS226" s="68" t="str">
        <f t="shared" si="123"/>
        <v>A</v>
      </c>
      <c r="AV226" s="49">
        <f t="shared" si="124"/>
        <v>0</v>
      </c>
      <c r="AW226" s="49">
        <f t="shared" si="125"/>
        <v>1</v>
      </c>
      <c r="AX226" s="49">
        <f t="shared" si="126"/>
        <v>0</v>
      </c>
      <c r="AY226" s="49">
        <f t="shared" si="127"/>
        <v>0</v>
      </c>
      <c r="AZ226" s="49">
        <f t="shared" si="128"/>
        <v>0</v>
      </c>
      <c r="BA226" s="49">
        <f t="shared" si="129"/>
        <v>1</v>
      </c>
      <c r="BB226" s="49">
        <f t="shared" si="130"/>
        <v>0</v>
      </c>
      <c r="BC226" s="49">
        <f t="shared" si="131"/>
        <v>0</v>
      </c>
      <c r="BD226" s="49">
        <f t="shared" si="132"/>
        <v>0</v>
      </c>
      <c r="BE226" s="49">
        <f t="shared" si="133"/>
        <v>1</v>
      </c>
      <c r="BF226" s="49">
        <f t="shared" si="134"/>
        <v>0</v>
      </c>
      <c r="BG226" s="49">
        <f t="shared" si="135"/>
        <v>0</v>
      </c>
      <c r="BH226" s="49">
        <f t="shared" si="136"/>
        <v>0</v>
      </c>
      <c r="BI226" s="49">
        <f t="shared" si="137"/>
        <v>1</v>
      </c>
      <c r="BJ226" s="49">
        <f t="shared" si="138"/>
        <v>0</v>
      </c>
      <c r="BK226" s="49">
        <f t="shared" si="139"/>
        <v>0</v>
      </c>
      <c r="BL226" s="49">
        <f t="shared" si="140"/>
        <v>0</v>
      </c>
      <c r="BM226" s="49">
        <f t="shared" si="141"/>
        <v>1</v>
      </c>
      <c r="BN226" s="49">
        <f t="shared" si="142"/>
        <v>0</v>
      </c>
      <c r="BO226" s="49">
        <f t="shared" si="143"/>
        <v>0</v>
      </c>
      <c r="BP226" s="49">
        <f t="shared" si="144"/>
        <v>0</v>
      </c>
      <c r="BQ226" s="49">
        <f t="shared" si="145"/>
        <v>1</v>
      </c>
      <c r="BR226" s="49">
        <f t="shared" si="146"/>
        <v>0</v>
      </c>
      <c r="BS226" s="49">
        <f t="shared" si="147"/>
        <v>0</v>
      </c>
      <c r="BT226" s="49">
        <f t="shared" si="148"/>
        <v>0</v>
      </c>
      <c r="BU226" s="49">
        <f t="shared" si="149"/>
        <v>0</v>
      </c>
      <c r="BV226" s="49">
        <f t="shared" si="150"/>
        <v>1</v>
      </c>
      <c r="BW226" s="49">
        <f t="shared" si="151"/>
        <v>0</v>
      </c>
      <c r="BX226" s="49">
        <f t="shared" si="152"/>
        <v>0</v>
      </c>
      <c r="BY226" s="49">
        <f t="shared" si="153"/>
        <v>0</v>
      </c>
      <c r="BZ226" s="49">
        <f t="shared" si="154"/>
        <v>1</v>
      </c>
      <c r="CA226" s="49">
        <f t="shared" si="155"/>
        <v>0</v>
      </c>
      <c r="CB226" s="49">
        <f t="shared" si="156"/>
        <v>0</v>
      </c>
      <c r="CC226" s="49">
        <f t="shared" si="157"/>
        <v>1</v>
      </c>
      <c r="CD226" s="49">
        <f t="shared" si="158"/>
        <v>0</v>
      </c>
      <c r="CE226" s="49">
        <f t="shared" si="159"/>
        <v>0</v>
      </c>
    </row>
    <row r="227" spans="1:83" ht="35.1" customHeight="1" x14ac:dyDescent="0.3">
      <c r="A227" s="123" t="str">
        <f t="shared" si="120"/>
        <v>2팀</v>
      </c>
      <c r="B227" s="69">
        <f t="shared" si="121"/>
        <v>221</v>
      </c>
      <c r="C227" s="120" t="str">
        <f>IF(VLOOKUP($B227,'1. 현장별 인원현황'!$C:$J,2,0)=0,"",VLOOKUP($B227,'1. 현장별 인원현황'!$C:$J,2,0))</f>
        <v xml:space="preserve"> [2.신세계건설] 스타필드 청라 신축공사 전기공사</v>
      </c>
      <c r="D227" s="70" t="str">
        <f>IF(VLOOKUP($B227,'1. 현장별 인원현황'!$C:$J,3,0)=0,"",VLOOKUP($B227,'1. 현장별 인원현황'!$C:$J,3,0))</f>
        <v>김대범</v>
      </c>
      <c r="E227" s="74" t="str">
        <f ca="1">IF(VLOOKUP($B227,'1. 현장별 인원현황'!$C:$J,4,0)=0,"",VLOOKUP($B227,'1. 현장별 인원현황'!$C:$J,4,0))</f>
        <v>47세</v>
      </c>
      <c r="F227" s="70" t="str">
        <f>IF(VLOOKUP($B227,'1. 현장별 인원현황'!$C:$J,7,0)=0,"",VLOOKUP($B227,'1. 현장별 인원현황'!$C:$J,7,0))</f>
        <v>안전관리자</v>
      </c>
      <c r="G227" s="72" t="str">
        <f>IF(VLOOKUP($B227,'1. 현장별 인원현황'!$C:$J,8,0)=0,"",VLOOKUP($B227,'1. 현장별 인원현황'!$C:$J,8,0))</f>
        <v>차장</v>
      </c>
      <c r="H227" s="67"/>
      <c r="I227" s="73"/>
      <c r="J227" s="73" t="s">
        <v>69</v>
      </c>
      <c r="K227" s="68"/>
      <c r="L227" s="67"/>
      <c r="M227" s="73"/>
      <c r="N227" s="73" t="s">
        <v>69</v>
      </c>
      <c r="O227" s="68"/>
      <c r="P227" s="67"/>
      <c r="Q227" s="73"/>
      <c r="R227" s="73" t="s">
        <v>69</v>
      </c>
      <c r="S227" s="68"/>
      <c r="T227" s="67"/>
      <c r="U227" s="73"/>
      <c r="V227" s="73" t="s">
        <v>69</v>
      </c>
      <c r="W227" s="68"/>
      <c r="X227" s="67"/>
      <c r="Y227" s="73" t="s">
        <v>69</v>
      </c>
      <c r="Z227" s="73"/>
      <c r="AA227" s="68"/>
      <c r="AB227" s="67"/>
      <c r="AC227" s="73" t="s">
        <v>69</v>
      </c>
      <c r="AD227" s="73"/>
      <c r="AE227" s="68"/>
      <c r="AF227" s="67"/>
      <c r="AG227" s="73"/>
      <c r="AH227" s="73" t="s">
        <v>69</v>
      </c>
      <c r="AI227" s="68"/>
      <c r="AJ227" s="67"/>
      <c r="AK227" s="73"/>
      <c r="AL227" s="73" t="s">
        <v>69</v>
      </c>
      <c r="AM227" s="68"/>
      <c r="AN227" s="73" t="s">
        <v>69</v>
      </c>
      <c r="AO227" s="73"/>
      <c r="AP227" s="73"/>
      <c r="AQ227" s="68"/>
      <c r="AR227" s="67">
        <f t="shared" si="122"/>
        <v>64</v>
      </c>
      <c r="AS227" s="68" t="str">
        <f t="shared" si="123"/>
        <v>B</v>
      </c>
      <c r="AV227" s="49">
        <f t="shared" si="124"/>
        <v>0</v>
      </c>
      <c r="AW227" s="49">
        <f t="shared" si="125"/>
        <v>0</v>
      </c>
      <c r="AX227" s="49">
        <f t="shared" si="126"/>
        <v>1</v>
      </c>
      <c r="AY227" s="49">
        <f t="shared" si="127"/>
        <v>0</v>
      </c>
      <c r="AZ227" s="49">
        <f t="shared" si="128"/>
        <v>0</v>
      </c>
      <c r="BA227" s="49">
        <f t="shared" si="129"/>
        <v>0</v>
      </c>
      <c r="BB227" s="49">
        <f t="shared" si="130"/>
        <v>1</v>
      </c>
      <c r="BC227" s="49">
        <f t="shared" si="131"/>
        <v>0</v>
      </c>
      <c r="BD227" s="49">
        <f t="shared" si="132"/>
        <v>0</v>
      </c>
      <c r="BE227" s="49">
        <f t="shared" si="133"/>
        <v>0</v>
      </c>
      <c r="BF227" s="49">
        <f t="shared" si="134"/>
        <v>1</v>
      </c>
      <c r="BG227" s="49">
        <f t="shared" si="135"/>
        <v>0</v>
      </c>
      <c r="BH227" s="49">
        <f t="shared" si="136"/>
        <v>0</v>
      </c>
      <c r="BI227" s="49">
        <f t="shared" si="137"/>
        <v>0</v>
      </c>
      <c r="BJ227" s="49">
        <f t="shared" si="138"/>
        <v>1</v>
      </c>
      <c r="BK227" s="49">
        <f t="shared" si="139"/>
        <v>0</v>
      </c>
      <c r="BL227" s="49">
        <f t="shared" si="140"/>
        <v>0</v>
      </c>
      <c r="BM227" s="49">
        <f t="shared" si="141"/>
        <v>1</v>
      </c>
      <c r="BN227" s="49">
        <f t="shared" si="142"/>
        <v>0</v>
      </c>
      <c r="BO227" s="49">
        <f t="shared" si="143"/>
        <v>0</v>
      </c>
      <c r="BP227" s="49">
        <f t="shared" si="144"/>
        <v>0</v>
      </c>
      <c r="BQ227" s="49">
        <f t="shared" si="145"/>
        <v>1</v>
      </c>
      <c r="BR227" s="49">
        <f t="shared" si="146"/>
        <v>0</v>
      </c>
      <c r="BS227" s="49">
        <f t="shared" si="147"/>
        <v>0</v>
      </c>
      <c r="BT227" s="49">
        <f t="shared" si="148"/>
        <v>0</v>
      </c>
      <c r="BU227" s="49">
        <f t="shared" si="149"/>
        <v>0</v>
      </c>
      <c r="BV227" s="49">
        <f t="shared" si="150"/>
        <v>1</v>
      </c>
      <c r="BW227" s="49">
        <f t="shared" si="151"/>
        <v>0</v>
      </c>
      <c r="BX227" s="49">
        <f t="shared" si="152"/>
        <v>0</v>
      </c>
      <c r="BY227" s="49">
        <f t="shared" si="153"/>
        <v>0</v>
      </c>
      <c r="BZ227" s="49">
        <f t="shared" si="154"/>
        <v>1</v>
      </c>
      <c r="CA227" s="49">
        <f t="shared" si="155"/>
        <v>0</v>
      </c>
      <c r="CB227" s="49">
        <f t="shared" si="156"/>
        <v>1</v>
      </c>
      <c r="CC227" s="49">
        <f t="shared" si="157"/>
        <v>0</v>
      </c>
      <c r="CD227" s="49">
        <f t="shared" si="158"/>
        <v>0</v>
      </c>
      <c r="CE227" s="49">
        <f t="shared" si="159"/>
        <v>0</v>
      </c>
    </row>
    <row r="228" spans="1:83" ht="35.1" customHeight="1" x14ac:dyDescent="0.3">
      <c r="A228" s="123" t="str">
        <f t="shared" si="120"/>
        <v>2팀</v>
      </c>
      <c r="B228" s="69">
        <f t="shared" si="121"/>
        <v>222</v>
      </c>
      <c r="C228" s="120" t="str">
        <f>IF(VLOOKUP($B228,'1. 현장별 인원현황'!$C:$J,2,0)=0,"",VLOOKUP($B228,'1. 현장별 인원현황'!$C:$J,2,0))</f>
        <v xml:space="preserve"> [2.신세계건설] 스타필드 청라 신축공사 전기공사</v>
      </c>
      <c r="D228" s="70" t="str">
        <f>IF(VLOOKUP($B228,'1. 현장별 인원현황'!$C:$J,3,0)=0,"",VLOOKUP($B228,'1. 현장별 인원현황'!$C:$J,3,0))</f>
        <v>김점수</v>
      </c>
      <c r="E228" s="74" t="str">
        <f ca="1">IF(VLOOKUP($B228,'1. 현장별 인원현황'!$C:$J,4,0)=0,"",VLOOKUP($B228,'1. 현장별 인원현황'!$C:$J,4,0))</f>
        <v>60세</v>
      </c>
      <c r="F228" s="70" t="str">
        <f>IF(VLOOKUP($B228,'1. 현장별 인원현황'!$C:$J,7,0)=0,"",VLOOKUP($B228,'1. 현장별 인원현황'!$C:$J,7,0))</f>
        <v>기능공</v>
      </c>
      <c r="G228" s="72" t="str">
        <f>IF(VLOOKUP($B228,'1. 현장별 인원현황'!$C:$J,8,0)=0,"",VLOOKUP($B228,'1. 현장별 인원현황'!$C:$J,8,0))</f>
        <v>전공</v>
      </c>
      <c r="H228" s="67"/>
      <c r="I228" s="73"/>
      <c r="J228" s="73" t="s">
        <v>69</v>
      </c>
      <c r="K228" s="68"/>
      <c r="L228" s="67"/>
      <c r="M228" s="73" t="s">
        <v>69</v>
      </c>
      <c r="N228" s="73"/>
      <c r="O228" s="68"/>
      <c r="P228" s="67"/>
      <c r="Q228" s="73"/>
      <c r="R228" s="73" t="s">
        <v>69</v>
      </c>
      <c r="S228" s="68"/>
      <c r="T228" s="67"/>
      <c r="U228" s="73"/>
      <c r="V228" s="73" t="s">
        <v>69</v>
      </c>
      <c r="W228" s="68"/>
      <c r="X228" s="67"/>
      <c r="Y228" s="73" t="s">
        <v>69</v>
      </c>
      <c r="Z228" s="73"/>
      <c r="AA228" s="68"/>
      <c r="AB228" s="67"/>
      <c r="AC228" s="73" t="s">
        <v>69</v>
      </c>
      <c r="AD228" s="73"/>
      <c r="AE228" s="68"/>
      <c r="AF228" s="67"/>
      <c r="AG228" s="73" t="s">
        <v>69</v>
      </c>
      <c r="AH228" s="73"/>
      <c r="AI228" s="68"/>
      <c r="AJ228" s="67"/>
      <c r="AK228" s="73" t="s">
        <v>69</v>
      </c>
      <c r="AL228" s="73"/>
      <c r="AM228" s="68"/>
      <c r="AN228" s="73" t="s">
        <v>69</v>
      </c>
      <c r="AO228" s="73"/>
      <c r="AP228" s="73"/>
      <c r="AQ228" s="68"/>
      <c r="AR228" s="67">
        <f t="shared" si="122"/>
        <v>72</v>
      </c>
      <c r="AS228" s="68" t="str">
        <f t="shared" si="123"/>
        <v>A</v>
      </c>
      <c r="AV228" s="49">
        <f t="shared" si="124"/>
        <v>0</v>
      </c>
      <c r="AW228" s="49">
        <f t="shared" si="125"/>
        <v>0</v>
      </c>
      <c r="AX228" s="49">
        <f t="shared" si="126"/>
        <v>1</v>
      </c>
      <c r="AY228" s="49">
        <f t="shared" si="127"/>
        <v>0</v>
      </c>
      <c r="AZ228" s="49">
        <f t="shared" si="128"/>
        <v>0</v>
      </c>
      <c r="BA228" s="49">
        <f t="shared" si="129"/>
        <v>1</v>
      </c>
      <c r="BB228" s="49">
        <f t="shared" si="130"/>
        <v>0</v>
      </c>
      <c r="BC228" s="49">
        <f t="shared" si="131"/>
        <v>0</v>
      </c>
      <c r="BD228" s="49">
        <f t="shared" si="132"/>
        <v>0</v>
      </c>
      <c r="BE228" s="49">
        <f t="shared" si="133"/>
        <v>0</v>
      </c>
      <c r="BF228" s="49">
        <f t="shared" si="134"/>
        <v>1</v>
      </c>
      <c r="BG228" s="49">
        <f t="shared" si="135"/>
        <v>0</v>
      </c>
      <c r="BH228" s="49">
        <f t="shared" si="136"/>
        <v>0</v>
      </c>
      <c r="BI228" s="49">
        <f t="shared" si="137"/>
        <v>0</v>
      </c>
      <c r="BJ228" s="49">
        <f t="shared" si="138"/>
        <v>1</v>
      </c>
      <c r="BK228" s="49">
        <f t="shared" si="139"/>
        <v>0</v>
      </c>
      <c r="BL228" s="49">
        <f t="shared" si="140"/>
        <v>0</v>
      </c>
      <c r="BM228" s="49">
        <f t="shared" si="141"/>
        <v>1</v>
      </c>
      <c r="BN228" s="49">
        <f t="shared" si="142"/>
        <v>0</v>
      </c>
      <c r="BO228" s="49">
        <f t="shared" si="143"/>
        <v>0</v>
      </c>
      <c r="BP228" s="49">
        <f t="shared" si="144"/>
        <v>0</v>
      </c>
      <c r="BQ228" s="49">
        <f t="shared" si="145"/>
        <v>1</v>
      </c>
      <c r="BR228" s="49">
        <f t="shared" si="146"/>
        <v>0</v>
      </c>
      <c r="BS228" s="49">
        <f t="shared" si="147"/>
        <v>0</v>
      </c>
      <c r="BT228" s="49">
        <f t="shared" si="148"/>
        <v>0</v>
      </c>
      <c r="BU228" s="49">
        <f t="shared" si="149"/>
        <v>1</v>
      </c>
      <c r="BV228" s="49">
        <f t="shared" si="150"/>
        <v>0</v>
      </c>
      <c r="BW228" s="49">
        <f t="shared" si="151"/>
        <v>0</v>
      </c>
      <c r="BX228" s="49">
        <f t="shared" si="152"/>
        <v>0</v>
      </c>
      <c r="BY228" s="49">
        <f t="shared" si="153"/>
        <v>1</v>
      </c>
      <c r="BZ228" s="49">
        <f t="shared" si="154"/>
        <v>0</v>
      </c>
      <c r="CA228" s="49">
        <f t="shared" si="155"/>
        <v>0</v>
      </c>
      <c r="CB228" s="49">
        <f t="shared" si="156"/>
        <v>1</v>
      </c>
      <c r="CC228" s="49">
        <f t="shared" si="157"/>
        <v>0</v>
      </c>
      <c r="CD228" s="49">
        <f t="shared" si="158"/>
        <v>0</v>
      </c>
      <c r="CE228" s="49">
        <f t="shared" si="159"/>
        <v>0</v>
      </c>
    </row>
    <row r="229" spans="1:83" ht="35.1" customHeight="1" x14ac:dyDescent="0.3">
      <c r="A229" s="123" t="str">
        <f t="shared" si="120"/>
        <v>2팀</v>
      </c>
      <c r="B229" s="69">
        <f t="shared" si="121"/>
        <v>223</v>
      </c>
      <c r="C229" s="120" t="str">
        <f>IF(VLOOKUP($B229,'1. 현장별 인원현황'!$C:$J,2,0)=0,"",VLOOKUP($B229,'1. 현장별 인원현황'!$C:$J,2,0))</f>
        <v xml:space="preserve"> [2.신세계건설] 스타필드 청라 신축공사 전기공사</v>
      </c>
      <c r="D229" s="70" t="str">
        <f>IF(VLOOKUP($B229,'1. 현장별 인원현황'!$C:$J,3,0)=0,"",VLOOKUP($B229,'1. 현장별 인원현황'!$C:$J,3,0))</f>
        <v>최장윤</v>
      </c>
      <c r="E229" s="74" t="str">
        <f ca="1">IF(VLOOKUP($B229,'1. 현장별 인원현황'!$C:$J,4,0)=0,"",VLOOKUP($B229,'1. 현장별 인원현황'!$C:$J,4,0))</f>
        <v>50세</v>
      </c>
      <c r="F229" s="70" t="str">
        <f>IF(VLOOKUP($B229,'1. 현장별 인원현황'!$C:$J,7,0)=0,"",VLOOKUP($B229,'1. 현장별 인원현황'!$C:$J,7,0))</f>
        <v>기능공</v>
      </c>
      <c r="G229" s="72" t="str">
        <f>IF(VLOOKUP($B229,'1. 현장별 인원현황'!$C:$J,8,0)=0,"",VLOOKUP($B229,'1. 현장별 인원현황'!$C:$J,8,0))</f>
        <v>전공</v>
      </c>
      <c r="H229" s="67"/>
      <c r="I229" s="73"/>
      <c r="J229" s="73" t="s">
        <v>69</v>
      </c>
      <c r="K229" s="68"/>
      <c r="L229" s="67"/>
      <c r="M229" s="73" t="s">
        <v>69</v>
      </c>
      <c r="N229" s="73"/>
      <c r="O229" s="68"/>
      <c r="P229" s="67"/>
      <c r="Q229" s="73"/>
      <c r="R229" s="73" t="s">
        <v>69</v>
      </c>
      <c r="S229" s="68"/>
      <c r="T229" s="67"/>
      <c r="U229" s="73" t="s">
        <v>69</v>
      </c>
      <c r="V229" s="73"/>
      <c r="W229" s="68"/>
      <c r="X229" s="67"/>
      <c r="Y229" s="73" t="s">
        <v>69</v>
      </c>
      <c r="Z229" s="73"/>
      <c r="AA229" s="68"/>
      <c r="AB229" s="67"/>
      <c r="AC229" s="73" t="s">
        <v>69</v>
      </c>
      <c r="AD229" s="73"/>
      <c r="AE229" s="68"/>
      <c r="AF229" s="67"/>
      <c r="AG229" s="73" t="s">
        <v>69</v>
      </c>
      <c r="AH229" s="73"/>
      <c r="AI229" s="68"/>
      <c r="AJ229" s="67"/>
      <c r="AK229" s="73" t="s">
        <v>69</v>
      </c>
      <c r="AL229" s="73"/>
      <c r="AM229" s="68"/>
      <c r="AN229" s="73" t="s">
        <v>69</v>
      </c>
      <c r="AO229" s="73"/>
      <c r="AP229" s="73"/>
      <c r="AQ229" s="68"/>
      <c r="AR229" s="67">
        <f t="shared" si="122"/>
        <v>74</v>
      </c>
      <c r="AS229" s="68" t="str">
        <f t="shared" si="123"/>
        <v>A</v>
      </c>
      <c r="AV229" s="49">
        <f t="shared" si="124"/>
        <v>0</v>
      </c>
      <c r="AW229" s="49">
        <f t="shared" si="125"/>
        <v>0</v>
      </c>
      <c r="AX229" s="49">
        <f t="shared" si="126"/>
        <v>1</v>
      </c>
      <c r="AY229" s="49">
        <f t="shared" si="127"/>
        <v>0</v>
      </c>
      <c r="AZ229" s="49">
        <f t="shared" si="128"/>
        <v>0</v>
      </c>
      <c r="BA229" s="49">
        <f t="shared" si="129"/>
        <v>1</v>
      </c>
      <c r="BB229" s="49">
        <f t="shared" si="130"/>
        <v>0</v>
      </c>
      <c r="BC229" s="49">
        <f t="shared" si="131"/>
        <v>0</v>
      </c>
      <c r="BD229" s="49">
        <f t="shared" si="132"/>
        <v>0</v>
      </c>
      <c r="BE229" s="49">
        <f t="shared" si="133"/>
        <v>0</v>
      </c>
      <c r="BF229" s="49">
        <f t="shared" si="134"/>
        <v>1</v>
      </c>
      <c r="BG229" s="49">
        <f t="shared" si="135"/>
        <v>0</v>
      </c>
      <c r="BH229" s="49">
        <f t="shared" si="136"/>
        <v>0</v>
      </c>
      <c r="BI229" s="49">
        <f t="shared" si="137"/>
        <v>1</v>
      </c>
      <c r="BJ229" s="49">
        <f t="shared" si="138"/>
        <v>0</v>
      </c>
      <c r="BK229" s="49">
        <f t="shared" si="139"/>
        <v>0</v>
      </c>
      <c r="BL229" s="49">
        <f t="shared" si="140"/>
        <v>0</v>
      </c>
      <c r="BM229" s="49">
        <f t="shared" si="141"/>
        <v>1</v>
      </c>
      <c r="BN229" s="49">
        <f t="shared" si="142"/>
        <v>0</v>
      </c>
      <c r="BO229" s="49">
        <f t="shared" si="143"/>
        <v>0</v>
      </c>
      <c r="BP229" s="49">
        <f t="shared" si="144"/>
        <v>0</v>
      </c>
      <c r="BQ229" s="49">
        <f t="shared" si="145"/>
        <v>1</v>
      </c>
      <c r="BR229" s="49">
        <f t="shared" si="146"/>
        <v>0</v>
      </c>
      <c r="BS229" s="49">
        <f t="shared" si="147"/>
        <v>0</v>
      </c>
      <c r="BT229" s="49">
        <f t="shared" si="148"/>
        <v>0</v>
      </c>
      <c r="BU229" s="49">
        <f t="shared" si="149"/>
        <v>1</v>
      </c>
      <c r="BV229" s="49">
        <f t="shared" si="150"/>
        <v>0</v>
      </c>
      <c r="BW229" s="49">
        <f t="shared" si="151"/>
        <v>0</v>
      </c>
      <c r="BX229" s="49">
        <f t="shared" si="152"/>
        <v>0</v>
      </c>
      <c r="BY229" s="49">
        <f t="shared" si="153"/>
        <v>1</v>
      </c>
      <c r="BZ229" s="49">
        <f t="shared" si="154"/>
        <v>0</v>
      </c>
      <c r="CA229" s="49">
        <f t="shared" si="155"/>
        <v>0</v>
      </c>
      <c r="CB229" s="49">
        <f t="shared" si="156"/>
        <v>1</v>
      </c>
      <c r="CC229" s="49">
        <f t="shared" si="157"/>
        <v>0</v>
      </c>
      <c r="CD229" s="49">
        <f t="shared" si="158"/>
        <v>0</v>
      </c>
      <c r="CE229" s="49">
        <f t="shared" si="159"/>
        <v>0</v>
      </c>
    </row>
    <row r="230" spans="1:83" ht="35.1" customHeight="1" x14ac:dyDescent="0.3">
      <c r="A230" s="123" t="str">
        <f t="shared" si="120"/>
        <v>2팀</v>
      </c>
      <c r="B230" s="69">
        <f t="shared" si="121"/>
        <v>224</v>
      </c>
      <c r="C230" s="120" t="str">
        <f>IF(VLOOKUP($B230,'1. 현장별 인원현황'!$C:$J,2,0)=0,"",VLOOKUP($B230,'1. 현장별 인원현황'!$C:$J,2,0))</f>
        <v xml:space="preserve"> [2.신세계건설] 스타필드 청라 신축공사 전기공사</v>
      </c>
      <c r="D230" s="70" t="str">
        <f>IF(VLOOKUP($B230,'1. 현장별 인원현황'!$C:$J,3,0)=0,"",VLOOKUP($B230,'1. 현장별 인원현황'!$C:$J,3,0))</f>
        <v>강동길</v>
      </c>
      <c r="E230" s="74" t="str">
        <f ca="1">IF(VLOOKUP($B230,'1. 현장별 인원현황'!$C:$J,4,0)=0,"",VLOOKUP($B230,'1. 현장별 인원현황'!$C:$J,4,0))</f>
        <v>52세</v>
      </c>
      <c r="F230" s="70" t="str">
        <f>IF(VLOOKUP($B230,'1. 현장별 인원현황'!$C:$J,7,0)=0,"",VLOOKUP($B230,'1. 현장별 인원현황'!$C:$J,7,0))</f>
        <v>기능공</v>
      </c>
      <c r="G230" s="72" t="str">
        <f>IF(VLOOKUP($B230,'1. 현장별 인원현황'!$C:$J,8,0)=0,"",VLOOKUP($B230,'1. 현장별 인원현황'!$C:$J,8,0))</f>
        <v>전공</v>
      </c>
      <c r="H230" s="67"/>
      <c r="I230" s="73" t="s">
        <v>69</v>
      </c>
      <c r="J230" s="73"/>
      <c r="K230" s="68"/>
      <c r="L230" s="67" t="s">
        <v>69</v>
      </c>
      <c r="M230" s="73"/>
      <c r="N230" s="73"/>
      <c r="O230" s="68"/>
      <c r="P230" s="67"/>
      <c r="Q230" s="73" t="s">
        <v>69</v>
      </c>
      <c r="R230" s="73"/>
      <c r="S230" s="68"/>
      <c r="T230" s="67"/>
      <c r="U230" s="73" t="s">
        <v>69</v>
      </c>
      <c r="V230" s="73"/>
      <c r="W230" s="68"/>
      <c r="X230" s="67"/>
      <c r="Y230" s="73" t="s">
        <v>69</v>
      </c>
      <c r="Z230" s="73"/>
      <c r="AA230" s="68"/>
      <c r="AB230" s="67"/>
      <c r="AC230" s="73" t="s">
        <v>69</v>
      </c>
      <c r="AD230" s="73"/>
      <c r="AE230" s="68"/>
      <c r="AF230" s="67"/>
      <c r="AG230" s="73" t="s">
        <v>69</v>
      </c>
      <c r="AH230" s="73"/>
      <c r="AI230" s="68"/>
      <c r="AJ230" s="67"/>
      <c r="AK230" s="73" t="s">
        <v>69</v>
      </c>
      <c r="AL230" s="73"/>
      <c r="AM230" s="68"/>
      <c r="AN230" s="73" t="s">
        <v>69</v>
      </c>
      <c r="AO230" s="73"/>
      <c r="AP230" s="73"/>
      <c r="AQ230" s="68"/>
      <c r="AR230" s="67">
        <f t="shared" si="122"/>
        <v>83</v>
      </c>
      <c r="AS230" s="68" t="str">
        <f t="shared" si="123"/>
        <v>A</v>
      </c>
      <c r="AV230" s="49">
        <f t="shared" si="124"/>
        <v>0</v>
      </c>
      <c r="AW230" s="49">
        <f t="shared" si="125"/>
        <v>1</v>
      </c>
      <c r="AX230" s="49">
        <f t="shared" si="126"/>
        <v>0</v>
      </c>
      <c r="AY230" s="49">
        <f t="shared" si="127"/>
        <v>0</v>
      </c>
      <c r="AZ230" s="49">
        <f t="shared" si="128"/>
        <v>1</v>
      </c>
      <c r="BA230" s="49">
        <f t="shared" si="129"/>
        <v>0</v>
      </c>
      <c r="BB230" s="49">
        <f t="shared" si="130"/>
        <v>0</v>
      </c>
      <c r="BC230" s="49">
        <f t="shared" si="131"/>
        <v>0</v>
      </c>
      <c r="BD230" s="49">
        <f t="shared" si="132"/>
        <v>0</v>
      </c>
      <c r="BE230" s="49">
        <f t="shared" si="133"/>
        <v>1</v>
      </c>
      <c r="BF230" s="49">
        <f t="shared" si="134"/>
        <v>0</v>
      </c>
      <c r="BG230" s="49">
        <f t="shared" si="135"/>
        <v>0</v>
      </c>
      <c r="BH230" s="49">
        <f t="shared" si="136"/>
        <v>0</v>
      </c>
      <c r="BI230" s="49">
        <f t="shared" si="137"/>
        <v>1</v>
      </c>
      <c r="BJ230" s="49">
        <f t="shared" si="138"/>
        <v>0</v>
      </c>
      <c r="BK230" s="49">
        <f t="shared" si="139"/>
        <v>0</v>
      </c>
      <c r="BL230" s="49">
        <f t="shared" si="140"/>
        <v>0</v>
      </c>
      <c r="BM230" s="49">
        <f t="shared" si="141"/>
        <v>1</v>
      </c>
      <c r="BN230" s="49">
        <f t="shared" si="142"/>
        <v>0</v>
      </c>
      <c r="BO230" s="49">
        <f t="shared" si="143"/>
        <v>0</v>
      </c>
      <c r="BP230" s="49">
        <f t="shared" si="144"/>
        <v>0</v>
      </c>
      <c r="BQ230" s="49">
        <f t="shared" si="145"/>
        <v>1</v>
      </c>
      <c r="BR230" s="49">
        <f t="shared" si="146"/>
        <v>0</v>
      </c>
      <c r="BS230" s="49">
        <f t="shared" si="147"/>
        <v>0</v>
      </c>
      <c r="BT230" s="49">
        <f t="shared" si="148"/>
        <v>0</v>
      </c>
      <c r="BU230" s="49">
        <f t="shared" si="149"/>
        <v>1</v>
      </c>
      <c r="BV230" s="49">
        <f t="shared" si="150"/>
        <v>0</v>
      </c>
      <c r="BW230" s="49">
        <f t="shared" si="151"/>
        <v>0</v>
      </c>
      <c r="BX230" s="49">
        <f t="shared" si="152"/>
        <v>0</v>
      </c>
      <c r="BY230" s="49">
        <f t="shared" si="153"/>
        <v>1</v>
      </c>
      <c r="BZ230" s="49">
        <f t="shared" si="154"/>
        <v>0</v>
      </c>
      <c r="CA230" s="49">
        <f t="shared" si="155"/>
        <v>0</v>
      </c>
      <c r="CB230" s="49">
        <f t="shared" si="156"/>
        <v>1</v>
      </c>
      <c r="CC230" s="49">
        <f t="shared" si="157"/>
        <v>0</v>
      </c>
      <c r="CD230" s="49">
        <f t="shared" si="158"/>
        <v>0</v>
      </c>
      <c r="CE230" s="49">
        <f t="shared" si="159"/>
        <v>0</v>
      </c>
    </row>
    <row r="231" spans="1:83" ht="35.1" customHeight="1" x14ac:dyDescent="0.3">
      <c r="A231" s="123" t="str">
        <f t="shared" si="120"/>
        <v>2팀</v>
      </c>
      <c r="B231" s="69">
        <f t="shared" si="121"/>
        <v>225</v>
      </c>
      <c r="C231" s="120" t="str">
        <f>IF(VLOOKUP($B231,'1. 현장별 인원현황'!$C:$J,2,0)=0,"",VLOOKUP($B231,'1. 현장별 인원현황'!$C:$J,2,0))</f>
        <v xml:space="preserve"> [2.신세계건설] 스타필드 청라 신축공사 전기공사</v>
      </c>
      <c r="D231" s="70" t="str">
        <f>IF(VLOOKUP($B231,'1. 현장별 인원현황'!$C:$J,3,0)=0,"",VLOOKUP($B231,'1. 현장별 인원현황'!$C:$J,3,0))</f>
        <v>김태언</v>
      </c>
      <c r="E231" s="74" t="str">
        <f ca="1">IF(VLOOKUP($B231,'1. 현장별 인원현황'!$C:$J,4,0)=0,"",VLOOKUP($B231,'1. 현장별 인원현황'!$C:$J,4,0))</f>
        <v>58세</v>
      </c>
      <c r="F231" s="70" t="str">
        <f>IF(VLOOKUP($B231,'1. 현장별 인원현황'!$C:$J,7,0)=0,"",VLOOKUP($B231,'1. 현장별 인원현황'!$C:$J,7,0))</f>
        <v>기능공</v>
      </c>
      <c r="G231" s="72" t="str">
        <f>IF(VLOOKUP($B231,'1. 현장별 인원현황'!$C:$J,8,0)=0,"",VLOOKUP($B231,'1. 현장별 인원현황'!$C:$J,8,0))</f>
        <v>전공</v>
      </c>
      <c r="H231" s="67"/>
      <c r="I231" s="73"/>
      <c r="J231" s="73" t="s">
        <v>69</v>
      </c>
      <c r="K231" s="68"/>
      <c r="L231" s="67"/>
      <c r="M231" s="73" t="s">
        <v>69</v>
      </c>
      <c r="N231" s="73"/>
      <c r="O231" s="68"/>
      <c r="P231" s="67"/>
      <c r="Q231" s="73"/>
      <c r="R231" s="73" t="s">
        <v>69</v>
      </c>
      <c r="S231" s="68"/>
      <c r="T231" s="67"/>
      <c r="U231" s="73" t="s">
        <v>69</v>
      </c>
      <c r="V231" s="73"/>
      <c r="W231" s="68"/>
      <c r="X231" s="67"/>
      <c r="Y231" s="73" t="s">
        <v>69</v>
      </c>
      <c r="Z231" s="73"/>
      <c r="AA231" s="68"/>
      <c r="AB231" s="67"/>
      <c r="AC231" s="73" t="s">
        <v>69</v>
      </c>
      <c r="AD231" s="73"/>
      <c r="AE231" s="68"/>
      <c r="AF231" s="67"/>
      <c r="AG231" s="73" t="s">
        <v>69</v>
      </c>
      <c r="AH231" s="73"/>
      <c r="AI231" s="68"/>
      <c r="AJ231" s="67"/>
      <c r="AK231" s="73" t="s">
        <v>69</v>
      </c>
      <c r="AL231" s="73"/>
      <c r="AM231" s="68"/>
      <c r="AN231" s="73" t="s">
        <v>69</v>
      </c>
      <c r="AO231" s="73"/>
      <c r="AP231" s="73"/>
      <c r="AQ231" s="68"/>
      <c r="AR231" s="67">
        <f t="shared" si="122"/>
        <v>74</v>
      </c>
      <c r="AS231" s="68" t="str">
        <f t="shared" si="123"/>
        <v>A</v>
      </c>
      <c r="AV231" s="49">
        <f t="shared" si="124"/>
        <v>0</v>
      </c>
      <c r="AW231" s="49">
        <f t="shared" si="125"/>
        <v>0</v>
      </c>
      <c r="AX231" s="49">
        <f t="shared" si="126"/>
        <v>1</v>
      </c>
      <c r="AY231" s="49">
        <f t="shared" si="127"/>
        <v>0</v>
      </c>
      <c r="AZ231" s="49">
        <f t="shared" si="128"/>
        <v>0</v>
      </c>
      <c r="BA231" s="49">
        <f t="shared" si="129"/>
        <v>1</v>
      </c>
      <c r="BB231" s="49">
        <f t="shared" si="130"/>
        <v>0</v>
      </c>
      <c r="BC231" s="49">
        <f t="shared" si="131"/>
        <v>0</v>
      </c>
      <c r="BD231" s="49">
        <f t="shared" si="132"/>
        <v>0</v>
      </c>
      <c r="BE231" s="49">
        <f t="shared" si="133"/>
        <v>0</v>
      </c>
      <c r="BF231" s="49">
        <f t="shared" si="134"/>
        <v>1</v>
      </c>
      <c r="BG231" s="49">
        <f t="shared" si="135"/>
        <v>0</v>
      </c>
      <c r="BH231" s="49">
        <f t="shared" si="136"/>
        <v>0</v>
      </c>
      <c r="BI231" s="49">
        <f t="shared" si="137"/>
        <v>1</v>
      </c>
      <c r="BJ231" s="49">
        <f t="shared" si="138"/>
        <v>0</v>
      </c>
      <c r="BK231" s="49">
        <f t="shared" si="139"/>
        <v>0</v>
      </c>
      <c r="BL231" s="49">
        <f t="shared" si="140"/>
        <v>0</v>
      </c>
      <c r="BM231" s="49">
        <f t="shared" si="141"/>
        <v>1</v>
      </c>
      <c r="BN231" s="49">
        <f t="shared" si="142"/>
        <v>0</v>
      </c>
      <c r="BO231" s="49">
        <f t="shared" si="143"/>
        <v>0</v>
      </c>
      <c r="BP231" s="49">
        <f t="shared" si="144"/>
        <v>0</v>
      </c>
      <c r="BQ231" s="49">
        <f t="shared" si="145"/>
        <v>1</v>
      </c>
      <c r="BR231" s="49">
        <f t="shared" si="146"/>
        <v>0</v>
      </c>
      <c r="BS231" s="49">
        <f t="shared" si="147"/>
        <v>0</v>
      </c>
      <c r="BT231" s="49">
        <f t="shared" si="148"/>
        <v>0</v>
      </c>
      <c r="BU231" s="49">
        <f t="shared" si="149"/>
        <v>1</v>
      </c>
      <c r="BV231" s="49">
        <f t="shared" si="150"/>
        <v>0</v>
      </c>
      <c r="BW231" s="49">
        <f t="shared" si="151"/>
        <v>0</v>
      </c>
      <c r="BX231" s="49">
        <f t="shared" si="152"/>
        <v>0</v>
      </c>
      <c r="BY231" s="49">
        <f t="shared" si="153"/>
        <v>1</v>
      </c>
      <c r="BZ231" s="49">
        <f t="shared" si="154"/>
        <v>0</v>
      </c>
      <c r="CA231" s="49">
        <f t="shared" si="155"/>
        <v>0</v>
      </c>
      <c r="CB231" s="49">
        <f t="shared" si="156"/>
        <v>1</v>
      </c>
      <c r="CC231" s="49">
        <f t="shared" si="157"/>
        <v>0</v>
      </c>
      <c r="CD231" s="49">
        <f t="shared" si="158"/>
        <v>0</v>
      </c>
      <c r="CE231" s="49">
        <f t="shared" si="159"/>
        <v>0</v>
      </c>
    </row>
    <row r="232" spans="1:83" ht="35.1" customHeight="1" x14ac:dyDescent="0.3">
      <c r="A232" s="123" t="str">
        <f t="shared" si="120"/>
        <v>2팀</v>
      </c>
      <c r="B232" s="69">
        <f t="shared" si="121"/>
        <v>226</v>
      </c>
      <c r="C232" s="120" t="str">
        <f>IF(VLOOKUP($B232,'1. 현장별 인원현황'!$C:$J,2,0)=0,"",VLOOKUP($B232,'1. 현장별 인원현황'!$C:$J,2,0))</f>
        <v xml:space="preserve"> [2.신세계건설] 스타필드 청라 신축공사 전기공사</v>
      </c>
      <c r="D232" s="70" t="str">
        <f>IF(VLOOKUP($B232,'1. 현장별 인원현황'!$C:$J,3,0)=0,"",VLOOKUP($B232,'1. 현장별 인원현황'!$C:$J,3,0))</f>
        <v>성장현</v>
      </c>
      <c r="E232" s="74" t="str">
        <f ca="1">IF(VLOOKUP($B232,'1. 현장별 인원현황'!$C:$J,4,0)=0,"",VLOOKUP($B232,'1. 현장별 인원현황'!$C:$J,4,0))</f>
        <v>46세</v>
      </c>
      <c r="F232" s="70" t="str">
        <f>IF(VLOOKUP($B232,'1. 현장별 인원현황'!$C:$J,7,0)=0,"",VLOOKUP($B232,'1. 현장별 인원현황'!$C:$J,7,0))</f>
        <v>기능공</v>
      </c>
      <c r="G232" s="72" t="str">
        <f>IF(VLOOKUP($B232,'1. 현장별 인원현황'!$C:$J,8,0)=0,"",VLOOKUP($B232,'1. 현장별 인원현황'!$C:$J,8,0))</f>
        <v>전공</v>
      </c>
      <c r="H232" s="67"/>
      <c r="I232" s="73"/>
      <c r="J232" s="73" t="s">
        <v>69</v>
      </c>
      <c r="K232" s="68"/>
      <c r="L232" s="67"/>
      <c r="M232" s="73"/>
      <c r="N232" s="73" t="s">
        <v>69</v>
      </c>
      <c r="O232" s="68"/>
      <c r="P232" s="67"/>
      <c r="Q232" s="73"/>
      <c r="R232" s="73" t="s">
        <v>69</v>
      </c>
      <c r="S232" s="68"/>
      <c r="T232" s="67"/>
      <c r="U232" s="73"/>
      <c r="V232" s="73" t="s">
        <v>69</v>
      </c>
      <c r="W232" s="68"/>
      <c r="X232" s="67"/>
      <c r="Y232" s="73" t="s">
        <v>69</v>
      </c>
      <c r="Z232" s="73"/>
      <c r="AA232" s="68"/>
      <c r="AB232" s="67"/>
      <c r="AC232" s="73" t="s">
        <v>69</v>
      </c>
      <c r="AD232" s="73"/>
      <c r="AE232" s="68"/>
      <c r="AF232" s="67"/>
      <c r="AG232" s="73"/>
      <c r="AH232" s="73" t="s">
        <v>69</v>
      </c>
      <c r="AI232" s="68"/>
      <c r="AJ232" s="67"/>
      <c r="AK232" s="73" t="s">
        <v>69</v>
      </c>
      <c r="AL232" s="73"/>
      <c r="AM232" s="68"/>
      <c r="AN232" s="73" t="s">
        <v>69</v>
      </c>
      <c r="AO232" s="73"/>
      <c r="AP232" s="73"/>
      <c r="AQ232" s="68"/>
      <c r="AR232" s="67">
        <f t="shared" si="122"/>
        <v>67</v>
      </c>
      <c r="AS232" s="68" t="str">
        <f t="shared" si="123"/>
        <v>B</v>
      </c>
      <c r="AV232" s="49">
        <f t="shared" si="124"/>
        <v>0</v>
      </c>
      <c r="AW232" s="49">
        <f t="shared" si="125"/>
        <v>0</v>
      </c>
      <c r="AX232" s="49">
        <f t="shared" si="126"/>
        <v>1</v>
      </c>
      <c r="AY232" s="49">
        <f t="shared" si="127"/>
        <v>0</v>
      </c>
      <c r="AZ232" s="49">
        <f t="shared" si="128"/>
        <v>0</v>
      </c>
      <c r="BA232" s="49">
        <f t="shared" si="129"/>
        <v>0</v>
      </c>
      <c r="BB232" s="49">
        <f t="shared" si="130"/>
        <v>1</v>
      </c>
      <c r="BC232" s="49">
        <f t="shared" si="131"/>
        <v>0</v>
      </c>
      <c r="BD232" s="49">
        <f t="shared" si="132"/>
        <v>0</v>
      </c>
      <c r="BE232" s="49">
        <f t="shared" si="133"/>
        <v>0</v>
      </c>
      <c r="BF232" s="49">
        <f t="shared" si="134"/>
        <v>1</v>
      </c>
      <c r="BG232" s="49">
        <f t="shared" si="135"/>
        <v>0</v>
      </c>
      <c r="BH232" s="49">
        <f t="shared" si="136"/>
        <v>0</v>
      </c>
      <c r="BI232" s="49">
        <f t="shared" si="137"/>
        <v>0</v>
      </c>
      <c r="BJ232" s="49">
        <f t="shared" si="138"/>
        <v>1</v>
      </c>
      <c r="BK232" s="49">
        <f t="shared" si="139"/>
        <v>0</v>
      </c>
      <c r="BL232" s="49">
        <f t="shared" si="140"/>
        <v>0</v>
      </c>
      <c r="BM232" s="49">
        <f t="shared" si="141"/>
        <v>1</v>
      </c>
      <c r="BN232" s="49">
        <f t="shared" si="142"/>
        <v>0</v>
      </c>
      <c r="BO232" s="49">
        <f t="shared" si="143"/>
        <v>0</v>
      </c>
      <c r="BP232" s="49">
        <f t="shared" si="144"/>
        <v>0</v>
      </c>
      <c r="BQ232" s="49">
        <f t="shared" si="145"/>
        <v>1</v>
      </c>
      <c r="BR232" s="49">
        <f t="shared" si="146"/>
        <v>0</v>
      </c>
      <c r="BS232" s="49">
        <f t="shared" si="147"/>
        <v>0</v>
      </c>
      <c r="BT232" s="49">
        <f t="shared" si="148"/>
        <v>0</v>
      </c>
      <c r="BU232" s="49">
        <f t="shared" si="149"/>
        <v>0</v>
      </c>
      <c r="BV232" s="49">
        <f t="shared" si="150"/>
        <v>1</v>
      </c>
      <c r="BW232" s="49">
        <f t="shared" si="151"/>
        <v>0</v>
      </c>
      <c r="BX232" s="49">
        <f t="shared" si="152"/>
        <v>0</v>
      </c>
      <c r="BY232" s="49">
        <f t="shared" si="153"/>
        <v>1</v>
      </c>
      <c r="BZ232" s="49">
        <f t="shared" si="154"/>
        <v>0</v>
      </c>
      <c r="CA232" s="49">
        <f t="shared" si="155"/>
        <v>0</v>
      </c>
      <c r="CB232" s="49">
        <f t="shared" si="156"/>
        <v>1</v>
      </c>
      <c r="CC232" s="49">
        <f t="shared" si="157"/>
        <v>0</v>
      </c>
      <c r="CD232" s="49">
        <f t="shared" si="158"/>
        <v>0</v>
      </c>
      <c r="CE232" s="49">
        <f t="shared" si="159"/>
        <v>0</v>
      </c>
    </row>
    <row r="233" spans="1:83" ht="35.1" customHeight="1" x14ac:dyDescent="0.3">
      <c r="A233" s="123" t="str">
        <f t="shared" si="120"/>
        <v>2팀</v>
      </c>
      <c r="B233" s="69">
        <f t="shared" si="121"/>
        <v>227</v>
      </c>
      <c r="C233" s="120" t="str">
        <f>IF(VLOOKUP($B233,'1. 현장별 인원현황'!$C:$J,2,0)=0,"",VLOOKUP($B233,'1. 현장별 인원현황'!$C:$J,2,0))</f>
        <v xml:space="preserve"> [2.신세계건설] 스타필드 청라 신축공사 전기공사</v>
      </c>
      <c r="D233" s="70" t="str">
        <f>IF(VLOOKUP($B233,'1. 현장별 인원현황'!$C:$J,3,0)=0,"",VLOOKUP($B233,'1. 현장별 인원현황'!$C:$J,3,0))</f>
        <v>성용현</v>
      </c>
      <c r="E233" s="74" t="str">
        <f ca="1">IF(VLOOKUP($B233,'1. 현장별 인원현황'!$C:$J,4,0)=0,"",VLOOKUP($B233,'1. 현장별 인원현황'!$C:$J,4,0))</f>
        <v>49세</v>
      </c>
      <c r="F233" s="70" t="str">
        <f>IF(VLOOKUP($B233,'1. 현장별 인원현황'!$C:$J,7,0)=0,"",VLOOKUP($B233,'1. 현장별 인원현황'!$C:$J,7,0))</f>
        <v>기능공</v>
      </c>
      <c r="G233" s="72" t="str">
        <f>IF(VLOOKUP($B233,'1. 현장별 인원현황'!$C:$J,8,0)=0,"",VLOOKUP($B233,'1. 현장별 인원현황'!$C:$J,8,0))</f>
        <v>전공</v>
      </c>
      <c r="H233" s="67"/>
      <c r="I233" s="73"/>
      <c r="J233" s="73" t="s">
        <v>69</v>
      </c>
      <c r="K233" s="68"/>
      <c r="L233" s="67"/>
      <c r="M233" s="73"/>
      <c r="N233" s="73" t="s">
        <v>69</v>
      </c>
      <c r="O233" s="68"/>
      <c r="P233" s="67"/>
      <c r="Q233" s="73"/>
      <c r="R233" s="73" t="s">
        <v>69</v>
      </c>
      <c r="S233" s="68"/>
      <c r="T233" s="67"/>
      <c r="U233" s="73"/>
      <c r="V233" s="73" t="s">
        <v>69</v>
      </c>
      <c r="W233" s="68"/>
      <c r="X233" s="67"/>
      <c r="Y233" s="73" t="s">
        <v>69</v>
      </c>
      <c r="Z233" s="73"/>
      <c r="AA233" s="68"/>
      <c r="AB233" s="67"/>
      <c r="AC233" s="73" t="s">
        <v>69</v>
      </c>
      <c r="AD233" s="73"/>
      <c r="AE233" s="68"/>
      <c r="AF233" s="67"/>
      <c r="AG233" s="73"/>
      <c r="AH233" s="73" t="s">
        <v>69</v>
      </c>
      <c r="AI233" s="68"/>
      <c r="AJ233" s="67"/>
      <c r="AK233" s="73" t="s">
        <v>69</v>
      </c>
      <c r="AL233" s="73"/>
      <c r="AM233" s="68"/>
      <c r="AN233" s="73" t="s">
        <v>69</v>
      </c>
      <c r="AO233" s="73"/>
      <c r="AP233" s="73"/>
      <c r="AQ233" s="68"/>
      <c r="AR233" s="67">
        <f t="shared" si="122"/>
        <v>67</v>
      </c>
      <c r="AS233" s="68" t="str">
        <f t="shared" si="123"/>
        <v>B</v>
      </c>
      <c r="AV233" s="49">
        <f t="shared" si="124"/>
        <v>0</v>
      </c>
      <c r="AW233" s="49">
        <f t="shared" si="125"/>
        <v>0</v>
      </c>
      <c r="AX233" s="49">
        <f t="shared" si="126"/>
        <v>1</v>
      </c>
      <c r="AY233" s="49">
        <f t="shared" si="127"/>
        <v>0</v>
      </c>
      <c r="AZ233" s="49">
        <f t="shared" si="128"/>
        <v>0</v>
      </c>
      <c r="BA233" s="49">
        <f t="shared" si="129"/>
        <v>0</v>
      </c>
      <c r="BB233" s="49">
        <f t="shared" si="130"/>
        <v>1</v>
      </c>
      <c r="BC233" s="49">
        <f t="shared" si="131"/>
        <v>0</v>
      </c>
      <c r="BD233" s="49">
        <f t="shared" si="132"/>
        <v>0</v>
      </c>
      <c r="BE233" s="49">
        <f t="shared" si="133"/>
        <v>0</v>
      </c>
      <c r="BF233" s="49">
        <f t="shared" si="134"/>
        <v>1</v>
      </c>
      <c r="BG233" s="49">
        <f t="shared" si="135"/>
        <v>0</v>
      </c>
      <c r="BH233" s="49">
        <f t="shared" si="136"/>
        <v>0</v>
      </c>
      <c r="BI233" s="49">
        <f t="shared" si="137"/>
        <v>0</v>
      </c>
      <c r="BJ233" s="49">
        <f t="shared" si="138"/>
        <v>1</v>
      </c>
      <c r="BK233" s="49">
        <f t="shared" si="139"/>
        <v>0</v>
      </c>
      <c r="BL233" s="49">
        <f t="shared" si="140"/>
        <v>0</v>
      </c>
      <c r="BM233" s="49">
        <f t="shared" si="141"/>
        <v>1</v>
      </c>
      <c r="BN233" s="49">
        <f t="shared" si="142"/>
        <v>0</v>
      </c>
      <c r="BO233" s="49">
        <f t="shared" si="143"/>
        <v>0</v>
      </c>
      <c r="BP233" s="49">
        <f t="shared" si="144"/>
        <v>0</v>
      </c>
      <c r="BQ233" s="49">
        <f t="shared" si="145"/>
        <v>1</v>
      </c>
      <c r="BR233" s="49">
        <f t="shared" si="146"/>
        <v>0</v>
      </c>
      <c r="BS233" s="49">
        <f t="shared" si="147"/>
        <v>0</v>
      </c>
      <c r="BT233" s="49">
        <f t="shared" si="148"/>
        <v>0</v>
      </c>
      <c r="BU233" s="49">
        <f t="shared" si="149"/>
        <v>0</v>
      </c>
      <c r="BV233" s="49">
        <f t="shared" si="150"/>
        <v>1</v>
      </c>
      <c r="BW233" s="49">
        <f t="shared" si="151"/>
        <v>0</v>
      </c>
      <c r="BX233" s="49">
        <f t="shared" si="152"/>
        <v>0</v>
      </c>
      <c r="BY233" s="49">
        <f t="shared" si="153"/>
        <v>1</v>
      </c>
      <c r="BZ233" s="49">
        <f t="shared" si="154"/>
        <v>0</v>
      </c>
      <c r="CA233" s="49">
        <f t="shared" si="155"/>
        <v>0</v>
      </c>
      <c r="CB233" s="49">
        <f t="shared" si="156"/>
        <v>1</v>
      </c>
      <c r="CC233" s="49">
        <f t="shared" si="157"/>
        <v>0</v>
      </c>
      <c r="CD233" s="49">
        <f t="shared" si="158"/>
        <v>0</v>
      </c>
      <c r="CE233" s="49">
        <f t="shared" si="159"/>
        <v>0</v>
      </c>
    </row>
    <row r="234" spans="1:83" ht="35.1" customHeight="1" x14ac:dyDescent="0.3">
      <c r="A234" s="123" t="str">
        <f t="shared" si="120"/>
        <v>2팀</v>
      </c>
      <c r="B234" s="69">
        <f t="shared" si="121"/>
        <v>228</v>
      </c>
      <c r="C234" s="120" t="str">
        <f>IF(VLOOKUP($B234,'1. 현장별 인원현황'!$C:$J,2,0)=0,"",VLOOKUP($B234,'1. 현장별 인원현황'!$C:$J,2,0))</f>
        <v xml:space="preserve"> [2.신세계건설] 양주 옥정 물류센터 신축공사</v>
      </c>
      <c r="D234" s="70" t="str">
        <f>IF(VLOOKUP($B234,'1. 현장별 인원현황'!$C:$J,3,0)=0,"",VLOOKUP($B234,'1. 현장별 인원현황'!$C:$J,3,0))</f>
        <v>문지용</v>
      </c>
      <c r="E234" s="74" t="str">
        <f ca="1">IF(VLOOKUP($B234,'1. 현장별 인원현황'!$C:$J,4,0)=0,"",VLOOKUP($B234,'1. 현장별 인원현황'!$C:$J,4,0))</f>
        <v>44세</v>
      </c>
      <c r="F234" s="70" t="str">
        <f>IF(VLOOKUP($B234,'1. 현장별 인원현황'!$C:$J,7,0)=0,"",VLOOKUP($B234,'1. 현장별 인원현황'!$C:$J,7,0))</f>
        <v>공무</v>
      </c>
      <c r="G234" s="72" t="str">
        <f>IF(VLOOKUP($B234,'1. 현장별 인원현황'!$C:$J,8,0)=0,"",VLOOKUP($B234,'1. 현장별 인원현황'!$C:$J,8,0))</f>
        <v>차장</v>
      </c>
      <c r="H234" s="67" t="s">
        <v>69</v>
      </c>
      <c r="I234" s="73"/>
      <c r="J234" s="73"/>
      <c r="K234" s="68"/>
      <c r="L234" s="67" t="s">
        <v>69</v>
      </c>
      <c r="M234" s="73"/>
      <c r="N234" s="73"/>
      <c r="O234" s="68"/>
      <c r="P234" s="67" t="s">
        <v>69</v>
      </c>
      <c r="Q234" s="73"/>
      <c r="R234" s="73"/>
      <c r="S234" s="68"/>
      <c r="T234" s="67" t="s">
        <v>69</v>
      </c>
      <c r="U234" s="73"/>
      <c r="V234" s="73"/>
      <c r="W234" s="68"/>
      <c r="X234" s="67" t="s">
        <v>69</v>
      </c>
      <c r="Y234" s="73"/>
      <c r="Z234" s="73"/>
      <c r="AA234" s="68"/>
      <c r="AB234" s="67" t="s">
        <v>69</v>
      </c>
      <c r="AC234" s="73"/>
      <c r="AD234" s="73"/>
      <c r="AE234" s="68"/>
      <c r="AF234" s="67" t="s">
        <v>69</v>
      </c>
      <c r="AG234" s="73"/>
      <c r="AH234" s="73"/>
      <c r="AI234" s="68"/>
      <c r="AJ234" s="67" t="s">
        <v>69</v>
      </c>
      <c r="AK234" s="73"/>
      <c r="AL234" s="73"/>
      <c r="AM234" s="68"/>
      <c r="AN234" s="73" t="s">
        <v>69</v>
      </c>
      <c r="AO234" s="73"/>
      <c r="AP234" s="73"/>
      <c r="AQ234" s="68"/>
      <c r="AR234" s="67">
        <f t="shared" si="122"/>
        <v>100</v>
      </c>
      <c r="AS234" s="68" t="str">
        <f t="shared" si="123"/>
        <v>S</v>
      </c>
      <c r="AV234" s="49">
        <f t="shared" si="124"/>
        <v>1</v>
      </c>
      <c r="AW234" s="49">
        <f t="shared" si="125"/>
        <v>0</v>
      </c>
      <c r="AX234" s="49">
        <f t="shared" si="126"/>
        <v>0</v>
      </c>
      <c r="AY234" s="49">
        <f t="shared" si="127"/>
        <v>0</v>
      </c>
      <c r="AZ234" s="49">
        <f t="shared" si="128"/>
        <v>1</v>
      </c>
      <c r="BA234" s="49">
        <f t="shared" si="129"/>
        <v>0</v>
      </c>
      <c r="BB234" s="49">
        <f t="shared" si="130"/>
        <v>0</v>
      </c>
      <c r="BC234" s="49">
        <f t="shared" si="131"/>
        <v>0</v>
      </c>
      <c r="BD234" s="49">
        <f t="shared" si="132"/>
        <v>1</v>
      </c>
      <c r="BE234" s="49">
        <f t="shared" si="133"/>
        <v>0</v>
      </c>
      <c r="BF234" s="49">
        <f t="shared" si="134"/>
        <v>0</v>
      </c>
      <c r="BG234" s="49">
        <f t="shared" si="135"/>
        <v>0</v>
      </c>
      <c r="BH234" s="49">
        <f t="shared" si="136"/>
        <v>1</v>
      </c>
      <c r="BI234" s="49">
        <f t="shared" si="137"/>
        <v>0</v>
      </c>
      <c r="BJ234" s="49">
        <f t="shared" si="138"/>
        <v>0</v>
      </c>
      <c r="BK234" s="49">
        <f t="shared" si="139"/>
        <v>0</v>
      </c>
      <c r="BL234" s="49">
        <f t="shared" si="140"/>
        <v>1</v>
      </c>
      <c r="BM234" s="49">
        <f t="shared" si="141"/>
        <v>0</v>
      </c>
      <c r="BN234" s="49">
        <f t="shared" si="142"/>
        <v>0</v>
      </c>
      <c r="BO234" s="49">
        <f t="shared" si="143"/>
        <v>0</v>
      </c>
      <c r="BP234" s="49">
        <f t="shared" si="144"/>
        <v>1</v>
      </c>
      <c r="BQ234" s="49">
        <f t="shared" si="145"/>
        <v>0</v>
      </c>
      <c r="BR234" s="49">
        <f t="shared" si="146"/>
        <v>0</v>
      </c>
      <c r="BS234" s="49">
        <f t="shared" si="147"/>
        <v>0</v>
      </c>
      <c r="BT234" s="49">
        <f t="shared" si="148"/>
        <v>1</v>
      </c>
      <c r="BU234" s="49">
        <f t="shared" si="149"/>
        <v>0</v>
      </c>
      <c r="BV234" s="49">
        <f t="shared" si="150"/>
        <v>0</v>
      </c>
      <c r="BW234" s="49">
        <f t="shared" si="151"/>
        <v>0</v>
      </c>
      <c r="BX234" s="49">
        <f t="shared" si="152"/>
        <v>1</v>
      </c>
      <c r="BY234" s="49">
        <f t="shared" si="153"/>
        <v>0</v>
      </c>
      <c r="BZ234" s="49">
        <f t="shared" si="154"/>
        <v>0</v>
      </c>
      <c r="CA234" s="49">
        <f t="shared" si="155"/>
        <v>0</v>
      </c>
      <c r="CB234" s="49">
        <f t="shared" si="156"/>
        <v>1</v>
      </c>
      <c r="CC234" s="49">
        <f t="shared" si="157"/>
        <v>0</v>
      </c>
      <c r="CD234" s="49">
        <f t="shared" si="158"/>
        <v>0</v>
      </c>
      <c r="CE234" s="49">
        <f t="shared" si="159"/>
        <v>0</v>
      </c>
    </row>
    <row r="235" spans="1:83" ht="35.1" customHeight="1" x14ac:dyDescent="0.3">
      <c r="A235" s="123" t="str">
        <f t="shared" si="120"/>
        <v>2팀</v>
      </c>
      <c r="B235" s="69">
        <f t="shared" si="121"/>
        <v>229</v>
      </c>
      <c r="C235" s="120" t="str">
        <f>IF(VLOOKUP($B235,'1. 현장별 인원현황'!$C:$J,2,0)=0,"",VLOOKUP($B235,'1. 현장별 인원현황'!$C:$J,2,0))</f>
        <v xml:space="preserve"> [2.신세계건설] 양주 옥정 물류센터 신축공사</v>
      </c>
      <c r="D235" s="70" t="str">
        <f>IF(VLOOKUP($B235,'1. 현장별 인원현황'!$C:$J,3,0)=0,"",VLOOKUP($B235,'1. 현장별 인원현황'!$C:$J,3,0))</f>
        <v>최명남</v>
      </c>
      <c r="E235" s="74" t="str">
        <f ca="1">IF(VLOOKUP($B235,'1. 현장별 인원현황'!$C:$J,4,0)=0,"",VLOOKUP($B235,'1. 현장별 인원현황'!$C:$J,4,0))</f>
        <v>34세</v>
      </c>
      <c r="F235" s="70" t="str">
        <f>IF(VLOOKUP($B235,'1. 현장별 인원현황'!$C:$J,7,0)=0,"",VLOOKUP($B235,'1. 현장별 인원현황'!$C:$J,7,0))</f>
        <v>공무</v>
      </c>
      <c r="G235" s="72" t="str">
        <f>IF(VLOOKUP($B235,'1. 현장별 인원현황'!$C:$J,8,0)=0,"",VLOOKUP($B235,'1. 현장별 인원현황'!$C:$J,8,0))</f>
        <v>대리</v>
      </c>
      <c r="H235" s="67"/>
      <c r="I235" s="73" t="s">
        <v>69</v>
      </c>
      <c r="J235" s="73"/>
      <c r="K235" s="68"/>
      <c r="L235" s="67"/>
      <c r="M235" s="73" t="s">
        <v>69</v>
      </c>
      <c r="N235" s="73"/>
      <c r="O235" s="68"/>
      <c r="P235" s="67"/>
      <c r="Q235" s="73" t="s">
        <v>69</v>
      </c>
      <c r="R235" s="73"/>
      <c r="S235" s="68"/>
      <c r="T235" s="67"/>
      <c r="U235" s="73" t="s">
        <v>69</v>
      </c>
      <c r="V235" s="73"/>
      <c r="W235" s="68"/>
      <c r="X235" s="67"/>
      <c r="Y235" s="73" t="s">
        <v>69</v>
      </c>
      <c r="Z235" s="73"/>
      <c r="AA235" s="68"/>
      <c r="AB235" s="67"/>
      <c r="AC235" s="73" t="s">
        <v>69</v>
      </c>
      <c r="AD235" s="73"/>
      <c r="AE235" s="68"/>
      <c r="AF235" s="67"/>
      <c r="AG235" s="73" t="s">
        <v>69</v>
      </c>
      <c r="AH235" s="73"/>
      <c r="AI235" s="68"/>
      <c r="AJ235" s="67"/>
      <c r="AK235" s="73" t="s">
        <v>69</v>
      </c>
      <c r="AL235" s="73"/>
      <c r="AM235" s="68"/>
      <c r="AN235" s="73" t="s">
        <v>69</v>
      </c>
      <c r="AO235" s="73"/>
      <c r="AP235" s="73"/>
      <c r="AQ235" s="68"/>
      <c r="AR235" s="67">
        <f t="shared" si="122"/>
        <v>80</v>
      </c>
      <c r="AS235" s="68" t="str">
        <f t="shared" si="123"/>
        <v>A</v>
      </c>
      <c r="AV235" s="49">
        <f t="shared" si="124"/>
        <v>0</v>
      </c>
      <c r="AW235" s="49">
        <f t="shared" si="125"/>
        <v>1</v>
      </c>
      <c r="AX235" s="49">
        <f t="shared" si="126"/>
        <v>0</v>
      </c>
      <c r="AY235" s="49">
        <f t="shared" si="127"/>
        <v>0</v>
      </c>
      <c r="AZ235" s="49">
        <f t="shared" si="128"/>
        <v>0</v>
      </c>
      <c r="BA235" s="49">
        <f t="shared" si="129"/>
        <v>1</v>
      </c>
      <c r="BB235" s="49">
        <f t="shared" si="130"/>
        <v>0</v>
      </c>
      <c r="BC235" s="49">
        <f t="shared" si="131"/>
        <v>0</v>
      </c>
      <c r="BD235" s="49">
        <f t="shared" si="132"/>
        <v>0</v>
      </c>
      <c r="BE235" s="49">
        <f t="shared" si="133"/>
        <v>1</v>
      </c>
      <c r="BF235" s="49">
        <f t="shared" si="134"/>
        <v>0</v>
      </c>
      <c r="BG235" s="49">
        <f t="shared" si="135"/>
        <v>0</v>
      </c>
      <c r="BH235" s="49">
        <f t="shared" si="136"/>
        <v>0</v>
      </c>
      <c r="BI235" s="49">
        <f t="shared" si="137"/>
        <v>1</v>
      </c>
      <c r="BJ235" s="49">
        <f t="shared" si="138"/>
        <v>0</v>
      </c>
      <c r="BK235" s="49">
        <f t="shared" si="139"/>
        <v>0</v>
      </c>
      <c r="BL235" s="49">
        <f t="shared" si="140"/>
        <v>0</v>
      </c>
      <c r="BM235" s="49">
        <f t="shared" si="141"/>
        <v>1</v>
      </c>
      <c r="BN235" s="49">
        <f t="shared" si="142"/>
        <v>0</v>
      </c>
      <c r="BO235" s="49">
        <f t="shared" si="143"/>
        <v>0</v>
      </c>
      <c r="BP235" s="49">
        <f t="shared" si="144"/>
        <v>0</v>
      </c>
      <c r="BQ235" s="49">
        <f t="shared" si="145"/>
        <v>1</v>
      </c>
      <c r="BR235" s="49">
        <f t="shared" si="146"/>
        <v>0</v>
      </c>
      <c r="BS235" s="49">
        <f t="shared" si="147"/>
        <v>0</v>
      </c>
      <c r="BT235" s="49">
        <f t="shared" si="148"/>
        <v>0</v>
      </c>
      <c r="BU235" s="49">
        <f t="shared" si="149"/>
        <v>1</v>
      </c>
      <c r="BV235" s="49">
        <f t="shared" si="150"/>
        <v>0</v>
      </c>
      <c r="BW235" s="49">
        <f t="shared" si="151"/>
        <v>0</v>
      </c>
      <c r="BX235" s="49">
        <f t="shared" si="152"/>
        <v>0</v>
      </c>
      <c r="BY235" s="49">
        <f t="shared" si="153"/>
        <v>1</v>
      </c>
      <c r="BZ235" s="49">
        <f t="shared" si="154"/>
        <v>0</v>
      </c>
      <c r="CA235" s="49">
        <f t="shared" si="155"/>
        <v>0</v>
      </c>
      <c r="CB235" s="49">
        <f t="shared" si="156"/>
        <v>1</v>
      </c>
      <c r="CC235" s="49">
        <f t="shared" si="157"/>
        <v>0</v>
      </c>
      <c r="CD235" s="49">
        <f t="shared" si="158"/>
        <v>0</v>
      </c>
      <c r="CE235" s="49">
        <f t="shared" si="159"/>
        <v>0</v>
      </c>
    </row>
    <row r="236" spans="1:83" ht="35.1" customHeight="1" x14ac:dyDescent="0.3">
      <c r="A236" s="123" t="str">
        <f t="shared" si="120"/>
        <v>2팀</v>
      </c>
      <c r="B236" s="69">
        <f t="shared" si="121"/>
        <v>230</v>
      </c>
      <c r="C236" s="120" t="str">
        <f>IF(VLOOKUP($B236,'1. 현장별 인원현황'!$C:$J,2,0)=0,"",VLOOKUP($B236,'1. 현장별 인원현황'!$C:$J,2,0))</f>
        <v xml:space="preserve"> [2.신세계건설] 양주 옥정 물류센터 신축공사</v>
      </c>
      <c r="D236" s="70" t="str">
        <f>IF(VLOOKUP($B236,'1. 현장별 인원현황'!$C:$J,3,0)=0,"",VLOOKUP($B236,'1. 현장별 인원현황'!$C:$J,3,0))</f>
        <v>심봉학</v>
      </c>
      <c r="E236" s="74" t="str">
        <f ca="1">IF(VLOOKUP($B236,'1. 현장별 인원현황'!$C:$J,4,0)=0,"",VLOOKUP($B236,'1. 현장별 인원현황'!$C:$J,4,0))</f>
        <v>57세</v>
      </c>
      <c r="F236" s="70" t="str">
        <f>IF(VLOOKUP($B236,'1. 현장별 인원현황'!$C:$J,7,0)=0,"",VLOOKUP($B236,'1. 현장별 인원현황'!$C:$J,7,0))</f>
        <v>공사</v>
      </c>
      <c r="G236" s="72" t="str">
        <f>IF(VLOOKUP($B236,'1. 현장별 인원현황'!$C:$J,8,0)=0,"",VLOOKUP($B236,'1. 현장별 인원현황'!$C:$J,8,0))</f>
        <v>차장</v>
      </c>
      <c r="H236" s="67" t="s">
        <v>69</v>
      </c>
      <c r="I236" s="73"/>
      <c r="J236" s="73"/>
      <c r="K236" s="68"/>
      <c r="L236" s="67" t="s">
        <v>69</v>
      </c>
      <c r="M236" s="73"/>
      <c r="N236" s="73"/>
      <c r="O236" s="68"/>
      <c r="P236" s="67" t="s">
        <v>69</v>
      </c>
      <c r="Q236" s="73"/>
      <c r="R236" s="73"/>
      <c r="S236" s="68"/>
      <c r="T236" s="67" t="s">
        <v>69</v>
      </c>
      <c r="U236" s="73"/>
      <c r="V236" s="73"/>
      <c r="W236" s="68"/>
      <c r="X236" s="67" t="s">
        <v>69</v>
      </c>
      <c r="Y236" s="73"/>
      <c r="Z236" s="73"/>
      <c r="AA236" s="68"/>
      <c r="AB236" s="67" t="s">
        <v>69</v>
      </c>
      <c r="AC236" s="73"/>
      <c r="AD236" s="73"/>
      <c r="AE236" s="68"/>
      <c r="AF236" s="67" t="s">
        <v>69</v>
      </c>
      <c r="AG236" s="73"/>
      <c r="AH236" s="73"/>
      <c r="AI236" s="68"/>
      <c r="AJ236" s="67" t="s">
        <v>69</v>
      </c>
      <c r="AK236" s="73"/>
      <c r="AL236" s="73"/>
      <c r="AM236" s="68"/>
      <c r="AN236" s="73" t="s">
        <v>69</v>
      </c>
      <c r="AO236" s="73"/>
      <c r="AP236" s="73"/>
      <c r="AQ236" s="68"/>
      <c r="AR236" s="67">
        <f t="shared" si="122"/>
        <v>100</v>
      </c>
      <c r="AS236" s="68" t="str">
        <f t="shared" si="123"/>
        <v>S</v>
      </c>
      <c r="AV236" s="49">
        <f t="shared" si="79"/>
        <v>1</v>
      </c>
      <c r="AW236" s="49">
        <f t="shared" si="44"/>
        <v>0</v>
      </c>
      <c r="AX236" s="49">
        <f t="shared" si="45"/>
        <v>0</v>
      </c>
      <c r="AY236" s="49">
        <f t="shared" si="46"/>
        <v>0</v>
      </c>
      <c r="AZ236" s="49">
        <f t="shared" si="47"/>
        <v>1</v>
      </c>
      <c r="BA236" s="49">
        <f t="shared" si="48"/>
        <v>0</v>
      </c>
      <c r="BB236" s="49">
        <f t="shared" si="49"/>
        <v>0</v>
      </c>
      <c r="BC236" s="49">
        <f t="shared" si="50"/>
        <v>0</v>
      </c>
      <c r="BD236" s="49">
        <f t="shared" si="51"/>
        <v>1</v>
      </c>
      <c r="BE236" s="49">
        <f t="shared" si="52"/>
        <v>0</v>
      </c>
      <c r="BF236" s="49">
        <f t="shared" si="53"/>
        <v>0</v>
      </c>
      <c r="BG236" s="49">
        <f t="shared" si="54"/>
        <v>0</v>
      </c>
      <c r="BH236" s="49">
        <f t="shared" si="55"/>
        <v>1</v>
      </c>
      <c r="BI236" s="49">
        <f t="shared" si="56"/>
        <v>0</v>
      </c>
      <c r="BJ236" s="49">
        <f t="shared" si="57"/>
        <v>0</v>
      </c>
      <c r="BK236" s="49">
        <f t="shared" si="58"/>
        <v>0</v>
      </c>
      <c r="BL236" s="49">
        <f t="shared" si="59"/>
        <v>1</v>
      </c>
      <c r="BM236" s="49">
        <f t="shared" si="60"/>
        <v>0</v>
      </c>
      <c r="BN236" s="49">
        <f t="shared" si="61"/>
        <v>0</v>
      </c>
      <c r="BO236" s="49">
        <f t="shared" si="62"/>
        <v>0</v>
      </c>
      <c r="BP236" s="49">
        <f t="shared" si="63"/>
        <v>1</v>
      </c>
      <c r="BQ236" s="49">
        <f t="shared" si="64"/>
        <v>0</v>
      </c>
      <c r="BR236" s="49">
        <f t="shared" si="65"/>
        <v>0</v>
      </c>
      <c r="BS236" s="49">
        <f t="shared" si="66"/>
        <v>0</v>
      </c>
      <c r="BT236" s="49">
        <f t="shared" si="67"/>
        <v>1</v>
      </c>
      <c r="BU236" s="49">
        <f t="shared" si="68"/>
        <v>0</v>
      </c>
      <c r="BV236" s="49">
        <f t="shared" si="69"/>
        <v>0</v>
      </c>
      <c r="BW236" s="49">
        <f t="shared" si="70"/>
        <v>0</v>
      </c>
      <c r="BX236" s="49">
        <f t="shared" si="71"/>
        <v>1</v>
      </c>
      <c r="BY236" s="49">
        <f t="shared" si="72"/>
        <v>0</v>
      </c>
      <c r="BZ236" s="49">
        <f t="shared" si="73"/>
        <v>0</v>
      </c>
      <c r="CA236" s="49">
        <f t="shared" si="74"/>
        <v>0</v>
      </c>
      <c r="CB236" s="49">
        <f t="shared" si="75"/>
        <v>1</v>
      </c>
      <c r="CC236" s="49">
        <f t="shared" si="76"/>
        <v>0</v>
      </c>
      <c r="CD236" s="49">
        <f t="shared" si="77"/>
        <v>0</v>
      </c>
      <c r="CE236" s="49">
        <f t="shared" si="78"/>
        <v>0</v>
      </c>
    </row>
    <row r="237" spans="1:83" ht="35.1" customHeight="1" x14ac:dyDescent="0.3">
      <c r="A237" s="123" t="str">
        <f t="shared" si="120"/>
        <v>2팀</v>
      </c>
      <c r="B237" s="69">
        <f t="shared" si="121"/>
        <v>231</v>
      </c>
      <c r="C237" s="120" t="str">
        <f>IF(VLOOKUP($B237,'1. 현장별 인원현황'!$C:$J,2,0)=0,"",VLOOKUP($B237,'1. 현장별 인원현황'!$C:$J,2,0))</f>
        <v xml:space="preserve"> [2.신세계건설] 양주 옥정 물류센터 신축공사</v>
      </c>
      <c r="D237" s="70" t="str">
        <f>IF(VLOOKUP($B237,'1. 현장별 인원현황'!$C:$J,3,0)=0,"",VLOOKUP($B237,'1. 현장별 인원현황'!$C:$J,3,0))</f>
        <v>김순창</v>
      </c>
      <c r="E237" s="74" t="str">
        <f ca="1">IF(VLOOKUP($B237,'1. 현장별 인원현황'!$C:$J,4,0)=0,"",VLOOKUP($B237,'1. 현장별 인원현황'!$C:$J,4,0))</f>
        <v>42세</v>
      </c>
      <c r="F237" s="70" t="str">
        <f>IF(VLOOKUP($B237,'1. 현장별 인원현황'!$C:$J,7,0)=0,"",VLOOKUP($B237,'1. 현장별 인원현황'!$C:$J,7,0))</f>
        <v>기능공</v>
      </c>
      <c r="G237" s="72" t="str">
        <f>IF(VLOOKUP($B237,'1. 현장별 인원현황'!$C:$J,8,0)=0,"",VLOOKUP($B237,'1. 현장별 인원현황'!$C:$J,8,0))</f>
        <v>전공</v>
      </c>
      <c r="H237" s="67"/>
      <c r="I237" s="73" t="s">
        <v>69</v>
      </c>
      <c r="J237" s="73"/>
      <c r="K237" s="68"/>
      <c r="L237" s="67"/>
      <c r="M237" s="73" t="s">
        <v>69</v>
      </c>
      <c r="N237" s="73"/>
      <c r="O237" s="68"/>
      <c r="P237" s="67" t="s">
        <v>69</v>
      </c>
      <c r="Q237" s="73"/>
      <c r="R237" s="73"/>
      <c r="S237" s="68"/>
      <c r="T237" s="67" t="s">
        <v>69</v>
      </c>
      <c r="U237" s="73"/>
      <c r="V237" s="73"/>
      <c r="W237" s="68"/>
      <c r="X237" s="67" t="s">
        <v>69</v>
      </c>
      <c r="Y237" s="73"/>
      <c r="Z237" s="73"/>
      <c r="AA237" s="68"/>
      <c r="AB237" s="67" t="s">
        <v>69</v>
      </c>
      <c r="AC237" s="73"/>
      <c r="AD237" s="73"/>
      <c r="AE237" s="68"/>
      <c r="AF237" s="67" t="s">
        <v>69</v>
      </c>
      <c r="AG237" s="73"/>
      <c r="AH237" s="73"/>
      <c r="AI237" s="68"/>
      <c r="AJ237" s="67"/>
      <c r="AK237" s="73" t="s">
        <v>69</v>
      </c>
      <c r="AL237" s="73"/>
      <c r="AM237" s="68"/>
      <c r="AN237" s="73" t="s">
        <v>69</v>
      </c>
      <c r="AO237" s="73"/>
      <c r="AP237" s="73"/>
      <c r="AQ237" s="68"/>
      <c r="AR237" s="67">
        <f t="shared" si="122"/>
        <v>91</v>
      </c>
      <c r="AS237" s="68" t="str">
        <f t="shared" si="123"/>
        <v>S</v>
      </c>
      <c r="AV237" s="49">
        <f t="shared" si="79"/>
        <v>0</v>
      </c>
      <c r="AW237" s="49">
        <f t="shared" si="44"/>
        <v>1</v>
      </c>
      <c r="AX237" s="49">
        <f t="shared" si="45"/>
        <v>0</v>
      </c>
      <c r="AY237" s="49">
        <f t="shared" si="46"/>
        <v>0</v>
      </c>
      <c r="AZ237" s="49">
        <f t="shared" si="47"/>
        <v>0</v>
      </c>
      <c r="BA237" s="49">
        <f t="shared" si="48"/>
        <v>1</v>
      </c>
      <c r="BB237" s="49">
        <f t="shared" si="49"/>
        <v>0</v>
      </c>
      <c r="BC237" s="49">
        <f t="shared" si="50"/>
        <v>0</v>
      </c>
      <c r="BD237" s="49">
        <f t="shared" si="51"/>
        <v>1</v>
      </c>
      <c r="BE237" s="49">
        <f t="shared" si="52"/>
        <v>0</v>
      </c>
      <c r="BF237" s="49">
        <f t="shared" si="53"/>
        <v>0</v>
      </c>
      <c r="BG237" s="49">
        <f t="shared" si="54"/>
        <v>0</v>
      </c>
      <c r="BH237" s="49">
        <f t="shared" si="55"/>
        <v>1</v>
      </c>
      <c r="BI237" s="49">
        <f t="shared" si="56"/>
        <v>0</v>
      </c>
      <c r="BJ237" s="49">
        <f t="shared" si="57"/>
        <v>0</v>
      </c>
      <c r="BK237" s="49">
        <f t="shared" si="58"/>
        <v>0</v>
      </c>
      <c r="BL237" s="49">
        <f t="shared" si="59"/>
        <v>1</v>
      </c>
      <c r="BM237" s="49">
        <f t="shared" si="60"/>
        <v>0</v>
      </c>
      <c r="BN237" s="49">
        <f t="shared" si="61"/>
        <v>0</v>
      </c>
      <c r="BO237" s="49">
        <f t="shared" si="62"/>
        <v>0</v>
      </c>
      <c r="BP237" s="49">
        <f t="shared" si="63"/>
        <v>1</v>
      </c>
      <c r="BQ237" s="49">
        <f t="shared" si="64"/>
        <v>0</v>
      </c>
      <c r="BR237" s="49">
        <f t="shared" si="65"/>
        <v>0</v>
      </c>
      <c r="BS237" s="49">
        <f t="shared" si="66"/>
        <v>0</v>
      </c>
      <c r="BT237" s="49">
        <f t="shared" si="67"/>
        <v>1</v>
      </c>
      <c r="BU237" s="49">
        <f t="shared" si="68"/>
        <v>0</v>
      </c>
      <c r="BV237" s="49">
        <f t="shared" si="69"/>
        <v>0</v>
      </c>
      <c r="BW237" s="49">
        <f t="shared" si="70"/>
        <v>0</v>
      </c>
      <c r="BX237" s="49">
        <f t="shared" si="71"/>
        <v>0</v>
      </c>
      <c r="BY237" s="49">
        <f t="shared" si="72"/>
        <v>1</v>
      </c>
      <c r="BZ237" s="49">
        <f t="shared" si="73"/>
        <v>0</v>
      </c>
      <c r="CA237" s="49">
        <f t="shared" si="74"/>
        <v>0</v>
      </c>
      <c r="CB237" s="49">
        <f t="shared" si="75"/>
        <v>1</v>
      </c>
      <c r="CC237" s="49">
        <f t="shared" si="76"/>
        <v>0</v>
      </c>
      <c r="CD237" s="49">
        <f t="shared" si="77"/>
        <v>0</v>
      </c>
      <c r="CE237" s="49">
        <f t="shared" si="78"/>
        <v>0</v>
      </c>
    </row>
    <row r="238" spans="1:83" ht="35.1" customHeight="1" x14ac:dyDescent="0.3">
      <c r="A238" s="123" t="str">
        <f t="shared" si="120"/>
        <v>2팀</v>
      </c>
      <c r="B238" s="69">
        <f t="shared" si="121"/>
        <v>232</v>
      </c>
      <c r="C238" s="120" t="str">
        <f>IF(VLOOKUP($B238,'1. 현장별 인원현황'!$C:$J,2,0)=0,"",VLOOKUP($B238,'1. 현장별 인원현황'!$C:$J,2,0))</f>
        <v xml:space="preserve"> [2.신세계건설] 양주 옥정 물류센터 신축공사</v>
      </c>
      <c r="D238" s="70" t="str">
        <f>IF(VLOOKUP($B238,'1. 현장별 인원현황'!$C:$J,3,0)=0,"",VLOOKUP($B238,'1. 현장별 인원현황'!$C:$J,3,0))</f>
        <v>김은호</v>
      </c>
      <c r="E238" s="74" t="str">
        <f ca="1">IF(VLOOKUP($B238,'1. 현장별 인원현황'!$C:$J,4,0)=0,"",VLOOKUP($B238,'1. 현장별 인원현황'!$C:$J,4,0))</f>
        <v>56세</v>
      </c>
      <c r="F238" s="70" t="str">
        <f>IF(VLOOKUP($B238,'1. 현장별 인원현황'!$C:$J,7,0)=0,"",VLOOKUP($B238,'1. 현장별 인원현황'!$C:$J,7,0))</f>
        <v>기능공</v>
      </c>
      <c r="G238" s="72" t="str">
        <f>IF(VLOOKUP($B238,'1. 현장별 인원현황'!$C:$J,8,0)=0,"",VLOOKUP($B238,'1. 현장별 인원현황'!$C:$J,8,0))</f>
        <v>전공</v>
      </c>
      <c r="H238" s="67" t="s">
        <v>69</v>
      </c>
      <c r="I238" s="73"/>
      <c r="J238" s="73"/>
      <c r="K238" s="68"/>
      <c r="L238" s="67" t="s">
        <v>69</v>
      </c>
      <c r="M238" s="73"/>
      <c r="N238" s="73"/>
      <c r="O238" s="68"/>
      <c r="P238" s="67" t="s">
        <v>69</v>
      </c>
      <c r="Q238" s="73"/>
      <c r="R238" s="73"/>
      <c r="S238" s="68"/>
      <c r="T238" s="67" t="s">
        <v>69</v>
      </c>
      <c r="U238" s="73"/>
      <c r="V238" s="73"/>
      <c r="W238" s="68"/>
      <c r="X238" s="67" t="s">
        <v>69</v>
      </c>
      <c r="Y238" s="73"/>
      <c r="Z238" s="73"/>
      <c r="AA238" s="68"/>
      <c r="AB238" s="67" t="s">
        <v>69</v>
      </c>
      <c r="AC238" s="73"/>
      <c r="AD238" s="73"/>
      <c r="AE238" s="68"/>
      <c r="AF238" s="67" t="s">
        <v>69</v>
      </c>
      <c r="AG238" s="73"/>
      <c r="AH238" s="73"/>
      <c r="AI238" s="68"/>
      <c r="AJ238" s="67" t="s">
        <v>69</v>
      </c>
      <c r="AK238" s="73"/>
      <c r="AL238" s="73"/>
      <c r="AM238" s="68"/>
      <c r="AN238" s="73" t="s">
        <v>69</v>
      </c>
      <c r="AO238" s="73"/>
      <c r="AP238" s="73"/>
      <c r="AQ238" s="68"/>
      <c r="AR238" s="67">
        <f t="shared" si="122"/>
        <v>100</v>
      </c>
      <c r="AS238" s="68" t="str">
        <f t="shared" si="123"/>
        <v>S</v>
      </c>
      <c r="AV238" s="49">
        <f t="shared" si="79"/>
        <v>1</v>
      </c>
      <c r="AW238" s="49">
        <f t="shared" si="44"/>
        <v>0</v>
      </c>
      <c r="AX238" s="49">
        <f t="shared" si="45"/>
        <v>0</v>
      </c>
      <c r="AY238" s="49">
        <f t="shared" si="46"/>
        <v>0</v>
      </c>
      <c r="AZ238" s="49">
        <f t="shared" si="47"/>
        <v>1</v>
      </c>
      <c r="BA238" s="49">
        <f t="shared" si="48"/>
        <v>0</v>
      </c>
      <c r="BB238" s="49">
        <f t="shared" si="49"/>
        <v>0</v>
      </c>
      <c r="BC238" s="49">
        <f t="shared" si="50"/>
        <v>0</v>
      </c>
      <c r="BD238" s="49">
        <f t="shared" si="51"/>
        <v>1</v>
      </c>
      <c r="BE238" s="49">
        <f t="shared" si="52"/>
        <v>0</v>
      </c>
      <c r="BF238" s="49">
        <f t="shared" si="53"/>
        <v>0</v>
      </c>
      <c r="BG238" s="49">
        <f t="shared" si="54"/>
        <v>0</v>
      </c>
      <c r="BH238" s="49">
        <f t="shared" si="55"/>
        <v>1</v>
      </c>
      <c r="BI238" s="49">
        <f t="shared" si="56"/>
        <v>0</v>
      </c>
      <c r="BJ238" s="49">
        <f t="shared" si="57"/>
        <v>0</v>
      </c>
      <c r="BK238" s="49">
        <f t="shared" si="58"/>
        <v>0</v>
      </c>
      <c r="BL238" s="49">
        <f t="shared" si="59"/>
        <v>1</v>
      </c>
      <c r="BM238" s="49">
        <f t="shared" si="60"/>
        <v>0</v>
      </c>
      <c r="BN238" s="49">
        <f t="shared" si="61"/>
        <v>0</v>
      </c>
      <c r="BO238" s="49">
        <f t="shared" si="62"/>
        <v>0</v>
      </c>
      <c r="BP238" s="49">
        <f t="shared" si="63"/>
        <v>1</v>
      </c>
      <c r="BQ238" s="49">
        <f t="shared" si="64"/>
        <v>0</v>
      </c>
      <c r="BR238" s="49">
        <f t="shared" si="65"/>
        <v>0</v>
      </c>
      <c r="BS238" s="49">
        <f t="shared" si="66"/>
        <v>0</v>
      </c>
      <c r="BT238" s="49">
        <f t="shared" si="67"/>
        <v>1</v>
      </c>
      <c r="BU238" s="49">
        <f t="shared" si="68"/>
        <v>0</v>
      </c>
      <c r="BV238" s="49">
        <f t="shared" si="69"/>
        <v>0</v>
      </c>
      <c r="BW238" s="49">
        <f t="shared" si="70"/>
        <v>0</v>
      </c>
      <c r="BX238" s="49">
        <f t="shared" si="71"/>
        <v>1</v>
      </c>
      <c r="BY238" s="49">
        <f t="shared" si="72"/>
        <v>0</v>
      </c>
      <c r="BZ238" s="49">
        <f t="shared" si="73"/>
        <v>0</v>
      </c>
      <c r="CA238" s="49">
        <f t="shared" si="74"/>
        <v>0</v>
      </c>
      <c r="CB238" s="49">
        <f t="shared" si="75"/>
        <v>1</v>
      </c>
      <c r="CC238" s="49">
        <f t="shared" si="76"/>
        <v>0</v>
      </c>
      <c r="CD238" s="49">
        <f t="shared" si="77"/>
        <v>0</v>
      </c>
      <c r="CE238" s="49">
        <f t="shared" si="78"/>
        <v>0</v>
      </c>
    </row>
    <row r="239" spans="1:83" ht="35.1" customHeight="1" x14ac:dyDescent="0.3">
      <c r="A239" s="123" t="str">
        <f t="shared" si="120"/>
        <v>2팀</v>
      </c>
      <c r="B239" s="69">
        <f t="shared" si="121"/>
        <v>233</v>
      </c>
      <c r="C239" s="120" t="str">
        <f>IF(VLOOKUP($B239,'1. 현장별 인원현황'!$C:$J,2,0)=0,"",VLOOKUP($B239,'1. 현장별 인원현황'!$C:$J,2,0))</f>
        <v xml:space="preserve"> [2.신세계건설] 양주 옥정 물류센터 신축공사</v>
      </c>
      <c r="D239" s="70" t="str">
        <f>IF(VLOOKUP($B239,'1. 현장별 인원현황'!$C:$J,3,0)=0,"",VLOOKUP($B239,'1. 현장별 인원현황'!$C:$J,3,0))</f>
        <v>김종태</v>
      </c>
      <c r="E239" s="74" t="str">
        <f ca="1">IF(VLOOKUP($B239,'1. 현장별 인원현황'!$C:$J,4,0)=0,"",VLOOKUP($B239,'1. 현장별 인원현황'!$C:$J,4,0))</f>
        <v>61세</v>
      </c>
      <c r="F239" s="70" t="str">
        <f>IF(VLOOKUP($B239,'1. 현장별 인원현황'!$C:$J,7,0)=0,"",VLOOKUP($B239,'1. 현장별 인원현황'!$C:$J,7,0))</f>
        <v>기능공</v>
      </c>
      <c r="G239" s="72" t="str">
        <f>IF(VLOOKUP($B239,'1. 현장별 인원현황'!$C:$J,8,0)=0,"",VLOOKUP($B239,'1. 현장별 인원현황'!$C:$J,8,0))</f>
        <v>전공</v>
      </c>
      <c r="H239" s="67"/>
      <c r="I239" s="73" t="s">
        <v>69</v>
      </c>
      <c r="J239" s="73"/>
      <c r="K239" s="68"/>
      <c r="L239" s="67"/>
      <c r="M239" s="73" t="s">
        <v>69</v>
      </c>
      <c r="N239" s="73"/>
      <c r="O239" s="68"/>
      <c r="P239" s="67"/>
      <c r="Q239" s="73" t="s">
        <v>69</v>
      </c>
      <c r="R239" s="73"/>
      <c r="S239" s="68"/>
      <c r="T239" s="67"/>
      <c r="U239" s="73" t="s">
        <v>69</v>
      </c>
      <c r="V239" s="73"/>
      <c r="W239" s="68"/>
      <c r="X239" s="67"/>
      <c r="Y239" s="73" t="s">
        <v>69</v>
      </c>
      <c r="Z239" s="73"/>
      <c r="AA239" s="68"/>
      <c r="AB239" s="67"/>
      <c r="AC239" s="73" t="s">
        <v>69</v>
      </c>
      <c r="AD239" s="73"/>
      <c r="AE239" s="68"/>
      <c r="AF239" s="67"/>
      <c r="AG239" s="73" t="s">
        <v>69</v>
      </c>
      <c r="AH239" s="73"/>
      <c r="AI239" s="68"/>
      <c r="AJ239" s="67"/>
      <c r="AK239" s="73" t="s">
        <v>69</v>
      </c>
      <c r="AL239" s="73"/>
      <c r="AM239" s="68"/>
      <c r="AN239" s="73" t="s">
        <v>69</v>
      </c>
      <c r="AO239" s="73"/>
      <c r="AP239" s="73"/>
      <c r="AQ239" s="68"/>
      <c r="AR239" s="67">
        <f t="shared" si="122"/>
        <v>80</v>
      </c>
      <c r="AS239" s="68" t="str">
        <f t="shared" si="123"/>
        <v>A</v>
      </c>
      <c r="AV239" s="49">
        <f t="shared" si="79"/>
        <v>0</v>
      </c>
      <c r="AW239" s="49">
        <f t="shared" si="44"/>
        <v>1</v>
      </c>
      <c r="AX239" s="49">
        <f t="shared" si="45"/>
        <v>0</v>
      </c>
      <c r="AY239" s="49">
        <f t="shared" si="46"/>
        <v>0</v>
      </c>
      <c r="AZ239" s="49">
        <f t="shared" si="47"/>
        <v>0</v>
      </c>
      <c r="BA239" s="49">
        <f t="shared" si="48"/>
        <v>1</v>
      </c>
      <c r="BB239" s="49">
        <f t="shared" si="49"/>
        <v>0</v>
      </c>
      <c r="BC239" s="49">
        <f t="shared" si="50"/>
        <v>0</v>
      </c>
      <c r="BD239" s="49">
        <f t="shared" si="51"/>
        <v>0</v>
      </c>
      <c r="BE239" s="49">
        <f t="shared" si="52"/>
        <v>1</v>
      </c>
      <c r="BF239" s="49">
        <f t="shared" si="53"/>
        <v>0</v>
      </c>
      <c r="BG239" s="49">
        <f t="shared" si="54"/>
        <v>0</v>
      </c>
      <c r="BH239" s="49">
        <f t="shared" si="55"/>
        <v>0</v>
      </c>
      <c r="BI239" s="49">
        <f t="shared" si="56"/>
        <v>1</v>
      </c>
      <c r="BJ239" s="49">
        <f t="shared" si="57"/>
        <v>0</v>
      </c>
      <c r="BK239" s="49">
        <f t="shared" si="58"/>
        <v>0</v>
      </c>
      <c r="BL239" s="49">
        <f t="shared" si="59"/>
        <v>0</v>
      </c>
      <c r="BM239" s="49">
        <f t="shared" si="60"/>
        <v>1</v>
      </c>
      <c r="BN239" s="49">
        <f t="shared" si="61"/>
        <v>0</v>
      </c>
      <c r="BO239" s="49">
        <f t="shared" si="62"/>
        <v>0</v>
      </c>
      <c r="BP239" s="49">
        <f t="shared" si="63"/>
        <v>0</v>
      </c>
      <c r="BQ239" s="49">
        <f t="shared" si="64"/>
        <v>1</v>
      </c>
      <c r="BR239" s="49">
        <f t="shared" si="65"/>
        <v>0</v>
      </c>
      <c r="BS239" s="49">
        <f t="shared" si="66"/>
        <v>0</v>
      </c>
      <c r="BT239" s="49">
        <f t="shared" si="67"/>
        <v>0</v>
      </c>
      <c r="BU239" s="49">
        <f t="shared" si="68"/>
        <v>1</v>
      </c>
      <c r="BV239" s="49">
        <f t="shared" si="69"/>
        <v>0</v>
      </c>
      <c r="BW239" s="49">
        <f t="shared" si="70"/>
        <v>0</v>
      </c>
      <c r="BX239" s="49">
        <f t="shared" si="71"/>
        <v>0</v>
      </c>
      <c r="BY239" s="49">
        <f t="shared" si="72"/>
        <v>1</v>
      </c>
      <c r="BZ239" s="49">
        <f t="shared" si="73"/>
        <v>0</v>
      </c>
      <c r="CA239" s="49">
        <f t="shared" si="74"/>
        <v>0</v>
      </c>
      <c r="CB239" s="49">
        <f t="shared" si="75"/>
        <v>1</v>
      </c>
      <c r="CC239" s="49">
        <f t="shared" si="76"/>
        <v>0</v>
      </c>
      <c r="CD239" s="49">
        <f t="shared" si="77"/>
        <v>0</v>
      </c>
      <c r="CE239" s="49">
        <f t="shared" si="78"/>
        <v>0</v>
      </c>
    </row>
    <row r="240" spans="1:83" ht="35.1" customHeight="1" x14ac:dyDescent="0.3">
      <c r="A240" s="123" t="str">
        <f t="shared" si="120"/>
        <v>2팀</v>
      </c>
      <c r="B240" s="69">
        <f t="shared" si="121"/>
        <v>234</v>
      </c>
      <c r="C240" s="120" t="str">
        <f>IF(VLOOKUP($B240,'1. 현장별 인원현황'!$C:$J,2,0)=0,"",VLOOKUP($B240,'1. 현장별 인원현황'!$C:$J,2,0))</f>
        <v xml:space="preserve"> [2.신세계건설] 양주 옥정 물류센터 신축공사</v>
      </c>
      <c r="D240" s="70" t="str">
        <f>IF(VLOOKUP($B240,'1. 현장별 인원현황'!$C:$J,3,0)=0,"",VLOOKUP($B240,'1. 현장별 인원현황'!$C:$J,3,0))</f>
        <v>김태수</v>
      </c>
      <c r="E240" s="74" t="str">
        <f ca="1">IF(VLOOKUP($B240,'1. 현장별 인원현황'!$C:$J,4,0)=0,"",VLOOKUP($B240,'1. 현장별 인원현황'!$C:$J,4,0))</f>
        <v>65세</v>
      </c>
      <c r="F240" s="70" t="str">
        <f>IF(VLOOKUP($B240,'1. 현장별 인원현황'!$C:$J,7,0)=0,"",VLOOKUP($B240,'1. 현장별 인원현황'!$C:$J,7,0))</f>
        <v>기능공</v>
      </c>
      <c r="G240" s="72" t="str">
        <f>IF(VLOOKUP($B240,'1. 현장별 인원현황'!$C:$J,8,0)=0,"",VLOOKUP($B240,'1. 현장별 인원현황'!$C:$J,8,0))</f>
        <v>전공</v>
      </c>
      <c r="H240" s="67"/>
      <c r="I240" s="73" t="s">
        <v>69</v>
      </c>
      <c r="J240" s="73"/>
      <c r="K240" s="68"/>
      <c r="L240" s="67"/>
      <c r="M240" s="73" t="s">
        <v>69</v>
      </c>
      <c r="N240" s="73"/>
      <c r="O240" s="68"/>
      <c r="P240" s="67"/>
      <c r="Q240" s="73" t="s">
        <v>69</v>
      </c>
      <c r="R240" s="73"/>
      <c r="S240" s="68"/>
      <c r="T240" s="67"/>
      <c r="U240" s="73" t="s">
        <v>69</v>
      </c>
      <c r="V240" s="73"/>
      <c r="W240" s="68"/>
      <c r="X240" s="67"/>
      <c r="Y240" s="73" t="s">
        <v>69</v>
      </c>
      <c r="Z240" s="73"/>
      <c r="AA240" s="68"/>
      <c r="AB240" s="67"/>
      <c r="AC240" s="73" t="s">
        <v>69</v>
      </c>
      <c r="AD240" s="73"/>
      <c r="AE240" s="68"/>
      <c r="AF240" s="67"/>
      <c r="AG240" s="73" t="s">
        <v>69</v>
      </c>
      <c r="AH240" s="73"/>
      <c r="AI240" s="68"/>
      <c r="AJ240" s="67"/>
      <c r="AK240" s="73" t="s">
        <v>69</v>
      </c>
      <c r="AL240" s="73"/>
      <c r="AM240" s="68"/>
      <c r="AN240" s="73"/>
      <c r="AO240" s="73" t="s">
        <v>69</v>
      </c>
      <c r="AP240" s="73"/>
      <c r="AQ240" s="68"/>
      <c r="AR240" s="67">
        <f t="shared" si="122"/>
        <v>77</v>
      </c>
      <c r="AS240" s="68" t="str">
        <f t="shared" si="123"/>
        <v>A</v>
      </c>
      <c r="AV240" s="49">
        <f t="shared" si="79"/>
        <v>0</v>
      </c>
      <c r="AW240" s="49">
        <f t="shared" si="44"/>
        <v>1</v>
      </c>
      <c r="AX240" s="49">
        <f t="shared" si="45"/>
        <v>0</v>
      </c>
      <c r="AY240" s="49">
        <f t="shared" si="46"/>
        <v>0</v>
      </c>
      <c r="AZ240" s="49">
        <f t="shared" si="47"/>
        <v>0</v>
      </c>
      <c r="BA240" s="49">
        <f t="shared" si="48"/>
        <v>1</v>
      </c>
      <c r="BB240" s="49">
        <f t="shared" si="49"/>
        <v>0</v>
      </c>
      <c r="BC240" s="49">
        <f t="shared" si="50"/>
        <v>0</v>
      </c>
      <c r="BD240" s="49">
        <f t="shared" si="51"/>
        <v>0</v>
      </c>
      <c r="BE240" s="49">
        <f t="shared" si="52"/>
        <v>1</v>
      </c>
      <c r="BF240" s="49">
        <f t="shared" si="53"/>
        <v>0</v>
      </c>
      <c r="BG240" s="49">
        <f t="shared" si="54"/>
        <v>0</v>
      </c>
      <c r="BH240" s="49">
        <f t="shared" si="55"/>
        <v>0</v>
      </c>
      <c r="BI240" s="49">
        <f t="shared" si="56"/>
        <v>1</v>
      </c>
      <c r="BJ240" s="49">
        <f t="shared" si="57"/>
        <v>0</v>
      </c>
      <c r="BK240" s="49">
        <f t="shared" si="58"/>
        <v>0</v>
      </c>
      <c r="BL240" s="49">
        <f t="shared" si="59"/>
        <v>0</v>
      </c>
      <c r="BM240" s="49">
        <f t="shared" si="60"/>
        <v>1</v>
      </c>
      <c r="BN240" s="49">
        <f t="shared" si="61"/>
        <v>0</v>
      </c>
      <c r="BO240" s="49">
        <f t="shared" si="62"/>
        <v>0</v>
      </c>
      <c r="BP240" s="49">
        <f t="shared" si="63"/>
        <v>0</v>
      </c>
      <c r="BQ240" s="49">
        <f t="shared" si="64"/>
        <v>1</v>
      </c>
      <c r="BR240" s="49">
        <f t="shared" si="65"/>
        <v>0</v>
      </c>
      <c r="BS240" s="49">
        <f t="shared" si="66"/>
        <v>0</v>
      </c>
      <c r="BT240" s="49">
        <f t="shared" si="67"/>
        <v>0</v>
      </c>
      <c r="BU240" s="49">
        <f t="shared" si="68"/>
        <v>1</v>
      </c>
      <c r="BV240" s="49">
        <f t="shared" si="69"/>
        <v>0</v>
      </c>
      <c r="BW240" s="49">
        <f t="shared" si="70"/>
        <v>0</v>
      </c>
      <c r="BX240" s="49">
        <f t="shared" si="71"/>
        <v>0</v>
      </c>
      <c r="BY240" s="49">
        <f t="shared" si="72"/>
        <v>1</v>
      </c>
      <c r="BZ240" s="49">
        <f t="shared" si="73"/>
        <v>0</v>
      </c>
      <c r="CA240" s="49">
        <f t="shared" si="74"/>
        <v>0</v>
      </c>
      <c r="CB240" s="49">
        <f t="shared" si="75"/>
        <v>0</v>
      </c>
      <c r="CC240" s="49">
        <f t="shared" si="76"/>
        <v>1</v>
      </c>
      <c r="CD240" s="49">
        <f t="shared" si="77"/>
        <v>0</v>
      </c>
      <c r="CE240" s="49">
        <f t="shared" si="78"/>
        <v>0</v>
      </c>
    </row>
    <row r="241" spans="1:83" ht="35.1" customHeight="1" x14ac:dyDescent="0.3">
      <c r="A241" s="123" t="str">
        <f t="shared" si="120"/>
        <v>2팀</v>
      </c>
      <c r="B241" s="69">
        <f t="shared" si="121"/>
        <v>235</v>
      </c>
      <c r="C241" s="120" t="str">
        <f>IF(VLOOKUP($B241,'1. 현장별 인원현황'!$C:$J,2,0)=0,"",VLOOKUP($B241,'1. 현장별 인원현황'!$C:$J,2,0))</f>
        <v xml:space="preserve"> [2.신세계건설] 양주 옥정 물류센터 신축공사</v>
      </c>
      <c r="D241" s="70" t="str">
        <f>IF(VLOOKUP($B241,'1. 현장별 인원현황'!$C:$J,3,0)=0,"",VLOOKUP($B241,'1. 현장별 인원현황'!$C:$J,3,0))</f>
        <v>나성조</v>
      </c>
      <c r="E241" s="74" t="str">
        <f ca="1">IF(VLOOKUP($B241,'1. 현장별 인원현황'!$C:$J,4,0)=0,"",VLOOKUP($B241,'1. 현장별 인원현황'!$C:$J,4,0))</f>
        <v>52세</v>
      </c>
      <c r="F241" s="70" t="str">
        <f>IF(VLOOKUP($B241,'1. 현장별 인원현황'!$C:$J,7,0)=0,"",VLOOKUP($B241,'1. 현장별 인원현황'!$C:$J,7,0))</f>
        <v>기능공</v>
      </c>
      <c r="G241" s="72" t="str">
        <f>IF(VLOOKUP($B241,'1. 현장별 인원현황'!$C:$J,8,0)=0,"",VLOOKUP($B241,'1. 현장별 인원현황'!$C:$J,8,0))</f>
        <v>전공</v>
      </c>
      <c r="H241" s="67"/>
      <c r="I241" s="73" t="s">
        <v>69</v>
      </c>
      <c r="J241" s="73"/>
      <c r="K241" s="68"/>
      <c r="L241" s="67"/>
      <c r="M241" s="73" t="s">
        <v>69</v>
      </c>
      <c r="N241" s="73"/>
      <c r="O241" s="68"/>
      <c r="P241" s="67"/>
      <c r="Q241" s="73" t="s">
        <v>69</v>
      </c>
      <c r="R241" s="73"/>
      <c r="S241" s="68"/>
      <c r="T241" s="67"/>
      <c r="U241" s="73" t="s">
        <v>69</v>
      </c>
      <c r="V241" s="73"/>
      <c r="W241" s="68"/>
      <c r="X241" s="67" t="s">
        <v>69</v>
      </c>
      <c r="Y241" s="73"/>
      <c r="Z241" s="73"/>
      <c r="AA241" s="68"/>
      <c r="AB241" s="67"/>
      <c r="AC241" s="73" t="s">
        <v>69</v>
      </c>
      <c r="AD241" s="73"/>
      <c r="AE241" s="68"/>
      <c r="AF241" s="67"/>
      <c r="AG241" s="73" t="s">
        <v>69</v>
      </c>
      <c r="AH241" s="73"/>
      <c r="AI241" s="68"/>
      <c r="AJ241" s="67"/>
      <c r="AK241" s="73" t="s">
        <v>69</v>
      </c>
      <c r="AL241" s="73"/>
      <c r="AM241" s="68"/>
      <c r="AN241" s="73"/>
      <c r="AO241" s="73" t="s">
        <v>69</v>
      </c>
      <c r="AP241" s="73"/>
      <c r="AQ241" s="68"/>
      <c r="AR241" s="67">
        <f t="shared" si="122"/>
        <v>79</v>
      </c>
      <c r="AS241" s="68" t="str">
        <f t="shared" si="123"/>
        <v>A</v>
      </c>
      <c r="AV241" s="49">
        <f t="shared" si="79"/>
        <v>0</v>
      </c>
      <c r="AW241" s="49">
        <f t="shared" si="44"/>
        <v>1</v>
      </c>
      <c r="AX241" s="49">
        <f t="shared" si="45"/>
        <v>0</v>
      </c>
      <c r="AY241" s="49">
        <f t="shared" si="46"/>
        <v>0</v>
      </c>
      <c r="AZ241" s="49">
        <f t="shared" si="47"/>
        <v>0</v>
      </c>
      <c r="BA241" s="49">
        <f t="shared" si="48"/>
        <v>1</v>
      </c>
      <c r="BB241" s="49">
        <f t="shared" si="49"/>
        <v>0</v>
      </c>
      <c r="BC241" s="49">
        <f t="shared" si="50"/>
        <v>0</v>
      </c>
      <c r="BD241" s="49">
        <f t="shared" si="51"/>
        <v>0</v>
      </c>
      <c r="BE241" s="49">
        <f t="shared" si="52"/>
        <v>1</v>
      </c>
      <c r="BF241" s="49">
        <f t="shared" si="53"/>
        <v>0</v>
      </c>
      <c r="BG241" s="49">
        <f t="shared" si="54"/>
        <v>0</v>
      </c>
      <c r="BH241" s="49">
        <f t="shared" si="55"/>
        <v>0</v>
      </c>
      <c r="BI241" s="49">
        <f t="shared" si="56"/>
        <v>1</v>
      </c>
      <c r="BJ241" s="49">
        <f t="shared" si="57"/>
        <v>0</v>
      </c>
      <c r="BK241" s="49">
        <f t="shared" si="58"/>
        <v>0</v>
      </c>
      <c r="BL241" s="49">
        <f t="shared" si="59"/>
        <v>1</v>
      </c>
      <c r="BM241" s="49">
        <f t="shared" si="60"/>
        <v>0</v>
      </c>
      <c r="BN241" s="49">
        <f t="shared" si="61"/>
        <v>0</v>
      </c>
      <c r="BO241" s="49">
        <f t="shared" si="62"/>
        <v>0</v>
      </c>
      <c r="BP241" s="49">
        <f t="shared" si="63"/>
        <v>0</v>
      </c>
      <c r="BQ241" s="49">
        <f t="shared" si="64"/>
        <v>1</v>
      </c>
      <c r="BR241" s="49">
        <f t="shared" si="65"/>
        <v>0</v>
      </c>
      <c r="BS241" s="49">
        <f t="shared" si="66"/>
        <v>0</v>
      </c>
      <c r="BT241" s="49">
        <f t="shared" si="67"/>
        <v>0</v>
      </c>
      <c r="BU241" s="49">
        <f t="shared" si="68"/>
        <v>1</v>
      </c>
      <c r="BV241" s="49">
        <f t="shared" si="69"/>
        <v>0</v>
      </c>
      <c r="BW241" s="49">
        <f t="shared" si="70"/>
        <v>0</v>
      </c>
      <c r="BX241" s="49">
        <f t="shared" si="71"/>
        <v>0</v>
      </c>
      <c r="BY241" s="49">
        <f t="shared" si="72"/>
        <v>1</v>
      </c>
      <c r="BZ241" s="49">
        <f t="shared" si="73"/>
        <v>0</v>
      </c>
      <c r="CA241" s="49">
        <f t="shared" si="74"/>
        <v>0</v>
      </c>
      <c r="CB241" s="49">
        <f t="shared" si="75"/>
        <v>0</v>
      </c>
      <c r="CC241" s="49">
        <f t="shared" si="76"/>
        <v>1</v>
      </c>
      <c r="CD241" s="49">
        <f t="shared" si="77"/>
        <v>0</v>
      </c>
      <c r="CE241" s="49">
        <f t="shared" si="78"/>
        <v>0</v>
      </c>
    </row>
    <row r="242" spans="1:83" ht="35.1" customHeight="1" x14ac:dyDescent="0.3">
      <c r="A242" s="123" t="str">
        <f t="shared" si="120"/>
        <v>2팀</v>
      </c>
      <c r="B242" s="69">
        <f t="shared" si="121"/>
        <v>236</v>
      </c>
      <c r="C242" s="120" t="str">
        <f>IF(VLOOKUP($B242,'1. 현장별 인원현황'!$C:$J,2,0)=0,"",VLOOKUP($B242,'1. 현장별 인원현황'!$C:$J,2,0))</f>
        <v xml:space="preserve"> [2.신세계건설] 양주 옥정 물류센터 신축공사</v>
      </c>
      <c r="D242" s="70" t="str">
        <f>IF(VLOOKUP($B242,'1. 현장별 인원현황'!$C:$J,3,0)=0,"",VLOOKUP($B242,'1. 현장별 인원현황'!$C:$J,3,0))</f>
        <v>박억용</v>
      </c>
      <c r="E242" s="74" t="str">
        <f ca="1">IF(VLOOKUP($B242,'1. 현장별 인원현황'!$C:$J,4,0)=0,"",VLOOKUP($B242,'1. 현장별 인원현황'!$C:$J,4,0))</f>
        <v>66세</v>
      </c>
      <c r="F242" s="70" t="str">
        <f>IF(VLOOKUP($B242,'1. 현장별 인원현황'!$C:$J,7,0)=0,"",VLOOKUP($B242,'1. 현장별 인원현황'!$C:$J,7,0))</f>
        <v>기능공</v>
      </c>
      <c r="G242" s="72" t="str">
        <f>IF(VLOOKUP($B242,'1. 현장별 인원현황'!$C:$J,8,0)=0,"",VLOOKUP($B242,'1. 현장별 인원현황'!$C:$J,8,0))</f>
        <v>전공</v>
      </c>
      <c r="H242" s="67"/>
      <c r="I242" s="73" t="s">
        <v>69</v>
      </c>
      <c r="J242" s="73"/>
      <c r="K242" s="68"/>
      <c r="L242" s="67"/>
      <c r="M242" s="73" t="s">
        <v>69</v>
      </c>
      <c r="N242" s="73"/>
      <c r="O242" s="68"/>
      <c r="P242" s="67"/>
      <c r="Q242" s="73" t="s">
        <v>69</v>
      </c>
      <c r="R242" s="73"/>
      <c r="S242" s="68"/>
      <c r="T242" s="67"/>
      <c r="U242" s="73" t="s">
        <v>69</v>
      </c>
      <c r="V242" s="73"/>
      <c r="W242" s="68"/>
      <c r="X242" s="67"/>
      <c r="Y242" s="73" t="s">
        <v>69</v>
      </c>
      <c r="Z242" s="73"/>
      <c r="AA242" s="68"/>
      <c r="AB242" s="67"/>
      <c r="AC242" s="73" t="s">
        <v>69</v>
      </c>
      <c r="AD242" s="73"/>
      <c r="AE242" s="68"/>
      <c r="AF242" s="67"/>
      <c r="AG242" s="73" t="s">
        <v>69</v>
      </c>
      <c r="AH242" s="73"/>
      <c r="AI242" s="68"/>
      <c r="AJ242" s="67"/>
      <c r="AK242" s="73" t="s">
        <v>69</v>
      </c>
      <c r="AL242" s="73"/>
      <c r="AM242" s="68"/>
      <c r="AN242" s="73"/>
      <c r="AO242" s="73" t="s">
        <v>69</v>
      </c>
      <c r="AP242" s="73"/>
      <c r="AQ242" s="68"/>
      <c r="AR242" s="67">
        <f t="shared" si="122"/>
        <v>77</v>
      </c>
      <c r="AS242" s="68" t="str">
        <f t="shared" si="123"/>
        <v>A</v>
      </c>
      <c r="AV242" s="49">
        <f t="shared" si="79"/>
        <v>0</v>
      </c>
      <c r="AW242" s="49">
        <f t="shared" si="44"/>
        <v>1</v>
      </c>
      <c r="AX242" s="49">
        <f t="shared" si="45"/>
        <v>0</v>
      </c>
      <c r="AY242" s="49">
        <f t="shared" si="46"/>
        <v>0</v>
      </c>
      <c r="AZ242" s="49">
        <f t="shared" si="47"/>
        <v>0</v>
      </c>
      <c r="BA242" s="49">
        <f t="shared" si="48"/>
        <v>1</v>
      </c>
      <c r="BB242" s="49">
        <f t="shared" si="49"/>
        <v>0</v>
      </c>
      <c r="BC242" s="49">
        <f t="shared" si="50"/>
        <v>0</v>
      </c>
      <c r="BD242" s="49">
        <f t="shared" si="51"/>
        <v>0</v>
      </c>
      <c r="BE242" s="49">
        <f t="shared" si="52"/>
        <v>1</v>
      </c>
      <c r="BF242" s="49">
        <f t="shared" si="53"/>
        <v>0</v>
      </c>
      <c r="BG242" s="49">
        <f t="shared" si="54"/>
        <v>0</v>
      </c>
      <c r="BH242" s="49">
        <f t="shared" si="55"/>
        <v>0</v>
      </c>
      <c r="BI242" s="49">
        <f t="shared" si="56"/>
        <v>1</v>
      </c>
      <c r="BJ242" s="49">
        <f t="shared" si="57"/>
        <v>0</v>
      </c>
      <c r="BK242" s="49">
        <f t="shared" si="58"/>
        <v>0</v>
      </c>
      <c r="BL242" s="49">
        <f t="shared" si="59"/>
        <v>0</v>
      </c>
      <c r="BM242" s="49">
        <f t="shared" si="60"/>
        <v>1</v>
      </c>
      <c r="BN242" s="49">
        <f t="shared" si="61"/>
        <v>0</v>
      </c>
      <c r="BO242" s="49">
        <f t="shared" si="62"/>
        <v>0</v>
      </c>
      <c r="BP242" s="49">
        <f t="shared" si="63"/>
        <v>0</v>
      </c>
      <c r="BQ242" s="49">
        <f t="shared" si="64"/>
        <v>1</v>
      </c>
      <c r="BR242" s="49">
        <f t="shared" si="65"/>
        <v>0</v>
      </c>
      <c r="BS242" s="49">
        <f t="shared" si="66"/>
        <v>0</v>
      </c>
      <c r="BT242" s="49">
        <f t="shared" si="67"/>
        <v>0</v>
      </c>
      <c r="BU242" s="49">
        <f t="shared" si="68"/>
        <v>1</v>
      </c>
      <c r="BV242" s="49">
        <f t="shared" si="69"/>
        <v>0</v>
      </c>
      <c r="BW242" s="49">
        <f t="shared" si="70"/>
        <v>0</v>
      </c>
      <c r="BX242" s="49">
        <f t="shared" si="71"/>
        <v>0</v>
      </c>
      <c r="BY242" s="49">
        <f t="shared" si="72"/>
        <v>1</v>
      </c>
      <c r="BZ242" s="49">
        <f t="shared" si="73"/>
        <v>0</v>
      </c>
      <c r="CA242" s="49">
        <f t="shared" si="74"/>
        <v>0</v>
      </c>
      <c r="CB242" s="49">
        <f t="shared" si="75"/>
        <v>0</v>
      </c>
      <c r="CC242" s="49">
        <f t="shared" si="76"/>
        <v>1</v>
      </c>
      <c r="CD242" s="49">
        <f t="shared" si="77"/>
        <v>0</v>
      </c>
      <c r="CE242" s="49">
        <f t="shared" si="78"/>
        <v>0</v>
      </c>
    </row>
    <row r="243" spans="1:83" ht="35.1" customHeight="1" x14ac:dyDescent="0.3">
      <c r="A243" s="123" t="str">
        <f t="shared" si="120"/>
        <v>2팀</v>
      </c>
      <c r="B243" s="69">
        <f t="shared" si="121"/>
        <v>237</v>
      </c>
      <c r="C243" s="120" t="str">
        <f>IF(VLOOKUP($B243,'1. 현장별 인원현황'!$C:$J,2,0)=0,"",VLOOKUP($B243,'1. 현장별 인원현황'!$C:$J,2,0))</f>
        <v xml:space="preserve"> [2.신세계건설] 양주 옥정 물류센터 신축공사</v>
      </c>
      <c r="D243" s="70" t="str">
        <f>IF(VLOOKUP($B243,'1. 현장별 인원현황'!$C:$J,3,0)=0,"",VLOOKUP($B243,'1. 현장별 인원현황'!$C:$J,3,0))</f>
        <v>박재환</v>
      </c>
      <c r="E243" s="74" t="str">
        <f ca="1">IF(VLOOKUP($B243,'1. 현장별 인원현황'!$C:$J,4,0)=0,"",VLOOKUP($B243,'1. 현장별 인원현황'!$C:$J,4,0))</f>
        <v>51세</v>
      </c>
      <c r="F243" s="70" t="str">
        <f>IF(VLOOKUP($B243,'1. 현장별 인원현황'!$C:$J,7,0)=0,"",VLOOKUP($B243,'1. 현장별 인원현황'!$C:$J,7,0))</f>
        <v>기능공</v>
      </c>
      <c r="G243" s="72" t="str">
        <f>IF(VLOOKUP($B243,'1. 현장별 인원현황'!$C:$J,8,0)=0,"",VLOOKUP($B243,'1. 현장별 인원현황'!$C:$J,8,0))</f>
        <v>전공</v>
      </c>
      <c r="H243" s="67"/>
      <c r="I243" s="73" t="s">
        <v>69</v>
      </c>
      <c r="J243" s="73"/>
      <c r="K243" s="68"/>
      <c r="L243" s="67"/>
      <c r="M243" s="73" t="s">
        <v>69</v>
      </c>
      <c r="N243" s="73"/>
      <c r="O243" s="68"/>
      <c r="P243" s="67"/>
      <c r="Q243" s="73" t="s">
        <v>69</v>
      </c>
      <c r="R243" s="73"/>
      <c r="S243" s="68"/>
      <c r="T243" s="67"/>
      <c r="U243" s="73" t="s">
        <v>69</v>
      </c>
      <c r="V243" s="73"/>
      <c r="W243" s="68"/>
      <c r="X243" s="67" t="s">
        <v>69</v>
      </c>
      <c r="Y243" s="73"/>
      <c r="Z243" s="73"/>
      <c r="AA243" s="68"/>
      <c r="AB243" s="67"/>
      <c r="AC243" s="73" t="s">
        <v>69</v>
      </c>
      <c r="AD243" s="73"/>
      <c r="AE243" s="68"/>
      <c r="AF243" s="67"/>
      <c r="AG243" s="73" t="s">
        <v>69</v>
      </c>
      <c r="AH243" s="73"/>
      <c r="AI243" s="68"/>
      <c r="AJ243" s="67"/>
      <c r="AK243" s="73" t="s">
        <v>69</v>
      </c>
      <c r="AL243" s="73"/>
      <c r="AM243" s="68"/>
      <c r="AN243" s="73"/>
      <c r="AO243" s="73" t="s">
        <v>69</v>
      </c>
      <c r="AP243" s="73"/>
      <c r="AQ243" s="68"/>
      <c r="AR243" s="67">
        <f t="shared" si="122"/>
        <v>79</v>
      </c>
      <c r="AS243" s="68" t="str">
        <f t="shared" si="123"/>
        <v>A</v>
      </c>
      <c r="AV243" s="49">
        <f t="shared" si="79"/>
        <v>0</v>
      </c>
      <c r="AW243" s="49">
        <f t="shared" si="44"/>
        <v>1</v>
      </c>
      <c r="AX243" s="49">
        <f t="shared" si="45"/>
        <v>0</v>
      </c>
      <c r="AY243" s="49">
        <f t="shared" si="46"/>
        <v>0</v>
      </c>
      <c r="AZ243" s="49">
        <f t="shared" si="47"/>
        <v>0</v>
      </c>
      <c r="BA243" s="49">
        <f t="shared" si="48"/>
        <v>1</v>
      </c>
      <c r="BB243" s="49">
        <f t="shared" si="49"/>
        <v>0</v>
      </c>
      <c r="BC243" s="49">
        <f t="shared" si="50"/>
        <v>0</v>
      </c>
      <c r="BD243" s="49">
        <f t="shared" si="51"/>
        <v>0</v>
      </c>
      <c r="BE243" s="49">
        <f t="shared" si="52"/>
        <v>1</v>
      </c>
      <c r="BF243" s="49">
        <f t="shared" si="53"/>
        <v>0</v>
      </c>
      <c r="BG243" s="49">
        <f t="shared" si="54"/>
        <v>0</v>
      </c>
      <c r="BH243" s="49">
        <f t="shared" si="55"/>
        <v>0</v>
      </c>
      <c r="BI243" s="49">
        <f t="shared" si="56"/>
        <v>1</v>
      </c>
      <c r="BJ243" s="49">
        <f t="shared" si="57"/>
        <v>0</v>
      </c>
      <c r="BK243" s="49">
        <f t="shared" si="58"/>
        <v>0</v>
      </c>
      <c r="BL243" s="49">
        <f t="shared" si="59"/>
        <v>1</v>
      </c>
      <c r="BM243" s="49">
        <f t="shared" si="60"/>
        <v>0</v>
      </c>
      <c r="BN243" s="49">
        <f t="shared" si="61"/>
        <v>0</v>
      </c>
      <c r="BO243" s="49">
        <f t="shared" si="62"/>
        <v>0</v>
      </c>
      <c r="BP243" s="49">
        <f t="shared" si="63"/>
        <v>0</v>
      </c>
      <c r="BQ243" s="49">
        <f t="shared" si="64"/>
        <v>1</v>
      </c>
      <c r="BR243" s="49">
        <f t="shared" si="65"/>
        <v>0</v>
      </c>
      <c r="BS243" s="49">
        <f t="shared" si="66"/>
        <v>0</v>
      </c>
      <c r="BT243" s="49">
        <f t="shared" si="67"/>
        <v>0</v>
      </c>
      <c r="BU243" s="49">
        <f t="shared" si="68"/>
        <v>1</v>
      </c>
      <c r="BV243" s="49">
        <f t="shared" si="69"/>
        <v>0</v>
      </c>
      <c r="BW243" s="49">
        <f t="shared" si="70"/>
        <v>0</v>
      </c>
      <c r="BX243" s="49">
        <f t="shared" si="71"/>
        <v>0</v>
      </c>
      <c r="BY243" s="49">
        <f t="shared" si="72"/>
        <v>1</v>
      </c>
      <c r="BZ243" s="49">
        <f t="shared" si="73"/>
        <v>0</v>
      </c>
      <c r="CA243" s="49">
        <f t="shared" si="74"/>
        <v>0</v>
      </c>
      <c r="CB243" s="49">
        <f t="shared" si="75"/>
        <v>0</v>
      </c>
      <c r="CC243" s="49">
        <f t="shared" si="76"/>
        <v>1</v>
      </c>
      <c r="CD243" s="49">
        <f t="shared" si="77"/>
        <v>0</v>
      </c>
      <c r="CE243" s="49">
        <f t="shared" si="78"/>
        <v>0</v>
      </c>
    </row>
    <row r="244" spans="1:83" ht="35.1" customHeight="1" x14ac:dyDescent="0.3">
      <c r="A244" s="123" t="str">
        <f t="shared" si="120"/>
        <v>2팀</v>
      </c>
      <c r="B244" s="69">
        <f t="shared" si="121"/>
        <v>238</v>
      </c>
      <c r="C244" s="120" t="str">
        <f>IF(VLOOKUP($B244,'1. 현장별 인원현황'!$C:$J,2,0)=0,"",VLOOKUP($B244,'1. 현장별 인원현황'!$C:$J,2,0))</f>
        <v xml:space="preserve"> [2.신세계건설] 양주 옥정 물류센터 신축공사</v>
      </c>
      <c r="D244" s="70" t="str">
        <f>IF(VLOOKUP($B244,'1. 현장별 인원현황'!$C:$J,3,0)=0,"",VLOOKUP($B244,'1. 현장별 인원현황'!$C:$J,3,0))</f>
        <v>박진국</v>
      </c>
      <c r="E244" s="74" t="str">
        <f ca="1">IF(VLOOKUP($B244,'1. 현장별 인원현황'!$C:$J,4,0)=0,"",VLOOKUP($B244,'1. 현장별 인원현황'!$C:$J,4,0))</f>
        <v>52세</v>
      </c>
      <c r="F244" s="70" t="str">
        <f>IF(VLOOKUP($B244,'1. 현장별 인원현황'!$C:$J,7,0)=0,"",VLOOKUP($B244,'1. 현장별 인원현황'!$C:$J,7,0))</f>
        <v>기능공</v>
      </c>
      <c r="G244" s="72" t="str">
        <f>IF(VLOOKUP($B244,'1. 현장별 인원현황'!$C:$J,8,0)=0,"",VLOOKUP($B244,'1. 현장별 인원현황'!$C:$J,8,0))</f>
        <v>전공</v>
      </c>
      <c r="H244" s="67" t="s">
        <v>69</v>
      </c>
      <c r="I244" s="73"/>
      <c r="J244" s="73"/>
      <c r="K244" s="68"/>
      <c r="L244" s="67" t="s">
        <v>69</v>
      </c>
      <c r="M244" s="73"/>
      <c r="N244" s="73"/>
      <c r="O244" s="68"/>
      <c r="P244" s="67" t="s">
        <v>69</v>
      </c>
      <c r="Q244" s="73"/>
      <c r="R244" s="73"/>
      <c r="S244" s="68"/>
      <c r="T244" s="67" t="s">
        <v>69</v>
      </c>
      <c r="U244" s="73"/>
      <c r="V244" s="73"/>
      <c r="W244" s="68"/>
      <c r="X244" s="67" t="s">
        <v>69</v>
      </c>
      <c r="Y244" s="73"/>
      <c r="Z244" s="73"/>
      <c r="AA244" s="68"/>
      <c r="AB244" s="67" t="s">
        <v>69</v>
      </c>
      <c r="AC244" s="73"/>
      <c r="AD244" s="73"/>
      <c r="AE244" s="68"/>
      <c r="AF244" s="67" t="s">
        <v>69</v>
      </c>
      <c r="AG244" s="73"/>
      <c r="AH244" s="73"/>
      <c r="AI244" s="68"/>
      <c r="AJ244" s="67" t="s">
        <v>69</v>
      </c>
      <c r="AK244" s="73"/>
      <c r="AL244" s="73"/>
      <c r="AM244" s="68"/>
      <c r="AN244" s="73" t="s">
        <v>69</v>
      </c>
      <c r="AO244" s="73"/>
      <c r="AP244" s="73"/>
      <c r="AQ244" s="68"/>
      <c r="AR244" s="67">
        <f t="shared" si="122"/>
        <v>100</v>
      </c>
      <c r="AS244" s="68" t="str">
        <f t="shared" si="123"/>
        <v>S</v>
      </c>
      <c r="AV244" s="49">
        <f t="shared" si="79"/>
        <v>1</v>
      </c>
      <c r="AW244" s="49">
        <f t="shared" si="44"/>
        <v>0</v>
      </c>
      <c r="AX244" s="49">
        <f t="shared" si="45"/>
        <v>0</v>
      </c>
      <c r="AY244" s="49">
        <f t="shared" si="46"/>
        <v>0</v>
      </c>
      <c r="AZ244" s="49">
        <f t="shared" si="47"/>
        <v>1</v>
      </c>
      <c r="BA244" s="49">
        <f t="shared" si="48"/>
        <v>0</v>
      </c>
      <c r="BB244" s="49">
        <f t="shared" si="49"/>
        <v>0</v>
      </c>
      <c r="BC244" s="49">
        <f t="shared" si="50"/>
        <v>0</v>
      </c>
      <c r="BD244" s="49">
        <f t="shared" si="51"/>
        <v>1</v>
      </c>
      <c r="BE244" s="49">
        <f t="shared" si="52"/>
        <v>0</v>
      </c>
      <c r="BF244" s="49">
        <f t="shared" si="53"/>
        <v>0</v>
      </c>
      <c r="BG244" s="49">
        <f t="shared" si="54"/>
        <v>0</v>
      </c>
      <c r="BH244" s="49">
        <f t="shared" si="55"/>
        <v>1</v>
      </c>
      <c r="BI244" s="49">
        <f t="shared" si="56"/>
        <v>0</v>
      </c>
      <c r="BJ244" s="49">
        <f t="shared" si="57"/>
        <v>0</v>
      </c>
      <c r="BK244" s="49">
        <f t="shared" si="58"/>
        <v>0</v>
      </c>
      <c r="BL244" s="49">
        <f t="shared" si="59"/>
        <v>1</v>
      </c>
      <c r="BM244" s="49">
        <f t="shared" si="60"/>
        <v>0</v>
      </c>
      <c r="BN244" s="49">
        <f t="shared" si="61"/>
        <v>0</v>
      </c>
      <c r="BO244" s="49">
        <f t="shared" si="62"/>
        <v>0</v>
      </c>
      <c r="BP244" s="49">
        <f t="shared" si="63"/>
        <v>1</v>
      </c>
      <c r="BQ244" s="49">
        <f t="shared" si="64"/>
        <v>0</v>
      </c>
      <c r="BR244" s="49">
        <f t="shared" si="65"/>
        <v>0</v>
      </c>
      <c r="BS244" s="49">
        <f t="shared" si="66"/>
        <v>0</v>
      </c>
      <c r="BT244" s="49">
        <f t="shared" si="67"/>
        <v>1</v>
      </c>
      <c r="BU244" s="49">
        <f t="shared" si="68"/>
        <v>0</v>
      </c>
      <c r="BV244" s="49">
        <f t="shared" si="69"/>
        <v>0</v>
      </c>
      <c r="BW244" s="49">
        <f t="shared" si="70"/>
        <v>0</v>
      </c>
      <c r="BX244" s="49">
        <f t="shared" si="71"/>
        <v>1</v>
      </c>
      <c r="BY244" s="49">
        <f t="shared" si="72"/>
        <v>0</v>
      </c>
      <c r="BZ244" s="49">
        <f t="shared" si="73"/>
        <v>0</v>
      </c>
      <c r="CA244" s="49">
        <f t="shared" si="74"/>
        <v>0</v>
      </c>
      <c r="CB244" s="49">
        <f t="shared" si="75"/>
        <v>1</v>
      </c>
      <c r="CC244" s="49">
        <f t="shared" si="76"/>
        <v>0</v>
      </c>
      <c r="CD244" s="49">
        <f t="shared" si="77"/>
        <v>0</v>
      </c>
      <c r="CE244" s="49">
        <f t="shared" si="78"/>
        <v>0</v>
      </c>
    </row>
    <row r="245" spans="1:83" ht="35.1" customHeight="1" x14ac:dyDescent="0.3">
      <c r="A245" s="123" t="str">
        <f t="shared" si="120"/>
        <v>2팀</v>
      </c>
      <c r="B245" s="69">
        <f t="shared" si="121"/>
        <v>239</v>
      </c>
      <c r="C245" s="120" t="str">
        <f>IF(VLOOKUP($B245,'1. 현장별 인원현황'!$C:$J,2,0)=0,"",VLOOKUP($B245,'1. 현장별 인원현황'!$C:$J,2,0))</f>
        <v xml:space="preserve"> [2.신세계건설] 양주 옥정 물류센터 신축공사</v>
      </c>
      <c r="D245" s="70" t="str">
        <f>IF(VLOOKUP($B245,'1. 현장별 인원현황'!$C:$J,3,0)=0,"",VLOOKUP($B245,'1. 현장별 인원현황'!$C:$J,3,0))</f>
        <v>방현우</v>
      </c>
      <c r="E245" s="74" t="str">
        <f ca="1">IF(VLOOKUP($B245,'1. 현장별 인원현황'!$C:$J,4,0)=0,"",VLOOKUP($B245,'1. 현장별 인원현황'!$C:$J,4,0))</f>
        <v>30세</v>
      </c>
      <c r="F245" s="70" t="str">
        <f>IF(VLOOKUP($B245,'1. 현장별 인원현황'!$C:$J,7,0)=0,"",VLOOKUP($B245,'1. 현장별 인원현황'!$C:$J,7,0))</f>
        <v>기능공</v>
      </c>
      <c r="G245" s="72" t="str">
        <f>IF(VLOOKUP($B245,'1. 현장별 인원현황'!$C:$J,8,0)=0,"",VLOOKUP($B245,'1. 현장별 인원현황'!$C:$J,8,0))</f>
        <v>전공</v>
      </c>
      <c r="H245" s="67"/>
      <c r="I245" s="73" t="s">
        <v>69</v>
      </c>
      <c r="J245" s="73"/>
      <c r="K245" s="68"/>
      <c r="L245" s="67"/>
      <c r="M245" s="73" t="s">
        <v>69</v>
      </c>
      <c r="N245" s="73"/>
      <c r="O245" s="68"/>
      <c r="P245" s="67"/>
      <c r="Q245" s="73" t="s">
        <v>69</v>
      </c>
      <c r="R245" s="73"/>
      <c r="S245" s="68"/>
      <c r="T245" s="67"/>
      <c r="U245" s="73"/>
      <c r="V245" s="73" t="s">
        <v>69</v>
      </c>
      <c r="W245" s="68"/>
      <c r="X245" s="67"/>
      <c r="Y245" s="73" t="s">
        <v>69</v>
      </c>
      <c r="Z245" s="73"/>
      <c r="AA245" s="68"/>
      <c r="AB245" s="67"/>
      <c r="AC245" s="73" t="s">
        <v>69</v>
      </c>
      <c r="AD245" s="73"/>
      <c r="AE245" s="68"/>
      <c r="AF245" s="67"/>
      <c r="AG245" s="73" t="s">
        <v>69</v>
      </c>
      <c r="AH245" s="73"/>
      <c r="AI245" s="68"/>
      <c r="AJ245" s="67"/>
      <c r="AK245" s="73" t="s">
        <v>69</v>
      </c>
      <c r="AL245" s="73"/>
      <c r="AM245" s="68"/>
      <c r="AN245" s="73" t="s">
        <v>69</v>
      </c>
      <c r="AO245" s="73"/>
      <c r="AP245" s="73"/>
      <c r="AQ245" s="68"/>
      <c r="AR245" s="67">
        <f t="shared" si="122"/>
        <v>78</v>
      </c>
      <c r="AS245" s="68" t="str">
        <f t="shared" si="123"/>
        <v>A</v>
      </c>
      <c r="AV245" s="49">
        <f t="shared" si="79"/>
        <v>0</v>
      </c>
      <c r="AW245" s="49">
        <f t="shared" si="44"/>
        <v>1</v>
      </c>
      <c r="AX245" s="49">
        <f t="shared" si="45"/>
        <v>0</v>
      </c>
      <c r="AY245" s="49">
        <f t="shared" si="46"/>
        <v>0</v>
      </c>
      <c r="AZ245" s="49">
        <f t="shared" si="47"/>
        <v>0</v>
      </c>
      <c r="BA245" s="49">
        <f t="shared" si="48"/>
        <v>1</v>
      </c>
      <c r="BB245" s="49">
        <f t="shared" si="49"/>
        <v>0</v>
      </c>
      <c r="BC245" s="49">
        <f t="shared" si="50"/>
        <v>0</v>
      </c>
      <c r="BD245" s="49">
        <f t="shared" si="51"/>
        <v>0</v>
      </c>
      <c r="BE245" s="49">
        <f t="shared" si="52"/>
        <v>1</v>
      </c>
      <c r="BF245" s="49">
        <f t="shared" si="53"/>
        <v>0</v>
      </c>
      <c r="BG245" s="49">
        <f t="shared" si="54"/>
        <v>0</v>
      </c>
      <c r="BH245" s="49">
        <f t="shared" si="55"/>
        <v>0</v>
      </c>
      <c r="BI245" s="49">
        <f t="shared" si="56"/>
        <v>0</v>
      </c>
      <c r="BJ245" s="49">
        <f t="shared" si="57"/>
        <v>1</v>
      </c>
      <c r="BK245" s="49">
        <f t="shared" si="58"/>
        <v>0</v>
      </c>
      <c r="BL245" s="49">
        <f t="shared" si="59"/>
        <v>0</v>
      </c>
      <c r="BM245" s="49">
        <f t="shared" si="60"/>
        <v>1</v>
      </c>
      <c r="BN245" s="49">
        <f t="shared" si="61"/>
        <v>0</v>
      </c>
      <c r="BO245" s="49">
        <f t="shared" si="62"/>
        <v>0</v>
      </c>
      <c r="BP245" s="49">
        <f t="shared" si="63"/>
        <v>0</v>
      </c>
      <c r="BQ245" s="49">
        <f t="shared" si="64"/>
        <v>1</v>
      </c>
      <c r="BR245" s="49">
        <f t="shared" si="65"/>
        <v>0</v>
      </c>
      <c r="BS245" s="49">
        <f t="shared" si="66"/>
        <v>0</v>
      </c>
      <c r="BT245" s="49">
        <f t="shared" si="67"/>
        <v>0</v>
      </c>
      <c r="BU245" s="49">
        <f t="shared" si="68"/>
        <v>1</v>
      </c>
      <c r="BV245" s="49">
        <f t="shared" si="69"/>
        <v>0</v>
      </c>
      <c r="BW245" s="49">
        <f t="shared" si="70"/>
        <v>0</v>
      </c>
      <c r="BX245" s="49">
        <f t="shared" si="71"/>
        <v>0</v>
      </c>
      <c r="BY245" s="49">
        <f t="shared" si="72"/>
        <v>1</v>
      </c>
      <c r="BZ245" s="49">
        <f t="shared" si="73"/>
        <v>0</v>
      </c>
      <c r="CA245" s="49">
        <f t="shared" si="74"/>
        <v>0</v>
      </c>
      <c r="CB245" s="49">
        <f t="shared" si="75"/>
        <v>1</v>
      </c>
      <c r="CC245" s="49">
        <f t="shared" si="76"/>
        <v>0</v>
      </c>
      <c r="CD245" s="49">
        <f t="shared" si="77"/>
        <v>0</v>
      </c>
      <c r="CE245" s="49">
        <f t="shared" si="78"/>
        <v>0</v>
      </c>
    </row>
    <row r="246" spans="1:83" ht="35.1" customHeight="1" x14ac:dyDescent="0.3">
      <c r="A246" s="123" t="str">
        <f t="shared" si="120"/>
        <v>2팀</v>
      </c>
      <c r="B246" s="69">
        <f t="shared" si="121"/>
        <v>240</v>
      </c>
      <c r="C246" s="120" t="str">
        <f>IF(VLOOKUP($B246,'1. 현장별 인원현황'!$C:$J,2,0)=0,"",VLOOKUP($B246,'1. 현장별 인원현황'!$C:$J,2,0))</f>
        <v xml:space="preserve"> [2.신세계건설] 양주 옥정 물류센터 신축공사</v>
      </c>
      <c r="D246" s="70" t="str">
        <f>IF(VLOOKUP($B246,'1. 현장별 인원현황'!$C:$J,3,0)=0,"",VLOOKUP($B246,'1. 현장별 인원현황'!$C:$J,3,0))</f>
        <v>서동민</v>
      </c>
      <c r="E246" s="74" t="str">
        <f ca="1">IF(VLOOKUP($B246,'1. 현장별 인원현황'!$C:$J,4,0)=0,"",VLOOKUP($B246,'1. 현장별 인원현황'!$C:$J,4,0))</f>
        <v>53세</v>
      </c>
      <c r="F246" s="70" t="str">
        <f>IF(VLOOKUP($B246,'1. 현장별 인원현황'!$C:$J,7,0)=0,"",VLOOKUP($B246,'1. 현장별 인원현황'!$C:$J,7,0))</f>
        <v>기능공</v>
      </c>
      <c r="G246" s="72" t="str">
        <f>IF(VLOOKUP($B246,'1. 현장별 인원현황'!$C:$J,8,0)=0,"",VLOOKUP($B246,'1. 현장별 인원현황'!$C:$J,8,0))</f>
        <v>전공</v>
      </c>
      <c r="H246" s="67" t="s">
        <v>69</v>
      </c>
      <c r="I246" s="73"/>
      <c r="J246" s="73"/>
      <c r="K246" s="68"/>
      <c r="L246" s="67" t="s">
        <v>69</v>
      </c>
      <c r="M246" s="73"/>
      <c r="N246" s="73"/>
      <c r="O246" s="68"/>
      <c r="P246" s="67" t="s">
        <v>69</v>
      </c>
      <c r="Q246" s="73"/>
      <c r="R246" s="73"/>
      <c r="S246" s="68"/>
      <c r="T246" s="67" t="s">
        <v>69</v>
      </c>
      <c r="U246" s="73"/>
      <c r="V246" s="73"/>
      <c r="W246" s="68"/>
      <c r="X246" s="67" t="s">
        <v>69</v>
      </c>
      <c r="Y246" s="73"/>
      <c r="Z246" s="73"/>
      <c r="AA246" s="68"/>
      <c r="AB246" s="67" t="s">
        <v>69</v>
      </c>
      <c r="AC246" s="73"/>
      <c r="AD246" s="73"/>
      <c r="AE246" s="68"/>
      <c r="AF246" s="67" t="s">
        <v>69</v>
      </c>
      <c r="AG246" s="73"/>
      <c r="AH246" s="73"/>
      <c r="AI246" s="68"/>
      <c r="AJ246" s="67" t="s">
        <v>69</v>
      </c>
      <c r="AK246" s="73"/>
      <c r="AL246" s="73"/>
      <c r="AM246" s="68"/>
      <c r="AN246" s="73" t="s">
        <v>69</v>
      </c>
      <c r="AO246" s="73"/>
      <c r="AP246" s="73"/>
      <c r="AQ246" s="68"/>
      <c r="AR246" s="67">
        <f t="shared" si="122"/>
        <v>100</v>
      </c>
      <c r="AS246" s="68" t="str">
        <f t="shared" si="123"/>
        <v>S</v>
      </c>
      <c r="AV246" s="49">
        <f t="shared" si="79"/>
        <v>1</v>
      </c>
      <c r="AW246" s="49">
        <f t="shared" si="44"/>
        <v>0</v>
      </c>
      <c r="AX246" s="49">
        <f t="shared" si="45"/>
        <v>0</v>
      </c>
      <c r="AY246" s="49">
        <f t="shared" si="46"/>
        <v>0</v>
      </c>
      <c r="AZ246" s="49">
        <f t="shared" si="47"/>
        <v>1</v>
      </c>
      <c r="BA246" s="49">
        <f t="shared" si="48"/>
        <v>0</v>
      </c>
      <c r="BB246" s="49">
        <f t="shared" si="49"/>
        <v>0</v>
      </c>
      <c r="BC246" s="49">
        <f t="shared" si="50"/>
        <v>0</v>
      </c>
      <c r="BD246" s="49">
        <f t="shared" si="51"/>
        <v>1</v>
      </c>
      <c r="BE246" s="49">
        <f t="shared" si="52"/>
        <v>0</v>
      </c>
      <c r="BF246" s="49">
        <f t="shared" si="53"/>
        <v>0</v>
      </c>
      <c r="BG246" s="49">
        <f t="shared" si="54"/>
        <v>0</v>
      </c>
      <c r="BH246" s="49">
        <f t="shared" si="55"/>
        <v>1</v>
      </c>
      <c r="BI246" s="49">
        <f t="shared" si="56"/>
        <v>0</v>
      </c>
      <c r="BJ246" s="49">
        <f t="shared" si="57"/>
        <v>0</v>
      </c>
      <c r="BK246" s="49">
        <f t="shared" si="58"/>
        <v>0</v>
      </c>
      <c r="BL246" s="49">
        <f t="shared" si="59"/>
        <v>1</v>
      </c>
      <c r="BM246" s="49">
        <f t="shared" si="60"/>
        <v>0</v>
      </c>
      <c r="BN246" s="49">
        <f t="shared" si="61"/>
        <v>0</v>
      </c>
      <c r="BO246" s="49">
        <f t="shared" si="62"/>
        <v>0</v>
      </c>
      <c r="BP246" s="49">
        <f t="shared" si="63"/>
        <v>1</v>
      </c>
      <c r="BQ246" s="49">
        <f t="shared" si="64"/>
        <v>0</v>
      </c>
      <c r="BR246" s="49">
        <f t="shared" si="65"/>
        <v>0</v>
      </c>
      <c r="BS246" s="49">
        <f t="shared" si="66"/>
        <v>0</v>
      </c>
      <c r="BT246" s="49">
        <f t="shared" si="67"/>
        <v>1</v>
      </c>
      <c r="BU246" s="49">
        <f t="shared" si="68"/>
        <v>0</v>
      </c>
      <c r="BV246" s="49">
        <f t="shared" si="69"/>
        <v>0</v>
      </c>
      <c r="BW246" s="49">
        <f t="shared" si="70"/>
        <v>0</v>
      </c>
      <c r="BX246" s="49">
        <f t="shared" si="71"/>
        <v>1</v>
      </c>
      <c r="BY246" s="49">
        <f t="shared" si="72"/>
        <v>0</v>
      </c>
      <c r="BZ246" s="49">
        <f t="shared" si="73"/>
        <v>0</v>
      </c>
      <c r="CA246" s="49">
        <f t="shared" si="74"/>
        <v>0</v>
      </c>
      <c r="CB246" s="49">
        <f t="shared" si="75"/>
        <v>1</v>
      </c>
      <c r="CC246" s="49">
        <f t="shared" si="76"/>
        <v>0</v>
      </c>
      <c r="CD246" s="49">
        <f t="shared" si="77"/>
        <v>0</v>
      </c>
      <c r="CE246" s="49">
        <f t="shared" si="78"/>
        <v>0</v>
      </c>
    </row>
    <row r="247" spans="1:83" ht="35.1" customHeight="1" x14ac:dyDescent="0.3">
      <c r="A247" s="123" t="str">
        <f t="shared" si="120"/>
        <v>2팀</v>
      </c>
      <c r="B247" s="69">
        <f t="shared" si="121"/>
        <v>241</v>
      </c>
      <c r="C247" s="120" t="str">
        <f>IF(VLOOKUP($B247,'1. 현장별 인원현황'!$C:$J,2,0)=0,"",VLOOKUP($B247,'1. 현장별 인원현황'!$C:$J,2,0))</f>
        <v xml:space="preserve"> [2.신세계건설] 양주 옥정 물류센터 신축공사</v>
      </c>
      <c r="D247" s="70" t="str">
        <f>IF(VLOOKUP($B247,'1. 현장별 인원현황'!$C:$J,3,0)=0,"",VLOOKUP($B247,'1. 현장별 인원현황'!$C:$J,3,0))</f>
        <v>손인호</v>
      </c>
      <c r="E247" s="74" t="str">
        <f ca="1">IF(VLOOKUP($B247,'1. 현장별 인원현황'!$C:$J,4,0)=0,"",VLOOKUP($B247,'1. 현장별 인원현황'!$C:$J,4,0))</f>
        <v>54세</v>
      </c>
      <c r="F247" s="70" t="str">
        <f>IF(VLOOKUP($B247,'1. 현장별 인원현황'!$C:$J,7,0)=0,"",VLOOKUP($B247,'1. 현장별 인원현황'!$C:$J,7,0))</f>
        <v>기능공</v>
      </c>
      <c r="G247" s="72" t="str">
        <f>IF(VLOOKUP($B247,'1. 현장별 인원현황'!$C:$J,8,0)=0,"",VLOOKUP($B247,'1. 현장별 인원현황'!$C:$J,8,0))</f>
        <v>과장</v>
      </c>
      <c r="H247" s="67" t="s">
        <v>69</v>
      </c>
      <c r="I247" s="73"/>
      <c r="J247" s="73"/>
      <c r="K247" s="68"/>
      <c r="L247" s="67" t="s">
        <v>69</v>
      </c>
      <c r="M247" s="73"/>
      <c r="N247" s="73"/>
      <c r="O247" s="68"/>
      <c r="P247" s="67" t="s">
        <v>69</v>
      </c>
      <c r="Q247" s="73"/>
      <c r="R247" s="73"/>
      <c r="S247" s="68"/>
      <c r="T247" s="67" t="s">
        <v>69</v>
      </c>
      <c r="U247" s="73"/>
      <c r="V247" s="73"/>
      <c r="W247" s="68"/>
      <c r="X247" s="67" t="s">
        <v>69</v>
      </c>
      <c r="Y247" s="73"/>
      <c r="Z247" s="73"/>
      <c r="AA247" s="68"/>
      <c r="AB247" s="67" t="s">
        <v>69</v>
      </c>
      <c r="AC247" s="73"/>
      <c r="AD247" s="73"/>
      <c r="AE247" s="68"/>
      <c r="AF247" s="67" t="s">
        <v>69</v>
      </c>
      <c r="AG247" s="73"/>
      <c r="AH247" s="73"/>
      <c r="AI247" s="68"/>
      <c r="AJ247" s="67" t="s">
        <v>69</v>
      </c>
      <c r="AK247" s="73"/>
      <c r="AL247" s="73"/>
      <c r="AM247" s="68"/>
      <c r="AN247" s="73" t="s">
        <v>69</v>
      </c>
      <c r="AO247" s="73"/>
      <c r="AP247" s="73"/>
      <c r="AQ247" s="68"/>
      <c r="AR247" s="67">
        <f t="shared" si="122"/>
        <v>100</v>
      </c>
      <c r="AS247" s="68" t="str">
        <f t="shared" si="123"/>
        <v>S</v>
      </c>
      <c r="AV247" s="49">
        <f t="shared" si="79"/>
        <v>1</v>
      </c>
      <c r="AW247" s="49">
        <f t="shared" si="44"/>
        <v>0</v>
      </c>
      <c r="AX247" s="49">
        <f t="shared" si="45"/>
        <v>0</v>
      </c>
      <c r="AY247" s="49">
        <f t="shared" si="46"/>
        <v>0</v>
      </c>
      <c r="AZ247" s="49">
        <f t="shared" si="47"/>
        <v>1</v>
      </c>
      <c r="BA247" s="49">
        <f t="shared" si="48"/>
        <v>0</v>
      </c>
      <c r="BB247" s="49">
        <f t="shared" si="49"/>
        <v>0</v>
      </c>
      <c r="BC247" s="49">
        <f t="shared" si="50"/>
        <v>0</v>
      </c>
      <c r="BD247" s="49">
        <f t="shared" si="51"/>
        <v>1</v>
      </c>
      <c r="BE247" s="49">
        <f t="shared" si="52"/>
        <v>0</v>
      </c>
      <c r="BF247" s="49">
        <f t="shared" si="53"/>
        <v>0</v>
      </c>
      <c r="BG247" s="49">
        <f t="shared" si="54"/>
        <v>0</v>
      </c>
      <c r="BH247" s="49">
        <f t="shared" si="55"/>
        <v>1</v>
      </c>
      <c r="BI247" s="49">
        <f t="shared" si="56"/>
        <v>0</v>
      </c>
      <c r="BJ247" s="49">
        <f t="shared" si="57"/>
        <v>0</v>
      </c>
      <c r="BK247" s="49">
        <f t="shared" si="58"/>
        <v>0</v>
      </c>
      <c r="BL247" s="49">
        <f t="shared" si="59"/>
        <v>1</v>
      </c>
      <c r="BM247" s="49">
        <f t="shared" si="60"/>
        <v>0</v>
      </c>
      <c r="BN247" s="49">
        <f t="shared" si="61"/>
        <v>0</v>
      </c>
      <c r="BO247" s="49">
        <f t="shared" si="62"/>
        <v>0</v>
      </c>
      <c r="BP247" s="49">
        <f t="shared" si="63"/>
        <v>1</v>
      </c>
      <c r="BQ247" s="49">
        <f t="shared" si="64"/>
        <v>0</v>
      </c>
      <c r="BR247" s="49">
        <f t="shared" si="65"/>
        <v>0</v>
      </c>
      <c r="BS247" s="49">
        <f t="shared" si="66"/>
        <v>0</v>
      </c>
      <c r="BT247" s="49">
        <f t="shared" si="67"/>
        <v>1</v>
      </c>
      <c r="BU247" s="49">
        <f t="shared" si="68"/>
        <v>0</v>
      </c>
      <c r="BV247" s="49">
        <f t="shared" si="69"/>
        <v>0</v>
      </c>
      <c r="BW247" s="49">
        <f t="shared" si="70"/>
        <v>0</v>
      </c>
      <c r="BX247" s="49">
        <f t="shared" si="71"/>
        <v>1</v>
      </c>
      <c r="BY247" s="49">
        <f t="shared" si="72"/>
        <v>0</v>
      </c>
      <c r="BZ247" s="49">
        <f t="shared" si="73"/>
        <v>0</v>
      </c>
      <c r="CA247" s="49">
        <f t="shared" si="74"/>
        <v>0</v>
      </c>
      <c r="CB247" s="49">
        <f t="shared" si="75"/>
        <v>1</v>
      </c>
      <c r="CC247" s="49">
        <f t="shared" si="76"/>
        <v>0</v>
      </c>
      <c r="CD247" s="49">
        <f t="shared" si="77"/>
        <v>0</v>
      </c>
      <c r="CE247" s="49">
        <f t="shared" si="78"/>
        <v>0</v>
      </c>
    </row>
    <row r="248" spans="1:83" ht="35.1" customHeight="1" x14ac:dyDescent="0.3">
      <c r="A248" s="123" t="str">
        <f t="shared" si="120"/>
        <v>2팀</v>
      </c>
      <c r="B248" s="69">
        <f t="shared" si="121"/>
        <v>242</v>
      </c>
      <c r="C248" s="120" t="str">
        <f>IF(VLOOKUP($B248,'1. 현장별 인원현황'!$C:$J,2,0)=0,"",VLOOKUP($B248,'1. 현장별 인원현황'!$C:$J,2,0))</f>
        <v xml:space="preserve"> [2.신세계건설] 양주 옥정 물류센터 신축공사</v>
      </c>
      <c r="D248" s="70" t="str">
        <f>IF(VLOOKUP($B248,'1. 현장별 인원현황'!$C:$J,3,0)=0,"",VLOOKUP($B248,'1. 현장별 인원현황'!$C:$J,3,0))</f>
        <v>신대식</v>
      </c>
      <c r="E248" s="74" t="str">
        <f ca="1">IF(VLOOKUP($B248,'1. 현장별 인원현황'!$C:$J,4,0)=0,"",VLOOKUP($B248,'1. 현장별 인원현황'!$C:$J,4,0))</f>
        <v>62세</v>
      </c>
      <c r="F248" s="70" t="str">
        <f>IF(VLOOKUP($B248,'1. 현장별 인원현황'!$C:$J,7,0)=0,"",VLOOKUP($B248,'1. 현장별 인원현황'!$C:$J,7,0))</f>
        <v>기능공</v>
      </c>
      <c r="G248" s="72" t="str">
        <f>IF(VLOOKUP($B248,'1. 현장별 인원현황'!$C:$J,8,0)=0,"",VLOOKUP($B248,'1. 현장별 인원현황'!$C:$J,8,0))</f>
        <v>전공</v>
      </c>
      <c r="H248" s="67" t="s">
        <v>69</v>
      </c>
      <c r="I248" s="73"/>
      <c r="J248" s="73"/>
      <c r="K248" s="68"/>
      <c r="L248" s="67" t="s">
        <v>69</v>
      </c>
      <c r="M248" s="73"/>
      <c r="N248" s="73"/>
      <c r="O248" s="68"/>
      <c r="P248" s="67" t="s">
        <v>69</v>
      </c>
      <c r="Q248" s="73"/>
      <c r="R248" s="73"/>
      <c r="S248" s="68"/>
      <c r="T248" s="67" t="s">
        <v>69</v>
      </c>
      <c r="U248" s="73"/>
      <c r="V248" s="73"/>
      <c r="W248" s="68"/>
      <c r="X248" s="67" t="s">
        <v>69</v>
      </c>
      <c r="Y248" s="73"/>
      <c r="Z248" s="73"/>
      <c r="AA248" s="68"/>
      <c r="AB248" s="67" t="s">
        <v>69</v>
      </c>
      <c r="AC248" s="73"/>
      <c r="AD248" s="73"/>
      <c r="AE248" s="68"/>
      <c r="AF248" s="67" t="s">
        <v>69</v>
      </c>
      <c r="AG248" s="73"/>
      <c r="AH248" s="73"/>
      <c r="AI248" s="68"/>
      <c r="AJ248" s="67" t="s">
        <v>69</v>
      </c>
      <c r="AK248" s="73"/>
      <c r="AL248" s="73"/>
      <c r="AM248" s="68"/>
      <c r="AN248" s="73" t="s">
        <v>69</v>
      </c>
      <c r="AO248" s="73"/>
      <c r="AP248" s="73"/>
      <c r="AQ248" s="68"/>
      <c r="AR248" s="67">
        <f t="shared" si="122"/>
        <v>100</v>
      </c>
      <c r="AS248" s="68" t="str">
        <f t="shared" si="123"/>
        <v>S</v>
      </c>
      <c r="AV248" s="49">
        <f t="shared" si="79"/>
        <v>1</v>
      </c>
      <c r="AW248" s="49">
        <f t="shared" si="44"/>
        <v>0</v>
      </c>
      <c r="AX248" s="49">
        <f t="shared" si="45"/>
        <v>0</v>
      </c>
      <c r="AY248" s="49">
        <f t="shared" si="46"/>
        <v>0</v>
      </c>
      <c r="AZ248" s="49">
        <f t="shared" si="47"/>
        <v>1</v>
      </c>
      <c r="BA248" s="49">
        <f t="shared" si="48"/>
        <v>0</v>
      </c>
      <c r="BB248" s="49">
        <f t="shared" si="49"/>
        <v>0</v>
      </c>
      <c r="BC248" s="49">
        <f t="shared" si="50"/>
        <v>0</v>
      </c>
      <c r="BD248" s="49">
        <f t="shared" si="51"/>
        <v>1</v>
      </c>
      <c r="BE248" s="49">
        <f t="shared" si="52"/>
        <v>0</v>
      </c>
      <c r="BF248" s="49">
        <f t="shared" si="53"/>
        <v>0</v>
      </c>
      <c r="BG248" s="49">
        <f t="shared" si="54"/>
        <v>0</v>
      </c>
      <c r="BH248" s="49">
        <f t="shared" si="55"/>
        <v>1</v>
      </c>
      <c r="BI248" s="49">
        <f t="shared" si="56"/>
        <v>0</v>
      </c>
      <c r="BJ248" s="49">
        <f t="shared" si="57"/>
        <v>0</v>
      </c>
      <c r="BK248" s="49">
        <f t="shared" si="58"/>
        <v>0</v>
      </c>
      <c r="BL248" s="49">
        <f t="shared" si="59"/>
        <v>1</v>
      </c>
      <c r="BM248" s="49">
        <f t="shared" si="60"/>
        <v>0</v>
      </c>
      <c r="BN248" s="49">
        <f t="shared" si="61"/>
        <v>0</v>
      </c>
      <c r="BO248" s="49">
        <f t="shared" si="62"/>
        <v>0</v>
      </c>
      <c r="BP248" s="49">
        <f t="shared" si="63"/>
        <v>1</v>
      </c>
      <c r="BQ248" s="49">
        <f t="shared" si="64"/>
        <v>0</v>
      </c>
      <c r="BR248" s="49">
        <f t="shared" si="65"/>
        <v>0</v>
      </c>
      <c r="BS248" s="49">
        <f t="shared" si="66"/>
        <v>0</v>
      </c>
      <c r="BT248" s="49">
        <f t="shared" si="67"/>
        <v>1</v>
      </c>
      <c r="BU248" s="49">
        <f t="shared" si="68"/>
        <v>0</v>
      </c>
      <c r="BV248" s="49">
        <f t="shared" si="69"/>
        <v>0</v>
      </c>
      <c r="BW248" s="49">
        <f t="shared" si="70"/>
        <v>0</v>
      </c>
      <c r="BX248" s="49">
        <f t="shared" si="71"/>
        <v>1</v>
      </c>
      <c r="BY248" s="49">
        <f t="shared" si="72"/>
        <v>0</v>
      </c>
      <c r="BZ248" s="49">
        <f t="shared" si="73"/>
        <v>0</v>
      </c>
      <c r="CA248" s="49">
        <f t="shared" si="74"/>
        <v>0</v>
      </c>
      <c r="CB248" s="49">
        <f t="shared" si="75"/>
        <v>1</v>
      </c>
      <c r="CC248" s="49">
        <f t="shared" si="76"/>
        <v>0</v>
      </c>
      <c r="CD248" s="49">
        <f t="shared" si="77"/>
        <v>0</v>
      </c>
      <c r="CE248" s="49">
        <f t="shared" si="78"/>
        <v>0</v>
      </c>
    </row>
    <row r="249" spans="1:83" ht="35.1" customHeight="1" x14ac:dyDescent="0.3">
      <c r="A249" s="123" t="str">
        <f t="shared" si="120"/>
        <v>2팀</v>
      </c>
      <c r="B249" s="69">
        <f t="shared" si="121"/>
        <v>243</v>
      </c>
      <c r="C249" s="120" t="str">
        <f>IF(VLOOKUP($B249,'1. 현장별 인원현황'!$C:$J,2,0)=0,"",VLOOKUP($B249,'1. 현장별 인원현황'!$C:$J,2,0))</f>
        <v xml:space="preserve"> [2.신세계건설] 양주 옥정 물류센터 신축공사</v>
      </c>
      <c r="D249" s="70" t="str">
        <f>IF(VLOOKUP($B249,'1. 현장별 인원현황'!$C:$J,3,0)=0,"",VLOOKUP($B249,'1. 현장별 인원현황'!$C:$J,3,0))</f>
        <v>신효식</v>
      </c>
      <c r="E249" s="74" t="str">
        <f ca="1">IF(VLOOKUP($B249,'1. 현장별 인원현황'!$C:$J,4,0)=0,"",VLOOKUP($B249,'1. 현장별 인원현황'!$C:$J,4,0))</f>
        <v>53세</v>
      </c>
      <c r="F249" s="70" t="str">
        <f>IF(VLOOKUP($B249,'1. 현장별 인원현황'!$C:$J,7,0)=0,"",VLOOKUP($B249,'1. 현장별 인원현황'!$C:$J,7,0))</f>
        <v>기능공</v>
      </c>
      <c r="G249" s="72" t="str">
        <f>IF(VLOOKUP($B249,'1. 현장별 인원현황'!$C:$J,8,0)=0,"",VLOOKUP($B249,'1. 현장별 인원현황'!$C:$J,8,0))</f>
        <v>전공</v>
      </c>
      <c r="H249" s="67"/>
      <c r="I249" s="73" t="s">
        <v>69</v>
      </c>
      <c r="J249" s="73"/>
      <c r="K249" s="68"/>
      <c r="L249" s="67"/>
      <c r="M249" s="73" t="s">
        <v>69</v>
      </c>
      <c r="N249" s="73"/>
      <c r="O249" s="68"/>
      <c r="P249" s="67"/>
      <c r="Q249" s="73" t="s">
        <v>69</v>
      </c>
      <c r="R249" s="73"/>
      <c r="S249" s="68"/>
      <c r="T249" s="67"/>
      <c r="U249" s="73" t="s">
        <v>69</v>
      </c>
      <c r="V249" s="73"/>
      <c r="W249" s="68"/>
      <c r="X249" s="67"/>
      <c r="Y249" s="73" t="s">
        <v>69</v>
      </c>
      <c r="Z249" s="73"/>
      <c r="AA249" s="68"/>
      <c r="AB249" s="67" t="s">
        <v>69</v>
      </c>
      <c r="AC249" s="73"/>
      <c r="AD249" s="73"/>
      <c r="AE249" s="68"/>
      <c r="AF249" s="67"/>
      <c r="AG249" s="73" t="s">
        <v>69</v>
      </c>
      <c r="AH249" s="73"/>
      <c r="AI249" s="68"/>
      <c r="AJ249" s="67"/>
      <c r="AK249" s="73" t="s">
        <v>69</v>
      </c>
      <c r="AL249" s="73"/>
      <c r="AM249" s="68"/>
      <c r="AN249" s="73"/>
      <c r="AO249" s="73" t="s">
        <v>69</v>
      </c>
      <c r="AP249" s="73"/>
      <c r="AQ249" s="68"/>
      <c r="AR249" s="67">
        <f t="shared" si="122"/>
        <v>79</v>
      </c>
      <c r="AS249" s="68" t="str">
        <f t="shared" si="123"/>
        <v>A</v>
      </c>
      <c r="AV249" s="49">
        <f t="shared" si="79"/>
        <v>0</v>
      </c>
      <c r="AW249" s="49">
        <f t="shared" si="44"/>
        <v>1</v>
      </c>
      <c r="AX249" s="49">
        <f t="shared" si="45"/>
        <v>0</v>
      </c>
      <c r="AY249" s="49">
        <f t="shared" si="46"/>
        <v>0</v>
      </c>
      <c r="AZ249" s="49">
        <f t="shared" si="47"/>
        <v>0</v>
      </c>
      <c r="BA249" s="49">
        <f t="shared" si="48"/>
        <v>1</v>
      </c>
      <c r="BB249" s="49">
        <f t="shared" si="49"/>
        <v>0</v>
      </c>
      <c r="BC249" s="49">
        <f t="shared" si="50"/>
        <v>0</v>
      </c>
      <c r="BD249" s="49">
        <f t="shared" si="51"/>
        <v>0</v>
      </c>
      <c r="BE249" s="49">
        <f t="shared" si="52"/>
        <v>1</v>
      </c>
      <c r="BF249" s="49">
        <f t="shared" si="53"/>
        <v>0</v>
      </c>
      <c r="BG249" s="49">
        <f t="shared" si="54"/>
        <v>0</v>
      </c>
      <c r="BH249" s="49">
        <f t="shared" si="55"/>
        <v>0</v>
      </c>
      <c r="BI249" s="49">
        <f t="shared" si="56"/>
        <v>1</v>
      </c>
      <c r="BJ249" s="49">
        <f t="shared" si="57"/>
        <v>0</v>
      </c>
      <c r="BK249" s="49">
        <f t="shared" si="58"/>
        <v>0</v>
      </c>
      <c r="BL249" s="49">
        <f t="shared" si="59"/>
        <v>0</v>
      </c>
      <c r="BM249" s="49">
        <f t="shared" si="60"/>
        <v>1</v>
      </c>
      <c r="BN249" s="49">
        <f t="shared" si="61"/>
        <v>0</v>
      </c>
      <c r="BO249" s="49">
        <f t="shared" si="62"/>
        <v>0</v>
      </c>
      <c r="BP249" s="49">
        <f t="shared" si="63"/>
        <v>1</v>
      </c>
      <c r="BQ249" s="49">
        <f t="shared" si="64"/>
        <v>0</v>
      </c>
      <c r="BR249" s="49">
        <f t="shared" si="65"/>
        <v>0</v>
      </c>
      <c r="BS249" s="49">
        <f t="shared" si="66"/>
        <v>0</v>
      </c>
      <c r="BT249" s="49">
        <f t="shared" si="67"/>
        <v>0</v>
      </c>
      <c r="BU249" s="49">
        <f t="shared" si="68"/>
        <v>1</v>
      </c>
      <c r="BV249" s="49">
        <f t="shared" si="69"/>
        <v>0</v>
      </c>
      <c r="BW249" s="49">
        <f t="shared" si="70"/>
        <v>0</v>
      </c>
      <c r="BX249" s="49">
        <f t="shared" si="71"/>
        <v>0</v>
      </c>
      <c r="BY249" s="49">
        <f t="shared" si="72"/>
        <v>1</v>
      </c>
      <c r="BZ249" s="49">
        <f t="shared" si="73"/>
        <v>0</v>
      </c>
      <c r="CA249" s="49">
        <f t="shared" si="74"/>
        <v>0</v>
      </c>
      <c r="CB249" s="49">
        <f t="shared" si="75"/>
        <v>0</v>
      </c>
      <c r="CC249" s="49">
        <f t="shared" si="76"/>
        <v>1</v>
      </c>
      <c r="CD249" s="49">
        <f t="shared" si="77"/>
        <v>0</v>
      </c>
      <c r="CE249" s="49">
        <f t="shared" si="78"/>
        <v>0</v>
      </c>
    </row>
    <row r="250" spans="1:83" ht="35.1" customHeight="1" x14ac:dyDescent="0.3">
      <c r="A250" s="123" t="str">
        <f t="shared" si="120"/>
        <v>2팀</v>
      </c>
      <c r="B250" s="69">
        <f t="shared" si="121"/>
        <v>244</v>
      </c>
      <c r="C250" s="120" t="str">
        <f>IF(VLOOKUP($B250,'1. 현장별 인원현황'!$C:$J,2,0)=0,"",VLOOKUP($B250,'1. 현장별 인원현황'!$C:$J,2,0))</f>
        <v xml:space="preserve"> [2.신세계건설] 양주 옥정 물류센터 신축공사</v>
      </c>
      <c r="D250" s="70" t="str">
        <f>IF(VLOOKUP($B250,'1. 현장별 인원현황'!$C:$J,3,0)=0,"",VLOOKUP($B250,'1. 현장별 인원현황'!$C:$J,3,0))</f>
        <v>심경태</v>
      </c>
      <c r="E250" s="74" t="str">
        <f ca="1">IF(VLOOKUP($B250,'1. 현장별 인원현황'!$C:$J,4,0)=0,"",VLOOKUP($B250,'1. 현장별 인원현황'!$C:$J,4,0))</f>
        <v>56세</v>
      </c>
      <c r="F250" s="70" t="str">
        <f>IF(VLOOKUP($B250,'1. 현장별 인원현황'!$C:$J,7,0)=0,"",VLOOKUP($B250,'1. 현장별 인원현황'!$C:$J,7,0))</f>
        <v>기능공</v>
      </c>
      <c r="G250" s="72" t="str">
        <f>IF(VLOOKUP($B250,'1. 현장별 인원현황'!$C:$J,8,0)=0,"",VLOOKUP($B250,'1. 현장별 인원현황'!$C:$J,8,0))</f>
        <v>전공</v>
      </c>
      <c r="H250" s="67"/>
      <c r="I250" s="73" t="s">
        <v>69</v>
      </c>
      <c r="J250" s="73"/>
      <c r="K250" s="68"/>
      <c r="L250" s="67"/>
      <c r="M250" s="73" t="s">
        <v>69</v>
      </c>
      <c r="N250" s="73"/>
      <c r="O250" s="68"/>
      <c r="P250" s="67"/>
      <c r="Q250" s="73" t="s">
        <v>69</v>
      </c>
      <c r="R250" s="73"/>
      <c r="S250" s="68"/>
      <c r="T250" s="67"/>
      <c r="U250" s="73" t="s">
        <v>69</v>
      </c>
      <c r="V250" s="73"/>
      <c r="W250" s="68"/>
      <c r="X250" s="67" t="s">
        <v>69</v>
      </c>
      <c r="Y250" s="73"/>
      <c r="Z250" s="73"/>
      <c r="AA250" s="68"/>
      <c r="AB250" s="67" t="s">
        <v>69</v>
      </c>
      <c r="AC250" s="73"/>
      <c r="AD250" s="73"/>
      <c r="AE250" s="68"/>
      <c r="AF250" s="67"/>
      <c r="AG250" s="73" t="s">
        <v>69</v>
      </c>
      <c r="AH250" s="73"/>
      <c r="AI250" s="68"/>
      <c r="AJ250" s="67" t="s">
        <v>69</v>
      </c>
      <c r="AK250" s="73"/>
      <c r="AL250" s="73"/>
      <c r="AM250" s="68"/>
      <c r="AN250" s="73"/>
      <c r="AO250" s="73" t="s">
        <v>69</v>
      </c>
      <c r="AP250" s="73"/>
      <c r="AQ250" s="68"/>
      <c r="AR250" s="67">
        <f t="shared" si="122"/>
        <v>84</v>
      </c>
      <c r="AS250" s="68" t="str">
        <f t="shared" si="123"/>
        <v>A</v>
      </c>
      <c r="AV250" s="49">
        <f t="shared" si="79"/>
        <v>0</v>
      </c>
      <c r="AW250" s="49">
        <f t="shared" si="44"/>
        <v>1</v>
      </c>
      <c r="AX250" s="49">
        <f t="shared" si="45"/>
        <v>0</v>
      </c>
      <c r="AY250" s="49">
        <f t="shared" si="46"/>
        <v>0</v>
      </c>
      <c r="AZ250" s="49">
        <f t="shared" si="47"/>
        <v>0</v>
      </c>
      <c r="BA250" s="49">
        <f t="shared" si="48"/>
        <v>1</v>
      </c>
      <c r="BB250" s="49">
        <f t="shared" si="49"/>
        <v>0</v>
      </c>
      <c r="BC250" s="49">
        <f t="shared" si="50"/>
        <v>0</v>
      </c>
      <c r="BD250" s="49">
        <f t="shared" si="51"/>
        <v>0</v>
      </c>
      <c r="BE250" s="49">
        <f t="shared" si="52"/>
        <v>1</v>
      </c>
      <c r="BF250" s="49">
        <f t="shared" si="53"/>
        <v>0</v>
      </c>
      <c r="BG250" s="49">
        <f t="shared" si="54"/>
        <v>0</v>
      </c>
      <c r="BH250" s="49">
        <f t="shared" si="55"/>
        <v>0</v>
      </c>
      <c r="BI250" s="49">
        <f t="shared" si="56"/>
        <v>1</v>
      </c>
      <c r="BJ250" s="49">
        <f t="shared" si="57"/>
        <v>0</v>
      </c>
      <c r="BK250" s="49">
        <f t="shared" si="58"/>
        <v>0</v>
      </c>
      <c r="BL250" s="49">
        <f t="shared" si="59"/>
        <v>1</v>
      </c>
      <c r="BM250" s="49">
        <f t="shared" si="60"/>
        <v>0</v>
      </c>
      <c r="BN250" s="49">
        <f t="shared" si="61"/>
        <v>0</v>
      </c>
      <c r="BO250" s="49">
        <f t="shared" si="62"/>
        <v>0</v>
      </c>
      <c r="BP250" s="49">
        <f t="shared" si="63"/>
        <v>1</v>
      </c>
      <c r="BQ250" s="49">
        <f t="shared" si="64"/>
        <v>0</v>
      </c>
      <c r="BR250" s="49">
        <f t="shared" si="65"/>
        <v>0</v>
      </c>
      <c r="BS250" s="49">
        <f t="shared" si="66"/>
        <v>0</v>
      </c>
      <c r="BT250" s="49">
        <f t="shared" si="67"/>
        <v>0</v>
      </c>
      <c r="BU250" s="49">
        <f t="shared" si="68"/>
        <v>1</v>
      </c>
      <c r="BV250" s="49">
        <f t="shared" si="69"/>
        <v>0</v>
      </c>
      <c r="BW250" s="49">
        <f t="shared" si="70"/>
        <v>0</v>
      </c>
      <c r="BX250" s="49">
        <f t="shared" si="71"/>
        <v>1</v>
      </c>
      <c r="BY250" s="49">
        <f t="shared" si="72"/>
        <v>0</v>
      </c>
      <c r="BZ250" s="49">
        <f t="shared" si="73"/>
        <v>0</v>
      </c>
      <c r="CA250" s="49">
        <f t="shared" si="74"/>
        <v>0</v>
      </c>
      <c r="CB250" s="49">
        <f t="shared" si="75"/>
        <v>0</v>
      </c>
      <c r="CC250" s="49">
        <f t="shared" si="76"/>
        <v>1</v>
      </c>
      <c r="CD250" s="49">
        <f t="shared" si="77"/>
        <v>0</v>
      </c>
      <c r="CE250" s="49">
        <f t="shared" si="78"/>
        <v>0</v>
      </c>
    </row>
    <row r="251" spans="1:83" ht="35.1" customHeight="1" x14ac:dyDescent="0.3">
      <c r="A251" s="123" t="str">
        <f t="shared" si="120"/>
        <v>2팀</v>
      </c>
      <c r="B251" s="69">
        <f t="shared" si="121"/>
        <v>245</v>
      </c>
      <c r="C251" s="120" t="str">
        <f>IF(VLOOKUP($B251,'1. 현장별 인원현황'!$C:$J,2,0)=0,"",VLOOKUP($B251,'1. 현장별 인원현황'!$C:$J,2,0))</f>
        <v xml:space="preserve"> [2.신세계건설] 양주 옥정 물류센터 신축공사</v>
      </c>
      <c r="D251" s="70" t="str">
        <f>IF(VLOOKUP($B251,'1. 현장별 인원현황'!$C:$J,3,0)=0,"",VLOOKUP($B251,'1. 현장별 인원현황'!$C:$J,3,0))</f>
        <v>심충보</v>
      </c>
      <c r="E251" s="74" t="str">
        <f ca="1">IF(VLOOKUP($B251,'1. 현장별 인원현황'!$C:$J,4,0)=0,"",VLOOKUP($B251,'1. 현장별 인원현황'!$C:$J,4,0))</f>
        <v>51세</v>
      </c>
      <c r="F251" s="70" t="str">
        <f>IF(VLOOKUP($B251,'1. 현장별 인원현황'!$C:$J,7,0)=0,"",VLOOKUP($B251,'1. 현장별 인원현황'!$C:$J,7,0))</f>
        <v>기능공</v>
      </c>
      <c r="G251" s="72" t="str">
        <f>IF(VLOOKUP($B251,'1. 현장별 인원현황'!$C:$J,8,0)=0,"",VLOOKUP($B251,'1. 현장별 인원현황'!$C:$J,8,0))</f>
        <v>전공</v>
      </c>
      <c r="H251" s="67"/>
      <c r="I251" s="73" t="s">
        <v>69</v>
      </c>
      <c r="J251" s="73"/>
      <c r="K251" s="68"/>
      <c r="L251" s="67"/>
      <c r="M251" s="73" t="s">
        <v>69</v>
      </c>
      <c r="N251" s="73"/>
      <c r="O251" s="68"/>
      <c r="P251" s="67"/>
      <c r="Q251" s="73" t="s">
        <v>69</v>
      </c>
      <c r="R251" s="73"/>
      <c r="S251" s="68"/>
      <c r="T251" s="67"/>
      <c r="U251" s="73" t="s">
        <v>69</v>
      </c>
      <c r="V251" s="73"/>
      <c r="W251" s="68"/>
      <c r="X251" s="67"/>
      <c r="Y251" s="73" t="s">
        <v>69</v>
      </c>
      <c r="Z251" s="73"/>
      <c r="AA251" s="68"/>
      <c r="AB251" s="67" t="s">
        <v>69</v>
      </c>
      <c r="AC251" s="73"/>
      <c r="AD251" s="73"/>
      <c r="AE251" s="68"/>
      <c r="AF251" s="67"/>
      <c r="AG251" s="73" t="s">
        <v>69</v>
      </c>
      <c r="AH251" s="73"/>
      <c r="AI251" s="68"/>
      <c r="AJ251" s="67"/>
      <c r="AK251" s="73" t="s">
        <v>69</v>
      </c>
      <c r="AL251" s="73"/>
      <c r="AM251" s="68"/>
      <c r="AN251" s="73"/>
      <c r="AO251" s="73" t="s">
        <v>69</v>
      </c>
      <c r="AP251" s="73"/>
      <c r="AQ251" s="68"/>
      <c r="AR251" s="67">
        <f t="shared" si="122"/>
        <v>79</v>
      </c>
      <c r="AS251" s="68" t="str">
        <f t="shared" si="123"/>
        <v>A</v>
      </c>
      <c r="AV251" s="49">
        <f t="shared" si="79"/>
        <v>0</v>
      </c>
      <c r="AW251" s="49">
        <f t="shared" si="44"/>
        <v>1</v>
      </c>
      <c r="AX251" s="49">
        <f t="shared" si="45"/>
        <v>0</v>
      </c>
      <c r="AY251" s="49">
        <f t="shared" si="46"/>
        <v>0</v>
      </c>
      <c r="AZ251" s="49">
        <f t="shared" si="47"/>
        <v>0</v>
      </c>
      <c r="BA251" s="49">
        <f t="shared" si="48"/>
        <v>1</v>
      </c>
      <c r="BB251" s="49">
        <f t="shared" si="49"/>
        <v>0</v>
      </c>
      <c r="BC251" s="49">
        <f t="shared" si="50"/>
        <v>0</v>
      </c>
      <c r="BD251" s="49">
        <f t="shared" si="51"/>
        <v>0</v>
      </c>
      <c r="BE251" s="49">
        <f t="shared" si="52"/>
        <v>1</v>
      </c>
      <c r="BF251" s="49">
        <f t="shared" si="53"/>
        <v>0</v>
      </c>
      <c r="BG251" s="49">
        <f t="shared" si="54"/>
        <v>0</v>
      </c>
      <c r="BH251" s="49">
        <f t="shared" si="55"/>
        <v>0</v>
      </c>
      <c r="BI251" s="49">
        <f t="shared" si="56"/>
        <v>1</v>
      </c>
      <c r="BJ251" s="49">
        <f t="shared" si="57"/>
        <v>0</v>
      </c>
      <c r="BK251" s="49">
        <f t="shared" si="58"/>
        <v>0</v>
      </c>
      <c r="BL251" s="49">
        <f t="shared" si="59"/>
        <v>0</v>
      </c>
      <c r="BM251" s="49">
        <f t="shared" si="60"/>
        <v>1</v>
      </c>
      <c r="BN251" s="49">
        <f t="shared" si="61"/>
        <v>0</v>
      </c>
      <c r="BO251" s="49">
        <f t="shared" si="62"/>
        <v>0</v>
      </c>
      <c r="BP251" s="49">
        <f t="shared" si="63"/>
        <v>1</v>
      </c>
      <c r="BQ251" s="49">
        <f t="shared" si="64"/>
        <v>0</v>
      </c>
      <c r="BR251" s="49">
        <f t="shared" si="65"/>
        <v>0</v>
      </c>
      <c r="BS251" s="49">
        <f t="shared" si="66"/>
        <v>0</v>
      </c>
      <c r="BT251" s="49">
        <f t="shared" si="67"/>
        <v>0</v>
      </c>
      <c r="BU251" s="49">
        <f t="shared" si="68"/>
        <v>1</v>
      </c>
      <c r="BV251" s="49">
        <f t="shared" si="69"/>
        <v>0</v>
      </c>
      <c r="BW251" s="49">
        <f t="shared" si="70"/>
        <v>0</v>
      </c>
      <c r="BX251" s="49">
        <f t="shared" si="71"/>
        <v>0</v>
      </c>
      <c r="BY251" s="49">
        <f t="shared" si="72"/>
        <v>1</v>
      </c>
      <c r="BZ251" s="49">
        <f t="shared" si="73"/>
        <v>0</v>
      </c>
      <c r="CA251" s="49">
        <f t="shared" si="74"/>
        <v>0</v>
      </c>
      <c r="CB251" s="49">
        <f t="shared" si="75"/>
        <v>0</v>
      </c>
      <c r="CC251" s="49">
        <f t="shared" si="76"/>
        <v>1</v>
      </c>
      <c r="CD251" s="49">
        <f t="shared" si="77"/>
        <v>0</v>
      </c>
      <c r="CE251" s="49">
        <f t="shared" si="78"/>
        <v>0</v>
      </c>
    </row>
    <row r="252" spans="1:83" ht="35.1" customHeight="1" x14ac:dyDescent="0.3">
      <c r="A252" s="123" t="str">
        <f t="shared" si="120"/>
        <v>2팀</v>
      </c>
      <c r="B252" s="69">
        <f t="shared" si="121"/>
        <v>246</v>
      </c>
      <c r="C252" s="120" t="str">
        <f>IF(VLOOKUP($B252,'1. 현장별 인원현황'!$C:$J,2,0)=0,"",VLOOKUP($B252,'1. 현장별 인원현황'!$C:$J,2,0))</f>
        <v xml:space="preserve"> [2.신세계건설] 양주 옥정 물류센터 신축공사</v>
      </c>
      <c r="D252" s="70" t="str">
        <f>IF(VLOOKUP($B252,'1. 현장별 인원현황'!$C:$J,3,0)=0,"",VLOOKUP($B252,'1. 현장별 인원현황'!$C:$J,3,0))</f>
        <v>오강진</v>
      </c>
      <c r="E252" s="74" t="str">
        <f ca="1">IF(VLOOKUP($B252,'1. 현장별 인원현황'!$C:$J,4,0)=0,"",VLOOKUP($B252,'1. 현장별 인원현황'!$C:$J,4,0))</f>
        <v>60세</v>
      </c>
      <c r="F252" s="70" t="str">
        <f>IF(VLOOKUP($B252,'1. 현장별 인원현황'!$C:$J,7,0)=0,"",VLOOKUP($B252,'1. 현장별 인원현황'!$C:$J,7,0))</f>
        <v>기능공</v>
      </c>
      <c r="G252" s="72" t="str">
        <f>IF(VLOOKUP($B252,'1. 현장별 인원현황'!$C:$J,8,0)=0,"",VLOOKUP($B252,'1. 현장별 인원현황'!$C:$J,8,0))</f>
        <v>전공</v>
      </c>
      <c r="H252" s="67" t="s">
        <v>69</v>
      </c>
      <c r="I252" s="73"/>
      <c r="J252" s="73"/>
      <c r="K252" s="68"/>
      <c r="L252" s="67" t="s">
        <v>69</v>
      </c>
      <c r="M252" s="73"/>
      <c r="N252" s="73"/>
      <c r="O252" s="68"/>
      <c r="P252" s="67" t="s">
        <v>69</v>
      </c>
      <c r="Q252" s="73"/>
      <c r="R252" s="73"/>
      <c r="S252" s="68"/>
      <c r="T252" s="67" t="s">
        <v>69</v>
      </c>
      <c r="U252" s="73"/>
      <c r="V252" s="73"/>
      <c r="W252" s="68"/>
      <c r="X252" s="67" t="s">
        <v>69</v>
      </c>
      <c r="Y252" s="73"/>
      <c r="Z252" s="73"/>
      <c r="AA252" s="68"/>
      <c r="AB252" s="67" t="s">
        <v>69</v>
      </c>
      <c r="AC252" s="73"/>
      <c r="AD252" s="73"/>
      <c r="AE252" s="68"/>
      <c r="AF252" s="67" t="s">
        <v>69</v>
      </c>
      <c r="AG252" s="73"/>
      <c r="AH252" s="73"/>
      <c r="AI252" s="68"/>
      <c r="AJ252" s="67" t="s">
        <v>69</v>
      </c>
      <c r="AK252" s="73"/>
      <c r="AL252" s="73"/>
      <c r="AM252" s="68"/>
      <c r="AN252" s="73" t="s">
        <v>69</v>
      </c>
      <c r="AO252" s="73"/>
      <c r="AP252" s="73"/>
      <c r="AQ252" s="68"/>
      <c r="AR252" s="67">
        <f t="shared" si="122"/>
        <v>100</v>
      </c>
      <c r="AS252" s="68" t="str">
        <f t="shared" si="123"/>
        <v>S</v>
      </c>
      <c r="AV252" s="49">
        <f t="shared" si="79"/>
        <v>1</v>
      </c>
      <c r="AW252" s="49">
        <f t="shared" si="44"/>
        <v>0</v>
      </c>
      <c r="AX252" s="49">
        <f t="shared" si="45"/>
        <v>0</v>
      </c>
      <c r="AY252" s="49">
        <f t="shared" si="46"/>
        <v>0</v>
      </c>
      <c r="AZ252" s="49">
        <f t="shared" si="47"/>
        <v>1</v>
      </c>
      <c r="BA252" s="49">
        <f t="shared" si="48"/>
        <v>0</v>
      </c>
      <c r="BB252" s="49">
        <f t="shared" si="49"/>
        <v>0</v>
      </c>
      <c r="BC252" s="49">
        <f t="shared" si="50"/>
        <v>0</v>
      </c>
      <c r="BD252" s="49">
        <f t="shared" si="51"/>
        <v>1</v>
      </c>
      <c r="BE252" s="49">
        <f t="shared" si="52"/>
        <v>0</v>
      </c>
      <c r="BF252" s="49">
        <f t="shared" si="53"/>
        <v>0</v>
      </c>
      <c r="BG252" s="49">
        <f t="shared" si="54"/>
        <v>0</v>
      </c>
      <c r="BH252" s="49">
        <f t="shared" si="55"/>
        <v>1</v>
      </c>
      <c r="BI252" s="49">
        <f t="shared" si="56"/>
        <v>0</v>
      </c>
      <c r="BJ252" s="49">
        <f t="shared" si="57"/>
        <v>0</v>
      </c>
      <c r="BK252" s="49">
        <f t="shared" si="58"/>
        <v>0</v>
      </c>
      <c r="BL252" s="49">
        <f t="shared" si="59"/>
        <v>1</v>
      </c>
      <c r="BM252" s="49">
        <f t="shared" si="60"/>
        <v>0</v>
      </c>
      <c r="BN252" s="49">
        <f t="shared" si="61"/>
        <v>0</v>
      </c>
      <c r="BO252" s="49">
        <f t="shared" si="62"/>
        <v>0</v>
      </c>
      <c r="BP252" s="49">
        <f t="shared" si="63"/>
        <v>1</v>
      </c>
      <c r="BQ252" s="49">
        <f t="shared" si="64"/>
        <v>0</v>
      </c>
      <c r="BR252" s="49">
        <f t="shared" si="65"/>
        <v>0</v>
      </c>
      <c r="BS252" s="49">
        <f t="shared" si="66"/>
        <v>0</v>
      </c>
      <c r="BT252" s="49">
        <f t="shared" si="67"/>
        <v>1</v>
      </c>
      <c r="BU252" s="49">
        <f t="shared" si="68"/>
        <v>0</v>
      </c>
      <c r="BV252" s="49">
        <f t="shared" si="69"/>
        <v>0</v>
      </c>
      <c r="BW252" s="49">
        <f t="shared" si="70"/>
        <v>0</v>
      </c>
      <c r="BX252" s="49">
        <f t="shared" si="71"/>
        <v>1</v>
      </c>
      <c r="BY252" s="49">
        <f t="shared" si="72"/>
        <v>0</v>
      </c>
      <c r="BZ252" s="49">
        <f t="shared" si="73"/>
        <v>0</v>
      </c>
      <c r="CA252" s="49">
        <f t="shared" si="74"/>
        <v>0</v>
      </c>
      <c r="CB252" s="49">
        <f t="shared" si="75"/>
        <v>1</v>
      </c>
      <c r="CC252" s="49">
        <f t="shared" si="76"/>
        <v>0</v>
      </c>
      <c r="CD252" s="49">
        <f t="shared" si="77"/>
        <v>0</v>
      </c>
      <c r="CE252" s="49">
        <f t="shared" si="78"/>
        <v>0</v>
      </c>
    </row>
    <row r="253" spans="1:83" ht="35.1" customHeight="1" x14ac:dyDescent="0.3">
      <c r="A253" s="123" t="str">
        <f t="shared" si="120"/>
        <v>2팀</v>
      </c>
      <c r="B253" s="69">
        <f t="shared" si="121"/>
        <v>247</v>
      </c>
      <c r="C253" s="120" t="str">
        <f>IF(VLOOKUP($B253,'1. 현장별 인원현황'!$C:$J,2,0)=0,"",VLOOKUP($B253,'1. 현장별 인원현황'!$C:$J,2,0))</f>
        <v xml:space="preserve"> [2.신세계건설] 양주 옥정 물류센터 신축공사</v>
      </c>
      <c r="D253" s="70" t="str">
        <f>IF(VLOOKUP($B253,'1. 현장별 인원현황'!$C:$J,3,0)=0,"",VLOOKUP($B253,'1. 현장별 인원현황'!$C:$J,3,0))</f>
        <v>임춘만</v>
      </c>
      <c r="E253" s="74" t="str">
        <f ca="1">IF(VLOOKUP($B253,'1. 현장별 인원현황'!$C:$J,4,0)=0,"",VLOOKUP($B253,'1. 현장별 인원현황'!$C:$J,4,0))</f>
        <v>65세</v>
      </c>
      <c r="F253" s="70" t="str">
        <f>IF(VLOOKUP($B253,'1. 현장별 인원현황'!$C:$J,7,0)=0,"",VLOOKUP($B253,'1. 현장별 인원현황'!$C:$J,7,0))</f>
        <v>기능공</v>
      </c>
      <c r="G253" s="72" t="str">
        <f>IF(VLOOKUP($B253,'1. 현장별 인원현황'!$C:$J,8,0)=0,"",VLOOKUP($B253,'1. 현장별 인원현황'!$C:$J,8,0))</f>
        <v>전공</v>
      </c>
      <c r="H253" s="67" t="s">
        <v>69</v>
      </c>
      <c r="I253" s="73"/>
      <c r="J253" s="73"/>
      <c r="K253" s="68"/>
      <c r="L253" s="67" t="s">
        <v>69</v>
      </c>
      <c r="M253" s="73"/>
      <c r="N253" s="73"/>
      <c r="O253" s="68"/>
      <c r="P253" s="67" t="s">
        <v>69</v>
      </c>
      <c r="Q253" s="73"/>
      <c r="R253" s="73"/>
      <c r="S253" s="68"/>
      <c r="T253" s="67" t="s">
        <v>69</v>
      </c>
      <c r="U253" s="73"/>
      <c r="V253" s="73"/>
      <c r="W253" s="68"/>
      <c r="X253" s="67" t="s">
        <v>69</v>
      </c>
      <c r="Y253" s="73"/>
      <c r="Z253" s="73"/>
      <c r="AA253" s="68"/>
      <c r="AB253" s="67" t="s">
        <v>69</v>
      </c>
      <c r="AC253" s="73"/>
      <c r="AD253" s="73"/>
      <c r="AE253" s="68"/>
      <c r="AF253" s="67" t="s">
        <v>69</v>
      </c>
      <c r="AG253" s="73"/>
      <c r="AH253" s="73"/>
      <c r="AI253" s="68"/>
      <c r="AJ253" s="67" t="s">
        <v>69</v>
      </c>
      <c r="AK253" s="73"/>
      <c r="AL253" s="73"/>
      <c r="AM253" s="68"/>
      <c r="AN253" s="73" t="s">
        <v>69</v>
      </c>
      <c r="AO253" s="73"/>
      <c r="AP253" s="73"/>
      <c r="AQ253" s="68"/>
      <c r="AR253" s="67">
        <f t="shared" si="122"/>
        <v>100</v>
      </c>
      <c r="AS253" s="68" t="str">
        <f t="shared" si="123"/>
        <v>S</v>
      </c>
      <c r="AV253" s="49">
        <f t="shared" si="79"/>
        <v>1</v>
      </c>
      <c r="AW253" s="49">
        <f t="shared" si="44"/>
        <v>0</v>
      </c>
      <c r="AX253" s="49">
        <f t="shared" si="45"/>
        <v>0</v>
      </c>
      <c r="AY253" s="49">
        <f t="shared" si="46"/>
        <v>0</v>
      </c>
      <c r="AZ253" s="49">
        <f t="shared" si="47"/>
        <v>1</v>
      </c>
      <c r="BA253" s="49">
        <f t="shared" si="48"/>
        <v>0</v>
      </c>
      <c r="BB253" s="49">
        <f t="shared" si="49"/>
        <v>0</v>
      </c>
      <c r="BC253" s="49">
        <f t="shared" si="50"/>
        <v>0</v>
      </c>
      <c r="BD253" s="49">
        <f t="shared" si="51"/>
        <v>1</v>
      </c>
      <c r="BE253" s="49">
        <f t="shared" si="52"/>
        <v>0</v>
      </c>
      <c r="BF253" s="49">
        <f t="shared" si="53"/>
        <v>0</v>
      </c>
      <c r="BG253" s="49">
        <f t="shared" si="54"/>
        <v>0</v>
      </c>
      <c r="BH253" s="49">
        <f t="shared" si="55"/>
        <v>1</v>
      </c>
      <c r="BI253" s="49">
        <f t="shared" si="56"/>
        <v>0</v>
      </c>
      <c r="BJ253" s="49">
        <f t="shared" si="57"/>
        <v>0</v>
      </c>
      <c r="BK253" s="49">
        <f t="shared" si="58"/>
        <v>0</v>
      </c>
      <c r="BL253" s="49">
        <f t="shared" si="59"/>
        <v>1</v>
      </c>
      <c r="BM253" s="49">
        <f t="shared" si="60"/>
        <v>0</v>
      </c>
      <c r="BN253" s="49">
        <f t="shared" si="61"/>
        <v>0</v>
      </c>
      <c r="BO253" s="49">
        <f t="shared" si="62"/>
        <v>0</v>
      </c>
      <c r="BP253" s="49">
        <f t="shared" si="63"/>
        <v>1</v>
      </c>
      <c r="BQ253" s="49">
        <f t="shared" si="64"/>
        <v>0</v>
      </c>
      <c r="BR253" s="49">
        <f t="shared" si="65"/>
        <v>0</v>
      </c>
      <c r="BS253" s="49">
        <f t="shared" si="66"/>
        <v>0</v>
      </c>
      <c r="BT253" s="49">
        <f t="shared" si="67"/>
        <v>1</v>
      </c>
      <c r="BU253" s="49">
        <f t="shared" si="68"/>
        <v>0</v>
      </c>
      <c r="BV253" s="49">
        <f t="shared" si="69"/>
        <v>0</v>
      </c>
      <c r="BW253" s="49">
        <f t="shared" si="70"/>
        <v>0</v>
      </c>
      <c r="BX253" s="49">
        <f t="shared" si="71"/>
        <v>1</v>
      </c>
      <c r="BY253" s="49">
        <f t="shared" si="72"/>
        <v>0</v>
      </c>
      <c r="BZ253" s="49">
        <f t="shared" si="73"/>
        <v>0</v>
      </c>
      <c r="CA253" s="49">
        <f t="shared" si="74"/>
        <v>0</v>
      </c>
      <c r="CB253" s="49">
        <f t="shared" si="75"/>
        <v>1</v>
      </c>
      <c r="CC253" s="49">
        <f t="shared" si="76"/>
        <v>0</v>
      </c>
      <c r="CD253" s="49">
        <f t="shared" si="77"/>
        <v>0</v>
      </c>
      <c r="CE253" s="49">
        <f t="shared" si="78"/>
        <v>0</v>
      </c>
    </row>
    <row r="254" spans="1:83" ht="35.1" customHeight="1" x14ac:dyDescent="0.3">
      <c r="A254" s="123" t="str">
        <f t="shared" si="120"/>
        <v>2팀</v>
      </c>
      <c r="B254" s="69">
        <f t="shared" si="121"/>
        <v>248</v>
      </c>
      <c r="C254" s="120" t="str">
        <f>IF(VLOOKUP($B254,'1. 현장별 인원현황'!$C:$J,2,0)=0,"",VLOOKUP($B254,'1. 현장별 인원현황'!$C:$J,2,0))</f>
        <v xml:space="preserve"> [2.신세계건설] 양주 옥정 물류센터 신축공사</v>
      </c>
      <c r="D254" s="70" t="str">
        <f>IF(VLOOKUP($B254,'1. 현장별 인원현황'!$C:$J,3,0)=0,"",VLOOKUP($B254,'1. 현장별 인원현황'!$C:$J,3,0))</f>
        <v>황근상</v>
      </c>
      <c r="E254" s="74" t="str">
        <f ca="1">IF(VLOOKUP($B254,'1. 현장별 인원현황'!$C:$J,4,0)=0,"",VLOOKUP($B254,'1. 현장별 인원현황'!$C:$J,4,0))</f>
        <v>60세</v>
      </c>
      <c r="F254" s="70" t="str">
        <f>IF(VLOOKUP($B254,'1. 현장별 인원현황'!$C:$J,7,0)=0,"",VLOOKUP($B254,'1. 현장별 인원현황'!$C:$J,7,0))</f>
        <v>기능공</v>
      </c>
      <c r="G254" s="72" t="str">
        <f>IF(VLOOKUP($B254,'1. 현장별 인원현황'!$C:$J,8,0)=0,"",VLOOKUP($B254,'1. 현장별 인원현황'!$C:$J,8,0))</f>
        <v>전공</v>
      </c>
      <c r="H254" s="67"/>
      <c r="I254" s="73" t="s">
        <v>69</v>
      </c>
      <c r="J254" s="73"/>
      <c r="K254" s="68"/>
      <c r="L254" s="67"/>
      <c r="M254" s="73" t="s">
        <v>69</v>
      </c>
      <c r="N254" s="73"/>
      <c r="O254" s="68"/>
      <c r="P254" s="67"/>
      <c r="Q254" s="73" t="s">
        <v>69</v>
      </c>
      <c r="R254" s="73"/>
      <c r="S254" s="68"/>
      <c r="T254" s="67"/>
      <c r="U254" s="73" t="s">
        <v>69</v>
      </c>
      <c r="V254" s="73"/>
      <c r="W254" s="68"/>
      <c r="X254" s="67"/>
      <c r="Y254" s="73" t="s">
        <v>69</v>
      </c>
      <c r="Z254" s="73"/>
      <c r="AA254" s="68"/>
      <c r="AB254" s="67" t="s">
        <v>69</v>
      </c>
      <c r="AC254" s="73"/>
      <c r="AD254" s="73"/>
      <c r="AE254" s="68"/>
      <c r="AF254" s="67"/>
      <c r="AG254" s="73" t="s">
        <v>69</v>
      </c>
      <c r="AH254" s="73"/>
      <c r="AI254" s="68"/>
      <c r="AJ254" s="67"/>
      <c r="AK254" s="73" t="s">
        <v>69</v>
      </c>
      <c r="AL254" s="73"/>
      <c r="AM254" s="68"/>
      <c r="AN254" s="73" t="s">
        <v>69</v>
      </c>
      <c r="AO254" s="73"/>
      <c r="AP254" s="73"/>
      <c r="AQ254" s="68"/>
      <c r="AR254" s="67">
        <f t="shared" si="122"/>
        <v>82</v>
      </c>
      <c r="AS254" s="68" t="str">
        <f t="shared" si="123"/>
        <v>A</v>
      </c>
      <c r="AV254" s="49">
        <f t="shared" si="79"/>
        <v>0</v>
      </c>
      <c r="AW254" s="49">
        <f t="shared" si="44"/>
        <v>1</v>
      </c>
      <c r="AX254" s="49">
        <f t="shared" si="45"/>
        <v>0</v>
      </c>
      <c r="AY254" s="49">
        <f t="shared" si="46"/>
        <v>0</v>
      </c>
      <c r="AZ254" s="49">
        <f t="shared" si="47"/>
        <v>0</v>
      </c>
      <c r="BA254" s="49">
        <f t="shared" si="48"/>
        <v>1</v>
      </c>
      <c r="BB254" s="49">
        <f t="shared" si="49"/>
        <v>0</v>
      </c>
      <c r="BC254" s="49">
        <f t="shared" si="50"/>
        <v>0</v>
      </c>
      <c r="BD254" s="49">
        <f t="shared" si="51"/>
        <v>0</v>
      </c>
      <c r="BE254" s="49">
        <f t="shared" si="52"/>
        <v>1</v>
      </c>
      <c r="BF254" s="49">
        <f t="shared" si="53"/>
        <v>0</v>
      </c>
      <c r="BG254" s="49">
        <f t="shared" si="54"/>
        <v>0</v>
      </c>
      <c r="BH254" s="49">
        <f t="shared" si="55"/>
        <v>0</v>
      </c>
      <c r="BI254" s="49">
        <f t="shared" si="56"/>
        <v>1</v>
      </c>
      <c r="BJ254" s="49">
        <f t="shared" si="57"/>
        <v>0</v>
      </c>
      <c r="BK254" s="49">
        <f t="shared" si="58"/>
        <v>0</v>
      </c>
      <c r="BL254" s="49">
        <f t="shared" si="59"/>
        <v>0</v>
      </c>
      <c r="BM254" s="49">
        <f t="shared" si="60"/>
        <v>1</v>
      </c>
      <c r="BN254" s="49">
        <f t="shared" si="61"/>
        <v>0</v>
      </c>
      <c r="BO254" s="49">
        <f t="shared" si="62"/>
        <v>0</v>
      </c>
      <c r="BP254" s="49">
        <f t="shared" si="63"/>
        <v>1</v>
      </c>
      <c r="BQ254" s="49">
        <f t="shared" si="64"/>
        <v>0</v>
      </c>
      <c r="BR254" s="49">
        <f t="shared" si="65"/>
        <v>0</v>
      </c>
      <c r="BS254" s="49">
        <f t="shared" si="66"/>
        <v>0</v>
      </c>
      <c r="BT254" s="49">
        <f t="shared" si="67"/>
        <v>0</v>
      </c>
      <c r="BU254" s="49">
        <f t="shared" si="68"/>
        <v>1</v>
      </c>
      <c r="BV254" s="49">
        <f t="shared" si="69"/>
        <v>0</v>
      </c>
      <c r="BW254" s="49">
        <f t="shared" si="70"/>
        <v>0</v>
      </c>
      <c r="BX254" s="49">
        <f t="shared" si="71"/>
        <v>0</v>
      </c>
      <c r="BY254" s="49">
        <f t="shared" si="72"/>
        <v>1</v>
      </c>
      <c r="BZ254" s="49">
        <f t="shared" si="73"/>
        <v>0</v>
      </c>
      <c r="CA254" s="49">
        <f t="shared" si="74"/>
        <v>0</v>
      </c>
      <c r="CB254" s="49">
        <f t="shared" si="75"/>
        <v>1</v>
      </c>
      <c r="CC254" s="49">
        <f t="shared" si="76"/>
        <v>0</v>
      </c>
      <c r="CD254" s="49">
        <f t="shared" si="77"/>
        <v>0</v>
      </c>
      <c r="CE254" s="49">
        <f t="shared" si="78"/>
        <v>0</v>
      </c>
    </row>
    <row r="255" spans="1:83" ht="35.1" customHeight="1" x14ac:dyDescent="0.3">
      <c r="A255" s="123" t="str">
        <f t="shared" si="120"/>
        <v>2팀</v>
      </c>
      <c r="B255" s="69">
        <f t="shared" si="121"/>
        <v>249</v>
      </c>
      <c r="C255" s="120" t="str">
        <f>IF(VLOOKUP($B255,'1. 현장별 인원현황'!$C:$J,2,0)=0,"",VLOOKUP($B255,'1. 현장별 인원현황'!$C:$J,2,0))</f>
        <v xml:space="preserve"> [2.쌍용건설] 양주 삼숭 지역주택조합 일반전기공사</v>
      </c>
      <c r="D255" s="70" t="str">
        <f>IF(VLOOKUP($B255,'1. 현장별 인원현황'!$C:$J,3,0)=0,"",VLOOKUP($B255,'1. 현장별 인원현황'!$C:$J,3,0))</f>
        <v>안효관</v>
      </c>
      <c r="E255" s="74" t="str">
        <f ca="1">IF(VLOOKUP($B255,'1. 현장별 인원현황'!$C:$J,4,0)=0,"",VLOOKUP($B255,'1. 현장별 인원현황'!$C:$J,4,0))</f>
        <v>57세</v>
      </c>
      <c r="F255" s="70" t="str">
        <f>IF(VLOOKUP($B255,'1. 현장별 인원현황'!$C:$J,7,0)=0,"",VLOOKUP($B255,'1. 현장별 인원현황'!$C:$J,7,0))</f>
        <v>공무</v>
      </c>
      <c r="G255" s="72" t="str">
        <f>IF(VLOOKUP($B255,'1. 현장별 인원현황'!$C:$J,8,0)=0,"",VLOOKUP($B255,'1. 현장별 인원현황'!$C:$J,8,0))</f>
        <v>차장</v>
      </c>
      <c r="H255" s="67" t="s">
        <v>69</v>
      </c>
      <c r="I255" s="73"/>
      <c r="J255" s="73"/>
      <c r="K255" s="68"/>
      <c r="L255" s="67" t="s">
        <v>69</v>
      </c>
      <c r="M255" s="73"/>
      <c r="N255" s="73"/>
      <c r="O255" s="68"/>
      <c r="P255" s="67" t="s">
        <v>69</v>
      </c>
      <c r="Q255" s="73"/>
      <c r="R255" s="73"/>
      <c r="S255" s="68"/>
      <c r="T255" s="67" t="s">
        <v>69</v>
      </c>
      <c r="U255" s="73"/>
      <c r="V255" s="73"/>
      <c r="W255" s="68"/>
      <c r="X255" s="67" t="s">
        <v>69</v>
      </c>
      <c r="Y255" s="73"/>
      <c r="Z255" s="73"/>
      <c r="AA255" s="68"/>
      <c r="AB255" s="67" t="s">
        <v>69</v>
      </c>
      <c r="AC255" s="73"/>
      <c r="AD255" s="73"/>
      <c r="AE255" s="68"/>
      <c r="AF255" s="67" t="s">
        <v>69</v>
      </c>
      <c r="AG255" s="73"/>
      <c r="AH255" s="73"/>
      <c r="AI255" s="68"/>
      <c r="AJ255" s="67" t="s">
        <v>69</v>
      </c>
      <c r="AK255" s="73"/>
      <c r="AL255" s="73"/>
      <c r="AM255" s="68"/>
      <c r="AN255" s="73" t="s">
        <v>69</v>
      </c>
      <c r="AO255" s="73"/>
      <c r="AP255" s="73"/>
      <c r="AQ255" s="68"/>
      <c r="AR255" s="67">
        <f t="shared" si="122"/>
        <v>100</v>
      </c>
      <c r="AS255" s="68" t="str">
        <f t="shared" si="123"/>
        <v>S</v>
      </c>
      <c r="AV255" s="49">
        <f t="shared" si="79"/>
        <v>1</v>
      </c>
      <c r="AW255" s="49">
        <f t="shared" si="44"/>
        <v>0</v>
      </c>
      <c r="AX255" s="49">
        <f t="shared" si="45"/>
        <v>0</v>
      </c>
      <c r="AY255" s="49">
        <f t="shared" si="46"/>
        <v>0</v>
      </c>
      <c r="AZ255" s="49">
        <f t="shared" si="47"/>
        <v>1</v>
      </c>
      <c r="BA255" s="49">
        <f t="shared" si="48"/>
        <v>0</v>
      </c>
      <c r="BB255" s="49">
        <f t="shared" si="49"/>
        <v>0</v>
      </c>
      <c r="BC255" s="49">
        <f t="shared" si="50"/>
        <v>0</v>
      </c>
      <c r="BD255" s="49">
        <f t="shared" si="51"/>
        <v>1</v>
      </c>
      <c r="BE255" s="49">
        <f t="shared" si="52"/>
        <v>0</v>
      </c>
      <c r="BF255" s="49">
        <f t="shared" si="53"/>
        <v>0</v>
      </c>
      <c r="BG255" s="49">
        <f t="shared" si="54"/>
        <v>0</v>
      </c>
      <c r="BH255" s="49">
        <f t="shared" si="55"/>
        <v>1</v>
      </c>
      <c r="BI255" s="49">
        <f t="shared" si="56"/>
        <v>0</v>
      </c>
      <c r="BJ255" s="49">
        <f t="shared" si="57"/>
        <v>0</v>
      </c>
      <c r="BK255" s="49">
        <f t="shared" si="58"/>
        <v>0</v>
      </c>
      <c r="BL255" s="49">
        <f t="shared" si="59"/>
        <v>1</v>
      </c>
      <c r="BM255" s="49">
        <f t="shared" si="60"/>
        <v>0</v>
      </c>
      <c r="BN255" s="49">
        <f t="shared" si="61"/>
        <v>0</v>
      </c>
      <c r="BO255" s="49">
        <f t="shared" si="62"/>
        <v>0</v>
      </c>
      <c r="BP255" s="49">
        <f t="shared" si="63"/>
        <v>1</v>
      </c>
      <c r="BQ255" s="49">
        <f t="shared" si="64"/>
        <v>0</v>
      </c>
      <c r="BR255" s="49">
        <f t="shared" si="65"/>
        <v>0</v>
      </c>
      <c r="BS255" s="49">
        <f t="shared" si="66"/>
        <v>0</v>
      </c>
      <c r="BT255" s="49">
        <f t="shared" si="67"/>
        <v>1</v>
      </c>
      <c r="BU255" s="49">
        <f t="shared" si="68"/>
        <v>0</v>
      </c>
      <c r="BV255" s="49">
        <f t="shared" si="69"/>
        <v>0</v>
      </c>
      <c r="BW255" s="49">
        <f t="shared" si="70"/>
        <v>0</v>
      </c>
      <c r="BX255" s="49">
        <f t="shared" si="71"/>
        <v>1</v>
      </c>
      <c r="BY255" s="49">
        <f t="shared" si="72"/>
        <v>0</v>
      </c>
      <c r="BZ255" s="49">
        <f t="shared" si="73"/>
        <v>0</v>
      </c>
      <c r="CA255" s="49">
        <f t="shared" si="74"/>
        <v>0</v>
      </c>
      <c r="CB255" s="49">
        <f t="shared" si="75"/>
        <v>1</v>
      </c>
      <c r="CC255" s="49">
        <f t="shared" si="76"/>
        <v>0</v>
      </c>
      <c r="CD255" s="49">
        <f t="shared" si="77"/>
        <v>0</v>
      </c>
      <c r="CE255" s="49">
        <f t="shared" si="78"/>
        <v>0</v>
      </c>
    </row>
    <row r="256" spans="1:83" ht="35.1" customHeight="1" x14ac:dyDescent="0.3">
      <c r="A256" s="123" t="str">
        <f t="shared" si="120"/>
        <v>2팀</v>
      </c>
      <c r="B256" s="69">
        <f t="shared" si="121"/>
        <v>250</v>
      </c>
      <c r="C256" s="120" t="str">
        <f>IF(VLOOKUP($B256,'1. 현장별 인원현황'!$C:$J,2,0)=0,"",VLOOKUP($B256,'1. 현장별 인원현황'!$C:$J,2,0))</f>
        <v xml:space="preserve"> [2.쌍용건설] 양주 삼숭 지역주택조합 일반전기공사</v>
      </c>
      <c r="D256" s="70" t="str">
        <f>IF(VLOOKUP($B256,'1. 현장별 인원현황'!$C:$J,3,0)=0,"",VLOOKUP($B256,'1. 현장별 인원현황'!$C:$J,3,0))</f>
        <v>김학섭</v>
      </c>
      <c r="E256" s="74" t="str">
        <f ca="1">IF(VLOOKUP($B256,'1. 현장별 인원현황'!$C:$J,4,0)=0,"",VLOOKUP($B256,'1. 현장별 인원현황'!$C:$J,4,0))</f>
        <v>59세</v>
      </c>
      <c r="F256" s="70" t="str">
        <f>IF(VLOOKUP($B256,'1. 현장별 인원현황'!$C:$J,7,0)=0,"",VLOOKUP($B256,'1. 현장별 인원현황'!$C:$J,7,0))</f>
        <v>공사</v>
      </c>
      <c r="G256" s="72" t="str">
        <f>IF(VLOOKUP($B256,'1. 현장별 인원현황'!$C:$J,8,0)=0,"",VLOOKUP($B256,'1. 현장별 인원현황'!$C:$J,8,0))</f>
        <v>차장</v>
      </c>
      <c r="H256" s="67" t="s">
        <v>69</v>
      </c>
      <c r="I256" s="73"/>
      <c r="J256" s="73"/>
      <c r="K256" s="68"/>
      <c r="L256" s="67" t="s">
        <v>69</v>
      </c>
      <c r="M256" s="73"/>
      <c r="N256" s="73"/>
      <c r="O256" s="68"/>
      <c r="P256" s="67" t="s">
        <v>69</v>
      </c>
      <c r="Q256" s="73"/>
      <c r="R256" s="73"/>
      <c r="S256" s="68"/>
      <c r="T256" s="67" t="s">
        <v>69</v>
      </c>
      <c r="U256" s="73"/>
      <c r="V256" s="73"/>
      <c r="W256" s="68"/>
      <c r="X256" s="67" t="s">
        <v>69</v>
      </c>
      <c r="Y256" s="73"/>
      <c r="Z256" s="73"/>
      <c r="AA256" s="68"/>
      <c r="AB256" s="67" t="s">
        <v>69</v>
      </c>
      <c r="AC256" s="73"/>
      <c r="AD256" s="73"/>
      <c r="AE256" s="68"/>
      <c r="AF256" s="67" t="s">
        <v>69</v>
      </c>
      <c r="AG256" s="73"/>
      <c r="AH256" s="73"/>
      <c r="AI256" s="68"/>
      <c r="AJ256" s="67" t="s">
        <v>69</v>
      </c>
      <c r="AK256" s="73"/>
      <c r="AL256" s="73"/>
      <c r="AM256" s="68"/>
      <c r="AN256" s="73" t="s">
        <v>69</v>
      </c>
      <c r="AO256" s="73"/>
      <c r="AP256" s="73"/>
      <c r="AQ256" s="68"/>
      <c r="AR256" s="67">
        <f t="shared" si="122"/>
        <v>100</v>
      </c>
      <c r="AS256" s="68" t="str">
        <f t="shared" si="123"/>
        <v>S</v>
      </c>
      <c r="AV256" s="49">
        <f t="shared" si="79"/>
        <v>1</v>
      </c>
      <c r="AW256" s="49">
        <f t="shared" si="44"/>
        <v>0</v>
      </c>
      <c r="AX256" s="49">
        <f t="shared" si="45"/>
        <v>0</v>
      </c>
      <c r="AY256" s="49">
        <f t="shared" si="46"/>
        <v>0</v>
      </c>
      <c r="AZ256" s="49">
        <f t="shared" si="47"/>
        <v>1</v>
      </c>
      <c r="BA256" s="49">
        <f t="shared" si="48"/>
        <v>0</v>
      </c>
      <c r="BB256" s="49">
        <f t="shared" si="49"/>
        <v>0</v>
      </c>
      <c r="BC256" s="49">
        <f t="shared" si="50"/>
        <v>0</v>
      </c>
      <c r="BD256" s="49">
        <f t="shared" si="51"/>
        <v>1</v>
      </c>
      <c r="BE256" s="49">
        <f t="shared" si="52"/>
        <v>0</v>
      </c>
      <c r="BF256" s="49">
        <f t="shared" si="53"/>
        <v>0</v>
      </c>
      <c r="BG256" s="49">
        <f t="shared" si="54"/>
        <v>0</v>
      </c>
      <c r="BH256" s="49">
        <f t="shared" si="55"/>
        <v>1</v>
      </c>
      <c r="BI256" s="49">
        <f t="shared" si="56"/>
        <v>0</v>
      </c>
      <c r="BJ256" s="49">
        <f t="shared" si="57"/>
        <v>0</v>
      </c>
      <c r="BK256" s="49">
        <f t="shared" si="58"/>
        <v>0</v>
      </c>
      <c r="BL256" s="49">
        <f t="shared" si="59"/>
        <v>1</v>
      </c>
      <c r="BM256" s="49">
        <f t="shared" si="60"/>
        <v>0</v>
      </c>
      <c r="BN256" s="49">
        <f t="shared" si="61"/>
        <v>0</v>
      </c>
      <c r="BO256" s="49">
        <f t="shared" si="62"/>
        <v>0</v>
      </c>
      <c r="BP256" s="49">
        <f t="shared" si="63"/>
        <v>1</v>
      </c>
      <c r="BQ256" s="49">
        <f t="shared" si="64"/>
        <v>0</v>
      </c>
      <c r="BR256" s="49">
        <f t="shared" si="65"/>
        <v>0</v>
      </c>
      <c r="BS256" s="49">
        <f t="shared" si="66"/>
        <v>0</v>
      </c>
      <c r="BT256" s="49">
        <f t="shared" si="67"/>
        <v>1</v>
      </c>
      <c r="BU256" s="49">
        <f t="shared" si="68"/>
        <v>0</v>
      </c>
      <c r="BV256" s="49">
        <f t="shared" si="69"/>
        <v>0</v>
      </c>
      <c r="BW256" s="49">
        <f t="shared" si="70"/>
        <v>0</v>
      </c>
      <c r="BX256" s="49">
        <f t="shared" si="71"/>
        <v>1</v>
      </c>
      <c r="BY256" s="49">
        <f t="shared" si="72"/>
        <v>0</v>
      </c>
      <c r="BZ256" s="49">
        <f t="shared" si="73"/>
        <v>0</v>
      </c>
      <c r="CA256" s="49">
        <f t="shared" si="74"/>
        <v>0</v>
      </c>
      <c r="CB256" s="49">
        <f t="shared" si="75"/>
        <v>1</v>
      </c>
      <c r="CC256" s="49">
        <f t="shared" si="76"/>
        <v>0</v>
      </c>
      <c r="CD256" s="49">
        <f t="shared" si="77"/>
        <v>0</v>
      </c>
      <c r="CE256" s="49">
        <f t="shared" si="78"/>
        <v>0</v>
      </c>
    </row>
    <row r="257" spans="1:83" ht="35.1" customHeight="1" x14ac:dyDescent="0.3">
      <c r="A257" s="123" t="str">
        <f t="shared" si="120"/>
        <v>2팀</v>
      </c>
      <c r="B257" s="69">
        <f t="shared" si="121"/>
        <v>251</v>
      </c>
      <c r="C257" s="120" t="str">
        <f>IF(VLOOKUP($B257,'1. 현장별 인원현황'!$C:$J,2,0)=0,"",VLOOKUP($B257,'1. 현장별 인원현황'!$C:$J,2,0))</f>
        <v xml:space="preserve"> [2.쌍용건설] 양주 삼숭 지역주택조합 일반전기공사</v>
      </c>
      <c r="D257" s="70" t="str">
        <f>IF(VLOOKUP($B257,'1. 현장별 인원현황'!$C:$J,3,0)=0,"",VLOOKUP($B257,'1. 현장별 인원현황'!$C:$J,3,0))</f>
        <v>이영수</v>
      </c>
      <c r="E257" s="74" t="str">
        <f ca="1">IF(VLOOKUP($B257,'1. 현장별 인원현황'!$C:$J,4,0)=0,"",VLOOKUP($B257,'1. 현장별 인원현황'!$C:$J,4,0))</f>
        <v>60세</v>
      </c>
      <c r="F257" s="70" t="str">
        <f>IF(VLOOKUP($B257,'1. 현장별 인원현황'!$C:$J,7,0)=0,"",VLOOKUP($B257,'1. 현장별 인원현황'!$C:$J,7,0))</f>
        <v>기능공</v>
      </c>
      <c r="G257" s="72" t="str">
        <f>IF(VLOOKUP($B257,'1. 현장별 인원현황'!$C:$J,8,0)=0,"",VLOOKUP($B257,'1. 현장별 인원현황'!$C:$J,8,0))</f>
        <v>전공</v>
      </c>
      <c r="H257" s="67" t="s">
        <v>69</v>
      </c>
      <c r="I257" s="73"/>
      <c r="J257" s="73"/>
      <c r="K257" s="68"/>
      <c r="L257" s="67" t="s">
        <v>69</v>
      </c>
      <c r="M257" s="73"/>
      <c r="N257" s="73"/>
      <c r="O257" s="68"/>
      <c r="P257" s="67" t="s">
        <v>69</v>
      </c>
      <c r="Q257" s="73"/>
      <c r="R257" s="73"/>
      <c r="S257" s="68"/>
      <c r="T257" s="67" t="s">
        <v>69</v>
      </c>
      <c r="U257" s="73"/>
      <c r="V257" s="73"/>
      <c r="W257" s="68"/>
      <c r="X257" s="67" t="s">
        <v>69</v>
      </c>
      <c r="Y257" s="73"/>
      <c r="Z257" s="73"/>
      <c r="AA257" s="68"/>
      <c r="AB257" s="67" t="s">
        <v>69</v>
      </c>
      <c r="AC257" s="73"/>
      <c r="AD257" s="73"/>
      <c r="AE257" s="68"/>
      <c r="AF257" s="67" t="s">
        <v>69</v>
      </c>
      <c r="AG257" s="73"/>
      <c r="AH257" s="73"/>
      <c r="AI257" s="68"/>
      <c r="AJ257" s="67" t="s">
        <v>69</v>
      </c>
      <c r="AK257" s="73"/>
      <c r="AL257" s="73"/>
      <c r="AM257" s="68"/>
      <c r="AN257" s="73" t="s">
        <v>69</v>
      </c>
      <c r="AO257" s="73"/>
      <c r="AP257" s="73"/>
      <c r="AQ257" s="68"/>
      <c r="AR257" s="67">
        <f t="shared" si="122"/>
        <v>100</v>
      </c>
      <c r="AS257" s="68" t="str">
        <f t="shared" si="123"/>
        <v>S</v>
      </c>
      <c r="AV257" s="49">
        <f t="shared" si="79"/>
        <v>1</v>
      </c>
      <c r="AW257" s="49">
        <f t="shared" si="44"/>
        <v>0</v>
      </c>
      <c r="AX257" s="49">
        <f t="shared" si="45"/>
        <v>0</v>
      </c>
      <c r="AY257" s="49">
        <f t="shared" si="46"/>
        <v>0</v>
      </c>
      <c r="AZ257" s="49">
        <f t="shared" si="47"/>
        <v>1</v>
      </c>
      <c r="BA257" s="49">
        <f t="shared" si="48"/>
        <v>0</v>
      </c>
      <c r="BB257" s="49">
        <f t="shared" si="49"/>
        <v>0</v>
      </c>
      <c r="BC257" s="49">
        <f t="shared" si="50"/>
        <v>0</v>
      </c>
      <c r="BD257" s="49">
        <f t="shared" si="51"/>
        <v>1</v>
      </c>
      <c r="BE257" s="49">
        <f t="shared" si="52"/>
        <v>0</v>
      </c>
      <c r="BF257" s="49">
        <f t="shared" si="53"/>
        <v>0</v>
      </c>
      <c r="BG257" s="49">
        <f t="shared" si="54"/>
        <v>0</v>
      </c>
      <c r="BH257" s="49">
        <f t="shared" si="55"/>
        <v>1</v>
      </c>
      <c r="BI257" s="49">
        <f t="shared" si="56"/>
        <v>0</v>
      </c>
      <c r="BJ257" s="49">
        <f t="shared" si="57"/>
        <v>0</v>
      </c>
      <c r="BK257" s="49">
        <f t="shared" si="58"/>
        <v>0</v>
      </c>
      <c r="BL257" s="49">
        <f t="shared" si="59"/>
        <v>1</v>
      </c>
      <c r="BM257" s="49">
        <f t="shared" si="60"/>
        <v>0</v>
      </c>
      <c r="BN257" s="49">
        <f t="shared" si="61"/>
        <v>0</v>
      </c>
      <c r="BO257" s="49">
        <f t="shared" si="62"/>
        <v>0</v>
      </c>
      <c r="BP257" s="49">
        <f t="shared" si="63"/>
        <v>1</v>
      </c>
      <c r="BQ257" s="49">
        <f t="shared" si="64"/>
        <v>0</v>
      </c>
      <c r="BR257" s="49">
        <f t="shared" si="65"/>
        <v>0</v>
      </c>
      <c r="BS257" s="49">
        <f t="shared" si="66"/>
        <v>0</v>
      </c>
      <c r="BT257" s="49">
        <f t="shared" si="67"/>
        <v>1</v>
      </c>
      <c r="BU257" s="49">
        <f t="shared" si="68"/>
        <v>0</v>
      </c>
      <c r="BV257" s="49">
        <f t="shared" si="69"/>
        <v>0</v>
      </c>
      <c r="BW257" s="49">
        <f t="shared" si="70"/>
        <v>0</v>
      </c>
      <c r="BX257" s="49">
        <f t="shared" si="71"/>
        <v>1</v>
      </c>
      <c r="BY257" s="49">
        <f t="shared" si="72"/>
        <v>0</v>
      </c>
      <c r="BZ257" s="49">
        <f t="shared" si="73"/>
        <v>0</v>
      </c>
      <c r="CA257" s="49">
        <f t="shared" si="74"/>
        <v>0</v>
      </c>
      <c r="CB257" s="49">
        <f t="shared" si="75"/>
        <v>1</v>
      </c>
      <c r="CC257" s="49">
        <f t="shared" si="76"/>
        <v>0</v>
      </c>
      <c r="CD257" s="49">
        <f t="shared" si="77"/>
        <v>0</v>
      </c>
      <c r="CE257" s="49">
        <f t="shared" si="78"/>
        <v>0</v>
      </c>
    </row>
    <row r="258" spans="1:83" ht="35.1" customHeight="1" x14ac:dyDescent="0.3">
      <c r="A258" s="123" t="str">
        <f t="shared" si="120"/>
        <v>2팀</v>
      </c>
      <c r="B258" s="69">
        <f t="shared" si="121"/>
        <v>252</v>
      </c>
      <c r="C258" s="120" t="str">
        <f>IF(VLOOKUP($B258,'1. 현장별 인원현황'!$C:$J,2,0)=0,"",VLOOKUP($B258,'1. 현장별 인원현황'!$C:$J,2,0))</f>
        <v xml:space="preserve"> [2.쌍용건설] 양주 삼숭 지역주택조합 일반전기공사</v>
      </c>
      <c r="D258" s="70" t="str">
        <f>IF(VLOOKUP($B258,'1. 현장별 인원현황'!$C:$J,3,0)=0,"",VLOOKUP($B258,'1. 현장별 인원현황'!$C:$J,3,0))</f>
        <v>박송걸</v>
      </c>
      <c r="E258" s="74" t="str">
        <f ca="1">IF(VLOOKUP($B258,'1. 현장별 인원현황'!$C:$J,4,0)=0,"",VLOOKUP($B258,'1. 현장별 인원현황'!$C:$J,4,0))</f>
        <v>38세</v>
      </c>
      <c r="F258" s="70" t="str">
        <f>IF(VLOOKUP($B258,'1. 현장별 인원현황'!$C:$J,7,0)=0,"",VLOOKUP($B258,'1. 현장별 인원현황'!$C:$J,7,0))</f>
        <v>기능공</v>
      </c>
      <c r="G258" s="72" t="str">
        <f>IF(VLOOKUP($B258,'1. 현장별 인원현황'!$C:$J,8,0)=0,"",VLOOKUP($B258,'1. 현장별 인원현황'!$C:$J,8,0))</f>
        <v>조공</v>
      </c>
      <c r="H258" s="67"/>
      <c r="I258" s="73" t="s">
        <v>69</v>
      </c>
      <c r="J258" s="73"/>
      <c r="K258" s="68"/>
      <c r="L258" s="67" t="s">
        <v>69</v>
      </c>
      <c r="M258" s="73"/>
      <c r="N258" s="73"/>
      <c r="O258" s="68"/>
      <c r="P258" s="67" t="s">
        <v>69</v>
      </c>
      <c r="Q258" s="73"/>
      <c r="R258" s="73"/>
      <c r="S258" s="68"/>
      <c r="T258" s="67" t="s">
        <v>69</v>
      </c>
      <c r="U258" s="73"/>
      <c r="V258" s="73"/>
      <c r="W258" s="68"/>
      <c r="X258" s="67" t="s">
        <v>69</v>
      </c>
      <c r="Y258" s="73"/>
      <c r="Z258" s="73"/>
      <c r="AA258" s="68"/>
      <c r="AB258" s="67" t="s">
        <v>69</v>
      </c>
      <c r="AC258" s="73"/>
      <c r="AD258" s="73"/>
      <c r="AE258" s="68"/>
      <c r="AF258" s="67" t="s">
        <v>69</v>
      </c>
      <c r="AG258" s="73"/>
      <c r="AH258" s="73"/>
      <c r="AI258" s="68"/>
      <c r="AJ258" s="67" t="s">
        <v>69</v>
      </c>
      <c r="AK258" s="73"/>
      <c r="AL258" s="73"/>
      <c r="AM258" s="68"/>
      <c r="AN258" s="73" t="s">
        <v>69</v>
      </c>
      <c r="AO258" s="73"/>
      <c r="AP258" s="73"/>
      <c r="AQ258" s="68"/>
      <c r="AR258" s="67">
        <f t="shared" si="122"/>
        <v>97</v>
      </c>
      <c r="AS258" s="68" t="str">
        <f t="shared" si="123"/>
        <v>S</v>
      </c>
      <c r="AV258" s="49">
        <f t="shared" si="79"/>
        <v>0</v>
      </c>
      <c r="AW258" s="49">
        <f t="shared" si="44"/>
        <v>1</v>
      </c>
      <c r="AX258" s="49">
        <f t="shared" si="45"/>
        <v>0</v>
      </c>
      <c r="AY258" s="49">
        <f t="shared" si="46"/>
        <v>0</v>
      </c>
      <c r="AZ258" s="49">
        <f t="shared" si="47"/>
        <v>1</v>
      </c>
      <c r="BA258" s="49">
        <f t="shared" si="48"/>
        <v>0</v>
      </c>
      <c r="BB258" s="49">
        <f t="shared" si="49"/>
        <v>0</v>
      </c>
      <c r="BC258" s="49">
        <f t="shared" si="50"/>
        <v>0</v>
      </c>
      <c r="BD258" s="49">
        <f t="shared" si="51"/>
        <v>1</v>
      </c>
      <c r="BE258" s="49">
        <f t="shared" si="52"/>
        <v>0</v>
      </c>
      <c r="BF258" s="49">
        <f t="shared" si="53"/>
        <v>0</v>
      </c>
      <c r="BG258" s="49">
        <f t="shared" si="54"/>
        <v>0</v>
      </c>
      <c r="BH258" s="49">
        <f t="shared" si="55"/>
        <v>1</v>
      </c>
      <c r="BI258" s="49">
        <f t="shared" si="56"/>
        <v>0</v>
      </c>
      <c r="BJ258" s="49">
        <f t="shared" si="57"/>
        <v>0</v>
      </c>
      <c r="BK258" s="49">
        <f t="shared" si="58"/>
        <v>0</v>
      </c>
      <c r="BL258" s="49">
        <f t="shared" si="59"/>
        <v>1</v>
      </c>
      <c r="BM258" s="49">
        <f t="shared" si="60"/>
        <v>0</v>
      </c>
      <c r="BN258" s="49">
        <f t="shared" si="61"/>
        <v>0</v>
      </c>
      <c r="BO258" s="49">
        <f t="shared" si="62"/>
        <v>0</v>
      </c>
      <c r="BP258" s="49">
        <f t="shared" si="63"/>
        <v>1</v>
      </c>
      <c r="BQ258" s="49">
        <f t="shared" si="64"/>
        <v>0</v>
      </c>
      <c r="BR258" s="49">
        <f t="shared" si="65"/>
        <v>0</v>
      </c>
      <c r="BS258" s="49">
        <f t="shared" si="66"/>
        <v>0</v>
      </c>
      <c r="BT258" s="49">
        <f t="shared" si="67"/>
        <v>1</v>
      </c>
      <c r="BU258" s="49">
        <f t="shared" si="68"/>
        <v>0</v>
      </c>
      <c r="BV258" s="49">
        <f t="shared" si="69"/>
        <v>0</v>
      </c>
      <c r="BW258" s="49">
        <f t="shared" si="70"/>
        <v>0</v>
      </c>
      <c r="BX258" s="49">
        <f t="shared" si="71"/>
        <v>1</v>
      </c>
      <c r="BY258" s="49">
        <f t="shared" si="72"/>
        <v>0</v>
      </c>
      <c r="BZ258" s="49">
        <f t="shared" si="73"/>
        <v>0</v>
      </c>
      <c r="CA258" s="49">
        <f t="shared" si="74"/>
        <v>0</v>
      </c>
      <c r="CB258" s="49">
        <f t="shared" si="75"/>
        <v>1</v>
      </c>
      <c r="CC258" s="49">
        <f t="shared" si="76"/>
        <v>0</v>
      </c>
      <c r="CD258" s="49">
        <f t="shared" si="77"/>
        <v>0</v>
      </c>
      <c r="CE258" s="49">
        <f t="shared" si="78"/>
        <v>0</v>
      </c>
    </row>
    <row r="259" spans="1:83" ht="35.1" customHeight="1" x14ac:dyDescent="0.3">
      <c r="A259" s="123" t="str">
        <f t="shared" si="120"/>
        <v>2팀</v>
      </c>
      <c r="B259" s="69">
        <f t="shared" si="121"/>
        <v>253</v>
      </c>
      <c r="C259" s="120" t="str">
        <f>IF(VLOOKUP($B259,'1. 현장별 인원현황'!$C:$J,2,0)=0,"",VLOOKUP($B259,'1. 현장별 인원현황'!$C:$J,2,0))</f>
        <v xml:space="preserve"> [2.쌍용건설] 평택 가재지구 1블럭 공동주택 신축공사</v>
      </c>
      <c r="D259" s="70" t="str">
        <f>IF(VLOOKUP($B259,'1. 현장별 인원현황'!$C:$J,3,0)=0,"",VLOOKUP($B259,'1. 현장별 인원현황'!$C:$J,3,0))</f>
        <v>김현배</v>
      </c>
      <c r="E259" s="74" t="str">
        <f ca="1">IF(VLOOKUP($B259,'1. 현장별 인원현황'!$C:$J,4,0)=0,"",VLOOKUP($B259,'1. 현장별 인원현황'!$C:$J,4,0))</f>
        <v>49세</v>
      </c>
      <c r="F259" s="70" t="str">
        <f>IF(VLOOKUP($B259,'1. 현장별 인원현황'!$C:$J,7,0)=0,"",VLOOKUP($B259,'1. 현장별 인원현황'!$C:$J,7,0))</f>
        <v>공무</v>
      </c>
      <c r="G259" s="72" t="str">
        <f>IF(VLOOKUP($B259,'1. 현장별 인원현황'!$C:$J,8,0)=0,"",VLOOKUP($B259,'1. 현장별 인원현황'!$C:$J,8,0))</f>
        <v>차장</v>
      </c>
      <c r="H259" s="67" t="s">
        <v>69</v>
      </c>
      <c r="I259" s="73"/>
      <c r="J259" s="73"/>
      <c r="K259" s="68"/>
      <c r="L259" s="67" t="s">
        <v>69</v>
      </c>
      <c r="M259" s="73"/>
      <c r="N259" s="73"/>
      <c r="O259" s="68"/>
      <c r="P259" s="67" t="s">
        <v>69</v>
      </c>
      <c r="Q259" s="73"/>
      <c r="R259" s="73"/>
      <c r="S259" s="68"/>
      <c r="T259" s="67" t="s">
        <v>69</v>
      </c>
      <c r="U259" s="73"/>
      <c r="V259" s="73"/>
      <c r="W259" s="68"/>
      <c r="X259" s="67" t="s">
        <v>69</v>
      </c>
      <c r="Y259" s="73"/>
      <c r="Z259" s="73"/>
      <c r="AA259" s="68"/>
      <c r="AB259" s="67" t="s">
        <v>69</v>
      </c>
      <c r="AC259" s="73"/>
      <c r="AD259" s="73"/>
      <c r="AE259" s="68"/>
      <c r="AF259" s="67" t="s">
        <v>69</v>
      </c>
      <c r="AG259" s="73"/>
      <c r="AH259" s="73"/>
      <c r="AI259" s="68"/>
      <c r="AJ259" s="67" t="s">
        <v>69</v>
      </c>
      <c r="AK259" s="73"/>
      <c r="AL259" s="73"/>
      <c r="AM259" s="68"/>
      <c r="AN259" s="73" t="s">
        <v>69</v>
      </c>
      <c r="AO259" s="73"/>
      <c r="AP259" s="73"/>
      <c r="AQ259" s="68"/>
      <c r="AR259" s="67">
        <f t="shared" si="122"/>
        <v>100</v>
      </c>
      <c r="AS259" s="68" t="str">
        <f t="shared" si="123"/>
        <v>S</v>
      </c>
      <c r="AV259" s="49">
        <f t="shared" si="79"/>
        <v>1</v>
      </c>
      <c r="AW259" s="49">
        <f t="shared" si="44"/>
        <v>0</v>
      </c>
      <c r="AX259" s="49">
        <f t="shared" si="45"/>
        <v>0</v>
      </c>
      <c r="AY259" s="49">
        <f t="shared" si="46"/>
        <v>0</v>
      </c>
      <c r="AZ259" s="49">
        <f t="shared" si="47"/>
        <v>1</v>
      </c>
      <c r="BA259" s="49">
        <f t="shared" si="48"/>
        <v>0</v>
      </c>
      <c r="BB259" s="49">
        <f t="shared" si="49"/>
        <v>0</v>
      </c>
      <c r="BC259" s="49">
        <f t="shared" si="50"/>
        <v>0</v>
      </c>
      <c r="BD259" s="49">
        <f t="shared" si="51"/>
        <v>1</v>
      </c>
      <c r="BE259" s="49">
        <f t="shared" si="52"/>
        <v>0</v>
      </c>
      <c r="BF259" s="49">
        <f t="shared" si="53"/>
        <v>0</v>
      </c>
      <c r="BG259" s="49">
        <f t="shared" si="54"/>
        <v>0</v>
      </c>
      <c r="BH259" s="49">
        <f t="shared" si="55"/>
        <v>1</v>
      </c>
      <c r="BI259" s="49">
        <f t="shared" si="56"/>
        <v>0</v>
      </c>
      <c r="BJ259" s="49">
        <f t="shared" si="57"/>
        <v>0</v>
      </c>
      <c r="BK259" s="49">
        <f t="shared" si="58"/>
        <v>0</v>
      </c>
      <c r="BL259" s="49">
        <f t="shared" si="59"/>
        <v>1</v>
      </c>
      <c r="BM259" s="49">
        <f t="shared" si="60"/>
        <v>0</v>
      </c>
      <c r="BN259" s="49">
        <f t="shared" si="61"/>
        <v>0</v>
      </c>
      <c r="BO259" s="49">
        <f t="shared" si="62"/>
        <v>0</v>
      </c>
      <c r="BP259" s="49">
        <f t="shared" si="63"/>
        <v>1</v>
      </c>
      <c r="BQ259" s="49">
        <f t="shared" si="64"/>
        <v>0</v>
      </c>
      <c r="BR259" s="49">
        <f t="shared" si="65"/>
        <v>0</v>
      </c>
      <c r="BS259" s="49">
        <f t="shared" si="66"/>
        <v>0</v>
      </c>
      <c r="BT259" s="49">
        <f t="shared" si="67"/>
        <v>1</v>
      </c>
      <c r="BU259" s="49">
        <f t="shared" si="68"/>
        <v>0</v>
      </c>
      <c r="BV259" s="49">
        <f t="shared" si="69"/>
        <v>0</v>
      </c>
      <c r="BW259" s="49">
        <f t="shared" si="70"/>
        <v>0</v>
      </c>
      <c r="BX259" s="49">
        <f t="shared" si="71"/>
        <v>1</v>
      </c>
      <c r="BY259" s="49">
        <f t="shared" si="72"/>
        <v>0</v>
      </c>
      <c r="BZ259" s="49">
        <f t="shared" si="73"/>
        <v>0</v>
      </c>
      <c r="CA259" s="49">
        <f t="shared" si="74"/>
        <v>0</v>
      </c>
      <c r="CB259" s="49">
        <f t="shared" si="75"/>
        <v>1</v>
      </c>
      <c r="CC259" s="49">
        <f t="shared" si="76"/>
        <v>0</v>
      </c>
      <c r="CD259" s="49">
        <f t="shared" si="77"/>
        <v>0</v>
      </c>
      <c r="CE259" s="49">
        <f t="shared" si="78"/>
        <v>0</v>
      </c>
    </row>
    <row r="260" spans="1:83" ht="35.1" customHeight="1" x14ac:dyDescent="0.3">
      <c r="A260" s="123" t="str">
        <f t="shared" si="120"/>
        <v>2팀</v>
      </c>
      <c r="B260" s="69">
        <f t="shared" si="121"/>
        <v>254</v>
      </c>
      <c r="C260" s="120" t="str">
        <f>IF(VLOOKUP($B260,'1. 현장별 인원현황'!$C:$J,2,0)=0,"",VLOOKUP($B260,'1. 현장별 인원현황'!$C:$J,2,0))</f>
        <v xml:space="preserve"> [2.쌍용건설] 평택 가재지구 1블럭 공동주택 신축공사</v>
      </c>
      <c r="D260" s="70" t="str">
        <f>IF(VLOOKUP($B260,'1. 현장별 인원현황'!$C:$J,3,0)=0,"",VLOOKUP($B260,'1. 현장별 인원현황'!$C:$J,3,0))</f>
        <v>김영회</v>
      </c>
      <c r="E260" s="74" t="str">
        <f ca="1">IF(VLOOKUP($B260,'1. 현장별 인원현황'!$C:$J,4,0)=0,"",VLOOKUP($B260,'1. 현장별 인원현황'!$C:$J,4,0))</f>
        <v>56세</v>
      </c>
      <c r="F260" s="70" t="str">
        <f>IF(VLOOKUP($B260,'1. 현장별 인원현황'!$C:$J,7,0)=0,"",VLOOKUP($B260,'1. 현장별 인원현황'!$C:$J,7,0))</f>
        <v>공사</v>
      </c>
      <c r="G260" s="72" t="str">
        <f>IF(VLOOKUP($B260,'1. 현장별 인원현황'!$C:$J,8,0)=0,"",VLOOKUP($B260,'1. 현장별 인원현황'!$C:$J,8,0))</f>
        <v>차장</v>
      </c>
      <c r="H260" s="67" t="s">
        <v>69</v>
      </c>
      <c r="I260" s="73"/>
      <c r="J260" s="73"/>
      <c r="K260" s="68"/>
      <c r="L260" s="67" t="s">
        <v>69</v>
      </c>
      <c r="M260" s="73"/>
      <c r="N260" s="73"/>
      <c r="O260" s="68"/>
      <c r="P260" s="67" t="s">
        <v>69</v>
      </c>
      <c r="Q260" s="73"/>
      <c r="R260" s="73"/>
      <c r="S260" s="68"/>
      <c r="T260" s="67" t="s">
        <v>69</v>
      </c>
      <c r="U260" s="73"/>
      <c r="V260" s="73"/>
      <c r="W260" s="68"/>
      <c r="X260" s="67" t="s">
        <v>69</v>
      </c>
      <c r="Y260" s="73"/>
      <c r="Z260" s="73"/>
      <c r="AA260" s="68"/>
      <c r="AB260" s="67" t="s">
        <v>69</v>
      </c>
      <c r="AC260" s="73"/>
      <c r="AD260" s="73"/>
      <c r="AE260" s="68"/>
      <c r="AF260" s="67" t="s">
        <v>69</v>
      </c>
      <c r="AG260" s="73"/>
      <c r="AH260" s="73"/>
      <c r="AI260" s="68"/>
      <c r="AJ260" s="67" t="s">
        <v>69</v>
      </c>
      <c r="AK260" s="73"/>
      <c r="AL260" s="73"/>
      <c r="AM260" s="68"/>
      <c r="AN260" s="73" t="s">
        <v>69</v>
      </c>
      <c r="AO260" s="73"/>
      <c r="AP260" s="73"/>
      <c r="AQ260" s="68"/>
      <c r="AR260" s="67">
        <f t="shared" si="122"/>
        <v>100</v>
      </c>
      <c r="AS260" s="68" t="str">
        <f t="shared" si="123"/>
        <v>S</v>
      </c>
      <c r="AV260" s="49">
        <f t="shared" si="79"/>
        <v>1</v>
      </c>
      <c r="AW260" s="49">
        <f t="shared" si="44"/>
        <v>0</v>
      </c>
      <c r="AX260" s="49">
        <f t="shared" si="45"/>
        <v>0</v>
      </c>
      <c r="AY260" s="49">
        <f t="shared" si="46"/>
        <v>0</v>
      </c>
      <c r="AZ260" s="49">
        <f t="shared" si="47"/>
        <v>1</v>
      </c>
      <c r="BA260" s="49">
        <f t="shared" si="48"/>
        <v>0</v>
      </c>
      <c r="BB260" s="49">
        <f t="shared" si="49"/>
        <v>0</v>
      </c>
      <c r="BC260" s="49">
        <f t="shared" si="50"/>
        <v>0</v>
      </c>
      <c r="BD260" s="49">
        <f t="shared" si="51"/>
        <v>1</v>
      </c>
      <c r="BE260" s="49">
        <f t="shared" si="52"/>
        <v>0</v>
      </c>
      <c r="BF260" s="49">
        <f t="shared" si="53"/>
        <v>0</v>
      </c>
      <c r="BG260" s="49">
        <f t="shared" si="54"/>
        <v>0</v>
      </c>
      <c r="BH260" s="49">
        <f t="shared" si="55"/>
        <v>1</v>
      </c>
      <c r="BI260" s="49">
        <f t="shared" si="56"/>
        <v>0</v>
      </c>
      <c r="BJ260" s="49">
        <f t="shared" si="57"/>
        <v>0</v>
      </c>
      <c r="BK260" s="49">
        <f t="shared" si="58"/>
        <v>0</v>
      </c>
      <c r="BL260" s="49">
        <f t="shared" si="59"/>
        <v>1</v>
      </c>
      <c r="BM260" s="49">
        <f t="shared" si="60"/>
        <v>0</v>
      </c>
      <c r="BN260" s="49">
        <f t="shared" si="61"/>
        <v>0</v>
      </c>
      <c r="BO260" s="49">
        <f t="shared" si="62"/>
        <v>0</v>
      </c>
      <c r="BP260" s="49">
        <f t="shared" si="63"/>
        <v>1</v>
      </c>
      <c r="BQ260" s="49">
        <f t="shared" si="64"/>
        <v>0</v>
      </c>
      <c r="BR260" s="49">
        <f t="shared" si="65"/>
        <v>0</v>
      </c>
      <c r="BS260" s="49">
        <f t="shared" si="66"/>
        <v>0</v>
      </c>
      <c r="BT260" s="49">
        <f t="shared" si="67"/>
        <v>1</v>
      </c>
      <c r="BU260" s="49">
        <f t="shared" si="68"/>
        <v>0</v>
      </c>
      <c r="BV260" s="49">
        <f t="shared" si="69"/>
        <v>0</v>
      </c>
      <c r="BW260" s="49">
        <f t="shared" si="70"/>
        <v>0</v>
      </c>
      <c r="BX260" s="49">
        <f t="shared" si="71"/>
        <v>1</v>
      </c>
      <c r="BY260" s="49">
        <f t="shared" si="72"/>
        <v>0</v>
      </c>
      <c r="BZ260" s="49">
        <f t="shared" si="73"/>
        <v>0</v>
      </c>
      <c r="CA260" s="49">
        <f t="shared" si="74"/>
        <v>0</v>
      </c>
      <c r="CB260" s="49">
        <f t="shared" si="75"/>
        <v>1</v>
      </c>
      <c r="CC260" s="49">
        <f t="shared" si="76"/>
        <v>0</v>
      </c>
      <c r="CD260" s="49">
        <f t="shared" si="77"/>
        <v>0</v>
      </c>
      <c r="CE260" s="49">
        <f t="shared" si="78"/>
        <v>0</v>
      </c>
    </row>
    <row r="261" spans="1:83" ht="35.1" customHeight="1" x14ac:dyDescent="0.3">
      <c r="A261" s="123" t="str">
        <f t="shared" si="120"/>
        <v>2팀</v>
      </c>
      <c r="B261" s="69">
        <f t="shared" si="121"/>
        <v>255</v>
      </c>
      <c r="C261" s="120" t="str">
        <f>IF(VLOOKUP($B261,'1. 현장별 인원현황'!$C:$J,2,0)=0,"",VLOOKUP($B261,'1. 현장별 인원현황'!$C:$J,2,0))</f>
        <v xml:space="preserve"> [2.쌍용건설] 평택 가재지구 1블럭 공동주택 신축공사</v>
      </c>
      <c r="D261" s="70" t="str">
        <f>IF(VLOOKUP($B261,'1. 현장별 인원현황'!$C:$J,3,0)=0,"",VLOOKUP($B261,'1. 현장별 인원현황'!$C:$J,3,0))</f>
        <v>김용철</v>
      </c>
      <c r="E261" s="74" t="str">
        <f ca="1">IF(VLOOKUP($B261,'1. 현장별 인원현황'!$C:$J,4,0)=0,"",VLOOKUP($B261,'1. 현장별 인원현황'!$C:$J,4,0))</f>
        <v>47세</v>
      </c>
      <c r="F261" s="70" t="str">
        <f>IF(VLOOKUP($B261,'1. 현장별 인원현황'!$C:$J,7,0)=0,"",VLOOKUP($B261,'1. 현장별 인원현황'!$C:$J,7,0))</f>
        <v>기능공</v>
      </c>
      <c r="G261" s="72" t="str">
        <f>IF(VLOOKUP($B261,'1. 현장별 인원현황'!$C:$J,8,0)=0,"",VLOOKUP($B261,'1. 현장별 인원현황'!$C:$J,8,0))</f>
        <v>전공</v>
      </c>
      <c r="H261" s="67" t="s">
        <v>69</v>
      </c>
      <c r="I261" s="73"/>
      <c r="J261" s="73"/>
      <c r="K261" s="68"/>
      <c r="L261" s="67" t="s">
        <v>69</v>
      </c>
      <c r="M261" s="73"/>
      <c r="N261" s="73"/>
      <c r="O261" s="68"/>
      <c r="P261" s="67" t="s">
        <v>69</v>
      </c>
      <c r="Q261" s="73"/>
      <c r="R261" s="73"/>
      <c r="S261" s="68"/>
      <c r="T261" s="67" t="s">
        <v>69</v>
      </c>
      <c r="U261" s="73"/>
      <c r="V261" s="73"/>
      <c r="W261" s="68"/>
      <c r="X261" s="67" t="s">
        <v>69</v>
      </c>
      <c r="Y261" s="73"/>
      <c r="Z261" s="73"/>
      <c r="AA261" s="68"/>
      <c r="AB261" s="67" t="s">
        <v>69</v>
      </c>
      <c r="AC261" s="73"/>
      <c r="AD261" s="73"/>
      <c r="AE261" s="68"/>
      <c r="AF261" s="67" t="s">
        <v>69</v>
      </c>
      <c r="AG261" s="73"/>
      <c r="AH261" s="73"/>
      <c r="AI261" s="68"/>
      <c r="AJ261" s="67" t="s">
        <v>69</v>
      </c>
      <c r="AK261" s="73"/>
      <c r="AL261" s="73"/>
      <c r="AM261" s="68"/>
      <c r="AN261" s="73" t="s">
        <v>69</v>
      </c>
      <c r="AO261" s="73"/>
      <c r="AP261" s="73"/>
      <c r="AQ261" s="68"/>
      <c r="AR261" s="67">
        <f t="shared" si="122"/>
        <v>100</v>
      </c>
      <c r="AS261" s="68" t="str">
        <f t="shared" si="123"/>
        <v>S</v>
      </c>
      <c r="AV261" s="49">
        <f t="shared" si="79"/>
        <v>1</v>
      </c>
      <c r="AW261" s="49">
        <f t="shared" si="44"/>
        <v>0</v>
      </c>
      <c r="AX261" s="49">
        <f t="shared" si="45"/>
        <v>0</v>
      </c>
      <c r="AY261" s="49">
        <f t="shared" si="46"/>
        <v>0</v>
      </c>
      <c r="AZ261" s="49">
        <f t="shared" si="47"/>
        <v>1</v>
      </c>
      <c r="BA261" s="49">
        <f t="shared" si="48"/>
        <v>0</v>
      </c>
      <c r="BB261" s="49">
        <f t="shared" si="49"/>
        <v>0</v>
      </c>
      <c r="BC261" s="49">
        <f t="shared" si="50"/>
        <v>0</v>
      </c>
      <c r="BD261" s="49">
        <f t="shared" si="51"/>
        <v>1</v>
      </c>
      <c r="BE261" s="49">
        <f t="shared" si="52"/>
        <v>0</v>
      </c>
      <c r="BF261" s="49">
        <f t="shared" si="53"/>
        <v>0</v>
      </c>
      <c r="BG261" s="49">
        <f t="shared" si="54"/>
        <v>0</v>
      </c>
      <c r="BH261" s="49">
        <f t="shared" si="55"/>
        <v>1</v>
      </c>
      <c r="BI261" s="49">
        <f t="shared" si="56"/>
        <v>0</v>
      </c>
      <c r="BJ261" s="49">
        <f t="shared" si="57"/>
        <v>0</v>
      </c>
      <c r="BK261" s="49">
        <f t="shared" si="58"/>
        <v>0</v>
      </c>
      <c r="BL261" s="49">
        <f t="shared" si="59"/>
        <v>1</v>
      </c>
      <c r="BM261" s="49">
        <f t="shared" si="60"/>
        <v>0</v>
      </c>
      <c r="BN261" s="49">
        <f t="shared" si="61"/>
        <v>0</v>
      </c>
      <c r="BO261" s="49">
        <f t="shared" si="62"/>
        <v>0</v>
      </c>
      <c r="BP261" s="49">
        <f t="shared" si="63"/>
        <v>1</v>
      </c>
      <c r="BQ261" s="49">
        <f t="shared" si="64"/>
        <v>0</v>
      </c>
      <c r="BR261" s="49">
        <f t="shared" si="65"/>
        <v>0</v>
      </c>
      <c r="BS261" s="49">
        <f t="shared" si="66"/>
        <v>0</v>
      </c>
      <c r="BT261" s="49">
        <f t="shared" si="67"/>
        <v>1</v>
      </c>
      <c r="BU261" s="49">
        <f t="shared" si="68"/>
        <v>0</v>
      </c>
      <c r="BV261" s="49">
        <f t="shared" si="69"/>
        <v>0</v>
      </c>
      <c r="BW261" s="49">
        <f t="shared" si="70"/>
        <v>0</v>
      </c>
      <c r="BX261" s="49">
        <f t="shared" si="71"/>
        <v>1</v>
      </c>
      <c r="BY261" s="49">
        <f t="shared" si="72"/>
        <v>0</v>
      </c>
      <c r="BZ261" s="49">
        <f t="shared" si="73"/>
        <v>0</v>
      </c>
      <c r="CA261" s="49">
        <f t="shared" si="74"/>
        <v>0</v>
      </c>
      <c r="CB261" s="49">
        <f t="shared" si="75"/>
        <v>1</v>
      </c>
      <c r="CC261" s="49">
        <f t="shared" si="76"/>
        <v>0</v>
      </c>
      <c r="CD261" s="49">
        <f t="shared" si="77"/>
        <v>0</v>
      </c>
      <c r="CE261" s="49">
        <f t="shared" si="78"/>
        <v>0</v>
      </c>
    </row>
    <row r="262" spans="1:83" ht="35.1" customHeight="1" x14ac:dyDescent="0.3">
      <c r="A262" s="123" t="str">
        <f t="shared" si="120"/>
        <v>2팀</v>
      </c>
      <c r="B262" s="69">
        <f t="shared" si="121"/>
        <v>256</v>
      </c>
      <c r="C262" s="120" t="str">
        <f>IF(VLOOKUP($B262,'1. 현장별 인원현황'!$C:$J,2,0)=0,"",VLOOKUP($B262,'1. 현장별 인원현황'!$C:$J,2,0))</f>
        <v xml:space="preserve"> [2.쌍용건설] 평택 가재지구 1블럭 공동주택 신축공사</v>
      </c>
      <c r="D262" s="70" t="str">
        <f>IF(VLOOKUP($B262,'1. 현장별 인원현황'!$C:$J,3,0)=0,"",VLOOKUP($B262,'1. 현장별 인원현황'!$C:$J,3,0))</f>
        <v>아크말</v>
      </c>
      <c r="E262" s="74" t="str">
        <f ca="1">IF(VLOOKUP($B262,'1. 현장별 인원현황'!$C:$J,4,0)=0,"",VLOOKUP($B262,'1. 현장별 인원현황'!$C:$J,4,0))</f>
        <v>40세</v>
      </c>
      <c r="F262" s="70" t="str">
        <f>IF(VLOOKUP($B262,'1. 현장별 인원현황'!$C:$J,7,0)=0,"",VLOOKUP($B262,'1. 현장별 인원현황'!$C:$J,7,0))</f>
        <v>기능공</v>
      </c>
      <c r="G262" s="72" t="str">
        <f>IF(VLOOKUP($B262,'1. 현장별 인원현황'!$C:$J,8,0)=0,"",VLOOKUP($B262,'1. 현장별 인원현황'!$C:$J,8,0))</f>
        <v>전공</v>
      </c>
      <c r="H262" s="67"/>
      <c r="I262" s="73" t="s">
        <v>69</v>
      </c>
      <c r="J262" s="73"/>
      <c r="K262" s="68"/>
      <c r="L262" s="67" t="s">
        <v>69</v>
      </c>
      <c r="M262" s="73"/>
      <c r="N262" s="73"/>
      <c r="O262" s="68"/>
      <c r="P262" s="67"/>
      <c r="Q262" s="73" t="s">
        <v>69</v>
      </c>
      <c r="R262" s="73"/>
      <c r="S262" s="68"/>
      <c r="T262" s="67"/>
      <c r="U262" s="73" t="s">
        <v>69</v>
      </c>
      <c r="V262" s="73"/>
      <c r="W262" s="68"/>
      <c r="X262" s="67" t="s">
        <v>69</v>
      </c>
      <c r="Y262" s="73"/>
      <c r="Z262" s="73"/>
      <c r="AA262" s="68"/>
      <c r="AB262" s="67" t="s">
        <v>69</v>
      </c>
      <c r="AC262" s="73"/>
      <c r="AD262" s="73"/>
      <c r="AE262" s="68"/>
      <c r="AF262" s="67" t="s">
        <v>69</v>
      </c>
      <c r="AG262" s="73"/>
      <c r="AH262" s="73"/>
      <c r="AI262" s="68"/>
      <c r="AJ262" s="67" t="s">
        <v>69</v>
      </c>
      <c r="AK262" s="73"/>
      <c r="AL262" s="73"/>
      <c r="AM262" s="68"/>
      <c r="AN262" s="73" t="s">
        <v>69</v>
      </c>
      <c r="AO262" s="73"/>
      <c r="AP262" s="73"/>
      <c r="AQ262" s="68"/>
      <c r="AR262" s="67">
        <f t="shared" si="122"/>
        <v>92</v>
      </c>
      <c r="AS262" s="68" t="str">
        <f t="shared" si="123"/>
        <v>S</v>
      </c>
      <c r="AV262" s="49">
        <f t="shared" si="79"/>
        <v>0</v>
      </c>
      <c r="AW262" s="49">
        <f t="shared" si="44"/>
        <v>1</v>
      </c>
      <c r="AX262" s="49">
        <f t="shared" si="45"/>
        <v>0</v>
      </c>
      <c r="AY262" s="49">
        <f t="shared" si="46"/>
        <v>0</v>
      </c>
      <c r="AZ262" s="49">
        <f t="shared" si="47"/>
        <v>1</v>
      </c>
      <c r="BA262" s="49">
        <f t="shared" si="48"/>
        <v>0</v>
      </c>
      <c r="BB262" s="49">
        <f t="shared" si="49"/>
        <v>0</v>
      </c>
      <c r="BC262" s="49">
        <f t="shared" si="50"/>
        <v>0</v>
      </c>
      <c r="BD262" s="49">
        <f t="shared" si="51"/>
        <v>0</v>
      </c>
      <c r="BE262" s="49">
        <f t="shared" si="52"/>
        <v>1</v>
      </c>
      <c r="BF262" s="49">
        <f t="shared" si="53"/>
        <v>0</v>
      </c>
      <c r="BG262" s="49">
        <f t="shared" si="54"/>
        <v>0</v>
      </c>
      <c r="BH262" s="49">
        <f t="shared" si="55"/>
        <v>0</v>
      </c>
      <c r="BI262" s="49">
        <f t="shared" si="56"/>
        <v>1</v>
      </c>
      <c r="BJ262" s="49">
        <f t="shared" si="57"/>
        <v>0</v>
      </c>
      <c r="BK262" s="49">
        <f t="shared" si="58"/>
        <v>0</v>
      </c>
      <c r="BL262" s="49">
        <f t="shared" si="59"/>
        <v>1</v>
      </c>
      <c r="BM262" s="49">
        <f t="shared" si="60"/>
        <v>0</v>
      </c>
      <c r="BN262" s="49">
        <f t="shared" si="61"/>
        <v>0</v>
      </c>
      <c r="BO262" s="49">
        <f t="shared" si="62"/>
        <v>0</v>
      </c>
      <c r="BP262" s="49">
        <f t="shared" si="63"/>
        <v>1</v>
      </c>
      <c r="BQ262" s="49">
        <f t="shared" si="64"/>
        <v>0</v>
      </c>
      <c r="BR262" s="49">
        <f t="shared" si="65"/>
        <v>0</v>
      </c>
      <c r="BS262" s="49">
        <f t="shared" si="66"/>
        <v>0</v>
      </c>
      <c r="BT262" s="49">
        <f t="shared" si="67"/>
        <v>1</v>
      </c>
      <c r="BU262" s="49">
        <f t="shared" si="68"/>
        <v>0</v>
      </c>
      <c r="BV262" s="49">
        <f t="shared" si="69"/>
        <v>0</v>
      </c>
      <c r="BW262" s="49">
        <f t="shared" si="70"/>
        <v>0</v>
      </c>
      <c r="BX262" s="49">
        <f t="shared" si="71"/>
        <v>1</v>
      </c>
      <c r="BY262" s="49">
        <f t="shared" si="72"/>
        <v>0</v>
      </c>
      <c r="BZ262" s="49">
        <f t="shared" si="73"/>
        <v>0</v>
      </c>
      <c r="CA262" s="49">
        <f t="shared" si="74"/>
        <v>0</v>
      </c>
      <c r="CB262" s="49">
        <f t="shared" si="75"/>
        <v>1</v>
      </c>
      <c r="CC262" s="49">
        <f t="shared" si="76"/>
        <v>0</v>
      </c>
      <c r="CD262" s="49">
        <f t="shared" si="77"/>
        <v>0</v>
      </c>
      <c r="CE262" s="49">
        <f t="shared" si="78"/>
        <v>0</v>
      </c>
    </row>
    <row r="263" spans="1:83" ht="35.1" customHeight="1" x14ac:dyDescent="0.3">
      <c r="A263" s="123" t="str">
        <f t="shared" ref="A263:A326" si="160">MID(C263,3,1)&amp;"팀"</f>
        <v>2팀</v>
      </c>
      <c r="B263" s="69">
        <f t="shared" ref="B263:B326" si="161">ROW()-6</f>
        <v>257</v>
      </c>
      <c r="C263" s="120" t="str">
        <f>IF(VLOOKUP($B263,'1. 현장별 인원현황'!$C:$J,2,0)=0,"",VLOOKUP($B263,'1. 현장별 인원현황'!$C:$J,2,0))</f>
        <v xml:space="preserve"> [2.쌍용건설] 평택 가재지구 1블럭 공동주택 신축공사</v>
      </c>
      <c r="D263" s="70" t="str">
        <f>IF(VLOOKUP($B263,'1. 현장별 인원현황'!$C:$J,3,0)=0,"",VLOOKUP($B263,'1. 현장별 인원현황'!$C:$J,3,0))</f>
        <v>양준호</v>
      </c>
      <c r="E263" s="74" t="str">
        <f ca="1">IF(VLOOKUP($B263,'1. 현장별 인원현황'!$C:$J,4,0)=0,"",VLOOKUP($B263,'1. 현장별 인원현황'!$C:$J,4,0))</f>
        <v>32세</v>
      </c>
      <c r="F263" s="70" t="str">
        <f>IF(VLOOKUP($B263,'1. 현장별 인원현황'!$C:$J,7,0)=0,"",VLOOKUP($B263,'1. 현장별 인원현황'!$C:$J,7,0))</f>
        <v>기능공</v>
      </c>
      <c r="G263" s="72" t="str">
        <f>IF(VLOOKUP($B263,'1. 현장별 인원현황'!$C:$J,8,0)=0,"",VLOOKUP($B263,'1. 현장별 인원현황'!$C:$J,8,0))</f>
        <v>전공</v>
      </c>
      <c r="H263" s="67"/>
      <c r="I263" s="73" t="s">
        <v>69</v>
      </c>
      <c r="J263" s="73"/>
      <c r="K263" s="68"/>
      <c r="L263" s="67" t="s">
        <v>69</v>
      </c>
      <c r="M263" s="73"/>
      <c r="N263" s="73"/>
      <c r="O263" s="68"/>
      <c r="P263" s="67" t="s">
        <v>69</v>
      </c>
      <c r="Q263" s="73"/>
      <c r="R263" s="73"/>
      <c r="S263" s="68"/>
      <c r="T263" s="67"/>
      <c r="U263" s="73" t="s">
        <v>69</v>
      </c>
      <c r="V263" s="73"/>
      <c r="W263" s="68"/>
      <c r="X263" s="67" t="s">
        <v>69</v>
      </c>
      <c r="Y263" s="73"/>
      <c r="Z263" s="73"/>
      <c r="AA263" s="68"/>
      <c r="AB263" s="67" t="s">
        <v>69</v>
      </c>
      <c r="AC263" s="73"/>
      <c r="AD263" s="73"/>
      <c r="AE263" s="68"/>
      <c r="AF263" s="67" t="s">
        <v>69</v>
      </c>
      <c r="AG263" s="73"/>
      <c r="AH263" s="73"/>
      <c r="AI263" s="68"/>
      <c r="AJ263" s="67" t="s">
        <v>69</v>
      </c>
      <c r="AK263" s="73"/>
      <c r="AL263" s="73"/>
      <c r="AM263" s="68"/>
      <c r="AN263" s="73" t="s">
        <v>69</v>
      </c>
      <c r="AO263" s="73"/>
      <c r="AP263" s="73"/>
      <c r="AQ263" s="68"/>
      <c r="AR263" s="67">
        <f t="shared" ref="AR263:AR326" si="162">SUMPRODUCT($H$5:$AQ$5,AV263:CE263)</f>
        <v>95</v>
      </c>
      <c r="AS263" s="68" t="str">
        <f t="shared" ref="AS263:AS326" si="163">IF(AR263&gt;85,"S",IF(AR263&gt;70,"A",IF(AR263&gt;50,"B",IF(AR263&gt;0,"C",""))))</f>
        <v>S</v>
      </c>
      <c r="AV263" s="49">
        <f t="shared" si="79"/>
        <v>0</v>
      </c>
      <c r="AW263" s="49">
        <f t="shared" si="44"/>
        <v>1</v>
      </c>
      <c r="AX263" s="49">
        <f t="shared" si="45"/>
        <v>0</v>
      </c>
      <c r="AY263" s="49">
        <f t="shared" si="46"/>
        <v>0</v>
      </c>
      <c r="AZ263" s="49">
        <f t="shared" si="47"/>
        <v>1</v>
      </c>
      <c r="BA263" s="49">
        <f t="shared" si="48"/>
        <v>0</v>
      </c>
      <c r="BB263" s="49">
        <f t="shared" si="49"/>
        <v>0</v>
      </c>
      <c r="BC263" s="49">
        <f t="shared" si="50"/>
        <v>0</v>
      </c>
      <c r="BD263" s="49">
        <f t="shared" si="51"/>
        <v>1</v>
      </c>
      <c r="BE263" s="49">
        <f t="shared" si="52"/>
        <v>0</v>
      </c>
      <c r="BF263" s="49">
        <f t="shared" si="53"/>
        <v>0</v>
      </c>
      <c r="BG263" s="49">
        <f t="shared" si="54"/>
        <v>0</v>
      </c>
      <c r="BH263" s="49">
        <f t="shared" si="55"/>
        <v>0</v>
      </c>
      <c r="BI263" s="49">
        <f t="shared" si="56"/>
        <v>1</v>
      </c>
      <c r="BJ263" s="49">
        <f t="shared" si="57"/>
        <v>0</v>
      </c>
      <c r="BK263" s="49">
        <f t="shared" si="58"/>
        <v>0</v>
      </c>
      <c r="BL263" s="49">
        <f t="shared" si="59"/>
        <v>1</v>
      </c>
      <c r="BM263" s="49">
        <f t="shared" si="60"/>
        <v>0</v>
      </c>
      <c r="BN263" s="49">
        <f t="shared" si="61"/>
        <v>0</v>
      </c>
      <c r="BO263" s="49">
        <f t="shared" si="62"/>
        <v>0</v>
      </c>
      <c r="BP263" s="49">
        <f t="shared" si="63"/>
        <v>1</v>
      </c>
      <c r="BQ263" s="49">
        <f t="shared" si="64"/>
        <v>0</v>
      </c>
      <c r="BR263" s="49">
        <f t="shared" si="65"/>
        <v>0</v>
      </c>
      <c r="BS263" s="49">
        <f t="shared" si="66"/>
        <v>0</v>
      </c>
      <c r="BT263" s="49">
        <f t="shared" si="67"/>
        <v>1</v>
      </c>
      <c r="BU263" s="49">
        <f t="shared" si="68"/>
        <v>0</v>
      </c>
      <c r="BV263" s="49">
        <f t="shared" si="69"/>
        <v>0</v>
      </c>
      <c r="BW263" s="49">
        <f t="shared" si="70"/>
        <v>0</v>
      </c>
      <c r="BX263" s="49">
        <f t="shared" si="71"/>
        <v>1</v>
      </c>
      <c r="BY263" s="49">
        <f t="shared" si="72"/>
        <v>0</v>
      </c>
      <c r="BZ263" s="49">
        <f t="shared" si="73"/>
        <v>0</v>
      </c>
      <c r="CA263" s="49">
        <f t="shared" si="74"/>
        <v>0</v>
      </c>
      <c r="CB263" s="49">
        <f t="shared" si="75"/>
        <v>1</v>
      </c>
      <c r="CC263" s="49">
        <f t="shared" si="76"/>
        <v>0</v>
      </c>
      <c r="CD263" s="49">
        <f t="shared" si="77"/>
        <v>0</v>
      </c>
      <c r="CE263" s="49">
        <f t="shared" si="78"/>
        <v>0</v>
      </c>
    </row>
    <row r="264" spans="1:83" ht="35.1" customHeight="1" x14ac:dyDescent="0.3">
      <c r="A264" s="123" t="str">
        <f t="shared" si="160"/>
        <v>2팀</v>
      </c>
      <c r="B264" s="69">
        <f t="shared" si="161"/>
        <v>258</v>
      </c>
      <c r="C264" s="120" t="str">
        <f>IF(VLOOKUP($B264,'1. 현장별 인원현황'!$C:$J,2,0)=0,"",VLOOKUP($B264,'1. 현장별 인원현황'!$C:$J,2,0))</f>
        <v xml:space="preserve"> [2.쌍용건설] 평택 가재지구 1블럭 공동주택 신축공사</v>
      </c>
      <c r="D264" s="70" t="str">
        <f>IF(VLOOKUP($B264,'1. 현장별 인원현황'!$C:$J,3,0)=0,"",VLOOKUP($B264,'1. 현장별 인원현황'!$C:$J,3,0))</f>
        <v>김세해</v>
      </c>
      <c r="E264" s="74" t="str">
        <f ca="1">IF(VLOOKUP($B264,'1. 현장별 인원현황'!$C:$J,4,0)=0,"",VLOOKUP($B264,'1. 현장별 인원현황'!$C:$J,4,0))</f>
        <v>54세</v>
      </c>
      <c r="F264" s="70" t="str">
        <f>IF(VLOOKUP($B264,'1. 현장별 인원현황'!$C:$J,7,0)=0,"",VLOOKUP($B264,'1. 현장별 인원현황'!$C:$J,7,0))</f>
        <v>기능공</v>
      </c>
      <c r="G264" s="72" t="str">
        <f>IF(VLOOKUP($B264,'1. 현장별 인원현황'!$C:$J,8,0)=0,"",VLOOKUP($B264,'1. 현장별 인원현황'!$C:$J,8,0))</f>
        <v>전공</v>
      </c>
      <c r="H264" s="67" t="s">
        <v>69</v>
      </c>
      <c r="I264" s="73"/>
      <c r="J264" s="73"/>
      <c r="K264" s="68"/>
      <c r="L264" s="67" t="s">
        <v>69</v>
      </c>
      <c r="M264" s="73"/>
      <c r="N264" s="73"/>
      <c r="O264" s="68"/>
      <c r="P264" s="67" t="s">
        <v>69</v>
      </c>
      <c r="Q264" s="73"/>
      <c r="R264" s="73"/>
      <c r="S264" s="68"/>
      <c r="T264" s="67" t="s">
        <v>69</v>
      </c>
      <c r="U264" s="73"/>
      <c r="V264" s="73"/>
      <c r="W264" s="68"/>
      <c r="X264" s="67" t="s">
        <v>69</v>
      </c>
      <c r="Y264" s="73"/>
      <c r="Z264" s="73"/>
      <c r="AA264" s="68"/>
      <c r="AB264" s="67" t="s">
        <v>69</v>
      </c>
      <c r="AC264" s="73"/>
      <c r="AD264" s="73"/>
      <c r="AE264" s="68"/>
      <c r="AF264" s="67" t="s">
        <v>69</v>
      </c>
      <c r="AG264" s="73"/>
      <c r="AH264" s="73"/>
      <c r="AI264" s="68"/>
      <c r="AJ264" s="67" t="s">
        <v>69</v>
      </c>
      <c r="AK264" s="73"/>
      <c r="AL264" s="73"/>
      <c r="AM264" s="68"/>
      <c r="AN264" s="73" t="s">
        <v>69</v>
      </c>
      <c r="AO264" s="73"/>
      <c r="AP264" s="73"/>
      <c r="AQ264" s="68"/>
      <c r="AR264" s="67">
        <f t="shared" si="162"/>
        <v>100</v>
      </c>
      <c r="AS264" s="68" t="str">
        <f t="shared" si="163"/>
        <v>S</v>
      </c>
      <c r="AV264" s="49">
        <f t="shared" si="79"/>
        <v>1</v>
      </c>
      <c r="AW264" s="49">
        <f t="shared" si="44"/>
        <v>0</v>
      </c>
      <c r="AX264" s="49">
        <f t="shared" si="45"/>
        <v>0</v>
      </c>
      <c r="AY264" s="49">
        <f t="shared" si="46"/>
        <v>0</v>
      </c>
      <c r="AZ264" s="49">
        <f t="shared" si="47"/>
        <v>1</v>
      </c>
      <c r="BA264" s="49">
        <f t="shared" si="48"/>
        <v>0</v>
      </c>
      <c r="BB264" s="49">
        <f t="shared" si="49"/>
        <v>0</v>
      </c>
      <c r="BC264" s="49">
        <f t="shared" si="50"/>
        <v>0</v>
      </c>
      <c r="BD264" s="49">
        <f t="shared" si="51"/>
        <v>1</v>
      </c>
      <c r="BE264" s="49">
        <f t="shared" si="52"/>
        <v>0</v>
      </c>
      <c r="BF264" s="49">
        <f t="shared" si="53"/>
        <v>0</v>
      </c>
      <c r="BG264" s="49">
        <f t="shared" si="54"/>
        <v>0</v>
      </c>
      <c r="BH264" s="49">
        <f t="shared" si="55"/>
        <v>1</v>
      </c>
      <c r="BI264" s="49">
        <f t="shared" si="56"/>
        <v>0</v>
      </c>
      <c r="BJ264" s="49">
        <f t="shared" si="57"/>
        <v>0</v>
      </c>
      <c r="BK264" s="49">
        <f t="shared" si="58"/>
        <v>0</v>
      </c>
      <c r="BL264" s="49">
        <f t="shared" si="59"/>
        <v>1</v>
      </c>
      <c r="BM264" s="49">
        <f t="shared" si="60"/>
        <v>0</v>
      </c>
      <c r="BN264" s="49">
        <f t="shared" si="61"/>
        <v>0</v>
      </c>
      <c r="BO264" s="49">
        <f t="shared" si="62"/>
        <v>0</v>
      </c>
      <c r="BP264" s="49">
        <f t="shared" si="63"/>
        <v>1</v>
      </c>
      <c r="BQ264" s="49">
        <f t="shared" si="64"/>
        <v>0</v>
      </c>
      <c r="BR264" s="49">
        <f t="shared" si="65"/>
        <v>0</v>
      </c>
      <c r="BS264" s="49">
        <f t="shared" si="66"/>
        <v>0</v>
      </c>
      <c r="BT264" s="49">
        <f t="shared" si="67"/>
        <v>1</v>
      </c>
      <c r="BU264" s="49">
        <f t="shared" si="68"/>
        <v>0</v>
      </c>
      <c r="BV264" s="49">
        <f t="shared" si="69"/>
        <v>0</v>
      </c>
      <c r="BW264" s="49">
        <f t="shared" si="70"/>
        <v>0</v>
      </c>
      <c r="BX264" s="49">
        <f t="shared" si="71"/>
        <v>1</v>
      </c>
      <c r="BY264" s="49">
        <f t="shared" si="72"/>
        <v>0</v>
      </c>
      <c r="BZ264" s="49">
        <f t="shared" si="73"/>
        <v>0</v>
      </c>
      <c r="CA264" s="49">
        <f t="shared" si="74"/>
        <v>0</v>
      </c>
      <c r="CB264" s="49">
        <f t="shared" si="75"/>
        <v>1</v>
      </c>
      <c r="CC264" s="49">
        <f t="shared" si="76"/>
        <v>0</v>
      </c>
      <c r="CD264" s="49">
        <f t="shared" si="77"/>
        <v>0</v>
      </c>
      <c r="CE264" s="49">
        <f t="shared" si="78"/>
        <v>0</v>
      </c>
    </row>
    <row r="265" spans="1:83" ht="35.1" customHeight="1" x14ac:dyDescent="0.3">
      <c r="A265" s="123" t="str">
        <f t="shared" si="160"/>
        <v>2팀</v>
      </c>
      <c r="B265" s="69">
        <f t="shared" si="161"/>
        <v>259</v>
      </c>
      <c r="C265" s="120" t="str">
        <f>IF(VLOOKUP($B265,'1. 현장별 인원현황'!$C:$J,2,0)=0,"",VLOOKUP($B265,'1. 현장별 인원현황'!$C:$J,2,0))</f>
        <v xml:space="preserve"> [2.쌍용건설] 평택 가재지구 1블럭 공동주택 신축공사</v>
      </c>
      <c r="D265" s="70" t="str">
        <f>IF(VLOOKUP($B265,'1. 현장별 인원현황'!$C:$J,3,0)=0,"",VLOOKUP($B265,'1. 현장별 인원현황'!$C:$J,3,0))</f>
        <v>량춘연</v>
      </c>
      <c r="E265" s="74" t="str">
        <f ca="1">IF(VLOOKUP($B265,'1. 현장별 인원현황'!$C:$J,4,0)=0,"",VLOOKUP($B265,'1. 현장별 인원현황'!$C:$J,4,0))</f>
        <v>46세</v>
      </c>
      <c r="F265" s="70" t="str">
        <f>IF(VLOOKUP($B265,'1. 현장별 인원현황'!$C:$J,7,0)=0,"",VLOOKUP($B265,'1. 현장별 인원현황'!$C:$J,7,0))</f>
        <v>기능공</v>
      </c>
      <c r="G265" s="72" t="str">
        <f>IF(VLOOKUP($B265,'1. 현장별 인원현황'!$C:$J,8,0)=0,"",VLOOKUP($B265,'1. 현장별 인원현황'!$C:$J,8,0))</f>
        <v>전공</v>
      </c>
      <c r="H265" s="67"/>
      <c r="I265" s="73" t="s">
        <v>69</v>
      </c>
      <c r="J265" s="73"/>
      <c r="K265" s="68"/>
      <c r="L265" s="67" t="s">
        <v>69</v>
      </c>
      <c r="M265" s="73"/>
      <c r="N265" s="73"/>
      <c r="O265" s="68"/>
      <c r="P265" s="67"/>
      <c r="Q265" s="73" t="s">
        <v>69</v>
      </c>
      <c r="R265" s="73"/>
      <c r="S265" s="68"/>
      <c r="T265" s="67" t="s">
        <v>69</v>
      </c>
      <c r="U265" s="73"/>
      <c r="V265" s="73"/>
      <c r="W265" s="68"/>
      <c r="X265" s="67" t="s">
        <v>69</v>
      </c>
      <c r="Y265" s="73"/>
      <c r="Z265" s="73"/>
      <c r="AA265" s="68"/>
      <c r="AB265" s="67" t="s">
        <v>69</v>
      </c>
      <c r="AC265" s="73"/>
      <c r="AD265" s="73"/>
      <c r="AE265" s="68"/>
      <c r="AF265" s="67" t="s">
        <v>69</v>
      </c>
      <c r="AG265" s="73"/>
      <c r="AH265" s="73"/>
      <c r="AI265" s="68"/>
      <c r="AJ265" s="67" t="s">
        <v>69</v>
      </c>
      <c r="AK265" s="73"/>
      <c r="AL265" s="73"/>
      <c r="AM265" s="68"/>
      <c r="AN265" s="73" t="s">
        <v>69</v>
      </c>
      <c r="AO265" s="73"/>
      <c r="AP265" s="73"/>
      <c r="AQ265" s="68"/>
      <c r="AR265" s="67">
        <f t="shared" si="162"/>
        <v>94</v>
      </c>
      <c r="AS265" s="68" t="str">
        <f t="shared" si="163"/>
        <v>S</v>
      </c>
      <c r="AV265" s="49">
        <f t="shared" si="79"/>
        <v>0</v>
      </c>
      <c r="AW265" s="49">
        <f t="shared" si="44"/>
        <v>1</v>
      </c>
      <c r="AX265" s="49">
        <f t="shared" si="45"/>
        <v>0</v>
      </c>
      <c r="AY265" s="49">
        <f t="shared" si="46"/>
        <v>0</v>
      </c>
      <c r="AZ265" s="49">
        <f t="shared" si="47"/>
        <v>1</v>
      </c>
      <c r="BA265" s="49">
        <f t="shared" si="48"/>
        <v>0</v>
      </c>
      <c r="BB265" s="49">
        <f t="shared" si="49"/>
        <v>0</v>
      </c>
      <c r="BC265" s="49">
        <f t="shared" si="50"/>
        <v>0</v>
      </c>
      <c r="BD265" s="49">
        <f t="shared" si="51"/>
        <v>0</v>
      </c>
      <c r="BE265" s="49">
        <f t="shared" si="52"/>
        <v>1</v>
      </c>
      <c r="BF265" s="49">
        <f t="shared" si="53"/>
        <v>0</v>
      </c>
      <c r="BG265" s="49">
        <f t="shared" si="54"/>
        <v>0</v>
      </c>
      <c r="BH265" s="49">
        <f t="shared" si="55"/>
        <v>1</v>
      </c>
      <c r="BI265" s="49">
        <f t="shared" si="56"/>
        <v>0</v>
      </c>
      <c r="BJ265" s="49">
        <f t="shared" si="57"/>
        <v>0</v>
      </c>
      <c r="BK265" s="49">
        <f t="shared" si="58"/>
        <v>0</v>
      </c>
      <c r="BL265" s="49">
        <f t="shared" si="59"/>
        <v>1</v>
      </c>
      <c r="BM265" s="49">
        <f t="shared" si="60"/>
        <v>0</v>
      </c>
      <c r="BN265" s="49">
        <f t="shared" si="61"/>
        <v>0</v>
      </c>
      <c r="BO265" s="49">
        <f t="shared" si="62"/>
        <v>0</v>
      </c>
      <c r="BP265" s="49">
        <f t="shared" si="63"/>
        <v>1</v>
      </c>
      <c r="BQ265" s="49">
        <f t="shared" si="64"/>
        <v>0</v>
      </c>
      <c r="BR265" s="49">
        <f t="shared" si="65"/>
        <v>0</v>
      </c>
      <c r="BS265" s="49">
        <f t="shared" si="66"/>
        <v>0</v>
      </c>
      <c r="BT265" s="49">
        <f t="shared" si="67"/>
        <v>1</v>
      </c>
      <c r="BU265" s="49">
        <f t="shared" si="68"/>
        <v>0</v>
      </c>
      <c r="BV265" s="49">
        <f t="shared" si="69"/>
        <v>0</v>
      </c>
      <c r="BW265" s="49">
        <f t="shared" si="70"/>
        <v>0</v>
      </c>
      <c r="BX265" s="49">
        <f t="shared" si="71"/>
        <v>1</v>
      </c>
      <c r="BY265" s="49">
        <f t="shared" si="72"/>
        <v>0</v>
      </c>
      <c r="BZ265" s="49">
        <f t="shared" si="73"/>
        <v>0</v>
      </c>
      <c r="CA265" s="49">
        <f t="shared" si="74"/>
        <v>0</v>
      </c>
      <c r="CB265" s="49">
        <f t="shared" si="75"/>
        <v>1</v>
      </c>
      <c r="CC265" s="49">
        <f t="shared" si="76"/>
        <v>0</v>
      </c>
      <c r="CD265" s="49">
        <f t="shared" si="77"/>
        <v>0</v>
      </c>
      <c r="CE265" s="49">
        <f t="shared" si="78"/>
        <v>0</v>
      </c>
    </row>
    <row r="266" spans="1:83" ht="35.1" customHeight="1" x14ac:dyDescent="0.3">
      <c r="A266" s="123" t="str">
        <f t="shared" si="160"/>
        <v>2팀</v>
      </c>
      <c r="B266" s="69">
        <f t="shared" si="161"/>
        <v>260</v>
      </c>
      <c r="C266" s="120" t="str">
        <f>IF(VLOOKUP($B266,'1. 현장별 인원현황'!$C:$J,2,0)=0,"",VLOOKUP($B266,'1. 현장별 인원현황'!$C:$J,2,0))</f>
        <v xml:space="preserve"> [2.한라] 인천작전동 APT 신축공사</v>
      </c>
      <c r="D266" s="70" t="str">
        <f>IF(VLOOKUP($B266,'1. 현장별 인원현황'!$C:$J,3,0)=0,"",VLOOKUP($B266,'1. 현장별 인원현황'!$C:$J,3,0))</f>
        <v>김익배</v>
      </c>
      <c r="E266" s="74" t="str">
        <f ca="1">IF(VLOOKUP($B266,'1. 현장별 인원현황'!$C:$J,4,0)=0,"",VLOOKUP($B266,'1. 현장별 인원현황'!$C:$J,4,0))</f>
        <v>58세</v>
      </c>
      <c r="F266" s="70" t="str">
        <f>IF(VLOOKUP($B266,'1. 현장별 인원현황'!$C:$J,7,0)=0,"",VLOOKUP($B266,'1. 현장별 인원현황'!$C:$J,7,0))</f>
        <v>공무</v>
      </c>
      <c r="G266" s="72" t="str">
        <f>IF(VLOOKUP($B266,'1. 현장별 인원현황'!$C:$J,8,0)=0,"",VLOOKUP($B266,'1. 현장별 인원현황'!$C:$J,8,0))</f>
        <v>부장</v>
      </c>
      <c r="H266" s="67" t="s">
        <v>69</v>
      </c>
      <c r="I266" s="73"/>
      <c r="J266" s="73"/>
      <c r="K266" s="68"/>
      <c r="L266" s="67" t="s">
        <v>69</v>
      </c>
      <c r="M266" s="73"/>
      <c r="N266" s="73"/>
      <c r="O266" s="68"/>
      <c r="P266" s="67" t="s">
        <v>69</v>
      </c>
      <c r="Q266" s="73"/>
      <c r="R266" s="73"/>
      <c r="S266" s="68"/>
      <c r="T266" s="67"/>
      <c r="U266" s="73" t="s">
        <v>69</v>
      </c>
      <c r="V266" s="73"/>
      <c r="W266" s="68"/>
      <c r="X266" s="67" t="s">
        <v>69</v>
      </c>
      <c r="Y266" s="73"/>
      <c r="Z266" s="73"/>
      <c r="AA266" s="68"/>
      <c r="AB266" s="67" t="s">
        <v>69</v>
      </c>
      <c r="AC266" s="73"/>
      <c r="AD266" s="73"/>
      <c r="AE266" s="68"/>
      <c r="AF266" s="67"/>
      <c r="AG266" s="73" t="s">
        <v>69</v>
      </c>
      <c r="AH266" s="73"/>
      <c r="AI266" s="68"/>
      <c r="AJ266" s="67" t="s">
        <v>69</v>
      </c>
      <c r="AK266" s="73"/>
      <c r="AL266" s="73"/>
      <c r="AM266" s="68"/>
      <c r="AN266" s="73" t="s">
        <v>69</v>
      </c>
      <c r="AO266" s="73"/>
      <c r="AP266" s="73"/>
      <c r="AQ266" s="68"/>
      <c r="AR266" s="67">
        <f t="shared" si="162"/>
        <v>96</v>
      </c>
      <c r="AS266" s="68" t="str">
        <f t="shared" si="163"/>
        <v>S</v>
      </c>
      <c r="AV266" s="49">
        <f t="shared" si="79"/>
        <v>1</v>
      </c>
      <c r="AW266" s="49">
        <f t="shared" si="44"/>
        <v>0</v>
      </c>
      <c r="AX266" s="49">
        <f t="shared" si="45"/>
        <v>0</v>
      </c>
      <c r="AY266" s="49">
        <f t="shared" si="46"/>
        <v>0</v>
      </c>
      <c r="AZ266" s="49">
        <f t="shared" si="47"/>
        <v>1</v>
      </c>
      <c r="BA266" s="49">
        <f t="shared" si="48"/>
        <v>0</v>
      </c>
      <c r="BB266" s="49">
        <f t="shared" si="49"/>
        <v>0</v>
      </c>
      <c r="BC266" s="49">
        <f t="shared" si="50"/>
        <v>0</v>
      </c>
      <c r="BD266" s="49">
        <f t="shared" si="51"/>
        <v>1</v>
      </c>
      <c r="BE266" s="49">
        <f t="shared" si="52"/>
        <v>0</v>
      </c>
      <c r="BF266" s="49">
        <f t="shared" si="53"/>
        <v>0</v>
      </c>
      <c r="BG266" s="49">
        <f t="shared" si="54"/>
        <v>0</v>
      </c>
      <c r="BH266" s="49">
        <f t="shared" si="55"/>
        <v>0</v>
      </c>
      <c r="BI266" s="49">
        <f t="shared" si="56"/>
        <v>1</v>
      </c>
      <c r="BJ266" s="49">
        <f t="shared" si="57"/>
        <v>0</v>
      </c>
      <c r="BK266" s="49">
        <f t="shared" si="58"/>
        <v>0</v>
      </c>
      <c r="BL266" s="49">
        <f t="shared" si="59"/>
        <v>1</v>
      </c>
      <c r="BM266" s="49">
        <f t="shared" si="60"/>
        <v>0</v>
      </c>
      <c r="BN266" s="49">
        <f t="shared" si="61"/>
        <v>0</v>
      </c>
      <c r="BO266" s="49">
        <f t="shared" si="62"/>
        <v>0</v>
      </c>
      <c r="BP266" s="49">
        <f t="shared" si="63"/>
        <v>1</v>
      </c>
      <c r="BQ266" s="49">
        <f t="shared" si="64"/>
        <v>0</v>
      </c>
      <c r="BR266" s="49">
        <f t="shared" si="65"/>
        <v>0</v>
      </c>
      <c r="BS266" s="49">
        <f t="shared" si="66"/>
        <v>0</v>
      </c>
      <c r="BT266" s="49">
        <f t="shared" si="67"/>
        <v>0</v>
      </c>
      <c r="BU266" s="49">
        <f t="shared" si="68"/>
        <v>1</v>
      </c>
      <c r="BV266" s="49">
        <f t="shared" si="69"/>
        <v>0</v>
      </c>
      <c r="BW266" s="49">
        <f t="shared" si="70"/>
        <v>0</v>
      </c>
      <c r="BX266" s="49">
        <f t="shared" si="71"/>
        <v>1</v>
      </c>
      <c r="BY266" s="49">
        <f t="shared" si="72"/>
        <v>0</v>
      </c>
      <c r="BZ266" s="49">
        <f t="shared" si="73"/>
        <v>0</v>
      </c>
      <c r="CA266" s="49">
        <f t="shared" si="74"/>
        <v>0</v>
      </c>
      <c r="CB266" s="49">
        <f t="shared" si="75"/>
        <v>1</v>
      </c>
      <c r="CC266" s="49">
        <f t="shared" si="76"/>
        <v>0</v>
      </c>
      <c r="CD266" s="49">
        <f t="shared" si="77"/>
        <v>0</v>
      </c>
      <c r="CE266" s="49">
        <f t="shared" si="78"/>
        <v>0</v>
      </c>
    </row>
    <row r="267" spans="1:83" ht="35.1" customHeight="1" x14ac:dyDescent="0.3">
      <c r="A267" s="123" t="str">
        <f t="shared" si="160"/>
        <v>2팀</v>
      </c>
      <c r="B267" s="69">
        <f t="shared" si="161"/>
        <v>261</v>
      </c>
      <c r="C267" s="120" t="str">
        <f>IF(VLOOKUP($B267,'1. 현장별 인원현황'!$C:$J,2,0)=0,"",VLOOKUP($B267,'1. 현장별 인원현황'!$C:$J,2,0))</f>
        <v xml:space="preserve"> [2.한라] 인천작전동 APT 신축공사</v>
      </c>
      <c r="D267" s="70" t="str">
        <f>IF(VLOOKUP($B267,'1. 현장별 인원현황'!$C:$J,3,0)=0,"",VLOOKUP($B267,'1. 현장별 인원현황'!$C:$J,3,0))</f>
        <v>서혁준</v>
      </c>
      <c r="E267" s="74" t="str">
        <f ca="1">IF(VLOOKUP($B267,'1. 현장별 인원현황'!$C:$J,4,0)=0,"",VLOOKUP($B267,'1. 현장별 인원현황'!$C:$J,4,0))</f>
        <v>35세</v>
      </c>
      <c r="F267" s="70" t="str">
        <f>IF(VLOOKUP($B267,'1. 현장별 인원현황'!$C:$J,7,0)=0,"",VLOOKUP($B267,'1. 현장별 인원현황'!$C:$J,7,0))</f>
        <v>기능공</v>
      </c>
      <c r="G267" s="72" t="str">
        <f>IF(VLOOKUP($B267,'1. 현장별 인원현황'!$C:$J,8,0)=0,"",VLOOKUP($B267,'1. 현장별 인원현황'!$C:$J,8,0))</f>
        <v>전공</v>
      </c>
      <c r="H267" s="67"/>
      <c r="I267" s="73" t="s">
        <v>69</v>
      </c>
      <c r="J267" s="73"/>
      <c r="K267" s="68"/>
      <c r="L267" s="67"/>
      <c r="M267" s="73" t="s">
        <v>69</v>
      </c>
      <c r="N267" s="73"/>
      <c r="O267" s="68"/>
      <c r="P267" s="67"/>
      <c r="Q267" s="73" t="s">
        <v>69</v>
      </c>
      <c r="R267" s="73"/>
      <c r="S267" s="68"/>
      <c r="T267" s="67"/>
      <c r="U267" s="73" t="s">
        <v>69</v>
      </c>
      <c r="V267" s="73"/>
      <c r="W267" s="68"/>
      <c r="X267" s="67" t="s">
        <v>69</v>
      </c>
      <c r="Y267" s="73"/>
      <c r="Z267" s="73"/>
      <c r="AA267" s="68"/>
      <c r="AB267" s="67" t="s">
        <v>69</v>
      </c>
      <c r="AC267" s="73"/>
      <c r="AD267" s="73"/>
      <c r="AE267" s="68"/>
      <c r="AF267" s="67" t="s">
        <v>69</v>
      </c>
      <c r="AG267" s="73"/>
      <c r="AH267" s="73"/>
      <c r="AI267" s="68"/>
      <c r="AJ267" s="67" t="s">
        <v>69</v>
      </c>
      <c r="AK267" s="73"/>
      <c r="AL267" s="73"/>
      <c r="AM267" s="68"/>
      <c r="AN267" s="73"/>
      <c r="AO267" s="73" t="s">
        <v>69</v>
      </c>
      <c r="AP267" s="73"/>
      <c r="AQ267" s="68"/>
      <c r="AR267" s="67">
        <f t="shared" si="162"/>
        <v>86</v>
      </c>
      <c r="AS267" s="68" t="str">
        <f t="shared" si="163"/>
        <v>S</v>
      </c>
      <c r="AV267" s="49">
        <f t="shared" si="79"/>
        <v>0</v>
      </c>
      <c r="AW267" s="49">
        <f t="shared" si="44"/>
        <v>1</v>
      </c>
      <c r="AX267" s="49">
        <f t="shared" si="45"/>
        <v>0</v>
      </c>
      <c r="AY267" s="49">
        <f t="shared" si="46"/>
        <v>0</v>
      </c>
      <c r="AZ267" s="49">
        <f t="shared" si="47"/>
        <v>0</v>
      </c>
      <c r="BA267" s="49">
        <f t="shared" si="48"/>
        <v>1</v>
      </c>
      <c r="BB267" s="49">
        <f t="shared" si="49"/>
        <v>0</v>
      </c>
      <c r="BC267" s="49">
        <f t="shared" si="50"/>
        <v>0</v>
      </c>
      <c r="BD267" s="49">
        <f t="shared" si="51"/>
        <v>0</v>
      </c>
      <c r="BE267" s="49">
        <f t="shared" si="52"/>
        <v>1</v>
      </c>
      <c r="BF267" s="49">
        <f t="shared" si="53"/>
        <v>0</v>
      </c>
      <c r="BG267" s="49">
        <f t="shared" si="54"/>
        <v>0</v>
      </c>
      <c r="BH267" s="49">
        <f t="shared" si="55"/>
        <v>0</v>
      </c>
      <c r="BI267" s="49">
        <f t="shared" si="56"/>
        <v>1</v>
      </c>
      <c r="BJ267" s="49">
        <f t="shared" si="57"/>
        <v>0</v>
      </c>
      <c r="BK267" s="49">
        <f t="shared" si="58"/>
        <v>0</v>
      </c>
      <c r="BL267" s="49">
        <f t="shared" si="59"/>
        <v>1</v>
      </c>
      <c r="BM267" s="49">
        <f t="shared" si="60"/>
        <v>0</v>
      </c>
      <c r="BN267" s="49">
        <f t="shared" si="61"/>
        <v>0</v>
      </c>
      <c r="BO267" s="49">
        <f t="shared" si="62"/>
        <v>0</v>
      </c>
      <c r="BP267" s="49">
        <f t="shared" si="63"/>
        <v>1</v>
      </c>
      <c r="BQ267" s="49">
        <f t="shared" si="64"/>
        <v>0</v>
      </c>
      <c r="BR267" s="49">
        <f t="shared" si="65"/>
        <v>0</v>
      </c>
      <c r="BS267" s="49">
        <f t="shared" si="66"/>
        <v>0</v>
      </c>
      <c r="BT267" s="49">
        <f t="shared" si="67"/>
        <v>1</v>
      </c>
      <c r="BU267" s="49">
        <f t="shared" si="68"/>
        <v>0</v>
      </c>
      <c r="BV267" s="49">
        <f t="shared" si="69"/>
        <v>0</v>
      </c>
      <c r="BW267" s="49">
        <f t="shared" si="70"/>
        <v>0</v>
      </c>
      <c r="BX267" s="49">
        <f t="shared" si="71"/>
        <v>1</v>
      </c>
      <c r="BY267" s="49">
        <f t="shared" si="72"/>
        <v>0</v>
      </c>
      <c r="BZ267" s="49">
        <f t="shared" si="73"/>
        <v>0</v>
      </c>
      <c r="CA267" s="49">
        <f t="shared" si="74"/>
        <v>0</v>
      </c>
      <c r="CB267" s="49">
        <f t="shared" si="75"/>
        <v>0</v>
      </c>
      <c r="CC267" s="49">
        <f t="shared" si="76"/>
        <v>1</v>
      </c>
      <c r="CD267" s="49">
        <f t="shared" si="77"/>
        <v>0</v>
      </c>
      <c r="CE267" s="49">
        <f t="shared" si="78"/>
        <v>0</v>
      </c>
    </row>
    <row r="268" spans="1:83" ht="35.1" customHeight="1" x14ac:dyDescent="0.3">
      <c r="A268" s="123" t="str">
        <f t="shared" si="160"/>
        <v>2팀</v>
      </c>
      <c r="B268" s="69">
        <f t="shared" si="161"/>
        <v>262</v>
      </c>
      <c r="C268" s="120" t="str">
        <f>IF(VLOOKUP($B268,'1. 현장별 인원현황'!$C:$J,2,0)=0,"",VLOOKUP($B268,'1. 현장별 인원현황'!$C:$J,2,0))</f>
        <v xml:space="preserve"> [2.한양] 평택브레인시티8BL 공동주택 신축공사</v>
      </c>
      <c r="D268" s="70" t="str">
        <f>IF(VLOOKUP($B268,'1. 현장별 인원현황'!$C:$J,3,0)=0,"",VLOOKUP($B268,'1. 현장별 인원현황'!$C:$J,3,0))</f>
        <v>김춘식</v>
      </c>
      <c r="E268" s="74" t="str">
        <f ca="1">IF(VLOOKUP($B268,'1. 현장별 인원현황'!$C:$J,4,0)=0,"",VLOOKUP($B268,'1. 현장별 인원현황'!$C:$J,4,0))</f>
        <v>56세</v>
      </c>
      <c r="F268" s="70" t="str">
        <f>IF(VLOOKUP($B268,'1. 현장별 인원현황'!$C:$J,7,0)=0,"",VLOOKUP($B268,'1. 현장별 인원현황'!$C:$J,7,0))</f>
        <v>공사</v>
      </c>
      <c r="G268" s="72" t="str">
        <f>IF(VLOOKUP($B268,'1. 현장별 인원현황'!$C:$J,8,0)=0,"",VLOOKUP($B268,'1. 현장별 인원현황'!$C:$J,8,0))</f>
        <v>차장</v>
      </c>
      <c r="H268" s="67" t="s">
        <v>69</v>
      </c>
      <c r="I268" s="73"/>
      <c r="J268" s="73"/>
      <c r="K268" s="68"/>
      <c r="L268" s="67"/>
      <c r="M268" s="73" t="s">
        <v>69</v>
      </c>
      <c r="N268" s="73"/>
      <c r="O268" s="68"/>
      <c r="P268" s="67" t="s">
        <v>69</v>
      </c>
      <c r="Q268" s="73"/>
      <c r="R268" s="73"/>
      <c r="S268" s="68"/>
      <c r="T268" s="67"/>
      <c r="U268" s="73" t="s">
        <v>69</v>
      </c>
      <c r="V268" s="73"/>
      <c r="W268" s="68"/>
      <c r="X268" s="67"/>
      <c r="Y268" s="73" t="s">
        <v>69</v>
      </c>
      <c r="Z268" s="73"/>
      <c r="AA268" s="68"/>
      <c r="AB268" s="67"/>
      <c r="AC268" s="73" t="s">
        <v>69</v>
      </c>
      <c r="AD268" s="73"/>
      <c r="AE268" s="68"/>
      <c r="AF268" s="67"/>
      <c r="AG268" s="73" t="s">
        <v>69</v>
      </c>
      <c r="AH268" s="73"/>
      <c r="AI268" s="68"/>
      <c r="AJ268" s="67"/>
      <c r="AK268" s="73" t="s">
        <v>69</v>
      </c>
      <c r="AL268" s="73"/>
      <c r="AM268" s="68"/>
      <c r="AN268" s="73"/>
      <c r="AO268" s="73" t="s">
        <v>69</v>
      </c>
      <c r="AP268" s="73"/>
      <c r="AQ268" s="68"/>
      <c r="AR268" s="67">
        <f t="shared" si="162"/>
        <v>83</v>
      </c>
      <c r="AS268" s="68" t="str">
        <f t="shared" si="163"/>
        <v>A</v>
      </c>
      <c r="AV268" s="49">
        <f t="shared" si="79"/>
        <v>1</v>
      </c>
      <c r="AW268" s="49">
        <f t="shared" si="44"/>
        <v>0</v>
      </c>
      <c r="AX268" s="49">
        <f t="shared" si="45"/>
        <v>0</v>
      </c>
      <c r="AY268" s="49">
        <f t="shared" si="46"/>
        <v>0</v>
      </c>
      <c r="AZ268" s="49">
        <f t="shared" si="47"/>
        <v>0</v>
      </c>
      <c r="BA268" s="49">
        <f t="shared" si="48"/>
        <v>1</v>
      </c>
      <c r="BB268" s="49">
        <f t="shared" si="49"/>
        <v>0</v>
      </c>
      <c r="BC268" s="49">
        <f t="shared" si="50"/>
        <v>0</v>
      </c>
      <c r="BD268" s="49">
        <f t="shared" si="51"/>
        <v>1</v>
      </c>
      <c r="BE268" s="49">
        <f t="shared" si="52"/>
        <v>0</v>
      </c>
      <c r="BF268" s="49">
        <f t="shared" si="53"/>
        <v>0</v>
      </c>
      <c r="BG268" s="49">
        <f t="shared" si="54"/>
        <v>0</v>
      </c>
      <c r="BH268" s="49">
        <f t="shared" si="55"/>
        <v>0</v>
      </c>
      <c r="BI268" s="49">
        <f t="shared" si="56"/>
        <v>1</v>
      </c>
      <c r="BJ268" s="49">
        <f t="shared" si="57"/>
        <v>0</v>
      </c>
      <c r="BK268" s="49">
        <f t="shared" si="58"/>
        <v>0</v>
      </c>
      <c r="BL268" s="49">
        <f t="shared" si="59"/>
        <v>0</v>
      </c>
      <c r="BM268" s="49">
        <f t="shared" si="60"/>
        <v>1</v>
      </c>
      <c r="BN268" s="49">
        <f t="shared" si="61"/>
        <v>0</v>
      </c>
      <c r="BO268" s="49">
        <f t="shared" si="62"/>
        <v>0</v>
      </c>
      <c r="BP268" s="49">
        <f t="shared" si="63"/>
        <v>0</v>
      </c>
      <c r="BQ268" s="49">
        <f t="shared" si="64"/>
        <v>1</v>
      </c>
      <c r="BR268" s="49">
        <f t="shared" si="65"/>
        <v>0</v>
      </c>
      <c r="BS268" s="49">
        <f t="shared" si="66"/>
        <v>0</v>
      </c>
      <c r="BT268" s="49">
        <f t="shared" si="67"/>
        <v>0</v>
      </c>
      <c r="BU268" s="49">
        <f t="shared" si="68"/>
        <v>1</v>
      </c>
      <c r="BV268" s="49">
        <f t="shared" si="69"/>
        <v>0</v>
      </c>
      <c r="BW268" s="49">
        <f t="shared" si="70"/>
        <v>0</v>
      </c>
      <c r="BX268" s="49">
        <f t="shared" si="71"/>
        <v>0</v>
      </c>
      <c r="BY268" s="49">
        <f t="shared" si="72"/>
        <v>1</v>
      </c>
      <c r="BZ268" s="49">
        <f t="shared" si="73"/>
        <v>0</v>
      </c>
      <c r="CA268" s="49">
        <f t="shared" si="74"/>
        <v>0</v>
      </c>
      <c r="CB268" s="49">
        <f t="shared" si="75"/>
        <v>0</v>
      </c>
      <c r="CC268" s="49">
        <f t="shared" si="76"/>
        <v>1</v>
      </c>
      <c r="CD268" s="49">
        <f t="shared" si="77"/>
        <v>0</v>
      </c>
      <c r="CE268" s="49">
        <f t="shared" si="78"/>
        <v>0</v>
      </c>
    </row>
    <row r="269" spans="1:83" ht="35.1" customHeight="1" x14ac:dyDescent="0.3">
      <c r="A269" s="123" t="str">
        <f t="shared" si="160"/>
        <v>2팀</v>
      </c>
      <c r="B269" s="69">
        <f t="shared" si="161"/>
        <v>263</v>
      </c>
      <c r="C269" s="120" t="str">
        <f>IF(VLOOKUP($B269,'1. 현장별 인원현황'!$C:$J,2,0)=0,"",VLOOKUP($B269,'1. 현장별 인원현황'!$C:$J,2,0))</f>
        <v xml:space="preserve"> [2.한양] 평택브레인시티8BL 공동주택 신축공사</v>
      </c>
      <c r="D269" s="70" t="str">
        <f>IF(VLOOKUP($B269,'1. 현장별 인원현황'!$C:$J,3,0)=0,"",VLOOKUP($B269,'1. 현장별 인원현황'!$C:$J,3,0))</f>
        <v>김충석</v>
      </c>
      <c r="E269" s="74" t="str">
        <f ca="1">IF(VLOOKUP($B269,'1. 현장별 인원현황'!$C:$J,4,0)=0,"",VLOOKUP($B269,'1. 현장별 인원현황'!$C:$J,4,0))</f>
        <v>50세</v>
      </c>
      <c r="F269" s="70" t="str">
        <f>IF(VLOOKUP($B269,'1. 현장별 인원현황'!$C:$J,7,0)=0,"",VLOOKUP($B269,'1. 현장별 인원현황'!$C:$J,7,0))</f>
        <v>기능공</v>
      </c>
      <c r="G269" s="72" t="str">
        <f>IF(VLOOKUP($B269,'1. 현장별 인원현황'!$C:$J,8,0)=0,"",VLOOKUP($B269,'1. 현장별 인원현황'!$C:$J,8,0))</f>
        <v>전공</v>
      </c>
      <c r="H269" s="67"/>
      <c r="I269" s="73" t="s">
        <v>69</v>
      </c>
      <c r="J269" s="73"/>
      <c r="K269" s="68"/>
      <c r="L269" s="67"/>
      <c r="M269" s="73" t="s">
        <v>69</v>
      </c>
      <c r="N269" s="73"/>
      <c r="O269" s="68"/>
      <c r="P269" s="67"/>
      <c r="Q269" s="73" t="s">
        <v>69</v>
      </c>
      <c r="R269" s="73"/>
      <c r="S269" s="68"/>
      <c r="T269" s="67"/>
      <c r="U269" s="73"/>
      <c r="V269" s="73" t="s">
        <v>69</v>
      </c>
      <c r="W269" s="68"/>
      <c r="X269" s="67"/>
      <c r="Y269" s="73" t="s">
        <v>69</v>
      </c>
      <c r="Z269" s="73"/>
      <c r="AA269" s="68"/>
      <c r="AB269" s="67"/>
      <c r="AC269" s="73" t="s">
        <v>69</v>
      </c>
      <c r="AD269" s="73"/>
      <c r="AE269" s="68"/>
      <c r="AF269" s="67"/>
      <c r="AG269" s="73" t="s">
        <v>69</v>
      </c>
      <c r="AH269" s="73"/>
      <c r="AI269" s="68"/>
      <c r="AJ269" s="67"/>
      <c r="AK269" s="73" t="s">
        <v>69</v>
      </c>
      <c r="AL269" s="73"/>
      <c r="AM269" s="68"/>
      <c r="AN269" s="73" t="s">
        <v>69</v>
      </c>
      <c r="AO269" s="73"/>
      <c r="AP269" s="73"/>
      <c r="AQ269" s="68"/>
      <c r="AR269" s="67">
        <f t="shared" si="162"/>
        <v>78</v>
      </c>
      <c r="AS269" s="68" t="str">
        <f t="shared" si="163"/>
        <v>A</v>
      </c>
      <c r="AV269" s="49">
        <f t="shared" si="79"/>
        <v>0</v>
      </c>
      <c r="AW269" s="49">
        <f t="shared" si="44"/>
        <v>1</v>
      </c>
      <c r="AX269" s="49">
        <f t="shared" si="45"/>
        <v>0</v>
      </c>
      <c r="AY269" s="49">
        <f t="shared" si="46"/>
        <v>0</v>
      </c>
      <c r="AZ269" s="49">
        <f t="shared" si="47"/>
        <v>0</v>
      </c>
      <c r="BA269" s="49">
        <f t="shared" si="48"/>
        <v>1</v>
      </c>
      <c r="BB269" s="49">
        <f t="shared" si="49"/>
        <v>0</v>
      </c>
      <c r="BC269" s="49">
        <f t="shared" si="50"/>
        <v>0</v>
      </c>
      <c r="BD269" s="49">
        <f t="shared" si="51"/>
        <v>0</v>
      </c>
      <c r="BE269" s="49">
        <f t="shared" si="52"/>
        <v>1</v>
      </c>
      <c r="BF269" s="49">
        <f t="shared" si="53"/>
        <v>0</v>
      </c>
      <c r="BG269" s="49">
        <f t="shared" si="54"/>
        <v>0</v>
      </c>
      <c r="BH269" s="49">
        <f t="shared" si="55"/>
        <v>0</v>
      </c>
      <c r="BI269" s="49">
        <f t="shared" si="56"/>
        <v>0</v>
      </c>
      <c r="BJ269" s="49">
        <f t="shared" si="57"/>
        <v>1</v>
      </c>
      <c r="BK269" s="49">
        <f t="shared" si="58"/>
        <v>0</v>
      </c>
      <c r="BL269" s="49">
        <f t="shared" si="59"/>
        <v>0</v>
      </c>
      <c r="BM269" s="49">
        <f t="shared" si="60"/>
        <v>1</v>
      </c>
      <c r="BN269" s="49">
        <f t="shared" si="61"/>
        <v>0</v>
      </c>
      <c r="BO269" s="49">
        <f t="shared" si="62"/>
        <v>0</v>
      </c>
      <c r="BP269" s="49">
        <f t="shared" si="63"/>
        <v>0</v>
      </c>
      <c r="BQ269" s="49">
        <f t="shared" si="64"/>
        <v>1</v>
      </c>
      <c r="BR269" s="49">
        <f t="shared" si="65"/>
        <v>0</v>
      </c>
      <c r="BS269" s="49">
        <f t="shared" si="66"/>
        <v>0</v>
      </c>
      <c r="BT269" s="49">
        <f t="shared" si="67"/>
        <v>0</v>
      </c>
      <c r="BU269" s="49">
        <f t="shared" si="68"/>
        <v>1</v>
      </c>
      <c r="BV269" s="49">
        <f t="shared" si="69"/>
        <v>0</v>
      </c>
      <c r="BW269" s="49">
        <f t="shared" si="70"/>
        <v>0</v>
      </c>
      <c r="BX269" s="49">
        <f t="shared" si="71"/>
        <v>0</v>
      </c>
      <c r="BY269" s="49">
        <f t="shared" si="72"/>
        <v>1</v>
      </c>
      <c r="BZ269" s="49">
        <f t="shared" si="73"/>
        <v>0</v>
      </c>
      <c r="CA269" s="49">
        <f t="shared" si="74"/>
        <v>0</v>
      </c>
      <c r="CB269" s="49">
        <f t="shared" si="75"/>
        <v>1</v>
      </c>
      <c r="CC269" s="49">
        <f t="shared" si="76"/>
        <v>0</v>
      </c>
      <c r="CD269" s="49">
        <f t="shared" si="77"/>
        <v>0</v>
      </c>
      <c r="CE269" s="49">
        <f t="shared" si="78"/>
        <v>0</v>
      </c>
    </row>
    <row r="270" spans="1:83" ht="35.1" customHeight="1" x14ac:dyDescent="0.3">
      <c r="A270" s="123" t="str">
        <f t="shared" si="160"/>
        <v>2팀</v>
      </c>
      <c r="B270" s="69">
        <f t="shared" si="161"/>
        <v>264</v>
      </c>
      <c r="C270" s="120" t="str">
        <f>IF(VLOOKUP($B270,'1. 현장별 인원현황'!$C:$J,2,0)=0,"",VLOOKUP($B270,'1. 현장별 인원현황'!$C:$J,2,0))</f>
        <v xml:space="preserve"> [2.한양] 평택브레인시티8BL 공동주택 신축공사</v>
      </c>
      <c r="D270" s="70" t="str">
        <f>IF(VLOOKUP($B270,'1. 현장별 인원현황'!$C:$J,3,0)=0,"",VLOOKUP($B270,'1. 현장별 인원현황'!$C:$J,3,0))</f>
        <v>김학수</v>
      </c>
      <c r="E270" s="74" t="str">
        <f ca="1">IF(VLOOKUP($B270,'1. 현장별 인원현황'!$C:$J,4,0)=0,"",VLOOKUP($B270,'1. 현장별 인원현황'!$C:$J,4,0))</f>
        <v>46세</v>
      </c>
      <c r="F270" s="70" t="str">
        <f>IF(VLOOKUP($B270,'1. 현장별 인원현황'!$C:$J,7,0)=0,"",VLOOKUP($B270,'1. 현장별 인원현황'!$C:$J,7,0))</f>
        <v>기능공</v>
      </c>
      <c r="G270" s="72" t="str">
        <f>IF(VLOOKUP($B270,'1. 현장별 인원현황'!$C:$J,8,0)=0,"",VLOOKUP($B270,'1. 현장별 인원현황'!$C:$J,8,0))</f>
        <v>전공</v>
      </c>
      <c r="H270" s="67"/>
      <c r="I270" s="73" t="s">
        <v>69</v>
      </c>
      <c r="J270" s="73"/>
      <c r="K270" s="68"/>
      <c r="L270" s="67"/>
      <c r="M270" s="73"/>
      <c r="N270" s="73" t="s">
        <v>69</v>
      </c>
      <c r="O270" s="68"/>
      <c r="P270" s="67"/>
      <c r="Q270" s="73"/>
      <c r="R270" s="73" t="s">
        <v>69</v>
      </c>
      <c r="S270" s="68"/>
      <c r="T270" s="67"/>
      <c r="U270" s="73" t="s">
        <v>69</v>
      </c>
      <c r="V270" s="73"/>
      <c r="W270" s="68"/>
      <c r="X270" s="67"/>
      <c r="Y270" s="73" t="s">
        <v>69</v>
      </c>
      <c r="Z270" s="73"/>
      <c r="AA270" s="68"/>
      <c r="AB270" s="67"/>
      <c r="AC270" s="73"/>
      <c r="AD270" s="73" t="s">
        <v>69</v>
      </c>
      <c r="AE270" s="68"/>
      <c r="AF270" s="67"/>
      <c r="AG270" s="73"/>
      <c r="AH270" s="73" t="s">
        <v>69</v>
      </c>
      <c r="AI270" s="68"/>
      <c r="AJ270" s="67"/>
      <c r="AK270" s="73" t="s">
        <v>69</v>
      </c>
      <c r="AL270" s="73"/>
      <c r="AM270" s="68"/>
      <c r="AN270" s="73"/>
      <c r="AO270" s="73" t="s">
        <v>69</v>
      </c>
      <c r="AP270" s="73"/>
      <c r="AQ270" s="68"/>
      <c r="AR270" s="67">
        <f t="shared" si="162"/>
        <v>67</v>
      </c>
      <c r="AS270" s="68" t="str">
        <f t="shared" si="163"/>
        <v>B</v>
      </c>
      <c r="AV270" s="49">
        <f t="shared" ref="AV270:AV303" si="164">IF(H270&gt;0,1,0)</f>
        <v>0</v>
      </c>
      <c r="AW270" s="49">
        <f t="shared" ref="AW270:AW303" si="165">IF(I270&gt;0,1,0)</f>
        <v>1</v>
      </c>
      <c r="AX270" s="49">
        <f t="shared" ref="AX270:AX303" si="166">IF(J270&gt;0,1,0)</f>
        <v>0</v>
      </c>
      <c r="AY270" s="49">
        <f t="shared" ref="AY270:AY303" si="167">IF(K270&gt;0,1,0)</f>
        <v>0</v>
      </c>
      <c r="AZ270" s="49">
        <f t="shared" ref="AZ270:AZ303" si="168">IF(L270&gt;0,1,0)</f>
        <v>0</v>
      </c>
      <c r="BA270" s="49">
        <f t="shared" ref="BA270:BA303" si="169">IF(M270&gt;0,1,0)</f>
        <v>0</v>
      </c>
      <c r="BB270" s="49">
        <f t="shared" ref="BB270:BB303" si="170">IF(N270&gt;0,1,0)</f>
        <v>1</v>
      </c>
      <c r="BC270" s="49">
        <f t="shared" ref="BC270:BC303" si="171">IF(O270&gt;0,1,0)</f>
        <v>0</v>
      </c>
      <c r="BD270" s="49">
        <f t="shared" ref="BD270:BD303" si="172">IF(P270&gt;0,1,0)</f>
        <v>0</v>
      </c>
      <c r="BE270" s="49">
        <f t="shared" ref="BE270:BE303" si="173">IF(Q270&gt;0,1,0)</f>
        <v>0</v>
      </c>
      <c r="BF270" s="49">
        <f t="shared" ref="BF270:BF303" si="174">IF(R270&gt;0,1,0)</f>
        <v>1</v>
      </c>
      <c r="BG270" s="49">
        <f t="shared" ref="BG270:BG303" si="175">IF(S270&gt;0,1,0)</f>
        <v>0</v>
      </c>
      <c r="BH270" s="49">
        <f t="shared" ref="BH270:BH303" si="176">IF(T270&gt;0,1,0)</f>
        <v>0</v>
      </c>
      <c r="BI270" s="49">
        <f t="shared" ref="BI270:BI303" si="177">IF(U270&gt;0,1,0)</f>
        <v>1</v>
      </c>
      <c r="BJ270" s="49">
        <f t="shared" ref="BJ270:BJ303" si="178">IF(V270&gt;0,1,0)</f>
        <v>0</v>
      </c>
      <c r="BK270" s="49">
        <f t="shared" ref="BK270:BK303" si="179">IF(W270&gt;0,1,0)</f>
        <v>0</v>
      </c>
      <c r="BL270" s="49">
        <f t="shared" ref="BL270:BL303" si="180">IF(X270&gt;0,1,0)</f>
        <v>0</v>
      </c>
      <c r="BM270" s="49">
        <f t="shared" ref="BM270:BM303" si="181">IF(Y270&gt;0,1,0)</f>
        <v>1</v>
      </c>
      <c r="BN270" s="49">
        <f t="shared" ref="BN270:BN303" si="182">IF(Z270&gt;0,1,0)</f>
        <v>0</v>
      </c>
      <c r="BO270" s="49">
        <f t="shared" ref="BO270:BO303" si="183">IF(AA270&gt;0,1,0)</f>
        <v>0</v>
      </c>
      <c r="BP270" s="49">
        <f t="shared" ref="BP270:BP303" si="184">IF(AB270&gt;0,1,0)</f>
        <v>0</v>
      </c>
      <c r="BQ270" s="49">
        <f t="shared" ref="BQ270:BQ303" si="185">IF(AC270&gt;0,1,0)</f>
        <v>0</v>
      </c>
      <c r="BR270" s="49">
        <f t="shared" ref="BR270:BR303" si="186">IF(AD270&gt;0,1,0)</f>
        <v>1</v>
      </c>
      <c r="BS270" s="49">
        <f t="shared" ref="BS270:BS303" si="187">IF(AE270&gt;0,1,0)</f>
        <v>0</v>
      </c>
      <c r="BT270" s="49">
        <f t="shared" ref="BT270:BT303" si="188">IF(AF270&gt;0,1,0)</f>
        <v>0</v>
      </c>
      <c r="BU270" s="49">
        <f t="shared" ref="BU270:BU303" si="189">IF(AG270&gt;0,1,0)</f>
        <v>0</v>
      </c>
      <c r="BV270" s="49">
        <f t="shared" ref="BV270:BV303" si="190">IF(AH270&gt;0,1,0)</f>
        <v>1</v>
      </c>
      <c r="BW270" s="49">
        <f t="shared" ref="BW270:BW303" si="191">IF(AI270&gt;0,1,0)</f>
        <v>0</v>
      </c>
      <c r="BX270" s="49">
        <f t="shared" ref="BX270:BX303" si="192">IF(AJ270&gt;0,1,0)</f>
        <v>0</v>
      </c>
      <c r="BY270" s="49">
        <f t="shared" ref="BY270:BY303" si="193">IF(AK270&gt;0,1,0)</f>
        <v>1</v>
      </c>
      <c r="BZ270" s="49">
        <f t="shared" ref="BZ270:BZ303" si="194">IF(AL270&gt;0,1,0)</f>
        <v>0</v>
      </c>
      <c r="CA270" s="49">
        <f t="shared" ref="CA270:CA303" si="195">IF(AM270&gt;0,1,0)</f>
        <v>0</v>
      </c>
      <c r="CB270" s="49">
        <f t="shared" ref="CB270:CB303" si="196">IF(AN270&gt;0,1,0)</f>
        <v>0</v>
      </c>
      <c r="CC270" s="49">
        <f t="shared" ref="CC270:CC303" si="197">IF(AO270&gt;0,1,0)</f>
        <v>1</v>
      </c>
      <c r="CD270" s="49">
        <f t="shared" ref="CD270:CD303" si="198">IF(AP270&gt;0,1,0)</f>
        <v>0</v>
      </c>
      <c r="CE270" s="49">
        <f t="shared" ref="CE270:CE303" si="199">IF(AQ270&gt;0,1,0)</f>
        <v>0</v>
      </c>
    </row>
    <row r="271" spans="1:83" ht="35.1" customHeight="1" x14ac:dyDescent="0.3">
      <c r="A271" s="123" t="str">
        <f t="shared" si="160"/>
        <v>2팀</v>
      </c>
      <c r="B271" s="69">
        <f t="shared" si="161"/>
        <v>265</v>
      </c>
      <c r="C271" s="120" t="str">
        <f>IF(VLOOKUP($B271,'1. 현장별 인원현황'!$C:$J,2,0)=0,"",VLOOKUP($B271,'1. 현장별 인원현황'!$C:$J,2,0))</f>
        <v xml:space="preserve"> [2.한양] 평택브레인시티8BL 공동주택 신축공사</v>
      </c>
      <c r="D271" s="70" t="str">
        <f>IF(VLOOKUP($B271,'1. 현장별 인원현황'!$C:$J,3,0)=0,"",VLOOKUP($B271,'1. 현장별 인원현황'!$C:$J,3,0))</f>
        <v>이강운</v>
      </c>
      <c r="E271" s="74" t="str">
        <f ca="1">IF(VLOOKUP($B271,'1. 현장별 인원현황'!$C:$J,4,0)=0,"",VLOOKUP($B271,'1. 현장별 인원현황'!$C:$J,4,0))</f>
        <v>50세</v>
      </c>
      <c r="F271" s="70" t="str">
        <f>IF(VLOOKUP($B271,'1. 현장별 인원현황'!$C:$J,7,0)=0,"",VLOOKUP($B271,'1. 현장별 인원현황'!$C:$J,7,0))</f>
        <v>기능공</v>
      </c>
      <c r="G271" s="72" t="str">
        <f>IF(VLOOKUP($B271,'1. 현장별 인원현황'!$C:$J,8,0)=0,"",VLOOKUP($B271,'1. 현장별 인원현황'!$C:$J,8,0))</f>
        <v>전공</v>
      </c>
      <c r="H271" s="67"/>
      <c r="I271" s="73" t="s">
        <v>69</v>
      </c>
      <c r="J271" s="73"/>
      <c r="K271" s="68"/>
      <c r="L271" s="67"/>
      <c r="M271" s="73" t="s">
        <v>69</v>
      </c>
      <c r="N271" s="73"/>
      <c r="O271" s="68"/>
      <c r="P271" s="67"/>
      <c r="Q271" s="73" t="s">
        <v>69</v>
      </c>
      <c r="R271" s="73"/>
      <c r="S271" s="68"/>
      <c r="T271" s="67"/>
      <c r="U271" s="73" t="s">
        <v>69</v>
      </c>
      <c r="V271" s="73"/>
      <c r="W271" s="68"/>
      <c r="X271" s="67"/>
      <c r="Y271" s="73" t="s">
        <v>69</v>
      </c>
      <c r="Z271" s="73"/>
      <c r="AA271" s="68"/>
      <c r="AB271" s="67"/>
      <c r="AC271" s="73" t="s">
        <v>69</v>
      </c>
      <c r="AD271" s="73"/>
      <c r="AE271" s="68"/>
      <c r="AF271" s="67"/>
      <c r="AG271" s="73" t="s">
        <v>69</v>
      </c>
      <c r="AH271" s="73"/>
      <c r="AI271" s="68"/>
      <c r="AJ271" s="67"/>
      <c r="AK271" s="73" t="s">
        <v>69</v>
      </c>
      <c r="AL271" s="73"/>
      <c r="AM271" s="68"/>
      <c r="AN271" s="73" t="s">
        <v>69</v>
      </c>
      <c r="AO271" s="73"/>
      <c r="AP271" s="73"/>
      <c r="AQ271" s="68"/>
      <c r="AR271" s="67">
        <f t="shared" si="162"/>
        <v>80</v>
      </c>
      <c r="AS271" s="68" t="str">
        <f t="shared" si="163"/>
        <v>A</v>
      </c>
      <c r="AV271" s="49">
        <f t="shared" si="164"/>
        <v>0</v>
      </c>
      <c r="AW271" s="49">
        <f t="shared" si="165"/>
        <v>1</v>
      </c>
      <c r="AX271" s="49">
        <f t="shared" si="166"/>
        <v>0</v>
      </c>
      <c r="AY271" s="49">
        <f t="shared" si="167"/>
        <v>0</v>
      </c>
      <c r="AZ271" s="49">
        <f t="shared" si="168"/>
        <v>0</v>
      </c>
      <c r="BA271" s="49">
        <f t="shared" si="169"/>
        <v>1</v>
      </c>
      <c r="BB271" s="49">
        <f t="shared" si="170"/>
        <v>0</v>
      </c>
      <c r="BC271" s="49">
        <f t="shared" si="171"/>
        <v>0</v>
      </c>
      <c r="BD271" s="49">
        <f t="shared" si="172"/>
        <v>0</v>
      </c>
      <c r="BE271" s="49">
        <f t="shared" si="173"/>
        <v>1</v>
      </c>
      <c r="BF271" s="49">
        <f t="shared" si="174"/>
        <v>0</v>
      </c>
      <c r="BG271" s="49">
        <f t="shared" si="175"/>
        <v>0</v>
      </c>
      <c r="BH271" s="49">
        <f t="shared" si="176"/>
        <v>0</v>
      </c>
      <c r="BI271" s="49">
        <f t="shared" si="177"/>
        <v>1</v>
      </c>
      <c r="BJ271" s="49">
        <f t="shared" si="178"/>
        <v>0</v>
      </c>
      <c r="BK271" s="49">
        <f t="shared" si="179"/>
        <v>0</v>
      </c>
      <c r="BL271" s="49">
        <f t="shared" si="180"/>
        <v>0</v>
      </c>
      <c r="BM271" s="49">
        <f t="shared" si="181"/>
        <v>1</v>
      </c>
      <c r="BN271" s="49">
        <f t="shared" si="182"/>
        <v>0</v>
      </c>
      <c r="BO271" s="49">
        <f t="shared" si="183"/>
        <v>0</v>
      </c>
      <c r="BP271" s="49">
        <f t="shared" si="184"/>
        <v>0</v>
      </c>
      <c r="BQ271" s="49">
        <f t="shared" si="185"/>
        <v>1</v>
      </c>
      <c r="BR271" s="49">
        <f t="shared" si="186"/>
        <v>0</v>
      </c>
      <c r="BS271" s="49">
        <f t="shared" si="187"/>
        <v>0</v>
      </c>
      <c r="BT271" s="49">
        <f t="shared" si="188"/>
        <v>0</v>
      </c>
      <c r="BU271" s="49">
        <f t="shared" si="189"/>
        <v>1</v>
      </c>
      <c r="BV271" s="49">
        <f t="shared" si="190"/>
        <v>0</v>
      </c>
      <c r="BW271" s="49">
        <f t="shared" si="191"/>
        <v>0</v>
      </c>
      <c r="BX271" s="49">
        <f t="shared" si="192"/>
        <v>0</v>
      </c>
      <c r="BY271" s="49">
        <f t="shared" si="193"/>
        <v>1</v>
      </c>
      <c r="BZ271" s="49">
        <f t="shared" si="194"/>
        <v>0</v>
      </c>
      <c r="CA271" s="49">
        <f t="shared" si="195"/>
        <v>0</v>
      </c>
      <c r="CB271" s="49">
        <f t="shared" si="196"/>
        <v>1</v>
      </c>
      <c r="CC271" s="49">
        <f t="shared" si="197"/>
        <v>0</v>
      </c>
      <c r="CD271" s="49">
        <f t="shared" si="198"/>
        <v>0</v>
      </c>
      <c r="CE271" s="49">
        <f t="shared" si="199"/>
        <v>0</v>
      </c>
    </row>
    <row r="272" spans="1:83" ht="35.1" customHeight="1" x14ac:dyDescent="0.3">
      <c r="A272" s="123" t="str">
        <f t="shared" si="160"/>
        <v>2팀</v>
      </c>
      <c r="B272" s="69">
        <f t="shared" si="161"/>
        <v>266</v>
      </c>
      <c r="C272" s="120" t="str">
        <f>IF(VLOOKUP($B272,'1. 현장별 인원현황'!$C:$J,2,0)=0,"",VLOOKUP($B272,'1. 현장별 인원현황'!$C:$J,2,0))</f>
        <v xml:space="preserve"> [2.한양] 평택브레인시티8BL 공동주택 신축공사</v>
      </c>
      <c r="D272" s="70" t="str">
        <f>IF(VLOOKUP($B272,'1. 현장별 인원현황'!$C:$J,3,0)=0,"",VLOOKUP($B272,'1. 현장별 인원현황'!$C:$J,3,0))</f>
        <v>이상우</v>
      </c>
      <c r="E272" s="74" t="str">
        <f ca="1">IF(VLOOKUP($B272,'1. 현장별 인원현황'!$C:$J,4,0)=0,"",VLOOKUP($B272,'1. 현장별 인원현황'!$C:$J,4,0))</f>
        <v>36세</v>
      </c>
      <c r="F272" s="70" t="str">
        <f>IF(VLOOKUP($B272,'1. 현장별 인원현황'!$C:$J,7,0)=0,"",VLOOKUP($B272,'1. 현장별 인원현황'!$C:$J,7,0))</f>
        <v>기능공</v>
      </c>
      <c r="G272" s="72" t="str">
        <f>IF(VLOOKUP($B272,'1. 현장별 인원현황'!$C:$J,8,0)=0,"",VLOOKUP($B272,'1. 현장별 인원현황'!$C:$J,8,0))</f>
        <v>전공</v>
      </c>
      <c r="H272" s="67"/>
      <c r="I272" s="73"/>
      <c r="J272" s="73" t="s">
        <v>69</v>
      </c>
      <c r="K272" s="68"/>
      <c r="L272" s="67"/>
      <c r="M272" s="73"/>
      <c r="N272" s="73" t="s">
        <v>69</v>
      </c>
      <c r="O272" s="68"/>
      <c r="P272" s="67"/>
      <c r="Q272" s="73"/>
      <c r="R272" s="73" t="s">
        <v>69</v>
      </c>
      <c r="S272" s="68"/>
      <c r="T272" s="67"/>
      <c r="U272" s="73"/>
      <c r="V272" s="73" t="s">
        <v>69</v>
      </c>
      <c r="W272" s="68"/>
      <c r="X272" s="67"/>
      <c r="Y272" s="73" t="s">
        <v>69</v>
      </c>
      <c r="Z272" s="73"/>
      <c r="AA272" s="68"/>
      <c r="AB272" s="67"/>
      <c r="AC272" s="73"/>
      <c r="AD272" s="73" t="s">
        <v>69</v>
      </c>
      <c r="AE272" s="68"/>
      <c r="AF272" s="67"/>
      <c r="AG272" s="73"/>
      <c r="AH272" s="73" t="s">
        <v>69</v>
      </c>
      <c r="AI272" s="68"/>
      <c r="AJ272" s="67" t="s">
        <v>69</v>
      </c>
      <c r="AK272" s="73"/>
      <c r="AL272" s="73"/>
      <c r="AM272" s="68"/>
      <c r="AN272" s="73" t="s">
        <v>69</v>
      </c>
      <c r="AO272" s="73"/>
      <c r="AP272" s="73"/>
      <c r="AQ272" s="68"/>
      <c r="AR272" s="67">
        <f t="shared" si="162"/>
        <v>68</v>
      </c>
      <c r="AS272" s="68" t="str">
        <f t="shared" si="163"/>
        <v>B</v>
      </c>
      <c r="AV272" s="49">
        <f t="shared" si="164"/>
        <v>0</v>
      </c>
      <c r="AW272" s="49">
        <f t="shared" si="165"/>
        <v>0</v>
      </c>
      <c r="AX272" s="49">
        <f t="shared" si="166"/>
        <v>1</v>
      </c>
      <c r="AY272" s="49">
        <f t="shared" si="167"/>
        <v>0</v>
      </c>
      <c r="AZ272" s="49">
        <f t="shared" si="168"/>
        <v>0</v>
      </c>
      <c r="BA272" s="49">
        <f t="shared" si="169"/>
        <v>0</v>
      </c>
      <c r="BB272" s="49">
        <f t="shared" si="170"/>
        <v>1</v>
      </c>
      <c r="BC272" s="49">
        <f t="shared" si="171"/>
        <v>0</v>
      </c>
      <c r="BD272" s="49">
        <f t="shared" si="172"/>
        <v>0</v>
      </c>
      <c r="BE272" s="49">
        <f t="shared" si="173"/>
        <v>0</v>
      </c>
      <c r="BF272" s="49">
        <f t="shared" si="174"/>
        <v>1</v>
      </c>
      <c r="BG272" s="49">
        <f t="shared" si="175"/>
        <v>0</v>
      </c>
      <c r="BH272" s="49">
        <f t="shared" si="176"/>
        <v>0</v>
      </c>
      <c r="BI272" s="49">
        <f t="shared" si="177"/>
        <v>0</v>
      </c>
      <c r="BJ272" s="49">
        <f t="shared" si="178"/>
        <v>1</v>
      </c>
      <c r="BK272" s="49">
        <f t="shared" si="179"/>
        <v>0</v>
      </c>
      <c r="BL272" s="49">
        <f t="shared" si="180"/>
        <v>0</v>
      </c>
      <c r="BM272" s="49">
        <f t="shared" si="181"/>
        <v>1</v>
      </c>
      <c r="BN272" s="49">
        <f t="shared" si="182"/>
        <v>0</v>
      </c>
      <c r="BO272" s="49">
        <f t="shared" si="183"/>
        <v>0</v>
      </c>
      <c r="BP272" s="49">
        <f t="shared" si="184"/>
        <v>0</v>
      </c>
      <c r="BQ272" s="49">
        <f t="shared" si="185"/>
        <v>0</v>
      </c>
      <c r="BR272" s="49">
        <f t="shared" si="186"/>
        <v>1</v>
      </c>
      <c r="BS272" s="49">
        <f t="shared" si="187"/>
        <v>0</v>
      </c>
      <c r="BT272" s="49">
        <f t="shared" si="188"/>
        <v>0</v>
      </c>
      <c r="BU272" s="49">
        <f t="shared" si="189"/>
        <v>0</v>
      </c>
      <c r="BV272" s="49">
        <f t="shared" si="190"/>
        <v>1</v>
      </c>
      <c r="BW272" s="49">
        <f t="shared" si="191"/>
        <v>0</v>
      </c>
      <c r="BX272" s="49">
        <f t="shared" si="192"/>
        <v>1</v>
      </c>
      <c r="BY272" s="49">
        <f t="shared" si="193"/>
        <v>0</v>
      </c>
      <c r="BZ272" s="49">
        <f t="shared" si="194"/>
        <v>0</v>
      </c>
      <c r="CA272" s="49">
        <f t="shared" si="195"/>
        <v>0</v>
      </c>
      <c r="CB272" s="49">
        <f t="shared" si="196"/>
        <v>1</v>
      </c>
      <c r="CC272" s="49">
        <f t="shared" si="197"/>
        <v>0</v>
      </c>
      <c r="CD272" s="49">
        <f t="shared" si="198"/>
        <v>0</v>
      </c>
      <c r="CE272" s="49">
        <f t="shared" si="199"/>
        <v>0</v>
      </c>
    </row>
    <row r="273" spans="1:83" ht="35.1" customHeight="1" x14ac:dyDescent="0.3">
      <c r="A273" s="123" t="str">
        <f t="shared" si="160"/>
        <v>2팀</v>
      </c>
      <c r="B273" s="69">
        <f t="shared" si="161"/>
        <v>267</v>
      </c>
      <c r="C273" s="120" t="str">
        <f>IF(VLOOKUP($B273,'1. 현장별 인원현황'!$C:$J,2,0)=0,"",VLOOKUP($B273,'1. 현장별 인원현황'!$C:$J,2,0))</f>
        <v xml:space="preserve"> [2.한양] 평택브레인시티8BL 공동주택 신축공사</v>
      </c>
      <c r="D273" s="70" t="str">
        <f>IF(VLOOKUP($B273,'1. 현장별 인원현황'!$C:$J,3,0)=0,"",VLOOKUP($B273,'1. 현장별 인원현황'!$C:$J,3,0))</f>
        <v>허성준</v>
      </c>
      <c r="E273" s="74" t="str">
        <f ca="1">IF(VLOOKUP($B273,'1. 현장별 인원현황'!$C:$J,4,0)=0,"",VLOOKUP($B273,'1. 현장별 인원현황'!$C:$J,4,0))</f>
        <v>35세</v>
      </c>
      <c r="F273" s="70" t="str">
        <f>IF(VLOOKUP($B273,'1. 현장별 인원현황'!$C:$J,7,0)=0,"",VLOOKUP($B273,'1. 현장별 인원현황'!$C:$J,7,0))</f>
        <v>공무</v>
      </c>
      <c r="G273" s="72" t="str">
        <f>IF(VLOOKUP($B273,'1. 현장별 인원현황'!$C:$J,8,0)=0,"",VLOOKUP($B273,'1. 현장별 인원현황'!$C:$J,8,0))</f>
        <v>과장</v>
      </c>
      <c r="H273" s="67"/>
      <c r="I273" s="73" t="s">
        <v>69</v>
      </c>
      <c r="J273" s="73"/>
      <c r="K273" s="68"/>
      <c r="L273" s="67"/>
      <c r="M273" s="73" t="s">
        <v>69</v>
      </c>
      <c r="N273" s="73"/>
      <c r="O273" s="68"/>
      <c r="P273" s="67"/>
      <c r="Q273" s="73"/>
      <c r="R273" s="73" t="s">
        <v>69</v>
      </c>
      <c r="S273" s="68"/>
      <c r="T273" s="67"/>
      <c r="U273" s="73"/>
      <c r="V273" s="73" t="s">
        <v>69</v>
      </c>
      <c r="W273" s="68"/>
      <c r="X273" s="67"/>
      <c r="Y273" s="73" t="s">
        <v>69</v>
      </c>
      <c r="Z273" s="73"/>
      <c r="AA273" s="68"/>
      <c r="AB273" s="67"/>
      <c r="AC273" s="73"/>
      <c r="AD273" s="73" t="s">
        <v>69</v>
      </c>
      <c r="AE273" s="68"/>
      <c r="AF273" s="67"/>
      <c r="AG273" s="73" t="s">
        <v>69</v>
      </c>
      <c r="AH273" s="73"/>
      <c r="AI273" s="68"/>
      <c r="AJ273" s="67"/>
      <c r="AK273" s="73" t="s">
        <v>69</v>
      </c>
      <c r="AL273" s="73"/>
      <c r="AM273" s="68"/>
      <c r="AN273" s="73"/>
      <c r="AO273" s="73" t="s">
        <v>69</v>
      </c>
      <c r="AP273" s="73"/>
      <c r="AQ273" s="68"/>
      <c r="AR273" s="67">
        <f t="shared" si="162"/>
        <v>70</v>
      </c>
      <c r="AS273" s="68" t="str">
        <f t="shared" si="163"/>
        <v>B</v>
      </c>
      <c r="AV273" s="49">
        <f t="shared" si="164"/>
        <v>0</v>
      </c>
      <c r="AW273" s="49">
        <f t="shared" si="165"/>
        <v>1</v>
      </c>
      <c r="AX273" s="49">
        <f t="shared" si="166"/>
        <v>0</v>
      </c>
      <c r="AY273" s="49">
        <f t="shared" si="167"/>
        <v>0</v>
      </c>
      <c r="AZ273" s="49">
        <f t="shared" si="168"/>
        <v>0</v>
      </c>
      <c r="BA273" s="49">
        <f t="shared" si="169"/>
        <v>1</v>
      </c>
      <c r="BB273" s="49">
        <f t="shared" si="170"/>
        <v>0</v>
      </c>
      <c r="BC273" s="49">
        <f t="shared" si="171"/>
        <v>0</v>
      </c>
      <c r="BD273" s="49">
        <f t="shared" si="172"/>
        <v>0</v>
      </c>
      <c r="BE273" s="49">
        <f t="shared" si="173"/>
        <v>0</v>
      </c>
      <c r="BF273" s="49">
        <f t="shared" si="174"/>
        <v>1</v>
      </c>
      <c r="BG273" s="49">
        <f t="shared" si="175"/>
        <v>0</v>
      </c>
      <c r="BH273" s="49">
        <f t="shared" si="176"/>
        <v>0</v>
      </c>
      <c r="BI273" s="49">
        <f t="shared" si="177"/>
        <v>0</v>
      </c>
      <c r="BJ273" s="49">
        <f t="shared" si="178"/>
        <v>1</v>
      </c>
      <c r="BK273" s="49">
        <f t="shared" si="179"/>
        <v>0</v>
      </c>
      <c r="BL273" s="49">
        <f t="shared" si="180"/>
        <v>0</v>
      </c>
      <c r="BM273" s="49">
        <f t="shared" si="181"/>
        <v>1</v>
      </c>
      <c r="BN273" s="49">
        <f t="shared" si="182"/>
        <v>0</v>
      </c>
      <c r="BO273" s="49">
        <f t="shared" si="183"/>
        <v>0</v>
      </c>
      <c r="BP273" s="49">
        <f t="shared" si="184"/>
        <v>0</v>
      </c>
      <c r="BQ273" s="49">
        <f t="shared" si="185"/>
        <v>0</v>
      </c>
      <c r="BR273" s="49">
        <f t="shared" si="186"/>
        <v>1</v>
      </c>
      <c r="BS273" s="49">
        <f t="shared" si="187"/>
        <v>0</v>
      </c>
      <c r="BT273" s="49">
        <f t="shared" si="188"/>
        <v>0</v>
      </c>
      <c r="BU273" s="49">
        <f t="shared" si="189"/>
        <v>1</v>
      </c>
      <c r="BV273" s="49">
        <f t="shared" si="190"/>
        <v>0</v>
      </c>
      <c r="BW273" s="49">
        <f t="shared" si="191"/>
        <v>0</v>
      </c>
      <c r="BX273" s="49">
        <f t="shared" si="192"/>
        <v>0</v>
      </c>
      <c r="BY273" s="49">
        <f t="shared" si="193"/>
        <v>1</v>
      </c>
      <c r="BZ273" s="49">
        <f t="shared" si="194"/>
        <v>0</v>
      </c>
      <c r="CA273" s="49">
        <f t="shared" si="195"/>
        <v>0</v>
      </c>
      <c r="CB273" s="49">
        <f t="shared" si="196"/>
        <v>0</v>
      </c>
      <c r="CC273" s="49">
        <f t="shared" si="197"/>
        <v>1</v>
      </c>
      <c r="CD273" s="49">
        <f t="shared" si="198"/>
        <v>0</v>
      </c>
      <c r="CE273" s="49">
        <f t="shared" si="199"/>
        <v>0</v>
      </c>
    </row>
    <row r="274" spans="1:83" ht="35.1" customHeight="1" x14ac:dyDescent="0.3">
      <c r="A274" s="123" t="str">
        <f t="shared" si="160"/>
        <v>2팀</v>
      </c>
      <c r="B274" s="69">
        <f t="shared" si="161"/>
        <v>268</v>
      </c>
      <c r="C274" s="120" t="str">
        <f>IF(VLOOKUP($B274,'1. 현장별 인원현황'!$C:$J,2,0)=0,"",VLOOKUP($B274,'1. 현장별 인원현황'!$C:$J,2,0))</f>
        <v xml:space="preserve"> [2.한양] 평택브레인시티8BL 공동주택 신축공사</v>
      </c>
      <c r="D274" s="70" t="str">
        <f>IF(VLOOKUP($B274,'1. 현장별 인원현황'!$C:$J,3,0)=0,"",VLOOKUP($B274,'1. 현장별 인원현황'!$C:$J,3,0))</f>
        <v>이명훈</v>
      </c>
      <c r="E274" s="74" t="str">
        <f ca="1">IF(VLOOKUP($B274,'1. 현장별 인원현황'!$C:$J,4,0)=0,"",VLOOKUP($B274,'1. 현장별 인원현황'!$C:$J,4,0))</f>
        <v>34세</v>
      </c>
      <c r="F274" s="70" t="str">
        <f>IF(VLOOKUP($B274,'1. 현장별 인원현황'!$C:$J,7,0)=0,"",VLOOKUP($B274,'1. 현장별 인원현황'!$C:$J,7,0))</f>
        <v>공무</v>
      </c>
      <c r="G274" s="72" t="str">
        <f>IF(VLOOKUP($B274,'1. 현장별 인원현황'!$C:$J,8,0)=0,"",VLOOKUP($B274,'1. 현장별 인원현황'!$C:$J,8,0))</f>
        <v>대리</v>
      </c>
      <c r="H274" s="67"/>
      <c r="I274" s="73"/>
      <c r="J274" s="73" t="s">
        <v>69</v>
      </c>
      <c r="K274" s="68"/>
      <c r="L274" s="67"/>
      <c r="M274" s="73" t="s">
        <v>69</v>
      </c>
      <c r="N274" s="73"/>
      <c r="O274" s="68"/>
      <c r="P274" s="67"/>
      <c r="Q274" s="73"/>
      <c r="R274" s="73" t="s">
        <v>69</v>
      </c>
      <c r="S274" s="68"/>
      <c r="T274" s="67"/>
      <c r="U274" s="73"/>
      <c r="V274" s="73" t="s">
        <v>69</v>
      </c>
      <c r="W274" s="68"/>
      <c r="X274" s="67"/>
      <c r="Y274" s="73" t="s">
        <v>69</v>
      </c>
      <c r="Z274" s="73"/>
      <c r="AA274" s="68"/>
      <c r="AB274" s="67"/>
      <c r="AC274" s="73"/>
      <c r="AD274" s="73" t="s">
        <v>69</v>
      </c>
      <c r="AE274" s="68"/>
      <c r="AF274" s="67"/>
      <c r="AG274" s="73"/>
      <c r="AH274" s="73" t="s">
        <v>69</v>
      </c>
      <c r="AI274" s="68"/>
      <c r="AJ274" s="67"/>
      <c r="AK274" s="73" t="s">
        <v>69</v>
      </c>
      <c r="AL274" s="73"/>
      <c r="AM274" s="68"/>
      <c r="AN274" s="73"/>
      <c r="AO274" s="73" t="s">
        <v>69</v>
      </c>
      <c r="AP274" s="73"/>
      <c r="AQ274" s="68"/>
      <c r="AR274" s="67">
        <f t="shared" si="162"/>
        <v>65</v>
      </c>
      <c r="AS274" s="68" t="str">
        <f t="shared" si="163"/>
        <v>B</v>
      </c>
      <c r="AV274" s="49">
        <f t="shared" si="164"/>
        <v>0</v>
      </c>
      <c r="AW274" s="49">
        <f t="shared" si="165"/>
        <v>0</v>
      </c>
      <c r="AX274" s="49">
        <f t="shared" si="166"/>
        <v>1</v>
      </c>
      <c r="AY274" s="49">
        <f t="shared" si="167"/>
        <v>0</v>
      </c>
      <c r="AZ274" s="49">
        <f t="shared" si="168"/>
        <v>0</v>
      </c>
      <c r="BA274" s="49">
        <f t="shared" si="169"/>
        <v>1</v>
      </c>
      <c r="BB274" s="49">
        <f t="shared" si="170"/>
        <v>0</v>
      </c>
      <c r="BC274" s="49">
        <f t="shared" si="171"/>
        <v>0</v>
      </c>
      <c r="BD274" s="49">
        <f t="shared" si="172"/>
        <v>0</v>
      </c>
      <c r="BE274" s="49">
        <f t="shared" si="173"/>
        <v>0</v>
      </c>
      <c r="BF274" s="49">
        <f t="shared" si="174"/>
        <v>1</v>
      </c>
      <c r="BG274" s="49">
        <f t="shared" si="175"/>
        <v>0</v>
      </c>
      <c r="BH274" s="49">
        <f t="shared" si="176"/>
        <v>0</v>
      </c>
      <c r="BI274" s="49">
        <f t="shared" si="177"/>
        <v>0</v>
      </c>
      <c r="BJ274" s="49">
        <f t="shared" si="178"/>
        <v>1</v>
      </c>
      <c r="BK274" s="49">
        <f t="shared" si="179"/>
        <v>0</v>
      </c>
      <c r="BL274" s="49">
        <f t="shared" si="180"/>
        <v>0</v>
      </c>
      <c r="BM274" s="49">
        <f t="shared" si="181"/>
        <v>1</v>
      </c>
      <c r="BN274" s="49">
        <f t="shared" si="182"/>
        <v>0</v>
      </c>
      <c r="BO274" s="49">
        <f t="shared" si="183"/>
        <v>0</v>
      </c>
      <c r="BP274" s="49">
        <f t="shared" si="184"/>
        <v>0</v>
      </c>
      <c r="BQ274" s="49">
        <f t="shared" si="185"/>
        <v>0</v>
      </c>
      <c r="BR274" s="49">
        <f t="shared" si="186"/>
        <v>1</v>
      </c>
      <c r="BS274" s="49">
        <f t="shared" si="187"/>
        <v>0</v>
      </c>
      <c r="BT274" s="49">
        <f t="shared" si="188"/>
        <v>0</v>
      </c>
      <c r="BU274" s="49">
        <f t="shared" si="189"/>
        <v>0</v>
      </c>
      <c r="BV274" s="49">
        <f t="shared" si="190"/>
        <v>1</v>
      </c>
      <c r="BW274" s="49">
        <f t="shared" si="191"/>
        <v>0</v>
      </c>
      <c r="BX274" s="49">
        <f t="shared" si="192"/>
        <v>0</v>
      </c>
      <c r="BY274" s="49">
        <f t="shared" si="193"/>
        <v>1</v>
      </c>
      <c r="BZ274" s="49">
        <f t="shared" si="194"/>
        <v>0</v>
      </c>
      <c r="CA274" s="49">
        <f t="shared" si="195"/>
        <v>0</v>
      </c>
      <c r="CB274" s="49">
        <f t="shared" si="196"/>
        <v>0</v>
      </c>
      <c r="CC274" s="49">
        <f t="shared" si="197"/>
        <v>1</v>
      </c>
      <c r="CD274" s="49">
        <f t="shared" si="198"/>
        <v>0</v>
      </c>
      <c r="CE274" s="49">
        <f t="shared" si="199"/>
        <v>0</v>
      </c>
    </row>
    <row r="275" spans="1:83" ht="35.1" customHeight="1" x14ac:dyDescent="0.3">
      <c r="A275" s="123" t="str">
        <f t="shared" si="160"/>
        <v>2팀</v>
      </c>
      <c r="B275" s="69">
        <f t="shared" si="161"/>
        <v>269</v>
      </c>
      <c r="C275" s="120" t="str">
        <f>IF(VLOOKUP($B275,'1. 현장별 인원현황'!$C:$J,2,0)=0,"",VLOOKUP($B275,'1. 현장별 인원현황'!$C:$J,2,0))</f>
        <v xml:space="preserve"> [2.한화건설] 고잔연립9구역 재건축 전기,통신,소방공사</v>
      </c>
      <c r="D275" s="70" t="str">
        <f>IF(VLOOKUP($B275,'1. 현장별 인원현황'!$C:$J,3,0)=0,"",VLOOKUP($B275,'1. 현장별 인원현황'!$C:$J,3,0))</f>
        <v>한만재</v>
      </c>
      <c r="E275" s="74" t="str">
        <f ca="1">IF(VLOOKUP($B275,'1. 현장별 인원현황'!$C:$J,4,0)=0,"",VLOOKUP($B275,'1. 현장별 인원현황'!$C:$J,4,0))</f>
        <v>47세</v>
      </c>
      <c r="F275" s="70" t="str">
        <f>IF(VLOOKUP($B275,'1. 현장별 인원현황'!$C:$J,7,0)=0,"",VLOOKUP($B275,'1. 현장별 인원현황'!$C:$J,7,0))</f>
        <v>공무</v>
      </c>
      <c r="G275" s="72" t="str">
        <f>IF(VLOOKUP($B275,'1. 현장별 인원현황'!$C:$J,8,0)=0,"",VLOOKUP($B275,'1. 현장별 인원현황'!$C:$J,8,0))</f>
        <v>차장</v>
      </c>
      <c r="H275" s="67"/>
      <c r="I275" s="73" t="s">
        <v>69</v>
      </c>
      <c r="J275" s="73"/>
      <c r="K275" s="68"/>
      <c r="L275" s="67" t="s">
        <v>69</v>
      </c>
      <c r="M275" s="73"/>
      <c r="N275" s="73"/>
      <c r="O275" s="68"/>
      <c r="P275" s="67" t="s">
        <v>69</v>
      </c>
      <c r="Q275" s="73"/>
      <c r="R275" s="73"/>
      <c r="S275" s="68"/>
      <c r="T275" s="67" t="s">
        <v>69</v>
      </c>
      <c r="U275" s="73"/>
      <c r="V275" s="73"/>
      <c r="W275" s="68"/>
      <c r="X275" s="67" t="s">
        <v>69</v>
      </c>
      <c r="Y275" s="73"/>
      <c r="Z275" s="73"/>
      <c r="AA275" s="68"/>
      <c r="AB275" s="67" t="s">
        <v>69</v>
      </c>
      <c r="AC275" s="73"/>
      <c r="AD275" s="73"/>
      <c r="AE275" s="68"/>
      <c r="AF275" s="67" t="s">
        <v>69</v>
      </c>
      <c r="AG275" s="73"/>
      <c r="AH275" s="73"/>
      <c r="AI275" s="68"/>
      <c r="AJ275" s="67"/>
      <c r="AK275" s="73" t="s">
        <v>69</v>
      </c>
      <c r="AL275" s="73"/>
      <c r="AM275" s="68"/>
      <c r="AN275" s="73" t="s">
        <v>69</v>
      </c>
      <c r="AO275" s="73"/>
      <c r="AP275" s="73"/>
      <c r="AQ275" s="68"/>
      <c r="AR275" s="67">
        <f t="shared" si="162"/>
        <v>94</v>
      </c>
      <c r="AS275" s="68" t="str">
        <f t="shared" si="163"/>
        <v>S</v>
      </c>
      <c r="AV275" s="49">
        <f t="shared" si="164"/>
        <v>0</v>
      </c>
      <c r="AW275" s="49">
        <f t="shared" si="165"/>
        <v>1</v>
      </c>
      <c r="AX275" s="49">
        <f t="shared" si="166"/>
        <v>0</v>
      </c>
      <c r="AY275" s="49">
        <f t="shared" si="167"/>
        <v>0</v>
      </c>
      <c r="AZ275" s="49">
        <f t="shared" si="168"/>
        <v>1</v>
      </c>
      <c r="BA275" s="49">
        <f t="shared" si="169"/>
        <v>0</v>
      </c>
      <c r="BB275" s="49">
        <f t="shared" si="170"/>
        <v>0</v>
      </c>
      <c r="BC275" s="49">
        <f t="shared" si="171"/>
        <v>0</v>
      </c>
      <c r="BD275" s="49">
        <f t="shared" si="172"/>
        <v>1</v>
      </c>
      <c r="BE275" s="49">
        <f t="shared" si="173"/>
        <v>0</v>
      </c>
      <c r="BF275" s="49">
        <f t="shared" si="174"/>
        <v>0</v>
      </c>
      <c r="BG275" s="49">
        <f t="shared" si="175"/>
        <v>0</v>
      </c>
      <c r="BH275" s="49">
        <f t="shared" si="176"/>
        <v>1</v>
      </c>
      <c r="BI275" s="49">
        <f t="shared" si="177"/>
        <v>0</v>
      </c>
      <c r="BJ275" s="49">
        <f t="shared" si="178"/>
        <v>0</v>
      </c>
      <c r="BK275" s="49">
        <f t="shared" si="179"/>
        <v>0</v>
      </c>
      <c r="BL275" s="49">
        <f t="shared" si="180"/>
        <v>1</v>
      </c>
      <c r="BM275" s="49">
        <f t="shared" si="181"/>
        <v>0</v>
      </c>
      <c r="BN275" s="49">
        <f t="shared" si="182"/>
        <v>0</v>
      </c>
      <c r="BO275" s="49">
        <f t="shared" si="183"/>
        <v>0</v>
      </c>
      <c r="BP275" s="49">
        <f t="shared" si="184"/>
        <v>1</v>
      </c>
      <c r="BQ275" s="49">
        <f t="shared" si="185"/>
        <v>0</v>
      </c>
      <c r="BR275" s="49">
        <f t="shared" si="186"/>
        <v>0</v>
      </c>
      <c r="BS275" s="49">
        <f t="shared" si="187"/>
        <v>0</v>
      </c>
      <c r="BT275" s="49">
        <f t="shared" si="188"/>
        <v>1</v>
      </c>
      <c r="BU275" s="49">
        <f t="shared" si="189"/>
        <v>0</v>
      </c>
      <c r="BV275" s="49">
        <f t="shared" si="190"/>
        <v>0</v>
      </c>
      <c r="BW275" s="49">
        <f t="shared" si="191"/>
        <v>0</v>
      </c>
      <c r="BX275" s="49">
        <f t="shared" si="192"/>
        <v>0</v>
      </c>
      <c r="BY275" s="49">
        <f t="shared" si="193"/>
        <v>1</v>
      </c>
      <c r="BZ275" s="49">
        <f t="shared" si="194"/>
        <v>0</v>
      </c>
      <c r="CA275" s="49">
        <f t="shared" si="195"/>
        <v>0</v>
      </c>
      <c r="CB275" s="49">
        <f t="shared" si="196"/>
        <v>1</v>
      </c>
      <c r="CC275" s="49">
        <f t="shared" si="197"/>
        <v>0</v>
      </c>
      <c r="CD275" s="49">
        <f t="shared" si="198"/>
        <v>0</v>
      </c>
      <c r="CE275" s="49">
        <f t="shared" si="199"/>
        <v>0</v>
      </c>
    </row>
    <row r="276" spans="1:83" ht="35.1" customHeight="1" x14ac:dyDescent="0.3">
      <c r="A276" s="123" t="str">
        <f t="shared" si="160"/>
        <v>2팀</v>
      </c>
      <c r="B276" s="69">
        <f t="shared" si="161"/>
        <v>270</v>
      </c>
      <c r="C276" s="120" t="str">
        <f>IF(VLOOKUP($B276,'1. 현장별 인원현황'!$C:$J,2,0)=0,"",VLOOKUP($B276,'1. 현장별 인원현황'!$C:$J,2,0))</f>
        <v xml:space="preserve"> [2.한화건설] 고잔연립9구역 재건축 전기,통신,소방공사</v>
      </c>
      <c r="D276" s="70" t="str">
        <f>IF(VLOOKUP($B276,'1. 현장별 인원현황'!$C:$J,3,0)=0,"",VLOOKUP($B276,'1. 현장별 인원현황'!$C:$J,3,0))</f>
        <v>이경주</v>
      </c>
      <c r="E276" s="74" t="str">
        <f ca="1">IF(VLOOKUP($B276,'1. 현장별 인원현황'!$C:$J,4,0)=0,"",VLOOKUP($B276,'1. 현장별 인원현황'!$C:$J,4,0))</f>
        <v>54세</v>
      </c>
      <c r="F276" s="70" t="str">
        <f>IF(VLOOKUP($B276,'1. 현장별 인원현황'!$C:$J,7,0)=0,"",VLOOKUP($B276,'1. 현장별 인원현황'!$C:$J,7,0))</f>
        <v>공사</v>
      </c>
      <c r="G276" s="72" t="str">
        <f>IF(VLOOKUP($B276,'1. 현장별 인원현황'!$C:$J,8,0)=0,"",VLOOKUP($B276,'1. 현장별 인원현황'!$C:$J,8,0))</f>
        <v>차장</v>
      </c>
      <c r="H276" s="67"/>
      <c r="I276" s="73" t="s">
        <v>69</v>
      </c>
      <c r="J276" s="73"/>
      <c r="K276" s="68"/>
      <c r="L276" s="67" t="s">
        <v>69</v>
      </c>
      <c r="M276" s="73"/>
      <c r="N276" s="73"/>
      <c r="O276" s="68"/>
      <c r="P276" s="67" t="s">
        <v>69</v>
      </c>
      <c r="Q276" s="73"/>
      <c r="R276" s="73"/>
      <c r="S276" s="68"/>
      <c r="T276" s="67" t="s">
        <v>69</v>
      </c>
      <c r="U276" s="73"/>
      <c r="V276" s="73"/>
      <c r="W276" s="68"/>
      <c r="X276" s="67" t="s">
        <v>69</v>
      </c>
      <c r="Y276" s="73"/>
      <c r="Z276" s="73"/>
      <c r="AA276" s="68"/>
      <c r="AB276" s="67" t="s">
        <v>69</v>
      </c>
      <c r="AC276" s="73"/>
      <c r="AD276" s="73"/>
      <c r="AE276" s="68"/>
      <c r="AF276" s="67"/>
      <c r="AG276" s="73" t="s">
        <v>69</v>
      </c>
      <c r="AH276" s="73"/>
      <c r="AI276" s="68"/>
      <c r="AJ276" s="67"/>
      <c r="AK276" s="73" t="s">
        <v>69</v>
      </c>
      <c r="AL276" s="73"/>
      <c r="AM276" s="68"/>
      <c r="AN276" s="73" t="s">
        <v>69</v>
      </c>
      <c r="AO276" s="73"/>
      <c r="AP276" s="73"/>
      <c r="AQ276" s="68"/>
      <c r="AR276" s="67">
        <f t="shared" si="162"/>
        <v>92</v>
      </c>
      <c r="AS276" s="68" t="str">
        <f t="shared" si="163"/>
        <v>S</v>
      </c>
      <c r="AV276" s="49">
        <f t="shared" si="164"/>
        <v>0</v>
      </c>
      <c r="AW276" s="49">
        <f t="shared" si="165"/>
        <v>1</v>
      </c>
      <c r="AX276" s="49">
        <f t="shared" si="166"/>
        <v>0</v>
      </c>
      <c r="AY276" s="49">
        <f t="shared" si="167"/>
        <v>0</v>
      </c>
      <c r="AZ276" s="49">
        <f t="shared" si="168"/>
        <v>1</v>
      </c>
      <c r="BA276" s="49">
        <f t="shared" si="169"/>
        <v>0</v>
      </c>
      <c r="BB276" s="49">
        <f t="shared" si="170"/>
        <v>0</v>
      </c>
      <c r="BC276" s="49">
        <f t="shared" si="171"/>
        <v>0</v>
      </c>
      <c r="BD276" s="49">
        <f t="shared" si="172"/>
        <v>1</v>
      </c>
      <c r="BE276" s="49">
        <f t="shared" si="173"/>
        <v>0</v>
      </c>
      <c r="BF276" s="49">
        <f t="shared" si="174"/>
        <v>0</v>
      </c>
      <c r="BG276" s="49">
        <f t="shared" si="175"/>
        <v>0</v>
      </c>
      <c r="BH276" s="49">
        <f t="shared" si="176"/>
        <v>1</v>
      </c>
      <c r="BI276" s="49">
        <f t="shared" si="177"/>
        <v>0</v>
      </c>
      <c r="BJ276" s="49">
        <f t="shared" si="178"/>
        <v>0</v>
      </c>
      <c r="BK276" s="49">
        <f t="shared" si="179"/>
        <v>0</v>
      </c>
      <c r="BL276" s="49">
        <f t="shared" si="180"/>
        <v>1</v>
      </c>
      <c r="BM276" s="49">
        <f t="shared" si="181"/>
        <v>0</v>
      </c>
      <c r="BN276" s="49">
        <f t="shared" si="182"/>
        <v>0</v>
      </c>
      <c r="BO276" s="49">
        <f t="shared" si="183"/>
        <v>0</v>
      </c>
      <c r="BP276" s="49">
        <f t="shared" si="184"/>
        <v>1</v>
      </c>
      <c r="BQ276" s="49">
        <f t="shared" si="185"/>
        <v>0</v>
      </c>
      <c r="BR276" s="49">
        <f t="shared" si="186"/>
        <v>0</v>
      </c>
      <c r="BS276" s="49">
        <f t="shared" si="187"/>
        <v>0</v>
      </c>
      <c r="BT276" s="49">
        <f t="shared" si="188"/>
        <v>0</v>
      </c>
      <c r="BU276" s="49">
        <f t="shared" si="189"/>
        <v>1</v>
      </c>
      <c r="BV276" s="49">
        <f t="shared" si="190"/>
        <v>0</v>
      </c>
      <c r="BW276" s="49">
        <f t="shared" si="191"/>
        <v>0</v>
      </c>
      <c r="BX276" s="49">
        <f t="shared" si="192"/>
        <v>0</v>
      </c>
      <c r="BY276" s="49">
        <f t="shared" si="193"/>
        <v>1</v>
      </c>
      <c r="BZ276" s="49">
        <f t="shared" si="194"/>
        <v>0</v>
      </c>
      <c r="CA276" s="49">
        <f t="shared" si="195"/>
        <v>0</v>
      </c>
      <c r="CB276" s="49">
        <f t="shared" si="196"/>
        <v>1</v>
      </c>
      <c r="CC276" s="49">
        <f t="shared" si="197"/>
        <v>0</v>
      </c>
      <c r="CD276" s="49">
        <f t="shared" si="198"/>
        <v>0</v>
      </c>
      <c r="CE276" s="49">
        <f t="shared" si="199"/>
        <v>0</v>
      </c>
    </row>
    <row r="277" spans="1:83" ht="35.1" customHeight="1" x14ac:dyDescent="0.3">
      <c r="A277" s="123" t="str">
        <f t="shared" si="160"/>
        <v>2팀</v>
      </c>
      <c r="B277" s="69">
        <f t="shared" si="161"/>
        <v>271</v>
      </c>
      <c r="C277" s="120" t="str">
        <f>IF(VLOOKUP($B277,'1. 현장별 인원현황'!$C:$J,2,0)=0,"",VLOOKUP($B277,'1. 현장별 인원현황'!$C:$J,2,0))</f>
        <v xml:space="preserve"> [2.한화건설] 고잔연립9구역 재건축 전기,통신,소방공사</v>
      </c>
      <c r="D277" s="70" t="str">
        <f>IF(VLOOKUP($B277,'1. 현장별 인원현황'!$C:$J,3,0)=0,"",VLOOKUP($B277,'1. 현장별 인원현황'!$C:$J,3,0))</f>
        <v>최송춘</v>
      </c>
      <c r="E277" s="74" t="str">
        <f ca="1">IF(VLOOKUP($B277,'1. 현장별 인원현황'!$C:$J,4,0)=0,"",VLOOKUP($B277,'1. 현장별 인원현황'!$C:$J,4,0))</f>
        <v>48세</v>
      </c>
      <c r="F277" s="70" t="str">
        <f>IF(VLOOKUP($B277,'1. 현장별 인원현황'!$C:$J,7,0)=0,"",VLOOKUP($B277,'1. 현장별 인원현황'!$C:$J,7,0))</f>
        <v>공사</v>
      </c>
      <c r="G277" s="72" t="str">
        <f>IF(VLOOKUP($B277,'1. 현장별 인원현황'!$C:$J,8,0)=0,"",VLOOKUP($B277,'1. 현장별 인원현황'!$C:$J,8,0))</f>
        <v>과장</v>
      </c>
      <c r="H277" s="67" t="s">
        <v>69</v>
      </c>
      <c r="I277" s="73"/>
      <c r="J277" s="73"/>
      <c r="K277" s="68"/>
      <c r="L277" s="67" t="s">
        <v>69</v>
      </c>
      <c r="M277" s="73"/>
      <c r="N277" s="73"/>
      <c r="O277" s="68"/>
      <c r="P277" s="67" t="s">
        <v>69</v>
      </c>
      <c r="Q277" s="73"/>
      <c r="R277" s="73"/>
      <c r="S277" s="68"/>
      <c r="T277" s="67"/>
      <c r="U277" s="73" t="s">
        <v>69</v>
      </c>
      <c r="V277" s="73"/>
      <c r="W277" s="68"/>
      <c r="X277" s="67" t="s">
        <v>69</v>
      </c>
      <c r="Y277" s="73"/>
      <c r="Z277" s="73"/>
      <c r="AA277" s="68"/>
      <c r="AB277" s="67" t="s">
        <v>69</v>
      </c>
      <c r="AC277" s="73"/>
      <c r="AD277" s="73"/>
      <c r="AE277" s="68"/>
      <c r="AF277" s="67" t="s">
        <v>69</v>
      </c>
      <c r="AG277" s="73"/>
      <c r="AH277" s="73"/>
      <c r="AI277" s="68"/>
      <c r="AJ277" s="67"/>
      <c r="AK277" s="73" t="s">
        <v>69</v>
      </c>
      <c r="AL277" s="73"/>
      <c r="AM277" s="68"/>
      <c r="AN277" s="73" t="s">
        <v>69</v>
      </c>
      <c r="AO277" s="73"/>
      <c r="AP277" s="73"/>
      <c r="AQ277" s="68"/>
      <c r="AR277" s="67">
        <f t="shared" si="162"/>
        <v>95</v>
      </c>
      <c r="AS277" s="68" t="str">
        <f t="shared" si="163"/>
        <v>S</v>
      </c>
      <c r="AV277" s="49">
        <f t="shared" si="164"/>
        <v>1</v>
      </c>
      <c r="AW277" s="49">
        <f t="shared" si="165"/>
        <v>0</v>
      </c>
      <c r="AX277" s="49">
        <f t="shared" si="166"/>
        <v>0</v>
      </c>
      <c r="AY277" s="49">
        <f t="shared" si="167"/>
        <v>0</v>
      </c>
      <c r="AZ277" s="49">
        <f t="shared" si="168"/>
        <v>1</v>
      </c>
      <c r="BA277" s="49">
        <f t="shared" si="169"/>
        <v>0</v>
      </c>
      <c r="BB277" s="49">
        <f t="shared" si="170"/>
        <v>0</v>
      </c>
      <c r="BC277" s="49">
        <f t="shared" si="171"/>
        <v>0</v>
      </c>
      <c r="BD277" s="49">
        <f t="shared" si="172"/>
        <v>1</v>
      </c>
      <c r="BE277" s="49">
        <f t="shared" si="173"/>
        <v>0</v>
      </c>
      <c r="BF277" s="49">
        <f t="shared" si="174"/>
        <v>0</v>
      </c>
      <c r="BG277" s="49">
        <f t="shared" si="175"/>
        <v>0</v>
      </c>
      <c r="BH277" s="49">
        <f t="shared" si="176"/>
        <v>0</v>
      </c>
      <c r="BI277" s="49">
        <f t="shared" si="177"/>
        <v>1</v>
      </c>
      <c r="BJ277" s="49">
        <f t="shared" si="178"/>
        <v>0</v>
      </c>
      <c r="BK277" s="49">
        <f t="shared" si="179"/>
        <v>0</v>
      </c>
      <c r="BL277" s="49">
        <f t="shared" si="180"/>
        <v>1</v>
      </c>
      <c r="BM277" s="49">
        <f t="shared" si="181"/>
        <v>0</v>
      </c>
      <c r="BN277" s="49">
        <f t="shared" si="182"/>
        <v>0</v>
      </c>
      <c r="BO277" s="49">
        <f t="shared" si="183"/>
        <v>0</v>
      </c>
      <c r="BP277" s="49">
        <f t="shared" si="184"/>
        <v>1</v>
      </c>
      <c r="BQ277" s="49">
        <f t="shared" si="185"/>
        <v>0</v>
      </c>
      <c r="BR277" s="49">
        <f t="shared" si="186"/>
        <v>0</v>
      </c>
      <c r="BS277" s="49">
        <f t="shared" si="187"/>
        <v>0</v>
      </c>
      <c r="BT277" s="49">
        <f t="shared" si="188"/>
        <v>1</v>
      </c>
      <c r="BU277" s="49">
        <f t="shared" si="189"/>
        <v>0</v>
      </c>
      <c r="BV277" s="49">
        <f t="shared" si="190"/>
        <v>0</v>
      </c>
      <c r="BW277" s="49">
        <f t="shared" si="191"/>
        <v>0</v>
      </c>
      <c r="BX277" s="49">
        <f t="shared" si="192"/>
        <v>0</v>
      </c>
      <c r="BY277" s="49">
        <f t="shared" si="193"/>
        <v>1</v>
      </c>
      <c r="BZ277" s="49">
        <f t="shared" si="194"/>
        <v>0</v>
      </c>
      <c r="CA277" s="49">
        <f t="shared" si="195"/>
        <v>0</v>
      </c>
      <c r="CB277" s="49">
        <f t="shared" si="196"/>
        <v>1</v>
      </c>
      <c r="CC277" s="49">
        <f t="shared" si="197"/>
        <v>0</v>
      </c>
      <c r="CD277" s="49">
        <f t="shared" si="198"/>
        <v>0</v>
      </c>
      <c r="CE277" s="49">
        <f t="shared" si="199"/>
        <v>0</v>
      </c>
    </row>
    <row r="278" spans="1:83" ht="35.1" customHeight="1" x14ac:dyDescent="0.3">
      <c r="A278" s="123" t="str">
        <f t="shared" si="160"/>
        <v>2팀</v>
      </c>
      <c r="B278" s="69">
        <f t="shared" si="161"/>
        <v>272</v>
      </c>
      <c r="C278" s="120" t="str">
        <f>IF(VLOOKUP($B278,'1. 현장별 인원현황'!$C:$J,2,0)=0,"",VLOOKUP($B278,'1. 현장별 인원현황'!$C:$J,2,0))</f>
        <v xml:space="preserve"> [2.한화건설] 고잔연립9구역 재건축 전기,통신,소방공사</v>
      </c>
      <c r="D278" s="70" t="str">
        <f>IF(VLOOKUP($B278,'1. 현장별 인원현황'!$C:$J,3,0)=0,"",VLOOKUP($B278,'1. 현장별 인원현황'!$C:$J,3,0))</f>
        <v>이현주</v>
      </c>
      <c r="E278" s="74" t="str">
        <f ca="1">IF(VLOOKUP($B278,'1. 현장별 인원현황'!$C:$J,4,0)=0,"",VLOOKUP($B278,'1. 현장별 인원현황'!$C:$J,4,0))</f>
        <v>55세</v>
      </c>
      <c r="F278" s="70" t="str">
        <f>IF(VLOOKUP($B278,'1. 현장별 인원현황'!$C:$J,7,0)=0,"",VLOOKUP($B278,'1. 현장별 인원현황'!$C:$J,7,0))</f>
        <v>기능공</v>
      </c>
      <c r="G278" s="72" t="str">
        <f>IF(VLOOKUP($B278,'1. 현장별 인원현황'!$C:$J,8,0)=0,"",VLOOKUP($B278,'1. 현장별 인원현황'!$C:$J,8,0))</f>
        <v>전공</v>
      </c>
      <c r="H278" s="67"/>
      <c r="I278" s="73" t="s">
        <v>69</v>
      </c>
      <c r="J278" s="73"/>
      <c r="K278" s="68"/>
      <c r="L278" s="67"/>
      <c r="M278" s="73" t="s">
        <v>69</v>
      </c>
      <c r="N278" s="73"/>
      <c r="O278" s="68"/>
      <c r="P278" s="67"/>
      <c r="Q278" s="73" t="s">
        <v>69</v>
      </c>
      <c r="R278" s="73"/>
      <c r="S278" s="68"/>
      <c r="T278" s="67"/>
      <c r="U278" s="73" t="s">
        <v>69</v>
      </c>
      <c r="V278" s="73"/>
      <c r="W278" s="68"/>
      <c r="X278" s="67" t="s">
        <v>69</v>
      </c>
      <c r="Y278" s="73"/>
      <c r="Z278" s="73"/>
      <c r="AA278" s="68"/>
      <c r="AB278" s="67" t="s">
        <v>69</v>
      </c>
      <c r="AC278" s="73"/>
      <c r="AD278" s="73"/>
      <c r="AE278" s="68"/>
      <c r="AF278" s="67"/>
      <c r="AG278" s="73" t="s">
        <v>69</v>
      </c>
      <c r="AH278" s="73"/>
      <c r="AI278" s="68"/>
      <c r="AJ278" s="67"/>
      <c r="AK278" s="73" t="s">
        <v>69</v>
      </c>
      <c r="AL278" s="73"/>
      <c r="AM278" s="68"/>
      <c r="AN278" s="73" t="s">
        <v>69</v>
      </c>
      <c r="AO278" s="73"/>
      <c r="AP278" s="73"/>
      <c r="AQ278" s="68"/>
      <c r="AR278" s="67">
        <f t="shared" si="162"/>
        <v>84</v>
      </c>
      <c r="AS278" s="68" t="str">
        <f t="shared" si="163"/>
        <v>A</v>
      </c>
      <c r="AV278" s="49">
        <f t="shared" si="164"/>
        <v>0</v>
      </c>
      <c r="AW278" s="49">
        <f t="shared" si="165"/>
        <v>1</v>
      </c>
      <c r="AX278" s="49">
        <f t="shared" si="166"/>
        <v>0</v>
      </c>
      <c r="AY278" s="49">
        <f t="shared" si="167"/>
        <v>0</v>
      </c>
      <c r="AZ278" s="49">
        <f t="shared" si="168"/>
        <v>0</v>
      </c>
      <c r="BA278" s="49">
        <f t="shared" si="169"/>
        <v>1</v>
      </c>
      <c r="BB278" s="49">
        <f t="shared" si="170"/>
        <v>0</v>
      </c>
      <c r="BC278" s="49">
        <f t="shared" si="171"/>
        <v>0</v>
      </c>
      <c r="BD278" s="49">
        <f t="shared" si="172"/>
        <v>0</v>
      </c>
      <c r="BE278" s="49">
        <f t="shared" si="173"/>
        <v>1</v>
      </c>
      <c r="BF278" s="49">
        <f t="shared" si="174"/>
        <v>0</v>
      </c>
      <c r="BG278" s="49">
        <f t="shared" si="175"/>
        <v>0</v>
      </c>
      <c r="BH278" s="49">
        <f t="shared" si="176"/>
        <v>0</v>
      </c>
      <c r="BI278" s="49">
        <f t="shared" si="177"/>
        <v>1</v>
      </c>
      <c r="BJ278" s="49">
        <f t="shared" si="178"/>
        <v>0</v>
      </c>
      <c r="BK278" s="49">
        <f t="shared" si="179"/>
        <v>0</v>
      </c>
      <c r="BL278" s="49">
        <f t="shared" si="180"/>
        <v>1</v>
      </c>
      <c r="BM278" s="49">
        <f t="shared" si="181"/>
        <v>0</v>
      </c>
      <c r="BN278" s="49">
        <f t="shared" si="182"/>
        <v>0</v>
      </c>
      <c r="BO278" s="49">
        <f t="shared" si="183"/>
        <v>0</v>
      </c>
      <c r="BP278" s="49">
        <f t="shared" si="184"/>
        <v>1</v>
      </c>
      <c r="BQ278" s="49">
        <f t="shared" si="185"/>
        <v>0</v>
      </c>
      <c r="BR278" s="49">
        <f t="shared" si="186"/>
        <v>0</v>
      </c>
      <c r="BS278" s="49">
        <f t="shared" si="187"/>
        <v>0</v>
      </c>
      <c r="BT278" s="49">
        <f t="shared" si="188"/>
        <v>0</v>
      </c>
      <c r="BU278" s="49">
        <f t="shared" si="189"/>
        <v>1</v>
      </c>
      <c r="BV278" s="49">
        <f t="shared" si="190"/>
        <v>0</v>
      </c>
      <c r="BW278" s="49">
        <f t="shared" si="191"/>
        <v>0</v>
      </c>
      <c r="BX278" s="49">
        <f t="shared" si="192"/>
        <v>0</v>
      </c>
      <c r="BY278" s="49">
        <f t="shared" si="193"/>
        <v>1</v>
      </c>
      <c r="BZ278" s="49">
        <f t="shared" si="194"/>
        <v>0</v>
      </c>
      <c r="CA278" s="49">
        <f t="shared" si="195"/>
        <v>0</v>
      </c>
      <c r="CB278" s="49">
        <f t="shared" si="196"/>
        <v>1</v>
      </c>
      <c r="CC278" s="49">
        <f t="shared" si="197"/>
        <v>0</v>
      </c>
      <c r="CD278" s="49">
        <f t="shared" si="198"/>
        <v>0</v>
      </c>
      <c r="CE278" s="49">
        <f t="shared" si="199"/>
        <v>0</v>
      </c>
    </row>
    <row r="279" spans="1:83" ht="35.1" customHeight="1" x14ac:dyDescent="0.3">
      <c r="A279" s="123" t="str">
        <f t="shared" si="160"/>
        <v>2팀</v>
      </c>
      <c r="B279" s="69">
        <f t="shared" si="161"/>
        <v>273</v>
      </c>
      <c r="C279" s="120" t="str">
        <f>IF(VLOOKUP($B279,'1. 현장별 인원현황'!$C:$J,2,0)=0,"",VLOOKUP($B279,'1. 현장별 인원현황'!$C:$J,2,0))</f>
        <v xml:space="preserve"> [2.한화건설] 고잔연립9구역 재건축 전기,통신,소방공사</v>
      </c>
      <c r="D279" s="70" t="str">
        <f>IF(VLOOKUP($B279,'1. 현장별 인원현황'!$C:$J,3,0)=0,"",VLOOKUP($B279,'1. 현장별 인원현황'!$C:$J,3,0))</f>
        <v>허남우</v>
      </c>
      <c r="E279" s="74" t="str">
        <f ca="1">IF(VLOOKUP($B279,'1. 현장별 인원현황'!$C:$J,4,0)=0,"",VLOOKUP($B279,'1. 현장별 인원현황'!$C:$J,4,0))</f>
        <v>46세</v>
      </c>
      <c r="F279" s="70" t="str">
        <f>IF(VLOOKUP($B279,'1. 현장별 인원현황'!$C:$J,7,0)=0,"",VLOOKUP($B279,'1. 현장별 인원현황'!$C:$J,7,0))</f>
        <v>기능공</v>
      </c>
      <c r="G279" s="72" t="str">
        <f>IF(VLOOKUP($B279,'1. 현장별 인원현황'!$C:$J,8,0)=0,"",VLOOKUP($B279,'1. 현장별 인원현황'!$C:$J,8,0))</f>
        <v>전공</v>
      </c>
      <c r="H279" s="67"/>
      <c r="I279" s="73" t="s">
        <v>69</v>
      </c>
      <c r="J279" s="73"/>
      <c r="K279" s="68"/>
      <c r="L279" s="67"/>
      <c r="M279" s="73" t="s">
        <v>69</v>
      </c>
      <c r="N279" s="73"/>
      <c r="O279" s="68"/>
      <c r="P279" s="67"/>
      <c r="Q279" s="73" t="s">
        <v>69</v>
      </c>
      <c r="R279" s="73"/>
      <c r="S279" s="68"/>
      <c r="T279" s="67"/>
      <c r="U279" s="73"/>
      <c r="V279" s="73" t="s">
        <v>69</v>
      </c>
      <c r="W279" s="68"/>
      <c r="X279" s="67"/>
      <c r="Y279" s="73" t="s">
        <v>69</v>
      </c>
      <c r="Z279" s="73"/>
      <c r="AA279" s="68"/>
      <c r="AB279" s="67" t="s">
        <v>69</v>
      </c>
      <c r="AC279" s="73"/>
      <c r="AD279" s="73"/>
      <c r="AE279" s="68"/>
      <c r="AF279" s="67"/>
      <c r="AG279" s="73" t="s">
        <v>69</v>
      </c>
      <c r="AH279" s="73"/>
      <c r="AI279" s="68"/>
      <c r="AJ279" s="67"/>
      <c r="AK279" s="73" t="s">
        <v>69</v>
      </c>
      <c r="AL279" s="73"/>
      <c r="AM279" s="68"/>
      <c r="AN279" s="73" t="s">
        <v>69</v>
      </c>
      <c r="AO279" s="73"/>
      <c r="AP279" s="73"/>
      <c r="AQ279" s="68"/>
      <c r="AR279" s="67">
        <f t="shared" si="162"/>
        <v>80</v>
      </c>
      <c r="AS279" s="68" t="str">
        <f t="shared" si="163"/>
        <v>A</v>
      </c>
      <c r="AV279" s="49">
        <f t="shared" si="164"/>
        <v>0</v>
      </c>
      <c r="AW279" s="49">
        <f t="shared" si="165"/>
        <v>1</v>
      </c>
      <c r="AX279" s="49">
        <f t="shared" si="166"/>
        <v>0</v>
      </c>
      <c r="AY279" s="49">
        <f t="shared" si="167"/>
        <v>0</v>
      </c>
      <c r="AZ279" s="49">
        <f t="shared" si="168"/>
        <v>0</v>
      </c>
      <c r="BA279" s="49">
        <f t="shared" si="169"/>
        <v>1</v>
      </c>
      <c r="BB279" s="49">
        <f t="shared" si="170"/>
        <v>0</v>
      </c>
      <c r="BC279" s="49">
        <f t="shared" si="171"/>
        <v>0</v>
      </c>
      <c r="BD279" s="49">
        <f t="shared" si="172"/>
        <v>0</v>
      </c>
      <c r="BE279" s="49">
        <f t="shared" si="173"/>
        <v>1</v>
      </c>
      <c r="BF279" s="49">
        <f t="shared" si="174"/>
        <v>0</v>
      </c>
      <c r="BG279" s="49">
        <f t="shared" si="175"/>
        <v>0</v>
      </c>
      <c r="BH279" s="49">
        <f t="shared" si="176"/>
        <v>0</v>
      </c>
      <c r="BI279" s="49">
        <f t="shared" si="177"/>
        <v>0</v>
      </c>
      <c r="BJ279" s="49">
        <f t="shared" si="178"/>
        <v>1</v>
      </c>
      <c r="BK279" s="49">
        <f t="shared" si="179"/>
        <v>0</v>
      </c>
      <c r="BL279" s="49">
        <f t="shared" si="180"/>
        <v>0</v>
      </c>
      <c r="BM279" s="49">
        <f t="shared" si="181"/>
        <v>1</v>
      </c>
      <c r="BN279" s="49">
        <f t="shared" si="182"/>
        <v>0</v>
      </c>
      <c r="BO279" s="49">
        <f t="shared" si="183"/>
        <v>0</v>
      </c>
      <c r="BP279" s="49">
        <f t="shared" si="184"/>
        <v>1</v>
      </c>
      <c r="BQ279" s="49">
        <f t="shared" si="185"/>
        <v>0</v>
      </c>
      <c r="BR279" s="49">
        <f t="shared" si="186"/>
        <v>0</v>
      </c>
      <c r="BS279" s="49">
        <f t="shared" si="187"/>
        <v>0</v>
      </c>
      <c r="BT279" s="49">
        <f t="shared" si="188"/>
        <v>0</v>
      </c>
      <c r="BU279" s="49">
        <f t="shared" si="189"/>
        <v>1</v>
      </c>
      <c r="BV279" s="49">
        <f t="shared" si="190"/>
        <v>0</v>
      </c>
      <c r="BW279" s="49">
        <f t="shared" si="191"/>
        <v>0</v>
      </c>
      <c r="BX279" s="49">
        <f t="shared" si="192"/>
        <v>0</v>
      </c>
      <c r="BY279" s="49">
        <f t="shared" si="193"/>
        <v>1</v>
      </c>
      <c r="BZ279" s="49">
        <f t="shared" si="194"/>
        <v>0</v>
      </c>
      <c r="CA279" s="49">
        <f t="shared" si="195"/>
        <v>0</v>
      </c>
      <c r="CB279" s="49">
        <f t="shared" si="196"/>
        <v>1</v>
      </c>
      <c r="CC279" s="49">
        <f t="shared" si="197"/>
        <v>0</v>
      </c>
      <c r="CD279" s="49">
        <f t="shared" si="198"/>
        <v>0</v>
      </c>
      <c r="CE279" s="49">
        <f t="shared" si="199"/>
        <v>0</v>
      </c>
    </row>
    <row r="280" spans="1:83" ht="35.1" customHeight="1" x14ac:dyDescent="0.3">
      <c r="A280" s="123" t="str">
        <f t="shared" si="160"/>
        <v>2팀</v>
      </c>
      <c r="B280" s="69">
        <f t="shared" si="161"/>
        <v>274</v>
      </c>
      <c r="C280" s="120" t="str">
        <f>IF(VLOOKUP($B280,'1. 현장별 인원현황'!$C:$J,2,0)=0,"",VLOOKUP($B280,'1. 현장별 인원현황'!$C:$J,2,0))</f>
        <v xml:space="preserve"> [2.한화건설] 고잔연립9구역 재건축 전기,통신,소방공사</v>
      </c>
      <c r="D280" s="70" t="str">
        <f>IF(VLOOKUP($B280,'1. 현장별 인원현황'!$C:$J,3,0)=0,"",VLOOKUP($B280,'1. 현장별 인원현황'!$C:$J,3,0))</f>
        <v>최종인</v>
      </c>
      <c r="E280" s="74" t="str">
        <f ca="1">IF(VLOOKUP($B280,'1. 현장별 인원현황'!$C:$J,4,0)=0,"",VLOOKUP($B280,'1. 현장별 인원현황'!$C:$J,4,0))</f>
        <v>69세</v>
      </c>
      <c r="F280" s="70" t="str">
        <f>IF(VLOOKUP($B280,'1. 현장별 인원현황'!$C:$J,7,0)=0,"",VLOOKUP($B280,'1. 현장별 인원현황'!$C:$J,7,0))</f>
        <v>기능공</v>
      </c>
      <c r="G280" s="72" t="str">
        <f>IF(VLOOKUP($B280,'1. 현장별 인원현황'!$C:$J,8,0)=0,"",VLOOKUP($B280,'1. 현장별 인원현황'!$C:$J,8,0))</f>
        <v>전공</v>
      </c>
      <c r="H280" s="67"/>
      <c r="I280" s="73" t="s">
        <v>69</v>
      </c>
      <c r="J280" s="73"/>
      <c r="K280" s="68"/>
      <c r="L280" s="67"/>
      <c r="M280" s="73" t="s">
        <v>69</v>
      </c>
      <c r="N280" s="73"/>
      <c r="O280" s="68"/>
      <c r="P280" s="67" t="s">
        <v>69</v>
      </c>
      <c r="Q280" s="73"/>
      <c r="R280" s="73"/>
      <c r="S280" s="68"/>
      <c r="T280" s="67" t="s">
        <v>69</v>
      </c>
      <c r="U280" s="73"/>
      <c r="V280" s="73"/>
      <c r="W280" s="68"/>
      <c r="X280" s="67" t="s">
        <v>69</v>
      </c>
      <c r="Y280" s="73"/>
      <c r="Z280" s="73"/>
      <c r="AA280" s="68"/>
      <c r="AB280" s="67" t="s">
        <v>69</v>
      </c>
      <c r="AC280" s="73"/>
      <c r="AD280" s="73"/>
      <c r="AE280" s="68"/>
      <c r="AF280" s="67" t="s">
        <v>69</v>
      </c>
      <c r="AG280" s="73"/>
      <c r="AH280" s="73"/>
      <c r="AI280" s="68"/>
      <c r="AJ280" s="67"/>
      <c r="AK280" s="73" t="s">
        <v>69</v>
      </c>
      <c r="AL280" s="73"/>
      <c r="AM280" s="68"/>
      <c r="AN280" s="73" t="s">
        <v>69</v>
      </c>
      <c r="AO280" s="73"/>
      <c r="AP280" s="73"/>
      <c r="AQ280" s="68"/>
      <c r="AR280" s="67">
        <f t="shared" si="162"/>
        <v>91</v>
      </c>
      <c r="AS280" s="68" t="str">
        <f t="shared" si="163"/>
        <v>S</v>
      </c>
      <c r="AV280" s="49">
        <f t="shared" si="164"/>
        <v>0</v>
      </c>
      <c r="AW280" s="49">
        <f t="shared" si="165"/>
        <v>1</v>
      </c>
      <c r="AX280" s="49">
        <f t="shared" si="166"/>
        <v>0</v>
      </c>
      <c r="AY280" s="49">
        <f t="shared" si="167"/>
        <v>0</v>
      </c>
      <c r="AZ280" s="49">
        <f t="shared" si="168"/>
        <v>0</v>
      </c>
      <c r="BA280" s="49">
        <f t="shared" si="169"/>
        <v>1</v>
      </c>
      <c r="BB280" s="49">
        <f t="shared" si="170"/>
        <v>0</v>
      </c>
      <c r="BC280" s="49">
        <f t="shared" si="171"/>
        <v>0</v>
      </c>
      <c r="BD280" s="49">
        <f t="shared" si="172"/>
        <v>1</v>
      </c>
      <c r="BE280" s="49">
        <f t="shared" si="173"/>
        <v>0</v>
      </c>
      <c r="BF280" s="49">
        <f t="shared" si="174"/>
        <v>0</v>
      </c>
      <c r="BG280" s="49">
        <f t="shared" si="175"/>
        <v>0</v>
      </c>
      <c r="BH280" s="49">
        <f t="shared" si="176"/>
        <v>1</v>
      </c>
      <c r="BI280" s="49">
        <f t="shared" si="177"/>
        <v>0</v>
      </c>
      <c r="BJ280" s="49">
        <f t="shared" si="178"/>
        <v>0</v>
      </c>
      <c r="BK280" s="49">
        <f t="shared" si="179"/>
        <v>0</v>
      </c>
      <c r="BL280" s="49">
        <f t="shared" si="180"/>
        <v>1</v>
      </c>
      <c r="BM280" s="49">
        <f t="shared" si="181"/>
        <v>0</v>
      </c>
      <c r="BN280" s="49">
        <f t="shared" si="182"/>
        <v>0</v>
      </c>
      <c r="BO280" s="49">
        <f t="shared" si="183"/>
        <v>0</v>
      </c>
      <c r="BP280" s="49">
        <f t="shared" si="184"/>
        <v>1</v>
      </c>
      <c r="BQ280" s="49">
        <f t="shared" si="185"/>
        <v>0</v>
      </c>
      <c r="BR280" s="49">
        <f t="shared" si="186"/>
        <v>0</v>
      </c>
      <c r="BS280" s="49">
        <f t="shared" si="187"/>
        <v>0</v>
      </c>
      <c r="BT280" s="49">
        <f t="shared" si="188"/>
        <v>1</v>
      </c>
      <c r="BU280" s="49">
        <f t="shared" si="189"/>
        <v>0</v>
      </c>
      <c r="BV280" s="49">
        <f t="shared" si="190"/>
        <v>0</v>
      </c>
      <c r="BW280" s="49">
        <f t="shared" si="191"/>
        <v>0</v>
      </c>
      <c r="BX280" s="49">
        <f t="shared" si="192"/>
        <v>0</v>
      </c>
      <c r="BY280" s="49">
        <f t="shared" si="193"/>
        <v>1</v>
      </c>
      <c r="BZ280" s="49">
        <f t="shared" si="194"/>
        <v>0</v>
      </c>
      <c r="CA280" s="49">
        <f t="shared" si="195"/>
        <v>0</v>
      </c>
      <c r="CB280" s="49">
        <f t="shared" si="196"/>
        <v>1</v>
      </c>
      <c r="CC280" s="49">
        <f t="shared" si="197"/>
        <v>0</v>
      </c>
      <c r="CD280" s="49">
        <f t="shared" si="198"/>
        <v>0</v>
      </c>
      <c r="CE280" s="49">
        <f t="shared" si="199"/>
        <v>0</v>
      </c>
    </row>
    <row r="281" spans="1:83" ht="35.1" customHeight="1" x14ac:dyDescent="0.3">
      <c r="A281" s="123" t="str">
        <f t="shared" si="160"/>
        <v>2팀</v>
      </c>
      <c r="B281" s="69">
        <f t="shared" si="161"/>
        <v>275</v>
      </c>
      <c r="C281" s="120" t="str">
        <f>IF(VLOOKUP($B281,'1. 현장별 인원현황'!$C:$J,2,0)=0,"",VLOOKUP($B281,'1. 현장별 인원현황'!$C:$J,2,0))</f>
        <v xml:space="preserve"> [2.한화건설] 고잔연립9구역 재건축 전기,통신,소방공사</v>
      </c>
      <c r="D281" s="70" t="str">
        <f>IF(VLOOKUP($B281,'1. 현장별 인원현황'!$C:$J,3,0)=0,"",VLOOKUP($B281,'1. 현장별 인원현황'!$C:$J,3,0))</f>
        <v>이명덕</v>
      </c>
      <c r="E281" s="74" t="str">
        <f ca="1">IF(VLOOKUP($B281,'1. 현장별 인원현황'!$C:$J,4,0)=0,"",VLOOKUP($B281,'1. 현장별 인원현황'!$C:$J,4,0))</f>
        <v>39세</v>
      </c>
      <c r="F281" s="70" t="str">
        <f>IF(VLOOKUP($B281,'1. 현장별 인원현황'!$C:$J,7,0)=0,"",VLOOKUP($B281,'1. 현장별 인원현황'!$C:$J,7,0))</f>
        <v>기능공</v>
      </c>
      <c r="G281" s="72" t="str">
        <f>IF(VLOOKUP($B281,'1. 현장별 인원현황'!$C:$J,8,0)=0,"",VLOOKUP($B281,'1. 현장별 인원현황'!$C:$J,8,0))</f>
        <v>전공</v>
      </c>
      <c r="H281" s="67"/>
      <c r="I281" s="73" t="s">
        <v>69</v>
      </c>
      <c r="J281" s="73"/>
      <c r="K281" s="68"/>
      <c r="L281" s="67"/>
      <c r="M281" s="73" t="s">
        <v>69</v>
      </c>
      <c r="N281" s="73"/>
      <c r="O281" s="68"/>
      <c r="P281" s="67"/>
      <c r="Q281" s="73" t="s">
        <v>69</v>
      </c>
      <c r="R281" s="73"/>
      <c r="S281" s="68"/>
      <c r="T281" s="67"/>
      <c r="U281" s="73" t="s">
        <v>69</v>
      </c>
      <c r="V281" s="73"/>
      <c r="W281" s="68"/>
      <c r="X281" s="67"/>
      <c r="Y281" s="73" t="s">
        <v>69</v>
      </c>
      <c r="Z281" s="73"/>
      <c r="AA281" s="68"/>
      <c r="AB281" s="67" t="s">
        <v>69</v>
      </c>
      <c r="AC281" s="73"/>
      <c r="AD281" s="73"/>
      <c r="AE281" s="68"/>
      <c r="AF281" s="67" t="s">
        <v>69</v>
      </c>
      <c r="AG281" s="73"/>
      <c r="AH281" s="73"/>
      <c r="AI281" s="68"/>
      <c r="AJ281" s="67"/>
      <c r="AK281" s="73" t="s">
        <v>69</v>
      </c>
      <c r="AL281" s="73"/>
      <c r="AM281" s="68"/>
      <c r="AN281" s="73"/>
      <c r="AO281" s="73" t="s">
        <v>69</v>
      </c>
      <c r="AP281" s="73"/>
      <c r="AQ281" s="68"/>
      <c r="AR281" s="67">
        <f t="shared" si="162"/>
        <v>81</v>
      </c>
      <c r="AS281" s="68" t="str">
        <f t="shared" si="163"/>
        <v>A</v>
      </c>
      <c r="AV281" s="49">
        <f t="shared" si="164"/>
        <v>0</v>
      </c>
      <c r="AW281" s="49">
        <f t="shared" si="165"/>
        <v>1</v>
      </c>
      <c r="AX281" s="49">
        <f t="shared" si="166"/>
        <v>0</v>
      </c>
      <c r="AY281" s="49">
        <f t="shared" si="167"/>
        <v>0</v>
      </c>
      <c r="AZ281" s="49">
        <f t="shared" si="168"/>
        <v>0</v>
      </c>
      <c r="BA281" s="49">
        <f t="shared" si="169"/>
        <v>1</v>
      </c>
      <c r="BB281" s="49">
        <f t="shared" si="170"/>
        <v>0</v>
      </c>
      <c r="BC281" s="49">
        <f t="shared" si="171"/>
        <v>0</v>
      </c>
      <c r="BD281" s="49">
        <f t="shared" si="172"/>
        <v>0</v>
      </c>
      <c r="BE281" s="49">
        <f t="shared" si="173"/>
        <v>1</v>
      </c>
      <c r="BF281" s="49">
        <f t="shared" si="174"/>
        <v>0</v>
      </c>
      <c r="BG281" s="49">
        <f t="shared" si="175"/>
        <v>0</v>
      </c>
      <c r="BH281" s="49">
        <f t="shared" si="176"/>
        <v>0</v>
      </c>
      <c r="BI281" s="49">
        <f t="shared" si="177"/>
        <v>1</v>
      </c>
      <c r="BJ281" s="49">
        <f t="shared" si="178"/>
        <v>0</v>
      </c>
      <c r="BK281" s="49">
        <f t="shared" si="179"/>
        <v>0</v>
      </c>
      <c r="BL281" s="49">
        <f t="shared" si="180"/>
        <v>0</v>
      </c>
      <c r="BM281" s="49">
        <f t="shared" si="181"/>
        <v>1</v>
      </c>
      <c r="BN281" s="49">
        <f t="shared" si="182"/>
        <v>0</v>
      </c>
      <c r="BO281" s="49">
        <f t="shared" si="183"/>
        <v>0</v>
      </c>
      <c r="BP281" s="49">
        <f t="shared" si="184"/>
        <v>1</v>
      </c>
      <c r="BQ281" s="49">
        <f t="shared" si="185"/>
        <v>0</v>
      </c>
      <c r="BR281" s="49">
        <f t="shared" si="186"/>
        <v>0</v>
      </c>
      <c r="BS281" s="49">
        <f t="shared" si="187"/>
        <v>0</v>
      </c>
      <c r="BT281" s="49">
        <f t="shared" si="188"/>
        <v>1</v>
      </c>
      <c r="BU281" s="49">
        <f t="shared" si="189"/>
        <v>0</v>
      </c>
      <c r="BV281" s="49">
        <f t="shared" si="190"/>
        <v>0</v>
      </c>
      <c r="BW281" s="49">
        <f t="shared" si="191"/>
        <v>0</v>
      </c>
      <c r="BX281" s="49">
        <f t="shared" si="192"/>
        <v>0</v>
      </c>
      <c r="BY281" s="49">
        <f t="shared" si="193"/>
        <v>1</v>
      </c>
      <c r="BZ281" s="49">
        <f t="shared" si="194"/>
        <v>0</v>
      </c>
      <c r="CA281" s="49">
        <f t="shared" si="195"/>
        <v>0</v>
      </c>
      <c r="CB281" s="49">
        <f t="shared" si="196"/>
        <v>0</v>
      </c>
      <c r="CC281" s="49">
        <f t="shared" si="197"/>
        <v>1</v>
      </c>
      <c r="CD281" s="49">
        <f t="shared" si="198"/>
        <v>0</v>
      </c>
      <c r="CE281" s="49">
        <f t="shared" si="199"/>
        <v>0</v>
      </c>
    </row>
    <row r="282" spans="1:83" ht="35.1" customHeight="1" x14ac:dyDescent="0.3">
      <c r="A282" s="123" t="str">
        <f t="shared" si="160"/>
        <v>2팀</v>
      </c>
      <c r="B282" s="69">
        <f t="shared" si="161"/>
        <v>276</v>
      </c>
      <c r="C282" s="120" t="str">
        <f>IF(VLOOKUP($B282,'1. 현장별 인원현황'!$C:$J,2,0)=0,"",VLOOKUP($B282,'1. 현장별 인원현황'!$C:$J,2,0))</f>
        <v xml:space="preserve"> [2.한화건설] 고잔연립9구역 재건축 전기,통신,소방공사</v>
      </c>
      <c r="D282" s="70" t="str">
        <f>IF(VLOOKUP($B282,'1. 현장별 인원현황'!$C:$J,3,0)=0,"",VLOOKUP($B282,'1. 현장별 인원현황'!$C:$J,3,0))</f>
        <v>설명석</v>
      </c>
      <c r="E282" s="74" t="str">
        <f ca="1">IF(VLOOKUP($B282,'1. 현장별 인원현황'!$C:$J,4,0)=0,"",VLOOKUP($B282,'1. 현장별 인원현황'!$C:$J,4,0))</f>
        <v>30세</v>
      </c>
      <c r="F282" s="70" t="str">
        <f>IF(VLOOKUP($B282,'1. 현장별 인원현황'!$C:$J,7,0)=0,"",VLOOKUP($B282,'1. 현장별 인원현황'!$C:$J,7,0))</f>
        <v>기능공</v>
      </c>
      <c r="G282" s="72" t="str">
        <f>IF(VLOOKUP($B282,'1. 현장별 인원현황'!$C:$J,8,0)=0,"",VLOOKUP($B282,'1. 현장별 인원현황'!$C:$J,8,0))</f>
        <v>전공</v>
      </c>
      <c r="H282" s="67"/>
      <c r="I282" s="73"/>
      <c r="J282" s="73" t="s">
        <v>69</v>
      </c>
      <c r="K282" s="68"/>
      <c r="L282" s="67"/>
      <c r="M282" s="73" t="s">
        <v>69</v>
      </c>
      <c r="N282" s="73"/>
      <c r="O282" s="68"/>
      <c r="P282" s="67"/>
      <c r="Q282" s="73" t="s">
        <v>69</v>
      </c>
      <c r="R282" s="73"/>
      <c r="S282" s="68"/>
      <c r="T282" s="67"/>
      <c r="U282" s="73"/>
      <c r="V282" s="73" t="s">
        <v>69</v>
      </c>
      <c r="W282" s="68"/>
      <c r="X282" s="67"/>
      <c r="Y282" s="73" t="s">
        <v>69</v>
      </c>
      <c r="Z282" s="73"/>
      <c r="AA282" s="68"/>
      <c r="AB282" s="67"/>
      <c r="AC282" s="73" t="s">
        <v>69</v>
      </c>
      <c r="AD282" s="73"/>
      <c r="AE282" s="68"/>
      <c r="AF282" s="67"/>
      <c r="AG282" s="73" t="s">
        <v>69</v>
      </c>
      <c r="AH282" s="73"/>
      <c r="AI282" s="68"/>
      <c r="AJ282" s="67"/>
      <c r="AK282" s="73" t="s">
        <v>69</v>
      </c>
      <c r="AL282" s="73"/>
      <c r="AM282" s="68"/>
      <c r="AN282" s="73" t="s">
        <v>69</v>
      </c>
      <c r="AO282" s="73"/>
      <c r="AP282" s="73"/>
      <c r="AQ282" s="68"/>
      <c r="AR282" s="67">
        <f t="shared" si="162"/>
        <v>75</v>
      </c>
      <c r="AS282" s="68" t="str">
        <f t="shared" si="163"/>
        <v>A</v>
      </c>
      <c r="AV282" s="49">
        <f t="shared" si="164"/>
        <v>0</v>
      </c>
      <c r="AW282" s="49">
        <f t="shared" si="165"/>
        <v>0</v>
      </c>
      <c r="AX282" s="49">
        <f t="shared" si="166"/>
        <v>1</v>
      </c>
      <c r="AY282" s="49">
        <f t="shared" si="167"/>
        <v>0</v>
      </c>
      <c r="AZ282" s="49">
        <f t="shared" si="168"/>
        <v>0</v>
      </c>
      <c r="BA282" s="49">
        <f t="shared" si="169"/>
        <v>1</v>
      </c>
      <c r="BB282" s="49">
        <f t="shared" si="170"/>
        <v>0</v>
      </c>
      <c r="BC282" s="49">
        <f t="shared" si="171"/>
        <v>0</v>
      </c>
      <c r="BD282" s="49">
        <f t="shared" si="172"/>
        <v>0</v>
      </c>
      <c r="BE282" s="49">
        <f t="shared" si="173"/>
        <v>1</v>
      </c>
      <c r="BF282" s="49">
        <f t="shared" si="174"/>
        <v>0</v>
      </c>
      <c r="BG282" s="49">
        <f t="shared" si="175"/>
        <v>0</v>
      </c>
      <c r="BH282" s="49">
        <f t="shared" si="176"/>
        <v>0</v>
      </c>
      <c r="BI282" s="49">
        <f t="shared" si="177"/>
        <v>0</v>
      </c>
      <c r="BJ282" s="49">
        <f t="shared" si="178"/>
        <v>1</v>
      </c>
      <c r="BK282" s="49">
        <f t="shared" si="179"/>
        <v>0</v>
      </c>
      <c r="BL282" s="49">
        <f t="shared" si="180"/>
        <v>0</v>
      </c>
      <c r="BM282" s="49">
        <f t="shared" si="181"/>
        <v>1</v>
      </c>
      <c r="BN282" s="49">
        <f t="shared" si="182"/>
        <v>0</v>
      </c>
      <c r="BO282" s="49">
        <f t="shared" si="183"/>
        <v>0</v>
      </c>
      <c r="BP282" s="49">
        <f t="shared" si="184"/>
        <v>0</v>
      </c>
      <c r="BQ282" s="49">
        <f t="shared" si="185"/>
        <v>1</v>
      </c>
      <c r="BR282" s="49">
        <f t="shared" si="186"/>
        <v>0</v>
      </c>
      <c r="BS282" s="49">
        <f t="shared" si="187"/>
        <v>0</v>
      </c>
      <c r="BT282" s="49">
        <f t="shared" si="188"/>
        <v>0</v>
      </c>
      <c r="BU282" s="49">
        <f t="shared" si="189"/>
        <v>1</v>
      </c>
      <c r="BV282" s="49">
        <f t="shared" si="190"/>
        <v>0</v>
      </c>
      <c r="BW282" s="49">
        <f t="shared" si="191"/>
        <v>0</v>
      </c>
      <c r="BX282" s="49">
        <f t="shared" si="192"/>
        <v>0</v>
      </c>
      <c r="BY282" s="49">
        <f t="shared" si="193"/>
        <v>1</v>
      </c>
      <c r="BZ282" s="49">
        <f t="shared" si="194"/>
        <v>0</v>
      </c>
      <c r="CA282" s="49">
        <f t="shared" si="195"/>
        <v>0</v>
      </c>
      <c r="CB282" s="49">
        <f t="shared" si="196"/>
        <v>1</v>
      </c>
      <c r="CC282" s="49">
        <f t="shared" si="197"/>
        <v>0</v>
      </c>
      <c r="CD282" s="49">
        <f t="shared" si="198"/>
        <v>0</v>
      </c>
      <c r="CE282" s="49">
        <f t="shared" si="199"/>
        <v>0</v>
      </c>
    </row>
    <row r="283" spans="1:83" ht="35.1" customHeight="1" x14ac:dyDescent="0.3">
      <c r="A283" s="123" t="str">
        <f t="shared" si="160"/>
        <v>2팀</v>
      </c>
      <c r="B283" s="69">
        <f t="shared" si="161"/>
        <v>277</v>
      </c>
      <c r="C283" s="120" t="str">
        <f>IF(VLOOKUP($B283,'1. 현장별 인원현황'!$C:$J,2,0)=0,"",VLOOKUP($B283,'1. 현장별 인원현황'!$C:$J,2,0))</f>
        <v xml:space="preserve"> [2.한화건설] 원당1구역 재개발정비사업</v>
      </c>
      <c r="D283" s="70" t="str">
        <f>IF(VLOOKUP($B283,'1. 현장별 인원현황'!$C:$J,3,0)=0,"",VLOOKUP($B283,'1. 현장별 인원현황'!$C:$J,3,0))</f>
        <v>김희동</v>
      </c>
      <c r="E283" s="74" t="str">
        <f ca="1">IF(VLOOKUP($B283,'1. 현장별 인원현황'!$C:$J,4,0)=0,"",VLOOKUP($B283,'1. 현장별 인원현황'!$C:$J,4,0))</f>
        <v>42세</v>
      </c>
      <c r="F283" s="70" t="str">
        <f>IF(VLOOKUP($B283,'1. 현장별 인원현황'!$C:$J,7,0)=0,"",VLOOKUP($B283,'1. 현장별 인원현황'!$C:$J,7,0))</f>
        <v>공무</v>
      </c>
      <c r="G283" s="72" t="str">
        <f>IF(VLOOKUP($B283,'1. 현장별 인원현황'!$C:$J,8,0)=0,"",VLOOKUP($B283,'1. 현장별 인원현황'!$C:$J,8,0))</f>
        <v>차장</v>
      </c>
      <c r="H283" s="67"/>
      <c r="I283" s="73" t="s">
        <v>69</v>
      </c>
      <c r="J283" s="73"/>
      <c r="K283" s="68"/>
      <c r="L283" s="67"/>
      <c r="M283" s="73" t="s">
        <v>69</v>
      </c>
      <c r="N283" s="73"/>
      <c r="O283" s="68"/>
      <c r="P283" s="67"/>
      <c r="Q283" s="73" t="s">
        <v>69</v>
      </c>
      <c r="R283" s="73"/>
      <c r="S283" s="68"/>
      <c r="T283" s="67"/>
      <c r="U283" s="73" t="s">
        <v>69</v>
      </c>
      <c r="V283" s="73"/>
      <c r="W283" s="68"/>
      <c r="X283" s="67"/>
      <c r="Y283" s="73" t="s">
        <v>69</v>
      </c>
      <c r="Z283" s="73"/>
      <c r="AA283" s="68"/>
      <c r="AB283" s="67"/>
      <c r="AC283" s="73" t="s">
        <v>69</v>
      </c>
      <c r="AD283" s="73"/>
      <c r="AE283" s="68"/>
      <c r="AF283" s="67"/>
      <c r="AG283" s="73" t="s">
        <v>69</v>
      </c>
      <c r="AH283" s="73"/>
      <c r="AI283" s="68"/>
      <c r="AJ283" s="67"/>
      <c r="AK283" s="73" t="s">
        <v>69</v>
      </c>
      <c r="AL283" s="73"/>
      <c r="AM283" s="68"/>
      <c r="AN283" s="73"/>
      <c r="AO283" s="73" t="s">
        <v>69</v>
      </c>
      <c r="AP283" s="73"/>
      <c r="AQ283" s="68"/>
      <c r="AR283" s="67">
        <f t="shared" si="162"/>
        <v>77</v>
      </c>
      <c r="AS283" s="68" t="str">
        <f t="shared" si="163"/>
        <v>A</v>
      </c>
      <c r="AV283" s="49">
        <f t="shared" si="164"/>
        <v>0</v>
      </c>
      <c r="AW283" s="49">
        <f t="shared" si="165"/>
        <v>1</v>
      </c>
      <c r="AX283" s="49">
        <f t="shared" si="166"/>
        <v>0</v>
      </c>
      <c r="AY283" s="49">
        <f t="shared" si="167"/>
        <v>0</v>
      </c>
      <c r="AZ283" s="49">
        <f t="shared" si="168"/>
        <v>0</v>
      </c>
      <c r="BA283" s="49">
        <f t="shared" si="169"/>
        <v>1</v>
      </c>
      <c r="BB283" s="49">
        <f t="shared" si="170"/>
        <v>0</v>
      </c>
      <c r="BC283" s="49">
        <f t="shared" si="171"/>
        <v>0</v>
      </c>
      <c r="BD283" s="49">
        <f t="shared" si="172"/>
        <v>0</v>
      </c>
      <c r="BE283" s="49">
        <f t="shared" si="173"/>
        <v>1</v>
      </c>
      <c r="BF283" s="49">
        <f t="shared" si="174"/>
        <v>0</v>
      </c>
      <c r="BG283" s="49">
        <f t="shared" si="175"/>
        <v>0</v>
      </c>
      <c r="BH283" s="49">
        <f t="shared" si="176"/>
        <v>0</v>
      </c>
      <c r="BI283" s="49">
        <f t="shared" si="177"/>
        <v>1</v>
      </c>
      <c r="BJ283" s="49">
        <f t="shared" si="178"/>
        <v>0</v>
      </c>
      <c r="BK283" s="49">
        <f t="shared" si="179"/>
        <v>0</v>
      </c>
      <c r="BL283" s="49">
        <f t="shared" si="180"/>
        <v>0</v>
      </c>
      <c r="BM283" s="49">
        <f t="shared" si="181"/>
        <v>1</v>
      </c>
      <c r="BN283" s="49">
        <f t="shared" si="182"/>
        <v>0</v>
      </c>
      <c r="BO283" s="49">
        <f t="shared" si="183"/>
        <v>0</v>
      </c>
      <c r="BP283" s="49">
        <f t="shared" si="184"/>
        <v>0</v>
      </c>
      <c r="BQ283" s="49">
        <f t="shared" si="185"/>
        <v>1</v>
      </c>
      <c r="BR283" s="49">
        <f t="shared" si="186"/>
        <v>0</v>
      </c>
      <c r="BS283" s="49">
        <f t="shared" si="187"/>
        <v>0</v>
      </c>
      <c r="BT283" s="49">
        <f t="shared" si="188"/>
        <v>0</v>
      </c>
      <c r="BU283" s="49">
        <f t="shared" si="189"/>
        <v>1</v>
      </c>
      <c r="BV283" s="49">
        <f t="shared" si="190"/>
        <v>0</v>
      </c>
      <c r="BW283" s="49">
        <f t="shared" si="191"/>
        <v>0</v>
      </c>
      <c r="BX283" s="49">
        <f t="shared" si="192"/>
        <v>0</v>
      </c>
      <c r="BY283" s="49">
        <f t="shared" si="193"/>
        <v>1</v>
      </c>
      <c r="BZ283" s="49">
        <f t="shared" si="194"/>
        <v>0</v>
      </c>
      <c r="CA283" s="49">
        <f t="shared" si="195"/>
        <v>0</v>
      </c>
      <c r="CB283" s="49">
        <f t="shared" si="196"/>
        <v>0</v>
      </c>
      <c r="CC283" s="49">
        <f t="shared" si="197"/>
        <v>1</v>
      </c>
      <c r="CD283" s="49">
        <f t="shared" si="198"/>
        <v>0</v>
      </c>
      <c r="CE283" s="49">
        <f t="shared" si="199"/>
        <v>0</v>
      </c>
    </row>
    <row r="284" spans="1:83" ht="35.1" customHeight="1" x14ac:dyDescent="0.3">
      <c r="A284" s="123" t="str">
        <f t="shared" si="160"/>
        <v>2팀</v>
      </c>
      <c r="B284" s="69">
        <f t="shared" si="161"/>
        <v>278</v>
      </c>
      <c r="C284" s="120" t="str">
        <f>IF(VLOOKUP($B284,'1. 현장별 인원현황'!$C:$J,2,0)=0,"",VLOOKUP($B284,'1. 현장별 인원현황'!$C:$J,2,0))</f>
        <v xml:space="preserve"> [2.한화건설] 원당1구역 재개발정비사업</v>
      </c>
      <c r="D284" s="70" t="str">
        <f>IF(VLOOKUP($B284,'1. 현장별 인원현황'!$C:$J,3,0)=0,"",VLOOKUP($B284,'1. 현장별 인원현황'!$C:$J,3,0))</f>
        <v>김승식</v>
      </c>
      <c r="E284" s="74" t="str">
        <f ca="1">IF(VLOOKUP($B284,'1. 현장별 인원현황'!$C:$J,4,0)=0,"",VLOOKUP($B284,'1. 현장별 인원현황'!$C:$J,4,0))</f>
        <v>50세</v>
      </c>
      <c r="F284" s="70" t="str">
        <f>IF(VLOOKUP($B284,'1. 현장별 인원현황'!$C:$J,7,0)=0,"",VLOOKUP($B284,'1. 현장별 인원현황'!$C:$J,7,0))</f>
        <v>공사</v>
      </c>
      <c r="G284" s="72" t="str">
        <f>IF(VLOOKUP($B284,'1. 현장별 인원현황'!$C:$J,8,0)=0,"",VLOOKUP($B284,'1. 현장별 인원현황'!$C:$J,8,0))</f>
        <v>차장</v>
      </c>
      <c r="H284" s="67"/>
      <c r="I284" s="73" t="s">
        <v>69</v>
      </c>
      <c r="J284" s="73"/>
      <c r="K284" s="68"/>
      <c r="L284" s="67"/>
      <c r="M284" s="73" t="s">
        <v>69</v>
      </c>
      <c r="N284" s="73"/>
      <c r="O284" s="68"/>
      <c r="P284" s="67"/>
      <c r="Q284" s="73" t="s">
        <v>69</v>
      </c>
      <c r="R284" s="73"/>
      <c r="S284" s="68"/>
      <c r="T284" s="67"/>
      <c r="U284" s="73" t="s">
        <v>69</v>
      </c>
      <c r="V284" s="73"/>
      <c r="W284" s="68"/>
      <c r="X284" s="67"/>
      <c r="Y284" s="73" t="s">
        <v>69</v>
      </c>
      <c r="Z284" s="73"/>
      <c r="AA284" s="68"/>
      <c r="AB284" s="67"/>
      <c r="AC284" s="73" t="s">
        <v>69</v>
      </c>
      <c r="AD284" s="73"/>
      <c r="AE284" s="68"/>
      <c r="AF284" s="67"/>
      <c r="AG284" s="73" t="s">
        <v>69</v>
      </c>
      <c r="AH284" s="73"/>
      <c r="AI284" s="68"/>
      <c r="AJ284" s="67"/>
      <c r="AK284" s="73" t="s">
        <v>69</v>
      </c>
      <c r="AL284" s="73"/>
      <c r="AM284" s="68"/>
      <c r="AN284" s="73"/>
      <c r="AO284" s="73" t="s">
        <v>69</v>
      </c>
      <c r="AP284" s="73"/>
      <c r="AQ284" s="68"/>
      <c r="AR284" s="67">
        <f t="shared" si="162"/>
        <v>77</v>
      </c>
      <c r="AS284" s="68" t="str">
        <f t="shared" si="163"/>
        <v>A</v>
      </c>
      <c r="AV284" s="49">
        <f t="shared" si="164"/>
        <v>0</v>
      </c>
      <c r="AW284" s="49">
        <f t="shared" si="165"/>
        <v>1</v>
      </c>
      <c r="AX284" s="49">
        <f t="shared" si="166"/>
        <v>0</v>
      </c>
      <c r="AY284" s="49">
        <f t="shared" si="167"/>
        <v>0</v>
      </c>
      <c r="AZ284" s="49">
        <f t="shared" si="168"/>
        <v>0</v>
      </c>
      <c r="BA284" s="49">
        <f t="shared" si="169"/>
        <v>1</v>
      </c>
      <c r="BB284" s="49">
        <f t="shared" si="170"/>
        <v>0</v>
      </c>
      <c r="BC284" s="49">
        <f t="shared" si="171"/>
        <v>0</v>
      </c>
      <c r="BD284" s="49">
        <f t="shared" si="172"/>
        <v>0</v>
      </c>
      <c r="BE284" s="49">
        <f t="shared" si="173"/>
        <v>1</v>
      </c>
      <c r="BF284" s="49">
        <f t="shared" si="174"/>
        <v>0</v>
      </c>
      <c r="BG284" s="49">
        <f t="shared" si="175"/>
        <v>0</v>
      </c>
      <c r="BH284" s="49">
        <f t="shared" si="176"/>
        <v>0</v>
      </c>
      <c r="BI284" s="49">
        <f t="shared" si="177"/>
        <v>1</v>
      </c>
      <c r="BJ284" s="49">
        <f t="shared" si="178"/>
        <v>0</v>
      </c>
      <c r="BK284" s="49">
        <f t="shared" si="179"/>
        <v>0</v>
      </c>
      <c r="BL284" s="49">
        <f t="shared" si="180"/>
        <v>0</v>
      </c>
      <c r="BM284" s="49">
        <f t="shared" si="181"/>
        <v>1</v>
      </c>
      <c r="BN284" s="49">
        <f t="shared" si="182"/>
        <v>0</v>
      </c>
      <c r="BO284" s="49">
        <f t="shared" si="183"/>
        <v>0</v>
      </c>
      <c r="BP284" s="49">
        <f t="shared" si="184"/>
        <v>0</v>
      </c>
      <c r="BQ284" s="49">
        <f t="shared" si="185"/>
        <v>1</v>
      </c>
      <c r="BR284" s="49">
        <f t="shared" si="186"/>
        <v>0</v>
      </c>
      <c r="BS284" s="49">
        <f t="shared" si="187"/>
        <v>0</v>
      </c>
      <c r="BT284" s="49">
        <f t="shared" si="188"/>
        <v>0</v>
      </c>
      <c r="BU284" s="49">
        <f t="shared" si="189"/>
        <v>1</v>
      </c>
      <c r="BV284" s="49">
        <f t="shared" si="190"/>
        <v>0</v>
      </c>
      <c r="BW284" s="49">
        <f t="shared" si="191"/>
        <v>0</v>
      </c>
      <c r="BX284" s="49">
        <f t="shared" si="192"/>
        <v>0</v>
      </c>
      <c r="BY284" s="49">
        <f t="shared" si="193"/>
        <v>1</v>
      </c>
      <c r="BZ284" s="49">
        <f t="shared" si="194"/>
        <v>0</v>
      </c>
      <c r="CA284" s="49">
        <f t="shared" si="195"/>
        <v>0</v>
      </c>
      <c r="CB284" s="49">
        <f t="shared" si="196"/>
        <v>0</v>
      </c>
      <c r="CC284" s="49">
        <f t="shared" si="197"/>
        <v>1</v>
      </c>
      <c r="CD284" s="49">
        <f t="shared" si="198"/>
        <v>0</v>
      </c>
      <c r="CE284" s="49">
        <f t="shared" si="199"/>
        <v>0</v>
      </c>
    </row>
    <row r="285" spans="1:83" ht="35.1" customHeight="1" x14ac:dyDescent="0.3">
      <c r="A285" s="123" t="str">
        <f t="shared" si="160"/>
        <v>2팀</v>
      </c>
      <c r="B285" s="69">
        <f t="shared" si="161"/>
        <v>279</v>
      </c>
      <c r="C285" s="120" t="str">
        <f>IF(VLOOKUP($B285,'1. 현장별 인원현황'!$C:$J,2,0)=0,"",VLOOKUP($B285,'1. 현장별 인원현황'!$C:$J,2,0))</f>
        <v xml:space="preserve"> [2.한화건설] 원당1구역 재개발정비사업</v>
      </c>
      <c r="D285" s="70" t="str">
        <f>IF(VLOOKUP($B285,'1. 현장별 인원현황'!$C:$J,3,0)=0,"",VLOOKUP($B285,'1. 현장별 인원현황'!$C:$J,3,0))</f>
        <v>이현규</v>
      </c>
      <c r="E285" s="74" t="str">
        <f ca="1">IF(VLOOKUP($B285,'1. 현장별 인원현황'!$C:$J,4,0)=0,"",VLOOKUP($B285,'1. 현장별 인원현황'!$C:$J,4,0))</f>
        <v>52세</v>
      </c>
      <c r="F285" s="70" t="str">
        <f>IF(VLOOKUP($B285,'1. 현장별 인원현황'!$C:$J,7,0)=0,"",VLOOKUP($B285,'1. 현장별 인원현황'!$C:$J,7,0))</f>
        <v>기능공</v>
      </c>
      <c r="G285" s="72" t="str">
        <f>IF(VLOOKUP($B285,'1. 현장별 인원현황'!$C:$J,8,0)=0,"",VLOOKUP($B285,'1. 현장별 인원현황'!$C:$J,8,0))</f>
        <v>전공</v>
      </c>
      <c r="H285" s="67"/>
      <c r="I285" s="73" t="s">
        <v>69</v>
      </c>
      <c r="J285" s="73"/>
      <c r="K285" s="68"/>
      <c r="L285" s="67"/>
      <c r="M285" s="73" t="s">
        <v>69</v>
      </c>
      <c r="N285" s="73"/>
      <c r="O285" s="68"/>
      <c r="P285" s="67"/>
      <c r="Q285" s="73" t="s">
        <v>69</v>
      </c>
      <c r="R285" s="73"/>
      <c r="S285" s="68"/>
      <c r="T285" s="67"/>
      <c r="U285" s="73" t="s">
        <v>69</v>
      </c>
      <c r="V285" s="73"/>
      <c r="W285" s="68"/>
      <c r="X285" s="67"/>
      <c r="Y285" s="73" t="s">
        <v>69</v>
      </c>
      <c r="Z285" s="73"/>
      <c r="AA285" s="68"/>
      <c r="AB285" s="67"/>
      <c r="AC285" s="73" t="s">
        <v>69</v>
      </c>
      <c r="AD285" s="73"/>
      <c r="AE285" s="68"/>
      <c r="AF285" s="67"/>
      <c r="AG285" s="73" t="s">
        <v>69</v>
      </c>
      <c r="AH285" s="73"/>
      <c r="AI285" s="68"/>
      <c r="AJ285" s="67"/>
      <c r="AK285" s="73" t="s">
        <v>69</v>
      </c>
      <c r="AL285" s="73"/>
      <c r="AM285" s="68"/>
      <c r="AN285" s="73"/>
      <c r="AO285" s="73" t="s">
        <v>69</v>
      </c>
      <c r="AP285" s="73"/>
      <c r="AQ285" s="68"/>
      <c r="AR285" s="67">
        <f t="shared" si="162"/>
        <v>77</v>
      </c>
      <c r="AS285" s="68" t="str">
        <f t="shared" si="163"/>
        <v>A</v>
      </c>
      <c r="AV285" s="49">
        <f t="shared" si="164"/>
        <v>0</v>
      </c>
      <c r="AW285" s="49">
        <f t="shared" si="165"/>
        <v>1</v>
      </c>
      <c r="AX285" s="49">
        <f t="shared" si="166"/>
        <v>0</v>
      </c>
      <c r="AY285" s="49">
        <f t="shared" si="167"/>
        <v>0</v>
      </c>
      <c r="AZ285" s="49">
        <f t="shared" si="168"/>
        <v>0</v>
      </c>
      <c r="BA285" s="49">
        <f t="shared" si="169"/>
        <v>1</v>
      </c>
      <c r="BB285" s="49">
        <f t="shared" si="170"/>
        <v>0</v>
      </c>
      <c r="BC285" s="49">
        <f t="shared" si="171"/>
        <v>0</v>
      </c>
      <c r="BD285" s="49">
        <f t="shared" si="172"/>
        <v>0</v>
      </c>
      <c r="BE285" s="49">
        <f t="shared" si="173"/>
        <v>1</v>
      </c>
      <c r="BF285" s="49">
        <f t="shared" si="174"/>
        <v>0</v>
      </c>
      <c r="BG285" s="49">
        <f t="shared" si="175"/>
        <v>0</v>
      </c>
      <c r="BH285" s="49">
        <f t="shared" si="176"/>
        <v>0</v>
      </c>
      <c r="BI285" s="49">
        <f t="shared" si="177"/>
        <v>1</v>
      </c>
      <c r="BJ285" s="49">
        <f t="shared" si="178"/>
        <v>0</v>
      </c>
      <c r="BK285" s="49">
        <f t="shared" si="179"/>
        <v>0</v>
      </c>
      <c r="BL285" s="49">
        <f t="shared" si="180"/>
        <v>0</v>
      </c>
      <c r="BM285" s="49">
        <f t="shared" si="181"/>
        <v>1</v>
      </c>
      <c r="BN285" s="49">
        <f t="shared" si="182"/>
        <v>0</v>
      </c>
      <c r="BO285" s="49">
        <f t="shared" si="183"/>
        <v>0</v>
      </c>
      <c r="BP285" s="49">
        <f t="shared" si="184"/>
        <v>0</v>
      </c>
      <c r="BQ285" s="49">
        <f t="shared" si="185"/>
        <v>1</v>
      </c>
      <c r="BR285" s="49">
        <f t="shared" si="186"/>
        <v>0</v>
      </c>
      <c r="BS285" s="49">
        <f t="shared" si="187"/>
        <v>0</v>
      </c>
      <c r="BT285" s="49">
        <f t="shared" si="188"/>
        <v>0</v>
      </c>
      <c r="BU285" s="49">
        <f t="shared" si="189"/>
        <v>1</v>
      </c>
      <c r="BV285" s="49">
        <f t="shared" si="190"/>
        <v>0</v>
      </c>
      <c r="BW285" s="49">
        <f t="shared" si="191"/>
        <v>0</v>
      </c>
      <c r="BX285" s="49">
        <f t="shared" si="192"/>
        <v>0</v>
      </c>
      <c r="BY285" s="49">
        <f t="shared" si="193"/>
        <v>1</v>
      </c>
      <c r="BZ285" s="49">
        <f t="shared" si="194"/>
        <v>0</v>
      </c>
      <c r="CA285" s="49">
        <f t="shared" si="195"/>
        <v>0</v>
      </c>
      <c r="CB285" s="49">
        <f t="shared" si="196"/>
        <v>0</v>
      </c>
      <c r="CC285" s="49">
        <f t="shared" si="197"/>
        <v>1</v>
      </c>
      <c r="CD285" s="49">
        <f t="shared" si="198"/>
        <v>0</v>
      </c>
      <c r="CE285" s="49">
        <f t="shared" si="199"/>
        <v>0</v>
      </c>
    </row>
    <row r="286" spans="1:83" ht="35.1" customHeight="1" x14ac:dyDescent="0.3">
      <c r="A286" s="123" t="str">
        <f t="shared" si="160"/>
        <v>2팀</v>
      </c>
      <c r="B286" s="69">
        <f t="shared" si="161"/>
        <v>280</v>
      </c>
      <c r="C286" s="120" t="str">
        <f>IF(VLOOKUP($B286,'1. 현장별 인원현황'!$C:$J,2,0)=0,"",VLOOKUP($B286,'1. 현장별 인원현황'!$C:$J,2,0))</f>
        <v xml:space="preserve"> [2.한화건설] 원당1구역 재개발정비사업</v>
      </c>
      <c r="D286" s="70" t="str">
        <f>IF(VLOOKUP($B286,'1. 현장별 인원현황'!$C:$J,3,0)=0,"",VLOOKUP($B286,'1. 현장별 인원현황'!$C:$J,3,0))</f>
        <v>김정규</v>
      </c>
      <c r="E286" s="74" t="str">
        <f ca="1">IF(VLOOKUP($B286,'1. 현장별 인원현황'!$C:$J,4,0)=0,"",VLOOKUP($B286,'1. 현장별 인원현황'!$C:$J,4,0))</f>
        <v>35세</v>
      </c>
      <c r="F286" s="70" t="str">
        <f>IF(VLOOKUP($B286,'1. 현장별 인원현황'!$C:$J,7,0)=0,"",VLOOKUP($B286,'1. 현장별 인원현황'!$C:$J,7,0))</f>
        <v>기능공</v>
      </c>
      <c r="G286" s="72" t="str">
        <f>IF(VLOOKUP($B286,'1. 현장별 인원현황'!$C:$J,8,0)=0,"",VLOOKUP($B286,'1. 현장별 인원현황'!$C:$J,8,0))</f>
        <v>전공</v>
      </c>
      <c r="H286" s="67"/>
      <c r="I286" s="73" t="s">
        <v>69</v>
      </c>
      <c r="J286" s="73"/>
      <c r="K286" s="68"/>
      <c r="L286" s="67"/>
      <c r="M286" s="73" t="s">
        <v>69</v>
      </c>
      <c r="N286" s="73"/>
      <c r="O286" s="68"/>
      <c r="P286" s="67"/>
      <c r="Q286" s="73" t="s">
        <v>69</v>
      </c>
      <c r="R286" s="73"/>
      <c r="S286" s="68"/>
      <c r="T286" s="67"/>
      <c r="U286" s="73" t="s">
        <v>69</v>
      </c>
      <c r="V286" s="73"/>
      <c r="W286" s="68"/>
      <c r="X286" s="67"/>
      <c r="Y286" s="73" t="s">
        <v>69</v>
      </c>
      <c r="Z286" s="73"/>
      <c r="AA286" s="68"/>
      <c r="AB286" s="67"/>
      <c r="AC286" s="73" t="s">
        <v>69</v>
      </c>
      <c r="AD286" s="73"/>
      <c r="AE286" s="68"/>
      <c r="AF286" s="67"/>
      <c r="AG286" s="73" t="s">
        <v>69</v>
      </c>
      <c r="AH286" s="73"/>
      <c r="AI286" s="68"/>
      <c r="AJ286" s="67"/>
      <c r="AK286" s="73" t="s">
        <v>69</v>
      </c>
      <c r="AL286" s="73"/>
      <c r="AM286" s="68"/>
      <c r="AN286" s="73"/>
      <c r="AO286" s="73" t="s">
        <v>69</v>
      </c>
      <c r="AP286" s="73"/>
      <c r="AQ286" s="68"/>
      <c r="AR286" s="67">
        <f t="shared" si="162"/>
        <v>77</v>
      </c>
      <c r="AS286" s="68" t="str">
        <f t="shared" si="163"/>
        <v>A</v>
      </c>
      <c r="AV286" s="49">
        <f t="shared" si="164"/>
        <v>0</v>
      </c>
      <c r="AW286" s="49">
        <f t="shared" si="165"/>
        <v>1</v>
      </c>
      <c r="AX286" s="49">
        <f t="shared" si="166"/>
        <v>0</v>
      </c>
      <c r="AY286" s="49">
        <f t="shared" si="167"/>
        <v>0</v>
      </c>
      <c r="AZ286" s="49">
        <f t="shared" si="168"/>
        <v>0</v>
      </c>
      <c r="BA286" s="49">
        <f t="shared" si="169"/>
        <v>1</v>
      </c>
      <c r="BB286" s="49">
        <f t="shared" si="170"/>
        <v>0</v>
      </c>
      <c r="BC286" s="49">
        <f t="shared" si="171"/>
        <v>0</v>
      </c>
      <c r="BD286" s="49">
        <f t="shared" si="172"/>
        <v>0</v>
      </c>
      <c r="BE286" s="49">
        <f t="shared" si="173"/>
        <v>1</v>
      </c>
      <c r="BF286" s="49">
        <f t="shared" si="174"/>
        <v>0</v>
      </c>
      <c r="BG286" s="49">
        <f t="shared" si="175"/>
        <v>0</v>
      </c>
      <c r="BH286" s="49">
        <f t="shared" si="176"/>
        <v>0</v>
      </c>
      <c r="BI286" s="49">
        <f t="shared" si="177"/>
        <v>1</v>
      </c>
      <c r="BJ286" s="49">
        <f t="shared" si="178"/>
        <v>0</v>
      </c>
      <c r="BK286" s="49">
        <f t="shared" si="179"/>
        <v>0</v>
      </c>
      <c r="BL286" s="49">
        <f t="shared" si="180"/>
        <v>0</v>
      </c>
      <c r="BM286" s="49">
        <f t="shared" si="181"/>
        <v>1</v>
      </c>
      <c r="BN286" s="49">
        <f t="shared" si="182"/>
        <v>0</v>
      </c>
      <c r="BO286" s="49">
        <f t="shared" si="183"/>
        <v>0</v>
      </c>
      <c r="BP286" s="49">
        <f t="shared" si="184"/>
        <v>0</v>
      </c>
      <c r="BQ286" s="49">
        <f t="shared" si="185"/>
        <v>1</v>
      </c>
      <c r="BR286" s="49">
        <f t="shared" si="186"/>
        <v>0</v>
      </c>
      <c r="BS286" s="49">
        <f t="shared" si="187"/>
        <v>0</v>
      </c>
      <c r="BT286" s="49">
        <f t="shared" si="188"/>
        <v>0</v>
      </c>
      <c r="BU286" s="49">
        <f t="shared" si="189"/>
        <v>1</v>
      </c>
      <c r="BV286" s="49">
        <f t="shared" si="190"/>
        <v>0</v>
      </c>
      <c r="BW286" s="49">
        <f t="shared" si="191"/>
        <v>0</v>
      </c>
      <c r="BX286" s="49">
        <f t="shared" si="192"/>
        <v>0</v>
      </c>
      <c r="BY286" s="49">
        <f t="shared" si="193"/>
        <v>1</v>
      </c>
      <c r="BZ286" s="49">
        <f t="shared" si="194"/>
        <v>0</v>
      </c>
      <c r="CA286" s="49">
        <f t="shared" si="195"/>
        <v>0</v>
      </c>
      <c r="CB286" s="49">
        <f t="shared" si="196"/>
        <v>0</v>
      </c>
      <c r="CC286" s="49">
        <f t="shared" si="197"/>
        <v>1</v>
      </c>
      <c r="CD286" s="49">
        <f t="shared" si="198"/>
        <v>0</v>
      </c>
      <c r="CE286" s="49">
        <f t="shared" si="199"/>
        <v>0</v>
      </c>
    </row>
    <row r="287" spans="1:83" ht="35.1" customHeight="1" x14ac:dyDescent="0.3">
      <c r="A287" s="123" t="str">
        <f t="shared" si="160"/>
        <v>2팀</v>
      </c>
      <c r="B287" s="69">
        <f t="shared" si="161"/>
        <v>281</v>
      </c>
      <c r="C287" s="120" t="str">
        <f>IF(VLOOKUP($B287,'1. 현장별 인원현황'!$C:$J,2,0)=0,"",VLOOKUP($B287,'1. 현장별 인원현황'!$C:$J,2,0))</f>
        <v xml:space="preserve"> [2.한화건설] 원당1구역 재개발정비사업</v>
      </c>
      <c r="D287" s="70" t="str">
        <f>IF(VLOOKUP($B287,'1. 현장별 인원현황'!$C:$J,3,0)=0,"",VLOOKUP($B287,'1. 현장별 인원현황'!$C:$J,3,0))</f>
        <v>노홍래</v>
      </c>
      <c r="E287" s="74" t="str">
        <f ca="1">IF(VLOOKUP($B287,'1. 현장별 인원현황'!$C:$J,4,0)=0,"",VLOOKUP($B287,'1. 현장별 인원현황'!$C:$J,4,0))</f>
        <v>55세</v>
      </c>
      <c r="F287" s="70" t="str">
        <f>IF(VLOOKUP($B287,'1. 현장별 인원현황'!$C:$J,7,0)=0,"",VLOOKUP($B287,'1. 현장별 인원현황'!$C:$J,7,0))</f>
        <v>기능공</v>
      </c>
      <c r="G287" s="72" t="str">
        <f>IF(VLOOKUP($B287,'1. 현장별 인원현황'!$C:$J,8,0)=0,"",VLOOKUP($B287,'1. 현장별 인원현황'!$C:$J,8,0))</f>
        <v>전공</v>
      </c>
      <c r="H287" s="67"/>
      <c r="I287" s="73" t="s">
        <v>69</v>
      </c>
      <c r="J287" s="73"/>
      <c r="K287" s="68"/>
      <c r="L287" s="67"/>
      <c r="M287" s="73" t="s">
        <v>69</v>
      </c>
      <c r="N287" s="73"/>
      <c r="O287" s="68"/>
      <c r="P287" s="67"/>
      <c r="Q287" s="73" t="s">
        <v>69</v>
      </c>
      <c r="R287" s="73"/>
      <c r="S287" s="68"/>
      <c r="T287" s="67"/>
      <c r="U287" s="73" t="s">
        <v>69</v>
      </c>
      <c r="V287" s="73"/>
      <c r="W287" s="68"/>
      <c r="X287" s="67"/>
      <c r="Y287" s="73" t="s">
        <v>69</v>
      </c>
      <c r="Z287" s="73"/>
      <c r="AA287" s="68"/>
      <c r="AB287" s="67"/>
      <c r="AC287" s="73" t="s">
        <v>69</v>
      </c>
      <c r="AD287" s="73"/>
      <c r="AE287" s="68"/>
      <c r="AF287" s="67"/>
      <c r="AG287" s="73" t="s">
        <v>69</v>
      </c>
      <c r="AH287" s="73"/>
      <c r="AI287" s="68"/>
      <c r="AJ287" s="67"/>
      <c r="AK287" s="73" t="s">
        <v>69</v>
      </c>
      <c r="AL287" s="73"/>
      <c r="AM287" s="68"/>
      <c r="AN287" s="73"/>
      <c r="AO287" s="73" t="s">
        <v>69</v>
      </c>
      <c r="AP287" s="73"/>
      <c r="AQ287" s="68"/>
      <c r="AR287" s="67">
        <f t="shared" si="162"/>
        <v>77</v>
      </c>
      <c r="AS287" s="68" t="str">
        <f t="shared" si="163"/>
        <v>A</v>
      </c>
      <c r="AV287" s="49">
        <f t="shared" si="164"/>
        <v>0</v>
      </c>
      <c r="AW287" s="49">
        <f t="shared" si="165"/>
        <v>1</v>
      </c>
      <c r="AX287" s="49">
        <f t="shared" si="166"/>
        <v>0</v>
      </c>
      <c r="AY287" s="49">
        <f t="shared" si="167"/>
        <v>0</v>
      </c>
      <c r="AZ287" s="49">
        <f t="shared" si="168"/>
        <v>0</v>
      </c>
      <c r="BA287" s="49">
        <f t="shared" si="169"/>
        <v>1</v>
      </c>
      <c r="BB287" s="49">
        <f t="shared" si="170"/>
        <v>0</v>
      </c>
      <c r="BC287" s="49">
        <f t="shared" si="171"/>
        <v>0</v>
      </c>
      <c r="BD287" s="49">
        <f t="shared" si="172"/>
        <v>0</v>
      </c>
      <c r="BE287" s="49">
        <f t="shared" si="173"/>
        <v>1</v>
      </c>
      <c r="BF287" s="49">
        <f t="shared" si="174"/>
        <v>0</v>
      </c>
      <c r="BG287" s="49">
        <f t="shared" si="175"/>
        <v>0</v>
      </c>
      <c r="BH287" s="49">
        <f t="shared" si="176"/>
        <v>0</v>
      </c>
      <c r="BI287" s="49">
        <f t="shared" si="177"/>
        <v>1</v>
      </c>
      <c r="BJ287" s="49">
        <f t="shared" si="178"/>
        <v>0</v>
      </c>
      <c r="BK287" s="49">
        <f t="shared" si="179"/>
        <v>0</v>
      </c>
      <c r="BL287" s="49">
        <f t="shared" si="180"/>
        <v>0</v>
      </c>
      <c r="BM287" s="49">
        <f t="shared" si="181"/>
        <v>1</v>
      </c>
      <c r="BN287" s="49">
        <f t="shared" si="182"/>
        <v>0</v>
      </c>
      <c r="BO287" s="49">
        <f t="shared" si="183"/>
        <v>0</v>
      </c>
      <c r="BP287" s="49">
        <f t="shared" si="184"/>
        <v>0</v>
      </c>
      <c r="BQ287" s="49">
        <f t="shared" si="185"/>
        <v>1</v>
      </c>
      <c r="BR287" s="49">
        <f t="shared" si="186"/>
        <v>0</v>
      </c>
      <c r="BS287" s="49">
        <f t="shared" si="187"/>
        <v>0</v>
      </c>
      <c r="BT287" s="49">
        <f t="shared" si="188"/>
        <v>0</v>
      </c>
      <c r="BU287" s="49">
        <f t="shared" si="189"/>
        <v>1</v>
      </c>
      <c r="BV287" s="49">
        <f t="shared" si="190"/>
        <v>0</v>
      </c>
      <c r="BW287" s="49">
        <f t="shared" si="191"/>
        <v>0</v>
      </c>
      <c r="BX287" s="49">
        <f t="shared" si="192"/>
        <v>0</v>
      </c>
      <c r="BY287" s="49">
        <f t="shared" si="193"/>
        <v>1</v>
      </c>
      <c r="BZ287" s="49">
        <f t="shared" si="194"/>
        <v>0</v>
      </c>
      <c r="CA287" s="49">
        <f t="shared" si="195"/>
        <v>0</v>
      </c>
      <c r="CB287" s="49">
        <f t="shared" si="196"/>
        <v>0</v>
      </c>
      <c r="CC287" s="49">
        <f t="shared" si="197"/>
        <v>1</v>
      </c>
      <c r="CD287" s="49">
        <f t="shared" si="198"/>
        <v>0</v>
      </c>
      <c r="CE287" s="49">
        <f t="shared" si="199"/>
        <v>0</v>
      </c>
    </row>
    <row r="288" spans="1:83" ht="35.1" customHeight="1" x14ac:dyDescent="0.3">
      <c r="A288" s="123" t="str">
        <f t="shared" si="160"/>
        <v>2팀</v>
      </c>
      <c r="B288" s="69">
        <f t="shared" si="161"/>
        <v>282</v>
      </c>
      <c r="C288" s="120" t="str">
        <f>IF(VLOOKUP($B288,'1. 현장별 인원현황'!$C:$J,2,0)=0,"",VLOOKUP($B288,'1. 현장별 인원현황'!$C:$J,2,0))</f>
        <v xml:space="preserve"> [2.한화건설] 원당1구역 재개발정비사업</v>
      </c>
      <c r="D288" s="70" t="str">
        <f>IF(VLOOKUP($B288,'1. 현장별 인원현황'!$C:$J,3,0)=0,"",VLOOKUP($B288,'1. 현장별 인원현황'!$C:$J,3,0))</f>
        <v>이광승</v>
      </c>
      <c r="E288" s="74" t="str">
        <f ca="1">IF(VLOOKUP($B288,'1. 현장별 인원현황'!$C:$J,4,0)=0,"",VLOOKUP($B288,'1. 현장별 인원현황'!$C:$J,4,0))</f>
        <v>60세</v>
      </c>
      <c r="F288" s="70" t="str">
        <f>IF(VLOOKUP($B288,'1. 현장별 인원현황'!$C:$J,7,0)=0,"",VLOOKUP($B288,'1. 현장별 인원현황'!$C:$J,7,0))</f>
        <v>기능공</v>
      </c>
      <c r="G288" s="72" t="str">
        <f>IF(VLOOKUP($B288,'1. 현장별 인원현황'!$C:$J,8,0)=0,"",VLOOKUP($B288,'1. 현장별 인원현황'!$C:$J,8,0))</f>
        <v>전공</v>
      </c>
      <c r="H288" s="67"/>
      <c r="I288" s="73" t="s">
        <v>69</v>
      </c>
      <c r="J288" s="73"/>
      <c r="K288" s="68"/>
      <c r="L288" s="67"/>
      <c r="M288" s="73" t="s">
        <v>69</v>
      </c>
      <c r="N288" s="73"/>
      <c r="O288" s="68"/>
      <c r="P288" s="67"/>
      <c r="Q288" s="73" t="s">
        <v>69</v>
      </c>
      <c r="R288" s="73"/>
      <c r="S288" s="68"/>
      <c r="T288" s="67"/>
      <c r="U288" s="73" t="s">
        <v>69</v>
      </c>
      <c r="V288" s="73"/>
      <c r="W288" s="68"/>
      <c r="X288" s="67"/>
      <c r="Y288" s="73" t="s">
        <v>69</v>
      </c>
      <c r="Z288" s="73"/>
      <c r="AA288" s="68"/>
      <c r="AB288" s="67"/>
      <c r="AC288" s="73" t="s">
        <v>69</v>
      </c>
      <c r="AD288" s="73"/>
      <c r="AE288" s="68"/>
      <c r="AF288" s="67"/>
      <c r="AG288" s="73" t="s">
        <v>69</v>
      </c>
      <c r="AH288" s="73"/>
      <c r="AI288" s="68"/>
      <c r="AJ288" s="67"/>
      <c r="AK288" s="73" t="s">
        <v>69</v>
      </c>
      <c r="AL288" s="73"/>
      <c r="AM288" s="68"/>
      <c r="AN288" s="73"/>
      <c r="AO288" s="73" t="s">
        <v>69</v>
      </c>
      <c r="AP288" s="73"/>
      <c r="AQ288" s="68"/>
      <c r="AR288" s="67">
        <f t="shared" si="162"/>
        <v>77</v>
      </c>
      <c r="AS288" s="68" t="str">
        <f t="shared" si="163"/>
        <v>A</v>
      </c>
      <c r="AV288" s="49">
        <f t="shared" si="164"/>
        <v>0</v>
      </c>
      <c r="AW288" s="49">
        <f t="shared" si="165"/>
        <v>1</v>
      </c>
      <c r="AX288" s="49">
        <f t="shared" si="166"/>
        <v>0</v>
      </c>
      <c r="AY288" s="49">
        <f t="shared" si="167"/>
        <v>0</v>
      </c>
      <c r="AZ288" s="49">
        <f t="shared" si="168"/>
        <v>0</v>
      </c>
      <c r="BA288" s="49">
        <f t="shared" si="169"/>
        <v>1</v>
      </c>
      <c r="BB288" s="49">
        <f t="shared" si="170"/>
        <v>0</v>
      </c>
      <c r="BC288" s="49">
        <f t="shared" si="171"/>
        <v>0</v>
      </c>
      <c r="BD288" s="49">
        <f t="shared" si="172"/>
        <v>0</v>
      </c>
      <c r="BE288" s="49">
        <f t="shared" si="173"/>
        <v>1</v>
      </c>
      <c r="BF288" s="49">
        <f t="shared" si="174"/>
        <v>0</v>
      </c>
      <c r="BG288" s="49">
        <f t="shared" si="175"/>
        <v>0</v>
      </c>
      <c r="BH288" s="49">
        <f t="shared" si="176"/>
        <v>0</v>
      </c>
      <c r="BI288" s="49">
        <f t="shared" si="177"/>
        <v>1</v>
      </c>
      <c r="BJ288" s="49">
        <f t="shared" si="178"/>
        <v>0</v>
      </c>
      <c r="BK288" s="49">
        <f t="shared" si="179"/>
        <v>0</v>
      </c>
      <c r="BL288" s="49">
        <f t="shared" si="180"/>
        <v>0</v>
      </c>
      <c r="BM288" s="49">
        <f t="shared" si="181"/>
        <v>1</v>
      </c>
      <c r="BN288" s="49">
        <f t="shared" si="182"/>
        <v>0</v>
      </c>
      <c r="BO288" s="49">
        <f t="shared" si="183"/>
        <v>0</v>
      </c>
      <c r="BP288" s="49">
        <f t="shared" si="184"/>
        <v>0</v>
      </c>
      <c r="BQ288" s="49">
        <f t="shared" si="185"/>
        <v>1</v>
      </c>
      <c r="BR288" s="49">
        <f t="shared" si="186"/>
        <v>0</v>
      </c>
      <c r="BS288" s="49">
        <f t="shared" si="187"/>
        <v>0</v>
      </c>
      <c r="BT288" s="49">
        <f t="shared" si="188"/>
        <v>0</v>
      </c>
      <c r="BU288" s="49">
        <f t="shared" si="189"/>
        <v>1</v>
      </c>
      <c r="BV288" s="49">
        <f t="shared" si="190"/>
        <v>0</v>
      </c>
      <c r="BW288" s="49">
        <f t="shared" si="191"/>
        <v>0</v>
      </c>
      <c r="BX288" s="49">
        <f t="shared" si="192"/>
        <v>0</v>
      </c>
      <c r="BY288" s="49">
        <f t="shared" si="193"/>
        <v>1</v>
      </c>
      <c r="BZ288" s="49">
        <f t="shared" si="194"/>
        <v>0</v>
      </c>
      <c r="CA288" s="49">
        <f t="shared" si="195"/>
        <v>0</v>
      </c>
      <c r="CB288" s="49">
        <f t="shared" si="196"/>
        <v>0</v>
      </c>
      <c r="CC288" s="49">
        <f t="shared" si="197"/>
        <v>1</v>
      </c>
      <c r="CD288" s="49">
        <f t="shared" si="198"/>
        <v>0</v>
      </c>
      <c r="CE288" s="49">
        <f t="shared" si="199"/>
        <v>0</v>
      </c>
    </row>
    <row r="289" spans="1:83" ht="35.1" customHeight="1" x14ac:dyDescent="0.3">
      <c r="A289" s="123" t="str">
        <f t="shared" si="160"/>
        <v>2팀</v>
      </c>
      <c r="B289" s="69">
        <f t="shared" si="161"/>
        <v>283</v>
      </c>
      <c r="C289" s="120" t="str">
        <f>IF(VLOOKUP($B289,'1. 현장별 인원현황'!$C:$J,2,0)=0,"",VLOOKUP($B289,'1. 현장별 인원현황'!$C:$J,2,0))</f>
        <v xml:space="preserve"> [2.현대산업개발] 광명제4R구역 주택재개발정비사업 일반전기공사-1공구</v>
      </c>
      <c r="D289" s="70" t="str">
        <f>IF(VLOOKUP($B289,'1. 현장별 인원현황'!$C:$J,3,0)=0,"",VLOOKUP($B289,'1. 현장별 인원현황'!$C:$J,3,0))</f>
        <v>김인송</v>
      </c>
      <c r="E289" s="74" t="str">
        <f ca="1">IF(VLOOKUP($B289,'1. 현장별 인원현황'!$C:$J,4,0)=0,"",VLOOKUP($B289,'1. 현장별 인원현황'!$C:$J,4,0))</f>
        <v>38세</v>
      </c>
      <c r="F289" s="70" t="str">
        <f>IF(VLOOKUP($B289,'1. 현장별 인원현황'!$C:$J,7,0)=0,"",VLOOKUP($B289,'1. 현장별 인원현황'!$C:$J,7,0))</f>
        <v>공무</v>
      </c>
      <c r="G289" s="72" t="str">
        <f>IF(VLOOKUP($B289,'1. 현장별 인원현황'!$C:$J,8,0)=0,"",VLOOKUP($B289,'1. 현장별 인원현황'!$C:$J,8,0))</f>
        <v>과장</v>
      </c>
      <c r="H289" s="67" t="s">
        <v>69</v>
      </c>
      <c r="I289" s="73"/>
      <c r="J289" s="73"/>
      <c r="K289" s="68"/>
      <c r="L289" s="67" t="s">
        <v>69</v>
      </c>
      <c r="M289" s="73"/>
      <c r="N289" s="73"/>
      <c r="O289" s="68"/>
      <c r="P289" s="67" t="s">
        <v>69</v>
      </c>
      <c r="Q289" s="73"/>
      <c r="R289" s="73"/>
      <c r="S289" s="68"/>
      <c r="T289" s="67" t="s">
        <v>69</v>
      </c>
      <c r="U289" s="73"/>
      <c r="V289" s="73"/>
      <c r="W289" s="68"/>
      <c r="X289" s="67" t="s">
        <v>69</v>
      </c>
      <c r="Y289" s="73"/>
      <c r="Z289" s="73"/>
      <c r="AA289" s="68"/>
      <c r="AB289" s="67" t="s">
        <v>69</v>
      </c>
      <c r="AC289" s="73"/>
      <c r="AD289" s="73"/>
      <c r="AE289" s="68"/>
      <c r="AF289" s="67" t="s">
        <v>69</v>
      </c>
      <c r="AG289" s="73"/>
      <c r="AH289" s="73"/>
      <c r="AI289" s="68"/>
      <c r="AJ289" s="67" t="s">
        <v>69</v>
      </c>
      <c r="AK289" s="73"/>
      <c r="AL289" s="73"/>
      <c r="AM289" s="68"/>
      <c r="AN289" s="73" t="s">
        <v>69</v>
      </c>
      <c r="AO289" s="73"/>
      <c r="AP289" s="73"/>
      <c r="AQ289" s="68"/>
      <c r="AR289" s="67">
        <f t="shared" si="162"/>
        <v>100</v>
      </c>
      <c r="AS289" s="68" t="str">
        <f t="shared" si="163"/>
        <v>S</v>
      </c>
      <c r="AV289" s="49">
        <f t="shared" si="164"/>
        <v>1</v>
      </c>
      <c r="AW289" s="49">
        <f t="shared" si="165"/>
        <v>0</v>
      </c>
      <c r="AX289" s="49">
        <f t="shared" si="166"/>
        <v>0</v>
      </c>
      <c r="AY289" s="49">
        <f t="shared" si="167"/>
        <v>0</v>
      </c>
      <c r="AZ289" s="49">
        <f t="shared" si="168"/>
        <v>1</v>
      </c>
      <c r="BA289" s="49">
        <f t="shared" si="169"/>
        <v>0</v>
      </c>
      <c r="BB289" s="49">
        <f t="shared" si="170"/>
        <v>0</v>
      </c>
      <c r="BC289" s="49">
        <f t="shared" si="171"/>
        <v>0</v>
      </c>
      <c r="BD289" s="49">
        <f t="shared" si="172"/>
        <v>1</v>
      </c>
      <c r="BE289" s="49">
        <f t="shared" si="173"/>
        <v>0</v>
      </c>
      <c r="BF289" s="49">
        <f t="shared" si="174"/>
        <v>0</v>
      </c>
      <c r="BG289" s="49">
        <f t="shared" si="175"/>
        <v>0</v>
      </c>
      <c r="BH289" s="49">
        <f t="shared" si="176"/>
        <v>1</v>
      </c>
      <c r="BI289" s="49">
        <f t="shared" si="177"/>
        <v>0</v>
      </c>
      <c r="BJ289" s="49">
        <f t="shared" si="178"/>
        <v>0</v>
      </c>
      <c r="BK289" s="49">
        <f t="shared" si="179"/>
        <v>0</v>
      </c>
      <c r="BL289" s="49">
        <f t="shared" si="180"/>
        <v>1</v>
      </c>
      <c r="BM289" s="49">
        <f t="shared" si="181"/>
        <v>0</v>
      </c>
      <c r="BN289" s="49">
        <f t="shared" si="182"/>
        <v>0</v>
      </c>
      <c r="BO289" s="49">
        <f t="shared" si="183"/>
        <v>0</v>
      </c>
      <c r="BP289" s="49">
        <f t="shared" si="184"/>
        <v>1</v>
      </c>
      <c r="BQ289" s="49">
        <f t="shared" si="185"/>
        <v>0</v>
      </c>
      <c r="BR289" s="49">
        <f t="shared" si="186"/>
        <v>0</v>
      </c>
      <c r="BS289" s="49">
        <f t="shared" si="187"/>
        <v>0</v>
      </c>
      <c r="BT289" s="49">
        <f t="shared" si="188"/>
        <v>1</v>
      </c>
      <c r="BU289" s="49">
        <f t="shared" si="189"/>
        <v>0</v>
      </c>
      <c r="BV289" s="49">
        <f t="shared" si="190"/>
        <v>0</v>
      </c>
      <c r="BW289" s="49">
        <f t="shared" si="191"/>
        <v>0</v>
      </c>
      <c r="BX289" s="49">
        <f t="shared" si="192"/>
        <v>1</v>
      </c>
      <c r="BY289" s="49">
        <f t="shared" si="193"/>
        <v>0</v>
      </c>
      <c r="BZ289" s="49">
        <f t="shared" si="194"/>
        <v>0</v>
      </c>
      <c r="CA289" s="49">
        <f t="shared" si="195"/>
        <v>0</v>
      </c>
      <c r="CB289" s="49">
        <f t="shared" si="196"/>
        <v>1</v>
      </c>
      <c r="CC289" s="49">
        <f t="shared" si="197"/>
        <v>0</v>
      </c>
      <c r="CD289" s="49">
        <f t="shared" si="198"/>
        <v>0</v>
      </c>
      <c r="CE289" s="49">
        <f t="shared" si="199"/>
        <v>0</v>
      </c>
    </row>
    <row r="290" spans="1:83" ht="35.1" customHeight="1" x14ac:dyDescent="0.3">
      <c r="A290" s="123" t="str">
        <f t="shared" si="160"/>
        <v>2팀</v>
      </c>
      <c r="B290" s="69">
        <f t="shared" si="161"/>
        <v>284</v>
      </c>
      <c r="C290" s="120" t="str">
        <f>IF(VLOOKUP($B290,'1. 현장별 인원현황'!$C:$J,2,0)=0,"",VLOOKUP($B290,'1. 현장별 인원현황'!$C:$J,2,0))</f>
        <v xml:space="preserve"> [2.현대산업개발] 광명제4R구역 주택재개발정비사업 일반전기공사-1공구</v>
      </c>
      <c r="D290" s="70" t="str">
        <f>IF(VLOOKUP($B290,'1. 현장별 인원현황'!$C:$J,3,0)=0,"",VLOOKUP($B290,'1. 현장별 인원현황'!$C:$J,3,0))</f>
        <v>임채준</v>
      </c>
      <c r="E290" s="74" t="str">
        <f ca="1">IF(VLOOKUP($B290,'1. 현장별 인원현황'!$C:$J,4,0)=0,"",VLOOKUP($B290,'1. 현장별 인원현황'!$C:$J,4,0))</f>
        <v>53세</v>
      </c>
      <c r="F290" s="70" t="str">
        <f>IF(VLOOKUP($B290,'1. 현장별 인원현황'!$C:$J,7,0)=0,"",VLOOKUP($B290,'1. 현장별 인원현황'!$C:$J,7,0))</f>
        <v>공사</v>
      </c>
      <c r="G290" s="72" t="str">
        <f>IF(VLOOKUP($B290,'1. 현장별 인원현황'!$C:$J,8,0)=0,"",VLOOKUP($B290,'1. 현장별 인원현황'!$C:$J,8,0))</f>
        <v>차장</v>
      </c>
      <c r="H290" s="67" t="s">
        <v>69</v>
      </c>
      <c r="I290" s="73"/>
      <c r="J290" s="73"/>
      <c r="K290" s="68"/>
      <c r="L290" s="67" t="s">
        <v>69</v>
      </c>
      <c r="M290" s="73"/>
      <c r="N290" s="73"/>
      <c r="O290" s="68"/>
      <c r="P290" s="67" t="s">
        <v>69</v>
      </c>
      <c r="Q290" s="73"/>
      <c r="R290" s="73"/>
      <c r="S290" s="68"/>
      <c r="T290" s="67"/>
      <c r="U290" s="73" t="s">
        <v>69</v>
      </c>
      <c r="V290" s="73"/>
      <c r="W290" s="68"/>
      <c r="X290" s="67"/>
      <c r="Y290" s="73" t="s">
        <v>69</v>
      </c>
      <c r="Z290" s="73"/>
      <c r="AA290" s="68"/>
      <c r="AB290" s="67" t="s">
        <v>69</v>
      </c>
      <c r="AC290" s="73"/>
      <c r="AD290" s="73"/>
      <c r="AE290" s="68"/>
      <c r="AF290" s="67"/>
      <c r="AG290" s="73" t="s">
        <v>69</v>
      </c>
      <c r="AH290" s="73"/>
      <c r="AI290" s="68"/>
      <c r="AJ290" s="67"/>
      <c r="AK290" s="73" t="s">
        <v>69</v>
      </c>
      <c r="AL290" s="73"/>
      <c r="AM290" s="68"/>
      <c r="AN290" s="73" t="s">
        <v>69</v>
      </c>
      <c r="AO290" s="73"/>
      <c r="AP290" s="73"/>
      <c r="AQ290" s="68"/>
      <c r="AR290" s="67">
        <f t="shared" si="162"/>
        <v>91</v>
      </c>
      <c r="AS290" s="68" t="str">
        <f t="shared" si="163"/>
        <v>S</v>
      </c>
      <c r="AV290" s="49">
        <f t="shared" si="164"/>
        <v>1</v>
      </c>
      <c r="AW290" s="49">
        <f t="shared" si="165"/>
        <v>0</v>
      </c>
      <c r="AX290" s="49">
        <f t="shared" si="166"/>
        <v>0</v>
      </c>
      <c r="AY290" s="49">
        <f t="shared" si="167"/>
        <v>0</v>
      </c>
      <c r="AZ290" s="49">
        <f t="shared" si="168"/>
        <v>1</v>
      </c>
      <c r="BA290" s="49">
        <f t="shared" si="169"/>
        <v>0</v>
      </c>
      <c r="BB290" s="49">
        <f t="shared" si="170"/>
        <v>0</v>
      </c>
      <c r="BC290" s="49">
        <f t="shared" si="171"/>
        <v>0</v>
      </c>
      <c r="BD290" s="49">
        <f t="shared" si="172"/>
        <v>1</v>
      </c>
      <c r="BE290" s="49">
        <f t="shared" si="173"/>
        <v>0</v>
      </c>
      <c r="BF290" s="49">
        <f t="shared" si="174"/>
        <v>0</v>
      </c>
      <c r="BG290" s="49">
        <f t="shared" si="175"/>
        <v>0</v>
      </c>
      <c r="BH290" s="49">
        <f t="shared" si="176"/>
        <v>0</v>
      </c>
      <c r="BI290" s="49">
        <f t="shared" si="177"/>
        <v>1</v>
      </c>
      <c r="BJ290" s="49">
        <f t="shared" si="178"/>
        <v>0</v>
      </c>
      <c r="BK290" s="49">
        <f t="shared" si="179"/>
        <v>0</v>
      </c>
      <c r="BL290" s="49">
        <f t="shared" si="180"/>
        <v>0</v>
      </c>
      <c r="BM290" s="49">
        <f t="shared" si="181"/>
        <v>1</v>
      </c>
      <c r="BN290" s="49">
        <f t="shared" si="182"/>
        <v>0</v>
      </c>
      <c r="BO290" s="49">
        <f t="shared" si="183"/>
        <v>0</v>
      </c>
      <c r="BP290" s="49">
        <f t="shared" si="184"/>
        <v>1</v>
      </c>
      <c r="BQ290" s="49">
        <f t="shared" si="185"/>
        <v>0</v>
      </c>
      <c r="BR290" s="49">
        <f t="shared" si="186"/>
        <v>0</v>
      </c>
      <c r="BS290" s="49">
        <f t="shared" si="187"/>
        <v>0</v>
      </c>
      <c r="BT290" s="49">
        <f t="shared" si="188"/>
        <v>0</v>
      </c>
      <c r="BU290" s="49">
        <f t="shared" si="189"/>
        <v>1</v>
      </c>
      <c r="BV290" s="49">
        <f t="shared" si="190"/>
        <v>0</v>
      </c>
      <c r="BW290" s="49">
        <f t="shared" si="191"/>
        <v>0</v>
      </c>
      <c r="BX290" s="49">
        <f t="shared" si="192"/>
        <v>0</v>
      </c>
      <c r="BY290" s="49">
        <f t="shared" si="193"/>
        <v>1</v>
      </c>
      <c r="BZ290" s="49">
        <f t="shared" si="194"/>
        <v>0</v>
      </c>
      <c r="CA290" s="49">
        <f t="shared" si="195"/>
        <v>0</v>
      </c>
      <c r="CB290" s="49">
        <f t="shared" si="196"/>
        <v>1</v>
      </c>
      <c r="CC290" s="49">
        <f t="shared" si="197"/>
        <v>0</v>
      </c>
      <c r="CD290" s="49">
        <f t="shared" si="198"/>
        <v>0</v>
      </c>
      <c r="CE290" s="49">
        <f t="shared" si="199"/>
        <v>0</v>
      </c>
    </row>
    <row r="291" spans="1:83" ht="35.1" customHeight="1" x14ac:dyDescent="0.3">
      <c r="A291" s="123" t="str">
        <f t="shared" si="160"/>
        <v>2팀</v>
      </c>
      <c r="B291" s="69">
        <f t="shared" si="161"/>
        <v>285</v>
      </c>
      <c r="C291" s="120" t="str">
        <f>IF(VLOOKUP($B291,'1. 현장별 인원현황'!$C:$J,2,0)=0,"",VLOOKUP($B291,'1. 현장별 인원현황'!$C:$J,2,0))</f>
        <v xml:space="preserve"> [2.현대산업개발] 광명제4R구역 주택재개발정비사업 일반전기공사-1공구</v>
      </c>
      <c r="D291" s="70" t="str">
        <f>IF(VLOOKUP($B291,'1. 현장별 인원현황'!$C:$J,3,0)=0,"",VLOOKUP($B291,'1. 현장별 인원현황'!$C:$J,3,0))</f>
        <v>김광기</v>
      </c>
      <c r="E291" s="74" t="str">
        <f ca="1">IF(VLOOKUP($B291,'1. 현장별 인원현황'!$C:$J,4,0)=0,"",VLOOKUP($B291,'1. 현장별 인원현황'!$C:$J,4,0))</f>
        <v>48세</v>
      </c>
      <c r="F291" s="70" t="str">
        <f>IF(VLOOKUP($B291,'1. 현장별 인원현황'!$C:$J,7,0)=0,"",VLOOKUP($B291,'1. 현장별 인원현황'!$C:$J,7,0))</f>
        <v>기능공</v>
      </c>
      <c r="G291" s="72" t="str">
        <f>IF(VLOOKUP($B291,'1. 현장별 인원현황'!$C:$J,8,0)=0,"",VLOOKUP($B291,'1. 현장별 인원현황'!$C:$J,8,0))</f>
        <v>전공</v>
      </c>
      <c r="H291" s="67" t="s">
        <v>69</v>
      </c>
      <c r="I291" s="73"/>
      <c r="J291" s="73"/>
      <c r="K291" s="68"/>
      <c r="L291" s="67" t="s">
        <v>69</v>
      </c>
      <c r="M291" s="73"/>
      <c r="N291" s="73"/>
      <c r="O291" s="68"/>
      <c r="P291" s="67" t="s">
        <v>69</v>
      </c>
      <c r="Q291" s="73"/>
      <c r="R291" s="73"/>
      <c r="S291" s="68"/>
      <c r="T291" s="67" t="s">
        <v>69</v>
      </c>
      <c r="U291" s="73"/>
      <c r="V291" s="73"/>
      <c r="W291" s="68"/>
      <c r="X291" s="67"/>
      <c r="Y291" s="73" t="s">
        <v>69</v>
      </c>
      <c r="Z291" s="73"/>
      <c r="AA291" s="68"/>
      <c r="AB291" s="67"/>
      <c r="AC291" s="73" t="s">
        <v>69</v>
      </c>
      <c r="AD291" s="73"/>
      <c r="AE291" s="68"/>
      <c r="AF291" s="67"/>
      <c r="AG291" s="73" t="s">
        <v>69</v>
      </c>
      <c r="AH291" s="73"/>
      <c r="AI291" s="68"/>
      <c r="AJ291" s="67"/>
      <c r="AK291" s="73" t="s">
        <v>69</v>
      </c>
      <c r="AL291" s="73"/>
      <c r="AM291" s="68"/>
      <c r="AN291" s="73" t="s">
        <v>69</v>
      </c>
      <c r="AO291" s="73"/>
      <c r="AP291" s="73"/>
      <c r="AQ291" s="68"/>
      <c r="AR291" s="67">
        <f t="shared" si="162"/>
        <v>91</v>
      </c>
      <c r="AS291" s="68" t="str">
        <f t="shared" si="163"/>
        <v>S</v>
      </c>
      <c r="AV291" s="49">
        <f t="shared" si="164"/>
        <v>1</v>
      </c>
      <c r="AW291" s="49">
        <f t="shared" si="165"/>
        <v>0</v>
      </c>
      <c r="AX291" s="49">
        <f t="shared" si="166"/>
        <v>0</v>
      </c>
      <c r="AY291" s="49">
        <f t="shared" si="167"/>
        <v>0</v>
      </c>
      <c r="AZ291" s="49">
        <f t="shared" si="168"/>
        <v>1</v>
      </c>
      <c r="BA291" s="49">
        <f t="shared" si="169"/>
        <v>0</v>
      </c>
      <c r="BB291" s="49">
        <f t="shared" si="170"/>
        <v>0</v>
      </c>
      <c r="BC291" s="49">
        <f t="shared" si="171"/>
        <v>0</v>
      </c>
      <c r="BD291" s="49">
        <f t="shared" si="172"/>
        <v>1</v>
      </c>
      <c r="BE291" s="49">
        <f t="shared" si="173"/>
        <v>0</v>
      </c>
      <c r="BF291" s="49">
        <f t="shared" si="174"/>
        <v>0</v>
      </c>
      <c r="BG291" s="49">
        <f t="shared" si="175"/>
        <v>0</v>
      </c>
      <c r="BH291" s="49">
        <f t="shared" si="176"/>
        <v>1</v>
      </c>
      <c r="BI291" s="49">
        <f t="shared" si="177"/>
        <v>0</v>
      </c>
      <c r="BJ291" s="49">
        <f t="shared" si="178"/>
        <v>0</v>
      </c>
      <c r="BK291" s="49">
        <f t="shared" si="179"/>
        <v>0</v>
      </c>
      <c r="BL291" s="49">
        <f t="shared" si="180"/>
        <v>0</v>
      </c>
      <c r="BM291" s="49">
        <f t="shared" si="181"/>
        <v>1</v>
      </c>
      <c r="BN291" s="49">
        <f t="shared" si="182"/>
        <v>0</v>
      </c>
      <c r="BO291" s="49">
        <f t="shared" si="183"/>
        <v>0</v>
      </c>
      <c r="BP291" s="49">
        <f t="shared" si="184"/>
        <v>0</v>
      </c>
      <c r="BQ291" s="49">
        <f t="shared" si="185"/>
        <v>1</v>
      </c>
      <c r="BR291" s="49">
        <f t="shared" si="186"/>
        <v>0</v>
      </c>
      <c r="BS291" s="49">
        <f t="shared" si="187"/>
        <v>0</v>
      </c>
      <c r="BT291" s="49">
        <f t="shared" si="188"/>
        <v>0</v>
      </c>
      <c r="BU291" s="49">
        <f t="shared" si="189"/>
        <v>1</v>
      </c>
      <c r="BV291" s="49">
        <f t="shared" si="190"/>
        <v>0</v>
      </c>
      <c r="BW291" s="49">
        <f t="shared" si="191"/>
        <v>0</v>
      </c>
      <c r="BX291" s="49">
        <f t="shared" si="192"/>
        <v>0</v>
      </c>
      <c r="BY291" s="49">
        <f t="shared" si="193"/>
        <v>1</v>
      </c>
      <c r="BZ291" s="49">
        <f t="shared" si="194"/>
        <v>0</v>
      </c>
      <c r="CA291" s="49">
        <f t="shared" si="195"/>
        <v>0</v>
      </c>
      <c r="CB291" s="49">
        <f t="shared" si="196"/>
        <v>1</v>
      </c>
      <c r="CC291" s="49">
        <f t="shared" si="197"/>
        <v>0</v>
      </c>
      <c r="CD291" s="49">
        <f t="shared" si="198"/>
        <v>0</v>
      </c>
      <c r="CE291" s="49">
        <f t="shared" si="199"/>
        <v>0</v>
      </c>
    </row>
    <row r="292" spans="1:83" ht="35.1" customHeight="1" x14ac:dyDescent="0.3">
      <c r="A292" s="123" t="str">
        <f t="shared" si="160"/>
        <v>2팀</v>
      </c>
      <c r="B292" s="69">
        <f t="shared" si="161"/>
        <v>286</v>
      </c>
      <c r="C292" s="120" t="str">
        <f>IF(VLOOKUP($B292,'1. 현장별 인원현황'!$C:$J,2,0)=0,"",VLOOKUP($B292,'1. 현장별 인원현황'!$C:$J,2,0))</f>
        <v xml:space="preserve"> [2.현대산업개발] 광명제4R구역 주택재개발정비사업 일반전기공사-1공구</v>
      </c>
      <c r="D292" s="70" t="str">
        <f>IF(VLOOKUP($B292,'1. 현장별 인원현황'!$C:$J,3,0)=0,"",VLOOKUP($B292,'1. 현장별 인원현황'!$C:$J,3,0))</f>
        <v>임두섭</v>
      </c>
      <c r="E292" s="74" t="str">
        <f ca="1">IF(VLOOKUP($B292,'1. 현장별 인원현황'!$C:$J,4,0)=0,"",VLOOKUP($B292,'1. 현장별 인원현황'!$C:$J,4,0))</f>
        <v>44세</v>
      </c>
      <c r="F292" s="70" t="str">
        <f>IF(VLOOKUP($B292,'1. 현장별 인원현황'!$C:$J,7,0)=0,"",VLOOKUP($B292,'1. 현장별 인원현황'!$C:$J,7,0))</f>
        <v>기능공</v>
      </c>
      <c r="G292" s="72" t="str">
        <f>IF(VLOOKUP($B292,'1. 현장별 인원현황'!$C:$J,8,0)=0,"",VLOOKUP($B292,'1. 현장별 인원현황'!$C:$J,8,0))</f>
        <v>전공</v>
      </c>
      <c r="H292" s="67" t="s">
        <v>69</v>
      </c>
      <c r="I292" s="73"/>
      <c r="J292" s="73"/>
      <c r="K292" s="68"/>
      <c r="L292" s="67" t="s">
        <v>69</v>
      </c>
      <c r="M292" s="73"/>
      <c r="N292" s="73"/>
      <c r="O292" s="68"/>
      <c r="P292" s="67" t="s">
        <v>69</v>
      </c>
      <c r="Q292" s="73"/>
      <c r="R292" s="73"/>
      <c r="S292" s="68"/>
      <c r="T292" s="67" t="s">
        <v>69</v>
      </c>
      <c r="U292" s="73"/>
      <c r="V292" s="73"/>
      <c r="W292" s="68"/>
      <c r="X292" s="67" t="s">
        <v>69</v>
      </c>
      <c r="Y292" s="73"/>
      <c r="Z292" s="73"/>
      <c r="AA292" s="68"/>
      <c r="AB292" s="67" t="s">
        <v>69</v>
      </c>
      <c r="AC292" s="73"/>
      <c r="AD292" s="73"/>
      <c r="AE292" s="68"/>
      <c r="AF292" s="67"/>
      <c r="AG292" s="73" t="s">
        <v>69</v>
      </c>
      <c r="AH292" s="73"/>
      <c r="AI292" s="68"/>
      <c r="AJ292" s="67"/>
      <c r="AK292" s="73" t="s">
        <v>69</v>
      </c>
      <c r="AL292" s="73"/>
      <c r="AM292" s="68"/>
      <c r="AN292" s="73" t="s">
        <v>69</v>
      </c>
      <c r="AO292" s="73"/>
      <c r="AP292" s="73"/>
      <c r="AQ292" s="68"/>
      <c r="AR292" s="67">
        <f t="shared" si="162"/>
        <v>95</v>
      </c>
      <c r="AS292" s="68" t="str">
        <f t="shared" si="163"/>
        <v>S</v>
      </c>
      <c r="AV292" s="49">
        <f t="shared" si="164"/>
        <v>1</v>
      </c>
      <c r="AW292" s="49">
        <f t="shared" si="165"/>
        <v>0</v>
      </c>
      <c r="AX292" s="49">
        <f t="shared" si="166"/>
        <v>0</v>
      </c>
      <c r="AY292" s="49">
        <f t="shared" si="167"/>
        <v>0</v>
      </c>
      <c r="AZ292" s="49">
        <f t="shared" si="168"/>
        <v>1</v>
      </c>
      <c r="BA292" s="49">
        <f t="shared" si="169"/>
        <v>0</v>
      </c>
      <c r="BB292" s="49">
        <f t="shared" si="170"/>
        <v>0</v>
      </c>
      <c r="BC292" s="49">
        <f t="shared" si="171"/>
        <v>0</v>
      </c>
      <c r="BD292" s="49">
        <f t="shared" si="172"/>
        <v>1</v>
      </c>
      <c r="BE292" s="49">
        <f t="shared" si="173"/>
        <v>0</v>
      </c>
      <c r="BF292" s="49">
        <f t="shared" si="174"/>
        <v>0</v>
      </c>
      <c r="BG292" s="49">
        <f t="shared" si="175"/>
        <v>0</v>
      </c>
      <c r="BH292" s="49">
        <f t="shared" si="176"/>
        <v>1</v>
      </c>
      <c r="BI292" s="49">
        <f t="shared" si="177"/>
        <v>0</v>
      </c>
      <c r="BJ292" s="49">
        <f t="shared" si="178"/>
        <v>0</v>
      </c>
      <c r="BK292" s="49">
        <f t="shared" si="179"/>
        <v>0</v>
      </c>
      <c r="BL292" s="49">
        <f t="shared" si="180"/>
        <v>1</v>
      </c>
      <c r="BM292" s="49">
        <f t="shared" si="181"/>
        <v>0</v>
      </c>
      <c r="BN292" s="49">
        <f t="shared" si="182"/>
        <v>0</v>
      </c>
      <c r="BO292" s="49">
        <f t="shared" si="183"/>
        <v>0</v>
      </c>
      <c r="BP292" s="49">
        <f t="shared" si="184"/>
        <v>1</v>
      </c>
      <c r="BQ292" s="49">
        <f t="shared" si="185"/>
        <v>0</v>
      </c>
      <c r="BR292" s="49">
        <f t="shared" si="186"/>
        <v>0</v>
      </c>
      <c r="BS292" s="49">
        <f t="shared" si="187"/>
        <v>0</v>
      </c>
      <c r="BT292" s="49">
        <f t="shared" si="188"/>
        <v>0</v>
      </c>
      <c r="BU292" s="49">
        <f t="shared" si="189"/>
        <v>1</v>
      </c>
      <c r="BV292" s="49">
        <f t="shared" si="190"/>
        <v>0</v>
      </c>
      <c r="BW292" s="49">
        <f t="shared" si="191"/>
        <v>0</v>
      </c>
      <c r="BX292" s="49">
        <f t="shared" si="192"/>
        <v>0</v>
      </c>
      <c r="BY292" s="49">
        <f t="shared" si="193"/>
        <v>1</v>
      </c>
      <c r="BZ292" s="49">
        <f t="shared" si="194"/>
        <v>0</v>
      </c>
      <c r="CA292" s="49">
        <f t="shared" si="195"/>
        <v>0</v>
      </c>
      <c r="CB292" s="49">
        <f t="shared" si="196"/>
        <v>1</v>
      </c>
      <c r="CC292" s="49">
        <f t="shared" si="197"/>
        <v>0</v>
      </c>
      <c r="CD292" s="49">
        <f t="shared" si="198"/>
        <v>0</v>
      </c>
      <c r="CE292" s="49">
        <f t="shared" si="199"/>
        <v>0</v>
      </c>
    </row>
    <row r="293" spans="1:83" ht="35.1" customHeight="1" x14ac:dyDescent="0.3">
      <c r="A293" s="123" t="str">
        <f t="shared" si="160"/>
        <v>2팀</v>
      </c>
      <c r="B293" s="69">
        <f t="shared" si="161"/>
        <v>287</v>
      </c>
      <c r="C293" s="120" t="str">
        <f>IF(VLOOKUP($B293,'1. 현장별 인원현황'!$C:$J,2,0)=0,"",VLOOKUP($B293,'1. 현장별 인원현황'!$C:$J,2,0))</f>
        <v xml:space="preserve"> [2.현대엔지니어링] 상도동 지역주택조합 주상복합 신축사업</v>
      </c>
      <c r="D293" s="70" t="str">
        <f>IF(VLOOKUP($B293,'1. 현장별 인원현황'!$C:$J,3,0)=0,"",VLOOKUP($B293,'1. 현장별 인원현황'!$C:$J,3,0))</f>
        <v>박달섭</v>
      </c>
      <c r="E293" s="74" t="str">
        <f ca="1">IF(VLOOKUP($B293,'1. 현장별 인원현황'!$C:$J,4,0)=0,"",VLOOKUP($B293,'1. 현장별 인원현황'!$C:$J,4,0))</f>
        <v>68세</v>
      </c>
      <c r="F293" s="70" t="str">
        <f>IF(VLOOKUP($B293,'1. 현장별 인원현황'!$C:$J,7,0)=0,"",VLOOKUP($B293,'1. 현장별 인원현황'!$C:$J,7,0))</f>
        <v>공무</v>
      </c>
      <c r="G293" s="72" t="str">
        <f>IF(VLOOKUP($B293,'1. 현장별 인원현황'!$C:$J,8,0)=0,"",VLOOKUP($B293,'1. 현장별 인원현황'!$C:$J,8,0))</f>
        <v>이사</v>
      </c>
      <c r="H293" s="67" t="s">
        <v>69</v>
      </c>
      <c r="I293" s="73"/>
      <c r="J293" s="73"/>
      <c r="K293" s="68"/>
      <c r="L293" s="67" t="s">
        <v>69</v>
      </c>
      <c r="M293" s="73"/>
      <c r="N293" s="73"/>
      <c r="O293" s="68"/>
      <c r="P293" s="67" t="s">
        <v>69</v>
      </c>
      <c r="Q293" s="73"/>
      <c r="R293" s="73"/>
      <c r="S293" s="68"/>
      <c r="T293" s="67" t="s">
        <v>69</v>
      </c>
      <c r="U293" s="73"/>
      <c r="V293" s="73"/>
      <c r="W293" s="68"/>
      <c r="X293" s="67" t="s">
        <v>69</v>
      </c>
      <c r="Y293" s="73"/>
      <c r="Z293" s="73"/>
      <c r="AA293" s="68"/>
      <c r="AB293" s="67" t="s">
        <v>69</v>
      </c>
      <c r="AC293" s="73"/>
      <c r="AD293" s="73"/>
      <c r="AE293" s="68"/>
      <c r="AF293" s="67" t="s">
        <v>69</v>
      </c>
      <c r="AG293" s="73"/>
      <c r="AH293" s="73"/>
      <c r="AI293" s="68"/>
      <c r="AJ293" s="67" t="s">
        <v>69</v>
      </c>
      <c r="AK293" s="73"/>
      <c r="AL293" s="73"/>
      <c r="AM293" s="68"/>
      <c r="AN293" s="73" t="s">
        <v>69</v>
      </c>
      <c r="AO293" s="73"/>
      <c r="AP293" s="73"/>
      <c r="AQ293" s="68"/>
      <c r="AR293" s="67">
        <f t="shared" si="162"/>
        <v>100</v>
      </c>
      <c r="AS293" s="68" t="str">
        <f t="shared" si="163"/>
        <v>S</v>
      </c>
      <c r="AV293" s="49">
        <f t="shared" si="164"/>
        <v>1</v>
      </c>
      <c r="AW293" s="49">
        <f t="shared" si="165"/>
        <v>0</v>
      </c>
      <c r="AX293" s="49">
        <f t="shared" si="166"/>
        <v>0</v>
      </c>
      <c r="AY293" s="49">
        <f t="shared" si="167"/>
        <v>0</v>
      </c>
      <c r="AZ293" s="49">
        <f t="shared" si="168"/>
        <v>1</v>
      </c>
      <c r="BA293" s="49">
        <f t="shared" si="169"/>
        <v>0</v>
      </c>
      <c r="BB293" s="49">
        <f t="shared" si="170"/>
        <v>0</v>
      </c>
      <c r="BC293" s="49">
        <f t="shared" si="171"/>
        <v>0</v>
      </c>
      <c r="BD293" s="49">
        <f t="shared" si="172"/>
        <v>1</v>
      </c>
      <c r="BE293" s="49">
        <f t="shared" si="173"/>
        <v>0</v>
      </c>
      <c r="BF293" s="49">
        <f t="shared" si="174"/>
        <v>0</v>
      </c>
      <c r="BG293" s="49">
        <f t="shared" si="175"/>
        <v>0</v>
      </c>
      <c r="BH293" s="49">
        <f t="shared" si="176"/>
        <v>1</v>
      </c>
      <c r="BI293" s="49">
        <f t="shared" si="177"/>
        <v>0</v>
      </c>
      <c r="BJ293" s="49">
        <f t="shared" si="178"/>
        <v>0</v>
      </c>
      <c r="BK293" s="49">
        <f t="shared" si="179"/>
        <v>0</v>
      </c>
      <c r="BL293" s="49">
        <f t="shared" si="180"/>
        <v>1</v>
      </c>
      <c r="BM293" s="49">
        <f t="shared" si="181"/>
        <v>0</v>
      </c>
      <c r="BN293" s="49">
        <f t="shared" si="182"/>
        <v>0</v>
      </c>
      <c r="BO293" s="49">
        <f t="shared" si="183"/>
        <v>0</v>
      </c>
      <c r="BP293" s="49">
        <f t="shared" si="184"/>
        <v>1</v>
      </c>
      <c r="BQ293" s="49">
        <f t="shared" si="185"/>
        <v>0</v>
      </c>
      <c r="BR293" s="49">
        <f t="shared" si="186"/>
        <v>0</v>
      </c>
      <c r="BS293" s="49">
        <f t="shared" si="187"/>
        <v>0</v>
      </c>
      <c r="BT293" s="49">
        <f t="shared" si="188"/>
        <v>1</v>
      </c>
      <c r="BU293" s="49">
        <f t="shared" si="189"/>
        <v>0</v>
      </c>
      <c r="BV293" s="49">
        <f t="shared" si="190"/>
        <v>0</v>
      </c>
      <c r="BW293" s="49">
        <f t="shared" si="191"/>
        <v>0</v>
      </c>
      <c r="BX293" s="49">
        <f t="shared" si="192"/>
        <v>1</v>
      </c>
      <c r="BY293" s="49">
        <f t="shared" si="193"/>
        <v>0</v>
      </c>
      <c r="BZ293" s="49">
        <f t="shared" si="194"/>
        <v>0</v>
      </c>
      <c r="CA293" s="49">
        <f t="shared" si="195"/>
        <v>0</v>
      </c>
      <c r="CB293" s="49">
        <f t="shared" si="196"/>
        <v>1</v>
      </c>
      <c r="CC293" s="49">
        <f t="shared" si="197"/>
        <v>0</v>
      </c>
      <c r="CD293" s="49">
        <f t="shared" si="198"/>
        <v>0</v>
      </c>
      <c r="CE293" s="49">
        <f t="shared" si="199"/>
        <v>0</v>
      </c>
    </row>
    <row r="294" spans="1:83" ht="35.1" customHeight="1" x14ac:dyDescent="0.3">
      <c r="A294" s="123" t="str">
        <f t="shared" si="160"/>
        <v>2팀</v>
      </c>
      <c r="B294" s="69">
        <f t="shared" si="161"/>
        <v>288</v>
      </c>
      <c r="C294" s="120" t="str">
        <f>IF(VLOOKUP($B294,'1. 현장별 인원현황'!$C:$J,2,0)=0,"",VLOOKUP($B294,'1. 현장별 인원현황'!$C:$J,2,0))</f>
        <v xml:space="preserve"> [2.현대엔지니어링] 상도동 지역주택조합 주상복합 신축사업</v>
      </c>
      <c r="D294" s="70" t="str">
        <f>IF(VLOOKUP($B294,'1. 현장별 인원현황'!$C:$J,3,0)=0,"",VLOOKUP($B294,'1. 현장별 인원현황'!$C:$J,3,0))</f>
        <v>노희순</v>
      </c>
      <c r="E294" s="74" t="str">
        <f ca="1">IF(VLOOKUP($B294,'1. 현장별 인원현황'!$C:$J,4,0)=0,"",VLOOKUP($B294,'1. 현장별 인원현황'!$C:$J,4,0))</f>
        <v>57세</v>
      </c>
      <c r="F294" s="70" t="str">
        <f>IF(VLOOKUP($B294,'1. 현장별 인원현황'!$C:$J,7,0)=0,"",VLOOKUP($B294,'1. 현장별 인원현황'!$C:$J,7,0))</f>
        <v>기능공</v>
      </c>
      <c r="G294" s="72" t="str">
        <f>IF(VLOOKUP($B294,'1. 현장별 인원현황'!$C:$J,8,0)=0,"",VLOOKUP($B294,'1. 현장별 인원현황'!$C:$J,8,0))</f>
        <v>전공</v>
      </c>
      <c r="H294" s="67" t="s">
        <v>69</v>
      </c>
      <c r="I294" s="73"/>
      <c r="J294" s="73"/>
      <c r="K294" s="68"/>
      <c r="L294" s="67" t="s">
        <v>69</v>
      </c>
      <c r="M294" s="73"/>
      <c r="N294" s="73"/>
      <c r="O294" s="68"/>
      <c r="P294" s="67" t="s">
        <v>69</v>
      </c>
      <c r="Q294" s="73"/>
      <c r="R294" s="73"/>
      <c r="S294" s="68"/>
      <c r="T294" s="67" t="s">
        <v>69</v>
      </c>
      <c r="U294" s="73"/>
      <c r="V294" s="73"/>
      <c r="W294" s="68"/>
      <c r="X294" s="67" t="s">
        <v>69</v>
      </c>
      <c r="Y294" s="73"/>
      <c r="Z294" s="73"/>
      <c r="AA294" s="68"/>
      <c r="AB294" s="67" t="s">
        <v>69</v>
      </c>
      <c r="AC294" s="73"/>
      <c r="AD294" s="73"/>
      <c r="AE294" s="68"/>
      <c r="AF294" s="67" t="s">
        <v>69</v>
      </c>
      <c r="AG294" s="73"/>
      <c r="AH294" s="73"/>
      <c r="AI294" s="68"/>
      <c r="AJ294" s="67" t="s">
        <v>69</v>
      </c>
      <c r="AK294" s="73"/>
      <c r="AL294" s="73"/>
      <c r="AM294" s="68"/>
      <c r="AN294" s="73" t="s">
        <v>69</v>
      </c>
      <c r="AO294" s="73"/>
      <c r="AP294" s="73"/>
      <c r="AQ294" s="68"/>
      <c r="AR294" s="67">
        <f t="shared" si="162"/>
        <v>100</v>
      </c>
      <c r="AS294" s="68" t="str">
        <f t="shared" si="163"/>
        <v>S</v>
      </c>
      <c r="AV294" s="49">
        <f t="shared" si="164"/>
        <v>1</v>
      </c>
      <c r="AW294" s="49">
        <f t="shared" si="165"/>
        <v>0</v>
      </c>
      <c r="AX294" s="49">
        <f t="shared" si="166"/>
        <v>0</v>
      </c>
      <c r="AY294" s="49">
        <f t="shared" si="167"/>
        <v>0</v>
      </c>
      <c r="AZ294" s="49">
        <f t="shared" si="168"/>
        <v>1</v>
      </c>
      <c r="BA294" s="49">
        <f t="shared" si="169"/>
        <v>0</v>
      </c>
      <c r="BB294" s="49">
        <f t="shared" si="170"/>
        <v>0</v>
      </c>
      <c r="BC294" s="49">
        <f t="shared" si="171"/>
        <v>0</v>
      </c>
      <c r="BD294" s="49">
        <f t="shared" si="172"/>
        <v>1</v>
      </c>
      <c r="BE294" s="49">
        <f t="shared" si="173"/>
        <v>0</v>
      </c>
      <c r="BF294" s="49">
        <f t="shared" si="174"/>
        <v>0</v>
      </c>
      <c r="BG294" s="49">
        <f t="shared" si="175"/>
        <v>0</v>
      </c>
      <c r="BH294" s="49">
        <f t="shared" si="176"/>
        <v>1</v>
      </c>
      <c r="BI294" s="49">
        <f t="shared" si="177"/>
        <v>0</v>
      </c>
      <c r="BJ294" s="49">
        <f t="shared" si="178"/>
        <v>0</v>
      </c>
      <c r="BK294" s="49">
        <f t="shared" si="179"/>
        <v>0</v>
      </c>
      <c r="BL294" s="49">
        <f t="shared" si="180"/>
        <v>1</v>
      </c>
      <c r="BM294" s="49">
        <f t="shared" si="181"/>
        <v>0</v>
      </c>
      <c r="BN294" s="49">
        <f t="shared" si="182"/>
        <v>0</v>
      </c>
      <c r="BO294" s="49">
        <f t="shared" si="183"/>
        <v>0</v>
      </c>
      <c r="BP294" s="49">
        <f t="shared" si="184"/>
        <v>1</v>
      </c>
      <c r="BQ294" s="49">
        <f t="shared" si="185"/>
        <v>0</v>
      </c>
      <c r="BR294" s="49">
        <f t="shared" si="186"/>
        <v>0</v>
      </c>
      <c r="BS294" s="49">
        <f t="shared" si="187"/>
        <v>0</v>
      </c>
      <c r="BT294" s="49">
        <f t="shared" si="188"/>
        <v>1</v>
      </c>
      <c r="BU294" s="49">
        <f t="shared" si="189"/>
        <v>0</v>
      </c>
      <c r="BV294" s="49">
        <f t="shared" si="190"/>
        <v>0</v>
      </c>
      <c r="BW294" s="49">
        <f t="shared" si="191"/>
        <v>0</v>
      </c>
      <c r="BX294" s="49">
        <f t="shared" si="192"/>
        <v>1</v>
      </c>
      <c r="BY294" s="49">
        <f t="shared" si="193"/>
        <v>0</v>
      </c>
      <c r="BZ294" s="49">
        <f t="shared" si="194"/>
        <v>0</v>
      </c>
      <c r="CA294" s="49">
        <f t="shared" si="195"/>
        <v>0</v>
      </c>
      <c r="CB294" s="49">
        <f t="shared" si="196"/>
        <v>1</v>
      </c>
      <c r="CC294" s="49">
        <f t="shared" si="197"/>
        <v>0</v>
      </c>
      <c r="CD294" s="49">
        <f t="shared" si="198"/>
        <v>0</v>
      </c>
      <c r="CE294" s="49">
        <f t="shared" si="199"/>
        <v>0</v>
      </c>
    </row>
    <row r="295" spans="1:83" ht="35.1" customHeight="1" x14ac:dyDescent="0.3">
      <c r="A295" s="123" t="str">
        <f t="shared" si="160"/>
        <v>2팀</v>
      </c>
      <c r="B295" s="69">
        <f t="shared" si="161"/>
        <v>289</v>
      </c>
      <c r="C295" s="120" t="str">
        <f>IF(VLOOKUP($B295,'1. 현장별 인원현황'!$C:$J,2,0)=0,"",VLOOKUP($B295,'1. 현장별 인원현황'!$C:$J,2,0))</f>
        <v xml:space="preserve"> [2.현대엔지니어링] 상도동 지역주택조합 주상복합 신축사업</v>
      </c>
      <c r="D295" s="70" t="str">
        <f>IF(VLOOKUP($B295,'1. 현장별 인원현황'!$C:$J,3,0)=0,"",VLOOKUP($B295,'1. 현장별 인원현황'!$C:$J,3,0))</f>
        <v>김순태</v>
      </c>
      <c r="E295" s="74" t="str">
        <f ca="1">IF(VLOOKUP($B295,'1. 현장별 인원현황'!$C:$J,4,0)=0,"",VLOOKUP($B295,'1. 현장별 인원현황'!$C:$J,4,0))</f>
        <v>56세</v>
      </c>
      <c r="F295" s="70" t="str">
        <f>IF(VLOOKUP($B295,'1. 현장별 인원현황'!$C:$J,7,0)=0,"",VLOOKUP($B295,'1. 현장별 인원현황'!$C:$J,7,0))</f>
        <v>기능공</v>
      </c>
      <c r="G295" s="72" t="str">
        <f>IF(VLOOKUP($B295,'1. 현장별 인원현황'!$C:$J,8,0)=0,"",VLOOKUP($B295,'1. 현장별 인원현황'!$C:$J,8,0))</f>
        <v>전공</v>
      </c>
      <c r="H295" s="67" t="s">
        <v>69</v>
      </c>
      <c r="I295" s="73"/>
      <c r="J295" s="73"/>
      <c r="K295" s="68"/>
      <c r="L295" s="67" t="s">
        <v>69</v>
      </c>
      <c r="M295" s="73"/>
      <c r="N295" s="73"/>
      <c r="O295" s="68"/>
      <c r="P295" s="67" t="s">
        <v>69</v>
      </c>
      <c r="Q295" s="73"/>
      <c r="R295" s="73"/>
      <c r="S295" s="68"/>
      <c r="T295" s="67" t="s">
        <v>69</v>
      </c>
      <c r="U295" s="73"/>
      <c r="V295" s="73"/>
      <c r="W295" s="68"/>
      <c r="X295" s="67" t="s">
        <v>69</v>
      </c>
      <c r="Y295" s="73"/>
      <c r="Z295" s="73"/>
      <c r="AA295" s="68"/>
      <c r="AB295" s="67" t="s">
        <v>69</v>
      </c>
      <c r="AC295" s="73"/>
      <c r="AD295" s="73"/>
      <c r="AE295" s="68"/>
      <c r="AF295" s="67" t="s">
        <v>69</v>
      </c>
      <c r="AG295" s="73"/>
      <c r="AH295" s="73"/>
      <c r="AI295" s="68"/>
      <c r="AJ295" s="67" t="s">
        <v>69</v>
      </c>
      <c r="AK295" s="73"/>
      <c r="AL295" s="73"/>
      <c r="AM295" s="68"/>
      <c r="AN295" s="73" t="s">
        <v>69</v>
      </c>
      <c r="AO295" s="73"/>
      <c r="AP295" s="73"/>
      <c r="AQ295" s="68"/>
      <c r="AR295" s="67">
        <f t="shared" si="162"/>
        <v>100</v>
      </c>
      <c r="AS295" s="68" t="str">
        <f t="shared" si="163"/>
        <v>S</v>
      </c>
      <c r="AV295" s="49">
        <f t="shared" si="164"/>
        <v>1</v>
      </c>
      <c r="AW295" s="49">
        <f t="shared" si="165"/>
        <v>0</v>
      </c>
      <c r="AX295" s="49">
        <f t="shared" si="166"/>
        <v>0</v>
      </c>
      <c r="AY295" s="49">
        <f t="shared" si="167"/>
        <v>0</v>
      </c>
      <c r="AZ295" s="49">
        <f t="shared" si="168"/>
        <v>1</v>
      </c>
      <c r="BA295" s="49">
        <f t="shared" si="169"/>
        <v>0</v>
      </c>
      <c r="BB295" s="49">
        <f t="shared" si="170"/>
        <v>0</v>
      </c>
      <c r="BC295" s="49">
        <f t="shared" si="171"/>
        <v>0</v>
      </c>
      <c r="BD295" s="49">
        <f t="shared" si="172"/>
        <v>1</v>
      </c>
      <c r="BE295" s="49">
        <f t="shared" si="173"/>
        <v>0</v>
      </c>
      <c r="BF295" s="49">
        <f t="shared" si="174"/>
        <v>0</v>
      </c>
      <c r="BG295" s="49">
        <f t="shared" si="175"/>
        <v>0</v>
      </c>
      <c r="BH295" s="49">
        <f t="shared" si="176"/>
        <v>1</v>
      </c>
      <c r="BI295" s="49">
        <f t="shared" si="177"/>
        <v>0</v>
      </c>
      <c r="BJ295" s="49">
        <f t="shared" si="178"/>
        <v>0</v>
      </c>
      <c r="BK295" s="49">
        <f t="shared" si="179"/>
        <v>0</v>
      </c>
      <c r="BL295" s="49">
        <f t="shared" si="180"/>
        <v>1</v>
      </c>
      <c r="BM295" s="49">
        <f t="shared" si="181"/>
        <v>0</v>
      </c>
      <c r="BN295" s="49">
        <f t="shared" si="182"/>
        <v>0</v>
      </c>
      <c r="BO295" s="49">
        <f t="shared" si="183"/>
        <v>0</v>
      </c>
      <c r="BP295" s="49">
        <f t="shared" si="184"/>
        <v>1</v>
      </c>
      <c r="BQ295" s="49">
        <f t="shared" si="185"/>
        <v>0</v>
      </c>
      <c r="BR295" s="49">
        <f t="shared" si="186"/>
        <v>0</v>
      </c>
      <c r="BS295" s="49">
        <f t="shared" si="187"/>
        <v>0</v>
      </c>
      <c r="BT295" s="49">
        <f t="shared" si="188"/>
        <v>1</v>
      </c>
      <c r="BU295" s="49">
        <f t="shared" si="189"/>
        <v>0</v>
      </c>
      <c r="BV295" s="49">
        <f t="shared" si="190"/>
        <v>0</v>
      </c>
      <c r="BW295" s="49">
        <f t="shared" si="191"/>
        <v>0</v>
      </c>
      <c r="BX295" s="49">
        <f t="shared" si="192"/>
        <v>1</v>
      </c>
      <c r="BY295" s="49">
        <f t="shared" si="193"/>
        <v>0</v>
      </c>
      <c r="BZ295" s="49">
        <f t="shared" si="194"/>
        <v>0</v>
      </c>
      <c r="CA295" s="49">
        <f t="shared" si="195"/>
        <v>0</v>
      </c>
      <c r="CB295" s="49">
        <f t="shared" si="196"/>
        <v>1</v>
      </c>
      <c r="CC295" s="49">
        <f t="shared" si="197"/>
        <v>0</v>
      </c>
      <c r="CD295" s="49">
        <f t="shared" si="198"/>
        <v>0</v>
      </c>
      <c r="CE295" s="49">
        <f t="shared" si="199"/>
        <v>0</v>
      </c>
    </row>
    <row r="296" spans="1:83" ht="35.1" customHeight="1" x14ac:dyDescent="0.3">
      <c r="A296" s="123" t="str">
        <f t="shared" si="160"/>
        <v>2팀</v>
      </c>
      <c r="B296" s="69">
        <f t="shared" si="161"/>
        <v>290</v>
      </c>
      <c r="C296" s="120" t="str">
        <f>IF(VLOOKUP($B296,'1. 현장별 인원현황'!$C:$J,2,0)=0,"",VLOOKUP($B296,'1. 현장별 인원현황'!$C:$J,2,0))</f>
        <v xml:space="preserve"> [2.현대엔지니어링] 상도동 지역주택조합 주상복합 신축사업</v>
      </c>
      <c r="D296" s="70" t="str">
        <f>IF(VLOOKUP($B296,'1. 현장별 인원현황'!$C:$J,3,0)=0,"",VLOOKUP($B296,'1. 현장별 인원현황'!$C:$J,3,0))</f>
        <v>한화석</v>
      </c>
      <c r="E296" s="74" t="str">
        <f ca="1">IF(VLOOKUP($B296,'1. 현장별 인원현황'!$C:$J,4,0)=0,"",VLOOKUP($B296,'1. 현장별 인원현황'!$C:$J,4,0))</f>
        <v>57세</v>
      </c>
      <c r="F296" s="70" t="str">
        <f>IF(VLOOKUP($B296,'1. 현장별 인원현황'!$C:$J,7,0)=0,"",VLOOKUP($B296,'1. 현장별 인원현황'!$C:$J,7,0))</f>
        <v>기능공</v>
      </c>
      <c r="G296" s="72" t="str">
        <f>IF(VLOOKUP($B296,'1. 현장별 인원현황'!$C:$J,8,0)=0,"",VLOOKUP($B296,'1. 현장별 인원현황'!$C:$J,8,0))</f>
        <v>전공</v>
      </c>
      <c r="H296" s="67" t="s">
        <v>69</v>
      </c>
      <c r="I296" s="73"/>
      <c r="J296" s="73"/>
      <c r="K296" s="68"/>
      <c r="L296" s="67" t="s">
        <v>69</v>
      </c>
      <c r="M296" s="73"/>
      <c r="N296" s="73"/>
      <c r="O296" s="68"/>
      <c r="P296" s="67" t="s">
        <v>69</v>
      </c>
      <c r="Q296" s="73"/>
      <c r="R296" s="73"/>
      <c r="S296" s="68"/>
      <c r="T296" s="67" t="s">
        <v>69</v>
      </c>
      <c r="U296" s="73"/>
      <c r="V296" s="73"/>
      <c r="W296" s="68"/>
      <c r="X296" s="67" t="s">
        <v>69</v>
      </c>
      <c r="Y296" s="73"/>
      <c r="Z296" s="73"/>
      <c r="AA296" s="68"/>
      <c r="AB296" s="67" t="s">
        <v>69</v>
      </c>
      <c r="AC296" s="73"/>
      <c r="AD296" s="73"/>
      <c r="AE296" s="68"/>
      <c r="AF296" s="67" t="s">
        <v>69</v>
      </c>
      <c r="AG296" s="73"/>
      <c r="AH296" s="73"/>
      <c r="AI296" s="68"/>
      <c r="AJ296" s="67" t="s">
        <v>69</v>
      </c>
      <c r="AK296" s="73"/>
      <c r="AL296" s="73"/>
      <c r="AM296" s="68"/>
      <c r="AN296" s="73" t="s">
        <v>69</v>
      </c>
      <c r="AO296" s="73"/>
      <c r="AP296" s="73"/>
      <c r="AQ296" s="68"/>
      <c r="AR296" s="67">
        <f t="shared" si="162"/>
        <v>100</v>
      </c>
      <c r="AS296" s="68" t="str">
        <f t="shared" si="163"/>
        <v>S</v>
      </c>
      <c r="AV296" s="49">
        <f t="shared" si="164"/>
        <v>1</v>
      </c>
      <c r="AW296" s="49">
        <f t="shared" si="165"/>
        <v>0</v>
      </c>
      <c r="AX296" s="49">
        <f t="shared" si="166"/>
        <v>0</v>
      </c>
      <c r="AY296" s="49">
        <f t="shared" si="167"/>
        <v>0</v>
      </c>
      <c r="AZ296" s="49">
        <f t="shared" si="168"/>
        <v>1</v>
      </c>
      <c r="BA296" s="49">
        <f t="shared" si="169"/>
        <v>0</v>
      </c>
      <c r="BB296" s="49">
        <f t="shared" si="170"/>
        <v>0</v>
      </c>
      <c r="BC296" s="49">
        <f t="shared" si="171"/>
        <v>0</v>
      </c>
      <c r="BD296" s="49">
        <f t="shared" si="172"/>
        <v>1</v>
      </c>
      <c r="BE296" s="49">
        <f t="shared" si="173"/>
        <v>0</v>
      </c>
      <c r="BF296" s="49">
        <f t="shared" si="174"/>
        <v>0</v>
      </c>
      <c r="BG296" s="49">
        <f t="shared" si="175"/>
        <v>0</v>
      </c>
      <c r="BH296" s="49">
        <f t="shared" si="176"/>
        <v>1</v>
      </c>
      <c r="BI296" s="49">
        <f t="shared" si="177"/>
        <v>0</v>
      </c>
      <c r="BJ296" s="49">
        <f t="shared" si="178"/>
        <v>0</v>
      </c>
      <c r="BK296" s="49">
        <f t="shared" si="179"/>
        <v>0</v>
      </c>
      <c r="BL296" s="49">
        <f t="shared" si="180"/>
        <v>1</v>
      </c>
      <c r="BM296" s="49">
        <f t="shared" si="181"/>
        <v>0</v>
      </c>
      <c r="BN296" s="49">
        <f t="shared" si="182"/>
        <v>0</v>
      </c>
      <c r="BO296" s="49">
        <f t="shared" si="183"/>
        <v>0</v>
      </c>
      <c r="BP296" s="49">
        <f t="shared" si="184"/>
        <v>1</v>
      </c>
      <c r="BQ296" s="49">
        <f t="shared" si="185"/>
        <v>0</v>
      </c>
      <c r="BR296" s="49">
        <f t="shared" si="186"/>
        <v>0</v>
      </c>
      <c r="BS296" s="49">
        <f t="shared" si="187"/>
        <v>0</v>
      </c>
      <c r="BT296" s="49">
        <f t="shared" si="188"/>
        <v>1</v>
      </c>
      <c r="BU296" s="49">
        <f t="shared" si="189"/>
        <v>0</v>
      </c>
      <c r="BV296" s="49">
        <f t="shared" si="190"/>
        <v>0</v>
      </c>
      <c r="BW296" s="49">
        <f t="shared" si="191"/>
        <v>0</v>
      </c>
      <c r="BX296" s="49">
        <f t="shared" si="192"/>
        <v>1</v>
      </c>
      <c r="BY296" s="49">
        <f t="shared" si="193"/>
        <v>0</v>
      </c>
      <c r="BZ296" s="49">
        <f t="shared" si="194"/>
        <v>0</v>
      </c>
      <c r="CA296" s="49">
        <f t="shared" si="195"/>
        <v>0</v>
      </c>
      <c r="CB296" s="49">
        <f t="shared" si="196"/>
        <v>1</v>
      </c>
      <c r="CC296" s="49">
        <f t="shared" si="197"/>
        <v>0</v>
      </c>
      <c r="CD296" s="49">
        <f t="shared" si="198"/>
        <v>0</v>
      </c>
      <c r="CE296" s="49">
        <f t="shared" si="199"/>
        <v>0</v>
      </c>
    </row>
    <row r="297" spans="1:83" ht="35.1" customHeight="1" x14ac:dyDescent="0.3">
      <c r="A297" s="123" t="str">
        <f t="shared" si="160"/>
        <v>2팀</v>
      </c>
      <c r="B297" s="69">
        <f t="shared" si="161"/>
        <v>291</v>
      </c>
      <c r="C297" s="120" t="str">
        <f>IF(VLOOKUP($B297,'1. 현장별 인원현황'!$C:$J,2,0)=0,"",VLOOKUP($B297,'1. 현장별 인원현황'!$C:$J,2,0))</f>
        <v xml:space="preserve"> [2.현대엔지니어링] 상도동 지역주택조합 주상복합 신축사업</v>
      </c>
      <c r="D297" s="70" t="str">
        <f>IF(VLOOKUP($B297,'1. 현장별 인원현황'!$C:$J,3,0)=0,"",VLOOKUP($B297,'1. 현장별 인원현황'!$C:$J,3,0))</f>
        <v>박명</v>
      </c>
      <c r="E297" s="74" t="str">
        <f ca="1">IF(VLOOKUP($B297,'1. 현장별 인원현황'!$C:$J,4,0)=0,"",VLOOKUP($B297,'1. 현장별 인원현황'!$C:$J,4,0))</f>
        <v>50세</v>
      </c>
      <c r="F297" s="70" t="str">
        <f>IF(VLOOKUP($B297,'1. 현장별 인원현황'!$C:$J,7,0)=0,"",VLOOKUP($B297,'1. 현장별 인원현황'!$C:$J,7,0))</f>
        <v>기능공</v>
      </c>
      <c r="G297" s="72" t="str">
        <f>IF(VLOOKUP($B297,'1. 현장별 인원현황'!$C:$J,8,0)=0,"",VLOOKUP($B297,'1. 현장별 인원현황'!$C:$J,8,0))</f>
        <v>전공</v>
      </c>
      <c r="H297" s="67" t="s">
        <v>69</v>
      </c>
      <c r="I297" s="73"/>
      <c r="J297" s="73"/>
      <c r="K297" s="68"/>
      <c r="L297" s="67" t="s">
        <v>69</v>
      </c>
      <c r="M297" s="73"/>
      <c r="N297" s="73"/>
      <c r="O297" s="68"/>
      <c r="P297" s="67" t="s">
        <v>69</v>
      </c>
      <c r="Q297" s="73"/>
      <c r="R297" s="73"/>
      <c r="S297" s="68"/>
      <c r="T297" s="67" t="s">
        <v>69</v>
      </c>
      <c r="U297" s="73"/>
      <c r="V297" s="73"/>
      <c r="W297" s="68"/>
      <c r="X297" s="67" t="s">
        <v>69</v>
      </c>
      <c r="Y297" s="73"/>
      <c r="Z297" s="73"/>
      <c r="AA297" s="68"/>
      <c r="AB297" s="67" t="s">
        <v>69</v>
      </c>
      <c r="AC297" s="73"/>
      <c r="AD297" s="73"/>
      <c r="AE297" s="68"/>
      <c r="AF297" s="67" t="s">
        <v>69</v>
      </c>
      <c r="AG297" s="73"/>
      <c r="AH297" s="73"/>
      <c r="AI297" s="68"/>
      <c r="AJ297" s="67" t="s">
        <v>69</v>
      </c>
      <c r="AK297" s="73"/>
      <c r="AL297" s="73"/>
      <c r="AM297" s="68"/>
      <c r="AN297" s="73" t="s">
        <v>69</v>
      </c>
      <c r="AO297" s="73"/>
      <c r="AP297" s="73"/>
      <c r="AQ297" s="68"/>
      <c r="AR297" s="67">
        <f t="shared" si="162"/>
        <v>100</v>
      </c>
      <c r="AS297" s="68" t="str">
        <f t="shared" si="163"/>
        <v>S</v>
      </c>
      <c r="AV297" s="49">
        <f t="shared" si="164"/>
        <v>1</v>
      </c>
      <c r="AW297" s="49">
        <f t="shared" si="165"/>
        <v>0</v>
      </c>
      <c r="AX297" s="49">
        <f t="shared" si="166"/>
        <v>0</v>
      </c>
      <c r="AY297" s="49">
        <f t="shared" si="167"/>
        <v>0</v>
      </c>
      <c r="AZ297" s="49">
        <f t="shared" si="168"/>
        <v>1</v>
      </c>
      <c r="BA297" s="49">
        <f t="shared" si="169"/>
        <v>0</v>
      </c>
      <c r="BB297" s="49">
        <f t="shared" si="170"/>
        <v>0</v>
      </c>
      <c r="BC297" s="49">
        <f t="shared" si="171"/>
        <v>0</v>
      </c>
      <c r="BD297" s="49">
        <f t="shared" si="172"/>
        <v>1</v>
      </c>
      <c r="BE297" s="49">
        <f t="shared" si="173"/>
        <v>0</v>
      </c>
      <c r="BF297" s="49">
        <f t="shared" si="174"/>
        <v>0</v>
      </c>
      <c r="BG297" s="49">
        <f t="shared" si="175"/>
        <v>0</v>
      </c>
      <c r="BH297" s="49">
        <f t="shared" si="176"/>
        <v>1</v>
      </c>
      <c r="BI297" s="49">
        <f t="shared" si="177"/>
        <v>0</v>
      </c>
      <c r="BJ297" s="49">
        <f t="shared" si="178"/>
        <v>0</v>
      </c>
      <c r="BK297" s="49">
        <f t="shared" si="179"/>
        <v>0</v>
      </c>
      <c r="BL297" s="49">
        <f t="shared" si="180"/>
        <v>1</v>
      </c>
      <c r="BM297" s="49">
        <f t="shared" si="181"/>
        <v>0</v>
      </c>
      <c r="BN297" s="49">
        <f t="shared" si="182"/>
        <v>0</v>
      </c>
      <c r="BO297" s="49">
        <f t="shared" si="183"/>
        <v>0</v>
      </c>
      <c r="BP297" s="49">
        <f t="shared" si="184"/>
        <v>1</v>
      </c>
      <c r="BQ297" s="49">
        <f t="shared" si="185"/>
        <v>0</v>
      </c>
      <c r="BR297" s="49">
        <f t="shared" si="186"/>
        <v>0</v>
      </c>
      <c r="BS297" s="49">
        <f t="shared" si="187"/>
        <v>0</v>
      </c>
      <c r="BT297" s="49">
        <f t="shared" si="188"/>
        <v>1</v>
      </c>
      <c r="BU297" s="49">
        <f t="shared" si="189"/>
        <v>0</v>
      </c>
      <c r="BV297" s="49">
        <f t="shared" si="190"/>
        <v>0</v>
      </c>
      <c r="BW297" s="49">
        <f t="shared" si="191"/>
        <v>0</v>
      </c>
      <c r="BX297" s="49">
        <f t="shared" si="192"/>
        <v>1</v>
      </c>
      <c r="BY297" s="49">
        <f t="shared" si="193"/>
        <v>0</v>
      </c>
      <c r="BZ297" s="49">
        <f t="shared" si="194"/>
        <v>0</v>
      </c>
      <c r="CA297" s="49">
        <f t="shared" si="195"/>
        <v>0</v>
      </c>
      <c r="CB297" s="49">
        <f t="shared" si="196"/>
        <v>1</v>
      </c>
      <c r="CC297" s="49">
        <f t="shared" si="197"/>
        <v>0</v>
      </c>
      <c r="CD297" s="49">
        <f t="shared" si="198"/>
        <v>0</v>
      </c>
      <c r="CE297" s="49">
        <f t="shared" si="199"/>
        <v>0</v>
      </c>
    </row>
    <row r="298" spans="1:83" ht="35.1" customHeight="1" x14ac:dyDescent="0.3">
      <c r="A298" s="123" t="str">
        <f t="shared" si="160"/>
        <v>2팀</v>
      </c>
      <c r="B298" s="69">
        <f t="shared" si="161"/>
        <v>292</v>
      </c>
      <c r="C298" s="120" t="str">
        <f>IF(VLOOKUP($B298,'1. 현장별 인원현황'!$C:$J,2,0)=0,"",VLOOKUP($B298,'1. 현장별 인원현황'!$C:$J,2,0))</f>
        <v xml:space="preserve"> [2.현대엔지니어링] 상도동 지역주택조합 주상복합 신축사업</v>
      </c>
      <c r="D298" s="70" t="str">
        <f>IF(VLOOKUP($B298,'1. 현장별 인원현황'!$C:$J,3,0)=0,"",VLOOKUP($B298,'1. 현장별 인원현황'!$C:$J,3,0))</f>
        <v>전석준</v>
      </c>
      <c r="E298" s="74" t="str">
        <f ca="1">IF(VLOOKUP($B298,'1. 현장별 인원현황'!$C:$J,4,0)=0,"",VLOOKUP($B298,'1. 현장별 인원현황'!$C:$J,4,0))</f>
        <v>62세</v>
      </c>
      <c r="F298" s="70" t="str">
        <f>IF(VLOOKUP($B298,'1. 현장별 인원현황'!$C:$J,7,0)=0,"",VLOOKUP($B298,'1. 현장별 인원현황'!$C:$J,7,0))</f>
        <v>기능공</v>
      </c>
      <c r="G298" s="72" t="str">
        <f>IF(VLOOKUP($B298,'1. 현장별 인원현황'!$C:$J,8,0)=0,"",VLOOKUP($B298,'1. 현장별 인원현황'!$C:$J,8,0))</f>
        <v>전공</v>
      </c>
      <c r="H298" s="67" t="s">
        <v>69</v>
      </c>
      <c r="I298" s="73"/>
      <c r="J298" s="73"/>
      <c r="K298" s="68"/>
      <c r="L298" s="67" t="s">
        <v>69</v>
      </c>
      <c r="M298" s="73"/>
      <c r="N298" s="73"/>
      <c r="O298" s="68"/>
      <c r="P298" s="67" t="s">
        <v>69</v>
      </c>
      <c r="Q298" s="73"/>
      <c r="R298" s="73"/>
      <c r="S298" s="68"/>
      <c r="T298" s="67" t="s">
        <v>69</v>
      </c>
      <c r="U298" s="73"/>
      <c r="V298" s="73"/>
      <c r="W298" s="68"/>
      <c r="X298" s="67" t="s">
        <v>69</v>
      </c>
      <c r="Y298" s="73"/>
      <c r="Z298" s="73"/>
      <c r="AA298" s="68"/>
      <c r="AB298" s="67" t="s">
        <v>69</v>
      </c>
      <c r="AC298" s="73"/>
      <c r="AD298" s="73"/>
      <c r="AE298" s="68"/>
      <c r="AF298" s="67" t="s">
        <v>69</v>
      </c>
      <c r="AG298" s="73"/>
      <c r="AH298" s="73"/>
      <c r="AI298" s="68"/>
      <c r="AJ298" s="67" t="s">
        <v>69</v>
      </c>
      <c r="AK298" s="73"/>
      <c r="AL298" s="73"/>
      <c r="AM298" s="68"/>
      <c r="AN298" s="73" t="s">
        <v>69</v>
      </c>
      <c r="AO298" s="73"/>
      <c r="AP298" s="73"/>
      <c r="AQ298" s="68"/>
      <c r="AR298" s="67">
        <f t="shared" si="162"/>
        <v>100</v>
      </c>
      <c r="AS298" s="68" t="str">
        <f t="shared" si="163"/>
        <v>S</v>
      </c>
      <c r="AV298" s="49">
        <f t="shared" si="164"/>
        <v>1</v>
      </c>
      <c r="AW298" s="49">
        <f t="shared" si="165"/>
        <v>0</v>
      </c>
      <c r="AX298" s="49">
        <f t="shared" si="166"/>
        <v>0</v>
      </c>
      <c r="AY298" s="49">
        <f t="shared" si="167"/>
        <v>0</v>
      </c>
      <c r="AZ298" s="49">
        <f t="shared" si="168"/>
        <v>1</v>
      </c>
      <c r="BA298" s="49">
        <f t="shared" si="169"/>
        <v>0</v>
      </c>
      <c r="BB298" s="49">
        <f t="shared" si="170"/>
        <v>0</v>
      </c>
      <c r="BC298" s="49">
        <f t="shared" si="171"/>
        <v>0</v>
      </c>
      <c r="BD298" s="49">
        <f t="shared" si="172"/>
        <v>1</v>
      </c>
      <c r="BE298" s="49">
        <f t="shared" si="173"/>
        <v>0</v>
      </c>
      <c r="BF298" s="49">
        <f t="shared" si="174"/>
        <v>0</v>
      </c>
      <c r="BG298" s="49">
        <f t="shared" si="175"/>
        <v>0</v>
      </c>
      <c r="BH298" s="49">
        <f t="shared" si="176"/>
        <v>1</v>
      </c>
      <c r="BI298" s="49">
        <f t="shared" si="177"/>
        <v>0</v>
      </c>
      <c r="BJ298" s="49">
        <f t="shared" si="178"/>
        <v>0</v>
      </c>
      <c r="BK298" s="49">
        <f t="shared" si="179"/>
        <v>0</v>
      </c>
      <c r="BL298" s="49">
        <f t="shared" si="180"/>
        <v>1</v>
      </c>
      <c r="BM298" s="49">
        <f t="shared" si="181"/>
        <v>0</v>
      </c>
      <c r="BN298" s="49">
        <f t="shared" si="182"/>
        <v>0</v>
      </c>
      <c r="BO298" s="49">
        <f t="shared" si="183"/>
        <v>0</v>
      </c>
      <c r="BP298" s="49">
        <f t="shared" si="184"/>
        <v>1</v>
      </c>
      <c r="BQ298" s="49">
        <f t="shared" si="185"/>
        <v>0</v>
      </c>
      <c r="BR298" s="49">
        <f t="shared" si="186"/>
        <v>0</v>
      </c>
      <c r="BS298" s="49">
        <f t="shared" si="187"/>
        <v>0</v>
      </c>
      <c r="BT298" s="49">
        <f t="shared" si="188"/>
        <v>1</v>
      </c>
      <c r="BU298" s="49">
        <f t="shared" si="189"/>
        <v>0</v>
      </c>
      <c r="BV298" s="49">
        <f t="shared" si="190"/>
        <v>0</v>
      </c>
      <c r="BW298" s="49">
        <f t="shared" si="191"/>
        <v>0</v>
      </c>
      <c r="BX298" s="49">
        <f t="shared" si="192"/>
        <v>1</v>
      </c>
      <c r="BY298" s="49">
        <f t="shared" si="193"/>
        <v>0</v>
      </c>
      <c r="BZ298" s="49">
        <f t="shared" si="194"/>
        <v>0</v>
      </c>
      <c r="CA298" s="49">
        <f t="shared" si="195"/>
        <v>0</v>
      </c>
      <c r="CB298" s="49">
        <f t="shared" si="196"/>
        <v>1</v>
      </c>
      <c r="CC298" s="49">
        <f t="shared" si="197"/>
        <v>0</v>
      </c>
      <c r="CD298" s="49">
        <f t="shared" si="198"/>
        <v>0</v>
      </c>
      <c r="CE298" s="49">
        <f t="shared" si="199"/>
        <v>0</v>
      </c>
    </row>
    <row r="299" spans="1:83" ht="35.1" customHeight="1" x14ac:dyDescent="0.3">
      <c r="A299" s="123" t="str">
        <f t="shared" si="160"/>
        <v>2팀</v>
      </c>
      <c r="B299" s="69">
        <f t="shared" si="161"/>
        <v>293</v>
      </c>
      <c r="C299" s="120" t="str">
        <f>IF(VLOOKUP($B299,'1. 현장별 인원현황'!$C:$J,2,0)=0,"",VLOOKUP($B299,'1. 현장별 인원현황'!$C:$J,2,0))</f>
        <v xml:space="preserve"> [2.현대엔지니어링] 상도동 지역주택조합 주상복합 신축사업</v>
      </c>
      <c r="D299" s="70" t="str">
        <f>IF(VLOOKUP($B299,'1. 현장별 인원현황'!$C:$J,3,0)=0,"",VLOOKUP($B299,'1. 현장별 인원현황'!$C:$J,3,0))</f>
        <v>정종섭</v>
      </c>
      <c r="E299" s="74" t="str">
        <f ca="1">IF(VLOOKUP($B299,'1. 현장별 인원현황'!$C:$J,4,0)=0,"",VLOOKUP($B299,'1. 현장별 인원현황'!$C:$J,4,0))</f>
        <v>57세</v>
      </c>
      <c r="F299" s="70" t="str">
        <f>IF(VLOOKUP($B299,'1. 현장별 인원현황'!$C:$J,7,0)=0,"",VLOOKUP($B299,'1. 현장별 인원현황'!$C:$J,7,0))</f>
        <v>기능공</v>
      </c>
      <c r="G299" s="72" t="str">
        <f>IF(VLOOKUP($B299,'1. 현장별 인원현황'!$C:$J,8,0)=0,"",VLOOKUP($B299,'1. 현장별 인원현황'!$C:$J,8,0))</f>
        <v>전공</v>
      </c>
      <c r="H299" s="67" t="s">
        <v>69</v>
      </c>
      <c r="I299" s="73"/>
      <c r="J299" s="73"/>
      <c r="K299" s="68"/>
      <c r="L299" s="67" t="s">
        <v>69</v>
      </c>
      <c r="M299" s="73"/>
      <c r="N299" s="73"/>
      <c r="O299" s="68"/>
      <c r="P299" s="67" t="s">
        <v>69</v>
      </c>
      <c r="Q299" s="73"/>
      <c r="R299" s="73"/>
      <c r="S299" s="68"/>
      <c r="T299" s="67" t="s">
        <v>69</v>
      </c>
      <c r="U299" s="73"/>
      <c r="V299" s="73"/>
      <c r="W299" s="68"/>
      <c r="X299" s="67" t="s">
        <v>69</v>
      </c>
      <c r="Y299" s="73"/>
      <c r="Z299" s="73"/>
      <c r="AA299" s="68"/>
      <c r="AB299" s="67" t="s">
        <v>69</v>
      </c>
      <c r="AC299" s="73"/>
      <c r="AD299" s="73"/>
      <c r="AE299" s="68"/>
      <c r="AF299" s="67" t="s">
        <v>69</v>
      </c>
      <c r="AG299" s="73"/>
      <c r="AH299" s="73"/>
      <c r="AI299" s="68"/>
      <c r="AJ299" s="67" t="s">
        <v>69</v>
      </c>
      <c r="AK299" s="73"/>
      <c r="AL299" s="73"/>
      <c r="AM299" s="68"/>
      <c r="AN299" s="73" t="s">
        <v>69</v>
      </c>
      <c r="AO299" s="73"/>
      <c r="AP299" s="73"/>
      <c r="AQ299" s="68"/>
      <c r="AR299" s="67">
        <f t="shared" si="162"/>
        <v>100</v>
      </c>
      <c r="AS299" s="68" t="str">
        <f t="shared" si="163"/>
        <v>S</v>
      </c>
      <c r="AV299" s="49">
        <f t="shared" si="164"/>
        <v>1</v>
      </c>
      <c r="AW299" s="49">
        <f t="shared" si="165"/>
        <v>0</v>
      </c>
      <c r="AX299" s="49">
        <f t="shared" si="166"/>
        <v>0</v>
      </c>
      <c r="AY299" s="49">
        <f t="shared" si="167"/>
        <v>0</v>
      </c>
      <c r="AZ299" s="49">
        <f t="shared" si="168"/>
        <v>1</v>
      </c>
      <c r="BA299" s="49">
        <f t="shared" si="169"/>
        <v>0</v>
      </c>
      <c r="BB299" s="49">
        <f t="shared" si="170"/>
        <v>0</v>
      </c>
      <c r="BC299" s="49">
        <f t="shared" si="171"/>
        <v>0</v>
      </c>
      <c r="BD299" s="49">
        <f t="shared" si="172"/>
        <v>1</v>
      </c>
      <c r="BE299" s="49">
        <f t="shared" si="173"/>
        <v>0</v>
      </c>
      <c r="BF299" s="49">
        <f t="shared" si="174"/>
        <v>0</v>
      </c>
      <c r="BG299" s="49">
        <f t="shared" si="175"/>
        <v>0</v>
      </c>
      <c r="BH299" s="49">
        <f t="shared" si="176"/>
        <v>1</v>
      </c>
      <c r="BI299" s="49">
        <f t="shared" si="177"/>
        <v>0</v>
      </c>
      <c r="BJ299" s="49">
        <f t="shared" si="178"/>
        <v>0</v>
      </c>
      <c r="BK299" s="49">
        <f t="shared" si="179"/>
        <v>0</v>
      </c>
      <c r="BL299" s="49">
        <f t="shared" si="180"/>
        <v>1</v>
      </c>
      <c r="BM299" s="49">
        <f t="shared" si="181"/>
        <v>0</v>
      </c>
      <c r="BN299" s="49">
        <f t="shared" si="182"/>
        <v>0</v>
      </c>
      <c r="BO299" s="49">
        <f t="shared" si="183"/>
        <v>0</v>
      </c>
      <c r="BP299" s="49">
        <f t="shared" si="184"/>
        <v>1</v>
      </c>
      <c r="BQ299" s="49">
        <f t="shared" si="185"/>
        <v>0</v>
      </c>
      <c r="BR299" s="49">
        <f t="shared" si="186"/>
        <v>0</v>
      </c>
      <c r="BS299" s="49">
        <f t="shared" si="187"/>
        <v>0</v>
      </c>
      <c r="BT299" s="49">
        <f t="shared" si="188"/>
        <v>1</v>
      </c>
      <c r="BU299" s="49">
        <f t="shared" si="189"/>
        <v>0</v>
      </c>
      <c r="BV299" s="49">
        <f t="shared" si="190"/>
        <v>0</v>
      </c>
      <c r="BW299" s="49">
        <f t="shared" si="191"/>
        <v>0</v>
      </c>
      <c r="BX299" s="49">
        <f t="shared" si="192"/>
        <v>1</v>
      </c>
      <c r="BY299" s="49">
        <f t="shared" si="193"/>
        <v>0</v>
      </c>
      <c r="BZ299" s="49">
        <f t="shared" si="194"/>
        <v>0</v>
      </c>
      <c r="CA299" s="49">
        <f t="shared" si="195"/>
        <v>0</v>
      </c>
      <c r="CB299" s="49">
        <f t="shared" si="196"/>
        <v>1</v>
      </c>
      <c r="CC299" s="49">
        <f t="shared" si="197"/>
        <v>0</v>
      </c>
      <c r="CD299" s="49">
        <f t="shared" si="198"/>
        <v>0</v>
      </c>
      <c r="CE299" s="49">
        <f t="shared" si="199"/>
        <v>0</v>
      </c>
    </row>
    <row r="300" spans="1:83" ht="35.1" customHeight="1" x14ac:dyDescent="0.3">
      <c r="A300" s="123" t="str">
        <f t="shared" si="160"/>
        <v>2팀</v>
      </c>
      <c r="B300" s="69">
        <f t="shared" si="161"/>
        <v>294</v>
      </c>
      <c r="C300" s="120" t="str">
        <f>IF(VLOOKUP($B300,'1. 현장별 인원현황'!$C:$J,2,0)=0,"",VLOOKUP($B300,'1. 현장별 인원현황'!$C:$J,2,0))</f>
        <v xml:space="preserve"> [2.현대엔지니어링] 상도동 지역주택조합 주상복합 신축사업</v>
      </c>
      <c r="D300" s="70" t="str">
        <f>IF(VLOOKUP($B300,'1. 현장별 인원현황'!$C:$J,3,0)=0,"",VLOOKUP($B300,'1. 현장별 인원현황'!$C:$J,3,0))</f>
        <v>권순영</v>
      </c>
      <c r="E300" s="74" t="str">
        <f ca="1">IF(VLOOKUP($B300,'1. 현장별 인원현황'!$C:$J,4,0)=0,"",VLOOKUP($B300,'1. 현장별 인원현황'!$C:$J,4,0))</f>
        <v>44세</v>
      </c>
      <c r="F300" s="70" t="str">
        <f>IF(VLOOKUP($B300,'1. 현장별 인원현황'!$C:$J,7,0)=0,"",VLOOKUP($B300,'1. 현장별 인원현황'!$C:$J,7,0))</f>
        <v>기능공</v>
      </c>
      <c r="G300" s="72" t="str">
        <f>IF(VLOOKUP($B300,'1. 현장별 인원현황'!$C:$J,8,0)=0,"",VLOOKUP($B300,'1. 현장별 인원현황'!$C:$J,8,0))</f>
        <v>전공</v>
      </c>
      <c r="H300" s="67" t="s">
        <v>69</v>
      </c>
      <c r="I300" s="73"/>
      <c r="J300" s="73"/>
      <c r="K300" s="68"/>
      <c r="L300" s="67" t="s">
        <v>69</v>
      </c>
      <c r="M300" s="73"/>
      <c r="N300" s="73"/>
      <c r="O300" s="68"/>
      <c r="P300" s="67" t="s">
        <v>69</v>
      </c>
      <c r="Q300" s="73"/>
      <c r="R300" s="73"/>
      <c r="S300" s="68"/>
      <c r="T300" s="67" t="s">
        <v>69</v>
      </c>
      <c r="U300" s="73"/>
      <c r="V300" s="73"/>
      <c r="W300" s="68"/>
      <c r="X300" s="67" t="s">
        <v>69</v>
      </c>
      <c r="Y300" s="73"/>
      <c r="Z300" s="73"/>
      <c r="AA300" s="68"/>
      <c r="AB300" s="67" t="s">
        <v>69</v>
      </c>
      <c r="AC300" s="73"/>
      <c r="AD300" s="73"/>
      <c r="AE300" s="68"/>
      <c r="AF300" s="67" t="s">
        <v>69</v>
      </c>
      <c r="AG300" s="73"/>
      <c r="AH300" s="73"/>
      <c r="AI300" s="68"/>
      <c r="AJ300" s="67" t="s">
        <v>69</v>
      </c>
      <c r="AK300" s="73"/>
      <c r="AL300" s="73"/>
      <c r="AM300" s="68"/>
      <c r="AN300" s="73" t="s">
        <v>69</v>
      </c>
      <c r="AO300" s="73"/>
      <c r="AP300" s="73"/>
      <c r="AQ300" s="68"/>
      <c r="AR300" s="67">
        <f t="shared" si="162"/>
        <v>100</v>
      </c>
      <c r="AS300" s="68" t="str">
        <f t="shared" si="163"/>
        <v>S</v>
      </c>
      <c r="AV300" s="49">
        <f t="shared" si="164"/>
        <v>1</v>
      </c>
      <c r="AW300" s="49">
        <f t="shared" si="165"/>
        <v>0</v>
      </c>
      <c r="AX300" s="49">
        <f t="shared" si="166"/>
        <v>0</v>
      </c>
      <c r="AY300" s="49">
        <f t="shared" si="167"/>
        <v>0</v>
      </c>
      <c r="AZ300" s="49">
        <f t="shared" si="168"/>
        <v>1</v>
      </c>
      <c r="BA300" s="49">
        <f t="shared" si="169"/>
        <v>0</v>
      </c>
      <c r="BB300" s="49">
        <f t="shared" si="170"/>
        <v>0</v>
      </c>
      <c r="BC300" s="49">
        <f t="shared" si="171"/>
        <v>0</v>
      </c>
      <c r="BD300" s="49">
        <f t="shared" si="172"/>
        <v>1</v>
      </c>
      <c r="BE300" s="49">
        <f t="shared" si="173"/>
        <v>0</v>
      </c>
      <c r="BF300" s="49">
        <f t="shared" si="174"/>
        <v>0</v>
      </c>
      <c r="BG300" s="49">
        <f t="shared" si="175"/>
        <v>0</v>
      </c>
      <c r="BH300" s="49">
        <f t="shared" si="176"/>
        <v>1</v>
      </c>
      <c r="BI300" s="49">
        <f t="shared" si="177"/>
        <v>0</v>
      </c>
      <c r="BJ300" s="49">
        <f t="shared" si="178"/>
        <v>0</v>
      </c>
      <c r="BK300" s="49">
        <f t="shared" si="179"/>
        <v>0</v>
      </c>
      <c r="BL300" s="49">
        <f t="shared" si="180"/>
        <v>1</v>
      </c>
      <c r="BM300" s="49">
        <f t="shared" si="181"/>
        <v>0</v>
      </c>
      <c r="BN300" s="49">
        <f t="shared" si="182"/>
        <v>0</v>
      </c>
      <c r="BO300" s="49">
        <f t="shared" si="183"/>
        <v>0</v>
      </c>
      <c r="BP300" s="49">
        <f t="shared" si="184"/>
        <v>1</v>
      </c>
      <c r="BQ300" s="49">
        <f t="shared" si="185"/>
        <v>0</v>
      </c>
      <c r="BR300" s="49">
        <f t="shared" si="186"/>
        <v>0</v>
      </c>
      <c r="BS300" s="49">
        <f t="shared" si="187"/>
        <v>0</v>
      </c>
      <c r="BT300" s="49">
        <f t="shared" si="188"/>
        <v>1</v>
      </c>
      <c r="BU300" s="49">
        <f t="shared" si="189"/>
        <v>0</v>
      </c>
      <c r="BV300" s="49">
        <f t="shared" si="190"/>
        <v>0</v>
      </c>
      <c r="BW300" s="49">
        <f t="shared" si="191"/>
        <v>0</v>
      </c>
      <c r="BX300" s="49">
        <f t="shared" si="192"/>
        <v>1</v>
      </c>
      <c r="BY300" s="49">
        <f t="shared" si="193"/>
        <v>0</v>
      </c>
      <c r="BZ300" s="49">
        <f t="shared" si="194"/>
        <v>0</v>
      </c>
      <c r="CA300" s="49">
        <f t="shared" si="195"/>
        <v>0</v>
      </c>
      <c r="CB300" s="49">
        <f t="shared" si="196"/>
        <v>1</v>
      </c>
      <c r="CC300" s="49">
        <f t="shared" si="197"/>
        <v>0</v>
      </c>
      <c r="CD300" s="49">
        <f t="shared" si="198"/>
        <v>0</v>
      </c>
      <c r="CE300" s="49">
        <f t="shared" si="199"/>
        <v>0</v>
      </c>
    </row>
    <row r="301" spans="1:83" ht="35.1" customHeight="1" x14ac:dyDescent="0.3">
      <c r="A301" s="123" t="str">
        <f t="shared" si="160"/>
        <v>3팀</v>
      </c>
      <c r="B301" s="69">
        <f t="shared" si="161"/>
        <v>295</v>
      </c>
      <c r="C301" s="120" t="str">
        <f>IF(VLOOKUP($B301,'1. 현장별 인원현황'!$C:$J,2,0)=0,"",VLOOKUP($B301,'1. 현장별 인원현황'!$C:$J,2,0))</f>
        <v xml:space="preserve"> [3.DL건설] 인천 검단신도시 AA29BL 공동주택 신축공사</v>
      </c>
      <c r="D301" s="70" t="str">
        <f>IF(VLOOKUP($B301,'1. 현장별 인원현황'!$C:$J,3,0)=0,"",VLOOKUP($B301,'1. 현장별 인원현황'!$C:$J,3,0))</f>
        <v>박상현</v>
      </c>
      <c r="E301" s="74" t="str">
        <f ca="1">IF(VLOOKUP($B301,'1. 현장별 인원현황'!$C:$J,4,0)=0,"",VLOOKUP($B301,'1. 현장별 인원현황'!$C:$J,4,0))</f>
        <v>32세</v>
      </c>
      <c r="F301" s="70" t="str">
        <f>IF(VLOOKUP($B301,'1. 현장별 인원현황'!$C:$J,7,0)=0,"",VLOOKUP($B301,'1. 현장별 인원현황'!$C:$J,7,0))</f>
        <v>공무</v>
      </c>
      <c r="G301" s="72" t="str">
        <f>IF(VLOOKUP($B301,'1. 현장별 인원현황'!$C:$J,8,0)=0,"",VLOOKUP($B301,'1. 현장별 인원현황'!$C:$J,8,0))</f>
        <v>대리</v>
      </c>
      <c r="H301" s="67"/>
      <c r="I301" s="73"/>
      <c r="J301" s="73" t="s">
        <v>69</v>
      </c>
      <c r="K301" s="68"/>
      <c r="L301" s="67"/>
      <c r="M301" s="73" t="s">
        <v>69</v>
      </c>
      <c r="N301" s="73"/>
      <c r="O301" s="68"/>
      <c r="P301" s="67"/>
      <c r="Q301" s="73" t="s">
        <v>69</v>
      </c>
      <c r="R301" s="73"/>
      <c r="S301" s="68"/>
      <c r="T301" s="67"/>
      <c r="U301" s="73" t="s">
        <v>69</v>
      </c>
      <c r="V301" s="73"/>
      <c r="W301" s="68"/>
      <c r="X301" s="67"/>
      <c r="Y301" s="73" t="s">
        <v>69</v>
      </c>
      <c r="Z301" s="73"/>
      <c r="AA301" s="68"/>
      <c r="AB301" s="67"/>
      <c r="AC301" s="73" t="s">
        <v>69</v>
      </c>
      <c r="AD301" s="73"/>
      <c r="AE301" s="68"/>
      <c r="AF301" s="67"/>
      <c r="AG301" s="73" t="s">
        <v>69</v>
      </c>
      <c r="AH301" s="73"/>
      <c r="AI301" s="68"/>
      <c r="AJ301" s="67"/>
      <c r="AK301" s="73" t="s">
        <v>69</v>
      </c>
      <c r="AL301" s="73"/>
      <c r="AM301" s="68"/>
      <c r="AN301" s="73" t="s">
        <v>69</v>
      </c>
      <c r="AO301" s="73"/>
      <c r="AP301" s="73"/>
      <c r="AQ301" s="68"/>
      <c r="AR301" s="67">
        <f t="shared" si="162"/>
        <v>77</v>
      </c>
      <c r="AS301" s="68" t="str">
        <f t="shared" si="163"/>
        <v>A</v>
      </c>
      <c r="AV301" s="49">
        <f t="shared" si="164"/>
        <v>0</v>
      </c>
      <c r="AW301" s="49">
        <f t="shared" si="165"/>
        <v>0</v>
      </c>
      <c r="AX301" s="49">
        <f t="shared" si="166"/>
        <v>1</v>
      </c>
      <c r="AY301" s="49">
        <f t="shared" si="167"/>
        <v>0</v>
      </c>
      <c r="AZ301" s="49">
        <f t="shared" si="168"/>
        <v>0</v>
      </c>
      <c r="BA301" s="49">
        <f t="shared" si="169"/>
        <v>1</v>
      </c>
      <c r="BB301" s="49">
        <f t="shared" si="170"/>
        <v>0</v>
      </c>
      <c r="BC301" s="49">
        <f t="shared" si="171"/>
        <v>0</v>
      </c>
      <c r="BD301" s="49">
        <f t="shared" si="172"/>
        <v>0</v>
      </c>
      <c r="BE301" s="49">
        <f t="shared" si="173"/>
        <v>1</v>
      </c>
      <c r="BF301" s="49">
        <f t="shared" si="174"/>
        <v>0</v>
      </c>
      <c r="BG301" s="49">
        <f t="shared" si="175"/>
        <v>0</v>
      </c>
      <c r="BH301" s="49">
        <f t="shared" si="176"/>
        <v>0</v>
      </c>
      <c r="BI301" s="49">
        <f t="shared" si="177"/>
        <v>1</v>
      </c>
      <c r="BJ301" s="49">
        <f t="shared" si="178"/>
        <v>0</v>
      </c>
      <c r="BK301" s="49">
        <f t="shared" si="179"/>
        <v>0</v>
      </c>
      <c r="BL301" s="49">
        <f t="shared" si="180"/>
        <v>0</v>
      </c>
      <c r="BM301" s="49">
        <f t="shared" si="181"/>
        <v>1</v>
      </c>
      <c r="BN301" s="49">
        <f t="shared" si="182"/>
        <v>0</v>
      </c>
      <c r="BO301" s="49">
        <f t="shared" si="183"/>
        <v>0</v>
      </c>
      <c r="BP301" s="49">
        <f t="shared" si="184"/>
        <v>0</v>
      </c>
      <c r="BQ301" s="49">
        <f t="shared" si="185"/>
        <v>1</v>
      </c>
      <c r="BR301" s="49">
        <f t="shared" si="186"/>
        <v>0</v>
      </c>
      <c r="BS301" s="49">
        <f t="shared" si="187"/>
        <v>0</v>
      </c>
      <c r="BT301" s="49">
        <f t="shared" si="188"/>
        <v>0</v>
      </c>
      <c r="BU301" s="49">
        <f t="shared" si="189"/>
        <v>1</v>
      </c>
      <c r="BV301" s="49">
        <f t="shared" si="190"/>
        <v>0</v>
      </c>
      <c r="BW301" s="49">
        <f t="shared" si="191"/>
        <v>0</v>
      </c>
      <c r="BX301" s="49">
        <f t="shared" si="192"/>
        <v>0</v>
      </c>
      <c r="BY301" s="49">
        <f t="shared" si="193"/>
        <v>1</v>
      </c>
      <c r="BZ301" s="49">
        <f t="shared" si="194"/>
        <v>0</v>
      </c>
      <c r="CA301" s="49">
        <f t="shared" si="195"/>
        <v>0</v>
      </c>
      <c r="CB301" s="49">
        <f t="shared" si="196"/>
        <v>1</v>
      </c>
      <c r="CC301" s="49">
        <f t="shared" si="197"/>
        <v>0</v>
      </c>
      <c r="CD301" s="49">
        <f t="shared" si="198"/>
        <v>0</v>
      </c>
      <c r="CE301" s="49">
        <f t="shared" si="199"/>
        <v>0</v>
      </c>
    </row>
    <row r="302" spans="1:83" ht="35.1" customHeight="1" x14ac:dyDescent="0.3">
      <c r="A302" s="123" t="str">
        <f t="shared" si="160"/>
        <v>3팀</v>
      </c>
      <c r="B302" s="69">
        <f t="shared" si="161"/>
        <v>296</v>
      </c>
      <c r="C302" s="120" t="str">
        <f>IF(VLOOKUP($B302,'1. 현장별 인원현황'!$C:$J,2,0)=0,"",VLOOKUP($B302,'1. 현장별 인원현황'!$C:$J,2,0))</f>
        <v xml:space="preserve"> [3.DL건설] 인천 검단신도시 AA29BL 공동주택 신축공사</v>
      </c>
      <c r="D302" s="70" t="str">
        <f>IF(VLOOKUP($B302,'1. 현장별 인원현황'!$C:$J,3,0)=0,"",VLOOKUP($B302,'1. 현장별 인원현황'!$C:$J,3,0))</f>
        <v>신종우</v>
      </c>
      <c r="E302" s="74" t="str">
        <f ca="1">IF(VLOOKUP($B302,'1. 현장별 인원현황'!$C:$J,4,0)=0,"",VLOOKUP($B302,'1. 현장별 인원현황'!$C:$J,4,0))</f>
        <v>53세</v>
      </c>
      <c r="F302" s="70" t="str">
        <f>IF(VLOOKUP($B302,'1. 현장별 인원현황'!$C:$J,7,0)=0,"",VLOOKUP($B302,'1. 현장별 인원현황'!$C:$J,7,0))</f>
        <v>공사</v>
      </c>
      <c r="G302" s="72" t="str">
        <f>IF(VLOOKUP($B302,'1. 현장별 인원현황'!$C:$J,8,0)=0,"",VLOOKUP($B302,'1. 현장별 인원현황'!$C:$J,8,0))</f>
        <v>차장</v>
      </c>
      <c r="H302" s="67" t="s">
        <v>69</v>
      </c>
      <c r="I302" s="73"/>
      <c r="J302" s="73"/>
      <c r="K302" s="68"/>
      <c r="L302" s="67" t="s">
        <v>69</v>
      </c>
      <c r="M302" s="73"/>
      <c r="N302" s="73"/>
      <c r="O302" s="68"/>
      <c r="P302" s="67" t="s">
        <v>69</v>
      </c>
      <c r="Q302" s="73"/>
      <c r="R302" s="73"/>
      <c r="S302" s="68"/>
      <c r="T302" s="67"/>
      <c r="U302" s="73" t="s">
        <v>69</v>
      </c>
      <c r="V302" s="73"/>
      <c r="W302" s="68"/>
      <c r="X302" s="67"/>
      <c r="Y302" s="73" t="s">
        <v>69</v>
      </c>
      <c r="Z302" s="73"/>
      <c r="AA302" s="68"/>
      <c r="AB302" s="67" t="s">
        <v>69</v>
      </c>
      <c r="AC302" s="73"/>
      <c r="AD302" s="73"/>
      <c r="AE302" s="68"/>
      <c r="AF302" s="67"/>
      <c r="AG302" s="73" t="s">
        <v>69</v>
      </c>
      <c r="AH302" s="73"/>
      <c r="AI302" s="68"/>
      <c r="AJ302" s="67" t="s">
        <v>69</v>
      </c>
      <c r="AK302" s="73"/>
      <c r="AL302" s="73"/>
      <c r="AM302" s="68"/>
      <c r="AN302" s="73" t="s">
        <v>69</v>
      </c>
      <c r="AO302" s="73"/>
      <c r="AP302" s="73"/>
      <c r="AQ302" s="68"/>
      <c r="AR302" s="67">
        <f t="shared" si="162"/>
        <v>94</v>
      </c>
      <c r="AS302" s="68" t="str">
        <f t="shared" si="163"/>
        <v>S</v>
      </c>
      <c r="AV302" s="49">
        <f t="shared" si="164"/>
        <v>1</v>
      </c>
      <c r="AW302" s="49">
        <f t="shared" si="165"/>
        <v>0</v>
      </c>
      <c r="AX302" s="49">
        <f t="shared" si="166"/>
        <v>0</v>
      </c>
      <c r="AY302" s="49">
        <f t="shared" si="167"/>
        <v>0</v>
      </c>
      <c r="AZ302" s="49">
        <f t="shared" si="168"/>
        <v>1</v>
      </c>
      <c r="BA302" s="49">
        <f t="shared" si="169"/>
        <v>0</v>
      </c>
      <c r="BB302" s="49">
        <f t="shared" si="170"/>
        <v>0</v>
      </c>
      <c r="BC302" s="49">
        <f t="shared" si="171"/>
        <v>0</v>
      </c>
      <c r="BD302" s="49">
        <f t="shared" si="172"/>
        <v>1</v>
      </c>
      <c r="BE302" s="49">
        <f t="shared" si="173"/>
        <v>0</v>
      </c>
      <c r="BF302" s="49">
        <f t="shared" si="174"/>
        <v>0</v>
      </c>
      <c r="BG302" s="49">
        <f t="shared" si="175"/>
        <v>0</v>
      </c>
      <c r="BH302" s="49">
        <f t="shared" si="176"/>
        <v>0</v>
      </c>
      <c r="BI302" s="49">
        <f t="shared" si="177"/>
        <v>1</v>
      </c>
      <c r="BJ302" s="49">
        <f t="shared" si="178"/>
        <v>0</v>
      </c>
      <c r="BK302" s="49">
        <f t="shared" si="179"/>
        <v>0</v>
      </c>
      <c r="BL302" s="49">
        <f t="shared" si="180"/>
        <v>0</v>
      </c>
      <c r="BM302" s="49">
        <f t="shared" si="181"/>
        <v>1</v>
      </c>
      <c r="BN302" s="49">
        <f t="shared" si="182"/>
        <v>0</v>
      </c>
      <c r="BO302" s="49">
        <f t="shared" si="183"/>
        <v>0</v>
      </c>
      <c r="BP302" s="49">
        <f t="shared" si="184"/>
        <v>1</v>
      </c>
      <c r="BQ302" s="49">
        <f t="shared" si="185"/>
        <v>0</v>
      </c>
      <c r="BR302" s="49">
        <f t="shared" si="186"/>
        <v>0</v>
      </c>
      <c r="BS302" s="49">
        <f t="shared" si="187"/>
        <v>0</v>
      </c>
      <c r="BT302" s="49">
        <f t="shared" si="188"/>
        <v>0</v>
      </c>
      <c r="BU302" s="49">
        <f t="shared" si="189"/>
        <v>1</v>
      </c>
      <c r="BV302" s="49">
        <f t="shared" si="190"/>
        <v>0</v>
      </c>
      <c r="BW302" s="49">
        <f t="shared" si="191"/>
        <v>0</v>
      </c>
      <c r="BX302" s="49">
        <f t="shared" si="192"/>
        <v>1</v>
      </c>
      <c r="BY302" s="49">
        <f t="shared" si="193"/>
        <v>0</v>
      </c>
      <c r="BZ302" s="49">
        <f t="shared" si="194"/>
        <v>0</v>
      </c>
      <c r="CA302" s="49">
        <f t="shared" si="195"/>
        <v>0</v>
      </c>
      <c r="CB302" s="49">
        <f t="shared" si="196"/>
        <v>1</v>
      </c>
      <c r="CC302" s="49">
        <f t="shared" si="197"/>
        <v>0</v>
      </c>
      <c r="CD302" s="49">
        <f t="shared" si="198"/>
        <v>0</v>
      </c>
      <c r="CE302" s="49">
        <f t="shared" si="199"/>
        <v>0</v>
      </c>
    </row>
    <row r="303" spans="1:83" ht="35.1" customHeight="1" x14ac:dyDescent="0.3">
      <c r="A303" s="123" t="str">
        <f t="shared" si="160"/>
        <v>3팀</v>
      </c>
      <c r="B303" s="69">
        <f t="shared" si="161"/>
        <v>297</v>
      </c>
      <c r="C303" s="120" t="str">
        <f>IF(VLOOKUP($B303,'1. 현장별 인원현황'!$C:$J,2,0)=0,"",VLOOKUP($B303,'1. 현장별 인원현황'!$C:$J,2,0))</f>
        <v xml:space="preserve"> [3.DL건설] 인천 검단신도시 AA29BL 공동주택 신축공사</v>
      </c>
      <c r="D303" s="70" t="str">
        <f>IF(VLOOKUP($B303,'1. 현장별 인원현황'!$C:$J,3,0)=0,"",VLOOKUP($B303,'1. 현장별 인원현황'!$C:$J,3,0))</f>
        <v>이건수</v>
      </c>
      <c r="E303" s="74" t="str">
        <f ca="1">IF(VLOOKUP($B303,'1. 현장별 인원현황'!$C:$J,4,0)=0,"",VLOOKUP($B303,'1. 현장별 인원현황'!$C:$J,4,0))</f>
        <v>34세</v>
      </c>
      <c r="F303" s="70" t="str">
        <f>IF(VLOOKUP($B303,'1. 현장별 인원현황'!$C:$J,7,0)=0,"",VLOOKUP($B303,'1. 현장별 인원현황'!$C:$J,7,0))</f>
        <v>기능공</v>
      </c>
      <c r="G303" s="72" t="str">
        <f>IF(VLOOKUP($B303,'1. 현장별 인원현황'!$C:$J,8,0)=0,"",VLOOKUP($B303,'1. 현장별 인원현황'!$C:$J,8,0))</f>
        <v>전공</v>
      </c>
      <c r="H303" s="67"/>
      <c r="I303" s="73" t="s">
        <v>69</v>
      </c>
      <c r="J303" s="73"/>
      <c r="K303" s="68"/>
      <c r="L303" s="67"/>
      <c r="M303" s="73" t="s">
        <v>69</v>
      </c>
      <c r="N303" s="73"/>
      <c r="O303" s="68"/>
      <c r="P303" s="67"/>
      <c r="Q303" s="73" t="s">
        <v>69</v>
      </c>
      <c r="R303" s="73"/>
      <c r="S303" s="68"/>
      <c r="T303" s="67"/>
      <c r="U303" s="73" t="s">
        <v>69</v>
      </c>
      <c r="V303" s="73"/>
      <c r="W303" s="68"/>
      <c r="X303" s="67"/>
      <c r="Y303" s="73" t="s">
        <v>69</v>
      </c>
      <c r="Z303" s="73"/>
      <c r="AA303" s="68"/>
      <c r="AB303" s="67"/>
      <c r="AC303" s="73" t="s">
        <v>69</v>
      </c>
      <c r="AD303" s="73"/>
      <c r="AE303" s="68"/>
      <c r="AF303" s="67"/>
      <c r="AG303" s="73" t="s">
        <v>69</v>
      </c>
      <c r="AH303" s="73"/>
      <c r="AI303" s="68"/>
      <c r="AJ303" s="67"/>
      <c r="AK303" s="73" t="s">
        <v>69</v>
      </c>
      <c r="AL303" s="73"/>
      <c r="AM303" s="68"/>
      <c r="AN303" s="73"/>
      <c r="AO303" s="73"/>
      <c r="AP303" s="73" t="s">
        <v>69</v>
      </c>
      <c r="AQ303" s="68"/>
      <c r="AR303" s="67">
        <f t="shared" si="162"/>
        <v>74</v>
      </c>
      <c r="AS303" s="68" t="str">
        <f t="shared" si="163"/>
        <v>A</v>
      </c>
      <c r="AV303" s="49">
        <f t="shared" si="164"/>
        <v>0</v>
      </c>
      <c r="AW303" s="49">
        <f t="shared" si="165"/>
        <v>1</v>
      </c>
      <c r="AX303" s="49">
        <f t="shared" si="166"/>
        <v>0</v>
      </c>
      <c r="AY303" s="49">
        <f t="shared" si="167"/>
        <v>0</v>
      </c>
      <c r="AZ303" s="49">
        <f t="shared" si="168"/>
        <v>0</v>
      </c>
      <c r="BA303" s="49">
        <f t="shared" si="169"/>
        <v>1</v>
      </c>
      <c r="BB303" s="49">
        <f t="shared" si="170"/>
        <v>0</v>
      </c>
      <c r="BC303" s="49">
        <f t="shared" si="171"/>
        <v>0</v>
      </c>
      <c r="BD303" s="49">
        <f t="shared" si="172"/>
        <v>0</v>
      </c>
      <c r="BE303" s="49">
        <f t="shared" si="173"/>
        <v>1</v>
      </c>
      <c r="BF303" s="49">
        <f t="shared" si="174"/>
        <v>0</v>
      </c>
      <c r="BG303" s="49">
        <f t="shared" si="175"/>
        <v>0</v>
      </c>
      <c r="BH303" s="49">
        <f t="shared" si="176"/>
        <v>0</v>
      </c>
      <c r="BI303" s="49">
        <f t="shared" si="177"/>
        <v>1</v>
      </c>
      <c r="BJ303" s="49">
        <f t="shared" si="178"/>
        <v>0</v>
      </c>
      <c r="BK303" s="49">
        <f t="shared" si="179"/>
        <v>0</v>
      </c>
      <c r="BL303" s="49">
        <f t="shared" si="180"/>
        <v>0</v>
      </c>
      <c r="BM303" s="49">
        <f t="shared" si="181"/>
        <v>1</v>
      </c>
      <c r="BN303" s="49">
        <f t="shared" si="182"/>
        <v>0</v>
      </c>
      <c r="BO303" s="49">
        <f t="shared" si="183"/>
        <v>0</v>
      </c>
      <c r="BP303" s="49">
        <f t="shared" si="184"/>
        <v>0</v>
      </c>
      <c r="BQ303" s="49">
        <f t="shared" si="185"/>
        <v>1</v>
      </c>
      <c r="BR303" s="49">
        <f t="shared" si="186"/>
        <v>0</v>
      </c>
      <c r="BS303" s="49">
        <f t="shared" si="187"/>
        <v>0</v>
      </c>
      <c r="BT303" s="49">
        <f t="shared" si="188"/>
        <v>0</v>
      </c>
      <c r="BU303" s="49">
        <f t="shared" si="189"/>
        <v>1</v>
      </c>
      <c r="BV303" s="49">
        <f t="shared" si="190"/>
        <v>0</v>
      </c>
      <c r="BW303" s="49">
        <f t="shared" si="191"/>
        <v>0</v>
      </c>
      <c r="BX303" s="49">
        <f t="shared" si="192"/>
        <v>0</v>
      </c>
      <c r="BY303" s="49">
        <f t="shared" si="193"/>
        <v>1</v>
      </c>
      <c r="BZ303" s="49">
        <f t="shared" si="194"/>
        <v>0</v>
      </c>
      <c r="CA303" s="49">
        <f t="shared" si="195"/>
        <v>0</v>
      </c>
      <c r="CB303" s="49">
        <f t="shared" si="196"/>
        <v>0</v>
      </c>
      <c r="CC303" s="49">
        <f t="shared" si="197"/>
        <v>0</v>
      </c>
      <c r="CD303" s="49">
        <f t="shared" si="198"/>
        <v>1</v>
      </c>
      <c r="CE303" s="49">
        <f t="shared" si="199"/>
        <v>0</v>
      </c>
    </row>
    <row r="304" spans="1:83" ht="35.1" customHeight="1" x14ac:dyDescent="0.3">
      <c r="A304" s="123" t="str">
        <f t="shared" si="160"/>
        <v>3팀</v>
      </c>
      <c r="B304" s="69">
        <f t="shared" si="161"/>
        <v>298</v>
      </c>
      <c r="C304" s="120" t="str">
        <f>IF(VLOOKUP($B304,'1. 현장별 인원현황'!$C:$J,2,0)=0,"",VLOOKUP($B304,'1. 현장별 인원현황'!$C:$J,2,0))</f>
        <v xml:space="preserve"> [3.DL건설] 인천 검단신도시 AA29BL 공동주택 신축공사</v>
      </c>
      <c r="D304" s="70" t="str">
        <f>IF(VLOOKUP($B304,'1. 현장별 인원현황'!$C:$J,3,0)=0,"",VLOOKUP($B304,'1. 현장별 인원현황'!$C:$J,3,0))</f>
        <v>한지용</v>
      </c>
      <c r="E304" s="74" t="str">
        <f ca="1">IF(VLOOKUP($B304,'1. 현장별 인원현황'!$C:$J,4,0)=0,"",VLOOKUP($B304,'1. 현장별 인원현황'!$C:$J,4,0))</f>
        <v>53세</v>
      </c>
      <c r="F304" s="70" t="str">
        <f>IF(VLOOKUP($B304,'1. 현장별 인원현황'!$C:$J,7,0)=0,"",VLOOKUP($B304,'1. 현장별 인원현황'!$C:$J,7,0))</f>
        <v>기능공</v>
      </c>
      <c r="G304" s="72" t="str">
        <f>IF(VLOOKUP($B304,'1. 현장별 인원현황'!$C:$J,8,0)=0,"",VLOOKUP($B304,'1. 현장별 인원현황'!$C:$J,8,0))</f>
        <v>전공</v>
      </c>
      <c r="H304" s="67"/>
      <c r="I304" s="73" t="s">
        <v>69</v>
      </c>
      <c r="J304" s="73"/>
      <c r="K304" s="68"/>
      <c r="L304" s="67"/>
      <c r="M304" s="73" t="s">
        <v>69</v>
      </c>
      <c r="N304" s="73"/>
      <c r="O304" s="68"/>
      <c r="P304" s="67"/>
      <c r="Q304" s="73" t="s">
        <v>69</v>
      </c>
      <c r="R304" s="73"/>
      <c r="S304" s="68"/>
      <c r="T304" s="67"/>
      <c r="U304" s="73" t="s">
        <v>69</v>
      </c>
      <c r="V304" s="73"/>
      <c r="W304" s="68"/>
      <c r="X304" s="67"/>
      <c r="Y304" s="73" t="s">
        <v>69</v>
      </c>
      <c r="Z304" s="73"/>
      <c r="AA304" s="68"/>
      <c r="AB304" s="67"/>
      <c r="AC304" s="73" t="s">
        <v>69</v>
      </c>
      <c r="AD304" s="73"/>
      <c r="AE304" s="68"/>
      <c r="AF304" s="67"/>
      <c r="AG304" s="73" t="s">
        <v>69</v>
      </c>
      <c r="AH304" s="73"/>
      <c r="AI304" s="68"/>
      <c r="AJ304" s="67"/>
      <c r="AK304" s="73" t="s">
        <v>69</v>
      </c>
      <c r="AL304" s="73"/>
      <c r="AM304" s="68"/>
      <c r="AN304" s="73"/>
      <c r="AO304" s="73" t="s">
        <v>69</v>
      </c>
      <c r="AP304" s="73"/>
      <c r="AQ304" s="68"/>
      <c r="AR304" s="67">
        <f t="shared" si="162"/>
        <v>77</v>
      </c>
      <c r="AS304" s="68" t="str">
        <f t="shared" si="163"/>
        <v>A</v>
      </c>
      <c r="AV304" s="49">
        <f t="shared" si="79"/>
        <v>0</v>
      </c>
      <c r="AW304" s="49">
        <f t="shared" si="44"/>
        <v>1</v>
      </c>
      <c r="AX304" s="49">
        <f t="shared" si="45"/>
        <v>0</v>
      </c>
      <c r="AY304" s="49">
        <f t="shared" si="46"/>
        <v>0</v>
      </c>
      <c r="AZ304" s="49">
        <f t="shared" si="47"/>
        <v>0</v>
      </c>
      <c r="BA304" s="49">
        <f t="shared" si="48"/>
        <v>1</v>
      </c>
      <c r="BB304" s="49">
        <f t="shared" si="49"/>
        <v>0</v>
      </c>
      <c r="BC304" s="49">
        <f t="shared" si="50"/>
        <v>0</v>
      </c>
      <c r="BD304" s="49">
        <f t="shared" si="51"/>
        <v>0</v>
      </c>
      <c r="BE304" s="49">
        <f t="shared" si="52"/>
        <v>1</v>
      </c>
      <c r="BF304" s="49">
        <f t="shared" si="53"/>
        <v>0</v>
      </c>
      <c r="BG304" s="49">
        <f t="shared" si="54"/>
        <v>0</v>
      </c>
      <c r="BH304" s="49">
        <f t="shared" si="55"/>
        <v>0</v>
      </c>
      <c r="BI304" s="49">
        <f t="shared" si="56"/>
        <v>1</v>
      </c>
      <c r="BJ304" s="49">
        <f t="shared" si="57"/>
        <v>0</v>
      </c>
      <c r="BK304" s="49">
        <f t="shared" si="58"/>
        <v>0</v>
      </c>
      <c r="BL304" s="49">
        <f t="shared" si="59"/>
        <v>0</v>
      </c>
      <c r="BM304" s="49">
        <f t="shared" si="60"/>
        <v>1</v>
      </c>
      <c r="BN304" s="49">
        <f t="shared" si="61"/>
        <v>0</v>
      </c>
      <c r="BO304" s="49">
        <f t="shared" si="62"/>
        <v>0</v>
      </c>
      <c r="BP304" s="49">
        <f t="shared" si="63"/>
        <v>0</v>
      </c>
      <c r="BQ304" s="49">
        <f t="shared" si="64"/>
        <v>1</v>
      </c>
      <c r="BR304" s="49">
        <f t="shared" si="65"/>
        <v>0</v>
      </c>
      <c r="BS304" s="49">
        <f t="shared" si="66"/>
        <v>0</v>
      </c>
      <c r="BT304" s="49">
        <f t="shared" si="67"/>
        <v>0</v>
      </c>
      <c r="BU304" s="49">
        <f t="shared" si="68"/>
        <v>1</v>
      </c>
      <c r="BV304" s="49">
        <f t="shared" si="69"/>
        <v>0</v>
      </c>
      <c r="BW304" s="49">
        <f t="shared" si="70"/>
        <v>0</v>
      </c>
      <c r="BX304" s="49">
        <f t="shared" si="71"/>
        <v>0</v>
      </c>
      <c r="BY304" s="49">
        <f t="shared" si="72"/>
        <v>1</v>
      </c>
      <c r="BZ304" s="49">
        <f t="shared" si="73"/>
        <v>0</v>
      </c>
      <c r="CA304" s="49">
        <f t="shared" si="74"/>
        <v>0</v>
      </c>
      <c r="CB304" s="49">
        <f t="shared" si="75"/>
        <v>0</v>
      </c>
      <c r="CC304" s="49">
        <f t="shared" si="76"/>
        <v>1</v>
      </c>
      <c r="CD304" s="49">
        <f t="shared" si="77"/>
        <v>0</v>
      </c>
      <c r="CE304" s="49">
        <f t="shared" si="78"/>
        <v>0</v>
      </c>
    </row>
    <row r="305" spans="1:83" ht="35.1" customHeight="1" x14ac:dyDescent="0.3">
      <c r="A305" s="123" t="str">
        <f t="shared" si="160"/>
        <v>3팀</v>
      </c>
      <c r="B305" s="69">
        <f t="shared" si="161"/>
        <v>299</v>
      </c>
      <c r="C305" s="120" t="str">
        <f>IF(VLOOKUP($B305,'1. 현장별 인원현황'!$C:$J,2,0)=0,"",VLOOKUP($B305,'1. 현장별 인원현황'!$C:$J,2,0))</f>
        <v xml:space="preserve"> [3.DL건설] 인천 검단신도시 AA29BL 공동주택 신축공사</v>
      </c>
      <c r="D305" s="70" t="str">
        <f>IF(VLOOKUP($B305,'1. 현장별 인원현황'!$C:$J,3,0)=0,"",VLOOKUP($B305,'1. 현장별 인원현황'!$C:$J,3,0))</f>
        <v>성희현</v>
      </c>
      <c r="E305" s="74" t="str">
        <f ca="1">IF(VLOOKUP($B305,'1. 현장별 인원현황'!$C:$J,4,0)=0,"",VLOOKUP($B305,'1. 현장별 인원현황'!$C:$J,4,0))</f>
        <v>56세</v>
      </c>
      <c r="F305" s="70" t="str">
        <f>IF(VLOOKUP($B305,'1. 현장별 인원현황'!$C:$J,7,0)=0,"",VLOOKUP($B305,'1. 현장별 인원현황'!$C:$J,7,0))</f>
        <v>기능공</v>
      </c>
      <c r="G305" s="72" t="str">
        <f>IF(VLOOKUP($B305,'1. 현장별 인원현황'!$C:$J,8,0)=0,"",VLOOKUP($B305,'1. 현장별 인원현황'!$C:$J,8,0))</f>
        <v>전공</v>
      </c>
      <c r="H305" s="67"/>
      <c r="I305" s="73" t="s">
        <v>69</v>
      </c>
      <c r="J305" s="73"/>
      <c r="K305" s="68"/>
      <c r="L305" s="67"/>
      <c r="M305" s="73" t="s">
        <v>69</v>
      </c>
      <c r="N305" s="73"/>
      <c r="O305" s="68"/>
      <c r="P305" s="67"/>
      <c r="Q305" s="73" t="s">
        <v>69</v>
      </c>
      <c r="R305" s="73"/>
      <c r="S305" s="68"/>
      <c r="T305" s="67"/>
      <c r="U305" s="73" t="s">
        <v>69</v>
      </c>
      <c r="V305" s="73"/>
      <c r="W305" s="68"/>
      <c r="X305" s="67"/>
      <c r="Y305" s="73" t="s">
        <v>69</v>
      </c>
      <c r="Z305" s="73"/>
      <c r="AA305" s="68"/>
      <c r="AB305" s="67"/>
      <c r="AC305" s="73" t="s">
        <v>69</v>
      </c>
      <c r="AD305" s="73"/>
      <c r="AE305" s="68"/>
      <c r="AF305" s="67"/>
      <c r="AG305" s="73" t="s">
        <v>69</v>
      </c>
      <c r="AH305" s="73"/>
      <c r="AI305" s="68"/>
      <c r="AJ305" s="67"/>
      <c r="AK305" s="73" t="s">
        <v>69</v>
      </c>
      <c r="AL305" s="73"/>
      <c r="AM305" s="68"/>
      <c r="AN305" s="73"/>
      <c r="AO305" s="73" t="s">
        <v>69</v>
      </c>
      <c r="AP305" s="73"/>
      <c r="AQ305" s="68"/>
      <c r="AR305" s="67">
        <f t="shared" si="162"/>
        <v>77</v>
      </c>
      <c r="AS305" s="68" t="str">
        <f t="shared" si="163"/>
        <v>A</v>
      </c>
      <c r="AV305" s="49">
        <f t="shared" si="79"/>
        <v>0</v>
      </c>
      <c r="AW305" s="49">
        <f t="shared" si="44"/>
        <v>1</v>
      </c>
      <c r="AX305" s="49">
        <f t="shared" si="45"/>
        <v>0</v>
      </c>
      <c r="AY305" s="49">
        <f t="shared" si="46"/>
        <v>0</v>
      </c>
      <c r="AZ305" s="49">
        <f t="shared" si="47"/>
        <v>0</v>
      </c>
      <c r="BA305" s="49">
        <f t="shared" si="48"/>
        <v>1</v>
      </c>
      <c r="BB305" s="49">
        <f t="shared" si="49"/>
        <v>0</v>
      </c>
      <c r="BC305" s="49">
        <f t="shared" si="50"/>
        <v>0</v>
      </c>
      <c r="BD305" s="49">
        <f t="shared" si="51"/>
        <v>0</v>
      </c>
      <c r="BE305" s="49">
        <f t="shared" si="52"/>
        <v>1</v>
      </c>
      <c r="BF305" s="49">
        <f t="shared" si="53"/>
        <v>0</v>
      </c>
      <c r="BG305" s="49">
        <f t="shared" si="54"/>
        <v>0</v>
      </c>
      <c r="BH305" s="49">
        <f t="shared" si="55"/>
        <v>0</v>
      </c>
      <c r="BI305" s="49">
        <f t="shared" si="56"/>
        <v>1</v>
      </c>
      <c r="BJ305" s="49">
        <f t="shared" si="57"/>
        <v>0</v>
      </c>
      <c r="BK305" s="49">
        <f t="shared" si="58"/>
        <v>0</v>
      </c>
      <c r="BL305" s="49">
        <f t="shared" si="59"/>
        <v>0</v>
      </c>
      <c r="BM305" s="49">
        <f t="shared" si="60"/>
        <v>1</v>
      </c>
      <c r="BN305" s="49">
        <f t="shared" si="61"/>
        <v>0</v>
      </c>
      <c r="BO305" s="49">
        <f t="shared" si="62"/>
        <v>0</v>
      </c>
      <c r="BP305" s="49">
        <f t="shared" si="63"/>
        <v>0</v>
      </c>
      <c r="BQ305" s="49">
        <f t="shared" si="64"/>
        <v>1</v>
      </c>
      <c r="BR305" s="49">
        <f t="shared" si="65"/>
        <v>0</v>
      </c>
      <c r="BS305" s="49">
        <f t="shared" si="66"/>
        <v>0</v>
      </c>
      <c r="BT305" s="49">
        <f t="shared" si="67"/>
        <v>0</v>
      </c>
      <c r="BU305" s="49">
        <f t="shared" si="68"/>
        <v>1</v>
      </c>
      <c r="BV305" s="49">
        <f t="shared" si="69"/>
        <v>0</v>
      </c>
      <c r="BW305" s="49">
        <f t="shared" si="70"/>
        <v>0</v>
      </c>
      <c r="BX305" s="49">
        <f t="shared" si="71"/>
        <v>0</v>
      </c>
      <c r="BY305" s="49">
        <f t="shared" si="72"/>
        <v>1</v>
      </c>
      <c r="BZ305" s="49">
        <f t="shared" si="73"/>
        <v>0</v>
      </c>
      <c r="CA305" s="49">
        <f t="shared" si="74"/>
        <v>0</v>
      </c>
      <c r="CB305" s="49">
        <f t="shared" si="75"/>
        <v>0</v>
      </c>
      <c r="CC305" s="49">
        <f t="shared" si="76"/>
        <v>1</v>
      </c>
      <c r="CD305" s="49">
        <f t="shared" si="77"/>
        <v>0</v>
      </c>
      <c r="CE305" s="49">
        <f t="shared" si="78"/>
        <v>0</v>
      </c>
    </row>
    <row r="306" spans="1:83" ht="35.1" customHeight="1" x14ac:dyDescent="0.3">
      <c r="A306" s="123" t="str">
        <f t="shared" si="160"/>
        <v>3팀</v>
      </c>
      <c r="B306" s="69">
        <f t="shared" si="161"/>
        <v>300</v>
      </c>
      <c r="C306" s="120" t="str">
        <f>IF(VLOOKUP($B306,'1. 현장별 인원현황'!$C:$J,2,0)=0,"",VLOOKUP($B306,'1. 현장별 인원현황'!$C:$J,2,0))</f>
        <v xml:space="preserve"> [3.DL건설] 인천 검단신도시 AA29BL 공동주택 신축공사</v>
      </c>
      <c r="D306" s="70" t="str">
        <f>IF(VLOOKUP($B306,'1. 현장별 인원현황'!$C:$J,3,0)=0,"",VLOOKUP($B306,'1. 현장별 인원현황'!$C:$J,3,0))</f>
        <v>김수응</v>
      </c>
      <c r="E306" s="74" t="str">
        <f ca="1">IF(VLOOKUP($B306,'1. 현장별 인원현황'!$C:$J,4,0)=0,"",VLOOKUP($B306,'1. 현장별 인원현황'!$C:$J,4,0))</f>
        <v>34세</v>
      </c>
      <c r="F306" s="70" t="str">
        <f>IF(VLOOKUP($B306,'1. 현장별 인원현황'!$C:$J,7,0)=0,"",VLOOKUP($B306,'1. 현장별 인원현황'!$C:$J,7,0))</f>
        <v>기능공</v>
      </c>
      <c r="G306" s="72" t="str">
        <f>IF(VLOOKUP($B306,'1. 현장별 인원현황'!$C:$J,8,0)=0,"",VLOOKUP($B306,'1. 현장별 인원현황'!$C:$J,8,0))</f>
        <v>조공</v>
      </c>
      <c r="H306" s="67"/>
      <c r="I306" s="73"/>
      <c r="J306" s="73" t="s">
        <v>69</v>
      </c>
      <c r="K306" s="68"/>
      <c r="L306" s="67"/>
      <c r="M306" s="73" t="s">
        <v>69</v>
      </c>
      <c r="N306" s="73"/>
      <c r="O306" s="68"/>
      <c r="P306" s="67"/>
      <c r="Q306" s="73" t="s">
        <v>69</v>
      </c>
      <c r="R306" s="73"/>
      <c r="S306" s="68"/>
      <c r="T306" s="67"/>
      <c r="U306" s="73" t="s">
        <v>69</v>
      </c>
      <c r="V306" s="73"/>
      <c r="W306" s="68"/>
      <c r="X306" s="67"/>
      <c r="Y306" s="73" t="s">
        <v>69</v>
      </c>
      <c r="Z306" s="73"/>
      <c r="AA306" s="68"/>
      <c r="AB306" s="67"/>
      <c r="AC306" s="73" t="s">
        <v>69</v>
      </c>
      <c r="AD306" s="73"/>
      <c r="AE306" s="68"/>
      <c r="AF306" s="67"/>
      <c r="AG306" s="73" t="s">
        <v>69</v>
      </c>
      <c r="AH306" s="73"/>
      <c r="AI306" s="68"/>
      <c r="AJ306" s="67"/>
      <c r="AK306" s="73" t="s">
        <v>69</v>
      </c>
      <c r="AL306" s="73"/>
      <c r="AM306" s="68"/>
      <c r="AN306" s="73"/>
      <c r="AO306" s="73" t="s">
        <v>69</v>
      </c>
      <c r="AP306" s="73"/>
      <c r="AQ306" s="68"/>
      <c r="AR306" s="67">
        <f t="shared" si="162"/>
        <v>74</v>
      </c>
      <c r="AS306" s="68" t="str">
        <f t="shared" si="163"/>
        <v>A</v>
      </c>
      <c r="AV306" s="49">
        <f t="shared" si="79"/>
        <v>0</v>
      </c>
      <c r="AW306" s="49">
        <f t="shared" si="44"/>
        <v>0</v>
      </c>
      <c r="AX306" s="49">
        <f t="shared" si="45"/>
        <v>1</v>
      </c>
      <c r="AY306" s="49">
        <f t="shared" si="46"/>
        <v>0</v>
      </c>
      <c r="AZ306" s="49">
        <f t="shared" si="47"/>
        <v>0</v>
      </c>
      <c r="BA306" s="49">
        <f t="shared" si="48"/>
        <v>1</v>
      </c>
      <c r="BB306" s="49">
        <f t="shared" si="49"/>
        <v>0</v>
      </c>
      <c r="BC306" s="49">
        <f t="shared" si="50"/>
        <v>0</v>
      </c>
      <c r="BD306" s="49">
        <f t="shared" si="51"/>
        <v>0</v>
      </c>
      <c r="BE306" s="49">
        <f t="shared" si="52"/>
        <v>1</v>
      </c>
      <c r="BF306" s="49">
        <f t="shared" si="53"/>
        <v>0</v>
      </c>
      <c r="BG306" s="49">
        <f t="shared" si="54"/>
        <v>0</v>
      </c>
      <c r="BH306" s="49">
        <f t="shared" si="55"/>
        <v>0</v>
      </c>
      <c r="BI306" s="49">
        <f t="shared" si="56"/>
        <v>1</v>
      </c>
      <c r="BJ306" s="49">
        <f t="shared" si="57"/>
        <v>0</v>
      </c>
      <c r="BK306" s="49">
        <f t="shared" si="58"/>
        <v>0</v>
      </c>
      <c r="BL306" s="49">
        <f t="shared" si="59"/>
        <v>0</v>
      </c>
      <c r="BM306" s="49">
        <f t="shared" si="60"/>
        <v>1</v>
      </c>
      <c r="BN306" s="49">
        <f t="shared" si="61"/>
        <v>0</v>
      </c>
      <c r="BO306" s="49">
        <f t="shared" si="62"/>
        <v>0</v>
      </c>
      <c r="BP306" s="49">
        <f t="shared" si="63"/>
        <v>0</v>
      </c>
      <c r="BQ306" s="49">
        <f t="shared" si="64"/>
        <v>1</v>
      </c>
      <c r="BR306" s="49">
        <f t="shared" si="65"/>
        <v>0</v>
      </c>
      <c r="BS306" s="49">
        <f t="shared" si="66"/>
        <v>0</v>
      </c>
      <c r="BT306" s="49">
        <f t="shared" si="67"/>
        <v>0</v>
      </c>
      <c r="BU306" s="49">
        <f t="shared" si="68"/>
        <v>1</v>
      </c>
      <c r="BV306" s="49">
        <f t="shared" si="69"/>
        <v>0</v>
      </c>
      <c r="BW306" s="49">
        <f t="shared" si="70"/>
        <v>0</v>
      </c>
      <c r="BX306" s="49">
        <f t="shared" si="71"/>
        <v>0</v>
      </c>
      <c r="BY306" s="49">
        <f t="shared" si="72"/>
        <v>1</v>
      </c>
      <c r="BZ306" s="49">
        <f t="shared" si="73"/>
        <v>0</v>
      </c>
      <c r="CA306" s="49">
        <f t="shared" si="74"/>
        <v>0</v>
      </c>
      <c r="CB306" s="49">
        <f t="shared" si="75"/>
        <v>0</v>
      </c>
      <c r="CC306" s="49">
        <f t="shared" si="76"/>
        <v>1</v>
      </c>
      <c r="CD306" s="49">
        <f t="shared" si="77"/>
        <v>0</v>
      </c>
      <c r="CE306" s="49">
        <f t="shared" si="78"/>
        <v>0</v>
      </c>
    </row>
    <row r="307" spans="1:83" ht="35.1" customHeight="1" x14ac:dyDescent="0.3">
      <c r="A307" s="123" t="str">
        <f t="shared" si="160"/>
        <v>3팀</v>
      </c>
      <c r="B307" s="69">
        <f t="shared" si="161"/>
        <v>301</v>
      </c>
      <c r="C307" s="120" t="str">
        <f>IF(VLOOKUP($B307,'1. 현장별 인원현황'!$C:$J,2,0)=0,"",VLOOKUP($B307,'1. 현장별 인원현황'!$C:$J,2,0))</f>
        <v xml:space="preserve"> [3.DL건설] 인천 검단신도시 AA29BL 공동주택 신축공사</v>
      </c>
      <c r="D307" s="70" t="str">
        <f>IF(VLOOKUP($B307,'1. 현장별 인원현황'!$C:$J,3,0)=0,"",VLOOKUP($B307,'1. 현장별 인원현황'!$C:$J,3,0))</f>
        <v>김태환</v>
      </c>
      <c r="E307" s="74" t="str">
        <f ca="1">IF(VLOOKUP($B307,'1. 현장별 인원현황'!$C:$J,4,0)=0,"",VLOOKUP($B307,'1. 현장별 인원현황'!$C:$J,4,0))</f>
        <v>62세</v>
      </c>
      <c r="F307" s="70" t="str">
        <f>IF(VLOOKUP($B307,'1. 현장별 인원현황'!$C:$J,7,0)=0,"",VLOOKUP($B307,'1. 현장별 인원현황'!$C:$J,7,0))</f>
        <v>기능공</v>
      </c>
      <c r="G307" s="72" t="str">
        <f>IF(VLOOKUP($B307,'1. 현장별 인원현황'!$C:$J,8,0)=0,"",VLOOKUP($B307,'1. 현장별 인원현황'!$C:$J,8,0))</f>
        <v>전공</v>
      </c>
      <c r="H307" s="67"/>
      <c r="I307" s="73" t="s">
        <v>69</v>
      </c>
      <c r="J307" s="73"/>
      <c r="K307" s="68"/>
      <c r="L307" s="67"/>
      <c r="M307" s="73" t="s">
        <v>69</v>
      </c>
      <c r="N307" s="73"/>
      <c r="O307" s="68"/>
      <c r="P307" s="67"/>
      <c r="Q307" s="73" t="s">
        <v>69</v>
      </c>
      <c r="R307" s="73"/>
      <c r="S307" s="68"/>
      <c r="T307" s="67"/>
      <c r="U307" s="73" t="s">
        <v>69</v>
      </c>
      <c r="V307" s="73"/>
      <c r="W307" s="68"/>
      <c r="X307" s="67"/>
      <c r="Y307" s="73" t="s">
        <v>69</v>
      </c>
      <c r="Z307" s="73"/>
      <c r="AA307" s="68"/>
      <c r="AB307" s="67"/>
      <c r="AC307" s="73" t="s">
        <v>69</v>
      </c>
      <c r="AD307" s="73"/>
      <c r="AE307" s="68"/>
      <c r="AF307" s="67"/>
      <c r="AG307" s="73" t="s">
        <v>69</v>
      </c>
      <c r="AH307" s="73"/>
      <c r="AI307" s="68"/>
      <c r="AJ307" s="67"/>
      <c r="AK307" s="73" t="s">
        <v>69</v>
      </c>
      <c r="AL307" s="73"/>
      <c r="AM307" s="68"/>
      <c r="AN307" s="73"/>
      <c r="AO307" s="73" t="s">
        <v>69</v>
      </c>
      <c r="AP307" s="73"/>
      <c r="AQ307" s="68"/>
      <c r="AR307" s="67">
        <f t="shared" si="162"/>
        <v>77</v>
      </c>
      <c r="AS307" s="68" t="str">
        <f t="shared" si="163"/>
        <v>A</v>
      </c>
      <c r="AV307" s="49">
        <f t="shared" si="79"/>
        <v>0</v>
      </c>
      <c r="AW307" s="49">
        <f t="shared" si="44"/>
        <v>1</v>
      </c>
      <c r="AX307" s="49">
        <f t="shared" si="45"/>
        <v>0</v>
      </c>
      <c r="AY307" s="49">
        <f t="shared" si="46"/>
        <v>0</v>
      </c>
      <c r="AZ307" s="49">
        <f t="shared" si="47"/>
        <v>0</v>
      </c>
      <c r="BA307" s="49">
        <f t="shared" si="48"/>
        <v>1</v>
      </c>
      <c r="BB307" s="49">
        <f t="shared" si="49"/>
        <v>0</v>
      </c>
      <c r="BC307" s="49">
        <f t="shared" si="50"/>
        <v>0</v>
      </c>
      <c r="BD307" s="49">
        <f t="shared" si="51"/>
        <v>0</v>
      </c>
      <c r="BE307" s="49">
        <f t="shared" si="52"/>
        <v>1</v>
      </c>
      <c r="BF307" s="49">
        <f t="shared" si="53"/>
        <v>0</v>
      </c>
      <c r="BG307" s="49">
        <f t="shared" si="54"/>
        <v>0</v>
      </c>
      <c r="BH307" s="49">
        <f t="shared" si="55"/>
        <v>0</v>
      </c>
      <c r="BI307" s="49">
        <f t="shared" si="56"/>
        <v>1</v>
      </c>
      <c r="BJ307" s="49">
        <f t="shared" si="57"/>
        <v>0</v>
      </c>
      <c r="BK307" s="49">
        <f t="shared" si="58"/>
        <v>0</v>
      </c>
      <c r="BL307" s="49">
        <f t="shared" si="59"/>
        <v>0</v>
      </c>
      <c r="BM307" s="49">
        <f t="shared" si="60"/>
        <v>1</v>
      </c>
      <c r="BN307" s="49">
        <f t="shared" si="61"/>
        <v>0</v>
      </c>
      <c r="BO307" s="49">
        <f t="shared" si="62"/>
        <v>0</v>
      </c>
      <c r="BP307" s="49">
        <f t="shared" si="63"/>
        <v>0</v>
      </c>
      <c r="BQ307" s="49">
        <f t="shared" si="64"/>
        <v>1</v>
      </c>
      <c r="BR307" s="49">
        <f t="shared" si="65"/>
        <v>0</v>
      </c>
      <c r="BS307" s="49">
        <f t="shared" si="66"/>
        <v>0</v>
      </c>
      <c r="BT307" s="49">
        <f t="shared" si="67"/>
        <v>0</v>
      </c>
      <c r="BU307" s="49">
        <f t="shared" si="68"/>
        <v>1</v>
      </c>
      <c r="BV307" s="49">
        <f t="shared" si="69"/>
        <v>0</v>
      </c>
      <c r="BW307" s="49">
        <f t="shared" si="70"/>
        <v>0</v>
      </c>
      <c r="BX307" s="49">
        <f t="shared" si="71"/>
        <v>0</v>
      </c>
      <c r="BY307" s="49">
        <f t="shared" si="72"/>
        <v>1</v>
      </c>
      <c r="BZ307" s="49">
        <f t="shared" si="73"/>
        <v>0</v>
      </c>
      <c r="CA307" s="49">
        <f t="shared" si="74"/>
        <v>0</v>
      </c>
      <c r="CB307" s="49">
        <f t="shared" si="75"/>
        <v>0</v>
      </c>
      <c r="CC307" s="49">
        <f t="shared" si="76"/>
        <v>1</v>
      </c>
      <c r="CD307" s="49">
        <f t="shared" si="77"/>
        <v>0</v>
      </c>
      <c r="CE307" s="49">
        <f t="shared" si="78"/>
        <v>0</v>
      </c>
    </row>
    <row r="308" spans="1:83" ht="35.1" customHeight="1" x14ac:dyDescent="0.3">
      <c r="A308" s="123" t="str">
        <f t="shared" si="160"/>
        <v>3팀</v>
      </c>
      <c r="B308" s="69">
        <f t="shared" si="161"/>
        <v>302</v>
      </c>
      <c r="C308" s="120" t="str">
        <f>IF(VLOOKUP($B308,'1. 현장별 인원현황'!$C:$J,2,0)=0,"",VLOOKUP($B308,'1. 현장별 인원현황'!$C:$J,2,0))</f>
        <v xml:space="preserve"> [3.DL건설] 인천 검단신도시 AA29BL 공동주택 신축공사</v>
      </c>
      <c r="D308" s="70" t="str">
        <f>IF(VLOOKUP($B308,'1. 현장별 인원현황'!$C:$J,3,0)=0,"",VLOOKUP($B308,'1. 현장별 인원현황'!$C:$J,3,0))</f>
        <v>이중석</v>
      </c>
      <c r="E308" s="74" t="str">
        <f ca="1">IF(VLOOKUP($B308,'1. 현장별 인원현황'!$C:$J,4,0)=0,"",VLOOKUP($B308,'1. 현장별 인원현황'!$C:$J,4,0))</f>
        <v>60세</v>
      </c>
      <c r="F308" s="70" t="str">
        <f>IF(VLOOKUP($B308,'1. 현장별 인원현황'!$C:$J,7,0)=0,"",VLOOKUP($B308,'1. 현장별 인원현황'!$C:$J,7,0))</f>
        <v>기능공</v>
      </c>
      <c r="G308" s="72" t="str">
        <f>IF(VLOOKUP($B308,'1. 현장별 인원현황'!$C:$J,8,0)=0,"",VLOOKUP($B308,'1. 현장별 인원현황'!$C:$J,8,0))</f>
        <v>전공</v>
      </c>
      <c r="H308" s="67"/>
      <c r="I308" s="73" t="s">
        <v>69</v>
      </c>
      <c r="J308" s="73"/>
      <c r="K308" s="68"/>
      <c r="L308" s="67"/>
      <c r="M308" s="73" t="s">
        <v>69</v>
      </c>
      <c r="N308" s="73"/>
      <c r="O308" s="68"/>
      <c r="P308" s="67"/>
      <c r="Q308" s="73" t="s">
        <v>69</v>
      </c>
      <c r="R308" s="73"/>
      <c r="S308" s="68"/>
      <c r="T308" s="67"/>
      <c r="U308" s="73" t="s">
        <v>69</v>
      </c>
      <c r="V308" s="73"/>
      <c r="W308" s="68"/>
      <c r="X308" s="67"/>
      <c r="Y308" s="73" t="s">
        <v>69</v>
      </c>
      <c r="Z308" s="73"/>
      <c r="AA308" s="68"/>
      <c r="AB308" s="67"/>
      <c r="AC308" s="73" t="s">
        <v>69</v>
      </c>
      <c r="AD308" s="73"/>
      <c r="AE308" s="68"/>
      <c r="AF308" s="67"/>
      <c r="AG308" s="73" t="s">
        <v>69</v>
      </c>
      <c r="AH308" s="73"/>
      <c r="AI308" s="68"/>
      <c r="AJ308" s="67"/>
      <c r="AK308" s="73" t="s">
        <v>69</v>
      </c>
      <c r="AL308" s="73"/>
      <c r="AM308" s="68"/>
      <c r="AN308" s="73"/>
      <c r="AO308" s="73" t="s">
        <v>69</v>
      </c>
      <c r="AP308" s="73"/>
      <c r="AQ308" s="68"/>
      <c r="AR308" s="67">
        <f t="shared" si="162"/>
        <v>77</v>
      </c>
      <c r="AS308" s="68" t="str">
        <f t="shared" si="163"/>
        <v>A</v>
      </c>
      <c r="AV308" s="49">
        <f t="shared" si="79"/>
        <v>0</v>
      </c>
      <c r="AW308" s="49">
        <f t="shared" si="44"/>
        <v>1</v>
      </c>
      <c r="AX308" s="49">
        <f t="shared" si="45"/>
        <v>0</v>
      </c>
      <c r="AY308" s="49">
        <f t="shared" si="46"/>
        <v>0</v>
      </c>
      <c r="AZ308" s="49">
        <f t="shared" si="47"/>
        <v>0</v>
      </c>
      <c r="BA308" s="49">
        <f t="shared" si="48"/>
        <v>1</v>
      </c>
      <c r="BB308" s="49">
        <f t="shared" si="49"/>
        <v>0</v>
      </c>
      <c r="BC308" s="49">
        <f t="shared" si="50"/>
        <v>0</v>
      </c>
      <c r="BD308" s="49">
        <f t="shared" si="51"/>
        <v>0</v>
      </c>
      <c r="BE308" s="49">
        <f t="shared" si="52"/>
        <v>1</v>
      </c>
      <c r="BF308" s="49">
        <f t="shared" si="53"/>
        <v>0</v>
      </c>
      <c r="BG308" s="49">
        <f t="shared" si="54"/>
        <v>0</v>
      </c>
      <c r="BH308" s="49">
        <f t="shared" si="55"/>
        <v>0</v>
      </c>
      <c r="BI308" s="49">
        <f t="shared" si="56"/>
        <v>1</v>
      </c>
      <c r="BJ308" s="49">
        <f t="shared" si="57"/>
        <v>0</v>
      </c>
      <c r="BK308" s="49">
        <f t="shared" si="58"/>
        <v>0</v>
      </c>
      <c r="BL308" s="49">
        <f t="shared" si="59"/>
        <v>0</v>
      </c>
      <c r="BM308" s="49">
        <f t="shared" si="60"/>
        <v>1</v>
      </c>
      <c r="BN308" s="49">
        <f t="shared" si="61"/>
        <v>0</v>
      </c>
      <c r="BO308" s="49">
        <f t="shared" si="62"/>
        <v>0</v>
      </c>
      <c r="BP308" s="49">
        <f t="shared" si="63"/>
        <v>0</v>
      </c>
      <c r="BQ308" s="49">
        <f t="shared" si="64"/>
        <v>1</v>
      </c>
      <c r="BR308" s="49">
        <f t="shared" si="65"/>
        <v>0</v>
      </c>
      <c r="BS308" s="49">
        <f t="shared" si="66"/>
        <v>0</v>
      </c>
      <c r="BT308" s="49">
        <f t="shared" si="67"/>
        <v>0</v>
      </c>
      <c r="BU308" s="49">
        <f t="shared" si="68"/>
        <v>1</v>
      </c>
      <c r="BV308" s="49">
        <f t="shared" si="69"/>
        <v>0</v>
      </c>
      <c r="BW308" s="49">
        <f t="shared" si="70"/>
        <v>0</v>
      </c>
      <c r="BX308" s="49">
        <f t="shared" si="71"/>
        <v>0</v>
      </c>
      <c r="BY308" s="49">
        <f t="shared" si="72"/>
        <v>1</v>
      </c>
      <c r="BZ308" s="49">
        <f t="shared" si="73"/>
        <v>0</v>
      </c>
      <c r="CA308" s="49">
        <f t="shared" si="74"/>
        <v>0</v>
      </c>
      <c r="CB308" s="49">
        <f t="shared" si="75"/>
        <v>0</v>
      </c>
      <c r="CC308" s="49">
        <f t="shared" si="76"/>
        <v>1</v>
      </c>
      <c r="CD308" s="49">
        <f t="shared" si="77"/>
        <v>0</v>
      </c>
      <c r="CE308" s="49">
        <f t="shared" si="78"/>
        <v>0</v>
      </c>
    </row>
    <row r="309" spans="1:83" ht="35.1" customHeight="1" x14ac:dyDescent="0.3">
      <c r="A309" s="123" t="str">
        <f t="shared" si="160"/>
        <v>3팀</v>
      </c>
      <c r="B309" s="69">
        <f t="shared" si="161"/>
        <v>303</v>
      </c>
      <c r="C309" s="120" t="str">
        <f>IF(VLOOKUP($B309,'1. 현장별 인원현황'!$C:$J,2,0)=0,"",VLOOKUP($B309,'1. 현장별 인원현황'!$C:$J,2,0))</f>
        <v xml:space="preserve"> [3.DL건설] 인천 검단신도시 AA29BL 공동주택 신축공사</v>
      </c>
      <c r="D309" s="70" t="str">
        <f>IF(VLOOKUP($B309,'1. 현장별 인원현황'!$C:$J,3,0)=0,"",VLOOKUP($B309,'1. 현장별 인원현황'!$C:$J,3,0))</f>
        <v>장덕근</v>
      </c>
      <c r="E309" s="74" t="str">
        <f ca="1">IF(VLOOKUP($B309,'1. 현장별 인원현황'!$C:$J,4,0)=0,"",VLOOKUP($B309,'1. 현장별 인원현황'!$C:$J,4,0))</f>
        <v>59세</v>
      </c>
      <c r="F309" s="70" t="str">
        <f>IF(VLOOKUP($B309,'1. 현장별 인원현황'!$C:$J,7,0)=0,"",VLOOKUP($B309,'1. 현장별 인원현황'!$C:$J,7,0))</f>
        <v>기능공</v>
      </c>
      <c r="G309" s="72" t="str">
        <f>IF(VLOOKUP($B309,'1. 현장별 인원현황'!$C:$J,8,0)=0,"",VLOOKUP($B309,'1. 현장별 인원현황'!$C:$J,8,0))</f>
        <v>전공</v>
      </c>
      <c r="H309" s="67"/>
      <c r="I309" s="73" t="s">
        <v>69</v>
      </c>
      <c r="J309" s="73"/>
      <c r="K309" s="68"/>
      <c r="L309" s="67"/>
      <c r="M309" s="73" t="s">
        <v>69</v>
      </c>
      <c r="N309" s="73"/>
      <c r="O309" s="68"/>
      <c r="P309" s="67"/>
      <c r="Q309" s="73" t="s">
        <v>69</v>
      </c>
      <c r="R309" s="73"/>
      <c r="S309" s="68"/>
      <c r="T309" s="67"/>
      <c r="U309" s="73" t="s">
        <v>69</v>
      </c>
      <c r="V309" s="73"/>
      <c r="W309" s="68"/>
      <c r="X309" s="67"/>
      <c r="Y309" s="73" t="s">
        <v>69</v>
      </c>
      <c r="Z309" s="73"/>
      <c r="AA309" s="68"/>
      <c r="AB309" s="67"/>
      <c r="AC309" s="73" t="s">
        <v>69</v>
      </c>
      <c r="AD309" s="73"/>
      <c r="AE309" s="68"/>
      <c r="AF309" s="67"/>
      <c r="AG309" s="73" t="s">
        <v>69</v>
      </c>
      <c r="AH309" s="73"/>
      <c r="AI309" s="68"/>
      <c r="AJ309" s="67"/>
      <c r="AK309" s="73" t="s">
        <v>69</v>
      </c>
      <c r="AL309" s="73"/>
      <c r="AM309" s="68"/>
      <c r="AN309" s="73"/>
      <c r="AO309" s="73" t="s">
        <v>69</v>
      </c>
      <c r="AP309" s="73"/>
      <c r="AQ309" s="68"/>
      <c r="AR309" s="67">
        <f t="shared" si="162"/>
        <v>77</v>
      </c>
      <c r="AS309" s="68" t="str">
        <f t="shared" si="163"/>
        <v>A</v>
      </c>
      <c r="AV309" s="49">
        <f t="shared" si="79"/>
        <v>0</v>
      </c>
      <c r="AW309" s="49">
        <f t="shared" si="44"/>
        <v>1</v>
      </c>
      <c r="AX309" s="49">
        <f t="shared" si="45"/>
        <v>0</v>
      </c>
      <c r="AY309" s="49">
        <f t="shared" si="46"/>
        <v>0</v>
      </c>
      <c r="AZ309" s="49">
        <f t="shared" si="47"/>
        <v>0</v>
      </c>
      <c r="BA309" s="49">
        <f t="shared" si="48"/>
        <v>1</v>
      </c>
      <c r="BB309" s="49">
        <f t="shared" si="49"/>
        <v>0</v>
      </c>
      <c r="BC309" s="49">
        <f t="shared" si="50"/>
        <v>0</v>
      </c>
      <c r="BD309" s="49">
        <f t="shared" si="51"/>
        <v>0</v>
      </c>
      <c r="BE309" s="49">
        <f t="shared" si="52"/>
        <v>1</v>
      </c>
      <c r="BF309" s="49">
        <f t="shared" si="53"/>
        <v>0</v>
      </c>
      <c r="BG309" s="49">
        <f t="shared" si="54"/>
        <v>0</v>
      </c>
      <c r="BH309" s="49">
        <f t="shared" si="55"/>
        <v>0</v>
      </c>
      <c r="BI309" s="49">
        <f t="shared" si="56"/>
        <v>1</v>
      </c>
      <c r="BJ309" s="49">
        <f t="shared" si="57"/>
        <v>0</v>
      </c>
      <c r="BK309" s="49">
        <f t="shared" si="58"/>
        <v>0</v>
      </c>
      <c r="BL309" s="49">
        <f t="shared" si="59"/>
        <v>0</v>
      </c>
      <c r="BM309" s="49">
        <f t="shared" si="60"/>
        <v>1</v>
      </c>
      <c r="BN309" s="49">
        <f t="shared" si="61"/>
        <v>0</v>
      </c>
      <c r="BO309" s="49">
        <f t="shared" si="62"/>
        <v>0</v>
      </c>
      <c r="BP309" s="49">
        <f t="shared" si="63"/>
        <v>0</v>
      </c>
      <c r="BQ309" s="49">
        <f t="shared" si="64"/>
        <v>1</v>
      </c>
      <c r="BR309" s="49">
        <f t="shared" si="65"/>
        <v>0</v>
      </c>
      <c r="BS309" s="49">
        <f t="shared" si="66"/>
        <v>0</v>
      </c>
      <c r="BT309" s="49">
        <f t="shared" si="67"/>
        <v>0</v>
      </c>
      <c r="BU309" s="49">
        <f t="shared" si="68"/>
        <v>1</v>
      </c>
      <c r="BV309" s="49">
        <f t="shared" si="69"/>
        <v>0</v>
      </c>
      <c r="BW309" s="49">
        <f t="shared" si="70"/>
        <v>0</v>
      </c>
      <c r="BX309" s="49">
        <f t="shared" si="71"/>
        <v>0</v>
      </c>
      <c r="BY309" s="49">
        <f t="shared" si="72"/>
        <v>1</v>
      </c>
      <c r="BZ309" s="49">
        <f t="shared" si="73"/>
        <v>0</v>
      </c>
      <c r="CA309" s="49">
        <f t="shared" si="74"/>
        <v>0</v>
      </c>
      <c r="CB309" s="49">
        <f t="shared" si="75"/>
        <v>0</v>
      </c>
      <c r="CC309" s="49">
        <f t="shared" si="76"/>
        <v>1</v>
      </c>
      <c r="CD309" s="49">
        <f t="shared" si="77"/>
        <v>0</v>
      </c>
      <c r="CE309" s="49">
        <f t="shared" si="78"/>
        <v>0</v>
      </c>
    </row>
    <row r="310" spans="1:83" ht="35.1" customHeight="1" x14ac:dyDescent="0.3">
      <c r="A310" s="123" t="str">
        <f t="shared" si="160"/>
        <v>3팀</v>
      </c>
      <c r="B310" s="69">
        <f t="shared" si="161"/>
        <v>304</v>
      </c>
      <c r="C310" s="120" t="str">
        <f>IF(VLOOKUP($B310,'1. 현장별 인원현황'!$C:$J,2,0)=0,"",VLOOKUP($B310,'1. 현장별 인원현황'!$C:$J,2,0))</f>
        <v xml:space="preserve"> [3.DL건설] 인천 검단신도시 AA29BL 공동주택 신축공사</v>
      </c>
      <c r="D310" s="70" t="str">
        <f>IF(VLOOKUP($B310,'1. 현장별 인원현황'!$C:$J,3,0)=0,"",VLOOKUP($B310,'1. 현장별 인원현황'!$C:$J,3,0))</f>
        <v>김태진</v>
      </c>
      <c r="E310" s="74" t="str">
        <f ca="1">IF(VLOOKUP($B310,'1. 현장별 인원현황'!$C:$J,4,0)=0,"",VLOOKUP($B310,'1. 현장별 인원현황'!$C:$J,4,0))</f>
        <v>48세</v>
      </c>
      <c r="F310" s="70" t="str">
        <f>IF(VLOOKUP($B310,'1. 현장별 인원현황'!$C:$J,7,0)=0,"",VLOOKUP($B310,'1. 현장별 인원현황'!$C:$J,7,0))</f>
        <v>기능공</v>
      </c>
      <c r="G310" s="72" t="str">
        <f>IF(VLOOKUP($B310,'1. 현장별 인원현황'!$C:$J,8,0)=0,"",VLOOKUP($B310,'1. 현장별 인원현황'!$C:$J,8,0))</f>
        <v>전공</v>
      </c>
      <c r="H310" s="67"/>
      <c r="I310" s="73" t="s">
        <v>69</v>
      </c>
      <c r="J310" s="73"/>
      <c r="K310" s="68"/>
      <c r="L310" s="67"/>
      <c r="M310" s="73" t="s">
        <v>69</v>
      </c>
      <c r="N310" s="73"/>
      <c r="O310" s="68"/>
      <c r="P310" s="67"/>
      <c r="Q310" s="73" t="s">
        <v>69</v>
      </c>
      <c r="R310" s="73"/>
      <c r="S310" s="68"/>
      <c r="T310" s="67"/>
      <c r="U310" s="73" t="s">
        <v>69</v>
      </c>
      <c r="V310" s="73"/>
      <c r="W310" s="68"/>
      <c r="X310" s="67"/>
      <c r="Y310" s="73" t="s">
        <v>69</v>
      </c>
      <c r="Z310" s="73"/>
      <c r="AA310" s="68"/>
      <c r="AB310" s="67"/>
      <c r="AC310" s="73" t="s">
        <v>69</v>
      </c>
      <c r="AD310" s="73"/>
      <c r="AE310" s="68"/>
      <c r="AF310" s="67"/>
      <c r="AG310" s="73" t="s">
        <v>69</v>
      </c>
      <c r="AH310" s="73"/>
      <c r="AI310" s="68"/>
      <c r="AJ310" s="67"/>
      <c r="AK310" s="73" t="s">
        <v>69</v>
      </c>
      <c r="AL310" s="73"/>
      <c r="AM310" s="68"/>
      <c r="AN310" s="73"/>
      <c r="AO310" s="73" t="s">
        <v>69</v>
      </c>
      <c r="AP310" s="73"/>
      <c r="AQ310" s="68"/>
      <c r="AR310" s="67">
        <f t="shared" si="162"/>
        <v>77</v>
      </c>
      <c r="AS310" s="68" t="str">
        <f t="shared" si="163"/>
        <v>A</v>
      </c>
      <c r="AV310" s="49">
        <f t="shared" si="79"/>
        <v>0</v>
      </c>
      <c r="AW310" s="49">
        <f t="shared" si="44"/>
        <v>1</v>
      </c>
      <c r="AX310" s="49">
        <f t="shared" si="45"/>
        <v>0</v>
      </c>
      <c r="AY310" s="49">
        <f t="shared" si="46"/>
        <v>0</v>
      </c>
      <c r="AZ310" s="49">
        <f t="shared" si="47"/>
        <v>0</v>
      </c>
      <c r="BA310" s="49">
        <f t="shared" si="48"/>
        <v>1</v>
      </c>
      <c r="BB310" s="49">
        <f t="shared" si="49"/>
        <v>0</v>
      </c>
      <c r="BC310" s="49">
        <f t="shared" si="50"/>
        <v>0</v>
      </c>
      <c r="BD310" s="49">
        <f t="shared" si="51"/>
        <v>0</v>
      </c>
      <c r="BE310" s="49">
        <f t="shared" si="52"/>
        <v>1</v>
      </c>
      <c r="BF310" s="49">
        <f t="shared" si="53"/>
        <v>0</v>
      </c>
      <c r="BG310" s="49">
        <f t="shared" si="54"/>
        <v>0</v>
      </c>
      <c r="BH310" s="49">
        <f t="shared" si="55"/>
        <v>0</v>
      </c>
      <c r="BI310" s="49">
        <f t="shared" si="56"/>
        <v>1</v>
      </c>
      <c r="BJ310" s="49">
        <f t="shared" si="57"/>
        <v>0</v>
      </c>
      <c r="BK310" s="49">
        <f t="shared" si="58"/>
        <v>0</v>
      </c>
      <c r="BL310" s="49">
        <f t="shared" si="59"/>
        <v>0</v>
      </c>
      <c r="BM310" s="49">
        <f t="shared" si="60"/>
        <v>1</v>
      </c>
      <c r="BN310" s="49">
        <f t="shared" si="61"/>
        <v>0</v>
      </c>
      <c r="BO310" s="49">
        <f t="shared" si="62"/>
        <v>0</v>
      </c>
      <c r="BP310" s="49">
        <f t="shared" si="63"/>
        <v>0</v>
      </c>
      <c r="BQ310" s="49">
        <f t="shared" si="64"/>
        <v>1</v>
      </c>
      <c r="BR310" s="49">
        <f t="shared" si="65"/>
        <v>0</v>
      </c>
      <c r="BS310" s="49">
        <f t="shared" si="66"/>
        <v>0</v>
      </c>
      <c r="BT310" s="49">
        <f t="shared" si="67"/>
        <v>0</v>
      </c>
      <c r="BU310" s="49">
        <f t="shared" si="68"/>
        <v>1</v>
      </c>
      <c r="BV310" s="49">
        <f t="shared" si="69"/>
        <v>0</v>
      </c>
      <c r="BW310" s="49">
        <f t="shared" si="70"/>
        <v>0</v>
      </c>
      <c r="BX310" s="49">
        <f t="shared" si="71"/>
        <v>0</v>
      </c>
      <c r="BY310" s="49">
        <f t="shared" si="72"/>
        <v>1</v>
      </c>
      <c r="BZ310" s="49">
        <f t="shared" si="73"/>
        <v>0</v>
      </c>
      <c r="CA310" s="49">
        <f t="shared" si="74"/>
        <v>0</v>
      </c>
      <c r="CB310" s="49">
        <f t="shared" si="75"/>
        <v>0</v>
      </c>
      <c r="CC310" s="49">
        <f t="shared" si="76"/>
        <v>1</v>
      </c>
      <c r="CD310" s="49">
        <f t="shared" si="77"/>
        <v>0</v>
      </c>
      <c r="CE310" s="49">
        <f t="shared" si="78"/>
        <v>0</v>
      </c>
    </row>
    <row r="311" spans="1:83" ht="35.1" customHeight="1" x14ac:dyDescent="0.3">
      <c r="A311" s="123" t="str">
        <f t="shared" si="160"/>
        <v>3팀</v>
      </c>
      <c r="B311" s="69">
        <f t="shared" si="161"/>
        <v>305</v>
      </c>
      <c r="C311" s="120" t="str">
        <f>IF(VLOOKUP($B311,'1. 현장별 인원현황'!$C:$J,2,0)=0,"",VLOOKUP($B311,'1. 현장별 인원현황'!$C:$J,2,0))</f>
        <v xml:space="preserve"> [3.DL건설] 인천 검단신도시 AA29BL 공동주택 신축공사</v>
      </c>
      <c r="D311" s="70" t="str">
        <f>IF(VLOOKUP($B311,'1. 현장별 인원현황'!$C:$J,3,0)=0,"",VLOOKUP($B311,'1. 현장별 인원현황'!$C:$J,3,0))</f>
        <v>정희성</v>
      </c>
      <c r="E311" s="74" t="str">
        <f ca="1">IF(VLOOKUP($B311,'1. 현장별 인원현황'!$C:$J,4,0)=0,"",VLOOKUP($B311,'1. 현장별 인원현황'!$C:$J,4,0))</f>
        <v>48세</v>
      </c>
      <c r="F311" s="70" t="str">
        <f>IF(VLOOKUP($B311,'1. 현장별 인원현황'!$C:$J,7,0)=0,"",VLOOKUP($B311,'1. 현장별 인원현황'!$C:$J,7,0))</f>
        <v>기능공</v>
      </c>
      <c r="G311" s="72" t="str">
        <f>IF(VLOOKUP($B311,'1. 현장별 인원현황'!$C:$J,8,0)=0,"",VLOOKUP($B311,'1. 현장별 인원현황'!$C:$J,8,0))</f>
        <v>전공</v>
      </c>
      <c r="H311" s="67"/>
      <c r="I311" s="73" t="s">
        <v>69</v>
      </c>
      <c r="J311" s="73"/>
      <c r="K311" s="68"/>
      <c r="L311" s="67"/>
      <c r="M311" s="73" t="s">
        <v>69</v>
      </c>
      <c r="N311" s="73"/>
      <c r="O311" s="68"/>
      <c r="P311" s="67"/>
      <c r="Q311" s="73" t="s">
        <v>69</v>
      </c>
      <c r="R311" s="73"/>
      <c r="S311" s="68"/>
      <c r="T311" s="67"/>
      <c r="U311" s="73"/>
      <c r="V311" s="73" t="s">
        <v>69</v>
      </c>
      <c r="W311" s="68"/>
      <c r="X311" s="67"/>
      <c r="Y311" s="73" t="s">
        <v>69</v>
      </c>
      <c r="Z311" s="73"/>
      <c r="AA311" s="68"/>
      <c r="AB311" s="67"/>
      <c r="AC311" s="73" t="s">
        <v>69</v>
      </c>
      <c r="AD311" s="73"/>
      <c r="AE311" s="68"/>
      <c r="AF311" s="67"/>
      <c r="AG311" s="73" t="s">
        <v>69</v>
      </c>
      <c r="AH311" s="73"/>
      <c r="AI311" s="68"/>
      <c r="AJ311" s="67"/>
      <c r="AK311" s="73" t="s">
        <v>69</v>
      </c>
      <c r="AL311" s="73"/>
      <c r="AM311" s="68"/>
      <c r="AN311" s="73"/>
      <c r="AO311" s="73" t="s">
        <v>69</v>
      </c>
      <c r="AP311" s="73"/>
      <c r="AQ311" s="68"/>
      <c r="AR311" s="67">
        <f t="shared" si="162"/>
        <v>75</v>
      </c>
      <c r="AS311" s="68" t="str">
        <f t="shared" si="163"/>
        <v>A</v>
      </c>
      <c r="AV311" s="49">
        <f t="shared" si="79"/>
        <v>0</v>
      </c>
      <c r="AW311" s="49">
        <f t="shared" si="44"/>
        <v>1</v>
      </c>
      <c r="AX311" s="49">
        <f t="shared" si="45"/>
        <v>0</v>
      </c>
      <c r="AY311" s="49">
        <f t="shared" si="46"/>
        <v>0</v>
      </c>
      <c r="AZ311" s="49">
        <f t="shared" si="47"/>
        <v>0</v>
      </c>
      <c r="BA311" s="49">
        <f t="shared" si="48"/>
        <v>1</v>
      </c>
      <c r="BB311" s="49">
        <f t="shared" si="49"/>
        <v>0</v>
      </c>
      <c r="BC311" s="49">
        <f t="shared" si="50"/>
        <v>0</v>
      </c>
      <c r="BD311" s="49">
        <f t="shared" si="51"/>
        <v>0</v>
      </c>
      <c r="BE311" s="49">
        <f t="shared" si="52"/>
        <v>1</v>
      </c>
      <c r="BF311" s="49">
        <f t="shared" si="53"/>
        <v>0</v>
      </c>
      <c r="BG311" s="49">
        <f t="shared" si="54"/>
        <v>0</v>
      </c>
      <c r="BH311" s="49">
        <f t="shared" si="55"/>
        <v>0</v>
      </c>
      <c r="BI311" s="49">
        <f t="shared" si="56"/>
        <v>0</v>
      </c>
      <c r="BJ311" s="49">
        <f t="shared" si="57"/>
        <v>1</v>
      </c>
      <c r="BK311" s="49">
        <f t="shared" si="58"/>
        <v>0</v>
      </c>
      <c r="BL311" s="49">
        <f t="shared" si="59"/>
        <v>0</v>
      </c>
      <c r="BM311" s="49">
        <f t="shared" si="60"/>
        <v>1</v>
      </c>
      <c r="BN311" s="49">
        <f t="shared" si="61"/>
        <v>0</v>
      </c>
      <c r="BO311" s="49">
        <f t="shared" si="62"/>
        <v>0</v>
      </c>
      <c r="BP311" s="49">
        <f t="shared" si="63"/>
        <v>0</v>
      </c>
      <c r="BQ311" s="49">
        <f t="shared" si="64"/>
        <v>1</v>
      </c>
      <c r="BR311" s="49">
        <f t="shared" si="65"/>
        <v>0</v>
      </c>
      <c r="BS311" s="49">
        <f t="shared" si="66"/>
        <v>0</v>
      </c>
      <c r="BT311" s="49">
        <f t="shared" si="67"/>
        <v>0</v>
      </c>
      <c r="BU311" s="49">
        <f t="shared" si="68"/>
        <v>1</v>
      </c>
      <c r="BV311" s="49">
        <f t="shared" si="69"/>
        <v>0</v>
      </c>
      <c r="BW311" s="49">
        <f t="shared" si="70"/>
        <v>0</v>
      </c>
      <c r="BX311" s="49">
        <f t="shared" si="71"/>
        <v>0</v>
      </c>
      <c r="BY311" s="49">
        <f t="shared" si="72"/>
        <v>1</v>
      </c>
      <c r="BZ311" s="49">
        <f t="shared" si="73"/>
        <v>0</v>
      </c>
      <c r="CA311" s="49">
        <f t="shared" si="74"/>
        <v>0</v>
      </c>
      <c r="CB311" s="49">
        <f t="shared" si="75"/>
        <v>0</v>
      </c>
      <c r="CC311" s="49">
        <f t="shared" si="76"/>
        <v>1</v>
      </c>
      <c r="CD311" s="49">
        <f t="shared" si="77"/>
        <v>0</v>
      </c>
      <c r="CE311" s="49">
        <f t="shared" si="78"/>
        <v>0</v>
      </c>
    </row>
    <row r="312" spans="1:83" ht="35.1" customHeight="1" x14ac:dyDescent="0.3">
      <c r="A312" s="123" t="str">
        <f t="shared" si="160"/>
        <v>3팀</v>
      </c>
      <c r="B312" s="69">
        <f t="shared" si="161"/>
        <v>306</v>
      </c>
      <c r="C312" s="120" t="str">
        <f>IF(VLOOKUP($B312,'1. 현장별 인원현황'!$C:$J,2,0)=0,"",VLOOKUP($B312,'1. 현장별 인원현황'!$C:$J,2,0))</f>
        <v xml:space="preserve"> [3.DL건설] 인천 검단신도시 AA29BL 공동주택 신축공사</v>
      </c>
      <c r="D312" s="70" t="str">
        <f>IF(VLOOKUP($B312,'1. 현장별 인원현황'!$C:$J,3,0)=0,"",VLOOKUP($B312,'1. 현장별 인원현황'!$C:$J,3,0))</f>
        <v>연창언</v>
      </c>
      <c r="E312" s="74" t="str">
        <f ca="1">IF(VLOOKUP($B312,'1. 현장별 인원현황'!$C:$J,4,0)=0,"",VLOOKUP($B312,'1. 현장별 인원현황'!$C:$J,4,0))</f>
        <v>35세</v>
      </c>
      <c r="F312" s="70" t="str">
        <f>IF(VLOOKUP($B312,'1. 현장별 인원현황'!$C:$J,7,0)=0,"",VLOOKUP($B312,'1. 현장별 인원현황'!$C:$J,7,0))</f>
        <v>기능공</v>
      </c>
      <c r="G312" s="72" t="str">
        <f>IF(VLOOKUP($B312,'1. 현장별 인원현황'!$C:$J,8,0)=0,"",VLOOKUP($B312,'1. 현장별 인원현황'!$C:$J,8,0))</f>
        <v>전공</v>
      </c>
      <c r="H312" s="67"/>
      <c r="I312" s="73" t="s">
        <v>69</v>
      </c>
      <c r="J312" s="73"/>
      <c r="K312" s="68"/>
      <c r="L312" s="67"/>
      <c r="M312" s="73" t="s">
        <v>69</v>
      </c>
      <c r="N312" s="73"/>
      <c r="O312" s="68"/>
      <c r="P312" s="67"/>
      <c r="Q312" s="73" t="s">
        <v>69</v>
      </c>
      <c r="R312" s="73"/>
      <c r="S312" s="68"/>
      <c r="T312" s="67"/>
      <c r="U312" s="73"/>
      <c r="V312" s="73" t="s">
        <v>69</v>
      </c>
      <c r="W312" s="68"/>
      <c r="X312" s="67"/>
      <c r="Y312" s="73" t="s">
        <v>69</v>
      </c>
      <c r="Z312" s="73"/>
      <c r="AA312" s="68"/>
      <c r="AB312" s="67"/>
      <c r="AC312" s="73" t="s">
        <v>69</v>
      </c>
      <c r="AD312" s="73"/>
      <c r="AE312" s="68"/>
      <c r="AF312" s="67"/>
      <c r="AG312" s="73" t="s">
        <v>69</v>
      </c>
      <c r="AH312" s="73"/>
      <c r="AI312" s="68"/>
      <c r="AJ312" s="67"/>
      <c r="AK312" s="73" t="s">
        <v>69</v>
      </c>
      <c r="AL312" s="73"/>
      <c r="AM312" s="68"/>
      <c r="AN312" s="73"/>
      <c r="AO312" s="73" t="s">
        <v>69</v>
      </c>
      <c r="AP312" s="73"/>
      <c r="AQ312" s="68"/>
      <c r="AR312" s="67">
        <f t="shared" si="162"/>
        <v>75</v>
      </c>
      <c r="AS312" s="68" t="str">
        <f t="shared" si="163"/>
        <v>A</v>
      </c>
      <c r="AV312" s="49">
        <f t="shared" si="79"/>
        <v>0</v>
      </c>
      <c r="AW312" s="49">
        <f t="shared" si="44"/>
        <v>1</v>
      </c>
      <c r="AX312" s="49">
        <f t="shared" si="45"/>
        <v>0</v>
      </c>
      <c r="AY312" s="49">
        <f t="shared" si="46"/>
        <v>0</v>
      </c>
      <c r="AZ312" s="49">
        <f t="shared" si="47"/>
        <v>0</v>
      </c>
      <c r="BA312" s="49">
        <f t="shared" si="48"/>
        <v>1</v>
      </c>
      <c r="BB312" s="49">
        <f t="shared" si="49"/>
        <v>0</v>
      </c>
      <c r="BC312" s="49">
        <f t="shared" si="50"/>
        <v>0</v>
      </c>
      <c r="BD312" s="49">
        <f t="shared" si="51"/>
        <v>0</v>
      </c>
      <c r="BE312" s="49">
        <f t="shared" si="52"/>
        <v>1</v>
      </c>
      <c r="BF312" s="49">
        <f t="shared" si="53"/>
        <v>0</v>
      </c>
      <c r="BG312" s="49">
        <f t="shared" si="54"/>
        <v>0</v>
      </c>
      <c r="BH312" s="49">
        <f t="shared" si="55"/>
        <v>0</v>
      </c>
      <c r="BI312" s="49">
        <f t="shared" si="56"/>
        <v>0</v>
      </c>
      <c r="BJ312" s="49">
        <f t="shared" si="57"/>
        <v>1</v>
      </c>
      <c r="BK312" s="49">
        <f t="shared" si="58"/>
        <v>0</v>
      </c>
      <c r="BL312" s="49">
        <f t="shared" si="59"/>
        <v>0</v>
      </c>
      <c r="BM312" s="49">
        <f t="shared" si="60"/>
        <v>1</v>
      </c>
      <c r="BN312" s="49">
        <f t="shared" si="61"/>
        <v>0</v>
      </c>
      <c r="BO312" s="49">
        <f t="shared" si="62"/>
        <v>0</v>
      </c>
      <c r="BP312" s="49">
        <f t="shared" si="63"/>
        <v>0</v>
      </c>
      <c r="BQ312" s="49">
        <f t="shared" si="64"/>
        <v>1</v>
      </c>
      <c r="BR312" s="49">
        <f t="shared" si="65"/>
        <v>0</v>
      </c>
      <c r="BS312" s="49">
        <f t="shared" si="66"/>
        <v>0</v>
      </c>
      <c r="BT312" s="49">
        <f t="shared" si="67"/>
        <v>0</v>
      </c>
      <c r="BU312" s="49">
        <f t="shared" si="68"/>
        <v>1</v>
      </c>
      <c r="BV312" s="49">
        <f t="shared" si="69"/>
        <v>0</v>
      </c>
      <c r="BW312" s="49">
        <f t="shared" si="70"/>
        <v>0</v>
      </c>
      <c r="BX312" s="49">
        <f t="shared" si="71"/>
        <v>0</v>
      </c>
      <c r="BY312" s="49">
        <f t="shared" si="72"/>
        <v>1</v>
      </c>
      <c r="BZ312" s="49">
        <f t="shared" si="73"/>
        <v>0</v>
      </c>
      <c r="CA312" s="49">
        <f t="shared" si="74"/>
        <v>0</v>
      </c>
      <c r="CB312" s="49">
        <f t="shared" si="75"/>
        <v>0</v>
      </c>
      <c r="CC312" s="49">
        <f t="shared" si="76"/>
        <v>1</v>
      </c>
      <c r="CD312" s="49">
        <f t="shared" si="77"/>
        <v>0</v>
      </c>
      <c r="CE312" s="49">
        <f t="shared" si="78"/>
        <v>0</v>
      </c>
    </row>
    <row r="313" spans="1:83" ht="35.1" customHeight="1" x14ac:dyDescent="0.3">
      <c r="A313" s="123" t="str">
        <f t="shared" si="160"/>
        <v>3팀</v>
      </c>
      <c r="B313" s="69">
        <f t="shared" si="161"/>
        <v>307</v>
      </c>
      <c r="C313" s="120" t="str">
        <f>IF(VLOOKUP($B313,'1. 현장별 인원현황'!$C:$J,2,0)=0,"",VLOOKUP($B313,'1. 현장별 인원현황'!$C:$J,2,0))</f>
        <v xml:space="preserve"> [3.DL건설] 인천 검단신도시 AA29BL 공동주택 신축공사</v>
      </c>
      <c r="D313" s="70" t="str">
        <f>IF(VLOOKUP($B313,'1. 현장별 인원현황'!$C:$J,3,0)=0,"",VLOOKUP($B313,'1. 현장별 인원현황'!$C:$J,3,0))</f>
        <v>오승우</v>
      </c>
      <c r="E313" s="74" t="str">
        <f ca="1">IF(VLOOKUP($B313,'1. 현장별 인원현황'!$C:$J,4,0)=0,"",VLOOKUP($B313,'1. 현장별 인원현황'!$C:$J,4,0))</f>
        <v>47세</v>
      </c>
      <c r="F313" s="70" t="str">
        <f>IF(VLOOKUP($B313,'1. 현장별 인원현황'!$C:$J,7,0)=0,"",VLOOKUP($B313,'1. 현장별 인원현황'!$C:$J,7,0))</f>
        <v>기능공</v>
      </c>
      <c r="G313" s="72" t="str">
        <f>IF(VLOOKUP($B313,'1. 현장별 인원현황'!$C:$J,8,0)=0,"",VLOOKUP($B313,'1. 현장별 인원현황'!$C:$J,8,0))</f>
        <v>전공</v>
      </c>
      <c r="H313" s="67"/>
      <c r="I313" s="73" t="s">
        <v>69</v>
      </c>
      <c r="J313" s="73"/>
      <c r="K313" s="68"/>
      <c r="L313" s="67"/>
      <c r="M313" s="73" t="s">
        <v>69</v>
      </c>
      <c r="N313" s="73"/>
      <c r="O313" s="68"/>
      <c r="P313" s="67"/>
      <c r="Q313" s="73" t="s">
        <v>69</v>
      </c>
      <c r="R313" s="73"/>
      <c r="S313" s="68"/>
      <c r="T313" s="67"/>
      <c r="U313" s="73"/>
      <c r="V313" s="73" t="s">
        <v>69</v>
      </c>
      <c r="W313" s="68"/>
      <c r="X313" s="67"/>
      <c r="Y313" s="73" t="s">
        <v>69</v>
      </c>
      <c r="Z313" s="73"/>
      <c r="AA313" s="68"/>
      <c r="AB313" s="67"/>
      <c r="AC313" s="73" t="s">
        <v>69</v>
      </c>
      <c r="AD313" s="73"/>
      <c r="AE313" s="68"/>
      <c r="AF313" s="67"/>
      <c r="AG313" s="73" t="s">
        <v>69</v>
      </c>
      <c r="AH313" s="73"/>
      <c r="AI313" s="68"/>
      <c r="AJ313" s="67"/>
      <c r="AK313" s="73" t="s">
        <v>69</v>
      </c>
      <c r="AL313" s="73"/>
      <c r="AM313" s="68"/>
      <c r="AN313" s="73"/>
      <c r="AO313" s="73" t="s">
        <v>69</v>
      </c>
      <c r="AP313" s="73"/>
      <c r="AQ313" s="68"/>
      <c r="AR313" s="67">
        <f t="shared" si="162"/>
        <v>75</v>
      </c>
      <c r="AS313" s="68" t="str">
        <f t="shared" si="163"/>
        <v>A</v>
      </c>
      <c r="AV313" s="49">
        <f t="shared" si="79"/>
        <v>0</v>
      </c>
      <c r="AW313" s="49">
        <f t="shared" si="44"/>
        <v>1</v>
      </c>
      <c r="AX313" s="49">
        <f t="shared" si="45"/>
        <v>0</v>
      </c>
      <c r="AY313" s="49">
        <f t="shared" si="46"/>
        <v>0</v>
      </c>
      <c r="AZ313" s="49">
        <f t="shared" si="47"/>
        <v>0</v>
      </c>
      <c r="BA313" s="49">
        <f t="shared" si="48"/>
        <v>1</v>
      </c>
      <c r="BB313" s="49">
        <f t="shared" si="49"/>
        <v>0</v>
      </c>
      <c r="BC313" s="49">
        <f t="shared" si="50"/>
        <v>0</v>
      </c>
      <c r="BD313" s="49">
        <f t="shared" si="51"/>
        <v>0</v>
      </c>
      <c r="BE313" s="49">
        <f t="shared" si="52"/>
        <v>1</v>
      </c>
      <c r="BF313" s="49">
        <f t="shared" si="53"/>
        <v>0</v>
      </c>
      <c r="BG313" s="49">
        <f t="shared" si="54"/>
        <v>0</v>
      </c>
      <c r="BH313" s="49">
        <f t="shared" si="55"/>
        <v>0</v>
      </c>
      <c r="BI313" s="49">
        <f t="shared" si="56"/>
        <v>0</v>
      </c>
      <c r="BJ313" s="49">
        <f t="shared" si="57"/>
        <v>1</v>
      </c>
      <c r="BK313" s="49">
        <f t="shared" si="58"/>
        <v>0</v>
      </c>
      <c r="BL313" s="49">
        <f t="shared" si="59"/>
        <v>0</v>
      </c>
      <c r="BM313" s="49">
        <f t="shared" si="60"/>
        <v>1</v>
      </c>
      <c r="BN313" s="49">
        <f t="shared" si="61"/>
        <v>0</v>
      </c>
      <c r="BO313" s="49">
        <f t="shared" si="62"/>
        <v>0</v>
      </c>
      <c r="BP313" s="49">
        <f t="shared" si="63"/>
        <v>0</v>
      </c>
      <c r="BQ313" s="49">
        <f t="shared" si="64"/>
        <v>1</v>
      </c>
      <c r="BR313" s="49">
        <f t="shared" si="65"/>
        <v>0</v>
      </c>
      <c r="BS313" s="49">
        <f t="shared" si="66"/>
        <v>0</v>
      </c>
      <c r="BT313" s="49">
        <f t="shared" si="67"/>
        <v>0</v>
      </c>
      <c r="BU313" s="49">
        <f t="shared" si="68"/>
        <v>1</v>
      </c>
      <c r="BV313" s="49">
        <f t="shared" si="69"/>
        <v>0</v>
      </c>
      <c r="BW313" s="49">
        <f t="shared" si="70"/>
        <v>0</v>
      </c>
      <c r="BX313" s="49">
        <f t="shared" si="71"/>
        <v>0</v>
      </c>
      <c r="BY313" s="49">
        <f t="shared" si="72"/>
        <v>1</v>
      </c>
      <c r="BZ313" s="49">
        <f t="shared" si="73"/>
        <v>0</v>
      </c>
      <c r="CA313" s="49">
        <f t="shared" si="74"/>
        <v>0</v>
      </c>
      <c r="CB313" s="49">
        <f t="shared" si="75"/>
        <v>0</v>
      </c>
      <c r="CC313" s="49">
        <f t="shared" si="76"/>
        <v>1</v>
      </c>
      <c r="CD313" s="49">
        <f t="shared" si="77"/>
        <v>0</v>
      </c>
      <c r="CE313" s="49">
        <f t="shared" si="78"/>
        <v>0</v>
      </c>
    </row>
    <row r="314" spans="1:83" ht="35.1" customHeight="1" x14ac:dyDescent="0.3">
      <c r="A314" s="123" t="str">
        <f t="shared" si="160"/>
        <v>3팀</v>
      </c>
      <c r="B314" s="69">
        <f t="shared" si="161"/>
        <v>308</v>
      </c>
      <c r="C314" s="120" t="str">
        <f>IF(VLOOKUP($B314,'1. 현장별 인원현황'!$C:$J,2,0)=0,"",VLOOKUP($B314,'1. 현장별 인원현황'!$C:$J,2,0))</f>
        <v xml:space="preserve"> [3.DL건설] 인천 검단신도시 AA29BL 공동주택 신축공사</v>
      </c>
      <c r="D314" s="70" t="str">
        <f>IF(VLOOKUP($B314,'1. 현장별 인원현황'!$C:$J,3,0)=0,"",VLOOKUP($B314,'1. 현장별 인원현황'!$C:$J,3,0))</f>
        <v>김명섭</v>
      </c>
      <c r="E314" s="74" t="str">
        <f ca="1">IF(VLOOKUP($B314,'1. 현장별 인원현황'!$C:$J,4,0)=0,"",VLOOKUP($B314,'1. 현장별 인원현황'!$C:$J,4,0))</f>
        <v>39세</v>
      </c>
      <c r="F314" s="70" t="str">
        <f>IF(VLOOKUP($B314,'1. 현장별 인원현황'!$C:$J,7,0)=0,"",VLOOKUP($B314,'1. 현장별 인원현황'!$C:$J,7,0))</f>
        <v>기능공</v>
      </c>
      <c r="G314" s="72" t="str">
        <f>IF(VLOOKUP($B314,'1. 현장별 인원현황'!$C:$J,8,0)=0,"",VLOOKUP($B314,'1. 현장별 인원현황'!$C:$J,8,0))</f>
        <v>전공</v>
      </c>
      <c r="H314" s="67"/>
      <c r="I314" s="73" t="s">
        <v>69</v>
      </c>
      <c r="J314" s="73"/>
      <c r="K314" s="68"/>
      <c r="L314" s="67"/>
      <c r="M314" s="73" t="s">
        <v>69</v>
      </c>
      <c r="N314" s="73"/>
      <c r="O314" s="68"/>
      <c r="P314" s="67"/>
      <c r="Q314" s="73" t="s">
        <v>69</v>
      </c>
      <c r="R314" s="73"/>
      <c r="S314" s="68"/>
      <c r="T314" s="67"/>
      <c r="U314" s="73"/>
      <c r="V314" s="73" t="s">
        <v>69</v>
      </c>
      <c r="W314" s="68"/>
      <c r="X314" s="67"/>
      <c r="Y314" s="73" t="s">
        <v>69</v>
      </c>
      <c r="Z314" s="73"/>
      <c r="AA314" s="68"/>
      <c r="AB314" s="67"/>
      <c r="AC314" s="73" t="s">
        <v>69</v>
      </c>
      <c r="AD314" s="73"/>
      <c r="AE314" s="68"/>
      <c r="AF314" s="67"/>
      <c r="AG314" s="73" t="s">
        <v>69</v>
      </c>
      <c r="AH314" s="73"/>
      <c r="AI314" s="68"/>
      <c r="AJ314" s="67"/>
      <c r="AK314" s="73" t="s">
        <v>69</v>
      </c>
      <c r="AL314" s="73"/>
      <c r="AM314" s="68"/>
      <c r="AN314" s="73"/>
      <c r="AO314" s="73" t="s">
        <v>69</v>
      </c>
      <c r="AP314" s="73"/>
      <c r="AQ314" s="68"/>
      <c r="AR314" s="67">
        <f t="shared" si="162"/>
        <v>75</v>
      </c>
      <c r="AS314" s="68" t="str">
        <f t="shared" si="163"/>
        <v>A</v>
      </c>
      <c r="AV314" s="49">
        <f t="shared" si="79"/>
        <v>0</v>
      </c>
      <c r="AW314" s="49">
        <f t="shared" si="44"/>
        <v>1</v>
      </c>
      <c r="AX314" s="49">
        <f t="shared" si="45"/>
        <v>0</v>
      </c>
      <c r="AY314" s="49">
        <f t="shared" si="46"/>
        <v>0</v>
      </c>
      <c r="AZ314" s="49">
        <f t="shared" si="47"/>
        <v>0</v>
      </c>
      <c r="BA314" s="49">
        <f t="shared" si="48"/>
        <v>1</v>
      </c>
      <c r="BB314" s="49">
        <f t="shared" si="49"/>
        <v>0</v>
      </c>
      <c r="BC314" s="49">
        <f t="shared" si="50"/>
        <v>0</v>
      </c>
      <c r="BD314" s="49">
        <f t="shared" si="51"/>
        <v>0</v>
      </c>
      <c r="BE314" s="49">
        <f t="shared" si="52"/>
        <v>1</v>
      </c>
      <c r="BF314" s="49">
        <f t="shared" si="53"/>
        <v>0</v>
      </c>
      <c r="BG314" s="49">
        <f t="shared" si="54"/>
        <v>0</v>
      </c>
      <c r="BH314" s="49">
        <f t="shared" si="55"/>
        <v>0</v>
      </c>
      <c r="BI314" s="49">
        <f t="shared" si="56"/>
        <v>0</v>
      </c>
      <c r="BJ314" s="49">
        <f t="shared" si="57"/>
        <v>1</v>
      </c>
      <c r="BK314" s="49">
        <f t="shared" si="58"/>
        <v>0</v>
      </c>
      <c r="BL314" s="49">
        <f t="shared" si="59"/>
        <v>0</v>
      </c>
      <c r="BM314" s="49">
        <f t="shared" si="60"/>
        <v>1</v>
      </c>
      <c r="BN314" s="49">
        <f t="shared" si="61"/>
        <v>0</v>
      </c>
      <c r="BO314" s="49">
        <f t="shared" si="62"/>
        <v>0</v>
      </c>
      <c r="BP314" s="49">
        <f t="shared" si="63"/>
        <v>0</v>
      </c>
      <c r="BQ314" s="49">
        <f t="shared" si="64"/>
        <v>1</v>
      </c>
      <c r="BR314" s="49">
        <f t="shared" si="65"/>
        <v>0</v>
      </c>
      <c r="BS314" s="49">
        <f t="shared" si="66"/>
        <v>0</v>
      </c>
      <c r="BT314" s="49">
        <f t="shared" si="67"/>
        <v>0</v>
      </c>
      <c r="BU314" s="49">
        <f t="shared" si="68"/>
        <v>1</v>
      </c>
      <c r="BV314" s="49">
        <f t="shared" si="69"/>
        <v>0</v>
      </c>
      <c r="BW314" s="49">
        <f t="shared" si="70"/>
        <v>0</v>
      </c>
      <c r="BX314" s="49">
        <f t="shared" si="71"/>
        <v>0</v>
      </c>
      <c r="BY314" s="49">
        <f t="shared" si="72"/>
        <v>1</v>
      </c>
      <c r="BZ314" s="49">
        <f t="shared" si="73"/>
        <v>0</v>
      </c>
      <c r="CA314" s="49">
        <f t="shared" si="74"/>
        <v>0</v>
      </c>
      <c r="CB314" s="49">
        <f t="shared" si="75"/>
        <v>0</v>
      </c>
      <c r="CC314" s="49">
        <f t="shared" si="76"/>
        <v>1</v>
      </c>
      <c r="CD314" s="49">
        <f t="shared" si="77"/>
        <v>0</v>
      </c>
      <c r="CE314" s="49">
        <f t="shared" si="78"/>
        <v>0</v>
      </c>
    </row>
    <row r="315" spans="1:83" ht="35.1" customHeight="1" x14ac:dyDescent="0.3">
      <c r="A315" s="123" t="str">
        <f t="shared" si="160"/>
        <v>3팀</v>
      </c>
      <c r="B315" s="69">
        <f t="shared" si="161"/>
        <v>309</v>
      </c>
      <c r="C315" s="120" t="str">
        <f>IF(VLOOKUP($B315,'1. 현장별 인원현황'!$C:$J,2,0)=0,"",VLOOKUP($B315,'1. 현장별 인원현황'!$C:$J,2,0))</f>
        <v xml:space="preserve"> [3.DL건설] 인천 검단신도시 AA29BL 공동주택 신축공사</v>
      </c>
      <c r="D315" s="70" t="str">
        <f>IF(VLOOKUP($B315,'1. 현장별 인원현황'!$C:$J,3,0)=0,"",VLOOKUP($B315,'1. 현장별 인원현황'!$C:$J,3,0))</f>
        <v>최광욱</v>
      </c>
      <c r="E315" s="74" t="str">
        <f ca="1">IF(VLOOKUP($B315,'1. 현장별 인원현황'!$C:$J,4,0)=0,"",VLOOKUP($B315,'1. 현장별 인원현황'!$C:$J,4,0))</f>
        <v>57세</v>
      </c>
      <c r="F315" s="70" t="str">
        <f>IF(VLOOKUP($B315,'1. 현장별 인원현황'!$C:$J,7,0)=0,"",VLOOKUP($B315,'1. 현장별 인원현황'!$C:$J,7,0))</f>
        <v>기능공</v>
      </c>
      <c r="G315" s="72" t="str">
        <f>IF(VLOOKUP($B315,'1. 현장별 인원현황'!$C:$J,8,0)=0,"",VLOOKUP($B315,'1. 현장별 인원현황'!$C:$J,8,0))</f>
        <v>전공</v>
      </c>
      <c r="H315" s="67"/>
      <c r="I315" s="73" t="s">
        <v>69</v>
      </c>
      <c r="J315" s="73"/>
      <c r="K315" s="68"/>
      <c r="L315" s="67"/>
      <c r="M315" s="73" t="s">
        <v>69</v>
      </c>
      <c r="N315" s="73"/>
      <c r="O315" s="68"/>
      <c r="P315" s="67"/>
      <c r="Q315" s="73" t="s">
        <v>69</v>
      </c>
      <c r="R315" s="73"/>
      <c r="S315" s="68"/>
      <c r="T315" s="67"/>
      <c r="U315" s="73" t="s">
        <v>69</v>
      </c>
      <c r="V315" s="73"/>
      <c r="W315" s="68"/>
      <c r="X315" s="67"/>
      <c r="Y315" s="73" t="s">
        <v>69</v>
      </c>
      <c r="Z315" s="73"/>
      <c r="AA315" s="68"/>
      <c r="AB315" s="67"/>
      <c r="AC315" s="73" t="s">
        <v>69</v>
      </c>
      <c r="AD315" s="73"/>
      <c r="AE315" s="68"/>
      <c r="AF315" s="67"/>
      <c r="AG315" s="73" t="s">
        <v>69</v>
      </c>
      <c r="AH315" s="73"/>
      <c r="AI315" s="68"/>
      <c r="AJ315" s="67"/>
      <c r="AK315" s="73" t="s">
        <v>69</v>
      </c>
      <c r="AL315" s="73"/>
      <c r="AM315" s="68"/>
      <c r="AN315" s="73"/>
      <c r="AO315" s="73" t="s">
        <v>69</v>
      </c>
      <c r="AP315" s="73"/>
      <c r="AQ315" s="68"/>
      <c r="AR315" s="67">
        <f t="shared" si="162"/>
        <v>77</v>
      </c>
      <c r="AS315" s="68" t="str">
        <f t="shared" si="163"/>
        <v>A</v>
      </c>
      <c r="AV315" s="49">
        <f t="shared" si="79"/>
        <v>0</v>
      </c>
      <c r="AW315" s="49">
        <f t="shared" si="44"/>
        <v>1</v>
      </c>
      <c r="AX315" s="49">
        <f t="shared" si="45"/>
        <v>0</v>
      </c>
      <c r="AY315" s="49">
        <f t="shared" si="46"/>
        <v>0</v>
      </c>
      <c r="AZ315" s="49">
        <f t="shared" si="47"/>
        <v>0</v>
      </c>
      <c r="BA315" s="49">
        <f t="shared" si="48"/>
        <v>1</v>
      </c>
      <c r="BB315" s="49">
        <f t="shared" si="49"/>
        <v>0</v>
      </c>
      <c r="BC315" s="49">
        <f t="shared" si="50"/>
        <v>0</v>
      </c>
      <c r="BD315" s="49">
        <f t="shared" si="51"/>
        <v>0</v>
      </c>
      <c r="BE315" s="49">
        <f t="shared" si="52"/>
        <v>1</v>
      </c>
      <c r="BF315" s="49">
        <f t="shared" si="53"/>
        <v>0</v>
      </c>
      <c r="BG315" s="49">
        <f t="shared" si="54"/>
        <v>0</v>
      </c>
      <c r="BH315" s="49">
        <f t="shared" si="55"/>
        <v>0</v>
      </c>
      <c r="BI315" s="49">
        <f t="shared" si="56"/>
        <v>1</v>
      </c>
      <c r="BJ315" s="49">
        <f t="shared" si="57"/>
        <v>0</v>
      </c>
      <c r="BK315" s="49">
        <f t="shared" si="58"/>
        <v>0</v>
      </c>
      <c r="BL315" s="49">
        <f t="shared" si="59"/>
        <v>0</v>
      </c>
      <c r="BM315" s="49">
        <f t="shared" si="60"/>
        <v>1</v>
      </c>
      <c r="BN315" s="49">
        <f t="shared" si="61"/>
        <v>0</v>
      </c>
      <c r="BO315" s="49">
        <f t="shared" si="62"/>
        <v>0</v>
      </c>
      <c r="BP315" s="49">
        <f t="shared" si="63"/>
        <v>0</v>
      </c>
      <c r="BQ315" s="49">
        <f t="shared" si="64"/>
        <v>1</v>
      </c>
      <c r="BR315" s="49">
        <f t="shared" si="65"/>
        <v>0</v>
      </c>
      <c r="BS315" s="49">
        <f t="shared" si="66"/>
        <v>0</v>
      </c>
      <c r="BT315" s="49">
        <f t="shared" si="67"/>
        <v>0</v>
      </c>
      <c r="BU315" s="49">
        <f t="shared" si="68"/>
        <v>1</v>
      </c>
      <c r="BV315" s="49">
        <f t="shared" si="69"/>
        <v>0</v>
      </c>
      <c r="BW315" s="49">
        <f t="shared" si="70"/>
        <v>0</v>
      </c>
      <c r="BX315" s="49">
        <f t="shared" si="71"/>
        <v>0</v>
      </c>
      <c r="BY315" s="49">
        <f t="shared" si="72"/>
        <v>1</v>
      </c>
      <c r="BZ315" s="49">
        <f t="shared" si="73"/>
        <v>0</v>
      </c>
      <c r="CA315" s="49">
        <f t="shared" si="74"/>
        <v>0</v>
      </c>
      <c r="CB315" s="49">
        <f t="shared" si="75"/>
        <v>0</v>
      </c>
      <c r="CC315" s="49">
        <f t="shared" si="76"/>
        <v>1</v>
      </c>
      <c r="CD315" s="49">
        <f t="shared" si="77"/>
        <v>0</v>
      </c>
      <c r="CE315" s="49">
        <f t="shared" si="78"/>
        <v>0</v>
      </c>
    </row>
    <row r="316" spans="1:83" ht="35.1" customHeight="1" x14ac:dyDescent="0.3">
      <c r="A316" s="123" t="str">
        <f t="shared" si="160"/>
        <v>3팀</v>
      </c>
      <c r="B316" s="69">
        <f t="shared" si="161"/>
        <v>310</v>
      </c>
      <c r="C316" s="120" t="str">
        <f>IF(VLOOKUP($B316,'1. 현장별 인원현황'!$C:$J,2,0)=0,"",VLOOKUP($B316,'1. 현장별 인원현황'!$C:$J,2,0))</f>
        <v xml:space="preserve"> [3.DL건설] 인천 검단신도시 AA29BL 공동주택 신축공사</v>
      </c>
      <c r="D316" s="70" t="str">
        <f>IF(VLOOKUP($B316,'1. 현장별 인원현황'!$C:$J,3,0)=0,"",VLOOKUP($B316,'1. 현장별 인원현황'!$C:$J,3,0))</f>
        <v>박성규</v>
      </c>
      <c r="E316" s="74" t="str">
        <f ca="1">IF(VLOOKUP($B316,'1. 현장별 인원현황'!$C:$J,4,0)=0,"",VLOOKUP($B316,'1. 현장별 인원현황'!$C:$J,4,0))</f>
        <v>51세</v>
      </c>
      <c r="F316" s="70" t="str">
        <f>IF(VLOOKUP($B316,'1. 현장별 인원현황'!$C:$J,7,0)=0,"",VLOOKUP($B316,'1. 현장별 인원현황'!$C:$J,7,0))</f>
        <v>기능공</v>
      </c>
      <c r="G316" s="72" t="str">
        <f>IF(VLOOKUP($B316,'1. 현장별 인원현황'!$C:$J,8,0)=0,"",VLOOKUP($B316,'1. 현장별 인원현황'!$C:$J,8,0))</f>
        <v>전공</v>
      </c>
      <c r="H316" s="67"/>
      <c r="I316" s="73" t="s">
        <v>69</v>
      </c>
      <c r="J316" s="73"/>
      <c r="K316" s="68"/>
      <c r="L316" s="67"/>
      <c r="M316" s="73" t="s">
        <v>69</v>
      </c>
      <c r="N316" s="73"/>
      <c r="O316" s="68"/>
      <c r="P316" s="67"/>
      <c r="Q316" s="73" t="s">
        <v>69</v>
      </c>
      <c r="R316" s="73"/>
      <c r="S316" s="68"/>
      <c r="T316" s="67"/>
      <c r="U316" s="73" t="s">
        <v>69</v>
      </c>
      <c r="V316" s="73"/>
      <c r="W316" s="68"/>
      <c r="X316" s="67"/>
      <c r="Y316" s="73" t="s">
        <v>69</v>
      </c>
      <c r="Z316" s="73"/>
      <c r="AA316" s="68"/>
      <c r="AB316" s="67"/>
      <c r="AC316" s="73" t="s">
        <v>69</v>
      </c>
      <c r="AD316" s="73"/>
      <c r="AE316" s="68"/>
      <c r="AF316" s="67"/>
      <c r="AG316" s="73" t="s">
        <v>69</v>
      </c>
      <c r="AH316" s="73"/>
      <c r="AI316" s="68"/>
      <c r="AJ316" s="67"/>
      <c r="AK316" s="73" t="s">
        <v>69</v>
      </c>
      <c r="AL316" s="73"/>
      <c r="AM316" s="68"/>
      <c r="AN316" s="73"/>
      <c r="AO316" s="73" t="s">
        <v>69</v>
      </c>
      <c r="AP316" s="73"/>
      <c r="AQ316" s="68"/>
      <c r="AR316" s="67">
        <f t="shared" si="162"/>
        <v>77</v>
      </c>
      <c r="AS316" s="68" t="str">
        <f t="shared" si="163"/>
        <v>A</v>
      </c>
      <c r="AV316" s="49">
        <f t="shared" si="79"/>
        <v>0</v>
      </c>
      <c r="AW316" s="49">
        <f t="shared" si="44"/>
        <v>1</v>
      </c>
      <c r="AX316" s="49">
        <f t="shared" si="45"/>
        <v>0</v>
      </c>
      <c r="AY316" s="49">
        <f t="shared" si="46"/>
        <v>0</v>
      </c>
      <c r="AZ316" s="49">
        <f t="shared" si="47"/>
        <v>0</v>
      </c>
      <c r="BA316" s="49">
        <f t="shared" si="48"/>
        <v>1</v>
      </c>
      <c r="BB316" s="49">
        <f t="shared" si="49"/>
        <v>0</v>
      </c>
      <c r="BC316" s="49">
        <f t="shared" si="50"/>
        <v>0</v>
      </c>
      <c r="BD316" s="49">
        <f t="shared" si="51"/>
        <v>0</v>
      </c>
      <c r="BE316" s="49">
        <f t="shared" si="52"/>
        <v>1</v>
      </c>
      <c r="BF316" s="49">
        <f t="shared" si="53"/>
        <v>0</v>
      </c>
      <c r="BG316" s="49">
        <f t="shared" si="54"/>
        <v>0</v>
      </c>
      <c r="BH316" s="49">
        <f t="shared" si="55"/>
        <v>0</v>
      </c>
      <c r="BI316" s="49">
        <f t="shared" si="56"/>
        <v>1</v>
      </c>
      <c r="BJ316" s="49">
        <f t="shared" si="57"/>
        <v>0</v>
      </c>
      <c r="BK316" s="49">
        <f t="shared" si="58"/>
        <v>0</v>
      </c>
      <c r="BL316" s="49">
        <f t="shared" si="59"/>
        <v>0</v>
      </c>
      <c r="BM316" s="49">
        <f t="shared" si="60"/>
        <v>1</v>
      </c>
      <c r="BN316" s="49">
        <f t="shared" si="61"/>
        <v>0</v>
      </c>
      <c r="BO316" s="49">
        <f t="shared" si="62"/>
        <v>0</v>
      </c>
      <c r="BP316" s="49">
        <f t="shared" si="63"/>
        <v>0</v>
      </c>
      <c r="BQ316" s="49">
        <f t="shared" si="64"/>
        <v>1</v>
      </c>
      <c r="BR316" s="49">
        <f t="shared" si="65"/>
        <v>0</v>
      </c>
      <c r="BS316" s="49">
        <f t="shared" si="66"/>
        <v>0</v>
      </c>
      <c r="BT316" s="49">
        <f t="shared" si="67"/>
        <v>0</v>
      </c>
      <c r="BU316" s="49">
        <f t="shared" si="68"/>
        <v>1</v>
      </c>
      <c r="BV316" s="49">
        <f t="shared" si="69"/>
        <v>0</v>
      </c>
      <c r="BW316" s="49">
        <f t="shared" si="70"/>
        <v>0</v>
      </c>
      <c r="BX316" s="49">
        <f t="shared" si="71"/>
        <v>0</v>
      </c>
      <c r="BY316" s="49">
        <f t="shared" si="72"/>
        <v>1</v>
      </c>
      <c r="BZ316" s="49">
        <f t="shared" si="73"/>
        <v>0</v>
      </c>
      <c r="CA316" s="49">
        <f t="shared" si="74"/>
        <v>0</v>
      </c>
      <c r="CB316" s="49">
        <f t="shared" si="75"/>
        <v>0</v>
      </c>
      <c r="CC316" s="49">
        <f t="shared" si="76"/>
        <v>1</v>
      </c>
      <c r="CD316" s="49">
        <f t="shared" si="77"/>
        <v>0</v>
      </c>
      <c r="CE316" s="49">
        <f t="shared" si="78"/>
        <v>0</v>
      </c>
    </row>
    <row r="317" spans="1:83" ht="35.1" customHeight="1" x14ac:dyDescent="0.3">
      <c r="A317" s="123" t="str">
        <f t="shared" si="160"/>
        <v>3팀</v>
      </c>
      <c r="B317" s="69">
        <f t="shared" si="161"/>
        <v>311</v>
      </c>
      <c r="C317" s="120" t="str">
        <f>IF(VLOOKUP($B317,'1. 현장별 인원현황'!$C:$J,2,0)=0,"",VLOOKUP($B317,'1. 현장별 인원현황'!$C:$J,2,0))</f>
        <v xml:space="preserve"> [3.DL건설] 인천 검단신도시 AA29BL 공동주택 신축공사</v>
      </c>
      <c r="D317" s="70" t="str">
        <f>IF(VLOOKUP($B317,'1. 현장별 인원현황'!$C:$J,3,0)=0,"",VLOOKUP($B317,'1. 현장별 인원현황'!$C:$J,3,0))</f>
        <v>박성구</v>
      </c>
      <c r="E317" s="74" t="str">
        <f ca="1">IF(VLOOKUP($B317,'1. 현장별 인원현황'!$C:$J,4,0)=0,"",VLOOKUP($B317,'1. 현장별 인원현황'!$C:$J,4,0))</f>
        <v>43세</v>
      </c>
      <c r="F317" s="70" t="str">
        <f>IF(VLOOKUP($B317,'1. 현장별 인원현황'!$C:$J,7,0)=0,"",VLOOKUP($B317,'1. 현장별 인원현황'!$C:$J,7,0))</f>
        <v>기능공</v>
      </c>
      <c r="G317" s="72" t="str">
        <f>IF(VLOOKUP($B317,'1. 현장별 인원현황'!$C:$J,8,0)=0,"",VLOOKUP($B317,'1. 현장별 인원현황'!$C:$J,8,0))</f>
        <v>전공</v>
      </c>
      <c r="H317" s="67"/>
      <c r="I317" s="73" t="s">
        <v>69</v>
      </c>
      <c r="J317" s="73"/>
      <c r="K317" s="68"/>
      <c r="L317" s="67"/>
      <c r="M317" s="73" t="s">
        <v>69</v>
      </c>
      <c r="N317" s="73"/>
      <c r="O317" s="68"/>
      <c r="P317" s="67"/>
      <c r="Q317" s="73" t="s">
        <v>69</v>
      </c>
      <c r="R317" s="73"/>
      <c r="S317" s="68"/>
      <c r="T317" s="67"/>
      <c r="U317" s="73"/>
      <c r="V317" s="73" t="s">
        <v>69</v>
      </c>
      <c r="W317" s="68"/>
      <c r="X317" s="67"/>
      <c r="Y317" s="73" t="s">
        <v>69</v>
      </c>
      <c r="Z317" s="73"/>
      <c r="AA317" s="68"/>
      <c r="AB317" s="67"/>
      <c r="AC317" s="73" t="s">
        <v>69</v>
      </c>
      <c r="AD317" s="73"/>
      <c r="AE317" s="68"/>
      <c r="AF317" s="67"/>
      <c r="AG317" s="73" t="s">
        <v>69</v>
      </c>
      <c r="AH317" s="73"/>
      <c r="AI317" s="68"/>
      <c r="AJ317" s="67"/>
      <c r="AK317" s="73" t="s">
        <v>69</v>
      </c>
      <c r="AL317" s="73"/>
      <c r="AM317" s="68"/>
      <c r="AN317" s="73"/>
      <c r="AO317" s="73" t="s">
        <v>69</v>
      </c>
      <c r="AP317" s="73"/>
      <c r="AQ317" s="68"/>
      <c r="AR317" s="67">
        <f t="shared" si="162"/>
        <v>75</v>
      </c>
      <c r="AS317" s="68" t="str">
        <f t="shared" si="163"/>
        <v>A</v>
      </c>
      <c r="AV317" s="49">
        <f t="shared" si="79"/>
        <v>0</v>
      </c>
      <c r="AW317" s="49">
        <f t="shared" si="44"/>
        <v>1</v>
      </c>
      <c r="AX317" s="49">
        <f t="shared" si="45"/>
        <v>0</v>
      </c>
      <c r="AY317" s="49">
        <f t="shared" si="46"/>
        <v>0</v>
      </c>
      <c r="AZ317" s="49">
        <f t="shared" si="47"/>
        <v>0</v>
      </c>
      <c r="BA317" s="49">
        <f t="shared" si="48"/>
        <v>1</v>
      </c>
      <c r="BB317" s="49">
        <f t="shared" si="49"/>
        <v>0</v>
      </c>
      <c r="BC317" s="49">
        <f t="shared" si="50"/>
        <v>0</v>
      </c>
      <c r="BD317" s="49">
        <f t="shared" si="51"/>
        <v>0</v>
      </c>
      <c r="BE317" s="49">
        <f t="shared" si="52"/>
        <v>1</v>
      </c>
      <c r="BF317" s="49">
        <f t="shared" si="53"/>
        <v>0</v>
      </c>
      <c r="BG317" s="49">
        <f t="shared" si="54"/>
        <v>0</v>
      </c>
      <c r="BH317" s="49">
        <f t="shared" si="55"/>
        <v>0</v>
      </c>
      <c r="BI317" s="49">
        <f t="shared" si="56"/>
        <v>0</v>
      </c>
      <c r="BJ317" s="49">
        <f t="shared" si="57"/>
        <v>1</v>
      </c>
      <c r="BK317" s="49">
        <f t="shared" si="58"/>
        <v>0</v>
      </c>
      <c r="BL317" s="49">
        <f t="shared" si="59"/>
        <v>0</v>
      </c>
      <c r="BM317" s="49">
        <f t="shared" si="60"/>
        <v>1</v>
      </c>
      <c r="BN317" s="49">
        <f t="shared" si="61"/>
        <v>0</v>
      </c>
      <c r="BO317" s="49">
        <f t="shared" si="62"/>
        <v>0</v>
      </c>
      <c r="BP317" s="49">
        <f t="shared" si="63"/>
        <v>0</v>
      </c>
      <c r="BQ317" s="49">
        <f t="shared" si="64"/>
        <v>1</v>
      </c>
      <c r="BR317" s="49">
        <f t="shared" si="65"/>
        <v>0</v>
      </c>
      <c r="BS317" s="49">
        <f t="shared" si="66"/>
        <v>0</v>
      </c>
      <c r="BT317" s="49">
        <f t="shared" si="67"/>
        <v>0</v>
      </c>
      <c r="BU317" s="49">
        <f t="shared" si="68"/>
        <v>1</v>
      </c>
      <c r="BV317" s="49">
        <f t="shared" si="69"/>
        <v>0</v>
      </c>
      <c r="BW317" s="49">
        <f t="shared" si="70"/>
        <v>0</v>
      </c>
      <c r="BX317" s="49">
        <f t="shared" si="71"/>
        <v>0</v>
      </c>
      <c r="BY317" s="49">
        <f t="shared" si="72"/>
        <v>1</v>
      </c>
      <c r="BZ317" s="49">
        <f t="shared" si="73"/>
        <v>0</v>
      </c>
      <c r="CA317" s="49">
        <f t="shared" si="74"/>
        <v>0</v>
      </c>
      <c r="CB317" s="49">
        <f t="shared" si="75"/>
        <v>0</v>
      </c>
      <c r="CC317" s="49">
        <f t="shared" si="76"/>
        <v>1</v>
      </c>
      <c r="CD317" s="49">
        <f t="shared" si="77"/>
        <v>0</v>
      </c>
      <c r="CE317" s="49">
        <f t="shared" si="78"/>
        <v>0</v>
      </c>
    </row>
    <row r="318" spans="1:83" ht="35.1" customHeight="1" x14ac:dyDescent="0.3">
      <c r="A318" s="123" t="str">
        <f t="shared" si="160"/>
        <v>3팀</v>
      </c>
      <c r="B318" s="69">
        <f t="shared" si="161"/>
        <v>312</v>
      </c>
      <c r="C318" s="120" t="str">
        <f>IF(VLOOKUP($B318,'1. 현장별 인원현황'!$C:$J,2,0)=0,"",VLOOKUP($B318,'1. 현장별 인원현황'!$C:$J,2,0))</f>
        <v xml:space="preserve"> [3.쿠팡] CHA6 FC(천안) Ph2 전기공사</v>
      </c>
      <c r="D318" s="70" t="str">
        <f>IF(VLOOKUP($B318,'1. 현장별 인원현황'!$C:$J,3,0)=0,"",VLOOKUP($B318,'1. 현장별 인원현황'!$C:$J,3,0))</f>
        <v>이서원</v>
      </c>
      <c r="E318" s="74" t="str">
        <f ca="1">IF(VLOOKUP($B318,'1. 현장별 인원현황'!$C:$J,4,0)=0,"",VLOOKUP($B318,'1. 현장별 인원현황'!$C:$J,4,0))</f>
        <v>34세</v>
      </c>
      <c r="F318" s="70" t="str">
        <f>IF(VLOOKUP($B318,'1. 현장별 인원현황'!$C:$J,7,0)=0,"",VLOOKUP($B318,'1. 현장별 인원현황'!$C:$J,7,0))</f>
        <v>공무</v>
      </c>
      <c r="G318" s="72" t="str">
        <f>IF(VLOOKUP($B318,'1. 현장별 인원현황'!$C:$J,8,0)=0,"",VLOOKUP($B318,'1. 현장별 인원현황'!$C:$J,8,0))</f>
        <v>대리</v>
      </c>
      <c r="H318" s="67" t="s">
        <v>69</v>
      </c>
      <c r="I318" s="73"/>
      <c r="J318" s="73"/>
      <c r="K318" s="68"/>
      <c r="L318" s="67" t="s">
        <v>69</v>
      </c>
      <c r="M318" s="73"/>
      <c r="N318" s="73"/>
      <c r="O318" s="68"/>
      <c r="P318" s="67"/>
      <c r="Q318" s="73" t="s">
        <v>69</v>
      </c>
      <c r="R318" s="73"/>
      <c r="S318" s="68"/>
      <c r="T318" s="67"/>
      <c r="U318" s="73" t="s">
        <v>69</v>
      </c>
      <c r="V318" s="73"/>
      <c r="W318" s="68"/>
      <c r="X318" s="67" t="s">
        <v>69</v>
      </c>
      <c r="Y318" s="73"/>
      <c r="Z318" s="73"/>
      <c r="AA318" s="68"/>
      <c r="AB318" s="67"/>
      <c r="AC318" s="73" t="s">
        <v>69</v>
      </c>
      <c r="AD318" s="73"/>
      <c r="AE318" s="68"/>
      <c r="AF318" s="67" t="s">
        <v>69</v>
      </c>
      <c r="AG318" s="73"/>
      <c r="AH318" s="73"/>
      <c r="AI318" s="68"/>
      <c r="AJ318" s="67" t="s">
        <v>69</v>
      </c>
      <c r="AK318" s="73"/>
      <c r="AL318" s="73"/>
      <c r="AM318" s="68"/>
      <c r="AN318" s="73" t="s">
        <v>69</v>
      </c>
      <c r="AO318" s="73"/>
      <c r="AP318" s="73"/>
      <c r="AQ318" s="68"/>
      <c r="AR318" s="67">
        <f t="shared" si="162"/>
        <v>93</v>
      </c>
      <c r="AS318" s="68" t="str">
        <f t="shared" si="163"/>
        <v>S</v>
      </c>
      <c r="AV318" s="49">
        <f t="shared" si="79"/>
        <v>1</v>
      </c>
      <c r="AW318" s="49">
        <f t="shared" si="44"/>
        <v>0</v>
      </c>
      <c r="AX318" s="49">
        <f t="shared" si="45"/>
        <v>0</v>
      </c>
      <c r="AY318" s="49">
        <f t="shared" si="46"/>
        <v>0</v>
      </c>
      <c r="AZ318" s="49">
        <f t="shared" si="47"/>
        <v>1</v>
      </c>
      <c r="BA318" s="49">
        <f t="shared" si="48"/>
        <v>0</v>
      </c>
      <c r="BB318" s="49">
        <f t="shared" si="49"/>
        <v>0</v>
      </c>
      <c r="BC318" s="49">
        <f t="shared" si="50"/>
        <v>0</v>
      </c>
      <c r="BD318" s="49">
        <f t="shared" si="51"/>
        <v>0</v>
      </c>
      <c r="BE318" s="49">
        <f t="shared" si="52"/>
        <v>1</v>
      </c>
      <c r="BF318" s="49">
        <f t="shared" si="53"/>
        <v>0</v>
      </c>
      <c r="BG318" s="49">
        <f t="shared" si="54"/>
        <v>0</v>
      </c>
      <c r="BH318" s="49">
        <f t="shared" si="55"/>
        <v>0</v>
      </c>
      <c r="BI318" s="49">
        <f t="shared" si="56"/>
        <v>1</v>
      </c>
      <c r="BJ318" s="49">
        <f t="shared" si="57"/>
        <v>0</v>
      </c>
      <c r="BK318" s="49">
        <f t="shared" si="58"/>
        <v>0</v>
      </c>
      <c r="BL318" s="49">
        <f t="shared" si="59"/>
        <v>1</v>
      </c>
      <c r="BM318" s="49">
        <f t="shared" si="60"/>
        <v>0</v>
      </c>
      <c r="BN318" s="49">
        <f t="shared" si="61"/>
        <v>0</v>
      </c>
      <c r="BO318" s="49">
        <f t="shared" si="62"/>
        <v>0</v>
      </c>
      <c r="BP318" s="49">
        <f t="shared" si="63"/>
        <v>0</v>
      </c>
      <c r="BQ318" s="49">
        <f t="shared" si="64"/>
        <v>1</v>
      </c>
      <c r="BR318" s="49">
        <f t="shared" si="65"/>
        <v>0</v>
      </c>
      <c r="BS318" s="49">
        <f t="shared" si="66"/>
        <v>0</v>
      </c>
      <c r="BT318" s="49">
        <f t="shared" si="67"/>
        <v>1</v>
      </c>
      <c r="BU318" s="49">
        <f t="shared" si="68"/>
        <v>0</v>
      </c>
      <c r="BV318" s="49">
        <f t="shared" si="69"/>
        <v>0</v>
      </c>
      <c r="BW318" s="49">
        <f t="shared" si="70"/>
        <v>0</v>
      </c>
      <c r="BX318" s="49">
        <f t="shared" si="71"/>
        <v>1</v>
      </c>
      <c r="BY318" s="49">
        <f t="shared" si="72"/>
        <v>0</v>
      </c>
      <c r="BZ318" s="49">
        <f t="shared" si="73"/>
        <v>0</v>
      </c>
      <c r="CA318" s="49">
        <f t="shared" si="74"/>
        <v>0</v>
      </c>
      <c r="CB318" s="49">
        <f t="shared" si="75"/>
        <v>1</v>
      </c>
      <c r="CC318" s="49">
        <f t="shared" si="76"/>
        <v>0</v>
      </c>
      <c r="CD318" s="49">
        <f t="shared" si="77"/>
        <v>0</v>
      </c>
      <c r="CE318" s="49">
        <f t="shared" si="78"/>
        <v>0</v>
      </c>
    </row>
    <row r="319" spans="1:83" ht="35.1" customHeight="1" x14ac:dyDescent="0.3">
      <c r="A319" s="123" t="str">
        <f t="shared" si="160"/>
        <v>3팀</v>
      </c>
      <c r="B319" s="69">
        <f t="shared" si="161"/>
        <v>313</v>
      </c>
      <c r="C319" s="120" t="str">
        <f>IF(VLOOKUP($B319,'1. 현장별 인원현황'!$C:$J,2,0)=0,"",VLOOKUP($B319,'1. 현장별 인원현황'!$C:$J,2,0))</f>
        <v xml:space="preserve"> [3.쿠팡] CHA6 FC(천안) Ph2 전기공사</v>
      </c>
      <c r="D319" s="70" t="str">
        <f>IF(VLOOKUP($B319,'1. 현장별 인원현황'!$C:$J,3,0)=0,"",VLOOKUP($B319,'1. 현장별 인원현황'!$C:$J,3,0))</f>
        <v>김진호</v>
      </c>
      <c r="E319" s="74" t="str">
        <f ca="1">IF(VLOOKUP($B319,'1. 현장별 인원현황'!$C:$J,4,0)=0,"",VLOOKUP($B319,'1. 현장별 인원현황'!$C:$J,4,0))</f>
        <v>39세</v>
      </c>
      <c r="F319" s="70" t="str">
        <f>IF(VLOOKUP($B319,'1. 현장별 인원현황'!$C:$J,7,0)=0,"",VLOOKUP($B319,'1. 현장별 인원현황'!$C:$J,7,0))</f>
        <v>안전관리자</v>
      </c>
      <c r="G319" s="72" t="str">
        <f>IF(VLOOKUP($B319,'1. 현장별 인원현황'!$C:$J,8,0)=0,"",VLOOKUP($B319,'1. 현장별 인원현황'!$C:$J,8,0))</f>
        <v>과장</v>
      </c>
      <c r="H319" s="67" t="s">
        <v>69</v>
      </c>
      <c r="I319" s="73"/>
      <c r="J319" s="73"/>
      <c r="K319" s="68"/>
      <c r="L319" s="67" t="s">
        <v>69</v>
      </c>
      <c r="M319" s="73"/>
      <c r="N319" s="73"/>
      <c r="O319" s="68"/>
      <c r="P319" s="67" t="s">
        <v>69</v>
      </c>
      <c r="Q319" s="73"/>
      <c r="R319" s="73"/>
      <c r="S319" s="68"/>
      <c r="T319" s="67" t="s">
        <v>69</v>
      </c>
      <c r="U319" s="73"/>
      <c r="V319" s="73"/>
      <c r="W319" s="68"/>
      <c r="X319" s="67" t="s">
        <v>69</v>
      </c>
      <c r="Y319" s="73"/>
      <c r="Z319" s="73"/>
      <c r="AA319" s="68"/>
      <c r="AB319" s="67"/>
      <c r="AC319" s="73" t="s">
        <v>69</v>
      </c>
      <c r="AD319" s="73"/>
      <c r="AE319" s="68"/>
      <c r="AF319" s="67"/>
      <c r="AG319" s="73" t="s">
        <v>69</v>
      </c>
      <c r="AH319" s="73"/>
      <c r="AI319" s="68"/>
      <c r="AJ319" s="67" t="s">
        <v>69</v>
      </c>
      <c r="AK319" s="73"/>
      <c r="AL319" s="73"/>
      <c r="AM319" s="68"/>
      <c r="AN319" s="73" t="s">
        <v>69</v>
      </c>
      <c r="AO319" s="73"/>
      <c r="AP319" s="73"/>
      <c r="AQ319" s="68"/>
      <c r="AR319" s="67">
        <f t="shared" si="162"/>
        <v>96</v>
      </c>
      <c r="AS319" s="68" t="str">
        <f t="shared" si="163"/>
        <v>S</v>
      </c>
      <c r="AV319" s="49">
        <f t="shared" si="79"/>
        <v>1</v>
      </c>
      <c r="AW319" s="49">
        <f t="shared" si="44"/>
        <v>0</v>
      </c>
      <c r="AX319" s="49">
        <f t="shared" si="45"/>
        <v>0</v>
      </c>
      <c r="AY319" s="49">
        <f t="shared" si="46"/>
        <v>0</v>
      </c>
      <c r="AZ319" s="49">
        <f t="shared" si="47"/>
        <v>1</v>
      </c>
      <c r="BA319" s="49">
        <f t="shared" si="48"/>
        <v>0</v>
      </c>
      <c r="BB319" s="49">
        <f t="shared" si="49"/>
        <v>0</v>
      </c>
      <c r="BC319" s="49">
        <f t="shared" si="50"/>
        <v>0</v>
      </c>
      <c r="BD319" s="49">
        <f t="shared" si="51"/>
        <v>1</v>
      </c>
      <c r="BE319" s="49">
        <f t="shared" si="52"/>
        <v>0</v>
      </c>
      <c r="BF319" s="49">
        <f t="shared" si="53"/>
        <v>0</v>
      </c>
      <c r="BG319" s="49">
        <f t="shared" si="54"/>
        <v>0</v>
      </c>
      <c r="BH319" s="49">
        <f t="shared" si="55"/>
        <v>1</v>
      </c>
      <c r="BI319" s="49">
        <f t="shared" si="56"/>
        <v>0</v>
      </c>
      <c r="BJ319" s="49">
        <f t="shared" si="57"/>
        <v>0</v>
      </c>
      <c r="BK319" s="49">
        <f t="shared" si="58"/>
        <v>0</v>
      </c>
      <c r="BL319" s="49">
        <f t="shared" si="59"/>
        <v>1</v>
      </c>
      <c r="BM319" s="49">
        <f t="shared" si="60"/>
        <v>0</v>
      </c>
      <c r="BN319" s="49">
        <f t="shared" si="61"/>
        <v>0</v>
      </c>
      <c r="BO319" s="49">
        <f t="shared" si="62"/>
        <v>0</v>
      </c>
      <c r="BP319" s="49">
        <f t="shared" si="63"/>
        <v>0</v>
      </c>
      <c r="BQ319" s="49">
        <f t="shared" si="64"/>
        <v>1</v>
      </c>
      <c r="BR319" s="49">
        <f t="shared" si="65"/>
        <v>0</v>
      </c>
      <c r="BS319" s="49">
        <f t="shared" si="66"/>
        <v>0</v>
      </c>
      <c r="BT319" s="49">
        <f t="shared" si="67"/>
        <v>0</v>
      </c>
      <c r="BU319" s="49">
        <f t="shared" si="68"/>
        <v>1</v>
      </c>
      <c r="BV319" s="49">
        <f t="shared" si="69"/>
        <v>0</v>
      </c>
      <c r="BW319" s="49">
        <f t="shared" si="70"/>
        <v>0</v>
      </c>
      <c r="BX319" s="49">
        <f t="shared" si="71"/>
        <v>1</v>
      </c>
      <c r="BY319" s="49">
        <f t="shared" si="72"/>
        <v>0</v>
      </c>
      <c r="BZ319" s="49">
        <f t="shared" si="73"/>
        <v>0</v>
      </c>
      <c r="CA319" s="49">
        <f t="shared" si="74"/>
        <v>0</v>
      </c>
      <c r="CB319" s="49">
        <f t="shared" si="75"/>
        <v>1</v>
      </c>
      <c r="CC319" s="49">
        <f t="shared" si="76"/>
        <v>0</v>
      </c>
      <c r="CD319" s="49">
        <f t="shared" si="77"/>
        <v>0</v>
      </c>
      <c r="CE319" s="49">
        <f t="shared" si="78"/>
        <v>0</v>
      </c>
    </row>
    <row r="320" spans="1:83" ht="35.1" customHeight="1" x14ac:dyDescent="0.3">
      <c r="A320" s="123" t="str">
        <f t="shared" si="160"/>
        <v>3팀</v>
      </c>
      <c r="B320" s="69">
        <f t="shared" si="161"/>
        <v>314</v>
      </c>
      <c r="C320" s="120" t="str">
        <f>IF(VLOOKUP($B320,'1. 현장별 인원현황'!$C:$J,2,0)=0,"",VLOOKUP($B320,'1. 현장별 인원현황'!$C:$J,2,0))</f>
        <v xml:space="preserve"> [3.쿠팡] CHA6 FC(천안) Ph2 전기공사</v>
      </c>
      <c r="D320" s="70" t="str">
        <f>IF(VLOOKUP($B320,'1. 현장별 인원현황'!$C:$J,3,0)=0,"",VLOOKUP($B320,'1. 현장별 인원현황'!$C:$J,3,0))</f>
        <v>이대형</v>
      </c>
      <c r="E320" s="74" t="str">
        <f ca="1">IF(VLOOKUP($B320,'1. 현장별 인원현황'!$C:$J,4,0)=0,"",VLOOKUP($B320,'1. 현장별 인원현황'!$C:$J,4,0))</f>
        <v>37세</v>
      </c>
      <c r="F320" s="70" t="str">
        <f>IF(VLOOKUP($B320,'1. 현장별 인원현황'!$C:$J,7,0)=0,"",VLOOKUP($B320,'1. 현장별 인원현황'!$C:$J,7,0))</f>
        <v>기능공</v>
      </c>
      <c r="G320" s="72" t="str">
        <f>IF(VLOOKUP($B320,'1. 현장별 인원현황'!$C:$J,8,0)=0,"",VLOOKUP($B320,'1. 현장별 인원현황'!$C:$J,8,0))</f>
        <v>전공</v>
      </c>
      <c r="H320" s="67"/>
      <c r="I320" s="73" t="s">
        <v>69</v>
      </c>
      <c r="J320" s="73"/>
      <c r="K320" s="68"/>
      <c r="L320" s="67"/>
      <c r="M320" s="73" t="s">
        <v>69</v>
      </c>
      <c r="N320" s="73"/>
      <c r="O320" s="68"/>
      <c r="P320" s="67"/>
      <c r="Q320" s="73" t="s">
        <v>69</v>
      </c>
      <c r="R320" s="73"/>
      <c r="S320" s="68"/>
      <c r="T320" s="67"/>
      <c r="U320" s="73" t="s">
        <v>69</v>
      </c>
      <c r="V320" s="73"/>
      <c r="W320" s="68"/>
      <c r="X320" s="67"/>
      <c r="Y320" s="73" t="s">
        <v>69</v>
      </c>
      <c r="Z320" s="73"/>
      <c r="AA320" s="68"/>
      <c r="AB320" s="67" t="s">
        <v>69</v>
      </c>
      <c r="AC320" s="73"/>
      <c r="AD320" s="73"/>
      <c r="AE320" s="68"/>
      <c r="AF320" s="67"/>
      <c r="AG320" s="73" t="s">
        <v>69</v>
      </c>
      <c r="AH320" s="73"/>
      <c r="AI320" s="68"/>
      <c r="AJ320" s="67" t="s">
        <v>69</v>
      </c>
      <c r="AK320" s="73"/>
      <c r="AL320" s="73"/>
      <c r="AM320" s="68"/>
      <c r="AN320" s="73" t="s">
        <v>69</v>
      </c>
      <c r="AO320" s="73"/>
      <c r="AP320" s="73"/>
      <c r="AQ320" s="68"/>
      <c r="AR320" s="67">
        <f t="shared" si="162"/>
        <v>85</v>
      </c>
      <c r="AS320" s="68" t="str">
        <f t="shared" si="163"/>
        <v>A</v>
      </c>
      <c r="AV320" s="49">
        <f t="shared" si="79"/>
        <v>0</v>
      </c>
      <c r="AW320" s="49">
        <f t="shared" si="44"/>
        <v>1</v>
      </c>
      <c r="AX320" s="49">
        <f t="shared" si="45"/>
        <v>0</v>
      </c>
      <c r="AY320" s="49">
        <f t="shared" si="46"/>
        <v>0</v>
      </c>
      <c r="AZ320" s="49">
        <f t="shared" si="47"/>
        <v>0</v>
      </c>
      <c r="BA320" s="49">
        <f t="shared" si="48"/>
        <v>1</v>
      </c>
      <c r="BB320" s="49">
        <f t="shared" si="49"/>
        <v>0</v>
      </c>
      <c r="BC320" s="49">
        <f t="shared" si="50"/>
        <v>0</v>
      </c>
      <c r="BD320" s="49">
        <f t="shared" si="51"/>
        <v>0</v>
      </c>
      <c r="BE320" s="49">
        <f t="shared" si="52"/>
        <v>1</v>
      </c>
      <c r="BF320" s="49">
        <f t="shared" si="53"/>
        <v>0</v>
      </c>
      <c r="BG320" s="49">
        <f t="shared" si="54"/>
        <v>0</v>
      </c>
      <c r="BH320" s="49">
        <f t="shared" si="55"/>
        <v>0</v>
      </c>
      <c r="BI320" s="49">
        <f t="shared" si="56"/>
        <v>1</v>
      </c>
      <c r="BJ320" s="49">
        <f t="shared" si="57"/>
        <v>0</v>
      </c>
      <c r="BK320" s="49">
        <f t="shared" si="58"/>
        <v>0</v>
      </c>
      <c r="BL320" s="49">
        <f t="shared" si="59"/>
        <v>0</v>
      </c>
      <c r="BM320" s="49">
        <f t="shared" si="60"/>
        <v>1</v>
      </c>
      <c r="BN320" s="49">
        <f t="shared" si="61"/>
        <v>0</v>
      </c>
      <c r="BO320" s="49">
        <f t="shared" si="62"/>
        <v>0</v>
      </c>
      <c r="BP320" s="49">
        <f t="shared" si="63"/>
        <v>1</v>
      </c>
      <c r="BQ320" s="49">
        <f t="shared" si="64"/>
        <v>0</v>
      </c>
      <c r="BR320" s="49">
        <f t="shared" si="65"/>
        <v>0</v>
      </c>
      <c r="BS320" s="49">
        <f t="shared" si="66"/>
        <v>0</v>
      </c>
      <c r="BT320" s="49">
        <f t="shared" si="67"/>
        <v>0</v>
      </c>
      <c r="BU320" s="49">
        <f t="shared" si="68"/>
        <v>1</v>
      </c>
      <c r="BV320" s="49">
        <f t="shared" si="69"/>
        <v>0</v>
      </c>
      <c r="BW320" s="49">
        <f t="shared" si="70"/>
        <v>0</v>
      </c>
      <c r="BX320" s="49">
        <f t="shared" si="71"/>
        <v>1</v>
      </c>
      <c r="BY320" s="49">
        <f t="shared" si="72"/>
        <v>0</v>
      </c>
      <c r="BZ320" s="49">
        <f t="shared" si="73"/>
        <v>0</v>
      </c>
      <c r="CA320" s="49">
        <f t="shared" si="74"/>
        <v>0</v>
      </c>
      <c r="CB320" s="49">
        <f t="shared" si="75"/>
        <v>1</v>
      </c>
      <c r="CC320" s="49">
        <f t="shared" si="76"/>
        <v>0</v>
      </c>
      <c r="CD320" s="49">
        <f t="shared" si="77"/>
        <v>0</v>
      </c>
      <c r="CE320" s="49">
        <f t="shared" si="78"/>
        <v>0</v>
      </c>
    </row>
    <row r="321" spans="1:83" ht="35.1" customHeight="1" x14ac:dyDescent="0.3">
      <c r="A321" s="123" t="str">
        <f t="shared" si="160"/>
        <v>3팀</v>
      </c>
      <c r="B321" s="69">
        <f t="shared" si="161"/>
        <v>315</v>
      </c>
      <c r="C321" s="120" t="str">
        <f>IF(VLOOKUP($B321,'1. 현장별 인원현황'!$C:$J,2,0)=0,"",VLOOKUP($B321,'1. 현장별 인원현황'!$C:$J,2,0))</f>
        <v xml:space="preserve"> [3.쿠팡] CHA6 FC(천안) Ph2 전기공사</v>
      </c>
      <c r="D321" s="70" t="str">
        <f>IF(VLOOKUP($B321,'1. 현장별 인원현황'!$C:$J,3,0)=0,"",VLOOKUP($B321,'1. 현장별 인원현황'!$C:$J,3,0))</f>
        <v>장진혁</v>
      </c>
      <c r="E321" s="74" t="str">
        <f ca="1">IF(VLOOKUP($B321,'1. 현장별 인원현황'!$C:$J,4,0)=0,"",VLOOKUP($B321,'1. 현장별 인원현황'!$C:$J,4,0))</f>
        <v>61세</v>
      </c>
      <c r="F321" s="70" t="str">
        <f>IF(VLOOKUP($B321,'1. 현장별 인원현황'!$C:$J,7,0)=0,"",VLOOKUP($B321,'1. 현장별 인원현황'!$C:$J,7,0))</f>
        <v>기능공</v>
      </c>
      <c r="G321" s="72" t="str">
        <f>IF(VLOOKUP($B321,'1. 현장별 인원현황'!$C:$J,8,0)=0,"",VLOOKUP($B321,'1. 현장별 인원현황'!$C:$J,8,0))</f>
        <v>전공</v>
      </c>
      <c r="H321" s="67"/>
      <c r="I321" s="73"/>
      <c r="J321" s="73" t="s">
        <v>69</v>
      </c>
      <c r="K321" s="68"/>
      <c r="L321" s="67"/>
      <c r="M321" s="73"/>
      <c r="N321" s="73" t="s">
        <v>69</v>
      </c>
      <c r="O321" s="68"/>
      <c r="P321" s="67"/>
      <c r="Q321" s="73" t="s">
        <v>69</v>
      </c>
      <c r="R321" s="73"/>
      <c r="S321" s="68"/>
      <c r="T321" s="67"/>
      <c r="U321" s="73" t="s">
        <v>69</v>
      </c>
      <c r="V321" s="73"/>
      <c r="W321" s="68"/>
      <c r="X321" s="67" t="s">
        <v>69</v>
      </c>
      <c r="Y321" s="73"/>
      <c r="Z321" s="73"/>
      <c r="AA321" s="68"/>
      <c r="AB321" s="67" t="s">
        <v>69</v>
      </c>
      <c r="AC321" s="73"/>
      <c r="AD321" s="73"/>
      <c r="AE321" s="68"/>
      <c r="AF321" s="67" t="s">
        <v>69</v>
      </c>
      <c r="AG321" s="73"/>
      <c r="AH321" s="73"/>
      <c r="AI321" s="68"/>
      <c r="AJ321" s="67" t="s">
        <v>69</v>
      </c>
      <c r="AK321" s="73"/>
      <c r="AL321" s="73"/>
      <c r="AM321" s="68"/>
      <c r="AN321" s="73" t="s">
        <v>69</v>
      </c>
      <c r="AO321" s="73"/>
      <c r="AP321" s="73"/>
      <c r="AQ321" s="68"/>
      <c r="AR321" s="67">
        <f t="shared" si="162"/>
        <v>83</v>
      </c>
      <c r="AS321" s="68" t="str">
        <f t="shared" si="163"/>
        <v>A</v>
      </c>
      <c r="AV321" s="49">
        <f t="shared" si="79"/>
        <v>0</v>
      </c>
      <c r="AW321" s="49">
        <f t="shared" si="44"/>
        <v>0</v>
      </c>
      <c r="AX321" s="49">
        <f t="shared" si="45"/>
        <v>1</v>
      </c>
      <c r="AY321" s="49">
        <f t="shared" si="46"/>
        <v>0</v>
      </c>
      <c r="AZ321" s="49">
        <f t="shared" si="47"/>
        <v>0</v>
      </c>
      <c r="BA321" s="49">
        <f t="shared" si="48"/>
        <v>0</v>
      </c>
      <c r="BB321" s="49">
        <f t="shared" si="49"/>
        <v>1</v>
      </c>
      <c r="BC321" s="49">
        <f t="shared" si="50"/>
        <v>0</v>
      </c>
      <c r="BD321" s="49">
        <f t="shared" si="51"/>
        <v>0</v>
      </c>
      <c r="BE321" s="49">
        <f t="shared" si="52"/>
        <v>1</v>
      </c>
      <c r="BF321" s="49">
        <f t="shared" si="53"/>
        <v>0</v>
      </c>
      <c r="BG321" s="49">
        <f t="shared" si="54"/>
        <v>0</v>
      </c>
      <c r="BH321" s="49">
        <f t="shared" si="55"/>
        <v>0</v>
      </c>
      <c r="BI321" s="49">
        <f t="shared" si="56"/>
        <v>1</v>
      </c>
      <c r="BJ321" s="49">
        <f t="shared" si="57"/>
        <v>0</v>
      </c>
      <c r="BK321" s="49">
        <f t="shared" si="58"/>
        <v>0</v>
      </c>
      <c r="BL321" s="49">
        <f t="shared" si="59"/>
        <v>1</v>
      </c>
      <c r="BM321" s="49">
        <f t="shared" si="60"/>
        <v>0</v>
      </c>
      <c r="BN321" s="49">
        <f t="shared" si="61"/>
        <v>0</v>
      </c>
      <c r="BO321" s="49">
        <f t="shared" si="62"/>
        <v>0</v>
      </c>
      <c r="BP321" s="49">
        <f t="shared" si="63"/>
        <v>1</v>
      </c>
      <c r="BQ321" s="49">
        <f t="shared" si="64"/>
        <v>0</v>
      </c>
      <c r="BR321" s="49">
        <f t="shared" si="65"/>
        <v>0</v>
      </c>
      <c r="BS321" s="49">
        <f t="shared" si="66"/>
        <v>0</v>
      </c>
      <c r="BT321" s="49">
        <f t="shared" si="67"/>
        <v>1</v>
      </c>
      <c r="BU321" s="49">
        <f t="shared" si="68"/>
        <v>0</v>
      </c>
      <c r="BV321" s="49">
        <f t="shared" si="69"/>
        <v>0</v>
      </c>
      <c r="BW321" s="49">
        <f t="shared" si="70"/>
        <v>0</v>
      </c>
      <c r="BX321" s="49">
        <f t="shared" si="71"/>
        <v>1</v>
      </c>
      <c r="BY321" s="49">
        <f t="shared" si="72"/>
        <v>0</v>
      </c>
      <c r="BZ321" s="49">
        <f t="shared" si="73"/>
        <v>0</v>
      </c>
      <c r="CA321" s="49">
        <f t="shared" si="74"/>
        <v>0</v>
      </c>
      <c r="CB321" s="49">
        <f t="shared" si="75"/>
        <v>1</v>
      </c>
      <c r="CC321" s="49">
        <f t="shared" si="76"/>
        <v>0</v>
      </c>
      <c r="CD321" s="49">
        <f t="shared" si="77"/>
        <v>0</v>
      </c>
      <c r="CE321" s="49">
        <f t="shared" si="78"/>
        <v>0</v>
      </c>
    </row>
    <row r="322" spans="1:83" ht="35.1" customHeight="1" x14ac:dyDescent="0.3">
      <c r="A322" s="123" t="str">
        <f t="shared" si="160"/>
        <v>3팀</v>
      </c>
      <c r="B322" s="69">
        <f t="shared" si="161"/>
        <v>316</v>
      </c>
      <c r="C322" s="120" t="str">
        <f>IF(VLOOKUP($B322,'1. 현장별 인원현황'!$C:$J,2,0)=0,"",VLOOKUP($B322,'1. 현장별 인원현황'!$C:$J,2,0))</f>
        <v xml:space="preserve"> [3.쿠팡] CHA6 FC(천안) Ph2 전기공사</v>
      </c>
      <c r="D322" s="70" t="str">
        <f>IF(VLOOKUP($B322,'1. 현장별 인원현황'!$C:$J,3,0)=0,"",VLOOKUP($B322,'1. 현장별 인원현황'!$C:$J,3,0))</f>
        <v>강경진</v>
      </c>
      <c r="E322" s="74" t="str">
        <f ca="1">IF(VLOOKUP($B322,'1. 현장별 인원현황'!$C:$J,4,0)=0,"",VLOOKUP($B322,'1. 현장별 인원현황'!$C:$J,4,0))</f>
        <v>55세</v>
      </c>
      <c r="F322" s="70" t="str">
        <f>IF(VLOOKUP($B322,'1. 현장별 인원현황'!$C:$J,7,0)=0,"",VLOOKUP($B322,'1. 현장별 인원현황'!$C:$J,7,0))</f>
        <v>기능공</v>
      </c>
      <c r="G322" s="72" t="str">
        <f>IF(VLOOKUP($B322,'1. 현장별 인원현황'!$C:$J,8,0)=0,"",VLOOKUP($B322,'1. 현장별 인원현황'!$C:$J,8,0))</f>
        <v>전공</v>
      </c>
      <c r="H322" s="67" t="s">
        <v>69</v>
      </c>
      <c r="I322" s="73"/>
      <c r="J322" s="73"/>
      <c r="K322" s="68"/>
      <c r="L322" s="67" t="s">
        <v>69</v>
      </c>
      <c r="M322" s="73"/>
      <c r="N322" s="73"/>
      <c r="O322" s="68"/>
      <c r="P322" s="67"/>
      <c r="Q322" s="73" t="s">
        <v>69</v>
      </c>
      <c r="R322" s="73"/>
      <c r="S322" s="68"/>
      <c r="T322" s="67"/>
      <c r="U322" s="73" t="s">
        <v>69</v>
      </c>
      <c r="V322" s="73"/>
      <c r="W322" s="68"/>
      <c r="X322" s="67"/>
      <c r="Y322" s="73" t="s">
        <v>69</v>
      </c>
      <c r="Z322" s="73"/>
      <c r="AA322" s="68"/>
      <c r="AB322" s="67"/>
      <c r="AC322" s="73" t="s">
        <v>69</v>
      </c>
      <c r="AD322" s="73"/>
      <c r="AE322" s="68"/>
      <c r="AF322" s="67" t="s">
        <v>69</v>
      </c>
      <c r="AG322" s="73"/>
      <c r="AH322" s="73"/>
      <c r="AI322" s="68"/>
      <c r="AJ322" s="67"/>
      <c r="AK322" s="73" t="s">
        <v>69</v>
      </c>
      <c r="AL322" s="73"/>
      <c r="AM322" s="68"/>
      <c r="AN322" s="73" t="s">
        <v>69</v>
      </c>
      <c r="AO322" s="73"/>
      <c r="AP322" s="73"/>
      <c r="AQ322" s="68"/>
      <c r="AR322" s="67">
        <f t="shared" si="162"/>
        <v>88</v>
      </c>
      <c r="AS322" s="68" t="str">
        <f t="shared" si="163"/>
        <v>S</v>
      </c>
      <c r="AV322" s="49">
        <f t="shared" si="79"/>
        <v>1</v>
      </c>
      <c r="AW322" s="49">
        <f t="shared" si="44"/>
        <v>0</v>
      </c>
      <c r="AX322" s="49">
        <f t="shared" si="45"/>
        <v>0</v>
      </c>
      <c r="AY322" s="49">
        <f t="shared" si="46"/>
        <v>0</v>
      </c>
      <c r="AZ322" s="49">
        <f t="shared" si="47"/>
        <v>1</v>
      </c>
      <c r="BA322" s="49">
        <f t="shared" si="48"/>
        <v>0</v>
      </c>
      <c r="BB322" s="49">
        <f t="shared" si="49"/>
        <v>0</v>
      </c>
      <c r="BC322" s="49">
        <f t="shared" si="50"/>
        <v>0</v>
      </c>
      <c r="BD322" s="49">
        <f t="shared" si="51"/>
        <v>0</v>
      </c>
      <c r="BE322" s="49">
        <f t="shared" si="52"/>
        <v>1</v>
      </c>
      <c r="BF322" s="49">
        <f t="shared" si="53"/>
        <v>0</v>
      </c>
      <c r="BG322" s="49">
        <f t="shared" si="54"/>
        <v>0</v>
      </c>
      <c r="BH322" s="49">
        <f t="shared" si="55"/>
        <v>0</v>
      </c>
      <c r="BI322" s="49">
        <f t="shared" si="56"/>
        <v>1</v>
      </c>
      <c r="BJ322" s="49">
        <f t="shared" si="57"/>
        <v>0</v>
      </c>
      <c r="BK322" s="49">
        <f t="shared" si="58"/>
        <v>0</v>
      </c>
      <c r="BL322" s="49">
        <f t="shared" si="59"/>
        <v>0</v>
      </c>
      <c r="BM322" s="49">
        <f t="shared" si="60"/>
        <v>1</v>
      </c>
      <c r="BN322" s="49">
        <f t="shared" si="61"/>
        <v>0</v>
      </c>
      <c r="BO322" s="49">
        <f t="shared" si="62"/>
        <v>0</v>
      </c>
      <c r="BP322" s="49">
        <f t="shared" si="63"/>
        <v>0</v>
      </c>
      <c r="BQ322" s="49">
        <f t="shared" si="64"/>
        <v>1</v>
      </c>
      <c r="BR322" s="49">
        <f t="shared" si="65"/>
        <v>0</v>
      </c>
      <c r="BS322" s="49">
        <f t="shared" si="66"/>
        <v>0</v>
      </c>
      <c r="BT322" s="49">
        <f t="shared" si="67"/>
        <v>1</v>
      </c>
      <c r="BU322" s="49">
        <f t="shared" si="68"/>
        <v>0</v>
      </c>
      <c r="BV322" s="49">
        <f t="shared" si="69"/>
        <v>0</v>
      </c>
      <c r="BW322" s="49">
        <f t="shared" si="70"/>
        <v>0</v>
      </c>
      <c r="BX322" s="49">
        <f t="shared" si="71"/>
        <v>0</v>
      </c>
      <c r="BY322" s="49">
        <f t="shared" si="72"/>
        <v>1</v>
      </c>
      <c r="BZ322" s="49">
        <f t="shared" si="73"/>
        <v>0</v>
      </c>
      <c r="CA322" s="49">
        <f t="shared" si="74"/>
        <v>0</v>
      </c>
      <c r="CB322" s="49">
        <f t="shared" si="75"/>
        <v>1</v>
      </c>
      <c r="CC322" s="49">
        <f t="shared" si="76"/>
        <v>0</v>
      </c>
      <c r="CD322" s="49">
        <f t="shared" si="77"/>
        <v>0</v>
      </c>
      <c r="CE322" s="49">
        <f t="shared" si="78"/>
        <v>0</v>
      </c>
    </row>
    <row r="323" spans="1:83" ht="35.1" customHeight="1" x14ac:dyDescent="0.3">
      <c r="A323" s="123" t="str">
        <f t="shared" si="160"/>
        <v>3팀</v>
      </c>
      <c r="B323" s="69">
        <f t="shared" si="161"/>
        <v>317</v>
      </c>
      <c r="C323" s="120" t="str">
        <f>IF(VLOOKUP($B323,'1. 현장별 인원현황'!$C:$J,2,0)=0,"",VLOOKUP($B323,'1. 현장별 인원현황'!$C:$J,2,0))</f>
        <v xml:space="preserve"> [3.쿠팡] CHA6 FC(천안) Ph2 전기공사</v>
      </c>
      <c r="D323" s="70" t="str">
        <f>IF(VLOOKUP($B323,'1. 현장별 인원현황'!$C:$J,3,0)=0,"",VLOOKUP($B323,'1. 현장별 인원현황'!$C:$J,3,0))</f>
        <v>김경훈</v>
      </c>
      <c r="E323" s="74" t="str">
        <f ca="1">IF(VLOOKUP($B323,'1. 현장별 인원현황'!$C:$J,4,0)=0,"",VLOOKUP($B323,'1. 현장별 인원현황'!$C:$J,4,0))</f>
        <v>56세</v>
      </c>
      <c r="F323" s="70" t="str">
        <f>IF(VLOOKUP($B323,'1. 현장별 인원현황'!$C:$J,7,0)=0,"",VLOOKUP($B323,'1. 현장별 인원현황'!$C:$J,7,0))</f>
        <v>기능공</v>
      </c>
      <c r="G323" s="72" t="str">
        <f>IF(VLOOKUP($B323,'1. 현장별 인원현황'!$C:$J,8,0)=0,"",VLOOKUP($B323,'1. 현장별 인원현황'!$C:$J,8,0))</f>
        <v>전공</v>
      </c>
      <c r="H323" s="67" t="s">
        <v>69</v>
      </c>
      <c r="I323" s="73"/>
      <c r="J323" s="73"/>
      <c r="K323" s="68"/>
      <c r="L323" s="67"/>
      <c r="M323" s="73"/>
      <c r="N323" s="73" t="s">
        <v>69</v>
      </c>
      <c r="O323" s="68"/>
      <c r="P323" s="67" t="s">
        <v>69</v>
      </c>
      <c r="Q323" s="73"/>
      <c r="R323" s="73"/>
      <c r="S323" s="68"/>
      <c r="T323" s="67" t="s">
        <v>69</v>
      </c>
      <c r="U323" s="73"/>
      <c r="V323" s="73"/>
      <c r="W323" s="68"/>
      <c r="X323" s="67"/>
      <c r="Y323" s="73" t="s">
        <v>69</v>
      </c>
      <c r="Z323" s="73"/>
      <c r="AA323" s="68"/>
      <c r="AB323" s="67"/>
      <c r="AC323" s="73" t="s">
        <v>69</v>
      </c>
      <c r="AD323" s="73"/>
      <c r="AE323" s="68"/>
      <c r="AF323" s="67"/>
      <c r="AG323" s="73" t="s">
        <v>69</v>
      </c>
      <c r="AH323" s="73"/>
      <c r="AI323" s="68"/>
      <c r="AJ323" s="67" t="s">
        <v>69</v>
      </c>
      <c r="AK323" s="73"/>
      <c r="AL323" s="73"/>
      <c r="AM323" s="68"/>
      <c r="AN323" s="73" t="s">
        <v>69</v>
      </c>
      <c r="AO323" s="73"/>
      <c r="AP323" s="73"/>
      <c r="AQ323" s="68"/>
      <c r="AR323" s="67">
        <f t="shared" si="162"/>
        <v>88</v>
      </c>
      <c r="AS323" s="68" t="str">
        <f t="shared" si="163"/>
        <v>S</v>
      </c>
      <c r="AV323" s="49">
        <f t="shared" si="79"/>
        <v>1</v>
      </c>
      <c r="AW323" s="49">
        <f t="shared" si="44"/>
        <v>0</v>
      </c>
      <c r="AX323" s="49">
        <f t="shared" si="45"/>
        <v>0</v>
      </c>
      <c r="AY323" s="49">
        <f t="shared" si="46"/>
        <v>0</v>
      </c>
      <c r="AZ323" s="49">
        <f t="shared" si="47"/>
        <v>0</v>
      </c>
      <c r="BA323" s="49">
        <f t="shared" si="48"/>
        <v>0</v>
      </c>
      <c r="BB323" s="49">
        <f t="shared" si="49"/>
        <v>1</v>
      </c>
      <c r="BC323" s="49">
        <f t="shared" si="50"/>
        <v>0</v>
      </c>
      <c r="BD323" s="49">
        <f t="shared" si="51"/>
        <v>1</v>
      </c>
      <c r="BE323" s="49">
        <f t="shared" si="52"/>
        <v>0</v>
      </c>
      <c r="BF323" s="49">
        <f t="shared" si="53"/>
        <v>0</v>
      </c>
      <c r="BG323" s="49">
        <f t="shared" si="54"/>
        <v>0</v>
      </c>
      <c r="BH323" s="49">
        <f t="shared" si="55"/>
        <v>1</v>
      </c>
      <c r="BI323" s="49">
        <f t="shared" si="56"/>
        <v>0</v>
      </c>
      <c r="BJ323" s="49">
        <f t="shared" si="57"/>
        <v>0</v>
      </c>
      <c r="BK323" s="49">
        <f t="shared" si="58"/>
        <v>0</v>
      </c>
      <c r="BL323" s="49">
        <f t="shared" si="59"/>
        <v>0</v>
      </c>
      <c r="BM323" s="49">
        <f t="shared" si="60"/>
        <v>1</v>
      </c>
      <c r="BN323" s="49">
        <f t="shared" si="61"/>
        <v>0</v>
      </c>
      <c r="BO323" s="49">
        <f t="shared" si="62"/>
        <v>0</v>
      </c>
      <c r="BP323" s="49">
        <f t="shared" si="63"/>
        <v>0</v>
      </c>
      <c r="BQ323" s="49">
        <f t="shared" si="64"/>
        <v>1</v>
      </c>
      <c r="BR323" s="49">
        <f t="shared" si="65"/>
        <v>0</v>
      </c>
      <c r="BS323" s="49">
        <f t="shared" si="66"/>
        <v>0</v>
      </c>
      <c r="BT323" s="49">
        <f t="shared" si="67"/>
        <v>0</v>
      </c>
      <c r="BU323" s="49">
        <f t="shared" si="68"/>
        <v>1</v>
      </c>
      <c r="BV323" s="49">
        <f t="shared" si="69"/>
        <v>0</v>
      </c>
      <c r="BW323" s="49">
        <f t="shared" si="70"/>
        <v>0</v>
      </c>
      <c r="BX323" s="49">
        <f t="shared" si="71"/>
        <v>1</v>
      </c>
      <c r="BY323" s="49">
        <f t="shared" si="72"/>
        <v>0</v>
      </c>
      <c r="BZ323" s="49">
        <f t="shared" si="73"/>
        <v>0</v>
      </c>
      <c r="CA323" s="49">
        <f t="shared" si="74"/>
        <v>0</v>
      </c>
      <c r="CB323" s="49">
        <f t="shared" si="75"/>
        <v>1</v>
      </c>
      <c r="CC323" s="49">
        <f t="shared" si="76"/>
        <v>0</v>
      </c>
      <c r="CD323" s="49">
        <f t="shared" si="77"/>
        <v>0</v>
      </c>
      <c r="CE323" s="49">
        <f t="shared" si="78"/>
        <v>0</v>
      </c>
    </row>
    <row r="324" spans="1:83" ht="35.1" customHeight="1" x14ac:dyDescent="0.3">
      <c r="A324" s="123" t="str">
        <f t="shared" si="160"/>
        <v>3팀</v>
      </c>
      <c r="B324" s="69">
        <f t="shared" si="161"/>
        <v>318</v>
      </c>
      <c r="C324" s="120" t="str">
        <f>IF(VLOOKUP($B324,'1. 현장별 인원현황'!$C:$J,2,0)=0,"",VLOOKUP($B324,'1. 현장별 인원현황'!$C:$J,2,0))</f>
        <v xml:space="preserve"> [3.쿠팡] CHA6 FC(천안) Ph2 전기공사</v>
      </c>
      <c r="D324" s="70" t="str">
        <f>IF(VLOOKUP($B324,'1. 현장별 인원현황'!$C:$J,3,0)=0,"",VLOOKUP($B324,'1. 현장별 인원현황'!$C:$J,3,0))</f>
        <v>박승섭</v>
      </c>
      <c r="E324" s="74" t="str">
        <f ca="1">IF(VLOOKUP($B324,'1. 현장별 인원현황'!$C:$J,4,0)=0,"",VLOOKUP($B324,'1. 현장별 인원현황'!$C:$J,4,0))</f>
        <v>52세</v>
      </c>
      <c r="F324" s="70" t="str">
        <f>IF(VLOOKUP($B324,'1. 현장별 인원현황'!$C:$J,7,0)=0,"",VLOOKUP($B324,'1. 현장별 인원현황'!$C:$J,7,0))</f>
        <v>기능공</v>
      </c>
      <c r="G324" s="72" t="str">
        <f>IF(VLOOKUP($B324,'1. 현장별 인원현황'!$C:$J,8,0)=0,"",VLOOKUP($B324,'1. 현장별 인원현황'!$C:$J,8,0))</f>
        <v>전공</v>
      </c>
      <c r="H324" s="67"/>
      <c r="I324" s="73" t="s">
        <v>69</v>
      </c>
      <c r="J324" s="73"/>
      <c r="K324" s="68"/>
      <c r="L324" s="67" t="s">
        <v>69</v>
      </c>
      <c r="M324" s="73"/>
      <c r="N324" s="73"/>
      <c r="O324" s="68"/>
      <c r="P324" s="67" t="s">
        <v>69</v>
      </c>
      <c r="Q324" s="73"/>
      <c r="R324" s="73"/>
      <c r="S324" s="68"/>
      <c r="T324" s="67" t="s">
        <v>69</v>
      </c>
      <c r="U324" s="73"/>
      <c r="V324" s="73"/>
      <c r="W324" s="68"/>
      <c r="X324" s="67" t="s">
        <v>69</v>
      </c>
      <c r="Y324" s="73"/>
      <c r="Z324" s="73"/>
      <c r="AA324" s="68"/>
      <c r="AB324" s="67"/>
      <c r="AC324" s="73" t="s">
        <v>69</v>
      </c>
      <c r="AD324" s="73"/>
      <c r="AE324" s="68"/>
      <c r="AF324" s="67"/>
      <c r="AG324" s="73"/>
      <c r="AH324" s="73" t="s">
        <v>69</v>
      </c>
      <c r="AI324" s="68"/>
      <c r="AJ324" s="67"/>
      <c r="AK324" s="73" t="s">
        <v>69</v>
      </c>
      <c r="AL324" s="73"/>
      <c r="AM324" s="68"/>
      <c r="AN324" s="73" t="s">
        <v>69</v>
      </c>
      <c r="AO324" s="73"/>
      <c r="AP324" s="73"/>
      <c r="AQ324" s="68"/>
      <c r="AR324" s="67">
        <f t="shared" si="162"/>
        <v>88</v>
      </c>
      <c r="AS324" s="68" t="str">
        <f t="shared" si="163"/>
        <v>S</v>
      </c>
      <c r="AV324" s="49">
        <f t="shared" si="79"/>
        <v>0</v>
      </c>
      <c r="AW324" s="49">
        <f t="shared" si="44"/>
        <v>1</v>
      </c>
      <c r="AX324" s="49">
        <f t="shared" si="45"/>
        <v>0</v>
      </c>
      <c r="AY324" s="49">
        <f t="shared" si="46"/>
        <v>0</v>
      </c>
      <c r="AZ324" s="49">
        <f t="shared" si="47"/>
        <v>1</v>
      </c>
      <c r="BA324" s="49">
        <f t="shared" si="48"/>
        <v>0</v>
      </c>
      <c r="BB324" s="49">
        <f t="shared" si="49"/>
        <v>0</v>
      </c>
      <c r="BC324" s="49">
        <f t="shared" si="50"/>
        <v>0</v>
      </c>
      <c r="BD324" s="49">
        <f t="shared" si="51"/>
        <v>1</v>
      </c>
      <c r="BE324" s="49">
        <f t="shared" si="52"/>
        <v>0</v>
      </c>
      <c r="BF324" s="49">
        <f t="shared" si="53"/>
        <v>0</v>
      </c>
      <c r="BG324" s="49">
        <f t="shared" si="54"/>
        <v>0</v>
      </c>
      <c r="BH324" s="49">
        <f t="shared" si="55"/>
        <v>1</v>
      </c>
      <c r="BI324" s="49">
        <f t="shared" si="56"/>
        <v>0</v>
      </c>
      <c r="BJ324" s="49">
        <f t="shared" si="57"/>
        <v>0</v>
      </c>
      <c r="BK324" s="49">
        <f t="shared" si="58"/>
        <v>0</v>
      </c>
      <c r="BL324" s="49">
        <f t="shared" si="59"/>
        <v>1</v>
      </c>
      <c r="BM324" s="49">
        <f t="shared" si="60"/>
        <v>0</v>
      </c>
      <c r="BN324" s="49">
        <f t="shared" si="61"/>
        <v>0</v>
      </c>
      <c r="BO324" s="49">
        <f t="shared" si="62"/>
        <v>0</v>
      </c>
      <c r="BP324" s="49">
        <f t="shared" si="63"/>
        <v>0</v>
      </c>
      <c r="BQ324" s="49">
        <f t="shared" si="64"/>
        <v>1</v>
      </c>
      <c r="BR324" s="49">
        <f t="shared" si="65"/>
        <v>0</v>
      </c>
      <c r="BS324" s="49">
        <f t="shared" si="66"/>
        <v>0</v>
      </c>
      <c r="BT324" s="49">
        <f t="shared" si="67"/>
        <v>0</v>
      </c>
      <c r="BU324" s="49">
        <f t="shared" si="68"/>
        <v>0</v>
      </c>
      <c r="BV324" s="49">
        <f t="shared" si="69"/>
        <v>1</v>
      </c>
      <c r="BW324" s="49">
        <f t="shared" si="70"/>
        <v>0</v>
      </c>
      <c r="BX324" s="49">
        <f t="shared" si="71"/>
        <v>0</v>
      </c>
      <c r="BY324" s="49">
        <f t="shared" si="72"/>
        <v>1</v>
      </c>
      <c r="BZ324" s="49">
        <f t="shared" si="73"/>
        <v>0</v>
      </c>
      <c r="CA324" s="49">
        <f t="shared" si="74"/>
        <v>0</v>
      </c>
      <c r="CB324" s="49">
        <f t="shared" si="75"/>
        <v>1</v>
      </c>
      <c r="CC324" s="49">
        <f t="shared" si="76"/>
        <v>0</v>
      </c>
      <c r="CD324" s="49">
        <f t="shared" si="77"/>
        <v>0</v>
      </c>
      <c r="CE324" s="49">
        <f t="shared" si="78"/>
        <v>0</v>
      </c>
    </row>
    <row r="325" spans="1:83" ht="35.1" customHeight="1" x14ac:dyDescent="0.3">
      <c r="A325" s="123" t="str">
        <f t="shared" si="160"/>
        <v>3팀</v>
      </c>
      <c r="B325" s="69">
        <f t="shared" si="161"/>
        <v>319</v>
      </c>
      <c r="C325" s="120" t="str">
        <f>IF(VLOOKUP($B325,'1. 현장별 인원현황'!$C:$J,2,0)=0,"",VLOOKUP($B325,'1. 현장별 인원현황'!$C:$J,2,0))</f>
        <v xml:space="preserve"> [3.쿠팡] CHA6 FC(천안) Ph2 전기공사</v>
      </c>
      <c r="D325" s="70" t="str">
        <f>IF(VLOOKUP($B325,'1. 현장별 인원현황'!$C:$J,3,0)=0,"",VLOOKUP($B325,'1. 현장별 인원현황'!$C:$J,3,0))</f>
        <v>전성균</v>
      </c>
      <c r="E325" s="74" t="str">
        <f ca="1">IF(VLOOKUP($B325,'1. 현장별 인원현황'!$C:$J,4,0)=0,"",VLOOKUP($B325,'1. 현장별 인원현황'!$C:$J,4,0))</f>
        <v>58세</v>
      </c>
      <c r="F325" s="70" t="str">
        <f>IF(VLOOKUP($B325,'1. 현장별 인원현황'!$C:$J,7,0)=0,"",VLOOKUP($B325,'1. 현장별 인원현황'!$C:$J,7,0))</f>
        <v>기능공</v>
      </c>
      <c r="G325" s="72" t="str">
        <f>IF(VLOOKUP($B325,'1. 현장별 인원현황'!$C:$J,8,0)=0,"",VLOOKUP($B325,'1. 현장별 인원현황'!$C:$J,8,0))</f>
        <v>전공</v>
      </c>
      <c r="H325" s="67" t="s">
        <v>69</v>
      </c>
      <c r="I325" s="73"/>
      <c r="J325" s="73"/>
      <c r="K325" s="68"/>
      <c r="L325" s="67"/>
      <c r="M325" s="73" t="s">
        <v>69</v>
      </c>
      <c r="N325" s="73"/>
      <c r="O325" s="68"/>
      <c r="P325" s="67"/>
      <c r="Q325" s="73" t="s">
        <v>69</v>
      </c>
      <c r="R325" s="73"/>
      <c r="S325" s="68"/>
      <c r="T325" s="67"/>
      <c r="U325" s="73" t="s">
        <v>69</v>
      </c>
      <c r="V325" s="73"/>
      <c r="W325" s="68"/>
      <c r="X325" s="67"/>
      <c r="Y325" s="73" t="s">
        <v>69</v>
      </c>
      <c r="Z325" s="73"/>
      <c r="AA325" s="68"/>
      <c r="AB325" s="67" t="s">
        <v>69</v>
      </c>
      <c r="AC325" s="73"/>
      <c r="AD325" s="73"/>
      <c r="AE325" s="68"/>
      <c r="AF325" s="67"/>
      <c r="AG325" s="73" t="s">
        <v>69</v>
      </c>
      <c r="AH325" s="73"/>
      <c r="AI325" s="68"/>
      <c r="AJ325" s="67" t="s">
        <v>69</v>
      </c>
      <c r="AK325" s="73"/>
      <c r="AL325" s="73"/>
      <c r="AM325" s="68"/>
      <c r="AN325" s="73" t="s">
        <v>69</v>
      </c>
      <c r="AO325" s="73"/>
      <c r="AP325" s="73"/>
      <c r="AQ325" s="68"/>
      <c r="AR325" s="67">
        <f t="shared" si="162"/>
        <v>88</v>
      </c>
      <c r="AS325" s="68" t="str">
        <f t="shared" si="163"/>
        <v>S</v>
      </c>
      <c r="AV325" s="49">
        <f t="shared" si="79"/>
        <v>1</v>
      </c>
      <c r="AW325" s="49">
        <f t="shared" si="44"/>
        <v>0</v>
      </c>
      <c r="AX325" s="49">
        <f t="shared" si="45"/>
        <v>0</v>
      </c>
      <c r="AY325" s="49">
        <f t="shared" si="46"/>
        <v>0</v>
      </c>
      <c r="AZ325" s="49">
        <f t="shared" si="47"/>
        <v>0</v>
      </c>
      <c r="BA325" s="49">
        <f t="shared" si="48"/>
        <v>1</v>
      </c>
      <c r="BB325" s="49">
        <f t="shared" si="49"/>
        <v>0</v>
      </c>
      <c r="BC325" s="49">
        <f t="shared" si="50"/>
        <v>0</v>
      </c>
      <c r="BD325" s="49">
        <f t="shared" si="51"/>
        <v>0</v>
      </c>
      <c r="BE325" s="49">
        <f t="shared" si="52"/>
        <v>1</v>
      </c>
      <c r="BF325" s="49">
        <f t="shared" si="53"/>
        <v>0</v>
      </c>
      <c r="BG325" s="49">
        <f t="shared" si="54"/>
        <v>0</v>
      </c>
      <c r="BH325" s="49">
        <f t="shared" si="55"/>
        <v>0</v>
      </c>
      <c r="BI325" s="49">
        <f t="shared" si="56"/>
        <v>1</v>
      </c>
      <c r="BJ325" s="49">
        <f t="shared" si="57"/>
        <v>0</v>
      </c>
      <c r="BK325" s="49">
        <f t="shared" si="58"/>
        <v>0</v>
      </c>
      <c r="BL325" s="49">
        <f t="shared" si="59"/>
        <v>0</v>
      </c>
      <c r="BM325" s="49">
        <f t="shared" si="60"/>
        <v>1</v>
      </c>
      <c r="BN325" s="49">
        <f t="shared" si="61"/>
        <v>0</v>
      </c>
      <c r="BO325" s="49">
        <f t="shared" si="62"/>
        <v>0</v>
      </c>
      <c r="BP325" s="49">
        <f t="shared" si="63"/>
        <v>1</v>
      </c>
      <c r="BQ325" s="49">
        <f t="shared" si="64"/>
        <v>0</v>
      </c>
      <c r="BR325" s="49">
        <f t="shared" si="65"/>
        <v>0</v>
      </c>
      <c r="BS325" s="49">
        <f t="shared" si="66"/>
        <v>0</v>
      </c>
      <c r="BT325" s="49">
        <f t="shared" si="67"/>
        <v>0</v>
      </c>
      <c r="BU325" s="49">
        <f t="shared" si="68"/>
        <v>1</v>
      </c>
      <c r="BV325" s="49">
        <f t="shared" si="69"/>
        <v>0</v>
      </c>
      <c r="BW325" s="49">
        <f t="shared" si="70"/>
        <v>0</v>
      </c>
      <c r="BX325" s="49">
        <f t="shared" si="71"/>
        <v>1</v>
      </c>
      <c r="BY325" s="49">
        <f t="shared" si="72"/>
        <v>0</v>
      </c>
      <c r="BZ325" s="49">
        <f t="shared" si="73"/>
        <v>0</v>
      </c>
      <c r="CA325" s="49">
        <f t="shared" si="74"/>
        <v>0</v>
      </c>
      <c r="CB325" s="49">
        <f t="shared" si="75"/>
        <v>1</v>
      </c>
      <c r="CC325" s="49">
        <f t="shared" si="76"/>
        <v>0</v>
      </c>
      <c r="CD325" s="49">
        <f t="shared" si="77"/>
        <v>0</v>
      </c>
      <c r="CE325" s="49">
        <f t="shared" si="78"/>
        <v>0</v>
      </c>
    </row>
    <row r="326" spans="1:83" ht="35.1" customHeight="1" x14ac:dyDescent="0.3">
      <c r="A326" s="123" t="str">
        <f t="shared" si="160"/>
        <v>3팀</v>
      </c>
      <c r="B326" s="69">
        <f t="shared" si="161"/>
        <v>320</v>
      </c>
      <c r="C326" s="120" t="str">
        <f>IF(VLOOKUP($B326,'1. 현장별 인원현황'!$C:$J,2,0)=0,"",VLOOKUP($B326,'1. 현장별 인원현황'!$C:$J,2,0))</f>
        <v xml:space="preserve"> [3.쿠팡] CHA6 FC(천안) Ph2 전기공사</v>
      </c>
      <c r="D326" s="70" t="str">
        <f>IF(VLOOKUP($B326,'1. 현장별 인원현황'!$C:$J,3,0)=0,"",VLOOKUP($B326,'1. 현장별 인원현황'!$C:$J,3,0))</f>
        <v>강준</v>
      </c>
      <c r="E326" s="74" t="str">
        <f ca="1">IF(VLOOKUP($B326,'1. 현장별 인원현황'!$C:$J,4,0)=0,"",VLOOKUP($B326,'1. 현장별 인원현황'!$C:$J,4,0))</f>
        <v>25세</v>
      </c>
      <c r="F326" s="70" t="str">
        <f>IF(VLOOKUP($B326,'1. 현장별 인원현황'!$C:$J,7,0)=0,"",VLOOKUP($B326,'1. 현장별 인원현황'!$C:$J,7,0))</f>
        <v>기능공</v>
      </c>
      <c r="G326" s="72" t="str">
        <f>IF(VLOOKUP($B326,'1. 현장별 인원현황'!$C:$J,8,0)=0,"",VLOOKUP($B326,'1. 현장별 인원현황'!$C:$J,8,0))</f>
        <v>전공</v>
      </c>
      <c r="H326" s="67"/>
      <c r="I326" s="73"/>
      <c r="J326" s="73" t="s">
        <v>69</v>
      </c>
      <c r="K326" s="68"/>
      <c r="L326" s="67"/>
      <c r="M326" s="73" t="s">
        <v>69</v>
      </c>
      <c r="N326" s="73"/>
      <c r="O326" s="68"/>
      <c r="P326" s="67"/>
      <c r="Q326" s="73" t="s">
        <v>69</v>
      </c>
      <c r="R326" s="73"/>
      <c r="S326" s="68"/>
      <c r="T326" s="67"/>
      <c r="U326" s="73" t="s">
        <v>69</v>
      </c>
      <c r="V326" s="73"/>
      <c r="W326" s="68"/>
      <c r="X326" s="67"/>
      <c r="Y326" s="73" t="s">
        <v>69</v>
      </c>
      <c r="Z326" s="73"/>
      <c r="AA326" s="68"/>
      <c r="AB326" s="67"/>
      <c r="AC326" s="73" t="s">
        <v>69</v>
      </c>
      <c r="AD326" s="73"/>
      <c r="AE326" s="68"/>
      <c r="AF326" s="67" t="s">
        <v>69</v>
      </c>
      <c r="AG326" s="73"/>
      <c r="AH326" s="73"/>
      <c r="AI326" s="68"/>
      <c r="AJ326" s="67"/>
      <c r="AK326" s="73" t="s">
        <v>69</v>
      </c>
      <c r="AL326" s="73"/>
      <c r="AM326" s="68"/>
      <c r="AN326" s="73" t="s">
        <v>69</v>
      </c>
      <c r="AO326" s="73"/>
      <c r="AP326" s="73"/>
      <c r="AQ326" s="68"/>
      <c r="AR326" s="67">
        <f t="shared" si="162"/>
        <v>79</v>
      </c>
      <c r="AS326" s="68" t="str">
        <f t="shared" si="163"/>
        <v>A</v>
      </c>
      <c r="AV326" s="49">
        <f t="shared" si="79"/>
        <v>0</v>
      </c>
      <c r="AW326" s="49">
        <f t="shared" si="44"/>
        <v>0</v>
      </c>
      <c r="AX326" s="49">
        <f t="shared" si="45"/>
        <v>1</v>
      </c>
      <c r="AY326" s="49">
        <f t="shared" si="46"/>
        <v>0</v>
      </c>
      <c r="AZ326" s="49">
        <f t="shared" si="47"/>
        <v>0</v>
      </c>
      <c r="BA326" s="49">
        <f t="shared" si="48"/>
        <v>1</v>
      </c>
      <c r="BB326" s="49">
        <f t="shared" si="49"/>
        <v>0</v>
      </c>
      <c r="BC326" s="49">
        <f t="shared" si="50"/>
        <v>0</v>
      </c>
      <c r="BD326" s="49">
        <f t="shared" si="51"/>
        <v>0</v>
      </c>
      <c r="BE326" s="49">
        <f t="shared" si="52"/>
        <v>1</v>
      </c>
      <c r="BF326" s="49">
        <f t="shared" si="53"/>
        <v>0</v>
      </c>
      <c r="BG326" s="49">
        <f t="shared" si="54"/>
        <v>0</v>
      </c>
      <c r="BH326" s="49">
        <f t="shared" si="55"/>
        <v>0</v>
      </c>
      <c r="BI326" s="49">
        <f t="shared" si="56"/>
        <v>1</v>
      </c>
      <c r="BJ326" s="49">
        <f t="shared" si="57"/>
        <v>0</v>
      </c>
      <c r="BK326" s="49">
        <f t="shared" si="58"/>
        <v>0</v>
      </c>
      <c r="BL326" s="49">
        <f t="shared" si="59"/>
        <v>0</v>
      </c>
      <c r="BM326" s="49">
        <f t="shared" si="60"/>
        <v>1</v>
      </c>
      <c r="BN326" s="49">
        <f t="shared" si="61"/>
        <v>0</v>
      </c>
      <c r="BO326" s="49">
        <f t="shared" si="62"/>
        <v>0</v>
      </c>
      <c r="BP326" s="49">
        <f t="shared" si="63"/>
        <v>0</v>
      </c>
      <c r="BQ326" s="49">
        <f t="shared" si="64"/>
        <v>1</v>
      </c>
      <c r="BR326" s="49">
        <f t="shared" si="65"/>
        <v>0</v>
      </c>
      <c r="BS326" s="49">
        <f t="shared" si="66"/>
        <v>0</v>
      </c>
      <c r="BT326" s="49">
        <f t="shared" si="67"/>
        <v>1</v>
      </c>
      <c r="BU326" s="49">
        <f t="shared" si="68"/>
        <v>0</v>
      </c>
      <c r="BV326" s="49">
        <f t="shared" si="69"/>
        <v>0</v>
      </c>
      <c r="BW326" s="49">
        <f t="shared" si="70"/>
        <v>0</v>
      </c>
      <c r="BX326" s="49">
        <f t="shared" si="71"/>
        <v>0</v>
      </c>
      <c r="BY326" s="49">
        <f t="shared" si="72"/>
        <v>1</v>
      </c>
      <c r="BZ326" s="49">
        <f t="shared" si="73"/>
        <v>0</v>
      </c>
      <c r="CA326" s="49">
        <f t="shared" si="74"/>
        <v>0</v>
      </c>
      <c r="CB326" s="49">
        <f t="shared" si="75"/>
        <v>1</v>
      </c>
      <c r="CC326" s="49">
        <f t="shared" si="76"/>
        <v>0</v>
      </c>
      <c r="CD326" s="49">
        <f t="shared" si="77"/>
        <v>0</v>
      </c>
      <c r="CE326" s="49">
        <f t="shared" si="78"/>
        <v>0</v>
      </c>
    </row>
    <row r="327" spans="1:83" ht="35.1" customHeight="1" x14ac:dyDescent="0.3">
      <c r="A327" s="123" t="str">
        <f t="shared" ref="A327:A390" si="200">MID(C327,3,1)&amp;"팀"</f>
        <v>3팀</v>
      </c>
      <c r="B327" s="69">
        <f t="shared" ref="B327:B390" si="201">ROW()-6</f>
        <v>321</v>
      </c>
      <c r="C327" s="120" t="str">
        <f>IF(VLOOKUP($B327,'1. 현장별 인원현황'!$C:$J,2,0)=0,"",VLOOKUP($B327,'1. 현장별 인원현황'!$C:$J,2,0))</f>
        <v xml:space="preserve"> [3.쿠팡] CHA6 FC(천안) Ph2 전기공사</v>
      </c>
      <c r="D327" s="70" t="str">
        <f>IF(VLOOKUP($B327,'1. 현장별 인원현황'!$C:$J,3,0)=0,"",VLOOKUP($B327,'1. 현장별 인원현황'!$C:$J,3,0))</f>
        <v>황순기</v>
      </c>
      <c r="E327" s="74" t="str">
        <f ca="1">IF(VLOOKUP($B327,'1. 현장별 인원현황'!$C:$J,4,0)=0,"",VLOOKUP($B327,'1. 현장별 인원현황'!$C:$J,4,0))</f>
        <v>51세</v>
      </c>
      <c r="F327" s="70" t="str">
        <f>IF(VLOOKUP($B327,'1. 현장별 인원현황'!$C:$J,7,0)=0,"",VLOOKUP($B327,'1. 현장별 인원현황'!$C:$J,7,0))</f>
        <v>기능공</v>
      </c>
      <c r="G327" s="72" t="str">
        <f>IF(VLOOKUP($B327,'1. 현장별 인원현황'!$C:$J,8,0)=0,"",VLOOKUP($B327,'1. 현장별 인원현황'!$C:$J,8,0))</f>
        <v>전공</v>
      </c>
      <c r="H327" s="67" t="s">
        <v>69</v>
      </c>
      <c r="I327" s="73"/>
      <c r="J327" s="73"/>
      <c r="K327" s="68"/>
      <c r="L327" s="67"/>
      <c r="M327" s="73" t="s">
        <v>69</v>
      </c>
      <c r="N327" s="73"/>
      <c r="O327" s="68"/>
      <c r="P327" s="67" t="s">
        <v>69</v>
      </c>
      <c r="Q327" s="73"/>
      <c r="R327" s="73"/>
      <c r="S327" s="68"/>
      <c r="T327" s="67" t="s">
        <v>69</v>
      </c>
      <c r="U327" s="73"/>
      <c r="V327" s="73"/>
      <c r="W327" s="68"/>
      <c r="X327" s="67" t="s">
        <v>69</v>
      </c>
      <c r="Y327" s="73"/>
      <c r="Z327" s="73"/>
      <c r="AA327" s="68"/>
      <c r="AB327" s="67" t="s">
        <v>69</v>
      </c>
      <c r="AC327" s="73"/>
      <c r="AD327" s="73"/>
      <c r="AE327" s="68"/>
      <c r="AF327" s="67"/>
      <c r="AG327" s="73" t="s">
        <v>69</v>
      </c>
      <c r="AH327" s="73"/>
      <c r="AI327" s="68"/>
      <c r="AJ327" s="67"/>
      <c r="AK327" s="73" t="s">
        <v>69</v>
      </c>
      <c r="AL327" s="73"/>
      <c r="AM327" s="68"/>
      <c r="AN327" s="73" t="s">
        <v>69</v>
      </c>
      <c r="AO327" s="73"/>
      <c r="AP327" s="73"/>
      <c r="AQ327" s="68"/>
      <c r="AR327" s="67">
        <f t="shared" ref="AR327:AR390" si="202">SUMPRODUCT($H$5:$AQ$5,AV327:CE327)</f>
        <v>92</v>
      </c>
      <c r="AS327" s="68" t="str">
        <f t="shared" ref="AS327:AS390" si="203">IF(AR327&gt;85,"S",IF(AR327&gt;70,"A",IF(AR327&gt;50,"B",IF(AR327&gt;0,"C",""))))</f>
        <v>S</v>
      </c>
      <c r="AV327" s="49">
        <f t="shared" si="79"/>
        <v>1</v>
      </c>
      <c r="AW327" s="49">
        <f t="shared" si="44"/>
        <v>0</v>
      </c>
      <c r="AX327" s="49">
        <f t="shared" si="45"/>
        <v>0</v>
      </c>
      <c r="AY327" s="49">
        <f t="shared" si="46"/>
        <v>0</v>
      </c>
      <c r="AZ327" s="49">
        <f t="shared" si="47"/>
        <v>0</v>
      </c>
      <c r="BA327" s="49">
        <f t="shared" si="48"/>
        <v>1</v>
      </c>
      <c r="BB327" s="49">
        <f t="shared" si="49"/>
        <v>0</v>
      </c>
      <c r="BC327" s="49">
        <f t="shared" si="50"/>
        <v>0</v>
      </c>
      <c r="BD327" s="49">
        <f t="shared" si="51"/>
        <v>1</v>
      </c>
      <c r="BE327" s="49">
        <f t="shared" si="52"/>
        <v>0</v>
      </c>
      <c r="BF327" s="49">
        <f t="shared" si="53"/>
        <v>0</v>
      </c>
      <c r="BG327" s="49">
        <f t="shared" si="54"/>
        <v>0</v>
      </c>
      <c r="BH327" s="49">
        <f t="shared" si="55"/>
        <v>1</v>
      </c>
      <c r="BI327" s="49">
        <f t="shared" si="56"/>
        <v>0</v>
      </c>
      <c r="BJ327" s="49">
        <f t="shared" si="57"/>
        <v>0</v>
      </c>
      <c r="BK327" s="49">
        <f t="shared" si="58"/>
        <v>0</v>
      </c>
      <c r="BL327" s="49">
        <f t="shared" si="59"/>
        <v>1</v>
      </c>
      <c r="BM327" s="49">
        <f t="shared" si="60"/>
        <v>0</v>
      </c>
      <c r="BN327" s="49">
        <f t="shared" si="61"/>
        <v>0</v>
      </c>
      <c r="BO327" s="49">
        <f t="shared" si="62"/>
        <v>0</v>
      </c>
      <c r="BP327" s="49">
        <f t="shared" si="63"/>
        <v>1</v>
      </c>
      <c r="BQ327" s="49">
        <f t="shared" si="64"/>
        <v>0</v>
      </c>
      <c r="BR327" s="49">
        <f t="shared" si="65"/>
        <v>0</v>
      </c>
      <c r="BS327" s="49">
        <f t="shared" si="66"/>
        <v>0</v>
      </c>
      <c r="BT327" s="49">
        <f t="shared" si="67"/>
        <v>0</v>
      </c>
      <c r="BU327" s="49">
        <f t="shared" si="68"/>
        <v>1</v>
      </c>
      <c r="BV327" s="49">
        <f t="shared" si="69"/>
        <v>0</v>
      </c>
      <c r="BW327" s="49">
        <f t="shared" si="70"/>
        <v>0</v>
      </c>
      <c r="BX327" s="49">
        <f t="shared" si="71"/>
        <v>0</v>
      </c>
      <c r="BY327" s="49">
        <f t="shared" si="72"/>
        <v>1</v>
      </c>
      <c r="BZ327" s="49">
        <f t="shared" si="73"/>
        <v>0</v>
      </c>
      <c r="CA327" s="49">
        <f t="shared" si="74"/>
        <v>0</v>
      </c>
      <c r="CB327" s="49">
        <f t="shared" si="75"/>
        <v>1</v>
      </c>
      <c r="CC327" s="49">
        <f t="shared" si="76"/>
        <v>0</v>
      </c>
      <c r="CD327" s="49">
        <f t="shared" si="77"/>
        <v>0</v>
      </c>
      <c r="CE327" s="49">
        <f t="shared" si="78"/>
        <v>0</v>
      </c>
    </row>
    <row r="328" spans="1:83" ht="35.1" customHeight="1" x14ac:dyDescent="0.3">
      <c r="A328" s="123" t="str">
        <f t="shared" si="200"/>
        <v>3팀</v>
      </c>
      <c r="B328" s="69">
        <f t="shared" si="201"/>
        <v>322</v>
      </c>
      <c r="C328" s="120" t="str">
        <f>IF(VLOOKUP($B328,'1. 현장별 인원현황'!$C:$J,2,0)=0,"",VLOOKUP($B328,'1. 현장별 인원현황'!$C:$J,2,0))</f>
        <v xml:space="preserve"> [3.쿠팡] DAE3,7,8 FC(대구) Ph2 전기공사</v>
      </c>
      <c r="D328" s="70" t="str">
        <f>IF(VLOOKUP($B328,'1. 현장별 인원현황'!$C:$J,3,0)=0,"",VLOOKUP($B328,'1. 현장별 인원현황'!$C:$J,3,0))</f>
        <v>김영산</v>
      </c>
      <c r="E328" s="74" t="str">
        <f ca="1">IF(VLOOKUP($B328,'1. 현장별 인원현황'!$C:$J,4,0)=0,"",VLOOKUP($B328,'1. 현장별 인원현황'!$C:$J,4,0))</f>
        <v>42세</v>
      </c>
      <c r="F328" s="70" t="str">
        <f>IF(VLOOKUP($B328,'1. 현장별 인원현황'!$C:$J,7,0)=0,"",VLOOKUP($B328,'1. 현장별 인원현황'!$C:$J,7,0))</f>
        <v>공무</v>
      </c>
      <c r="G328" s="72" t="str">
        <f>IF(VLOOKUP($B328,'1. 현장별 인원현황'!$C:$J,8,0)=0,"",VLOOKUP($B328,'1. 현장별 인원현황'!$C:$J,8,0))</f>
        <v>과장</v>
      </c>
      <c r="H328" s="67" t="s">
        <v>69</v>
      </c>
      <c r="I328" s="73"/>
      <c r="J328" s="73"/>
      <c r="K328" s="68"/>
      <c r="L328" s="67" t="s">
        <v>69</v>
      </c>
      <c r="M328" s="73"/>
      <c r="N328" s="73"/>
      <c r="O328" s="68"/>
      <c r="P328" s="67" t="s">
        <v>69</v>
      </c>
      <c r="Q328" s="73"/>
      <c r="R328" s="73"/>
      <c r="S328" s="68"/>
      <c r="T328" s="67" t="s">
        <v>69</v>
      </c>
      <c r="U328" s="73"/>
      <c r="V328" s="73"/>
      <c r="W328" s="68"/>
      <c r="X328" s="67" t="s">
        <v>69</v>
      </c>
      <c r="Y328" s="73"/>
      <c r="Z328" s="73"/>
      <c r="AA328" s="68"/>
      <c r="AB328" s="67" t="s">
        <v>69</v>
      </c>
      <c r="AC328" s="73"/>
      <c r="AD328" s="73"/>
      <c r="AE328" s="68"/>
      <c r="AF328" s="67" t="s">
        <v>69</v>
      </c>
      <c r="AG328" s="73"/>
      <c r="AH328" s="73"/>
      <c r="AI328" s="68"/>
      <c r="AJ328" s="67" t="s">
        <v>69</v>
      </c>
      <c r="AK328" s="73"/>
      <c r="AL328" s="73"/>
      <c r="AM328" s="68"/>
      <c r="AN328" s="73" t="s">
        <v>69</v>
      </c>
      <c r="AO328" s="73"/>
      <c r="AP328" s="73"/>
      <c r="AQ328" s="68"/>
      <c r="AR328" s="67">
        <f t="shared" si="202"/>
        <v>100</v>
      </c>
      <c r="AS328" s="68" t="str">
        <f t="shared" si="203"/>
        <v>S</v>
      </c>
      <c r="AV328" s="49">
        <f t="shared" si="79"/>
        <v>1</v>
      </c>
      <c r="AW328" s="49">
        <f t="shared" si="44"/>
        <v>0</v>
      </c>
      <c r="AX328" s="49">
        <f t="shared" si="45"/>
        <v>0</v>
      </c>
      <c r="AY328" s="49">
        <f t="shared" si="46"/>
        <v>0</v>
      </c>
      <c r="AZ328" s="49">
        <f t="shared" si="47"/>
        <v>1</v>
      </c>
      <c r="BA328" s="49">
        <f t="shared" si="48"/>
        <v>0</v>
      </c>
      <c r="BB328" s="49">
        <f t="shared" si="49"/>
        <v>0</v>
      </c>
      <c r="BC328" s="49">
        <f t="shared" si="50"/>
        <v>0</v>
      </c>
      <c r="BD328" s="49">
        <f t="shared" si="51"/>
        <v>1</v>
      </c>
      <c r="BE328" s="49">
        <f t="shared" si="52"/>
        <v>0</v>
      </c>
      <c r="BF328" s="49">
        <f t="shared" si="53"/>
        <v>0</v>
      </c>
      <c r="BG328" s="49">
        <f t="shared" si="54"/>
        <v>0</v>
      </c>
      <c r="BH328" s="49">
        <f t="shared" si="55"/>
        <v>1</v>
      </c>
      <c r="BI328" s="49">
        <f t="shared" si="56"/>
        <v>0</v>
      </c>
      <c r="BJ328" s="49">
        <f t="shared" si="57"/>
        <v>0</v>
      </c>
      <c r="BK328" s="49">
        <f t="shared" si="58"/>
        <v>0</v>
      </c>
      <c r="BL328" s="49">
        <f t="shared" si="59"/>
        <v>1</v>
      </c>
      <c r="BM328" s="49">
        <f t="shared" si="60"/>
        <v>0</v>
      </c>
      <c r="BN328" s="49">
        <f t="shared" si="61"/>
        <v>0</v>
      </c>
      <c r="BO328" s="49">
        <f t="shared" si="62"/>
        <v>0</v>
      </c>
      <c r="BP328" s="49">
        <f t="shared" si="63"/>
        <v>1</v>
      </c>
      <c r="BQ328" s="49">
        <f t="shared" si="64"/>
        <v>0</v>
      </c>
      <c r="BR328" s="49">
        <f t="shared" si="65"/>
        <v>0</v>
      </c>
      <c r="BS328" s="49">
        <f t="shared" si="66"/>
        <v>0</v>
      </c>
      <c r="BT328" s="49">
        <f t="shared" si="67"/>
        <v>1</v>
      </c>
      <c r="BU328" s="49">
        <f t="shared" si="68"/>
        <v>0</v>
      </c>
      <c r="BV328" s="49">
        <f t="shared" si="69"/>
        <v>0</v>
      </c>
      <c r="BW328" s="49">
        <f t="shared" si="70"/>
        <v>0</v>
      </c>
      <c r="BX328" s="49">
        <f t="shared" si="71"/>
        <v>1</v>
      </c>
      <c r="BY328" s="49">
        <f t="shared" si="72"/>
        <v>0</v>
      </c>
      <c r="BZ328" s="49">
        <f t="shared" si="73"/>
        <v>0</v>
      </c>
      <c r="CA328" s="49">
        <f t="shared" si="74"/>
        <v>0</v>
      </c>
      <c r="CB328" s="49">
        <f t="shared" si="75"/>
        <v>1</v>
      </c>
      <c r="CC328" s="49">
        <f t="shared" si="76"/>
        <v>0</v>
      </c>
      <c r="CD328" s="49">
        <f t="shared" si="77"/>
        <v>0</v>
      </c>
      <c r="CE328" s="49">
        <f t="shared" si="78"/>
        <v>0</v>
      </c>
    </row>
    <row r="329" spans="1:83" ht="35.1" customHeight="1" x14ac:dyDescent="0.3">
      <c r="A329" s="123" t="str">
        <f t="shared" si="200"/>
        <v>3팀</v>
      </c>
      <c r="B329" s="69">
        <f t="shared" si="201"/>
        <v>323</v>
      </c>
      <c r="C329" s="120" t="str">
        <f>IF(VLOOKUP($B329,'1. 현장별 인원현황'!$C:$J,2,0)=0,"",VLOOKUP($B329,'1. 현장별 인원현황'!$C:$J,2,0))</f>
        <v xml:space="preserve"> [3.쿠팡] DAE3,7,8 FC(대구) Ph2 전기공사</v>
      </c>
      <c r="D329" s="70" t="str">
        <f>IF(VLOOKUP($B329,'1. 현장별 인원현황'!$C:$J,3,0)=0,"",VLOOKUP($B329,'1. 현장별 인원현황'!$C:$J,3,0))</f>
        <v>오석원</v>
      </c>
      <c r="E329" s="74" t="str">
        <f ca="1">IF(VLOOKUP($B329,'1. 현장별 인원현황'!$C:$J,4,0)=0,"",VLOOKUP($B329,'1. 현장별 인원현황'!$C:$J,4,0))</f>
        <v>52세</v>
      </c>
      <c r="F329" s="70" t="str">
        <f>IF(VLOOKUP($B329,'1. 현장별 인원현황'!$C:$J,7,0)=0,"",VLOOKUP($B329,'1. 현장별 인원현황'!$C:$J,7,0))</f>
        <v>안전관리자</v>
      </c>
      <c r="G329" s="72" t="str">
        <f>IF(VLOOKUP($B329,'1. 현장별 인원현황'!$C:$J,8,0)=0,"",VLOOKUP($B329,'1. 현장별 인원현황'!$C:$J,8,0))</f>
        <v>부장</v>
      </c>
      <c r="H329" s="67" t="s">
        <v>69</v>
      </c>
      <c r="I329" s="73"/>
      <c r="J329" s="73"/>
      <c r="K329" s="68"/>
      <c r="L329" s="67" t="s">
        <v>69</v>
      </c>
      <c r="M329" s="73"/>
      <c r="N329" s="73"/>
      <c r="O329" s="68"/>
      <c r="P329" s="67" t="s">
        <v>69</v>
      </c>
      <c r="Q329" s="73"/>
      <c r="R329" s="73"/>
      <c r="S329" s="68"/>
      <c r="T329" s="67" t="s">
        <v>69</v>
      </c>
      <c r="U329" s="73"/>
      <c r="V329" s="73"/>
      <c r="W329" s="68"/>
      <c r="X329" s="67" t="s">
        <v>69</v>
      </c>
      <c r="Y329" s="73"/>
      <c r="Z329" s="73"/>
      <c r="AA329" s="68"/>
      <c r="AB329" s="67" t="s">
        <v>69</v>
      </c>
      <c r="AC329" s="73"/>
      <c r="AD329" s="73"/>
      <c r="AE329" s="68"/>
      <c r="AF329" s="67" t="s">
        <v>69</v>
      </c>
      <c r="AG329" s="73"/>
      <c r="AH329" s="73"/>
      <c r="AI329" s="68"/>
      <c r="AJ329" s="67" t="s">
        <v>69</v>
      </c>
      <c r="AK329" s="73"/>
      <c r="AL329" s="73"/>
      <c r="AM329" s="68"/>
      <c r="AN329" s="73" t="s">
        <v>69</v>
      </c>
      <c r="AO329" s="73"/>
      <c r="AP329" s="73"/>
      <c r="AQ329" s="68"/>
      <c r="AR329" s="67">
        <f t="shared" si="202"/>
        <v>100</v>
      </c>
      <c r="AS329" s="68" t="str">
        <f t="shared" si="203"/>
        <v>S</v>
      </c>
      <c r="AV329" s="49">
        <f t="shared" si="79"/>
        <v>1</v>
      </c>
      <c r="AW329" s="49">
        <f t="shared" si="44"/>
        <v>0</v>
      </c>
      <c r="AX329" s="49">
        <f t="shared" si="45"/>
        <v>0</v>
      </c>
      <c r="AY329" s="49">
        <f t="shared" si="46"/>
        <v>0</v>
      </c>
      <c r="AZ329" s="49">
        <f t="shared" si="47"/>
        <v>1</v>
      </c>
      <c r="BA329" s="49">
        <f t="shared" si="48"/>
        <v>0</v>
      </c>
      <c r="BB329" s="49">
        <f t="shared" si="49"/>
        <v>0</v>
      </c>
      <c r="BC329" s="49">
        <f t="shared" si="50"/>
        <v>0</v>
      </c>
      <c r="BD329" s="49">
        <f t="shared" si="51"/>
        <v>1</v>
      </c>
      <c r="BE329" s="49">
        <f t="shared" si="52"/>
        <v>0</v>
      </c>
      <c r="BF329" s="49">
        <f t="shared" si="53"/>
        <v>0</v>
      </c>
      <c r="BG329" s="49">
        <f t="shared" si="54"/>
        <v>0</v>
      </c>
      <c r="BH329" s="49">
        <f t="shared" si="55"/>
        <v>1</v>
      </c>
      <c r="BI329" s="49">
        <f t="shared" si="56"/>
        <v>0</v>
      </c>
      <c r="BJ329" s="49">
        <f t="shared" si="57"/>
        <v>0</v>
      </c>
      <c r="BK329" s="49">
        <f t="shared" si="58"/>
        <v>0</v>
      </c>
      <c r="BL329" s="49">
        <f t="shared" si="59"/>
        <v>1</v>
      </c>
      <c r="BM329" s="49">
        <f t="shared" si="60"/>
        <v>0</v>
      </c>
      <c r="BN329" s="49">
        <f t="shared" si="61"/>
        <v>0</v>
      </c>
      <c r="BO329" s="49">
        <f t="shared" si="62"/>
        <v>0</v>
      </c>
      <c r="BP329" s="49">
        <f t="shared" si="63"/>
        <v>1</v>
      </c>
      <c r="BQ329" s="49">
        <f t="shared" si="64"/>
        <v>0</v>
      </c>
      <c r="BR329" s="49">
        <f t="shared" si="65"/>
        <v>0</v>
      </c>
      <c r="BS329" s="49">
        <f t="shared" si="66"/>
        <v>0</v>
      </c>
      <c r="BT329" s="49">
        <f t="shared" si="67"/>
        <v>1</v>
      </c>
      <c r="BU329" s="49">
        <f t="shared" si="68"/>
        <v>0</v>
      </c>
      <c r="BV329" s="49">
        <f t="shared" si="69"/>
        <v>0</v>
      </c>
      <c r="BW329" s="49">
        <f t="shared" si="70"/>
        <v>0</v>
      </c>
      <c r="BX329" s="49">
        <f t="shared" si="71"/>
        <v>1</v>
      </c>
      <c r="BY329" s="49">
        <f t="shared" si="72"/>
        <v>0</v>
      </c>
      <c r="BZ329" s="49">
        <f t="shared" si="73"/>
        <v>0</v>
      </c>
      <c r="CA329" s="49">
        <f t="shared" si="74"/>
        <v>0</v>
      </c>
      <c r="CB329" s="49">
        <f t="shared" si="75"/>
        <v>1</v>
      </c>
      <c r="CC329" s="49">
        <f t="shared" si="76"/>
        <v>0</v>
      </c>
      <c r="CD329" s="49">
        <f t="shared" si="77"/>
        <v>0</v>
      </c>
      <c r="CE329" s="49">
        <f t="shared" si="78"/>
        <v>0</v>
      </c>
    </row>
    <row r="330" spans="1:83" ht="35.1" customHeight="1" x14ac:dyDescent="0.3">
      <c r="A330" s="123" t="str">
        <f t="shared" si="200"/>
        <v>3팀</v>
      </c>
      <c r="B330" s="69">
        <f t="shared" si="201"/>
        <v>324</v>
      </c>
      <c r="C330" s="120" t="str">
        <f>IF(VLOOKUP($B330,'1. 현장별 인원현황'!$C:$J,2,0)=0,"",VLOOKUP($B330,'1. 현장별 인원현황'!$C:$J,2,0))</f>
        <v xml:space="preserve"> [3.쿠팡] DAE3,7,8 FC(대구) Ph2 전기공사</v>
      </c>
      <c r="D330" s="70" t="str">
        <f>IF(VLOOKUP($B330,'1. 현장별 인원현황'!$C:$J,3,0)=0,"",VLOOKUP($B330,'1. 현장별 인원현황'!$C:$J,3,0))</f>
        <v>권운선</v>
      </c>
      <c r="E330" s="74" t="str">
        <f ca="1">IF(VLOOKUP($B330,'1. 현장별 인원현황'!$C:$J,4,0)=0,"",VLOOKUP($B330,'1. 현장별 인원현황'!$C:$J,4,0))</f>
        <v>49세</v>
      </c>
      <c r="F330" s="70" t="str">
        <f>IF(VLOOKUP($B330,'1. 현장별 인원현황'!$C:$J,7,0)=0,"",VLOOKUP($B330,'1. 현장별 인원현황'!$C:$J,7,0))</f>
        <v>안전관리자</v>
      </c>
      <c r="G330" s="72" t="str">
        <f>IF(VLOOKUP($B330,'1. 현장별 인원현황'!$C:$J,8,0)=0,"",VLOOKUP($B330,'1. 현장별 인원현황'!$C:$J,8,0))</f>
        <v>대리</v>
      </c>
      <c r="H330" s="67" t="s">
        <v>69</v>
      </c>
      <c r="I330" s="73"/>
      <c r="J330" s="73"/>
      <c r="K330" s="68"/>
      <c r="L330" s="67" t="s">
        <v>69</v>
      </c>
      <c r="M330" s="73"/>
      <c r="N330" s="73"/>
      <c r="O330" s="68"/>
      <c r="P330" s="67" t="s">
        <v>69</v>
      </c>
      <c r="Q330" s="73"/>
      <c r="R330" s="73"/>
      <c r="S330" s="68"/>
      <c r="T330" s="67"/>
      <c r="U330" s="73" t="s">
        <v>69</v>
      </c>
      <c r="V330" s="73"/>
      <c r="W330" s="68"/>
      <c r="X330" s="67" t="s">
        <v>69</v>
      </c>
      <c r="Y330" s="73"/>
      <c r="Z330" s="73"/>
      <c r="AA330" s="68"/>
      <c r="AB330" s="67" t="s">
        <v>69</v>
      </c>
      <c r="AC330" s="73"/>
      <c r="AD330" s="73"/>
      <c r="AE330" s="68"/>
      <c r="AF330" s="67"/>
      <c r="AG330" s="73" t="s">
        <v>69</v>
      </c>
      <c r="AH330" s="73"/>
      <c r="AI330" s="68"/>
      <c r="AJ330" s="67" t="s">
        <v>69</v>
      </c>
      <c r="AK330" s="73"/>
      <c r="AL330" s="73"/>
      <c r="AM330" s="68"/>
      <c r="AN330" s="73" t="s">
        <v>69</v>
      </c>
      <c r="AO330" s="73"/>
      <c r="AP330" s="73"/>
      <c r="AQ330" s="68"/>
      <c r="AR330" s="67">
        <f t="shared" si="202"/>
        <v>96</v>
      </c>
      <c r="AS330" s="68" t="str">
        <f t="shared" si="203"/>
        <v>S</v>
      </c>
      <c r="AV330" s="49">
        <f t="shared" si="79"/>
        <v>1</v>
      </c>
      <c r="AW330" s="49">
        <f t="shared" si="44"/>
        <v>0</v>
      </c>
      <c r="AX330" s="49">
        <f t="shared" si="45"/>
        <v>0</v>
      </c>
      <c r="AY330" s="49">
        <f t="shared" si="46"/>
        <v>0</v>
      </c>
      <c r="AZ330" s="49">
        <f t="shared" si="47"/>
        <v>1</v>
      </c>
      <c r="BA330" s="49">
        <f t="shared" si="48"/>
        <v>0</v>
      </c>
      <c r="BB330" s="49">
        <f t="shared" si="49"/>
        <v>0</v>
      </c>
      <c r="BC330" s="49">
        <f t="shared" si="50"/>
        <v>0</v>
      </c>
      <c r="BD330" s="49">
        <f t="shared" si="51"/>
        <v>1</v>
      </c>
      <c r="BE330" s="49">
        <f t="shared" si="52"/>
        <v>0</v>
      </c>
      <c r="BF330" s="49">
        <f t="shared" si="53"/>
        <v>0</v>
      </c>
      <c r="BG330" s="49">
        <f t="shared" si="54"/>
        <v>0</v>
      </c>
      <c r="BH330" s="49">
        <f t="shared" si="55"/>
        <v>0</v>
      </c>
      <c r="BI330" s="49">
        <f t="shared" si="56"/>
        <v>1</v>
      </c>
      <c r="BJ330" s="49">
        <f t="shared" si="57"/>
        <v>0</v>
      </c>
      <c r="BK330" s="49">
        <f t="shared" si="58"/>
        <v>0</v>
      </c>
      <c r="BL330" s="49">
        <f t="shared" si="59"/>
        <v>1</v>
      </c>
      <c r="BM330" s="49">
        <f t="shared" si="60"/>
        <v>0</v>
      </c>
      <c r="BN330" s="49">
        <f t="shared" si="61"/>
        <v>0</v>
      </c>
      <c r="BO330" s="49">
        <f t="shared" si="62"/>
        <v>0</v>
      </c>
      <c r="BP330" s="49">
        <f t="shared" si="63"/>
        <v>1</v>
      </c>
      <c r="BQ330" s="49">
        <f t="shared" si="64"/>
        <v>0</v>
      </c>
      <c r="BR330" s="49">
        <f t="shared" si="65"/>
        <v>0</v>
      </c>
      <c r="BS330" s="49">
        <f t="shared" si="66"/>
        <v>0</v>
      </c>
      <c r="BT330" s="49">
        <f t="shared" si="67"/>
        <v>0</v>
      </c>
      <c r="BU330" s="49">
        <f t="shared" si="68"/>
        <v>1</v>
      </c>
      <c r="BV330" s="49">
        <f t="shared" si="69"/>
        <v>0</v>
      </c>
      <c r="BW330" s="49">
        <f t="shared" si="70"/>
        <v>0</v>
      </c>
      <c r="BX330" s="49">
        <f t="shared" si="71"/>
        <v>1</v>
      </c>
      <c r="BY330" s="49">
        <f t="shared" si="72"/>
        <v>0</v>
      </c>
      <c r="BZ330" s="49">
        <f t="shared" si="73"/>
        <v>0</v>
      </c>
      <c r="CA330" s="49">
        <f t="shared" si="74"/>
        <v>0</v>
      </c>
      <c r="CB330" s="49">
        <f t="shared" si="75"/>
        <v>1</v>
      </c>
      <c r="CC330" s="49">
        <f t="shared" si="76"/>
        <v>0</v>
      </c>
      <c r="CD330" s="49">
        <f t="shared" si="77"/>
        <v>0</v>
      </c>
      <c r="CE330" s="49">
        <f t="shared" si="78"/>
        <v>0</v>
      </c>
    </row>
    <row r="331" spans="1:83" ht="35.1" customHeight="1" x14ac:dyDescent="0.3">
      <c r="A331" s="123" t="str">
        <f t="shared" si="200"/>
        <v>3팀</v>
      </c>
      <c r="B331" s="69">
        <f t="shared" si="201"/>
        <v>325</v>
      </c>
      <c r="C331" s="120" t="str">
        <f>IF(VLOOKUP($B331,'1. 현장별 인원현황'!$C:$J,2,0)=0,"",VLOOKUP($B331,'1. 현장별 인원현황'!$C:$J,2,0))</f>
        <v xml:space="preserve"> [3.쿠팡] DAE3,7,8 FC(대구) Ph2 전기공사</v>
      </c>
      <c r="D331" s="70" t="str">
        <f>IF(VLOOKUP($B331,'1. 현장별 인원현황'!$C:$J,3,0)=0,"",VLOOKUP($B331,'1. 현장별 인원현황'!$C:$J,3,0))</f>
        <v>최형길</v>
      </c>
      <c r="E331" s="74" t="str">
        <f ca="1">IF(VLOOKUP($B331,'1. 현장별 인원현황'!$C:$J,4,0)=0,"",VLOOKUP($B331,'1. 현장별 인원현황'!$C:$J,4,0))</f>
        <v>61세</v>
      </c>
      <c r="F331" s="70" t="str">
        <f>IF(VLOOKUP($B331,'1. 현장별 인원현황'!$C:$J,7,0)=0,"",VLOOKUP($B331,'1. 현장별 인원현황'!$C:$J,7,0))</f>
        <v>공사</v>
      </c>
      <c r="G331" s="72" t="str">
        <f>IF(VLOOKUP($B331,'1. 현장별 인원현황'!$C:$J,8,0)=0,"",VLOOKUP($B331,'1. 현장별 인원현황'!$C:$J,8,0))</f>
        <v>차장</v>
      </c>
      <c r="H331" s="67" t="s">
        <v>69</v>
      </c>
      <c r="I331" s="73"/>
      <c r="J331" s="73"/>
      <c r="K331" s="68"/>
      <c r="L331" s="67" t="s">
        <v>69</v>
      </c>
      <c r="M331" s="73"/>
      <c r="N331" s="73"/>
      <c r="O331" s="68"/>
      <c r="P331" s="67" t="s">
        <v>69</v>
      </c>
      <c r="Q331" s="73"/>
      <c r="R331" s="73"/>
      <c r="S331" s="68"/>
      <c r="T331" s="67"/>
      <c r="U331" s="73" t="s">
        <v>69</v>
      </c>
      <c r="V331" s="73"/>
      <c r="W331" s="68"/>
      <c r="X331" s="67" t="s">
        <v>69</v>
      </c>
      <c r="Y331" s="73"/>
      <c r="Z331" s="73"/>
      <c r="AA331" s="68"/>
      <c r="AB331" s="67" t="s">
        <v>69</v>
      </c>
      <c r="AC331" s="73"/>
      <c r="AD331" s="73"/>
      <c r="AE331" s="68"/>
      <c r="AF331" s="67"/>
      <c r="AG331" s="73" t="s">
        <v>69</v>
      </c>
      <c r="AH331" s="73"/>
      <c r="AI331" s="68"/>
      <c r="AJ331" s="67" t="s">
        <v>69</v>
      </c>
      <c r="AK331" s="73"/>
      <c r="AL331" s="73"/>
      <c r="AM331" s="68"/>
      <c r="AN331" s="73" t="s">
        <v>69</v>
      </c>
      <c r="AO331" s="73"/>
      <c r="AP331" s="73"/>
      <c r="AQ331" s="68"/>
      <c r="AR331" s="67">
        <f t="shared" si="202"/>
        <v>96</v>
      </c>
      <c r="AS331" s="68" t="str">
        <f t="shared" si="203"/>
        <v>S</v>
      </c>
      <c r="AV331" s="49">
        <f t="shared" si="79"/>
        <v>1</v>
      </c>
      <c r="AW331" s="49">
        <f t="shared" si="44"/>
        <v>0</v>
      </c>
      <c r="AX331" s="49">
        <f t="shared" si="45"/>
        <v>0</v>
      </c>
      <c r="AY331" s="49">
        <f t="shared" si="46"/>
        <v>0</v>
      </c>
      <c r="AZ331" s="49">
        <f t="shared" si="47"/>
        <v>1</v>
      </c>
      <c r="BA331" s="49">
        <f t="shared" si="48"/>
        <v>0</v>
      </c>
      <c r="BB331" s="49">
        <f t="shared" si="49"/>
        <v>0</v>
      </c>
      <c r="BC331" s="49">
        <f t="shared" si="50"/>
        <v>0</v>
      </c>
      <c r="BD331" s="49">
        <f t="shared" si="51"/>
        <v>1</v>
      </c>
      <c r="BE331" s="49">
        <f t="shared" si="52"/>
        <v>0</v>
      </c>
      <c r="BF331" s="49">
        <f t="shared" si="53"/>
        <v>0</v>
      </c>
      <c r="BG331" s="49">
        <f t="shared" si="54"/>
        <v>0</v>
      </c>
      <c r="BH331" s="49">
        <f t="shared" si="55"/>
        <v>0</v>
      </c>
      <c r="BI331" s="49">
        <f t="shared" si="56"/>
        <v>1</v>
      </c>
      <c r="BJ331" s="49">
        <f t="shared" si="57"/>
        <v>0</v>
      </c>
      <c r="BK331" s="49">
        <f t="shared" si="58"/>
        <v>0</v>
      </c>
      <c r="BL331" s="49">
        <f t="shared" si="59"/>
        <v>1</v>
      </c>
      <c r="BM331" s="49">
        <f t="shared" si="60"/>
        <v>0</v>
      </c>
      <c r="BN331" s="49">
        <f t="shared" si="61"/>
        <v>0</v>
      </c>
      <c r="BO331" s="49">
        <f t="shared" si="62"/>
        <v>0</v>
      </c>
      <c r="BP331" s="49">
        <f t="shared" si="63"/>
        <v>1</v>
      </c>
      <c r="BQ331" s="49">
        <f t="shared" si="64"/>
        <v>0</v>
      </c>
      <c r="BR331" s="49">
        <f t="shared" si="65"/>
        <v>0</v>
      </c>
      <c r="BS331" s="49">
        <f t="shared" si="66"/>
        <v>0</v>
      </c>
      <c r="BT331" s="49">
        <f t="shared" si="67"/>
        <v>0</v>
      </c>
      <c r="BU331" s="49">
        <f t="shared" si="68"/>
        <v>1</v>
      </c>
      <c r="BV331" s="49">
        <f t="shared" si="69"/>
        <v>0</v>
      </c>
      <c r="BW331" s="49">
        <f t="shared" si="70"/>
        <v>0</v>
      </c>
      <c r="BX331" s="49">
        <f t="shared" si="71"/>
        <v>1</v>
      </c>
      <c r="BY331" s="49">
        <f t="shared" si="72"/>
        <v>0</v>
      </c>
      <c r="BZ331" s="49">
        <f t="shared" si="73"/>
        <v>0</v>
      </c>
      <c r="CA331" s="49">
        <f t="shared" si="74"/>
        <v>0</v>
      </c>
      <c r="CB331" s="49">
        <f t="shared" si="75"/>
        <v>1</v>
      </c>
      <c r="CC331" s="49">
        <f t="shared" si="76"/>
        <v>0</v>
      </c>
      <c r="CD331" s="49">
        <f t="shared" si="77"/>
        <v>0</v>
      </c>
      <c r="CE331" s="49">
        <f t="shared" si="78"/>
        <v>0</v>
      </c>
    </row>
    <row r="332" spans="1:83" ht="35.1" customHeight="1" x14ac:dyDescent="0.3">
      <c r="A332" s="123" t="str">
        <f t="shared" si="200"/>
        <v>3팀</v>
      </c>
      <c r="B332" s="69">
        <f t="shared" si="201"/>
        <v>326</v>
      </c>
      <c r="C332" s="120" t="str">
        <f>IF(VLOOKUP($B332,'1. 현장별 인원현황'!$C:$J,2,0)=0,"",VLOOKUP($B332,'1. 현장별 인원현황'!$C:$J,2,0))</f>
        <v xml:space="preserve"> [3.쿠팡] DAE3,7,8 FC(대구) Ph2 전기공사</v>
      </c>
      <c r="D332" s="70" t="str">
        <f>IF(VLOOKUP($B332,'1. 현장별 인원현황'!$C:$J,3,0)=0,"",VLOOKUP($B332,'1. 현장별 인원현황'!$C:$J,3,0))</f>
        <v>송철옥</v>
      </c>
      <c r="E332" s="74" t="str">
        <f ca="1">IF(VLOOKUP($B332,'1. 현장별 인원현황'!$C:$J,4,0)=0,"",VLOOKUP($B332,'1. 현장별 인원현황'!$C:$J,4,0))</f>
        <v>62세</v>
      </c>
      <c r="F332" s="70" t="str">
        <f>IF(VLOOKUP($B332,'1. 현장별 인원현황'!$C:$J,7,0)=0,"",VLOOKUP($B332,'1. 현장별 인원현황'!$C:$J,7,0))</f>
        <v>공사</v>
      </c>
      <c r="G332" s="72" t="str">
        <f>IF(VLOOKUP($B332,'1. 현장별 인원현황'!$C:$J,8,0)=0,"",VLOOKUP($B332,'1. 현장별 인원현황'!$C:$J,8,0))</f>
        <v>차장</v>
      </c>
      <c r="H332" s="67"/>
      <c r="I332" s="73" t="s">
        <v>69</v>
      </c>
      <c r="J332" s="73"/>
      <c r="K332" s="68"/>
      <c r="L332" s="67" t="s">
        <v>69</v>
      </c>
      <c r="M332" s="73"/>
      <c r="N332" s="73"/>
      <c r="O332" s="68"/>
      <c r="P332" s="67"/>
      <c r="Q332" s="73" t="s">
        <v>69</v>
      </c>
      <c r="R332" s="73"/>
      <c r="S332" s="68"/>
      <c r="T332" s="67"/>
      <c r="U332" s="73" t="s">
        <v>69</v>
      </c>
      <c r="V332" s="73"/>
      <c r="W332" s="68"/>
      <c r="X332" s="67" t="s">
        <v>69</v>
      </c>
      <c r="Y332" s="73"/>
      <c r="Z332" s="73"/>
      <c r="AA332" s="68"/>
      <c r="AB332" s="67" t="s">
        <v>69</v>
      </c>
      <c r="AC332" s="73"/>
      <c r="AD332" s="73"/>
      <c r="AE332" s="68"/>
      <c r="AF332" s="67"/>
      <c r="AG332" s="73" t="s">
        <v>69</v>
      </c>
      <c r="AH332" s="73"/>
      <c r="AI332" s="68"/>
      <c r="AJ332" s="67" t="s">
        <v>69</v>
      </c>
      <c r="AK332" s="73"/>
      <c r="AL332" s="73"/>
      <c r="AM332" s="68"/>
      <c r="AN332" s="73" t="s">
        <v>69</v>
      </c>
      <c r="AO332" s="73"/>
      <c r="AP332" s="73"/>
      <c r="AQ332" s="68"/>
      <c r="AR332" s="67">
        <f t="shared" si="202"/>
        <v>90</v>
      </c>
      <c r="AS332" s="68" t="str">
        <f t="shared" si="203"/>
        <v>S</v>
      </c>
      <c r="AV332" s="49">
        <f t="shared" si="79"/>
        <v>0</v>
      </c>
      <c r="AW332" s="49">
        <f t="shared" si="44"/>
        <v>1</v>
      </c>
      <c r="AX332" s="49">
        <f t="shared" si="45"/>
        <v>0</v>
      </c>
      <c r="AY332" s="49">
        <f t="shared" si="46"/>
        <v>0</v>
      </c>
      <c r="AZ332" s="49">
        <f t="shared" si="47"/>
        <v>1</v>
      </c>
      <c r="BA332" s="49">
        <f t="shared" si="48"/>
        <v>0</v>
      </c>
      <c r="BB332" s="49">
        <f t="shared" si="49"/>
        <v>0</v>
      </c>
      <c r="BC332" s="49">
        <f t="shared" si="50"/>
        <v>0</v>
      </c>
      <c r="BD332" s="49">
        <f t="shared" si="51"/>
        <v>0</v>
      </c>
      <c r="BE332" s="49">
        <f t="shared" si="52"/>
        <v>1</v>
      </c>
      <c r="BF332" s="49">
        <f t="shared" si="53"/>
        <v>0</v>
      </c>
      <c r="BG332" s="49">
        <f t="shared" si="54"/>
        <v>0</v>
      </c>
      <c r="BH332" s="49">
        <f t="shared" si="55"/>
        <v>0</v>
      </c>
      <c r="BI332" s="49">
        <f t="shared" si="56"/>
        <v>1</v>
      </c>
      <c r="BJ332" s="49">
        <f t="shared" si="57"/>
        <v>0</v>
      </c>
      <c r="BK332" s="49">
        <f t="shared" si="58"/>
        <v>0</v>
      </c>
      <c r="BL332" s="49">
        <f t="shared" si="59"/>
        <v>1</v>
      </c>
      <c r="BM332" s="49">
        <f t="shared" si="60"/>
        <v>0</v>
      </c>
      <c r="BN332" s="49">
        <f t="shared" si="61"/>
        <v>0</v>
      </c>
      <c r="BO332" s="49">
        <f t="shared" si="62"/>
        <v>0</v>
      </c>
      <c r="BP332" s="49">
        <f t="shared" si="63"/>
        <v>1</v>
      </c>
      <c r="BQ332" s="49">
        <f t="shared" si="64"/>
        <v>0</v>
      </c>
      <c r="BR332" s="49">
        <f t="shared" si="65"/>
        <v>0</v>
      </c>
      <c r="BS332" s="49">
        <f t="shared" si="66"/>
        <v>0</v>
      </c>
      <c r="BT332" s="49">
        <f t="shared" si="67"/>
        <v>0</v>
      </c>
      <c r="BU332" s="49">
        <f t="shared" si="68"/>
        <v>1</v>
      </c>
      <c r="BV332" s="49">
        <f t="shared" si="69"/>
        <v>0</v>
      </c>
      <c r="BW332" s="49">
        <f t="shared" si="70"/>
        <v>0</v>
      </c>
      <c r="BX332" s="49">
        <f t="shared" si="71"/>
        <v>1</v>
      </c>
      <c r="BY332" s="49">
        <f t="shared" si="72"/>
        <v>0</v>
      </c>
      <c r="BZ332" s="49">
        <f t="shared" si="73"/>
        <v>0</v>
      </c>
      <c r="CA332" s="49">
        <f t="shared" si="74"/>
        <v>0</v>
      </c>
      <c r="CB332" s="49">
        <f t="shared" si="75"/>
        <v>1</v>
      </c>
      <c r="CC332" s="49">
        <f t="shared" si="76"/>
        <v>0</v>
      </c>
      <c r="CD332" s="49">
        <f t="shared" si="77"/>
        <v>0</v>
      </c>
      <c r="CE332" s="49">
        <f t="shared" si="78"/>
        <v>0</v>
      </c>
    </row>
    <row r="333" spans="1:83" ht="35.1" customHeight="1" x14ac:dyDescent="0.3">
      <c r="A333" s="123" t="str">
        <f t="shared" si="200"/>
        <v>3팀</v>
      </c>
      <c r="B333" s="69">
        <f t="shared" si="201"/>
        <v>327</v>
      </c>
      <c r="C333" s="120" t="str">
        <f>IF(VLOOKUP($B333,'1. 현장별 인원현황'!$C:$J,2,0)=0,"",VLOOKUP($B333,'1. 현장별 인원현황'!$C:$J,2,0))</f>
        <v xml:space="preserve"> [3.쿠팡] DAE3,7,8 FC(대구) Ph2 전기공사</v>
      </c>
      <c r="D333" s="70" t="str">
        <f>IF(VLOOKUP($B333,'1. 현장별 인원현황'!$C:$J,3,0)=0,"",VLOOKUP($B333,'1. 현장별 인원현황'!$C:$J,3,0))</f>
        <v>강양규</v>
      </c>
      <c r="E333" s="74" t="str">
        <f ca="1">IF(VLOOKUP($B333,'1. 현장별 인원현황'!$C:$J,4,0)=0,"",VLOOKUP($B333,'1. 현장별 인원현황'!$C:$J,4,0))</f>
        <v>56세</v>
      </c>
      <c r="F333" s="70" t="str">
        <f>IF(VLOOKUP($B333,'1. 현장별 인원현황'!$C:$J,7,0)=0,"",VLOOKUP($B333,'1. 현장별 인원현황'!$C:$J,7,0))</f>
        <v>기능공</v>
      </c>
      <c r="G333" s="72" t="str">
        <f>IF(VLOOKUP($B333,'1. 현장별 인원현황'!$C:$J,8,0)=0,"",VLOOKUP($B333,'1. 현장별 인원현황'!$C:$J,8,0))</f>
        <v>전공</v>
      </c>
      <c r="H333" s="67"/>
      <c r="I333" s="73" t="s">
        <v>69</v>
      </c>
      <c r="J333" s="73"/>
      <c r="K333" s="68"/>
      <c r="L333" s="67"/>
      <c r="M333" s="73" t="s">
        <v>69</v>
      </c>
      <c r="N333" s="73"/>
      <c r="O333" s="68"/>
      <c r="P333" s="67"/>
      <c r="Q333" s="73" t="s">
        <v>69</v>
      </c>
      <c r="R333" s="73"/>
      <c r="S333" s="68"/>
      <c r="T333" s="67"/>
      <c r="U333" s="73" t="s">
        <v>69</v>
      </c>
      <c r="V333" s="73"/>
      <c r="W333" s="68"/>
      <c r="X333" s="67"/>
      <c r="Y333" s="73" t="s">
        <v>69</v>
      </c>
      <c r="Z333" s="73"/>
      <c r="AA333" s="68"/>
      <c r="AB333" s="67"/>
      <c r="AC333" s="73" t="s">
        <v>69</v>
      </c>
      <c r="AD333" s="73"/>
      <c r="AE333" s="68"/>
      <c r="AF333" s="67"/>
      <c r="AG333" s="73"/>
      <c r="AH333" s="73" t="s">
        <v>69</v>
      </c>
      <c r="AI333" s="68"/>
      <c r="AJ333" s="67"/>
      <c r="AK333" s="73" t="s">
        <v>69</v>
      </c>
      <c r="AL333" s="73"/>
      <c r="AM333" s="68"/>
      <c r="AN333" s="73"/>
      <c r="AO333" s="73" t="s">
        <v>69</v>
      </c>
      <c r="AP333" s="73"/>
      <c r="AQ333" s="68"/>
      <c r="AR333" s="67">
        <f t="shared" si="202"/>
        <v>75</v>
      </c>
      <c r="AS333" s="68" t="str">
        <f t="shared" si="203"/>
        <v>A</v>
      </c>
      <c r="AV333" s="49">
        <f t="shared" si="79"/>
        <v>0</v>
      </c>
      <c r="AW333" s="49">
        <f t="shared" si="44"/>
        <v>1</v>
      </c>
      <c r="AX333" s="49">
        <f t="shared" si="45"/>
        <v>0</v>
      </c>
      <c r="AY333" s="49">
        <f t="shared" si="46"/>
        <v>0</v>
      </c>
      <c r="AZ333" s="49">
        <f t="shared" si="47"/>
        <v>0</v>
      </c>
      <c r="BA333" s="49">
        <f t="shared" si="48"/>
        <v>1</v>
      </c>
      <c r="BB333" s="49">
        <f t="shared" si="49"/>
        <v>0</v>
      </c>
      <c r="BC333" s="49">
        <f t="shared" si="50"/>
        <v>0</v>
      </c>
      <c r="BD333" s="49">
        <f t="shared" si="51"/>
        <v>0</v>
      </c>
      <c r="BE333" s="49">
        <f t="shared" si="52"/>
        <v>1</v>
      </c>
      <c r="BF333" s="49">
        <f t="shared" si="53"/>
        <v>0</v>
      </c>
      <c r="BG333" s="49">
        <f t="shared" si="54"/>
        <v>0</v>
      </c>
      <c r="BH333" s="49">
        <f t="shared" si="55"/>
        <v>0</v>
      </c>
      <c r="BI333" s="49">
        <f t="shared" si="56"/>
        <v>1</v>
      </c>
      <c r="BJ333" s="49">
        <f t="shared" si="57"/>
        <v>0</v>
      </c>
      <c r="BK333" s="49">
        <f t="shared" si="58"/>
        <v>0</v>
      </c>
      <c r="BL333" s="49">
        <f t="shared" si="59"/>
        <v>0</v>
      </c>
      <c r="BM333" s="49">
        <f t="shared" si="60"/>
        <v>1</v>
      </c>
      <c r="BN333" s="49">
        <f t="shared" si="61"/>
        <v>0</v>
      </c>
      <c r="BO333" s="49">
        <f t="shared" si="62"/>
        <v>0</v>
      </c>
      <c r="BP333" s="49">
        <f t="shared" si="63"/>
        <v>0</v>
      </c>
      <c r="BQ333" s="49">
        <f t="shared" si="64"/>
        <v>1</v>
      </c>
      <c r="BR333" s="49">
        <f t="shared" si="65"/>
        <v>0</v>
      </c>
      <c r="BS333" s="49">
        <f t="shared" si="66"/>
        <v>0</v>
      </c>
      <c r="BT333" s="49">
        <f t="shared" si="67"/>
        <v>0</v>
      </c>
      <c r="BU333" s="49">
        <f t="shared" si="68"/>
        <v>0</v>
      </c>
      <c r="BV333" s="49">
        <f t="shared" si="69"/>
        <v>1</v>
      </c>
      <c r="BW333" s="49">
        <f t="shared" si="70"/>
        <v>0</v>
      </c>
      <c r="BX333" s="49">
        <f t="shared" si="71"/>
        <v>0</v>
      </c>
      <c r="BY333" s="49">
        <f t="shared" si="72"/>
        <v>1</v>
      </c>
      <c r="BZ333" s="49">
        <f t="shared" si="73"/>
        <v>0</v>
      </c>
      <c r="CA333" s="49">
        <f t="shared" si="74"/>
        <v>0</v>
      </c>
      <c r="CB333" s="49">
        <f t="shared" si="75"/>
        <v>0</v>
      </c>
      <c r="CC333" s="49">
        <f t="shared" si="76"/>
        <v>1</v>
      </c>
      <c r="CD333" s="49">
        <f t="shared" si="77"/>
        <v>0</v>
      </c>
      <c r="CE333" s="49">
        <f t="shared" si="78"/>
        <v>0</v>
      </c>
    </row>
    <row r="334" spans="1:83" ht="35.1" customHeight="1" x14ac:dyDescent="0.3">
      <c r="A334" s="123" t="str">
        <f t="shared" si="200"/>
        <v>3팀</v>
      </c>
      <c r="B334" s="69">
        <f t="shared" si="201"/>
        <v>328</v>
      </c>
      <c r="C334" s="120" t="str">
        <f>IF(VLOOKUP($B334,'1. 현장별 인원현황'!$C:$J,2,0)=0,"",VLOOKUP($B334,'1. 현장별 인원현황'!$C:$J,2,0))</f>
        <v xml:space="preserve"> [3.쿠팡] DAE3,7,8 FC(대구) Ph2 전기공사</v>
      </c>
      <c r="D334" s="70" t="str">
        <f>IF(VLOOKUP($B334,'1. 현장별 인원현황'!$C:$J,3,0)=0,"",VLOOKUP($B334,'1. 현장별 인원현황'!$C:$J,3,0))</f>
        <v>김대훈</v>
      </c>
      <c r="E334" s="74" t="str">
        <f ca="1">IF(VLOOKUP($B334,'1. 현장별 인원현황'!$C:$J,4,0)=0,"",VLOOKUP($B334,'1. 현장별 인원현황'!$C:$J,4,0))</f>
        <v>28세</v>
      </c>
      <c r="F334" s="70" t="str">
        <f>IF(VLOOKUP($B334,'1. 현장별 인원현황'!$C:$J,7,0)=0,"",VLOOKUP($B334,'1. 현장별 인원현황'!$C:$J,7,0))</f>
        <v>기능공</v>
      </c>
      <c r="G334" s="72" t="str">
        <f>IF(VLOOKUP($B334,'1. 현장별 인원현황'!$C:$J,8,0)=0,"",VLOOKUP($B334,'1. 현장별 인원현황'!$C:$J,8,0))</f>
        <v>조공</v>
      </c>
      <c r="H334" s="67"/>
      <c r="I334" s="73" t="s">
        <v>69</v>
      </c>
      <c r="J334" s="73"/>
      <c r="K334" s="68"/>
      <c r="L334" s="67"/>
      <c r="M334" s="73" t="s">
        <v>69</v>
      </c>
      <c r="N334" s="73"/>
      <c r="O334" s="68"/>
      <c r="P334" s="67"/>
      <c r="Q334" s="73"/>
      <c r="R334" s="73" t="s">
        <v>69</v>
      </c>
      <c r="S334" s="68"/>
      <c r="T334" s="67"/>
      <c r="U334" s="73" t="s">
        <v>69</v>
      </c>
      <c r="V334" s="73"/>
      <c r="W334" s="68"/>
      <c r="X334" s="67"/>
      <c r="Y334" s="73" t="s">
        <v>69</v>
      </c>
      <c r="Z334" s="73"/>
      <c r="AA334" s="68"/>
      <c r="AB334" s="67"/>
      <c r="AC334" s="73" t="s">
        <v>69</v>
      </c>
      <c r="AD334" s="73"/>
      <c r="AE334" s="68"/>
      <c r="AF334" s="67"/>
      <c r="AG334" s="73"/>
      <c r="AH334" s="73" t="s">
        <v>69</v>
      </c>
      <c r="AI334" s="68"/>
      <c r="AJ334" s="67"/>
      <c r="AK334" s="73" t="s">
        <v>69</v>
      </c>
      <c r="AL334" s="73"/>
      <c r="AM334" s="68"/>
      <c r="AN334" s="73"/>
      <c r="AO334" s="73" t="s">
        <v>69</v>
      </c>
      <c r="AP334" s="73"/>
      <c r="AQ334" s="68"/>
      <c r="AR334" s="67">
        <f t="shared" si="202"/>
        <v>72</v>
      </c>
      <c r="AS334" s="68" t="str">
        <f t="shared" si="203"/>
        <v>A</v>
      </c>
      <c r="AV334" s="49">
        <f t="shared" si="79"/>
        <v>0</v>
      </c>
      <c r="AW334" s="49">
        <f t="shared" si="44"/>
        <v>1</v>
      </c>
      <c r="AX334" s="49">
        <f t="shared" si="45"/>
        <v>0</v>
      </c>
      <c r="AY334" s="49">
        <f t="shared" si="46"/>
        <v>0</v>
      </c>
      <c r="AZ334" s="49">
        <f t="shared" si="47"/>
        <v>0</v>
      </c>
      <c r="BA334" s="49">
        <f t="shared" si="48"/>
        <v>1</v>
      </c>
      <c r="BB334" s="49">
        <f t="shared" si="49"/>
        <v>0</v>
      </c>
      <c r="BC334" s="49">
        <f t="shared" si="50"/>
        <v>0</v>
      </c>
      <c r="BD334" s="49">
        <f t="shared" si="51"/>
        <v>0</v>
      </c>
      <c r="BE334" s="49">
        <f t="shared" si="52"/>
        <v>0</v>
      </c>
      <c r="BF334" s="49">
        <f t="shared" si="53"/>
        <v>1</v>
      </c>
      <c r="BG334" s="49">
        <f t="shared" si="54"/>
        <v>0</v>
      </c>
      <c r="BH334" s="49">
        <f t="shared" si="55"/>
        <v>0</v>
      </c>
      <c r="BI334" s="49">
        <f t="shared" si="56"/>
        <v>1</v>
      </c>
      <c r="BJ334" s="49">
        <f t="shared" si="57"/>
        <v>0</v>
      </c>
      <c r="BK334" s="49">
        <f t="shared" si="58"/>
        <v>0</v>
      </c>
      <c r="BL334" s="49">
        <f t="shared" si="59"/>
        <v>0</v>
      </c>
      <c r="BM334" s="49">
        <f t="shared" si="60"/>
        <v>1</v>
      </c>
      <c r="BN334" s="49">
        <f t="shared" si="61"/>
        <v>0</v>
      </c>
      <c r="BO334" s="49">
        <f t="shared" si="62"/>
        <v>0</v>
      </c>
      <c r="BP334" s="49">
        <f t="shared" si="63"/>
        <v>0</v>
      </c>
      <c r="BQ334" s="49">
        <f t="shared" si="64"/>
        <v>1</v>
      </c>
      <c r="BR334" s="49">
        <f t="shared" si="65"/>
        <v>0</v>
      </c>
      <c r="BS334" s="49">
        <f t="shared" si="66"/>
        <v>0</v>
      </c>
      <c r="BT334" s="49">
        <f t="shared" si="67"/>
        <v>0</v>
      </c>
      <c r="BU334" s="49">
        <f t="shared" si="68"/>
        <v>0</v>
      </c>
      <c r="BV334" s="49">
        <f t="shared" si="69"/>
        <v>1</v>
      </c>
      <c r="BW334" s="49">
        <f t="shared" si="70"/>
        <v>0</v>
      </c>
      <c r="BX334" s="49">
        <f t="shared" si="71"/>
        <v>0</v>
      </c>
      <c r="BY334" s="49">
        <f t="shared" si="72"/>
        <v>1</v>
      </c>
      <c r="BZ334" s="49">
        <f t="shared" si="73"/>
        <v>0</v>
      </c>
      <c r="CA334" s="49">
        <f t="shared" si="74"/>
        <v>0</v>
      </c>
      <c r="CB334" s="49">
        <f t="shared" si="75"/>
        <v>0</v>
      </c>
      <c r="CC334" s="49">
        <f t="shared" si="76"/>
        <v>1</v>
      </c>
      <c r="CD334" s="49">
        <f t="shared" si="77"/>
        <v>0</v>
      </c>
      <c r="CE334" s="49">
        <f t="shared" si="78"/>
        <v>0</v>
      </c>
    </row>
    <row r="335" spans="1:83" ht="35.1" customHeight="1" x14ac:dyDescent="0.3">
      <c r="A335" s="123" t="str">
        <f t="shared" si="200"/>
        <v>3팀</v>
      </c>
      <c r="B335" s="69">
        <f t="shared" si="201"/>
        <v>329</v>
      </c>
      <c r="C335" s="120" t="str">
        <f>IF(VLOOKUP($B335,'1. 현장별 인원현황'!$C:$J,2,0)=0,"",VLOOKUP($B335,'1. 현장별 인원현황'!$C:$J,2,0))</f>
        <v xml:space="preserve"> [3.쿠팡] DAE3,7,8 FC(대구) Ph2 전기공사</v>
      </c>
      <c r="D335" s="70" t="str">
        <f>IF(VLOOKUP($B335,'1. 현장별 인원현황'!$C:$J,3,0)=0,"",VLOOKUP($B335,'1. 현장별 인원현황'!$C:$J,3,0))</f>
        <v>김동우</v>
      </c>
      <c r="E335" s="74" t="str">
        <f ca="1">IF(VLOOKUP($B335,'1. 현장별 인원현황'!$C:$J,4,0)=0,"",VLOOKUP($B335,'1. 현장별 인원현황'!$C:$J,4,0))</f>
        <v>30세</v>
      </c>
      <c r="F335" s="70" t="str">
        <f>IF(VLOOKUP($B335,'1. 현장별 인원현황'!$C:$J,7,0)=0,"",VLOOKUP($B335,'1. 현장별 인원현황'!$C:$J,7,0))</f>
        <v>기능공</v>
      </c>
      <c r="G335" s="72" t="str">
        <f>IF(VLOOKUP($B335,'1. 현장별 인원현황'!$C:$J,8,0)=0,"",VLOOKUP($B335,'1. 현장별 인원현황'!$C:$J,8,0))</f>
        <v>조공</v>
      </c>
      <c r="H335" s="67"/>
      <c r="I335" s="73" t="s">
        <v>69</v>
      </c>
      <c r="J335" s="73"/>
      <c r="K335" s="68"/>
      <c r="L335" s="67"/>
      <c r="M335" s="73" t="s">
        <v>69</v>
      </c>
      <c r="N335" s="73"/>
      <c r="O335" s="68"/>
      <c r="P335" s="67"/>
      <c r="Q335" s="73" t="s">
        <v>69</v>
      </c>
      <c r="R335" s="73"/>
      <c r="S335" s="68"/>
      <c r="T335" s="67"/>
      <c r="U335" s="73" t="s">
        <v>69</v>
      </c>
      <c r="V335" s="73"/>
      <c r="W335" s="68"/>
      <c r="X335" s="67"/>
      <c r="Y335" s="73" t="s">
        <v>69</v>
      </c>
      <c r="Z335" s="73"/>
      <c r="AA335" s="68"/>
      <c r="AB335" s="67"/>
      <c r="AC335" s="73" t="s">
        <v>69</v>
      </c>
      <c r="AD335" s="73"/>
      <c r="AE335" s="68"/>
      <c r="AF335" s="67"/>
      <c r="AG335" s="73"/>
      <c r="AH335" s="73" t="s">
        <v>69</v>
      </c>
      <c r="AI335" s="68"/>
      <c r="AJ335" s="67"/>
      <c r="AK335" s="73" t="s">
        <v>69</v>
      </c>
      <c r="AL335" s="73"/>
      <c r="AM335" s="68"/>
      <c r="AN335" s="73"/>
      <c r="AO335" s="73"/>
      <c r="AP335" s="73" t="s">
        <v>69</v>
      </c>
      <c r="AQ335" s="68"/>
      <c r="AR335" s="67">
        <f t="shared" si="202"/>
        <v>72</v>
      </c>
      <c r="AS335" s="68" t="str">
        <f t="shared" si="203"/>
        <v>A</v>
      </c>
      <c r="AV335" s="49">
        <f t="shared" si="79"/>
        <v>0</v>
      </c>
      <c r="AW335" s="49">
        <f t="shared" si="44"/>
        <v>1</v>
      </c>
      <c r="AX335" s="49">
        <f t="shared" si="45"/>
        <v>0</v>
      </c>
      <c r="AY335" s="49">
        <f t="shared" si="46"/>
        <v>0</v>
      </c>
      <c r="AZ335" s="49">
        <f t="shared" si="47"/>
        <v>0</v>
      </c>
      <c r="BA335" s="49">
        <f t="shared" si="48"/>
        <v>1</v>
      </c>
      <c r="BB335" s="49">
        <f t="shared" si="49"/>
        <v>0</v>
      </c>
      <c r="BC335" s="49">
        <f t="shared" si="50"/>
        <v>0</v>
      </c>
      <c r="BD335" s="49">
        <f t="shared" si="51"/>
        <v>0</v>
      </c>
      <c r="BE335" s="49">
        <f t="shared" si="52"/>
        <v>1</v>
      </c>
      <c r="BF335" s="49">
        <f t="shared" si="53"/>
        <v>0</v>
      </c>
      <c r="BG335" s="49">
        <f t="shared" si="54"/>
        <v>0</v>
      </c>
      <c r="BH335" s="49">
        <f t="shared" si="55"/>
        <v>0</v>
      </c>
      <c r="BI335" s="49">
        <f t="shared" si="56"/>
        <v>1</v>
      </c>
      <c r="BJ335" s="49">
        <f t="shared" si="57"/>
        <v>0</v>
      </c>
      <c r="BK335" s="49">
        <f t="shared" si="58"/>
        <v>0</v>
      </c>
      <c r="BL335" s="49">
        <f t="shared" si="59"/>
        <v>0</v>
      </c>
      <c r="BM335" s="49">
        <f t="shared" si="60"/>
        <v>1</v>
      </c>
      <c r="BN335" s="49">
        <f t="shared" si="61"/>
        <v>0</v>
      </c>
      <c r="BO335" s="49">
        <f t="shared" si="62"/>
        <v>0</v>
      </c>
      <c r="BP335" s="49">
        <f t="shared" si="63"/>
        <v>0</v>
      </c>
      <c r="BQ335" s="49">
        <f t="shared" si="64"/>
        <v>1</v>
      </c>
      <c r="BR335" s="49">
        <f t="shared" si="65"/>
        <v>0</v>
      </c>
      <c r="BS335" s="49">
        <f t="shared" si="66"/>
        <v>0</v>
      </c>
      <c r="BT335" s="49">
        <f t="shared" si="67"/>
        <v>0</v>
      </c>
      <c r="BU335" s="49">
        <f t="shared" si="68"/>
        <v>0</v>
      </c>
      <c r="BV335" s="49">
        <f t="shared" si="69"/>
        <v>1</v>
      </c>
      <c r="BW335" s="49">
        <f t="shared" si="70"/>
        <v>0</v>
      </c>
      <c r="BX335" s="49">
        <f t="shared" si="71"/>
        <v>0</v>
      </c>
      <c r="BY335" s="49">
        <f t="shared" si="72"/>
        <v>1</v>
      </c>
      <c r="BZ335" s="49">
        <f t="shared" si="73"/>
        <v>0</v>
      </c>
      <c r="CA335" s="49">
        <f t="shared" si="74"/>
        <v>0</v>
      </c>
      <c r="CB335" s="49">
        <f t="shared" si="75"/>
        <v>0</v>
      </c>
      <c r="CC335" s="49">
        <f t="shared" si="76"/>
        <v>0</v>
      </c>
      <c r="CD335" s="49">
        <f t="shared" si="77"/>
        <v>1</v>
      </c>
      <c r="CE335" s="49">
        <f t="shared" si="78"/>
        <v>0</v>
      </c>
    </row>
    <row r="336" spans="1:83" ht="35.1" customHeight="1" x14ac:dyDescent="0.3">
      <c r="A336" s="123" t="str">
        <f t="shared" si="200"/>
        <v>3팀</v>
      </c>
      <c r="B336" s="69">
        <f t="shared" si="201"/>
        <v>330</v>
      </c>
      <c r="C336" s="120" t="str">
        <f>IF(VLOOKUP($B336,'1. 현장별 인원현황'!$C:$J,2,0)=0,"",VLOOKUP($B336,'1. 현장별 인원현황'!$C:$J,2,0))</f>
        <v xml:space="preserve"> [3.쿠팡] DAE3,7,8 FC(대구) Ph2 전기공사</v>
      </c>
      <c r="D336" s="70" t="str">
        <f>IF(VLOOKUP($B336,'1. 현장별 인원현황'!$C:$J,3,0)=0,"",VLOOKUP($B336,'1. 현장별 인원현황'!$C:$J,3,0))</f>
        <v>김종수</v>
      </c>
      <c r="E336" s="74" t="str">
        <f ca="1">IF(VLOOKUP($B336,'1. 현장별 인원현황'!$C:$J,4,0)=0,"",VLOOKUP($B336,'1. 현장별 인원현황'!$C:$J,4,0))</f>
        <v>61세</v>
      </c>
      <c r="F336" s="70" t="str">
        <f>IF(VLOOKUP($B336,'1. 현장별 인원현황'!$C:$J,7,0)=0,"",VLOOKUP($B336,'1. 현장별 인원현황'!$C:$J,7,0))</f>
        <v>기능공</v>
      </c>
      <c r="G336" s="72" t="str">
        <f>IF(VLOOKUP($B336,'1. 현장별 인원현황'!$C:$J,8,0)=0,"",VLOOKUP($B336,'1. 현장별 인원현황'!$C:$J,8,0))</f>
        <v>전공</v>
      </c>
      <c r="H336" s="67"/>
      <c r="I336" s="73" t="s">
        <v>69</v>
      </c>
      <c r="J336" s="73"/>
      <c r="K336" s="68"/>
      <c r="L336" s="67"/>
      <c r="M336" s="73"/>
      <c r="N336" s="73" t="s">
        <v>69</v>
      </c>
      <c r="O336" s="68"/>
      <c r="P336" s="67"/>
      <c r="Q336" s="73"/>
      <c r="R336" s="73" t="s">
        <v>69</v>
      </c>
      <c r="S336" s="68"/>
      <c r="T336" s="67"/>
      <c r="U336" s="73"/>
      <c r="V336" s="73" t="s">
        <v>69</v>
      </c>
      <c r="W336" s="68"/>
      <c r="X336" s="67"/>
      <c r="Y336" s="73" t="s">
        <v>69</v>
      </c>
      <c r="Z336" s="73"/>
      <c r="AA336" s="68"/>
      <c r="AB336" s="67"/>
      <c r="AC336" s="73"/>
      <c r="AD336" s="73" t="s">
        <v>69</v>
      </c>
      <c r="AE336" s="68"/>
      <c r="AF336" s="67"/>
      <c r="AG336" s="73"/>
      <c r="AH336" s="73" t="s">
        <v>69</v>
      </c>
      <c r="AI336" s="68"/>
      <c r="AJ336" s="67"/>
      <c r="AK336" s="73" t="s">
        <v>69</v>
      </c>
      <c r="AL336" s="73"/>
      <c r="AM336" s="68"/>
      <c r="AN336" s="73"/>
      <c r="AO336" s="73" t="s">
        <v>69</v>
      </c>
      <c r="AP336" s="73"/>
      <c r="AQ336" s="68"/>
      <c r="AR336" s="67">
        <f t="shared" si="202"/>
        <v>65</v>
      </c>
      <c r="AS336" s="68" t="str">
        <f t="shared" si="203"/>
        <v>B</v>
      </c>
      <c r="AV336" s="49">
        <f t="shared" si="79"/>
        <v>0</v>
      </c>
      <c r="AW336" s="49">
        <f t="shared" si="44"/>
        <v>1</v>
      </c>
      <c r="AX336" s="49">
        <f t="shared" si="45"/>
        <v>0</v>
      </c>
      <c r="AY336" s="49">
        <f t="shared" si="46"/>
        <v>0</v>
      </c>
      <c r="AZ336" s="49">
        <f t="shared" si="47"/>
        <v>0</v>
      </c>
      <c r="BA336" s="49">
        <f t="shared" si="48"/>
        <v>0</v>
      </c>
      <c r="BB336" s="49">
        <f t="shared" si="49"/>
        <v>1</v>
      </c>
      <c r="BC336" s="49">
        <f t="shared" si="50"/>
        <v>0</v>
      </c>
      <c r="BD336" s="49">
        <f t="shared" si="51"/>
        <v>0</v>
      </c>
      <c r="BE336" s="49">
        <f t="shared" si="52"/>
        <v>0</v>
      </c>
      <c r="BF336" s="49">
        <f t="shared" si="53"/>
        <v>1</v>
      </c>
      <c r="BG336" s="49">
        <f t="shared" si="54"/>
        <v>0</v>
      </c>
      <c r="BH336" s="49">
        <f t="shared" si="55"/>
        <v>0</v>
      </c>
      <c r="BI336" s="49">
        <f t="shared" si="56"/>
        <v>0</v>
      </c>
      <c r="BJ336" s="49">
        <f t="shared" si="57"/>
        <v>1</v>
      </c>
      <c r="BK336" s="49">
        <f t="shared" si="58"/>
        <v>0</v>
      </c>
      <c r="BL336" s="49">
        <f t="shared" si="59"/>
        <v>0</v>
      </c>
      <c r="BM336" s="49">
        <f t="shared" si="60"/>
        <v>1</v>
      </c>
      <c r="BN336" s="49">
        <f t="shared" si="61"/>
        <v>0</v>
      </c>
      <c r="BO336" s="49">
        <f t="shared" si="62"/>
        <v>0</v>
      </c>
      <c r="BP336" s="49">
        <f t="shared" si="63"/>
        <v>0</v>
      </c>
      <c r="BQ336" s="49">
        <f t="shared" si="64"/>
        <v>0</v>
      </c>
      <c r="BR336" s="49">
        <f t="shared" si="65"/>
        <v>1</v>
      </c>
      <c r="BS336" s="49">
        <f t="shared" si="66"/>
        <v>0</v>
      </c>
      <c r="BT336" s="49">
        <f t="shared" si="67"/>
        <v>0</v>
      </c>
      <c r="BU336" s="49">
        <f t="shared" si="68"/>
        <v>0</v>
      </c>
      <c r="BV336" s="49">
        <f t="shared" si="69"/>
        <v>1</v>
      </c>
      <c r="BW336" s="49">
        <f t="shared" si="70"/>
        <v>0</v>
      </c>
      <c r="BX336" s="49">
        <f t="shared" si="71"/>
        <v>0</v>
      </c>
      <c r="BY336" s="49">
        <f t="shared" si="72"/>
        <v>1</v>
      </c>
      <c r="BZ336" s="49">
        <f t="shared" si="73"/>
        <v>0</v>
      </c>
      <c r="CA336" s="49">
        <f t="shared" si="74"/>
        <v>0</v>
      </c>
      <c r="CB336" s="49">
        <f t="shared" si="75"/>
        <v>0</v>
      </c>
      <c r="CC336" s="49">
        <f t="shared" si="76"/>
        <v>1</v>
      </c>
      <c r="CD336" s="49">
        <f t="shared" si="77"/>
        <v>0</v>
      </c>
      <c r="CE336" s="49">
        <f t="shared" si="78"/>
        <v>0</v>
      </c>
    </row>
    <row r="337" spans="1:83" ht="35.1" customHeight="1" x14ac:dyDescent="0.3">
      <c r="A337" s="123" t="str">
        <f t="shared" si="200"/>
        <v>3팀</v>
      </c>
      <c r="B337" s="69">
        <f t="shared" si="201"/>
        <v>331</v>
      </c>
      <c r="C337" s="120" t="str">
        <f>IF(VLOOKUP($B337,'1. 현장별 인원현황'!$C:$J,2,0)=0,"",VLOOKUP($B337,'1. 현장별 인원현황'!$C:$J,2,0))</f>
        <v xml:space="preserve"> [3.쿠팡] DAE3,7,8 FC(대구) Ph2 전기공사</v>
      </c>
      <c r="D337" s="70" t="str">
        <f>IF(VLOOKUP($B337,'1. 현장별 인원현황'!$C:$J,3,0)=0,"",VLOOKUP($B337,'1. 현장별 인원현황'!$C:$J,3,0))</f>
        <v>김진원</v>
      </c>
      <c r="E337" s="74" t="str">
        <f ca="1">IF(VLOOKUP($B337,'1. 현장별 인원현황'!$C:$J,4,0)=0,"",VLOOKUP($B337,'1. 현장별 인원현황'!$C:$J,4,0))</f>
        <v>61세</v>
      </c>
      <c r="F337" s="70" t="str">
        <f>IF(VLOOKUP($B337,'1. 현장별 인원현황'!$C:$J,7,0)=0,"",VLOOKUP($B337,'1. 현장별 인원현황'!$C:$J,7,0))</f>
        <v>기능공</v>
      </c>
      <c r="G337" s="72" t="str">
        <f>IF(VLOOKUP($B337,'1. 현장별 인원현황'!$C:$J,8,0)=0,"",VLOOKUP($B337,'1. 현장별 인원현황'!$C:$J,8,0))</f>
        <v>전공</v>
      </c>
      <c r="H337" s="67"/>
      <c r="I337" s="73" t="s">
        <v>69</v>
      </c>
      <c r="J337" s="73"/>
      <c r="K337" s="68"/>
      <c r="L337" s="67"/>
      <c r="M337" s="73"/>
      <c r="N337" s="73" t="s">
        <v>69</v>
      </c>
      <c r="O337" s="68"/>
      <c r="P337" s="67"/>
      <c r="Q337" s="73"/>
      <c r="R337" s="73" t="s">
        <v>69</v>
      </c>
      <c r="S337" s="68"/>
      <c r="T337" s="67"/>
      <c r="U337" s="73"/>
      <c r="V337" s="73" t="s">
        <v>69</v>
      </c>
      <c r="W337" s="68"/>
      <c r="X337" s="67"/>
      <c r="Y337" s="73" t="s">
        <v>69</v>
      </c>
      <c r="Z337" s="73"/>
      <c r="AA337" s="68"/>
      <c r="AB337" s="67"/>
      <c r="AC337" s="73"/>
      <c r="AD337" s="73" t="s">
        <v>69</v>
      </c>
      <c r="AE337" s="68"/>
      <c r="AF337" s="67"/>
      <c r="AG337" s="73"/>
      <c r="AH337" s="73" t="s">
        <v>69</v>
      </c>
      <c r="AI337" s="68"/>
      <c r="AJ337" s="67"/>
      <c r="AK337" s="73" t="s">
        <v>69</v>
      </c>
      <c r="AL337" s="73"/>
      <c r="AM337" s="68"/>
      <c r="AN337" s="73"/>
      <c r="AO337" s="73" t="s">
        <v>69</v>
      </c>
      <c r="AP337" s="73"/>
      <c r="AQ337" s="68"/>
      <c r="AR337" s="67">
        <f t="shared" si="202"/>
        <v>65</v>
      </c>
      <c r="AS337" s="68" t="str">
        <f t="shared" si="203"/>
        <v>B</v>
      </c>
      <c r="AV337" s="49">
        <f t="shared" si="79"/>
        <v>0</v>
      </c>
      <c r="AW337" s="49">
        <f t="shared" si="44"/>
        <v>1</v>
      </c>
      <c r="AX337" s="49">
        <f t="shared" si="45"/>
        <v>0</v>
      </c>
      <c r="AY337" s="49">
        <f t="shared" si="46"/>
        <v>0</v>
      </c>
      <c r="AZ337" s="49">
        <f t="shared" si="47"/>
        <v>0</v>
      </c>
      <c r="BA337" s="49">
        <f t="shared" si="48"/>
        <v>0</v>
      </c>
      <c r="BB337" s="49">
        <f t="shared" si="49"/>
        <v>1</v>
      </c>
      <c r="BC337" s="49">
        <f t="shared" si="50"/>
        <v>0</v>
      </c>
      <c r="BD337" s="49">
        <f t="shared" si="51"/>
        <v>0</v>
      </c>
      <c r="BE337" s="49">
        <f t="shared" si="52"/>
        <v>0</v>
      </c>
      <c r="BF337" s="49">
        <f t="shared" si="53"/>
        <v>1</v>
      </c>
      <c r="BG337" s="49">
        <f t="shared" si="54"/>
        <v>0</v>
      </c>
      <c r="BH337" s="49">
        <f t="shared" si="55"/>
        <v>0</v>
      </c>
      <c r="BI337" s="49">
        <f t="shared" si="56"/>
        <v>0</v>
      </c>
      <c r="BJ337" s="49">
        <f t="shared" si="57"/>
        <v>1</v>
      </c>
      <c r="BK337" s="49">
        <f t="shared" si="58"/>
        <v>0</v>
      </c>
      <c r="BL337" s="49">
        <f t="shared" si="59"/>
        <v>0</v>
      </c>
      <c r="BM337" s="49">
        <f t="shared" si="60"/>
        <v>1</v>
      </c>
      <c r="BN337" s="49">
        <f t="shared" si="61"/>
        <v>0</v>
      </c>
      <c r="BO337" s="49">
        <f t="shared" si="62"/>
        <v>0</v>
      </c>
      <c r="BP337" s="49">
        <f t="shared" si="63"/>
        <v>0</v>
      </c>
      <c r="BQ337" s="49">
        <f t="shared" si="64"/>
        <v>0</v>
      </c>
      <c r="BR337" s="49">
        <f t="shared" si="65"/>
        <v>1</v>
      </c>
      <c r="BS337" s="49">
        <f t="shared" si="66"/>
        <v>0</v>
      </c>
      <c r="BT337" s="49">
        <f t="shared" si="67"/>
        <v>0</v>
      </c>
      <c r="BU337" s="49">
        <f t="shared" si="68"/>
        <v>0</v>
      </c>
      <c r="BV337" s="49">
        <f t="shared" si="69"/>
        <v>1</v>
      </c>
      <c r="BW337" s="49">
        <f t="shared" si="70"/>
        <v>0</v>
      </c>
      <c r="BX337" s="49">
        <f t="shared" si="71"/>
        <v>0</v>
      </c>
      <c r="BY337" s="49">
        <f t="shared" si="72"/>
        <v>1</v>
      </c>
      <c r="BZ337" s="49">
        <f t="shared" si="73"/>
        <v>0</v>
      </c>
      <c r="CA337" s="49">
        <f t="shared" si="74"/>
        <v>0</v>
      </c>
      <c r="CB337" s="49">
        <f t="shared" si="75"/>
        <v>0</v>
      </c>
      <c r="CC337" s="49">
        <f t="shared" si="76"/>
        <v>1</v>
      </c>
      <c r="CD337" s="49">
        <f t="shared" si="77"/>
        <v>0</v>
      </c>
      <c r="CE337" s="49">
        <f t="shared" si="78"/>
        <v>0</v>
      </c>
    </row>
    <row r="338" spans="1:83" ht="35.1" customHeight="1" x14ac:dyDescent="0.3">
      <c r="A338" s="123" t="str">
        <f t="shared" si="200"/>
        <v>3팀</v>
      </c>
      <c r="B338" s="69">
        <f t="shared" si="201"/>
        <v>332</v>
      </c>
      <c r="C338" s="120" t="str">
        <f>IF(VLOOKUP($B338,'1. 현장별 인원현황'!$C:$J,2,0)=0,"",VLOOKUP($B338,'1. 현장별 인원현황'!$C:$J,2,0))</f>
        <v xml:space="preserve"> [3.쿠팡] DAE3,7,8 FC(대구) Ph2 전기공사</v>
      </c>
      <c r="D338" s="70" t="str">
        <f>IF(VLOOKUP($B338,'1. 현장별 인원현황'!$C:$J,3,0)=0,"",VLOOKUP($B338,'1. 현장별 인원현황'!$C:$J,3,0))</f>
        <v>문영후</v>
      </c>
      <c r="E338" s="74" t="str">
        <f ca="1">IF(VLOOKUP($B338,'1. 현장별 인원현황'!$C:$J,4,0)=0,"",VLOOKUP($B338,'1. 현장별 인원현황'!$C:$J,4,0))</f>
        <v>41세</v>
      </c>
      <c r="F338" s="70" t="str">
        <f>IF(VLOOKUP($B338,'1. 현장별 인원현황'!$C:$J,7,0)=0,"",VLOOKUP($B338,'1. 현장별 인원현황'!$C:$J,7,0))</f>
        <v>기능공</v>
      </c>
      <c r="G338" s="72" t="str">
        <f>IF(VLOOKUP($B338,'1. 현장별 인원현황'!$C:$J,8,0)=0,"",VLOOKUP($B338,'1. 현장별 인원현황'!$C:$J,8,0))</f>
        <v>전공</v>
      </c>
      <c r="H338" s="67"/>
      <c r="I338" s="73" t="s">
        <v>69</v>
      </c>
      <c r="J338" s="73"/>
      <c r="K338" s="68"/>
      <c r="L338" s="67" t="s">
        <v>69</v>
      </c>
      <c r="M338" s="73"/>
      <c r="N338" s="73"/>
      <c r="O338" s="68"/>
      <c r="P338" s="67"/>
      <c r="Q338" s="73" t="s">
        <v>69</v>
      </c>
      <c r="R338" s="73"/>
      <c r="S338" s="68"/>
      <c r="T338" s="67"/>
      <c r="U338" s="73" t="s">
        <v>69</v>
      </c>
      <c r="V338" s="73"/>
      <c r="W338" s="68"/>
      <c r="X338" s="67" t="s">
        <v>69</v>
      </c>
      <c r="Y338" s="73"/>
      <c r="Z338" s="73"/>
      <c r="AA338" s="68"/>
      <c r="AB338" s="67" t="s">
        <v>69</v>
      </c>
      <c r="AC338" s="73"/>
      <c r="AD338" s="73"/>
      <c r="AE338" s="68"/>
      <c r="AF338" s="67"/>
      <c r="AG338" s="73" t="s">
        <v>69</v>
      </c>
      <c r="AH338" s="73"/>
      <c r="AI338" s="68"/>
      <c r="AJ338" s="67" t="s">
        <v>69</v>
      </c>
      <c r="AK338" s="73"/>
      <c r="AL338" s="73"/>
      <c r="AM338" s="68"/>
      <c r="AN338" s="73"/>
      <c r="AO338" s="73" t="s">
        <v>69</v>
      </c>
      <c r="AP338" s="73"/>
      <c r="AQ338" s="68"/>
      <c r="AR338" s="67">
        <f t="shared" si="202"/>
        <v>87</v>
      </c>
      <c r="AS338" s="68" t="str">
        <f t="shared" si="203"/>
        <v>S</v>
      </c>
      <c r="AV338" s="49">
        <f t="shared" ref="AV338:AV371" si="204">IF(H338&gt;0,1,0)</f>
        <v>0</v>
      </c>
      <c r="AW338" s="49">
        <f t="shared" ref="AW338:AW371" si="205">IF(I338&gt;0,1,0)</f>
        <v>1</v>
      </c>
      <c r="AX338" s="49">
        <f t="shared" ref="AX338:AX371" si="206">IF(J338&gt;0,1,0)</f>
        <v>0</v>
      </c>
      <c r="AY338" s="49">
        <f t="shared" ref="AY338:AY371" si="207">IF(K338&gt;0,1,0)</f>
        <v>0</v>
      </c>
      <c r="AZ338" s="49">
        <f t="shared" ref="AZ338:AZ371" si="208">IF(L338&gt;0,1,0)</f>
        <v>1</v>
      </c>
      <c r="BA338" s="49">
        <f t="shared" ref="BA338:BA371" si="209">IF(M338&gt;0,1,0)</f>
        <v>0</v>
      </c>
      <c r="BB338" s="49">
        <f t="shared" ref="BB338:BB371" si="210">IF(N338&gt;0,1,0)</f>
        <v>0</v>
      </c>
      <c r="BC338" s="49">
        <f t="shared" ref="BC338:BC371" si="211">IF(O338&gt;0,1,0)</f>
        <v>0</v>
      </c>
      <c r="BD338" s="49">
        <f t="shared" ref="BD338:BD371" si="212">IF(P338&gt;0,1,0)</f>
        <v>0</v>
      </c>
      <c r="BE338" s="49">
        <f t="shared" ref="BE338:BE371" si="213">IF(Q338&gt;0,1,0)</f>
        <v>1</v>
      </c>
      <c r="BF338" s="49">
        <f t="shared" ref="BF338:BF371" si="214">IF(R338&gt;0,1,0)</f>
        <v>0</v>
      </c>
      <c r="BG338" s="49">
        <f t="shared" ref="BG338:BG371" si="215">IF(S338&gt;0,1,0)</f>
        <v>0</v>
      </c>
      <c r="BH338" s="49">
        <f t="shared" ref="BH338:BH371" si="216">IF(T338&gt;0,1,0)</f>
        <v>0</v>
      </c>
      <c r="BI338" s="49">
        <f t="shared" ref="BI338:BI371" si="217">IF(U338&gt;0,1,0)</f>
        <v>1</v>
      </c>
      <c r="BJ338" s="49">
        <f t="shared" ref="BJ338:BJ371" si="218">IF(V338&gt;0,1,0)</f>
        <v>0</v>
      </c>
      <c r="BK338" s="49">
        <f t="shared" ref="BK338:BK371" si="219">IF(W338&gt;0,1,0)</f>
        <v>0</v>
      </c>
      <c r="BL338" s="49">
        <f t="shared" ref="BL338:BL371" si="220">IF(X338&gt;0,1,0)</f>
        <v>1</v>
      </c>
      <c r="BM338" s="49">
        <f t="shared" ref="BM338:BM371" si="221">IF(Y338&gt;0,1,0)</f>
        <v>0</v>
      </c>
      <c r="BN338" s="49">
        <f t="shared" ref="BN338:BN371" si="222">IF(Z338&gt;0,1,0)</f>
        <v>0</v>
      </c>
      <c r="BO338" s="49">
        <f t="shared" ref="BO338:BO371" si="223">IF(AA338&gt;0,1,0)</f>
        <v>0</v>
      </c>
      <c r="BP338" s="49">
        <f t="shared" ref="BP338:BP371" si="224">IF(AB338&gt;0,1,0)</f>
        <v>1</v>
      </c>
      <c r="BQ338" s="49">
        <f t="shared" ref="BQ338:BQ371" si="225">IF(AC338&gt;0,1,0)</f>
        <v>0</v>
      </c>
      <c r="BR338" s="49">
        <f t="shared" ref="BR338:BR371" si="226">IF(AD338&gt;0,1,0)</f>
        <v>0</v>
      </c>
      <c r="BS338" s="49">
        <f t="shared" ref="BS338:BS371" si="227">IF(AE338&gt;0,1,0)</f>
        <v>0</v>
      </c>
      <c r="BT338" s="49">
        <f t="shared" ref="BT338:BT371" si="228">IF(AF338&gt;0,1,0)</f>
        <v>0</v>
      </c>
      <c r="BU338" s="49">
        <f t="shared" ref="BU338:BU371" si="229">IF(AG338&gt;0,1,0)</f>
        <v>1</v>
      </c>
      <c r="BV338" s="49">
        <f t="shared" ref="BV338:BV371" si="230">IF(AH338&gt;0,1,0)</f>
        <v>0</v>
      </c>
      <c r="BW338" s="49">
        <f t="shared" ref="BW338:BW371" si="231">IF(AI338&gt;0,1,0)</f>
        <v>0</v>
      </c>
      <c r="BX338" s="49">
        <f t="shared" ref="BX338:BX371" si="232">IF(AJ338&gt;0,1,0)</f>
        <v>1</v>
      </c>
      <c r="BY338" s="49">
        <f t="shared" ref="BY338:BY371" si="233">IF(AK338&gt;0,1,0)</f>
        <v>0</v>
      </c>
      <c r="BZ338" s="49">
        <f t="shared" ref="BZ338:BZ371" si="234">IF(AL338&gt;0,1,0)</f>
        <v>0</v>
      </c>
      <c r="CA338" s="49">
        <f t="shared" ref="CA338:CA371" si="235">IF(AM338&gt;0,1,0)</f>
        <v>0</v>
      </c>
      <c r="CB338" s="49">
        <f t="shared" ref="CB338:CB371" si="236">IF(AN338&gt;0,1,0)</f>
        <v>0</v>
      </c>
      <c r="CC338" s="49">
        <f t="shared" ref="CC338:CC371" si="237">IF(AO338&gt;0,1,0)</f>
        <v>1</v>
      </c>
      <c r="CD338" s="49">
        <f t="shared" ref="CD338:CD371" si="238">IF(AP338&gt;0,1,0)</f>
        <v>0</v>
      </c>
      <c r="CE338" s="49">
        <f t="shared" ref="CE338:CE371" si="239">IF(AQ338&gt;0,1,0)</f>
        <v>0</v>
      </c>
    </row>
    <row r="339" spans="1:83" ht="35.1" customHeight="1" x14ac:dyDescent="0.3">
      <c r="A339" s="123" t="str">
        <f t="shared" si="200"/>
        <v>3팀</v>
      </c>
      <c r="B339" s="69">
        <f t="shared" si="201"/>
        <v>333</v>
      </c>
      <c r="C339" s="120" t="str">
        <f>IF(VLOOKUP($B339,'1. 현장별 인원현황'!$C:$J,2,0)=0,"",VLOOKUP($B339,'1. 현장별 인원현황'!$C:$J,2,0))</f>
        <v xml:space="preserve"> [3.쿠팡] DAE3,7,8 FC(대구) Ph2 전기공사</v>
      </c>
      <c r="D339" s="70" t="str">
        <f>IF(VLOOKUP($B339,'1. 현장별 인원현황'!$C:$J,3,0)=0,"",VLOOKUP($B339,'1. 현장별 인원현황'!$C:$J,3,0))</f>
        <v>문영훈</v>
      </c>
      <c r="E339" s="74" t="str">
        <f ca="1">IF(VLOOKUP($B339,'1. 현장별 인원현황'!$C:$J,4,0)=0,"",VLOOKUP($B339,'1. 현장별 인원현황'!$C:$J,4,0))</f>
        <v>43세</v>
      </c>
      <c r="F339" s="70" t="str">
        <f>IF(VLOOKUP($B339,'1. 현장별 인원현황'!$C:$J,7,0)=0,"",VLOOKUP($B339,'1. 현장별 인원현황'!$C:$J,7,0))</f>
        <v>기능공</v>
      </c>
      <c r="G339" s="72" t="str">
        <f>IF(VLOOKUP($B339,'1. 현장별 인원현황'!$C:$J,8,0)=0,"",VLOOKUP($B339,'1. 현장별 인원현황'!$C:$J,8,0))</f>
        <v>전공</v>
      </c>
      <c r="H339" s="67"/>
      <c r="I339" s="73" t="s">
        <v>69</v>
      </c>
      <c r="J339" s="73"/>
      <c r="K339" s="68"/>
      <c r="L339" s="67" t="s">
        <v>69</v>
      </c>
      <c r="M339" s="73"/>
      <c r="N339" s="73"/>
      <c r="O339" s="68"/>
      <c r="P339" s="67"/>
      <c r="Q339" s="73" t="s">
        <v>69</v>
      </c>
      <c r="R339" s="73"/>
      <c r="S339" s="68"/>
      <c r="T339" s="67"/>
      <c r="U339" s="73" t="s">
        <v>69</v>
      </c>
      <c r="V339" s="73"/>
      <c r="W339" s="68"/>
      <c r="X339" s="67" t="s">
        <v>69</v>
      </c>
      <c r="Y339" s="73"/>
      <c r="Z339" s="73"/>
      <c r="AA339" s="68"/>
      <c r="AB339" s="67" t="s">
        <v>69</v>
      </c>
      <c r="AC339" s="73"/>
      <c r="AD339" s="73"/>
      <c r="AE339" s="68"/>
      <c r="AF339" s="67"/>
      <c r="AG339" s="73" t="s">
        <v>69</v>
      </c>
      <c r="AH339" s="73"/>
      <c r="AI339" s="68"/>
      <c r="AJ339" s="67" t="s">
        <v>69</v>
      </c>
      <c r="AK339" s="73"/>
      <c r="AL339" s="73"/>
      <c r="AM339" s="68"/>
      <c r="AN339" s="73" t="s">
        <v>69</v>
      </c>
      <c r="AO339" s="73"/>
      <c r="AP339" s="73"/>
      <c r="AQ339" s="68"/>
      <c r="AR339" s="67">
        <f t="shared" si="202"/>
        <v>90</v>
      </c>
      <c r="AS339" s="68" t="str">
        <f t="shared" si="203"/>
        <v>S</v>
      </c>
      <c r="AV339" s="49">
        <f t="shared" si="204"/>
        <v>0</v>
      </c>
      <c r="AW339" s="49">
        <f t="shared" si="205"/>
        <v>1</v>
      </c>
      <c r="AX339" s="49">
        <f t="shared" si="206"/>
        <v>0</v>
      </c>
      <c r="AY339" s="49">
        <f t="shared" si="207"/>
        <v>0</v>
      </c>
      <c r="AZ339" s="49">
        <f t="shared" si="208"/>
        <v>1</v>
      </c>
      <c r="BA339" s="49">
        <f t="shared" si="209"/>
        <v>0</v>
      </c>
      <c r="BB339" s="49">
        <f t="shared" si="210"/>
        <v>0</v>
      </c>
      <c r="BC339" s="49">
        <f t="shared" si="211"/>
        <v>0</v>
      </c>
      <c r="BD339" s="49">
        <f t="shared" si="212"/>
        <v>0</v>
      </c>
      <c r="BE339" s="49">
        <f t="shared" si="213"/>
        <v>1</v>
      </c>
      <c r="BF339" s="49">
        <f t="shared" si="214"/>
        <v>0</v>
      </c>
      <c r="BG339" s="49">
        <f t="shared" si="215"/>
        <v>0</v>
      </c>
      <c r="BH339" s="49">
        <f t="shared" si="216"/>
        <v>0</v>
      </c>
      <c r="BI339" s="49">
        <f t="shared" si="217"/>
        <v>1</v>
      </c>
      <c r="BJ339" s="49">
        <f t="shared" si="218"/>
        <v>0</v>
      </c>
      <c r="BK339" s="49">
        <f t="shared" si="219"/>
        <v>0</v>
      </c>
      <c r="BL339" s="49">
        <f t="shared" si="220"/>
        <v>1</v>
      </c>
      <c r="BM339" s="49">
        <f t="shared" si="221"/>
        <v>0</v>
      </c>
      <c r="BN339" s="49">
        <f t="shared" si="222"/>
        <v>0</v>
      </c>
      <c r="BO339" s="49">
        <f t="shared" si="223"/>
        <v>0</v>
      </c>
      <c r="BP339" s="49">
        <f t="shared" si="224"/>
        <v>1</v>
      </c>
      <c r="BQ339" s="49">
        <f t="shared" si="225"/>
        <v>0</v>
      </c>
      <c r="BR339" s="49">
        <f t="shared" si="226"/>
        <v>0</v>
      </c>
      <c r="BS339" s="49">
        <f t="shared" si="227"/>
        <v>0</v>
      </c>
      <c r="BT339" s="49">
        <f t="shared" si="228"/>
        <v>0</v>
      </c>
      <c r="BU339" s="49">
        <f t="shared" si="229"/>
        <v>1</v>
      </c>
      <c r="BV339" s="49">
        <f t="shared" si="230"/>
        <v>0</v>
      </c>
      <c r="BW339" s="49">
        <f t="shared" si="231"/>
        <v>0</v>
      </c>
      <c r="BX339" s="49">
        <f t="shared" si="232"/>
        <v>1</v>
      </c>
      <c r="BY339" s="49">
        <f t="shared" si="233"/>
        <v>0</v>
      </c>
      <c r="BZ339" s="49">
        <f t="shared" si="234"/>
        <v>0</v>
      </c>
      <c r="CA339" s="49">
        <f t="shared" si="235"/>
        <v>0</v>
      </c>
      <c r="CB339" s="49">
        <f t="shared" si="236"/>
        <v>1</v>
      </c>
      <c r="CC339" s="49">
        <f t="shared" si="237"/>
        <v>0</v>
      </c>
      <c r="CD339" s="49">
        <f t="shared" si="238"/>
        <v>0</v>
      </c>
      <c r="CE339" s="49">
        <f t="shared" si="239"/>
        <v>0</v>
      </c>
    </row>
    <row r="340" spans="1:83" ht="35.1" customHeight="1" x14ac:dyDescent="0.3">
      <c r="A340" s="123" t="str">
        <f t="shared" si="200"/>
        <v>3팀</v>
      </c>
      <c r="B340" s="69">
        <f t="shared" si="201"/>
        <v>334</v>
      </c>
      <c r="C340" s="120" t="str">
        <f>IF(VLOOKUP($B340,'1. 현장별 인원현황'!$C:$J,2,0)=0,"",VLOOKUP($B340,'1. 현장별 인원현황'!$C:$J,2,0))</f>
        <v xml:space="preserve"> [3.쿠팡] DAE3,7,8 FC(대구) Ph2 전기공사</v>
      </c>
      <c r="D340" s="70" t="str">
        <f>IF(VLOOKUP($B340,'1. 현장별 인원현황'!$C:$J,3,0)=0,"",VLOOKUP($B340,'1. 현장별 인원현황'!$C:$J,3,0))</f>
        <v>박근형</v>
      </c>
      <c r="E340" s="74" t="str">
        <f ca="1">IF(VLOOKUP($B340,'1. 현장별 인원현황'!$C:$J,4,0)=0,"",VLOOKUP($B340,'1. 현장별 인원현황'!$C:$J,4,0))</f>
        <v>41세</v>
      </c>
      <c r="F340" s="70" t="str">
        <f>IF(VLOOKUP($B340,'1. 현장별 인원현황'!$C:$J,7,0)=0,"",VLOOKUP($B340,'1. 현장별 인원현황'!$C:$J,7,0))</f>
        <v>기능공</v>
      </c>
      <c r="G340" s="72" t="str">
        <f>IF(VLOOKUP($B340,'1. 현장별 인원현황'!$C:$J,8,0)=0,"",VLOOKUP($B340,'1. 현장별 인원현황'!$C:$J,8,0))</f>
        <v>조공</v>
      </c>
      <c r="H340" s="67"/>
      <c r="I340" s="73" t="s">
        <v>69</v>
      </c>
      <c r="J340" s="73"/>
      <c r="K340" s="68"/>
      <c r="L340" s="67"/>
      <c r="M340" s="73" t="s">
        <v>69</v>
      </c>
      <c r="N340" s="73"/>
      <c r="O340" s="68"/>
      <c r="P340" s="67"/>
      <c r="Q340" s="73" t="s">
        <v>69</v>
      </c>
      <c r="R340" s="73"/>
      <c r="S340" s="68"/>
      <c r="T340" s="67"/>
      <c r="U340" s="73" t="s">
        <v>69</v>
      </c>
      <c r="V340" s="73"/>
      <c r="W340" s="68"/>
      <c r="X340" s="67"/>
      <c r="Y340" s="73" t="s">
        <v>69</v>
      </c>
      <c r="Z340" s="73"/>
      <c r="AA340" s="68"/>
      <c r="AB340" s="67" t="s">
        <v>69</v>
      </c>
      <c r="AC340" s="73"/>
      <c r="AD340" s="73"/>
      <c r="AE340" s="68"/>
      <c r="AF340" s="67"/>
      <c r="AG340" s="73" t="s">
        <v>69</v>
      </c>
      <c r="AH340" s="73"/>
      <c r="AI340" s="68"/>
      <c r="AJ340" s="67" t="s">
        <v>69</v>
      </c>
      <c r="AK340" s="73"/>
      <c r="AL340" s="73"/>
      <c r="AM340" s="68"/>
      <c r="AN340" s="73"/>
      <c r="AO340" s="73" t="s">
        <v>69</v>
      </c>
      <c r="AP340" s="73"/>
      <c r="AQ340" s="68"/>
      <c r="AR340" s="67">
        <f t="shared" si="202"/>
        <v>82</v>
      </c>
      <c r="AS340" s="68" t="str">
        <f t="shared" si="203"/>
        <v>A</v>
      </c>
      <c r="AV340" s="49">
        <f t="shared" si="204"/>
        <v>0</v>
      </c>
      <c r="AW340" s="49">
        <f t="shared" si="205"/>
        <v>1</v>
      </c>
      <c r="AX340" s="49">
        <f t="shared" si="206"/>
        <v>0</v>
      </c>
      <c r="AY340" s="49">
        <f t="shared" si="207"/>
        <v>0</v>
      </c>
      <c r="AZ340" s="49">
        <f t="shared" si="208"/>
        <v>0</v>
      </c>
      <c r="BA340" s="49">
        <f t="shared" si="209"/>
        <v>1</v>
      </c>
      <c r="BB340" s="49">
        <f t="shared" si="210"/>
        <v>0</v>
      </c>
      <c r="BC340" s="49">
        <f t="shared" si="211"/>
        <v>0</v>
      </c>
      <c r="BD340" s="49">
        <f t="shared" si="212"/>
        <v>0</v>
      </c>
      <c r="BE340" s="49">
        <f t="shared" si="213"/>
        <v>1</v>
      </c>
      <c r="BF340" s="49">
        <f t="shared" si="214"/>
        <v>0</v>
      </c>
      <c r="BG340" s="49">
        <f t="shared" si="215"/>
        <v>0</v>
      </c>
      <c r="BH340" s="49">
        <f t="shared" si="216"/>
        <v>0</v>
      </c>
      <c r="BI340" s="49">
        <f t="shared" si="217"/>
        <v>1</v>
      </c>
      <c r="BJ340" s="49">
        <f t="shared" si="218"/>
        <v>0</v>
      </c>
      <c r="BK340" s="49">
        <f t="shared" si="219"/>
        <v>0</v>
      </c>
      <c r="BL340" s="49">
        <f t="shared" si="220"/>
        <v>0</v>
      </c>
      <c r="BM340" s="49">
        <f t="shared" si="221"/>
        <v>1</v>
      </c>
      <c r="BN340" s="49">
        <f t="shared" si="222"/>
        <v>0</v>
      </c>
      <c r="BO340" s="49">
        <f t="shared" si="223"/>
        <v>0</v>
      </c>
      <c r="BP340" s="49">
        <f t="shared" si="224"/>
        <v>1</v>
      </c>
      <c r="BQ340" s="49">
        <f t="shared" si="225"/>
        <v>0</v>
      </c>
      <c r="BR340" s="49">
        <f t="shared" si="226"/>
        <v>0</v>
      </c>
      <c r="BS340" s="49">
        <f t="shared" si="227"/>
        <v>0</v>
      </c>
      <c r="BT340" s="49">
        <f t="shared" si="228"/>
        <v>0</v>
      </c>
      <c r="BU340" s="49">
        <f t="shared" si="229"/>
        <v>1</v>
      </c>
      <c r="BV340" s="49">
        <f t="shared" si="230"/>
        <v>0</v>
      </c>
      <c r="BW340" s="49">
        <f t="shared" si="231"/>
        <v>0</v>
      </c>
      <c r="BX340" s="49">
        <f t="shared" si="232"/>
        <v>1</v>
      </c>
      <c r="BY340" s="49">
        <f t="shared" si="233"/>
        <v>0</v>
      </c>
      <c r="BZ340" s="49">
        <f t="shared" si="234"/>
        <v>0</v>
      </c>
      <c r="CA340" s="49">
        <f t="shared" si="235"/>
        <v>0</v>
      </c>
      <c r="CB340" s="49">
        <f t="shared" si="236"/>
        <v>0</v>
      </c>
      <c r="CC340" s="49">
        <f t="shared" si="237"/>
        <v>1</v>
      </c>
      <c r="CD340" s="49">
        <f t="shared" si="238"/>
        <v>0</v>
      </c>
      <c r="CE340" s="49">
        <f t="shared" si="239"/>
        <v>0</v>
      </c>
    </row>
    <row r="341" spans="1:83" ht="35.1" customHeight="1" x14ac:dyDescent="0.3">
      <c r="A341" s="123" t="str">
        <f t="shared" si="200"/>
        <v>3팀</v>
      </c>
      <c r="B341" s="69">
        <f t="shared" si="201"/>
        <v>335</v>
      </c>
      <c r="C341" s="120" t="str">
        <f>IF(VLOOKUP($B341,'1. 현장별 인원현황'!$C:$J,2,0)=0,"",VLOOKUP($B341,'1. 현장별 인원현황'!$C:$J,2,0))</f>
        <v xml:space="preserve"> [3.쿠팡] DAE3,7,8 FC(대구) Ph2 전기공사</v>
      </c>
      <c r="D341" s="70" t="str">
        <f>IF(VLOOKUP($B341,'1. 현장별 인원현황'!$C:$J,3,0)=0,"",VLOOKUP($B341,'1. 현장별 인원현황'!$C:$J,3,0))</f>
        <v>박진용</v>
      </c>
      <c r="E341" s="74" t="str">
        <f ca="1">IF(VLOOKUP($B341,'1. 현장별 인원현황'!$C:$J,4,0)=0,"",VLOOKUP($B341,'1. 현장별 인원현황'!$C:$J,4,0))</f>
        <v>31세</v>
      </c>
      <c r="F341" s="70" t="str">
        <f>IF(VLOOKUP($B341,'1. 현장별 인원현황'!$C:$J,7,0)=0,"",VLOOKUP($B341,'1. 현장별 인원현황'!$C:$J,7,0))</f>
        <v>기능공</v>
      </c>
      <c r="G341" s="72" t="str">
        <f>IF(VLOOKUP($B341,'1. 현장별 인원현황'!$C:$J,8,0)=0,"",VLOOKUP($B341,'1. 현장별 인원현황'!$C:$J,8,0))</f>
        <v>전공</v>
      </c>
      <c r="H341" s="67"/>
      <c r="I341" s="73" t="s">
        <v>69</v>
      </c>
      <c r="J341" s="73"/>
      <c r="K341" s="68"/>
      <c r="L341" s="67"/>
      <c r="M341" s="73" t="s">
        <v>69</v>
      </c>
      <c r="N341" s="73"/>
      <c r="O341" s="68"/>
      <c r="P341" s="67"/>
      <c r="Q341" s="73" t="s">
        <v>69</v>
      </c>
      <c r="R341" s="73"/>
      <c r="S341" s="68"/>
      <c r="T341" s="67"/>
      <c r="U341" s="73" t="s">
        <v>69</v>
      </c>
      <c r="V341" s="73"/>
      <c r="W341" s="68"/>
      <c r="X341" s="67"/>
      <c r="Y341" s="73" t="s">
        <v>69</v>
      </c>
      <c r="Z341" s="73"/>
      <c r="AA341" s="68"/>
      <c r="AB341" s="67"/>
      <c r="AC341" s="73" t="s">
        <v>69</v>
      </c>
      <c r="AD341" s="73"/>
      <c r="AE341" s="68"/>
      <c r="AF341" s="67"/>
      <c r="AG341" s="73"/>
      <c r="AH341" s="73" t="s">
        <v>69</v>
      </c>
      <c r="AI341" s="68"/>
      <c r="AJ341" s="67"/>
      <c r="AK341" s="73" t="s">
        <v>69</v>
      </c>
      <c r="AL341" s="73"/>
      <c r="AM341" s="68"/>
      <c r="AN341" s="73"/>
      <c r="AO341" s="73"/>
      <c r="AP341" s="73"/>
      <c r="AQ341" s="68" t="s">
        <v>69</v>
      </c>
      <c r="AR341" s="67">
        <f t="shared" si="202"/>
        <v>69</v>
      </c>
      <c r="AS341" s="68" t="str">
        <f t="shared" si="203"/>
        <v>B</v>
      </c>
      <c r="AV341" s="49">
        <f t="shared" si="204"/>
        <v>0</v>
      </c>
      <c r="AW341" s="49">
        <f t="shared" si="205"/>
        <v>1</v>
      </c>
      <c r="AX341" s="49">
        <f t="shared" si="206"/>
        <v>0</v>
      </c>
      <c r="AY341" s="49">
        <f t="shared" si="207"/>
        <v>0</v>
      </c>
      <c r="AZ341" s="49">
        <f t="shared" si="208"/>
        <v>0</v>
      </c>
      <c r="BA341" s="49">
        <f t="shared" si="209"/>
        <v>1</v>
      </c>
      <c r="BB341" s="49">
        <f t="shared" si="210"/>
        <v>0</v>
      </c>
      <c r="BC341" s="49">
        <f t="shared" si="211"/>
        <v>0</v>
      </c>
      <c r="BD341" s="49">
        <f t="shared" si="212"/>
        <v>0</v>
      </c>
      <c r="BE341" s="49">
        <f t="shared" si="213"/>
        <v>1</v>
      </c>
      <c r="BF341" s="49">
        <f t="shared" si="214"/>
        <v>0</v>
      </c>
      <c r="BG341" s="49">
        <f t="shared" si="215"/>
        <v>0</v>
      </c>
      <c r="BH341" s="49">
        <f t="shared" si="216"/>
        <v>0</v>
      </c>
      <c r="BI341" s="49">
        <f t="shared" si="217"/>
        <v>1</v>
      </c>
      <c r="BJ341" s="49">
        <f t="shared" si="218"/>
        <v>0</v>
      </c>
      <c r="BK341" s="49">
        <f t="shared" si="219"/>
        <v>0</v>
      </c>
      <c r="BL341" s="49">
        <f t="shared" si="220"/>
        <v>0</v>
      </c>
      <c r="BM341" s="49">
        <f t="shared" si="221"/>
        <v>1</v>
      </c>
      <c r="BN341" s="49">
        <f t="shared" si="222"/>
        <v>0</v>
      </c>
      <c r="BO341" s="49">
        <f t="shared" si="223"/>
        <v>0</v>
      </c>
      <c r="BP341" s="49">
        <f t="shared" si="224"/>
        <v>0</v>
      </c>
      <c r="BQ341" s="49">
        <f t="shared" si="225"/>
        <v>1</v>
      </c>
      <c r="BR341" s="49">
        <f t="shared" si="226"/>
        <v>0</v>
      </c>
      <c r="BS341" s="49">
        <f t="shared" si="227"/>
        <v>0</v>
      </c>
      <c r="BT341" s="49">
        <f t="shared" si="228"/>
        <v>0</v>
      </c>
      <c r="BU341" s="49">
        <f t="shared" si="229"/>
        <v>0</v>
      </c>
      <c r="BV341" s="49">
        <f t="shared" si="230"/>
        <v>1</v>
      </c>
      <c r="BW341" s="49">
        <f t="shared" si="231"/>
        <v>0</v>
      </c>
      <c r="BX341" s="49">
        <f t="shared" si="232"/>
        <v>0</v>
      </c>
      <c r="BY341" s="49">
        <f t="shared" si="233"/>
        <v>1</v>
      </c>
      <c r="BZ341" s="49">
        <f t="shared" si="234"/>
        <v>0</v>
      </c>
      <c r="CA341" s="49">
        <f t="shared" si="235"/>
        <v>0</v>
      </c>
      <c r="CB341" s="49">
        <f t="shared" si="236"/>
        <v>0</v>
      </c>
      <c r="CC341" s="49">
        <f t="shared" si="237"/>
        <v>0</v>
      </c>
      <c r="CD341" s="49">
        <f t="shared" si="238"/>
        <v>0</v>
      </c>
      <c r="CE341" s="49">
        <f t="shared" si="239"/>
        <v>1</v>
      </c>
    </row>
    <row r="342" spans="1:83" ht="35.1" customHeight="1" x14ac:dyDescent="0.3">
      <c r="A342" s="123" t="str">
        <f t="shared" si="200"/>
        <v>3팀</v>
      </c>
      <c r="B342" s="69">
        <f t="shared" si="201"/>
        <v>336</v>
      </c>
      <c r="C342" s="120" t="str">
        <f>IF(VLOOKUP($B342,'1. 현장별 인원현황'!$C:$J,2,0)=0,"",VLOOKUP($B342,'1. 현장별 인원현황'!$C:$J,2,0))</f>
        <v xml:space="preserve"> [3.쿠팡] DAE3,7,8 FC(대구) Ph2 전기공사</v>
      </c>
      <c r="D342" s="70" t="str">
        <f>IF(VLOOKUP($B342,'1. 현장별 인원현황'!$C:$J,3,0)=0,"",VLOOKUP($B342,'1. 현장별 인원현황'!$C:$J,3,0))</f>
        <v>방현태</v>
      </c>
      <c r="E342" s="74" t="str">
        <f ca="1">IF(VLOOKUP($B342,'1. 현장별 인원현황'!$C:$J,4,0)=0,"",VLOOKUP($B342,'1. 현장별 인원현황'!$C:$J,4,0))</f>
        <v>45세</v>
      </c>
      <c r="F342" s="70" t="str">
        <f>IF(VLOOKUP($B342,'1. 현장별 인원현황'!$C:$J,7,0)=0,"",VLOOKUP($B342,'1. 현장별 인원현황'!$C:$J,7,0))</f>
        <v>기능공</v>
      </c>
      <c r="G342" s="72" t="str">
        <f>IF(VLOOKUP($B342,'1. 현장별 인원현황'!$C:$J,8,0)=0,"",VLOOKUP($B342,'1. 현장별 인원현황'!$C:$J,8,0))</f>
        <v>전공</v>
      </c>
      <c r="H342" s="67"/>
      <c r="I342" s="73" t="s">
        <v>69</v>
      </c>
      <c r="J342" s="73"/>
      <c r="K342" s="68"/>
      <c r="L342" s="67"/>
      <c r="M342" s="73" t="s">
        <v>69</v>
      </c>
      <c r="N342" s="73"/>
      <c r="O342" s="68"/>
      <c r="P342" s="67"/>
      <c r="Q342" s="73" t="s">
        <v>69</v>
      </c>
      <c r="R342" s="73"/>
      <c r="S342" s="68"/>
      <c r="T342" s="67"/>
      <c r="U342" s="73" t="s">
        <v>69</v>
      </c>
      <c r="V342" s="73"/>
      <c r="W342" s="68"/>
      <c r="X342" s="67" t="s">
        <v>69</v>
      </c>
      <c r="Y342" s="73"/>
      <c r="Z342" s="73"/>
      <c r="AA342" s="68"/>
      <c r="AB342" s="67" t="s">
        <v>69</v>
      </c>
      <c r="AC342" s="73"/>
      <c r="AD342" s="73"/>
      <c r="AE342" s="68"/>
      <c r="AF342" s="67"/>
      <c r="AG342" s="73" t="s">
        <v>69</v>
      </c>
      <c r="AH342" s="73"/>
      <c r="AI342" s="68"/>
      <c r="AJ342" s="67" t="s">
        <v>69</v>
      </c>
      <c r="AK342" s="73"/>
      <c r="AL342" s="73"/>
      <c r="AM342" s="68"/>
      <c r="AN342" s="73"/>
      <c r="AO342" s="73" t="s">
        <v>69</v>
      </c>
      <c r="AP342" s="73"/>
      <c r="AQ342" s="68"/>
      <c r="AR342" s="67">
        <f t="shared" si="202"/>
        <v>84</v>
      </c>
      <c r="AS342" s="68" t="str">
        <f t="shared" si="203"/>
        <v>A</v>
      </c>
      <c r="AV342" s="49">
        <f t="shared" si="204"/>
        <v>0</v>
      </c>
      <c r="AW342" s="49">
        <f t="shared" si="205"/>
        <v>1</v>
      </c>
      <c r="AX342" s="49">
        <f t="shared" si="206"/>
        <v>0</v>
      </c>
      <c r="AY342" s="49">
        <f t="shared" si="207"/>
        <v>0</v>
      </c>
      <c r="AZ342" s="49">
        <f t="shared" si="208"/>
        <v>0</v>
      </c>
      <c r="BA342" s="49">
        <f t="shared" si="209"/>
        <v>1</v>
      </c>
      <c r="BB342" s="49">
        <f t="shared" si="210"/>
        <v>0</v>
      </c>
      <c r="BC342" s="49">
        <f t="shared" si="211"/>
        <v>0</v>
      </c>
      <c r="BD342" s="49">
        <f t="shared" si="212"/>
        <v>0</v>
      </c>
      <c r="BE342" s="49">
        <f t="shared" si="213"/>
        <v>1</v>
      </c>
      <c r="BF342" s="49">
        <f t="shared" si="214"/>
        <v>0</v>
      </c>
      <c r="BG342" s="49">
        <f t="shared" si="215"/>
        <v>0</v>
      </c>
      <c r="BH342" s="49">
        <f t="shared" si="216"/>
        <v>0</v>
      </c>
      <c r="BI342" s="49">
        <f t="shared" si="217"/>
        <v>1</v>
      </c>
      <c r="BJ342" s="49">
        <f t="shared" si="218"/>
        <v>0</v>
      </c>
      <c r="BK342" s="49">
        <f t="shared" si="219"/>
        <v>0</v>
      </c>
      <c r="BL342" s="49">
        <f t="shared" si="220"/>
        <v>1</v>
      </c>
      <c r="BM342" s="49">
        <f t="shared" si="221"/>
        <v>0</v>
      </c>
      <c r="BN342" s="49">
        <f t="shared" si="222"/>
        <v>0</v>
      </c>
      <c r="BO342" s="49">
        <f t="shared" si="223"/>
        <v>0</v>
      </c>
      <c r="BP342" s="49">
        <f t="shared" si="224"/>
        <v>1</v>
      </c>
      <c r="BQ342" s="49">
        <f t="shared" si="225"/>
        <v>0</v>
      </c>
      <c r="BR342" s="49">
        <f t="shared" si="226"/>
        <v>0</v>
      </c>
      <c r="BS342" s="49">
        <f t="shared" si="227"/>
        <v>0</v>
      </c>
      <c r="BT342" s="49">
        <f t="shared" si="228"/>
        <v>0</v>
      </c>
      <c r="BU342" s="49">
        <f t="shared" si="229"/>
        <v>1</v>
      </c>
      <c r="BV342" s="49">
        <f t="shared" si="230"/>
        <v>0</v>
      </c>
      <c r="BW342" s="49">
        <f t="shared" si="231"/>
        <v>0</v>
      </c>
      <c r="BX342" s="49">
        <f t="shared" si="232"/>
        <v>1</v>
      </c>
      <c r="BY342" s="49">
        <f t="shared" si="233"/>
        <v>0</v>
      </c>
      <c r="BZ342" s="49">
        <f t="shared" si="234"/>
        <v>0</v>
      </c>
      <c r="CA342" s="49">
        <f t="shared" si="235"/>
        <v>0</v>
      </c>
      <c r="CB342" s="49">
        <f t="shared" si="236"/>
        <v>0</v>
      </c>
      <c r="CC342" s="49">
        <f t="shared" si="237"/>
        <v>1</v>
      </c>
      <c r="CD342" s="49">
        <f t="shared" si="238"/>
        <v>0</v>
      </c>
      <c r="CE342" s="49">
        <f t="shared" si="239"/>
        <v>0</v>
      </c>
    </row>
    <row r="343" spans="1:83" ht="35.1" customHeight="1" x14ac:dyDescent="0.3">
      <c r="A343" s="123" t="str">
        <f t="shared" si="200"/>
        <v>3팀</v>
      </c>
      <c r="B343" s="69">
        <f t="shared" si="201"/>
        <v>337</v>
      </c>
      <c r="C343" s="120" t="str">
        <f>IF(VLOOKUP($B343,'1. 현장별 인원현황'!$C:$J,2,0)=0,"",VLOOKUP($B343,'1. 현장별 인원현황'!$C:$J,2,0))</f>
        <v xml:space="preserve"> [3.쿠팡] DAE3,7,8 FC(대구) Ph2 전기공사</v>
      </c>
      <c r="D343" s="70" t="str">
        <f>IF(VLOOKUP($B343,'1. 현장별 인원현황'!$C:$J,3,0)=0,"",VLOOKUP($B343,'1. 현장별 인원현황'!$C:$J,3,0))</f>
        <v>오정호</v>
      </c>
      <c r="E343" s="74" t="str">
        <f ca="1">IF(VLOOKUP($B343,'1. 현장별 인원현황'!$C:$J,4,0)=0,"",VLOOKUP($B343,'1. 현장별 인원현황'!$C:$J,4,0))</f>
        <v>47세</v>
      </c>
      <c r="F343" s="70" t="str">
        <f>IF(VLOOKUP($B343,'1. 현장별 인원현황'!$C:$J,7,0)=0,"",VLOOKUP($B343,'1. 현장별 인원현황'!$C:$J,7,0))</f>
        <v>기능공</v>
      </c>
      <c r="G343" s="72" t="str">
        <f>IF(VLOOKUP($B343,'1. 현장별 인원현황'!$C:$J,8,0)=0,"",VLOOKUP($B343,'1. 현장별 인원현황'!$C:$J,8,0))</f>
        <v>전공</v>
      </c>
      <c r="H343" s="67"/>
      <c r="I343" s="73" t="s">
        <v>69</v>
      </c>
      <c r="J343" s="73"/>
      <c r="K343" s="68"/>
      <c r="L343" s="67"/>
      <c r="M343" s="73" t="s">
        <v>69</v>
      </c>
      <c r="N343" s="73"/>
      <c r="O343" s="68"/>
      <c r="P343" s="67"/>
      <c r="Q343" s="73" t="s">
        <v>69</v>
      </c>
      <c r="R343" s="73"/>
      <c r="S343" s="68"/>
      <c r="T343" s="67"/>
      <c r="U343" s="73" t="s">
        <v>69</v>
      </c>
      <c r="V343" s="73"/>
      <c r="W343" s="68"/>
      <c r="X343" s="67" t="s">
        <v>69</v>
      </c>
      <c r="Y343" s="73"/>
      <c r="Z343" s="73"/>
      <c r="AA343" s="68"/>
      <c r="AB343" s="67" t="s">
        <v>69</v>
      </c>
      <c r="AC343" s="73"/>
      <c r="AD343" s="73"/>
      <c r="AE343" s="68"/>
      <c r="AF343" s="67"/>
      <c r="AG343" s="73" t="s">
        <v>69</v>
      </c>
      <c r="AH343" s="73"/>
      <c r="AI343" s="68"/>
      <c r="AJ343" s="67" t="s">
        <v>69</v>
      </c>
      <c r="AK343" s="73"/>
      <c r="AL343" s="73"/>
      <c r="AM343" s="68"/>
      <c r="AN343" s="73"/>
      <c r="AO343" s="73" t="s">
        <v>69</v>
      </c>
      <c r="AP343" s="73"/>
      <c r="AQ343" s="68"/>
      <c r="AR343" s="67">
        <f t="shared" si="202"/>
        <v>84</v>
      </c>
      <c r="AS343" s="68" t="str">
        <f t="shared" si="203"/>
        <v>A</v>
      </c>
      <c r="AV343" s="49">
        <f t="shared" si="204"/>
        <v>0</v>
      </c>
      <c r="AW343" s="49">
        <f t="shared" si="205"/>
        <v>1</v>
      </c>
      <c r="AX343" s="49">
        <f t="shared" si="206"/>
        <v>0</v>
      </c>
      <c r="AY343" s="49">
        <f t="shared" si="207"/>
        <v>0</v>
      </c>
      <c r="AZ343" s="49">
        <f t="shared" si="208"/>
        <v>0</v>
      </c>
      <c r="BA343" s="49">
        <f t="shared" si="209"/>
        <v>1</v>
      </c>
      <c r="BB343" s="49">
        <f t="shared" si="210"/>
        <v>0</v>
      </c>
      <c r="BC343" s="49">
        <f t="shared" si="211"/>
        <v>0</v>
      </c>
      <c r="BD343" s="49">
        <f t="shared" si="212"/>
        <v>0</v>
      </c>
      <c r="BE343" s="49">
        <f t="shared" si="213"/>
        <v>1</v>
      </c>
      <c r="BF343" s="49">
        <f t="shared" si="214"/>
        <v>0</v>
      </c>
      <c r="BG343" s="49">
        <f t="shared" si="215"/>
        <v>0</v>
      </c>
      <c r="BH343" s="49">
        <f t="shared" si="216"/>
        <v>0</v>
      </c>
      <c r="BI343" s="49">
        <f t="shared" si="217"/>
        <v>1</v>
      </c>
      <c r="BJ343" s="49">
        <f t="shared" si="218"/>
        <v>0</v>
      </c>
      <c r="BK343" s="49">
        <f t="shared" si="219"/>
        <v>0</v>
      </c>
      <c r="BL343" s="49">
        <f t="shared" si="220"/>
        <v>1</v>
      </c>
      <c r="BM343" s="49">
        <f t="shared" si="221"/>
        <v>0</v>
      </c>
      <c r="BN343" s="49">
        <f t="shared" si="222"/>
        <v>0</v>
      </c>
      <c r="BO343" s="49">
        <f t="shared" si="223"/>
        <v>0</v>
      </c>
      <c r="BP343" s="49">
        <f t="shared" si="224"/>
        <v>1</v>
      </c>
      <c r="BQ343" s="49">
        <f t="shared" si="225"/>
        <v>0</v>
      </c>
      <c r="BR343" s="49">
        <f t="shared" si="226"/>
        <v>0</v>
      </c>
      <c r="BS343" s="49">
        <f t="shared" si="227"/>
        <v>0</v>
      </c>
      <c r="BT343" s="49">
        <f t="shared" si="228"/>
        <v>0</v>
      </c>
      <c r="BU343" s="49">
        <f t="shared" si="229"/>
        <v>1</v>
      </c>
      <c r="BV343" s="49">
        <f t="shared" si="230"/>
        <v>0</v>
      </c>
      <c r="BW343" s="49">
        <f t="shared" si="231"/>
        <v>0</v>
      </c>
      <c r="BX343" s="49">
        <f t="shared" si="232"/>
        <v>1</v>
      </c>
      <c r="BY343" s="49">
        <f t="shared" si="233"/>
        <v>0</v>
      </c>
      <c r="BZ343" s="49">
        <f t="shared" si="234"/>
        <v>0</v>
      </c>
      <c r="CA343" s="49">
        <f t="shared" si="235"/>
        <v>0</v>
      </c>
      <c r="CB343" s="49">
        <f t="shared" si="236"/>
        <v>0</v>
      </c>
      <c r="CC343" s="49">
        <f t="shared" si="237"/>
        <v>1</v>
      </c>
      <c r="CD343" s="49">
        <f t="shared" si="238"/>
        <v>0</v>
      </c>
      <c r="CE343" s="49">
        <f t="shared" si="239"/>
        <v>0</v>
      </c>
    </row>
    <row r="344" spans="1:83" ht="35.1" customHeight="1" x14ac:dyDescent="0.3">
      <c r="A344" s="123" t="str">
        <f t="shared" si="200"/>
        <v>3팀</v>
      </c>
      <c r="B344" s="69">
        <f t="shared" si="201"/>
        <v>338</v>
      </c>
      <c r="C344" s="120" t="str">
        <f>IF(VLOOKUP($B344,'1. 현장별 인원현황'!$C:$J,2,0)=0,"",VLOOKUP($B344,'1. 현장별 인원현황'!$C:$J,2,0))</f>
        <v xml:space="preserve"> [3.쿠팡] DAE3,7,8 FC(대구) Ph2 전기공사</v>
      </c>
      <c r="D344" s="70" t="str">
        <f>IF(VLOOKUP($B344,'1. 현장별 인원현황'!$C:$J,3,0)=0,"",VLOOKUP($B344,'1. 현장별 인원현황'!$C:$J,3,0))</f>
        <v>우승범</v>
      </c>
      <c r="E344" s="74" t="str">
        <f ca="1">IF(VLOOKUP($B344,'1. 현장별 인원현황'!$C:$J,4,0)=0,"",VLOOKUP($B344,'1. 현장별 인원현황'!$C:$J,4,0))</f>
        <v>46세</v>
      </c>
      <c r="F344" s="70" t="str">
        <f>IF(VLOOKUP($B344,'1. 현장별 인원현황'!$C:$J,7,0)=0,"",VLOOKUP($B344,'1. 현장별 인원현황'!$C:$J,7,0))</f>
        <v>기능공</v>
      </c>
      <c r="G344" s="72" t="str">
        <f>IF(VLOOKUP($B344,'1. 현장별 인원현황'!$C:$J,8,0)=0,"",VLOOKUP($B344,'1. 현장별 인원현황'!$C:$J,8,0))</f>
        <v>전공</v>
      </c>
      <c r="H344" s="67"/>
      <c r="I344" s="73" t="s">
        <v>69</v>
      </c>
      <c r="J344" s="73"/>
      <c r="K344" s="68"/>
      <c r="L344" s="67" t="s">
        <v>69</v>
      </c>
      <c r="M344" s="73"/>
      <c r="N344" s="73"/>
      <c r="O344" s="68"/>
      <c r="P344" s="67"/>
      <c r="Q344" s="73" t="s">
        <v>69</v>
      </c>
      <c r="R344" s="73"/>
      <c r="S344" s="68"/>
      <c r="T344" s="67"/>
      <c r="U344" s="73" t="s">
        <v>69</v>
      </c>
      <c r="V344" s="73"/>
      <c r="W344" s="68"/>
      <c r="X344" s="67" t="s">
        <v>69</v>
      </c>
      <c r="Y344" s="73"/>
      <c r="Z344" s="73"/>
      <c r="AA344" s="68"/>
      <c r="AB344" s="67" t="s">
        <v>69</v>
      </c>
      <c r="AC344" s="73"/>
      <c r="AD344" s="73"/>
      <c r="AE344" s="68"/>
      <c r="AF344" s="67"/>
      <c r="AG344" s="73" t="s">
        <v>69</v>
      </c>
      <c r="AH344" s="73"/>
      <c r="AI344" s="68"/>
      <c r="AJ344" s="67" t="s">
        <v>69</v>
      </c>
      <c r="AK344" s="73"/>
      <c r="AL344" s="73"/>
      <c r="AM344" s="68"/>
      <c r="AN344" s="73" t="s">
        <v>69</v>
      </c>
      <c r="AO344" s="73"/>
      <c r="AP344" s="73"/>
      <c r="AQ344" s="68"/>
      <c r="AR344" s="67">
        <f t="shared" si="202"/>
        <v>90</v>
      </c>
      <c r="AS344" s="68" t="str">
        <f t="shared" si="203"/>
        <v>S</v>
      </c>
      <c r="AV344" s="49">
        <f t="shared" si="204"/>
        <v>0</v>
      </c>
      <c r="AW344" s="49">
        <f t="shared" si="205"/>
        <v>1</v>
      </c>
      <c r="AX344" s="49">
        <f t="shared" si="206"/>
        <v>0</v>
      </c>
      <c r="AY344" s="49">
        <f t="shared" si="207"/>
        <v>0</v>
      </c>
      <c r="AZ344" s="49">
        <f t="shared" si="208"/>
        <v>1</v>
      </c>
      <c r="BA344" s="49">
        <f t="shared" si="209"/>
        <v>0</v>
      </c>
      <c r="BB344" s="49">
        <f t="shared" si="210"/>
        <v>0</v>
      </c>
      <c r="BC344" s="49">
        <f t="shared" si="211"/>
        <v>0</v>
      </c>
      <c r="BD344" s="49">
        <f t="shared" si="212"/>
        <v>0</v>
      </c>
      <c r="BE344" s="49">
        <f t="shared" si="213"/>
        <v>1</v>
      </c>
      <c r="BF344" s="49">
        <f t="shared" si="214"/>
        <v>0</v>
      </c>
      <c r="BG344" s="49">
        <f t="shared" si="215"/>
        <v>0</v>
      </c>
      <c r="BH344" s="49">
        <f t="shared" si="216"/>
        <v>0</v>
      </c>
      <c r="BI344" s="49">
        <f t="shared" si="217"/>
        <v>1</v>
      </c>
      <c r="BJ344" s="49">
        <f t="shared" si="218"/>
        <v>0</v>
      </c>
      <c r="BK344" s="49">
        <f t="shared" si="219"/>
        <v>0</v>
      </c>
      <c r="BL344" s="49">
        <f t="shared" si="220"/>
        <v>1</v>
      </c>
      <c r="BM344" s="49">
        <f t="shared" si="221"/>
        <v>0</v>
      </c>
      <c r="BN344" s="49">
        <f t="shared" si="222"/>
        <v>0</v>
      </c>
      <c r="BO344" s="49">
        <f t="shared" si="223"/>
        <v>0</v>
      </c>
      <c r="BP344" s="49">
        <f t="shared" si="224"/>
        <v>1</v>
      </c>
      <c r="BQ344" s="49">
        <f t="shared" si="225"/>
        <v>0</v>
      </c>
      <c r="BR344" s="49">
        <f t="shared" si="226"/>
        <v>0</v>
      </c>
      <c r="BS344" s="49">
        <f t="shared" si="227"/>
        <v>0</v>
      </c>
      <c r="BT344" s="49">
        <f t="shared" si="228"/>
        <v>0</v>
      </c>
      <c r="BU344" s="49">
        <f t="shared" si="229"/>
        <v>1</v>
      </c>
      <c r="BV344" s="49">
        <f t="shared" si="230"/>
        <v>0</v>
      </c>
      <c r="BW344" s="49">
        <f t="shared" si="231"/>
        <v>0</v>
      </c>
      <c r="BX344" s="49">
        <f t="shared" si="232"/>
        <v>1</v>
      </c>
      <c r="BY344" s="49">
        <f t="shared" si="233"/>
        <v>0</v>
      </c>
      <c r="BZ344" s="49">
        <f t="shared" si="234"/>
        <v>0</v>
      </c>
      <c r="CA344" s="49">
        <f t="shared" si="235"/>
        <v>0</v>
      </c>
      <c r="CB344" s="49">
        <f t="shared" si="236"/>
        <v>1</v>
      </c>
      <c r="CC344" s="49">
        <f t="shared" si="237"/>
        <v>0</v>
      </c>
      <c r="CD344" s="49">
        <f t="shared" si="238"/>
        <v>0</v>
      </c>
      <c r="CE344" s="49">
        <f t="shared" si="239"/>
        <v>0</v>
      </c>
    </row>
    <row r="345" spans="1:83" ht="35.1" customHeight="1" x14ac:dyDescent="0.3">
      <c r="A345" s="123" t="str">
        <f t="shared" si="200"/>
        <v>3팀</v>
      </c>
      <c r="B345" s="69">
        <f t="shared" si="201"/>
        <v>339</v>
      </c>
      <c r="C345" s="120" t="str">
        <f>IF(VLOOKUP($B345,'1. 현장별 인원현황'!$C:$J,2,0)=0,"",VLOOKUP($B345,'1. 현장별 인원현황'!$C:$J,2,0))</f>
        <v xml:space="preserve"> [3.쿠팡] DAE3,7,8 FC(대구) Ph2 전기공사</v>
      </c>
      <c r="D345" s="70" t="str">
        <f>IF(VLOOKUP($B345,'1. 현장별 인원현황'!$C:$J,3,0)=0,"",VLOOKUP($B345,'1. 현장별 인원현황'!$C:$J,3,0))</f>
        <v>유대룡</v>
      </c>
      <c r="E345" s="74" t="str">
        <f ca="1">IF(VLOOKUP($B345,'1. 현장별 인원현황'!$C:$J,4,0)=0,"",VLOOKUP($B345,'1. 현장별 인원현황'!$C:$J,4,0))</f>
        <v>52세</v>
      </c>
      <c r="F345" s="70" t="str">
        <f>IF(VLOOKUP($B345,'1. 현장별 인원현황'!$C:$J,7,0)=0,"",VLOOKUP($B345,'1. 현장별 인원현황'!$C:$J,7,0))</f>
        <v>기능공</v>
      </c>
      <c r="G345" s="72" t="str">
        <f>IF(VLOOKUP($B345,'1. 현장별 인원현황'!$C:$J,8,0)=0,"",VLOOKUP($B345,'1. 현장별 인원현황'!$C:$J,8,0))</f>
        <v>전공</v>
      </c>
      <c r="H345" s="67"/>
      <c r="I345" s="73" t="s">
        <v>69</v>
      </c>
      <c r="J345" s="73"/>
      <c r="K345" s="68"/>
      <c r="L345" s="67"/>
      <c r="M345" s="73"/>
      <c r="N345" s="73" t="s">
        <v>69</v>
      </c>
      <c r="O345" s="68"/>
      <c r="P345" s="67"/>
      <c r="Q345" s="73" t="s">
        <v>69</v>
      </c>
      <c r="R345" s="73"/>
      <c r="S345" s="68"/>
      <c r="T345" s="67"/>
      <c r="U345" s="73" t="s">
        <v>69</v>
      </c>
      <c r="V345" s="73"/>
      <c r="W345" s="68"/>
      <c r="X345" s="67"/>
      <c r="Y345" s="73" t="s">
        <v>69</v>
      </c>
      <c r="Z345" s="73"/>
      <c r="AA345" s="68"/>
      <c r="AB345" s="67"/>
      <c r="AC345" s="73" t="s">
        <v>69</v>
      </c>
      <c r="AD345" s="73"/>
      <c r="AE345" s="68"/>
      <c r="AF345" s="67"/>
      <c r="AG345" s="73"/>
      <c r="AH345" s="73" t="s">
        <v>69</v>
      </c>
      <c r="AI345" s="68"/>
      <c r="AJ345" s="67"/>
      <c r="AK345" s="73" t="s">
        <v>69</v>
      </c>
      <c r="AL345" s="73"/>
      <c r="AM345" s="68"/>
      <c r="AN345" s="73"/>
      <c r="AO345" s="73" t="s">
        <v>69</v>
      </c>
      <c r="AP345" s="73"/>
      <c r="AQ345" s="68"/>
      <c r="AR345" s="67">
        <f t="shared" si="202"/>
        <v>72</v>
      </c>
      <c r="AS345" s="68" t="str">
        <f t="shared" si="203"/>
        <v>A</v>
      </c>
      <c r="AV345" s="49">
        <f t="shared" si="204"/>
        <v>0</v>
      </c>
      <c r="AW345" s="49">
        <f t="shared" si="205"/>
        <v>1</v>
      </c>
      <c r="AX345" s="49">
        <f t="shared" si="206"/>
        <v>0</v>
      </c>
      <c r="AY345" s="49">
        <f t="shared" si="207"/>
        <v>0</v>
      </c>
      <c r="AZ345" s="49">
        <f t="shared" si="208"/>
        <v>0</v>
      </c>
      <c r="BA345" s="49">
        <f t="shared" si="209"/>
        <v>0</v>
      </c>
      <c r="BB345" s="49">
        <f t="shared" si="210"/>
        <v>1</v>
      </c>
      <c r="BC345" s="49">
        <f t="shared" si="211"/>
        <v>0</v>
      </c>
      <c r="BD345" s="49">
        <f t="shared" si="212"/>
        <v>0</v>
      </c>
      <c r="BE345" s="49">
        <f t="shared" si="213"/>
        <v>1</v>
      </c>
      <c r="BF345" s="49">
        <f t="shared" si="214"/>
        <v>0</v>
      </c>
      <c r="BG345" s="49">
        <f t="shared" si="215"/>
        <v>0</v>
      </c>
      <c r="BH345" s="49">
        <f t="shared" si="216"/>
        <v>0</v>
      </c>
      <c r="BI345" s="49">
        <f t="shared" si="217"/>
        <v>1</v>
      </c>
      <c r="BJ345" s="49">
        <f t="shared" si="218"/>
        <v>0</v>
      </c>
      <c r="BK345" s="49">
        <f t="shared" si="219"/>
        <v>0</v>
      </c>
      <c r="BL345" s="49">
        <f t="shared" si="220"/>
        <v>0</v>
      </c>
      <c r="BM345" s="49">
        <f t="shared" si="221"/>
        <v>1</v>
      </c>
      <c r="BN345" s="49">
        <f t="shared" si="222"/>
        <v>0</v>
      </c>
      <c r="BO345" s="49">
        <f t="shared" si="223"/>
        <v>0</v>
      </c>
      <c r="BP345" s="49">
        <f t="shared" si="224"/>
        <v>0</v>
      </c>
      <c r="BQ345" s="49">
        <f t="shared" si="225"/>
        <v>1</v>
      </c>
      <c r="BR345" s="49">
        <f t="shared" si="226"/>
        <v>0</v>
      </c>
      <c r="BS345" s="49">
        <f t="shared" si="227"/>
        <v>0</v>
      </c>
      <c r="BT345" s="49">
        <f t="shared" si="228"/>
        <v>0</v>
      </c>
      <c r="BU345" s="49">
        <f t="shared" si="229"/>
        <v>0</v>
      </c>
      <c r="BV345" s="49">
        <f t="shared" si="230"/>
        <v>1</v>
      </c>
      <c r="BW345" s="49">
        <f t="shared" si="231"/>
        <v>0</v>
      </c>
      <c r="BX345" s="49">
        <f t="shared" si="232"/>
        <v>0</v>
      </c>
      <c r="BY345" s="49">
        <f t="shared" si="233"/>
        <v>1</v>
      </c>
      <c r="BZ345" s="49">
        <f t="shared" si="234"/>
        <v>0</v>
      </c>
      <c r="CA345" s="49">
        <f t="shared" si="235"/>
        <v>0</v>
      </c>
      <c r="CB345" s="49">
        <f t="shared" si="236"/>
        <v>0</v>
      </c>
      <c r="CC345" s="49">
        <f t="shared" si="237"/>
        <v>1</v>
      </c>
      <c r="CD345" s="49">
        <f t="shared" si="238"/>
        <v>0</v>
      </c>
      <c r="CE345" s="49">
        <f t="shared" si="239"/>
        <v>0</v>
      </c>
    </row>
    <row r="346" spans="1:83" ht="35.1" customHeight="1" x14ac:dyDescent="0.3">
      <c r="A346" s="123" t="str">
        <f t="shared" si="200"/>
        <v>3팀</v>
      </c>
      <c r="B346" s="69">
        <f t="shared" si="201"/>
        <v>340</v>
      </c>
      <c r="C346" s="120" t="str">
        <f>IF(VLOOKUP($B346,'1. 현장별 인원현황'!$C:$J,2,0)=0,"",VLOOKUP($B346,'1. 현장별 인원현황'!$C:$J,2,0))</f>
        <v xml:space="preserve"> [3.쿠팡] DAE3,7,8 FC(대구) Ph2 전기공사</v>
      </c>
      <c r="D346" s="70" t="str">
        <f>IF(VLOOKUP($B346,'1. 현장별 인원현황'!$C:$J,3,0)=0,"",VLOOKUP($B346,'1. 현장별 인원현황'!$C:$J,3,0))</f>
        <v>유정열</v>
      </c>
      <c r="E346" s="74" t="str">
        <f ca="1">IF(VLOOKUP($B346,'1. 현장별 인원현황'!$C:$J,4,0)=0,"",VLOOKUP($B346,'1. 현장별 인원현황'!$C:$J,4,0))</f>
        <v>54세</v>
      </c>
      <c r="F346" s="70" t="str">
        <f>IF(VLOOKUP($B346,'1. 현장별 인원현황'!$C:$J,7,0)=0,"",VLOOKUP($B346,'1. 현장별 인원현황'!$C:$J,7,0))</f>
        <v>기능공</v>
      </c>
      <c r="G346" s="72" t="str">
        <f>IF(VLOOKUP($B346,'1. 현장별 인원현황'!$C:$J,8,0)=0,"",VLOOKUP($B346,'1. 현장별 인원현황'!$C:$J,8,0))</f>
        <v>전공</v>
      </c>
      <c r="H346" s="67"/>
      <c r="I346" s="73" t="s">
        <v>69</v>
      </c>
      <c r="J346" s="73"/>
      <c r="K346" s="68"/>
      <c r="L346" s="67"/>
      <c r="M346" s="73"/>
      <c r="N346" s="73" t="s">
        <v>69</v>
      </c>
      <c r="O346" s="68"/>
      <c r="P346" s="67"/>
      <c r="Q346" s="73" t="s">
        <v>69</v>
      </c>
      <c r="R346" s="73"/>
      <c r="S346" s="68"/>
      <c r="T346" s="67"/>
      <c r="U346" s="73" t="s">
        <v>69</v>
      </c>
      <c r="V346" s="73"/>
      <c r="W346" s="68"/>
      <c r="X346" s="67"/>
      <c r="Y346" s="73" t="s">
        <v>69</v>
      </c>
      <c r="Z346" s="73"/>
      <c r="AA346" s="68"/>
      <c r="AB346" s="67"/>
      <c r="AC346" s="73" t="s">
        <v>69</v>
      </c>
      <c r="AD346" s="73"/>
      <c r="AE346" s="68"/>
      <c r="AF346" s="67"/>
      <c r="AG346" s="73"/>
      <c r="AH346" s="73" t="s">
        <v>69</v>
      </c>
      <c r="AI346" s="68"/>
      <c r="AJ346" s="67"/>
      <c r="AK346" s="73" t="s">
        <v>69</v>
      </c>
      <c r="AL346" s="73"/>
      <c r="AM346" s="68"/>
      <c r="AN346" s="73"/>
      <c r="AO346" s="73" t="s">
        <v>69</v>
      </c>
      <c r="AP346" s="73"/>
      <c r="AQ346" s="68"/>
      <c r="AR346" s="67">
        <f t="shared" si="202"/>
        <v>72</v>
      </c>
      <c r="AS346" s="68" t="str">
        <f t="shared" si="203"/>
        <v>A</v>
      </c>
      <c r="AV346" s="49">
        <f t="shared" si="204"/>
        <v>0</v>
      </c>
      <c r="AW346" s="49">
        <f t="shared" si="205"/>
        <v>1</v>
      </c>
      <c r="AX346" s="49">
        <f t="shared" si="206"/>
        <v>0</v>
      </c>
      <c r="AY346" s="49">
        <f t="shared" si="207"/>
        <v>0</v>
      </c>
      <c r="AZ346" s="49">
        <f t="shared" si="208"/>
        <v>0</v>
      </c>
      <c r="BA346" s="49">
        <f t="shared" si="209"/>
        <v>0</v>
      </c>
      <c r="BB346" s="49">
        <f t="shared" si="210"/>
        <v>1</v>
      </c>
      <c r="BC346" s="49">
        <f t="shared" si="211"/>
        <v>0</v>
      </c>
      <c r="BD346" s="49">
        <f t="shared" si="212"/>
        <v>0</v>
      </c>
      <c r="BE346" s="49">
        <f t="shared" si="213"/>
        <v>1</v>
      </c>
      <c r="BF346" s="49">
        <f t="shared" si="214"/>
        <v>0</v>
      </c>
      <c r="BG346" s="49">
        <f t="shared" si="215"/>
        <v>0</v>
      </c>
      <c r="BH346" s="49">
        <f t="shared" si="216"/>
        <v>0</v>
      </c>
      <c r="BI346" s="49">
        <f t="shared" si="217"/>
        <v>1</v>
      </c>
      <c r="BJ346" s="49">
        <f t="shared" si="218"/>
        <v>0</v>
      </c>
      <c r="BK346" s="49">
        <f t="shared" si="219"/>
        <v>0</v>
      </c>
      <c r="BL346" s="49">
        <f t="shared" si="220"/>
        <v>0</v>
      </c>
      <c r="BM346" s="49">
        <f t="shared" si="221"/>
        <v>1</v>
      </c>
      <c r="BN346" s="49">
        <f t="shared" si="222"/>
        <v>0</v>
      </c>
      <c r="BO346" s="49">
        <f t="shared" si="223"/>
        <v>0</v>
      </c>
      <c r="BP346" s="49">
        <f t="shared" si="224"/>
        <v>0</v>
      </c>
      <c r="BQ346" s="49">
        <f t="shared" si="225"/>
        <v>1</v>
      </c>
      <c r="BR346" s="49">
        <f t="shared" si="226"/>
        <v>0</v>
      </c>
      <c r="BS346" s="49">
        <f t="shared" si="227"/>
        <v>0</v>
      </c>
      <c r="BT346" s="49">
        <f t="shared" si="228"/>
        <v>0</v>
      </c>
      <c r="BU346" s="49">
        <f t="shared" si="229"/>
        <v>0</v>
      </c>
      <c r="BV346" s="49">
        <f t="shared" si="230"/>
        <v>1</v>
      </c>
      <c r="BW346" s="49">
        <f t="shared" si="231"/>
        <v>0</v>
      </c>
      <c r="BX346" s="49">
        <f t="shared" si="232"/>
        <v>0</v>
      </c>
      <c r="BY346" s="49">
        <f t="shared" si="233"/>
        <v>1</v>
      </c>
      <c r="BZ346" s="49">
        <f t="shared" si="234"/>
        <v>0</v>
      </c>
      <c r="CA346" s="49">
        <f t="shared" si="235"/>
        <v>0</v>
      </c>
      <c r="CB346" s="49">
        <f t="shared" si="236"/>
        <v>0</v>
      </c>
      <c r="CC346" s="49">
        <f t="shared" si="237"/>
        <v>1</v>
      </c>
      <c r="CD346" s="49">
        <f t="shared" si="238"/>
        <v>0</v>
      </c>
      <c r="CE346" s="49">
        <f t="shared" si="239"/>
        <v>0</v>
      </c>
    </row>
    <row r="347" spans="1:83" ht="35.1" customHeight="1" x14ac:dyDescent="0.3">
      <c r="A347" s="123" t="str">
        <f t="shared" si="200"/>
        <v>3팀</v>
      </c>
      <c r="B347" s="69">
        <f t="shared" si="201"/>
        <v>341</v>
      </c>
      <c r="C347" s="120" t="str">
        <f>IF(VLOOKUP($B347,'1. 현장별 인원현황'!$C:$J,2,0)=0,"",VLOOKUP($B347,'1. 현장별 인원현황'!$C:$J,2,0))</f>
        <v xml:space="preserve"> [3.쿠팡] DAE3,7,8 FC(대구) Ph2 전기공사</v>
      </c>
      <c r="D347" s="70" t="str">
        <f>IF(VLOOKUP($B347,'1. 현장별 인원현황'!$C:$J,3,0)=0,"",VLOOKUP($B347,'1. 현장별 인원현황'!$C:$J,3,0))</f>
        <v>이정안</v>
      </c>
      <c r="E347" s="74" t="str">
        <f ca="1">IF(VLOOKUP($B347,'1. 현장별 인원현황'!$C:$J,4,0)=0,"",VLOOKUP($B347,'1. 현장별 인원현황'!$C:$J,4,0))</f>
        <v>44세</v>
      </c>
      <c r="F347" s="70" t="str">
        <f>IF(VLOOKUP($B347,'1. 현장별 인원현황'!$C:$J,7,0)=0,"",VLOOKUP($B347,'1. 현장별 인원현황'!$C:$J,7,0))</f>
        <v>기능공</v>
      </c>
      <c r="G347" s="72" t="str">
        <f>IF(VLOOKUP($B347,'1. 현장별 인원현황'!$C:$J,8,0)=0,"",VLOOKUP($B347,'1. 현장별 인원현황'!$C:$J,8,0))</f>
        <v>전공</v>
      </c>
      <c r="H347" s="67"/>
      <c r="I347" s="73" t="s">
        <v>69</v>
      </c>
      <c r="J347" s="73"/>
      <c r="K347" s="68"/>
      <c r="L347" s="67"/>
      <c r="M347" s="73" t="s">
        <v>69</v>
      </c>
      <c r="N347" s="73"/>
      <c r="O347" s="68"/>
      <c r="P347" s="67"/>
      <c r="Q347" s="73" t="s">
        <v>69</v>
      </c>
      <c r="R347" s="73"/>
      <c r="S347" s="68"/>
      <c r="T347" s="67"/>
      <c r="U347" s="73" t="s">
        <v>69</v>
      </c>
      <c r="V347" s="73"/>
      <c r="W347" s="68"/>
      <c r="X347" s="67" t="s">
        <v>69</v>
      </c>
      <c r="Y347" s="73"/>
      <c r="Z347" s="73"/>
      <c r="AA347" s="68"/>
      <c r="AB347" s="67" t="s">
        <v>69</v>
      </c>
      <c r="AC347" s="73"/>
      <c r="AD347" s="73"/>
      <c r="AE347" s="68"/>
      <c r="AF347" s="67"/>
      <c r="AG347" s="73" t="s">
        <v>69</v>
      </c>
      <c r="AH347" s="73"/>
      <c r="AI347" s="68"/>
      <c r="AJ347" s="67" t="s">
        <v>69</v>
      </c>
      <c r="AK347" s="73"/>
      <c r="AL347" s="73"/>
      <c r="AM347" s="68"/>
      <c r="AN347" s="73" t="s">
        <v>69</v>
      </c>
      <c r="AO347" s="73"/>
      <c r="AP347" s="73"/>
      <c r="AQ347" s="68"/>
      <c r="AR347" s="67">
        <f t="shared" si="202"/>
        <v>87</v>
      </c>
      <c r="AS347" s="68" t="str">
        <f t="shared" si="203"/>
        <v>S</v>
      </c>
      <c r="AV347" s="49">
        <f t="shared" si="204"/>
        <v>0</v>
      </c>
      <c r="AW347" s="49">
        <f t="shared" si="205"/>
        <v>1</v>
      </c>
      <c r="AX347" s="49">
        <f t="shared" si="206"/>
        <v>0</v>
      </c>
      <c r="AY347" s="49">
        <f t="shared" si="207"/>
        <v>0</v>
      </c>
      <c r="AZ347" s="49">
        <f t="shared" si="208"/>
        <v>0</v>
      </c>
      <c r="BA347" s="49">
        <f t="shared" si="209"/>
        <v>1</v>
      </c>
      <c r="BB347" s="49">
        <f t="shared" si="210"/>
        <v>0</v>
      </c>
      <c r="BC347" s="49">
        <f t="shared" si="211"/>
        <v>0</v>
      </c>
      <c r="BD347" s="49">
        <f t="shared" si="212"/>
        <v>0</v>
      </c>
      <c r="BE347" s="49">
        <f t="shared" si="213"/>
        <v>1</v>
      </c>
      <c r="BF347" s="49">
        <f t="shared" si="214"/>
        <v>0</v>
      </c>
      <c r="BG347" s="49">
        <f t="shared" si="215"/>
        <v>0</v>
      </c>
      <c r="BH347" s="49">
        <f t="shared" si="216"/>
        <v>0</v>
      </c>
      <c r="BI347" s="49">
        <f t="shared" si="217"/>
        <v>1</v>
      </c>
      <c r="BJ347" s="49">
        <f t="shared" si="218"/>
        <v>0</v>
      </c>
      <c r="BK347" s="49">
        <f t="shared" si="219"/>
        <v>0</v>
      </c>
      <c r="BL347" s="49">
        <f t="shared" si="220"/>
        <v>1</v>
      </c>
      <c r="BM347" s="49">
        <f t="shared" si="221"/>
        <v>0</v>
      </c>
      <c r="BN347" s="49">
        <f t="shared" si="222"/>
        <v>0</v>
      </c>
      <c r="BO347" s="49">
        <f t="shared" si="223"/>
        <v>0</v>
      </c>
      <c r="BP347" s="49">
        <f t="shared" si="224"/>
        <v>1</v>
      </c>
      <c r="BQ347" s="49">
        <f t="shared" si="225"/>
        <v>0</v>
      </c>
      <c r="BR347" s="49">
        <f t="shared" si="226"/>
        <v>0</v>
      </c>
      <c r="BS347" s="49">
        <f t="shared" si="227"/>
        <v>0</v>
      </c>
      <c r="BT347" s="49">
        <f t="shared" si="228"/>
        <v>0</v>
      </c>
      <c r="BU347" s="49">
        <f t="shared" si="229"/>
        <v>1</v>
      </c>
      <c r="BV347" s="49">
        <f t="shared" si="230"/>
        <v>0</v>
      </c>
      <c r="BW347" s="49">
        <f t="shared" si="231"/>
        <v>0</v>
      </c>
      <c r="BX347" s="49">
        <f t="shared" si="232"/>
        <v>1</v>
      </c>
      <c r="BY347" s="49">
        <f t="shared" si="233"/>
        <v>0</v>
      </c>
      <c r="BZ347" s="49">
        <f t="shared" si="234"/>
        <v>0</v>
      </c>
      <c r="CA347" s="49">
        <f t="shared" si="235"/>
        <v>0</v>
      </c>
      <c r="CB347" s="49">
        <f t="shared" si="236"/>
        <v>1</v>
      </c>
      <c r="CC347" s="49">
        <f t="shared" si="237"/>
        <v>0</v>
      </c>
      <c r="CD347" s="49">
        <f t="shared" si="238"/>
        <v>0</v>
      </c>
      <c r="CE347" s="49">
        <f t="shared" si="239"/>
        <v>0</v>
      </c>
    </row>
    <row r="348" spans="1:83" ht="35.1" customHeight="1" x14ac:dyDescent="0.3">
      <c r="A348" s="123" t="str">
        <f t="shared" si="200"/>
        <v>3팀</v>
      </c>
      <c r="B348" s="69">
        <f t="shared" si="201"/>
        <v>342</v>
      </c>
      <c r="C348" s="120" t="str">
        <f>IF(VLOOKUP($B348,'1. 현장별 인원현황'!$C:$J,2,0)=0,"",VLOOKUP($B348,'1. 현장별 인원현황'!$C:$J,2,0))</f>
        <v xml:space="preserve"> [3.쿠팡] DAE3,7,8 FC(대구) Ph2 전기공사</v>
      </c>
      <c r="D348" s="70" t="str">
        <f>IF(VLOOKUP($B348,'1. 현장별 인원현황'!$C:$J,3,0)=0,"",VLOOKUP($B348,'1. 현장별 인원현황'!$C:$J,3,0))</f>
        <v>조정민</v>
      </c>
      <c r="E348" s="74" t="str">
        <f ca="1">IF(VLOOKUP($B348,'1. 현장별 인원현황'!$C:$J,4,0)=0,"",VLOOKUP($B348,'1. 현장별 인원현황'!$C:$J,4,0))</f>
        <v>36세</v>
      </c>
      <c r="F348" s="70" t="str">
        <f>IF(VLOOKUP($B348,'1. 현장별 인원현황'!$C:$J,7,0)=0,"",VLOOKUP($B348,'1. 현장별 인원현황'!$C:$J,7,0))</f>
        <v>기능공</v>
      </c>
      <c r="G348" s="72" t="str">
        <f>IF(VLOOKUP($B348,'1. 현장별 인원현황'!$C:$J,8,0)=0,"",VLOOKUP($B348,'1. 현장별 인원현황'!$C:$J,8,0))</f>
        <v>조공</v>
      </c>
      <c r="H348" s="67"/>
      <c r="I348" s="73" t="s">
        <v>69</v>
      </c>
      <c r="J348" s="73"/>
      <c r="K348" s="68"/>
      <c r="L348" s="67"/>
      <c r="M348" s="73" t="s">
        <v>69</v>
      </c>
      <c r="N348" s="73"/>
      <c r="O348" s="68"/>
      <c r="P348" s="67"/>
      <c r="Q348" s="73" t="s">
        <v>69</v>
      </c>
      <c r="R348" s="73"/>
      <c r="S348" s="68"/>
      <c r="T348" s="67"/>
      <c r="U348" s="73" t="s">
        <v>69</v>
      </c>
      <c r="V348" s="73"/>
      <c r="W348" s="68"/>
      <c r="X348" s="67" t="s">
        <v>69</v>
      </c>
      <c r="Y348" s="73"/>
      <c r="Z348" s="73"/>
      <c r="AA348" s="68"/>
      <c r="AB348" s="67" t="s">
        <v>69</v>
      </c>
      <c r="AC348" s="73"/>
      <c r="AD348" s="73"/>
      <c r="AE348" s="68"/>
      <c r="AF348" s="67"/>
      <c r="AG348" s="73" t="s">
        <v>69</v>
      </c>
      <c r="AH348" s="73"/>
      <c r="AI348" s="68"/>
      <c r="AJ348" s="67" t="s">
        <v>69</v>
      </c>
      <c r="AK348" s="73"/>
      <c r="AL348" s="73"/>
      <c r="AM348" s="68"/>
      <c r="AN348" s="73" t="s">
        <v>69</v>
      </c>
      <c r="AO348" s="73"/>
      <c r="AP348" s="73"/>
      <c r="AQ348" s="68"/>
      <c r="AR348" s="67">
        <f t="shared" si="202"/>
        <v>87</v>
      </c>
      <c r="AS348" s="68" t="str">
        <f t="shared" si="203"/>
        <v>S</v>
      </c>
      <c r="AV348" s="49">
        <f t="shared" si="204"/>
        <v>0</v>
      </c>
      <c r="AW348" s="49">
        <f t="shared" si="205"/>
        <v>1</v>
      </c>
      <c r="AX348" s="49">
        <f t="shared" si="206"/>
        <v>0</v>
      </c>
      <c r="AY348" s="49">
        <f t="shared" si="207"/>
        <v>0</v>
      </c>
      <c r="AZ348" s="49">
        <f t="shared" si="208"/>
        <v>0</v>
      </c>
      <c r="BA348" s="49">
        <f t="shared" si="209"/>
        <v>1</v>
      </c>
      <c r="BB348" s="49">
        <f t="shared" si="210"/>
        <v>0</v>
      </c>
      <c r="BC348" s="49">
        <f t="shared" si="211"/>
        <v>0</v>
      </c>
      <c r="BD348" s="49">
        <f t="shared" si="212"/>
        <v>0</v>
      </c>
      <c r="BE348" s="49">
        <f t="shared" si="213"/>
        <v>1</v>
      </c>
      <c r="BF348" s="49">
        <f t="shared" si="214"/>
        <v>0</v>
      </c>
      <c r="BG348" s="49">
        <f t="shared" si="215"/>
        <v>0</v>
      </c>
      <c r="BH348" s="49">
        <f t="shared" si="216"/>
        <v>0</v>
      </c>
      <c r="BI348" s="49">
        <f t="shared" si="217"/>
        <v>1</v>
      </c>
      <c r="BJ348" s="49">
        <f t="shared" si="218"/>
        <v>0</v>
      </c>
      <c r="BK348" s="49">
        <f t="shared" si="219"/>
        <v>0</v>
      </c>
      <c r="BL348" s="49">
        <f t="shared" si="220"/>
        <v>1</v>
      </c>
      <c r="BM348" s="49">
        <f t="shared" si="221"/>
        <v>0</v>
      </c>
      <c r="BN348" s="49">
        <f t="shared" si="222"/>
        <v>0</v>
      </c>
      <c r="BO348" s="49">
        <f t="shared" si="223"/>
        <v>0</v>
      </c>
      <c r="BP348" s="49">
        <f t="shared" si="224"/>
        <v>1</v>
      </c>
      <c r="BQ348" s="49">
        <f t="shared" si="225"/>
        <v>0</v>
      </c>
      <c r="BR348" s="49">
        <f t="shared" si="226"/>
        <v>0</v>
      </c>
      <c r="BS348" s="49">
        <f t="shared" si="227"/>
        <v>0</v>
      </c>
      <c r="BT348" s="49">
        <f t="shared" si="228"/>
        <v>0</v>
      </c>
      <c r="BU348" s="49">
        <f t="shared" si="229"/>
        <v>1</v>
      </c>
      <c r="BV348" s="49">
        <f t="shared" si="230"/>
        <v>0</v>
      </c>
      <c r="BW348" s="49">
        <f t="shared" si="231"/>
        <v>0</v>
      </c>
      <c r="BX348" s="49">
        <f t="shared" si="232"/>
        <v>1</v>
      </c>
      <c r="BY348" s="49">
        <f t="shared" si="233"/>
        <v>0</v>
      </c>
      <c r="BZ348" s="49">
        <f t="shared" si="234"/>
        <v>0</v>
      </c>
      <c r="CA348" s="49">
        <f t="shared" si="235"/>
        <v>0</v>
      </c>
      <c r="CB348" s="49">
        <f t="shared" si="236"/>
        <v>1</v>
      </c>
      <c r="CC348" s="49">
        <f t="shared" si="237"/>
        <v>0</v>
      </c>
      <c r="CD348" s="49">
        <f t="shared" si="238"/>
        <v>0</v>
      </c>
      <c r="CE348" s="49">
        <f t="shared" si="239"/>
        <v>0</v>
      </c>
    </row>
    <row r="349" spans="1:83" ht="35.1" customHeight="1" x14ac:dyDescent="0.3">
      <c r="A349" s="123" t="str">
        <f t="shared" si="200"/>
        <v>3팀</v>
      </c>
      <c r="B349" s="69">
        <f t="shared" si="201"/>
        <v>343</v>
      </c>
      <c r="C349" s="120" t="str">
        <f>IF(VLOOKUP($B349,'1. 현장별 인원현황'!$C:$J,2,0)=0,"",VLOOKUP($B349,'1. 현장별 인원현황'!$C:$J,2,0))</f>
        <v xml:space="preserve"> [3.쿠팡] DAE3,7,8 FC(대구) Ph2 전기공사</v>
      </c>
      <c r="D349" s="70" t="str">
        <f>IF(VLOOKUP($B349,'1. 현장별 인원현황'!$C:$J,3,0)=0,"",VLOOKUP($B349,'1. 현장별 인원현황'!$C:$J,3,0))</f>
        <v>허태승</v>
      </c>
      <c r="E349" s="74" t="str">
        <f ca="1">IF(VLOOKUP($B349,'1. 현장별 인원현황'!$C:$J,4,0)=0,"",VLOOKUP($B349,'1. 현장별 인원현황'!$C:$J,4,0))</f>
        <v>55세</v>
      </c>
      <c r="F349" s="70" t="str">
        <f>IF(VLOOKUP($B349,'1. 현장별 인원현황'!$C:$J,7,0)=0,"",VLOOKUP($B349,'1. 현장별 인원현황'!$C:$J,7,0))</f>
        <v>기능공</v>
      </c>
      <c r="G349" s="72" t="str">
        <f>IF(VLOOKUP($B349,'1. 현장별 인원현황'!$C:$J,8,0)=0,"",VLOOKUP($B349,'1. 현장별 인원현황'!$C:$J,8,0))</f>
        <v>조공</v>
      </c>
      <c r="H349" s="67"/>
      <c r="I349" s="73" t="s">
        <v>69</v>
      </c>
      <c r="J349" s="73"/>
      <c r="K349" s="68"/>
      <c r="L349" s="67"/>
      <c r="M349" s="73" t="s">
        <v>69</v>
      </c>
      <c r="N349" s="73"/>
      <c r="O349" s="68"/>
      <c r="P349" s="67"/>
      <c r="Q349" s="73" t="s">
        <v>69</v>
      </c>
      <c r="R349" s="73"/>
      <c r="S349" s="68"/>
      <c r="T349" s="67"/>
      <c r="U349" s="73" t="s">
        <v>69</v>
      </c>
      <c r="V349" s="73"/>
      <c r="W349" s="68"/>
      <c r="X349" s="67" t="s">
        <v>69</v>
      </c>
      <c r="Y349" s="73"/>
      <c r="Z349" s="73"/>
      <c r="AA349" s="68"/>
      <c r="AB349" s="67" t="s">
        <v>69</v>
      </c>
      <c r="AC349" s="73"/>
      <c r="AD349" s="73"/>
      <c r="AE349" s="68"/>
      <c r="AF349" s="67"/>
      <c r="AG349" s="73" t="s">
        <v>69</v>
      </c>
      <c r="AH349" s="73"/>
      <c r="AI349" s="68"/>
      <c r="AJ349" s="67" t="s">
        <v>69</v>
      </c>
      <c r="AK349" s="73"/>
      <c r="AL349" s="73"/>
      <c r="AM349" s="68"/>
      <c r="AN349" s="73"/>
      <c r="AO349" s="73" t="s">
        <v>69</v>
      </c>
      <c r="AP349" s="73"/>
      <c r="AQ349" s="68"/>
      <c r="AR349" s="67">
        <f t="shared" si="202"/>
        <v>84</v>
      </c>
      <c r="AS349" s="68" t="str">
        <f t="shared" si="203"/>
        <v>A</v>
      </c>
      <c r="AV349" s="49">
        <f t="shared" si="204"/>
        <v>0</v>
      </c>
      <c r="AW349" s="49">
        <f t="shared" si="205"/>
        <v>1</v>
      </c>
      <c r="AX349" s="49">
        <f t="shared" si="206"/>
        <v>0</v>
      </c>
      <c r="AY349" s="49">
        <f t="shared" si="207"/>
        <v>0</v>
      </c>
      <c r="AZ349" s="49">
        <f t="shared" si="208"/>
        <v>0</v>
      </c>
      <c r="BA349" s="49">
        <f t="shared" si="209"/>
        <v>1</v>
      </c>
      <c r="BB349" s="49">
        <f t="shared" si="210"/>
        <v>0</v>
      </c>
      <c r="BC349" s="49">
        <f t="shared" si="211"/>
        <v>0</v>
      </c>
      <c r="BD349" s="49">
        <f t="shared" si="212"/>
        <v>0</v>
      </c>
      <c r="BE349" s="49">
        <f t="shared" si="213"/>
        <v>1</v>
      </c>
      <c r="BF349" s="49">
        <f t="shared" si="214"/>
        <v>0</v>
      </c>
      <c r="BG349" s="49">
        <f t="shared" si="215"/>
        <v>0</v>
      </c>
      <c r="BH349" s="49">
        <f t="shared" si="216"/>
        <v>0</v>
      </c>
      <c r="BI349" s="49">
        <f t="shared" si="217"/>
        <v>1</v>
      </c>
      <c r="BJ349" s="49">
        <f t="shared" si="218"/>
        <v>0</v>
      </c>
      <c r="BK349" s="49">
        <f t="shared" si="219"/>
        <v>0</v>
      </c>
      <c r="BL349" s="49">
        <f t="shared" si="220"/>
        <v>1</v>
      </c>
      <c r="BM349" s="49">
        <f t="shared" si="221"/>
        <v>0</v>
      </c>
      <c r="BN349" s="49">
        <f t="shared" si="222"/>
        <v>0</v>
      </c>
      <c r="BO349" s="49">
        <f t="shared" si="223"/>
        <v>0</v>
      </c>
      <c r="BP349" s="49">
        <f t="shared" si="224"/>
        <v>1</v>
      </c>
      <c r="BQ349" s="49">
        <f t="shared" si="225"/>
        <v>0</v>
      </c>
      <c r="BR349" s="49">
        <f t="shared" si="226"/>
        <v>0</v>
      </c>
      <c r="BS349" s="49">
        <f t="shared" si="227"/>
        <v>0</v>
      </c>
      <c r="BT349" s="49">
        <f t="shared" si="228"/>
        <v>0</v>
      </c>
      <c r="BU349" s="49">
        <f t="shared" si="229"/>
        <v>1</v>
      </c>
      <c r="BV349" s="49">
        <f t="shared" si="230"/>
        <v>0</v>
      </c>
      <c r="BW349" s="49">
        <f t="shared" si="231"/>
        <v>0</v>
      </c>
      <c r="BX349" s="49">
        <f t="shared" si="232"/>
        <v>1</v>
      </c>
      <c r="BY349" s="49">
        <f t="shared" si="233"/>
        <v>0</v>
      </c>
      <c r="BZ349" s="49">
        <f t="shared" si="234"/>
        <v>0</v>
      </c>
      <c r="CA349" s="49">
        <f t="shared" si="235"/>
        <v>0</v>
      </c>
      <c r="CB349" s="49">
        <f t="shared" si="236"/>
        <v>0</v>
      </c>
      <c r="CC349" s="49">
        <f t="shared" si="237"/>
        <v>1</v>
      </c>
      <c r="CD349" s="49">
        <f t="shared" si="238"/>
        <v>0</v>
      </c>
      <c r="CE349" s="49">
        <f t="shared" si="239"/>
        <v>0</v>
      </c>
    </row>
    <row r="350" spans="1:83" ht="35.1" customHeight="1" x14ac:dyDescent="0.3">
      <c r="A350" s="123" t="str">
        <f t="shared" si="200"/>
        <v>3팀</v>
      </c>
      <c r="B350" s="69">
        <f t="shared" si="201"/>
        <v>344</v>
      </c>
      <c r="C350" s="120" t="str">
        <f>IF(VLOOKUP($B350,'1. 현장별 인원현황'!$C:$J,2,0)=0,"",VLOOKUP($B350,'1. 현장별 인원현황'!$C:$J,2,0))</f>
        <v xml:space="preserve"> [3.쿠팡] GYS 2FC(경산) 전기공사</v>
      </c>
      <c r="D350" s="70" t="str">
        <f>IF(VLOOKUP($B350,'1. 현장별 인원현황'!$C:$J,3,0)=0,"",VLOOKUP($B350,'1. 현장별 인원현황'!$C:$J,3,0))</f>
        <v>김민수</v>
      </c>
      <c r="E350" s="74" t="str">
        <f ca="1">IF(VLOOKUP($B350,'1. 현장별 인원현황'!$C:$J,4,0)=0,"",VLOOKUP($B350,'1. 현장별 인원현황'!$C:$J,4,0))</f>
        <v>47세</v>
      </c>
      <c r="F350" s="70" t="str">
        <f>IF(VLOOKUP($B350,'1. 현장별 인원현황'!$C:$J,7,0)=0,"",VLOOKUP($B350,'1. 현장별 인원현황'!$C:$J,7,0))</f>
        <v>공무</v>
      </c>
      <c r="G350" s="72" t="str">
        <f>IF(VLOOKUP($B350,'1. 현장별 인원현황'!$C:$J,8,0)=0,"",VLOOKUP($B350,'1. 현장별 인원현황'!$C:$J,8,0))</f>
        <v>차장</v>
      </c>
      <c r="H350" s="67" t="s">
        <v>69</v>
      </c>
      <c r="I350" s="73"/>
      <c r="J350" s="73"/>
      <c r="K350" s="68"/>
      <c r="L350" s="67" t="s">
        <v>69</v>
      </c>
      <c r="M350" s="73"/>
      <c r="N350" s="73"/>
      <c r="O350" s="68"/>
      <c r="P350" s="67" t="s">
        <v>69</v>
      </c>
      <c r="Q350" s="73"/>
      <c r="R350" s="73"/>
      <c r="S350" s="68"/>
      <c r="T350" s="67" t="s">
        <v>69</v>
      </c>
      <c r="U350" s="73"/>
      <c r="V350" s="73"/>
      <c r="W350" s="68"/>
      <c r="X350" s="67" t="s">
        <v>69</v>
      </c>
      <c r="Y350" s="73"/>
      <c r="Z350" s="73"/>
      <c r="AA350" s="68"/>
      <c r="AB350" s="67" t="s">
        <v>69</v>
      </c>
      <c r="AC350" s="73"/>
      <c r="AD350" s="73"/>
      <c r="AE350" s="68"/>
      <c r="AF350" s="67" t="s">
        <v>69</v>
      </c>
      <c r="AG350" s="73"/>
      <c r="AH350" s="73"/>
      <c r="AI350" s="68"/>
      <c r="AJ350" s="67" t="s">
        <v>69</v>
      </c>
      <c r="AK350" s="73"/>
      <c r="AL350" s="73"/>
      <c r="AM350" s="68"/>
      <c r="AN350" s="73" t="s">
        <v>69</v>
      </c>
      <c r="AO350" s="73"/>
      <c r="AP350" s="73"/>
      <c r="AQ350" s="68"/>
      <c r="AR350" s="67">
        <f t="shared" si="202"/>
        <v>100</v>
      </c>
      <c r="AS350" s="68" t="str">
        <f t="shared" si="203"/>
        <v>S</v>
      </c>
      <c r="AV350" s="49">
        <f t="shared" si="204"/>
        <v>1</v>
      </c>
      <c r="AW350" s="49">
        <f t="shared" si="205"/>
        <v>0</v>
      </c>
      <c r="AX350" s="49">
        <f t="shared" si="206"/>
        <v>0</v>
      </c>
      <c r="AY350" s="49">
        <f t="shared" si="207"/>
        <v>0</v>
      </c>
      <c r="AZ350" s="49">
        <f t="shared" si="208"/>
        <v>1</v>
      </c>
      <c r="BA350" s="49">
        <f t="shared" si="209"/>
        <v>0</v>
      </c>
      <c r="BB350" s="49">
        <f t="shared" si="210"/>
        <v>0</v>
      </c>
      <c r="BC350" s="49">
        <f t="shared" si="211"/>
        <v>0</v>
      </c>
      <c r="BD350" s="49">
        <f t="shared" si="212"/>
        <v>1</v>
      </c>
      <c r="BE350" s="49">
        <f t="shared" si="213"/>
        <v>0</v>
      </c>
      <c r="BF350" s="49">
        <f t="shared" si="214"/>
        <v>0</v>
      </c>
      <c r="BG350" s="49">
        <f t="shared" si="215"/>
        <v>0</v>
      </c>
      <c r="BH350" s="49">
        <f t="shared" si="216"/>
        <v>1</v>
      </c>
      <c r="BI350" s="49">
        <f t="shared" si="217"/>
        <v>0</v>
      </c>
      <c r="BJ350" s="49">
        <f t="shared" si="218"/>
        <v>0</v>
      </c>
      <c r="BK350" s="49">
        <f t="shared" si="219"/>
        <v>0</v>
      </c>
      <c r="BL350" s="49">
        <f t="shared" si="220"/>
        <v>1</v>
      </c>
      <c r="BM350" s="49">
        <f t="shared" si="221"/>
        <v>0</v>
      </c>
      <c r="BN350" s="49">
        <f t="shared" si="222"/>
        <v>0</v>
      </c>
      <c r="BO350" s="49">
        <f t="shared" si="223"/>
        <v>0</v>
      </c>
      <c r="BP350" s="49">
        <f t="shared" si="224"/>
        <v>1</v>
      </c>
      <c r="BQ350" s="49">
        <f t="shared" si="225"/>
        <v>0</v>
      </c>
      <c r="BR350" s="49">
        <f t="shared" si="226"/>
        <v>0</v>
      </c>
      <c r="BS350" s="49">
        <f t="shared" si="227"/>
        <v>0</v>
      </c>
      <c r="BT350" s="49">
        <f t="shared" si="228"/>
        <v>1</v>
      </c>
      <c r="BU350" s="49">
        <f t="shared" si="229"/>
        <v>0</v>
      </c>
      <c r="BV350" s="49">
        <f t="shared" si="230"/>
        <v>0</v>
      </c>
      <c r="BW350" s="49">
        <f t="shared" si="231"/>
        <v>0</v>
      </c>
      <c r="BX350" s="49">
        <f t="shared" si="232"/>
        <v>1</v>
      </c>
      <c r="BY350" s="49">
        <f t="shared" si="233"/>
        <v>0</v>
      </c>
      <c r="BZ350" s="49">
        <f t="shared" si="234"/>
        <v>0</v>
      </c>
      <c r="CA350" s="49">
        <f t="shared" si="235"/>
        <v>0</v>
      </c>
      <c r="CB350" s="49">
        <f t="shared" si="236"/>
        <v>1</v>
      </c>
      <c r="CC350" s="49">
        <f t="shared" si="237"/>
        <v>0</v>
      </c>
      <c r="CD350" s="49">
        <f t="shared" si="238"/>
        <v>0</v>
      </c>
      <c r="CE350" s="49">
        <f t="shared" si="239"/>
        <v>0</v>
      </c>
    </row>
    <row r="351" spans="1:83" ht="35.1" customHeight="1" x14ac:dyDescent="0.3">
      <c r="A351" s="123" t="str">
        <f t="shared" si="200"/>
        <v>3팀</v>
      </c>
      <c r="B351" s="69">
        <f t="shared" si="201"/>
        <v>345</v>
      </c>
      <c r="C351" s="120" t="str">
        <f>IF(VLOOKUP($B351,'1. 현장별 인원현황'!$C:$J,2,0)=0,"",VLOOKUP($B351,'1. 현장별 인원현황'!$C:$J,2,0))</f>
        <v xml:space="preserve"> [3.쿠팡] GYS 2FC(경산) 전기공사</v>
      </c>
      <c r="D351" s="70" t="str">
        <f>IF(VLOOKUP($B351,'1. 현장별 인원현황'!$C:$J,3,0)=0,"",VLOOKUP($B351,'1. 현장별 인원현황'!$C:$J,3,0))</f>
        <v>이이재</v>
      </c>
      <c r="E351" s="74" t="str">
        <f ca="1">IF(VLOOKUP($B351,'1. 현장별 인원현황'!$C:$J,4,0)=0,"",VLOOKUP($B351,'1. 현장별 인원현황'!$C:$J,4,0))</f>
        <v>64세</v>
      </c>
      <c r="F351" s="70" t="str">
        <f>IF(VLOOKUP($B351,'1. 현장별 인원현황'!$C:$J,7,0)=0,"",VLOOKUP($B351,'1. 현장별 인원현황'!$C:$J,7,0))</f>
        <v>공사</v>
      </c>
      <c r="G351" s="72" t="str">
        <f>IF(VLOOKUP($B351,'1. 현장별 인원현황'!$C:$J,8,0)=0,"",VLOOKUP($B351,'1. 현장별 인원현황'!$C:$J,8,0))</f>
        <v>차장</v>
      </c>
      <c r="H351" s="67" t="s">
        <v>69</v>
      </c>
      <c r="I351" s="73"/>
      <c r="J351" s="73"/>
      <c r="K351" s="68"/>
      <c r="L351" s="67" t="s">
        <v>69</v>
      </c>
      <c r="M351" s="73"/>
      <c r="N351" s="73"/>
      <c r="O351" s="68"/>
      <c r="P351" s="67" t="s">
        <v>69</v>
      </c>
      <c r="Q351" s="73"/>
      <c r="R351" s="73"/>
      <c r="S351" s="68"/>
      <c r="T351" s="67" t="s">
        <v>69</v>
      </c>
      <c r="U351" s="73"/>
      <c r="V351" s="73"/>
      <c r="W351" s="68"/>
      <c r="X351" s="67" t="s">
        <v>69</v>
      </c>
      <c r="Y351" s="73"/>
      <c r="Z351" s="73"/>
      <c r="AA351" s="68"/>
      <c r="AB351" s="67" t="s">
        <v>69</v>
      </c>
      <c r="AC351" s="73"/>
      <c r="AD351" s="73"/>
      <c r="AE351" s="68"/>
      <c r="AF351" s="67" t="s">
        <v>69</v>
      </c>
      <c r="AG351" s="73"/>
      <c r="AH351" s="73"/>
      <c r="AI351" s="68"/>
      <c r="AJ351" s="67" t="s">
        <v>69</v>
      </c>
      <c r="AK351" s="73"/>
      <c r="AL351" s="73"/>
      <c r="AM351" s="68"/>
      <c r="AN351" s="73" t="s">
        <v>69</v>
      </c>
      <c r="AO351" s="73"/>
      <c r="AP351" s="73"/>
      <c r="AQ351" s="68"/>
      <c r="AR351" s="67">
        <f t="shared" si="202"/>
        <v>100</v>
      </c>
      <c r="AS351" s="68" t="str">
        <f t="shared" si="203"/>
        <v>S</v>
      </c>
      <c r="AV351" s="49">
        <f t="shared" si="204"/>
        <v>1</v>
      </c>
      <c r="AW351" s="49">
        <f t="shared" si="205"/>
        <v>0</v>
      </c>
      <c r="AX351" s="49">
        <f t="shared" si="206"/>
        <v>0</v>
      </c>
      <c r="AY351" s="49">
        <f t="shared" si="207"/>
        <v>0</v>
      </c>
      <c r="AZ351" s="49">
        <f t="shared" si="208"/>
        <v>1</v>
      </c>
      <c r="BA351" s="49">
        <f t="shared" si="209"/>
        <v>0</v>
      </c>
      <c r="BB351" s="49">
        <f t="shared" si="210"/>
        <v>0</v>
      </c>
      <c r="BC351" s="49">
        <f t="shared" si="211"/>
        <v>0</v>
      </c>
      <c r="BD351" s="49">
        <f t="shared" si="212"/>
        <v>1</v>
      </c>
      <c r="BE351" s="49">
        <f t="shared" si="213"/>
        <v>0</v>
      </c>
      <c r="BF351" s="49">
        <f t="shared" si="214"/>
        <v>0</v>
      </c>
      <c r="BG351" s="49">
        <f t="shared" si="215"/>
        <v>0</v>
      </c>
      <c r="BH351" s="49">
        <f t="shared" si="216"/>
        <v>1</v>
      </c>
      <c r="BI351" s="49">
        <f t="shared" si="217"/>
        <v>0</v>
      </c>
      <c r="BJ351" s="49">
        <f t="shared" si="218"/>
        <v>0</v>
      </c>
      <c r="BK351" s="49">
        <f t="shared" si="219"/>
        <v>0</v>
      </c>
      <c r="BL351" s="49">
        <f t="shared" si="220"/>
        <v>1</v>
      </c>
      <c r="BM351" s="49">
        <f t="shared" si="221"/>
        <v>0</v>
      </c>
      <c r="BN351" s="49">
        <f t="shared" si="222"/>
        <v>0</v>
      </c>
      <c r="BO351" s="49">
        <f t="shared" si="223"/>
        <v>0</v>
      </c>
      <c r="BP351" s="49">
        <f t="shared" si="224"/>
        <v>1</v>
      </c>
      <c r="BQ351" s="49">
        <f t="shared" si="225"/>
        <v>0</v>
      </c>
      <c r="BR351" s="49">
        <f t="shared" si="226"/>
        <v>0</v>
      </c>
      <c r="BS351" s="49">
        <f t="shared" si="227"/>
        <v>0</v>
      </c>
      <c r="BT351" s="49">
        <f t="shared" si="228"/>
        <v>1</v>
      </c>
      <c r="BU351" s="49">
        <f t="shared" si="229"/>
        <v>0</v>
      </c>
      <c r="BV351" s="49">
        <f t="shared" si="230"/>
        <v>0</v>
      </c>
      <c r="BW351" s="49">
        <f t="shared" si="231"/>
        <v>0</v>
      </c>
      <c r="BX351" s="49">
        <f t="shared" si="232"/>
        <v>1</v>
      </c>
      <c r="BY351" s="49">
        <f t="shared" si="233"/>
        <v>0</v>
      </c>
      <c r="BZ351" s="49">
        <f t="shared" si="234"/>
        <v>0</v>
      </c>
      <c r="CA351" s="49">
        <f t="shared" si="235"/>
        <v>0</v>
      </c>
      <c r="CB351" s="49">
        <f t="shared" si="236"/>
        <v>1</v>
      </c>
      <c r="CC351" s="49">
        <f t="shared" si="237"/>
        <v>0</v>
      </c>
      <c r="CD351" s="49">
        <f t="shared" si="238"/>
        <v>0</v>
      </c>
      <c r="CE351" s="49">
        <f t="shared" si="239"/>
        <v>0</v>
      </c>
    </row>
    <row r="352" spans="1:83" ht="35.1" customHeight="1" x14ac:dyDescent="0.3">
      <c r="A352" s="123" t="str">
        <f t="shared" si="200"/>
        <v>3팀</v>
      </c>
      <c r="B352" s="69">
        <f t="shared" si="201"/>
        <v>346</v>
      </c>
      <c r="C352" s="120" t="str">
        <f>IF(VLOOKUP($B352,'1. 현장별 인원현황'!$C:$J,2,0)=0,"",VLOOKUP($B352,'1. 현장별 인원현황'!$C:$J,2,0))</f>
        <v xml:space="preserve"> [3.쿠팡] GYS 2FC(경산) 전기공사</v>
      </c>
      <c r="D352" s="70" t="str">
        <f>IF(VLOOKUP($B352,'1. 현장별 인원현황'!$C:$J,3,0)=0,"",VLOOKUP($B352,'1. 현장별 인원현황'!$C:$J,3,0))</f>
        <v>고영일</v>
      </c>
      <c r="E352" s="74" t="str">
        <f ca="1">IF(VLOOKUP($B352,'1. 현장별 인원현황'!$C:$J,4,0)=0,"",VLOOKUP($B352,'1. 현장별 인원현황'!$C:$J,4,0))</f>
        <v>56세</v>
      </c>
      <c r="F352" s="70" t="str">
        <f>IF(VLOOKUP($B352,'1. 현장별 인원현황'!$C:$J,7,0)=0,"",VLOOKUP($B352,'1. 현장별 인원현황'!$C:$J,7,0))</f>
        <v>기능공</v>
      </c>
      <c r="G352" s="72" t="str">
        <f>IF(VLOOKUP($B352,'1. 현장별 인원현황'!$C:$J,8,0)=0,"",VLOOKUP($B352,'1. 현장별 인원현황'!$C:$J,8,0))</f>
        <v>전공</v>
      </c>
      <c r="H352" s="67" t="s">
        <v>69</v>
      </c>
      <c r="I352" s="73"/>
      <c r="J352" s="73"/>
      <c r="K352" s="68"/>
      <c r="L352" s="67" t="s">
        <v>69</v>
      </c>
      <c r="M352" s="73"/>
      <c r="N352" s="73"/>
      <c r="O352" s="68"/>
      <c r="P352" s="67" t="s">
        <v>69</v>
      </c>
      <c r="Q352" s="73"/>
      <c r="R352" s="73"/>
      <c r="S352" s="68"/>
      <c r="T352" s="67" t="s">
        <v>69</v>
      </c>
      <c r="U352" s="73"/>
      <c r="V352" s="73"/>
      <c r="W352" s="68"/>
      <c r="X352" s="67" t="s">
        <v>69</v>
      </c>
      <c r="Y352" s="73"/>
      <c r="Z352" s="73"/>
      <c r="AA352" s="68"/>
      <c r="AB352" s="67" t="s">
        <v>69</v>
      </c>
      <c r="AC352" s="73"/>
      <c r="AD352" s="73"/>
      <c r="AE352" s="68"/>
      <c r="AF352" s="67" t="s">
        <v>69</v>
      </c>
      <c r="AG352" s="73"/>
      <c r="AH352" s="73"/>
      <c r="AI352" s="68"/>
      <c r="AJ352" s="67" t="s">
        <v>69</v>
      </c>
      <c r="AK352" s="73"/>
      <c r="AL352" s="73"/>
      <c r="AM352" s="68"/>
      <c r="AN352" s="73" t="s">
        <v>69</v>
      </c>
      <c r="AO352" s="73"/>
      <c r="AP352" s="73"/>
      <c r="AQ352" s="68"/>
      <c r="AR352" s="67">
        <f t="shared" si="202"/>
        <v>100</v>
      </c>
      <c r="AS352" s="68" t="str">
        <f t="shared" si="203"/>
        <v>S</v>
      </c>
      <c r="AV352" s="49">
        <f t="shared" si="204"/>
        <v>1</v>
      </c>
      <c r="AW352" s="49">
        <f t="shared" si="205"/>
        <v>0</v>
      </c>
      <c r="AX352" s="49">
        <f t="shared" si="206"/>
        <v>0</v>
      </c>
      <c r="AY352" s="49">
        <f t="shared" si="207"/>
        <v>0</v>
      </c>
      <c r="AZ352" s="49">
        <f t="shared" si="208"/>
        <v>1</v>
      </c>
      <c r="BA352" s="49">
        <f t="shared" si="209"/>
        <v>0</v>
      </c>
      <c r="BB352" s="49">
        <f t="shared" si="210"/>
        <v>0</v>
      </c>
      <c r="BC352" s="49">
        <f t="shared" si="211"/>
        <v>0</v>
      </c>
      <c r="BD352" s="49">
        <f t="shared" si="212"/>
        <v>1</v>
      </c>
      <c r="BE352" s="49">
        <f t="shared" si="213"/>
        <v>0</v>
      </c>
      <c r="BF352" s="49">
        <f t="shared" si="214"/>
        <v>0</v>
      </c>
      <c r="BG352" s="49">
        <f t="shared" si="215"/>
        <v>0</v>
      </c>
      <c r="BH352" s="49">
        <f t="shared" si="216"/>
        <v>1</v>
      </c>
      <c r="BI352" s="49">
        <f t="shared" si="217"/>
        <v>0</v>
      </c>
      <c r="BJ352" s="49">
        <f t="shared" si="218"/>
        <v>0</v>
      </c>
      <c r="BK352" s="49">
        <f t="shared" si="219"/>
        <v>0</v>
      </c>
      <c r="BL352" s="49">
        <f t="shared" si="220"/>
        <v>1</v>
      </c>
      <c r="BM352" s="49">
        <f t="shared" si="221"/>
        <v>0</v>
      </c>
      <c r="BN352" s="49">
        <f t="shared" si="222"/>
        <v>0</v>
      </c>
      <c r="BO352" s="49">
        <f t="shared" si="223"/>
        <v>0</v>
      </c>
      <c r="BP352" s="49">
        <f t="shared" si="224"/>
        <v>1</v>
      </c>
      <c r="BQ352" s="49">
        <f t="shared" si="225"/>
        <v>0</v>
      </c>
      <c r="BR352" s="49">
        <f t="shared" si="226"/>
        <v>0</v>
      </c>
      <c r="BS352" s="49">
        <f t="shared" si="227"/>
        <v>0</v>
      </c>
      <c r="BT352" s="49">
        <f t="shared" si="228"/>
        <v>1</v>
      </c>
      <c r="BU352" s="49">
        <f t="shared" si="229"/>
        <v>0</v>
      </c>
      <c r="BV352" s="49">
        <f t="shared" si="230"/>
        <v>0</v>
      </c>
      <c r="BW352" s="49">
        <f t="shared" si="231"/>
        <v>0</v>
      </c>
      <c r="BX352" s="49">
        <f t="shared" si="232"/>
        <v>1</v>
      </c>
      <c r="BY352" s="49">
        <f t="shared" si="233"/>
        <v>0</v>
      </c>
      <c r="BZ352" s="49">
        <f t="shared" si="234"/>
        <v>0</v>
      </c>
      <c r="CA352" s="49">
        <f t="shared" si="235"/>
        <v>0</v>
      </c>
      <c r="CB352" s="49">
        <f t="shared" si="236"/>
        <v>1</v>
      </c>
      <c r="CC352" s="49">
        <f t="shared" si="237"/>
        <v>0</v>
      </c>
      <c r="CD352" s="49">
        <f t="shared" si="238"/>
        <v>0</v>
      </c>
      <c r="CE352" s="49">
        <f t="shared" si="239"/>
        <v>0</v>
      </c>
    </row>
    <row r="353" spans="1:83" ht="35.1" customHeight="1" x14ac:dyDescent="0.3">
      <c r="A353" s="123" t="str">
        <f t="shared" si="200"/>
        <v>3팀</v>
      </c>
      <c r="B353" s="69">
        <f t="shared" si="201"/>
        <v>347</v>
      </c>
      <c r="C353" s="120" t="str">
        <f>IF(VLOOKUP($B353,'1. 현장별 인원현황'!$C:$J,2,0)=0,"",VLOOKUP($B353,'1. 현장별 인원현황'!$C:$J,2,0))</f>
        <v xml:space="preserve"> [3.쿠팡] GYS 2FC(경산) 전기공사</v>
      </c>
      <c r="D353" s="70" t="str">
        <f>IF(VLOOKUP($B353,'1. 현장별 인원현황'!$C:$J,3,0)=0,"",VLOOKUP($B353,'1. 현장별 인원현황'!$C:$J,3,0))</f>
        <v>김선권</v>
      </c>
      <c r="E353" s="74" t="str">
        <f ca="1">IF(VLOOKUP($B353,'1. 현장별 인원현황'!$C:$J,4,0)=0,"",VLOOKUP($B353,'1. 현장별 인원현황'!$C:$J,4,0))</f>
        <v>56세</v>
      </c>
      <c r="F353" s="70" t="str">
        <f>IF(VLOOKUP($B353,'1. 현장별 인원현황'!$C:$J,7,0)=0,"",VLOOKUP($B353,'1. 현장별 인원현황'!$C:$J,7,0))</f>
        <v>기능공</v>
      </c>
      <c r="G353" s="72" t="str">
        <f>IF(VLOOKUP($B353,'1. 현장별 인원현황'!$C:$J,8,0)=0,"",VLOOKUP($B353,'1. 현장별 인원현황'!$C:$J,8,0))</f>
        <v>전공</v>
      </c>
      <c r="H353" s="67" t="s">
        <v>69</v>
      </c>
      <c r="I353" s="73"/>
      <c r="J353" s="73"/>
      <c r="K353" s="68"/>
      <c r="L353" s="67" t="s">
        <v>69</v>
      </c>
      <c r="M353" s="73"/>
      <c r="N353" s="73"/>
      <c r="O353" s="68"/>
      <c r="P353" s="67" t="s">
        <v>69</v>
      </c>
      <c r="Q353" s="73"/>
      <c r="R353" s="73"/>
      <c r="S353" s="68"/>
      <c r="T353" s="67" t="s">
        <v>69</v>
      </c>
      <c r="U353" s="73"/>
      <c r="V353" s="73"/>
      <c r="W353" s="68"/>
      <c r="X353" s="67" t="s">
        <v>69</v>
      </c>
      <c r="Y353" s="73"/>
      <c r="Z353" s="73"/>
      <c r="AA353" s="68"/>
      <c r="AB353" s="67" t="s">
        <v>69</v>
      </c>
      <c r="AC353" s="73"/>
      <c r="AD353" s="73"/>
      <c r="AE353" s="68"/>
      <c r="AF353" s="67" t="s">
        <v>69</v>
      </c>
      <c r="AG353" s="73"/>
      <c r="AH353" s="73"/>
      <c r="AI353" s="68"/>
      <c r="AJ353" s="67" t="s">
        <v>69</v>
      </c>
      <c r="AK353" s="73"/>
      <c r="AL353" s="73"/>
      <c r="AM353" s="68"/>
      <c r="AN353" s="73" t="s">
        <v>69</v>
      </c>
      <c r="AO353" s="73"/>
      <c r="AP353" s="73"/>
      <c r="AQ353" s="68"/>
      <c r="AR353" s="67">
        <f t="shared" si="202"/>
        <v>100</v>
      </c>
      <c r="AS353" s="68" t="str">
        <f t="shared" si="203"/>
        <v>S</v>
      </c>
      <c r="AV353" s="49">
        <f t="shared" si="204"/>
        <v>1</v>
      </c>
      <c r="AW353" s="49">
        <f t="shared" si="205"/>
        <v>0</v>
      </c>
      <c r="AX353" s="49">
        <f t="shared" si="206"/>
        <v>0</v>
      </c>
      <c r="AY353" s="49">
        <f t="shared" si="207"/>
        <v>0</v>
      </c>
      <c r="AZ353" s="49">
        <f t="shared" si="208"/>
        <v>1</v>
      </c>
      <c r="BA353" s="49">
        <f t="shared" si="209"/>
        <v>0</v>
      </c>
      <c r="BB353" s="49">
        <f t="shared" si="210"/>
        <v>0</v>
      </c>
      <c r="BC353" s="49">
        <f t="shared" si="211"/>
        <v>0</v>
      </c>
      <c r="BD353" s="49">
        <f t="shared" si="212"/>
        <v>1</v>
      </c>
      <c r="BE353" s="49">
        <f t="shared" si="213"/>
        <v>0</v>
      </c>
      <c r="BF353" s="49">
        <f t="shared" si="214"/>
        <v>0</v>
      </c>
      <c r="BG353" s="49">
        <f t="shared" si="215"/>
        <v>0</v>
      </c>
      <c r="BH353" s="49">
        <f t="shared" si="216"/>
        <v>1</v>
      </c>
      <c r="BI353" s="49">
        <f t="shared" si="217"/>
        <v>0</v>
      </c>
      <c r="BJ353" s="49">
        <f t="shared" si="218"/>
        <v>0</v>
      </c>
      <c r="BK353" s="49">
        <f t="shared" si="219"/>
        <v>0</v>
      </c>
      <c r="BL353" s="49">
        <f t="shared" si="220"/>
        <v>1</v>
      </c>
      <c r="BM353" s="49">
        <f t="shared" si="221"/>
        <v>0</v>
      </c>
      <c r="BN353" s="49">
        <f t="shared" si="222"/>
        <v>0</v>
      </c>
      <c r="BO353" s="49">
        <f t="shared" si="223"/>
        <v>0</v>
      </c>
      <c r="BP353" s="49">
        <f t="shared" si="224"/>
        <v>1</v>
      </c>
      <c r="BQ353" s="49">
        <f t="shared" si="225"/>
        <v>0</v>
      </c>
      <c r="BR353" s="49">
        <f t="shared" si="226"/>
        <v>0</v>
      </c>
      <c r="BS353" s="49">
        <f t="shared" si="227"/>
        <v>0</v>
      </c>
      <c r="BT353" s="49">
        <f t="shared" si="228"/>
        <v>1</v>
      </c>
      <c r="BU353" s="49">
        <f t="shared" si="229"/>
        <v>0</v>
      </c>
      <c r="BV353" s="49">
        <f t="shared" si="230"/>
        <v>0</v>
      </c>
      <c r="BW353" s="49">
        <f t="shared" si="231"/>
        <v>0</v>
      </c>
      <c r="BX353" s="49">
        <f t="shared" si="232"/>
        <v>1</v>
      </c>
      <c r="BY353" s="49">
        <f t="shared" si="233"/>
        <v>0</v>
      </c>
      <c r="BZ353" s="49">
        <f t="shared" si="234"/>
        <v>0</v>
      </c>
      <c r="CA353" s="49">
        <f t="shared" si="235"/>
        <v>0</v>
      </c>
      <c r="CB353" s="49">
        <f t="shared" si="236"/>
        <v>1</v>
      </c>
      <c r="CC353" s="49">
        <f t="shared" si="237"/>
        <v>0</v>
      </c>
      <c r="CD353" s="49">
        <f t="shared" si="238"/>
        <v>0</v>
      </c>
      <c r="CE353" s="49">
        <f t="shared" si="239"/>
        <v>0</v>
      </c>
    </row>
    <row r="354" spans="1:83" ht="35.1" customHeight="1" x14ac:dyDescent="0.3">
      <c r="A354" s="123" t="str">
        <f t="shared" si="200"/>
        <v>3팀</v>
      </c>
      <c r="B354" s="69">
        <f t="shared" si="201"/>
        <v>348</v>
      </c>
      <c r="C354" s="120" t="str">
        <f>IF(VLOOKUP($B354,'1. 현장별 인원현황'!$C:$J,2,0)=0,"",VLOOKUP($B354,'1. 현장별 인원현황'!$C:$J,2,0))</f>
        <v xml:space="preserve"> [3.쿠팡] GYS 2FC(경산) 전기공사</v>
      </c>
      <c r="D354" s="70" t="str">
        <f>IF(VLOOKUP($B354,'1. 현장별 인원현황'!$C:$J,3,0)=0,"",VLOOKUP($B354,'1. 현장별 인원현황'!$C:$J,3,0))</f>
        <v>김용백</v>
      </c>
      <c r="E354" s="74" t="str">
        <f ca="1">IF(VLOOKUP($B354,'1. 현장별 인원현황'!$C:$J,4,0)=0,"",VLOOKUP($B354,'1. 현장별 인원현황'!$C:$J,4,0))</f>
        <v>65세</v>
      </c>
      <c r="F354" s="70" t="str">
        <f>IF(VLOOKUP($B354,'1. 현장별 인원현황'!$C:$J,7,0)=0,"",VLOOKUP($B354,'1. 현장별 인원현황'!$C:$J,7,0))</f>
        <v>기능공</v>
      </c>
      <c r="G354" s="72" t="str">
        <f>IF(VLOOKUP($B354,'1. 현장별 인원현황'!$C:$J,8,0)=0,"",VLOOKUP($B354,'1. 현장별 인원현황'!$C:$J,8,0))</f>
        <v>전공</v>
      </c>
      <c r="H354" s="67" t="s">
        <v>69</v>
      </c>
      <c r="I354" s="73"/>
      <c r="J354" s="73"/>
      <c r="K354" s="68"/>
      <c r="L354" s="67" t="s">
        <v>69</v>
      </c>
      <c r="M354" s="73"/>
      <c r="N354" s="73"/>
      <c r="O354" s="68"/>
      <c r="P354" s="67" t="s">
        <v>69</v>
      </c>
      <c r="Q354" s="73"/>
      <c r="R354" s="73"/>
      <c r="S354" s="68"/>
      <c r="T354" s="67" t="s">
        <v>69</v>
      </c>
      <c r="U354" s="73"/>
      <c r="V354" s="73"/>
      <c r="W354" s="68"/>
      <c r="X354" s="67" t="s">
        <v>69</v>
      </c>
      <c r="Y354" s="73"/>
      <c r="Z354" s="73"/>
      <c r="AA354" s="68"/>
      <c r="AB354" s="67" t="s">
        <v>69</v>
      </c>
      <c r="AC354" s="73"/>
      <c r="AD354" s="73"/>
      <c r="AE354" s="68"/>
      <c r="AF354" s="67" t="s">
        <v>69</v>
      </c>
      <c r="AG354" s="73"/>
      <c r="AH354" s="73"/>
      <c r="AI354" s="68"/>
      <c r="AJ354" s="67" t="s">
        <v>69</v>
      </c>
      <c r="AK354" s="73"/>
      <c r="AL354" s="73"/>
      <c r="AM354" s="68"/>
      <c r="AN354" s="73" t="s">
        <v>69</v>
      </c>
      <c r="AO354" s="73"/>
      <c r="AP354" s="73"/>
      <c r="AQ354" s="68"/>
      <c r="AR354" s="67">
        <f t="shared" si="202"/>
        <v>100</v>
      </c>
      <c r="AS354" s="68" t="str">
        <f t="shared" si="203"/>
        <v>S</v>
      </c>
      <c r="AV354" s="49">
        <f t="shared" si="204"/>
        <v>1</v>
      </c>
      <c r="AW354" s="49">
        <f t="shared" si="205"/>
        <v>0</v>
      </c>
      <c r="AX354" s="49">
        <f t="shared" si="206"/>
        <v>0</v>
      </c>
      <c r="AY354" s="49">
        <f t="shared" si="207"/>
        <v>0</v>
      </c>
      <c r="AZ354" s="49">
        <f t="shared" si="208"/>
        <v>1</v>
      </c>
      <c r="BA354" s="49">
        <f t="shared" si="209"/>
        <v>0</v>
      </c>
      <c r="BB354" s="49">
        <f t="shared" si="210"/>
        <v>0</v>
      </c>
      <c r="BC354" s="49">
        <f t="shared" si="211"/>
        <v>0</v>
      </c>
      <c r="BD354" s="49">
        <f t="shared" si="212"/>
        <v>1</v>
      </c>
      <c r="BE354" s="49">
        <f t="shared" si="213"/>
        <v>0</v>
      </c>
      <c r="BF354" s="49">
        <f t="shared" si="214"/>
        <v>0</v>
      </c>
      <c r="BG354" s="49">
        <f t="shared" si="215"/>
        <v>0</v>
      </c>
      <c r="BH354" s="49">
        <f t="shared" si="216"/>
        <v>1</v>
      </c>
      <c r="BI354" s="49">
        <f t="shared" si="217"/>
        <v>0</v>
      </c>
      <c r="BJ354" s="49">
        <f t="shared" si="218"/>
        <v>0</v>
      </c>
      <c r="BK354" s="49">
        <f t="shared" si="219"/>
        <v>0</v>
      </c>
      <c r="BL354" s="49">
        <f t="shared" si="220"/>
        <v>1</v>
      </c>
      <c r="BM354" s="49">
        <f t="shared" si="221"/>
        <v>0</v>
      </c>
      <c r="BN354" s="49">
        <f t="shared" si="222"/>
        <v>0</v>
      </c>
      <c r="BO354" s="49">
        <f t="shared" si="223"/>
        <v>0</v>
      </c>
      <c r="BP354" s="49">
        <f t="shared" si="224"/>
        <v>1</v>
      </c>
      <c r="BQ354" s="49">
        <f t="shared" si="225"/>
        <v>0</v>
      </c>
      <c r="BR354" s="49">
        <f t="shared" si="226"/>
        <v>0</v>
      </c>
      <c r="BS354" s="49">
        <f t="shared" si="227"/>
        <v>0</v>
      </c>
      <c r="BT354" s="49">
        <f t="shared" si="228"/>
        <v>1</v>
      </c>
      <c r="BU354" s="49">
        <f t="shared" si="229"/>
        <v>0</v>
      </c>
      <c r="BV354" s="49">
        <f t="shared" si="230"/>
        <v>0</v>
      </c>
      <c r="BW354" s="49">
        <f t="shared" si="231"/>
        <v>0</v>
      </c>
      <c r="BX354" s="49">
        <f t="shared" si="232"/>
        <v>1</v>
      </c>
      <c r="BY354" s="49">
        <f t="shared" si="233"/>
        <v>0</v>
      </c>
      <c r="BZ354" s="49">
        <f t="shared" si="234"/>
        <v>0</v>
      </c>
      <c r="CA354" s="49">
        <f t="shared" si="235"/>
        <v>0</v>
      </c>
      <c r="CB354" s="49">
        <f t="shared" si="236"/>
        <v>1</v>
      </c>
      <c r="CC354" s="49">
        <f t="shared" si="237"/>
        <v>0</v>
      </c>
      <c r="CD354" s="49">
        <f t="shared" si="238"/>
        <v>0</v>
      </c>
      <c r="CE354" s="49">
        <f t="shared" si="239"/>
        <v>0</v>
      </c>
    </row>
    <row r="355" spans="1:83" ht="35.1" customHeight="1" x14ac:dyDescent="0.3">
      <c r="A355" s="123" t="str">
        <f t="shared" si="200"/>
        <v>3팀</v>
      </c>
      <c r="B355" s="69">
        <f t="shared" si="201"/>
        <v>349</v>
      </c>
      <c r="C355" s="120" t="str">
        <f>IF(VLOOKUP($B355,'1. 현장별 인원현황'!$C:$J,2,0)=0,"",VLOOKUP($B355,'1. 현장별 인원현황'!$C:$J,2,0))</f>
        <v xml:space="preserve"> [3.쿠팡] GYS 2FC(경산) 전기공사</v>
      </c>
      <c r="D355" s="70" t="str">
        <f>IF(VLOOKUP($B355,'1. 현장별 인원현황'!$C:$J,3,0)=0,"",VLOOKUP($B355,'1. 현장별 인원현황'!$C:$J,3,0))</f>
        <v>김지훈</v>
      </c>
      <c r="E355" s="74" t="str">
        <f ca="1">IF(VLOOKUP($B355,'1. 현장별 인원현황'!$C:$J,4,0)=0,"",VLOOKUP($B355,'1. 현장별 인원현황'!$C:$J,4,0))</f>
        <v>41세</v>
      </c>
      <c r="F355" s="70" t="str">
        <f>IF(VLOOKUP($B355,'1. 현장별 인원현황'!$C:$J,7,0)=0,"",VLOOKUP($B355,'1. 현장별 인원현황'!$C:$J,7,0))</f>
        <v>기능공</v>
      </c>
      <c r="G355" s="72" t="str">
        <f>IF(VLOOKUP($B355,'1. 현장별 인원현황'!$C:$J,8,0)=0,"",VLOOKUP($B355,'1. 현장별 인원현황'!$C:$J,8,0))</f>
        <v>전공</v>
      </c>
      <c r="H355" s="67" t="s">
        <v>69</v>
      </c>
      <c r="I355" s="73"/>
      <c r="J355" s="73"/>
      <c r="K355" s="68"/>
      <c r="L355" s="67" t="s">
        <v>69</v>
      </c>
      <c r="M355" s="73"/>
      <c r="N355" s="73"/>
      <c r="O355" s="68"/>
      <c r="P355" s="67" t="s">
        <v>69</v>
      </c>
      <c r="Q355" s="73"/>
      <c r="R355" s="73"/>
      <c r="S355" s="68"/>
      <c r="T355" s="67" t="s">
        <v>69</v>
      </c>
      <c r="U355" s="73"/>
      <c r="V355" s="73"/>
      <c r="W355" s="68"/>
      <c r="X355" s="67" t="s">
        <v>69</v>
      </c>
      <c r="Y355" s="73"/>
      <c r="Z355" s="73"/>
      <c r="AA355" s="68"/>
      <c r="AB355" s="67" t="s">
        <v>69</v>
      </c>
      <c r="AC355" s="73"/>
      <c r="AD355" s="73"/>
      <c r="AE355" s="68"/>
      <c r="AF355" s="67" t="s">
        <v>69</v>
      </c>
      <c r="AG355" s="73"/>
      <c r="AH355" s="73"/>
      <c r="AI355" s="68"/>
      <c r="AJ355" s="67" t="s">
        <v>69</v>
      </c>
      <c r="AK355" s="73"/>
      <c r="AL355" s="73"/>
      <c r="AM355" s="68"/>
      <c r="AN355" s="73" t="s">
        <v>69</v>
      </c>
      <c r="AO355" s="73"/>
      <c r="AP355" s="73"/>
      <c r="AQ355" s="68"/>
      <c r="AR355" s="67">
        <f t="shared" si="202"/>
        <v>100</v>
      </c>
      <c r="AS355" s="68" t="str">
        <f t="shared" si="203"/>
        <v>S</v>
      </c>
      <c r="AV355" s="49">
        <f t="shared" si="204"/>
        <v>1</v>
      </c>
      <c r="AW355" s="49">
        <f t="shared" si="205"/>
        <v>0</v>
      </c>
      <c r="AX355" s="49">
        <f t="shared" si="206"/>
        <v>0</v>
      </c>
      <c r="AY355" s="49">
        <f t="shared" si="207"/>
        <v>0</v>
      </c>
      <c r="AZ355" s="49">
        <f t="shared" si="208"/>
        <v>1</v>
      </c>
      <c r="BA355" s="49">
        <f t="shared" si="209"/>
        <v>0</v>
      </c>
      <c r="BB355" s="49">
        <f t="shared" si="210"/>
        <v>0</v>
      </c>
      <c r="BC355" s="49">
        <f t="shared" si="211"/>
        <v>0</v>
      </c>
      <c r="BD355" s="49">
        <f t="shared" si="212"/>
        <v>1</v>
      </c>
      <c r="BE355" s="49">
        <f t="shared" si="213"/>
        <v>0</v>
      </c>
      <c r="BF355" s="49">
        <f t="shared" si="214"/>
        <v>0</v>
      </c>
      <c r="BG355" s="49">
        <f t="shared" si="215"/>
        <v>0</v>
      </c>
      <c r="BH355" s="49">
        <f t="shared" si="216"/>
        <v>1</v>
      </c>
      <c r="BI355" s="49">
        <f t="shared" si="217"/>
        <v>0</v>
      </c>
      <c r="BJ355" s="49">
        <f t="shared" si="218"/>
        <v>0</v>
      </c>
      <c r="BK355" s="49">
        <f t="shared" si="219"/>
        <v>0</v>
      </c>
      <c r="BL355" s="49">
        <f t="shared" si="220"/>
        <v>1</v>
      </c>
      <c r="BM355" s="49">
        <f t="shared" si="221"/>
        <v>0</v>
      </c>
      <c r="BN355" s="49">
        <f t="shared" si="222"/>
        <v>0</v>
      </c>
      <c r="BO355" s="49">
        <f t="shared" si="223"/>
        <v>0</v>
      </c>
      <c r="BP355" s="49">
        <f t="shared" si="224"/>
        <v>1</v>
      </c>
      <c r="BQ355" s="49">
        <f t="shared" si="225"/>
        <v>0</v>
      </c>
      <c r="BR355" s="49">
        <f t="shared" si="226"/>
        <v>0</v>
      </c>
      <c r="BS355" s="49">
        <f t="shared" si="227"/>
        <v>0</v>
      </c>
      <c r="BT355" s="49">
        <f t="shared" si="228"/>
        <v>1</v>
      </c>
      <c r="BU355" s="49">
        <f t="shared" si="229"/>
        <v>0</v>
      </c>
      <c r="BV355" s="49">
        <f t="shared" si="230"/>
        <v>0</v>
      </c>
      <c r="BW355" s="49">
        <f t="shared" si="231"/>
        <v>0</v>
      </c>
      <c r="BX355" s="49">
        <f t="shared" si="232"/>
        <v>1</v>
      </c>
      <c r="BY355" s="49">
        <f t="shared" si="233"/>
        <v>0</v>
      </c>
      <c r="BZ355" s="49">
        <f t="shared" si="234"/>
        <v>0</v>
      </c>
      <c r="CA355" s="49">
        <f t="shared" si="235"/>
        <v>0</v>
      </c>
      <c r="CB355" s="49">
        <f t="shared" si="236"/>
        <v>1</v>
      </c>
      <c r="CC355" s="49">
        <f t="shared" si="237"/>
        <v>0</v>
      </c>
      <c r="CD355" s="49">
        <f t="shared" si="238"/>
        <v>0</v>
      </c>
      <c r="CE355" s="49">
        <f t="shared" si="239"/>
        <v>0</v>
      </c>
    </row>
    <row r="356" spans="1:83" ht="35.1" customHeight="1" x14ac:dyDescent="0.3">
      <c r="A356" s="123" t="str">
        <f t="shared" si="200"/>
        <v>3팀</v>
      </c>
      <c r="B356" s="69">
        <f t="shared" si="201"/>
        <v>350</v>
      </c>
      <c r="C356" s="120" t="str">
        <f>IF(VLOOKUP($B356,'1. 현장별 인원현황'!$C:$J,2,0)=0,"",VLOOKUP($B356,'1. 현장별 인원현황'!$C:$J,2,0))</f>
        <v xml:space="preserve"> [3.쿠팡] GYS 2FC(경산) 전기공사</v>
      </c>
      <c r="D356" s="70" t="str">
        <f>IF(VLOOKUP($B356,'1. 현장별 인원현황'!$C:$J,3,0)=0,"",VLOOKUP($B356,'1. 현장별 인원현황'!$C:$J,3,0))</f>
        <v>박노진</v>
      </c>
      <c r="E356" s="74" t="str">
        <f ca="1">IF(VLOOKUP($B356,'1. 현장별 인원현황'!$C:$J,4,0)=0,"",VLOOKUP($B356,'1. 현장별 인원현황'!$C:$J,4,0))</f>
        <v>55세</v>
      </c>
      <c r="F356" s="70" t="str">
        <f>IF(VLOOKUP($B356,'1. 현장별 인원현황'!$C:$J,7,0)=0,"",VLOOKUP($B356,'1. 현장별 인원현황'!$C:$J,7,0))</f>
        <v>기능공</v>
      </c>
      <c r="G356" s="72" t="str">
        <f>IF(VLOOKUP($B356,'1. 현장별 인원현황'!$C:$J,8,0)=0,"",VLOOKUP($B356,'1. 현장별 인원현황'!$C:$J,8,0))</f>
        <v>전공</v>
      </c>
      <c r="H356" s="67" t="s">
        <v>69</v>
      </c>
      <c r="I356" s="73"/>
      <c r="J356" s="73"/>
      <c r="K356" s="68"/>
      <c r="L356" s="67" t="s">
        <v>69</v>
      </c>
      <c r="M356" s="73"/>
      <c r="N356" s="73"/>
      <c r="O356" s="68"/>
      <c r="P356" s="67" t="s">
        <v>69</v>
      </c>
      <c r="Q356" s="73"/>
      <c r="R356" s="73"/>
      <c r="S356" s="68"/>
      <c r="T356" s="67" t="s">
        <v>69</v>
      </c>
      <c r="U356" s="73"/>
      <c r="V356" s="73"/>
      <c r="W356" s="68"/>
      <c r="X356" s="67" t="s">
        <v>69</v>
      </c>
      <c r="Y356" s="73"/>
      <c r="Z356" s="73"/>
      <c r="AA356" s="68"/>
      <c r="AB356" s="67" t="s">
        <v>69</v>
      </c>
      <c r="AC356" s="73"/>
      <c r="AD356" s="73"/>
      <c r="AE356" s="68"/>
      <c r="AF356" s="67" t="s">
        <v>69</v>
      </c>
      <c r="AG356" s="73"/>
      <c r="AH356" s="73"/>
      <c r="AI356" s="68"/>
      <c r="AJ356" s="67" t="s">
        <v>69</v>
      </c>
      <c r="AK356" s="73"/>
      <c r="AL356" s="73"/>
      <c r="AM356" s="68"/>
      <c r="AN356" s="73" t="s">
        <v>69</v>
      </c>
      <c r="AO356" s="73"/>
      <c r="AP356" s="73"/>
      <c r="AQ356" s="68"/>
      <c r="AR356" s="67">
        <f t="shared" si="202"/>
        <v>100</v>
      </c>
      <c r="AS356" s="68" t="str">
        <f t="shared" si="203"/>
        <v>S</v>
      </c>
      <c r="AV356" s="49">
        <f t="shared" si="204"/>
        <v>1</v>
      </c>
      <c r="AW356" s="49">
        <f t="shared" si="205"/>
        <v>0</v>
      </c>
      <c r="AX356" s="49">
        <f t="shared" si="206"/>
        <v>0</v>
      </c>
      <c r="AY356" s="49">
        <f t="shared" si="207"/>
        <v>0</v>
      </c>
      <c r="AZ356" s="49">
        <f t="shared" si="208"/>
        <v>1</v>
      </c>
      <c r="BA356" s="49">
        <f t="shared" si="209"/>
        <v>0</v>
      </c>
      <c r="BB356" s="49">
        <f t="shared" si="210"/>
        <v>0</v>
      </c>
      <c r="BC356" s="49">
        <f t="shared" si="211"/>
        <v>0</v>
      </c>
      <c r="BD356" s="49">
        <f t="shared" si="212"/>
        <v>1</v>
      </c>
      <c r="BE356" s="49">
        <f t="shared" si="213"/>
        <v>0</v>
      </c>
      <c r="BF356" s="49">
        <f t="shared" si="214"/>
        <v>0</v>
      </c>
      <c r="BG356" s="49">
        <f t="shared" si="215"/>
        <v>0</v>
      </c>
      <c r="BH356" s="49">
        <f t="shared" si="216"/>
        <v>1</v>
      </c>
      <c r="BI356" s="49">
        <f t="shared" si="217"/>
        <v>0</v>
      </c>
      <c r="BJ356" s="49">
        <f t="shared" si="218"/>
        <v>0</v>
      </c>
      <c r="BK356" s="49">
        <f t="shared" si="219"/>
        <v>0</v>
      </c>
      <c r="BL356" s="49">
        <f t="shared" si="220"/>
        <v>1</v>
      </c>
      <c r="BM356" s="49">
        <f t="shared" si="221"/>
        <v>0</v>
      </c>
      <c r="BN356" s="49">
        <f t="shared" si="222"/>
        <v>0</v>
      </c>
      <c r="BO356" s="49">
        <f t="shared" si="223"/>
        <v>0</v>
      </c>
      <c r="BP356" s="49">
        <f t="shared" si="224"/>
        <v>1</v>
      </c>
      <c r="BQ356" s="49">
        <f t="shared" si="225"/>
        <v>0</v>
      </c>
      <c r="BR356" s="49">
        <f t="shared" si="226"/>
        <v>0</v>
      </c>
      <c r="BS356" s="49">
        <f t="shared" si="227"/>
        <v>0</v>
      </c>
      <c r="BT356" s="49">
        <f t="shared" si="228"/>
        <v>1</v>
      </c>
      <c r="BU356" s="49">
        <f t="shared" si="229"/>
        <v>0</v>
      </c>
      <c r="BV356" s="49">
        <f t="shared" si="230"/>
        <v>0</v>
      </c>
      <c r="BW356" s="49">
        <f t="shared" si="231"/>
        <v>0</v>
      </c>
      <c r="BX356" s="49">
        <f t="shared" si="232"/>
        <v>1</v>
      </c>
      <c r="BY356" s="49">
        <f t="shared" si="233"/>
        <v>0</v>
      </c>
      <c r="BZ356" s="49">
        <f t="shared" si="234"/>
        <v>0</v>
      </c>
      <c r="CA356" s="49">
        <f t="shared" si="235"/>
        <v>0</v>
      </c>
      <c r="CB356" s="49">
        <f t="shared" si="236"/>
        <v>1</v>
      </c>
      <c r="CC356" s="49">
        <f t="shared" si="237"/>
        <v>0</v>
      </c>
      <c r="CD356" s="49">
        <f t="shared" si="238"/>
        <v>0</v>
      </c>
      <c r="CE356" s="49">
        <f t="shared" si="239"/>
        <v>0</v>
      </c>
    </row>
    <row r="357" spans="1:83" ht="35.1" customHeight="1" x14ac:dyDescent="0.3">
      <c r="A357" s="123" t="str">
        <f t="shared" si="200"/>
        <v>3팀</v>
      </c>
      <c r="B357" s="69">
        <f t="shared" si="201"/>
        <v>351</v>
      </c>
      <c r="C357" s="120" t="str">
        <f>IF(VLOOKUP($B357,'1. 현장별 인원현황'!$C:$J,2,0)=0,"",VLOOKUP($B357,'1. 현장별 인원현황'!$C:$J,2,0))</f>
        <v xml:space="preserve"> [3.쿠팡] GYS 2FC(경산) 전기공사</v>
      </c>
      <c r="D357" s="70" t="str">
        <f>IF(VLOOKUP($B357,'1. 현장별 인원현황'!$C:$J,3,0)=0,"",VLOOKUP($B357,'1. 현장별 인원현황'!$C:$J,3,0))</f>
        <v>이창훈</v>
      </c>
      <c r="E357" s="74" t="str">
        <f ca="1">IF(VLOOKUP($B357,'1. 현장별 인원현황'!$C:$J,4,0)=0,"",VLOOKUP($B357,'1. 현장별 인원현황'!$C:$J,4,0))</f>
        <v>60세</v>
      </c>
      <c r="F357" s="70" t="str">
        <f>IF(VLOOKUP($B357,'1. 현장별 인원현황'!$C:$J,7,0)=0,"",VLOOKUP($B357,'1. 현장별 인원현황'!$C:$J,7,0))</f>
        <v>기능공</v>
      </c>
      <c r="G357" s="72" t="str">
        <f>IF(VLOOKUP($B357,'1. 현장별 인원현황'!$C:$J,8,0)=0,"",VLOOKUP($B357,'1. 현장별 인원현황'!$C:$J,8,0))</f>
        <v>전공</v>
      </c>
      <c r="H357" s="67" t="s">
        <v>69</v>
      </c>
      <c r="I357" s="73"/>
      <c r="J357" s="73"/>
      <c r="K357" s="68"/>
      <c r="L357" s="67" t="s">
        <v>69</v>
      </c>
      <c r="M357" s="73"/>
      <c r="N357" s="73"/>
      <c r="O357" s="68"/>
      <c r="P357" s="67" t="s">
        <v>69</v>
      </c>
      <c r="Q357" s="73"/>
      <c r="R357" s="73"/>
      <c r="S357" s="68"/>
      <c r="T357" s="67" t="s">
        <v>69</v>
      </c>
      <c r="U357" s="73"/>
      <c r="V357" s="73"/>
      <c r="W357" s="68"/>
      <c r="X357" s="67" t="s">
        <v>69</v>
      </c>
      <c r="Y357" s="73"/>
      <c r="Z357" s="73"/>
      <c r="AA357" s="68"/>
      <c r="AB357" s="67" t="s">
        <v>69</v>
      </c>
      <c r="AC357" s="73"/>
      <c r="AD357" s="73"/>
      <c r="AE357" s="68"/>
      <c r="AF357" s="67" t="s">
        <v>69</v>
      </c>
      <c r="AG357" s="73"/>
      <c r="AH357" s="73"/>
      <c r="AI357" s="68"/>
      <c r="AJ357" s="67" t="s">
        <v>69</v>
      </c>
      <c r="AK357" s="73"/>
      <c r="AL357" s="73"/>
      <c r="AM357" s="68"/>
      <c r="AN357" s="73" t="s">
        <v>69</v>
      </c>
      <c r="AO357" s="73"/>
      <c r="AP357" s="73"/>
      <c r="AQ357" s="68"/>
      <c r="AR357" s="67">
        <f t="shared" si="202"/>
        <v>100</v>
      </c>
      <c r="AS357" s="68" t="str">
        <f t="shared" si="203"/>
        <v>S</v>
      </c>
      <c r="AV357" s="49">
        <f t="shared" si="204"/>
        <v>1</v>
      </c>
      <c r="AW357" s="49">
        <f t="shared" si="205"/>
        <v>0</v>
      </c>
      <c r="AX357" s="49">
        <f t="shared" si="206"/>
        <v>0</v>
      </c>
      <c r="AY357" s="49">
        <f t="shared" si="207"/>
        <v>0</v>
      </c>
      <c r="AZ357" s="49">
        <f t="shared" si="208"/>
        <v>1</v>
      </c>
      <c r="BA357" s="49">
        <f t="shared" si="209"/>
        <v>0</v>
      </c>
      <c r="BB357" s="49">
        <f t="shared" si="210"/>
        <v>0</v>
      </c>
      <c r="BC357" s="49">
        <f t="shared" si="211"/>
        <v>0</v>
      </c>
      <c r="BD357" s="49">
        <f t="shared" si="212"/>
        <v>1</v>
      </c>
      <c r="BE357" s="49">
        <f t="shared" si="213"/>
        <v>0</v>
      </c>
      <c r="BF357" s="49">
        <f t="shared" si="214"/>
        <v>0</v>
      </c>
      <c r="BG357" s="49">
        <f t="shared" si="215"/>
        <v>0</v>
      </c>
      <c r="BH357" s="49">
        <f t="shared" si="216"/>
        <v>1</v>
      </c>
      <c r="BI357" s="49">
        <f t="shared" si="217"/>
        <v>0</v>
      </c>
      <c r="BJ357" s="49">
        <f t="shared" si="218"/>
        <v>0</v>
      </c>
      <c r="BK357" s="49">
        <f t="shared" si="219"/>
        <v>0</v>
      </c>
      <c r="BL357" s="49">
        <f t="shared" si="220"/>
        <v>1</v>
      </c>
      <c r="BM357" s="49">
        <f t="shared" si="221"/>
        <v>0</v>
      </c>
      <c r="BN357" s="49">
        <f t="shared" si="222"/>
        <v>0</v>
      </c>
      <c r="BO357" s="49">
        <f t="shared" si="223"/>
        <v>0</v>
      </c>
      <c r="BP357" s="49">
        <f t="shared" si="224"/>
        <v>1</v>
      </c>
      <c r="BQ357" s="49">
        <f t="shared" si="225"/>
        <v>0</v>
      </c>
      <c r="BR357" s="49">
        <f t="shared" si="226"/>
        <v>0</v>
      </c>
      <c r="BS357" s="49">
        <f t="shared" si="227"/>
        <v>0</v>
      </c>
      <c r="BT357" s="49">
        <f t="shared" si="228"/>
        <v>1</v>
      </c>
      <c r="BU357" s="49">
        <f t="shared" si="229"/>
        <v>0</v>
      </c>
      <c r="BV357" s="49">
        <f t="shared" si="230"/>
        <v>0</v>
      </c>
      <c r="BW357" s="49">
        <f t="shared" si="231"/>
        <v>0</v>
      </c>
      <c r="BX357" s="49">
        <f t="shared" si="232"/>
        <v>1</v>
      </c>
      <c r="BY357" s="49">
        <f t="shared" si="233"/>
        <v>0</v>
      </c>
      <c r="BZ357" s="49">
        <f t="shared" si="234"/>
        <v>0</v>
      </c>
      <c r="CA357" s="49">
        <f t="shared" si="235"/>
        <v>0</v>
      </c>
      <c r="CB357" s="49">
        <f t="shared" si="236"/>
        <v>1</v>
      </c>
      <c r="CC357" s="49">
        <f t="shared" si="237"/>
        <v>0</v>
      </c>
      <c r="CD357" s="49">
        <f t="shared" si="238"/>
        <v>0</v>
      </c>
      <c r="CE357" s="49">
        <f t="shared" si="239"/>
        <v>0</v>
      </c>
    </row>
    <row r="358" spans="1:83" ht="35.1" customHeight="1" x14ac:dyDescent="0.3">
      <c r="A358" s="123" t="str">
        <f t="shared" si="200"/>
        <v>3팀</v>
      </c>
      <c r="B358" s="69">
        <f t="shared" si="201"/>
        <v>352</v>
      </c>
      <c r="C358" s="120" t="str">
        <f>IF(VLOOKUP($B358,'1. 현장별 인원현황'!$C:$J,2,0)=0,"",VLOOKUP($B358,'1. 현장별 인원현황'!$C:$J,2,0))</f>
        <v xml:space="preserve"> [3.쿠팡] GYS 2FC(경산) 전기공사</v>
      </c>
      <c r="D358" s="70" t="str">
        <f>IF(VLOOKUP($B358,'1. 현장별 인원현황'!$C:$J,3,0)=0,"",VLOOKUP($B358,'1. 현장별 인원현황'!$C:$J,3,0))</f>
        <v>이호연</v>
      </c>
      <c r="E358" s="74" t="str">
        <f ca="1">IF(VLOOKUP($B358,'1. 현장별 인원현황'!$C:$J,4,0)=0,"",VLOOKUP($B358,'1. 현장별 인원현황'!$C:$J,4,0))</f>
        <v>50세</v>
      </c>
      <c r="F358" s="70" t="str">
        <f>IF(VLOOKUP($B358,'1. 현장별 인원현황'!$C:$J,7,0)=0,"",VLOOKUP($B358,'1. 현장별 인원현황'!$C:$J,7,0))</f>
        <v>기능공</v>
      </c>
      <c r="G358" s="72" t="str">
        <f>IF(VLOOKUP($B358,'1. 현장별 인원현황'!$C:$J,8,0)=0,"",VLOOKUP($B358,'1. 현장별 인원현황'!$C:$J,8,0))</f>
        <v>전공</v>
      </c>
      <c r="H358" s="67" t="s">
        <v>69</v>
      </c>
      <c r="I358" s="73"/>
      <c r="J358" s="73"/>
      <c r="K358" s="68"/>
      <c r="L358" s="67" t="s">
        <v>69</v>
      </c>
      <c r="M358" s="73"/>
      <c r="N358" s="73"/>
      <c r="O358" s="68"/>
      <c r="P358" s="67" t="s">
        <v>69</v>
      </c>
      <c r="Q358" s="73"/>
      <c r="R358" s="73"/>
      <c r="S358" s="68"/>
      <c r="T358" s="67" t="s">
        <v>69</v>
      </c>
      <c r="U358" s="73"/>
      <c r="V358" s="73"/>
      <c r="W358" s="68"/>
      <c r="X358" s="67" t="s">
        <v>69</v>
      </c>
      <c r="Y358" s="73"/>
      <c r="Z358" s="73"/>
      <c r="AA358" s="68"/>
      <c r="AB358" s="67" t="s">
        <v>69</v>
      </c>
      <c r="AC358" s="73"/>
      <c r="AD358" s="73"/>
      <c r="AE358" s="68"/>
      <c r="AF358" s="67" t="s">
        <v>69</v>
      </c>
      <c r="AG358" s="73"/>
      <c r="AH358" s="73"/>
      <c r="AI358" s="68"/>
      <c r="AJ358" s="67" t="s">
        <v>69</v>
      </c>
      <c r="AK358" s="73"/>
      <c r="AL358" s="73"/>
      <c r="AM358" s="68"/>
      <c r="AN358" s="73" t="s">
        <v>69</v>
      </c>
      <c r="AO358" s="73"/>
      <c r="AP358" s="73"/>
      <c r="AQ358" s="68"/>
      <c r="AR358" s="67">
        <f t="shared" si="202"/>
        <v>100</v>
      </c>
      <c r="AS358" s="68" t="str">
        <f t="shared" si="203"/>
        <v>S</v>
      </c>
      <c r="AV358" s="49">
        <f t="shared" si="204"/>
        <v>1</v>
      </c>
      <c r="AW358" s="49">
        <f t="shared" si="205"/>
        <v>0</v>
      </c>
      <c r="AX358" s="49">
        <f t="shared" si="206"/>
        <v>0</v>
      </c>
      <c r="AY358" s="49">
        <f t="shared" si="207"/>
        <v>0</v>
      </c>
      <c r="AZ358" s="49">
        <f t="shared" si="208"/>
        <v>1</v>
      </c>
      <c r="BA358" s="49">
        <f t="shared" si="209"/>
        <v>0</v>
      </c>
      <c r="BB358" s="49">
        <f t="shared" si="210"/>
        <v>0</v>
      </c>
      <c r="BC358" s="49">
        <f t="shared" si="211"/>
        <v>0</v>
      </c>
      <c r="BD358" s="49">
        <f t="shared" si="212"/>
        <v>1</v>
      </c>
      <c r="BE358" s="49">
        <f t="shared" si="213"/>
        <v>0</v>
      </c>
      <c r="BF358" s="49">
        <f t="shared" si="214"/>
        <v>0</v>
      </c>
      <c r="BG358" s="49">
        <f t="shared" si="215"/>
        <v>0</v>
      </c>
      <c r="BH358" s="49">
        <f t="shared" si="216"/>
        <v>1</v>
      </c>
      <c r="BI358" s="49">
        <f t="shared" si="217"/>
        <v>0</v>
      </c>
      <c r="BJ358" s="49">
        <f t="shared" si="218"/>
        <v>0</v>
      </c>
      <c r="BK358" s="49">
        <f t="shared" si="219"/>
        <v>0</v>
      </c>
      <c r="BL358" s="49">
        <f t="shared" si="220"/>
        <v>1</v>
      </c>
      <c r="BM358" s="49">
        <f t="shared" si="221"/>
        <v>0</v>
      </c>
      <c r="BN358" s="49">
        <f t="shared" si="222"/>
        <v>0</v>
      </c>
      <c r="BO358" s="49">
        <f t="shared" si="223"/>
        <v>0</v>
      </c>
      <c r="BP358" s="49">
        <f t="shared" si="224"/>
        <v>1</v>
      </c>
      <c r="BQ358" s="49">
        <f t="shared" si="225"/>
        <v>0</v>
      </c>
      <c r="BR358" s="49">
        <f t="shared" si="226"/>
        <v>0</v>
      </c>
      <c r="BS358" s="49">
        <f t="shared" si="227"/>
        <v>0</v>
      </c>
      <c r="BT358" s="49">
        <f t="shared" si="228"/>
        <v>1</v>
      </c>
      <c r="BU358" s="49">
        <f t="shared" si="229"/>
        <v>0</v>
      </c>
      <c r="BV358" s="49">
        <f t="shared" si="230"/>
        <v>0</v>
      </c>
      <c r="BW358" s="49">
        <f t="shared" si="231"/>
        <v>0</v>
      </c>
      <c r="BX358" s="49">
        <f t="shared" si="232"/>
        <v>1</v>
      </c>
      <c r="BY358" s="49">
        <f t="shared" si="233"/>
        <v>0</v>
      </c>
      <c r="BZ358" s="49">
        <f t="shared" si="234"/>
        <v>0</v>
      </c>
      <c r="CA358" s="49">
        <f t="shared" si="235"/>
        <v>0</v>
      </c>
      <c r="CB358" s="49">
        <f t="shared" si="236"/>
        <v>1</v>
      </c>
      <c r="CC358" s="49">
        <f t="shared" si="237"/>
        <v>0</v>
      </c>
      <c r="CD358" s="49">
        <f t="shared" si="238"/>
        <v>0</v>
      </c>
      <c r="CE358" s="49">
        <f t="shared" si="239"/>
        <v>0</v>
      </c>
    </row>
    <row r="359" spans="1:83" ht="35.1" customHeight="1" x14ac:dyDescent="0.3">
      <c r="A359" s="123" t="str">
        <f t="shared" si="200"/>
        <v>3팀</v>
      </c>
      <c r="B359" s="69">
        <f t="shared" si="201"/>
        <v>353</v>
      </c>
      <c r="C359" s="120" t="str">
        <f>IF(VLOOKUP($B359,'1. 현장별 인원현황'!$C:$J,2,0)=0,"",VLOOKUP($B359,'1. 현장별 인원현황'!$C:$J,2,0))</f>
        <v xml:space="preserve"> [3.쿠팡] GYS 2FC(경산) 전기공사</v>
      </c>
      <c r="D359" s="70" t="str">
        <f>IF(VLOOKUP($B359,'1. 현장별 인원현황'!$C:$J,3,0)=0,"",VLOOKUP($B359,'1. 현장별 인원현황'!$C:$J,3,0))</f>
        <v>조용현</v>
      </c>
      <c r="E359" s="74" t="str">
        <f ca="1">IF(VLOOKUP($B359,'1. 현장별 인원현황'!$C:$J,4,0)=0,"",VLOOKUP($B359,'1. 현장별 인원현황'!$C:$J,4,0))</f>
        <v>39세</v>
      </c>
      <c r="F359" s="70" t="str">
        <f>IF(VLOOKUP($B359,'1. 현장별 인원현황'!$C:$J,7,0)=0,"",VLOOKUP($B359,'1. 현장별 인원현황'!$C:$J,7,0))</f>
        <v>기능공</v>
      </c>
      <c r="G359" s="72" t="str">
        <f>IF(VLOOKUP($B359,'1. 현장별 인원현황'!$C:$J,8,0)=0,"",VLOOKUP($B359,'1. 현장별 인원현황'!$C:$J,8,0))</f>
        <v>전공</v>
      </c>
      <c r="H359" s="67" t="s">
        <v>69</v>
      </c>
      <c r="I359" s="73"/>
      <c r="J359" s="73"/>
      <c r="K359" s="68"/>
      <c r="L359" s="67" t="s">
        <v>69</v>
      </c>
      <c r="M359" s="73"/>
      <c r="N359" s="73"/>
      <c r="O359" s="68"/>
      <c r="P359" s="67" t="s">
        <v>69</v>
      </c>
      <c r="Q359" s="73"/>
      <c r="R359" s="73"/>
      <c r="S359" s="68"/>
      <c r="T359" s="67" t="s">
        <v>69</v>
      </c>
      <c r="U359" s="73"/>
      <c r="V359" s="73"/>
      <c r="W359" s="68"/>
      <c r="X359" s="67" t="s">
        <v>69</v>
      </c>
      <c r="Y359" s="73"/>
      <c r="Z359" s="73"/>
      <c r="AA359" s="68"/>
      <c r="AB359" s="67" t="s">
        <v>69</v>
      </c>
      <c r="AC359" s="73"/>
      <c r="AD359" s="73"/>
      <c r="AE359" s="68"/>
      <c r="AF359" s="67" t="s">
        <v>69</v>
      </c>
      <c r="AG359" s="73"/>
      <c r="AH359" s="73"/>
      <c r="AI359" s="68"/>
      <c r="AJ359" s="67" t="s">
        <v>69</v>
      </c>
      <c r="AK359" s="73"/>
      <c r="AL359" s="73"/>
      <c r="AM359" s="68"/>
      <c r="AN359" s="73" t="s">
        <v>69</v>
      </c>
      <c r="AO359" s="73"/>
      <c r="AP359" s="73"/>
      <c r="AQ359" s="68"/>
      <c r="AR359" s="67">
        <f t="shared" si="202"/>
        <v>100</v>
      </c>
      <c r="AS359" s="68" t="str">
        <f t="shared" si="203"/>
        <v>S</v>
      </c>
      <c r="AV359" s="49">
        <f t="shared" si="204"/>
        <v>1</v>
      </c>
      <c r="AW359" s="49">
        <f t="shared" si="205"/>
        <v>0</v>
      </c>
      <c r="AX359" s="49">
        <f t="shared" si="206"/>
        <v>0</v>
      </c>
      <c r="AY359" s="49">
        <f t="shared" si="207"/>
        <v>0</v>
      </c>
      <c r="AZ359" s="49">
        <f t="shared" si="208"/>
        <v>1</v>
      </c>
      <c r="BA359" s="49">
        <f t="shared" si="209"/>
        <v>0</v>
      </c>
      <c r="BB359" s="49">
        <f t="shared" si="210"/>
        <v>0</v>
      </c>
      <c r="BC359" s="49">
        <f t="shared" si="211"/>
        <v>0</v>
      </c>
      <c r="BD359" s="49">
        <f t="shared" si="212"/>
        <v>1</v>
      </c>
      <c r="BE359" s="49">
        <f t="shared" si="213"/>
        <v>0</v>
      </c>
      <c r="BF359" s="49">
        <f t="shared" si="214"/>
        <v>0</v>
      </c>
      <c r="BG359" s="49">
        <f t="shared" si="215"/>
        <v>0</v>
      </c>
      <c r="BH359" s="49">
        <f t="shared" si="216"/>
        <v>1</v>
      </c>
      <c r="BI359" s="49">
        <f t="shared" si="217"/>
        <v>0</v>
      </c>
      <c r="BJ359" s="49">
        <f t="shared" si="218"/>
        <v>0</v>
      </c>
      <c r="BK359" s="49">
        <f t="shared" si="219"/>
        <v>0</v>
      </c>
      <c r="BL359" s="49">
        <f t="shared" si="220"/>
        <v>1</v>
      </c>
      <c r="BM359" s="49">
        <f t="shared" si="221"/>
        <v>0</v>
      </c>
      <c r="BN359" s="49">
        <f t="shared" si="222"/>
        <v>0</v>
      </c>
      <c r="BO359" s="49">
        <f t="shared" si="223"/>
        <v>0</v>
      </c>
      <c r="BP359" s="49">
        <f t="shared" si="224"/>
        <v>1</v>
      </c>
      <c r="BQ359" s="49">
        <f t="shared" si="225"/>
        <v>0</v>
      </c>
      <c r="BR359" s="49">
        <f t="shared" si="226"/>
        <v>0</v>
      </c>
      <c r="BS359" s="49">
        <f t="shared" si="227"/>
        <v>0</v>
      </c>
      <c r="BT359" s="49">
        <f t="shared" si="228"/>
        <v>1</v>
      </c>
      <c r="BU359" s="49">
        <f t="shared" si="229"/>
        <v>0</v>
      </c>
      <c r="BV359" s="49">
        <f t="shared" si="230"/>
        <v>0</v>
      </c>
      <c r="BW359" s="49">
        <f t="shared" si="231"/>
        <v>0</v>
      </c>
      <c r="BX359" s="49">
        <f t="shared" si="232"/>
        <v>1</v>
      </c>
      <c r="BY359" s="49">
        <f t="shared" si="233"/>
        <v>0</v>
      </c>
      <c r="BZ359" s="49">
        <f t="shared" si="234"/>
        <v>0</v>
      </c>
      <c r="CA359" s="49">
        <f t="shared" si="235"/>
        <v>0</v>
      </c>
      <c r="CB359" s="49">
        <f t="shared" si="236"/>
        <v>1</v>
      </c>
      <c r="CC359" s="49">
        <f t="shared" si="237"/>
        <v>0</v>
      </c>
      <c r="CD359" s="49">
        <f t="shared" si="238"/>
        <v>0</v>
      </c>
      <c r="CE359" s="49">
        <f t="shared" si="239"/>
        <v>0</v>
      </c>
    </row>
    <row r="360" spans="1:83" ht="35.1" customHeight="1" x14ac:dyDescent="0.3">
      <c r="A360" s="123" t="str">
        <f t="shared" si="200"/>
        <v>3팀</v>
      </c>
      <c r="B360" s="69">
        <f t="shared" si="201"/>
        <v>354</v>
      </c>
      <c r="C360" s="120" t="str">
        <f>IF(VLOOKUP($B360,'1. 현장별 인원현황'!$C:$J,2,0)=0,"",VLOOKUP($B360,'1. 현장별 인원현황'!$C:$J,2,0))</f>
        <v xml:space="preserve"> [3.쿠팡] GYS 2FC(경산) 전기공사</v>
      </c>
      <c r="D360" s="70" t="str">
        <f>IF(VLOOKUP($B360,'1. 현장별 인원현황'!$C:$J,3,0)=0,"",VLOOKUP($B360,'1. 현장별 인원현황'!$C:$J,3,0))</f>
        <v>한성귀</v>
      </c>
      <c r="E360" s="74" t="str">
        <f ca="1">IF(VLOOKUP($B360,'1. 현장별 인원현황'!$C:$J,4,0)=0,"",VLOOKUP($B360,'1. 현장별 인원현황'!$C:$J,4,0))</f>
        <v>57세</v>
      </c>
      <c r="F360" s="70" t="str">
        <f>IF(VLOOKUP($B360,'1. 현장별 인원현황'!$C:$J,7,0)=0,"",VLOOKUP($B360,'1. 현장별 인원현황'!$C:$J,7,0))</f>
        <v>기능공</v>
      </c>
      <c r="G360" s="72" t="str">
        <f>IF(VLOOKUP($B360,'1. 현장별 인원현황'!$C:$J,8,0)=0,"",VLOOKUP($B360,'1. 현장별 인원현황'!$C:$J,8,0))</f>
        <v>전공</v>
      </c>
      <c r="H360" s="67" t="s">
        <v>69</v>
      </c>
      <c r="I360" s="73"/>
      <c r="J360" s="73"/>
      <c r="K360" s="68"/>
      <c r="L360" s="67" t="s">
        <v>69</v>
      </c>
      <c r="M360" s="73"/>
      <c r="N360" s="73"/>
      <c r="O360" s="68"/>
      <c r="P360" s="67" t="s">
        <v>69</v>
      </c>
      <c r="Q360" s="73"/>
      <c r="R360" s="73"/>
      <c r="S360" s="68"/>
      <c r="T360" s="67" t="s">
        <v>69</v>
      </c>
      <c r="U360" s="73"/>
      <c r="V360" s="73"/>
      <c r="W360" s="68"/>
      <c r="X360" s="67" t="s">
        <v>69</v>
      </c>
      <c r="Y360" s="73"/>
      <c r="Z360" s="73"/>
      <c r="AA360" s="68"/>
      <c r="AB360" s="67" t="s">
        <v>69</v>
      </c>
      <c r="AC360" s="73"/>
      <c r="AD360" s="73"/>
      <c r="AE360" s="68"/>
      <c r="AF360" s="67" t="s">
        <v>69</v>
      </c>
      <c r="AG360" s="73"/>
      <c r="AH360" s="73"/>
      <c r="AI360" s="68"/>
      <c r="AJ360" s="67" t="s">
        <v>69</v>
      </c>
      <c r="AK360" s="73"/>
      <c r="AL360" s="73"/>
      <c r="AM360" s="68"/>
      <c r="AN360" s="73" t="s">
        <v>69</v>
      </c>
      <c r="AO360" s="73"/>
      <c r="AP360" s="73"/>
      <c r="AQ360" s="68"/>
      <c r="AR360" s="67">
        <f t="shared" si="202"/>
        <v>100</v>
      </c>
      <c r="AS360" s="68" t="str">
        <f t="shared" si="203"/>
        <v>S</v>
      </c>
      <c r="AV360" s="49">
        <f t="shared" si="204"/>
        <v>1</v>
      </c>
      <c r="AW360" s="49">
        <f t="shared" si="205"/>
        <v>0</v>
      </c>
      <c r="AX360" s="49">
        <f t="shared" si="206"/>
        <v>0</v>
      </c>
      <c r="AY360" s="49">
        <f t="shared" si="207"/>
        <v>0</v>
      </c>
      <c r="AZ360" s="49">
        <f t="shared" si="208"/>
        <v>1</v>
      </c>
      <c r="BA360" s="49">
        <f t="shared" si="209"/>
        <v>0</v>
      </c>
      <c r="BB360" s="49">
        <f t="shared" si="210"/>
        <v>0</v>
      </c>
      <c r="BC360" s="49">
        <f t="shared" si="211"/>
        <v>0</v>
      </c>
      <c r="BD360" s="49">
        <f t="shared" si="212"/>
        <v>1</v>
      </c>
      <c r="BE360" s="49">
        <f t="shared" si="213"/>
        <v>0</v>
      </c>
      <c r="BF360" s="49">
        <f t="shared" si="214"/>
        <v>0</v>
      </c>
      <c r="BG360" s="49">
        <f t="shared" si="215"/>
        <v>0</v>
      </c>
      <c r="BH360" s="49">
        <f t="shared" si="216"/>
        <v>1</v>
      </c>
      <c r="BI360" s="49">
        <f t="shared" si="217"/>
        <v>0</v>
      </c>
      <c r="BJ360" s="49">
        <f t="shared" si="218"/>
        <v>0</v>
      </c>
      <c r="BK360" s="49">
        <f t="shared" si="219"/>
        <v>0</v>
      </c>
      <c r="BL360" s="49">
        <f t="shared" si="220"/>
        <v>1</v>
      </c>
      <c r="BM360" s="49">
        <f t="shared" si="221"/>
        <v>0</v>
      </c>
      <c r="BN360" s="49">
        <f t="shared" si="222"/>
        <v>0</v>
      </c>
      <c r="BO360" s="49">
        <f t="shared" si="223"/>
        <v>0</v>
      </c>
      <c r="BP360" s="49">
        <f t="shared" si="224"/>
        <v>1</v>
      </c>
      <c r="BQ360" s="49">
        <f t="shared" si="225"/>
        <v>0</v>
      </c>
      <c r="BR360" s="49">
        <f t="shared" si="226"/>
        <v>0</v>
      </c>
      <c r="BS360" s="49">
        <f t="shared" si="227"/>
        <v>0</v>
      </c>
      <c r="BT360" s="49">
        <f t="shared" si="228"/>
        <v>1</v>
      </c>
      <c r="BU360" s="49">
        <f t="shared" si="229"/>
        <v>0</v>
      </c>
      <c r="BV360" s="49">
        <f t="shared" si="230"/>
        <v>0</v>
      </c>
      <c r="BW360" s="49">
        <f t="shared" si="231"/>
        <v>0</v>
      </c>
      <c r="BX360" s="49">
        <f t="shared" si="232"/>
        <v>1</v>
      </c>
      <c r="BY360" s="49">
        <f t="shared" si="233"/>
        <v>0</v>
      </c>
      <c r="BZ360" s="49">
        <f t="shared" si="234"/>
        <v>0</v>
      </c>
      <c r="CA360" s="49">
        <f t="shared" si="235"/>
        <v>0</v>
      </c>
      <c r="CB360" s="49">
        <f t="shared" si="236"/>
        <v>1</v>
      </c>
      <c r="CC360" s="49">
        <f t="shared" si="237"/>
        <v>0</v>
      </c>
      <c r="CD360" s="49">
        <f t="shared" si="238"/>
        <v>0</v>
      </c>
      <c r="CE360" s="49">
        <f t="shared" si="239"/>
        <v>0</v>
      </c>
    </row>
    <row r="361" spans="1:83" ht="35.1" customHeight="1" x14ac:dyDescent="0.3">
      <c r="A361" s="123" t="str">
        <f t="shared" si="200"/>
        <v>3팀</v>
      </c>
      <c r="B361" s="69">
        <f t="shared" si="201"/>
        <v>355</v>
      </c>
      <c r="C361" s="120" t="str">
        <f>IF(VLOOKUP($B361,'1. 현장별 인원현황'!$C:$J,2,0)=0,"",VLOOKUP($B361,'1. 현장별 인원현황'!$C:$J,2,0))</f>
        <v xml:space="preserve"> [3.쿠팡] GYS 2FC(경산) 전기공사</v>
      </c>
      <c r="D361" s="70" t="str">
        <f>IF(VLOOKUP($B361,'1. 현장별 인원현황'!$C:$J,3,0)=0,"",VLOOKUP($B361,'1. 현장별 인원현황'!$C:$J,3,0))</f>
        <v>김동완</v>
      </c>
      <c r="E361" s="74" t="str">
        <f ca="1">IF(VLOOKUP($B361,'1. 현장별 인원현황'!$C:$J,4,0)=0,"",VLOOKUP($B361,'1. 현장별 인원현황'!$C:$J,4,0))</f>
        <v>64세</v>
      </c>
      <c r="F361" s="70" t="str">
        <f>IF(VLOOKUP($B361,'1. 현장별 인원현황'!$C:$J,7,0)=0,"",VLOOKUP($B361,'1. 현장별 인원현황'!$C:$J,7,0))</f>
        <v>기능공</v>
      </c>
      <c r="G361" s="72" t="str">
        <f>IF(VLOOKUP($B361,'1. 현장별 인원현황'!$C:$J,8,0)=0,"",VLOOKUP($B361,'1. 현장별 인원현황'!$C:$J,8,0))</f>
        <v>전공</v>
      </c>
      <c r="H361" s="67" t="s">
        <v>69</v>
      </c>
      <c r="I361" s="73"/>
      <c r="J361" s="73"/>
      <c r="K361" s="68"/>
      <c r="L361" s="67" t="s">
        <v>69</v>
      </c>
      <c r="M361" s="73"/>
      <c r="N361" s="73"/>
      <c r="O361" s="68"/>
      <c r="P361" s="67" t="s">
        <v>69</v>
      </c>
      <c r="Q361" s="73"/>
      <c r="R361" s="73"/>
      <c r="S361" s="68"/>
      <c r="T361" s="67" t="s">
        <v>69</v>
      </c>
      <c r="U361" s="73"/>
      <c r="V361" s="73"/>
      <c r="W361" s="68"/>
      <c r="X361" s="67" t="s">
        <v>69</v>
      </c>
      <c r="Y361" s="73"/>
      <c r="Z361" s="73"/>
      <c r="AA361" s="68"/>
      <c r="AB361" s="67" t="s">
        <v>69</v>
      </c>
      <c r="AC361" s="73"/>
      <c r="AD361" s="73"/>
      <c r="AE361" s="68"/>
      <c r="AF361" s="67" t="s">
        <v>69</v>
      </c>
      <c r="AG361" s="73"/>
      <c r="AH361" s="73"/>
      <c r="AI361" s="68"/>
      <c r="AJ361" s="67" t="s">
        <v>69</v>
      </c>
      <c r="AK361" s="73"/>
      <c r="AL361" s="73"/>
      <c r="AM361" s="68"/>
      <c r="AN361" s="73" t="s">
        <v>69</v>
      </c>
      <c r="AO361" s="73"/>
      <c r="AP361" s="73"/>
      <c r="AQ361" s="68"/>
      <c r="AR361" s="67">
        <f t="shared" si="202"/>
        <v>100</v>
      </c>
      <c r="AS361" s="68" t="str">
        <f t="shared" si="203"/>
        <v>S</v>
      </c>
      <c r="AV361" s="49">
        <f t="shared" si="204"/>
        <v>1</v>
      </c>
      <c r="AW361" s="49">
        <f t="shared" si="205"/>
        <v>0</v>
      </c>
      <c r="AX361" s="49">
        <f t="shared" si="206"/>
        <v>0</v>
      </c>
      <c r="AY361" s="49">
        <f t="shared" si="207"/>
        <v>0</v>
      </c>
      <c r="AZ361" s="49">
        <f t="shared" si="208"/>
        <v>1</v>
      </c>
      <c r="BA361" s="49">
        <f t="shared" si="209"/>
        <v>0</v>
      </c>
      <c r="BB361" s="49">
        <f t="shared" si="210"/>
        <v>0</v>
      </c>
      <c r="BC361" s="49">
        <f t="shared" si="211"/>
        <v>0</v>
      </c>
      <c r="BD361" s="49">
        <f t="shared" si="212"/>
        <v>1</v>
      </c>
      <c r="BE361" s="49">
        <f t="shared" si="213"/>
        <v>0</v>
      </c>
      <c r="BF361" s="49">
        <f t="shared" si="214"/>
        <v>0</v>
      </c>
      <c r="BG361" s="49">
        <f t="shared" si="215"/>
        <v>0</v>
      </c>
      <c r="BH361" s="49">
        <f t="shared" si="216"/>
        <v>1</v>
      </c>
      <c r="BI361" s="49">
        <f t="shared" si="217"/>
        <v>0</v>
      </c>
      <c r="BJ361" s="49">
        <f t="shared" si="218"/>
        <v>0</v>
      </c>
      <c r="BK361" s="49">
        <f t="shared" si="219"/>
        <v>0</v>
      </c>
      <c r="BL361" s="49">
        <f t="shared" si="220"/>
        <v>1</v>
      </c>
      <c r="BM361" s="49">
        <f t="shared" si="221"/>
        <v>0</v>
      </c>
      <c r="BN361" s="49">
        <f t="shared" si="222"/>
        <v>0</v>
      </c>
      <c r="BO361" s="49">
        <f t="shared" si="223"/>
        <v>0</v>
      </c>
      <c r="BP361" s="49">
        <f t="shared" si="224"/>
        <v>1</v>
      </c>
      <c r="BQ361" s="49">
        <f t="shared" si="225"/>
        <v>0</v>
      </c>
      <c r="BR361" s="49">
        <f t="shared" si="226"/>
        <v>0</v>
      </c>
      <c r="BS361" s="49">
        <f t="shared" si="227"/>
        <v>0</v>
      </c>
      <c r="BT361" s="49">
        <f t="shared" si="228"/>
        <v>1</v>
      </c>
      <c r="BU361" s="49">
        <f t="shared" si="229"/>
        <v>0</v>
      </c>
      <c r="BV361" s="49">
        <f t="shared" si="230"/>
        <v>0</v>
      </c>
      <c r="BW361" s="49">
        <f t="shared" si="231"/>
        <v>0</v>
      </c>
      <c r="BX361" s="49">
        <f t="shared" si="232"/>
        <v>1</v>
      </c>
      <c r="BY361" s="49">
        <f t="shared" si="233"/>
        <v>0</v>
      </c>
      <c r="BZ361" s="49">
        <f t="shared" si="234"/>
        <v>0</v>
      </c>
      <c r="CA361" s="49">
        <f t="shared" si="235"/>
        <v>0</v>
      </c>
      <c r="CB361" s="49">
        <f t="shared" si="236"/>
        <v>1</v>
      </c>
      <c r="CC361" s="49">
        <f t="shared" si="237"/>
        <v>0</v>
      </c>
      <c r="CD361" s="49">
        <f t="shared" si="238"/>
        <v>0</v>
      </c>
      <c r="CE361" s="49">
        <f t="shared" si="239"/>
        <v>0</v>
      </c>
    </row>
    <row r="362" spans="1:83" ht="35.1" customHeight="1" x14ac:dyDescent="0.3">
      <c r="A362" s="123" t="str">
        <f t="shared" si="200"/>
        <v>3팀</v>
      </c>
      <c r="B362" s="69">
        <f t="shared" si="201"/>
        <v>356</v>
      </c>
      <c r="C362" s="120" t="str">
        <f>IF(VLOOKUP($B362,'1. 현장별 인원현황'!$C:$J,2,0)=0,"",VLOOKUP($B362,'1. 현장별 인원현황'!$C:$J,2,0))</f>
        <v xml:space="preserve"> [3.쿠팡] GYS 2FC(경산) 전기공사</v>
      </c>
      <c r="D362" s="70" t="str">
        <f>IF(VLOOKUP($B362,'1. 현장별 인원현황'!$C:$J,3,0)=0,"",VLOOKUP($B362,'1. 현장별 인원현황'!$C:$J,3,0))</f>
        <v>권태현</v>
      </c>
      <c r="E362" s="74" t="str">
        <f ca="1">IF(VLOOKUP($B362,'1. 현장별 인원현황'!$C:$J,4,0)=0,"",VLOOKUP($B362,'1. 현장별 인원현황'!$C:$J,4,0))</f>
        <v>61세</v>
      </c>
      <c r="F362" s="70" t="str">
        <f>IF(VLOOKUP($B362,'1. 현장별 인원현황'!$C:$J,7,0)=0,"",VLOOKUP($B362,'1. 현장별 인원현황'!$C:$J,7,0))</f>
        <v>기능공</v>
      </c>
      <c r="G362" s="72" t="str">
        <f>IF(VLOOKUP($B362,'1. 현장별 인원현황'!$C:$J,8,0)=0,"",VLOOKUP($B362,'1. 현장별 인원현황'!$C:$J,8,0))</f>
        <v>전공</v>
      </c>
      <c r="H362" s="67" t="s">
        <v>69</v>
      </c>
      <c r="I362" s="73"/>
      <c r="J362" s="73"/>
      <c r="K362" s="68"/>
      <c r="L362" s="67" t="s">
        <v>69</v>
      </c>
      <c r="M362" s="73"/>
      <c r="N362" s="73"/>
      <c r="O362" s="68"/>
      <c r="P362" s="67" t="s">
        <v>69</v>
      </c>
      <c r="Q362" s="73"/>
      <c r="R362" s="73"/>
      <c r="S362" s="68"/>
      <c r="T362" s="67" t="s">
        <v>69</v>
      </c>
      <c r="U362" s="73"/>
      <c r="V362" s="73"/>
      <c r="W362" s="68"/>
      <c r="X362" s="67" t="s">
        <v>69</v>
      </c>
      <c r="Y362" s="73"/>
      <c r="Z362" s="73"/>
      <c r="AA362" s="68"/>
      <c r="AB362" s="67" t="s">
        <v>69</v>
      </c>
      <c r="AC362" s="73"/>
      <c r="AD362" s="73"/>
      <c r="AE362" s="68"/>
      <c r="AF362" s="67" t="s">
        <v>69</v>
      </c>
      <c r="AG362" s="73"/>
      <c r="AH362" s="73"/>
      <c r="AI362" s="68"/>
      <c r="AJ362" s="67" t="s">
        <v>69</v>
      </c>
      <c r="AK362" s="73"/>
      <c r="AL362" s="73"/>
      <c r="AM362" s="68"/>
      <c r="AN362" s="73" t="s">
        <v>69</v>
      </c>
      <c r="AO362" s="73"/>
      <c r="AP362" s="73"/>
      <c r="AQ362" s="68"/>
      <c r="AR362" s="67">
        <f t="shared" si="202"/>
        <v>100</v>
      </c>
      <c r="AS362" s="68" t="str">
        <f t="shared" si="203"/>
        <v>S</v>
      </c>
      <c r="AV362" s="49">
        <f t="shared" si="204"/>
        <v>1</v>
      </c>
      <c r="AW362" s="49">
        <f t="shared" si="205"/>
        <v>0</v>
      </c>
      <c r="AX362" s="49">
        <f t="shared" si="206"/>
        <v>0</v>
      </c>
      <c r="AY362" s="49">
        <f t="shared" si="207"/>
        <v>0</v>
      </c>
      <c r="AZ362" s="49">
        <f t="shared" si="208"/>
        <v>1</v>
      </c>
      <c r="BA362" s="49">
        <f t="shared" si="209"/>
        <v>0</v>
      </c>
      <c r="BB362" s="49">
        <f t="shared" si="210"/>
        <v>0</v>
      </c>
      <c r="BC362" s="49">
        <f t="shared" si="211"/>
        <v>0</v>
      </c>
      <c r="BD362" s="49">
        <f t="shared" si="212"/>
        <v>1</v>
      </c>
      <c r="BE362" s="49">
        <f t="shared" si="213"/>
        <v>0</v>
      </c>
      <c r="BF362" s="49">
        <f t="shared" si="214"/>
        <v>0</v>
      </c>
      <c r="BG362" s="49">
        <f t="shared" si="215"/>
        <v>0</v>
      </c>
      <c r="BH362" s="49">
        <f t="shared" si="216"/>
        <v>1</v>
      </c>
      <c r="BI362" s="49">
        <f t="shared" si="217"/>
        <v>0</v>
      </c>
      <c r="BJ362" s="49">
        <f t="shared" si="218"/>
        <v>0</v>
      </c>
      <c r="BK362" s="49">
        <f t="shared" si="219"/>
        <v>0</v>
      </c>
      <c r="BL362" s="49">
        <f t="shared" si="220"/>
        <v>1</v>
      </c>
      <c r="BM362" s="49">
        <f t="shared" si="221"/>
        <v>0</v>
      </c>
      <c r="BN362" s="49">
        <f t="shared" si="222"/>
        <v>0</v>
      </c>
      <c r="BO362" s="49">
        <f t="shared" si="223"/>
        <v>0</v>
      </c>
      <c r="BP362" s="49">
        <f t="shared" si="224"/>
        <v>1</v>
      </c>
      <c r="BQ362" s="49">
        <f t="shared" si="225"/>
        <v>0</v>
      </c>
      <c r="BR362" s="49">
        <f t="shared" si="226"/>
        <v>0</v>
      </c>
      <c r="BS362" s="49">
        <f t="shared" si="227"/>
        <v>0</v>
      </c>
      <c r="BT362" s="49">
        <f t="shared" si="228"/>
        <v>1</v>
      </c>
      <c r="BU362" s="49">
        <f t="shared" si="229"/>
        <v>0</v>
      </c>
      <c r="BV362" s="49">
        <f t="shared" si="230"/>
        <v>0</v>
      </c>
      <c r="BW362" s="49">
        <f t="shared" si="231"/>
        <v>0</v>
      </c>
      <c r="BX362" s="49">
        <f t="shared" si="232"/>
        <v>1</v>
      </c>
      <c r="BY362" s="49">
        <f t="shared" si="233"/>
        <v>0</v>
      </c>
      <c r="BZ362" s="49">
        <f t="shared" si="234"/>
        <v>0</v>
      </c>
      <c r="CA362" s="49">
        <f t="shared" si="235"/>
        <v>0</v>
      </c>
      <c r="CB362" s="49">
        <f t="shared" si="236"/>
        <v>1</v>
      </c>
      <c r="CC362" s="49">
        <f t="shared" si="237"/>
        <v>0</v>
      </c>
      <c r="CD362" s="49">
        <f t="shared" si="238"/>
        <v>0</v>
      </c>
      <c r="CE362" s="49">
        <f t="shared" si="239"/>
        <v>0</v>
      </c>
    </row>
    <row r="363" spans="1:83" ht="35.1" customHeight="1" x14ac:dyDescent="0.3">
      <c r="A363" s="123" t="str">
        <f t="shared" si="200"/>
        <v>3팀</v>
      </c>
      <c r="B363" s="69">
        <f t="shared" si="201"/>
        <v>357</v>
      </c>
      <c r="C363" s="120" t="str">
        <f>IF(VLOOKUP($B363,'1. 현장별 인원현황'!$C:$J,2,0)=0,"",VLOOKUP($B363,'1. 현장별 인원현황'!$C:$J,2,0))</f>
        <v xml:space="preserve"> [3.쿠팡] INC 26,28,36FC(인천) HVAC 전원공사</v>
      </c>
      <c r="D363" s="70" t="str">
        <f>IF(VLOOKUP($B363,'1. 현장별 인원현황'!$C:$J,3,0)=0,"",VLOOKUP($B363,'1. 현장별 인원현황'!$C:$J,3,0))</f>
        <v>김태승</v>
      </c>
      <c r="E363" s="74" t="str">
        <f ca="1">IF(VLOOKUP($B363,'1. 현장별 인원현황'!$C:$J,4,0)=0,"",VLOOKUP($B363,'1. 현장별 인원현황'!$C:$J,4,0))</f>
        <v>30세</v>
      </c>
      <c r="F363" s="70" t="str">
        <f>IF(VLOOKUP($B363,'1. 현장별 인원현황'!$C:$J,7,0)=0,"",VLOOKUP($B363,'1. 현장별 인원현황'!$C:$J,7,0))</f>
        <v>공무</v>
      </c>
      <c r="G363" s="72" t="str">
        <f>IF(VLOOKUP($B363,'1. 현장별 인원현황'!$C:$J,8,0)=0,"",VLOOKUP($B363,'1. 현장별 인원현황'!$C:$J,8,0))</f>
        <v>대리</v>
      </c>
      <c r="H363" s="67" t="s">
        <v>69</v>
      </c>
      <c r="I363" s="73"/>
      <c r="J363" s="73"/>
      <c r="K363" s="68"/>
      <c r="L363" s="67" t="s">
        <v>69</v>
      </c>
      <c r="M363" s="73"/>
      <c r="N363" s="73"/>
      <c r="O363" s="68"/>
      <c r="P363" s="67" t="s">
        <v>69</v>
      </c>
      <c r="Q363" s="73"/>
      <c r="R363" s="73"/>
      <c r="S363" s="68"/>
      <c r="T363" s="67" t="s">
        <v>69</v>
      </c>
      <c r="U363" s="73"/>
      <c r="V363" s="73"/>
      <c r="W363" s="68"/>
      <c r="X363" s="67" t="s">
        <v>69</v>
      </c>
      <c r="Y363" s="73"/>
      <c r="Z363" s="73"/>
      <c r="AA363" s="68"/>
      <c r="AB363" s="67" t="s">
        <v>69</v>
      </c>
      <c r="AC363" s="73"/>
      <c r="AD363" s="73"/>
      <c r="AE363" s="68"/>
      <c r="AF363" s="67" t="s">
        <v>69</v>
      </c>
      <c r="AG363" s="73"/>
      <c r="AH363" s="73"/>
      <c r="AI363" s="68"/>
      <c r="AJ363" s="67" t="s">
        <v>69</v>
      </c>
      <c r="AK363" s="73"/>
      <c r="AL363" s="73"/>
      <c r="AM363" s="68"/>
      <c r="AN363" s="73" t="s">
        <v>69</v>
      </c>
      <c r="AO363" s="73"/>
      <c r="AP363" s="73"/>
      <c r="AQ363" s="68"/>
      <c r="AR363" s="67">
        <f t="shared" si="202"/>
        <v>100</v>
      </c>
      <c r="AS363" s="68" t="str">
        <f t="shared" si="203"/>
        <v>S</v>
      </c>
      <c r="AV363" s="49">
        <f t="shared" si="204"/>
        <v>1</v>
      </c>
      <c r="AW363" s="49">
        <f t="shared" si="205"/>
        <v>0</v>
      </c>
      <c r="AX363" s="49">
        <f t="shared" si="206"/>
        <v>0</v>
      </c>
      <c r="AY363" s="49">
        <f t="shared" si="207"/>
        <v>0</v>
      </c>
      <c r="AZ363" s="49">
        <f t="shared" si="208"/>
        <v>1</v>
      </c>
      <c r="BA363" s="49">
        <f t="shared" si="209"/>
        <v>0</v>
      </c>
      <c r="BB363" s="49">
        <f t="shared" si="210"/>
        <v>0</v>
      </c>
      <c r="BC363" s="49">
        <f t="shared" si="211"/>
        <v>0</v>
      </c>
      <c r="BD363" s="49">
        <f t="shared" si="212"/>
        <v>1</v>
      </c>
      <c r="BE363" s="49">
        <f t="shared" si="213"/>
        <v>0</v>
      </c>
      <c r="BF363" s="49">
        <f t="shared" si="214"/>
        <v>0</v>
      </c>
      <c r="BG363" s="49">
        <f t="shared" si="215"/>
        <v>0</v>
      </c>
      <c r="BH363" s="49">
        <f t="shared" si="216"/>
        <v>1</v>
      </c>
      <c r="BI363" s="49">
        <f t="shared" si="217"/>
        <v>0</v>
      </c>
      <c r="BJ363" s="49">
        <f t="shared" si="218"/>
        <v>0</v>
      </c>
      <c r="BK363" s="49">
        <f t="shared" si="219"/>
        <v>0</v>
      </c>
      <c r="BL363" s="49">
        <f t="shared" si="220"/>
        <v>1</v>
      </c>
      <c r="BM363" s="49">
        <f t="shared" si="221"/>
        <v>0</v>
      </c>
      <c r="BN363" s="49">
        <f t="shared" si="222"/>
        <v>0</v>
      </c>
      <c r="BO363" s="49">
        <f t="shared" si="223"/>
        <v>0</v>
      </c>
      <c r="BP363" s="49">
        <f t="shared" si="224"/>
        <v>1</v>
      </c>
      <c r="BQ363" s="49">
        <f t="shared" si="225"/>
        <v>0</v>
      </c>
      <c r="BR363" s="49">
        <f t="shared" si="226"/>
        <v>0</v>
      </c>
      <c r="BS363" s="49">
        <f t="shared" si="227"/>
        <v>0</v>
      </c>
      <c r="BT363" s="49">
        <f t="shared" si="228"/>
        <v>1</v>
      </c>
      <c r="BU363" s="49">
        <f t="shared" si="229"/>
        <v>0</v>
      </c>
      <c r="BV363" s="49">
        <f t="shared" si="230"/>
        <v>0</v>
      </c>
      <c r="BW363" s="49">
        <f t="shared" si="231"/>
        <v>0</v>
      </c>
      <c r="BX363" s="49">
        <f t="shared" si="232"/>
        <v>1</v>
      </c>
      <c r="BY363" s="49">
        <f t="shared" si="233"/>
        <v>0</v>
      </c>
      <c r="BZ363" s="49">
        <f t="shared" si="234"/>
        <v>0</v>
      </c>
      <c r="CA363" s="49">
        <f t="shared" si="235"/>
        <v>0</v>
      </c>
      <c r="CB363" s="49">
        <f t="shared" si="236"/>
        <v>1</v>
      </c>
      <c r="CC363" s="49">
        <f t="shared" si="237"/>
        <v>0</v>
      </c>
      <c r="CD363" s="49">
        <f t="shared" si="238"/>
        <v>0</v>
      </c>
      <c r="CE363" s="49">
        <f t="shared" si="239"/>
        <v>0</v>
      </c>
    </row>
    <row r="364" spans="1:83" ht="35.1" customHeight="1" x14ac:dyDescent="0.3">
      <c r="A364" s="123" t="str">
        <f t="shared" si="200"/>
        <v>3팀</v>
      </c>
      <c r="B364" s="69">
        <f t="shared" si="201"/>
        <v>358</v>
      </c>
      <c r="C364" s="120" t="str">
        <f>IF(VLOOKUP($B364,'1. 현장별 인원현황'!$C:$J,2,0)=0,"",VLOOKUP($B364,'1. 현장별 인원현황'!$C:$J,2,0))</f>
        <v xml:space="preserve"> [3.쿠팡] INC 26,28,36FC(인천) HVAC 전원공사</v>
      </c>
      <c r="D364" s="70" t="str">
        <f>IF(VLOOKUP($B364,'1. 현장별 인원현황'!$C:$J,3,0)=0,"",VLOOKUP($B364,'1. 현장별 인원현황'!$C:$J,3,0))</f>
        <v>유재한</v>
      </c>
      <c r="E364" s="74" t="str">
        <f ca="1">IF(VLOOKUP($B364,'1. 현장별 인원현황'!$C:$J,4,0)=0,"",VLOOKUP($B364,'1. 현장별 인원현황'!$C:$J,4,0))</f>
        <v>31세</v>
      </c>
      <c r="F364" s="70" t="str">
        <f>IF(VLOOKUP($B364,'1. 현장별 인원현황'!$C:$J,7,0)=0,"",VLOOKUP($B364,'1. 현장별 인원현황'!$C:$J,7,0))</f>
        <v>기능공</v>
      </c>
      <c r="G364" s="72" t="str">
        <f>IF(VLOOKUP($B364,'1. 현장별 인원현황'!$C:$J,8,0)=0,"",VLOOKUP($B364,'1. 현장별 인원현황'!$C:$J,8,0))</f>
        <v>전공</v>
      </c>
      <c r="H364" s="67" t="s">
        <v>69</v>
      </c>
      <c r="I364" s="73"/>
      <c r="J364" s="73"/>
      <c r="K364" s="68"/>
      <c r="L364" s="67" t="s">
        <v>69</v>
      </c>
      <c r="M364" s="73"/>
      <c r="N364" s="73"/>
      <c r="O364" s="68"/>
      <c r="P364" s="67" t="s">
        <v>69</v>
      </c>
      <c r="Q364" s="73"/>
      <c r="R364" s="73"/>
      <c r="S364" s="68"/>
      <c r="T364" s="67" t="s">
        <v>69</v>
      </c>
      <c r="U364" s="73"/>
      <c r="V364" s="73"/>
      <c r="W364" s="68"/>
      <c r="X364" s="67" t="s">
        <v>69</v>
      </c>
      <c r="Y364" s="73"/>
      <c r="Z364" s="73"/>
      <c r="AA364" s="68"/>
      <c r="AB364" s="67" t="s">
        <v>69</v>
      </c>
      <c r="AC364" s="73"/>
      <c r="AD364" s="73"/>
      <c r="AE364" s="68"/>
      <c r="AF364" s="67" t="s">
        <v>69</v>
      </c>
      <c r="AG364" s="73"/>
      <c r="AH364" s="73"/>
      <c r="AI364" s="68"/>
      <c r="AJ364" s="67" t="s">
        <v>69</v>
      </c>
      <c r="AK364" s="73"/>
      <c r="AL364" s="73"/>
      <c r="AM364" s="68"/>
      <c r="AN364" s="73" t="s">
        <v>69</v>
      </c>
      <c r="AO364" s="73"/>
      <c r="AP364" s="73"/>
      <c r="AQ364" s="68"/>
      <c r="AR364" s="67">
        <f t="shared" si="202"/>
        <v>100</v>
      </c>
      <c r="AS364" s="68" t="str">
        <f t="shared" si="203"/>
        <v>S</v>
      </c>
      <c r="AV364" s="49">
        <f t="shared" si="204"/>
        <v>1</v>
      </c>
      <c r="AW364" s="49">
        <f t="shared" si="205"/>
        <v>0</v>
      </c>
      <c r="AX364" s="49">
        <f t="shared" si="206"/>
        <v>0</v>
      </c>
      <c r="AY364" s="49">
        <f t="shared" si="207"/>
        <v>0</v>
      </c>
      <c r="AZ364" s="49">
        <f t="shared" si="208"/>
        <v>1</v>
      </c>
      <c r="BA364" s="49">
        <f t="shared" si="209"/>
        <v>0</v>
      </c>
      <c r="BB364" s="49">
        <f t="shared" si="210"/>
        <v>0</v>
      </c>
      <c r="BC364" s="49">
        <f t="shared" si="211"/>
        <v>0</v>
      </c>
      <c r="BD364" s="49">
        <f t="shared" si="212"/>
        <v>1</v>
      </c>
      <c r="BE364" s="49">
        <f t="shared" si="213"/>
        <v>0</v>
      </c>
      <c r="BF364" s="49">
        <f t="shared" si="214"/>
        <v>0</v>
      </c>
      <c r="BG364" s="49">
        <f t="shared" si="215"/>
        <v>0</v>
      </c>
      <c r="BH364" s="49">
        <f t="shared" si="216"/>
        <v>1</v>
      </c>
      <c r="BI364" s="49">
        <f t="shared" si="217"/>
        <v>0</v>
      </c>
      <c r="BJ364" s="49">
        <f t="shared" si="218"/>
        <v>0</v>
      </c>
      <c r="BK364" s="49">
        <f t="shared" si="219"/>
        <v>0</v>
      </c>
      <c r="BL364" s="49">
        <f t="shared" si="220"/>
        <v>1</v>
      </c>
      <c r="BM364" s="49">
        <f t="shared" si="221"/>
        <v>0</v>
      </c>
      <c r="BN364" s="49">
        <f t="shared" si="222"/>
        <v>0</v>
      </c>
      <c r="BO364" s="49">
        <f t="shared" si="223"/>
        <v>0</v>
      </c>
      <c r="BP364" s="49">
        <f t="shared" si="224"/>
        <v>1</v>
      </c>
      <c r="BQ364" s="49">
        <f t="shared" si="225"/>
        <v>0</v>
      </c>
      <c r="BR364" s="49">
        <f t="shared" si="226"/>
        <v>0</v>
      </c>
      <c r="BS364" s="49">
        <f t="shared" si="227"/>
        <v>0</v>
      </c>
      <c r="BT364" s="49">
        <f t="shared" si="228"/>
        <v>1</v>
      </c>
      <c r="BU364" s="49">
        <f t="shared" si="229"/>
        <v>0</v>
      </c>
      <c r="BV364" s="49">
        <f t="shared" si="230"/>
        <v>0</v>
      </c>
      <c r="BW364" s="49">
        <f t="shared" si="231"/>
        <v>0</v>
      </c>
      <c r="BX364" s="49">
        <f t="shared" si="232"/>
        <v>1</v>
      </c>
      <c r="BY364" s="49">
        <f t="shared" si="233"/>
        <v>0</v>
      </c>
      <c r="BZ364" s="49">
        <f t="shared" si="234"/>
        <v>0</v>
      </c>
      <c r="CA364" s="49">
        <f t="shared" si="235"/>
        <v>0</v>
      </c>
      <c r="CB364" s="49">
        <f t="shared" si="236"/>
        <v>1</v>
      </c>
      <c r="CC364" s="49">
        <f t="shared" si="237"/>
        <v>0</v>
      </c>
      <c r="CD364" s="49">
        <f t="shared" si="238"/>
        <v>0</v>
      </c>
      <c r="CE364" s="49">
        <f t="shared" si="239"/>
        <v>0</v>
      </c>
    </row>
    <row r="365" spans="1:83" ht="35.1" customHeight="1" x14ac:dyDescent="0.3">
      <c r="A365" s="123" t="str">
        <f t="shared" si="200"/>
        <v>3팀</v>
      </c>
      <c r="B365" s="69">
        <f t="shared" si="201"/>
        <v>359</v>
      </c>
      <c r="C365" s="120" t="str">
        <f>IF(VLOOKUP($B365,'1. 현장별 인원현황'!$C:$J,2,0)=0,"",VLOOKUP($B365,'1. 현장별 인원현황'!$C:$J,2,0))</f>
        <v xml:space="preserve"> [3.쿠팡] INC 26,28,36FC(인천) HVAC 전원공사</v>
      </c>
      <c r="D365" s="70" t="str">
        <f>IF(VLOOKUP($B365,'1. 현장별 인원현황'!$C:$J,3,0)=0,"",VLOOKUP($B365,'1. 현장별 인원현황'!$C:$J,3,0))</f>
        <v>허용환</v>
      </c>
      <c r="E365" s="74" t="str">
        <f ca="1">IF(VLOOKUP($B365,'1. 현장별 인원현황'!$C:$J,4,0)=0,"",VLOOKUP($B365,'1. 현장별 인원현황'!$C:$J,4,0))</f>
        <v>35세</v>
      </c>
      <c r="F365" s="70" t="str">
        <f>IF(VLOOKUP($B365,'1. 현장별 인원현황'!$C:$J,7,0)=0,"",VLOOKUP($B365,'1. 현장별 인원현황'!$C:$J,7,0))</f>
        <v>기능공</v>
      </c>
      <c r="G365" s="72" t="str">
        <f>IF(VLOOKUP($B365,'1. 현장별 인원현황'!$C:$J,8,0)=0,"",VLOOKUP($B365,'1. 현장별 인원현황'!$C:$J,8,0))</f>
        <v>전공</v>
      </c>
      <c r="H365" s="67" t="s">
        <v>69</v>
      </c>
      <c r="I365" s="73"/>
      <c r="J365" s="73"/>
      <c r="K365" s="68"/>
      <c r="L365" s="67" t="s">
        <v>69</v>
      </c>
      <c r="M365" s="73"/>
      <c r="N365" s="73"/>
      <c r="O365" s="68"/>
      <c r="P365" s="67" t="s">
        <v>69</v>
      </c>
      <c r="Q365" s="73"/>
      <c r="R365" s="73"/>
      <c r="S365" s="68"/>
      <c r="T365" s="67" t="s">
        <v>69</v>
      </c>
      <c r="U365" s="73"/>
      <c r="V365" s="73"/>
      <c r="W365" s="68"/>
      <c r="X365" s="67" t="s">
        <v>69</v>
      </c>
      <c r="Y365" s="73"/>
      <c r="Z365" s="73"/>
      <c r="AA365" s="68"/>
      <c r="AB365" s="67" t="s">
        <v>69</v>
      </c>
      <c r="AC365" s="73"/>
      <c r="AD365" s="73"/>
      <c r="AE365" s="68"/>
      <c r="AF365" s="67" t="s">
        <v>69</v>
      </c>
      <c r="AG365" s="73"/>
      <c r="AH365" s="73"/>
      <c r="AI365" s="68"/>
      <c r="AJ365" s="67" t="s">
        <v>69</v>
      </c>
      <c r="AK365" s="73"/>
      <c r="AL365" s="73"/>
      <c r="AM365" s="68"/>
      <c r="AN365" s="73" t="s">
        <v>69</v>
      </c>
      <c r="AO365" s="73"/>
      <c r="AP365" s="73"/>
      <c r="AQ365" s="68"/>
      <c r="AR365" s="67">
        <f t="shared" si="202"/>
        <v>100</v>
      </c>
      <c r="AS365" s="68" t="str">
        <f t="shared" si="203"/>
        <v>S</v>
      </c>
      <c r="AV365" s="49">
        <f t="shared" si="204"/>
        <v>1</v>
      </c>
      <c r="AW365" s="49">
        <f t="shared" si="205"/>
        <v>0</v>
      </c>
      <c r="AX365" s="49">
        <f t="shared" si="206"/>
        <v>0</v>
      </c>
      <c r="AY365" s="49">
        <f t="shared" si="207"/>
        <v>0</v>
      </c>
      <c r="AZ365" s="49">
        <f t="shared" si="208"/>
        <v>1</v>
      </c>
      <c r="BA365" s="49">
        <f t="shared" si="209"/>
        <v>0</v>
      </c>
      <c r="BB365" s="49">
        <f t="shared" si="210"/>
        <v>0</v>
      </c>
      <c r="BC365" s="49">
        <f t="shared" si="211"/>
        <v>0</v>
      </c>
      <c r="BD365" s="49">
        <f t="shared" si="212"/>
        <v>1</v>
      </c>
      <c r="BE365" s="49">
        <f t="shared" si="213"/>
        <v>0</v>
      </c>
      <c r="BF365" s="49">
        <f t="shared" si="214"/>
        <v>0</v>
      </c>
      <c r="BG365" s="49">
        <f t="shared" si="215"/>
        <v>0</v>
      </c>
      <c r="BH365" s="49">
        <f t="shared" si="216"/>
        <v>1</v>
      </c>
      <c r="BI365" s="49">
        <f t="shared" si="217"/>
        <v>0</v>
      </c>
      <c r="BJ365" s="49">
        <f t="shared" si="218"/>
        <v>0</v>
      </c>
      <c r="BK365" s="49">
        <f t="shared" si="219"/>
        <v>0</v>
      </c>
      <c r="BL365" s="49">
        <f t="shared" si="220"/>
        <v>1</v>
      </c>
      <c r="BM365" s="49">
        <f t="shared" si="221"/>
        <v>0</v>
      </c>
      <c r="BN365" s="49">
        <f t="shared" si="222"/>
        <v>0</v>
      </c>
      <c r="BO365" s="49">
        <f t="shared" si="223"/>
        <v>0</v>
      </c>
      <c r="BP365" s="49">
        <f t="shared" si="224"/>
        <v>1</v>
      </c>
      <c r="BQ365" s="49">
        <f t="shared" si="225"/>
        <v>0</v>
      </c>
      <c r="BR365" s="49">
        <f t="shared" si="226"/>
        <v>0</v>
      </c>
      <c r="BS365" s="49">
        <f t="shared" si="227"/>
        <v>0</v>
      </c>
      <c r="BT365" s="49">
        <f t="shared" si="228"/>
        <v>1</v>
      </c>
      <c r="BU365" s="49">
        <f t="shared" si="229"/>
        <v>0</v>
      </c>
      <c r="BV365" s="49">
        <f t="shared" si="230"/>
        <v>0</v>
      </c>
      <c r="BW365" s="49">
        <f t="shared" si="231"/>
        <v>0</v>
      </c>
      <c r="BX365" s="49">
        <f t="shared" si="232"/>
        <v>1</v>
      </c>
      <c r="BY365" s="49">
        <f t="shared" si="233"/>
        <v>0</v>
      </c>
      <c r="BZ365" s="49">
        <f t="shared" si="234"/>
        <v>0</v>
      </c>
      <c r="CA365" s="49">
        <f t="shared" si="235"/>
        <v>0</v>
      </c>
      <c r="CB365" s="49">
        <f t="shared" si="236"/>
        <v>1</v>
      </c>
      <c r="CC365" s="49">
        <f t="shared" si="237"/>
        <v>0</v>
      </c>
      <c r="CD365" s="49">
        <f t="shared" si="238"/>
        <v>0</v>
      </c>
      <c r="CE365" s="49">
        <f t="shared" si="239"/>
        <v>0</v>
      </c>
    </row>
    <row r="366" spans="1:83" ht="35.1" customHeight="1" x14ac:dyDescent="0.3">
      <c r="A366" s="123" t="str">
        <f t="shared" si="200"/>
        <v>3팀</v>
      </c>
      <c r="B366" s="69">
        <f t="shared" si="201"/>
        <v>360</v>
      </c>
      <c r="C366" s="120" t="str">
        <f>IF(VLOOKUP($B366,'1. 현장별 인원현황'!$C:$J,2,0)=0,"",VLOOKUP($B366,'1. 현장별 인원현황'!$C:$J,2,0))</f>
        <v xml:space="preserve"> [3.쿠팡] INC 26,28,36FC(인천) HVAC 전원공사</v>
      </c>
      <c r="D366" s="70" t="str">
        <f>IF(VLOOKUP($B366,'1. 현장별 인원현황'!$C:$J,3,0)=0,"",VLOOKUP($B366,'1. 현장별 인원현황'!$C:$J,3,0))</f>
        <v>임규문</v>
      </c>
      <c r="E366" s="74" t="str">
        <f ca="1">IF(VLOOKUP($B366,'1. 현장별 인원현황'!$C:$J,4,0)=0,"",VLOOKUP($B366,'1. 현장별 인원현황'!$C:$J,4,0))</f>
        <v>46세</v>
      </c>
      <c r="F366" s="70" t="str">
        <f>IF(VLOOKUP($B366,'1. 현장별 인원현황'!$C:$J,7,0)=0,"",VLOOKUP($B366,'1. 현장별 인원현황'!$C:$J,7,0))</f>
        <v>기능공</v>
      </c>
      <c r="G366" s="72" t="str">
        <f>IF(VLOOKUP($B366,'1. 현장별 인원현황'!$C:$J,8,0)=0,"",VLOOKUP($B366,'1. 현장별 인원현황'!$C:$J,8,0))</f>
        <v>전공</v>
      </c>
      <c r="H366" s="67" t="s">
        <v>69</v>
      </c>
      <c r="I366" s="73"/>
      <c r="J366" s="73"/>
      <c r="K366" s="68"/>
      <c r="L366" s="67" t="s">
        <v>69</v>
      </c>
      <c r="M366" s="73"/>
      <c r="N366" s="73"/>
      <c r="O366" s="68"/>
      <c r="P366" s="67" t="s">
        <v>69</v>
      </c>
      <c r="Q366" s="73"/>
      <c r="R366" s="73"/>
      <c r="S366" s="68"/>
      <c r="T366" s="67" t="s">
        <v>69</v>
      </c>
      <c r="U366" s="73"/>
      <c r="V366" s="73"/>
      <c r="W366" s="68"/>
      <c r="X366" s="67" t="s">
        <v>69</v>
      </c>
      <c r="Y366" s="73"/>
      <c r="Z366" s="73"/>
      <c r="AA366" s="68"/>
      <c r="AB366" s="67" t="s">
        <v>69</v>
      </c>
      <c r="AC366" s="73"/>
      <c r="AD366" s="73"/>
      <c r="AE366" s="68"/>
      <c r="AF366" s="67" t="s">
        <v>69</v>
      </c>
      <c r="AG366" s="73"/>
      <c r="AH366" s="73"/>
      <c r="AI366" s="68"/>
      <c r="AJ366" s="67" t="s">
        <v>69</v>
      </c>
      <c r="AK366" s="73"/>
      <c r="AL366" s="73"/>
      <c r="AM366" s="68"/>
      <c r="AN366" s="73" t="s">
        <v>69</v>
      </c>
      <c r="AO366" s="73"/>
      <c r="AP366" s="73"/>
      <c r="AQ366" s="68"/>
      <c r="AR366" s="67">
        <f t="shared" si="202"/>
        <v>100</v>
      </c>
      <c r="AS366" s="68" t="str">
        <f t="shared" si="203"/>
        <v>S</v>
      </c>
      <c r="AV366" s="49">
        <f t="shared" si="204"/>
        <v>1</v>
      </c>
      <c r="AW366" s="49">
        <f t="shared" si="205"/>
        <v>0</v>
      </c>
      <c r="AX366" s="49">
        <f t="shared" si="206"/>
        <v>0</v>
      </c>
      <c r="AY366" s="49">
        <f t="shared" si="207"/>
        <v>0</v>
      </c>
      <c r="AZ366" s="49">
        <f t="shared" si="208"/>
        <v>1</v>
      </c>
      <c r="BA366" s="49">
        <f t="shared" si="209"/>
        <v>0</v>
      </c>
      <c r="BB366" s="49">
        <f t="shared" si="210"/>
        <v>0</v>
      </c>
      <c r="BC366" s="49">
        <f t="shared" si="211"/>
        <v>0</v>
      </c>
      <c r="BD366" s="49">
        <f t="shared" si="212"/>
        <v>1</v>
      </c>
      <c r="BE366" s="49">
        <f t="shared" si="213"/>
        <v>0</v>
      </c>
      <c r="BF366" s="49">
        <f t="shared" si="214"/>
        <v>0</v>
      </c>
      <c r="BG366" s="49">
        <f t="shared" si="215"/>
        <v>0</v>
      </c>
      <c r="BH366" s="49">
        <f t="shared" si="216"/>
        <v>1</v>
      </c>
      <c r="BI366" s="49">
        <f t="shared" si="217"/>
        <v>0</v>
      </c>
      <c r="BJ366" s="49">
        <f t="shared" si="218"/>
        <v>0</v>
      </c>
      <c r="BK366" s="49">
        <f t="shared" si="219"/>
        <v>0</v>
      </c>
      <c r="BL366" s="49">
        <f t="shared" si="220"/>
        <v>1</v>
      </c>
      <c r="BM366" s="49">
        <f t="shared" si="221"/>
        <v>0</v>
      </c>
      <c r="BN366" s="49">
        <f t="shared" si="222"/>
        <v>0</v>
      </c>
      <c r="BO366" s="49">
        <f t="shared" si="223"/>
        <v>0</v>
      </c>
      <c r="BP366" s="49">
        <f t="shared" si="224"/>
        <v>1</v>
      </c>
      <c r="BQ366" s="49">
        <f t="shared" si="225"/>
        <v>0</v>
      </c>
      <c r="BR366" s="49">
        <f t="shared" si="226"/>
        <v>0</v>
      </c>
      <c r="BS366" s="49">
        <f t="shared" si="227"/>
        <v>0</v>
      </c>
      <c r="BT366" s="49">
        <f t="shared" si="228"/>
        <v>1</v>
      </c>
      <c r="BU366" s="49">
        <f t="shared" si="229"/>
        <v>0</v>
      </c>
      <c r="BV366" s="49">
        <f t="shared" si="230"/>
        <v>0</v>
      </c>
      <c r="BW366" s="49">
        <f t="shared" si="231"/>
        <v>0</v>
      </c>
      <c r="BX366" s="49">
        <f t="shared" si="232"/>
        <v>1</v>
      </c>
      <c r="BY366" s="49">
        <f t="shared" si="233"/>
        <v>0</v>
      </c>
      <c r="BZ366" s="49">
        <f t="shared" si="234"/>
        <v>0</v>
      </c>
      <c r="CA366" s="49">
        <f t="shared" si="235"/>
        <v>0</v>
      </c>
      <c r="CB366" s="49">
        <f t="shared" si="236"/>
        <v>1</v>
      </c>
      <c r="CC366" s="49">
        <f t="shared" si="237"/>
        <v>0</v>
      </c>
      <c r="CD366" s="49">
        <f t="shared" si="238"/>
        <v>0</v>
      </c>
      <c r="CE366" s="49">
        <f t="shared" si="239"/>
        <v>0</v>
      </c>
    </row>
    <row r="367" spans="1:83" ht="35.1" customHeight="1" x14ac:dyDescent="0.3">
      <c r="A367" s="123" t="str">
        <f t="shared" si="200"/>
        <v>3팀</v>
      </c>
      <c r="B367" s="69">
        <f t="shared" si="201"/>
        <v>361</v>
      </c>
      <c r="C367" s="120" t="str">
        <f>IF(VLOOKUP($B367,'1. 현장별 인원현황'!$C:$J,2,0)=0,"",VLOOKUP($B367,'1. 현장별 인원현황'!$C:$J,2,0))</f>
        <v xml:space="preserve"> [3.쿠팡] INC 26,28,36FC(인천) HVAC 전원공사</v>
      </c>
      <c r="D367" s="70" t="str">
        <f>IF(VLOOKUP($B367,'1. 현장별 인원현황'!$C:$J,3,0)=0,"",VLOOKUP($B367,'1. 현장별 인원현황'!$C:$J,3,0))</f>
        <v>이정훈</v>
      </c>
      <c r="E367" s="74" t="str">
        <f ca="1">IF(VLOOKUP($B367,'1. 현장별 인원현황'!$C:$J,4,0)=0,"",VLOOKUP($B367,'1. 현장별 인원현황'!$C:$J,4,0))</f>
        <v>27세</v>
      </c>
      <c r="F367" s="70" t="str">
        <f>IF(VLOOKUP($B367,'1. 현장별 인원현황'!$C:$J,7,0)=0,"",VLOOKUP($B367,'1. 현장별 인원현황'!$C:$J,7,0))</f>
        <v>기능공</v>
      </c>
      <c r="G367" s="72" t="str">
        <f>IF(VLOOKUP($B367,'1. 현장별 인원현황'!$C:$J,8,0)=0,"",VLOOKUP($B367,'1. 현장별 인원현황'!$C:$J,8,0))</f>
        <v>전공</v>
      </c>
      <c r="H367" s="67" t="s">
        <v>69</v>
      </c>
      <c r="I367" s="73"/>
      <c r="J367" s="73"/>
      <c r="K367" s="68"/>
      <c r="L367" s="67" t="s">
        <v>69</v>
      </c>
      <c r="M367" s="73"/>
      <c r="N367" s="73"/>
      <c r="O367" s="68"/>
      <c r="P367" s="67" t="s">
        <v>69</v>
      </c>
      <c r="Q367" s="73"/>
      <c r="R367" s="73"/>
      <c r="S367" s="68"/>
      <c r="T367" s="67" t="s">
        <v>69</v>
      </c>
      <c r="U367" s="73"/>
      <c r="V367" s="73"/>
      <c r="W367" s="68"/>
      <c r="X367" s="67" t="s">
        <v>69</v>
      </c>
      <c r="Y367" s="73"/>
      <c r="Z367" s="73"/>
      <c r="AA367" s="68"/>
      <c r="AB367" s="67" t="s">
        <v>69</v>
      </c>
      <c r="AC367" s="73"/>
      <c r="AD367" s="73"/>
      <c r="AE367" s="68"/>
      <c r="AF367" s="67" t="s">
        <v>69</v>
      </c>
      <c r="AG367" s="73"/>
      <c r="AH367" s="73"/>
      <c r="AI367" s="68"/>
      <c r="AJ367" s="67" t="s">
        <v>69</v>
      </c>
      <c r="AK367" s="73"/>
      <c r="AL367" s="73"/>
      <c r="AM367" s="68"/>
      <c r="AN367" s="73" t="s">
        <v>69</v>
      </c>
      <c r="AO367" s="73"/>
      <c r="AP367" s="73"/>
      <c r="AQ367" s="68"/>
      <c r="AR367" s="67">
        <f t="shared" si="202"/>
        <v>100</v>
      </c>
      <c r="AS367" s="68" t="str">
        <f t="shared" si="203"/>
        <v>S</v>
      </c>
      <c r="AV367" s="49">
        <f t="shared" si="204"/>
        <v>1</v>
      </c>
      <c r="AW367" s="49">
        <f t="shared" si="205"/>
        <v>0</v>
      </c>
      <c r="AX367" s="49">
        <f t="shared" si="206"/>
        <v>0</v>
      </c>
      <c r="AY367" s="49">
        <f t="shared" si="207"/>
        <v>0</v>
      </c>
      <c r="AZ367" s="49">
        <f t="shared" si="208"/>
        <v>1</v>
      </c>
      <c r="BA367" s="49">
        <f t="shared" si="209"/>
        <v>0</v>
      </c>
      <c r="BB367" s="49">
        <f t="shared" si="210"/>
        <v>0</v>
      </c>
      <c r="BC367" s="49">
        <f t="shared" si="211"/>
        <v>0</v>
      </c>
      <c r="BD367" s="49">
        <f t="shared" si="212"/>
        <v>1</v>
      </c>
      <c r="BE367" s="49">
        <f t="shared" si="213"/>
        <v>0</v>
      </c>
      <c r="BF367" s="49">
        <f t="shared" si="214"/>
        <v>0</v>
      </c>
      <c r="BG367" s="49">
        <f t="shared" si="215"/>
        <v>0</v>
      </c>
      <c r="BH367" s="49">
        <f t="shared" si="216"/>
        <v>1</v>
      </c>
      <c r="BI367" s="49">
        <f t="shared" si="217"/>
        <v>0</v>
      </c>
      <c r="BJ367" s="49">
        <f t="shared" si="218"/>
        <v>0</v>
      </c>
      <c r="BK367" s="49">
        <f t="shared" si="219"/>
        <v>0</v>
      </c>
      <c r="BL367" s="49">
        <f t="shared" si="220"/>
        <v>1</v>
      </c>
      <c r="BM367" s="49">
        <f t="shared" si="221"/>
        <v>0</v>
      </c>
      <c r="BN367" s="49">
        <f t="shared" si="222"/>
        <v>0</v>
      </c>
      <c r="BO367" s="49">
        <f t="shared" si="223"/>
        <v>0</v>
      </c>
      <c r="BP367" s="49">
        <f t="shared" si="224"/>
        <v>1</v>
      </c>
      <c r="BQ367" s="49">
        <f t="shared" si="225"/>
        <v>0</v>
      </c>
      <c r="BR367" s="49">
        <f t="shared" si="226"/>
        <v>0</v>
      </c>
      <c r="BS367" s="49">
        <f t="shared" si="227"/>
        <v>0</v>
      </c>
      <c r="BT367" s="49">
        <f t="shared" si="228"/>
        <v>1</v>
      </c>
      <c r="BU367" s="49">
        <f t="shared" si="229"/>
        <v>0</v>
      </c>
      <c r="BV367" s="49">
        <f t="shared" si="230"/>
        <v>0</v>
      </c>
      <c r="BW367" s="49">
        <f t="shared" si="231"/>
        <v>0</v>
      </c>
      <c r="BX367" s="49">
        <f t="shared" si="232"/>
        <v>1</v>
      </c>
      <c r="BY367" s="49">
        <f t="shared" si="233"/>
        <v>0</v>
      </c>
      <c r="BZ367" s="49">
        <f t="shared" si="234"/>
        <v>0</v>
      </c>
      <c r="CA367" s="49">
        <f t="shared" si="235"/>
        <v>0</v>
      </c>
      <c r="CB367" s="49">
        <f t="shared" si="236"/>
        <v>1</v>
      </c>
      <c r="CC367" s="49">
        <f t="shared" si="237"/>
        <v>0</v>
      </c>
      <c r="CD367" s="49">
        <f t="shared" si="238"/>
        <v>0</v>
      </c>
      <c r="CE367" s="49">
        <f t="shared" si="239"/>
        <v>0</v>
      </c>
    </row>
    <row r="368" spans="1:83" ht="35.1" customHeight="1" x14ac:dyDescent="0.3">
      <c r="A368" s="123" t="str">
        <f t="shared" si="200"/>
        <v>3팀</v>
      </c>
      <c r="B368" s="69">
        <f t="shared" si="201"/>
        <v>362</v>
      </c>
      <c r="C368" s="120" t="str">
        <f>IF(VLOOKUP($B368,'1. 현장별 인원현황'!$C:$J,2,0)=0,"",VLOOKUP($B368,'1. 현장별 인원현황'!$C:$J,2,0))</f>
        <v xml:space="preserve"> [3.쿠팡] INC 45FC(인천) 전기공사</v>
      </c>
      <c r="D368" s="70" t="str">
        <f>IF(VLOOKUP($B368,'1. 현장별 인원현황'!$C:$J,3,0)=0,"",VLOOKUP($B368,'1. 현장별 인원현황'!$C:$J,3,0))</f>
        <v>유형석</v>
      </c>
      <c r="E368" s="74" t="str">
        <f ca="1">IF(VLOOKUP($B368,'1. 현장별 인원현황'!$C:$J,4,0)=0,"",VLOOKUP($B368,'1. 현장별 인원현황'!$C:$J,4,0))</f>
        <v>34세</v>
      </c>
      <c r="F368" s="70" t="str">
        <f>IF(VLOOKUP($B368,'1. 현장별 인원현황'!$C:$J,7,0)=0,"",VLOOKUP($B368,'1. 현장별 인원현황'!$C:$J,7,0))</f>
        <v>공무</v>
      </c>
      <c r="G368" s="72" t="str">
        <f>IF(VLOOKUP($B368,'1. 현장별 인원현황'!$C:$J,8,0)=0,"",VLOOKUP($B368,'1. 현장별 인원현황'!$C:$J,8,0))</f>
        <v>차장</v>
      </c>
      <c r="H368" s="67" t="s">
        <v>69</v>
      </c>
      <c r="I368" s="73"/>
      <c r="J368" s="73"/>
      <c r="K368" s="68"/>
      <c r="L368" s="67" t="s">
        <v>69</v>
      </c>
      <c r="M368" s="73"/>
      <c r="N368" s="73"/>
      <c r="O368" s="68"/>
      <c r="P368" s="67" t="s">
        <v>69</v>
      </c>
      <c r="Q368" s="73"/>
      <c r="R368" s="73"/>
      <c r="S368" s="68"/>
      <c r="T368" s="67" t="s">
        <v>69</v>
      </c>
      <c r="U368" s="73"/>
      <c r="V368" s="73"/>
      <c r="W368" s="68"/>
      <c r="X368" s="67" t="s">
        <v>69</v>
      </c>
      <c r="Y368" s="73"/>
      <c r="Z368" s="73"/>
      <c r="AA368" s="68"/>
      <c r="AB368" s="67" t="s">
        <v>69</v>
      </c>
      <c r="AC368" s="73"/>
      <c r="AD368" s="73"/>
      <c r="AE368" s="68"/>
      <c r="AF368" s="67" t="s">
        <v>69</v>
      </c>
      <c r="AG368" s="73"/>
      <c r="AH368" s="73"/>
      <c r="AI368" s="68"/>
      <c r="AJ368" s="67" t="s">
        <v>69</v>
      </c>
      <c r="AK368" s="73"/>
      <c r="AL368" s="73"/>
      <c r="AM368" s="68"/>
      <c r="AN368" s="73" t="s">
        <v>69</v>
      </c>
      <c r="AO368" s="73"/>
      <c r="AP368" s="73"/>
      <c r="AQ368" s="68"/>
      <c r="AR368" s="67">
        <f t="shared" si="202"/>
        <v>100</v>
      </c>
      <c r="AS368" s="68" t="str">
        <f t="shared" si="203"/>
        <v>S</v>
      </c>
      <c r="AV368" s="49">
        <f t="shared" si="204"/>
        <v>1</v>
      </c>
      <c r="AW368" s="49">
        <f t="shared" si="205"/>
        <v>0</v>
      </c>
      <c r="AX368" s="49">
        <f t="shared" si="206"/>
        <v>0</v>
      </c>
      <c r="AY368" s="49">
        <f t="shared" si="207"/>
        <v>0</v>
      </c>
      <c r="AZ368" s="49">
        <f t="shared" si="208"/>
        <v>1</v>
      </c>
      <c r="BA368" s="49">
        <f t="shared" si="209"/>
        <v>0</v>
      </c>
      <c r="BB368" s="49">
        <f t="shared" si="210"/>
        <v>0</v>
      </c>
      <c r="BC368" s="49">
        <f t="shared" si="211"/>
        <v>0</v>
      </c>
      <c r="BD368" s="49">
        <f t="shared" si="212"/>
        <v>1</v>
      </c>
      <c r="BE368" s="49">
        <f t="shared" si="213"/>
        <v>0</v>
      </c>
      <c r="BF368" s="49">
        <f t="shared" si="214"/>
        <v>0</v>
      </c>
      <c r="BG368" s="49">
        <f t="shared" si="215"/>
        <v>0</v>
      </c>
      <c r="BH368" s="49">
        <f t="shared" si="216"/>
        <v>1</v>
      </c>
      <c r="BI368" s="49">
        <f t="shared" si="217"/>
        <v>0</v>
      </c>
      <c r="BJ368" s="49">
        <f t="shared" si="218"/>
        <v>0</v>
      </c>
      <c r="BK368" s="49">
        <f t="shared" si="219"/>
        <v>0</v>
      </c>
      <c r="BL368" s="49">
        <f t="shared" si="220"/>
        <v>1</v>
      </c>
      <c r="BM368" s="49">
        <f t="shared" si="221"/>
        <v>0</v>
      </c>
      <c r="BN368" s="49">
        <f t="shared" si="222"/>
        <v>0</v>
      </c>
      <c r="BO368" s="49">
        <f t="shared" si="223"/>
        <v>0</v>
      </c>
      <c r="BP368" s="49">
        <f t="shared" si="224"/>
        <v>1</v>
      </c>
      <c r="BQ368" s="49">
        <f t="shared" si="225"/>
        <v>0</v>
      </c>
      <c r="BR368" s="49">
        <f t="shared" si="226"/>
        <v>0</v>
      </c>
      <c r="BS368" s="49">
        <f t="shared" si="227"/>
        <v>0</v>
      </c>
      <c r="BT368" s="49">
        <f t="shared" si="228"/>
        <v>1</v>
      </c>
      <c r="BU368" s="49">
        <f t="shared" si="229"/>
        <v>0</v>
      </c>
      <c r="BV368" s="49">
        <f t="shared" si="230"/>
        <v>0</v>
      </c>
      <c r="BW368" s="49">
        <f t="shared" si="231"/>
        <v>0</v>
      </c>
      <c r="BX368" s="49">
        <f t="shared" si="232"/>
        <v>1</v>
      </c>
      <c r="BY368" s="49">
        <f t="shared" si="233"/>
        <v>0</v>
      </c>
      <c r="BZ368" s="49">
        <f t="shared" si="234"/>
        <v>0</v>
      </c>
      <c r="CA368" s="49">
        <f t="shared" si="235"/>
        <v>0</v>
      </c>
      <c r="CB368" s="49">
        <f t="shared" si="236"/>
        <v>1</v>
      </c>
      <c r="CC368" s="49">
        <f t="shared" si="237"/>
        <v>0</v>
      </c>
      <c r="CD368" s="49">
        <f t="shared" si="238"/>
        <v>0</v>
      </c>
      <c r="CE368" s="49">
        <f t="shared" si="239"/>
        <v>0</v>
      </c>
    </row>
    <row r="369" spans="1:83" ht="35.1" customHeight="1" x14ac:dyDescent="0.3">
      <c r="A369" s="123" t="str">
        <f t="shared" si="200"/>
        <v>3팀</v>
      </c>
      <c r="B369" s="69">
        <f t="shared" si="201"/>
        <v>363</v>
      </c>
      <c r="C369" s="120" t="str">
        <f>IF(VLOOKUP($B369,'1. 현장별 인원현황'!$C:$J,2,0)=0,"",VLOOKUP($B369,'1. 현장별 인원현황'!$C:$J,2,0))</f>
        <v xml:space="preserve"> [3.쿠팡] INC 45FC(인천) 전기공사</v>
      </c>
      <c r="D369" s="70" t="str">
        <f>IF(VLOOKUP($B369,'1. 현장별 인원현황'!$C:$J,3,0)=0,"",VLOOKUP($B369,'1. 현장별 인원현황'!$C:$J,3,0))</f>
        <v>이지현</v>
      </c>
      <c r="E369" s="74" t="str">
        <f ca="1">IF(VLOOKUP($B369,'1. 현장별 인원현황'!$C:$J,4,0)=0,"",VLOOKUP($B369,'1. 현장별 인원현황'!$C:$J,4,0))</f>
        <v>45세</v>
      </c>
      <c r="F369" s="70" t="str">
        <f>IF(VLOOKUP($B369,'1. 현장별 인원현황'!$C:$J,7,0)=0,"",VLOOKUP($B369,'1. 현장별 인원현황'!$C:$J,7,0))</f>
        <v>공무</v>
      </c>
      <c r="G369" s="72" t="str">
        <f>IF(VLOOKUP($B369,'1. 현장별 인원현황'!$C:$J,8,0)=0,"",VLOOKUP($B369,'1. 현장별 인원현황'!$C:$J,8,0))</f>
        <v>과장</v>
      </c>
      <c r="H369" s="67"/>
      <c r="I369" s="73" t="s">
        <v>69</v>
      </c>
      <c r="J369" s="73"/>
      <c r="K369" s="68"/>
      <c r="L369" s="67" t="s">
        <v>69</v>
      </c>
      <c r="M369" s="73"/>
      <c r="N369" s="73"/>
      <c r="O369" s="68"/>
      <c r="P369" s="67"/>
      <c r="Q369" s="73" t="s">
        <v>69</v>
      </c>
      <c r="R369" s="73"/>
      <c r="S369" s="68"/>
      <c r="T369" s="67"/>
      <c r="U369" s="73" t="s">
        <v>69</v>
      </c>
      <c r="V369" s="73"/>
      <c r="W369" s="68"/>
      <c r="X369" s="67"/>
      <c r="Y369" s="73" t="s">
        <v>69</v>
      </c>
      <c r="Z369" s="73"/>
      <c r="AA369" s="68"/>
      <c r="AB369" s="67" t="s">
        <v>69</v>
      </c>
      <c r="AC369" s="73"/>
      <c r="AD369" s="73"/>
      <c r="AE369" s="68"/>
      <c r="AF369" s="67" t="s">
        <v>69</v>
      </c>
      <c r="AG369" s="73"/>
      <c r="AH369" s="73"/>
      <c r="AI369" s="68"/>
      <c r="AJ369" s="67"/>
      <c r="AK369" s="73" t="s">
        <v>69</v>
      </c>
      <c r="AL369" s="73"/>
      <c r="AM369" s="68"/>
      <c r="AN369" s="73" t="s">
        <v>69</v>
      </c>
      <c r="AO369" s="73"/>
      <c r="AP369" s="73"/>
      <c r="AQ369" s="68"/>
      <c r="AR369" s="67">
        <f t="shared" si="202"/>
        <v>87</v>
      </c>
      <c r="AS369" s="68" t="str">
        <f t="shared" si="203"/>
        <v>S</v>
      </c>
      <c r="AV369" s="49">
        <f t="shared" si="204"/>
        <v>0</v>
      </c>
      <c r="AW369" s="49">
        <f t="shared" si="205"/>
        <v>1</v>
      </c>
      <c r="AX369" s="49">
        <f t="shared" si="206"/>
        <v>0</v>
      </c>
      <c r="AY369" s="49">
        <f t="shared" si="207"/>
        <v>0</v>
      </c>
      <c r="AZ369" s="49">
        <f t="shared" si="208"/>
        <v>1</v>
      </c>
      <c r="BA369" s="49">
        <f t="shared" si="209"/>
        <v>0</v>
      </c>
      <c r="BB369" s="49">
        <f t="shared" si="210"/>
        <v>0</v>
      </c>
      <c r="BC369" s="49">
        <f t="shared" si="211"/>
        <v>0</v>
      </c>
      <c r="BD369" s="49">
        <f t="shared" si="212"/>
        <v>0</v>
      </c>
      <c r="BE369" s="49">
        <f t="shared" si="213"/>
        <v>1</v>
      </c>
      <c r="BF369" s="49">
        <f t="shared" si="214"/>
        <v>0</v>
      </c>
      <c r="BG369" s="49">
        <f t="shared" si="215"/>
        <v>0</v>
      </c>
      <c r="BH369" s="49">
        <f t="shared" si="216"/>
        <v>0</v>
      </c>
      <c r="BI369" s="49">
        <f t="shared" si="217"/>
        <v>1</v>
      </c>
      <c r="BJ369" s="49">
        <f t="shared" si="218"/>
        <v>0</v>
      </c>
      <c r="BK369" s="49">
        <f t="shared" si="219"/>
        <v>0</v>
      </c>
      <c r="BL369" s="49">
        <f t="shared" si="220"/>
        <v>0</v>
      </c>
      <c r="BM369" s="49">
        <f t="shared" si="221"/>
        <v>1</v>
      </c>
      <c r="BN369" s="49">
        <f t="shared" si="222"/>
        <v>0</v>
      </c>
      <c r="BO369" s="49">
        <f t="shared" si="223"/>
        <v>0</v>
      </c>
      <c r="BP369" s="49">
        <f t="shared" si="224"/>
        <v>1</v>
      </c>
      <c r="BQ369" s="49">
        <f t="shared" si="225"/>
        <v>0</v>
      </c>
      <c r="BR369" s="49">
        <f t="shared" si="226"/>
        <v>0</v>
      </c>
      <c r="BS369" s="49">
        <f t="shared" si="227"/>
        <v>0</v>
      </c>
      <c r="BT369" s="49">
        <f t="shared" si="228"/>
        <v>1</v>
      </c>
      <c r="BU369" s="49">
        <f t="shared" si="229"/>
        <v>0</v>
      </c>
      <c r="BV369" s="49">
        <f t="shared" si="230"/>
        <v>0</v>
      </c>
      <c r="BW369" s="49">
        <f t="shared" si="231"/>
        <v>0</v>
      </c>
      <c r="BX369" s="49">
        <f t="shared" si="232"/>
        <v>0</v>
      </c>
      <c r="BY369" s="49">
        <f t="shared" si="233"/>
        <v>1</v>
      </c>
      <c r="BZ369" s="49">
        <f t="shared" si="234"/>
        <v>0</v>
      </c>
      <c r="CA369" s="49">
        <f t="shared" si="235"/>
        <v>0</v>
      </c>
      <c r="CB369" s="49">
        <f t="shared" si="236"/>
        <v>1</v>
      </c>
      <c r="CC369" s="49">
        <f t="shared" si="237"/>
        <v>0</v>
      </c>
      <c r="CD369" s="49">
        <f t="shared" si="238"/>
        <v>0</v>
      </c>
      <c r="CE369" s="49">
        <f t="shared" si="239"/>
        <v>0</v>
      </c>
    </row>
    <row r="370" spans="1:83" ht="35.1" customHeight="1" x14ac:dyDescent="0.3">
      <c r="A370" s="123" t="str">
        <f t="shared" si="200"/>
        <v>3팀</v>
      </c>
      <c r="B370" s="69">
        <f t="shared" si="201"/>
        <v>364</v>
      </c>
      <c r="C370" s="120" t="str">
        <f>IF(VLOOKUP($B370,'1. 현장별 인원현황'!$C:$J,2,0)=0,"",VLOOKUP($B370,'1. 현장별 인원현황'!$C:$J,2,0))</f>
        <v xml:space="preserve"> [3.쿠팡] INC 45FC(인천) 전기공사</v>
      </c>
      <c r="D370" s="70" t="str">
        <f>IF(VLOOKUP($B370,'1. 현장별 인원현황'!$C:$J,3,0)=0,"",VLOOKUP($B370,'1. 현장별 인원현황'!$C:$J,3,0))</f>
        <v>이규선</v>
      </c>
      <c r="E370" s="74" t="str">
        <f ca="1">IF(VLOOKUP($B370,'1. 현장별 인원현황'!$C:$J,4,0)=0,"",VLOOKUP($B370,'1. 현장별 인원현황'!$C:$J,4,0))</f>
        <v>42세</v>
      </c>
      <c r="F370" s="70" t="str">
        <f>IF(VLOOKUP($B370,'1. 현장별 인원현황'!$C:$J,7,0)=0,"",VLOOKUP($B370,'1. 현장별 인원현황'!$C:$J,7,0))</f>
        <v>공사</v>
      </c>
      <c r="G370" s="72" t="str">
        <f>IF(VLOOKUP($B370,'1. 현장별 인원현황'!$C:$J,8,0)=0,"",VLOOKUP($B370,'1. 현장별 인원현황'!$C:$J,8,0))</f>
        <v>대리</v>
      </c>
      <c r="H370" s="67"/>
      <c r="I370" s="73" t="s">
        <v>69</v>
      </c>
      <c r="J370" s="73"/>
      <c r="K370" s="68"/>
      <c r="L370" s="67"/>
      <c r="M370" s="73" t="s">
        <v>69</v>
      </c>
      <c r="N370" s="73"/>
      <c r="O370" s="68"/>
      <c r="P370" s="67"/>
      <c r="Q370" s="73" t="s">
        <v>69</v>
      </c>
      <c r="R370" s="73"/>
      <c r="S370" s="68"/>
      <c r="T370" s="67"/>
      <c r="U370" s="73" t="s">
        <v>69</v>
      </c>
      <c r="V370" s="73"/>
      <c r="W370" s="68"/>
      <c r="X370" s="67"/>
      <c r="Y370" s="73" t="s">
        <v>69</v>
      </c>
      <c r="Z370" s="73"/>
      <c r="AA370" s="68"/>
      <c r="AB370" s="67"/>
      <c r="AC370" s="73" t="s">
        <v>69</v>
      </c>
      <c r="AD370" s="73"/>
      <c r="AE370" s="68"/>
      <c r="AF370" s="67"/>
      <c r="AG370" s="73" t="s">
        <v>69</v>
      </c>
      <c r="AH370" s="73"/>
      <c r="AI370" s="68"/>
      <c r="AJ370" s="67"/>
      <c r="AK370" s="73" t="s">
        <v>69</v>
      </c>
      <c r="AL370" s="73"/>
      <c r="AM370" s="68"/>
      <c r="AN370" s="73" t="s">
        <v>69</v>
      </c>
      <c r="AO370" s="73"/>
      <c r="AP370" s="73"/>
      <c r="AQ370" s="68"/>
      <c r="AR370" s="67">
        <f t="shared" si="202"/>
        <v>80</v>
      </c>
      <c r="AS370" s="68" t="str">
        <f t="shared" si="203"/>
        <v>A</v>
      </c>
      <c r="AV370" s="49">
        <f t="shared" si="204"/>
        <v>0</v>
      </c>
      <c r="AW370" s="49">
        <f t="shared" si="205"/>
        <v>1</v>
      </c>
      <c r="AX370" s="49">
        <f t="shared" si="206"/>
        <v>0</v>
      </c>
      <c r="AY370" s="49">
        <f t="shared" si="207"/>
        <v>0</v>
      </c>
      <c r="AZ370" s="49">
        <f t="shared" si="208"/>
        <v>0</v>
      </c>
      <c r="BA370" s="49">
        <f t="shared" si="209"/>
        <v>1</v>
      </c>
      <c r="BB370" s="49">
        <f t="shared" si="210"/>
        <v>0</v>
      </c>
      <c r="BC370" s="49">
        <f t="shared" si="211"/>
        <v>0</v>
      </c>
      <c r="BD370" s="49">
        <f t="shared" si="212"/>
        <v>0</v>
      </c>
      <c r="BE370" s="49">
        <f t="shared" si="213"/>
        <v>1</v>
      </c>
      <c r="BF370" s="49">
        <f t="shared" si="214"/>
        <v>0</v>
      </c>
      <c r="BG370" s="49">
        <f t="shared" si="215"/>
        <v>0</v>
      </c>
      <c r="BH370" s="49">
        <f t="shared" si="216"/>
        <v>0</v>
      </c>
      <c r="BI370" s="49">
        <f t="shared" si="217"/>
        <v>1</v>
      </c>
      <c r="BJ370" s="49">
        <f t="shared" si="218"/>
        <v>0</v>
      </c>
      <c r="BK370" s="49">
        <f t="shared" si="219"/>
        <v>0</v>
      </c>
      <c r="BL370" s="49">
        <f t="shared" si="220"/>
        <v>0</v>
      </c>
      <c r="BM370" s="49">
        <f t="shared" si="221"/>
        <v>1</v>
      </c>
      <c r="BN370" s="49">
        <f t="shared" si="222"/>
        <v>0</v>
      </c>
      <c r="BO370" s="49">
        <f t="shared" si="223"/>
        <v>0</v>
      </c>
      <c r="BP370" s="49">
        <f t="shared" si="224"/>
        <v>0</v>
      </c>
      <c r="BQ370" s="49">
        <f t="shared" si="225"/>
        <v>1</v>
      </c>
      <c r="BR370" s="49">
        <f t="shared" si="226"/>
        <v>0</v>
      </c>
      <c r="BS370" s="49">
        <f t="shared" si="227"/>
        <v>0</v>
      </c>
      <c r="BT370" s="49">
        <f t="shared" si="228"/>
        <v>0</v>
      </c>
      <c r="BU370" s="49">
        <f t="shared" si="229"/>
        <v>1</v>
      </c>
      <c r="BV370" s="49">
        <f t="shared" si="230"/>
        <v>0</v>
      </c>
      <c r="BW370" s="49">
        <f t="shared" si="231"/>
        <v>0</v>
      </c>
      <c r="BX370" s="49">
        <f t="shared" si="232"/>
        <v>0</v>
      </c>
      <c r="BY370" s="49">
        <f t="shared" si="233"/>
        <v>1</v>
      </c>
      <c r="BZ370" s="49">
        <f t="shared" si="234"/>
        <v>0</v>
      </c>
      <c r="CA370" s="49">
        <f t="shared" si="235"/>
        <v>0</v>
      </c>
      <c r="CB370" s="49">
        <f t="shared" si="236"/>
        <v>1</v>
      </c>
      <c r="CC370" s="49">
        <f t="shared" si="237"/>
        <v>0</v>
      </c>
      <c r="CD370" s="49">
        <f t="shared" si="238"/>
        <v>0</v>
      </c>
      <c r="CE370" s="49">
        <f t="shared" si="239"/>
        <v>0</v>
      </c>
    </row>
    <row r="371" spans="1:83" ht="35.1" customHeight="1" x14ac:dyDescent="0.3">
      <c r="A371" s="123" t="str">
        <f t="shared" si="200"/>
        <v>3팀</v>
      </c>
      <c r="B371" s="69">
        <f t="shared" si="201"/>
        <v>365</v>
      </c>
      <c r="C371" s="120" t="str">
        <f>IF(VLOOKUP($B371,'1. 현장별 인원현황'!$C:$J,2,0)=0,"",VLOOKUP($B371,'1. 현장별 인원현황'!$C:$J,2,0))</f>
        <v xml:space="preserve"> [3.쿠팡] INC 45FC(인천) 전기공사</v>
      </c>
      <c r="D371" s="70" t="str">
        <f>IF(VLOOKUP($B371,'1. 현장별 인원현황'!$C:$J,3,0)=0,"",VLOOKUP($B371,'1. 현장별 인원현황'!$C:$J,3,0))</f>
        <v>김경훈</v>
      </c>
      <c r="E371" s="74" t="str">
        <f ca="1">IF(VLOOKUP($B371,'1. 현장별 인원현황'!$C:$J,4,0)=0,"",VLOOKUP($B371,'1. 현장별 인원현황'!$C:$J,4,0))</f>
        <v>39세</v>
      </c>
      <c r="F371" s="70" t="str">
        <f>IF(VLOOKUP($B371,'1. 현장별 인원현황'!$C:$J,7,0)=0,"",VLOOKUP($B371,'1. 현장별 인원현황'!$C:$J,7,0))</f>
        <v>안전관리자</v>
      </c>
      <c r="G371" s="72" t="str">
        <f>IF(VLOOKUP($B371,'1. 현장별 인원현황'!$C:$J,8,0)=0,"",VLOOKUP($B371,'1. 현장별 인원현황'!$C:$J,8,0))</f>
        <v>과장</v>
      </c>
      <c r="H371" s="67" t="s">
        <v>69</v>
      </c>
      <c r="I371" s="73"/>
      <c r="J371" s="73"/>
      <c r="K371" s="68"/>
      <c r="L371" s="67" t="s">
        <v>69</v>
      </c>
      <c r="M371" s="73"/>
      <c r="N371" s="73"/>
      <c r="O371" s="68"/>
      <c r="P371" s="67"/>
      <c r="Q371" s="73" t="s">
        <v>69</v>
      </c>
      <c r="R371" s="73"/>
      <c r="S371" s="68"/>
      <c r="T371" s="67"/>
      <c r="U371" s="73" t="s">
        <v>69</v>
      </c>
      <c r="V371" s="73"/>
      <c r="W371" s="68"/>
      <c r="X371" s="67" t="s">
        <v>69</v>
      </c>
      <c r="Y371" s="73"/>
      <c r="Z371" s="73"/>
      <c r="AA371" s="68"/>
      <c r="AB371" s="67" t="s">
        <v>69</v>
      </c>
      <c r="AC371" s="73"/>
      <c r="AD371" s="73"/>
      <c r="AE371" s="68"/>
      <c r="AF371" s="67"/>
      <c r="AG371" s="73" t="s">
        <v>69</v>
      </c>
      <c r="AH371" s="73"/>
      <c r="AI371" s="68"/>
      <c r="AJ371" s="67" t="s">
        <v>69</v>
      </c>
      <c r="AK371" s="73"/>
      <c r="AL371" s="73"/>
      <c r="AM371" s="68"/>
      <c r="AN371" s="73" t="s">
        <v>69</v>
      </c>
      <c r="AO371" s="73"/>
      <c r="AP371" s="73"/>
      <c r="AQ371" s="68"/>
      <c r="AR371" s="67">
        <f t="shared" si="202"/>
        <v>93</v>
      </c>
      <c r="AS371" s="68" t="str">
        <f t="shared" si="203"/>
        <v>S</v>
      </c>
      <c r="AV371" s="49">
        <f t="shared" si="204"/>
        <v>1</v>
      </c>
      <c r="AW371" s="49">
        <f t="shared" si="205"/>
        <v>0</v>
      </c>
      <c r="AX371" s="49">
        <f t="shared" si="206"/>
        <v>0</v>
      </c>
      <c r="AY371" s="49">
        <f t="shared" si="207"/>
        <v>0</v>
      </c>
      <c r="AZ371" s="49">
        <f t="shared" si="208"/>
        <v>1</v>
      </c>
      <c r="BA371" s="49">
        <f t="shared" si="209"/>
        <v>0</v>
      </c>
      <c r="BB371" s="49">
        <f t="shared" si="210"/>
        <v>0</v>
      </c>
      <c r="BC371" s="49">
        <f t="shared" si="211"/>
        <v>0</v>
      </c>
      <c r="BD371" s="49">
        <f t="shared" si="212"/>
        <v>0</v>
      </c>
      <c r="BE371" s="49">
        <f t="shared" si="213"/>
        <v>1</v>
      </c>
      <c r="BF371" s="49">
        <f t="shared" si="214"/>
        <v>0</v>
      </c>
      <c r="BG371" s="49">
        <f t="shared" si="215"/>
        <v>0</v>
      </c>
      <c r="BH371" s="49">
        <f t="shared" si="216"/>
        <v>0</v>
      </c>
      <c r="BI371" s="49">
        <f t="shared" si="217"/>
        <v>1</v>
      </c>
      <c r="BJ371" s="49">
        <f t="shared" si="218"/>
        <v>0</v>
      </c>
      <c r="BK371" s="49">
        <f t="shared" si="219"/>
        <v>0</v>
      </c>
      <c r="BL371" s="49">
        <f t="shared" si="220"/>
        <v>1</v>
      </c>
      <c r="BM371" s="49">
        <f t="shared" si="221"/>
        <v>0</v>
      </c>
      <c r="BN371" s="49">
        <f t="shared" si="222"/>
        <v>0</v>
      </c>
      <c r="BO371" s="49">
        <f t="shared" si="223"/>
        <v>0</v>
      </c>
      <c r="BP371" s="49">
        <f t="shared" si="224"/>
        <v>1</v>
      </c>
      <c r="BQ371" s="49">
        <f t="shared" si="225"/>
        <v>0</v>
      </c>
      <c r="BR371" s="49">
        <f t="shared" si="226"/>
        <v>0</v>
      </c>
      <c r="BS371" s="49">
        <f t="shared" si="227"/>
        <v>0</v>
      </c>
      <c r="BT371" s="49">
        <f t="shared" si="228"/>
        <v>0</v>
      </c>
      <c r="BU371" s="49">
        <f t="shared" si="229"/>
        <v>1</v>
      </c>
      <c r="BV371" s="49">
        <f t="shared" si="230"/>
        <v>0</v>
      </c>
      <c r="BW371" s="49">
        <f t="shared" si="231"/>
        <v>0</v>
      </c>
      <c r="BX371" s="49">
        <f t="shared" si="232"/>
        <v>1</v>
      </c>
      <c r="BY371" s="49">
        <f t="shared" si="233"/>
        <v>0</v>
      </c>
      <c r="BZ371" s="49">
        <f t="shared" si="234"/>
        <v>0</v>
      </c>
      <c r="CA371" s="49">
        <f t="shared" si="235"/>
        <v>0</v>
      </c>
      <c r="CB371" s="49">
        <f t="shared" si="236"/>
        <v>1</v>
      </c>
      <c r="CC371" s="49">
        <f t="shared" si="237"/>
        <v>0</v>
      </c>
      <c r="CD371" s="49">
        <f t="shared" si="238"/>
        <v>0</v>
      </c>
      <c r="CE371" s="49">
        <f t="shared" si="239"/>
        <v>0</v>
      </c>
    </row>
    <row r="372" spans="1:83" ht="35.1" customHeight="1" x14ac:dyDescent="0.3">
      <c r="A372" s="123" t="str">
        <f t="shared" si="200"/>
        <v>3팀</v>
      </c>
      <c r="B372" s="69">
        <f t="shared" si="201"/>
        <v>366</v>
      </c>
      <c r="C372" s="120" t="str">
        <f>IF(VLOOKUP($B372,'1. 현장별 인원현황'!$C:$J,2,0)=0,"",VLOOKUP($B372,'1. 현장별 인원현황'!$C:$J,2,0))</f>
        <v xml:space="preserve"> [3.쿠팡] INC 45FC(인천) 전기공사</v>
      </c>
      <c r="D372" s="70" t="str">
        <f>IF(VLOOKUP($B372,'1. 현장별 인원현황'!$C:$J,3,0)=0,"",VLOOKUP($B372,'1. 현장별 인원현황'!$C:$J,3,0))</f>
        <v>조승호</v>
      </c>
      <c r="E372" s="74" t="str">
        <f ca="1">IF(VLOOKUP($B372,'1. 현장별 인원현황'!$C:$J,4,0)=0,"",VLOOKUP($B372,'1. 현장별 인원현황'!$C:$J,4,0))</f>
        <v>60세</v>
      </c>
      <c r="F372" s="70" t="str">
        <f>IF(VLOOKUP($B372,'1. 현장별 인원현황'!$C:$J,7,0)=0,"",VLOOKUP($B372,'1. 현장별 인원현황'!$C:$J,7,0))</f>
        <v>공사</v>
      </c>
      <c r="G372" s="72" t="str">
        <f>IF(VLOOKUP($B372,'1. 현장별 인원현황'!$C:$J,8,0)=0,"",VLOOKUP($B372,'1. 현장별 인원현황'!$C:$J,8,0))</f>
        <v>차장</v>
      </c>
      <c r="H372" s="67" t="s">
        <v>69</v>
      </c>
      <c r="I372" s="73"/>
      <c r="J372" s="73"/>
      <c r="K372" s="68"/>
      <c r="L372" s="67"/>
      <c r="M372" s="73" t="s">
        <v>69</v>
      </c>
      <c r="N372" s="73"/>
      <c r="O372" s="68"/>
      <c r="P372" s="67" t="s">
        <v>69</v>
      </c>
      <c r="Q372" s="73"/>
      <c r="R372" s="73"/>
      <c r="S372" s="68"/>
      <c r="T372" s="67"/>
      <c r="U372" s="73" t="s">
        <v>69</v>
      </c>
      <c r="V372" s="73"/>
      <c r="W372" s="68"/>
      <c r="X372" s="67" t="s">
        <v>69</v>
      </c>
      <c r="Y372" s="73"/>
      <c r="Z372" s="73"/>
      <c r="AA372" s="68"/>
      <c r="AB372" s="67" t="s">
        <v>69</v>
      </c>
      <c r="AC372" s="73"/>
      <c r="AD372" s="73"/>
      <c r="AE372" s="68"/>
      <c r="AF372" s="67" t="s">
        <v>69</v>
      </c>
      <c r="AG372" s="73"/>
      <c r="AH372" s="73"/>
      <c r="AI372" s="68"/>
      <c r="AJ372" s="67" t="s">
        <v>69</v>
      </c>
      <c r="AK372" s="73"/>
      <c r="AL372" s="73"/>
      <c r="AM372" s="68"/>
      <c r="AN372" s="73" t="s">
        <v>69</v>
      </c>
      <c r="AO372" s="73"/>
      <c r="AP372" s="73"/>
      <c r="AQ372" s="68"/>
      <c r="AR372" s="67">
        <f t="shared" si="202"/>
        <v>95</v>
      </c>
      <c r="AS372" s="68" t="str">
        <f t="shared" si="203"/>
        <v>S</v>
      </c>
      <c r="AV372" s="49">
        <f t="shared" si="79"/>
        <v>1</v>
      </c>
      <c r="AW372" s="49">
        <f t="shared" si="44"/>
        <v>0</v>
      </c>
      <c r="AX372" s="49">
        <f t="shared" si="45"/>
        <v>0</v>
      </c>
      <c r="AY372" s="49">
        <f t="shared" si="46"/>
        <v>0</v>
      </c>
      <c r="AZ372" s="49">
        <f t="shared" si="47"/>
        <v>0</v>
      </c>
      <c r="BA372" s="49">
        <f t="shared" si="48"/>
        <v>1</v>
      </c>
      <c r="BB372" s="49">
        <f t="shared" si="49"/>
        <v>0</v>
      </c>
      <c r="BC372" s="49">
        <f t="shared" si="50"/>
        <v>0</v>
      </c>
      <c r="BD372" s="49">
        <f t="shared" si="51"/>
        <v>1</v>
      </c>
      <c r="BE372" s="49">
        <f t="shared" si="52"/>
        <v>0</v>
      </c>
      <c r="BF372" s="49">
        <f t="shared" si="53"/>
        <v>0</v>
      </c>
      <c r="BG372" s="49">
        <f t="shared" si="54"/>
        <v>0</v>
      </c>
      <c r="BH372" s="49">
        <f t="shared" si="55"/>
        <v>0</v>
      </c>
      <c r="BI372" s="49">
        <f t="shared" si="56"/>
        <v>1</v>
      </c>
      <c r="BJ372" s="49">
        <f t="shared" si="57"/>
        <v>0</v>
      </c>
      <c r="BK372" s="49">
        <f t="shared" si="58"/>
        <v>0</v>
      </c>
      <c r="BL372" s="49">
        <f t="shared" si="59"/>
        <v>1</v>
      </c>
      <c r="BM372" s="49">
        <f t="shared" si="60"/>
        <v>0</v>
      </c>
      <c r="BN372" s="49">
        <f t="shared" si="61"/>
        <v>0</v>
      </c>
      <c r="BO372" s="49">
        <f t="shared" si="62"/>
        <v>0</v>
      </c>
      <c r="BP372" s="49">
        <f t="shared" si="63"/>
        <v>1</v>
      </c>
      <c r="BQ372" s="49">
        <f t="shared" si="64"/>
        <v>0</v>
      </c>
      <c r="BR372" s="49">
        <f t="shared" si="65"/>
        <v>0</v>
      </c>
      <c r="BS372" s="49">
        <f t="shared" si="66"/>
        <v>0</v>
      </c>
      <c r="BT372" s="49">
        <f t="shared" si="67"/>
        <v>1</v>
      </c>
      <c r="BU372" s="49">
        <f t="shared" si="68"/>
        <v>0</v>
      </c>
      <c r="BV372" s="49">
        <f t="shared" si="69"/>
        <v>0</v>
      </c>
      <c r="BW372" s="49">
        <f t="shared" si="70"/>
        <v>0</v>
      </c>
      <c r="BX372" s="49">
        <f t="shared" si="71"/>
        <v>1</v>
      </c>
      <c r="BY372" s="49">
        <f t="shared" si="72"/>
        <v>0</v>
      </c>
      <c r="BZ372" s="49">
        <f t="shared" si="73"/>
        <v>0</v>
      </c>
      <c r="CA372" s="49">
        <f t="shared" si="74"/>
        <v>0</v>
      </c>
      <c r="CB372" s="49">
        <f t="shared" si="75"/>
        <v>1</v>
      </c>
      <c r="CC372" s="49">
        <f t="shared" si="76"/>
        <v>0</v>
      </c>
      <c r="CD372" s="49">
        <f t="shared" si="77"/>
        <v>0</v>
      </c>
      <c r="CE372" s="49">
        <f t="shared" si="78"/>
        <v>0</v>
      </c>
    </row>
    <row r="373" spans="1:83" ht="35.1" customHeight="1" x14ac:dyDescent="0.3">
      <c r="A373" s="123" t="str">
        <f t="shared" si="200"/>
        <v>3팀</v>
      </c>
      <c r="B373" s="69">
        <f t="shared" si="201"/>
        <v>367</v>
      </c>
      <c r="C373" s="120" t="str">
        <f>IF(VLOOKUP($B373,'1. 현장별 인원현황'!$C:$J,2,0)=0,"",VLOOKUP($B373,'1. 현장별 인원현황'!$C:$J,2,0))</f>
        <v xml:space="preserve"> [3.쿠팡] INC 45FC(인천) 전기공사</v>
      </c>
      <c r="D373" s="70" t="str">
        <f>IF(VLOOKUP($B373,'1. 현장별 인원현황'!$C:$J,3,0)=0,"",VLOOKUP($B373,'1. 현장별 인원현황'!$C:$J,3,0))</f>
        <v>최종구</v>
      </c>
      <c r="E373" s="74" t="str">
        <f ca="1">IF(VLOOKUP($B373,'1. 현장별 인원현황'!$C:$J,4,0)=0,"",VLOOKUP($B373,'1. 현장별 인원현황'!$C:$J,4,0))</f>
        <v>52세</v>
      </c>
      <c r="F373" s="70" t="str">
        <f>IF(VLOOKUP($B373,'1. 현장별 인원현황'!$C:$J,7,0)=0,"",VLOOKUP($B373,'1. 현장별 인원현황'!$C:$J,7,0))</f>
        <v>기능공</v>
      </c>
      <c r="G373" s="72" t="str">
        <f>IF(VLOOKUP($B373,'1. 현장별 인원현황'!$C:$J,8,0)=0,"",VLOOKUP($B373,'1. 현장별 인원현황'!$C:$J,8,0))</f>
        <v>전공</v>
      </c>
      <c r="H373" s="67"/>
      <c r="I373" s="73"/>
      <c r="J373" s="73" t="s">
        <v>69</v>
      </c>
      <c r="K373" s="68"/>
      <c r="L373" s="67" t="s">
        <v>69</v>
      </c>
      <c r="M373" s="73"/>
      <c r="N373" s="73"/>
      <c r="O373" s="68"/>
      <c r="P373" s="67"/>
      <c r="Q373" s="73" t="s">
        <v>69</v>
      </c>
      <c r="R373" s="73"/>
      <c r="S373" s="68"/>
      <c r="T373" s="67"/>
      <c r="U373" s="73" t="s">
        <v>69</v>
      </c>
      <c r="V373" s="73"/>
      <c r="W373" s="68"/>
      <c r="X373" s="67"/>
      <c r="Y373" s="73" t="s">
        <v>69</v>
      </c>
      <c r="Z373" s="73"/>
      <c r="AA373" s="68"/>
      <c r="AB373" s="67" t="s">
        <v>69</v>
      </c>
      <c r="AC373" s="73"/>
      <c r="AD373" s="73"/>
      <c r="AE373" s="68"/>
      <c r="AF373" s="67" t="s">
        <v>69</v>
      </c>
      <c r="AG373" s="73"/>
      <c r="AH373" s="73"/>
      <c r="AI373" s="68"/>
      <c r="AJ373" s="67" t="s">
        <v>69</v>
      </c>
      <c r="AK373" s="73"/>
      <c r="AL373" s="73"/>
      <c r="AM373" s="68"/>
      <c r="AN373" s="73" t="s">
        <v>69</v>
      </c>
      <c r="AO373" s="73"/>
      <c r="AP373" s="73"/>
      <c r="AQ373" s="68"/>
      <c r="AR373" s="67">
        <f t="shared" si="202"/>
        <v>87</v>
      </c>
      <c r="AS373" s="68" t="str">
        <f t="shared" si="203"/>
        <v>S</v>
      </c>
      <c r="AV373" s="49">
        <f t="shared" si="79"/>
        <v>0</v>
      </c>
      <c r="AW373" s="49">
        <f t="shared" si="44"/>
        <v>0</v>
      </c>
      <c r="AX373" s="49">
        <f t="shared" si="45"/>
        <v>1</v>
      </c>
      <c r="AY373" s="49">
        <f t="shared" si="46"/>
        <v>0</v>
      </c>
      <c r="AZ373" s="49">
        <f t="shared" si="47"/>
        <v>1</v>
      </c>
      <c r="BA373" s="49">
        <f t="shared" si="48"/>
        <v>0</v>
      </c>
      <c r="BB373" s="49">
        <f t="shared" si="49"/>
        <v>0</v>
      </c>
      <c r="BC373" s="49">
        <f t="shared" si="50"/>
        <v>0</v>
      </c>
      <c r="BD373" s="49">
        <f t="shared" si="51"/>
        <v>0</v>
      </c>
      <c r="BE373" s="49">
        <f t="shared" si="52"/>
        <v>1</v>
      </c>
      <c r="BF373" s="49">
        <f t="shared" si="53"/>
        <v>0</v>
      </c>
      <c r="BG373" s="49">
        <f t="shared" si="54"/>
        <v>0</v>
      </c>
      <c r="BH373" s="49">
        <f t="shared" si="55"/>
        <v>0</v>
      </c>
      <c r="BI373" s="49">
        <f t="shared" si="56"/>
        <v>1</v>
      </c>
      <c r="BJ373" s="49">
        <f t="shared" si="57"/>
        <v>0</v>
      </c>
      <c r="BK373" s="49">
        <f t="shared" si="58"/>
        <v>0</v>
      </c>
      <c r="BL373" s="49">
        <f t="shared" si="59"/>
        <v>0</v>
      </c>
      <c r="BM373" s="49">
        <f t="shared" si="60"/>
        <v>1</v>
      </c>
      <c r="BN373" s="49">
        <f t="shared" si="61"/>
        <v>0</v>
      </c>
      <c r="BO373" s="49">
        <f t="shared" si="62"/>
        <v>0</v>
      </c>
      <c r="BP373" s="49">
        <f t="shared" si="63"/>
        <v>1</v>
      </c>
      <c r="BQ373" s="49">
        <f t="shared" si="64"/>
        <v>0</v>
      </c>
      <c r="BR373" s="49">
        <f t="shared" si="65"/>
        <v>0</v>
      </c>
      <c r="BS373" s="49">
        <f t="shared" si="66"/>
        <v>0</v>
      </c>
      <c r="BT373" s="49">
        <f t="shared" si="67"/>
        <v>1</v>
      </c>
      <c r="BU373" s="49">
        <f t="shared" si="68"/>
        <v>0</v>
      </c>
      <c r="BV373" s="49">
        <f t="shared" si="69"/>
        <v>0</v>
      </c>
      <c r="BW373" s="49">
        <f t="shared" si="70"/>
        <v>0</v>
      </c>
      <c r="BX373" s="49">
        <f t="shared" si="71"/>
        <v>1</v>
      </c>
      <c r="BY373" s="49">
        <f t="shared" si="72"/>
        <v>0</v>
      </c>
      <c r="BZ373" s="49">
        <f t="shared" si="73"/>
        <v>0</v>
      </c>
      <c r="CA373" s="49">
        <f t="shared" si="74"/>
        <v>0</v>
      </c>
      <c r="CB373" s="49">
        <f t="shared" si="75"/>
        <v>1</v>
      </c>
      <c r="CC373" s="49">
        <f t="shared" si="76"/>
        <v>0</v>
      </c>
      <c r="CD373" s="49">
        <f t="shared" si="77"/>
        <v>0</v>
      </c>
      <c r="CE373" s="49">
        <f t="shared" si="78"/>
        <v>0</v>
      </c>
    </row>
    <row r="374" spans="1:83" ht="35.1" customHeight="1" x14ac:dyDescent="0.3">
      <c r="A374" s="123" t="str">
        <f t="shared" si="200"/>
        <v>3팀</v>
      </c>
      <c r="B374" s="69">
        <f t="shared" si="201"/>
        <v>368</v>
      </c>
      <c r="C374" s="120" t="str">
        <f>IF(VLOOKUP($B374,'1. 현장별 인원현황'!$C:$J,2,0)=0,"",VLOOKUP($B374,'1. 현장별 인원현황'!$C:$J,2,0))</f>
        <v xml:space="preserve"> [3.쿠팡] INC 45FC(인천) 전기공사</v>
      </c>
      <c r="D374" s="70" t="str">
        <f>IF(VLOOKUP($B374,'1. 현장별 인원현황'!$C:$J,3,0)=0,"",VLOOKUP($B374,'1. 현장별 인원현황'!$C:$J,3,0))</f>
        <v>김승규</v>
      </c>
      <c r="E374" s="74" t="str">
        <f ca="1">IF(VLOOKUP($B374,'1. 현장별 인원현황'!$C:$J,4,0)=0,"",VLOOKUP($B374,'1. 현장별 인원현황'!$C:$J,4,0))</f>
        <v>54세</v>
      </c>
      <c r="F374" s="70" t="str">
        <f>IF(VLOOKUP($B374,'1. 현장별 인원현황'!$C:$J,7,0)=0,"",VLOOKUP($B374,'1. 현장별 인원현황'!$C:$J,7,0))</f>
        <v>기능공</v>
      </c>
      <c r="G374" s="72" t="str">
        <f>IF(VLOOKUP($B374,'1. 현장별 인원현황'!$C:$J,8,0)=0,"",VLOOKUP($B374,'1. 현장별 인원현황'!$C:$J,8,0))</f>
        <v>전공</v>
      </c>
      <c r="H374" s="67"/>
      <c r="I374" s="73"/>
      <c r="J374" s="73" t="s">
        <v>69</v>
      </c>
      <c r="K374" s="68"/>
      <c r="L374" s="67" t="s">
        <v>69</v>
      </c>
      <c r="M374" s="73"/>
      <c r="N374" s="73"/>
      <c r="O374" s="68"/>
      <c r="P374" s="67"/>
      <c r="Q374" s="73" t="s">
        <v>69</v>
      </c>
      <c r="R374" s="73"/>
      <c r="S374" s="68"/>
      <c r="T374" s="67"/>
      <c r="U374" s="73" t="s">
        <v>69</v>
      </c>
      <c r="V374" s="73"/>
      <c r="W374" s="68"/>
      <c r="X374" s="67"/>
      <c r="Y374" s="73" t="s">
        <v>69</v>
      </c>
      <c r="Z374" s="73"/>
      <c r="AA374" s="68"/>
      <c r="AB374" s="67" t="s">
        <v>69</v>
      </c>
      <c r="AC374" s="73"/>
      <c r="AD374" s="73"/>
      <c r="AE374" s="68"/>
      <c r="AF374" s="67" t="s">
        <v>69</v>
      </c>
      <c r="AG374" s="73"/>
      <c r="AH374" s="73"/>
      <c r="AI374" s="68"/>
      <c r="AJ374" s="67" t="s">
        <v>69</v>
      </c>
      <c r="AK374" s="73"/>
      <c r="AL374" s="73"/>
      <c r="AM374" s="68"/>
      <c r="AN374" s="73" t="s">
        <v>69</v>
      </c>
      <c r="AO374" s="73"/>
      <c r="AP374" s="73"/>
      <c r="AQ374" s="68"/>
      <c r="AR374" s="67">
        <f t="shared" si="202"/>
        <v>87</v>
      </c>
      <c r="AS374" s="68" t="str">
        <f t="shared" si="203"/>
        <v>S</v>
      </c>
      <c r="AV374" s="49">
        <f t="shared" si="79"/>
        <v>0</v>
      </c>
      <c r="AW374" s="49">
        <f t="shared" si="44"/>
        <v>0</v>
      </c>
      <c r="AX374" s="49">
        <f t="shared" si="45"/>
        <v>1</v>
      </c>
      <c r="AY374" s="49">
        <f t="shared" si="46"/>
        <v>0</v>
      </c>
      <c r="AZ374" s="49">
        <f t="shared" si="47"/>
        <v>1</v>
      </c>
      <c r="BA374" s="49">
        <f t="shared" si="48"/>
        <v>0</v>
      </c>
      <c r="BB374" s="49">
        <f t="shared" si="49"/>
        <v>0</v>
      </c>
      <c r="BC374" s="49">
        <f t="shared" si="50"/>
        <v>0</v>
      </c>
      <c r="BD374" s="49">
        <f t="shared" si="51"/>
        <v>0</v>
      </c>
      <c r="BE374" s="49">
        <f t="shared" si="52"/>
        <v>1</v>
      </c>
      <c r="BF374" s="49">
        <f t="shared" si="53"/>
        <v>0</v>
      </c>
      <c r="BG374" s="49">
        <f t="shared" si="54"/>
        <v>0</v>
      </c>
      <c r="BH374" s="49">
        <f t="shared" si="55"/>
        <v>0</v>
      </c>
      <c r="BI374" s="49">
        <f t="shared" si="56"/>
        <v>1</v>
      </c>
      <c r="BJ374" s="49">
        <f t="shared" si="57"/>
        <v>0</v>
      </c>
      <c r="BK374" s="49">
        <f t="shared" si="58"/>
        <v>0</v>
      </c>
      <c r="BL374" s="49">
        <f t="shared" si="59"/>
        <v>0</v>
      </c>
      <c r="BM374" s="49">
        <f t="shared" si="60"/>
        <v>1</v>
      </c>
      <c r="BN374" s="49">
        <f t="shared" si="61"/>
        <v>0</v>
      </c>
      <c r="BO374" s="49">
        <f t="shared" si="62"/>
        <v>0</v>
      </c>
      <c r="BP374" s="49">
        <f t="shared" si="63"/>
        <v>1</v>
      </c>
      <c r="BQ374" s="49">
        <f t="shared" si="64"/>
        <v>0</v>
      </c>
      <c r="BR374" s="49">
        <f t="shared" si="65"/>
        <v>0</v>
      </c>
      <c r="BS374" s="49">
        <f t="shared" si="66"/>
        <v>0</v>
      </c>
      <c r="BT374" s="49">
        <f t="shared" si="67"/>
        <v>1</v>
      </c>
      <c r="BU374" s="49">
        <f t="shared" si="68"/>
        <v>0</v>
      </c>
      <c r="BV374" s="49">
        <f t="shared" si="69"/>
        <v>0</v>
      </c>
      <c r="BW374" s="49">
        <f t="shared" si="70"/>
        <v>0</v>
      </c>
      <c r="BX374" s="49">
        <f t="shared" si="71"/>
        <v>1</v>
      </c>
      <c r="BY374" s="49">
        <f t="shared" si="72"/>
        <v>0</v>
      </c>
      <c r="BZ374" s="49">
        <f t="shared" si="73"/>
        <v>0</v>
      </c>
      <c r="CA374" s="49">
        <f t="shared" si="74"/>
        <v>0</v>
      </c>
      <c r="CB374" s="49">
        <f t="shared" si="75"/>
        <v>1</v>
      </c>
      <c r="CC374" s="49">
        <f t="shared" si="76"/>
        <v>0</v>
      </c>
      <c r="CD374" s="49">
        <f t="shared" si="77"/>
        <v>0</v>
      </c>
      <c r="CE374" s="49">
        <f t="shared" si="78"/>
        <v>0</v>
      </c>
    </row>
    <row r="375" spans="1:83" ht="35.1" customHeight="1" x14ac:dyDescent="0.3">
      <c r="A375" s="123" t="str">
        <f t="shared" si="200"/>
        <v>3팀</v>
      </c>
      <c r="B375" s="69">
        <f t="shared" si="201"/>
        <v>369</v>
      </c>
      <c r="C375" s="120" t="str">
        <f>IF(VLOOKUP($B375,'1. 현장별 인원현황'!$C:$J,2,0)=0,"",VLOOKUP($B375,'1. 현장별 인원현황'!$C:$J,2,0))</f>
        <v xml:space="preserve"> [3.쿠팡] INC 45FC(인천) 전기공사</v>
      </c>
      <c r="D375" s="70" t="str">
        <f>IF(VLOOKUP($B375,'1. 현장별 인원현황'!$C:$J,3,0)=0,"",VLOOKUP($B375,'1. 현장별 인원현황'!$C:$J,3,0))</f>
        <v>이재빈</v>
      </c>
      <c r="E375" s="74" t="str">
        <f ca="1">IF(VLOOKUP($B375,'1. 현장별 인원현황'!$C:$J,4,0)=0,"",VLOOKUP($B375,'1. 현장별 인원현황'!$C:$J,4,0))</f>
        <v>34세</v>
      </c>
      <c r="F375" s="70" t="str">
        <f>IF(VLOOKUP($B375,'1. 현장별 인원현황'!$C:$J,7,0)=0,"",VLOOKUP($B375,'1. 현장별 인원현황'!$C:$J,7,0))</f>
        <v>기능공</v>
      </c>
      <c r="G375" s="72" t="str">
        <f>IF(VLOOKUP($B375,'1. 현장별 인원현황'!$C:$J,8,0)=0,"",VLOOKUP($B375,'1. 현장별 인원현황'!$C:$J,8,0))</f>
        <v>전공</v>
      </c>
      <c r="H375" s="67" t="s">
        <v>69</v>
      </c>
      <c r="I375" s="73"/>
      <c r="J375" s="73"/>
      <c r="K375" s="68"/>
      <c r="L375" s="67" t="s">
        <v>69</v>
      </c>
      <c r="M375" s="73"/>
      <c r="N375" s="73"/>
      <c r="O375" s="68"/>
      <c r="P375" s="67" t="s">
        <v>69</v>
      </c>
      <c r="Q375" s="73"/>
      <c r="R375" s="73"/>
      <c r="S375" s="68"/>
      <c r="T375" s="67" t="s">
        <v>69</v>
      </c>
      <c r="U375" s="73"/>
      <c r="V375" s="73"/>
      <c r="W375" s="68"/>
      <c r="X375" s="67" t="s">
        <v>69</v>
      </c>
      <c r="Y375" s="73"/>
      <c r="Z375" s="73"/>
      <c r="AA375" s="68"/>
      <c r="AB375" s="67" t="s">
        <v>69</v>
      </c>
      <c r="AC375" s="73"/>
      <c r="AD375" s="73"/>
      <c r="AE375" s="68"/>
      <c r="AF375" s="67" t="s">
        <v>69</v>
      </c>
      <c r="AG375" s="73"/>
      <c r="AH375" s="73"/>
      <c r="AI375" s="68"/>
      <c r="AJ375" s="67" t="s">
        <v>69</v>
      </c>
      <c r="AK375" s="73"/>
      <c r="AL375" s="73"/>
      <c r="AM375" s="68"/>
      <c r="AN375" s="73" t="s">
        <v>69</v>
      </c>
      <c r="AO375" s="73"/>
      <c r="AP375" s="73"/>
      <c r="AQ375" s="68"/>
      <c r="AR375" s="67">
        <f t="shared" si="202"/>
        <v>100</v>
      </c>
      <c r="AS375" s="68" t="str">
        <f t="shared" si="203"/>
        <v>S</v>
      </c>
      <c r="AV375" s="49">
        <f t="shared" si="79"/>
        <v>1</v>
      </c>
      <c r="AW375" s="49">
        <f t="shared" si="44"/>
        <v>0</v>
      </c>
      <c r="AX375" s="49">
        <f t="shared" si="45"/>
        <v>0</v>
      </c>
      <c r="AY375" s="49">
        <f t="shared" si="46"/>
        <v>0</v>
      </c>
      <c r="AZ375" s="49">
        <f t="shared" si="47"/>
        <v>1</v>
      </c>
      <c r="BA375" s="49">
        <f t="shared" si="48"/>
        <v>0</v>
      </c>
      <c r="BB375" s="49">
        <f t="shared" si="49"/>
        <v>0</v>
      </c>
      <c r="BC375" s="49">
        <f t="shared" si="50"/>
        <v>0</v>
      </c>
      <c r="BD375" s="49">
        <f t="shared" si="51"/>
        <v>1</v>
      </c>
      <c r="BE375" s="49">
        <f t="shared" si="52"/>
        <v>0</v>
      </c>
      <c r="BF375" s="49">
        <f t="shared" si="53"/>
        <v>0</v>
      </c>
      <c r="BG375" s="49">
        <f t="shared" si="54"/>
        <v>0</v>
      </c>
      <c r="BH375" s="49">
        <f t="shared" si="55"/>
        <v>1</v>
      </c>
      <c r="BI375" s="49">
        <f t="shared" si="56"/>
        <v>0</v>
      </c>
      <c r="BJ375" s="49">
        <f t="shared" si="57"/>
        <v>0</v>
      </c>
      <c r="BK375" s="49">
        <f t="shared" si="58"/>
        <v>0</v>
      </c>
      <c r="BL375" s="49">
        <f t="shared" si="59"/>
        <v>1</v>
      </c>
      <c r="BM375" s="49">
        <f t="shared" si="60"/>
        <v>0</v>
      </c>
      <c r="BN375" s="49">
        <f t="shared" si="61"/>
        <v>0</v>
      </c>
      <c r="BO375" s="49">
        <f t="shared" si="62"/>
        <v>0</v>
      </c>
      <c r="BP375" s="49">
        <f t="shared" si="63"/>
        <v>1</v>
      </c>
      <c r="BQ375" s="49">
        <f t="shared" si="64"/>
        <v>0</v>
      </c>
      <c r="BR375" s="49">
        <f t="shared" si="65"/>
        <v>0</v>
      </c>
      <c r="BS375" s="49">
        <f t="shared" si="66"/>
        <v>0</v>
      </c>
      <c r="BT375" s="49">
        <f t="shared" si="67"/>
        <v>1</v>
      </c>
      <c r="BU375" s="49">
        <f t="shared" si="68"/>
        <v>0</v>
      </c>
      <c r="BV375" s="49">
        <f t="shared" si="69"/>
        <v>0</v>
      </c>
      <c r="BW375" s="49">
        <f t="shared" si="70"/>
        <v>0</v>
      </c>
      <c r="BX375" s="49">
        <f t="shared" si="71"/>
        <v>1</v>
      </c>
      <c r="BY375" s="49">
        <f t="shared" si="72"/>
        <v>0</v>
      </c>
      <c r="BZ375" s="49">
        <f t="shared" si="73"/>
        <v>0</v>
      </c>
      <c r="CA375" s="49">
        <f t="shared" si="74"/>
        <v>0</v>
      </c>
      <c r="CB375" s="49">
        <f t="shared" si="75"/>
        <v>1</v>
      </c>
      <c r="CC375" s="49">
        <f t="shared" si="76"/>
        <v>0</v>
      </c>
      <c r="CD375" s="49">
        <f t="shared" si="77"/>
        <v>0</v>
      </c>
      <c r="CE375" s="49">
        <f t="shared" si="78"/>
        <v>0</v>
      </c>
    </row>
    <row r="376" spans="1:83" ht="35.1" customHeight="1" x14ac:dyDescent="0.3">
      <c r="A376" s="123" t="str">
        <f t="shared" si="200"/>
        <v>3팀</v>
      </c>
      <c r="B376" s="69">
        <f t="shared" si="201"/>
        <v>370</v>
      </c>
      <c r="C376" s="120" t="str">
        <f>IF(VLOOKUP($B376,'1. 현장별 인원현황'!$C:$J,2,0)=0,"",VLOOKUP($B376,'1. 현장별 인원현황'!$C:$J,2,0))</f>
        <v xml:space="preserve"> [3.쿠팡] INC 45FC(인천) 전기공사</v>
      </c>
      <c r="D376" s="70" t="str">
        <f>IF(VLOOKUP($B376,'1. 현장별 인원현황'!$C:$J,3,0)=0,"",VLOOKUP($B376,'1. 현장별 인원현황'!$C:$J,3,0))</f>
        <v>문진수</v>
      </c>
      <c r="E376" s="74" t="str">
        <f ca="1">IF(VLOOKUP($B376,'1. 현장별 인원현황'!$C:$J,4,0)=0,"",VLOOKUP($B376,'1. 현장별 인원현황'!$C:$J,4,0))</f>
        <v>29세</v>
      </c>
      <c r="F376" s="70" t="str">
        <f>IF(VLOOKUP($B376,'1. 현장별 인원현황'!$C:$J,7,0)=0,"",VLOOKUP($B376,'1. 현장별 인원현황'!$C:$J,7,0))</f>
        <v>기능공</v>
      </c>
      <c r="G376" s="72" t="str">
        <f>IF(VLOOKUP($B376,'1. 현장별 인원현황'!$C:$J,8,0)=0,"",VLOOKUP($B376,'1. 현장별 인원현황'!$C:$J,8,0))</f>
        <v>전공</v>
      </c>
      <c r="H376" s="67"/>
      <c r="I376" s="73" t="s">
        <v>69</v>
      </c>
      <c r="J376" s="73"/>
      <c r="K376" s="68"/>
      <c r="L376" s="67"/>
      <c r="M376" s="73" t="s">
        <v>69</v>
      </c>
      <c r="N376" s="73"/>
      <c r="O376" s="68"/>
      <c r="P376" s="67"/>
      <c r="Q376" s="73" t="s">
        <v>69</v>
      </c>
      <c r="R376" s="73"/>
      <c r="S376" s="68"/>
      <c r="T376" s="67"/>
      <c r="U376" s="73" t="s">
        <v>69</v>
      </c>
      <c r="V376" s="73"/>
      <c r="W376" s="68"/>
      <c r="X376" s="67"/>
      <c r="Y376" s="73" t="s">
        <v>69</v>
      </c>
      <c r="Z376" s="73"/>
      <c r="AA376" s="68"/>
      <c r="AB376" s="67"/>
      <c r="AC376" s="73" t="s">
        <v>69</v>
      </c>
      <c r="AD376" s="73"/>
      <c r="AE376" s="68"/>
      <c r="AF376" s="67"/>
      <c r="AG376" s="73" t="s">
        <v>69</v>
      </c>
      <c r="AH376" s="73"/>
      <c r="AI376" s="68"/>
      <c r="AJ376" s="67" t="s">
        <v>69</v>
      </c>
      <c r="AK376" s="73"/>
      <c r="AL376" s="73"/>
      <c r="AM376" s="68"/>
      <c r="AN376" s="73" t="s">
        <v>69</v>
      </c>
      <c r="AO376" s="73"/>
      <c r="AP376" s="73"/>
      <c r="AQ376" s="68"/>
      <c r="AR376" s="67">
        <f t="shared" si="202"/>
        <v>83</v>
      </c>
      <c r="AS376" s="68" t="str">
        <f t="shared" si="203"/>
        <v>A</v>
      </c>
      <c r="AV376" s="49">
        <f t="shared" si="79"/>
        <v>0</v>
      </c>
      <c r="AW376" s="49">
        <f t="shared" si="44"/>
        <v>1</v>
      </c>
      <c r="AX376" s="49">
        <f t="shared" si="45"/>
        <v>0</v>
      </c>
      <c r="AY376" s="49">
        <f t="shared" si="46"/>
        <v>0</v>
      </c>
      <c r="AZ376" s="49">
        <f t="shared" si="47"/>
        <v>0</v>
      </c>
      <c r="BA376" s="49">
        <f t="shared" si="48"/>
        <v>1</v>
      </c>
      <c r="BB376" s="49">
        <f t="shared" si="49"/>
        <v>0</v>
      </c>
      <c r="BC376" s="49">
        <f t="shared" si="50"/>
        <v>0</v>
      </c>
      <c r="BD376" s="49">
        <f t="shared" si="51"/>
        <v>0</v>
      </c>
      <c r="BE376" s="49">
        <f t="shared" si="52"/>
        <v>1</v>
      </c>
      <c r="BF376" s="49">
        <f t="shared" si="53"/>
        <v>0</v>
      </c>
      <c r="BG376" s="49">
        <f t="shared" si="54"/>
        <v>0</v>
      </c>
      <c r="BH376" s="49">
        <f t="shared" si="55"/>
        <v>0</v>
      </c>
      <c r="BI376" s="49">
        <f t="shared" si="56"/>
        <v>1</v>
      </c>
      <c r="BJ376" s="49">
        <f t="shared" si="57"/>
        <v>0</v>
      </c>
      <c r="BK376" s="49">
        <f t="shared" si="58"/>
        <v>0</v>
      </c>
      <c r="BL376" s="49">
        <f t="shared" si="59"/>
        <v>0</v>
      </c>
      <c r="BM376" s="49">
        <f t="shared" si="60"/>
        <v>1</v>
      </c>
      <c r="BN376" s="49">
        <f t="shared" si="61"/>
        <v>0</v>
      </c>
      <c r="BO376" s="49">
        <f t="shared" si="62"/>
        <v>0</v>
      </c>
      <c r="BP376" s="49">
        <f t="shared" si="63"/>
        <v>0</v>
      </c>
      <c r="BQ376" s="49">
        <f t="shared" si="64"/>
        <v>1</v>
      </c>
      <c r="BR376" s="49">
        <f t="shared" si="65"/>
        <v>0</v>
      </c>
      <c r="BS376" s="49">
        <f t="shared" si="66"/>
        <v>0</v>
      </c>
      <c r="BT376" s="49">
        <f t="shared" si="67"/>
        <v>0</v>
      </c>
      <c r="BU376" s="49">
        <f t="shared" si="68"/>
        <v>1</v>
      </c>
      <c r="BV376" s="49">
        <f t="shared" si="69"/>
        <v>0</v>
      </c>
      <c r="BW376" s="49">
        <f t="shared" si="70"/>
        <v>0</v>
      </c>
      <c r="BX376" s="49">
        <f t="shared" si="71"/>
        <v>1</v>
      </c>
      <c r="BY376" s="49">
        <f t="shared" si="72"/>
        <v>0</v>
      </c>
      <c r="BZ376" s="49">
        <f t="shared" si="73"/>
        <v>0</v>
      </c>
      <c r="CA376" s="49">
        <f t="shared" si="74"/>
        <v>0</v>
      </c>
      <c r="CB376" s="49">
        <f t="shared" si="75"/>
        <v>1</v>
      </c>
      <c r="CC376" s="49">
        <f t="shared" si="76"/>
        <v>0</v>
      </c>
      <c r="CD376" s="49">
        <f t="shared" si="77"/>
        <v>0</v>
      </c>
      <c r="CE376" s="49">
        <f t="shared" si="78"/>
        <v>0</v>
      </c>
    </row>
    <row r="377" spans="1:83" ht="35.1" customHeight="1" x14ac:dyDescent="0.3">
      <c r="A377" s="123" t="str">
        <f t="shared" si="200"/>
        <v>3팀</v>
      </c>
      <c r="B377" s="69">
        <f t="shared" si="201"/>
        <v>371</v>
      </c>
      <c r="C377" s="120" t="str">
        <f>IF(VLOOKUP($B377,'1. 현장별 인원현황'!$C:$J,2,0)=0,"",VLOOKUP($B377,'1. 현장별 인원현황'!$C:$J,2,0))</f>
        <v xml:space="preserve"> [3.쿠팡] INC 45FC(인천) 전기공사</v>
      </c>
      <c r="D377" s="70" t="str">
        <f>IF(VLOOKUP($B377,'1. 현장별 인원현황'!$C:$J,3,0)=0,"",VLOOKUP($B377,'1. 현장별 인원현황'!$C:$J,3,0))</f>
        <v>박정환</v>
      </c>
      <c r="E377" s="74" t="str">
        <f ca="1">IF(VLOOKUP($B377,'1. 현장별 인원현황'!$C:$J,4,0)=0,"",VLOOKUP($B377,'1. 현장별 인원현황'!$C:$J,4,0))</f>
        <v>25세</v>
      </c>
      <c r="F377" s="70" t="str">
        <f>IF(VLOOKUP($B377,'1. 현장별 인원현황'!$C:$J,7,0)=0,"",VLOOKUP($B377,'1. 현장별 인원현황'!$C:$J,7,0))</f>
        <v>기능공</v>
      </c>
      <c r="G377" s="72" t="str">
        <f>IF(VLOOKUP($B377,'1. 현장별 인원현황'!$C:$J,8,0)=0,"",VLOOKUP($B377,'1. 현장별 인원현황'!$C:$J,8,0))</f>
        <v>전공</v>
      </c>
      <c r="H377" s="67"/>
      <c r="I377" s="73" t="s">
        <v>69</v>
      </c>
      <c r="J377" s="73"/>
      <c r="K377" s="68"/>
      <c r="L377" s="67"/>
      <c r="M377" s="73" t="s">
        <v>69</v>
      </c>
      <c r="N377" s="73"/>
      <c r="O377" s="68"/>
      <c r="P377" s="67"/>
      <c r="Q377" s="73" t="s">
        <v>69</v>
      </c>
      <c r="R377" s="73"/>
      <c r="S377" s="68"/>
      <c r="T377" s="67"/>
      <c r="U377" s="73" t="s">
        <v>69</v>
      </c>
      <c r="V377" s="73"/>
      <c r="W377" s="68"/>
      <c r="X377" s="67"/>
      <c r="Y377" s="73" t="s">
        <v>69</v>
      </c>
      <c r="Z377" s="73"/>
      <c r="AA377" s="68"/>
      <c r="AB377" s="67"/>
      <c r="AC377" s="73" t="s">
        <v>69</v>
      </c>
      <c r="AD377" s="73"/>
      <c r="AE377" s="68"/>
      <c r="AF377" s="67"/>
      <c r="AG377" s="73" t="s">
        <v>69</v>
      </c>
      <c r="AH377" s="73"/>
      <c r="AI377" s="68"/>
      <c r="AJ377" s="67" t="s">
        <v>69</v>
      </c>
      <c r="AK377" s="73"/>
      <c r="AL377" s="73"/>
      <c r="AM377" s="68"/>
      <c r="AN377" s="73" t="s">
        <v>69</v>
      </c>
      <c r="AO377" s="73"/>
      <c r="AP377" s="73"/>
      <c r="AQ377" s="68"/>
      <c r="AR377" s="67">
        <f t="shared" si="202"/>
        <v>83</v>
      </c>
      <c r="AS377" s="68" t="str">
        <f t="shared" si="203"/>
        <v>A</v>
      </c>
      <c r="AV377" s="49">
        <f t="shared" si="79"/>
        <v>0</v>
      </c>
      <c r="AW377" s="49">
        <f t="shared" si="44"/>
        <v>1</v>
      </c>
      <c r="AX377" s="49">
        <f t="shared" si="45"/>
        <v>0</v>
      </c>
      <c r="AY377" s="49">
        <f t="shared" si="46"/>
        <v>0</v>
      </c>
      <c r="AZ377" s="49">
        <f t="shared" si="47"/>
        <v>0</v>
      </c>
      <c r="BA377" s="49">
        <f t="shared" si="48"/>
        <v>1</v>
      </c>
      <c r="BB377" s="49">
        <f t="shared" si="49"/>
        <v>0</v>
      </c>
      <c r="BC377" s="49">
        <f t="shared" si="50"/>
        <v>0</v>
      </c>
      <c r="BD377" s="49">
        <f t="shared" si="51"/>
        <v>0</v>
      </c>
      <c r="BE377" s="49">
        <f t="shared" si="52"/>
        <v>1</v>
      </c>
      <c r="BF377" s="49">
        <f t="shared" si="53"/>
        <v>0</v>
      </c>
      <c r="BG377" s="49">
        <f t="shared" si="54"/>
        <v>0</v>
      </c>
      <c r="BH377" s="49">
        <f t="shared" si="55"/>
        <v>0</v>
      </c>
      <c r="BI377" s="49">
        <f t="shared" si="56"/>
        <v>1</v>
      </c>
      <c r="BJ377" s="49">
        <f t="shared" si="57"/>
        <v>0</v>
      </c>
      <c r="BK377" s="49">
        <f t="shared" si="58"/>
        <v>0</v>
      </c>
      <c r="BL377" s="49">
        <f t="shared" si="59"/>
        <v>0</v>
      </c>
      <c r="BM377" s="49">
        <f t="shared" si="60"/>
        <v>1</v>
      </c>
      <c r="BN377" s="49">
        <f t="shared" si="61"/>
        <v>0</v>
      </c>
      <c r="BO377" s="49">
        <f t="shared" si="62"/>
        <v>0</v>
      </c>
      <c r="BP377" s="49">
        <f t="shared" si="63"/>
        <v>0</v>
      </c>
      <c r="BQ377" s="49">
        <f t="shared" si="64"/>
        <v>1</v>
      </c>
      <c r="BR377" s="49">
        <f t="shared" si="65"/>
        <v>0</v>
      </c>
      <c r="BS377" s="49">
        <f t="shared" si="66"/>
        <v>0</v>
      </c>
      <c r="BT377" s="49">
        <f t="shared" si="67"/>
        <v>0</v>
      </c>
      <c r="BU377" s="49">
        <f t="shared" si="68"/>
        <v>1</v>
      </c>
      <c r="BV377" s="49">
        <f t="shared" si="69"/>
        <v>0</v>
      </c>
      <c r="BW377" s="49">
        <f t="shared" si="70"/>
        <v>0</v>
      </c>
      <c r="BX377" s="49">
        <f t="shared" si="71"/>
        <v>1</v>
      </c>
      <c r="BY377" s="49">
        <f t="shared" si="72"/>
        <v>0</v>
      </c>
      <c r="BZ377" s="49">
        <f t="shared" si="73"/>
        <v>0</v>
      </c>
      <c r="CA377" s="49">
        <f t="shared" si="74"/>
        <v>0</v>
      </c>
      <c r="CB377" s="49">
        <f t="shared" si="75"/>
        <v>1</v>
      </c>
      <c r="CC377" s="49">
        <f t="shared" si="76"/>
        <v>0</v>
      </c>
      <c r="CD377" s="49">
        <f t="shared" si="77"/>
        <v>0</v>
      </c>
      <c r="CE377" s="49">
        <f t="shared" si="78"/>
        <v>0</v>
      </c>
    </row>
    <row r="378" spans="1:83" ht="35.1" customHeight="1" x14ac:dyDescent="0.3">
      <c r="A378" s="123" t="str">
        <f t="shared" si="200"/>
        <v>3팀</v>
      </c>
      <c r="B378" s="69">
        <f t="shared" si="201"/>
        <v>372</v>
      </c>
      <c r="C378" s="120" t="str">
        <f>IF(VLOOKUP($B378,'1. 현장별 인원현황'!$C:$J,2,0)=0,"",VLOOKUP($B378,'1. 현장별 인원현황'!$C:$J,2,0))</f>
        <v xml:space="preserve"> [3.쿠팡] INC 45FC(인천) 전기공사</v>
      </c>
      <c r="D378" s="70" t="str">
        <f>IF(VLOOKUP($B378,'1. 현장별 인원현황'!$C:$J,3,0)=0,"",VLOOKUP($B378,'1. 현장별 인원현황'!$C:$J,3,0))</f>
        <v>이경범</v>
      </c>
      <c r="E378" s="74" t="str">
        <f ca="1">IF(VLOOKUP($B378,'1. 현장별 인원현황'!$C:$J,4,0)=0,"",VLOOKUP($B378,'1. 현장별 인원현황'!$C:$J,4,0))</f>
        <v>27세</v>
      </c>
      <c r="F378" s="70" t="str">
        <f>IF(VLOOKUP($B378,'1. 현장별 인원현황'!$C:$J,7,0)=0,"",VLOOKUP($B378,'1. 현장별 인원현황'!$C:$J,7,0))</f>
        <v>기능공</v>
      </c>
      <c r="G378" s="72" t="str">
        <f>IF(VLOOKUP($B378,'1. 현장별 인원현황'!$C:$J,8,0)=0,"",VLOOKUP($B378,'1. 현장별 인원현황'!$C:$J,8,0))</f>
        <v>조공</v>
      </c>
      <c r="H378" s="67"/>
      <c r="I378" s="73" t="s">
        <v>69</v>
      </c>
      <c r="J378" s="73"/>
      <c r="K378" s="68"/>
      <c r="L378" s="67"/>
      <c r="M378" s="73" t="s">
        <v>69</v>
      </c>
      <c r="N378" s="73"/>
      <c r="O378" s="68"/>
      <c r="P378" s="67"/>
      <c r="Q378" s="73" t="s">
        <v>69</v>
      </c>
      <c r="R378" s="73"/>
      <c r="S378" s="68"/>
      <c r="T378" s="67"/>
      <c r="U378" s="73" t="s">
        <v>69</v>
      </c>
      <c r="V378" s="73"/>
      <c r="W378" s="68"/>
      <c r="X378" s="67"/>
      <c r="Y378" s="73" t="s">
        <v>69</v>
      </c>
      <c r="Z378" s="73"/>
      <c r="AA378" s="68"/>
      <c r="AB378" s="67"/>
      <c r="AC378" s="73" t="s">
        <v>69</v>
      </c>
      <c r="AD378" s="73"/>
      <c r="AE378" s="68"/>
      <c r="AF378" s="67"/>
      <c r="AG378" s="73" t="s">
        <v>69</v>
      </c>
      <c r="AH378" s="73"/>
      <c r="AI378" s="68"/>
      <c r="AJ378" s="67" t="s">
        <v>69</v>
      </c>
      <c r="AK378" s="73"/>
      <c r="AL378" s="73"/>
      <c r="AM378" s="68"/>
      <c r="AN378" s="73" t="s">
        <v>69</v>
      </c>
      <c r="AO378" s="73"/>
      <c r="AP378" s="73"/>
      <c r="AQ378" s="68"/>
      <c r="AR378" s="67">
        <f t="shared" si="202"/>
        <v>83</v>
      </c>
      <c r="AS378" s="68" t="str">
        <f t="shared" si="203"/>
        <v>A</v>
      </c>
      <c r="AV378" s="49">
        <f t="shared" si="79"/>
        <v>0</v>
      </c>
      <c r="AW378" s="49">
        <f t="shared" si="44"/>
        <v>1</v>
      </c>
      <c r="AX378" s="49">
        <f t="shared" si="45"/>
        <v>0</v>
      </c>
      <c r="AY378" s="49">
        <f t="shared" si="46"/>
        <v>0</v>
      </c>
      <c r="AZ378" s="49">
        <f t="shared" si="47"/>
        <v>0</v>
      </c>
      <c r="BA378" s="49">
        <f t="shared" si="48"/>
        <v>1</v>
      </c>
      <c r="BB378" s="49">
        <f t="shared" si="49"/>
        <v>0</v>
      </c>
      <c r="BC378" s="49">
        <f t="shared" si="50"/>
        <v>0</v>
      </c>
      <c r="BD378" s="49">
        <f t="shared" si="51"/>
        <v>0</v>
      </c>
      <c r="BE378" s="49">
        <f t="shared" si="52"/>
        <v>1</v>
      </c>
      <c r="BF378" s="49">
        <f t="shared" si="53"/>
        <v>0</v>
      </c>
      <c r="BG378" s="49">
        <f t="shared" si="54"/>
        <v>0</v>
      </c>
      <c r="BH378" s="49">
        <f t="shared" si="55"/>
        <v>0</v>
      </c>
      <c r="BI378" s="49">
        <f t="shared" si="56"/>
        <v>1</v>
      </c>
      <c r="BJ378" s="49">
        <f t="shared" si="57"/>
        <v>0</v>
      </c>
      <c r="BK378" s="49">
        <f t="shared" si="58"/>
        <v>0</v>
      </c>
      <c r="BL378" s="49">
        <f t="shared" si="59"/>
        <v>0</v>
      </c>
      <c r="BM378" s="49">
        <f t="shared" si="60"/>
        <v>1</v>
      </c>
      <c r="BN378" s="49">
        <f t="shared" si="61"/>
        <v>0</v>
      </c>
      <c r="BO378" s="49">
        <f t="shared" si="62"/>
        <v>0</v>
      </c>
      <c r="BP378" s="49">
        <f t="shared" si="63"/>
        <v>0</v>
      </c>
      <c r="BQ378" s="49">
        <f t="shared" si="64"/>
        <v>1</v>
      </c>
      <c r="BR378" s="49">
        <f t="shared" si="65"/>
        <v>0</v>
      </c>
      <c r="BS378" s="49">
        <f t="shared" si="66"/>
        <v>0</v>
      </c>
      <c r="BT378" s="49">
        <f t="shared" si="67"/>
        <v>0</v>
      </c>
      <c r="BU378" s="49">
        <f t="shared" si="68"/>
        <v>1</v>
      </c>
      <c r="BV378" s="49">
        <f t="shared" si="69"/>
        <v>0</v>
      </c>
      <c r="BW378" s="49">
        <f t="shared" si="70"/>
        <v>0</v>
      </c>
      <c r="BX378" s="49">
        <f t="shared" si="71"/>
        <v>1</v>
      </c>
      <c r="BY378" s="49">
        <f t="shared" si="72"/>
        <v>0</v>
      </c>
      <c r="BZ378" s="49">
        <f t="shared" si="73"/>
        <v>0</v>
      </c>
      <c r="CA378" s="49">
        <f t="shared" si="74"/>
        <v>0</v>
      </c>
      <c r="CB378" s="49">
        <f t="shared" si="75"/>
        <v>1</v>
      </c>
      <c r="CC378" s="49">
        <f t="shared" si="76"/>
        <v>0</v>
      </c>
      <c r="CD378" s="49">
        <f t="shared" si="77"/>
        <v>0</v>
      </c>
      <c r="CE378" s="49">
        <f t="shared" si="78"/>
        <v>0</v>
      </c>
    </row>
    <row r="379" spans="1:83" ht="35.1" customHeight="1" x14ac:dyDescent="0.3">
      <c r="A379" s="123" t="str">
        <f t="shared" si="200"/>
        <v>3팀</v>
      </c>
      <c r="B379" s="69">
        <f t="shared" si="201"/>
        <v>373</v>
      </c>
      <c r="C379" s="120" t="str">
        <f>IF(VLOOKUP($B379,'1. 현장별 인원현황'!$C:$J,2,0)=0,"",VLOOKUP($B379,'1. 현장별 인원현황'!$C:$J,2,0))</f>
        <v xml:space="preserve"> [3.쿠팡] INC 45FC(인천) 전기공사</v>
      </c>
      <c r="D379" s="70" t="str">
        <f>IF(VLOOKUP($B379,'1. 현장별 인원현황'!$C:$J,3,0)=0,"",VLOOKUP($B379,'1. 현장별 인원현황'!$C:$J,3,0))</f>
        <v>이영훈</v>
      </c>
      <c r="E379" s="74" t="str">
        <f ca="1">IF(VLOOKUP($B379,'1. 현장별 인원현황'!$C:$J,4,0)=0,"",VLOOKUP($B379,'1. 현장별 인원현황'!$C:$J,4,0))</f>
        <v>47세</v>
      </c>
      <c r="F379" s="70" t="str">
        <f>IF(VLOOKUP($B379,'1. 현장별 인원현황'!$C:$J,7,0)=0,"",VLOOKUP($B379,'1. 현장별 인원현황'!$C:$J,7,0))</f>
        <v>기능공</v>
      </c>
      <c r="G379" s="72" t="str">
        <f>IF(VLOOKUP($B379,'1. 현장별 인원현황'!$C:$J,8,0)=0,"",VLOOKUP($B379,'1. 현장별 인원현황'!$C:$J,8,0))</f>
        <v>전공</v>
      </c>
      <c r="H379" s="67" t="s">
        <v>69</v>
      </c>
      <c r="I379" s="73"/>
      <c r="J379" s="73"/>
      <c r="K379" s="68"/>
      <c r="L379" s="67" t="s">
        <v>69</v>
      </c>
      <c r="M379" s="73"/>
      <c r="N379" s="73"/>
      <c r="O379" s="68"/>
      <c r="P379" s="67" t="s">
        <v>69</v>
      </c>
      <c r="Q379" s="73"/>
      <c r="R379" s="73"/>
      <c r="S379" s="68"/>
      <c r="T379" s="67" t="s">
        <v>69</v>
      </c>
      <c r="U379" s="73"/>
      <c r="V379" s="73"/>
      <c r="W379" s="68"/>
      <c r="X379" s="67" t="s">
        <v>69</v>
      </c>
      <c r="Y379" s="73"/>
      <c r="Z379" s="73"/>
      <c r="AA379" s="68"/>
      <c r="AB379" s="67" t="s">
        <v>69</v>
      </c>
      <c r="AC379" s="73"/>
      <c r="AD379" s="73"/>
      <c r="AE379" s="68"/>
      <c r="AF379" s="67" t="s">
        <v>69</v>
      </c>
      <c r="AG379" s="73"/>
      <c r="AH379" s="73"/>
      <c r="AI379" s="68"/>
      <c r="AJ379" s="67" t="s">
        <v>69</v>
      </c>
      <c r="AK379" s="73"/>
      <c r="AL379" s="73"/>
      <c r="AM379" s="68"/>
      <c r="AN379" s="73" t="s">
        <v>69</v>
      </c>
      <c r="AO379" s="73"/>
      <c r="AP379" s="73"/>
      <c r="AQ379" s="68"/>
      <c r="AR379" s="67">
        <f t="shared" si="202"/>
        <v>100</v>
      </c>
      <c r="AS379" s="68" t="str">
        <f t="shared" si="203"/>
        <v>S</v>
      </c>
      <c r="AV379" s="49">
        <f t="shared" si="79"/>
        <v>1</v>
      </c>
      <c r="AW379" s="49">
        <f t="shared" si="44"/>
        <v>0</v>
      </c>
      <c r="AX379" s="49">
        <f t="shared" si="45"/>
        <v>0</v>
      </c>
      <c r="AY379" s="49">
        <f t="shared" si="46"/>
        <v>0</v>
      </c>
      <c r="AZ379" s="49">
        <f t="shared" si="47"/>
        <v>1</v>
      </c>
      <c r="BA379" s="49">
        <f t="shared" si="48"/>
        <v>0</v>
      </c>
      <c r="BB379" s="49">
        <f t="shared" si="49"/>
        <v>0</v>
      </c>
      <c r="BC379" s="49">
        <f t="shared" si="50"/>
        <v>0</v>
      </c>
      <c r="BD379" s="49">
        <f t="shared" si="51"/>
        <v>1</v>
      </c>
      <c r="BE379" s="49">
        <f t="shared" si="52"/>
        <v>0</v>
      </c>
      <c r="BF379" s="49">
        <f t="shared" si="53"/>
        <v>0</v>
      </c>
      <c r="BG379" s="49">
        <f t="shared" si="54"/>
        <v>0</v>
      </c>
      <c r="BH379" s="49">
        <f t="shared" si="55"/>
        <v>1</v>
      </c>
      <c r="BI379" s="49">
        <f t="shared" si="56"/>
        <v>0</v>
      </c>
      <c r="BJ379" s="49">
        <f t="shared" si="57"/>
        <v>0</v>
      </c>
      <c r="BK379" s="49">
        <f t="shared" si="58"/>
        <v>0</v>
      </c>
      <c r="BL379" s="49">
        <f t="shared" si="59"/>
        <v>1</v>
      </c>
      <c r="BM379" s="49">
        <f t="shared" si="60"/>
        <v>0</v>
      </c>
      <c r="BN379" s="49">
        <f t="shared" si="61"/>
        <v>0</v>
      </c>
      <c r="BO379" s="49">
        <f t="shared" si="62"/>
        <v>0</v>
      </c>
      <c r="BP379" s="49">
        <f t="shared" si="63"/>
        <v>1</v>
      </c>
      <c r="BQ379" s="49">
        <f t="shared" si="64"/>
        <v>0</v>
      </c>
      <c r="BR379" s="49">
        <f t="shared" si="65"/>
        <v>0</v>
      </c>
      <c r="BS379" s="49">
        <f t="shared" si="66"/>
        <v>0</v>
      </c>
      <c r="BT379" s="49">
        <f t="shared" si="67"/>
        <v>1</v>
      </c>
      <c r="BU379" s="49">
        <f t="shared" si="68"/>
        <v>0</v>
      </c>
      <c r="BV379" s="49">
        <f t="shared" si="69"/>
        <v>0</v>
      </c>
      <c r="BW379" s="49">
        <f t="shared" si="70"/>
        <v>0</v>
      </c>
      <c r="BX379" s="49">
        <f t="shared" si="71"/>
        <v>1</v>
      </c>
      <c r="BY379" s="49">
        <f t="shared" si="72"/>
        <v>0</v>
      </c>
      <c r="BZ379" s="49">
        <f t="shared" si="73"/>
        <v>0</v>
      </c>
      <c r="CA379" s="49">
        <f t="shared" si="74"/>
        <v>0</v>
      </c>
      <c r="CB379" s="49">
        <f t="shared" si="75"/>
        <v>1</v>
      </c>
      <c r="CC379" s="49">
        <f t="shared" si="76"/>
        <v>0</v>
      </c>
      <c r="CD379" s="49">
        <f t="shared" si="77"/>
        <v>0</v>
      </c>
      <c r="CE379" s="49">
        <f t="shared" si="78"/>
        <v>0</v>
      </c>
    </row>
    <row r="380" spans="1:83" ht="35.1" customHeight="1" x14ac:dyDescent="0.3">
      <c r="A380" s="123" t="str">
        <f t="shared" si="200"/>
        <v>3팀</v>
      </c>
      <c r="B380" s="69">
        <f t="shared" si="201"/>
        <v>374</v>
      </c>
      <c r="C380" s="120" t="str">
        <f>IF(VLOOKUP($B380,'1. 현장별 인원현황'!$C:$J,2,0)=0,"",VLOOKUP($B380,'1. 현장별 인원현황'!$C:$J,2,0))</f>
        <v xml:space="preserve"> [3.쿠팡] INC 45FC(인천) 전기공사</v>
      </c>
      <c r="D380" s="70" t="str">
        <f>IF(VLOOKUP($B380,'1. 현장별 인원현황'!$C:$J,3,0)=0,"",VLOOKUP($B380,'1. 현장별 인원현황'!$C:$J,3,0))</f>
        <v>홍동구</v>
      </c>
      <c r="E380" s="74" t="str">
        <f ca="1">IF(VLOOKUP($B380,'1. 현장별 인원현황'!$C:$J,4,0)=0,"",VLOOKUP($B380,'1. 현장별 인원현황'!$C:$J,4,0))</f>
        <v>34세</v>
      </c>
      <c r="F380" s="70" t="str">
        <f>IF(VLOOKUP($B380,'1. 현장별 인원현황'!$C:$J,7,0)=0,"",VLOOKUP($B380,'1. 현장별 인원현황'!$C:$J,7,0))</f>
        <v>기능공</v>
      </c>
      <c r="G380" s="72" t="str">
        <f>IF(VLOOKUP($B380,'1. 현장별 인원현황'!$C:$J,8,0)=0,"",VLOOKUP($B380,'1. 현장별 인원현황'!$C:$J,8,0))</f>
        <v>조공</v>
      </c>
      <c r="H380" s="67"/>
      <c r="I380" s="73"/>
      <c r="J380" s="73" t="s">
        <v>69</v>
      </c>
      <c r="K380" s="68"/>
      <c r="L380" s="67"/>
      <c r="M380" s="73" t="s">
        <v>69</v>
      </c>
      <c r="N380" s="73"/>
      <c r="O380" s="68"/>
      <c r="P380" s="67"/>
      <c r="Q380" s="73" t="s">
        <v>69</v>
      </c>
      <c r="R380" s="73"/>
      <c r="S380" s="68"/>
      <c r="T380" s="67"/>
      <c r="U380" s="73" t="s">
        <v>69</v>
      </c>
      <c r="V380" s="73"/>
      <c r="W380" s="68"/>
      <c r="X380" s="67"/>
      <c r="Y380" s="73" t="s">
        <v>69</v>
      </c>
      <c r="Z380" s="73"/>
      <c r="AA380" s="68"/>
      <c r="AB380" s="67"/>
      <c r="AC380" s="73" t="s">
        <v>69</v>
      </c>
      <c r="AD380" s="73"/>
      <c r="AE380" s="68"/>
      <c r="AF380" s="67"/>
      <c r="AG380" s="73" t="s">
        <v>69</v>
      </c>
      <c r="AH380" s="73"/>
      <c r="AI380" s="68"/>
      <c r="AJ380" s="67" t="s">
        <v>69</v>
      </c>
      <c r="AK380" s="73"/>
      <c r="AL380" s="73"/>
      <c r="AM380" s="68"/>
      <c r="AN380" s="73" t="s">
        <v>69</v>
      </c>
      <c r="AO380" s="73"/>
      <c r="AP380" s="73"/>
      <c r="AQ380" s="68"/>
      <c r="AR380" s="67">
        <f t="shared" si="202"/>
        <v>80</v>
      </c>
      <c r="AS380" s="68" t="str">
        <f t="shared" si="203"/>
        <v>A</v>
      </c>
      <c r="AV380" s="49">
        <f t="shared" si="79"/>
        <v>0</v>
      </c>
      <c r="AW380" s="49">
        <f t="shared" si="44"/>
        <v>0</v>
      </c>
      <c r="AX380" s="49">
        <f t="shared" si="45"/>
        <v>1</v>
      </c>
      <c r="AY380" s="49">
        <f t="shared" si="46"/>
        <v>0</v>
      </c>
      <c r="AZ380" s="49">
        <f t="shared" si="47"/>
        <v>0</v>
      </c>
      <c r="BA380" s="49">
        <f t="shared" si="48"/>
        <v>1</v>
      </c>
      <c r="BB380" s="49">
        <f t="shared" si="49"/>
        <v>0</v>
      </c>
      <c r="BC380" s="49">
        <f t="shared" si="50"/>
        <v>0</v>
      </c>
      <c r="BD380" s="49">
        <f t="shared" si="51"/>
        <v>0</v>
      </c>
      <c r="BE380" s="49">
        <f t="shared" si="52"/>
        <v>1</v>
      </c>
      <c r="BF380" s="49">
        <f t="shared" si="53"/>
        <v>0</v>
      </c>
      <c r="BG380" s="49">
        <f t="shared" si="54"/>
        <v>0</v>
      </c>
      <c r="BH380" s="49">
        <f t="shared" si="55"/>
        <v>0</v>
      </c>
      <c r="BI380" s="49">
        <f t="shared" si="56"/>
        <v>1</v>
      </c>
      <c r="BJ380" s="49">
        <f t="shared" si="57"/>
        <v>0</v>
      </c>
      <c r="BK380" s="49">
        <f t="shared" si="58"/>
        <v>0</v>
      </c>
      <c r="BL380" s="49">
        <f t="shared" si="59"/>
        <v>0</v>
      </c>
      <c r="BM380" s="49">
        <f t="shared" si="60"/>
        <v>1</v>
      </c>
      <c r="BN380" s="49">
        <f t="shared" si="61"/>
        <v>0</v>
      </c>
      <c r="BO380" s="49">
        <f t="shared" si="62"/>
        <v>0</v>
      </c>
      <c r="BP380" s="49">
        <f t="shared" si="63"/>
        <v>0</v>
      </c>
      <c r="BQ380" s="49">
        <f t="shared" si="64"/>
        <v>1</v>
      </c>
      <c r="BR380" s="49">
        <f t="shared" si="65"/>
        <v>0</v>
      </c>
      <c r="BS380" s="49">
        <f t="shared" si="66"/>
        <v>0</v>
      </c>
      <c r="BT380" s="49">
        <f t="shared" si="67"/>
        <v>0</v>
      </c>
      <c r="BU380" s="49">
        <f t="shared" si="68"/>
        <v>1</v>
      </c>
      <c r="BV380" s="49">
        <f t="shared" si="69"/>
        <v>0</v>
      </c>
      <c r="BW380" s="49">
        <f t="shared" si="70"/>
        <v>0</v>
      </c>
      <c r="BX380" s="49">
        <f t="shared" si="71"/>
        <v>1</v>
      </c>
      <c r="BY380" s="49">
        <f t="shared" si="72"/>
        <v>0</v>
      </c>
      <c r="BZ380" s="49">
        <f t="shared" si="73"/>
        <v>0</v>
      </c>
      <c r="CA380" s="49">
        <f t="shared" si="74"/>
        <v>0</v>
      </c>
      <c r="CB380" s="49">
        <f t="shared" si="75"/>
        <v>1</v>
      </c>
      <c r="CC380" s="49">
        <f t="shared" si="76"/>
        <v>0</v>
      </c>
      <c r="CD380" s="49">
        <f t="shared" si="77"/>
        <v>0</v>
      </c>
      <c r="CE380" s="49">
        <f t="shared" si="78"/>
        <v>0</v>
      </c>
    </row>
    <row r="381" spans="1:83" ht="35.1" customHeight="1" x14ac:dyDescent="0.3">
      <c r="A381" s="123" t="str">
        <f t="shared" si="200"/>
        <v>3팀</v>
      </c>
      <c r="B381" s="69">
        <f t="shared" si="201"/>
        <v>375</v>
      </c>
      <c r="C381" s="120" t="str">
        <f>IF(VLOOKUP($B381,'1. 현장별 인원현황'!$C:$J,2,0)=0,"",VLOOKUP($B381,'1. 현장별 인원현황'!$C:$J,2,0))</f>
        <v xml:space="preserve"> [3.쿠팡] INC 45FC(인천) 전기공사</v>
      </c>
      <c r="D381" s="70" t="str">
        <f>IF(VLOOKUP($B381,'1. 현장별 인원현황'!$C:$J,3,0)=0,"",VLOOKUP($B381,'1. 현장별 인원현황'!$C:$J,3,0))</f>
        <v>김이레</v>
      </c>
      <c r="E381" s="74" t="str">
        <f ca="1">IF(VLOOKUP($B381,'1. 현장별 인원현황'!$C:$J,4,0)=0,"",VLOOKUP($B381,'1. 현장별 인원현황'!$C:$J,4,0))</f>
        <v>30세</v>
      </c>
      <c r="F381" s="70" t="str">
        <f>IF(VLOOKUP($B381,'1. 현장별 인원현황'!$C:$J,7,0)=0,"",VLOOKUP($B381,'1. 현장별 인원현황'!$C:$J,7,0))</f>
        <v>기능공</v>
      </c>
      <c r="G381" s="72" t="str">
        <f>IF(VLOOKUP($B381,'1. 현장별 인원현황'!$C:$J,8,0)=0,"",VLOOKUP($B381,'1. 현장별 인원현황'!$C:$J,8,0))</f>
        <v>전공</v>
      </c>
      <c r="H381" s="67" t="s">
        <v>69</v>
      </c>
      <c r="I381" s="73"/>
      <c r="J381" s="73"/>
      <c r="K381" s="68"/>
      <c r="L381" s="67" t="s">
        <v>69</v>
      </c>
      <c r="M381" s="73"/>
      <c r="N381" s="73"/>
      <c r="O381" s="68"/>
      <c r="P381" s="67" t="s">
        <v>69</v>
      </c>
      <c r="Q381" s="73"/>
      <c r="R381" s="73"/>
      <c r="S381" s="68"/>
      <c r="T381" s="67" t="s">
        <v>69</v>
      </c>
      <c r="U381" s="73"/>
      <c r="V381" s="73"/>
      <c r="W381" s="68"/>
      <c r="X381" s="67" t="s">
        <v>69</v>
      </c>
      <c r="Y381" s="73"/>
      <c r="Z381" s="73"/>
      <c r="AA381" s="68"/>
      <c r="AB381" s="67" t="s">
        <v>69</v>
      </c>
      <c r="AC381" s="73"/>
      <c r="AD381" s="73"/>
      <c r="AE381" s="68"/>
      <c r="AF381" s="67" t="s">
        <v>69</v>
      </c>
      <c r="AG381" s="73"/>
      <c r="AH381" s="73"/>
      <c r="AI381" s="68"/>
      <c r="AJ381" s="67" t="s">
        <v>69</v>
      </c>
      <c r="AK381" s="73"/>
      <c r="AL381" s="73"/>
      <c r="AM381" s="68"/>
      <c r="AN381" s="73" t="s">
        <v>69</v>
      </c>
      <c r="AO381" s="73"/>
      <c r="AP381" s="73"/>
      <c r="AQ381" s="68"/>
      <c r="AR381" s="67">
        <f t="shared" si="202"/>
        <v>100</v>
      </c>
      <c r="AS381" s="68" t="str">
        <f t="shared" si="203"/>
        <v>S</v>
      </c>
      <c r="AV381" s="49">
        <f t="shared" si="79"/>
        <v>1</v>
      </c>
      <c r="AW381" s="49">
        <f t="shared" si="44"/>
        <v>0</v>
      </c>
      <c r="AX381" s="49">
        <f t="shared" si="45"/>
        <v>0</v>
      </c>
      <c r="AY381" s="49">
        <f t="shared" si="46"/>
        <v>0</v>
      </c>
      <c r="AZ381" s="49">
        <f t="shared" si="47"/>
        <v>1</v>
      </c>
      <c r="BA381" s="49">
        <f t="shared" si="48"/>
        <v>0</v>
      </c>
      <c r="BB381" s="49">
        <f t="shared" si="49"/>
        <v>0</v>
      </c>
      <c r="BC381" s="49">
        <f t="shared" si="50"/>
        <v>0</v>
      </c>
      <c r="BD381" s="49">
        <f t="shared" si="51"/>
        <v>1</v>
      </c>
      <c r="BE381" s="49">
        <f t="shared" si="52"/>
        <v>0</v>
      </c>
      <c r="BF381" s="49">
        <f t="shared" si="53"/>
        <v>0</v>
      </c>
      <c r="BG381" s="49">
        <f t="shared" si="54"/>
        <v>0</v>
      </c>
      <c r="BH381" s="49">
        <f t="shared" si="55"/>
        <v>1</v>
      </c>
      <c r="BI381" s="49">
        <f t="shared" si="56"/>
        <v>0</v>
      </c>
      <c r="BJ381" s="49">
        <f t="shared" si="57"/>
        <v>0</v>
      </c>
      <c r="BK381" s="49">
        <f t="shared" si="58"/>
        <v>0</v>
      </c>
      <c r="BL381" s="49">
        <f t="shared" si="59"/>
        <v>1</v>
      </c>
      <c r="BM381" s="49">
        <f t="shared" si="60"/>
        <v>0</v>
      </c>
      <c r="BN381" s="49">
        <f t="shared" si="61"/>
        <v>0</v>
      </c>
      <c r="BO381" s="49">
        <f t="shared" si="62"/>
        <v>0</v>
      </c>
      <c r="BP381" s="49">
        <f t="shared" si="63"/>
        <v>1</v>
      </c>
      <c r="BQ381" s="49">
        <f t="shared" si="64"/>
        <v>0</v>
      </c>
      <c r="BR381" s="49">
        <f t="shared" si="65"/>
        <v>0</v>
      </c>
      <c r="BS381" s="49">
        <f t="shared" si="66"/>
        <v>0</v>
      </c>
      <c r="BT381" s="49">
        <f t="shared" si="67"/>
        <v>1</v>
      </c>
      <c r="BU381" s="49">
        <f t="shared" si="68"/>
        <v>0</v>
      </c>
      <c r="BV381" s="49">
        <f t="shared" si="69"/>
        <v>0</v>
      </c>
      <c r="BW381" s="49">
        <f t="shared" si="70"/>
        <v>0</v>
      </c>
      <c r="BX381" s="49">
        <f t="shared" si="71"/>
        <v>1</v>
      </c>
      <c r="BY381" s="49">
        <f t="shared" si="72"/>
        <v>0</v>
      </c>
      <c r="BZ381" s="49">
        <f t="shared" si="73"/>
        <v>0</v>
      </c>
      <c r="CA381" s="49">
        <f t="shared" si="74"/>
        <v>0</v>
      </c>
      <c r="CB381" s="49">
        <f t="shared" si="75"/>
        <v>1</v>
      </c>
      <c r="CC381" s="49">
        <f t="shared" si="76"/>
        <v>0</v>
      </c>
      <c r="CD381" s="49">
        <f t="shared" si="77"/>
        <v>0</v>
      </c>
      <c r="CE381" s="49">
        <f t="shared" si="78"/>
        <v>0</v>
      </c>
    </row>
    <row r="382" spans="1:83" ht="35.1" customHeight="1" x14ac:dyDescent="0.3">
      <c r="A382" s="123" t="str">
        <f t="shared" si="200"/>
        <v>4팀</v>
      </c>
      <c r="B382" s="69">
        <f t="shared" si="201"/>
        <v>376</v>
      </c>
      <c r="C382" s="120" t="str">
        <f>IF(VLOOKUP($B382,'1. 현장별 인원현황'!$C:$J,2,0)=0,"",VLOOKUP($B382,'1. 현장별 인원현황'!$C:$J,2,0))</f>
        <v xml:space="preserve"> [4.롯데CM] 롯데백화점 노원점 리뉴얼 공사</v>
      </c>
      <c r="D382" s="70" t="str">
        <f>IF(VLOOKUP($B382,'1. 현장별 인원현황'!$C:$J,3,0)=0,"",VLOOKUP($B382,'1. 현장별 인원현황'!$C:$J,3,0))</f>
        <v>백승일</v>
      </c>
      <c r="E382" s="74" t="str">
        <f ca="1">IF(VLOOKUP($B382,'1. 현장별 인원현황'!$C:$J,4,0)=0,"",VLOOKUP($B382,'1. 현장별 인원현황'!$C:$J,4,0))</f>
        <v>32세</v>
      </c>
      <c r="F382" s="70" t="str">
        <f>IF(VLOOKUP($B382,'1. 현장별 인원현황'!$C:$J,7,0)=0,"",VLOOKUP($B382,'1. 현장별 인원현황'!$C:$J,7,0))</f>
        <v>공무</v>
      </c>
      <c r="G382" s="72" t="str">
        <f>IF(VLOOKUP($B382,'1. 현장별 인원현황'!$C:$J,8,0)=0,"",VLOOKUP($B382,'1. 현장별 인원현황'!$C:$J,8,0))</f>
        <v>대리</v>
      </c>
      <c r="H382" s="67"/>
      <c r="I382" s="73" t="s">
        <v>69</v>
      </c>
      <c r="J382" s="73"/>
      <c r="K382" s="68"/>
      <c r="L382" s="67"/>
      <c r="M382" s="73" t="s">
        <v>69</v>
      </c>
      <c r="N382" s="73"/>
      <c r="O382" s="68"/>
      <c r="P382" s="67"/>
      <c r="Q382" s="73" t="s">
        <v>69</v>
      </c>
      <c r="R382" s="73"/>
      <c r="S382" s="68"/>
      <c r="T382" s="67"/>
      <c r="U382" s="73" t="s">
        <v>69</v>
      </c>
      <c r="V382" s="73"/>
      <c r="W382" s="68"/>
      <c r="X382" s="67"/>
      <c r="Y382" s="73" t="s">
        <v>69</v>
      </c>
      <c r="Z382" s="73"/>
      <c r="AA382" s="68"/>
      <c r="AB382" s="67"/>
      <c r="AC382" s="73" t="s">
        <v>69</v>
      </c>
      <c r="AD382" s="73"/>
      <c r="AE382" s="68"/>
      <c r="AF382" s="67"/>
      <c r="AG382" s="73" t="s">
        <v>69</v>
      </c>
      <c r="AH382" s="73"/>
      <c r="AI382" s="68"/>
      <c r="AJ382" s="67"/>
      <c r="AK382" s="73" t="s">
        <v>69</v>
      </c>
      <c r="AL382" s="73"/>
      <c r="AM382" s="68"/>
      <c r="AN382" s="73" t="s">
        <v>69</v>
      </c>
      <c r="AO382" s="73"/>
      <c r="AP382" s="73"/>
      <c r="AQ382" s="68"/>
      <c r="AR382" s="67">
        <f t="shared" si="202"/>
        <v>80</v>
      </c>
      <c r="AS382" s="68" t="str">
        <f t="shared" si="203"/>
        <v>A</v>
      </c>
      <c r="AV382" s="49">
        <f t="shared" si="79"/>
        <v>0</v>
      </c>
      <c r="AW382" s="49">
        <f t="shared" si="44"/>
        <v>1</v>
      </c>
      <c r="AX382" s="49">
        <f t="shared" si="45"/>
        <v>0</v>
      </c>
      <c r="AY382" s="49">
        <f t="shared" si="46"/>
        <v>0</v>
      </c>
      <c r="AZ382" s="49">
        <f t="shared" si="47"/>
        <v>0</v>
      </c>
      <c r="BA382" s="49">
        <f t="shared" si="48"/>
        <v>1</v>
      </c>
      <c r="BB382" s="49">
        <f t="shared" si="49"/>
        <v>0</v>
      </c>
      <c r="BC382" s="49">
        <f t="shared" si="50"/>
        <v>0</v>
      </c>
      <c r="BD382" s="49">
        <f t="shared" si="51"/>
        <v>0</v>
      </c>
      <c r="BE382" s="49">
        <f t="shared" si="52"/>
        <v>1</v>
      </c>
      <c r="BF382" s="49">
        <f t="shared" si="53"/>
        <v>0</v>
      </c>
      <c r="BG382" s="49">
        <f t="shared" si="54"/>
        <v>0</v>
      </c>
      <c r="BH382" s="49">
        <f t="shared" si="55"/>
        <v>0</v>
      </c>
      <c r="BI382" s="49">
        <f t="shared" si="56"/>
        <v>1</v>
      </c>
      <c r="BJ382" s="49">
        <f t="shared" si="57"/>
        <v>0</v>
      </c>
      <c r="BK382" s="49">
        <f t="shared" si="58"/>
        <v>0</v>
      </c>
      <c r="BL382" s="49">
        <f t="shared" si="59"/>
        <v>0</v>
      </c>
      <c r="BM382" s="49">
        <f t="shared" si="60"/>
        <v>1</v>
      </c>
      <c r="BN382" s="49">
        <f t="shared" si="61"/>
        <v>0</v>
      </c>
      <c r="BO382" s="49">
        <f t="shared" si="62"/>
        <v>0</v>
      </c>
      <c r="BP382" s="49">
        <f t="shared" si="63"/>
        <v>0</v>
      </c>
      <c r="BQ382" s="49">
        <f t="shared" si="64"/>
        <v>1</v>
      </c>
      <c r="BR382" s="49">
        <f t="shared" si="65"/>
        <v>0</v>
      </c>
      <c r="BS382" s="49">
        <f t="shared" si="66"/>
        <v>0</v>
      </c>
      <c r="BT382" s="49">
        <f t="shared" si="67"/>
        <v>0</v>
      </c>
      <c r="BU382" s="49">
        <f t="shared" si="68"/>
        <v>1</v>
      </c>
      <c r="BV382" s="49">
        <f t="shared" si="69"/>
        <v>0</v>
      </c>
      <c r="BW382" s="49">
        <f t="shared" si="70"/>
        <v>0</v>
      </c>
      <c r="BX382" s="49">
        <f t="shared" si="71"/>
        <v>0</v>
      </c>
      <c r="BY382" s="49">
        <f t="shared" si="72"/>
        <v>1</v>
      </c>
      <c r="BZ382" s="49">
        <f t="shared" si="73"/>
        <v>0</v>
      </c>
      <c r="CA382" s="49">
        <f t="shared" si="74"/>
        <v>0</v>
      </c>
      <c r="CB382" s="49">
        <f t="shared" si="75"/>
        <v>1</v>
      </c>
      <c r="CC382" s="49">
        <f t="shared" si="76"/>
        <v>0</v>
      </c>
      <c r="CD382" s="49">
        <f t="shared" si="77"/>
        <v>0</v>
      </c>
      <c r="CE382" s="49">
        <f t="shared" si="78"/>
        <v>0</v>
      </c>
    </row>
    <row r="383" spans="1:83" ht="35.1" customHeight="1" x14ac:dyDescent="0.3">
      <c r="A383" s="123" t="str">
        <f t="shared" si="200"/>
        <v>4팀</v>
      </c>
      <c r="B383" s="69">
        <f t="shared" si="201"/>
        <v>377</v>
      </c>
      <c r="C383" s="120" t="str">
        <f>IF(VLOOKUP($B383,'1. 현장별 인원현황'!$C:$J,2,0)=0,"",VLOOKUP($B383,'1. 현장별 인원현황'!$C:$J,2,0))</f>
        <v xml:space="preserve"> [4.롯데CM] 롯데백화점 노원점 리뉴얼 공사</v>
      </c>
      <c r="D383" s="70" t="str">
        <f>IF(VLOOKUP($B383,'1. 현장별 인원현황'!$C:$J,3,0)=0,"",VLOOKUP($B383,'1. 현장별 인원현황'!$C:$J,3,0))</f>
        <v>이병삼</v>
      </c>
      <c r="E383" s="74" t="str">
        <f ca="1">IF(VLOOKUP($B383,'1. 현장별 인원현황'!$C:$J,4,0)=0,"",VLOOKUP($B383,'1. 현장별 인원현황'!$C:$J,4,0))</f>
        <v>61세</v>
      </c>
      <c r="F383" s="70" t="str">
        <f>IF(VLOOKUP($B383,'1. 현장별 인원현황'!$C:$J,7,0)=0,"",VLOOKUP($B383,'1. 현장별 인원현황'!$C:$J,7,0))</f>
        <v>공무</v>
      </c>
      <c r="G383" s="72" t="str">
        <f>IF(VLOOKUP($B383,'1. 현장별 인원현황'!$C:$J,8,0)=0,"",VLOOKUP($B383,'1. 현장별 인원현황'!$C:$J,8,0))</f>
        <v>부장</v>
      </c>
      <c r="H383" s="67" t="s">
        <v>69</v>
      </c>
      <c r="I383" s="73"/>
      <c r="J383" s="73"/>
      <c r="K383" s="68"/>
      <c r="L383" s="67" t="s">
        <v>69</v>
      </c>
      <c r="M383" s="73"/>
      <c r="N383" s="73"/>
      <c r="O383" s="68"/>
      <c r="P383" s="67" t="s">
        <v>69</v>
      </c>
      <c r="Q383" s="73"/>
      <c r="R383" s="73"/>
      <c r="S383" s="68"/>
      <c r="T383" s="67"/>
      <c r="U383" s="73" t="s">
        <v>69</v>
      </c>
      <c r="V383" s="73"/>
      <c r="W383" s="68"/>
      <c r="X383" s="67" t="s">
        <v>69</v>
      </c>
      <c r="Y383" s="73"/>
      <c r="Z383" s="73"/>
      <c r="AA383" s="68"/>
      <c r="AB383" s="67" t="s">
        <v>69</v>
      </c>
      <c r="AC383" s="73"/>
      <c r="AD383" s="73"/>
      <c r="AE383" s="68"/>
      <c r="AF383" s="67" t="s">
        <v>69</v>
      </c>
      <c r="AG383" s="73"/>
      <c r="AH383" s="73"/>
      <c r="AI383" s="68"/>
      <c r="AJ383" s="67" t="s">
        <v>69</v>
      </c>
      <c r="AK383" s="73"/>
      <c r="AL383" s="73"/>
      <c r="AM383" s="68"/>
      <c r="AN383" s="73" t="s">
        <v>69</v>
      </c>
      <c r="AO383" s="73"/>
      <c r="AP383" s="73"/>
      <c r="AQ383" s="68"/>
      <c r="AR383" s="67">
        <f t="shared" si="202"/>
        <v>98</v>
      </c>
      <c r="AS383" s="68" t="str">
        <f t="shared" si="203"/>
        <v>S</v>
      </c>
      <c r="AV383" s="49">
        <f t="shared" si="79"/>
        <v>1</v>
      </c>
      <c r="AW383" s="49">
        <f t="shared" si="44"/>
        <v>0</v>
      </c>
      <c r="AX383" s="49">
        <f t="shared" si="45"/>
        <v>0</v>
      </c>
      <c r="AY383" s="49">
        <f t="shared" si="46"/>
        <v>0</v>
      </c>
      <c r="AZ383" s="49">
        <f t="shared" si="47"/>
        <v>1</v>
      </c>
      <c r="BA383" s="49">
        <f t="shared" si="48"/>
        <v>0</v>
      </c>
      <c r="BB383" s="49">
        <f t="shared" si="49"/>
        <v>0</v>
      </c>
      <c r="BC383" s="49">
        <f t="shared" si="50"/>
        <v>0</v>
      </c>
      <c r="BD383" s="49">
        <f t="shared" si="51"/>
        <v>1</v>
      </c>
      <c r="BE383" s="49">
        <f t="shared" si="52"/>
        <v>0</v>
      </c>
      <c r="BF383" s="49">
        <f t="shared" si="53"/>
        <v>0</v>
      </c>
      <c r="BG383" s="49">
        <f t="shared" si="54"/>
        <v>0</v>
      </c>
      <c r="BH383" s="49">
        <f t="shared" si="55"/>
        <v>0</v>
      </c>
      <c r="BI383" s="49">
        <f t="shared" si="56"/>
        <v>1</v>
      </c>
      <c r="BJ383" s="49">
        <f t="shared" si="57"/>
        <v>0</v>
      </c>
      <c r="BK383" s="49">
        <f t="shared" si="58"/>
        <v>0</v>
      </c>
      <c r="BL383" s="49">
        <f t="shared" si="59"/>
        <v>1</v>
      </c>
      <c r="BM383" s="49">
        <f t="shared" si="60"/>
        <v>0</v>
      </c>
      <c r="BN383" s="49">
        <f t="shared" si="61"/>
        <v>0</v>
      </c>
      <c r="BO383" s="49">
        <f t="shared" si="62"/>
        <v>0</v>
      </c>
      <c r="BP383" s="49">
        <f t="shared" si="63"/>
        <v>1</v>
      </c>
      <c r="BQ383" s="49">
        <f t="shared" si="64"/>
        <v>0</v>
      </c>
      <c r="BR383" s="49">
        <f t="shared" si="65"/>
        <v>0</v>
      </c>
      <c r="BS383" s="49">
        <f t="shared" si="66"/>
        <v>0</v>
      </c>
      <c r="BT383" s="49">
        <f t="shared" si="67"/>
        <v>1</v>
      </c>
      <c r="BU383" s="49">
        <f t="shared" si="68"/>
        <v>0</v>
      </c>
      <c r="BV383" s="49">
        <f t="shared" si="69"/>
        <v>0</v>
      </c>
      <c r="BW383" s="49">
        <f t="shared" si="70"/>
        <v>0</v>
      </c>
      <c r="BX383" s="49">
        <f t="shared" si="71"/>
        <v>1</v>
      </c>
      <c r="BY383" s="49">
        <f t="shared" si="72"/>
        <v>0</v>
      </c>
      <c r="BZ383" s="49">
        <f t="shared" si="73"/>
        <v>0</v>
      </c>
      <c r="CA383" s="49">
        <f t="shared" si="74"/>
        <v>0</v>
      </c>
      <c r="CB383" s="49">
        <f t="shared" si="75"/>
        <v>1</v>
      </c>
      <c r="CC383" s="49">
        <f t="shared" si="76"/>
        <v>0</v>
      </c>
      <c r="CD383" s="49">
        <f t="shared" si="77"/>
        <v>0</v>
      </c>
      <c r="CE383" s="49">
        <f t="shared" si="78"/>
        <v>0</v>
      </c>
    </row>
    <row r="384" spans="1:83" ht="35.1" customHeight="1" x14ac:dyDescent="0.3">
      <c r="A384" s="123" t="str">
        <f t="shared" si="200"/>
        <v>4팀</v>
      </c>
      <c r="B384" s="69">
        <f t="shared" si="201"/>
        <v>378</v>
      </c>
      <c r="C384" s="120" t="str">
        <f>IF(VLOOKUP($B384,'1. 현장별 인원현황'!$C:$J,2,0)=0,"",VLOOKUP($B384,'1. 현장별 인원현황'!$C:$J,2,0))</f>
        <v xml:space="preserve"> [4.롯데CM] 롯데백화점 노원점 리뉴얼 공사</v>
      </c>
      <c r="D384" s="70" t="str">
        <f>IF(VLOOKUP($B384,'1. 현장별 인원현황'!$C:$J,3,0)=0,"",VLOOKUP($B384,'1. 현장별 인원현황'!$C:$J,3,0))</f>
        <v>이상규</v>
      </c>
      <c r="E384" s="74" t="str">
        <f ca="1">IF(VLOOKUP($B384,'1. 현장별 인원현황'!$C:$J,4,0)=0,"",VLOOKUP($B384,'1. 현장별 인원현황'!$C:$J,4,0))</f>
        <v>55세</v>
      </c>
      <c r="F384" s="70" t="str">
        <f>IF(VLOOKUP($B384,'1. 현장별 인원현황'!$C:$J,7,0)=0,"",VLOOKUP($B384,'1. 현장별 인원현황'!$C:$J,7,0))</f>
        <v>공사</v>
      </c>
      <c r="G384" s="72" t="str">
        <f>IF(VLOOKUP($B384,'1. 현장별 인원현황'!$C:$J,8,0)=0,"",VLOOKUP($B384,'1. 현장별 인원현황'!$C:$J,8,0))</f>
        <v>차장</v>
      </c>
      <c r="H384" s="67" t="s">
        <v>69</v>
      </c>
      <c r="I384" s="73"/>
      <c r="J384" s="73"/>
      <c r="K384" s="68"/>
      <c r="L384" s="67" t="s">
        <v>69</v>
      </c>
      <c r="M384" s="73"/>
      <c r="N384" s="73"/>
      <c r="O384" s="68"/>
      <c r="P384" s="67" t="s">
        <v>69</v>
      </c>
      <c r="Q384" s="73"/>
      <c r="R384" s="73"/>
      <c r="S384" s="68"/>
      <c r="T384" s="67" t="s">
        <v>69</v>
      </c>
      <c r="U384" s="73"/>
      <c r="V384" s="73"/>
      <c r="W384" s="68"/>
      <c r="X384" s="67" t="s">
        <v>69</v>
      </c>
      <c r="Y384" s="73"/>
      <c r="Z384" s="73"/>
      <c r="AA384" s="68"/>
      <c r="AB384" s="67" t="s">
        <v>69</v>
      </c>
      <c r="AC384" s="73"/>
      <c r="AD384" s="73"/>
      <c r="AE384" s="68"/>
      <c r="AF384" s="67" t="s">
        <v>69</v>
      </c>
      <c r="AG384" s="73"/>
      <c r="AH384" s="73"/>
      <c r="AI384" s="68"/>
      <c r="AJ384" s="67" t="s">
        <v>69</v>
      </c>
      <c r="AK384" s="73"/>
      <c r="AL384" s="73"/>
      <c r="AM384" s="68"/>
      <c r="AN384" s="73" t="s">
        <v>69</v>
      </c>
      <c r="AO384" s="73"/>
      <c r="AP384" s="73"/>
      <c r="AQ384" s="68"/>
      <c r="AR384" s="67">
        <f t="shared" si="202"/>
        <v>100</v>
      </c>
      <c r="AS384" s="68" t="str">
        <f t="shared" si="203"/>
        <v>S</v>
      </c>
      <c r="AV384" s="49">
        <f t="shared" si="79"/>
        <v>1</v>
      </c>
      <c r="AW384" s="49">
        <f t="shared" si="44"/>
        <v>0</v>
      </c>
      <c r="AX384" s="49">
        <f t="shared" si="45"/>
        <v>0</v>
      </c>
      <c r="AY384" s="49">
        <f t="shared" si="46"/>
        <v>0</v>
      </c>
      <c r="AZ384" s="49">
        <f t="shared" si="47"/>
        <v>1</v>
      </c>
      <c r="BA384" s="49">
        <f t="shared" si="48"/>
        <v>0</v>
      </c>
      <c r="BB384" s="49">
        <f t="shared" si="49"/>
        <v>0</v>
      </c>
      <c r="BC384" s="49">
        <f t="shared" si="50"/>
        <v>0</v>
      </c>
      <c r="BD384" s="49">
        <f t="shared" si="51"/>
        <v>1</v>
      </c>
      <c r="BE384" s="49">
        <f t="shared" si="52"/>
        <v>0</v>
      </c>
      <c r="BF384" s="49">
        <f t="shared" si="53"/>
        <v>0</v>
      </c>
      <c r="BG384" s="49">
        <f t="shared" si="54"/>
        <v>0</v>
      </c>
      <c r="BH384" s="49">
        <f t="shared" si="55"/>
        <v>1</v>
      </c>
      <c r="BI384" s="49">
        <f t="shared" si="56"/>
        <v>0</v>
      </c>
      <c r="BJ384" s="49">
        <f t="shared" si="57"/>
        <v>0</v>
      </c>
      <c r="BK384" s="49">
        <f t="shared" si="58"/>
        <v>0</v>
      </c>
      <c r="BL384" s="49">
        <f t="shared" si="59"/>
        <v>1</v>
      </c>
      <c r="BM384" s="49">
        <f t="shared" si="60"/>
        <v>0</v>
      </c>
      <c r="BN384" s="49">
        <f t="shared" si="61"/>
        <v>0</v>
      </c>
      <c r="BO384" s="49">
        <f t="shared" si="62"/>
        <v>0</v>
      </c>
      <c r="BP384" s="49">
        <f t="shared" si="63"/>
        <v>1</v>
      </c>
      <c r="BQ384" s="49">
        <f t="shared" si="64"/>
        <v>0</v>
      </c>
      <c r="BR384" s="49">
        <f t="shared" si="65"/>
        <v>0</v>
      </c>
      <c r="BS384" s="49">
        <f t="shared" si="66"/>
        <v>0</v>
      </c>
      <c r="BT384" s="49">
        <f t="shared" si="67"/>
        <v>1</v>
      </c>
      <c r="BU384" s="49">
        <f t="shared" si="68"/>
        <v>0</v>
      </c>
      <c r="BV384" s="49">
        <f t="shared" si="69"/>
        <v>0</v>
      </c>
      <c r="BW384" s="49">
        <f t="shared" si="70"/>
        <v>0</v>
      </c>
      <c r="BX384" s="49">
        <f t="shared" si="71"/>
        <v>1</v>
      </c>
      <c r="BY384" s="49">
        <f t="shared" si="72"/>
        <v>0</v>
      </c>
      <c r="BZ384" s="49">
        <f t="shared" si="73"/>
        <v>0</v>
      </c>
      <c r="CA384" s="49">
        <f t="shared" si="74"/>
        <v>0</v>
      </c>
      <c r="CB384" s="49">
        <f t="shared" si="75"/>
        <v>1</v>
      </c>
      <c r="CC384" s="49">
        <f t="shared" si="76"/>
        <v>0</v>
      </c>
      <c r="CD384" s="49">
        <f t="shared" si="77"/>
        <v>0</v>
      </c>
      <c r="CE384" s="49">
        <f t="shared" si="78"/>
        <v>0</v>
      </c>
    </row>
    <row r="385" spans="1:83" ht="35.1" customHeight="1" x14ac:dyDescent="0.3">
      <c r="A385" s="123" t="str">
        <f t="shared" si="200"/>
        <v>4팀</v>
      </c>
      <c r="B385" s="69">
        <f t="shared" si="201"/>
        <v>379</v>
      </c>
      <c r="C385" s="120" t="str">
        <f>IF(VLOOKUP($B385,'1. 현장별 인원현황'!$C:$J,2,0)=0,"",VLOOKUP($B385,'1. 현장별 인원현황'!$C:$J,2,0))</f>
        <v xml:space="preserve"> [4.롯데CM] 롯데백화점 노원점 리뉴얼 공사</v>
      </c>
      <c r="D385" s="70" t="str">
        <f>IF(VLOOKUP($B385,'1. 현장별 인원현황'!$C:$J,3,0)=0,"",VLOOKUP($B385,'1. 현장별 인원현황'!$C:$J,3,0))</f>
        <v>김수민</v>
      </c>
      <c r="E385" s="74" t="str">
        <f ca="1">IF(VLOOKUP($B385,'1. 현장별 인원현황'!$C:$J,4,0)=0,"",VLOOKUP($B385,'1. 현장별 인원현황'!$C:$J,4,0))</f>
        <v>28세</v>
      </c>
      <c r="F385" s="70" t="str">
        <f>IF(VLOOKUP($B385,'1. 현장별 인원현황'!$C:$J,7,0)=0,"",VLOOKUP($B385,'1. 현장별 인원현황'!$C:$J,7,0))</f>
        <v>기능공</v>
      </c>
      <c r="G385" s="72" t="str">
        <f>IF(VLOOKUP($B385,'1. 현장별 인원현황'!$C:$J,8,0)=0,"",VLOOKUP($B385,'1. 현장별 인원현황'!$C:$J,8,0))</f>
        <v>전공</v>
      </c>
      <c r="H385" s="67"/>
      <c r="I385" s="73" t="s">
        <v>69</v>
      </c>
      <c r="J385" s="73"/>
      <c r="K385" s="68"/>
      <c r="L385" s="67"/>
      <c r="M385" s="73" t="s">
        <v>69</v>
      </c>
      <c r="N385" s="73"/>
      <c r="O385" s="68"/>
      <c r="P385" s="67"/>
      <c r="Q385" s="73" t="s">
        <v>69</v>
      </c>
      <c r="R385" s="73"/>
      <c r="S385" s="68"/>
      <c r="T385" s="67"/>
      <c r="U385" s="73" t="s">
        <v>69</v>
      </c>
      <c r="V385" s="73"/>
      <c r="W385" s="68"/>
      <c r="X385" s="67"/>
      <c r="Y385" s="73" t="s">
        <v>69</v>
      </c>
      <c r="Z385" s="73"/>
      <c r="AA385" s="68"/>
      <c r="AB385" s="67" t="s">
        <v>69</v>
      </c>
      <c r="AC385" s="73"/>
      <c r="AD385" s="73"/>
      <c r="AE385" s="68"/>
      <c r="AF385" s="67" t="s">
        <v>69</v>
      </c>
      <c r="AG385" s="73"/>
      <c r="AH385" s="73"/>
      <c r="AI385" s="68"/>
      <c r="AJ385" s="67" t="s">
        <v>69</v>
      </c>
      <c r="AK385" s="73"/>
      <c r="AL385" s="73"/>
      <c r="AM385" s="68"/>
      <c r="AN385" s="73" t="s">
        <v>69</v>
      </c>
      <c r="AO385" s="73"/>
      <c r="AP385" s="73"/>
      <c r="AQ385" s="68"/>
      <c r="AR385" s="67">
        <f t="shared" si="202"/>
        <v>87</v>
      </c>
      <c r="AS385" s="68" t="str">
        <f t="shared" si="203"/>
        <v>S</v>
      </c>
      <c r="AV385" s="49">
        <f t="shared" si="79"/>
        <v>0</v>
      </c>
      <c r="AW385" s="49">
        <f t="shared" si="44"/>
        <v>1</v>
      </c>
      <c r="AX385" s="49">
        <f t="shared" si="45"/>
        <v>0</v>
      </c>
      <c r="AY385" s="49">
        <f t="shared" si="46"/>
        <v>0</v>
      </c>
      <c r="AZ385" s="49">
        <f t="shared" si="47"/>
        <v>0</v>
      </c>
      <c r="BA385" s="49">
        <f t="shared" si="48"/>
        <v>1</v>
      </c>
      <c r="BB385" s="49">
        <f t="shared" si="49"/>
        <v>0</v>
      </c>
      <c r="BC385" s="49">
        <f t="shared" si="50"/>
        <v>0</v>
      </c>
      <c r="BD385" s="49">
        <f t="shared" si="51"/>
        <v>0</v>
      </c>
      <c r="BE385" s="49">
        <f t="shared" si="52"/>
        <v>1</v>
      </c>
      <c r="BF385" s="49">
        <f t="shared" si="53"/>
        <v>0</v>
      </c>
      <c r="BG385" s="49">
        <f t="shared" si="54"/>
        <v>0</v>
      </c>
      <c r="BH385" s="49">
        <f t="shared" si="55"/>
        <v>0</v>
      </c>
      <c r="BI385" s="49">
        <f t="shared" si="56"/>
        <v>1</v>
      </c>
      <c r="BJ385" s="49">
        <f t="shared" si="57"/>
        <v>0</v>
      </c>
      <c r="BK385" s="49">
        <f t="shared" si="58"/>
        <v>0</v>
      </c>
      <c r="BL385" s="49">
        <f t="shared" si="59"/>
        <v>0</v>
      </c>
      <c r="BM385" s="49">
        <f t="shared" si="60"/>
        <v>1</v>
      </c>
      <c r="BN385" s="49">
        <f t="shared" si="61"/>
        <v>0</v>
      </c>
      <c r="BO385" s="49">
        <f t="shared" si="62"/>
        <v>0</v>
      </c>
      <c r="BP385" s="49">
        <f>IF(AB385&gt;0,1,0)</f>
        <v>1</v>
      </c>
      <c r="BQ385" s="49">
        <f>IF(AC385&gt;0,1,0)</f>
        <v>0</v>
      </c>
      <c r="BR385" s="49">
        <f t="shared" si="65"/>
        <v>0</v>
      </c>
      <c r="BS385" s="49">
        <f t="shared" si="66"/>
        <v>0</v>
      </c>
      <c r="BT385" s="49">
        <f t="shared" si="67"/>
        <v>1</v>
      </c>
      <c r="BU385" s="49">
        <f t="shared" si="68"/>
        <v>0</v>
      </c>
      <c r="BV385" s="49">
        <f t="shared" si="69"/>
        <v>0</v>
      </c>
      <c r="BW385" s="49">
        <f t="shared" si="70"/>
        <v>0</v>
      </c>
      <c r="BX385" s="49">
        <f t="shared" si="71"/>
        <v>1</v>
      </c>
      <c r="BY385" s="49">
        <f t="shared" si="72"/>
        <v>0</v>
      </c>
      <c r="BZ385" s="49">
        <f t="shared" si="73"/>
        <v>0</v>
      </c>
      <c r="CA385" s="49">
        <f t="shared" si="74"/>
        <v>0</v>
      </c>
      <c r="CB385" s="49">
        <f t="shared" si="75"/>
        <v>1</v>
      </c>
      <c r="CC385" s="49">
        <f t="shared" si="76"/>
        <v>0</v>
      </c>
      <c r="CD385" s="49">
        <f t="shared" si="77"/>
        <v>0</v>
      </c>
      <c r="CE385" s="49">
        <f t="shared" si="78"/>
        <v>0</v>
      </c>
    </row>
    <row r="386" spans="1:83" ht="35.1" customHeight="1" x14ac:dyDescent="0.3">
      <c r="A386" s="123" t="str">
        <f t="shared" si="200"/>
        <v>4팀</v>
      </c>
      <c r="B386" s="69">
        <f t="shared" si="201"/>
        <v>380</v>
      </c>
      <c r="C386" s="120" t="str">
        <f>IF(VLOOKUP($B386,'1. 현장별 인원현황'!$C:$J,2,0)=0,"",VLOOKUP($B386,'1. 현장별 인원현황'!$C:$J,2,0))</f>
        <v xml:space="preserve"> [4.롯데CM] 롯데백화점 노원점 리뉴얼 공사</v>
      </c>
      <c r="D386" s="70" t="str">
        <f>IF(VLOOKUP($B386,'1. 현장별 인원현황'!$C:$J,3,0)=0,"",VLOOKUP($B386,'1. 현장별 인원현황'!$C:$J,3,0))</f>
        <v>김중기</v>
      </c>
      <c r="E386" s="74" t="str">
        <f ca="1">IF(VLOOKUP($B386,'1. 현장별 인원현황'!$C:$J,4,0)=0,"",VLOOKUP($B386,'1. 현장별 인원현황'!$C:$J,4,0))</f>
        <v>58세</v>
      </c>
      <c r="F386" s="70" t="str">
        <f>IF(VLOOKUP($B386,'1. 현장별 인원현황'!$C:$J,7,0)=0,"",VLOOKUP($B386,'1. 현장별 인원현황'!$C:$J,7,0))</f>
        <v>기능공</v>
      </c>
      <c r="G386" s="72" t="str">
        <f>IF(VLOOKUP($B386,'1. 현장별 인원현황'!$C:$J,8,0)=0,"",VLOOKUP($B386,'1. 현장별 인원현황'!$C:$J,8,0))</f>
        <v>전공</v>
      </c>
      <c r="H386" s="67"/>
      <c r="I386" s="73" t="s">
        <v>69</v>
      </c>
      <c r="J386" s="73"/>
      <c r="K386" s="68"/>
      <c r="L386" s="67"/>
      <c r="M386" s="73" t="s">
        <v>69</v>
      </c>
      <c r="N386" s="73"/>
      <c r="O386" s="68"/>
      <c r="P386" s="67"/>
      <c r="Q386" s="73" t="s">
        <v>69</v>
      </c>
      <c r="R386" s="73"/>
      <c r="S386" s="68"/>
      <c r="T386" s="67"/>
      <c r="U386" s="73" t="s">
        <v>69</v>
      </c>
      <c r="V386" s="73"/>
      <c r="W386" s="68"/>
      <c r="X386" s="67"/>
      <c r="Y386" s="73" t="s">
        <v>69</v>
      </c>
      <c r="Z386" s="73"/>
      <c r="AA386" s="68"/>
      <c r="AB386" s="67" t="s">
        <v>69</v>
      </c>
      <c r="AC386" s="73"/>
      <c r="AD386" s="73"/>
      <c r="AE386" s="68"/>
      <c r="AF386" s="67" t="s">
        <v>69</v>
      </c>
      <c r="AG386" s="73"/>
      <c r="AH386" s="73"/>
      <c r="AI386" s="68"/>
      <c r="AJ386" s="67" t="s">
        <v>69</v>
      </c>
      <c r="AK386" s="73"/>
      <c r="AL386" s="73"/>
      <c r="AM386" s="68"/>
      <c r="AN386" s="73"/>
      <c r="AO386" s="73" t="s">
        <v>69</v>
      </c>
      <c r="AP386" s="73"/>
      <c r="AQ386" s="68"/>
      <c r="AR386" s="67">
        <f t="shared" si="202"/>
        <v>84</v>
      </c>
      <c r="AS386" s="68" t="str">
        <f t="shared" si="203"/>
        <v>A</v>
      </c>
      <c r="AV386" s="49">
        <f t="shared" si="79"/>
        <v>0</v>
      </c>
      <c r="AW386" s="49">
        <f t="shared" si="44"/>
        <v>1</v>
      </c>
      <c r="AX386" s="49">
        <f t="shared" si="45"/>
        <v>0</v>
      </c>
      <c r="AY386" s="49">
        <f t="shared" si="46"/>
        <v>0</v>
      </c>
      <c r="AZ386" s="49">
        <f t="shared" si="47"/>
        <v>0</v>
      </c>
      <c r="BA386" s="49">
        <f t="shared" si="48"/>
        <v>1</v>
      </c>
      <c r="BB386" s="49">
        <f t="shared" si="49"/>
        <v>0</v>
      </c>
      <c r="BC386" s="49">
        <f t="shared" si="50"/>
        <v>0</v>
      </c>
      <c r="BD386" s="49">
        <f t="shared" si="51"/>
        <v>0</v>
      </c>
      <c r="BE386" s="49">
        <f t="shared" si="52"/>
        <v>1</v>
      </c>
      <c r="BF386" s="49">
        <f t="shared" si="53"/>
        <v>0</v>
      </c>
      <c r="BG386" s="49">
        <f t="shared" si="54"/>
        <v>0</v>
      </c>
      <c r="BH386" s="49">
        <f t="shared" si="55"/>
        <v>0</v>
      </c>
      <c r="BI386" s="49">
        <f t="shared" si="56"/>
        <v>1</v>
      </c>
      <c r="BJ386" s="49">
        <f t="shared" si="57"/>
        <v>0</v>
      </c>
      <c r="BK386" s="49">
        <f t="shared" si="58"/>
        <v>0</v>
      </c>
      <c r="BL386" s="49">
        <f t="shared" si="59"/>
        <v>0</v>
      </c>
      <c r="BM386" s="49">
        <f t="shared" si="60"/>
        <v>1</v>
      </c>
      <c r="BN386" s="49">
        <f t="shared" si="61"/>
        <v>0</v>
      </c>
      <c r="BO386" s="49">
        <f t="shared" si="62"/>
        <v>0</v>
      </c>
      <c r="BP386" s="49">
        <f t="shared" si="63"/>
        <v>1</v>
      </c>
      <c r="BQ386" s="49">
        <f t="shared" si="64"/>
        <v>0</v>
      </c>
      <c r="BR386" s="49">
        <f t="shared" si="65"/>
        <v>0</v>
      </c>
      <c r="BS386" s="49">
        <f t="shared" si="66"/>
        <v>0</v>
      </c>
      <c r="BT386" s="49">
        <f t="shared" si="67"/>
        <v>1</v>
      </c>
      <c r="BU386" s="49">
        <f t="shared" si="68"/>
        <v>0</v>
      </c>
      <c r="BV386" s="49">
        <f t="shared" si="69"/>
        <v>0</v>
      </c>
      <c r="BW386" s="49">
        <f t="shared" si="70"/>
        <v>0</v>
      </c>
      <c r="BX386" s="49">
        <f t="shared" si="71"/>
        <v>1</v>
      </c>
      <c r="BY386" s="49">
        <f t="shared" si="72"/>
        <v>0</v>
      </c>
      <c r="BZ386" s="49">
        <f t="shared" si="73"/>
        <v>0</v>
      </c>
      <c r="CA386" s="49">
        <f t="shared" si="74"/>
        <v>0</v>
      </c>
      <c r="CB386" s="49">
        <f t="shared" si="75"/>
        <v>0</v>
      </c>
      <c r="CC386" s="49">
        <f t="shared" si="76"/>
        <v>1</v>
      </c>
      <c r="CD386" s="49">
        <f t="shared" si="77"/>
        <v>0</v>
      </c>
      <c r="CE386" s="49">
        <f t="shared" si="78"/>
        <v>0</v>
      </c>
    </row>
    <row r="387" spans="1:83" ht="35.1" customHeight="1" x14ac:dyDescent="0.3">
      <c r="A387" s="123" t="str">
        <f t="shared" si="200"/>
        <v>4팀</v>
      </c>
      <c r="B387" s="69">
        <f t="shared" si="201"/>
        <v>381</v>
      </c>
      <c r="C387" s="120" t="str">
        <f>IF(VLOOKUP($B387,'1. 현장별 인원현황'!$C:$J,2,0)=0,"",VLOOKUP($B387,'1. 현장별 인원현황'!$C:$J,2,0))</f>
        <v xml:space="preserve"> [4.롯데CM] 롯데백화점 노원점 리뉴얼 공사</v>
      </c>
      <c r="D387" s="70" t="str">
        <f>IF(VLOOKUP($B387,'1. 현장별 인원현황'!$C:$J,3,0)=0,"",VLOOKUP($B387,'1. 현장별 인원현황'!$C:$J,3,0))</f>
        <v>손영일</v>
      </c>
      <c r="E387" s="74" t="str">
        <f ca="1">IF(VLOOKUP($B387,'1. 현장별 인원현황'!$C:$J,4,0)=0,"",VLOOKUP($B387,'1. 현장별 인원현황'!$C:$J,4,0))</f>
        <v>53세</v>
      </c>
      <c r="F387" s="70" t="str">
        <f>IF(VLOOKUP($B387,'1. 현장별 인원현황'!$C:$J,7,0)=0,"",VLOOKUP($B387,'1. 현장별 인원현황'!$C:$J,7,0))</f>
        <v>기능공</v>
      </c>
      <c r="G387" s="72" t="str">
        <f>IF(VLOOKUP($B387,'1. 현장별 인원현황'!$C:$J,8,0)=0,"",VLOOKUP($B387,'1. 현장별 인원현황'!$C:$J,8,0))</f>
        <v>전공</v>
      </c>
      <c r="H387" s="67" t="s">
        <v>69</v>
      </c>
      <c r="I387" s="73"/>
      <c r="J387" s="73"/>
      <c r="K387" s="68"/>
      <c r="L387" s="67" t="s">
        <v>69</v>
      </c>
      <c r="M387" s="73"/>
      <c r="N387" s="73"/>
      <c r="O387" s="68"/>
      <c r="P387" s="67" t="s">
        <v>69</v>
      </c>
      <c r="Q387" s="73"/>
      <c r="R387" s="73"/>
      <c r="S387" s="68"/>
      <c r="T387" s="67"/>
      <c r="U387" s="73" t="s">
        <v>69</v>
      </c>
      <c r="V387" s="73"/>
      <c r="W387" s="68"/>
      <c r="X387" s="67"/>
      <c r="Y387" s="73" t="s">
        <v>69</v>
      </c>
      <c r="Z387" s="73"/>
      <c r="AA387" s="68"/>
      <c r="AB387" s="67" t="s">
        <v>69</v>
      </c>
      <c r="AC387" s="73"/>
      <c r="AD387" s="73"/>
      <c r="AE387" s="68"/>
      <c r="AF387" s="67"/>
      <c r="AG387" s="73" t="s">
        <v>69</v>
      </c>
      <c r="AH387" s="73"/>
      <c r="AI387" s="68"/>
      <c r="AJ387" s="67" t="s">
        <v>69</v>
      </c>
      <c r="AK387" s="73"/>
      <c r="AL387" s="73"/>
      <c r="AM387" s="68"/>
      <c r="AN387" s="73"/>
      <c r="AO387" s="73" t="s">
        <v>69</v>
      </c>
      <c r="AP387" s="73"/>
      <c r="AQ387" s="68"/>
      <c r="AR387" s="67">
        <f t="shared" si="202"/>
        <v>91</v>
      </c>
      <c r="AS387" s="68" t="str">
        <f t="shared" si="203"/>
        <v>S</v>
      </c>
      <c r="AV387" s="49">
        <f t="shared" si="79"/>
        <v>1</v>
      </c>
      <c r="AW387" s="49">
        <f t="shared" si="44"/>
        <v>0</v>
      </c>
      <c r="AX387" s="49">
        <f t="shared" si="45"/>
        <v>0</v>
      </c>
      <c r="AY387" s="49">
        <f t="shared" si="46"/>
        <v>0</v>
      </c>
      <c r="AZ387" s="49">
        <f t="shared" si="47"/>
        <v>1</v>
      </c>
      <c r="BA387" s="49">
        <f t="shared" si="48"/>
        <v>0</v>
      </c>
      <c r="BB387" s="49">
        <f t="shared" si="49"/>
        <v>0</v>
      </c>
      <c r="BC387" s="49">
        <f t="shared" si="50"/>
        <v>0</v>
      </c>
      <c r="BD387" s="49">
        <f t="shared" si="51"/>
        <v>1</v>
      </c>
      <c r="BE387" s="49">
        <f t="shared" si="52"/>
        <v>0</v>
      </c>
      <c r="BF387" s="49">
        <f t="shared" si="53"/>
        <v>0</v>
      </c>
      <c r="BG387" s="49">
        <f t="shared" si="54"/>
        <v>0</v>
      </c>
      <c r="BH387" s="49">
        <f t="shared" si="55"/>
        <v>0</v>
      </c>
      <c r="BI387" s="49">
        <f t="shared" si="56"/>
        <v>1</v>
      </c>
      <c r="BJ387" s="49">
        <f t="shared" si="57"/>
        <v>0</v>
      </c>
      <c r="BK387" s="49">
        <f t="shared" si="58"/>
        <v>0</v>
      </c>
      <c r="BL387" s="49">
        <f t="shared" si="59"/>
        <v>0</v>
      </c>
      <c r="BM387" s="49">
        <f t="shared" si="60"/>
        <v>1</v>
      </c>
      <c r="BN387" s="49">
        <f t="shared" si="61"/>
        <v>0</v>
      </c>
      <c r="BO387" s="49">
        <f t="shared" si="62"/>
        <v>0</v>
      </c>
      <c r="BP387" s="49">
        <f t="shared" si="63"/>
        <v>1</v>
      </c>
      <c r="BQ387" s="49">
        <f t="shared" si="64"/>
        <v>0</v>
      </c>
      <c r="BR387" s="49">
        <f t="shared" si="65"/>
        <v>0</v>
      </c>
      <c r="BS387" s="49">
        <f t="shared" si="66"/>
        <v>0</v>
      </c>
      <c r="BT387" s="49">
        <f t="shared" si="67"/>
        <v>0</v>
      </c>
      <c r="BU387" s="49">
        <f t="shared" si="68"/>
        <v>1</v>
      </c>
      <c r="BV387" s="49">
        <f t="shared" si="69"/>
        <v>0</v>
      </c>
      <c r="BW387" s="49">
        <f t="shared" si="70"/>
        <v>0</v>
      </c>
      <c r="BX387" s="49">
        <f t="shared" si="71"/>
        <v>1</v>
      </c>
      <c r="BY387" s="49">
        <f t="shared" si="72"/>
        <v>0</v>
      </c>
      <c r="BZ387" s="49">
        <f t="shared" si="73"/>
        <v>0</v>
      </c>
      <c r="CA387" s="49">
        <f t="shared" si="74"/>
        <v>0</v>
      </c>
      <c r="CB387" s="49">
        <f t="shared" si="75"/>
        <v>0</v>
      </c>
      <c r="CC387" s="49">
        <f t="shared" si="76"/>
        <v>1</v>
      </c>
      <c r="CD387" s="49">
        <f t="shared" si="77"/>
        <v>0</v>
      </c>
      <c r="CE387" s="49">
        <f t="shared" si="78"/>
        <v>0</v>
      </c>
    </row>
    <row r="388" spans="1:83" ht="35.1" customHeight="1" x14ac:dyDescent="0.3">
      <c r="A388" s="123" t="str">
        <f t="shared" si="200"/>
        <v>4팀</v>
      </c>
      <c r="B388" s="69">
        <f t="shared" si="201"/>
        <v>382</v>
      </c>
      <c r="C388" s="120" t="str">
        <f>IF(VLOOKUP($B388,'1. 현장별 인원현황'!$C:$J,2,0)=0,"",VLOOKUP($B388,'1. 현장별 인원현황'!$C:$J,2,0))</f>
        <v xml:space="preserve"> [4.롯데CM] 롯데백화점 노원점 리뉴얼 공사</v>
      </c>
      <c r="D388" s="70" t="str">
        <f>IF(VLOOKUP($B388,'1. 현장별 인원현황'!$C:$J,3,0)=0,"",VLOOKUP($B388,'1. 현장별 인원현황'!$C:$J,3,0))</f>
        <v>안윤성</v>
      </c>
      <c r="E388" s="74" t="str">
        <f ca="1">IF(VLOOKUP($B388,'1. 현장별 인원현황'!$C:$J,4,0)=0,"",VLOOKUP($B388,'1. 현장별 인원현황'!$C:$J,4,0))</f>
        <v>55세</v>
      </c>
      <c r="F388" s="70" t="str">
        <f>IF(VLOOKUP($B388,'1. 현장별 인원현황'!$C:$J,7,0)=0,"",VLOOKUP($B388,'1. 현장별 인원현황'!$C:$J,7,0))</f>
        <v>기능공</v>
      </c>
      <c r="G388" s="72" t="str">
        <f>IF(VLOOKUP($B388,'1. 현장별 인원현황'!$C:$J,8,0)=0,"",VLOOKUP($B388,'1. 현장별 인원현황'!$C:$J,8,0))</f>
        <v>전공</v>
      </c>
      <c r="H388" s="67" t="s">
        <v>69</v>
      </c>
      <c r="I388" s="73"/>
      <c r="J388" s="73"/>
      <c r="K388" s="68"/>
      <c r="L388" s="67" t="s">
        <v>69</v>
      </c>
      <c r="M388" s="73"/>
      <c r="N388" s="73"/>
      <c r="O388" s="68"/>
      <c r="P388" s="67" t="s">
        <v>69</v>
      </c>
      <c r="Q388" s="73"/>
      <c r="R388" s="73"/>
      <c r="S388" s="68"/>
      <c r="T388" s="67" t="s">
        <v>69</v>
      </c>
      <c r="U388" s="73"/>
      <c r="V388" s="73"/>
      <c r="W388" s="68"/>
      <c r="X388" s="67" t="s">
        <v>69</v>
      </c>
      <c r="Y388" s="73"/>
      <c r="Z388" s="73"/>
      <c r="AA388" s="68"/>
      <c r="AB388" s="67" t="s">
        <v>69</v>
      </c>
      <c r="AC388" s="73"/>
      <c r="AD388" s="73"/>
      <c r="AE388" s="68"/>
      <c r="AF388" s="67" t="s">
        <v>69</v>
      </c>
      <c r="AG388" s="73"/>
      <c r="AH388" s="73"/>
      <c r="AI388" s="68"/>
      <c r="AJ388" s="67" t="s">
        <v>69</v>
      </c>
      <c r="AK388" s="73"/>
      <c r="AL388" s="73"/>
      <c r="AM388" s="68"/>
      <c r="AN388" s="73" t="s">
        <v>69</v>
      </c>
      <c r="AO388" s="73"/>
      <c r="AP388" s="73"/>
      <c r="AQ388" s="68"/>
      <c r="AR388" s="67">
        <f t="shared" si="202"/>
        <v>100</v>
      </c>
      <c r="AS388" s="68" t="str">
        <f t="shared" si="203"/>
        <v>S</v>
      </c>
      <c r="AV388" s="49">
        <f t="shared" si="79"/>
        <v>1</v>
      </c>
      <c r="AW388" s="49">
        <f t="shared" si="44"/>
        <v>0</v>
      </c>
      <c r="AX388" s="49">
        <f t="shared" si="45"/>
        <v>0</v>
      </c>
      <c r="AY388" s="49">
        <f t="shared" si="46"/>
        <v>0</v>
      </c>
      <c r="AZ388" s="49">
        <f t="shared" si="47"/>
        <v>1</v>
      </c>
      <c r="BA388" s="49">
        <f t="shared" si="48"/>
        <v>0</v>
      </c>
      <c r="BB388" s="49">
        <f t="shared" si="49"/>
        <v>0</v>
      </c>
      <c r="BC388" s="49">
        <f t="shared" si="50"/>
        <v>0</v>
      </c>
      <c r="BD388" s="49">
        <f t="shared" si="51"/>
        <v>1</v>
      </c>
      <c r="BE388" s="49">
        <f t="shared" si="52"/>
        <v>0</v>
      </c>
      <c r="BF388" s="49">
        <f t="shared" si="53"/>
        <v>0</v>
      </c>
      <c r="BG388" s="49">
        <f t="shared" si="54"/>
        <v>0</v>
      </c>
      <c r="BH388" s="49">
        <f t="shared" si="55"/>
        <v>1</v>
      </c>
      <c r="BI388" s="49">
        <f t="shared" si="56"/>
        <v>0</v>
      </c>
      <c r="BJ388" s="49">
        <f t="shared" si="57"/>
        <v>0</v>
      </c>
      <c r="BK388" s="49">
        <f t="shared" si="58"/>
        <v>0</v>
      </c>
      <c r="BL388" s="49">
        <f t="shared" si="59"/>
        <v>1</v>
      </c>
      <c r="BM388" s="49">
        <f t="shared" si="60"/>
        <v>0</v>
      </c>
      <c r="BN388" s="49">
        <f t="shared" si="61"/>
        <v>0</v>
      </c>
      <c r="BO388" s="49">
        <f t="shared" si="62"/>
        <v>0</v>
      </c>
      <c r="BP388" s="49">
        <f t="shared" si="63"/>
        <v>1</v>
      </c>
      <c r="BQ388" s="49">
        <f t="shared" si="64"/>
        <v>0</v>
      </c>
      <c r="BR388" s="49">
        <f t="shared" si="65"/>
        <v>0</v>
      </c>
      <c r="BS388" s="49">
        <f t="shared" si="66"/>
        <v>0</v>
      </c>
      <c r="BT388" s="49">
        <f t="shared" si="67"/>
        <v>1</v>
      </c>
      <c r="BU388" s="49">
        <f t="shared" si="68"/>
        <v>0</v>
      </c>
      <c r="BV388" s="49">
        <f t="shared" si="69"/>
        <v>0</v>
      </c>
      <c r="BW388" s="49">
        <f t="shared" si="70"/>
        <v>0</v>
      </c>
      <c r="BX388" s="49">
        <f t="shared" si="71"/>
        <v>1</v>
      </c>
      <c r="BY388" s="49">
        <f t="shared" si="72"/>
        <v>0</v>
      </c>
      <c r="BZ388" s="49">
        <f t="shared" si="73"/>
        <v>0</v>
      </c>
      <c r="CA388" s="49">
        <f t="shared" si="74"/>
        <v>0</v>
      </c>
      <c r="CB388" s="49">
        <f t="shared" si="75"/>
        <v>1</v>
      </c>
      <c r="CC388" s="49">
        <f t="shared" si="76"/>
        <v>0</v>
      </c>
      <c r="CD388" s="49">
        <f t="shared" si="77"/>
        <v>0</v>
      </c>
      <c r="CE388" s="49">
        <f t="shared" si="78"/>
        <v>0</v>
      </c>
    </row>
    <row r="389" spans="1:83" ht="35.1" customHeight="1" x14ac:dyDescent="0.3">
      <c r="A389" s="123" t="str">
        <f t="shared" si="200"/>
        <v>4팀</v>
      </c>
      <c r="B389" s="69">
        <f t="shared" si="201"/>
        <v>383</v>
      </c>
      <c r="C389" s="120" t="str">
        <f>IF(VLOOKUP($B389,'1. 현장별 인원현황'!$C:$J,2,0)=0,"",VLOOKUP($B389,'1. 현장별 인원현황'!$C:$J,2,0))</f>
        <v xml:space="preserve"> [4.롯데CM] 롯데백화점 노원점 리뉴얼 공사</v>
      </c>
      <c r="D389" s="70" t="str">
        <f>IF(VLOOKUP($B389,'1. 현장별 인원현황'!$C:$J,3,0)=0,"",VLOOKUP($B389,'1. 현장별 인원현황'!$C:$J,3,0))</f>
        <v>유태우</v>
      </c>
      <c r="E389" s="74" t="str">
        <f ca="1">IF(VLOOKUP($B389,'1. 현장별 인원현황'!$C:$J,4,0)=0,"",VLOOKUP($B389,'1. 현장별 인원현황'!$C:$J,4,0))</f>
        <v>30세</v>
      </c>
      <c r="F389" s="70" t="str">
        <f>IF(VLOOKUP($B389,'1. 현장별 인원현황'!$C:$J,7,0)=0,"",VLOOKUP($B389,'1. 현장별 인원현황'!$C:$J,7,0))</f>
        <v>기능공</v>
      </c>
      <c r="G389" s="72" t="str">
        <f>IF(VLOOKUP($B389,'1. 현장별 인원현황'!$C:$J,8,0)=0,"",VLOOKUP($B389,'1. 현장별 인원현황'!$C:$J,8,0))</f>
        <v>전공</v>
      </c>
      <c r="H389" s="67"/>
      <c r="I389" s="73" t="s">
        <v>69</v>
      </c>
      <c r="J389" s="73"/>
      <c r="K389" s="68"/>
      <c r="L389" s="67"/>
      <c r="M389" s="73" t="s">
        <v>69</v>
      </c>
      <c r="N389" s="73"/>
      <c r="O389" s="68"/>
      <c r="P389" s="67"/>
      <c r="Q389" s="73" t="s">
        <v>69</v>
      </c>
      <c r="R389" s="73"/>
      <c r="S389" s="68"/>
      <c r="T389" s="67"/>
      <c r="U389" s="73" t="s">
        <v>69</v>
      </c>
      <c r="V389" s="73"/>
      <c r="W389" s="68"/>
      <c r="X389" s="67" t="s">
        <v>69</v>
      </c>
      <c r="Y389" s="73"/>
      <c r="Z389" s="73"/>
      <c r="AA389" s="68"/>
      <c r="AB389" s="67" t="s">
        <v>69</v>
      </c>
      <c r="AC389" s="73"/>
      <c r="AD389" s="73"/>
      <c r="AE389" s="68"/>
      <c r="AF389" s="67"/>
      <c r="AG389" s="73" t="s">
        <v>69</v>
      </c>
      <c r="AH389" s="73"/>
      <c r="AI389" s="68"/>
      <c r="AJ389" s="67"/>
      <c r="AK389" s="73" t="s">
        <v>69</v>
      </c>
      <c r="AL389" s="73"/>
      <c r="AM389" s="68"/>
      <c r="AN389" s="73"/>
      <c r="AO389" s="73" t="s">
        <v>69</v>
      </c>
      <c r="AP389" s="73"/>
      <c r="AQ389" s="68"/>
      <c r="AR389" s="67">
        <f t="shared" si="202"/>
        <v>81</v>
      </c>
      <c r="AS389" s="68" t="str">
        <f t="shared" si="203"/>
        <v>A</v>
      </c>
      <c r="AV389" s="49">
        <f t="shared" si="79"/>
        <v>0</v>
      </c>
      <c r="AW389" s="49">
        <f t="shared" si="44"/>
        <v>1</v>
      </c>
      <c r="AX389" s="49">
        <f t="shared" si="45"/>
        <v>0</v>
      </c>
      <c r="AY389" s="49">
        <f t="shared" si="46"/>
        <v>0</v>
      </c>
      <c r="AZ389" s="49">
        <f t="shared" si="47"/>
        <v>0</v>
      </c>
      <c r="BA389" s="49">
        <f t="shared" si="48"/>
        <v>1</v>
      </c>
      <c r="BB389" s="49">
        <f t="shared" si="49"/>
        <v>0</v>
      </c>
      <c r="BC389" s="49">
        <f t="shared" si="50"/>
        <v>0</v>
      </c>
      <c r="BD389" s="49">
        <f t="shared" si="51"/>
        <v>0</v>
      </c>
      <c r="BE389" s="49">
        <f t="shared" si="52"/>
        <v>1</v>
      </c>
      <c r="BF389" s="49">
        <f t="shared" si="53"/>
        <v>0</v>
      </c>
      <c r="BG389" s="49">
        <f t="shared" si="54"/>
        <v>0</v>
      </c>
      <c r="BH389" s="49">
        <f t="shared" si="55"/>
        <v>0</v>
      </c>
      <c r="BI389" s="49">
        <f t="shared" si="56"/>
        <v>1</v>
      </c>
      <c r="BJ389" s="49">
        <f t="shared" si="57"/>
        <v>0</v>
      </c>
      <c r="BK389" s="49">
        <f t="shared" si="58"/>
        <v>0</v>
      </c>
      <c r="BL389" s="49">
        <f t="shared" si="59"/>
        <v>1</v>
      </c>
      <c r="BM389" s="49">
        <f t="shared" si="60"/>
        <v>0</v>
      </c>
      <c r="BN389" s="49">
        <f t="shared" si="61"/>
        <v>0</v>
      </c>
      <c r="BO389" s="49">
        <f t="shared" si="62"/>
        <v>0</v>
      </c>
      <c r="BP389" s="49">
        <f t="shared" si="63"/>
        <v>1</v>
      </c>
      <c r="BQ389" s="49">
        <f t="shared" si="64"/>
        <v>0</v>
      </c>
      <c r="BR389" s="49">
        <f t="shared" si="65"/>
        <v>0</v>
      </c>
      <c r="BS389" s="49">
        <f t="shared" si="66"/>
        <v>0</v>
      </c>
      <c r="BT389" s="49">
        <f t="shared" si="67"/>
        <v>0</v>
      </c>
      <c r="BU389" s="49">
        <f t="shared" si="68"/>
        <v>1</v>
      </c>
      <c r="BV389" s="49">
        <f t="shared" si="69"/>
        <v>0</v>
      </c>
      <c r="BW389" s="49">
        <f t="shared" si="70"/>
        <v>0</v>
      </c>
      <c r="BX389" s="49">
        <f t="shared" si="71"/>
        <v>0</v>
      </c>
      <c r="BY389" s="49">
        <f t="shared" si="72"/>
        <v>1</v>
      </c>
      <c r="BZ389" s="49">
        <f t="shared" si="73"/>
        <v>0</v>
      </c>
      <c r="CA389" s="49">
        <f t="shared" si="74"/>
        <v>0</v>
      </c>
      <c r="CB389" s="49">
        <f t="shared" si="75"/>
        <v>0</v>
      </c>
      <c r="CC389" s="49">
        <f t="shared" si="76"/>
        <v>1</v>
      </c>
      <c r="CD389" s="49">
        <f t="shared" si="77"/>
        <v>0</v>
      </c>
      <c r="CE389" s="49">
        <f t="shared" si="78"/>
        <v>0</v>
      </c>
    </row>
    <row r="390" spans="1:83" ht="35.1" customHeight="1" x14ac:dyDescent="0.3">
      <c r="A390" s="123" t="str">
        <f t="shared" si="200"/>
        <v>4팀</v>
      </c>
      <c r="B390" s="69">
        <f t="shared" si="201"/>
        <v>384</v>
      </c>
      <c r="C390" s="120" t="str">
        <f>IF(VLOOKUP($B390,'1. 현장별 인원현황'!$C:$J,2,0)=0,"",VLOOKUP($B390,'1. 현장별 인원현황'!$C:$J,2,0))</f>
        <v xml:space="preserve"> [4.롯데CM] 롯데백화점 노원점 리뉴얼 공사</v>
      </c>
      <c r="D390" s="70" t="str">
        <f>IF(VLOOKUP($B390,'1. 현장별 인원현황'!$C:$J,3,0)=0,"",VLOOKUP($B390,'1. 현장별 인원현황'!$C:$J,3,0))</f>
        <v>전홍석</v>
      </c>
      <c r="E390" s="74" t="str">
        <f ca="1">IF(VLOOKUP($B390,'1. 현장별 인원현황'!$C:$J,4,0)=0,"",VLOOKUP($B390,'1. 현장별 인원현황'!$C:$J,4,0))</f>
        <v>47세</v>
      </c>
      <c r="F390" s="70" t="str">
        <f>IF(VLOOKUP($B390,'1. 현장별 인원현황'!$C:$J,7,0)=0,"",VLOOKUP($B390,'1. 현장별 인원현황'!$C:$J,7,0))</f>
        <v>기능공</v>
      </c>
      <c r="G390" s="72" t="str">
        <f>IF(VLOOKUP($B390,'1. 현장별 인원현황'!$C:$J,8,0)=0,"",VLOOKUP($B390,'1. 현장별 인원현황'!$C:$J,8,0))</f>
        <v>전공</v>
      </c>
      <c r="H390" s="67"/>
      <c r="I390" s="73" t="s">
        <v>69</v>
      </c>
      <c r="J390" s="73"/>
      <c r="K390" s="68"/>
      <c r="L390" s="67" t="s">
        <v>69</v>
      </c>
      <c r="M390" s="73"/>
      <c r="N390" s="73"/>
      <c r="O390" s="68"/>
      <c r="P390" s="67" t="s">
        <v>69</v>
      </c>
      <c r="Q390" s="73"/>
      <c r="R390" s="73"/>
      <c r="S390" s="68"/>
      <c r="T390" s="67"/>
      <c r="U390" s="73" t="s">
        <v>69</v>
      </c>
      <c r="V390" s="73"/>
      <c r="W390" s="68"/>
      <c r="X390" s="67" t="s">
        <v>69</v>
      </c>
      <c r="Y390" s="73"/>
      <c r="Z390" s="73"/>
      <c r="AA390" s="68"/>
      <c r="AB390" s="67"/>
      <c r="AC390" s="73" t="s">
        <v>69</v>
      </c>
      <c r="AD390" s="73"/>
      <c r="AE390" s="68"/>
      <c r="AF390" s="67" t="s">
        <v>69</v>
      </c>
      <c r="AG390" s="73"/>
      <c r="AH390" s="73"/>
      <c r="AI390" s="68"/>
      <c r="AJ390" s="67"/>
      <c r="AK390" s="73" t="s">
        <v>69</v>
      </c>
      <c r="AL390" s="73"/>
      <c r="AM390" s="68"/>
      <c r="AN390" s="73" t="s">
        <v>69</v>
      </c>
      <c r="AO390" s="73"/>
      <c r="AP390" s="73"/>
      <c r="AQ390" s="68"/>
      <c r="AR390" s="67">
        <f t="shared" si="202"/>
        <v>90</v>
      </c>
      <c r="AS390" s="68" t="str">
        <f t="shared" si="203"/>
        <v>S</v>
      </c>
      <c r="AV390" s="49">
        <f t="shared" si="79"/>
        <v>0</v>
      </c>
      <c r="AW390" s="49">
        <f t="shared" si="44"/>
        <v>1</v>
      </c>
      <c r="AX390" s="49">
        <f t="shared" si="45"/>
        <v>0</v>
      </c>
      <c r="AY390" s="49">
        <f t="shared" si="46"/>
        <v>0</v>
      </c>
      <c r="AZ390" s="49">
        <f t="shared" si="47"/>
        <v>1</v>
      </c>
      <c r="BA390" s="49">
        <f t="shared" si="48"/>
        <v>0</v>
      </c>
      <c r="BB390" s="49">
        <f t="shared" si="49"/>
        <v>0</v>
      </c>
      <c r="BC390" s="49">
        <f t="shared" si="50"/>
        <v>0</v>
      </c>
      <c r="BD390" s="49">
        <f t="shared" si="51"/>
        <v>1</v>
      </c>
      <c r="BE390" s="49">
        <f t="shared" si="52"/>
        <v>0</v>
      </c>
      <c r="BF390" s="49">
        <f t="shared" si="53"/>
        <v>0</v>
      </c>
      <c r="BG390" s="49">
        <f t="shared" si="54"/>
        <v>0</v>
      </c>
      <c r="BH390" s="49">
        <f t="shared" si="55"/>
        <v>0</v>
      </c>
      <c r="BI390" s="49">
        <f t="shared" si="56"/>
        <v>1</v>
      </c>
      <c r="BJ390" s="49">
        <f t="shared" si="57"/>
        <v>0</v>
      </c>
      <c r="BK390" s="49">
        <f t="shared" si="58"/>
        <v>0</v>
      </c>
      <c r="BL390" s="49">
        <f t="shared" si="59"/>
        <v>1</v>
      </c>
      <c r="BM390" s="49">
        <f t="shared" si="60"/>
        <v>0</v>
      </c>
      <c r="BN390" s="49">
        <f t="shared" si="61"/>
        <v>0</v>
      </c>
      <c r="BO390" s="49">
        <f t="shared" si="62"/>
        <v>0</v>
      </c>
      <c r="BP390" s="49">
        <f t="shared" si="63"/>
        <v>0</v>
      </c>
      <c r="BQ390" s="49">
        <f t="shared" si="64"/>
        <v>1</v>
      </c>
      <c r="BR390" s="49">
        <f t="shared" si="65"/>
        <v>0</v>
      </c>
      <c r="BS390" s="49">
        <f t="shared" si="66"/>
        <v>0</v>
      </c>
      <c r="BT390" s="49">
        <f t="shared" si="67"/>
        <v>1</v>
      </c>
      <c r="BU390" s="49">
        <f t="shared" si="68"/>
        <v>0</v>
      </c>
      <c r="BV390" s="49">
        <f t="shared" si="69"/>
        <v>0</v>
      </c>
      <c r="BW390" s="49">
        <f t="shared" si="70"/>
        <v>0</v>
      </c>
      <c r="BX390" s="49">
        <f t="shared" si="71"/>
        <v>0</v>
      </c>
      <c r="BY390" s="49">
        <f t="shared" si="72"/>
        <v>1</v>
      </c>
      <c r="BZ390" s="49">
        <f t="shared" si="73"/>
        <v>0</v>
      </c>
      <c r="CA390" s="49">
        <f t="shared" si="74"/>
        <v>0</v>
      </c>
      <c r="CB390" s="49">
        <f t="shared" si="75"/>
        <v>1</v>
      </c>
      <c r="CC390" s="49">
        <f t="shared" si="76"/>
        <v>0</v>
      </c>
      <c r="CD390" s="49">
        <f t="shared" si="77"/>
        <v>0</v>
      </c>
      <c r="CE390" s="49">
        <f t="shared" si="78"/>
        <v>0</v>
      </c>
    </row>
    <row r="391" spans="1:83" ht="35.1" customHeight="1" x14ac:dyDescent="0.3">
      <c r="A391" s="123" t="str">
        <f t="shared" ref="A391:A454" si="240">MID(C391,3,1)&amp;"팀"</f>
        <v>4팀</v>
      </c>
      <c r="B391" s="69">
        <f t="shared" ref="B391:B454" si="241">ROW()-6</f>
        <v>385</v>
      </c>
      <c r="C391" s="120" t="str">
        <f>IF(VLOOKUP($B391,'1. 현장별 인원현황'!$C:$J,2,0)=0,"",VLOOKUP($B391,'1. 현장별 인원현황'!$C:$J,2,0))</f>
        <v xml:space="preserve"> [4.롯데CM] 롯데백화점 노원점 리뉴얼 공사</v>
      </c>
      <c r="D391" s="70" t="str">
        <f>IF(VLOOKUP($B391,'1. 현장별 인원현황'!$C:$J,3,0)=0,"",VLOOKUP($B391,'1. 현장별 인원현황'!$C:$J,3,0))</f>
        <v>김권일</v>
      </c>
      <c r="E391" s="74" t="str">
        <f ca="1">IF(VLOOKUP($B391,'1. 현장별 인원현황'!$C:$J,4,0)=0,"",VLOOKUP($B391,'1. 현장별 인원현황'!$C:$J,4,0))</f>
        <v>49세</v>
      </c>
      <c r="F391" s="70" t="str">
        <f>IF(VLOOKUP($B391,'1. 현장별 인원현황'!$C:$J,7,0)=0,"",VLOOKUP($B391,'1. 현장별 인원현황'!$C:$J,7,0))</f>
        <v>기능공</v>
      </c>
      <c r="G391" s="72" t="str">
        <f>IF(VLOOKUP($B391,'1. 현장별 인원현황'!$C:$J,8,0)=0,"",VLOOKUP($B391,'1. 현장별 인원현황'!$C:$J,8,0))</f>
        <v>전공</v>
      </c>
      <c r="H391" s="67"/>
      <c r="I391" s="73" t="s">
        <v>69</v>
      </c>
      <c r="J391" s="73"/>
      <c r="K391" s="68"/>
      <c r="L391" s="67"/>
      <c r="M391" s="73" t="s">
        <v>69</v>
      </c>
      <c r="N391" s="73"/>
      <c r="O391" s="68"/>
      <c r="P391" s="67"/>
      <c r="Q391" s="73" t="s">
        <v>69</v>
      </c>
      <c r="R391" s="73"/>
      <c r="S391" s="68"/>
      <c r="T391" s="67"/>
      <c r="U391" s="73" t="s">
        <v>69</v>
      </c>
      <c r="V391" s="73"/>
      <c r="W391" s="68"/>
      <c r="X391" s="67"/>
      <c r="Y391" s="73" t="s">
        <v>69</v>
      </c>
      <c r="Z391" s="73"/>
      <c r="AA391" s="68"/>
      <c r="AB391" s="67"/>
      <c r="AC391" s="73" t="s">
        <v>69</v>
      </c>
      <c r="AD391" s="73"/>
      <c r="AE391" s="68"/>
      <c r="AF391" s="67"/>
      <c r="AG391" s="73" t="s">
        <v>69</v>
      </c>
      <c r="AH391" s="73"/>
      <c r="AI391" s="68"/>
      <c r="AJ391" s="67"/>
      <c r="AK391" s="73" t="s">
        <v>69</v>
      </c>
      <c r="AL391" s="73"/>
      <c r="AM391" s="68"/>
      <c r="AN391" s="73" t="s">
        <v>69</v>
      </c>
      <c r="AO391" s="73"/>
      <c r="AP391" s="73"/>
      <c r="AQ391" s="68"/>
      <c r="AR391" s="67">
        <f t="shared" ref="AR391:AR454" si="242">SUMPRODUCT($H$5:$AQ$5,AV391:CE391)</f>
        <v>80</v>
      </c>
      <c r="AS391" s="68" t="str">
        <f t="shared" ref="AS391:AS454" si="243">IF(AR391&gt;85,"S",IF(AR391&gt;70,"A",IF(AR391&gt;50,"B",IF(AR391&gt;0,"C",""))))</f>
        <v>A</v>
      </c>
      <c r="AV391" s="49">
        <f t="shared" si="79"/>
        <v>0</v>
      </c>
      <c r="AW391" s="49">
        <f t="shared" si="44"/>
        <v>1</v>
      </c>
      <c r="AX391" s="49">
        <f t="shared" si="45"/>
        <v>0</v>
      </c>
      <c r="AY391" s="49">
        <f t="shared" si="46"/>
        <v>0</v>
      </c>
      <c r="AZ391" s="49">
        <f t="shared" si="47"/>
        <v>0</v>
      </c>
      <c r="BA391" s="49">
        <f t="shared" si="48"/>
        <v>1</v>
      </c>
      <c r="BB391" s="49">
        <f t="shared" si="49"/>
        <v>0</v>
      </c>
      <c r="BC391" s="49">
        <f t="shared" si="50"/>
        <v>0</v>
      </c>
      <c r="BD391" s="49">
        <f t="shared" si="51"/>
        <v>0</v>
      </c>
      <c r="BE391" s="49">
        <f t="shared" si="52"/>
        <v>1</v>
      </c>
      <c r="BF391" s="49">
        <f t="shared" si="53"/>
        <v>0</v>
      </c>
      <c r="BG391" s="49">
        <f t="shared" si="54"/>
        <v>0</v>
      </c>
      <c r="BH391" s="49">
        <f t="shared" si="55"/>
        <v>0</v>
      </c>
      <c r="BI391" s="49">
        <f t="shared" si="56"/>
        <v>1</v>
      </c>
      <c r="BJ391" s="49">
        <f t="shared" si="57"/>
        <v>0</v>
      </c>
      <c r="BK391" s="49">
        <f t="shared" si="58"/>
        <v>0</v>
      </c>
      <c r="BL391" s="49">
        <f t="shared" si="59"/>
        <v>0</v>
      </c>
      <c r="BM391" s="49">
        <f t="shared" si="60"/>
        <v>1</v>
      </c>
      <c r="BN391" s="49">
        <f t="shared" si="61"/>
        <v>0</v>
      </c>
      <c r="BO391" s="49">
        <f t="shared" si="62"/>
        <v>0</v>
      </c>
      <c r="BP391" s="49">
        <f t="shared" si="63"/>
        <v>0</v>
      </c>
      <c r="BQ391" s="49">
        <f t="shared" si="64"/>
        <v>1</v>
      </c>
      <c r="BR391" s="49">
        <f t="shared" si="65"/>
        <v>0</v>
      </c>
      <c r="BS391" s="49">
        <f t="shared" si="66"/>
        <v>0</v>
      </c>
      <c r="BT391" s="49">
        <f t="shared" si="67"/>
        <v>0</v>
      </c>
      <c r="BU391" s="49">
        <f t="shared" si="68"/>
        <v>1</v>
      </c>
      <c r="BV391" s="49">
        <f t="shared" si="69"/>
        <v>0</v>
      </c>
      <c r="BW391" s="49">
        <f t="shared" si="70"/>
        <v>0</v>
      </c>
      <c r="BX391" s="49">
        <f t="shared" si="71"/>
        <v>0</v>
      </c>
      <c r="BY391" s="49">
        <f t="shared" si="72"/>
        <v>1</v>
      </c>
      <c r="BZ391" s="49">
        <f t="shared" si="73"/>
        <v>0</v>
      </c>
      <c r="CA391" s="49">
        <f t="shared" si="74"/>
        <v>0</v>
      </c>
      <c r="CB391" s="49">
        <f t="shared" si="75"/>
        <v>1</v>
      </c>
      <c r="CC391" s="49">
        <f t="shared" si="76"/>
        <v>0</v>
      </c>
      <c r="CD391" s="49">
        <f t="shared" si="77"/>
        <v>0</v>
      </c>
      <c r="CE391" s="49">
        <f t="shared" si="78"/>
        <v>0</v>
      </c>
    </row>
    <row r="392" spans="1:83" ht="35.1" customHeight="1" x14ac:dyDescent="0.3">
      <c r="A392" s="123" t="str">
        <f t="shared" si="240"/>
        <v>4팀</v>
      </c>
      <c r="B392" s="69">
        <f t="shared" si="241"/>
        <v>386</v>
      </c>
      <c r="C392" s="120" t="str">
        <f>IF(VLOOKUP($B392,'1. 현장별 인원현황'!$C:$J,2,0)=0,"",VLOOKUP($B392,'1. 현장별 인원현황'!$C:$J,2,0))</f>
        <v xml:space="preserve"> [4.롯데CM] 롯데백화점 노원점 리뉴얼 공사</v>
      </c>
      <c r="D392" s="70" t="str">
        <f>IF(VLOOKUP($B392,'1. 현장별 인원현황'!$C:$J,3,0)=0,"",VLOOKUP($B392,'1. 현장별 인원현황'!$C:$J,3,0))</f>
        <v>김기용</v>
      </c>
      <c r="E392" s="74" t="str">
        <f ca="1">IF(VLOOKUP($B392,'1. 현장별 인원현황'!$C:$J,4,0)=0,"",VLOOKUP($B392,'1. 현장별 인원현황'!$C:$J,4,0))</f>
        <v>48세</v>
      </c>
      <c r="F392" s="70" t="str">
        <f>IF(VLOOKUP($B392,'1. 현장별 인원현황'!$C:$J,7,0)=0,"",VLOOKUP($B392,'1. 현장별 인원현황'!$C:$J,7,0))</f>
        <v>기능공</v>
      </c>
      <c r="G392" s="72" t="str">
        <f>IF(VLOOKUP($B392,'1. 현장별 인원현황'!$C:$J,8,0)=0,"",VLOOKUP($B392,'1. 현장별 인원현황'!$C:$J,8,0))</f>
        <v>전공</v>
      </c>
      <c r="H392" s="67" t="s">
        <v>69</v>
      </c>
      <c r="I392" s="73"/>
      <c r="J392" s="73"/>
      <c r="K392" s="68"/>
      <c r="L392" s="67" t="s">
        <v>69</v>
      </c>
      <c r="M392" s="73"/>
      <c r="N392" s="73"/>
      <c r="O392" s="68"/>
      <c r="P392" s="67" t="s">
        <v>69</v>
      </c>
      <c r="Q392" s="73"/>
      <c r="R392" s="73"/>
      <c r="S392" s="68"/>
      <c r="T392" s="67"/>
      <c r="U392" s="73" t="s">
        <v>69</v>
      </c>
      <c r="V392" s="73"/>
      <c r="W392" s="68"/>
      <c r="X392" s="67" t="s">
        <v>69</v>
      </c>
      <c r="Y392" s="73"/>
      <c r="Z392" s="73"/>
      <c r="AA392" s="68"/>
      <c r="AB392" s="67"/>
      <c r="AC392" s="73" t="s">
        <v>69</v>
      </c>
      <c r="AD392" s="73"/>
      <c r="AE392" s="68"/>
      <c r="AF392" s="67"/>
      <c r="AG392" s="73" t="s">
        <v>69</v>
      </c>
      <c r="AH392" s="73"/>
      <c r="AI392" s="68"/>
      <c r="AJ392" s="67" t="s">
        <v>69</v>
      </c>
      <c r="AK392" s="73"/>
      <c r="AL392" s="73"/>
      <c r="AM392" s="68"/>
      <c r="AN392" s="73" t="s">
        <v>69</v>
      </c>
      <c r="AO392" s="73"/>
      <c r="AP392" s="73"/>
      <c r="AQ392" s="68"/>
      <c r="AR392" s="67">
        <f t="shared" si="242"/>
        <v>94</v>
      </c>
      <c r="AS392" s="68" t="str">
        <f t="shared" si="243"/>
        <v>S</v>
      </c>
      <c r="AV392" s="49">
        <f t="shared" si="79"/>
        <v>1</v>
      </c>
      <c r="AW392" s="49">
        <f t="shared" si="44"/>
        <v>0</v>
      </c>
      <c r="AX392" s="49">
        <f t="shared" si="45"/>
        <v>0</v>
      </c>
      <c r="AY392" s="49">
        <f t="shared" si="46"/>
        <v>0</v>
      </c>
      <c r="AZ392" s="49">
        <f t="shared" si="47"/>
        <v>1</v>
      </c>
      <c r="BA392" s="49">
        <f t="shared" si="48"/>
        <v>0</v>
      </c>
      <c r="BB392" s="49">
        <f t="shared" si="49"/>
        <v>0</v>
      </c>
      <c r="BC392" s="49">
        <f t="shared" si="50"/>
        <v>0</v>
      </c>
      <c r="BD392" s="49">
        <f t="shared" si="51"/>
        <v>1</v>
      </c>
      <c r="BE392" s="49">
        <f t="shared" si="52"/>
        <v>0</v>
      </c>
      <c r="BF392" s="49">
        <f t="shared" si="53"/>
        <v>0</v>
      </c>
      <c r="BG392" s="49">
        <f t="shared" si="54"/>
        <v>0</v>
      </c>
      <c r="BH392" s="49">
        <f t="shared" si="55"/>
        <v>0</v>
      </c>
      <c r="BI392" s="49">
        <f t="shared" si="56"/>
        <v>1</v>
      </c>
      <c r="BJ392" s="49">
        <f t="shared" si="57"/>
        <v>0</v>
      </c>
      <c r="BK392" s="49">
        <f t="shared" si="58"/>
        <v>0</v>
      </c>
      <c r="BL392" s="49">
        <f t="shared" si="59"/>
        <v>1</v>
      </c>
      <c r="BM392" s="49">
        <f t="shared" si="60"/>
        <v>0</v>
      </c>
      <c r="BN392" s="49">
        <f t="shared" si="61"/>
        <v>0</v>
      </c>
      <c r="BO392" s="49">
        <f t="shared" si="62"/>
        <v>0</v>
      </c>
      <c r="BP392" s="49">
        <f t="shared" si="63"/>
        <v>0</v>
      </c>
      <c r="BQ392" s="49">
        <f t="shared" si="64"/>
        <v>1</v>
      </c>
      <c r="BR392" s="49">
        <f t="shared" si="65"/>
        <v>0</v>
      </c>
      <c r="BS392" s="49">
        <f t="shared" si="66"/>
        <v>0</v>
      </c>
      <c r="BT392" s="49">
        <f t="shared" si="67"/>
        <v>0</v>
      </c>
      <c r="BU392" s="49">
        <f t="shared" si="68"/>
        <v>1</v>
      </c>
      <c r="BV392" s="49">
        <f t="shared" si="69"/>
        <v>0</v>
      </c>
      <c r="BW392" s="49">
        <f t="shared" si="70"/>
        <v>0</v>
      </c>
      <c r="BX392" s="49">
        <f t="shared" si="71"/>
        <v>1</v>
      </c>
      <c r="BY392" s="49">
        <f t="shared" si="72"/>
        <v>0</v>
      </c>
      <c r="BZ392" s="49">
        <f t="shared" si="73"/>
        <v>0</v>
      </c>
      <c r="CA392" s="49">
        <f t="shared" si="74"/>
        <v>0</v>
      </c>
      <c r="CB392" s="49">
        <f t="shared" si="75"/>
        <v>1</v>
      </c>
      <c r="CC392" s="49">
        <f t="shared" si="76"/>
        <v>0</v>
      </c>
      <c r="CD392" s="49">
        <f t="shared" si="77"/>
        <v>0</v>
      </c>
      <c r="CE392" s="49">
        <f t="shared" si="78"/>
        <v>0</v>
      </c>
    </row>
    <row r="393" spans="1:83" ht="35.1" customHeight="1" x14ac:dyDescent="0.3">
      <c r="A393" s="123" t="str">
        <f t="shared" si="240"/>
        <v>4팀</v>
      </c>
      <c r="B393" s="69">
        <f t="shared" si="241"/>
        <v>387</v>
      </c>
      <c r="C393" s="120" t="str">
        <f>IF(VLOOKUP($B393,'1. 현장별 인원현황'!$C:$J,2,0)=0,"",VLOOKUP($B393,'1. 현장별 인원현황'!$C:$J,2,0))</f>
        <v xml:space="preserve"> [4.롯데CM] 롯데백화점 노원점 리뉴얼 공사</v>
      </c>
      <c r="D393" s="70" t="str">
        <f>IF(VLOOKUP($B393,'1. 현장별 인원현황'!$C:$J,3,0)=0,"",VLOOKUP($B393,'1. 현장별 인원현황'!$C:$J,3,0))</f>
        <v>김용복</v>
      </c>
      <c r="E393" s="74" t="str">
        <f ca="1">IF(VLOOKUP($B393,'1. 현장별 인원현황'!$C:$J,4,0)=0,"",VLOOKUP($B393,'1. 현장별 인원현황'!$C:$J,4,0))</f>
        <v>62세</v>
      </c>
      <c r="F393" s="70" t="str">
        <f>IF(VLOOKUP($B393,'1. 현장별 인원현황'!$C:$J,7,0)=0,"",VLOOKUP($B393,'1. 현장별 인원현황'!$C:$J,7,0))</f>
        <v>기능공</v>
      </c>
      <c r="G393" s="72" t="str">
        <f>IF(VLOOKUP($B393,'1. 현장별 인원현황'!$C:$J,8,0)=0,"",VLOOKUP($B393,'1. 현장별 인원현황'!$C:$J,8,0))</f>
        <v>전공</v>
      </c>
      <c r="H393" s="67"/>
      <c r="I393" s="73" t="s">
        <v>69</v>
      </c>
      <c r="J393" s="73"/>
      <c r="K393" s="68"/>
      <c r="L393" s="67"/>
      <c r="M393" s="73" t="s">
        <v>69</v>
      </c>
      <c r="N393" s="73"/>
      <c r="O393" s="68"/>
      <c r="P393" s="67"/>
      <c r="Q393" s="73" t="s">
        <v>69</v>
      </c>
      <c r="R393" s="73"/>
      <c r="S393" s="68"/>
      <c r="T393" s="67"/>
      <c r="U393" s="73" t="s">
        <v>69</v>
      </c>
      <c r="V393" s="73"/>
      <c r="W393" s="68"/>
      <c r="X393" s="67"/>
      <c r="Y393" s="73" t="s">
        <v>69</v>
      </c>
      <c r="Z393" s="73"/>
      <c r="AA393" s="68"/>
      <c r="AB393" s="67" t="s">
        <v>69</v>
      </c>
      <c r="AC393" s="73"/>
      <c r="AD393" s="73"/>
      <c r="AE393" s="68"/>
      <c r="AF393" s="67" t="s">
        <v>69</v>
      </c>
      <c r="AG393" s="73"/>
      <c r="AH393" s="73"/>
      <c r="AI393" s="68"/>
      <c r="AJ393" s="67" t="s">
        <v>69</v>
      </c>
      <c r="AK393" s="73"/>
      <c r="AL393" s="73"/>
      <c r="AM393" s="68"/>
      <c r="AN393" s="73" t="s">
        <v>69</v>
      </c>
      <c r="AO393" s="73"/>
      <c r="AP393" s="73"/>
      <c r="AQ393" s="68"/>
      <c r="AR393" s="67">
        <f t="shared" si="242"/>
        <v>87</v>
      </c>
      <c r="AS393" s="68" t="str">
        <f t="shared" si="243"/>
        <v>S</v>
      </c>
      <c r="AV393" s="49">
        <f t="shared" si="79"/>
        <v>0</v>
      </c>
      <c r="AW393" s="49">
        <f t="shared" si="44"/>
        <v>1</v>
      </c>
      <c r="AX393" s="49">
        <f t="shared" si="45"/>
        <v>0</v>
      </c>
      <c r="AY393" s="49">
        <f t="shared" si="46"/>
        <v>0</v>
      </c>
      <c r="AZ393" s="49">
        <f t="shared" si="47"/>
        <v>0</v>
      </c>
      <c r="BA393" s="49">
        <f t="shared" si="48"/>
        <v>1</v>
      </c>
      <c r="BB393" s="49">
        <f t="shared" si="49"/>
        <v>0</v>
      </c>
      <c r="BC393" s="49">
        <f t="shared" si="50"/>
        <v>0</v>
      </c>
      <c r="BD393" s="49">
        <f t="shared" si="51"/>
        <v>0</v>
      </c>
      <c r="BE393" s="49">
        <f t="shared" si="52"/>
        <v>1</v>
      </c>
      <c r="BF393" s="49">
        <f t="shared" si="53"/>
        <v>0</v>
      </c>
      <c r="BG393" s="49">
        <f t="shared" si="54"/>
        <v>0</v>
      </c>
      <c r="BH393" s="49">
        <f t="shared" si="55"/>
        <v>0</v>
      </c>
      <c r="BI393" s="49">
        <f t="shared" si="56"/>
        <v>1</v>
      </c>
      <c r="BJ393" s="49">
        <f t="shared" si="57"/>
        <v>0</v>
      </c>
      <c r="BK393" s="49">
        <f t="shared" si="58"/>
        <v>0</v>
      </c>
      <c r="BL393" s="49">
        <f t="shared" si="59"/>
        <v>0</v>
      </c>
      <c r="BM393" s="49">
        <f t="shared" si="60"/>
        <v>1</v>
      </c>
      <c r="BN393" s="49">
        <f t="shared" si="61"/>
        <v>0</v>
      </c>
      <c r="BO393" s="49">
        <f t="shared" si="62"/>
        <v>0</v>
      </c>
      <c r="BP393" s="49">
        <f t="shared" si="63"/>
        <v>1</v>
      </c>
      <c r="BQ393" s="49">
        <f t="shared" si="64"/>
        <v>0</v>
      </c>
      <c r="BR393" s="49">
        <f t="shared" si="65"/>
        <v>0</v>
      </c>
      <c r="BS393" s="49">
        <f t="shared" si="66"/>
        <v>0</v>
      </c>
      <c r="BT393" s="49">
        <f t="shared" si="67"/>
        <v>1</v>
      </c>
      <c r="BU393" s="49">
        <f t="shared" si="68"/>
        <v>0</v>
      </c>
      <c r="BV393" s="49">
        <f t="shared" si="69"/>
        <v>0</v>
      </c>
      <c r="BW393" s="49">
        <f t="shared" si="70"/>
        <v>0</v>
      </c>
      <c r="BX393" s="49">
        <f t="shared" si="71"/>
        <v>1</v>
      </c>
      <c r="BY393" s="49">
        <f t="shared" si="72"/>
        <v>0</v>
      </c>
      <c r="BZ393" s="49">
        <f t="shared" si="73"/>
        <v>0</v>
      </c>
      <c r="CA393" s="49">
        <f t="shared" si="74"/>
        <v>0</v>
      </c>
      <c r="CB393" s="49">
        <f t="shared" si="75"/>
        <v>1</v>
      </c>
      <c r="CC393" s="49">
        <f t="shared" si="76"/>
        <v>0</v>
      </c>
      <c r="CD393" s="49">
        <f t="shared" si="77"/>
        <v>0</v>
      </c>
      <c r="CE393" s="49">
        <f t="shared" si="78"/>
        <v>0</v>
      </c>
    </row>
    <row r="394" spans="1:83" ht="35.1" customHeight="1" x14ac:dyDescent="0.3">
      <c r="A394" s="123" t="str">
        <f t="shared" si="240"/>
        <v>4팀</v>
      </c>
      <c r="B394" s="69">
        <f t="shared" si="241"/>
        <v>388</v>
      </c>
      <c r="C394" s="120" t="str">
        <f>IF(VLOOKUP($B394,'1. 현장별 인원현황'!$C:$J,2,0)=0,"",VLOOKUP($B394,'1. 현장별 인원현황'!$C:$J,2,0))</f>
        <v xml:space="preserve"> [4.롯데CM] 롯데백화점 노원점 리뉴얼 공사</v>
      </c>
      <c r="D394" s="70" t="str">
        <f>IF(VLOOKUP($B394,'1. 현장별 인원현황'!$C:$J,3,0)=0,"",VLOOKUP($B394,'1. 현장별 인원현황'!$C:$J,3,0))</f>
        <v>김재효</v>
      </c>
      <c r="E394" s="74" t="str">
        <f ca="1">IF(VLOOKUP($B394,'1. 현장별 인원현황'!$C:$J,4,0)=0,"",VLOOKUP($B394,'1. 현장별 인원현황'!$C:$J,4,0))</f>
        <v>41세</v>
      </c>
      <c r="F394" s="70" t="str">
        <f>IF(VLOOKUP($B394,'1. 현장별 인원현황'!$C:$J,7,0)=0,"",VLOOKUP($B394,'1. 현장별 인원현황'!$C:$J,7,0))</f>
        <v>기능공</v>
      </c>
      <c r="G394" s="72" t="str">
        <f>IF(VLOOKUP($B394,'1. 현장별 인원현황'!$C:$J,8,0)=0,"",VLOOKUP($B394,'1. 현장별 인원현황'!$C:$J,8,0))</f>
        <v>전공</v>
      </c>
      <c r="H394" s="67"/>
      <c r="I394" s="73" t="s">
        <v>69</v>
      </c>
      <c r="J394" s="73"/>
      <c r="K394" s="68"/>
      <c r="L394" s="67" t="s">
        <v>69</v>
      </c>
      <c r="M394" s="73"/>
      <c r="N394" s="73"/>
      <c r="O394" s="68"/>
      <c r="P394" s="67" t="s">
        <v>69</v>
      </c>
      <c r="Q394" s="73"/>
      <c r="R394" s="73"/>
      <c r="S394" s="68"/>
      <c r="T394" s="67" t="s">
        <v>69</v>
      </c>
      <c r="U394" s="73"/>
      <c r="V394" s="73"/>
      <c r="W394" s="68"/>
      <c r="X394" s="67" t="s">
        <v>69</v>
      </c>
      <c r="Y394" s="73"/>
      <c r="Z394" s="73"/>
      <c r="AA394" s="68"/>
      <c r="AB394" s="67" t="s">
        <v>69</v>
      </c>
      <c r="AC394" s="73"/>
      <c r="AD394" s="73"/>
      <c r="AE394" s="68"/>
      <c r="AF394" s="67"/>
      <c r="AG394" s="73" t="s">
        <v>69</v>
      </c>
      <c r="AH394" s="73"/>
      <c r="AI394" s="68"/>
      <c r="AJ394" s="67"/>
      <c r="AK394" s="73" t="s">
        <v>69</v>
      </c>
      <c r="AL394" s="73"/>
      <c r="AM394" s="68"/>
      <c r="AN394" s="73" t="s">
        <v>69</v>
      </c>
      <c r="AO394" s="73"/>
      <c r="AP394" s="73"/>
      <c r="AQ394" s="68"/>
      <c r="AR394" s="67">
        <f t="shared" si="242"/>
        <v>92</v>
      </c>
      <c r="AS394" s="68" t="str">
        <f t="shared" si="243"/>
        <v>S</v>
      </c>
      <c r="AV394" s="49">
        <f t="shared" si="79"/>
        <v>0</v>
      </c>
      <c r="AW394" s="49">
        <f t="shared" si="44"/>
        <v>1</v>
      </c>
      <c r="AX394" s="49">
        <f t="shared" si="45"/>
        <v>0</v>
      </c>
      <c r="AY394" s="49">
        <f t="shared" si="46"/>
        <v>0</v>
      </c>
      <c r="AZ394" s="49">
        <f t="shared" si="47"/>
        <v>1</v>
      </c>
      <c r="BA394" s="49">
        <f t="shared" si="48"/>
        <v>0</v>
      </c>
      <c r="BB394" s="49">
        <f t="shared" si="49"/>
        <v>0</v>
      </c>
      <c r="BC394" s="49">
        <f t="shared" si="50"/>
        <v>0</v>
      </c>
      <c r="BD394" s="49">
        <f t="shared" si="51"/>
        <v>1</v>
      </c>
      <c r="BE394" s="49">
        <f t="shared" si="52"/>
        <v>0</v>
      </c>
      <c r="BF394" s="49">
        <f t="shared" si="53"/>
        <v>0</v>
      </c>
      <c r="BG394" s="49">
        <f t="shared" si="54"/>
        <v>0</v>
      </c>
      <c r="BH394" s="49">
        <f t="shared" si="55"/>
        <v>1</v>
      </c>
      <c r="BI394" s="49">
        <f t="shared" si="56"/>
        <v>0</v>
      </c>
      <c r="BJ394" s="49">
        <f t="shared" si="57"/>
        <v>0</v>
      </c>
      <c r="BK394" s="49">
        <f t="shared" si="58"/>
        <v>0</v>
      </c>
      <c r="BL394" s="49">
        <f t="shared" si="59"/>
        <v>1</v>
      </c>
      <c r="BM394" s="49">
        <f t="shared" si="60"/>
        <v>0</v>
      </c>
      <c r="BN394" s="49">
        <f t="shared" si="61"/>
        <v>0</v>
      </c>
      <c r="BO394" s="49">
        <f t="shared" si="62"/>
        <v>0</v>
      </c>
      <c r="BP394" s="49">
        <f t="shared" si="63"/>
        <v>1</v>
      </c>
      <c r="BQ394" s="49">
        <f t="shared" si="64"/>
        <v>0</v>
      </c>
      <c r="BR394" s="49">
        <f t="shared" si="65"/>
        <v>0</v>
      </c>
      <c r="BS394" s="49">
        <f t="shared" si="66"/>
        <v>0</v>
      </c>
      <c r="BT394" s="49">
        <f t="shared" si="67"/>
        <v>0</v>
      </c>
      <c r="BU394" s="49">
        <f t="shared" si="68"/>
        <v>1</v>
      </c>
      <c r="BV394" s="49">
        <f t="shared" si="69"/>
        <v>0</v>
      </c>
      <c r="BW394" s="49">
        <f t="shared" si="70"/>
        <v>0</v>
      </c>
      <c r="BX394" s="49">
        <f t="shared" si="71"/>
        <v>0</v>
      </c>
      <c r="BY394" s="49">
        <f t="shared" si="72"/>
        <v>1</v>
      </c>
      <c r="BZ394" s="49">
        <f t="shared" si="73"/>
        <v>0</v>
      </c>
      <c r="CA394" s="49">
        <f t="shared" si="74"/>
        <v>0</v>
      </c>
      <c r="CB394" s="49">
        <f t="shared" si="75"/>
        <v>1</v>
      </c>
      <c r="CC394" s="49">
        <f t="shared" si="76"/>
        <v>0</v>
      </c>
      <c r="CD394" s="49">
        <f t="shared" si="77"/>
        <v>0</v>
      </c>
      <c r="CE394" s="49">
        <f t="shared" si="78"/>
        <v>0</v>
      </c>
    </row>
    <row r="395" spans="1:83" ht="35.1" customHeight="1" x14ac:dyDescent="0.3">
      <c r="A395" s="123" t="str">
        <f t="shared" si="240"/>
        <v>4팀</v>
      </c>
      <c r="B395" s="69">
        <f t="shared" si="241"/>
        <v>389</v>
      </c>
      <c r="C395" s="120" t="str">
        <f>IF(VLOOKUP($B395,'1. 현장별 인원현황'!$C:$J,2,0)=0,"",VLOOKUP($B395,'1. 현장별 인원현황'!$C:$J,2,0))</f>
        <v xml:space="preserve"> [4.롯데CM] 롯데백화점 노원점 리뉴얼 공사</v>
      </c>
      <c r="D395" s="70" t="str">
        <f>IF(VLOOKUP($B395,'1. 현장별 인원현황'!$C:$J,3,0)=0,"",VLOOKUP($B395,'1. 현장별 인원현황'!$C:$J,3,0))</f>
        <v>나광현</v>
      </c>
      <c r="E395" s="74" t="str">
        <f ca="1">IF(VLOOKUP($B395,'1. 현장별 인원현황'!$C:$J,4,0)=0,"",VLOOKUP($B395,'1. 현장별 인원현황'!$C:$J,4,0))</f>
        <v>52세</v>
      </c>
      <c r="F395" s="70" t="str">
        <f>IF(VLOOKUP($B395,'1. 현장별 인원현황'!$C:$J,7,0)=0,"",VLOOKUP($B395,'1. 현장별 인원현황'!$C:$J,7,0))</f>
        <v>기능공</v>
      </c>
      <c r="G395" s="72" t="str">
        <f>IF(VLOOKUP($B395,'1. 현장별 인원현황'!$C:$J,8,0)=0,"",VLOOKUP($B395,'1. 현장별 인원현황'!$C:$J,8,0))</f>
        <v>전공</v>
      </c>
      <c r="H395" s="67"/>
      <c r="I395" s="73" t="s">
        <v>69</v>
      </c>
      <c r="J395" s="73"/>
      <c r="K395" s="68"/>
      <c r="L395" s="67"/>
      <c r="M395" s="73" t="s">
        <v>69</v>
      </c>
      <c r="N395" s="73"/>
      <c r="O395" s="68"/>
      <c r="P395" s="67" t="s">
        <v>69</v>
      </c>
      <c r="Q395" s="73"/>
      <c r="R395" s="73"/>
      <c r="S395" s="68"/>
      <c r="T395" s="67"/>
      <c r="U395" s="73" t="s">
        <v>69</v>
      </c>
      <c r="V395" s="73"/>
      <c r="W395" s="68"/>
      <c r="X395" s="67"/>
      <c r="Y395" s="73" t="s">
        <v>69</v>
      </c>
      <c r="Z395" s="73"/>
      <c r="AA395" s="68"/>
      <c r="AB395" s="67" t="s">
        <v>69</v>
      </c>
      <c r="AC395" s="73"/>
      <c r="AD395" s="73"/>
      <c r="AE395" s="68"/>
      <c r="AF395" s="67"/>
      <c r="AG395" s="73" t="s">
        <v>69</v>
      </c>
      <c r="AH395" s="73"/>
      <c r="AI395" s="68"/>
      <c r="AJ395" s="67"/>
      <c r="AK395" s="73" t="s">
        <v>69</v>
      </c>
      <c r="AL395" s="73"/>
      <c r="AM395" s="68"/>
      <c r="AN395" s="73" t="s">
        <v>69</v>
      </c>
      <c r="AO395" s="73"/>
      <c r="AP395" s="73"/>
      <c r="AQ395" s="68"/>
      <c r="AR395" s="67">
        <f t="shared" si="242"/>
        <v>85</v>
      </c>
      <c r="AS395" s="68" t="str">
        <f t="shared" si="243"/>
        <v>A</v>
      </c>
      <c r="AV395" s="49">
        <f t="shared" si="79"/>
        <v>0</v>
      </c>
      <c r="AW395" s="49">
        <f t="shared" si="44"/>
        <v>1</v>
      </c>
      <c r="AX395" s="49">
        <f t="shared" si="45"/>
        <v>0</v>
      </c>
      <c r="AY395" s="49">
        <f t="shared" si="46"/>
        <v>0</v>
      </c>
      <c r="AZ395" s="49">
        <f t="shared" si="47"/>
        <v>0</v>
      </c>
      <c r="BA395" s="49">
        <f t="shared" si="48"/>
        <v>1</v>
      </c>
      <c r="BB395" s="49">
        <f t="shared" si="49"/>
        <v>0</v>
      </c>
      <c r="BC395" s="49">
        <f t="shared" si="50"/>
        <v>0</v>
      </c>
      <c r="BD395" s="49">
        <f t="shared" si="51"/>
        <v>1</v>
      </c>
      <c r="BE395" s="49">
        <f t="shared" si="52"/>
        <v>0</v>
      </c>
      <c r="BF395" s="49">
        <f t="shared" si="53"/>
        <v>0</v>
      </c>
      <c r="BG395" s="49">
        <f t="shared" si="54"/>
        <v>0</v>
      </c>
      <c r="BH395" s="49">
        <f t="shared" si="55"/>
        <v>0</v>
      </c>
      <c r="BI395" s="49">
        <f t="shared" si="56"/>
        <v>1</v>
      </c>
      <c r="BJ395" s="49">
        <f t="shared" si="57"/>
        <v>0</v>
      </c>
      <c r="BK395" s="49">
        <f t="shared" si="58"/>
        <v>0</v>
      </c>
      <c r="BL395" s="49">
        <f t="shared" si="59"/>
        <v>0</v>
      </c>
      <c r="BM395" s="49">
        <f t="shared" si="60"/>
        <v>1</v>
      </c>
      <c r="BN395" s="49">
        <f t="shared" si="61"/>
        <v>0</v>
      </c>
      <c r="BO395" s="49">
        <f t="shared" si="62"/>
        <v>0</v>
      </c>
      <c r="BP395" s="49">
        <f t="shared" si="63"/>
        <v>1</v>
      </c>
      <c r="BQ395" s="49">
        <f t="shared" si="64"/>
        <v>0</v>
      </c>
      <c r="BR395" s="49">
        <f t="shared" si="65"/>
        <v>0</v>
      </c>
      <c r="BS395" s="49">
        <f t="shared" si="66"/>
        <v>0</v>
      </c>
      <c r="BT395" s="49">
        <f t="shared" si="67"/>
        <v>0</v>
      </c>
      <c r="BU395" s="49">
        <f t="shared" si="68"/>
        <v>1</v>
      </c>
      <c r="BV395" s="49">
        <f t="shared" si="69"/>
        <v>0</v>
      </c>
      <c r="BW395" s="49">
        <f t="shared" si="70"/>
        <v>0</v>
      </c>
      <c r="BX395" s="49">
        <f t="shared" si="71"/>
        <v>0</v>
      </c>
      <c r="BY395" s="49">
        <f t="shared" si="72"/>
        <v>1</v>
      </c>
      <c r="BZ395" s="49">
        <f t="shared" si="73"/>
        <v>0</v>
      </c>
      <c r="CA395" s="49">
        <f t="shared" si="74"/>
        <v>0</v>
      </c>
      <c r="CB395" s="49">
        <f t="shared" si="75"/>
        <v>1</v>
      </c>
      <c r="CC395" s="49">
        <f t="shared" si="76"/>
        <v>0</v>
      </c>
      <c r="CD395" s="49">
        <f t="shared" si="77"/>
        <v>0</v>
      </c>
      <c r="CE395" s="49">
        <f t="shared" si="78"/>
        <v>0</v>
      </c>
    </row>
    <row r="396" spans="1:83" ht="35.1" customHeight="1" x14ac:dyDescent="0.3">
      <c r="A396" s="123" t="str">
        <f t="shared" si="240"/>
        <v>4팀</v>
      </c>
      <c r="B396" s="69">
        <f t="shared" si="241"/>
        <v>390</v>
      </c>
      <c r="C396" s="120" t="str">
        <f>IF(VLOOKUP($B396,'1. 현장별 인원현황'!$C:$J,2,0)=0,"",VLOOKUP($B396,'1. 현장별 인원현황'!$C:$J,2,0))</f>
        <v xml:space="preserve"> [4.롯데CM] 롯데백화점 노원점 리뉴얼 공사</v>
      </c>
      <c r="D396" s="70" t="str">
        <f>IF(VLOOKUP($B396,'1. 현장별 인원현황'!$C:$J,3,0)=0,"",VLOOKUP($B396,'1. 현장별 인원현황'!$C:$J,3,0))</f>
        <v>류대우</v>
      </c>
      <c r="E396" s="74" t="str">
        <f ca="1">IF(VLOOKUP($B396,'1. 현장별 인원현황'!$C:$J,4,0)=0,"",VLOOKUP($B396,'1. 현장별 인원현황'!$C:$J,4,0))</f>
        <v>56세</v>
      </c>
      <c r="F396" s="70" t="str">
        <f>IF(VLOOKUP($B396,'1. 현장별 인원현황'!$C:$J,7,0)=0,"",VLOOKUP($B396,'1. 현장별 인원현황'!$C:$J,7,0))</f>
        <v>기능공</v>
      </c>
      <c r="G396" s="72" t="str">
        <f>IF(VLOOKUP($B396,'1. 현장별 인원현황'!$C:$J,8,0)=0,"",VLOOKUP($B396,'1. 현장별 인원현황'!$C:$J,8,0))</f>
        <v>전공</v>
      </c>
      <c r="H396" s="67" t="s">
        <v>69</v>
      </c>
      <c r="I396" s="73"/>
      <c r="J396" s="73"/>
      <c r="K396" s="68"/>
      <c r="L396" s="67" t="s">
        <v>69</v>
      </c>
      <c r="M396" s="73"/>
      <c r="N396" s="73"/>
      <c r="O396" s="68"/>
      <c r="P396" s="67" t="s">
        <v>69</v>
      </c>
      <c r="Q396" s="73"/>
      <c r="R396" s="73"/>
      <c r="S396" s="68"/>
      <c r="T396" s="67"/>
      <c r="U396" s="73" t="s">
        <v>69</v>
      </c>
      <c r="V396" s="73"/>
      <c r="W396" s="68"/>
      <c r="X396" s="67" t="s">
        <v>69</v>
      </c>
      <c r="Y396" s="73"/>
      <c r="Z396" s="73"/>
      <c r="AA396" s="68"/>
      <c r="AB396" s="67" t="s">
        <v>69</v>
      </c>
      <c r="AC396" s="73"/>
      <c r="AD396" s="73"/>
      <c r="AE396" s="68"/>
      <c r="AF396" s="67" t="s">
        <v>69</v>
      </c>
      <c r="AG396" s="73"/>
      <c r="AH396" s="73"/>
      <c r="AI396" s="68"/>
      <c r="AJ396" s="67" t="s">
        <v>69</v>
      </c>
      <c r="AK396" s="73"/>
      <c r="AL396" s="73"/>
      <c r="AM396" s="68"/>
      <c r="AN396" s="73" t="s">
        <v>69</v>
      </c>
      <c r="AO396" s="73"/>
      <c r="AP396" s="73"/>
      <c r="AQ396" s="68"/>
      <c r="AR396" s="67">
        <f t="shared" si="242"/>
        <v>98</v>
      </c>
      <c r="AS396" s="68" t="str">
        <f t="shared" si="243"/>
        <v>S</v>
      </c>
      <c r="AV396" s="49">
        <f t="shared" si="79"/>
        <v>1</v>
      </c>
      <c r="AW396" s="49">
        <f t="shared" si="44"/>
        <v>0</v>
      </c>
      <c r="AX396" s="49">
        <f t="shared" si="45"/>
        <v>0</v>
      </c>
      <c r="AY396" s="49">
        <f t="shared" si="46"/>
        <v>0</v>
      </c>
      <c r="AZ396" s="49">
        <f t="shared" si="47"/>
        <v>1</v>
      </c>
      <c r="BA396" s="49">
        <f t="shared" si="48"/>
        <v>0</v>
      </c>
      <c r="BB396" s="49">
        <f t="shared" si="49"/>
        <v>0</v>
      </c>
      <c r="BC396" s="49">
        <f t="shared" si="50"/>
        <v>0</v>
      </c>
      <c r="BD396" s="49">
        <f t="shared" si="51"/>
        <v>1</v>
      </c>
      <c r="BE396" s="49">
        <f t="shared" si="52"/>
        <v>0</v>
      </c>
      <c r="BF396" s="49">
        <f t="shared" si="53"/>
        <v>0</v>
      </c>
      <c r="BG396" s="49">
        <f t="shared" si="54"/>
        <v>0</v>
      </c>
      <c r="BH396" s="49">
        <f t="shared" si="55"/>
        <v>0</v>
      </c>
      <c r="BI396" s="49">
        <f t="shared" si="56"/>
        <v>1</v>
      </c>
      <c r="BJ396" s="49">
        <f t="shared" si="57"/>
        <v>0</v>
      </c>
      <c r="BK396" s="49">
        <f t="shared" si="58"/>
        <v>0</v>
      </c>
      <c r="BL396" s="49">
        <f t="shared" si="59"/>
        <v>1</v>
      </c>
      <c r="BM396" s="49">
        <f t="shared" si="60"/>
        <v>0</v>
      </c>
      <c r="BN396" s="49">
        <f t="shared" si="61"/>
        <v>0</v>
      </c>
      <c r="BO396" s="49">
        <f t="shared" si="62"/>
        <v>0</v>
      </c>
      <c r="BP396" s="49">
        <f t="shared" si="63"/>
        <v>1</v>
      </c>
      <c r="BQ396" s="49">
        <f t="shared" si="64"/>
        <v>0</v>
      </c>
      <c r="BR396" s="49">
        <f t="shared" si="65"/>
        <v>0</v>
      </c>
      <c r="BS396" s="49">
        <f t="shared" si="66"/>
        <v>0</v>
      </c>
      <c r="BT396" s="49">
        <f t="shared" si="67"/>
        <v>1</v>
      </c>
      <c r="BU396" s="49">
        <f t="shared" si="68"/>
        <v>0</v>
      </c>
      <c r="BV396" s="49">
        <f t="shared" si="69"/>
        <v>0</v>
      </c>
      <c r="BW396" s="49">
        <f t="shared" si="70"/>
        <v>0</v>
      </c>
      <c r="BX396" s="49">
        <f t="shared" si="71"/>
        <v>1</v>
      </c>
      <c r="BY396" s="49">
        <f t="shared" si="72"/>
        <v>0</v>
      </c>
      <c r="BZ396" s="49">
        <f t="shared" si="73"/>
        <v>0</v>
      </c>
      <c r="CA396" s="49">
        <f t="shared" si="74"/>
        <v>0</v>
      </c>
      <c r="CB396" s="49">
        <f t="shared" si="75"/>
        <v>1</v>
      </c>
      <c r="CC396" s="49">
        <f t="shared" si="76"/>
        <v>0</v>
      </c>
      <c r="CD396" s="49">
        <f t="shared" si="77"/>
        <v>0</v>
      </c>
      <c r="CE396" s="49">
        <f t="shared" si="78"/>
        <v>0</v>
      </c>
    </row>
    <row r="397" spans="1:83" ht="35.1" customHeight="1" x14ac:dyDescent="0.3">
      <c r="A397" s="123" t="str">
        <f t="shared" si="240"/>
        <v>4팀</v>
      </c>
      <c r="B397" s="69">
        <f t="shared" si="241"/>
        <v>391</v>
      </c>
      <c r="C397" s="120" t="str">
        <f>IF(VLOOKUP($B397,'1. 현장별 인원현황'!$C:$J,2,0)=0,"",VLOOKUP($B397,'1. 현장별 인원현황'!$C:$J,2,0))</f>
        <v xml:space="preserve"> [4.롯데CM] 롯데백화점 노원점 리뉴얼 공사</v>
      </c>
      <c r="D397" s="70" t="str">
        <f>IF(VLOOKUP($B397,'1. 현장별 인원현황'!$C:$J,3,0)=0,"",VLOOKUP($B397,'1. 현장별 인원현황'!$C:$J,3,0))</f>
        <v>민경후</v>
      </c>
      <c r="E397" s="74" t="str">
        <f ca="1">IF(VLOOKUP($B397,'1. 현장별 인원현황'!$C:$J,4,0)=0,"",VLOOKUP($B397,'1. 현장별 인원현황'!$C:$J,4,0))</f>
        <v>52세</v>
      </c>
      <c r="F397" s="70" t="str">
        <f>IF(VLOOKUP($B397,'1. 현장별 인원현황'!$C:$J,7,0)=0,"",VLOOKUP($B397,'1. 현장별 인원현황'!$C:$J,7,0))</f>
        <v>기능공</v>
      </c>
      <c r="G397" s="72" t="str">
        <f>IF(VLOOKUP($B397,'1. 현장별 인원현황'!$C:$J,8,0)=0,"",VLOOKUP($B397,'1. 현장별 인원현황'!$C:$J,8,0))</f>
        <v>전공</v>
      </c>
      <c r="H397" s="67"/>
      <c r="I397" s="73" t="s">
        <v>69</v>
      </c>
      <c r="J397" s="73"/>
      <c r="K397" s="68"/>
      <c r="L397" s="67"/>
      <c r="M397" s="73" t="s">
        <v>69</v>
      </c>
      <c r="N397" s="73"/>
      <c r="O397" s="68"/>
      <c r="P397" s="67"/>
      <c r="Q397" s="73" t="s">
        <v>69</v>
      </c>
      <c r="R397" s="73"/>
      <c r="S397" s="68"/>
      <c r="T397" s="67" t="s">
        <v>69</v>
      </c>
      <c r="U397" s="73"/>
      <c r="V397" s="73"/>
      <c r="W397" s="68"/>
      <c r="X397" s="67" t="s">
        <v>69</v>
      </c>
      <c r="Y397" s="73"/>
      <c r="Z397" s="73"/>
      <c r="AA397" s="68"/>
      <c r="AB397" s="67"/>
      <c r="AC397" s="73" t="s">
        <v>69</v>
      </c>
      <c r="AD397" s="73"/>
      <c r="AE397" s="68"/>
      <c r="AF397" s="67"/>
      <c r="AG397" s="73" t="s">
        <v>69</v>
      </c>
      <c r="AH397" s="73"/>
      <c r="AI397" s="68"/>
      <c r="AJ397" s="67"/>
      <c r="AK397" s="73" t="s">
        <v>69</v>
      </c>
      <c r="AL397" s="73"/>
      <c r="AM397" s="68"/>
      <c r="AN397" s="73" t="s">
        <v>69</v>
      </c>
      <c r="AO397" s="73"/>
      <c r="AP397" s="73"/>
      <c r="AQ397" s="68"/>
      <c r="AR397" s="67">
        <f t="shared" si="242"/>
        <v>84</v>
      </c>
      <c r="AS397" s="68" t="str">
        <f t="shared" si="243"/>
        <v>A</v>
      </c>
      <c r="AV397" s="49">
        <f t="shared" si="79"/>
        <v>0</v>
      </c>
      <c r="AW397" s="49">
        <f t="shared" si="44"/>
        <v>1</v>
      </c>
      <c r="AX397" s="49">
        <f t="shared" si="45"/>
        <v>0</v>
      </c>
      <c r="AY397" s="49">
        <f t="shared" si="46"/>
        <v>0</v>
      </c>
      <c r="AZ397" s="49">
        <f t="shared" si="47"/>
        <v>0</v>
      </c>
      <c r="BA397" s="49">
        <f t="shared" si="48"/>
        <v>1</v>
      </c>
      <c r="BB397" s="49">
        <f t="shared" si="49"/>
        <v>0</v>
      </c>
      <c r="BC397" s="49">
        <f t="shared" si="50"/>
        <v>0</v>
      </c>
      <c r="BD397" s="49">
        <f t="shared" si="51"/>
        <v>0</v>
      </c>
      <c r="BE397" s="49">
        <f t="shared" si="52"/>
        <v>1</v>
      </c>
      <c r="BF397" s="49">
        <f t="shared" si="53"/>
        <v>0</v>
      </c>
      <c r="BG397" s="49">
        <f t="shared" si="54"/>
        <v>0</v>
      </c>
      <c r="BH397" s="49">
        <f t="shared" si="55"/>
        <v>1</v>
      </c>
      <c r="BI397" s="49">
        <f t="shared" si="56"/>
        <v>0</v>
      </c>
      <c r="BJ397" s="49">
        <f t="shared" si="57"/>
        <v>0</v>
      </c>
      <c r="BK397" s="49">
        <f t="shared" si="58"/>
        <v>0</v>
      </c>
      <c r="BL397" s="49">
        <f t="shared" si="59"/>
        <v>1</v>
      </c>
      <c r="BM397" s="49">
        <f t="shared" si="60"/>
        <v>0</v>
      </c>
      <c r="BN397" s="49">
        <f t="shared" si="61"/>
        <v>0</v>
      </c>
      <c r="BO397" s="49">
        <f t="shared" si="62"/>
        <v>0</v>
      </c>
      <c r="BP397" s="49">
        <f t="shared" si="63"/>
        <v>0</v>
      </c>
      <c r="BQ397" s="49">
        <f t="shared" si="64"/>
        <v>1</v>
      </c>
      <c r="BR397" s="49">
        <f t="shared" si="65"/>
        <v>0</v>
      </c>
      <c r="BS397" s="49">
        <f t="shared" si="66"/>
        <v>0</v>
      </c>
      <c r="BT397" s="49">
        <f t="shared" si="67"/>
        <v>0</v>
      </c>
      <c r="BU397" s="49">
        <f t="shared" si="68"/>
        <v>1</v>
      </c>
      <c r="BV397" s="49">
        <f t="shared" si="69"/>
        <v>0</v>
      </c>
      <c r="BW397" s="49">
        <f t="shared" si="70"/>
        <v>0</v>
      </c>
      <c r="BX397" s="49">
        <f t="shared" si="71"/>
        <v>0</v>
      </c>
      <c r="BY397" s="49">
        <f t="shared" si="72"/>
        <v>1</v>
      </c>
      <c r="BZ397" s="49">
        <f t="shared" si="73"/>
        <v>0</v>
      </c>
      <c r="CA397" s="49">
        <f t="shared" si="74"/>
        <v>0</v>
      </c>
      <c r="CB397" s="49">
        <f t="shared" si="75"/>
        <v>1</v>
      </c>
      <c r="CC397" s="49">
        <f t="shared" si="76"/>
        <v>0</v>
      </c>
      <c r="CD397" s="49">
        <f t="shared" si="77"/>
        <v>0</v>
      </c>
      <c r="CE397" s="49">
        <f t="shared" si="78"/>
        <v>0</v>
      </c>
    </row>
    <row r="398" spans="1:83" ht="35.1" customHeight="1" x14ac:dyDescent="0.3">
      <c r="A398" s="123" t="str">
        <f t="shared" si="240"/>
        <v>4팀</v>
      </c>
      <c r="B398" s="69">
        <f t="shared" si="241"/>
        <v>392</v>
      </c>
      <c r="C398" s="120" t="str">
        <f>IF(VLOOKUP($B398,'1. 현장별 인원현황'!$C:$J,2,0)=0,"",VLOOKUP($B398,'1. 현장별 인원현황'!$C:$J,2,0))</f>
        <v xml:space="preserve"> [4.롯데CM] 롯데백화점 노원점 리뉴얼 공사</v>
      </c>
      <c r="D398" s="70" t="str">
        <f>IF(VLOOKUP($B398,'1. 현장별 인원현황'!$C:$J,3,0)=0,"",VLOOKUP($B398,'1. 현장별 인원현황'!$C:$J,3,0))</f>
        <v>박용건</v>
      </c>
      <c r="E398" s="74" t="str">
        <f ca="1">IF(VLOOKUP($B398,'1. 현장별 인원현황'!$C:$J,4,0)=0,"",VLOOKUP($B398,'1. 현장별 인원현황'!$C:$J,4,0))</f>
        <v>49세</v>
      </c>
      <c r="F398" s="70" t="str">
        <f>IF(VLOOKUP($B398,'1. 현장별 인원현황'!$C:$J,7,0)=0,"",VLOOKUP($B398,'1. 현장별 인원현황'!$C:$J,7,0))</f>
        <v>기능공</v>
      </c>
      <c r="G398" s="72" t="str">
        <f>IF(VLOOKUP($B398,'1. 현장별 인원현황'!$C:$J,8,0)=0,"",VLOOKUP($B398,'1. 현장별 인원현황'!$C:$J,8,0))</f>
        <v>전공</v>
      </c>
      <c r="H398" s="67"/>
      <c r="I398" s="73" t="s">
        <v>69</v>
      </c>
      <c r="J398" s="73"/>
      <c r="K398" s="68"/>
      <c r="L398" s="67" t="s">
        <v>69</v>
      </c>
      <c r="M398" s="73"/>
      <c r="N398" s="73"/>
      <c r="O398" s="68"/>
      <c r="P398" s="67"/>
      <c r="Q398" s="73" t="s">
        <v>69</v>
      </c>
      <c r="R398" s="73"/>
      <c r="S398" s="68"/>
      <c r="T398" s="67" t="s">
        <v>69</v>
      </c>
      <c r="U398" s="73"/>
      <c r="V398" s="73"/>
      <c r="W398" s="68"/>
      <c r="X398" s="67" t="s">
        <v>69</v>
      </c>
      <c r="Y398" s="73"/>
      <c r="Z398" s="73"/>
      <c r="AA398" s="68"/>
      <c r="AB398" s="67"/>
      <c r="AC398" s="73" t="s">
        <v>69</v>
      </c>
      <c r="AD398" s="73"/>
      <c r="AE398" s="68"/>
      <c r="AF398" s="67"/>
      <c r="AG398" s="73" t="s">
        <v>69</v>
      </c>
      <c r="AH398" s="73"/>
      <c r="AI398" s="68"/>
      <c r="AJ398" s="67"/>
      <c r="AK398" s="73" t="s">
        <v>69</v>
      </c>
      <c r="AL398" s="73"/>
      <c r="AM398" s="68"/>
      <c r="AN398" s="73" t="s">
        <v>69</v>
      </c>
      <c r="AO398" s="73"/>
      <c r="AP398" s="73"/>
      <c r="AQ398" s="68"/>
      <c r="AR398" s="67">
        <f t="shared" si="242"/>
        <v>87</v>
      </c>
      <c r="AS398" s="68" t="str">
        <f t="shared" si="243"/>
        <v>S</v>
      </c>
      <c r="AV398" s="49">
        <f t="shared" si="79"/>
        <v>0</v>
      </c>
      <c r="AW398" s="49">
        <f t="shared" si="44"/>
        <v>1</v>
      </c>
      <c r="AX398" s="49">
        <f t="shared" si="45"/>
        <v>0</v>
      </c>
      <c r="AY398" s="49">
        <f t="shared" si="46"/>
        <v>0</v>
      </c>
      <c r="AZ398" s="49">
        <f t="shared" si="47"/>
        <v>1</v>
      </c>
      <c r="BA398" s="49">
        <f t="shared" si="48"/>
        <v>0</v>
      </c>
      <c r="BB398" s="49">
        <f t="shared" si="49"/>
        <v>0</v>
      </c>
      <c r="BC398" s="49">
        <f t="shared" si="50"/>
        <v>0</v>
      </c>
      <c r="BD398" s="49">
        <f t="shared" si="51"/>
        <v>0</v>
      </c>
      <c r="BE398" s="49">
        <f t="shared" si="52"/>
        <v>1</v>
      </c>
      <c r="BF398" s="49">
        <f t="shared" si="53"/>
        <v>0</v>
      </c>
      <c r="BG398" s="49">
        <f t="shared" si="54"/>
        <v>0</v>
      </c>
      <c r="BH398" s="49">
        <f t="shared" si="55"/>
        <v>1</v>
      </c>
      <c r="BI398" s="49">
        <f t="shared" si="56"/>
        <v>0</v>
      </c>
      <c r="BJ398" s="49">
        <f t="shared" si="57"/>
        <v>0</v>
      </c>
      <c r="BK398" s="49">
        <f t="shared" si="58"/>
        <v>0</v>
      </c>
      <c r="BL398" s="49">
        <f t="shared" si="59"/>
        <v>1</v>
      </c>
      <c r="BM398" s="49">
        <f t="shared" si="60"/>
        <v>0</v>
      </c>
      <c r="BN398" s="49">
        <f t="shared" si="61"/>
        <v>0</v>
      </c>
      <c r="BO398" s="49">
        <f t="shared" si="62"/>
        <v>0</v>
      </c>
      <c r="BP398" s="49">
        <f t="shared" si="63"/>
        <v>0</v>
      </c>
      <c r="BQ398" s="49">
        <f t="shared" si="64"/>
        <v>1</v>
      </c>
      <c r="BR398" s="49">
        <f t="shared" si="65"/>
        <v>0</v>
      </c>
      <c r="BS398" s="49">
        <f t="shared" si="66"/>
        <v>0</v>
      </c>
      <c r="BT398" s="49">
        <f t="shared" si="67"/>
        <v>0</v>
      </c>
      <c r="BU398" s="49">
        <f t="shared" si="68"/>
        <v>1</v>
      </c>
      <c r="BV398" s="49">
        <f t="shared" si="69"/>
        <v>0</v>
      </c>
      <c r="BW398" s="49">
        <f t="shared" si="70"/>
        <v>0</v>
      </c>
      <c r="BX398" s="49">
        <f t="shared" si="71"/>
        <v>0</v>
      </c>
      <c r="BY398" s="49">
        <f t="shared" si="72"/>
        <v>1</v>
      </c>
      <c r="BZ398" s="49">
        <f t="shared" si="73"/>
        <v>0</v>
      </c>
      <c r="CA398" s="49">
        <f t="shared" si="74"/>
        <v>0</v>
      </c>
      <c r="CB398" s="49">
        <f t="shared" si="75"/>
        <v>1</v>
      </c>
      <c r="CC398" s="49">
        <f t="shared" si="76"/>
        <v>0</v>
      </c>
      <c r="CD398" s="49">
        <f t="shared" si="77"/>
        <v>0</v>
      </c>
      <c r="CE398" s="49">
        <f t="shared" si="78"/>
        <v>0</v>
      </c>
    </row>
    <row r="399" spans="1:83" ht="35.1" customHeight="1" x14ac:dyDescent="0.3">
      <c r="A399" s="123" t="str">
        <f t="shared" si="240"/>
        <v>4팀</v>
      </c>
      <c r="B399" s="69">
        <f t="shared" si="241"/>
        <v>393</v>
      </c>
      <c r="C399" s="120" t="str">
        <f>IF(VLOOKUP($B399,'1. 현장별 인원현황'!$C:$J,2,0)=0,"",VLOOKUP($B399,'1. 현장별 인원현황'!$C:$J,2,0))</f>
        <v xml:space="preserve"> [4.롯데CM] 롯데백화점 노원점 리뉴얼 공사</v>
      </c>
      <c r="D399" s="70" t="str">
        <f>IF(VLOOKUP($B399,'1. 현장별 인원현황'!$C:$J,3,0)=0,"",VLOOKUP($B399,'1. 현장별 인원현황'!$C:$J,3,0))</f>
        <v>배규남</v>
      </c>
      <c r="E399" s="74" t="str">
        <f ca="1">IF(VLOOKUP($B399,'1. 현장별 인원현황'!$C:$J,4,0)=0,"",VLOOKUP($B399,'1. 현장별 인원현황'!$C:$J,4,0))</f>
        <v>62세</v>
      </c>
      <c r="F399" s="70" t="str">
        <f>IF(VLOOKUP($B399,'1. 현장별 인원현황'!$C:$J,7,0)=0,"",VLOOKUP($B399,'1. 현장별 인원현황'!$C:$J,7,0))</f>
        <v>기능공</v>
      </c>
      <c r="G399" s="72" t="str">
        <f>IF(VLOOKUP($B399,'1. 현장별 인원현황'!$C:$J,8,0)=0,"",VLOOKUP($B399,'1. 현장별 인원현황'!$C:$J,8,0))</f>
        <v>전공</v>
      </c>
      <c r="H399" s="67" t="s">
        <v>69</v>
      </c>
      <c r="I399" s="73"/>
      <c r="J399" s="73"/>
      <c r="K399" s="68"/>
      <c r="L399" s="67"/>
      <c r="M399" s="73" t="s">
        <v>69</v>
      </c>
      <c r="N399" s="73"/>
      <c r="O399" s="68"/>
      <c r="P399" s="67" t="s">
        <v>69</v>
      </c>
      <c r="Q399" s="73"/>
      <c r="R399" s="73"/>
      <c r="S399" s="68"/>
      <c r="T399" s="67"/>
      <c r="U399" s="73" t="s">
        <v>69</v>
      </c>
      <c r="V399" s="73"/>
      <c r="W399" s="68"/>
      <c r="X399" s="67"/>
      <c r="Y399" s="73" t="s">
        <v>69</v>
      </c>
      <c r="Z399" s="73"/>
      <c r="AA399" s="68"/>
      <c r="AB399" s="67" t="s">
        <v>69</v>
      </c>
      <c r="AC399" s="73"/>
      <c r="AD399" s="73"/>
      <c r="AE399" s="68"/>
      <c r="AF399" s="67"/>
      <c r="AG399" s="73" t="s">
        <v>69</v>
      </c>
      <c r="AH399" s="73"/>
      <c r="AI399" s="68"/>
      <c r="AJ399" s="67"/>
      <c r="AK399" s="73" t="s">
        <v>69</v>
      </c>
      <c r="AL399" s="73"/>
      <c r="AM399" s="68"/>
      <c r="AN399" s="73" t="s">
        <v>69</v>
      </c>
      <c r="AO399" s="73"/>
      <c r="AP399" s="73"/>
      <c r="AQ399" s="68"/>
      <c r="AR399" s="67">
        <f t="shared" si="242"/>
        <v>88</v>
      </c>
      <c r="AS399" s="68" t="str">
        <f t="shared" si="243"/>
        <v>S</v>
      </c>
      <c r="AV399" s="49">
        <f t="shared" si="79"/>
        <v>1</v>
      </c>
      <c r="AW399" s="49">
        <f t="shared" si="44"/>
        <v>0</v>
      </c>
      <c r="AX399" s="49">
        <f t="shared" si="45"/>
        <v>0</v>
      </c>
      <c r="AY399" s="49">
        <f t="shared" si="46"/>
        <v>0</v>
      </c>
      <c r="AZ399" s="49">
        <f t="shared" si="47"/>
        <v>0</v>
      </c>
      <c r="BA399" s="49">
        <f t="shared" si="48"/>
        <v>1</v>
      </c>
      <c r="BB399" s="49">
        <f t="shared" si="49"/>
        <v>0</v>
      </c>
      <c r="BC399" s="49">
        <f t="shared" si="50"/>
        <v>0</v>
      </c>
      <c r="BD399" s="49">
        <f t="shared" si="51"/>
        <v>1</v>
      </c>
      <c r="BE399" s="49">
        <f t="shared" si="52"/>
        <v>0</v>
      </c>
      <c r="BF399" s="49">
        <f t="shared" si="53"/>
        <v>0</v>
      </c>
      <c r="BG399" s="49">
        <f t="shared" si="54"/>
        <v>0</v>
      </c>
      <c r="BH399" s="49">
        <f t="shared" si="55"/>
        <v>0</v>
      </c>
      <c r="BI399" s="49">
        <f t="shared" si="56"/>
        <v>1</v>
      </c>
      <c r="BJ399" s="49">
        <f t="shared" si="57"/>
        <v>0</v>
      </c>
      <c r="BK399" s="49">
        <f t="shared" si="58"/>
        <v>0</v>
      </c>
      <c r="BL399" s="49">
        <f t="shared" si="59"/>
        <v>0</v>
      </c>
      <c r="BM399" s="49">
        <f t="shared" si="60"/>
        <v>1</v>
      </c>
      <c r="BN399" s="49">
        <f t="shared" si="61"/>
        <v>0</v>
      </c>
      <c r="BO399" s="49">
        <f t="shared" si="62"/>
        <v>0</v>
      </c>
      <c r="BP399" s="49">
        <f t="shared" si="63"/>
        <v>1</v>
      </c>
      <c r="BQ399" s="49">
        <f t="shared" si="64"/>
        <v>0</v>
      </c>
      <c r="BR399" s="49">
        <f t="shared" si="65"/>
        <v>0</v>
      </c>
      <c r="BS399" s="49">
        <f t="shared" si="66"/>
        <v>0</v>
      </c>
      <c r="BT399" s="49">
        <f t="shared" si="67"/>
        <v>0</v>
      </c>
      <c r="BU399" s="49">
        <f t="shared" si="68"/>
        <v>1</v>
      </c>
      <c r="BV399" s="49">
        <f t="shared" si="69"/>
        <v>0</v>
      </c>
      <c r="BW399" s="49">
        <f t="shared" si="70"/>
        <v>0</v>
      </c>
      <c r="BX399" s="49">
        <f t="shared" si="71"/>
        <v>0</v>
      </c>
      <c r="BY399" s="49">
        <f t="shared" si="72"/>
        <v>1</v>
      </c>
      <c r="BZ399" s="49">
        <f t="shared" si="73"/>
        <v>0</v>
      </c>
      <c r="CA399" s="49">
        <f t="shared" si="74"/>
        <v>0</v>
      </c>
      <c r="CB399" s="49">
        <f t="shared" si="75"/>
        <v>1</v>
      </c>
      <c r="CC399" s="49">
        <f t="shared" si="76"/>
        <v>0</v>
      </c>
      <c r="CD399" s="49">
        <f t="shared" si="77"/>
        <v>0</v>
      </c>
      <c r="CE399" s="49">
        <f t="shared" si="78"/>
        <v>0</v>
      </c>
    </row>
    <row r="400" spans="1:83" ht="35.1" customHeight="1" x14ac:dyDescent="0.3">
      <c r="A400" s="123" t="str">
        <f t="shared" si="240"/>
        <v>4팀</v>
      </c>
      <c r="B400" s="69">
        <f t="shared" si="241"/>
        <v>394</v>
      </c>
      <c r="C400" s="120" t="str">
        <f>IF(VLOOKUP($B400,'1. 현장별 인원현황'!$C:$J,2,0)=0,"",VLOOKUP($B400,'1. 현장별 인원현황'!$C:$J,2,0))</f>
        <v xml:space="preserve"> [4.롯데CM] 롯데백화점 노원점 리뉴얼 공사</v>
      </c>
      <c r="D400" s="70" t="str">
        <f>IF(VLOOKUP($B400,'1. 현장별 인원현황'!$C:$J,3,0)=0,"",VLOOKUP($B400,'1. 현장별 인원현황'!$C:$J,3,0))</f>
        <v>백순찬</v>
      </c>
      <c r="E400" s="74" t="str">
        <f ca="1">IF(VLOOKUP($B400,'1. 현장별 인원현황'!$C:$J,4,0)=0,"",VLOOKUP($B400,'1. 현장별 인원현황'!$C:$J,4,0))</f>
        <v>46세</v>
      </c>
      <c r="F400" s="70" t="str">
        <f>IF(VLOOKUP($B400,'1. 현장별 인원현황'!$C:$J,7,0)=0,"",VLOOKUP($B400,'1. 현장별 인원현황'!$C:$J,7,0))</f>
        <v>기능공</v>
      </c>
      <c r="G400" s="72" t="str">
        <f>IF(VLOOKUP($B400,'1. 현장별 인원현황'!$C:$J,8,0)=0,"",VLOOKUP($B400,'1. 현장별 인원현황'!$C:$J,8,0))</f>
        <v>전공</v>
      </c>
      <c r="H400" s="67" t="s">
        <v>69</v>
      </c>
      <c r="I400" s="73"/>
      <c r="J400" s="73"/>
      <c r="K400" s="68"/>
      <c r="L400" s="67"/>
      <c r="M400" s="73" t="s">
        <v>69</v>
      </c>
      <c r="N400" s="73"/>
      <c r="O400" s="68"/>
      <c r="P400" s="67" t="s">
        <v>69</v>
      </c>
      <c r="Q400" s="73"/>
      <c r="R400" s="73"/>
      <c r="S400" s="68"/>
      <c r="T400" s="67"/>
      <c r="U400" s="73" t="s">
        <v>69</v>
      </c>
      <c r="V400" s="73"/>
      <c r="W400" s="68"/>
      <c r="X400" s="67" t="s">
        <v>69</v>
      </c>
      <c r="Y400" s="73"/>
      <c r="Z400" s="73"/>
      <c r="AA400" s="68"/>
      <c r="AB400" s="67" t="s">
        <v>69</v>
      </c>
      <c r="AC400" s="73"/>
      <c r="AD400" s="73"/>
      <c r="AE400" s="68"/>
      <c r="AF400" s="67" t="s">
        <v>69</v>
      </c>
      <c r="AG400" s="73"/>
      <c r="AH400" s="73"/>
      <c r="AI400" s="68"/>
      <c r="AJ400" s="67" t="s">
        <v>69</v>
      </c>
      <c r="AK400" s="73"/>
      <c r="AL400" s="73"/>
      <c r="AM400" s="68"/>
      <c r="AN400" s="73" t="s">
        <v>69</v>
      </c>
      <c r="AO400" s="73"/>
      <c r="AP400" s="73"/>
      <c r="AQ400" s="68"/>
      <c r="AR400" s="67">
        <f t="shared" si="242"/>
        <v>95</v>
      </c>
      <c r="AS400" s="68" t="str">
        <f t="shared" si="243"/>
        <v>S</v>
      </c>
      <c r="AV400" s="49">
        <f t="shared" si="79"/>
        <v>1</v>
      </c>
      <c r="AW400" s="49">
        <f t="shared" si="44"/>
        <v>0</v>
      </c>
      <c r="AX400" s="49">
        <f t="shared" si="45"/>
        <v>0</v>
      </c>
      <c r="AY400" s="49">
        <f t="shared" si="46"/>
        <v>0</v>
      </c>
      <c r="AZ400" s="49">
        <f t="shared" si="47"/>
        <v>0</v>
      </c>
      <c r="BA400" s="49">
        <f t="shared" si="48"/>
        <v>1</v>
      </c>
      <c r="BB400" s="49">
        <f t="shared" si="49"/>
        <v>0</v>
      </c>
      <c r="BC400" s="49">
        <f t="shared" si="50"/>
        <v>0</v>
      </c>
      <c r="BD400" s="49">
        <f t="shared" si="51"/>
        <v>1</v>
      </c>
      <c r="BE400" s="49">
        <f t="shared" si="52"/>
        <v>0</v>
      </c>
      <c r="BF400" s="49">
        <f t="shared" si="53"/>
        <v>0</v>
      </c>
      <c r="BG400" s="49">
        <f t="shared" si="54"/>
        <v>0</v>
      </c>
      <c r="BH400" s="49">
        <f t="shared" si="55"/>
        <v>0</v>
      </c>
      <c r="BI400" s="49">
        <f t="shared" si="56"/>
        <v>1</v>
      </c>
      <c r="BJ400" s="49">
        <f t="shared" si="57"/>
        <v>0</v>
      </c>
      <c r="BK400" s="49">
        <f t="shared" si="58"/>
        <v>0</v>
      </c>
      <c r="BL400" s="49">
        <f t="shared" si="59"/>
        <v>1</v>
      </c>
      <c r="BM400" s="49">
        <f t="shared" si="60"/>
        <v>0</v>
      </c>
      <c r="BN400" s="49">
        <f t="shared" si="61"/>
        <v>0</v>
      </c>
      <c r="BO400" s="49">
        <f t="shared" si="62"/>
        <v>0</v>
      </c>
      <c r="BP400" s="49">
        <f t="shared" si="63"/>
        <v>1</v>
      </c>
      <c r="BQ400" s="49">
        <f t="shared" si="64"/>
        <v>0</v>
      </c>
      <c r="BR400" s="49">
        <f t="shared" si="65"/>
        <v>0</v>
      </c>
      <c r="BS400" s="49">
        <f t="shared" si="66"/>
        <v>0</v>
      </c>
      <c r="BT400" s="49">
        <f t="shared" si="67"/>
        <v>1</v>
      </c>
      <c r="BU400" s="49">
        <f t="shared" si="68"/>
        <v>0</v>
      </c>
      <c r="BV400" s="49">
        <f t="shared" si="69"/>
        <v>0</v>
      </c>
      <c r="BW400" s="49">
        <f t="shared" si="70"/>
        <v>0</v>
      </c>
      <c r="BX400" s="49">
        <f t="shared" si="71"/>
        <v>1</v>
      </c>
      <c r="BY400" s="49">
        <f t="shared" si="72"/>
        <v>0</v>
      </c>
      <c r="BZ400" s="49">
        <f t="shared" si="73"/>
        <v>0</v>
      </c>
      <c r="CA400" s="49">
        <f t="shared" si="74"/>
        <v>0</v>
      </c>
      <c r="CB400" s="49">
        <f t="shared" si="75"/>
        <v>1</v>
      </c>
      <c r="CC400" s="49">
        <f t="shared" si="76"/>
        <v>0</v>
      </c>
      <c r="CD400" s="49">
        <f t="shared" si="77"/>
        <v>0</v>
      </c>
      <c r="CE400" s="49">
        <f t="shared" si="78"/>
        <v>0</v>
      </c>
    </row>
    <row r="401" spans="1:83" ht="35.1" customHeight="1" x14ac:dyDescent="0.3">
      <c r="A401" s="123" t="str">
        <f t="shared" si="240"/>
        <v>4팀</v>
      </c>
      <c r="B401" s="69">
        <f t="shared" si="241"/>
        <v>395</v>
      </c>
      <c r="C401" s="120" t="str">
        <f>IF(VLOOKUP($B401,'1. 현장별 인원현황'!$C:$J,2,0)=0,"",VLOOKUP($B401,'1. 현장별 인원현황'!$C:$J,2,0))</f>
        <v xml:space="preserve"> [4.롯데CM] 롯데백화점 노원점 리뉴얼 공사</v>
      </c>
      <c r="D401" s="70" t="str">
        <f>IF(VLOOKUP($B401,'1. 현장별 인원현황'!$C:$J,3,0)=0,"",VLOOKUP($B401,'1. 현장별 인원현황'!$C:$J,3,0))</f>
        <v>연명흠</v>
      </c>
      <c r="E401" s="74" t="str">
        <f ca="1">IF(VLOOKUP($B401,'1. 현장별 인원현황'!$C:$J,4,0)=0,"",VLOOKUP($B401,'1. 현장별 인원현황'!$C:$J,4,0))</f>
        <v>60세</v>
      </c>
      <c r="F401" s="70" t="str">
        <f>IF(VLOOKUP($B401,'1. 현장별 인원현황'!$C:$J,7,0)=0,"",VLOOKUP($B401,'1. 현장별 인원현황'!$C:$J,7,0))</f>
        <v>기능공</v>
      </c>
      <c r="G401" s="72" t="str">
        <f>IF(VLOOKUP($B401,'1. 현장별 인원현황'!$C:$J,8,0)=0,"",VLOOKUP($B401,'1. 현장별 인원현황'!$C:$J,8,0))</f>
        <v>전공</v>
      </c>
      <c r="H401" s="67" t="s">
        <v>69</v>
      </c>
      <c r="I401" s="73"/>
      <c r="J401" s="73"/>
      <c r="K401" s="68"/>
      <c r="L401" s="67" t="s">
        <v>69</v>
      </c>
      <c r="M401" s="73"/>
      <c r="N401" s="73"/>
      <c r="O401" s="68"/>
      <c r="P401" s="67" t="s">
        <v>69</v>
      </c>
      <c r="Q401" s="73"/>
      <c r="R401" s="73"/>
      <c r="S401" s="68"/>
      <c r="T401" s="67" t="s">
        <v>69</v>
      </c>
      <c r="U401" s="73"/>
      <c r="V401" s="73"/>
      <c r="W401" s="68"/>
      <c r="X401" s="67" t="s">
        <v>69</v>
      </c>
      <c r="Y401" s="73"/>
      <c r="Z401" s="73"/>
      <c r="AA401" s="68"/>
      <c r="AB401" s="67" t="s">
        <v>69</v>
      </c>
      <c r="AC401" s="73"/>
      <c r="AD401" s="73"/>
      <c r="AE401" s="68"/>
      <c r="AF401" s="67" t="s">
        <v>69</v>
      </c>
      <c r="AG401" s="73"/>
      <c r="AH401" s="73"/>
      <c r="AI401" s="68"/>
      <c r="AJ401" s="67" t="s">
        <v>69</v>
      </c>
      <c r="AK401" s="73"/>
      <c r="AL401" s="73"/>
      <c r="AM401" s="68"/>
      <c r="AN401" s="73" t="s">
        <v>69</v>
      </c>
      <c r="AO401" s="73"/>
      <c r="AP401" s="73"/>
      <c r="AQ401" s="68"/>
      <c r="AR401" s="67">
        <f t="shared" si="242"/>
        <v>100</v>
      </c>
      <c r="AS401" s="68" t="str">
        <f t="shared" si="243"/>
        <v>S</v>
      </c>
      <c r="AV401" s="49">
        <f t="shared" si="79"/>
        <v>1</v>
      </c>
      <c r="AW401" s="49">
        <f t="shared" si="44"/>
        <v>0</v>
      </c>
      <c r="AX401" s="49">
        <f t="shared" si="45"/>
        <v>0</v>
      </c>
      <c r="AY401" s="49">
        <f t="shared" si="46"/>
        <v>0</v>
      </c>
      <c r="AZ401" s="49">
        <f t="shared" si="47"/>
        <v>1</v>
      </c>
      <c r="BA401" s="49">
        <f t="shared" si="48"/>
        <v>0</v>
      </c>
      <c r="BB401" s="49">
        <f t="shared" si="49"/>
        <v>0</v>
      </c>
      <c r="BC401" s="49">
        <f t="shared" si="50"/>
        <v>0</v>
      </c>
      <c r="BD401" s="49">
        <f t="shared" si="51"/>
        <v>1</v>
      </c>
      <c r="BE401" s="49">
        <f t="shared" si="52"/>
        <v>0</v>
      </c>
      <c r="BF401" s="49">
        <f t="shared" si="53"/>
        <v>0</v>
      </c>
      <c r="BG401" s="49">
        <f t="shared" si="54"/>
        <v>0</v>
      </c>
      <c r="BH401" s="49">
        <f t="shared" si="55"/>
        <v>1</v>
      </c>
      <c r="BI401" s="49">
        <f t="shared" si="56"/>
        <v>0</v>
      </c>
      <c r="BJ401" s="49">
        <f t="shared" si="57"/>
        <v>0</v>
      </c>
      <c r="BK401" s="49">
        <f t="shared" si="58"/>
        <v>0</v>
      </c>
      <c r="BL401" s="49">
        <f t="shared" si="59"/>
        <v>1</v>
      </c>
      <c r="BM401" s="49">
        <f t="shared" si="60"/>
        <v>0</v>
      </c>
      <c r="BN401" s="49">
        <f t="shared" si="61"/>
        <v>0</v>
      </c>
      <c r="BO401" s="49">
        <f t="shared" si="62"/>
        <v>0</v>
      </c>
      <c r="BP401" s="49">
        <f t="shared" si="63"/>
        <v>1</v>
      </c>
      <c r="BQ401" s="49">
        <f t="shared" si="64"/>
        <v>0</v>
      </c>
      <c r="BR401" s="49">
        <f t="shared" si="65"/>
        <v>0</v>
      </c>
      <c r="BS401" s="49">
        <f t="shared" si="66"/>
        <v>0</v>
      </c>
      <c r="BT401" s="49">
        <f t="shared" si="67"/>
        <v>1</v>
      </c>
      <c r="BU401" s="49">
        <f t="shared" si="68"/>
        <v>0</v>
      </c>
      <c r="BV401" s="49">
        <f t="shared" si="69"/>
        <v>0</v>
      </c>
      <c r="BW401" s="49">
        <f t="shared" si="70"/>
        <v>0</v>
      </c>
      <c r="BX401" s="49">
        <f t="shared" si="71"/>
        <v>1</v>
      </c>
      <c r="BY401" s="49">
        <f t="shared" si="72"/>
        <v>0</v>
      </c>
      <c r="BZ401" s="49">
        <f t="shared" si="73"/>
        <v>0</v>
      </c>
      <c r="CA401" s="49">
        <f t="shared" si="74"/>
        <v>0</v>
      </c>
      <c r="CB401" s="49">
        <f t="shared" si="75"/>
        <v>1</v>
      </c>
      <c r="CC401" s="49">
        <f t="shared" si="76"/>
        <v>0</v>
      </c>
      <c r="CD401" s="49">
        <f t="shared" si="77"/>
        <v>0</v>
      </c>
      <c r="CE401" s="49">
        <f t="shared" si="78"/>
        <v>0</v>
      </c>
    </row>
    <row r="402" spans="1:83" ht="35.1" customHeight="1" x14ac:dyDescent="0.3">
      <c r="A402" s="123" t="str">
        <f t="shared" si="240"/>
        <v>4팀</v>
      </c>
      <c r="B402" s="69">
        <f t="shared" si="241"/>
        <v>396</v>
      </c>
      <c r="C402" s="120" t="str">
        <f>IF(VLOOKUP($B402,'1. 현장별 인원현황'!$C:$J,2,0)=0,"",VLOOKUP($B402,'1. 현장별 인원현황'!$C:$J,2,0))</f>
        <v xml:space="preserve"> [4.롯데CM] 롯데백화점 노원점 리뉴얼 공사</v>
      </c>
      <c r="D402" s="70" t="str">
        <f>IF(VLOOKUP($B402,'1. 현장별 인원현황'!$C:$J,3,0)=0,"",VLOOKUP($B402,'1. 현장별 인원현황'!$C:$J,3,0))</f>
        <v>우상근</v>
      </c>
      <c r="E402" s="74" t="str">
        <f ca="1">IF(VLOOKUP($B402,'1. 현장별 인원현황'!$C:$J,4,0)=0,"",VLOOKUP($B402,'1. 현장별 인원현황'!$C:$J,4,0))</f>
        <v>56세</v>
      </c>
      <c r="F402" s="70" t="str">
        <f>IF(VLOOKUP($B402,'1. 현장별 인원현황'!$C:$J,7,0)=0,"",VLOOKUP($B402,'1. 현장별 인원현황'!$C:$J,7,0))</f>
        <v>기능공</v>
      </c>
      <c r="G402" s="72" t="str">
        <f>IF(VLOOKUP($B402,'1. 현장별 인원현황'!$C:$J,8,0)=0,"",VLOOKUP($B402,'1. 현장별 인원현황'!$C:$J,8,0))</f>
        <v>전공</v>
      </c>
      <c r="H402" s="67"/>
      <c r="I402" s="73" t="s">
        <v>69</v>
      </c>
      <c r="J402" s="73"/>
      <c r="K402" s="68"/>
      <c r="L402" s="67"/>
      <c r="M402" s="73" t="s">
        <v>69</v>
      </c>
      <c r="N402" s="73"/>
      <c r="O402" s="68"/>
      <c r="P402" s="67"/>
      <c r="Q402" s="73" t="s">
        <v>69</v>
      </c>
      <c r="R402" s="73"/>
      <c r="S402" s="68"/>
      <c r="T402" s="67"/>
      <c r="U402" s="73" t="s">
        <v>69</v>
      </c>
      <c r="V402" s="73"/>
      <c r="W402" s="68"/>
      <c r="X402" s="67" t="s">
        <v>69</v>
      </c>
      <c r="Y402" s="73"/>
      <c r="Z402" s="73"/>
      <c r="AA402" s="68"/>
      <c r="AB402" s="67" t="s">
        <v>69</v>
      </c>
      <c r="AC402" s="73"/>
      <c r="AD402" s="73"/>
      <c r="AE402" s="68"/>
      <c r="AF402" s="67"/>
      <c r="AG402" s="73" t="s">
        <v>69</v>
      </c>
      <c r="AH402" s="73"/>
      <c r="AI402" s="68"/>
      <c r="AJ402" s="67" t="s">
        <v>69</v>
      </c>
      <c r="AK402" s="73"/>
      <c r="AL402" s="73"/>
      <c r="AM402" s="68"/>
      <c r="AN402" s="73" t="s">
        <v>69</v>
      </c>
      <c r="AO402" s="73"/>
      <c r="AP402" s="73"/>
      <c r="AQ402" s="68"/>
      <c r="AR402" s="67">
        <f t="shared" si="242"/>
        <v>87</v>
      </c>
      <c r="AS402" s="68" t="str">
        <f t="shared" si="243"/>
        <v>S</v>
      </c>
      <c r="AV402" s="49">
        <f t="shared" si="79"/>
        <v>0</v>
      </c>
      <c r="AW402" s="49">
        <f t="shared" si="44"/>
        <v>1</v>
      </c>
      <c r="AX402" s="49">
        <f t="shared" si="45"/>
        <v>0</v>
      </c>
      <c r="AY402" s="49">
        <f t="shared" si="46"/>
        <v>0</v>
      </c>
      <c r="AZ402" s="49">
        <f t="shared" si="47"/>
        <v>0</v>
      </c>
      <c r="BA402" s="49">
        <f t="shared" si="48"/>
        <v>1</v>
      </c>
      <c r="BB402" s="49">
        <f t="shared" si="49"/>
        <v>0</v>
      </c>
      <c r="BC402" s="49">
        <f t="shared" si="50"/>
        <v>0</v>
      </c>
      <c r="BD402" s="49">
        <f t="shared" si="51"/>
        <v>0</v>
      </c>
      <c r="BE402" s="49">
        <f t="shared" si="52"/>
        <v>1</v>
      </c>
      <c r="BF402" s="49">
        <f t="shared" si="53"/>
        <v>0</v>
      </c>
      <c r="BG402" s="49">
        <f t="shared" si="54"/>
        <v>0</v>
      </c>
      <c r="BH402" s="49">
        <f t="shared" si="55"/>
        <v>0</v>
      </c>
      <c r="BI402" s="49">
        <f t="shared" si="56"/>
        <v>1</v>
      </c>
      <c r="BJ402" s="49">
        <f t="shared" si="57"/>
        <v>0</v>
      </c>
      <c r="BK402" s="49">
        <f t="shared" si="58"/>
        <v>0</v>
      </c>
      <c r="BL402" s="49">
        <f t="shared" si="59"/>
        <v>1</v>
      </c>
      <c r="BM402" s="49">
        <f t="shared" si="60"/>
        <v>0</v>
      </c>
      <c r="BN402" s="49">
        <f t="shared" si="61"/>
        <v>0</v>
      </c>
      <c r="BO402" s="49">
        <f t="shared" si="62"/>
        <v>0</v>
      </c>
      <c r="BP402" s="49">
        <f t="shared" si="63"/>
        <v>1</v>
      </c>
      <c r="BQ402" s="49">
        <f t="shared" si="64"/>
        <v>0</v>
      </c>
      <c r="BR402" s="49">
        <f t="shared" si="65"/>
        <v>0</v>
      </c>
      <c r="BS402" s="49">
        <f t="shared" si="66"/>
        <v>0</v>
      </c>
      <c r="BT402" s="49">
        <f t="shared" si="67"/>
        <v>0</v>
      </c>
      <c r="BU402" s="49">
        <f t="shared" si="68"/>
        <v>1</v>
      </c>
      <c r="BV402" s="49">
        <f t="shared" si="69"/>
        <v>0</v>
      </c>
      <c r="BW402" s="49">
        <f t="shared" si="70"/>
        <v>0</v>
      </c>
      <c r="BX402" s="49">
        <f t="shared" si="71"/>
        <v>1</v>
      </c>
      <c r="BY402" s="49">
        <f t="shared" si="72"/>
        <v>0</v>
      </c>
      <c r="BZ402" s="49">
        <f t="shared" si="73"/>
        <v>0</v>
      </c>
      <c r="CA402" s="49">
        <f t="shared" si="74"/>
        <v>0</v>
      </c>
      <c r="CB402" s="49">
        <f t="shared" si="75"/>
        <v>1</v>
      </c>
      <c r="CC402" s="49">
        <f t="shared" si="76"/>
        <v>0</v>
      </c>
      <c r="CD402" s="49">
        <f t="shared" si="77"/>
        <v>0</v>
      </c>
      <c r="CE402" s="49">
        <f t="shared" si="78"/>
        <v>0</v>
      </c>
    </row>
    <row r="403" spans="1:83" ht="35.1" customHeight="1" x14ac:dyDescent="0.3">
      <c r="A403" s="123" t="str">
        <f t="shared" si="240"/>
        <v>4팀</v>
      </c>
      <c r="B403" s="69">
        <f t="shared" si="241"/>
        <v>397</v>
      </c>
      <c r="C403" s="120" t="str">
        <f>IF(VLOOKUP($B403,'1. 현장별 인원현황'!$C:$J,2,0)=0,"",VLOOKUP($B403,'1. 현장별 인원현황'!$C:$J,2,0))</f>
        <v xml:space="preserve"> [4.롯데CM] 롯데백화점 노원점 리뉴얼 공사</v>
      </c>
      <c r="D403" s="70" t="str">
        <f>IF(VLOOKUP($B403,'1. 현장별 인원현황'!$C:$J,3,0)=0,"",VLOOKUP($B403,'1. 현장별 인원현황'!$C:$J,3,0))</f>
        <v>유경술</v>
      </c>
      <c r="E403" s="74" t="str">
        <f ca="1">IF(VLOOKUP($B403,'1. 현장별 인원현황'!$C:$J,4,0)=0,"",VLOOKUP($B403,'1. 현장별 인원현황'!$C:$J,4,0))</f>
        <v>56세</v>
      </c>
      <c r="F403" s="70" t="str">
        <f>IF(VLOOKUP($B403,'1. 현장별 인원현황'!$C:$J,7,0)=0,"",VLOOKUP($B403,'1. 현장별 인원현황'!$C:$J,7,0))</f>
        <v>기능공</v>
      </c>
      <c r="G403" s="72" t="str">
        <f>IF(VLOOKUP($B403,'1. 현장별 인원현황'!$C:$J,8,0)=0,"",VLOOKUP($B403,'1. 현장별 인원현황'!$C:$J,8,0))</f>
        <v>전공</v>
      </c>
      <c r="H403" s="67"/>
      <c r="I403" s="73" t="s">
        <v>69</v>
      </c>
      <c r="J403" s="73"/>
      <c r="K403" s="68"/>
      <c r="L403" s="67"/>
      <c r="M403" s="73" t="s">
        <v>69</v>
      </c>
      <c r="N403" s="73"/>
      <c r="O403" s="68"/>
      <c r="P403" s="67"/>
      <c r="Q403" s="73" t="s">
        <v>69</v>
      </c>
      <c r="R403" s="73"/>
      <c r="S403" s="68"/>
      <c r="T403" s="67"/>
      <c r="U403" s="73" t="s">
        <v>69</v>
      </c>
      <c r="V403" s="73"/>
      <c r="W403" s="68"/>
      <c r="X403" s="67" t="s">
        <v>69</v>
      </c>
      <c r="Y403" s="73"/>
      <c r="Z403" s="73"/>
      <c r="AA403" s="68"/>
      <c r="AB403" s="67" t="s">
        <v>69</v>
      </c>
      <c r="AC403" s="73"/>
      <c r="AD403" s="73"/>
      <c r="AE403" s="68"/>
      <c r="AF403" s="67"/>
      <c r="AG403" s="73" t="s">
        <v>69</v>
      </c>
      <c r="AH403" s="73"/>
      <c r="AI403" s="68"/>
      <c r="AJ403" s="67" t="s">
        <v>69</v>
      </c>
      <c r="AK403" s="73"/>
      <c r="AL403" s="73"/>
      <c r="AM403" s="68"/>
      <c r="AN403" s="73" t="s">
        <v>69</v>
      </c>
      <c r="AO403" s="73"/>
      <c r="AP403" s="73"/>
      <c r="AQ403" s="68"/>
      <c r="AR403" s="67">
        <f t="shared" si="242"/>
        <v>87</v>
      </c>
      <c r="AS403" s="68" t="str">
        <f t="shared" si="243"/>
        <v>S</v>
      </c>
      <c r="AV403" s="49">
        <f t="shared" si="79"/>
        <v>0</v>
      </c>
      <c r="AW403" s="49">
        <f t="shared" si="44"/>
        <v>1</v>
      </c>
      <c r="AX403" s="49">
        <f t="shared" si="45"/>
        <v>0</v>
      </c>
      <c r="AY403" s="49">
        <f t="shared" si="46"/>
        <v>0</v>
      </c>
      <c r="AZ403" s="49">
        <f t="shared" si="47"/>
        <v>0</v>
      </c>
      <c r="BA403" s="49">
        <f t="shared" si="48"/>
        <v>1</v>
      </c>
      <c r="BB403" s="49">
        <f t="shared" si="49"/>
        <v>0</v>
      </c>
      <c r="BC403" s="49">
        <f t="shared" si="50"/>
        <v>0</v>
      </c>
      <c r="BD403" s="49">
        <f t="shared" si="51"/>
        <v>0</v>
      </c>
      <c r="BE403" s="49">
        <f t="shared" si="52"/>
        <v>1</v>
      </c>
      <c r="BF403" s="49">
        <f t="shared" si="53"/>
        <v>0</v>
      </c>
      <c r="BG403" s="49">
        <f t="shared" si="54"/>
        <v>0</v>
      </c>
      <c r="BH403" s="49">
        <f t="shared" si="55"/>
        <v>0</v>
      </c>
      <c r="BI403" s="49">
        <f t="shared" si="56"/>
        <v>1</v>
      </c>
      <c r="BJ403" s="49">
        <f t="shared" si="57"/>
        <v>0</v>
      </c>
      <c r="BK403" s="49">
        <f t="shared" si="58"/>
        <v>0</v>
      </c>
      <c r="BL403" s="49">
        <f t="shared" si="59"/>
        <v>1</v>
      </c>
      <c r="BM403" s="49">
        <f t="shared" si="60"/>
        <v>0</v>
      </c>
      <c r="BN403" s="49">
        <f t="shared" si="61"/>
        <v>0</v>
      </c>
      <c r="BO403" s="49">
        <f t="shared" si="62"/>
        <v>0</v>
      </c>
      <c r="BP403" s="49">
        <f t="shared" si="63"/>
        <v>1</v>
      </c>
      <c r="BQ403" s="49">
        <f t="shared" si="64"/>
        <v>0</v>
      </c>
      <c r="BR403" s="49">
        <f t="shared" si="65"/>
        <v>0</v>
      </c>
      <c r="BS403" s="49">
        <f t="shared" si="66"/>
        <v>0</v>
      </c>
      <c r="BT403" s="49">
        <f t="shared" si="67"/>
        <v>0</v>
      </c>
      <c r="BU403" s="49">
        <f t="shared" si="68"/>
        <v>1</v>
      </c>
      <c r="BV403" s="49">
        <f t="shared" si="69"/>
        <v>0</v>
      </c>
      <c r="BW403" s="49">
        <f t="shared" si="70"/>
        <v>0</v>
      </c>
      <c r="BX403" s="49">
        <f t="shared" si="71"/>
        <v>1</v>
      </c>
      <c r="BY403" s="49">
        <f t="shared" si="72"/>
        <v>0</v>
      </c>
      <c r="BZ403" s="49">
        <f t="shared" si="73"/>
        <v>0</v>
      </c>
      <c r="CA403" s="49">
        <f t="shared" si="74"/>
        <v>0</v>
      </c>
      <c r="CB403" s="49">
        <f t="shared" si="75"/>
        <v>1</v>
      </c>
      <c r="CC403" s="49">
        <f t="shared" si="76"/>
        <v>0</v>
      </c>
      <c r="CD403" s="49">
        <f t="shared" si="77"/>
        <v>0</v>
      </c>
      <c r="CE403" s="49">
        <f t="shared" si="78"/>
        <v>0</v>
      </c>
    </row>
    <row r="404" spans="1:83" ht="35.1" customHeight="1" x14ac:dyDescent="0.3">
      <c r="A404" s="123" t="str">
        <f t="shared" si="240"/>
        <v>4팀</v>
      </c>
      <c r="B404" s="69">
        <f t="shared" si="241"/>
        <v>398</v>
      </c>
      <c r="C404" s="120" t="str">
        <f>IF(VLOOKUP($B404,'1. 현장별 인원현황'!$C:$J,2,0)=0,"",VLOOKUP($B404,'1. 현장별 인원현황'!$C:$J,2,0))</f>
        <v xml:space="preserve"> [4.롯데CM] 롯데백화점 노원점 리뉴얼 공사</v>
      </c>
      <c r="D404" s="70" t="str">
        <f>IF(VLOOKUP($B404,'1. 현장별 인원현황'!$C:$J,3,0)=0,"",VLOOKUP($B404,'1. 현장별 인원현황'!$C:$J,3,0))</f>
        <v>유철훈</v>
      </c>
      <c r="E404" s="74" t="str">
        <f ca="1">IF(VLOOKUP($B404,'1. 현장별 인원현황'!$C:$J,4,0)=0,"",VLOOKUP($B404,'1. 현장별 인원현황'!$C:$J,4,0))</f>
        <v>55세</v>
      </c>
      <c r="F404" s="70" t="str">
        <f>IF(VLOOKUP($B404,'1. 현장별 인원현황'!$C:$J,7,0)=0,"",VLOOKUP($B404,'1. 현장별 인원현황'!$C:$J,7,0))</f>
        <v>기능공</v>
      </c>
      <c r="G404" s="72" t="str">
        <f>IF(VLOOKUP($B404,'1. 현장별 인원현황'!$C:$J,8,0)=0,"",VLOOKUP($B404,'1. 현장별 인원현황'!$C:$J,8,0))</f>
        <v>전공</v>
      </c>
      <c r="H404" s="67"/>
      <c r="I404" s="73" t="s">
        <v>69</v>
      </c>
      <c r="J404" s="73"/>
      <c r="K404" s="68"/>
      <c r="L404" s="67" t="s">
        <v>69</v>
      </c>
      <c r="M404" s="73"/>
      <c r="N404" s="73"/>
      <c r="O404" s="68"/>
      <c r="P404" s="67"/>
      <c r="Q404" s="73" t="s">
        <v>69</v>
      </c>
      <c r="R404" s="73"/>
      <c r="S404" s="68"/>
      <c r="T404" s="67"/>
      <c r="U404" s="73" t="s">
        <v>69</v>
      </c>
      <c r="V404" s="73"/>
      <c r="W404" s="68"/>
      <c r="X404" s="67" t="s">
        <v>69</v>
      </c>
      <c r="Y404" s="73"/>
      <c r="Z404" s="73"/>
      <c r="AA404" s="68"/>
      <c r="AB404" s="67" t="s">
        <v>69</v>
      </c>
      <c r="AC404" s="73"/>
      <c r="AD404" s="73"/>
      <c r="AE404" s="68"/>
      <c r="AF404" s="67"/>
      <c r="AG404" s="73" t="s">
        <v>69</v>
      </c>
      <c r="AH404" s="73"/>
      <c r="AI404" s="68"/>
      <c r="AJ404" s="67"/>
      <c r="AK404" s="73" t="s">
        <v>69</v>
      </c>
      <c r="AL404" s="73"/>
      <c r="AM404" s="68"/>
      <c r="AN404" s="73"/>
      <c r="AO404" s="73" t="s">
        <v>69</v>
      </c>
      <c r="AP404" s="73"/>
      <c r="AQ404" s="68"/>
      <c r="AR404" s="67">
        <f t="shared" si="242"/>
        <v>84</v>
      </c>
      <c r="AS404" s="68" t="str">
        <f t="shared" si="243"/>
        <v>A</v>
      </c>
      <c r="AV404" s="49">
        <f t="shared" si="79"/>
        <v>0</v>
      </c>
      <c r="AW404" s="49">
        <f t="shared" si="44"/>
        <v>1</v>
      </c>
      <c r="AX404" s="49">
        <f t="shared" si="45"/>
        <v>0</v>
      </c>
      <c r="AY404" s="49">
        <f t="shared" si="46"/>
        <v>0</v>
      </c>
      <c r="AZ404" s="49">
        <f t="shared" si="47"/>
        <v>1</v>
      </c>
      <c r="BA404" s="49">
        <f t="shared" si="48"/>
        <v>0</v>
      </c>
      <c r="BB404" s="49">
        <f t="shared" si="49"/>
        <v>0</v>
      </c>
      <c r="BC404" s="49">
        <f t="shared" si="50"/>
        <v>0</v>
      </c>
      <c r="BD404" s="49">
        <f t="shared" si="51"/>
        <v>0</v>
      </c>
      <c r="BE404" s="49">
        <f t="shared" si="52"/>
        <v>1</v>
      </c>
      <c r="BF404" s="49">
        <f t="shared" si="53"/>
        <v>0</v>
      </c>
      <c r="BG404" s="49">
        <f t="shared" si="54"/>
        <v>0</v>
      </c>
      <c r="BH404" s="49">
        <f t="shared" si="55"/>
        <v>0</v>
      </c>
      <c r="BI404" s="49">
        <f t="shared" si="56"/>
        <v>1</v>
      </c>
      <c r="BJ404" s="49">
        <f t="shared" si="57"/>
        <v>0</v>
      </c>
      <c r="BK404" s="49">
        <f t="shared" si="58"/>
        <v>0</v>
      </c>
      <c r="BL404" s="49">
        <f t="shared" si="59"/>
        <v>1</v>
      </c>
      <c r="BM404" s="49">
        <f t="shared" si="60"/>
        <v>0</v>
      </c>
      <c r="BN404" s="49">
        <f t="shared" si="61"/>
        <v>0</v>
      </c>
      <c r="BO404" s="49">
        <f t="shared" si="62"/>
        <v>0</v>
      </c>
      <c r="BP404" s="49">
        <f t="shared" si="63"/>
        <v>1</v>
      </c>
      <c r="BQ404" s="49">
        <f t="shared" si="64"/>
        <v>0</v>
      </c>
      <c r="BR404" s="49">
        <f t="shared" si="65"/>
        <v>0</v>
      </c>
      <c r="BS404" s="49">
        <f t="shared" si="66"/>
        <v>0</v>
      </c>
      <c r="BT404" s="49">
        <f t="shared" si="67"/>
        <v>0</v>
      </c>
      <c r="BU404" s="49">
        <f t="shared" si="68"/>
        <v>1</v>
      </c>
      <c r="BV404" s="49">
        <f t="shared" si="69"/>
        <v>0</v>
      </c>
      <c r="BW404" s="49">
        <f t="shared" si="70"/>
        <v>0</v>
      </c>
      <c r="BX404" s="49">
        <f t="shared" si="71"/>
        <v>0</v>
      </c>
      <c r="BY404" s="49">
        <f t="shared" si="72"/>
        <v>1</v>
      </c>
      <c r="BZ404" s="49">
        <f t="shared" si="73"/>
        <v>0</v>
      </c>
      <c r="CA404" s="49">
        <f t="shared" si="74"/>
        <v>0</v>
      </c>
      <c r="CB404" s="49">
        <f t="shared" si="75"/>
        <v>0</v>
      </c>
      <c r="CC404" s="49">
        <f t="shared" si="76"/>
        <v>1</v>
      </c>
      <c r="CD404" s="49">
        <f t="shared" si="77"/>
        <v>0</v>
      </c>
      <c r="CE404" s="49">
        <f t="shared" si="78"/>
        <v>0</v>
      </c>
    </row>
    <row r="405" spans="1:83" ht="35.1" customHeight="1" x14ac:dyDescent="0.3">
      <c r="A405" s="123" t="str">
        <f t="shared" si="240"/>
        <v>4팀</v>
      </c>
      <c r="B405" s="69">
        <f t="shared" si="241"/>
        <v>399</v>
      </c>
      <c r="C405" s="120" t="str">
        <f>IF(VLOOKUP($B405,'1. 현장별 인원현황'!$C:$J,2,0)=0,"",VLOOKUP($B405,'1. 현장별 인원현황'!$C:$J,2,0))</f>
        <v xml:space="preserve"> [4.롯데CM] 롯데백화점 노원점 리뉴얼 공사</v>
      </c>
      <c r="D405" s="70" t="str">
        <f>IF(VLOOKUP($B405,'1. 현장별 인원현황'!$C:$J,3,0)=0,"",VLOOKUP($B405,'1. 현장별 인원현황'!$C:$J,3,0))</f>
        <v>이지형</v>
      </c>
      <c r="E405" s="74" t="str">
        <f ca="1">IF(VLOOKUP($B405,'1. 현장별 인원현황'!$C:$J,4,0)=0,"",VLOOKUP($B405,'1. 현장별 인원현황'!$C:$J,4,0))</f>
        <v>32세</v>
      </c>
      <c r="F405" s="70" t="str">
        <f>IF(VLOOKUP($B405,'1. 현장별 인원현황'!$C:$J,7,0)=0,"",VLOOKUP($B405,'1. 현장별 인원현황'!$C:$J,7,0))</f>
        <v>기능공</v>
      </c>
      <c r="G405" s="72" t="str">
        <f>IF(VLOOKUP($B405,'1. 현장별 인원현황'!$C:$J,8,0)=0,"",VLOOKUP($B405,'1. 현장별 인원현황'!$C:$J,8,0))</f>
        <v>전공</v>
      </c>
      <c r="H405" s="67"/>
      <c r="I405" s="73" t="s">
        <v>69</v>
      </c>
      <c r="J405" s="73"/>
      <c r="K405" s="68"/>
      <c r="L405" s="67" t="s">
        <v>69</v>
      </c>
      <c r="M405" s="73"/>
      <c r="N405" s="73"/>
      <c r="O405" s="68"/>
      <c r="P405" s="67" t="s">
        <v>69</v>
      </c>
      <c r="Q405" s="73"/>
      <c r="R405" s="73"/>
      <c r="S405" s="68"/>
      <c r="T405" s="67" t="s">
        <v>69</v>
      </c>
      <c r="U405" s="73"/>
      <c r="V405" s="73"/>
      <c r="W405" s="68"/>
      <c r="X405" s="67"/>
      <c r="Y405" s="73" t="s">
        <v>69</v>
      </c>
      <c r="Z405" s="73"/>
      <c r="AA405" s="68"/>
      <c r="AB405" s="67"/>
      <c r="AC405" s="73" t="s">
        <v>69</v>
      </c>
      <c r="AD405" s="73"/>
      <c r="AE405" s="68"/>
      <c r="AF405" s="67" t="s">
        <v>69</v>
      </c>
      <c r="AG405" s="73"/>
      <c r="AH405" s="73"/>
      <c r="AI405" s="68"/>
      <c r="AJ405" s="67" t="s">
        <v>69</v>
      </c>
      <c r="AK405" s="73"/>
      <c r="AL405" s="73"/>
      <c r="AM405" s="68"/>
      <c r="AN405" s="73" t="s">
        <v>69</v>
      </c>
      <c r="AO405" s="73"/>
      <c r="AP405" s="73"/>
      <c r="AQ405" s="68"/>
      <c r="AR405" s="67">
        <f t="shared" si="242"/>
        <v>93</v>
      </c>
      <c r="AS405" s="68" t="str">
        <f t="shared" si="243"/>
        <v>S</v>
      </c>
      <c r="AV405" s="49">
        <f t="shared" si="79"/>
        <v>0</v>
      </c>
      <c r="AW405" s="49">
        <f t="shared" si="44"/>
        <v>1</v>
      </c>
      <c r="AX405" s="49">
        <f t="shared" si="45"/>
        <v>0</v>
      </c>
      <c r="AY405" s="49">
        <f t="shared" si="46"/>
        <v>0</v>
      </c>
      <c r="AZ405" s="49">
        <f t="shared" si="47"/>
        <v>1</v>
      </c>
      <c r="BA405" s="49">
        <f t="shared" si="48"/>
        <v>0</v>
      </c>
      <c r="BB405" s="49">
        <f t="shared" si="49"/>
        <v>0</v>
      </c>
      <c r="BC405" s="49">
        <f t="shared" si="50"/>
        <v>0</v>
      </c>
      <c r="BD405" s="49">
        <f t="shared" si="51"/>
        <v>1</v>
      </c>
      <c r="BE405" s="49">
        <f t="shared" si="52"/>
        <v>0</v>
      </c>
      <c r="BF405" s="49">
        <f t="shared" si="53"/>
        <v>0</v>
      </c>
      <c r="BG405" s="49">
        <f t="shared" si="54"/>
        <v>0</v>
      </c>
      <c r="BH405" s="49">
        <f t="shared" si="55"/>
        <v>1</v>
      </c>
      <c r="BI405" s="49">
        <f t="shared" si="56"/>
        <v>0</v>
      </c>
      <c r="BJ405" s="49">
        <f t="shared" si="57"/>
        <v>0</v>
      </c>
      <c r="BK405" s="49">
        <f t="shared" si="58"/>
        <v>0</v>
      </c>
      <c r="BL405" s="49">
        <f t="shared" si="59"/>
        <v>0</v>
      </c>
      <c r="BM405" s="49">
        <f t="shared" si="60"/>
        <v>1</v>
      </c>
      <c r="BN405" s="49">
        <f t="shared" si="61"/>
        <v>0</v>
      </c>
      <c r="BO405" s="49">
        <f t="shared" si="62"/>
        <v>0</v>
      </c>
      <c r="BP405" s="49">
        <f t="shared" si="63"/>
        <v>0</v>
      </c>
      <c r="BQ405" s="49">
        <f t="shared" si="64"/>
        <v>1</v>
      </c>
      <c r="BR405" s="49">
        <f t="shared" si="65"/>
        <v>0</v>
      </c>
      <c r="BS405" s="49">
        <f t="shared" si="66"/>
        <v>0</v>
      </c>
      <c r="BT405" s="49">
        <f t="shared" si="67"/>
        <v>1</v>
      </c>
      <c r="BU405" s="49">
        <f t="shared" si="68"/>
        <v>0</v>
      </c>
      <c r="BV405" s="49">
        <f t="shared" si="69"/>
        <v>0</v>
      </c>
      <c r="BW405" s="49">
        <f t="shared" si="70"/>
        <v>0</v>
      </c>
      <c r="BX405" s="49">
        <f t="shared" si="71"/>
        <v>1</v>
      </c>
      <c r="BY405" s="49">
        <f t="shared" si="72"/>
        <v>0</v>
      </c>
      <c r="BZ405" s="49">
        <f t="shared" si="73"/>
        <v>0</v>
      </c>
      <c r="CA405" s="49">
        <f t="shared" si="74"/>
        <v>0</v>
      </c>
      <c r="CB405" s="49">
        <f t="shared" si="75"/>
        <v>1</v>
      </c>
      <c r="CC405" s="49">
        <f t="shared" si="76"/>
        <v>0</v>
      </c>
      <c r="CD405" s="49">
        <f t="shared" si="77"/>
        <v>0</v>
      </c>
      <c r="CE405" s="49">
        <f t="shared" si="78"/>
        <v>0</v>
      </c>
    </row>
    <row r="406" spans="1:83" ht="35.1" customHeight="1" x14ac:dyDescent="0.3">
      <c r="A406" s="123" t="str">
        <f t="shared" si="240"/>
        <v>4팀</v>
      </c>
      <c r="B406" s="69">
        <f t="shared" si="241"/>
        <v>400</v>
      </c>
      <c r="C406" s="120" t="str">
        <f>IF(VLOOKUP($B406,'1. 현장별 인원현황'!$C:$J,2,0)=0,"",VLOOKUP($B406,'1. 현장별 인원현황'!$C:$J,2,0))</f>
        <v xml:space="preserve"> [4.롯데CM] 롯데백화점 노원점 리뉴얼 공사</v>
      </c>
      <c r="D406" s="70" t="str">
        <f>IF(VLOOKUP($B406,'1. 현장별 인원현황'!$C:$J,3,0)=0,"",VLOOKUP($B406,'1. 현장별 인원현황'!$C:$J,3,0))</f>
        <v>이현석</v>
      </c>
      <c r="E406" s="74" t="str">
        <f ca="1">IF(VLOOKUP($B406,'1. 현장별 인원현황'!$C:$J,4,0)=0,"",VLOOKUP($B406,'1. 현장별 인원현황'!$C:$J,4,0))</f>
        <v>50세</v>
      </c>
      <c r="F406" s="70" t="str">
        <f>IF(VLOOKUP($B406,'1. 현장별 인원현황'!$C:$J,7,0)=0,"",VLOOKUP($B406,'1. 현장별 인원현황'!$C:$J,7,0))</f>
        <v>기능공</v>
      </c>
      <c r="G406" s="72" t="str">
        <f>IF(VLOOKUP($B406,'1. 현장별 인원현황'!$C:$J,8,0)=0,"",VLOOKUP($B406,'1. 현장별 인원현황'!$C:$J,8,0))</f>
        <v>전공</v>
      </c>
      <c r="H406" s="67" t="s">
        <v>69</v>
      </c>
      <c r="I406" s="73"/>
      <c r="J406" s="73"/>
      <c r="K406" s="68"/>
      <c r="L406" s="67" t="s">
        <v>69</v>
      </c>
      <c r="M406" s="73"/>
      <c r="N406" s="73"/>
      <c r="O406" s="68"/>
      <c r="P406" s="67"/>
      <c r="Q406" s="73" t="s">
        <v>69</v>
      </c>
      <c r="R406" s="73"/>
      <c r="S406" s="68"/>
      <c r="T406" s="67"/>
      <c r="U406" s="73" t="s">
        <v>69</v>
      </c>
      <c r="V406" s="73"/>
      <c r="W406" s="68"/>
      <c r="X406" s="67" t="s">
        <v>69</v>
      </c>
      <c r="Y406" s="73"/>
      <c r="Z406" s="73"/>
      <c r="AA406" s="68"/>
      <c r="AB406" s="67" t="s">
        <v>69</v>
      </c>
      <c r="AC406" s="73"/>
      <c r="AD406" s="73"/>
      <c r="AE406" s="68"/>
      <c r="AF406" s="67"/>
      <c r="AG406" s="73" t="s">
        <v>69</v>
      </c>
      <c r="AH406" s="73"/>
      <c r="AI406" s="68"/>
      <c r="AJ406" s="67" t="s">
        <v>69</v>
      </c>
      <c r="AK406" s="73"/>
      <c r="AL406" s="73"/>
      <c r="AM406" s="68"/>
      <c r="AN406" s="73" t="s">
        <v>69</v>
      </c>
      <c r="AO406" s="73"/>
      <c r="AP406" s="73"/>
      <c r="AQ406" s="68"/>
      <c r="AR406" s="67">
        <f t="shared" si="242"/>
        <v>93</v>
      </c>
      <c r="AS406" s="68" t="str">
        <f t="shared" si="243"/>
        <v>S</v>
      </c>
      <c r="AV406" s="49">
        <f t="shared" ref="AV406:AV439" si="244">IF(H406&gt;0,1,0)</f>
        <v>1</v>
      </c>
      <c r="AW406" s="49">
        <f t="shared" ref="AW406:AW439" si="245">IF(I406&gt;0,1,0)</f>
        <v>0</v>
      </c>
      <c r="AX406" s="49">
        <f t="shared" ref="AX406:AX439" si="246">IF(J406&gt;0,1,0)</f>
        <v>0</v>
      </c>
      <c r="AY406" s="49">
        <f t="shared" ref="AY406:AY439" si="247">IF(K406&gt;0,1,0)</f>
        <v>0</v>
      </c>
      <c r="AZ406" s="49">
        <f t="shared" ref="AZ406:AZ439" si="248">IF(L406&gt;0,1,0)</f>
        <v>1</v>
      </c>
      <c r="BA406" s="49">
        <f t="shared" ref="BA406:BA439" si="249">IF(M406&gt;0,1,0)</f>
        <v>0</v>
      </c>
      <c r="BB406" s="49">
        <f t="shared" ref="BB406:BB439" si="250">IF(N406&gt;0,1,0)</f>
        <v>0</v>
      </c>
      <c r="BC406" s="49">
        <f t="shared" ref="BC406:BC439" si="251">IF(O406&gt;0,1,0)</f>
        <v>0</v>
      </c>
      <c r="BD406" s="49">
        <f t="shared" ref="BD406:BD439" si="252">IF(P406&gt;0,1,0)</f>
        <v>0</v>
      </c>
      <c r="BE406" s="49">
        <f t="shared" ref="BE406:BE439" si="253">IF(Q406&gt;0,1,0)</f>
        <v>1</v>
      </c>
      <c r="BF406" s="49">
        <f t="shared" ref="BF406:BF439" si="254">IF(R406&gt;0,1,0)</f>
        <v>0</v>
      </c>
      <c r="BG406" s="49">
        <f t="shared" ref="BG406:BG439" si="255">IF(S406&gt;0,1,0)</f>
        <v>0</v>
      </c>
      <c r="BH406" s="49">
        <f t="shared" ref="BH406:BH439" si="256">IF(T406&gt;0,1,0)</f>
        <v>0</v>
      </c>
      <c r="BI406" s="49">
        <f t="shared" ref="BI406:BI439" si="257">IF(U406&gt;0,1,0)</f>
        <v>1</v>
      </c>
      <c r="BJ406" s="49">
        <f t="shared" ref="BJ406:BJ439" si="258">IF(V406&gt;0,1,0)</f>
        <v>0</v>
      </c>
      <c r="BK406" s="49">
        <f t="shared" ref="BK406:BK439" si="259">IF(W406&gt;0,1,0)</f>
        <v>0</v>
      </c>
      <c r="BL406" s="49">
        <f t="shared" ref="BL406:BL439" si="260">IF(X406&gt;0,1,0)</f>
        <v>1</v>
      </c>
      <c r="BM406" s="49">
        <f t="shared" ref="BM406:BM439" si="261">IF(Y406&gt;0,1,0)</f>
        <v>0</v>
      </c>
      <c r="BN406" s="49">
        <f t="shared" ref="BN406:BN439" si="262">IF(Z406&gt;0,1,0)</f>
        <v>0</v>
      </c>
      <c r="BO406" s="49">
        <f t="shared" ref="BO406:BO439" si="263">IF(AA406&gt;0,1,0)</f>
        <v>0</v>
      </c>
      <c r="BP406" s="49">
        <f t="shared" ref="BP406:BP439" si="264">IF(AB406&gt;0,1,0)</f>
        <v>1</v>
      </c>
      <c r="BQ406" s="49">
        <f t="shared" ref="BQ406:BQ439" si="265">IF(AC406&gt;0,1,0)</f>
        <v>0</v>
      </c>
      <c r="BR406" s="49">
        <f t="shared" ref="BR406:BR439" si="266">IF(AD406&gt;0,1,0)</f>
        <v>0</v>
      </c>
      <c r="BS406" s="49">
        <f t="shared" ref="BS406:BS439" si="267">IF(AE406&gt;0,1,0)</f>
        <v>0</v>
      </c>
      <c r="BT406" s="49">
        <f t="shared" ref="BT406:BT439" si="268">IF(AF406&gt;0,1,0)</f>
        <v>0</v>
      </c>
      <c r="BU406" s="49">
        <f t="shared" ref="BU406:BU439" si="269">IF(AG406&gt;0,1,0)</f>
        <v>1</v>
      </c>
      <c r="BV406" s="49">
        <f t="shared" ref="BV406:BV439" si="270">IF(AH406&gt;0,1,0)</f>
        <v>0</v>
      </c>
      <c r="BW406" s="49">
        <f t="shared" ref="BW406:BW439" si="271">IF(AI406&gt;0,1,0)</f>
        <v>0</v>
      </c>
      <c r="BX406" s="49">
        <f t="shared" ref="BX406:BX439" si="272">IF(AJ406&gt;0,1,0)</f>
        <v>1</v>
      </c>
      <c r="BY406" s="49">
        <f t="shared" ref="BY406:BY439" si="273">IF(AK406&gt;0,1,0)</f>
        <v>0</v>
      </c>
      <c r="BZ406" s="49">
        <f t="shared" ref="BZ406:BZ439" si="274">IF(AL406&gt;0,1,0)</f>
        <v>0</v>
      </c>
      <c r="CA406" s="49">
        <f t="shared" ref="CA406:CA439" si="275">IF(AM406&gt;0,1,0)</f>
        <v>0</v>
      </c>
      <c r="CB406" s="49">
        <f t="shared" ref="CB406:CB439" si="276">IF(AN406&gt;0,1,0)</f>
        <v>1</v>
      </c>
      <c r="CC406" s="49">
        <f t="shared" ref="CC406:CC439" si="277">IF(AO406&gt;0,1,0)</f>
        <v>0</v>
      </c>
      <c r="CD406" s="49">
        <f t="shared" ref="CD406:CD439" si="278">IF(AP406&gt;0,1,0)</f>
        <v>0</v>
      </c>
      <c r="CE406" s="49">
        <f t="shared" ref="CE406:CE439" si="279">IF(AQ406&gt;0,1,0)</f>
        <v>0</v>
      </c>
    </row>
    <row r="407" spans="1:83" ht="35.1" customHeight="1" x14ac:dyDescent="0.3">
      <c r="A407" s="123" t="str">
        <f t="shared" si="240"/>
        <v>4팀</v>
      </c>
      <c r="B407" s="69">
        <f t="shared" si="241"/>
        <v>401</v>
      </c>
      <c r="C407" s="120" t="str">
        <f>IF(VLOOKUP($B407,'1. 현장별 인원현황'!$C:$J,2,0)=0,"",VLOOKUP($B407,'1. 현장별 인원현황'!$C:$J,2,0))</f>
        <v xml:space="preserve"> [4.롯데CM] 롯데백화점 노원점 리뉴얼 공사</v>
      </c>
      <c r="D407" s="70" t="str">
        <f>IF(VLOOKUP($B407,'1. 현장별 인원현황'!$C:$J,3,0)=0,"",VLOOKUP($B407,'1. 현장별 인원현황'!$C:$J,3,0))</f>
        <v>전용철</v>
      </c>
      <c r="E407" s="74" t="str">
        <f ca="1">IF(VLOOKUP($B407,'1. 현장별 인원현황'!$C:$J,4,0)=0,"",VLOOKUP($B407,'1. 현장별 인원현황'!$C:$J,4,0))</f>
        <v>47세</v>
      </c>
      <c r="F407" s="70" t="str">
        <f>IF(VLOOKUP($B407,'1. 현장별 인원현황'!$C:$J,7,0)=0,"",VLOOKUP($B407,'1. 현장별 인원현황'!$C:$J,7,0))</f>
        <v>기능공</v>
      </c>
      <c r="G407" s="72" t="str">
        <f>IF(VLOOKUP($B407,'1. 현장별 인원현황'!$C:$J,8,0)=0,"",VLOOKUP($B407,'1. 현장별 인원현황'!$C:$J,8,0))</f>
        <v>전공</v>
      </c>
      <c r="H407" s="67"/>
      <c r="I407" s="73" t="s">
        <v>69</v>
      </c>
      <c r="J407" s="73"/>
      <c r="K407" s="68"/>
      <c r="L407" s="67"/>
      <c r="M407" s="73" t="s">
        <v>69</v>
      </c>
      <c r="N407" s="73"/>
      <c r="O407" s="68"/>
      <c r="P407" s="67" t="s">
        <v>69</v>
      </c>
      <c r="Q407" s="73"/>
      <c r="R407" s="73"/>
      <c r="S407" s="68"/>
      <c r="T407" s="67" t="s">
        <v>69</v>
      </c>
      <c r="U407" s="73"/>
      <c r="V407" s="73"/>
      <c r="W407" s="68"/>
      <c r="X407" s="67" t="s">
        <v>69</v>
      </c>
      <c r="Y407" s="73"/>
      <c r="Z407" s="73"/>
      <c r="AA407" s="68"/>
      <c r="AB407" s="67" t="s">
        <v>69</v>
      </c>
      <c r="AC407" s="73"/>
      <c r="AD407" s="73"/>
      <c r="AE407" s="68"/>
      <c r="AF407" s="67" t="s">
        <v>69</v>
      </c>
      <c r="AG407" s="73"/>
      <c r="AH407" s="73"/>
      <c r="AI407" s="68"/>
      <c r="AJ407" s="67" t="s">
        <v>69</v>
      </c>
      <c r="AK407" s="73"/>
      <c r="AL407" s="73"/>
      <c r="AM407" s="68"/>
      <c r="AN407" s="73"/>
      <c r="AO407" s="73" t="s">
        <v>69</v>
      </c>
      <c r="AP407" s="73"/>
      <c r="AQ407" s="68"/>
      <c r="AR407" s="67">
        <f t="shared" si="242"/>
        <v>91</v>
      </c>
      <c r="AS407" s="68" t="str">
        <f t="shared" si="243"/>
        <v>S</v>
      </c>
      <c r="AV407" s="49">
        <f t="shared" si="244"/>
        <v>0</v>
      </c>
      <c r="AW407" s="49">
        <f t="shared" si="245"/>
        <v>1</v>
      </c>
      <c r="AX407" s="49">
        <f t="shared" si="246"/>
        <v>0</v>
      </c>
      <c r="AY407" s="49">
        <f t="shared" si="247"/>
        <v>0</v>
      </c>
      <c r="AZ407" s="49">
        <f t="shared" si="248"/>
        <v>0</v>
      </c>
      <c r="BA407" s="49">
        <f t="shared" si="249"/>
        <v>1</v>
      </c>
      <c r="BB407" s="49">
        <f t="shared" si="250"/>
        <v>0</v>
      </c>
      <c r="BC407" s="49">
        <f t="shared" si="251"/>
        <v>0</v>
      </c>
      <c r="BD407" s="49">
        <f t="shared" si="252"/>
        <v>1</v>
      </c>
      <c r="BE407" s="49">
        <f t="shared" si="253"/>
        <v>0</v>
      </c>
      <c r="BF407" s="49">
        <f t="shared" si="254"/>
        <v>0</v>
      </c>
      <c r="BG407" s="49">
        <f t="shared" si="255"/>
        <v>0</v>
      </c>
      <c r="BH407" s="49">
        <f t="shared" si="256"/>
        <v>1</v>
      </c>
      <c r="BI407" s="49">
        <f t="shared" si="257"/>
        <v>0</v>
      </c>
      <c r="BJ407" s="49">
        <f t="shared" si="258"/>
        <v>0</v>
      </c>
      <c r="BK407" s="49">
        <f t="shared" si="259"/>
        <v>0</v>
      </c>
      <c r="BL407" s="49">
        <f t="shared" si="260"/>
        <v>1</v>
      </c>
      <c r="BM407" s="49">
        <f t="shared" si="261"/>
        <v>0</v>
      </c>
      <c r="BN407" s="49">
        <f t="shared" si="262"/>
        <v>0</v>
      </c>
      <c r="BO407" s="49">
        <f t="shared" si="263"/>
        <v>0</v>
      </c>
      <c r="BP407" s="49">
        <f t="shared" si="264"/>
        <v>1</v>
      </c>
      <c r="BQ407" s="49">
        <f t="shared" si="265"/>
        <v>0</v>
      </c>
      <c r="BR407" s="49">
        <f t="shared" si="266"/>
        <v>0</v>
      </c>
      <c r="BS407" s="49">
        <f t="shared" si="267"/>
        <v>0</v>
      </c>
      <c r="BT407" s="49">
        <f t="shared" si="268"/>
        <v>1</v>
      </c>
      <c r="BU407" s="49">
        <f t="shared" si="269"/>
        <v>0</v>
      </c>
      <c r="BV407" s="49">
        <f t="shared" si="270"/>
        <v>0</v>
      </c>
      <c r="BW407" s="49">
        <f t="shared" si="271"/>
        <v>0</v>
      </c>
      <c r="BX407" s="49">
        <f t="shared" si="272"/>
        <v>1</v>
      </c>
      <c r="BY407" s="49">
        <f t="shared" si="273"/>
        <v>0</v>
      </c>
      <c r="BZ407" s="49">
        <f t="shared" si="274"/>
        <v>0</v>
      </c>
      <c r="CA407" s="49">
        <f t="shared" si="275"/>
        <v>0</v>
      </c>
      <c r="CB407" s="49">
        <f t="shared" si="276"/>
        <v>0</v>
      </c>
      <c r="CC407" s="49">
        <f t="shared" si="277"/>
        <v>1</v>
      </c>
      <c r="CD407" s="49">
        <f t="shared" si="278"/>
        <v>0</v>
      </c>
      <c r="CE407" s="49">
        <f t="shared" si="279"/>
        <v>0</v>
      </c>
    </row>
    <row r="408" spans="1:83" ht="35.1" customHeight="1" x14ac:dyDescent="0.3">
      <c r="A408" s="123" t="str">
        <f t="shared" si="240"/>
        <v>4팀</v>
      </c>
      <c r="B408" s="69">
        <f t="shared" si="241"/>
        <v>402</v>
      </c>
      <c r="C408" s="120" t="str">
        <f>IF(VLOOKUP($B408,'1. 현장별 인원현황'!$C:$J,2,0)=0,"",VLOOKUP($B408,'1. 현장별 인원현황'!$C:$J,2,0))</f>
        <v xml:space="preserve"> [4.롯데CM] 롯데백화점 노원점 리뉴얼 공사</v>
      </c>
      <c r="D408" s="70" t="str">
        <f>IF(VLOOKUP($B408,'1. 현장별 인원현황'!$C:$J,3,0)=0,"",VLOOKUP($B408,'1. 현장별 인원현황'!$C:$J,3,0))</f>
        <v>정태규</v>
      </c>
      <c r="E408" s="74" t="str">
        <f ca="1">IF(VLOOKUP($B408,'1. 현장별 인원현황'!$C:$J,4,0)=0,"",VLOOKUP($B408,'1. 현장별 인원현황'!$C:$J,4,0))</f>
        <v>51세</v>
      </c>
      <c r="F408" s="70" t="str">
        <f>IF(VLOOKUP($B408,'1. 현장별 인원현황'!$C:$J,7,0)=0,"",VLOOKUP($B408,'1. 현장별 인원현황'!$C:$J,7,0))</f>
        <v>기능공</v>
      </c>
      <c r="G408" s="72" t="str">
        <f>IF(VLOOKUP($B408,'1. 현장별 인원현황'!$C:$J,8,0)=0,"",VLOOKUP($B408,'1. 현장별 인원현황'!$C:$J,8,0))</f>
        <v>전공</v>
      </c>
      <c r="H408" s="67"/>
      <c r="I408" s="73" t="s">
        <v>69</v>
      </c>
      <c r="J408" s="73"/>
      <c r="K408" s="68"/>
      <c r="L408" s="67" t="s">
        <v>69</v>
      </c>
      <c r="M408" s="73"/>
      <c r="N408" s="73"/>
      <c r="O408" s="68"/>
      <c r="P408" s="67" t="s">
        <v>69</v>
      </c>
      <c r="Q408" s="73"/>
      <c r="R408" s="73"/>
      <c r="S408" s="68"/>
      <c r="T408" s="67"/>
      <c r="U408" s="73" t="s">
        <v>69</v>
      </c>
      <c r="V408" s="73"/>
      <c r="W408" s="68"/>
      <c r="X408" s="67"/>
      <c r="Y408" s="73" t="s">
        <v>69</v>
      </c>
      <c r="Z408" s="73"/>
      <c r="AA408" s="68"/>
      <c r="AB408" s="67" t="s">
        <v>69</v>
      </c>
      <c r="AC408" s="73"/>
      <c r="AD408" s="73"/>
      <c r="AE408" s="68"/>
      <c r="AF408" s="67"/>
      <c r="AG408" s="73" t="s">
        <v>69</v>
      </c>
      <c r="AH408" s="73"/>
      <c r="AI408" s="68"/>
      <c r="AJ408" s="67"/>
      <c r="AK408" s="73" t="s">
        <v>69</v>
      </c>
      <c r="AL408" s="73"/>
      <c r="AM408" s="68"/>
      <c r="AN408" s="73" t="s">
        <v>69</v>
      </c>
      <c r="AO408" s="73"/>
      <c r="AP408" s="73"/>
      <c r="AQ408" s="68"/>
      <c r="AR408" s="67">
        <f t="shared" si="242"/>
        <v>88</v>
      </c>
      <c r="AS408" s="68" t="str">
        <f t="shared" si="243"/>
        <v>S</v>
      </c>
      <c r="AV408" s="49">
        <f t="shared" si="244"/>
        <v>0</v>
      </c>
      <c r="AW408" s="49">
        <f t="shared" si="245"/>
        <v>1</v>
      </c>
      <c r="AX408" s="49">
        <f t="shared" si="246"/>
        <v>0</v>
      </c>
      <c r="AY408" s="49">
        <f t="shared" si="247"/>
        <v>0</v>
      </c>
      <c r="AZ408" s="49">
        <f t="shared" si="248"/>
        <v>1</v>
      </c>
      <c r="BA408" s="49">
        <f t="shared" si="249"/>
        <v>0</v>
      </c>
      <c r="BB408" s="49">
        <f t="shared" si="250"/>
        <v>0</v>
      </c>
      <c r="BC408" s="49">
        <f t="shared" si="251"/>
        <v>0</v>
      </c>
      <c r="BD408" s="49">
        <f t="shared" si="252"/>
        <v>1</v>
      </c>
      <c r="BE408" s="49">
        <f t="shared" si="253"/>
        <v>0</v>
      </c>
      <c r="BF408" s="49">
        <f t="shared" si="254"/>
        <v>0</v>
      </c>
      <c r="BG408" s="49">
        <f t="shared" si="255"/>
        <v>0</v>
      </c>
      <c r="BH408" s="49">
        <f t="shared" si="256"/>
        <v>0</v>
      </c>
      <c r="BI408" s="49">
        <f t="shared" si="257"/>
        <v>1</v>
      </c>
      <c r="BJ408" s="49">
        <f t="shared" si="258"/>
        <v>0</v>
      </c>
      <c r="BK408" s="49">
        <f t="shared" si="259"/>
        <v>0</v>
      </c>
      <c r="BL408" s="49">
        <f t="shared" si="260"/>
        <v>0</v>
      </c>
      <c r="BM408" s="49">
        <f t="shared" si="261"/>
        <v>1</v>
      </c>
      <c r="BN408" s="49">
        <f t="shared" si="262"/>
        <v>0</v>
      </c>
      <c r="BO408" s="49">
        <f t="shared" si="263"/>
        <v>0</v>
      </c>
      <c r="BP408" s="49">
        <f t="shared" si="264"/>
        <v>1</v>
      </c>
      <c r="BQ408" s="49">
        <f t="shared" si="265"/>
        <v>0</v>
      </c>
      <c r="BR408" s="49">
        <f t="shared" si="266"/>
        <v>0</v>
      </c>
      <c r="BS408" s="49">
        <f t="shared" si="267"/>
        <v>0</v>
      </c>
      <c r="BT408" s="49">
        <f t="shared" si="268"/>
        <v>0</v>
      </c>
      <c r="BU408" s="49">
        <f t="shared" si="269"/>
        <v>1</v>
      </c>
      <c r="BV408" s="49">
        <f t="shared" si="270"/>
        <v>0</v>
      </c>
      <c r="BW408" s="49">
        <f t="shared" si="271"/>
        <v>0</v>
      </c>
      <c r="BX408" s="49">
        <f t="shared" si="272"/>
        <v>0</v>
      </c>
      <c r="BY408" s="49">
        <f t="shared" si="273"/>
        <v>1</v>
      </c>
      <c r="BZ408" s="49">
        <f t="shared" si="274"/>
        <v>0</v>
      </c>
      <c r="CA408" s="49">
        <f t="shared" si="275"/>
        <v>0</v>
      </c>
      <c r="CB408" s="49">
        <f t="shared" si="276"/>
        <v>1</v>
      </c>
      <c r="CC408" s="49">
        <f t="shared" si="277"/>
        <v>0</v>
      </c>
      <c r="CD408" s="49">
        <f t="shared" si="278"/>
        <v>0</v>
      </c>
      <c r="CE408" s="49">
        <f t="shared" si="279"/>
        <v>0</v>
      </c>
    </row>
    <row r="409" spans="1:83" ht="35.1" customHeight="1" x14ac:dyDescent="0.3">
      <c r="A409" s="123" t="str">
        <f t="shared" si="240"/>
        <v>4팀</v>
      </c>
      <c r="B409" s="69">
        <f t="shared" si="241"/>
        <v>403</v>
      </c>
      <c r="C409" s="120" t="str">
        <f>IF(VLOOKUP($B409,'1. 현장별 인원현황'!$C:$J,2,0)=0,"",VLOOKUP($B409,'1. 현장별 인원현황'!$C:$J,2,0))</f>
        <v xml:space="preserve"> [4.롯데CM] 롯데백화점 노원점 리뉴얼 공사</v>
      </c>
      <c r="D409" s="70" t="str">
        <f>IF(VLOOKUP($B409,'1. 현장별 인원현황'!$C:$J,3,0)=0,"",VLOOKUP($B409,'1. 현장별 인원현황'!$C:$J,3,0))</f>
        <v>최원환</v>
      </c>
      <c r="E409" s="74" t="str">
        <f ca="1">IF(VLOOKUP($B409,'1. 현장별 인원현황'!$C:$J,4,0)=0,"",VLOOKUP($B409,'1. 현장별 인원현황'!$C:$J,4,0))</f>
        <v>49세</v>
      </c>
      <c r="F409" s="70" t="str">
        <f>IF(VLOOKUP($B409,'1. 현장별 인원현황'!$C:$J,7,0)=0,"",VLOOKUP($B409,'1. 현장별 인원현황'!$C:$J,7,0))</f>
        <v>기능공</v>
      </c>
      <c r="G409" s="72" t="str">
        <f>IF(VLOOKUP($B409,'1. 현장별 인원현황'!$C:$J,8,0)=0,"",VLOOKUP($B409,'1. 현장별 인원현황'!$C:$J,8,0))</f>
        <v>전공</v>
      </c>
      <c r="H409" s="67"/>
      <c r="I409" s="73" t="s">
        <v>69</v>
      </c>
      <c r="J409" s="73"/>
      <c r="K409" s="68"/>
      <c r="L409" s="67" t="s">
        <v>69</v>
      </c>
      <c r="M409" s="73"/>
      <c r="N409" s="73"/>
      <c r="O409" s="68"/>
      <c r="P409" s="67"/>
      <c r="Q409" s="73" t="s">
        <v>69</v>
      </c>
      <c r="R409" s="73"/>
      <c r="S409" s="68"/>
      <c r="T409" s="67" t="s">
        <v>69</v>
      </c>
      <c r="U409" s="73"/>
      <c r="V409" s="73"/>
      <c r="W409" s="68"/>
      <c r="X409" s="67" t="s">
        <v>69</v>
      </c>
      <c r="Y409" s="73"/>
      <c r="Z409" s="73"/>
      <c r="AA409" s="68"/>
      <c r="AB409" s="67" t="s">
        <v>69</v>
      </c>
      <c r="AC409" s="73"/>
      <c r="AD409" s="73"/>
      <c r="AE409" s="68"/>
      <c r="AF409" s="67"/>
      <c r="AG409" s="73" t="s">
        <v>69</v>
      </c>
      <c r="AH409" s="73"/>
      <c r="AI409" s="68"/>
      <c r="AJ409" s="67" t="s">
        <v>69</v>
      </c>
      <c r="AK409" s="73"/>
      <c r="AL409" s="73"/>
      <c r="AM409" s="68"/>
      <c r="AN409" s="73" t="s">
        <v>69</v>
      </c>
      <c r="AO409" s="73"/>
      <c r="AP409" s="73"/>
      <c r="AQ409" s="68"/>
      <c r="AR409" s="67">
        <f t="shared" si="242"/>
        <v>92</v>
      </c>
      <c r="AS409" s="68" t="str">
        <f t="shared" si="243"/>
        <v>S</v>
      </c>
      <c r="AV409" s="49">
        <f t="shared" si="244"/>
        <v>0</v>
      </c>
      <c r="AW409" s="49">
        <f t="shared" si="245"/>
        <v>1</v>
      </c>
      <c r="AX409" s="49">
        <f t="shared" si="246"/>
        <v>0</v>
      </c>
      <c r="AY409" s="49">
        <f t="shared" si="247"/>
        <v>0</v>
      </c>
      <c r="AZ409" s="49">
        <f t="shared" si="248"/>
        <v>1</v>
      </c>
      <c r="BA409" s="49">
        <f t="shared" si="249"/>
        <v>0</v>
      </c>
      <c r="BB409" s="49">
        <f t="shared" si="250"/>
        <v>0</v>
      </c>
      <c r="BC409" s="49">
        <f t="shared" si="251"/>
        <v>0</v>
      </c>
      <c r="BD409" s="49">
        <f t="shared" si="252"/>
        <v>0</v>
      </c>
      <c r="BE409" s="49">
        <f t="shared" si="253"/>
        <v>1</v>
      </c>
      <c r="BF409" s="49">
        <f t="shared" si="254"/>
        <v>0</v>
      </c>
      <c r="BG409" s="49">
        <f t="shared" si="255"/>
        <v>0</v>
      </c>
      <c r="BH409" s="49">
        <f t="shared" si="256"/>
        <v>1</v>
      </c>
      <c r="BI409" s="49">
        <f t="shared" si="257"/>
        <v>0</v>
      </c>
      <c r="BJ409" s="49">
        <f t="shared" si="258"/>
        <v>0</v>
      </c>
      <c r="BK409" s="49">
        <f t="shared" si="259"/>
        <v>0</v>
      </c>
      <c r="BL409" s="49">
        <f t="shared" si="260"/>
        <v>1</v>
      </c>
      <c r="BM409" s="49">
        <f t="shared" si="261"/>
        <v>0</v>
      </c>
      <c r="BN409" s="49">
        <f t="shared" si="262"/>
        <v>0</v>
      </c>
      <c r="BO409" s="49">
        <f t="shared" si="263"/>
        <v>0</v>
      </c>
      <c r="BP409" s="49">
        <f t="shared" si="264"/>
        <v>1</v>
      </c>
      <c r="BQ409" s="49">
        <f t="shared" si="265"/>
        <v>0</v>
      </c>
      <c r="BR409" s="49">
        <f t="shared" si="266"/>
        <v>0</v>
      </c>
      <c r="BS409" s="49">
        <f t="shared" si="267"/>
        <v>0</v>
      </c>
      <c r="BT409" s="49">
        <f t="shared" si="268"/>
        <v>0</v>
      </c>
      <c r="BU409" s="49">
        <f t="shared" si="269"/>
        <v>1</v>
      </c>
      <c r="BV409" s="49">
        <f t="shared" si="270"/>
        <v>0</v>
      </c>
      <c r="BW409" s="49">
        <f t="shared" si="271"/>
        <v>0</v>
      </c>
      <c r="BX409" s="49">
        <f t="shared" si="272"/>
        <v>1</v>
      </c>
      <c r="BY409" s="49">
        <f t="shared" si="273"/>
        <v>0</v>
      </c>
      <c r="BZ409" s="49">
        <f t="shared" si="274"/>
        <v>0</v>
      </c>
      <c r="CA409" s="49">
        <f t="shared" si="275"/>
        <v>0</v>
      </c>
      <c r="CB409" s="49">
        <f t="shared" si="276"/>
        <v>1</v>
      </c>
      <c r="CC409" s="49">
        <f t="shared" si="277"/>
        <v>0</v>
      </c>
      <c r="CD409" s="49">
        <f t="shared" si="278"/>
        <v>0</v>
      </c>
      <c r="CE409" s="49">
        <f t="shared" si="279"/>
        <v>0</v>
      </c>
    </row>
    <row r="410" spans="1:83" ht="35.1" customHeight="1" x14ac:dyDescent="0.3">
      <c r="A410" s="123" t="str">
        <f t="shared" si="240"/>
        <v>4팀</v>
      </c>
      <c r="B410" s="69">
        <f t="shared" si="241"/>
        <v>404</v>
      </c>
      <c r="C410" s="120" t="str">
        <f>IF(VLOOKUP($B410,'1. 현장별 인원현황'!$C:$J,2,0)=0,"",VLOOKUP($B410,'1. 현장별 인원현황'!$C:$J,2,0))</f>
        <v xml:space="preserve"> [4.롯데건설] 검단신도시 101 역세권 공모사업(C9-1BL, C9-2BL)</v>
      </c>
      <c r="D410" s="70" t="str">
        <f>IF(VLOOKUP($B410,'1. 현장별 인원현황'!$C:$J,3,0)=0,"",VLOOKUP($B410,'1. 현장별 인원현황'!$C:$J,3,0))</f>
        <v>송성훈</v>
      </c>
      <c r="E410" s="74" t="str">
        <f ca="1">IF(VLOOKUP($B410,'1. 현장별 인원현황'!$C:$J,4,0)=0,"",VLOOKUP($B410,'1. 현장별 인원현황'!$C:$J,4,0))</f>
        <v>35세</v>
      </c>
      <c r="F410" s="70" t="str">
        <f>IF(VLOOKUP($B410,'1. 현장별 인원현황'!$C:$J,7,0)=0,"",VLOOKUP($B410,'1. 현장별 인원현황'!$C:$J,7,0))</f>
        <v>공무</v>
      </c>
      <c r="G410" s="72" t="str">
        <f>IF(VLOOKUP($B410,'1. 현장별 인원현황'!$C:$J,8,0)=0,"",VLOOKUP($B410,'1. 현장별 인원현황'!$C:$J,8,0))</f>
        <v>과장</v>
      </c>
      <c r="H410" s="67" t="s">
        <v>69</v>
      </c>
      <c r="I410" s="73"/>
      <c r="J410" s="73"/>
      <c r="K410" s="68"/>
      <c r="L410" s="67" t="s">
        <v>69</v>
      </c>
      <c r="M410" s="73"/>
      <c r="N410" s="73"/>
      <c r="O410" s="68"/>
      <c r="P410" s="67" t="s">
        <v>69</v>
      </c>
      <c r="Q410" s="73"/>
      <c r="R410" s="73"/>
      <c r="S410" s="68"/>
      <c r="T410" s="67" t="s">
        <v>69</v>
      </c>
      <c r="U410" s="73"/>
      <c r="V410" s="73"/>
      <c r="W410" s="68"/>
      <c r="X410" s="67" t="s">
        <v>69</v>
      </c>
      <c r="Y410" s="73"/>
      <c r="Z410" s="73"/>
      <c r="AA410" s="68"/>
      <c r="AB410" s="67" t="s">
        <v>69</v>
      </c>
      <c r="AC410" s="73"/>
      <c r="AD410" s="73"/>
      <c r="AE410" s="68"/>
      <c r="AF410" s="67" t="s">
        <v>69</v>
      </c>
      <c r="AG410" s="73"/>
      <c r="AH410" s="73"/>
      <c r="AI410" s="68"/>
      <c r="AJ410" s="67" t="s">
        <v>69</v>
      </c>
      <c r="AK410" s="73"/>
      <c r="AL410" s="73"/>
      <c r="AM410" s="68"/>
      <c r="AN410" s="73" t="s">
        <v>69</v>
      </c>
      <c r="AO410" s="73"/>
      <c r="AP410" s="73"/>
      <c r="AQ410" s="68"/>
      <c r="AR410" s="67">
        <f t="shared" si="242"/>
        <v>100</v>
      </c>
      <c r="AS410" s="68" t="str">
        <f t="shared" si="243"/>
        <v>S</v>
      </c>
      <c r="AV410" s="49">
        <f t="shared" si="244"/>
        <v>1</v>
      </c>
      <c r="AW410" s="49">
        <f t="shared" si="245"/>
        <v>0</v>
      </c>
      <c r="AX410" s="49">
        <f t="shared" si="246"/>
        <v>0</v>
      </c>
      <c r="AY410" s="49">
        <f t="shared" si="247"/>
        <v>0</v>
      </c>
      <c r="AZ410" s="49">
        <f t="shared" si="248"/>
        <v>1</v>
      </c>
      <c r="BA410" s="49">
        <f t="shared" si="249"/>
        <v>0</v>
      </c>
      <c r="BB410" s="49">
        <f t="shared" si="250"/>
        <v>0</v>
      </c>
      <c r="BC410" s="49">
        <f t="shared" si="251"/>
        <v>0</v>
      </c>
      <c r="BD410" s="49">
        <f t="shared" si="252"/>
        <v>1</v>
      </c>
      <c r="BE410" s="49">
        <f t="shared" si="253"/>
        <v>0</v>
      </c>
      <c r="BF410" s="49">
        <f t="shared" si="254"/>
        <v>0</v>
      </c>
      <c r="BG410" s="49">
        <f t="shared" si="255"/>
        <v>0</v>
      </c>
      <c r="BH410" s="49">
        <f t="shared" si="256"/>
        <v>1</v>
      </c>
      <c r="BI410" s="49">
        <f t="shared" si="257"/>
        <v>0</v>
      </c>
      <c r="BJ410" s="49">
        <f t="shared" si="258"/>
        <v>0</v>
      </c>
      <c r="BK410" s="49">
        <f t="shared" si="259"/>
        <v>0</v>
      </c>
      <c r="BL410" s="49">
        <f t="shared" si="260"/>
        <v>1</v>
      </c>
      <c r="BM410" s="49">
        <f t="shared" si="261"/>
        <v>0</v>
      </c>
      <c r="BN410" s="49">
        <f t="shared" si="262"/>
        <v>0</v>
      </c>
      <c r="BO410" s="49">
        <f t="shared" si="263"/>
        <v>0</v>
      </c>
      <c r="BP410" s="49">
        <f t="shared" si="264"/>
        <v>1</v>
      </c>
      <c r="BQ410" s="49">
        <f t="shared" si="265"/>
        <v>0</v>
      </c>
      <c r="BR410" s="49">
        <f t="shared" si="266"/>
        <v>0</v>
      </c>
      <c r="BS410" s="49">
        <f t="shared" si="267"/>
        <v>0</v>
      </c>
      <c r="BT410" s="49">
        <f t="shared" si="268"/>
        <v>1</v>
      </c>
      <c r="BU410" s="49">
        <f t="shared" si="269"/>
        <v>0</v>
      </c>
      <c r="BV410" s="49">
        <f t="shared" si="270"/>
        <v>0</v>
      </c>
      <c r="BW410" s="49">
        <f t="shared" si="271"/>
        <v>0</v>
      </c>
      <c r="BX410" s="49">
        <f t="shared" si="272"/>
        <v>1</v>
      </c>
      <c r="BY410" s="49">
        <f t="shared" si="273"/>
        <v>0</v>
      </c>
      <c r="BZ410" s="49">
        <f t="shared" si="274"/>
        <v>0</v>
      </c>
      <c r="CA410" s="49">
        <f t="shared" si="275"/>
        <v>0</v>
      </c>
      <c r="CB410" s="49">
        <f t="shared" si="276"/>
        <v>1</v>
      </c>
      <c r="CC410" s="49">
        <f t="shared" si="277"/>
        <v>0</v>
      </c>
      <c r="CD410" s="49">
        <f t="shared" si="278"/>
        <v>0</v>
      </c>
      <c r="CE410" s="49">
        <f t="shared" si="279"/>
        <v>0</v>
      </c>
    </row>
    <row r="411" spans="1:83" ht="35.1" customHeight="1" x14ac:dyDescent="0.3">
      <c r="A411" s="123" t="str">
        <f t="shared" si="240"/>
        <v>4팀</v>
      </c>
      <c r="B411" s="69">
        <f t="shared" si="241"/>
        <v>405</v>
      </c>
      <c r="C411" s="120" t="str">
        <f>IF(VLOOKUP($B411,'1. 현장별 인원현황'!$C:$J,2,0)=0,"",VLOOKUP($B411,'1. 현장별 인원현황'!$C:$J,2,0))</f>
        <v xml:space="preserve"> [4.롯데건설] 검단신도시 101 역세권 공모사업(C9-1BL, C9-2BL)</v>
      </c>
      <c r="D411" s="70" t="str">
        <f>IF(VLOOKUP($B411,'1. 현장별 인원현황'!$C:$J,3,0)=0,"",VLOOKUP($B411,'1. 현장별 인원현황'!$C:$J,3,0))</f>
        <v>송철완</v>
      </c>
      <c r="E411" s="74" t="str">
        <f ca="1">IF(VLOOKUP($B411,'1. 현장별 인원현황'!$C:$J,4,0)=0,"",VLOOKUP($B411,'1. 현장별 인원현황'!$C:$J,4,0))</f>
        <v>29세</v>
      </c>
      <c r="F411" s="70" t="str">
        <f>IF(VLOOKUP($B411,'1. 현장별 인원현황'!$C:$J,7,0)=0,"",VLOOKUP($B411,'1. 현장별 인원현황'!$C:$J,7,0))</f>
        <v>안전관리자</v>
      </c>
      <c r="G411" s="72" t="str">
        <f>IF(VLOOKUP($B411,'1. 현장별 인원현황'!$C:$J,8,0)=0,"",VLOOKUP($B411,'1. 현장별 인원현황'!$C:$J,8,0))</f>
        <v>기사</v>
      </c>
      <c r="H411" s="67"/>
      <c r="I411" s="73"/>
      <c r="J411" s="73" t="s">
        <v>69</v>
      </c>
      <c r="K411" s="68"/>
      <c r="L411" s="67"/>
      <c r="M411" s="73"/>
      <c r="N411" s="73" t="s">
        <v>69</v>
      </c>
      <c r="O411" s="68"/>
      <c r="P411" s="67"/>
      <c r="Q411" s="73"/>
      <c r="R411" s="73" t="s">
        <v>69</v>
      </c>
      <c r="S411" s="68"/>
      <c r="T411" s="67"/>
      <c r="U411" s="73"/>
      <c r="V411" s="73" t="s">
        <v>69</v>
      </c>
      <c r="W411" s="68"/>
      <c r="X411" s="67" t="s">
        <v>69</v>
      </c>
      <c r="Y411" s="73"/>
      <c r="Z411" s="73"/>
      <c r="AA411" s="68"/>
      <c r="AB411" s="67" t="s">
        <v>69</v>
      </c>
      <c r="AC411" s="73"/>
      <c r="AD411" s="73"/>
      <c r="AE411" s="68"/>
      <c r="AF411" s="67" t="s">
        <v>69</v>
      </c>
      <c r="AG411" s="73"/>
      <c r="AH411" s="73"/>
      <c r="AI411" s="68"/>
      <c r="AJ411" s="67" t="s">
        <v>69</v>
      </c>
      <c r="AK411" s="73"/>
      <c r="AL411" s="73"/>
      <c r="AM411" s="68"/>
      <c r="AN411" s="73" t="s">
        <v>69</v>
      </c>
      <c r="AO411" s="73"/>
      <c r="AP411" s="73"/>
      <c r="AQ411" s="68"/>
      <c r="AR411" s="67">
        <f t="shared" si="242"/>
        <v>78</v>
      </c>
      <c r="AS411" s="68" t="str">
        <f t="shared" si="243"/>
        <v>A</v>
      </c>
      <c r="AV411" s="49">
        <f t="shared" si="244"/>
        <v>0</v>
      </c>
      <c r="AW411" s="49">
        <f t="shared" si="245"/>
        <v>0</v>
      </c>
      <c r="AX411" s="49">
        <f t="shared" si="246"/>
        <v>1</v>
      </c>
      <c r="AY411" s="49">
        <f t="shared" si="247"/>
        <v>0</v>
      </c>
      <c r="AZ411" s="49">
        <f t="shared" si="248"/>
        <v>0</v>
      </c>
      <c r="BA411" s="49">
        <f t="shared" si="249"/>
        <v>0</v>
      </c>
      <c r="BB411" s="49">
        <f t="shared" si="250"/>
        <v>1</v>
      </c>
      <c r="BC411" s="49">
        <f t="shared" si="251"/>
        <v>0</v>
      </c>
      <c r="BD411" s="49">
        <f t="shared" si="252"/>
        <v>0</v>
      </c>
      <c r="BE411" s="49">
        <f t="shared" si="253"/>
        <v>0</v>
      </c>
      <c r="BF411" s="49">
        <f t="shared" si="254"/>
        <v>1</v>
      </c>
      <c r="BG411" s="49">
        <f t="shared" si="255"/>
        <v>0</v>
      </c>
      <c r="BH411" s="49">
        <f t="shared" si="256"/>
        <v>0</v>
      </c>
      <c r="BI411" s="49">
        <f t="shared" si="257"/>
        <v>0</v>
      </c>
      <c r="BJ411" s="49">
        <f t="shared" si="258"/>
        <v>1</v>
      </c>
      <c r="BK411" s="49">
        <f t="shared" si="259"/>
        <v>0</v>
      </c>
      <c r="BL411" s="49">
        <f t="shared" si="260"/>
        <v>1</v>
      </c>
      <c r="BM411" s="49">
        <f t="shared" si="261"/>
        <v>0</v>
      </c>
      <c r="BN411" s="49">
        <f t="shared" si="262"/>
        <v>0</v>
      </c>
      <c r="BO411" s="49">
        <f t="shared" si="263"/>
        <v>0</v>
      </c>
      <c r="BP411" s="49">
        <f t="shared" si="264"/>
        <v>1</v>
      </c>
      <c r="BQ411" s="49">
        <f t="shared" si="265"/>
        <v>0</v>
      </c>
      <c r="BR411" s="49">
        <f t="shared" si="266"/>
        <v>0</v>
      </c>
      <c r="BS411" s="49">
        <f t="shared" si="267"/>
        <v>0</v>
      </c>
      <c r="BT411" s="49">
        <f t="shared" si="268"/>
        <v>1</v>
      </c>
      <c r="BU411" s="49">
        <f t="shared" si="269"/>
        <v>0</v>
      </c>
      <c r="BV411" s="49">
        <f t="shared" si="270"/>
        <v>0</v>
      </c>
      <c r="BW411" s="49">
        <f t="shared" si="271"/>
        <v>0</v>
      </c>
      <c r="BX411" s="49">
        <f t="shared" si="272"/>
        <v>1</v>
      </c>
      <c r="BY411" s="49">
        <f t="shared" si="273"/>
        <v>0</v>
      </c>
      <c r="BZ411" s="49">
        <f t="shared" si="274"/>
        <v>0</v>
      </c>
      <c r="CA411" s="49">
        <f t="shared" si="275"/>
        <v>0</v>
      </c>
      <c r="CB411" s="49">
        <f t="shared" si="276"/>
        <v>1</v>
      </c>
      <c r="CC411" s="49">
        <f t="shared" si="277"/>
        <v>0</v>
      </c>
      <c r="CD411" s="49">
        <f t="shared" si="278"/>
        <v>0</v>
      </c>
      <c r="CE411" s="49">
        <f t="shared" si="279"/>
        <v>0</v>
      </c>
    </row>
    <row r="412" spans="1:83" ht="35.1" customHeight="1" x14ac:dyDescent="0.3">
      <c r="A412" s="123" t="str">
        <f t="shared" si="240"/>
        <v>4팀</v>
      </c>
      <c r="B412" s="69">
        <f t="shared" si="241"/>
        <v>406</v>
      </c>
      <c r="C412" s="120" t="str">
        <f>IF(VLOOKUP($B412,'1. 현장별 인원현황'!$C:$J,2,0)=0,"",VLOOKUP($B412,'1. 현장별 인원현황'!$C:$J,2,0))</f>
        <v xml:space="preserve"> [4.롯데건설] 검단신도시 101 역세권 공모사업(C9-1BL, C9-2BL)</v>
      </c>
      <c r="D412" s="70" t="str">
        <f>IF(VLOOKUP($B412,'1. 현장별 인원현황'!$C:$J,3,0)=0,"",VLOOKUP($B412,'1. 현장별 인원현황'!$C:$J,3,0))</f>
        <v>이종남</v>
      </c>
      <c r="E412" s="74" t="str">
        <f ca="1">IF(VLOOKUP($B412,'1. 현장별 인원현황'!$C:$J,4,0)=0,"",VLOOKUP($B412,'1. 현장별 인원현황'!$C:$J,4,0))</f>
        <v>56세</v>
      </c>
      <c r="F412" s="70" t="str">
        <f>IF(VLOOKUP($B412,'1. 현장별 인원현황'!$C:$J,7,0)=0,"",VLOOKUP($B412,'1. 현장별 인원현황'!$C:$J,7,0))</f>
        <v>공사</v>
      </c>
      <c r="G412" s="72" t="str">
        <f>IF(VLOOKUP($B412,'1. 현장별 인원현황'!$C:$J,8,0)=0,"",VLOOKUP($B412,'1. 현장별 인원현황'!$C:$J,8,0))</f>
        <v>차장</v>
      </c>
      <c r="H412" s="67" t="s">
        <v>69</v>
      </c>
      <c r="I412" s="73"/>
      <c r="J412" s="73"/>
      <c r="K412" s="68"/>
      <c r="L412" s="67" t="s">
        <v>69</v>
      </c>
      <c r="M412" s="73"/>
      <c r="N412" s="73"/>
      <c r="O412" s="68"/>
      <c r="P412" s="67" t="s">
        <v>69</v>
      </c>
      <c r="Q412" s="73"/>
      <c r="R412" s="73"/>
      <c r="S412" s="68"/>
      <c r="T412" s="67" t="s">
        <v>69</v>
      </c>
      <c r="U412" s="73"/>
      <c r="V412" s="73"/>
      <c r="W412" s="68"/>
      <c r="X412" s="67" t="s">
        <v>69</v>
      </c>
      <c r="Y412" s="73"/>
      <c r="Z412" s="73"/>
      <c r="AA412" s="68"/>
      <c r="AB412" s="67" t="s">
        <v>69</v>
      </c>
      <c r="AC412" s="73"/>
      <c r="AD412" s="73"/>
      <c r="AE412" s="68"/>
      <c r="AF412" s="67" t="s">
        <v>69</v>
      </c>
      <c r="AG412" s="73"/>
      <c r="AH412" s="73"/>
      <c r="AI412" s="68"/>
      <c r="AJ412" s="67" t="s">
        <v>69</v>
      </c>
      <c r="AK412" s="73"/>
      <c r="AL412" s="73"/>
      <c r="AM412" s="68"/>
      <c r="AN412" s="73" t="s">
        <v>69</v>
      </c>
      <c r="AO412" s="73"/>
      <c r="AP412" s="73"/>
      <c r="AQ412" s="68"/>
      <c r="AR412" s="67">
        <f t="shared" si="242"/>
        <v>100</v>
      </c>
      <c r="AS412" s="68" t="str">
        <f t="shared" si="243"/>
        <v>S</v>
      </c>
      <c r="AV412" s="49">
        <f t="shared" si="244"/>
        <v>1</v>
      </c>
      <c r="AW412" s="49">
        <f t="shared" si="245"/>
        <v>0</v>
      </c>
      <c r="AX412" s="49">
        <f t="shared" si="246"/>
        <v>0</v>
      </c>
      <c r="AY412" s="49">
        <f t="shared" si="247"/>
        <v>0</v>
      </c>
      <c r="AZ412" s="49">
        <f t="shared" si="248"/>
        <v>1</v>
      </c>
      <c r="BA412" s="49">
        <f t="shared" si="249"/>
        <v>0</v>
      </c>
      <c r="BB412" s="49">
        <f t="shared" si="250"/>
        <v>0</v>
      </c>
      <c r="BC412" s="49">
        <f t="shared" si="251"/>
        <v>0</v>
      </c>
      <c r="BD412" s="49">
        <f t="shared" si="252"/>
        <v>1</v>
      </c>
      <c r="BE412" s="49">
        <f t="shared" si="253"/>
        <v>0</v>
      </c>
      <c r="BF412" s="49">
        <f t="shared" si="254"/>
        <v>0</v>
      </c>
      <c r="BG412" s="49">
        <f t="shared" si="255"/>
        <v>0</v>
      </c>
      <c r="BH412" s="49">
        <f t="shared" si="256"/>
        <v>1</v>
      </c>
      <c r="BI412" s="49">
        <f t="shared" si="257"/>
        <v>0</v>
      </c>
      <c r="BJ412" s="49">
        <f t="shared" si="258"/>
        <v>0</v>
      </c>
      <c r="BK412" s="49">
        <f t="shared" si="259"/>
        <v>0</v>
      </c>
      <c r="BL412" s="49">
        <f t="shared" si="260"/>
        <v>1</v>
      </c>
      <c r="BM412" s="49">
        <f t="shared" si="261"/>
        <v>0</v>
      </c>
      <c r="BN412" s="49">
        <f t="shared" si="262"/>
        <v>0</v>
      </c>
      <c r="BO412" s="49">
        <f t="shared" si="263"/>
        <v>0</v>
      </c>
      <c r="BP412" s="49">
        <f t="shared" si="264"/>
        <v>1</v>
      </c>
      <c r="BQ412" s="49">
        <f t="shared" si="265"/>
        <v>0</v>
      </c>
      <c r="BR412" s="49">
        <f t="shared" si="266"/>
        <v>0</v>
      </c>
      <c r="BS412" s="49">
        <f t="shared" si="267"/>
        <v>0</v>
      </c>
      <c r="BT412" s="49">
        <f t="shared" si="268"/>
        <v>1</v>
      </c>
      <c r="BU412" s="49">
        <f t="shared" si="269"/>
        <v>0</v>
      </c>
      <c r="BV412" s="49">
        <f t="shared" si="270"/>
        <v>0</v>
      </c>
      <c r="BW412" s="49">
        <f t="shared" si="271"/>
        <v>0</v>
      </c>
      <c r="BX412" s="49">
        <f t="shared" si="272"/>
        <v>1</v>
      </c>
      <c r="BY412" s="49">
        <f t="shared" si="273"/>
        <v>0</v>
      </c>
      <c r="BZ412" s="49">
        <f t="shared" si="274"/>
        <v>0</v>
      </c>
      <c r="CA412" s="49">
        <f t="shared" si="275"/>
        <v>0</v>
      </c>
      <c r="CB412" s="49">
        <f t="shared" si="276"/>
        <v>1</v>
      </c>
      <c r="CC412" s="49">
        <f t="shared" si="277"/>
        <v>0</v>
      </c>
      <c r="CD412" s="49">
        <f t="shared" si="278"/>
        <v>0</v>
      </c>
      <c r="CE412" s="49">
        <f t="shared" si="279"/>
        <v>0</v>
      </c>
    </row>
    <row r="413" spans="1:83" ht="35.1" customHeight="1" x14ac:dyDescent="0.3">
      <c r="A413" s="123" t="str">
        <f t="shared" si="240"/>
        <v>4팀</v>
      </c>
      <c r="B413" s="69">
        <f t="shared" si="241"/>
        <v>407</v>
      </c>
      <c r="C413" s="120" t="str">
        <f>IF(VLOOKUP($B413,'1. 현장별 인원현황'!$C:$J,2,0)=0,"",VLOOKUP($B413,'1. 현장별 인원현황'!$C:$J,2,0))</f>
        <v xml:space="preserve"> [4.롯데건설] 검단신도시 101 역세권 공모사업(C9-1BL, C9-2BL)</v>
      </c>
      <c r="D413" s="70" t="str">
        <f>IF(VLOOKUP($B413,'1. 현장별 인원현황'!$C:$J,3,0)=0,"",VLOOKUP($B413,'1. 현장별 인원현황'!$C:$J,3,0))</f>
        <v>강한규</v>
      </c>
      <c r="E413" s="74" t="str">
        <f ca="1">IF(VLOOKUP($B413,'1. 현장별 인원현황'!$C:$J,4,0)=0,"",VLOOKUP($B413,'1. 현장별 인원현황'!$C:$J,4,0))</f>
        <v>57세</v>
      </c>
      <c r="F413" s="70" t="str">
        <f>IF(VLOOKUP($B413,'1. 현장별 인원현황'!$C:$J,7,0)=0,"",VLOOKUP($B413,'1. 현장별 인원현황'!$C:$J,7,0))</f>
        <v>공사</v>
      </c>
      <c r="G413" s="72" t="str">
        <f>IF(VLOOKUP($B413,'1. 현장별 인원현황'!$C:$J,8,0)=0,"",VLOOKUP($B413,'1. 현장별 인원현황'!$C:$J,8,0))</f>
        <v>차장</v>
      </c>
      <c r="H413" s="67" t="s">
        <v>69</v>
      </c>
      <c r="I413" s="73"/>
      <c r="J413" s="73"/>
      <c r="K413" s="68"/>
      <c r="L413" s="67" t="s">
        <v>69</v>
      </c>
      <c r="M413" s="73"/>
      <c r="N413" s="73"/>
      <c r="O413" s="68"/>
      <c r="P413" s="67" t="s">
        <v>69</v>
      </c>
      <c r="Q413" s="73"/>
      <c r="R413" s="73"/>
      <c r="S413" s="68"/>
      <c r="T413" s="67" t="s">
        <v>69</v>
      </c>
      <c r="U413" s="73"/>
      <c r="V413" s="73"/>
      <c r="W413" s="68"/>
      <c r="X413" s="67" t="s">
        <v>69</v>
      </c>
      <c r="Y413" s="73"/>
      <c r="Z413" s="73"/>
      <c r="AA413" s="68"/>
      <c r="AB413" s="67" t="s">
        <v>69</v>
      </c>
      <c r="AC413" s="73"/>
      <c r="AD413" s="73"/>
      <c r="AE413" s="68"/>
      <c r="AF413" s="67" t="s">
        <v>69</v>
      </c>
      <c r="AG413" s="73"/>
      <c r="AH413" s="73"/>
      <c r="AI413" s="68"/>
      <c r="AJ413" s="67" t="s">
        <v>69</v>
      </c>
      <c r="AK413" s="73"/>
      <c r="AL413" s="73"/>
      <c r="AM413" s="68"/>
      <c r="AN413" s="73" t="s">
        <v>69</v>
      </c>
      <c r="AO413" s="73"/>
      <c r="AP413" s="73"/>
      <c r="AQ413" s="68"/>
      <c r="AR413" s="67">
        <f t="shared" si="242"/>
        <v>100</v>
      </c>
      <c r="AS413" s="68" t="str">
        <f t="shared" si="243"/>
        <v>S</v>
      </c>
      <c r="AV413" s="49">
        <f t="shared" si="244"/>
        <v>1</v>
      </c>
      <c r="AW413" s="49">
        <f t="shared" si="245"/>
        <v>0</v>
      </c>
      <c r="AX413" s="49">
        <f t="shared" si="246"/>
        <v>0</v>
      </c>
      <c r="AY413" s="49">
        <f t="shared" si="247"/>
        <v>0</v>
      </c>
      <c r="AZ413" s="49">
        <f t="shared" si="248"/>
        <v>1</v>
      </c>
      <c r="BA413" s="49">
        <f t="shared" si="249"/>
        <v>0</v>
      </c>
      <c r="BB413" s="49">
        <f t="shared" si="250"/>
        <v>0</v>
      </c>
      <c r="BC413" s="49">
        <f t="shared" si="251"/>
        <v>0</v>
      </c>
      <c r="BD413" s="49">
        <f t="shared" si="252"/>
        <v>1</v>
      </c>
      <c r="BE413" s="49">
        <f t="shared" si="253"/>
        <v>0</v>
      </c>
      <c r="BF413" s="49">
        <f t="shared" si="254"/>
        <v>0</v>
      </c>
      <c r="BG413" s="49">
        <f t="shared" si="255"/>
        <v>0</v>
      </c>
      <c r="BH413" s="49">
        <f t="shared" si="256"/>
        <v>1</v>
      </c>
      <c r="BI413" s="49">
        <f t="shared" si="257"/>
        <v>0</v>
      </c>
      <c r="BJ413" s="49">
        <f t="shared" si="258"/>
        <v>0</v>
      </c>
      <c r="BK413" s="49">
        <f t="shared" si="259"/>
        <v>0</v>
      </c>
      <c r="BL413" s="49">
        <f t="shared" si="260"/>
        <v>1</v>
      </c>
      <c r="BM413" s="49">
        <f t="shared" si="261"/>
        <v>0</v>
      </c>
      <c r="BN413" s="49">
        <f t="shared" si="262"/>
        <v>0</v>
      </c>
      <c r="BO413" s="49">
        <f t="shared" si="263"/>
        <v>0</v>
      </c>
      <c r="BP413" s="49">
        <f t="shared" si="264"/>
        <v>1</v>
      </c>
      <c r="BQ413" s="49">
        <f t="shared" si="265"/>
        <v>0</v>
      </c>
      <c r="BR413" s="49">
        <f t="shared" si="266"/>
        <v>0</v>
      </c>
      <c r="BS413" s="49">
        <f t="shared" si="267"/>
        <v>0</v>
      </c>
      <c r="BT413" s="49">
        <f t="shared" si="268"/>
        <v>1</v>
      </c>
      <c r="BU413" s="49">
        <f t="shared" si="269"/>
        <v>0</v>
      </c>
      <c r="BV413" s="49">
        <f t="shared" si="270"/>
        <v>0</v>
      </c>
      <c r="BW413" s="49">
        <f t="shared" si="271"/>
        <v>0</v>
      </c>
      <c r="BX413" s="49">
        <f t="shared" si="272"/>
        <v>1</v>
      </c>
      <c r="BY413" s="49">
        <f t="shared" si="273"/>
        <v>0</v>
      </c>
      <c r="BZ413" s="49">
        <f t="shared" si="274"/>
        <v>0</v>
      </c>
      <c r="CA413" s="49">
        <f t="shared" si="275"/>
        <v>0</v>
      </c>
      <c r="CB413" s="49">
        <f t="shared" si="276"/>
        <v>1</v>
      </c>
      <c r="CC413" s="49">
        <f t="shared" si="277"/>
        <v>0</v>
      </c>
      <c r="CD413" s="49">
        <f t="shared" si="278"/>
        <v>0</v>
      </c>
      <c r="CE413" s="49">
        <f t="shared" si="279"/>
        <v>0</v>
      </c>
    </row>
    <row r="414" spans="1:83" ht="35.1" customHeight="1" x14ac:dyDescent="0.3">
      <c r="A414" s="123" t="str">
        <f t="shared" si="240"/>
        <v>4팀</v>
      </c>
      <c r="B414" s="69">
        <f t="shared" si="241"/>
        <v>408</v>
      </c>
      <c r="C414" s="120" t="str">
        <f>IF(VLOOKUP($B414,'1. 현장별 인원현황'!$C:$J,2,0)=0,"",VLOOKUP($B414,'1. 현장별 인원현황'!$C:$J,2,0))</f>
        <v xml:space="preserve"> [4.롯데건설] 검단신도시 101 역세권 공모사업(C9-1BL, C9-2BL)</v>
      </c>
      <c r="D414" s="70" t="str">
        <f>IF(VLOOKUP($B414,'1. 현장별 인원현황'!$C:$J,3,0)=0,"",VLOOKUP($B414,'1. 현장별 인원현황'!$C:$J,3,0))</f>
        <v>김철</v>
      </c>
      <c r="E414" s="74" t="str">
        <f ca="1">IF(VLOOKUP($B414,'1. 현장별 인원현황'!$C:$J,4,0)=0,"",VLOOKUP($B414,'1. 현장별 인원현황'!$C:$J,4,0))</f>
        <v>45세</v>
      </c>
      <c r="F414" s="70" t="str">
        <f>IF(VLOOKUP($B414,'1. 현장별 인원현황'!$C:$J,7,0)=0,"",VLOOKUP($B414,'1. 현장별 인원현황'!$C:$J,7,0))</f>
        <v>기능공</v>
      </c>
      <c r="G414" s="72" t="str">
        <f>IF(VLOOKUP($B414,'1. 현장별 인원현황'!$C:$J,8,0)=0,"",VLOOKUP($B414,'1. 현장별 인원현황'!$C:$J,8,0))</f>
        <v>전공</v>
      </c>
      <c r="H414" s="67" t="s">
        <v>69</v>
      </c>
      <c r="I414" s="73"/>
      <c r="J414" s="73"/>
      <c r="K414" s="68"/>
      <c r="L414" s="67" t="s">
        <v>69</v>
      </c>
      <c r="M414" s="73"/>
      <c r="N414" s="73"/>
      <c r="O414" s="68"/>
      <c r="P414" s="67" t="s">
        <v>69</v>
      </c>
      <c r="Q414" s="73"/>
      <c r="R414" s="73"/>
      <c r="S414" s="68"/>
      <c r="T414" s="67" t="s">
        <v>69</v>
      </c>
      <c r="U414" s="73"/>
      <c r="V414" s="73"/>
      <c r="W414" s="68"/>
      <c r="X414" s="67" t="s">
        <v>69</v>
      </c>
      <c r="Y414" s="73"/>
      <c r="Z414" s="73"/>
      <c r="AA414" s="68"/>
      <c r="AB414" s="67" t="s">
        <v>69</v>
      </c>
      <c r="AC414" s="73"/>
      <c r="AD414" s="73"/>
      <c r="AE414" s="68"/>
      <c r="AF414" s="67" t="s">
        <v>69</v>
      </c>
      <c r="AG414" s="73"/>
      <c r="AH414" s="73"/>
      <c r="AI414" s="68"/>
      <c r="AJ414" s="67" t="s">
        <v>69</v>
      </c>
      <c r="AK414" s="73"/>
      <c r="AL414" s="73"/>
      <c r="AM414" s="68"/>
      <c r="AN414" s="73" t="s">
        <v>69</v>
      </c>
      <c r="AO414" s="73"/>
      <c r="AP414" s="73"/>
      <c r="AQ414" s="68"/>
      <c r="AR414" s="67">
        <f t="shared" si="242"/>
        <v>100</v>
      </c>
      <c r="AS414" s="68" t="str">
        <f t="shared" si="243"/>
        <v>S</v>
      </c>
      <c r="AV414" s="49">
        <f t="shared" si="244"/>
        <v>1</v>
      </c>
      <c r="AW414" s="49">
        <f t="shared" si="245"/>
        <v>0</v>
      </c>
      <c r="AX414" s="49">
        <f t="shared" si="246"/>
        <v>0</v>
      </c>
      <c r="AY414" s="49">
        <f t="shared" si="247"/>
        <v>0</v>
      </c>
      <c r="AZ414" s="49">
        <f t="shared" si="248"/>
        <v>1</v>
      </c>
      <c r="BA414" s="49">
        <f t="shared" si="249"/>
        <v>0</v>
      </c>
      <c r="BB414" s="49">
        <f t="shared" si="250"/>
        <v>0</v>
      </c>
      <c r="BC414" s="49">
        <f t="shared" si="251"/>
        <v>0</v>
      </c>
      <c r="BD414" s="49">
        <f t="shared" si="252"/>
        <v>1</v>
      </c>
      <c r="BE414" s="49">
        <f t="shared" si="253"/>
        <v>0</v>
      </c>
      <c r="BF414" s="49">
        <f t="shared" si="254"/>
        <v>0</v>
      </c>
      <c r="BG414" s="49">
        <f t="shared" si="255"/>
        <v>0</v>
      </c>
      <c r="BH414" s="49">
        <f t="shared" si="256"/>
        <v>1</v>
      </c>
      <c r="BI414" s="49">
        <f t="shared" si="257"/>
        <v>0</v>
      </c>
      <c r="BJ414" s="49">
        <f t="shared" si="258"/>
        <v>0</v>
      </c>
      <c r="BK414" s="49">
        <f t="shared" si="259"/>
        <v>0</v>
      </c>
      <c r="BL414" s="49">
        <f t="shared" si="260"/>
        <v>1</v>
      </c>
      <c r="BM414" s="49">
        <f t="shared" si="261"/>
        <v>0</v>
      </c>
      <c r="BN414" s="49">
        <f t="shared" si="262"/>
        <v>0</v>
      </c>
      <c r="BO414" s="49">
        <f t="shared" si="263"/>
        <v>0</v>
      </c>
      <c r="BP414" s="49">
        <f t="shared" si="264"/>
        <v>1</v>
      </c>
      <c r="BQ414" s="49">
        <f t="shared" si="265"/>
        <v>0</v>
      </c>
      <c r="BR414" s="49">
        <f t="shared" si="266"/>
        <v>0</v>
      </c>
      <c r="BS414" s="49">
        <f t="shared" si="267"/>
        <v>0</v>
      </c>
      <c r="BT414" s="49">
        <f t="shared" si="268"/>
        <v>1</v>
      </c>
      <c r="BU414" s="49">
        <f t="shared" si="269"/>
        <v>0</v>
      </c>
      <c r="BV414" s="49">
        <f t="shared" si="270"/>
        <v>0</v>
      </c>
      <c r="BW414" s="49">
        <f t="shared" si="271"/>
        <v>0</v>
      </c>
      <c r="BX414" s="49">
        <f t="shared" si="272"/>
        <v>1</v>
      </c>
      <c r="BY414" s="49">
        <f t="shared" si="273"/>
        <v>0</v>
      </c>
      <c r="BZ414" s="49">
        <f t="shared" si="274"/>
        <v>0</v>
      </c>
      <c r="CA414" s="49">
        <f t="shared" si="275"/>
        <v>0</v>
      </c>
      <c r="CB414" s="49">
        <f t="shared" si="276"/>
        <v>1</v>
      </c>
      <c r="CC414" s="49">
        <f t="shared" si="277"/>
        <v>0</v>
      </c>
      <c r="CD414" s="49">
        <f t="shared" si="278"/>
        <v>0</v>
      </c>
      <c r="CE414" s="49">
        <f t="shared" si="279"/>
        <v>0</v>
      </c>
    </row>
    <row r="415" spans="1:83" ht="35.1" customHeight="1" x14ac:dyDescent="0.3">
      <c r="A415" s="123" t="str">
        <f t="shared" si="240"/>
        <v>4팀</v>
      </c>
      <c r="B415" s="69">
        <f t="shared" si="241"/>
        <v>409</v>
      </c>
      <c r="C415" s="120" t="str">
        <f>IF(VLOOKUP($B415,'1. 현장별 인원현황'!$C:$J,2,0)=0,"",VLOOKUP($B415,'1. 현장별 인원현황'!$C:$J,2,0))</f>
        <v xml:space="preserve"> [4.롯데건설] 검단신도시 101 역세권 공모사업(C9-1BL, C9-2BL)</v>
      </c>
      <c r="D415" s="70" t="str">
        <f>IF(VLOOKUP($B415,'1. 현장별 인원현황'!$C:$J,3,0)=0,"",VLOOKUP($B415,'1. 현장별 인원현황'!$C:$J,3,0))</f>
        <v>전봉준</v>
      </c>
      <c r="E415" s="74" t="str">
        <f ca="1">IF(VLOOKUP($B415,'1. 현장별 인원현황'!$C:$J,4,0)=0,"",VLOOKUP($B415,'1. 현장별 인원현황'!$C:$J,4,0))</f>
        <v>46세</v>
      </c>
      <c r="F415" s="70" t="str">
        <f>IF(VLOOKUP($B415,'1. 현장별 인원현황'!$C:$J,7,0)=0,"",VLOOKUP($B415,'1. 현장별 인원현황'!$C:$J,7,0))</f>
        <v>기능공</v>
      </c>
      <c r="G415" s="72" t="str">
        <f>IF(VLOOKUP($B415,'1. 현장별 인원현황'!$C:$J,8,0)=0,"",VLOOKUP($B415,'1. 현장별 인원현황'!$C:$J,8,0))</f>
        <v>전공</v>
      </c>
      <c r="H415" s="67" t="s">
        <v>69</v>
      </c>
      <c r="I415" s="73"/>
      <c r="J415" s="73"/>
      <c r="K415" s="68"/>
      <c r="L415" s="67" t="s">
        <v>69</v>
      </c>
      <c r="M415" s="73"/>
      <c r="N415" s="73"/>
      <c r="O415" s="68"/>
      <c r="P415" s="67" t="s">
        <v>69</v>
      </c>
      <c r="Q415" s="73"/>
      <c r="R415" s="73"/>
      <c r="S415" s="68"/>
      <c r="T415" s="67" t="s">
        <v>69</v>
      </c>
      <c r="U415" s="73"/>
      <c r="V415" s="73"/>
      <c r="W415" s="68"/>
      <c r="X415" s="67" t="s">
        <v>69</v>
      </c>
      <c r="Y415" s="73"/>
      <c r="Z415" s="73"/>
      <c r="AA415" s="68"/>
      <c r="AB415" s="67" t="s">
        <v>69</v>
      </c>
      <c r="AC415" s="73"/>
      <c r="AD415" s="73"/>
      <c r="AE415" s="68"/>
      <c r="AF415" s="67" t="s">
        <v>69</v>
      </c>
      <c r="AG415" s="73"/>
      <c r="AH415" s="73"/>
      <c r="AI415" s="68"/>
      <c r="AJ415" s="67" t="s">
        <v>69</v>
      </c>
      <c r="AK415" s="73"/>
      <c r="AL415" s="73"/>
      <c r="AM415" s="68"/>
      <c r="AN415" s="73" t="s">
        <v>69</v>
      </c>
      <c r="AO415" s="73"/>
      <c r="AP415" s="73"/>
      <c r="AQ415" s="68"/>
      <c r="AR415" s="67">
        <f t="shared" si="242"/>
        <v>100</v>
      </c>
      <c r="AS415" s="68" t="str">
        <f t="shared" si="243"/>
        <v>S</v>
      </c>
      <c r="AV415" s="49">
        <f t="shared" si="244"/>
        <v>1</v>
      </c>
      <c r="AW415" s="49">
        <f t="shared" si="245"/>
        <v>0</v>
      </c>
      <c r="AX415" s="49">
        <f t="shared" si="246"/>
        <v>0</v>
      </c>
      <c r="AY415" s="49">
        <f t="shared" si="247"/>
        <v>0</v>
      </c>
      <c r="AZ415" s="49">
        <f t="shared" si="248"/>
        <v>1</v>
      </c>
      <c r="BA415" s="49">
        <f t="shared" si="249"/>
        <v>0</v>
      </c>
      <c r="BB415" s="49">
        <f t="shared" si="250"/>
        <v>0</v>
      </c>
      <c r="BC415" s="49">
        <f t="shared" si="251"/>
        <v>0</v>
      </c>
      <c r="BD415" s="49">
        <f t="shared" si="252"/>
        <v>1</v>
      </c>
      <c r="BE415" s="49">
        <f t="shared" si="253"/>
        <v>0</v>
      </c>
      <c r="BF415" s="49">
        <f t="shared" si="254"/>
        <v>0</v>
      </c>
      <c r="BG415" s="49">
        <f t="shared" si="255"/>
        <v>0</v>
      </c>
      <c r="BH415" s="49">
        <f t="shared" si="256"/>
        <v>1</v>
      </c>
      <c r="BI415" s="49">
        <f t="shared" si="257"/>
        <v>0</v>
      </c>
      <c r="BJ415" s="49">
        <f t="shared" si="258"/>
        <v>0</v>
      </c>
      <c r="BK415" s="49">
        <f t="shared" si="259"/>
        <v>0</v>
      </c>
      <c r="BL415" s="49">
        <f t="shared" si="260"/>
        <v>1</v>
      </c>
      <c r="BM415" s="49">
        <f t="shared" si="261"/>
        <v>0</v>
      </c>
      <c r="BN415" s="49">
        <f t="shared" si="262"/>
        <v>0</v>
      </c>
      <c r="BO415" s="49">
        <f t="shared" si="263"/>
        <v>0</v>
      </c>
      <c r="BP415" s="49">
        <f t="shared" si="264"/>
        <v>1</v>
      </c>
      <c r="BQ415" s="49">
        <f t="shared" si="265"/>
        <v>0</v>
      </c>
      <c r="BR415" s="49">
        <f t="shared" si="266"/>
        <v>0</v>
      </c>
      <c r="BS415" s="49">
        <f t="shared" si="267"/>
        <v>0</v>
      </c>
      <c r="BT415" s="49">
        <f t="shared" si="268"/>
        <v>1</v>
      </c>
      <c r="BU415" s="49">
        <f t="shared" si="269"/>
        <v>0</v>
      </c>
      <c r="BV415" s="49">
        <f t="shared" si="270"/>
        <v>0</v>
      </c>
      <c r="BW415" s="49">
        <f t="shared" si="271"/>
        <v>0</v>
      </c>
      <c r="BX415" s="49">
        <f t="shared" si="272"/>
        <v>1</v>
      </c>
      <c r="BY415" s="49">
        <f t="shared" si="273"/>
        <v>0</v>
      </c>
      <c r="BZ415" s="49">
        <f t="shared" si="274"/>
        <v>0</v>
      </c>
      <c r="CA415" s="49">
        <f t="shared" si="275"/>
        <v>0</v>
      </c>
      <c r="CB415" s="49">
        <f t="shared" si="276"/>
        <v>1</v>
      </c>
      <c r="CC415" s="49">
        <f t="shared" si="277"/>
        <v>0</v>
      </c>
      <c r="CD415" s="49">
        <f t="shared" si="278"/>
        <v>0</v>
      </c>
      <c r="CE415" s="49">
        <f t="shared" si="279"/>
        <v>0</v>
      </c>
    </row>
    <row r="416" spans="1:83" ht="35.1" customHeight="1" x14ac:dyDescent="0.3">
      <c r="A416" s="123" t="str">
        <f t="shared" si="240"/>
        <v>4팀</v>
      </c>
      <c r="B416" s="69">
        <f t="shared" si="241"/>
        <v>410</v>
      </c>
      <c r="C416" s="120" t="str">
        <f>IF(VLOOKUP($B416,'1. 현장별 인원현황'!$C:$J,2,0)=0,"",VLOOKUP($B416,'1. 현장별 인원현황'!$C:$J,2,0))</f>
        <v xml:space="preserve"> [4.롯데건설] 검단신도시 101 역세권 공모사업(C9-1BL, C9-2BL)</v>
      </c>
      <c r="D416" s="70" t="str">
        <f>IF(VLOOKUP($B416,'1. 현장별 인원현황'!$C:$J,3,0)=0,"",VLOOKUP($B416,'1. 현장별 인원현황'!$C:$J,3,0))</f>
        <v>정승협</v>
      </c>
      <c r="E416" s="74" t="str">
        <f ca="1">IF(VLOOKUP($B416,'1. 현장별 인원현황'!$C:$J,4,0)=0,"",VLOOKUP($B416,'1. 현장별 인원현황'!$C:$J,4,0))</f>
        <v>48세</v>
      </c>
      <c r="F416" s="70" t="str">
        <f>IF(VLOOKUP($B416,'1. 현장별 인원현황'!$C:$J,7,0)=0,"",VLOOKUP($B416,'1. 현장별 인원현황'!$C:$J,7,0))</f>
        <v>기능공</v>
      </c>
      <c r="G416" s="72" t="str">
        <f>IF(VLOOKUP($B416,'1. 현장별 인원현황'!$C:$J,8,0)=0,"",VLOOKUP($B416,'1. 현장별 인원현황'!$C:$J,8,0))</f>
        <v>전공</v>
      </c>
      <c r="H416" s="67"/>
      <c r="I416" s="73" t="s">
        <v>69</v>
      </c>
      <c r="J416" s="73"/>
      <c r="K416" s="68"/>
      <c r="L416" s="67"/>
      <c r="M416" s="73" t="s">
        <v>69</v>
      </c>
      <c r="N416" s="73"/>
      <c r="O416" s="68"/>
      <c r="P416" s="67"/>
      <c r="Q416" s="73" t="s">
        <v>69</v>
      </c>
      <c r="R416" s="73"/>
      <c r="S416" s="68"/>
      <c r="T416" s="67"/>
      <c r="U416" s="73" t="s">
        <v>69</v>
      </c>
      <c r="V416" s="73"/>
      <c r="W416" s="68"/>
      <c r="X416" s="67" t="s">
        <v>69</v>
      </c>
      <c r="Y416" s="73"/>
      <c r="Z416" s="73"/>
      <c r="AA416" s="68"/>
      <c r="AB416" s="67" t="s">
        <v>69</v>
      </c>
      <c r="AC416" s="73"/>
      <c r="AD416" s="73"/>
      <c r="AE416" s="68"/>
      <c r="AF416" s="67" t="s">
        <v>69</v>
      </c>
      <c r="AG416" s="73"/>
      <c r="AH416" s="73"/>
      <c r="AI416" s="68"/>
      <c r="AJ416" s="67" t="s">
        <v>69</v>
      </c>
      <c r="AK416" s="73"/>
      <c r="AL416" s="73"/>
      <c r="AM416" s="68"/>
      <c r="AN416" s="73" t="s">
        <v>69</v>
      </c>
      <c r="AO416" s="73"/>
      <c r="AP416" s="73"/>
      <c r="AQ416" s="68"/>
      <c r="AR416" s="67">
        <f t="shared" si="242"/>
        <v>89</v>
      </c>
      <c r="AS416" s="68" t="str">
        <f t="shared" si="243"/>
        <v>S</v>
      </c>
      <c r="AV416" s="49">
        <f t="shared" si="244"/>
        <v>0</v>
      </c>
      <c r="AW416" s="49">
        <f t="shared" si="245"/>
        <v>1</v>
      </c>
      <c r="AX416" s="49">
        <f t="shared" si="246"/>
        <v>0</v>
      </c>
      <c r="AY416" s="49">
        <f t="shared" si="247"/>
        <v>0</v>
      </c>
      <c r="AZ416" s="49">
        <f t="shared" si="248"/>
        <v>0</v>
      </c>
      <c r="BA416" s="49">
        <f t="shared" si="249"/>
        <v>1</v>
      </c>
      <c r="BB416" s="49">
        <f t="shared" si="250"/>
        <v>0</v>
      </c>
      <c r="BC416" s="49">
        <f t="shared" si="251"/>
        <v>0</v>
      </c>
      <c r="BD416" s="49">
        <f t="shared" si="252"/>
        <v>0</v>
      </c>
      <c r="BE416" s="49">
        <f t="shared" si="253"/>
        <v>1</v>
      </c>
      <c r="BF416" s="49">
        <f t="shared" si="254"/>
        <v>0</v>
      </c>
      <c r="BG416" s="49">
        <f t="shared" si="255"/>
        <v>0</v>
      </c>
      <c r="BH416" s="49">
        <f t="shared" si="256"/>
        <v>0</v>
      </c>
      <c r="BI416" s="49">
        <f t="shared" si="257"/>
        <v>1</v>
      </c>
      <c r="BJ416" s="49">
        <f t="shared" si="258"/>
        <v>0</v>
      </c>
      <c r="BK416" s="49">
        <f t="shared" si="259"/>
        <v>0</v>
      </c>
      <c r="BL416" s="49">
        <f t="shared" si="260"/>
        <v>1</v>
      </c>
      <c r="BM416" s="49">
        <f t="shared" si="261"/>
        <v>0</v>
      </c>
      <c r="BN416" s="49">
        <f t="shared" si="262"/>
        <v>0</v>
      </c>
      <c r="BO416" s="49">
        <f t="shared" si="263"/>
        <v>0</v>
      </c>
      <c r="BP416" s="49">
        <f t="shared" si="264"/>
        <v>1</v>
      </c>
      <c r="BQ416" s="49">
        <f t="shared" si="265"/>
        <v>0</v>
      </c>
      <c r="BR416" s="49">
        <f t="shared" si="266"/>
        <v>0</v>
      </c>
      <c r="BS416" s="49">
        <f t="shared" si="267"/>
        <v>0</v>
      </c>
      <c r="BT416" s="49">
        <f t="shared" si="268"/>
        <v>1</v>
      </c>
      <c r="BU416" s="49">
        <f t="shared" si="269"/>
        <v>0</v>
      </c>
      <c r="BV416" s="49">
        <f t="shared" si="270"/>
        <v>0</v>
      </c>
      <c r="BW416" s="49">
        <f t="shared" si="271"/>
        <v>0</v>
      </c>
      <c r="BX416" s="49">
        <f t="shared" si="272"/>
        <v>1</v>
      </c>
      <c r="BY416" s="49">
        <f t="shared" si="273"/>
        <v>0</v>
      </c>
      <c r="BZ416" s="49">
        <f t="shared" si="274"/>
        <v>0</v>
      </c>
      <c r="CA416" s="49">
        <f t="shared" si="275"/>
        <v>0</v>
      </c>
      <c r="CB416" s="49">
        <f t="shared" si="276"/>
        <v>1</v>
      </c>
      <c r="CC416" s="49">
        <f t="shared" si="277"/>
        <v>0</v>
      </c>
      <c r="CD416" s="49">
        <f t="shared" si="278"/>
        <v>0</v>
      </c>
      <c r="CE416" s="49">
        <f t="shared" si="279"/>
        <v>0</v>
      </c>
    </row>
    <row r="417" spans="1:83" ht="35.1" customHeight="1" x14ac:dyDescent="0.3">
      <c r="A417" s="123" t="str">
        <f t="shared" si="240"/>
        <v>4팀</v>
      </c>
      <c r="B417" s="69">
        <f t="shared" si="241"/>
        <v>411</v>
      </c>
      <c r="C417" s="120" t="str">
        <f>IF(VLOOKUP($B417,'1. 현장별 인원현황'!$C:$J,2,0)=0,"",VLOOKUP($B417,'1. 현장별 인원현황'!$C:$J,2,0))</f>
        <v xml:space="preserve"> [4.롯데건설] 검단신도시 101 역세권 공모사업(C9-1BL, C9-2BL)</v>
      </c>
      <c r="D417" s="70" t="str">
        <f>IF(VLOOKUP($B417,'1. 현장별 인원현황'!$C:$J,3,0)=0,"",VLOOKUP($B417,'1. 현장별 인원현황'!$C:$J,3,0))</f>
        <v>이준철</v>
      </c>
      <c r="E417" s="74" t="str">
        <f ca="1">IF(VLOOKUP($B417,'1. 현장별 인원현황'!$C:$J,4,0)=0,"",VLOOKUP($B417,'1. 현장별 인원현황'!$C:$J,4,0))</f>
        <v>30세</v>
      </c>
      <c r="F417" s="70" t="str">
        <f>IF(VLOOKUP($B417,'1. 현장별 인원현황'!$C:$J,7,0)=0,"",VLOOKUP($B417,'1. 현장별 인원현황'!$C:$J,7,0))</f>
        <v>기능공</v>
      </c>
      <c r="G417" s="72" t="str">
        <f>IF(VLOOKUP($B417,'1. 현장별 인원현황'!$C:$J,8,0)=0,"",VLOOKUP($B417,'1. 현장별 인원현황'!$C:$J,8,0))</f>
        <v>조공</v>
      </c>
      <c r="H417" s="67"/>
      <c r="I417" s="73"/>
      <c r="J417" s="73" t="s">
        <v>69</v>
      </c>
      <c r="K417" s="68"/>
      <c r="L417" s="67"/>
      <c r="M417" s="73"/>
      <c r="N417" s="73" t="s">
        <v>69</v>
      </c>
      <c r="O417" s="68"/>
      <c r="P417" s="67"/>
      <c r="Q417" s="73"/>
      <c r="R417" s="73" t="s">
        <v>69</v>
      </c>
      <c r="S417" s="68"/>
      <c r="T417" s="67"/>
      <c r="U417" s="73"/>
      <c r="V417" s="73" t="s">
        <v>69</v>
      </c>
      <c r="W417" s="68"/>
      <c r="X417" s="67" t="s">
        <v>69</v>
      </c>
      <c r="Y417" s="73"/>
      <c r="Z417" s="73"/>
      <c r="AA417" s="68"/>
      <c r="AB417" s="67"/>
      <c r="AC417" s="73" t="s">
        <v>69</v>
      </c>
      <c r="AD417" s="73"/>
      <c r="AE417" s="68"/>
      <c r="AF417" s="67"/>
      <c r="AG417" s="73" t="s">
        <v>69</v>
      </c>
      <c r="AH417" s="73"/>
      <c r="AI417" s="68"/>
      <c r="AJ417" s="67" t="s">
        <v>69</v>
      </c>
      <c r="AK417" s="73"/>
      <c r="AL417" s="73"/>
      <c r="AM417" s="68"/>
      <c r="AN417" s="73" t="s">
        <v>69</v>
      </c>
      <c r="AO417" s="73"/>
      <c r="AP417" s="73"/>
      <c r="AQ417" s="68"/>
      <c r="AR417" s="67">
        <f t="shared" si="242"/>
        <v>74</v>
      </c>
      <c r="AS417" s="68" t="str">
        <f t="shared" si="243"/>
        <v>A</v>
      </c>
      <c r="AV417" s="49">
        <f t="shared" si="244"/>
        <v>0</v>
      </c>
      <c r="AW417" s="49">
        <f t="shared" si="245"/>
        <v>0</v>
      </c>
      <c r="AX417" s="49">
        <f t="shared" si="246"/>
        <v>1</v>
      </c>
      <c r="AY417" s="49">
        <f t="shared" si="247"/>
        <v>0</v>
      </c>
      <c r="AZ417" s="49">
        <f t="shared" si="248"/>
        <v>0</v>
      </c>
      <c r="BA417" s="49">
        <f t="shared" si="249"/>
        <v>0</v>
      </c>
      <c r="BB417" s="49">
        <f t="shared" si="250"/>
        <v>1</v>
      </c>
      <c r="BC417" s="49">
        <f t="shared" si="251"/>
        <v>0</v>
      </c>
      <c r="BD417" s="49">
        <f t="shared" si="252"/>
        <v>0</v>
      </c>
      <c r="BE417" s="49">
        <f t="shared" si="253"/>
        <v>0</v>
      </c>
      <c r="BF417" s="49">
        <f t="shared" si="254"/>
        <v>1</v>
      </c>
      <c r="BG417" s="49">
        <f t="shared" si="255"/>
        <v>0</v>
      </c>
      <c r="BH417" s="49">
        <f t="shared" si="256"/>
        <v>0</v>
      </c>
      <c r="BI417" s="49">
        <f t="shared" si="257"/>
        <v>0</v>
      </c>
      <c r="BJ417" s="49">
        <f t="shared" si="258"/>
        <v>1</v>
      </c>
      <c r="BK417" s="49">
        <f t="shared" si="259"/>
        <v>0</v>
      </c>
      <c r="BL417" s="49">
        <f t="shared" si="260"/>
        <v>1</v>
      </c>
      <c r="BM417" s="49">
        <f t="shared" si="261"/>
        <v>0</v>
      </c>
      <c r="BN417" s="49">
        <f t="shared" si="262"/>
        <v>0</v>
      </c>
      <c r="BO417" s="49">
        <f t="shared" si="263"/>
        <v>0</v>
      </c>
      <c r="BP417" s="49">
        <f t="shared" si="264"/>
        <v>0</v>
      </c>
      <c r="BQ417" s="49">
        <f t="shared" si="265"/>
        <v>1</v>
      </c>
      <c r="BR417" s="49">
        <f t="shared" si="266"/>
        <v>0</v>
      </c>
      <c r="BS417" s="49">
        <f t="shared" si="267"/>
        <v>0</v>
      </c>
      <c r="BT417" s="49">
        <f t="shared" si="268"/>
        <v>0</v>
      </c>
      <c r="BU417" s="49">
        <f t="shared" si="269"/>
        <v>1</v>
      </c>
      <c r="BV417" s="49">
        <f t="shared" si="270"/>
        <v>0</v>
      </c>
      <c r="BW417" s="49">
        <f t="shared" si="271"/>
        <v>0</v>
      </c>
      <c r="BX417" s="49">
        <f t="shared" si="272"/>
        <v>1</v>
      </c>
      <c r="BY417" s="49">
        <f t="shared" si="273"/>
        <v>0</v>
      </c>
      <c r="BZ417" s="49">
        <f t="shared" si="274"/>
        <v>0</v>
      </c>
      <c r="CA417" s="49">
        <f t="shared" si="275"/>
        <v>0</v>
      </c>
      <c r="CB417" s="49">
        <f t="shared" si="276"/>
        <v>1</v>
      </c>
      <c r="CC417" s="49">
        <f t="shared" si="277"/>
        <v>0</v>
      </c>
      <c r="CD417" s="49">
        <f t="shared" si="278"/>
        <v>0</v>
      </c>
      <c r="CE417" s="49">
        <f t="shared" si="279"/>
        <v>0</v>
      </c>
    </row>
    <row r="418" spans="1:83" ht="35.1" customHeight="1" x14ac:dyDescent="0.3">
      <c r="A418" s="123" t="str">
        <f t="shared" si="240"/>
        <v>4팀</v>
      </c>
      <c r="B418" s="69">
        <f t="shared" si="241"/>
        <v>412</v>
      </c>
      <c r="C418" s="120" t="str">
        <f>IF(VLOOKUP($B418,'1. 현장별 인원현황'!$C:$J,2,0)=0,"",VLOOKUP($B418,'1. 현장별 인원현황'!$C:$J,2,0))</f>
        <v xml:space="preserve"> [4.롯데건설] 검단신도시 101 역세권 공모사업(C9-1BL, C9-2BL)</v>
      </c>
      <c r="D418" s="70" t="str">
        <f>IF(VLOOKUP($B418,'1. 현장별 인원현황'!$C:$J,3,0)=0,"",VLOOKUP($B418,'1. 현장별 인원현황'!$C:$J,3,0))</f>
        <v>김환태</v>
      </c>
      <c r="E418" s="74" t="str">
        <f ca="1">IF(VLOOKUP($B418,'1. 현장별 인원현황'!$C:$J,4,0)=0,"",VLOOKUP($B418,'1. 현장별 인원현황'!$C:$J,4,0))</f>
        <v>31세</v>
      </c>
      <c r="F418" s="70" t="str">
        <f>IF(VLOOKUP($B418,'1. 현장별 인원현황'!$C:$J,7,0)=0,"",VLOOKUP($B418,'1. 현장별 인원현황'!$C:$J,7,0))</f>
        <v>기능공</v>
      </c>
      <c r="G418" s="72" t="str">
        <f>IF(VLOOKUP($B418,'1. 현장별 인원현황'!$C:$J,8,0)=0,"",VLOOKUP($B418,'1. 현장별 인원현황'!$C:$J,8,0))</f>
        <v>조공</v>
      </c>
      <c r="H418" s="67"/>
      <c r="I418" s="73"/>
      <c r="J418" s="73" t="s">
        <v>69</v>
      </c>
      <c r="K418" s="68"/>
      <c r="L418" s="67"/>
      <c r="M418" s="73" t="s">
        <v>69</v>
      </c>
      <c r="N418" s="73"/>
      <c r="O418" s="68"/>
      <c r="P418" s="67"/>
      <c r="Q418" s="73" t="s">
        <v>69</v>
      </c>
      <c r="R418" s="73"/>
      <c r="S418" s="68"/>
      <c r="T418" s="67"/>
      <c r="U418" s="73" t="s">
        <v>69</v>
      </c>
      <c r="V418" s="73"/>
      <c r="W418" s="68"/>
      <c r="X418" s="67" t="s">
        <v>69</v>
      </c>
      <c r="Y418" s="73"/>
      <c r="Z418" s="73"/>
      <c r="AA418" s="68"/>
      <c r="AB418" s="67" t="s">
        <v>69</v>
      </c>
      <c r="AC418" s="73"/>
      <c r="AD418" s="73"/>
      <c r="AE418" s="68"/>
      <c r="AF418" s="67" t="s">
        <v>69</v>
      </c>
      <c r="AG418" s="73"/>
      <c r="AH418" s="73"/>
      <c r="AI418" s="68"/>
      <c r="AJ418" s="67" t="s">
        <v>69</v>
      </c>
      <c r="AK418" s="73"/>
      <c r="AL418" s="73"/>
      <c r="AM418" s="68"/>
      <c r="AN418" s="73" t="s">
        <v>69</v>
      </c>
      <c r="AO418" s="73"/>
      <c r="AP418" s="73"/>
      <c r="AQ418" s="68"/>
      <c r="AR418" s="67">
        <f t="shared" si="242"/>
        <v>86</v>
      </c>
      <c r="AS418" s="68" t="str">
        <f t="shared" si="243"/>
        <v>S</v>
      </c>
      <c r="AV418" s="49">
        <f t="shared" si="244"/>
        <v>0</v>
      </c>
      <c r="AW418" s="49">
        <f t="shared" si="245"/>
        <v>0</v>
      </c>
      <c r="AX418" s="49">
        <f t="shared" si="246"/>
        <v>1</v>
      </c>
      <c r="AY418" s="49">
        <f t="shared" si="247"/>
        <v>0</v>
      </c>
      <c r="AZ418" s="49">
        <f t="shared" si="248"/>
        <v>0</v>
      </c>
      <c r="BA418" s="49">
        <f t="shared" si="249"/>
        <v>1</v>
      </c>
      <c r="BB418" s="49">
        <f t="shared" si="250"/>
        <v>0</v>
      </c>
      <c r="BC418" s="49">
        <f t="shared" si="251"/>
        <v>0</v>
      </c>
      <c r="BD418" s="49">
        <f t="shared" si="252"/>
        <v>0</v>
      </c>
      <c r="BE418" s="49">
        <f t="shared" si="253"/>
        <v>1</v>
      </c>
      <c r="BF418" s="49">
        <f t="shared" si="254"/>
        <v>0</v>
      </c>
      <c r="BG418" s="49">
        <f t="shared" si="255"/>
        <v>0</v>
      </c>
      <c r="BH418" s="49">
        <f t="shared" si="256"/>
        <v>0</v>
      </c>
      <c r="BI418" s="49">
        <f t="shared" si="257"/>
        <v>1</v>
      </c>
      <c r="BJ418" s="49">
        <f t="shared" si="258"/>
        <v>0</v>
      </c>
      <c r="BK418" s="49">
        <f t="shared" si="259"/>
        <v>0</v>
      </c>
      <c r="BL418" s="49">
        <f t="shared" si="260"/>
        <v>1</v>
      </c>
      <c r="BM418" s="49">
        <f t="shared" si="261"/>
        <v>0</v>
      </c>
      <c r="BN418" s="49">
        <f t="shared" si="262"/>
        <v>0</v>
      </c>
      <c r="BO418" s="49">
        <f t="shared" si="263"/>
        <v>0</v>
      </c>
      <c r="BP418" s="49">
        <f t="shared" si="264"/>
        <v>1</v>
      </c>
      <c r="BQ418" s="49">
        <f t="shared" si="265"/>
        <v>0</v>
      </c>
      <c r="BR418" s="49">
        <f t="shared" si="266"/>
        <v>0</v>
      </c>
      <c r="BS418" s="49">
        <f t="shared" si="267"/>
        <v>0</v>
      </c>
      <c r="BT418" s="49">
        <f t="shared" si="268"/>
        <v>1</v>
      </c>
      <c r="BU418" s="49">
        <f t="shared" si="269"/>
        <v>0</v>
      </c>
      <c r="BV418" s="49">
        <f t="shared" si="270"/>
        <v>0</v>
      </c>
      <c r="BW418" s="49">
        <f t="shared" si="271"/>
        <v>0</v>
      </c>
      <c r="BX418" s="49">
        <f t="shared" si="272"/>
        <v>1</v>
      </c>
      <c r="BY418" s="49">
        <f t="shared" si="273"/>
        <v>0</v>
      </c>
      <c r="BZ418" s="49">
        <f t="shared" si="274"/>
        <v>0</v>
      </c>
      <c r="CA418" s="49">
        <f t="shared" si="275"/>
        <v>0</v>
      </c>
      <c r="CB418" s="49">
        <f t="shared" si="276"/>
        <v>1</v>
      </c>
      <c r="CC418" s="49">
        <f t="shared" si="277"/>
        <v>0</v>
      </c>
      <c r="CD418" s="49">
        <f t="shared" si="278"/>
        <v>0</v>
      </c>
      <c r="CE418" s="49">
        <f t="shared" si="279"/>
        <v>0</v>
      </c>
    </row>
    <row r="419" spans="1:83" ht="35.1" customHeight="1" x14ac:dyDescent="0.3">
      <c r="A419" s="123" t="str">
        <f t="shared" si="240"/>
        <v>4팀</v>
      </c>
      <c r="B419" s="69">
        <f t="shared" si="241"/>
        <v>413</v>
      </c>
      <c r="C419" s="120" t="str">
        <f>IF(VLOOKUP($B419,'1. 현장별 인원현황'!$C:$J,2,0)=0,"",VLOOKUP($B419,'1. 현장별 인원현황'!$C:$J,2,0))</f>
        <v xml:space="preserve"> [4.롯데건설] 검단신도시 101 역세권 공모사업(C9-1BL, C9-2BL)</v>
      </c>
      <c r="D419" s="70" t="str">
        <f>IF(VLOOKUP($B419,'1. 현장별 인원현황'!$C:$J,3,0)=0,"",VLOOKUP($B419,'1. 현장별 인원현황'!$C:$J,3,0))</f>
        <v>원기영</v>
      </c>
      <c r="E419" s="74" t="str">
        <f ca="1">IF(VLOOKUP($B419,'1. 현장별 인원현황'!$C:$J,4,0)=0,"",VLOOKUP($B419,'1. 현장별 인원현황'!$C:$J,4,0))</f>
        <v>50세</v>
      </c>
      <c r="F419" s="70" t="str">
        <f>IF(VLOOKUP($B419,'1. 현장별 인원현황'!$C:$J,7,0)=0,"",VLOOKUP($B419,'1. 현장별 인원현황'!$C:$J,7,0))</f>
        <v>기능공</v>
      </c>
      <c r="G419" s="72" t="str">
        <f>IF(VLOOKUP($B419,'1. 현장별 인원현황'!$C:$J,8,0)=0,"",VLOOKUP($B419,'1. 현장별 인원현황'!$C:$J,8,0))</f>
        <v>전공</v>
      </c>
      <c r="H419" s="67" t="s">
        <v>69</v>
      </c>
      <c r="I419" s="73"/>
      <c r="J419" s="73"/>
      <c r="K419" s="68"/>
      <c r="L419" s="67" t="s">
        <v>69</v>
      </c>
      <c r="M419" s="73"/>
      <c r="N419" s="73"/>
      <c r="O419" s="68"/>
      <c r="P419" s="67" t="s">
        <v>69</v>
      </c>
      <c r="Q419" s="73"/>
      <c r="R419" s="73"/>
      <c r="S419" s="68"/>
      <c r="T419" s="67" t="s">
        <v>69</v>
      </c>
      <c r="U419" s="73"/>
      <c r="V419" s="73"/>
      <c r="W419" s="68"/>
      <c r="X419" s="67" t="s">
        <v>69</v>
      </c>
      <c r="Y419" s="73"/>
      <c r="Z419" s="73"/>
      <c r="AA419" s="68"/>
      <c r="AB419" s="67" t="s">
        <v>69</v>
      </c>
      <c r="AC419" s="73"/>
      <c r="AD419" s="73"/>
      <c r="AE419" s="68"/>
      <c r="AF419" s="67" t="s">
        <v>69</v>
      </c>
      <c r="AG419" s="73"/>
      <c r="AH419" s="73"/>
      <c r="AI419" s="68"/>
      <c r="AJ419" s="67" t="s">
        <v>69</v>
      </c>
      <c r="AK419" s="73"/>
      <c r="AL419" s="73"/>
      <c r="AM419" s="68"/>
      <c r="AN419" s="73" t="s">
        <v>69</v>
      </c>
      <c r="AO419" s="73"/>
      <c r="AP419" s="73"/>
      <c r="AQ419" s="68"/>
      <c r="AR419" s="67">
        <f t="shared" si="242"/>
        <v>100</v>
      </c>
      <c r="AS419" s="68" t="str">
        <f t="shared" si="243"/>
        <v>S</v>
      </c>
      <c r="AV419" s="49">
        <f t="shared" si="244"/>
        <v>1</v>
      </c>
      <c r="AW419" s="49">
        <f t="shared" si="245"/>
        <v>0</v>
      </c>
      <c r="AX419" s="49">
        <f t="shared" si="246"/>
        <v>0</v>
      </c>
      <c r="AY419" s="49">
        <f t="shared" si="247"/>
        <v>0</v>
      </c>
      <c r="AZ419" s="49">
        <f t="shared" si="248"/>
        <v>1</v>
      </c>
      <c r="BA419" s="49">
        <f t="shared" si="249"/>
        <v>0</v>
      </c>
      <c r="BB419" s="49">
        <f t="shared" si="250"/>
        <v>0</v>
      </c>
      <c r="BC419" s="49">
        <f t="shared" si="251"/>
        <v>0</v>
      </c>
      <c r="BD419" s="49">
        <f t="shared" si="252"/>
        <v>1</v>
      </c>
      <c r="BE419" s="49">
        <f t="shared" si="253"/>
        <v>0</v>
      </c>
      <c r="BF419" s="49">
        <f t="shared" si="254"/>
        <v>0</v>
      </c>
      <c r="BG419" s="49">
        <f t="shared" si="255"/>
        <v>0</v>
      </c>
      <c r="BH419" s="49">
        <f t="shared" si="256"/>
        <v>1</v>
      </c>
      <c r="BI419" s="49">
        <f t="shared" si="257"/>
        <v>0</v>
      </c>
      <c r="BJ419" s="49">
        <f t="shared" si="258"/>
        <v>0</v>
      </c>
      <c r="BK419" s="49">
        <f t="shared" si="259"/>
        <v>0</v>
      </c>
      <c r="BL419" s="49">
        <f t="shared" si="260"/>
        <v>1</v>
      </c>
      <c r="BM419" s="49">
        <f t="shared" si="261"/>
        <v>0</v>
      </c>
      <c r="BN419" s="49">
        <f t="shared" si="262"/>
        <v>0</v>
      </c>
      <c r="BO419" s="49">
        <f t="shared" si="263"/>
        <v>0</v>
      </c>
      <c r="BP419" s="49">
        <f t="shared" si="264"/>
        <v>1</v>
      </c>
      <c r="BQ419" s="49">
        <f t="shared" si="265"/>
        <v>0</v>
      </c>
      <c r="BR419" s="49">
        <f t="shared" si="266"/>
        <v>0</v>
      </c>
      <c r="BS419" s="49">
        <f t="shared" si="267"/>
        <v>0</v>
      </c>
      <c r="BT419" s="49">
        <f t="shared" si="268"/>
        <v>1</v>
      </c>
      <c r="BU419" s="49">
        <f t="shared" si="269"/>
        <v>0</v>
      </c>
      <c r="BV419" s="49">
        <f t="shared" si="270"/>
        <v>0</v>
      </c>
      <c r="BW419" s="49">
        <f t="shared" si="271"/>
        <v>0</v>
      </c>
      <c r="BX419" s="49">
        <f t="shared" si="272"/>
        <v>1</v>
      </c>
      <c r="BY419" s="49">
        <f t="shared" si="273"/>
        <v>0</v>
      </c>
      <c r="BZ419" s="49">
        <f t="shared" si="274"/>
        <v>0</v>
      </c>
      <c r="CA419" s="49">
        <f t="shared" si="275"/>
        <v>0</v>
      </c>
      <c r="CB419" s="49">
        <f t="shared" si="276"/>
        <v>1</v>
      </c>
      <c r="CC419" s="49">
        <f t="shared" si="277"/>
        <v>0</v>
      </c>
      <c r="CD419" s="49">
        <f t="shared" si="278"/>
        <v>0</v>
      </c>
      <c r="CE419" s="49">
        <f t="shared" si="279"/>
        <v>0</v>
      </c>
    </row>
    <row r="420" spans="1:83" ht="35.1" customHeight="1" x14ac:dyDescent="0.3">
      <c r="A420" s="123" t="str">
        <f t="shared" si="240"/>
        <v>4팀</v>
      </c>
      <c r="B420" s="69">
        <f t="shared" si="241"/>
        <v>414</v>
      </c>
      <c r="C420" s="120" t="str">
        <f>IF(VLOOKUP($B420,'1. 현장별 인원현황'!$C:$J,2,0)=0,"",VLOOKUP($B420,'1. 현장별 인원현황'!$C:$J,2,0))</f>
        <v xml:space="preserve"> [4.롯데건설] 검단신도시 101 역세권 공모사업(C9-1BL, C9-2BL)</v>
      </c>
      <c r="D420" s="70" t="str">
        <f>IF(VLOOKUP($B420,'1. 현장별 인원현황'!$C:$J,3,0)=0,"",VLOOKUP($B420,'1. 현장별 인원현황'!$C:$J,3,0))</f>
        <v>권주</v>
      </c>
      <c r="E420" s="74" t="str">
        <f ca="1">IF(VLOOKUP($B420,'1. 현장별 인원현황'!$C:$J,4,0)=0,"",VLOOKUP($B420,'1. 현장별 인원현황'!$C:$J,4,0))</f>
        <v>40세</v>
      </c>
      <c r="F420" s="70" t="str">
        <f>IF(VLOOKUP($B420,'1. 현장별 인원현황'!$C:$J,7,0)=0,"",VLOOKUP($B420,'1. 현장별 인원현황'!$C:$J,7,0))</f>
        <v>기능공</v>
      </c>
      <c r="G420" s="72" t="str">
        <f>IF(VLOOKUP($B420,'1. 현장별 인원현황'!$C:$J,8,0)=0,"",VLOOKUP($B420,'1. 현장별 인원현황'!$C:$J,8,0))</f>
        <v>조공</v>
      </c>
      <c r="H420" s="67"/>
      <c r="I420" s="73"/>
      <c r="J420" s="73" t="s">
        <v>69</v>
      </c>
      <c r="K420" s="68"/>
      <c r="L420" s="67"/>
      <c r="M420" s="73"/>
      <c r="N420" s="73" t="s">
        <v>69</v>
      </c>
      <c r="O420" s="68"/>
      <c r="P420" s="67"/>
      <c r="Q420" s="73"/>
      <c r="R420" s="73" t="s">
        <v>69</v>
      </c>
      <c r="S420" s="68"/>
      <c r="T420" s="67"/>
      <c r="U420" s="73"/>
      <c r="V420" s="73" t="s">
        <v>69</v>
      </c>
      <c r="W420" s="68"/>
      <c r="X420" s="67" t="s">
        <v>69</v>
      </c>
      <c r="Y420" s="73"/>
      <c r="Z420" s="73"/>
      <c r="AA420" s="68"/>
      <c r="AB420" s="67" t="s">
        <v>69</v>
      </c>
      <c r="AC420" s="73"/>
      <c r="AD420" s="73"/>
      <c r="AE420" s="68"/>
      <c r="AF420" s="67" t="s">
        <v>69</v>
      </c>
      <c r="AG420" s="73"/>
      <c r="AH420" s="73"/>
      <c r="AI420" s="68"/>
      <c r="AJ420" s="67" t="s">
        <v>69</v>
      </c>
      <c r="AK420" s="73"/>
      <c r="AL420" s="73"/>
      <c r="AM420" s="68"/>
      <c r="AN420" s="73" t="s">
        <v>69</v>
      </c>
      <c r="AO420" s="73"/>
      <c r="AP420" s="73"/>
      <c r="AQ420" s="68"/>
      <c r="AR420" s="67">
        <f t="shared" si="242"/>
        <v>78</v>
      </c>
      <c r="AS420" s="68" t="str">
        <f t="shared" si="243"/>
        <v>A</v>
      </c>
      <c r="AV420" s="49">
        <f t="shared" si="244"/>
        <v>0</v>
      </c>
      <c r="AW420" s="49">
        <f t="shared" si="245"/>
        <v>0</v>
      </c>
      <c r="AX420" s="49">
        <f t="shared" si="246"/>
        <v>1</v>
      </c>
      <c r="AY420" s="49">
        <f t="shared" si="247"/>
        <v>0</v>
      </c>
      <c r="AZ420" s="49">
        <f t="shared" si="248"/>
        <v>0</v>
      </c>
      <c r="BA420" s="49">
        <f t="shared" si="249"/>
        <v>0</v>
      </c>
      <c r="BB420" s="49">
        <f t="shared" si="250"/>
        <v>1</v>
      </c>
      <c r="BC420" s="49">
        <f t="shared" si="251"/>
        <v>0</v>
      </c>
      <c r="BD420" s="49">
        <f t="shared" si="252"/>
        <v>0</v>
      </c>
      <c r="BE420" s="49">
        <f t="shared" si="253"/>
        <v>0</v>
      </c>
      <c r="BF420" s="49">
        <f t="shared" si="254"/>
        <v>1</v>
      </c>
      <c r="BG420" s="49">
        <f t="shared" si="255"/>
        <v>0</v>
      </c>
      <c r="BH420" s="49">
        <f t="shared" si="256"/>
        <v>0</v>
      </c>
      <c r="BI420" s="49">
        <f t="shared" si="257"/>
        <v>0</v>
      </c>
      <c r="BJ420" s="49">
        <f t="shared" si="258"/>
        <v>1</v>
      </c>
      <c r="BK420" s="49">
        <f t="shared" si="259"/>
        <v>0</v>
      </c>
      <c r="BL420" s="49">
        <f t="shared" si="260"/>
        <v>1</v>
      </c>
      <c r="BM420" s="49">
        <f t="shared" si="261"/>
        <v>0</v>
      </c>
      <c r="BN420" s="49">
        <f t="shared" si="262"/>
        <v>0</v>
      </c>
      <c r="BO420" s="49">
        <f t="shared" si="263"/>
        <v>0</v>
      </c>
      <c r="BP420" s="49">
        <f t="shared" si="264"/>
        <v>1</v>
      </c>
      <c r="BQ420" s="49">
        <f t="shared" si="265"/>
        <v>0</v>
      </c>
      <c r="BR420" s="49">
        <f t="shared" si="266"/>
        <v>0</v>
      </c>
      <c r="BS420" s="49">
        <f t="shared" si="267"/>
        <v>0</v>
      </c>
      <c r="BT420" s="49">
        <f t="shared" si="268"/>
        <v>1</v>
      </c>
      <c r="BU420" s="49">
        <f t="shared" si="269"/>
        <v>0</v>
      </c>
      <c r="BV420" s="49">
        <f t="shared" si="270"/>
        <v>0</v>
      </c>
      <c r="BW420" s="49">
        <f t="shared" si="271"/>
        <v>0</v>
      </c>
      <c r="BX420" s="49">
        <f t="shared" si="272"/>
        <v>1</v>
      </c>
      <c r="BY420" s="49">
        <f t="shared" si="273"/>
        <v>0</v>
      </c>
      <c r="BZ420" s="49">
        <f t="shared" si="274"/>
        <v>0</v>
      </c>
      <c r="CA420" s="49">
        <f t="shared" si="275"/>
        <v>0</v>
      </c>
      <c r="CB420" s="49">
        <f t="shared" si="276"/>
        <v>1</v>
      </c>
      <c r="CC420" s="49">
        <f t="shared" si="277"/>
        <v>0</v>
      </c>
      <c r="CD420" s="49">
        <f t="shared" si="278"/>
        <v>0</v>
      </c>
      <c r="CE420" s="49">
        <f t="shared" si="279"/>
        <v>0</v>
      </c>
    </row>
    <row r="421" spans="1:83" ht="35.1" customHeight="1" x14ac:dyDescent="0.3">
      <c r="A421" s="123" t="str">
        <f t="shared" si="240"/>
        <v>4팀</v>
      </c>
      <c r="B421" s="69">
        <f t="shared" si="241"/>
        <v>415</v>
      </c>
      <c r="C421" s="120" t="str">
        <f>IF(VLOOKUP($B421,'1. 현장별 인원현황'!$C:$J,2,0)=0,"",VLOOKUP($B421,'1. 현장별 인원현황'!$C:$J,2,0))</f>
        <v xml:space="preserve"> [4.롯데건설] 검단신도시 101 역세권 공모사업(C9-1BL, C9-2BL)</v>
      </c>
      <c r="D421" s="70" t="str">
        <f>IF(VLOOKUP($B421,'1. 현장별 인원현황'!$C:$J,3,0)=0,"",VLOOKUP($B421,'1. 현장별 인원현황'!$C:$J,3,0))</f>
        <v>신재호</v>
      </c>
      <c r="E421" s="74" t="str">
        <f ca="1">IF(VLOOKUP($B421,'1. 현장별 인원현황'!$C:$J,4,0)=0,"",VLOOKUP($B421,'1. 현장별 인원현황'!$C:$J,4,0))</f>
        <v>59세</v>
      </c>
      <c r="F421" s="70" t="str">
        <f>IF(VLOOKUP($B421,'1. 현장별 인원현황'!$C:$J,7,0)=0,"",VLOOKUP($B421,'1. 현장별 인원현황'!$C:$J,7,0))</f>
        <v>기능공</v>
      </c>
      <c r="G421" s="72" t="str">
        <f>IF(VLOOKUP($B421,'1. 현장별 인원현황'!$C:$J,8,0)=0,"",VLOOKUP($B421,'1. 현장별 인원현황'!$C:$J,8,0))</f>
        <v>전공</v>
      </c>
      <c r="H421" s="67" t="s">
        <v>69</v>
      </c>
      <c r="I421" s="73"/>
      <c r="J421" s="73"/>
      <c r="K421" s="68"/>
      <c r="L421" s="67" t="s">
        <v>69</v>
      </c>
      <c r="M421" s="73"/>
      <c r="N421" s="73"/>
      <c r="O421" s="68"/>
      <c r="P421" s="67" t="s">
        <v>69</v>
      </c>
      <c r="Q421" s="73"/>
      <c r="R421" s="73"/>
      <c r="S421" s="68"/>
      <c r="T421" s="67" t="s">
        <v>69</v>
      </c>
      <c r="U421" s="73"/>
      <c r="V421" s="73"/>
      <c r="W421" s="68"/>
      <c r="X421" s="67" t="s">
        <v>69</v>
      </c>
      <c r="Y421" s="73"/>
      <c r="Z421" s="73"/>
      <c r="AA421" s="68"/>
      <c r="AB421" s="67" t="s">
        <v>69</v>
      </c>
      <c r="AC421" s="73"/>
      <c r="AD421" s="73"/>
      <c r="AE421" s="68"/>
      <c r="AF421" s="67" t="s">
        <v>69</v>
      </c>
      <c r="AG421" s="73"/>
      <c r="AH421" s="73"/>
      <c r="AI421" s="68"/>
      <c r="AJ421" s="67" t="s">
        <v>69</v>
      </c>
      <c r="AK421" s="73"/>
      <c r="AL421" s="73"/>
      <c r="AM421" s="68"/>
      <c r="AN421" s="73" t="s">
        <v>69</v>
      </c>
      <c r="AO421" s="73"/>
      <c r="AP421" s="73"/>
      <c r="AQ421" s="68"/>
      <c r="AR421" s="67">
        <f t="shared" si="242"/>
        <v>100</v>
      </c>
      <c r="AS421" s="68" t="str">
        <f t="shared" si="243"/>
        <v>S</v>
      </c>
      <c r="AV421" s="49">
        <f t="shared" si="244"/>
        <v>1</v>
      </c>
      <c r="AW421" s="49">
        <f t="shared" si="245"/>
        <v>0</v>
      </c>
      <c r="AX421" s="49">
        <f t="shared" si="246"/>
        <v>0</v>
      </c>
      <c r="AY421" s="49">
        <f t="shared" si="247"/>
        <v>0</v>
      </c>
      <c r="AZ421" s="49">
        <f t="shared" si="248"/>
        <v>1</v>
      </c>
      <c r="BA421" s="49">
        <f t="shared" si="249"/>
        <v>0</v>
      </c>
      <c r="BB421" s="49">
        <f t="shared" si="250"/>
        <v>0</v>
      </c>
      <c r="BC421" s="49">
        <f t="shared" si="251"/>
        <v>0</v>
      </c>
      <c r="BD421" s="49">
        <f t="shared" si="252"/>
        <v>1</v>
      </c>
      <c r="BE421" s="49">
        <f t="shared" si="253"/>
        <v>0</v>
      </c>
      <c r="BF421" s="49">
        <f t="shared" si="254"/>
        <v>0</v>
      </c>
      <c r="BG421" s="49">
        <f t="shared" si="255"/>
        <v>0</v>
      </c>
      <c r="BH421" s="49">
        <f t="shared" si="256"/>
        <v>1</v>
      </c>
      <c r="BI421" s="49">
        <f t="shared" si="257"/>
        <v>0</v>
      </c>
      <c r="BJ421" s="49">
        <f t="shared" si="258"/>
        <v>0</v>
      </c>
      <c r="BK421" s="49">
        <f t="shared" si="259"/>
        <v>0</v>
      </c>
      <c r="BL421" s="49">
        <f t="shared" si="260"/>
        <v>1</v>
      </c>
      <c r="BM421" s="49">
        <f t="shared" si="261"/>
        <v>0</v>
      </c>
      <c r="BN421" s="49">
        <f t="shared" si="262"/>
        <v>0</v>
      </c>
      <c r="BO421" s="49">
        <f t="shared" si="263"/>
        <v>0</v>
      </c>
      <c r="BP421" s="49">
        <f t="shared" si="264"/>
        <v>1</v>
      </c>
      <c r="BQ421" s="49">
        <f t="shared" si="265"/>
        <v>0</v>
      </c>
      <c r="BR421" s="49">
        <f t="shared" si="266"/>
        <v>0</v>
      </c>
      <c r="BS421" s="49">
        <f t="shared" si="267"/>
        <v>0</v>
      </c>
      <c r="BT421" s="49">
        <f t="shared" si="268"/>
        <v>1</v>
      </c>
      <c r="BU421" s="49">
        <f t="shared" si="269"/>
        <v>0</v>
      </c>
      <c r="BV421" s="49">
        <f t="shared" si="270"/>
        <v>0</v>
      </c>
      <c r="BW421" s="49">
        <f t="shared" si="271"/>
        <v>0</v>
      </c>
      <c r="BX421" s="49">
        <f t="shared" si="272"/>
        <v>1</v>
      </c>
      <c r="BY421" s="49">
        <f t="shared" si="273"/>
        <v>0</v>
      </c>
      <c r="BZ421" s="49">
        <f t="shared" si="274"/>
        <v>0</v>
      </c>
      <c r="CA421" s="49">
        <f t="shared" si="275"/>
        <v>0</v>
      </c>
      <c r="CB421" s="49">
        <f t="shared" si="276"/>
        <v>1</v>
      </c>
      <c r="CC421" s="49">
        <f t="shared" si="277"/>
        <v>0</v>
      </c>
      <c r="CD421" s="49">
        <f t="shared" si="278"/>
        <v>0</v>
      </c>
      <c r="CE421" s="49">
        <f t="shared" si="279"/>
        <v>0</v>
      </c>
    </row>
    <row r="422" spans="1:83" ht="35.1" customHeight="1" x14ac:dyDescent="0.3">
      <c r="A422" s="123" t="str">
        <f t="shared" si="240"/>
        <v>4팀</v>
      </c>
      <c r="B422" s="69">
        <f t="shared" si="241"/>
        <v>416</v>
      </c>
      <c r="C422" s="120" t="str">
        <f>IF(VLOOKUP($B422,'1. 현장별 인원현황'!$C:$J,2,0)=0,"",VLOOKUP($B422,'1. 현장별 인원현황'!$C:$J,2,0))</f>
        <v xml:space="preserve"> [4.롯데건설] 검단신도시 101 역세권 공모사업(C9-1BL, C9-2BL)</v>
      </c>
      <c r="D422" s="70" t="str">
        <f>IF(VLOOKUP($B422,'1. 현장별 인원현황'!$C:$J,3,0)=0,"",VLOOKUP($B422,'1. 현장별 인원현황'!$C:$J,3,0))</f>
        <v>이홍천</v>
      </c>
      <c r="E422" s="74" t="str">
        <f ca="1">IF(VLOOKUP($B422,'1. 현장별 인원현황'!$C:$J,4,0)=0,"",VLOOKUP($B422,'1. 현장별 인원현황'!$C:$J,4,0))</f>
        <v>56세</v>
      </c>
      <c r="F422" s="70" t="str">
        <f>IF(VLOOKUP($B422,'1. 현장별 인원현황'!$C:$J,7,0)=0,"",VLOOKUP($B422,'1. 현장별 인원현황'!$C:$J,7,0))</f>
        <v>기능공</v>
      </c>
      <c r="G422" s="72" t="str">
        <f>IF(VLOOKUP($B422,'1. 현장별 인원현황'!$C:$J,8,0)=0,"",VLOOKUP($B422,'1. 현장별 인원현황'!$C:$J,8,0))</f>
        <v>전공</v>
      </c>
      <c r="H422" s="67" t="s">
        <v>69</v>
      </c>
      <c r="I422" s="73"/>
      <c r="J422" s="73"/>
      <c r="K422" s="68"/>
      <c r="L422" s="67" t="s">
        <v>69</v>
      </c>
      <c r="M422" s="73"/>
      <c r="N422" s="73"/>
      <c r="O422" s="68"/>
      <c r="P422" s="67" t="s">
        <v>69</v>
      </c>
      <c r="Q422" s="73"/>
      <c r="R422" s="73"/>
      <c r="S422" s="68"/>
      <c r="T422" s="67" t="s">
        <v>69</v>
      </c>
      <c r="U422" s="73"/>
      <c r="V422" s="73"/>
      <c r="W422" s="68"/>
      <c r="X422" s="67" t="s">
        <v>69</v>
      </c>
      <c r="Y422" s="73"/>
      <c r="Z422" s="73"/>
      <c r="AA422" s="68"/>
      <c r="AB422" s="67" t="s">
        <v>69</v>
      </c>
      <c r="AC422" s="73"/>
      <c r="AD422" s="73"/>
      <c r="AE422" s="68"/>
      <c r="AF422" s="67" t="s">
        <v>69</v>
      </c>
      <c r="AG422" s="73"/>
      <c r="AH422" s="73"/>
      <c r="AI422" s="68"/>
      <c r="AJ422" s="67" t="s">
        <v>69</v>
      </c>
      <c r="AK422" s="73"/>
      <c r="AL422" s="73"/>
      <c r="AM422" s="68"/>
      <c r="AN422" s="73" t="s">
        <v>69</v>
      </c>
      <c r="AO422" s="73"/>
      <c r="AP422" s="73"/>
      <c r="AQ422" s="68"/>
      <c r="AR422" s="67">
        <f t="shared" si="242"/>
        <v>100</v>
      </c>
      <c r="AS422" s="68" t="str">
        <f t="shared" si="243"/>
        <v>S</v>
      </c>
      <c r="AV422" s="49">
        <f t="shared" si="244"/>
        <v>1</v>
      </c>
      <c r="AW422" s="49">
        <f t="shared" si="245"/>
        <v>0</v>
      </c>
      <c r="AX422" s="49">
        <f t="shared" si="246"/>
        <v>0</v>
      </c>
      <c r="AY422" s="49">
        <f t="shared" si="247"/>
        <v>0</v>
      </c>
      <c r="AZ422" s="49">
        <f t="shared" si="248"/>
        <v>1</v>
      </c>
      <c r="BA422" s="49">
        <f t="shared" si="249"/>
        <v>0</v>
      </c>
      <c r="BB422" s="49">
        <f t="shared" si="250"/>
        <v>0</v>
      </c>
      <c r="BC422" s="49">
        <f t="shared" si="251"/>
        <v>0</v>
      </c>
      <c r="BD422" s="49">
        <f t="shared" si="252"/>
        <v>1</v>
      </c>
      <c r="BE422" s="49">
        <f t="shared" si="253"/>
        <v>0</v>
      </c>
      <c r="BF422" s="49">
        <f t="shared" si="254"/>
        <v>0</v>
      </c>
      <c r="BG422" s="49">
        <f t="shared" si="255"/>
        <v>0</v>
      </c>
      <c r="BH422" s="49">
        <f t="shared" si="256"/>
        <v>1</v>
      </c>
      <c r="BI422" s="49">
        <f t="shared" si="257"/>
        <v>0</v>
      </c>
      <c r="BJ422" s="49">
        <f t="shared" si="258"/>
        <v>0</v>
      </c>
      <c r="BK422" s="49">
        <f t="shared" si="259"/>
        <v>0</v>
      </c>
      <c r="BL422" s="49">
        <f t="shared" si="260"/>
        <v>1</v>
      </c>
      <c r="BM422" s="49">
        <f t="shared" si="261"/>
        <v>0</v>
      </c>
      <c r="BN422" s="49">
        <f t="shared" si="262"/>
        <v>0</v>
      </c>
      <c r="BO422" s="49">
        <f t="shared" si="263"/>
        <v>0</v>
      </c>
      <c r="BP422" s="49">
        <f t="shared" si="264"/>
        <v>1</v>
      </c>
      <c r="BQ422" s="49">
        <f t="shared" si="265"/>
        <v>0</v>
      </c>
      <c r="BR422" s="49">
        <f t="shared" si="266"/>
        <v>0</v>
      </c>
      <c r="BS422" s="49">
        <f t="shared" si="267"/>
        <v>0</v>
      </c>
      <c r="BT422" s="49">
        <f t="shared" si="268"/>
        <v>1</v>
      </c>
      <c r="BU422" s="49">
        <f t="shared" si="269"/>
        <v>0</v>
      </c>
      <c r="BV422" s="49">
        <f t="shared" si="270"/>
        <v>0</v>
      </c>
      <c r="BW422" s="49">
        <f t="shared" si="271"/>
        <v>0</v>
      </c>
      <c r="BX422" s="49">
        <f t="shared" si="272"/>
        <v>1</v>
      </c>
      <c r="BY422" s="49">
        <f t="shared" si="273"/>
        <v>0</v>
      </c>
      <c r="BZ422" s="49">
        <f t="shared" si="274"/>
        <v>0</v>
      </c>
      <c r="CA422" s="49">
        <f t="shared" si="275"/>
        <v>0</v>
      </c>
      <c r="CB422" s="49">
        <f t="shared" si="276"/>
        <v>1</v>
      </c>
      <c r="CC422" s="49">
        <f t="shared" si="277"/>
        <v>0</v>
      </c>
      <c r="CD422" s="49">
        <f t="shared" si="278"/>
        <v>0</v>
      </c>
      <c r="CE422" s="49">
        <f t="shared" si="279"/>
        <v>0</v>
      </c>
    </row>
    <row r="423" spans="1:83" ht="35.1" customHeight="1" x14ac:dyDescent="0.3">
      <c r="A423" s="123" t="str">
        <f t="shared" si="240"/>
        <v>4팀</v>
      </c>
      <c r="B423" s="69">
        <f t="shared" si="241"/>
        <v>417</v>
      </c>
      <c r="C423" s="120" t="str">
        <f>IF(VLOOKUP($B423,'1. 현장별 인원현황'!$C:$J,2,0)=0,"",VLOOKUP($B423,'1. 현장별 인원현황'!$C:$J,2,0))</f>
        <v xml:space="preserve"> [4.롯데건설] 구리 인창C구역 주택재개발정비사업 중 일반전기공사</v>
      </c>
      <c r="D423" s="70" t="str">
        <f>IF(VLOOKUP($B423,'1. 현장별 인원현황'!$C:$J,3,0)=0,"",VLOOKUP($B423,'1. 현장별 인원현황'!$C:$J,3,0))</f>
        <v>정지훈</v>
      </c>
      <c r="E423" s="74" t="str">
        <f ca="1">IF(VLOOKUP($B423,'1. 현장별 인원현황'!$C:$J,4,0)=0,"",VLOOKUP($B423,'1. 현장별 인원현황'!$C:$J,4,0))</f>
        <v>39세</v>
      </c>
      <c r="F423" s="70" t="str">
        <f>IF(VLOOKUP($B423,'1. 현장별 인원현황'!$C:$J,7,0)=0,"",VLOOKUP($B423,'1. 현장별 인원현황'!$C:$J,7,0))</f>
        <v>공무</v>
      </c>
      <c r="G423" s="72" t="str">
        <f>IF(VLOOKUP($B423,'1. 현장별 인원현황'!$C:$J,8,0)=0,"",VLOOKUP($B423,'1. 현장별 인원현황'!$C:$J,8,0))</f>
        <v>과장</v>
      </c>
      <c r="H423" s="67" t="s">
        <v>69</v>
      </c>
      <c r="I423" s="73"/>
      <c r="J423" s="73"/>
      <c r="K423" s="68"/>
      <c r="L423" s="67"/>
      <c r="M423" s="73" t="s">
        <v>69</v>
      </c>
      <c r="N423" s="73"/>
      <c r="O423" s="68"/>
      <c r="P423" s="67" t="s">
        <v>69</v>
      </c>
      <c r="Q423" s="73"/>
      <c r="R423" s="73"/>
      <c r="S423" s="68"/>
      <c r="T423" s="67" t="s">
        <v>69</v>
      </c>
      <c r="U423" s="73"/>
      <c r="V423" s="73"/>
      <c r="W423" s="68"/>
      <c r="X423" s="67" t="s">
        <v>69</v>
      </c>
      <c r="Y423" s="73"/>
      <c r="Z423" s="73"/>
      <c r="AA423" s="68"/>
      <c r="AB423" s="67" t="s">
        <v>69</v>
      </c>
      <c r="AC423" s="73"/>
      <c r="AD423" s="73"/>
      <c r="AE423" s="68"/>
      <c r="AF423" s="67"/>
      <c r="AG423" s="73" t="s">
        <v>69</v>
      </c>
      <c r="AH423" s="73"/>
      <c r="AI423" s="68"/>
      <c r="AJ423" s="67" t="s">
        <v>69</v>
      </c>
      <c r="AK423" s="73"/>
      <c r="AL423" s="73"/>
      <c r="AM423" s="68"/>
      <c r="AN423" s="73" t="s">
        <v>69</v>
      </c>
      <c r="AO423" s="73"/>
      <c r="AP423" s="73"/>
      <c r="AQ423" s="68"/>
      <c r="AR423" s="67">
        <f t="shared" si="242"/>
        <v>95</v>
      </c>
      <c r="AS423" s="68" t="str">
        <f t="shared" si="243"/>
        <v>S</v>
      </c>
      <c r="AV423" s="49">
        <f t="shared" si="244"/>
        <v>1</v>
      </c>
      <c r="AW423" s="49">
        <f t="shared" si="245"/>
        <v>0</v>
      </c>
      <c r="AX423" s="49">
        <f t="shared" si="246"/>
        <v>0</v>
      </c>
      <c r="AY423" s="49">
        <f t="shared" si="247"/>
        <v>0</v>
      </c>
      <c r="AZ423" s="49">
        <f t="shared" si="248"/>
        <v>0</v>
      </c>
      <c r="BA423" s="49">
        <f t="shared" si="249"/>
        <v>1</v>
      </c>
      <c r="BB423" s="49">
        <f t="shared" si="250"/>
        <v>0</v>
      </c>
      <c r="BC423" s="49">
        <f t="shared" si="251"/>
        <v>0</v>
      </c>
      <c r="BD423" s="49">
        <f t="shared" si="252"/>
        <v>1</v>
      </c>
      <c r="BE423" s="49">
        <f t="shared" si="253"/>
        <v>0</v>
      </c>
      <c r="BF423" s="49">
        <f t="shared" si="254"/>
        <v>0</v>
      </c>
      <c r="BG423" s="49">
        <f t="shared" si="255"/>
        <v>0</v>
      </c>
      <c r="BH423" s="49">
        <f t="shared" si="256"/>
        <v>1</v>
      </c>
      <c r="BI423" s="49">
        <f t="shared" si="257"/>
        <v>0</v>
      </c>
      <c r="BJ423" s="49">
        <f t="shared" si="258"/>
        <v>0</v>
      </c>
      <c r="BK423" s="49">
        <f t="shared" si="259"/>
        <v>0</v>
      </c>
      <c r="BL423" s="49">
        <f t="shared" si="260"/>
        <v>1</v>
      </c>
      <c r="BM423" s="49">
        <f t="shared" si="261"/>
        <v>0</v>
      </c>
      <c r="BN423" s="49">
        <f t="shared" si="262"/>
        <v>0</v>
      </c>
      <c r="BO423" s="49">
        <f t="shared" si="263"/>
        <v>0</v>
      </c>
      <c r="BP423" s="49">
        <f t="shared" si="264"/>
        <v>1</v>
      </c>
      <c r="BQ423" s="49">
        <f t="shared" si="265"/>
        <v>0</v>
      </c>
      <c r="BR423" s="49">
        <f t="shared" si="266"/>
        <v>0</v>
      </c>
      <c r="BS423" s="49">
        <f t="shared" si="267"/>
        <v>0</v>
      </c>
      <c r="BT423" s="49">
        <f t="shared" si="268"/>
        <v>0</v>
      </c>
      <c r="BU423" s="49">
        <f t="shared" si="269"/>
        <v>1</v>
      </c>
      <c r="BV423" s="49">
        <f t="shared" si="270"/>
        <v>0</v>
      </c>
      <c r="BW423" s="49">
        <f t="shared" si="271"/>
        <v>0</v>
      </c>
      <c r="BX423" s="49">
        <f t="shared" si="272"/>
        <v>1</v>
      </c>
      <c r="BY423" s="49">
        <f t="shared" si="273"/>
        <v>0</v>
      </c>
      <c r="BZ423" s="49">
        <f t="shared" si="274"/>
        <v>0</v>
      </c>
      <c r="CA423" s="49">
        <f t="shared" si="275"/>
        <v>0</v>
      </c>
      <c r="CB423" s="49">
        <f t="shared" si="276"/>
        <v>1</v>
      </c>
      <c r="CC423" s="49">
        <f t="shared" si="277"/>
        <v>0</v>
      </c>
      <c r="CD423" s="49">
        <f t="shared" si="278"/>
        <v>0</v>
      </c>
      <c r="CE423" s="49">
        <f t="shared" si="279"/>
        <v>0</v>
      </c>
    </row>
    <row r="424" spans="1:83" ht="35.1" customHeight="1" x14ac:dyDescent="0.3">
      <c r="A424" s="123" t="str">
        <f t="shared" si="240"/>
        <v>4팀</v>
      </c>
      <c r="B424" s="69">
        <f t="shared" si="241"/>
        <v>418</v>
      </c>
      <c r="C424" s="120" t="str">
        <f>IF(VLOOKUP($B424,'1. 현장별 인원현황'!$C:$J,2,0)=0,"",VLOOKUP($B424,'1. 현장별 인원현황'!$C:$J,2,0))</f>
        <v xml:space="preserve"> [4.롯데건설] 구리 인창C구역 주택재개발정비사업 중 일반전기공사</v>
      </c>
      <c r="D424" s="70" t="str">
        <f>IF(VLOOKUP($B424,'1. 현장별 인원현황'!$C:$J,3,0)=0,"",VLOOKUP($B424,'1. 현장별 인원현황'!$C:$J,3,0))</f>
        <v>박유진</v>
      </c>
      <c r="E424" s="74" t="str">
        <f ca="1">IF(VLOOKUP($B424,'1. 현장별 인원현황'!$C:$J,4,0)=0,"",VLOOKUP($B424,'1. 현장별 인원현황'!$C:$J,4,0))</f>
        <v>65세</v>
      </c>
      <c r="F424" s="70" t="str">
        <f>IF(VLOOKUP($B424,'1. 현장별 인원현황'!$C:$J,7,0)=0,"",VLOOKUP($B424,'1. 현장별 인원현황'!$C:$J,7,0))</f>
        <v>공사</v>
      </c>
      <c r="G424" s="72" t="str">
        <f>IF(VLOOKUP($B424,'1. 현장별 인원현황'!$C:$J,8,0)=0,"",VLOOKUP($B424,'1. 현장별 인원현황'!$C:$J,8,0))</f>
        <v>차장</v>
      </c>
      <c r="H424" s="67" t="s">
        <v>69</v>
      </c>
      <c r="I424" s="73"/>
      <c r="J424" s="73"/>
      <c r="K424" s="68"/>
      <c r="L424" s="67"/>
      <c r="M424" s="73" t="s">
        <v>69</v>
      </c>
      <c r="N424" s="73"/>
      <c r="O424" s="68"/>
      <c r="P424" s="67" t="s">
        <v>69</v>
      </c>
      <c r="Q424" s="73"/>
      <c r="R424" s="73"/>
      <c r="S424" s="68"/>
      <c r="T424" s="67"/>
      <c r="U424" s="73" t="s">
        <v>69</v>
      </c>
      <c r="V424" s="73"/>
      <c r="W424" s="68"/>
      <c r="X424" s="67" t="s">
        <v>69</v>
      </c>
      <c r="Y424" s="73"/>
      <c r="Z424" s="73"/>
      <c r="AA424" s="68"/>
      <c r="AB424" s="67" t="s">
        <v>69</v>
      </c>
      <c r="AC424" s="73"/>
      <c r="AD424" s="73"/>
      <c r="AE424" s="68"/>
      <c r="AF424" s="67" t="s">
        <v>69</v>
      </c>
      <c r="AG424" s="73"/>
      <c r="AH424" s="73"/>
      <c r="AI424" s="68"/>
      <c r="AJ424" s="67" t="s">
        <v>69</v>
      </c>
      <c r="AK424" s="73"/>
      <c r="AL424" s="73"/>
      <c r="AM424" s="68"/>
      <c r="AN424" s="73" t="s">
        <v>69</v>
      </c>
      <c r="AO424" s="73"/>
      <c r="AP424" s="73"/>
      <c r="AQ424" s="68"/>
      <c r="AR424" s="67">
        <f t="shared" si="242"/>
        <v>95</v>
      </c>
      <c r="AS424" s="68" t="str">
        <f t="shared" si="243"/>
        <v>S</v>
      </c>
      <c r="AV424" s="49">
        <f t="shared" si="244"/>
        <v>1</v>
      </c>
      <c r="AW424" s="49">
        <f t="shared" si="245"/>
        <v>0</v>
      </c>
      <c r="AX424" s="49">
        <f t="shared" si="246"/>
        <v>0</v>
      </c>
      <c r="AY424" s="49">
        <f t="shared" si="247"/>
        <v>0</v>
      </c>
      <c r="AZ424" s="49">
        <f t="shared" si="248"/>
        <v>0</v>
      </c>
      <c r="BA424" s="49">
        <f t="shared" si="249"/>
        <v>1</v>
      </c>
      <c r="BB424" s="49">
        <f t="shared" si="250"/>
        <v>0</v>
      </c>
      <c r="BC424" s="49">
        <f t="shared" si="251"/>
        <v>0</v>
      </c>
      <c r="BD424" s="49">
        <f t="shared" si="252"/>
        <v>1</v>
      </c>
      <c r="BE424" s="49">
        <f t="shared" si="253"/>
        <v>0</v>
      </c>
      <c r="BF424" s="49">
        <f t="shared" si="254"/>
        <v>0</v>
      </c>
      <c r="BG424" s="49">
        <f t="shared" si="255"/>
        <v>0</v>
      </c>
      <c r="BH424" s="49">
        <f t="shared" si="256"/>
        <v>0</v>
      </c>
      <c r="BI424" s="49">
        <f t="shared" si="257"/>
        <v>1</v>
      </c>
      <c r="BJ424" s="49">
        <f t="shared" si="258"/>
        <v>0</v>
      </c>
      <c r="BK424" s="49">
        <f t="shared" si="259"/>
        <v>0</v>
      </c>
      <c r="BL424" s="49">
        <f t="shared" si="260"/>
        <v>1</v>
      </c>
      <c r="BM424" s="49">
        <f t="shared" si="261"/>
        <v>0</v>
      </c>
      <c r="BN424" s="49">
        <f t="shared" si="262"/>
        <v>0</v>
      </c>
      <c r="BO424" s="49">
        <f t="shared" si="263"/>
        <v>0</v>
      </c>
      <c r="BP424" s="49">
        <f t="shared" si="264"/>
        <v>1</v>
      </c>
      <c r="BQ424" s="49">
        <f t="shared" si="265"/>
        <v>0</v>
      </c>
      <c r="BR424" s="49">
        <f t="shared" si="266"/>
        <v>0</v>
      </c>
      <c r="BS424" s="49">
        <f t="shared" si="267"/>
        <v>0</v>
      </c>
      <c r="BT424" s="49">
        <f t="shared" si="268"/>
        <v>1</v>
      </c>
      <c r="BU424" s="49">
        <f t="shared" si="269"/>
        <v>0</v>
      </c>
      <c r="BV424" s="49">
        <f t="shared" si="270"/>
        <v>0</v>
      </c>
      <c r="BW424" s="49">
        <f t="shared" si="271"/>
        <v>0</v>
      </c>
      <c r="BX424" s="49">
        <f t="shared" si="272"/>
        <v>1</v>
      </c>
      <c r="BY424" s="49">
        <f t="shared" si="273"/>
        <v>0</v>
      </c>
      <c r="BZ424" s="49">
        <f t="shared" si="274"/>
        <v>0</v>
      </c>
      <c r="CA424" s="49">
        <f t="shared" si="275"/>
        <v>0</v>
      </c>
      <c r="CB424" s="49">
        <f t="shared" si="276"/>
        <v>1</v>
      </c>
      <c r="CC424" s="49">
        <f t="shared" si="277"/>
        <v>0</v>
      </c>
      <c r="CD424" s="49">
        <f t="shared" si="278"/>
        <v>0</v>
      </c>
      <c r="CE424" s="49">
        <f t="shared" si="279"/>
        <v>0</v>
      </c>
    </row>
    <row r="425" spans="1:83" ht="35.1" customHeight="1" x14ac:dyDescent="0.3">
      <c r="A425" s="123" t="str">
        <f t="shared" si="240"/>
        <v>4팀</v>
      </c>
      <c r="B425" s="69">
        <f t="shared" si="241"/>
        <v>419</v>
      </c>
      <c r="C425" s="120" t="str">
        <f>IF(VLOOKUP($B425,'1. 현장별 인원현황'!$C:$J,2,0)=0,"",VLOOKUP($B425,'1. 현장별 인원현황'!$C:$J,2,0))</f>
        <v xml:space="preserve"> [4.롯데건설] 구리 인창C구역 주택재개발정비사업 중 일반전기공사</v>
      </c>
      <c r="D425" s="70" t="str">
        <f>IF(VLOOKUP($B425,'1. 현장별 인원현황'!$C:$J,3,0)=0,"",VLOOKUP($B425,'1. 현장별 인원현황'!$C:$J,3,0))</f>
        <v>천혁수</v>
      </c>
      <c r="E425" s="74" t="str">
        <f ca="1">IF(VLOOKUP($B425,'1. 현장별 인원현황'!$C:$J,4,0)=0,"",VLOOKUP($B425,'1. 현장별 인원현황'!$C:$J,4,0))</f>
        <v>53세</v>
      </c>
      <c r="F425" s="70" t="str">
        <f>IF(VLOOKUP($B425,'1. 현장별 인원현황'!$C:$J,7,0)=0,"",VLOOKUP($B425,'1. 현장별 인원현황'!$C:$J,7,0))</f>
        <v>공사</v>
      </c>
      <c r="G425" s="72" t="str">
        <f>IF(VLOOKUP($B425,'1. 현장별 인원현황'!$C:$J,8,0)=0,"",VLOOKUP($B425,'1. 현장별 인원현황'!$C:$J,8,0))</f>
        <v>차장</v>
      </c>
      <c r="H425" s="67" t="s">
        <v>69</v>
      </c>
      <c r="I425" s="73"/>
      <c r="J425" s="73"/>
      <c r="K425" s="68"/>
      <c r="L425" s="67"/>
      <c r="M425" s="73" t="s">
        <v>69</v>
      </c>
      <c r="N425" s="73"/>
      <c r="O425" s="68"/>
      <c r="P425" s="67" t="s">
        <v>69</v>
      </c>
      <c r="Q425" s="73"/>
      <c r="R425" s="73"/>
      <c r="S425" s="68"/>
      <c r="T425" s="67"/>
      <c r="U425" s="73" t="s">
        <v>69</v>
      </c>
      <c r="V425" s="73"/>
      <c r="W425" s="68"/>
      <c r="X425" s="67" t="s">
        <v>69</v>
      </c>
      <c r="Y425" s="73"/>
      <c r="Z425" s="73"/>
      <c r="AA425" s="68"/>
      <c r="AB425" s="67" t="s">
        <v>69</v>
      </c>
      <c r="AC425" s="73"/>
      <c r="AD425" s="73"/>
      <c r="AE425" s="68"/>
      <c r="AF425" s="67" t="s">
        <v>69</v>
      </c>
      <c r="AG425" s="73"/>
      <c r="AH425" s="73"/>
      <c r="AI425" s="68"/>
      <c r="AJ425" s="67" t="s">
        <v>69</v>
      </c>
      <c r="AK425" s="73"/>
      <c r="AL425" s="73"/>
      <c r="AM425" s="68"/>
      <c r="AN425" s="73" t="s">
        <v>69</v>
      </c>
      <c r="AO425" s="73"/>
      <c r="AP425" s="73"/>
      <c r="AQ425" s="68"/>
      <c r="AR425" s="67">
        <f t="shared" si="242"/>
        <v>95</v>
      </c>
      <c r="AS425" s="68" t="str">
        <f t="shared" si="243"/>
        <v>S</v>
      </c>
      <c r="AV425" s="49">
        <f t="shared" si="244"/>
        <v>1</v>
      </c>
      <c r="AW425" s="49">
        <f t="shared" si="245"/>
        <v>0</v>
      </c>
      <c r="AX425" s="49">
        <f t="shared" si="246"/>
        <v>0</v>
      </c>
      <c r="AY425" s="49">
        <f t="shared" si="247"/>
        <v>0</v>
      </c>
      <c r="AZ425" s="49">
        <f t="shared" si="248"/>
        <v>0</v>
      </c>
      <c r="BA425" s="49">
        <f t="shared" si="249"/>
        <v>1</v>
      </c>
      <c r="BB425" s="49">
        <f t="shared" si="250"/>
        <v>0</v>
      </c>
      <c r="BC425" s="49">
        <f t="shared" si="251"/>
        <v>0</v>
      </c>
      <c r="BD425" s="49">
        <f t="shared" si="252"/>
        <v>1</v>
      </c>
      <c r="BE425" s="49">
        <f t="shared" si="253"/>
        <v>0</v>
      </c>
      <c r="BF425" s="49">
        <f t="shared" si="254"/>
        <v>0</v>
      </c>
      <c r="BG425" s="49">
        <f t="shared" si="255"/>
        <v>0</v>
      </c>
      <c r="BH425" s="49">
        <f t="shared" si="256"/>
        <v>0</v>
      </c>
      <c r="BI425" s="49">
        <f t="shared" si="257"/>
        <v>1</v>
      </c>
      <c r="BJ425" s="49">
        <f t="shared" si="258"/>
        <v>0</v>
      </c>
      <c r="BK425" s="49">
        <f t="shared" si="259"/>
        <v>0</v>
      </c>
      <c r="BL425" s="49">
        <f t="shared" si="260"/>
        <v>1</v>
      </c>
      <c r="BM425" s="49">
        <f t="shared" si="261"/>
        <v>0</v>
      </c>
      <c r="BN425" s="49">
        <f t="shared" si="262"/>
        <v>0</v>
      </c>
      <c r="BO425" s="49">
        <f t="shared" si="263"/>
        <v>0</v>
      </c>
      <c r="BP425" s="49">
        <f t="shared" si="264"/>
        <v>1</v>
      </c>
      <c r="BQ425" s="49">
        <f t="shared" si="265"/>
        <v>0</v>
      </c>
      <c r="BR425" s="49">
        <f t="shared" si="266"/>
        <v>0</v>
      </c>
      <c r="BS425" s="49">
        <f t="shared" si="267"/>
        <v>0</v>
      </c>
      <c r="BT425" s="49">
        <f t="shared" si="268"/>
        <v>1</v>
      </c>
      <c r="BU425" s="49">
        <f t="shared" si="269"/>
        <v>0</v>
      </c>
      <c r="BV425" s="49">
        <f t="shared" si="270"/>
        <v>0</v>
      </c>
      <c r="BW425" s="49">
        <f t="shared" si="271"/>
        <v>0</v>
      </c>
      <c r="BX425" s="49">
        <f t="shared" si="272"/>
        <v>1</v>
      </c>
      <c r="BY425" s="49">
        <f t="shared" si="273"/>
        <v>0</v>
      </c>
      <c r="BZ425" s="49">
        <f t="shared" si="274"/>
        <v>0</v>
      </c>
      <c r="CA425" s="49">
        <f t="shared" si="275"/>
        <v>0</v>
      </c>
      <c r="CB425" s="49">
        <f t="shared" si="276"/>
        <v>1</v>
      </c>
      <c r="CC425" s="49">
        <f t="shared" si="277"/>
        <v>0</v>
      </c>
      <c r="CD425" s="49">
        <f t="shared" si="278"/>
        <v>0</v>
      </c>
      <c r="CE425" s="49">
        <f t="shared" si="279"/>
        <v>0</v>
      </c>
    </row>
    <row r="426" spans="1:83" ht="35.1" customHeight="1" x14ac:dyDescent="0.3">
      <c r="A426" s="123" t="str">
        <f t="shared" si="240"/>
        <v>4팀</v>
      </c>
      <c r="B426" s="69">
        <f t="shared" si="241"/>
        <v>420</v>
      </c>
      <c r="C426" s="120" t="str">
        <f>IF(VLOOKUP($B426,'1. 현장별 인원현황'!$C:$J,2,0)=0,"",VLOOKUP($B426,'1. 현장별 인원현황'!$C:$J,2,0))</f>
        <v xml:space="preserve"> [4.롯데건설] 구리 인창C구역 주택재개발정비사업 중 일반전기공사</v>
      </c>
      <c r="D426" s="70" t="str">
        <f>IF(VLOOKUP($B426,'1. 현장별 인원현황'!$C:$J,3,0)=0,"",VLOOKUP($B426,'1. 현장별 인원현황'!$C:$J,3,0))</f>
        <v>이윤재</v>
      </c>
      <c r="E426" s="74" t="str">
        <f ca="1">IF(VLOOKUP($B426,'1. 현장별 인원현황'!$C:$J,4,0)=0,"",VLOOKUP($B426,'1. 현장별 인원현황'!$C:$J,4,0))</f>
        <v>63세</v>
      </c>
      <c r="F426" s="70" t="str">
        <f>IF(VLOOKUP($B426,'1. 현장별 인원현황'!$C:$J,7,0)=0,"",VLOOKUP($B426,'1. 현장별 인원현황'!$C:$J,7,0))</f>
        <v>공사</v>
      </c>
      <c r="G426" s="72" t="str">
        <f>IF(VLOOKUP($B426,'1. 현장별 인원현황'!$C:$J,8,0)=0,"",VLOOKUP($B426,'1. 현장별 인원현황'!$C:$J,8,0))</f>
        <v>차장</v>
      </c>
      <c r="H426" s="67" t="s">
        <v>69</v>
      </c>
      <c r="I426" s="73"/>
      <c r="J426" s="73"/>
      <c r="K426" s="68"/>
      <c r="L426" s="67"/>
      <c r="M426" s="73" t="s">
        <v>69</v>
      </c>
      <c r="N426" s="73"/>
      <c r="O426" s="68"/>
      <c r="P426" s="67" t="s">
        <v>69</v>
      </c>
      <c r="Q426" s="73"/>
      <c r="R426" s="73"/>
      <c r="S426" s="68"/>
      <c r="T426" s="67"/>
      <c r="U426" s="73" t="s">
        <v>69</v>
      </c>
      <c r="V426" s="73"/>
      <c r="W426" s="68"/>
      <c r="X426" s="67" t="s">
        <v>69</v>
      </c>
      <c r="Y426" s="73"/>
      <c r="Z426" s="73"/>
      <c r="AA426" s="68"/>
      <c r="AB426" s="67" t="s">
        <v>69</v>
      </c>
      <c r="AC426" s="73"/>
      <c r="AD426" s="73"/>
      <c r="AE426" s="68"/>
      <c r="AF426" s="67" t="s">
        <v>69</v>
      </c>
      <c r="AG426" s="73"/>
      <c r="AH426" s="73"/>
      <c r="AI426" s="68"/>
      <c r="AJ426" s="67" t="s">
        <v>69</v>
      </c>
      <c r="AK426" s="73"/>
      <c r="AL426" s="73"/>
      <c r="AM426" s="68"/>
      <c r="AN426" s="73" t="s">
        <v>69</v>
      </c>
      <c r="AO426" s="73"/>
      <c r="AP426" s="73"/>
      <c r="AQ426" s="68"/>
      <c r="AR426" s="67">
        <f t="shared" si="242"/>
        <v>95</v>
      </c>
      <c r="AS426" s="68" t="str">
        <f t="shared" si="243"/>
        <v>S</v>
      </c>
      <c r="AV426" s="49">
        <f t="shared" si="244"/>
        <v>1</v>
      </c>
      <c r="AW426" s="49">
        <f t="shared" si="245"/>
        <v>0</v>
      </c>
      <c r="AX426" s="49">
        <f t="shared" si="246"/>
        <v>0</v>
      </c>
      <c r="AY426" s="49">
        <f t="shared" si="247"/>
        <v>0</v>
      </c>
      <c r="AZ426" s="49">
        <f t="shared" si="248"/>
        <v>0</v>
      </c>
      <c r="BA426" s="49">
        <f t="shared" si="249"/>
        <v>1</v>
      </c>
      <c r="BB426" s="49">
        <f t="shared" si="250"/>
        <v>0</v>
      </c>
      <c r="BC426" s="49">
        <f t="shared" si="251"/>
        <v>0</v>
      </c>
      <c r="BD426" s="49">
        <f t="shared" si="252"/>
        <v>1</v>
      </c>
      <c r="BE426" s="49">
        <f t="shared" si="253"/>
        <v>0</v>
      </c>
      <c r="BF426" s="49">
        <f t="shared" si="254"/>
        <v>0</v>
      </c>
      <c r="BG426" s="49">
        <f t="shared" si="255"/>
        <v>0</v>
      </c>
      <c r="BH426" s="49">
        <f t="shared" si="256"/>
        <v>0</v>
      </c>
      <c r="BI426" s="49">
        <f t="shared" si="257"/>
        <v>1</v>
      </c>
      <c r="BJ426" s="49">
        <f t="shared" si="258"/>
        <v>0</v>
      </c>
      <c r="BK426" s="49">
        <f t="shared" si="259"/>
        <v>0</v>
      </c>
      <c r="BL426" s="49">
        <f t="shared" si="260"/>
        <v>1</v>
      </c>
      <c r="BM426" s="49">
        <f t="shared" si="261"/>
        <v>0</v>
      </c>
      <c r="BN426" s="49">
        <f t="shared" si="262"/>
        <v>0</v>
      </c>
      <c r="BO426" s="49">
        <f t="shared" si="263"/>
        <v>0</v>
      </c>
      <c r="BP426" s="49">
        <f t="shared" si="264"/>
        <v>1</v>
      </c>
      <c r="BQ426" s="49">
        <f t="shared" si="265"/>
        <v>0</v>
      </c>
      <c r="BR426" s="49">
        <f t="shared" si="266"/>
        <v>0</v>
      </c>
      <c r="BS426" s="49">
        <f t="shared" si="267"/>
        <v>0</v>
      </c>
      <c r="BT426" s="49">
        <f t="shared" si="268"/>
        <v>1</v>
      </c>
      <c r="BU426" s="49">
        <f t="shared" si="269"/>
        <v>0</v>
      </c>
      <c r="BV426" s="49">
        <f t="shared" si="270"/>
        <v>0</v>
      </c>
      <c r="BW426" s="49">
        <f t="shared" si="271"/>
        <v>0</v>
      </c>
      <c r="BX426" s="49">
        <f t="shared" si="272"/>
        <v>1</v>
      </c>
      <c r="BY426" s="49">
        <f t="shared" si="273"/>
        <v>0</v>
      </c>
      <c r="BZ426" s="49">
        <f t="shared" si="274"/>
        <v>0</v>
      </c>
      <c r="CA426" s="49">
        <f t="shared" si="275"/>
        <v>0</v>
      </c>
      <c r="CB426" s="49">
        <f t="shared" si="276"/>
        <v>1</v>
      </c>
      <c r="CC426" s="49">
        <f t="shared" si="277"/>
        <v>0</v>
      </c>
      <c r="CD426" s="49">
        <f t="shared" si="278"/>
        <v>0</v>
      </c>
      <c r="CE426" s="49">
        <f t="shared" si="279"/>
        <v>0</v>
      </c>
    </row>
    <row r="427" spans="1:83" ht="35.1" customHeight="1" x14ac:dyDescent="0.3">
      <c r="A427" s="123" t="str">
        <f t="shared" si="240"/>
        <v>4팀</v>
      </c>
      <c r="B427" s="69">
        <f t="shared" si="241"/>
        <v>421</v>
      </c>
      <c r="C427" s="120" t="str">
        <f>IF(VLOOKUP($B427,'1. 현장별 인원현황'!$C:$J,2,0)=0,"",VLOOKUP($B427,'1. 현장별 인원현황'!$C:$J,2,0))</f>
        <v xml:space="preserve"> [4.롯데건설] 구리 인창C구역 주택재개발정비사업 중 일반전기공사</v>
      </c>
      <c r="D427" s="70" t="str">
        <f>IF(VLOOKUP($B427,'1. 현장별 인원현황'!$C:$J,3,0)=0,"",VLOOKUP($B427,'1. 현장별 인원현황'!$C:$J,3,0))</f>
        <v>고상인</v>
      </c>
      <c r="E427" s="74" t="str">
        <f ca="1">IF(VLOOKUP($B427,'1. 현장별 인원현황'!$C:$J,4,0)=0,"",VLOOKUP($B427,'1. 현장별 인원현황'!$C:$J,4,0))</f>
        <v>62세</v>
      </c>
      <c r="F427" s="70" t="str">
        <f>IF(VLOOKUP($B427,'1. 현장별 인원현황'!$C:$J,7,0)=0,"",VLOOKUP($B427,'1. 현장별 인원현황'!$C:$J,7,0))</f>
        <v>기능공</v>
      </c>
      <c r="G427" s="72" t="str">
        <f>IF(VLOOKUP($B427,'1. 현장별 인원현황'!$C:$J,8,0)=0,"",VLOOKUP($B427,'1. 현장별 인원현황'!$C:$J,8,0))</f>
        <v>전공</v>
      </c>
      <c r="H427" s="67"/>
      <c r="I427" s="73" t="s">
        <v>69</v>
      </c>
      <c r="J427" s="73"/>
      <c r="K427" s="68"/>
      <c r="L427" s="67"/>
      <c r="M427" s="73" t="s">
        <v>69</v>
      </c>
      <c r="N427" s="73"/>
      <c r="O427" s="68"/>
      <c r="P427" s="67"/>
      <c r="Q427" s="73" t="s">
        <v>69</v>
      </c>
      <c r="R427" s="73"/>
      <c r="S427" s="68"/>
      <c r="T427" s="67"/>
      <c r="U427" s="73" t="s">
        <v>69</v>
      </c>
      <c r="V427" s="73"/>
      <c r="W427" s="68"/>
      <c r="X427" s="67" t="s">
        <v>69</v>
      </c>
      <c r="Y427" s="73"/>
      <c r="Z427" s="73"/>
      <c r="AA427" s="68"/>
      <c r="AB427" s="67" t="s">
        <v>69</v>
      </c>
      <c r="AC427" s="73"/>
      <c r="AD427" s="73"/>
      <c r="AE427" s="68"/>
      <c r="AF427" s="67" t="s">
        <v>69</v>
      </c>
      <c r="AG427" s="73"/>
      <c r="AH427" s="73"/>
      <c r="AI427" s="68"/>
      <c r="AJ427" s="67" t="s">
        <v>69</v>
      </c>
      <c r="AK427" s="73"/>
      <c r="AL427" s="73"/>
      <c r="AM427" s="68"/>
      <c r="AN427" s="73" t="s">
        <v>69</v>
      </c>
      <c r="AO427" s="73"/>
      <c r="AP427" s="73"/>
      <c r="AQ427" s="68"/>
      <c r="AR427" s="67">
        <f t="shared" si="242"/>
        <v>89</v>
      </c>
      <c r="AS427" s="68" t="str">
        <f t="shared" si="243"/>
        <v>S</v>
      </c>
      <c r="AV427" s="49">
        <f t="shared" si="244"/>
        <v>0</v>
      </c>
      <c r="AW427" s="49">
        <f t="shared" si="245"/>
        <v>1</v>
      </c>
      <c r="AX427" s="49">
        <f t="shared" si="246"/>
        <v>0</v>
      </c>
      <c r="AY427" s="49">
        <f t="shared" si="247"/>
        <v>0</v>
      </c>
      <c r="AZ427" s="49">
        <f t="shared" si="248"/>
        <v>0</v>
      </c>
      <c r="BA427" s="49">
        <f t="shared" si="249"/>
        <v>1</v>
      </c>
      <c r="BB427" s="49">
        <f t="shared" si="250"/>
        <v>0</v>
      </c>
      <c r="BC427" s="49">
        <f t="shared" si="251"/>
        <v>0</v>
      </c>
      <c r="BD427" s="49">
        <f t="shared" si="252"/>
        <v>0</v>
      </c>
      <c r="BE427" s="49">
        <f t="shared" si="253"/>
        <v>1</v>
      </c>
      <c r="BF427" s="49">
        <f t="shared" si="254"/>
        <v>0</v>
      </c>
      <c r="BG427" s="49">
        <f t="shared" si="255"/>
        <v>0</v>
      </c>
      <c r="BH427" s="49">
        <f t="shared" si="256"/>
        <v>0</v>
      </c>
      <c r="BI427" s="49">
        <f t="shared" si="257"/>
        <v>1</v>
      </c>
      <c r="BJ427" s="49">
        <f t="shared" si="258"/>
        <v>0</v>
      </c>
      <c r="BK427" s="49">
        <f t="shared" si="259"/>
        <v>0</v>
      </c>
      <c r="BL427" s="49">
        <f t="shared" si="260"/>
        <v>1</v>
      </c>
      <c r="BM427" s="49">
        <f t="shared" si="261"/>
        <v>0</v>
      </c>
      <c r="BN427" s="49">
        <f t="shared" si="262"/>
        <v>0</v>
      </c>
      <c r="BO427" s="49">
        <f t="shared" si="263"/>
        <v>0</v>
      </c>
      <c r="BP427" s="49">
        <f t="shared" si="264"/>
        <v>1</v>
      </c>
      <c r="BQ427" s="49">
        <f t="shared" si="265"/>
        <v>0</v>
      </c>
      <c r="BR427" s="49">
        <f t="shared" si="266"/>
        <v>0</v>
      </c>
      <c r="BS427" s="49">
        <f t="shared" si="267"/>
        <v>0</v>
      </c>
      <c r="BT427" s="49">
        <f t="shared" si="268"/>
        <v>1</v>
      </c>
      <c r="BU427" s="49">
        <f t="shared" si="269"/>
        <v>0</v>
      </c>
      <c r="BV427" s="49">
        <f t="shared" si="270"/>
        <v>0</v>
      </c>
      <c r="BW427" s="49">
        <f t="shared" si="271"/>
        <v>0</v>
      </c>
      <c r="BX427" s="49">
        <f t="shared" si="272"/>
        <v>1</v>
      </c>
      <c r="BY427" s="49">
        <f t="shared" si="273"/>
        <v>0</v>
      </c>
      <c r="BZ427" s="49">
        <f t="shared" si="274"/>
        <v>0</v>
      </c>
      <c r="CA427" s="49">
        <f t="shared" si="275"/>
        <v>0</v>
      </c>
      <c r="CB427" s="49">
        <f t="shared" si="276"/>
        <v>1</v>
      </c>
      <c r="CC427" s="49">
        <f t="shared" si="277"/>
        <v>0</v>
      </c>
      <c r="CD427" s="49">
        <f t="shared" si="278"/>
        <v>0</v>
      </c>
      <c r="CE427" s="49">
        <f t="shared" si="279"/>
        <v>0</v>
      </c>
    </row>
    <row r="428" spans="1:83" ht="35.1" customHeight="1" x14ac:dyDescent="0.3">
      <c r="A428" s="123" t="str">
        <f t="shared" si="240"/>
        <v>4팀</v>
      </c>
      <c r="B428" s="69">
        <f t="shared" si="241"/>
        <v>422</v>
      </c>
      <c r="C428" s="120" t="str">
        <f>IF(VLOOKUP($B428,'1. 현장별 인원현황'!$C:$J,2,0)=0,"",VLOOKUP($B428,'1. 현장별 인원현황'!$C:$J,2,0))</f>
        <v xml:space="preserve"> [4.롯데건설] 구리 인창C구역 주택재개발정비사업 중 일반전기공사</v>
      </c>
      <c r="D428" s="70" t="str">
        <f>IF(VLOOKUP($B428,'1. 현장별 인원현황'!$C:$J,3,0)=0,"",VLOOKUP($B428,'1. 현장별 인원현황'!$C:$J,3,0))</f>
        <v>고용석</v>
      </c>
      <c r="E428" s="74" t="str">
        <f ca="1">IF(VLOOKUP($B428,'1. 현장별 인원현황'!$C:$J,4,0)=0,"",VLOOKUP($B428,'1. 현장별 인원현황'!$C:$J,4,0))</f>
        <v>40세</v>
      </c>
      <c r="F428" s="70" t="str">
        <f>IF(VLOOKUP($B428,'1. 현장별 인원현황'!$C:$J,7,0)=0,"",VLOOKUP($B428,'1. 현장별 인원현황'!$C:$J,7,0))</f>
        <v>기능공</v>
      </c>
      <c r="G428" s="72" t="str">
        <f>IF(VLOOKUP($B428,'1. 현장별 인원현황'!$C:$J,8,0)=0,"",VLOOKUP($B428,'1. 현장별 인원현황'!$C:$J,8,0))</f>
        <v>전공</v>
      </c>
      <c r="H428" s="67" t="s">
        <v>69</v>
      </c>
      <c r="I428" s="73"/>
      <c r="J428" s="73"/>
      <c r="K428" s="68"/>
      <c r="L428" s="67"/>
      <c r="M428" s="73" t="s">
        <v>69</v>
      </c>
      <c r="N428" s="73"/>
      <c r="O428" s="68"/>
      <c r="P428" s="67" t="s">
        <v>69</v>
      </c>
      <c r="Q428" s="73"/>
      <c r="R428" s="73"/>
      <c r="S428" s="68"/>
      <c r="T428" s="67"/>
      <c r="U428" s="73" t="s">
        <v>69</v>
      </c>
      <c r="V428" s="73"/>
      <c r="W428" s="68"/>
      <c r="X428" s="67" t="s">
        <v>69</v>
      </c>
      <c r="Y428" s="73"/>
      <c r="Z428" s="73"/>
      <c r="AA428" s="68"/>
      <c r="AB428" s="67" t="s">
        <v>69</v>
      </c>
      <c r="AC428" s="73"/>
      <c r="AD428" s="73"/>
      <c r="AE428" s="68"/>
      <c r="AF428" s="67" t="s">
        <v>69</v>
      </c>
      <c r="AG428" s="73"/>
      <c r="AH428" s="73"/>
      <c r="AI428" s="68"/>
      <c r="AJ428" s="67" t="s">
        <v>69</v>
      </c>
      <c r="AK428" s="73"/>
      <c r="AL428" s="73"/>
      <c r="AM428" s="68"/>
      <c r="AN428" s="73" t="s">
        <v>69</v>
      </c>
      <c r="AO428" s="73"/>
      <c r="AP428" s="73"/>
      <c r="AQ428" s="68"/>
      <c r="AR428" s="67">
        <f t="shared" si="242"/>
        <v>95</v>
      </c>
      <c r="AS428" s="68" t="str">
        <f t="shared" si="243"/>
        <v>S</v>
      </c>
      <c r="AV428" s="49">
        <f t="shared" si="244"/>
        <v>1</v>
      </c>
      <c r="AW428" s="49">
        <f t="shared" si="245"/>
        <v>0</v>
      </c>
      <c r="AX428" s="49">
        <f t="shared" si="246"/>
        <v>0</v>
      </c>
      <c r="AY428" s="49">
        <f t="shared" si="247"/>
        <v>0</v>
      </c>
      <c r="AZ428" s="49">
        <f t="shared" si="248"/>
        <v>0</v>
      </c>
      <c r="BA428" s="49">
        <f t="shared" si="249"/>
        <v>1</v>
      </c>
      <c r="BB428" s="49">
        <f t="shared" si="250"/>
        <v>0</v>
      </c>
      <c r="BC428" s="49">
        <f t="shared" si="251"/>
        <v>0</v>
      </c>
      <c r="BD428" s="49">
        <f t="shared" si="252"/>
        <v>1</v>
      </c>
      <c r="BE428" s="49">
        <f t="shared" si="253"/>
        <v>0</v>
      </c>
      <c r="BF428" s="49">
        <f t="shared" si="254"/>
        <v>0</v>
      </c>
      <c r="BG428" s="49">
        <f t="shared" si="255"/>
        <v>0</v>
      </c>
      <c r="BH428" s="49">
        <f t="shared" si="256"/>
        <v>0</v>
      </c>
      <c r="BI428" s="49">
        <f t="shared" si="257"/>
        <v>1</v>
      </c>
      <c r="BJ428" s="49">
        <f t="shared" si="258"/>
        <v>0</v>
      </c>
      <c r="BK428" s="49">
        <f t="shared" si="259"/>
        <v>0</v>
      </c>
      <c r="BL428" s="49">
        <f t="shared" si="260"/>
        <v>1</v>
      </c>
      <c r="BM428" s="49">
        <f t="shared" si="261"/>
        <v>0</v>
      </c>
      <c r="BN428" s="49">
        <f t="shared" si="262"/>
        <v>0</v>
      </c>
      <c r="BO428" s="49">
        <f t="shared" si="263"/>
        <v>0</v>
      </c>
      <c r="BP428" s="49">
        <f t="shared" si="264"/>
        <v>1</v>
      </c>
      <c r="BQ428" s="49">
        <f t="shared" si="265"/>
        <v>0</v>
      </c>
      <c r="BR428" s="49">
        <f t="shared" si="266"/>
        <v>0</v>
      </c>
      <c r="BS428" s="49">
        <f t="shared" si="267"/>
        <v>0</v>
      </c>
      <c r="BT428" s="49">
        <f t="shared" si="268"/>
        <v>1</v>
      </c>
      <c r="BU428" s="49">
        <f t="shared" si="269"/>
        <v>0</v>
      </c>
      <c r="BV428" s="49">
        <f t="shared" si="270"/>
        <v>0</v>
      </c>
      <c r="BW428" s="49">
        <f t="shared" si="271"/>
        <v>0</v>
      </c>
      <c r="BX428" s="49">
        <f t="shared" si="272"/>
        <v>1</v>
      </c>
      <c r="BY428" s="49">
        <f t="shared" si="273"/>
        <v>0</v>
      </c>
      <c r="BZ428" s="49">
        <f t="shared" si="274"/>
        <v>0</v>
      </c>
      <c r="CA428" s="49">
        <f t="shared" si="275"/>
        <v>0</v>
      </c>
      <c r="CB428" s="49">
        <f t="shared" si="276"/>
        <v>1</v>
      </c>
      <c r="CC428" s="49">
        <f t="shared" si="277"/>
        <v>0</v>
      </c>
      <c r="CD428" s="49">
        <f t="shared" si="278"/>
        <v>0</v>
      </c>
      <c r="CE428" s="49">
        <f t="shared" si="279"/>
        <v>0</v>
      </c>
    </row>
    <row r="429" spans="1:83" ht="35.1" customHeight="1" x14ac:dyDescent="0.3">
      <c r="A429" s="123" t="str">
        <f t="shared" si="240"/>
        <v>4팀</v>
      </c>
      <c r="B429" s="69">
        <f t="shared" si="241"/>
        <v>423</v>
      </c>
      <c r="C429" s="120" t="str">
        <f>IF(VLOOKUP($B429,'1. 현장별 인원현황'!$C:$J,2,0)=0,"",VLOOKUP($B429,'1. 현장별 인원현황'!$C:$J,2,0))</f>
        <v xml:space="preserve"> [4.롯데건설] 구리 인창C구역 주택재개발정비사업 중 일반전기공사</v>
      </c>
      <c r="D429" s="70" t="str">
        <f>IF(VLOOKUP($B429,'1. 현장별 인원현황'!$C:$J,3,0)=0,"",VLOOKUP($B429,'1. 현장별 인원현황'!$C:$J,3,0))</f>
        <v>박수봉</v>
      </c>
      <c r="E429" s="74" t="str">
        <f ca="1">IF(VLOOKUP($B429,'1. 현장별 인원현황'!$C:$J,4,0)=0,"",VLOOKUP($B429,'1. 현장별 인원현황'!$C:$J,4,0))</f>
        <v>38세</v>
      </c>
      <c r="F429" s="70" t="str">
        <f>IF(VLOOKUP($B429,'1. 현장별 인원현황'!$C:$J,7,0)=0,"",VLOOKUP($B429,'1. 현장별 인원현황'!$C:$J,7,0))</f>
        <v>기능공</v>
      </c>
      <c r="G429" s="72" t="str">
        <f>IF(VLOOKUP($B429,'1. 현장별 인원현황'!$C:$J,8,0)=0,"",VLOOKUP($B429,'1. 현장별 인원현황'!$C:$J,8,0))</f>
        <v>전공</v>
      </c>
      <c r="H429" s="67"/>
      <c r="I429" s="73" t="s">
        <v>69</v>
      </c>
      <c r="J429" s="73"/>
      <c r="K429" s="68"/>
      <c r="L429" s="67"/>
      <c r="M429" s="73" t="s">
        <v>69</v>
      </c>
      <c r="N429" s="73"/>
      <c r="O429" s="68"/>
      <c r="P429" s="67"/>
      <c r="Q429" s="73" t="s">
        <v>69</v>
      </c>
      <c r="R429" s="73"/>
      <c r="S429" s="68"/>
      <c r="T429" s="67"/>
      <c r="U429" s="73" t="s">
        <v>69</v>
      </c>
      <c r="V429" s="73"/>
      <c r="W429" s="68"/>
      <c r="X429" s="67" t="s">
        <v>69</v>
      </c>
      <c r="Y429" s="73"/>
      <c r="Z429" s="73"/>
      <c r="AA429" s="68"/>
      <c r="AB429" s="67" t="s">
        <v>69</v>
      </c>
      <c r="AC429" s="73"/>
      <c r="AD429" s="73"/>
      <c r="AE429" s="68"/>
      <c r="AF429" s="67" t="s">
        <v>69</v>
      </c>
      <c r="AG429" s="73"/>
      <c r="AH429" s="73"/>
      <c r="AI429" s="68"/>
      <c r="AJ429" s="67" t="s">
        <v>69</v>
      </c>
      <c r="AK429" s="73"/>
      <c r="AL429" s="73"/>
      <c r="AM429" s="68"/>
      <c r="AN429" s="73" t="s">
        <v>69</v>
      </c>
      <c r="AO429" s="73"/>
      <c r="AP429" s="73"/>
      <c r="AQ429" s="68"/>
      <c r="AR429" s="67">
        <f t="shared" si="242"/>
        <v>89</v>
      </c>
      <c r="AS429" s="68" t="str">
        <f t="shared" si="243"/>
        <v>S</v>
      </c>
      <c r="AV429" s="49">
        <f t="shared" si="244"/>
        <v>0</v>
      </c>
      <c r="AW429" s="49">
        <f t="shared" si="245"/>
        <v>1</v>
      </c>
      <c r="AX429" s="49">
        <f t="shared" si="246"/>
        <v>0</v>
      </c>
      <c r="AY429" s="49">
        <f t="shared" si="247"/>
        <v>0</v>
      </c>
      <c r="AZ429" s="49">
        <f t="shared" si="248"/>
        <v>0</v>
      </c>
      <c r="BA429" s="49">
        <f t="shared" si="249"/>
        <v>1</v>
      </c>
      <c r="BB429" s="49">
        <f t="shared" si="250"/>
        <v>0</v>
      </c>
      <c r="BC429" s="49">
        <f t="shared" si="251"/>
        <v>0</v>
      </c>
      <c r="BD429" s="49">
        <f t="shared" si="252"/>
        <v>0</v>
      </c>
      <c r="BE429" s="49">
        <f t="shared" si="253"/>
        <v>1</v>
      </c>
      <c r="BF429" s="49">
        <f t="shared" si="254"/>
        <v>0</v>
      </c>
      <c r="BG429" s="49">
        <f t="shared" si="255"/>
        <v>0</v>
      </c>
      <c r="BH429" s="49">
        <f t="shared" si="256"/>
        <v>0</v>
      </c>
      <c r="BI429" s="49">
        <f t="shared" si="257"/>
        <v>1</v>
      </c>
      <c r="BJ429" s="49">
        <f t="shared" si="258"/>
        <v>0</v>
      </c>
      <c r="BK429" s="49">
        <f t="shared" si="259"/>
        <v>0</v>
      </c>
      <c r="BL429" s="49">
        <f t="shared" si="260"/>
        <v>1</v>
      </c>
      <c r="BM429" s="49">
        <f t="shared" si="261"/>
        <v>0</v>
      </c>
      <c r="BN429" s="49">
        <f t="shared" si="262"/>
        <v>0</v>
      </c>
      <c r="BO429" s="49">
        <f t="shared" si="263"/>
        <v>0</v>
      </c>
      <c r="BP429" s="49">
        <f t="shared" si="264"/>
        <v>1</v>
      </c>
      <c r="BQ429" s="49">
        <f t="shared" si="265"/>
        <v>0</v>
      </c>
      <c r="BR429" s="49">
        <f t="shared" si="266"/>
        <v>0</v>
      </c>
      <c r="BS429" s="49">
        <f t="shared" si="267"/>
        <v>0</v>
      </c>
      <c r="BT429" s="49">
        <f t="shared" si="268"/>
        <v>1</v>
      </c>
      <c r="BU429" s="49">
        <f t="shared" si="269"/>
        <v>0</v>
      </c>
      <c r="BV429" s="49">
        <f t="shared" si="270"/>
        <v>0</v>
      </c>
      <c r="BW429" s="49">
        <f t="shared" si="271"/>
        <v>0</v>
      </c>
      <c r="BX429" s="49">
        <f t="shared" si="272"/>
        <v>1</v>
      </c>
      <c r="BY429" s="49">
        <f t="shared" si="273"/>
        <v>0</v>
      </c>
      <c r="BZ429" s="49">
        <f t="shared" si="274"/>
        <v>0</v>
      </c>
      <c r="CA429" s="49">
        <f t="shared" si="275"/>
        <v>0</v>
      </c>
      <c r="CB429" s="49">
        <f t="shared" si="276"/>
        <v>1</v>
      </c>
      <c r="CC429" s="49">
        <f t="shared" si="277"/>
        <v>0</v>
      </c>
      <c r="CD429" s="49">
        <f t="shared" si="278"/>
        <v>0</v>
      </c>
      <c r="CE429" s="49">
        <f t="shared" si="279"/>
        <v>0</v>
      </c>
    </row>
    <row r="430" spans="1:83" ht="35.1" customHeight="1" x14ac:dyDescent="0.3">
      <c r="A430" s="123" t="str">
        <f t="shared" si="240"/>
        <v>4팀</v>
      </c>
      <c r="B430" s="69">
        <f t="shared" si="241"/>
        <v>424</v>
      </c>
      <c r="C430" s="120" t="str">
        <f>IF(VLOOKUP($B430,'1. 현장별 인원현황'!$C:$J,2,0)=0,"",VLOOKUP($B430,'1. 현장별 인원현황'!$C:$J,2,0))</f>
        <v xml:space="preserve"> [4.롯데건설] 구리 인창C구역 주택재개발정비사업 중 일반전기공사</v>
      </c>
      <c r="D430" s="70" t="str">
        <f>IF(VLOOKUP($B430,'1. 현장별 인원현황'!$C:$J,3,0)=0,"",VLOOKUP($B430,'1. 현장별 인원현황'!$C:$J,3,0))</f>
        <v>윤호</v>
      </c>
      <c r="E430" s="74" t="str">
        <f ca="1">IF(VLOOKUP($B430,'1. 현장별 인원현황'!$C:$J,4,0)=0,"",VLOOKUP($B430,'1. 현장별 인원현황'!$C:$J,4,0))</f>
        <v>62세</v>
      </c>
      <c r="F430" s="70" t="str">
        <f>IF(VLOOKUP($B430,'1. 현장별 인원현황'!$C:$J,7,0)=0,"",VLOOKUP($B430,'1. 현장별 인원현황'!$C:$J,7,0))</f>
        <v>기능공</v>
      </c>
      <c r="G430" s="72" t="str">
        <f>IF(VLOOKUP($B430,'1. 현장별 인원현황'!$C:$J,8,0)=0,"",VLOOKUP($B430,'1. 현장별 인원현황'!$C:$J,8,0))</f>
        <v>전공</v>
      </c>
      <c r="H430" s="67"/>
      <c r="I430" s="73" t="s">
        <v>69</v>
      </c>
      <c r="J430" s="73"/>
      <c r="K430" s="68"/>
      <c r="L430" s="67"/>
      <c r="M430" s="73" t="s">
        <v>69</v>
      </c>
      <c r="N430" s="73"/>
      <c r="O430" s="68"/>
      <c r="P430" s="67" t="s">
        <v>69</v>
      </c>
      <c r="Q430" s="73"/>
      <c r="R430" s="73"/>
      <c r="S430" s="68"/>
      <c r="T430" s="67"/>
      <c r="U430" s="73" t="s">
        <v>69</v>
      </c>
      <c r="V430" s="73"/>
      <c r="W430" s="68"/>
      <c r="X430" s="67" t="s">
        <v>69</v>
      </c>
      <c r="Y430" s="73"/>
      <c r="Z430" s="73"/>
      <c r="AA430" s="68"/>
      <c r="AB430" s="67" t="s">
        <v>69</v>
      </c>
      <c r="AC430" s="73"/>
      <c r="AD430" s="73"/>
      <c r="AE430" s="68"/>
      <c r="AF430" s="67" t="s">
        <v>69</v>
      </c>
      <c r="AG430" s="73"/>
      <c r="AH430" s="73"/>
      <c r="AI430" s="68"/>
      <c r="AJ430" s="67" t="s">
        <v>69</v>
      </c>
      <c r="AK430" s="73"/>
      <c r="AL430" s="73"/>
      <c r="AM430" s="68"/>
      <c r="AN430" s="73" t="s">
        <v>69</v>
      </c>
      <c r="AO430" s="73"/>
      <c r="AP430" s="73"/>
      <c r="AQ430" s="68"/>
      <c r="AR430" s="67">
        <f t="shared" si="242"/>
        <v>92</v>
      </c>
      <c r="AS430" s="68" t="str">
        <f t="shared" si="243"/>
        <v>S</v>
      </c>
      <c r="AV430" s="49">
        <f t="shared" si="244"/>
        <v>0</v>
      </c>
      <c r="AW430" s="49">
        <f t="shared" si="245"/>
        <v>1</v>
      </c>
      <c r="AX430" s="49">
        <f t="shared" si="246"/>
        <v>0</v>
      </c>
      <c r="AY430" s="49">
        <f t="shared" si="247"/>
        <v>0</v>
      </c>
      <c r="AZ430" s="49">
        <f t="shared" si="248"/>
        <v>0</v>
      </c>
      <c r="BA430" s="49">
        <f t="shared" si="249"/>
        <v>1</v>
      </c>
      <c r="BB430" s="49">
        <f t="shared" si="250"/>
        <v>0</v>
      </c>
      <c r="BC430" s="49">
        <f t="shared" si="251"/>
        <v>0</v>
      </c>
      <c r="BD430" s="49">
        <f t="shared" si="252"/>
        <v>1</v>
      </c>
      <c r="BE430" s="49">
        <f t="shared" si="253"/>
        <v>0</v>
      </c>
      <c r="BF430" s="49">
        <f t="shared" si="254"/>
        <v>0</v>
      </c>
      <c r="BG430" s="49">
        <f t="shared" si="255"/>
        <v>0</v>
      </c>
      <c r="BH430" s="49">
        <f t="shared" si="256"/>
        <v>0</v>
      </c>
      <c r="BI430" s="49">
        <f t="shared" si="257"/>
        <v>1</v>
      </c>
      <c r="BJ430" s="49">
        <f t="shared" si="258"/>
        <v>0</v>
      </c>
      <c r="BK430" s="49">
        <f t="shared" si="259"/>
        <v>0</v>
      </c>
      <c r="BL430" s="49">
        <f t="shared" si="260"/>
        <v>1</v>
      </c>
      <c r="BM430" s="49">
        <f t="shared" si="261"/>
        <v>0</v>
      </c>
      <c r="BN430" s="49">
        <f t="shared" si="262"/>
        <v>0</v>
      </c>
      <c r="BO430" s="49">
        <f t="shared" si="263"/>
        <v>0</v>
      </c>
      <c r="BP430" s="49">
        <f t="shared" si="264"/>
        <v>1</v>
      </c>
      <c r="BQ430" s="49">
        <f t="shared" si="265"/>
        <v>0</v>
      </c>
      <c r="BR430" s="49">
        <f t="shared" si="266"/>
        <v>0</v>
      </c>
      <c r="BS430" s="49">
        <f t="shared" si="267"/>
        <v>0</v>
      </c>
      <c r="BT430" s="49">
        <f t="shared" si="268"/>
        <v>1</v>
      </c>
      <c r="BU430" s="49">
        <f t="shared" si="269"/>
        <v>0</v>
      </c>
      <c r="BV430" s="49">
        <f t="shared" si="270"/>
        <v>0</v>
      </c>
      <c r="BW430" s="49">
        <f t="shared" si="271"/>
        <v>0</v>
      </c>
      <c r="BX430" s="49">
        <f t="shared" si="272"/>
        <v>1</v>
      </c>
      <c r="BY430" s="49">
        <f t="shared" si="273"/>
        <v>0</v>
      </c>
      <c r="BZ430" s="49">
        <f t="shared" si="274"/>
        <v>0</v>
      </c>
      <c r="CA430" s="49">
        <f t="shared" si="275"/>
        <v>0</v>
      </c>
      <c r="CB430" s="49">
        <f t="shared" si="276"/>
        <v>1</v>
      </c>
      <c r="CC430" s="49">
        <f t="shared" si="277"/>
        <v>0</v>
      </c>
      <c r="CD430" s="49">
        <f t="shared" si="278"/>
        <v>0</v>
      </c>
      <c r="CE430" s="49">
        <f t="shared" si="279"/>
        <v>0</v>
      </c>
    </row>
    <row r="431" spans="1:83" ht="35.1" customHeight="1" x14ac:dyDescent="0.3">
      <c r="A431" s="123" t="str">
        <f t="shared" si="240"/>
        <v>4팀</v>
      </c>
      <c r="B431" s="69">
        <f t="shared" si="241"/>
        <v>425</v>
      </c>
      <c r="C431" s="120" t="str">
        <f>IF(VLOOKUP($B431,'1. 현장별 인원현황'!$C:$J,2,0)=0,"",VLOOKUP($B431,'1. 현장별 인원현황'!$C:$J,2,0))</f>
        <v xml:space="preserve"> [4.롯데건설] 구리 인창C구역 주택재개발정비사업 중 일반전기공사</v>
      </c>
      <c r="D431" s="70" t="str">
        <f>IF(VLOOKUP($B431,'1. 현장별 인원현황'!$C:$J,3,0)=0,"",VLOOKUP($B431,'1. 현장별 인원현황'!$C:$J,3,0))</f>
        <v>정해균</v>
      </c>
      <c r="E431" s="74" t="str">
        <f ca="1">IF(VLOOKUP($B431,'1. 현장별 인원현황'!$C:$J,4,0)=0,"",VLOOKUP($B431,'1. 현장별 인원현황'!$C:$J,4,0))</f>
        <v>51세</v>
      </c>
      <c r="F431" s="70" t="str">
        <f>IF(VLOOKUP($B431,'1. 현장별 인원현황'!$C:$J,7,0)=0,"",VLOOKUP($B431,'1. 현장별 인원현황'!$C:$J,7,0))</f>
        <v>기능공</v>
      </c>
      <c r="G431" s="72" t="str">
        <f>IF(VLOOKUP($B431,'1. 현장별 인원현황'!$C:$J,8,0)=0,"",VLOOKUP($B431,'1. 현장별 인원현황'!$C:$J,8,0))</f>
        <v>전공</v>
      </c>
      <c r="H431" s="67"/>
      <c r="I431" s="73" t="s">
        <v>69</v>
      </c>
      <c r="J431" s="73"/>
      <c r="K431" s="68"/>
      <c r="L431" s="67"/>
      <c r="M431" s="73" t="s">
        <v>69</v>
      </c>
      <c r="N431" s="73"/>
      <c r="O431" s="68"/>
      <c r="P431" s="67"/>
      <c r="Q431" s="73" t="s">
        <v>69</v>
      </c>
      <c r="R431" s="73"/>
      <c r="S431" s="68"/>
      <c r="T431" s="67"/>
      <c r="U431" s="73" t="s">
        <v>69</v>
      </c>
      <c r="V431" s="73"/>
      <c r="W431" s="68"/>
      <c r="X431" s="67"/>
      <c r="Y431" s="73" t="s">
        <v>69</v>
      </c>
      <c r="Z431" s="73"/>
      <c r="AA431" s="68"/>
      <c r="AB431" s="67"/>
      <c r="AC431" s="73" t="s">
        <v>69</v>
      </c>
      <c r="AD431" s="73"/>
      <c r="AE431" s="68"/>
      <c r="AF431" s="67"/>
      <c r="AG431" s="73" t="s">
        <v>69</v>
      </c>
      <c r="AH431" s="73"/>
      <c r="AI431" s="68"/>
      <c r="AJ431" s="67"/>
      <c r="AK431" s="73" t="s">
        <v>69</v>
      </c>
      <c r="AL431" s="73"/>
      <c r="AM431" s="68"/>
      <c r="AN431" s="73" t="s">
        <v>69</v>
      </c>
      <c r="AO431" s="73"/>
      <c r="AP431" s="73"/>
      <c r="AQ431" s="68"/>
      <c r="AR431" s="67">
        <f t="shared" si="242"/>
        <v>80</v>
      </c>
      <c r="AS431" s="68" t="str">
        <f t="shared" si="243"/>
        <v>A</v>
      </c>
      <c r="AV431" s="49">
        <f t="shared" si="244"/>
        <v>0</v>
      </c>
      <c r="AW431" s="49">
        <f t="shared" si="245"/>
        <v>1</v>
      </c>
      <c r="AX431" s="49">
        <f t="shared" si="246"/>
        <v>0</v>
      </c>
      <c r="AY431" s="49">
        <f t="shared" si="247"/>
        <v>0</v>
      </c>
      <c r="AZ431" s="49">
        <f t="shared" si="248"/>
        <v>0</v>
      </c>
      <c r="BA431" s="49">
        <f t="shared" si="249"/>
        <v>1</v>
      </c>
      <c r="BB431" s="49">
        <f t="shared" si="250"/>
        <v>0</v>
      </c>
      <c r="BC431" s="49">
        <f t="shared" si="251"/>
        <v>0</v>
      </c>
      <c r="BD431" s="49">
        <f t="shared" si="252"/>
        <v>0</v>
      </c>
      <c r="BE431" s="49">
        <f t="shared" si="253"/>
        <v>1</v>
      </c>
      <c r="BF431" s="49">
        <f t="shared" si="254"/>
        <v>0</v>
      </c>
      <c r="BG431" s="49">
        <f t="shared" si="255"/>
        <v>0</v>
      </c>
      <c r="BH431" s="49">
        <f t="shared" si="256"/>
        <v>0</v>
      </c>
      <c r="BI431" s="49">
        <f t="shared" si="257"/>
        <v>1</v>
      </c>
      <c r="BJ431" s="49">
        <f t="shared" si="258"/>
        <v>0</v>
      </c>
      <c r="BK431" s="49">
        <f t="shared" si="259"/>
        <v>0</v>
      </c>
      <c r="BL431" s="49">
        <f t="shared" si="260"/>
        <v>0</v>
      </c>
      <c r="BM431" s="49">
        <f t="shared" si="261"/>
        <v>1</v>
      </c>
      <c r="BN431" s="49">
        <f t="shared" si="262"/>
        <v>0</v>
      </c>
      <c r="BO431" s="49">
        <f t="shared" si="263"/>
        <v>0</v>
      </c>
      <c r="BP431" s="49">
        <f t="shared" si="264"/>
        <v>0</v>
      </c>
      <c r="BQ431" s="49">
        <f t="shared" si="265"/>
        <v>1</v>
      </c>
      <c r="BR431" s="49">
        <f t="shared" si="266"/>
        <v>0</v>
      </c>
      <c r="BS431" s="49">
        <f t="shared" si="267"/>
        <v>0</v>
      </c>
      <c r="BT431" s="49">
        <f t="shared" si="268"/>
        <v>0</v>
      </c>
      <c r="BU431" s="49">
        <f t="shared" si="269"/>
        <v>1</v>
      </c>
      <c r="BV431" s="49">
        <f t="shared" si="270"/>
        <v>0</v>
      </c>
      <c r="BW431" s="49">
        <f t="shared" si="271"/>
        <v>0</v>
      </c>
      <c r="BX431" s="49">
        <f t="shared" si="272"/>
        <v>0</v>
      </c>
      <c r="BY431" s="49">
        <f t="shared" si="273"/>
        <v>1</v>
      </c>
      <c r="BZ431" s="49">
        <f t="shared" si="274"/>
        <v>0</v>
      </c>
      <c r="CA431" s="49">
        <f t="shared" si="275"/>
        <v>0</v>
      </c>
      <c r="CB431" s="49">
        <f t="shared" si="276"/>
        <v>1</v>
      </c>
      <c r="CC431" s="49">
        <f t="shared" si="277"/>
        <v>0</v>
      </c>
      <c r="CD431" s="49">
        <f t="shared" si="278"/>
        <v>0</v>
      </c>
      <c r="CE431" s="49">
        <f t="shared" si="279"/>
        <v>0</v>
      </c>
    </row>
    <row r="432" spans="1:83" ht="35.1" customHeight="1" x14ac:dyDescent="0.3">
      <c r="A432" s="123" t="str">
        <f t="shared" si="240"/>
        <v>4팀</v>
      </c>
      <c r="B432" s="69">
        <f t="shared" si="241"/>
        <v>426</v>
      </c>
      <c r="C432" s="120" t="str">
        <f>IF(VLOOKUP($B432,'1. 현장별 인원현황'!$C:$J,2,0)=0,"",VLOOKUP($B432,'1. 현장별 인원현황'!$C:$J,2,0))</f>
        <v xml:space="preserve"> [4.롯데건설] 구리 인창C구역 주택재개발정비사업 중 일반전기공사</v>
      </c>
      <c r="D432" s="70" t="str">
        <f>IF(VLOOKUP($B432,'1. 현장별 인원현황'!$C:$J,3,0)=0,"",VLOOKUP($B432,'1. 현장별 인원현황'!$C:$J,3,0))</f>
        <v>최해영</v>
      </c>
      <c r="E432" s="74" t="str">
        <f ca="1">IF(VLOOKUP($B432,'1. 현장별 인원현황'!$C:$J,4,0)=0,"",VLOOKUP($B432,'1. 현장별 인원현황'!$C:$J,4,0))</f>
        <v>60세</v>
      </c>
      <c r="F432" s="70" t="str">
        <f>IF(VLOOKUP($B432,'1. 현장별 인원현황'!$C:$J,7,0)=0,"",VLOOKUP($B432,'1. 현장별 인원현황'!$C:$J,7,0))</f>
        <v>기능공</v>
      </c>
      <c r="G432" s="72" t="str">
        <f>IF(VLOOKUP($B432,'1. 현장별 인원현황'!$C:$J,8,0)=0,"",VLOOKUP($B432,'1. 현장별 인원현황'!$C:$J,8,0))</f>
        <v>전공</v>
      </c>
      <c r="H432" s="67" t="s">
        <v>69</v>
      </c>
      <c r="I432" s="73"/>
      <c r="J432" s="73"/>
      <c r="K432" s="68"/>
      <c r="L432" s="67"/>
      <c r="M432" s="73" t="s">
        <v>69</v>
      </c>
      <c r="N432" s="73"/>
      <c r="O432" s="68"/>
      <c r="P432" s="67" t="s">
        <v>69</v>
      </c>
      <c r="Q432" s="73"/>
      <c r="R432" s="73"/>
      <c r="S432" s="68"/>
      <c r="T432" s="67"/>
      <c r="U432" s="73" t="s">
        <v>69</v>
      </c>
      <c r="V432" s="73"/>
      <c r="W432" s="68"/>
      <c r="X432" s="67" t="s">
        <v>69</v>
      </c>
      <c r="Y432" s="73"/>
      <c r="Z432" s="73"/>
      <c r="AA432" s="68"/>
      <c r="AB432" s="67" t="s">
        <v>69</v>
      </c>
      <c r="AC432" s="73"/>
      <c r="AD432" s="73"/>
      <c r="AE432" s="68"/>
      <c r="AF432" s="67" t="s">
        <v>69</v>
      </c>
      <c r="AG432" s="73"/>
      <c r="AH432" s="73"/>
      <c r="AI432" s="68"/>
      <c r="AJ432" s="67" t="s">
        <v>69</v>
      </c>
      <c r="AK432" s="73"/>
      <c r="AL432" s="73"/>
      <c r="AM432" s="68"/>
      <c r="AN432" s="73" t="s">
        <v>69</v>
      </c>
      <c r="AO432" s="73"/>
      <c r="AP432" s="73"/>
      <c r="AQ432" s="68"/>
      <c r="AR432" s="67">
        <f t="shared" si="242"/>
        <v>95</v>
      </c>
      <c r="AS432" s="68" t="str">
        <f t="shared" si="243"/>
        <v>S</v>
      </c>
      <c r="AV432" s="49">
        <f t="shared" si="244"/>
        <v>1</v>
      </c>
      <c r="AW432" s="49">
        <f t="shared" si="245"/>
        <v>0</v>
      </c>
      <c r="AX432" s="49">
        <f t="shared" si="246"/>
        <v>0</v>
      </c>
      <c r="AY432" s="49">
        <f t="shared" si="247"/>
        <v>0</v>
      </c>
      <c r="AZ432" s="49">
        <f t="shared" si="248"/>
        <v>0</v>
      </c>
      <c r="BA432" s="49">
        <f t="shared" si="249"/>
        <v>1</v>
      </c>
      <c r="BB432" s="49">
        <f t="shared" si="250"/>
        <v>0</v>
      </c>
      <c r="BC432" s="49">
        <f t="shared" si="251"/>
        <v>0</v>
      </c>
      <c r="BD432" s="49">
        <f t="shared" si="252"/>
        <v>1</v>
      </c>
      <c r="BE432" s="49">
        <f t="shared" si="253"/>
        <v>0</v>
      </c>
      <c r="BF432" s="49">
        <f t="shared" si="254"/>
        <v>0</v>
      </c>
      <c r="BG432" s="49">
        <f t="shared" si="255"/>
        <v>0</v>
      </c>
      <c r="BH432" s="49">
        <f t="shared" si="256"/>
        <v>0</v>
      </c>
      <c r="BI432" s="49">
        <f t="shared" si="257"/>
        <v>1</v>
      </c>
      <c r="BJ432" s="49">
        <f t="shared" si="258"/>
        <v>0</v>
      </c>
      <c r="BK432" s="49">
        <f t="shared" si="259"/>
        <v>0</v>
      </c>
      <c r="BL432" s="49">
        <f t="shared" si="260"/>
        <v>1</v>
      </c>
      <c r="BM432" s="49">
        <f t="shared" si="261"/>
        <v>0</v>
      </c>
      <c r="BN432" s="49">
        <f t="shared" si="262"/>
        <v>0</v>
      </c>
      <c r="BO432" s="49">
        <f t="shared" si="263"/>
        <v>0</v>
      </c>
      <c r="BP432" s="49">
        <f t="shared" si="264"/>
        <v>1</v>
      </c>
      <c r="BQ432" s="49">
        <f t="shared" si="265"/>
        <v>0</v>
      </c>
      <c r="BR432" s="49">
        <f t="shared" si="266"/>
        <v>0</v>
      </c>
      <c r="BS432" s="49">
        <f t="shared" si="267"/>
        <v>0</v>
      </c>
      <c r="BT432" s="49">
        <f t="shared" si="268"/>
        <v>1</v>
      </c>
      <c r="BU432" s="49">
        <f t="shared" si="269"/>
        <v>0</v>
      </c>
      <c r="BV432" s="49">
        <f t="shared" si="270"/>
        <v>0</v>
      </c>
      <c r="BW432" s="49">
        <f t="shared" si="271"/>
        <v>0</v>
      </c>
      <c r="BX432" s="49">
        <f t="shared" si="272"/>
        <v>1</v>
      </c>
      <c r="BY432" s="49">
        <f t="shared" si="273"/>
        <v>0</v>
      </c>
      <c r="BZ432" s="49">
        <f t="shared" si="274"/>
        <v>0</v>
      </c>
      <c r="CA432" s="49">
        <f t="shared" si="275"/>
        <v>0</v>
      </c>
      <c r="CB432" s="49">
        <f t="shared" si="276"/>
        <v>1</v>
      </c>
      <c r="CC432" s="49">
        <f t="shared" si="277"/>
        <v>0</v>
      </c>
      <c r="CD432" s="49">
        <f t="shared" si="278"/>
        <v>0</v>
      </c>
      <c r="CE432" s="49">
        <f t="shared" si="279"/>
        <v>0</v>
      </c>
    </row>
    <row r="433" spans="1:83" ht="35.1" customHeight="1" x14ac:dyDescent="0.3">
      <c r="A433" s="123" t="str">
        <f t="shared" si="240"/>
        <v>4팀</v>
      </c>
      <c r="B433" s="69">
        <f t="shared" si="241"/>
        <v>427</v>
      </c>
      <c r="C433" s="120" t="str">
        <f>IF(VLOOKUP($B433,'1. 현장별 인원현황'!$C:$J,2,0)=0,"",VLOOKUP($B433,'1. 현장별 인원현황'!$C:$J,2,0))</f>
        <v xml:space="preserve"> [4.롯데건설] 롯데바이오로직스 Project PROVIDENCE</v>
      </c>
      <c r="D433" s="70" t="str">
        <f>IF(VLOOKUP($B433,'1. 현장별 인원현황'!$C:$J,3,0)=0,"",VLOOKUP($B433,'1. 현장별 인원현황'!$C:$J,3,0))</f>
        <v>성시선</v>
      </c>
      <c r="E433" s="74" t="str">
        <f ca="1">IF(VLOOKUP($B433,'1. 현장별 인원현황'!$C:$J,4,0)=0,"",VLOOKUP($B433,'1. 현장별 인원현황'!$C:$J,4,0))</f>
        <v>54세</v>
      </c>
      <c r="F433" s="70" t="str">
        <f>IF(VLOOKUP($B433,'1. 현장별 인원현황'!$C:$J,7,0)=0,"",VLOOKUP($B433,'1. 현장별 인원현황'!$C:$J,7,0))</f>
        <v>공사</v>
      </c>
      <c r="G433" s="72" t="str">
        <f>IF(VLOOKUP($B433,'1. 현장별 인원현황'!$C:$J,8,0)=0,"",VLOOKUP($B433,'1. 현장별 인원현황'!$C:$J,8,0))</f>
        <v>차장</v>
      </c>
      <c r="H433" s="67" t="s">
        <v>69</v>
      </c>
      <c r="I433" s="73"/>
      <c r="J433" s="73"/>
      <c r="K433" s="68"/>
      <c r="L433" s="67" t="s">
        <v>69</v>
      </c>
      <c r="M433" s="73"/>
      <c r="N433" s="73"/>
      <c r="O433" s="68"/>
      <c r="P433" s="67" t="s">
        <v>69</v>
      </c>
      <c r="Q433" s="73"/>
      <c r="R433" s="73"/>
      <c r="S433" s="68"/>
      <c r="T433" s="67"/>
      <c r="U433" s="73" t="s">
        <v>69</v>
      </c>
      <c r="V433" s="73"/>
      <c r="W433" s="68"/>
      <c r="X433" s="67" t="s">
        <v>69</v>
      </c>
      <c r="Y433" s="73"/>
      <c r="Z433" s="73"/>
      <c r="AA433" s="68"/>
      <c r="AB433" s="67"/>
      <c r="AC433" s="73" t="s">
        <v>69</v>
      </c>
      <c r="AD433" s="73"/>
      <c r="AE433" s="68"/>
      <c r="AF433" s="67"/>
      <c r="AG433" s="73" t="s">
        <v>69</v>
      </c>
      <c r="AH433" s="73"/>
      <c r="AI433" s="68"/>
      <c r="AJ433" s="67"/>
      <c r="AK433" s="73" t="s">
        <v>69</v>
      </c>
      <c r="AL433" s="73"/>
      <c r="AM433" s="68"/>
      <c r="AN433" s="73" t="s">
        <v>69</v>
      </c>
      <c r="AO433" s="73"/>
      <c r="AP433" s="73"/>
      <c r="AQ433" s="68"/>
      <c r="AR433" s="67">
        <f t="shared" si="242"/>
        <v>91</v>
      </c>
      <c r="AS433" s="68" t="str">
        <f t="shared" si="243"/>
        <v>S</v>
      </c>
      <c r="AV433" s="49">
        <f t="shared" si="244"/>
        <v>1</v>
      </c>
      <c r="AW433" s="49">
        <f t="shared" si="245"/>
        <v>0</v>
      </c>
      <c r="AX433" s="49">
        <f t="shared" si="246"/>
        <v>0</v>
      </c>
      <c r="AY433" s="49">
        <f t="shared" si="247"/>
        <v>0</v>
      </c>
      <c r="AZ433" s="49">
        <f t="shared" si="248"/>
        <v>1</v>
      </c>
      <c r="BA433" s="49">
        <f t="shared" si="249"/>
        <v>0</v>
      </c>
      <c r="BB433" s="49">
        <f t="shared" si="250"/>
        <v>0</v>
      </c>
      <c r="BC433" s="49">
        <f t="shared" si="251"/>
        <v>0</v>
      </c>
      <c r="BD433" s="49">
        <f t="shared" si="252"/>
        <v>1</v>
      </c>
      <c r="BE433" s="49">
        <f t="shared" si="253"/>
        <v>0</v>
      </c>
      <c r="BF433" s="49">
        <f t="shared" si="254"/>
        <v>0</v>
      </c>
      <c r="BG433" s="49">
        <f t="shared" si="255"/>
        <v>0</v>
      </c>
      <c r="BH433" s="49">
        <f t="shared" si="256"/>
        <v>0</v>
      </c>
      <c r="BI433" s="49">
        <f t="shared" si="257"/>
        <v>1</v>
      </c>
      <c r="BJ433" s="49">
        <f t="shared" si="258"/>
        <v>0</v>
      </c>
      <c r="BK433" s="49">
        <f t="shared" si="259"/>
        <v>0</v>
      </c>
      <c r="BL433" s="49">
        <f t="shared" si="260"/>
        <v>1</v>
      </c>
      <c r="BM433" s="49">
        <f t="shared" si="261"/>
        <v>0</v>
      </c>
      <c r="BN433" s="49">
        <f t="shared" si="262"/>
        <v>0</v>
      </c>
      <c r="BO433" s="49">
        <f t="shared" si="263"/>
        <v>0</v>
      </c>
      <c r="BP433" s="49">
        <f t="shared" si="264"/>
        <v>0</v>
      </c>
      <c r="BQ433" s="49">
        <f t="shared" si="265"/>
        <v>1</v>
      </c>
      <c r="BR433" s="49">
        <f t="shared" si="266"/>
        <v>0</v>
      </c>
      <c r="BS433" s="49">
        <f t="shared" si="267"/>
        <v>0</v>
      </c>
      <c r="BT433" s="49">
        <f t="shared" si="268"/>
        <v>0</v>
      </c>
      <c r="BU433" s="49">
        <f t="shared" si="269"/>
        <v>1</v>
      </c>
      <c r="BV433" s="49">
        <f t="shared" si="270"/>
        <v>0</v>
      </c>
      <c r="BW433" s="49">
        <f t="shared" si="271"/>
        <v>0</v>
      </c>
      <c r="BX433" s="49">
        <f t="shared" si="272"/>
        <v>0</v>
      </c>
      <c r="BY433" s="49">
        <f t="shared" si="273"/>
        <v>1</v>
      </c>
      <c r="BZ433" s="49">
        <f t="shared" si="274"/>
        <v>0</v>
      </c>
      <c r="CA433" s="49">
        <f t="shared" si="275"/>
        <v>0</v>
      </c>
      <c r="CB433" s="49">
        <f t="shared" si="276"/>
        <v>1</v>
      </c>
      <c r="CC433" s="49">
        <f t="shared" si="277"/>
        <v>0</v>
      </c>
      <c r="CD433" s="49">
        <f t="shared" si="278"/>
        <v>0</v>
      </c>
      <c r="CE433" s="49">
        <f t="shared" si="279"/>
        <v>0</v>
      </c>
    </row>
    <row r="434" spans="1:83" ht="35.1" customHeight="1" x14ac:dyDescent="0.3">
      <c r="A434" s="123" t="str">
        <f t="shared" si="240"/>
        <v>4팀</v>
      </c>
      <c r="B434" s="69">
        <f t="shared" si="241"/>
        <v>428</v>
      </c>
      <c r="C434" s="120" t="str">
        <f>IF(VLOOKUP($B434,'1. 현장별 인원현황'!$C:$J,2,0)=0,"",VLOOKUP($B434,'1. 현장별 인원현황'!$C:$J,2,0))</f>
        <v xml:space="preserve"> [4.롯데건설] 롯데바이오로직스 Project PROVIDENCE</v>
      </c>
      <c r="D434" s="70" t="str">
        <f>IF(VLOOKUP($B434,'1. 현장별 인원현황'!$C:$J,3,0)=0,"",VLOOKUP($B434,'1. 현장별 인원현황'!$C:$J,3,0))</f>
        <v>곽은철</v>
      </c>
      <c r="E434" s="74" t="str">
        <f ca="1">IF(VLOOKUP($B434,'1. 현장별 인원현황'!$C:$J,4,0)=0,"",VLOOKUP($B434,'1. 현장별 인원현황'!$C:$J,4,0))</f>
        <v>41세</v>
      </c>
      <c r="F434" s="70" t="str">
        <f>IF(VLOOKUP($B434,'1. 현장별 인원현황'!$C:$J,7,0)=0,"",VLOOKUP($B434,'1. 현장별 인원현황'!$C:$J,7,0))</f>
        <v>공무</v>
      </c>
      <c r="G434" s="72" t="str">
        <f>IF(VLOOKUP($B434,'1. 현장별 인원현황'!$C:$J,8,0)=0,"",VLOOKUP($B434,'1. 현장별 인원현황'!$C:$J,8,0))</f>
        <v>부장</v>
      </c>
      <c r="H434" s="67" t="s">
        <v>69</v>
      </c>
      <c r="I434" s="73"/>
      <c r="J434" s="73"/>
      <c r="K434" s="68"/>
      <c r="L434" s="67" t="s">
        <v>69</v>
      </c>
      <c r="M434" s="73"/>
      <c r="N434" s="73"/>
      <c r="O434" s="68"/>
      <c r="P434" s="67" t="s">
        <v>69</v>
      </c>
      <c r="Q434" s="73"/>
      <c r="R434" s="73"/>
      <c r="S434" s="68"/>
      <c r="T434" s="67"/>
      <c r="U434" s="73" t="s">
        <v>69</v>
      </c>
      <c r="V434" s="73"/>
      <c r="W434" s="68"/>
      <c r="X434" s="67" t="s">
        <v>69</v>
      </c>
      <c r="Y434" s="73"/>
      <c r="Z434" s="73"/>
      <c r="AA434" s="68"/>
      <c r="AB434" s="67"/>
      <c r="AC434" s="73" t="s">
        <v>69</v>
      </c>
      <c r="AD434" s="73"/>
      <c r="AE434" s="68"/>
      <c r="AF434" s="67"/>
      <c r="AG434" s="73" t="s">
        <v>69</v>
      </c>
      <c r="AH434" s="73"/>
      <c r="AI434" s="68"/>
      <c r="AJ434" s="67"/>
      <c r="AK434" s="73" t="s">
        <v>69</v>
      </c>
      <c r="AL434" s="73"/>
      <c r="AM434" s="68"/>
      <c r="AN434" s="73" t="s">
        <v>69</v>
      </c>
      <c r="AO434" s="73"/>
      <c r="AP434" s="73"/>
      <c r="AQ434" s="68"/>
      <c r="AR434" s="67">
        <f t="shared" si="242"/>
        <v>91</v>
      </c>
      <c r="AS434" s="68" t="str">
        <f t="shared" si="243"/>
        <v>S</v>
      </c>
      <c r="AV434" s="49">
        <f t="shared" si="244"/>
        <v>1</v>
      </c>
      <c r="AW434" s="49">
        <f t="shared" si="245"/>
        <v>0</v>
      </c>
      <c r="AX434" s="49">
        <f t="shared" si="246"/>
        <v>0</v>
      </c>
      <c r="AY434" s="49">
        <f t="shared" si="247"/>
        <v>0</v>
      </c>
      <c r="AZ434" s="49">
        <f t="shared" si="248"/>
        <v>1</v>
      </c>
      <c r="BA434" s="49">
        <f t="shared" si="249"/>
        <v>0</v>
      </c>
      <c r="BB434" s="49">
        <f t="shared" si="250"/>
        <v>0</v>
      </c>
      <c r="BC434" s="49">
        <f t="shared" si="251"/>
        <v>0</v>
      </c>
      <c r="BD434" s="49">
        <f t="shared" si="252"/>
        <v>1</v>
      </c>
      <c r="BE434" s="49">
        <f t="shared" si="253"/>
        <v>0</v>
      </c>
      <c r="BF434" s="49">
        <f t="shared" si="254"/>
        <v>0</v>
      </c>
      <c r="BG434" s="49">
        <f t="shared" si="255"/>
        <v>0</v>
      </c>
      <c r="BH434" s="49">
        <f t="shared" si="256"/>
        <v>0</v>
      </c>
      <c r="BI434" s="49">
        <f t="shared" si="257"/>
        <v>1</v>
      </c>
      <c r="BJ434" s="49">
        <f t="shared" si="258"/>
        <v>0</v>
      </c>
      <c r="BK434" s="49">
        <f t="shared" si="259"/>
        <v>0</v>
      </c>
      <c r="BL434" s="49">
        <f t="shared" si="260"/>
        <v>1</v>
      </c>
      <c r="BM434" s="49">
        <f t="shared" si="261"/>
        <v>0</v>
      </c>
      <c r="BN434" s="49">
        <f t="shared" si="262"/>
        <v>0</v>
      </c>
      <c r="BO434" s="49">
        <f t="shared" si="263"/>
        <v>0</v>
      </c>
      <c r="BP434" s="49">
        <f t="shared" si="264"/>
        <v>0</v>
      </c>
      <c r="BQ434" s="49">
        <f t="shared" si="265"/>
        <v>1</v>
      </c>
      <c r="BR434" s="49">
        <f t="shared" si="266"/>
        <v>0</v>
      </c>
      <c r="BS434" s="49">
        <f t="shared" si="267"/>
        <v>0</v>
      </c>
      <c r="BT434" s="49">
        <f t="shared" si="268"/>
        <v>0</v>
      </c>
      <c r="BU434" s="49">
        <f t="shared" si="269"/>
        <v>1</v>
      </c>
      <c r="BV434" s="49">
        <f t="shared" si="270"/>
        <v>0</v>
      </c>
      <c r="BW434" s="49">
        <f t="shared" si="271"/>
        <v>0</v>
      </c>
      <c r="BX434" s="49">
        <f t="shared" si="272"/>
        <v>0</v>
      </c>
      <c r="BY434" s="49">
        <f t="shared" si="273"/>
        <v>1</v>
      </c>
      <c r="BZ434" s="49">
        <f t="shared" si="274"/>
        <v>0</v>
      </c>
      <c r="CA434" s="49">
        <f t="shared" si="275"/>
        <v>0</v>
      </c>
      <c r="CB434" s="49">
        <f t="shared" si="276"/>
        <v>1</v>
      </c>
      <c r="CC434" s="49">
        <f t="shared" si="277"/>
        <v>0</v>
      </c>
      <c r="CD434" s="49">
        <f t="shared" si="278"/>
        <v>0</v>
      </c>
      <c r="CE434" s="49">
        <f t="shared" si="279"/>
        <v>0</v>
      </c>
    </row>
    <row r="435" spans="1:83" ht="35.1" customHeight="1" x14ac:dyDescent="0.3">
      <c r="A435" s="123" t="str">
        <f t="shared" si="240"/>
        <v>4팀</v>
      </c>
      <c r="B435" s="69">
        <f t="shared" si="241"/>
        <v>429</v>
      </c>
      <c r="C435" s="120" t="str">
        <f>IF(VLOOKUP($B435,'1. 현장별 인원현황'!$C:$J,2,0)=0,"",VLOOKUP($B435,'1. 현장별 인원현황'!$C:$J,2,0))</f>
        <v xml:space="preserve"> [4.롯데건설] 롯데바이오로직스 Project PROVIDENCE</v>
      </c>
      <c r="D435" s="70" t="str">
        <f>IF(VLOOKUP($B435,'1. 현장별 인원현황'!$C:$J,3,0)=0,"",VLOOKUP($B435,'1. 현장별 인원현황'!$C:$J,3,0))</f>
        <v>김찬호</v>
      </c>
      <c r="E435" s="74" t="str">
        <f ca="1">IF(VLOOKUP($B435,'1. 현장별 인원현황'!$C:$J,4,0)=0,"",VLOOKUP($B435,'1. 현장별 인원현황'!$C:$J,4,0))</f>
        <v>50세</v>
      </c>
      <c r="F435" s="70" t="str">
        <f>IF(VLOOKUP($B435,'1. 현장별 인원현황'!$C:$J,7,0)=0,"",VLOOKUP($B435,'1. 현장별 인원현황'!$C:$J,7,0))</f>
        <v>공사</v>
      </c>
      <c r="G435" s="72" t="str">
        <f>IF(VLOOKUP($B435,'1. 현장별 인원현황'!$C:$J,8,0)=0,"",VLOOKUP($B435,'1. 현장별 인원현황'!$C:$J,8,0))</f>
        <v>차장</v>
      </c>
      <c r="H435" s="67" t="s">
        <v>69</v>
      </c>
      <c r="I435" s="73"/>
      <c r="J435" s="73"/>
      <c r="K435" s="68"/>
      <c r="L435" s="67" t="s">
        <v>69</v>
      </c>
      <c r="M435" s="73"/>
      <c r="N435" s="73"/>
      <c r="O435" s="68"/>
      <c r="P435" s="67" t="s">
        <v>69</v>
      </c>
      <c r="Q435" s="73"/>
      <c r="R435" s="73"/>
      <c r="S435" s="68"/>
      <c r="T435" s="67" t="s">
        <v>69</v>
      </c>
      <c r="U435" s="73"/>
      <c r="V435" s="73"/>
      <c r="W435" s="68"/>
      <c r="X435" s="67" t="s">
        <v>69</v>
      </c>
      <c r="Y435" s="73"/>
      <c r="Z435" s="73"/>
      <c r="AA435" s="68"/>
      <c r="AB435" s="67"/>
      <c r="AC435" s="73" t="s">
        <v>69</v>
      </c>
      <c r="AD435" s="73"/>
      <c r="AE435" s="68"/>
      <c r="AF435" s="67"/>
      <c r="AG435" s="73" t="s">
        <v>69</v>
      </c>
      <c r="AH435" s="73"/>
      <c r="AI435" s="68"/>
      <c r="AJ435" s="67"/>
      <c r="AK435" s="73" t="s">
        <v>69</v>
      </c>
      <c r="AL435" s="73"/>
      <c r="AM435" s="68"/>
      <c r="AN435" s="73" t="s">
        <v>69</v>
      </c>
      <c r="AO435" s="73"/>
      <c r="AP435" s="73"/>
      <c r="AQ435" s="68"/>
      <c r="AR435" s="67">
        <f t="shared" si="242"/>
        <v>93</v>
      </c>
      <c r="AS435" s="68" t="str">
        <f t="shared" si="243"/>
        <v>S</v>
      </c>
      <c r="AV435" s="49">
        <f t="shared" si="244"/>
        <v>1</v>
      </c>
      <c r="AW435" s="49">
        <f t="shared" si="245"/>
        <v>0</v>
      </c>
      <c r="AX435" s="49">
        <f t="shared" si="246"/>
        <v>0</v>
      </c>
      <c r="AY435" s="49">
        <f t="shared" si="247"/>
        <v>0</v>
      </c>
      <c r="AZ435" s="49">
        <f t="shared" si="248"/>
        <v>1</v>
      </c>
      <c r="BA435" s="49">
        <f t="shared" si="249"/>
        <v>0</v>
      </c>
      <c r="BB435" s="49">
        <f t="shared" si="250"/>
        <v>0</v>
      </c>
      <c r="BC435" s="49">
        <f t="shared" si="251"/>
        <v>0</v>
      </c>
      <c r="BD435" s="49">
        <f t="shared" si="252"/>
        <v>1</v>
      </c>
      <c r="BE435" s="49">
        <f t="shared" si="253"/>
        <v>0</v>
      </c>
      <c r="BF435" s="49">
        <f t="shared" si="254"/>
        <v>0</v>
      </c>
      <c r="BG435" s="49">
        <f t="shared" si="255"/>
        <v>0</v>
      </c>
      <c r="BH435" s="49">
        <f t="shared" si="256"/>
        <v>1</v>
      </c>
      <c r="BI435" s="49">
        <f t="shared" si="257"/>
        <v>0</v>
      </c>
      <c r="BJ435" s="49">
        <f t="shared" si="258"/>
        <v>0</v>
      </c>
      <c r="BK435" s="49">
        <f t="shared" si="259"/>
        <v>0</v>
      </c>
      <c r="BL435" s="49">
        <f t="shared" si="260"/>
        <v>1</v>
      </c>
      <c r="BM435" s="49">
        <f t="shared" si="261"/>
        <v>0</v>
      </c>
      <c r="BN435" s="49">
        <f t="shared" si="262"/>
        <v>0</v>
      </c>
      <c r="BO435" s="49">
        <f t="shared" si="263"/>
        <v>0</v>
      </c>
      <c r="BP435" s="49">
        <f t="shared" si="264"/>
        <v>0</v>
      </c>
      <c r="BQ435" s="49">
        <f t="shared" si="265"/>
        <v>1</v>
      </c>
      <c r="BR435" s="49">
        <f t="shared" si="266"/>
        <v>0</v>
      </c>
      <c r="BS435" s="49">
        <f t="shared" si="267"/>
        <v>0</v>
      </c>
      <c r="BT435" s="49">
        <f t="shared" si="268"/>
        <v>0</v>
      </c>
      <c r="BU435" s="49">
        <f t="shared" si="269"/>
        <v>1</v>
      </c>
      <c r="BV435" s="49">
        <f t="shared" si="270"/>
        <v>0</v>
      </c>
      <c r="BW435" s="49">
        <f t="shared" si="271"/>
        <v>0</v>
      </c>
      <c r="BX435" s="49">
        <f t="shared" si="272"/>
        <v>0</v>
      </c>
      <c r="BY435" s="49">
        <f t="shared" si="273"/>
        <v>1</v>
      </c>
      <c r="BZ435" s="49">
        <f t="shared" si="274"/>
        <v>0</v>
      </c>
      <c r="CA435" s="49">
        <f t="shared" si="275"/>
        <v>0</v>
      </c>
      <c r="CB435" s="49">
        <f t="shared" si="276"/>
        <v>1</v>
      </c>
      <c r="CC435" s="49">
        <f t="shared" si="277"/>
        <v>0</v>
      </c>
      <c r="CD435" s="49">
        <f t="shared" si="278"/>
        <v>0</v>
      </c>
      <c r="CE435" s="49">
        <f t="shared" si="279"/>
        <v>0</v>
      </c>
    </row>
    <row r="436" spans="1:83" ht="35.1" customHeight="1" x14ac:dyDescent="0.3">
      <c r="A436" s="123" t="str">
        <f t="shared" si="240"/>
        <v>4팀</v>
      </c>
      <c r="B436" s="69">
        <f t="shared" si="241"/>
        <v>430</v>
      </c>
      <c r="C436" s="120" t="str">
        <f>IF(VLOOKUP($B436,'1. 현장별 인원현황'!$C:$J,2,0)=0,"",VLOOKUP($B436,'1. 현장별 인원현황'!$C:$J,2,0))</f>
        <v xml:space="preserve"> [4.롯데건설] 롯데바이오로직스 Project PROVIDENCE</v>
      </c>
      <c r="D436" s="70" t="str">
        <f>IF(VLOOKUP($B436,'1. 현장별 인원현황'!$C:$J,3,0)=0,"",VLOOKUP($B436,'1. 현장별 인원현황'!$C:$J,3,0))</f>
        <v>박성구</v>
      </c>
      <c r="E436" s="74" t="str">
        <f ca="1">IF(VLOOKUP($B436,'1. 현장별 인원현황'!$C:$J,4,0)=0,"",VLOOKUP($B436,'1. 현장별 인원현황'!$C:$J,4,0))</f>
        <v>53세</v>
      </c>
      <c r="F436" s="70" t="str">
        <f>IF(VLOOKUP($B436,'1. 현장별 인원현황'!$C:$J,7,0)=0,"",VLOOKUP($B436,'1. 현장별 인원현황'!$C:$J,7,0))</f>
        <v>공사</v>
      </c>
      <c r="G436" s="72" t="str">
        <f>IF(VLOOKUP($B436,'1. 현장별 인원현황'!$C:$J,8,0)=0,"",VLOOKUP($B436,'1. 현장별 인원현황'!$C:$J,8,0))</f>
        <v>차장</v>
      </c>
      <c r="H436" s="67" t="s">
        <v>69</v>
      </c>
      <c r="I436" s="73"/>
      <c r="J436" s="73"/>
      <c r="K436" s="68"/>
      <c r="L436" s="67" t="s">
        <v>69</v>
      </c>
      <c r="M436" s="73"/>
      <c r="N436" s="73"/>
      <c r="O436" s="68"/>
      <c r="P436" s="67" t="s">
        <v>69</v>
      </c>
      <c r="Q436" s="73"/>
      <c r="R436" s="73"/>
      <c r="S436" s="68"/>
      <c r="T436" s="67" t="s">
        <v>69</v>
      </c>
      <c r="U436" s="73"/>
      <c r="V436" s="73"/>
      <c r="W436" s="68"/>
      <c r="X436" s="67" t="s">
        <v>69</v>
      </c>
      <c r="Y436" s="73"/>
      <c r="Z436" s="73"/>
      <c r="AA436" s="68"/>
      <c r="AB436" s="67"/>
      <c r="AC436" s="73" t="s">
        <v>69</v>
      </c>
      <c r="AD436" s="73"/>
      <c r="AE436" s="68"/>
      <c r="AF436" s="67"/>
      <c r="AG436" s="73" t="s">
        <v>69</v>
      </c>
      <c r="AH436" s="73"/>
      <c r="AI436" s="68"/>
      <c r="AJ436" s="67"/>
      <c r="AK436" s="73" t="s">
        <v>69</v>
      </c>
      <c r="AL436" s="73"/>
      <c r="AM436" s="68"/>
      <c r="AN436" s="73" t="s">
        <v>69</v>
      </c>
      <c r="AO436" s="73"/>
      <c r="AP436" s="73"/>
      <c r="AQ436" s="68"/>
      <c r="AR436" s="67">
        <f t="shared" si="242"/>
        <v>93</v>
      </c>
      <c r="AS436" s="68" t="str">
        <f t="shared" si="243"/>
        <v>S</v>
      </c>
      <c r="AV436" s="49">
        <f t="shared" si="244"/>
        <v>1</v>
      </c>
      <c r="AW436" s="49">
        <f t="shared" si="245"/>
        <v>0</v>
      </c>
      <c r="AX436" s="49">
        <f t="shared" si="246"/>
        <v>0</v>
      </c>
      <c r="AY436" s="49">
        <f t="shared" si="247"/>
        <v>0</v>
      </c>
      <c r="AZ436" s="49">
        <f t="shared" si="248"/>
        <v>1</v>
      </c>
      <c r="BA436" s="49">
        <f t="shared" si="249"/>
        <v>0</v>
      </c>
      <c r="BB436" s="49">
        <f t="shared" si="250"/>
        <v>0</v>
      </c>
      <c r="BC436" s="49">
        <f t="shared" si="251"/>
        <v>0</v>
      </c>
      <c r="BD436" s="49">
        <f t="shared" si="252"/>
        <v>1</v>
      </c>
      <c r="BE436" s="49">
        <f t="shared" si="253"/>
        <v>0</v>
      </c>
      <c r="BF436" s="49">
        <f t="shared" si="254"/>
        <v>0</v>
      </c>
      <c r="BG436" s="49">
        <f t="shared" si="255"/>
        <v>0</v>
      </c>
      <c r="BH436" s="49">
        <f t="shared" si="256"/>
        <v>1</v>
      </c>
      <c r="BI436" s="49">
        <f t="shared" si="257"/>
        <v>0</v>
      </c>
      <c r="BJ436" s="49">
        <f t="shared" si="258"/>
        <v>0</v>
      </c>
      <c r="BK436" s="49">
        <f t="shared" si="259"/>
        <v>0</v>
      </c>
      <c r="BL436" s="49">
        <f t="shared" si="260"/>
        <v>1</v>
      </c>
      <c r="BM436" s="49">
        <f t="shared" si="261"/>
        <v>0</v>
      </c>
      <c r="BN436" s="49">
        <f t="shared" si="262"/>
        <v>0</v>
      </c>
      <c r="BO436" s="49">
        <f t="shared" si="263"/>
        <v>0</v>
      </c>
      <c r="BP436" s="49">
        <f t="shared" si="264"/>
        <v>0</v>
      </c>
      <c r="BQ436" s="49">
        <f t="shared" si="265"/>
        <v>1</v>
      </c>
      <c r="BR436" s="49">
        <f t="shared" si="266"/>
        <v>0</v>
      </c>
      <c r="BS436" s="49">
        <f t="shared" si="267"/>
        <v>0</v>
      </c>
      <c r="BT436" s="49">
        <f t="shared" si="268"/>
        <v>0</v>
      </c>
      <c r="BU436" s="49">
        <f t="shared" si="269"/>
        <v>1</v>
      </c>
      <c r="BV436" s="49">
        <f t="shared" si="270"/>
        <v>0</v>
      </c>
      <c r="BW436" s="49">
        <f t="shared" si="271"/>
        <v>0</v>
      </c>
      <c r="BX436" s="49">
        <f t="shared" si="272"/>
        <v>0</v>
      </c>
      <c r="BY436" s="49">
        <f t="shared" si="273"/>
        <v>1</v>
      </c>
      <c r="BZ436" s="49">
        <f t="shared" si="274"/>
        <v>0</v>
      </c>
      <c r="CA436" s="49">
        <f t="shared" si="275"/>
        <v>0</v>
      </c>
      <c r="CB436" s="49">
        <f t="shared" si="276"/>
        <v>1</v>
      </c>
      <c r="CC436" s="49">
        <f t="shared" si="277"/>
        <v>0</v>
      </c>
      <c r="CD436" s="49">
        <f t="shared" si="278"/>
        <v>0</v>
      </c>
      <c r="CE436" s="49">
        <f t="shared" si="279"/>
        <v>0</v>
      </c>
    </row>
    <row r="437" spans="1:83" ht="35.1" customHeight="1" x14ac:dyDescent="0.3">
      <c r="A437" s="123" t="str">
        <f t="shared" si="240"/>
        <v>4팀</v>
      </c>
      <c r="B437" s="69">
        <f t="shared" si="241"/>
        <v>431</v>
      </c>
      <c r="C437" s="120" t="str">
        <f>IF(VLOOKUP($B437,'1. 현장별 인원현황'!$C:$J,2,0)=0,"",VLOOKUP($B437,'1. 현장별 인원현황'!$C:$J,2,0))</f>
        <v xml:space="preserve"> [4.롯데건설] 롯데바이오로직스 Project PROVIDENCE</v>
      </c>
      <c r="D437" s="70" t="str">
        <f>IF(VLOOKUP($B437,'1. 현장별 인원현황'!$C:$J,3,0)=0,"",VLOOKUP($B437,'1. 현장별 인원현황'!$C:$J,3,0))</f>
        <v>한형석</v>
      </c>
      <c r="E437" s="74" t="str">
        <f ca="1">IF(VLOOKUP($B437,'1. 현장별 인원현황'!$C:$J,4,0)=0,"",VLOOKUP($B437,'1. 현장별 인원현황'!$C:$J,4,0))</f>
        <v>61세</v>
      </c>
      <c r="F437" s="70" t="str">
        <f>IF(VLOOKUP($B437,'1. 현장별 인원현황'!$C:$J,7,0)=0,"",VLOOKUP($B437,'1. 현장별 인원현황'!$C:$J,7,0))</f>
        <v>공사</v>
      </c>
      <c r="G437" s="72" t="str">
        <f>IF(VLOOKUP($B437,'1. 현장별 인원현황'!$C:$J,8,0)=0,"",VLOOKUP($B437,'1. 현장별 인원현황'!$C:$J,8,0))</f>
        <v>차장</v>
      </c>
      <c r="H437" s="67" t="s">
        <v>69</v>
      </c>
      <c r="I437" s="73"/>
      <c r="J437" s="73"/>
      <c r="K437" s="68"/>
      <c r="L437" s="67" t="s">
        <v>69</v>
      </c>
      <c r="M437" s="73"/>
      <c r="N437" s="73"/>
      <c r="O437" s="68"/>
      <c r="P437" s="67" t="s">
        <v>69</v>
      </c>
      <c r="Q437" s="73"/>
      <c r="R437" s="73"/>
      <c r="S437" s="68"/>
      <c r="T437" s="67" t="s">
        <v>69</v>
      </c>
      <c r="U437" s="73"/>
      <c r="V437" s="73"/>
      <c r="W437" s="68"/>
      <c r="X437" s="67" t="s">
        <v>69</v>
      </c>
      <c r="Y437" s="73"/>
      <c r="Z437" s="73"/>
      <c r="AA437" s="68"/>
      <c r="AB437" s="67"/>
      <c r="AC437" s="73" t="s">
        <v>69</v>
      </c>
      <c r="AD437" s="73"/>
      <c r="AE437" s="68"/>
      <c r="AF437" s="67" t="s">
        <v>69</v>
      </c>
      <c r="AG437" s="73"/>
      <c r="AH437" s="73"/>
      <c r="AI437" s="68"/>
      <c r="AJ437" s="67"/>
      <c r="AK437" s="73" t="s">
        <v>69</v>
      </c>
      <c r="AL437" s="73"/>
      <c r="AM437" s="68"/>
      <c r="AN437" s="73" t="s">
        <v>69</v>
      </c>
      <c r="AO437" s="73"/>
      <c r="AP437" s="73"/>
      <c r="AQ437" s="68"/>
      <c r="AR437" s="67">
        <f t="shared" si="242"/>
        <v>95</v>
      </c>
      <c r="AS437" s="68" t="str">
        <f t="shared" si="243"/>
        <v>S</v>
      </c>
      <c r="AV437" s="49">
        <f t="shared" si="244"/>
        <v>1</v>
      </c>
      <c r="AW437" s="49">
        <f t="shared" si="245"/>
        <v>0</v>
      </c>
      <c r="AX437" s="49">
        <f t="shared" si="246"/>
        <v>0</v>
      </c>
      <c r="AY437" s="49">
        <f t="shared" si="247"/>
        <v>0</v>
      </c>
      <c r="AZ437" s="49">
        <f t="shared" si="248"/>
        <v>1</v>
      </c>
      <c r="BA437" s="49">
        <f t="shared" si="249"/>
        <v>0</v>
      </c>
      <c r="BB437" s="49">
        <f t="shared" si="250"/>
        <v>0</v>
      </c>
      <c r="BC437" s="49">
        <f t="shared" si="251"/>
        <v>0</v>
      </c>
      <c r="BD437" s="49">
        <f t="shared" si="252"/>
        <v>1</v>
      </c>
      <c r="BE437" s="49">
        <f t="shared" si="253"/>
        <v>0</v>
      </c>
      <c r="BF437" s="49">
        <f t="shared" si="254"/>
        <v>0</v>
      </c>
      <c r="BG437" s="49">
        <f t="shared" si="255"/>
        <v>0</v>
      </c>
      <c r="BH437" s="49">
        <f t="shared" si="256"/>
        <v>1</v>
      </c>
      <c r="BI437" s="49">
        <f t="shared" si="257"/>
        <v>0</v>
      </c>
      <c r="BJ437" s="49">
        <f t="shared" si="258"/>
        <v>0</v>
      </c>
      <c r="BK437" s="49">
        <f t="shared" si="259"/>
        <v>0</v>
      </c>
      <c r="BL437" s="49">
        <f t="shared" si="260"/>
        <v>1</v>
      </c>
      <c r="BM437" s="49">
        <f t="shared" si="261"/>
        <v>0</v>
      </c>
      <c r="BN437" s="49">
        <f t="shared" si="262"/>
        <v>0</v>
      </c>
      <c r="BO437" s="49">
        <f t="shared" si="263"/>
        <v>0</v>
      </c>
      <c r="BP437" s="49">
        <f t="shared" si="264"/>
        <v>0</v>
      </c>
      <c r="BQ437" s="49">
        <f t="shared" si="265"/>
        <v>1</v>
      </c>
      <c r="BR437" s="49">
        <f t="shared" si="266"/>
        <v>0</v>
      </c>
      <c r="BS437" s="49">
        <f t="shared" si="267"/>
        <v>0</v>
      </c>
      <c r="BT437" s="49">
        <f t="shared" si="268"/>
        <v>1</v>
      </c>
      <c r="BU437" s="49">
        <f t="shared" si="269"/>
        <v>0</v>
      </c>
      <c r="BV437" s="49">
        <f t="shared" si="270"/>
        <v>0</v>
      </c>
      <c r="BW437" s="49">
        <f t="shared" si="271"/>
        <v>0</v>
      </c>
      <c r="BX437" s="49">
        <f t="shared" si="272"/>
        <v>0</v>
      </c>
      <c r="BY437" s="49">
        <f t="shared" si="273"/>
        <v>1</v>
      </c>
      <c r="BZ437" s="49">
        <f t="shared" si="274"/>
        <v>0</v>
      </c>
      <c r="CA437" s="49">
        <f t="shared" si="275"/>
        <v>0</v>
      </c>
      <c r="CB437" s="49">
        <f t="shared" si="276"/>
        <v>1</v>
      </c>
      <c r="CC437" s="49">
        <f t="shared" si="277"/>
        <v>0</v>
      </c>
      <c r="CD437" s="49">
        <f t="shared" si="278"/>
        <v>0</v>
      </c>
      <c r="CE437" s="49">
        <f t="shared" si="279"/>
        <v>0</v>
      </c>
    </row>
    <row r="438" spans="1:83" ht="35.1" customHeight="1" x14ac:dyDescent="0.3">
      <c r="A438" s="123" t="str">
        <f t="shared" si="240"/>
        <v>4팀</v>
      </c>
      <c r="B438" s="69">
        <f t="shared" si="241"/>
        <v>432</v>
      </c>
      <c r="C438" s="120" t="str">
        <f>IF(VLOOKUP($B438,'1. 현장별 인원현황'!$C:$J,2,0)=0,"",VLOOKUP($B438,'1. 현장별 인원현황'!$C:$J,2,0))</f>
        <v xml:space="preserve"> [4.롯데건설] 롯데바이오로직스 Project PROVIDENCE</v>
      </c>
      <c r="D438" s="70" t="str">
        <f>IF(VLOOKUP($B438,'1. 현장별 인원현황'!$C:$J,3,0)=0,"",VLOOKUP($B438,'1. 현장별 인원현황'!$C:$J,3,0))</f>
        <v>주지원</v>
      </c>
      <c r="E438" s="74" t="str">
        <f ca="1">IF(VLOOKUP($B438,'1. 현장별 인원현황'!$C:$J,4,0)=0,"",VLOOKUP($B438,'1. 현장별 인원현황'!$C:$J,4,0))</f>
        <v>31세</v>
      </c>
      <c r="F438" s="70" t="str">
        <f>IF(VLOOKUP($B438,'1. 현장별 인원현황'!$C:$J,7,0)=0,"",VLOOKUP($B438,'1. 현장별 인원현황'!$C:$J,7,0))</f>
        <v>공사</v>
      </c>
      <c r="G438" s="72" t="str">
        <f>IF(VLOOKUP($B438,'1. 현장별 인원현황'!$C:$J,8,0)=0,"",VLOOKUP($B438,'1. 현장별 인원현황'!$C:$J,8,0))</f>
        <v>과장</v>
      </c>
      <c r="H438" s="67"/>
      <c r="I438" s="73" t="s">
        <v>69</v>
      </c>
      <c r="J438" s="73"/>
      <c r="K438" s="68"/>
      <c r="L438" s="67"/>
      <c r="M438" s="73" t="s">
        <v>69</v>
      </c>
      <c r="N438" s="73"/>
      <c r="O438" s="68"/>
      <c r="P438" s="67"/>
      <c r="Q438" s="73" t="s">
        <v>69</v>
      </c>
      <c r="R438" s="73"/>
      <c r="S438" s="68"/>
      <c r="T438" s="67"/>
      <c r="U438" s="73" t="s">
        <v>69</v>
      </c>
      <c r="V438" s="73"/>
      <c r="W438" s="68"/>
      <c r="X438" s="67" t="s">
        <v>69</v>
      </c>
      <c r="Y438" s="73"/>
      <c r="Z438" s="73"/>
      <c r="AA438" s="68"/>
      <c r="AB438" s="67"/>
      <c r="AC438" s="73" t="s">
        <v>69</v>
      </c>
      <c r="AD438" s="73"/>
      <c r="AE438" s="68"/>
      <c r="AF438" s="67"/>
      <c r="AG438" s="73" t="s">
        <v>69</v>
      </c>
      <c r="AH438" s="73"/>
      <c r="AI438" s="68"/>
      <c r="AJ438" s="67"/>
      <c r="AK438" s="73" t="s">
        <v>69</v>
      </c>
      <c r="AL438" s="73"/>
      <c r="AM438" s="68"/>
      <c r="AN438" s="73" t="s">
        <v>69</v>
      </c>
      <c r="AO438" s="73"/>
      <c r="AP438" s="73"/>
      <c r="AQ438" s="68"/>
      <c r="AR438" s="67">
        <f t="shared" si="242"/>
        <v>82</v>
      </c>
      <c r="AS438" s="68" t="str">
        <f t="shared" si="243"/>
        <v>A</v>
      </c>
      <c r="AV438" s="49">
        <f t="shared" si="244"/>
        <v>0</v>
      </c>
      <c r="AW438" s="49">
        <f t="shared" si="245"/>
        <v>1</v>
      </c>
      <c r="AX438" s="49">
        <f t="shared" si="246"/>
        <v>0</v>
      </c>
      <c r="AY438" s="49">
        <f t="shared" si="247"/>
        <v>0</v>
      </c>
      <c r="AZ438" s="49">
        <f t="shared" si="248"/>
        <v>0</v>
      </c>
      <c r="BA438" s="49">
        <f t="shared" si="249"/>
        <v>1</v>
      </c>
      <c r="BB438" s="49">
        <f t="shared" si="250"/>
        <v>0</v>
      </c>
      <c r="BC438" s="49">
        <f t="shared" si="251"/>
        <v>0</v>
      </c>
      <c r="BD438" s="49">
        <f t="shared" si="252"/>
        <v>0</v>
      </c>
      <c r="BE438" s="49">
        <f t="shared" si="253"/>
        <v>1</v>
      </c>
      <c r="BF438" s="49">
        <f t="shared" si="254"/>
        <v>0</v>
      </c>
      <c r="BG438" s="49">
        <f t="shared" si="255"/>
        <v>0</v>
      </c>
      <c r="BH438" s="49">
        <f t="shared" si="256"/>
        <v>0</v>
      </c>
      <c r="BI438" s="49">
        <f t="shared" si="257"/>
        <v>1</v>
      </c>
      <c r="BJ438" s="49">
        <f t="shared" si="258"/>
        <v>0</v>
      </c>
      <c r="BK438" s="49">
        <f t="shared" si="259"/>
        <v>0</v>
      </c>
      <c r="BL438" s="49">
        <f t="shared" si="260"/>
        <v>1</v>
      </c>
      <c r="BM438" s="49">
        <f t="shared" si="261"/>
        <v>0</v>
      </c>
      <c r="BN438" s="49">
        <f t="shared" si="262"/>
        <v>0</v>
      </c>
      <c r="BO438" s="49">
        <f t="shared" si="263"/>
        <v>0</v>
      </c>
      <c r="BP438" s="49">
        <f t="shared" si="264"/>
        <v>0</v>
      </c>
      <c r="BQ438" s="49">
        <f t="shared" si="265"/>
        <v>1</v>
      </c>
      <c r="BR438" s="49">
        <f t="shared" si="266"/>
        <v>0</v>
      </c>
      <c r="BS438" s="49">
        <f t="shared" si="267"/>
        <v>0</v>
      </c>
      <c r="BT438" s="49">
        <f t="shared" si="268"/>
        <v>0</v>
      </c>
      <c r="BU438" s="49">
        <f t="shared" si="269"/>
        <v>1</v>
      </c>
      <c r="BV438" s="49">
        <f t="shared" si="270"/>
        <v>0</v>
      </c>
      <c r="BW438" s="49">
        <f t="shared" si="271"/>
        <v>0</v>
      </c>
      <c r="BX438" s="49">
        <f t="shared" si="272"/>
        <v>0</v>
      </c>
      <c r="BY438" s="49">
        <f t="shared" si="273"/>
        <v>1</v>
      </c>
      <c r="BZ438" s="49">
        <f t="shared" si="274"/>
        <v>0</v>
      </c>
      <c r="CA438" s="49">
        <f t="shared" si="275"/>
        <v>0</v>
      </c>
      <c r="CB438" s="49">
        <f t="shared" si="276"/>
        <v>1</v>
      </c>
      <c r="CC438" s="49">
        <f t="shared" si="277"/>
        <v>0</v>
      </c>
      <c r="CD438" s="49">
        <f t="shared" si="278"/>
        <v>0</v>
      </c>
      <c r="CE438" s="49">
        <f t="shared" si="279"/>
        <v>0</v>
      </c>
    </row>
    <row r="439" spans="1:83" ht="35.1" customHeight="1" x14ac:dyDescent="0.3">
      <c r="A439" s="123" t="str">
        <f t="shared" si="240"/>
        <v>4팀</v>
      </c>
      <c r="B439" s="69">
        <f t="shared" si="241"/>
        <v>433</v>
      </c>
      <c r="C439" s="120" t="str">
        <f>IF(VLOOKUP($B439,'1. 현장별 인원현황'!$C:$J,2,0)=0,"",VLOOKUP($B439,'1. 현장별 인원현황'!$C:$J,2,0))</f>
        <v xml:space="preserve"> [4.롯데건설] 롯데바이오로직스 Project PROVIDENCE</v>
      </c>
      <c r="D439" s="70" t="str">
        <f>IF(VLOOKUP($B439,'1. 현장별 인원현황'!$C:$J,3,0)=0,"",VLOOKUP($B439,'1. 현장별 인원현황'!$C:$J,3,0))</f>
        <v>김민섭</v>
      </c>
      <c r="E439" s="74" t="str">
        <f ca="1">IF(VLOOKUP($B439,'1. 현장별 인원현황'!$C:$J,4,0)=0,"",VLOOKUP($B439,'1. 현장별 인원현황'!$C:$J,4,0))</f>
        <v>27세</v>
      </c>
      <c r="F439" s="70" t="str">
        <f>IF(VLOOKUP($B439,'1. 현장별 인원현황'!$C:$J,7,0)=0,"",VLOOKUP($B439,'1. 현장별 인원현황'!$C:$J,7,0))</f>
        <v>공무</v>
      </c>
      <c r="G439" s="72" t="str">
        <f>IF(VLOOKUP($B439,'1. 현장별 인원현황'!$C:$J,8,0)=0,"",VLOOKUP($B439,'1. 현장별 인원현황'!$C:$J,8,0))</f>
        <v>대리</v>
      </c>
      <c r="H439" s="67"/>
      <c r="I439" s="73" t="s">
        <v>69</v>
      </c>
      <c r="J439" s="73"/>
      <c r="K439" s="68"/>
      <c r="L439" s="67"/>
      <c r="M439" s="73" t="s">
        <v>69</v>
      </c>
      <c r="N439" s="73"/>
      <c r="O439" s="68"/>
      <c r="P439" s="67"/>
      <c r="Q439" s="73" t="s">
        <v>69</v>
      </c>
      <c r="R439" s="73"/>
      <c r="S439" s="68"/>
      <c r="T439" s="67"/>
      <c r="U439" s="73" t="s">
        <v>69</v>
      </c>
      <c r="V439" s="73"/>
      <c r="W439" s="68"/>
      <c r="X439" s="67" t="s">
        <v>69</v>
      </c>
      <c r="Y439" s="73"/>
      <c r="Z439" s="73"/>
      <c r="AA439" s="68"/>
      <c r="AB439" s="67"/>
      <c r="AC439" s="73" t="s">
        <v>69</v>
      </c>
      <c r="AD439" s="73"/>
      <c r="AE439" s="68"/>
      <c r="AF439" s="67"/>
      <c r="AG439" s="73" t="s">
        <v>69</v>
      </c>
      <c r="AH439" s="73"/>
      <c r="AI439" s="68"/>
      <c r="AJ439" s="67"/>
      <c r="AK439" s="73" t="s">
        <v>69</v>
      </c>
      <c r="AL439" s="73"/>
      <c r="AM439" s="68"/>
      <c r="AN439" s="73" t="s">
        <v>69</v>
      </c>
      <c r="AO439" s="73"/>
      <c r="AP439" s="73"/>
      <c r="AQ439" s="68"/>
      <c r="AR439" s="67">
        <f t="shared" si="242"/>
        <v>82</v>
      </c>
      <c r="AS439" s="68" t="str">
        <f t="shared" si="243"/>
        <v>A</v>
      </c>
      <c r="AV439" s="49">
        <f t="shared" si="244"/>
        <v>0</v>
      </c>
      <c r="AW439" s="49">
        <f t="shared" si="245"/>
        <v>1</v>
      </c>
      <c r="AX439" s="49">
        <f t="shared" si="246"/>
        <v>0</v>
      </c>
      <c r="AY439" s="49">
        <f t="shared" si="247"/>
        <v>0</v>
      </c>
      <c r="AZ439" s="49">
        <f t="shared" si="248"/>
        <v>0</v>
      </c>
      <c r="BA439" s="49">
        <f t="shared" si="249"/>
        <v>1</v>
      </c>
      <c r="BB439" s="49">
        <f t="shared" si="250"/>
        <v>0</v>
      </c>
      <c r="BC439" s="49">
        <f t="shared" si="251"/>
        <v>0</v>
      </c>
      <c r="BD439" s="49">
        <f t="shared" si="252"/>
        <v>0</v>
      </c>
      <c r="BE439" s="49">
        <f t="shared" si="253"/>
        <v>1</v>
      </c>
      <c r="BF439" s="49">
        <f t="shared" si="254"/>
        <v>0</v>
      </c>
      <c r="BG439" s="49">
        <f t="shared" si="255"/>
        <v>0</v>
      </c>
      <c r="BH439" s="49">
        <f t="shared" si="256"/>
        <v>0</v>
      </c>
      <c r="BI439" s="49">
        <f t="shared" si="257"/>
        <v>1</v>
      </c>
      <c r="BJ439" s="49">
        <f t="shared" si="258"/>
        <v>0</v>
      </c>
      <c r="BK439" s="49">
        <f t="shared" si="259"/>
        <v>0</v>
      </c>
      <c r="BL439" s="49">
        <f t="shared" si="260"/>
        <v>1</v>
      </c>
      <c r="BM439" s="49">
        <f t="shared" si="261"/>
        <v>0</v>
      </c>
      <c r="BN439" s="49">
        <f t="shared" si="262"/>
        <v>0</v>
      </c>
      <c r="BO439" s="49">
        <f t="shared" si="263"/>
        <v>0</v>
      </c>
      <c r="BP439" s="49">
        <f t="shared" si="264"/>
        <v>0</v>
      </c>
      <c r="BQ439" s="49">
        <f t="shared" si="265"/>
        <v>1</v>
      </c>
      <c r="BR439" s="49">
        <f t="shared" si="266"/>
        <v>0</v>
      </c>
      <c r="BS439" s="49">
        <f t="shared" si="267"/>
        <v>0</v>
      </c>
      <c r="BT439" s="49">
        <f t="shared" si="268"/>
        <v>0</v>
      </c>
      <c r="BU439" s="49">
        <f t="shared" si="269"/>
        <v>1</v>
      </c>
      <c r="BV439" s="49">
        <f t="shared" si="270"/>
        <v>0</v>
      </c>
      <c r="BW439" s="49">
        <f t="shared" si="271"/>
        <v>0</v>
      </c>
      <c r="BX439" s="49">
        <f t="shared" si="272"/>
        <v>0</v>
      </c>
      <c r="BY439" s="49">
        <f t="shared" si="273"/>
        <v>1</v>
      </c>
      <c r="BZ439" s="49">
        <f t="shared" si="274"/>
        <v>0</v>
      </c>
      <c r="CA439" s="49">
        <f t="shared" si="275"/>
        <v>0</v>
      </c>
      <c r="CB439" s="49">
        <f t="shared" si="276"/>
        <v>1</v>
      </c>
      <c r="CC439" s="49">
        <f t="shared" si="277"/>
        <v>0</v>
      </c>
      <c r="CD439" s="49">
        <f t="shared" si="278"/>
        <v>0</v>
      </c>
      <c r="CE439" s="49">
        <f t="shared" si="279"/>
        <v>0</v>
      </c>
    </row>
    <row r="440" spans="1:83" ht="35.1" customHeight="1" x14ac:dyDescent="0.3">
      <c r="A440" s="123" t="str">
        <f t="shared" si="240"/>
        <v>4팀</v>
      </c>
      <c r="B440" s="69">
        <f t="shared" si="241"/>
        <v>434</v>
      </c>
      <c r="C440" s="120" t="str">
        <f>IF(VLOOKUP($B440,'1. 현장별 인원현황'!$C:$J,2,0)=0,"",VLOOKUP($B440,'1. 현장별 인원현황'!$C:$J,2,0))</f>
        <v xml:space="preserve"> [4.롯데건설] 롯데바이오로직스 Project PROVIDENCE</v>
      </c>
      <c r="D440" s="70" t="str">
        <f>IF(VLOOKUP($B440,'1. 현장별 인원현황'!$C:$J,3,0)=0,"",VLOOKUP($B440,'1. 현장별 인원현황'!$C:$J,3,0))</f>
        <v>김건우</v>
      </c>
      <c r="E440" s="74" t="str">
        <f ca="1">IF(VLOOKUP($B440,'1. 현장별 인원현황'!$C:$J,4,0)=0,"",VLOOKUP($B440,'1. 현장별 인원현황'!$C:$J,4,0))</f>
        <v>25세</v>
      </c>
      <c r="F440" s="70" t="str">
        <f>IF(VLOOKUP($B440,'1. 현장별 인원현황'!$C:$J,7,0)=0,"",VLOOKUP($B440,'1. 현장별 인원현황'!$C:$J,7,0))</f>
        <v>공무</v>
      </c>
      <c r="G440" s="72" t="str">
        <f>IF(VLOOKUP($B440,'1. 현장별 인원현황'!$C:$J,8,0)=0,"",VLOOKUP($B440,'1. 현장별 인원현황'!$C:$J,8,0))</f>
        <v>대리</v>
      </c>
      <c r="H440" s="67"/>
      <c r="I440" s="73" t="s">
        <v>69</v>
      </c>
      <c r="J440" s="73"/>
      <c r="K440" s="68"/>
      <c r="L440" s="67"/>
      <c r="M440" s="73" t="s">
        <v>69</v>
      </c>
      <c r="N440" s="73"/>
      <c r="O440" s="68"/>
      <c r="P440" s="67"/>
      <c r="Q440" s="73" t="s">
        <v>69</v>
      </c>
      <c r="R440" s="73"/>
      <c r="S440" s="68"/>
      <c r="T440" s="67"/>
      <c r="U440" s="73" t="s">
        <v>69</v>
      </c>
      <c r="V440" s="73"/>
      <c r="W440" s="68"/>
      <c r="X440" s="67" t="s">
        <v>69</v>
      </c>
      <c r="Y440" s="73"/>
      <c r="Z440" s="73"/>
      <c r="AA440" s="68"/>
      <c r="AB440" s="67"/>
      <c r="AC440" s="73" t="s">
        <v>69</v>
      </c>
      <c r="AD440" s="73"/>
      <c r="AE440" s="68"/>
      <c r="AF440" s="67"/>
      <c r="AG440" s="73" t="s">
        <v>69</v>
      </c>
      <c r="AH440" s="73"/>
      <c r="AI440" s="68"/>
      <c r="AJ440" s="67"/>
      <c r="AK440" s="73" t="s">
        <v>69</v>
      </c>
      <c r="AL440" s="73"/>
      <c r="AM440" s="68"/>
      <c r="AN440" s="73" t="s">
        <v>69</v>
      </c>
      <c r="AO440" s="73"/>
      <c r="AP440" s="73"/>
      <c r="AQ440" s="68"/>
      <c r="AR440" s="67">
        <f t="shared" si="242"/>
        <v>82</v>
      </c>
      <c r="AS440" s="68" t="str">
        <f t="shared" si="243"/>
        <v>A</v>
      </c>
      <c r="AV440" s="49">
        <f t="shared" si="79"/>
        <v>0</v>
      </c>
      <c r="AW440" s="49">
        <f t="shared" si="44"/>
        <v>1</v>
      </c>
      <c r="AX440" s="49">
        <f t="shared" si="45"/>
        <v>0</v>
      </c>
      <c r="AY440" s="49">
        <f t="shared" si="46"/>
        <v>0</v>
      </c>
      <c r="AZ440" s="49">
        <f t="shared" si="47"/>
        <v>0</v>
      </c>
      <c r="BA440" s="49">
        <f t="shared" si="48"/>
        <v>1</v>
      </c>
      <c r="BB440" s="49">
        <f t="shared" si="49"/>
        <v>0</v>
      </c>
      <c r="BC440" s="49">
        <f t="shared" si="50"/>
        <v>0</v>
      </c>
      <c r="BD440" s="49">
        <f t="shared" si="51"/>
        <v>0</v>
      </c>
      <c r="BE440" s="49">
        <f t="shared" si="52"/>
        <v>1</v>
      </c>
      <c r="BF440" s="49">
        <f t="shared" si="53"/>
        <v>0</v>
      </c>
      <c r="BG440" s="49">
        <f t="shared" si="54"/>
        <v>0</v>
      </c>
      <c r="BH440" s="49">
        <f t="shared" si="55"/>
        <v>0</v>
      </c>
      <c r="BI440" s="49">
        <f t="shared" si="56"/>
        <v>1</v>
      </c>
      <c r="BJ440" s="49">
        <f t="shared" si="57"/>
        <v>0</v>
      </c>
      <c r="BK440" s="49">
        <f t="shared" si="58"/>
        <v>0</v>
      </c>
      <c r="BL440" s="49">
        <f t="shared" si="59"/>
        <v>1</v>
      </c>
      <c r="BM440" s="49">
        <f t="shared" si="60"/>
        <v>0</v>
      </c>
      <c r="BN440" s="49">
        <f t="shared" si="61"/>
        <v>0</v>
      </c>
      <c r="BO440" s="49">
        <f t="shared" si="62"/>
        <v>0</v>
      </c>
      <c r="BP440" s="49">
        <f t="shared" si="63"/>
        <v>0</v>
      </c>
      <c r="BQ440" s="49">
        <f t="shared" si="64"/>
        <v>1</v>
      </c>
      <c r="BR440" s="49">
        <f t="shared" si="65"/>
        <v>0</v>
      </c>
      <c r="BS440" s="49">
        <f t="shared" si="66"/>
        <v>0</v>
      </c>
      <c r="BT440" s="49">
        <f t="shared" si="67"/>
        <v>0</v>
      </c>
      <c r="BU440" s="49">
        <f t="shared" si="68"/>
        <v>1</v>
      </c>
      <c r="BV440" s="49">
        <f t="shared" si="69"/>
        <v>0</v>
      </c>
      <c r="BW440" s="49">
        <f t="shared" si="70"/>
        <v>0</v>
      </c>
      <c r="BX440" s="49">
        <f t="shared" si="71"/>
        <v>0</v>
      </c>
      <c r="BY440" s="49">
        <f t="shared" si="72"/>
        <v>1</v>
      </c>
      <c r="BZ440" s="49">
        <f t="shared" si="73"/>
        <v>0</v>
      </c>
      <c r="CA440" s="49">
        <f t="shared" si="74"/>
        <v>0</v>
      </c>
      <c r="CB440" s="49">
        <f t="shared" si="75"/>
        <v>1</v>
      </c>
      <c r="CC440" s="49">
        <f t="shared" si="76"/>
        <v>0</v>
      </c>
      <c r="CD440" s="49">
        <f t="shared" si="77"/>
        <v>0</v>
      </c>
      <c r="CE440" s="49">
        <f t="shared" si="78"/>
        <v>0</v>
      </c>
    </row>
    <row r="441" spans="1:83" ht="35.1" customHeight="1" x14ac:dyDescent="0.3">
      <c r="A441" s="123" t="str">
        <f t="shared" si="240"/>
        <v>4팀</v>
      </c>
      <c r="B441" s="69">
        <f t="shared" si="241"/>
        <v>435</v>
      </c>
      <c r="C441" s="120" t="str">
        <f>IF(VLOOKUP($B441,'1. 현장별 인원현황'!$C:$J,2,0)=0,"",VLOOKUP($B441,'1. 현장별 인원현황'!$C:$J,2,0))</f>
        <v xml:space="preserve"> [4.롯데건설] 롯데바이오로직스 Project PROVIDENCE</v>
      </c>
      <c r="D441" s="70" t="str">
        <f>IF(VLOOKUP($B441,'1. 현장별 인원현황'!$C:$J,3,0)=0,"",VLOOKUP($B441,'1. 현장별 인원현황'!$C:$J,3,0))</f>
        <v>권정인</v>
      </c>
      <c r="E441" s="74" t="str">
        <f ca="1">IF(VLOOKUP($B441,'1. 현장별 인원현황'!$C:$J,4,0)=0,"",VLOOKUP($B441,'1. 현장별 인원현황'!$C:$J,4,0))</f>
        <v>51세</v>
      </c>
      <c r="F441" s="70" t="str">
        <f>IF(VLOOKUP($B441,'1. 현장별 인원현황'!$C:$J,7,0)=0,"",VLOOKUP($B441,'1. 현장별 인원현황'!$C:$J,7,0))</f>
        <v>안전관리자</v>
      </c>
      <c r="G441" s="72" t="str">
        <f>IF(VLOOKUP($B441,'1. 현장별 인원현황'!$C:$J,8,0)=0,"",VLOOKUP($B441,'1. 현장별 인원현황'!$C:$J,8,0))</f>
        <v>과장</v>
      </c>
      <c r="H441" s="67" t="s">
        <v>69</v>
      </c>
      <c r="I441" s="73"/>
      <c r="J441" s="73"/>
      <c r="K441" s="68"/>
      <c r="L441" s="67" t="s">
        <v>69</v>
      </c>
      <c r="M441" s="73"/>
      <c r="N441" s="73"/>
      <c r="O441" s="68"/>
      <c r="P441" s="67" t="s">
        <v>69</v>
      </c>
      <c r="Q441" s="73"/>
      <c r="R441" s="73"/>
      <c r="S441" s="68"/>
      <c r="T441" s="67"/>
      <c r="U441" s="73" t="s">
        <v>69</v>
      </c>
      <c r="V441" s="73"/>
      <c r="W441" s="68"/>
      <c r="X441" s="67" t="s">
        <v>69</v>
      </c>
      <c r="Y441" s="73"/>
      <c r="Z441" s="73"/>
      <c r="AA441" s="68"/>
      <c r="AB441" s="67"/>
      <c r="AC441" s="73" t="s">
        <v>69</v>
      </c>
      <c r="AD441" s="73"/>
      <c r="AE441" s="68"/>
      <c r="AF441" s="67" t="s">
        <v>69</v>
      </c>
      <c r="AG441" s="73"/>
      <c r="AH441" s="73"/>
      <c r="AI441" s="68"/>
      <c r="AJ441" s="67"/>
      <c r="AK441" s="73" t="s">
        <v>69</v>
      </c>
      <c r="AL441" s="73"/>
      <c r="AM441" s="68"/>
      <c r="AN441" s="73" t="s">
        <v>69</v>
      </c>
      <c r="AO441" s="73"/>
      <c r="AP441" s="73"/>
      <c r="AQ441" s="68"/>
      <c r="AR441" s="67">
        <f t="shared" si="242"/>
        <v>93</v>
      </c>
      <c r="AS441" s="68" t="str">
        <f t="shared" si="243"/>
        <v>S</v>
      </c>
      <c r="AV441" s="49">
        <f t="shared" si="79"/>
        <v>1</v>
      </c>
      <c r="AW441" s="49">
        <f t="shared" si="44"/>
        <v>0</v>
      </c>
      <c r="AX441" s="49">
        <f t="shared" si="45"/>
        <v>0</v>
      </c>
      <c r="AY441" s="49">
        <f t="shared" si="46"/>
        <v>0</v>
      </c>
      <c r="AZ441" s="49">
        <f t="shared" si="47"/>
        <v>1</v>
      </c>
      <c r="BA441" s="49">
        <f t="shared" si="48"/>
        <v>0</v>
      </c>
      <c r="BB441" s="49">
        <f t="shared" si="49"/>
        <v>0</v>
      </c>
      <c r="BC441" s="49">
        <f t="shared" si="50"/>
        <v>0</v>
      </c>
      <c r="BD441" s="49">
        <f t="shared" si="51"/>
        <v>1</v>
      </c>
      <c r="BE441" s="49">
        <f t="shared" si="52"/>
        <v>0</v>
      </c>
      <c r="BF441" s="49">
        <f t="shared" si="53"/>
        <v>0</v>
      </c>
      <c r="BG441" s="49">
        <f t="shared" si="54"/>
        <v>0</v>
      </c>
      <c r="BH441" s="49">
        <f t="shared" si="55"/>
        <v>0</v>
      </c>
      <c r="BI441" s="49">
        <f t="shared" si="56"/>
        <v>1</v>
      </c>
      <c r="BJ441" s="49">
        <f t="shared" si="57"/>
        <v>0</v>
      </c>
      <c r="BK441" s="49">
        <f t="shared" si="58"/>
        <v>0</v>
      </c>
      <c r="BL441" s="49">
        <f t="shared" si="59"/>
        <v>1</v>
      </c>
      <c r="BM441" s="49">
        <f t="shared" si="60"/>
        <v>0</v>
      </c>
      <c r="BN441" s="49">
        <f t="shared" si="61"/>
        <v>0</v>
      </c>
      <c r="BO441" s="49">
        <f t="shared" si="62"/>
        <v>0</v>
      </c>
      <c r="BP441" s="49">
        <f t="shared" si="63"/>
        <v>0</v>
      </c>
      <c r="BQ441" s="49">
        <f t="shared" si="64"/>
        <v>1</v>
      </c>
      <c r="BR441" s="49">
        <f t="shared" si="65"/>
        <v>0</v>
      </c>
      <c r="BS441" s="49">
        <f t="shared" si="66"/>
        <v>0</v>
      </c>
      <c r="BT441" s="49">
        <f t="shared" si="67"/>
        <v>1</v>
      </c>
      <c r="BU441" s="49">
        <f t="shared" si="68"/>
        <v>0</v>
      </c>
      <c r="BV441" s="49">
        <f t="shared" si="69"/>
        <v>0</v>
      </c>
      <c r="BW441" s="49">
        <f t="shared" si="70"/>
        <v>0</v>
      </c>
      <c r="BX441" s="49">
        <f t="shared" si="71"/>
        <v>0</v>
      </c>
      <c r="BY441" s="49">
        <f t="shared" si="72"/>
        <v>1</v>
      </c>
      <c r="BZ441" s="49">
        <f t="shared" si="73"/>
        <v>0</v>
      </c>
      <c r="CA441" s="49">
        <f t="shared" si="74"/>
        <v>0</v>
      </c>
      <c r="CB441" s="49">
        <f t="shared" si="75"/>
        <v>1</v>
      </c>
      <c r="CC441" s="49">
        <f t="shared" si="76"/>
        <v>0</v>
      </c>
      <c r="CD441" s="49">
        <f t="shared" si="77"/>
        <v>0</v>
      </c>
      <c r="CE441" s="49">
        <f t="shared" si="78"/>
        <v>0</v>
      </c>
    </row>
    <row r="442" spans="1:83" ht="35.1" customHeight="1" x14ac:dyDescent="0.3">
      <c r="A442" s="123" t="str">
        <f t="shared" si="240"/>
        <v>4팀</v>
      </c>
      <c r="B442" s="69">
        <f t="shared" si="241"/>
        <v>436</v>
      </c>
      <c r="C442" s="120" t="str">
        <f>IF(VLOOKUP($B442,'1. 현장별 인원현황'!$C:$J,2,0)=0,"",VLOOKUP($B442,'1. 현장별 인원현황'!$C:$J,2,0))</f>
        <v xml:space="preserve"> [4.롯데건설] 롯데바이오로직스 Project PROVIDENCE</v>
      </c>
      <c r="D442" s="70" t="str">
        <f>IF(VLOOKUP($B442,'1. 현장별 인원현황'!$C:$J,3,0)=0,"",VLOOKUP($B442,'1. 현장별 인원현황'!$C:$J,3,0))</f>
        <v>조호준</v>
      </c>
      <c r="E442" s="74" t="str">
        <f ca="1">IF(VLOOKUP($B442,'1. 현장별 인원현황'!$C:$J,4,0)=0,"",VLOOKUP($B442,'1. 현장별 인원현황'!$C:$J,4,0))</f>
        <v>32세</v>
      </c>
      <c r="F442" s="70" t="str">
        <f>IF(VLOOKUP($B442,'1. 현장별 인원현황'!$C:$J,7,0)=0,"",VLOOKUP($B442,'1. 현장별 인원현황'!$C:$J,7,0))</f>
        <v>안전관리자</v>
      </c>
      <c r="G442" s="72" t="str">
        <f>IF(VLOOKUP($B442,'1. 현장별 인원현황'!$C:$J,8,0)=0,"",VLOOKUP($B442,'1. 현장별 인원현황'!$C:$J,8,0))</f>
        <v>과장</v>
      </c>
      <c r="H442" s="67"/>
      <c r="I442" s="73" t="s">
        <v>69</v>
      </c>
      <c r="J442" s="73"/>
      <c r="K442" s="68"/>
      <c r="L442" s="67"/>
      <c r="M442" s="73" t="s">
        <v>69</v>
      </c>
      <c r="N442" s="73"/>
      <c r="O442" s="68"/>
      <c r="P442" s="67"/>
      <c r="Q442" s="73" t="s">
        <v>69</v>
      </c>
      <c r="R442" s="73"/>
      <c r="S442" s="68"/>
      <c r="T442" s="67"/>
      <c r="U442" s="73" t="s">
        <v>69</v>
      </c>
      <c r="V442" s="73"/>
      <c r="W442" s="68"/>
      <c r="X442" s="67" t="s">
        <v>69</v>
      </c>
      <c r="Y442" s="73"/>
      <c r="Z442" s="73"/>
      <c r="AA442" s="68"/>
      <c r="AB442" s="67"/>
      <c r="AC442" s="73" t="s">
        <v>69</v>
      </c>
      <c r="AD442" s="73"/>
      <c r="AE442" s="68"/>
      <c r="AF442" s="67"/>
      <c r="AG442" s="73" t="s">
        <v>69</v>
      </c>
      <c r="AH442" s="73"/>
      <c r="AI442" s="68"/>
      <c r="AJ442" s="67"/>
      <c r="AK442" s="73" t="s">
        <v>69</v>
      </c>
      <c r="AL442" s="73"/>
      <c r="AM442" s="68"/>
      <c r="AN442" s="73" t="s">
        <v>69</v>
      </c>
      <c r="AO442" s="73"/>
      <c r="AP442" s="73"/>
      <c r="AQ442" s="68"/>
      <c r="AR442" s="67">
        <f t="shared" si="242"/>
        <v>82</v>
      </c>
      <c r="AS442" s="68" t="str">
        <f t="shared" si="243"/>
        <v>A</v>
      </c>
      <c r="AV442" s="49">
        <f t="shared" si="79"/>
        <v>0</v>
      </c>
      <c r="AW442" s="49">
        <f t="shared" si="44"/>
        <v>1</v>
      </c>
      <c r="AX442" s="49">
        <f t="shared" si="45"/>
        <v>0</v>
      </c>
      <c r="AY442" s="49">
        <f t="shared" si="46"/>
        <v>0</v>
      </c>
      <c r="AZ442" s="49">
        <f t="shared" si="47"/>
        <v>0</v>
      </c>
      <c r="BA442" s="49">
        <f t="shared" si="48"/>
        <v>1</v>
      </c>
      <c r="BB442" s="49">
        <f t="shared" si="49"/>
        <v>0</v>
      </c>
      <c r="BC442" s="49">
        <f t="shared" si="50"/>
        <v>0</v>
      </c>
      <c r="BD442" s="49">
        <f t="shared" si="51"/>
        <v>0</v>
      </c>
      <c r="BE442" s="49">
        <f t="shared" si="52"/>
        <v>1</v>
      </c>
      <c r="BF442" s="49">
        <f t="shared" si="53"/>
        <v>0</v>
      </c>
      <c r="BG442" s="49">
        <f t="shared" si="54"/>
        <v>0</v>
      </c>
      <c r="BH442" s="49">
        <f t="shared" si="55"/>
        <v>0</v>
      </c>
      <c r="BI442" s="49">
        <f t="shared" si="56"/>
        <v>1</v>
      </c>
      <c r="BJ442" s="49">
        <f t="shared" si="57"/>
        <v>0</v>
      </c>
      <c r="BK442" s="49">
        <f t="shared" si="58"/>
        <v>0</v>
      </c>
      <c r="BL442" s="49">
        <f t="shared" si="59"/>
        <v>1</v>
      </c>
      <c r="BM442" s="49">
        <f t="shared" si="60"/>
        <v>0</v>
      </c>
      <c r="BN442" s="49">
        <f t="shared" si="61"/>
        <v>0</v>
      </c>
      <c r="BO442" s="49">
        <f t="shared" si="62"/>
        <v>0</v>
      </c>
      <c r="BP442" s="49">
        <f t="shared" si="63"/>
        <v>0</v>
      </c>
      <c r="BQ442" s="49">
        <f t="shared" si="64"/>
        <v>1</v>
      </c>
      <c r="BR442" s="49">
        <f t="shared" si="65"/>
        <v>0</v>
      </c>
      <c r="BS442" s="49">
        <f t="shared" si="66"/>
        <v>0</v>
      </c>
      <c r="BT442" s="49">
        <f t="shared" si="67"/>
        <v>0</v>
      </c>
      <c r="BU442" s="49">
        <f t="shared" si="68"/>
        <v>1</v>
      </c>
      <c r="BV442" s="49">
        <f t="shared" si="69"/>
        <v>0</v>
      </c>
      <c r="BW442" s="49">
        <f t="shared" si="70"/>
        <v>0</v>
      </c>
      <c r="BX442" s="49">
        <f t="shared" si="71"/>
        <v>0</v>
      </c>
      <c r="BY442" s="49">
        <f t="shared" si="72"/>
        <v>1</v>
      </c>
      <c r="BZ442" s="49">
        <f t="shared" si="73"/>
        <v>0</v>
      </c>
      <c r="CA442" s="49">
        <f t="shared" si="74"/>
        <v>0</v>
      </c>
      <c r="CB442" s="49">
        <f t="shared" si="75"/>
        <v>1</v>
      </c>
      <c r="CC442" s="49">
        <f t="shared" si="76"/>
        <v>0</v>
      </c>
      <c r="CD442" s="49">
        <f t="shared" si="77"/>
        <v>0</v>
      </c>
      <c r="CE442" s="49">
        <f t="shared" si="78"/>
        <v>0</v>
      </c>
    </row>
    <row r="443" spans="1:83" ht="35.1" customHeight="1" x14ac:dyDescent="0.3">
      <c r="A443" s="123" t="str">
        <f t="shared" si="240"/>
        <v>4팀</v>
      </c>
      <c r="B443" s="69">
        <f t="shared" si="241"/>
        <v>437</v>
      </c>
      <c r="C443" s="120" t="str">
        <f>IF(VLOOKUP($B443,'1. 현장별 인원현황'!$C:$J,2,0)=0,"",VLOOKUP($B443,'1. 현장별 인원현황'!$C:$J,2,0))</f>
        <v xml:space="preserve"> [4.롯데건설] 롯데바이오로직스 Project PROVIDENCE</v>
      </c>
      <c r="D443" s="70" t="str">
        <f>IF(VLOOKUP($B443,'1. 현장별 인원현황'!$C:$J,3,0)=0,"",VLOOKUP($B443,'1. 현장별 인원현황'!$C:$J,3,0))</f>
        <v>조민성</v>
      </c>
      <c r="E443" s="74" t="str">
        <f ca="1">IF(VLOOKUP($B443,'1. 현장별 인원현황'!$C:$J,4,0)=0,"",VLOOKUP($B443,'1. 현장별 인원현황'!$C:$J,4,0))</f>
        <v>28세</v>
      </c>
      <c r="F443" s="70" t="str">
        <f>IF(VLOOKUP($B443,'1. 현장별 인원현황'!$C:$J,7,0)=0,"",VLOOKUP($B443,'1. 현장별 인원현황'!$C:$J,7,0))</f>
        <v>안전관리자</v>
      </c>
      <c r="G443" s="72" t="str">
        <f>IF(VLOOKUP($B443,'1. 현장별 인원현황'!$C:$J,8,0)=0,"",VLOOKUP($B443,'1. 현장별 인원현황'!$C:$J,8,0))</f>
        <v>대리</v>
      </c>
      <c r="H443" s="67"/>
      <c r="I443" s="73" t="s">
        <v>69</v>
      </c>
      <c r="J443" s="73"/>
      <c r="K443" s="68"/>
      <c r="L443" s="67"/>
      <c r="M443" s="73" t="s">
        <v>69</v>
      </c>
      <c r="N443" s="73"/>
      <c r="O443" s="68"/>
      <c r="P443" s="67"/>
      <c r="Q443" s="73" t="s">
        <v>69</v>
      </c>
      <c r="R443" s="73"/>
      <c r="S443" s="68"/>
      <c r="T443" s="67"/>
      <c r="U443" s="73" t="s">
        <v>69</v>
      </c>
      <c r="V443" s="73"/>
      <c r="W443" s="68"/>
      <c r="X443" s="67" t="s">
        <v>69</v>
      </c>
      <c r="Y443" s="73"/>
      <c r="Z443" s="73"/>
      <c r="AA443" s="68"/>
      <c r="AB443" s="67"/>
      <c r="AC443" s="73" t="s">
        <v>69</v>
      </c>
      <c r="AD443" s="73"/>
      <c r="AE443" s="68"/>
      <c r="AF443" s="67"/>
      <c r="AG443" s="73" t="s">
        <v>69</v>
      </c>
      <c r="AH443" s="73"/>
      <c r="AI443" s="68"/>
      <c r="AJ443" s="67"/>
      <c r="AK443" s="73" t="s">
        <v>69</v>
      </c>
      <c r="AL443" s="73"/>
      <c r="AM443" s="68"/>
      <c r="AN443" s="73" t="s">
        <v>69</v>
      </c>
      <c r="AO443" s="73"/>
      <c r="AP443" s="73"/>
      <c r="AQ443" s="68"/>
      <c r="AR443" s="67">
        <f t="shared" si="242"/>
        <v>82</v>
      </c>
      <c r="AS443" s="68" t="str">
        <f t="shared" si="243"/>
        <v>A</v>
      </c>
      <c r="AV443" s="49">
        <f t="shared" si="79"/>
        <v>0</v>
      </c>
      <c r="AW443" s="49">
        <f t="shared" si="44"/>
        <v>1</v>
      </c>
      <c r="AX443" s="49">
        <f t="shared" si="45"/>
        <v>0</v>
      </c>
      <c r="AY443" s="49">
        <f t="shared" si="46"/>
        <v>0</v>
      </c>
      <c r="AZ443" s="49">
        <f t="shared" si="47"/>
        <v>0</v>
      </c>
      <c r="BA443" s="49">
        <f t="shared" si="48"/>
        <v>1</v>
      </c>
      <c r="BB443" s="49">
        <f t="shared" si="49"/>
        <v>0</v>
      </c>
      <c r="BC443" s="49">
        <f t="shared" si="50"/>
        <v>0</v>
      </c>
      <c r="BD443" s="49">
        <f t="shared" si="51"/>
        <v>0</v>
      </c>
      <c r="BE443" s="49">
        <f t="shared" si="52"/>
        <v>1</v>
      </c>
      <c r="BF443" s="49">
        <f t="shared" si="53"/>
        <v>0</v>
      </c>
      <c r="BG443" s="49">
        <f t="shared" si="54"/>
        <v>0</v>
      </c>
      <c r="BH443" s="49">
        <f t="shared" si="55"/>
        <v>0</v>
      </c>
      <c r="BI443" s="49">
        <f t="shared" si="56"/>
        <v>1</v>
      </c>
      <c r="BJ443" s="49">
        <f t="shared" si="57"/>
        <v>0</v>
      </c>
      <c r="BK443" s="49">
        <f t="shared" si="58"/>
        <v>0</v>
      </c>
      <c r="BL443" s="49">
        <f t="shared" si="59"/>
        <v>1</v>
      </c>
      <c r="BM443" s="49">
        <f t="shared" si="60"/>
        <v>0</v>
      </c>
      <c r="BN443" s="49">
        <f t="shared" si="61"/>
        <v>0</v>
      </c>
      <c r="BO443" s="49">
        <f t="shared" si="62"/>
        <v>0</v>
      </c>
      <c r="BP443" s="49">
        <f t="shared" si="63"/>
        <v>0</v>
      </c>
      <c r="BQ443" s="49">
        <f t="shared" si="64"/>
        <v>1</v>
      </c>
      <c r="BR443" s="49">
        <f t="shared" si="65"/>
        <v>0</v>
      </c>
      <c r="BS443" s="49">
        <f t="shared" si="66"/>
        <v>0</v>
      </c>
      <c r="BT443" s="49">
        <f t="shared" si="67"/>
        <v>0</v>
      </c>
      <c r="BU443" s="49">
        <f t="shared" si="68"/>
        <v>1</v>
      </c>
      <c r="BV443" s="49">
        <f t="shared" si="69"/>
        <v>0</v>
      </c>
      <c r="BW443" s="49">
        <f t="shared" si="70"/>
        <v>0</v>
      </c>
      <c r="BX443" s="49">
        <f t="shared" si="71"/>
        <v>0</v>
      </c>
      <c r="BY443" s="49">
        <f t="shared" si="72"/>
        <v>1</v>
      </c>
      <c r="BZ443" s="49">
        <f t="shared" si="73"/>
        <v>0</v>
      </c>
      <c r="CA443" s="49">
        <f t="shared" si="74"/>
        <v>0</v>
      </c>
      <c r="CB443" s="49">
        <f t="shared" si="75"/>
        <v>1</v>
      </c>
      <c r="CC443" s="49">
        <f t="shared" si="76"/>
        <v>0</v>
      </c>
      <c r="CD443" s="49">
        <f t="shared" si="77"/>
        <v>0</v>
      </c>
      <c r="CE443" s="49">
        <f t="shared" si="78"/>
        <v>0</v>
      </c>
    </row>
    <row r="444" spans="1:83" ht="35.1" customHeight="1" x14ac:dyDescent="0.3">
      <c r="A444" s="123" t="str">
        <f t="shared" si="240"/>
        <v>4팀</v>
      </c>
      <c r="B444" s="69">
        <f t="shared" si="241"/>
        <v>438</v>
      </c>
      <c r="C444" s="120" t="str">
        <f>IF(VLOOKUP($B444,'1. 현장별 인원현황'!$C:$J,2,0)=0,"",VLOOKUP($B444,'1. 현장별 인원현황'!$C:$J,2,0))</f>
        <v xml:space="preserve"> [4.롯데건설] 롯데바이오로직스 Project PROVIDENCE</v>
      </c>
      <c r="D444" s="70" t="str">
        <f>IF(VLOOKUP($B444,'1. 현장별 인원현황'!$C:$J,3,0)=0,"",VLOOKUP($B444,'1. 현장별 인원현황'!$C:$J,3,0))</f>
        <v>김철호</v>
      </c>
      <c r="E444" s="74" t="str">
        <f ca="1">IF(VLOOKUP($B444,'1. 현장별 인원현황'!$C:$J,4,0)=0,"",VLOOKUP($B444,'1. 현장별 인원현황'!$C:$J,4,0))</f>
        <v>57세</v>
      </c>
      <c r="F444" s="70" t="str">
        <f>IF(VLOOKUP($B444,'1. 현장별 인원현황'!$C:$J,7,0)=0,"",VLOOKUP($B444,'1. 현장별 인원현황'!$C:$J,7,0))</f>
        <v>기능공</v>
      </c>
      <c r="G444" s="72" t="str">
        <f>IF(VLOOKUP($B444,'1. 현장별 인원현황'!$C:$J,8,0)=0,"",VLOOKUP($B444,'1. 현장별 인원현황'!$C:$J,8,0))</f>
        <v>전공</v>
      </c>
      <c r="H444" s="67"/>
      <c r="I444" s="73" t="s">
        <v>69</v>
      </c>
      <c r="J444" s="73"/>
      <c r="K444" s="68"/>
      <c r="L444" s="67"/>
      <c r="M444" s="73" t="s">
        <v>69</v>
      </c>
      <c r="N444" s="73"/>
      <c r="O444" s="68"/>
      <c r="P444" s="67"/>
      <c r="Q444" s="73" t="s">
        <v>69</v>
      </c>
      <c r="R444" s="73"/>
      <c r="S444" s="68"/>
      <c r="T444" s="67"/>
      <c r="U444" s="73" t="s">
        <v>69</v>
      </c>
      <c r="V444" s="73"/>
      <c r="W444" s="68"/>
      <c r="X444" s="67" t="s">
        <v>69</v>
      </c>
      <c r="Y444" s="73"/>
      <c r="Z444" s="73"/>
      <c r="AA444" s="68"/>
      <c r="AB444" s="67"/>
      <c r="AC444" s="73" t="s">
        <v>69</v>
      </c>
      <c r="AD444" s="73"/>
      <c r="AE444" s="68"/>
      <c r="AF444" s="67"/>
      <c r="AG444" s="73" t="s">
        <v>69</v>
      </c>
      <c r="AH444" s="73"/>
      <c r="AI444" s="68"/>
      <c r="AJ444" s="67"/>
      <c r="AK444" s="73" t="s">
        <v>69</v>
      </c>
      <c r="AL444" s="73"/>
      <c r="AM444" s="68"/>
      <c r="AN444" s="73"/>
      <c r="AO444" s="73" t="s">
        <v>69</v>
      </c>
      <c r="AP444" s="73"/>
      <c r="AQ444" s="68"/>
      <c r="AR444" s="67">
        <f t="shared" si="242"/>
        <v>79</v>
      </c>
      <c r="AS444" s="68" t="str">
        <f t="shared" si="243"/>
        <v>A</v>
      </c>
      <c r="AV444" s="49">
        <f t="shared" si="79"/>
        <v>0</v>
      </c>
      <c r="AW444" s="49">
        <f t="shared" si="44"/>
        <v>1</v>
      </c>
      <c r="AX444" s="49">
        <f t="shared" si="45"/>
        <v>0</v>
      </c>
      <c r="AY444" s="49">
        <f t="shared" si="46"/>
        <v>0</v>
      </c>
      <c r="AZ444" s="49">
        <f t="shared" si="47"/>
        <v>0</v>
      </c>
      <c r="BA444" s="49">
        <f t="shared" si="48"/>
        <v>1</v>
      </c>
      <c r="BB444" s="49">
        <f t="shared" si="49"/>
        <v>0</v>
      </c>
      <c r="BC444" s="49">
        <f t="shared" si="50"/>
        <v>0</v>
      </c>
      <c r="BD444" s="49">
        <f t="shared" si="51"/>
        <v>0</v>
      </c>
      <c r="BE444" s="49">
        <f t="shared" si="52"/>
        <v>1</v>
      </c>
      <c r="BF444" s="49">
        <f t="shared" si="53"/>
        <v>0</v>
      </c>
      <c r="BG444" s="49">
        <f t="shared" si="54"/>
        <v>0</v>
      </c>
      <c r="BH444" s="49">
        <f t="shared" si="55"/>
        <v>0</v>
      </c>
      <c r="BI444" s="49">
        <f t="shared" si="56"/>
        <v>1</v>
      </c>
      <c r="BJ444" s="49">
        <f t="shared" si="57"/>
        <v>0</v>
      </c>
      <c r="BK444" s="49">
        <f t="shared" si="58"/>
        <v>0</v>
      </c>
      <c r="BL444" s="49">
        <f t="shared" si="59"/>
        <v>1</v>
      </c>
      <c r="BM444" s="49">
        <f t="shared" si="60"/>
        <v>0</v>
      </c>
      <c r="BN444" s="49">
        <f t="shared" si="61"/>
        <v>0</v>
      </c>
      <c r="BO444" s="49">
        <f t="shared" si="62"/>
        <v>0</v>
      </c>
      <c r="BP444" s="49">
        <f t="shared" si="63"/>
        <v>0</v>
      </c>
      <c r="BQ444" s="49">
        <f t="shared" si="64"/>
        <v>1</v>
      </c>
      <c r="BR444" s="49">
        <f t="shared" si="65"/>
        <v>0</v>
      </c>
      <c r="BS444" s="49">
        <f t="shared" si="66"/>
        <v>0</v>
      </c>
      <c r="BT444" s="49">
        <f t="shared" si="67"/>
        <v>0</v>
      </c>
      <c r="BU444" s="49">
        <f t="shared" si="68"/>
        <v>1</v>
      </c>
      <c r="BV444" s="49">
        <f t="shared" si="69"/>
        <v>0</v>
      </c>
      <c r="BW444" s="49">
        <f t="shared" si="70"/>
        <v>0</v>
      </c>
      <c r="BX444" s="49">
        <f t="shared" si="71"/>
        <v>0</v>
      </c>
      <c r="BY444" s="49">
        <f t="shared" si="72"/>
        <v>1</v>
      </c>
      <c r="BZ444" s="49">
        <f t="shared" si="73"/>
        <v>0</v>
      </c>
      <c r="CA444" s="49">
        <f t="shared" si="74"/>
        <v>0</v>
      </c>
      <c r="CB444" s="49">
        <f t="shared" si="75"/>
        <v>0</v>
      </c>
      <c r="CC444" s="49">
        <f t="shared" si="76"/>
        <v>1</v>
      </c>
      <c r="CD444" s="49">
        <f t="shared" si="77"/>
        <v>0</v>
      </c>
      <c r="CE444" s="49">
        <f t="shared" si="78"/>
        <v>0</v>
      </c>
    </row>
    <row r="445" spans="1:83" ht="35.1" customHeight="1" x14ac:dyDescent="0.3">
      <c r="A445" s="123" t="str">
        <f t="shared" si="240"/>
        <v>4팀</v>
      </c>
      <c r="B445" s="69">
        <f t="shared" si="241"/>
        <v>439</v>
      </c>
      <c r="C445" s="120" t="str">
        <f>IF(VLOOKUP($B445,'1. 현장별 인원현황'!$C:$J,2,0)=0,"",VLOOKUP($B445,'1. 현장별 인원현황'!$C:$J,2,0))</f>
        <v xml:space="preserve"> [4.롯데건설] 롯데바이오로직스 Project PROVIDENCE</v>
      </c>
      <c r="D445" s="70" t="str">
        <f>IF(VLOOKUP($B445,'1. 현장별 인원현황'!$C:$J,3,0)=0,"",VLOOKUP($B445,'1. 현장별 인원현황'!$C:$J,3,0))</f>
        <v>김영식</v>
      </c>
      <c r="E445" s="74" t="str">
        <f ca="1">IF(VLOOKUP($B445,'1. 현장별 인원현황'!$C:$J,4,0)=0,"",VLOOKUP($B445,'1. 현장별 인원현황'!$C:$J,4,0))</f>
        <v>49세</v>
      </c>
      <c r="F445" s="70" t="str">
        <f>IF(VLOOKUP($B445,'1. 현장별 인원현황'!$C:$J,7,0)=0,"",VLOOKUP($B445,'1. 현장별 인원현황'!$C:$J,7,0))</f>
        <v>기능공</v>
      </c>
      <c r="G445" s="72" t="str">
        <f>IF(VLOOKUP($B445,'1. 현장별 인원현황'!$C:$J,8,0)=0,"",VLOOKUP($B445,'1. 현장별 인원현황'!$C:$J,8,0))</f>
        <v>전공</v>
      </c>
      <c r="H445" s="67" t="s">
        <v>69</v>
      </c>
      <c r="I445" s="73"/>
      <c r="J445" s="73"/>
      <c r="K445" s="68"/>
      <c r="L445" s="67" t="s">
        <v>69</v>
      </c>
      <c r="M445" s="73"/>
      <c r="N445" s="73"/>
      <c r="O445" s="68"/>
      <c r="P445" s="67" t="s">
        <v>69</v>
      </c>
      <c r="Q445" s="73"/>
      <c r="R445" s="73"/>
      <c r="S445" s="68"/>
      <c r="T445" s="67" t="s">
        <v>69</v>
      </c>
      <c r="U445" s="73"/>
      <c r="V445" s="73"/>
      <c r="W445" s="68"/>
      <c r="X445" s="67" t="s">
        <v>69</v>
      </c>
      <c r="Y445" s="73"/>
      <c r="Z445" s="73"/>
      <c r="AA445" s="68"/>
      <c r="AB445" s="67"/>
      <c r="AC445" s="73" t="s">
        <v>69</v>
      </c>
      <c r="AD445" s="73"/>
      <c r="AE445" s="68"/>
      <c r="AF445" s="67" t="s">
        <v>69</v>
      </c>
      <c r="AG445" s="73"/>
      <c r="AH445" s="73"/>
      <c r="AI445" s="68"/>
      <c r="AJ445" s="67"/>
      <c r="AK445" s="73" t="s">
        <v>69</v>
      </c>
      <c r="AL445" s="73"/>
      <c r="AM445" s="68"/>
      <c r="AN445" s="73" t="s">
        <v>69</v>
      </c>
      <c r="AO445" s="73"/>
      <c r="AP445" s="73"/>
      <c r="AQ445" s="68"/>
      <c r="AR445" s="67">
        <f t="shared" si="242"/>
        <v>95</v>
      </c>
      <c r="AS445" s="68" t="str">
        <f t="shared" si="243"/>
        <v>S</v>
      </c>
      <c r="AV445" s="49">
        <f t="shared" si="79"/>
        <v>1</v>
      </c>
      <c r="AW445" s="49">
        <f t="shared" si="44"/>
        <v>0</v>
      </c>
      <c r="AX445" s="49">
        <f t="shared" si="45"/>
        <v>0</v>
      </c>
      <c r="AY445" s="49">
        <f t="shared" si="46"/>
        <v>0</v>
      </c>
      <c r="AZ445" s="49">
        <f t="shared" si="47"/>
        <v>1</v>
      </c>
      <c r="BA445" s="49">
        <f t="shared" si="48"/>
        <v>0</v>
      </c>
      <c r="BB445" s="49">
        <f t="shared" si="49"/>
        <v>0</v>
      </c>
      <c r="BC445" s="49">
        <f t="shared" si="50"/>
        <v>0</v>
      </c>
      <c r="BD445" s="49">
        <f t="shared" si="51"/>
        <v>1</v>
      </c>
      <c r="BE445" s="49">
        <f t="shared" si="52"/>
        <v>0</v>
      </c>
      <c r="BF445" s="49">
        <f t="shared" si="53"/>
        <v>0</v>
      </c>
      <c r="BG445" s="49">
        <f t="shared" si="54"/>
        <v>0</v>
      </c>
      <c r="BH445" s="49">
        <f t="shared" si="55"/>
        <v>1</v>
      </c>
      <c r="BI445" s="49">
        <f t="shared" si="56"/>
        <v>0</v>
      </c>
      <c r="BJ445" s="49">
        <f t="shared" si="57"/>
        <v>0</v>
      </c>
      <c r="BK445" s="49">
        <f t="shared" si="58"/>
        <v>0</v>
      </c>
      <c r="BL445" s="49">
        <f t="shared" si="59"/>
        <v>1</v>
      </c>
      <c r="BM445" s="49">
        <f t="shared" si="60"/>
        <v>0</v>
      </c>
      <c r="BN445" s="49">
        <f t="shared" si="61"/>
        <v>0</v>
      </c>
      <c r="BO445" s="49">
        <f t="shared" si="62"/>
        <v>0</v>
      </c>
      <c r="BP445" s="49">
        <f t="shared" si="63"/>
        <v>0</v>
      </c>
      <c r="BQ445" s="49">
        <f t="shared" si="64"/>
        <v>1</v>
      </c>
      <c r="BR445" s="49">
        <f t="shared" si="65"/>
        <v>0</v>
      </c>
      <c r="BS445" s="49">
        <f t="shared" si="66"/>
        <v>0</v>
      </c>
      <c r="BT445" s="49">
        <f t="shared" si="67"/>
        <v>1</v>
      </c>
      <c r="BU445" s="49">
        <f t="shared" si="68"/>
        <v>0</v>
      </c>
      <c r="BV445" s="49">
        <f t="shared" si="69"/>
        <v>0</v>
      </c>
      <c r="BW445" s="49">
        <f t="shared" si="70"/>
        <v>0</v>
      </c>
      <c r="BX445" s="49">
        <f t="shared" si="71"/>
        <v>0</v>
      </c>
      <c r="BY445" s="49">
        <f t="shared" si="72"/>
        <v>1</v>
      </c>
      <c r="BZ445" s="49">
        <f t="shared" si="73"/>
        <v>0</v>
      </c>
      <c r="CA445" s="49">
        <f t="shared" si="74"/>
        <v>0</v>
      </c>
      <c r="CB445" s="49">
        <f t="shared" si="75"/>
        <v>1</v>
      </c>
      <c r="CC445" s="49">
        <f t="shared" si="76"/>
        <v>0</v>
      </c>
      <c r="CD445" s="49">
        <f t="shared" si="77"/>
        <v>0</v>
      </c>
      <c r="CE445" s="49">
        <f t="shared" si="78"/>
        <v>0</v>
      </c>
    </row>
    <row r="446" spans="1:83" ht="35.1" customHeight="1" x14ac:dyDescent="0.3">
      <c r="A446" s="123" t="str">
        <f t="shared" si="240"/>
        <v>4팀</v>
      </c>
      <c r="B446" s="69">
        <f t="shared" si="241"/>
        <v>440</v>
      </c>
      <c r="C446" s="120" t="str">
        <f>IF(VLOOKUP($B446,'1. 현장별 인원현황'!$C:$J,2,0)=0,"",VLOOKUP($B446,'1. 현장별 인원현황'!$C:$J,2,0))</f>
        <v xml:space="preserve"> [4.롯데건설] 롯데바이오로직스 Project PROVIDENCE</v>
      </c>
      <c r="D446" s="70" t="str">
        <f>IF(VLOOKUP($B446,'1. 현장별 인원현황'!$C:$J,3,0)=0,"",VLOOKUP($B446,'1. 현장별 인원현황'!$C:$J,3,0))</f>
        <v>김도현</v>
      </c>
      <c r="E446" s="74" t="str">
        <f ca="1">IF(VLOOKUP($B446,'1. 현장별 인원현황'!$C:$J,4,0)=0,"",VLOOKUP($B446,'1. 현장별 인원현황'!$C:$J,4,0))</f>
        <v>27세</v>
      </c>
      <c r="F446" s="70" t="str">
        <f>IF(VLOOKUP($B446,'1. 현장별 인원현황'!$C:$J,7,0)=0,"",VLOOKUP($B446,'1. 현장별 인원현황'!$C:$J,7,0))</f>
        <v>기능공</v>
      </c>
      <c r="G446" s="72" t="str">
        <f>IF(VLOOKUP($B446,'1. 현장별 인원현황'!$C:$J,8,0)=0,"",VLOOKUP($B446,'1. 현장별 인원현황'!$C:$J,8,0))</f>
        <v>조공</v>
      </c>
      <c r="H446" s="67"/>
      <c r="I446" s="73" t="s">
        <v>69</v>
      </c>
      <c r="J446" s="73"/>
      <c r="K446" s="68"/>
      <c r="L446" s="67"/>
      <c r="M446" s="73" t="s">
        <v>69</v>
      </c>
      <c r="N446" s="73"/>
      <c r="O446" s="68"/>
      <c r="P446" s="67"/>
      <c r="Q446" s="73" t="s">
        <v>69</v>
      </c>
      <c r="R446" s="73"/>
      <c r="S446" s="68"/>
      <c r="T446" s="67"/>
      <c r="U446" s="73" t="s">
        <v>69</v>
      </c>
      <c r="V446" s="73"/>
      <c r="W446" s="68"/>
      <c r="X446" s="67" t="s">
        <v>69</v>
      </c>
      <c r="Y446" s="73"/>
      <c r="Z446" s="73"/>
      <c r="AA446" s="68"/>
      <c r="AB446" s="67"/>
      <c r="AC446" s="73" t="s">
        <v>69</v>
      </c>
      <c r="AD446" s="73"/>
      <c r="AE446" s="68"/>
      <c r="AF446" s="67"/>
      <c r="AG446" s="73" t="s">
        <v>69</v>
      </c>
      <c r="AH446" s="73"/>
      <c r="AI446" s="68"/>
      <c r="AJ446" s="67"/>
      <c r="AK446" s="73" t="s">
        <v>69</v>
      </c>
      <c r="AL446" s="73"/>
      <c r="AM446" s="68"/>
      <c r="AN446" s="73" t="s">
        <v>69</v>
      </c>
      <c r="AO446" s="73"/>
      <c r="AP446" s="73"/>
      <c r="AQ446" s="68"/>
      <c r="AR446" s="67">
        <f t="shared" si="242"/>
        <v>82</v>
      </c>
      <c r="AS446" s="68" t="str">
        <f t="shared" si="243"/>
        <v>A</v>
      </c>
      <c r="AV446" s="49">
        <f t="shared" si="79"/>
        <v>0</v>
      </c>
      <c r="AW446" s="49">
        <f t="shared" si="44"/>
        <v>1</v>
      </c>
      <c r="AX446" s="49">
        <f t="shared" si="45"/>
        <v>0</v>
      </c>
      <c r="AY446" s="49">
        <f t="shared" si="46"/>
        <v>0</v>
      </c>
      <c r="AZ446" s="49">
        <f t="shared" si="47"/>
        <v>0</v>
      </c>
      <c r="BA446" s="49">
        <f t="shared" si="48"/>
        <v>1</v>
      </c>
      <c r="BB446" s="49">
        <f t="shared" si="49"/>
        <v>0</v>
      </c>
      <c r="BC446" s="49">
        <f t="shared" si="50"/>
        <v>0</v>
      </c>
      <c r="BD446" s="49">
        <f t="shared" si="51"/>
        <v>0</v>
      </c>
      <c r="BE446" s="49">
        <f t="shared" si="52"/>
        <v>1</v>
      </c>
      <c r="BF446" s="49">
        <f t="shared" si="53"/>
        <v>0</v>
      </c>
      <c r="BG446" s="49">
        <f t="shared" si="54"/>
        <v>0</v>
      </c>
      <c r="BH446" s="49">
        <f t="shared" si="55"/>
        <v>0</v>
      </c>
      <c r="BI446" s="49">
        <f t="shared" si="56"/>
        <v>1</v>
      </c>
      <c r="BJ446" s="49">
        <f t="shared" si="57"/>
        <v>0</v>
      </c>
      <c r="BK446" s="49">
        <f t="shared" si="58"/>
        <v>0</v>
      </c>
      <c r="BL446" s="49">
        <f t="shared" si="59"/>
        <v>1</v>
      </c>
      <c r="BM446" s="49">
        <f t="shared" si="60"/>
        <v>0</v>
      </c>
      <c r="BN446" s="49">
        <f t="shared" si="61"/>
        <v>0</v>
      </c>
      <c r="BO446" s="49">
        <f t="shared" si="62"/>
        <v>0</v>
      </c>
      <c r="BP446" s="49">
        <f t="shared" si="63"/>
        <v>0</v>
      </c>
      <c r="BQ446" s="49">
        <f t="shared" si="64"/>
        <v>1</v>
      </c>
      <c r="BR446" s="49">
        <f t="shared" si="65"/>
        <v>0</v>
      </c>
      <c r="BS446" s="49">
        <f t="shared" si="66"/>
        <v>0</v>
      </c>
      <c r="BT446" s="49">
        <f t="shared" si="67"/>
        <v>0</v>
      </c>
      <c r="BU446" s="49">
        <f t="shared" si="68"/>
        <v>1</v>
      </c>
      <c r="BV446" s="49">
        <f t="shared" si="69"/>
        <v>0</v>
      </c>
      <c r="BW446" s="49">
        <f t="shared" si="70"/>
        <v>0</v>
      </c>
      <c r="BX446" s="49">
        <f t="shared" si="71"/>
        <v>0</v>
      </c>
      <c r="BY446" s="49">
        <f t="shared" si="72"/>
        <v>1</v>
      </c>
      <c r="BZ446" s="49">
        <f t="shared" si="73"/>
        <v>0</v>
      </c>
      <c r="CA446" s="49">
        <f t="shared" si="74"/>
        <v>0</v>
      </c>
      <c r="CB446" s="49">
        <f t="shared" si="75"/>
        <v>1</v>
      </c>
      <c r="CC446" s="49">
        <f t="shared" si="76"/>
        <v>0</v>
      </c>
      <c r="CD446" s="49">
        <f t="shared" si="77"/>
        <v>0</v>
      </c>
      <c r="CE446" s="49">
        <f t="shared" si="78"/>
        <v>0</v>
      </c>
    </row>
    <row r="447" spans="1:83" ht="35.1" customHeight="1" x14ac:dyDescent="0.3">
      <c r="A447" s="123" t="str">
        <f t="shared" si="240"/>
        <v>4팀</v>
      </c>
      <c r="B447" s="69">
        <f t="shared" si="241"/>
        <v>441</v>
      </c>
      <c r="C447" s="120" t="str">
        <f>IF(VLOOKUP($B447,'1. 현장별 인원현황'!$C:$J,2,0)=0,"",VLOOKUP($B447,'1. 현장별 인원현황'!$C:$J,2,0))</f>
        <v xml:space="preserve"> [4.롯데건설] 롯데바이오로직스 Project PROVIDENCE</v>
      </c>
      <c r="D447" s="70" t="str">
        <f>IF(VLOOKUP($B447,'1. 현장별 인원현황'!$C:$J,3,0)=0,"",VLOOKUP($B447,'1. 현장별 인원현황'!$C:$J,3,0))</f>
        <v>류종욱</v>
      </c>
      <c r="E447" s="74" t="str">
        <f ca="1">IF(VLOOKUP($B447,'1. 현장별 인원현황'!$C:$J,4,0)=0,"",VLOOKUP($B447,'1. 현장별 인원현황'!$C:$J,4,0))</f>
        <v>33세</v>
      </c>
      <c r="F447" s="70" t="str">
        <f>IF(VLOOKUP($B447,'1. 현장별 인원현황'!$C:$J,7,0)=0,"",VLOOKUP($B447,'1. 현장별 인원현황'!$C:$J,7,0))</f>
        <v>기능공</v>
      </c>
      <c r="G447" s="72" t="str">
        <f>IF(VLOOKUP($B447,'1. 현장별 인원현황'!$C:$J,8,0)=0,"",VLOOKUP($B447,'1. 현장별 인원현황'!$C:$J,8,0))</f>
        <v>전공</v>
      </c>
      <c r="H447" s="67"/>
      <c r="I447" s="73" t="s">
        <v>69</v>
      </c>
      <c r="J447" s="73"/>
      <c r="K447" s="68"/>
      <c r="L447" s="67"/>
      <c r="M447" s="73" t="s">
        <v>69</v>
      </c>
      <c r="N447" s="73"/>
      <c r="O447" s="68"/>
      <c r="P447" s="67"/>
      <c r="Q447" s="73" t="s">
        <v>69</v>
      </c>
      <c r="R447" s="73"/>
      <c r="S447" s="68"/>
      <c r="T447" s="67"/>
      <c r="U447" s="73" t="s">
        <v>69</v>
      </c>
      <c r="V447" s="73"/>
      <c r="W447" s="68"/>
      <c r="X447" s="67" t="s">
        <v>69</v>
      </c>
      <c r="Y447" s="73"/>
      <c r="Z447" s="73"/>
      <c r="AA447" s="68"/>
      <c r="AB447" s="67"/>
      <c r="AC447" s="73" t="s">
        <v>69</v>
      </c>
      <c r="AD447" s="73"/>
      <c r="AE447" s="68"/>
      <c r="AF447" s="67"/>
      <c r="AG447" s="73" t="s">
        <v>69</v>
      </c>
      <c r="AH447" s="73"/>
      <c r="AI447" s="68"/>
      <c r="AJ447" s="67"/>
      <c r="AK447" s="73" t="s">
        <v>69</v>
      </c>
      <c r="AL447" s="73"/>
      <c r="AM447" s="68"/>
      <c r="AN447" s="73" t="s">
        <v>69</v>
      </c>
      <c r="AO447" s="73"/>
      <c r="AP447" s="73"/>
      <c r="AQ447" s="68"/>
      <c r="AR447" s="67">
        <f t="shared" si="242"/>
        <v>82</v>
      </c>
      <c r="AS447" s="68" t="str">
        <f t="shared" si="243"/>
        <v>A</v>
      </c>
      <c r="AV447" s="49">
        <f t="shared" si="79"/>
        <v>0</v>
      </c>
      <c r="AW447" s="49">
        <f t="shared" si="44"/>
        <v>1</v>
      </c>
      <c r="AX447" s="49">
        <f t="shared" si="45"/>
        <v>0</v>
      </c>
      <c r="AY447" s="49">
        <f t="shared" si="46"/>
        <v>0</v>
      </c>
      <c r="AZ447" s="49">
        <f t="shared" si="47"/>
        <v>0</v>
      </c>
      <c r="BA447" s="49">
        <f t="shared" si="48"/>
        <v>1</v>
      </c>
      <c r="BB447" s="49">
        <f t="shared" si="49"/>
        <v>0</v>
      </c>
      <c r="BC447" s="49">
        <f t="shared" si="50"/>
        <v>0</v>
      </c>
      <c r="BD447" s="49">
        <f t="shared" si="51"/>
        <v>0</v>
      </c>
      <c r="BE447" s="49">
        <f t="shared" si="52"/>
        <v>1</v>
      </c>
      <c r="BF447" s="49">
        <f t="shared" si="53"/>
        <v>0</v>
      </c>
      <c r="BG447" s="49">
        <f t="shared" si="54"/>
        <v>0</v>
      </c>
      <c r="BH447" s="49">
        <f t="shared" si="55"/>
        <v>0</v>
      </c>
      <c r="BI447" s="49">
        <f t="shared" si="56"/>
        <v>1</v>
      </c>
      <c r="BJ447" s="49">
        <f t="shared" si="57"/>
        <v>0</v>
      </c>
      <c r="BK447" s="49">
        <f t="shared" si="58"/>
        <v>0</v>
      </c>
      <c r="BL447" s="49">
        <f t="shared" si="59"/>
        <v>1</v>
      </c>
      <c r="BM447" s="49">
        <f t="shared" si="60"/>
        <v>0</v>
      </c>
      <c r="BN447" s="49">
        <f t="shared" si="61"/>
        <v>0</v>
      </c>
      <c r="BO447" s="49">
        <f t="shared" si="62"/>
        <v>0</v>
      </c>
      <c r="BP447" s="49">
        <f t="shared" si="63"/>
        <v>0</v>
      </c>
      <c r="BQ447" s="49">
        <f t="shared" si="64"/>
        <v>1</v>
      </c>
      <c r="BR447" s="49">
        <f t="shared" si="65"/>
        <v>0</v>
      </c>
      <c r="BS447" s="49">
        <f t="shared" si="66"/>
        <v>0</v>
      </c>
      <c r="BT447" s="49">
        <f t="shared" si="67"/>
        <v>0</v>
      </c>
      <c r="BU447" s="49">
        <f t="shared" si="68"/>
        <v>1</v>
      </c>
      <c r="BV447" s="49">
        <f t="shared" si="69"/>
        <v>0</v>
      </c>
      <c r="BW447" s="49">
        <f t="shared" si="70"/>
        <v>0</v>
      </c>
      <c r="BX447" s="49">
        <f t="shared" si="71"/>
        <v>0</v>
      </c>
      <c r="BY447" s="49">
        <f t="shared" si="72"/>
        <v>1</v>
      </c>
      <c r="BZ447" s="49">
        <f t="shared" si="73"/>
        <v>0</v>
      </c>
      <c r="CA447" s="49">
        <f t="shared" si="74"/>
        <v>0</v>
      </c>
      <c r="CB447" s="49">
        <f t="shared" si="75"/>
        <v>1</v>
      </c>
      <c r="CC447" s="49">
        <f t="shared" si="76"/>
        <v>0</v>
      </c>
      <c r="CD447" s="49">
        <f t="shared" si="77"/>
        <v>0</v>
      </c>
      <c r="CE447" s="49">
        <f t="shared" si="78"/>
        <v>0</v>
      </c>
    </row>
    <row r="448" spans="1:83" ht="35.1" customHeight="1" x14ac:dyDescent="0.3">
      <c r="A448" s="123" t="str">
        <f t="shared" si="240"/>
        <v>4팀</v>
      </c>
      <c r="B448" s="69">
        <f t="shared" si="241"/>
        <v>442</v>
      </c>
      <c r="C448" s="120" t="str">
        <f>IF(VLOOKUP($B448,'1. 현장별 인원현황'!$C:$J,2,0)=0,"",VLOOKUP($B448,'1. 현장별 인원현황'!$C:$J,2,0))</f>
        <v xml:space="preserve"> [4.롯데건설] 롯데바이오로직스 Project PROVIDENCE</v>
      </c>
      <c r="D448" s="70" t="str">
        <f>IF(VLOOKUP($B448,'1. 현장별 인원현황'!$C:$J,3,0)=0,"",VLOOKUP($B448,'1. 현장별 인원현황'!$C:$J,3,0))</f>
        <v>이금성</v>
      </c>
      <c r="E448" s="74" t="str">
        <f ca="1">IF(VLOOKUP($B448,'1. 현장별 인원현황'!$C:$J,4,0)=0,"",VLOOKUP($B448,'1. 현장별 인원현황'!$C:$J,4,0))</f>
        <v>29세</v>
      </c>
      <c r="F448" s="70" t="str">
        <f>IF(VLOOKUP($B448,'1. 현장별 인원현황'!$C:$J,7,0)=0,"",VLOOKUP($B448,'1. 현장별 인원현황'!$C:$J,7,0))</f>
        <v>기능공</v>
      </c>
      <c r="G448" s="72" t="str">
        <f>IF(VLOOKUP($B448,'1. 현장별 인원현황'!$C:$J,8,0)=0,"",VLOOKUP($B448,'1. 현장별 인원현황'!$C:$J,8,0))</f>
        <v>전공</v>
      </c>
      <c r="H448" s="67"/>
      <c r="I448" s="73" t="s">
        <v>69</v>
      </c>
      <c r="J448" s="73"/>
      <c r="K448" s="68"/>
      <c r="L448" s="67"/>
      <c r="M448" s="73" t="s">
        <v>69</v>
      </c>
      <c r="N448" s="73"/>
      <c r="O448" s="68"/>
      <c r="P448" s="67"/>
      <c r="Q448" s="73" t="s">
        <v>69</v>
      </c>
      <c r="R448" s="73"/>
      <c r="S448" s="68"/>
      <c r="T448" s="67"/>
      <c r="U448" s="73" t="s">
        <v>69</v>
      </c>
      <c r="V448" s="73"/>
      <c r="W448" s="68"/>
      <c r="X448" s="67" t="s">
        <v>69</v>
      </c>
      <c r="Y448" s="73"/>
      <c r="Z448" s="73"/>
      <c r="AA448" s="68"/>
      <c r="AB448" s="67"/>
      <c r="AC448" s="73" t="s">
        <v>69</v>
      </c>
      <c r="AD448" s="73"/>
      <c r="AE448" s="68"/>
      <c r="AF448" s="67"/>
      <c r="AG448" s="73" t="s">
        <v>69</v>
      </c>
      <c r="AH448" s="73"/>
      <c r="AI448" s="68"/>
      <c r="AJ448" s="67"/>
      <c r="AK448" s="73" t="s">
        <v>69</v>
      </c>
      <c r="AL448" s="73"/>
      <c r="AM448" s="68"/>
      <c r="AN448" s="73" t="s">
        <v>69</v>
      </c>
      <c r="AO448" s="73"/>
      <c r="AP448" s="73"/>
      <c r="AQ448" s="68"/>
      <c r="AR448" s="67">
        <f t="shared" si="242"/>
        <v>82</v>
      </c>
      <c r="AS448" s="68" t="str">
        <f t="shared" si="243"/>
        <v>A</v>
      </c>
      <c r="AV448" s="49">
        <f t="shared" si="79"/>
        <v>0</v>
      </c>
      <c r="AW448" s="49">
        <f t="shared" si="44"/>
        <v>1</v>
      </c>
      <c r="AX448" s="49">
        <f t="shared" si="45"/>
        <v>0</v>
      </c>
      <c r="AY448" s="49">
        <f t="shared" si="46"/>
        <v>0</v>
      </c>
      <c r="AZ448" s="49">
        <f t="shared" si="47"/>
        <v>0</v>
      </c>
      <c r="BA448" s="49">
        <f t="shared" si="48"/>
        <v>1</v>
      </c>
      <c r="BB448" s="49">
        <f t="shared" si="49"/>
        <v>0</v>
      </c>
      <c r="BC448" s="49">
        <f t="shared" si="50"/>
        <v>0</v>
      </c>
      <c r="BD448" s="49">
        <f t="shared" si="51"/>
        <v>0</v>
      </c>
      <c r="BE448" s="49">
        <f t="shared" si="52"/>
        <v>1</v>
      </c>
      <c r="BF448" s="49">
        <f t="shared" si="53"/>
        <v>0</v>
      </c>
      <c r="BG448" s="49">
        <f t="shared" si="54"/>
        <v>0</v>
      </c>
      <c r="BH448" s="49">
        <f t="shared" si="55"/>
        <v>0</v>
      </c>
      <c r="BI448" s="49">
        <f t="shared" si="56"/>
        <v>1</v>
      </c>
      <c r="BJ448" s="49">
        <f t="shared" si="57"/>
        <v>0</v>
      </c>
      <c r="BK448" s="49">
        <f t="shared" si="58"/>
        <v>0</v>
      </c>
      <c r="BL448" s="49">
        <f t="shared" si="59"/>
        <v>1</v>
      </c>
      <c r="BM448" s="49">
        <f t="shared" si="60"/>
        <v>0</v>
      </c>
      <c r="BN448" s="49">
        <f t="shared" si="61"/>
        <v>0</v>
      </c>
      <c r="BO448" s="49">
        <f t="shared" si="62"/>
        <v>0</v>
      </c>
      <c r="BP448" s="49">
        <f t="shared" si="63"/>
        <v>0</v>
      </c>
      <c r="BQ448" s="49">
        <f t="shared" si="64"/>
        <v>1</v>
      </c>
      <c r="BR448" s="49">
        <f t="shared" si="65"/>
        <v>0</v>
      </c>
      <c r="BS448" s="49">
        <f t="shared" si="66"/>
        <v>0</v>
      </c>
      <c r="BT448" s="49">
        <f t="shared" si="67"/>
        <v>0</v>
      </c>
      <c r="BU448" s="49">
        <f t="shared" si="68"/>
        <v>1</v>
      </c>
      <c r="BV448" s="49">
        <f t="shared" si="69"/>
        <v>0</v>
      </c>
      <c r="BW448" s="49">
        <f t="shared" si="70"/>
        <v>0</v>
      </c>
      <c r="BX448" s="49">
        <f t="shared" si="71"/>
        <v>0</v>
      </c>
      <c r="BY448" s="49">
        <f t="shared" si="72"/>
        <v>1</v>
      </c>
      <c r="BZ448" s="49">
        <f t="shared" si="73"/>
        <v>0</v>
      </c>
      <c r="CA448" s="49">
        <f t="shared" si="74"/>
        <v>0</v>
      </c>
      <c r="CB448" s="49">
        <f t="shared" si="75"/>
        <v>1</v>
      </c>
      <c r="CC448" s="49">
        <f t="shared" si="76"/>
        <v>0</v>
      </c>
      <c r="CD448" s="49">
        <f t="shared" si="77"/>
        <v>0</v>
      </c>
      <c r="CE448" s="49">
        <f t="shared" si="78"/>
        <v>0</v>
      </c>
    </row>
    <row r="449" spans="1:83" ht="35.1" customHeight="1" x14ac:dyDescent="0.3">
      <c r="A449" s="123" t="str">
        <f t="shared" si="240"/>
        <v>4팀</v>
      </c>
      <c r="B449" s="69">
        <f t="shared" si="241"/>
        <v>443</v>
      </c>
      <c r="C449" s="120" t="str">
        <f>IF(VLOOKUP($B449,'1. 현장별 인원현황'!$C:$J,2,0)=0,"",VLOOKUP($B449,'1. 현장별 인원현황'!$C:$J,2,0))</f>
        <v xml:space="preserve"> [4.롯데건설] 롯데바이오로직스 Project PROVIDENCE</v>
      </c>
      <c r="D449" s="70" t="str">
        <f>IF(VLOOKUP($B449,'1. 현장별 인원현황'!$C:$J,3,0)=0,"",VLOOKUP($B449,'1. 현장별 인원현황'!$C:$J,3,0))</f>
        <v>전지성</v>
      </c>
      <c r="E449" s="74" t="str">
        <f ca="1">IF(VLOOKUP($B449,'1. 현장별 인원현황'!$C:$J,4,0)=0,"",VLOOKUP($B449,'1. 현장별 인원현황'!$C:$J,4,0))</f>
        <v>27세</v>
      </c>
      <c r="F449" s="70" t="str">
        <f>IF(VLOOKUP($B449,'1. 현장별 인원현황'!$C:$J,7,0)=0,"",VLOOKUP($B449,'1. 현장별 인원현황'!$C:$J,7,0))</f>
        <v>기능공</v>
      </c>
      <c r="G449" s="72" t="str">
        <f>IF(VLOOKUP($B449,'1. 현장별 인원현황'!$C:$J,8,0)=0,"",VLOOKUP($B449,'1. 현장별 인원현황'!$C:$J,8,0))</f>
        <v>전공</v>
      </c>
      <c r="H449" s="67"/>
      <c r="I449" s="73" t="s">
        <v>69</v>
      </c>
      <c r="J449" s="73"/>
      <c r="K449" s="68"/>
      <c r="L449" s="67"/>
      <c r="M449" s="73" t="s">
        <v>69</v>
      </c>
      <c r="N449" s="73"/>
      <c r="O449" s="68"/>
      <c r="P449" s="67"/>
      <c r="Q449" s="73" t="s">
        <v>69</v>
      </c>
      <c r="R449" s="73"/>
      <c r="S449" s="68"/>
      <c r="T449" s="67"/>
      <c r="U449" s="73" t="s">
        <v>69</v>
      </c>
      <c r="V449" s="73"/>
      <c r="W449" s="68"/>
      <c r="X449" s="67" t="s">
        <v>69</v>
      </c>
      <c r="Y449" s="73"/>
      <c r="Z449" s="73"/>
      <c r="AA449" s="68"/>
      <c r="AB449" s="67"/>
      <c r="AC449" s="73" t="s">
        <v>69</v>
      </c>
      <c r="AD449" s="73"/>
      <c r="AE449" s="68"/>
      <c r="AF449" s="67"/>
      <c r="AG449" s="73" t="s">
        <v>69</v>
      </c>
      <c r="AH449" s="73"/>
      <c r="AI449" s="68"/>
      <c r="AJ449" s="67"/>
      <c r="AK449" s="73" t="s">
        <v>69</v>
      </c>
      <c r="AL449" s="73"/>
      <c r="AM449" s="68"/>
      <c r="AN449" s="73" t="s">
        <v>69</v>
      </c>
      <c r="AO449" s="73"/>
      <c r="AP449" s="73"/>
      <c r="AQ449" s="68"/>
      <c r="AR449" s="67">
        <f t="shared" si="242"/>
        <v>82</v>
      </c>
      <c r="AS449" s="68" t="str">
        <f t="shared" si="243"/>
        <v>A</v>
      </c>
      <c r="AV449" s="49">
        <f t="shared" si="79"/>
        <v>0</v>
      </c>
      <c r="AW449" s="49">
        <f t="shared" si="44"/>
        <v>1</v>
      </c>
      <c r="AX449" s="49">
        <f t="shared" si="45"/>
        <v>0</v>
      </c>
      <c r="AY449" s="49">
        <f t="shared" si="46"/>
        <v>0</v>
      </c>
      <c r="AZ449" s="49">
        <f t="shared" si="47"/>
        <v>0</v>
      </c>
      <c r="BA449" s="49">
        <f t="shared" si="48"/>
        <v>1</v>
      </c>
      <c r="BB449" s="49">
        <f t="shared" si="49"/>
        <v>0</v>
      </c>
      <c r="BC449" s="49">
        <f t="shared" si="50"/>
        <v>0</v>
      </c>
      <c r="BD449" s="49">
        <f t="shared" si="51"/>
        <v>0</v>
      </c>
      <c r="BE449" s="49">
        <f t="shared" si="52"/>
        <v>1</v>
      </c>
      <c r="BF449" s="49">
        <f t="shared" si="53"/>
        <v>0</v>
      </c>
      <c r="BG449" s="49">
        <f t="shared" si="54"/>
        <v>0</v>
      </c>
      <c r="BH449" s="49">
        <f t="shared" si="55"/>
        <v>0</v>
      </c>
      <c r="BI449" s="49">
        <f t="shared" si="56"/>
        <v>1</v>
      </c>
      <c r="BJ449" s="49">
        <f t="shared" si="57"/>
        <v>0</v>
      </c>
      <c r="BK449" s="49">
        <f t="shared" si="58"/>
        <v>0</v>
      </c>
      <c r="BL449" s="49">
        <f t="shared" si="59"/>
        <v>1</v>
      </c>
      <c r="BM449" s="49">
        <f t="shared" si="60"/>
        <v>0</v>
      </c>
      <c r="BN449" s="49">
        <f t="shared" si="61"/>
        <v>0</v>
      </c>
      <c r="BO449" s="49">
        <f t="shared" si="62"/>
        <v>0</v>
      </c>
      <c r="BP449" s="49">
        <f t="shared" si="63"/>
        <v>0</v>
      </c>
      <c r="BQ449" s="49">
        <f t="shared" si="64"/>
        <v>1</v>
      </c>
      <c r="BR449" s="49">
        <f t="shared" si="65"/>
        <v>0</v>
      </c>
      <c r="BS449" s="49">
        <f t="shared" si="66"/>
        <v>0</v>
      </c>
      <c r="BT449" s="49">
        <f t="shared" si="67"/>
        <v>0</v>
      </c>
      <c r="BU449" s="49">
        <f t="shared" si="68"/>
        <v>1</v>
      </c>
      <c r="BV449" s="49">
        <f t="shared" si="69"/>
        <v>0</v>
      </c>
      <c r="BW449" s="49">
        <f t="shared" si="70"/>
        <v>0</v>
      </c>
      <c r="BX449" s="49">
        <f t="shared" si="71"/>
        <v>0</v>
      </c>
      <c r="BY449" s="49">
        <f t="shared" si="72"/>
        <v>1</v>
      </c>
      <c r="BZ449" s="49">
        <f t="shared" si="73"/>
        <v>0</v>
      </c>
      <c r="CA449" s="49">
        <f t="shared" si="74"/>
        <v>0</v>
      </c>
      <c r="CB449" s="49">
        <f t="shared" si="75"/>
        <v>1</v>
      </c>
      <c r="CC449" s="49">
        <f t="shared" si="76"/>
        <v>0</v>
      </c>
      <c r="CD449" s="49">
        <f t="shared" si="77"/>
        <v>0</v>
      </c>
      <c r="CE449" s="49">
        <f t="shared" si="78"/>
        <v>0</v>
      </c>
    </row>
    <row r="450" spans="1:83" ht="35.1" customHeight="1" x14ac:dyDescent="0.3">
      <c r="A450" s="123" t="str">
        <f t="shared" si="240"/>
        <v>4팀</v>
      </c>
      <c r="B450" s="69">
        <f t="shared" si="241"/>
        <v>444</v>
      </c>
      <c r="C450" s="120" t="str">
        <f>IF(VLOOKUP($B450,'1. 현장별 인원현황'!$C:$J,2,0)=0,"",VLOOKUP($B450,'1. 현장별 인원현황'!$C:$J,2,0))</f>
        <v xml:space="preserve"> [4.롯데건설] 롯데바이오로직스 Project PROVIDENCE</v>
      </c>
      <c r="D450" s="70" t="str">
        <f>IF(VLOOKUP($B450,'1. 현장별 인원현황'!$C:$J,3,0)=0,"",VLOOKUP($B450,'1. 현장별 인원현황'!$C:$J,3,0))</f>
        <v>조세윤</v>
      </c>
      <c r="E450" s="74" t="str">
        <f ca="1">IF(VLOOKUP($B450,'1. 현장별 인원현황'!$C:$J,4,0)=0,"",VLOOKUP($B450,'1. 현장별 인원현황'!$C:$J,4,0))</f>
        <v>27세</v>
      </c>
      <c r="F450" s="70" t="str">
        <f>IF(VLOOKUP($B450,'1. 현장별 인원현황'!$C:$J,7,0)=0,"",VLOOKUP($B450,'1. 현장별 인원현황'!$C:$J,7,0))</f>
        <v>기능공</v>
      </c>
      <c r="G450" s="72" t="str">
        <f>IF(VLOOKUP($B450,'1. 현장별 인원현황'!$C:$J,8,0)=0,"",VLOOKUP($B450,'1. 현장별 인원현황'!$C:$J,8,0))</f>
        <v>전공</v>
      </c>
      <c r="H450" s="67"/>
      <c r="I450" s="73" t="s">
        <v>69</v>
      </c>
      <c r="J450" s="73"/>
      <c r="K450" s="68"/>
      <c r="L450" s="67"/>
      <c r="M450" s="73" t="s">
        <v>69</v>
      </c>
      <c r="N450" s="73"/>
      <c r="O450" s="68"/>
      <c r="P450" s="67"/>
      <c r="Q450" s="73" t="s">
        <v>69</v>
      </c>
      <c r="R450" s="73"/>
      <c r="S450" s="68"/>
      <c r="T450" s="67"/>
      <c r="U450" s="73" t="s">
        <v>69</v>
      </c>
      <c r="V450" s="73"/>
      <c r="W450" s="68"/>
      <c r="X450" s="67" t="s">
        <v>69</v>
      </c>
      <c r="Y450" s="73"/>
      <c r="Z450" s="73"/>
      <c r="AA450" s="68"/>
      <c r="AB450" s="67"/>
      <c r="AC450" s="73" t="s">
        <v>69</v>
      </c>
      <c r="AD450" s="73"/>
      <c r="AE450" s="68"/>
      <c r="AF450" s="67"/>
      <c r="AG450" s="73" t="s">
        <v>69</v>
      </c>
      <c r="AH450" s="73"/>
      <c r="AI450" s="68"/>
      <c r="AJ450" s="67"/>
      <c r="AK450" s="73" t="s">
        <v>69</v>
      </c>
      <c r="AL450" s="73"/>
      <c r="AM450" s="68"/>
      <c r="AN450" s="73" t="s">
        <v>69</v>
      </c>
      <c r="AO450" s="73"/>
      <c r="AP450" s="73"/>
      <c r="AQ450" s="68"/>
      <c r="AR450" s="67">
        <f t="shared" si="242"/>
        <v>82</v>
      </c>
      <c r="AS450" s="68" t="str">
        <f t="shared" si="243"/>
        <v>A</v>
      </c>
      <c r="AV450" s="49">
        <f t="shared" si="79"/>
        <v>0</v>
      </c>
      <c r="AW450" s="49">
        <f t="shared" si="44"/>
        <v>1</v>
      </c>
      <c r="AX450" s="49">
        <f t="shared" si="45"/>
        <v>0</v>
      </c>
      <c r="AY450" s="49">
        <f t="shared" si="46"/>
        <v>0</v>
      </c>
      <c r="AZ450" s="49">
        <f t="shared" si="47"/>
        <v>0</v>
      </c>
      <c r="BA450" s="49">
        <f t="shared" si="48"/>
        <v>1</v>
      </c>
      <c r="BB450" s="49">
        <f t="shared" si="49"/>
        <v>0</v>
      </c>
      <c r="BC450" s="49">
        <f t="shared" si="50"/>
        <v>0</v>
      </c>
      <c r="BD450" s="49">
        <f t="shared" si="51"/>
        <v>0</v>
      </c>
      <c r="BE450" s="49">
        <f t="shared" si="52"/>
        <v>1</v>
      </c>
      <c r="BF450" s="49">
        <f t="shared" si="53"/>
        <v>0</v>
      </c>
      <c r="BG450" s="49">
        <f t="shared" si="54"/>
        <v>0</v>
      </c>
      <c r="BH450" s="49">
        <f t="shared" si="55"/>
        <v>0</v>
      </c>
      <c r="BI450" s="49">
        <f t="shared" si="56"/>
        <v>1</v>
      </c>
      <c r="BJ450" s="49">
        <f t="shared" si="57"/>
        <v>0</v>
      </c>
      <c r="BK450" s="49">
        <f t="shared" si="58"/>
        <v>0</v>
      </c>
      <c r="BL450" s="49">
        <f t="shared" si="59"/>
        <v>1</v>
      </c>
      <c r="BM450" s="49">
        <f t="shared" si="60"/>
        <v>0</v>
      </c>
      <c r="BN450" s="49">
        <f t="shared" si="61"/>
        <v>0</v>
      </c>
      <c r="BO450" s="49">
        <f t="shared" si="62"/>
        <v>0</v>
      </c>
      <c r="BP450" s="49">
        <f t="shared" si="63"/>
        <v>0</v>
      </c>
      <c r="BQ450" s="49">
        <f t="shared" si="64"/>
        <v>1</v>
      </c>
      <c r="BR450" s="49">
        <f t="shared" si="65"/>
        <v>0</v>
      </c>
      <c r="BS450" s="49">
        <f t="shared" si="66"/>
        <v>0</v>
      </c>
      <c r="BT450" s="49">
        <f t="shared" si="67"/>
        <v>0</v>
      </c>
      <c r="BU450" s="49">
        <f t="shared" si="68"/>
        <v>1</v>
      </c>
      <c r="BV450" s="49">
        <f t="shared" si="69"/>
        <v>0</v>
      </c>
      <c r="BW450" s="49">
        <f t="shared" si="70"/>
        <v>0</v>
      </c>
      <c r="BX450" s="49">
        <f t="shared" si="71"/>
        <v>0</v>
      </c>
      <c r="BY450" s="49">
        <f t="shared" si="72"/>
        <v>1</v>
      </c>
      <c r="BZ450" s="49">
        <f t="shared" si="73"/>
        <v>0</v>
      </c>
      <c r="CA450" s="49">
        <f t="shared" si="74"/>
        <v>0</v>
      </c>
      <c r="CB450" s="49">
        <f t="shared" si="75"/>
        <v>1</v>
      </c>
      <c r="CC450" s="49">
        <f t="shared" si="76"/>
        <v>0</v>
      </c>
      <c r="CD450" s="49">
        <f t="shared" si="77"/>
        <v>0</v>
      </c>
      <c r="CE450" s="49">
        <f t="shared" si="78"/>
        <v>0</v>
      </c>
    </row>
    <row r="451" spans="1:83" ht="35.1" customHeight="1" x14ac:dyDescent="0.3">
      <c r="A451" s="123" t="str">
        <f t="shared" si="240"/>
        <v>4팀</v>
      </c>
      <c r="B451" s="69">
        <f t="shared" si="241"/>
        <v>445</v>
      </c>
      <c r="C451" s="120" t="str">
        <f>IF(VLOOKUP($B451,'1. 현장별 인원현황'!$C:$J,2,0)=0,"",VLOOKUP($B451,'1. 현장별 인원현황'!$C:$J,2,0))</f>
        <v xml:space="preserve"> [4.롯데건설] 롯데바이오로직스 Project PROVIDENCE</v>
      </c>
      <c r="D451" s="70" t="str">
        <f>IF(VLOOKUP($B451,'1. 현장별 인원현황'!$C:$J,3,0)=0,"",VLOOKUP($B451,'1. 현장별 인원현황'!$C:$J,3,0))</f>
        <v>김종구</v>
      </c>
      <c r="E451" s="74" t="str">
        <f ca="1">IF(VLOOKUP($B451,'1. 현장별 인원현황'!$C:$J,4,0)=0,"",VLOOKUP($B451,'1. 현장별 인원현황'!$C:$J,4,0))</f>
        <v>35세</v>
      </c>
      <c r="F451" s="70" t="str">
        <f>IF(VLOOKUP($B451,'1. 현장별 인원현황'!$C:$J,7,0)=0,"",VLOOKUP($B451,'1. 현장별 인원현황'!$C:$J,7,0))</f>
        <v>기능공</v>
      </c>
      <c r="G451" s="72" t="str">
        <f>IF(VLOOKUP($B451,'1. 현장별 인원현황'!$C:$J,8,0)=0,"",VLOOKUP($B451,'1. 현장별 인원현황'!$C:$J,8,0))</f>
        <v>전공</v>
      </c>
      <c r="H451" s="67" t="s">
        <v>69</v>
      </c>
      <c r="I451" s="73"/>
      <c r="J451" s="73"/>
      <c r="K451" s="68"/>
      <c r="L451" s="67" t="s">
        <v>69</v>
      </c>
      <c r="M451" s="73"/>
      <c r="N451" s="73"/>
      <c r="O451" s="68"/>
      <c r="P451" s="67" t="s">
        <v>69</v>
      </c>
      <c r="Q451" s="73"/>
      <c r="R451" s="73"/>
      <c r="S451" s="68"/>
      <c r="T451" s="67" t="s">
        <v>69</v>
      </c>
      <c r="U451" s="73"/>
      <c r="V451" s="73"/>
      <c r="W451" s="68"/>
      <c r="X451" s="67" t="s">
        <v>69</v>
      </c>
      <c r="Y451" s="73"/>
      <c r="Z451" s="73"/>
      <c r="AA451" s="68"/>
      <c r="AB451" s="67"/>
      <c r="AC451" s="73" t="s">
        <v>69</v>
      </c>
      <c r="AD451" s="73"/>
      <c r="AE451" s="68"/>
      <c r="AF451" s="67"/>
      <c r="AG451" s="73" t="s">
        <v>69</v>
      </c>
      <c r="AH451" s="73"/>
      <c r="AI451" s="68"/>
      <c r="AJ451" s="67"/>
      <c r="AK451" s="73" t="s">
        <v>69</v>
      </c>
      <c r="AL451" s="73"/>
      <c r="AM451" s="68"/>
      <c r="AN451" s="73" t="s">
        <v>69</v>
      </c>
      <c r="AO451" s="73"/>
      <c r="AP451" s="73"/>
      <c r="AQ451" s="68"/>
      <c r="AR451" s="67">
        <f t="shared" si="242"/>
        <v>93</v>
      </c>
      <c r="AS451" s="68" t="str">
        <f t="shared" si="243"/>
        <v>S</v>
      </c>
      <c r="AV451" s="49">
        <f t="shared" si="79"/>
        <v>1</v>
      </c>
      <c r="AW451" s="49">
        <f t="shared" si="44"/>
        <v>0</v>
      </c>
      <c r="AX451" s="49">
        <f t="shared" si="45"/>
        <v>0</v>
      </c>
      <c r="AY451" s="49">
        <f t="shared" si="46"/>
        <v>0</v>
      </c>
      <c r="AZ451" s="49">
        <f t="shared" si="47"/>
        <v>1</v>
      </c>
      <c r="BA451" s="49">
        <f t="shared" si="48"/>
        <v>0</v>
      </c>
      <c r="BB451" s="49">
        <f t="shared" si="49"/>
        <v>0</v>
      </c>
      <c r="BC451" s="49">
        <f t="shared" si="50"/>
        <v>0</v>
      </c>
      <c r="BD451" s="49">
        <f t="shared" si="51"/>
        <v>1</v>
      </c>
      <c r="BE451" s="49">
        <f t="shared" si="52"/>
        <v>0</v>
      </c>
      <c r="BF451" s="49">
        <f t="shared" si="53"/>
        <v>0</v>
      </c>
      <c r="BG451" s="49">
        <f t="shared" si="54"/>
        <v>0</v>
      </c>
      <c r="BH451" s="49">
        <f t="shared" si="55"/>
        <v>1</v>
      </c>
      <c r="BI451" s="49">
        <f t="shared" si="56"/>
        <v>0</v>
      </c>
      <c r="BJ451" s="49">
        <f t="shared" si="57"/>
        <v>0</v>
      </c>
      <c r="BK451" s="49">
        <f t="shared" si="58"/>
        <v>0</v>
      </c>
      <c r="BL451" s="49">
        <f t="shared" si="59"/>
        <v>1</v>
      </c>
      <c r="BM451" s="49">
        <f t="shared" si="60"/>
        <v>0</v>
      </c>
      <c r="BN451" s="49">
        <f t="shared" si="61"/>
        <v>0</v>
      </c>
      <c r="BO451" s="49">
        <f t="shared" si="62"/>
        <v>0</v>
      </c>
      <c r="BP451" s="49">
        <f t="shared" si="63"/>
        <v>0</v>
      </c>
      <c r="BQ451" s="49">
        <f t="shared" si="64"/>
        <v>1</v>
      </c>
      <c r="BR451" s="49">
        <f t="shared" si="65"/>
        <v>0</v>
      </c>
      <c r="BS451" s="49">
        <f t="shared" si="66"/>
        <v>0</v>
      </c>
      <c r="BT451" s="49">
        <f t="shared" si="67"/>
        <v>0</v>
      </c>
      <c r="BU451" s="49">
        <f t="shared" si="68"/>
        <v>1</v>
      </c>
      <c r="BV451" s="49">
        <f t="shared" si="69"/>
        <v>0</v>
      </c>
      <c r="BW451" s="49">
        <f t="shared" si="70"/>
        <v>0</v>
      </c>
      <c r="BX451" s="49">
        <f t="shared" si="71"/>
        <v>0</v>
      </c>
      <c r="BY451" s="49">
        <f t="shared" si="72"/>
        <v>1</v>
      </c>
      <c r="BZ451" s="49">
        <f t="shared" si="73"/>
        <v>0</v>
      </c>
      <c r="CA451" s="49">
        <f t="shared" si="74"/>
        <v>0</v>
      </c>
      <c r="CB451" s="49">
        <f t="shared" si="75"/>
        <v>1</v>
      </c>
      <c r="CC451" s="49">
        <f t="shared" si="76"/>
        <v>0</v>
      </c>
      <c r="CD451" s="49">
        <f t="shared" si="77"/>
        <v>0</v>
      </c>
      <c r="CE451" s="49">
        <f t="shared" si="78"/>
        <v>0</v>
      </c>
    </row>
    <row r="452" spans="1:83" ht="35.1" customHeight="1" x14ac:dyDescent="0.3">
      <c r="A452" s="123" t="str">
        <f t="shared" si="240"/>
        <v>4팀</v>
      </c>
      <c r="B452" s="69">
        <f t="shared" si="241"/>
        <v>446</v>
      </c>
      <c r="C452" s="120" t="str">
        <f>IF(VLOOKUP($B452,'1. 현장별 인원현황'!$C:$J,2,0)=0,"",VLOOKUP($B452,'1. 현장별 인원현황'!$C:$J,2,0))</f>
        <v xml:space="preserve"> [4.롯데건설] 롯데바이오로직스 Project PROVIDENCE</v>
      </c>
      <c r="D452" s="70" t="str">
        <f>IF(VLOOKUP($B452,'1. 현장별 인원현황'!$C:$J,3,0)=0,"",VLOOKUP($B452,'1. 현장별 인원현황'!$C:$J,3,0))</f>
        <v>김민재</v>
      </c>
      <c r="E452" s="74" t="str">
        <f ca="1">IF(VLOOKUP($B452,'1. 현장별 인원현황'!$C:$J,4,0)=0,"",VLOOKUP($B452,'1. 현장별 인원현황'!$C:$J,4,0))</f>
        <v>27세</v>
      </c>
      <c r="F452" s="70" t="str">
        <f>IF(VLOOKUP($B452,'1. 현장별 인원현황'!$C:$J,7,0)=0,"",VLOOKUP($B452,'1. 현장별 인원현황'!$C:$J,7,0))</f>
        <v>기능공</v>
      </c>
      <c r="G452" s="72" t="str">
        <f>IF(VLOOKUP($B452,'1. 현장별 인원현황'!$C:$J,8,0)=0,"",VLOOKUP($B452,'1. 현장별 인원현황'!$C:$J,8,0))</f>
        <v>전공</v>
      </c>
      <c r="H452" s="67"/>
      <c r="I452" s="73" t="s">
        <v>69</v>
      </c>
      <c r="J452" s="73"/>
      <c r="K452" s="68"/>
      <c r="L452" s="67"/>
      <c r="M452" s="73" t="s">
        <v>69</v>
      </c>
      <c r="N452" s="73"/>
      <c r="O452" s="68"/>
      <c r="P452" s="67"/>
      <c r="Q452" s="73" t="s">
        <v>69</v>
      </c>
      <c r="R452" s="73"/>
      <c r="S452" s="68"/>
      <c r="T452" s="67"/>
      <c r="U452" s="73" t="s">
        <v>69</v>
      </c>
      <c r="V452" s="73"/>
      <c r="W452" s="68"/>
      <c r="X452" s="67" t="s">
        <v>69</v>
      </c>
      <c r="Y452" s="73"/>
      <c r="Z452" s="73"/>
      <c r="AA452" s="68"/>
      <c r="AB452" s="67"/>
      <c r="AC452" s="73" t="s">
        <v>69</v>
      </c>
      <c r="AD452" s="73"/>
      <c r="AE452" s="68"/>
      <c r="AF452" s="67"/>
      <c r="AG452" s="73" t="s">
        <v>69</v>
      </c>
      <c r="AH452" s="73"/>
      <c r="AI452" s="68"/>
      <c r="AJ452" s="67"/>
      <c r="AK452" s="73" t="s">
        <v>69</v>
      </c>
      <c r="AL452" s="73"/>
      <c r="AM452" s="68"/>
      <c r="AN452" s="73" t="s">
        <v>69</v>
      </c>
      <c r="AO452" s="73"/>
      <c r="AP452" s="73"/>
      <c r="AQ452" s="68"/>
      <c r="AR452" s="67">
        <f t="shared" si="242"/>
        <v>82</v>
      </c>
      <c r="AS452" s="68" t="str">
        <f t="shared" si="243"/>
        <v>A</v>
      </c>
      <c r="AV452" s="49">
        <f t="shared" si="79"/>
        <v>0</v>
      </c>
      <c r="AW452" s="49">
        <f t="shared" si="44"/>
        <v>1</v>
      </c>
      <c r="AX452" s="49">
        <f t="shared" si="45"/>
        <v>0</v>
      </c>
      <c r="AY452" s="49">
        <f t="shared" si="46"/>
        <v>0</v>
      </c>
      <c r="AZ452" s="49">
        <f t="shared" si="47"/>
        <v>0</v>
      </c>
      <c r="BA452" s="49">
        <f t="shared" si="48"/>
        <v>1</v>
      </c>
      <c r="BB452" s="49">
        <f t="shared" si="49"/>
        <v>0</v>
      </c>
      <c r="BC452" s="49">
        <f t="shared" si="50"/>
        <v>0</v>
      </c>
      <c r="BD452" s="49">
        <f t="shared" si="51"/>
        <v>0</v>
      </c>
      <c r="BE452" s="49">
        <f t="shared" si="52"/>
        <v>1</v>
      </c>
      <c r="BF452" s="49">
        <f t="shared" si="53"/>
        <v>0</v>
      </c>
      <c r="BG452" s="49">
        <f t="shared" si="54"/>
        <v>0</v>
      </c>
      <c r="BH452" s="49">
        <f t="shared" si="55"/>
        <v>0</v>
      </c>
      <c r="BI452" s="49">
        <f t="shared" si="56"/>
        <v>1</v>
      </c>
      <c r="BJ452" s="49">
        <f t="shared" si="57"/>
        <v>0</v>
      </c>
      <c r="BK452" s="49">
        <f t="shared" si="58"/>
        <v>0</v>
      </c>
      <c r="BL452" s="49">
        <f t="shared" si="59"/>
        <v>1</v>
      </c>
      <c r="BM452" s="49">
        <f t="shared" si="60"/>
        <v>0</v>
      </c>
      <c r="BN452" s="49">
        <f t="shared" si="61"/>
        <v>0</v>
      </c>
      <c r="BO452" s="49">
        <f t="shared" si="62"/>
        <v>0</v>
      </c>
      <c r="BP452" s="49">
        <f t="shared" si="63"/>
        <v>0</v>
      </c>
      <c r="BQ452" s="49">
        <f t="shared" si="64"/>
        <v>1</v>
      </c>
      <c r="BR452" s="49">
        <f t="shared" si="65"/>
        <v>0</v>
      </c>
      <c r="BS452" s="49">
        <f t="shared" si="66"/>
        <v>0</v>
      </c>
      <c r="BT452" s="49">
        <f t="shared" si="67"/>
        <v>0</v>
      </c>
      <c r="BU452" s="49">
        <f t="shared" si="68"/>
        <v>1</v>
      </c>
      <c r="BV452" s="49">
        <f t="shared" si="69"/>
        <v>0</v>
      </c>
      <c r="BW452" s="49">
        <f t="shared" si="70"/>
        <v>0</v>
      </c>
      <c r="BX452" s="49">
        <f t="shared" si="71"/>
        <v>0</v>
      </c>
      <c r="BY452" s="49">
        <f t="shared" si="72"/>
        <v>1</v>
      </c>
      <c r="BZ452" s="49">
        <f t="shared" si="73"/>
        <v>0</v>
      </c>
      <c r="CA452" s="49">
        <f t="shared" si="74"/>
        <v>0</v>
      </c>
      <c r="CB452" s="49">
        <f t="shared" si="75"/>
        <v>1</v>
      </c>
      <c r="CC452" s="49">
        <f t="shared" si="76"/>
        <v>0</v>
      </c>
      <c r="CD452" s="49">
        <f t="shared" si="77"/>
        <v>0</v>
      </c>
      <c r="CE452" s="49">
        <f t="shared" si="78"/>
        <v>0</v>
      </c>
    </row>
    <row r="453" spans="1:83" ht="35.1" customHeight="1" x14ac:dyDescent="0.3">
      <c r="A453" s="123" t="str">
        <f t="shared" si="240"/>
        <v>4팀</v>
      </c>
      <c r="B453" s="69">
        <f t="shared" si="241"/>
        <v>447</v>
      </c>
      <c r="C453" s="120" t="str">
        <f>IF(VLOOKUP($B453,'1. 현장별 인원현황'!$C:$J,2,0)=0,"",VLOOKUP($B453,'1. 현장별 인원현황'!$C:$J,2,0))</f>
        <v xml:space="preserve"> [4.롯데건설] 롯데바이오로직스 Project PROVIDENCE</v>
      </c>
      <c r="D453" s="70" t="str">
        <f>IF(VLOOKUP($B453,'1. 현장별 인원현황'!$C:$J,3,0)=0,"",VLOOKUP($B453,'1. 현장별 인원현황'!$C:$J,3,0))</f>
        <v>김민철</v>
      </c>
      <c r="E453" s="74" t="str">
        <f ca="1">IF(VLOOKUP($B453,'1. 현장별 인원현황'!$C:$J,4,0)=0,"",VLOOKUP($B453,'1. 현장별 인원현황'!$C:$J,4,0))</f>
        <v>36세</v>
      </c>
      <c r="F453" s="70" t="str">
        <f>IF(VLOOKUP($B453,'1. 현장별 인원현황'!$C:$J,7,0)=0,"",VLOOKUP($B453,'1. 현장별 인원현황'!$C:$J,7,0))</f>
        <v>기능공</v>
      </c>
      <c r="G453" s="72" t="str">
        <f>IF(VLOOKUP($B453,'1. 현장별 인원현황'!$C:$J,8,0)=0,"",VLOOKUP($B453,'1. 현장별 인원현황'!$C:$J,8,0))</f>
        <v>전공</v>
      </c>
      <c r="H453" s="67"/>
      <c r="I453" s="73" t="s">
        <v>69</v>
      </c>
      <c r="J453" s="73"/>
      <c r="K453" s="68"/>
      <c r="L453" s="67"/>
      <c r="M453" s="73" t="s">
        <v>69</v>
      </c>
      <c r="N453" s="73"/>
      <c r="O453" s="68"/>
      <c r="P453" s="67"/>
      <c r="Q453" s="73" t="s">
        <v>69</v>
      </c>
      <c r="R453" s="73"/>
      <c r="S453" s="68"/>
      <c r="T453" s="67"/>
      <c r="U453" s="73" t="s">
        <v>69</v>
      </c>
      <c r="V453" s="73"/>
      <c r="W453" s="68"/>
      <c r="X453" s="67" t="s">
        <v>69</v>
      </c>
      <c r="Y453" s="73"/>
      <c r="Z453" s="73"/>
      <c r="AA453" s="68"/>
      <c r="AB453" s="67"/>
      <c r="AC453" s="73" t="s">
        <v>69</v>
      </c>
      <c r="AD453" s="73"/>
      <c r="AE453" s="68"/>
      <c r="AF453" s="67"/>
      <c r="AG453" s="73" t="s">
        <v>69</v>
      </c>
      <c r="AH453" s="73"/>
      <c r="AI453" s="68"/>
      <c r="AJ453" s="67"/>
      <c r="AK453" s="73" t="s">
        <v>69</v>
      </c>
      <c r="AL453" s="73"/>
      <c r="AM453" s="68"/>
      <c r="AN453" s="73" t="s">
        <v>69</v>
      </c>
      <c r="AO453" s="73"/>
      <c r="AP453" s="73"/>
      <c r="AQ453" s="68"/>
      <c r="AR453" s="67">
        <f t="shared" si="242"/>
        <v>82</v>
      </c>
      <c r="AS453" s="68" t="str">
        <f t="shared" si="243"/>
        <v>A</v>
      </c>
      <c r="AV453" s="49">
        <f t="shared" si="79"/>
        <v>0</v>
      </c>
      <c r="AW453" s="49">
        <f t="shared" si="44"/>
        <v>1</v>
      </c>
      <c r="AX453" s="49">
        <f t="shared" si="45"/>
        <v>0</v>
      </c>
      <c r="AY453" s="49">
        <f t="shared" si="46"/>
        <v>0</v>
      </c>
      <c r="AZ453" s="49">
        <f t="shared" si="47"/>
        <v>0</v>
      </c>
      <c r="BA453" s="49">
        <f t="shared" si="48"/>
        <v>1</v>
      </c>
      <c r="BB453" s="49">
        <f t="shared" si="49"/>
        <v>0</v>
      </c>
      <c r="BC453" s="49">
        <f t="shared" si="50"/>
        <v>0</v>
      </c>
      <c r="BD453" s="49">
        <f t="shared" si="51"/>
        <v>0</v>
      </c>
      <c r="BE453" s="49">
        <f t="shared" si="52"/>
        <v>1</v>
      </c>
      <c r="BF453" s="49">
        <f t="shared" si="53"/>
        <v>0</v>
      </c>
      <c r="BG453" s="49">
        <f t="shared" si="54"/>
        <v>0</v>
      </c>
      <c r="BH453" s="49">
        <f t="shared" si="55"/>
        <v>0</v>
      </c>
      <c r="BI453" s="49">
        <f t="shared" si="56"/>
        <v>1</v>
      </c>
      <c r="BJ453" s="49">
        <f t="shared" si="57"/>
        <v>0</v>
      </c>
      <c r="BK453" s="49">
        <f t="shared" si="58"/>
        <v>0</v>
      </c>
      <c r="BL453" s="49">
        <f t="shared" si="59"/>
        <v>1</v>
      </c>
      <c r="BM453" s="49">
        <f t="shared" si="60"/>
        <v>0</v>
      </c>
      <c r="BN453" s="49">
        <f t="shared" si="61"/>
        <v>0</v>
      </c>
      <c r="BO453" s="49">
        <f t="shared" si="62"/>
        <v>0</v>
      </c>
      <c r="BP453" s="49">
        <f t="shared" si="63"/>
        <v>0</v>
      </c>
      <c r="BQ453" s="49">
        <f t="shared" si="64"/>
        <v>1</v>
      </c>
      <c r="BR453" s="49">
        <f t="shared" si="65"/>
        <v>0</v>
      </c>
      <c r="BS453" s="49">
        <f t="shared" si="66"/>
        <v>0</v>
      </c>
      <c r="BT453" s="49">
        <f t="shared" si="67"/>
        <v>0</v>
      </c>
      <c r="BU453" s="49">
        <f t="shared" si="68"/>
        <v>1</v>
      </c>
      <c r="BV453" s="49">
        <f t="shared" si="69"/>
        <v>0</v>
      </c>
      <c r="BW453" s="49">
        <f t="shared" si="70"/>
        <v>0</v>
      </c>
      <c r="BX453" s="49">
        <f t="shared" si="71"/>
        <v>0</v>
      </c>
      <c r="BY453" s="49">
        <f t="shared" si="72"/>
        <v>1</v>
      </c>
      <c r="BZ453" s="49">
        <f t="shared" si="73"/>
        <v>0</v>
      </c>
      <c r="CA453" s="49">
        <f t="shared" si="74"/>
        <v>0</v>
      </c>
      <c r="CB453" s="49">
        <f t="shared" si="75"/>
        <v>1</v>
      </c>
      <c r="CC453" s="49">
        <f t="shared" si="76"/>
        <v>0</v>
      </c>
      <c r="CD453" s="49">
        <f t="shared" si="77"/>
        <v>0</v>
      </c>
      <c r="CE453" s="49">
        <f t="shared" si="78"/>
        <v>0</v>
      </c>
    </row>
    <row r="454" spans="1:83" ht="35.1" customHeight="1" x14ac:dyDescent="0.3">
      <c r="A454" s="123" t="str">
        <f t="shared" si="240"/>
        <v>4팀</v>
      </c>
      <c r="B454" s="69">
        <f t="shared" si="241"/>
        <v>448</v>
      </c>
      <c r="C454" s="120" t="str">
        <f>IF(VLOOKUP($B454,'1. 현장별 인원현황'!$C:$J,2,0)=0,"",VLOOKUP($B454,'1. 현장별 인원현황'!$C:$J,2,0))</f>
        <v xml:space="preserve"> [4.롯데건설] 롯데바이오로직스 Project PROVIDENCE</v>
      </c>
      <c r="D454" s="70" t="str">
        <f>IF(VLOOKUP($B454,'1. 현장별 인원현황'!$C:$J,3,0)=0,"",VLOOKUP($B454,'1. 현장별 인원현황'!$C:$J,3,0))</f>
        <v>김우민</v>
      </c>
      <c r="E454" s="74" t="str">
        <f ca="1">IF(VLOOKUP($B454,'1. 현장별 인원현황'!$C:$J,4,0)=0,"",VLOOKUP($B454,'1. 현장별 인원현황'!$C:$J,4,0))</f>
        <v>35세</v>
      </c>
      <c r="F454" s="70" t="str">
        <f>IF(VLOOKUP($B454,'1. 현장별 인원현황'!$C:$J,7,0)=0,"",VLOOKUP($B454,'1. 현장별 인원현황'!$C:$J,7,0))</f>
        <v>기능공</v>
      </c>
      <c r="G454" s="72" t="str">
        <f>IF(VLOOKUP($B454,'1. 현장별 인원현황'!$C:$J,8,0)=0,"",VLOOKUP($B454,'1. 현장별 인원현황'!$C:$J,8,0))</f>
        <v>전공</v>
      </c>
      <c r="H454" s="67"/>
      <c r="I454" s="73"/>
      <c r="J454" s="73" t="s">
        <v>69</v>
      </c>
      <c r="K454" s="68"/>
      <c r="L454" s="67"/>
      <c r="M454" s="73" t="s">
        <v>69</v>
      </c>
      <c r="N454" s="73"/>
      <c r="O454" s="68"/>
      <c r="P454" s="67"/>
      <c r="Q454" s="73" t="s">
        <v>69</v>
      </c>
      <c r="R454" s="73"/>
      <c r="S454" s="68"/>
      <c r="T454" s="67"/>
      <c r="U454" s="73" t="s">
        <v>69</v>
      </c>
      <c r="V454" s="73"/>
      <c r="W454" s="68"/>
      <c r="X454" s="67" t="s">
        <v>69</v>
      </c>
      <c r="Y454" s="73"/>
      <c r="Z454" s="73"/>
      <c r="AA454" s="68"/>
      <c r="AB454" s="67"/>
      <c r="AC454" s="73" t="s">
        <v>69</v>
      </c>
      <c r="AD454" s="73"/>
      <c r="AE454" s="68"/>
      <c r="AF454" s="67"/>
      <c r="AG454" s="73" t="s">
        <v>69</v>
      </c>
      <c r="AH454" s="73"/>
      <c r="AI454" s="68"/>
      <c r="AJ454" s="67"/>
      <c r="AK454" s="73" t="s">
        <v>69</v>
      </c>
      <c r="AL454" s="73"/>
      <c r="AM454" s="68"/>
      <c r="AN454" s="73" t="s">
        <v>69</v>
      </c>
      <c r="AO454" s="73"/>
      <c r="AP454" s="73"/>
      <c r="AQ454" s="68"/>
      <c r="AR454" s="67">
        <f t="shared" si="242"/>
        <v>79</v>
      </c>
      <c r="AS454" s="68" t="str">
        <f t="shared" si="243"/>
        <v>A</v>
      </c>
      <c r="AV454" s="49">
        <f t="shared" si="79"/>
        <v>0</v>
      </c>
      <c r="AW454" s="49">
        <f t="shared" si="44"/>
        <v>0</v>
      </c>
      <c r="AX454" s="49">
        <f t="shared" si="45"/>
        <v>1</v>
      </c>
      <c r="AY454" s="49">
        <f t="shared" si="46"/>
        <v>0</v>
      </c>
      <c r="AZ454" s="49">
        <f t="shared" si="47"/>
        <v>0</v>
      </c>
      <c r="BA454" s="49">
        <f t="shared" si="48"/>
        <v>1</v>
      </c>
      <c r="BB454" s="49">
        <f t="shared" si="49"/>
        <v>0</v>
      </c>
      <c r="BC454" s="49">
        <f t="shared" si="50"/>
        <v>0</v>
      </c>
      <c r="BD454" s="49">
        <f t="shared" si="51"/>
        <v>0</v>
      </c>
      <c r="BE454" s="49">
        <f t="shared" si="52"/>
        <v>1</v>
      </c>
      <c r="BF454" s="49">
        <f t="shared" si="53"/>
        <v>0</v>
      </c>
      <c r="BG454" s="49">
        <f t="shared" si="54"/>
        <v>0</v>
      </c>
      <c r="BH454" s="49">
        <f t="shared" si="55"/>
        <v>0</v>
      </c>
      <c r="BI454" s="49">
        <f t="shared" si="56"/>
        <v>1</v>
      </c>
      <c r="BJ454" s="49">
        <f t="shared" si="57"/>
        <v>0</v>
      </c>
      <c r="BK454" s="49">
        <f t="shared" si="58"/>
        <v>0</v>
      </c>
      <c r="BL454" s="49">
        <f t="shared" si="59"/>
        <v>1</v>
      </c>
      <c r="BM454" s="49">
        <f t="shared" si="60"/>
        <v>0</v>
      </c>
      <c r="BN454" s="49">
        <f t="shared" si="61"/>
        <v>0</v>
      </c>
      <c r="BO454" s="49">
        <f t="shared" si="62"/>
        <v>0</v>
      </c>
      <c r="BP454" s="49">
        <f t="shared" si="63"/>
        <v>0</v>
      </c>
      <c r="BQ454" s="49">
        <f t="shared" si="64"/>
        <v>1</v>
      </c>
      <c r="BR454" s="49">
        <f t="shared" si="65"/>
        <v>0</v>
      </c>
      <c r="BS454" s="49">
        <f t="shared" si="66"/>
        <v>0</v>
      </c>
      <c r="BT454" s="49">
        <f t="shared" si="67"/>
        <v>0</v>
      </c>
      <c r="BU454" s="49">
        <f t="shared" si="68"/>
        <v>1</v>
      </c>
      <c r="BV454" s="49">
        <f t="shared" si="69"/>
        <v>0</v>
      </c>
      <c r="BW454" s="49">
        <f t="shared" si="70"/>
        <v>0</v>
      </c>
      <c r="BX454" s="49">
        <f t="shared" si="71"/>
        <v>0</v>
      </c>
      <c r="BY454" s="49">
        <f t="shared" si="72"/>
        <v>1</v>
      </c>
      <c r="BZ454" s="49">
        <f t="shared" si="73"/>
        <v>0</v>
      </c>
      <c r="CA454" s="49">
        <f t="shared" si="74"/>
        <v>0</v>
      </c>
      <c r="CB454" s="49">
        <f t="shared" si="75"/>
        <v>1</v>
      </c>
      <c r="CC454" s="49">
        <f t="shared" si="76"/>
        <v>0</v>
      </c>
      <c r="CD454" s="49">
        <f t="shared" si="77"/>
        <v>0</v>
      </c>
      <c r="CE454" s="49">
        <f t="shared" si="78"/>
        <v>0</v>
      </c>
    </row>
    <row r="455" spans="1:83" ht="35.1" customHeight="1" x14ac:dyDescent="0.3">
      <c r="A455" s="123" t="str">
        <f t="shared" ref="A455:A518" si="280">MID(C455,3,1)&amp;"팀"</f>
        <v>4팀</v>
      </c>
      <c r="B455" s="69">
        <f t="shared" ref="B455:B518" si="281">ROW()-6</f>
        <v>449</v>
      </c>
      <c r="C455" s="120" t="str">
        <f>IF(VLOOKUP($B455,'1. 현장별 인원현황'!$C:$J,2,0)=0,"",VLOOKUP($B455,'1. 현장별 인원현황'!$C:$J,2,0))</f>
        <v xml:space="preserve"> [4.롯데건설] 롯데바이오로직스 Project PROVIDENCE</v>
      </c>
      <c r="D455" s="70" t="str">
        <f>IF(VLOOKUP($B455,'1. 현장별 인원현황'!$C:$J,3,0)=0,"",VLOOKUP($B455,'1. 현장별 인원현황'!$C:$J,3,0))</f>
        <v>이웅진</v>
      </c>
      <c r="E455" s="74" t="str">
        <f ca="1">IF(VLOOKUP($B455,'1. 현장별 인원현황'!$C:$J,4,0)=0,"",VLOOKUP($B455,'1. 현장별 인원현황'!$C:$J,4,0))</f>
        <v>52세</v>
      </c>
      <c r="F455" s="70" t="str">
        <f>IF(VLOOKUP($B455,'1. 현장별 인원현황'!$C:$J,7,0)=0,"",VLOOKUP($B455,'1. 현장별 인원현황'!$C:$J,7,0))</f>
        <v>기능공</v>
      </c>
      <c r="G455" s="72" t="str">
        <f>IF(VLOOKUP($B455,'1. 현장별 인원현황'!$C:$J,8,0)=0,"",VLOOKUP($B455,'1. 현장별 인원현황'!$C:$J,8,0))</f>
        <v>전공</v>
      </c>
      <c r="H455" s="67"/>
      <c r="I455" s="73" t="s">
        <v>69</v>
      </c>
      <c r="J455" s="73"/>
      <c r="K455" s="68"/>
      <c r="L455" s="67" t="s">
        <v>69</v>
      </c>
      <c r="M455" s="73"/>
      <c r="N455" s="73"/>
      <c r="O455" s="68"/>
      <c r="P455" s="67" t="s">
        <v>69</v>
      </c>
      <c r="Q455" s="73"/>
      <c r="R455" s="73"/>
      <c r="S455" s="68"/>
      <c r="T455" s="67"/>
      <c r="U455" s="73" t="s">
        <v>69</v>
      </c>
      <c r="V455" s="73"/>
      <c r="W455" s="68"/>
      <c r="X455" s="67" t="s">
        <v>69</v>
      </c>
      <c r="Y455" s="73"/>
      <c r="Z455" s="73"/>
      <c r="AA455" s="68"/>
      <c r="AB455" s="67"/>
      <c r="AC455" s="73" t="s">
        <v>69</v>
      </c>
      <c r="AD455" s="73"/>
      <c r="AE455" s="68"/>
      <c r="AF455" s="67"/>
      <c r="AG455" s="73" t="s">
        <v>69</v>
      </c>
      <c r="AH455" s="73"/>
      <c r="AI455" s="68"/>
      <c r="AJ455" s="67"/>
      <c r="AK455" s="73" t="s">
        <v>69</v>
      </c>
      <c r="AL455" s="73"/>
      <c r="AM455" s="68"/>
      <c r="AN455" s="73" t="s">
        <v>69</v>
      </c>
      <c r="AO455" s="73"/>
      <c r="AP455" s="73"/>
      <c r="AQ455" s="68"/>
      <c r="AR455" s="67">
        <f t="shared" ref="AR455:AR518" si="282">SUMPRODUCT($H$5:$AQ$5,AV455:CE455)</f>
        <v>88</v>
      </c>
      <c r="AS455" s="68" t="str">
        <f t="shared" ref="AS455:AS518" si="283">IF(AR455&gt;85,"S",IF(AR455&gt;70,"A",IF(AR455&gt;50,"B",IF(AR455&gt;0,"C",""))))</f>
        <v>S</v>
      </c>
      <c r="AV455" s="49">
        <f t="shared" si="79"/>
        <v>0</v>
      </c>
      <c r="AW455" s="49">
        <f t="shared" si="44"/>
        <v>1</v>
      </c>
      <c r="AX455" s="49">
        <f t="shared" si="45"/>
        <v>0</v>
      </c>
      <c r="AY455" s="49">
        <f t="shared" si="46"/>
        <v>0</v>
      </c>
      <c r="AZ455" s="49">
        <f t="shared" si="47"/>
        <v>1</v>
      </c>
      <c r="BA455" s="49">
        <f t="shared" si="48"/>
        <v>0</v>
      </c>
      <c r="BB455" s="49">
        <f t="shared" si="49"/>
        <v>0</v>
      </c>
      <c r="BC455" s="49">
        <f t="shared" si="50"/>
        <v>0</v>
      </c>
      <c r="BD455" s="49">
        <f t="shared" si="51"/>
        <v>1</v>
      </c>
      <c r="BE455" s="49">
        <f t="shared" si="52"/>
        <v>0</v>
      </c>
      <c r="BF455" s="49">
        <f t="shared" si="53"/>
        <v>0</v>
      </c>
      <c r="BG455" s="49">
        <f t="shared" si="54"/>
        <v>0</v>
      </c>
      <c r="BH455" s="49">
        <f t="shared" si="55"/>
        <v>0</v>
      </c>
      <c r="BI455" s="49">
        <f t="shared" si="56"/>
        <v>1</v>
      </c>
      <c r="BJ455" s="49">
        <f t="shared" si="57"/>
        <v>0</v>
      </c>
      <c r="BK455" s="49">
        <f t="shared" si="58"/>
        <v>0</v>
      </c>
      <c r="BL455" s="49">
        <f t="shared" si="59"/>
        <v>1</v>
      </c>
      <c r="BM455" s="49">
        <f t="shared" si="60"/>
        <v>0</v>
      </c>
      <c r="BN455" s="49">
        <f t="shared" si="61"/>
        <v>0</v>
      </c>
      <c r="BO455" s="49">
        <f t="shared" si="62"/>
        <v>0</v>
      </c>
      <c r="BP455" s="49">
        <f t="shared" si="63"/>
        <v>0</v>
      </c>
      <c r="BQ455" s="49">
        <f t="shared" si="64"/>
        <v>1</v>
      </c>
      <c r="BR455" s="49">
        <f t="shared" si="65"/>
        <v>0</v>
      </c>
      <c r="BS455" s="49">
        <f t="shared" si="66"/>
        <v>0</v>
      </c>
      <c r="BT455" s="49">
        <f t="shared" si="67"/>
        <v>0</v>
      </c>
      <c r="BU455" s="49">
        <f t="shared" si="68"/>
        <v>1</v>
      </c>
      <c r="BV455" s="49">
        <f t="shared" si="69"/>
        <v>0</v>
      </c>
      <c r="BW455" s="49">
        <f t="shared" si="70"/>
        <v>0</v>
      </c>
      <c r="BX455" s="49">
        <f t="shared" si="71"/>
        <v>0</v>
      </c>
      <c r="BY455" s="49">
        <f t="shared" si="72"/>
        <v>1</v>
      </c>
      <c r="BZ455" s="49">
        <f t="shared" si="73"/>
        <v>0</v>
      </c>
      <c r="CA455" s="49">
        <f t="shared" si="74"/>
        <v>0</v>
      </c>
      <c r="CB455" s="49">
        <f t="shared" si="75"/>
        <v>1</v>
      </c>
      <c r="CC455" s="49">
        <f t="shared" si="76"/>
        <v>0</v>
      </c>
      <c r="CD455" s="49">
        <f t="shared" si="77"/>
        <v>0</v>
      </c>
      <c r="CE455" s="49">
        <f t="shared" si="78"/>
        <v>0</v>
      </c>
    </row>
    <row r="456" spans="1:83" ht="35.1" customHeight="1" x14ac:dyDescent="0.3">
      <c r="A456" s="123" t="str">
        <f t="shared" si="280"/>
        <v>4팀</v>
      </c>
      <c r="B456" s="69">
        <f t="shared" si="281"/>
        <v>450</v>
      </c>
      <c r="C456" s="120" t="str">
        <f>IF(VLOOKUP($B456,'1. 현장별 인원현황'!$C:$J,2,0)=0,"",VLOOKUP($B456,'1. 현장별 인원현황'!$C:$J,2,0))</f>
        <v xml:space="preserve"> [4.롯데건설] 롯데바이오로직스 Project PROVIDENCE</v>
      </c>
      <c r="D456" s="70" t="str">
        <f>IF(VLOOKUP($B456,'1. 현장별 인원현황'!$C:$J,3,0)=0,"",VLOOKUP($B456,'1. 현장별 인원현황'!$C:$J,3,0))</f>
        <v>이웅현</v>
      </c>
      <c r="E456" s="74" t="str">
        <f ca="1">IF(VLOOKUP($B456,'1. 현장별 인원현황'!$C:$J,4,0)=0,"",VLOOKUP($B456,'1. 현장별 인원현황'!$C:$J,4,0))</f>
        <v>54세</v>
      </c>
      <c r="F456" s="70" t="str">
        <f>IF(VLOOKUP($B456,'1. 현장별 인원현황'!$C:$J,7,0)=0,"",VLOOKUP($B456,'1. 현장별 인원현황'!$C:$J,7,0))</f>
        <v>기능공</v>
      </c>
      <c r="G456" s="72" t="str">
        <f>IF(VLOOKUP($B456,'1. 현장별 인원현황'!$C:$J,8,0)=0,"",VLOOKUP($B456,'1. 현장별 인원현황'!$C:$J,8,0))</f>
        <v>전공</v>
      </c>
      <c r="H456" s="67"/>
      <c r="I456" s="73" t="s">
        <v>69</v>
      </c>
      <c r="J456" s="73"/>
      <c r="K456" s="68"/>
      <c r="L456" s="67" t="s">
        <v>69</v>
      </c>
      <c r="M456" s="73"/>
      <c r="N456" s="73"/>
      <c r="O456" s="68"/>
      <c r="P456" s="67" t="s">
        <v>69</v>
      </c>
      <c r="Q456" s="73"/>
      <c r="R456" s="73"/>
      <c r="S456" s="68"/>
      <c r="T456" s="67"/>
      <c r="U456" s="73" t="s">
        <v>69</v>
      </c>
      <c r="V456" s="73"/>
      <c r="W456" s="68"/>
      <c r="X456" s="67" t="s">
        <v>69</v>
      </c>
      <c r="Y456" s="73"/>
      <c r="Z456" s="73"/>
      <c r="AA456" s="68"/>
      <c r="AB456" s="67"/>
      <c r="AC456" s="73" t="s">
        <v>69</v>
      </c>
      <c r="AD456" s="73"/>
      <c r="AE456" s="68"/>
      <c r="AF456" s="67"/>
      <c r="AG456" s="73" t="s">
        <v>69</v>
      </c>
      <c r="AH456" s="73"/>
      <c r="AI456" s="68"/>
      <c r="AJ456" s="67"/>
      <c r="AK456" s="73" t="s">
        <v>69</v>
      </c>
      <c r="AL456" s="73"/>
      <c r="AM456" s="68"/>
      <c r="AN456" s="73" t="s">
        <v>69</v>
      </c>
      <c r="AO456" s="73"/>
      <c r="AP456" s="73"/>
      <c r="AQ456" s="68"/>
      <c r="AR456" s="67">
        <f t="shared" si="282"/>
        <v>88</v>
      </c>
      <c r="AS456" s="68" t="str">
        <f t="shared" si="283"/>
        <v>S</v>
      </c>
      <c r="AV456" s="49">
        <f t="shared" si="79"/>
        <v>0</v>
      </c>
      <c r="AW456" s="49">
        <f t="shared" si="44"/>
        <v>1</v>
      </c>
      <c r="AX456" s="49">
        <f t="shared" si="45"/>
        <v>0</v>
      </c>
      <c r="AY456" s="49">
        <f t="shared" si="46"/>
        <v>0</v>
      </c>
      <c r="AZ456" s="49">
        <f t="shared" si="47"/>
        <v>1</v>
      </c>
      <c r="BA456" s="49">
        <f t="shared" si="48"/>
        <v>0</v>
      </c>
      <c r="BB456" s="49">
        <f t="shared" si="49"/>
        <v>0</v>
      </c>
      <c r="BC456" s="49">
        <f t="shared" si="50"/>
        <v>0</v>
      </c>
      <c r="BD456" s="49">
        <f t="shared" si="51"/>
        <v>1</v>
      </c>
      <c r="BE456" s="49">
        <f t="shared" si="52"/>
        <v>0</v>
      </c>
      <c r="BF456" s="49">
        <f t="shared" si="53"/>
        <v>0</v>
      </c>
      <c r="BG456" s="49">
        <f t="shared" si="54"/>
        <v>0</v>
      </c>
      <c r="BH456" s="49">
        <f t="shared" si="55"/>
        <v>0</v>
      </c>
      <c r="BI456" s="49">
        <f t="shared" si="56"/>
        <v>1</v>
      </c>
      <c r="BJ456" s="49">
        <f t="shared" si="57"/>
        <v>0</v>
      </c>
      <c r="BK456" s="49">
        <f t="shared" si="58"/>
        <v>0</v>
      </c>
      <c r="BL456" s="49">
        <f t="shared" si="59"/>
        <v>1</v>
      </c>
      <c r="BM456" s="49">
        <f t="shared" si="60"/>
        <v>0</v>
      </c>
      <c r="BN456" s="49">
        <f t="shared" si="61"/>
        <v>0</v>
      </c>
      <c r="BO456" s="49">
        <f t="shared" si="62"/>
        <v>0</v>
      </c>
      <c r="BP456" s="49">
        <f t="shared" si="63"/>
        <v>0</v>
      </c>
      <c r="BQ456" s="49">
        <f t="shared" si="64"/>
        <v>1</v>
      </c>
      <c r="BR456" s="49">
        <f t="shared" si="65"/>
        <v>0</v>
      </c>
      <c r="BS456" s="49">
        <f t="shared" si="66"/>
        <v>0</v>
      </c>
      <c r="BT456" s="49">
        <f t="shared" si="67"/>
        <v>0</v>
      </c>
      <c r="BU456" s="49">
        <f t="shared" si="68"/>
        <v>1</v>
      </c>
      <c r="BV456" s="49">
        <f t="shared" si="69"/>
        <v>0</v>
      </c>
      <c r="BW456" s="49">
        <f t="shared" si="70"/>
        <v>0</v>
      </c>
      <c r="BX456" s="49">
        <f t="shared" si="71"/>
        <v>0</v>
      </c>
      <c r="BY456" s="49">
        <f t="shared" si="72"/>
        <v>1</v>
      </c>
      <c r="BZ456" s="49">
        <f t="shared" si="73"/>
        <v>0</v>
      </c>
      <c r="CA456" s="49">
        <f t="shared" si="74"/>
        <v>0</v>
      </c>
      <c r="CB456" s="49">
        <f t="shared" si="75"/>
        <v>1</v>
      </c>
      <c r="CC456" s="49">
        <f t="shared" si="76"/>
        <v>0</v>
      </c>
      <c r="CD456" s="49">
        <f t="shared" si="77"/>
        <v>0</v>
      </c>
      <c r="CE456" s="49">
        <f t="shared" si="78"/>
        <v>0</v>
      </c>
    </row>
    <row r="457" spans="1:83" ht="35.1" customHeight="1" x14ac:dyDescent="0.3">
      <c r="A457" s="123" t="str">
        <f t="shared" si="280"/>
        <v>4팀</v>
      </c>
      <c r="B457" s="69">
        <f t="shared" si="281"/>
        <v>451</v>
      </c>
      <c r="C457" s="120" t="str">
        <f>IF(VLOOKUP($B457,'1. 현장별 인원현황'!$C:$J,2,0)=0,"",VLOOKUP($B457,'1. 현장별 인원현황'!$C:$J,2,0))</f>
        <v xml:space="preserve"> [4.롯데건설] 롯데바이오로직스 Project PROVIDENCE</v>
      </c>
      <c r="D457" s="70" t="str">
        <f>IF(VLOOKUP($B457,'1. 현장별 인원현황'!$C:$J,3,0)=0,"",VLOOKUP($B457,'1. 현장별 인원현황'!$C:$J,3,0))</f>
        <v>이은성</v>
      </c>
      <c r="E457" s="74" t="str">
        <f ca="1">IF(VLOOKUP($B457,'1. 현장별 인원현황'!$C:$J,4,0)=0,"",VLOOKUP($B457,'1. 현장별 인원현황'!$C:$J,4,0))</f>
        <v>32세</v>
      </c>
      <c r="F457" s="70" t="str">
        <f>IF(VLOOKUP($B457,'1. 현장별 인원현황'!$C:$J,7,0)=0,"",VLOOKUP($B457,'1. 현장별 인원현황'!$C:$J,7,0))</f>
        <v>기능공</v>
      </c>
      <c r="G457" s="72" t="str">
        <f>IF(VLOOKUP($B457,'1. 현장별 인원현황'!$C:$J,8,0)=0,"",VLOOKUP($B457,'1. 현장별 인원현황'!$C:$J,8,0))</f>
        <v>전공</v>
      </c>
      <c r="H457" s="67"/>
      <c r="I457" s="73" t="s">
        <v>69</v>
      </c>
      <c r="J457" s="73"/>
      <c r="K457" s="68"/>
      <c r="L457" s="67"/>
      <c r="M457" s="73" t="s">
        <v>69</v>
      </c>
      <c r="N457" s="73"/>
      <c r="O457" s="68"/>
      <c r="P457" s="67"/>
      <c r="Q457" s="73" t="s">
        <v>69</v>
      </c>
      <c r="R457" s="73"/>
      <c r="S457" s="68"/>
      <c r="T457" s="67"/>
      <c r="U457" s="73" t="s">
        <v>69</v>
      </c>
      <c r="V457" s="73"/>
      <c r="W457" s="68"/>
      <c r="X457" s="67" t="s">
        <v>69</v>
      </c>
      <c r="Y457" s="73"/>
      <c r="Z457" s="73"/>
      <c r="AA457" s="68"/>
      <c r="AB457" s="67"/>
      <c r="AC457" s="73" t="s">
        <v>69</v>
      </c>
      <c r="AD457" s="73"/>
      <c r="AE457" s="68"/>
      <c r="AF457" s="67"/>
      <c r="AG457" s="73" t="s">
        <v>69</v>
      </c>
      <c r="AH457" s="73"/>
      <c r="AI457" s="68"/>
      <c r="AJ457" s="67"/>
      <c r="AK457" s="73" t="s">
        <v>69</v>
      </c>
      <c r="AL457" s="73"/>
      <c r="AM457" s="68"/>
      <c r="AN457" s="73" t="s">
        <v>69</v>
      </c>
      <c r="AO457" s="73"/>
      <c r="AP457" s="73"/>
      <c r="AQ457" s="68"/>
      <c r="AR457" s="67">
        <f t="shared" si="282"/>
        <v>82</v>
      </c>
      <c r="AS457" s="68" t="str">
        <f t="shared" si="283"/>
        <v>A</v>
      </c>
      <c r="AV457" s="49">
        <f t="shared" si="79"/>
        <v>0</v>
      </c>
      <c r="AW457" s="49">
        <f t="shared" si="44"/>
        <v>1</v>
      </c>
      <c r="AX457" s="49">
        <f t="shared" si="45"/>
        <v>0</v>
      </c>
      <c r="AY457" s="49">
        <f t="shared" si="46"/>
        <v>0</v>
      </c>
      <c r="AZ457" s="49">
        <f t="shared" si="47"/>
        <v>0</v>
      </c>
      <c r="BA457" s="49">
        <f t="shared" si="48"/>
        <v>1</v>
      </c>
      <c r="BB457" s="49">
        <f t="shared" si="49"/>
        <v>0</v>
      </c>
      <c r="BC457" s="49">
        <f t="shared" si="50"/>
        <v>0</v>
      </c>
      <c r="BD457" s="49">
        <f t="shared" si="51"/>
        <v>0</v>
      </c>
      <c r="BE457" s="49">
        <f t="shared" si="52"/>
        <v>1</v>
      </c>
      <c r="BF457" s="49">
        <f t="shared" si="53"/>
        <v>0</v>
      </c>
      <c r="BG457" s="49">
        <f t="shared" si="54"/>
        <v>0</v>
      </c>
      <c r="BH457" s="49">
        <f t="shared" si="55"/>
        <v>0</v>
      </c>
      <c r="BI457" s="49">
        <f t="shared" si="56"/>
        <v>1</v>
      </c>
      <c r="BJ457" s="49">
        <f t="shared" si="57"/>
        <v>0</v>
      </c>
      <c r="BK457" s="49">
        <f t="shared" si="58"/>
        <v>0</v>
      </c>
      <c r="BL457" s="49">
        <f t="shared" si="59"/>
        <v>1</v>
      </c>
      <c r="BM457" s="49">
        <f t="shared" si="60"/>
        <v>0</v>
      </c>
      <c r="BN457" s="49">
        <f t="shared" si="61"/>
        <v>0</v>
      </c>
      <c r="BO457" s="49">
        <f t="shared" si="62"/>
        <v>0</v>
      </c>
      <c r="BP457" s="49">
        <f t="shared" si="63"/>
        <v>0</v>
      </c>
      <c r="BQ457" s="49">
        <f t="shared" si="64"/>
        <v>1</v>
      </c>
      <c r="BR457" s="49">
        <f t="shared" si="65"/>
        <v>0</v>
      </c>
      <c r="BS457" s="49">
        <f t="shared" si="66"/>
        <v>0</v>
      </c>
      <c r="BT457" s="49">
        <f t="shared" si="67"/>
        <v>0</v>
      </c>
      <c r="BU457" s="49">
        <f t="shared" si="68"/>
        <v>1</v>
      </c>
      <c r="BV457" s="49">
        <f t="shared" si="69"/>
        <v>0</v>
      </c>
      <c r="BW457" s="49">
        <f t="shared" si="70"/>
        <v>0</v>
      </c>
      <c r="BX457" s="49">
        <f t="shared" si="71"/>
        <v>0</v>
      </c>
      <c r="BY457" s="49">
        <f t="shared" si="72"/>
        <v>1</v>
      </c>
      <c r="BZ457" s="49">
        <f t="shared" si="73"/>
        <v>0</v>
      </c>
      <c r="CA457" s="49">
        <f t="shared" si="74"/>
        <v>0</v>
      </c>
      <c r="CB457" s="49">
        <f t="shared" si="75"/>
        <v>1</v>
      </c>
      <c r="CC457" s="49">
        <f t="shared" si="76"/>
        <v>0</v>
      </c>
      <c r="CD457" s="49">
        <f t="shared" si="77"/>
        <v>0</v>
      </c>
      <c r="CE457" s="49">
        <f t="shared" si="78"/>
        <v>0</v>
      </c>
    </row>
    <row r="458" spans="1:83" ht="35.1" customHeight="1" x14ac:dyDescent="0.3">
      <c r="A458" s="123" t="str">
        <f t="shared" si="280"/>
        <v>4팀</v>
      </c>
      <c r="B458" s="69">
        <f t="shared" si="281"/>
        <v>452</v>
      </c>
      <c r="C458" s="120" t="str">
        <f>IF(VLOOKUP($B458,'1. 현장별 인원현황'!$C:$J,2,0)=0,"",VLOOKUP($B458,'1. 현장별 인원현황'!$C:$J,2,0))</f>
        <v xml:space="preserve"> [4.롯데건설] 롯데바이오로직스 Project PROVIDENCE</v>
      </c>
      <c r="D458" s="70" t="str">
        <f>IF(VLOOKUP($B458,'1. 현장별 인원현황'!$C:$J,3,0)=0,"",VLOOKUP($B458,'1. 현장별 인원현황'!$C:$J,3,0))</f>
        <v>이재경</v>
      </c>
      <c r="E458" s="74" t="str">
        <f ca="1">IF(VLOOKUP($B458,'1. 현장별 인원현황'!$C:$J,4,0)=0,"",VLOOKUP($B458,'1. 현장별 인원현황'!$C:$J,4,0))</f>
        <v>48세</v>
      </c>
      <c r="F458" s="70" t="str">
        <f>IF(VLOOKUP($B458,'1. 현장별 인원현황'!$C:$J,7,0)=0,"",VLOOKUP($B458,'1. 현장별 인원현황'!$C:$J,7,0))</f>
        <v>기능공</v>
      </c>
      <c r="G458" s="72" t="str">
        <f>IF(VLOOKUP($B458,'1. 현장별 인원현황'!$C:$J,8,0)=0,"",VLOOKUP($B458,'1. 현장별 인원현황'!$C:$J,8,0))</f>
        <v>전공</v>
      </c>
      <c r="H458" s="67"/>
      <c r="I458" s="73" t="s">
        <v>69</v>
      </c>
      <c r="J458" s="73"/>
      <c r="K458" s="68"/>
      <c r="L458" s="67"/>
      <c r="M458" s="73" t="s">
        <v>69</v>
      </c>
      <c r="N458" s="73"/>
      <c r="O458" s="68"/>
      <c r="P458" s="67"/>
      <c r="Q458" s="73" t="s">
        <v>69</v>
      </c>
      <c r="R458" s="73"/>
      <c r="S458" s="68"/>
      <c r="T458" s="67"/>
      <c r="U458" s="73" t="s">
        <v>69</v>
      </c>
      <c r="V458" s="73"/>
      <c r="W458" s="68"/>
      <c r="X458" s="67" t="s">
        <v>69</v>
      </c>
      <c r="Y458" s="73"/>
      <c r="Z458" s="73"/>
      <c r="AA458" s="68"/>
      <c r="AB458" s="67"/>
      <c r="AC458" s="73" t="s">
        <v>69</v>
      </c>
      <c r="AD458" s="73"/>
      <c r="AE458" s="68"/>
      <c r="AF458" s="67"/>
      <c r="AG458" s="73" t="s">
        <v>69</v>
      </c>
      <c r="AH458" s="73"/>
      <c r="AI458" s="68"/>
      <c r="AJ458" s="67"/>
      <c r="AK458" s="73" t="s">
        <v>69</v>
      </c>
      <c r="AL458" s="73"/>
      <c r="AM458" s="68"/>
      <c r="AN458" s="73" t="s">
        <v>69</v>
      </c>
      <c r="AO458" s="73"/>
      <c r="AP458" s="73"/>
      <c r="AQ458" s="68"/>
      <c r="AR458" s="67">
        <f t="shared" si="282"/>
        <v>82</v>
      </c>
      <c r="AS458" s="68" t="str">
        <f t="shared" si="283"/>
        <v>A</v>
      </c>
      <c r="AV458" s="49">
        <f t="shared" si="79"/>
        <v>0</v>
      </c>
      <c r="AW458" s="49">
        <f t="shared" si="44"/>
        <v>1</v>
      </c>
      <c r="AX458" s="49">
        <f t="shared" si="45"/>
        <v>0</v>
      </c>
      <c r="AY458" s="49">
        <f t="shared" si="46"/>
        <v>0</v>
      </c>
      <c r="AZ458" s="49">
        <f t="shared" si="47"/>
        <v>0</v>
      </c>
      <c r="BA458" s="49">
        <f t="shared" si="48"/>
        <v>1</v>
      </c>
      <c r="BB458" s="49">
        <f t="shared" si="49"/>
        <v>0</v>
      </c>
      <c r="BC458" s="49">
        <f t="shared" si="50"/>
        <v>0</v>
      </c>
      <c r="BD458" s="49">
        <f t="shared" si="51"/>
        <v>0</v>
      </c>
      <c r="BE458" s="49">
        <f t="shared" si="52"/>
        <v>1</v>
      </c>
      <c r="BF458" s="49">
        <f t="shared" si="53"/>
        <v>0</v>
      </c>
      <c r="BG458" s="49">
        <f t="shared" si="54"/>
        <v>0</v>
      </c>
      <c r="BH458" s="49">
        <f t="shared" si="55"/>
        <v>0</v>
      </c>
      <c r="BI458" s="49">
        <f t="shared" si="56"/>
        <v>1</v>
      </c>
      <c r="BJ458" s="49">
        <f t="shared" si="57"/>
        <v>0</v>
      </c>
      <c r="BK458" s="49">
        <f t="shared" si="58"/>
        <v>0</v>
      </c>
      <c r="BL458" s="49">
        <f t="shared" si="59"/>
        <v>1</v>
      </c>
      <c r="BM458" s="49">
        <f t="shared" si="60"/>
        <v>0</v>
      </c>
      <c r="BN458" s="49">
        <f t="shared" si="61"/>
        <v>0</v>
      </c>
      <c r="BO458" s="49">
        <f t="shared" si="62"/>
        <v>0</v>
      </c>
      <c r="BP458" s="49">
        <f t="shared" si="63"/>
        <v>0</v>
      </c>
      <c r="BQ458" s="49">
        <f t="shared" si="64"/>
        <v>1</v>
      </c>
      <c r="BR458" s="49">
        <f t="shared" si="65"/>
        <v>0</v>
      </c>
      <c r="BS458" s="49">
        <f t="shared" si="66"/>
        <v>0</v>
      </c>
      <c r="BT458" s="49">
        <f t="shared" si="67"/>
        <v>0</v>
      </c>
      <c r="BU458" s="49">
        <f t="shared" si="68"/>
        <v>1</v>
      </c>
      <c r="BV458" s="49">
        <f t="shared" si="69"/>
        <v>0</v>
      </c>
      <c r="BW458" s="49">
        <f t="shared" si="70"/>
        <v>0</v>
      </c>
      <c r="BX458" s="49">
        <f t="shared" si="71"/>
        <v>0</v>
      </c>
      <c r="BY458" s="49">
        <f t="shared" si="72"/>
        <v>1</v>
      </c>
      <c r="BZ458" s="49">
        <f t="shared" si="73"/>
        <v>0</v>
      </c>
      <c r="CA458" s="49">
        <f t="shared" si="74"/>
        <v>0</v>
      </c>
      <c r="CB458" s="49">
        <f t="shared" si="75"/>
        <v>1</v>
      </c>
      <c r="CC458" s="49">
        <f t="shared" si="76"/>
        <v>0</v>
      </c>
      <c r="CD458" s="49">
        <f t="shared" si="77"/>
        <v>0</v>
      </c>
      <c r="CE458" s="49">
        <f t="shared" si="78"/>
        <v>0</v>
      </c>
    </row>
    <row r="459" spans="1:83" ht="35.1" customHeight="1" x14ac:dyDescent="0.3">
      <c r="A459" s="123" t="str">
        <f t="shared" si="280"/>
        <v>4팀</v>
      </c>
      <c r="B459" s="69">
        <f t="shared" si="281"/>
        <v>453</v>
      </c>
      <c r="C459" s="120" t="str">
        <f>IF(VLOOKUP($B459,'1. 현장별 인원현황'!$C:$J,2,0)=0,"",VLOOKUP($B459,'1. 현장별 인원현황'!$C:$J,2,0))</f>
        <v xml:space="preserve"> [4.롯데건설] 롯데바이오로직스 Project PROVIDENCE</v>
      </c>
      <c r="D459" s="70" t="str">
        <f>IF(VLOOKUP($B459,'1. 현장별 인원현황'!$C:$J,3,0)=0,"",VLOOKUP($B459,'1. 현장별 인원현황'!$C:$J,3,0))</f>
        <v>박재일</v>
      </c>
      <c r="E459" s="74" t="str">
        <f ca="1">IF(VLOOKUP($B459,'1. 현장별 인원현황'!$C:$J,4,0)=0,"",VLOOKUP($B459,'1. 현장별 인원현황'!$C:$J,4,0))</f>
        <v>53세</v>
      </c>
      <c r="F459" s="70" t="str">
        <f>IF(VLOOKUP($B459,'1. 현장별 인원현황'!$C:$J,7,0)=0,"",VLOOKUP($B459,'1. 현장별 인원현황'!$C:$J,7,0))</f>
        <v>기능공</v>
      </c>
      <c r="G459" s="72" t="str">
        <f>IF(VLOOKUP($B459,'1. 현장별 인원현황'!$C:$J,8,0)=0,"",VLOOKUP($B459,'1. 현장별 인원현황'!$C:$J,8,0))</f>
        <v>전공</v>
      </c>
      <c r="H459" s="67"/>
      <c r="I459" s="73" t="s">
        <v>69</v>
      </c>
      <c r="J459" s="73"/>
      <c r="K459" s="68"/>
      <c r="L459" s="67"/>
      <c r="M459" s="73" t="s">
        <v>69</v>
      </c>
      <c r="N459" s="73"/>
      <c r="O459" s="68"/>
      <c r="P459" s="67"/>
      <c r="Q459" s="73" t="s">
        <v>69</v>
      </c>
      <c r="R459" s="73"/>
      <c r="S459" s="68"/>
      <c r="T459" s="67"/>
      <c r="U459" s="73" t="s">
        <v>69</v>
      </c>
      <c r="V459" s="73"/>
      <c r="W459" s="68"/>
      <c r="X459" s="67" t="s">
        <v>69</v>
      </c>
      <c r="Y459" s="73"/>
      <c r="Z459" s="73"/>
      <c r="AA459" s="68"/>
      <c r="AB459" s="67"/>
      <c r="AC459" s="73" t="s">
        <v>69</v>
      </c>
      <c r="AD459" s="73"/>
      <c r="AE459" s="68"/>
      <c r="AF459" s="67" t="s">
        <v>69</v>
      </c>
      <c r="AG459" s="73"/>
      <c r="AH459" s="73"/>
      <c r="AI459" s="68"/>
      <c r="AJ459" s="67"/>
      <c r="AK459" s="73" t="s">
        <v>69</v>
      </c>
      <c r="AL459" s="73"/>
      <c r="AM459" s="68"/>
      <c r="AN459" s="73" t="s">
        <v>69</v>
      </c>
      <c r="AO459" s="73"/>
      <c r="AP459" s="73"/>
      <c r="AQ459" s="68"/>
      <c r="AR459" s="67">
        <f t="shared" si="282"/>
        <v>84</v>
      </c>
      <c r="AS459" s="68" t="str">
        <f t="shared" si="283"/>
        <v>A</v>
      </c>
      <c r="AV459" s="49">
        <f t="shared" si="79"/>
        <v>0</v>
      </c>
      <c r="AW459" s="49">
        <f t="shared" si="44"/>
        <v>1</v>
      </c>
      <c r="AX459" s="49">
        <f t="shared" si="45"/>
        <v>0</v>
      </c>
      <c r="AY459" s="49">
        <f t="shared" si="46"/>
        <v>0</v>
      </c>
      <c r="AZ459" s="49">
        <f t="shared" si="47"/>
        <v>0</v>
      </c>
      <c r="BA459" s="49">
        <f t="shared" si="48"/>
        <v>1</v>
      </c>
      <c r="BB459" s="49">
        <f t="shared" si="49"/>
        <v>0</v>
      </c>
      <c r="BC459" s="49">
        <f t="shared" si="50"/>
        <v>0</v>
      </c>
      <c r="BD459" s="49">
        <f t="shared" si="51"/>
        <v>0</v>
      </c>
      <c r="BE459" s="49">
        <f t="shared" si="52"/>
        <v>1</v>
      </c>
      <c r="BF459" s="49">
        <f t="shared" si="53"/>
        <v>0</v>
      </c>
      <c r="BG459" s="49">
        <f t="shared" si="54"/>
        <v>0</v>
      </c>
      <c r="BH459" s="49">
        <f t="shared" si="55"/>
        <v>0</v>
      </c>
      <c r="BI459" s="49">
        <f t="shared" si="56"/>
        <v>1</v>
      </c>
      <c r="BJ459" s="49">
        <f t="shared" si="57"/>
        <v>0</v>
      </c>
      <c r="BK459" s="49">
        <f t="shared" si="58"/>
        <v>0</v>
      </c>
      <c r="BL459" s="49">
        <f t="shared" si="59"/>
        <v>1</v>
      </c>
      <c r="BM459" s="49">
        <f t="shared" si="60"/>
        <v>0</v>
      </c>
      <c r="BN459" s="49">
        <f t="shared" si="61"/>
        <v>0</v>
      </c>
      <c r="BO459" s="49">
        <f t="shared" si="62"/>
        <v>0</v>
      </c>
      <c r="BP459" s="49">
        <f t="shared" si="63"/>
        <v>0</v>
      </c>
      <c r="BQ459" s="49">
        <f t="shared" si="64"/>
        <v>1</v>
      </c>
      <c r="BR459" s="49">
        <f t="shared" si="65"/>
        <v>0</v>
      </c>
      <c r="BS459" s="49">
        <f t="shared" si="66"/>
        <v>0</v>
      </c>
      <c r="BT459" s="49">
        <f t="shared" si="67"/>
        <v>1</v>
      </c>
      <c r="BU459" s="49">
        <f t="shared" si="68"/>
        <v>0</v>
      </c>
      <c r="BV459" s="49">
        <f t="shared" si="69"/>
        <v>0</v>
      </c>
      <c r="BW459" s="49">
        <f t="shared" si="70"/>
        <v>0</v>
      </c>
      <c r="BX459" s="49">
        <f t="shared" si="71"/>
        <v>0</v>
      </c>
      <c r="BY459" s="49">
        <f t="shared" si="72"/>
        <v>1</v>
      </c>
      <c r="BZ459" s="49">
        <f t="shared" si="73"/>
        <v>0</v>
      </c>
      <c r="CA459" s="49">
        <f t="shared" si="74"/>
        <v>0</v>
      </c>
      <c r="CB459" s="49">
        <f t="shared" si="75"/>
        <v>1</v>
      </c>
      <c r="CC459" s="49">
        <f t="shared" si="76"/>
        <v>0</v>
      </c>
      <c r="CD459" s="49">
        <f t="shared" si="77"/>
        <v>0</v>
      </c>
      <c r="CE459" s="49">
        <f t="shared" si="78"/>
        <v>0</v>
      </c>
    </row>
    <row r="460" spans="1:83" ht="35.1" customHeight="1" x14ac:dyDescent="0.3">
      <c r="A460" s="123" t="str">
        <f t="shared" si="280"/>
        <v>4팀</v>
      </c>
      <c r="B460" s="69">
        <f t="shared" si="281"/>
        <v>454</v>
      </c>
      <c r="C460" s="120" t="str">
        <f>IF(VLOOKUP($B460,'1. 현장별 인원현황'!$C:$J,2,0)=0,"",VLOOKUP($B460,'1. 현장별 인원현황'!$C:$J,2,0))</f>
        <v xml:space="preserve"> [4.롯데건설] 롯데바이오로직스 Project PROVIDENCE</v>
      </c>
      <c r="D460" s="70" t="str">
        <f>IF(VLOOKUP($B460,'1. 현장별 인원현황'!$C:$J,3,0)=0,"",VLOOKUP($B460,'1. 현장별 인원현황'!$C:$J,3,0))</f>
        <v>곽원호</v>
      </c>
      <c r="E460" s="74" t="str">
        <f ca="1">IF(VLOOKUP($B460,'1. 현장별 인원현황'!$C:$J,4,0)=0,"",VLOOKUP($B460,'1. 현장별 인원현황'!$C:$J,4,0))</f>
        <v>54세</v>
      </c>
      <c r="F460" s="70" t="str">
        <f>IF(VLOOKUP($B460,'1. 현장별 인원현황'!$C:$J,7,0)=0,"",VLOOKUP($B460,'1. 현장별 인원현황'!$C:$J,7,0))</f>
        <v>기능공</v>
      </c>
      <c r="G460" s="72" t="str">
        <f>IF(VLOOKUP($B460,'1. 현장별 인원현황'!$C:$J,8,0)=0,"",VLOOKUP($B460,'1. 현장별 인원현황'!$C:$J,8,0))</f>
        <v>전공</v>
      </c>
      <c r="H460" s="67"/>
      <c r="I460" s="73" t="s">
        <v>69</v>
      </c>
      <c r="J460" s="73"/>
      <c r="K460" s="68"/>
      <c r="L460" s="67"/>
      <c r="M460" s="73" t="s">
        <v>69</v>
      </c>
      <c r="N460" s="73"/>
      <c r="O460" s="68"/>
      <c r="P460" s="67"/>
      <c r="Q460" s="73" t="s">
        <v>69</v>
      </c>
      <c r="R460" s="73"/>
      <c r="S460" s="68"/>
      <c r="T460" s="67"/>
      <c r="U460" s="73" t="s">
        <v>69</v>
      </c>
      <c r="V460" s="73"/>
      <c r="W460" s="68"/>
      <c r="X460" s="67" t="s">
        <v>69</v>
      </c>
      <c r="Y460" s="73"/>
      <c r="Z460" s="73"/>
      <c r="AA460" s="68"/>
      <c r="AB460" s="67"/>
      <c r="AC460" s="73" t="s">
        <v>69</v>
      </c>
      <c r="AD460" s="73"/>
      <c r="AE460" s="68"/>
      <c r="AF460" s="67"/>
      <c r="AG460" s="73" t="s">
        <v>69</v>
      </c>
      <c r="AH460" s="73"/>
      <c r="AI460" s="68"/>
      <c r="AJ460" s="67"/>
      <c r="AK460" s="73" t="s">
        <v>69</v>
      </c>
      <c r="AL460" s="73"/>
      <c r="AM460" s="68"/>
      <c r="AN460" s="73" t="s">
        <v>69</v>
      </c>
      <c r="AO460" s="73"/>
      <c r="AP460" s="73"/>
      <c r="AQ460" s="68"/>
      <c r="AR460" s="67">
        <f t="shared" si="282"/>
        <v>82</v>
      </c>
      <c r="AS460" s="68" t="str">
        <f t="shared" si="283"/>
        <v>A</v>
      </c>
      <c r="AV460" s="49">
        <f t="shared" si="79"/>
        <v>0</v>
      </c>
      <c r="AW460" s="49">
        <f t="shared" si="44"/>
        <v>1</v>
      </c>
      <c r="AX460" s="49">
        <f t="shared" si="45"/>
        <v>0</v>
      </c>
      <c r="AY460" s="49">
        <f t="shared" si="46"/>
        <v>0</v>
      </c>
      <c r="AZ460" s="49">
        <f t="shared" si="47"/>
        <v>0</v>
      </c>
      <c r="BA460" s="49">
        <f t="shared" si="48"/>
        <v>1</v>
      </c>
      <c r="BB460" s="49">
        <f t="shared" si="49"/>
        <v>0</v>
      </c>
      <c r="BC460" s="49">
        <f t="shared" si="50"/>
        <v>0</v>
      </c>
      <c r="BD460" s="49">
        <f t="shared" si="51"/>
        <v>0</v>
      </c>
      <c r="BE460" s="49">
        <f t="shared" si="52"/>
        <v>1</v>
      </c>
      <c r="BF460" s="49">
        <f t="shared" si="53"/>
        <v>0</v>
      </c>
      <c r="BG460" s="49">
        <f t="shared" si="54"/>
        <v>0</v>
      </c>
      <c r="BH460" s="49">
        <f t="shared" si="55"/>
        <v>0</v>
      </c>
      <c r="BI460" s="49">
        <f t="shared" si="56"/>
        <v>1</v>
      </c>
      <c r="BJ460" s="49">
        <f t="shared" si="57"/>
        <v>0</v>
      </c>
      <c r="BK460" s="49">
        <f t="shared" si="58"/>
        <v>0</v>
      </c>
      <c r="BL460" s="49">
        <f t="shared" si="59"/>
        <v>1</v>
      </c>
      <c r="BM460" s="49">
        <f t="shared" si="60"/>
        <v>0</v>
      </c>
      <c r="BN460" s="49">
        <f t="shared" si="61"/>
        <v>0</v>
      </c>
      <c r="BO460" s="49">
        <f t="shared" si="62"/>
        <v>0</v>
      </c>
      <c r="BP460" s="49">
        <f t="shared" si="63"/>
        <v>0</v>
      </c>
      <c r="BQ460" s="49">
        <f t="shared" si="64"/>
        <v>1</v>
      </c>
      <c r="BR460" s="49">
        <f t="shared" si="65"/>
        <v>0</v>
      </c>
      <c r="BS460" s="49">
        <f t="shared" si="66"/>
        <v>0</v>
      </c>
      <c r="BT460" s="49">
        <f t="shared" si="67"/>
        <v>0</v>
      </c>
      <c r="BU460" s="49">
        <f t="shared" si="68"/>
        <v>1</v>
      </c>
      <c r="BV460" s="49">
        <f t="shared" si="69"/>
        <v>0</v>
      </c>
      <c r="BW460" s="49">
        <f t="shared" si="70"/>
        <v>0</v>
      </c>
      <c r="BX460" s="49">
        <f t="shared" si="71"/>
        <v>0</v>
      </c>
      <c r="BY460" s="49">
        <f t="shared" si="72"/>
        <v>1</v>
      </c>
      <c r="BZ460" s="49">
        <f t="shared" si="73"/>
        <v>0</v>
      </c>
      <c r="CA460" s="49">
        <f t="shared" si="74"/>
        <v>0</v>
      </c>
      <c r="CB460" s="49">
        <f t="shared" si="75"/>
        <v>1</v>
      </c>
      <c r="CC460" s="49">
        <f t="shared" si="76"/>
        <v>0</v>
      </c>
      <c r="CD460" s="49">
        <f t="shared" si="77"/>
        <v>0</v>
      </c>
      <c r="CE460" s="49">
        <f t="shared" si="78"/>
        <v>0</v>
      </c>
    </row>
    <row r="461" spans="1:83" ht="35.1" customHeight="1" x14ac:dyDescent="0.3">
      <c r="A461" s="123" t="str">
        <f t="shared" si="280"/>
        <v>4팀</v>
      </c>
      <c r="B461" s="69">
        <f t="shared" si="281"/>
        <v>455</v>
      </c>
      <c r="C461" s="120" t="str">
        <f>IF(VLOOKUP($B461,'1. 현장별 인원현황'!$C:$J,2,0)=0,"",VLOOKUP($B461,'1. 현장별 인원현황'!$C:$J,2,0))</f>
        <v xml:space="preserve"> [4.롯데건설] 롯데바이오로직스 Project PROVIDENCE</v>
      </c>
      <c r="D461" s="70" t="str">
        <f>IF(VLOOKUP($B461,'1. 현장별 인원현황'!$C:$J,3,0)=0,"",VLOOKUP($B461,'1. 현장별 인원현황'!$C:$J,3,0))</f>
        <v>김성민</v>
      </c>
      <c r="E461" s="74" t="str">
        <f ca="1">IF(VLOOKUP($B461,'1. 현장별 인원현황'!$C:$J,4,0)=0,"",VLOOKUP($B461,'1. 현장별 인원현황'!$C:$J,4,0))</f>
        <v>39세</v>
      </c>
      <c r="F461" s="70" t="str">
        <f>IF(VLOOKUP($B461,'1. 현장별 인원현황'!$C:$J,7,0)=0,"",VLOOKUP($B461,'1. 현장별 인원현황'!$C:$J,7,0))</f>
        <v>기능공</v>
      </c>
      <c r="G461" s="72" t="str">
        <f>IF(VLOOKUP($B461,'1. 현장별 인원현황'!$C:$J,8,0)=0,"",VLOOKUP($B461,'1. 현장별 인원현황'!$C:$J,8,0))</f>
        <v>전공</v>
      </c>
      <c r="H461" s="67"/>
      <c r="I461" s="73" t="s">
        <v>69</v>
      </c>
      <c r="J461" s="73"/>
      <c r="K461" s="68"/>
      <c r="L461" s="67"/>
      <c r="M461" s="73" t="s">
        <v>69</v>
      </c>
      <c r="N461" s="73"/>
      <c r="O461" s="68"/>
      <c r="P461" s="67"/>
      <c r="Q461" s="73" t="s">
        <v>69</v>
      </c>
      <c r="R461" s="73"/>
      <c r="S461" s="68"/>
      <c r="T461" s="67"/>
      <c r="U461" s="73" t="s">
        <v>69</v>
      </c>
      <c r="V461" s="73"/>
      <c r="W461" s="68"/>
      <c r="X461" s="67" t="s">
        <v>69</v>
      </c>
      <c r="Y461" s="73"/>
      <c r="Z461" s="73"/>
      <c r="AA461" s="68"/>
      <c r="AB461" s="67"/>
      <c r="AC461" s="73" t="s">
        <v>69</v>
      </c>
      <c r="AD461" s="73"/>
      <c r="AE461" s="68"/>
      <c r="AF461" s="67"/>
      <c r="AG461" s="73" t="s">
        <v>69</v>
      </c>
      <c r="AH461" s="73"/>
      <c r="AI461" s="68"/>
      <c r="AJ461" s="67"/>
      <c r="AK461" s="73" t="s">
        <v>69</v>
      </c>
      <c r="AL461" s="73"/>
      <c r="AM461" s="68"/>
      <c r="AN461" s="73" t="s">
        <v>69</v>
      </c>
      <c r="AO461" s="73"/>
      <c r="AP461" s="73"/>
      <c r="AQ461" s="68"/>
      <c r="AR461" s="67">
        <f t="shared" si="282"/>
        <v>82</v>
      </c>
      <c r="AS461" s="68" t="str">
        <f t="shared" si="283"/>
        <v>A</v>
      </c>
      <c r="AV461" s="49">
        <f t="shared" si="79"/>
        <v>0</v>
      </c>
      <c r="AW461" s="49">
        <f t="shared" si="44"/>
        <v>1</v>
      </c>
      <c r="AX461" s="49">
        <f t="shared" si="45"/>
        <v>0</v>
      </c>
      <c r="AY461" s="49">
        <f t="shared" si="46"/>
        <v>0</v>
      </c>
      <c r="AZ461" s="49">
        <f t="shared" si="47"/>
        <v>0</v>
      </c>
      <c r="BA461" s="49">
        <f t="shared" si="48"/>
        <v>1</v>
      </c>
      <c r="BB461" s="49">
        <f t="shared" si="49"/>
        <v>0</v>
      </c>
      <c r="BC461" s="49">
        <f t="shared" si="50"/>
        <v>0</v>
      </c>
      <c r="BD461" s="49">
        <f t="shared" si="51"/>
        <v>0</v>
      </c>
      <c r="BE461" s="49">
        <f t="shared" si="52"/>
        <v>1</v>
      </c>
      <c r="BF461" s="49">
        <f t="shared" si="53"/>
        <v>0</v>
      </c>
      <c r="BG461" s="49">
        <f t="shared" si="54"/>
        <v>0</v>
      </c>
      <c r="BH461" s="49">
        <f t="shared" si="55"/>
        <v>0</v>
      </c>
      <c r="BI461" s="49">
        <f t="shared" si="56"/>
        <v>1</v>
      </c>
      <c r="BJ461" s="49">
        <f t="shared" si="57"/>
        <v>0</v>
      </c>
      <c r="BK461" s="49">
        <f t="shared" si="58"/>
        <v>0</v>
      </c>
      <c r="BL461" s="49">
        <f t="shared" si="59"/>
        <v>1</v>
      </c>
      <c r="BM461" s="49">
        <f t="shared" si="60"/>
        <v>0</v>
      </c>
      <c r="BN461" s="49">
        <f t="shared" si="61"/>
        <v>0</v>
      </c>
      <c r="BO461" s="49">
        <f t="shared" si="62"/>
        <v>0</v>
      </c>
      <c r="BP461" s="49">
        <f t="shared" si="63"/>
        <v>0</v>
      </c>
      <c r="BQ461" s="49">
        <f t="shared" si="64"/>
        <v>1</v>
      </c>
      <c r="BR461" s="49">
        <f t="shared" si="65"/>
        <v>0</v>
      </c>
      <c r="BS461" s="49">
        <f t="shared" si="66"/>
        <v>0</v>
      </c>
      <c r="BT461" s="49">
        <f t="shared" si="67"/>
        <v>0</v>
      </c>
      <c r="BU461" s="49">
        <f t="shared" si="68"/>
        <v>1</v>
      </c>
      <c r="BV461" s="49">
        <f t="shared" si="69"/>
        <v>0</v>
      </c>
      <c r="BW461" s="49">
        <f t="shared" si="70"/>
        <v>0</v>
      </c>
      <c r="BX461" s="49">
        <f t="shared" si="71"/>
        <v>0</v>
      </c>
      <c r="BY461" s="49">
        <f t="shared" si="72"/>
        <v>1</v>
      </c>
      <c r="BZ461" s="49">
        <f t="shared" si="73"/>
        <v>0</v>
      </c>
      <c r="CA461" s="49">
        <f t="shared" si="74"/>
        <v>0</v>
      </c>
      <c r="CB461" s="49">
        <f t="shared" si="75"/>
        <v>1</v>
      </c>
      <c r="CC461" s="49">
        <f t="shared" si="76"/>
        <v>0</v>
      </c>
      <c r="CD461" s="49">
        <f t="shared" si="77"/>
        <v>0</v>
      </c>
      <c r="CE461" s="49">
        <f t="shared" si="78"/>
        <v>0</v>
      </c>
    </row>
    <row r="462" spans="1:83" ht="35.1" customHeight="1" x14ac:dyDescent="0.3">
      <c r="A462" s="123" t="str">
        <f t="shared" si="280"/>
        <v>4팀</v>
      </c>
      <c r="B462" s="69">
        <f t="shared" si="281"/>
        <v>456</v>
      </c>
      <c r="C462" s="120" t="str">
        <f>IF(VLOOKUP($B462,'1. 현장별 인원현황'!$C:$J,2,0)=0,"",VLOOKUP($B462,'1. 현장별 인원현황'!$C:$J,2,0))</f>
        <v xml:space="preserve"> [4.롯데건설] 롯데바이오로직스 Project PROVIDENCE</v>
      </c>
      <c r="D462" s="70" t="str">
        <f>IF(VLOOKUP($B462,'1. 현장별 인원현황'!$C:$J,3,0)=0,"",VLOOKUP($B462,'1. 현장별 인원현황'!$C:$J,3,0))</f>
        <v>안동현</v>
      </c>
      <c r="E462" s="74" t="str">
        <f ca="1">IF(VLOOKUP($B462,'1. 현장별 인원현황'!$C:$J,4,0)=0,"",VLOOKUP($B462,'1. 현장별 인원현황'!$C:$J,4,0))</f>
        <v>34세</v>
      </c>
      <c r="F462" s="70" t="str">
        <f>IF(VLOOKUP($B462,'1. 현장별 인원현황'!$C:$J,7,0)=0,"",VLOOKUP($B462,'1. 현장별 인원현황'!$C:$J,7,0))</f>
        <v>기능공</v>
      </c>
      <c r="G462" s="72" t="str">
        <f>IF(VLOOKUP($B462,'1. 현장별 인원현황'!$C:$J,8,0)=0,"",VLOOKUP($B462,'1. 현장별 인원현황'!$C:$J,8,0))</f>
        <v>전공</v>
      </c>
      <c r="H462" s="67"/>
      <c r="I462" s="73" t="s">
        <v>69</v>
      </c>
      <c r="J462" s="73"/>
      <c r="K462" s="68"/>
      <c r="L462" s="67"/>
      <c r="M462" s="73" t="s">
        <v>69</v>
      </c>
      <c r="N462" s="73"/>
      <c r="O462" s="68"/>
      <c r="P462" s="67"/>
      <c r="Q462" s="73" t="s">
        <v>69</v>
      </c>
      <c r="R462" s="73"/>
      <c r="S462" s="68"/>
      <c r="T462" s="67"/>
      <c r="U462" s="73" t="s">
        <v>69</v>
      </c>
      <c r="V462" s="73"/>
      <c r="W462" s="68"/>
      <c r="X462" s="67" t="s">
        <v>69</v>
      </c>
      <c r="Y462" s="73"/>
      <c r="Z462" s="73"/>
      <c r="AA462" s="68"/>
      <c r="AB462" s="67"/>
      <c r="AC462" s="73" t="s">
        <v>69</v>
      </c>
      <c r="AD462" s="73"/>
      <c r="AE462" s="68"/>
      <c r="AF462" s="67"/>
      <c r="AG462" s="73" t="s">
        <v>69</v>
      </c>
      <c r="AH462" s="73"/>
      <c r="AI462" s="68"/>
      <c r="AJ462" s="67"/>
      <c r="AK462" s="73" t="s">
        <v>69</v>
      </c>
      <c r="AL462" s="73"/>
      <c r="AM462" s="68"/>
      <c r="AN462" s="73" t="s">
        <v>69</v>
      </c>
      <c r="AO462" s="73"/>
      <c r="AP462" s="73"/>
      <c r="AQ462" s="68"/>
      <c r="AR462" s="67">
        <f t="shared" si="282"/>
        <v>82</v>
      </c>
      <c r="AS462" s="68" t="str">
        <f t="shared" si="283"/>
        <v>A</v>
      </c>
      <c r="AV462" s="49">
        <f t="shared" si="79"/>
        <v>0</v>
      </c>
      <c r="AW462" s="49">
        <f t="shared" si="44"/>
        <v>1</v>
      </c>
      <c r="AX462" s="49">
        <f t="shared" si="45"/>
        <v>0</v>
      </c>
      <c r="AY462" s="49">
        <f t="shared" si="46"/>
        <v>0</v>
      </c>
      <c r="AZ462" s="49">
        <f t="shared" si="47"/>
        <v>0</v>
      </c>
      <c r="BA462" s="49">
        <f t="shared" si="48"/>
        <v>1</v>
      </c>
      <c r="BB462" s="49">
        <f t="shared" si="49"/>
        <v>0</v>
      </c>
      <c r="BC462" s="49">
        <f t="shared" si="50"/>
        <v>0</v>
      </c>
      <c r="BD462" s="49">
        <f t="shared" si="51"/>
        <v>0</v>
      </c>
      <c r="BE462" s="49">
        <f t="shared" si="52"/>
        <v>1</v>
      </c>
      <c r="BF462" s="49">
        <f t="shared" si="53"/>
        <v>0</v>
      </c>
      <c r="BG462" s="49">
        <f t="shared" si="54"/>
        <v>0</v>
      </c>
      <c r="BH462" s="49">
        <f t="shared" si="55"/>
        <v>0</v>
      </c>
      <c r="BI462" s="49">
        <f t="shared" si="56"/>
        <v>1</v>
      </c>
      <c r="BJ462" s="49">
        <f t="shared" si="57"/>
        <v>0</v>
      </c>
      <c r="BK462" s="49">
        <f t="shared" si="58"/>
        <v>0</v>
      </c>
      <c r="BL462" s="49">
        <f t="shared" si="59"/>
        <v>1</v>
      </c>
      <c r="BM462" s="49">
        <f t="shared" si="60"/>
        <v>0</v>
      </c>
      <c r="BN462" s="49">
        <f t="shared" si="61"/>
        <v>0</v>
      </c>
      <c r="BO462" s="49">
        <f t="shared" si="62"/>
        <v>0</v>
      </c>
      <c r="BP462" s="49">
        <f t="shared" si="63"/>
        <v>0</v>
      </c>
      <c r="BQ462" s="49">
        <f t="shared" si="64"/>
        <v>1</v>
      </c>
      <c r="BR462" s="49">
        <f t="shared" si="65"/>
        <v>0</v>
      </c>
      <c r="BS462" s="49">
        <f t="shared" si="66"/>
        <v>0</v>
      </c>
      <c r="BT462" s="49">
        <f t="shared" si="67"/>
        <v>0</v>
      </c>
      <c r="BU462" s="49">
        <f t="shared" si="68"/>
        <v>1</v>
      </c>
      <c r="BV462" s="49">
        <f t="shared" si="69"/>
        <v>0</v>
      </c>
      <c r="BW462" s="49">
        <f t="shared" si="70"/>
        <v>0</v>
      </c>
      <c r="BX462" s="49">
        <f t="shared" si="71"/>
        <v>0</v>
      </c>
      <c r="BY462" s="49">
        <f t="shared" si="72"/>
        <v>1</v>
      </c>
      <c r="BZ462" s="49">
        <f t="shared" si="73"/>
        <v>0</v>
      </c>
      <c r="CA462" s="49">
        <f t="shared" si="74"/>
        <v>0</v>
      </c>
      <c r="CB462" s="49">
        <f t="shared" si="75"/>
        <v>1</v>
      </c>
      <c r="CC462" s="49">
        <f t="shared" si="76"/>
        <v>0</v>
      </c>
      <c r="CD462" s="49">
        <f t="shared" si="77"/>
        <v>0</v>
      </c>
      <c r="CE462" s="49">
        <f t="shared" si="78"/>
        <v>0</v>
      </c>
    </row>
    <row r="463" spans="1:83" ht="35.1" customHeight="1" x14ac:dyDescent="0.3">
      <c r="A463" s="123" t="str">
        <f t="shared" si="280"/>
        <v>4팀</v>
      </c>
      <c r="B463" s="69">
        <f t="shared" si="281"/>
        <v>457</v>
      </c>
      <c r="C463" s="120" t="str">
        <f>IF(VLOOKUP($B463,'1. 현장별 인원현황'!$C:$J,2,0)=0,"",VLOOKUP($B463,'1. 현장별 인원현황'!$C:$J,2,0))</f>
        <v xml:space="preserve"> [4.롯데건설] 롯데바이오로직스 Project PROVIDENCE</v>
      </c>
      <c r="D463" s="70" t="str">
        <f>IF(VLOOKUP($B463,'1. 현장별 인원현황'!$C:$J,3,0)=0,"",VLOOKUP($B463,'1. 현장별 인원현황'!$C:$J,3,0))</f>
        <v>조연규</v>
      </c>
      <c r="E463" s="74" t="str">
        <f ca="1">IF(VLOOKUP($B463,'1. 현장별 인원현황'!$C:$J,4,0)=0,"",VLOOKUP($B463,'1. 현장별 인원현황'!$C:$J,4,0))</f>
        <v>29세</v>
      </c>
      <c r="F463" s="70" t="str">
        <f>IF(VLOOKUP($B463,'1. 현장별 인원현황'!$C:$J,7,0)=0,"",VLOOKUP($B463,'1. 현장별 인원현황'!$C:$J,7,0))</f>
        <v>기능공</v>
      </c>
      <c r="G463" s="72" t="str">
        <f>IF(VLOOKUP($B463,'1. 현장별 인원현황'!$C:$J,8,0)=0,"",VLOOKUP($B463,'1. 현장별 인원현황'!$C:$J,8,0))</f>
        <v>전공</v>
      </c>
      <c r="H463" s="67"/>
      <c r="I463" s="73" t="s">
        <v>69</v>
      </c>
      <c r="J463" s="73"/>
      <c r="K463" s="68"/>
      <c r="L463" s="67"/>
      <c r="M463" s="73" t="s">
        <v>69</v>
      </c>
      <c r="N463" s="73"/>
      <c r="O463" s="68"/>
      <c r="P463" s="67"/>
      <c r="Q463" s="73" t="s">
        <v>69</v>
      </c>
      <c r="R463" s="73"/>
      <c r="S463" s="68"/>
      <c r="T463" s="67"/>
      <c r="U463" s="73" t="s">
        <v>69</v>
      </c>
      <c r="V463" s="73"/>
      <c r="W463" s="68"/>
      <c r="X463" s="67" t="s">
        <v>69</v>
      </c>
      <c r="Y463" s="73"/>
      <c r="Z463" s="73"/>
      <c r="AA463" s="68"/>
      <c r="AB463" s="67"/>
      <c r="AC463" s="73" t="s">
        <v>69</v>
      </c>
      <c r="AD463" s="73"/>
      <c r="AE463" s="68"/>
      <c r="AF463" s="67"/>
      <c r="AG463" s="73" t="s">
        <v>69</v>
      </c>
      <c r="AH463" s="73"/>
      <c r="AI463" s="68"/>
      <c r="AJ463" s="67"/>
      <c r="AK463" s="73" t="s">
        <v>69</v>
      </c>
      <c r="AL463" s="73"/>
      <c r="AM463" s="68"/>
      <c r="AN463" s="73" t="s">
        <v>69</v>
      </c>
      <c r="AO463" s="73"/>
      <c r="AP463" s="73"/>
      <c r="AQ463" s="68"/>
      <c r="AR463" s="67">
        <f t="shared" si="282"/>
        <v>82</v>
      </c>
      <c r="AS463" s="68" t="str">
        <f t="shared" si="283"/>
        <v>A</v>
      </c>
      <c r="AV463" s="49">
        <f t="shared" si="79"/>
        <v>0</v>
      </c>
      <c r="AW463" s="49">
        <f t="shared" si="44"/>
        <v>1</v>
      </c>
      <c r="AX463" s="49">
        <f t="shared" si="45"/>
        <v>0</v>
      </c>
      <c r="AY463" s="49">
        <f t="shared" si="46"/>
        <v>0</v>
      </c>
      <c r="AZ463" s="49">
        <f t="shared" si="47"/>
        <v>0</v>
      </c>
      <c r="BA463" s="49">
        <f t="shared" si="48"/>
        <v>1</v>
      </c>
      <c r="BB463" s="49">
        <f t="shared" si="49"/>
        <v>0</v>
      </c>
      <c r="BC463" s="49">
        <f t="shared" si="50"/>
        <v>0</v>
      </c>
      <c r="BD463" s="49">
        <f t="shared" si="51"/>
        <v>0</v>
      </c>
      <c r="BE463" s="49">
        <f t="shared" si="52"/>
        <v>1</v>
      </c>
      <c r="BF463" s="49">
        <f t="shared" si="53"/>
        <v>0</v>
      </c>
      <c r="BG463" s="49">
        <f t="shared" si="54"/>
        <v>0</v>
      </c>
      <c r="BH463" s="49">
        <f t="shared" si="55"/>
        <v>0</v>
      </c>
      <c r="BI463" s="49">
        <f t="shared" si="56"/>
        <v>1</v>
      </c>
      <c r="BJ463" s="49">
        <f t="shared" si="57"/>
        <v>0</v>
      </c>
      <c r="BK463" s="49">
        <f t="shared" si="58"/>
        <v>0</v>
      </c>
      <c r="BL463" s="49">
        <f t="shared" si="59"/>
        <v>1</v>
      </c>
      <c r="BM463" s="49">
        <f t="shared" si="60"/>
        <v>0</v>
      </c>
      <c r="BN463" s="49">
        <f t="shared" si="61"/>
        <v>0</v>
      </c>
      <c r="BO463" s="49">
        <f t="shared" si="62"/>
        <v>0</v>
      </c>
      <c r="BP463" s="49">
        <f t="shared" si="63"/>
        <v>0</v>
      </c>
      <c r="BQ463" s="49">
        <f t="shared" si="64"/>
        <v>1</v>
      </c>
      <c r="BR463" s="49">
        <f t="shared" si="65"/>
        <v>0</v>
      </c>
      <c r="BS463" s="49">
        <f t="shared" si="66"/>
        <v>0</v>
      </c>
      <c r="BT463" s="49">
        <f t="shared" si="67"/>
        <v>0</v>
      </c>
      <c r="BU463" s="49">
        <f t="shared" si="68"/>
        <v>1</v>
      </c>
      <c r="BV463" s="49">
        <f t="shared" si="69"/>
        <v>0</v>
      </c>
      <c r="BW463" s="49">
        <f t="shared" si="70"/>
        <v>0</v>
      </c>
      <c r="BX463" s="49">
        <f t="shared" si="71"/>
        <v>0</v>
      </c>
      <c r="BY463" s="49">
        <f t="shared" si="72"/>
        <v>1</v>
      </c>
      <c r="BZ463" s="49">
        <f t="shared" si="73"/>
        <v>0</v>
      </c>
      <c r="CA463" s="49">
        <f t="shared" si="74"/>
        <v>0</v>
      </c>
      <c r="CB463" s="49">
        <f t="shared" si="75"/>
        <v>1</v>
      </c>
      <c r="CC463" s="49">
        <f t="shared" si="76"/>
        <v>0</v>
      </c>
      <c r="CD463" s="49">
        <f t="shared" si="77"/>
        <v>0</v>
      </c>
      <c r="CE463" s="49">
        <f t="shared" si="78"/>
        <v>0</v>
      </c>
    </row>
    <row r="464" spans="1:83" ht="35.1" customHeight="1" x14ac:dyDescent="0.3">
      <c r="A464" s="123" t="str">
        <f t="shared" si="280"/>
        <v>4팀</v>
      </c>
      <c r="B464" s="69">
        <f t="shared" si="281"/>
        <v>458</v>
      </c>
      <c r="C464" s="120" t="str">
        <f>IF(VLOOKUP($B464,'1. 현장별 인원현황'!$C:$J,2,0)=0,"",VLOOKUP($B464,'1. 현장별 인원현황'!$C:$J,2,0))</f>
        <v xml:space="preserve"> [4.롯데건설] 롯데바이오로직스 Project PROVIDENCE</v>
      </c>
      <c r="D464" s="70" t="str">
        <f>IF(VLOOKUP($B464,'1. 현장별 인원현황'!$C:$J,3,0)=0,"",VLOOKUP($B464,'1. 현장별 인원현황'!$C:$J,3,0))</f>
        <v>조이현</v>
      </c>
      <c r="E464" s="74" t="str">
        <f ca="1">IF(VLOOKUP($B464,'1. 현장별 인원현황'!$C:$J,4,0)=0,"",VLOOKUP($B464,'1. 현장별 인원현황'!$C:$J,4,0))</f>
        <v>36세</v>
      </c>
      <c r="F464" s="70" t="str">
        <f>IF(VLOOKUP($B464,'1. 현장별 인원현황'!$C:$J,7,0)=0,"",VLOOKUP($B464,'1. 현장별 인원현황'!$C:$J,7,0))</f>
        <v>기능공</v>
      </c>
      <c r="G464" s="72" t="str">
        <f>IF(VLOOKUP($B464,'1. 현장별 인원현황'!$C:$J,8,0)=0,"",VLOOKUP($B464,'1. 현장별 인원현황'!$C:$J,8,0))</f>
        <v>전공</v>
      </c>
      <c r="H464" s="67"/>
      <c r="I464" s="73" t="s">
        <v>69</v>
      </c>
      <c r="J464" s="73"/>
      <c r="K464" s="68"/>
      <c r="L464" s="67"/>
      <c r="M464" s="73" t="s">
        <v>69</v>
      </c>
      <c r="N464" s="73"/>
      <c r="O464" s="68"/>
      <c r="P464" s="67"/>
      <c r="Q464" s="73" t="s">
        <v>69</v>
      </c>
      <c r="R464" s="73"/>
      <c r="S464" s="68"/>
      <c r="T464" s="67"/>
      <c r="U464" s="73" t="s">
        <v>69</v>
      </c>
      <c r="V464" s="73"/>
      <c r="W464" s="68"/>
      <c r="X464" s="67" t="s">
        <v>69</v>
      </c>
      <c r="Y464" s="73"/>
      <c r="Z464" s="73"/>
      <c r="AA464" s="68"/>
      <c r="AB464" s="67"/>
      <c r="AC464" s="73" t="s">
        <v>69</v>
      </c>
      <c r="AD464" s="73"/>
      <c r="AE464" s="68"/>
      <c r="AF464" s="67"/>
      <c r="AG464" s="73" t="s">
        <v>69</v>
      </c>
      <c r="AH464" s="73"/>
      <c r="AI464" s="68"/>
      <c r="AJ464" s="67"/>
      <c r="AK464" s="73" t="s">
        <v>69</v>
      </c>
      <c r="AL464" s="73"/>
      <c r="AM464" s="68"/>
      <c r="AN464" s="73" t="s">
        <v>69</v>
      </c>
      <c r="AO464" s="73"/>
      <c r="AP464" s="73"/>
      <c r="AQ464" s="68"/>
      <c r="AR464" s="67">
        <f t="shared" si="282"/>
        <v>82</v>
      </c>
      <c r="AS464" s="68" t="str">
        <f t="shared" si="283"/>
        <v>A</v>
      </c>
      <c r="AV464" s="49">
        <f t="shared" si="79"/>
        <v>0</v>
      </c>
      <c r="AW464" s="49">
        <f t="shared" si="44"/>
        <v>1</v>
      </c>
      <c r="AX464" s="49">
        <f t="shared" si="45"/>
        <v>0</v>
      </c>
      <c r="AY464" s="49">
        <f t="shared" si="46"/>
        <v>0</v>
      </c>
      <c r="AZ464" s="49">
        <f t="shared" si="47"/>
        <v>0</v>
      </c>
      <c r="BA464" s="49">
        <f t="shared" si="48"/>
        <v>1</v>
      </c>
      <c r="BB464" s="49">
        <f t="shared" si="49"/>
        <v>0</v>
      </c>
      <c r="BC464" s="49">
        <f t="shared" si="50"/>
        <v>0</v>
      </c>
      <c r="BD464" s="49">
        <f t="shared" si="51"/>
        <v>0</v>
      </c>
      <c r="BE464" s="49">
        <f t="shared" si="52"/>
        <v>1</v>
      </c>
      <c r="BF464" s="49">
        <f t="shared" si="53"/>
        <v>0</v>
      </c>
      <c r="BG464" s="49">
        <f t="shared" si="54"/>
        <v>0</v>
      </c>
      <c r="BH464" s="49">
        <f t="shared" si="55"/>
        <v>0</v>
      </c>
      <c r="BI464" s="49">
        <f t="shared" si="56"/>
        <v>1</v>
      </c>
      <c r="BJ464" s="49">
        <f t="shared" si="57"/>
        <v>0</v>
      </c>
      <c r="BK464" s="49">
        <f t="shared" si="58"/>
        <v>0</v>
      </c>
      <c r="BL464" s="49">
        <f t="shared" si="59"/>
        <v>1</v>
      </c>
      <c r="BM464" s="49">
        <f t="shared" si="60"/>
        <v>0</v>
      </c>
      <c r="BN464" s="49">
        <f t="shared" si="61"/>
        <v>0</v>
      </c>
      <c r="BO464" s="49">
        <f t="shared" si="62"/>
        <v>0</v>
      </c>
      <c r="BP464" s="49">
        <f t="shared" si="63"/>
        <v>0</v>
      </c>
      <c r="BQ464" s="49">
        <f t="shared" si="64"/>
        <v>1</v>
      </c>
      <c r="BR464" s="49">
        <f t="shared" si="65"/>
        <v>0</v>
      </c>
      <c r="BS464" s="49">
        <f t="shared" si="66"/>
        <v>0</v>
      </c>
      <c r="BT464" s="49">
        <f t="shared" si="67"/>
        <v>0</v>
      </c>
      <c r="BU464" s="49">
        <f t="shared" si="68"/>
        <v>1</v>
      </c>
      <c r="BV464" s="49">
        <f t="shared" si="69"/>
        <v>0</v>
      </c>
      <c r="BW464" s="49">
        <f t="shared" si="70"/>
        <v>0</v>
      </c>
      <c r="BX464" s="49">
        <f t="shared" si="71"/>
        <v>0</v>
      </c>
      <c r="BY464" s="49">
        <f t="shared" si="72"/>
        <v>1</v>
      </c>
      <c r="BZ464" s="49">
        <f t="shared" si="73"/>
        <v>0</v>
      </c>
      <c r="CA464" s="49">
        <f t="shared" si="74"/>
        <v>0</v>
      </c>
      <c r="CB464" s="49">
        <f t="shared" si="75"/>
        <v>1</v>
      </c>
      <c r="CC464" s="49">
        <f t="shared" si="76"/>
        <v>0</v>
      </c>
      <c r="CD464" s="49">
        <f t="shared" si="77"/>
        <v>0</v>
      </c>
      <c r="CE464" s="49">
        <f t="shared" si="78"/>
        <v>0</v>
      </c>
    </row>
    <row r="465" spans="1:83" ht="35.1" customHeight="1" x14ac:dyDescent="0.3">
      <c r="A465" s="123" t="str">
        <f t="shared" si="280"/>
        <v>4팀</v>
      </c>
      <c r="B465" s="69">
        <f t="shared" si="281"/>
        <v>459</v>
      </c>
      <c r="C465" s="120" t="str">
        <f>IF(VLOOKUP($B465,'1. 현장별 인원현황'!$C:$J,2,0)=0,"",VLOOKUP($B465,'1. 현장별 인원현황'!$C:$J,2,0))</f>
        <v xml:space="preserve"> [4.롯데건설] 롯데바이오로직스 Project PROVIDENCE</v>
      </c>
      <c r="D465" s="70" t="str">
        <f>IF(VLOOKUP($B465,'1. 현장별 인원현황'!$C:$J,3,0)=0,"",VLOOKUP($B465,'1. 현장별 인원현황'!$C:$J,3,0))</f>
        <v>신주연</v>
      </c>
      <c r="E465" s="74" t="str">
        <f ca="1">IF(VLOOKUP($B465,'1. 현장별 인원현황'!$C:$J,4,0)=0,"",VLOOKUP($B465,'1. 현장별 인원현황'!$C:$J,4,0))</f>
        <v>58세</v>
      </c>
      <c r="F465" s="70" t="str">
        <f>IF(VLOOKUP($B465,'1. 현장별 인원현황'!$C:$J,7,0)=0,"",VLOOKUP($B465,'1. 현장별 인원현황'!$C:$J,7,0))</f>
        <v>기능공</v>
      </c>
      <c r="G465" s="72" t="str">
        <f>IF(VLOOKUP($B465,'1. 현장별 인원현황'!$C:$J,8,0)=0,"",VLOOKUP($B465,'1. 현장별 인원현황'!$C:$J,8,0))</f>
        <v>전공</v>
      </c>
      <c r="H465" s="67"/>
      <c r="I465" s="73" t="s">
        <v>69</v>
      </c>
      <c r="J465" s="73"/>
      <c r="K465" s="68"/>
      <c r="L465" s="67"/>
      <c r="M465" s="73" t="s">
        <v>69</v>
      </c>
      <c r="N465" s="73"/>
      <c r="O465" s="68"/>
      <c r="P465" s="67" t="s">
        <v>69</v>
      </c>
      <c r="Q465" s="73"/>
      <c r="R465" s="73"/>
      <c r="S465" s="68"/>
      <c r="T465" s="67"/>
      <c r="U465" s="73" t="s">
        <v>69</v>
      </c>
      <c r="V465" s="73"/>
      <c r="W465" s="68"/>
      <c r="X465" s="67" t="s">
        <v>69</v>
      </c>
      <c r="Y465" s="73"/>
      <c r="Z465" s="73"/>
      <c r="AA465" s="68"/>
      <c r="AB465" s="67"/>
      <c r="AC465" s="73" t="s">
        <v>69</v>
      </c>
      <c r="AD465" s="73"/>
      <c r="AE465" s="68"/>
      <c r="AF465" s="67"/>
      <c r="AG465" s="73" t="s">
        <v>69</v>
      </c>
      <c r="AH465" s="73"/>
      <c r="AI465" s="68"/>
      <c r="AJ465" s="67"/>
      <c r="AK465" s="73" t="s">
        <v>69</v>
      </c>
      <c r="AL465" s="73"/>
      <c r="AM465" s="68"/>
      <c r="AN465" s="73" t="s">
        <v>69</v>
      </c>
      <c r="AO465" s="73"/>
      <c r="AP465" s="73"/>
      <c r="AQ465" s="68"/>
      <c r="AR465" s="67">
        <f t="shared" si="282"/>
        <v>85</v>
      </c>
      <c r="AS465" s="68" t="str">
        <f t="shared" si="283"/>
        <v>A</v>
      </c>
      <c r="AV465" s="49">
        <f t="shared" si="79"/>
        <v>0</v>
      </c>
      <c r="AW465" s="49">
        <f t="shared" si="44"/>
        <v>1</v>
      </c>
      <c r="AX465" s="49">
        <f t="shared" si="45"/>
        <v>0</v>
      </c>
      <c r="AY465" s="49">
        <f t="shared" si="46"/>
        <v>0</v>
      </c>
      <c r="AZ465" s="49">
        <f t="shared" si="47"/>
        <v>0</v>
      </c>
      <c r="BA465" s="49">
        <f t="shared" si="48"/>
        <v>1</v>
      </c>
      <c r="BB465" s="49">
        <f t="shared" si="49"/>
        <v>0</v>
      </c>
      <c r="BC465" s="49">
        <f t="shared" si="50"/>
        <v>0</v>
      </c>
      <c r="BD465" s="49">
        <f t="shared" si="51"/>
        <v>1</v>
      </c>
      <c r="BE465" s="49">
        <f t="shared" si="52"/>
        <v>0</v>
      </c>
      <c r="BF465" s="49">
        <f t="shared" si="53"/>
        <v>0</v>
      </c>
      <c r="BG465" s="49">
        <f t="shared" si="54"/>
        <v>0</v>
      </c>
      <c r="BH465" s="49">
        <f t="shared" si="55"/>
        <v>0</v>
      </c>
      <c r="BI465" s="49">
        <f t="shared" si="56"/>
        <v>1</v>
      </c>
      <c r="BJ465" s="49">
        <f t="shared" si="57"/>
        <v>0</v>
      </c>
      <c r="BK465" s="49">
        <f t="shared" si="58"/>
        <v>0</v>
      </c>
      <c r="BL465" s="49">
        <f t="shared" si="59"/>
        <v>1</v>
      </c>
      <c r="BM465" s="49">
        <f t="shared" si="60"/>
        <v>0</v>
      </c>
      <c r="BN465" s="49">
        <f t="shared" si="61"/>
        <v>0</v>
      </c>
      <c r="BO465" s="49">
        <f t="shared" si="62"/>
        <v>0</v>
      </c>
      <c r="BP465" s="49">
        <f t="shared" si="63"/>
        <v>0</v>
      </c>
      <c r="BQ465" s="49">
        <f t="shared" si="64"/>
        <v>1</v>
      </c>
      <c r="BR465" s="49">
        <f t="shared" si="65"/>
        <v>0</v>
      </c>
      <c r="BS465" s="49">
        <f t="shared" si="66"/>
        <v>0</v>
      </c>
      <c r="BT465" s="49">
        <f t="shared" si="67"/>
        <v>0</v>
      </c>
      <c r="BU465" s="49">
        <f t="shared" si="68"/>
        <v>1</v>
      </c>
      <c r="BV465" s="49">
        <f t="shared" si="69"/>
        <v>0</v>
      </c>
      <c r="BW465" s="49">
        <f t="shared" si="70"/>
        <v>0</v>
      </c>
      <c r="BX465" s="49">
        <f t="shared" si="71"/>
        <v>0</v>
      </c>
      <c r="BY465" s="49">
        <f t="shared" si="72"/>
        <v>1</v>
      </c>
      <c r="BZ465" s="49">
        <f t="shared" si="73"/>
        <v>0</v>
      </c>
      <c r="CA465" s="49">
        <f t="shared" si="74"/>
        <v>0</v>
      </c>
      <c r="CB465" s="49">
        <f t="shared" si="75"/>
        <v>1</v>
      </c>
      <c r="CC465" s="49">
        <f t="shared" si="76"/>
        <v>0</v>
      </c>
      <c r="CD465" s="49">
        <f t="shared" si="77"/>
        <v>0</v>
      </c>
      <c r="CE465" s="49">
        <f t="shared" si="78"/>
        <v>0</v>
      </c>
    </row>
    <row r="466" spans="1:83" ht="35.1" customHeight="1" x14ac:dyDescent="0.3">
      <c r="A466" s="123" t="str">
        <f t="shared" si="280"/>
        <v>4팀</v>
      </c>
      <c r="B466" s="69">
        <f t="shared" si="281"/>
        <v>460</v>
      </c>
      <c r="C466" s="120" t="str">
        <f>IF(VLOOKUP($B466,'1. 현장별 인원현황'!$C:$J,2,0)=0,"",VLOOKUP($B466,'1. 현장별 인원현황'!$C:$J,2,0))</f>
        <v xml:space="preserve"> [4.롯데건설] 롯데바이오로직스 Project PROVIDENCE</v>
      </c>
      <c r="D466" s="70" t="str">
        <f>IF(VLOOKUP($B466,'1. 현장별 인원현황'!$C:$J,3,0)=0,"",VLOOKUP($B466,'1. 현장별 인원현황'!$C:$J,3,0))</f>
        <v>전진영</v>
      </c>
      <c r="E466" s="74" t="str">
        <f ca="1">IF(VLOOKUP($B466,'1. 현장별 인원현황'!$C:$J,4,0)=0,"",VLOOKUP($B466,'1. 현장별 인원현황'!$C:$J,4,0))</f>
        <v>43세</v>
      </c>
      <c r="F466" s="70" t="str">
        <f>IF(VLOOKUP($B466,'1. 현장별 인원현황'!$C:$J,7,0)=0,"",VLOOKUP($B466,'1. 현장별 인원현황'!$C:$J,7,0))</f>
        <v>기능공</v>
      </c>
      <c r="G466" s="72" t="str">
        <f>IF(VLOOKUP($B466,'1. 현장별 인원현황'!$C:$J,8,0)=0,"",VLOOKUP($B466,'1. 현장별 인원현황'!$C:$J,8,0))</f>
        <v>전공</v>
      </c>
      <c r="H466" s="67"/>
      <c r="I466" s="73" t="s">
        <v>69</v>
      </c>
      <c r="J466" s="73"/>
      <c r="K466" s="68"/>
      <c r="L466" s="67"/>
      <c r="M466" s="73" t="s">
        <v>69</v>
      </c>
      <c r="N466" s="73"/>
      <c r="O466" s="68"/>
      <c r="P466" s="67"/>
      <c r="Q466" s="73" t="s">
        <v>69</v>
      </c>
      <c r="R466" s="73"/>
      <c r="S466" s="68"/>
      <c r="T466" s="67"/>
      <c r="U466" s="73" t="s">
        <v>69</v>
      </c>
      <c r="V466" s="73"/>
      <c r="W466" s="68"/>
      <c r="X466" s="67" t="s">
        <v>69</v>
      </c>
      <c r="Y466" s="73"/>
      <c r="Z466" s="73"/>
      <c r="AA466" s="68"/>
      <c r="AB466" s="67"/>
      <c r="AC466" s="73" t="s">
        <v>69</v>
      </c>
      <c r="AD466" s="73"/>
      <c r="AE466" s="68"/>
      <c r="AF466" s="67"/>
      <c r="AG466" s="73" t="s">
        <v>69</v>
      </c>
      <c r="AH466" s="73"/>
      <c r="AI466" s="68"/>
      <c r="AJ466" s="67"/>
      <c r="AK466" s="73" t="s">
        <v>69</v>
      </c>
      <c r="AL466" s="73"/>
      <c r="AM466" s="68"/>
      <c r="AN466" s="73" t="s">
        <v>69</v>
      </c>
      <c r="AO466" s="73"/>
      <c r="AP466" s="73"/>
      <c r="AQ466" s="68"/>
      <c r="AR466" s="67">
        <f t="shared" si="282"/>
        <v>82</v>
      </c>
      <c r="AS466" s="68" t="str">
        <f t="shared" si="283"/>
        <v>A</v>
      </c>
      <c r="AV466" s="49">
        <f t="shared" si="79"/>
        <v>0</v>
      </c>
      <c r="AW466" s="49">
        <f t="shared" si="44"/>
        <v>1</v>
      </c>
      <c r="AX466" s="49">
        <f t="shared" si="45"/>
        <v>0</v>
      </c>
      <c r="AY466" s="49">
        <f t="shared" si="46"/>
        <v>0</v>
      </c>
      <c r="AZ466" s="49">
        <f t="shared" si="47"/>
        <v>0</v>
      </c>
      <c r="BA466" s="49">
        <f t="shared" si="48"/>
        <v>1</v>
      </c>
      <c r="BB466" s="49">
        <f t="shared" si="49"/>
        <v>0</v>
      </c>
      <c r="BC466" s="49">
        <f t="shared" si="50"/>
        <v>0</v>
      </c>
      <c r="BD466" s="49">
        <f t="shared" si="51"/>
        <v>0</v>
      </c>
      <c r="BE466" s="49">
        <f t="shared" si="52"/>
        <v>1</v>
      </c>
      <c r="BF466" s="49">
        <f t="shared" si="53"/>
        <v>0</v>
      </c>
      <c r="BG466" s="49">
        <f t="shared" si="54"/>
        <v>0</v>
      </c>
      <c r="BH466" s="49">
        <f t="shared" si="55"/>
        <v>0</v>
      </c>
      <c r="BI466" s="49">
        <f t="shared" si="56"/>
        <v>1</v>
      </c>
      <c r="BJ466" s="49">
        <f t="shared" si="57"/>
        <v>0</v>
      </c>
      <c r="BK466" s="49">
        <f t="shared" si="58"/>
        <v>0</v>
      </c>
      <c r="BL466" s="49">
        <f t="shared" si="59"/>
        <v>1</v>
      </c>
      <c r="BM466" s="49">
        <f t="shared" si="60"/>
        <v>0</v>
      </c>
      <c r="BN466" s="49">
        <f t="shared" si="61"/>
        <v>0</v>
      </c>
      <c r="BO466" s="49">
        <f t="shared" si="62"/>
        <v>0</v>
      </c>
      <c r="BP466" s="49">
        <f t="shared" si="63"/>
        <v>0</v>
      </c>
      <c r="BQ466" s="49">
        <f t="shared" si="64"/>
        <v>1</v>
      </c>
      <c r="BR466" s="49">
        <f t="shared" si="65"/>
        <v>0</v>
      </c>
      <c r="BS466" s="49">
        <f t="shared" si="66"/>
        <v>0</v>
      </c>
      <c r="BT466" s="49">
        <f t="shared" si="67"/>
        <v>0</v>
      </c>
      <c r="BU466" s="49">
        <f t="shared" si="68"/>
        <v>1</v>
      </c>
      <c r="BV466" s="49">
        <f t="shared" si="69"/>
        <v>0</v>
      </c>
      <c r="BW466" s="49">
        <f t="shared" si="70"/>
        <v>0</v>
      </c>
      <c r="BX466" s="49">
        <f t="shared" si="71"/>
        <v>0</v>
      </c>
      <c r="BY466" s="49">
        <f t="shared" si="72"/>
        <v>1</v>
      </c>
      <c r="BZ466" s="49">
        <f t="shared" si="73"/>
        <v>0</v>
      </c>
      <c r="CA466" s="49">
        <f t="shared" si="74"/>
        <v>0</v>
      </c>
      <c r="CB466" s="49">
        <f t="shared" si="75"/>
        <v>1</v>
      </c>
      <c r="CC466" s="49">
        <f t="shared" si="76"/>
        <v>0</v>
      </c>
      <c r="CD466" s="49">
        <f t="shared" si="77"/>
        <v>0</v>
      </c>
      <c r="CE466" s="49">
        <f t="shared" si="78"/>
        <v>0</v>
      </c>
    </row>
    <row r="467" spans="1:83" ht="35.1" customHeight="1" x14ac:dyDescent="0.3">
      <c r="A467" s="123" t="str">
        <f t="shared" si="280"/>
        <v>4팀</v>
      </c>
      <c r="B467" s="69">
        <f t="shared" si="281"/>
        <v>461</v>
      </c>
      <c r="C467" s="120" t="str">
        <f>IF(VLOOKUP($B467,'1. 현장별 인원현황'!$C:$J,2,0)=0,"",VLOOKUP($B467,'1. 현장별 인원현황'!$C:$J,2,0))</f>
        <v xml:space="preserve"> [4.롯데건설] 롯데바이오로직스 Project PROVIDENCE</v>
      </c>
      <c r="D467" s="70" t="str">
        <f>IF(VLOOKUP($B467,'1. 현장별 인원현황'!$C:$J,3,0)=0,"",VLOOKUP($B467,'1. 현장별 인원현황'!$C:$J,3,0))</f>
        <v>조성계</v>
      </c>
      <c r="E467" s="74" t="str">
        <f ca="1">IF(VLOOKUP($B467,'1. 현장별 인원현황'!$C:$J,4,0)=0,"",VLOOKUP($B467,'1. 현장별 인원현황'!$C:$J,4,0))</f>
        <v>58세</v>
      </c>
      <c r="F467" s="70" t="str">
        <f>IF(VLOOKUP($B467,'1. 현장별 인원현황'!$C:$J,7,0)=0,"",VLOOKUP($B467,'1. 현장별 인원현황'!$C:$J,7,0))</f>
        <v>기능공</v>
      </c>
      <c r="G467" s="72" t="str">
        <f>IF(VLOOKUP($B467,'1. 현장별 인원현황'!$C:$J,8,0)=0,"",VLOOKUP($B467,'1. 현장별 인원현황'!$C:$J,8,0))</f>
        <v>전공</v>
      </c>
      <c r="H467" s="67"/>
      <c r="I467" s="73" t="s">
        <v>69</v>
      </c>
      <c r="J467" s="73"/>
      <c r="K467" s="68"/>
      <c r="L467" s="67"/>
      <c r="M467" s="73" t="s">
        <v>69</v>
      </c>
      <c r="N467" s="73"/>
      <c r="O467" s="68"/>
      <c r="P467" s="67"/>
      <c r="Q467" s="73" t="s">
        <v>69</v>
      </c>
      <c r="R467" s="73"/>
      <c r="S467" s="68"/>
      <c r="T467" s="67"/>
      <c r="U467" s="73" t="s">
        <v>69</v>
      </c>
      <c r="V467" s="73"/>
      <c r="W467" s="68"/>
      <c r="X467" s="67" t="s">
        <v>69</v>
      </c>
      <c r="Y467" s="73"/>
      <c r="Z467" s="73"/>
      <c r="AA467" s="68"/>
      <c r="AB467" s="67"/>
      <c r="AC467" s="73" t="s">
        <v>69</v>
      </c>
      <c r="AD467" s="73"/>
      <c r="AE467" s="68"/>
      <c r="AF467" s="67"/>
      <c r="AG467" s="73" t="s">
        <v>69</v>
      </c>
      <c r="AH467" s="73"/>
      <c r="AI467" s="68"/>
      <c r="AJ467" s="67"/>
      <c r="AK467" s="73" t="s">
        <v>69</v>
      </c>
      <c r="AL467" s="73"/>
      <c r="AM467" s="68"/>
      <c r="AN467" s="73" t="s">
        <v>69</v>
      </c>
      <c r="AO467" s="73"/>
      <c r="AP467" s="73"/>
      <c r="AQ467" s="68"/>
      <c r="AR467" s="67">
        <f t="shared" si="282"/>
        <v>82</v>
      </c>
      <c r="AS467" s="68" t="str">
        <f t="shared" si="283"/>
        <v>A</v>
      </c>
      <c r="AV467" s="49">
        <f t="shared" si="79"/>
        <v>0</v>
      </c>
      <c r="AW467" s="49">
        <f t="shared" si="44"/>
        <v>1</v>
      </c>
      <c r="AX467" s="49">
        <f t="shared" si="45"/>
        <v>0</v>
      </c>
      <c r="AY467" s="49">
        <f t="shared" si="46"/>
        <v>0</v>
      </c>
      <c r="AZ467" s="49">
        <f t="shared" si="47"/>
        <v>0</v>
      </c>
      <c r="BA467" s="49">
        <f t="shared" si="48"/>
        <v>1</v>
      </c>
      <c r="BB467" s="49">
        <f t="shared" si="49"/>
        <v>0</v>
      </c>
      <c r="BC467" s="49">
        <f t="shared" si="50"/>
        <v>0</v>
      </c>
      <c r="BD467" s="49">
        <f t="shared" si="51"/>
        <v>0</v>
      </c>
      <c r="BE467" s="49">
        <f t="shared" si="52"/>
        <v>1</v>
      </c>
      <c r="BF467" s="49">
        <f t="shared" si="53"/>
        <v>0</v>
      </c>
      <c r="BG467" s="49">
        <f t="shared" si="54"/>
        <v>0</v>
      </c>
      <c r="BH467" s="49">
        <f t="shared" si="55"/>
        <v>0</v>
      </c>
      <c r="BI467" s="49">
        <f t="shared" si="56"/>
        <v>1</v>
      </c>
      <c r="BJ467" s="49">
        <f t="shared" si="57"/>
        <v>0</v>
      </c>
      <c r="BK467" s="49">
        <f t="shared" si="58"/>
        <v>0</v>
      </c>
      <c r="BL467" s="49">
        <f t="shared" si="59"/>
        <v>1</v>
      </c>
      <c r="BM467" s="49">
        <f t="shared" si="60"/>
        <v>0</v>
      </c>
      <c r="BN467" s="49">
        <f t="shared" si="61"/>
        <v>0</v>
      </c>
      <c r="BO467" s="49">
        <f t="shared" si="62"/>
        <v>0</v>
      </c>
      <c r="BP467" s="49">
        <f t="shared" si="63"/>
        <v>0</v>
      </c>
      <c r="BQ467" s="49">
        <f t="shared" si="64"/>
        <v>1</v>
      </c>
      <c r="BR467" s="49">
        <f t="shared" si="65"/>
        <v>0</v>
      </c>
      <c r="BS467" s="49">
        <f t="shared" si="66"/>
        <v>0</v>
      </c>
      <c r="BT467" s="49">
        <f t="shared" si="67"/>
        <v>0</v>
      </c>
      <c r="BU467" s="49">
        <f t="shared" si="68"/>
        <v>1</v>
      </c>
      <c r="BV467" s="49">
        <f t="shared" si="69"/>
        <v>0</v>
      </c>
      <c r="BW467" s="49">
        <f t="shared" si="70"/>
        <v>0</v>
      </c>
      <c r="BX467" s="49">
        <f t="shared" si="71"/>
        <v>0</v>
      </c>
      <c r="BY467" s="49">
        <f t="shared" si="72"/>
        <v>1</v>
      </c>
      <c r="BZ467" s="49">
        <f t="shared" si="73"/>
        <v>0</v>
      </c>
      <c r="CA467" s="49">
        <f t="shared" si="74"/>
        <v>0</v>
      </c>
      <c r="CB467" s="49">
        <f t="shared" si="75"/>
        <v>1</v>
      </c>
      <c r="CC467" s="49">
        <f t="shared" si="76"/>
        <v>0</v>
      </c>
      <c r="CD467" s="49">
        <f t="shared" si="77"/>
        <v>0</v>
      </c>
      <c r="CE467" s="49">
        <f t="shared" si="78"/>
        <v>0</v>
      </c>
    </row>
    <row r="468" spans="1:83" ht="35.1" customHeight="1" x14ac:dyDescent="0.3">
      <c r="A468" s="123" t="str">
        <f t="shared" si="280"/>
        <v>4팀</v>
      </c>
      <c r="B468" s="69">
        <f t="shared" si="281"/>
        <v>462</v>
      </c>
      <c r="C468" s="120" t="str">
        <f>IF(VLOOKUP($B468,'1. 현장별 인원현황'!$C:$J,2,0)=0,"",VLOOKUP($B468,'1. 현장별 인원현황'!$C:$J,2,0))</f>
        <v xml:space="preserve"> [4.롯데건설] 롯데바이오로직스 Project PROVIDENCE</v>
      </c>
      <c r="D468" s="70" t="str">
        <f>IF(VLOOKUP($B468,'1. 현장별 인원현황'!$C:$J,3,0)=0,"",VLOOKUP($B468,'1. 현장별 인원현황'!$C:$J,3,0))</f>
        <v>한종익</v>
      </c>
      <c r="E468" s="74" t="str">
        <f ca="1">IF(VLOOKUP($B468,'1. 현장별 인원현황'!$C:$J,4,0)=0,"",VLOOKUP($B468,'1. 현장별 인원현황'!$C:$J,4,0))</f>
        <v>45세</v>
      </c>
      <c r="F468" s="70" t="str">
        <f>IF(VLOOKUP($B468,'1. 현장별 인원현황'!$C:$J,7,0)=0,"",VLOOKUP($B468,'1. 현장별 인원현황'!$C:$J,7,0))</f>
        <v>기능공</v>
      </c>
      <c r="G468" s="72" t="str">
        <f>IF(VLOOKUP($B468,'1. 현장별 인원현황'!$C:$J,8,0)=0,"",VLOOKUP($B468,'1. 현장별 인원현황'!$C:$J,8,0))</f>
        <v>전공</v>
      </c>
      <c r="H468" s="67"/>
      <c r="I468" s="73" t="s">
        <v>69</v>
      </c>
      <c r="J468" s="73"/>
      <c r="K468" s="68"/>
      <c r="L468" s="67"/>
      <c r="M468" s="73" t="s">
        <v>69</v>
      </c>
      <c r="N468" s="73"/>
      <c r="O468" s="68"/>
      <c r="P468" s="67" t="s">
        <v>69</v>
      </c>
      <c r="Q468" s="73"/>
      <c r="R468" s="73"/>
      <c r="S468" s="68"/>
      <c r="T468" s="67"/>
      <c r="U468" s="73" t="s">
        <v>69</v>
      </c>
      <c r="V468" s="73"/>
      <c r="W468" s="68"/>
      <c r="X468" s="67" t="s">
        <v>69</v>
      </c>
      <c r="Y468" s="73"/>
      <c r="Z468" s="73"/>
      <c r="AA468" s="68"/>
      <c r="AB468" s="67"/>
      <c r="AC468" s="73" t="s">
        <v>69</v>
      </c>
      <c r="AD468" s="73"/>
      <c r="AE468" s="68"/>
      <c r="AF468" s="67" t="s">
        <v>69</v>
      </c>
      <c r="AG468" s="73"/>
      <c r="AH468" s="73"/>
      <c r="AI468" s="68"/>
      <c r="AJ468" s="67"/>
      <c r="AK468" s="73" t="s">
        <v>69</v>
      </c>
      <c r="AL468" s="73"/>
      <c r="AM468" s="68"/>
      <c r="AN468" s="73" t="s">
        <v>69</v>
      </c>
      <c r="AO468" s="73"/>
      <c r="AP468" s="73"/>
      <c r="AQ468" s="68"/>
      <c r="AR468" s="67">
        <f t="shared" si="282"/>
        <v>87</v>
      </c>
      <c r="AS468" s="68" t="str">
        <f t="shared" si="283"/>
        <v>S</v>
      </c>
      <c r="AV468" s="49">
        <f t="shared" si="79"/>
        <v>0</v>
      </c>
      <c r="AW468" s="49">
        <f t="shared" si="44"/>
        <v>1</v>
      </c>
      <c r="AX468" s="49">
        <f t="shared" si="45"/>
        <v>0</v>
      </c>
      <c r="AY468" s="49">
        <f t="shared" si="46"/>
        <v>0</v>
      </c>
      <c r="AZ468" s="49">
        <f t="shared" si="47"/>
        <v>0</v>
      </c>
      <c r="BA468" s="49">
        <f t="shared" si="48"/>
        <v>1</v>
      </c>
      <c r="BB468" s="49">
        <f t="shared" si="49"/>
        <v>0</v>
      </c>
      <c r="BC468" s="49">
        <f t="shared" si="50"/>
        <v>0</v>
      </c>
      <c r="BD468" s="49">
        <f t="shared" si="51"/>
        <v>1</v>
      </c>
      <c r="BE468" s="49">
        <f t="shared" si="52"/>
        <v>0</v>
      </c>
      <c r="BF468" s="49">
        <f t="shared" si="53"/>
        <v>0</v>
      </c>
      <c r="BG468" s="49">
        <f t="shared" si="54"/>
        <v>0</v>
      </c>
      <c r="BH468" s="49">
        <f t="shared" si="55"/>
        <v>0</v>
      </c>
      <c r="BI468" s="49">
        <f t="shared" si="56"/>
        <v>1</v>
      </c>
      <c r="BJ468" s="49">
        <f t="shared" si="57"/>
        <v>0</v>
      </c>
      <c r="BK468" s="49">
        <f t="shared" si="58"/>
        <v>0</v>
      </c>
      <c r="BL468" s="49">
        <f t="shared" si="59"/>
        <v>1</v>
      </c>
      <c r="BM468" s="49">
        <f t="shared" si="60"/>
        <v>0</v>
      </c>
      <c r="BN468" s="49">
        <f t="shared" si="61"/>
        <v>0</v>
      </c>
      <c r="BO468" s="49">
        <f t="shared" si="62"/>
        <v>0</v>
      </c>
      <c r="BP468" s="49">
        <f t="shared" si="63"/>
        <v>0</v>
      </c>
      <c r="BQ468" s="49">
        <f t="shared" si="64"/>
        <v>1</v>
      </c>
      <c r="BR468" s="49">
        <f t="shared" si="65"/>
        <v>0</v>
      </c>
      <c r="BS468" s="49">
        <f t="shared" si="66"/>
        <v>0</v>
      </c>
      <c r="BT468" s="49">
        <f t="shared" si="67"/>
        <v>1</v>
      </c>
      <c r="BU468" s="49">
        <f t="shared" si="68"/>
        <v>0</v>
      </c>
      <c r="BV468" s="49">
        <f t="shared" si="69"/>
        <v>0</v>
      </c>
      <c r="BW468" s="49">
        <f t="shared" si="70"/>
        <v>0</v>
      </c>
      <c r="BX468" s="49">
        <f t="shared" si="71"/>
        <v>0</v>
      </c>
      <c r="BY468" s="49">
        <f t="shared" si="72"/>
        <v>1</v>
      </c>
      <c r="BZ468" s="49">
        <f t="shared" si="73"/>
        <v>0</v>
      </c>
      <c r="CA468" s="49">
        <f t="shared" si="74"/>
        <v>0</v>
      </c>
      <c r="CB468" s="49">
        <f t="shared" si="75"/>
        <v>1</v>
      </c>
      <c r="CC468" s="49">
        <f t="shared" si="76"/>
        <v>0</v>
      </c>
      <c r="CD468" s="49">
        <f t="shared" si="77"/>
        <v>0</v>
      </c>
      <c r="CE468" s="49">
        <f t="shared" si="78"/>
        <v>0</v>
      </c>
    </row>
    <row r="469" spans="1:83" ht="35.1" customHeight="1" x14ac:dyDescent="0.3">
      <c r="A469" s="123" t="str">
        <f t="shared" si="280"/>
        <v>4팀</v>
      </c>
      <c r="B469" s="69">
        <f t="shared" si="281"/>
        <v>463</v>
      </c>
      <c r="C469" s="120" t="str">
        <f>IF(VLOOKUP($B469,'1. 현장별 인원현황'!$C:$J,2,0)=0,"",VLOOKUP($B469,'1. 현장별 인원현황'!$C:$J,2,0))</f>
        <v xml:space="preserve"> [4.롯데건설] 롯데바이오로직스 Project PROVIDENCE</v>
      </c>
      <c r="D469" s="70" t="str">
        <f>IF(VLOOKUP($B469,'1. 현장별 인원현황'!$C:$J,3,0)=0,"",VLOOKUP($B469,'1. 현장별 인원현황'!$C:$J,3,0))</f>
        <v>홍현석</v>
      </c>
      <c r="E469" s="74" t="str">
        <f ca="1">IF(VLOOKUP($B469,'1. 현장별 인원현황'!$C:$J,4,0)=0,"",VLOOKUP($B469,'1. 현장별 인원현황'!$C:$J,4,0))</f>
        <v>35세</v>
      </c>
      <c r="F469" s="70" t="str">
        <f>IF(VLOOKUP($B469,'1. 현장별 인원현황'!$C:$J,7,0)=0,"",VLOOKUP($B469,'1. 현장별 인원현황'!$C:$J,7,0))</f>
        <v>기능공</v>
      </c>
      <c r="G469" s="72" t="str">
        <f>IF(VLOOKUP($B469,'1. 현장별 인원현황'!$C:$J,8,0)=0,"",VLOOKUP($B469,'1. 현장별 인원현황'!$C:$J,8,0))</f>
        <v>전공</v>
      </c>
      <c r="H469" s="67"/>
      <c r="I469" s="73" t="s">
        <v>69</v>
      </c>
      <c r="J469" s="73"/>
      <c r="K469" s="68"/>
      <c r="L469" s="67"/>
      <c r="M469" s="73" t="s">
        <v>69</v>
      </c>
      <c r="N469" s="73"/>
      <c r="O469" s="68"/>
      <c r="P469" s="67"/>
      <c r="Q469" s="73" t="s">
        <v>69</v>
      </c>
      <c r="R469" s="73"/>
      <c r="S469" s="68"/>
      <c r="T469" s="67"/>
      <c r="U469" s="73" t="s">
        <v>69</v>
      </c>
      <c r="V469" s="73"/>
      <c r="W469" s="68"/>
      <c r="X469" s="67" t="s">
        <v>69</v>
      </c>
      <c r="Y469" s="73"/>
      <c r="Z469" s="73"/>
      <c r="AA469" s="68"/>
      <c r="AB469" s="67"/>
      <c r="AC469" s="73" t="s">
        <v>69</v>
      </c>
      <c r="AD469" s="73"/>
      <c r="AE469" s="68"/>
      <c r="AF469" s="67"/>
      <c r="AG469" s="73" t="s">
        <v>69</v>
      </c>
      <c r="AH469" s="73"/>
      <c r="AI469" s="68"/>
      <c r="AJ469" s="67"/>
      <c r="AK469" s="73" t="s">
        <v>69</v>
      </c>
      <c r="AL469" s="73"/>
      <c r="AM469" s="68"/>
      <c r="AN469" s="73" t="s">
        <v>69</v>
      </c>
      <c r="AO469" s="73"/>
      <c r="AP469" s="73"/>
      <c r="AQ469" s="68"/>
      <c r="AR469" s="67">
        <f t="shared" si="282"/>
        <v>82</v>
      </c>
      <c r="AS469" s="68" t="str">
        <f t="shared" si="283"/>
        <v>A</v>
      </c>
      <c r="AV469" s="49">
        <f t="shared" si="79"/>
        <v>0</v>
      </c>
      <c r="AW469" s="49">
        <f t="shared" si="44"/>
        <v>1</v>
      </c>
      <c r="AX469" s="49">
        <f t="shared" si="45"/>
        <v>0</v>
      </c>
      <c r="AY469" s="49">
        <f t="shared" si="46"/>
        <v>0</v>
      </c>
      <c r="AZ469" s="49">
        <f t="shared" si="47"/>
        <v>0</v>
      </c>
      <c r="BA469" s="49">
        <f t="shared" si="48"/>
        <v>1</v>
      </c>
      <c r="BB469" s="49">
        <f t="shared" si="49"/>
        <v>0</v>
      </c>
      <c r="BC469" s="49">
        <f t="shared" si="50"/>
        <v>0</v>
      </c>
      <c r="BD469" s="49">
        <f t="shared" si="51"/>
        <v>0</v>
      </c>
      <c r="BE469" s="49">
        <f t="shared" si="52"/>
        <v>1</v>
      </c>
      <c r="BF469" s="49">
        <f t="shared" si="53"/>
        <v>0</v>
      </c>
      <c r="BG469" s="49">
        <f t="shared" si="54"/>
        <v>0</v>
      </c>
      <c r="BH469" s="49">
        <f t="shared" si="55"/>
        <v>0</v>
      </c>
      <c r="BI469" s="49">
        <f t="shared" si="56"/>
        <v>1</v>
      </c>
      <c r="BJ469" s="49">
        <f t="shared" si="57"/>
        <v>0</v>
      </c>
      <c r="BK469" s="49">
        <f t="shared" si="58"/>
        <v>0</v>
      </c>
      <c r="BL469" s="49">
        <f t="shared" si="59"/>
        <v>1</v>
      </c>
      <c r="BM469" s="49">
        <f t="shared" si="60"/>
        <v>0</v>
      </c>
      <c r="BN469" s="49">
        <f t="shared" si="61"/>
        <v>0</v>
      </c>
      <c r="BO469" s="49">
        <f t="shared" si="62"/>
        <v>0</v>
      </c>
      <c r="BP469" s="49">
        <f t="shared" si="63"/>
        <v>0</v>
      </c>
      <c r="BQ469" s="49">
        <f t="shared" si="64"/>
        <v>1</v>
      </c>
      <c r="BR469" s="49">
        <f t="shared" si="65"/>
        <v>0</v>
      </c>
      <c r="BS469" s="49">
        <f t="shared" si="66"/>
        <v>0</v>
      </c>
      <c r="BT469" s="49">
        <f t="shared" si="67"/>
        <v>0</v>
      </c>
      <c r="BU469" s="49">
        <f t="shared" si="68"/>
        <v>1</v>
      </c>
      <c r="BV469" s="49">
        <f t="shared" si="69"/>
        <v>0</v>
      </c>
      <c r="BW469" s="49">
        <f t="shared" si="70"/>
        <v>0</v>
      </c>
      <c r="BX469" s="49">
        <f t="shared" si="71"/>
        <v>0</v>
      </c>
      <c r="BY469" s="49">
        <f t="shared" si="72"/>
        <v>1</v>
      </c>
      <c r="BZ469" s="49">
        <f t="shared" si="73"/>
        <v>0</v>
      </c>
      <c r="CA469" s="49">
        <f t="shared" si="74"/>
        <v>0</v>
      </c>
      <c r="CB469" s="49">
        <f t="shared" si="75"/>
        <v>1</v>
      </c>
      <c r="CC469" s="49">
        <f t="shared" si="76"/>
        <v>0</v>
      </c>
      <c r="CD469" s="49">
        <f t="shared" si="77"/>
        <v>0</v>
      </c>
      <c r="CE469" s="49">
        <f t="shared" si="78"/>
        <v>0</v>
      </c>
    </row>
    <row r="470" spans="1:83" ht="35.1" customHeight="1" x14ac:dyDescent="0.3">
      <c r="A470" s="123" t="str">
        <f t="shared" si="280"/>
        <v>4팀</v>
      </c>
      <c r="B470" s="69">
        <f t="shared" si="281"/>
        <v>464</v>
      </c>
      <c r="C470" s="120" t="str">
        <f>IF(VLOOKUP($B470,'1. 현장별 인원현황'!$C:$J,2,0)=0,"",VLOOKUP($B470,'1. 현장별 인원현황'!$C:$J,2,0))</f>
        <v xml:space="preserve"> [4.롯데건설] 롯데바이오로직스 Project PROVIDENCE</v>
      </c>
      <c r="D470" s="70" t="str">
        <f>IF(VLOOKUP($B470,'1. 현장별 인원현황'!$C:$J,3,0)=0,"",VLOOKUP($B470,'1. 현장별 인원현황'!$C:$J,3,0))</f>
        <v>황동엽</v>
      </c>
      <c r="E470" s="74" t="str">
        <f ca="1">IF(VLOOKUP($B470,'1. 현장별 인원현황'!$C:$J,4,0)=0,"",VLOOKUP($B470,'1. 현장별 인원현황'!$C:$J,4,0))</f>
        <v>31세</v>
      </c>
      <c r="F470" s="70" t="str">
        <f>IF(VLOOKUP($B470,'1. 현장별 인원현황'!$C:$J,7,0)=0,"",VLOOKUP($B470,'1. 현장별 인원현황'!$C:$J,7,0))</f>
        <v>기능공</v>
      </c>
      <c r="G470" s="72" t="str">
        <f>IF(VLOOKUP($B470,'1. 현장별 인원현황'!$C:$J,8,0)=0,"",VLOOKUP($B470,'1. 현장별 인원현황'!$C:$J,8,0))</f>
        <v>전공</v>
      </c>
      <c r="H470" s="67"/>
      <c r="I470" s="73"/>
      <c r="J470" s="73" t="s">
        <v>69</v>
      </c>
      <c r="K470" s="68"/>
      <c r="L470" s="67"/>
      <c r="M470" s="73" t="s">
        <v>69</v>
      </c>
      <c r="N470" s="73"/>
      <c r="O470" s="68"/>
      <c r="P470" s="67"/>
      <c r="Q470" s="73" t="s">
        <v>69</v>
      </c>
      <c r="R470" s="73"/>
      <c r="S470" s="68"/>
      <c r="T470" s="67"/>
      <c r="U470" s="73" t="s">
        <v>69</v>
      </c>
      <c r="V470" s="73"/>
      <c r="W470" s="68"/>
      <c r="X470" s="67" t="s">
        <v>69</v>
      </c>
      <c r="Y470" s="73"/>
      <c r="Z470" s="73"/>
      <c r="AA470" s="68"/>
      <c r="AB470" s="67"/>
      <c r="AC470" s="73" t="s">
        <v>69</v>
      </c>
      <c r="AD470" s="73"/>
      <c r="AE470" s="68"/>
      <c r="AF470" s="67"/>
      <c r="AG470" s="73" t="s">
        <v>69</v>
      </c>
      <c r="AH470" s="73"/>
      <c r="AI470" s="68"/>
      <c r="AJ470" s="67"/>
      <c r="AK470" s="73" t="s">
        <v>69</v>
      </c>
      <c r="AL470" s="73"/>
      <c r="AM470" s="68"/>
      <c r="AN470" s="73" t="s">
        <v>69</v>
      </c>
      <c r="AO470" s="73"/>
      <c r="AP470" s="73"/>
      <c r="AQ470" s="68"/>
      <c r="AR470" s="67">
        <f t="shared" si="282"/>
        <v>79</v>
      </c>
      <c r="AS470" s="68" t="str">
        <f t="shared" si="283"/>
        <v>A</v>
      </c>
      <c r="AV470" s="49">
        <f t="shared" si="79"/>
        <v>0</v>
      </c>
      <c r="AW470" s="49">
        <f t="shared" si="44"/>
        <v>0</v>
      </c>
      <c r="AX470" s="49">
        <f t="shared" si="45"/>
        <v>1</v>
      </c>
      <c r="AY470" s="49">
        <f t="shared" si="46"/>
        <v>0</v>
      </c>
      <c r="AZ470" s="49">
        <f t="shared" si="47"/>
        <v>0</v>
      </c>
      <c r="BA470" s="49">
        <f t="shared" si="48"/>
        <v>1</v>
      </c>
      <c r="BB470" s="49">
        <f t="shared" si="49"/>
        <v>0</v>
      </c>
      <c r="BC470" s="49">
        <f t="shared" si="50"/>
        <v>0</v>
      </c>
      <c r="BD470" s="49">
        <f t="shared" si="51"/>
        <v>0</v>
      </c>
      <c r="BE470" s="49">
        <f t="shared" si="52"/>
        <v>1</v>
      </c>
      <c r="BF470" s="49">
        <f t="shared" si="53"/>
        <v>0</v>
      </c>
      <c r="BG470" s="49">
        <f t="shared" si="54"/>
        <v>0</v>
      </c>
      <c r="BH470" s="49">
        <f t="shared" si="55"/>
        <v>0</v>
      </c>
      <c r="BI470" s="49">
        <f t="shared" si="56"/>
        <v>1</v>
      </c>
      <c r="BJ470" s="49">
        <f t="shared" si="57"/>
        <v>0</v>
      </c>
      <c r="BK470" s="49">
        <f t="shared" si="58"/>
        <v>0</v>
      </c>
      <c r="BL470" s="49">
        <f t="shared" si="59"/>
        <v>1</v>
      </c>
      <c r="BM470" s="49">
        <f t="shared" si="60"/>
        <v>0</v>
      </c>
      <c r="BN470" s="49">
        <f t="shared" si="61"/>
        <v>0</v>
      </c>
      <c r="BO470" s="49">
        <f t="shared" si="62"/>
        <v>0</v>
      </c>
      <c r="BP470" s="49">
        <f t="shared" si="63"/>
        <v>0</v>
      </c>
      <c r="BQ470" s="49">
        <f t="shared" si="64"/>
        <v>1</v>
      </c>
      <c r="BR470" s="49">
        <f t="shared" si="65"/>
        <v>0</v>
      </c>
      <c r="BS470" s="49">
        <f t="shared" si="66"/>
        <v>0</v>
      </c>
      <c r="BT470" s="49">
        <f t="shared" si="67"/>
        <v>0</v>
      </c>
      <c r="BU470" s="49">
        <f t="shared" si="68"/>
        <v>1</v>
      </c>
      <c r="BV470" s="49">
        <f t="shared" si="69"/>
        <v>0</v>
      </c>
      <c r="BW470" s="49">
        <f t="shared" si="70"/>
        <v>0</v>
      </c>
      <c r="BX470" s="49">
        <f t="shared" si="71"/>
        <v>0</v>
      </c>
      <c r="BY470" s="49">
        <f t="shared" si="72"/>
        <v>1</v>
      </c>
      <c r="BZ470" s="49">
        <f t="shared" si="73"/>
        <v>0</v>
      </c>
      <c r="CA470" s="49">
        <f t="shared" si="74"/>
        <v>0</v>
      </c>
      <c r="CB470" s="49">
        <f t="shared" si="75"/>
        <v>1</v>
      </c>
      <c r="CC470" s="49">
        <f t="shared" si="76"/>
        <v>0</v>
      </c>
      <c r="CD470" s="49">
        <f t="shared" si="77"/>
        <v>0</v>
      </c>
      <c r="CE470" s="49">
        <f t="shared" si="78"/>
        <v>0</v>
      </c>
    </row>
    <row r="471" spans="1:83" ht="35.1" customHeight="1" x14ac:dyDescent="0.3">
      <c r="A471" s="123" t="str">
        <f t="shared" si="280"/>
        <v>4팀</v>
      </c>
      <c r="B471" s="69">
        <f t="shared" si="281"/>
        <v>465</v>
      </c>
      <c r="C471" s="120" t="str">
        <f>IF(VLOOKUP($B471,'1. 현장별 인원현황'!$C:$J,2,0)=0,"",VLOOKUP($B471,'1. 현장별 인원현황'!$C:$J,2,0))</f>
        <v xml:space="preserve"> [4.롯데건설] 롯데바이오로직스 Project PROVIDENCE</v>
      </c>
      <c r="D471" s="70" t="str">
        <f>IF(VLOOKUP($B471,'1. 현장별 인원현황'!$C:$J,3,0)=0,"",VLOOKUP($B471,'1. 현장별 인원현황'!$C:$J,3,0))</f>
        <v>황병준</v>
      </c>
      <c r="E471" s="74" t="str">
        <f ca="1">IF(VLOOKUP($B471,'1. 현장별 인원현황'!$C:$J,4,0)=0,"",VLOOKUP($B471,'1. 현장별 인원현황'!$C:$J,4,0))</f>
        <v>29세</v>
      </c>
      <c r="F471" s="70" t="str">
        <f>IF(VLOOKUP($B471,'1. 현장별 인원현황'!$C:$J,7,0)=0,"",VLOOKUP($B471,'1. 현장별 인원현황'!$C:$J,7,0))</f>
        <v>기능공</v>
      </c>
      <c r="G471" s="72" t="str">
        <f>IF(VLOOKUP($B471,'1. 현장별 인원현황'!$C:$J,8,0)=0,"",VLOOKUP($B471,'1. 현장별 인원현황'!$C:$J,8,0))</f>
        <v>전공</v>
      </c>
      <c r="H471" s="67"/>
      <c r="I471" s="73" t="s">
        <v>69</v>
      </c>
      <c r="J471" s="73"/>
      <c r="K471" s="68"/>
      <c r="L471" s="67" t="s">
        <v>69</v>
      </c>
      <c r="M471" s="73"/>
      <c r="N471" s="73"/>
      <c r="O471" s="68"/>
      <c r="P471" s="67" t="s">
        <v>69</v>
      </c>
      <c r="Q471" s="73"/>
      <c r="R471" s="73"/>
      <c r="S471" s="68"/>
      <c r="T471" s="67"/>
      <c r="U471" s="73" t="s">
        <v>69</v>
      </c>
      <c r="V471" s="73"/>
      <c r="W471" s="68"/>
      <c r="X471" s="67" t="s">
        <v>69</v>
      </c>
      <c r="Y471" s="73"/>
      <c r="Z471" s="73"/>
      <c r="AA471" s="68"/>
      <c r="AB471" s="67"/>
      <c r="AC471" s="73" t="s">
        <v>69</v>
      </c>
      <c r="AD471" s="73"/>
      <c r="AE471" s="68"/>
      <c r="AF471" s="67" t="s">
        <v>69</v>
      </c>
      <c r="AG471" s="73"/>
      <c r="AH471" s="73"/>
      <c r="AI471" s="68"/>
      <c r="AJ471" s="67"/>
      <c r="AK471" s="73" t="s">
        <v>69</v>
      </c>
      <c r="AL471" s="73"/>
      <c r="AM471" s="68"/>
      <c r="AN471" s="73" t="s">
        <v>69</v>
      </c>
      <c r="AO471" s="73"/>
      <c r="AP471" s="73"/>
      <c r="AQ471" s="68"/>
      <c r="AR471" s="67">
        <f t="shared" si="282"/>
        <v>90</v>
      </c>
      <c r="AS471" s="68" t="str">
        <f t="shared" si="283"/>
        <v>S</v>
      </c>
      <c r="AV471" s="49">
        <f t="shared" si="79"/>
        <v>0</v>
      </c>
      <c r="AW471" s="49">
        <f t="shared" si="44"/>
        <v>1</v>
      </c>
      <c r="AX471" s="49">
        <f t="shared" si="45"/>
        <v>0</v>
      </c>
      <c r="AY471" s="49">
        <f t="shared" si="46"/>
        <v>0</v>
      </c>
      <c r="AZ471" s="49">
        <f t="shared" si="47"/>
        <v>1</v>
      </c>
      <c r="BA471" s="49">
        <f t="shared" si="48"/>
        <v>0</v>
      </c>
      <c r="BB471" s="49">
        <f t="shared" si="49"/>
        <v>0</v>
      </c>
      <c r="BC471" s="49">
        <f t="shared" si="50"/>
        <v>0</v>
      </c>
      <c r="BD471" s="49">
        <f t="shared" si="51"/>
        <v>1</v>
      </c>
      <c r="BE471" s="49">
        <f t="shared" si="52"/>
        <v>0</v>
      </c>
      <c r="BF471" s="49">
        <f t="shared" si="53"/>
        <v>0</v>
      </c>
      <c r="BG471" s="49">
        <f t="shared" si="54"/>
        <v>0</v>
      </c>
      <c r="BH471" s="49">
        <f t="shared" si="55"/>
        <v>0</v>
      </c>
      <c r="BI471" s="49">
        <f t="shared" si="56"/>
        <v>1</v>
      </c>
      <c r="BJ471" s="49">
        <f t="shared" si="57"/>
        <v>0</v>
      </c>
      <c r="BK471" s="49">
        <f t="shared" si="58"/>
        <v>0</v>
      </c>
      <c r="BL471" s="49">
        <f t="shared" si="59"/>
        <v>1</v>
      </c>
      <c r="BM471" s="49">
        <f t="shared" si="60"/>
        <v>0</v>
      </c>
      <c r="BN471" s="49">
        <f t="shared" si="61"/>
        <v>0</v>
      </c>
      <c r="BO471" s="49">
        <f t="shared" si="62"/>
        <v>0</v>
      </c>
      <c r="BP471" s="49">
        <f t="shared" si="63"/>
        <v>0</v>
      </c>
      <c r="BQ471" s="49">
        <f t="shared" si="64"/>
        <v>1</v>
      </c>
      <c r="BR471" s="49">
        <f t="shared" si="65"/>
        <v>0</v>
      </c>
      <c r="BS471" s="49">
        <f t="shared" si="66"/>
        <v>0</v>
      </c>
      <c r="BT471" s="49">
        <f t="shared" si="67"/>
        <v>1</v>
      </c>
      <c r="BU471" s="49">
        <f t="shared" si="68"/>
        <v>0</v>
      </c>
      <c r="BV471" s="49">
        <f t="shared" si="69"/>
        <v>0</v>
      </c>
      <c r="BW471" s="49">
        <f t="shared" si="70"/>
        <v>0</v>
      </c>
      <c r="BX471" s="49">
        <f t="shared" si="71"/>
        <v>0</v>
      </c>
      <c r="BY471" s="49">
        <f t="shared" si="72"/>
        <v>1</v>
      </c>
      <c r="BZ471" s="49">
        <f t="shared" si="73"/>
        <v>0</v>
      </c>
      <c r="CA471" s="49">
        <f t="shared" si="74"/>
        <v>0</v>
      </c>
      <c r="CB471" s="49">
        <f t="shared" si="75"/>
        <v>1</v>
      </c>
      <c r="CC471" s="49">
        <f t="shared" si="76"/>
        <v>0</v>
      </c>
      <c r="CD471" s="49">
        <f t="shared" si="77"/>
        <v>0</v>
      </c>
      <c r="CE471" s="49">
        <f t="shared" si="78"/>
        <v>0</v>
      </c>
    </row>
    <row r="472" spans="1:83" ht="35.1" customHeight="1" x14ac:dyDescent="0.3">
      <c r="A472" s="123" t="str">
        <f t="shared" si="280"/>
        <v>4팀</v>
      </c>
      <c r="B472" s="69">
        <f t="shared" si="281"/>
        <v>466</v>
      </c>
      <c r="C472" s="120" t="str">
        <f>IF(VLOOKUP($B472,'1. 현장별 인원현황'!$C:$J,2,0)=0,"",VLOOKUP($B472,'1. 현장별 인원현황'!$C:$J,2,0))</f>
        <v xml:space="preserve"> [4.롯데건설] 롯데바이오로직스 Project PROVIDENCE</v>
      </c>
      <c r="D472" s="70" t="str">
        <f>IF(VLOOKUP($B472,'1. 현장별 인원현황'!$C:$J,3,0)=0,"",VLOOKUP($B472,'1. 현장별 인원현황'!$C:$J,3,0))</f>
        <v>김경신</v>
      </c>
      <c r="E472" s="74" t="str">
        <f ca="1">IF(VLOOKUP($B472,'1. 현장별 인원현황'!$C:$J,4,0)=0,"",VLOOKUP($B472,'1. 현장별 인원현황'!$C:$J,4,0))</f>
        <v>30세</v>
      </c>
      <c r="F472" s="70" t="str">
        <f>IF(VLOOKUP($B472,'1. 현장별 인원현황'!$C:$J,7,0)=0,"",VLOOKUP($B472,'1. 현장별 인원현황'!$C:$J,7,0))</f>
        <v>기능공</v>
      </c>
      <c r="G472" s="72" t="str">
        <f>IF(VLOOKUP($B472,'1. 현장별 인원현황'!$C:$J,8,0)=0,"",VLOOKUP($B472,'1. 현장별 인원현황'!$C:$J,8,0))</f>
        <v>전공</v>
      </c>
      <c r="H472" s="67"/>
      <c r="I472" s="73"/>
      <c r="J472" s="73" t="s">
        <v>69</v>
      </c>
      <c r="K472" s="68"/>
      <c r="L472" s="67"/>
      <c r="M472" s="73" t="s">
        <v>69</v>
      </c>
      <c r="N472" s="73"/>
      <c r="O472" s="68"/>
      <c r="P472" s="67"/>
      <c r="Q472" s="73" t="s">
        <v>69</v>
      </c>
      <c r="R472" s="73"/>
      <c r="S472" s="68"/>
      <c r="T472" s="67"/>
      <c r="U472" s="73" t="s">
        <v>69</v>
      </c>
      <c r="V472" s="73"/>
      <c r="W472" s="68"/>
      <c r="X472" s="67" t="s">
        <v>69</v>
      </c>
      <c r="Y472" s="73"/>
      <c r="Z472" s="73"/>
      <c r="AA472" s="68"/>
      <c r="AB472" s="67"/>
      <c r="AC472" s="73"/>
      <c r="AD472" s="73" t="s">
        <v>69</v>
      </c>
      <c r="AE472" s="68"/>
      <c r="AF472" s="67"/>
      <c r="AG472" s="73" t="s">
        <v>69</v>
      </c>
      <c r="AH472" s="73"/>
      <c r="AI472" s="68"/>
      <c r="AJ472" s="67"/>
      <c r="AK472" s="73" t="s">
        <v>69</v>
      </c>
      <c r="AL472" s="73"/>
      <c r="AM472" s="68"/>
      <c r="AN472" s="73" t="s">
        <v>69</v>
      </c>
      <c r="AO472" s="73"/>
      <c r="AP472" s="73"/>
      <c r="AQ472" s="68"/>
      <c r="AR472" s="67">
        <f t="shared" si="282"/>
        <v>77</v>
      </c>
      <c r="AS472" s="68" t="str">
        <f t="shared" si="283"/>
        <v>A</v>
      </c>
      <c r="AV472" s="49">
        <f t="shared" si="79"/>
        <v>0</v>
      </c>
      <c r="AW472" s="49">
        <f t="shared" si="44"/>
        <v>0</v>
      </c>
      <c r="AX472" s="49">
        <f t="shared" si="45"/>
        <v>1</v>
      </c>
      <c r="AY472" s="49">
        <f t="shared" si="46"/>
        <v>0</v>
      </c>
      <c r="AZ472" s="49">
        <f t="shared" si="47"/>
        <v>0</v>
      </c>
      <c r="BA472" s="49">
        <f t="shared" si="48"/>
        <v>1</v>
      </c>
      <c r="BB472" s="49">
        <f t="shared" si="49"/>
        <v>0</v>
      </c>
      <c r="BC472" s="49">
        <f t="shared" si="50"/>
        <v>0</v>
      </c>
      <c r="BD472" s="49">
        <f t="shared" si="51"/>
        <v>0</v>
      </c>
      <c r="BE472" s="49">
        <f t="shared" si="52"/>
        <v>1</v>
      </c>
      <c r="BF472" s="49">
        <f t="shared" si="53"/>
        <v>0</v>
      </c>
      <c r="BG472" s="49">
        <f t="shared" si="54"/>
        <v>0</v>
      </c>
      <c r="BH472" s="49">
        <f t="shared" si="55"/>
        <v>0</v>
      </c>
      <c r="BI472" s="49">
        <f t="shared" si="56"/>
        <v>1</v>
      </c>
      <c r="BJ472" s="49">
        <f t="shared" si="57"/>
        <v>0</v>
      </c>
      <c r="BK472" s="49">
        <f t="shared" si="58"/>
        <v>0</v>
      </c>
      <c r="BL472" s="49">
        <f t="shared" si="59"/>
        <v>1</v>
      </c>
      <c r="BM472" s="49">
        <f t="shared" si="60"/>
        <v>0</v>
      </c>
      <c r="BN472" s="49">
        <f t="shared" si="61"/>
        <v>0</v>
      </c>
      <c r="BO472" s="49">
        <f t="shared" si="62"/>
        <v>0</v>
      </c>
      <c r="BP472" s="49">
        <f t="shared" si="63"/>
        <v>0</v>
      </c>
      <c r="BQ472" s="49">
        <f t="shared" si="64"/>
        <v>0</v>
      </c>
      <c r="BR472" s="49">
        <f t="shared" si="65"/>
        <v>1</v>
      </c>
      <c r="BS472" s="49">
        <f t="shared" si="66"/>
        <v>0</v>
      </c>
      <c r="BT472" s="49">
        <f t="shared" si="67"/>
        <v>0</v>
      </c>
      <c r="BU472" s="49">
        <f t="shared" si="68"/>
        <v>1</v>
      </c>
      <c r="BV472" s="49">
        <f t="shared" si="69"/>
        <v>0</v>
      </c>
      <c r="BW472" s="49">
        <f t="shared" si="70"/>
        <v>0</v>
      </c>
      <c r="BX472" s="49">
        <f t="shared" si="71"/>
        <v>0</v>
      </c>
      <c r="BY472" s="49">
        <f t="shared" si="72"/>
        <v>1</v>
      </c>
      <c r="BZ472" s="49">
        <f t="shared" si="73"/>
        <v>0</v>
      </c>
      <c r="CA472" s="49">
        <f t="shared" si="74"/>
        <v>0</v>
      </c>
      <c r="CB472" s="49">
        <f t="shared" si="75"/>
        <v>1</v>
      </c>
      <c r="CC472" s="49">
        <f t="shared" si="76"/>
        <v>0</v>
      </c>
      <c r="CD472" s="49">
        <f t="shared" si="77"/>
        <v>0</v>
      </c>
      <c r="CE472" s="49">
        <f t="shared" si="78"/>
        <v>0</v>
      </c>
    </row>
    <row r="473" spans="1:83" ht="35.1" customHeight="1" x14ac:dyDescent="0.3">
      <c r="A473" s="123" t="str">
        <f t="shared" si="280"/>
        <v>4팀</v>
      </c>
      <c r="B473" s="69">
        <f t="shared" si="281"/>
        <v>467</v>
      </c>
      <c r="C473" s="120" t="str">
        <f>IF(VLOOKUP($B473,'1. 현장별 인원현황'!$C:$J,2,0)=0,"",VLOOKUP($B473,'1. 현장별 인원현황'!$C:$J,2,0))</f>
        <v xml:space="preserve"> [4.롯데건설] 롯데바이오로직스 Project PROVIDENCE</v>
      </c>
      <c r="D473" s="70" t="str">
        <f>IF(VLOOKUP($B473,'1. 현장별 인원현황'!$C:$J,3,0)=0,"",VLOOKUP($B473,'1. 현장별 인원현황'!$C:$J,3,0))</f>
        <v>김정훈</v>
      </c>
      <c r="E473" s="74" t="str">
        <f ca="1">IF(VLOOKUP($B473,'1. 현장별 인원현황'!$C:$J,4,0)=0,"",VLOOKUP($B473,'1. 현장별 인원현황'!$C:$J,4,0))</f>
        <v>55세</v>
      </c>
      <c r="F473" s="70" t="str">
        <f>IF(VLOOKUP($B473,'1. 현장별 인원현황'!$C:$J,7,0)=0,"",VLOOKUP($B473,'1. 현장별 인원현황'!$C:$J,7,0))</f>
        <v>기능공</v>
      </c>
      <c r="G473" s="72" t="str">
        <f>IF(VLOOKUP($B473,'1. 현장별 인원현황'!$C:$J,8,0)=0,"",VLOOKUP($B473,'1. 현장별 인원현황'!$C:$J,8,0))</f>
        <v>전공</v>
      </c>
      <c r="H473" s="67"/>
      <c r="I473" s="73" t="s">
        <v>69</v>
      </c>
      <c r="J473" s="73"/>
      <c r="K473" s="68"/>
      <c r="L473" s="67"/>
      <c r="M473" s="73" t="s">
        <v>69</v>
      </c>
      <c r="N473" s="73"/>
      <c r="O473" s="68"/>
      <c r="P473" s="67"/>
      <c r="Q473" s="73" t="s">
        <v>69</v>
      </c>
      <c r="R473" s="73"/>
      <c r="S473" s="68"/>
      <c r="T473" s="67"/>
      <c r="U473" s="73" t="s">
        <v>69</v>
      </c>
      <c r="V473" s="73"/>
      <c r="W473" s="68"/>
      <c r="X473" s="67" t="s">
        <v>69</v>
      </c>
      <c r="Y473" s="73"/>
      <c r="Z473" s="73"/>
      <c r="AA473" s="68"/>
      <c r="AB473" s="67"/>
      <c r="AC473" s="73" t="s">
        <v>69</v>
      </c>
      <c r="AD473" s="73"/>
      <c r="AE473" s="68"/>
      <c r="AF473" s="67"/>
      <c r="AG473" s="73" t="s">
        <v>69</v>
      </c>
      <c r="AH473" s="73"/>
      <c r="AI473" s="68"/>
      <c r="AJ473" s="67"/>
      <c r="AK473" s="73" t="s">
        <v>69</v>
      </c>
      <c r="AL473" s="73"/>
      <c r="AM473" s="68"/>
      <c r="AN473" s="73" t="s">
        <v>69</v>
      </c>
      <c r="AO473" s="73"/>
      <c r="AP473" s="73"/>
      <c r="AQ473" s="68"/>
      <c r="AR473" s="67">
        <f t="shared" si="282"/>
        <v>82</v>
      </c>
      <c r="AS473" s="68" t="str">
        <f t="shared" si="283"/>
        <v>A</v>
      </c>
      <c r="AV473" s="49">
        <f t="shared" si="79"/>
        <v>0</v>
      </c>
      <c r="AW473" s="49">
        <f t="shared" si="44"/>
        <v>1</v>
      </c>
      <c r="AX473" s="49">
        <f t="shared" si="45"/>
        <v>0</v>
      </c>
      <c r="AY473" s="49">
        <f t="shared" si="46"/>
        <v>0</v>
      </c>
      <c r="AZ473" s="49">
        <f t="shared" si="47"/>
        <v>0</v>
      </c>
      <c r="BA473" s="49">
        <f t="shared" si="48"/>
        <v>1</v>
      </c>
      <c r="BB473" s="49">
        <f t="shared" si="49"/>
        <v>0</v>
      </c>
      <c r="BC473" s="49">
        <f t="shared" si="50"/>
        <v>0</v>
      </c>
      <c r="BD473" s="49">
        <f t="shared" si="51"/>
        <v>0</v>
      </c>
      <c r="BE473" s="49">
        <f t="shared" si="52"/>
        <v>1</v>
      </c>
      <c r="BF473" s="49">
        <f t="shared" si="53"/>
        <v>0</v>
      </c>
      <c r="BG473" s="49">
        <f t="shared" si="54"/>
        <v>0</v>
      </c>
      <c r="BH473" s="49">
        <f t="shared" si="55"/>
        <v>0</v>
      </c>
      <c r="BI473" s="49">
        <f t="shared" si="56"/>
        <v>1</v>
      </c>
      <c r="BJ473" s="49">
        <f t="shared" si="57"/>
        <v>0</v>
      </c>
      <c r="BK473" s="49">
        <f t="shared" si="58"/>
        <v>0</v>
      </c>
      <c r="BL473" s="49">
        <f t="shared" si="59"/>
        <v>1</v>
      </c>
      <c r="BM473" s="49">
        <f t="shared" si="60"/>
        <v>0</v>
      </c>
      <c r="BN473" s="49">
        <f t="shared" si="61"/>
        <v>0</v>
      </c>
      <c r="BO473" s="49">
        <f t="shared" si="62"/>
        <v>0</v>
      </c>
      <c r="BP473" s="49">
        <f t="shared" si="63"/>
        <v>0</v>
      </c>
      <c r="BQ473" s="49">
        <f t="shared" si="64"/>
        <v>1</v>
      </c>
      <c r="BR473" s="49">
        <f t="shared" si="65"/>
        <v>0</v>
      </c>
      <c r="BS473" s="49">
        <f t="shared" si="66"/>
        <v>0</v>
      </c>
      <c r="BT473" s="49">
        <f t="shared" si="67"/>
        <v>0</v>
      </c>
      <c r="BU473" s="49">
        <f t="shared" si="68"/>
        <v>1</v>
      </c>
      <c r="BV473" s="49">
        <f t="shared" si="69"/>
        <v>0</v>
      </c>
      <c r="BW473" s="49">
        <f t="shared" si="70"/>
        <v>0</v>
      </c>
      <c r="BX473" s="49">
        <f t="shared" si="71"/>
        <v>0</v>
      </c>
      <c r="BY473" s="49">
        <f t="shared" si="72"/>
        <v>1</v>
      </c>
      <c r="BZ473" s="49">
        <f t="shared" si="73"/>
        <v>0</v>
      </c>
      <c r="CA473" s="49">
        <f t="shared" si="74"/>
        <v>0</v>
      </c>
      <c r="CB473" s="49">
        <f t="shared" si="75"/>
        <v>1</v>
      </c>
      <c r="CC473" s="49">
        <f t="shared" si="76"/>
        <v>0</v>
      </c>
      <c r="CD473" s="49">
        <f t="shared" si="77"/>
        <v>0</v>
      </c>
      <c r="CE473" s="49">
        <f t="shared" si="78"/>
        <v>0</v>
      </c>
    </row>
    <row r="474" spans="1:83" ht="35.1" customHeight="1" x14ac:dyDescent="0.3">
      <c r="A474" s="123" t="str">
        <f t="shared" si="280"/>
        <v>4팀</v>
      </c>
      <c r="B474" s="69">
        <f t="shared" si="281"/>
        <v>468</v>
      </c>
      <c r="C474" s="120" t="str">
        <f>IF(VLOOKUP($B474,'1. 현장별 인원현황'!$C:$J,2,0)=0,"",VLOOKUP($B474,'1. 현장별 인원현황'!$C:$J,2,0))</f>
        <v xml:space="preserve"> [4.롯데건설] 롯데바이오로직스 Project PROVIDENCE</v>
      </c>
      <c r="D474" s="70" t="str">
        <f>IF(VLOOKUP($B474,'1. 현장별 인원현황'!$C:$J,3,0)=0,"",VLOOKUP($B474,'1. 현장별 인원현황'!$C:$J,3,0))</f>
        <v>김지우</v>
      </c>
      <c r="E474" s="74" t="str">
        <f ca="1">IF(VLOOKUP($B474,'1. 현장별 인원현황'!$C:$J,4,0)=0,"",VLOOKUP($B474,'1. 현장별 인원현황'!$C:$J,4,0))</f>
        <v>26세</v>
      </c>
      <c r="F474" s="70" t="str">
        <f>IF(VLOOKUP($B474,'1. 현장별 인원현황'!$C:$J,7,0)=0,"",VLOOKUP($B474,'1. 현장별 인원현황'!$C:$J,7,0))</f>
        <v>기능공</v>
      </c>
      <c r="G474" s="72" t="str">
        <f>IF(VLOOKUP($B474,'1. 현장별 인원현황'!$C:$J,8,0)=0,"",VLOOKUP($B474,'1. 현장별 인원현황'!$C:$J,8,0))</f>
        <v>전공</v>
      </c>
      <c r="H474" s="67"/>
      <c r="I474" s="73"/>
      <c r="J474" s="73" t="s">
        <v>69</v>
      </c>
      <c r="K474" s="68"/>
      <c r="L474" s="67"/>
      <c r="M474" s="73" t="s">
        <v>69</v>
      </c>
      <c r="N474" s="73"/>
      <c r="O474" s="68"/>
      <c r="P474" s="67"/>
      <c r="Q474" s="73" t="s">
        <v>69</v>
      </c>
      <c r="R474" s="73"/>
      <c r="S474" s="68"/>
      <c r="T474" s="67"/>
      <c r="U474" s="73" t="s">
        <v>69</v>
      </c>
      <c r="V474" s="73"/>
      <c r="W474" s="68"/>
      <c r="X474" s="67" t="s">
        <v>69</v>
      </c>
      <c r="Y474" s="73"/>
      <c r="Z474" s="73"/>
      <c r="AA474" s="68"/>
      <c r="AB474" s="67"/>
      <c r="AC474" s="73"/>
      <c r="AD474" s="73" t="s">
        <v>69</v>
      </c>
      <c r="AE474" s="68"/>
      <c r="AF474" s="67"/>
      <c r="AG474" s="73" t="s">
        <v>69</v>
      </c>
      <c r="AH474" s="73"/>
      <c r="AI474" s="68"/>
      <c r="AJ474" s="67"/>
      <c r="AK474" s="73" t="s">
        <v>69</v>
      </c>
      <c r="AL474" s="73"/>
      <c r="AM474" s="68"/>
      <c r="AN474" s="73" t="s">
        <v>69</v>
      </c>
      <c r="AO474" s="73"/>
      <c r="AP474" s="73"/>
      <c r="AQ474" s="68"/>
      <c r="AR474" s="67">
        <f t="shared" si="282"/>
        <v>77</v>
      </c>
      <c r="AS474" s="68" t="str">
        <f t="shared" si="283"/>
        <v>A</v>
      </c>
      <c r="AV474" s="49">
        <f t="shared" ref="AV474:AV507" si="284">IF(H474&gt;0,1,0)</f>
        <v>0</v>
      </c>
      <c r="AW474" s="49">
        <f t="shared" ref="AW474:AW507" si="285">IF(I474&gt;0,1,0)</f>
        <v>0</v>
      </c>
      <c r="AX474" s="49">
        <f t="shared" ref="AX474:AX507" si="286">IF(J474&gt;0,1,0)</f>
        <v>1</v>
      </c>
      <c r="AY474" s="49">
        <f t="shared" ref="AY474:AY507" si="287">IF(K474&gt;0,1,0)</f>
        <v>0</v>
      </c>
      <c r="AZ474" s="49">
        <f t="shared" ref="AZ474:AZ507" si="288">IF(L474&gt;0,1,0)</f>
        <v>0</v>
      </c>
      <c r="BA474" s="49">
        <f t="shared" ref="BA474:BA507" si="289">IF(M474&gt;0,1,0)</f>
        <v>1</v>
      </c>
      <c r="BB474" s="49">
        <f t="shared" ref="BB474:BB507" si="290">IF(N474&gt;0,1,0)</f>
        <v>0</v>
      </c>
      <c r="BC474" s="49">
        <f t="shared" ref="BC474:BC507" si="291">IF(O474&gt;0,1,0)</f>
        <v>0</v>
      </c>
      <c r="BD474" s="49">
        <f t="shared" ref="BD474:BD507" si="292">IF(P474&gt;0,1,0)</f>
        <v>0</v>
      </c>
      <c r="BE474" s="49">
        <f t="shared" ref="BE474:BE507" si="293">IF(Q474&gt;0,1,0)</f>
        <v>1</v>
      </c>
      <c r="BF474" s="49">
        <f t="shared" ref="BF474:BF507" si="294">IF(R474&gt;0,1,0)</f>
        <v>0</v>
      </c>
      <c r="BG474" s="49">
        <f t="shared" ref="BG474:BG507" si="295">IF(S474&gt;0,1,0)</f>
        <v>0</v>
      </c>
      <c r="BH474" s="49">
        <f t="shared" ref="BH474:BH507" si="296">IF(T474&gt;0,1,0)</f>
        <v>0</v>
      </c>
      <c r="BI474" s="49">
        <f t="shared" ref="BI474:BI507" si="297">IF(U474&gt;0,1,0)</f>
        <v>1</v>
      </c>
      <c r="BJ474" s="49">
        <f t="shared" ref="BJ474:BJ507" si="298">IF(V474&gt;0,1,0)</f>
        <v>0</v>
      </c>
      <c r="BK474" s="49">
        <f t="shared" ref="BK474:BK507" si="299">IF(W474&gt;0,1,0)</f>
        <v>0</v>
      </c>
      <c r="BL474" s="49">
        <f t="shared" ref="BL474:BL507" si="300">IF(X474&gt;0,1,0)</f>
        <v>1</v>
      </c>
      <c r="BM474" s="49">
        <f t="shared" ref="BM474:BM507" si="301">IF(Y474&gt;0,1,0)</f>
        <v>0</v>
      </c>
      <c r="BN474" s="49">
        <f t="shared" ref="BN474:BN507" si="302">IF(Z474&gt;0,1,0)</f>
        <v>0</v>
      </c>
      <c r="BO474" s="49">
        <f t="shared" ref="BO474:BO507" si="303">IF(AA474&gt;0,1,0)</f>
        <v>0</v>
      </c>
      <c r="BP474" s="49">
        <f t="shared" ref="BP474:BP507" si="304">IF(AB474&gt;0,1,0)</f>
        <v>0</v>
      </c>
      <c r="BQ474" s="49">
        <f t="shared" ref="BQ474:BQ507" si="305">IF(AC474&gt;0,1,0)</f>
        <v>0</v>
      </c>
      <c r="BR474" s="49">
        <f t="shared" ref="BR474:BR507" si="306">IF(AD474&gt;0,1,0)</f>
        <v>1</v>
      </c>
      <c r="BS474" s="49">
        <f t="shared" ref="BS474:BS507" si="307">IF(AE474&gt;0,1,0)</f>
        <v>0</v>
      </c>
      <c r="BT474" s="49">
        <f t="shared" ref="BT474:BT507" si="308">IF(AF474&gt;0,1,0)</f>
        <v>0</v>
      </c>
      <c r="BU474" s="49">
        <f t="shared" ref="BU474:BU507" si="309">IF(AG474&gt;0,1,0)</f>
        <v>1</v>
      </c>
      <c r="BV474" s="49">
        <f t="shared" ref="BV474:BV507" si="310">IF(AH474&gt;0,1,0)</f>
        <v>0</v>
      </c>
      <c r="BW474" s="49">
        <f t="shared" ref="BW474:BW507" si="311">IF(AI474&gt;0,1,0)</f>
        <v>0</v>
      </c>
      <c r="BX474" s="49">
        <f t="shared" ref="BX474:BX507" si="312">IF(AJ474&gt;0,1,0)</f>
        <v>0</v>
      </c>
      <c r="BY474" s="49">
        <f t="shared" ref="BY474:BY507" si="313">IF(AK474&gt;0,1,0)</f>
        <v>1</v>
      </c>
      <c r="BZ474" s="49">
        <f t="shared" ref="BZ474:BZ507" si="314">IF(AL474&gt;0,1,0)</f>
        <v>0</v>
      </c>
      <c r="CA474" s="49">
        <f t="shared" ref="CA474:CA507" si="315">IF(AM474&gt;0,1,0)</f>
        <v>0</v>
      </c>
      <c r="CB474" s="49">
        <f t="shared" ref="CB474:CB507" si="316">IF(AN474&gt;0,1,0)</f>
        <v>1</v>
      </c>
      <c r="CC474" s="49">
        <f t="shared" ref="CC474:CC507" si="317">IF(AO474&gt;0,1,0)</f>
        <v>0</v>
      </c>
      <c r="CD474" s="49">
        <f t="shared" ref="CD474:CD507" si="318">IF(AP474&gt;0,1,0)</f>
        <v>0</v>
      </c>
      <c r="CE474" s="49">
        <f t="shared" ref="CE474:CE507" si="319">IF(AQ474&gt;0,1,0)</f>
        <v>0</v>
      </c>
    </row>
    <row r="475" spans="1:83" ht="35.1" customHeight="1" x14ac:dyDescent="0.3">
      <c r="A475" s="123" t="str">
        <f t="shared" si="280"/>
        <v>4팀</v>
      </c>
      <c r="B475" s="69">
        <f t="shared" si="281"/>
        <v>469</v>
      </c>
      <c r="C475" s="120" t="str">
        <f>IF(VLOOKUP($B475,'1. 현장별 인원현황'!$C:$J,2,0)=0,"",VLOOKUP($B475,'1. 현장별 인원현황'!$C:$J,2,0))</f>
        <v xml:space="preserve"> [4.롯데건설] 롯데바이오로직스 Project PROVIDENCE</v>
      </c>
      <c r="D475" s="70" t="str">
        <f>IF(VLOOKUP($B475,'1. 현장별 인원현황'!$C:$J,3,0)=0,"",VLOOKUP($B475,'1. 현장별 인원현황'!$C:$J,3,0))</f>
        <v>박예하</v>
      </c>
      <c r="E475" s="74" t="str">
        <f ca="1">IF(VLOOKUP($B475,'1. 현장별 인원현황'!$C:$J,4,0)=0,"",VLOOKUP($B475,'1. 현장별 인원현황'!$C:$J,4,0))</f>
        <v>57세</v>
      </c>
      <c r="F475" s="70" t="str">
        <f>IF(VLOOKUP($B475,'1. 현장별 인원현황'!$C:$J,7,0)=0,"",VLOOKUP($B475,'1. 현장별 인원현황'!$C:$J,7,0))</f>
        <v>기능공</v>
      </c>
      <c r="G475" s="72" t="str">
        <f>IF(VLOOKUP($B475,'1. 현장별 인원현황'!$C:$J,8,0)=0,"",VLOOKUP($B475,'1. 현장별 인원현황'!$C:$J,8,0))</f>
        <v>전공</v>
      </c>
      <c r="H475" s="67"/>
      <c r="I475" s="73" t="s">
        <v>69</v>
      </c>
      <c r="J475" s="73"/>
      <c r="K475" s="68"/>
      <c r="L475" s="67"/>
      <c r="M475" s="73" t="s">
        <v>69</v>
      </c>
      <c r="N475" s="73"/>
      <c r="O475" s="68"/>
      <c r="P475" s="67"/>
      <c r="Q475" s="73" t="s">
        <v>69</v>
      </c>
      <c r="R475" s="73"/>
      <c r="S475" s="68"/>
      <c r="T475" s="67"/>
      <c r="U475" s="73" t="s">
        <v>69</v>
      </c>
      <c r="V475" s="73"/>
      <c r="W475" s="68"/>
      <c r="X475" s="67" t="s">
        <v>69</v>
      </c>
      <c r="Y475" s="73"/>
      <c r="Z475" s="73"/>
      <c r="AA475" s="68"/>
      <c r="AB475" s="67"/>
      <c r="AC475" s="73" t="s">
        <v>69</v>
      </c>
      <c r="AD475" s="73"/>
      <c r="AE475" s="68"/>
      <c r="AF475" s="67"/>
      <c r="AG475" s="73" t="s">
        <v>69</v>
      </c>
      <c r="AH475" s="73"/>
      <c r="AI475" s="68"/>
      <c r="AJ475" s="67"/>
      <c r="AK475" s="73" t="s">
        <v>69</v>
      </c>
      <c r="AL475" s="73"/>
      <c r="AM475" s="68"/>
      <c r="AN475" s="73" t="s">
        <v>69</v>
      </c>
      <c r="AO475" s="73"/>
      <c r="AP475" s="73"/>
      <c r="AQ475" s="68"/>
      <c r="AR475" s="67">
        <f t="shared" si="282"/>
        <v>82</v>
      </c>
      <c r="AS475" s="68" t="str">
        <f t="shared" si="283"/>
        <v>A</v>
      </c>
      <c r="AV475" s="49">
        <f t="shared" si="284"/>
        <v>0</v>
      </c>
      <c r="AW475" s="49">
        <f t="shared" si="285"/>
        <v>1</v>
      </c>
      <c r="AX475" s="49">
        <f t="shared" si="286"/>
        <v>0</v>
      </c>
      <c r="AY475" s="49">
        <f t="shared" si="287"/>
        <v>0</v>
      </c>
      <c r="AZ475" s="49">
        <f t="shared" si="288"/>
        <v>0</v>
      </c>
      <c r="BA475" s="49">
        <f t="shared" si="289"/>
        <v>1</v>
      </c>
      <c r="BB475" s="49">
        <f t="shared" si="290"/>
        <v>0</v>
      </c>
      <c r="BC475" s="49">
        <f t="shared" si="291"/>
        <v>0</v>
      </c>
      <c r="BD475" s="49">
        <f t="shared" si="292"/>
        <v>0</v>
      </c>
      <c r="BE475" s="49">
        <f t="shared" si="293"/>
        <v>1</v>
      </c>
      <c r="BF475" s="49">
        <f t="shared" si="294"/>
        <v>0</v>
      </c>
      <c r="BG475" s="49">
        <f t="shared" si="295"/>
        <v>0</v>
      </c>
      <c r="BH475" s="49">
        <f t="shared" si="296"/>
        <v>0</v>
      </c>
      <c r="BI475" s="49">
        <f t="shared" si="297"/>
        <v>1</v>
      </c>
      <c r="BJ475" s="49">
        <f t="shared" si="298"/>
        <v>0</v>
      </c>
      <c r="BK475" s="49">
        <f t="shared" si="299"/>
        <v>0</v>
      </c>
      <c r="BL475" s="49">
        <f t="shared" si="300"/>
        <v>1</v>
      </c>
      <c r="BM475" s="49">
        <f t="shared" si="301"/>
        <v>0</v>
      </c>
      <c r="BN475" s="49">
        <f t="shared" si="302"/>
        <v>0</v>
      </c>
      <c r="BO475" s="49">
        <f t="shared" si="303"/>
        <v>0</v>
      </c>
      <c r="BP475" s="49">
        <f t="shared" si="304"/>
        <v>0</v>
      </c>
      <c r="BQ475" s="49">
        <f t="shared" si="305"/>
        <v>1</v>
      </c>
      <c r="BR475" s="49">
        <f t="shared" si="306"/>
        <v>0</v>
      </c>
      <c r="BS475" s="49">
        <f t="shared" si="307"/>
        <v>0</v>
      </c>
      <c r="BT475" s="49">
        <f t="shared" si="308"/>
        <v>0</v>
      </c>
      <c r="BU475" s="49">
        <f t="shared" si="309"/>
        <v>1</v>
      </c>
      <c r="BV475" s="49">
        <f t="shared" si="310"/>
        <v>0</v>
      </c>
      <c r="BW475" s="49">
        <f t="shared" si="311"/>
        <v>0</v>
      </c>
      <c r="BX475" s="49">
        <f t="shared" si="312"/>
        <v>0</v>
      </c>
      <c r="BY475" s="49">
        <f t="shared" si="313"/>
        <v>1</v>
      </c>
      <c r="BZ475" s="49">
        <f t="shared" si="314"/>
        <v>0</v>
      </c>
      <c r="CA475" s="49">
        <f t="shared" si="315"/>
        <v>0</v>
      </c>
      <c r="CB475" s="49">
        <f t="shared" si="316"/>
        <v>1</v>
      </c>
      <c r="CC475" s="49">
        <f t="shared" si="317"/>
        <v>0</v>
      </c>
      <c r="CD475" s="49">
        <f t="shared" si="318"/>
        <v>0</v>
      </c>
      <c r="CE475" s="49">
        <f t="shared" si="319"/>
        <v>0</v>
      </c>
    </row>
    <row r="476" spans="1:83" ht="35.1" customHeight="1" x14ac:dyDescent="0.3">
      <c r="A476" s="123" t="str">
        <f t="shared" si="280"/>
        <v>4팀</v>
      </c>
      <c r="B476" s="69">
        <f t="shared" si="281"/>
        <v>470</v>
      </c>
      <c r="C476" s="120" t="str">
        <f>IF(VLOOKUP($B476,'1. 현장별 인원현황'!$C:$J,2,0)=0,"",VLOOKUP($B476,'1. 현장별 인원현황'!$C:$J,2,0))</f>
        <v xml:space="preserve"> [4.롯데건설] 롯데바이오로직스 Project PROVIDENCE</v>
      </c>
      <c r="D476" s="70" t="str">
        <f>IF(VLOOKUP($B476,'1. 현장별 인원현황'!$C:$J,3,0)=0,"",VLOOKUP($B476,'1. 현장별 인원현황'!$C:$J,3,0))</f>
        <v>성민호</v>
      </c>
      <c r="E476" s="74" t="str">
        <f ca="1">IF(VLOOKUP($B476,'1. 현장별 인원현황'!$C:$J,4,0)=0,"",VLOOKUP($B476,'1. 현장별 인원현황'!$C:$J,4,0))</f>
        <v>44세</v>
      </c>
      <c r="F476" s="70" t="str">
        <f>IF(VLOOKUP($B476,'1. 현장별 인원현황'!$C:$J,7,0)=0,"",VLOOKUP($B476,'1. 현장별 인원현황'!$C:$J,7,0))</f>
        <v>기능공</v>
      </c>
      <c r="G476" s="72" t="str">
        <f>IF(VLOOKUP($B476,'1. 현장별 인원현황'!$C:$J,8,0)=0,"",VLOOKUP($B476,'1. 현장별 인원현황'!$C:$J,8,0))</f>
        <v>전공</v>
      </c>
      <c r="H476" s="67"/>
      <c r="I476" s="73" t="s">
        <v>69</v>
      </c>
      <c r="J476" s="73"/>
      <c r="K476" s="68"/>
      <c r="L476" s="67"/>
      <c r="M476" s="73" t="s">
        <v>69</v>
      </c>
      <c r="N476" s="73"/>
      <c r="O476" s="68"/>
      <c r="P476" s="67"/>
      <c r="Q476" s="73" t="s">
        <v>69</v>
      </c>
      <c r="R476" s="73"/>
      <c r="S476" s="68"/>
      <c r="T476" s="67"/>
      <c r="U476" s="73" t="s">
        <v>69</v>
      </c>
      <c r="V476" s="73"/>
      <c r="W476" s="68"/>
      <c r="X476" s="67" t="s">
        <v>69</v>
      </c>
      <c r="Y476" s="73"/>
      <c r="Z476" s="73"/>
      <c r="AA476" s="68"/>
      <c r="AB476" s="67"/>
      <c r="AC476" s="73" t="s">
        <v>69</v>
      </c>
      <c r="AD476" s="73"/>
      <c r="AE476" s="68"/>
      <c r="AF476" s="67"/>
      <c r="AG476" s="73" t="s">
        <v>69</v>
      </c>
      <c r="AH476" s="73"/>
      <c r="AI476" s="68"/>
      <c r="AJ476" s="67"/>
      <c r="AK476" s="73" t="s">
        <v>69</v>
      </c>
      <c r="AL476" s="73"/>
      <c r="AM476" s="68"/>
      <c r="AN476" s="73" t="s">
        <v>69</v>
      </c>
      <c r="AO476" s="73"/>
      <c r="AP476" s="73"/>
      <c r="AQ476" s="68"/>
      <c r="AR476" s="67">
        <f t="shared" si="282"/>
        <v>82</v>
      </c>
      <c r="AS476" s="68" t="str">
        <f t="shared" si="283"/>
        <v>A</v>
      </c>
      <c r="AV476" s="49">
        <f t="shared" si="284"/>
        <v>0</v>
      </c>
      <c r="AW476" s="49">
        <f t="shared" si="285"/>
        <v>1</v>
      </c>
      <c r="AX476" s="49">
        <f t="shared" si="286"/>
        <v>0</v>
      </c>
      <c r="AY476" s="49">
        <f t="shared" si="287"/>
        <v>0</v>
      </c>
      <c r="AZ476" s="49">
        <f t="shared" si="288"/>
        <v>0</v>
      </c>
      <c r="BA476" s="49">
        <f t="shared" si="289"/>
        <v>1</v>
      </c>
      <c r="BB476" s="49">
        <f t="shared" si="290"/>
        <v>0</v>
      </c>
      <c r="BC476" s="49">
        <f t="shared" si="291"/>
        <v>0</v>
      </c>
      <c r="BD476" s="49">
        <f t="shared" si="292"/>
        <v>0</v>
      </c>
      <c r="BE476" s="49">
        <f t="shared" si="293"/>
        <v>1</v>
      </c>
      <c r="BF476" s="49">
        <f t="shared" si="294"/>
        <v>0</v>
      </c>
      <c r="BG476" s="49">
        <f t="shared" si="295"/>
        <v>0</v>
      </c>
      <c r="BH476" s="49">
        <f t="shared" si="296"/>
        <v>0</v>
      </c>
      <c r="BI476" s="49">
        <f t="shared" si="297"/>
        <v>1</v>
      </c>
      <c r="BJ476" s="49">
        <f t="shared" si="298"/>
        <v>0</v>
      </c>
      <c r="BK476" s="49">
        <f t="shared" si="299"/>
        <v>0</v>
      </c>
      <c r="BL476" s="49">
        <f t="shared" si="300"/>
        <v>1</v>
      </c>
      <c r="BM476" s="49">
        <f t="shared" si="301"/>
        <v>0</v>
      </c>
      <c r="BN476" s="49">
        <f t="shared" si="302"/>
        <v>0</v>
      </c>
      <c r="BO476" s="49">
        <f t="shared" si="303"/>
        <v>0</v>
      </c>
      <c r="BP476" s="49">
        <f t="shared" si="304"/>
        <v>0</v>
      </c>
      <c r="BQ476" s="49">
        <f t="shared" si="305"/>
        <v>1</v>
      </c>
      <c r="BR476" s="49">
        <f t="shared" si="306"/>
        <v>0</v>
      </c>
      <c r="BS476" s="49">
        <f t="shared" si="307"/>
        <v>0</v>
      </c>
      <c r="BT476" s="49">
        <f t="shared" si="308"/>
        <v>0</v>
      </c>
      <c r="BU476" s="49">
        <f t="shared" si="309"/>
        <v>1</v>
      </c>
      <c r="BV476" s="49">
        <f t="shared" si="310"/>
        <v>0</v>
      </c>
      <c r="BW476" s="49">
        <f t="shared" si="311"/>
        <v>0</v>
      </c>
      <c r="BX476" s="49">
        <f t="shared" si="312"/>
        <v>0</v>
      </c>
      <c r="BY476" s="49">
        <f t="shared" si="313"/>
        <v>1</v>
      </c>
      <c r="BZ476" s="49">
        <f t="shared" si="314"/>
        <v>0</v>
      </c>
      <c r="CA476" s="49">
        <f t="shared" si="315"/>
        <v>0</v>
      </c>
      <c r="CB476" s="49">
        <f t="shared" si="316"/>
        <v>1</v>
      </c>
      <c r="CC476" s="49">
        <f t="shared" si="317"/>
        <v>0</v>
      </c>
      <c r="CD476" s="49">
        <f t="shared" si="318"/>
        <v>0</v>
      </c>
      <c r="CE476" s="49">
        <f t="shared" si="319"/>
        <v>0</v>
      </c>
    </row>
    <row r="477" spans="1:83" ht="35.1" customHeight="1" x14ac:dyDescent="0.3">
      <c r="A477" s="123" t="str">
        <f t="shared" si="280"/>
        <v>4팀</v>
      </c>
      <c r="B477" s="69">
        <f t="shared" si="281"/>
        <v>471</v>
      </c>
      <c r="C477" s="120" t="str">
        <f>IF(VLOOKUP($B477,'1. 현장별 인원현황'!$C:$J,2,0)=0,"",VLOOKUP($B477,'1. 현장별 인원현황'!$C:$J,2,0))</f>
        <v xml:space="preserve"> [4.롯데건설] 롯데바이오로직스 Project PROVIDENCE</v>
      </c>
      <c r="D477" s="70" t="str">
        <f>IF(VLOOKUP($B477,'1. 현장별 인원현황'!$C:$J,3,0)=0,"",VLOOKUP($B477,'1. 현장별 인원현황'!$C:$J,3,0))</f>
        <v>안상영</v>
      </c>
      <c r="E477" s="74" t="str">
        <f ca="1">IF(VLOOKUP($B477,'1. 현장별 인원현황'!$C:$J,4,0)=0,"",VLOOKUP($B477,'1. 현장별 인원현황'!$C:$J,4,0))</f>
        <v>29세</v>
      </c>
      <c r="F477" s="70" t="str">
        <f>IF(VLOOKUP($B477,'1. 현장별 인원현황'!$C:$J,7,0)=0,"",VLOOKUP($B477,'1. 현장별 인원현황'!$C:$J,7,0))</f>
        <v>기능공</v>
      </c>
      <c r="G477" s="72" t="str">
        <f>IF(VLOOKUP($B477,'1. 현장별 인원현황'!$C:$J,8,0)=0,"",VLOOKUP($B477,'1. 현장별 인원현황'!$C:$J,8,0))</f>
        <v>전공</v>
      </c>
      <c r="H477" s="67"/>
      <c r="I477" s="73" t="s">
        <v>69</v>
      </c>
      <c r="J477" s="73"/>
      <c r="K477" s="68"/>
      <c r="L477" s="67"/>
      <c r="M477" s="73" t="s">
        <v>69</v>
      </c>
      <c r="N477" s="73"/>
      <c r="O477" s="68"/>
      <c r="P477" s="67"/>
      <c r="Q477" s="73" t="s">
        <v>69</v>
      </c>
      <c r="R477" s="73"/>
      <c r="S477" s="68"/>
      <c r="T477" s="67"/>
      <c r="U477" s="73" t="s">
        <v>69</v>
      </c>
      <c r="V477" s="73"/>
      <c r="W477" s="68"/>
      <c r="X477" s="67" t="s">
        <v>69</v>
      </c>
      <c r="Y477" s="73"/>
      <c r="Z477" s="73"/>
      <c r="AA477" s="68"/>
      <c r="AB477" s="67"/>
      <c r="AC477" s="73" t="s">
        <v>69</v>
      </c>
      <c r="AD477" s="73"/>
      <c r="AE477" s="68"/>
      <c r="AF477" s="67" t="s">
        <v>69</v>
      </c>
      <c r="AG477" s="73"/>
      <c r="AH477" s="73"/>
      <c r="AI477" s="68"/>
      <c r="AJ477" s="67"/>
      <c r="AK477" s="73" t="s">
        <v>69</v>
      </c>
      <c r="AL477" s="73"/>
      <c r="AM477" s="68"/>
      <c r="AN477" s="73" t="s">
        <v>69</v>
      </c>
      <c r="AO477" s="73"/>
      <c r="AP477" s="73"/>
      <c r="AQ477" s="68"/>
      <c r="AR477" s="67">
        <f t="shared" si="282"/>
        <v>84</v>
      </c>
      <c r="AS477" s="68" t="str">
        <f t="shared" si="283"/>
        <v>A</v>
      </c>
      <c r="AV477" s="49">
        <f t="shared" si="284"/>
        <v>0</v>
      </c>
      <c r="AW477" s="49">
        <f t="shared" si="285"/>
        <v>1</v>
      </c>
      <c r="AX477" s="49">
        <f t="shared" si="286"/>
        <v>0</v>
      </c>
      <c r="AY477" s="49">
        <f t="shared" si="287"/>
        <v>0</v>
      </c>
      <c r="AZ477" s="49">
        <f t="shared" si="288"/>
        <v>0</v>
      </c>
      <c r="BA477" s="49">
        <f t="shared" si="289"/>
        <v>1</v>
      </c>
      <c r="BB477" s="49">
        <f t="shared" si="290"/>
        <v>0</v>
      </c>
      <c r="BC477" s="49">
        <f t="shared" si="291"/>
        <v>0</v>
      </c>
      <c r="BD477" s="49">
        <f t="shared" si="292"/>
        <v>0</v>
      </c>
      <c r="BE477" s="49">
        <f t="shared" si="293"/>
        <v>1</v>
      </c>
      <c r="BF477" s="49">
        <f t="shared" si="294"/>
        <v>0</v>
      </c>
      <c r="BG477" s="49">
        <f t="shared" si="295"/>
        <v>0</v>
      </c>
      <c r="BH477" s="49">
        <f t="shared" si="296"/>
        <v>0</v>
      </c>
      <c r="BI477" s="49">
        <f t="shared" si="297"/>
        <v>1</v>
      </c>
      <c r="BJ477" s="49">
        <f t="shared" si="298"/>
        <v>0</v>
      </c>
      <c r="BK477" s="49">
        <f t="shared" si="299"/>
        <v>0</v>
      </c>
      <c r="BL477" s="49">
        <f t="shared" si="300"/>
        <v>1</v>
      </c>
      <c r="BM477" s="49">
        <f t="shared" si="301"/>
        <v>0</v>
      </c>
      <c r="BN477" s="49">
        <f t="shared" si="302"/>
        <v>0</v>
      </c>
      <c r="BO477" s="49">
        <f t="shared" si="303"/>
        <v>0</v>
      </c>
      <c r="BP477" s="49">
        <f t="shared" si="304"/>
        <v>0</v>
      </c>
      <c r="BQ477" s="49">
        <f t="shared" si="305"/>
        <v>1</v>
      </c>
      <c r="BR477" s="49">
        <f t="shared" si="306"/>
        <v>0</v>
      </c>
      <c r="BS477" s="49">
        <f t="shared" si="307"/>
        <v>0</v>
      </c>
      <c r="BT477" s="49">
        <f t="shared" si="308"/>
        <v>1</v>
      </c>
      <c r="BU477" s="49">
        <f t="shared" si="309"/>
        <v>0</v>
      </c>
      <c r="BV477" s="49">
        <f t="shared" si="310"/>
        <v>0</v>
      </c>
      <c r="BW477" s="49">
        <f t="shared" si="311"/>
        <v>0</v>
      </c>
      <c r="BX477" s="49">
        <f t="shared" si="312"/>
        <v>0</v>
      </c>
      <c r="BY477" s="49">
        <f t="shared" si="313"/>
        <v>1</v>
      </c>
      <c r="BZ477" s="49">
        <f t="shared" si="314"/>
        <v>0</v>
      </c>
      <c r="CA477" s="49">
        <f t="shared" si="315"/>
        <v>0</v>
      </c>
      <c r="CB477" s="49">
        <f t="shared" si="316"/>
        <v>1</v>
      </c>
      <c r="CC477" s="49">
        <f t="shared" si="317"/>
        <v>0</v>
      </c>
      <c r="CD477" s="49">
        <f t="shared" si="318"/>
        <v>0</v>
      </c>
      <c r="CE477" s="49">
        <f t="shared" si="319"/>
        <v>0</v>
      </c>
    </row>
    <row r="478" spans="1:83" ht="35.1" customHeight="1" x14ac:dyDescent="0.3">
      <c r="A478" s="123" t="str">
        <f t="shared" si="280"/>
        <v>4팀</v>
      </c>
      <c r="B478" s="69">
        <f t="shared" si="281"/>
        <v>472</v>
      </c>
      <c r="C478" s="120" t="str">
        <f>IF(VLOOKUP($B478,'1. 현장별 인원현황'!$C:$J,2,0)=0,"",VLOOKUP($B478,'1. 현장별 인원현황'!$C:$J,2,0))</f>
        <v xml:space="preserve"> [4.롯데건설] 롯데바이오로직스 Project PROVIDENCE</v>
      </c>
      <c r="D478" s="70" t="str">
        <f>IF(VLOOKUP($B478,'1. 현장별 인원현황'!$C:$J,3,0)=0,"",VLOOKUP($B478,'1. 현장별 인원현황'!$C:$J,3,0))</f>
        <v>양재훈</v>
      </c>
      <c r="E478" s="74" t="str">
        <f ca="1">IF(VLOOKUP($B478,'1. 현장별 인원현황'!$C:$J,4,0)=0,"",VLOOKUP($B478,'1. 현장별 인원현황'!$C:$J,4,0))</f>
        <v>29세</v>
      </c>
      <c r="F478" s="70" t="str">
        <f>IF(VLOOKUP($B478,'1. 현장별 인원현황'!$C:$J,7,0)=0,"",VLOOKUP($B478,'1. 현장별 인원현황'!$C:$J,7,0))</f>
        <v>기능공</v>
      </c>
      <c r="G478" s="72" t="str">
        <f>IF(VLOOKUP($B478,'1. 현장별 인원현황'!$C:$J,8,0)=0,"",VLOOKUP($B478,'1. 현장별 인원현황'!$C:$J,8,0))</f>
        <v>전공</v>
      </c>
      <c r="H478" s="67"/>
      <c r="I478" s="73" t="s">
        <v>69</v>
      </c>
      <c r="J478" s="73"/>
      <c r="K478" s="68"/>
      <c r="L478" s="67"/>
      <c r="M478" s="73" t="s">
        <v>69</v>
      </c>
      <c r="N478" s="73"/>
      <c r="O478" s="68"/>
      <c r="P478" s="67"/>
      <c r="Q478" s="73" t="s">
        <v>69</v>
      </c>
      <c r="R478" s="73"/>
      <c r="S478" s="68"/>
      <c r="T478" s="67"/>
      <c r="U478" s="73" t="s">
        <v>69</v>
      </c>
      <c r="V478" s="73"/>
      <c r="W478" s="68"/>
      <c r="X478" s="67" t="s">
        <v>69</v>
      </c>
      <c r="Y478" s="73"/>
      <c r="Z478" s="73"/>
      <c r="AA478" s="68"/>
      <c r="AB478" s="67"/>
      <c r="AC478" s="73" t="s">
        <v>69</v>
      </c>
      <c r="AD478" s="73"/>
      <c r="AE478" s="68"/>
      <c r="AF478" s="67" t="s">
        <v>69</v>
      </c>
      <c r="AG478" s="73"/>
      <c r="AH478" s="73"/>
      <c r="AI478" s="68"/>
      <c r="AJ478" s="67"/>
      <c r="AK478" s="73" t="s">
        <v>69</v>
      </c>
      <c r="AL478" s="73"/>
      <c r="AM478" s="68"/>
      <c r="AN478" s="73" t="s">
        <v>69</v>
      </c>
      <c r="AO478" s="73"/>
      <c r="AP478" s="73"/>
      <c r="AQ478" s="68"/>
      <c r="AR478" s="67">
        <f t="shared" si="282"/>
        <v>84</v>
      </c>
      <c r="AS478" s="68" t="str">
        <f t="shared" si="283"/>
        <v>A</v>
      </c>
      <c r="AV478" s="49">
        <f t="shared" si="284"/>
        <v>0</v>
      </c>
      <c r="AW478" s="49">
        <f t="shared" si="285"/>
        <v>1</v>
      </c>
      <c r="AX478" s="49">
        <f t="shared" si="286"/>
        <v>0</v>
      </c>
      <c r="AY478" s="49">
        <f t="shared" si="287"/>
        <v>0</v>
      </c>
      <c r="AZ478" s="49">
        <f t="shared" si="288"/>
        <v>0</v>
      </c>
      <c r="BA478" s="49">
        <f t="shared" si="289"/>
        <v>1</v>
      </c>
      <c r="BB478" s="49">
        <f t="shared" si="290"/>
        <v>0</v>
      </c>
      <c r="BC478" s="49">
        <f t="shared" si="291"/>
        <v>0</v>
      </c>
      <c r="BD478" s="49">
        <f t="shared" si="292"/>
        <v>0</v>
      </c>
      <c r="BE478" s="49">
        <f t="shared" si="293"/>
        <v>1</v>
      </c>
      <c r="BF478" s="49">
        <f t="shared" si="294"/>
        <v>0</v>
      </c>
      <c r="BG478" s="49">
        <f t="shared" si="295"/>
        <v>0</v>
      </c>
      <c r="BH478" s="49">
        <f t="shared" si="296"/>
        <v>0</v>
      </c>
      <c r="BI478" s="49">
        <f t="shared" si="297"/>
        <v>1</v>
      </c>
      <c r="BJ478" s="49">
        <f t="shared" si="298"/>
        <v>0</v>
      </c>
      <c r="BK478" s="49">
        <f t="shared" si="299"/>
        <v>0</v>
      </c>
      <c r="BL478" s="49">
        <f t="shared" si="300"/>
        <v>1</v>
      </c>
      <c r="BM478" s="49">
        <f t="shared" si="301"/>
        <v>0</v>
      </c>
      <c r="BN478" s="49">
        <f t="shared" si="302"/>
        <v>0</v>
      </c>
      <c r="BO478" s="49">
        <f t="shared" si="303"/>
        <v>0</v>
      </c>
      <c r="BP478" s="49">
        <f t="shared" si="304"/>
        <v>0</v>
      </c>
      <c r="BQ478" s="49">
        <f t="shared" si="305"/>
        <v>1</v>
      </c>
      <c r="BR478" s="49">
        <f t="shared" si="306"/>
        <v>0</v>
      </c>
      <c r="BS478" s="49">
        <f t="shared" si="307"/>
        <v>0</v>
      </c>
      <c r="BT478" s="49">
        <f t="shared" si="308"/>
        <v>1</v>
      </c>
      <c r="BU478" s="49">
        <f t="shared" si="309"/>
        <v>0</v>
      </c>
      <c r="BV478" s="49">
        <f t="shared" si="310"/>
        <v>0</v>
      </c>
      <c r="BW478" s="49">
        <f t="shared" si="311"/>
        <v>0</v>
      </c>
      <c r="BX478" s="49">
        <f t="shared" si="312"/>
        <v>0</v>
      </c>
      <c r="BY478" s="49">
        <f t="shared" si="313"/>
        <v>1</v>
      </c>
      <c r="BZ478" s="49">
        <f t="shared" si="314"/>
        <v>0</v>
      </c>
      <c r="CA478" s="49">
        <f t="shared" si="315"/>
        <v>0</v>
      </c>
      <c r="CB478" s="49">
        <f t="shared" si="316"/>
        <v>1</v>
      </c>
      <c r="CC478" s="49">
        <f t="shared" si="317"/>
        <v>0</v>
      </c>
      <c r="CD478" s="49">
        <f t="shared" si="318"/>
        <v>0</v>
      </c>
      <c r="CE478" s="49">
        <f t="shared" si="319"/>
        <v>0</v>
      </c>
    </row>
    <row r="479" spans="1:83" ht="35.1" customHeight="1" x14ac:dyDescent="0.3">
      <c r="A479" s="123" t="str">
        <f t="shared" si="280"/>
        <v>4팀</v>
      </c>
      <c r="B479" s="69">
        <f t="shared" si="281"/>
        <v>473</v>
      </c>
      <c r="C479" s="120" t="str">
        <f>IF(VLOOKUP($B479,'1. 현장별 인원현황'!$C:$J,2,0)=0,"",VLOOKUP($B479,'1. 현장별 인원현황'!$C:$J,2,0))</f>
        <v xml:space="preserve"> [4.롯데건설] 롯데바이오로직스 Project PROVIDENCE</v>
      </c>
      <c r="D479" s="70" t="str">
        <f>IF(VLOOKUP($B479,'1. 현장별 인원현황'!$C:$J,3,0)=0,"",VLOOKUP($B479,'1. 현장별 인원현황'!$C:$J,3,0))</f>
        <v>이동현</v>
      </c>
      <c r="E479" s="74" t="str">
        <f ca="1">IF(VLOOKUP($B479,'1. 현장별 인원현황'!$C:$J,4,0)=0,"",VLOOKUP($B479,'1. 현장별 인원현황'!$C:$J,4,0))</f>
        <v>29세</v>
      </c>
      <c r="F479" s="70" t="str">
        <f>IF(VLOOKUP($B479,'1. 현장별 인원현황'!$C:$J,7,0)=0,"",VLOOKUP($B479,'1. 현장별 인원현황'!$C:$J,7,0))</f>
        <v>기능공</v>
      </c>
      <c r="G479" s="72" t="str">
        <f>IF(VLOOKUP($B479,'1. 현장별 인원현황'!$C:$J,8,0)=0,"",VLOOKUP($B479,'1. 현장별 인원현황'!$C:$J,8,0))</f>
        <v>전공</v>
      </c>
      <c r="H479" s="67"/>
      <c r="I479" s="73" t="s">
        <v>69</v>
      </c>
      <c r="J479" s="73"/>
      <c r="K479" s="68"/>
      <c r="L479" s="67"/>
      <c r="M479" s="73" t="s">
        <v>69</v>
      </c>
      <c r="N479" s="73"/>
      <c r="O479" s="68"/>
      <c r="P479" s="67"/>
      <c r="Q479" s="73" t="s">
        <v>69</v>
      </c>
      <c r="R479" s="73"/>
      <c r="S479" s="68"/>
      <c r="T479" s="67"/>
      <c r="U479" s="73" t="s">
        <v>69</v>
      </c>
      <c r="V479" s="73"/>
      <c r="W479" s="68"/>
      <c r="X479" s="67" t="s">
        <v>69</v>
      </c>
      <c r="Y479" s="73"/>
      <c r="Z479" s="73"/>
      <c r="AA479" s="68"/>
      <c r="AB479" s="67"/>
      <c r="AC479" s="73" t="s">
        <v>69</v>
      </c>
      <c r="AD479" s="73"/>
      <c r="AE479" s="68"/>
      <c r="AF479" s="67"/>
      <c r="AG479" s="73" t="s">
        <v>69</v>
      </c>
      <c r="AH479" s="73"/>
      <c r="AI479" s="68"/>
      <c r="AJ479" s="67"/>
      <c r="AK479" s="73" t="s">
        <v>69</v>
      </c>
      <c r="AL479" s="73"/>
      <c r="AM479" s="68"/>
      <c r="AN479" s="73" t="s">
        <v>69</v>
      </c>
      <c r="AO479" s="73"/>
      <c r="AP479" s="73"/>
      <c r="AQ479" s="68"/>
      <c r="AR479" s="67">
        <f t="shared" si="282"/>
        <v>82</v>
      </c>
      <c r="AS479" s="68" t="str">
        <f t="shared" si="283"/>
        <v>A</v>
      </c>
      <c r="AV479" s="49">
        <f t="shared" si="284"/>
        <v>0</v>
      </c>
      <c r="AW479" s="49">
        <f t="shared" si="285"/>
        <v>1</v>
      </c>
      <c r="AX479" s="49">
        <f t="shared" si="286"/>
        <v>0</v>
      </c>
      <c r="AY479" s="49">
        <f t="shared" si="287"/>
        <v>0</v>
      </c>
      <c r="AZ479" s="49">
        <f t="shared" si="288"/>
        <v>0</v>
      </c>
      <c r="BA479" s="49">
        <f t="shared" si="289"/>
        <v>1</v>
      </c>
      <c r="BB479" s="49">
        <f t="shared" si="290"/>
        <v>0</v>
      </c>
      <c r="BC479" s="49">
        <f t="shared" si="291"/>
        <v>0</v>
      </c>
      <c r="BD479" s="49">
        <f t="shared" si="292"/>
        <v>0</v>
      </c>
      <c r="BE479" s="49">
        <f t="shared" si="293"/>
        <v>1</v>
      </c>
      <c r="BF479" s="49">
        <f t="shared" si="294"/>
        <v>0</v>
      </c>
      <c r="BG479" s="49">
        <f t="shared" si="295"/>
        <v>0</v>
      </c>
      <c r="BH479" s="49">
        <f t="shared" si="296"/>
        <v>0</v>
      </c>
      <c r="BI479" s="49">
        <f t="shared" si="297"/>
        <v>1</v>
      </c>
      <c r="BJ479" s="49">
        <f t="shared" si="298"/>
        <v>0</v>
      </c>
      <c r="BK479" s="49">
        <f t="shared" si="299"/>
        <v>0</v>
      </c>
      <c r="BL479" s="49">
        <f t="shared" si="300"/>
        <v>1</v>
      </c>
      <c r="BM479" s="49">
        <f t="shared" si="301"/>
        <v>0</v>
      </c>
      <c r="BN479" s="49">
        <f t="shared" si="302"/>
        <v>0</v>
      </c>
      <c r="BO479" s="49">
        <f t="shared" si="303"/>
        <v>0</v>
      </c>
      <c r="BP479" s="49">
        <f t="shared" si="304"/>
        <v>0</v>
      </c>
      <c r="BQ479" s="49">
        <f t="shared" si="305"/>
        <v>1</v>
      </c>
      <c r="BR479" s="49">
        <f t="shared" si="306"/>
        <v>0</v>
      </c>
      <c r="BS479" s="49">
        <f t="shared" si="307"/>
        <v>0</v>
      </c>
      <c r="BT479" s="49">
        <f t="shared" si="308"/>
        <v>0</v>
      </c>
      <c r="BU479" s="49">
        <f t="shared" si="309"/>
        <v>1</v>
      </c>
      <c r="BV479" s="49">
        <f t="shared" si="310"/>
        <v>0</v>
      </c>
      <c r="BW479" s="49">
        <f t="shared" si="311"/>
        <v>0</v>
      </c>
      <c r="BX479" s="49">
        <f t="shared" si="312"/>
        <v>0</v>
      </c>
      <c r="BY479" s="49">
        <f t="shared" si="313"/>
        <v>1</v>
      </c>
      <c r="BZ479" s="49">
        <f t="shared" si="314"/>
        <v>0</v>
      </c>
      <c r="CA479" s="49">
        <f t="shared" si="315"/>
        <v>0</v>
      </c>
      <c r="CB479" s="49">
        <f t="shared" si="316"/>
        <v>1</v>
      </c>
      <c r="CC479" s="49">
        <f t="shared" si="317"/>
        <v>0</v>
      </c>
      <c r="CD479" s="49">
        <f t="shared" si="318"/>
        <v>0</v>
      </c>
      <c r="CE479" s="49">
        <f t="shared" si="319"/>
        <v>0</v>
      </c>
    </row>
    <row r="480" spans="1:83" ht="35.1" customHeight="1" x14ac:dyDescent="0.3">
      <c r="A480" s="123" t="str">
        <f t="shared" si="280"/>
        <v>4팀</v>
      </c>
      <c r="B480" s="69">
        <f t="shared" si="281"/>
        <v>474</v>
      </c>
      <c r="C480" s="120" t="str">
        <f>IF(VLOOKUP($B480,'1. 현장별 인원현황'!$C:$J,2,0)=0,"",VLOOKUP($B480,'1. 현장별 인원현황'!$C:$J,2,0))</f>
        <v xml:space="preserve"> [4.롯데건설] 롯데바이오로직스 Project PROVIDENCE</v>
      </c>
      <c r="D480" s="70" t="str">
        <f>IF(VLOOKUP($B480,'1. 현장별 인원현황'!$C:$J,3,0)=0,"",VLOOKUP($B480,'1. 현장별 인원현황'!$C:$J,3,0))</f>
        <v>조상현</v>
      </c>
      <c r="E480" s="74" t="str">
        <f ca="1">IF(VLOOKUP($B480,'1. 현장별 인원현황'!$C:$J,4,0)=0,"",VLOOKUP($B480,'1. 현장별 인원현황'!$C:$J,4,0))</f>
        <v>52세</v>
      </c>
      <c r="F480" s="70" t="str">
        <f>IF(VLOOKUP($B480,'1. 현장별 인원현황'!$C:$J,7,0)=0,"",VLOOKUP($B480,'1. 현장별 인원현황'!$C:$J,7,0))</f>
        <v>기능공</v>
      </c>
      <c r="G480" s="72" t="str">
        <f>IF(VLOOKUP($B480,'1. 현장별 인원현황'!$C:$J,8,0)=0,"",VLOOKUP($B480,'1. 현장별 인원현황'!$C:$J,8,0))</f>
        <v>전공</v>
      </c>
      <c r="H480" s="67" t="s">
        <v>69</v>
      </c>
      <c r="I480" s="73"/>
      <c r="J480" s="73"/>
      <c r="K480" s="68"/>
      <c r="L480" s="67" t="s">
        <v>69</v>
      </c>
      <c r="M480" s="73"/>
      <c r="N480" s="73"/>
      <c r="O480" s="68"/>
      <c r="P480" s="67" t="s">
        <v>69</v>
      </c>
      <c r="Q480" s="73"/>
      <c r="R480" s="73"/>
      <c r="S480" s="68"/>
      <c r="T480" s="67" t="s">
        <v>69</v>
      </c>
      <c r="U480" s="73"/>
      <c r="V480" s="73"/>
      <c r="W480" s="68"/>
      <c r="X480" s="67" t="s">
        <v>69</v>
      </c>
      <c r="Y480" s="73"/>
      <c r="Z480" s="73"/>
      <c r="AA480" s="68"/>
      <c r="AB480" s="67" t="s">
        <v>69</v>
      </c>
      <c r="AC480" s="73"/>
      <c r="AD480" s="73"/>
      <c r="AE480" s="68"/>
      <c r="AF480" s="67" t="s">
        <v>69</v>
      </c>
      <c r="AG480" s="73"/>
      <c r="AH480" s="73"/>
      <c r="AI480" s="68"/>
      <c r="AJ480" s="67"/>
      <c r="AK480" s="73" t="s">
        <v>69</v>
      </c>
      <c r="AL480" s="73"/>
      <c r="AM480" s="68"/>
      <c r="AN480" s="73" t="s">
        <v>69</v>
      </c>
      <c r="AO480" s="73"/>
      <c r="AP480" s="73"/>
      <c r="AQ480" s="68"/>
      <c r="AR480" s="67">
        <f t="shared" si="282"/>
        <v>97</v>
      </c>
      <c r="AS480" s="68" t="str">
        <f t="shared" si="283"/>
        <v>S</v>
      </c>
      <c r="AV480" s="49">
        <f t="shared" si="284"/>
        <v>1</v>
      </c>
      <c r="AW480" s="49">
        <f t="shared" si="285"/>
        <v>0</v>
      </c>
      <c r="AX480" s="49">
        <f t="shared" si="286"/>
        <v>0</v>
      </c>
      <c r="AY480" s="49">
        <f t="shared" si="287"/>
        <v>0</v>
      </c>
      <c r="AZ480" s="49">
        <f t="shared" si="288"/>
        <v>1</v>
      </c>
      <c r="BA480" s="49">
        <f t="shared" si="289"/>
        <v>0</v>
      </c>
      <c r="BB480" s="49">
        <f t="shared" si="290"/>
        <v>0</v>
      </c>
      <c r="BC480" s="49">
        <f t="shared" si="291"/>
        <v>0</v>
      </c>
      <c r="BD480" s="49">
        <f t="shared" si="292"/>
        <v>1</v>
      </c>
      <c r="BE480" s="49">
        <f t="shared" si="293"/>
        <v>0</v>
      </c>
      <c r="BF480" s="49">
        <f t="shared" si="294"/>
        <v>0</v>
      </c>
      <c r="BG480" s="49">
        <f t="shared" si="295"/>
        <v>0</v>
      </c>
      <c r="BH480" s="49">
        <f t="shared" si="296"/>
        <v>1</v>
      </c>
      <c r="BI480" s="49">
        <f t="shared" si="297"/>
        <v>0</v>
      </c>
      <c r="BJ480" s="49">
        <f t="shared" si="298"/>
        <v>0</v>
      </c>
      <c r="BK480" s="49">
        <f t="shared" si="299"/>
        <v>0</v>
      </c>
      <c r="BL480" s="49">
        <f t="shared" si="300"/>
        <v>1</v>
      </c>
      <c r="BM480" s="49">
        <f t="shared" si="301"/>
        <v>0</v>
      </c>
      <c r="BN480" s="49">
        <f t="shared" si="302"/>
        <v>0</v>
      </c>
      <c r="BO480" s="49">
        <f t="shared" si="303"/>
        <v>0</v>
      </c>
      <c r="BP480" s="49">
        <f t="shared" si="304"/>
        <v>1</v>
      </c>
      <c r="BQ480" s="49">
        <f t="shared" si="305"/>
        <v>0</v>
      </c>
      <c r="BR480" s="49">
        <f t="shared" si="306"/>
        <v>0</v>
      </c>
      <c r="BS480" s="49">
        <f t="shared" si="307"/>
        <v>0</v>
      </c>
      <c r="BT480" s="49">
        <f t="shared" si="308"/>
        <v>1</v>
      </c>
      <c r="BU480" s="49">
        <f t="shared" si="309"/>
        <v>0</v>
      </c>
      <c r="BV480" s="49">
        <f t="shared" si="310"/>
        <v>0</v>
      </c>
      <c r="BW480" s="49">
        <f t="shared" si="311"/>
        <v>0</v>
      </c>
      <c r="BX480" s="49">
        <f t="shared" si="312"/>
        <v>0</v>
      </c>
      <c r="BY480" s="49">
        <f t="shared" si="313"/>
        <v>1</v>
      </c>
      <c r="BZ480" s="49">
        <f t="shared" si="314"/>
        <v>0</v>
      </c>
      <c r="CA480" s="49">
        <f t="shared" si="315"/>
        <v>0</v>
      </c>
      <c r="CB480" s="49">
        <f t="shared" si="316"/>
        <v>1</v>
      </c>
      <c r="CC480" s="49">
        <f t="shared" si="317"/>
        <v>0</v>
      </c>
      <c r="CD480" s="49">
        <f t="shared" si="318"/>
        <v>0</v>
      </c>
      <c r="CE480" s="49">
        <f t="shared" si="319"/>
        <v>0</v>
      </c>
    </row>
    <row r="481" spans="1:83" ht="35.1" customHeight="1" x14ac:dyDescent="0.3">
      <c r="A481" s="123" t="str">
        <f t="shared" si="280"/>
        <v>4팀</v>
      </c>
      <c r="B481" s="69">
        <f t="shared" si="281"/>
        <v>475</v>
      </c>
      <c r="C481" s="120" t="str">
        <f>IF(VLOOKUP($B481,'1. 현장별 인원현황'!$C:$J,2,0)=0,"",VLOOKUP($B481,'1. 현장별 인원현황'!$C:$J,2,0))</f>
        <v xml:space="preserve"> [4.롯데건설] 롯데바이오로직스 Project PROVIDENCE</v>
      </c>
      <c r="D481" s="70" t="str">
        <f>IF(VLOOKUP($B481,'1. 현장별 인원현황'!$C:$J,3,0)=0,"",VLOOKUP($B481,'1. 현장별 인원현황'!$C:$J,3,0))</f>
        <v>권순철</v>
      </c>
      <c r="E481" s="74" t="str">
        <f ca="1">IF(VLOOKUP($B481,'1. 현장별 인원현황'!$C:$J,4,0)=0,"",VLOOKUP($B481,'1. 현장별 인원현황'!$C:$J,4,0))</f>
        <v>38세</v>
      </c>
      <c r="F481" s="70" t="str">
        <f>IF(VLOOKUP($B481,'1. 현장별 인원현황'!$C:$J,7,0)=0,"",VLOOKUP($B481,'1. 현장별 인원현황'!$C:$J,7,0))</f>
        <v>기능공</v>
      </c>
      <c r="G481" s="72" t="str">
        <f>IF(VLOOKUP($B481,'1. 현장별 인원현황'!$C:$J,8,0)=0,"",VLOOKUP($B481,'1. 현장별 인원현황'!$C:$J,8,0))</f>
        <v>전공</v>
      </c>
      <c r="H481" s="67"/>
      <c r="I481" s="73"/>
      <c r="J481" s="73" t="s">
        <v>69</v>
      </c>
      <c r="K481" s="68"/>
      <c r="L481" s="67"/>
      <c r="M481" s="73" t="s">
        <v>69</v>
      </c>
      <c r="N481" s="73"/>
      <c r="O481" s="68"/>
      <c r="P481" s="67"/>
      <c r="Q481" s="73" t="s">
        <v>69</v>
      </c>
      <c r="R481" s="73"/>
      <c r="S481" s="68"/>
      <c r="T481" s="67"/>
      <c r="U481" s="73" t="s">
        <v>69</v>
      </c>
      <c r="V481" s="73"/>
      <c r="W481" s="68"/>
      <c r="X481" s="67" t="s">
        <v>69</v>
      </c>
      <c r="Y481" s="73"/>
      <c r="Z481" s="73"/>
      <c r="AA481" s="68"/>
      <c r="AB481" s="67"/>
      <c r="AC481" s="73" t="s">
        <v>69</v>
      </c>
      <c r="AD481" s="73"/>
      <c r="AE481" s="68"/>
      <c r="AF481" s="67"/>
      <c r="AG481" s="73" t="s">
        <v>69</v>
      </c>
      <c r="AH481" s="73"/>
      <c r="AI481" s="68"/>
      <c r="AJ481" s="67"/>
      <c r="AK481" s="73" t="s">
        <v>69</v>
      </c>
      <c r="AL481" s="73"/>
      <c r="AM481" s="68"/>
      <c r="AN481" s="73" t="s">
        <v>69</v>
      </c>
      <c r="AO481" s="73"/>
      <c r="AP481" s="73"/>
      <c r="AQ481" s="68"/>
      <c r="AR481" s="67">
        <f t="shared" si="282"/>
        <v>79</v>
      </c>
      <c r="AS481" s="68" t="str">
        <f t="shared" si="283"/>
        <v>A</v>
      </c>
      <c r="AV481" s="49">
        <f t="shared" si="284"/>
        <v>0</v>
      </c>
      <c r="AW481" s="49">
        <f t="shared" si="285"/>
        <v>0</v>
      </c>
      <c r="AX481" s="49">
        <f t="shared" si="286"/>
        <v>1</v>
      </c>
      <c r="AY481" s="49">
        <f t="shared" si="287"/>
        <v>0</v>
      </c>
      <c r="AZ481" s="49">
        <f t="shared" si="288"/>
        <v>0</v>
      </c>
      <c r="BA481" s="49">
        <f t="shared" si="289"/>
        <v>1</v>
      </c>
      <c r="BB481" s="49">
        <f t="shared" si="290"/>
        <v>0</v>
      </c>
      <c r="BC481" s="49">
        <f t="shared" si="291"/>
        <v>0</v>
      </c>
      <c r="BD481" s="49">
        <f t="shared" si="292"/>
        <v>0</v>
      </c>
      <c r="BE481" s="49">
        <f t="shared" si="293"/>
        <v>1</v>
      </c>
      <c r="BF481" s="49">
        <f t="shared" si="294"/>
        <v>0</v>
      </c>
      <c r="BG481" s="49">
        <f t="shared" si="295"/>
        <v>0</v>
      </c>
      <c r="BH481" s="49">
        <f t="shared" si="296"/>
        <v>0</v>
      </c>
      <c r="BI481" s="49">
        <f t="shared" si="297"/>
        <v>1</v>
      </c>
      <c r="BJ481" s="49">
        <f t="shared" si="298"/>
        <v>0</v>
      </c>
      <c r="BK481" s="49">
        <f t="shared" si="299"/>
        <v>0</v>
      </c>
      <c r="BL481" s="49">
        <f t="shared" si="300"/>
        <v>1</v>
      </c>
      <c r="BM481" s="49">
        <f t="shared" si="301"/>
        <v>0</v>
      </c>
      <c r="BN481" s="49">
        <f t="shared" si="302"/>
        <v>0</v>
      </c>
      <c r="BO481" s="49">
        <f t="shared" si="303"/>
        <v>0</v>
      </c>
      <c r="BP481" s="49">
        <f t="shared" si="304"/>
        <v>0</v>
      </c>
      <c r="BQ481" s="49">
        <f t="shared" si="305"/>
        <v>1</v>
      </c>
      <c r="BR481" s="49">
        <f t="shared" si="306"/>
        <v>0</v>
      </c>
      <c r="BS481" s="49">
        <f t="shared" si="307"/>
        <v>0</v>
      </c>
      <c r="BT481" s="49">
        <f t="shared" si="308"/>
        <v>0</v>
      </c>
      <c r="BU481" s="49">
        <f t="shared" si="309"/>
        <v>1</v>
      </c>
      <c r="BV481" s="49">
        <f t="shared" si="310"/>
        <v>0</v>
      </c>
      <c r="BW481" s="49">
        <f t="shared" si="311"/>
        <v>0</v>
      </c>
      <c r="BX481" s="49">
        <f t="shared" si="312"/>
        <v>0</v>
      </c>
      <c r="BY481" s="49">
        <f t="shared" si="313"/>
        <v>1</v>
      </c>
      <c r="BZ481" s="49">
        <f t="shared" si="314"/>
        <v>0</v>
      </c>
      <c r="CA481" s="49">
        <f t="shared" si="315"/>
        <v>0</v>
      </c>
      <c r="CB481" s="49">
        <f t="shared" si="316"/>
        <v>1</v>
      </c>
      <c r="CC481" s="49">
        <f t="shared" si="317"/>
        <v>0</v>
      </c>
      <c r="CD481" s="49">
        <f t="shared" si="318"/>
        <v>0</v>
      </c>
      <c r="CE481" s="49">
        <f t="shared" si="319"/>
        <v>0</v>
      </c>
    </row>
    <row r="482" spans="1:83" ht="35.1" customHeight="1" x14ac:dyDescent="0.3">
      <c r="A482" s="123" t="str">
        <f t="shared" si="280"/>
        <v>4팀</v>
      </c>
      <c r="B482" s="69">
        <f t="shared" si="281"/>
        <v>476</v>
      </c>
      <c r="C482" s="120" t="str">
        <f>IF(VLOOKUP($B482,'1. 현장별 인원현황'!$C:$J,2,0)=0,"",VLOOKUP($B482,'1. 현장별 인원현황'!$C:$J,2,0))</f>
        <v xml:space="preserve"> [4.롯데건설] 롯데바이오로직스 Project PROVIDENCE</v>
      </c>
      <c r="D482" s="70" t="str">
        <f>IF(VLOOKUP($B482,'1. 현장별 인원현황'!$C:$J,3,0)=0,"",VLOOKUP($B482,'1. 현장별 인원현황'!$C:$J,3,0))</f>
        <v>김민형</v>
      </c>
      <c r="E482" s="74" t="str">
        <f ca="1">IF(VLOOKUP($B482,'1. 현장별 인원현황'!$C:$J,4,0)=0,"",VLOOKUP($B482,'1. 현장별 인원현황'!$C:$J,4,0))</f>
        <v>40세</v>
      </c>
      <c r="F482" s="70" t="str">
        <f>IF(VLOOKUP($B482,'1. 현장별 인원현황'!$C:$J,7,0)=0,"",VLOOKUP($B482,'1. 현장별 인원현황'!$C:$J,7,0))</f>
        <v>기능공</v>
      </c>
      <c r="G482" s="72" t="str">
        <f>IF(VLOOKUP($B482,'1. 현장별 인원현황'!$C:$J,8,0)=0,"",VLOOKUP($B482,'1. 현장별 인원현황'!$C:$J,8,0))</f>
        <v>전공</v>
      </c>
      <c r="H482" s="67"/>
      <c r="I482" s="73" t="s">
        <v>69</v>
      </c>
      <c r="J482" s="73"/>
      <c r="K482" s="68"/>
      <c r="L482" s="67" t="s">
        <v>69</v>
      </c>
      <c r="M482" s="73"/>
      <c r="N482" s="73"/>
      <c r="O482" s="68"/>
      <c r="P482" s="67" t="s">
        <v>69</v>
      </c>
      <c r="Q482" s="73"/>
      <c r="R482" s="73"/>
      <c r="S482" s="68"/>
      <c r="T482" s="67"/>
      <c r="U482" s="73" t="s">
        <v>69</v>
      </c>
      <c r="V482" s="73"/>
      <c r="W482" s="68"/>
      <c r="X482" s="67" t="s">
        <v>69</v>
      </c>
      <c r="Y482" s="73"/>
      <c r="Z482" s="73"/>
      <c r="AA482" s="68"/>
      <c r="AB482" s="67" t="s">
        <v>69</v>
      </c>
      <c r="AC482" s="73"/>
      <c r="AD482" s="73"/>
      <c r="AE482" s="68"/>
      <c r="AF482" s="67" t="s">
        <v>69</v>
      </c>
      <c r="AG482" s="73"/>
      <c r="AH482" s="73"/>
      <c r="AI482" s="68"/>
      <c r="AJ482" s="67"/>
      <c r="AK482" s="73" t="s">
        <v>69</v>
      </c>
      <c r="AL482" s="73"/>
      <c r="AM482" s="68"/>
      <c r="AN482" s="73" t="s">
        <v>69</v>
      </c>
      <c r="AO482" s="73"/>
      <c r="AP482" s="73"/>
      <c r="AQ482" s="68"/>
      <c r="AR482" s="67">
        <f t="shared" si="282"/>
        <v>92</v>
      </c>
      <c r="AS482" s="68" t="str">
        <f t="shared" si="283"/>
        <v>S</v>
      </c>
      <c r="AV482" s="49">
        <f t="shared" si="284"/>
        <v>0</v>
      </c>
      <c r="AW482" s="49">
        <f t="shared" si="285"/>
        <v>1</v>
      </c>
      <c r="AX482" s="49">
        <f t="shared" si="286"/>
        <v>0</v>
      </c>
      <c r="AY482" s="49">
        <f t="shared" si="287"/>
        <v>0</v>
      </c>
      <c r="AZ482" s="49">
        <f t="shared" si="288"/>
        <v>1</v>
      </c>
      <c r="BA482" s="49">
        <f t="shared" si="289"/>
        <v>0</v>
      </c>
      <c r="BB482" s="49">
        <f t="shared" si="290"/>
        <v>0</v>
      </c>
      <c r="BC482" s="49">
        <f t="shared" si="291"/>
        <v>0</v>
      </c>
      <c r="BD482" s="49">
        <f t="shared" si="292"/>
        <v>1</v>
      </c>
      <c r="BE482" s="49">
        <f t="shared" si="293"/>
        <v>0</v>
      </c>
      <c r="BF482" s="49">
        <f t="shared" si="294"/>
        <v>0</v>
      </c>
      <c r="BG482" s="49">
        <f t="shared" si="295"/>
        <v>0</v>
      </c>
      <c r="BH482" s="49">
        <f t="shared" si="296"/>
        <v>0</v>
      </c>
      <c r="BI482" s="49">
        <f t="shared" si="297"/>
        <v>1</v>
      </c>
      <c r="BJ482" s="49">
        <f t="shared" si="298"/>
        <v>0</v>
      </c>
      <c r="BK482" s="49">
        <f t="shared" si="299"/>
        <v>0</v>
      </c>
      <c r="BL482" s="49">
        <f t="shared" si="300"/>
        <v>1</v>
      </c>
      <c r="BM482" s="49">
        <f t="shared" si="301"/>
        <v>0</v>
      </c>
      <c r="BN482" s="49">
        <f t="shared" si="302"/>
        <v>0</v>
      </c>
      <c r="BO482" s="49">
        <f t="shared" si="303"/>
        <v>0</v>
      </c>
      <c r="BP482" s="49">
        <f t="shared" si="304"/>
        <v>1</v>
      </c>
      <c r="BQ482" s="49">
        <f t="shared" si="305"/>
        <v>0</v>
      </c>
      <c r="BR482" s="49">
        <f t="shared" si="306"/>
        <v>0</v>
      </c>
      <c r="BS482" s="49">
        <f t="shared" si="307"/>
        <v>0</v>
      </c>
      <c r="BT482" s="49">
        <f t="shared" si="308"/>
        <v>1</v>
      </c>
      <c r="BU482" s="49">
        <f t="shared" si="309"/>
        <v>0</v>
      </c>
      <c r="BV482" s="49">
        <f t="shared" si="310"/>
        <v>0</v>
      </c>
      <c r="BW482" s="49">
        <f t="shared" si="311"/>
        <v>0</v>
      </c>
      <c r="BX482" s="49">
        <f t="shared" si="312"/>
        <v>0</v>
      </c>
      <c r="BY482" s="49">
        <f t="shared" si="313"/>
        <v>1</v>
      </c>
      <c r="BZ482" s="49">
        <f t="shared" si="314"/>
        <v>0</v>
      </c>
      <c r="CA482" s="49">
        <f t="shared" si="315"/>
        <v>0</v>
      </c>
      <c r="CB482" s="49">
        <f t="shared" si="316"/>
        <v>1</v>
      </c>
      <c r="CC482" s="49">
        <f t="shared" si="317"/>
        <v>0</v>
      </c>
      <c r="CD482" s="49">
        <f t="shared" si="318"/>
        <v>0</v>
      </c>
      <c r="CE482" s="49">
        <f t="shared" si="319"/>
        <v>0</v>
      </c>
    </row>
    <row r="483" spans="1:83" ht="35.1" customHeight="1" x14ac:dyDescent="0.3">
      <c r="A483" s="123" t="str">
        <f t="shared" si="280"/>
        <v>4팀</v>
      </c>
      <c r="B483" s="69">
        <f t="shared" si="281"/>
        <v>477</v>
      </c>
      <c r="C483" s="120" t="str">
        <f>IF(VLOOKUP($B483,'1. 현장별 인원현황'!$C:$J,2,0)=0,"",VLOOKUP($B483,'1. 현장별 인원현황'!$C:$J,2,0))</f>
        <v xml:space="preserve"> [4.롯데건설] 롯데바이오로직스 Project PROVIDENCE</v>
      </c>
      <c r="D483" s="70" t="str">
        <f>IF(VLOOKUP($B483,'1. 현장별 인원현황'!$C:$J,3,0)=0,"",VLOOKUP($B483,'1. 현장별 인원현황'!$C:$J,3,0))</f>
        <v>박운기</v>
      </c>
      <c r="E483" s="74" t="str">
        <f ca="1">IF(VLOOKUP($B483,'1. 현장별 인원현황'!$C:$J,4,0)=0,"",VLOOKUP($B483,'1. 현장별 인원현황'!$C:$J,4,0))</f>
        <v>38세</v>
      </c>
      <c r="F483" s="70" t="str">
        <f>IF(VLOOKUP($B483,'1. 현장별 인원현황'!$C:$J,7,0)=0,"",VLOOKUP($B483,'1. 현장별 인원현황'!$C:$J,7,0))</f>
        <v>기능공</v>
      </c>
      <c r="G483" s="72" t="str">
        <f>IF(VLOOKUP($B483,'1. 현장별 인원현황'!$C:$J,8,0)=0,"",VLOOKUP($B483,'1. 현장별 인원현황'!$C:$J,8,0))</f>
        <v>전공</v>
      </c>
      <c r="H483" s="67"/>
      <c r="I483" s="73" t="s">
        <v>69</v>
      </c>
      <c r="J483" s="73"/>
      <c r="K483" s="68"/>
      <c r="L483" s="67"/>
      <c r="M483" s="73" t="s">
        <v>69</v>
      </c>
      <c r="N483" s="73"/>
      <c r="O483" s="68"/>
      <c r="P483" s="67"/>
      <c r="Q483" s="73" t="s">
        <v>69</v>
      </c>
      <c r="R483" s="73"/>
      <c r="S483" s="68"/>
      <c r="T483" s="67"/>
      <c r="U483" s="73" t="s">
        <v>69</v>
      </c>
      <c r="V483" s="73"/>
      <c r="W483" s="68"/>
      <c r="X483" s="67" t="s">
        <v>69</v>
      </c>
      <c r="Y483" s="73"/>
      <c r="Z483" s="73"/>
      <c r="AA483" s="68"/>
      <c r="AB483" s="67"/>
      <c r="AC483" s="73" t="s">
        <v>69</v>
      </c>
      <c r="AD483" s="73"/>
      <c r="AE483" s="68"/>
      <c r="AF483" s="67"/>
      <c r="AG483" s="73" t="s">
        <v>69</v>
      </c>
      <c r="AH483" s="73"/>
      <c r="AI483" s="68"/>
      <c r="AJ483" s="67"/>
      <c r="AK483" s="73" t="s">
        <v>69</v>
      </c>
      <c r="AL483" s="73"/>
      <c r="AM483" s="68"/>
      <c r="AN483" s="73" t="s">
        <v>69</v>
      </c>
      <c r="AO483" s="73"/>
      <c r="AP483" s="73"/>
      <c r="AQ483" s="68"/>
      <c r="AR483" s="67">
        <f t="shared" si="282"/>
        <v>82</v>
      </c>
      <c r="AS483" s="68" t="str">
        <f t="shared" si="283"/>
        <v>A</v>
      </c>
      <c r="AV483" s="49">
        <f t="shared" si="284"/>
        <v>0</v>
      </c>
      <c r="AW483" s="49">
        <f t="shared" si="285"/>
        <v>1</v>
      </c>
      <c r="AX483" s="49">
        <f t="shared" si="286"/>
        <v>0</v>
      </c>
      <c r="AY483" s="49">
        <f t="shared" si="287"/>
        <v>0</v>
      </c>
      <c r="AZ483" s="49">
        <f t="shared" si="288"/>
        <v>0</v>
      </c>
      <c r="BA483" s="49">
        <f t="shared" si="289"/>
        <v>1</v>
      </c>
      <c r="BB483" s="49">
        <f t="shared" si="290"/>
        <v>0</v>
      </c>
      <c r="BC483" s="49">
        <f t="shared" si="291"/>
        <v>0</v>
      </c>
      <c r="BD483" s="49">
        <f t="shared" si="292"/>
        <v>0</v>
      </c>
      <c r="BE483" s="49">
        <f t="shared" si="293"/>
        <v>1</v>
      </c>
      <c r="BF483" s="49">
        <f t="shared" si="294"/>
        <v>0</v>
      </c>
      <c r="BG483" s="49">
        <f t="shared" si="295"/>
        <v>0</v>
      </c>
      <c r="BH483" s="49">
        <f t="shared" si="296"/>
        <v>0</v>
      </c>
      <c r="BI483" s="49">
        <f t="shared" si="297"/>
        <v>1</v>
      </c>
      <c r="BJ483" s="49">
        <f t="shared" si="298"/>
        <v>0</v>
      </c>
      <c r="BK483" s="49">
        <f t="shared" si="299"/>
        <v>0</v>
      </c>
      <c r="BL483" s="49">
        <f t="shared" si="300"/>
        <v>1</v>
      </c>
      <c r="BM483" s="49">
        <f t="shared" si="301"/>
        <v>0</v>
      </c>
      <c r="BN483" s="49">
        <f t="shared" si="302"/>
        <v>0</v>
      </c>
      <c r="BO483" s="49">
        <f t="shared" si="303"/>
        <v>0</v>
      </c>
      <c r="BP483" s="49">
        <f t="shared" si="304"/>
        <v>0</v>
      </c>
      <c r="BQ483" s="49">
        <f t="shared" si="305"/>
        <v>1</v>
      </c>
      <c r="BR483" s="49">
        <f t="shared" si="306"/>
        <v>0</v>
      </c>
      <c r="BS483" s="49">
        <f t="shared" si="307"/>
        <v>0</v>
      </c>
      <c r="BT483" s="49">
        <f t="shared" si="308"/>
        <v>0</v>
      </c>
      <c r="BU483" s="49">
        <f t="shared" si="309"/>
        <v>1</v>
      </c>
      <c r="BV483" s="49">
        <f t="shared" si="310"/>
        <v>0</v>
      </c>
      <c r="BW483" s="49">
        <f t="shared" si="311"/>
        <v>0</v>
      </c>
      <c r="BX483" s="49">
        <f t="shared" si="312"/>
        <v>0</v>
      </c>
      <c r="BY483" s="49">
        <f t="shared" si="313"/>
        <v>1</v>
      </c>
      <c r="BZ483" s="49">
        <f t="shared" si="314"/>
        <v>0</v>
      </c>
      <c r="CA483" s="49">
        <f t="shared" si="315"/>
        <v>0</v>
      </c>
      <c r="CB483" s="49">
        <f t="shared" si="316"/>
        <v>1</v>
      </c>
      <c r="CC483" s="49">
        <f t="shared" si="317"/>
        <v>0</v>
      </c>
      <c r="CD483" s="49">
        <f t="shared" si="318"/>
        <v>0</v>
      </c>
      <c r="CE483" s="49">
        <f t="shared" si="319"/>
        <v>0</v>
      </c>
    </row>
    <row r="484" spans="1:83" ht="35.1" customHeight="1" x14ac:dyDescent="0.3">
      <c r="A484" s="123" t="str">
        <f t="shared" si="280"/>
        <v>4팀</v>
      </c>
      <c r="B484" s="69">
        <f t="shared" si="281"/>
        <v>478</v>
      </c>
      <c r="C484" s="120" t="str">
        <f>IF(VLOOKUP($B484,'1. 현장별 인원현황'!$C:$J,2,0)=0,"",VLOOKUP($B484,'1. 현장별 인원현황'!$C:$J,2,0))</f>
        <v xml:space="preserve"> [4.롯데건설] 롯데바이오로직스 Project PROVIDENCE</v>
      </c>
      <c r="D484" s="70" t="str">
        <f>IF(VLOOKUP($B484,'1. 현장별 인원현황'!$C:$J,3,0)=0,"",VLOOKUP($B484,'1. 현장별 인원현황'!$C:$J,3,0))</f>
        <v>임현철</v>
      </c>
      <c r="E484" s="74" t="str">
        <f ca="1">IF(VLOOKUP($B484,'1. 현장별 인원현황'!$C:$J,4,0)=0,"",VLOOKUP($B484,'1. 현장별 인원현황'!$C:$J,4,0))</f>
        <v>46세</v>
      </c>
      <c r="F484" s="70" t="str">
        <f>IF(VLOOKUP($B484,'1. 현장별 인원현황'!$C:$J,7,0)=0,"",VLOOKUP($B484,'1. 현장별 인원현황'!$C:$J,7,0))</f>
        <v>기능공</v>
      </c>
      <c r="G484" s="72" t="str">
        <f>IF(VLOOKUP($B484,'1. 현장별 인원현황'!$C:$J,8,0)=0,"",VLOOKUP($B484,'1. 현장별 인원현황'!$C:$J,8,0))</f>
        <v>전공</v>
      </c>
      <c r="H484" s="67"/>
      <c r="I484" s="73" t="s">
        <v>69</v>
      </c>
      <c r="J484" s="73"/>
      <c r="K484" s="68"/>
      <c r="L484" s="67"/>
      <c r="M484" s="73" t="s">
        <v>69</v>
      </c>
      <c r="N484" s="73"/>
      <c r="O484" s="68"/>
      <c r="P484" s="67"/>
      <c r="Q484" s="73" t="s">
        <v>69</v>
      </c>
      <c r="R484" s="73"/>
      <c r="S484" s="68"/>
      <c r="T484" s="67"/>
      <c r="U484" s="73" t="s">
        <v>69</v>
      </c>
      <c r="V484" s="73"/>
      <c r="W484" s="68"/>
      <c r="X484" s="67" t="s">
        <v>69</v>
      </c>
      <c r="Y484" s="73"/>
      <c r="Z484" s="73"/>
      <c r="AA484" s="68"/>
      <c r="AB484" s="67"/>
      <c r="AC484" s="73" t="s">
        <v>69</v>
      </c>
      <c r="AD484" s="73"/>
      <c r="AE484" s="68"/>
      <c r="AF484" s="67"/>
      <c r="AG484" s="73" t="s">
        <v>69</v>
      </c>
      <c r="AH484" s="73"/>
      <c r="AI484" s="68"/>
      <c r="AJ484" s="67"/>
      <c r="AK484" s="73" t="s">
        <v>69</v>
      </c>
      <c r="AL484" s="73"/>
      <c r="AM484" s="68"/>
      <c r="AN484" s="73" t="s">
        <v>69</v>
      </c>
      <c r="AO484" s="73"/>
      <c r="AP484" s="73"/>
      <c r="AQ484" s="68"/>
      <c r="AR484" s="67">
        <f t="shared" si="282"/>
        <v>82</v>
      </c>
      <c r="AS484" s="68" t="str">
        <f t="shared" si="283"/>
        <v>A</v>
      </c>
      <c r="AV484" s="49">
        <f t="shared" si="284"/>
        <v>0</v>
      </c>
      <c r="AW484" s="49">
        <f t="shared" si="285"/>
        <v>1</v>
      </c>
      <c r="AX484" s="49">
        <f t="shared" si="286"/>
        <v>0</v>
      </c>
      <c r="AY484" s="49">
        <f t="shared" si="287"/>
        <v>0</v>
      </c>
      <c r="AZ484" s="49">
        <f t="shared" si="288"/>
        <v>0</v>
      </c>
      <c r="BA484" s="49">
        <f t="shared" si="289"/>
        <v>1</v>
      </c>
      <c r="BB484" s="49">
        <f t="shared" si="290"/>
        <v>0</v>
      </c>
      <c r="BC484" s="49">
        <f t="shared" si="291"/>
        <v>0</v>
      </c>
      <c r="BD484" s="49">
        <f t="shared" si="292"/>
        <v>0</v>
      </c>
      <c r="BE484" s="49">
        <f t="shared" si="293"/>
        <v>1</v>
      </c>
      <c r="BF484" s="49">
        <f t="shared" si="294"/>
        <v>0</v>
      </c>
      <c r="BG484" s="49">
        <f t="shared" si="295"/>
        <v>0</v>
      </c>
      <c r="BH484" s="49">
        <f t="shared" si="296"/>
        <v>0</v>
      </c>
      <c r="BI484" s="49">
        <f t="shared" si="297"/>
        <v>1</v>
      </c>
      <c r="BJ484" s="49">
        <f t="shared" si="298"/>
        <v>0</v>
      </c>
      <c r="BK484" s="49">
        <f t="shared" si="299"/>
        <v>0</v>
      </c>
      <c r="BL484" s="49">
        <f t="shared" si="300"/>
        <v>1</v>
      </c>
      <c r="BM484" s="49">
        <f t="shared" si="301"/>
        <v>0</v>
      </c>
      <c r="BN484" s="49">
        <f t="shared" si="302"/>
        <v>0</v>
      </c>
      <c r="BO484" s="49">
        <f t="shared" si="303"/>
        <v>0</v>
      </c>
      <c r="BP484" s="49">
        <f t="shared" si="304"/>
        <v>0</v>
      </c>
      <c r="BQ484" s="49">
        <f t="shared" si="305"/>
        <v>1</v>
      </c>
      <c r="BR484" s="49">
        <f t="shared" si="306"/>
        <v>0</v>
      </c>
      <c r="BS484" s="49">
        <f t="shared" si="307"/>
        <v>0</v>
      </c>
      <c r="BT484" s="49">
        <f t="shared" si="308"/>
        <v>0</v>
      </c>
      <c r="BU484" s="49">
        <f t="shared" si="309"/>
        <v>1</v>
      </c>
      <c r="BV484" s="49">
        <f t="shared" si="310"/>
        <v>0</v>
      </c>
      <c r="BW484" s="49">
        <f t="shared" si="311"/>
        <v>0</v>
      </c>
      <c r="BX484" s="49">
        <f t="shared" si="312"/>
        <v>0</v>
      </c>
      <c r="BY484" s="49">
        <f t="shared" si="313"/>
        <v>1</v>
      </c>
      <c r="BZ484" s="49">
        <f t="shared" si="314"/>
        <v>0</v>
      </c>
      <c r="CA484" s="49">
        <f t="shared" si="315"/>
        <v>0</v>
      </c>
      <c r="CB484" s="49">
        <f t="shared" si="316"/>
        <v>1</v>
      </c>
      <c r="CC484" s="49">
        <f t="shared" si="317"/>
        <v>0</v>
      </c>
      <c r="CD484" s="49">
        <f t="shared" si="318"/>
        <v>0</v>
      </c>
      <c r="CE484" s="49">
        <f t="shared" si="319"/>
        <v>0</v>
      </c>
    </row>
    <row r="485" spans="1:83" ht="35.1" customHeight="1" x14ac:dyDescent="0.3">
      <c r="A485" s="123" t="str">
        <f t="shared" si="280"/>
        <v>4팀</v>
      </c>
      <c r="B485" s="69">
        <f t="shared" si="281"/>
        <v>479</v>
      </c>
      <c r="C485" s="120" t="str">
        <f>IF(VLOOKUP($B485,'1. 현장별 인원현황'!$C:$J,2,0)=0,"",VLOOKUP($B485,'1. 현장별 인원현황'!$C:$J,2,0))</f>
        <v xml:space="preserve"> [4.롯데건설] 롯데바이오로직스 Project PROVIDENCE</v>
      </c>
      <c r="D485" s="70" t="str">
        <f>IF(VLOOKUP($B485,'1. 현장별 인원현황'!$C:$J,3,0)=0,"",VLOOKUP($B485,'1. 현장별 인원현황'!$C:$J,3,0))</f>
        <v>정현철</v>
      </c>
      <c r="E485" s="74" t="str">
        <f ca="1">IF(VLOOKUP($B485,'1. 현장별 인원현황'!$C:$J,4,0)=0,"",VLOOKUP($B485,'1. 현장별 인원현황'!$C:$J,4,0))</f>
        <v>33세</v>
      </c>
      <c r="F485" s="70" t="str">
        <f>IF(VLOOKUP($B485,'1. 현장별 인원현황'!$C:$J,7,0)=0,"",VLOOKUP($B485,'1. 현장별 인원현황'!$C:$J,7,0))</f>
        <v>기능공</v>
      </c>
      <c r="G485" s="72" t="str">
        <f>IF(VLOOKUP($B485,'1. 현장별 인원현황'!$C:$J,8,0)=0,"",VLOOKUP($B485,'1. 현장별 인원현황'!$C:$J,8,0))</f>
        <v>전공</v>
      </c>
      <c r="H485" s="67"/>
      <c r="I485" s="73" t="s">
        <v>69</v>
      </c>
      <c r="J485" s="73"/>
      <c r="K485" s="68"/>
      <c r="L485" s="67"/>
      <c r="M485" s="73" t="s">
        <v>69</v>
      </c>
      <c r="N485" s="73"/>
      <c r="O485" s="68"/>
      <c r="P485" s="67"/>
      <c r="Q485" s="73" t="s">
        <v>69</v>
      </c>
      <c r="R485" s="73"/>
      <c r="S485" s="68"/>
      <c r="T485" s="67"/>
      <c r="U485" s="73" t="s">
        <v>69</v>
      </c>
      <c r="V485" s="73"/>
      <c r="W485" s="68"/>
      <c r="X485" s="67" t="s">
        <v>69</v>
      </c>
      <c r="Y485" s="73"/>
      <c r="Z485" s="73"/>
      <c r="AA485" s="68"/>
      <c r="AB485" s="67"/>
      <c r="AC485" s="73" t="s">
        <v>69</v>
      </c>
      <c r="AD485" s="73"/>
      <c r="AE485" s="68"/>
      <c r="AF485" s="67" t="s">
        <v>69</v>
      </c>
      <c r="AG485" s="73"/>
      <c r="AH485" s="73"/>
      <c r="AI485" s="68"/>
      <c r="AJ485" s="67"/>
      <c r="AK485" s="73" t="s">
        <v>69</v>
      </c>
      <c r="AL485" s="73"/>
      <c r="AM485" s="68"/>
      <c r="AN485" s="73" t="s">
        <v>69</v>
      </c>
      <c r="AO485" s="73"/>
      <c r="AP485" s="73"/>
      <c r="AQ485" s="68"/>
      <c r="AR485" s="67">
        <f t="shared" si="282"/>
        <v>84</v>
      </c>
      <c r="AS485" s="68" t="str">
        <f t="shared" si="283"/>
        <v>A</v>
      </c>
      <c r="AV485" s="49">
        <f t="shared" si="284"/>
        <v>0</v>
      </c>
      <c r="AW485" s="49">
        <f t="shared" si="285"/>
        <v>1</v>
      </c>
      <c r="AX485" s="49">
        <f t="shared" si="286"/>
        <v>0</v>
      </c>
      <c r="AY485" s="49">
        <f t="shared" si="287"/>
        <v>0</v>
      </c>
      <c r="AZ485" s="49">
        <f t="shared" si="288"/>
        <v>0</v>
      </c>
      <c r="BA485" s="49">
        <f t="shared" si="289"/>
        <v>1</v>
      </c>
      <c r="BB485" s="49">
        <f t="shared" si="290"/>
        <v>0</v>
      </c>
      <c r="BC485" s="49">
        <f t="shared" si="291"/>
        <v>0</v>
      </c>
      <c r="BD485" s="49">
        <f t="shared" si="292"/>
        <v>0</v>
      </c>
      <c r="BE485" s="49">
        <f t="shared" si="293"/>
        <v>1</v>
      </c>
      <c r="BF485" s="49">
        <f t="shared" si="294"/>
        <v>0</v>
      </c>
      <c r="BG485" s="49">
        <f t="shared" si="295"/>
        <v>0</v>
      </c>
      <c r="BH485" s="49">
        <f t="shared" si="296"/>
        <v>0</v>
      </c>
      <c r="BI485" s="49">
        <f t="shared" si="297"/>
        <v>1</v>
      </c>
      <c r="BJ485" s="49">
        <f t="shared" si="298"/>
        <v>0</v>
      </c>
      <c r="BK485" s="49">
        <f t="shared" si="299"/>
        <v>0</v>
      </c>
      <c r="BL485" s="49">
        <f t="shared" si="300"/>
        <v>1</v>
      </c>
      <c r="BM485" s="49">
        <f t="shared" si="301"/>
        <v>0</v>
      </c>
      <c r="BN485" s="49">
        <f t="shared" si="302"/>
        <v>0</v>
      </c>
      <c r="BO485" s="49">
        <f t="shared" si="303"/>
        <v>0</v>
      </c>
      <c r="BP485" s="49">
        <f t="shared" si="304"/>
        <v>0</v>
      </c>
      <c r="BQ485" s="49">
        <f t="shared" si="305"/>
        <v>1</v>
      </c>
      <c r="BR485" s="49">
        <f t="shared" si="306"/>
        <v>0</v>
      </c>
      <c r="BS485" s="49">
        <f t="shared" si="307"/>
        <v>0</v>
      </c>
      <c r="BT485" s="49">
        <f t="shared" si="308"/>
        <v>1</v>
      </c>
      <c r="BU485" s="49">
        <f t="shared" si="309"/>
        <v>0</v>
      </c>
      <c r="BV485" s="49">
        <f t="shared" si="310"/>
        <v>0</v>
      </c>
      <c r="BW485" s="49">
        <f t="shared" si="311"/>
        <v>0</v>
      </c>
      <c r="BX485" s="49">
        <f t="shared" si="312"/>
        <v>0</v>
      </c>
      <c r="BY485" s="49">
        <f t="shared" si="313"/>
        <v>1</v>
      </c>
      <c r="BZ485" s="49">
        <f t="shared" si="314"/>
        <v>0</v>
      </c>
      <c r="CA485" s="49">
        <f t="shared" si="315"/>
        <v>0</v>
      </c>
      <c r="CB485" s="49">
        <f t="shared" si="316"/>
        <v>1</v>
      </c>
      <c r="CC485" s="49">
        <f t="shared" si="317"/>
        <v>0</v>
      </c>
      <c r="CD485" s="49">
        <f t="shared" si="318"/>
        <v>0</v>
      </c>
      <c r="CE485" s="49">
        <f t="shared" si="319"/>
        <v>0</v>
      </c>
    </row>
    <row r="486" spans="1:83" ht="35.1" customHeight="1" x14ac:dyDescent="0.3">
      <c r="A486" s="123" t="str">
        <f t="shared" si="280"/>
        <v>4팀</v>
      </c>
      <c r="B486" s="69">
        <f t="shared" si="281"/>
        <v>480</v>
      </c>
      <c r="C486" s="120" t="str">
        <f>IF(VLOOKUP($B486,'1. 현장별 인원현황'!$C:$J,2,0)=0,"",VLOOKUP($B486,'1. 현장별 인원현황'!$C:$J,2,0))</f>
        <v xml:space="preserve"> [4.롯데건설] 롯데바이오로직스 Project PROVIDENCE</v>
      </c>
      <c r="D486" s="70" t="str">
        <f>IF(VLOOKUP($B486,'1. 현장별 인원현황'!$C:$J,3,0)=0,"",VLOOKUP($B486,'1. 현장별 인원현황'!$C:$J,3,0))</f>
        <v>최석민</v>
      </c>
      <c r="E486" s="74" t="str">
        <f ca="1">IF(VLOOKUP($B486,'1. 현장별 인원현황'!$C:$J,4,0)=0,"",VLOOKUP($B486,'1. 현장별 인원현황'!$C:$J,4,0))</f>
        <v>49세</v>
      </c>
      <c r="F486" s="70" t="str">
        <f>IF(VLOOKUP($B486,'1. 현장별 인원현황'!$C:$J,7,0)=0,"",VLOOKUP($B486,'1. 현장별 인원현황'!$C:$J,7,0))</f>
        <v>기능공</v>
      </c>
      <c r="G486" s="72" t="str">
        <f>IF(VLOOKUP($B486,'1. 현장별 인원현황'!$C:$J,8,0)=0,"",VLOOKUP($B486,'1. 현장별 인원현황'!$C:$J,8,0))</f>
        <v>전공</v>
      </c>
      <c r="H486" s="67"/>
      <c r="I486" s="73" t="s">
        <v>69</v>
      </c>
      <c r="J486" s="73"/>
      <c r="K486" s="68"/>
      <c r="L486" s="67" t="s">
        <v>69</v>
      </c>
      <c r="M486" s="73"/>
      <c r="N486" s="73"/>
      <c r="O486" s="68"/>
      <c r="P486" s="67"/>
      <c r="Q486" s="73" t="s">
        <v>69</v>
      </c>
      <c r="R486" s="73"/>
      <c r="S486" s="68"/>
      <c r="T486" s="67"/>
      <c r="U486" s="73" t="s">
        <v>69</v>
      </c>
      <c r="V486" s="73"/>
      <c r="W486" s="68"/>
      <c r="X486" s="67" t="s">
        <v>69</v>
      </c>
      <c r="Y486" s="73"/>
      <c r="Z486" s="73"/>
      <c r="AA486" s="68"/>
      <c r="AB486" s="67" t="s">
        <v>69</v>
      </c>
      <c r="AC486" s="73"/>
      <c r="AD486" s="73"/>
      <c r="AE486" s="68"/>
      <c r="AF486" s="67" t="s">
        <v>69</v>
      </c>
      <c r="AG486" s="73"/>
      <c r="AH486" s="73"/>
      <c r="AI486" s="68"/>
      <c r="AJ486" s="67"/>
      <c r="AK486" s="73" t="s">
        <v>69</v>
      </c>
      <c r="AL486" s="73"/>
      <c r="AM486" s="68"/>
      <c r="AN486" s="73" t="s">
        <v>69</v>
      </c>
      <c r="AO486" s="73"/>
      <c r="AP486" s="73"/>
      <c r="AQ486" s="68"/>
      <c r="AR486" s="67">
        <f t="shared" si="282"/>
        <v>89</v>
      </c>
      <c r="AS486" s="68" t="str">
        <f t="shared" si="283"/>
        <v>S</v>
      </c>
      <c r="AV486" s="49">
        <f t="shared" si="284"/>
        <v>0</v>
      </c>
      <c r="AW486" s="49">
        <f t="shared" si="285"/>
        <v>1</v>
      </c>
      <c r="AX486" s="49">
        <f t="shared" si="286"/>
        <v>0</v>
      </c>
      <c r="AY486" s="49">
        <f t="shared" si="287"/>
        <v>0</v>
      </c>
      <c r="AZ486" s="49">
        <f t="shared" si="288"/>
        <v>1</v>
      </c>
      <c r="BA486" s="49">
        <f t="shared" si="289"/>
        <v>0</v>
      </c>
      <c r="BB486" s="49">
        <f t="shared" si="290"/>
        <v>0</v>
      </c>
      <c r="BC486" s="49">
        <f t="shared" si="291"/>
        <v>0</v>
      </c>
      <c r="BD486" s="49">
        <f t="shared" si="292"/>
        <v>0</v>
      </c>
      <c r="BE486" s="49">
        <f t="shared" si="293"/>
        <v>1</v>
      </c>
      <c r="BF486" s="49">
        <f t="shared" si="294"/>
        <v>0</v>
      </c>
      <c r="BG486" s="49">
        <f t="shared" si="295"/>
        <v>0</v>
      </c>
      <c r="BH486" s="49">
        <f t="shared" si="296"/>
        <v>0</v>
      </c>
      <c r="BI486" s="49">
        <f t="shared" si="297"/>
        <v>1</v>
      </c>
      <c r="BJ486" s="49">
        <f t="shared" si="298"/>
        <v>0</v>
      </c>
      <c r="BK486" s="49">
        <f t="shared" si="299"/>
        <v>0</v>
      </c>
      <c r="BL486" s="49">
        <f t="shared" si="300"/>
        <v>1</v>
      </c>
      <c r="BM486" s="49">
        <f t="shared" si="301"/>
        <v>0</v>
      </c>
      <c r="BN486" s="49">
        <f t="shared" si="302"/>
        <v>0</v>
      </c>
      <c r="BO486" s="49">
        <f t="shared" si="303"/>
        <v>0</v>
      </c>
      <c r="BP486" s="49">
        <f t="shared" si="304"/>
        <v>1</v>
      </c>
      <c r="BQ486" s="49">
        <f t="shared" si="305"/>
        <v>0</v>
      </c>
      <c r="BR486" s="49">
        <f t="shared" si="306"/>
        <v>0</v>
      </c>
      <c r="BS486" s="49">
        <f t="shared" si="307"/>
        <v>0</v>
      </c>
      <c r="BT486" s="49">
        <f t="shared" si="308"/>
        <v>1</v>
      </c>
      <c r="BU486" s="49">
        <f t="shared" si="309"/>
        <v>0</v>
      </c>
      <c r="BV486" s="49">
        <f t="shared" si="310"/>
        <v>0</v>
      </c>
      <c r="BW486" s="49">
        <f t="shared" si="311"/>
        <v>0</v>
      </c>
      <c r="BX486" s="49">
        <f t="shared" si="312"/>
        <v>0</v>
      </c>
      <c r="BY486" s="49">
        <f t="shared" si="313"/>
        <v>1</v>
      </c>
      <c r="BZ486" s="49">
        <f t="shared" si="314"/>
        <v>0</v>
      </c>
      <c r="CA486" s="49">
        <f t="shared" si="315"/>
        <v>0</v>
      </c>
      <c r="CB486" s="49">
        <f t="shared" si="316"/>
        <v>1</v>
      </c>
      <c r="CC486" s="49">
        <f t="shared" si="317"/>
        <v>0</v>
      </c>
      <c r="CD486" s="49">
        <f t="shared" si="318"/>
        <v>0</v>
      </c>
      <c r="CE486" s="49">
        <f t="shared" si="319"/>
        <v>0</v>
      </c>
    </row>
    <row r="487" spans="1:83" ht="35.1" customHeight="1" x14ac:dyDescent="0.3">
      <c r="A487" s="123" t="str">
        <f t="shared" si="280"/>
        <v>4팀</v>
      </c>
      <c r="B487" s="69">
        <f t="shared" si="281"/>
        <v>481</v>
      </c>
      <c r="C487" s="120" t="str">
        <f>IF(VLOOKUP($B487,'1. 현장별 인원현황'!$C:$J,2,0)=0,"",VLOOKUP($B487,'1. 현장별 인원현황'!$C:$J,2,0))</f>
        <v xml:space="preserve"> [4.롯데건설] 롯데바이오로직스 Project PROVIDENCE</v>
      </c>
      <c r="D487" s="70" t="str">
        <f>IF(VLOOKUP($B487,'1. 현장별 인원현황'!$C:$J,3,0)=0,"",VLOOKUP($B487,'1. 현장별 인원현황'!$C:$J,3,0))</f>
        <v>강진석</v>
      </c>
      <c r="E487" s="74" t="str">
        <f ca="1">IF(VLOOKUP($B487,'1. 현장별 인원현황'!$C:$J,4,0)=0,"",VLOOKUP($B487,'1. 현장별 인원현황'!$C:$J,4,0))</f>
        <v>40세</v>
      </c>
      <c r="F487" s="70" t="str">
        <f>IF(VLOOKUP($B487,'1. 현장별 인원현황'!$C:$J,7,0)=0,"",VLOOKUP($B487,'1. 현장별 인원현황'!$C:$J,7,0))</f>
        <v>기능공</v>
      </c>
      <c r="G487" s="72" t="str">
        <f>IF(VLOOKUP($B487,'1. 현장별 인원현황'!$C:$J,8,0)=0,"",VLOOKUP($B487,'1. 현장별 인원현황'!$C:$J,8,0))</f>
        <v>전공</v>
      </c>
      <c r="H487" s="67"/>
      <c r="I487" s="73" t="s">
        <v>69</v>
      </c>
      <c r="J487" s="73"/>
      <c r="K487" s="68"/>
      <c r="L487" s="67"/>
      <c r="M487" s="73" t="s">
        <v>69</v>
      </c>
      <c r="N487" s="73"/>
      <c r="O487" s="68"/>
      <c r="P487" s="67"/>
      <c r="Q487" s="73" t="s">
        <v>69</v>
      </c>
      <c r="R487" s="73"/>
      <c r="S487" s="68"/>
      <c r="T487" s="67"/>
      <c r="U487" s="73" t="s">
        <v>69</v>
      </c>
      <c r="V487" s="73"/>
      <c r="W487" s="68"/>
      <c r="X487" s="67" t="s">
        <v>69</v>
      </c>
      <c r="Y487" s="73"/>
      <c r="Z487" s="73"/>
      <c r="AA487" s="68"/>
      <c r="AB487" s="67"/>
      <c r="AC487" s="73" t="s">
        <v>69</v>
      </c>
      <c r="AD487" s="73"/>
      <c r="AE487" s="68"/>
      <c r="AF487" s="67"/>
      <c r="AG487" s="73" t="s">
        <v>69</v>
      </c>
      <c r="AH487" s="73"/>
      <c r="AI487" s="68"/>
      <c r="AJ487" s="67"/>
      <c r="AK487" s="73" t="s">
        <v>69</v>
      </c>
      <c r="AL487" s="73"/>
      <c r="AM487" s="68"/>
      <c r="AN487" s="73" t="s">
        <v>69</v>
      </c>
      <c r="AO487" s="73"/>
      <c r="AP487" s="73"/>
      <c r="AQ487" s="68"/>
      <c r="AR487" s="67">
        <f t="shared" si="282"/>
        <v>82</v>
      </c>
      <c r="AS487" s="68" t="str">
        <f t="shared" si="283"/>
        <v>A</v>
      </c>
      <c r="AV487" s="49">
        <f t="shared" si="284"/>
        <v>0</v>
      </c>
      <c r="AW487" s="49">
        <f t="shared" si="285"/>
        <v>1</v>
      </c>
      <c r="AX487" s="49">
        <f t="shared" si="286"/>
        <v>0</v>
      </c>
      <c r="AY487" s="49">
        <f t="shared" si="287"/>
        <v>0</v>
      </c>
      <c r="AZ487" s="49">
        <f t="shared" si="288"/>
        <v>0</v>
      </c>
      <c r="BA487" s="49">
        <f t="shared" si="289"/>
        <v>1</v>
      </c>
      <c r="BB487" s="49">
        <f t="shared" si="290"/>
        <v>0</v>
      </c>
      <c r="BC487" s="49">
        <f t="shared" si="291"/>
        <v>0</v>
      </c>
      <c r="BD487" s="49">
        <f t="shared" si="292"/>
        <v>0</v>
      </c>
      <c r="BE487" s="49">
        <f t="shared" si="293"/>
        <v>1</v>
      </c>
      <c r="BF487" s="49">
        <f t="shared" si="294"/>
        <v>0</v>
      </c>
      <c r="BG487" s="49">
        <f t="shared" si="295"/>
        <v>0</v>
      </c>
      <c r="BH487" s="49">
        <f t="shared" si="296"/>
        <v>0</v>
      </c>
      <c r="BI487" s="49">
        <f t="shared" si="297"/>
        <v>1</v>
      </c>
      <c r="BJ487" s="49">
        <f t="shared" si="298"/>
        <v>0</v>
      </c>
      <c r="BK487" s="49">
        <f t="shared" si="299"/>
        <v>0</v>
      </c>
      <c r="BL487" s="49">
        <f t="shared" si="300"/>
        <v>1</v>
      </c>
      <c r="BM487" s="49">
        <f t="shared" si="301"/>
        <v>0</v>
      </c>
      <c r="BN487" s="49">
        <f t="shared" si="302"/>
        <v>0</v>
      </c>
      <c r="BO487" s="49">
        <f t="shared" si="303"/>
        <v>0</v>
      </c>
      <c r="BP487" s="49">
        <f t="shared" si="304"/>
        <v>0</v>
      </c>
      <c r="BQ487" s="49">
        <f t="shared" si="305"/>
        <v>1</v>
      </c>
      <c r="BR487" s="49">
        <f t="shared" si="306"/>
        <v>0</v>
      </c>
      <c r="BS487" s="49">
        <f t="shared" si="307"/>
        <v>0</v>
      </c>
      <c r="BT487" s="49">
        <f t="shared" si="308"/>
        <v>0</v>
      </c>
      <c r="BU487" s="49">
        <f t="shared" si="309"/>
        <v>1</v>
      </c>
      <c r="BV487" s="49">
        <f t="shared" si="310"/>
        <v>0</v>
      </c>
      <c r="BW487" s="49">
        <f t="shared" si="311"/>
        <v>0</v>
      </c>
      <c r="BX487" s="49">
        <f t="shared" si="312"/>
        <v>0</v>
      </c>
      <c r="BY487" s="49">
        <f t="shared" si="313"/>
        <v>1</v>
      </c>
      <c r="BZ487" s="49">
        <f t="shared" si="314"/>
        <v>0</v>
      </c>
      <c r="CA487" s="49">
        <f t="shared" si="315"/>
        <v>0</v>
      </c>
      <c r="CB487" s="49">
        <f t="shared" si="316"/>
        <v>1</v>
      </c>
      <c r="CC487" s="49">
        <f t="shared" si="317"/>
        <v>0</v>
      </c>
      <c r="CD487" s="49">
        <f t="shared" si="318"/>
        <v>0</v>
      </c>
      <c r="CE487" s="49">
        <f t="shared" si="319"/>
        <v>0</v>
      </c>
    </row>
    <row r="488" spans="1:83" ht="35.1" customHeight="1" x14ac:dyDescent="0.3">
      <c r="A488" s="123" t="str">
        <f t="shared" si="280"/>
        <v>4팀</v>
      </c>
      <c r="B488" s="69">
        <f t="shared" si="281"/>
        <v>482</v>
      </c>
      <c r="C488" s="120" t="str">
        <f>IF(VLOOKUP($B488,'1. 현장별 인원현황'!$C:$J,2,0)=0,"",VLOOKUP($B488,'1. 현장별 인원현황'!$C:$J,2,0))</f>
        <v xml:space="preserve"> [4.롯데건설] 롯데바이오로직스 Project PROVIDENCE</v>
      </c>
      <c r="D488" s="70" t="str">
        <f>IF(VLOOKUP($B488,'1. 현장별 인원현황'!$C:$J,3,0)=0,"",VLOOKUP($B488,'1. 현장별 인원현황'!$C:$J,3,0))</f>
        <v>구인기</v>
      </c>
      <c r="E488" s="74" t="str">
        <f ca="1">IF(VLOOKUP($B488,'1. 현장별 인원현황'!$C:$J,4,0)=0,"",VLOOKUP($B488,'1. 현장별 인원현황'!$C:$J,4,0))</f>
        <v>51세</v>
      </c>
      <c r="F488" s="70" t="str">
        <f>IF(VLOOKUP($B488,'1. 현장별 인원현황'!$C:$J,7,0)=0,"",VLOOKUP($B488,'1. 현장별 인원현황'!$C:$J,7,0))</f>
        <v>기능공</v>
      </c>
      <c r="G488" s="72" t="str">
        <f>IF(VLOOKUP($B488,'1. 현장별 인원현황'!$C:$J,8,0)=0,"",VLOOKUP($B488,'1. 현장별 인원현황'!$C:$J,8,0))</f>
        <v>전공</v>
      </c>
      <c r="H488" s="67"/>
      <c r="I488" s="73" t="s">
        <v>69</v>
      </c>
      <c r="J488" s="73"/>
      <c r="K488" s="68"/>
      <c r="L488" s="67"/>
      <c r="M488" s="73" t="s">
        <v>69</v>
      </c>
      <c r="N488" s="73"/>
      <c r="O488" s="68"/>
      <c r="P488" s="67"/>
      <c r="Q488" s="73" t="s">
        <v>69</v>
      </c>
      <c r="R488" s="73"/>
      <c r="S488" s="68"/>
      <c r="T488" s="67"/>
      <c r="U488" s="73" t="s">
        <v>69</v>
      </c>
      <c r="V488" s="73"/>
      <c r="W488" s="68"/>
      <c r="X488" s="67" t="s">
        <v>69</v>
      </c>
      <c r="Y488" s="73"/>
      <c r="Z488" s="73"/>
      <c r="AA488" s="68"/>
      <c r="AB488" s="67" t="s">
        <v>69</v>
      </c>
      <c r="AC488" s="73"/>
      <c r="AD488" s="73"/>
      <c r="AE488" s="68"/>
      <c r="AF488" s="67"/>
      <c r="AG488" s="73" t="s">
        <v>69</v>
      </c>
      <c r="AH488" s="73"/>
      <c r="AI488" s="68"/>
      <c r="AJ488" s="67"/>
      <c r="AK488" s="73" t="s">
        <v>69</v>
      </c>
      <c r="AL488" s="73"/>
      <c r="AM488" s="68"/>
      <c r="AN488" s="73" t="s">
        <v>69</v>
      </c>
      <c r="AO488" s="73"/>
      <c r="AP488" s="73"/>
      <c r="AQ488" s="68"/>
      <c r="AR488" s="67">
        <f t="shared" si="282"/>
        <v>84</v>
      </c>
      <c r="AS488" s="68" t="str">
        <f t="shared" si="283"/>
        <v>A</v>
      </c>
      <c r="AV488" s="49">
        <f t="shared" si="284"/>
        <v>0</v>
      </c>
      <c r="AW488" s="49">
        <f t="shared" si="285"/>
        <v>1</v>
      </c>
      <c r="AX488" s="49">
        <f t="shared" si="286"/>
        <v>0</v>
      </c>
      <c r="AY488" s="49">
        <f t="shared" si="287"/>
        <v>0</v>
      </c>
      <c r="AZ488" s="49">
        <f t="shared" si="288"/>
        <v>0</v>
      </c>
      <c r="BA488" s="49">
        <f t="shared" si="289"/>
        <v>1</v>
      </c>
      <c r="BB488" s="49">
        <f t="shared" si="290"/>
        <v>0</v>
      </c>
      <c r="BC488" s="49">
        <f t="shared" si="291"/>
        <v>0</v>
      </c>
      <c r="BD488" s="49">
        <f t="shared" si="292"/>
        <v>0</v>
      </c>
      <c r="BE488" s="49">
        <f t="shared" si="293"/>
        <v>1</v>
      </c>
      <c r="BF488" s="49">
        <f t="shared" si="294"/>
        <v>0</v>
      </c>
      <c r="BG488" s="49">
        <f t="shared" si="295"/>
        <v>0</v>
      </c>
      <c r="BH488" s="49">
        <f t="shared" si="296"/>
        <v>0</v>
      </c>
      <c r="BI488" s="49">
        <f t="shared" si="297"/>
        <v>1</v>
      </c>
      <c r="BJ488" s="49">
        <f t="shared" si="298"/>
        <v>0</v>
      </c>
      <c r="BK488" s="49">
        <f t="shared" si="299"/>
        <v>0</v>
      </c>
      <c r="BL488" s="49">
        <f t="shared" si="300"/>
        <v>1</v>
      </c>
      <c r="BM488" s="49">
        <f t="shared" si="301"/>
        <v>0</v>
      </c>
      <c r="BN488" s="49">
        <f t="shared" si="302"/>
        <v>0</v>
      </c>
      <c r="BO488" s="49">
        <f t="shared" si="303"/>
        <v>0</v>
      </c>
      <c r="BP488" s="49">
        <f t="shared" si="304"/>
        <v>1</v>
      </c>
      <c r="BQ488" s="49">
        <f t="shared" si="305"/>
        <v>0</v>
      </c>
      <c r="BR488" s="49">
        <f t="shared" si="306"/>
        <v>0</v>
      </c>
      <c r="BS488" s="49">
        <f t="shared" si="307"/>
        <v>0</v>
      </c>
      <c r="BT488" s="49">
        <f t="shared" si="308"/>
        <v>0</v>
      </c>
      <c r="BU488" s="49">
        <f t="shared" si="309"/>
        <v>1</v>
      </c>
      <c r="BV488" s="49">
        <f t="shared" si="310"/>
        <v>0</v>
      </c>
      <c r="BW488" s="49">
        <f t="shared" si="311"/>
        <v>0</v>
      </c>
      <c r="BX488" s="49">
        <f t="shared" si="312"/>
        <v>0</v>
      </c>
      <c r="BY488" s="49">
        <f t="shared" si="313"/>
        <v>1</v>
      </c>
      <c r="BZ488" s="49">
        <f t="shared" si="314"/>
        <v>0</v>
      </c>
      <c r="CA488" s="49">
        <f t="shared" si="315"/>
        <v>0</v>
      </c>
      <c r="CB488" s="49">
        <f t="shared" si="316"/>
        <v>1</v>
      </c>
      <c r="CC488" s="49">
        <f t="shared" si="317"/>
        <v>0</v>
      </c>
      <c r="CD488" s="49">
        <f t="shared" si="318"/>
        <v>0</v>
      </c>
      <c r="CE488" s="49">
        <f t="shared" si="319"/>
        <v>0</v>
      </c>
    </row>
    <row r="489" spans="1:83" ht="35.1" customHeight="1" x14ac:dyDescent="0.3">
      <c r="A489" s="123" t="str">
        <f t="shared" si="280"/>
        <v>4팀</v>
      </c>
      <c r="B489" s="69">
        <f t="shared" si="281"/>
        <v>483</v>
      </c>
      <c r="C489" s="120" t="str">
        <f>IF(VLOOKUP($B489,'1. 현장별 인원현황'!$C:$J,2,0)=0,"",VLOOKUP($B489,'1. 현장별 인원현황'!$C:$J,2,0))</f>
        <v xml:space="preserve"> [4.롯데건설] 롯데바이오로직스 Project PROVIDENCE</v>
      </c>
      <c r="D489" s="70" t="str">
        <f>IF(VLOOKUP($B489,'1. 현장별 인원현황'!$C:$J,3,0)=0,"",VLOOKUP($B489,'1. 현장별 인원현황'!$C:$J,3,0))</f>
        <v>손지수</v>
      </c>
      <c r="E489" s="74" t="str">
        <f ca="1">IF(VLOOKUP($B489,'1. 현장별 인원현황'!$C:$J,4,0)=0,"",VLOOKUP($B489,'1. 현장별 인원현황'!$C:$J,4,0))</f>
        <v>31세</v>
      </c>
      <c r="F489" s="70" t="str">
        <f>IF(VLOOKUP($B489,'1. 현장별 인원현황'!$C:$J,7,0)=0,"",VLOOKUP($B489,'1. 현장별 인원현황'!$C:$J,7,0))</f>
        <v>기능공</v>
      </c>
      <c r="G489" s="72" t="str">
        <f>IF(VLOOKUP($B489,'1. 현장별 인원현황'!$C:$J,8,0)=0,"",VLOOKUP($B489,'1. 현장별 인원현황'!$C:$J,8,0))</f>
        <v>전공</v>
      </c>
      <c r="H489" s="67"/>
      <c r="I489" s="73" t="s">
        <v>69</v>
      </c>
      <c r="J489" s="73"/>
      <c r="K489" s="68"/>
      <c r="L489" s="67"/>
      <c r="M489" s="73" t="s">
        <v>69</v>
      </c>
      <c r="N489" s="73"/>
      <c r="O489" s="68"/>
      <c r="P489" s="67"/>
      <c r="Q489" s="73" t="s">
        <v>69</v>
      </c>
      <c r="R489" s="73"/>
      <c r="S489" s="68"/>
      <c r="T489" s="67"/>
      <c r="U489" s="73" t="s">
        <v>69</v>
      </c>
      <c r="V489" s="73"/>
      <c r="W489" s="68"/>
      <c r="X489" s="67" t="s">
        <v>69</v>
      </c>
      <c r="Y489" s="73"/>
      <c r="Z489" s="73"/>
      <c r="AA489" s="68"/>
      <c r="AB489" s="67"/>
      <c r="AC489" s="73" t="s">
        <v>69</v>
      </c>
      <c r="AD489" s="73"/>
      <c r="AE489" s="68"/>
      <c r="AF489" s="67"/>
      <c r="AG489" s="73" t="s">
        <v>69</v>
      </c>
      <c r="AH489" s="73"/>
      <c r="AI489" s="68"/>
      <c r="AJ489" s="67"/>
      <c r="AK489" s="73" t="s">
        <v>69</v>
      </c>
      <c r="AL489" s="73"/>
      <c r="AM489" s="68"/>
      <c r="AN489" s="73" t="s">
        <v>69</v>
      </c>
      <c r="AO489" s="73"/>
      <c r="AP489" s="73"/>
      <c r="AQ489" s="68"/>
      <c r="AR489" s="67">
        <f t="shared" si="282"/>
        <v>82</v>
      </c>
      <c r="AS489" s="68" t="str">
        <f t="shared" si="283"/>
        <v>A</v>
      </c>
      <c r="AV489" s="49">
        <f t="shared" si="284"/>
        <v>0</v>
      </c>
      <c r="AW489" s="49">
        <f t="shared" si="285"/>
        <v>1</v>
      </c>
      <c r="AX489" s="49">
        <f t="shared" si="286"/>
        <v>0</v>
      </c>
      <c r="AY489" s="49">
        <f t="shared" si="287"/>
        <v>0</v>
      </c>
      <c r="AZ489" s="49">
        <f t="shared" si="288"/>
        <v>0</v>
      </c>
      <c r="BA489" s="49">
        <f t="shared" si="289"/>
        <v>1</v>
      </c>
      <c r="BB489" s="49">
        <f t="shared" si="290"/>
        <v>0</v>
      </c>
      <c r="BC489" s="49">
        <f t="shared" si="291"/>
        <v>0</v>
      </c>
      <c r="BD489" s="49">
        <f t="shared" si="292"/>
        <v>0</v>
      </c>
      <c r="BE489" s="49">
        <f t="shared" si="293"/>
        <v>1</v>
      </c>
      <c r="BF489" s="49">
        <f t="shared" si="294"/>
        <v>0</v>
      </c>
      <c r="BG489" s="49">
        <f t="shared" si="295"/>
        <v>0</v>
      </c>
      <c r="BH489" s="49">
        <f t="shared" si="296"/>
        <v>0</v>
      </c>
      <c r="BI489" s="49">
        <f t="shared" si="297"/>
        <v>1</v>
      </c>
      <c r="BJ489" s="49">
        <f t="shared" si="298"/>
        <v>0</v>
      </c>
      <c r="BK489" s="49">
        <f t="shared" si="299"/>
        <v>0</v>
      </c>
      <c r="BL489" s="49">
        <f t="shared" si="300"/>
        <v>1</v>
      </c>
      <c r="BM489" s="49">
        <f t="shared" si="301"/>
        <v>0</v>
      </c>
      <c r="BN489" s="49">
        <f t="shared" si="302"/>
        <v>0</v>
      </c>
      <c r="BO489" s="49">
        <f t="shared" si="303"/>
        <v>0</v>
      </c>
      <c r="BP489" s="49">
        <f t="shared" si="304"/>
        <v>0</v>
      </c>
      <c r="BQ489" s="49">
        <f t="shared" si="305"/>
        <v>1</v>
      </c>
      <c r="BR489" s="49">
        <f t="shared" si="306"/>
        <v>0</v>
      </c>
      <c r="BS489" s="49">
        <f t="shared" si="307"/>
        <v>0</v>
      </c>
      <c r="BT489" s="49">
        <f t="shared" si="308"/>
        <v>0</v>
      </c>
      <c r="BU489" s="49">
        <f t="shared" si="309"/>
        <v>1</v>
      </c>
      <c r="BV489" s="49">
        <f t="shared" si="310"/>
        <v>0</v>
      </c>
      <c r="BW489" s="49">
        <f t="shared" si="311"/>
        <v>0</v>
      </c>
      <c r="BX489" s="49">
        <f t="shared" si="312"/>
        <v>0</v>
      </c>
      <c r="BY489" s="49">
        <f t="shared" si="313"/>
        <v>1</v>
      </c>
      <c r="BZ489" s="49">
        <f t="shared" si="314"/>
        <v>0</v>
      </c>
      <c r="CA489" s="49">
        <f t="shared" si="315"/>
        <v>0</v>
      </c>
      <c r="CB489" s="49">
        <f t="shared" si="316"/>
        <v>1</v>
      </c>
      <c r="CC489" s="49">
        <f t="shared" si="317"/>
        <v>0</v>
      </c>
      <c r="CD489" s="49">
        <f t="shared" si="318"/>
        <v>0</v>
      </c>
      <c r="CE489" s="49">
        <f t="shared" si="319"/>
        <v>0</v>
      </c>
    </row>
    <row r="490" spans="1:83" ht="35.1" customHeight="1" x14ac:dyDescent="0.3">
      <c r="A490" s="123" t="str">
        <f t="shared" si="280"/>
        <v>4팀</v>
      </c>
      <c r="B490" s="69">
        <f t="shared" si="281"/>
        <v>484</v>
      </c>
      <c r="C490" s="120" t="str">
        <f>IF(VLOOKUP($B490,'1. 현장별 인원현황'!$C:$J,2,0)=0,"",VLOOKUP($B490,'1. 현장별 인원현황'!$C:$J,2,0))</f>
        <v xml:space="preserve"> [4.롯데건설] 롯데바이오로직스 Project PROVIDENCE</v>
      </c>
      <c r="D490" s="70" t="str">
        <f>IF(VLOOKUP($B490,'1. 현장별 인원현황'!$C:$J,3,0)=0,"",VLOOKUP($B490,'1. 현장별 인원현황'!$C:$J,3,0))</f>
        <v>정승일</v>
      </c>
      <c r="E490" s="74" t="str">
        <f ca="1">IF(VLOOKUP($B490,'1. 현장별 인원현황'!$C:$J,4,0)=0,"",VLOOKUP($B490,'1. 현장별 인원현황'!$C:$J,4,0))</f>
        <v>29세</v>
      </c>
      <c r="F490" s="70" t="str">
        <f>IF(VLOOKUP($B490,'1. 현장별 인원현황'!$C:$J,7,0)=0,"",VLOOKUP($B490,'1. 현장별 인원현황'!$C:$J,7,0))</f>
        <v>기능공</v>
      </c>
      <c r="G490" s="72" t="str">
        <f>IF(VLOOKUP($B490,'1. 현장별 인원현황'!$C:$J,8,0)=0,"",VLOOKUP($B490,'1. 현장별 인원현황'!$C:$J,8,0))</f>
        <v>전공</v>
      </c>
      <c r="H490" s="67"/>
      <c r="I490" s="73" t="s">
        <v>69</v>
      </c>
      <c r="J490" s="73"/>
      <c r="K490" s="68"/>
      <c r="L490" s="67"/>
      <c r="M490" s="73" t="s">
        <v>69</v>
      </c>
      <c r="N490" s="73"/>
      <c r="O490" s="68"/>
      <c r="P490" s="67"/>
      <c r="Q490" s="73" t="s">
        <v>69</v>
      </c>
      <c r="R490" s="73"/>
      <c r="S490" s="68"/>
      <c r="T490" s="67"/>
      <c r="U490" s="73" t="s">
        <v>69</v>
      </c>
      <c r="V490" s="73"/>
      <c r="W490" s="68"/>
      <c r="X490" s="67" t="s">
        <v>69</v>
      </c>
      <c r="Y490" s="73"/>
      <c r="Z490" s="73"/>
      <c r="AA490" s="68"/>
      <c r="AB490" s="67"/>
      <c r="AC490" s="73"/>
      <c r="AD490" s="73" t="s">
        <v>69</v>
      </c>
      <c r="AE490" s="68"/>
      <c r="AF490" s="67"/>
      <c r="AG490" s="73" t="s">
        <v>69</v>
      </c>
      <c r="AH490" s="73"/>
      <c r="AI490" s="68"/>
      <c r="AJ490" s="67"/>
      <c r="AK490" s="73" t="s">
        <v>69</v>
      </c>
      <c r="AL490" s="73"/>
      <c r="AM490" s="68"/>
      <c r="AN490" s="73" t="s">
        <v>69</v>
      </c>
      <c r="AO490" s="73"/>
      <c r="AP490" s="73"/>
      <c r="AQ490" s="68"/>
      <c r="AR490" s="67">
        <f t="shared" si="282"/>
        <v>80</v>
      </c>
      <c r="AS490" s="68" t="str">
        <f t="shared" si="283"/>
        <v>A</v>
      </c>
      <c r="AV490" s="49">
        <f t="shared" si="284"/>
        <v>0</v>
      </c>
      <c r="AW490" s="49">
        <f t="shared" si="285"/>
        <v>1</v>
      </c>
      <c r="AX490" s="49">
        <f t="shared" si="286"/>
        <v>0</v>
      </c>
      <c r="AY490" s="49">
        <f t="shared" si="287"/>
        <v>0</v>
      </c>
      <c r="AZ490" s="49">
        <f t="shared" si="288"/>
        <v>0</v>
      </c>
      <c r="BA490" s="49">
        <f t="shared" si="289"/>
        <v>1</v>
      </c>
      <c r="BB490" s="49">
        <f t="shared" si="290"/>
        <v>0</v>
      </c>
      <c r="BC490" s="49">
        <f t="shared" si="291"/>
        <v>0</v>
      </c>
      <c r="BD490" s="49">
        <f t="shared" si="292"/>
        <v>0</v>
      </c>
      <c r="BE490" s="49">
        <f t="shared" si="293"/>
        <v>1</v>
      </c>
      <c r="BF490" s="49">
        <f t="shared" si="294"/>
        <v>0</v>
      </c>
      <c r="BG490" s="49">
        <f t="shared" si="295"/>
        <v>0</v>
      </c>
      <c r="BH490" s="49">
        <f t="shared" si="296"/>
        <v>0</v>
      </c>
      <c r="BI490" s="49">
        <f t="shared" si="297"/>
        <v>1</v>
      </c>
      <c r="BJ490" s="49">
        <f t="shared" si="298"/>
        <v>0</v>
      </c>
      <c r="BK490" s="49">
        <f t="shared" si="299"/>
        <v>0</v>
      </c>
      <c r="BL490" s="49">
        <f t="shared" si="300"/>
        <v>1</v>
      </c>
      <c r="BM490" s="49">
        <f t="shared" si="301"/>
        <v>0</v>
      </c>
      <c r="BN490" s="49">
        <f t="shared" si="302"/>
        <v>0</v>
      </c>
      <c r="BO490" s="49">
        <f t="shared" si="303"/>
        <v>0</v>
      </c>
      <c r="BP490" s="49">
        <f t="shared" si="304"/>
        <v>0</v>
      </c>
      <c r="BQ490" s="49">
        <f t="shared" si="305"/>
        <v>0</v>
      </c>
      <c r="BR490" s="49">
        <f t="shared" si="306"/>
        <v>1</v>
      </c>
      <c r="BS490" s="49">
        <f t="shared" si="307"/>
        <v>0</v>
      </c>
      <c r="BT490" s="49">
        <f t="shared" si="308"/>
        <v>0</v>
      </c>
      <c r="BU490" s="49">
        <f t="shared" si="309"/>
        <v>1</v>
      </c>
      <c r="BV490" s="49">
        <f t="shared" si="310"/>
        <v>0</v>
      </c>
      <c r="BW490" s="49">
        <f t="shared" si="311"/>
        <v>0</v>
      </c>
      <c r="BX490" s="49">
        <f t="shared" si="312"/>
        <v>0</v>
      </c>
      <c r="BY490" s="49">
        <f t="shared" si="313"/>
        <v>1</v>
      </c>
      <c r="BZ490" s="49">
        <f t="shared" si="314"/>
        <v>0</v>
      </c>
      <c r="CA490" s="49">
        <f t="shared" si="315"/>
        <v>0</v>
      </c>
      <c r="CB490" s="49">
        <f t="shared" si="316"/>
        <v>1</v>
      </c>
      <c r="CC490" s="49">
        <f t="shared" si="317"/>
        <v>0</v>
      </c>
      <c r="CD490" s="49">
        <f t="shared" si="318"/>
        <v>0</v>
      </c>
      <c r="CE490" s="49">
        <f t="shared" si="319"/>
        <v>0</v>
      </c>
    </row>
    <row r="491" spans="1:83" ht="35.1" customHeight="1" x14ac:dyDescent="0.3">
      <c r="A491" s="123" t="str">
        <f t="shared" si="280"/>
        <v>4팀</v>
      </c>
      <c r="B491" s="69">
        <f t="shared" si="281"/>
        <v>485</v>
      </c>
      <c r="C491" s="120" t="str">
        <f>IF(VLOOKUP($B491,'1. 현장별 인원현황'!$C:$J,2,0)=0,"",VLOOKUP($B491,'1. 현장별 인원현황'!$C:$J,2,0))</f>
        <v xml:space="preserve"> [4.롯데건설] 롯데바이오로직스 Project PROVIDENCE</v>
      </c>
      <c r="D491" s="70" t="str">
        <f>IF(VLOOKUP($B491,'1. 현장별 인원현황'!$C:$J,3,0)=0,"",VLOOKUP($B491,'1. 현장별 인원현황'!$C:$J,3,0))</f>
        <v>정준호</v>
      </c>
      <c r="E491" s="74" t="str">
        <f ca="1">IF(VLOOKUP($B491,'1. 현장별 인원현황'!$C:$J,4,0)=0,"",VLOOKUP($B491,'1. 현장별 인원현황'!$C:$J,4,0))</f>
        <v>53세</v>
      </c>
      <c r="F491" s="70" t="str">
        <f>IF(VLOOKUP($B491,'1. 현장별 인원현황'!$C:$J,7,0)=0,"",VLOOKUP($B491,'1. 현장별 인원현황'!$C:$J,7,0))</f>
        <v>기능공</v>
      </c>
      <c r="G491" s="72" t="str">
        <f>IF(VLOOKUP($B491,'1. 현장별 인원현황'!$C:$J,8,0)=0,"",VLOOKUP($B491,'1. 현장별 인원현황'!$C:$J,8,0))</f>
        <v>전공</v>
      </c>
      <c r="H491" s="67"/>
      <c r="I491" s="73" t="s">
        <v>69</v>
      </c>
      <c r="J491" s="73"/>
      <c r="K491" s="68"/>
      <c r="L491" s="67"/>
      <c r="M491" s="73" t="s">
        <v>69</v>
      </c>
      <c r="N491" s="73"/>
      <c r="O491" s="68"/>
      <c r="P491" s="67"/>
      <c r="Q491" s="73" t="s">
        <v>69</v>
      </c>
      <c r="R491" s="73"/>
      <c r="S491" s="68"/>
      <c r="T491" s="67"/>
      <c r="U491" s="73" t="s">
        <v>69</v>
      </c>
      <c r="V491" s="73"/>
      <c r="W491" s="68"/>
      <c r="X491" s="67" t="s">
        <v>69</v>
      </c>
      <c r="Y491" s="73"/>
      <c r="Z491" s="73"/>
      <c r="AA491" s="68"/>
      <c r="AB491" s="67"/>
      <c r="AC491" s="73" t="s">
        <v>69</v>
      </c>
      <c r="AD491" s="73"/>
      <c r="AE491" s="68"/>
      <c r="AF491" s="67"/>
      <c r="AG491" s="73" t="s">
        <v>69</v>
      </c>
      <c r="AH491" s="73"/>
      <c r="AI491" s="68"/>
      <c r="AJ491" s="67"/>
      <c r="AK491" s="73" t="s">
        <v>69</v>
      </c>
      <c r="AL491" s="73"/>
      <c r="AM491" s="68"/>
      <c r="AN491" s="73" t="s">
        <v>69</v>
      </c>
      <c r="AO491" s="73"/>
      <c r="AP491" s="73"/>
      <c r="AQ491" s="68"/>
      <c r="AR491" s="67">
        <f t="shared" si="282"/>
        <v>82</v>
      </c>
      <c r="AS491" s="68" t="str">
        <f t="shared" si="283"/>
        <v>A</v>
      </c>
      <c r="AV491" s="49">
        <f t="shared" si="284"/>
        <v>0</v>
      </c>
      <c r="AW491" s="49">
        <f t="shared" si="285"/>
        <v>1</v>
      </c>
      <c r="AX491" s="49">
        <f t="shared" si="286"/>
        <v>0</v>
      </c>
      <c r="AY491" s="49">
        <f t="shared" si="287"/>
        <v>0</v>
      </c>
      <c r="AZ491" s="49">
        <f t="shared" si="288"/>
        <v>0</v>
      </c>
      <c r="BA491" s="49">
        <f t="shared" si="289"/>
        <v>1</v>
      </c>
      <c r="BB491" s="49">
        <f t="shared" si="290"/>
        <v>0</v>
      </c>
      <c r="BC491" s="49">
        <f t="shared" si="291"/>
        <v>0</v>
      </c>
      <c r="BD491" s="49">
        <f t="shared" si="292"/>
        <v>0</v>
      </c>
      <c r="BE491" s="49">
        <f t="shared" si="293"/>
        <v>1</v>
      </c>
      <c r="BF491" s="49">
        <f t="shared" si="294"/>
        <v>0</v>
      </c>
      <c r="BG491" s="49">
        <f t="shared" si="295"/>
        <v>0</v>
      </c>
      <c r="BH491" s="49">
        <f t="shared" si="296"/>
        <v>0</v>
      </c>
      <c r="BI491" s="49">
        <f t="shared" si="297"/>
        <v>1</v>
      </c>
      <c r="BJ491" s="49">
        <f t="shared" si="298"/>
        <v>0</v>
      </c>
      <c r="BK491" s="49">
        <f t="shared" si="299"/>
        <v>0</v>
      </c>
      <c r="BL491" s="49">
        <f t="shared" si="300"/>
        <v>1</v>
      </c>
      <c r="BM491" s="49">
        <f t="shared" si="301"/>
        <v>0</v>
      </c>
      <c r="BN491" s="49">
        <f t="shared" si="302"/>
        <v>0</v>
      </c>
      <c r="BO491" s="49">
        <f t="shared" si="303"/>
        <v>0</v>
      </c>
      <c r="BP491" s="49">
        <f t="shared" si="304"/>
        <v>0</v>
      </c>
      <c r="BQ491" s="49">
        <f t="shared" si="305"/>
        <v>1</v>
      </c>
      <c r="BR491" s="49">
        <f t="shared" si="306"/>
        <v>0</v>
      </c>
      <c r="BS491" s="49">
        <f t="shared" si="307"/>
        <v>0</v>
      </c>
      <c r="BT491" s="49">
        <f t="shared" si="308"/>
        <v>0</v>
      </c>
      <c r="BU491" s="49">
        <f t="shared" si="309"/>
        <v>1</v>
      </c>
      <c r="BV491" s="49">
        <f t="shared" si="310"/>
        <v>0</v>
      </c>
      <c r="BW491" s="49">
        <f t="shared" si="311"/>
        <v>0</v>
      </c>
      <c r="BX491" s="49">
        <f t="shared" si="312"/>
        <v>0</v>
      </c>
      <c r="BY491" s="49">
        <f t="shared" si="313"/>
        <v>1</v>
      </c>
      <c r="BZ491" s="49">
        <f t="shared" si="314"/>
        <v>0</v>
      </c>
      <c r="CA491" s="49">
        <f t="shared" si="315"/>
        <v>0</v>
      </c>
      <c r="CB491" s="49">
        <f t="shared" si="316"/>
        <v>1</v>
      </c>
      <c r="CC491" s="49">
        <f t="shared" si="317"/>
        <v>0</v>
      </c>
      <c r="CD491" s="49">
        <f t="shared" si="318"/>
        <v>0</v>
      </c>
      <c r="CE491" s="49">
        <f t="shared" si="319"/>
        <v>0</v>
      </c>
    </row>
    <row r="492" spans="1:83" ht="35.1" customHeight="1" x14ac:dyDescent="0.3">
      <c r="A492" s="123" t="str">
        <f t="shared" si="280"/>
        <v>4팀</v>
      </c>
      <c r="B492" s="69">
        <f t="shared" si="281"/>
        <v>486</v>
      </c>
      <c r="C492" s="120" t="str">
        <f>IF(VLOOKUP($B492,'1. 현장별 인원현황'!$C:$J,2,0)=0,"",VLOOKUP($B492,'1. 현장별 인원현황'!$C:$J,2,0))</f>
        <v xml:space="preserve"> [4.롯데건설] 롯데바이오로직스 Project PROVIDENCE</v>
      </c>
      <c r="D492" s="70" t="str">
        <f>IF(VLOOKUP($B492,'1. 현장별 인원현황'!$C:$J,3,0)=0,"",VLOOKUP($B492,'1. 현장별 인원현황'!$C:$J,3,0))</f>
        <v>정현범</v>
      </c>
      <c r="E492" s="74" t="str">
        <f ca="1">IF(VLOOKUP($B492,'1. 현장별 인원현황'!$C:$J,4,0)=0,"",VLOOKUP($B492,'1. 현장별 인원현황'!$C:$J,4,0))</f>
        <v>36세</v>
      </c>
      <c r="F492" s="70" t="str">
        <f>IF(VLOOKUP($B492,'1. 현장별 인원현황'!$C:$J,7,0)=0,"",VLOOKUP($B492,'1. 현장별 인원현황'!$C:$J,7,0))</f>
        <v>기능공</v>
      </c>
      <c r="G492" s="72" t="str">
        <f>IF(VLOOKUP($B492,'1. 현장별 인원현황'!$C:$J,8,0)=0,"",VLOOKUP($B492,'1. 현장별 인원현황'!$C:$J,8,0))</f>
        <v>전공</v>
      </c>
      <c r="H492" s="67"/>
      <c r="I492" s="73" t="s">
        <v>69</v>
      </c>
      <c r="J492" s="73"/>
      <c r="K492" s="68"/>
      <c r="L492" s="67"/>
      <c r="M492" s="73" t="s">
        <v>69</v>
      </c>
      <c r="N492" s="73"/>
      <c r="O492" s="68"/>
      <c r="P492" s="67"/>
      <c r="Q492" s="73" t="s">
        <v>69</v>
      </c>
      <c r="R492" s="73"/>
      <c r="S492" s="68"/>
      <c r="T492" s="67"/>
      <c r="U492" s="73" t="s">
        <v>69</v>
      </c>
      <c r="V492" s="73"/>
      <c r="W492" s="68"/>
      <c r="X492" s="67" t="s">
        <v>69</v>
      </c>
      <c r="Y492" s="73"/>
      <c r="Z492" s="73"/>
      <c r="AA492" s="68"/>
      <c r="AB492" s="67"/>
      <c r="AC492" s="73" t="s">
        <v>69</v>
      </c>
      <c r="AD492" s="73"/>
      <c r="AE492" s="68"/>
      <c r="AF492" s="67"/>
      <c r="AG492" s="73" t="s">
        <v>69</v>
      </c>
      <c r="AH492" s="73"/>
      <c r="AI492" s="68"/>
      <c r="AJ492" s="67"/>
      <c r="AK492" s="73" t="s">
        <v>69</v>
      </c>
      <c r="AL492" s="73"/>
      <c r="AM492" s="68"/>
      <c r="AN492" s="73" t="s">
        <v>69</v>
      </c>
      <c r="AO492" s="73"/>
      <c r="AP492" s="73"/>
      <c r="AQ492" s="68"/>
      <c r="AR492" s="67">
        <f t="shared" si="282"/>
        <v>82</v>
      </c>
      <c r="AS492" s="68" t="str">
        <f t="shared" si="283"/>
        <v>A</v>
      </c>
      <c r="AV492" s="49">
        <f t="shared" si="284"/>
        <v>0</v>
      </c>
      <c r="AW492" s="49">
        <f t="shared" si="285"/>
        <v>1</v>
      </c>
      <c r="AX492" s="49">
        <f t="shared" si="286"/>
        <v>0</v>
      </c>
      <c r="AY492" s="49">
        <f t="shared" si="287"/>
        <v>0</v>
      </c>
      <c r="AZ492" s="49">
        <f t="shared" si="288"/>
        <v>0</v>
      </c>
      <c r="BA492" s="49">
        <f t="shared" si="289"/>
        <v>1</v>
      </c>
      <c r="BB492" s="49">
        <f t="shared" si="290"/>
        <v>0</v>
      </c>
      <c r="BC492" s="49">
        <f t="shared" si="291"/>
        <v>0</v>
      </c>
      <c r="BD492" s="49">
        <f t="shared" si="292"/>
        <v>0</v>
      </c>
      <c r="BE492" s="49">
        <f t="shared" si="293"/>
        <v>1</v>
      </c>
      <c r="BF492" s="49">
        <f t="shared" si="294"/>
        <v>0</v>
      </c>
      <c r="BG492" s="49">
        <f t="shared" si="295"/>
        <v>0</v>
      </c>
      <c r="BH492" s="49">
        <f t="shared" si="296"/>
        <v>0</v>
      </c>
      <c r="BI492" s="49">
        <f t="shared" si="297"/>
        <v>1</v>
      </c>
      <c r="BJ492" s="49">
        <f t="shared" si="298"/>
        <v>0</v>
      </c>
      <c r="BK492" s="49">
        <f t="shared" si="299"/>
        <v>0</v>
      </c>
      <c r="BL492" s="49">
        <f t="shared" si="300"/>
        <v>1</v>
      </c>
      <c r="BM492" s="49">
        <f t="shared" si="301"/>
        <v>0</v>
      </c>
      <c r="BN492" s="49">
        <f t="shared" si="302"/>
        <v>0</v>
      </c>
      <c r="BO492" s="49">
        <f t="shared" si="303"/>
        <v>0</v>
      </c>
      <c r="BP492" s="49">
        <f t="shared" si="304"/>
        <v>0</v>
      </c>
      <c r="BQ492" s="49">
        <f t="shared" si="305"/>
        <v>1</v>
      </c>
      <c r="BR492" s="49">
        <f t="shared" si="306"/>
        <v>0</v>
      </c>
      <c r="BS492" s="49">
        <f t="shared" si="307"/>
        <v>0</v>
      </c>
      <c r="BT492" s="49">
        <f t="shared" si="308"/>
        <v>0</v>
      </c>
      <c r="BU492" s="49">
        <f t="shared" si="309"/>
        <v>1</v>
      </c>
      <c r="BV492" s="49">
        <f t="shared" si="310"/>
        <v>0</v>
      </c>
      <c r="BW492" s="49">
        <f t="shared" si="311"/>
        <v>0</v>
      </c>
      <c r="BX492" s="49">
        <f t="shared" si="312"/>
        <v>0</v>
      </c>
      <c r="BY492" s="49">
        <f t="shared" si="313"/>
        <v>1</v>
      </c>
      <c r="BZ492" s="49">
        <f t="shared" si="314"/>
        <v>0</v>
      </c>
      <c r="CA492" s="49">
        <f t="shared" si="315"/>
        <v>0</v>
      </c>
      <c r="CB492" s="49">
        <f t="shared" si="316"/>
        <v>1</v>
      </c>
      <c r="CC492" s="49">
        <f t="shared" si="317"/>
        <v>0</v>
      </c>
      <c r="CD492" s="49">
        <f t="shared" si="318"/>
        <v>0</v>
      </c>
      <c r="CE492" s="49">
        <f t="shared" si="319"/>
        <v>0</v>
      </c>
    </row>
    <row r="493" spans="1:83" ht="35.1" customHeight="1" x14ac:dyDescent="0.3">
      <c r="A493" s="123" t="str">
        <f t="shared" si="280"/>
        <v>4팀</v>
      </c>
      <c r="B493" s="69">
        <f t="shared" si="281"/>
        <v>487</v>
      </c>
      <c r="C493" s="120" t="str">
        <f>IF(VLOOKUP($B493,'1. 현장별 인원현황'!$C:$J,2,0)=0,"",VLOOKUP($B493,'1. 현장별 인원현황'!$C:$J,2,0))</f>
        <v xml:space="preserve"> [4.롯데건설] 롯데바이오로직스 Project PROVIDENCE</v>
      </c>
      <c r="D493" s="70" t="str">
        <f>IF(VLOOKUP($B493,'1. 현장별 인원현황'!$C:$J,3,0)=0,"",VLOOKUP($B493,'1. 현장별 인원현황'!$C:$J,3,0))</f>
        <v>최희선</v>
      </c>
      <c r="E493" s="74" t="str">
        <f ca="1">IF(VLOOKUP($B493,'1. 현장별 인원현황'!$C:$J,4,0)=0,"",VLOOKUP($B493,'1. 현장별 인원현황'!$C:$J,4,0))</f>
        <v>55세</v>
      </c>
      <c r="F493" s="70" t="str">
        <f>IF(VLOOKUP($B493,'1. 현장별 인원현황'!$C:$J,7,0)=0,"",VLOOKUP($B493,'1. 현장별 인원현황'!$C:$J,7,0))</f>
        <v>기능공</v>
      </c>
      <c r="G493" s="72" t="str">
        <f>IF(VLOOKUP($B493,'1. 현장별 인원현황'!$C:$J,8,0)=0,"",VLOOKUP($B493,'1. 현장별 인원현황'!$C:$J,8,0))</f>
        <v>전공</v>
      </c>
      <c r="H493" s="67"/>
      <c r="I493" s="73" t="s">
        <v>69</v>
      </c>
      <c r="J493" s="73"/>
      <c r="K493" s="68"/>
      <c r="L493" s="67"/>
      <c r="M493" s="73" t="s">
        <v>69</v>
      </c>
      <c r="N493" s="73"/>
      <c r="O493" s="68"/>
      <c r="P493" s="67"/>
      <c r="Q493" s="73" t="s">
        <v>69</v>
      </c>
      <c r="R493" s="73"/>
      <c r="S493" s="68"/>
      <c r="T493" s="67"/>
      <c r="U493" s="73" t="s">
        <v>69</v>
      </c>
      <c r="V493" s="73"/>
      <c r="W493" s="68"/>
      <c r="X493" s="67" t="s">
        <v>69</v>
      </c>
      <c r="Y493" s="73"/>
      <c r="Z493" s="73"/>
      <c r="AA493" s="68"/>
      <c r="AB493" s="67"/>
      <c r="AC493" s="73" t="s">
        <v>69</v>
      </c>
      <c r="AD493" s="73"/>
      <c r="AE493" s="68"/>
      <c r="AF493" s="67" t="s">
        <v>69</v>
      </c>
      <c r="AG493" s="73"/>
      <c r="AH493" s="73"/>
      <c r="AI493" s="68"/>
      <c r="AJ493" s="67"/>
      <c r="AK493" s="73" t="s">
        <v>69</v>
      </c>
      <c r="AL493" s="73"/>
      <c r="AM493" s="68"/>
      <c r="AN493" s="73" t="s">
        <v>69</v>
      </c>
      <c r="AO493" s="73"/>
      <c r="AP493" s="73"/>
      <c r="AQ493" s="68"/>
      <c r="AR493" s="67">
        <f t="shared" si="282"/>
        <v>84</v>
      </c>
      <c r="AS493" s="68" t="str">
        <f t="shared" si="283"/>
        <v>A</v>
      </c>
      <c r="AV493" s="49">
        <f t="shared" si="284"/>
        <v>0</v>
      </c>
      <c r="AW493" s="49">
        <f t="shared" si="285"/>
        <v>1</v>
      </c>
      <c r="AX493" s="49">
        <f t="shared" si="286"/>
        <v>0</v>
      </c>
      <c r="AY493" s="49">
        <f t="shared" si="287"/>
        <v>0</v>
      </c>
      <c r="AZ493" s="49">
        <f t="shared" si="288"/>
        <v>0</v>
      </c>
      <c r="BA493" s="49">
        <f t="shared" si="289"/>
        <v>1</v>
      </c>
      <c r="BB493" s="49">
        <f t="shared" si="290"/>
        <v>0</v>
      </c>
      <c r="BC493" s="49">
        <f t="shared" si="291"/>
        <v>0</v>
      </c>
      <c r="BD493" s="49">
        <f t="shared" si="292"/>
        <v>0</v>
      </c>
      <c r="BE493" s="49">
        <f t="shared" si="293"/>
        <v>1</v>
      </c>
      <c r="BF493" s="49">
        <f t="shared" si="294"/>
        <v>0</v>
      </c>
      <c r="BG493" s="49">
        <f t="shared" si="295"/>
        <v>0</v>
      </c>
      <c r="BH493" s="49">
        <f t="shared" si="296"/>
        <v>0</v>
      </c>
      <c r="BI493" s="49">
        <f t="shared" si="297"/>
        <v>1</v>
      </c>
      <c r="BJ493" s="49">
        <f t="shared" si="298"/>
        <v>0</v>
      </c>
      <c r="BK493" s="49">
        <f t="shared" si="299"/>
        <v>0</v>
      </c>
      <c r="BL493" s="49">
        <f t="shared" si="300"/>
        <v>1</v>
      </c>
      <c r="BM493" s="49">
        <f t="shared" si="301"/>
        <v>0</v>
      </c>
      <c r="BN493" s="49">
        <f t="shared" si="302"/>
        <v>0</v>
      </c>
      <c r="BO493" s="49">
        <f t="shared" si="303"/>
        <v>0</v>
      </c>
      <c r="BP493" s="49">
        <f t="shared" si="304"/>
        <v>0</v>
      </c>
      <c r="BQ493" s="49">
        <f t="shared" si="305"/>
        <v>1</v>
      </c>
      <c r="BR493" s="49">
        <f t="shared" si="306"/>
        <v>0</v>
      </c>
      <c r="BS493" s="49">
        <f t="shared" si="307"/>
        <v>0</v>
      </c>
      <c r="BT493" s="49">
        <f t="shared" si="308"/>
        <v>1</v>
      </c>
      <c r="BU493" s="49">
        <f t="shared" si="309"/>
        <v>0</v>
      </c>
      <c r="BV493" s="49">
        <f t="shared" si="310"/>
        <v>0</v>
      </c>
      <c r="BW493" s="49">
        <f t="shared" si="311"/>
        <v>0</v>
      </c>
      <c r="BX493" s="49">
        <f t="shared" si="312"/>
        <v>0</v>
      </c>
      <c r="BY493" s="49">
        <f t="shared" si="313"/>
        <v>1</v>
      </c>
      <c r="BZ493" s="49">
        <f t="shared" si="314"/>
        <v>0</v>
      </c>
      <c r="CA493" s="49">
        <f t="shared" si="315"/>
        <v>0</v>
      </c>
      <c r="CB493" s="49">
        <f t="shared" si="316"/>
        <v>1</v>
      </c>
      <c r="CC493" s="49">
        <f t="shared" si="317"/>
        <v>0</v>
      </c>
      <c r="CD493" s="49">
        <f t="shared" si="318"/>
        <v>0</v>
      </c>
      <c r="CE493" s="49">
        <f t="shared" si="319"/>
        <v>0</v>
      </c>
    </row>
    <row r="494" spans="1:83" ht="35.1" customHeight="1" x14ac:dyDescent="0.3">
      <c r="A494" s="123" t="str">
        <f t="shared" si="280"/>
        <v>4팀</v>
      </c>
      <c r="B494" s="69">
        <f t="shared" si="281"/>
        <v>488</v>
      </c>
      <c r="C494" s="120" t="str">
        <f>IF(VLOOKUP($B494,'1. 현장별 인원현황'!$C:$J,2,0)=0,"",VLOOKUP($B494,'1. 현장별 인원현황'!$C:$J,2,0))</f>
        <v xml:space="preserve"> [4.롯데건설] 롯데바이오로직스 Project PROVIDENCE</v>
      </c>
      <c r="D494" s="70" t="str">
        <f>IF(VLOOKUP($B494,'1. 현장별 인원현황'!$C:$J,3,0)=0,"",VLOOKUP($B494,'1. 현장별 인원현황'!$C:$J,3,0))</f>
        <v>허재원</v>
      </c>
      <c r="E494" s="74" t="str">
        <f ca="1">IF(VLOOKUP($B494,'1. 현장별 인원현황'!$C:$J,4,0)=0,"",VLOOKUP($B494,'1. 현장별 인원현황'!$C:$J,4,0))</f>
        <v>55세</v>
      </c>
      <c r="F494" s="70" t="str">
        <f>IF(VLOOKUP($B494,'1. 현장별 인원현황'!$C:$J,7,0)=0,"",VLOOKUP($B494,'1. 현장별 인원현황'!$C:$J,7,0))</f>
        <v>기능공</v>
      </c>
      <c r="G494" s="72" t="str">
        <f>IF(VLOOKUP($B494,'1. 현장별 인원현황'!$C:$J,8,0)=0,"",VLOOKUP($B494,'1. 현장별 인원현황'!$C:$J,8,0))</f>
        <v>전공</v>
      </c>
      <c r="H494" s="67"/>
      <c r="I494" s="73" t="s">
        <v>69</v>
      </c>
      <c r="J494" s="73"/>
      <c r="K494" s="68"/>
      <c r="L494" s="67"/>
      <c r="M494" s="73" t="s">
        <v>69</v>
      </c>
      <c r="N494" s="73"/>
      <c r="O494" s="68"/>
      <c r="P494" s="67"/>
      <c r="Q494" s="73" t="s">
        <v>69</v>
      </c>
      <c r="R494" s="73"/>
      <c r="S494" s="68"/>
      <c r="T494" s="67"/>
      <c r="U494" s="73" t="s">
        <v>69</v>
      </c>
      <c r="V494" s="73"/>
      <c r="W494" s="68"/>
      <c r="X494" s="67" t="s">
        <v>69</v>
      </c>
      <c r="Y494" s="73"/>
      <c r="Z494" s="73"/>
      <c r="AA494" s="68"/>
      <c r="AB494" s="67"/>
      <c r="AC494" s="73" t="s">
        <v>69</v>
      </c>
      <c r="AD494" s="73"/>
      <c r="AE494" s="68"/>
      <c r="AF494" s="67"/>
      <c r="AG494" s="73" t="s">
        <v>69</v>
      </c>
      <c r="AH494" s="73"/>
      <c r="AI494" s="68"/>
      <c r="AJ494" s="67"/>
      <c r="AK494" s="73" t="s">
        <v>69</v>
      </c>
      <c r="AL494" s="73"/>
      <c r="AM494" s="68"/>
      <c r="AN494" s="73" t="s">
        <v>69</v>
      </c>
      <c r="AO494" s="73"/>
      <c r="AP494" s="73"/>
      <c r="AQ494" s="68"/>
      <c r="AR494" s="67">
        <f t="shared" si="282"/>
        <v>82</v>
      </c>
      <c r="AS494" s="68" t="str">
        <f t="shared" si="283"/>
        <v>A</v>
      </c>
      <c r="AV494" s="49">
        <f t="shared" si="284"/>
        <v>0</v>
      </c>
      <c r="AW494" s="49">
        <f t="shared" si="285"/>
        <v>1</v>
      </c>
      <c r="AX494" s="49">
        <f t="shared" si="286"/>
        <v>0</v>
      </c>
      <c r="AY494" s="49">
        <f t="shared" si="287"/>
        <v>0</v>
      </c>
      <c r="AZ494" s="49">
        <f t="shared" si="288"/>
        <v>0</v>
      </c>
      <c r="BA494" s="49">
        <f t="shared" si="289"/>
        <v>1</v>
      </c>
      <c r="BB494" s="49">
        <f t="shared" si="290"/>
        <v>0</v>
      </c>
      <c r="BC494" s="49">
        <f t="shared" si="291"/>
        <v>0</v>
      </c>
      <c r="BD494" s="49">
        <f t="shared" si="292"/>
        <v>0</v>
      </c>
      <c r="BE494" s="49">
        <f t="shared" si="293"/>
        <v>1</v>
      </c>
      <c r="BF494" s="49">
        <f t="shared" si="294"/>
        <v>0</v>
      </c>
      <c r="BG494" s="49">
        <f t="shared" si="295"/>
        <v>0</v>
      </c>
      <c r="BH494" s="49">
        <f t="shared" si="296"/>
        <v>0</v>
      </c>
      <c r="BI494" s="49">
        <f t="shared" si="297"/>
        <v>1</v>
      </c>
      <c r="BJ494" s="49">
        <f t="shared" si="298"/>
        <v>0</v>
      </c>
      <c r="BK494" s="49">
        <f t="shared" si="299"/>
        <v>0</v>
      </c>
      <c r="BL494" s="49">
        <f t="shared" si="300"/>
        <v>1</v>
      </c>
      <c r="BM494" s="49">
        <f t="shared" si="301"/>
        <v>0</v>
      </c>
      <c r="BN494" s="49">
        <f t="shared" si="302"/>
        <v>0</v>
      </c>
      <c r="BO494" s="49">
        <f t="shared" si="303"/>
        <v>0</v>
      </c>
      <c r="BP494" s="49">
        <f t="shared" si="304"/>
        <v>0</v>
      </c>
      <c r="BQ494" s="49">
        <f t="shared" si="305"/>
        <v>1</v>
      </c>
      <c r="BR494" s="49">
        <f t="shared" si="306"/>
        <v>0</v>
      </c>
      <c r="BS494" s="49">
        <f t="shared" si="307"/>
        <v>0</v>
      </c>
      <c r="BT494" s="49">
        <f t="shared" si="308"/>
        <v>0</v>
      </c>
      <c r="BU494" s="49">
        <f t="shared" si="309"/>
        <v>1</v>
      </c>
      <c r="BV494" s="49">
        <f t="shared" si="310"/>
        <v>0</v>
      </c>
      <c r="BW494" s="49">
        <f t="shared" si="311"/>
        <v>0</v>
      </c>
      <c r="BX494" s="49">
        <f t="shared" si="312"/>
        <v>0</v>
      </c>
      <c r="BY494" s="49">
        <f t="shared" si="313"/>
        <v>1</v>
      </c>
      <c r="BZ494" s="49">
        <f t="shared" si="314"/>
        <v>0</v>
      </c>
      <c r="CA494" s="49">
        <f t="shared" si="315"/>
        <v>0</v>
      </c>
      <c r="CB494" s="49">
        <f t="shared" si="316"/>
        <v>1</v>
      </c>
      <c r="CC494" s="49">
        <f t="shared" si="317"/>
        <v>0</v>
      </c>
      <c r="CD494" s="49">
        <f t="shared" si="318"/>
        <v>0</v>
      </c>
      <c r="CE494" s="49">
        <f t="shared" si="319"/>
        <v>0</v>
      </c>
    </row>
    <row r="495" spans="1:83" ht="35.1" customHeight="1" x14ac:dyDescent="0.3">
      <c r="A495" s="123" t="str">
        <f t="shared" si="280"/>
        <v>4팀</v>
      </c>
      <c r="B495" s="69">
        <f t="shared" si="281"/>
        <v>489</v>
      </c>
      <c r="C495" s="120" t="str">
        <f>IF(VLOOKUP($B495,'1. 현장별 인원현황'!$C:$J,2,0)=0,"",VLOOKUP($B495,'1. 현장별 인원현황'!$C:$J,2,0))</f>
        <v xml:space="preserve"> [4.롯데건설] 롯데바이오로직스 Project PROVIDENCE</v>
      </c>
      <c r="D495" s="70" t="str">
        <f>IF(VLOOKUP($B495,'1. 현장별 인원현황'!$C:$J,3,0)=0,"",VLOOKUP($B495,'1. 현장별 인원현황'!$C:$J,3,0))</f>
        <v>최은석</v>
      </c>
      <c r="E495" s="74" t="str">
        <f ca="1">IF(VLOOKUP($B495,'1. 현장별 인원현황'!$C:$J,4,0)=0,"",VLOOKUP($B495,'1. 현장별 인원현황'!$C:$J,4,0))</f>
        <v>57세</v>
      </c>
      <c r="F495" s="70" t="str">
        <f>IF(VLOOKUP($B495,'1. 현장별 인원현황'!$C:$J,7,0)=0,"",VLOOKUP($B495,'1. 현장별 인원현황'!$C:$J,7,0))</f>
        <v>기능공</v>
      </c>
      <c r="G495" s="72" t="str">
        <f>IF(VLOOKUP($B495,'1. 현장별 인원현황'!$C:$J,8,0)=0,"",VLOOKUP($B495,'1. 현장별 인원현황'!$C:$J,8,0))</f>
        <v>전공</v>
      </c>
      <c r="H495" s="67" t="s">
        <v>69</v>
      </c>
      <c r="I495" s="73"/>
      <c r="J495" s="73"/>
      <c r="K495" s="68"/>
      <c r="L495" s="67" t="s">
        <v>69</v>
      </c>
      <c r="M495" s="73"/>
      <c r="N495" s="73"/>
      <c r="O495" s="68"/>
      <c r="P495" s="67" t="s">
        <v>69</v>
      </c>
      <c r="Q495" s="73" t="s">
        <v>69</v>
      </c>
      <c r="R495" s="73"/>
      <c r="S495" s="68"/>
      <c r="T495" s="67" t="s">
        <v>69</v>
      </c>
      <c r="U495" s="73"/>
      <c r="V495" s="73"/>
      <c r="W495" s="68"/>
      <c r="X495" s="67" t="s">
        <v>69</v>
      </c>
      <c r="Y495" s="73"/>
      <c r="Z495" s="73"/>
      <c r="AA495" s="68"/>
      <c r="AB495" s="67" t="s">
        <v>69</v>
      </c>
      <c r="AC495" s="73"/>
      <c r="AD495" s="73"/>
      <c r="AE495" s="68"/>
      <c r="AF495" s="67" t="s">
        <v>69</v>
      </c>
      <c r="AG495" s="73"/>
      <c r="AH495" s="73"/>
      <c r="AI495" s="68"/>
      <c r="AJ495" s="67"/>
      <c r="AK495" s="73" t="s">
        <v>69</v>
      </c>
      <c r="AL495" s="73"/>
      <c r="AM495" s="68"/>
      <c r="AN495" s="73" t="s">
        <v>69</v>
      </c>
      <c r="AO495" s="73"/>
      <c r="AP495" s="73"/>
      <c r="AQ495" s="68"/>
      <c r="AR495" s="67">
        <f t="shared" si="282"/>
        <v>106</v>
      </c>
      <c r="AS495" s="68" t="str">
        <f t="shared" si="283"/>
        <v>S</v>
      </c>
      <c r="AV495" s="49">
        <f t="shared" si="284"/>
        <v>1</v>
      </c>
      <c r="AW495" s="49">
        <f t="shared" si="285"/>
        <v>0</v>
      </c>
      <c r="AX495" s="49">
        <f t="shared" si="286"/>
        <v>0</v>
      </c>
      <c r="AY495" s="49">
        <f t="shared" si="287"/>
        <v>0</v>
      </c>
      <c r="AZ495" s="49">
        <f t="shared" si="288"/>
        <v>1</v>
      </c>
      <c r="BA495" s="49">
        <f t="shared" si="289"/>
        <v>0</v>
      </c>
      <c r="BB495" s="49">
        <f t="shared" si="290"/>
        <v>0</v>
      </c>
      <c r="BC495" s="49">
        <f t="shared" si="291"/>
        <v>0</v>
      </c>
      <c r="BD495" s="49">
        <f t="shared" si="292"/>
        <v>1</v>
      </c>
      <c r="BE495" s="49">
        <f t="shared" si="293"/>
        <v>1</v>
      </c>
      <c r="BF495" s="49">
        <f t="shared" si="294"/>
        <v>0</v>
      </c>
      <c r="BG495" s="49">
        <f t="shared" si="295"/>
        <v>0</v>
      </c>
      <c r="BH495" s="49">
        <f t="shared" si="296"/>
        <v>1</v>
      </c>
      <c r="BI495" s="49">
        <f t="shared" si="297"/>
        <v>0</v>
      </c>
      <c r="BJ495" s="49">
        <f t="shared" si="298"/>
        <v>0</v>
      </c>
      <c r="BK495" s="49">
        <f t="shared" si="299"/>
        <v>0</v>
      </c>
      <c r="BL495" s="49">
        <f t="shared" si="300"/>
        <v>1</v>
      </c>
      <c r="BM495" s="49">
        <f t="shared" si="301"/>
        <v>0</v>
      </c>
      <c r="BN495" s="49">
        <f t="shared" si="302"/>
        <v>0</v>
      </c>
      <c r="BO495" s="49">
        <f t="shared" si="303"/>
        <v>0</v>
      </c>
      <c r="BP495" s="49">
        <f t="shared" si="304"/>
        <v>1</v>
      </c>
      <c r="BQ495" s="49">
        <f t="shared" si="305"/>
        <v>0</v>
      </c>
      <c r="BR495" s="49">
        <f t="shared" si="306"/>
        <v>0</v>
      </c>
      <c r="BS495" s="49">
        <f t="shared" si="307"/>
        <v>0</v>
      </c>
      <c r="BT495" s="49">
        <f t="shared" si="308"/>
        <v>1</v>
      </c>
      <c r="BU495" s="49">
        <f t="shared" si="309"/>
        <v>0</v>
      </c>
      <c r="BV495" s="49">
        <f t="shared" si="310"/>
        <v>0</v>
      </c>
      <c r="BW495" s="49">
        <f t="shared" si="311"/>
        <v>0</v>
      </c>
      <c r="BX495" s="49">
        <f t="shared" si="312"/>
        <v>0</v>
      </c>
      <c r="BY495" s="49">
        <f t="shared" si="313"/>
        <v>1</v>
      </c>
      <c r="BZ495" s="49">
        <f t="shared" si="314"/>
        <v>0</v>
      </c>
      <c r="CA495" s="49">
        <f t="shared" si="315"/>
        <v>0</v>
      </c>
      <c r="CB495" s="49">
        <f t="shared" si="316"/>
        <v>1</v>
      </c>
      <c r="CC495" s="49">
        <f t="shared" si="317"/>
        <v>0</v>
      </c>
      <c r="CD495" s="49">
        <f t="shared" si="318"/>
        <v>0</v>
      </c>
      <c r="CE495" s="49">
        <f t="shared" si="319"/>
        <v>0</v>
      </c>
    </row>
    <row r="496" spans="1:83" ht="35.1" customHeight="1" x14ac:dyDescent="0.3">
      <c r="A496" s="123" t="str">
        <f t="shared" si="280"/>
        <v>4팀</v>
      </c>
      <c r="B496" s="69">
        <f t="shared" si="281"/>
        <v>490</v>
      </c>
      <c r="C496" s="120" t="str">
        <f>IF(VLOOKUP($B496,'1. 현장별 인원현황'!$C:$J,2,0)=0,"",VLOOKUP($B496,'1. 현장별 인원현황'!$C:$J,2,0))</f>
        <v xml:space="preserve"> [4.롯데건설] 롯데바이오로직스 Project PROVIDENCE</v>
      </c>
      <c r="D496" s="70" t="str">
        <f>IF(VLOOKUP($B496,'1. 현장별 인원현황'!$C:$J,3,0)=0,"",VLOOKUP($B496,'1. 현장별 인원현황'!$C:$J,3,0))</f>
        <v>나석주</v>
      </c>
      <c r="E496" s="74" t="str">
        <f ca="1">IF(VLOOKUP($B496,'1. 현장별 인원현황'!$C:$J,4,0)=0,"",VLOOKUP($B496,'1. 현장별 인원현황'!$C:$J,4,0))</f>
        <v>53세</v>
      </c>
      <c r="F496" s="70" t="str">
        <f>IF(VLOOKUP($B496,'1. 현장별 인원현황'!$C:$J,7,0)=0,"",VLOOKUP($B496,'1. 현장별 인원현황'!$C:$J,7,0))</f>
        <v>기능공</v>
      </c>
      <c r="G496" s="72" t="str">
        <f>IF(VLOOKUP($B496,'1. 현장별 인원현황'!$C:$J,8,0)=0,"",VLOOKUP($B496,'1. 현장별 인원현황'!$C:$J,8,0))</f>
        <v>전공</v>
      </c>
      <c r="H496" s="67"/>
      <c r="I496" s="73" t="s">
        <v>69</v>
      </c>
      <c r="J496" s="73"/>
      <c r="K496" s="68"/>
      <c r="L496" s="67"/>
      <c r="M496" s="73" t="s">
        <v>69</v>
      </c>
      <c r="N496" s="73"/>
      <c r="O496" s="68"/>
      <c r="P496" s="67"/>
      <c r="Q496" s="73" t="s">
        <v>69</v>
      </c>
      <c r="R496" s="73"/>
      <c r="S496" s="68"/>
      <c r="T496" s="67"/>
      <c r="U496" s="73" t="s">
        <v>69</v>
      </c>
      <c r="V496" s="73"/>
      <c r="W496" s="68"/>
      <c r="X496" s="67" t="s">
        <v>69</v>
      </c>
      <c r="Y496" s="73"/>
      <c r="Z496" s="73"/>
      <c r="AA496" s="68"/>
      <c r="AB496" s="67"/>
      <c r="AC496" s="73" t="s">
        <v>69</v>
      </c>
      <c r="AD496" s="73"/>
      <c r="AE496" s="68"/>
      <c r="AF496" s="67"/>
      <c r="AG496" s="73" t="s">
        <v>69</v>
      </c>
      <c r="AH496" s="73"/>
      <c r="AI496" s="68"/>
      <c r="AJ496" s="67"/>
      <c r="AK496" s="73" t="s">
        <v>69</v>
      </c>
      <c r="AL496" s="73"/>
      <c r="AM496" s="68"/>
      <c r="AN496" s="73"/>
      <c r="AO496" s="73" t="s">
        <v>69</v>
      </c>
      <c r="AP496" s="73"/>
      <c r="AQ496" s="68"/>
      <c r="AR496" s="67">
        <f t="shared" si="282"/>
        <v>79</v>
      </c>
      <c r="AS496" s="68" t="str">
        <f t="shared" si="283"/>
        <v>A</v>
      </c>
      <c r="AV496" s="49">
        <f t="shared" si="284"/>
        <v>0</v>
      </c>
      <c r="AW496" s="49">
        <f t="shared" si="285"/>
        <v>1</v>
      </c>
      <c r="AX496" s="49">
        <f t="shared" si="286"/>
        <v>0</v>
      </c>
      <c r="AY496" s="49">
        <f t="shared" si="287"/>
        <v>0</v>
      </c>
      <c r="AZ496" s="49">
        <f t="shared" si="288"/>
        <v>0</v>
      </c>
      <c r="BA496" s="49">
        <f t="shared" si="289"/>
        <v>1</v>
      </c>
      <c r="BB496" s="49">
        <f t="shared" si="290"/>
        <v>0</v>
      </c>
      <c r="BC496" s="49">
        <f t="shared" si="291"/>
        <v>0</v>
      </c>
      <c r="BD496" s="49">
        <f t="shared" si="292"/>
        <v>0</v>
      </c>
      <c r="BE496" s="49">
        <f t="shared" si="293"/>
        <v>1</v>
      </c>
      <c r="BF496" s="49">
        <f t="shared" si="294"/>
        <v>0</v>
      </c>
      <c r="BG496" s="49">
        <f t="shared" si="295"/>
        <v>0</v>
      </c>
      <c r="BH496" s="49">
        <f t="shared" si="296"/>
        <v>0</v>
      </c>
      <c r="BI496" s="49">
        <f t="shared" si="297"/>
        <v>1</v>
      </c>
      <c r="BJ496" s="49">
        <f t="shared" si="298"/>
        <v>0</v>
      </c>
      <c r="BK496" s="49">
        <f t="shared" si="299"/>
        <v>0</v>
      </c>
      <c r="BL496" s="49">
        <f t="shared" si="300"/>
        <v>1</v>
      </c>
      <c r="BM496" s="49">
        <f t="shared" si="301"/>
        <v>0</v>
      </c>
      <c r="BN496" s="49">
        <f t="shared" si="302"/>
        <v>0</v>
      </c>
      <c r="BO496" s="49">
        <f t="shared" si="303"/>
        <v>0</v>
      </c>
      <c r="BP496" s="49">
        <f t="shared" si="304"/>
        <v>0</v>
      </c>
      <c r="BQ496" s="49">
        <f t="shared" si="305"/>
        <v>1</v>
      </c>
      <c r="BR496" s="49">
        <f t="shared" si="306"/>
        <v>0</v>
      </c>
      <c r="BS496" s="49">
        <f t="shared" si="307"/>
        <v>0</v>
      </c>
      <c r="BT496" s="49">
        <f t="shared" si="308"/>
        <v>0</v>
      </c>
      <c r="BU496" s="49">
        <f t="shared" si="309"/>
        <v>1</v>
      </c>
      <c r="BV496" s="49">
        <f t="shared" si="310"/>
        <v>0</v>
      </c>
      <c r="BW496" s="49">
        <f t="shared" si="311"/>
        <v>0</v>
      </c>
      <c r="BX496" s="49">
        <f t="shared" si="312"/>
        <v>0</v>
      </c>
      <c r="BY496" s="49">
        <f t="shared" si="313"/>
        <v>1</v>
      </c>
      <c r="BZ496" s="49">
        <f t="shared" si="314"/>
        <v>0</v>
      </c>
      <c r="CA496" s="49">
        <f t="shared" si="315"/>
        <v>0</v>
      </c>
      <c r="CB496" s="49">
        <f t="shared" si="316"/>
        <v>0</v>
      </c>
      <c r="CC496" s="49">
        <f t="shared" si="317"/>
        <v>1</v>
      </c>
      <c r="CD496" s="49">
        <f t="shared" si="318"/>
        <v>0</v>
      </c>
      <c r="CE496" s="49">
        <f t="shared" si="319"/>
        <v>0</v>
      </c>
    </row>
    <row r="497" spans="1:83" ht="35.1" customHeight="1" x14ac:dyDescent="0.3">
      <c r="A497" s="123" t="str">
        <f t="shared" si="280"/>
        <v>4팀</v>
      </c>
      <c r="B497" s="69">
        <f t="shared" si="281"/>
        <v>491</v>
      </c>
      <c r="C497" s="120" t="str">
        <f>IF(VLOOKUP($B497,'1. 현장별 인원현황'!$C:$J,2,0)=0,"",VLOOKUP($B497,'1. 현장별 인원현황'!$C:$J,2,0))</f>
        <v xml:space="preserve"> [4.롯데건설] 롯데바이오로직스 Project PROVIDENCE</v>
      </c>
      <c r="D497" s="70" t="str">
        <f>IF(VLOOKUP($B497,'1. 현장별 인원현황'!$C:$J,3,0)=0,"",VLOOKUP($B497,'1. 현장별 인원현황'!$C:$J,3,0))</f>
        <v>박준석</v>
      </c>
      <c r="E497" s="74" t="str">
        <f ca="1">IF(VLOOKUP($B497,'1. 현장별 인원현황'!$C:$J,4,0)=0,"",VLOOKUP($B497,'1. 현장별 인원현황'!$C:$J,4,0))</f>
        <v>42세</v>
      </c>
      <c r="F497" s="70" t="str">
        <f>IF(VLOOKUP($B497,'1. 현장별 인원현황'!$C:$J,7,0)=0,"",VLOOKUP($B497,'1. 현장별 인원현황'!$C:$J,7,0))</f>
        <v>기능공</v>
      </c>
      <c r="G497" s="72" t="str">
        <f>IF(VLOOKUP($B497,'1. 현장별 인원현황'!$C:$J,8,0)=0,"",VLOOKUP($B497,'1. 현장별 인원현황'!$C:$J,8,0))</f>
        <v>전공</v>
      </c>
      <c r="H497" s="67"/>
      <c r="I497" s="73"/>
      <c r="J497" s="73" t="s">
        <v>69</v>
      </c>
      <c r="K497" s="68"/>
      <c r="L497" s="67"/>
      <c r="M497" s="73" t="s">
        <v>69</v>
      </c>
      <c r="N497" s="73"/>
      <c r="O497" s="68"/>
      <c r="P497" s="67"/>
      <c r="Q497" s="73" t="s">
        <v>69</v>
      </c>
      <c r="R497" s="73"/>
      <c r="S497" s="68"/>
      <c r="T497" s="67"/>
      <c r="U497" s="73" t="s">
        <v>69</v>
      </c>
      <c r="V497" s="73"/>
      <c r="W497" s="68"/>
      <c r="X497" s="67" t="s">
        <v>69</v>
      </c>
      <c r="Y497" s="73"/>
      <c r="Z497" s="73"/>
      <c r="AA497" s="68"/>
      <c r="AB497" s="67"/>
      <c r="AC497" s="73"/>
      <c r="AD497" s="73" t="s">
        <v>69</v>
      </c>
      <c r="AE497" s="68"/>
      <c r="AF497" s="67"/>
      <c r="AG497" s="73" t="s">
        <v>69</v>
      </c>
      <c r="AH497" s="73"/>
      <c r="AI497" s="68"/>
      <c r="AJ497" s="67"/>
      <c r="AK497" s="73" t="s">
        <v>69</v>
      </c>
      <c r="AL497" s="73"/>
      <c r="AM497" s="68"/>
      <c r="AN497" s="73"/>
      <c r="AO497" s="73" t="s">
        <v>69</v>
      </c>
      <c r="AP497" s="73"/>
      <c r="AQ497" s="68"/>
      <c r="AR497" s="67">
        <f t="shared" si="282"/>
        <v>74</v>
      </c>
      <c r="AS497" s="68" t="str">
        <f t="shared" si="283"/>
        <v>A</v>
      </c>
      <c r="AV497" s="49">
        <f t="shared" si="284"/>
        <v>0</v>
      </c>
      <c r="AW497" s="49">
        <f t="shared" si="285"/>
        <v>0</v>
      </c>
      <c r="AX497" s="49">
        <f t="shared" si="286"/>
        <v>1</v>
      </c>
      <c r="AY497" s="49">
        <f t="shared" si="287"/>
        <v>0</v>
      </c>
      <c r="AZ497" s="49">
        <f t="shared" si="288"/>
        <v>0</v>
      </c>
      <c r="BA497" s="49">
        <f t="shared" si="289"/>
        <v>1</v>
      </c>
      <c r="BB497" s="49">
        <f t="shared" si="290"/>
        <v>0</v>
      </c>
      <c r="BC497" s="49">
        <f t="shared" si="291"/>
        <v>0</v>
      </c>
      <c r="BD497" s="49">
        <f t="shared" si="292"/>
        <v>0</v>
      </c>
      <c r="BE497" s="49">
        <f t="shared" si="293"/>
        <v>1</v>
      </c>
      <c r="BF497" s="49">
        <f t="shared" si="294"/>
        <v>0</v>
      </c>
      <c r="BG497" s="49">
        <f t="shared" si="295"/>
        <v>0</v>
      </c>
      <c r="BH497" s="49">
        <f t="shared" si="296"/>
        <v>0</v>
      </c>
      <c r="BI497" s="49">
        <f t="shared" si="297"/>
        <v>1</v>
      </c>
      <c r="BJ497" s="49">
        <f t="shared" si="298"/>
        <v>0</v>
      </c>
      <c r="BK497" s="49">
        <f t="shared" si="299"/>
        <v>0</v>
      </c>
      <c r="BL497" s="49">
        <f t="shared" si="300"/>
        <v>1</v>
      </c>
      <c r="BM497" s="49">
        <f t="shared" si="301"/>
        <v>0</v>
      </c>
      <c r="BN497" s="49">
        <f t="shared" si="302"/>
        <v>0</v>
      </c>
      <c r="BO497" s="49">
        <f t="shared" si="303"/>
        <v>0</v>
      </c>
      <c r="BP497" s="49">
        <f t="shared" si="304"/>
        <v>0</v>
      </c>
      <c r="BQ497" s="49">
        <f t="shared" si="305"/>
        <v>0</v>
      </c>
      <c r="BR497" s="49">
        <f t="shared" si="306"/>
        <v>1</v>
      </c>
      <c r="BS497" s="49">
        <f t="shared" si="307"/>
        <v>0</v>
      </c>
      <c r="BT497" s="49">
        <f t="shared" si="308"/>
        <v>0</v>
      </c>
      <c r="BU497" s="49">
        <f t="shared" si="309"/>
        <v>1</v>
      </c>
      <c r="BV497" s="49">
        <f t="shared" si="310"/>
        <v>0</v>
      </c>
      <c r="BW497" s="49">
        <f t="shared" si="311"/>
        <v>0</v>
      </c>
      <c r="BX497" s="49">
        <f t="shared" si="312"/>
        <v>0</v>
      </c>
      <c r="BY497" s="49">
        <f t="shared" si="313"/>
        <v>1</v>
      </c>
      <c r="BZ497" s="49">
        <f t="shared" si="314"/>
        <v>0</v>
      </c>
      <c r="CA497" s="49">
        <f t="shared" si="315"/>
        <v>0</v>
      </c>
      <c r="CB497" s="49">
        <f t="shared" si="316"/>
        <v>0</v>
      </c>
      <c r="CC497" s="49">
        <f t="shared" si="317"/>
        <v>1</v>
      </c>
      <c r="CD497" s="49">
        <f t="shared" si="318"/>
        <v>0</v>
      </c>
      <c r="CE497" s="49">
        <f t="shared" si="319"/>
        <v>0</v>
      </c>
    </row>
    <row r="498" spans="1:83" ht="35.1" customHeight="1" x14ac:dyDescent="0.3">
      <c r="A498" s="123" t="str">
        <f t="shared" si="280"/>
        <v>4팀</v>
      </c>
      <c r="B498" s="69">
        <f t="shared" si="281"/>
        <v>492</v>
      </c>
      <c r="C498" s="120" t="str">
        <f>IF(VLOOKUP($B498,'1. 현장별 인원현황'!$C:$J,2,0)=0,"",VLOOKUP($B498,'1. 현장별 인원현황'!$C:$J,2,0))</f>
        <v xml:space="preserve"> [4.롯데건설] 롯데바이오로직스 Project PROVIDENCE</v>
      </c>
      <c r="D498" s="70" t="str">
        <f>IF(VLOOKUP($B498,'1. 현장별 인원현황'!$C:$J,3,0)=0,"",VLOOKUP($B498,'1. 현장별 인원현황'!$C:$J,3,0))</f>
        <v>배기준</v>
      </c>
      <c r="E498" s="74" t="str">
        <f ca="1">IF(VLOOKUP($B498,'1. 현장별 인원현황'!$C:$J,4,0)=0,"",VLOOKUP($B498,'1. 현장별 인원현황'!$C:$J,4,0))</f>
        <v>31세</v>
      </c>
      <c r="F498" s="70" t="str">
        <f>IF(VLOOKUP($B498,'1. 현장별 인원현황'!$C:$J,7,0)=0,"",VLOOKUP($B498,'1. 현장별 인원현황'!$C:$J,7,0))</f>
        <v>기능공</v>
      </c>
      <c r="G498" s="72" t="str">
        <f>IF(VLOOKUP($B498,'1. 현장별 인원현황'!$C:$J,8,0)=0,"",VLOOKUP($B498,'1. 현장별 인원현황'!$C:$J,8,0))</f>
        <v>전공</v>
      </c>
      <c r="H498" s="67"/>
      <c r="I498" s="73" t="s">
        <v>69</v>
      </c>
      <c r="J498" s="73"/>
      <c r="K498" s="68"/>
      <c r="L498" s="67"/>
      <c r="M498" s="73" t="s">
        <v>69</v>
      </c>
      <c r="N498" s="73"/>
      <c r="O498" s="68"/>
      <c r="P498" s="67"/>
      <c r="Q498" s="73" t="s">
        <v>69</v>
      </c>
      <c r="R498" s="73"/>
      <c r="S498" s="68"/>
      <c r="T498" s="67"/>
      <c r="U498" s="73" t="s">
        <v>69</v>
      </c>
      <c r="V498" s="73"/>
      <c r="W498" s="68"/>
      <c r="X498" s="67" t="s">
        <v>69</v>
      </c>
      <c r="Y498" s="73"/>
      <c r="Z498" s="73"/>
      <c r="AA498" s="68"/>
      <c r="AB498" s="67"/>
      <c r="AC498" s="73" t="s">
        <v>69</v>
      </c>
      <c r="AD498" s="73"/>
      <c r="AE498" s="68"/>
      <c r="AF498" s="67"/>
      <c r="AG498" s="73" t="s">
        <v>69</v>
      </c>
      <c r="AH498" s="73"/>
      <c r="AI498" s="68"/>
      <c r="AJ498" s="67"/>
      <c r="AK498" s="73" t="s">
        <v>69</v>
      </c>
      <c r="AL498" s="73"/>
      <c r="AM498" s="68"/>
      <c r="AN498" s="73" t="s">
        <v>69</v>
      </c>
      <c r="AO498" s="73"/>
      <c r="AP498" s="73"/>
      <c r="AQ498" s="68"/>
      <c r="AR498" s="67">
        <f t="shared" si="282"/>
        <v>82</v>
      </c>
      <c r="AS498" s="68" t="str">
        <f t="shared" si="283"/>
        <v>A</v>
      </c>
      <c r="AV498" s="49">
        <f t="shared" si="284"/>
        <v>0</v>
      </c>
      <c r="AW498" s="49">
        <f t="shared" si="285"/>
        <v>1</v>
      </c>
      <c r="AX498" s="49">
        <f t="shared" si="286"/>
        <v>0</v>
      </c>
      <c r="AY498" s="49">
        <f t="shared" si="287"/>
        <v>0</v>
      </c>
      <c r="AZ498" s="49">
        <f t="shared" si="288"/>
        <v>0</v>
      </c>
      <c r="BA498" s="49">
        <f t="shared" si="289"/>
        <v>1</v>
      </c>
      <c r="BB498" s="49">
        <f t="shared" si="290"/>
        <v>0</v>
      </c>
      <c r="BC498" s="49">
        <f t="shared" si="291"/>
        <v>0</v>
      </c>
      <c r="BD498" s="49">
        <f t="shared" si="292"/>
        <v>0</v>
      </c>
      <c r="BE498" s="49">
        <f t="shared" si="293"/>
        <v>1</v>
      </c>
      <c r="BF498" s="49">
        <f t="shared" si="294"/>
        <v>0</v>
      </c>
      <c r="BG498" s="49">
        <f t="shared" si="295"/>
        <v>0</v>
      </c>
      <c r="BH498" s="49">
        <f t="shared" si="296"/>
        <v>0</v>
      </c>
      <c r="BI498" s="49">
        <f t="shared" si="297"/>
        <v>1</v>
      </c>
      <c r="BJ498" s="49">
        <f t="shared" si="298"/>
        <v>0</v>
      </c>
      <c r="BK498" s="49">
        <f t="shared" si="299"/>
        <v>0</v>
      </c>
      <c r="BL498" s="49">
        <f t="shared" si="300"/>
        <v>1</v>
      </c>
      <c r="BM498" s="49">
        <f t="shared" si="301"/>
        <v>0</v>
      </c>
      <c r="BN498" s="49">
        <f t="shared" si="302"/>
        <v>0</v>
      </c>
      <c r="BO498" s="49">
        <f t="shared" si="303"/>
        <v>0</v>
      </c>
      <c r="BP498" s="49">
        <f t="shared" si="304"/>
        <v>0</v>
      </c>
      <c r="BQ498" s="49">
        <f t="shared" si="305"/>
        <v>1</v>
      </c>
      <c r="BR498" s="49">
        <f t="shared" si="306"/>
        <v>0</v>
      </c>
      <c r="BS498" s="49">
        <f t="shared" si="307"/>
        <v>0</v>
      </c>
      <c r="BT498" s="49">
        <f t="shared" si="308"/>
        <v>0</v>
      </c>
      <c r="BU498" s="49">
        <f t="shared" si="309"/>
        <v>1</v>
      </c>
      <c r="BV498" s="49">
        <f t="shared" si="310"/>
        <v>0</v>
      </c>
      <c r="BW498" s="49">
        <f t="shared" si="311"/>
        <v>0</v>
      </c>
      <c r="BX498" s="49">
        <f t="shared" si="312"/>
        <v>0</v>
      </c>
      <c r="BY498" s="49">
        <f t="shared" si="313"/>
        <v>1</v>
      </c>
      <c r="BZ498" s="49">
        <f t="shared" si="314"/>
        <v>0</v>
      </c>
      <c r="CA498" s="49">
        <f t="shared" si="315"/>
        <v>0</v>
      </c>
      <c r="CB498" s="49">
        <f t="shared" si="316"/>
        <v>1</v>
      </c>
      <c r="CC498" s="49">
        <f t="shared" si="317"/>
        <v>0</v>
      </c>
      <c r="CD498" s="49">
        <f t="shared" si="318"/>
        <v>0</v>
      </c>
      <c r="CE498" s="49">
        <f t="shared" si="319"/>
        <v>0</v>
      </c>
    </row>
    <row r="499" spans="1:83" ht="35.1" customHeight="1" x14ac:dyDescent="0.3">
      <c r="A499" s="123" t="str">
        <f t="shared" si="280"/>
        <v>4팀</v>
      </c>
      <c r="B499" s="69">
        <f t="shared" si="281"/>
        <v>493</v>
      </c>
      <c r="C499" s="120" t="str">
        <f>IF(VLOOKUP($B499,'1. 현장별 인원현황'!$C:$J,2,0)=0,"",VLOOKUP($B499,'1. 현장별 인원현황'!$C:$J,2,0))</f>
        <v xml:space="preserve"> [4.롯데건설] 롯데바이오로직스 Project PROVIDENCE</v>
      </c>
      <c r="D499" s="70" t="str">
        <f>IF(VLOOKUP($B499,'1. 현장별 인원현황'!$C:$J,3,0)=0,"",VLOOKUP($B499,'1. 현장별 인원현황'!$C:$J,3,0))</f>
        <v>백승욱</v>
      </c>
      <c r="E499" s="74" t="str">
        <f ca="1">IF(VLOOKUP($B499,'1. 현장별 인원현황'!$C:$J,4,0)=0,"",VLOOKUP($B499,'1. 현장별 인원현황'!$C:$J,4,0))</f>
        <v>39세</v>
      </c>
      <c r="F499" s="70" t="str">
        <f>IF(VLOOKUP($B499,'1. 현장별 인원현황'!$C:$J,7,0)=0,"",VLOOKUP($B499,'1. 현장별 인원현황'!$C:$J,7,0))</f>
        <v>기능공</v>
      </c>
      <c r="G499" s="72" t="str">
        <f>IF(VLOOKUP($B499,'1. 현장별 인원현황'!$C:$J,8,0)=0,"",VLOOKUP($B499,'1. 현장별 인원현황'!$C:$J,8,0))</f>
        <v>전공</v>
      </c>
      <c r="H499" s="67"/>
      <c r="I499" s="73" t="s">
        <v>69</v>
      </c>
      <c r="J499" s="73"/>
      <c r="K499" s="68"/>
      <c r="L499" s="67"/>
      <c r="M499" s="73" t="s">
        <v>69</v>
      </c>
      <c r="N499" s="73"/>
      <c r="O499" s="68"/>
      <c r="P499" s="67"/>
      <c r="Q499" s="73" t="s">
        <v>69</v>
      </c>
      <c r="R499" s="73"/>
      <c r="S499" s="68"/>
      <c r="T499" s="67"/>
      <c r="U499" s="73" t="s">
        <v>69</v>
      </c>
      <c r="V499" s="73"/>
      <c r="W499" s="68"/>
      <c r="X499" s="67" t="s">
        <v>69</v>
      </c>
      <c r="Y499" s="73"/>
      <c r="Z499" s="73"/>
      <c r="AA499" s="68"/>
      <c r="AB499" s="67"/>
      <c r="AC499" s="73" t="s">
        <v>69</v>
      </c>
      <c r="AD499" s="73"/>
      <c r="AE499" s="68"/>
      <c r="AF499" s="67"/>
      <c r="AG499" s="73" t="s">
        <v>69</v>
      </c>
      <c r="AH499" s="73"/>
      <c r="AI499" s="68"/>
      <c r="AJ499" s="67"/>
      <c r="AK499" s="73" t="s">
        <v>69</v>
      </c>
      <c r="AL499" s="73"/>
      <c r="AM499" s="68"/>
      <c r="AN499" s="73" t="s">
        <v>69</v>
      </c>
      <c r="AO499" s="73"/>
      <c r="AP499" s="73"/>
      <c r="AQ499" s="68"/>
      <c r="AR499" s="67">
        <f t="shared" si="282"/>
        <v>82</v>
      </c>
      <c r="AS499" s="68" t="str">
        <f t="shared" si="283"/>
        <v>A</v>
      </c>
      <c r="AV499" s="49">
        <f t="shared" si="284"/>
        <v>0</v>
      </c>
      <c r="AW499" s="49">
        <f t="shared" si="285"/>
        <v>1</v>
      </c>
      <c r="AX499" s="49">
        <f t="shared" si="286"/>
        <v>0</v>
      </c>
      <c r="AY499" s="49">
        <f t="shared" si="287"/>
        <v>0</v>
      </c>
      <c r="AZ499" s="49">
        <f t="shared" si="288"/>
        <v>0</v>
      </c>
      <c r="BA499" s="49">
        <f t="shared" si="289"/>
        <v>1</v>
      </c>
      <c r="BB499" s="49">
        <f t="shared" si="290"/>
        <v>0</v>
      </c>
      <c r="BC499" s="49">
        <f t="shared" si="291"/>
        <v>0</v>
      </c>
      <c r="BD499" s="49">
        <f t="shared" si="292"/>
        <v>0</v>
      </c>
      <c r="BE499" s="49">
        <f t="shared" si="293"/>
        <v>1</v>
      </c>
      <c r="BF499" s="49">
        <f t="shared" si="294"/>
        <v>0</v>
      </c>
      <c r="BG499" s="49">
        <f t="shared" si="295"/>
        <v>0</v>
      </c>
      <c r="BH499" s="49">
        <f t="shared" si="296"/>
        <v>0</v>
      </c>
      <c r="BI499" s="49">
        <f t="shared" si="297"/>
        <v>1</v>
      </c>
      <c r="BJ499" s="49">
        <f t="shared" si="298"/>
        <v>0</v>
      </c>
      <c r="BK499" s="49">
        <f t="shared" si="299"/>
        <v>0</v>
      </c>
      <c r="BL499" s="49">
        <f t="shared" si="300"/>
        <v>1</v>
      </c>
      <c r="BM499" s="49">
        <f t="shared" si="301"/>
        <v>0</v>
      </c>
      <c r="BN499" s="49">
        <f t="shared" si="302"/>
        <v>0</v>
      </c>
      <c r="BO499" s="49">
        <f t="shared" si="303"/>
        <v>0</v>
      </c>
      <c r="BP499" s="49">
        <f t="shared" si="304"/>
        <v>0</v>
      </c>
      <c r="BQ499" s="49">
        <f t="shared" si="305"/>
        <v>1</v>
      </c>
      <c r="BR499" s="49">
        <f t="shared" si="306"/>
        <v>0</v>
      </c>
      <c r="BS499" s="49">
        <f t="shared" si="307"/>
        <v>0</v>
      </c>
      <c r="BT499" s="49">
        <f t="shared" si="308"/>
        <v>0</v>
      </c>
      <c r="BU499" s="49">
        <f t="shared" si="309"/>
        <v>1</v>
      </c>
      <c r="BV499" s="49">
        <f t="shared" si="310"/>
        <v>0</v>
      </c>
      <c r="BW499" s="49">
        <f t="shared" si="311"/>
        <v>0</v>
      </c>
      <c r="BX499" s="49">
        <f t="shared" si="312"/>
        <v>0</v>
      </c>
      <c r="BY499" s="49">
        <f t="shared" si="313"/>
        <v>1</v>
      </c>
      <c r="BZ499" s="49">
        <f t="shared" si="314"/>
        <v>0</v>
      </c>
      <c r="CA499" s="49">
        <f t="shared" si="315"/>
        <v>0</v>
      </c>
      <c r="CB499" s="49">
        <f t="shared" si="316"/>
        <v>1</v>
      </c>
      <c r="CC499" s="49">
        <f t="shared" si="317"/>
        <v>0</v>
      </c>
      <c r="CD499" s="49">
        <f t="shared" si="318"/>
        <v>0</v>
      </c>
      <c r="CE499" s="49">
        <f t="shared" si="319"/>
        <v>0</v>
      </c>
    </row>
    <row r="500" spans="1:83" ht="35.1" customHeight="1" x14ac:dyDescent="0.3">
      <c r="A500" s="123" t="str">
        <f t="shared" si="280"/>
        <v>4팀</v>
      </c>
      <c r="B500" s="69">
        <f t="shared" si="281"/>
        <v>494</v>
      </c>
      <c r="C500" s="120" t="str">
        <f>IF(VLOOKUP($B500,'1. 현장별 인원현황'!$C:$J,2,0)=0,"",VLOOKUP($B500,'1. 현장별 인원현황'!$C:$J,2,0))</f>
        <v xml:space="preserve"> [4.롯데건설] 롯데바이오로직스 Project PROVIDENCE</v>
      </c>
      <c r="D500" s="70" t="str">
        <f>IF(VLOOKUP($B500,'1. 현장별 인원현황'!$C:$J,3,0)=0,"",VLOOKUP($B500,'1. 현장별 인원현황'!$C:$J,3,0))</f>
        <v>석덕수</v>
      </c>
      <c r="E500" s="74" t="str">
        <f ca="1">IF(VLOOKUP($B500,'1. 현장별 인원현황'!$C:$J,4,0)=0,"",VLOOKUP($B500,'1. 현장별 인원현황'!$C:$J,4,0))</f>
        <v>31세</v>
      </c>
      <c r="F500" s="70" t="str">
        <f>IF(VLOOKUP($B500,'1. 현장별 인원현황'!$C:$J,7,0)=0,"",VLOOKUP($B500,'1. 현장별 인원현황'!$C:$J,7,0))</f>
        <v>기능공</v>
      </c>
      <c r="G500" s="72" t="str">
        <f>IF(VLOOKUP($B500,'1. 현장별 인원현황'!$C:$J,8,0)=0,"",VLOOKUP($B500,'1. 현장별 인원현황'!$C:$J,8,0))</f>
        <v>전공</v>
      </c>
      <c r="H500" s="67"/>
      <c r="I500" s="73"/>
      <c r="J500" s="73" t="s">
        <v>69</v>
      </c>
      <c r="K500" s="68"/>
      <c r="L500" s="67"/>
      <c r="M500" s="73" t="s">
        <v>69</v>
      </c>
      <c r="N500" s="73"/>
      <c r="O500" s="68"/>
      <c r="P500" s="67"/>
      <c r="Q500" s="73" t="s">
        <v>69</v>
      </c>
      <c r="R500" s="73"/>
      <c r="S500" s="68"/>
      <c r="T500" s="67"/>
      <c r="U500" s="73" t="s">
        <v>69</v>
      </c>
      <c r="V500" s="73"/>
      <c r="W500" s="68"/>
      <c r="X500" s="67" t="s">
        <v>69</v>
      </c>
      <c r="Y500" s="73"/>
      <c r="Z500" s="73"/>
      <c r="AA500" s="68"/>
      <c r="AB500" s="67"/>
      <c r="AC500" s="73" t="s">
        <v>69</v>
      </c>
      <c r="AD500" s="73"/>
      <c r="AE500" s="68"/>
      <c r="AF500" s="67" t="s">
        <v>69</v>
      </c>
      <c r="AG500" s="73"/>
      <c r="AH500" s="73"/>
      <c r="AI500" s="68"/>
      <c r="AJ500" s="67"/>
      <c r="AK500" s="73" t="s">
        <v>69</v>
      </c>
      <c r="AL500" s="73"/>
      <c r="AM500" s="68"/>
      <c r="AN500" s="73" t="s">
        <v>69</v>
      </c>
      <c r="AO500" s="73"/>
      <c r="AP500" s="73"/>
      <c r="AQ500" s="68"/>
      <c r="AR500" s="67">
        <f t="shared" si="282"/>
        <v>81</v>
      </c>
      <c r="AS500" s="68" t="str">
        <f t="shared" si="283"/>
        <v>A</v>
      </c>
      <c r="AV500" s="49">
        <f t="shared" si="284"/>
        <v>0</v>
      </c>
      <c r="AW500" s="49">
        <f t="shared" si="285"/>
        <v>0</v>
      </c>
      <c r="AX500" s="49">
        <f t="shared" si="286"/>
        <v>1</v>
      </c>
      <c r="AY500" s="49">
        <f t="shared" si="287"/>
        <v>0</v>
      </c>
      <c r="AZ500" s="49">
        <f t="shared" si="288"/>
        <v>0</v>
      </c>
      <c r="BA500" s="49">
        <f t="shared" si="289"/>
        <v>1</v>
      </c>
      <c r="BB500" s="49">
        <f t="shared" si="290"/>
        <v>0</v>
      </c>
      <c r="BC500" s="49">
        <f t="shared" si="291"/>
        <v>0</v>
      </c>
      <c r="BD500" s="49">
        <f t="shared" si="292"/>
        <v>0</v>
      </c>
      <c r="BE500" s="49">
        <f t="shared" si="293"/>
        <v>1</v>
      </c>
      <c r="BF500" s="49">
        <f t="shared" si="294"/>
        <v>0</v>
      </c>
      <c r="BG500" s="49">
        <f t="shared" si="295"/>
        <v>0</v>
      </c>
      <c r="BH500" s="49">
        <f t="shared" si="296"/>
        <v>0</v>
      </c>
      <c r="BI500" s="49">
        <f t="shared" si="297"/>
        <v>1</v>
      </c>
      <c r="BJ500" s="49">
        <f t="shared" si="298"/>
        <v>0</v>
      </c>
      <c r="BK500" s="49">
        <f t="shared" si="299"/>
        <v>0</v>
      </c>
      <c r="BL500" s="49">
        <f t="shared" si="300"/>
        <v>1</v>
      </c>
      <c r="BM500" s="49">
        <f t="shared" si="301"/>
        <v>0</v>
      </c>
      <c r="BN500" s="49">
        <f t="shared" si="302"/>
        <v>0</v>
      </c>
      <c r="BO500" s="49">
        <f t="shared" si="303"/>
        <v>0</v>
      </c>
      <c r="BP500" s="49">
        <f t="shared" si="304"/>
        <v>0</v>
      </c>
      <c r="BQ500" s="49">
        <f t="shared" si="305"/>
        <v>1</v>
      </c>
      <c r="BR500" s="49">
        <f t="shared" si="306"/>
        <v>0</v>
      </c>
      <c r="BS500" s="49">
        <f t="shared" si="307"/>
        <v>0</v>
      </c>
      <c r="BT500" s="49">
        <f t="shared" si="308"/>
        <v>1</v>
      </c>
      <c r="BU500" s="49">
        <f t="shared" si="309"/>
        <v>0</v>
      </c>
      <c r="BV500" s="49">
        <f t="shared" si="310"/>
        <v>0</v>
      </c>
      <c r="BW500" s="49">
        <f t="shared" si="311"/>
        <v>0</v>
      </c>
      <c r="BX500" s="49">
        <f t="shared" si="312"/>
        <v>0</v>
      </c>
      <c r="BY500" s="49">
        <f t="shared" si="313"/>
        <v>1</v>
      </c>
      <c r="BZ500" s="49">
        <f t="shared" si="314"/>
        <v>0</v>
      </c>
      <c r="CA500" s="49">
        <f t="shared" si="315"/>
        <v>0</v>
      </c>
      <c r="CB500" s="49">
        <f t="shared" si="316"/>
        <v>1</v>
      </c>
      <c r="CC500" s="49">
        <f t="shared" si="317"/>
        <v>0</v>
      </c>
      <c r="CD500" s="49">
        <f t="shared" si="318"/>
        <v>0</v>
      </c>
      <c r="CE500" s="49">
        <f t="shared" si="319"/>
        <v>0</v>
      </c>
    </row>
    <row r="501" spans="1:83" ht="35.1" customHeight="1" x14ac:dyDescent="0.3">
      <c r="A501" s="123" t="str">
        <f t="shared" si="280"/>
        <v>4팀</v>
      </c>
      <c r="B501" s="69">
        <f t="shared" si="281"/>
        <v>495</v>
      </c>
      <c r="C501" s="120" t="str">
        <f>IF(VLOOKUP($B501,'1. 현장별 인원현황'!$C:$J,2,0)=0,"",VLOOKUP($B501,'1. 현장별 인원현황'!$C:$J,2,0))</f>
        <v xml:space="preserve"> [4.롯데건설] 롯데바이오로직스 Project PROVIDENCE</v>
      </c>
      <c r="D501" s="70" t="str">
        <f>IF(VLOOKUP($B501,'1. 현장별 인원현황'!$C:$J,3,0)=0,"",VLOOKUP($B501,'1. 현장별 인원현황'!$C:$J,3,0))</f>
        <v>유승묵</v>
      </c>
      <c r="E501" s="74" t="str">
        <f ca="1">IF(VLOOKUP($B501,'1. 현장별 인원현황'!$C:$J,4,0)=0,"",VLOOKUP($B501,'1. 현장별 인원현황'!$C:$J,4,0))</f>
        <v>38세</v>
      </c>
      <c r="F501" s="70" t="str">
        <f>IF(VLOOKUP($B501,'1. 현장별 인원현황'!$C:$J,7,0)=0,"",VLOOKUP($B501,'1. 현장별 인원현황'!$C:$J,7,0))</f>
        <v>기능공</v>
      </c>
      <c r="G501" s="72" t="str">
        <f>IF(VLOOKUP($B501,'1. 현장별 인원현황'!$C:$J,8,0)=0,"",VLOOKUP($B501,'1. 현장별 인원현황'!$C:$J,8,0))</f>
        <v>전공</v>
      </c>
      <c r="H501" s="67"/>
      <c r="I501" s="73" t="s">
        <v>69</v>
      </c>
      <c r="J501" s="73"/>
      <c r="K501" s="68"/>
      <c r="L501" s="67"/>
      <c r="M501" s="73" t="s">
        <v>69</v>
      </c>
      <c r="N501" s="73"/>
      <c r="O501" s="68"/>
      <c r="P501" s="67"/>
      <c r="Q501" s="73" t="s">
        <v>69</v>
      </c>
      <c r="R501" s="73"/>
      <c r="S501" s="68"/>
      <c r="T501" s="67"/>
      <c r="U501" s="73" t="s">
        <v>69</v>
      </c>
      <c r="V501" s="73"/>
      <c r="W501" s="68"/>
      <c r="X501" s="67" t="s">
        <v>69</v>
      </c>
      <c r="Y501" s="73"/>
      <c r="Z501" s="73"/>
      <c r="AA501" s="68"/>
      <c r="AB501" s="67"/>
      <c r="AC501" s="73" t="s">
        <v>69</v>
      </c>
      <c r="AD501" s="73"/>
      <c r="AE501" s="68"/>
      <c r="AF501" s="67"/>
      <c r="AG501" s="73" t="s">
        <v>69</v>
      </c>
      <c r="AH501" s="73"/>
      <c r="AI501" s="68"/>
      <c r="AJ501" s="67"/>
      <c r="AK501" s="73" t="s">
        <v>69</v>
      </c>
      <c r="AL501" s="73"/>
      <c r="AM501" s="68"/>
      <c r="AN501" s="73" t="s">
        <v>69</v>
      </c>
      <c r="AO501" s="73"/>
      <c r="AP501" s="73"/>
      <c r="AQ501" s="68"/>
      <c r="AR501" s="67">
        <f t="shared" si="282"/>
        <v>82</v>
      </c>
      <c r="AS501" s="68" t="str">
        <f t="shared" si="283"/>
        <v>A</v>
      </c>
      <c r="AV501" s="49">
        <f t="shared" si="284"/>
        <v>0</v>
      </c>
      <c r="AW501" s="49">
        <f t="shared" si="285"/>
        <v>1</v>
      </c>
      <c r="AX501" s="49">
        <f t="shared" si="286"/>
        <v>0</v>
      </c>
      <c r="AY501" s="49">
        <f t="shared" si="287"/>
        <v>0</v>
      </c>
      <c r="AZ501" s="49">
        <f t="shared" si="288"/>
        <v>0</v>
      </c>
      <c r="BA501" s="49">
        <f t="shared" si="289"/>
        <v>1</v>
      </c>
      <c r="BB501" s="49">
        <f t="shared" si="290"/>
        <v>0</v>
      </c>
      <c r="BC501" s="49">
        <f t="shared" si="291"/>
        <v>0</v>
      </c>
      <c r="BD501" s="49">
        <f t="shared" si="292"/>
        <v>0</v>
      </c>
      <c r="BE501" s="49">
        <f t="shared" si="293"/>
        <v>1</v>
      </c>
      <c r="BF501" s="49">
        <f t="shared" si="294"/>
        <v>0</v>
      </c>
      <c r="BG501" s="49">
        <f t="shared" si="295"/>
        <v>0</v>
      </c>
      <c r="BH501" s="49">
        <f t="shared" si="296"/>
        <v>0</v>
      </c>
      <c r="BI501" s="49">
        <f t="shared" si="297"/>
        <v>1</v>
      </c>
      <c r="BJ501" s="49">
        <f t="shared" si="298"/>
        <v>0</v>
      </c>
      <c r="BK501" s="49">
        <f t="shared" si="299"/>
        <v>0</v>
      </c>
      <c r="BL501" s="49">
        <f t="shared" si="300"/>
        <v>1</v>
      </c>
      <c r="BM501" s="49">
        <f t="shared" si="301"/>
        <v>0</v>
      </c>
      <c r="BN501" s="49">
        <f t="shared" si="302"/>
        <v>0</v>
      </c>
      <c r="BO501" s="49">
        <f t="shared" si="303"/>
        <v>0</v>
      </c>
      <c r="BP501" s="49">
        <f t="shared" si="304"/>
        <v>0</v>
      </c>
      <c r="BQ501" s="49">
        <f t="shared" si="305"/>
        <v>1</v>
      </c>
      <c r="BR501" s="49">
        <f t="shared" si="306"/>
        <v>0</v>
      </c>
      <c r="BS501" s="49">
        <f t="shared" si="307"/>
        <v>0</v>
      </c>
      <c r="BT501" s="49">
        <f t="shared" si="308"/>
        <v>0</v>
      </c>
      <c r="BU501" s="49">
        <f t="shared" si="309"/>
        <v>1</v>
      </c>
      <c r="BV501" s="49">
        <f t="shared" si="310"/>
        <v>0</v>
      </c>
      <c r="BW501" s="49">
        <f t="shared" si="311"/>
        <v>0</v>
      </c>
      <c r="BX501" s="49">
        <f t="shared" si="312"/>
        <v>0</v>
      </c>
      <c r="BY501" s="49">
        <f t="shared" si="313"/>
        <v>1</v>
      </c>
      <c r="BZ501" s="49">
        <f t="shared" si="314"/>
        <v>0</v>
      </c>
      <c r="CA501" s="49">
        <f t="shared" si="315"/>
        <v>0</v>
      </c>
      <c r="CB501" s="49">
        <f t="shared" si="316"/>
        <v>1</v>
      </c>
      <c r="CC501" s="49">
        <f t="shared" si="317"/>
        <v>0</v>
      </c>
      <c r="CD501" s="49">
        <f t="shared" si="318"/>
        <v>0</v>
      </c>
      <c r="CE501" s="49">
        <f t="shared" si="319"/>
        <v>0</v>
      </c>
    </row>
    <row r="502" spans="1:83" ht="35.1" customHeight="1" x14ac:dyDescent="0.3">
      <c r="A502" s="123" t="str">
        <f t="shared" si="280"/>
        <v>4팀</v>
      </c>
      <c r="B502" s="69">
        <f t="shared" si="281"/>
        <v>496</v>
      </c>
      <c r="C502" s="120" t="str">
        <f>IF(VLOOKUP($B502,'1. 현장별 인원현황'!$C:$J,2,0)=0,"",VLOOKUP($B502,'1. 현장별 인원현황'!$C:$J,2,0))</f>
        <v xml:space="preserve"> [4.롯데건설] 롯데바이오로직스 Project PROVIDENCE</v>
      </c>
      <c r="D502" s="70" t="str">
        <f>IF(VLOOKUP($B502,'1. 현장별 인원현황'!$C:$J,3,0)=0,"",VLOOKUP($B502,'1. 현장별 인원현황'!$C:$J,3,0))</f>
        <v>정사석</v>
      </c>
      <c r="E502" s="74" t="str">
        <f ca="1">IF(VLOOKUP($B502,'1. 현장별 인원현황'!$C:$J,4,0)=0,"",VLOOKUP($B502,'1. 현장별 인원현황'!$C:$J,4,0))</f>
        <v>54세</v>
      </c>
      <c r="F502" s="70" t="str">
        <f>IF(VLOOKUP($B502,'1. 현장별 인원현황'!$C:$J,7,0)=0,"",VLOOKUP($B502,'1. 현장별 인원현황'!$C:$J,7,0))</f>
        <v>기능공</v>
      </c>
      <c r="G502" s="72" t="str">
        <f>IF(VLOOKUP($B502,'1. 현장별 인원현황'!$C:$J,8,0)=0,"",VLOOKUP($B502,'1. 현장별 인원현황'!$C:$J,8,0))</f>
        <v>전공</v>
      </c>
      <c r="H502" s="67"/>
      <c r="I502" s="73" t="s">
        <v>69</v>
      </c>
      <c r="J502" s="73"/>
      <c r="K502" s="68"/>
      <c r="L502" s="67"/>
      <c r="M502" s="73" t="s">
        <v>69</v>
      </c>
      <c r="N502" s="73"/>
      <c r="O502" s="68"/>
      <c r="P502" s="67"/>
      <c r="Q502" s="73" t="s">
        <v>69</v>
      </c>
      <c r="R502" s="73"/>
      <c r="S502" s="68"/>
      <c r="T502" s="67"/>
      <c r="U502" s="73" t="s">
        <v>69</v>
      </c>
      <c r="V502" s="73"/>
      <c r="W502" s="68"/>
      <c r="X502" s="67" t="s">
        <v>69</v>
      </c>
      <c r="Y502" s="73"/>
      <c r="Z502" s="73"/>
      <c r="AA502" s="68"/>
      <c r="AB502" s="67"/>
      <c r="AC502" s="73" t="s">
        <v>69</v>
      </c>
      <c r="AD502" s="73"/>
      <c r="AE502" s="68"/>
      <c r="AF502" s="67"/>
      <c r="AG502" s="73" t="s">
        <v>69</v>
      </c>
      <c r="AH502" s="73"/>
      <c r="AI502" s="68"/>
      <c r="AJ502" s="67"/>
      <c r="AK502" s="73" t="s">
        <v>69</v>
      </c>
      <c r="AL502" s="73"/>
      <c r="AM502" s="68"/>
      <c r="AN502" s="73" t="s">
        <v>69</v>
      </c>
      <c r="AO502" s="73"/>
      <c r="AP502" s="73"/>
      <c r="AQ502" s="68"/>
      <c r="AR502" s="67">
        <f t="shared" si="282"/>
        <v>82</v>
      </c>
      <c r="AS502" s="68" t="str">
        <f t="shared" si="283"/>
        <v>A</v>
      </c>
      <c r="AV502" s="49">
        <f t="shared" si="284"/>
        <v>0</v>
      </c>
      <c r="AW502" s="49">
        <f t="shared" si="285"/>
        <v>1</v>
      </c>
      <c r="AX502" s="49">
        <f t="shared" si="286"/>
        <v>0</v>
      </c>
      <c r="AY502" s="49">
        <f t="shared" si="287"/>
        <v>0</v>
      </c>
      <c r="AZ502" s="49">
        <f t="shared" si="288"/>
        <v>0</v>
      </c>
      <c r="BA502" s="49">
        <f t="shared" si="289"/>
        <v>1</v>
      </c>
      <c r="BB502" s="49">
        <f t="shared" si="290"/>
        <v>0</v>
      </c>
      <c r="BC502" s="49">
        <f t="shared" si="291"/>
        <v>0</v>
      </c>
      <c r="BD502" s="49">
        <f t="shared" si="292"/>
        <v>0</v>
      </c>
      <c r="BE502" s="49">
        <f t="shared" si="293"/>
        <v>1</v>
      </c>
      <c r="BF502" s="49">
        <f t="shared" si="294"/>
        <v>0</v>
      </c>
      <c r="BG502" s="49">
        <f t="shared" si="295"/>
        <v>0</v>
      </c>
      <c r="BH502" s="49">
        <f t="shared" si="296"/>
        <v>0</v>
      </c>
      <c r="BI502" s="49">
        <f t="shared" si="297"/>
        <v>1</v>
      </c>
      <c r="BJ502" s="49">
        <f t="shared" si="298"/>
        <v>0</v>
      </c>
      <c r="BK502" s="49">
        <f t="shared" si="299"/>
        <v>0</v>
      </c>
      <c r="BL502" s="49">
        <f t="shared" si="300"/>
        <v>1</v>
      </c>
      <c r="BM502" s="49">
        <f t="shared" si="301"/>
        <v>0</v>
      </c>
      <c r="BN502" s="49">
        <f t="shared" si="302"/>
        <v>0</v>
      </c>
      <c r="BO502" s="49">
        <f t="shared" si="303"/>
        <v>0</v>
      </c>
      <c r="BP502" s="49">
        <f t="shared" si="304"/>
        <v>0</v>
      </c>
      <c r="BQ502" s="49">
        <f t="shared" si="305"/>
        <v>1</v>
      </c>
      <c r="BR502" s="49">
        <f t="shared" si="306"/>
        <v>0</v>
      </c>
      <c r="BS502" s="49">
        <f t="shared" si="307"/>
        <v>0</v>
      </c>
      <c r="BT502" s="49">
        <f t="shared" si="308"/>
        <v>0</v>
      </c>
      <c r="BU502" s="49">
        <f t="shared" si="309"/>
        <v>1</v>
      </c>
      <c r="BV502" s="49">
        <f t="shared" si="310"/>
        <v>0</v>
      </c>
      <c r="BW502" s="49">
        <f t="shared" si="311"/>
        <v>0</v>
      </c>
      <c r="BX502" s="49">
        <f t="shared" si="312"/>
        <v>0</v>
      </c>
      <c r="BY502" s="49">
        <f t="shared" si="313"/>
        <v>1</v>
      </c>
      <c r="BZ502" s="49">
        <f t="shared" si="314"/>
        <v>0</v>
      </c>
      <c r="CA502" s="49">
        <f t="shared" si="315"/>
        <v>0</v>
      </c>
      <c r="CB502" s="49">
        <f t="shared" si="316"/>
        <v>1</v>
      </c>
      <c r="CC502" s="49">
        <f t="shared" si="317"/>
        <v>0</v>
      </c>
      <c r="CD502" s="49">
        <f t="shared" si="318"/>
        <v>0</v>
      </c>
      <c r="CE502" s="49">
        <f t="shared" si="319"/>
        <v>0</v>
      </c>
    </row>
    <row r="503" spans="1:83" ht="35.1" customHeight="1" x14ac:dyDescent="0.3">
      <c r="A503" s="123" t="str">
        <f t="shared" si="280"/>
        <v>4팀</v>
      </c>
      <c r="B503" s="69">
        <f t="shared" si="281"/>
        <v>497</v>
      </c>
      <c r="C503" s="120" t="str">
        <f>IF(VLOOKUP($B503,'1. 현장별 인원현황'!$C:$J,2,0)=0,"",VLOOKUP($B503,'1. 현장별 인원현황'!$C:$J,2,0))</f>
        <v xml:space="preserve"> [4.롯데건설] 롯데바이오로직스 Project PROVIDENCE</v>
      </c>
      <c r="D503" s="70" t="str">
        <f>IF(VLOOKUP($B503,'1. 현장별 인원현황'!$C:$J,3,0)=0,"",VLOOKUP($B503,'1. 현장별 인원현황'!$C:$J,3,0))</f>
        <v>최문정</v>
      </c>
      <c r="E503" s="74" t="str">
        <f ca="1">IF(VLOOKUP($B503,'1. 현장별 인원현황'!$C:$J,4,0)=0,"",VLOOKUP($B503,'1. 현장별 인원현황'!$C:$J,4,0))</f>
        <v>31세</v>
      </c>
      <c r="F503" s="70" t="str">
        <f>IF(VLOOKUP($B503,'1. 현장별 인원현황'!$C:$J,7,0)=0,"",VLOOKUP($B503,'1. 현장별 인원현황'!$C:$J,7,0))</f>
        <v>기능공</v>
      </c>
      <c r="G503" s="72" t="str">
        <f>IF(VLOOKUP($B503,'1. 현장별 인원현황'!$C:$J,8,0)=0,"",VLOOKUP($B503,'1. 현장별 인원현황'!$C:$J,8,0))</f>
        <v>전공</v>
      </c>
      <c r="H503" s="67"/>
      <c r="I503" s="73" t="s">
        <v>69</v>
      </c>
      <c r="J503" s="73"/>
      <c r="K503" s="68"/>
      <c r="L503" s="67" t="s">
        <v>69</v>
      </c>
      <c r="M503" s="73"/>
      <c r="N503" s="73"/>
      <c r="O503" s="68"/>
      <c r="P503" s="67" t="s">
        <v>69</v>
      </c>
      <c r="Q503" s="73"/>
      <c r="R503" s="73"/>
      <c r="S503" s="68"/>
      <c r="T503" s="67"/>
      <c r="U503" s="73" t="s">
        <v>69</v>
      </c>
      <c r="V503" s="73"/>
      <c r="W503" s="68"/>
      <c r="X503" s="67" t="s">
        <v>69</v>
      </c>
      <c r="Y503" s="73"/>
      <c r="Z503" s="73"/>
      <c r="AA503" s="68"/>
      <c r="AB503" s="67"/>
      <c r="AC503" s="73" t="s">
        <v>69</v>
      </c>
      <c r="AD503" s="73"/>
      <c r="AE503" s="68"/>
      <c r="AF503" s="67" t="s">
        <v>69</v>
      </c>
      <c r="AG503" s="73"/>
      <c r="AH503" s="73"/>
      <c r="AI503" s="68"/>
      <c r="AJ503" s="67"/>
      <c r="AK503" s="73" t="s">
        <v>69</v>
      </c>
      <c r="AL503" s="73"/>
      <c r="AM503" s="68"/>
      <c r="AN503" s="73" t="s">
        <v>69</v>
      </c>
      <c r="AO503" s="73"/>
      <c r="AP503" s="73"/>
      <c r="AQ503" s="68"/>
      <c r="AR503" s="67">
        <f t="shared" si="282"/>
        <v>90</v>
      </c>
      <c r="AS503" s="68" t="str">
        <f t="shared" si="283"/>
        <v>S</v>
      </c>
      <c r="AV503" s="49">
        <f t="shared" si="284"/>
        <v>0</v>
      </c>
      <c r="AW503" s="49">
        <f t="shared" si="285"/>
        <v>1</v>
      </c>
      <c r="AX503" s="49">
        <f t="shared" si="286"/>
        <v>0</v>
      </c>
      <c r="AY503" s="49">
        <f t="shared" si="287"/>
        <v>0</v>
      </c>
      <c r="AZ503" s="49">
        <f t="shared" si="288"/>
        <v>1</v>
      </c>
      <c r="BA503" s="49">
        <f t="shared" si="289"/>
        <v>0</v>
      </c>
      <c r="BB503" s="49">
        <f t="shared" si="290"/>
        <v>0</v>
      </c>
      <c r="BC503" s="49">
        <f t="shared" si="291"/>
        <v>0</v>
      </c>
      <c r="BD503" s="49">
        <f t="shared" si="292"/>
        <v>1</v>
      </c>
      <c r="BE503" s="49">
        <f t="shared" si="293"/>
        <v>0</v>
      </c>
      <c r="BF503" s="49">
        <f t="shared" si="294"/>
        <v>0</v>
      </c>
      <c r="BG503" s="49">
        <f t="shared" si="295"/>
        <v>0</v>
      </c>
      <c r="BH503" s="49">
        <f t="shared" si="296"/>
        <v>0</v>
      </c>
      <c r="BI503" s="49">
        <f t="shared" si="297"/>
        <v>1</v>
      </c>
      <c r="BJ503" s="49">
        <f t="shared" si="298"/>
        <v>0</v>
      </c>
      <c r="BK503" s="49">
        <f t="shared" si="299"/>
        <v>0</v>
      </c>
      <c r="BL503" s="49">
        <f t="shared" si="300"/>
        <v>1</v>
      </c>
      <c r="BM503" s="49">
        <f t="shared" si="301"/>
        <v>0</v>
      </c>
      <c r="BN503" s="49">
        <f t="shared" si="302"/>
        <v>0</v>
      </c>
      <c r="BO503" s="49">
        <f t="shared" si="303"/>
        <v>0</v>
      </c>
      <c r="BP503" s="49">
        <f t="shared" si="304"/>
        <v>0</v>
      </c>
      <c r="BQ503" s="49">
        <f t="shared" si="305"/>
        <v>1</v>
      </c>
      <c r="BR503" s="49">
        <f t="shared" si="306"/>
        <v>0</v>
      </c>
      <c r="BS503" s="49">
        <f t="shared" si="307"/>
        <v>0</v>
      </c>
      <c r="BT503" s="49">
        <f t="shared" si="308"/>
        <v>1</v>
      </c>
      <c r="BU503" s="49">
        <f t="shared" si="309"/>
        <v>0</v>
      </c>
      <c r="BV503" s="49">
        <f t="shared" si="310"/>
        <v>0</v>
      </c>
      <c r="BW503" s="49">
        <f t="shared" si="311"/>
        <v>0</v>
      </c>
      <c r="BX503" s="49">
        <f t="shared" si="312"/>
        <v>0</v>
      </c>
      <c r="BY503" s="49">
        <f t="shared" si="313"/>
        <v>1</v>
      </c>
      <c r="BZ503" s="49">
        <f t="shared" si="314"/>
        <v>0</v>
      </c>
      <c r="CA503" s="49">
        <f t="shared" si="315"/>
        <v>0</v>
      </c>
      <c r="CB503" s="49">
        <f t="shared" si="316"/>
        <v>1</v>
      </c>
      <c r="CC503" s="49">
        <f t="shared" si="317"/>
        <v>0</v>
      </c>
      <c r="CD503" s="49">
        <f t="shared" si="318"/>
        <v>0</v>
      </c>
      <c r="CE503" s="49">
        <f t="shared" si="319"/>
        <v>0</v>
      </c>
    </row>
    <row r="504" spans="1:83" ht="35.1" customHeight="1" x14ac:dyDescent="0.3">
      <c r="A504" s="123" t="str">
        <f t="shared" si="280"/>
        <v>4팀</v>
      </c>
      <c r="B504" s="69">
        <f t="shared" si="281"/>
        <v>498</v>
      </c>
      <c r="C504" s="120" t="str">
        <f>IF(VLOOKUP($B504,'1. 현장별 인원현황'!$C:$J,2,0)=0,"",VLOOKUP($B504,'1. 현장별 인원현황'!$C:$J,2,0))</f>
        <v xml:space="preserve"> [4.롯데건설] 롯데바이오로직스 Project PROVIDENCE</v>
      </c>
      <c r="D504" s="70" t="str">
        <f>IF(VLOOKUP($B504,'1. 현장별 인원현황'!$C:$J,3,0)=0,"",VLOOKUP($B504,'1. 현장별 인원현황'!$C:$J,3,0))</f>
        <v>최태선</v>
      </c>
      <c r="E504" s="74" t="str">
        <f ca="1">IF(VLOOKUP($B504,'1. 현장별 인원현황'!$C:$J,4,0)=0,"",VLOOKUP($B504,'1. 현장별 인원현황'!$C:$J,4,0))</f>
        <v>43세</v>
      </c>
      <c r="F504" s="70" t="str">
        <f>IF(VLOOKUP($B504,'1. 현장별 인원현황'!$C:$J,7,0)=0,"",VLOOKUP($B504,'1. 현장별 인원현황'!$C:$J,7,0))</f>
        <v>기능공</v>
      </c>
      <c r="G504" s="72" t="str">
        <f>IF(VLOOKUP($B504,'1. 현장별 인원현황'!$C:$J,8,0)=0,"",VLOOKUP($B504,'1. 현장별 인원현황'!$C:$J,8,0))</f>
        <v>전공</v>
      </c>
      <c r="H504" s="67"/>
      <c r="I504" s="73" t="s">
        <v>69</v>
      </c>
      <c r="J504" s="73"/>
      <c r="K504" s="68"/>
      <c r="L504" s="67"/>
      <c r="M504" s="73" t="s">
        <v>69</v>
      </c>
      <c r="N504" s="73"/>
      <c r="O504" s="68"/>
      <c r="P504" s="67"/>
      <c r="Q504" s="73" t="s">
        <v>69</v>
      </c>
      <c r="R504" s="73"/>
      <c r="S504" s="68"/>
      <c r="T504" s="67"/>
      <c r="U504" s="73" t="s">
        <v>69</v>
      </c>
      <c r="V504" s="73"/>
      <c r="W504" s="68"/>
      <c r="X504" s="67" t="s">
        <v>69</v>
      </c>
      <c r="Y504" s="73"/>
      <c r="Z504" s="73"/>
      <c r="AA504" s="68"/>
      <c r="AB504" s="67"/>
      <c r="AC504" s="73" t="s">
        <v>69</v>
      </c>
      <c r="AD504" s="73"/>
      <c r="AE504" s="68"/>
      <c r="AF504" s="67"/>
      <c r="AG504" s="73" t="s">
        <v>69</v>
      </c>
      <c r="AH504" s="73"/>
      <c r="AI504" s="68"/>
      <c r="AJ504" s="67"/>
      <c r="AK504" s="73" t="s">
        <v>69</v>
      </c>
      <c r="AL504" s="73"/>
      <c r="AM504" s="68"/>
      <c r="AN504" s="73" t="s">
        <v>69</v>
      </c>
      <c r="AO504" s="73"/>
      <c r="AP504" s="73"/>
      <c r="AQ504" s="68"/>
      <c r="AR504" s="67">
        <f t="shared" si="282"/>
        <v>82</v>
      </c>
      <c r="AS504" s="68" t="str">
        <f t="shared" si="283"/>
        <v>A</v>
      </c>
      <c r="AV504" s="49">
        <f t="shared" si="284"/>
        <v>0</v>
      </c>
      <c r="AW504" s="49">
        <f t="shared" si="285"/>
        <v>1</v>
      </c>
      <c r="AX504" s="49">
        <f t="shared" si="286"/>
        <v>0</v>
      </c>
      <c r="AY504" s="49">
        <f t="shared" si="287"/>
        <v>0</v>
      </c>
      <c r="AZ504" s="49">
        <f t="shared" si="288"/>
        <v>0</v>
      </c>
      <c r="BA504" s="49">
        <f t="shared" si="289"/>
        <v>1</v>
      </c>
      <c r="BB504" s="49">
        <f t="shared" si="290"/>
        <v>0</v>
      </c>
      <c r="BC504" s="49">
        <f t="shared" si="291"/>
        <v>0</v>
      </c>
      <c r="BD504" s="49">
        <f t="shared" si="292"/>
        <v>0</v>
      </c>
      <c r="BE504" s="49">
        <f t="shared" si="293"/>
        <v>1</v>
      </c>
      <c r="BF504" s="49">
        <f t="shared" si="294"/>
        <v>0</v>
      </c>
      <c r="BG504" s="49">
        <f t="shared" si="295"/>
        <v>0</v>
      </c>
      <c r="BH504" s="49">
        <f t="shared" si="296"/>
        <v>0</v>
      </c>
      <c r="BI504" s="49">
        <f t="shared" si="297"/>
        <v>1</v>
      </c>
      <c r="BJ504" s="49">
        <f t="shared" si="298"/>
        <v>0</v>
      </c>
      <c r="BK504" s="49">
        <f t="shared" si="299"/>
        <v>0</v>
      </c>
      <c r="BL504" s="49">
        <f t="shared" si="300"/>
        <v>1</v>
      </c>
      <c r="BM504" s="49">
        <f t="shared" si="301"/>
        <v>0</v>
      </c>
      <c r="BN504" s="49">
        <f t="shared" si="302"/>
        <v>0</v>
      </c>
      <c r="BO504" s="49">
        <f t="shared" si="303"/>
        <v>0</v>
      </c>
      <c r="BP504" s="49">
        <f t="shared" si="304"/>
        <v>0</v>
      </c>
      <c r="BQ504" s="49">
        <f t="shared" si="305"/>
        <v>1</v>
      </c>
      <c r="BR504" s="49">
        <f t="shared" si="306"/>
        <v>0</v>
      </c>
      <c r="BS504" s="49">
        <f t="shared" si="307"/>
        <v>0</v>
      </c>
      <c r="BT504" s="49">
        <f t="shared" si="308"/>
        <v>0</v>
      </c>
      <c r="BU504" s="49">
        <f t="shared" si="309"/>
        <v>1</v>
      </c>
      <c r="BV504" s="49">
        <f t="shared" si="310"/>
        <v>0</v>
      </c>
      <c r="BW504" s="49">
        <f t="shared" si="311"/>
        <v>0</v>
      </c>
      <c r="BX504" s="49">
        <f t="shared" si="312"/>
        <v>0</v>
      </c>
      <c r="BY504" s="49">
        <f t="shared" si="313"/>
        <v>1</v>
      </c>
      <c r="BZ504" s="49">
        <f t="shared" si="314"/>
        <v>0</v>
      </c>
      <c r="CA504" s="49">
        <f t="shared" si="315"/>
        <v>0</v>
      </c>
      <c r="CB504" s="49">
        <f t="shared" si="316"/>
        <v>1</v>
      </c>
      <c r="CC504" s="49">
        <f t="shared" si="317"/>
        <v>0</v>
      </c>
      <c r="CD504" s="49">
        <f t="shared" si="318"/>
        <v>0</v>
      </c>
      <c r="CE504" s="49">
        <f t="shared" si="319"/>
        <v>0</v>
      </c>
    </row>
    <row r="505" spans="1:83" ht="35.1" customHeight="1" x14ac:dyDescent="0.3">
      <c r="A505" s="123" t="str">
        <f t="shared" si="280"/>
        <v>4팀</v>
      </c>
      <c r="B505" s="69">
        <f t="shared" si="281"/>
        <v>499</v>
      </c>
      <c r="C505" s="120" t="str">
        <f>IF(VLOOKUP($B505,'1. 현장별 인원현황'!$C:$J,2,0)=0,"",VLOOKUP($B505,'1. 현장별 인원현황'!$C:$J,2,0))</f>
        <v xml:space="preserve"> [4.롯데건설] 롯데바이오로직스 Project PROVIDENCE</v>
      </c>
      <c r="D505" s="70" t="str">
        <f>IF(VLOOKUP($B505,'1. 현장별 인원현황'!$C:$J,3,0)=0,"",VLOOKUP($B505,'1. 현장별 인원현황'!$C:$J,3,0))</f>
        <v>정남수</v>
      </c>
      <c r="E505" s="74" t="str">
        <f ca="1">IF(VLOOKUP($B505,'1. 현장별 인원현황'!$C:$J,4,0)=0,"",VLOOKUP($B505,'1. 현장별 인원현황'!$C:$J,4,0))</f>
        <v>25세</v>
      </c>
      <c r="F505" s="70" t="str">
        <f>IF(VLOOKUP($B505,'1. 현장별 인원현황'!$C:$J,7,0)=0,"",VLOOKUP($B505,'1. 현장별 인원현황'!$C:$J,7,0))</f>
        <v>기능공</v>
      </c>
      <c r="G505" s="72" t="str">
        <f>IF(VLOOKUP($B505,'1. 현장별 인원현황'!$C:$J,8,0)=0,"",VLOOKUP($B505,'1. 현장별 인원현황'!$C:$J,8,0))</f>
        <v>전공</v>
      </c>
      <c r="H505" s="67"/>
      <c r="I505" s="73"/>
      <c r="J505" s="73" t="s">
        <v>69</v>
      </c>
      <c r="K505" s="68"/>
      <c r="L505" s="67"/>
      <c r="M505" s="73" t="s">
        <v>69</v>
      </c>
      <c r="N505" s="73"/>
      <c r="O505" s="68"/>
      <c r="P505" s="67"/>
      <c r="Q505" s="73" t="s">
        <v>69</v>
      </c>
      <c r="R505" s="73"/>
      <c r="S505" s="68"/>
      <c r="T505" s="67"/>
      <c r="U505" s="73" t="s">
        <v>69</v>
      </c>
      <c r="V505" s="73"/>
      <c r="W505" s="68"/>
      <c r="X505" s="67" t="s">
        <v>69</v>
      </c>
      <c r="Y505" s="73"/>
      <c r="Z505" s="73"/>
      <c r="AA505" s="68"/>
      <c r="AB505" s="67"/>
      <c r="AC505" s="73" t="s">
        <v>69</v>
      </c>
      <c r="AD505" s="73"/>
      <c r="AE505" s="68"/>
      <c r="AF505" s="67" t="s">
        <v>69</v>
      </c>
      <c r="AG505" s="73"/>
      <c r="AH505" s="73"/>
      <c r="AI505" s="68"/>
      <c r="AJ505" s="67"/>
      <c r="AK505" s="73" t="s">
        <v>69</v>
      </c>
      <c r="AL505" s="73"/>
      <c r="AM505" s="68"/>
      <c r="AN505" s="73" t="s">
        <v>69</v>
      </c>
      <c r="AO505" s="73"/>
      <c r="AP505" s="73"/>
      <c r="AQ505" s="68"/>
      <c r="AR505" s="67">
        <f t="shared" si="282"/>
        <v>81</v>
      </c>
      <c r="AS505" s="68" t="str">
        <f t="shared" si="283"/>
        <v>A</v>
      </c>
      <c r="AV505" s="49">
        <f t="shared" si="284"/>
        <v>0</v>
      </c>
      <c r="AW505" s="49">
        <f t="shared" si="285"/>
        <v>0</v>
      </c>
      <c r="AX505" s="49">
        <f t="shared" si="286"/>
        <v>1</v>
      </c>
      <c r="AY505" s="49">
        <f t="shared" si="287"/>
        <v>0</v>
      </c>
      <c r="AZ505" s="49">
        <f t="shared" si="288"/>
        <v>0</v>
      </c>
      <c r="BA505" s="49">
        <f t="shared" si="289"/>
        <v>1</v>
      </c>
      <c r="BB505" s="49">
        <f t="shared" si="290"/>
        <v>0</v>
      </c>
      <c r="BC505" s="49">
        <f t="shared" si="291"/>
        <v>0</v>
      </c>
      <c r="BD505" s="49">
        <f t="shared" si="292"/>
        <v>0</v>
      </c>
      <c r="BE505" s="49">
        <f t="shared" si="293"/>
        <v>1</v>
      </c>
      <c r="BF505" s="49">
        <f t="shared" si="294"/>
        <v>0</v>
      </c>
      <c r="BG505" s="49">
        <f t="shared" si="295"/>
        <v>0</v>
      </c>
      <c r="BH505" s="49">
        <f t="shared" si="296"/>
        <v>0</v>
      </c>
      <c r="BI505" s="49">
        <f t="shared" si="297"/>
        <v>1</v>
      </c>
      <c r="BJ505" s="49">
        <f t="shared" si="298"/>
        <v>0</v>
      </c>
      <c r="BK505" s="49">
        <f t="shared" si="299"/>
        <v>0</v>
      </c>
      <c r="BL505" s="49">
        <f t="shared" si="300"/>
        <v>1</v>
      </c>
      <c r="BM505" s="49">
        <f t="shared" si="301"/>
        <v>0</v>
      </c>
      <c r="BN505" s="49">
        <f t="shared" si="302"/>
        <v>0</v>
      </c>
      <c r="BO505" s="49">
        <f t="shared" si="303"/>
        <v>0</v>
      </c>
      <c r="BP505" s="49">
        <f t="shared" si="304"/>
        <v>0</v>
      </c>
      <c r="BQ505" s="49">
        <f t="shared" si="305"/>
        <v>1</v>
      </c>
      <c r="BR505" s="49">
        <f t="shared" si="306"/>
        <v>0</v>
      </c>
      <c r="BS505" s="49">
        <f t="shared" si="307"/>
        <v>0</v>
      </c>
      <c r="BT505" s="49">
        <f t="shared" si="308"/>
        <v>1</v>
      </c>
      <c r="BU505" s="49">
        <f t="shared" si="309"/>
        <v>0</v>
      </c>
      <c r="BV505" s="49">
        <f t="shared" si="310"/>
        <v>0</v>
      </c>
      <c r="BW505" s="49">
        <f t="shared" si="311"/>
        <v>0</v>
      </c>
      <c r="BX505" s="49">
        <f t="shared" si="312"/>
        <v>0</v>
      </c>
      <c r="BY505" s="49">
        <f t="shared" si="313"/>
        <v>1</v>
      </c>
      <c r="BZ505" s="49">
        <f t="shared" si="314"/>
        <v>0</v>
      </c>
      <c r="CA505" s="49">
        <f t="shared" si="315"/>
        <v>0</v>
      </c>
      <c r="CB505" s="49">
        <f t="shared" si="316"/>
        <v>1</v>
      </c>
      <c r="CC505" s="49">
        <f t="shared" si="317"/>
        <v>0</v>
      </c>
      <c r="CD505" s="49">
        <f t="shared" si="318"/>
        <v>0</v>
      </c>
      <c r="CE505" s="49">
        <f t="shared" si="319"/>
        <v>0</v>
      </c>
    </row>
    <row r="506" spans="1:83" ht="35.1" customHeight="1" x14ac:dyDescent="0.3">
      <c r="A506" s="123" t="str">
        <f t="shared" si="280"/>
        <v>4팀</v>
      </c>
      <c r="B506" s="69">
        <f t="shared" si="281"/>
        <v>500</v>
      </c>
      <c r="C506" s="120" t="str">
        <f>IF(VLOOKUP($B506,'1. 현장별 인원현황'!$C:$J,2,0)=0,"",VLOOKUP($B506,'1. 현장별 인원현황'!$C:$J,2,0))</f>
        <v xml:space="preserve"> [4.롯데건설] 롯데바이오로직스 Project PROVIDENCE</v>
      </c>
      <c r="D506" s="70" t="str">
        <f>IF(VLOOKUP($B506,'1. 현장별 인원현황'!$C:$J,3,0)=0,"",VLOOKUP($B506,'1. 현장별 인원현황'!$C:$J,3,0))</f>
        <v>김현철</v>
      </c>
      <c r="E506" s="74" t="str">
        <f ca="1">IF(VLOOKUP($B506,'1. 현장별 인원현황'!$C:$J,4,0)=0,"",VLOOKUP($B506,'1. 현장별 인원현황'!$C:$J,4,0))</f>
        <v>51세</v>
      </c>
      <c r="F506" s="70" t="str">
        <f>IF(VLOOKUP($B506,'1. 현장별 인원현황'!$C:$J,7,0)=0,"",VLOOKUP($B506,'1. 현장별 인원현황'!$C:$J,7,0))</f>
        <v>기능공</v>
      </c>
      <c r="G506" s="72" t="str">
        <f>IF(VLOOKUP($B506,'1. 현장별 인원현황'!$C:$J,8,0)=0,"",VLOOKUP($B506,'1. 현장별 인원현황'!$C:$J,8,0))</f>
        <v>전공</v>
      </c>
      <c r="H506" s="67"/>
      <c r="I506" s="73" t="s">
        <v>69</v>
      </c>
      <c r="J506" s="73"/>
      <c r="K506" s="68"/>
      <c r="L506" s="67"/>
      <c r="M506" s="73" t="s">
        <v>69</v>
      </c>
      <c r="N506" s="73"/>
      <c r="O506" s="68"/>
      <c r="P506" s="67"/>
      <c r="Q506" s="73" t="s">
        <v>69</v>
      </c>
      <c r="R506" s="73"/>
      <c r="S506" s="68"/>
      <c r="T506" s="67" t="s">
        <v>69</v>
      </c>
      <c r="U506" s="73"/>
      <c r="V506" s="73"/>
      <c r="W506" s="68"/>
      <c r="X506" s="67" t="s">
        <v>69</v>
      </c>
      <c r="Y506" s="73"/>
      <c r="Z506" s="73"/>
      <c r="AA506" s="68"/>
      <c r="AB506" s="67"/>
      <c r="AC506" s="73" t="s">
        <v>69</v>
      </c>
      <c r="AD506" s="73"/>
      <c r="AE506" s="68"/>
      <c r="AF506" s="67" t="s">
        <v>69</v>
      </c>
      <c r="AG506" s="73"/>
      <c r="AH506" s="73"/>
      <c r="AI506" s="68"/>
      <c r="AJ506" s="67"/>
      <c r="AK506" s="73" t="s">
        <v>69</v>
      </c>
      <c r="AL506" s="73"/>
      <c r="AM506" s="68"/>
      <c r="AN506" s="73" t="s">
        <v>69</v>
      </c>
      <c r="AO506" s="73"/>
      <c r="AP506" s="73"/>
      <c r="AQ506" s="68"/>
      <c r="AR506" s="67">
        <f t="shared" si="282"/>
        <v>86</v>
      </c>
      <c r="AS506" s="68" t="str">
        <f t="shared" si="283"/>
        <v>S</v>
      </c>
      <c r="AV506" s="49">
        <f t="shared" si="284"/>
        <v>0</v>
      </c>
      <c r="AW506" s="49">
        <f t="shared" si="285"/>
        <v>1</v>
      </c>
      <c r="AX506" s="49">
        <f t="shared" si="286"/>
        <v>0</v>
      </c>
      <c r="AY506" s="49">
        <f t="shared" si="287"/>
        <v>0</v>
      </c>
      <c r="AZ506" s="49">
        <f t="shared" si="288"/>
        <v>0</v>
      </c>
      <c r="BA506" s="49">
        <f t="shared" si="289"/>
        <v>1</v>
      </c>
      <c r="BB506" s="49">
        <f t="shared" si="290"/>
        <v>0</v>
      </c>
      <c r="BC506" s="49">
        <f t="shared" si="291"/>
        <v>0</v>
      </c>
      <c r="BD506" s="49">
        <f t="shared" si="292"/>
        <v>0</v>
      </c>
      <c r="BE506" s="49">
        <f t="shared" si="293"/>
        <v>1</v>
      </c>
      <c r="BF506" s="49">
        <f t="shared" si="294"/>
        <v>0</v>
      </c>
      <c r="BG506" s="49">
        <f t="shared" si="295"/>
        <v>0</v>
      </c>
      <c r="BH506" s="49">
        <f t="shared" si="296"/>
        <v>1</v>
      </c>
      <c r="BI506" s="49">
        <f t="shared" si="297"/>
        <v>0</v>
      </c>
      <c r="BJ506" s="49">
        <f t="shared" si="298"/>
        <v>0</v>
      </c>
      <c r="BK506" s="49">
        <f t="shared" si="299"/>
        <v>0</v>
      </c>
      <c r="BL506" s="49">
        <f t="shared" si="300"/>
        <v>1</v>
      </c>
      <c r="BM506" s="49">
        <f t="shared" si="301"/>
        <v>0</v>
      </c>
      <c r="BN506" s="49">
        <f t="shared" si="302"/>
        <v>0</v>
      </c>
      <c r="BO506" s="49">
        <f t="shared" si="303"/>
        <v>0</v>
      </c>
      <c r="BP506" s="49">
        <f t="shared" si="304"/>
        <v>0</v>
      </c>
      <c r="BQ506" s="49">
        <f t="shared" si="305"/>
        <v>1</v>
      </c>
      <c r="BR506" s="49">
        <f t="shared" si="306"/>
        <v>0</v>
      </c>
      <c r="BS506" s="49">
        <f t="shared" si="307"/>
        <v>0</v>
      </c>
      <c r="BT506" s="49">
        <f t="shared" si="308"/>
        <v>1</v>
      </c>
      <c r="BU506" s="49">
        <f t="shared" si="309"/>
        <v>0</v>
      </c>
      <c r="BV506" s="49">
        <f t="shared" si="310"/>
        <v>0</v>
      </c>
      <c r="BW506" s="49">
        <f t="shared" si="311"/>
        <v>0</v>
      </c>
      <c r="BX506" s="49">
        <f t="shared" si="312"/>
        <v>0</v>
      </c>
      <c r="BY506" s="49">
        <f t="shared" si="313"/>
        <v>1</v>
      </c>
      <c r="BZ506" s="49">
        <f t="shared" si="314"/>
        <v>0</v>
      </c>
      <c r="CA506" s="49">
        <f t="shared" si="315"/>
        <v>0</v>
      </c>
      <c r="CB506" s="49">
        <f t="shared" si="316"/>
        <v>1</v>
      </c>
      <c r="CC506" s="49">
        <f t="shared" si="317"/>
        <v>0</v>
      </c>
      <c r="CD506" s="49">
        <f t="shared" si="318"/>
        <v>0</v>
      </c>
      <c r="CE506" s="49">
        <f t="shared" si="319"/>
        <v>0</v>
      </c>
    </row>
    <row r="507" spans="1:83" ht="35.1" customHeight="1" x14ac:dyDescent="0.3">
      <c r="A507" s="123" t="str">
        <f t="shared" si="280"/>
        <v>4팀</v>
      </c>
      <c r="B507" s="69">
        <f t="shared" si="281"/>
        <v>501</v>
      </c>
      <c r="C507" s="120" t="str">
        <f>IF(VLOOKUP($B507,'1. 현장별 인원현황'!$C:$J,2,0)=0,"",VLOOKUP($B507,'1. 현장별 인원현황'!$C:$J,2,0))</f>
        <v xml:space="preserve"> [4.롯데건설] 롯데바이오로직스 Project PROVIDENCE</v>
      </c>
      <c r="D507" s="70" t="str">
        <f>IF(VLOOKUP($B507,'1. 현장별 인원현황'!$C:$J,3,0)=0,"",VLOOKUP($B507,'1. 현장별 인원현황'!$C:$J,3,0))</f>
        <v>오성진</v>
      </c>
      <c r="E507" s="74" t="str">
        <f ca="1">IF(VLOOKUP($B507,'1. 현장별 인원현황'!$C:$J,4,0)=0,"",VLOOKUP($B507,'1. 현장별 인원현황'!$C:$J,4,0))</f>
        <v>35세</v>
      </c>
      <c r="F507" s="70" t="str">
        <f>IF(VLOOKUP($B507,'1. 현장별 인원현황'!$C:$J,7,0)=0,"",VLOOKUP($B507,'1. 현장별 인원현황'!$C:$J,7,0))</f>
        <v>기능공</v>
      </c>
      <c r="G507" s="72" t="str">
        <f>IF(VLOOKUP($B507,'1. 현장별 인원현황'!$C:$J,8,0)=0,"",VLOOKUP($B507,'1. 현장별 인원현황'!$C:$J,8,0))</f>
        <v>전공</v>
      </c>
      <c r="H507" s="67"/>
      <c r="I507" s="73" t="s">
        <v>69</v>
      </c>
      <c r="J507" s="73"/>
      <c r="K507" s="68"/>
      <c r="L507" s="67" t="s">
        <v>69</v>
      </c>
      <c r="M507" s="73"/>
      <c r="N507" s="73"/>
      <c r="O507" s="68"/>
      <c r="P507" s="67" t="s">
        <v>69</v>
      </c>
      <c r="Q507" s="73"/>
      <c r="R507" s="73"/>
      <c r="S507" s="68"/>
      <c r="T507" s="67"/>
      <c r="U507" s="73" t="s">
        <v>69</v>
      </c>
      <c r="V507" s="73"/>
      <c r="W507" s="68"/>
      <c r="X507" s="67" t="s">
        <v>69</v>
      </c>
      <c r="Y507" s="73"/>
      <c r="Z507" s="73"/>
      <c r="AA507" s="68"/>
      <c r="AB507" s="67"/>
      <c r="AC507" s="73" t="s">
        <v>69</v>
      </c>
      <c r="AD507" s="73"/>
      <c r="AE507" s="68"/>
      <c r="AF507" s="67" t="s">
        <v>69</v>
      </c>
      <c r="AG507" s="73"/>
      <c r="AH507" s="73"/>
      <c r="AI507" s="68"/>
      <c r="AJ507" s="67"/>
      <c r="AK507" s="73" t="s">
        <v>69</v>
      </c>
      <c r="AL507" s="73"/>
      <c r="AM507" s="68"/>
      <c r="AN507" s="73" t="s">
        <v>69</v>
      </c>
      <c r="AO507" s="73"/>
      <c r="AP507" s="73"/>
      <c r="AQ507" s="68"/>
      <c r="AR507" s="67">
        <f t="shared" si="282"/>
        <v>90</v>
      </c>
      <c r="AS507" s="68" t="str">
        <f t="shared" si="283"/>
        <v>S</v>
      </c>
      <c r="AV507" s="49">
        <f t="shared" si="284"/>
        <v>0</v>
      </c>
      <c r="AW507" s="49">
        <f t="shared" si="285"/>
        <v>1</v>
      </c>
      <c r="AX507" s="49">
        <f t="shared" si="286"/>
        <v>0</v>
      </c>
      <c r="AY507" s="49">
        <f t="shared" si="287"/>
        <v>0</v>
      </c>
      <c r="AZ507" s="49">
        <f t="shared" si="288"/>
        <v>1</v>
      </c>
      <c r="BA507" s="49">
        <f t="shared" si="289"/>
        <v>0</v>
      </c>
      <c r="BB507" s="49">
        <f t="shared" si="290"/>
        <v>0</v>
      </c>
      <c r="BC507" s="49">
        <f t="shared" si="291"/>
        <v>0</v>
      </c>
      <c r="BD507" s="49">
        <f t="shared" si="292"/>
        <v>1</v>
      </c>
      <c r="BE507" s="49">
        <f t="shared" si="293"/>
        <v>0</v>
      </c>
      <c r="BF507" s="49">
        <f t="shared" si="294"/>
        <v>0</v>
      </c>
      <c r="BG507" s="49">
        <f t="shared" si="295"/>
        <v>0</v>
      </c>
      <c r="BH507" s="49">
        <f t="shared" si="296"/>
        <v>0</v>
      </c>
      <c r="BI507" s="49">
        <f t="shared" si="297"/>
        <v>1</v>
      </c>
      <c r="BJ507" s="49">
        <f t="shared" si="298"/>
        <v>0</v>
      </c>
      <c r="BK507" s="49">
        <f t="shared" si="299"/>
        <v>0</v>
      </c>
      <c r="BL507" s="49">
        <f t="shared" si="300"/>
        <v>1</v>
      </c>
      <c r="BM507" s="49">
        <f t="shared" si="301"/>
        <v>0</v>
      </c>
      <c r="BN507" s="49">
        <f t="shared" si="302"/>
        <v>0</v>
      </c>
      <c r="BO507" s="49">
        <f t="shared" si="303"/>
        <v>0</v>
      </c>
      <c r="BP507" s="49">
        <f t="shared" si="304"/>
        <v>0</v>
      </c>
      <c r="BQ507" s="49">
        <f t="shared" si="305"/>
        <v>1</v>
      </c>
      <c r="BR507" s="49">
        <f t="shared" si="306"/>
        <v>0</v>
      </c>
      <c r="BS507" s="49">
        <f t="shared" si="307"/>
        <v>0</v>
      </c>
      <c r="BT507" s="49">
        <f t="shared" si="308"/>
        <v>1</v>
      </c>
      <c r="BU507" s="49">
        <f t="shared" si="309"/>
        <v>0</v>
      </c>
      <c r="BV507" s="49">
        <f t="shared" si="310"/>
        <v>0</v>
      </c>
      <c r="BW507" s="49">
        <f t="shared" si="311"/>
        <v>0</v>
      </c>
      <c r="BX507" s="49">
        <f t="shared" si="312"/>
        <v>0</v>
      </c>
      <c r="BY507" s="49">
        <f t="shared" si="313"/>
        <v>1</v>
      </c>
      <c r="BZ507" s="49">
        <f t="shared" si="314"/>
        <v>0</v>
      </c>
      <c r="CA507" s="49">
        <f t="shared" si="315"/>
        <v>0</v>
      </c>
      <c r="CB507" s="49">
        <f t="shared" si="316"/>
        <v>1</v>
      </c>
      <c r="CC507" s="49">
        <f t="shared" si="317"/>
        <v>0</v>
      </c>
      <c r="CD507" s="49">
        <f t="shared" si="318"/>
        <v>0</v>
      </c>
      <c r="CE507" s="49">
        <f t="shared" si="319"/>
        <v>0</v>
      </c>
    </row>
    <row r="508" spans="1:83" ht="35.1" customHeight="1" x14ac:dyDescent="0.3">
      <c r="A508" s="123" t="str">
        <f t="shared" si="280"/>
        <v>4팀</v>
      </c>
      <c r="B508" s="69">
        <f t="shared" si="281"/>
        <v>502</v>
      </c>
      <c r="C508" s="120" t="str">
        <f>IF(VLOOKUP($B508,'1. 현장별 인원현황'!$C:$J,2,0)=0,"",VLOOKUP($B508,'1. 현장별 인원현황'!$C:$J,2,0))</f>
        <v xml:space="preserve"> [4.롯데건설] 롯데바이오로직스 Project PROVIDENCE</v>
      </c>
      <c r="D508" s="70" t="str">
        <f>IF(VLOOKUP($B508,'1. 현장별 인원현황'!$C:$J,3,0)=0,"",VLOOKUP($B508,'1. 현장별 인원현황'!$C:$J,3,0))</f>
        <v>손철규</v>
      </c>
      <c r="E508" s="74" t="str">
        <f ca="1">IF(VLOOKUP($B508,'1. 현장별 인원현황'!$C:$J,4,0)=0,"",VLOOKUP($B508,'1. 현장별 인원현황'!$C:$J,4,0))</f>
        <v>56세</v>
      </c>
      <c r="F508" s="70" t="str">
        <f>IF(VLOOKUP($B508,'1. 현장별 인원현황'!$C:$J,7,0)=0,"",VLOOKUP($B508,'1. 현장별 인원현황'!$C:$J,7,0))</f>
        <v>기능공</v>
      </c>
      <c r="G508" s="72" t="str">
        <f>IF(VLOOKUP($B508,'1. 현장별 인원현황'!$C:$J,8,0)=0,"",VLOOKUP($B508,'1. 현장별 인원현황'!$C:$J,8,0))</f>
        <v>전공</v>
      </c>
      <c r="H508" s="67" t="s">
        <v>69</v>
      </c>
      <c r="I508" s="73"/>
      <c r="J508" s="73"/>
      <c r="K508" s="68"/>
      <c r="L508" s="67" t="s">
        <v>69</v>
      </c>
      <c r="M508" s="73"/>
      <c r="N508" s="73"/>
      <c r="O508" s="68"/>
      <c r="P508" s="67" t="s">
        <v>69</v>
      </c>
      <c r="Q508" s="73"/>
      <c r="R508" s="73"/>
      <c r="S508" s="68"/>
      <c r="T508" s="67" t="s">
        <v>69</v>
      </c>
      <c r="U508" s="73"/>
      <c r="V508" s="73"/>
      <c r="W508" s="68"/>
      <c r="X508" s="67" t="s">
        <v>69</v>
      </c>
      <c r="Y508" s="73"/>
      <c r="Z508" s="73"/>
      <c r="AA508" s="68"/>
      <c r="AB508" s="67" t="s">
        <v>69</v>
      </c>
      <c r="AC508" s="73"/>
      <c r="AD508" s="73"/>
      <c r="AE508" s="68"/>
      <c r="AF508" s="67" t="s">
        <v>69</v>
      </c>
      <c r="AG508" s="73"/>
      <c r="AH508" s="73"/>
      <c r="AI508" s="68"/>
      <c r="AJ508" s="67"/>
      <c r="AK508" s="73" t="s">
        <v>69</v>
      </c>
      <c r="AL508" s="73"/>
      <c r="AM508" s="68"/>
      <c r="AN508" s="73" t="s">
        <v>69</v>
      </c>
      <c r="AO508" s="73"/>
      <c r="AP508" s="73"/>
      <c r="AQ508" s="68"/>
      <c r="AR508" s="67">
        <f t="shared" si="282"/>
        <v>97</v>
      </c>
      <c r="AS508" s="68" t="str">
        <f t="shared" si="283"/>
        <v>S</v>
      </c>
      <c r="AV508" s="49">
        <f t="shared" si="79"/>
        <v>1</v>
      </c>
      <c r="AW508" s="49">
        <f t="shared" si="44"/>
        <v>0</v>
      </c>
      <c r="AX508" s="49">
        <f t="shared" si="45"/>
        <v>0</v>
      </c>
      <c r="AY508" s="49">
        <f t="shared" si="46"/>
        <v>0</v>
      </c>
      <c r="AZ508" s="49">
        <f t="shared" si="47"/>
        <v>1</v>
      </c>
      <c r="BA508" s="49">
        <f t="shared" si="48"/>
        <v>0</v>
      </c>
      <c r="BB508" s="49">
        <f t="shared" si="49"/>
        <v>0</v>
      </c>
      <c r="BC508" s="49">
        <f t="shared" si="50"/>
        <v>0</v>
      </c>
      <c r="BD508" s="49">
        <f t="shared" si="51"/>
        <v>1</v>
      </c>
      <c r="BE508" s="49">
        <f t="shared" si="52"/>
        <v>0</v>
      </c>
      <c r="BF508" s="49">
        <f t="shared" si="53"/>
        <v>0</v>
      </c>
      <c r="BG508" s="49">
        <f t="shared" si="54"/>
        <v>0</v>
      </c>
      <c r="BH508" s="49">
        <f t="shared" si="55"/>
        <v>1</v>
      </c>
      <c r="BI508" s="49">
        <f t="shared" si="56"/>
        <v>0</v>
      </c>
      <c r="BJ508" s="49">
        <f t="shared" si="57"/>
        <v>0</v>
      </c>
      <c r="BK508" s="49">
        <f t="shared" si="58"/>
        <v>0</v>
      </c>
      <c r="BL508" s="49">
        <f t="shared" si="59"/>
        <v>1</v>
      </c>
      <c r="BM508" s="49">
        <f t="shared" si="60"/>
        <v>0</v>
      </c>
      <c r="BN508" s="49">
        <f t="shared" si="61"/>
        <v>0</v>
      </c>
      <c r="BO508" s="49">
        <f t="shared" si="62"/>
        <v>0</v>
      </c>
      <c r="BP508" s="49">
        <f t="shared" si="63"/>
        <v>1</v>
      </c>
      <c r="BQ508" s="49">
        <f t="shared" si="64"/>
        <v>0</v>
      </c>
      <c r="BR508" s="49">
        <f t="shared" si="65"/>
        <v>0</v>
      </c>
      <c r="BS508" s="49">
        <f t="shared" si="66"/>
        <v>0</v>
      </c>
      <c r="BT508" s="49">
        <f t="shared" si="67"/>
        <v>1</v>
      </c>
      <c r="BU508" s="49">
        <f t="shared" si="68"/>
        <v>0</v>
      </c>
      <c r="BV508" s="49">
        <f t="shared" si="69"/>
        <v>0</v>
      </c>
      <c r="BW508" s="49">
        <f t="shared" si="70"/>
        <v>0</v>
      </c>
      <c r="BX508" s="49">
        <f t="shared" si="71"/>
        <v>0</v>
      </c>
      <c r="BY508" s="49">
        <f t="shared" si="72"/>
        <v>1</v>
      </c>
      <c r="BZ508" s="49">
        <f t="shared" si="73"/>
        <v>0</v>
      </c>
      <c r="CA508" s="49">
        <f t="shared" si="74"/>
        <v>0</v>
      </c>
      <c r="CB508" s="49">
        <f t="shared" si="75"/>
        <v>1</v>
      </c>
      <c r="CC508" s="49">
        <f t="shared" si="76"/>
        <v>0</v>
      </c>
      <c r="CD508" s="49">
        <f t="shared" si="77"/>
        <v>0</v>
      </c>
      <c r="CE508" s="49">
        <f t="shared" si="78"/>
        <v>0</v>
      </c>
    </row>
    <row r="509" spans="1:83" ht="35.1" customHeight="1" x14ac:dyDescent="0.3">
      <c r="A509" s="123" t="str">
        <f t="shared" si="280"/>
        <v>4팀</v>
      </c>
      <c r="B509" s="69">
        <f t="shared" si="281"/>
        <v>503</v>
      </c>
      <c r="C509" s="120" t="str">
        <f>IF(VLOOKUP($B509,'1. 현장별 인원현황'!$C:$J,2,0)=0,"",VLOOKUP($B509,'1. 현장별 인원현황'!$C:$J,2,0))</f>
        <v xml:space="preserve"> [4.롯데건설] 롯데바이오로직스 Project PROVIDENCE</v>
      </c>
      <c r="D509" s="70" t="str">
        <f>IF(VLOOKUP($B509,'1. 현장별 인원현황'!$C:$J,3,0)=0,"",VLOOKUP($B509,'1. 현장별 인원현황'!$C:$J,3,0))</f>
        <v>안종광</v>
      </c>
      <c r="E509" s="74" t="str">
        <f ca="1">IF(VLOOKUP($B509,'1. 현장별 인원현황'!$C:$J,4,0)=0,"",VLOOKUP($B509,'1. 현장별 인원현황'!$C:$J,4,0))</f>
        <v>52세</v>
      </c>
      <c r="F509" s="70" t="str">
        <f>IF(VLOOKUP($B509,'1. 현장별 인원현황'!$C:$J,7,0)=0,"",VLOOKUP($B509,'1. 현장별 인원현황'!$C:$J,7,0))</f>
        <v>기능공</v>
      </c>
      <c r="G509" s="72" t="str">
        <f>IF(VLOOKUP($B509,'1. 현장별 인원현황'!$C:$J,8,0)=0,"",VLOOKUP($B509,'1. 현장별 인원현황'!$C:$J,8,0))</f>
        <v>전공</v>
      </c>
      <c r="H509" s="67"/>
      <c r="I509" s="73" t="s">
        <v>69</v>
      </c>
      <c r="J509" s="73"/>
      <c r="K509" s="68"/>
      <c r="L509" s="67" t="s">
        <v>69</v>
      </c>
      <c r="M509" s="73"/>
      <c r="N509" s="73"/>
      <c r="O509" s="68"/>
      <c r="P509" s="67" t="s">
        <v>69</v>
      </c>
      <c r="Q509" s="73"/>
      <c r="R509" s="73"/>
      <c r="S509" s="68"/>
      <c r="T509" s="67"/>
      <c r="U509" s="73" t="s">
        <v>69</v>
      </c>
      <c r="V509" s="73"/>
      <c r="W509" s="68"/>
      <c r="X509" s="67" t="s">
        <v>69</v>
      </c>
      <c r="Y509" s="73"/>
      <c r="Z509" s="73"/>
      <c r="AA509" s="68"/>
      <c r="AB509" s="67" t="s">
        <v>69</v>
      </c>
      <c r="AC509" s="73"/>
      <c r="AD509" s="73"/>
      <c r="AE509" s="68"/>
      <c r="AF509" s="67" t="s">
        <v>69</v>
      </c>
      <c r="AG509" s="73"/>
      <c r="AH509" s="73"/>
      <c r="AI509" s="68"/>
      <c r="AJ509" s="67"/>
      <c r="AK509" s="73" t="s">
        <v>69</v>
      </c>
      <c r="AL509" s="73"/>
      <c r="AM509" s="68"/>
      <c r="AN509" s="73" t="s">
        <v>69</v>
      </c>
      <c r="AO509" s="73"/>
      <c r="AP509" s="73"/>
      <c r="AQ509" s="68"/>
      <c r="AR509" s="67">
        <f t="shared" si="282"/>
        <v>92</v>
      </c>
      <c r="AS509" s="68" t="str">
        <f t="shared" si="283"/>
        <v>S</v>
      </c>
      <c r="AV509" s="49">
        <f t="shared" ref="AV509:AV644" si="320">IF(H509&gt;0,1,0)</f>
        <v>0</v>
      </c>
      <c r="AW509" s="49">
        <f t="shared" ref="AW509:AW644" si="321">IF(I509&gt;0,1,0)</f>
        <v>1</v>
      </c>
      <c r="AX509" s="49">
        <f t="shared" ref="AX509:AX644" si="322">IF(J509&gt;0,1,0)</f>
        <v>0</v>
      </c>
      <c r="AY509" s="49">
        <f t="shared" ref="AY509:AY644" si="323">IF(K509&gt;0,1,0)</f>
        <v>0</v>
      </c>
      <c r="AZ509" s="49">
        <f t="shared" ref="AZ509:AZ644" si="324">IF(L509&gt;0,1,0)</f>
        <v>1</v>
      </c>
      <c r="BA509" s="49">
        <f t="shared" ref="BA509:BA644" si="325">IF(M509&gt;0,1,0)</f>
        <v>0</v>
      </c>
      <c r="BB509" s="49">
        <f t="shared" ref="BB509:BB644" si="326">IF(N509&gt;0,1,0)</f>
        <v>0</v>
      </c>
      <c r="BC509" s="49">
        <f t="shared" ref="BC509:BC644" si="327">IF(O509&gt;0,1,0)</f>
        <v>0</v>
      </c>
      <c r="BD509" s="49">
        <f t="shared" ref="BD509:BD644" si="328">IF(P509&gt;0,1,0)</f>
        <v>1</v>
      </c>
      <c r="BE509" s="49">
        <f t="shared" ref="BE509:BE644" si="329">IF(Q509&gt;0,1,0)</f>
        <v>0</v>
      </c>
      <c r="BF509" s="49">
        <f t="shared" ref="BF509:BF644" si="330">IF(R509&gt;0,1,0)</f>
        <v>0</v>
      </c>
      <c r="BG509" s="49">
        <f t="shared" ref="BG509:BG644" si="331">IF(S509&gt;0,1,0)</f>
        <v>0</v>
      </c>
      <c r="BH509" s="49">
        <f t="shared" ref="BH509:BH644" si="332">IF(T509&gt;0,1,0)</f>
        <v>0</v>
      </c>
      <c r="BI509" s="49">
        <f t="shared" ref="BI509:BI644" si="333">IF(U509&gt;0,1,0)</f>
        <v>1</v>
      </c>
      <c r="BJ509" s="49">
        <f t="shared" ref="BJ509:BJ644" si="334">IF(V509&gt;0,1,0)</f>
        <v>0</v>
      </c>
      <c r="BK509" s="49">
        <f t="shared" ref="BK509:BK644" si="335">IF(W509&gt;0,1,0)</f>
        <v>0</v>
      </c>
      <c r="BL509" s="49">
        <f t="shared" ref="BL509:BL644" si="336">IF(X509&gt;0,1,0)</f>
        <v>1</v>
      </c>
      <c r="BM509" s="49">
        <f t="shared" ref="BM509:BM644" si="337">IF(Y509&gt;0,1,0)</f>
        <v>0</v>
      </c>
      <c r="BN509" s="49">
        <f t="shared" ref="BN509:BN644" si="338">IF(Z509&gt;0,1,0)</f>
        <v>0</v>
      </c>
      <c r="BO509" s="49">
        <f t="shared" ref="BO509:BO644" si="339">IF(AA509&gt;0,1,0)</f>
        <v>0</v>
      </c>
      <c r="BP509" s="49">
        <f t="shared" ref="BP509:BP644" si="340">IF(AB509&gt;0,1,0)</f>
        <v>1</v>
      </c>
      <c r="BQ509" s="49">
        <f t="shared" ref="BQ509:BQ644" si="341">IF(AC509&gt;0,1,0)</f>
        <v>0</v>
      </c>
      <c r="BR509" s="49">
        <f t="shared" ref="BR509:BR644" si="342">IF(AD509&gt;0,1,0)</f>
        <v>0</v>
      </c>
      <c r="BS509" s="49">
        <f t="shared" ref="BS509:BS644" si="343">IF(AE509&gt;0,1,0)</f>
        <v>0</v>
      </c>
      <c r="BT509" s="49">
        <f t="shared" ref="BT509:BT644" si="344">IF(AF509&gt;0,1,0)</f>
        <v>1</v>
      </c>
      <c r="BU509" s="49">
        <f t="shared" ref="BU509:BU644" si="345">IF(AG509&gt;0,1,0)</f>
        <v>0</v>
      </c>
      <c r="BV509" s="49">
        <f t="shared" ref="BV509:BV644" si="346">IF(AH509&gt;0,1,0)</f>
        <v>0</v>
      </c>
      <c r="BW509" s="49">
        <f t="shared" ref="BW509:BW644" si="347">IF(AI509&gt;0,1,0)</f>
        <v>0</v>
      </c>
      <c r="BX509" s="49">
        <f t="shared" ref="BX509:BX644" si="348">IF(AJ509&gt;0,1,0)</f>
        <v>0</v>
      </c>
      <c r="BY509" s="49">
        <f t="shared" ref="BY509:BY644" si="349">IF(AK509&gt;0,1,0)</f>
        <v>1</v>
      </c>
      <c r="BZ509" s="49">
        <f t="shared" ref="BZ509:BZ644" si="350">IF(AL509&gt;0,1,0)</f>
        <v>0</v>
      </c>
      <c r="CA509" s="49">
        <f t="shared" ref="CA509:CA644" si="351">IF(AM509&gt;0,1,0)</f>
        <v>0</v>
      </c>
      <c r="CB509" s="49">
        <f t="shared" ref="CB509:CB644" si="352">IF(AN509&gt;0,1,0)</f>
        <v>1</v>
      </c>
      <c r="CC509" s="49">
        <f t="shared" ref="CC509:CC644" si="353">IF(AO509&gt;0,1,0)</f>
        <v>0</v>
      </c>
      <c r="CD509" s="49">
        <f t="shared" ref="CD509:CD644" si="354">IF(AP509&gt;0,1,0)</f>
        <v>0</v>
      </c>
      <c r="CE509" s="49">
        <f t="shared" ref="CE509:CE644" si="355">IF(AQ509&gt;0,1,0)</f>
        <v>0</v>
      </c>
    </row>
    <row r="510" spans="1:83" ht="35.1" customHeight="1" x14ac:dyDescent="0.3">
      <c r="A510" s="123" t="str">
        <f t="shared" si="280"/>
        <v>4팀</v>
      </c>
      <c r="B510" s="69">
        <f t="shared" si="281"/>
        <v>504</v>
      </c>
      <c r="C510" s="120" t="str">
        <f>IF(VLOOKUP($B510,'1. 현장별 인원현황'!$C:$J,2,0)=0,"",VLOOKUP($B510,'1. 현장별 인원현황'!$C:$J,2,0))</f>
        <v xml:space="preserve"> [4.롯데건설] 롯데바이오로직스 Project PROVIDENCE</v>
      </c>
      <c r="D510" s="70" t="str">
        <f>IF(VLOOKUP($B510,'1. 현장별 인원현황'!$C:$J,3,0)=0,"",VLOOKUP($B510,'1. 현장별 인원현황'!$C:$J,3,0))</f>
        <v>이수복</v>
      </c>
      <c r="E510" s="74" t="str">
        <f ca="1">IF(VLOOKUP($B510,'1. 현장별 인원현황'!$C:$J,4,0)=0,"",VLOOKUP($B510,'1. 현장별 인원현황'!$C:$J,4,0))</f>
        <v>40세</v>
      </c>
      <c r="F510" s="70" t="str">
        <f>IF(VLOOKUP($B510,'1. 현장별 인원현황'!$C:$J,7,0)=0,"",VLOOKUP($B510,'1. 현장별 인원현황'!$C:$J,7,0))</f>
        <v>기능공</v>
      </c>
      <c r="G510" s="72" t="str">
        <f>IF(VLOOKUP($B510,'1. 현장별 인원현황'!$C:$J,8,0)=0,"",VLOOKUP($B510,'1. 현장별 인원현황'!$C:$J,8,0))</f>
        <v>전공</v>
      </c>
      <c r="H510" s="67"/>
      <c r="I510" s="73" t="s">
        <v>69</v>
      </c>
      <c r="J510" s="73"/>
      <c r="K510" s="68"/>
      <c r="L510" s="67"/>
      <c r="M510" s="73" t="s">
        <v>69</v>
      </c>
      <c r="N510" s="73"/>
      <c r="O510" s="68"/>
      <c r="P510" s="67"/>
      <c r="Q510" s="73" t="s">
        <v>69</v>
      </c>
      <c r="R510" s="73"/>
      <c r="S510" s="68"/>
      <c r="T510" s="67"/>
      <c r="U510" s="73" t="s">
        <v>69</v>
      </c>
      <c r="V510" s="73"/>
      <c r="W510" s="68"/>
      <c r="X510" s="67" t="s">
        <v>69</v>
      </c>
      <c r="Y510" s="73"/>
      <c r="Z510" s="73"/>
      <c r="AA510" s="68"/>
      <c r="AB510" s="67"/>
      <c r="AC510" s="73" t="s">
        <v>69</v>
      </c>
      <c r="AD510" s="73"/>
      <c r="AE510" s="68"/>
      <c r="AF510" s="67" t="s">
        <v>69</v>
      </c>
      <c r="AG510" s="73"/>
      <c r="AH510" s="73"/>
      <c r="AI510" s="68"/>
      <c r="AJ510" s="67"/>
      <c r="AK510" s="73" t="s">
        <v>69</v>
      </c>
      <c r="AL510" s="73"/>
      <c r="AM510" s="68"/>
      <c r="AN510" s="73" t="s">
        <v>69</v>
      </c>
      <c r="AO510" s="73"/>
      <c r="AP510" s="73"/>
      <c r="AQ510" s="68"/>
      <c r="AR510" s="67">
        <f t="shared" si="282"/>
        <v>84</v>
      </c>
      <c r="AS510" s="68" t="str">
        <f t="shared" si="283"/>
        <v>A</v>
      </c>
      <c r="AV510" s="49">
        <f t="shared" si="320"/>
        <v>0</v>
      </c>
      <c r="AW510" s="49">
        <f t="shared" si="321"/>
        <v>1</v>
      </c>
      <c r="AX510" s="49">
        <f t="shared" si="322"/>
        <v>0</v>
      </c>
      <c r="AY510" s="49">
        <f t="shared" si="323"/>
        <v>0</v>
      </c>
      <c r="AZ510" s="49">
        <f t="shared" si="324"/>
        <v>0</v>
      </c>
      <c r="BA510" s="49">
        <f t="shared" si="325"/>
        <v>1</v>
      </c>
      <c r="BB510" s="49">
        <f t="shared" si="326"/>
        <v>0</v>
      </c>
      <c r="BC510" s="49">
        <f t="shared" si="327"/>
        <v>0</v>
      </c>
      <c r="BD510" s="49">
        <f t="shared" si="328"/>
        <v>0</v>
      </c>
      <c r="BE510" s="49">
        <f t="shared" si="329"/>
        <v>1</v>
      </c>
      <c r="BF510" s="49">
        <f t="shared" si="330"/>
        <v>0</v>
      </c>
      <c r="BG510" s="49">
        <f t="shared" si="331"/>
        <v>0</v>
      </c>
      <c r="BH510" s="49">
        <f t="shared" si="332"/>
        <v>0</v>
      </c>
      <c r="BI510" s="49">
        <f t="shared" si="333"/>
        <v>1</v>
      </c>
      <c r="BJ510" s="49">
        <f t="shared" si="334"/>
        <v>0</v>
      </c>
      <c r="BK510" s="49">
        <f t="shared" si="335"/>
        <v>0</v>
      </c>
      <c r="BL510" s="49">
        <f t="shared" si="336"/>
        <v>1</v>
      </c>
      <c r="BM510" s="49">
        <f t="shared" si="337"/>
        <v>0</v>
      </c>
      <c r="BN510" s="49">
        <f t="shared" si="338"/>
        <v>0</v>
      </c>
      <c r="BO510" s="49">
        <f t="shared" si="339"/>
        <v>0</v>
      </c>
      <c r="BP510" s="49">
        <f t="shared" si="340"/>
        <v>0</v>
      </c>
      <c r="BQ510" s="49">
        <f t="shared" si="341"/>
        <v>1</v>
      </c>
      <c r="BR510" s="49">
        <f t="shared" si="342"/>
        <v>0</v>
      </c>
      <c r="BS510" s="49">
        <f t="shared" si="343"/>
        <v>0</v>
      </c>
      <c r="BT510" s="49">
        <f t="shared" si="344"/>
        <v>1</v>
      </c>
      <c r="BU510" s="49">
        <f t="shared" si="345"/>
        <v>0</v>
      </c>
      <c r="BV510" s="49">
        <f t="shared" si="346"/>
        <v>0</v>
      </c>
      <c r="BW510" s="49">
        <f t="shared" si="347"/>
        <v>0</v>
      </c>
      <c r="BX510" s="49">
        <f t="shared" si="348"/>
        <v>0</v>
      </c>
      <c r="BY510" s="49">
        <f t="shared" si="349"/>
        <v>1</v>
      </c>
      <c r="BZ510" s="49">
        <f t="shared" si="350"/>
        <v>0</v>
      </c>
      <c r="CA510" s="49">
        <f t="shared" si="351"/>
        <v>0</v>
      </c>
      <c r="CB510" s="49">
        <f t="shared" si="352"/>
        <v>1</v>
      </c>
      <c r="CC510" s="49">
        <f t="shared" si="353"/>
        <v>0</v>
      </c>
      <c r="CD510" s="49">
        <f t="shared" si="354"/>
        <v>0</v>
      </c>
      <c r="CE510" s="49">
        <f t="shared" si="355"/>
        <v>0</v>
      </c>
    </row>
    <row r="511" spans="1:83" ht="35.1" customHeight="1" x14ac:dyDescent="0.3">
      <c r="A511" s="123" t="str">
        <f t="shared" si="280"/>
        <v>4팀</v>
      </c>
      <c r="B511" s="69">
        <f t="shared" si="281"/>
        <v>505</v>
      </c>
      <c r="C511" s="120" t="str">
        <f>IF(VLOOKUP($B511,'1. 현장별 인원현황'!$C:$J,2,0)=0,"",VLOOKUP($B511,'1. 현장별 인원현황'!$C:$J,2,0))</f>
        <v xml:space="preserve"> [4.롯데건설] 롯데바이오로직스 Project PROVIDENCE</v>
      </c>
      <c r="D511" s="70" t="str">
        <f>IF(VLOOKUP($B511,'1. 현장별 인원현황'!$C:$J,3,0)=0,"",VLOOKUP($B511,'1. 현장별 인원현황'!$C:$J,3,0))</f>
        <v>이일훈</v>
      </c>
      <c r="E511" s="74" t="str">
        <f ca="1">IF(VLOOKUP($B511,'1. 현장별 인원현황'!$C:$J,4,0)=0,"",VLOOKUP($B511,'1. 현장별 인원현황'!$C:$J,4,0))</f>
        <v>52세</v>
      </c>
      <c r="F511" s="70" t="str">
        <f>IF(VLOOKUP($B511,'1. 현장별 인원현황'!$C:$J,7,0)=0,"",VLOOKUP($B511,'1. 현장별 인원현황'!$C:$J,7,0))</f>
        <v>기능공</v>
      </c>
      <c r="G511" s="72" t="str">
        <f>IF(VLOOKUP($B511,'1. 현장별 인원현황'!$C:$J,8,0)=0,"",VLOOKUP($B511,'1. 현장별 인원현황'!$C:$J,8,0))</f>
        <v>전공</v>
      </c>
      <c r="H511" s="67"/>
      <c r="I511" s="73" t="s">
        <v>69</v>
      </c>
      <c r="J511" s="73"/>
      <c r="K511" s="68"/>
      <c r="L511" s="67"/>
      <c r="M511" s="73" t="s">
        <v>69</v>
      </c>
      <c r="N511" s="73"/>
      <c r="O511" s="68"/>
      <c r="P511" s="67"/>
      <c r="Q511" s="73" t="s">
        <v>69</v>
      </c>
      <c r="R511" s="73"/>
      <c r="S511" s="68"/>
      <c r="T511" s="67"/>
      <c r="U511" s="73" t="s">
        <v>69</v>
      </c>
      <c r="V511" s="73"/>
      <c r="W511" s="68"/>
      <c r="X511" s="67" t="s">
        <v>69</v>
      </c>
      <c r="Y511" s="73"/>
      <c r="Z511" s="73"/>
      <c r="AA511" s="68"/>
      <c r="AB511" s="67"/>
      <c r="AC511" s="73" t="s">
        <v>69</v>
      </c>
      <c r="AD511" s="73"/>
      <c r="AE511" s="68"/>
      <c r="AF511" s="67" t="s">
        <v>69</v>
      </c>
      <c r="AG511" s="73"/>
      <c r="AH511" s="73"/>
      <c r="AI511" s="68"/>
      <c r="AJ511" s="67"/>
      <c r="AK511" s="73" t="s">
        <v>69</v>
      </c>
      <c r="AL511" s="73"/>
      <c r="AM511" s="68"/>
      <c r="AN511" s="73" t="s">
        <v>69</v>
      </c>
      <c r="AO511" s="73"/>
      <c r="AP511" s="73"/>
      <c r="AQ511" s="68"/>
      <c r="AR511" s="67">
        <f t="shared" si="282"/>
        <v>84</v>
      </c>
      <c r="AS511" s="68" t="str">
        <f t="shared" si="283"/>
        <v>A</v>
      </c>
      <c r="AV511" s="49">
        <f t="shared" si="320"/>
        <v>0</v>
      </c>
      <c r="AW511" s="49">
        <f t="shared" si="321"/>
        <v>1</v>
      </c>
      <c r="AX511" s="49">
        <f t="shared" si="322"/>
        <v>0</v>
      </c>
      <c r="AY511" s="49">
        <f t="shared" si="323"/>
        <v>0</v>
      </c>
      <c r="AZ511" s="49">
        <f t="shared" si="324"/>
        <v>0</v>
      </c>
      <c r="BA511" s="49">
        <f t="shared" si="325"/>
        <v>1</v>
      </c>
      <c r="BB511" s="49">
        <f t="shared" si="326"/>
        <v>0</v>
      </c>
      <c r="BC511" s="49">
        <f t="shared" si="327"/>
        <v>0</v>
      </c>
      <c r="BD511" s="49">
        <f t="shared" si="328"/>
        <v>0</v>
      </c>
      <c r="BE511" s="49">
        <f t="shared" si="329"/>
        <v>1</v>
      </c>
      <c r="BF511" s="49">
        <f t="shared" si="330"/>
        <v>0</v>
      </c>
      <c r="BG511" s="49">
        <f t="shared" si="331"/>
        <v>0</v>
      </c>
      <c r="BH511" s="49">
        <f t="shared" si="332"/>
        <v>0</v>
      </c>
      <c r="BI511" s="49">
        <f t="shared" si="333"/>
        <v>1</v>
      </c>
      <c r="BJ511" s="49">
        <f t="shared" si="334"/>
        <v>0</v>
      </c>
      <c r="BK511" s="49">
        <f t="shared" si="335"/>
        <v>0</v>
      </c>
      <c r="BL511" s="49">
        <f t="shared" si="336"/>
        <v>1</v>
      </c>
      <c r="BM511" s="49">
        <f t="shared" si="337"/>
        <v>0</v>
      </c>
      <c r="BN511" s="49">
        <f t="shared" si="338"/>
        <v>0</v>
      </c>
      <c r="BO511" s="49">
        <f t="shared" si="339"/>
        <v>0</v>
      </c>
      <c r="BP511" s="49">
        <f t="shared" si="340"/>
        <v>0</v>
      </c>
      <c r="BQ511" s="49">
        <f t="shared" si="341"/>
        <v>1</v>
      </c>
      <c r="BR511" s="49">
        <f t="shared" si="342"/>
        <v>0</v>
      </c>
      <c r="BS511" s="49">
        <f t="shared" si="343"/>
        <v>0</v>
      </c>
      <c r="BT511" s="49">
        <f t="shared" si="344"/>
        <v>1</v>
      </c>
      <c r="BU511" s="49">
        <f t="shared" si="345"/>
        <v>0</v>
      </c>
      <c r="BV511" s="49">
        <f t="shared" si="346"/>
        <v>0</v>
      </c>
      <c r="BW511" s="49">
        <f t="shared" si="347"/>
        <v>0</v>
      </c>
      <c r="BX511" s="49">
        <f t="shared" si="348"/>
        <v>0</v>
      </c>
      <c r="BY511" s="49">
        <f t="shared" si="349"/>
        <v>1</v>
      </c>
      <c r="BZ511" s="49">
        <f t="shared" si="350"/>
        <v>0</v>
      </c>
      <c r="CA511" s="49">
        <f t="shared" si="351"/>
        <v>0</v>
      </c>
      <c r="CB511" s="49">
        <f t="shared" si="352"/>
        <v>1</v>
      </c>
      <c r="CC511" s="49">
        <f t="shared" si="353"/>
        <v>0</v>
      </c>
      <c r="CD511" s="49">
        <f t="shared" si="354"/>
        <v>0</v>
      </c>
      <c r="CE511" s="49">
        <f t="shared" si="355"/>
        <v>0</v>
      </c>
    </row>
    <row r="512" spans="1:83" ht="35.1" customHeight="1" x14ac:dyDescent="0.3">
      <c r="A512" s="123" t="str">
        <f t="shared" si="280"/>
        <v>4팀</v>
      </c>
      <c r="B512" s="69">
        <f t="shared" si="281"/>
        <v>506</v>
      </c>
      <c r="C512" s="120" t="str">
        <f>IF(VLOOKUP($B512,'1. 현장별 인원현황'!$C:$J,2,0)=0,"",VLOOKUP($B512,'1. 현장별 인원현황'!$C:$J,2,0))</f>
        <v xml:space="preserve"> [4.롯데건설] 롯데바이오로직스 Project PROVIDENCE</v>
      </c>
      <c r="D512" s="70" t="str">
        <f>IF(VLOOKUP($B512,'1. 현장별 인원현황'!$C:$J,3,0)=0,"",VLOOKUP($B512,'1. 현장별 인원현황'!$C:$J,3,0))</f>
        <v>임동환</v>
      </c>
      <c r="E512" s="74" t="str">
        <f ca="1">IF(VLOOKUP($B512,'1. 현장별 인원현황'!$C:$J,4,0)=0,"",VLOOKUP($B512,'1. 현장별 인원현황'!$C:$J,4,0))</f>
        <v>49세</v>
      </c>
      <c r="F512" s="70" t="str">
        <f>IF(VLOOKUP($B512,'1. 현장별 인원현황'!$C:$J,7,0)=0,"",VLOOKUP($B512,'1. 현장별 인원현황'!$C:$J,7,0))</f>
        <v>기능공</v>
      </c>
      <c r="G512" s="72" t="str">
        <f>IF(VLOOKUP($B512,'1. 현장별 인원현황'!$C:$J,8,0)=0,"",VLOOKUP($B512,'1. 현장별 인원현황'!$C:$J,8,0))</f>
        <v>전공</v>
      </c>
      <c r="H512" s="67"/>
      <c r="I512" s="73" t="s">
        <v>69</v>
      </c>
      <c r="J512" s="73"/>
      <c r="K512" s="68"/>
      <c r="L512" s="67"/>
      <c r="M512" s="73" t="s">
        <v>69</v>
      </c>
      <c r="N512" s="73"/>
      <c r="O512" s="68"/>
      <c r="P512" s="67"/>
      <c r="Q512" s="73" t="s">
        <v>69</v>
      </c>
      <c r="R512" s="73"/>
      <c r="S512" s="68"/>
      <c r="T512" s="67"/>
      <c r="U512" s="73" t="s">
        <v>69</v>
      </c>
      <c r="V512" s="73"/>
      <c r="W512" s="68"/>
      <c r="X512" s="67" t="s">
        <v>69</v>
      </c>
      <c r="Y512" s="73"/>
      <c r="Z512" s="73"/>
      <c r="AA512" s="68"/>
      <c r="AB512" s="67"/>
      <c r="AC512" s="73" t="s">
        <v>69</v>
      </c>
      <c r="AD512" s="73"/>
      <c r="AE512" s="68"/>
      <c r="AF512" s="67" t="s">
        <v>69</v>
      </c>
      <c r="AG512" s="73"/>
      <c r="AH512" s="73"/>
      <c r="AI512" s="68"/>
      <c r="AJ512" s="67"/>
      <c r="AK512" s="73" t="s">
        <v>69</v>
      </c>
      <c r="AL512" s="73"/>
      <c r="AM512" s="68"/>
      <c r="AN512" s="73" t="s">
        <v>69</v>
      </c>
      <c r="AO512" s="73"/>
      <c r="AP512" s="73"/>
      <c r="AQ512" s="68"/>
      <c r="AR512" s="67">
        <f t="shared" si="282"/>
        <v>84</v>
      </c>
      <c r="AS512" s="68" t="str">
        <f t="shared" si="283"/>
        <v>A</v>
      </c>
      <c r="AV512" s="49">
        <f t="shared" si="320"/>
        <v>0</v>
      </c>
      <c r="AW512" s="49">
        <f t="shared" si="321"/>
        <v>1</v>
      </c>
      <c r="AX512" s="49">
        <f t="shared" si="322"/>
        <v>0</v>
      </c>
      <c r="AY512" s="49">
        <f t="shared" si="323"/>
        <v>0</v>
      </c>
      <c r="AZ512" s="49">
        <f t="shared" si="324"/>
        <v>0</v>
      </c>
      <c r="BA512" s="49">
        <f t="shared" si="325"/>
        <v>1</v>
      </c>
      <c r="BB512" s="49">
        <f t="shared" si="326"/>
        <v>0</v>
      </c>
      <c r="BC512" s="49">
        <f t="shared" si="327"/>
        <v>0</v>
      </c>
      <c r="BD512" s="49">
        <f t="shared" si="328"/>
        <v>0</v>
      </c>
      <c r="BE512" s="49">
        <f t="shared" si="329"/>
        <v>1</v>
      </c>
      <c r="BF512" s="49">
        <f t="shared" si="330"/>
        <v>0</v>
      </c>
      <c r="BG512" s="49">
        <f t="shared" si="331"/>
        <v>0</v>
      </c>
      <c r="BH512" s="49">
        <f t="shared" si="332"/>
        <v>0</v>
      </c>
      <c r="BI512" s="49">
        <f t="shared" si="333"/>
        <v>1</v>
      </c>
      <c r="BJ512" s="49">
        <f t="shared" si="334"/>
        <v>0</v>
      </c>
      <c r="BK512" s="49">
        <f t="shared" si="335"/>
        <v>0</v>
      </c>
      <c r="BL512" s="49">
        <f t="shared" si="336"/>
        <v>1</v>
      </c>
      <c r="BM512" s="49">
        <f t="shared" si="337"/>
        <v>0</v>
      </c>
      <c r="BN512" s="49">
        <f t="shared" si="338"/>
        <v>0</v>
      </c>
      <c r="BO512" s="49">
        <f t="shared" si="339"/>
        <v>0</v>
      </c>
      <c r="BP512" s="49">
        <f t="shared" si="340"/>
        <v>0</v>
      </c>
      <c r="BQ512" s="49">
        <f t="shared" si="341"/>
        <v>1</v>
      </c>
      <c r="BR512" s="49">
        <f t="shared" si="342"/>
        <v>0</v>
      </c>
      <c r="BS512" s="49">
        <f t="shared" si="343"/>
        <v>0</v>
      </c>
      <c r="BT512" s="49">
        <f t="shared" si="344"/>
        <v>1</v>
      </c>
      <c r="BU512" s="49">
        <f t="shared" si="345"/>
        <v>0</v>
      </c>
      <c r="BV512" s="49">
        <f t="shared" si="346"/>
        <v>0</v>
      </c>
      <c r="BW512" s="49">
        <f t="shared" si="347"/>
        <v>0</v>
      </c>
      <c r="BX512" s="49">
        <f t="shared" si="348"/>
        <v>0</v>
      </c>
      <c r="BY512" s="49">
        <f t="shared" si="349"/>
        <v>1</v>
      </c>
      <c r="BZ512" s="49">
        <f t="shared" si="350"/>
        <v>0</v>
      </c>
      <c r="CA512" s="49">
        <f t="shared" si="351"/>
        <v>0</v>
      </c>
      <c r="CB512" s="49">
        <f t="shared" si="352"/>
        <v>1</v>
      </c>
      <c r="CC512" s="49">
        <f t="shared" si="353"/>
        <v>0</v>
      </c>
      <c r="CD512" s="49">
        <f t="shared" si="354"/>
        <v>0</v>
      </c>
      <c r="CE512" s="49">
        <f t="shared" si="355"/>
        <v>0</v>
      </c>
    </row>
    <row r="513" spans="1:83" ht="35.1" customHeight="1" x14ac:dyDescent="0.3">
      <c r="A513" s="123" t="str">
        <f t="shared" si="280"/>
        <v>4팀</v>
      </c>
      <c r="B513" s="69">
        <f t="shared" si="281"/>
        <v>507</v>
      </c>
      <c r="C513" s="120" t="str">
        <f>IF(VLOOKUP($B513,'1. 현장별 인원현황'!$C:$J,2,0)=0,"",VLOOKUP($B513,'1. 현장별 인원현황'!$C:$J,2,0))</f>
        <v xml:space="preserve"> [4.롯데건설] 롯데바이오로직스 Project PROVIDENCE</v>
      </c>
      <c r="D513" s="70" t="str">
        <f>IF(VLOOKUP($B513,'1. 현장별 인원현황'!$C:$J,3,0)=0,"",VLOOKUP($B513,'1. 현장별 인원현황'!$C:$J,3,0))</f>
        <v>지광구</v>
      </c>
      <c r="E513" s="74" t="str">
        <f ca="1">IF(VLOOKUP($B513,'1. 현장별 인원현황'!$C:$J,4,0)=0,"",VLOOKUP($B513,'1. 현장별 인원현황'!$C:$J,4,0))</f>
        <v>58세</v>
      </c>
      <c r="F513" s="70" t="str">
        <f>IF(VLOOKUP($B513,'1. 현장별 인원현황'!$C:$J,7,0)=0,"",VLOOKUP($B513,'1. 현장별 인원현황'!$C:$J,7,0))</f>
        <v>기능공</v>
      </c>
      <c r="G513" s="72" t="str">
        <f>IF(VLOOKUP($B513,'1. 현장별 인원현황'!$C:$J,8,0)=0,"",VLOOKUP($B513,'1. 현장별 인원현황'!$C:$J,8,0))</f>
        <v>전공</v>
      </c>
      <c r="H513" s="67"/>
      <c r="I513" s="73" t="s">
        <v>69</v>
      </c>
      <c r="J513" s="73"/>
      <c r="K513" s="68"/>
      <c r="L513" s="67"/>
      <c r="M513" s="73" t="s">
        <v>69</v>
      </c>
      <c r="N513" s="73"/>
      <c r="O513" s="68"/>
      <c r="P513" s="67"/>
      <c r="Q513" s="73" t="s">
        <v>69</v>
      </c>
      <c r="R513" s="73"/>
      <c r="S513" s="68"/>
      <c r="T513" s="67"/>
      <c r="U513" s="73" t="s">
        <v>69</v>
      </c>
      <c r="V513" s="73"/>
      <c r="W513" s="68"/>
      <c r="X513" s="67" t="s">
        <v>69</v>
      </c>
      <c r="Y513" s="73"/>
      <c r="Z513" s="73"/>
      <c r="AA513" s="68"/>
      <c r="AB513" s="67"/>
      <c r="AC513" s="73" t="s">
        <v>69</v>
      </c>
      <c r="AD513" s="73"/>
      <c r="AE513" s="68"/>
      <c r="AF513" s="67" t="s">
        <v>69</v>
      </c>
      <c r="AG513" s="73"/>
      <c r="AH513" s="73"/>
      <c r="AI513" s="68"/>
      <c r="AJ513" s="67"/>
      <c r="AK513" s="73" t="s">
        <v>69</v>
      </c>
      <c r="AL513" s="73"/>
      <c r="AM513" s="68"/>
      <c r="AN513" s="73" t="s">
        <v>69</v>
      </c>
      <c r="AO513" s="73"/>
      <c r="AP513" s="73"/>
      <c r="AQ513" s="68"/>
      <c r="AR513" s="67">
        <f t="shared" si="282"/>
        <v>84</v>
      </c>
      <c r="AS513" s="68" t="str">
        <f t="shared" si="283"/>
        <v>A</v>
      </c>
      <c r="AV513" s="49">
        <f t="shared" si="320"/>
        <v>0</v>
      </c>
      <c r="AW513" s="49">
        <f t="shared" si="321"/>
        <v>1</v>
      </c>
      <c r="AX513" s="49">
        <f t="shared" si="322"/>
        <v>0</v>
      </c>
      <c r="AY513" s="49">
        <f t="shared" si="323"/>
        <v>0</v>
      </c>
      <c r="AZ513" s="49">
        <f t="shared" si="324"/>
        <v>0</v>
      </c>
      <c r="BA513" s="49">
        <f t="shared" si="325"/>
        <v>1</v>
      </c>
      <c r="BB513" s="49">
        <f t="shared" si="326"/>
        <v>0</v>
      </c>
      <c r="BC513" s="49">
        <f t="shared" si="327"/>
        <v>0</v>
      </c>
      <c r="BD513" s="49">
        <f t="shared" si="328"/>
        <v>0</v>
      </c>
      <c r="BE513" s="49">
        <f t="shared" si="329"/>
        <v>1</v>
      </c>
      <c r="BF513" s="49">
        <f t="shared" si="330"/>
        <v>0</v>
      </c>
      <c r="BG513" s="49">
        <f t="shared" si="331"/>
        <v>0</v>
      </c>
      <c r="BH513" s="49">
        <f t="shared" si="332"/>
        <v>0</v>
      </c>
      <c r="BI513" s="49">
        <f t="shared" si="333"/>
        <v>1</v>
      </c>
      <c r="BJ513" s="49">
        <f t="shared" si="334"/>
        <v>0</v>
      </c>
      <c r="BK513" s="49">
        <f t="shared" si="335"/>
        <v>0</v>
      </c>
      <c r="BL513" s="49">
        <f t="shared" si="336"/>
        <v>1</v>
      </c>
      <c r="BM513" s="49">
        <f t="shared" si="337"/>
        <v>0</v>
      </c>
      <c r="BN513" s="49">
        <f t="shared" si="338"/>
        <v>0</v>
      </c>
      <c r="BO513" s="49">
        <f t="shared" si="339"/>
        <v>0</v>
      </c>
      <c r="BP513" s="49">
        <f t="shared" si="340"/>
        <v>0</v>
      </c>
      <c r="BQ513" s="49">
        <f t="shared" si="341"/>
        <v>1</v>
      </c>
      <c r="BR513" s="49">
        <f t="shared" si="342"/>
        <v>0</v>
      </c>
      <c r="BS513" s="49">
        <f t="shared" si="343"/>
        <v>0</v>
      </c>
      <c r="BT513" s="49">
        <f t="shared" si="344"/>
        <v>1</v>
      </c>
      <c r="BU513" s="49">
        <f t="shared" si="345"/>
        <v>0</v>
      </c>
      <c r="BV513" s="49">
        <f t="shared" si="346"/>
        <v>0</v>
      </c>
      <c r="BW513" s="49">
        <f t="shared" si="347"/>
        <v>0</v>
      </c>
      <c r="BX513" s="49">
        <f t="shared" si="348"/>
        <v>0</v>
      </c>
      <c r="BY513" s="49">
        <f t="shared" si="349"/>
        <v>1</v>
      </c>
      <c r="BZ513" s="49">
        <f t="shared" si="350"/>
        <v>0</v>
      </c>
      <c r="CA513" s="49">
        <f t="shared" si="351"/>
        <v>0</v>
      </c>
      <c r="CB513" s="49">
        <f t="shared" si="352"/>
        <v>1</v>
      </c>
      <c r="CC513" s="49">
        <f t="shared" si="353"/>
        <v>0</v>
      </c>
      <c r="CD513" s="49">
        <f t="shared" si="354"/>
        <v>0</v>
      </c>
      <c r="CE513" s="49">
        <f t="shared" si="355"/>
        <v>0</v>
      </c>
    </row>
    <row r="514" spans="1:83" ht="35.1" customHeight="1" x14ac:dyDescent="0.3">
      <c r="A514" s="123" t="str">
        <f t="shared" si="280"/>
        <v>4팀</v>
      </c>
      <c r="B514" s="69">
        <f t="shared" si="281"/>
        <v>508</v>
      </c>
      <c r="C514" s="120" t="str">
        <f>IF(VLOOKUP($B514,'1. 현장별 인원현황'!$C:$J,2,0)=0,"",VLOOKUP($B514,'1. 현장별 인원현황'!$C:$J,2,0))</f>
        <v xml:space="preserve"> [4.롯데건설] 롯데바이오로직스 Project PROVIDENCE</v>
      </c>
      <c r="D514" s="70" t="str">
        <f>IF(VLOOKUP($B514,'1. 현장별 인원현황'!$C:$J,3,0)=0,"",VLOOKUP($B514,'1. 현장별 인원현황'!$C:$J,3,0))</f>
        <v>한정훈</v>
      </c>
      <c r="E514" s="74" t="str">
        <f ca="1">IF(VLOOKUP($B514,'1. 현장별 인원현황'!$C:$J,4,0)=0,"",VLOOKUP($B514,'1. 현장별 인원현황'!$C:$J,4,0))</f>
        <v>54세</v>
      </c>
      <c r="F514" s="70" t="str">
        <f>IF(VLOOKUP($B514,'1. 현장별 인원현황'!$C:$J,7,0)=0,"",VLOOKUP($B514,'1. 현장별 인원현황'!$C:$J,7,0))</f>
        <v>기능공</v>
      </c>
      <c r="G514" s="72" t="str">
        <f>IF(VLOOKUP($B514,'1. 현장별 인원현황'!$C:$J,8,0)=0,"",VLOOKUP($B514,'1. 현장별 인원현황'!$C:$J,8,0))</f>
        <v>전공</v>
      </c>
      <c r="H514" s="67"/>
      <c r="I514" s="73" t="s">
        <v>69</v>
      </c>
      <c r="J514" s="73"/>
      <c r="K514" s="68"/>
      <c r="L514" s="67"/>
      <c r="M514" s="73" t="s">
        <v>69</v>
      </c>
      <c r="N514" s="73"/>
      <c r="O514" s="68"/>
      <c r="P514" s="67"/>
      <c r="Q514" s="73" t="s">
        <v>69</v>
      </c>
      <c r="R514" s="73"/>
      <c r="S514" s="68"/>
      <c r="T514" s="67"/>
      <c r="U514" s="73" t="s">
        <v>69</v>
      </c>
      <c r="V514" s="73"/>
      <c r="W514" s="68"/>
      <c r="X514" s="67" t="s">
        <v>69</v>
      </c>
      <c r="Y514" s="73"/>
      <c r="Z514" s="73"/>
      <c r="AA514" s="68"/>
      <c r="AB514" s="67"/>
      <c r="AC514" s="73" t="s">
        <v>69</v>
      </c>
      <c r="AD514" s="73"/>
      <c r="AE514" s="68"/>
      <c r="AF514" s="67"/>
      <c r="AG514" s="73" t="s">
        <v>69</v>
      </c>
      <c r="AH514" s="73"/>
      <c r="AI514" s="68"/>
      <c r="AJ514" s="67"/>
      <c r="AK514" s="73" t="s">
        <v>69</v>
      </c>
      <c r="AL514" s="73"/>
      <c r="AM514" s="68"/>
      <c r="AN514" s="73" t="s">
        <v>69</v>
      </c>
      <c r="AO514" s="73"/>
      <c r="AP514" s="73"/>
      <c r="AQ514" s="68"/>
      <c r="AR514" s="67">
        <f t="shared" si="282"/>
        <v>82</v>
      </c>
      <c r="AS514" s="68" t="str">
        <f t="shared" si="283"/>
        <v>A</v>
      </c>
      <c r="AV514" s="49">
        <f t="shared" si="320"/>
        <v>0</v>
      </c>
      <c r="AW514" s="49">
        <f t="shared" si="321"/>
        <v>1</v>
      </c>
      <c r="AX514" s="49">
        <f t="shared" si="322"/>
        <v>0</v>
      </c>
      <c r="AY514" s="49">
        <f t="shared" si="323"/>
        <v>0</v>
      </c>
      <c r="AZ514" s="49">
        <f t="shared" si="324"/>
        <v>0</v>
      </c>
      <c r="BA514" s="49">
        <f t="shared" si="325"/>
        <v>1</v>
      </c>
      <c r="BB514" s="49">
        <f t="shared" si="326"/>
        <v>0</v>
      </c>
      <c r="BC514" s="49">
        <f t="shared" si="327"/>
        <v>0</v>
      </c>
      <c r="BD514" s="49">
        <f t="shared" si="328"/>
        <v>0</v>
      </c>
      <c r="BE514" s="49">
        <f t="shared" si="329"/>
        <v>1</v>
      </c>
      <c r="BF514" s="49">
        <f t="shared" si="330"/>
        <v>0</v>
      </c>
      <c r="BG514" s="49">
        <f t="shared" si="331"/>
        <v>0</v>
      </c>
      <c r="BH514" s="49">
        <f t="shared" si="332"/>
        <v>0</v>
      </c>
      <c r="BI514" s="49">
        <f t="shared" si="333"/>
        <v>1</v>
      </c>
      <c r="BJ514" s="49">
        <f t="shared" si="334"/>
        <v>0</v>
      </c>
      <c r="BK514" s="49">
        <f t="shared" si="335"/>
        <v>0</v>
      </c>
      <c r="BL514" s="49">
        <f t="shared" si="336"/>
        <v>1</v>
      </c>
      <c r="BM514" s="49">
        <f t="shared" si="337"/>
        <v>0</v>
      </c>
      <c r="BN514" s="49">
        <f t="shared" si="338"/>
        <v>0</v>
      </c>
      <c r="BO514" s="49">
        <f t="shared" si="339"/>
        <v>0</v>
      </c>
      <c r="BP514" s="49">
        <f t="shared" si="340"/>
        <v>0</v>
      </c>
      <c r="BQ514" s="49">
        <f t="shared" si="341"/>
        <v>1</v>
      </c>
      <c r="BR514" s="49">
        <f t="shared" si="342"/>
        <v>0</v>
      </c>
      <c r="BS514" s="49">
        <f t="shared" si="343"/>
        <v>0</v>
      </c>
      <c r="BT514" s="49">
        <f t="shared" si="344"/>
        <v>0</v>
      </c>
      <c r="BU514" s="49">
        <f t="shared" si="345"/>
        <v>1</v>
      </c>
      <c r="BV514" s="49">
        <f t="shared" si="346"/>
        <v>0</v>
      </c>
      <c r="BW514" s="49">
        <f t="shared" si="347"/>
        <v>0</v>
      </c>
      <c r="BX514" s="49">
        <f t="shared" si="348"/>
        <v>0</v>
      </c>
      <c r="BY514" s="49">
        <f t="shared" si="349"/>
        <v>1</v>
      </c>
      <c r="BZ514" s="49">
        <f t="shared" si="350"/>
        <v>0</v>
      </c>
      <c r="CA514" s="49">
        <f t="shared" si="351"/>
        <v>0</v>
      </c>
      <c r="CB514" s="49">
        <f t="shared" si="352"/>
        <v>1</v>
      </c>
      <c r="CC514" s="49">
        <f t="shared" si="353"/>
        <v>0</v>
      </c>
      <c r="CD514" s="49">
        <f t="shared" si="354"/>
        <v>0</v>
      </c>
      <c r="CE514" s="49">
        <f t="shared" si="355"/>
        <v>0</v>
      </c>
    </row>
    <row r="515" spans="1:83" ht="35.1" customHeight="1" x14ac:dyDescent="0.3">
      <c r="A515" s="123" t="str">
        <f t="shared" si="280"/>
        <v>4팀</v>
      </c>
      <c r="B515" s="69">
        <f t="shared" si="281"/>
        <v>509</v>
      </c>
      <c r="C515" s="120" t="str">
        <f>IF(VLOOKUP($B515,'1. 현장별 인원현황'!$C:$J,2,0)=0,"",VLOOKUP($B515,'1. 현장별 인원현황'!$C:$J,2,0))</f>
        <v xml:space="preserve"> [4.롯데건설] 롯데바이오로직스 Project PROVIDENCE</v>
      </c>
      <c r="D515" s="70" t="str">
        <f>IF(VLOOKUP($B515,'1. 현장별 인원현황'!$C:$J,3,0)=0,"",VLOOKUP($B515,'1. 현장별 인원현황'!$C:$J,3,0))</f>
        <v>신동훈</v>
      </c>
      <c r="E515" s="74" t="str">
        <f ca="1">IF(VLOOKUP($B515,'1. 현장별 인원현황'!$C:$J,4,0)=0,"",VLOOKUP($B515,'1. 현장별 인원현황'!$C:$J,4,0))</f>
        <v>47세</v>
      </c>
      <c r="F515" s="70" t="str">
        <f>IF(VLOOKUP($B515,'1. 현장별 인원현황'!$C:$J,7,0)=0,"",VLOOKUP($B515,'1. 현장별 인원현황'!$C:$J,7,0))</f>
        <v>기능공</v>
      </c>
      <c r="G515" s="72" t="str">
        <f>IF(VLOOKUP($B515,'1. 현장별 인원현황'!$C:$J,8,0)=0,"",VLOOKUP($B515,'1. 현장별 인원현황'!$C:$J,8,0))</f>
        <v>전공</v>
      </c>
      <c r="H515" s="67"/>
      <c r="I515" s="73" t="s">
        <v>69</v>
      </c>
      <c r="J515" s="73"/>
      <c r="K515" s="68"/>
      <c r="L515" s="67"/>
      <c r="M515" s="73" t="s">
        <v>69</v>
      </c>
      <c r="N515" s="73"/>
      <c r="O515" s="68"/>
      <c r="P515" s="67" t="s">
        <v>69</v>
      </c>
      <c r="Q515" s="73"/>
      <c r="R515" s="73"/>
      <c r="S515" s="68"/>
      <c r="T515" s="67"/>
      <c r="U515" s="73" t="s">
        <v>69</v>
      </c>
      <c r="V515" s="73"/>
      <c r="W515" s="68"/>
      <c r="X515" s="67" t="s">
        <v>69</v>
      </c>
      <c r="Y515" s="73"/>
      <c r="Z515" s="73"/>
      <c r="AA515" s="68"/>
      <c r="AB515" s="67" t="s">
        <v>69</v>
      </c>
      <c r="AC515" s="73"/>
      <c r="AD515" s="73"/>
      <c r="AE515" s="68"/>
      <c r="AF515" s="67"/>
      <c r="AG515" s="73" t="s">
        <v>69</v>
      </c>
      <c r="AH515" s="73"/>
      <c r="AI515" s="68"/>
      <c r="AJ515" s="67"/>
      <c r="AK515" s="73" t="s">
        <v>69</v>
      </c>
      <c r="AL515" s="73"/>
      <c r="AM515" s="68"/>
      <c r="AN515" s="73" t="s">
        <v>69</v>
      </c>
      <c r="AO515" s="73"/>
      <c r="AP515" s="73"/>
      <c r="AQ515" s="68"/>
      <c r="AR515" s="67">
        <f t="shared" si="282"/>
        <v>87</v>
      </c>
      <c r="AS515" s="68" t="str">
        <f t="shared" si="283"/>
        <v>S</v>
      </c>
      <c r="AV515" s="49">
        <f t="shared" si="320"/>
        <v>0</v>
      </c>
      <c r="AW515" s="49">
        <f t="shared" si="321"/>
        <v>1</v>
      </c>
      <c r="AX515" s="49">
        <f t="shared" si="322"/>
        <v>0</v>
      </c>
      <c r="AY515" s="49">
        <f t="shared" si="323"/>
        <v>0</v>
      </c>
      <c r="AZ515" s="49">
        <f t="shared" si="324"/>
        <v>0</v>
      </c>
      <c r="BA515" s="49">
        <f t="shared" si="325"/>
        <v>1</v>
      </c>
      <c r="BB515" s="49">
        <f t="shared" si="326"/>
        <v>0</v>
      </c>
      <c r="BC515" s="49">
        <f t="shared" si="327"/>
        <v>0</v>
      </c>
      <c r="BD515" s="49">
        <f t="shared" si="328"/>
        <v>1</v>
      </c>
      <c r="BE515" s="49">
        <f t="shared" si="329"/>
        <v>0</v>
      </c>
      <c r="BF515" s="49">
        <f t="shared" si="330"/>
        <v>0</v>
      </c>
      <c r="BG515" s="49">
        <f t="shared" si="331"/>
        <v>0</v>
      </c>
      <c r="BH515" s="49">
        <f t="shared" si="332"/>
        <v>0</v>
      </c>
      <c r="BI515" s="49">
        <f t="shared" si="333"/>
        <v>1</v>
      </c>
      <c r="BJ515" s="49">
        <f t="shared" si="334"/>
        <v>0</v>
      </c>
      <c r="BK515" s="49">
        <f t="shared" si="335"/>
        <v>0</v>
      </c>
      <c r="BL515" s="49">
        <f t="shared" si="336"/>
        <v>1</v>
      </c>
      <c r="BM515" s="49">
        <f t="shared" si="337"/>
        <v>0</v>
      </c>
      <c r="BN515" s="49">
        <f t="shared" si="338"/>
        <v>0</v>
      </c>
      <c r="BO515" s="49">
        <f t="shared" si="339"/>
        <v>0</v>
      </c>
      <c r="BP515" s="49">
        <f t="shared" si="340"/>
        <v>1</v>
      </c>
      <c r="BQ515" s="49">
        <f t="shared" si="341"/>
        <v>0</v>
      </c>
      <c r="BR515" s="49">
        <f t="shared" si="342"/>
        <v>0</v>
      </c>
      <c r="BS515" s="49">
        <f t="shared" si="343"/>
        <v>0</v>
      </c>
      <c r="BT515" s="49">
        <f t="shared" si="344"/>
        <v>0</v>
      </c>
      <c r="BU515" s="49">
        <f t="shared" si="345"/>
        <v>1</v>
      </c>
      <c r="BV515" s="49">
        <f t="shared" si="346"/>
        <v>0</v>
      </c>
      <c r="BW515" s="49">
        <f t="shared" si="347"/>
        <v>0</v>
      </c>
      <c r="BX515" s="49">
        <f t="shared" si="348"/>
        <v>0</v>
      </c>
      <c r="BY515" s="49">
        <f t="shared" si="349"/>
        <v>1</v>
      </c>
      <c r="BZ515" s="49">
        <f t="shared" si="350"/>
        <v>0</v>
      </c>
      <c r="CA515" s="49">
        <f t="shared" si="351"/>
        <v>0</v>
      </c>
      <c r="CB515" s="49">
        <f t="shared" si="352"/>
        <v>1</v>
      </c>
      <c r="CC515" s="49">
        <f t="shared" si="353"/>
        <v>0</v>
      </c>
      <c r="CD515" s="49">
        <f t="shared" si="354"/>
        <v>0</v>
      </c>
      <c r="CE515" s="49">
        <f t="shared" si="355"/>
        <v>0</v>
      </c>
    </row>
    <row r="516" spans="1:83" ht="35.1" customHeight="1" x14ac:dyDescent="0.3">
      <c r="A516" s="123" t="str">
        <f t="shared" si="280"/>
        <v>4팀</v>
      </c>
      <c r="B516" s="69">
        <f t="shared" si="281"/>
        <v>510</v>
      </c>
      <c r="C516" s="120" t="str">
        <f>IF(VLOOKUP($B516,'1. 현장별 인원현황'!$C:$J,2,0)=0,"",VLOOKUP($B516,'1. 현장별 인원현황'!$C:$J,2,0))</f>
        <v xml:space="preserve"> [4.롯데건설] 롯데바이오로직스 Project PROVIDENCE</v>
      </c>
      <c r="D516" s="70" t="str">
        <f>IF(VLOOKUP($B516,'1. 현장별 인원현황'!$C:$J,3,0)=0,"",VLOOKUP($B516,'1. 현장별 인원현황'!$C:$J,3,0))</f>
        <v>김태형</v>
      </c>
      <c r="E516" s="74" t="str">
        <f ca="1">IF(VLOOKUP($B516,'1. 현장별 인원현황'!$C:$J,4,0)=0,"",VLOOKUP($B516,'1. 현장별 인원현황'!$C:$J,4,0))</f>
        <v>42세</v>
      </c>
      <c r="F516" s="70" t="str">
        <f>IF(VLOOKUP($B516,'1. 현장별 인원현황'!$C:$J,7,0)=0,"",VLOOKUP($B516,'1. 현장별 인원현황'!$C:$J,7,0))</f>
        <v>기능공</v>
      </c>
      <c r="G516" s="72" t="str">
        <f>IF(VLOOKUP($B516,'1. 현장별 인원현황'!$C:$J,8,0)=0,"",VLOOKUP($B516,'1. 현장별 인원현황'!$C:$J,8,0))</f>
        <v>전공</v>
      </c>
      <c r="H516" s="67"/>
      <c r="I516" s="73" t="s">
        <v>69</v>
      </c>
      <c r="J516" s="73"/>
      <c r="K516" s="68"/>
      <c r="L516" s="67"/>
      <c r="M516" s="73" t="s">
        <v>69</v>
      </c>
      <c r="N516" s="73"/>
      <c r="O516" s="68"/>
      <c r="P516" s="67"/>
      <c r="Q516" s="73" t="s">
        <v>69</v>
      </c>
      <c r="R516" s="73"/>
      <c r="S516" s="68"/>
      <c r="T516" s="67"/>
      <c r="U516" s="73" t="s">
        <v>69</v>
      </c>
      <c r="V516" s="73"/>
      <c r="W516" s="68"/>
      <c r="X516" s="67" t="s">
        <v>69</v>
      </c>
      <c r="Y516" s="73"/>
      <c r="Z516" s="73"/>
      <c r="AA516" s="68"/>
      <c r="AB516" s="67"/>
      <c r="AC516" s="73" t="s">
        <v>69</v>
      </c>
      <c r="AD516" s="73"/>
      <c r="AE516" s="68"/>
      <c r="AF516" s="67"/>
      <c r="AG516" s="73" t="s">
        <v>69</v>
      </c>
      <c r="AH516" s="73"/>
      <c r="AI516" s="68"/>
      <c r="AJ516" s="67"/>
      <c r="AK516" s="73" t="s">
        <v>69</v>
      </c>
      <c r="AL516" s="73"/>
      <c r="AM516" s="68"/>
      <c r="AN516" s="73" t="s">
        <v>69</v>
      </c>
      <c r="AO516" s="73"/>
      <c r="AP516" s="73"/>
      <c r="AQ516" s="68"/>
      <c r="AR516" s="67">
        <f t="shared" si="282"/>
        <v>82</v>
      </c>
      <c r="AS516" s="68" t="str">
        <f t="shared" si="283"/>
        <v>A</v>
      </c>
      <c r="AV516" s="49">
        <f t="shared" si="320"/>
        <v>0</v>
      </c>
      <c r="AW516" s="49">
        <f t="shared" si="321"/>
        <v>1</v>
      </c>
      <c r="AX516" s="49">
        <f t="shared" si="322"/>
        <v>0</v>
      </c>
      <c r="AY516" s="49">
        <f t="shared" si="323"/>
        <v>0</v>
      </c>
      <c r="AZ516" s="49">
        <f t="shared" si="324"/>
        <v>0</v>
      </c>
      <c r="BA516" s="49">
        <f t="shared" si="325"/>
        <v>1</v>
      </c>
      <c r="BB516" s="49">
        <f t="shared" si="326"/>
        <v>0</v>
      </c>
      <c r="BC516" s="49">
        <f t="shared" si="327"/>
        <v>0</v>
      </c>
      <c r="BD516" s="49">
        <f t="shared" si="328"/>
        <v>0</v>
      </c>
      <c r="BE516" s="49">
        <f t="shared" si="329"/>
        <v>1</v>
      </c>
      <c r="BF516" s="49">
        <f t="shared" si="330"/>
        <v>0</v>
      </c>
      <c r="BG516" s="49">
        <f t="shared" si="331"/>
        <v>0</v>
      </c>
      <c r="BH516" s="49">
        <f t="shared" si="332"/>
        <v>0</v>
      </c>
      <c r="BI516" s="49">
        <f t="shared" si="333"/>
        <v>1</v>
      </c>
      <c r="BJ516" s="49">
        <f t="shared" si="334"/>
        <v>0</v>
      </c>
      <c r="BK516" s="49">
        <f t="shared" si="335"/>
        <v>0</v>
      </c>
      <c r="BL516" s="49">
        <f t="shared" si="336"/>
        <v>1</v>
      </c>
      <c r="BM516" s="49">
        <f t="shared" si="337"/>
        <v>0</v>
      </c>
      <c r="BN516" s="49">
        <f t="shared" si="338"/>
        <v>0</v>
      </c>
      <c r="BO516" s="49">
        <f t="shared" si="339"/>
        <v>0</v>
      </c>
      <c r="BP516" s="49">
        <f t="shared" si="340"/>
        <v>0</v>
      </c>
      <c r="BQ516" s="49">
        <f t="shared" si="341"/>
        <v>1</v>
      </c>
      <c r="BR516" s="49">
        <f t="shared" si="342"/>
        <v>0</v>
      </c>
      <c r="BS516" s="49">
        <f t="shared" si="343"/>
        <v>0</v>
      </c>
      <c r="BT516" s="49">
        <f t="shared" si="344"/>
        <v>0</v>
      </c>
      <c r="BU516" s="49">
        <f t="shared" si="345"/>
        <v>1</v>
      </c>
      <c r="BV516" s="49">
        <f t="shared" si="346"/>
        <v>0</v>
      </c>
      <c r="BW516" s="49">
        <f t="shared" si="347"/>
        <v>0</v>
      </c>
      <c r="BX516" s="49">
        <f t="shared" si="348"/>
        <v>0</v>
      </c>
      <c r="BY516" s="49">
        <f t="shared" si="349"/>
        <v>1</v>
      </c>
      <c r="BZ516" s="49">
        <f t="shared" si="350"/>
        <v>0</v>
      </c>
      <c r="CA516" s="49">
        <f t="shared" si="351"/>
        <v>0</v>
      </c>
      <c r="CB516" s="49">
        <f t="shared" si="352"/>
        <v>1</v>
      </c>
      <c r="CC516" s="49">
        <f t="shared" si="353"/>
        <v>0</v>
      </c>
      <c r="CD516" s="49">
        <f t="shared" si="354"/>
        <v>0</v>
      </c>
      <c r="CE516" s="49">
        <f t="shared" si="355"/>
        <v>0</v>
      </c>
    </row>
    <row r="517" spans="1:83" ht="35.1" customHeight="1" x14ac:dyDescent="0.3">
      <c r="A517" s="123" t="str">
        <f t="shared" si="280"/>
        <v>4팀</v>
      </c>
      <c r="B517" s="69">
        <f t="shared" si="281"/>
        <v>511</v>
      </c>
      <c r="C517" s="120" t="str">
        <f>IF(VLOOKUP($B517,'1. 현장별 인원현황'!$C:$J,2,0)=0,"",VLOOKUP($B517,'1. 현장별 인원현황'!$C:$J,2,0))</f>
        <v xml:space="preserve"> [4.롯데건설] 롯데바이오로직스 Project PROVIDENCE</v>
      </c>
      <c r="D517" s="70" t="str">
        <f>IF(VLOOKUP($B517,'1. 현장별 인원현황'!$C:$J,3,0)=0,"",VLOOKUP($B517,'1. 현장별 인원현황'!$C:$J,3,0))</f>
        <v>서준혁</v>
      </c>
      <c r="E517" s="74" t="str">
        <f ca="1">IF(VLOOKUP($B517,'1. 현장별 인원현황'!$C:$J,4,0)=0,"",VLOOKUP($B517,'1. 현장별 인원현황'!$C:$J,4,0))</f>
        <v>26세</v>
      </c>
      <c r="F517" s="70" t="str">
        <f>IF(VLOOKUP($B517,'1. 현장별 인원현황'!$C:$J,7,0)=0,"",VLOOKUP($B517,'1. 현장별 인원현황'!$C:$J,7,0))</f>
        <v>기능공</v>
      </c>
      <c r="G517" s="72" t="str">
        <f>IF(VLOOKUP($B517,'1. 현장별 인원현황'!$C:$J,8,0)=0,"",VLOOKUP($B517,'1. 현장별 인원현황'!$C:$J,8,0))</f>
        <v>전공</v>
      </c>
      <c r="H517" s="67"/>
      <c r="I517" s="73" t="s">
        <v>69</v>
      </c>
      <c r="J517" s="73"/>
      <c r="K517" s="68"/>
      <c r="L517" s="67"/>
      <c r="M517" s="73" t="s">
        <v>69</v>
      </c>
      <c r="N517" s="73"/>
      <c r="O517" s="68"/>
      <c r="P517" s="67"/>
      <c r="Q517" s="73" t="s">
        <v>69</v>
      </c>
      <c r="R517" s="73"/>
      <c r="S517" s="68"/>
      <c r="T517" s="67"/>
      <c r="U517" s="73" t="s">
        <v>69</v>
      </c>
      <c r="V517" s="73"/>
      <c r="W517" s="68"/>
      <c r="X517" s="67" t="s">
        <v>69</v>
      </c>
      <c r="Y517" s="73"/>
      <c r="Z517" s="73"/>
      <c r="AA517" s="68"/>
      <c r="AB517" s="67"/>
      <c r="AC517" s="73" t="s">
        <v>69</v>
      </c>
      <c r="AD517" s="73"/>
      <c r="AE517" s="68"/>
      <c r="AF517" s="67"/>
      <c r="AG517" s="73" t="s">
        <v>69</v>
      </c>
      <c r="AH517" s="73"/>
      <c r="AI517" s="68"/>
      <c r="AJ517" s="67"/>
      <c r="AK517" s="73" t="s">
        <v>69</v>
      </c>
      <c r="AL517" s="73"/>
      <c r="AM517" s="68"/>
      <c r="AN517" s="73" t="s">
        <v>69</v>
      </c>
      <c r="AO517" s="73"/>
      <c r="AP517" s="73"/>
      <c r="AQ517" s="68"/>
      <c r="AR517" s="67">
        <f t="shared" si="282"/>
        <v>82</v>
      </c>
      <c r="AS517" s="68" t="str">
        <f t="shared" si="283"/>
        <v>A</v>
      </c>
      <c r="AV517" s="49">
        <f t="shared" si="320"/>
        <v>0</v>
      </c>
      <c r="AW517" s="49">
        <f t="shared" si="321"/>
        <v>1</v>
      </c>
      <c r="AX517" s="49">
        <f t="shared" si="322"/>
        <v>0</v>
      </c>
      <c r="AY517" s="49">
        <f t="shared" si="323"/>
        <v>0</v>
      </c>
      <c r="AZ517" s="49">
        <f t="shared" si="324"/>
        <v>0</v>
      </c>
      <c r="BA517" s="49">
        <f t="shared" si="325"/>
        <v>1</v>
      </c>
      <c r="BB517" s="49">
        <f t="shared" si="326"/>
        <v>0</v>
      </c>
      <c r="BC517" s="49">
        <f t="shared" si="327"/>
        <v>0</v>
      </c>
      <c r="BD517" s="49">
        <f t="shared" si="328"/>
        <v>0</v>
      </c>
      <c r="BE517" s="49">
        <f t="shared" si="329"/>
        <v>1</v>
      </c>
      <c r="BF517" s="49">
        <f t="shared" si="330"/>
        <v>0</v>
      </c>
      <c r="BG517" s="49">
        <f t="shared" si="331"/>
        <v>0</v>
      </c>
      <c r="BH517" s="49">
        <f t="shared" si="332"/>
        <v>0</v>
      </c>
      <c r="BI517" s="49">
        <f t="shared" si="333"/>
        <v>1</v>
      </c>
      <c r="BJ517" s="49">
        <f t="shared" si="334"/>
        <v>0</v>
      </c>
      <c r="BK517" s="49">
        <f t="shared" si="335"/>
        <v>0</v>
      </c>
      <c r="BL517" s="49">
        <f t="shared" si="336"/>
        <v>1</v>
      </c>
      <c r="BM517" s="49">
        <f t="shared" si="337"/>
        <v>0</v>
      </c>
      <c r="BN517" s="49">
        <f t="shared" si="338"/>
        <v>0</v>
      </c>
      <c r="BO517" s="49">
        <f t="shared" si="339"/>
        <v>0</v>
      </c>
      <c r="BP517" s="49">
        <f t="shared" si="340"/>
        <v>0</v>
      </c>
      <c r="BQ517" s="49">
        <f t="shared" si="341"/>
        <v>1</v>
      </c>
      <c r="BR517" s="49">
        <f t="shared" si="342"/>
        <v>0</v>
      </c>
      <c r="BS517" s="49">
        <f t="shared" si="343"/>
        <v>0</v>
      </c>
      <c r="BT517" s="49">
        <f t="shared" si="344"/>
        <v>0</v>
      </c>
      <c r="BU517" s="49">
        <f t="shared" si="345"/>
        <v>1</v>
      </c>
      <c r="BV517" s="49">
        <f t="shared" si="346"/>
        <v>0</v>
      </c>
      <c r="BW517" s="49">
        <f t="shared" si="347"/>
        <v>0</v>
      </c>
      <c r="BX517" s="49">
        <f t="shared" si="348"/>
        <v>0</v>
      </c>
      <c r="BY517" s="49">
        <f t="shared" si="349"/>
        <v>1</v>
      </c>
      <c r="BZ517" s="49">
        <f t="shared" si="350"/>
        <v>0</v>
      </c>
      <c r="CA517" s="49">
        <f t="shared" si="351"/>
        <v>0</v>
      </c>
      <c r="CB517" s="49">
        <f t="shared" si="352"/>
        <v>1</v>
      </c>
      <c r="CC517" s="49">
        <f t="shared" si="353"/>
        <v>0</v>
      </c>
      <c r="CD517" s="49">
        <f t="shared" si="354"/>
        <v>0</v>
      </c>
      <c r="CE517" s="49">
        <f t="shared" si="355"/>
        <v>0</v>
      </c>
    </row>
    <row r="518" spans="1:83" ht="35.1" customHeight="1" x14ac:dyDescent="0.3">
      <c r="A518" s="123" t="str">
        <f t="shared" si="280"/>
        <v>4팀</v>
      </c>
      <c r="B518" s="69">
        <f t="shared" si="281"/>
        <v>512</v>
      </c>
      <c r="C518" s="120" t="str">
        <f>IF(VLOOKUP($B518,'1. 현장별 인원현황'!$C:$J,2,0)=0,"",VLOOKUP($B518,'1. 현장별 인원현황'!$C:$J,2,0))</f>
        <v xml:space="preserve"> [4.롯데건설] 롯데바이오로직스 Project PROVIDENCE</v>
      </c>
      <c r="D518" s="70" t="str">
        <f>IF(VLOOKUP($B518,'1. 현장별 인원현황'!$C:$J,3,0)=0,"",VLOOKUP($B518,'1. 현장별 인원현황'!$C:$J,3,0))</f>
        <v>신준영</v>
      </c>
      <c r="E518" s="74" t="str">
        <f ca="1">IF(VLOOKUP($B518,'1. 현장별 인원현황'!$C:$J,4,0)=0,"",VLOOKUP($B518,'1. 현장별 인원현황'!$C:$J,4,0))</f>
        <v>42세</v>
      </c>
      <c r="F518" s="70" t="str">
        <f>IF(VLOOKUP($B518,'1. 현장별 인원현황'!$C:$J,7,0)=0,"",VLOOKUP($B518,'1. 현장별 인원현황'!$C:$J,7,0))</f>
        <v>기능공</v>
      </c>
      <c r="G518" s="72" t="str">
        <f>IF(VLOOKUP($B518,'1. 현장별 인원현황'!$C:$J,8,0)=0,"",VLOOKUP($B518,'1. 현장별 인원현황'!$C:$J,8,0))</f>
        <v>전공</v>
      </c>
      <c r="H518" s="67"/>
      <c r="I518" s="73" t="s">
        <v>69</v>
      </c>
      <c r="J518" s="73"/>
      <c r="K518" s="68"/>
      <c r="L518" s="67"/>
      <c r="M518" s="73" t="s">
        <v>69</v>
      </c>
      <c r="N518" s="73"/>
      <c r="O518" s="68"/>
      <c r="P518" s="67"/>
      <c r="Q518" s="73" t="s">
        <v>69</v>
      </c>
      <c r="R518" s="73"/>
      <c r="S518" s="68"/>
      <c r="T518" s="67"/>
      <c r="U518" s="73" t="s">
        <v>69</v>
      </c>
      <c r="V518" s="73"/>
      <c r="W518" s="68"/>
      <c r="X518" s="67" t="s">
        <v>69</v>
      </c>
      <c r="Y518" s="73"/>
      <c r="Z518" s="73"/>
      <c r="AA518" s="68"/>
      <c r="AB518" s="67"/>
      <c r="AC518" s="73" t="s">
        <v>69</v>
      </c>
      <c r="AD518" s="73"/>
      <c r="AE518" s="68"/>
      <c r="AF518" s="67"/>
      <c r="AG518" s="73" t="s">
        <v>69</v>
      </c>
      <c r="AH518" s="73"/>
      <c r="AI518" s="68"/>
      <c r="AJ518" s="67"/>
      <c r="AK518" s="73" t="s">
        <v>69</v>
      </c>
      <c r="AL518" s="73"/>
      <c r="AM518" s="68"/>
      <c r="AN518" s="73" t="s">
        <v>69</v>
      </c>
      <c r="AO518" s="73"/>
      <c r="AP518" s="73"/>
      <c r="AQ518" s="68"/>
      <c r="AR518" s="67">
        <f t="shared" si="282"/>
        <v>82</v>
      </c>
      <c r="AS518" s="68" t="str">
        <f t="shared" si="283"/>
        <v>A</v>
      </c>
      <c r="AV518" s="49">
        <f t="shared" si="320"/>
        <v>0</v>
      </c>
      <c r="AW518" s="49">
        <f t="shared" si="321"/>
        <v>1</v>
      </c>
      <c r="AX518" s="49">
        <f t="shared" si="322"/>
        <v>0</v>
      </c>
      <c r="AY518" s="49">
        <f t="shared" si="323"/>
        <v>0</v>
      </c>
      <c r="AZ518" s="49">
        <f t="shared" si="324"/>
        <v>0</v>
      </c>
      <c r="BA518" s="49">
        <f t="shared" si="325"/>
        <v>1</v>
      </c>
      <c r="BB518" s="49">
        <f t="shared" si="326"/>
        <v>0</v>
      </c>
      <c r="BC518" s="49">
        <f t="shared" si="327"/>
        <v>0</v>
      </c>
      <c r="BD518" s="49">
        <f t="shared" si="328"/>
        <v>0</v>
      </c>
      <c r="BE518" s="49">
        <f t="shared" si="329"/>
        <v>1</v>
      </c>
      <c r="BF518" s="49">
        <f t="shared" si="330"/>
        <v>0</v>
      </c>
      <c r="BG518" s="49">
        <f t="shared" si="331"/>
        <v>0</v>
      </c>
      <c r="BH518" s="49">
        <f t="shared" si="332"/>
        <v>0</v>
      </c>
      <c r="BI518" s="49">
        <f t="shared" si="333"/>
        <v>1</v>
      </c>
      <c r="BJ518" s="49">
        <f t="shared" si="334"/>
        <v>0</v>
      </c>
      <c r="BK518" s="49">
        <f t="shared" si="335"/>
        <v>0</v>
      </c>
      <c r="BL518" s="49">
        <f t="shared" si="336"/>
        <v>1</v>
      </c>
      <c r="BM518" s="49">
        <f t="shared" si="337"/>
        <v>0</v>
      </c>
      <c r="BN518" s="49">
        <f t="shared" si="338"/>
        <v>0</v>
      </c>
      <c r="BO518" s="49">
        <f t="shared" si="339"/>
        <v>0</v>
      </c>
      <c r="BP518" s="49">
        <f t="shared" si="340"/>
        <v>0</v>
      </c>
      <c r="BQ518" s="49">
        <f t="shared" si="341"/>
        <v>1</v>
      </c>
      <c r="BR518" s="49">
        <f t="shared" si="342"/>
        <v>0</v>
      </c>
      <c r="BS518" s="49">
        <f t="shared" si="343"/>
        <v>0</v>
      </c>
      <c r="BT518" s="49">
        <f t="shared" si="344"/>
        <v>0</v>
      </c>
      <c r="BU518" s="49">
        <f t="shared" si="345"/>
        <v>1</v>
      </c>
      <c r="BV518" s="49">
        <f t="shared" si="346"/>
        <v>0</v>
      </c>
      <c r="BW518" s="49">
        <f t="shared" si="347"/>
        <v>0</v>
      </c>
      <c r="BX518" s="49">
        <f t="shared" si="348"/>
        <v>0</v>
      </c>
      <c r="BY518" s="49">
        <f t="shared" si="349"/>
        <v>1</v>
      </c>
      <c r="BZ518" s="49">
        <f t="shared" si="350"/>
        <v>0</v>
      </c>
      <c r="CA518" s="49">
        <f t="shared" si="351"/>
        <v>0</v>
      </c>
      <c r="CB518" s="49">
        <f t="shared" si="352"/>
        <v>1</v>
      </c>
      <c r="CC518" s="49">
        <f t="shared" si="353"/>
        <v>0</v>
      </c>
      <c r="CD518" s="49">
        <f t="shared" si="354"/>
        <v>0</v>
      </c>
      <c r="CE518" s="49">
        <f t="shared" si="355"/>
        <v>0</v>
      </c>
    </row>
    <row r="519" spans="1:83" ht="35.1" customHeight="1" x14ac:dyDescent="0.3">
      <c r="A519" s="123" t="str">
        <f t="shared" ref="A519:A582" si="356">MID(C519,3,1)&amp;"팀"</f>
        <v>4팀</v>
      </c>
      <c r="B519" s="69">
        <f t="shared" ref="B519:B582" si="357">ROW()-6</f>
        <v>513</v>
      </c>
      <c r="C519" s="120" t="str">
        <f>IF(VLOOKUP($B519,'1. 현장별 인원현황'!$C:$J,2,0)=0,"",VLOOKUP($B519,'1. 현장별 인원현황'!$C:$J,2,0))</f>
        <v xml:space="preserve"> [4.롯데건설] 롯데바이오로직스 Project PROVIDENCE</v>
      </c>
      <c r="D519" s="70" t="str">
        <f>IF(VLOOKUP($B519,'1. 현장별 인원현황'!$C:$J,3,0)=0,"",VLOOKUP($B519,'1. 현장별 인원현황'!$C:$J,3,0))</f>
        <v>전인수</v>
      </c>
      <c r="E519" s="74" t="str">
        <f ca="1">IF(VLOOKUP($B519,'1. 현장별 인원현황'!$C:$J,4,0)=0,"",VLOOKUP($B519,'1. 현장별 인원현황'!$C:$J,4,0))</f>
        <v>28세</v>
      </c>
      <c r="F519" s="70" t="str">
        <f>IF(VLOOKUP($B519,'1. 현장별 인원현황'!$C:$J,7,0)=0,"",VLOOKUP($B519,'1. 현장별 인원현황'!$C:$J,7,0))</f>
        <v>기능공</v>
      </c>
      <c r="G519" s="72" t="str">
        <f>IF(VLOOKUP($B519,'1. 현장별 인원현황'!$C:$J,8,0)=0,"",VLOOKUP($B519,'1. 현장별 인원현황'!$C:$J,8,0))</f>
        <v>전공</v>
      </c>
      <c r="H519" s="67"/>
      <c r="I519" s="73"/>
      <c r="J519" s="73" t="s">
        <v>69</v>
      </c>
      <c r="K519" s="68"/>
      <c r="L519" s="67"/>
      <c r="M519" s="73" t="s">
        <v>69</v>
      </c>
      <c r="N519" s="73"/>
      <c r="O519" s="68"/>
      <c r="P519" s="67"/>
      <c r="Q519" s="73" t="s">
        <v>69</v>
      </c>
      <c r="R519" s="73"/>
      <c r="S519" s="68"/>
      <c r="T519" s="67"/>
      <c r="U519" s="73" t="s">
        <v>69</v>
      </c>
      <c r="V519" s="73"/>
      <c r="W519" s="68"/>
      <c r="X519" s="67" t="s">
        <v>69</v>
      </c>
      <c r="Y519" s="73"/>
      <c r="Z519" s="73"/>
      <c r="AA519" s="68"/>
      <c r="AB519" s="67"/>
      <c r="AC519" s="73" t="s">
        <v>69</v>
      </c>
      <c r="AD519" s="73"/>
      <c r="AE519" s="68"/>
      <c r="AF519" s="67"/>
      <c r="AG519" s="73" t="s">
        <v>69</v>
      </c>
      <c r="AH519" s="73"/>
      <c r="AI519" s="68"/>
      <c r="AJ519" s="67"/>
      <c r="AK519" s="73" t="s">
        <v>69</v>
      </c>
      <c r="AL519" s="73"/>
      <c r="AM519" s="68"/>
      <c r="AN519" s="73" t="s">
        <v>69</v>
      </c>
      <c r="AO519" s="73"/>
      <c r="AP519" s="73"/>
      <c r="AQ519" s="68"/>
      <c r="AR519" s="67">
        <f t="shared" ref="AR519:AR582" si="358">SUMPRODUCT($H$5:$AQ$5,AV519:CE519)</f>
        <v>79</v>
      </c>
      <c r="AS519" s="68" t="str">
        <f t="shared" ref="AS519:AS582" si="359">IF(AR519&gt;85,"S",IF(AR519&gt;70,"A",IF(AR519&gt;50,"B",IF(AR519&gt;0,"C",""))))</f>
        <v>A</v>
      </c>
      <c r="AV519" s="49">
        <f t="shared" si="320"/>
        <v>0</v>
      </c>
      <c r="AW519" s="49">
        <f t="shared" si="321"/>
        <v>0</v>
      </c>
      <c r="AX519" s="49">
        <f t="shared" si="322"/>
        <v>1</v>
      </c>
      <c r="AY519" s="49">
        <f t="shared" si="323"/>
        <v>0</v>
      </c>
      <c r="AZ519" s="49">
        <f t="shared" si="324"/>
        <v>0</v>
      </c>
      <c r="BA519" s="49">
        <f t="shared" si="325"/>
        <v>1</v>
      </c>
      <c r="BB519" s="49">
        <f t="shared" si="326"/>
        <v>0</v>
      </c>
      <c r="BC519" s="49">
        <f t="shared" si="327"/>
        <v>0</v>
      </c>
      <c r="BD519" s="49">
        <f t="shared" si="328"/>
        <v>0</v>
      </c>
      <c r="BE519" s="49">
        <f t="shared" si="329"/>
        <v>1</v>
      </c>
      <c r="BF519" s="49">
        <f t="shared" si="330"/>
        <v>0</v>
      </c>
      <c r="BG519" s="49">
        <f t="shared" si="331"/>
        <v>0</v>
      </c>
      <c r="BH519" s="49">
        <f t="shared" si="332"/>
        <v>0</v>
      </c>
      <c r="BI519" s="49">
        <f t="shared" si="333"/>
        <v>1</v>
      </c>
      <c r="BJ519" s="49">
        <f t="shared" si="334"/>
        <v>0</v>
      </c>
      <c r="BK519" s="49">
        <f t="shared" si="335"/>
        <v>0</v>
      </c>
      <c r="BL519" s="49">
        <f t="shared" si="336"/>
        <v>1</v>
      </c>
      <c r="BM519" s="49">
        <f t="shared" si="337"/>
        <v>0</v>
      </c>
      <c r="BN519" s="49">
        <f t="shared" si="338"/>
        <v>0</v>
      </c>
      <c r="BO519" s="49">
        <f t="shared" si="339"/>
        <v>0</v>
      </c>
      <c r="BP519" s="49">
        <f t="shared" si="340"/>
        <v>0</v>
      </c>
      <c r="BQ519" s="49">
        <f t="shared" si="341"/>
        <v>1</v>
      </c>
      <c r="BR519" s="49">
        <f t="shared" si="342"/>
        <v>0</v>
      </c>
      <c r="BS519" s="49">
        <f t="shared" si="343"/>
        <v>0</v>
      </c>
      <c r="BT519" s="49">
        <f t="shared" si="344"/>
        <v>0</v>
      </c>
      <c r="BU519" s="49">
        <f t="shared" si="345"/>
        <v>1</v>
      </c>
      <c r="BV519" s="49">
        <f t="shared" si="346"/>
        <v>0</v>
      </c>
      <c r="BW519" s="49">
        <f t="shared" si="347"/>
        <v>0</v>
      </c>
      <c r="BX519" s="49">
        <f t="shared" si="348"/>
        <v>0</v>
      </c>
      <c r="BY519" s="49">
        <f t="shared" si="349"/>
        <v>1</v>
      </c>
      <c r="BZ519" s="49">
        <f t="shared" si="350"/>
        <v>0</v>
      </c>
      <c r="CA519" s="49">
        <f t="shared" si="351"/>
        <v>0</v>
      </c>
      <c r="CB519" s="49">
        <f t="shared" si="352"/>
        <v>1</v>
      </c>
      <c r="CC519" s="49">
        <f t="shared" si="353"/>
        <v>0</v>
      </c>
      <c r="CD519" s="49">
        <f t="shared" si="354"/>
        <v>0</v>
      </c>
      <c r="CE519" s="49">
        <f t="shared" si="355"/>
        <v>0</v>
      </c>
    </row>
    <row r="520" spans="1:83" ht="35.1" customHeight="1" x14ac:dyDescent="0.3">
      <c r="A520" s="123" t="str">
        <f t="shared" si="356"/>
        <v>4팀</v>
      </c>
      <c r="B520" s="69">
        <f t="shared" si="357"/>
        <v>514</v>
      </c>
      <c r="C520" s="120" t="str">
        <f>IF(VLOOKUP($B520,'1. 현장별 인원현황'!$C:$J,2,0)=0,"",VLOOKUP($B520,'1. 현장별 인원현황'!$C:$J,2,0))</f>
        <v xml:space="preserve"> [4.롯데건설] 롯데바이오로직스 Project PROVIDENCE</v>
      </c>
      <c r="D520" s="70" t="str">
        <f>IF(VLOOKUP($B520,'1. 현장별 인원현황'!$C:$J,3,0)=0,"",VLOOKUP($B520,'1. 현장별 인원현황'!$C:$J,3,0))</f>
        <v>유정수</v>
      </c>
      <c r="E520" s="74" t="str">
        <f ca="1">IF(VLOOKUP($B520,'1. 현장별 인원현황'!$C:$J,4,0)=0,"",VLOOKUP($B520,'1. 현장별 인원현황'!$C:$J,4,0))</f>
        <v>61세</v>
      </c>
      <c r="F520" s="70" t="str">
        <f>IF(VLOOKUP($B520,'1. 현장별 인원현황'!$C:$J,7,0)=0,"",VLOOKUP($B520,'1. 현장별 인원현황'!$C:$J,7,0))</f>
        <v>기능공</v>
      </c>
      <c r="G520" s="72" t="str">
        <f>IF(VLOOKUP($B520,'1. 현장별 인원현황'!$C:$J,8,0)=0,"",VLOOKUP($B520,'1. 현장별 인원현황'!$C:$J,8,0))</f>
        <v>전공</v>
      </c>
      <c r="H520" s="67"/>
      <c r="I520" s="73" t="s">
        <v>69</v>
      </c>
      <c r="J520" s="73"/>
      <c r="K520" s="68"/>
      <c r="L520" s="67"/>
      <c r="M520" s="73" t="s">
        <v>69</v>
      </c>
      <c r="N520" s="73"/>
      <c r="O520" s="68"/>
      <c r="P520" s="67" t="s">
        <v>69</v>
      </c>
      <c r="Q520" s="73"/>
      <c r="R520" s="73"/>
      <c r="S520" s="68"/>
      <c r="T520" s="67"/>
      <c r="U520" s="73" t="s">
        <v>69</v>
      </c>
      <c r="V520" s="73"/>
      <c r="W520" s="68"/>
      <c r="X520" s="67" t="s">
        <v>69</v>
      </c>
      <c r="Y520" s="73"/>
      <c r="Z520" s="73"/>
      <c r="AA520" s="68"/>
      <c r="AB520" s="67"/>
      <c r="AC520" s="73" t="s">
        <v>69</v>
      </c>
      <c r="AD520" s="73"/>
      <c r="AE520" s="68"/>
      <c r="AF520" s="67" t="s">
        <v>69</v>
      </c>
      <c r="AG520" s="73"/>
      <c r="AH520" s="73"/>
      <c r="AI520" s="68"/>
      <c r="AJ520" s="67"/>
      <c r="AK520" s="73" t="s">
        <v>69</v>
      </c>
      <c r="AL520" s="73"/>
      <c r="AM520" s="68"/>
      <c r="AN520" s="73" t="s">
        <v>69</v>
      </c>
      <c r="AO520" s="73"/>
      <c r="AP520" s="73"/>
      <c r="AQ520" s="68"/>
      <c r="AR520" s="67">
        <f t="shared" si="358"/>
        <v>87</v>
      </c>
      <c r="AS520" s="68" t="str">
        <f t="shared" si="359"/>
        <v>S</v>
      </c>
      <c r="AV520" s="49">
        <f t="shared" si="320"/>
        <v>0</v>
      </c>
      <c r="AW520" s="49">
        <f t="shared" si="321"/>
        <v>1</v>
      </c>
      <c r="AX520" s="49">
        <f t="shared" si="322"/>
        <v>0</v>
      </c>
      <c r="AY520" s="49">
        <f t="shared" si="323"/>
        <v>0</v>
      </c>
      <c r="AZ520" s="49">
        <f t="shared" si="324"/>
        <v>0</v>
      </c>
      <c r="BA520" s="49">
        <f t="shared" si="325"/>
        <v>1</v>
      </c>
      <c r="BB520" s="49">
        <f t="shared" si="326"/>
        <v>0</v>
      </c>
      <c r="BC520" s="49">
        <f t="shared" si="327"/>
        <v>0</v>
      </c>
      <c r="BD520" s="49">
        <f t="shared" si="328"/>
        <v>1</v>
      </c>
      <c r="BE520" s="49">
        <f t="shared" si="329"/>
        <v>0</v>
      </c>
      <c r="BF520" s="49">
        <f t="shared" si="330"/>
        <v>0</v>
      </c>
      <c r="BG520" s="49">
        <f t="shared" si="331"/>
        <v>0</v>
      </c>
      <c r="BH520" s="49">
        <f t="shared" si="332"/>
        <v>0</v>
      </c>
      <c r="BI520" s="49">
        <f t="shared" si="333"/>
        <v>1</v>
      </c>
      <c r="BJ520" s="49">
        <f t="shared" si="334"/>
        <v>0</v>
      </c>
      <c r="BK520" s="49">
        <f t="shared" si="335"/>
        <v>0</v>
      </c>
      <c r="BL520" s="49">
        <f t="shared" si="336"/>
        <v>1</v>
      </c>
      <c r="BM520" s="49">
        <f t="shared" si="337"/>
        <v>0</v>
      </c>
      <c r="BN520" s="49">
        <f t="shared" si="338"/>
        <v>0</v>
      </c>
      <c r="BO520" s="49">
        <f t="shared" si="339"/>
        <v>0</v>
      </c>
      <c r="BP520" s="49">
        <f t="shared" si="340"/>
        <v>0</v>
      </c>
      <c r="BQ520" s="49">
        <f t="shared" si="341"/>
        <v>1</v>
      </c>
      <c r="BR520" s="49">
        <f t="shared" si="342"/>
        <v>0</v>
      </c>
      <c r="BS520" s="49">
        <f t="shared" si="343"/>
        <v>0</v>
      </c>
      <c r="BT520" s="49">
        <f t="shared" si="344"/>
        <v>1</v>
      </c>
      <c r="BU520" s="49">
        <f t="shared" si="345"/>
        <v>0</v>
      </c>
      <c r="BV520" s="49">
        <f t="shared" si="346"/>
        <v>0</v>
      </c>
      <c r="BW520" s="49">
        <f t="shared" si="347"/>
        <v>0</v>
      </c>
      <c r="BX520" s="49">
        <f t="shared" si="348"/>
        <v>0</v>
      </c>
      <c r="BY520" s="49">
        <f t="shared" si="349"/>
        <v>1</v>
      </c>
      <c r="BZ520" s="49">
        <f t="shared" si="350"/>
        <v>0</v>
      </c>
      <c r="CA520" s="49">
        <f t="shared" si="351"/>
        <v>0</v>
      </c>
      <c r="CB520" s="49">
        <f t="shared" si="352"/>
        <v>1</v>
      </c>
      <c r="CC520" s="49">
        <f t="shared" si="353"/>
        <v>0</v>
      </c>
      <c r="CD520" s="49">
        <f t="shared" si="354"/>
        <v>0</v>
      </c>
      <c r="CE520" s="49">
        <f t="shared" si="355"/>
        <v>0</v>
      </c>
    </row>
    <row r="521" spans="1:83" ht="35.1" customHeight="1" x14ac:dyDescent="0.3">
      <c r="A521" s="123" t="str">
        <f t="shared" si="356"/>
        <v>4팀</v>
      </c>
      <c r="B521" s="69">
        <f t="shared" si="357"/>
        <v>515</v>
      </c>
      <c r="C521" s="120" t="str">
        <f>IF(VLOOKUP($B521,'1. 현장별 인원현황'!$C:$J,2,0)=0,"",VLOOKUP($B521,'1. 현장별 인원현황'!$C:$J,2,0))</f>
        <v xml:space="preserve"> [4.롯데건설] 롯데바이오로직스 Project PROVIDENCE</v>
      </c>
      <c r="D521" s="70" t="str">
        <f>IF(VLOOKUP($B521,'1. 현장별 인원현황'!$C:$J,3,0)=0,"",VLOOKUP($B521,'1. 현장별 인원현황'!$C:$J,3,0))</f>
        <v>유성호</v>
      </c>
      <c r="E521" s="74" t="str">
        <f ca="1">IF(VLOOKUP($B521,'1. 현장별 인원현황'!$C:$J,4,0)=0,"",VLOOKUP($B521,'1. 현장별 인원현황'!$C:$J,4,0))</f>
        <v>35세</v>
      </c>
      <c r="F521" s="70" t="str">
        <f>IF(VLOOKUP($B521,'1. 현장별 인원현황'!$C:$J,7,0)=0,"",VLOOKUP($B521,'1. 현장별 인원현황'!$C:$J,7,0))</f>
        <v>기능공</v>
      </c>
      <c r="G521" s="72" t="str">
        <f>IF(VLOOKUP($B521,'1. 현장별 인원현황'!$C:$J,8,0)=0,"",VLOOKUP($B521,'1. 현장별 인원현황'!$C:$J,8,0))</f>
        <v>전공</v>
      </c>
      <c r="H521" s="67"/>
      <c r="I521" s="73"/>
      <c r="J521" s="73" t="s">
        <v>69</v>
      </c>
      <c r="K521" s="68"/>
      <c r="L521" s="67"/>
      <c r="M521" s="73" t="s">
        <v>69</v>
      </c>
      <c r="N521" s="73"/>
      <c r="O521" s="68"/>
      <c r="P521" s="67"/>
      <c r="Q521" s="73" t="s">
        <v>69</v>
      </c>
      <c r="R521" s="73"/>
      <c r="S521" s="68"/>
      <c r="T521" s="67"/>
      <c r="U521" s="73" t="s">
        <v>69</v>
      </c>
      <c r="V521" s="73"/>
      <c r="W521" s="68"/>
      <c r="X521" s="67" t="s">
        <v>69</v>
      </c>
      <c r="Y521" s="73"/>
      <c r="Z521" s="73"/>
      <c r="AA521" s="68"/>
      <c r="AB521" s="67"/>
      <c r="AC521" s="73" t="s">
        <v>69</v>
      </c>
      <c r="AD521" s="73"/>
      <c r="AE521" s="68"/>
      <c r="AF521" s="67"/>
      <c r="AG521" s="73" t="s">
        <v>69</v>
      </c>
      <c r="AH521" s="73"/>
      <c r="AI521" s="68"/>
      <c r="AJ521" s="67"/>
      <c r="AK521" s="73" t="s">
        <v>69</v>
      </c>
      <c r="AL521" s="73"/>
      <c r="AM521" s="68"/>
      <c r="AN521" s="73"/>
      <c r="AO521" s="73" t="s">
        <v>69</v>
      </c>
      <c r="AP521" s="73"/>
      <c r="AQ521" s="68"/>
      <c r="AR521" s="67">
        <f t="shared" si="358"/>
        <v>76</v>
      </c>
      <c r="AS521" s="68" t="str">
        <f t="shared" si="359"/>
        <v>A</v>
      </c>
      <c r="AV521" s="49">
        <f t="shared" si="320"/>
        <v>0</v>
      </c>
      <c r="AW521" s="49">
        <f t="shared" si="321"/>
        <v>0</v>
      </c>
      <c r="AX521" s="49">
        <f t="shared" si="322"/>
        <v>1</v>
      </c>
      <c r="AY521" s="49">
        <f t="shared" si="323"/>
        <v>0</v>
      </c>
      <c r="AZ521" s="49">
        <f t="shared" si="324"/>
        <v>0</v>
      </c>
      <c r="BA521" s="49">
        <f t="shared" si="325"/>
        <v>1</v>
      </c>
      <c r="BB521" s="49">
        <f t="shared" si="326"/>
        <v>0</v>
      </c>
      <c r="BC521" s="49">
        <f t="shared" si="327"/>
        <v>0</v>
      </c>
      <c r="BD521" s="49">
        <f t="shared" si="328"/>
        <v>0</v>
      </c>
      <c r="BE521" s="49">
        <f t="shared" si="329"/>
        <v>1</v>
      </c>
      <c r="BF521" s="49">
        <f t="shared" si="330"/>
        <v>0</v>
      </c>
      <c r="BG521" s="49">
        <f t="shared" si="331"/>
        <v>0</v>
      </c>
      <c r="BH521" s="49">
        <f t="shared" si="332"/>
        <v>0</v>
      </c>
      <c r="BI521" s="49">
        <f t="shared" si="333"/>
        <v>1</v>
      </c>
      <c r="BJ521" s="49">
        <f t="shared" si="334"/>
        <v>0</v>
      </c>
      <c r="BK521" s="49">
        <f t="shared" si="335"/>
        <v>0</v>
      </c>
      <c r="BL521" s="49">
        <f t="shared" si="336"/>
        <v>1</v>
      </c>
      <c r="BM521" s="49">
        <f t="shared" si="337"/>
        <v>0</v>
      </c>
      <c r="BN521" s="49">
        <f t="shared" si="338"/>
        <v>0</v>
      </c>
      <c r="BO521" s="49">
        <f t="shared" si="339"/>
        <v>0</v>
      </c>
      <c r="BP521" s="49">
        <f t="shared" si="340"/>
        <v>0</v>
      </c>
      <c r="BQ521" s="49">
        <f t="shared" si="341"/>
        <v>1</v>
      </c>
      <c r="BR521" s="49">
        <f t="shared" si="342"/>
        <v>0</v>
      </c>
      <c r="BS521" s="49">
        <f t="shared" si="343"/>
        <v>0</v>
      </c>
      <c r="BT521" s="49">
        <f t="shared" si="344"/>
        <v>0</v>
      </c>
      <c r="BU521" s="49">
        <f t="shared" si="345"/>
        <v>1</v>
      </c>
      <c r="BV521" s="49">
        <f t="shared" si="346"/>
        <v>0</v>
      </c>
      <c r="BW521" s="49">
        <f t="shared" si="347"/>
        <v>0</v>
      </c>
      <c r="BX521" s="49">
        <f t="shared" si="348"/>
        <v>0</v>
      </c>
      <c r="BY521" s="49">
        <f t="shared" si="349"/>
        <v>1</v>
      </c>
      <c r="BZ521" s="49">
        <f t="shared" si="350"/>
        <v>0</v>
      </c>
      <c r="CA521" s="49">
        <f t="shared" si="351"/>
        <v>0</v>
      </c>
      <c r="CB521" s="49">
        <f t="shared" si="352"/>
        <v>0</v>
      </c>
      <c r="CC521" s="49">
        <f t="shared" si="353"/>
        <v>1</v>
      </c>
      <c r="CD521" s="49">
        <f t="shared" si="354"/>
        <v>0</v>
      </c>
      <c r="CE521" s="49">
        <f t="shared" si="355"/>
        <v>0</v>
      </c>
    </row>
    <row r="522" spans="1:83" ht="35.1" customHeight="1" x14ac:dyDescent="0.3">
      <c r="A522" s="123" t="str">
        <f t="shared" si="356"/>
        <v>4팀</v>
      </c>
      <c r="B522" s="69">
        <f t="shared" si="357"/>
        <v>516</v>
      </c>
      <c r="C522" s="120" t="str">
        <f>IF(VLOOKUP($B522,'1. 현장별 인원현황'!$C:$J,2,0)=0,"",VLOOKUP($B522,'1. 현장별 인원현황'!$C:$J,2,0))</f>
        <v xml:space="preserve"> [4.롯데건설] 롯데바이오로직스 Project PROVIDENCE</v>
      </c>
      <c r="D522" s="70" t="str">
        <f>IF(VLOOKUP($B522,'1. 현장별 인원현황'!$C:$J,3,0)=0,"",VLOOKUP($B522,'1. 현장별 인원현황'!$C:$J,3,0))</f>
        <v>박종우</v>
      </c>
      <c r="E522" s="74" t="str">
        <f ca="1">IF(VLOOKUP($B522,'1. 현장별 인원현황'!$C:$J,4,0)=0,"",VLOOKUP($B522,'1. 현장별 인원현황'!$C:$J,4,0))</f>
        <v>59세</v>
      </c>
      <c r="F522" s="70" t="str">
        <f>IF(VLOOKUP($B522,'1. 현장별 인원현황'!$C:$J,7,0)=0,"",VLOOKUP($B522,'1. 현장별 인원현황'!$C:$J,7,0))</f>
        <v>기능공</v>
      </c>
      <c r="G522" s="72" t="str">
        <f>IF(VLOOKUP($B522,'1. 현장별 인원현황'!$C:$J,8,0)=0,"",VLOOKUP($B522,'1. 현장별 인원현황'!$C:$J,8,0))</f>
        <v>전공</v>
      </c>
      <c r="H522" s="67" t="s">
        <v>69</v>
      </c>
      <c r="I522" s="73"/>
      <c r="J522" s="73"/>
      <c r="K522" s="68"/>
      <c r="L522" s="67" t="s">
        <v>69</v>
      </c>
      <c r="M522" s="73"/>
      <c r="N522" s="73"/>
      <c r="O522" s="68"/>
      <c r="P522" s="67" t="s">
        <v>69</v>
      </c>
      <c r="Q522" s="73"/>
      <c r="R522" s="73"/>
      <c r="S522" s="68"/>
      <c r="T522" s="67" t="s">
        <v>69</v>
      </c>
      <c r="U522" s="73"/>
      <c r="V522" s="73"/>
      <c r="W522" s="68"/>
      <c r="X522" s="67" t="s">
        <v>69</v>
      </c>
      <c r="Y522" s="73"/>
      <c r="Z522" s="73"/>
      <c r="AA522" s="68"/>
      <c r="AB522" s="67" t="s">
        <v>69</v>
      </c>
      <c r="AC522" s="73"/>
      <c r="AD522" s="73"/>
      <c r="AE522" s="68"/>
      <c r="AF522" s="67" t="s">
        <v>69</v>
      </c>
      <c r="AG522" s="73"/>
      <c r="AH522" s="73"/>
      <c r="AI522" s="68"/>
      <c r="AJ522" s="67"/>
      <c r="AK522" s="73" t="s">
        <v>69</v>
      </c>
      <c r="AL522" s="73"/>
      <c r="AM522" s="68"/>
      <c r="AN522" s="73" t="s">
        <v>69</v>
      </c>
      <c r="AO522" s="73"/>
      <c r="AP522" s="73"/>
      <c r="AQ522" s="68"/>
      <c r="AR522" s="67">
        <f t="shared" si="358"/>
        <v>97</v>
      </c>
      <c r="AS522" s="68" t="str">
        <f t="shared" si="359"/>
        <v>S</v>
      </c>
      <c r="AV522" s="49">
        <f t="shared" si="320"/>
        <v>1</v>
      </c>
      <c r="AW522" s="49">
        <f t="shared" si="321"/>
        <v>0</v>
      </c>
      <c r="AX522" s="49">
        <f t="shared" si="322"/>
        <v>0</v>
      </c>
      <c r="AY522" s="49">
        <f t="shared" si="323"/>
        <v>0</v>
      </c>
      <c r="AZ522" s="49">
        <f t="shared" si="324"/>
        <v>1</v>
      </c>
      <c r="BA522" s="49">
        <f t="shared" si="325"/>
        <v>0</v>
      </c>
      <c r="BB522" s="49">
        <f t="shared" si="326"/>
        <v>0</v>
      </c>
      <c r="BC522" s="49">
        <f t="shared" si="327"/>
        <v>0</v>
      </c>
      <c r="BD522" s="49">
        <f t="shared" si="328"/>
        <v>1</v>
      </c>
      <c r="BE522" s="49">
        <f t="shared" si="329"/>
        <v>0</v>
      </c>
      <c r="BF522" s="49">
        <f t="shared" si="330"/>
        <v>0</v>
      </c>
      <c r="BG522" s="49">
        <f t="shared" si="331"/>
        <v>0</v>
      </c>
      <c r="BH522" s="49">
        <f t="shared" si="332"/>
        <v>1</v>
      </c>
      <c r="BI522" s="49">
        <f t="shared" si="333"/>
        <v>0</v>
      </c>
      <c r="BJ522" s="49">
        <f t="shared" si="334"/>
        <v>0</v>
      </c>
      <c r="BK522" s="49">
        <f t="shared" si="335"/>
        <v>0</v>
      </c>
      <c r="BL522" s="49">
        <f t="shared" si="336"/>
        <v>1</v>
      </c>
      <c r="BM522" s="49">
        <f t="shared" si="337"/>
        <v>0</v>
      </c>
      <c r="BN522" s="49">
        <f t="shared" si="338"/>
        <v>0</v>
      </c>
      <c r="BO522" s="49">
        <f t="shared" si="339"/>
        <v>0</v>
      </c>
      <c r="BP522" s="49">
        <f t="shared" si="340"/>
        <v>1</v>
      </c>
      <c r="BQ522" s="49">
        <f t="shared" si="341"/>
        <v>0</v>
      </c>
      <c r="BR522" s="49">
        <f t="shared" si="342"/>
        <v>0</v>
      </c>
      <c r="BS522" s="49">
        <f t="shared" si="343"/>
        <v>0</v>
      </c>
      <c r="BT522" s="49">
        <f t="shared" si="344"/>
        <v>1</v>
      </c>
      <c r="BU522" s="49">
        <f t="shared" si="345"/>
        <v>0</v>
      </c>
      <c r="BV522" s="49">
        <f t="shared" si="346"/>
        <v>0</v>
      </c>
      <c r="BW522" s="49">
        <f t="shared" si="347"/>
        <v>0</v>
      </c>
      <c r="BX522" s="49">
        <f t="shared" si="348"/>
        <v>0</v>
      </c>
      <c r="BY522" s="49">
        <f t="shared" si="349"/>
        <v>1</v>
      </c>
      <c r="BZ522" s="49">
        <f t="shared" si="350"/>
        <v>0</v>
      </c>
      <c r="CA522" s="49">
        <f t="shared" si="351"/>
        <v>0</v>
      </c>
      <c r="CB522" s="49">
        <f t="shared" si="352"/>
        <v>1</v>
      </c>
      <c r="CC522" s="49">
        <f t="shared" si="353"/>
        <v>0</v>
      </c>
      <c r="CD522" s="49">
        <f t="shared" si="354"/>
        <v>0</v>
      </c>
      <c r="CE522" s="49">
        <f t="shared" si="355"/>
        <v>0</v>
      </c>
    </row>
    <row r="523" spans="1:83" ht="35.1" customHeight="1" x14ac:dyDescent="0.3">
      <c r="A523" s="123" t="str">
        <f t="shared" si="356"/>
        <v>4팀</v>
      </c>
      <c r="B523" s="69">
        <f t="shared" si="357"/>
        <v>517</v>
      </c>
      <c r="C523" s="120" t="str">
        <f>IF(VLOOKUP($B523,'1. 현장별 인원현황'!$C:$J,2,0)=0,"",VLOOKUP($B523,'1. 현장별 인원현황'!$C:$J,2,0))</f>
        <v xml:space="preserve"> [4.롯데건설] 롯데바이오로직스 Project PROVIDENCE</v>
      </c>
      <c r="D523" s="70" t="str">
        <f>IF(VLOOKUP($B523,'1. 현장별 인원현황'!$C:$J,3,0)=0,"",VLOOKUP($B523,'1. 현장별 인원현황'!$C:$J,3,0))</f>
        <v>김명휘</v>
      </c>
      <c r="E523" s="74" t="str">
        <f ca="1">IF(VLOOKUP($B523,'1. 현장별 인원현황'!$C:$J,4,0)=0,"",VLOOKUP($B523,'1. 현장별 인원현황'!$C:$J,4,0))</f>
        <v>41세</v>
      </c>
      <c r="F523" s="70" t="str">
        <f>IF(VLOOKUP($B523,'1. 현장별 인원현황'!$C:$J,7,0)=0,"",VLOOKUP($B523,'1. 현장별 인원현황'!$C:$J,7,0))</f>
        <v>기능공</v>
      </c>
      <c r="G523" s="72" t="str">
        <f>IF(VLOOKUP($B523,'1. 현장별 인원현황'!$C:$J,8,0)=0,"",VLOOKUP($B523,'1. 현장별 인원현황'!$C:$J,8,0))</f>
        <v>전공</v>
      </c>
      <c r="H523" s="67"/>
      <c r="I523" s="73" t="s">
        <v>69</v>
      </c>
      <c r="J523" s="73"/>
      <c r="K523" s="68"/>
      <c r="L523" s="67"/>
      <c r="M523" s="73" t="s">
        <v>69</v>
      </c>
      <c r="N523" s="73"/>
      <c r="O523" s="68"/>
      <c r="P523" s="67"/>
      <c r="Q523" s="73" t="s">
        <v>69</v>
      </c>
      <c r="R523" s="73"/>
      <c r="S523" s="68"/>
      <c r="T523" s="67"/>
      <c r="U523" s="73" t="s">
        <v>69</v>
      </c>
      <c r="V523" s="73"/>
      <c r="W523" s="68"/>
      <c r="X523" s="67" t="s">
        <v>69</v>
      </c>
      <c r="Y523" s="73"/>
      <c r="Z523" s="73"/>
      <c r="AA523" s="68"/>
      <c r="AB523" s="67"/>
      <c r="AC523" s="73" t="s">
        <v>69</v>
      </c>
      <c r="AD523" s="73"/>
      <c r="AE523" s="68"/>
      <c r="AF523" s="67"/>
      <c r="AG523" s="73"/>
      <c r="AH523" s="73"/>
      <c r="AI523" s="68"/>
      <c r="AJ523" s="67"/>
      <c r="AK523" s="73" t="s">
        <v>69</v>
      </c>
      <c r="AL523" s="73"/>
      <c r="AM523" s="68"/>
      <c r="AN523" s="73" t="s">
        <v>69</v>
      </c>
      <c r="AO523" s="73"/>
      <c r="AP523" s="73"/>
      <c r="AQ523" s="68"/>
      <c r="AR523" s="67">
        <f t="shared" si="358"/>
        <v>74</v>
      </c>
      <c r="AS523" s="68" t="str">
        <f t="shared" si="359"/>
        <v>A</v>
      </c>
      <c r="AV523" s="49">
        <f t="shared" si="320"/>
        <v>0</v>
      </c>
      <c r="AW523" s="49">
        <f t="shared" si="321"/>
        <v>1</v>
      </c>
      <c r="AX523" s="49">
        <f t="shared" si="322"/>
        <v>0</v>
      </c>
      <c r="AY523" s="49">
        <f t="shared" si="323"/>
        <v>0</v>
      </c>
      <c r="AZ523" s="49">
        <f t="shared" si="324"/>
        <v>0</v>
      </c>
      <c r="BA523" s="49">
        <f t="shared" si="325"/>
        <v>1</v>
      </c>
      <c r="BB523" s="49">
        <f t="shared" si="326"/>
        <v>0</v>
      </c>
      <c r="BC523" s="49">
        <f t="shared" si="327"/>
        <v>0</v>
      </c>
      <c r="BD523" s="49">
        <f t="shared" si="328"/>
        <v>0</v>
      </c>
      <c r="BE523" s="49">
        <f t="shared" si="329"/>
        <v>1</v>
      </c>
      <c r="BF523" s="49">
        <f t="shared" si="330"/>
        <v>0</v>
      </c>
      <c r="BG523" s="49">
        <f t="shared" si="331"/>
        <v>0</v>
      </c>
      <c r="BH523" s="49">
        <f t="shared" si="332"/>
        <v>0</v>
      </c>
      <c r="BI523" s="49">
        <f t="shared" si="333"/>
        <v>1</v>
      </c>
      <c r="BJ523" s="49">
        <f t="shared" si="334"/>
        <v>0</v>
      </c>
      <c r="BK523" s="49">
        <f t="shared" si="335"/>
        <v>0</v>
      </c>
      <c r="BL523" s="49">
        <f t="shared" si="336"/>
        <v>1</v>
      </c>
      <c r="BM523" s="49">
        <f t="shared" si="337"/>
        <v>0</v>
      </c>
      <c r="BN523" s="49">
        <f t="shared" si="338"/>
        <v>0</v>
      </c>
      <c r="BO523" s="49">
        <f t="shared" si="339"/>
        <v>0</v>
      </c>
      <c r="BP523" s="49">
        <f t="shared" si="340"/>
        <v>0</v>
      </c>
      <c r="BQ523" s="49">
        <f t="shared" si="341"/>
        <v>1</v>
      </c>
      <c r="BR523" s="49">
        <f t="shared" si="342"/>
        <v>0</v>
      </c>
      <c r="BS523" s="49">
        <f t="shared" si="343"/>
        <v>0</v>
      </c>
      <c r="BT523" s="49">
        <f t="shared" si="344"/>
        <v>0</v>
      </c>
      <c r="BU523" s="49">
        <f t="shared" si="345"/>
        <v>0</v>
      </c>
      <c r="BV523" s="49">
        <f t="shared" si="346"/>
        <v>0</v>
      </c>
      <c r="BW523" s="49">
        <f t="shared" si="347"/>
        <v>0</v>
      </c>
      <c r="BX523" s="49">
        <f t="shared" si="348"/>
        <v>0</v>
      </c>
      <c r="BY523" s="49">
        <f t="shared" si="349"/>
        <v>1</v>
      </c>
      <c r="BZ523" s="49">
        <f t="shared" si="350"/>
        <v>0</v>
      </c>
      <c r="CA523" s="49">
        <f t="shared" si="351"/>
        <v>0</v>
      </c>
      <c r="CB523" s="49">
        <f t="shared" si="352"/>
        <v>1</v>
      </c>
      <c r="CC523" s="49">
        <f t="shared" si="353"/>
        <v>0</v>
      </c>
      <c r="CD523" s="49">
        <f t="shared" si="354"/>
        <v>0</v>
      </c>
      <c r="CE523" s="49">
        <f t="shared" si="355"/>
        <v>0</v>
      </c>
    </row>
    <row r="524" spans="1:83" ht="35.1" customHeight="1" x14ac:dyDescent="0.3">
      <c r="A524" s="123" t="str">
        <f t="shared" si="356"/>
        <v>4팀</v>
      </c>
      <c r="B524" s="69">
        <f t="shared" si="357"/>
        <v>518</v>
      </c>
      <c r="C524" s="120" t="str">
        <f>IF(VLOOKUP($B524,'1. 현장별 인원현황'!$C:$J,2,0)=0,"",VLOOKUP($B524,'1. 현장별 인원현황'!$C:$J,2,0))</f>
        <v xml:space="preserve"> [4.롯데건설] 롯데바이오로직스 Project PROVIDENCE</v>
      </c>
      <c r="D524" s="70" t="str">
        <f>IF(VLOOKUP($B524,'1. 현장별 인원현황'!$C:$J,3,0)=0,"",VLOOKUP($B524,'1. 현장별 인원현황'!$C:$J,3,0))</f>
        <v>박인순</v>
      </c>
      <c r="E524" s="74" t="str">
        <f ca="1">IF(VLOOKUP($B524,'1. 현장별 인원현황'!$C:$J,4,0)=0,"",VLOOKUP($B524,'1. 현장별 인원현황'!$C:$J,4,0))</f>
        <v>25세</v>
      </c>
      <c r="F524" s="70" t="str">
        <f>IF(VLOOKUP($B524,'1. 현장별 인원현황'!$C:$J,7,0)=0,"",VLOOKUP($B524,'1. 현장별 인원현황'!$C:$J,7,0))</f>
        <v>기능공</v>
      </c>
      <c r="G524" s="72" t="str">
        <f>IF(VLOOKUP($B524,'1. 현장별 인원현황'!$C:$J,8,0)=0,"",VLOOKUP($B524,'1. 현장별 인원현황'!$C:$J,8,0))</f>
        <v>전공</v>
      </c>
      <c r="H524" s="67"/>
      <c r="I524" s="73"/>
      <c r="J524" s="73" t="s">
        <v>69</v>
      </c>
      <c r="K524" s="68"/>
      <c r="L524" s="67"/>
      <c r="M524" s="73" t="s">
        <v>69</v>
      </c>
      <c r="N524" s="73"/>
      <c r="O524" s="68"/>
      <c r="P524" s="67"/>
      <c r="Q524" s="73" t="s">
        <v>69</v>
      </c>
      <c r="R524" s="73"/>
      <c r="S524" s="68"/>
      <c r="T524" s="67"/>
      <c r="U524" s="73" t="s">
        <v>69</v>
      </c>
      <c r="V524" s="73"/>
      <c r="W524" s="68"/>
      <c r="X524" s="67" t="s">
        <v>69</v>
      </c>
      <c r="Y524" s="73"/>
      <c r="Z524" s="73"/>
      <c r="AA524" s="68"/>
      <c r="AB524" s="67"/>
      <c r="AC524" s="73" t="s">
        <v>69</v>
      </c>
      <c r="AD524" s="73"/>
      <c r="AE524" s="68"/>
      <c r="AF524" s="67" t="s">
        <v>69</v>
      </c>
      <c r="AG524" s="73"/>
      <c r="AH524" s="73"/>
      <c r="AI524" s="68"/>
      <c r="AJ524" s="67"/>
      <c r="AK524" s="73" t="s">
        <v>69</v>
      </c>
      <c r="AL524" s="73"/>
      <c r="AM524" s="68"/>
      <c r="AN524" s="73" t="s">
        <v>69</v>
      </c>
      <c r="AO524" s="73"/>
      <c r="AP524" s="73"/>
      <c r="AQ524" s="68"/>
      <c r="AR524" s="67">
        <f t="shared" si="358"/>
        <v>81</v>
      </c>
      <c r="AS524" s="68" t="str">
        <f t="shared" si="359"/>
        <v>A</v>
      </c>
      <c r="AV524" s="49">
        <f t="shared" si="320"/>
        <v>0</v>
      </c>
      <c r="AW524" s="49">
        <f t="shared" si="321"/>
        <v>0</v>
      </c>
      <c r="AX524" s="49">
        <f t="shared" si="322"/>
        <v>1</v>
      </c>
      <c r="AY524" s="49">
        <f t="shared" si="323"/>
        <v>0</v>
      </c>
      <c r="AZ524" s="49">
        <f t="shared" si="324"/>
        <v>0</v>
      </c>
      <c r="BA524" s="49">
        <f t="shared" si="325"/>
        <v>1</v>
      </c>
      <c r="BB524" s="49">
        <f t="shared" si="326"/>
        <v>0</v>
      </c>
      <c r="BC524" s="49">
        <f t="shared" si="327"/>
        <v>0</v>
      </c>
      <c r="BD524" s="49">
        <f t="shared" si="328"/>
        <v>0</v>
      </c>
      <c r="BE524" s="49">
        <f t="shared" si="329"/>
        <v>1</v>
      </c>
      <c r="BF524" s="49">
        <f t="shared" si="330"/>
        <v>0</v>
      </c>
      <c r="BG524" s="49">
        <f t="shared" si="331"/>
        <v>0</v>
      </c>
      <c r="BH524" s="49">
        <f t="shared" si="332"/>
        <v>0</v>
      </c>
      <c r="BI524" s="49">
        <f t="shared" si="333"/>
        <v>1</v>
      </c>
      <c r="BJ524" s="49">
        <f t="shared" si="334"/>
        <v>0</v>
      </c>
      <c r="BK524" s="49">
        <f t="shared" si="335"/>
        <v>0</v>
      </c>
      <c r="BL524" s="49">
        <f t="shared" si="336"/>
        <v>1</v>
      </c>
      <c r="BM524" s="49">
        <f t="shared" si="337"/>
        <v>0</v>
      </c>
      <c r="BN524" s="49">
        <f t="shared" si="338"/>
        <v>0</v>
      </c>
      <c r="BO524" s="49">
        <f t="shared" si="339"/>
        <v>0</v>
      </c>
      <c r="BP524" s="49">
        <f t="shared" si="340"/>
        <v>0</v>
      </c>
      <c r="BQ524" s="49">
        <f t="shared" si="341"/>
        <v>1</v>
      </c>
      <c r="BR524" s="49">
        <f t="shared" si="342"/>
        <v>0</v>
      </c>
      <c r="BS524" s="49">
        <f t="shared" si="343"/>
        <v>0</v>
      </c>
      <c r="BT524" s="49">
        <f t="shared" si="344"/>
        <v>1</v>
      </c>
      <c r="BU524" s="49">
        <f t="shared" si="345"/>
        <v>0</v>
      </c>
      <c r="BV524" s="49">
        <f t="shared" si="346"/>
        <v>0</v>
      </c>
      <c r="BW524" s="49">
        <f t="shared" si="347"/>
        <v>0</v>
      </c>
      <c r="BX524" s="49">
        <f t="shared" si="348"/>
        <v>0</v>
      </c>
      <c r="BY524" s="49">
        <f t="shared" si="349"/>
        <v>1</v>
      </c>
      <c r="BZ524" s="49">
        <f t="shared" si="350"/>
        <v>0</v>
      </c>
      <c r="CA524" s="49">
        <f t="shared" si="351"/>
        <v>0</v>
      </c>
      <c r="CB524" s="49">
        <f t="shared" si="352"/>
        <v>1</v>
      </c>
      <c r="CC524" s="49">
        <f t="shared" si="353"/>
        <v>0</v>
      </c>
      <c r="CD524" s="49">
        <f t="shared" si="354"/>
        <v>0</v>
      </c>
      <c r="CE524" s="49">
        <f t="shared" si="355"/>
        <v>0</v>
      </c>
    </row>
    <row r="525" spans="1:83" ht="35.1" customHeight="1" x14ac:dyDescent="0.3">
      <c r="A525" s="123" t="str">
        <f t="shared" si="356"/>
        <v>4팀</v>
      </c>
      <c r="B525" s="69">
        <f t="shared" si="357"/>
        <v>519</v>
      </c>
      <c r="C525" s="120" t="str">
        <f>IF(VLOOKUP($B525,'1. 현장별 인원현황'!$C:$J,2,0)=0,"",VLOOKUP($B525,'1. 현장별 인원현황'!$C:$J,2,0))</f>
        <v xml:space="preserve"> [4.롯데건설] 롯데바이오로직스 Project PROVIDENCE</v>
      </c>
      <c r="D525" s="70" t="str">
        <f>IF(VLOOKUP($B525,'1. 현장별 인원현황'!$C:$J,3,0)=0,"",VLOOKUP($B525,'1. 현장별 인원현황'!$C:$J,3,0))</f>
        <v>박종규</v>
      </c>
      <c r="E525" s="74" t="str">
        <f ca="1">IF(VLOOKUP($B525,'1. 현장별 인원현황'!$C:$J,4,0)=0,"",VLOOKUP($B525,'1. 현장별 인원현황'!$C:$J,4,0))</f>
        <v>40세</v>
      </c>
      <c r="F525" s="70" t="str">
        <f>IF(VLOOKUP($B525,'1. 현장별 인원현황'!$C:$J,7,0)=0,"",VLOOKUP($B525,'1. 현장별 인원현황'!$C:$J,7,0))</f>
        <v>기능공</v>
      </c>
      <c r="G525" s="72" t="str">
        <f>IF(VLOOKUP($B525,'1. 현장별 인원현황'!$C:$J,8,0)=0,"",VLOOKUP($B525,'1. 현장별 인원현황'!$C:$J,8,0))</f>
        <v>전공</v>
      </c>
      <c r="H525" s="67"/>
      <c r="I525" s="73" t="s">
        <v>69</v>
      </c>
      <c r="J525" s="73"/>
      <c r="K525" s="68"/>
      <c r="L525" s="67"/>
      <c r="M525" s="73" t="s">
        <v>69</v>
      </c>
      <c r="N525" s="73"/>
      <c r="O525" s="68"/>
      <c r="P525" s="67"/>
      <c r="Q525" s="73" t="s">
        <v>69</v>
      </c>
      <c r="R525" s="73"/>
      <c r="S525" s="68"/>
      <c r="T525" s="67"/>
      <c r="U525" s="73" t="s">
        <v>69</v>
      </c>
      <c r="V525" s="73"/>
      <c r="W525" s="68"/>
      <c r="X525" s="67" t="s">
        <v>69</v>
      </c>
      <c r="Y525" s="73"/>
      <c r="Z525" s="73"/>
      <c r="AA525" s="68"/>
      <c r="AB525" s="67"/>
      <c r="AC525" s="73" t="s">
        <v>69</v>
      </c>
      <c r="AD525" s="73"/>
      <c r="AE525" s="68"/>
      <c r="AF525" s="67"/>
      <c r="AG525" s="73" t="s">
        <v>69</v>
      </c>
      <c r="AH525" s="73"/>
      <c r="AI525" s="68"/>
      <c r="AJ525" s="67"/>
      <c r="AK525" s="73" t="s">
        <v>69</v>
      </c>
      <c r="AL525" s="73"/>
      <c r="AM525" s="68"/>
      <c r="AN525" s="73" t="s">
        <v>69</v>
      </c>
      <c r="AO525" s="73"/>
      <c r="AP525" s="73"/>
      <c r="AQ525" s="68"/>
      <c r="AR525" s="67">
        <f t="shared" si="358"/>
        <v>82</v>
      </c>
      <c r="AS525" s="68" t="str">
        <f t="shared" si="359"/>
        <v>A</v>
      </c>
      <c r="AV525" s="49">
        <f t="shared" si="320"/>
        <v>0</v>
      </c>
      <c r="AW525" s="49">
        <f t="shared" si="321"/>
        <v>1</v>
      </c>
      <c r="AX525" s="49">
        <f t="shared" si="322"/>
        <v>0</v>
      </c>
      <c r="AY525" s="49">
        <f t="shared" si="323"/>
        <v>0</v>
      </c>
      <c r="AZ525" s="49">
        <f t="shared" si="324"/>
        <v>0</v>
      </c>
      <c r="BA525" s="49">
        <f t="shared" si="325"/>
        <v>1</v>
      </c>
      <c r="BB525" s="49">
        <f t="shared" si="326"/>
        <v>0</v>
      </c>
      <c r="BC525" s="49">
        <f t="shared" si="327"/>
        <v>0</v>
      </c>
      <c r="BD525" s="49">
        <f t="shared" si="328"/>
        <v>0</v>
      </c>
      <c r="BE525" s="49">
        <f t="shared" si="329"/>
        <v>1</v>
      </c>
      <c r="BF525" s="49">
        <f t="shared" si="330"/>
        <v>0</v>
      </c>
      <c r="BG525" s="49">
        <f t="shared" si="331"/>
        <v>0</v>
      </c>
      <c r="BH525" s="49">
        <f t="shared" si="332"/>
        <v>0</v>
      </c>
      <c r="BI525" s="49">
        <f t="shared" si="333"/>
        <v>1</v>
      </c>
      <c r="BJ525" s="49">
        <f t="shared" si="334"/>
        <v>0</v>
      </c>
      <c r="BK525" s="49">
        <f t="shared" si="335"/>
        <v>0</v>
      </c>
      <c r="BL525" s="49">
        <f t="shared" si="336"/>
        <v>1</v>
      </c>
      <c r="BM525" s="49">
        <f t="shared" si="337"/>
        <v>0</v>
      </c>
      <c r="BN525" s="49">
        <f t="shared" si="338"/>
        <v>0</v>
      </c>
      <c r="BO525" s="49">
        <f t="shared" si="339"/>
        <v>0</v>
      </c>
      <c r="BP525" s="49">
        <f t="shared" si="340"/>
        <v>0</v>
      </c>
      <c r="BQ525" s="49">
        <f t="shared" si="341"/>
        <v>1</v>
      </c>
      <c r="BR525" s="49">
        <f t="shared" si="342"/>
        <v>0</v>
      </c>
      <c r="BS525" s="49">
        <f t="shared" si="343"/>
        <v>0</v>
      </c>
      <c r="BT525" s="49">
        <f t="shared" si="344"/>
        <v>0</v>
      </c>
      <c r="BU525" s="49">
        <f t="shared" si="345"/>
        <v>1</v>
      </c>
      <c r="BV525" s="49">
        <f t="shared" si="346"/>
        <v>0</v>
      </c>
      <c r="BW525" s="49">
        <f t="shared" si="347"/>
        <v>0</v>
      </c>
      <c r="BX525" s="49">
        <f t="shared" si="348"/>
        <v>0</v>
      </c>
      <c r="BY525" s="49">
        <f t="shared" si="349"/>
        <v>1</v>
      </c>
      <c r="BZ525" s="49">
        <f t="shared" si="350"/>
        <v>0</v>
      </c>
      <c r="CA525" s="49">
        <f t="shared" si="351"/>
        <v>0</v>
      </c>
      <c r="CB525" s="49">
        <f t="shared" si="352"/>
        <v>1</v>
      </c>
      <c r="CC525" s="49">
        <f t="shared" si="353"/>
        <v>0</v>
      </c>
      <c r="CD525" s="49">
        <f t="shared" si="354"/>
        <v>0</v>
      </c>
      <c r="CE525" s="49">
        <f t="shared" si="355"/>
        <v>0</v>
      </c>
    </row>
    <row r="526" spans="1:83" ht="35.1" customHeight="1" x14ac:dyDescent="0.3">
      <c r="A526" s="123" t="str">
        <f t="shared" si="356"/>
        <v>4팀</v>
      </c>
      <c r="B526" s="69">
        <f t="shared" si="357"/>
        <v>520</v>
      </c>
      <c r="C526" s="120" t="str">
        <f>IF(VLOOKUP($B526,'1. 현장별 인원현황'!$C:$J,2,0)=0,"",VLOOKUP($B526,'1. 현장별 인원현황'!$C:$J,2,0))</f>
        <v xml:space="preserve"> [4.롯데건설] 롯데바이오로직스 Project PROVIDENCE</v>
      </c>
      <c r="D526" s="70" t="str">
        <f>IF(VLOOKUP($B526,'1. 현장별 인원현황'!$C:$J,3,0)=0,"",VLOOKUP($B526,'1. 현장별 인원현황'!$C:$J,3,0))</f>
        <v>이승현</v>
      </c>
      <c r="E526" s="74" t="str">
        <f ca="1">IF(VLOOKUP($B526,'1. 현장별 인원현황'!$C:$J,4,0)=0,"",VLOOKUP($B526,'1. 현장별 인원현황'!$C:$J,4,0))</f>
        <v>39세</v>
      </c>
      <c r="F526" s="70" t="str">
        <f>IF(VLOOKUP($B526,'1. 현장별 인원현황'!$C:$J,7,0)=0,"",VLOOKUP($B526,'1. 현장별 인원현황'!$C:$J,7,0))</f>
        <v>기능공</v>
      </c>
      <c r="G526" s="72" t="str">
        <f>IF(VLOOKUP($B526,'1. 현장별 인원현황'!$C:$J,8,0)=0,"",VLOOKUP($B526,'1. 현장별 인원현황'!$C:$J,8,0))</f>
        <v>전공</v>
      </c>
      <c r="H526" s="67"/>
      <c r="I526" s="73" t="s">
        <v>69</v>
      </c>
      <c r="J526" s="73"/>
      <c r="K526" s="68"/>
      <c r="L526" s="67"/>
      <c r="M526" s="73" t="s">
        <v>69</v>
      </c>
      <c r="N526" s="73"/>
      <c r="O526" s="68"/>
      <c r="P526" s="67"/>
      <c r="Q526" s="73" t="s">
        <v>69</v>
      </c>
      <c r="R526" s="73"/>
      <c r="S526" s="68"/>
      <c r="T526" s="67"/>
      <c r="U526" s="73" t="s">
        <v>69</v>
      </c>
      <c r="V526" s="73"/>
      <c r="W526" s="68"/>
      <c r="X526" s="67" t="s">
        <v>69</v>
      </c>
      <c r="Y526" s="73"/>
      <c r="Z526" s="73"/>
      <c r="AA526" s="68"/>
      <c r="AB526" s="67"/>
      <c r="AC526" s="73" t="s">
        <v>69</v>
      </c>
      <c r="AD526" s="73"/>
      <c r="AE526" s="68"/>
      <c r="AF526" s="67"/>
      <c r="AG526" s="73" t="s">
        <v>69</v>
      </c>
      <c r="AH526" s="73"/>
      <c r="AI526" s="68"/>
      <c r="AJ526" s="67"/>
      <c r="AK526" s="73" t="s">
        <v>69</v>
      </c>
      <c r="AL526" s="73"/>
      <c r="AM526" s="68"/>
      <c r="AN526" s="73" t="s">
        <v>69</v>
      </c>
      <c r="AO526" s="73"/>
      <c r="AP526" s="73"/>
      <c r="AQ526" s="68"/>
      <c r="AR526" s="67">
        <f t="shared" si="358"/>
        <v>82</v>
      </c>
      <c r="AS526" s="68" t="str">
        <f t="shared" si="359"/>
        <v>A</v>
      </c>
      <c r="AV526" s="49">
        <f t="shared" si="320"/>
        <v>0</v>
      </c>
      <c r="AW526" s="49">
        <f t="shared" si="321"/>
        <v>1</v>
      </c>
      <c r="AX526" s="49">
        <f t="shared" si="322"/>
        <v>0</v>
      </c>
      <c r="AY526" s="49">
        <f t="shared" si="323"/>
        <v>0</v>
      </c>
      <c r="AZ526" s="49">
        <f t="shared" si="324"/>
        <v>0</v>
      </c>
      <c r="BA526" s="49">
        <f t="shared" si="325"/>
        <v>1</v>
      </c>
      <c r="BB526" s="49">
        <f t="shared" si="326"/>
        <v>0</v>
      </c>
      <c r="BC526" s="49">
        <f t="shared" si="327"/>
        <v>0</v>
      </c>
      <c r="BD526" s="49">
        <f t="shared" si="328"/>
        <v>0</v>
      </c>
      <c r="BE526" s="49">
        <f t="shared" si="329"/>
        <v>1</v>
      </c>
      <c r="BF526" s="49">
        <f t="shared" si="330"/>
        <v>0</v>
      </c>
      <c r="BG526" s="49">
        <f t="shared" si="331"/>
        <v>0</v>
      </c>
      <c r="BH526" s="49">
        <f t="shared" si="332"/>
        <v>0</v>
      </c>
      <c r="BI526" s="49">
        <f t="shared" si="333"/>
        <v>1</v>
      </c>
      <c r="BJ526" s="49">
        <f t="shared" si="334"/>
        <v>0</v>
      </c>
      <c r="BK526" s="49">
        <f t="shared" si="335"/>
        <v>0</v>
      </c>
      <c r="BL526" s="49">
        <f t="shared" si="336"/>
        <v>1</v>
      </c>
      <c r="BM526" s="49">
        <f t="shared" si="337"/>
        <v>0</v>
      </c>
      <c r="BN526" s="49">
        <f t="shared" si="338"/>
        <v>0</v>
      </c>
      <c r="BO526" s="49">
        <f t="shared" si="339"/>
        <v>0</v>
      </c>
      <c r="BP526" s="49">
        <f t="shared" si="340"/>
        <v>0</v>
      </c>
      <c r="BQ526" s="49">
        <f t="shared" si="341"/>
        <v>1</v>
      </c>
      <c r="BR526" s="49">
        <f t="shared" si="342"/>
        <v>0</v>
      </c>
      <c r="BS526" s="49">
        <f t="shared" si="343"/>
        <v>0</v>
      </c>
      <c r="BT526" s="49">
        <f t="shared" si="344"/>
        <v>0</v>
      </c>
      <c r="BU526" s="49">
        <f t="shared" si="345"/>
        <v>1</v>
      </c>
      <c r="BV526" s="49">
        <f t="shared" si="346"/>
        <v>0</v>
      </c>
      <c r="BW526" s="49">
        <f t="shared" si="347"/>
        <v>0</v>
      </c>
      <c r="BX526" s="49">
        <f t="shared" si="348"/>
        <v>0</v>
      </c>
      <c r="BY526" s="49">
        <f t="shared" si="349"/>
        <v>1</v>
      </c>
      <c r="BZ526" s="49">
        <f t="shared" si="350"/>
        <v>0</v>
      </c>
      <c r="CA526" s="49">
        <f t="shared" si="351"/>
        <v>0</v>
      </c>
      <c r="CB526" s="49">
        <f t="shared" si="352"/>
        <v>1</v>
      </c>
      <c r="CC526" s="49">
        <f t="shared" si="353"/>
        <v>0</v>
      </c>
      <c r="CD526" s="49">
        <f t="shared" si="354"/>
        <v>0</v>
      </c>
      <c r="CE526" s="49">
        <f t="shared" si="355"/>
        <v>0</v>
      </c>
    </row>
    <row r="527" spans="1:83" ht="35.1" customHeight="1" x14ac:dyDescent="0.3">
      <c r="A527" s="123" t="str">
        <f t="shared" si="356"/>
        <v>4팀</v>
      </c>
      <c r="B527" s="69">
        <f t="shared" si="357"/>
        <v>521</v>
      </c>
      <c r="C527" s="120" t="str">
        <f>IF(VLOOKUP($B527,'1. 현장별 인원현황'!$C:$J,2,0)=0,"",VLOOKUP($B527,'1. 현장별 인원현황'!$C:$J,2,0))</f>
        <v xml:space="preserve"> [4.롯데건설] 롯데바이오로직스 Project PROVIDENCE</v>
      </c>
      <c r="D527" s="70" t="str">
        <f>IF(VLOOKUP($B527,'1. 현장별 인원현황'!$C:$J,3,0)=0,"",VLOOKUP($B527,'1. 현장별 인원현황'!$C:$J,3,0))</f>
        <v>임태양</v>
      </c>
      <c r="E527" s="74" t="str">
        <f ca="1">IF(VLOOKUP($B527,'1. 현장별 인원현황'!$C:$J,4,0)=0,"",VLOOKUP($B527,'1. 현장별 인원현황'!$C:$J,4,0))</f>
        <v>30세</v>
      </c>
      <c r="F527" s="70" t="str">
        <f>IF(VLOOKUP($B527,'1. 현장별 인원현황'!$C:$J,7,0)=0,"",VLOOKUP($B527,'1. 현장별 인원현황'!$C:$J,7,0))</f>
        <v>기능공</v>
      </c>
      <c r="G527" s="72" t="str">
        <f>IF(VLOOKUP($B527,'1. 현장별 인원현황'!$C:$J,8,0)=0,"",VLOOKUP($B527,'1. 현장별 인원현황'!$C:$J,8,0))</f>
        <v>전공</v>
      </c>
      <c r="H527" s="67"/>
      <c r="I527" s="73" t="s">
        <v>69</v>
      </c>
      <c r="J527" s="73"/>
      <c r="K527" s="68"/>
      <c r="L527" s="67"/>
      <c r="M527" s="73" t="s">
        <v>69</v>
      </c>
      <c r="N527" s="73"/>
      <c r="O527" s="68"/>
      <c r="P527" s="67"/>
      <c r="Q527" s="73" t="s">
        <v>69</v>
      </c>
      <c r="R527" s="73"/>
      <c r="S527" s="68"/>
      <c r="T527" s="67"/>
      <c r="U527" s="73" t="s">
        <v>69</v>
      </c>
      <c r="V527" s="73"/>
      <c r="W527" s="68"/>
      <c r="X527" s="67" t="s">
        <v>69</v>
      </c>
      <c r="Y527" s="73"/>
      <c r="Z527" s="73"/>
      <c r="AA527" s="68"/>
      <c r="AB527" s="67"/>
      <c r="AC527" s="73" t="s">
        <v>69</v>
      </c>
      <c r="AD527" s="73"/>
      <c r="AE527" s="68"/>
      <c r="AF527" s="67"/>
      <c r="AG527" s="73" t="s">
        <v>69</v>
      </c>
      <c r="AH527" s="73"/>
      <c r="AI527" s="68"/>
      <c r="AJ527" s="67"/>
      <c r="AK527" s="73" t="s">
        <v>69</v>
      </c>
      <c r="AL527" s="73"/>
      <c r="AM527" s="68"/>
      <c r="AN527" s="73" t="s">
        <v>69</v>
      </c>
      <c r="AO527" s="73"/>
      <c r="AP527" s="73"/>
      <c r="AQ527" s="68"/>
      <c r="AR527" s="67">
        <f t="shared" si="358"/>
        <v>82</v>
      </c>
      <c r="AS527" s="68" t="str">
        <f t="shared" si="359"/>
        <v>A</v>
      </c>
      <c r="AV527" s="49">
        <f t="shared" si="320"/>
        <v>0</v>
      </c>
      <c r="AW527" s="49">
        <f t="shared" si="321"/>
        <v>1</v>
      </c>
      <c r="AX527" s="49">
        <f t="shared" si="322"/>
        <v>0</v>
      </c>
      <c r="AY527" s="49">
        <f t="shared" si="323"/>
        <v>0</v>
      </c>
      <c r="AZ527" s="49">
        <f t="shared" si="324"/>
        <v>0</v>
      </c>
      <c r="BA527" s="49">
        <f t="shared" si="325"/>
        <v>1</v>
      </c>
      <c r="BB527" s="49">
        <f t="shared" si="326"/>
        <v>0</v>
      </c>
      <c r="BC527" s="49">
        <f t="shared" si="327"/>
        <v>0</v>
      </c>
      <c r="BD527" s="49">
        <f t="shared" si="328"/>
        <v>0</v>
      </c>
      <c r="BE527" s="49">
        <f t="shared" si="329"/>
        <v>1</v>
      </c>
      <c r="BF527" s="49">
        <f t="shared" si="330"/>
        <v>0</v>
      </c>
      <c r="BG527" s="49">
        <f t="shared" si="331"/>
        <v>0</v>
      </c>
      <c r="BH527" s="49">
        <f t="shared" si="332"/>
        <v>0</v>
      </c>
      <c r="BI527" s="49">
        <f t="shared" si="333"/>
        <v>1</v>
      </c>
      <c r="BJ527" s="49">
        <f t="shared" si="334"/>
        <v>0</v>
      </c>
      <c r="BK527" s="49">
        <f t="shared" si="335"/>
        <v>0</v>
      </c>
      <c r="BL527" s="49">
        <f t="shared" si="336"/>
        <v>1</v>
      </c>
      <c r="BM527" s="49">
        <f t="shared" si="337"/>
        <v>0</v>
      </c>
      <c r="BN527" s="49">
        <f t="shared" si="338"/>
        <v>0</v>
      </c>
      <c r="BO527" s="49">
        <f t="shared" si="339"/>
        <v>0</v>
      </c>
      <c r="BP527" s="49">
        <f t="shared" si="340"/>
        <v>0</v>
      </c>
      <c r="BQ527" s="49">
        <f t="shared" si="341"/>
        <v>1</v>
      </c>
      <c r="BR527" s="49">
        <f t="shared" si="342"/>
        <v>0</v>
      </c>
      <c r="BS527" s="49">
        <f t="shared" si="343"/>
        <v>0</v>
      </c>
      <c r="BT527" s="49">
        <f t="shared" si="344"/>
        <v>0</v>
      </c>
      <c r="BU527" s="49">
        <f t="shared" si="345"/>
        <v>1</v>
      </c>
      <c r="BV527" s="49">
        <f t="shared" si="346"/>
        <v>0</v>
      </c>
      <c r="BW527" s="49">
        <f t="shared" si="347"/>
        <v>0</v>
      </c>
      <c r="BX527" s="49">
        <f t="shared" si="348"/>
        <v>0</v>
      </c>
      <c r="BY527" s="49">
        <f t="shared" si="349"/>
        <v>1</v>
      </c>
      <c r="BZ527" s="49">
        <f t="shared" si="350"/>
        <v>0</v>
      </c>
      <c r="CA527" s="49">
        <f t="shared" si="351"/>
        <v>0</v>
      </c>
      <c r="CB527" s="49">
        <f t="shared" si="352"/>
        <v>1</v>
      </c>
      <c r="CC527" s="49">
        <f t="shared" si="353"/>
        <v>0</v>
      </c>
      <c r="CD527" s="49">
        <f t="shared" si="354"/>
        <v>0</v>
      </c>
      <c r="CE527" s="49">
        <f t="shared" si="355"/>
        <v>0</v>
      </c>
    </row>
    <row r="528" spans="1:83" ht="35.1" customHeight="1" x14ac:dyDescent="0.3">
      <c r="A528" s="123" t="str">
        <f t="shared" si="356"/>
        <v>4팀</v>
      </c>
      <c r="B528" s="69">
        <f t="shared" si="357"/>
        <v>522</v>
      </c>
      <c r="C528" s="120" t="str">
        <f>IF(VLOOKUP($B528,'1. 현장별 인원현황'!$C:$J,2,0)=0,"",VLOOKUP($B528,'1. 현장별 인원현황'!$C:$J,2,0))</f>
        <v xml:space="preserve"> [4.롯데건설] 롯데바이오로직스 Project PROVIDENCE</v>
      </c>
      <c r="D528" s="70" t="str">
        <f>IF(VLOOKUP($B528,'1. 현장별 인원현황'!$C:$J,3,0)=0,"",VLOOKUP($B528,'1. 현장별 인원현황'!$C:$J,3,0))</f>
        <v>이견우</v>
      </c>
      <c r="E528" s="74" t="str">
        <f ca="1">IF(VLOOKUP($B528,'1. 현장별 인원현황'!$C:$J,4,0)=0,"",VLOOKUP($B528,'1. 현장별 인원현황'!$C:$J,4,0))</f>
        <v>53세</v>
      </c>
      <c r="F528" s="70" t="str">
        <f>IF(VLOOKUP($B528,'1. 현장별 인원현황'!$C:$J,7,0)=0,"",VLOOKUP($B528,'1. 현장별 인원현황'!$C:$J,7,0))</f>
        <v>기능공</v>
      </c>
      <c r="G528" s="72" t="str">
        <f>IF(VLOOKUP($B528,'1. 현장별 인원현황'!$C:$J,8,0)=0,"",VLOOKUP($B528,'1. 현장별 인원현황'!$C:$J,8,0))</f>
        <v>전공</v>
      </c>
      <c r="H528" s="67" t="s">
        <v>69</v>
      </c>
      <c r="I528" s="73"/>
      <c r="J528" s="73"/>
      <c r="K528" s="68"/>
      <c r="L528" s="67" t="s">
        <v>69</v>
      </c>
      <c r="M528" s="73"/>
      <c r="N528" s="73"/>
      <c r="O528" s="68"/>
      <c r="P528" s="67" t="s">
        <v>69</v>
      </c>
      <c r="Q528" s="73"/>
      <c r="R528" s="73"/>
      <c r="S528" s="68"/>
      <c r="T528" s="67" t="s">
        <v>69</v>
      </c>
      <c r="U528" s="73"/>
      <c r="V528" s="73"/>
      <c r="W528" s="68"/>
      <c r="X528" s="67" t="s">
        <v>69</v>
      </c>
      <c r="Y528" s="73"/>
      <c r="Z528" s="73"/>
      <c r="AA528" s="68"/>
      <c r="AB528" s="67" t="s">
        <v>69</v>
      </c>
      <c r="AC528" s="73"/>
      <c r="AD528" s="73"/>
      <c r="AE528" s="68"/>
      <c r="AF528" s="67" t="s">
        <v>69</v>
      </c>
      <c r="AG528" s="73"/>
      <c r="AH528" s="73"/>
      <c r="AI528" s="68"/>
      <c r="AJ528" s="67"/>
      <c r="AK528" s="73" t="s">
        <v>69</v>
      </c>
      <c r="AL528" s="73"/>
      <c r="AM528" s="68"/>
      <c r="AN528" s="73" t="s">
        <v>69</v>
      </c>
      <c r="AO528" s="73"/>
      <c r="AP528" s="73"/>
      <c r="AQ528" s="68"/>
      <c r="AR528" s="67">
        <f t="shared" si="358"/>
        <v>97</v>
      </c>
      <c r="AS528" s="68" t="str">
        <f t="shared" si="359"/>
        <v>S</v>
      </c>
      <c r="AV528" s="49">
        <f t="shared" si="320"/>
        <v>1</v>
      </c>
      <c r="AW528" s="49">
        <f t="shared" si="321"/>
        <v>0</v>
      </c>
      <c r="AX528" s="49">
        <f t="shared" si="322"/>
        <v>0</v>
      </c>
      <c r="AY528" s="49">
        <f t="shared" si="323"/>
        <v>0</v>
      </c>
      <c r="AZ528" s="49">
        <f t="shared" si="324"/>
        <v>1</v>
      </c>
      <c r="BA528" s="49">
        <f t="shared" si="325"/>
        <v>0</v>
      </c>
      <c r="BB528" s="49">
        <f t="shared" si="326"/>
        <v>0</v>
      </c>
      <c r="BC528" s="49">
        <f t="shared" si="327"/>
        <v>0</v>
      </c>
      <c r="BD528" s="49">
        <f t="shared" si="328"/>
        <v>1</v>
      </c>
      <c r="BE528" s="49">
        <f t="shared" si="329"/>
        <v>0</v>
      </c>
      <c r="BF528" s="49">
        <f t="shared" si="330"/>
        <v>0</v>
      </c>
      <c r="BG528" s="49">
        <f t="shared" si="331"/>
        <v>0</v>
      </c>
      <c r="BH528" s="49">
        <f t="shared" si="332"/>
        <v>1</v>
      </c>
      <c r="BI528" s="49">
        <f t="shared" si="333"/>
        <v>0</v>
      </c>
      <c r="BJ528" s="49">
        <f t="shared" si="334"/>
        <v>0</v>
      </c>
      <c r="BK528" s="49">
        <f t="shared" si="335"/>
        <v>0</v>
      </c>
      <c r="BL528" s="49">
        <f t="shared" si="336"/>
        <v>1</v>
      </c>
      <c r="BM528" s="49">
        <f t="shared" si="337"/>
        <v>0</v>
      </c>
      <c r="BN528" s="49">
        <f t="shared" si="338"/>
        <v>0</v>
      </c>
      <c r="BO528" s="49">
        <f t="shared" si="339"/>
        <v>0</v>
      </c>
      <c r="BP528" s="49">
        <f t="shared" si="340"/>
        <v>1</v>
      </c>
      <c r="BQ528" s="49">
        <f t="shared" si="341"/>
        <v>0</v>
      </c>
      <c r="BR528" s="49">
        <f t="shared" si="342"/>
        <v>0</v>
      </c>
      <c r="BS528" s="49">
        <f t="shared" si="343"/>
        <v>0</v>
      </c>
      <c r="BT528" s="49">
        <f t="shared" si="344"/>
        <v>1</v>
      </c>
      <c r="BU528" s="49">
        <f t="shared" si="345"/>
        <v>0</v>
      </c>
      <c r="BV528" s="49">
        <f t="shared" si="346"/>
        <v>0</v>
      </c>
      <c r="BW528" s="49">
        <f t="shared" si="347"/>
        <v>0</v>
      </c>
      <c r="BX528" s="49">
        <f t="shared" si="348"/>
        <v>0</v>
      </c>
      <c r="BY528" s="49">
        <f t="shared" si="349"/>
        <v>1</v>
      </c>
      <c r="BZ528" s="49">
        <f t="shared" si="350"/>
        <v>0</v>
      </c>
      <c r="CA528" s="49">
        <f t="shared" si="351"/>
        <v>0</v>
      </c>
      <c r="CB528" s="49">
        <f t="shared" si="352"/>
        <v>1</v>
      </c>
      <c r="CC528" s="49">
        <f t="shared" si="353"/>
        <v>0</v>
      </c>
      <c r="CD528" s="49">
        <f t="shared" si="354"/>
        <v>0</v>
      </c>
      <c r="CE528" s="49">
        <f t="shared" si="355"/>
        <v>0</v>
      </c>
    </row>
    <row r="529" spans="1:83" ht="35.1" customHeight="1" x14ac:dyDescent="0.3">
      <c r="A529" s="123" t="str">
        <f t="shared" si="356"/>
        <v>4팀</v>
      </c>
      <c r="B529" s="69">
        <f t="shared" si="357"/>
        <v>523</v>
      </c>
      <c r="C529" s="120" t="str">
        <f>IF(VLOOKUP($B529,'1. 현장별 인원현황'!$C:$J,2,0)=0,"",VLOOKUP($B529,'1. 현장별 인원현황'!$C:$J,2,0))</f>
        <v xml:space="preserve"> [4.롯데건설] 롯데바이오로직스 Project PROVIDENCE</v>
      </c>
      <c r="D529" s="70" t="str">
        <f>IF(VLOOKUP($B529,'1. 현장별 인원현황'!$C:$J,3,0)=0,"",VLOOKUP($B529,'1. 현장별 인원현황'!$C:$J,3,0))</f>
        <v>김한샘</v>
      </c>
      <c r="E529" s="74" t="str">
        <f ca="1">IF(VLOOKUP($B529,'1. 현장별 인원현황'!$C:$J,4,0)=0,"",VLOOKUP($B529,'1. 현장별 인원현황'!$C:$J,4,0))</f>
        <v>42세</v>
      </c>
      <c r="F529" s="70" t="str">
        <f>IF(VLOOKUP($B529,'1. 현장별 인원현황'!$C:$J,7,0)=0,"",VLOOKUP($B529,'1. 현장별 인원현황'!$C:$J,7,0))</f>
        <v>기능공</v>
      </c>
      <c r="G529" s="72" t="str">
        <f>IF(VLOOKUP($B529,'1. 현장별 인원현황'!$C:$J,8,0)=0,"",VLOOKUP($B529,'1. 현장별 인원현황'!$C:$J,8,0))</f>
        <v>전공</v>
      </c>
      <c r="H529" s="67"/>
      <c r="I529" s="73" t="s">
        <v>69</v>
      </c>
      <c r="J529" s="73"/>
      <c r="K529" s="68"/>
      <c r="L529" s="67"/>
      <c r="M529" s="73" t="s">
        <v>69</v>
      </c>
      <c r="N529" s="73"/>
      <c r="O529" s="68"/>
      <c r="P529" s="67"/>
      <c r="Q529" s="73" t="s">
        <v>69</v>
      </c>
      <c r="R529" s="73"/>
      <c r="S529" s="68"/>
      <c r="T529" s="67"/>
      <c r="U529" s="73" t="s">
        <v>69</v>
      </c>
      <c r="V529" s="73"/>
      <c r="W529" s="68"/>
      <c r="X529" s="67" t="s">
        <v>69</v>
      </c>
      <c r="Y529" s="73"/>
      <c r="Z529" s="73"/>
      <c r="AA529" s="68"/>
      <c r="AB529" s="67"/>
      <c r="AC529" s="73" t="s">
        <v>69</v>
      </c>
      <c r="AD529" s="73"/>
      <c r="AE529" s="68"/>
      <c r="AF529" s="67"/>
      <c r="AG529" s="73" t="s">
        <v>69</v>
      </c>
      <c r="AH529" s="73"/>
      <c r="AI529" s="68"/>
      <c r="AJ529" s="67"/>
      <c r="AK529" s="73" t="s">
        <v>69</v>
      </c>
      <c r="AL529" s="73"/>
      <c r="AM529" s="68"/>
      <c r="AN529" s="73" t="s">
        <v>69</v>
      </c>
      <c r="AO529" s="73"/>
      <c r="AP529" s="73"/>
      <c r="AQ529" s="68"/>
      <c r="AR529" s="67">
        <f t="shared" si="358"/>
        <v>82</v>
      </c>
      <c r="AS529" s="68" t="str">
        <f t="shared" si="359"/>
        <v>A</v>
      </c>
      <c r="AV529" s="49">
        <f t="shared" si="320"/>
        <v>0</v>
      </c>
      <c r="AW529" s="49">
        <f t="shared" si="321"/>
        <v>1</v>
      </c>
      <c r="AX529" s="49">
        <f t="shared" si="322"/>
        <v>0</v>
      </c>
      <c r="AY529" s="49">
        <f t="shared" si="323"/>
        <v>0</v>
      </c>
      <c r="AZ529" s="49">
        <f t="shared" si="324"/>
        <v>0</v>
      </c>
      <c r="BA529" s="49">
        <f t="shared" si="325"/>
        <v>1</v>
      </c>
      <c r="BB529" s="49">
        <f t="shared" si="326"/>
        <v>0</v>
      </c>
      <c r="BC529" s="49">
        <f t="shared" si="327"/>
        <v>0</v>
      </c>
      <c r="BD529" s="49">
        <f t="shared" si="328"/>
        <v>0</v>
      </c>
      <c r="BE529" s="49">
        <f t="shared" si="329"/>
        <v>1</v>
      </c>
      <c r="BF529" s="49">
        <f t="shared" si="330"/>
        <v>0</v>
      </c>
      <c r="BG529" s="49">
        <f t="shared" si="331"/>
        <v>0</v>
      </c>
      <c r="BH529" s="49">
        <f t="shared" si="332"/>
        <v>0</v>
      </c>
      <c r="BI529" s="49">
        <f t="shared" si="333"/>
        <v>1</v>
      </c>
      <c r="BJ529" s="49">
        <f t="shared" si="334"/>
        <v>0</v>
      </c>
      <c r="BK529" s="49">
        <f t="shared" si="335"/>
        <v>0</v>
      </c>
      <c r="BL529" s="49">
        <f t="shared" si="336"/>
        <v>1</v>
      </c>
      <c r="BM529" s="49">
        <f t="shared" si="337"/>
        <v>0</v>
      </c>
      <c r="BN529" s="49">
        <f t="shared" si="338"/>
        <v>0</v>
      </c>
      <c r="BO529" s="49">
        <f t="shared" si="339"/>
        <v>0</v>
      </c>
      <c r="BP529" s="49">
        <f t="shared" si="340"/>
        <v>0</v>
      </c>
      <c r="BQ529" s="49">
        <f t="shared" si="341"/>
        <v>1</v>
      </c>
      <c r="BR529" s="49">
        <f t="shared" si="342"/>
        <v>0</v>
      </c>
      <c r="BS529" s="49">
        <f t="shared" si="343"/>
        <v>0</v>
      </c>
      <c r="BT529" s="49">
        <f t="shared" si="344"/>
        <v>0</v>
      </c>
      <c r="BU529" s="49">
        <f t="shared" si="345"/>
        <v>1</v>
      </c>
      <c r="BV529" s="49">
        <f t="shared" si="346"/>
        <v>0</v>
      </c>
      <c r="BW529" s="49">
        <f t="shared" si="347"/>
        <v>0</v>
      </c>
      <c r="BX529" s="49">
        <f t="shared" si="348"/>
        <v>0</v>
      </c>
      <c r="BY529" s="49">
        <f t="shared" si="349"/>
        <v>1</v>
      </c>
      <c r="BZ529" s="49">
        <f t="shared" si="350"/>
        <v>0</v>
      </c>
      <c r="CA529" s="49">
        <f t="shared" si="351"/>
        <v>0</v>
      </c>
      <c r="CB529" s="49">
        <f t="shared" si="352"/>
        <v>1</v>
      </c>
      <c r="CC529" s="49">
        <f t="shared" si="353"/>
        <v>0</v>
      </c>
      <c r="CD529" s="49">
        <f t="shared" si="354"/>
        <v>0</v>
      </c>
      <c r="CE529" s="49">
        <f t="shared" si="355"/>
        <v>0</v>
      </c>
    </row>
    <row r="530" spans="1:83" ht="35.1" customHeight="1" x14ac:dyDescent="0.3">
      <c r="A530" s="123" t="str">
        <f t="shared" si="356"/>
        <v>4팀</v>
      </c>
      <c r="B530" s="69">
        <f t="shared" si="357"/>
        <v>524</v>
      </c>
      <c r="C530" s="120" t="str">
        <f>IF(VLOOKUP($B530,'1. 현장별 인원현황'!$C:$J,2,0)=0,"",VLOOKUP($B530,'1. 현장별 인원현황'!$C:$J,2,0))</f>
        <v xml:space="preserve"> [4.롯데건설] 롯데바이오로직스 Project PROVIDENCE</v>
      </c>
      <c r="D530" s="70" t="str">
        <f>IF(VLOOKUP($B530,'1. 현장별 인원현황'!$C:$J,3,0)=0,"",VLOOKUP($B530,'1. 현장별 인원현황'!$C:$J,3,0))</f>
        <v>박상준</v>
      </c>
      <c r="E530" s="74" t="str">
        <f ca="1">IF(VLOOKUP($B530,'1. 현장별 인원현황'!$C:$J,4,0)=0,"",VLOOKUP($B530,'1. 현장별 인원현황'!$C:$J,4,0))</f>
        <v>53세</v>
      </c>
      <c r="F530" s="70" t="str">
        <f>IF(VLOOKUP($B530,'1. 현장별 인원현황'!$C:$J,7,0)=0,"",VLOOKUP($B530,'1. 현장별 인원현황'!$C:$J,7,0))</f>
        <v>기능공</v>
      </c>
      <c r="G530" s="72" t="str">
        <f>IF(VLOOKUP($B530,'1. 현장별 인원현황'!$C:$J,8,0)=0,"",VLOOKUP($B530,'1. 현장별 인원현황'!$C:$J,8,0))</f>
        <v>전공</v>
      </c>
      <c r="H530" s="67"/>
      <c r="I530" s="73" t="s">
        <v>69</v>
      </c>
      <c r="J530" s="73"/>
      <c r="K530" s="68"/>
      <c r="L530" s="67"/>
      <c r="M530" s="73" t="s">
        <v>69</v>
      </c>
      <c r="N530" s="73"/>
      <c r="O530" s="68"/>
      <c r="P530" s="67"/>
      <c r="Q530" s="73" t="s">
        <v>69</v>
      </c>
      <c r="R530" s="73"/>
      <c r="S530" s="68"/>
      <c r="T530" s="67"/>
      <c r="U530" s="73" t="s">
        <v>69</v>
      </c>
      <c r="V530" s="73"/>
      <c r="W530" s="68"/>
      <c r="X530" s="67" t="s">
        <v>69</v>
      </c>
      <c r="Y530" s="73"/>
      <c r="Z530" s="73"/>
      <c r="AA530" s="68"/>
      <c r="AB530" s="67"/>
      <c r="AC530" s="73" t="s">
        <v>69</v>
      </c>
      <c r="AD530" s="73"/>
      <c r="AE530" s="68"/>
      <c r="AF530" s="67"/>
      <c r="AG530" s="73" t="s">
        <v>69</v>
      </c>
      <c r="AH530" s="73"/>
      <c r="AI530" s="68"/>
      <c r="AJ530" s="67"/>
      <c r="AK530" s="73" t="s">
        <v>69</v>
      </c>
      <c r="AL530" s="73"/>
      <c r="AM530" s="68"/>
      <c r="AN530" s="73" t="s">
        <v>69</v>
      </c>
      <c r="AO530" s="73"/>
      <c r="AP530" s="73"/>
      <c r="AQ530" s="68"/>
      <c r="AR530" s="67">
        <f t="shared" si="358"/>
        <v>82</v>
      </c>
      <c r="AS530" s="68" t="str">
        <f t="shared" si="359"/>
        <v>A</v>
      </c>
      <c r="AV530" s="49">
        <f t="shared" si="320"/>
        <v>0</v>
      </c>
      <c r="AW530" s="49">
        <f t="shared" si="321"/>
        <v>1</v>
      </c>
      <c r="AX530" s="49">
        <f t="shared" si="322"/>
        <v>0</v>
      </c>
      <c r="AY530" s="49">
        <f t="shared" si="323"/>
        <v>0</v>
      </c>
      <c r="AZ530" s="49">
        <f t="shared" si="324"/>
        <v>0</v>
      </c>
      <c r="BA530" s="49">
        <f t="shared" si="325"/>
        <v>1</v>
      </c>
      <c r="BB530" s="49">
        <f t="shared" si="326"/>
        <v>0</v>
      </c>
      <c r="BC530" s="49">
        <f t="shared" si="327"/>
        <v>0</v>
      </c>
      <c r="BD530" s="49">
        <f t="shared" si="328"/>
        <v>0</v>
      </c>
      <c r="BE530" s="49">
        <f t="shared" si="329"/>
        <v>1</v>
      </c>
      <c r="BF530" s="49">
        <f t="shared" si="330"/>
        <v>0</v>
      </c>
      <c r="BG530" s="49">
        <f t="shared" si="331"/>
        <v>0</v>
      </c>
      <c r="BH530" s="49">
        <f t="shared" si="332"/>
        <v>0</v>
      </c>
      <c r="BI530" s="49">
        <f t="shared" si="333"/>
        <v>1</v>
      </c>
      <c r="BJ530" s="49">
        <f t="shared" si="334"/>
        <v>0</v>
      </c>
      <c r="BK530" s="49">
        <f t="shared" si="335"/>
        <v>0</v>
      </c>
      <c r="BL530" s="49">
        <f t="shared" si="336"/>
        <v>1</v>
      </c>
      <c r="BM530" s="49">
        <f t="shared" si="337"/>
        <v>0</v>
      </c>
      <c r="BN530" s="49">
        <f t="shared" si="338"/>
        <v>0</v>
      </c>
      <c r="BO530" s="49">
        <f t="shared" si="339"/>
        <v>0</v>
      </c>
      <c r="BP530" s="49">
        <f t="shared" si="340"/>
        <v>0</v>
      </c>
      <c r="BQ530" s="49">
        <f t="shared" si="341"/>
        <v>1</v>
      </c>
      <c r="BR530" s="49">
        <f t="shared" si="342"/>
        <v>0</v>
      </c>
      <c r="BS530" s="49">
        <f t="shared" si="343"/>
        <v>0</v>
      </c>
      <c r="BT530" s="49">
        <f t="shared" si="344"/>
        <v>0</v>
      </c>
      <c r="BU530" s="49">
        <f t="shared" si="345"/>
        <v>1</v>
      </c>
      <c r="BV530" s="49">
        <f t="shared" si="346"/>
        <v>0</v>
      </c>
      <c r="BW530" s="49">
        <f t="shared" si="347"/>
        <v>0</v>
      </c>
      <c r="BX530" s="49">
        <f t="shared" si="348"/>
        <v>0</v>
      </c>
      <c r="BY530" s="49">
        <f t="shared" si="349"/>
        <v>1</v>
      </c>
      <c r="BZ530" s="49">
        <f t="shared" si="350"/>
        <v>0</v>
      </c>
      <c r="CA530" s="49">
        <f t="shared" si="351"/>
        <v>0</v>
      </c>
      <c r="CB530" s="49">
        <f t="shared" si="352"/>
        <v>1</v>
      </c>
      <c r="CC530" s="49">
        <f t="shared" si="353"/>
        <v>0</v>
      </c>
      <c r="CD530" s="49">
        <f t="shared" si="354"/>
        <v>0</v>
      </c>
      <c r="CE530" s="49">
        <f t="shared" si="355"/>
        <v>0</v>
      </c>
    </row>
    <row r="531" spans="1:83" ht="35.1" customHeight="1" x14ac:dyDescent="0.3">
      <c r="A531" s="123" t="str">
        <f t="shared" si="356"/>
        <v>4팀</v>
      </c>
      <c r="B531" s="69">
        <f t="shared" si="357"/>
        <v>525</v>
      </c>
      <c r="C531" s="120" t="str">
        <f>IF(VLOOKUP($B531,'1. 현장별 인원현황'!$C:$J,2,0)=0,"",VLOOKUP($B531,'1. 현장별 인원현황'!$C:$J,2,0))</f>
        <v xml:space="preserve"> [4.롯데건설] 롯데바이오로직스 Project PROVIDENCE</v>
      </c>
      <c r="D531" s="70" t="str">
        <f>IF(VLOOKUP($B531,'1. 현장별 인원현황'!$C:$J,3,0)=0,"",VLOOKUP($B531,'1. 현장별 인원현황'!$C:$J,3,0))</f>
        <v>이상협</v>
      </c>
      <c r="E531" s="74" t="str">
        <f ca="1">IF(VLOOKUP($B531,'1. 현장별 인원현황'!$C:$J,4,0)=0,"",VLOOKUP($B531,'1. 현장별 인원현황'!$C:$J,4,0))</f>
        <v>23세</v>
      </c>
      <c r="F531" s="70" t="str">
        <f>IF(VLOOKUP($B531,'1. 현장별 인원현황'!$C:$J,7,0)=0,"",VLOOKUP($B531,'1. 현장별 인원현황'!$C:$J,7,0))</f>
        <v>기능공</v>
      </c>
      <c r="G531" s="72" t="str">
        <f>IF(VLOOKUP($B531,'1. 현장별 인원현황'!$C:$J,8,0)=0,"",VLOOKUP($B531,'1. 현장별 인원현황'!$C:$J,8,0))</f>
        <v>전공</v>
      </c>
      <c r="H531" s="67"/>
      <c r="I531" s="73" t="s">
        <v>69</v>
      </c>
      <c r="J531" s="73"/>
      <c r="K531" s="68"/>
      <c r="L531" s="67"/>
      <c r="M531" s="73" t="s">
        <v>69</v>
      </c>
      <c r="N531" s="73"/>
      <c r="O531" s="68"/>
      <c r="P531" s="67"/>
      <c r="Q531" s="73" t="s">
        <v>69</v>
      </c>
      <c r="R531" s="73"/>
      <c r="S531" s="68"/>
      <c r="T531" s="67"/>
      <c r="U531" s="73" t="s">
        <v>69</v>
      </c>
      <c r="V531" s="73"/>
      <c r="W531" s="68"/>
      <c r="X531" s="67" t="s">
        <v>69</v>
      </c>
      <c r="Y531" s="73"/>
      <c r="Z531" s="73"/>
      <c r="AA531" s="68"/>
      <c r="AB531" s="67"/>
      <c r="AC531" s="73" t="s">
        <v>69</v>
      </c>
      <c r="AD531" s="73"/>
      <c r="AE531" s="68"/>
      <c r="AF531" s="67"/>
      <c r="AG531" s="73" t="s">
        <v>69</v>
      </c>
      <c r="AH531" s="73"/>
      <c r="AI531" s="68"/>
      <c r="AJ531" s="67"/>
      <c r="AK531" s="73" t="s">
        <v>69</v>
      </c>
      <c r="AL531" s="73"/>
      <c r="AM531" s="68"/>
      <c r="AN531" s="73" t="s">
        <v>69</v>
      </c>
      <c r="AO531" s="73"/>
      <c r="AP531" s="73"/>
      <c r="AQ531" s="68"/>
      <c r="AR531" s="67">
        <f t="shared" si="358"/>
        <v>82</v>
      </c>
      <c r="AS531" s="68" t="str">
        <f t="shared" si="359"/>
        <v>A</v>
      </c>
      <c r="AV531" s="49">
        <f t="shared" si="320"/>
        <v>0</v>
      </c>
      <c r="AW531" s="49">
        <f t="shared" si="321"/>
        <v>1</v>
      </c>
      <c r="AX531" s="49">
        <f t="shared" si="322"/>
        <v>0</v>
      </c>
      <c r="AY531" s="49">
        <f t="shared" si="323"/>
        <v>0</v>
      </c>
      <c r="AZ531" s="49">
        <f t="shared" si="324"/>
        <v>0</v>
      </c>
      <c r="BA531" s="49">
        <f t="shared" si="325"/>
        <v>1</v>
      </c>
      <c r="BB531" s="49">
        <f t="shared" si="326"/>
        <v>0</v>
      </c>
      <c r="BC531" s="49">
        <f t="shared" si="327"/>
        <v>0</v>
      </c>
      <c r="BD531" s="49">
        <f t="shared" si="328"/>
        <v>0</v>
      </c>
      <c r="BE531" s="49">
        <f t="shared" si="329"/>
        <v>1</v>
      </c>
      <c r="BF531" s="49">
        <f t="shared" si="330"/>
        <v>0</v>
      </c>
      <c r="BG531" s="49">
        <f t="shared" si="331"/>
        <v>0</v>
      </c>
      <c r="BH531" s="49">
        <f t="shared" si="332"/>
        <v>0</v>
      </c>
      <c r="BI531" s="49">
        <f t="shared" si="333"/>
        <v>1</v>
      </c>
      <c r="BJ531" s="49">
        <f t="shared" si="334"/>
        <v>0</v>
      </c>
      <c r="BK531" s="49">
        <f t="shared" si="335"/>
        <v>0</v>
      </c>
      <c r="BL531" s="49">
        <f t="shared" si="336"/>
        <v>1</v>
      </c>
      <c r="BM531" s="49">
        <f t="shared" si="337"/>
        <v>0</v>
      </c>
      <c r="BN531" s="49">
        <f t="shared" si="338"/>
        <v>0</v>
      </c>
      <c r="BO531" s="49">
        <f t="shared" si="339"/>
        <v>0</v>
      </c>
      <c r="BP531" s="49">
        <f t="shared" si="340"/>
        <v>0</v>
      </c>
      <c r="BQ531" s="49">
        <f t="shared" si="341"/>
        <v>1</v>
      </c>
      <c r="BR531" s="49">
        <f t="shared" si="342"/>
        <v>0</v>
      </c>
      <c r="BS531" s="49">
        <f t="shared" si="343"/>
        <v>0</v>
      </c>
      <c r="BT531" s="49">
        <f t="shared" si="344"/>
        <v>0</v>
      </c>
      <c r="BU531" s="49">
        <f t="shared" si="345"/>
        <v>1</v>
      </c>
      <c r="BV531" s="49">
        <f t="shared" si="346"/>
        <v>0</v>
      </c>
      <c r="BW531" s="49">
        <f t="shared" si="347"/>
        <v>0</v>
      </c>
      <c r="BX531" s="49">
        <f t="shared" si="348"/>
        <v>0</v>
      </c>
      <c r="BY531" s="49">
        <f t="shared" si="349"/>
        <v>1</v>
      </c>
      <c r="BZ531" s="49">
        <f t="shared" si="350"/>
        <v>0</v>
      </c>
      <c r="CA531" s="49">
        <f t="shared" si="351"/>
        <v>0</v>
      </c>
      <c r="CB531" s="49">
        <f t="shared" si="352"/>
        <v>1</v>
      </c>
      <c r="CC531" s="49">
        <f t="shared" si="353"/>
        <v>0</v>
      </c>
      <c r="CD531" s="49">
        <f t="shared" si="354"/>
        <v>0</v>
      </c>
      <c r="CE531" s="49">
        <f t="shared" si="355"/>
        <v>0</v>
      </c>
    </row>
    <row r="532" spans="1:83" ht="35.1" customHeight="1" x14ac:dyDescent="0.3">
      <c r="A532" s="123" t="str">
        <f t="shared" si="356"/>
        <v>4팀</v>
      </c>
      <c r="B532" s="69">
        <f t="shared" si="357"/>
        <v>526</v>
      </c>
      <c r="C532" s="120" t="str">
        <f>IF(VLOOKUP($B532,'1. 현장별 인원현황'!$C:$J,2,0)=0,"",VLOOKUP($B532,'1. 현장별 인원현황'!$C:$J,2,0))</f>
        <v xml:space="preserve"> [4.롯데건설] 롯데바이오로직스 Project PROVIDENCE</v>
      </c>
      <c r="D532" s="70" t="str">
        <f>IF(VLOOKUP($B532,'1. 현장별 인원현황'!$C:$J,3,0)=0,"",VLOOKUP($B532,'1. 현장별 인원현황'!$C:$J,3,0))</f>
        <v>이효원</v>
      </c>
      <c r="E532" s="74" t="str">
        <f ca="1">IF(VLOOKUP($B532,'1. 현장별 인원현황'!$C:$J,4,0)=0,"",VLOOKUP($B532,'1. 현장별 인원현황'!$C:$J,4,0))</f>
        <v>51세</v>
      </c>
      <c r="F532" s="70" t="str">
        <f>IF(VLOOKUP($B532,'1. 현장별 인원현황'!$C:$J,7,0)=0,"",VLOOKUP($B532,'1. 현장별 인원현황'!$C:$J,7,0))</f>
        <v>기능공</v>
      </c>
      <c r="G532" s="72" t="str">
        <f>IF(VLOOKUP($B532,'1. 현장별 인원현황'!$C:$J,8,0)=0,"",VLOOKUP($B532,'1. 현장별 인원현황'!$C:$J,8,0))</f>
        <v>전공</v>
      </c>
      <c r="H532" s="67"/>
      <c r="I532" s="73" t="s">
        <v>69</v>
      </c>
      <c r="J532" s="73"/>
      <c r="K532" s="68"/>
      <c r="L532" s="67" t="s">
        <v>69</v>
      </c>
      <c r="M532" s="73" t="s">
        <v>69</v>
      </c>
      <c r="N532" s="73"/>
      <c r="O532" s="68"/>
      <c r="P532" s="67" t="s">
        <v>69</v>
      </c>
      <c r="Q532" s="73"/>
      <c r="R532" s="73"/>
      <c r="S532" s="68"/>
      <c r="T532" s="67"/>
      <c r="U532" s="73" t="s">
        <v>69</v>
      </c>
      <c r="V532" s="73"/>
      <c r="W532" s="68"/>
      <c r="X532" s="67" t="s">
        <v>69</v>
      </c>
      <c r="Y532" s="73"/>
      <c r="Z532" s="73"/>
      <c r="AA532" s="68"/>
      <c r="AB532" s="67"/>
      <c r="AC532" s="73" t="s">
        <v>69</v>
      </c>
      <c r="AD532" s="73"/>
      <c r="AE532" s="68"/>
      <c r="AF532" s="67"/>
      <c r="AG532" s="73" t="s">
        <v>69</v>
      </c>
      <c r="AH532" s="73"/>
      <c r="AI532" s="68"/>
      <c r="AJ532" s="67"/>
      <c r="AK532" s="73" t="s">
        <v>69</v>
      </c>
      <c r="AL532" s="73"/>
      <c r="AM532" s="68"/>
      <c r="AN532" s="73" t="s">
        <v>69</v>
      </c>
      <c r="AO532" s="73"/>
      <c r="AP532" s="73"/>
      <c r="AQ532" s="68"/>
      <c r="AR532" s="67">
        <f t="shared" si="358"/>
        <v>97</v>
      </c>
      <c r="AS532" s="68" t="str">
        <f t="shared" si="359"/>
        <v>S</v>
      </c>
      <c r="AV532" s="49">
        <f t="shared" si="320"/>
        <v>0</v>
      </c>
      <c r="AW532" s="49">
        <f t="shared" si="321"/>
        <v>1</v>
      </c>
      <c r="AX532" s="49">
        <f t="shared" si="322"/>
        <v>0</v>
      </c>
      <c r="AY532" s="49">
        <f t="shared" si="323"/>
        <v>0</v>
      </c>
      <c r="AZ532" s="49">
        <f t="shared" si="324"/>
        <v>1</v>
      </c>
      <c r="BA532" s="49">
        <f t="shared" si="325"/>
        <v>1</v>
      </c>
      <c r="BB532" s="49">
        <f t="shared" si="326"/>
        <v>0</v>
      </c>
      <c r="BC532" s="49">
        <f t="shared" si="327"/>
        <v>0</v>
      </c>
      <c r="BD532" s="49">
        <f t="shared" si="328"/>
        <v>1</v>
      </c>
      <c r="BE532" s="49">
        <f t="shared" si="329"/>
        <v>0</v>
      </c>
      <c r="BF532" s="49">
        <f t="shared" si="330"/>
        <v>0</v>
      </c>
      <c r="BG532" s="49">
        <f t="shared" si="331"/>
        <v>0</v>
      </c>
      <c r="BH532" s="49">
        <f t="shared" si="332"/>
        <v>0</v>
      </c>
      <c r="BI532" s="49">
        <f t="shared" si="333"/>
        <v>1</v>
      </c>
      <c r="BJ532" s="49">
        <f t="shared" si="334"/>
        <v>0</v>
      </c>
      <c r="BK532" s="49">
        <f t="shared" si="335"/>
        <v>0</v>
      </c>
      <c r="BL532" s="49">
        <f t="shared" si="336"/>
        <v>1</v>
      </c>
      <c r="BM532" s="49">
        <f t="shared" si="337"/>
        <v>0</v>
      </c>
      <c r="BN532" s="49">
        <f t="shared" si="338"/>
        <v>0</v>
      </c>
      <c r="BO532" s="49">
        <f t="shared" si="339"/>
        <v>0</v>
      </c>
      <c r="BP532" s="49">
        <f t="shared" si="340"/>
        <v>0</v>
      </c>
      <c r="BQ532" s="49">
        <f t="shared" si="341"/>
        <v>1</v>
      </c>
      <c r="BR532" s="49">
        <f t="shared" si="342"/>
        <v>0</v>
      </c>
      <c r="BS532" s="49">
        <f t="shared" si="343"/>
        <v>0</v>
      </c>
      <c r="BT532" s="49">
        <f t="shared" si="344"/>
        <v>0</v>
      </c>
      <c r="BU532" s="49">
        <f t="shared" si="345"/>
        <v>1</v>
      </c>
      <c r="BV532" s="49">
        <f t="shared" si="346"/>
        <v>0</v>
      </c>
      <c r="BW532" s="49">
        <f t="shared" si="347"/>
        <v>0</v>
      </c>
      <c r="BX532" s="49">
        <f t="shared" si="348"/>
        <v>0</v>
      </c>
      <c r="BY532" s="49">
        <f t="shared" si="349"/>
        <v>1</v>
      </c>
      <c r="BZ532" s="49">
        <f t="shared" si="350"/>
        <v>0</v>
      </c>
      <c r="CA532" s="49">
        <f t="shared" si="351"/>
        <v>0</v>
      </c>
      <c r="CB532" s="49">
        <f t="shared" si="352"/>
        <v>1</v>
      </c>
      <c r="CC532" s="49">
        <f t="shared" si="353"/>
        <v>0</v>
      </c>
      <c r="CD532" s="49">
        <f t="shared" si="354"/>
        <v>0</v>
      </c>
      <c r="CE532" s="49">
        <f t="shared" si="355"/>
        <v>0</v>
      </c>
    </row>
    <row r="533" spans="1:83" ht="35.1" customHeight="1" x14ac:dyDescent="0.3">
      <c r="A533" s="123" t="str">
        <f t="shared" si="356"/>
        <v>4팀</v>
      </c>
      <c r="B533" s="69">
        <f t="shared" si="357"/>
        <v>527</v>
      </c>
      <c r="C533" s="120" t="str">
        <f>IF(VLOOKUP($B533,'1. 현장별 인원현황'!$C:$J,2,0)=0,"",VLOOKUP($B533,'1. 현장별 인원현황'!$C:$J,2,0))</f>
        <v xml:space="preserve"> [4.롯데건설] 롯데바이오로직스 Project PROVIDENCE</v>
      </c>
      <c r="D533" s="70" t="str">
        <f>IF(VLOOKUP($B533,'1. 현장별 인원현황'!$C:$J,3,0)=0,"",VLOOKUP($B533,'1. 현장별 인원현황'!$C:$J,3,0))</f>
        <v>오영택</v>
      </c>
      <c r="E533" s="74" t="str">
        <f ca="1">IF(VLOOKUP($B533,'1. 현장별 인원현황'!$C:$J,4,0)=0,"",VLOOKUP($B533,'1. 현장별 인원현황'!$C:$J,4,0))</f>
        <v>42세</v>
      </c>
      <c r="F533" s="70" t="str">
        <f>IF(VLOOKUP($B533,'1. 현장별 인원현황'!$C:$J,7,0)=0,"",VLOOKUP($B533,'1. 현장별 인원현황'!$C:$J,7,0))</f>
        <v>기능공</v>
      </c>
      <c r="G533" s="72" t="str">
        <f>IF(VLOOKUP($B533,'1. 현장별 인원현황'!$C:$J,8,0)=0,"",VLOOKUP($B533,'1. 현장별 인원현황'!$C:$J,8,0))</f>
        <v>전공</v>
      </c>
      <c r="H533" s="67"/>
      <c r="I533" s="73" t="s">
        <v>69</v>
      </c>
      <c r="J533" s="73"/>
      <c r="K533" s="68"/>
      <c r="L533" s="67"/>
      <c r="M533" s="73" t="s">
        <v>69</v>
      </c>
      <c r="N533" s="73"/>
      <c r="O533" s="68"/>
      <c r="P533" s="67"/>
      <c r="Q533" s="73" t="s">
        <v>69</v>
      </c>
      <c r="R533" s="73"/>
      <c r="S533" s="68"/>
      <c r="T533" s="67"/>
      <c r="U533" s="73" t="s">
        <v>69</v>
      </c>
      <c r="V533" s="73"/>
      <c r="W533" s="68"/>
      <c r="X533" s="67" t="s">
        <v>69</v>
      </c>
      <c r="Y533" s="73"/>
      <c r="Z533" s="73"/>
      <c r="AA533" s="68"/>
      <c r="AB533" s="67"/>
      <c r="AC533" s="73" t="s">
        <v>69</v>
      </c>
      <c r="AD533" s="73"/>
      <c r="AE533" s="68"/>
      <c r="AF533" s="67" t="s">
        <v>69</v>
      </c>
      <c r="AG533" s="73"/>
      <c r="AH533" s="73"/>
      <c r="AI533" s="68"/>
      <c r="AJ533" s="67"/>
      <c r="AK533" s="73" t="s">
        <v>69</v>
      </c>
      <c r="AL533" s="73"/>
      <c r="AM533" s="68"/>
      <c r="AN533" s="73" t="s">
        <v>69</v>
      </c>
      <c r="AO533" s="73"/>
      <c r="AP533" s="73"/>
      <c r="AQ533" s="68"/>
      <c r="AR533" s="67">
        <f t="shared" si="358"/>
        <v>84</v>
      </c>
      <c r="AS533" s="68" t="str">
        <f t="shared" si="359"/>
        <v>A</v>
      </c>
      <c r="AV533" s="49">
        <f t="shared" si="320"/>
        <v>0</v>
      </c>
      <c r="AW533" s="49">
        <f t="shared" si="321"/>
        <v>1</v>
      </c>
      <c r="AX533" s="49">
        <f t="shared" si="322"/>
        <v>0</v>
      </c>
      <c r="AY533" s="49">
        <f t="shared" si="323"/>
        <v>0</v>
      </c>
      <c r="AZ533" s="49">
        <f t="shared" si="324"/>
        <v>0</v>
      </c>
      <c r="BA533" s="49">
        <f t="shared" si="325"/>
        <v>1</v>
      </c>
      <c r="BB533" s="49">
        <f t="shared" si="326"/>
        <v>0</v>
      </c>
      <c r="BC533" s="49">
        <f t="shared" si="327"/>
        <v>0</v>
      </c>
      <c r="BD533" s="49">
        <f t="shared" si="328"/>
        <v>0</v>
      </c>
      <c r="BE533" s="49">
        <f t="shared" si="329"/>
        <v>1</v>
      </c>
      <c r="BF533" s="49">
        <f t="shared" si="330"/>
        <v>0</v>
      </c>
      <c r="BG533" s="49">
        <f t="shared" si="331"/>
        <v>0</v>
      </c>
      <c r="BH533" s="49">
        <f t="shared" si="332"/>
        <v>0</v>
      </c>
      <c r="BI533" s="49">
        <f t="shared" si="333"/>
        <v>1</v>
      </c>
      <c r="BJ533" s="49">
        <f t="shared" si="334"/>
        <v>0</v>
      </c>
      <c r="BK533" s="49">
        <f t="shared" si="335"/>
        <v>0</v>
      </c>
      <c r="BL533" s="49">
        <f t="shared" si="336"/>
        <v>1</v>
      </c>
      <c r="BM533" s="49">
        <f t="shared" si="337"/>
        <v>0</v>
      </c>
      <c r="BN533" s="49">
        <f t="shared" si="338"/>
        <v>0</v>
      </c>
      <c r="BO533" s="49">
        <f t="shared" si="339"/>
        <v>0</v>
      </c>
      <c r="BP533" s="49">
        <f t="shared" si="340"/>
        <v>0</v>
      </c>
      <c r="BQ533" s="49">
        <f t="shared" si="341"/>
        <v>1</v>
      </c>
      <c r="BR533" s="49">
        <f t="shared" si="342"/>
        <v>0</v>
      </c>
      <c r="BS533" s="49">
        <f t="shared" si="343"/>
        <v>0</v>
      </c>
      <c r="BT533" s="49">
        <f t="shared" si="344"/>
        <v>1</v>
      </c>
      <c r="BU533" s="49">
        <f t="shared" si="345"/>
        <v>0</v>
      </c>
      <c r="BV533" s="49">
        <f t="shared" si="346"/>
        <v>0</v>
      </c>
      <c r="BW533" s="49">
        <f t="shared" si="347"/>
        <v>0</v>
      </c>
      <c r="BX533" s="49">
        <f t="shared" si="348"/>
        <v>0</v>
      </c>
      <c r="BY533" s="49">
        <f t="shared" si="349"/>
        <v>1</v>
      </c>
      <c r="BZ533" s="49">
        <f t="shared" si="350"/>
        <v>0</v>
      </c>
      <c r="CA533" s="49">
        <f t="shared" si="351"/>
        <v>0</v>
      </c>
      <c r="CB533" s="49">
        <f t="shared" si="352"/>
        <v>1</v>
      </c>
      <c r="CC533" s="49">
        <f t="shared" si="353"/>
        <v>0</v>
      </c>
      <c r="CD533" s="49">
        <f t="shared" si="354"/>
        <v>0</v>
      </c>
      <c r="CE533" s="49">
        <f t="shared" si="355"/>
        <v>0</v>
      </c>
    </row>
    <row r="534" spans="1:83" ht="35.1" customHeight="1" x14ac:dyDescent="0.3">
      <c r="A534" s="123" t="str">
        <f t="shared" si="356"/>
        <v>4팀</v>
      </c>
      <c r="B534" s="69">
        <f t="shared" si="357"/>
        <v>528</v>
      </c>
      <c r="C534" s="120" t="str">
        <f>IF(VLOOKUP($B534,'1. 현장별 인원현황'!$C:$J,2,0)=0,"",VLOOKUP($B534,'1. 현장별 인원현황'!$C:$J,2,0))</f>
        <v xml:space="preserve"> [4.롯데건설] 롯데바이오로직스 Project PROVIDENCE</v>
      </c>
      <c r="D534" s="70" t="str">
        <f>IF(VLOOKUP($B534,'1. 현장별 인원현황'!$C:$J,3,0)=0,"",VLOOKUP($B534,'1. 현장별 인원현황'!$C:$J,3,0))</f>
        <v>강민석</v>
      </c>
      <c r="E534" s="74" t="str">
        <f ca="1">IF(VLOOKUP($B534,'1. 현장별 인원현황'!$C:$J,4,0)=0,"",VLOOKUP($B534,'1. 현장별 인원현황'!$C:$J,4,0))</f>
        <v>58세</v>
      </c>
      <c r="F534" s="70" t="str">
        <f>IF(VLOOKUP($B534,'1. 현장별 인원현황'!$C:$J,7,0)=0,"",VLOOKUP($B534,'1. 현장별 인원현황'!$C:$J,7,0))</f>
        <v>기능공</v>
      </c>
      <c r="G534" s="72" t="str">
        <f>IF(VLOOKUP($B534,'1. 현장별 인원현황'!$C:$J,8,0)=0,"",VLOOKUP($B534,'1. 현장별 인원현황'!$C:$J,8,0))</f>
        <v>전공</v>
      </c>
      <c r="H534" s="67"/>
      <c r="I534" s="73" t="s">
        <v>69</v>
      </c>
      <c r="J534" s="73"/>
      <c r="K534" s="68"/>
      <c r="L534" s="67"/>
      <c r="M534" s="73" t="s">
        <v>69</v>
      </c>
      <c r="N534" s="73"/>
      <c r="O534" s="68"/>
      <c r="P534" s="67"/>
      <c r="Q534" s="73" t="s">
        <v>69</v>
      </c>
      <c r="R534" s="73"/>
      <c r="S534" s="68"/>
      <c r="T534" s="67"/>
      <c r="U534" s="73" t="s">
        <v>69</v>
      </c>
      <c r="V534" s="73"/>
      <c r="W534" s="68"/>
      <c r="X534" s="67" t="s">
        <v>69</v>
      </c>
      <c r="Y534" s="73"/>
      <c r="Z534" s="73"/>
      <c r="AA534" s="68"/>
      <c r="AB534" s="67"/>
      <c r="AC534" s="73"/>
      <c r="AD534" s="73" t="s">
        <v>69</v>
      </c>
      <c r="AE534" s="68"/>
      <c r="AF534" s="67"/>
      <c r="AG534" s="73" t="s">
        <v>69</v>
      </c>
      <c r="AH534" s="73"/>
      <c r="AI534" s="68"/>
      <c r="AJ534" s="67"/>
      <c r="AK534" s="73" t="s">
        <v>69</v>
      </c>
      <c r="AL534" s="73"/>
      <c r="AM534" s="68"/>
      <c r="AN534" s="73" t="s">
        <v>69</v>
      </c>
      <c r="AO534" s="73"/>
      <c r="AP534" s="73"/>
      <c r="AQ534" s="68"/>
      <c r="AR534" s="67">
        <f t="shared" si="358"/>
        <v>80</v>
      </c>
      <c r="AS534" s="68" t="str">
        <f t="shared" si="359"/>
        <v>A</v>
      </c>
      <c r="AV534" s="49">
        <f t="shared" si="320"/>
        <v>0</v>
      </c>
      <c r="AW534" s="49">
        <f t="shared" si="321"/>
        <v>1</v>
      </c>
      <c r="AX534" s="49">
        <f t="shared" si="322"/>
        <v>0</v>
      </c>
      <c r="AY534" s="49">
        <f t="shared" si="323"/>
        <v>0</v>
      </c>
      <c r="AZ534" s="49">
        <f t="shared" si="324"/>
        <v>0</v>
      </c>
      <c r="BA534" s="49">
        <f t="shared" si="325"/>
        <v>1</v>
      </c>
      <c r="BB534" s="49">
        <f t="shared" si="326"/>
        <v>0</v>
      </c>
      <c r="BC534" s="49">
        <f t="shared" si="327"/>
        <v>0</v>
      </c>
      <c r="BD534" s="49">
        <f t="shared" si="328"/>
        <v>0</v>
      </c>
      <c r="BE534" s="49">
        <f t="shared" si="329"/>
        <v>1</v>
      </c>
      <c r="BF534" s="49">
        <f t="shared" si="330"/>
        <v>0</v>
      </c>
      <c r="BG534" s="49">
        <f t="shared" si="331"/>
        <v>0</v>
      </c>
      <c r="BH534" s="49">
        <f t="shared" si="332"/>
        <v>0</v>
      </c>
      <c r="BI534" s="49">
        <f t="shared" si="333"/>
        <v>1</v>
      </c>
      <c r="BJ534" s="49">
        <f t="shared" si="334"/>
        <v>0</v>
      </c>
      <c r="BK534" s="49">
        <f t="shared" si="335"/>
        <v>0</v>
      </c>
      <c r="BL534" s="49">
        <f t="shared" si="336"/>
        <v>1</v>
      </c>
      <c r="BM534" s="49">
        <f t="shared" si="337"/>
        <v>0</v>
      </c>
      <c r="BN534" s="49">
        <f t="shared" si="338"/>
        <v>0</v>
      </c>
      <c r="BO534" s="49">
        <f t="shared" si="339"/>
        <v>0</v>
      </c>
      <c r="BP534" s="49">
        <f t="shared" si="340"/>
        <v>0</v>
      </c>
      <c r="BQ534" s="49">
        <f t="shared" si="341"/>
        <v>0</v>
      </c>
      <c r="BR534" s="49">
        <f t="shared" si="342"/>
        <v>1</v>
      </c>
      <c r="BS534" s="49">
        <f t="shared" si="343"/>
        <v>0</v>
      </c>
      <c r="BT534" s="49">
        <f t="shared" si="344"/>
        <v>0</v>
      </c>
      <c r="BU534" s="49">
        <f t="shared" si="345"/>
        <v>1</v>
      </c>
      <c r="BV534" s="49">
        <f t="shared" si="346"/>
        <v>0</v>
      </c>
      <c r="BW534" s="49">
        <f t="shared" si="347"/>
        <v>0</v>
      </c>
      <c r="BX534" s="49">
        <f t="shared" si="348"/>
        <v>0</v>
      </c>
      <c r="BY534" s="49">
        <f t="shared" si="349"/>
        <v>1</v>
      </c>
      <c r="BZ534" s="49">
        <f t="shared" si="350"/>
        <v>0</v>
      </c>
      <c r="CA534" s="49">
        <f t="shared" si="351"/>
        <v>0</v>
      </c>
      <c r="CB534" s="49">
        <f t="shared" si="352"/>
        <v>1</v>
      </c>
      <c r="CC534" s="49">
        <f t="shared" si="353"/>
        <v>0</v>
      </c>
      <c r="CD534" s="49">
        <f t="shared" si="354"/>
        <v>0</v>
      </c>
      <c r="CE534" s="49">
        <f t="shared" si="355"/>
        <v>0</v>
      </c>
    </row>
    <row r="535" spans="1:83" ht="35.1" customHeight="1" x14ac:dyDescent="0.3">
      <c r="A535" s="123" t="str">
        <f t="shared" si="356"/>
        <v>4팀</v>
      </c>
      <c r="B535" s="69">
        <f t="shared" si="357"/>
        <v>529</v>
      </c>
      <c r="C535" s="120" t="str">
        <f>IF(VLOOKUP($B535,'1. 현장별 인원현황'!$C:$J,2,0)=0,"",VLOOKUP($B535,'1. 현장별 인원현황'!$C:$J,2,0))</f>
        <v xml:space="preserve"> [4.롯데건설] 롯데바이오로직스 Project PROVIDENCE</v>
      </c>
      <c r="D535" s="70" t="str">
        <f>IF(VLOOKUP($B535,'1. 현장별 인원현황'!$C:$J,3,0)=0,"",VLOOKUP($B535,'1. 현장별 인원현황'!$C:$J,3,0))</f>
        <v>박홍주</v>
      </c>
      <c r="E535" s="74" t="str">
        <f ca="1">IF(VLOOKUP($B535,'1. 현장별 인원현황'!$C:$J,4,0)=0,"",VLOOKUP($B535,'1. 현장별 인원현황'!$C:$J,4,0))</f>
        <v>59세</v>
      </c>
      <c r="F535" s="70" t="str">
        <f>IF(VLOOKUP($B535,'1. 현장별 인원현황'!$C:$J,7,0)=0,"",VLOOKUP($B535,'1. 현장별 인원현황'!$C:$J,7,0))</f>
        <v>기능공</v>
      </c>
      <c r="G535" s="72" t="str">
        <f>IF(VLOOKUP($B535,'1. 현장별 인원현황'!$C:$J,8,0)=0,"",VLOOKUP($B535,'1. 현장별 인원현황'!$C:$J,8,0))</f>
        <v>전공</v>
      </c>
      <c r="H535" s="67"/>
      <c r="I535" s="73"/>
      <c r="J535" s="73" t="s">
        <v>69</v>
      </c>
      <c r="K535" s="68"/>
      <c r="L535" s="67"/>
      <c r="M535" s="73" t="s">
        <v>69</v>
      </c>
      <c r="N535" s="73"/>
      <c r="O535" s="68"/>
      <c r="P535" s="67"/>
      <c r="Q535" s="73" t="s">
        <v>69</v>
      </c>
      <c r="R535" s="73"/>
      <c r="S535" s="68"/>
      <c r="T535" s="67"/>
      <c r="U535" s="73" t="s">
        <v>69</v>
      </c>
      <c r="V535" s="73"/>
      <c r="W535" s="68"/>
      <c r="X535" s="67" t="s">
        <v>69</v>
      </c>
      <c r="Y535" s="73"/>
      <c r="Z535" s="73"/>
      <c r="AA535" s="68"/>
      <c r="AB535" s="67"/>
      <c r="AC535" s="73"/>
      <c r="AD535" s="73" t="s">
        <v>69</v>
      </c>
      <c r="AE535" s="68"/>
      <c r="AF535" s="67"/>
      <c r="AG535" s="73" t="s">
        <v>69</v>
      </c>
      <c r="AH535" s="73"/>
      <c r="AI535" s="68"/>
      <c r="AJ535" s="67"/>
      <c r="AK535" s="73" t="s">
        <v>69</v>
      </c>
      <c r="AL535" s="73"/>
      <c r="AM535" s="68"/>
      <c r="AN535" s="73" t="s">
        <v>69</v>
      </c>
      <c r="AO535" s="73"/>
      <c r="AP535" s="73"/>
      <c r="AQ535" s="68"/>
      <c r="AR535" s="67">
        <f t="shared" si="358"/>
        <v>77</v>
      </c>
      <c r="AS535" s="68" t="str">
        <f t="shared" si="359"/>
        <v>A</v>
      </c>
      <c r="AV535" s="49">
        <f t="shared" si="320"/>
        <v>0</v>
      </c>
      <c r="AW535" s="49">
        <f t="shared" si="321"/>
        <v>0</v>
      </c>
      <c r="AX535" s="49">
        <f t="shared" si="322"/>
        <v>1</v>
      </c>
      <c r="AY535" s="49">
        <f t="shared" si="323"/>
        <v>0</v>
      </c>
      <c r="AZ535" s="49">
        <f t="shared" si="324"/>
        <v>0</v>
      </c>
      <c r="BA535" s="49">
        <f t="shared" si="325"/>
        <v>1</v>
      </c>
      <c r="BB535" s="49">
        <f t="shared" si="326"/>
        <v>0</v>
      </c>
      <c r="BC535" s="49">
        <f t="shared" si="327"/>
        <v>0</v>
      </c>
      <c r="BD535" s="49">
        <f t="shared" si="328"/>
        <v>0</v>
      </c>
      <c r="BE535" s="49">
        <f t="shared" si="329"/>
        <v>1</v>
      </c>
      <c r="BF535" s="49">
        <f t="shared" si="330"/>
        <v>0</v>
      </c>
      <c r="BG535" s="49">
        <f t="shared" si="331"/>
        <v>0</v>
      </c>
      <c r="BH535" s="49">
        <f t="shared" si="332"/>
        <v>0</v>
      </c>
      <c r="BI535" s="49">
        <f t="shared" si="333"/>
        <v>1</v>
      </c>
      <c r="BJ535" s="49">
        <f t="shared" si="334"/>
        <v>0</v>
      </c>
      <c r="BK535" s="49">
        <f t="shared" si="335"/>
        <v>0</v>
      </c>
      <c r="BL535" s="49">
        <f t="shared" si="336"/>
        <v>1</v>
      </c>
      <c r="BM535" s="49">
        <f t="shared" si="337"/>
        <v>0</v>
      </c>
      <c r="BN535" s="49">
        <f t="shared" si="338"/>
        <v>0</v>
      </c>
      <c r="BO535" s="49">
        <f t="shared" si="339"/>
        <v>0</v>
      </c>
      <c r="BP535" s="49">
        <f t="shared" si="340"/>
        <v>0</v>
      </c>
      <c r="BQ535" s="49">
        <f t="shared" si="341"/>
        <v>0</v>
      </c>
      <c r="BR535" s="49">
        <f t="shared" si="342"/>
        <v>1</v>
      </c>
      <c r="BS535" s="49">
        <f t="shared" si="343"/>
        <v>0</v>
      </c>
      <c r="BT535" s="49">
        <f t="shared" si="344"/>
        <v>0</v>
      </c>
      <c r="BU535" s="49">
        <f t="shared" si="345"/>
        <v>1</v>
      </c>
      <c r="BV535" s="49">
        <f t="shared" si="346"/>
        <v>0</v>
      </c>
      <c r="BW535" s="49">
        <f t="shared" si="347"/>
        <v>0</v>
      </c>
      <c r="BX535" s="49">
        <f t="shared" si="348"/>
        <v>0</v>
      </c>
      <c r="BY535" s="49">
        <f t="shared" si="349"/>
        <v>1</v>
      </c>
      <c r="BZ535" s="49">
        <f t="shared" si="350"/>
        <v>0</v>
      </c>
      <c r="CA535" s="49">
        <f t="shared" si="351"/>
        <v>0</v>
      </c>
      <c r="CB535" s="49">
        <f t="shared" si="352"/>
        <v>1</v>
      </c>
      <c r="CC535" s="49">
        <f t="shared" si="353"/>
        <v>0</v>
      </c>
      <c r="CD535" s="49">
        <f t="shared" si="354"/>
        <v>0</v>
      </c>
      <c r="CE535" s="49">
        <f t="shared" si="355"/>
        <v>0</v>
      </c>
    </row>
    <row r="536" spans="1:83" ht="35.1" customHeight="1" x14ac:dyDescent="0.3">
      <c r="A536" s="123" t="str">
        <f t="shared" si="356"/>
        <v>4팀</v>
      </c>
      <c r="B536" s="69">
        <f t="shared" si="357"/>
        <v>530</v>
      </c>
      <c r="C536" s="120" t="str">
        <f>IF(VLOOKUP($B536,'1. 현장별 인원현황'!$C:$J,2,0)=0,"",VLOOKUP($B536,'1. 현장별 인원현황'!$C:$J,2,0))</f>
        <v xml:space="preserve"> [4.롯데건설] 롯데바이오로직스 Project PROVIDENCE</v>
      </c>
      <c r="D536" s="70" t="str">
        <f>IF(VLOOKUP($B536,'1. 현장별 인원현황'!$C:$J,3,0)=0,"",VLOOKUP($B536,'1. 현장별 인원현황'!$C:$J,3,0))</f>
        <v>이창준</v>
      </c>
      <c r="E536" s="74" t="str">
        <f ca="1">IF(VLOOKUP($B536,'1. 현장별 인원현황'!$C:$J,4,0)=0,"",VLOOKUP($B536,'1. 현장별 인원현황'!$C:$J,4,0))</f>
        <v>48세</v>
      </c>
      <c r="F536" s="70" t="str">
        <f>IF(VLOOKUP($B536,'1. 현장별 인원현황'!$C:$J,7,0)=0,"",VLOOKUP($B536,'1. 현장별 인원현황'!$C:$J,7,0))</f>
        <v>기능공</v>
      </c>
      <c r="G536" s="72" t="str">
        <f>IF(VLOOKUP($B536,'1. 현장별 인원현황'!$C:$J,8,0)=0,"",VLOOKUP($B536,'1. 현장별 인원현황'!$C:$J,8,0))</f>
        <v>전공</v>
      </c>
      <c r="H536" s="67"/>
      <c r="I536" s="73" t="s">
        <v>69</v>
      </c>
      <c r="J536" s="73"/>
      <c r="K536" s="68"/>
      <c r="L536" s="67"/>
      <c r="M536" s="73" t="s">
        <v>69</v>
      </c>
      <c r="N536" s="73"/>
      <c r="O536" s="68"/>
      <c r="P536" s="67"/>
      <c r="Q536" s="73" t="s">
        <v>69</v>
      </c>
      <c r="R536" s="73"/>
      <c r="S536" s="68"/>
      <c r="T536" s="67"/>
      <c r="U536" s="73" t="s">
        <v>69</v>
      </c>
      <c r="V536" s="73"/>
      <c r="W536" s="68"/>
      <c r="X536" s="67" t="s">
        <v>69</v>
      </c>
      <c r="Y536" s="73"/>
      <c r="Z536" s="73"/>
      <c r="AA536" s="68"/>
      <c r="AB536" s="67"/>
      <c r="AC536" s="73" t="s">
        <v>69</v>
      </c>
      <c r="AD536" s="73"/>
      <c r="AE536" s="68"/>
      <c r="AF536" s="67"/>
      <c r="AG536" s="73" t="s">
        <v>69</v>
      </c>
      <c r="AH536" s="73"/>
      <c r="AI536" s="68"/>
      <c r="AJ536" s="67"/>
      <c r="AK536" s="73" t="s">
        <v>69</v>
      </c>
      <c r="AL536" s="73"/>
      <c r="AM536" s="68"/>
      <c r="AN536" s="73" t="s">
        <v>69</v>
      </c>
      <c r="AO536" s="73"/>
      <c r="AP536" s="73"/>
      <c r="AQ536" s="68"/>
      <c r="AR536" s="67">
        <f t="shared" si="358"/>
        <v>82</v>
      </c>
      <c r="AS536" s="68" t="str">
        <f t="shared" si="359"/>
        <v>A</v>
      </c>
      <c r="AV536" s="49">
        <f t="shared" si="320"/>
        <v>0</v>
      </c>
      <c r="AW536" s="49">
        <f t="shared" si="321"/>
        <v>1</v>
      </c>
      <c r="AX536" s="49">
        <f t="shared" si="322"/>
        <v>0</v>
      </c>
      <c r="AY536" s="49">
        <f t="shared" si="323"/>
        <v>0</v>
      </c>
      <c r="AZ536" s="49">
        <f t="shared" si="324"/>
        <v>0</v>
      </c>
      <c r="BA536" s="49">
        <f t="shared" si="325"/>
        <v>1</v>
      </c>
      <c r="BB536" s="49">
        <f t="shared" si="326"/>
        <v>0</v>
      </c>
      <c r="BC536" s="49">
        <f t="shared" si="327"/>
        <v>0</v>
      </c>
      <c r="BD536" s="49">
        <f t="shared" si="328"/>
        <v>0</v>
      </c>
      <c r="BE536" s="49">
        <f t="shared" si="329"/>
        <v>1</v>
      </c>
      <c r="BF536" s="49">
        <f t="shared" si="330"/>
        <v>0</v>
      </c>
      <c r="BG536" s="49">
        <f t="shared" si="331"/>
        <v>0</v>
      </c>
      <c r="BH536" s="49">
        <f t="shared" si="332"/>
        <v>0</v>
      </c>
      <c r="BI536" s="49">
        <f t="shared" si="333"/>
        <v>1</v>
      </c>
      <c r="BJ536" s="49">
        <f t="shared" si="334"/>
        <v>0</v>
      </c>
      <c r="BK536" s="49">
        <f t="shared" si="335"/>
        <v>0</v>
      </c>
      <c r="BL536" s="49">
        <f t="shared" si="336"/>
        <v>1</v>
      </c>
      <c r="BM536" s="49">
        <f t="shared" si="337"/>
        <v>0</v>
      </c>
      <c r="BN536" s="49">
        <f t="shared" si="338"/>
        <v>0</v>
      </c>
      <c r="BO536" s="49">
        <f t="shared" si="339"/>
        <v>0</v>
      </c>
      <c r="BP536" s="49">
        <f t="shared" si="340"/>
        <v>0</v>
      </c>
      <c r="BQ536" s="49">
        <f t="shared" si="341"/>
        <v>1</v>
      </c>
      <c r="BR536" s="49">
        <f t="shared" si="342"/>
        <v>0</v>
      </c>
      <c r="BS536" s="49">
        <f t="shared" si="343"/>
        <v>0</v>
      </c>
      <c r="BT536" s="49">
        <f t="shared" si="344"/>
        <v>0</v>
      </c>
      <c r="BU536" s="49">
        <f t="shared" si="345"/>
        <v>1</v>
      </c>
      <c r="BV536" s="49">
        <f t="shared" si="346"/>
        <v>0</v>
      </c>
      <c r="BW536" s="49">
        <f t="shared" si="347"/>
        <v>0</v>
      </c>
      <c r="BX536" s="49">
        <f t="shared" si="348"/>
        <v>0</v>
      </c>
      <c r="BY536" s="49">
        <f t="shared" si="349"/>
        <v>1</v>
      </c>
      <c r="BZ536" s="49">
        <f t="shared" si="350"/>
        <v>0</v>
      </c>
      <c r="CA536" s="49">
        <f t="shared" si="351"/>
        <v>0</v>
      </c>
      <c r="CB536" s="49">
        <f t="shared" si="352"/>
        <v>1</v>
      </c>
      <c r="CC536" s="49">
        <f t="shared" si="353"/>
        <v>0</v>
      </c>
      <c r="CD536" s="49">
        <f t="shared" si="354"/>
        <v>0</v>
      </c>
      <c r="CE536" s="49">
        <f t="shared" si="355"/>
        <v>0</v>
      </c>
    </row>
    <row r="537" spans="1:83" ht="35.1" customHeight="1" x14ac:dyDescent="0.3">
      <c r="A537" s="123" t="str">
        <f t="shared" si="356"/>
        <v>4팀</v>
      </c>
      <c r="B537" s="69">
        <f t="shared" si="357"/>
        <v>531</v>
      </c>
      <c r="C537" s="120" t="str">
        <f>IF(VLOOKUP($B537,'1. 현장별 인원현황'!$C:$J,2,0)=0,"",VLOOKUP($B537,'1. 현장별 인원현황'!$C:$J,2,0))</f>
        <v xml:space="preserve"> [4.롯데건설] 인천 효성지구 도시개발사업 공동주택 3BL</v>
      </c>
      <c r="D537" s="70" t="str">
        <f>IF(VLOOKUP($B537,'1. 현장별 인원현황'!$C:$J,3,0)=0,"",VLOOKUP($B537,'1. 현장별 인원현황'!$C:$J,3,0))</f>
        <v>이민우</v>
      </c>
      <c r="E537" s="74" t="str">
        <f ca="1">IF(VLOOKUP($B537,'1. 현장별 인원현황'!$C:$J,4,0)=0,"",VLOOKUP($B537,'1. 현장별 인원현황'!$C:$J,4,0))</f>
        <v>53세</v>
      </c>
      <c r="F537" s="70" t="str">
        <f>IF(VLOOKUP($B537,'1. 현장별 인원현황'!$C:$J,7,0)=0,"",VLOOKUP($B537,'1. 현장별 인원현황'!$C:$J,7,0))</f>
        <v>공무</v>
      </c>
      <c r="G537" s="72" t="str">
        <f>IF(VLOOKUP($B537,'1. 현장별 인원현황'!$C:$J,8,0)=0,"",VLOOKUP($B537,'1. 현장별 인원현황'!$C:$J,8,0))</f>
        <v>차장</v>
      </c>
      <c r="H537" s="67" t="s">
        <v>69</v>
      </c>
      <c r="I537" s="73"/>
      <c r="J537" s="73"/>
      <c r="K537" s="68"/>
      <c r="L537" s="67" t="s">
        <v>69</v>
      </c>
      <c r="M537" s="73"/>
      <c r="N537" s="73"/>
      <c r="O537" s="68"/>
      <c r="P537" s="67" t="s">
        <v>69</v>
      </c>
      <c r="Q537" s="73"/>
      <c r="R537" s="73"/>
      <c r="S537" s="68"/>
      <c r="T537" s="67" t="s">
        <v>69</v>
      </c>
      <c r="U537" s="73"/>
      <c r="V537" s="73"/>
      <c r="W537" s="68"/>
      <c r="X537" s="67" t="s">
        <v>69</v>
      </c>
      <c r="Y537" s="73"/>
      <c r="Z537" s="73"/>
      <c r="AA537" s="68"/>
      <c r="AB537" s="67" t="s">
        <v>69</v>
      </c>
      <c r="AC537" s="73"/>
      <c r="AD537" s="73"/>
      <c r="AE537" s="68"/>
      <c r="AF537" s="67" t="s">
        <v>69</v>
      </c>
      <c r="AG537" s="73"/>
      <c r="AH537" s="73"/>
      <c r="AI537" s="68"/>
      <c r="AJ537" s="67" t="s">
        <v>69</v>
      </c>
      <c r="AK537" s="73"/>
      <c r="AL537" s="73"/>
      <c r="AM537" s="68"/>
      <c r="AN537" s="73" t="s">
        <v>69</v>
      </c>
      <c r="AO537" s="73"/>
      <c r="AP537" s="73"/>
      <c r="AQ537" s="68"/>
      <c r="AR537" s="67">
        <f t="shared" si="358"/>
        <v>100</v>
      </c>
      <c r="AS537" s="68" t="str">
        <f t="shared" si="359"/>
        <v>S</v>
      </c>
      <c r="AV537" s="49">
        <f t="shared" si="320"/>
        <v>1</v>
      </c>
      <c r="AW537" s="49">
        <f t="shared" si="321"/>
        <v>0</v>
      </c>
      <c r="AX537" s="49">
        <f t="shared" si="322"/>
        <v>0</v>
      </c>
      <c r="AY537" s="49">
        <f t="shared" si="323"/>
        <v>0</v>
      </c>
      <c r="AZ537" s="49">
        <f t="shared" si="324"/>
        <v>1</v>
      </c>
      <c r="BA537" s="49">
        <f t="shared" si="325"/>
        <v>0</v>
      </c>
      <c r="BB537" s="49">
        <f t="shared" si="326"/>
        <v>0</v>
      </c>
      <c r="BC537" s="49">
        <f t="shared" si="327"/>
        <v>0</v>
      </c>
      <c r="BD537" s="49">
        <f t="shared" si="328"/>
        <v>1</v>
      </c>
      <c r="BE537" s="49">
        <f t="shared" si="329"/>
        <v>0</v>
      </c>
      <c r="BF537" s="49">
        <f t="shared" si="330"/>
        <v>0</v>
      </c>
      <c r="BG537" s="49">
        <f t="shared" si="331"/>
        <v>0</v>
      </c>
      <c r="BH537" s="49">
        <f t="shared" si="332"/>
        <v>1</v>
      </c>
      <c r="BI537" s="49">
        <f t="shared" si="333"/>
        <v>0</v>
      </c>
      <c r="BJ537" s="49">
        <f t="shared" si="334"/>
        <v>0</v>
      </c>
      <c r="BK537" s="49">
        <f t="shared" si="335"/>
        <v>0</v>
      </c>
      <c r="BL537" s="49">
        <f t="shared" si="336"/>
        <v>1</v>
      </c>
      <c r="BM537" s="49">
        <f t="shared" si="337"/>
        <v>0</v>
      </c>
      <c r="BN537" s="49">
        <f t="shared" si="338"/>
        <v>0</v>
      </c>
      <c r="BO537" s="49">
        <f t="shared" si="339"/>
        <v>0</v>
      </c>
      <c r="BP537" s="49">
        <f t="shared" si="340"/>
        <v>1</v>
      </c>
      <c r="BQ537" s="49">
        <f t="shared" si="341"/>
        <v>0</v>
      </c>
      <c r="BR537" s="49">
        <f t="shared" si="342"/>
        <v>0</v>
      </c>
      <c r="BS537" s="49">
        <f t="shared" si="343"/>
        <v>0</v>
      </c>
      <c r="BT537" s="49">
        <f t="shared" si="344"/>
        <v>1</v>
      </c>
      <c r="BU537" s="49">
        <f t="shared" si="345"/>
        <v>0</v>
      </c>
      <c r="BV537" s="49">
        <f t="shared" si="346"/>
        <v>0</v>
      </c>
      <c r="BW537" s="49">
        <f t="shared" si="347"/>
        <v>0</v>
      </c>
      <c r="BX537" s="49">
        <f t="shared" si="348"/>
        <v>1</v>
      </c>
      <c r="BY537" s="49">
        <f t="shared" si="349"/>
        <v>0</v>
      </c>
      <c r="BZ537" s="49">
        <f t="shared" si="350"/>
        <v>0</v>
      </c>
      <c r="CA537" s="49">
        <f t="shared" si="351"/>
        <v>0</v>
      </c>
      <c r="CB537" s="49">
        <f t="shared" si="352"/>
        <v>1</v>
      </c>
      <c r="CC537" s="49">
        <f t="shared" si="353"/>
        <v>0</v>
      </c>
      <c r="CD537" s="49">
        <f t="shared" si="354"/>
        <v>0</v>
      </c>
      <c r="CE537" s="49">
        <f t="shared" si="355"/>
        <v>0</v>
      </c>
    </row>
    <row r="538" spans="1:83" ht="35.1" customHeight="1" x14ac:dyDescent="0.3">
      <c r="A538" s="123" t="str">
        <f t="shared" si="356"/>
        <v>4팀</v>
      </c>
      <c r="B538" s="69">
        <f t="shared" si="357"/>
        <v>532</v>
      </c>
      <c r="C538" s="120" t="str">
        <f>IF(VLOOKUP($B538,'1. 현장별 인원현황'!$C:$J,2,0)=0,"",VLOOKUP($B538,'1. 현장별 인원현황'!$C:$J,2,0))</f>
        <v xml:space="preserve"> [4.롯데건설] 인천 효성지구 도시개발사업 공동주택 3BL</v>
      </c>
      <c r="D538" s="70" t="str">
        <f>IF(VLOOKUP($B538,'1. 현장별 인원현황'!$C:$J,3,0)=0,"",VLOOKUP($B538,'1. 현장별 인원현황'!$C:$J,3,0))</f>
        <v>양찬호</v>
      </c>
      <c r="E538" s="74" t="str">
        <f ca="1">IF(VLOOKUP($B538,'1. 현장별 인원현황'!$C:$J,4,0)=0,"",VLOOKUP($B538,'1. 현장별 인원현황'!$C:$J,4,0))</f>
        <v>26세</v>
      </c>
      <c r="F538" s="70" t="str">
        <f>IF(VLOOKUP($B538,'1. 현장별 인원현황'!$C:$J,7,0)=0,"",VLOOKUP($B538,'1. 현장별 인원현황'!$C:$J,7,0))</f>
        <v>공무</v>
      </c>
      <c r="G538" s="72" t="str">
        <f>IF(VLOOKUP($B538,'1. 현장별 인원현황'!$C:$J,8,0)=0,"",VLOOKUP($B538,'1. 현장별 인원현황'!$C:$J,8,0))</f>
        <v>대리</v>
      </c>
      <c r="H538" s="67" t="s">
        <v>69</v>
      </c>
      <c r="I538" s="73"/>
      <c r="J538" s="73"/>
      <c r="K538" s="68"/>
      <c r="L538" s="67" t="s">
        <v>69</v>
      </c>
      <c r="M538" s="73"/>
      <c r="N538" s="73"/>
      <c r="O538" s="68"/>
      <c r="P538" s="67" t="s">
        <v>69</v>
      </c>
      <c r="Q538" s="73"/>
      <c r="R538" s="73"/>
      <c r="S538" s="68"/>
      <c r="T538" s="67" t="s">
        <v>69</v>
      </c>
      <c r="U538" s="73"/>
      <c r="V538" s="73"/>
      <c r="W538" s="68"/>
      <c r="X538" s="67" t="s">
        <v>69</v>
      </c>
      <c r="Y538" s="73"/>
      <c r="Z538" s="73"/>
      <c r="AA538" s="68"/>
      <c r="AB538" s="67" t="s">
        <v>69</v>
      </c>
      <c r="AC538" s="73"/>
      <c r="AD538" s="73"/>
      <c r="AE538" s="68"/>
      <c r="AF538" s="67" t="s">
        <v>69</v>
      </c>
      <c r="AG538" s="73"/>
      <c r="AH538" s="73"/>
      <c r="AI538" s="68"/>
      <c r="AJ538" s="67" t="s">
        <v>69</v>
      </c>
      <c r="AK538" s="73"/>
      <c r="AL538" s="73"/>
      <c r="AM538" s="68"/>
      <c r="AN538" s="73" t="s">
        <v>69</v>
      </c>
      <c r="AO538" s="73"/>
      <c r="AP538" s="73"/>
      <c r="AQ538" s="68"/>
      <c r="AR538" s="67">
        <f t="shared" si="358"/>
        <v>100</v>
      </c>
      <c r="AS538" s="68" t="str">
        <f t="shared" si="359"/>
        <v>S</v>
      </c>
      <c r="AV538" s="49">
        <f t="shared" si="320"/>
        <v>1</v>
      </c>
      <c r="AW538" s="49">
        <f t="shared" si="321"/>
        <v>0</v>
      </c>
      <c r="AX538" s="49">
        <f t="shared" si="322"/>
        <v>0</v>
      </c>
      <c r="AY538" s="49">
        <f t="shared" si="323"/>
        <v>0</v>
      </c>
      <c r="AZ538" s="49">
        <f t="shared" si="324"/>
        <v>1</v>
      </c>
      <c r="BA538" s="49">
        <f t="shared" si="325"/>
        <v>0</v>
      </c>
      <c r="BB538" s="49">
        <f t="shared" si="326"/>
        <v>0</v>
      </c>
      <c r="BC538" s="49">
        <f t="shared" si="327"/>
        <v>0</v>
      </c>
      <c r="BD538" s="49">
        <f t="shared" si="328"/>
        <v>1</v>
      </c>
      <c r="BE538" s="49">
        <f t="shared" si="329"/>
        <v>0</v>
      </c>
      <c r="BF538" s="49">
        <f t="shared" si="330"/>
        <v>0</v>
      </c>
      <c r="BG538" s="49">
        <f t="shared" si="331"/>
        <v>0</v>
      </c>
      <c r="BH538" s="49">
        <f t="shared" si="332"/>
        <v>1</v>
      </c>
      <c r="BI538" s="49">
        <f t="shared" si="333"/>
        <v>0</v>
      </c>
      <c r="BJ538" s="49">
        <f t="shared" si="334"/>
        <v>0</v>
      </c>
      <c r="BK538" s="49">
        <f t="shared" si="335"/>
        <v>0</v>
      </c>
      <c r="BL538" s="49">
        <f t="shared" si="336"/>
        <v>1</v>
      </c>
      <c r="BM538" s="49">
        <f t="shared" si="337"/>
        <v>0</v>
      </c>
      <c r="BN538" s="49">
        <f t="shared" si="338"/>
        <v>0</v>
      </c>
      <c r="BO538" s="49">
        <f t="shared" si="339"/>
        <v>0</v>
      </c>
      <c r="BP538" s="49">
        <f t="shared" si="340"/>
        <v>1</v>
      </c>
      <c r="BQ538" s="49">
        <f t="shared" si="341"/>
        <v>0</v>
      </c>
      <c r="BR538" s="49">
        <f t="shared" si="342"/>
        <v>0</v>
      </c>
      <c r="BS538" s="49">
        <f t="shared" si="343"/>
        <v>0</v>
      </c>
      <c r="BT538" s="49">
        <f t="shared" si="344"/>
        <v>1</v>
      </c>
      <c r="BU538" s="49">
        <f t="shared" si="345"/>
        <v>0</v>
      </c>
      <c r="BV538" s="49">
        <f t="shared" si="346"/>
        <v>0</v>
      </c>
      <c r="BW538" s="49">
        <f t="shared" si="347"/>
        <v>0</v>
      </c>
      <c r="BX538" s="49">
        <f t="shared" si="348"/>
        <v>1</v>
      </c>
      <c r="BY538" s="49">
        <f t="shared" si="349"/>
        <v>0</v>
      </c>
      <c r="BZ538" s="49">
        <f t="shared" si="350"/>
        <v>0</v>
      </c>
      <c r="CA538" s="49">
        <f t="shared" si="351"/>
        <v>0</v>
      </c>
      <c r="CB538" s="49">
        <f t="shared" si="352"/>
        <v>1</v>
      </c>
      <c r="CC538" s="49">
        <f t="shared" si="353"/>
        <v>0</v>
      </c>
      <c r="CD538" s="49">
        <f t="shared" si="354"/>
        <v>0</v>
      </c>
      <c r="CE538" s="49">
        <f t="shared" si="355"/>
        <v>0</v>
      </c>
    </row>
    <row r="539" spans="1:83" ht="35.1" customHeight="1" x14ac:dyDescent="0.3">
      <c r="A539" s="123" t="str">
        <f t="shared" si="356"/>
        <v>4팀</v>
      </c>
      <c r="B539" s="69">
        <f t="shared" si="357"/>
        <v>533</v>
      </c>
      <c r="C539" s="120" t="str">
        <f>IF(VLOOKUP($B539,'1. 현장별 인원현황'!$C:$J,2,0)=0,"",VLOOKUP($B539,'1. 현장별 인원현황'!$C:$J,2,0))</f>
        <v xml:space="preserve"> [4.롯데건설] 인천 효성지구 도시개발사업 공동주택 3BL</v>
      </c>
      <c r="D539" s="70" t="str">
        <f>IF(VLOOKUP($B539,'1. 현장별 인원현황'!$C:$J,3,0)=0,"",VLOOKUP($B539,'1. 현장별 인원현황'!$C:$J,3,0))</f>
        <v>이선노</v>
      </c>
      <c r="E539" s="74" t="str">
        <f ca="1">IF(VLOOKUP($B539,'1. 현장별 인원현황'!$C:$J,4,0)=0,"",VLOOKUP($B539,'1. 현장별 인원현황'!$C:$J,4,0))</f>
        <v>62세</v>
      </c>
      <c r="F539" s="70" t="str">
        <f>IF(VLOOKUP($B539,'1. 현장별 인원현황'!$C:$J,7,0)=0,"",VLOOKUP($B539,'1. 현장별 인원현황'!$C:$J,7,0))</f>
        <v>공사</v>
      </c>
      <c r="G539" s="72" t="str">
        <f>IF(VLOOKUP($B539,'1. 현장별 인원현황'!$C:$J,8,0)=0,"",VLOOKUP($B539,'1. 현장별 인원현황'!$C:$J,8,0))</f>
        <v>차장</v>
      </c>
      <c r="H539" s="67" t="s">
        <v>69</v>
      </c>
      <c r="I539" s="73"/>
      <c r="J539" s="73"/>
      <c r="K539" s="68"/>
      <c r="L539" s="67" t="s">
        <v>69</v>
      </c>
      <c r="M539" s="73"/>
      <c r="N539" s="73"/>
      <c r="O539" s="68"/>
      <c r="P539" s="67" t="s">
        <v>69</v>
      </c>
      <c r="Q539" s="73"/>
      <c r="R539" s="73"/>
      <c r="S539" s="68"/>
      <c r="T539" s="67" t="s">
        <v>69</v>
      </c>
      <c r="U539" s="73"/>
      <c r="V539" s="73"/>
      <c r="W539" s="68"/>
      <c r="X539" s="67" t="s">
        <v>69</v>
      </c>
      <c r="Y539" s="73"/>
      <c r="Z539" s="73"/>
      <c r="AA539" s="68"/>
      <c r="AB539" s="67" t="s">
        <v>69</v>
      </c>
      <c r="AC539" s="73"/>
      <c r="AD539" s="73"/>
      <c r="AE539" s="68"/>
      <c r="AF539" s="67" t="s">
        <v>69</v>
      </c>
      <c r="AG539" s="73"/>
      <c r="AH539" s="73"/>
      <c r="AI539" s="68"/>
      <c r="AJ539" s="67" t="s">
        <v>69</v>
      </c>
      <c r="AK539" s="73"/>
      <c r="AL539" s="73"/>
      <c r="AM539" s="68"/>
      <c r="AN539" s="73" t="s">
        <v>69</v>
      </c>
      <c r="AO539" s="73"/>
      <c r="AP539" s="73"/>
      <c r="AQ539" s="68"/>
      <c r="AR539" s="67">
        <f t="shared" si="358"/>
        <v>100</v>
      </c>
      <c r="AS539" s="68" t="str">
        <f t="shared" si="359"/>
        <v>S</v>
      </c>
      <c r="AV539" s="49">
        <f t="shared" si="320"/>
        <v>1</v>
      </c>
      <c r="AW539" s="49">
        <f t="shared" si="321"/>
        <v>0</v>
      </c>
      <c r="AX539" s="49">
        <f t="shared" si="322"/>
        <v>0</v>
      </c>
      <c r="AY539" s="49">
        <f t="shared" si="323"/>
        <v>0</v>
      </c>
      <c r="AZ539" s="49">
        <f t="shared" si="324"/>
        <v>1</v>
      </c>
      <c r="BA539" s="49">
        <f t="shared" si="325"/>
        <v>0</v>
      </c>
      <c r="BB539" s="49">
        <f t="shared" si="326"/>
        <v>0</v>
      </c>
      <c r="BC539" s="49">
        <f t="shared" si="327"/>
        <v>0</v>
      </c>
      <c r="BD539" s="49">
        <f t="shared" si="328"/>
        <v>1</v>
      </c>
      <c r="BE539" s="49">
        <f t="shared" si="329"/>
        <v>0</v>
      </c>
      <c r="BF539" s="49">
        <f t="shared" si="330"/>
        <v>0</v>
      </c>
      <c r="BG539" s="49">
        <f t="shared" si="331"/>
        <v>0</v>
      </c>
      <c r="BH539" s="49">
        <f t="shared" si="332"/>
        <v>1</v>
      </c>
      <c r="BI539" s="49">
        <f t="shared" si="333"/>
        <v>0</v>
      </c>
      <c r="BJ539" s="49">
        <f t="shared" si="334"/>
        <v>0</v>
      </c>
      <c r="BK539" s="49">
        <f t="shared" si="335"/>
        <v>0</v>
      </c>
      <c r="BL539" s="49">
        <f t="shared" si="336"/>
        <v>1</v>
      </c>
      <c r="BM539" s="49">
        <f t="shared" si="337"/>
        <v>0</v>
      </c>
      <c r="BN539" s="49">
        <f t="shared" si="338"/>
        <v>0</v>
      </c>
      <c r="BO539" s="49">
        <f t="shared" si="339"/>
        <v>0</v>
      </c>
      <c r="BP539" s="49">
        <f t="shared" si="340"/>
        <v>1</v>
      </c>
      <c r="BQ539" s="49">
        <f t="shared" si="341"/>
        <v>0</v>
      </c>
      <c r="BR539" s="49">
        <f t="shared" si="342"/>
        <v>0</v>
      </c>
      <c r="BS539" s="49">
        <f t="shared" si="343"/>
        <v>0</v>
      </c>
      <c r="BT539" s="49">
        <f t="shared" si="344"/>
        <v>1</v>
      </c>
      <c r="BU539" s="49">
        <f t="shared" si="345"/>
        <v>0</v>
      </c>
      <c r="BV539" s="49">
        <f t="shared" si="346"/>
        <v>0</v>
      </c>
      <c r="BW539" s="49">
        <f t="shared" si="347"/>
        <v>0</v>
      </c>
      <c r="BX539" s="49">
        <f t="shared" si="348"/>
        <v>1</v>
      </c>
      <c r="BY539" s="49">
        <f t="shared" si="349"/>
        <v>0</v>
      </c>
      <c r="BZ539" s="49">
        <f t="shared" si="350"/>
        <v>0</v>
      </c>
      <c r="CA539" s="49">
        <f t="shared" si="351"/>
        <v>0</v>
      </c>
      <c r="CB539" s="49">
        <f t="shared" si="352"/>
        <v>1</v>
      </c>
      <c r="CC539" s="49">
        <f t="shared" si="353"/>
        <v>0</v>
      </c>
      <c r="CD539" s="49">
        <f t="shared" si="354"/>
        <v>0</v>
      </c>
      <c r="CE539" s="49">
        <f t="shared" si="355"/>
        <v>0</v>
      </c>
    </row>
    <row r="540" spans="1:83" ht="35.1" customHeight="1" x14ac:dyDescent="0.3">
      <c r="A540" s="123" t="str">
        <f t="shared" si="356"/>
        <v>4팀</v>
      </c>
      <c r="B540" s="69">
        <f t="shared" si="357"/>
        <v>534</v>
      </c>
      <c r="C540" s="120" t="str">
        <f>IF(VLOOKUP($B540,'1. 현장별 인원현황'!$C:$J,2,0)=0,"",VLOOKUP($B540,'1. 현장별 인원현황'!$C:$J,2,0))</f>
        <v xml:space="preserve"> [4.롯데건설] 인천 효성지구 도시개발사업 공동주택 3BL</v>
      </c>
      <c r="D540" s="70" t="str">
        <f>IF(VLOOKUP($B540,'1. 현장별 인원현황'!$C:$J,3,0)=0,"",VLOOKUP($B540,'1. 현장별 인원현황'!$C:$J,3,0))</f>
        <v>이진권</v>
      </c>
      <c r="E540" s="74" t="str">
        <f ca="1">IF(VLOOKUP($B540,'1. 현장별 인원현황'!$C:$J,4,0)=0,"",VLOOKUP($B540,'1. 현장별 인원현황'!$C:$J,4,0))</f>
        <v>62세</v>
      </c>
      <c r="F540" s="70" t="str">
        <f>IF(VLOOKUP($B540,'1. 현장별 인원현황'!$C:$J,7,0)=0,"",VLOOKUP($B540,'1. 현장별 인원현황'!$C:$J,7,0))</f>
        <v>공사</v>
      </c>
      <c r="G540" s="72" t="str">
        <f>IF(VLOOKUP($B540,'1. 현장별 인원현황'!$C:$J,8,0)=0,"",VLOOKUP($B540,'1. 현장별 인원현황'!$C:$J,8,0))</f>
        <v>과장</v>
      </c>
      <c r="H540" s="67" t="s">
        <v>69</v>
      </c>
      <c r="I540" s="73"/>
      <c r="J540" s="73"/>
      <c r="K540" s="68"/>
      <c r="L540" s="67" t="s">
        <v>69</v>
      </c>
      <c r="M540" s="73"/>
      <c r="N540" s="73"/>
      <c r="O540" s="68"/>
      <c r="P540" s="67" t="s">
        <v>69</v>
      </c>
      <c r="Q540" s="73"/>
      <c r="R540" s="73"/>
      <c r="S540" s="68"/>
      <c r="T540" s="67" t="s">
        <v>69</v>
      </c>
      <c r="U540" s="73"/>
      <c r="V540" s="73"/>
      <c r="W540" s="68"/>
      <c r="X540" s="67" t="s">
        <v>69</v>
      </c>
      <c r="Y540" s="73"/>
      <c r="Z540" s="73"/>
      <c r="AA540" s="68"/>
      <c r="AB540" s="67" t="s">
        <v>69</v>
      </c>
      <c r="AC540" s="73"/>
      <c r="AD540" s="73"/>
      <c r="AE540" s="68"/>
      <c r="AF540" s="67" t="s">
        <v>69</v>
      </c>
      <c r="AG540" s="73"/>
      <c r="AH540" s="73"/>
      <c r="AI540" s="68"/>
      <c r="AJ540" s="67" t="s">
        <v>69</v>
      </c>
      <c r="AK540" s="73"/>
      <c r="AL540" s="73"/>
      <c r="AM540" s="68"/>
      <c r="AN540" s="73" t="s">
        <v>69</v>
      </c>
      <c r="AO540" s="73"/>
      <c r="AP540" s="73"/>
      <c r="AQ540" s="68"/>
      <c r="AR540" s="67">
        <f t="shared" si="358"/>
        <v>100</v>
      </c>
      <c r="AS540" s="68" t="str">
        <f t="shared" si="359"/>
        <v>S</v>
      </c>
      <c r="AV540" s="49">
        <f t="shared" si="320"/>
        <v>1</v>
      </c>
      <c r="AW540" s="49">
        <f t="shared" si="321"/>
        <v>0</v>
      </c>
      <c r="AX540" s="49">
        <f t="shared" si="322"/>
        <v>0</v>
      </c>
      <c r="AY540" s="49">
        <f t="shared" si="323"/>
        <v>0</v>
      </c>
      <c r="AZ540" s="49">
        <f t="shared" si="324"/>
        <v>1</v>
      </c>
      <c r="BA540" s="49">
        <f t="shared" si="325"/>
        <v>0</v>
      </c>
      <c r="BB540" s="49">
        <f t="shared" si="326"/>
        <v>0</v>
      </c>
      <c r="BC540" s="49">
        <f t="shared" si="327"/>
        <v>0</v>
      </c>
      <c r="BD540" s="49">
        <f t="shared" si="328"/>
        <v>1</v>
      </c>
      <c r="BE540" s="49">
        <f t="shared" si="329"/>
        <v>0</v>
      </c>
      <c r="BF540" s="49">
        <f t="shared" si="330"/>
        <v>0</v>
      </c>
      <c r="BG540" s="49">
        <f t="shared" si="331"/>
        <v>0</v>
      </c>
      <c r="BH540" s="49">
        <f t="shared" si="332"/>
        <v>1</v>
      </c>
      <c r="BI540" s="49">
        <f t="shared" si="333"/>
        <v>0</v>
      </c>
      <c r="BJ540" s="49">
        <f t="shared" si="334"/>
        <v>0</v>
      </c>
      <c r="BK540" s="49">
        <f t="shared" si="335"/>
        <v>0</v>
      </c>
      <c r="BL540" s="49">
        <f t="shared" si="336"/>
        <v>1</v>
      </c>
      <c r="BM540" s="49">
        <f t="shared" si="337"/>
        <v>0</v>
      </c>
      <c r="BN540" s="49">
        <f t="shared" si="338"/>
        <v>0</v>
      </c>
      <c r="BO540" s="49">
        <f t="shared" si="339"/>
        <v>0</v>
      </c>
      <c r="BP540" s="49">
        <f t="shared" si="340"/>
        <v>1</v>
      </c>
      <c r="BQ540" s="49">
        <f t="shared" si="341"/>
        <v>0</v>
      </c>
      <c r="BR540" s="49">
        <f t="shared" si="342"/>
        <v>0</v>
      </c>
      <c r="BS540" s="49">
        <f t="shared" si="343"/>
        <v>0</v>
      </c>
      <c r="BT540" s="49">
        <f t="shared" si="344"/>
        <v>1</v>
      </c>
      <c r="BU540" s="49">
        <f t="shared" si="345"/>
        <v>0</v>
      </c>
      <c r="BV540" s="49">
        <f t="shared" si="346"/>
        <v>0</v>
      </c>
      <c r="BW540" s="49">
        <f t="shared" si="347"/>
        <v>0</v>
      </c>
      <c r="BX540" s="49">
        <f t="shared" si="348"/>
        <v>1</v>
      </c>
      <c r="BY540" s="49">
        <f t="shared" si="349"/>
        <v>0</v>
      </c>
      <c r="BZ540" s="49">
        <f t="shared" si="350"/>
        <v>0</v>
      </c>
      <c r="CA540" s="49">
        <f t="shared" si="351"/>
        <v>0</v>
      </c>
      <c r="CB540" s="49">
        <f t="shared" si="352"/>
        <v>1</v>
      </c>
      <c r="CC540" s="49">
        <f t="shared" si="353"/>
        <v>0</v>
      </c>
      <c r="CD540" s="49">
        <f t="shared" si="354"/>
        <v>0</v>
      </c>
      <c r="CE540" s="49">
        <f t="shared" si="355"/>
        <v>0</v>
      </c>
    </row>
    <row r="541" spans="1:83" ht="35.1" customHeight="1" x14ac:dyDescent="0.3">
      <c r="A541" s="123" t="str">
        <f t="shared" si="356"/>
        <v>4팀</v>
      </c>
      <c r="B541" s="69">
        <f t="shared" si="357"/>
        <v>535</v>
      </c>
      <c r="C541" s="120" t="str">
        <f>IF(VLOOKUP($B541,'1. 현장별 인원현황'!$C:$J,2,0)=0,"",VLOOKUP($B541,'1. 현장별 인원현황'!$C:$J,2,0))</f>
        <v xml:space="preserve"> [4.롯데건설] 인천 효성지구 도시개발사업 공동주택 3BL</v>
      </c>
      <c r="D541" s="70" t="str">
        <f>IF(VLOOKUP($B541,'1. 현장별 인원현황'!$C:$J,3,0)=0,"",VLOOKUP($B541,'1. 현장별 인원현황'!$C:$J,3,0))</f>
        <v>정종석</v>
      </c>
      <c r="E541" s="74" t="str">
        <f ca="1">IF(VLOOKUP($B541,'1. 현장별 인원현황'!$C:$J,4,0)=0,"",VLOOKUP($B541,'1. 현장별 인원현황'!$C:$J,4,0))</f>
        <v>66세</v>
      </c>
      <c r="F541" s="70" t="str">
        <f>IF(VLOOKUP($B541,'1. 현장별 인원현황'!$C:$J,7,0)=0,"",VLOOKUP($B541,'1. 현장별 인원현황'!$C:$J,7,0))</f>
        <v>기능공</v>
      </c>
      <c r="G541" s="72" t="str">
        <f>IF(VLOOKUP($B541,'1. 현장별 인원현황'!$C:$J,8,0)=0,"",VLOOKUP($B541,'1. 현장별 인원현황'!$C:$J,8,0))</f>
        <v>전공</v>
      </c>
      <c r="H541" s="67" t="s">
        <v>69</v>
      </c>
      <c r="I541" s="73"/>
      <c r="J541" s="73"/>
      <c r="K541" s="68"/>
      <c r="L541" s="67" t="s">
        <v>69</v>
      </c>
      <c r="M541" s="73"/>
      <c r="N541" s="73"/>
      <c r="O541" s="68"/>
      <c r="P541" s="67" t="s">
        <v>69</v>
      </c>
      <c r="Q541" s="73"/>
      <c r="R541" s="73"/>
      <c r="S541" s="68"/>
      <c r="T541" s="67" t="s">
        <v>69</v>
      </c>
      <c r="U541" s="73"/>
      <c r="V541" s="73"/>
      <c r="W541" s="68"/>
      <c r="X541" s="67" t="s">
        <v>69</v>
      </c>
      <c r="Y541" s="73"/>
      <c r="Z541" s="73"/>
      <c r="AA541" s="68"/>
      <c r="AB541" s="67" t="s">
        <v>69</v>
      </c>
      <c r="AC541" s="73"/>
      <c r="AD541" s="73"/>
      <c r="AE541" s="68"/>
      <c r="AF541" s="67" t="s">
        <v>69</v>
      </c>
      <c r="AG541" s="73"/>
      <c r="AH541" s="73"/>
      <c r="AI541" s="68"/>
      <c r="AJ541" s="67" t="s">
        <v>69</v>
      </c>
      <c r="AK541" s="73"/>
      <c r="AL541" s="73"/>
      <c r="AM541" s="68"/>
      <c r="AN541" s="73" t="s">
        <v>69</v>
      </c>
      <c r="AO541" s="73"/>
      <c r="AP541" s="73"/>
      <c r="AQ541" s="68"/>
      <c r="AR541" s="67">
        <f t="shared" si="358"/>
        <v>100</v>
      </c>
      <c r="AS541" s="68" t="str">
        <f t="shared" si="359"/>
        <v>S</v>
      </c>
      <c r="AV541" s="49">
        <f t="shared" si="320"/>
        <v>1</v>
      </c>
      <c r="AW541" s="49">
        <f t="shared" si="321"/>
        <v>0</v>
      </c>
      <c r="AX541" s="49">
        <f t="shared" si="322"/>
        <v>0</v>
      </c>
      <c r="AY541" s="49">
        <f t="shared" si="323"/>
        <v>0</v>
      </c>
      <c r="AZ541" s="49">
        <f t="shared" si="324"/>
        <v>1</v>
      </c>
      <c r="BA541" s="49">
        <f t="shared" si="325"/>
        <v>0</v>
      </c>
      <c r="BB541" s="49">
        <f t="shared" si="326"/>
        <v>0</v>
      </c>
      <c r="BC541" s="49">
        <f t="shared" si="327"/>
        <v>0</v>
      </c>
      <c r="BD541" s="49">
        <f t="shared" si="328"/>
        <v>1</v>
      </c>
      <c r="BE541" s="49">
        <f t="shared" si="329"/>
        <v>0</v>
      </c>
      <c r="BF541" s="49">
        <f t="shared" si="330"/>
        <v>0</v>
      </c>
      <c r="BG541" s="49">
        <f t="shared" si="331"/>
        <v>0</v>
      </c>
      <c r="BH541" s="49">
        <f t="shared" si="332"/>
        <v>1</v>
      </c>
      <c r="BI541" s="49">
        <f t="shared" si="333"/>
        <v>0</v>
      </c>
      <c r="BJ541" s="49">
        <f t="shared" si="334"/>
        <v>0</v>
      </c>
      <c r="BK541" s="49">
        <f t="shared" si="335"/>
        <v>0</v>
      </c>
      <c r="BL541" s="49">
        <f t="shared" si="336"/>
        <v>1</v>
      </c>
      <c r="BM541" s="49">
        <f t="shared" si="337"/>
        <v>0</v>
      </c>
      <c r="BN541" s="49">
        <f t="shared" si="338"/>
        <v>0</v>
      </c>
      <c r="BO541" s="49">
        <f t="shared" si="339"/>
        <v>0</v>
      </c>
      <c r="BP541" s="49">
        <f t="shared" si="340"/>
        <v>1</v>
      </c>
      <c r="BQ541" s="49">
        <f t="shared" si="341"/>
        <v>0</v>
      </c>
      <c r="BR541" s="49">
        <f t="shared" si="342"/>
        <v>0</v>
      </c>
      <c r="BS541" s="49">
        <f t="shared" si="343"/>
        <v>0</v>
      </c>
      <c r="BT541" s="49">
        <f t="shared" si="344"/>
        <v>1</v>
      </c>
      <c r="BU541" s="49">
        <f t="shared" si="345"/>
        <v>0</v>
      </c>
      <c r="BV541" s="49">
        <f t="shared" si="346"/>
        <v>0</v>
      </c>
      <c r="BW541" s="49">
        <f t="shared" si="347"/>
        <v>0</v>
      </c>
      <c r="BX541" s="49">
        <f t="shared" si="348"/>
        <v>1</v>
      </c>
      <c r="BY541" s="49">
        <f t="shared" si="349"/>
        <v>0</v>
      </c>
      <c r="BZ541" s="49">
        <f t="shared" si="350"/>
        <v>0</v>
      </c>
      <c r="CA541" s="49">
        <f t="shared" si="351"/>
        <v>0</v>
      </c>
      <c r="CB541" s="49">
        <f t="shared" si="352"/>
        <v>1</v>
      </c>
      <c r="CC541" s="49">
        <f t="shared" si="353"/>
        <v>0</v>
      </c>
      <c r="CD541" s="49">
        <f t="shared" si="354"/>
        <v>0</v>
      </c>
      <c r="CE541" s="49">
        <f t="shared" si="355"/>
        <v>0</v>
      </c>
    </row>
    <row r="542" spans="1:83" ht="35.1" customHeight="1" x14ac:dyDescent="0.3">
      <c r="A542" s="123" t="str">
        <f t="shared" si="356"/>
        <v>4팀</v>
      </c>
      <c r="B542" s="69">
        <f t="shared" si="357"/>
        <v>536</v>
      </c>
      <c r="C542" s="120" t="str">
        <f>IF(VLOOKUP($B542,'1. 현장별 인원현황'!$C:$J,2,0)=0,"",VLOOKUP($B542,'1. 현장별 인원현황'!$C:$J,2,0))</f>
        <v xml:space="preserve"> [4.롯데건설] 인천 효성지구 도시개발사업 공동주택 3BL</v>
      </c>
      <c r="D542" s="70" t="str">
        <f>IF(VLOOKUP($B542,'1. 현장별 인원현황'!$C:$J,3,0)=0,"",VLOOKUP($B542,'1. 현장별 인원현황'!$C:$J,3,0))</f>
        <v>유찬목</v>
      </c>
      <c r="E542" s="74" t="str">
        <f ca="1">IF(VLOOKUP($B542,'1. 현장별 인원현황'!$C:$J,4,0)=0,"",VLOOKUP($B542,'1. 현장별 인원현황'!$C:$J,4,0))</f>
        <v>52세</v>
      </c>
      <c r="F542" s="70" t="str">
        <f>IF(VLOOKUP($B542,'1. 현장별 인원현황'!$C:$J,7,0)=0,"",VLOOKUP($B542,'1. 현장별 인원현황'!$C:$J,7,0))</f>
        <v>기능공</v>
      </c>
      <c r="G542" s="72" t="str">
        <f>IF(VLOOKUP($B542,'1. 현장별 인원현황'!$C:$J,8,0)=0,"",VLOOKUP($B542,'1. 현장별 인원현황'!$C:$J,8,0))</f>
        <v>전공</v>
      </c>
      <c r="H542" s="67" t="s">
        <v>69</v>
      </c>
      <c r="I542" s="73"/>
      <c r="J542" s="73"/>
      <c r="K542" s="68"/>
      <c r="L542" s="67" t="s">
        <v>69</v>
      </c>
      <c r="M542" s="73"/>
      <c r="N542" s="73"/>
      <c r="O542" s="68"/>
      <c r="P542" s="67" t="s">
        <v>69</v>
      </c>
      <c r="Q542" s="73"/>
      <c r="R542" s="73"/>
      <c r="S542" s="68"/>
      <c r="T542" s="67" t="s">
        <v>69</v>
      </c>
      <c r="U542" s="73"/>
      <c r="V542" s="73"/>
      <c r="W542" s="68"/>
      <c r="X542" s="67" t="s">
        <v>69</v>
      </c>
      <c r="Y542" s="73"/>
      <c r="Z542" s="73"/>
      <c r="AA542" s="68"/>
      <c r="AB542" s="67" t="s">
        <v>69</v>
      </c>
      <c r="AC542" s="73"/>
      <c r="AD542" s="73"/>
      <c r="AE542" s="68"/>
      <c r="AF542" s="67" t="s">
        <v>69</v>
      </c>
      <c r="AG542" s="73"/>
      <c r="AH542" s="73"/>
      <c r="AI542" s="68"/>
      <c r="AJ542" s="67" t="s">
        <v>69</v>
      </c>
      <c r="AK542" s="73"/>
      <c r="AL542" s="73"/>
      <c r="AM542" s="68"/>
      <c r="AN542" s="73" t="s">
        <v>69</v>
      </c>
      <c r="AO542" s="73"/>
      <c r="AP542" s="73"/>
      <c r="AQ542" s="68"/>
      <c r="AR542" s="67">
        <f t="shared" si="358"/>
        <v>100</v>
      </c>
      <c r="AS542" s="68" t="str">
        <f t="shared" si="359"/>
        <v>S</v>
      </c>
      <c r="AV542" s="49">
        <f t="shared" si="320"/>
        <v>1</v>
      </c>
      <c r="AW542" s="49">
        <f t="shared" si="321"/>
        <v>0</v>
      </c>
      <c r="AX542" s="49">
        <f t="shared" si="322"/>
        <v>0</v>
      </c>
      <c r="AY542" s="49">
        <f t="shared" si="323"/>
        <v>0</v>
      </c>
      <c r="AZ542" s="49">
        <f t="shared" si="324"/>
        <v>1</v>
      </c>
      <c r="BA542" s="49">
        <f t="shared" si="325"/>
        <v>0</v>
      </c>
      <c r="BB542" s="49">
        <f t="shared" si="326"/>
        <v>0</v>
      </c>
      <c r="BC542" s="49">
        <f t="shared" si="327"/>
        <v>0</v>
      </c>
      <c r="BD542" s="49">
        <f t="shared" si="328"/>
        <v>1</v>
      </c>
      <c r="BE542" s="49">
        <f t="shared" si="329"/>
        <v>0</v>
      </c>
      <c r="BF542" s="49">
        <f t="shared" si="330"/>
        <v>0</v>
      </c>
      <c r="BG542" s="49">
        <f t="shared" si="331"/>
        <v>0</v>
      </c>
      <c r="BH542" s="49">
        <f t="shared" si="332"/>
        <v>1</v>
      </c>
      <c r="BI542" s="49">
        <f t="shared" si="333"/>
        <v>0</v>
      </c>
      <c r="BJ542" s="49">
        <f t="shared" si="334"/>
        <v>0</v>
      </c>
      <c r="BK542" s="49">
        <f t="shared" si="335"/>
        <v>0</v>
      </c>
      <c r="BL542" s="49">
        <f t="shared" si="336"/>
        <v>1</v>
      </c>
      <c r="BM542" s="49">
        <f t="shared" si="337"/>
        <v>0</v>
      </c>
      <c r="BN542" s="49">
        <f t="shared" si="338"/>
        <v>0</v>
      </c>
      <c r="BO542" s="49">
        <f t="shared" si="339"/>
        <v>0</v>
      </c>
      <c r="BP542" s="49">
        <f t="shared" si="340"/>
        <v>1</v>
      </c>
      <c r="BQ542" s="49">
        <f t="shared" si="341"/>
        <v>0</v>
      </c>
      <c r="BR542" s="49">
        <f t="shared" si="342"/>
        <v>0</v>
      </c>
      <c r="BS542" s="49">
        <f t="shared" si="343"/>
        <v>0</v>
      </c>
      <c r="BT542" s="49">
        <f t="shared" si="344"/>
        <v>1</v>
      </c>
      <c r="BU542" s="49">
        <f t="shared" si="345"/>
        <v>0</v>
      </c>
      <c r="BV542" s="49">
        <f t="shared" si="346"/>
        <v>0</v>
      </c>
      <c r="BW542" s="49">
        <f t="shared" si="347"/>
        <v>0</v>
      </c>
      <c r="BX542" s="49">
        <f t="shared" si="348"/>
        <v>1</v>
      </c>
      <c r="BY542" s="49">
        <f t="shared" si="349"/>
        <v>0</v>
      </c>
      <c r="BZ542" s="49">
        <f t="shared" si="350"/>
        <v>0</v>
      </c>
      <c r="CA542" s="49">
        <f t="shared" si="351"/>
        <v>0</v>
      </c>
      <c r="CB542" s="49">
        <f t="shared" si="352"/>
        <v>1</v>
      </c>
      <c r="CC542" s="49">
        <f t="shared" si="353"/>
        <v>0</v>
      </c>
      <c r="CD542" s="49">
        <f t="shared" si="354"/>
        <v>0</v>
      </c>
      <c r="CE542" s="49">
        <f t="shared" si="355"/>
        <v>0</v>
      </c>
    </row>
    <row r="543" spans="1:83" ht="35.1" customHeight="1" x14ac:dyDescent="0.3">
      <c r="A543" s="123" t="str">
        <f t="shared" si="356"/>
        <v>4팀</v>
      </c>
      <c r="B543" s="69">
        <f t="shared" si="357"/>
        <v>537</v>
      </c>
      <c r="C543" s="120" t="str">
        <f>IF(VLOOKUP($B543,'1. 현장별 인원현황'!$C:$J,2,0)=0,"",VLOOKUP($B543,'1. 현장별 인원현황'!$C:$J,2,0))</f>
        <v xml:space="preserve"> [4.롯데건설] 인천 효성지구 도시개발사업 공동주택 3BL</v>
      </c>
      <c r="D543" s="70" t="str">
        <f>IF(VLOOKUP($B543,'1. 현장별 인원현황'!$C:$J,3,0)=0,"",VLOOKUP($B543,'1. 현장별 인원현황'!$C:$J,3,0))</f>
        <v>김기태</v>
      </c>
      <c r="E543" s="74" t="str">
        <f ca="1">IF(VLOOKUP($B543,'1. 현장별 인원현황'!$C:$J,4,0)=0,"",VLOOKUP($B543,'1. 현장별 인원현황'!$C:$J,4,0))</f>
        <v>51세</v>
      </c>
      <c r="F543" s="70" t="str">
        <f>IF(VLOOKUP($B543,'1. 현장별 인원현황'!$C:$J,7,0)=0,"",VLOOKUP($B543,'1. 현장별 인원현황'!$C:$J,7,0))</f>
        <v>기능공</v>
      </c>
      <c r="G543" s="72" t="str">
        <f>IF(VLOOKUP($B543,'1. 현장별 인원현황'!$C:$J,8,0)=0,"",VLOOKUP($B543,'1. 현장별 인원현황'!$C:$J,8,0))</f>
        <v>전공</v>
      </c>
      <c r="H543" s="67" t="s">
        <v>69</v>
      </c>
      <c r="I543" s="73"/>
      <c r="J543" s="73"/>
      <c r="K543" s="68"/>
      <c r="L543" s="67" t="s">
        <v>69</v>
      </c>
      <c r="M543" s="73"/>
      <c r="N543" s="73"/>
      <c r="O543" s="68"/>
      <c r="P543" s="67" t="s">
        <v>69</v>
      </c>
      <c r="Q543" s="73"/>
      <c r="R543" s="73"/>
      <c r="S543" s="68"/>
      <c r="T543" s="67" t="s">
        <v>69</v>
      </c>
      <c r="U543" s="73"/>
      <c r="V543" s="73"/>
      <c r="W543" s="68"/>
      <c r="X543" s="67" t="s">
        <v>69</v>
      </c>
      <c r="Y543" s="73"/>
      <c r="Z543" s="73"/>
      <c r="AA543" s="68"/>
      <c r="AB543" s="67" t="s">
        <v>69</v>
      </c>
      <c r="AC543" s="73"/>
      <c r="AD543" s="73"/>
      <c r="AE543" s="68"/>
      <c r="AF543" s="67" t="s">
        <v>69</v>
      </c>
      <c r="AG543" s="73"/>
      <c r="AH543" s="73"/>
      <c r="AI543" s="68"/>
      <c r="AJ543" s="67" t="s">
        <v>69</v>
      </c>
      <c r="AK543" s="73"/>
      <c r="AL543" s="73"/>
      <c r="AM543" s="68"/>
      <c r="AN543" s="73" t="s">
        <v>69</v>
      </c>
      <c r="AO543" s="73"/>
      <c r="AP543" s="73"/>
      <c r="AQ543" s="68"/>
      <c r="AR543" s="67">
        <f t="shared" si="358"/>
        <v>100</v>
      </c>
      <c r="AS543" s="68" t="str">
        <f t="shared" si="359"/>
        <v>S</v>
      </c>
      <c r="AV543" s="49">
        <f t="shared" si="320"/>
        <v>1</v>
      </c>
      <c r="AW543" s="49">
        <f t="shared" si="321"/>
        <v>0</v>
      </c>
      <c r="AX543" s="49">
        <f t="shared" si="322"/>
        <v>0</v>
      </c>
      <c r="AY543" s="49">
        <f t="shared" si="323"/>
        <v>0</v>
      </c>
      <c r="AZ543" s="49">
        <f t="shared" si="324"/>
        <v>1</v>
      </c>
      <c r="BA543" s="49">
        <f t="shared" si="325"/>
        <v>0</v>
      </c>
      <c r="BB543" s="49">
        <f t="shared" si="326"/>
        <v>0</v>
      </c>
      <c r="BC543" s="49">
        <f t="shared" si="327"/>
        <v>0</v>
      </c>
      <c r="BD543" s="49">
        <f t="shared" si="328"/>
        <v>1</v>
      </c>
      <c r="BE543" s="49">
        <f t="shared" si="329"/>
        <v>0</v>
      </c>
      <c r="BF543" s="49">
        <f t="shared" si="330"/>
        <v>0</v>
      </c>
      <c r="BG543" s="49">
        <f t="shared" si="331"/>
        <v>0</v>
      </c>
      <c r="BH543" s="49">
        <f t="shared" si="332"/>
        <v>1</v>
      </c>
      <c r="BI543" s="49">
        <f t="shared" si="333"/>
        <v>0</v>
      </c>
      <c r="BJ543" s="49">
        <f t="shared" si="334"/>
        <v>0</v>
      </c>
      <c r="BK543" s="49">
        <f t="shared" si="335"/>
        <v>0</v>
      </c>
      <c r="BL543" s="49">
        <f t="shared" si="336"/>
        <v>1</v>
      </c>
      <c r="BM543" s="49">
        <f t="shared" si="337"/>
        <v>0</v>
      </c>
      <c r="BN543" s="49">
        <f t="shared" si="338"/>
        <v>0</v>
      </c>
      <c r="BO543" s="49">
        <f t="shared" si="339"/>
        <v>0</v>
      </c>
      <c r="BP543" s="49">
        <f t="shared" si="340"/>
        <v>1</v>
      </c>
      <c r="BQ543" s="49">
        <f t="shared" si="341"/>
        <v>0</v>
      </c>
      <c r="BR543" s="49">
        <f t="shared" si="342"/>
        <v>0</v>
      </c>
      <c r="BS543" s="49">
        <f t="shared" si="343"/>
        <v>0</v>
      </c>
      <c r="BT543" s="49">
        <f t="shared" si="344"/>
        <v>1</v>
      </c>
      <c r="BU543" s="49">
        <f t="shared" si="345"/>
        <v>0</v>
      </c>
      <c r="BV543" s="49">
        <f t="shared" si="346"/>
        <v>0</v>
      </c>
      <c r="BW543" s="49">
        <f t="shared" si="347"/>
        <v>0</v>
      </c>
      <c r="BX543" s="49">
        <f t="shared" si="348"/>
        <v>1</v>
      </c>
      <c r="BY543" s="49">
        <f t="shared" si="349"/>
        <v>0</v>
      </c>
      <c r="BZ543" s="49">
        <f t="shared" si="350"/>
        <v>0</v>
      </c>
      <c r="CA543" s="49">
        <f t="shared" si="351"/>
        <v>0</v>
      </c>
      <c r="CB543" s="49">
        <f t="shared" si="352"/>
        <v>1</v>
      </c>
      <c r="CC543" s="49">
        <f t="shared" si="353"/>
        <v>0</v>
      </c>
      <c r="CD543" s="49">
        <f t="shared" si="354"/>
        <v>0</v>
      </c>
      <c r="CE543" s="49">
        <f t="shared" si="355"/>
        <v>0</v>
      </c>
    </row>
    <row r="544" spans="1:83" ht="35.1" customHeight="1" x14ac:dyDescent="0.3">
      <c r="A544" s="123" t="str">
        <f t="shared" si="356"/>
        <v>4팀</v>
      </c>
      <c r="B544" s="69">
        <f t="shared" si="357"/>
        <v>538</v>
      </c>
      <c r="C544" s="120" t="str">
        <f>IF(VLOOKUP($B544,'1. 현장별 인원현황'!$C:$J,2,0)=0,"",VLOOKUP($B544,'1. 현장별 인원현황'!$C:$J,2,0))</f>
        <v xml:space="preserve"> [4.롯데건설] 인천 효성지구 도시개발사업 공동주택 3BL</v>
      </c>
      <c r="D544" s="70" t="str">
        <f>IF(VLOOKUP($B544,'1. 현장별 인원현황'!$C:$J,3,0)=0,"",VLOOKUP($B544,'1. 현장별 인원현황'!$C:$J,3,0))</f>
        <v>김정제</v>
      </c>
      <c r="E544" s="74" t="str">
        <f ca="1">IF(VLOOKUP($B544,'1. 현장별 인원현황'!$C:$J,4,0)=0,"",VLOOKUP($B544,'1. 현장별 인원현황'!$C:$J,4,0))</f>
        <v>51세</v>
      </c>
      <c r="F544" s="70" t="str">
        <f>IF(VLOOKUP($B544,'1. 현장별 인원현황'!$C:$J,7,0)=0,"",VLOOKUP($B544,'1. 현장별 인원현황'!$C:$J,7,0))</f>
        <v>기능공</v>
      </c>
      <c r="G544" s="72" t="str">
        <f>IF(VLOOKUP($B544,'1. 현장별 인원현황'!$C:$J,8,0)=0,"",VLOOKUP($B544,'1. 현장별 인원현황'!$C:$J,8,0))</f>
        <v>전공</v>
      </c>
      <c r="H544" s="67" t="s">
        <v>69</v>
      </c>
      <c r="I544" s="73"/>
      <c r="J544" s="73"/>
      <c r="K544" s="68"/>
      <c r="L544" s="67" t="s">
        <v>69</v>
      </c>
      <c r="M544" s="73"/>
      <c r="N544" s="73"/>
      <c r="O544" s="68"/>
      <c r="P544" s="67" t="s">
        <v>69</v>
      </c>
      <c r="Q544" s="73"/>
      <c r="R544" s="73"/>
      <c r="S544" s="68"/>
      <c r="T544" s="67" t="s">
        <v>69</v>
      </c>
      <c r="U544" s="73"/>
      <c r="V544" s="73"/>
      <c r="W544" s="68"/>
      <c r="X544" s="67" t="s">
        <v>69</v>
      </c>
      <c r="Y544" s="73"/>
      <c r="Z544" s="73"/>
      <c r="AA544" s="68"/>
      <c r="AB544" s="67" t="s">
        <v>69</v>
      </c>
      <c r="AC544" s="73"/>
      <c r="AD544" s="73"/>
      <c r="AE544" s="68"/>
      <c r="AF544" s="67" t="s">
        <v>69</v>
      </c>
      <c r="AG544" s="73"/>
      <c r="AH544" s="73"/>
      <c r="AI544" s="68"/>
      <c r="AJ544" s="67" t="s">
        <v>69</v>
      </c>
      <c r="AK544" s="73"/>
      <c r="AL544" s="73"/>
      <c r="AM544" s="68"/>
      <c r="AN544" s="73" t="s">
        <v>69</v>
      </c>
      <c r="AO544" s="73"/>
      <c r="AP544" s="73"/>
      <c r="AQ544" s="68"/>
      <c r="AR544" s="67">
        <f t="shared" si="358"/>
        <v>100</v>
      </c>
      <c r="AS544" s="68" t="str">
        <f t="shared" si="359"/>
        <v>S</v>
      </c>
      <c r="AV544" s="49">
        <f t="shared" si="320"/>
        <v>1</v>
      </c>
      <c r="AW544" s="49">
        <f t="shared" si="321"/>
        <v>0</v>
      </c>
      <c r="AX544" s="49">
        <f t="shared" si="322"/>
        <v>0</v>
      </c>
      <c r="AY544" s="49">
        <f t="shared" si="323"/>
        <v>0</v>
      </c>
      <c r="AZ544" s="49">
        <f t="shared" si="324"/>
        <v>1</v>
      </c>
      <c r="BA544" s="49">
        <f t="shared" si="325"/>
        <v>0</v>
      </c>
      <c r="BB544" s="49">
        <f t="shared" si="326"/>
        <v>0</v>
      </c>
      <c r="BC544" s="49">
        <f t="shared" si="327"/>
        <v>0</v>
      </c>
      <c r="BD544" s="49">
        <f t="shared" si="328"/>
        <v>1</v>
      </c>
      <c r="BE544" s="49">
        <f t="shared" si="329"/>
        <v>0</v>
      </c>
      <c r="BF544" s="49">
        <f t="shared" si="330"/>
        <v>0</v>
      </c>
      <c r="BG544" s="49">
        <f t="shared" si="331"/>
        <v>0</v>
      </c>
      <c r="BH544" s="49">
        <f t="shared" si="332"/>
        <v>1</v>
      </c>
      <c r="BI544" s="49">
        <f t="shared" si="333"/>
        <v>0</v>
      </c>
      <c r="BJ544" s="49">
        <f t="shared" si="334"/>
        <v>0</v>
      </c>
      <c r="BK544" s="49">
        <f t="shared" si="335"/>
        <v>0</v>
      </c>
      <c r="BL544" s="49">
        <f t="shared" si="336"/>
        <v>1</v>
      </c>
      <c r="BM544" s="49">
        <f t="shared" si="337"/>
        <v>0</v>
      </c>
      <c r="BN544" s="49">
        <f t="shared" si="338"/>
        <v>0</v>
      </c>
      <c r="BO544" s="49">
        <f t="shared" si="339"/>
        <v>0</v>
      </c>
      <c r="BP544" s="49">
        <f t="shared" si="340"/>
        <v>1</v>
      </c>
      <c r="BQ544" s="49">
        <f t="shared" si="341"/>
        <v>0</v>
      </c>
      <c r="BR544" s="49">
        <f t="shared" si="342"/>
        <v>0</v>
      </c>
      <c r="BS544" s="49">
        <f t="shared" si="343"/>
        <v>0</v>
      </c>
      <c r="BT544" s="49">
        <f t="shared" si="344"/>
        <v>1</v>
      </c>
      <c r="BU544" s="49">
        <f t="shared" si="345"/>
        <v>0</v>
      </c>
      <c r="BV544" s="49">
        <f t="shared" si="346"/>
        <v>0</v>
      </c>
      <c r="BW544" s="49">
        <f t="shared" si="347"/>
        <v>0</v>
      </c>
      <c r="BX544" s="49">
        <f t="shared" si="348"/>
        <v>1</v>
      </c>
      <c r="BY544" s="49">
        <f t="shared" si="349"/>
        <v>0</v>
      </c>
      <c r="BZ544" s="49">
        <f t="shared" si="350"/>
        <v>0</v>
      </c>
      <c r="CA544" s="49">
        <f t="shared" si="351"/>
        <v>0</v>
      </c>
      <c r="CB544" s="49">
        <f t="shared" si="352"/>
        <v>1</v>
      </c>
      <c r="CC544" s="49">
        <f t="shared" si="353"/>
        <v>0</v>
      </c>
      <c r="CD544" s="49">
        <f t="shared" si="354"/>
        <v>0</v>
      </c>
      <c r="CE544" s="49">
        <f t="shared" si="355"/>
        <v>0</v>
      </c>
    </row>
    <row r="545" spans="1:83" ht="35.1" customHeight="1" x14ac:dyDescent="0.3">
      <c r="A545" s="123" t="str">
        <f t="shared" si="356"/>
        <v>4팀</v>
      </c>
      <c r="B545" s="69">
        <f t="shared" si="357"/>
        <v>539</v>
      </c>
      <c r="C545" s="120" t="str">
        <f>IF(VLOOKUP($B545,'1. 현장별 인원현황'!$C:$J,2,0)=0,"",VLOOKUP($B545,'1. 현장별 인원현황'!$C:$J,2,0))</f>
        <v xml:space="preserve"> [4.롯데건설] 인천 효성지구 도시개발사업 공동주택 3BL</v>
      </c>
      <c r="D545" s="70" t="str">
        <f>IF(VLOOKUP($B545,'1. 현장별 인원현황'!$C:$J,3,0)=0,"",VLOOKUP($B545,'1. 현장별 인원현황'!$C:$J,3,0))</f>
        <v>김영일</v>
      </c>
      <c r="E545" s="74" t="str">
        <f ca="1">IF(VLOOKUP($B545,'1. 현장별 인원현황'!$C:$J,4,0)=0,"",VLOOKUP($B545,'1. 현장별 인원현황'!$C:$J,4,0))</f>
        <v>47세</v>
      </c>
      <c r="F545" s="70" t="str">
        <f>IF(VLOOKUP($B545,'1. 현장별 인원현황'!$C:$J,7,0)=0,"",VLOOKUP($B545,'1. 현장별 인원현황'!$C:$J,7,0))</f>
        <v>기능공</v>
      </c>
      <c r="G545" s="72" t="str">
        <f>IF(VLOOKUP($B545,'1. 현장별 인원현황'!$C:$J,8,0)=0,"",VLOOKUP($B545,'1. 현장별 인원현황'!$C:$J,8,0))</f>
        <v>조공</v>
      </c>
      <c r="H545" s="67" t="s">
        <v>69</v>
      </c>
      <c r="I545" s="73"/>
      <c r="J545" s="73"/>
      <c r="K545" s="68"/>
      <c r="L545" s="67" t="s">
        <v>69</v>
      </c>
      <c r="M545" s="73"/>
      <c r="N545" s="73"/>
      <c r="O545" s="68"/>
      <c r="P545" s="67" t="s">
        <v>69</v>
      </c>
      <c r="Q545" s="73"/>
      <c r="R545" s="73"/>
      <c r="S545" s="68"/>
      <c r="T545" s="67" t="s">
        <v>69</v>
      </c>
      <c r="U545" s="73"/>
      <c r="V545" s="73"/>
      <c r="W545" s="68"/>
      <c r="X545" s="67" t="s">
        <v>69</v>
      </c>
      <c r="Y545" s="73"/>
      <c r="Z545" s="73"/>
      <c r="AA545" s="68"/>
      <c r="AB545" s="67" t="s">
        <v>69</v>
      </c>
      <c r="AC545" s="73"/>
      <c r="AD545" s="73"/>
      <c r="AE545" s="68"/>
      <c r="AF545" s="67" t="s">
        <v>69</v>
      </c>
      <c r="AG545" s="73"/>
      <c r="AH545" s="73"/>
      <c r="AI545" s="68"/>
      <c r="AJ545" s="67" t="s">
        <v>69</v>
      </c>
      <c r="AK545" s="73"/>
      <c r="AL545" s="73"/>
      <c r="AM545" s="68"/>
      <c r="AN545" s="73" t="s">
        <v>69</v>
      </c>
      <c r="AO545" s="73"/>
      <c r="AP545" s="73"/>
      <c r="AQ545" s="68"/>
      <c r="AR545" s="67">
        <f t="shared" si="358"/>
        <v>100</v>
      </c>
      <c r="AS545" s="68" t="str">
        <f t="shared" si="359"/>
        <v>S</v>
      </c>
      <c r="AV545" s="49">
        <f t="shared" si="320"/>
        <v>1</v>
      </c>
      <c r="AW545" s="49">
        <f t="shared" si="321"/>
        <v>0</v>
      </c>
      <c r="AX545" s="49">
        <f t="shared" si="322"/>
        <v>0</v>
      </c>
      <c r="AY545" s="49">
        <f t="shared" si="323"/>
        <v>0</v>
      </c>
      <c r="AZ545" s="49">
        <f t="shared" si="324"/>
        <v>1</v>
      </c>
      <c r="BA545" s="49">
        <f t="shared" si="325"/>
        <v>0</v>
      </c>
      <c r="BB545" s="49">
        <f t="shared" si="326"/>
        <v>0</v>
      </c>
      <c r="BC545" s="49">
        <f t="shared" si="327"/>
        <v>0</v>
      </c>
      <c r="BD545" s="49">
        <f t="shared" si="328"/>
        <v>1</v>
      </c>
      <c r="BE545" s="49">
        <f t="shared" si="329"/>
        <v>0</v>
      </c>
      <c r="BF545" s="49">
        <f t="shared" si="330"/>
        <v>0</v>
      </c>
      <c r="BG545" s="49">
        <f t="shared" si="331"/>
        <v>0</v>
      </c>
      <c r="BH545" s="49">
        <f t="shared" si="332"/>
        <v>1</v>
      </c>
      <c r="BI545" s="49">
        <f t="shared" si="333"/>
        <v>0</v>
      </c>
      <c r="BJ545" s="49">
        <f t="shared" si="334"/>
        <v>0</v>
      </c>
      <c r="BK545" s="49">
        <f t="shared" si="335"/>
        <v>0</v>
      </c>
      <c r="BL545" s="49">
        <f t="shared" si="336"/>
        <v>1</v>
      </c>
      <c r="BM545" s="49">
        <f t="shared" si="337"/>
        <v>0</v>
      </c>
      <c r="BN545" s="49">
        <f t="shared" si="338"/>
        <v>0</v>
      </c>
      <c r="BO545" s="49">
        <f t="shared" si="339"/>
        <v>0</v>
      </c>
      <c r="BP545" s="49">
        <f t="shared" si="340"/>
        <v>1</v>
      </c>
      <c r="BQ545" s="49">
        <f t="shared" si="341"/>
        <v>0</v>
      </c>
      <c r="BR545" s="49">
        <f t="shared" si="342"/>
        <v>0</v>
      </c>
      <c r="BS545" s="49">
        <f t="shared" si="343"/>
        <v>0</v>
      </c>
      <c r="BT545" s="49">
        <f t="shared" si="344"/>
        <v>1</v>
      </c>
      <c r="BU545" s="49">
        <f t="shared" si="345"/>
        <v>0</v>
      </c>
      <c r="BV545" s="49">
        <f t="shared" si="346"/>
        <v>0</v>
      </c>
      <c r="BW545" s="49">
        <f t="shared" si="347"/>
        <v>0</v>
      </c>
      <c r="BX545" s="49">
        <f t="shared" si="348"/>
        <v>1</v>
      </c>
      <c r="BY545" s="49">
        <f t="shared" si="349"/>
        <v>0</v>
      </c>
      <c r="BZ545" s="49">
        <f t="shared" si="350"/>
        <v>0</v>
      </c>
      <c r="CA545" s="49">
        <f t="shared" si="351"/>
        <v>0</v>
      </c>
      <c r="CB545" s="49">
        <f t="shared" si="352"/>
        <v>1</v>
      </c>
      <c r="CC545" s="49">
        <f t="shared" si="353"/>
        <v>0</v>
      </c>
      <c r="CD545" s="49">
        <f t="shared" si="354"/>
        <v>0</v>
      </c>
      <c r="CE545" s="49">
        <f t="shared" si="355"/>
        <v>0</v>
      </c>
    </row>
    <row r="546" spans="1:83" ht="35.1" customHeight="1" x14ac:dyDescent="0.3">
      <c r="A546" s="123" t="str">
        <f t="shared" si="356"/>
        <v>4팀</v>
      </c>
      <c r="B546" s="69">
        <f t="shared" si="357"/>
        <v>540</v>
      </c>
      <c r="C546" s="120" t="str">
        <f>IF(VLOOKUP($B546,'1. 현장별 인원현황'!$C:$J,2,0)=0,"",VLOOKUP($B546,'1. 현장별 인원현황'!$C:$J,2,0))</f>
        <v xml:space="preserve"> [4.롯데건설] 인천 효성지구 도시개발사업 공동주택 3BL</v>
      </c>
      <c r="D546" s="70" t="str">
        <f>IF(VLOOKUP($B546,'1. 현장별 인원현황'!$C:$J,3,0)=0,"",VLOOKUP($B546,'1. 현장별 인원현황'!$C:$J,3,0))</f>
        <v>황영기</v>
      </c>
      <c r="E546" s="74" t="str">
        <f ca="1">IF(VLOOKUP($B546,'1. 현장별 인원현황'!$C:$J,4,0)=0,"",VLOOKUP($B546,'1. 현장별 인원현황'!$C:$J,4,0))</f>
        <v>55세</v>
      </c>
      <c r="F546" s="70" t="str">
        <f>IF(VLOOKUP($B546,'1. 현장별 인원현황'!$C:$J,7,0)=0,"",VLOOKUP($B546,'1. 현장별 인원현황'!$C:$J,7,0))</f>
        <v>기능공</v>
      </c>
      <c r="G546" s="72" t="str">
        <f>IF(VLOOKUP($B546,'1. 현장별 인원현황'!$C:$J,8,0)=0,"",VLOOKUP($B546,'1. 현장별 인원현황'!$C:$J,8,0))</f>
        <v>조공</v>
      </c>
      <c r="H546" s="67" t="s">
        <v>69</v>
      </c>
      <c r="I546" s="73"/>
      <c r="J546" s="73"/>
      <c r="K546" s="68"/>
      <c r="L546" s="67" t="s">
        <v>69</v>
      </c>
      <c r="M546" s="73"/>
      <c r="N546" s="73"/>
      <c r="O546" s="68"/>
      <c r="P546" s="67" t="s">
        <v>69</v>
      </c>
      <c r="Q546" s="73"/>
      <c r="R546" s="73"/>
      <c r="S546" s="68"/>
      <c r="T546" s="67" t="s">
        <v>69</v>
      </c>
      <c r="U546" s="73"/>
      <c r="V546" s="73"/>
      <c r="W546" s="68"/>
      <c r="X546" s="67" t="s">
        <v>69</v>
      </c>
      <c r="Y546" s="73"/>
      <c r="Z546" s="73"/>
      <c r="AA546" s="68"/>
      <c r="AB546" s="67" t="s">
        <v>69</v>
      </c>
      <c r="AC546" s="73"/>
      <c r="AD546" s="73"/>
      <c r="AE546" s="68"/>
      <c r="AF546" s="67" t="s">
        <v>69</v>
      </c>
      <c r="AG546" s="73"/>
      <c r="AH546" s="73"/>
      <c r="AI546" s="68"/>
      <c r="AJ546" s="67" t="s">
        <v>69</v>
      </c>
      <c r="AK546" s="73"/>
      <c r="AL546" s="73"/>
      <c r="AM546" s="68"/>
      <c r="AN546" s="73" t="s">
        <v>69</v>
      </c>
      <c r="AO546" s="73"/>
      <c r="AP546" s="73"/>
      <c r="AQ546" s="68"/>
      <c r="AR546" s="67">
        <f t="shared" si="358"/>
        <v>100</v>
      </c>
      <c r="AS546" s="68" t="str">
        <f t="shared" si="359"/>
        <v>S</v>
      </c>
      <c r="AV546" s="49">
        <f t="shared" si="320"/>
        <v>1</v>
      </c>
      <c r="AW546" s="49">
        <f t="shared" si="321"/>
        <v>0</v>
      </c>
      <c r="AX546" s="49">
        <f t="shared" si="322"/>
        <v>0</v>
      </c>
      <c r="AY546" s="49">
        <f t="shared" si="323"/>
        <v>0</v>
      </c>
      <c r="AZ546" s="49">
        <f t="shared" si="324"/>
        <v>1</v>
      </c>
      <c r="BA546" s="49">
        <f t="shared" si="325"/>
        <v>0</v>
      </c>
      <c r="BB546" s="49">
        <f t="shared" si="326"/>
        <v>0</v>
      </c>
      <c r="BC546" s="49">
        <f t="shared" si="327"/>
        <v>0</v>
      </c>
      <c r="BD546" s="49">
        <f t="shared" si="328"/>
        <v>1</v>
      </c>
      <c r="BE546" s="49">
        <f t="shared" si="329"/>
        <v>0</v>
      </c>
      <c r="BF546" s="49">
        <f t="shared" si="330"/>
        <v>0</v>
      </c>
      <c r="BG546" s="49">
        <f t="shared" si="331"/>
        <v>0</v>
      </c>
      <c r="BH546" s="49">
        <f t="shared" si="332"/>
        <v>1</v>
      </c>
      <c r="BI546" s="49">
        <f t="shared" si="333"/>
        <v>0</v>
      </c>
      <c r="BJ546" s="49">
        <f t="shared" si="334"/>
        <v>0</v>
      </c>
      <c r="BK546" s="49">
        <f t="shared" si="335"/>
        <v>0</v>
      </c>
      <c r="BL546" s="49">
        <f t="shared" si="336"/>
        <v>1</v>
      </c>
      <c r="BM546" s="49">
        <f t="shared" si="337"/>
        <v>0</v>
      </c>
      <c r="BN546" s="49">
        <f t="shared" si="338"/>
        <v>0</v>
      </c>
      <c r="BO546" s="49">
        <f t="shared" si="339"/>
        <v>0</v>
      </c>
      <c r="BP546" s="49">
        <f t="shared" si="340"/>
        <v>1</v>
      </c>
      <c r="BQ546" s="49">
        <f t="shared" si="341"/>
        <v>0</v>
      </c>
      <c r="BR546" s="49">
        <f t="shared" si="342"/>
        <v>0</v>
      </c>
      <c r="BS546" s="49">
        <f t="shared" si="343"/>
        <v>0</v>
      </c>
      <c r="BT546" s="49">
        <f t="shared" si="344"/>
        <v>1</v>
      </c>
      <c r="BU546" s="49">
        <f t="shared" si="345"/>
        <v>0</v>
      </c>
      <c r="BV546" s="49">
        <f t="shared" si="346"/>
        <v>0</v>
      </c>
      <c r="BW546" s="49">
        <f t="shared" si="347"/>
        <v>0</v>
      </c>
      <c r="BX546" s="49">
        <f t="shared" si="348"/>
        <v>1</v>
      </c>
      <c r="BY546" s="49">
        <f t="shared" si="349"/>
        <v>0</v>
      </c>
      <c r="BZ546" s="49">
        <f t="shared" si="350"/>
        <v>0</v>
      </c>
      <c r="CA546" s="49">
        <f t="shared" si="351"/>
        <v>0</v>
      </c>
      <c r="CB546" s="49">
        <f t="shared" si="352"/>
        <v>1</v>
      </c>
      <c r="CC546" s="49">
        <f t="shared" si="353"/>
        <v>0</v>
      </c>
      <c r="CD546" s="49">
        <f t="shared" si="354"/>
        <v>0</v>
      </c>
      <c r="CE546" s="49">
        <f t="shared" si="355"/>
        <v>0</v>
      </c>
    </row>
    <row r="547" spans="1:83" ht="35.1" customHeight="1" x14ac:dyDescent="0.3">
      <c r="A547" s="123" t="str">
        <f t="shared" si="356"/>
        <v>4팀</v>
      </c>
      <c r="B547" s="69">
        <f t="shared" si="357"/>
        <v>541</v>
      </c>
      <c r="C547" s="120" t="str">
        <f>IF(VLOOKUP($B547,'1. 현장별 인원현황'!$C:$J,2,0)=0,"",VLOOKUP($B547,'1. 현장별 인원현황'!$C:$J,2,0))</f>
        <v xml:space="preserve"> [4.롯데건설] 인천 효성지구 도시개발사업 공동주택 3BL</v>
      </c>
      <c r="D547" s="70" t="str">
        <f>IF(VLOOKUP($B547,'1. 현장별 인원현황'!$C:$J,3,0)=0,"",VLOOKUP($B547,'1. 현장별 인원현황'!$C:$J,3,0))</f>
        <v>김인화</v>
      </c>
      <c r="E547" s="74" t="str">
        <f ca="1">IF(VLOOKUP($B547,'1. 현장별 인원현황'!$C:$J,4,0)=0,"",VLOOKUP($B547,'1. 현장별 인원현황'!$C:$J,4,0))</f>
        <v>57세</v>
      </c>
      <c r="F547" s="70" t="str">
        <f>IF(VLOOKUP($B547,'1. 현장별 인원현황'!$C:$J,7,0)=0,"",VLOOKUP($B547,'1. 현장별 인원현황'!$C:$J,7,0))</f>
        <v>기능공</v>
      </c>
      <c r="G547" s="72" t="str">
        <f>IF(VLOOKUP($B547,'1. 현장별 인원현황'!$C:$J,8,0)=0,"",VLOOKUP($B547,'1. 현장별 인원현황'!$C:$J,8,0))</f>
        <v>조공</v>
      </c>
      <c r="H547" s="67" t="s">
        <v>69</v>
      </c>
      <c r="I547" s="73"/>
      <c r="J547" s="73"/>
      <c r="K547" s="68"/>
      <c r="L547" s="67" t="s">
        <v>69</v>
      </c>
      <c r="M547" s="73"/>
      <c r="N547" s="73"/>
      <c r="O547" s="68"/>
      <c r="P547" s="67" t="s">
        <v>69</v>
      </c>
      <c r="Q547" s="73"/>
      <c r="R547" s="73"/>
      <c r="S547" s="68"/>
      <c r="T547" s="67" t="s">
        <v>69</v>
      </c>
      <c r="U547" s="73"/>
      <c r="V547" s="73"/>
      <c r="W547" s="68"/>
      <c r="X547" s="67" t="s">
        <v>69</v>
      </c>
      <c r="Y547" s="73"/>
      <c r="Z547" s="73"/>
      <c r="AA547" s="68"/>
      <c r="AB547" s="67" t="s">
        <v>69</v>
      </c>
      <c r="AC547" s="73"/>
      <c r="AD547" s="73"/>
      <c r="AE547" s="68"/>
      <c r="AF547" s="67" t="s">
        <v>69</v>
      </c>
      <c r="AG547" s="73"/>
      <c r="AH547" s="73"/>
      <c r="AI547" s="68"/>
      <c r="AJ547" s="67" t="s">
        <v>69</v>
      </c>
      <c r="AK547" s="73"/>
      <c r="AL547" s="73"/>
      <c r="AM547" s="68"/>
      <c r="AN547" s="73" t="s">
        <v>69</v>
      </c>
      <c r="AO547" s="73"/>
      <c r="AP547" s="73"/>
      <c r="AQ547" s="68"/>
      <c r="AR547" s="67">
        <f t="shared" si="358"/>
        <v>100</v>
      </c>
      <c r="AS547" s="68" t="str">
        <f t="shared" si="359"/>
        <v>S</v>
      </c>
      <c r="AV547" s="49">
        <f t="shared" si="320"/>
        <v>1</v>
      </c>
      <c r="AW547" s="49">
        <f t="shared" si="321"/>
        <v>0</v>
      </c>
      <c r="AX547" s="49">
        <f t="shared" si="322"/>
        <v>0</v>
      </c>
      <c r="AY547" s="49">
        <f t="shared" si="323"/>
        <v>0</v>
      </c>
      <c r="AZ547" s="49">
        <f t="shared" si="324"/>
        <v>1</v>
      </c>
      <c r="BA547" s="49">
        <f t="shared" si="325"/>
        <v>0</v>
      </c>
      <c r="BB547" s="49">
        <f t="shared" si="326"/>
        <v>0</v>
      </c>
      <c r="BC547" s="49">
        <f t="shared" si="327"/>
        <v>0</v>
      </c>
      <c r="BD547" s="49">
        <f t="shared" si="328"/>
        <v>1</v>
      </c>
      <c r="BE547" s="49">
        <f t="shared" si="329"/>
        <v>0</v>
      </c>
      <c r="BF547" s="49">
        <f t="shared" si="330"/>
        <v>0</v>
      </c>
      <c r="BG547" s="49">
        <f t="shared" si="331"/>
        <v>0</v>
      </c>
      <c r="BH547" s="49">
        <f t="shared" si="332"/>
        <v>1</v>
      </c>
      <c r="BI547" s="49">
        <f t="shared" si="333"/>
        <v>0</v>
      </c>
      <c r="BJ547" s="49">
        <f t="shared" si="334"/>
        <v>0</v>
      </c>
      <c r="BK547" s="49">
        <f t="shared" si="335"/>
        <v>0</v>
      </c>
      <c r="BL547" s="49">
        <f t="shared" si="336"/>
        <v>1</v>
      </c>
      <c r="BM547" s="49">
        <f t="shared" si="337"/>
        <v>0</v>
      </c>
      <c r="BN547" s="49">
        <f t="shared" si="338"/>
        <v>0</v>
      </c>
      <c r="BO547" s="49">
        <f t="shared" si="339"/>
        <v>0</v>
      </c>
      <c r="BP547" s="49">
        <f t="shared" si="340"/>
        <v>1</v>
      </c>
      <c r="BQ547" s="49">
        <f t="shared" si="341"/>
        <v>0</v>
      </c>
      <c r="BR547" s="49">
        <f t="shared" si="342"/>
        <v>0</v>
      </c>
      <c r="BS547" s="49">
        <f t="shared" si="343"/>
        <v>0</v>
      </c>
      <c r="BT547" s="49">
        <f t="shared" si="344"/>
        <v>1</v>
      </c>
      <c r="BU547" s="49">
        <f t="shared" si="345"/>
        <v>0</v>
      </c>
      <c r="BV547" s="49">
        <f t="shared" si="346"/>
        <v>0</v>
      </c>
      <c r="BW547" s="49">
        <f t="shared" si="347"/>
        <v>0</v>
      </c>
      <c r="BX547" s="49">
        <f t="shared" si="348"/>
        <v>1</v>
      </c>
      <c r="BY547" s="49">
        <f t="shared" si="349"/>
        <v>0</v>
      </c>
      <c r="BZ547" s="49">
        <f t="shared" si="350"/>
        <v>0</v>
      </c>
      <c r="CA547" s="49">
        <f t="shared" si="351"/>
        <v>0</v>
      </c>
      <c r="CB547" s="49">
        <f t="shared" si="352"/>
        <v>1</v>
      </c>
      <c r="CC547" s="49">
        <f t="shared" si="353"/>
        <v>0</v>
      </c>
      <c r="CD547" s="49">
        <f t="shared" si="354"/>
        <v>0</v>
      </c>
      <c r="CE547" s="49">
        <f t="shared" si="355"/>
        <v>0</v>
      </c>
    </row>
    <row r="548" spans="1:83" ht="35.1" customHeight="1" x14ac:dyDescent="0.3">
      <c r="A548" s="123" t="str">
        <f t="shared" si="356"/>
        <v>5팀</v>
      </c>
      <c r="B548" s="69">
        <f t="shared" si="357"/>
        <v>542</v>
      </c>
      <c r="C548" s="120" t="str">
        <f>IF(VLOOKUP($B548,'1. 현장별 인원현황'!$C:$J,2,0)=0,"",VLOOKUP($B548,'1. 현장별 인원현황'!$C:$J,2,0))</f>
        <v xml:space="preserve"> [5.SG신성건설] 판교 SG세계물산 사옥 신축공사</v>
      </c>
      <c r="D548" s="70" t="str">
        <f>IF(VLOOKUP($B548,'1. 현장별 인원현황'!$C:$J,3,0)=0,"",VLOOKUP($B548,'1. 현장별 인원현황'!$C:$J,3,0))</f>
        <v>염병근</v>
      </c>
      <c r="E548" s="74" t="str">
        <f ca="1">IF(VLOOKUP($B548,'1. 현장별 인원현황'!$C:$J,4,0)=0,"",VLOOKUP($B548,'1. 현장별 인원현황'!$C:$J,4,0))</f>
        <v>56세</v>
      </c>
      <c r="F548" s="70" t="str">
        <f>IF(VLOOKUP($B548,'1. 현장별 인원현황'!$C:$J,7,0)=0,"",VLOOKUP($B548,'1. 현장별 인원현황'!$C:$J,7,0))</f>
        <v>공사</v>
      </c>
      <c r="G548" s="72" t="str">
        <f>IF(VLOOKUP($B548,'1. 현장별 인원현황'!$C:$J,8,0)=0,"",VLOOKUP($B548,'1. 현장별 인원현황'!$C:$J,8,0))</f>
        <v>차장</v>
      </c>
      <c r="H548" s="67" t="s">
        <v>69</v>
      </c>
      <c r="I548" s="73"/>
      <c r="J548" s="73"/>
      <c r="K548" s="68"/>
      <c r="L548" s="67" t="s">
        <v>69</v>
      </c>
      <c r="M548" s="73"/>
      <c r="N548" s="73"/>
      <c r="O548" s="68"/>
      <c r="P548" s="67" t="s">
        <v>69</v>
      </c>
      <c r="Q548" s="73"/>
      <c r="R548" s="73"/>
      <c r="S548" s="68"/>
      <c r="T548" s="67"/>
      <c r="U548" s="73" t="s">
        <v>69</v>
      </c>
      <c r="V548" s="73"/>
      <c r="W548" s="68"/>
      <c r="X548" s="67" t="s">
        <v>69</v>
      </c>
      <c r="Y548" s="73"/>
      <c r="Z548" s="73"/>
      <c r="AA548" s="68"/>
      <c r="AB548" s="67" t="s">
        <v>69</v>
      </c>
      <c r="AC548" s="73"/>
      <c r="AD548" s="73"/>
      <c r="AE548" s="68"/>
      <c r="AF548" s="67"/>
      <c r="AG548" s="73" t="s">
        <v>69</v>
      </c>
      <c r="AH548" s="73"/>
      <c r="AI548" s="68"/>
      <c r="AJ548" s="67" t="s">
        <v>69</v>
      </c>
      <c r="AK548" s="73"/>
      <c r="AL548" s="73"/>
      <c r="AM548" s="68"/>
      <c r="AN548" s="73" t="s">
        <v>69</v>
      </c>
      <c r="AO548" s="73"/>
      <c r="AP548" s="73"/>
      <c r="AQ548" s="68"/>
      <c r="AR548" s="67">
        <f t="shared" si="358"/>
        <v>96</v>
      </c>
      <c r="AS548" s="68" t="str">
        <f t="shared" si="359"/>
        <v>S</v>
      </c>
      <c r="AV548" s="49">
        <f t="shared" si="320"/>
        <v>1</v>
      </c>
      <c r="AW548" s="49">
        <f t="shared" si="321"/>
        <v>0</v>
      </c>
      <c r="AX548" s="49">
        <f t="shared" si="322"/>
        <v>0</v>
      </c>
      <c r="AY548" s="49">
        <f t="shared" si="323"/>
        <v>0</v>
      </c>
      <c r="AZ548" s="49">
        <f t="shared" si="324"/>
        <v>1</v>
      </c>
      <c r="BA548" s="49">
        <f t="shared" si="325"/>
        <v>0</v>
      </c>
      <c r="BB548" s="49">
        <f t="shared" si="326"/>
        <v>0</v>
      </c>
      <c r="BC548" s="49">
        <f t="shared" si="327"/>
        <v>0</v>
      </c>
      <c r="BD548" s="49">
        <f t="shared" si="328"/>
        <v>1</v>
      </c>
      <c r="BE548" s="49">
        <f t="shared" si="329"/>
        <v>0</v>
      </c>
      <c r="BF548" s="49">
        <f t="shared" si="330"/>
        <v>0</v>
      </c>
      <c r="BG548" s="49">
        <f t="shared" si="331"/>
        <v>0</v>
      </c>
      <c r="BH548" s="49">
        <f t="shared" si="332"/>
        <v>0</v>
      </c>
      <c r="BI548" s="49">
        <f t="shared" si="333"/>
        <v>1</v>
      </c>
      <c r="BJ548" s="49">
        <f t="shared" si="334"/>
        <v>0</v>
      </c>
      <c r="BK548" s="49">
        <f t="shared" si="335"/>
        <v>0</v>
      </c>
      <c r="BL548" s="49">
        <f t="shared" si="336"/>
        <v>1</v>
      </c>
      <c r="BM548" s="49">
        <f t="shared" si="337"/>
        <v>0</v>
      </c>
      <c r="BN548" s="49">
        <f t="shared" si="338"/>
        <v>0</v>
      </c>
      <c r="BO548" s="49">
        <f t="shared" si="339"/>
        <v>0</v>
      </c>
      <c r="BP548" s="49">
        <f t="shared" si="340"/>
        <v>1</v>
      </c>
      <c r="BQ548" s="49">
        <f t="shared" si="341"/>
        <v>0</v>
      </c>
      <c r="BR548" s="49">
        <f t="shared" si="342"/>
        <v>0</v>
      </c>
      <c r="BS548" s="49">
        <f t="shared" si="343"/>
        <v>0</v>
      </c>
      <c r="BT548" s="49">
        <f t="shared" si="344"/>
        <v>0</v>
      </c>
      <c r="BU548" s="49">
        <f t="shared" si="345"/>
        <v>1</v>
      </c>
      <c r="BV548" s="49">
        <f t="shared" si="346"/>
        <v>0</v>
      </c>
      <c r="BW548" s="49">
        <f t="shared" si="347"/>
        <v>0</v>
      </c>
      <c r="BX548" s="49">
        <f t="shared" si="348"/>
        <v>1</v>
      </c>
      <c r="BY548" s="49">
        <f t="shared" si="349"/>
        <v>0</v>
      </c>
      <c r="BZ548" s="49">
        <f t="shared" si="350"/>
        <v>0</v>
      </c>
      <c r="CA548" s="49">
        <f t="shared" si="351"/>
        <v>0</v>
      </c>
      <c r="CB548" s="49">
        <f t="shared" si="352"/>
        <v>1</v>
      </c>
      <c r="CC548" s="49">
        <f t="shared" si="353"/>
        <v>0</v>
      </c>
      <c r="CD548" s="49">
        <f t="shared" si="354"/>
        <v>0</v>
      </c>
      <c r="CE548" s="49">
        <f t="shared" si="355"/>
        <v>0</v>
      </c>
    </row>
    <row r="549" spans="1:83" ht="35.1" customHeight="1" x14ac:dyDescent="0.3">
      <c r="A549" s="123" t="str">
        <f t="shared" si="356"/>
        <v>5팀</v>
      </c>
      <c r="B549" s="69">
        <f t="shared" si="357"/>
        <v>543</v>
      </c>
      <c r="C549" s="120" t="str">
        <f>IF(VLOOKUP($B549,'1. 현장별 인원현황'!$C:$J,2,0)=0,"",VLOOKUP($B549,'1. 현장별 인원현황'!$C:$J,2,0))</f>
        <v xml:space="preserve"> [5.SG신성건설] 판교 SG세계물산 사옥 신축공사</v>
      </c>
      <c r="D549" s="70" t="str">
        <f>IF(VLOOKUP($B549,'1. 현장별 인원현황'!$C:$J,3,0)=0,"",VLOOKUP($B549,'1. 현장별 인원현황'!$C:$J,3,0))</f>
        <v>이수진</v>
      </c>
      <c r="E549" s="74" t="str">
        <f ca="1">IF(VLOOKUP($B549,'1. 현장별 인원현황'!$C:$J,4,0)=0,"",VLOOKUP($B549,'1. 현장별 인원현황'!$C:$J,4,0))</f>
        <v>32세</v>
      </c>
      <c r="F549" s="70" t="str">
        <f>IF(VLOOKUP($B549,'1. 현장별 인원현황'!$C:$J,7,0)=0,"",VLOOKUP($B549,'1. 현장별 인원현황'!$C:$J,7,0))</f>
        <v>공무</v>
      </c>
      <c r="G549" s="72" t="str">
        <f>IF(VLOOKUP($B549,'1. 현장별 인원현황'!$C:$J,8,0)=0,"",VLOOKUP($B549,'1. 현장별 인원현황'!$C:$J,8,0))</f>
        <v>대리</v>
      </c>
      <c r="H549" s="67" t="s">
        <v>69</v>
      </c>
      <c r="I549" s="73"/>
      <c r="J549" s="73"/>
      <c r="K549" s="68"/>
      <c r="L549" s="67" t="s">
        <v>69</v>
      </c>
      <c r="M549" s="73"/>
      <c r="N549" s="73"/>
      <c r="O549" s="68"/>
      <c r="P549" s="67" t="s">
        <v>69</v>
      </c>
      <c r="Q549" s="73"/>
      <c r="R549" s="73"/>
      <c r="S549" s="68"/>
      <c r="T549" s="67"/>
      <c r="U549" s="73" t="s">
        <v>69</v>
      </c>
      <c r="V549" s="73"/>
      <c r="W549" s="68"/>
      <c r="X549" s="67" t="s">
        <v>69</v>
      </c>
      <c r="Y549" s="73"/>
      <c r="Z549" s="73"/>
      <c r="AA549" s="68"/>
      <c r="AB549" s="67" t="s">
        <v>69</v>
      </c>
      <c r="AC549" s="73"/>
      <c r="AD549" s="73"/>
      <c r="AE549" s="68"/>
      <c r="AF549" s="67"/>
      <c r="AG549" s="73" t="s">
        <v>69</v>
      </c>
      <c r="AH549" s="73"/>
      <c r="AI549" s="68"/>
      <c r="AJ549" s="67" t="s">
        <v>69</v>
      </c>
      <c r="AK549" s="73"/>
      <c r="AL549" s="73"/>
      <c r="AM549" s="68"/>
      <c r="AN549" s="73" t="s">
        <v>69</v>
      </c>
      <c r="AO549" s="73"/>
      <c r="AP549" s="73"/>
      <c r="AQ549" s="68"/>
      <c r="AR549" s="67">
        <f t="shared" si="358"/>
        <v>96</v>
      </c>
      <c r="AS549" s="68" t="str">
        <f t="shared" si="359"/>
        <v>S</v>
      </c>
      <c r="AV549" s="49">
        <f t="shared" si="320"/>
        <v>1</v>
      </c>
      <c r="AW549" s="49">
        <f t="shared" si="321"/>
        <v>0</v>
      </c>
      <c r="AX549" s="49">
        <f t="shared" si="322"/>
        <v>0</v>
      </c>
      <c r="AY549" s="49">
        <f t="shared" si="323"/>
        <v>0</v>
      </c>
      <c r="AZ549" s="49">
        <f t="shared" si="324"/>
        <v>1</v>
      </c>
      <c r="BA549" s="49">
        <f t="shared" si="325"/>
        <v>0</v>
      </c>
      <c r="BB549" s="49">
        <f t="shared" si="326"/>
        <v>0</v>
      </c>
      <c r="BC549" s="49">
        <f t="shared" si="327"/>
        <v>0</v>
      </c>
      <c r="BD549" s="49">
        <f t="shared" si="328"/>
        <v>1</v>
      </c>
      <c r="BE549" s="49">
        <f t="shared" si="329"/>
        <v>0</v>
      </c>
      <c r="BF549" s="49">
        <f t="shared" si="330"/>
        <v>0</v>
      </c>
      <c r="BG549" s="49">
        <f t="shared" si="331"/>
        <v>0</v>
      </c>
      <c r="BH549" s="49">
        <f t="shared" si="332"/>
        <v>0</v>
      </c>
      <c r="BI549" s="49">
        <f t="shared" si="333"/>
        <v>1</v>
      </c>
      <c r="BJ549" s="49">
        <f t="shared" si="334"/>
        <v>0</v>
      </c>
      <c r="BK549" s="49">
        <f t="shared" si="335"/>
        <v>0</v>
      </c>
      <c r="BL549" s="49">
        <f t="shared" si="336"/>
        <v>1</v>
      </c>
      <c r="BM549" s="49">
        <f t="shared" si="337"/>
        <v>0</v>
      </c>
      <c r="BN549" s="49">
        <f t="shared" si="338"/>
        <v>0</v>
      </c>
      <c r="BO549" s="49">
        <f t="shared" si="339"/>
        <v>0</v>
      </c>
      <c r="BP549" s="49">
        <f t="shared" si="340"/>
        <v>1</v>
      </c>
      <c r="BQ549" s="49">
        <f t="shared" si="341"/>
        <v>0</v>
      </c>
      <c r="BR549" s="49">
        <f t="shared" si="342"/>
        <v>0</v>
      </c>
      <c r="BS549" s="49">
        <f t="shared" si="343"/>
        <v>0</v>
      </c>
      <c r="BT549" s="49">
        <f t="shared" si="344"/>
        <v>0</v>
      </c>
      <c r="BU549" s="49">
        <f t="shared" si="345"/>
        <v>1</v>
      </c>
      <c r="BV549" s="49">
        <f t="shared" si="346"/>
        <v>0</v>
      </c>
      <c r="BW549" s="49">
        <f t="shared" si="347"/>
        <v>0</v>
      </c>
      <c r="BX549" s="49">
        <f t="shared" si="348"/>
        <v>1</v>
      </c>
      <c r="BY549" s="49">
        <f t="shared" si="349"/>
        <v>0</v>
      </c>
      <c r="BZ549" s="49">
        <f t="shared" si="350"/>
        <v>0</v>
      </c>
      <c r="CA549" s="49">
        <f t="shared" si="351"/>
        <v>0</v>
      </c>
      <c r="CB549" s="49">
        <f t="shared" si="352"/>
        <v>1</v>
      </c>
      <c r="CC549" s="49">
        <f t="shared" si="353"/>
        <v>0</v>
      </c>
      <c r="CD549" s="49">
        <f t="shared" si="354"/>
        <v>0</v>
      </c>
      <c r="CE549" s="49">
        <f t="shared" si="355"/>
        <v>0</v>
      </c>
    </row>
    <row r="550" spans="1:83" ht="35.1" customHeight="1" x14ac:dyDescent="0.3">
      <c r="A550" s="123" t="str">
        <f t="shared" si="356"/>
        <v>5팀</v>
      </c>
      <c r="B550" s="69">
        <f t="shared" si="357"/>
        <v>544</v>
      </c>
      <c r="C550" s="120" t="str">
        <f>IF(VLOOKUP($B550,'1. 현장별 인원현황'!$C:$J,2,0)=0,"",VLOOKUP($B550,'1. 현장별 인원현황'!$C:$J,2,0))</f>
        <v xml:space="preserve"> [5.SG신성건설] 판교 SG세계물산 사옥 신축공사</v>
      </c>
      <c r="D550" s="70" t="str">
        <f>IF(VLOOKUP($B550,'1. 현장별 인원현황'!$C:$J,3,0)=0,"",VLOOKUP($B550,'1. 현장별 인원현황'!$C:$J,3,0))</f>
        <v>유병일</v>
      </c>
      <c r="E550" s="74" t="str">
        <f ca="1">IF(VLOOKUP($B550,'1. 현장별 인원현황'!$C:$J,4,0)=0,"",VLOOKUP($B550,'1. 현장별 인원현황'!$C:$J,4,0))</f>
        <v>54세</v>
      </c>
      <c r="F550" s="70" t="str">
        <f>IF(VLOOKUP($B550,'1. 현장별 인원현황'!$C:$J,7,0)=0,"",VLOOKUP($B550,'1. 현장별 인원현황'!$C:$J,7,0))</f>
        <v>기능공</v>
      </c>
      <c r="G550" s="72" t="str">
        <f>IF(VLOOKUP($B550,'1. 현장별 인원현황'!$C:$J,8,0)=0,"",VLOOKUP($B550,'1. 현장별 인원현황'!$C:$J,8,0))</f>
        <v>전공</v>
      </c>
      <c r="H550" s="67"/>
      <c r="I550" s="73" t="s">
        <v>69</v>
      </c>
      <c r="J550" s="73"/>
      <c r="K550" s="68"/>
      <c r="L550" s="67"/>
      <c r="M550" s="73" t="s">
        <v>69</v>
      </c>
      <c r="N550" s="73"/>
      <c r="O550" s="68"/>
      <c r="P550" s="67"/>
      <c r="Q550" s="73" t="s">
        <v>69</v>
      </c>
      <c r="R550" s="73"/>
      <c r="S550" s="68"/>
      <c r="T550" s="67"/>
      <c r="U550" s="73" t="s">
        <v>69</v>
      </c>
      <c r="V550" s="73"/>
      <c r="W550" s="68"/>
      <c r="X550" s="67" t="s">
        <v>69</v>
      </c>
      <c r="Y550" s="73"/>
      <c r="Z550" s="73"/>
      <c r="AA550" s="68"/>
      <c r="AB550" s="67" t="s">
        <v>69</v>
      </c>
      <c r="AC550" s="73"/>
      <c r="AD550" s="73"/>
      <c r="AE550" s="68"/>
      <c r="AF550" s="67"/>
      <c r="AG550" s="73" t="s">
        <v>69</v>
      </c>
      <c r="AH550" s="73"/>
      <c r="AI550" s="68"/>
      <c r="AJ550" s="67" t="s">
        <v>69</v>
      </c>
      <c r="AK550" s="73"/>
      <c r="AL550" s="73"/>
      <c r="AM550" s="68"/>
      <c r="AN550" s="73" t="s">
        <v>69</v>
      </c>
      <c r="AO550" s="73"/>
      <c r="AP550" s="73"/>
      <c r="AQ550" s="68"/>
      <c r="AR550" s="67">
        <f t="shared" si="358"/>
        <v>87</v>
      </c>
      <c r="AS550" s="68" t="str">
        <f t="shared" si="359"/>
        <v>S</v>
      </c>
      <c r="AV550" s="49">
        <f t="shared" si="320"/>
        <v>0</v>
      </c>
      <c r="AW550" s="49">
        <f t="shared" si="321"/>
        <v>1</v>
      </c>
      <c r="AX550" s="49">
        <f t="shared" si="322"/>
        <v>0</v>
      </c>
      <c r="AY550" s="49">
        <f t="shared" si="323"/>
        <v>0</v>
      </c>
      <c r="AZ550" s="49">
        <f t="shared" si="324"/>
        <v>0</v>
      </c>
      <c r="BA550" s="49">
        <f t="shared" si="325"/>
        <v>1</v>
      </c>
      <c r="BB550" s="49">
        <f t="shared" si="326"/>
        <v>0</v>
      </c>
      <c r="BC550" s="49">
        <f t="shared" si="327"/>
        <v>0</v>
      </c>
      <c r="BD550" s="49">
        <f t="shared" si="328"/>
        <v>0</v>
      </c>
      <c r="BE550" s="49">
        <f t="shared" si="329"/>
        <v>1</v>
      </c>
      <c r="BF550" s="49">
        <f t="shared" si="330"/>
        <v>0</v>
      </c>
      <c r="BG550" s="49">
        <f t="shared" si="331"/>
        <v>0</v>
      </c>
      <c r="BH550" s="49">
        <f t="shared" si="332"/>
        <v>0</v>
      </c>
      <c r="BI550" s="49">
        <f t="shared" si="333"/>
        <v>1</v>
      </c>
      <c r="BJ550" s="49">
        <f t="shared" si="334"/>
        <v>0</v>
      </c>
      <c r="BK550" s="49">
        <f t="shared" si="335"/>
        <v>0</v>
      </c>
      <c r="BL550" s="49">
        <f t="shared" si="336"/>
        <v>1</v>
      </c>
      <c r="BM550" s="49">
        <f t="shared" si="337"/>
        <v>0</v>
      </c>
      <c r="BN550" s="49">
        <f t="shared" si="338"/>
        <v>0</v>
      </c>
      <c r="BO550" s="49">
        <f t="shared" si="339"/>
        <v>0</v>
      </c>
      <c r="BP550" s="49">
        <f t="shared" si="340"/>
        <v>1</v>
      </c>
      <c r="BQ550" s="49">
        <f t="shared" si="341"/>
        <v>0</v>
      </c>
      <c r="BR550" s="49">
        <f t="shared" si="342"/>
        <v>0</v>
      </c>
      <c r="BS550" s="49">
        <f t="shared" si="343"/>
        <v>0</v>
      </c>
      <c r="BT550" s="49">
        <f t="shared" si="344"/>
        <v>0</v>
      </c>
      <c r="BU550" s="49">
        <f t="shared" si="345"/>
        <v>1</v>
      </c>
      <c r="BV550" s="49">
        <f t="shared" si="346"/>
        <v>0</v>
      </c>
      <c r="BW550" s="49">
        <f t="shared" si="347"/>
        <v>0</v>
      </c>
      <c r="BX550" s="49">
        <f t="shared" si="348"/>
        <v>1</v>
      </c>
      <c r="BY550" s="49">
        <f t="shared" si="349"/>
        <v>0</v>
      </c>
      <c r="BZ550" s="49">
        <f t="shared" si="350"/>
        <v>0</v>
      </c>
      <c r="CA550" s="49">
        <f t="shared" si="351"/>
        <v>0</v>
      </c>
      <c r="CB550" s="49">
        <f t="shared" si="352"/>
        <v>1</v>
      </c>
      <c r="CC550" s="49">
        <f t="shared" si="353"/>
        <v>0</v>
      </c>
      <c r="CD550" s="49">
        <f t="shared" si="354"/>
        <v>0</v>
      </c>
      <c r="CE550" s="49">
        <f t="shared" si="355"/>
        <v>0</v>
      </c>
    </row>
    <row r="551" spans="1:83" ht="35.1" customHeight="1" x14ac:dyDescent="0.3">
      <c r="A551" s="123" t="str">
        <f t="shared" si="356"/>
        <v>5팀</v>
      </c>
      <c r="B551" s="69">
        <f t="shared" si="357"/>
        <v>545</v>
      </c>
      <c r="C551" s="120" t="str">
        <f>IF(VLOOKUP($B551,'1. 현장별 인원현황'!$C:$J,2,0)=0,"",VLOOKUP($B551,'1. 현장별 인원현황'!$C:$J,2,0))</f>
        <v xml:space="preserve"> [5.SG신성건설] 판교 SG세계물산 사옥 신축공사</v>
      </c>
      <c r="D551" s="70" t="str">
        <f>IF(VLOOKUP($B551,'1. 현장별 인원현황'!$C:$J,3,0)=0,"",VLOOKUP($B551,'1. 현장별 인원현황'!$C:$J,3,0))</f>
        <v>박재용</v>
      </c>
      <c r="E551" s="74" t="str">
        <f ca="1">IF(VLOOKUP($B551,'1. 현장별 인원현황'!$C:$J,4,0)=0,"",VLOOKUP($B551,'1. 현장별 인원현황'!$C:$J,4,0))</f>
        <v>53세</v>
      </c>
      <c r="F551" s="70" t="str">
        <f>IF(VLOOKUP($B551,'1. 현장별 인원현황'!$C:$J,7,0)=0,"",VLOOKUP($B551,'1. 현장별 인원현황'!$C:$J,7,0))</f>
        <v>기능공</v>
      </c>
      <c r="G551" s="72" t="str">
        <f>IF(VLOOKUP($B551,'1. 현장별 인원현황'!$C:$J,8,0)=0,"",VLOOKUP($B551,'1. 현장별 인원현황'!$C:$J,8,0))</f>
        <v>전공</v>
      </c>
      <c r="H551" s="67"/>
      <c r="I551" s="73" t="s">
        <v>69</v>
      </c>
      <c r="J551" s="73"/>
      <c r="K551" s="68"/>
      <c r="L551" s="67"/>
      <c r="M551" s="73" t="s">
        <v>69</v>
      </c>
      <c r="N551" s="73"/>
      <c r="O551" s="68"/>
      <c r="P551" s="67"/>
      <c r="Q551" s="73" t="s">
        <v>69</v>
      </c>
      <c r="R551" s="73"/>
      <c r="S551" s="68"/>
      <c r="T551" s="67"/>
      <c r="U551" s="73" t="s">
        <v>69</v>
      </c>
      <c r="V551" s="73"/>
      <c r="W551" s="68"/>
      <c r="X551" s="67" t="s">
        <v>69</v>
      </c>
      <c r="Y551" s="73"/>
      <c r="Z551" s="73"/>
      <c r="AA551" s="68"/>
      <c r="AB551" s="67" t="s">
        <v>69</v>
      </c>
      <c r="AC551" s="73"/>
      <c r="AD551" s="73"/>
      <c r="AE551" s="68"/>
      <c r="AF551" s="67"/>
      <c r="AG551" s="73" t="s">
        <v>69</v>
      </c>
      <c r="AH551" s="73"/>
      <c r="AI551" s="68"/>
      <c r="AJ551" s="67" t="s">
        <v>69</v>
      </c>
      <c r="AK551" s="73"/>
      <c r="AL551" s="73"/>
      <c r="AM551" s="68"/>
      <c r="AN551" s="73" t="s">
        <v>69</v>
      </c>
      <c r="AO551" s="73"/>
      <c r="AP551" s="73"/>
      <c r="AQ551" s="68"/>
      <c r="AR551" s="67">
        <f t="shared" si="358"/>
        <v>87</v>
      </c>
      <c r="AS551" s="68" t="str">
        <f t="shared" si="359"/>
        <v>S</v>
      </c>
      <c r="AV551" s="49">
        <f t="shared" si="320"/>
        <v>0</v>
      </c>
      <c r="AW551" s="49">
        <f t="shared" si="321"/>
        <v>1</v>
      </c>
      <c r="AX551" s="49">
        <f t="shared" si="322"/>
        <v>0</v>
      </c>
      <c r="AY551" s="49">
        <f t="shared" si="323"/>
        <v>0</v>
      </c>
      <c r="AZ551" s="49">
        <f t="shared" si="324"/>
        <v>0</v>
      </c>
      <c r="BA551" s="49">
        <f t="shared" si="325"/>
        <v>1</v>
      </c>
      <c r="BB551" s="49">
        <f t="shared" si="326"/>
        <v>0</v>
      </c>
      <c r="BC551" s="49">
        <f t="shared" si="327"/>
        <v>0</v>
      </c>
      <c r="BD551" s="49">
        <f t="shared" si="328"/>
        <v>0</v>
      </c>
      <c r="BE551" s="49">
        <f t="shared" si="329"/>
        <v>1</v>
      </c>
      <c r="BF551" s="49">
        <f t="shared" si="330"/>
        <v>0</v>
      </c>
      <c r="BG551" s="49">
        <f t="shared" si="331"/>
        <v>0</v>
      </c>
      <c r="BH551" s="49">
        <f t="shared" si="332"/>
        <v>0</v>
      </c>
      <c r="BI551" s="49">
        <f t="shared" si="333"/>
        <v>1</v>
      </c>
      <c r="BJ551" s="49">
        <f t="shared" si="334"/>
        <v>0</v>
      </c>
      <c r="BK551" s="49">
        <f t="shared" si="335"/>
        <v>0</v>
      </c>
      <c r="BL551" s="49">
        <f t="shared" si="336"/>
        <v>1</v>
      </c>
      <c r="BM551" s="49">
        <f t="shared" si="337"/>
        <v>0</v>
      </c>
      <c r="BN551" s="49">
        <f t="shared" si="338"/>
        <v>0</v>
      </c>
      <c r="BO551" s="49">
        <f t="shared" si="339"/>
        <v>0</v>
      </c>
      <c r="BP551" s="49">
        <f t="shared" si="340"/>
        <v>1</v>
      </c>
      <c r="BQ551" s="49">
        <f t="shared" si="341"/>
        <v>0</v>
      </c>
      <c r="BR551" s="49">
        <f t="shared" si="342"/>
        <v>0</v>
      </c>
      <c r="BS551" s="49">
        <f t="shared" si="343"/>
        <v>0</v>
      </c>
      <c r="BT551" s="49">
        <f t="shared" si="344"/>
        <v>0</v>
      </c>
      <c r="BU551" s="49">
        <f t="shared" si="345"/>
        <v>1</v>
      </c>
      <c r="BV551" s="49">
        <f t="shared" si="346"/>
        <v>0</v>
      </c>
      <c r="BW551" s="49">
        <f t="shared" si="347"/>
        <v>0</v>
      </c>
      <c r="BX551" s="49">
        <f t="shared" si="348"/>
        <v>1</v>
      </c>
      <c r="BY551" s="49">
        <f t="shared" si="349"/>
        <v>0</v>
      </c>
      <c r="BZ551" s="49">
        <f t="shared" si="350"/>
        <v>0</v>
      </c>
      <c r="CA551" s="49">
        <f t="shared" si="351"/>
        <v>0</v>
      </c>
      <c r="CB551" s="49">
        <f t="shared" si="352"/>
        <v>1</v>
      </c>
      <c r="CC551" s="49">
        <f t="shared" si="353"/>
        <v>0</v>
      </c>
      <c r="CD551" s="49">
        <f t="shared" si="354"/>
        <v>0</v>
      </c>
      <c r="CE551" s="49">
        <f t="shared" si="355"/>
        <v>0</v>
      </c>
    </row>
    <row r="552" spans="1:83" ht="35.1" customHeight="1" x14ac:dyDescent="0.3">
      <c r="A552" s="123" t="str">
        <f t="shared" si="356"/>
        <v>5팀</v>
      </c>
      <c r="B552" s="69">
        <f t="shared" si="357"/>
        <v>546</v>
      </c>
      <c r="C552" s="120" t="str">
        <f>IF(VLOOKUP($B552,'1. 현장별 인원현황'!$C:$J,2,0)=0,"",VLOOKUP($B552,'1. 현장별 인원현황'!$C:$J,2,0))</f>
        <v xml:space="preserve"> [5.SG신성건설] 판교 SG세계물산 사옥 신축공사</v>
      </c>
      <c r="D552" s="70" t="str">
        <f>IF(VLOOKUP($B552,'1. 현장별 인원현황'!$C:$J,3,0)=0,"",VLOOKUP($B552,'1. 현장별 인원현황'!$C:$J,3,0))</f>
        <v>김 철</v>
      </c>
      <c r="E552" s="74" t="str">
        <f ca="1">IF(VLOOKUP($B552,'1. 현장별 인원현황'!$C:$J,4,0)=0,"",VLOOKUP($B552,'1. 현장별 인원현황'!$C:$J,4,0))</f>
        <v>52세</v>
      </c>
      <c r="F552" s="70" t="str">
        <f>IF(VLOOKUP($B552,'1. 현장별 인원현황'!$C:$J,7,0)=0,"",VLOOKUP($B552,'1. 현장별 인원현황'!$C:$J,7,0))</f>
        <v>기능공</v>
      </c>
      <c r="G552" s="72" t="str">
        <f>IF(VLOOKUP($B552,'1. 현장별 인원현황'!$C:$J,8,0)=0,"",VLOOKUP($B552,'1. 현장별 인원현황'!$C:$J,8,0))</f>
        <v>전공</v>
      </c>
      <c r="H552" s="67"/>
      <c r="I552" s="73" t="s">
        <v>69</v>
      </c>
      <c r="J552" s="73"/>
      <c r="K552" s="68"/>
      <c r="L552" s="67"/>
      <c r="M552" s="73" t="s">
        <v>69</v>
      </c>
      <c r="N552" s="73"/>
      <c r="O552" s="68"/>
      <c r="P552" s="67"/>
      <c r="Q552" s="73" t="s">
        <v>69</v>
      </c>
      <c r="R552" s="73"/>
      <c r="S552" s="68"/>
      <c r="T552" s="67"/>
      <c r="U552" s="73" t="s">
        <v>69</v>
      </c>
      <c r="V552" s="73"/>
      <c r="W552" s="68"/>
      <c r="X552" s="67" t="s">
        <v>69</v>
      </c>
      <c r="Y552" s="73"/>
      <c r="Z552" s="73"/>
      <c r="AA552" s="68"/>
      <c r="AB552" s="67" t="s">
        <v>69</v>
      </c>
      <c r="AC552" s="73"/>
      <c r="AD552" s="73"/>
      <c r="AE552" s="68"/>
      <c r="AF552" s="67"/>
      <c r="AG552" s="73" t="s">
        <v>69</v>
      </c>
      <c r="AH552" s="73"/>
      <c r="AI552" s="68"/>
      <c r="AJ552" s="67" t="s">
        <v>69</v>
      </c>
      <c r="AK552" s="73"/>
      <c r="AL552" s="73"/>
      <c r="AM552" s="68"/>
      <c r="AN552" s="73" t="s">
        <v>69</v>
      </c>
      <c r="AO552" s="73"/>
      <c r="AP552" s="73"/>
      <c r="AQ552" s="68"/>
      <c r="AR552" s="67">
        <f t="shared" si="358"/>
        <v>87</v>
      </c>
      <c r="AS552" s="68" t="str">
        <f t="shared" si="359"/>
        <v>S</v>
      </c>
      <c r="AV552" s="49">
        <f t="shared" si="320"/>
        <v>0</v>
      </c>
      <c r="AW552" s="49">
        <f t="shared" si="321"/>
        <v>1</v>
      </c>
      <c r="AX552" s="49">
        <f t="shared" si="322"/>
        <v>0</v>
      </c>
      <c r="AY552" s="49">
        <f t="shared" si="323"/>
        <v>0</v>
      </c>
      <c r="AZ552" s="49">
        <f t="shared" si="324"/>
        <v>0</v>
      </c>
      <c r="BA552" s="49">
        <f t="shared" si="325"/>
        <v>1</v>
      </c>
      <c r="BB552" s="49">
        <f t="shared" si="326"/>
        <v>0</v>
      </c>
      <c r="BC552" s="49">
        <f t="shared" si="327"/>
        <v>0</v>
      </c>
      <c r="BD552" s="49">
        <f t="shared" si="328"/>
        <v>0</v>
      </c>
      <c r="BE552" s="49">
        <f t="shared" si="329"/>
        <v>1</v>
      </c>
      <c r="BF552" s="49">
        <f t="shared" si="330"/>
        <v>0</v>
      </c>
      <c r="BG552" s="49">
        <f t="shared" si="331"/>
        <v>0</v>
      </c>
      <c r="BH552" s="49">
        <f t="shared" si="332"/>
        <v>0</v>
      </c>
      <c r="BI552" s="49">
        <f t="shared" si="333"/>
        <v>1</v>
      </c>
      <c r="BJ552" s="49">
        <f t="shared" si="334"/>
        <v>0</v>
      </c>
      <c r="BK552" s="49">
        <f t="shared" si="335"/>
        <v>0</v>
      </c>
      <c r="BL552" s="49">
        <f t="shared" si="336"/>
        <v>1</v>
      </c>
      <c r="BM552" s="49">
        <f t="shared" si="337"/>
        <v>0</v>
      </c>
      <c r="BN552" s="49">
        <f t="shared" si="338"/>
        <v>0</v>
      </c>
      <c r="BO552" s="49">
        <f t="shared" si="339"/>
        <v>0</v>
      </c>
      <c r="BP552" s="49">
        <f t="shared" si="340"/>
        <v>1</v>
      </c>
      <c r="BQ552" s="49">
        <f t="shared" si="341"/>
        <v>0</v>
      </c>
      <c r="BR552" s="49">
        <f t="shared" si="342"/>
        <v>0</v>
      </c>
      <c r="BS552" s="49">
        <f t="shared" si="343"/>
        <v>0</v>
      </c>
      <c r="BT552" s="49">
        <f t="shared" si="344"/>
        <v>0</v>
      </c>
      <c r="BU552" s="49">
        <f t="shared" si="345"/>
        <v>1</v>
      </c>
      <c r="BV552" s="49">
        <f t="shared" si="346"/>
        <v>0</v>
      </c>
      <c r="BW552" s="49">
        <f t="shared" si="347"/>
        <v>0</v>
      </c>
      <c r="BX552" s="49">
        <f t="shared" si="348"/>
        <v>1</v>
      </c>
      <c r="BY552" s="49">
        <f t="shared" si="349"/>
        <v>0</v>
      </c>
      <c r="BZ552" s="49">
        <f t="shared" si="350"/>
        <v>0</v>
      </c>
      <c r="CA552" s="49">
        <f t="shared" si="351"/>
        <v>0</v>
      </c>
      <c r="CB552" s="49">
        <f t="shared" si="352"/>
        <v>1</v>
      </c>
      <c r="CC552" s="49">
        <f t="shared" si="353"/>
        <v>0</v>
      </c>
      <c r="CD552" s="49">
        <f t="shared" si="354"/>
        <v>0</v>
      </c>
      <c r="CE552" s="49">
        <f t="shared" si="355"/>
        <v>0</v>
      </c>
    </row>
    <row r="553" spans="1:83" ht="35.1" customHeight="1" x14ac:dyDescent="0.3">
      <c r="A553" s="123" t="str">
        <f t="shared" si="356"/>
        <v>5팀</v>
      </c>
      <c r="B553" s="69">
        <f t="shared" si="357"/>
        <v>547</v>
      </c>
      <c r="C553" s="120" t="str">
        <f>IF(VLOOKUP($B553,'1. 현장별 인원현황'!$C:$J,2,0)=0,"",VLOOKUP($B553,'1. 현장별 인원현황'!$C:$J,2,0))</f>
        <v xml:space="preserve"> [5.대광건영] 양주회천 A12 대광로제비앙 아파트 신축공사</v>
      </c>
      <c r="D553" s="70" t="str">
        <f>IF(VLOOKUP($B553,'1. 현장별 인원현황'!$C:$J,3,0)=0,"",VLOOKUP($B553,'1. 현장별 인원현황'!$C:$J,3,0))</f>
        <v>홍주선</v>
      </c>
      <c r="E553" s="74" t="str">
        <f ca="1">IF(VLOOKUP($B553,'1. 현장별 인원현황'!$C:$J,4,0)=0,"",VLOOKUP($B553,'1. 현장별 인원현황'!$C:$J,4,0))</f>
        <v>44세</v>
      </c>
      <c r="F553" s="70" t="str">
        <f>IF(VLOOKUP($B553,'1. 현장별 인원현황'!$C:$J,7,0)=0,"",VLOOKUP($B553,'1. 현장별 인원현황'!$C:$J,7,0))</f>
        <v>공무</v>
      </c>
      <c r="G553" s="72" t="str">
        <f>IF(VLOOKUP($B553,'1. 현장별 인원현황'!$C:$J,8,0)=0,"",VLOOKUP($B553,'1. 현장별 인원현황'!$C:$J,8,0))</f>
        <v>차장</v>
      </c>
      <c r="H553" s="67" t="s">
        <v>69</v>
      </c>
      <c r="I553" s="73"/>
      <c r="J553" s="73"/>
      <c r="K553" s="68"/>
      <c r="L553" s="67"/>
      <c r="M553" s="73" t="s">
        <v>69</v>
      </c>
      <c r="N553" s="73"/>
      <c r="O553" s="68"/>
      <c r="P553" s="67"/>
      <c r="Q553" s="73" t="s">
        <v>69</v>
      </c>
      <c r="R553" s="73"/>
      <c r="S553" s="68"/>
      <c r="T553" s="67"/>
      <c r="U553" s="73" t="s">
        <v>69</v>
      </c>
      <c r="V553" s="73"/>
      <c r="W553" s="68"/>
      <c r="X553" s="67" t="s">
        <v>69</v>
      </c>
      <c r="Y553" s="73"/>
      <c r="Z553" s="73"/>
      <c r="AA553" s="68"/>
      <c r="AB553" s="67" t="s">
        <v>69</v>
      </c>
      <c r="AC553" s="73"/>
      <c r="AD553" s="73"/>
      <c r="AE553" s="68"/>
      <c r="AF553" s="67"/>
      <c r="AG553" s="73" t="s">
        <v>69</v>
      </c>
      <c r="AH553" s="73"/>
      <c r="AI553" s="68"/>
      <c r="AJ553" s="67" t="s">
        <v>69</v>
      </c>
      <c r="AK553" s="73"/>
      <c r="AL553" s="73"/>
      <c r="AM553" s="68"/>
      <c r="AN553" s="73" t="s">
        <v>69</v>
      </c>
      <c r="AO553" s="73"/>
      <c r="AP553" s="73"/>
      <c r="AQ553" s="68"/>
      <c r="AR553" s="67">
        <f t="shared" si="358"/>
        <v>90</v>
      </c>
      <c r="AS553" s="68" t="str">
        <f t="shared" si="359"/>
        <v>S</v>
      </c>
      <c r="AV553" s="49">
        <f t="shared" si="320"/>
        <v>1</v>
      </c>
      <c r="AW553" s="49">
        <f t="shared" si="321"/>
        <v>0</v>
      </c>
      <c r="AX553" s="49">
        <f t="shared" si="322"/>
        <v>0</v>
      </c>
      <c r="AY553" s="49">
        <f t="shared" si="323"/>
        <v>0</v>
      </c>
      <c r="AZ553" s="49">
        <f t="shared" si="324"/>
        <v>0</v>
      </c>
      <c r="BA553" s="49">
        <f t="shared" si="325"/>
        <v>1</v>
      </c>
      <c r="BB553" s="49">
        <f t="shared" si="326"/>
        <v>0</v>
      </c>
      <c r="BC553" s="49">
        <f t="shared" si="327"/>
        <v>0</v>
      </c>
      <c r="BD553" s="49">
        <f t="shared" si="328"/>
        <v>0</v>
      </c>
      <c r="BE553" s="49">
        <f t="shared" si="329"/>
        <v>1</v>
      </c>
      <c r="BF553" s="49">
        <f t="shared" si="330"/>
        <v>0</v>
      </c>
      <c r="BG553" s="49">
        <f t="shared" si="331"/>
        <v>0</v>
      </c>
      <c r="BH553" s="49">
        <f t="shared" si="332"/>
        <v>0</v>
      </c>
      <c r="BI553" s="49">
        <f t="shared" si="333"/>
        <v>1</v>
      </c>
      <c r="BJ553" s="49">
        <f t="shared" si="334"/>
        <v>0</v>
      </c>
      <c r="BK553" s="49">
        <f t="shared" si="335"/>
        <v>0</v>
      </c>
      <c r="BL553" s="49">
        <f t="shared" si="336"/>
        <v>1</v>
      </c>
      <c r="BM553" s="49">
        <f t="shared" si="337"/>
        <v>0</v>
      </c>
      <c r="BN553" s="49">
        <f t="shared" si="338"/>
        <v>0</v>
      </c>
      <c r="BO553" s="49">
        <f t="shared" si="339"/>
        <v>0</v>
      </c>
      <c r="BP553" s="49">
        <f t="shared" si="340"/>
        <v>1</v>
      </c>
      <c r="BQ553" s="49">
        <f t="shared" si="341"/>
        <v>0</v>
      </c>
      <c r="BR553" s="49">
        <f t="shared" si="342"/>
        <v>0</v>
      </c>
      <c r="BS553" s="49">
        <f t="shared" si="343"/>
        <v>0</v>
      </c>
      <c r="BT553" s="49">
        <f t="shared" si="344"/>
        <v>0</v>
      </c>
      <c r="BU553" s="49">
        <f t="shared" si="345"/>
        <v>1</v>
      </c>
      <c r="BV553" s="49">
        <f t="shared" si="346"/>
        <v>0</v>
      </c>
      <c r="BW553" s="49">
        <f t="shared" si="347"/>
        <v>0</v>
      </c>
      <c r="BX553" s="49">
        <f t="shared" si="348"/>
        <v>1</v>
      </c>
      <c r="BY553" s="49">
        <f t="shared" si="349"/>
        <v>0</v>
      </c>
      <c r="BZ553" s="49">
        <f t="shared" si="350"/>
        <v>0</v>
      </c>
      <c r="CA553" s="49">
        <f t="shared" si="351"/>
        <v>0</v>
      </c>
      <c r="CB553" s="49">
        <f t="shared" si="352"/>
        <v>1</v>
      </c>
      <c r="CC553" s="49">
        <f t="shared" si="353"/>
        <v>0</v>
      </c>
      <c r="CD553" s="49">
        <f t="shared" si="354"/>
        <v>0</v>
      </c>
      <c r="CE553" s="49">
        <f t="shared" si="355"/>
        <v>0</v>
      </c>
    </row>
    <row r="554" spans="1:83" ht="35.1" customHeight="1" x14ac:dyDescent="0.3">
      <c r="A554" s="123" t="str">
        <f t="shared" si="356"/>
        <v>5팀</v>
      </c>
      <c r="B554" s="69">
        <f t="shared" si="357"/>
        <v>548</v>
      </c>
      <c r="C554" s="120" t="str">
        <f>IF(VLOOKUP($B554,'1. 현장별 인원현황'!$C:$J,2,0)=0,"",VLOOKUP($B554,'1. 현장별 인원현황'!$C:$J,2,0))</f>
        <v xml:space="preserve"> [5.대광건영] 양주회천 A12 대광로제비앙 아파트 신축공사</v>
      </c>
      <c r="D554" s="70" t="str">
        <f>IF(VLOOKUP($B554,'1. 현장별 인원현황'!$C:$J,3,0)=0,"",VLOOKUP($B554,'1. 현장별 인원현황'!$C:$J,3,0))</f>
        <v>유상현</v>
      </c>
      <c r="E554" s="74" t="str">
        <f ca="1">IF(VLOOKUP($B554,'1. 현장별 인원현황'!$C:$J,4,0)=0,"",VLOOKUP($B554,'1. 현장별 인원현황'!$C:$J,4,0))</f>
        <v>45세</v>
      </c>
      <c r="F554" s="70" t="str">
        <f>IF(VLOOKUP($B554,'1. 현장별 인원현황'!$C:$J,7,0)=0,"",VLOOKUP($B554,'1. 현장별 인원현황'!$C:$J,7,0))</f>
        <v>공사</v>
      </c>
      <c r="G554" s="72" t="str">
        <f>IF(VLOOKUP($B554,'1. 현장별 인원현황'!$C:$J,8,0)=0,"",VLOOKUP($B554,'1. 현장별 인원현황'!$C:$J,8,0))</f>
        <v>차장</v>
      </c>
      <c r="H554" s="67"/>
      <c r="I554" s="73" t="s">
        <v>69</v>
      </c>
      <c r="J554" s="73"/>
      <c r="K554" s="68"/>
      <c r="L554" s="67"/>
      <c r="M554" s="73" t="s">
        <v>69</v>
      </c>
      <c r="N554" s="73"/>
      <c r="O554" s="68"/>
      <c r="P554" s="67"/>
      <c r="Q554" s="73" t="s">
        <v>69</v>
      </c>
      <c r="R554" s="73"/>
      <c r="S554" s="68"/>
      <c r="T554" s="67"/>
      <c r="U554" s="73" t="s">
        <v>69</v>
      </c>
      <c r="V554" s="73"/>
      <c r="W554" s="68"/>
      <c r="X554" s="67" t="s">
        <v>69</v>
      </c>
      <c r="Y554" s="73"/>
      <c r="Z554" s="73"/>
      <c r="AA554" s="68"/>
      <c r="AB554" s="67" t="s">
        <v>69</v>
      </c>
      <c r="AC554" s="73"/>
      <c r="AD554" s="73"/>
      <c r="AE554" s="68"/>
      <c r="AF554" s="67"/>
      <c r="AG554" s="73" t="s">
        <v>69</v>
      </c>
      <c r="AH554" s="73"/>
      <c r="AI554" s="68"/>
      <c r="AJ554" s="67" t="s">
        <v>69</v>
      </c>
      <c r="AK554" s="73"/>
      <c r="AL554" s="73"/>
      <c r="AM554" s="68"/>
      <c r="AN554" s="73" t="s">
        <v>69</v>
      </c>
      <c r="AO554" s="73"/>
      <c r="AP554" s="73"/>
      <c r="AQ554" s="68"/>
      <c r="AR554" s="67">
        <f t="shared" si="358"/>
        <v>87</v>
      </c>
      <c r="AS554" s="68" t="str">
        <f t="shared" si="359"/>
        <v>S</v>
      </c>
      <c r="AV554" s="49">
        <f t="shared" si="320"/>
        <v>0</v>
      </c>
      <c r="AW554" s="49">
        <f t="shared" si="321"/>
        <v>1</v>
      </c>
      <c r="AX554" s="49">
        <f t="shared" si="322"/>
        <v>0</v>
      </c>
      <c r="AY554" s="49">
        <f t="shared" si="323"/>
        <v>0</v>
      </c>
      <c r="AZ554" s="49">
        <f t="shared" si="324"/>
        <v>0</v>
      </c>
      <c r="BA554" s="49">
        <f t="shared" si="325"/>
        <v>1</v>
      </c>
      <c r="BB554" s="49">
        <f t="shared" si="326"/>
        <v>0</v>
      </c>
      <c r="BC554" s="49">
        <f t="shared" si="327"/>
        <v>0</v>
      </c>
      <c r="BD554" s="49">
        <f t="shared" si="328"/>
        <v>0</v>
      </c>
      <c r="BE554" s="49">
        <f t="shared" si="329"/>
        <v>1</v>
      </c>
      <c r="BF554" s="49">
        <f t="shared" si="330"/>
        <v>0</v>
      </c>
      <c r="BG554" s="49">
        <f t="shared" si="331"/>
        <v>0</v>
      </c>
      <c r="BH554" s="49">
        <f t="shared" si="332"/>
        <v>0</v>
      </c>
      <c r="BI554" s="49">
        <f t="shared" si="333"/>
        <v>1</v>
      </c>
      <c r="BJ554" s="49">
        <f t="shared" si="334"/>
        <v>0</v>
      </c>
      <c r="BK554" s="49">
        <f t="shared" si="335"/>
        <v>0</v>
      </c>
      <c r="BL554" s="49">
        <f t="shared" si="336"/>
        <v>1</v>
      </c>
      <c r="BM554" s="49">
        <f t="shared" si="337"/>
        <v>0</v>
      </c>
      <c r="BN554" s="49">
        <f t="shared" si="338"/>
        <v>0</v>
      </c>
      <c r="BO554" s="49">
        <f t="shared" si="339"/>
        <v>0</v>
      </c>
      <c r="BP554" s="49">
        <f t="shared" si="340"/>
        <v>1</v>
      </c>
      <c r="BQ554" s="49">
        <f t="shared" si="341"/>
        <v>0</v>
      </c>
      <c r="BR554" s="49">
        <f t="shared" si="342"/>
        <v>0</v>
      </c>
      <c r="BS554" s="49">
        <f t="shared" si="343"/>
        <v>0</v>
      </c>
      <c r="BT554" s="49">
        <f t="shared" si="344"/>
        <v>0</v>
      </c>
      <c r="BU554" s="49">
        <f t="shared" si="345"/>
        <v>1</v>
      </c>
      <c r="BV554" s="49">
        <f t="shared" si="346"/>
        <v>0</v>
      </c>
      <c r="BW554" s="49">
        <f t="shared" si="347"/>
        <v>0</v>
      </c>
      <c r="BX554" s="49">
        <f t="shared" si="348"/>
        <v>1</v>
      </c>
      <c r="BY554" s="49">
        <f t="shared" si="349"/>
        <v>0</v>
      </c>
      <c r="BZ554" s="49">
        <f t="shared" si="350"/>
        <v>0</v>
      </c>
      <c r="CA554" s="49">
        <f t="shared" si="351"/>
        <v>0</v>
      </c>
      <c r="CB554" s="49">
        <f t="shared" si="352"/>
        <v>1</v>
      </c>
      <c r="CC554" s="49">
        <f t="shared" si="353"/>
        <v>0</v>
      </c>
      <c r="CD554" s="49">
        <f t="shared" si="354"/>
        <v>0</v>
      </c>
      <c r="CE554" s="49">
        <f t="shared" si="355"/>
        <v>0</v>
      </c>
    </row>
    <row r="555" spans="1:83" ht="35.1" customHeight="1" x14ac:dyDescent="0.3">
      <c r="A555" s="123" t="str">
        <f t="shared" si="356"/>
        <v>5팀</v>
      </c>
      <c r="B555" s="69">
        <f t="shared" si="357"/>
        <v>549</v>
      </c>
      <c r="C555" s="120" t="str">
        <f>IF(VLOOKUP($B555,'1. 현장별 인원현황'!$C:$J,2,0)=0,"",VLOOKUP($B555,'1. 현장별 인원현황'!$C:$J,2,0))</f>
        <v xml:space="preserve"> [5.대광건영] 양주회천 A12 대광로제비앙 아파트 신축공사</v>
      </c>
      <c r="D555" s="70" t="str">
        <f>IF(VLOOKUP($B555,'1. 현장별 인원현황'!$C:$J,3,0)=0,"",VLOOKUP($B555,'1. 현장별 인원현황'!$C:$J,3,0))</f>
        <v>이상혁</v>
      </c>
      <c r="E555" s="74" t="str">
        <f ca="1">IF(VLOOKUP($B555,'1. 현장별 인원현황'!$C:$J,4,0)=0,"",VLOOKUP($B555,'1. 현장별 인원현황'!$C:$J,4,0))</f>
        <v>45세</v>
      </c>
      <c r="F555" s="70" t="str">
        <f>IF(VLOOKUP($B555,'1. 현장별 인원현황'!$C:$J,7,0)=0,"",VLOOKUP($B555,'1. 현장별 인원현황'!$C:$J,7,0))</f>
        <v>기능공</v>
      </c>
      <c r="G555" s="72" t="str">
        <f>IF(VLOOKUP($B555,'1. 현장별 인원현황'!$C:$J,8,0)=0,"",VLOOKUP($B555,'1. 현장별 인원현황'!$C:$J,8,0))</f>
        <v>조공</v>
      </c>
      <c r="H555" s="67"/>
      <c r="I555" s="73"/>
      <c r="J555" s="73" t="s">
        <v>69</v>
      </c>
      <c r="K555" s="68"/>
      <c r="L555" s="67"/>
      <c r="M555" s="73"/>
      <c r="N555" s="73" t="s">
        <v>69</v>
      </c>
      <c r="O555" s="68"/>
      <c r="P555" s="67"/>
      <c r="Q555" s="73" t="s">
        <v>69</v>
      </c>
      <c r="R555" s="73"/>
      <c r="S555" s="68"/>
      <c r="T555" s="67"/>
      <c r="U555" s="73" t="s">
        <v>69</v>
      </c>
      <c r="V555" s="73"/>
      <c r="W555" s="68"/>
      <c r="X555" s="67" t="s">
        <v>69</v>
      </c>
      <c r="Y555" s="73"/>
      <c r="Z555" s="73"/>
      <c r="AA555" s="68"/>
      <c r="AB555" s="67" t="s">
        <v>69</v>
      </c>
      <c r="AC555" s="73"/>
      <c r="AD555" s="73"/>
      <c r="AE555" s="68"/>
      <c r="AF555" s="67" t="s">
        <v>69</v>
      </c>
      <c r="AG555" s="73"/>
      <c r="AH555" s="73"/>
      <c r="AI555" s="68"/>
      <c r="AJ555" s="67" t="s">
        <v>69</v>
      </c>
      <c r="AK555" s="73"/>
      <c r="AL555" s="73"/>
      <c r="AM555" s="68"/>
      <c r="AN555" s="73" t="s">
        <v>69</v>
      </c>
      <c r="AO555" s="73"/>
      <c r="AP555" s="73"/>
      <c r="AQ555" s="68"/>
      <c r="AR555" s="67">
        <f t="shared" si="358"/>
        <v>83</v>
      </c>
      <c r="AS555" s="68" t="str">
        <f t="shared" si="359"/>
        <v>A</v>
      </c>
      <c r="AV555" s="49">
        <f t="shared" si="320"/>
        <v>0</v>
      </c>
      <c r="AW555" s="49">
        <f t="shared" si="321"/>
        <v>0</v>
      </c>
      <c r="AX555" s="49">
        <f t="shared" si="322"/>
        <v>1</v>
      </c>
      <c r="AY555" s="49">
        <f t="shared" si="323"/>
        <v>0</v>
      </c>
      <c r="AZ555" s="49">
        <f t="shared" si="324"/>
        <v>0</v>
      </c>
      <c r="BA555" s="49">
        <f t="shared" si="325"/>
        <v>0</v>
      </c>
      <c r="BB555" s="49">
        <f t="shared" si="326"/>
        <v>1</v>
      </c>
      <c r="BC555" s="49">
        <f t="shared" si="327"/>
        <v>0</v>
      </c>
      <c r="BD555" s="49">
        <f t="shared" si="328"/>
        <v>0</v>
      </c>
      <c r="BE555" s="49">
        <f t="shared" si="329"/>
        <v>1</v>
      </c>
      <c r="BF555" s="49">
        <f t="shared" si="330"/>
        <v>0</v>
      </c>
      <c r="BG555" s="49">
        <f t="shared" si="331"/>
        <v>0</v>
      </c>
      <c r="BH555" s="49">
        <f t="shared" si="332"/>
        <v>0</v>
      </c>
      <c r="BI555" s="49">
        <f t="shared" si="333"/>
        <v>1</v>
      </c>
      <c r="BJ555" s="49">
        <f t="shared" si="334"/>
        <v>0</v>
      </c>
      <c r="BK555" s="49">
        <f t="shared" si="335"/>
        <v>0</v>
      </c>
      <c r="BL555" s="49">
        <f t="shared" si="336"/>
        <v>1</v>
      </c>
      <c r="BM555" s="49">
        <f t="shared" si="337"/>
        <v>0</v>
      </c>
      <c r="BN555" s="49">
        <f t="shared" si="338"/>
        <v>0</v>
      </c>
      <c r="BO555" s="49">
        <f t="shared" si="339"/>
        <v>0</v>
      </c>
      <c r="BP555" s="49">
        <f t="shared" si="340"/>
        <v>1</v>
      </c>
      <c r="BQ555" s="49">
        <f t="shared" si="341"/>
        <v>0</v>
      </c>
      <c r="BR555" s="49">
        <f t="shared" si="342"/>
        <v>0</v>
      </c>
      <c r="BS555" s="49">
        <f t="shared" si="343"/>
        <v>0</v>
      </c>
      <c r="BT555" s="49">
        <f t="shared" si="344"/>
        <v>1</v>
      </c>
      <c r="BU555" s="49">
        <f t="shared" si="345"/>
        <v>0</v>
      </c>
      <c r="BV555" s="49">
        <f t="shared" si="346"/>
        <v>0</v>
      </c>
      <c r="BW555" s="49">
        <f t="shared" si="347"/>
        <v>0</v>
      </c>
      <c r="BX555" s="49">
        <f t="shared" si="348"/>
        <v>1</v>
      </c>
      <c r="BY555" s="49">
        <f t="shared" si="349"/>
        <v>0</v>
      </c>
      <c r="BZ555" s="49">
        <f t="shared" si="350"/>
        <v>0</v>
      </c>
      <c r="CA555" s="49">
        <f t="shared" si="351"/>
        <v>0</v>
      </c>
      <c r="CB555" s="49">
        <f t="shared" si="352"/>
        <v>1</v>
      </c>
      <c r="CC555" s="49">
        <f t="shared" si="353"/>
        <v>0</v>
      </c>
      <c r="CD555" s="49">
        <f t="shared" si="354"/>
        <v>0</v>
      </c>
      <c r="CE555" s="49">
        <f t="shared" si="355"/>
        <v>0</v>
      </c>
    </row>
    <row r="556" spans="1:83" ht="35.1" customHeight="1" x14ac:dyDescent="0.3">
      <c r="A556" s="123" t="str">
        <f t="shared" si="356"/>
        <v>5팀</v>
      </c>
      <c r="B556" s="69">
        <f t="shared" si="357"/>
        <v>550</v>
      </c>
      <c r="C556" s="120" t="str">
        <f>IF(VLOOKUP($B556,'1. 현장별 인원현황'!$C:$J,2,0)=0,"",VLOOKUP($B556,'1. 현장별 인원현황'!$C:$J,2,0))</f>
        <v xml:space="preserve"> [5.대광건영] 양주회천 A12 대광로제비앙 아파트 신축공사</v>
      </c>
      <c r="D556" s="70" t="str">
        <f>IF(VLOOKUP($B556,'1. 현장별 인원현황'!$C:$J,3,0)=0,"",VLOOKUP($B556,'1. 현장별 인원현황'!$C:$J,3,0))</f>
        <v>김종원</v>
      </c>
      <c r="E556" s="74" t="str">
        <f ca="1">IF(VLOOKUP($B556,'1. 현장별 인원현황'!$C:$J,4,0)=0,"",VLOOKUP($B556,'1. 현장별 인원현황'!$C:$J,4,0))</f>
        <v>46세</v>
      </c>
      <c r="F556" s="70" t="str">
        <f>IF(VLOOKUP($B556,'1. 현장별 인원현황'!$C:$J,7,0)=0,"",VLOOKUP($B556,'1. 현장별 인원현황'!$C:$J,7,0))</f>
        <v>기능공</v>
      </c>
      <c r="G556" s="72" t="str">
        <f>IF(VLOOKUP($B556,'1. 현장별 인원현황'!$C:$J,8,0)=0,"",VLOOKUP($B556,'1. 현장별 인원현황'!$C:$J,8,0))</f>
        <v>전공</v>
      </c>
      <c r="H556" s="67" t="s">
        <v>69</v>
      </c>
      <c r="I556" s="73"/>
      <c r="J556" s="73"/>
      <c r="K556" s="68"/>
      <c r="L556" s="67" t="s">
        <v>69</v>
      </c>
      <c r="M556" s="73"/>
      <c r="N556" s="73"/>
      <c r="O556" s="68"/>
      <c r="P556" s="67" t="s">
        <v>69</v>
      </c>
      <c r="Q556" s="73"/>
      <c r="R556" s="73"/>
      <c r="S556" s="68"/>
      <c r="T556" s="67"/>
      <c r="U556" s="73" t="s">
        <v>69</v>
      </c>
      <c r="V556" s="73"/>
      <c r="W556" s="68"/>
      <c r="X556" s="67" t="s">
        <v>69</v>
      </c>
      <c r="Y556" s="73"/>
      <c r="Z556" s="73"/>
      <c r="AA556" s="68"/>
      <c r="AB556" s="67" t="s">
        <v>69</v>
      </c>
      <c r="AC556" s="73"/>
      <c r="AD556" s="73"/>
      <c r="AE556" s="68"/>
      <c r="AF556" s="67" t="s">
        <v>69</v>
      </c>
      <c r="AG556" s="73"/>
      <c r="AH556" s="73"/>
      <c r="AI556" s="68"/>
      <c r="AJ556" s="67" t="s">
        <v>69</v>
      </c>
      <c r="AK556" s="73"/>
      <c r="AL556" s="73"/>
      <c r="AM556" s="68"/>
      <c r="AN556" s="73" t="s">
        <v>69</v>
      </c>
      <c r="AO556" s="73"/>
      <c r="AP556" s="73"/>
      <c r="AQ556" s="68"/>
      <c r="AR556" s="67">
        <f t="shared" si="358"/>
        <v>98</v>
      </c>
      <c r="AS556" s="68" t="str">
        <f t="shared" si="359"/>
        <v>S</v>
      </c>
      <c r="AV556" s="49">
        <f t="shared" si="320"/>
        <v>1</v>
      </c>
      <c r="AW556" s="49">
        <f t="shared" si="321"/>
        <v>0</v>
      </c>
      <c r="AX556" s="49">
        <f t="shared" si="322"/>
        <v>0</v>
      </c>
      <c r="AY556" s="49">
        <f t="shared" si="323"/>
        <v>0</v>
      </c>
      <c r="AZ556" s="49">
        <f t="shared" si="324"/>
        <v>1</v>
      </c>
      <c r="BA556" s="49">
        <f t="shared" si="325"/>
        <v>0</v>
      </c>
      <c r="BB556" s="49">
        <f t="shared" si="326"/>
        <v>0</v>
      </c>
      <c r="BC556" s="49">
        <f t="shared" si="327"/>
        <v>0</v>
      </c>
      <c r="BD556" s="49">
        <f t="shared" si="328"/>
        <v>1</v>
      </c>
      <c r="BE556" s="49">
        <f t="shared" si="329"/>
        <v>0</v>
      </c>
      <c r="BF556" s="49">
        <f t="shared" si="330"/>
        <v>0</v>
      </c>
      <c r="BG556" s="49">
        <f t="shared" si="331"/>
        <v>0</v>
      </c>
      <c r="BH556" s="49">
        <f t="shared" si="332"/>
        <v>0</v>
      </c>
      <c r="BI556" s="49">
        <f t="shared" si="333"/>
        <v>1</v>
      </c>
      <c r="BJ556" s="49">
        <f t="shared" si="334"/>
        <v>0</v>
      </c>
      <c r="BK556" s="49">
        <f t="shared" si="335"/>
        <v>0</v>
      </c>
      <c r="BL556" s="49">
        <f t="shared" si="336"/>
        <v>1</v>
      </c>
      <c r="BM556" s="49">
        <f t="shared" si="337"/>
        <v>0</v>
      </c>
      <c r="BN556" s="49">
        <f t="shared" si="338"/>
        <v>0</v>
      </c>
      <c r="BO556" s="49">
        <f t="shared" si="339"/>
        <v>0</v>
      </c>
      <c r="BP556" s="49">
        <f t="shared" si="340"/>
        <v>1</v>
      </c>
      <c r="BQ556" s="49">
        <f t="shared" si="341"/>
        <v>0</v>
      </c>
      <c r="BR556" s="49">
        <f t="shared" si="342"/>
        <v>0</v>
      </c>
      <c r="BS556" s="49">
        <f t="shared" si="343"/>
        <v>0</v>
      </c>
      <c r="BT556" s="49">
        <f t="shared" si="344"/>
        <v>1</v>
      </c>
      <c r="BU556" s="49">
        <f t="shared" si="345"/>
        <v>0</v>
      </c>
      <c r="BV556" s="49">
        <f t="shared" si="346"/>
        <v>0</v>
      </c>
      <c r="BW556" s="49">
        <f t="shared" si="347"/>
        <v>0</v>
      </c>
      <c r="BX556" s="49">
        <f t="shared" si="348"/>
        <v>1</v>
      </c>
      <c r="BY556" s="49">
        <f t="shared" si="349"/>
        <v>0</v>
      </c>
      <c r="BZ556" s="49">
        <f t="shared" si="350"/>
        <v>0</v>
      </c>
      <c r="CA556" s="49">
        <f t="shared" si="351"/>
        <v>0</v>
      </c>
      <c r="CB556" s="49">
        <f t="shared" si="352"/>
        <v>1</v>
      </c>
      <c r="CC556" s="49">
        <f t="shared" si="353"/>
        <v>0</v>
      </c>
      <c r="CD556" s="49">
        <f t="shared" si="354"/>
        <v>0</v>
      </c>
      <c r="CE556" s="49">
        <f t="shared" si="355"/>
        <v>0</v>
      </c>
    </row>
    <row r="557" spans="1:83" ht="35.1" customHeight="1" x14ac:dyDescent="0.3">
      <c r="A557" s="123" t="str">
        <f t="shared" si="356"/>
        <v>5팀</v>
      </c>
      <c r="B557" s="69">
        <f t="shared" si="357"/>
        <v>551</v>
      </c>
      <c r="C557" s="120" t="str">
        <f>IF(VLOOKUP($B557,'1. 현장별 인원현황'!$C:$J,2,0)=0,"",VLOOKUP($B557,'1. 현장별 인원현황'!$C:$J,2,0))</f>
        <v xml:space="preserve"> [5.대광건영] 양주회천 A12 대광로제비앙 아파트 신축공사</v>
      </c>
      <c r="D557" s="70" t="str">
        <f>IF(VLOOKUP($B557,'1. 현장별 인원현황'!$C:$J,3,0)=0,"",VLOOKUP($B557,'1. 현장별 인원현황'!$C:$J,3,0))</f>
        <v>박신영</v>
      </c>
      <c r="E557" s="74" t="str">
        <f ca="1">IF(VLOOKUP($B557,'1. 현장별 인원현황'!$C:$J,4,0)=0,"",VLOOKUP($B557,'1. 현장별 인원현황'!$C:$J,4,0))</f>
        <v>45세</v>
      </c>
      <c r="F557" s="70" t="str">
        <f>IF(VLOOKUP($B557,'1. 현장별 인원현황'!$C:$J,7,0)=0,"",VLOOKUP($B557,'1. 현장별 인원현황'!$C:$J,7,0))</f>
        <v>기능공</v>
      </c>
      <c r="G557" s="72" t="str">
        <f>IF(VLOOKUP($B557,'1. 현장별 인원현황'!$C:$J,8,0)=0,"",VLOOKUP($B557,'1. 현장별 인원현황'!$C:$J,8,0))</f>
        <v>조공</v>
      </c>
      <c r="H557" s="67"/>
      <c r="I557" s="73" t="s">
        <v>69</v>
      </c>
      <c r="J557" s="73"/>
      <c r="K557" s="68"/>
      <c r="L557" s="67" t="s">
        <v>69</v>
      </c>
      <c r="M557" s="73"/>
      <c r="N557" s="73"/>
      <c r="O557" s="68"/>
      <c r="P557" s="67"/>
      <c r="Q557" s="73" t="s">
        <v>69</v>
      </c>
      <c r="R557" s="73"/>
      <c r="S557" s="68"/>
      <c r="T557" s="67"/>
      <c r="U557" s="73" t="s">
        <v>69</v>
      </c>
      <c r="V557" s="73"/>
      <c r="W557" s="68"/>
      <c r="X557" s="67" t="s">
        <v>69</v>
      </c>
      <c r="Y557" s="73"/>
      <c r="Z557" s="73"/>
      <c r="AA557" s="68"/>
      <c r="AB557" s="67" t="s">
        <v>69</v>
      </c>
      <c r="AC557" s="73"/>
      <c r="AD557" s="73"/>
      <c r="AE557" s="68"/>
      <c r="AF557" s="67" t="s">
        <v>69</v>
      </c>
      <c r="AG557" s="73"/>
      <c r="AH557" s="73"/>
      <c r="AI557" s="68"/>
      <c r="AJ557" s="67" t="s">
        <v>69</v>
      </c>
      <c r="AK557" s="73"/>
      <c r="AL557" s="73"/>
      <c r="AM557" s="68"/>
      <c r="AN557" s="73" t="s">
        <v>69</v>
      </c>
      <c r="AO557" s="73"/>
      <c r="AP557" s="73"/>
      <c r="AQ557" s="68"/>
      <c r="AR557" s="67">
        <f t="shared" si="358"/>
        <v>92</v>
      </c>
      <c r="AS557" s="68" t="str">
        <f t="shared" si="359"/>
        <v>S</v>
      </c>
      <c r="AV557" s="49">
        <f t="shared" si="320"/>
        <v>0</v>
      </c>
      <c r="AW557" s="49">
        <f t="shared" si="321"/>
        <v>1</v>
      </c>
      <c r="AX557" s="49">
        <f t="shared" si="322"/>
        <v>0</v>
      </c>
      <c r="AY557" s="49">
        <f t="shared" si="323"/>
        <v>0</v>
      </c>
      <c r="AZ557" s="49">
        <f t="shared" si="324"/>
        <v>1</v>
      </c>
      <c r="BA557" s="49">
        <f t="shared" si="325"/>
        <v>0</v>
      </c>
      <c r="BB557" s="49">
        <f t="shared" si="326"/>
        <v>0</v>
      </c>
      <c r="BC557" s="49">
        <f t="shared" si="327"/>
        <v>0</v>
      </c>
      <c r="BD557" s="49">
        <f t="shared" si="328"/>
        <v>0</v>
      </c>
      <c r="BE557" s="49">
        <f t="shared" si="329"/>
        <v>1</v>
      </c>
      <c r="BF557" s="49">
        <f t="shared" si="330"/>
        <v>0</v>
      </c>
      <c r="BG557" s="49">
        <f t="shared" si="331"/>
        <v>0</v>
      </c>
      <c r="BH557" s="49">
        <f t="shared" si="332"/>
        <v>0</v>
      </c>
      <c r="BI557" s="49">
        <f t="shared" si="333"/>
        <v>1</v>
      </c>
      <c r="BJ557" s="49">
        <f t="shared" si="334"/>
        <v>0</v>
      </c>
      <c r="BK557" s="49">
        <f t="shared" si="335"/>
        <v>0</v>
      </c>
      <c r="BL557" s="49">
        <f t="shared" si="336"/>
        <v>1</v>
      </c>
      <c r="BM557" s="49">
        <f t="shared" si="337"/>
        <v>0</v>
      </c>
      <c r="BN557" s="49">
        <f t="shared" si="338"/>
        <v>0</v>
      </c>
      <c r="BO557" s="49">
        <f t="shared" si="339"/>
        <v>0</v>
      </c>
      <c r="BP557" s="49">
        <f t="shared" si="340"/>
        <v>1</v>
      </c>
      <c r="BQ557" s="49">
        <f t="shared" si="341"/>
        <v>0</v>
      </c>
      <c r="BR557" s="49">
        <f t="shared" si="342"/>
        <v>0</v>
      </c>
      <c r="BS557" s="49">
        <f t="shared" si="343"/>
        <v>0</v>
      </c>
      <c r="BT557" s="49">
        <f t="shared" si="344"/>
        <v>1</v>
      </c>
      <c r="BU557" s="49">
        <f t="shared" si="345"/>
        <v>0</v>
      </c>
      <c r="BV557" s="49">
        <f t="shared" si="346"/>
        <v>0</v>
      </c>
      <c r="BW557" s="49">
        <f t="shared" si="347"/>
        <v>0</v>
      </c>
      <c r="BX557" s="49">
        <f t="shared" si="348"/>
        <v>1</v>
      </c>
      <c r="BY557" s="49">
        <f t="shared" si="349"/>
        <v>0</v>
      </c>
      <c r="BZ557" s="49">
        <f t="shared" si="350"/>
        <v>0</v>
      </c>
      <c r="CA557" s="49">
        <f t="shared" si="351"/>
        <v>0</v>
      </c>
      <c r="CB557" s="49">
        <f t="shared" si="352"/>
        <v>1</v>
      </c>
      <c r="CC557" s="49">
        <f t="shared" si="353"/>
        <v>0</v>
      </c>
      <c r="CD557" s="49">
        <f t="shared" si="354"/>
        <v>0</v>
      </c>
      <c r="CE557" s="49">
        <f t="shared" si="355"/>
        <v>0</v>
      </c>
    </row>
    <row r="558" spans="1:83" ht="35.1" customHeight="1" x14ac:dyDescent="0.3">
      <c r="A558" s="123" t="str">
        <f t="shared" si="356"/>
        <v>5팀</v>
      </c>
      <c r="B558" s="69">
        <f t="shared" si="357"/>
        <v>552</v>
      </c>
      <c r="C558" s="120" t="str">
        <f>IF(VLOOKUP($B558,'1. 현장별 인원현황'!$C:$J,2,0)=0,"",VLOOKUP($B558,'1. 현장별 인원현황'!$C:$J,2,0))</f>
        <v xml:space="preserve"> [5.대광건영] 양주회천 A12 대광로제비앙 아파트 신축공사</v>
      </c>
      <c r="D558" s="70" t="str">
        <f>IF(VLOOKUP($B558,'1. 현장별 인원현황'!$C:$J,3,0)=0,"",VLOOKUP($B558,'1. 현장별 인원현황'!$C:$J,3,0))</f>
        <v>채희정</v>
      </c>
      <c r="E558" s="74" t="str">
        <f ca="1">IF(VLOOKUP($B558,'1. 현장별 인원현황'!$C:$J,4,0)=0,"",VLOOKUP($B558,'1. 현장별 인원현황'!$C:$J,4,0))</f>
        <v>64세</v>
      </c>
      <c r="F558" s="70" t="str">
        <f>IF(VLOOKUP($B558,'1. 현장별 인원현황'!$C:$J,7,0)=0,"",VLOOKUP($B558,'1. 현장별 인원현황'!$C:$J,7,0))</f>
        <v>기능공</v>
      </c>
      <c r="G558" s="72" t="str">
        <f>IF(VLOOKUP($B558,'1. 현장별 인원현황'!$C:$J,8,0)=0,"",VLOOKUP($B558,'1. 현장별 인원현황'!$C:$J,8,0))</f>
        <v>전공</v>
      </c>
      <c r="H558" s="67"/>
      <c r="I558" s="73" t="s">
        <v>69</v>
      </c>
      <c r="J558" s="73"/>
      <c r="K558" s="68"/>
      <c r="L558" s="67" t="s">
        <v>69</v>
      </c>
      <c r="M558" s="73"/>
      <c r="N558" s="73"/>
      <c r="O558" s="68"/>
      <c r="P558" s="67"/>
      <c r="Q558" s="73" t="s">
        <v>69</v>
      </c>
      <c r="R558" s="73"/>
      <c r="S558" s="68"/>
      <c r="T558" s="67"/>
      <c r="U558" s="73" t="s">
        <v>69</v>
      </c>
      <c r="V558" s="73"/>
      <c r="W558" s="68"/>
      <c r="X558" s="67" t="s">
        <v>69</v>
      </c>
      <c r="Y558" s="73"/>
      <c r="Z558" s="73"/>
      <c r="AA558" s="68"/>
      <c r="AB558" s="67" t="s">
        <v>69</v>
      </c>
      <c r="AC558" s="73"/>
      <c r="AD558" s="73"/>
      <c r="AE558" s="68"/>
      <c r="AF558" s="67" t="s">
        <v>69</v>
      </c>
      <c r="AG558" s="73"/>
      <c r="AH558" s="73"/>
      <c r="AI558" s="68"/>
      <c r="AJ558" s="67" t="s">
        <v>69</v>
      </c>
      <c r="AK558" s="73"/>
      <c r="AL558" s="73"/>
      <c r="AM558" s="68"/>
      <c r="AN558" s="73" t="s">
        <v>69</v>
      </c>
      <c r="AO558" s="73"/>
      <c r="AP558" s="73"/>
      <c r="AQ558" s="68"/>
      <c r="AR558" s="67">
        <f t="shared" si="358"/>
        <v>92</v>
      </c>
      <c r="AS558" s="68" t="str">
        <f t="shared" si="359"/>
        <v>S</v>
      </c>
      <c r="AV558" s="49">
        <f t="shared" si="320"/>
        <v>0</v>
      </c>
      <c r="AW558" s="49">
        <f t="shared" si="321"/>
        <v>1</v>
      </c>
      <c r="AX558" s="49">
        <f t="shared" si="322"/>
        <v>0</v>
      </c>
      <c r="AY558" s="49">
        <f t="shared" si="323"/>
        <v>0</v>
      </c>
      <c r="AZ558" s="49">
        <f t="shared" si="324"/>
        <v>1</v>
      </c>
      <c r="BA558" s="49">
        <f t="shared" si="325"/>
        <v>0</v>
      </c>
      <c r="BB558" s="49">
        <f t="shared" si="326"/>
        <v>0</v>
      </c>
      <c r="BC558" s="49">
        <f t="shared" si="327"/>
        <v>0</v>
      </c>
      <c r="BD558" s="49">
        <f t="shared" si="328"/>
        <v>0</v>
      </c>
      <c r="BE558" s="49">
        <f t="shared" si="329"/>
        <v>1</v>
      </c>
      <c r="BF558" s="49">
        <f t="shared" si="330"/>
        <v>0</v>
      </c>
      <c r="BG558" s="49">
        <f t="shared" si="331"/>
        <v>0</v>
      </c>
      <c r="BH558" s="49">
        <f t="shared" si="332"/>
        <v>0</v>
      </c>
      <c r="BI558" s="49">
        <f t="shared" si="333"/>
        <v>1</v>
      </c>
      <c r="BJ558" s="49">
        <f t="shared" si="334"/>
        <v>0</v>
      </c>
      <c r="BK558" s="49">
        <f t="shared" si="335"/>
        <v>0</v>
      </c>
      <c r="BL558" s="49">
        <f t="shared" si="336"/>
        <v>1</v>
      </c>
      <c r="BM558" s="49">
        <f t="shared" si="337"/>
        <v>0</v>
      </c>
      <c r="BN558" s="49">
        <f t="shared" si="338"/>
        <v>0</v>
      </c>
      <c r="BO558" s="49">
        <f t="shared" si="339"/>
        <v>0</v>
      </c>
      <c r="BP558" s="49">
        <f t="shared" si="340"/>
        <v>1</v>
      </c>
      <c r="BQ558" s="49">
        <f t="shared" si="341"/>
        <v>0</v>
      </c>
      <c r="BR558" s="49">
        <f t="shared" si="342"/>
        <v>0</v>
      </c>
      <c r="BS558" s="49">
        <f t="shared" si="343"/>
        <v>0</v>
      </c>
      <c r="BT558" s="49">
        <f t="shared" si="344"/>
        <v>1</v>
      </c>
      <c r="BU558" s="49">
        <f t="shared" si="345"/>
        <v>0</v>
      </c>
      <c r="BV558" s="49">
        <f t="shared" si="346"/>
        <v>0</v>
      </c>
      <c r="BW558" s="49">
        <f t="shared" si="347"/>
        <v>0</v>
      </c>
      <c r="BX558" s="49">
        <f t="shared" si="348"/>
        <v>1</v>
      </c>
      <c r="BY558" s="49">
        <f t="shared" si="349"/>
        <v>0</v>
      </c>
      <c r="BZ558" s="49">
        <f t="shared" si="350"/>
        <v>0</v>
      </c>
      <c r="CA558" s="49">
        <f t="shared" si="351"/>
        <v>0</v>
      </c>
      <c r="CB558" s="49">
        <f t="shared" si="352"/>
        <v>1</v>
      </c>
      <c r="CC558" s="49">
        <f t="shared" si="353"/>
        <v>0</v>
      </c>
      <c r="CD558" s="49">
        <f t="shared" si="354"/>
        <v>0</v>
      </c>
      <c r="CE558" s="49">
        <f t="shared" si="355"/>
        <v>0</v>
      </c>
    </row>
    <row r="559" spans="1:83" ht="35.1" customHeight="1" x14ac:dyDescent="0.3">
      <c r="A559" s="123" t="str">
        <f t="shared" si="356"/>
        <v>5팀</v>
      </c>
      <c r="B559" s="69">
        <f t="shared" si="357"/>
        <v>553</v>
      </c>
      <c r="C559" s="120" t="str">
        <f>IF(VLOOKUP($B559,'1. 현장별 인원현황'!$C:$J,2,0)=0,"",VLOOKUP($B559,'1. 현장별 인원현황'!$C:$J,2,0))</f>
        <v xml:space="preserve"> [5.대광건영] 양주회천 A12 대광로제비앙 아파트 신축공사</v>
      </c>
      <c r="D559" s="70" t="str">
        <f>IF(VLOOKUP($B559,'1. 현장별 인원현황'!$C:$J,3,0)=0,"",VLOOKUP($B559,'1. 현장별 인원현황'!$C:$J,3,0))</f>
        <v>이재환</v>
      </c>
      <c r="E559" s="74" t="str">
        <f ca="1">IF(VLOOKUP($B559,'1. 현장별 인원현황'!$C:$J,4,0)=0,"",VLOOKUP($B559,'1. 현장별 인원현황'!$C:$J,4,0))</f>
        <v>31세</v>
      </c>
      <c r="F559" s="70" t="str">
        <f>IF(VLOOKUP($B559,'1. 현장별 인원현황'!$C:$J,7,0)=0,"",VLOOKUP($B559,'1. 현장별 인원현황'!$C:$J,7,0))</f>
        <v>기능공</v>
      </c>
      <c r="G559" s="72" t="str">
        <f>IF(VLOOKUP($B559,'1. 현장별 인원현황'!$C:$J,8,0)=0,"",VLOOKUP($B559,'1. 현장별 인원현황'!$C:$J,8,0))</f>
        <v>조공</v>
      </c>
      <c r="H559" s="67"/>
      <c r="I559" s="73"/>
      <c r="J559" s="73" t="s">
        <v>69</v>
      </c>
      <c r="K559" s="68"/>
      <c r="L559" s="67" t="s">
        <v>69</v>
      </c>
      <c r="M559" s="73"/>
      <c r="N559" s="73"/>
      <c r="O559" s="68"/>
      <c r="P559" s="67"/>
      <c r="Q559" s="73" t="s">
        <v>69</v>
      </c>
      <c r="R559" s="73"/>
      <c r="S559" s="68"/>
      <c r="T559" s="67"/>
      <c r="U559" s="73"/>
      <c r="V559" s="73" t="s">
        <v>69</v>
      </c>
      <c r="W559" s="68"/>
      <c r="X559" s="67" t="s">
        <v>69</v>
      </c>
      <c r="Y559" s="73"/>
      <c r="Z559" s="73"/>
      <c r="AA559" s="68"/>
      <c r="AB559" s="67" t="s">
        <v>69</v>
      </c>
      <c r="AC559" s="73"/>
      <c r="AD559" s="73"/>
      <c r="AE559" s="68"/>
      <c r="AF559" s="67" t="s">
        <v>69</v>
      </c>
      <c r="AG559" s="73"/>
      <c r="AH559" s="73"/>
      <c r="AI559" s="68"/>
      <c r="AJ559" s="67" t="s">
        <v>69</v>
      </c>
      <c r="AK559" s="73"/>
      <c r="AL559" s="73"/>
      <c r="AM559" s="68"/>
      <c r="AN559" s="73" t="s">
        <v>69</v>
      </c>
      <c r="AO559" s="73"/>
      <c r="AP559" s="73"/>
      <c r="AQ559" s="68"/>
      <c r="AR559" s="67">
        <f t="shared" si="358"/>
        <v>87</v>
      </c>
      <c r="AS559" s="68" t="str">
        <f t="shared" si="359"/>
        <v>S</v>
      </c>
      <c r="AV559" s="49">
        <f t="shared" si="320"/>
        <v>0</v>
      </c>
      <c r="AW559" s="49">
        <f t="shared" si="321"/>
        <v>0</v>
      </c>
      <c r="AX559" s="49">
        <f t="shared" si="322"/>
        <v>1</v>
      </c>
      <c r="AY559" s="49">
        <f t="shared" si="323"/>
        <v>0</v>
      </c>
      <c r="AZ559" s="49">
        <f t="shared" si="324"/>
        <v>1</v>
      </c>
      <c r="BA559" s="49">
        <f t="shared" si="325"/>
        <v>0</v>
      </c>
      <c r="BB559" s="49">
        <f t="shared" si="326"/>
        <v>0</v>
      </c>
      <c r="BC559" s="49">
        <f t="shared" si="327"/>
        <v>0</v>
      </c>
      <c r="BD559" s="49">
        <f t="shared" si="328"/>
        <v>0</v>
      </c>
      <c r="BE559" s="49">
        <f t="shared" si="329"/>
        <v>1</v>
      </c>
      <c r="BF559" s="49">
        <f t="shared" si="330"/>
        <v>0</v>
      </c>
      <c r="BG559" s="49">
        <f t="shared" si="331"/>
        <v>0</v>
      </c>
      <c r="BH559" s="49">
        <f t="shared" si="332"/>
        <v>0</v>
      </c>
      <c r="BI559" s="49">
        <f t="shared" si="333"/>
        <v>0</v>
      </c>
      <c r="BJ559" s="49">
        <f t="shared" si="334"/>
        <v>1</v>
      </c>
      <c r="BK559" s="49">
        <f t="shared" si="335"/>
        <v>0</v>
      </c>
      <c r="BL559" s="49">
        <f t="shared" si="336"/>
        <v>1</v>
      </c>
      <c r="BM559" s="49">
        <f t="shared" si="337"/>
        <v>0</v>
      </c>
      <c r="BN559" s="49">
        <f t="shared" si="338"/>
        <v>0</v>
      </c>
      <c r="BO559" s="49">
        <f t="shared" si="339"/>
        <v>0</v>
      </c>
      <c r="BP559" s="49">
        <f t="shared" si="340"/>
        <v>1</v>
      </c>
      <c r="BQ559" s="49">
        <f t="shared" si="341"/>
        <v>0</v>
      </c>
      <c r="BR559" s="49">
        <f t="shared" si="342"/>
        <v>0</v>
      </c>
      <c r="BS559" s="49">
        <f t="shared" si="343"/>
        <v>0</v>
      </c>
      <c r="BT559" s="49">
        <f t="shared" si="344"/>
        <v>1</v>
      </c>
      <c r="BU559" s="49">
        <f t="shared" si="345"/>
        <v>0</v>
      </c>
      <c r="BV559" s="49">
        <f t="shared" si="346"/>
        <v>0</v>
      </c>
      <c r="BW559" s="49">
        <f t="shared" si="347"/>
        <v>0</v>
      </c>
      <c r="BX559" s="49">
        <f t="shared" si="348"/>
        <v>1</v>
      </c>
      <c r="BY559" s="49">
        <f t="shared" si="349"/>
        <v>0</v>
      </c>
      <c r="BZ559" s="49">
        <f t="shared" si="350"/>
        <v>0</v>
      </c>
      <c r="CA559" s="49">
        <f t="shared" si="351"/>
        <v>0</v>
      </c>
      <c r="CB559" s="49">
        <f t="shared" si="352"/>
        <v>1</v>
      </c>
      <c r="CC559" s="49">
        <f t="shared" si="353"/>
        <v>0</v>
      </c>
      <c r="CD559" s="49">
        <f t="shared" si="354"/>
        <v>0</v>
      </c>
      <c r="CE559" s="49">
        <f t="shared" si="355"/>
        <v>0</v>
      </c>
    </row>
    <row r="560" spans="1:83" ht="35.1" customHeight="1" x14ac:dyDescent="0.3">
      <c r="A560" s="123" t="str">
        <f t="shared" si="356"/>
        <v>5팀</v>
      </c>
      <c r="B560" s="69">
        <f t="shared" si="357"/>
        <v>554</v>
      </c>
      <c r="C560" s="120" t="str">
        <f>IF(VLOOKUP($B560,'1. 현장별 인원현황'!$C:$J,2,0)=0,"",VLOOKUP($B560,'1. 현장별 인원현황'!$C:$J,2,0))</f>
        <v xml:space="preserve"> [5.대광로제비앙] 평택 브레인시티 (가칭)도일1초등학교 신축공사</v>
      </c>
      <c r="D560" s="70" t="str">
        <f>IF(VLOOKUP($B560,'1. 현장별 인원현황'!$C:$J,3,0)=0,"",VLOOKUP($B560,'1. 현장별 인원현황'!$C:$J,3,0))</f>
        <v>모정욱</v>
      </c>
      <c r="E560" s="74" t="str">
        <f ca="1">IF(VLOOKUP($B560,'1. 현장별 인원현황'!$C:$J,4,0)=0,"",VLOOKUP($B560,'1. 현장별 인원현황'!$C:$J,4,0))</f>
        <v>34세</v>
      </c>
      <c r="F560" s="70" t="str">
        <f>IF(VLOOKUP($B560,'1. 현장별 인원현황'!$C:$J,7,0)=0,"",VLOOKUP($B560,'1. 현장별 인원현황'!$C:$J,7,0))</f>
        <v>공무</v>
      </c>
      <c r="G560" s="72" t="str">
        <f>IF(VLOOKUP($B560,'1. 현장별 인원현황'!$C:$J,8,0)=0,"",VLOOKUP($B560,'1. 현장별 인원현황'!$C:$J,8,0))</f>
        <v>기사</v>
      </c>
      <c r="H560" s="67" t="s">
        <v>69</v>
      </c>
      <c r="I560" s="73"/>
      <c r="J560" s="73"/>
      <c r="K560" s="68"/>
      <c r="L560" s="67" t="s">
        <v>69</v>
      </c>
      <c r="M560" s="73"/>
      <c r="N560" s="73"/>
      <c r="O560" s="68"/>
      <c r="P560" s="67" t="s">
        <v>69</v>
      </c>
      <c r="Q560" s="73"/>
      <c r="R560" s="73"/>
      <c r="S560" s="68"/>
      <c r="T560" s="67" t="s">
        <v>69</v>
      </c>
      <c r="U560" s="73"/>
      <c r="V560" s="73"/>
      <c r="W560" s="68"/>
      <c r="X560" s="67"/>
      <c r="Y560" s="73" t="s">
        <v>69</v>
      </c>
      <c r="Z560" s="73"/>
      <c r="AA560" s="68"/>
      <c r="AB560" s="67" t="s">
        <v>69</v>
      </c>
      <c r="AC560" s="73"/>
      <c r="AD560" s="73"/>
      <c r="AE560" s="68"/>
      <c r="AF560" s="67" t="s">
        <v>69</v>
      </c>
      <c r="AG560" s="73"/>
      <c r="AH560" s="73"/>
      <c r="AI560" s="68"/>
      <c r="AJ560" s="67" t="s">
        <v>69</v>
      </c>
      <c r="AK560" s="73"/>
      <c r="AL560" s="73"/>
      <c r="AM560" s="68"/>
      <c r="AN560" s="73" t="s">
        <v>69</v>
      </c>
      <c r="AO560" s="73"/>
      <c r="AP560" s="73"/>
      <c r="AQ560" s="68"/>
      <c r="AR560" s="67">
        <f t="shared" si="358"/>
        <v>98</v>
      </c>
      <c r="AS560" s="68" t="str">
        <f t="shared" si="359"/>
        <v>S</v>
      </c>
      <c r="AV560" s="49">
        <f t="shared" si="320"/>
        <v>1</v>
      </c>
      <c r="AW560" s="49">
        <f t="shared" si="321"/>
        <v>0</v>
      </c>
      <c r="AX560" s="49">
        <f t="shared" si="322"/>
        <v>0</v>
      </c>
      <c r="AY560" s="49">
        <f t="shared" si="323"/>
        <v>0</v>
      </c>
      <c r="AZ560" s="49">
        <f t="shared" si="324"/>
        <v>1</v>
      </c>
      <c r="BA560" s="49">
        <f t="shared" si="325"/>
        <v>0</v>
      </c>
      <c r="BB560" s="49">
        <f t="shared" si="326"/>
        <v>0</v>
      </c>
      <c r="BC560" s="49">
        <f t="shared" si="327"/>
        <v>0</v>
      </c>
      <c r="BD560" s="49">
        <f t="shared" si="328"/>
        <v>1</v>
      </c>
      <c r="BE560" s="49">
        <f t="shared" si="329"/>
        <v>0</v>
      </c>
      <c r="BF560" s="49">
        <f t="shared" si="330"/>
        <v>0</v>
      </c>
      <c r="BG560" s="49">
        <f t="shared" si="331"/>
        <v>0</v>
      </c>
      <c r="BH560" s="49">
        <f t="shared" si="332"/>
        <v>1</v>
      </c>
      <c r="BI560" s="49">
        <f t="shared" si="333"/>
        <v>0</v>
      </c>
      <c r="BJ560" s="49">
        <f t="shared" si="334"/>
        <v>0</v>
      </c>
      <c r="BK560" s="49">
        <f t="shared" si="335"/>
        <v>0</v>
      </c>
      <c r="BL560" s="49">
        <f t="shared" si="336"/>
        <v>0</v>
      </c>
      <c r="BM560" s="49">
        <f t="shared" si="337"/>
        <v>1</v>
      </c>
      <c r="BN560" s="49">
        <f t="shared" si="338"/>
        <v>0</v>
      </c>
      <c r="BO560" s="49">
        <f t="shared" si="339"/>
        <v>0</v>
      </c>
      <c r="BP560" s="49">
        <f t="shared" si="340"/>
        <v>1</v>
      </c>
      <c r="BQ560" s="49">
        <f t="shared" si="341"/>
        <v>0</v>
      </c>
      <c r="BR560" s="49">
        <f t="shared" si="342"/>
        <v>0</v>
      </c>
      <c r="BS560" s="49">
        <f t="shared" si="343"/>
        <v>0</v>
      </c>
      <c r="BT560" s="49">
        <f t="shared" si="344"/>
        <v>1</v>
      </c>
      <c r="BU560" s="49">
        <f t="shared" si="345"/>
        <v>0</v>
      </c>
      <c r="BV560" s="49">
        <f t="shared" si="346"/>
        <v>0</v>
      </c>
      <c r="BW560" s="49">
        <f t="shared" si="347"/>
        <v>0</v>
      </c>
      <c r="BX560" s="49">
        <f t="shared" si="348"/>
        <v>1</v>
      </c>
      <c r="BY560" s="49">
        <f t="shared" si="349"/>
        <v>0</v>
      </c>
      <c r="BZ560" s="49">
        <f t="shared" si="350"/>
        <v>0</v>
      </c>
      <c r="CA560" s="49">
        <f t="shared" si="351"/>
        <v>0</v>
      </c>
      <c r="CB560" s="49">
        <f t="shared" si="352"/>
        <v>1</v>
      </c>
      <c r="CC560" s="49">
        <f t="shared" si="353"/>
        <v>0</v>
      </c>
      <c r="CD560" s="49">
        <f t="shared" si="354"/>
        <v>0</v>
      </c>
      <c r="CE560" s="49">
        <f t="shared" si="355"/>
        <v>0</v>
      </c>
    </row>
    <row r="561" spans="1:83" ht="35.1" customHeight="1" x14ac:dyDescent="0.3">
      <c r="A561" s="123" t="str">
        <f t="shared" si="356"/>
        <v>5팀</v>
      </c>
      <c r="B561" s="69">
        <f t="shared" si="357"/>
        <v>555</v>
      </c>
      <c r="C561" s="120" t="str">
        <f>IF(VLOOKUP($B561,'1. 현장별 인원현황'!$C:$J,2,0)=0,"",VLOOKUP($B561,'1. 현장별 인원현황'!$C:$J,2,0))</f>
        <v xml:space="preserve"> [5.대광로제비앙] 평택 브레인시티 (가칭)도일1초등학교 신축공사</v>
      </c>
      <c r="D561" s="70" t="str">
        <f>IF(VLOOKUP($B561,'1. 현장별 인원현황'!$C:$J,3,0)=0,"",VLOOKUP($B561,'1. 현장별 인원현황'!$C:$J,3,0))</f>
        <v>강민석</v>
      </c>
      <c r="E561" s="74" t="str">
        <f ca="1">IF(VLOOKUP($B561,'1. 현장별 인원현황'!$C:$J,4,0)=0,"",VLOOKUP($B561,'1. 현장별 인원현황'!$C:$J,4,0))</f>
        <v>52세</v>
      </c>
      <c r="F561" s="70" t="str">
        <f>IF(VLOOKUP($B561,'1. 현장별 인원현황'!$C:$J,7,0)=0,"",VLOOKUP($B561,'1. 현장별 인원현황'!$C:$J,7,0))</f>
        <v>공사</v>
      </c>
      <c r="G561" s="72" t="str">
        <f>IF(VLOOKUP($B561,'1. 현장별 인원현황'!$C:$J,8,0)=0,"",VLOOKUP($B561,'1. 현장별 인원현황'!$C:$J,8,0))</f>
        <v>차장</v>
      </c>
      <c r="H561" s="67"/>
      <c r="I561" s="73" t="s">
        <v>69</v>
      </c>
      <c r="J561" s="73"/>
      <c r="K561" s="68"/>
      <c r="L561" s="67"/>
      <c r="M561" s="73"/>
      <c r="N561" s="73" t="s">
        <v>69</v>
      </c>
      <c r="O561" s="68"/>
      <c r="P561" s="67"/>
      <c r="Q561" s="73" t="s">
        <v>69</v>
      </c>
      <c r="R561" s="73"/>
      <c r="S561" s="68"/>
      <c r="T561" s="67"/>
      <c r="U561" s="73" t="s">
        <v>69</v>
      </c>
      <c r="V561" s="73"/>
      <c r="W561" s="68"/>
      <c r="X561" s="67" t="s">
        <v>69</v>
      </c>
      <c r="Y561" s="73"/>
      <c r="Z561" s="73"/>
      <c r="AA561" s="68"/>
      <c r="AB561" s="67" t="s">
        <v>69</v>
      </c>
      <c r="AC561" s="73"/>
      <c r="AD561" s="73"/>
      <c r="AE561" s="68"/>
      <c r="AF561" s="67" t="s">
        <v>69</v>
      </c>
      <c r="AG561" s="73"/>
      <c r="AH561" s="73"/>
      <c r="AI561" s="68"/>
      <c r="AJ561" s="67"/>
      <c r="AK561" s="73" t="s">
        <v>69</v>
      </c>
      <c r="AL561" s="73"/>
      <c r="AM561" s="68"/>
      <c r="AN561" s="73" t="s">
        <v>69</v>
      </c>
      <c r="AO561" s="73"/>
      <c r="AP561" s="73"/>
      <c r="AQ561" s="68"/>
      <c r="AR561" s="67">
        <f t="shared" si="358"/>
        <v>83</v>
      </c>
      <c r="AS561" s="68" t="str">
        <f t="shared" si="359"/>
        <v>A</v>
      </c>
      <c r="AV561" s="49">
        <f t="shared" si="320"/>
        <v>0</v>
      </c>
      <c r="AW561" s="49">
        <f t="shared" si="321"/>
        <v>1</v>
      </c>
      <c r="AX561" s="49">
        <f t="shared" si="322"/>
        <v>0</v>
      </c>
      <c r="AY561" s="49">
        <f t="shared" si="323"/>
        <v>0</v>
      </c>
      <c r="AZ561" s="49">
        <f t="shared" si="324"/>
        <v>0</v>
      </c>
      <c r="BA561" s="49">
        <f t="shared" si="325"/>
        <v>0</v>
      </c>
      <c r="BB561" s="49">
        <f t="shared" si="326"/>
        <v>1</v>
      </c>
      <c r="BC561" s="49">
        <f t="shared" si="327"/>
        <v>0</v>
      </c>
      <c r="BD561" s="49">
        <f t="shared" si="328"/>
        <v>0</v>
      </c>
      <c r="BE561" s="49">
        <f t="shared" si="329"/>
        <v>1</v>
      </c>
      <c r="BF561" s="49">
        <f t="shared" si="330"/>
        <v>0</v>
      </c>
      <c r="BG561" s="49">
        <f t="shared" si="331"/>
        <v>0</v>
      </c>
      <c r="BH561" s="49">
        <f t="shared" si="332"/>
        <v>0</v>
      </c>
      <c r="BI561" s="49">
        <f t="shared" si="333"/>
        <v>1</v>
      </c>
      <c r="BJ561" s="49">
        <f t="shared" si="334"/>
        <v>0</v>
      </c>
      <c r="BK561" s="49">
        <f t="shared" si="335"/>
        <v>0</v>
      </c>
      <c r="BL561" s="49">
        <f t="shared" si="336"/>
        <v>1</v>
      </c>
      <c r="BM561" s="49">
        <f t="shared" si="337"/>
        <v>0</v>
      </c>
      <c r="BN561" s="49">
        <f t="shared" si="338"/>
        <v>0</v>
      </c>
      <c r="BO561" s="49">
        <f t="shared" si="339"/>
        <v>0</v>
      </c>
      <c r="BP561" s="49">
        <f t="shared" si="340"/>
        <v>1</v>
      </c>
      <c r="BQ561" s="49">
        <f t="shared" si="341"/>
        <v>0</v>
      </c>
      <c r="BR561" s="49">
        <f t="shared" si="342"/>
        <v>0</v>
      </c>
      <c r="BS561" s="49">
        <f t="shared" si="343"/>
        <v>0</v>
      </c>
      <c r="BT561" s="49">
        <f t="shared" si="344"/>
        <v>1</v>
      </c>
      <c r="BU561" s="49">
        <f t="shared" si="345"/>
        <v>0</v>
      </c>
      <c r="BV561" s="49">
        <f t="shared" si="346"/>
        <v>0</v>
      </c>
      <c r="BW561" s="49">
        <f t="shared" si="347"/>
        <v>0</v>
      </c>
      <c r="BX561" s="49">
        <f t="shared" si="348"/>
        <v>0</v>
      </c>
      <c r="BY561" s="49">
        <f t="shared" si="349"/>
        <v>1</v>
      </c>
      <c r="BZ561" s="49">
        <f t="shared" si="350"/>
        <v>0</v>
      </c>
      <c r="CA561" s="49">
        <f t="shared" si="351"/>
        <v>0</v>
      </c>
      <c r="CB561" s="49">
        <f t="shared" si="352"/>
        <v>1</v>
      </c>
      <c r="CC561" s="49">
        <f t="shared" si="353"/>
        <v>0</v>
      </c>
      <c r="CD561" s="49">
        <f t="shared" si="354"/>
        <v>0</v>
      </c>
      <c r="CE561" s="49">
        <f t="shared" si="355"/>
        <v>0</v>
      </c>
    </row>
    <row r="562" spans="1:83" ht="35.1" customHeight="1" x14ac:dyDescent="0.3">
      <c r="A562" s="123" t="str">
        <f t="shared" si="356"/>
        <v>5팀</v>
      </c>
      <c r="B562" s="69">
        <f t="shared" si="357"/>
        <v>556</v>
      </c>
      <c r="C562" s="120" t="str">
        <f>IF(VLOOKUP($B562,'1. 현장별 인원현황'!$C:$J,2,0)=0,"",VLOOKUP($B562,'1. 현장별 인원현황'!$C:$J,2,0))</f>
        <v xml:space="preserve"> [5.대광로제비앙] 평택 브레인시티 (가칭)도일1초등학교 신축공사</v>
      </c>
      <c r="D562" s="70" t="str">
        <f>IF(VLOOKUP($B562,'1. 현장별 인원현황'!$C:$J,3,0)=0,"",VLOOKUP($B562,'1. 현장별 인원현황'!$C:$J,3,0))</f>
        <v>김영효</v>
      </c>
      <c r="E562" s="74" t="str">
        <f ca="1">IF(VLOOKUP($B562,'1. 현장별 인원현황'!$C:$J,4,0)=0,"",VLOOKUP($B562,'1. 현장별 인원현황'!$C:$J,4,0))</f>
        <v>57세</v>
      </c>
      <c r="F562" s="70" t="str">
        <f>IF(VLOOKUP($B562,'1. 현장별 인원현황'!$C:$J,7,0)=0,"",VLOOKUP($B562,'1. 현장별 인원현황'!$C:$J,7,0))</f>
        <v>공사</v>
      </c>
      <c r="G562" s="72" t="str">
        <f>IF(VLOOKUP($B562,'1. 현장별 인원현황'!$C:$J,8,0)=0,"",VLOOKUP($B562,'1. 현장별 인원현황'!$C:$J,8,0))</f>
        <v>차장</v>
      </c>
      <c r="H562" s="67" t="s">
        <v>69</v>
      </c>
      <c r="I562" s="73"/>
      <c r="J562" s="73"/>
      <c r="K562" s="68"/>
      <c r="L562" s="67" t="s">
        <v>69</v>
      </c>
      <c r="M562" s="73"/>
      <c r="N562" s="73"/>
      <c r="O562" s="68"/>
      <c r="P562" s="67" t="s">
        <v>69</v>
      </c>
      <c r="Q562" s="73"/>
      <c r="R562" s="73"/>
      <c r="S562" s="68"/>
      <c r="T562" s="67" t="s">
        <v>69</v>
      </c>
      <c r="U562" s="73"/>
      <c r="V562" s="73"/>
      <c r="W562" s="68"/>
      <c r="X562" s="67"/>
      <c r="Y562" s="73" t="s">
        <v>69</v>
      </c>
      <c r="Z562" s="73"/>
      <c r="AA562" s="68"/>
      <c r="AB562" s="67" t="s">
        <v>69</v>
      </c>
      <c r="AC562" s="73"/>
      <c r="AD562" s="73"/>
      <c r="AE562" s="68"/>
      <c r="AF562" s="67" t="s">
        <v>69</v>
      </c>
      <c r="AG562" s="73"/>
      <c r="AH562" s="73"/>
      <c r="AI562" s="68"/>
      <c r="AJ562" s="67"/>
      <c r="AK562" s="73" t="s">
        <v>69</v>
      </c>
      <c r="AL562" s="73"/>
      <c r="AM562" s="68"/>
      <c r="AN562" s="73" t="s">
        <v>69</v>
      </c>
      <c r="AO562" s="73"/>
      <c r="AP562" s="73"/>
      <c r="AQ562" s="68"/>
      <c r="AR562" s="67">
        <f t="shared" si="358"/>
        <v>95</v>
      </c>
      <c r="AS562" s="68" t="str">
        <f t="shared" si="359"/>
        <v>S</v>
      </c>
      <c r="AV562" s="49">
        <f t="shared" si="320"/>
        <v>1</v>
      </c>
      <c r="AW562" s="49">
        <f t="shared" si="321"/>
        <v>0</v>
      </c>
      <c r="AX562" s="49">
        <f t="shared" si="322"/>
        <v>0</v>
      </c>
      <c r="AY562" s="49">
        <f t="shared" si="323"/>
        <v>0</v>
      </c>
      <c r="AZ562" s="49">
        <f t="shared" si="324"/>
        <v>1</v>
      </c>
      <c r="BA562" s="49">
        <f t="shared" si="325"/>
        <v>0</v>
      </c>
      <c r="BB562" s="49">
        <f t="shared" si="326"/>
        <v>0</v>
      </c>
      <c r="BC562" s="49">
        <f t="shared" si="327"/>
        <v>0</v>
      </c>
      <c r="BD562" s="49">
        <f t="shared" si="328"/>
        <v>1</v>
      </c>
      <c r="BE562" s="49">
        <f t="shared" si="329"/>
        <v>0</v>
      </c>
      <c r="BF562" s="49">
        <f t="shared" si="330"/>
        <v>0</v>
      </c>
      <c r="BG562" s="49">
        <f t="shared" si="331"/>
        <v>0</v>
      </c>
      <c r="BH562" s="49">
        <f t="shared" si="332"/>
        <v>1</v>
      </c>
      <c r="BI562" s="49">
        <f t="shared" si="333"/>
        <v>0</v>
      </c>
      <c r="BJ562" s="49">
        <f t="shared" si="334"/>
        <v>0</v>
      </c>
      <c r="BK562" s="49">
        <f t="shared" si="335"/>
        <v>0</v>
      </c>
      <c r="BL562" s="49">
        <f t="shared" si="336"/>
        <v>0</v>
      </c>
      <c r="BM562" s="49">
        <f t="shared" si="337"/>
        <v>1</v>
      </c>
      <c r="BN562" s="49">
        <f t="shared" si="338"/>
        <v>0</v>
      </c>
      <c r="BO562" s="49">
        <f t="shared" si="339"/>
        <v>0</v>
      </c>
      <c r="BP562" s="49">
        <f t="shared" si="340"/>
        <v>1</v>
      </c>
      <c r="BQ562" s="49">
        <f t="shared" si="341"/>
        <v>0</v>
      </c>
      <c r="BR562" s="49">
        <f t="shared" si="342"/>
        <v>0</v>
      </c>
      <c r="BS562" s="49">
        <f t="shared" si="343"/>
        <v>0</v>
      </c>
      <c r="BT562" s="49">
        <f t="shared" si="344"/>
        <v>1</v>
      </c>
      <c r="BU562" s="49">
        <f t="shared" si="345"/>
        <v>0</v>
      </c>
      <c r="BV562" s="49">
        <f t="shared" si="346"/>
        <v>0</v>
      </c>
      <c r="BW562" s="49">
        <f t="shared" si="347"/>
        <v>0</v>
      </c>
      <c r="BX562" s="49">
        <f t="shared" si="348"/>
        <v>0</v>
      </c>
      <c r="BY562" s="49">
        <f t="shared" si="349"/>
        <v>1</v>
      </c>
      <c r="BZ562" s="49">
        <f t="shared" si="350"/>
        <v>0</v>
      </c>
      <c r="CA562" s="49">
        <f t="shared" si="351"/>
        <v>0</v>
      </c>
      <c r="CB562" s="49">
        <f t="shared" si="352"/>
        <v>1</v>
      </c>
      <c r="CC562" s="49">
        <f t="shared" si="353"/>
        <v>0</v>
      </c>
      <c r="CD562" s="49">
        <f t="shared" si="354"/>
        <v>0</v>
      </c>
      <c r="CE562" s="49">
        <f t="shared" si="355"/>
        <v>0</v>
      </c>
    </row>
    <row r="563" spans="1:83" ht="35.1" customHeight="1" x14ac:dyDescent="0.3">
      <c r="A563" s="123" t="str">
        <f t="shared" si="356"/>
        <v>5팀</v>
      </c>
      <c r="B563" s="69">
        <f t="shared" si="357"/>
        <v>557</v>
      </c>
      <c r="C563" s="120" t="str">
        <f>IF(VLOOKUP($B563,'1. 현장별 인원현황'!$C:$J,2,0)=0,"",VLOOKUP($B563,'1. 현장별 인원현황'!$C:$J,2,0))</f>
        <v xml:space="preserve"> [5.대광로제비앙] 평택 브레인시티 (가칭)도일1초등학교 신축공사</v>
      </c>
      <c r="D563" s="70" t="str">
        <f>IF(VLOOKUP($B563,'1. 현장별 인원현황'!$C:$J,3,0)=0,"",VLOOKUP($B563,'1. 현장별 인원현황'!$C:$J,3,0))</f>
        <v>박재호</v>
      </c>
      <c r="E563" s="74" t="str">
        <f ca="1">IF(VLOOKUP($B563,'1. 현장별 인원현황'!$C:$J,4,0)=0,"",VLOOKUP($B563,'1. 현장별 인원현황'!$C:$J,4,0))</f>
        <v>38세</v>
      </c>
      <c r="F563" s="70" t="str">
        <f>IF(VLOOKUP($B563,'1. 현장별 인원현황'!$C:$J,7,0)=0,"",VLOOKUP($B563,'1. 현장별 인원현황'!$C:$J,7,0))</f>
        <v>기능공</v>
      </c>
      <c r="G563" s="72" t="str">
        <f>IF(VLOOKUP($B563,'1. 현장별 인원현황'!$C:$J,8,0)=0,"",VLOOKUP($B563,'1. 현장별 인원현황'!$C:$J,8,0))</f>
        <v>전공</v>
      </c>
      <c r="H563" s="67" t="s">
        <v>69</v>
      </c>
      <c r="I563" s="73"/>
      <c r="J563" s="73"/>
      <c r="K563" s="68"/>
      <c r="L563" s="67" t="s">
        <v>69</v>
      </c>
      <c r="M563" s="73"/>
      <c r="N563" s="73"/>
      <c r="O563" s="68"/>
      <c r="P563" s="67" t="s">
        <v>69</v>
      </c>
      <c r="Q563" s="73"/>
      <c r="R563" s="73"/>
      <c r="S563" s="68"/>
      <c r="T563" s="67"/>
      <c r="U563" s="73" t="s">
        <v>69</v>
      </c>
      <c r="V563" s="73"/>
      <c r="W563" s="68"/>
      <c r="X563" s="67" t="s">
        <v>69</v>
      </c>
      <c r="Y563" s="73"/>
      <c r="Z563" s="73"/>
      <c r="AA563" s="68"/>
      <c r="AB563" s="67" t="s">
        <v>69</v>
      </c>
      <c r="AC563" s="73"/>
      <c r="AD563" s="73"/>
      <c r="AE563" s="68"/>
      <c r="AF563" s="67" t="s">
        <v>69</v>
      </c>
      <c r="AG563" s="73"/>
      <c r="AH563" s="73"/>
      <c r="AI563" s="68"/>
      <c r="AJ563" s="67"/>
      <c r="AK563" s="73" t="s">
        <v>69</v>
      </c>
      <c r="AL563" s="73"/>
      <c r="AM563" s="68"/>
      <c r="AN563" s="73" t="s">
        <v>69</v>
      </c>
      <c r="AO563" s="73"/>
      <c r="AP563" s="73"/>
      <c r="AQ563" s="68"/>
      <c r="AR563" s="67">
        <f t="shared" si="358"/>
        <v>95</v>
      </c>
      <c r="AS563" s="68" t="str">
        <f t="shared" si="359"/>
        <v>S</v>
      </c>
      <c r="AV563" s="49">
        <f t="shared" si="320"/>
        <v>1</v>
      </c>
      <c r="AW563" s="49">
        <f t="shared" si="321"/>
        <v>0</v>
      </c>
      <c r="AX563" s="49">
        <f t="shared" si="322"/>
        <v>0</v>
      </c>
      <c r="AY563" s="49">
        <f t="shared" si="323"/>
        <v>0</v>
      </c>
      <c r="AZ563" s="49">
        <f t="shared" si="324"/>
        <v>1</v>
      </c>
      <c r="BA563" s="49">
        <f t="shared" si="325"/>
        <v>0</v>
      </c>
      <c r="BB563" s="49">
        <f t="shared" si="326"/>
        <v>0</v>
      </c>
      <c r="BC563" s="49">
        <f t="shared" si="327"/>
        <v>0</v>
      </c>
      <c r="BD563" s="49">
        <f t="shared" si="328"/>
        <v>1</v>
      </c>
      <c r="BE563" s="49">
        <f t="shared" si="329"/>
        <v>0</v>
      </c>
      <c r="BF563" s="49">
        <f t="shared" si="330"/>
        <v>0</v>
      </c>
      <c r="BG563" s="49">
        <f t="shared" si="331"/>
        <v>0</v>
      </c>
      <c r="BH563" s="49">
        <f t="shared" si="332"/>
        <v>0</v>
      </c>
      <c r="BI563" s="49">
        <f t="shared" si="333"/>
        <v>1</v>
      </c>
      <c r="BJ563" s="49">
        <f t="shared" si="334"/>
        <v>0</v>
      </c>
      <c r="BK563" s="49">
        <f t="shared" si="335"/>
        <v>0</v>
      </c>
      <c r="BL563" s="49">
        <f t="shared" si="336"/>
        <v>1</v>
      </c>
      <c r="BM563" s="49">
        <f t="shared" si="337"/>
        <v>0</v>
      </c>
      <c r="BN563" s="49">
        <f t="shared" si="338"/>
        <v>0</v>
      </c>
      <c r="BO563" s="49">
        <f t="shared" si="339"/>
        <v>0</v>
      </c>
      <c r="BP563" s="49">
        <f t="shared" si="340"/>
        <v>1</v>
      </c>
      <c r="BQ563" s="49">
        <f t="shared" si="341"/>
        <v>0</v>
      </c>
      <c r="BR563" s="49">
        <f t="shared" si="342"/>
        <v>0</v>
      </c>
      <c r="BS563" s="49">
        <f t="shared" si="343"/>
        <v>0</v>
      </c>
      <c r="BT563" s="49">
        <f t="shared" si="344"/>
        <v>1</v>
      </c>
      <c r="BU563" s="49">
        <f t="shared" si="345"/>
        <v>0</v>
      </c>
      <c r="BV563" s="49">
        <f t="shared" si="346"/>
        <v>0</v>
      </c>
      <c r="BW563" s="49">
        <f t="shared" si="347"/>
        <v>0</v>
      </c>
      <c r="BX563" s="49">
        <f t="shared" si="348"/>
        <v>0</v>
      </c>
      <c r="BY563" s="49">
        <f t="shared" si="349"/>
        <v>1</v>
      </c>
      <c r="BZ563" s="49">
        <f t="shared" si="350"/>
        <v>0</v>
      </c>
      <c r="CA563" s="49">
        <f t="shared" si="351"/>
        <v>0</v>
      </c>
      <c r="CB563" s="49">
        <f t="shared" si="352"/>
        <v>1</v>
      </c>
      <c r="CC563" s="49">
        <f t="shared" si="353"/>
        <v>0</v>
      </c>
      <c r="CD563" s="49">
        <f t="shared" si="354"/>
        <v>0</v>
      </c>
      <c r="CE563" s="49">
        <f t="shared" si="355"/>
        <v>0</v>
      </c>
    </row>
    <row r="564" spans="1:83" ht="35.1" customHeight="1" x14ac:dyDescent="0.3">
      <c r="A564" s="123" t="str">
        <f t="shared" si="356"/>
        <v>5팀</v>
      </c>
      <c r="B564" s="69">
        <f t="shared" si="357"/>
        <v>558</v>
      </c>
      <c r="C564" s="120" t="str">
        <f>IF(VLOOKUP($B564,'1. 현장별 인원현황'!$C:$J,2,0)=0,"",VLOOKUP($B564,'1. 현장별 인원현황'!$C:$J,2,0))</f>
        <v xml:space="preserve"> [5.대광로제비앙] 평택 브레인시티 (가칭)도일1초등학교 신축공사</v>
      </c>
      <c r="D564" s="70" t="str">
        <f>IF(VLOOKUP($B564,'1. 현장별 인원현황'!$C:$J,3,0)=0,"",VLOOKUP($B564,'1. 현장별 인원현황'!$C:$J,3,0))</f>
        <v>방신형</v>
      </c>
      <c r="E564" s="74" t="str">
        <f ca="1">IF(VLOOKUP($B564,'1. 현장별 인원현황'!$C:$J,4,0)=0,"",VLOOKUP($B564,'1. 현장별 인원현황'!$C:$J,4,0))</f>
        <v>42세</v>
      </c>
      <c r="F564" s="70" t="str">
        <f>IF(VLOOKUP($B564,'1. 현장별 인원현황'!$C:$J,7,0)=0,"",VLOOKUP($B564,'1. 현장별 인원현황'!$C:$J,7,0))</f>
        <v>기능공</v>
      </c>
      <c r="G564" s="72" t="str">
        <f>IF(VLOOKUP($B564,'1. 현장별 인원현황'!$C:$J,8,0)=0,"",VLOOKUP($B564,'1. 현장별 인원현황'!$C:$J,8,0))</f>
        <v>전공</v>
      </c>
      <c r="H564" s="67" t="s">
        <v>69</v>
      </c>
      <c r="I564" s="73"/>
      <c r="J564" s="73"/>
      <c r="K564" s="68"/>
      <c r="L564" s="67" t="s">
        <v>69</v>
      </c>
      <c r="M564" s="73"/>
      <c r="N564" s="73"/>
      <c r="O564" s="68"/>
      <c r="P564" s="67" t="s">
        <v>69</v>
      </c>
      <c r="Q564" s="73"/>
      <c r="R564" s="73"/>
      <c r="S564" s="68"/>
      <c r="T564" s="67" t="s">
        <v>69</v>
      </c>
      <c r="U564" s="73"/>
      <c r="V564" s="73"/>
      <c r="W564" s="68"/>
      <c r="X564" s="67"/>
      <c r="Y564" s="73" t="s">
        <v>69</v>
      </c>
      <c r="Z564" s="73"/>
      <c r="AA564" s="68"/>
      <c r="AB564" s="67" t="s">
        <v>69</v>
      </c>
      <c r="AC564" s="73"/>
      <c r="AD564" s="73"/>
      <c r="AE564" s="68"/>
      <c r="AF564" s="67" t="s">
        <v>69</v>
      </c>
      <c r="AG564" s="73"/>
      <c r="AH564" s="73"/>
      <c r="AI564" s="68"/>
      <c r="AJ564" s="67"/>
      <c r="AK564" s="73" t="s">
        <v>69</v>
      </c>
      <c r="AL564" s="73"/>
      <c r="AM564" s="68"/>
      <c r="AN564" s="73"/>
      <c r="AO564" s="73" t="s">
        <v>69</v>
      </c>
      <c r="AP564" s="73"/>
      <c r="AQ564" s="68"/>
      <c r="AR564" s="67">
        <f t="shared" si="358"/>
        <v>92</v>
      </c>
      <c r="AS564" s="68" t="str">
        <f t="shared" si="359"/>
        <v>S</v>
      </c>
      <c r="AV564" s="49">
        <f t="shared" si="320"/>
        <v>1</v>
      </c>
      <c r="AW564" s="49">
        <f t="shared" si="321"/>
        <v>0</v>
      </c>
      <c r="AX564" s="49">
        <f t="shared" si="322"/>
        <v>0</v>
      </c>
      <c r="AY564" s="49">
        <f t="shared" si="323"/>
        <v>0</v>
      </c>
      <c r="AZ564" s="49">
        <f t="shared" si="324"/>
        <v>1</v>
      </c>
      <c r="BA564" s="49">
        <f t="shared" si="325"/>
        <v>0</v>
      </c>
      <c r="BB564" s="49">
        <f t="shared" si="326"/>
        <v>0</v>
      </c>
      <c r="BC564" s="49">
        <f t="shared" si="327"/>
        <v>0</v>
      </c>
      <c r="BD564" s="49">
        <f t="shared" si="328"/>
        <v>1</v>
      </c>
      <c r="BE564" s="49">
        <f t="shared" si="329"/>
        <v>0</v>
      </c>
      <c r="BF564" s="49">
        <f t="shared" si="330"/>
        <v>0</v>
      </c>
      <c r="BG564" s="49">
        <f t="shared" si="331"/>
        <v>0</v>
      </c>
      <c r="BH564" s="49">
        <f t="shared" si="332"/>
        <v>1</v>
      </c>
      <c r="BI564" s="49">
        <f t="shared" si="333"/>
        <v>0</v>
      </c>
      <c r="BJ564" s="49">
        <f t="shared" si="334"/>
        <v>0</v>
      </c>
      <c r="BK564" s="49">
        <f t="shared" si="335"/>
        <v>0</v>
      </c>
      <c r="BL564" s="49">
        <f t="shared" si="336"/>
        <v>0</v>
      </c>
      <c r="BM564" s="49">
        <f t="shared" si="337"/>
        <v>1</v>
      </c>
      <c r="BN564" s="49">
        <f t="shared" si="338"/>
        <v>0</v>
      </c>
      <c r="BO564" s="49">
        <f t="shared" si="339"/>
        <v>0</v>
      </c>
      <c r="BP564" s="49">
        <f t="shared" si="340"/>
        <v>1</v>
      </c>
      <c r="BQ564" s="49">
        <f t="shared" si="341"/>
        <v>0</v>
      </c>
      <c r="BR564" s="49">
        <f t="shared" si="342"/>
        <v>0</v>
      </c>
      <c r="BS564" s="49">
        <f t="shared" si="343"/>
        <v>0</v>
      </c>
      <c r="BT564" s="49">
        <f t="shared" si="344"/>
        <v>1</v>
      </c>
      <c r="BU564" s="49">
        <f t="shared" si="345"/>
        <v>0</v>
      </c>
      <c r="BV564" s="49">
        <f t="shared" si="346"/>
        <v>0</v>
      </c>
      <c r="BW564" s="49">
        <f t="shared" si="347"/>
        <v>0</v>
      </c>
      <c r="BX564" s="49">
        <f t="shared" si="348"/>
        <v>0</v>
      </c>
      <c r="BY564" s="49">
        <f t="shared" si="349"/>
        <v>1</v>
      </c>
      <c r="BZ564" s="49">
        <f t="shared" si="350"/>
        <v>0</v>
      </c>
      <c r="CA564" s="49">
        <f t="shared" si="351"/>
        <v>0</v>
      </c>
      <c r="CB564" s="49">
        <f t="shared" si="352"/>
        <v>0</v>
      </c>
      <c r="CC564" s="49">
        <f t="shared" si="353"/>
        <v>1</v>
      </c>
      <c r="CD564" s="49">
        <f t="shared" si="354"/>
        <v>0</v>
      </c>
      <c r="CE564" s="49">
        <f t="shared" si="355"/>
        <v>0</v>
      </c>
    </row>
    <row r="565" spans="1:83" ht="35.1" customHeight="1" x14ac:dyDescent="0.3">
      <c r="A565" s="123" t="str">
        <f t="shared" si="356"/>
        <v>5팀</v>
      </c>
      <c r="B565" s="69">
        <f t="shared" si="357"/>
        <v>559</v>
      </c>
      <c r="C565" s="120" t="str">
        <f>IF(VLOOKUP($B565,'1. 현장별 인원현황'!$C:$J,2,0)=0,"",VLOOKUP($B565,'1. 현장별 인원현황'!$C:$J,2,0))</f>
        <v xml:space="preserve"> [5.대광로제비앙] 평택 브레인시티 2블럭</v>
      </c>
      <c r="D565" s="70" t="str">
        <f>IF(VLOOKUP($B565,'1. 현장별 인원현황'!$C:$J,3,0)=0,"",VLOOKUP($B565,'1. 현장별 인원현황'!$C:$J,3,0))</f>
        <v>황경식</v>
      </c>
      <c r="E565" s="74" t="str">
        <f ca="1">IF(VLOOKUP($B565,'1. 현장별 인원현황'!$C:$J,4,0)=0,"",VLOOKUP($B565,'1. 현장별 인원현황'!$C:$J,4,0))</f>
        <v>33세</v>
      </c>
      <c r="F565" s="70" t="str">
        <f>IF(VLOOKUP($B565,'1. 현장별 인원현황'!$C:$J,7,0)=0,"",VLOOKUP($B565,'1. 현장별 인원현황'!$C:$J,7,0))</f>
        <v>공무</v>
      </c>
      <c r="G565" s="72" t="str">
        <f>IF(VLOOKUP($B565,'1. 현장별 인원현황'!$C:$J,8,0)=0,"",VLOOKUP($B565,'1. 현장별 인원현황'!$C:$J,8,0))</f>
        <v>과장</v>
      </c>
      <c r="H565" s="67"/>
      <c r="I565" s="73" t="s">
        <v>69</v>
      </c>
      <c r="J565" s="73"/>
      <c r="K565" s="68"/>
      <c r="L565" s="67"/>
      <c r="M565" s="73" t="s">
        <v>69</v>
      </c>
      <c r="N565" s="73"/>
      <c r="O565" s="68"/>
      <c r="P565" s="67"/>
      <c r="Q565" s="73"/>
      <c r="R565" s="73" t="s">
        <v>69</v>
      </c>
      <c r="S565" s="68"/>
      <c r="T565" s="67"/>
      <c r="U565" s="73" t="s">
        <v>69</v>
      </c>
      <c r="V565" s="73"/>
      <c r="W565" s="68"/>
      <c r="X565" s="67"/>
      <c r="Y565" s="73" t="s">
        <v>69</v>
      </c>
      <c r="Z565" s="73"/>
      <c r="AA565" s="68"/>
      <c r="AB565" s="67" t="s">
        <v>69</v>
      </c>
      <c r="AC565" s="73"/>
      <c r="AD565" s="73"/>
      <c r="AE565" s="68"/>
      <c r="AF565" s="67"/>
      <c r="AG565" s="73" t="s">
        <v>69</v>
      </c>
      <c r="AH565" s="73"/>
      <c r="AI565" s="68"/>
      <c r="AJ565" s="67"/>
      <c r="AK565" s="73" t="s">
        <v>69</v>
      </c>
      <c r="AL565" s="73"/>
      <c r="AM565" s="68"/>
      <c r="AN565" s="73" t="s">
        <v>69</v>
      </c>
      <c r="AO565" s="73"/>
      <c r="AP565" s="73"/>
      <c r="AQ565" s="68"/>
      <c r="AR565" s="67">
        <f t="shared" si="358"/>
        <v>79</v>
      </c>
      <c r="AS565" s="68" t="str">
        <f t="shared" si="359"/>
        <v>A</v>
      </c>
      <c r="AV565" s="49">
        <f t="shared" si="320"/>
        <v>0</v>
      </c>
      <c r="AW565" s="49">
        <f t="shared" si="321"/>
        <v>1</v>
      </c>
      <c r="AX565" s="49">
        <f t="shared" si="322"/>
        <v>0</v>
      </c>
      <c r="AY565" s="49">
        <f t="shared" si="323"/>
        <v>0</v>
      </c>
      <c r="AZ565" s="49">
        <f t="shared" si="324"/>
        <v>0</v>
      </c>
      <c r="BA565" s="49">
        <f t="shared" si="325"/>
        <v>1</v>
      </c>
      <c r="BB565" s="49">
        <f t="shared" si="326"/>
        <v>0</v>
      </c>
      <c r="BC565" s="49">
        <f t="shared" si="327"/>
        <v>0</v>
      </c>
      <c r="BD565" s="49">
        <f t="shared" si="328"/>
        <v>0</v>
      </c>
      <c r="BE565" s="49">
        <f t="shared" si="329"/>
        <v>0</v>
      </c>
      <c r="BF565" s="49">
        <f t="shared" si="330"/>
        <v>1</v>
      </c>
      <c r="BG565" s="49">
        <f t="shared" si="331"/>
        <v>0</v>
      </c>
      <c r="BH565" s="49">
        <f t="shared" si="332"/>
        <v>0</v>
      </c>
      <c r="BI565" s="49">
        <f t="shared" si="333"/>
        <v>1</v>
      </c>
      <c r="BJ565" s="49">
        <f t="shared" si="334"/>
        <v>0</v>
      </c>
      <c r="BK565" s="49">
        <f t="shared" si="335"/>
        <v>0</v>
      </c>
      <c r="BL565" s="49">
        <f t="shared" si="336"/>
        <v>0</v>
      </c>
      <c r="BM565" s="49">
        <f t="shared" si="337"/>
        <v>1</v>
      </c>
      <c r="BN565" s="49">
        <f t="shared" si="338"/>
        <v>0</v>
      </c>
      <c r="BO565" s="49">
        <f t="shared" si="339"/>
        <v>0</v>
      </c>
      <c r="BP565" s="49">
        <f t="shared" si="340"/>
        <v>1</v>
      </c>
      <c r="BQ565" s="49">
        <f t="shared" si="341"/>
        <v>0</v>
      </c>
      <c r="BR565" s="49">
        <f t="shared" si="342"/>
        <v>0</v>
      </c>
      <c r="BS565" s="49">
        <f t="shared" si="343"/>
        <v>0</v>
      </c>
      <c r="BT565" s="49">
        <f t="shared" si="344"/>
        <v>0</v>
      </c>
      <c r="BU565" s="49">
        <f t="shared" si="345"/>
        <v>1</v>
      </c>
      <c r="BV565" s="49">
        <f t="shared" si="346"/>
        <v>0</v>
      </c>
      <c r="BW565" s="49">
        <f t="shared" si="347"/>
        <v>0</v>
      </c>
      <c r="BX565" s="49">
        <f t="shared" si="348"/>
        <v>0</v>
      </c>
      <c r="BY565" s="49">
        <f t="shared" si="349"/>
        <v>1</v>
      </c>
      <c r="BZ565" s="49">
        <f t="shared" si="350"/>
        <v>0</v>
      </c>
      <c r="CA565" s="49">
        <f t="shared" si="351"/>
        <v>0</v>
      </c>
      <c r="CB565" s="49">
        <f t="shared" si="352"/>
        <v>1</v>
      </c>
      <c r="CC565" s="49">
        <f t="shared" si="353"/>
        <v>0</v>
      </c>
      <c r="CD565" s="49">
        <f t="shared" si="354"/>
        <v>0</v>
      </c>
      <c r="CE565" s="49">
        <f t="shared" si="355"/>
        <v>0</v>
      </c>
    </row>
    <row r="566" spans="1:83" ht="35.1" customHeight="1" x14ac:dyDescent="0.3">
      <c r="A566" s="123" t="str">
        <f t="shared" si="356"/>
        <v>5팀</v>
      </c>
      <c r="B566" s="69">
        <f t="shared" si="357"/>
        <v>560</v>
      </c>
      <c r="C566" s="120" t="str">
        <f>IF(VLOOKUP($B566,'1. 현장별 인원현황'!$C:$J,2,0)=0,"",VLOOKUP($B566,'1. 현장별 인원현황'!$C:$J,2,0))</f>
        <v xml:space="preserve"> [5.대광로제비앙] 평택 브레인시티 2블럭</v>
      </c>
      <c r="D566" s="70" t="str">
        <f>IF(VLOOKUP($B566,'1. 현장별 인원현황'!$C:$J,3,0)=0,"",VLOOKUP($B566,'1. 현장별 인원현황'!$C:$J,3,0))</f>
        <v>김세연</v>
      </c>
      <c r="E566" s="74" t="str">
        <f ca="1">IF(VLOOKUP($B566,'1. 현장별 인원현황'!$C:$J,4,0)=0,"",VLOOKUP($B566,'1. 현장별 인원현황'!$C:$J,4,0))</f>
        <v>46세</v>
      </c>
      <c r="F566" s="70" t="str">
        <f>IF(VLOOKUP($B566,'1. 현장별 인원현황'!$C:$J,7,0)=0,"",VLOOKUP($B566,'1. 현장별 인원현황'!$C:$J,7,0))</f>
        <v>공무</v>
      </c>
      <c r="G566" s="72" t="str">
        <f>IF(VLOOKUP($B566,'1. 현장별 인원현황'!$C:$J,8,0)=0,"",VLOOKUP($B566,'1. 현장별 인원현황'!$C:$J,8,0))</f>
        <v>대리</v>
      </c>
      <c r="H566" s="67" t="s">
        <v>69</v>
      </c>
      <c r="I566" s="73"/>
      <c r="J566" s="73"/>
      <c r="K566" s="68"/>
      <c r="L566" s="67" t="s">
        <v>69</v>
      </c>
      <c r="M566" s="73"/>
      <c r="N566" s="73"/>
      <c r="O566" s="68"/>
      <c r="P566" s="67" t="s">
        <v>69</v>
      </c>
      <c r="Q566" s="73"/>
      <c r="R566" s="73"/>
      <c r="S566" s="68"/>
      <c r="T566" s="67" t="s">
        <v>69</v>
      </c>
      <c r="U566" s="73"/>
      <c r="V566" s="73"/>
      <c r="W566" s="68"/>
      <c r="X566" s="67"/>
      <c r="Y566" s="73" t="s">
        <v>69</v>
      </c>
      <c r="Z566" s="73"/>
      <c r="AA566" s="68"/>
      <c r="AB566" s="67" t="s">
        <v>69</v>
      </c>
      <c r="AC566" s="73"/>
      <c r="AD566" s="73"/>
      <c r="AE566" s="68"/>
      <c r="AF566" s="67" t="s">
        <v>69</v>
      </c>
      <c r="AG566" s="73"/>
      <c r="AH566" s="73"/>
      <c r="AI566" s="68"/>
      <c r="AJ566" s="67"/>
      <c r="AK566" s="73" t="s">
        <v>69</v>
      </c>
      <c r="AL566" s="73"/>
      <c r="AM566" s="68"/>
      <c r="AN566" s="73" t="s">
        <v>69</v>
      </c>
      <c r="AO566" s="73"/>
      <c r="AP566" s="73"/>
      <c r="AQ566" s="68"/>
      <c r="AR566" s="67">
        <f t="shared" si="358"/>
        <v>95</v>
      </c>
      <c r="AS566" s="68" t="str">
        <f t="shared" si="359"/>
        <v>S</v>
      </c>
      <c r="AV566" s="49">
        <f t="shared" si="320"/>
        <v>1</v>
      </c>
      <c r="AW566" s="49">
        <f t="shared" si="321"/>
        <v>0</v>
      </c>
      <c r="AX566" s="49">
        <f t="shared" si="322"/>
        <v>0</v>
      </c>
      <c r="AY566" s="49">
        <f t="shared" si="323"/>
        <v>0</v>
      </c>
      <c r="AZ566" s="49">
        <f t="shared" si="324"/>
        <v>1</v>
      </c>
      <c r="BA566" s="49">
        <f t="shared" si="325"/>
        <v>0</v>
      </c>
      <c r="BB566" s="49">
        <f t="shared" si="326"/>
        <v>0</v>
      </c>
      <c r="BC566" s="49">
        <f t="shared" si="327"/>
        <v>0</v>
      </c>
      <c r="BD566" s="49">
        <f t="shared" si="328"/>
        <v>1</v>
      </c>
      <c r="BE566" s="49">
        <f t="shared" si="329"/>
        <v>0</v>
      </c>
      <c r="BF566" s="49">
        <f t="shared" si="330"/>
        <v>0</v>
      </c>
      <c r="BG566" s="49">
        <f t="shared" si="331"/>
        <v>0</v>
      </c>
      <c r="BH566" s="49">
        <f t="shared" si="332"/>
        <v>1</v>
      </c>
      <c r="BI566" s="49">
        <f t="shared" si="333"/>
        <v>0</v>
      </c>
      <c r="BJ566" s="49">
        <f t="shared" si="334"/>
        <v>0</v>
      </c>
      <c r="BK566" s="49">
        <f t="shared" si="335"/>
        <v>0</v>
      </c>
      <c r="BL566" s="49">
        <f t="shared" si="336"/>
        <v>0</v>
      </c>
      <c r="BM566" s="49">
        <f t="shared" si="337"/>
        <v>1</v>
      </c>
      <c r="BN566" s="49">
        <f t="shared" si="338"/>
        <v>0</v>
      </c>
      <c r="BO566" s="49">
        <f t="shared" si="339"/>
        <v>0</v>
      </c>
      <c r="BP566" s="49">
        <f t="shared" si="340"/>
        <v>1</v>
      </c>
      <c r="BQ566" s="49">
        <f t="shared" si="341"/>
        <v>0</v>
      </c>
      <c r="BR566" s="49">
        <f t="shared" si="342"/>
        <v>0</v>
      </c>
      <c r="BS566" s="49">
        <f t="shared" si="343"/>
        <v>0</v>
      </c>
      <c r="BT566" s="49">
        <f t="shared" si="344"/>
        <v>1</v>
      </c>
      <c r="BU566" s="49">
        <f t="shared" si="345"/>
        <v>0</v>
      </c>
      <c r="BV566" s="49">
        <f t="shared" si="346"/>
        <v>0</v>
      </c>
      <c r="BW566" s="49">
        <f t="shared" si="347"/>
        <v>0</v>
      </c>
      <c r="BX566" s="49">
        <f t="shared" si="348"/>
        <v>0</v>
      </c>
      <c r="BY566" s="49">
        <f t="shared" si="349"/>
        <v>1</v>
      </c>
      <c r="BZ566" s="49">
        <f t="shared" si="350"/>
        <v>0</v>
      </c>
      <c r="CA566" s="49">
        <f t="shared" si="351"/>
        <v>0</v>
      </c>
      <c r="CB566" s="49">
        <f t="shared" si="352"/>
        <v>1</v>
      </c>
      <c r="CC566" s="49">
        <f t="shared" si="353"/>
        <v>0</v>
      </c>
      <c r="CD566" s="49">
        <f t="shared" si="354"/>
        <v>0</v>
      </c>
      <c r="CE566" s="49">
        <f t="shared" si="355"/>
        <v>0</v>
      </c>
    </row>
    <row r="567" spans="1:83" ht="35.1" customHeight="1" x14ac:dyDescent="0.3">
      <c r="A567" s="123" t="str">
        <f t="shared" si="356"/>
        <v>5팀</v>
      </c>
      <c r="B567" s="69">
        <f t="shared" si="357"/>
        <v>561</v>
      </c>
      <c r="C567" s="120" t="str">
        <f>IF(VLOOKUP($B567,'1. 현장별 인원현황'!$C:$J,2,0)=0,"",VLOOKUP($B567,'1. 현장별 인원현황'!$C:$J,2,0))</f>
        <v xml:space="preserve"> [5.대광로제비앙] 평택 브레인시티 2블럭</v>
      </c>
      <c r="D567" s="70" t="str">
        <f>IF(VLOOKUP($B567,'1. 현장별 인원현황'!$C:$J,3,0)=0,"",VLOOKUP($B567,'1. 현장별 인원현황'!$C:$J,3,0))</f>
        <v>황대희</v>
      </c>
      <c r="E567" s="74" t="str">
        <f ca="1">IF(VLOOKUP($B567,'1. 현장별 인원현황'!$C:$J,4,0)=0,"",VLOOKUP($B567,'1. 현장별 인원현황'!$C:$J,4,0))</f>
        <v>47세</v>
      </c>
      <c r="F567" s="70" t="str">
        <f>IF(VLOOKUP($B567,'1. 현장별 인원현황'!$C:$J,7,0)=0,"",VLOOKUP($B567,'1. 현장별 인원현황'!$C:$J,7,0))</f>
        <v>공사</v>
      </c>
      <c r="G567" s="72" t="str">
        <f>IF(VLOOKUP($B567,'1. 현장별 인원현황'!$C:$J,8,0)=0,"",VLOOKUP($B567,'1. 현장별 인원현황'!$C:$J,8,0))</f>
        <v>차장</v>
      </c>
      <c r="H567" s="67"/>
      <c r="I567" s="73" t="s">
        <v>69</v>
      </c>
      <c r="J567" s="73"/>
      <c r="K567" s="68"/>
      <c r="L567" s="67"/>
      <c r="M567" s="73" t="s">
        <v>69</v>
      </c>
      <c r="N567" s="73"/>
      <c r="O567" s="68"/>
      <c r="P567" s="67"/>
      <c r="Q567" s="73" t="s">
        <v>69</v>
      </c>
      <c r="R567" s="73"/>
      <c r="S567" s="68"/>
      <c r="T567" s="67"/>
      <c r="U567" s="73" t="s">
        <v>69</v>
      </c>
      <c r="V567" s="73"/>
      <c r="W567" s="68"/>
      <c r="X567" s="67"/>
      <c r="Y567" s="73" t="s">
        <v>69</v>
      </c>
      <c r="Z567" s="73"/>
      <c r="AA567" s="68"/>
      <c r="AB567" s="67"/>
      <c r="AC567" s="73" t="s">
        <v>69</v>
      </c>
      <c r="AD567" s="73"/>
      <c r="AE567" s="68"/>
      <c r="AF567" s="67"/>
      <c r="AG567" s="73" t="s">
        <v>69</v>
      </c>
      <c r="AH567" s="73"/>
      <c r="AI567" s="68"/>
      <c r="AJ567" s="67"/>
      <c r="AK567" s="73" t="s">
        <v>69</v>
      </c>
      <c r="AL567" s="73"/>
      <c r="AM567" s="68"/>
      <c r="AN567" s="73"/>
      <c r="AO567" s="73" t="s">
        <v>69</v>
      </c>
      <c r="AP567" s="73"/>
      <c r="AQ567" s="68"/>
      <c r="AR567" s="67">
        <f t="shared" si="358"/>
        <v>77</v>
      </c>
      <c r="AS567" s="68" t="str">
        <f t="shared" si="359"/>
        <v>A</v>
      </c>
      <c r="AV567" s="49">
        <f t="shared" si="320"/>
        <v>0</v>
      </c>
      <c r="AW567" s="49">
        <f t="shared" si="321"/>
        <v>1</v>
      </c>
      <c r="AX567" s="49">
        <f t="shared" si="322"/>
        <v>0</v>
      </c>
      <c r="AY567" s="49">
        <f t="shared" si="323"/>
        <v>0</v>
      </c>
      <c r="AZ567" s="49">
        <f t="shared" si="324"/>
        <v>0</v>
      </c>
      <c r="BA567" s="49">
        <f t="shared" si="325"/>
        <v>1</v>
      </c>
      <c r="BB567" s="49">
        <f t="shared" si="326"/>
        <v>0</v>
      </c>
      <c r="BC567" s="49">
        <f t="shared" si="327"/>
        <v>0</v>
      </c>
      <c r="BD567" s="49">
        <f t="shared" si="328"/>
        <v>0</v>
      </c>
      <c r="BE567" s="49">
        <f t="shared" si="329"/>
        <v>1</v>
      </c>
      <c r="BF567" s="49">
        <f t="shared" si="330"/>
        <v>0</v>
      </c>
      <c r="BG567" s="49">
        <f t="shared" si="331"/>
        <v>0</v>
      </c>
      <c r="BH567" s="49">
        <f t="shared" si="332"/>
        <v>0</v>
      </c>
      <c r="BI567" s="49">
        <f t="shared" si="333"/>
        <v>1</v>
      </c>
      <c r="BJ567" s="49">
        <f t="shared" si="334"/>
        <v>0</v>
      </c>
      <c r="BK567" s="49">
        <f t="shared" si="335"/>
        <v>0</v>
      </c>
      <c r="BL567" s="49">
        <f t="shared" si="336"/>
        <v>0</v>
      </c>
      <c r="BM567" s="49">
        <f t="shared" si="337"/>
        <v>1</v>
      </c>
      <c r="BN567" s="49">
        <f t="shared" si="338"/>
        <v>0</v>
      </c>
      <c r="BO567" s="49">
        <f t="shared" si="339"/>
        <v>0</v>
      </c>
      <c r="BP567" s="49">
        <f t="shared" si="340"/>
        <v>0</v>
      </c>
      <c r="BQ567" s="49">
        <f t="shared" si="341"/>
        <v>1</v>
      </c>
      <c r="BR567" s="49">
        <f t="shared" si="342"/>
        <v>0</v>
      </c>
      <c r="BS567" s="49">
        <f t="shared" si="343"/>
        <v>0</v>
      </c>
      <c r="BT567" s="49">
        <f t="shared" si="344"/>
        <v>0</v>
      </c>
      <c r="BU567" s="49">
        <f t="shared" si="345"/>
        <v>1</v>
      </c>
      <c r="BV567" s="49">
        <f t="shared" si="346"/>
        <v>0</v>
      </c>
      <c r="BW567" s="49">
        <f t="shared" si="347"/>
        <v>0</v>
      </c>
      <c r="BX567" s="49">
        <f t="shared" si="348"/>
        <v>0</v>
      </c>
      <c r="BY567" s="49">
        <f t="shared" si="349"/>
        <v>1</v>
      </c>
      <c r="BZ567" s="49">
        <f t="shared" si="350"/>
        <v>0</v>
      </c>
      <c r="CA567" s="49">
        <f t="shared" si="351"/>
        <v>0</v>
      </c>
      <c r="CB567" s="49">
        <f t="shared" si="352"/>
        <v>0</v>
      </c>
      <c r="CC567" s="49">
        <f t="shared" si="353"/>
        <v>1</v>
      </c>
      <c r="CD567" s="49">
        <f t="shared" si="354"/>
        <v>0</v>
      </c>
      <c r="CE567" s="49">
        <f t="shared" si="355"/>
        <v>0</v>
      </c>
    </row>
    <row r="568" spans="1:83" ht="35.1" customHeight="1" x14ac:dyDescent="0.3">
      <c r="A568" s="123" t="str">
        <f t="shared" si="356"/>
        <v>5팀</v>
      </c>
      <c r="B568" s="69">
        <f t="shared" si="357"/>
        <v>562</v>
      </c>
      <c r="C568" s="120" t="str">
        <f>IF(VLOOKUP($B568,'1. 현장별 인원현황'!$C:$J,2,0)=0,"",VLOOKUP($B568,'1. 현장별 인원현황'!$C:$J,2,0))</f>
        <v xml:space="preserve"> [5.대광로제비앙] 평택 브레인시티 2블럭</v>
      </c>
      <c r="D568" s="70" t="str">
        <f>IF(VLOOKUP($B568,'1. 현장별 인원현황'!$C:$J,3,0)=0,"",VLOOKUP($B568,'1. 현장별 인원현황'!$C:$J,3,0))</f>
        <v>조동현</v>
      </c>
      <c r="E568" s="74" t="str">
        <f ca="1">IF(VLOOKUP($B568,'1. 현장별 인원현황'!$C:$J,4,0)=0,"",VLOOKUP($B568,'1. 현장별 인원현황'!$C:$J,4,0))</f>
        <v>60세</v>
      </c>
      <c r="F568" s="70" t="str">
        <f>IF(VLOOKUP($B568,'1. 현장별 인원현황'!$C:$J,7,0)=0,"",VLOOKUP($B568,'1. 현장별 인원현황'!$C:$J,7,0))</f>
        <v>기능공</v>
      </c>
      <c r="G568" s="72" t="str">
        <f>IF(VLOOKUP($B568,'1. 현장별 인원현황'!$C:$J,8,0)=0,"",VLOOKUP($B568,'1. 현장별 인원현황'!$C:$J,8,0))</f>
        <v>전공</v>
      </c>
      <c r="H568" s="67"/>
      <c r="I568" s="73" t="s">
        <v>69</v>
      </c>
      <c r="J568" s="73"/>
      <c r="K568" s="68"/>
      <c r="L568" s="67"/>
      <c r="M568" s="73" t="s">
        <v>69</v>
      </c>
      <c r="N568" s="73"/>
      <c r="O568" s="68"/>
      <c r="P568" s="67"/>
      <c r="Q568" s="73" t="s">
        <v>69</v>
      </c>
      <c r="R568" s="73"/>
      <c r="S568" s="68"/>
      <c r="T568" s="67"/>
      <c r="U568" s="73" t="s">
        <v>69</v>
      </c>
      <c r="V568" s="73"/>
      <c r="W568" s="68"/>
      <c r="X568" s="67"/>
      <c r="Y568" s="73" t="s">
        <v>69</v>
      </c>
      <c r="Z568" s="73"/>
      <c r="AA568" s="68"/>
      <c r="AB568" s="67"/>
      <c r="AC568" s="73" t="s">
        <v>69</v>
      </c>
      <c r="AD568" s="73"/>
      <c r="AE568" s="68"/>
      <c r="AF568" s="67"/>
      <c r="AG568" s="73" t="s">
        <v>69</v>
      </c>
      <c r="AH568" s="73"/>
      <c r="AI568" s="68"/>
      <c r="AJ568" s="67"/>
      <c r="AK568" s="73" t="s">
        <v>69</v>
      </c>
      <c r="AL568" s="73"/>
      <c r="AM568" s="68"/>
      <c r="AN568" s="73"/>
      <c r="AO568" s="73" t="s">
        <v>69</v>
      </c>
      <c r="AP568" s="73"/>
      <c r="AQ568" s="68"/>
      <c r="AR568" s="67">
        <f t="shared" si="358"/>
        <v>77</v>
      </c>
      <c r="AS568" s="68" t="str">
        <f t="shared" si="359"/>
        <v>A</v>
      </c>
      <c r="AV568" s="49">
        <f t="shared" si="320"/>
        <v>0</v>
      </c>
      <c r="AW568" s="49">
        <f t="shared" si="321"/>
        <v>1</v>
      </c>
      <c r="AX568" s="49">
        <f t="shared" si="322"/>
        <v>0</v>
      </c>
      <c r="AY568" s="49">
        <f t="shared" si="323"/>
        <v>0</v>
      </c>
      <c r="AZ568" s="49">
        <f t="shared" si="324"/>
        <v>0</v>
      </c>
      <c r="BA568" s="49">
        <f t="shared" si="325"/>
        <v>1</v>
      </c>
      <c r="BB568" s="49">
        <f t="shared" si="326"/>
        <v>0</v>
      </c>
      <c r="BC568" s="49">
        <f t="shared" si="327"/>
        <v>0</v>
      </c>
      <c r="BD568" s="49">
        <f t="shared" si="328"/>
        <v>0</v>
      </c>
      <c r="BE568" s="49">
        <f t="shared" si="329"/>
        <v>1</v>
      </c>
      <c r="BF568" s="49">
        <f t="shared" si="330"/>
        <v>0</v>
      </c>
      <c r="BG568" s="49">
        <f t="shared" si="331"/>
        <v>0</v>
      </c>
      <c r="BH568" s="49">
        <f t="shared" si="332"/>
        <v>0</v>
      </c>
      <c r="BI568" s="49">
        <f t="shared" si="333"/>
        <v>1</v>
      </c>
      <c r="BJ568" s="49">
        <f t="shared" si="334"/>
        <v>0</v>
      </c>
      <c r="BK568" s="49">
        <f t="shared" si="335"/>
        <v>0</v>
      </c>
      <c r="BL568" s="49">
        <f t="shared" si="336"/>
        <v>0</v>
      </c>
      <c r="BM568" s="49">
        <f t="shared" si="337"/>
        <v>1</v>
      </c>
      <c r="BN568" s="49">
        <f t="shared" si="338"/>
        <v>0</v>
      </c>
      <c r="BO568" s="49">
        <f t="shared" si="339"/>
        <v>0</v>
      </c>
      <c r="BP568" s="49">
        <f t="shared" si="340"/>
        <v>0</v>
      </c>
      <c r="BQ568" s="49">
        <f t="shared" si="341"/>
        <v>1</v>
      </c>
      <c r="BR568" s="49">
        <f t="shared" si="342"/>
        <v>0</v>
      </c>
      <c r="BS568" s="49">
        <f t="shared" si="343"/>
        <v>0</v>
      </c>
      <c r="BT568" s="49">
        <f t="shared" si="344"/>
        <v>0</v>
      </c>
      <c r="BU568" s="49">
        <f t="shared" si="345"/>
        <v>1</v>
      </c>
      <c r="BV568" s="49">
        <f t="shared" si="346"/>
        <v>0</v>
      </c>
      <c r="BW568" s="49">
        <f t="shared" si="347"/>
        <v>0</v>
      </c>
      <c r="BX568" s="49">
        <f t="shared" si="348"/>
        <v>0</v>
      </c>
      <c r="BY568" s="49">
        <f t="shared" si="349"/>
        <v>1</v>
      </c>
      <c r="BZ568" s="49">
        <f t="shared" si="350"/>
        <v>0</v>
      </c>
      <c r="CA568" s="49">
        <f t="shared" si="351"/>
        <v>0</v>
      </c>
      <c r="CB568" s="49">
        <f t="shared" si="352"/>
        <v>0</v>
      </c>
      <c r="CC568" s="49">
        <f t="shared" si="353"/>
        <v>1</v>
      </c>
      <c r="CD568" s="49">
        <f t="shared" si="354"/>
        <v>0</v>
      </c>
      <c r="CE568" s="49">
        <f t="shared" si="355"/>
        <v>0</v>
      </c>
    </row>
    <row r="569" spans="1:83" ht="35.1" customHeight="1" x14ac:dyDescent="0.3">
      <c r="A569" s="123" t="str">
        <f t="shared" si="356"/>
        <v>5팀</v>
      </c>
      <c r="B569" s="69">
        <f t="shared" si="357"/>
        <v>563</v>
      </c>
      <c r="C569" s="120" t="str">
        <f>IF(VLOOKUP($B569,'1. 현장별 인원현황'!$C:$J,2,0)=0,"",VLOOKUP($B569,'1. 현장별 인원현황'!$C:$J,2,0))</f>
        <v xml:space="preserve"> [5.대광로제비앙] 평택 브레인시티 2블럭</v>
      </c>
      <c r="D569" s="70" t="str">
        <f>IF(VLOOKUP($B569,'1. 현장별 인원현황'!$C:$J,3,0)=0,"",VLOOKUP($B569,'1. 현장별 인원현황'!$C:$J,3,0))</f>
        <v>김용관</v>
      </c>
      <c r="E569" s="74" t="str">
        <f ca="1">IF(VLOOKUP($B569,'1. 현장별 인원현황'!$C:$J,4,0)=0,"",VLOOKUP($B569,'1. 현장별 인원현황'!$C:$J,4,0))</f>
        <v>44세</v>
      </c>
      <c r="F569" s="70" t="str">
        <f>IF(VLOOKUP($B569,'1. 현장별 인원현황'!$C:$J,7,0)=0,"",VLOOKUP($B569,'1. 현장별 인원현황'!$C:$J,7,0))</f>
        <v>기능공</v>
      </c>
      <c r="G569" s="72" t="str">
        <f>IF(VLOOKUP($B569,'1. 현장별 인원현황'!$C:$J,8,0)=0,"",VLOOKUP($B569,'1. 현장별 인원현황'!$C:$J,8,0))</f>
        <v>전공</v>
      </c>
      <c r="H569" s="67"/>
      <c r="I569" s="73" t="s">
        <v>69</v>
      </c>
      <c r="J569" s="73"/>
      <c r="K569" s="68"/>
      <c r="L569" s="67"/>
      <c r="M569" s="73" t="s">
        <v>69</v>
      </c>
      <c r="N569" s="73"/>
      <c r="O569" s="68"/>
      <c r="P569" s="67"/>
      <c r="Q569" s="73" t="s">
        <v>69</v>
      </c>
      <c r="R569" s="73"/>
      <c r="S569" s="68"/>
      <c r="T569" s="67"/>
      <c r="U569" s="73" t="s">
        <v>69</v>
      </c>
      <c r="V569" s="73"/>
      <c r="W569" s="68"/>
      <c r="X569" s="67"/>
      <c r="Y569" s="73" t="s">
        <v>69</v>
      </c>
      <c r="Z569" s="73"/>
      <c r="AA569" s="68"/>
      <c r="AB569" s="67"/>
      <c r="AC569" s="73" t="s">
        <v>69</v>
      </c>
      <c r="AD569" s="73"/>
      <c r="AE569" s="68"/>
      <c r="AF569" s="67"/>
      <c r="AG569" s="73" t="s">
        <v>69</v>
      </c>
      <c r="AH569" s="73"/>
      <c r="AI569" s="68"/>
      <c r="AJ569" s="67"/>
      <c r="AK569" s="73" t="s">
        <v>69</v>
      </c>
      <c r="AL569" s="73"/>
      <c r="AM569" s="68"/>
      <c r="AN569" s="73"/>
      <c r="AO569" s="73" t="s">
        <v>69</v>
      </c>
      <c r="AP569" s="73"/>
      <c r="AQ569" s="68"/>
      <c r="AR569" s="67">
        <f t="shared" si="358"/>
        <v>77</v>
      </c>
      <c r="AS569" s="68" t="str">
        <f t="shared" si="359"/>
        <v>A</v>
      </c>
      <c r="AV569" s="49">
        <f t="shared" si="320"/>
        <v>0</v>
      </c>
      <c r="AW569" s="49">
        <f t="shared" si="321"/>
        <v>1</v>
      </c>
      <c r="AX569" s="49">
        <f t="shared" si="322"/>
        <v>0</v>
      </c>
      <c r="AY569" s="49">
        <f t="shared" si="323"/>
        <v>0</v>
      </c>
      <c r="AZ569" s="49">
        <f t="shared" si="324"/>
        <v>0</v>
      </c>
      <c r="BA569" s="49">
        <f t="shared" si="325"/>
        <v>1</v>
      </c>
      <c r="BB569" s="49">
        <f t="shared" si="326"/>
        <v>0</v>
      </c>
      <c r="BC569" s="49">
        <f t="shared" si="327"/>
        <v>0</v>
      </c>
      <c r="BD569" s="49">
        <f t="shared" si="328"/>
        <v>0</v>
      </c>
      <c r="BE569" s="49">
        <f t="shared" si="329"/>
        <v>1</v>
      </c>
      <c r="BF569" s="49">
        <f t="shared" si="330"/>
        <v>0</v>
      </c>
      <c r="BG569" s="49">
        <f t="shared" si="331"/>
        <v>0</v>
      </c>
      <c r="BH569" s="49">
        <f t="shared" si="332"/>
        <v>0</v>
      </c>
      <c r="BI569" s="49">
        <f t="shared" si="333"/>
        <v>1</v>
      </c>
      <c r="BJ569" s="49">
        <f t="shared" si="334"/>
        <v>0</v>
      </c>
      <c r="BK569" s="49">
        <f t="shared" si="335"/>
        <v>0</v>
      </c>
      <c r="BL569" s="49">
        <f t="shared" si="336"/>
        <v>0</v>
      </c>
      <c r="BM569" s="49">
        <f t="shared" si="337"/>
        <v>1</v>
      </c>
      <c r="BN569" s="49">
        <f t="shared" si="338"/>
        <v>0</v>
      </c>
      <c r="BO569" s="49">
        <f t="shared" si="339"/>
        <v>0</v>
      </c>
      <c r="BP569" s="49">
        <f t="shared" si="340"/>
        <v>0</v>
      </c>
      <c r="BQ569" s="49">
        <f t="shared" si="341"/>
        <v>1</v>
      </c>
      <c r="BR569" s="49">
        <f t="shared" si="342"/>
        <v>0</v>
      </c>
      <c r="BS569" s="49">
        <f t="shared" si="343"/>
        <v>0</v>
      </c>
      <c r="BT569" s="49">
        <f t="shared" si="344"/>
        <v>0</v>
      </c>
      <c r="BU569" s="49">
        <f t="shared" si="345"/>
        <v>1</v>
      </c>
      <c r="BV569" s="49">
        <f t="shared" si="346"/>
        <v>0</v>
      </c>
      <c r="BW569" s="49">
        <f t="shared" si="347"/>
        <v>0</v>
      </c>
      <c r="BX569" s="49">
        <f t="shared" si="348"/>
        <v>0</v>
      </c>
      <c r="BY569" s="49">
        <f t="shared" si="349"/>
        <v>1</v>
      </c>
      <c r="BZ569" s="49">
        <f t="shared" si="350"/>
        <v>0</v>
      </c>
      <c r="CA569" s="49">
        <f t="shared" si="351"/>
        <v>0</v>
      </c>
      <c r="CB569" s="49">
        <f t="shared" si="352"/>
        <v>0</v>
      </c>
      <c r="CC569" s="49">
        <f t="shared" si="353"/>
        <v>1</v>
      </c>
      <c r="CD569" s="49">
        <f t="shared" si="354"/>
        <v>0</v>
      </c>
      <c r="CE569" s="49">
        <f t="shared" si="355"/>
        <v>0</v>
      </c>
    </row>
    <row r="570" spans="1:83" ht="35.1" customHeight="1" x14ac:dyDescent="0.3">
      <c r="A570" s="123" t="str">
        <f t="shared" si="356"/>
        <v>5팀</v>
      </c>
      <c r="B570" s="69">
        <f t="shared" si="357"/>
        <v>564</v>
      </c>
      <c r="C570" s="120" t="str">
        <f>IF(VLOOKUP($B570,'1. 현장별 인원현황'!$C:$J,2,0)=0,"",VLOOKUP($B570,'1. 현장별 인원현황'!$C:$J,2,0))</f>
        <v xml:space="preserve"> [5.대광로제비앙] 평택 브레인시티 2블럭</v>
      </c>
      <c r="D570" s="70" t="str">
        <f>IF(VLOOKUP($B570,'1. 현장별 인원현황'!$C:$J,3,0)=0,"",VLOOKUP($B570,'1. 현장별 인원현황'!$C:$J,3,0))</f>
        <v>송석빈</v>
      </c>
      <c r="E570" s="74" t="str">
        <f ca="1">IF(VLOOKUP($B570,'1. 현장별 인원현황'!$C:$J,4,0)=0,"",VLOOKUP($B570,'1. 현장별 인원현황'!$C:$J,4,0))</f>
        <v>34세</v>
      </c>
      <c r="F570" s="70" t="str">
        <f>IF(VLOOKUP($B570,'1. 현장별 인원현황'!$C:$J,7,0)=0,"",VLOOKUP($B570,'1. 현장별 인원현황'!$C:$J,7,0))</f>
        <v>기능공</v>
      </c>
      <c r="G570" s="72" t="str">
        <f>IF(VLOOKUP($B570,'1. 현장별 인원현황'!$C:$J,8,0)=0,"",VLOOKUP($B570,'1. 현장별 인원현황'!$C:$J,8,0))</f>
        <v>전공</v>
      </c>
      <c r="H570" s="67"/>
      <c r="I570" s="73" t="s">
        <v>69</v>
      </c>
      <c r="J570" s="73"/>
      <c r="K570" s="68"/>
      <c r="L570" s="67"/>
      <c r="M570" s="73" t="s">
        <v>69</v>
      </c>
      <c r="N570" s="73"/>
      <c r="O570" s="68"/>
      <c r="P570" s="67"/>
      <c r="Q570" s="73" t="s">
        <v>69</v>
      </c>
      <c r="R570" s="73"/>
      <c r="S570" s="68"/>
      <c r="T570" s="67"/>
      <c r="U570" s="73" t="s">
        <v>69</v>
      </c>
      <c r="V570" s="73"/>
      <c r="W570" s="68"/>
      <c r="X570" s="67"/>
      <c r="Y570" s="73" t="s">
        <v>69</v>
      </c>
      <c r="Z570" s="73"/>
      <c r="AA570" s="68"/>
      <c r="AB570" s="67"/>
      <c r="AC570" s="73" t="s">
        <v>69</v>
      </c>
      <c r="AD570" s="73"/>
      <c r="AE570" s="68"/>
      <c r="AF570" s="67"/>
      <c r="AG570" s="73" t="s">
        <v>69</v>
      </c>
      <c r="AH570" s="73"/>
      <c r="AI570" s="68"/>
      <c r="AJ570" s="67"/>
      <c r="AK570" s="73" t="s">
        <v>69</v>
      </c>
      <c r="AL570" s="73"/>
      <c r="AM570" s="68"/>
      <c r="AN570" s="73"/>
      <c r="AO570" s="73" t="s">
        <v>69</v>
      </c>
      <c r="AP570" s="73"/>
      <c r="AQ570" s="68"/>
      <c r="AR570" s="67">
        <f t="shared" si="358"/>
        <v>77</v>
      </c>
      <c r="AS570" s="68" t="str">
        <f t="shared" si="359"/>
        <v>A</v>
      </c>
      <c r="AV570" s="49">
        <f t="shared" si="320"/>
        <v>0</v>
      </c>
      <c r="AW570" s="49">
        <f t="shared" si="321"/>
        <v>1</v>
      </c>
      <c r="AX570" s="49">
        <f t="shared" si="322"/>
        <v>0</v>
      </c>
      <c r="AY570" s="49">
        <f t="shared" si="323"/>
        <v>0</v>
      </c>
      <c r="AZ570" s="49">
        <f t="shared" si="324"/>
        <v>0</v>
      </c>
      <c r="BA570" s="49">
        <f t="shared" si="325"/>
        <v>1</v>
      </c>
      <c r="BB570" s="49">
        <f t="shared" si="326"/>
        <v>0</v>
      </c>
      <c r="BC570" s="49">
        <f t="shared" si="327"/>
        <v>0</v>
      </c>
      <c r="BD570" s="49">
        <f t="shared" si="328"/>
        <v>0</v>
      </c>
      <c r="BE570" s="49">
        <f t="shared" si="329"/>
        <v>1</v>
      </c>
      <c r="BF570" s="49">
        <f t="shared" si="330"/>
        <v>0</v>
      </c>
      <c r="BG570" s="49">
        <f t="shared" si="331"/>
        <v>0</v>
      </c>
      <c r="BH570" s="49">
        <f t="shared" si="332"/>
        <v>0</v>
      </c>
      <c r="BI570" s="49">
        <f t="shared" si="333"/>
        <v>1</v>
      </c>
      <c r="BJ570" s="49">
        <f t="shared" si="334"/>
        <v>0</v>
      </c>
      <c r="BK570" s="49">
        <f t="shared" si="335"/>
        <v>0</v>
      </c>
      <c r="BL570" s="49">
        <f t="shared" si="336"/>
        <v>0</v>
      </c>
      <c r="BM570" s="49">
        <f t="shared" si="337"/>
        <v>1</v>
      </c>
      <c r="BN570" s="49">
        <f t="shared" si="338"/>
        <v>0</v>
      </c>
      <c r="BO570" s="49">
        <f t="shared" si="339"/>
        <v>0</v>
      </c>
      <c r="BP570" s="49">
        <f t="shared" si="340"/>
        <v>0</v>
      </c>
      <c r="BQ570" s="49">
        <f t="shared" si="341"/>
        <v>1</v>
      </c>
      <c r="BR570" s="49">
        <f t="shared" si="342"/>
        <v>0</v>
      </c>
      <c r="BS570" s="49">
        <f t="shared" si="343"/>
        <v>0</v>
      </c>
      <c r="BT570" s="49">
        <f t="shared" si="344"/>
        <v>0</v>
      </c>
      <c r="BU570" s="49">
        <f t="shared" si="345"/>
        <v>1</v>
      </c>
      <c r="BV570" s="49">
        <f t="shared" si="346"/>
        <v>0</v>
      </c>
      <c r="BW570" s="49">
        <f t="shared" si="347"/>
        <v>0</v>
      </c>
      <c r="BX570" s="49">
        <f t="shared" si="348"/>
        <v>0</v>
      </c>
      <c r="BY570" s="49">
        <f t="shared" si="349"/>
        <v>1</v>
      </c>
      <c r="BZ570" s="49">
        <f t="shared" si="350"/>
        <v>0</v>
      </c>
      <c r="CA570" s="49">
        <f t="shared" si="351"/>
        <v>0</v>
      </c>
      <c r="CB570" s="49">
        <f t="shared" si="352"/>
        <v>0</v>
      </c>
      <c r="CC570" s="49">
        <f t="shared" si="353"/>
        <v>1</v>
      </c>
      <c r="CD570" s="49">
        <f t="shared" si="354"/>
        <v>0</v>
      </c>
      <c r="CE570" s="49">
        <f t="shared" si="355"/>
        <v>0</v>
      </c>
    </row>
    <row r="571" spans="1:83" ht="35.1" customHeight="1" x14ac:dyDescent="0.3">
      <c r="A571" s="123" t="str">
        <f t="shared" si="356"/>
        <v>5팀</v>
      </c>
      <c r="B571" s="69">
        <f t="shared" si="357"/>
        <v>565</v>
      </c>
      <c r="C571" s="120" t="str">
        <f>IF(VLOOKUP($B571,'1. 현장별 인원현황'!$C:$J,2,0)=0,"",VLOOKUP($B571,'1. 현장별 인원현황'!$C:$J,2,0))</f>
        <v xml:space="preserve"> [5.대광로제비앙] 평택 브레인시티 2블럭</v>
      </c>
      <c r="D571" s="70" t="str">
        <f>IF(VLOOKUP($B571,'1. 현장별 인원현황'!$C:$J,3,0)=0,"",VLOOKUP($B571,'1. 현장별 인원현황'!$C:$J,3,0))</f>
        <v>김태연</v>
      </c>
      <c r="E571" s="74" t="str">
        <f ca="1">IF(VLOOKUP($B571,'1. 현장별 인원현황'!$C:$J,4,0)=0,"",VLOOKUP($B571,'1. 현장별 인원현황'!$C:$J,4,0))</f>
        <v>32세</v>
      </c>
      <c r="F571" s="70" t="str">
        <f>IF(VLOOKUP($B571,'1. 현장별 인원현황'!$C:$J,7,0)=0,"",VLOOKUP($B571,'1. 현장별 인원현황'!$C:$J,7,0))</f>
        <v>기능공</v>
      </c>
      <c r="G571" s="72" t="str">
        <f>IF(VLOOKUP($B571,'1. 현장별 인원현황'!$C:$J,8,0)=0,"",VLOOKUP($B571,'1. 현장별 인원현황'!$C:$J,8,0))</f>
        <v>전공</v>
      </c>
      <c r="H571" s="67"/>
      <c r="I571" s="73" t="s">
        <v>69</v>
      </c>
      <c r="J571" s="73"/>
      <c r="K571" s="68"/>
      <c r="L571" s="67"/>
      <c r="M571" s="73" t="s">
        <v>69</v>
      </c>
      <c r="N571" s="73"/>
      <c r="O571" s="68"/>
      <c r="P571" s="67"/>
      <c r="Q571" s="73" t="s">
        <v>69</v>
      </c>
      <c r="R571" s="73"/>
      <c r="S571" s="68"/>
      <c r="T571" s="67"/>
      <c r="U571" s="73" t="s">
        <v>69</v>
      </c>
      <c r="V571" s="73"/>
      <c r="W571" s="68"/>
      <c r="X571" s="67"/>
      <c r="Y571" s="73" t="s">
        <v>69</v>
      </c>
      <c r="Z571" s="73"/>
      <c r="AA571" s="68"/>
      <c r="AB571" s="67"/>
      <c r="AC571" s="73" t="s">
        <v>69</v>
      </c>
      <c r="AD571" s="73"/>
      <c r="AE571" s="68"/>
      <c r="AF571" s="67"/>
      <c r="AG571" s="73" t="s">
        <v>69</v>
      </c>
      <c r="AH571" s="73"/>
      <c r="AI571" s="68"/>
      <c r="AJ571" s="67"/>
      <c r="AK571" s="73" t="s">
        <v>69</v>
      </c>
      <c r="AL571" s="73"/>
      <c r="AM571" s="68"/>
      <c r="AN571" s="73"/>
      <c r="AO571" s="73" t="s">
        <v>69</v>
      </c>
      <c r="AP571" s="73"/>
      <c r="AQ571" s="68"/>
      <c r="AR571" s="67">
        <f t="shared" si="358"/>
        <v>77</v>
      </c>
      <c r="AS571" s="68" t="str">
        <f t="shared" si="359"/>
        <v>A</v>
      </c>
      <c r="AV571" s="49">
        <f t="shared" si="320"/>
        <v>0</v>
      </c>
      <c r="AW571" s="49">
        <f t="shared" si="321"/>
        <v>1</v>
      </c>
      <c r="AX571" s="49">
        <f t="shared" si="322"/>
        <v>0</v>
      </c>
      <c r="AY571" s="49">
        <f t="shared" si="323"/>
        <v>0</v>
      </c>
      <c r="AZ571" s="49">
        <f t="shared" si="324"/>
        <v>0</v>
      </c>
      <c r="BA571" s="49">
        <f t="shared" si="325"/>
        <v>1</v>
      </c>
      <c r="BB571" s="49">
        <f t="shared" si="326"/>
        <v>0</v>
      </c>
      <c r="BC571" s="49">
        <f t="shared" si="327"/>
        <v>0</v>
      </c>
      <c r="BD571" s="49">
        <f t="shared" si="328"/>
        <v>0</v>
      </c>
      <c r="BE571" s="49">
        <f t="shared" si="329"/>
        <v>1</v>
      </c>
      <c r="BF571" s="49">
        <f t="shared" si="330"/>
        <v>0</v>
      </c>
      <c r="BG571" s="49">
        <f t="shared" si="331"/>
        <v>0</v>
      </c>
      <c r="BH571" s="49">
        <f t="shared" si="332"/>
        <v>0</v>
      </c>
      <c r="BI571" s="49">
        <f t="shared" si="333"/>
        <v>1</v>
      </c>
      <c r="BJ571" s="49">
        <f t="shared" si="334"/>
        <v>0</v>
      </c>
      <c r="BK571" s="49">
        <f t="shared" si="335"/>
        <v>0</v>
      </c>
      <c r="BL571" s="49">
        <f t="shared" si="336"/>
        <v>0</v>
      </c>
      <c r="BM571" s="49">
        <f t="shared" si="337"/>
        <v>1</v>
      </c>
      <c r="BN571" s="49">
        <f t="shared" si="338"/>
        <v>0</v>
      </c>
      <c r="BO571" s="49">
        <f t="shared" si="339"/>
        <v>0</v>
      </c>
      <c r="BP571" s="49">
        <f t="shared" si="340"/>
        <v>0</v>
      </c>
      <c r="BQ571" s="49">
        <f t="shared" si="341"/>
        <v>1</v>
      </c>
      <c r="BR571" s="49">
        <f t="shared" si="342"/>
        <v>0</v>
      </c>
      <c r="BS571" s="49">
        <f t="shared" si="343"/>
        <v>0</v>
      </c>
      <c r="BT571" s="49">
        <f t="shared" si="344"/>
        <v>0</v>
      </c>
      <c r="BU571" s="49">
        <f t="shared" si="345"/>
        <v>1</v>
      </c>
      <c r="BV571" s="49">
        <f t="shared" si="346"/>
        <v>0</v>
      </c>
      <c r="BW571" s="49">
        <f t="shared" si="347"/>
        <v>0</v>
      </c>
      <c r="BX571" s="49">
        <f t="shared" si="348"/>
        <v>0</v>
      </c>
      <c r="BY571" s="49">
        <f t="shared" si="349"/>
        <v>1</v>
      </c>
      <c r="BZ571" s="49">
        <f t="shared" si="350"/>
        <v>0</v>
      </c>
      <c r="CA571" s="49">
        <f t="shared" si="351"/>
        <v>0</v>
      </c>
      <c r="CB571" s="49">
        <f t="shared" si="352"/>
        <v>0</v>
      </c>
      <c r="CC571" s="49">
        <f t="shared" si="353"/>
        <v>1</v>
      </c>
      <c r="CD571" s="49">
        <f t="shared" si="354"/>
        <v>0</v>
      </c>
      <c r="CE571" s="49">
        <f t="shared" si="355"/>
        <v>0</v>
      </c>
    </row>
    <row r="572" spans="1:83" ht="35.1" customHeight="1" x14ac:dyDescent="0.3">
      <c r="A572" s="123" t="str">
        <f t="shared" si="356"/>
        <v>5팀</v>
      </c>
      <c r="B572" s="69">
        <f t="shared" si="357"/>
        <v>566</v>
      </c>
      <c r="C572" s="120" t="str">
        <f>IF(VLOOKUP($B572,'1. 현장별 인원현황'!$C:$J,2,0)=0,"",VLOOKUP($B572,'1. 현장별 인원현황'!$C:$J,2,0))</f>
        <v xml:space="preserve"> [5.대광로제비앙] 평택 브레인시티 2블럭</v>
      </c>
      <c r="D572" s="70" t="str">
        <f>IF(VLOOKUP($B572,'1. 현장별 인원현황'!$C:$J,3,0)=0,"",VLOOKUP($B572,'1. 현장별 인원현황'!$C:$J,3,0))</f>
        <v>김동필</v>
      </c>
      <c r="E572" s="74" t="str">
        <f ca="1">IF(VLOOKUP($B572,'1. 현장별 인원현황'!$C:$J,4,0)=0,"",VLOOKUP($B572,'1. 현장별 인원현황'!$C:$J,4,0))</f>
        <v>55세</v>
      </c>
      <c r="F572" s="70" t="str">
        <f>IF(VLOOKUP($B572,'1. 현장별 인원현황'!$C:$J,7,0)=0,"",VLOOKUP($B572,'1. 현장별 인원현황'!$C:$J,7,0))</f>
        <v>기능공</v>
      </c>
      <c r="G572" s="72" t="str">
        <f>IF(VLOOKUP($B572,'1. 현장별 인원현황'!$C:$J,8,0)=0,"",VLOOKUP($B572,'1. 현장별 인원현황'!$C:$J,8,0))</f>
        <v>전공</v>
      </c>
      <c r="H572" s="67" t="s">
        <v>69</v>
      </c>
      <c r="I572" s="73"/>
      <c r="J572" s="73"/>
      <c r="K572" s="68"/>
      <c r="L572" s="67" t="s">
        <v>69</v>
      </c>
      <c r="M572" s="73"/>
      <c r="N572" s="73"/>
      <c r="O572" s="68"/>
      <c r="P572" s="67" t="s">
        <v>69</v>
      </c>
      <c r="Q572" s="73"/>
      <c r="R572" s="73"/>
      <c r="S572" s="68"/>
      <c r="T572" s="67" t="s">
        <v>69</v>
      </c>
      <c r="U572" s="73"/>
      <c r="V572" s="73"/>
      <c r="W572" s="68"/>
      <c r="X572" s="67" t="s">
        <v>69</v>
      </c>
      <c r="Y572" s="73"/>
      <c r="Z572" s="73"/>
      <c r="AA572" s="68"/>
      <c r="AB572" s="67" t="s">
        <v>69</v>
      </c>
      <c r="AC572" s="73"/>
      <c r="AD572" s="73"/>
      <c r="AE572" s="68"/>
      <c r="AF572" s="67" t="s">
        <v>69</v>
      </c>
      <c r="AG572" s="73"/>
      <c r="AH572" s="73"/>
      <c r="AI572" s="68"/>
      <c r="AJ572" s="67" t="s">
        <v>69</v>
      </c>
      <c r="AK572" s="73"/>
      <c r="AL572" s="73"/>
      <c r="AM572" s="68"/>
      <c r="AN572" s="73" t="s">
        <v>69</v>
      </c>
      <c r="AO572" s="73"/>
      <c r="AP572" s="73"/>
      <c r="AQ572" s="68"/>
      <c r="AR572" s="67">
        <f t="shared" si="358"/>
        <v>100</v>
      </c>
      <c r="AS572" s="68" t="str">
        <f t="shared" si="359"/>
        <v>S</v>
      </c>
      <c r="AV572" s="49">
        <f t="shared" si="320"/>
        <v>1</v>
      </c>
      <c r="AW572" s="49">
        <f t="shared" si="321"/>
        <v>0</v>
      </c>
      <c r="AX572" s="49">
        <f t="shared" si="322"/>
        <v>0</v>
      </c>
      <c r="AY572" s="49">
        <f t="shared" si="323"/>
        <v>0</v>
      </c>
      <c r="AZ572" s="49">
        <f t="shared" si="324"/>
        <v>1</v>
      </c>
      <c r="BA572" s="49">
        <f t="shared" si="325"/>
        <v>0</v>
      </c>
      <c r="BB572" s="49">
        <f t="shared" si="326"/>
        <v>0</v>
      </c>
      <c r="BC572" s="49">
        <f t="shared" si="327"/>
        <v>0</v>
      </c>
      <c r="BD572" s="49">
        <f t="shared" si="328"/>
        <v>1</v>
      </c>
      <c r="BE572" s="49">
        <f t="shared" si="329"/>
        <v>0</v>
      </c>
      <c r="BF572" s="49">
        <f t="shared" si="330"/>
        <v>0</v>
      </c>
      <c r="BG572" s="49">
        <f t="shared" si="331"/>
        <v>0</v>
      </c>
      <c r="BH572" s="49">
        <f t="shared" si="332"/>
        <v>1</v>
      </c>
      <c r="BI572" s="49">
        <f t="shared" si="333"/>
        <v>0</v>
      </c>
      <c r="BJ572" s="49">
        <f t="shared" si="334"/>
        <v>0</v>
      </c>
      <c r="BK572" s="49">
        <f t="shared" si="335"/>
        <v>0</v>
      </c>
      <c r="BL572" s="49">
        <f t="shared" si="336"/>
        <v>1</v>
      </c>
      <c r="BM572" s="49">
        <f t="shared" si="337"/>
        <v>0</v>
      </c>
      <c r="BN572" s="49">
        <f t="shared" si="338"/>
        <v>0</v>
      </c>
      <c r="BO572" s="49">
        <f t="shared" si="339"/>
        <v>0</v>
      </c>
      <c r="BP572" s="49">
        <f t="shared" si="340"/>
        <v>1</v>
      </c>
      <c r="BQ572" s="49">
        <f t="shared" si="341"/>
        <v>0</v>
      </c>
      <c r="BR572" s="49">
        <f t="shared" si="342"/>
        <v>0</v>
      </c>
      <c r="BS572" s="49">
        <f t="shared" si="343"/>
        <v>0</v>
      </c>
      <c r="BT572" s="49">
        <f t="shared" si="344"/>
        <v>1</v>
      </c>
      <c r="BU572" s="49">
        <f t="shared" si="345"/>
        <v>0</v>
      </c>
      <c r="BV572" s="49">
        <f t="shared" si="346"/>
        <v>0</v>
      </c>
      <c r="BW572" s="49">
        <f t="shared" si="347"/>
        <v>0</v>
      </c>
      <c r="BX572" s="49">
        <f t="shared" si="348"/>
        <v>1</v>
      </c>
      <c r="BY572" s="49">
        <f t="shared" si="349"/>
        <v>0</v>
      </c>
      <c r="BZ572" s="49">
        <f t="shared" si="350"/>
        <v>0</v>
      </c>
      <c r="CA572" s="49">
        <f t="shared" si="351"/>
        <v>0</v>
      </c>
      <c r="CB572" s="49">
        <f t="shared" si="352"/>
        <v>1</v>
      </c>
      <c r="CC572" s="49">
        <f t="shared" si="353"/>
        <v>0</v>
      </c>
      <c r="CD572" s="49">
        <f t="shared" si="354"/>
        <v>0</v>
      </c>
      <c r="CE572" s="49">
        <f t="shared" si="355"/>
        <v>0</v>
      </c>
    </row>
    <row r="573" spans="1:83" ht="35.1" customHeight="1" x14ac:dyDescent="0.3">
      <c r="A573" s="123" t="str">
        <f t="shared" si="356"/>
        <v>5팀</v>
      </c>
      <c r="B573" s="69">
        <f t="shared" si="357"/>
        <v>567</v>
      </c>
      <c r="C573" s="120" t="str">
        <f>IF(VLOOKUP($B573,'1. 현장별 인원현황'!$C:$J,2,0)=0,"",VLOOKUP($B573,'1. 현장별 인원현황'!$C:$J,2,0))</f>
        <v xml:space="preserve"> [5.대광로제비앙] 평택 브레인시티 2블럭</v>
      </c>
      <c r="D573" s="70" t="str">
        <f>IF(VLOOKUP($B573,'1. 현장별 인원현황'!$C:$J,3,0)=0,"",VLOOKUP($B573,'1. 현장별 인원현황'!$C:$J,3,0))</f>
        <v>고민승</v>
      </c>
      <c r="E573" s="74" t="str">
        <f ca="1">IF(VLOOKUP($B573,'1. 현장별 인원현황'!$C:$J,4,0)=0,"",VLOOKUP($B573,'1. 현장별 인원현황'!$C:$J,4,0))</f>
        <v>42세</v>
      </c>
      <c r="F573" s="70" t="str">
        <f>IF(VLOOKUP($B573,'1. 현장별 인원현황'!$C:$J,7,0)=0,"",VLOOKUP($B573,'1. 현장별 인원현황'!$C:$J,7,0))</f>
        <v>기능공</v>
      </c>
      <c r="G573" s="72" t="str">
        <f>IF(VLOOKUP($B573,'1. 현장별 인원현황'!$C:$J,8,0)=0,"",VLOOKUP($B573,'1. 현장별 인원현황'!$C:$J,8,0))</f>
        <v>조공</v>
      </c>
      <c r="H573" s="67" t="s">
        <v>69</v>
      </c>
      <c r="I573" s="73"/>
      <c r="J573" s="73"/>
      <c r="K573" s="68"/>
      <c r="L573" s="67" t="s">
        <v>69</v>
      </c>
      <c r="M573" s="73"/>
      <c r="N573" s="73"/>
      <c r="O573" s="68"/>
      <c r="P573" s="67" t="s">
        <v>69</v>
      </c>
      <c r="Q573" s="73"/>
      <c r="R573" s="73"/>
      <c r="S573" s="68"/>
      <c r="T573" s="67" t="s">
        <v>69</v>
      </c>
      <c r="U573" s="73"/>
      <c r="V573" s="73"/>
      <c r="W573" s="68"/>
      <c r="X573" s="67" t="s">
        <v>69</v>
      </c>
      <c r="Y573" s="73"/>
      <c r="Z573" s="73"/>
      <c r="AA573" s="68"/>
      <c r="AB573" s="67" t="s">
        <v>69</v>
      </c>
      <c r="AC573" s="73"/>
      <c r="AD573" s="73"/>
      <c r="AE573" s="68"/>
      <c r="AF573" s="67" t="s">
        <v>69</v>
      </c>
      <c r="AG573" s="73"/>
      <c r="AH573" s="73"/>
      <c r="AI573" s="68"/>
      <c r="AJ573" s="67" t="s">
        <v>69</v>
      </c>
      <c r="AK573" s="73"/>
      <c r="AL573" s="73"/>
      <c r="AM573" s="68"/>
      <c r="AN573" s="73" t="s">
        <v>69</v>
      </c>
      <c r="AO573" s="73"/>
      <c r="AP573" s="73"/>
      <c r="AQ573" s="68"/>
      <c r="AR573" s="67">
        <f t="shared" si="358"/>
        <v>100</v>
      </c>
      <c r="AS573" s="68" t="str">
        <f t="shared" si="359"/>
        <v>S</v>
      </c>
      <c r="AV573" s="49">
        <f t="shared" si="320"/>
        <v>1</v>
      </c>
      <c r="AW573" s="49">
        <f t="shared" si="321"/>
        <v>0</v>
      </c>
      <c r="AX573" s="49">
        <f t="shared" si="322"/>
        <v>0</v>
      </c>
      <c r="AY573" s="49">
        <f t="shared" si="323"/>
        <v>0</v>
      </c>
      <c r="AZ573" s="49">
        <f t="shared" si="324"/>
        <v>1</v>
      </c>
      <c r="BA573" s="49">
        <f t="shared" si="325"/>
        <v>0</v>
      </c>
      <c r="BB573" s="49">
        <f t="shared" si="326"/>
        <v>0</v>
      </c>
      <c r="BC573" s="49">
        <f t="shared" si="327"/>
        <v>0</v>
      </c>
      <c r="BD573" s="49">
        <f t="shared" si="328"/>
        <v>1</v>
      </c>
      <c r="BE573" s="49">
        <f t="shared" si="329"/>
        <v>0</v>
      </c>
      <c r="BF573" s="49">
        <f t="shared" si="330"/>
        <v>0</v>
      </c>
      <c r="BG573" s="49">
        <f t="shared" si="331"/>
        <v>0</v>
      </c>
      <c r="BH573" s="49">
        <f t="shared" si="332"/>
        <v>1</v>
      </c>
      <c r="BI573" s="49">
        <f t="shared" si="333"/>
        <v>0</v>
      </c>
      <c r="BJ573" s="49">
        <f t="shared" si="334"/>
        <v>0</v>
      </c>
      <c r="BK573" s="49">
        <f t="shared" si="335"/>
        <v>0</v>
      </c>
      <c r="BL573" s="49">
        <f t="shared" si="336"/>
        <v>1</v>
      </c>
      <c r="BM573" s="49">
        <f t="shared" si="337"/>
        <v>0</v>
      </c>
      <c r="BN573" s="49">
        <f t="shared" si="338"/>
        <v>0</v>
      </c>
      <c r="BO573" s="49">
        <f t="shared" si="339"/>
        <v>0</v>
      </c>
      <c r="BP573" s="49">
        <f t="shared" si="340"/>
        <v>1</v>
      </c>
      <c r="BQ573" s="49">
        <f t="shared" si="341"/>
        <v>0</v>
      </c>
      <c r="BR573" s="49">
        <f t="shared" si="342"/>
        <v>0</v>
      </c>
      <c r="BS573" s="49">
        <f t="shared" si="343"/>
        <v>0</v>
      </c>
      <c r="BT573" s="49">
        <f t="shared" si="344"/>
        <v>1</v>
      </c>
      <c r="BU573" s="49">
        <f t="shared" si="345"/>
        <v>0</v>
      </c>
      <c r="BV573" s="49">
        <f t="shared" si="346"/>
        <v>0</v>
      </c>
      <c r="BW573" s="49">
        <f t="shared" si="347"/>
        <v>0</v>
      </c>
      <c r="BX573" s="49">
        <f t="shared" si="348"/>
        <v>1</v>
      </c>
      <c r="BY573" s="49">
        <f t="shared" si="349"/>
        <v>0</v>
      </c>
      <c r="BZ573" s="49">
        <f t="shared" si="350"/>
        <v>0</v>
      </c>
      <c r="CA573" s="49">
        <f t="shared" si="351"/>
        <v>0</v>
      </c>
      <c r="CB573" s="49">
        <f t="shared" si="352"/>
        <v>1</v>
      </c>
      <c r="CC573" s="49">
        <f t="shared" si="353"/>
        <v>0</v>
      </c>
      <c r="CD573" s="49">
        <f t="shared" si="354"/>
        <v>0</v>
      </c>
      <c r="CE573" s="49">
        <f t="shared" si="355"/>
        <v>0</v>
      </c>
    </row>
    <row r="574" spans="1:83" ht="35.1" customHeight="1" x14ac:dyDescent="0.3">
      <c r="A574" s="123" t="str">
        <f t="shared" si="356"/>
        <v>5팀</v>
      </c>
      <c r="B574" s="69">
        <f t="shared" si="357"/>
        <v>568</v>
      </c>
      <c r="C574" s="120" t="str">
        <f>IF(VLOOKUP($B574,'1. 현장별 인원현황'!$C:$J,2,0)=0,"",VLOOKUP($B574,'1. 현장별 인원현황'!$C:$J,2,0))</f>
        <v xml:space="preserve"> [5.대보건설] 등촌동 청년주택 신축공사</v>
      </c>
      <c r="D574" s="70" t="str">
        <f>IF(VLOOKUP($B574,'1. 현장별 인원현황'!$C:$J,3,0)=0,"",VLOOKUP($B574,'1. 현장별 인원현황'!$C:$J,3,0))</f>
        <v>김동주</v>
      </c>
      <c r="E574" s="74" t="str">
        <f ca="1">IF(VLOOKUP($B574,'1. 현장별 인원현황'!$C:$J,4,0)=0,"",VLOOKUP($B574,'1. 현장별 인원현황'!$C:$J,4,0))</f>
        <v>23세</v>
      </c>
      <c r="F574" s="70" t="str">
        <f>IF(VLOOKUP($B574,'1. 현장별 인원현황'!$C:$J,7,0)=0,"",VLOOKUP($B574,'1. 현장별 인원현황'!$C:$J,7,0))</f>
        <v>공무</v>
      </c>
      <c r="G574" s="72" t="str">
        <f>IF(VLOOKUP($B574,'1. 현장별 인원현황'!$C:$J,8,0)=0,"",VLOOKUP($B574,'1. 현장별 인원현황'!$C:$J,8,0))</f>
        <v>대리</v>
      </c>
      <c r="H574" s="67" t="s">
        <v>69</v>
      </c>
      <c r="I574" s="73"/>
      <c r="J574" s="73"/>
      <c r="K574" s="68"/>
      <c r="L574" s="67" t="s">
        <v>69</v>
      </c>
      <c r="M574" s="73"/>
      <c r="N574" s="73"/>
      <c r="O574" s="68"/>
      <c r="P574" s="67" t="s">
        <v>69</v>
      </c>
      <c r="Q574" s="73"/>
      <c r="R574" s="73"/>
      <c r="S574" s="68"/>
      <c r="T574" s="67" t="s">
        <v>69</v>
      </c>
      <c r="U574" s="73"/>
      <c r="V574" s="73"/>
      <c r="W574" s="68"/>
      <c r="X574" s="67" t="s">
        <v>69</v>
      </c>
      <c r="Y574" s="73"/>
      <c r="Z574" s="73"/>
      <c r="AA574" s="68"/>
      <c r="AB574" s="67" t="s">
        <v>69</v>
      </c>
      <c r="AC574" s="73"/>
      <c r="AD574" s="73"/>
      <c r="AE574" s="68"/>
      <c r="AF574" s="67" t="s">
        <v>69</v>
      </c>
      <c r="AG574" s="73"/>
      <c r="AH574" s="73"/>
      <c r="AI574" s="68"/>
      <c r="AJ574" s="67" t="s">
        <v>69</v>
      </c>
      <c r="AK574" s="73"/>
      <c r="AL574" s="73"/>
      <c r="AM574" s="68"/>
      <c r="AN574" s="73" t="s">
        <v>69</v>
      </c>
      <c r="AO574" s="73"/>
      <c r="AP574" s="73"/>
      <c r="AQ574" s="68"/>
      <c r="AR574" s="67">
        <f t="shared" si="358"/>
        <v>100</v>
      </c>
      <c r="AS574" s="68" t="str">
        <f t="shared" si="359"/>
        <v>S</v>
      </c>
      <c r="AV574" s="49">
        <f t="shared" si="320"/>
        <v>1</v>
      </c>
      <c r="AW574" s="49">
        <f t="shared" si="321"/>
        <v>0</v>
      </c>
      <c r="AX574" s="49">
        <f t="shared" si="322"/>
        <v>0</v>
      </c>
      <c r="AY574" s="49">
        <f t="shared" si="323"/>
        <v>0</v>
      </c>
      <c r="AZ574" s="49">
        <f t="shared" si="324"/>
        <v>1</v>
      </c>
      <c r="BA574" s="49">
        <f t="shared" si="325"/>
        <v>0</v>
      </c>
      <c r="BB574" s="49">
        <f t="shared" si="326"/>
        <v>0</v>
      </c>
      <c r="BC574" s="49">
        <f t="shared" si="327"/>
        <v>0</v>
      </c>
      <c r="BD574" s="49">
        <f t="shared" si="328"/>
        <v>1</v>
      </c>
      <c r="BE574" s="49">
        <f t="shared" si="329"/>
        <v>0</v>
      </c>
      <c r="BF574" s="49">
        <f t="shared" si="330"/>
        <v>0</v>
      </c>
      <c r="BG574" s="49">
        <f t="shared" si="331"/>
        <v>0</v>
      </c>
      <c r="BH574" s="49">
        <f t="shared" si="332"/>
        <v>1</v>
      </c>
      <c r="BI574" s="49">
        <f t="shared" si="333"/>
        <v>0</v>
      </c>
      <c r="BJ574" s="49">
        <f t="shared" si="334"/>
        <v>0</v>
      </c>
      <c r="BK574" s="49">
        <f t="shared" si="335"/>
        <v>0</v>
      </c>
      <c r="BL574" s="49">
        <f t="shared" si="336"/>
        <v>1</v>
      </c>
      <c r="BM574" s="49">
        <f t="shared" si="337"/>
        <v>0</v>
      </c>
      <c r="BN574" s="49">
        <f t="shared" si="338"/>
        <v>0</v>
      </c>
      <c r="BO574" s="49">
        <f t="shared" si="339"/>
        <v>0</v>
      </c>
      <c r="BP574" s="49">
        <f t="shared" si="340"/>
        <v>1</v>
      </c>
      <c r="BQ574" s="49">
        <f t="shared" si="341"/>
        <v>0</v>
      </c>
      <c r="BR574" s="49">
        <f t="shared" si="342"/>
        <v>0</v>
      </c>
      <c r="BS574" s="49">
        <f t="shared" si="343"/>
        <v>0</v>
      </c>
      <c r="BT574" s="49">
        <f t="shared" si="344"/>
        <v>1</v>
      </c>
      <c r="BU574" s="49">
        <f t="shared" si="345"/>
        <v>0</v>
      </c>
      <c r="BV574" s="49">
        <f t="shared" si="346"/>
        <v>0</v>
      </c>
      <c r="BW574" s="49">
        <f t="shared" si="347"/>
        <v>0</v>
      </c>
      <c r="BX574" s="49">
        <f t="shared" si="348"/>
        <v>1</v>
      </c>
      <c r="BY574" s="49">
        <f t="shared" si="349"/>
        <v>0</v>
      </c>
      <c r="BZ574" s="49">
        <f t="shared" si="350"/>
        <v>0</v>
      </c>
      <c r="CA574" s="49">
        <f t="shared" si="351"/>
        <v>0</v>
      </c>
      <c r="CB574" s="49">
        <f t="shared" si="352"/>
        <v>1</v>
      </c>
      <c r="CC574" s="49">
        <f t="shared" si="353"/>
        <v>0</v>
      </c>
      <c r="CD574" s="49">
        <f t="shared" si="354"/>
        <v>0</v>
      </c>
      <c r="CE574" s="49">
        <f t="shared" si="355"/>
        <v>0</v>
      </c>
    </row>
    <row r="575" spans="1:83" ht="35.1" customHeight="1" x14ac:dyDescent="0.3">
      <c r="A575" s="123" t="str">
        <f t="shared" si="356"/>
        <v>5팀</v>
      </c>
      <c r="B575" s="69">
        <f t="shared" si="357"/>
        <v>569</v>
      </c>
      <c r="C575" s="120" t="str">
        <f>IF(VLOOKUP($B575,'1. 현장별 인원현황'!$C:$J,2,0)=0,"",VLOOKUP($B575,'1. 현장별 인원현황'!$C:$J,2,0))</f>
        <v xml:space="preserve"> [5.대보건설] 등촌동 청년주택 신축공사</v>
      </c>
      <c r="D575" s="70" t="str">
        <f>IF(VLOOKUP($B575,'1. 현장별 인원현황'!$C:$J,3,0)=0,"",VLOOKUP($B575,'1. 현장별 인원현황'!$C:$J,3,0))</f>
        <v>서인기</v>
      </c>
      <c r="E575" s="74" t="str">
        <f ca="1">IF(VLOOKUP($B575,'1. 현장별 인원현황'!$C:$J,4,0)=0,"",VLOOKUP($B575,'1. 현장별 인원현황'!$C:$J,4,0))</f>
        <v>52세</v>
      </c>
      <c r="F575" s="70" t="str">
        <f>IF(VLOOKUP($B575,'1. 현장별 인원현황'!$C:$J,7,0)=0,"",VLOOKUP($B575,'1. 현장별 인원현황'!$C:$J,7,0))</f>
        <v>공사</v>
      </c>
      <c r="G575" s="72" t="str">
        <f>IF(VLOOKUP($B575,'1. 현장별 인원현황'!$C:$J,8,0)=0,"",VLOOKUP($B575,'1. 현장별 인원현황'!$C:$J,8,0))</f>
        <v>전공</v>
      </c>
      <c r="H575" s="67" t="s">
        <v>69</v>
      </c>
      <c r="I575" s="73"/>
      <c r="J575" s="73"/>
      <c r="K575" s="68"/>
      <c r="L575" s="67" t="s">
        <v>69</v>
      </c>
      <c r="M575" s="73"/>
      <c r="N575" s="73"/>
      <c r="O575" s="68"/>
      <c r="P575" s="67" t="s">
        <v>69</v>
      </c>
      <c r="Q575" s="73"/>
      <c r="R575" s="73"/>
      <c r="S575" s="68"/>
      <c r="T575" s="67" t="s">
        <v>69</v>
      </c>
      <c r="U575" s="73"/>
      <c r="V575" s="73"/>
      <c r="W575" s="68"/>
      <c r="X575" s="67" t="s">
        <v>69</v>
      </c>
      <c r="Y575" s="73"/>
      <c r="Z575" s="73"/>
      <c r="AA575" s="68"/>
      <c r="AB575" s="67" t="s">
        <v>69</v>
      </c>
      <c r="AC575" s="73"/>
      <c r="AD575" s="73"/>
      <c r="AE575" s="68"/>
      <c r="AF575" s="67" t="s">
        <v>69</v>
      </c>
      <c r="AG575" s="73"/>
      <c r="AH575" s="73"/>
      <c r="AI575" s="68"/>
      <c r="AJ575" s="67" t="s">
        <v>69</v>
      </c>
      <c r="AK575" s="73"/>
      <c r="AL575" s="73"/>
      <c r="AM575" s="68"/>
      <c r="AN575" s="73" t="s">
        <v>69</v>
      </c>
      <c r="AO575" s="73"/>
      <c r="AP575" s="73"/>
      <c r="AQ575" s="68"/>
      <c r="AR575" s="67">
        <f t="shared" si="358"/>
        <v>100</v>
      </c>
      <c r="AS575" s="68" t="str">
        <f t="shared" si="359"/>
        <v>S</v>
      </c>
      <c r="AV575" s="49">
        <f t="shared" si="320"/>
        <v>1</v>
      </c>
      <c r="AW575" s="49">
        <f t="shared" si="321"/>
        <v>0</v>
      </c>
      <c r="AX575" s="49">
        <f t="shared" si="322"/>
        <v>0</v>
      </c>
      <c r="AY575" s="49">
        <f t="shared" si="323"/>
        <v>0</v>
      </c>
      <c r="AZ575" s="49">
        <f t="shared" si="324"/>
        <v>1</v>
      </c>
      <c r="BA575" s="49">
        <f t="shared" si="325"/>
        <v>0</v>
      </c>
      <c r="BB575" s="49">
        <f t="shared" si="326"/>
        <v>0</v>
      </c>
      <c r="BC575" s="49">
        <f t="shared" si="327"/>
        <v>0</v>
      </c>
      <c r="BD575" s="49">
        <f t="shared" si="328"/>
        <v>1</v>
      </c>
      <c r="BE575" s="49">
        <f t="shared" si="329"/>
        <v>0</v>
      </c>
      <c r="BF575" s="49">
        <f t="shared" si="330"/>
        <v>0</v>
      </c>
      <c r="BG575" s="49">
        <f t="shared" si="331"/>
        <v>0</v>
      </c>
      <c r="BH575" s="49">
        <f t="shared" si="332"/>
        <v>1</v>
      </c>
      <c r="BI575" s="49">
        <f t="shared" si="333"/>
        <v>0</v>
      </c>
      <c r="BJ575" s="49">
        <f t="shared" si="334"/>
        <v>0</v>
      </c>
      <c r="BK575" s="49">
        <f t="shared" si="335"/>
        <v>0</v>
      </c>
      <c r="BL575" s="49">
        <f t="shared" si="336"/>
        <v>1</v>
      </c>
      <c r="BM575" s="49">
        <f t="shared" si="337"/>
        <v>0</v>
      </c>
      <c r="BN575" s="49">
        <f t="shared" si="338"/>
        <v>0</v>
      </c>
      <c r="BO575" s="49">
        <f t="shared" si="339"/>
        <v>0</v>
      </c>
      <c r="BP575" s="49">
        <f t="shared" si="340"/>
        <v>1</v>
      </c>
      <c r="BQ575" s="49">
        <f t="shared" si="341"/>
        <v>0</v>
      </c>
      <c r="BR575" s="49">
        <f t="shared" si="342"/>
        <v>0</v>
      </c>
      <c r="BS575" s="49">
        <f t="shared" si="343"/>
        <v>0</v>
      </c>
      <c r="BT575" s="49">
        <f t="shared" si="344"/>
        <v>1</v>
      </c>
      <c r="BU575" s="49">
        <f t="shared" si="345"/>
        <v>0</v>
      </c>
      <c r="BV575" s="49">
        <f t="shared" si="346"/>
        <v>0</v>
      </c>
      <c r="BW575" s="49">
        <f t="shared" si="347"/>
        <v>0</v>
      </c>
      <c r="BX575" s="49">
        <f t="shared" si="348"/>
        <v>1</v>
      </c>
      <c r="BY575" s="49">
        <f t="shared" si="349"/>
        <v>0</v>
      </c>
      <c r="BZ575" s="49">
        <f t="shared" si="350"/>
        <v>0</v>
      </c>
      <c r="CA575" s="49">
        <f t="shared" si="351"/>
        <v>0</v>
      </c>
      <c r="CB575" s="49">
        <f t="shared" si="352"/>
        <v>1</v>
      </c>
      <c r="CC575" s="49">
        <f t="shared" si="353"/>
        <v>0</v>
      </c>
      <c r="CD575" s="49">
        <f t="shared" si="354"/>
        <v>0</v>
      </c>
      <c r="CE575" s="49">
        <f t="shared" si="355"/>
        <v>0</v>
      </c>
    </row>
    <row r="576" spans="1:83" ht="35.1" customHeight="1" x14ac:dyDescent="0.3">
      <c r="A576" s="123" t="str">
        <f t="shared" si="356"/>
        <v>5팀</v>
      </c>
      <c r="B576" s="69">
        <f t="shared" si="357"/>
        <v>570</v>
      </c>
      <c r="C576" s="120" t="str">
        <f>IF(VLOOKUP($B576,'1. 현장별 인원현황'!$C:$J,2,0)=0,"",VLOOKUP($B576,'1. 현장별 인원현황'!$C:$J,2,0))</f>
        <v xml:space="preserve"> [5.대보건설] 등촌동 청년주택 신축공사</v>
      </c>
      <c r="D576" s="70" t="str">
        <f>IF(VLOOKUP($B576,'1. 현장별 인원현황'!$C:$J,3,0)=0,"",VLOOKUP($B576,'1. 현장별 인원현황'!$C:$J,3,0))</f>
        <v>김대권</v>
      </c>
      <c r="E576" s="74" t="str">
        <f ca="1">IF(VLOOKUP($B576,'1. 현장별 인원현황'!$C:$J,4,0)=0,"",VLOOKUP($B576,'1. 현장별 인원현황'!$C:$J,4,0))</f>
        <v>65세</v>
      </c>
      <c r="F576" s="70" t="str">
        <f>IF(VLOOKUP($B576,'1. 현장별 인원현황'!$C:$J,7,0)=0,"",VLOOKUP($B576,'1. 현장별 인원현황'!$C:$J,7,0))</f>
        <v>기능공</v>
      </c>
      <c r="G576" s="72" t="str">
        <f>IF(VLOOKUP($B576,'1. 현장별 인원현황'!$C:$J,8,0)=0,"",VLOOKUP($B576,'1. 현장별 인원현황'!$C:$J,8,0))</f>
        <v>전공</v>
      </c>
      <c r="H576" s="67" t="s">
        <v>69</v>
      </c>
      <c r="I576" s="73"/>
      <c r="J576" s="73"/>
      <c r="K576" s="68"/>
      <c r="L576" s="67" t="s">
        <v>69</v>
      </c>
      <c r="M576" s="73"/>
      <c r="N576" s="73"/>
      <c r="O576" s="68"/>
      <c r="P576" s="67" t="s">
        <v>69</v>
      </c>
      <c r="Q576" s="73"/>
      <c r="R576" s="73"/>
      <c r="S576" s="68"/>
      <c r="T576" s="67" t="s">
        <v>69</v>
      </c>
      <c r="U576" s="73"/>
      <c r="V576" s="73"/>
      <c r="W576" s="68"/>
      <c r="X576" s="67" t="s">
        <v>69</v>
      </c>
      <c r="Y576" s="73"/>
      <c r="Z576" s="73"/>
      <c r="AA576" s="68"/>
      <c r="AB576" s="67" t="s">
        <v>69</v>
      </c>
      <c r="AC576" s="73"/>
      <c r="AD576" s="73"/>
      <c r="AE576" s="68"/>
      <c r="AF576" s="67" t="s">
        <v>69</v>
      </c>
      <c r="AG576" s="73"/>
      <c r="AH576" s="73"/>
      <c r="AI576" s="68"/>
      <c r="AJ576" s="67" t="s">
        <v>69</v>
      </c>
      <c r="AK576" s="73"/>
      <c r="AL576" s="73"/>
      <c r="AM576" s="68"/>
      <c r="AN576" s="73" t="s">
        <v>69</v>
      </c>
      <c r="AO576" s="73"/>
      <c r="AP576" s="73"/>
      <c r="AQ576" s="68"/>
      <c r="AR576" s="67">
        <f t="shared" si="358"/>
        <v>100</v>
      </c>
      <c r="AS576" s="68" t="str">
        <f t="shared" si="359"/>
        <v>S</v>
      </c>
      <c r="AV576" s="49">
        <f t="shared" ref="AV576:AV636" si="360">IF(H576&gt;0,1,0)</f>
        <v>1</v>
      </c>
      <c r="AW576" s="49">
        <f t="shared" ref="AW576:AW636" si="361">IF(I576&gt;0,1,0)</f>
        <v>0</v>
      </c>
      <c r="AX576" s="49">
        <f t="shared" ref="AX576:AX636" si="362">IF(J576&gt;0,1,0)</f>
        <v>0</v>
      </c>
      <c r="AY576" s="49">
        <f t="shared" ref="AY576:AY636" si="363">IF(K576&gt;0,1,0)</f>
        <v>0</v>
      </c>
      <c r="AZ576" s="49">
        <f t="shared" ref="AZ576:AZ636" si="364">IF(L576&gt;0,1,0)</f>
        <v>1</v>
      </c>
      <c r="BA576" s="49">
        <f t="shared" ref="BA576:BA636" si="365">IF(M576&gt;0,1,0)</f>
        <v>0</v>
      </c>
      <c r="BB576" s="49">
        <f t="shared" ref="BB576:BB636" si="366">IF(N576&gt;0,1,0)</f>
        <v>0</v>
      </c>
      <c r="BC576" s="49">
        <f t="shared" ref="BC576:BC636" si="367">IF(O576&gt;0,1,0)</f>
        <v>0</v>
      </c>
      <c r="BD576" s="49">
        <f t="shared" ref="BD576:BD636" si="368">IF(P576&gt;0,1,0)</f>
        <v>1</v>
      </c>
      <c r="BE576" s="49">
        <f t="shared" ref="BE576:BE636" si="369">IF(Q576&gt;0,1,0)</f>
        <v>0</v>
      </c>
      <c r="BF576" s="49">
        <f t="shared" ref="BF576:BF636" si="370">IF(R576&gt;0,1,0)</f>
        <v>0</v>
      </c>
      <c r="BG576" s="49">
        <f t="shared" ref="BG576:BG636" si="371">IF(S576&gt;0,1,0)</f>
        <v>0</v>
      </c>
      <c r="BH576" s="49">
        <f t="shared" ref="BH576:BH636" si="372">IF(T576&gt;0,1,0)</f>
        <v>1</v>
      </c>
      <c r="BI576" s="49">
        <f t="shared" ref="BI576:BI636" si="373">IF(U576&gt;0,1,0)</f>
        <v>0</v>
      </c>
      <c r="BJ576" s="49">
        <f t="shared" ref="BJ576:BJ636" si="374">IF(V576&gt;0,1,0)</f>
        <v>0</v>
      </c>
      <c r="BK576" s="49">
        <f t="shared" ref="BK576:BK636" si="375">IF(W576&gt;0,1,0)</f>
        <v>0</v>
      </c>
      <c r="BL576" s="49">
        <f t="shared" ref="BL576:BL636" si="376">IF(X576&gt;0,1,0)</f>
        <v>1</v>
      </c>
      <c r="BM576" s="49">
        <f t="shared" ref="BM576:BM636" si="377">IF(Y576&gt;0,1,0)</f>
        <v>0</v>
      </c>
      <c r="BN576" s="49">
        <f t="shared" ref="BN576:BN636" si="378">IF(Z576&gt;0,1,0)</f>
        <v>0</v>
      </c>
      <c r="BO576" s="49">
        <f t="shared" ref="BO576:BO636" si="379">IF(AA576&gt;0,1,0)</f>
        <v>0</v>
      </c>
      <c r="BP576" s="49">
        <f t="shared" ref="BP576:BP636" si="380">IF(AB576&gt;0,1,0)</f>
        <v>1</v>
      </c>
      <c r="BQ576" s="49">
        <f t="shared" ref="BQ576:BQ636" si="381">IF(AC576&gt;0,1,0)</f>
        <v>0</v>
      </c>
      <c r="BR576" s="49">
        <f t="shared" ref="BR576:BR636" si="382">IF(AD576&gt;0,1,0)</f>
        <v>0</v>
      </c>
      <c r="BS576" s="49">
        <f t="shared" ref="BS576:BS636" si="383">IF(AE576&gt;0,1,0)</f>
        <v>0</v>
      </c>
      <c r="BT576" s="49">
        <f t="shared" ref="BT576:BT636" si="384">IF(AF576&gt;0,1,0)</f>
        <v>1</v>
      </c>
      <c r="BU576" s="49">
        <f t="shared" ref="BU576:BU636" si="385">IF(AG576&gt;0,1,0)</f>
        <v>0</v>
      </c>
      <c r="BV576" s="49">
        <f t="shared" ref="BV576:BV636" si="386">IF(AH576&gt;0,1,0)</f>
        <v>0</v>
      </c>
      <c r="BW576" s="49">
        <f t="shared" ref="BW576:BW636" si="387">IF(AI576&gt;0,1,0)</f>
        <v>0</v>
      </c>
      <c r="BX576" s="49">
        <f t="shared" ref="BX576:BX636" si="388">IF(AJ576&gt;0,1,0)</f>
        <v>1</v>
      </c>
      <c r="BY576" s="49">
        <f t="shared" ref="BY576:BY636" si="389">IF(AK576&gt;0,1,0)</f>
        <v>0</v>
      </c>
      <c r="BZ576" s="49">
        <f t="shared" ref="BZ576:BZ636" si="390">IF(AL576&gt;0,1,0)</f>
        <v>0</v>
      </c>
      <c r="CA576" s="49">
        <f t="shared" ref="CA576:CA636" si="391">IF(AM576&gt;0,1,0)</f>
        <v>0</v>
      </c>
      <c r="CB576" s="49">
        <f t="shared" ref="CB576:CB636" si="392">IF(AN576&gt;0,1,0)</f>
        <v>1</v>
      </c>
      <c r="CC576" s="49">
        <f t="shared" ref="CC576:CC636" si="393">IF(AO576&gt;0,1,0)</f>
        <v>0</v>
      </c>
      <c r="CD576" s="49">
        <f t="shared" ref="CD576:CD636" si="394">IF(AP576&gt;0,1,0)</f>
        <v>0</v>
      </c>
      <c r="CE576" s="49">
        <f t="shared" ref="CE576:CE636" si="395">IF(AQ576&gt;0,1,0)</f>
        <v>0</v>
      </c>
    </row>
    <row r="577" spans="1:83" ht="35.1" customHeight="1" x14ac:dyDescent="0.3">
      <c r="A577" s="123" t="str">
        <f t="shared" si="356"/>
        <v>5팀</v>
      </c>
      <c r="B577" s="69">
        <f t="shared" si="357"/>
        <v>571</v>
      </c>
      <c r="C577" s="120" t="str">
        <f>IF(VLOOKUP($B577,'1. 현장별 인원현황'!$C:$J,2,0)=0,"",VLOOKUP($B577,'1. 현장별 인원현황'!$C:$J,2,0))</f>
        <v xml:space="preserve"> [5.대보건설] 등촌동 청년주택 신축공사</v>
      </c>
      <c r="D577" s="70" t="str">
        <f>IF(VLOOKUP($B577,'1. 현장별 인원현황'!$C:$J,3,0)=0,"",VLOOKUP($B577,'1. 현장별 인원현황'!$C:$J,3,0))</f>
        <v>이제영</v>
      </c>
      <c r="E577" s="74" t="str">
        <f ca="1">IF(VLOOKUP($B577,'1. 현장별 인원현황'!$C:$J,4,0)=0,"",VLOOKUP($B577,'1. 현장별 인원현황'!$C:$J,4,0))</f>
        <v>45세</v>
      </c>
      <c r="F577" s="70" t="str">
        <f>IF(VLOOKUP($B577,'1. 현장별 인원현황'!$C:$J,7,0)=0,"",VLOOKUP($B577,'1. 현장별 인원현황'!$C:$J,7,0))</f>
        <v>기능공</v>
      </c>
      <c r="G577" s="72" t="str">
        <f>IF(VLOOKUP($B577,'1. 현장별 인원현황'!$C:$J,8,0)=0,"",VLOOKUP($B577,'1. 현장별 인원현황'!$C:$J,8,0))</f>
        <v>전공</v>
      </c>
      <c r="H577" s="67" t="s">
        <v>69</v>
      </c>
      <c r="I577" s="73"/>
      <c r="J577" s="73"/>
      <c r="K577" s="68"/>
      <c r="L577" s="67" t="s">
        <v>69</v>
      </c>
      <c r="M577" s="73"/>
      <c r="N577" s="73"/>
      <c r="O577" s="68"/>
      <c r="P577" s="67" t="s">
        <v>69</v>
      </c>
      <c r="Q577" s="73"/>
      <c r="R577" s="73"/>
      <c r="S577" s="68"/>
      <c r="T577" s="67" t="s">
        <v>69</v>
      </c>
      <c r="U577" s="73"/>
      <c r="V577" s="73"/>
      <c r="W577" s="68"/>
      <c r="X577" s="67" t="s">
        <v>69</v>
      </c>
      <c r="Y577" s="73"/>
      <c r="Z577" s="73"/>
      <c r="AA577" s="68"/>
      <c r="AB577" s="67" t="s">
        <v>69</v>
      </c>
      <c r="AC577" s="73"/>
      <c r="AD577" s="73"/>
      <c r="AE577" s="68"/>
      <c r="AF577" s="67" t="s">
        <v>69</v>
      </c>
      <c r="AG577" s="73"/>
      <c r="AH577" s="73"/>
      <c r="AI577" s="68"/>
      <c r="AJ577" s="67" t="s">
        <v>69</v>
      </c>
      <c r="AK577" s="73"/>
      <c r="AL577" s="73"/>
      <c r="AM577" s="68"/>
      <c r="AN577" s="73" t="s">
        <v>69</v>
      </c>
      <c r="AO577" s="73"/>
      <c r="AP577" s="73"/>
      <c r="AQ577" s="68"/>
      <c r="AR577" s="67">
        <f t="shared" si="358"/>
        <v>100</v>
      </c>
      <c r="AS577" s="68" t="str">
        <f t="shared" si="359"/>
        <v>S</v>
      </c>
      <c r="AV577" s="49">
        <f t="shared" si="360"/>
        <v>1</v>
      </c>
      <c r="AW577" s="49">
        <f t="shared" si="361"/>
        <v>0</v>
      </c>
      <c r="AX577" s="49">
        <f t="shared" si="362"/>
        <v>0</v>
      </c>
      <c r="AY577" s="49">
        <f t="shared" si="363"/>
        <v>0</v>
      </c>
      <c r="AZ577" s="49">
        <f t="shared" si="364"/>
        <v>1</v>
      </c>
      <c r="BA577" s="49">
        <f t="shared" si="365"/>
        <v>0</v>
      </c>
      <c r="BB577" s="49">
        <f t="shared" si="366"/>
        <v>0</v>
      </c>
      <c r="BC577" s="49">
        <f t="shared" si="367"/>
        <v>0</v>
      </c>
      <c r="BD577" s="49">
        <f t="shared" si="368"/>
        <v>1</v>
      </c>
      <c r="BE577" s="49">
        <f t="shared" si="369"/>
        <v>0</v>
      </c>
      <c r="BF577" s="49">
        <f t="shared" si="370"/>
        <v>0</v>
      </c>
      <c r="BG577" s="49">
        <f t="shared" si="371"/>
        <v>0</v>
      </c>
      <c r="BH577" s="49">
        <f t="shared" si="372"/>
        <v>1</v>
      </c>
      <c r="BI577" s="49">
        <f t="shared" si="373"/>
        <v>0</v>
      </c>
      <c r="BJ577" s="49">
        <f t="shared" si="374"/>
        <v>0</v>
      </c>
      <c r="BK577" s="49">
        <f t="shared" si="375"/>
        <v>0</v>
      </c>
      <c r="BL577" s="49">
        <f t="shared" si="376"/>
        <v>1</v>
      </c>
      <c r="BM577" s="49">
        <f t="shared" si="377"/>
        <v>0</v>
      </c>
      <c r="BN577" s="49">
        <f t="shared" si="378"/>
        <v>0</v>
      </c>
      <c r="BO577" s="49">
        <f t="shared" si="379"/>
        <v>0</v>
      </c>
      <c r="BP577" s="49">
        <f t="shared" si="380"/>
        <v>1</v>
      </c>
      <c r="BQ577" s="49">
        <f t="shared" si="381"/>
        <v>0</v>
      </c>
      <c r="BR577" s="49">
        <f t="shared" si="382"/>
        <v>0</v>
      </c>
      <c r="BS577" s="49">
        <f t="shared" si="383"/>
        <v>0</v>
      </c>
      <c r="BT577" s="49">
        <f t="shared" si="384"/>
        <v>1</v>
      </c>
      <c r="BU577" s="49">
        <f t="shared" si="385"/>
        <v>0</v>
      </c>
      <c r="BV577" s="49">
        <f t="shared" si="386"/>
        <v>0</v>
      </c>
      <c r="BW577" s="49">
        <f t="shared" si="387"/>
        <v>0</v>
      </c>
      <c r="BX577" s="49">
        <f t="shared" si="388"/>
        <v>1</v>
      </c>
      <c r="BY577" s="49">
        <f t="shared" si="389"/>
        <v>0</v>
      </c>
      <c r="BZ577" s="49">
        <f t="shared" si="390"/>
        <v>0</v>
      </c>
      <c r="CA577" s="49">
        <f t="shared" si="391"/>
        <v>0</v>
      </c>
      <c r="CB577" s="49">
        <f t="shared" si="392"/>
        <v>1</v>
      </c>
      <c r="CC577" s="49">
        <f t="shared" si="393"/>
        <v>0</v>
      </c>
      <c r="CD577" s="49">
        <f t="shared" si="394"/>
        <v>0</v>
      </c>
      <c r="CE577" s="49">
        <f t="shared" si="395"/>
        <v>0</v>
      </c>
    </row>
    <row r="578" spans="1:83" ht="35.1" customHeight="1" x14ac:dyDescent="0.3">
      <c r="A578" s="123" t="str">
        <f t="shared" si="356"/>
        <v>5팀</v>
      </c>
      <c r="B578" s="69">
        <f t="shared" si="357"/>
        <v>572</v>
      </c>
      <c r="C578" s="120" t="str">
        <f>IF(VLOOKUP($B578,'1. 현장별 인원현황'!$C:$J,2,0)=0,"",VLOOKUP($B578,'1. 현장별 인원현황'!$C:$J,2,0))</f>
        <v xml:space="preserve"> [5.대보건설] 등촌동 청년주택 신축공사</v>
      </c>
      <c r="D578" s="70" t="str">
        <f>IF(VLOOKUP($B578,'1. 현장별 인원현황'!$C:$J,3,0)=0,"",VLOOKUP($B578,'1. 현장별 인원현황'!$C:$J,3,0))</f>
        <v>이봉환</v>
      </c>
      <c r="E578" s="74" t="str">
        <f ca="1">IF(VLOOKUP($B578,'1. 현장별 인원현황'!$C:$J,4,0)=0,"",VLOOKUP($B578,'1. 현장별 인원현황'!$C:$J,4,0))</f>
        <v>57세</v>
      </c>
      <c r="F578" s="70" t="str">
        <f>IF(VLOOKUP($B578,'1. 현장별 인원현황'!$C:$J,7,0)=0,"",VLOOKUP($B578,'1. 현장별 인원현황'!$C:$J,7,0))</f>
        <v>기능공</v>
      </c>
      <c r="G578" s="72" t="str">
        <f>IF(VLOOKUP($B578,'1. 현장별 인원현황'!$C:$J,8,0)=0,"",VLOOKUP($B578,'1. 현장별 인원현황'!$C:$J,8,0))</f>
        <v>전공</v>
      </c>
      <c r="H578" s="67" t="s">
        <v>69</v>
      </c>
      <c r="I578" s="73"/>
      <c r="J578" s="73"/>
      <c r="K578" s="68"/>
      <c r="L578" s="67" t="s">
        <v>69</v>
      </c>
      <c r="M578" s="73"/>
      <c r="N578" s="73"/>
      <c r="O578" s="68"/>
      <c r="P578" s="67" t="s">
        <v>69</v>
      </c>
      <c r="Q578" s="73"/>
      <c r="R578" s="73"/>
      <c r="S578" s="68"/>
      <c r="T578" s="67" t="s">
        <v>69</v>
      </c>
      <c r="U578" s="73"/>
      <c r="V578" s="73"/>
      <c r="W578" s="68"/>
      <c r="X578" s="67" t="s">
        <v>69</v>
      </c>
      <c r="Y578" s="73"/>
      <c r="Z578" s="73"/>
      <c r="AA578" s="68"/>
      <c r="AB578" s="67" t="s">
        <v>69</v>
      </c>
      <c r="AC578" s="73"/>
      <c r="AD578" s="73"/>
      <c r="AE578" s="68"/>
      <c r="AF578" s="67" t="s">
        <v>69</v>
      </c>
      <c r="AG578" s="73"/>
      <c r="AH578" s="73"/>
      <c r="AI578" s="68"/>
      <c r="AJ578" s="67" t="s">
        <v>69</v>
      </c>
      <c r="AK578" s="73"/>
      <c r="AL578" s="73"/>
      <c r="AM578" s="68"/>
      <c r="AN578" s="73" t="s">
        <v>69</v>
      </c>
      <c r="AO578" s="73"/>
      <c r="AP578" s="73"/>
      <c r="AQ578" s="68"/>
      <c r="AR578" s="67">
        <f t="shared" si="358"/>
        <v>100</v>
      </c>
      <c r="AS578" s="68" t="str">
        <f t="shared" si="359"/>
        <v>S</v>
      </c>
      <c r="AV578" s="49">
        <f t="shared" si="360"/>
        <v>1</v>
      </c>
      <c r="AW578" s="49">
        <f t="shared" si="361"/>
        <v>0</v>
      </c>
      <c r="AX578" s="49">
        <f t="shared" si="362"/>
        <v>0</v>
      </c>
      <c r="AY578" s="49">
        <f t="shared" si="363"/>
        <v>0</v>
      </c>
      <c r="AZ578" s="49">
        <f t="shared" si="364"/>
        <v>1</v>
      </c>
      <c r="BA578" s="49">
        <f t="shared" si="365"/>
        <v>0</v>
      </c>
      <c r="BB578" s="49">
        <f t="shared" si="366"/>
        <v>0</v>
      </c>
      <c r="BC578" s="49">
        <f t="shared" si="367"/>
        <v>0</v>
      </c>
      <c r="BD578" s="49">
        <f t="shared" si="368"/>
        <v>1</v>
      </c>
      <c r="BE578" s="49">
        <f t="shared" si="369"/>
        <v>0</v>
      </c>
      <c r="BF578" s="49">
        <f t="shared" si="370"/>
        <v>0</v>
      </c>
      <c r="BG578" s="49">
        <f t="shared" si="371"/>
        <v>0</v>
      </c>
      <c r="BH578" s="49">
        <f t="shared" si="372"/>
        <v>1</v>
      </c>
      <c r="BI578" s="49">
        <f t="shared" si="373"/>
        <v>0</v>
      </c>
      <c r="BJ578" s="49">
        <f t="shared" si="374"/>
        <v>0</v>
      </c>
      <c r="BK578" s="49">
        <f t="shared" si="375"/>
        <v>0</v>
      </c>
      <c r="BL578" s="49">
        <f t="shared" si="376"/>
        <v>1</v>
      </c>
      <c r="BM578" s="49">
        <f t="shared" si="377"/>
        <v>0</v>
      </c>
      <c r="BN578" s="49">
        <f t="shared" si="378"/>
        <v>0</v>
      </c>
      <c r="BO578" s="49">
        <f t="shared" si="379"/>
        <v>0</v>
      </c>
      <c r="BP578" s="49">
        <f t="shared" si="380"/>
        <v>1</v>
      </c>
      <c r="BQ578" s="49">
        <f t="shared" si="381"/>
        <v>0</v>
      </c>
      <c r="BR578" s="49">
        <f t="shared" si="382"/>
        <v>0</v>
      </c>
      <c r="BS578" s="49">
        <f t="shared" si="383"/>
        <v>0</v>
      </c>
      <c r="BT578" s="49">
        <f t="shared" si="384"/>
        <v>1</v>
      </c>
      <c r="BU578" s="49">
        <f t="shared" si="385"/>
        <v>0</v>
      </c>
      <c r="BV578" s="49">
        <f t="shared" si="386"/>
        <v>0</v>
      </c>
      <c r="BW578" s="49">
        <f t="shared" si="387"/>
        <v>0</v>
      </c>
      <c r="BX578" s="49">
        <f t="shared" si="388"/>
        <v>1</v>
      </c>
      <c r="BY578" s="49">
        <f t="shared" si="389"/>
        <v>0</v>
      </c>
      <c r="BZ578" s="49">
        <f t="shared" si="390"/>
        <v>0</v>
      </c>
      <c r="CA578" s="49">
        <f t="shared" si="391"/>
        <v>0</v>
      </c>
      <c r="CB578" s="49">
        <f t="shared" si="392"/>
        <v>1</v>
      </c>
      <c r="CC578" s="49">
        <f t="shared" si="393"/>
        <v>0</v>
      </c>
      <c r="CD578" s="49">
        <f t="shared" si="394"/>
        <v>0</v>
      </c>
      <c r="CE578" s="49">
        <f t="shared" si="395"/>
        <v>0</v>
      </c>
    </row>
    <row r="579" spans="1:83" ht="35.1" customHeight="1" x14ac:dyDescent="0.3">
      <c r="A579" s="123" t="str">
        <f t="shared" si="356"/>
        <v>5팀</v>
      </c>
      <c r="B579" s="69">
        <f t="shared" si="357"/>
        <v>573</v>
      </c>
      <c r="C579" s="120" t="str">
        <f>IF(VLOOKUP($B579,'1. 현장별 인원현황'!$C:$J,2,0)=0,"",VLOOKUP($B579,'1. 현장별 인원현황'!$C:$J,2,0))</f>
        <v xml:space="preserve"> [5.롯데건설] 마곡사옥 르웨스트 시티 D동 8-11층 이전공사</v>
      </c>
      <c r="D579" s="70" t="str">
        <f>IF(VLOOKUP($B579,'1. 현장별 인원현황'!$C:$J,3,0)=0,"",VLOOKUP($B579,'1. 현장별 인원현황'!$C:$J,3,0))</f>
        <v>이재복</v>
      </c>
      <c r="E579" s="74" t="str">
        <f ca="1">IF(VLOOKUP($B579,'1. 현장별 인원현황'!$C:$J,4,0)=0,"",VLOOKUP($B579,'1. 현장별 인원현황'!$C:$J,4,0))</f>
        <v>60세</v>
      </c>
      <c r="F579" s="70" t="str">
        <f>IF(VLOOKUP($B579,'1. 현장별 인원현황'!$C:$J,7,0)=0,"",VLOOKUP($B579,'1. 현장별 인원현황'!$C:$J,7,0))</f>
        <v>공사</v>
      </c>
      <c r="G579" s="72" t="str">
        <f>IF(VLOOKUP($B579,'1. 현장별 인원현황'!$C:$J,8,0)=0,"",VLOOKUP($B579,'1. 현장별 인원현황'!$C:$J,8,0))</f>
        <v>차장</v>
      </c>
      <c r="H579" s="67" t="s">
        <v>69</v>
      </c>
      <c r="I579" s="73"/>
      <c r="J579" s="73"/>
      <c r="K579" s="68"/>
      <c r="L579" s="67" t="s">
        <v>69</v>
      </c>
      <c r="M579" s="73"/>
      <c r="N579" s="73"/>
      <c r="O579" s="68"/>
      <c r="P579" s="67" t="s">
        <v>69</v>
      </c>
      <c r="Q579" s="73"/>
      <c r="R579" s="73"/>
      <c r="S579" s="68"/>
      <c r="T579" s="67" t="s">
        <v>69</v>
      </c>
      <c r="U579" s="73"/>
      <c r="V579" s="73"/>
      <c r="W579" s="68"/>
      <c r="X579" s="67" t="s">
        <v>69</v>
      </c>
      <c r="Y579" s="73"/>
      <c r="Z579" s="73"/>
      <c r="AA579" s="68"/>
      <c r="AB579" s="67" t="s">
        <v>69</v>
      </c>
      <c r="AC579" s="73"/>
      <c r="AD579" s="73"/>
      <c r="AE579" s="68"/>
      <c r="AF579" s="67" t="s">
        <v>69</v>
      </c>
      <c r="AG579" s="73"/>
      <c r="AH579" s="73"/>
      <c r="AI579" s="68"/>
      <c r="AJ579" s="67" t="s">
        <v>69</v>
      </c>
      <c r="AK579" s="73"/>
      <c r="AL579" s="73"/>
      <c r="AM579" s="68"/>
      <c r="AN579" s="73" t="s">
        <v>69</v>
      </c>
      <c r="AO579" s="73"/>
      <c r="AP579" s="73"/>
      <c r="AQ579" s="68"/>
      <c r="AR579" s="67">
        <f t="shared" si="358"/>
        <v>100</v>
      </c>
      <c r="AS579" s="68" t="str">
        <f t="shared" si="359"/>
        <v>S</v>
      </c>
      <c r="AV579" s="49">
        <f t="shared" si="360"/>
        <v>1</v>
      </c>
      <c r="AW579" s="49">
        <f t="shared" si="361"/>
        <v>0</v>
      </c>
      <c r="AX579" s="49">
        <f t="shared" si="362"/>
        <v>0</v>
      </c>
      <c r="AY579" s="49">
        <f t="shared" si="363"/>
        <v>0</v>
      </c>
      <c r="AZ579" s="49">
        <f t="shared" si="364"/>
        <v>1</v>
      </c>
      <c r="BA579" s="49">
        <f t="shared" si="365"/>
        <v>0</v>
      </c>
      <c r="BB579" s="49">
        <f t="shared" si="366"/>
        <v>0</v>
      </c>
      <c r="BC579" s="49">
        <f t="shared" si="367"/>
        <v>0</v>
      </c>
      <c r="BD579" s="49">
        <f t="shared" si="368"/>
        <v>1</v>
      </c>
      <c r="BE579" s="49">
        <f t="shared" si="369"/>
        <v>0</v>
      </c>
      <c r="BF579" s="49">
        <f t="shared" si="370"/>
        <v>0</v>
      </c>
      <c r="BG579" s="49">
        <f t="shared" si="371"/>
        <v>0</v>
      </c>
      <c r="BH579" s="49">
        <f t="shared" si="372"/>
        <v>1</v>
      </c>
      <c r="BI579" s="49">
        <f t="shared" si="373"/>
        <v>0</v>
      </c>
      <c r="BJ579" s="49">
        <f t="shared" si="374"/>
        <v>0</v>
      </c>
      <c r="BK579" s="49">
        <f t="shared" si="375"/>
        <v>0</v>
      </c>
      <c r="BL579" s="49">
        <f t="shared" si="376"/>
        <v>1</v>
      </c>
      <c r="BM579" s="49">
        <f t="shared" si="377"/>
        <v>0</v>
      </c>
      <c r="BN579" s="49">
        <f t="shared" si="378"/>
        <v>0</v>
      </c>
      <c r="BO579" s="49">
        <f t="shared" si="379"/>
        <v>0</v>
      </c>
      <c r="BP579" s="49">
        <f t="shared" si="380"/>
        <v>1</v>
      </c>
      <c r="BQ579" s="49">
        <f t="shared" si="381"/>
        <v>0</v>
      </c>
      <c r="BR579" s="49">
        <f t="shared" si="382"/>
        <v>0</v>
      </c>
      <c r="BS579" s="49">
        <f t="shared" si="383"/>
        <v>0</v>
      </c>
      <c r="BT579" s="49">
        <f t="shared" si="384"/>
        <v>1</v>
      </c>
      <c r="BU579" s="49">
        <f t="shared" si="385"/>
        <v>0</v>
      </c>
      <c r="BV579" s="49">
        <f t="shared" si="386"/>
        <v>0</v>
      </c>
      <c r="BW579" s="49">
        <f t="shared" si="387"/>
        <v>0</v>
      </c>
      <c r="BX579" s="49">
        <f t="shared" si="388"/>
        <v>1</v>
      </c>
      <c r="BY579" s="49">
        <f t="shared" si="389"/>
        <v>0</v>
      </c>
      <c r="BZ579" s="49">
        <f t="shared" si="390"/>
        <v>0</v>
      </c>
      <c r="CA579" s="49">
        <f t="shared" si="391"/>
        <v>0</v>
      </c>
      <c r="CB579" s="49">
        <f t="shared" si="392"/>
        <v>1</v>
      </c>
      <c r="CC579" s="49">
        <f t="shared" si="393"/>
        <v>0</v>
      </c>
      <c r="CD579" s="49">
        <f t="shared" si="394"/>
        <v>0</v>
      </c>
      <c r="CE579" s="49">
        <f t="shared" si="395"/>
        <v>0</v>
      </c>
    </row>
    <row r="580" spans="1:83" ht="35.1" customHeight="1" x14ac:dyDescent="0.3">
      <c r="A580" s="123" t="str">
        <f t="shared" si="356"/>
        <v>5팀</v>
      </c>
      <c r="B580" s="69">
        <f t="shared" si="357"/>
        <v>574</v>
      </c>
      <c r="C580" s="120" t="str">
        <f>IF(VLOOKUP($B580,'1. 현장별 인원현황'!$C:$J,2,0)=0,"",VLOOKUP($B580,'1. 현장별 인원현황'!$C:$J,2,0))</f>
        <v xml:space="preserve"> [5.롯데건설] 마곡사옥 르웨스트 시티 D동 8-11층 이전공사</v>
      </c>
      <c r="D580" s="70" t="str">
        <f>IF(VLOOKUP($B580,'1. 현장별 인원현황'!$C:$J,3,0)=0,"",VLOOKUP($B580,'1. 현장별 인원현황'!$C:$J,3,0))</f>
        <v>김주철</v>
      </c>
      <c r="E580" s="74" t="str">
        <f ca="1">IF(VLOOKUP($B580,'1. 현장별 인원현황'!$C:$J,4,0)=0,"",VLOOKUP($B580,'1. 현장별 인원현황'!$C:$J,4,0))</f>
        <v>48세</v>
      </c>
      <c r="F580" s="70" t="str">
        <f>IF(VLOOKUP($B580,'1. 현장별 인원현황'!$C:$J,7,0)=0,"",VLOOKUP($B580,'1. 현장별 인원현황'!$C:$J,7,0))</f>
        <v>공무</v>
      </c>
      <c r="G580" s="72" t="str">
        <f>IF(VLOOKUP($B580,'1. 현장별 인원현황'!$C:$J,8,0)=0,"",VLOOKUP($B580,'1. 현장별 인원현황'!$C:$J,8,0))</f>
        <v>차장</v>
      </c>
      <c r="H580" s="67" t="s">
        <v>69</v>
      </c>
      <c r="I580" s="73"/>
      <c r="J580" s="73"/>
      <c r="K580" s="68"/>
      <c r="L580" s="67" t="s">
        <v>69</v>
      </c>
      <c r="M580" s="73"/>
      <c r="N580" s="73"/>
      <c r="O580" s="68"/>
      <c r="P580" s="67" t="s">
        <v>69</v>
      </c>
      <c r="Q580" s="73"/>
      <c r="R580" s="73"/>
      <c r="S580" s="68"/>
      <c r="T580" s="67" t="s">
        <v>69</v>
      </c>
      <c r="U580" s="73"/>
      <c r="V580" s="73"/>
      <c r="W580" s="68"/>
      <c r="X580" s="67" t="s">
        <v>69</v>
      </c>
      <c r="Y580" s="73"/>
      <c r="Z580" s="73"/>
      <c r="AA580" s="68"/>
      <c r="AB580" s="67" t="s">
        <v>69</v>
      </c>
      <c r="AC580" s="73"/>
      <c r="AD580" s="73"/>
      <c r="AE580" s="68"/>
      <c r="AF580" s="67" t="s">
        <v>69</v>
      </c>
      <c r="AG580" s="73"/>
      <c r="AH580" s="73"/>
      <c r="AI580" s="68"/>
      <c r="AJ580" s="67" t="s">
        <v>69</v>
      </c>
      <c r="AK580" s="73"/>
      <c r="AL580" s="73"/>
      <c r="AM580" s="68"/>
      <c r="AN580" s="73" t="s">
        <v>69</v>
      </c>
      <c r="AO580" s="73"/>
      <c r="AP580" s="73"/>
      <c r="AQ580" s="68"/>
      <c r="AR580" s="67">
        <f t="shared" si="358"/>
        <v>100</v>
      </c>
      <c r="AS580" s="68" t="str">
        <f t="shared" si="359"/>
        <v>S</v>
      </c>
      <c r="AV580" s="49">
        <f t="shared" si="360"/>
        <v>1</v>
      </c>
      <c r="AW580" s="49">
        <f t="shared" si="361"/>
        <v>0</v>
      </c>
      <c r="AX580" s="49">
        <f t="shared" si="362"/>
        <v>0</v>
      </c>
      <c r="AY580" s="49">
        <f t="shared" si="363"/>
        <v>0</v>
      </c>
      <c r="AZ580" s="49">
        <f t="shared" si="364"/>
        <v>1</v>
      </c>
      <c r="BA580" s="49">
        <f t="shared" si="365"/>
        <v>0</v>
      </c>
      <c r="BB580" s="49">
        <f t="shared" si="366"/>
        <v>0</v>
      </c>
      <c r="BC580" s="49">
        <f t="shared" si="367"/>
        <v>0</v>
      </c>
      <c r="BD580" s="49">
        <f t="shared" si="368"/>
        <v>1</v>
      </c>
      <c r="BE580" s="49">
        <f t="shared" si="369"/>
        <v>0</v>
      </c>
      <c r="BF580" s="49">
        <f t="shared" si="370"/>
        <v>0</v>
      </c>
      <c r="BG580" s="49">
        <f t="shared" si="371"/>
        <v>0</v>
      </c>
      <c r="BH580" s="49">
        <f t="shared" si="372"/>
        <v>1</v>
      </c>
      <c r="BI580" s="49">
        <f t="shared" si="373"/>
        <v>0</v>
      </c>
      <c r="BJ580" s="49">
        <f t="shared" si="374"/>
        <v>0</v>
      </c>
      <c r="BK580" s="49">
        <f t="shared" si="375"/>
        <v>0</v>
      </c>
      <c r="BL580" s="49">
        <f t="shared" si="376"/>
        <v>1</v>
      </c>
      <c r="BM580" s="49">
        <f t="shared" si="377"/>
        <v>0</v>
      </c>
      <c r="BN580" s="49">
        <f t="shared" si="378"/>
        <v>0</v>
      </c>
      <c r="BO580" s="49">
        <f t="shared" si="379"/>
        <v>0</v>
      </c>
      <c r="BP580" s="49">
        <f t="shared" si="380"/>
        <v>1</v>
      </c>
      <c r="BQ580" s="49">
        <f t="shared" si="381"/>
        <v>0</v>
      </c>
      <c r="BR580" s="49">
        <f t="shared" si="382"/>
        <v>0</v>
      </c>
      <c r="BS580" s="49">
        <f t="shared" si="383"/>
        <v>0</v>
      </c>
      <c r="BT580" s="49">
        <f t="shared" si="384"/>
        <v>1</v>
      </c>
      <c r="BU580" s="49">
        <f t="shared" si="385"/>
        <v>0</v>
      </c>
      <c r="BV580" s="49">
        <f t="shared" si="386"/>
        <v>0</v>
      </c>
      <c r="BW580" s="49">
        <f t="shared" si="387"/>
        <v>0</v>
      </c>
      <c r="BX580" s="49">
        <f t="shared" si="388"/>
        <v>1</v>
      </c>
      <c r="BY580" s="49">
        <f t="shared" si="389"/>
        <v>0</v>
      </c>
      <c r="BZ580" s="49">
        <f t="shared" si="390"/>
        <v>0</v>
      </c>
      <c r="CA580" s="49">
        <f t="shared" si="391"/>
        <v>0</v>
      </c>
      <c r="CB580" s="49">
        <f t="shared" si="392"/>
        <v>1</v>
      </c>
      <c r="CC580" s="49">
        <f t="shared" si="393"/>
        <v>0</v>
      </c>
      <c r="CD580" s="49">
        <f t="shared" si="394"/>
        <v>0</v>
      </c>
      <c r="CE580" s="49">
        <f t="shared" si="395"/>
        <v>0</v>
      </c>
    </row>
    <row r="581" spans="1:83" ht="35.1" customHeight="1" x14ac:dyDescent="0.3">
      <c r="A581" s="123" t="str">
        <f t="shared" si="356"/>
        <v>5팀</v>
      </c>
      <c r="B581" s="69">
        <f t="shared" si="357"/>
        <v>575</v>
      </c>
      <c r="C581" s="120" t="str">
        <f>IF(VLOOKUP($B581,'1. 현장별 인원현황'!$C:$J,2,0)=0,"",VLOOKUP($B581,'1. 현장별 인원현황'!$C:$J,2,0))</f>
        <v xml:space="preserve"> [5.롯데건설] 마곡사옥 르웨스트 시티 D동 8-11층 이전공사</v>
      </c>
      <c r="D581" s="70" t="str">
        <f>IF(VLOOKUP($B581,'1. 현장별 인원현황'!$C:$J,3,0)=0,"",VLOOKUP($B581,'1. 현장별 인원현황'!$C:$J,3,0))</f>
        <v>이상훈</v>
      </c>
      <c r="E581" s="74" t="str">
        <f ca="1">IF(VLOOKUP($B581,'1. 현장별 인원현황'!$C:$J,4,0)=0,"",VLOOKUP($B581,'1. 현장별 인원현황'!$C:$J,4,0))</f>
        <v>67세</v>
      </c>
      <c r="F581" s="70" t="str">
        <f>IF(VLOOKUP($B581,'1. 현장별 인원현황'!$C:$J,7,0)=0,"",VLOOKUP($B581,'1. 현장별 인원현황'!$C:$J,7,0))</f>
        <v>기능공</v>
      </c>
      <c r="G581" s="72" t="str">
        <f>IF(VLOOKUP($B581,'1. 현장별 인원현황'!$C:$J,8,0)=0,"",VLOOKUP($B581,'1. 현장별 인원현황'!$C:$J,8,0))</f>
        <v>전공</v>
      </c>
      <c r="H581" s="67" t="s">
        <v>69</v>
      </c>
      <c r="I581" s="73"/>
      <c r="J581" s="73"/>
      <c r="K581" s="68"/>
      <c r="L581" s="67" t="s">
        <v>69</v>
      </c>
      <c r="M581" s="73"/>
      <c r="N581" s="73"/>
      <c r="O581" s="68"/>
      <c r="P581" s="67" t="s">
        <v>69</v>
      </c>
      <c r="Q581" s="73"/>
      <c r="R581" s="73"/>
      <c r="S581" s="68"/>
      <c r="T581" s="67" t="s">
        <v>69</v>
      </c>
      <c r="U581" s="73"/>
      <c r="V581" s="73"/>
      <c r="W581" s="68"/>
      <c r="X581" s="67" t="s">
        <v>69</v>
      </c>
      <c r="Y581" s="73"/>
      <c r="Z581" s="73"/>
      <c r="AA581" s="68"/>
      <c r="AB581" s="67" t="s">
        <v>69</v>
      </c>
      <c r="AC581" s="73"/>
      <c r="AD581" s="73"/>
      <c r="AE581" s="68"/>
      <c r="AF581" s="67" t="s">
        <v>69</v>
      </c>
      <c r="AG581" s="73"/>
      <c r="AH581" s="73"/>
      <c r="AI581" s="68"/>
      <c r="AJ581" s="67" t="s">
        <v>69</v>
      </c>
      <c r="AK581" s="73"/>
      <c r="AL581" s="73"/>
      <c r="AM581" s="68"/>
      <c r="AN581" s="73" t="s">
        <v>69</v>
      </c>
      <c r="AO581" s="73"/>
      <c r="AP581" s="73"/>
      <c r="AQ581" s="68"/>
      <c r="AR581" s="67">
        <f t="shared" si="358"/>
        <v>100</v>
      </c>
      <c r="AS581" s="68" t="str">
        <f t="shared" si="359"/>
        <v>S</v>
      </c>
      <c r="AV581" s="49">
        <f t="shared" si="360"/>
        <v>1</v>
      </c>
      <c r="AW581" s="49">
        <f t="shared" si="361"/>
        <v>0</v>
      </c>
      <c r="AX581" s="49">
        <f t="shared" si="362"/>
        <v>0</v>
      </c>
      <c r="AY581" s="49">
        <f t="shared" si="363"/>
        <v>0</v>
      </c>
      <c r="AZ581" s="49">
        <f t="shared" si="364"/>
        <v>1</v>
      </c>
      <c r="BA581" s="49">
        <f t="shared" si="365"/>
        <v>0</v>
      </c>
      <c r="BB581" s="49">
        <f t="shared" si="366"/>
        <v>0</v>
      </c>
      <c r="BC581" s="49">
        <f t="shared" si="367"/>
        <v>0</v>
      </c>
      <c r="BD581" s="49">
        <f t="shared" si="368"/>
        <v>1</v>
      </c>
      <c r="BE581" s="49">
        <f t="shared" si="369"/>
        <v>0</v>
      </c>
      <c r="BF581" s="49">
        <f t="shared" si="370"/>
        <v>0</v>
      </c>
      <c r="BG581" s="49">
        <f t="shared" si="371"/>
        <v>0</v>
      </c>
      <c r="BH581" s="49">
        <f t="shared" si="372"/>
        <v>1</v>
      </c>
      <c r="BI581" s="49">
        <f t="shared" si="373"/>
        <v>0</v>
      </c>
      <c r="BJ581" s="49">
        <f t="shared" si="374"/>
        <v>0</v>
      </c>
      <c r="BK581" s="49">
        <f t="shared" si="375"/>
        <v>0</v>
      </c>
      <c r="BL581" s="49">
        <f t="shared" si="376"/>
        <v>1</v>
      </c>
      <c r="BM581" s="49">
        <f t="shared" si="377"/>
        <v>0</v>
      </c>
      <c r="BN581" s="49">
        <f t="shared" si="378"/>
        <v>0</v>
      </c>
      <c r="BO581" s="49">
        <f t="shared" si="379"/>
        <v>0</v>
      </c>
      <c r="BP581" s="49">
        <f t="shared" si="380"/>
        <v>1</v>
      </c>
      <c r="BQ581" s="49">
        <f t="shared" si="381"/>
        <v>0</v>
      </c>
      <c r="BR581" s="49">
        <f t="shared" si="382"/>
        <v>0</v>
      </c>
      <c r="BS581" s="49">
        <f t="shared" si="383"/>
        <v>0</v>
      </c>
      <c r="BT581" s="49">
        <f t="shared" si="384"/>
        <v>1</v>
      </c>
      <c r="BU581" s="49">
        <f t="shared" si="385"/>
        <v>0</v>
      </c>
      <c r="BV581" s="49">
        <f t="shared" si="386"/>
        <v>0</v>
      </c>
      <c r="BW581" s="49">
        <f t="shared" si="387"/>
        <v>0</v>
      </c>
      <c r="BX581" s="49">
        <f t="shared" si="388"/>
        <v>1</v>
      </c>
      <c r="BY581" s="49">
        <f t="shared" si="389"/>
        <v>0</v>
      </c>
      <c r="BZ581" s="49">
        <f t="shared" si="390"/>
        <v>0</v>
      </c>
      <c r="CA581" s="49">
        <f t="shared" si="391"/>
        <v>0</v>
      </c>
      <c r="CB581" s="49">
        <f t="shared" si="392"/>
        <v>1</v>
      </c>
      <c r="CC581" s="49">
        <f t="shared" si="393"/>
        <v>0</v>
      </c>
      <c r="CD581" s="49">
        <f t="shared" si="394"/>
        <v>0</v>
      </c>
      <c r="CE581" s="49">
        <f t="shared" si="395"/>
        <v>0</v>
      </c>
    </row>
    <row r="582" spans="1:83" ht="35.1" customHeight="1" x14ac:dyDescent="0.3">
      <c r="A582" s="123" t="str">
        <f t="shared" si="356"/>
        <v>5팀</v>
      </c>
      <c r="B582" s="69">
        <f t="shared" si="357"/>
        <v>576</v>
      </c>
      <c r="C582" s="120" t="str">
        <f>IF(VLOOKUP($B582,'1. 현장별 인원현황'!$C:$J,2,0)=0,"",VLOOKUP($B582,'1. 현장별 인원현황'!$C:$J,2,0))</f>
        <v xml:space="preserve"> [5.롯데건설] 마곡사옥 르웨스트 시티 D동 8-11층 이전공사</v>
      </c>
      <c r="D582" s="70" t="str">
        <f>IF(VLOOKUP($B582,'1. 현장별 인원현황'!$C:$J,3,0)=0,"",VLOOKUP($B582,'1. 현장별 인원현황'!$C:$J,3,0))</f>
        <v>이재곤</v>
      </c>
      <c r="E582" s="74" t="str">
        <f ca="1">IF(VLOOKUP($B582,'1. 현장별 인원현황'!$C:$J,4,0)=0,"",VLOOKUP($B582,'1. 현장별 인원현황'!$C:$J,4,0))</f>
        <v>59세</v>
      </c>
      <c r="F582" s="70" t="str">
        <f>IF(VLOOKUP($B582,'1. 현장별 인원현황'!$C:$J,7,0)=0,"",VLOOKUP($B582,'1. 현장별 인원현황'!$C:$J,7,0))</f>
        <v>기능공</v>
      </c>
      <c r="G582" s="72" t="str">
        <f>IF(VLOOKUP($B582,'1. 현장별 인원현황'!$C:$J,8,0)=0,"",VLOOKUP($B582,'1. 현장별 인원현황'!$C:$J,8,0))</f>
        <v>전공</v>
      </c>
      <c r="H582" s="67" t="s">
        <v>69</v>
      </c>
      <c r="I582" s="73"/>
      <c r="J582" s="73"/>
      <c r="K582" s="68"/>
      <c r="L582" s="67" t="s">
        <v>69</v>
      </c>
      <c r="M582" s="73"/>
      <c r="N582" s="73"/>
      <c r="O582" s="68"/>
      <c r="P582" s="67" t="s">
        <v>69</v>
      </c>
      <c r="Q582" s="73"/>
      <c r="R582" s="73"/>
      <c r="S582" s="68"/>
      <c r="T582" s="67" t="s">
        <v>69</v>
      </c>
      <c r="U582" s="73"/>
      <c r="V582" s="73"/>
      <c r="W582" s="68"/>
      <c r="X582" s="67" t="s">
        <v>69</v>
      </c>
      <c r="Y582" s="73"/>
      <c r="Z582" s="73"/>
      <c r="AA582" s="68"/>
      <c r="AB582" s="67" t="s">
        <v>69</v>
      </c>
      <c r="AC582" s="73"/>
      <c r="AD582" s="73"/>
      <c r="AE582" s="68"/>
      <c r="AF582" s="67" t="s">
        <v>69</v>
      </c>
      <c r="AG582" s="73"/>
      <c r="AH582" s="73"/>
      <c r="AI582" s="68"/>
      <c r="AJ582" s="67" t="s">
        <v>69</v>
      </c>
      <c r="AK582" s="73"/>
      <c r="AL582" s="73"/>
      <c r="AM582" s="68"/>
      <c r="AN582" s="73" t="s">
        <v>69</v>
      </c>
      <c r="AO582" s="73"/>
      <c r="AP582" s="73"/>
      <c r="AQ582" s="68"/>
      <c r="AR582" s="67">
        <f t="shared" si="358"/>
        <v>100</v>
      </c>
      <c r="AS582" s="68" t="str">
        <f t="shared" si="359"/>
        <v>S</v>
      </c>
      <c r="AV582" s="49">
        <f t="shared" si="360"/>
        <v>1</v>
      </c>
      <c r="AW582" s="49">
        <f t="shared" si="361"/>
        <v>0</v>
      </c>
      <c r="AX582" s="49">
        <f t="shared" si="362"/>
        <v>0</v>
      </c>
      <c r="AY582" s="49">
        <f t="shared" si="363"/>
        <v>0</v>
      </c>
      <c r="AZ582" s="49">
        <f t="shared" si="364"/>
        <v>1</v>
      </c>
      <c r="BA582" s="49">
        <f t="shared" si="365"/>
        <v>0</v>
      </c>
      <c r="BB582" s="49">
        <f t="shared" si="366"/>
        <v>0</v>
      </c>
      <c r="BC582" s="49">
        <f t="shared" si="367"/>
        <v>0</v>
      </c>
      <c r="BD582" s="49">
        <f t="shared" si="368"/>
        <v>1</v>
      </c>
      <c r="BE582" s="49">
        <f t="shared" si="369"/>
        <v>0</v>
      </c>
      <c r="BF582" s="49">
        <f t="shared" si="370"/>
        <v>0</v>
      </c>
      <c r="BG582" s="49">
        <f t="shared" si="371"/>
        <v>0</v>
      </c>
      <c r="BH582" s="49">
        <f t="shared" si="372"/>
        <v>1</v>
      </c>
      <c r="BI582" s="49">
        <f t="shared" si="373"/>
        <v>0</v>
      </c>
      <c r="BJ582" s="49">
        <f t="shared" si="374"/>
        <v>0</v>
      </c>
      <c r="BK582" s="49">
        <f t="shared" si="375"/>
        <v>0</v>
      </c>
      <c r="BL582" s="49">
        <f t="shared" si="376"/>
        <v>1</v>
      </c>
      <c r="BM582" s="49">
        <f t="shared" si="377"/>
        <v>0</v>
      </c>
      <c r="BN582" s="49">
        <f t="shared" si="378"/>
        <v>0</v>
      </c>
      <c r="BO582" s="49">
        <f t="shared" si="379"/>
        <v>0</v>
      </c>
      <c r="BP582" s="49">
        <f t="shared" si="380"/>
        <v>1</v>
      </c>
      <c r="BQ582" s="49">
        <f t="shared" si="381"/>
        <v>0</v>
      </c>
      <c r="BR582" s="49">
        <f t="shared" si="382"/>
        <v>0</v>
      </c>
      <c r="BS582" s="49">
        <f t="shared" si="383"/>
        <v>0</v>
      </c>
      <c r="BT582" s="49">
        <f t="shared" si="384"/>
        <v>1</v>
      </c>
      <c r="BU582" s="49">
        <f t="shared" si="385"/>
        <v>0</v>
      </c>
      <c r="BV582" s="49">
        <f t="shared" si="386"/>
        <v>0</v>
      </c>
      <c r="BW582" s="49">
        <f t="shared" si="387"/>
        <v>0</v>
      </c>
      <c r="BX582" s="49">
        <f t="shared" si="388"/>
        <v>1</v>
      </c>
      <c r="BY582" s="49">
        <f t="shared" si="389"/>
        <v>0</v>
      </c>
      <c r="BZ582" s="49">
        <f t="shared" si="390"/>
        <v>0</v>
      </c>
      <c r="CA582" s="49">
        <f t="shared" si="391"/>
        <v>0</v>
      </c>
      <c r="CB582" s="49">
        <f t="shared" si="392"/>
        <v>1</v>
      </c>
      <c r="CC582" s="49">
        <f t="shared" si="393"/>
        <v>0</v>
      </c>
      <c r="CD582" s="49">
        <f t="shared" si="394"/>
        <v>0</v>
      </c>
      <c r="CE582" s="49">
        <f t="shared" si="395"/>
        <v>0</v>
      </c>
    </row>
    <row r="583" spans="1:83" ht="35.1" customHeight="1" x14ac:dyDescent="0.3">
      <c r="A583" s="123" t="str">
        <f t="shared" ref="A583:A644" si="396">MID(C583,3,1)&amp;"팀"</f>
        <v>5팀</v>
      </c>
      <c r="B583" s="69">
        <f t="shared" ref="B583:B644" si="397">ROW()-6</f>
        <v>577</v>
      </c>
      <c r="C583" s="120" t="str">
        <f>IF(VLOOKUP($B583,'1. 현장별 인원현황'!$C:$J,2,0)=0,"",VLOOKUP($B583,'1. 현장별 인원현황'!$C:$J,2,0))</f>
        <v xml:space="preserve"> [5.롯데건설] 마곡사옥 르웨스트 시티 D동 8-11층 이전공사</v>
      </c>
      <c r="D583" s="70" t="str">
        <f>IF(VLOOKUP($B583,'1. 현장별 인원현황'!$C:$J,3,0)=0,"",VLOOKUP($B583,'1. 현장별 인원현황'!$C:$J,3,0))</f>
        <v>조기성</v>
      </c>
      <c r="E583" s="74" t="str">
        <f ca="1">IF(VLOOKUP($B583,'1. 현장별 인원현황'!$C:$J,4,0)=0,"",VLOOKUP($B583,'1. 현장별 인원현황'!$C:$J,4,0))</f>
        <v>62세</v>
      </c>
      <c r="F583" s="70" t="str">
        <f>IF(VLOOKUP($B583,'1. 현장별 인원현황'!$C:$J,7,0)=0,"",VLOOKUP($B583,'1. 현장별 인원현황'!$C:$J,7,0))</f>
        <v>기능공</v>
      </c>
      <c r="G583" s="72" t="str">
        <f>IF(VLOOKUP($B583,'1. 현장별 인원현황'!$C:$J,8,0)=0,"",VLOOKUP($B583,'1. 현장별 인원현황'!$C:$J,8,0))</f>
        <v>전공</v>
      </c>
      <c r="H583" s="67" t="s">
        <v>69</v>
      </c>
      <c r="I583" s="73"/>
      <c r="J583" s="73"/>
      <c r="K583" s="68"/>
      <c r="L583" s="67" t="s">
        <v>69</v>
      </c>
      <c r="M583" s="73"/>
      <c r="N583" s="73"/>
      <c r="O583" s="68"/>
      <c r="P583" s="67" t="s">
        <v>69</v>
      </c>
      <c r="Q583" s="73"/>
      <c r="R583" s="73"/>
      <c r="S583" s="68"/>
      <c r="T583" s="67" t="s">
        <v>69</v>
      </c>
      <c r="U583" s="73"/>
      <c r="V583" s="73"/>
      <c r="W583" s="68"/>
      <c r="X583" s="67" t="s">
        <v>69</v>
      </c>
      <c r="Y583" s="73"/>
      <c r="Z583" s="73"/>
      <c r="AA583" s="68"/>
      <c r="AB583" s="67" t="s">
        <v>69</v>
      </c>
      <c r="AC583" s="73"/>
      <c r="AD583" s="73"/>
      <c r="AE583" s="68"/>
      <c r="AF583" s="67" t="s">
        <v>69</v>
      </c>
      <c r="AG583" s="73"/>
      <c r="AH583" s="73"/>
      <c r="AI583" s="68"/>
      <c r="AJ583" s="67" t="s">
        <v>69</v>
      </c>
      <c r="AK583" s="73"/>
      <c r="AL583" s="73"/>
      <c r="AM583" s="68"/>
      <c r="AN583" s="73" t="s">
        <v>69</v>
      </c>
      <c r="AO583" s="73"/>
      <c r="AP583" s="73"/>
      <c r="AQ583" s="68"/>
      <c r="AR583" s="67">
        <f t="shared" ref="AR583:AR644" si="398">SUMPRODUCT($H$5:$AQ$5,AV583:CE583)</f>
        <v>100</v>
      </c>
      <c r="AS583" s="68" t="str">
        <f t="shared" ref="AS583:AS644" si="399">IF(AR583&gt;85,"S",IF(AR583&gt;70,"A",IF(AR583&gt;50,"B",IF(AR583&gt;0,"C",""))))</f>
        <v>S</v>
      </c>
      <c r="AV583" s="49">
        <f t="shared" si="360"/>
        <v>1</v>
      </c>
      <c r="AW583" s="49">
        <f t="shared" si="361"/>
        <v>0</v>
      </c>
      <c r="AX583" s="49">
        <f t="shared" si="362"/>
        <v>0</v>
      </c>
      <c r="AY583" s="49">
        <f t="shared" si="363"/>
        <v>0</v>
      </c>
      <c r="AZ583" s="49">
        <f t="shared" si="364"/>
        <v>1</v>
      </c>
      <c r="BA583" s="49">
        <f t="shared" si="365"/>
        <v>0</v>
      </c>
      <c r="BB583" s="49">
        <f t="shared" si="366"/>
        <v>0</v>
      </c>
      <c r="BC583" s="49">
        <f t="shared" si="367"/>
        <v>0</v>
      </c>
      <c r="BD583" s="49">
        <f t="shared" si="368"/>
        <v>1</v>
      </c>
      <c r="BE583" s="49">
        <f t="shared" si="369"/>
        <v>0</v>
      </c>
      <c r="BF583" s="49">
        <f t="shared" si="370"/>
        <v>0</v>
      </c>
      <c r="BG583" s="49">
        <f t="shared" si="371"/>
        <v>0</v>
      </c>
      <c r="BH583" s="49">
        <f t="shared" si="372"/>
        <v>1</v>
      </c>
      <c r="BI583" s="49">
        <f t="shared" si="373"/>
        <v>0</v>
      </c>
      <c r="BJ583" s="49">
        <f t="shared" si="374"/>
        <v>0</v>
      </c>
      <c r="BK583" s="49">
        <f t="shared" si="375"/>
        <v>0</v>
      </c>
      <c r="BL583" s="49">
        <f t="shared" si="376"/>
        <v>1</v>
      </c>
      <c r="BM583" s="49">
        <f t="shared" si="377"/>
        <v>0</v>
      </c>
      <c r="BN583" s="49">
        <f t="shared" si="378"/>
        <v>0</v>
      </c>
      <c r="BO583" s="49">
        <f t="shared" si="379"/>
        <v>0</v>
      </c>
      <c r="BP583" s="49">
        <f t="shared" si="380"/>
        <v>1</v>
      </c>
      <c r="BQ583" s="49">
        <f t="shared" si="381"/>
        <v>0</v>
      </c>
      <c r="BR583" s="49">
        <f t="shared" si="382"/>
        <v>0</v>
      </c>
      <c r="BS583" s="49">
        <f t="shared" si="383"/>
        <v>0</v>
      </c>
      <c r="BT583" s="49">
        <f t="shared" si="384"/>
        <v>1</v>
      </c>
      <c r="BU583" s="49">
        <f t="shared" si="385"/>
        <v>0</v>
      </c>
      <c r="BV583" s="49">
        <f t="shared" si="386"/>
        <v>0</v>
      </c>
      <c r="BW583" s="49">
        <f t="shared" si="387"/>
        <v>0</v>
      </c>
      <c r="BX583" s="49">
        <f t="shared" si="388"/>
        <v>1</v>
      </c>
      <c r="BY583" s="49">
        <f t="shared" si="389"/>
        <v>0</v>
      </c>
      <c r="BZ583" s="49">
        <f t="shared" si="390"/>
        <v>0</v>
      </c>
      <c r="CA583" s="49">
        <f t="shared" si="391"/>
        <v>0</v>
      </c>
      <c r="CB583" s="49">
        <f t="shared" si="392"/>
        <v>1</v>
      </c>
      <c r="CC583" s="49">
        <f t="shared" si="393"/>
        <v>0</v>
      </c>
      <c r="CD583" s="49">
        <f t="shared" si="394"/>
        <v>0</v>
      </c>
      <c r="CE583" s="49">
        <f t="shared" si="395"/>
        <v>0</v>
      </c>
    </row>
    <row r="584" spans="1:83" ht="35.1" customHeight="1" x14ac:dyDescent="0.3">
      <c r="A584" s="123" t="str">
        <f t="shared" si="396"/>
        <v>5팀</v>
      </c>
      <c r="B584" s="69">
        <f t="shared" si="397"/>
        <v>578</v>
      </c>
      <c r="C584" s="120" t="str">
        <f>IF(VLOOKUP($B584,'1. 현장별 인원현황'!$C:$J,2,0)=0,"",VLOOKUP($B584,'1. 현장별 인원현황'!$C:$J,2,0))</f>
        <v xml:space="preserve"> [5.롯데건설] 마곡사옥 르웨스트 시티 D동 8-11층 이전공사</v>
      </c>
      <c r="D584" s="70" t="str">
        <f>IF(VLOOKUP($B584,'1. 현장별 인원현황'!$C:$J,3,0)=0,"",VLOOKUP($B584,'1. 현장별 인원현황'!$C:$J,3,0))</f>
        <v>이동우</v>
      </c>
      <c r="E584" s="74" t="str">
        <f ca="1">IF(VLOOKUP($B584,'1. 현장별 인원현황'!$C:$J,4,0)=0,"",VLOOKUP($B584,'1. 현장별 인원현황'!$C:$J,4,0))</f>
        <v>66세</v>
      </c>
      <c r="F584" s="70" t="str">
        <f>IF(VLOOKUP($B584,'1. 현장별 인원현황'!$C:$J,7,0)=0,"",VLOOKUP($B584,'1. 현장별 인원현황'!$C:$J,7,0))</f>
        <v>기능공</v>
      </c>
      <c r="G584" s="72" t="str">
        <f>IF(VLOOKUP($B584,'1. 현장별 인원현황'!$C:$J,8,0)=0,"",VLOOKUP($B584,'1. 현장별 인원현황'!$C:$J,8,0))</f>
        <v>전공</v>
      </c>
      <c r="H584" s="67" t="s">
        <v>69</v>
      </c>
      <c r="I584" s="73"/>
      <c r="J584" s="73"/>
      <c r="K584" s="68"/>
      <c r="L584" s="67" t="s">
        <v>69</v>
      </c>
      <c r="M584" s="73"/>
      <c r="N584" s="73"/>
      <c r="O584" s="68"/>
      <c r="P584" s="67" t="s">
        <v>69</v>
      </c>
      <c r="Q584" s="73"/>
      <c r="R584" s="73"/>
      <c r="S584" s="68"/>
      <c r="T584" s="67" t="s">
        <v>69</v>
      </c>
      <c r="U584" s="73"/>
      <c r="V584" s="73"/>
      <c r="W584" s="68"/>
      <c r="X584" s="67" t="s">
        <v>69</v>
      </c>
      <c r="Y584" s="73"/>
      <c r="Z584" s="73"/>
      <c r="AA584" s="68"/>
      <c r="AB584" s="67" t="s">
        <v>69</v>
      </c>
      <c r="AC584" s="73"/>
      <c r="AD584" s="73"/>
      <c r="AE584" s="68"/>
      <c r="AF584" s="67" t="s">
        <v>69</v>
      </c>
      <c r="AG584" s="73"/>
      <c r="AH584" s="73"/>
      <c r="AI584" s="68"/>
      <c r="AJ584" s="67" t="s">
        <v>69</v>
      </c>
      <c r="AK584" s="73"/>
      <c r="AL584" s="73"/>
      <c r="AM584" s="68"/>
      <c r="AN584" s="73" t="s">
        <v>69</v>
      </c>
      <c r="AO584" s="73"/>
      <c r="AP584" s="73"/>
      <c r="AQ584" s="68"/>
      <c r="AR584" s="67">
        <f t="shared" si="398"/>
        <v>100</v>
      </c>
      <c r="AS584" s="68" t="str">
        <f t="shared" si="399"/>
        <v>S</v>
      </c>
      <c r="AV584" s="49">
        <f t="shared" si="360"/>
        <v>1</v>
      </c>
      <c r="AW584" s="49">
        <f t="shared" si="361"/>
        <v>0</v>
      </c>
      <c r="AX584" s="49">
        <f t="shared" si="362"/>
        <v>0</v>
      </c>
      <c r="AY584" s="49">
        <f t="shared" si="363"/>
        <v>0</v>
      </c>
      <c r="AZ584" s="49">
        <f t="shared" si="364"/>
        <v>1</v>
      </c>
      <c r="BA584" s="49">
        <f t="shared" si="365"/>
        <v>0</v>
      </c>
      <c r="BB584" s="49">
        <f t="shared" si="366"/>
        <v>0</v>
      </c>
      <c r="BC584" s="49">
        <f t="shared" si="367"/>
        <v>0</v>
      </c>
      <c r="BD584" s="49">
        <f t="shared" si="368"/>
        <v>1</v>
      </c>
      <c r="BE584" s="49">
        <f t="shared" si="369"/>
        <v>0</v>
      </c>
      <c r="BF584" s="49">
        <f t="shared" si="370"/>
        <v>0</v>
      </c>
      <c r="BG584" s="49">
        <f t="shared" si="371"/>
        <v>0</v>
      </c>
      <c r="BH584" s="49">
        <f t="shared" si="372"/>
        <v>1</v>
      </c>
      <c r="BI584" s="49">
        <f t="shared" si="373"/>
        <v>0</v>
      </c>
      <c r="BJ584" s="49">
        <f t="shared" si="374"/>
        <v>0</v>
      </c>
      <c r="BK584" s="49">
        <f t="shared" si="375"/>
        <v>0</v>
      </c>
      <c r="BL584" s="49">
        <f t="shared" si="376"/>
        <v>1</v>
      </c>
      <c r="BM584" s="49">
        <f t="shared" si="377"/>
        <v>0</v>
      </c>
      <c r="BN584" s="49">
        <f t="shared" si="378"/>
        <v>0</v>
      </c>
      <c r="BO584" s="49">
        <f t="shared" si="379"/>
        <v>0</v>
      </c>
      <c r="BP584" s="49">
        <f t="shared" si="380"/>
        <v>1</v>
      </c>
      <c r="BQ584" s="49">
        <f t="shared" si="381"/>
        <v>0</v>
      </c>
      <c r="BR584" s="49">
        <f t="shared" si="382"/>
        <v>0</v>
      </c>
      <c r="BS584" s="49">
        <f t="shared" si="383"/>
        <v>0</v>
      </c>
      <c r="BT584" s="49">
        <f t="shared" si="384"/>
        <v>1</v>
      </c>
      <c r="BU584" s="49">
        <f t="shared" si="385"/>
        <v>0</v>
      </c>
      <c r="BV584" s="49">
        <f t="shared" si="386"/>
        <v>0</v>
      </c>
      <c r="BW584" s="49">
        <f t="shared" si="387"/>
        <v>0</v>
      </c>
      <c r="BX584" s="49">
        <f t="shared" si="388"/>
        <v>1</v>
      </c>
      <c r="BY584" s="49">
        <f t="shared" si="389"/>
        <v>0</v>
      </c>
      <c r="BZ584" s="49">
        <f t="shared" si="390"/>
        <v>0</v>
      </c>
      <c r="CA584" s="49">
        <f t="shared" si="391"/>
        <v>0</v>
      </c>
      <c r="CB584" s="49">
        <f t="shared" si="392"/>
        <v>1</v>
      </c>
      <c r="CC584" s="49">
        <f t="shared" si="393"/>
        <v>0</v>
      </c>
      <c r="CD584" s="49">
        <f t="shared" si="394"/>
        <v>0</v>
      </c>
      <c r="CE584" s="49">
        <f t="shared" si="395"/>
        <v>0</v>
      </c>
    </row>
    <row r="585" spans="1:83" ht="35.1" customHeight="1" x14ac:dyDescent="0.3">
      <c r="A585" s="123" t="str">
        <f t="shared" si="396"/>
        <v>5팀</v>
      </c>
      <c r="B585" s="69">
        <f t="shared" si="397"/>
        <v>579</v>
      </c>
      <c r="C585" s="120" t="str">
        <f>IF(VLOOKUP($B585,'1. 현장별 인원현황'!$C:$J,2,0)=0,"",VLOOKUP($B585,'1. 현장별 인원현황'!$C:$J,2,0))</f>
        <v xml:space="preserve"> [5.롯데건설] 마곡사옥 르웨스트 시티 D동 8-11층 이전공사</v>
      </c>
      <c r="D585" s="70" t="str">
        <f>IF(VLOOKUP($B585,'1. 현장별 인원현황'!$C:$J,3,0)=0,"",VLOOKUP($B585,'1. 현장별 인원현황'!$C:$J,3,0))</f>
        <v>김완수</v>
      </c>
      <c r="E585" s="74" t="str">
        <f ca="1">IF(VLOOKUP($B585,'1. 현장별 인원현황'!$C:$J,4,0)=0,"",VLOOKUP($B585,'1. 현장별 인원현황'!$C:$J,4,0))</f>
        <v>67세</v>
      </c>
      <c r="F585" s="70" t="str">
        <f>IF(VLOOKUP($B585,'1. 현장별 인원현황'!$C:$J,7,0)=0,"",VLOOKUP($B585,'1. 현장별 인원현황'!$C:$J,7,0))</f>
        <v>기능공</v>
      </c>
      <c r="G585" s="72" t="str">
        <f>IF(VLOOKUP($B585,'1. 현장별 인원현황'!$C:$J,8,0)=0,"",VLOOKUP($B585,'1. 현장별 인원현황'!$C:$J,8,0))</f>
        <v>전공</v>
      </c>
      <c r="H585" s="67" t="s">
        <v>69</v>
      </c>
      <c r="I585" s="73"/>
      <c r="J585" s="73"/>
      <c r="K585" s="68"/>
      <c r="L585" s="67" t="s">
        <v>69</v>
      </c>
      <c r="M585" s="73"/>
      <c r="N585" s="73"/>
      <c r="O585" s="68"/>
      <c r="P585" s="67" t="s">
        <v>69</v>
      </c>
      <c r="Q585" s="73"/>
      <c r="R585" s="73"/>
      <c r="S585" s="68"/>
      <c r="T585" s="67" t="s">
        <v>69</v>
      </c>
      <c r="U585" s="73"/>
      <c r="V585" s="73"/>
      <c r="W585" s="68"/>
      <c r="X585" s="67" t="s">
        <v>69</v>
      </c>
      <c r="Y585" s="73"/>
      <c r="Z585" s="73"/>
      <c r="AA585" s="68"/>
      <c r="AB585" s="67" t="s">
        <v>69</v>
      </c>
      <c r="AC585" s="73"/>
      <c r="AD585" s="73"/>
      <c r="AE585" s="68"/>
      <c r="AF585" s="67" t="s">
        <v>69</v>
      </c>
      <c r="AG585" s="73"/>
      <c r="AH585" s="73"/>
      <c r="AI585" s="68"/>
      <c r="AJ585" s="67" t="s">
        <v>69</v>
      </c>
      <c r="AK585" s="73"/>
      <c r="AL585" s="73"/>
      <c r="AM585" s="68"/>
      <c r="AN585" s="73" t="s">
        <v>69</v>
      </c>
      <c r="AO585" s="73"/>
      <c r="AP585" s="73"/>
      <c r="AQ585" s="68"/>
      <c r="AR585" s="67">
        <f t="shared" si="398"/>
        <v>100</v>
      </c>
      <c r="AS585" s="68" t="str">
        <f t="shared" si="399"/>
        <v>S</v>
      </c>
      <c r="AV585" s="49">
        <f t="shared" si="360"/>
        <v>1</v>
      </c>
      <c r="AW585" s="49">
        <f t="shared" si="361"/>
        <v>0</v>
      </c>
      <c r="AX585" s="49">
        <f t="shared" si="362"/>
        <v>0</v>
      </c>
      <c r="AY585" s="49">
        <f t="shared" si="363"/>
        <v>0</v>
      </c>
      <c r="AZ585" s="49">
        <f t="shared" si="364"/>
        <v>1</v>
      </c>
      <c r="BA585" s="49">
        <f t="shared" si="365"/>
        <v>0</v>
      </c>
      <c r="BB585" s="49">
        <f t="shared" si="366"/>
        <v>0</v>
      </c>
      <c r="BC585" s="49">
        <f t="shared" si="367"/>
        <v>0</v>
      </c>
      <c r="BD585" s="49">
        <f t="shared" si="368"/>
        <v>1</v>
      </c>
      <c r="BE585" s="49">
        <f t="shared" si="369"/>
        <v>0</v>
      </c>
      <c r="BF585" s="49">
        <f t="shared" si="370"/>
        <v>0</v>
      </c>
      <c r="BG585" s="49">
        <f t="shared" si="371"/>
        <v>0</v>
      </c>
      <c r="BH585" s="49">
        <f t="shared" si="372"/>
        <v>1</v>
      </c>
      <c r="BI585" s="49">
        <f t="shared" si="373"/>
        <v>0</v>
      </c>
      <c r="BJ585" s="49">
        <f t="shared" si="374"/>
        <v>0</v>
      </c>
      <c r="BK585" s="49">
        <f t="shared" si="375"/>
        <v>0</v>
      </c>
      <c r="BL585" s="49">
        <f t="shared" si="376"/>
        <v>1</v>
      </c>
      <c r="BM585" s="49">
        <f t="shared" si="377"/>
        <v>0</v>
      </c>
      <c r="BN585" s="49">
        <f t="shared" si="378"/>
        <v>0</v>
      </c>
      <c r="BO585" s="49">
        <f t="shared" si="379"/>
        <v>0</v>
      </c>
      <c r="BP585" s="49">
        <f t="shared" si="380"/>
        <v>1</v>
      </c>
      <c r="BQ585" s="49">
        <f t="shared" si="381"/>
        <v>0</v>
      </c>
      <c r="BR585" s="49">
        <f t="shared" si="382"/>
        <v>0</v>
      </c>
      <c r="BS585" s="49">
        <f t="shared" si="383"/>
        <v>0</v>
      </c>
      <c r="BT585" s="49">
        <f t="shared" si="384"/>
        <v>1</v>
      </c>
      <c r="BU585" s="49">
        <f t="shared" si="385"/>
        <v>0</v>
      </c>
      <c r="BV585" s="49">
        <f t="shared" si="386"/>
        <v>0</v>
      </c>
      <c r="BW585" s="49">
        <f t="shared" si="387"/>
        <v>0</v>
      </c>
      <c r="BX585" s="49">
        <f t="shared" si="388"/>
        <v>1</v>
      </c>
      <c r="BY585" s="49">
        <f t="shared" si="389"/>
        <v>0</v>
      </c>
      <c r="BZ585" s="49">
        <f t="shared" si="390"/>
        <v>0</v>
      </c>
      <c r="CA585" s="49">
        <f t="shared" si="391"/>
        <v>0</v>
      </c>
      <c r="CB585" s="49">
        <f t="shared" si="392"/>
        <v>1</v>
      </c>
      <c r="CC585" s="49">
        <f t="shared" si="393"/>
        <v>0</v>
      </c>
      <c r="CD585" s="49">
        <f t="shared" si="394"/>
        <v>0</v>
      </c>
      <c r="CE585" s="49">
        <f t="shared" si="395"/>
        <v>0</v>
      </c>
    </row>
    <row r="586" spans="1:83" ht="35.1" customHeight="1" x14ac:dyDescent="0.3">
      <c r="A586" s="123" t="str">
        <f t="shared" si="396"/>
        <v>5팀</v>
      </c>
      <c r="B586" s="69">
        <f t="shared" si="397"/>
        <v>580</v>
      </c>
      <c r="C586" s="120" t="str">
        <f>IF(VLOOKUP($B586,'1. 현장별 인원현황'!$C:$J,2,0)=0,"",VLOOKUP($B586,'1. 현장별 인원현황'!$C:$J,2,0))</f>
        <v xml:space="preserve"> [5.한국교직원공제회] The-K 제주호텔 리모델링 공사</v>
      </c>
      <c r="D586" s="70" t="str">
        <f>IF(VLOOKUP($B586,'1. 현장별 인원현황'!$C:$J,3,0)=0,"",VLOOKUP($B586,'1. 현장별 인원현황'!$C:$J,3,0))</f>
        <v>송인현</v>
      </c>
      <c r="E586" s="74" t="str">
        <f ca="1">IF(VLOOKUP($B586,'1. 현장별 인원현황'!$C:$J,4,0)=0,"",VLOOKUP($B586,'1. 현장별 인원현황'!$C:$J,4,0))</f>
        <v>55세</v>
      </c>
      <c r="F586" s="70" t="str">
        <f>IF(VLOOKUP($B586,'1. 현장별 인원현황'!$C:$J,7,0)=0,"",VLOOKUP($B586,'1. 현장별 인원현황'!$C:$J,7,0))</f>
        <v>공무</v>
      </c>
      <c r="G586" s="72" t="str">
        <f>IF(VLOOKUP($B586,'1. 현장별 인원현황'!$C:$J,8,0)=0,"",VLOOKUP($B586,'1. 현장별 인원현황'!$C:$J,8,0))</f>
        <v>차장</v>
      </c>
      <c r="H586" s="67" t="s">
        <v>69</v>
      </c>
      <c r="I586" s="73"/>
      <c r="J586" s="73"/>
      <c r="K586" s="68"/>
      <c r="L586" s="67"/>
      <c r="M586" s="73" t="s">
        <v>69</v>
      </c>
      <c r="N586" s="73"/>
      <c r="O586" s="68"/>
      <c r="P586" s="67"/>
      <c r="Q586" s="73" t="s">
        <v>69</v>
      </c>
      <c r="R586" s="73"/>
      <c r="S586" s="68"/>
      <c r="T586" s="67" t="s">
        <v>69</v>
      </c>
      <c r="U586" s="73"/>
      <c r="V586" s="73"/>
      <c r="W586" s="68"/>
      <c r="X586" s="67" t="s">
        <v>69</v>
      </c>
      <c r="Y586" s="73"/>
      <c r="Z586" s="73"/>
      <c r="AA586" s="68"/>
      <c r="AB586" s="67" t="s">
        <v>69</v>
      </c>
      <c r="AC586" s="73"/>
      <c r="AD586" s="73"/>
      <c r="AE586" s="68"/>
      <c r="AF586" s="67" t="s">
        <v>69</v>
      </c>
      <c r="AG586" s="73"/>
      <c r="AH586" s="73"/>
      <c r="AI586" s="68"/>
      <c r="AJ586" s="67" t="s">
        <v>69</v>
      </c>
      <c r="AK586" s="73"/>
      <c r="AL586" s="73"/>
      <c r="AM586" s="68"/>
      <c r="AN586" s="73" t="s">
        <v>69</v>
      </c>
      <c r="AO586" s="73"/>
      <c r="AP586" s="73"/>
      <c r="AQ586" s="68"/>
      <c r="AR586" s="67">
        <f t="shared" si="398"/>
        <v>94</v>
      </c>
      <c r="AS586" s="68" t="str">
        <f t="shared" si="399"/>
        <v>S</v>
      </c>
      <c r="AV586" s="49">
        <f t="shared" si="360"/>
        <v>1</v>
      </c>
      <c r="AW586" s="49">
        <f t="shared" si="361"/>
        <v>0</v>
      </c>
      <c r="AX586" s="49">
        <f t="shared" si="362"/>
        <v>0</v>
      </c>
      <c r="AY586" s="49">
        <f t="shared" si="363"/>
        <v>0</v>
      </c>
      <c r="AZ586" s="49">
        <f t="shared" si="364"/>
        <v>0</v>
      </c>
      <c r="BA586" s="49">
        <f t="shared" si="365"/>
        <v>1</v>
      </c>
      <c r="BB586" s="49">
        <f t="shared" si="366"/>
        <v>0</v>
      </c>
      <c r="BC586" s="49">
        <f t="shared" si="367"/>
        <v>0</v>
      </c>
      <c r="BD586" s="49">
        <f t="shared" si="368"/>
        <v>0</v>
      </c>
      <c r="BE586" s="49">
        <f t="shared" si="369"/>
        <v>1</v>
      </c>
      <c r="BF586" s="49">
        <f t="shared" si="370"/>
        <v>0</v>
      </c>
      <c r="BG586" s="49">
        <f t="shared" si="371"/>
        <v>0</v>
      </c>
      <c r="BH586" s="49">
        <f t="shared" si="372"/>
        <v>1</v>
      </c>
      <c r="BI586" s="49">
        <f t="shared" si="373"/>
        <v>0</v>
      </c>
      <c r="BJ586" s="49">
        <f t="shared" si="374"/>
        <v>0</v>
      </c>
      <c r="BK586" s="49">
        <f t="shared" si="375"/>
        <v>0</v>
      </c>
      <c r="BL586" s="49">
        <f t="shared" si="376"/>
        <v>1</v>
      </c>
      <c r="BM586" s="49">
        <f t="shared" si="377"/>
        <v>0</v>
      </c>
      <c r="BN586" s="49">
        <f t="shared" si="378"/>
        <v>0</v>
      </c>
      <c r="BO586" s="49">
        <f t="shared" si="379"/>
        <v>0</v>
      </c>
      <c r="BP586" s="49">
        <f t="shared" si="380"/>
        <v>1</v>
      </c>
      <c r="BQ586" s="49">
        <f t="shared" si="381"/>
        <v>0</v>
      </c>
      <c r="BR586" s="49">
        <f t="shared" si="382"/>
        <v>0</v>
      </c>
      <c r="BS586" s="49">
        <f t="shared" si="383"/>
        <v>0</v>
      </c>
      <c r="BT586" s="49">
        <f t="shared" si="384"/>
        <v>1</v>
      </c>
      <c r="BU586" s="49">
        <f t="shared" si="385"/>
        <v>0</v>
      </c>
      <c r="BV586" s="49">
        <f t="shared" si="386"/>
        <v>0</v>
      </c>
      <c r="BW586" s="49">
        <f t="shared" si="387"/>
        <v>0</v>
      </c>
      <c r="BX586" s="49">
        <f t="shared" si="388"/>
        <v>1</v>
      </c>
      <c r="BY586" s="49">
        <f t="shared" si="389"/>
        <v>0</v>
      </c>
      <c r="BZ586" s="49">
        <f t="shared" si="390"/>
        <v>0</v>
      </c>
      <c r="CA586" s="49">
        <f t="shared" si="391"/>
        <v>0</v>
      </c>
      <c r="CB586" s="49">
        <f t="shared" si="392"/>
        <v>1</v>
      </c>
      <c r="CC586" s="49">
        <f t="shared" si="393"/>
        <v>0</v>
      </c>
      <c r="CD586" s="49">
        <f t="shared" si="394"/>
        <v>0</v>
      </c>
      <c r="CE586" s="49">
        <f t="shared" si="395"/>
        <v>0</v>
      </c>
    </row>
    <row r="587" spans="1:83" ht="35.1" customHeight="1" x14ac:dyDescent="0.3">
      <c r="A587" s="123" t="str">
        <f t="shared" si="396"/>
        <v>5팀</v>
      </c>
      <c r="B587" s="69">
        <f t="shared" si="397"/>
        <v>581</v>
      </c>
      <c r="C587" s="120" t="str">
        <f>IF(VLOOKUP($B587,'1. 현장별 인원현황'!$C:$J,2,0)=0,"",VLOOKUP($B587,'1. 현장별 인원현황'!$C:$J,2,0))</f>
        <v xml:space="preserve"> [5.한국교직원공제회] The-K 제주호텔 리모델링 공사</v>
      </c>
      <c r="D587" s="70" t="str">
        <f>IF(VLOOKUP($B587,'1. 현장별 인원현황'!$C:$J,3,0)=0,"",VLOOKUP($B587,'1. 현장별 인원현황'!$C:$J,3,0))</f>
        <v>이창원</v>
      </c>
      <c r="E587" s="74" t="str">
        <f ca="1">IF(VLOOKUP($B587,'1. 현장별 인원현황'!$C:$J,4,0)=0,"",VLOOKUP($B587,'1. 현장별 인원현황'!$C:$J,4,0))</f>
        <v>29세</v>
      </c>
      <c r="F587" s="70" t="str">
        <f>IF(VLOOKUP($B587,'1. 현장별 인원현황'!$C:$J,7,0)=0,"",VLOOKUP($B587,'1. 현장별 인원현황'!$C:$J,7,0))</f>
        <v>안전관리자</v>
      </c>
      <c r="G587" s="72" t="str">
        <f>IF(VLOOKUP($B587,'1. 현장별 인원현황'!$C:$J,8,0)=0,"",VLOOKUP($B587,'1. 현장별 인원현황'!$C:$J,8,0))</f>
        <v>대리</v>
      </c>
      <c r="H587" s="67"/>
      <c r="I587" s="73"/>
      <c r="J587" s="73" t="s">
        <v>69</v>
      </c>
      <c r="K587" s="68"/>
      <c r="L587" s="67"/>
      <c r="M587" s="73"/>
      <c r="N587" s="73" t="s">
        <v>69</v>
      </c>
      <c r="O587" s="68"/>
      <c r="P587" s="67"/>
      <c r="Q587" s="73" t="s">
        <v>69</v>
      </c>
      <c r="R587" s="73"/>
      <c r="S587" s="68"/>
      <c r="T587" s="67"/>
      <c r="U587" s="73" t="s">
        <v>69</v>
      </c>
      <c r="V587" s="73"/>
      <c r="W587" s="68"/>
      <c r="X587" s="67"/>
      <c r="Y587" s="73" t="s">
        <v>69</v>
      </c>
      <c r="Z587" s="73"/>
      <c r="AA587" s="68"/>
      <c r="AB587" s="67"/>
      <c r="AC587" s="73" t="s">
        <v>69</v>
      </c>
      <c r="AD587" s="73"/>
      <c r="AE587" s="68"/>
      <c r="AF587" s="67"/>
      <c r="AG587" s="73" t="s">
        <v>69</v>
      </c>
      <c r="AH587" s="73"/>
      <c r="AI587" s="68"/>
      <c r="AJ587" s="67"/>
      <c r="AK587" s="73" t="s">
        <v>69</v>
      </c>
      <c r="AL587" s="73"/>
      <c r="AM587" s="68"/>
      <c r="AN587" s="73"/>
      <c r="AO587" s="73" t="s">
        <v>69</v>
      </c>
      <c r="AP587" s="73"/>
      <c r="AQ587" s="68"/>
      <c r="AR587" s="67">
        <f t="shared" si="398"/>
        <v>71</v>
      </c>
      <c r="AS587" s="68" t="str">
        <f t="shared" si="399"/>
        <v>A</v>
      </c>
      <c r="AV587" s="49">
        <f t="shared" si="360"/>
        <v>0</v>
      </c>
      <c r="AW587" s="49">
        <f t="shared" si="361"/>
        <v>0</v>
      </c>
      <c r="AX587" s="49">
        <f t="shared" si="362"/>
        <v>1</v>
      </c>
      <c r="AY587" s="49">
        <f t="shared" si="363"/>
        <v>0</v>
      </c>
      <c r="AZ587" s="49">
        <f t="shared" si="364"/>
        <v>0</v>
      </c>
      <c r="BA587" s="49">
        <f t="shared" si="365"/>
        <v>0</v>
      </c>
      <c r="BB587" s="49">
        <f t="shared" si="366"/>
        <v>1</v>
      </c>
      <c r="BC587" s="49">
        <f t="shared" si="367"/>
        <v>0</v>
      </c>
      <c r="BD587" s="49">
        <f t="shared" si="368"/>
        <v>0</v>
      </c>
      <c r="BE587" s="49">
        <f t="shared" si="369"/>
        <v>1</v>
      </c>
      <c r="BF587" s="49">
        <f t="shared" si="370"/>
        <v>0</v>
      </c>
      <c r="BG587" s="49">
        <f t="shared" si="371"/>
        <v>0</v>
      </c>
      <c r="BH587" s="49">
        <f t="shared" si="372"/>
        <v>0</v>
      </c>
      <c r="BI587" s="49">
        <f t="shared" si="373"/>
        <v>1</v>
      </c>
      <c r="BJ587" s="49">
        <f t="shared" si="374"/>
        <v>0</v>
      </c>
      <c r="BK587" s="49">
        <f t="shared" si="375"/>
        <v>0</v>
      </c>
      <c r="BL587" s="49">
        <f t="shared" si="376"/>
        <v>0</v>
      </c>
      <c r="BM587" s="49">
        <f t="shared" si="377"/>
        <v>1</v>
      </c>
      <c r="BN587" s="49">
        <f t="shared" si="378"/>
        <v>0</v>
      </c>
      <c r="BO587" s="49">
        <f t="shared" si="379"/>
        <v>0</v>
      </c>
      <c r="BP587" s="49">
        <f t="shared" si="380"/>
        <v>0</v>
      </c>
      <c r="BQ587" s="49">
        <f t="shared" si="381"/>
        <v>1</v>
      </c>
      <c r="BR587" s="49">
        <f t="shared" si="382"/>
        <v>0</v>
      </c>
      <c r="BS587" s="49">
        <f t="shared" si="383"/>
        <v>0</v>
      </c>
      <c r="BT587" s="49">
        <f t="shared" si="384"/>
        <v>0</v>
      </c>
      <c r="BU587" s="49">
        <f t="shared" si="385"/>
        <v>1</v>
      </c>
      <c r="BV587" s="49">
        <f t="shared" si="386"/>
        <v>0</v>
      </c>
      <c r="BW587" s="49">
        <f t="shared" si="387"/>
        <v>0</v>
      </c>
      <c r="BX587" s="49">
        <f t="shared" si="388"/>
        <v>0</v>
      </c>
      <c r="BY587" s="49">
        <f t="shared" si="389"/>
        <v>1</v>
      </c>
      <c r="BZ587" s="49">
        <f t="shared" si="390"/>
        <v>0</v>
      </c>
      <c r="CA587" s="49">
        <f t="shared" si="391"/>
        <v>0</v>
      </c>
      <c r="CB587" s="49">
        <f t="shared" si="392"/>
        <v>0</v>
      </c>
      <c r="CC587" s="49">
        <f t="shared" si="393"/>
        <v>1</v>
      </c>
      <c r="CD587" s="49">
        <f t="shared" si="394"/>
        <v>0</v>
      </c>
      <c r="CE587" s="49">
        <f t="shared" si="395"/>
        <v>0</v>
      </c>
    </row>
    <row r="588" spans="1:83" ht="35.1" customHeight="1" x14ac:dyDescent="0.3">
      <c r="A588" s="123" t="str">
        <f t="shared" si="396"/>
        <v>5팀</v>
      </c>
      <c r="B588" s="69">
        <f t="shared" si="397"/>
        <v>582</v>
      </c>
      <c r="C588" s="120" t="str">
        <f>IF(VLOOKUP($B588,'1. 현장별 인원현황'!$C:$J,2,0)=0,"",VLOOKUP($B588,'1. 현장별 인원현황'!$C:$J,2,0))</f>
        <v xml:space="preserve"> [5.한국교직원공제회] The-K 제주호텔 리모델링 공사</v>
      </c>
      <c r="D588" s="70" t="str">
        <f>IF(VLOOKUP($B588,'1. 현장별 인원현황'!$C:$J,3,0)=0,"",VLOOKUP($B588,'1. 현장별 인원현황'!$C:$J,3,0))</f>
        <v>명노원</v>
      </c>
      <c r="E588" s="74" t="str">
        <f ca="1">IF(VLOOKUP($B588,'1. 현장별 인원현황'!$C:$J,4,0)=0,"",VLOOKUP($B588,'1. 현장별 인원현황'!$C:$J,4,0))</f>
        <v>46세</v>
      </c>
      <c r="F588" s="70" t="str">
        <f>IF(VLOOKUP($B588,'1. 현장별 인원현황'!$C:$J,7,0)=0,"",VLOOKUP($B588,'1. 현장별 인원현황'!$C:$J,7,0))</f>
        <v>공사</v>
      </c>
      <c r="G588" s="72" t="str">
        <f>IF(VLOOKUP($B588,'1. 현장별 인원현황'!$C:$J,8,0)=0,"",VLOOKUP($B588,'1. 현장별 인원현황'!$C:$J,8,0))</f>
        <v>차장</v>
      </c>
      <c r="H588" s="67" t="s">
        <v>69</v>
      </c>
      <c r="I588" s="73"/>
      <c r="J588" s="73"/>
      <c r="K588" s="68"/>
      <c r="L588" s="67" t="s">
        <v>69</v>
      </c>
      <c r="M588" s="73"/>
      <c r="N588" s="73"/>
      <c r="O588" s="68"/>
      <c r="P588" s="67" t="s">
        <v>69</v>
      </c>
      <c r="Q588" s="73"/>
      <c r="R588" s="73"/>
      <c r="S588" s="68"/>
      <c r="T588" s="67" t="s">
        <v>69</v>
      </c>
      <c r="U588" s="73"/>
      <c r="V588" s="73"/>
      <c r="W588" s="68"/>
      <c r="X588" s="67" t="s">
        <v>69</v>
      </c>
      <c r="Y588" s="73"/>
      <c r="Z588" s="73"/>
      <c r="AA588" s="68"/>
      <c r="AB588" s="67" t="s">
        <v>69</v>
      </c>
      <c r="AC588" s="73"/>
      <c r="AD588" s="73"/>
      <c r="AE588" s="68"/>
      <c r="AF588" s="67" t="s">
        <v>69</v>
      </c>
      <c r="AG588" s="73"/>
      <c r="AH588" s="73"/>
      <c r="AI588" s="68"/>
      <c r="AJ588" s="67" t="s">
        <v>69</v>
      </c>
      <c r="AK588" s="73"/>
      <c r="AL588" s="73"/>
      <c r="AM588" s="68"/>
      <c r="AN588" s="73" t="s">
        <v>69</v>
      </c>
      <c r="AO588" s="73"/>
      <c r="AP588" s="73"/>
      <c r="AQ588" s="68"/>
      <c r="AR588" s="67">
        <f t="shared" si="398"/>
        <v>100</v>
      </c>
      <c r="AS588" s="68" t="str">
        <f t="shared" si="399"/>
        <v>S</v>
      </c>
      <c r="AV588" s="49">
        <f t="shared" si="360"/>
        <v>1</v>
      </c>
      <c r="AW588" s="49">
        <f t="shared" si="361"/>
        <v>0</v>
      </c>
      <c r="AX588" s="49">
        <f t="shared" si="362"/>
        <v>0</v>
      </c>
      <c r="AY588" s="49">
        <f t="shared" si="363"/>
        <v>0</v>
      </c>
      <c r="AZ588" s="49">
        <f t="shared" si="364"/>
        <v>1</v>
      </c>
      <c r="BA588" s="49">
        <f t="shared" si="365"/>
        <v>0</v>
      </c>
      <c r="BB588" s="49">
        <f t="shared" si="366"/>
        <v>0</v>
      </c>
      <c r="BC588" s="49">
        <f t="shared" si="367"/>
        <v>0</v>
      </c>
      <c r="BD588" s="49">
        <f t="shared" si="368"/>
        <v>1</v>
      </c>
      <c r="BE588" s="49">
        <f t="shared" si="369"/>
        <v>0</v>
      </c>
      <c r="BF588" s="49">
        <f t="shared" si="370"/>
        <v>0</v>
      </c>
      <c r="BG588" s="49">
        <f t="shared" si="371"/>
        <v>0</v>
      </c>
      <c r="BH588" s="49">
        <f t="shared" si="372"/>
        <v>1</v>
      </c>
      <c r="BI588" s="49">
        <f t="shared" si="373"/>
        <v>0</v>
      </c>
      <c r="BJ588" s="49">
        <f t="shared" si="374"/>
        <v>0</v>
      </c>
      <c r="BK588" s="49">
        <f t="shared" si="375"/>
        <v>0</v>
      </c>
      <c r="BL588" s="49">
        <f t="shared" si="376"/>
        <v>1</v>
      </c>
      <c r="BM588" s="49">
        <f t="shared" si="377"/>
        <v>0</v>
      </c>
      <c r="BN588" s="49">
        <f t="shared" si="378"/>
        <v>0</v>
      </c>
      <c r="BO588" s="49">
        <f t="shared" si="379"/>
        <v>0</v>
      </c>
      <c r="BP588" s="49">
        <f t="shared" si="380"/>
        <v>1</v>
      </c>
      <c r="BQ588" s="49">
        <f t="shared" si="381"/>
        <v>0</v>
      </c>
      <c r="BR588" s="49">
        <f t="shared" si="382"/>
        <v>0</v>
      </c>
      <c r="BS588" s="49">
        <f t="shared" si="383"/>
        <v>0</v>
      </c>
      <c r="BT588" s="49">
        <f t="shared" si="384"/>
        <v>1</v>
      </c>
      <c r="BU588" s="49">
        <f t="shared" si="385"/>
        <v>0</v>
      </c>
      <c r="BV588" s="49">
        <f t="shared" si="386"/>
        <v>0</v>
      </c>
      <c r="BW588" s="49">
        <f t="shared" si="387"/>
        <v>0</v>
      </c>
      <c r="BX588" s="49">
        <f t="shared" si="388"/>
        <v>1</v>
      </c>
      <c r="BY588" s="49">
        <f t="shared" si="389"/>
        <v>0</v>
      </c>
      <c r="BZ588" s="49">
        <f t="shared" si="390"/>
        <v>0</v>
      </c>
      <c r="CA588" s="49">
        <f t="shared" si="391"/>
        <v>0</v>
      </c>
      <c r="CB588" s="49">
        <f t="shared" si="392"/>
        <v>1</v>
      </c>
      <c r="CC588" s="49">
        <f t="shared" si="393"/>
        <v>0</v>
      </c>
      <c r="CD588" s="49">
        <f t="shared" si="394"/>
        <v>0</v>
      </c>
      <c r="CE588" s="49">
        <f t="shared" si="395"/>
        <v>0</v>
      </c>
    </row>
    <row r="589" spans="1:83" ht="35.1" customHeight="1" x14ac:dyDescent="0.3">
      <c r="A589" s="123" t="str">
        <f t="shared" si="396"/>
        <v>5팀</v>
      </c>
      <c r="B589" s="69">
        <f t="shared" si="397"/>
        <v>583</v>
      </c>
      <c r="C589" s="120" t="str">
        <f>IF(VLOOKUP($B589,'1. 현장별 인원현황'!$C:$J,2,0)=0,"",VLOOKUP($B589,'1. 현장별 인원현황'!$C:$J,2,0))</f>
        <v xml:space="preserve"> [5.한국교직원공제회] The-K 제주호텔 리모델링 공사</v>
      </c>
      <c r="D589" s="70" t="str">
        <f>IF(VLOOKUP($B589,'1. 현장별 인원현황'!$C:$J,3,0)=0,"",VLOOKUP($B589,'1. 현장별 인원현황'!$C:$J,3,0))</f>
        <v>이  경</v>
      </c>
      <c r="E589" s="74" t="str">
        <f ca="1">IF(VLOOKUP($B589,'1. 현장별 인원현황'!$C:$J,4,0)=0,"",VLOOKUP($B589,'1. 현장별 인원현황'!$C:$J,4,0))</f>
        <v>65세</v>
      </c>
      <c r="F589" s="70" t="str">
        <f>IF(VLOOKUP($B589,'1. 현장별 인원현황'!$C:$J,7,0)=0,"",VLOOKUP($B589,'1. 현장별 인원현황'!$C:$J,7,0))</f>
        <v>기능공</v>
      </c>
      <c r="G589" s="72" t="str">
        <f>IF(VLOOKUP($B589,'1. 현장별 인원현황'!$C:$J,8,0)=0,"",VLOOKUP($B589,'1. 현장별 인원현황'!$C:$J,8,0))</f>
        <v>전공</v>
      </c>
      <c r="H589" s="67"/>
      <c r="I589" s="73" t="s">
        <v>69</v>
      </c>
      <c r="J589" s="73"/>
      <c r="K589" s="68"/>
      <c r="L589" s="67"/>
      <c r="M589" s="73" t="s">
        <v>69</v>
      </c>
      <c r="N589" s="73"/>
      <c r="O589" s="68"/>
      <c r="P589" s="67"/>
      <c r="Q589" s="73" t="s">
        <v>69</v>
      </c>
      <c r="R589" s="73"/>
      <c r="S589" s="68"/>
      <c r="T589" s="67"/>
      <c r="U589" s="73" t="s">
        <v>69</v>
      </c>
      <c r="V589" s="73"/>
      <c r="W589" s="68"/>
      <c r="X589" s="67"/>
      <c r="Y589" s="73" t="s">
        <v>69</v>
      </c>
      <c r="Z589" s="73"/>
      <c r="AA589" s="68"/>
      <c r="AB589" s="67" t="s">
        <v>69</v>
      </c>
      <c r="AC589" s="73"/>
      <c r="AD589" s="73"/>
      <c r="AE589" s="68"/>
      <c r="AF589" s="67" t="s">
        <v>69</v>
      </c>
      <c r="AG589" s="73"/>
      <c r="AH589" s="73"/>
      <c r="AI589" s="68"/>
      <c r="AJ589" s="67"/>
      <c r="AK589" s="73" t="s">
        <v>69</v>
      </c>
      <c r="AL589" s="73"/>
      <c r="AM589" s="68"/>
      <c r="AN589" s="73" t="s">
        <v>69</v>
      </c>
      <c r="AO589" s="73"/>
      <c r="AP589" s="73"/>
      <c r="AQ589" s="68"/>
      <c r="AR589" s="67">
        <f t="shared" si="398"/>
        <v>84</v>
      </c>
      <c r="AS589" s="68" t="str">
        <f t="shared" si="399"/>
        <v>A</v>
      </c>
      <c r="AV589" s="49">
        <f t="shared" si="360"/>
        <v>0</v>
      </c>
      <c r="AW589" s="49">
        <f t="shared" si="361"/>
        <v>1</v>
      </c>
      <c r="AX589" s="49">
        <f t="shared" si="362"/>
        <v>0</v>
      </c>
      <c r="AY589" s="49">
        <f t="shared" si="363"/>
        <v>0</v>
      </c>
      <c r="AZ589" s="49">
        <f t="shared" si="364"/>
        <v>0</v>
      </c>
      <c r="BA589" s="49">
        <f t="shared" si="365"/>
        <v>1</v>
      </c>
      <c r="BB589" s="49">
        <f t="shared" si="366"/>
        <v>0</v>
      </c>
      <c r="BC589" s="49">
        <f t="shared" si="367"/>
        <v>0</v>
      </c>
      <c r="BD589" s="49">
        <f t="shared" si="368"/>
        <v>0</v>
      </c>
      <c r="BE589" s="49">
        <f t="shared" si="369"/>
        <v>1</v>
      </c>
      <c r="BF589" s="49">
        <f t="shared" si="370"/>
        <v>0</v>
      </c>
      <c r="BG589" s="49">
        <f t="shared" si="371"/>
        <v>0</v>
      </c>
      <c r="BH589" s="49">
        <f t="shared" si="372"/>
        <v>0</v>
      </c>
      <c r="BI589" s="49">
        <f t="shared" si="373"/>
        <v>1</v>
      </c>
      <c r="BJ589" s="49">
        <f t="shared" si="374"/>
        <v>0</v>
      </c>
      <c r="BK589" s="49">
        <f t="shared" si="375"/>
        <v>0</v>
      </c>
      <c r="BL589" s="49">
        <f t="shared" si="376"/>
        <v>0</v>
      </c>
      <c r="BM589" s="49">
        <f t="shared" si="377"/>
        <v>1</v>
      </c>
      <c r="BN589" s="49">
        <f t="shared" si="378"/>
        <v>0</v>
      </c>
      <c r="BO589" s="49">
        <f t="shared" si="379"/>
        <v>0</v>
      </c>
      <c r="BP589" s="49">
        <f t="shared" si="380"/>
        <v>1</v>
      </c>
      <c r="BQ589" s="49">
        <f t="shared" si="381"/>
        <v>0</v>
      </c>
      <c r="BR589" s="49">
        <f t="shared" si="382"/>
        <v>0</v>
      </c>
      <c r="BS589" s="49">
        <f t="shared" si="383"/>
        <v>0</v>
      </c>
      <c r="BT589" s="49">
        <f t="shared" si="384"/>
        <v>1</v>
      </c>
      <c r="BU589" s="49">
        <f t="shared" si="385"/>
        <v>0</v>
      </c>
      <c r="BV589" s="49">
        <f t="shared" si="386"/>
        <v>0</v>
      </c>
      <c r="BW589" s="49">
        <f t="shared" si="387"/>
        <v>0</v>
      </c>
      <c r="BX589" s="49">
        <f t="shared" si="388"/>
        <v>0</v>
      </c>
      <c r="BY589" s="49">
        <f t="shared" si="389"/>
        <v>1</v>
      </c>
      <c r="BZ589" s="49">
        <f t="shared" si="390"/>
        <v>0</v>
      </c>
      <c r="CA589" s="49">
        <f t="shared" si="391"/>
        <v>0</v>
      </c>
      <c r="CB589" s="49">
        <f t="shared" si="392"/>
        <v>1</v>
      </c>
      <c r="CC589" s="49">
        <f t="shared" si="393"/>
        <v>0</v>
      </c>
      <c r="CD589" s="49">
        <f t="shared" si="394"/>
        <v>0</v>
      </c>
      <c r="CE589" s="49">
        <f t="shared" si="395"/>
        <v>0</v>
      </c>
    </row>
    <row r="590" spans="1:83" ht="35.1" customHeight="1" x14ac:dyDescent="0.3">
      <c r="A590" s="123" t="str">
        <f t="shared" si="396"/>
        <v>5팀</v>
      </c>
      <c r="B590" s="69">
        <f t="shared" si="397"/>
        <v>584</v>
      </c>
      <c r="C590" s="120" t="str">
        <f>IF(VLOOKUP($B590,'1. 현장별 인원현황'!$C:$J,2,0)=0,"",VLOOKUP($B590,'1. 현장별 인원현황'!$C:$J,2,0))</f>
        <v xml:space="preserve"> [5.한국교직원공제회] The-K 제주호텔 리모델링 공사</v>
      </c>
      <c r="D590" s="70" t="str">
        <f>IF(VLOOKUP($B590,'1. 현장별 인원현황'!$C:$J,3,0)=0,"",VLOOKUP($B590,'1. 현장별 인원현황'!$C:$J,3,0))</f>
        <v>이창래</v>
      </c>
      <c r="E590" s="74" t="str">
        <f ca="1">IF(VLOOKUP($B590,'1. 현장별 인원현황'!$C:$J,4,0)=0,"",VLOOKUP($B590,'1. 현장별 인원현황'!$C:$J,4,0))</f>
        <v>45세</v>
      </c>
      <c r="F590" s="70" t="str">
        <f>IF(VLOOKUP($B590,'1. 현장별 인원현황'!$C:$J,7,0)=0,"",VLOOKUP($B590,'1. 현장별 인원현황'!$C:$J,7,0))</f>
        <v>기능공</v>
      </c>
      <c r="G590" s="72" t="str">
        <f>IF(VLOOKUP($B590,'1. 현장별 인원현황'!$C:$J,8,0)=0,"",VLOOKUP($B590,'1. 현장별 인원현황'!$C:$J,8,0))</f>
        <v>전공</v>
      </c>
      <c r="H590" s="67" t="s">
        <v>69</v>
      </c>
      <c r="I590" s="73"/>
      <c r="J590" s="73"/>
      <c r="K590" s="68"/>
      <c r="L590" s="67"/>
      <c r="M590" s="73" t="s">
        <v>69</v>
      </c>
      <c r="N590" s="73"/>
      <c r="O590" s="68"/>
      <c r="P590" s="67" t="s">
        <v>69</v>
      </c>
      <c r="Q590" s="73"/>
      <c r="R590" s="73"/>
      <c r="S590" s="68"/>
      <c r="T590" s="67"/>
      <c r="U590" s="73" t="s">
        <v>69</v>
      </c>
      <c r="V590" s="73"/>
      <c r="W590" s="68"/>
      <c r="X590" s="67"/>
      <c r="Y590" s="73" t="s">
        <v>69</v>
      </c>
      <c r="Z590" s="73"/>
      <c r="AA590" s="68"/>
      <c r="AB590" s="67"/>
      <c r="AC590" s="73" t="s">
        <v>69</v>
      </c>
      <c r="AD590" s="73"/>
      <c r="AE590" s="68"/>
      <c r="AF590" s="67"/>
      <c r="AG590" s="73" t="s">
        <v>69</v>
      </c>
      <c r="AH590" s="73"/>
      <c r="AI590" s="68"/>
      <c r="AJ590" s="67" t="s">
        <v>69</v>
      </c>
      <c r="AK590" s="73"/>
      <c r="AL590" s="73"/>
      <c r="AM590" s="68"/>
      <c r="AN590" s="73" t="s">
        <v>69</v>
      </c>
      <c r="AO590" s="73"/>
      <c r="AP590" s="73"/>
      <c r="AQ590" s="68"/>
      <c r="AR590" s="67">
        <f t="shared" si="398"/>
        <v>89</v>
      </c>
      <c r="AS590" s="68" t="str">
        <f t="shared" si="399"/>
        <v>S</v>
      </c>
      <c r="AV590" s="49">
        <f t="shared" si="360"/>
        <v>1</v>
      </c>
      <c r="AW590" s="49">
        <f t="shared" si="361"/>
        <v>0</v>
      </c>
      <c r="AX590" s="49">
        <f t="shared" si="362"/>
        <v>0</v>
      </c>
      <c r="AY590" s="49">
        <f t="shared" si="363"/>
        <v>0</v>
      </c>
      <c r="AZ590" s="49">
        <f t="shared" si="364"/>
        <v>0</v>
      </c>
      <c r="BA590" s="49">
        <f t="shared" si="365"/>
        <v>1</v>
      </c>
      <c r="BB590" s="49">
        <f t="shared" si="366"/>
        <v>0</v>
      </c>
      <c r="BC590" s="49">
        <f t="shared" si="367"/>
        <v>0</v>
      </c>
      <c r="BD590" s="49">
        <f t="shared" si="368"/>
        <v>1</v>
      </c>
      <c r="BE590" s="49">
        <f t="shared" si="369"/>
        <v>0</v>
      </c>
      <c r="BF590" s="49">
        <f t="shared" si="370"/>
        <v>0</v>
      </c>
      <c r="BG590" s="49">
        <f t="shared" si="371"/>
        <v>0</v>
      </c>
      <c r="BH590" s="49">
        <f t="shared" si="372"/>
        <v>0</v>
      </c>
      <c r="BI590" s="49">
        <f t="shared" si="373"/>
        <v>1</v>
      </c>
      <c r="BJ590" s="49">
        <f t="shared" si="374"/>
        <v>0</v>
      </c>
      <c r="BK590" s="49">
        <f t="shared" si="375"/>
        <v>0</v>
      </c>
      <c r="BL590" s="49">
        <f t="shared" si="376"/>
        <v>0</v>
      </c>
      <c r="BM590" s="49">
        <f t="shared" si="377"/>
        <v>1</v>
      </c>
      <c r="BN590" s="49">
        <f t="shared" si="378"/>
        <v>0</v>
      </c>
      <c r="BO590" s="49">
        <f t="shared" si="379"/>
        <v>0</v>
      </c>
      <c r="BP590" s="49">
        <f t="shared" si="380"/>
        <v>0</v>
      </c>
      <c r="BQ590" s="49">
        <f t="shared" si="381"/>
        <v>1</v>
      </c>
      <c r="BR590" s="49">
        <f t="shared" si="382"/>
        <v>0</v>
      </c>
      <c r="BS590" s="49">
        <f t="shared" si="383"/>
        <v>0</v>
      </c>
      <c r="BT590" s="49">
        <f t="shared" si="384"/>
        <v>0</v>
      </c>
      <c r="BU590" s="49">
        <f t="shared" si="385"/>
        <v>1</v>
      </c>
      <c r="BV590" s="49">
        <f t="shared" si="386"/>
        <v>0</v>
      </c>
      <c r="BW590" s="49">
        <f t="shared" si="387"/>
        <v>0</v>
      </c>
      <c r="BX590" s="49">
        <f t="shared" si="388"/>
        <v>1</v>
      </c>
      <c r="BY590" s="49">
        <f t="shared" si="389"/>
        <v>0</v>
      </c>
      <c r="BZ590" s="49">
        <f t="shared" si="390"/>
        <v>0</v>
      </c>
      <c r="CA590" s="49">
        <f t="shared" si="391"/>
        <v>0</v>
      </c>
      <c r="CB590" s="49">
        <f t="shared" si="392"/>
        <v>1</v>
      </c>
      <c r="CC590" s="49">
        <f t="shared" si="393"/>
        <v>0</v>
      </c>
      <c r="CD590" s="49">
        <f t="shared" si="394"/>
        <v>0</v>
      </c>
      <c r="CE590" s="49">
        <f t="shared" si="395"/>
        <v>0</v>
      </c>
    </row>
    <row r="591" spans="1:83" ht="35.1" customHeight="1" x14ac:dyDescent="0.3">
      <c r="A591" s="123" t="str">
        <f t="shared" si="396"/>
        <v>5팀</v>
      </c>
      <c r="B591" s="69">
        <f t="shared" si="397"/>
        <v>585</v>
      </c>
      <c r="C591" s="120" t="str">
        <f>IF(VLOOKUP($B591,'1. 현장별 인원현황'!$C:$J,2,0)=0,"",VLOOKUP($B591,'1. 현장별 인원현황'!$C:$J,2,0))</f>
        <v xml:space="preserve"> [5.한국교직원공제회] The-K 제주호텔 리모델링 공사</v>
      </c>
      <c r="D591" s="70" t="str">
        <f>IF(VLOOKUP($B591,'1. 현장별 인원현황'!$C:$J,3,0)=0,"",VLOOKUP($B591,'1. 현장별 인원현황'!$C:$J,3,0))</f>
        <v>김진범</v>
      </c>
      <c r="E591" s="74" t="str">
        <f ca="1">IF(VLOOKUP($B591,'1. 현장별 인원현황'!$C:$J,4,0)=0,"",VLOOKUP($B591,'1. 현장별 인원현황'!$C:$J,4,0))</f>
        <v>60세</v>
      </c>
      <c r="F591" s="70" t="str">
        <f>IF(VLOOKUP($B591,'1. 현장별 인원현황'!$C:$J,7,0)=0,"",VLOOKUP($B591,'1. 현장별 인원현황'!$C:$J,7,0))</f>
        <v>기능공</v>
      </c>
      <c r="G591" s="72" t="str">
        <f>IF(VLOOKUP($B591,'1. 현장별 인원현황'!$C:$J,8,0)=0,"",VLOOKUP($B591,'1. 현장별 인원현황'!$C:$J,8,0))</f>
        <v>전공</v>
      </c>
      <c r="H591" s="67" t="s">
        <v>69</v>
      </c>
      <c r="I591" s="73"/>
      <c r="J591" s="73"/>
      <c r="K591" s="68"/>
      <c r="L591" s="67"/>
      <c r="M591" s="73" t="s">
        <v>69</v>
      </c>
      <c r="N591" s="73"/>
      <c r="O591" s="68"/>
      <c r="P591" s="67"/>
      <c r="Q591" s="73" t="s">
        <v>69</v>
      </c>
      <c r="R591" s="73"/>
      <c r="S591" s="68"/>
      <c r="T591" s="67"/>
      <c r="U591" s="73" t="s">
        <v>69</v>
      </c>
      <c r="V591" s="73"/>
      <c r="W591" s="68"/>
      <c r="X591" s="67"/>
      <c r="Y591" s="73" t="s">
        <v>69</v>
      </c>
      <c r="Z591" s="73"/>
      <c r="AA591" s="68"/>
      <c r="AB591" s="67"/>
      <c r="AC591" s="73" t="s">
        <v>69</v>
      </c>
      <c r="AD591" s="73"/>
      <c r="AE591" s="68"/>
      <c r="AF591" s="67"/>
      <c r="AG591" s="73" t="s">
        <v>69</v>
      </c>
      <c r="AH591" s="73"/>
      <c r="AI591" s="68"/>
      <c r="AJ591" s="67" t="s">
        <v>69</v>
      </c>
      <c r="AK591" s="73"/>
      <c r="AL591" s="73"/>
      <c r="AM591" s="68"/>
      <c r="AN591" s="73" t="s">
        <v>69</v>
      </c>
      <c r="AO591" s="73"/>
      <c r="AP591" s="73"/>
      <c r="AQ591" s="68"/>
      <c r="AR591" s="67">
        <f t="shared" si="398"/>
        <v>86</v>
      </c>
      <c r="AS591" s="68" t="str">
        <f t="shared" si="399"/>
        <v>S</v>
      </c>
      <c r="AV591" s="49">
        <f t="shared" si="360"/>
        <v>1</v>
      </c>
      <c r="AW591" s="49">
        <f t="shared" si="361"/>
        <v>0</v>
      </c>
      <c r="AX591" s="49">
        <f t="shared" si="362"/>
        <v>0</v>
      </c>
      <c r="AY591" s="49">
        <f t="shared" si="363"/>
        <v>0</v>
      </c>
      <c r="AZ591" s="49">
        <f t="shared" si="364"/>
        <v>0</v>
      </c>
      <c r="BA591" s="49">
        <f t="shared" si="365"/>
        <v>1</v>
      </c>
      <c r="BB591" s="49">
        <f t="shared" si="366"/>
        <v>0</v>
      </c>
      <c r="BC591" s="49">
        <f t="shared" si="367"/>
        <v>0</v>
      </c>
      <c r="BD591" s="49">
        <f t="shared" si="368"/>
        <v>0</v>
      </c>
      <c r="BE591" s="49">
        <f t="shared" si="369"/>
        <v>1</v>
      </c>
      <c r="BF591" s="49">
        <f t="shared" si="370"/>
        <v>0</v>
      </c>
      <c r="BG591" s="49">
        <f t="shared" si="371"/>
        <v>0</v>
      </c>
      <c r="BH591" s="49">
        <f t="shared" si="372"/>
        <v>0</v>
      </c>
      <c r="BI591" s="49">
        <f t="shared" si="373"/>
        <v>1</v>
      </c>
      <c r="BJ591" s="49">
        <f t="shared" si="374"/>
        <v>0</v>
      </c>
      <c r="BK591" s="49">
        <f t="shared" si="375"/>
        <v>0</v>
      </c>
      <c r="BL591" s="49">
        <f t="shared" si="376"/>
        <v>0</v>
      </c>
      <c r="BM591" s="49">
        <f t="shared" si="377"/>
        <v>1</v>
      </c>
      <c r="BN591" s="49">
        <f t="shared" si="378"/>
        <v>0</v>
      </c>
      <c r="BO591" s="49">
        <f t="shared" si="379"/>
        <v>0</v>
      </c>
      <c r="BP591" s="49">
        <f t="shared" si="380"/>
        <v>0</v>
      </c>
      <c r="BQ591" s="49">
        <f t="shared" si="381"/>
        <v>1</v>
      </c>
      <c r="BR591" s="49">
        <f t="shared" si="382"/>
        <v>0</v>
      </c>
      <c r="BS591" s="49">
        <f t="shared" si="383"/>
        <v>0</v>
      </c>
      <c r="BT591" s="49">
        <f t="shared" si="384"/>
        <v>0</v>
      </c>
      <c r="BU591" s="49">
        <f t="shared" si="385"/>
        <v>1</v>
      </c>
      <c r="BV591" s="49">
        <f t="shared" si="386"/>
        <v>0</v>
      </c>
      <c r="BW591" s="49">
        <f t="shared" si="387"/>
        <v>0</v>
      </c>
      <c r="BX591" s="49">
        <f t="shared" si="388"/>
        <v>1</v>
      </c>
      <c r="BY591" s="49">
        <f t="shared" si="389"/>
        <v>0</v>
      </c>
      <c r="BZ591" s="49">
        <f t="shared" si="390"/>
        <v>0</v>
      </c>
      <c r="CA591" s="49">
        <f t="shared" si="391"/>
        <v>0</v>
      </c>
      <c r="CB591" s="49">
        <f t="shared" si="392"/>
        <v>1</v>
      </c>
      <c r="CC591" s="49">
        <f t="shared" si="393"/>
        <v>0</v>
      </c>
      <c r="CD591" s="49">
        <f t="shared" si="394"/>
        <v>0</v>
      </c>
      <c r="CE591" s="49">
        <f t="shared" si="395"/>
        <v>0</v>
      </c>
    </row>
    <row r="592" spans="1:83" ht="35.1" customHeight="1" x14ac:dyDescent="0.3">
      <c r="A592" s="123" t="str">
        <f t="shared" si="396"/>
        <v>5팀</v>
      </c>
      <c r="B592" s="69">
        <f t="shared" si="397"/>
        <v>586</v>
      </c>
      <c r="C592" s="120" t="str">
        <f>IF(VLOOKUP($B592,'1. 현장별 인원현황'!$C:$J,2,0)=0,"",VLOOKUP($B592,'1. 현장별 인원현황'!$C:$J,2,0))</f>
        <v xml:space="preserve"> [5.한국교직원공제회] The-K 제주호텔 리모델링 공사</v>
      </c>
      <c r="D592" s="70" t="str">
        <f>IF(VLOOKUP($B592,'1. 현장별 인원현황'!$C:$J,3,0)=0,"",VLOOKUP($B592,'1. 현장별 인원현황'!$C:$J,3,0))</f>
        <v>지주현</v>
      </c>
      <c r="E592" s="74" t="str">
        <f ca="1">IF(VLOOKUP($B592,'1. 현장별 인원현황'!$C:$J,4,0)=0,"",VLOOKUP($B592,'1. 현장별 인원현황'!$C:$J,4,0))</f>
        <v>23세</v>
      </c>
      <c r="F592" s="70" t="str">
        <f>IF(VLOOKUP($B592,'1. 현장별 인원현황'!$C:$J,7,0)=0,"",VLOOKUP($B592,'1. 현장별 인원현황'!$C:$J,7,0))</f>
        <v>기능공</v>
      </c>
      <c r="G592" s="72" t="str">
        <f>IF(VLOOKUP($B592,'1. 현장별 인원현황'!$C:$J,8,0)=0,"",VLOOKUP($B592,'1. 현장별 인원현황'!$C:$J,8,0))</f>
        <v>전공</v>
      </c>
      <c r="H592" s="67"/>
      <c r="I592" s="73" t="s">
        <v>69</v>
      </c>
      <c r="J592" s="73"/>
      <c r="K592" s="68"/>
      <c r="L592" s="67"/>
      <c r="M592" s="73" t="s">
        <v>69</v>
      </c>
      <c r="N592" s="73"/>
      <c r="O592" s="68"/>
      <c r="P592" s="67"/>
      <c r="Q592" s="73" t="s">
        <v>69</v>
      </c>
      <c r="R592" s="73"/>
      <c r="S592" s="68"/>
      <c r="T592" s="67"/>
      <c r="U592" s="73" t="s">
        <v>69</v>
      </c>
      <c r="V592" s="73"/>
      <c r="W592" s="68"/>
      <c r="X592" s="67"/>
      <c r="Y592" s="73" t="s">
        <v>69</v>
      </c>
      <c r="Z592" s="73"/>
      <c r="AA592" s="68"/>
      <c r="AB592" s="67"/>
      <c r="AC592" s="73" t="s">
        <v>69</v>
      </c>
      <c r="AD592" s="73"/>
      <c r="AE592" s="68"/>
      <c r="AF592" s="67"/>
      <c r="AG592" s="73" t="s">
        <v>69</v>
      </c>
      <c r="AH592" s="73"/>
      <c r="AI592" s="68"/>
      <c r="AJ592" s="67"/>
      <c r="AK592" s="73" t="s">
        <v>69</v>
      </c>
      <c r="AL592" s="73"/>
      <c r="AM592" s="68"/>
      <c r="AN592" s="73"/>
      <c r="AO592" s="73" t="s">
        <v>69</v>
      </c>
      <c r="AP592" s="73"/>
      <c r="AQ592" s="68"/>
      <c r="AR592" s="67">
        <f t="shared" si="398"/>
        <v>77</v>
      </c>
      <c r="AS592" s="68" t="str">
        <f t="shared" si="399"/>
        <v>A</v>
      </c>
      <c r="AV592" s="49">
        <f t="shared" si="360"/>
        <v>0</v>
      </c>
      <c r="AW592" s="49">
        <f t="shared" si="361"/>
        <v>1</v>
      </c>
      <c r="AX592" s="49">
        <f t="shared" si="362"/>
        <v>0</v>
      </c>
      <c r="AY592" s="49">
        <f t="shared" si="363"/>
        <v>0</v>
      </c>
      <c r="AZ592" s="49">
        <f t="shared" si="364"/>
        <v>0</v>
      </c>
      <c r="BA592" s="49">
        <f t="shared" si="365"/>
        <v>1</v>
      </c>
      <c r="BB592" s="49">
        <f t="shared" si="366"/>
        <v>0</v>
      </c>
      <c r="BC592" s="49">
        <f t="shared" si="367"/>
        <v>0</v>
      </c>
      <c r="BD592" s="49">
        <f t="shared" si="368"/>
        <v>0</v>
      </c>
      <c r="BE592" s="49">
        <f t="shared" si="369"/>
        <v>1</v>
      </c>
      <c r="BF592" s="49">
        <f t="shared" si="370"/>
        <v>0</v>
      </c>
      <c r="BG592" s="49">
        <f t="shared" si="371"/>
        <v>0</v>
      </c>
      <c r="BH592" s="49">
        <f t="shared" si="372"/>
        <v>0</v>
      </c>
      <c r="BI592" s="49">
        <f t="shared" si="373"/>
        <v>1</v>
      </c>
      <c r="BJ592" s="49">
        <f t="shared" si="374"/>
        <v>0</v>
      </c>
      <c r="BK592" s="49">
        <f t="shared" si="375"/>
        <v>0</v>
      </c>
      <c r="BL592" s="49">
        <f t="shared" si="376"/>
        <v>0</v>
      </c>
      <c r="BM592" s="49">
        <f t="shared" si="377"/>
        <v>1</v>
      </c>
      <c r="BN592" s="49">
        <f t="shared" si="378"/>
        <v>0</v>
      </c>
      <c r="BO592" s="49">
        <f t="shared" si="379"/>
        <v>0</v>
      </c>
      <c r="BP592" s="49">
        <f t="shared" si="380"/>
        <v>0</v>
      </c>
      <c r="BQ592" s="49">
        <f t="shared" si="381"/>
        <v>1</v>
      </c>
      <c r="BR592" s="49">
        <f t="shared" si="382"/>
        <v>0</v>
      </c>
      <c r="BS592" s="49">
        <f t="shared" si="383"/>
        <v>0</v>
      </c>
      <c r="BT592" s="49">
        <f t="shared" si="384"/>
        <v>0</v>
      </c>
      <c r="BU592" s="49">
        <f t="shared" si="385"/>
        <v>1</v>
      </c>
      <c r="BV592" s="49">
        <f t="shared" si="386"/>
        <v>0</v>
      </c>
      <c r="BW592" s="49">
        <f t="shared" si="387"/>
        <v>0</v>
      </c>
      <c r="BX592" s="49">
        <f t="shared" si="388"/>
        <v>0</v>
      </c>
      <c r="BY592" s="49">
        <f t="shared" si="389"/>
        <v>1</v>
      </c>
      <c r="BZ592" s="49">
        <f t="shared" si="390"/>
        <v>0</v>
      </c>
      <c r="CA592" s="49">
        <f t="shared" si="391"/>
        <v>0</v>
      </c>
      <c r="CB592" s="49">
        <f t="shared" si="392"/>
        <v>0</v>
      </c>
      <c r="CC592" s="49">
        <f t="shared" si="393"/>
        <v>1</v>
      </c>
      <c r="CD592" s="49">
        <f t="shared" si="394"/>
        <v>0</v>
      </c>
      <c r="CE592" s="49">
        <f t="shared" si="395"/>
        <v>0</v>
      </c>
    </row>
    <row r="593" spans="1:83" ht="35.1" customHeight="1" x14ac:dyDescent="0.3">
      <c r="A593" s="123" t="str">
        <f t="shared" si="396"/>
        <v>5팀</v>
      </c>
      <c r="B593" s="69">
        <f t="shared" si="397"/>
        <v>587</v>
      </c>
      <c r="C593" s="120" t="str">
        <f>IF(VLOOKUP($B593,'1. 현장별 인원현황'!$C:$J,2,0)=0,"",VLOOKUP($B593,'1. 현장별 인원현황'!$C:$J,2,0))</f>
        <v xml:space="preserve"> [5.한국교직원공제회] The-K 제주호텔 리모델링 공사</v>
      </c>
      <c r="D593" s="70" t="str">
        <f>IF(VLOOKUP($B593,'1. 현장별 인원현황'!$C:$J,3,0)=0,"",VLOOKUP($B593,'1. 현장별 인원현황'!$C:$J,3,0))</f>
        <v>강종우</v>
      </c>
      <c r="E593" s="74" t="str">
        <f ca="1">IF(VLOOKUP($B593,'1. 현장별 인원현황'!$C:$J,4,0)=0,"",VLOOKUP($B593,'1. 현장별 인원현황'!$C:$J,4,0))</f>
        <v>48세</v>
      </c>
      <c r="F593" s="70" t="str">
        <f>IF(VLOOKUP($B593,'1. 현장별 인원현황'!$C:$J,7,0)=0,"",VLOOKUP($B593,'1. 현장별 인원현황'!$C:$J,7,0))</f>
        <v>기능공</v>
      </c>
      <c r="G593" s="72" t="str">
        <f>IF(VLOOKUP($B593,'1. 현장별 인원현황'!$C:$J,8,0)=0,"",VLOOKUP($B593,'1. 현장별 인원현황'!$C:$J,8,0))</f>
        <v>전공</v>
      </c>
      <c r="H593" s="67" t="s">
        <v>69</v>
      </c>
      <c r="I593" s="73"/>
      <c r="J593" s="73"/>
      <c r="K593" s="68"/>
      <c r="L593" s="67" t="s">
        <v>69</v>
      </c>
      <c r="M593" s="73"/>
      <c r="N593" s="73"/>
      <c r="O593" s="68"/>
      <c r="P593" s="67"/>
      <c r="Q593" s="73" t="s">
        <v>69</v>
      </c>
      <c r="R593" s="73"/>
      <c r="S593" s="68"/>
      <c r="T593" s="67"/>
      <c r="U593" s="73" t="s">
        <v>69</v>
      </c>
      <c r="V593" s="73"/>
      <c r="W593" s="68"/>
      <c r="X593" s="67"/>
      <c r="Y593" s="73"/>
      <c r="Z593" s="73" t="s">
        <v>69</v>
      </c>
      <c r="AA593" s="68"/>
      <c r="AB593" s="67"/>
      <c r="AC593" s="73" t="s">
        <v>69</v>
      </c>
      <c r="AD593" s="73"/>
      <c r="AE593" s="68"/>
      <c r="AF593" s="67"/>
      <c r="AG593" s="73" t="s">
        <v>69</v>
      </c>
      <c r="AH593" s="73"/>
      <c r="AI593" s="68"/>
      <c r="AJ593" s="67"/>
      <c r="AK593" s="73"/>
      <c r="AL593" s="73" t="s">
        <v>69</v>
      </c>
      <c r="AM593" s="68"/>
      <c r="AN593" s="73"/>
      <c r="AO593" s="73"/>
      <c r="AP593" s="73" t="s">
        <v>69</v>
      </c>
      <c r="AQ593" s="68"/>
      <c r="AR593" s="67">
        <f t="shared" si="398"/>
        <v>75</v>
      </c>
      <c r="AS593" s="68" t="str">
        <f t="shared" si="399"/>
        <v>A</v>
      </c>
      <c r="AV593" s="49">
        <f t="shared" si="360"/>
        <v>1</v>
      </c>
      <c r="AW593" s="49">
        <f t="shared" si="361"/>
        <v>0</v>
      </c>
      <c r="AX593" s="49">
        <f t="shared" si="362"/>
        <v>0</v>
      </c>
      <c r="AY593" s="49">
        <f t="shared" si="363"/>
        <v>0</v>
      </c>
      <c r="AZ593" s="49">
        <f t="shared" si="364"/>
        <v>1</v>
      </c>
      <c r="BA593" s="49">
        <f t="shared" si="365"/>
        <v>0</v>
      </c>
      <c r="BB593" s="49">
        <f t="shared" si="366"/>
        <v>0</v>
      </c>
      <c r="BC593" s="49">
        <f t="shared" si="367"/>
        <v>0</v>
      </c>
      <c r="BD593" s="49">
        <f t="shared" si="368"/>
        <v>0</v>
      </c>
      <c r="BE593" s="49">
        <f t="shared" si="369"/>
        <v>1</v>
      </c>
      <c r="BF593" s="49">
        <f t="shared" si="370"/>
        <v>0</v>
      </c>
      <c r="BG593" s="49">
        <f t="shared" si="371"/>
        <v>0</v>
      </c>
      <c r="BH593" s="49">
        <f t="shared" si="372"/>
        <v>0</v>
      </c>
      <c r="BI593" s="49">
        <f t="shared" si="373"/>
        <v>1</v>
      </c>
      <c r="BJ593" s="49">
        <f t="shared" si="374"/>
        <v>0</v>
      </c>
      <c r="BK593" s="49">
        <f t="shared" si="375"/>
        <v>0</v>
      </c>
      <c r="BL593" s="49">
        <f t="shared" si="376"/>
        <v>0</v>
      </c>
      <c r="BM593" s="49">
        <f t="shared" si="377"/>
        <v>0</v>
      </c>
      <c r="BN593" s="49">
        <f t="shared" si="378"/>
        <v>1</v>
      </c>
      <c r="BO593" s="49">
        <f t="shared" si="379"/>
        <v>0</v>
      </c>
      <c r="BP593" s="49">
        <f t="shared" si="380"/>
        <v>0</v>
      </c>
      <c r="BQ593" s="49">
        <f t="shared" si="381"/>
        <v>1</v>
      </c>
      <c r="BR593" s="49">
        <f t="shared" si="382"/>
        <v>0</v>
      </c>
      <c r="BS593" s="49">
        <f t="shared" si="383"/>
        <v>0</v>
      </c>
      <c r="BT593" s="49">
        <f t="shared" si="384"/>
        <v>0</v>
      </c>
      <c r="BU593" s="49">
        <f t="shared" si="385"/>
        <v>1</v>
      </c>
      <c r="BV593" s="49">
        <f t="shared" si="386"/>
        <v>0</v>
      </c>
      <c r="BW593" s="49">
        <f t="shared" si="387"/>
        <v>0</v>
      </c>
      <c r="BX593" s="49">
        <f t="shared" si="388"/>
        <v>0</v>
      </c>
      <c r="BY593" s="49">
        <f t="shared" si="389"/>
        <v>0</v>
      </c>
      <c r="BZ593" s="49">
        <f t="shared" si="390"/>
        <v>1</v>
      </c>
      <c r="CA593" s="49">
        <f t="shared" si="391"/>
        <v>0</v>
      </c>
      <c r="CB593" s="49">
        <f t="shared" si="392"/>
        <v>0</v>
      </c>
      <c r="CC593" s="49">
        <f t="shared" si="393"/>
        <v>0</v>
      </c>
      <c r="CD593" s="49">
        <f t="shared" si="394"/>
        <v>1</v>
      </c>
      <c r="CE593" s="49">
        <f t="shared" si="395"/>
        <v>0</v>
      </c>
    </row>
    <row r="594" spans="1:83" ht="35.1" customHeight="1" x14ac:dyDescent="0.3">
      <c r="A594" s="123" t="str">
        <f t="shared" si="396"/>
        <v>5팀</v>
      </c>
      <c r="B594" s="69">
        <f t="shared" si="397"/>
        <v>588</v>
      </c>
      <c r="C594" s="120" t="str">
        <f>IF(VLOOKUP($B594,'1. 현장별 인원현황'!$C:$J,2,0)=0,"",VLOOKUP($B594,'1. 현장별 인원현황'!$C:$J,2,0))</f>
        <v xml:space="preserve"> [5.한국교직원공제회] The-K 제주호텔 리모델링 공사</v>
      </c>
      <c r="D594" s="70" t="str">
        <f>IF(VLOOKUP($B594,'1. 현장별 인원현황'!$C:$J,3,0)=0,"",VLOOKUP($B594,'1. 현장별 인원현황'!$C:$J,3,0))</f>
        <v>강민우</v>
      </c>
      <c r="E594" s="74" t="str">
        <f ca="1">IF(VLOOKUP($B594,'1. 현장별 인원현황'!$C:$J,4,0)=0,"",VLOOKUP($B594,'1. 현장별 인원현황'!$C:$J,4,0))</f>
        <v>44세</v>
      </c>
      <c r="F594" s="70" t="str">
        <f>IF(VLOOKUP($B594,'1. 현장별 인원현황'!$C:$J,7,0)=0,"",VLOOKUP($B594,'1. 현장별 인원현황'!$C:$J,7,0))</f>
        <v>기능공</v>
      </c>
      <c r="G594" s="72" t="str">
        <f>IF(VLOOKUP($B594,'1. 현장별 인원현황'!$C:$J,8,0)=0,"",VLOOKUP($B594,'1. 현장별 인원현황'!$C:$J,8,0))</f>
        <v>전공</v>
      </c>
      <c r="H594" s="67" t="s">
        <v>69</v>
      </c>
      <c r="I594" s="73"/>
      <c r="J594" s="73"/>
      <c r="K594" s="68"/>
      <c r="L594" s="67" t="s">
        <v>69</v>
      </c>
      <c r="M594" s="73"/>
      <c r="N594" s="73"/>
      <c r="O594" s="68"/>
      <c r="P594" s="67"/>
      <c r="Q594" s="73" t="s">
        <v>69</v>
      </c>
      <c r="R594" s="73"/>
      <c r="S594" s="68"/>
      <c r="T594" s="67"/>
      <c r="U594" s="73" t="s">
        <v>69</v>
      </c>
      <c r="V594" s="73"/>
      <c r="W594" s="68"/>
      <c r="X594" s="67"/>
      <c r="Y594" s="73"/>
      <c r="Z594" s="73" t="s">
        <v>69</v>
      </c>
      <c r="AA594" s="68"/>
      <c r="AB594" s="67"/>
      <c r="AC594" s="73" t="s">
        <v>69</v>
      </c>
      <c r="AD594" s="73"/>
      <c r="AE594" s="68"/>
      <c r="AF594" s="67"/>
      <c r="AG594" s="73" t="s">
        <v>69</v>
      </c>
      <c r="AH594" s="73"/>
      <c r="AI594" s="68"/>
      <c r="AJ594" s="67"/>
      <c r="AK594" s="73"/>
      <c r="AL594" s="73" t="s">
        <v>69</v>
      </c>
      <c r="AM594" s="68"/>
      <c r="AN594" s="73"/>
      <c r="AO594" s="73"/>
      <c r="AP594" s="73" t="s">
        <v>69</v>
      </c>
      <c r="AQ594" s="68"/>
      <c r="AR594" s="67">
        <f t="shared" si="398"/>
        <v>75</v>
      </c>
      <c r="AS594" s="68" t="str">
        <f t="shared" si="399"/>
        <v>A</v>
      </c>
      <c r="AV594" s="49">
        <f t="shared" si="360"/>
        <v>1</v>
      </c>
      <c r="AW594" s="49">
        <f t="shared" si="361"/>
        <v>0</v>
      </c>
      <c r="AX594" s="49">
        <f t="shared" si="362"/>
        <v>0</v>
      </c>
      <c r="AY594" s="49">
        <f t="shared" si="363"/>
        <v>0</v>
      </c>
      <c r="AZ594" s="49">
        <f t="shared" si="364"/>
        <v>1</v>
      </c>
      <c r="BA594" s="49">
        <f t="shared" si="365"/>
        <v>0</v>
      </c>
      <c r="BB594" s="49">
        <f t="shared" si="366"/>
        <v>0</v>
      </c>
      <c r="BC594" s="49">
        <f t="shared" si="367"/>
        <v>0</v>
      </c>
      <c r="BD594" s="49">
        <f t="shared" si="368"/>
        <v>0</v>
      </c>
      <c r="BE594" s="49">
        <f t="shared" si="369"/>
        <v>1</v>
      </c>
      <c r="BF594" s="49">
        <f t="shared" si="370"/>
        <v>0</v>
      </c>
      <c r="BG594" s="49">
        <f t="shared" si="371"/>
        <v>0</v>
      </c>
      <c r="BH594" s="49">
        <f t="shared" si="372"/>
        <v>0</v>
      </c>
      <c r="BI594" s="49">
        <f t="shared" si="373"/>
        <v>1</v>
      </c>
      <c r="BJ594" s="49">
        <f t="shared" si="374"/>
        <v>0</v>
      </c>
      <c r="BK594" s="49">
        <f t="shared" si="375"/>
        <v>0</v>
      </c>
      <c r="BL594" s="49">
        <f t="shared" si="376"/>
        <v>0</v>
      </c>
      <c r="BM594" s="49">
        <f t="shared" si="377"/>
        <v>0</v>
      </c>
      <c r="BN594" s="49">
        <f t="shared" si="378"/>
        <v>1</v>
      </c>
      <c r="BO594" s="49">
        <f t="shared" si="379"/>
        <v>0</v>
      </c>
      <c r="BP594" s="49">
        <f t="shared" si="380"/>
        <v>0</v>
      </c>
      <c r="BQ594" s="49">
        <f t="shared" si="381"/>
        <v>1</v>
      </c>
      <c r="BR594" s="49">
        <f t="shared" si="382"/>
        <v>0</v>
      </c>
      <c r="BS594" s="49">
        <f t="shared" si="383"/>
        <v>0</v>
      </c>
      <c r="BT594" s="49">
        <f t="shared" si="384"/>
        <v>0</v>
      </c>
      <c r="BU594" s="49">
        <f t="shared" si="385"/>
        <v>1</v>
      </c>
      <c r="BV594" s="49">
        <f t="shared" si="386"/>
        <v>0</v>
      </c>
      <c r="BW594" s="49">
        <f t="shared" si="387"/>
        <v>0</v>
      </c>
      <c r="BX594" s="49">
        <f t="shared" si="388"/>
        <v>0</v>
      </c>
      <c r="BY594" s="49">
        <f t="shared" si="389"/>
        <v>0</v>
      </c>
      <c r="BZ594" s="49">
        <f t="shared" si="390"/>
        <v>1</v>
      </c>
      <c r="CA594" s="49">
        <f t="shared" si="391"/>
        <v>0</v>
      </c>
      <c r="CB594" s="49">
        <f t="shared" si="392"/>
        <v>0</v>
      </c>
      <c r="CC594" s="49">
        <f t="shared" si="393"/>
        <v>0</v>
      </c>
      <c r="CD594" s="49">
        <f t="shared" si="394"/>
        <v>1</v>
      </c>
      <c r="CE594" s="49">
        <f t="shared" si="395"/>
        <v>0</v>
      </c>
    </row>
    <row r="595" spans="1:83" ht="35.1" customHeight="1" x14ac:dyDescent="0.3">
      <c r="A595" s="123" t="str">
        <f t="shared" si="396"/>
        <v>5팀</v>
      </c>
      <c r="B595" s="69">
        <f t="shared" si="397"/>
        <v>589</v>
      </c>
      <c r="C595" s="120" t="str">
        <f>IF(VLOOKUP($B595,'1. 현장별 인원현황'!$C:$J,2,0)=0,"",VLOOKUP($B595,'1. 현장별 인원현황'!$C:$J,2,0))</f>
        <v xml:space="preserve"> [5.한국교직원공제회] The-K 제주호텔 리모델링 공사</v>
      </c>
      <c r="D595" s="70" t="str">
        <f>IF(VLOOKUP($B595,'1. 현장별 인원현황'!$C:$J,3,0)=0,"",VLOOKUP($B595,'1. 현장별 인원현황'!$C:$J,3,0))</f>
        <v>이정대</v>
      </c>
      <c r="E595" s="74" t="str">
        <f ca="1">IF(VLOOKUP($B595,'1. 현장별 인원현황'!$C:$J,4,0)=0,"",VLOOKUP($B595,'1. 현장별 인원현황'!$C:$J,4,0))</f>
        <v>45세</v>
      </c>
      <c r="F595" s="70" t="str">
        <f>IF(VLOOKUP($B595,'1. 현장별 인원현황'!$C:$J,7,0)=0,"",VLOOKUP($B595,'1. 현장별 인원현황'!$C:$J,7,0))</f>
        <v>기능공</v>
      </c>
      <c r="G595" s="72" t="str">
        <f>IF(VLOOKUP($B595,'1. 현장별 인원현황'!$C:$J,8,0)=0,"",VLOOKUP($B595,'1. 현장별 인원현황'!$C:$J,8,0))</f>
        <v>전공</v>
      </c>
      <c r="H595" s="67" t="s">
        <v>69</v>
      </c>
      <c r="I595" s="73"/>
      <c r="J595" s="73"/>
      <c r="K595" s="68"/>
      <c r="L595" s="67"/>
      <c r="M595" s="73" t="s">
        <v>69</v>
      </c>
      <c r="N595" s="73"/>
      <c r="O595" s="68"/>
      <c r="P595" s="67"/>
      <c r="Q595" s="73" t="s">
        <v>69</v>
      </c>
      <c r="R595" s="73"/>
      <c r="S595" s="68"/>
      <c r="T595" s="67"/>
      <c r="U595" s="73" t="s">
        <v>69</v>
      </c>
      <c r="V595" s="73"/>
      <c r="W595" s="68"/>
      <c r="X595" s="67" t="s">
        <v>69</v>
      </c>
      <c r="Y595" s="73"/>
      <c r="Z595" s="73"/>
      <c r="AA595" s="68"/>
      <c r="AB595" s="67" t="s">
        <v>69</v>
      </c>
      <c r="AC595" s="73"/>
      <c r="AD595" s="73"/>
      <c r="AE595" s="68"/>
      <c r="AF595" s="67" t="s">
        <v>69</v>
      </c>
      <c r="AG595" s="73"/>
      <c r="AH595" s="73"/>
      <c r="AI595" s="68"/>
      <c r="AJ595" s="67" t="s">
        <v>69</v>
      </c>
      <c r="AK595" s="73"/>
      <c r="AL595" s="73"/>
      <c r="AM595" s="68"/>
      <c r="AN595" s="73" t="s">
        <v>69</v>
      </c>
      <c r="AO595" s="73"/>
      <c r="AP595" s="73"/>
      <c r="AQ595" s="68"/>
      <c r="AR595" s="67">
        <f t="shared" si="398"/>
        <v>92</v>
      </c>
      <c r="AS595" s="68" t="str">
        <f t="shared" si="399"/>
        <v>S</v>
      </c>
      <c r="AV595" s="49">
        <f t="shared" si="360"/>
        <v>1</v>
      </c>
      <c r="AW595" s="49">
        <f t="shared" si="361"/>
        <v>0</v>
      </c>
      <c r="AX595" s="49">
        <f t="shared" si="362"/>
        <v>0</v>
      </c>
      <c r="AY595" s="49">
        <f t="shared" si="363"/>
        <v>0</v>
      </c>
      <c r="AZ595" s="49">
        <f t="shared" si="364"/>
        <v>0</v>
      </c>
      <c r="BA595" s="49">
        <f t="shared" si="365"/>
        <v>1</v>
      </c>
      <c r="BB595" s="49">
        <f t="shared" si="366"/>
        <v>0</v>
      </c>
      <c r="BC595" s="49">
        <f t="shared" si="367"/>
        <v>0</v>
      </c>
      <c r="BD595" s="49">
        <f t="shared" si="368"/>
        <v>0</v>
      </c>
      <c r="BE595" s="49">
        <f t="shared" si="369"/>
        <v>1</v>
      </c>
      <c r="BF595" s="49">
        <f t="shared" si="370"/>
        <v>0</v>
      </c>
      <c r="BG595" s="49">
        <f t="shared" si="371"/>
        <v>0</v>
      </c>
      <c r="BH595" s="49">
        <f t="shared" si="372"/>
        <v>0</v>
      </c>
      <c r="BI595" s="49">
        <f t="shared" si="373"/>
        <v>1</v>
      </c>
      <c r="BJ595" s="49">
        <f t="shared" si="374"/>
        <v>0</v>
      </c>
      <c r="BK595" s="49">
        <f t="shared" si="375"/>
        <v>0</v>
      </c>
      <c r="BL595" s="49">
        <f t="shared" si="376"/>
        <v>1</v>
      </c>
      <c r="BM595" s="49">
        <f t="shared" si="377"/>
        <v>0</v>
      </c>
      <c r="BN595" s="49">
        <f t="shared" si="378"/>
        <v>0</v>
      </c>
      <c r="BO595" s="49">
        <f t="shared" si="379"/>
        <v>0</v>
      </c>
      <c r="BP595" s="49">
        <f t="shared" si="380"/>
        <v>1</v>
      </c>
      <c r="BQ595" s="49">
        <f t="shared" si="381"/>
        <v>0</v>
      </c>
      <c r="BR595" s="49">
        <f t="shared" si="382"/>
        <v>0</v>
      </c>
      <c r="BS595" s="49">
        <f t="shared" si="383"/>
        <v>0</v>
      </c>
      <c r="BT595" s="49">
        <f t="shared" si="384"/>
        <v>1</v>
      </c>
      <c r="BU595" s="49">
        <f t="shared" si="385"/>
        <v>0</v>
      </c>
      <c r="BV595" s="49">
        <f t="shared" si="386"/>
        <v>0</v>
      </c>
      <c r="BW595" s="49">
        <f t="shared" si="387"/>
        <v>0</v>
      </c>
      <c r="BX595" s="49">
        <f t="shared" si="388"/>
        <v>1</v>
      </c>
      <c r="BY595" s="49">
        <f t="shared" si="389"/>
        <v>0</v>
      </c>
      <c r="BZ595" s="49">
        <f t="shared" si="390"/>
        <v>0</v>
      </c>
      <c r="CA595" s="49">
        <f t="shared" si="391"/>
        <v>0</v>
      </c>
      <c r="CB595" s="49">
        <f t="shared" si="392"/>
        <v>1</v>
      </c>
      <c r="CC595" s="49">
        <f t="shared" si="393"/>
        <v>0</v>
      </c>
      <c r="CD595" s="49">
        <f t="shared" si="394"/>
        <v>0</v>
      </c>
      <c r="CE595" s="49">
        <f t="shared" si="395"/>
        <v>0</v>
      </c>
    </row>
    <row r="596" spans="1:83" ht="35.1" customHeight="1" x14ac:dyDescent="0.3">
      <c r="A596" s="123" t="str">
        <f t="shared" si="396"/>
        <v>5팀</v>
      </c>
      <c r="B596" s="69">
        <f t="shared" si="397"/>
        <v>590</v>
      </c>
      <c r="C596" s="120" t="str">
        <f>IF(VLOOKUP($B596,'1. 현장별 인원현황'!$C:$J,2,0)=0,"",VLOOKUP($B596,'1. 현장별 인원현황'!$C:$J,2,0))</f>
        <v xml:space="preserve"> [5.한국교직원공제회] The-K 제주호텔 리모델링 공사</v>
      </c>
      <c r="D596" s="70" t="str">
        <f>IF(VLOOKUP($B596,'1. 현장별 인원현황'!$C:$J,3,0)=0,"",VLOOKUP($B596,'1. 현장별 인원현황'!$C:$J,3,0))</f>
        <v>임성봉</v>
      </c>
      <c r="E596" s="74" t="str">
        <f ca="1">IF(VLOOKUP($B596,'1. 현장별 인원현황'!$C:$J,4,0)=0,"",VLOOKUP($B596,'1. 현장별 인원현황'!$C:$J,4,0))</f>
        <v>53세</v>
      </c>
      <c r="F596" s="70" t="str">
        <f>IF(VLOOKUP($B596,'1. 현장별 인원현황'!$C:$J,7,0)=0,"",VLOOKUP($B596,'1. 현장별 인원현황'!$C:$J,7,0))</f>
        <v>기능공</v>
      </c>
      <c r="G596" s="72" t="str">
        <f>IF(VLOOKUP($B596,'1. 현장별 인원현황'!$C:$J,8,0)=0,"",VLOOKUP($B596,'1. 현장별 인원현황'!$C:$J,8,0))</f>
        <v>전공</v>
      </c>
      <c r="H596" s="67" t="s">
        <v>69</v>
      </c>
      <c r="I596" s="73"/>
      <c r="J596" s="73"/>
      <c r="K596" s="68"/>
      <c r="L596" s="67"/>
      <c r="M596" s="73" t="s">
        <v>69</v>
      </c>
      <c r="N596" s="73"/>
      <c r="O596" s="68"/>
      <c r="P596" s="67"/>
      <c r="Q596" s="73" t="s">
        <v>69</v>
      </c>
      <c r="R596" s="73"/>
      <c r="S596" s="68"/>
      <c r="T596" s="67"/>
      <c r="U596" s="73" t="s">
        <v>69</v>
      </c>
      <c r="V596" s="73"/>
      <c r="W596" s="68"/>
      <c r="X596" s="67" t="s">
        <v>69</v>
      </c>
      <c r="Y596" s="73"/>
      <c r="Z596" s="73"/>
      <c r="AA596" s="68"/>
      <c r="AB596" s="67" t="s">
        <v>69</v>
      </c>
      <c r="AC596" s="73"/>
      <c r="AD596" s="73"/>
      <c r="AE596" s="68"/>
      <c r="AF596" s="67" t="s">
        <v>69</v>
      </c>
      <c r="AG596" s="73"/>
      <c r="AH596" s="73"/>
      <c r="AI596" s="68"/>
      <c r="AJ596" s="67" t="s">
        <v>69</v>
      </c>
      <c r="AK596" s="73"/>
      <c r="AL596" s="73"/>
      <c r="AM596" s="68"/>
      <c r="AN596" s="73" t="s">
        <v>69</v>
      </c>
      <c r="AO596" s="73"/>
      <c r="AP596" s="73"/>
      <c r="AQ596" s="68"/>
      <c r="AR596" s="67">
        <f t="shared" si="398"/>
        <v>92</v>
      </c>
      <c r="AS596" s="68" t="str">
        <f t="shared" si="399"/>
        <v>S</v>
      </c>
      <c r="AV596" s="49">
        <f t="shared" si="360"/>
        <v>1</v>
      </c>
      <c r="AW596" s="49">
        <f t="shared" si="361"/>
        <v>0</v>
      </c>
      <c r="AX596" s="49">
        <f t="shared" si="362"/>
        <v>0</v>
      </c>
      <c r="AY596" s="49">
        <f t="shared" si="363"/>
        <v>0</v>
      </c>
      <c r="AZ596" s="49">
        <f t="shared" si="364"/>
        <v>0</v>
      </c>
      <c r="BA596" s="49">
        <f t="shared" si="365"/>
        <v>1</v>
      </c>
      <c r="BB596" s="49">
        <f t="shared" si="366"/>
        <v>0</v>
      </c>
      <c r="BC596" s="49">
        <f t="shared" si="367"/>
        <v>0</v>
      </c>
      <c r="BD596" s="49">
        <f t="shared" si="368"/>
        <v>0</v>
      </c>
      <c r="BE596" s="49">
        <f t="shared" si="369"/>
        <v>1</v>
      </c>
      <c r="BF596" s="49">
        <f t="shared" si="370"/>
        <v>0</v>
      </c>
      <c r="BG596" s="49">
        <f t="shared" si="371"/>
        <v>0</v>
      </c>
      <c r="BH596" s="49">
        <f t="shared" si="372"/>
        <v>0</v>
      </c>
      <c r="BI596" s="49">
        <f t="shared" si="373"/>
        <v>1</v>
      </c>
      <c r="BJ596" s="49">
        <f t="shared" si="374"/>
        <v>0</v>
      </c>
      <c r="BK596" s="49">
        <f t="shared" si="375"/>
        <v>0</v>
      </c>
      <c r="BL596" s="49">
        <f t="shared" si="376"/>
        <v>1</v>
      </c>
      <c r="BM596" s="49">
        <f t="shared" si="377"/>
        <v>0</v>
      </c>
      <c r="BN596" s="49">
        <f t="shared" si="378"/>
        <v>0</v>
      </c>
      <c r="BO596" s="49">
        <f t="shared" si="379"/>
        <v>0</v>
      </c>
      <c r="BP596" s="49">
        <f t="shared" si="380"/>
        <v>1</v>
      </c>
      <c r="BQ596" s="49">
        <f t="shared" si="381"/>
        <v>0</v>
      </c>
      <c r="BR596" s="49">
        <f t="shared" si="382"/>
        <v>0</v>
      </c>
      <c r="BS596" s="49">
        <f t="shared" si="383"/>
        <v>0</v>
      </c>
      <c r="BT596" s="49">
        <f t="shared" si="384"/>
        <v>1</v>
      </c>
      <c r="BU596" s="49">
        <f t="shared" si="385"/>
        <v>0</v>
      </c>
      <c r="BV596" s="49">
        <f t="shared" si="386"/>
        <v>0</v>
      </c>
      <c r="BW596" s="49">
        <f t="shared" si="387"/>
        <v>0</v>
      </c>
      <c r="BX596" s="49">
        <f t="shared" si="388"/>
        <v>1</v>
      </c>
      <c r="BY596" s="49">
        <f t="shared" si="389"/>
        <v>0</v>
      </c>
      <c r="BZ596" s="49">
        <f t="shared" si="390"/>
        <v>0</v>
      </c>
      <c r="CA596" s="49">
        <f t="shared" si="391"/>
        <v>0</v>
      </c>
      <c r="CB596" s="49">
        <f t="shared" si="392"/>
        <v>1</v>
      </c>
      <c r="CC596" s="49">
        <f t="shared" si="393"/>
        <v>0</v>
      </c>
      <c r="CD596" s="49">
        <f t="shared" si="394"/>
        <v>0</v>
      </c>
      <c r="CE596" s="49">
        <f t="shared" si="395"/>
        <v>0</v>
      </c>
    </row>
    <row r="597" spans="1:83" ht="35.1" customHeight="1" x14ac:dyDescent="0.3">
      <c r="A597" s="123" t="str">
        <f t="shared" si="396"/>
        <v>5팀</v>
      </c>
      <c r="B597" s="69">
        <f t="shared" si="397"/>
        <v>591</v>
      </c>
      <c r="C597" s="120" t="str">
        <f>IF(VLOOKUP($B597,'1. 현장별 인원현황'!$C:$J,2,0)=0,"",VLOOKUP($B597,'1. 현장별 인원현황'!$C:$J,2,0))</f>
        <v xml:space="preserve"> [5.한국교직원공제회] The-K 제주호텔 리모델링 공사</v>
      </c>
      <c r="D597" s="70" t="str">
        <f>IF(VLOOKUP($B597,'1. 현장별 인원현황'!$C:$J,3,0)=0,"",VLOOKUP($B597,'1. 현장별 인원현황'!$C:$J,3,0))</f>
        <v>송경천</v>
      </c>
      <c r="E597" s="74" t="str">
        <f ca="1">IF(VLOOKUP($B597,'1. 현장별 인원현황'!$C:$J,4,0)=0,"",VLOOKUP($B597,'1. 현장별 인원현황'!$C:$J,4,0))</f>
        <v>45세</v>
      </c>
      <c r="F597" s="70" t="str">
        <f>IF(VLOOKUP($B597,'1. 현장별 인원현황'!$C:$J,7,0)=0,"",VLOOKUP($B597,'1. 현장별 인원현황'!$C:$J,7,0))</f>
        <v>기능공</v>
      </c>
      <c r="G597" s="72" t="str">
        <f>IF(VLOOKUP($B597,'1. 현장별 인원현황'!$C:$J,8,0)=0,"",VLOOKUP($B597,'1. 현장별 인원현황'!$C:$J,8,0))</f>
        <v>전공</v>
      </c>
      <c r="H597" s="67" t="s">
        <v>69</v>
      </c>
      <c r="I597" s="73"/>
      <c r="J597" s="73"/>
      <c r="K597" s="68"/>
      <c r="L597" s="67"/>
      <c r="M597" s="73" t="s">
        <v>69</v>
      </c>
      <c r="N597" s="73"/>
      <c r="O597" s="68"/>
      <c r="P597" s="67"/>
      <c r="Q597" s="73" t="s">
        <v>69</v>
      </c>
      <c r="R597" s="73"/>
      <c r="S597" s="68"/>
      <c r="T597" s="67"/>
      <c r="U597" s="73" t="s">
        <v>69</v>
      </c>
      <c r="V597" s="73"/>
      <c r="W597" s="68"/>
      <c r="X597" s="67" t="s">
        <v>69</v>
      </c>
      <c r="Y597" s="73"/>
      <c r="Z597" s="73"/>
      <c r="AA597" s="68"/>
      <c r="AB597" s="67" t="s">
        <v>69</v>
      </c>
      <c r="AC597" s="73"/>
      <c r="AD597" s="73"/>
      <c r="AE597" s="68"/>
      <c r="AF597" s="67" t="s">
        <v>69</v>
      </c>
      <c r="AG597" s="73"/>
      <c r="AH597" s="73"/>
      <c r="AI597" s="68"/>
      <c r="AJ597" s="67" t="s">
        <v>69</v>
      </c>
      <c r="AK597" s="73"/>
      <c r="AL597" s="73"/>
      <c r="AM597" s="68"/>
      <c r="AN597" s="73" t="s">
        <v>69</v>
      </c>
      <c r="AO597" s="73"/>
      <c r="AP597" s="73"/>
      <c r="AQ597" s="68"/>
      <c r="AR597" s="67">
        <f t="shared" si="398"/>
        <v>92</v>
      </c>
      <c r="AS597" s="68" t="str">
        <f t="shared" si="399"/>
        <v>S</v>
      </c>
      <c r="AV597" s="49">
        <f t="shared" si="360"/>
        <v>1</v>
      </c>
      <c r="AW597" s="49">
        <f t="shared" si="361"/>
        <v>0</v>
      </c>
      <c r="AX597" s="49">
        <f t="shared" si="362"/>
        <v>0</v>
      </c>
      <c r="AY597" s="49">
        <f t="shared" si="363"/>
        <v>0</v>
      </c>
      <c r="AZ597" s="49">
        <f t="shared" si="364"/>
        <v>0</v>
      </c>
      <c r="BA597" s="49">
        <f t="shared" si="365"/>
        <v>1</v>
      </c>
      <c r="BB597" s="49">
        <f t="shared" si="366"/>
        <v>0</v>
      </c>
      <c r="BC597" s="49">
        <f t="shared" si="367"/>
        <v>0</v>
      </c>
      <c r="BD597" s="49">
        <f t="shared" si="368"/>
        <v>0</v>
      </c>
      <c r="BE597" s="49">
        <f t="shared" si="369"/>
        <v>1</v>
      </c>
      <c r="BF597" s="49">
        <f t="shared" si="370"/>
        <v>0</v>
      </c>
      <c r="BG597" s="49">
        <f t="shared" si="371"/>
        <v>0</v>
      </c>
      <c r="BH597" s="49">
        <f t="shared" si="372"/>
        <v>0</v>
      </c>
      <c r="BI597" s="49">
        <f t="shared" si="373"/>
        <v>1</v>
      </c>
      <c r="BJ597" s="49">
        <f t="shared" si="374"/>
        <v>0</v>
      </c>
      <c r="BK597" s="49">
        <f t="shared" si="375"/>
        <v>0</v>
      </c>
      <c r="BL597" s="49">
        <f t="shared" si="376"/>
        <v>1</v>
      </c>
      <c r="BM597" s="49">
        <f t="shared" si="377"/>
        <v>0</v>
      </c>
      <c r="BN597" s="49">
        <f t="shared" si="378"/>
        <v>0</v>
      </c>
      <c r="BO597" s="49">
        <f t="shared" si="379"/>
        <v>0</v>
      </c>
      <c r="BP597" s="49">
        <f t="shared" si="380"/>
        <v>1</v>
      </c>
      <c r="BQ597" s="49">
        <f t="shared" si="381"/>
        <v>0</v>
      </c>
      <c r="BR597" s="49">
        <f t="shared" si="382"/>
        <v>0</v>
      </c>
      <c r="BS597" s="49">
        <f t="shared" si="383"/>
        <v>0</v>
      </c>
      <c r="BT597" s="49">
        <f t="shared" si="384"/>
        <v>1</v>
      </c>
      <c r="BU597" s="49">
        <f t="shared" si="385"/>
        <v>0</v>
      </c>
      <c r="BV597" s="49">
        <f t="shared" si="386"/>
        <v>0</v>
      </c>
      <c r="BW597" s="49">
        <f t="shared" si="387"/>
        <v>0</v>
      </c>
      <c r="BX597" s="49">
        <f t="shared" si="388"/>
        <v>1</v>
      </c>
      <c r="BY597" s="49">
        <f t="shared" si="389"/>
        <v>0</v>
      </c>
      <c r="BZ597" s="49">
        <f t="shared" si="390"/>
        <v>0</v>
      </c>
      <c r="CA597" s="49">
        <f t="shared" si="391"/>
        <v>0</v>
      </c>
      <c r="CB597" s="49">
        <f t="shared" si="392"/>
        <v>1</v>
      </c>
      <c r="CC597" s="49">
        <f t="shared" si="393"/>
        <v>0</v>
      </c>
      <c r="CD597" s="49">
        <f t="shared" si="394"/>
        <v>0</v>
      </c>
      <c r="CE597" s="49">
        <f t="shared" si="395"/>
        <v>0</v>
      </c>
    </row>
    <row r="598" spans="1:83" ht="35.1" customHeight="1" x14ac:dyDescent="0.3">
      <c r="A598" s="123" t="str">
        <f t="shared" si="396"/>
        <v>5팀</v>
      </c>
      <c r="B598" s="69">
        <f t="shared" si="397"/>
        <v>592</v>
      </c>
      <c r="C598" s="120" t="str">
        <f>IF(VLOOKUP($B598,'1. 현장별 인원현황'!$C:$J,2,0)=0,"",VLOOKUP($B598,'1. 현장별 인원현황'!$C:$J,2,0))</f>
        <v xml:space="preserve"> [5.한국교직원공제회] The-K 제주호텔 리모델링 공사</v>
      </c>
      <c r="D598" s="70" t="str">
        <f>IF(VLOOKUP($B598,'1. 현장별 인원현황'!$C:$J,3,0)=0,"",VLOOKUP($B598,'1. 현장별 인원현황'!$C:$J,3,0))</f>
        <v>한창훈</v>
      </c>
      <c r="E598" s="74" t="str">
        <f ca="1">IF(VLOOKUP($B598,'1. 현장별 인원현황'!$C:$J,4,0)=0,"",VLOOKUP($B598,'1. 현장별 인원현황'!$C:$J,4,0))</f>
        <v>53세</v>
      </c>
      <c r="F598" s="70" t="str">
        <f>IF(VLOOKUP($B598,'1. 현장별 인원현황'!$C:$J,7,0)=0,"",VLOOKUP($B598,'1. 현장별 인원현황'!$C:$J,7,0))</f>
        <v>기능공</v>
      </c>
      <c r="G598" s="72" t="str">
        <f>IF(VLOOKUP($B598,'1. 현장별 인원현황'!$C:$J,8,0)=0,"",VLOOKUP($B598,'1. 현장별 인원현황'!$C:$J,8,0))</f>
        <v>전공</v>
      </c>
      <c r="H598" s="67" t="s">
        <v>69</v>
      </c>
      <c r="I598" s="73"/>
      <c r="J598" s="73"/>
      <c r="K598" s="68"/>
      <c r="L598" s="67" t="s">
        <v>69</v>
      </c>
      <c r="M598" s="73"/>
      <c r="N598" s="73"/>
      <c r="O598" s="68"/>
      <c r="P598" s="67" t="s">
        <v>69</v>
      </c>
      <c r="Q598" s="73"/>
      <c r="R598" s="73"/>
      <c r="S598" s="68"/>
      <c r="T598" s="67"/>
      <c r="U598" s="73" t="s">
        <v>69</v>
      </c>
      <c r="V598" s="73"/>
      <c r="W598" s="68"/>
      <c r="X598" s="67"/>
      <c r="Y598" s="73"/>
      <c r="Z598" s="73" t="s">
        <v>69</v>
      </c>
      <c r="AA598" s="68"/>
      <c r="AB598" s="67"/>
      <c r="AC598" s="73" t="s">
        <v>69</v>
      </c>
      <c r="AD598" s="73"/>
      <c r="AE598" s="68"/>
      <c r="AF598" s="67"/>
      <c r="AG598" s="73" t="s">
        <v>69</v>
      </c>
      <c r="AH598" s="73"/>
      <c r="AI598" s="68"/>
      <c r="AJ598" s="67"/>
      <c r="AK598" s="73"/>
      <c r="AL598" s="73" t="s">
        <v>69</v>
      </c>
      <c r="AM598" s="68"/>
      <c r="AN598" s="73"/>
      <c r="AO598" s="73" t="s">
        <v>69</v>
      </c>
      <c r="AP598" s="73"/>
      <c r="AQ598" s="68"/>
      <c r="AR598" s="67">
        <f t="shared" si="398"/>
        <v>81</v>
      </c>
      <c r="AS598" s="68" t="str">
        <f t="shared" si="399"/>
        <v>A</v>
      </c>
      <c r="AV598" s="49">
        <f t="shared" si="360"/>
        <v>1</v>
      </c>
      <c r="AW598" s="49">
        <f t="shared" si="361"/>
        <v>0</v>
      </c>
      <c r="AX598" s="49">
        <f t="shared" si="362"/>
        <v>0</v>
      </c>
      <c r="AY598" s="49">
        <f t="shared" si="363"/>
        <v>0</v>
      </c>
      <c r="AZ598" s="49">
        <f t="shared" si="364"/>
        <v>1</v>
      </c>
      <c r="BA598" s="49">
        <f t="shared" si="365"/>
        <v>0</v>
      </c>
      <c r="BB598" s="49">
        <f t="shared" si="366"/>
        <v>0</v>
      </c>
      <c r="BC598" s="49">
        <f t="shared" si="367"/>
        <v>0</v>
      </c>
      <c r="BD598" s="49">
        <f t="shared" si="368"/>
        <v>1</v>
      </c>
      <c r="BE598" s="49">
        <f t="shared" si="369"/>
        <v>0</v>
      </c>
      <c r="BF598" s="49">
        <f t="shared" si="370"/>
        <v>0</v>
      </c>
      <c r="BG598" s="49">
        <f t="shared" si="371"/>
        <v>0</v>
      </c>
      <c r="BH598" s="49">
        <f t="shared" si="372"/>
        <v>0</v>
      </c>
      <c r="BI598" s="49">
        <f t="shared" si="373"/>
        <v>1</v>
      </c>
      <c r="BJ598" s="49">
        <f t="shared" si="374"/>
        <v>0</v>
      </c>
      <c r="BK598" s="49">
        <f t="shared" si="375"/>
        <v>0</v>
      </c>
      <c r="BL598" s="49">
        <f t="shared" si="376"/>
        <v>0</v>
      </c>
      <c r="BM598" s="49">
        <f t="shared" si="377"/>
        <v>0</v>
      </c>
      <c r="BN598" s="49">
        <f t="shared" si="378"/>
        <v>1</v>
      </c>
      <c r="BO598" s="49">
        <f t="shared" si="379"/>
        <v>0</v>
      </c>
      <c r="BP598" s="49">
        <f t="shared" si="380"/>
        <v>0</v>
      </c>
      <c r="BQ598" s="49">
        <f t="shared" si="381"/>
        <v>1</v>
      </c>
      <c r="BR598" s="49">
        <f t="shared" si="382"/>
        <v>0</v>
      </c>
      <c r="BS598" s="49">
        <f t="shared" si="383"/>
        <v>0</v>
      </c>
      <c r="BT598" s="49">
        <f t="shared" si="384"/>
        <v>0</v>
      </c>
      <c r="BU598" s="49">
        <f t="shared" si="385"/>
        <v>1</v>
      </c>
      <c r="BV598" s="49">
        <f t="shared" si="386"/>
        <v>0</v>
      </c>
      <c r="BW598" s="49">
        <f t="shared" si="387"/>
        <v>0</v>
      </c>
      <c r="BX598" s="49">
        <f t="shared" si="388"/>
        <v>0</v>
      </c>
      <c r="BY598" s="49">
        <f t="shared" si="389"/>
        <v>0</v>
      </c>
      <c r="BZ598" s="49">
        <f t="shared" si="390"/>
        <v>1</v>
      </c>
      <c r="CA598" s="49">
        <f t="shared" si="391"/>
        <v>0</v>
      </c>
      <c r="CB598" s="49">
        <f t="shared" si="392"/>
        <v>0</v>
      </c>
      <c r="CC598" s="49">
        <f t="shared" si="393"/>
        <v>1</v>
      </c>
      <c r="CD598" s="49">
        <f t="shared" si="394"/>
        <v>0</v>
      </c>
      <c r="CE598" s="49">
        <f t="shared" si="395"/>
        <v>0</v>
      </c>
    </row>
    <row r="599" spans="1:83" ht="35.1" customHeight="1" x14ac:dyDescent="0.3">
      <c r="A599" s="123" t="str">
        <f t="shared" si="396"/>
        <v>5팀</v>
      </c>
      <c r="B599" s="69">
        <f t="shared" si="397"/>
        <v>593</v>
      </c>
      <c r="C599" s="120" t="str">
        <f>IF(VLOOKUP($B599,'1. 현장별 인원현황'!$C:$J,2,0)=0,"",VLOOKUP($B599,'1. 현장별 인원현황'!$C:$J,2,0))</f>
        <v xml:space="preserve"> [5.한국교직원공제회] The-K 제주호텔 리모델링 공사</v>
      </c>
      <c r="D599" s="70" t="str">
        <f>IF(VLOOKUP($B599,'1. 현장별 인원현황'!$C:$J,3,0)=0,"",VLOOKUP($B599,'1. 현장별 인원현황'!$C:$J,3,0))</f>
        <v>양승욱</v>
      </c>
      <c r="E599" s="74" t="str">
        <f ca="1">IF(VLOOKUP($B599,'1. 현장별 인원현황'!$C:$J,4,0)=0,"",VLOOKUP($B599,'1. 현장별 인원현황'!$C:$J,4,0))</f>
        <v>54세</v>
      </c>
      <c r="F599" s="70" t="str">
        <f>IF(VLOOKUP($B599,'1. 현장별 인원현황'!$C:$J,7,0)=0,"",VLOOKUP($B599,'1. 현장별 인원현황'!$C:$J,7,0))</f>
        <v>기능공</v>
      </c>
      <c r="G599" s="72" t="str">
        <f>IF(VLOOKUP($B599,'1. 현장별 인원현황'!$C:$J,8,0)=0,"",VLOOKUP($B599,'1. 현장별 인원현황'!$C:$J,8,0))</f>
        <v>전공</v>
      </c>
      <c r="H599" s="67"/>
      <c r="I599" s="73" t="s">
        <v>69</v>
      </c>
      <c r="J599" s="73"/>
      <c r="K599" s="68"/>
      <c r="L599" s="67"/>
      <c r="M599" s="73" t="s">
        <v>69</v>
      </c>
      <c r="N599" s="73"/>
      <c r="O599" s="68"/>
      <c r="P599" s="67"/>
      <c r="Q599" s="73" t="s">
        <v>69</v>
      </c>
      <c r="R599" s="73"/>
      <c r="S599" s="68"/>
      <c r="T599" s="67"/>
      <c r="U599" s="73" t="s">
        <v>69</v>
      </c>
      <c r="V599" s="73"/>
      <c r="W599" s="68"/>
      <c r="X599" s="67"/>
      <c r="Y599" s="73" t="s">
        <v>69</v>
      </c>
      <c r="Z599" s="73"/>
      <c r="AA599" s="68"/>
      <c r="AB599" s="67"/>
      <c r="AC599" s="73" t="s">
        <v>69</v>
      </c>
      <c r="AD599" s="73"/>
      <c r="AE599" s="68"/>
      <c r="AF599" s="67"/>
      <c r="AG599" s="73" t="s">
        <v>69</v>
      </c>
      <c r="AH599" s="73"/>
      <c r="AI599" s="68"/>
      <c r="AJ599" s="67"/>
      <c r="AK599" s="73" t="s">
        <v>69</v>
      </c>
      <c r="AL599" s="73"/>
      <c r="AM599" s="68"/>
      <c r="AN599" s="73"/>
      <c r="AO599" s="73" t="s">
        <v>69</v>
      </c>
      <c r="AP599" s="73"/>
      <c r="AQ599" s="68"/>
      <c r="AR599" s="67">
        <f t="shared" si="398"/>
        <v>77</v>
      </c>
      <c r="AS599" s="68" t="str">
        <f t="shared" si="399"/>
        <v>A</v>
      </c>
      <c r="AV599" s="49">
        <f t="shared" si="360"/>
        <v>0</v>
      </c>
      <c r="AW599" s="49">
        <f t="shared" si="361"/>
        <v>1</v>
      </c>
      <c r="AX599" s="49">
        <f t="shared" si="362"/>
        <v>0</v>
      </c>
      <c r="AY599" s="49">
        <f t="shared" si="363"/>
        <v>0</v>
      </c>
      <c r="AZ599" s="49">
        <f t="shared" si="364"/>
        <v>0</v>
      </c>
      <c r="BA599" s="49">
        <f t="shared" si="365"/>
        <v>1</v>
      </c>
      <c r="BB599" s="49">
        <f t="shared" si="366"/>
        <v>0</v>
      </c>
      <c r="BC599" s="49">
        <f t="shared" si="367"/>
        <v>0</v>
      </c>
      <c r="BD599" s="49">
        <f t="shared" si="368"/>
        <v>0</v>
      </c>
      <c r="BE599" s="49">
        <f t="shared" si="369"/>
        <v>1</v>
      </c>
      <c r="BF599" s="49">
        <f t="shared" si="370"/>
        <v>0</v>
      </c>
      <c r="BG599" s="49">
        <f t="shared" si="371"/>
        <v>0</v>
      </c>
      <c r="BH599" s="49">
        <f t="shared" si="372"/>
        <v>0</v>
      </c>
      <c r="BI599" s="49">
        <f t="shared" si="373"/>
        <v>1</v>
      </c>
      <c r="BJ599" s="49">
        <f t="shared" si="374"/>
        <v>0</v>
      </c>
      <c r="BK599" s="49">
        <f t="shared" si="375"/>
        <v>0</v>
      </c>
      <c r="BL599" s="49">
        <f t="shared" si="376"/>
        <v>0</v>
      </c>
      <c r="BM599" s="49">
        <f t="shared" si="377"/>
        <v>1</v>
      </c>
      <c r="BN599" s="49">
        <f t="shared" si="378"/>
        <v>0</v>
      </c>
      <c r="BO599" s="49">
        <f t="shared" si="379"/>
        <v>0</v>
      </c>
      <c r="BP599" s="49">
        <f t="shared" si="380"/>
        <v>0</v>
      </c>
      <c r="BQ599" s="49">
        <f t="shared" si="381"/>
        <v>1</v>
      </c>
      <c r="BR599" s="49">
        <f t="shared" si="382"/>
        <v>0</v>
      </c>
      <c r="BS599" s="49">
        <f t="shared" si="383"/>
        <v>0</v>
      </c>
      <c r="BT599" s="49">
        <f t="shared" si="384"/>
        <v>0</v>
      </c>
      <c r="BU599" s="49">
        <f t="shared" si="385"/>
        <v>1</v>
      </c>
      <c r="BV599" s="49">
        <f t="shared" si="386"/>
        <v>0</v>
      </c>
      <c r="BW599" s="49">
        <f t="shared" si="387"/>
        <v>0</v>
      </c>
      <c r="BX599" s="49">
        <f t="shared" si="388"/>
        <v>0</v>
      </c>
      <c r="BY599" s="49">
        <f t="shared" si="389"/>
        <v>1</v>
      </c>
      <c r="BZ599" s="49">
        <f t="shared" si="390"/>
        <v>0</v>
      </c>
      <c r="CA599" s="49">
        <f t="shared" si="391"/>
        <v>0</v>
      </c>
      <c r="CB599" s="49">
        <f t="shared" si="392"/>
        <v>0</v>
      </c>
      <c r="CC599" s="49">
        <f t="shared" si="393"/>
        <v>1</v>
      </c>
      <c r="CD599" s="49">
        <f t="shared" si="394"/>
        <v>0</v>
      </c>
      <c r="CE599" s="49">
        <f t="shared" si="395"/>
        <v>0</v>
      </c>
    </row>
    <row r="600" spans="1:83" ht="35.1" customHeight="1" x14ac:dyDescent="0.3">
      <c r="A600" s="123" t="str">
        <f t="shared" si="396"/>
        <v>5팀</v>
      </c>
      <c r="B600" s="69">
        <f t="shared" si="397"/>
        <v>594</v>
      </c>
      <c r="C600" s="120" t="str">
        <f>IF(VLOOKUP($B600,'1. 현장별 인원현황'!$C:$J,2,0)=0,"",VLOOKUP($B600,'1. 현장별 인원현황'!$C:$J,2,0))</f>
        <v xml:space="preserve"> [5.한국교직원공제회] The-K 제주호텔 리모델링 공사</v>
      </c>
      <c r="D600" s="70" t="str">
        <f>IF(VLOOKUP($B600,'1. 현장별 인원현황'!$C:$J,3,0)=0,"",VLOOKUP($B600,'1. 현장별 인원현황'!$C:$J,3,0))</f>
        <v>양재성</v>
      </c>
      <c r="E600" s="74" t="str">
        <f ca="1">IF(VLOOKUP($B600,'1. 현장별 인원현황'!$C:$J,4,0)=0,"",VLOOKUP($B600,'1. 현장별 인원현황'!$C:$J,4,0))</f>
        <v>52세</v>
      </c>
      <c r="F600" s="70" t="str">
        <f>IF(VLOOKUP($B600,'1. 현장별 인원현황'!$C:$J,7,0)=0,"",VLOOKUP($B600,'1. 현장별 인원현황'!$C:$J,7,0))</f>
        <v>기능공</v>
      </c>
      <c r="G600" s="72" t="str">
        <f>IF(VLOOKUP($B600,'1. 현장별 인원현황'!$C:$J,8,0)=0,"",VLOOKUP($B600,'1. 현장별 인원현황'!$C:$J,8,0))</f>
        <v>전공</v>
      </c>
      <c r="H600" s="67"/>
      <c r="I600" s="73" t="s">
        <v>69</v>
      </c>
      <c r="J600" s="73"/>
      <c r="K600" s="68"/>
      <c r="L600" s="67"/>
      <c r="M600" s="73" t="s">
        <v>69</v>
      </c>
      <c r="N600" s="73"/>
      <c r="O600" s="68"/>
      <c r="P600" s="67"/>
      <c r="Q600" s="73" t="s">
        <v>69</v>
      </c>
      <c r="R600" s="73"/>
      <c r="S600" s="68"/>
      <c r="T600" s="67"/>
      <c r="U600" s="73" t="s">
        <v>69</v>
      </c>
      <c r="V600" s="73"/>
      <c r="W600" s="68"/>
      <c r="X600" s="67"/>
      <c r="Y600" s="73" t="s">
        <v>69</v>
      </c>
      <c r="Z600" s="73"/>
      <c r="AA600" s="68"/>
      <c r="AB600" s="67" t="s">
        <v>69</v>
      </c>
      <c r="AC600" s="73"/>
      <c r="AD600" s="73"/>
      <c r="AE600" s="68"/>
      <c r="AF600" s="67"/>
      <c r="AG600" s="73" t="s">
        <v>69</v>
      </c>
      <c r="AH600" s="73"/>
      <c r="AI600" s="68"/>
      <c r="AJ600" s="67"/>
      <c r="AK600" s="73" t="s">
        <v>69</v>
      </c>
      <c r="AL600" s="73"/>
      <c r="AM600" s="68"/>
      <c r="AN600" s="73" t="s">
        <v>69</v>
      </c>
      <c r="AO600" s="73"/>
      <c r="AP600" s="73"/>
      <c r="AQ600" s="68"/>
      <c r="AR600" s="67">
        <f t="shared" si="398"/>
        <v>82</v>
      </c>
      <c r="AS600" s="68" t="str">
        <f t="shared" si="399"/>
        <v>A</v>
      </c>
      <c r="AV600" s="49">
        <f t="shared" si="360"/>
        <v>0</v>
      </c>
      <c r="AW600" s="49">
        <f t="shared" si="361"/>
        <v>1</v>
      </c>
      <c r="AX600" s="49">
        <f t="shared" si="362"/>
        <v>0</v>
      </c>
      <c r="AY600" s="49">
        <f t="shared" si="363"/>
        <v>0</v>
      </c>
      <c r="AZ600" s="49">
        <f t="shared" si="364"/>
        <v>0</v>
      </c>
      <c r="BA600" s="49">
        <f t="shared" si="365"/>
        <v>1</v>
      </c>
      <c r="BB600" s="49">
        <f t="shared" si="366"/>
        <v>0</v>
      </c>
      <c r="BC600" s="49">
        <f t="shared" si="367"/>
        <v>0</v>
      </c>
      <c r="BD600" s="49">
        <f t="shared" si="368"/>
        <v>0</v>
      </c>
      <c r="BE600" s="49">
        <f t="shared" si="369"/>
        <v>1</v>
      </c>
      <c r="BF600" s="49">
        <f t="shared" si="370"/>
        <v>0</v>
      </c>
      <c r="BG600" s="49">
        <f t="shared" si="371"/>
        <v>0</v>
      </c>
      <c r="BH600" s="49">
        <f t="shared" si="372"/>
        <v>0</v>
      </c>
      <c r="BI600" s="49">
        <f t="shared" si="373"/>
        <v>1</v>
      </c>
      <c r="BJ600" s="49">
        <f t="shared" si="374"/>
        <v>0</v>
      </c>
      <c r="BK600" s="49">
        <f t="shared" si="375"/>
        <v>0</v>
      </c>
      <c r="BL600" s="49">
        <f t="shared" si="376"/>
        <v>0</v>
      </c>
      <c r="BM600" s="49">
        <f t="shared" si="377"/>
        <v>1</v>
      </c>
      <c r="BN600" s="49">
        <f t="shared" si="378"/>
        <v>0</v>
      </c>
      <c r="BO600" s="49">
        <f t="shared" si="379"/>
        <v>0</v>
      </c>
      <c r="BP600" s="49">
        <f t="shared" si="380"/>
        <v>1</v>
      </c>
      <c r="BQ600" s="49">
        <f t="shared" si="381"/>
        <v>0</v>
      </c>
      <c r="BR600" s="49">
        <f t="shared" si="382"/>
        <v>0</v>
      </c>
      <c r="BS600" s="49">
        <f t="shared" si="383"/>
        <v>0</v>
      </c>
      <c r="BT600" s="49">
        <f t="shared" si="384"/>
        <v>0</v>
      </c>
      <c r="BU600" s="49">
        <f t="shared" si="385"/>
        <v>1</v>
      </c>
      <c r="BV600" s="49">
        <f t="shared" si="386"/>
        <v>0</v>
      </c>
      <c r="BW600" s="49">
        <f t="shared" si="387"/>
        <v>0</v>
      </c>
      <c r="BX600" s="49">
        <f t="shared" si="388"/>
        <v>0</v>
      </c>
      <c r="BY600" s="49">
        <f t="shared" si="389"/>
        <v>1</v>
      </c>
      <c r="BZ600" s="49">
        <f t="shared" si="390"/>
        <v>0</v>
      </c>
      <c r="CA600" s="49">
        <f t="shared" si="391"/>
        <v>0</v>
      </c>
      <c r="CB600" s="49">
        <f t="shared" si="392"/>
        <v>1</v>
      </c>
      <c r="CC600" s="49">
        <f t="shared" si="393"/>
        <v>0</v>
      </c>
      <c r="CD600" s="49">
        <f t="shared" si="394"/>
        <v>0</v>
      </c>
      <c r="CE600" s="49">
        <f t="shared" si="395"/>
        <v>0</v>
      </c>
    </row>
    <row r="601" spans="1:83" ht="35.1" customHeight="1" x14ac:dyDescent="0.3">
      <c r="A601" s="123" t="str">
        <f t="shared" si="396"/>
        <v>5팀</v>
      </c>
      <c r="B601" s="69">
        <f t="shared" si="397"/>
        <v>595</v>
      </c>
      <c r="C601" s="120" t="str">
        <f>IF(VLOOKUP($B601,'1. 현장별 인원현황'!$C:$J,2,0)=0,"",VLOOKUP($B601,'1. 현장별 인원현황'!$C:$J,2,0))</f>
        <v xml:space="preserve"> [5.한국교직원공제회] The-K 제주호텔 리모델링 공사</v>
      </c>
      <c r="D601" s="70" t="str">
        <f>IF(VLOOKUP($B601,'1. 현장별 인원현황'!$C:$J,3,0)=0,"",VLOOKUP($B601,'1. 현장별 인원현황'!$C:$J,3,0))</f>
        <v>이정민</v>
      </c>
      <c r="E601" s="74" t="str">
        <f ca="1">IF(VLOOKUP($B601,'1. 현장별 인원현황'!$C:$J,4,0)=0,"",VLOOKUP($B601,'1. 현장별 인원현황'!$C:$J,4,0))</f>
        <v>43세</v>
      </c>
      <c r="F601" s="70" t="str">
        <f>IF(VLOOKUP($B601,'1. 현장별 인원현황'!$C:$J,7,0)=0,"",VLOOKUP($B601,'1. 현장별 인원현황'!$C:$J,7,0))</f>
        <v>기능공</v>
      </c>
      <c r="G601" s="72" t="str">
        <f>IF(VLOOKUP($B601,'1. 현장별 인원현황'!$C:$J,8,0)=0,"",VLOOKUP($B601,'1. 현장별 인원현황'!$C:$J,8,0))</f>
        <v>전공</v>
      </c>
      <c r="H601" s="67"/>
      <c r="I601" s="73" t="s">
        <v>69</v>
      </c>
      <c r="J601" s="73"/>
      <c r="K601" s="68"/>
      <c r="L601" s="67"/>
      <c r="M601" s="73" t="s">
        <v>69</v>
      </c>
      <c r="N601" s="73"/>
      <c r="O601" s="68"/>
      <c r="P601" s="67"/>
      <c r="Q601" s="73" t="s">
        <v>69</v>
      </c>
      <c r="R601" s="73"/>
      <c r="S601" s="68"/>
      <c r="T601" s="67"/>
      <c r="U601" s="73" t="s">
        <v>69</v>
      </c>
      <c r="V601" s="73"/>
      <c r="W601" s="68"/>
      <c r="X601" s="67"/>
      <c r="Y601" s="73" t="s">
        <v>69</v>
      </c>
      <c r="Z601" s="73"/>
      <c r="AA601" s="68"/>
      <c r="AB601" s="67"/>
      <c r="AC601" s="73" t="s">
        <v>69</v>
      </c>
      <c r="AD601" s="73"/>
      <c r="AE601" s="68"/>
      <c r="AF601" s="67"/>
      <c r="AG601" s="73" t="s">
        <v>69</v>
      </c>
      <c r="AH601" s="73"/>
      <c r="AI601" s="68"/>
      <c r="AJ601" s="67"/>
      <c r="AK601" s="73" t="s">
        <v>69</v>
      </c>
      <c r="AL601" s="73"/>
      <c r="AM601" s="68"/>
      <c r="AN601" s="73" t="s">
        <v>69</v>
      </c>
      <c r="AO601" s="73"/>
      <c r="AP601" s="73"/>
      <c r="AQ601" s="68"/>
      <c r="AR601" s="67">
        <f t="shared" si="398"/>
        <v>80</v>
      </c>
      <c r="AS601" s="68" t="str">
        <f t="shared" si="399"/>
        <v>A</v>
      </c>
      <c r="AV601" s="49">
        <f t="shared" si="360"/>
        <v>0</v>
      </c>
      <c r="AW601" s="49">
        <f t="shared" si="361"/>
        <v>1</v>
      </c>
      <c r="AX601" s="49">
        <f t="shared" si="362"/>
        <v>0</v>
      </c>
      <c r="AY601" s="49">
        <f t="shared" si="363"/>
        <v>0</v>
      </c>
      <c r="AZ601" s="49">
        <f t="shared" si="364"/>
        <v>0</v>
      </c>
      <c r="BA601" s="49">
        <f t="shared" si="365"/>
        <v>1</v>
      </c>
      <c r="BB601" s="49">
        <f t="shared" si="366"/>
        <v>0</v>
      </c>
      <c r="BC601" s="49">
        <f t="shared" si="367"/>
        <v>0</v>
      </c>
      <c r="BD601" s="49">
        <f t="shared" si="368"/>
        <v>0</v>
      </c>
      <c r="BE601" s="49">
        <f t="shared" si="369"/>
        <v>1</v>
      </c>
      <c r="BF601" s="49">
        <f t="shared" si="370"/>
        <v>0</v>
      </c>
      <c r="BG601" s="49">
        <f t="shared" si="371"/>
        <v>0</v>
      </c>
      <c r="BH601" s="49">
        <f t="shared" si="372"/>
        <v>0</v>
      </c>
      <c r="BI601" s="49">
        <f t="shared" si="373"/>
        <v>1</v>
      </c>
      <c r="BJ601" s="49">
        <f t="shared" si="374"/>
        <v>0</v>
      </c>
      <c r="BK601" s="49">
        <f t="shared" si="375"/>
        <v>0</v>
      </c>
      <c r="BL601" s="49">
        <f t="shared" si="376"/>
        <v>0</v>
      </c>
      <c r="BM601" s="49">
        <f t="shared" si="377"/>
        <v>1</v>
      </c>
      <c r="BN601" s="49">
        <f t="shared" si="378"/>
        <v>0</v>
      </c>
      <c r="BO601" s="49">
        <f t="shared" si="379"/>
        <v>0</v>
      </c>
      <c r="BP601" s="49">
        <f t="shared" si="380"/>
        <v>0</v>
      </c>
      <c r="BQ601" s="49">
        <f t="shared" si="381"/>
        <v>1</v>
      </c>
      <c r="BR601" s="49">
        <f t="shared" si="382"/>
        <v>0</v>
      </c>
      <c r="BS601" s="49">
        <f t="shared" si="383"/>
        <v>0</v>
      </c>
      <c r="BT601" s="49">
        <f t="shared" si="384"/>
        <v>0</v>
      </c>
      <c r="BU601" s="49">
        <f t="shared" si="385"/>
        <v>1</v>
      </c>
      <c r="BV601" s="49">
        <f t="shared" si="386"/>
        <v>0</v>
      </c>
      <c r="BW601" s="49">
        <f t="shared" si="387"/>
        <v>0</v>
      </c>
      <c r="BX601" s="49">
        <f t="shared" si="388"/>
        <v>0</v>
      </c>
      <c r="BY601" s="49">
        <f t="shared" si="389"/>
        <v>1</v>
      </c>
      <c r="BZ601" s="49">
        <f t="shared" si="390"/>
        <v>0</v>
      </c>
      <c r="CA601" s="49">
        <f t="shared" si="391"/>
        <v>0</v>
      </c>
      <c r="CB601" s="49">
        <f t="shared" si="392"/>
        <v>1</v>
      </c>
      <c r="CC601" s="49">
        <f t="shared" si="393"/>
        <v>0</v>
      </c>
      <c r="CD601" s="49">
        <f t="shared" si="394"/>
        <v>0</v>
      </c>
      <c r="CE601" s="49">
        <f t="shared" si="395"/>
        <v>0</v>
      </c>
    </row>
    <row r="602" spans="1:83" ht="35.1" customHeight="1" x14ac:dyDescent="0.3">
      <c r="A602" s="123" t="str">
        <f t="shared" si="396"/>
        <v>5팀</v>
      </c>
      <c r="B602" s="69">
        <f t="shared" si="397"/>
        <v>596</v>
      </c>
      <c r="C602" s="120" t="str">
        <f>IF(VLOOKUP($B602,'1. 현장별 인원현황'!$C:$J,2,0)=0,"",VLOOKUP($B602,'1. 현장별 인원현황'!$C:$J,2,0))</f>
        <v xml:space="preserve"> [5.한국교직원공제회] The-K 제주호텔 리모델링 공사</v>
      </c>
      <c r="D602" s="70" t="str">
        <f>IF(VLOOKUP($B602,'1. 현장별 인원현황'!$C:$J,3,0)=0,"",VLOOKUP($B602,'1. 현장별 인원현황'!$C:$J,3,0))</f>
        <v>권성훈</v>
      </c>
      <c r="E602" s="74" t="str">
        <f ca="1">IF(VLOOKUP($B602,'1. 현장별 인원현황'!$C:$J,4,0)=0,"",VLOOKUP($B602,'1. 현장별 인원현황'!$C:$J,4,0))</f>
        <v>47세</v>
      </c>
      <c r="F602" s="70" t="str">
        <f>IF(VLOOKUP($B602,'1. 현장별 인원현황'!$C:$J,7,0)=0,"",VLOOKUP($B602,'1. 현장별 인원현황'!$C:$J,7,0))</f>
        <v>기능공</v>
      </c>
      <c r="G602" s="72" t="str">
        <f>IF(VLOOKUP($B602,'1. 현장별 인원현황'!$C:$J,8,0)=0,"",VLOOKUP($B602,'1. 현장별 인원현황'!$C:$J,8,0))</f>
        <v>전공</v>
      </c>
      <c r="H602" s="67" t="s">
        <v>69</v>
      </c>
      <c r="I602" s="73"/>
      <c r="J602" s="73"/>
      <c r="K602" s="68"/>
      <c r="L602" s="67" t="s">
        <v>69</v>
      </c>
      <c r="M602" s="73"/>
      <c r="N602" s="73"/>
      <c r="O602" s="68"/>
      <c r="P602" s="67" t="s">
        <v>69</v>
      </c>
      <c r="Q602" s="73"/>
      <c r="R602" s="73"/>
      <c r="S602" s="68"/>
      <c r="T602" s="67"/>
      <c r="U602" s="73" t="s">
        <v>69</v>
      </c>
      <c r="V602" s="73"/>
      <c r="W602" s="68"/>
      <c r="X602" s="67"/>
      <c r="Y602" s="73" t="s">
        <v>69</v>
      </c>
      <c r="Z602" s="73"/>
      <c r="AA602" s="68"/>
      <c r="AB602" s="67" t="s">
        <v>69</v>
      </c>
      <c r="AC602" s="73"/>
      <c r="AD602" s="73"/>
      <c r="AE602" s="68"/>
      <c r="AF602" s="67"/>
      <c r="AG602" s="73" t="s">
        <v>69</v>
      </c>
      <c r="AH602" s="73"/>
      <c r="AI602" s="68"/>
      <c r="AJ602" s="67"/>
      <c r="AK602" s="73" t="s">
        <v>69</v>
      </c>
      <c r="AL602" s="73"/>
      <c r="AM602" s="68"/>
      <c r="AN602" s="73" t="s">
        <v>69</v>
      </c>
      <c r="AO602" s="73"/>
      <c r="AP602" s="73"/>
      <c r="AQ602" s="68"/>
      <c r="AR602" s="67">
        <f t="shared" si="398"/>
        <v>91</v>
      </c>
      <c r="AS602" s="68" t="str">
        <f t="shared" si="399"/>
        <v>S</v>
      </c>
      <c r="AV602" s="49">
        <f t="shared" si="360"/>
        <v>1</v>
      </c>
      <c r="AW602" s="49">
        <f t="shared" si="361"/>
        <v>0</v>
      </c>
      <c r="AX602" s="49">
        <f t="shared" si="362"/>
        <v>0</v>
      </c>
      <c r="AY602" s="49">
        <f t="shared" si="363"/>
        <v>0</v>
      </c>
      <c r="AZ602" s="49">
        <f t="shared" si="364"/>
        <v>1</v>
      </c>
      <c r="BA602" s="49">
        <f t="shared" si="365"/>
        <v>0</v>
      </c>
      <c r="BB602" s="49">
        <f t="shared" si="366"/>
        <v>0</v>
      </c>
      <c r="BC602" s="49">
        <f t="shared" si="367"/>
        <v>0</v>
      </c>
      <c r="BD602" s="49">
        <f t="shared" si="368"/>
        <v>1</v>
      </c>
      <c r="BE602" s="49">
        <f t="shared" si="369"/>
        <v>0</v>
      </c>
      <c r="BF602" s="49">
        <f t="shared" si="370"/>
        <v>0</v>
      </c>
      <c r="BG602" s="49">
        <f t="shared" si="371"/>
        <v>0</v>
      </c>
      <c r="BH602" s="49">
        <f t="shared" si="372"/>
        <v>0</v>
      </c>
      <c r="BI602" s="49">
        <f t="shared" si="373"/>
        <v>1</v>
      </c>
      <c r="BJ602" s="49">
        <f t="shared" si="374"/>
        <v>0</v>
      </c>
      <c r="BK602" s="49">
        <f t="shared" si="375"/>
        <v>0</v>
      </c>
      <c r="BL602" s="49">
        <f t="shared" si="376"/>
        <v>0</v>
      </c>
      <c r="BM602" s="49">
        <f t="shared" si="377"/>
        <v>1</v>
      </c>
      <c r="BN602" s="49">
        <f t="shared" si="378"/>
        <v>0</v>
      </c>
      <c r="BO602" s="49">
        <f t="shared" si="379"/>
        <v>0</v>
      </c>
      <c r="BP602" s="49">
        <f t="shared" si="380"/>
        <v>1</v>
      </c>
      <c r="BQ602" s="49">
        <f t="shared" si="381"/>
        <v>0</v>
      </c>
      <c r="BR602" s="49">
        <f t="shared" si="382"/>
        <v>0</v>
      </c>
      <c r="BS602" s="49">
        <f t="shared" si="383"/>
        <v>0</v>
      </c>
      <c r="BT602" s="49">
        <f t="shared" si="384"/>
        <v>0</v>
      </c>
      <c r="BU602" s="49">
        <f t="shared" si="385"/>
        <v>1</v>
      </c>
      <c r="BV602" s="49">
        <f t="shared" si="386"/>
        <v>0</v>
      </c>
      <c r="BW602" s="49">
        <f t="shared" si="387"/>
        <v>0</v>
      </c>
      <c r="BX602" s="49">
        <f t="shared" si="388"/>
        <v>0</v>
      </c>
      <c r="BY602" s="49">
        <f t="shared" si="389"/>
        <v>1</v>
      </c>
      <c r="BZ602" s="49">
        <f t="shared" si="390"/>
        <v>0</v>
      </c>
      <c r="CA602" s="49">
        <f t="shared" si="391"/>
        <v>0</v>
      </c>
      <c r="CB602" s="49">
        <f t="shared" si="392"/>
        <v>1</v>
      </c>
      <c r="CC602" s="49">
        <f t="shared" si="393"/>
        <v>0</v>
      </c>
      <c r="CD602" s="49">
        <f t="shared" si="394"/>
        <v>0</v>
      </c>
      <c r="CE602" s="49">
        <f t="shared" si="395"/>
        <v>0</v>
      </c>
    </row>
    <row r="603" spans="1:83" ht="35.1" customHeight="1" x14ac:dyDescent="0.3">
      <c r="A603" s="123" t="str">
        <f t="shared" si="396"/>
        <v>5팀</v>
      </c>
      <c r="B603" s="69">
        <f t="shared" si="397"/>
        <v>597</v>
      </c>
      <c r="C603" s="120" t="str">
        <f>IF(VLOOKUP($B603,'1. 현장별 인원현황'!$C:$J,2,0)=0,"",VLOOKUP($B603,'1. 현장별 인원현황'!$C:$J,2,0))</f>
        <v xml:space="preserve"> [5.한국교직원공제회] The-K 제주호텔 리모델링 공사</v>
      </c>
      <c r="D603" s="70" t="str">
        <f>IF(VLOOKUP($B603,'1. 현장별 인원현황'!$C:$J,3,0)=0,"",VLOOKUP($B603,'1. 현장별 인원현황'!$C:$J,3,0))</f>
        <v>강태원</v>
      </c>
      <c r="E603" s="74" t="str">
        <f ca="1">IF(VLOOKUP($B603,'1. 현장별 인원현황'!$C:$J,4,0)=0,"",VLOOKUP($B603,'1. 현장별 인원현황'!$C:$J,4,0))</f>
        <v>44세</v>
      </c>
      <c r="F603" s="70" t="str">
        <f>IF(VLOOKUP($B603,'1. 현장별 인원현황'!$C:$J,7,0)=0,"",VLOOKUP($B603,'1. 현장별 인원현황'!$C:$J,7,0))</f>
        <v>기능공</v>
      </c>
      <c r="G603" s="72" t="str">
        <f>IF(VLOOKUP($B603,'1. 현장별 인원현황'!$C:$J,8,0)=0,"",VLOOKUP($B603,'1. 현장별 인원현황'!$C:$J,8,0))</f>
        <v>전공</v>
      </c>
      <c r="H603" s="67"/>
      <c r="I603" s="73" t="s">
        <v>69</v>
      </c>
      <c r="J603" s="73"/>
      <c r="K603" s="68"/>
      <c r="L603" s="67"/>
      <c r="M603" s="73" t="s">
        <v>69</v>
      </c>
      <c r="N603" s="73"/>
      <c r="O603" s="68"/>
      <c r="P603" s="67"/>
      <c r="Q603" s="73" t="s">
        <v>69</v>
      </c>
      <c r="R603" s="73"/>
      <c r="S603" s="68"/>
      <c r="T603" s="67"/>
      <c r="U603" s="73" t="s">
        <v>69</v>
      </c>
      <c r="V603" s="73"/>
      <c r="W603" s="68"/>
      <c r="X603" s="67"/>
      <c r="Y603" s="73" t="s">
        <v>69</v>
      </c>
      <c r="Z603" s="73"/>
      <c r="AA603" s="68"/>
      <c r="AB603" s="67"/>
      <c r="AC603" s="73" t="s">
        <v>69</v>
      </c>
      <c r="AD603" s="73"/>
      <c r="AE603" s="68"/>
      <c r="AF603" s="67"/>
      <c r="AG603" s="73" t="s">
        <v>69</v>
      </c>
      <c r="AH603" s="73"/>
      <c r="AI603" s="68"/>
      <c r="AJ603" s="67"/>
      <c r="AK603" s="73" t="s">
        <v>69</v>
      </c>
      <c r="AL603" s="73"/>
      <c r="AM603" s="68"/>
      <c r="AN603" s="73" t="s">
        <v>69</v>
      </c>
      <c r="AO603" s="73"/>
      <c r="AP603" s="73"/>
      <c r="AQ603" s="68"/>
      <c r="AR603" s="67">
        <f t="shared" si="398"/>
        <v>80</v>
      </c>
      <c r="AS603" s="68" t="str">
        <f t="shared" si="399"/>
        <v>A</v>
      </c>
      <c r="AV603" s="49">
        <f t="shared" si="360"/>
        <v>0</v>
      </c>
      <c r="AW603" s="49">
        <f t="shared" si="361"/>
        <v>1</v>
      </c>
      <c r="AX603" s="49">
        <f t="shared" si="362"/>
        <v>0</v>
      </c>
      <c r="AY603" s="49">
        <f t="shared" si="363"/>
        <v>0</v>
      </c>
      <c r="AZ603" s="49">
        <f t="shared" si="364"/>
        <v>0</v>
      </c>
      <c r="BA603" s="49">
        <f t="shared" si="365"/>
        <v>1</v>
      </c>
      <c r="BB603" s="49">
        <f t="shared" si="366"/>
        <v>0</v>
      </c>
      <c r="BC603" s="49">
        <f t="shared" si="367"/>
        <v>0</v>
      </c>
      <c r="BD603" s="49">
        <f t="shared" si="368"/>
        <v>0</v>
      </c>
      <c r="BE603" s="49">
        <f t="shared" si="369"/>
        <v>1</v>
      </c>
      <c r="BF603" s="49">
        <f t="shared" si="370"/>
        <v>0</v>
      </c>
      <c r="BG603" s="49">
        <f t="shared" si="371"/>
        <v>0</v>
      </c>
      <c r="BH603" s="49">
        <f t="shared" si="372"/>
        <v>0</v>
      </c>
      <c r="BI603" s="49">
        <f t="shared" si="373"/>
        <v>1</v>
      </c>
      <c r="BJ603" s="49">
        <f t="shared" si="374"/>
        <v>0</v>
      </c>
      <c r="BK603" s="49">
        <f t="shared" si="375"/>
        <v>0</v>
      </c>
      <c r="BL603" s="49">
        <f t="shared" si="376"/>
        <v>0</v>
      </c>
      <c r="BM603" s="49">
        <f t="shared" si="377"/>
        <v>1</v>
      </c>
      <c r="BN603" s="49">
        <f t="shared" si="378"/>
        <v>0</v>
      </c>
      <c r="BO603" s="49">
        <f t="shared" si="379"/>
        <v>0</v>
      </c>
      <c r="BP603" s="49">
        <f t="shared" si="380"/>
        <v>0</v>
      </c>
      <c r="BQ603" s="49">
        <f t="shared" si="381"/>
        <v>1</v>
      </c>
      <c r="BR603" s="49">
        <f t="shared" si="382"/>
        <v>0</v>
      </c>
      <c r="BS603" s="49">
        <f t="shared" si="383"/>
        <v>0</v>
      </c>
      <c r="BT603" s="49">
        <f t="shared" si="384"/>
        <v>0</v>
      </c>
      <c r="BU603" s="49">
        <f t="shared" si="385"/>
        <v>1</v>
      </c>
      <c r="BV603" s="49">
        <f t="shared" si="386"/>
        <v>0</v>
      </c>
      <c r="BW603" s="49">
        <f t="shared" si="387"/>
        <v>0</v>
      </c>
      <c r="BX603" s="49">
        <f t="shared" si="388"/>
        <v>0</v>
      </c>
      <c r="BY603" s="49">
        <f t="shared" si="389"/>
        <v>1</v>
      </c>
      <c r="BZ603" s="49">
        <f t="shared" si="390"/>
        <v>0</v>
      </c>
      <c r="CA603" s="49">
        <f t="shared" si="391"/>
        <v>0</v>
      </c>
      <c r="CB603" s="49">
        <f t="shared" si="392"/>
        <v>1</v>
      </c>
      <c r="CC603" s="49">
        <f t="shared" si="393"/>
        <v>0</v>
      </c>
      <c r="CD603" s="49">
        <f t="shared" si="394"/>
        <v>0</v>
      </c>
      <c r="CE603" s="49">
        <f t="shared" si="395"/>
        <v>0</v>
      </c>
    </row>
    <row r="604" spans="1:83" ht="35.1" customHeight="1" x14ac:dyDescent="0.3">
      <c r="A604" s="123" t="str">
        <f t="shared" si="396"/>
        <v>5팀</v>
      </c>
      <c r="B604" s="69">
        <f t="shared" si="397"/>
        <v>598</v>
      </c>
      <c r="C604" s="120" t="str">
        <f>IF(VLOOKUP($B604,'1. 현장별 인원현황'!$C:$J,2,0)=0,"",VLOOKUP($B604,'1. 현장별 인원현황'!$C:$J,2,0))</f>
        <v xml:space="preserve"> [5.한국교직원공제회] The-K 제주호텔 리모델링 공사</v>
      </c>
      <c r="D604" s="70" t="str">
        <f>IF(VLOOKUP($B604,'1. 현장별 인원현황'!$C:$J,3,0)=0,"",VLOOKUP($B604,'1. 현장별 인원현황'!$C:$J,3,0))</f>
        <v>윤성모</v>
      </c>
      <c r="E604" s="74" t="str">
        <f ca="1">IF(VLOOKUP($B604,'1. 현장별 인원현황'!$C:$J,4,0)=0,"",VLOOKUP($B604,'1. 현장별 인원현황'!$C:$J,4,0))</f>
        <v>49세</v>
      </c>
      <c r="F604" s="70" t="str">
        <f>IF(VLOOKUP($B604,'1. 현장별 인원현황'!$C:$J,7,0)=0,"",VLOOKUP($B604,'1. 현장별 인원현황'!$C:$J,7,0))</f>
        <v>기능공</v>
      </c>
      <c r="G604" s="72" t="str">
        <f>IF(VLOOKUP($B604,'1. 현장별 인원현황'!$C:$J,8,0)=0,"",VLOOKUP($B604,'1. 현장별 인원현황'!$C:$J,8,0))</f>
        <v>전공</v>
      </c>
      <c r="H604" s="67"/>
      <c r="I604" s="73" t="s">
        <v>69</v>
      </c>
      <c r="J604" s="73"/>
      <c r="K604" s="68"/>
      <c r="L604" s="67"/>
      <c r="M604" s="73" t="s">
        <v>69</v>
      </c>
      <c r="N604" s="73"/>
      <c r="O604" s="68"/>
      <c r="P604" s="67"/>
      <c r="Q604" s="73" t="s">
        <v>69</v>
      </c>
      <c r="R604" s="73"/>
      <c r="S604" s="68"/>
      <c r="T604" s="67"/>
      <c r="U604" s="73" t="s">
        <v>69</v>
      </c>
      <c r="V604" s="73"/>
      <c r="W604" s="68"/>
      <c r="X604" s="67"/>
      <c r="Y604" s="73" t="s">
        <v>69</v>
      </c>
      <c r="Z604" s="73"/>
      <c r="AA604" s="68"/>
      <c r="AB604" s="67"/>
      <c r="AC604" s="73" t="s">
        <v>69</v>
      </c>
      <c r="AD604" s="73"/>
      <c r="AE604" s="68"/>
      <c r="AF604" s="67"/>
      <c r="AG604" s="73" t="s">
        <v>69</v>
      </c>
      <c r="AH604" s="73"/>
      <c r="AI604" s="68"/>
      <c r="AJ604" s="67"/>
      <c r="AK604" s="73" t="s">
        <v>69</v>
      </c>
      <c r="AL604" s="73"/>
      <c r="AM604" s="68"/>
      <c r="AN604" s="73" t="s">
        <v>69</v>
      </c>
      <c r="AO604" s="73"/>
      <c r="AP604" s="73"/>
      <c r="AQ604" s="68"/>
      <c r="AR604" s="67">
        <f t="shared" si="398"/>
        <v>80</v>
      </c>
      <c r="AS604" s="68" t="str">
        <f t="shared" si="399"/>
        <v>A</v>
      </c>
      <c r="AV604" s="49">
        <f t="shared" si="360"/>
        <v>0</v>
      </c>
      <c r="AW604" s="49">
        <f t="shared" si="361"/>
        <v>1</v>
      </c>
      <c r="AX604" s="49">
        <f t="shared" si="362"/>
        <v>0</v>
      </c>
      <c r="AY604" s="49">
        <f t="shared" si="363"/>
        <v>0</v>
      </c>
      <c r="AZ604" s="49">
        <f t="shared" si="364"/>
        <v>0</v>
      </c>
      <c r="BA604" s="49">
        <f t="shared" si="365"/>
        <v>1</v>
      </c>
      <c r="BB604" s="49">
        <f t="shared" si="366"/>
        <v>0</v>
      </c>
      <c r="BC604" s="49">
        <f t="shared" si="367"/>
        <v>0</v>
      </c>
      <c r="BD604" s="49">
        <f t="shared" si="368"/>
        <v>0</v>
      </c>
      <c r="BE604" s="49">
        <f t="shared" si="369"/>
        <v>1</v>
      </c>
      <c r="BF604" s="49">
        <f t="shared" si="370"/>
        <v>0</v>
      </c>
      <c r="BG604" s="49">
        <f t="shared" si="371"/>
        <v>0</v>
      </c>
      <c r="BH604" s="49">
        <f t="shared" si="372"/>
        <v>0</v>
      </c>
      <c r="BI604" s="49">
        <f t="shared" si="373"/>
        <v>1</v>
      </c>
      <c r="BJ604" s="49">
        <f t="shared" si="374"/>
        <v>0</v>
      </c>
      <c r="BK604" s="49">
        <f t="shared" si="375"/>
        <v>0</v>
      </c>
      <c r="BL604" s="49">
        <f t="shared" si="376"/>
        <v>0</v>
      </c>
      <c r="BM604" s="49">
        <f t="shared" si="377"/>
        <v>1</v>
      </c>
      <c r="BN604" s="49">
        <f t="shared" si="378"/>
        <v>0</v>
      </c>
      <c r="BO604" s="49">
        <f t="shared" si="379"/>
        <v>0</v>
      </c>
      <c r="BP604" s="49">
        <f t="shared" si="380"/>
        <v>0</v>
      </c>
      <c r="BQ604" s="49">
        <f t="shared" si="381"/>
        <v>1</v>
      </c>
      <c r="BR604" s="49">
        <f t="shared" si="382"/>
        <v>0</v>
      </c>
      <c r="BS604" s="49">
        <f t="shared" si="383"/>
        <v>0</v>
      </c>
      <c r="BT604" s="49">
        <f t="shared" si="384"/>
        <v>0</v>
      </c>
      <c r="BU604" s="49">
        <f t="shared" si="385"/>
        <v>1</v>
      </c>
      <c r="BV604" s="49">
        <f t="shared" si="386"/>
        <v>0</v>
      </c>
      <c r="BW604" s="49">
        <f t="shared" si="387"/>
        <v>0</v>
      </c>
      <c r="BX604" s="49">
        <f t="shared" si="388"/>
        <v>0</v>
      </c>
      <c r="BY604" s="49">
        <f t="shared" si="389"/>
        <v>1</v>
      </c>
      <c r="BZ604" s="49">
        <f t="shared" si="390"/>
        <v>0</v>
      </c>
      <c r="CA604" s="49">
        <f t="shared" si="391"/>
        <v>0</v>
      </c>
      <c r="CB604" s="49">
        <f t="shared" si="392"/>
        <v>1</v>
      </c>
      <c r="CC604" s="49">
        <f t="shared" si="393"/>
        <v>0</v>
      </c>
      <c r="CD604" s="49">
        <f t="shared" si="394"/>
        <v>0</v>
      </c>
      <c r="CE604" s="49">
        <f t="shared" si="395"/>
        <v>0</v>
      </c>
    </row>
    <row r="605" spans="1:83" ht="35.1" customHeight="1" x14ac:dyDescent="0.3">
      <c r="A605" s="123" t="str">
        <f t="shared" si="396"/>
        <v>5팀</v>
      </c>
      <c r="B605" s="69">
        <f t="shared" si="397"/>
        <v>599</v>
      </c>
      <c r="C605" s="120" t="str">
        <f>IF(VLOOKUP($B605,'1. 현장별 인원현황'!$C:$J,2,0)=0,"",VLOOKUP($B605,'1. 현장별 인원현황'!$C:$J,2,0))</f>
        <v xml:space="preserve"> [5.한국교직원공제회] The-K 제주호텔 리모델링 공사</v>
      </c>
      <c r="D605" s="70" t="str">
        <f>IF(VLOOKUP($B605,'1. 현장별 인원현황'!$C:$J,3,0)=0,"",VLOOKUP($B605,'1. 현장별 인원현황'!$C:$J,3,0))</f>
        <v>김상혁</v>
      </c>
      <c r="E605" s="74" t="str">
        <f ca="1">IF(VLOOKUP($B605,'1. 현장별 인원현황'!$C:$J,4,0)=0,"",VLOOKUP($B605,'1. 현장별 인원현황'!$C:$J,4,0))</f>
        <v>37세</v>
      </c>
      <c r="F605" s="70" t="str">
        <f>IF(VLOOKUP($B605,'1. 현장별 인원현황'!$C:$J,7,0)=0,"",VLOOKUP($B605,'1. 현장별 인원현황'!$C:$J,7,0))</f>
        <v>기능공</v>
      </c>
      <c r="G605" s="72" t="str">
        <f>IF(VLOOKUP($B605,'1. 현장별 인원현황'!$C:$J,8,0)=0,"",VLOOKUP($B605,'1. 현장별 인원현황'!$C:$J,8,0))</f>
        <v>전공</v>
      </c>
      <c r="H605" s="67"/>
      <c r="I605" s="73" t="s">
        <v>69</v>
      </c>
      <c r="J605" s="73"/>
      <c r="K605" s="68"/>
      <c r="L605" s="67"/>
      <c r="M605" s="73" t="s">
        <v>69</v>
      </c>
      <c r="N605" s="73"/>
      <c r="O605" s="68"/>
      <c r="P605" s="67"/>
      <c r="Q605" s="73" t="s">
        <v>69</v>
      </c>
      <c r="R605" s="73"/>
      <c r="S605" s="68"/>
      <c r="T605" s="67"/>
      <c r="U605" s="73" t="s">
        <v>69</v>
      </c>
      <c r="V605" s="73"/>
      <c r="W605" s="68"/>
      <c r="X605" s="67"/>
      <c r="Y605" s="73" t="s">
        <v>69</v>
      </c>
      <c r="Z605" s="73"/>
      <c r="AA605" s="68"/>
      <c r="AB605" s="67"/>
      <c r="AC605" s="73" t="s">
        <v>69</v>
      </c>
      <c r="AD605" s="73"/>
      <c r="AE605" s="68"/>
      <c r="AF605" s="67"/>
      <c r="AG605" s="73" t="s">
        <v>69</v>
      </c>
      <c r="AH605" s="73"/>
      <c r="AI605" s="68"/>
      <c r="AJ605" s="67"/>
      <c r="AK605" s="73" t="s">
        <v>69</v>
      </c>
      <c r="AL605" s="73"/>
      <c r="AM605" s="68"/>
      <c r="AN605" s="73" t="s">
        <v>69</v>
      </c>
      <c r="AO605" s="73"/>
      <c r="AP605" s="73"/>
      <c r="AQ605" s="68"/>
      <c r="AR605" s="67">
        <f t="shared" si="398"/>
        <v>80</v>
      </c>
      <c r="AS605" s="68" t="str">
        <f t="shared" si="399"/>
        <v>A</v>
      </c>
      <c r="AV605" s="49">
        <f t="shared" si="360"/>
        <v>0</v>
      </c>
      <c r="AW605" s="49">
        <f t="shared" si="361"/>
        <v>1</v>
      </c>
      <c r="AX605" s="49">
        <f t="shared" si="362"/>
        <v>0</v>
      </c>
      <c r="AY605" s="49">
        <f t="shared" si="363"/>
        <v>0</v>
      </c>
      <c r="AZ605" s="49">
        <f t="shared" si="364"/>
        <v>0</v>
      </c>
      <c r="BA605" s="49">
        <f t="shared" si="365"/>
        <v>1</v>
      </c>
      <c r="BB605" s="49">
        <f t="shared" si="366"/>
        <v>0</v>
      </c>
      <c r="BC605" s="49">
        <f t="shared" si="367"/>
        <v>0</v>
      </c>
      <c r="BD605" s="49">
        <f t="shared" si="368"/>
        <v>0</v>
      </c>
      <c r="BE605" s="49">
        <f t="shared" si="369"/>
        <v>1</v>
      </c>
      <c r="BF605" s="49">
        <f t="shared" si="370"/>
        <v>0</v>
      </c>
      <c r="BG605" s="49">
        <f t="shared" si="371"/>
        <v>0</v>
      </c>
      <c r="BH605" s="49">
        <f t="shared" si="372"/>
        <v>0</v>
      </c>
      <c r="BI605" s="49">
        <f t="shared" si="373"/>
        <v>1</v>
      </c>
      <c r="BJ605" s="49">
        <f t="shared" si="374"/>
        <v>0</v>
      </c>
      <c r="BK605" s="49">
        <f t="shared" si="375"/>
        <v>0</v>
      </c>
      <c r="BL605" s="49">
        <f t="shared" si="376"/>
        <v>0</v>
      </c>
      <c r="BM605" s="49">
        <f t="shared" si="377"/>
        <v>1</v>
      </c>
      <c r="BN605" s="49">
        <f t="shared" si="378"/>
        <v>0</v>
      </c>
      <c r="BO605" s="49">
        <f t="shared" si="379"/>
        <v>0</v>
      </c>
      <c r="BP605" s="49">
        <f t="shared" si="380"/>
        <v>0</v>
      </c>
      <c r="BQ605" s="49">
        <f t="shared" si="381"/>
        <v>1</v>
      </c>
      <c r="BR605" s="49">
        <f t="shared" si="382"/>
        <v>0</v>
      </c>
      <c r="BS605" s="49">
        <f t="shared" si="383"/>
        <v>0</v>
      </c>
      <c r="BT605" s="49">
        <f t="shared" si="384"/>
        <v>0</v>
      </c>
      <c r="BU605" s="49">
        <f t="shared" si="385"/>
        <v>1</v>
      </c>
      <c r="BV605" s="49">
        <f t="shared" si="386"/>
        <v>0</v>
      </c>
      <c r="BW605" s="49">
        <f t="shared" si="387"/>
        <v>0</v>
      </c>
      <c r="BX605" s="49">
        <f t="shared" si="388"/>
        <v>0</v>
      </c>
      <c r="BY605" s="49">
        <f t="shared" si="389"/>
        <v>1</v>
      </c>
      <c r="BZ605" s="49">
        <f t="shared" si="390"/>
        <v>0</v>
      </c>
      <c r="CA605" s="49">
        <f t="shared" si="391"/>
        <v>0</v>
      </c>
      <c r="CB605" s="49">
        <f t="shared" si="392"/>
        <v>1</v>
      </c>
      <c r="CC605" s="49">
        <f t="shared" si="393"/>
        <v>0</v>
      </c>
      <c r="CD605" s="49">
        <f t="shared" si="394"/>
        <v>0</v>
      </c>
      <c r="CE605" s="49">
        <f t="shared" si="395"/>
        <v>0</v>
      </c>
    </row>
    <row r="606" spans="1:83" ht="35.1" customHeight="1" x14ac:dyDescent="0.3">
      <c r="A606" s="123" t="str">
        <f t="shared" si="396"/>
        <v>5팀</v>
      </c>
      <c r="B606" s="69">
        <f t="shared" si="397"/>
        <v>600</v>
      </c>
      <c r="C606" s="120" t="str">
        <f>IF(VLOOKUP($B606,'1. 현장별 인원현황'!$C:$J,2,0)=0,"",VLOOKUP($B606,'1. 현장별 인원현황'!$C:$J,2,0))</f>
        <v xml:space="preserve"> [5.한국교직원공제회] The-K 제주호텔 리모델링 공사</v>
      </c>
      <c r="D606" s="70" t="str">
        <f>IF(VLOOKUP($B606,'1. 현장별 인원현황'!$C:$J,3,0)=0,"",VLOOKUP($B606,'1. 현장별 인원현황'!$C:$J,3,0))</f>
        <v>신학민</v>
      </c>
      <c r="E606" s="74" t="str">
        <f ca="1">IF(VLOOKUP($B606,'1. 현장별 인원현황'!$C:$J,4,0)=0,"",VLOOKUP($B606,'1. 현장별 인원현황'!$C:$J,4,0))</f>
        <v>47세</v>
      </c>
      <c r="F606" s="70" t="str">
        <f>IF(VLOOKUP($B606,'1. 현장별 인원현황'!$C:$J,7,0)=0,"",VLOOKUP($B606,'1. 현장별 인원현황'!$C:$J,7,0))</f>
        <v>기능공</v>
      </c>
      <c r="G606" s="72" t="str">
        <f>IF(VLOOKUP($B606,'1. 현장별 인원현황'!$C:$J,8,0)=0,"",VLOOKUP($B606,'1. 현장별 인원현황'!$C:$J,8,0))</f>
        <v>전공</v>
      </c>
      <c r="H606" s="67" t="s">
        <v>69</v>
      </c>
      <c r="I606" s="73"/>
      <c r="J606" s="73"/>
      <c r="K606" s="68"/>
      <c r="L606" s="67" t="s">
        <v>69</v>
      </c>
      <c r="M606" s="73"/>
      <c r="N606" s="73"/>
      <c r="O606" s="68"/>
      <c r="P606" s="67" t="s">
        <v>69</v>
      </c>
      <c r="Q606" s="73"/>
      <c r="R606" s="73"/>
      <c r="S606" s="68"/>
      <c r="T606" s="67"/>
      <c r="U606" s="73" t="s">
        <v>69</v>
      </c>
      <c r="V606" s="73"/>
      <c r="W606" s="68"/>
      <c r="X606" s="67"/>
      <c r="Y606" s="73" t="s">
        <v>69</v>
      </c>
      <c r="Z606" s="73"/>
      <c r="AA606" s="68"/>
      <c r="AB606" s="67" t="s">
        <v>69</v>
      </c>
      <c r="AC606" s="73"/>
      <c r="AD606" s="73"/>
      <c r="AE606" s="68"/>
      <c r="AF606" s="67"/>
      <c r="AG606" s="73" t="s">
        <v>69</v>
      </c>
      <c r="AH606" s="73"/>
      <c r="AI606" s="68"/>
      <c r="AJ606" s="67"/>
      <c r="AK606" s="73" t="s">
        <v>69</v>
      </c>
      <c r="AL606" s="73"/>
      <c r="AM606" s="68"/>
      <c r="AN606" s="73" t="s">
        <v>69</v>
      </c>
      <c r="AO606" s="73"/>
      <c r="AP606" s="73"/>
      <c r="AQ606" s="68"/>
      <c r="AR606" s="67">
        <f t="shared" si="398"/>
        <v>91</v>
      </c>
      <c r="AS606" s="68" t="str">
        <f t="shared" si="399"/>
        <v>S</v>
      </c>
      <c r="AV606" s="49">
        <f t="shared" si="360"/>
        <v>1</v>
      </c>
      <c r="AW606" s="49">
        <f t="shared" si="361"/>
        <v>0</v>
      </c>
      <c r="AX606" s="49">
        <f t="shared" si="362"/>
        <v>0</v>
      </c>
      <c r="AY606" s="49">
        <f t="shared" si="363"/>
        <v>0</v>
      </c>
      <c r="AZ606" s="49">
        <f t="shared" si="364"/>
        <v>1</v>
      </c>
      <c r="BA606" s="49">
        <f t="shared" si="365"/>
        <v>0</v>
      </c>
      <c r="BB606" s="49">
        <f t="shared" si="366"/>
        <v>0</v>
      </c>
      <c r="BC606" s="49">
        <f t="shared" si="367"/>
        <v>0</v>
      </c>
      <c r="BD606" s="49">
        <f t="shared" si="368"/>
        <v>1</v>
      </c>
      <c r="BE606" s="49">
        <f t="shared" si="369"/>
        <v>0</v>
      </c>
      <c r="BF606" s="49">
        <f t="shared" si="370"/>
        <v>0</v>
      </c>
      <c r="BG606" s="49">
        <f t="shared" si="371"/>
        <v>0</v>
      </c>
      <c r="BH606" s="49">
        <f t="shared" si="372"/>
        <v>0</v>
      </c>
      <c r="BI606" s="49">
        <f t="shared" si="373"/>
        <v>1</v>
      </c>
      <c r="BJ606" s="49">
        <f t="shared" si="374"/>
        <v>0</v>
      </c>
      <c r="BK606" s="49">
        <f t="shared" si="375"/>
        <v>0</v>
      </c>
      <c r="BL606" s="49">
        <f t="shared" si="376"/>
        <v>0</v>
      </c>
      <c r="BM606" s="49">
        <f t="shared" si="377"/>
        <v>1</v>
      </c>
      <c r="BN606" s="49">
        <f t="shared" si="378"/>
        <v>0</v>
      </c>
      <c r="BO606" s="49">
        <f t="shared" si="379"/>
        <v>0</v>
      </c>
      <c r="BP606" s="49">
        <f t="shared" si="380"/>
        <v>1</v>
      </c>
      <c r="BQ606" s="49">
        <f t="shared" si="381"/>
        <v>0</v>
      </c>
      <c r="BR606" s="49">
        <f t="shared" si="382"/>
        <v>0</v>
      </c>
      <c r="BS606" s="49">
        <f t="shared" si="383"/>
        <v>0</v>
      </c>
      <c r="BT606" s="49">
        <f t="shared" si="384"/>
        <v>0</v>
      </c>
      <c r="BU606" s="49">
        <f t="shared" si="385"/>
        <v>1</v>
      </c>
      <c r="BV606" s="49">
        <f t="shared" si="386"/>
        <v>0</v>
      </c>
      <c r="BW606" s="49">
        <f t="shared" si="387"/>
        <v>0</v>
      </c>
      <c r="BX606" s="49">
        <f t="shared" si="388"/>
        <v>0</v>
      </c>
      <c r="BY606" s="49">
        <f t="shared" si="389"/>
        <v>1</v>
      </c>
      <c r="BZ606" s="49">
        <f t="shared" si="390"/>
        <v>0</v>
      </c>
      <c r="CA606" s="49">
        <f t="shared" si="391"/>
        <v>0</v>
      </c>
      <c r="CB606" s="49">
        <f t="shared" si="392"/>
        <v>1</v>
      </c>
      <c r="CC606" s="49">
        <f t="shared" si="393"/>
        <v>0</v>
      </c>
      <c r="CD606" s="49">
        <f t="shared" si="394"/>
        <v>0</v>
      </c>
      <c r="CE606" s="49">
        <f t="shared" si="395"/>
        <v>0</v>
      </c>
    </row>
    <row r="607" spans="1:83" ht="35.1" customHeight="1" x14ac:dyDescent="0.3">
      <c r="A607" s="123" t="str">
        <f t="shared" si="396"/>
        <v>5팀</v>
      </c>
      <c r="B607" s="69">
        <f t="shared" si="397"/>
        <v>601</v>
      </c>
      <c r="C607" s="120" t="str">
        <f>IF(VLOOKUP($B607,'1. 현장별 인원현황'!$C:$J,2,0)=0,"",VLOOKUP($B607,'1. 현장별 인원현황'!$C:$J,2,0))</f>
        <v xml:space="preserve"> [5.한국교직원공제회] The-K 제주호텔 리모델링 공사</v>
      </c>
      <c r="D607" s="70" t="str">
        <f>IF(VLOOKUP($B607,'1. 현장별 인원현황'!$C:$J,3,0)=0,"",VLOOKUP($B607,'1. 현장별 인원현황'!$C:$J,3,0))</f>
        <v>장범진</v>
      </c>
      <c r="E607" s="74" t="str">
        <f ca="1">IF(VLOOKUP($B607,'1. 현장별 인원현황'!$C:$J,4,0)=0,"",VLOOKUP($B607,'1. 현장별 인원현황'!$C:$J,4,0))</f>
        <v>34세</v>
      </c>
      <c r="F607" s="70" t="str">
        <f>IF(VLOOKUP($B607,'1. 현장별 인원현황'!$C:$J,7,0)=0,"",VLOOKUP($B607,'1. 현장별 인원현황'!$C:$J,7,0))</f>
        <v>기능공</v>
      </c>
      <c r="G607" s="72" t="str">
        <f>IF(VLOOKUP($B607,'1. 현장별 인원현황'!$C:$J,8,0)=0,"",VLOOKUP($B607,'1. 현장별 인원현황'!$C:$J,8,0))</f>
        <v>전공</v>
      </c>
      <c r="H607" s="67"/>
      <c r="I607" s="73"/>
      <c r="J607" s="73" t="s">
        <v>69</v>
      </c>
      <c r="K607" s="68"/>
      <c r="L607" s="67"/>
      <c r="M607" s="73"/>
      <c r="N607" s="73" t="s">
        <v>69</v>
      </c>
      <c r="O607" s="68"/>
      <c r="P607" s="67"/>
      <c r="Q607" s="73"/>
      <c r="R607" s="73" t="s">
        <v>69</v>
      </c>
      <c r="S607" s="68"/>
      <c r="T607" s="67"/>
      <c r="U607" s="73"/>
      <c r="V607" s="73" t="s">
        <v>69</v>
      </c>
      <c r="W607" s="68"/>
      <c r="X607" s="67"/>
      <c r="Y607" s="73" t="s">
        <v>69</v>
      </c>
      <c r="Z607" s="73"/>
      <c r="AA607" s="68"/>
      <c r="AB607" s="67"/>
      <c r="AC607" s="73" t="s">
        <v>69</v>
      </c>
      <c r="AD607" s="73"/>
      <c r="AE607" s="68"/>
      <c r="AF607" s="67"/>
      <c r="AG607" s="73" t="s">
        <v>69</v>
      </c>
      <c r="AH607" s="73"/>
      <c r="AI607" s="68"/>
      <c r="AJ607" s="67"/>
      <c r="AK607" s="73" t="s">
        <v>69</v>
      </c>
      <c r="AL607" s="73"/>
      <c r="AM607" s="68"/>
      <c r="AN607" s="73" t="s">
        <v>69</v>
      </c>
      <c r="AO607" s="73"/>
      <c r="AP607" s="73"/>
      <c r="AQ607" s="68"/>
      <c r="AR607" s="67">
        <f t="shared" si="398"/>
        <v>69</v>
      </c>
      <c r="AS607" s="68" t="str">
        <f t="shared" si="399"/>
        <v>B</v>
      </c>
      <c r="AV607" s="49">
        <f t="shared" si="360"/>
        <v>0</v>
      </c>
      <c r="AW607" s="49">
        <f t="shared" si="361"/>
        <v>0</v>
      </c>
      <c r="AX607" s="49">
        <f t="shared" si="362"/>
        <v>1</v>
      </c>
      <c r="AY607" s="49">
        <f t="shared" si="363"/>
        <v>0</v>
      </c>
      <c r="AZ607" s="49">
        <f t="shared" si="364"/>
        <v>0</v>
      </c>
      <c r="BA607" s="49">
        <f t="shared" si="365"/>
        <v>0</v>
      </c>
      <c r="BB607" s="49">
        <f t="shared" si="366"/>
        <v>1</v>
      </c>
      <c r="BC607" s="49">
        <f t="shared" si="367"/>
        <v>0</v>
      </c>
      <c r="BD607" s="49">
        <f t="shared" si="368"/>
        <v>0</v>
      </c>
      <c r="BE607" s="49">
        <f t="shared" si="369"/>
        <v>0</v>
      </c>
      <c r="BF607" s="49">
        <f t="shared" si="370"/>
        <v>1</v>
      </c>
      <c r="BG607" s="49">
        <f t="shared" si="371"/>
        <v>0</v>
      </c>
      <c r="BH607" s="49">
        <f t="shared" si="372"/>
        <v>0</v>
      </c>
      <c r="BI607" s="49">
        <f t="shared" si="373"/>
        <v>0</v>
      </c>
      <c r="BJ607" s="49">
        <f t="shared" si="374"/>
        <v>1</v>
      </c>
      <c r="BK607" s="49">
        <f t="shared" si="375"/>
        <v>0</v>
      </c>
      <c r="BL607" s="49">
        <f t="shared" si="376"/>
        <v>0</v>
      </c>
      <c r="BM607" s="49">
        <f t="shared" si="377"/>
        <v>1</v>
      </c>
      <c r="BN607" s="49">
        <f t="shared" si="378"/>
        <v>0</v>
      </c>
      <c r="BO607" s="49">
        <f t="shared" si="379"/>
        <v>0</v>
      </c>
      <c r="BP607" s="49">
        <f t="shared" si="380"/>
        <v>0</v>
      </c>
      <c r="BQ607" s="49">
        <f t="shared" si="381"/>
        <v>1</v>
      </c>
      <c r="BR607" s="49">
        <f t="shared" si="382"/>
        <v>0</v>
      </c>
      <c r="BS607" s="49">
        <f t="shared" si="383"/>
        <v>0</v>
      </c>
      <c r="BT607" s="49">
        <f t="shared" si="384"/>
        <v>0</v>
      </c>
      <c r="BU607" s="49">
        <f t="shared" si="385"/>
        <v>1</v>
      </c>
      <c r="BV607" s="49">
        <f t="shared" si="386"/>
        <v>0</v>
      </c>
      <c r="BW607" s="49">
        <f t="shared" si="387"/>
        <v>0</v>
      </c>
      <c r="BX607" s="49">
        <f t="shared" si="388"/>
        <v>0</v>
      </c>
      <c r="BY607" s="49">
        <f t="shared" si="389"/>
        <v>1</v>
      </c>
      <c r="BZ607" s="49">
        <f t="shared" si="390"/>
        <v>0</v>
      </c>
      <c r="CA607" s="49">
        <f t="shared" si="391"/>
        <v>0</v>
      </c>
      <c r="CB607" s="49">
        <f t="shared" si="392"/>
        <v>1</v>
      </c>
      <c r="CC607" s="49">
        <f t="shared" si="393"/>
        <v>0</v>
      </c>
      <c r="CD607" s="49">
        <f t="shared" si="394"/>
        <v>0</v>
      </c>
      <c r="CE607" s="49">
        <f t="shared" si="395"/>
        <v>0</v>
      </c>
    </row>
    <row r="608" spans="1:83" ht="35.1" customHeight="1" x14ac:dyDescent="0.3">
      <c r="A608" s="123" t="str">
        <f t="shared" si="396"/>
        <v>6팀</v>
      </c>
      <c r="B608" s="69">
        <f t="shared" si="397"/>
        <v>602</v>
      </c>
      <c r="C608" s="120" t="str">
        <f>IF(VLOOKUP($B608,'1. 현장별 인원현황'!$C:$J,2,0)=0,"",VLOOKUP($B608,'1. 현장별 인원현황'!$C:$J,2,0))</f>
        <v xml:space="preserve"> [6.현대엔지니어링] AutoLand 화성 기아 LW 프로젝트 일반전기공사(도장)</v>
      </c>
      <c r="D608" s="70" t="str">
        <f>IF(VLOOKUP($B608,'1. 현장별 인원현황'!$C:$J,3,0)=0,"",VLOOKUP($B608,'1. 현장별 인원현황'!$C:$J,3,0))</f>
        <v>장경식</v>
      </c>
      <c r="E608" s="74" t="str">
        <f ca="1">IF(VLOOKUP($B608,'1. 현장별 인원현황'!$C:$J,4,0)=0,"",VLOOKUP($B608,'1. 현장별 인원현황'!$C:$J,4,0))</f>
        <v>62세</v>
      </c>
      <c r="F608" s="70" t="str">
        <f>IF(VLOOKUP($B608,'1. 현장별 인원현황'!$C:$J,7,0)=0,"",VLOOKUP($B608,'1. 현장별 인원현황'!$C:$J,7,0))</f>
        <v>공무</v>
      </c>
      <c r="G608" s="72" t="str">
        <f>IF(VLOOKUP($B608,'1. 현장별 인원현황'!$C:$J,8,0)=0,"",VLOOKUP($B608,'1. 현장별 인원현황'!$C:$J,8,0))</f>
        <v>부장</v>
      </c>
      <c r="H608" s="67"/>
      <c r="I608" s="73"/>
      <c r="J608" s="73"/>
      <c r="K608" s="68" t="s">
        <v>69</v>
      </c>
      <c r="L608" s="67"/>
      <c r="M608" s="73"/>
      <c r="N608" s="73"/>
      <c r="O608" s="68" t="s">
        <v>69</v>
      </c>
      <c r="P608" s="67"/>
      <c r="Q608" s="73"/>
      <c r="R608" s="73"/>
      <c r="S608" s="68" t="s">
        <v>69</v>
      </c>
      <c r="T608" s="67"/>
      <c r="U608" s="73"/>
      <c r="V608" s="73"/>
      <c r="W608" s="68" t="s">
        <v>69</v>
      </c>
      <c r="X608" s="67"/>
      <c r="Y608" s="73"/>
      <c r="Z608" s="73"/>
      <c r="AA608" s="68" t="s">
        <v>69</v>
      </c>
      <c r="AB608" s="67"/>
      <c r="AC608" s="73"/>
      <c r="AD608" s="73"/>
      <c r="AE608" s="68" t="s">
        <v>69</v>
      </c>
      <c r="AF608" s="67"/>
      <c r="AG608" s="73"/>
      <c r="AH608" s="73"/>
      <c r="AI608" s="68"/>
      <c r="AJ608" s="67" t="s">
        <v>69</v>
      </c>
      <c r="AK608" s="73"/>
      <c r="AL608" s="73"/>
      <c r="AM608" s="68"/>
      <c r="AN608" s="73" t="s">
        <v>69</v>
      </c>
      <c r="AO608" s="73"/>
      <c r="AP608" s="73"/>
      <c r="AQ608" s="68"/>
      <c r="AR608" s="67">
        <f t="shared" si="398"/>
        <v>45</v>
      </c>
      <c r="AS608" s="68" t="str">
        <f t="shared" si="399"/>
        <v>C</v>
      </c>
      <c r="AV608" s="49">
        <f t="shared" si="360"/>
        <v>0</v>
      </c>
      <c r="AW608" s="49">
        <f t="shared" si="361"/>
        <v>0</v>
      </c>
      <c r="AX608" s="49">
        <f t="shared" si="362"/>
        <v>0</v>
      </c>
      <c r="AY608" s="49">
        <f t="shared" si="363"/>
        <v>1</v>
      </c>
      <c r="AZ608" s="49">
        <f t="shared" si="364"/>
        <v>0</v>
      </c>
      <c r="BA608" s="49">
        <f t="shared" si="365"/>
        <v>0</v>
      </c>
      <c r="BB608" s="49">
        <f t="shared" si="366"/>
        <v>0</v>
      </c>
      <c r="BC608" s="49">
        <f t="shared" si="367"/>
        <v>1</v>
      </c>
      <c r="BD608" s="49">
        <f t="shared" si="368"/>
        <v>0</v>
      </c>
      <c r="BE608" s="49">
        <f t="shared" si="369"/>
        <v>0</v>
      </c>
      <c r="BF608" s="49">
        <f t="shared" si="370"/>
        <v>0</v>
      </c>
      <c r="BG608" s="49">
        <f t="shared" si="371"/>
        <v>1</v>
      </c>
      <c r="BH608" s="49">
        <f t="shared" si="372"/>
        <v>0</v>
      </c>
      <c r="BI608" s="49">
        <f t="shared" si="373"/>
        <v>0</v>
      </c>
      <c r="BJ608" s="49">
        <f t="shared" si="374"/>
        <v>0</v>
      </c>
      <c r="BK608" s="49">
        <f t="shared" si="375"/>
        <v>1</v>
      </c>
      <c r="BL608" s="49">
        <f t="shared" si="376"/>
        <v>0</v>
      </c>
      <c r="BM608" s="49">
        <f t="shared" si="377"/>
        <v>0</v>
      </c>
      <c r="BN608" s="49">
        <f t="shared" si="378"/>
        <v>0</v>
      </c>
      <c r="BO608" s="49">
        <f t="shared" si="379"/>
        <v>1</v>
      </c>
      <c r="BP608" s="49">
        <f t="shared" si="380"/>
        <v>0</v>
      </c>
      <c r="BQ608" s="49">
        <f t="shared" si="381"/>
        <v>0</v>
      </c>
      <c r="BR608" s="49">
        <f t="shared" si="382"/>
        <v>0</v>
      </c>
      <c r="BS608" s="49">
        <f t="shared" si="383"/>
        <v>1</v>
      </c>
      <c r="BT608" s="49">
        <f t="shared" si="384"/>
        <v>0</v>
      </c>
      <c r="BU608" s="49">
        <f t="shared" si="385"/>
        <v>0</v>
      </c>
      <c r="BV608" s="49">
        <f t="shared" si="386"/>
        <v>0</v>
      </c>
      <c r="BW608" s="49">
        <f t="shared" si="387"/>
        <v>0</v>
      </c>
      <c r="BX608" s="49">
        <f t="shared" si="388"/>
        <v>1</v>
      </c>
      <c r="BY608" s="49">
        <f t="shared" si="389"/>
        <v>0</v>
      </c>
      <c r="BZ608" s="49">
        <f t="shared" si="390"/>
        <v>0</v>
      </c>
      <c r="CA608" s="49">
        <f t="shared" si="391"/>
        <v>0</v>
      </c>
      <c r="CB608" s="49">
        <f t="shared" si="392"/>
        <v>1</v>
      </c>
      <c r="CC608" s="49">
        <f t="shared" si="393"/>
        <v>0</v>
      </c>
      <c r="CD608" s="49">
        <f t="shared" si="394"/>
        <v>0</v>
      </c>
      <c r="CE608" s="49">
        <f t="shared" si="395"/>
        <v>0</v>
      </c>
    </row>
    <row r="609" spans="1:83" ht="35.1" customHeight="1" x14ac:dyDescent="0.3">
      <c r="A609" s="123" t="str">
        <f t="shared" si="396"/>
        <v>6팀</v>
      </c>
      <c r="B609" s="69">
        <f t="shared" si="397"/>
        <v>603</v>
      </c>
      <c r="C609" s="120" t="str">
        <f>IF(VLOOKUP($B609,'1. 현장별 인원현황'!$C:$J,2,0)=0,"",VLOOKUP($B609,'1. 현장별 인원현황'!$C:$J,2,0))</f>
        <v xml:space="preserve"> [6.현대엔지니어링] AutoLand 화성 기아 LW 프로젝트 일반전기공사(도장)</v>
      </c>
      <c r="D609" s="70" t="str">
        <f>IF(VLOOKUP($B609,'1. 현장별 인원현황'!$C:$J,3,0)=0,"",VLOOKUP($B609,'1. 현장별 인원현황'!$C:$J,3,0))</f>
        <v>은춘기</v>
      </c>
      <c r="E609" s="74" t="str">
        <f ca="1">IF(VLOOKUP($B609,'1. 현장별 인원현황'!$C:$J,4,0)=0,"",VLOOKUP($B609,'1. 현장별 인원현황'!$C:$J,4,0))</f>
        <v>63세</v>
      </c>
      <c r="F609" s="70" t="str">
        <f>IF(VLOOKUP($B609,'1. 현장별 인원현황'!$C:$J,7,0)=0,"",VLOOKUP($B609,'1. 현장별 인원현황'!$C:$J,7,0))</f>
        <v>공사</v>
      </c>
      <c r="G609" s="72" t="str">
        <f>IF(VLOOKUP($B609,'1. 현장별 인원현황'!$C:$J,8,0)=0,"",VLOOKUP($B609,'1. 현장별 인원현황'!$C:$J,8,0))</f>
        <v>차장</v>
      </c>
      <c r="H609" s="67"/>
      <c r="I609" s="73"/>
      <c r="J609" s="73"/>
      <c r="K609" s="68"/>
      <c r="L609" s="67" t="s">
        <v>69</v>
      </c>
      <c r="M609" s="73"/>
      <c r="N609" s="73"/>
      <c r="O609" s="68" t="s">
        <v>69</v>
      </c>
      <c r="P609" s="67"/>
      <c r="Q609" s="73"/>
      <c r="R609" s="73"/>
      <c r="S609" s="68" t="s">
        <v>69</v>
      </c>
      <c r="T609" s="67"/>
      <c r="U609" s="73"/>
      <c r="V609" s="73"/>
      <c r="W609" s="68"/>
      <c r="X609" s="67" t="s">
        <v>69</v>
      </c>
      <c r="Y609" s="73"/>
      <c r="Z609" s="73" t="s">
        <v>69</v>
      </c>
      <c r="AA609" s="68"/>
      <c r="AB609" s="67"/>
      <c r="AC609" s="73"/>
      <c r="AD609" s="73" t="s">
        <v>69</v>
      </c>
      <c r="AE609" s="68"/>
      <c r="AF609" s="67"/>
      <c r="AG609" s="73"/>
      <c r="AH609" s="73"/>
      <c r="AI609" s="68" t="s">
        <v>69</v>
      </c>
      <c r="AJ609" s="67"/>
      <c r="AK609" s="73"/>
      <c r="AL609" s="73"/>
      <c r="AM609" s="68" t="s">
        <v>69</v>
      </c>
      <c r="AN609" s="73"/>
      <c r="AO609" s="73"/>
      <c r="AP609" s="73"/>
      <c r="AQ609" s="68"/>
      <c r="AR609" s="67">
        <f t="shared" si="398"/>
        <v>47</v>
      </c>
      <c r="AS609" s="68" t="str">
        <f t="shared" si="399"/>
        <v>C</v>
      </c>
      <c r="AV609" s="49">
        <f t="shared" si="360"/>
        <v>0</v>
      </c>
      <c r="AW609" s="49">
        <f t="shared" si="361"/>
        <v>0</v>
      </c>
      <c r="AX609" s="49">
        <f t="shared" si="362"/>
        <v>0</v>
      </c>
      <c r="AY609" s="49">
        <f t="shared" si="363"/>
        <v>0</v>
      </c>
      <c r="AZ609" s="49">
        <f t="shared" si="364"/>
        <v>1</v>
      </c>
      <c r="BA609" s="49">
        <f t="shared" si="365"/>
        <v>0</v>
      </c>
      <c r="BB609" s="49">
        <f t="shared" si="366"/>
        <v>0</v>
      </c>
      <c r="BC609" s="49">
        <f t="shared" si="367"/>
        <v>1</v>
      </c>
      <c r="BD609" s="49">
        <f t="shared" si="368"/>
        <v>0</v>
      </c>
      <c r="BE609" s="49">
        <f t="shared" si="369"/>
        <v>0</v>
      </c>
      <c r="BF609" s="49">
        <f t="shared" si="370"/>
        <v>0</v>
      </c>
      <c r="BG609" s="49">
        <f t="shared" si="371"/>
        <v>1</v>
      </c>
      <c r="BH609" s="49">
        <f t="shared" si="372"/>
        <v>0</v>
      </c>
      <c r="BI609" s="49">
        <f t="shared" si="373"/>
        <v>0</v>
      </c>
      <c r="BJ609" s="49">
        <f t="shared" si="374"/>
        <v>0</v>
      </c>
      <c r="BK609" s="49">
        <f t="shared" si="375"/>
        <v>0</v>
      </c>
      <c r="BL609" s="49">
        <f t="shared" si="376"/>
        <v>1</v>
      </c>
      <c r="BM609" s="49">
        <f t="shared" si="377"/>
        <v>0</v>
      </c>
      <c r="BN609" s="49">
        <f t="shared" si="378"/>
        <v>1</v>
      </c>
      <c r="BO609" s="49">
        <f t="shared" si="379"/>
        <v>0</v>
      </c>
      <c r="BP609" s="49">
        <f t="shared" si="380"/>
        <v>0</v>
      </c>
      <c r="BQ609" s="49">
        <f t="shared" si="381"/>
        <v>0</v>
      </c>
      <c r="BR609" s="49">
        <f t="shared" si="382"/>
        <v>1</v>
      </c>
      <c r="BS609" s="49">
        <f t="shared" si="383"/>
        <v>0</v>
      </c>
      <c r="BT609" s="49">
        <f t="shared" si="384"/>
        <v>0</v>
      </c>
      <c r="BU609" s="49">
        <f t="shared" si="385"/>
        <v>0</v>
      </c>
      <c r="BV609" s="49">
        <f t="shared" si="386"/>
        <v>0</v>
      </c>
      <c r="BW609" s="49">
        <f t="shared" si="387"/>
        <v>1</v>
      </c>
      <c r="BX609" s="49">
        <f t="shared" si="388"/>
        <v>0</v>
      </c>
      <c r="BY609" s="49">
        <f t="shared" si="389"/>
        <v>0</v>
      </c>
      <c r="BZ609" s="49">
        <f t="shared" si="390"/>
        <v>0</v>
      </c>
      <c r="CA609" s="49">
        <f t="shared" si="391"/>
        <v>1</v>
      </c>
      <c r="CB609" s="49">
        <f t="shared" si="392"/>
        <v>0</v>
      </c>
      <c r="CC609" s="49">
        <f t="shared" si="393"/>
        <v>0</v>
      </c>
      <c r="CD609" s="49">
        <f t="shared" si="394"/>
        <v>0</v>
      </c>
      <c r="CE609" s="49">
        <f t="shared" si="395"/>
        <v>0</v>
      </c>
    </row>
    <row r="610" spans="1:83" ht="35.1" customHeight="1" x14ac:dyDescent="0.3">
      <c r="A610" s="123" t="str">
        <f t="shared" si="396"/>
        <v>6팀</v>
      </c>
      <c r="B610" s="69">
        <f t="shared" si="397"/>
        <v>604</v>
      </c>
      <c r="C610" s="120" t="str">
        <f>IF(VLOOKUP($B610,'1. 현장별 인원현황'!$C:$J,2,0)=0,"",VLOOKUP($B610,'1. 현장별 인원현황'!$C:$J,2,0))</f>
        <v xml:space="preserve"> [6.현대엔지니어링] AutoLand 화성 기아 LW 프로젝트 일반전기공사(도장)</v>
      </c>
      <c r="D610" s="70" t="str">
        <f>IF(VLOOKUP($B610,'1. 현장별 인원현황'!$C:$J,3,0)=0,"",VLOOKUP($B610,'1. 현장별 인원현황'!$C:$J,3,0))</f>
        <v>송광필</v>
      </c>
      <c r="E610" s="74" t="str">
        <f ca="1">IF(VLOOKUP($B610,'1. 현장별 인원현황'!$C:$J,4,0)=0,"",VLOOKUP($B610,'1. 현장별 인원현황'!$C:$J,4,0))</f>
        <v>51세</v>
      </c>
      <c r="F610" s="70" t="str">
        <f>IF(VLOOKUP($B610,'1. 현장별 인원현황'!$C:$J,7,0)=0,"",VLOOKUP($B610,'1. 현장별 인원현황'!$C:$J,7,0))</f>
        <v>공사</v>
      </c>
      <c r="G610" s="72" t="str">
        <f>IF(VLOOKUP($B610,'1. 현장별 인원현황'!$C:$J,8,0)=0,"",VLOOKUP($B610,'1. 현장별 인원현황'!$C:$J,8,0))</f>
        <v>차장</v>
      </c>
      <c r="H610" s="67"/>
      <c r="I610" s="73"/>
      <c r="J610" s="73"/>
      <c r="K610" s="68" t="s">
        <v>69</v>
      </c>
      <c r="L610" s="67"/>
      <c r="M610" s="73"/>
      <c r="N610" s="73"/>
      <c r="O610" s="68"/>
      <c r="P610" s="67" t="s">
        <v>69</v>
      </c>
      <c r="Q610" s="73"/>
      <c r="R610" s="73" t="s">
        <v>69</v>
      </c>
      <c r="S610" s="68"/>
      <c r="T610" s="67"/>
      <c r="U610" s="73"/>
      <c r="V610" s="73"/>
      <c r="W610" s="68"/>
      <c r="X610" s="67" t="s">
        <v>69</v>
      </c>
      <c r="Y610" s="73"/>
      <c r="Z610" s="73"/>
      <c r="AA610" s="68" t="s">
        <v>69</v>
      </c>
      <c r="AB610" s="67"/>
      <c r="AC610" s="73"/>
      <c r="AD610" s="73"/>
      <c r="AE610" s="68" t="s">
        <v>69</v>
      </c>
      <c r="AF610" s="67"/>
      <c r="AG610" s="73"/>
      <c r="AH610" s="73"/>
      <c r="AI610" s="68"/>
      <c r="AJ610" s="67" t="s">
        <v>69</v>
      </c>
      <c r="AK610" s="73"/>
      <c r="AL610" s="73"/>
      <c r="AM610" s="68"/>
      <c r="AN610" s="73" t="s">
        <v>69</v>
      </c>
      <c r="AO610" s="73"/>
      <c r="AP610" s="73"/>
      <c r="AQ610" s="68"/>
      <c r="AR610" s="67">
        <f t="shared" si="398"/>
        <v>63</v>
      </c>
      <c r="AS610" s="68" t="str">
        <f t="shared" si="399"/>
        <v>B</v>
      </c>
      <c r="AV610" s="49">
        <f t="shared" si="360"/>
        <v>0</v>
      </c>
      <c r="AW610" s="49">
        <f t="shared" si="361"/>
        <v>0</v>
      </c>
      <c r="AX610" s="49">
        <f t="shared" si="362"/>
        <v>0</v>
      </c>
      <c r="AY610" s="49">
        <f t="shared" si="363"/>
        <v>1</v>
      </c>
      <c r="AZ610" s="49">
        <f t="shared" si="364"/>
        <v>0</v>
      </c>
      <c r="BA610" s="49">
        <f t="shared" si="365"/>
        <v>0</v>
      </c>
      <c r="BB610" s="49">
        <f t="shared" si="366"/>
        <v>0</v>
      </c>
      <c r="BC610" s="49">
        <f t="shared" si="367"/>
        <v>0</v>
      </c>
      <c r="BD610" s="49">
        <f t="shared" si="368"/>
        <v>1</v>
      </c>
      <c r="BE610" s="49">
        <f t="shared" si="369"/>
        <v>0</v>
      </c>
      <c r="BF610" s="49">
        <f t="shared" si="370"/>
        <v>1</v>
      </c>
      <c r="BG610" s="49">
        <f t="shared" si="371"/>
        <v>0</v>
      </c>
      <c r="BH610" s="49">
        <f t="shared" si="372"/>
        <v>0</v>
      </c>
      <c r="BI610" s="49">
        <f t="shared" si="373"/>
        <v>0</v>
      </c>
      <c r="BJ610" s="49">
        <f t="shared" si="374"/>
        <v>0</v>
      </c>
      <c r="BK610" s="49">
        <f t="shared" si="375"/>
        <v>0</v>
      </c>
      <c r="BL610" s="49">
        <f t="shared" si="376"/>
        <v>1</v>
      </c>
      <c r="BM610" s="49">
        <f t="shared" si="377"/>
        <v>0</v>
      </c>
      <c r="BN610" s="49">
        <f t="shared" si="378"/>
        <v>0</v>
      </c>
      <c r="BO610" s="49">
        <f t="shared" si="379"/>
        <v>1</v>
      </c>
      <c r="BP610" s="49">
        <f t="shared" si="380"/>
        <v>0</v>
      </c>
      <c r="BQ610" s="49">
        <f t="shared" si="381"/>
        <v>0</v>
      </c>
      <c r="BR610" s="49">
        <f t="shared" si="382"/>
        <v>0</v>
      </c>
      <c r="BS610" s="49">
        <f t="shared" si="383"/>
        <v>1</v>
      </c>
      <c r="BT610" s="49">
        <f t="shared" si="384"/>
        <v>0</v>
      </c>
      <c r="BU610" s="49">
        <f t="shared" si="385"/>
        <v>0</v>
      </c>
      <c r="BV610" s="49">
        <f t="shared" si="386"/>
        <v>0</v>
      </c>
      <c r="BW610" s="49">
        <f t="shared" si="387"/>
        <v>0</v>
      </c>
      <c r="BX610" s="49">
        <f t="shared" si="388"/>
        <v>1</v>
      </c>
      <c r="BY610" s="49">
        <f t="shared" si="389"/>
        <v>0</v>
      </c>
      <c r="BZ610" s="49">
        <f t="shared" si="390"/>
        <v>0</v>
      </c>
      <c r="CA610" s="49">
        <f t="shared" si="391"/>
        <v>0</v>
      </c>
      <c r="CB610" s="49">
        <f t="shared" si="392"/>
        <v>1</v>
      </c>
      <c r="CC610" s="49">
        <f t="shared" si="393"/>
        <v>0</v>
      </c>
      <c r="CD610" s="49">
        <f t="shared" si="394"/>
        <v>0</v>
      </c>
      <c r="CE610" s="49">
        <f t="shared" si="395"/>
        <v>0</v>
      </c>
    </row>
    <row r="611" spans="1:83" ht="35.1" customHeight="1" x14ac:dyDescent="0.3">
      <c r="A611" s="123" t="str">
        <f t="shared" si="396"/>
        <v>6팀</v>
      </c>
      <c r="B611" s="69">
        <f t="shared" si="397"/>
        <v>605</v>
      </c>
      <c r="C611" s="120" t="str">
        <f>IF(VLOOKUP($B611,'1. 현장별 인원현황'!$C:$J,2,0)=0,"",VLOOKUP($B611,'1. 현장별 인원현황'!$C:$J,2,0))</f>
        <v xml:space="preserve"> [6.현대엔지니어링] AutoLand 화성 기아 LW 프로젝트 일반전기공사(도장)</v>
      </c>
      <c r="D611" s="70" t="str">
        <f>IF(VLOOKUP($B611,'1. 현장별 인원현황'!$C:$J,3,0)=0,"",VLOOKUP($B611,'1. 현장별 인원현황'!$C:$J,3,0))</f>
        <v>권혁기</v>
      </c>
      <c r="E611" s="74" t="str">
        <f ca="1">IF(VLOOKUP($B611,'1. 현장별 인원현황'!$C:$J,4,0)=0,"",VLOOKUP($B611,'1. 현장별 인원현황'!$C:$J,4,0))</f>
        <v>46세</v>
      </c>
      <c r="F611" s="70" t="str">
        <f>IF(VLOOKUP($B611,'1. 현장별 인원현황'!$C:$J,7,0)=0,"",VLOOKUP($B611,'1. 현장별 인원현황'!$C:$J,7,0))</f>
        <v>안전관리자</v>
      </c>
      <c r="G611" s="72" t="str">
        <f>IF(VLOOKUP($B611,'1. 현장별 인원현황'!$C:$J,8,0)=0,"",VLOOKUP($B611,'1. 현장별 인원현황'!$C:$J,8,0))</f>
        <v>차장</v>
      </c>
      <c r="H611" s="67"/>
      <c r="I611" s="73"/>
      <c r="J611" s="73"/>
      <c r="K611" s="68" t="s">
        <v>69</v>
      </c>
      <c r="L611" s="67"/>
      <c r="M611" s="73"/>
      <c r="N611" s="73"/>
      <c r="O611" s="68"/>
      <c r="P611" s="67" t="s">
        <v>69</v>
      </c>
      <c r="Q611" s="73"/>
      <c r="R611" s="73"/>
      <c r="S611" s="68"/>
      <c r="T611" s="67" t="s">
        <v>69</v>
      </c>
      <c r="U611" s="73"/>
      <c r="V611" s="73"/>
      <c r="W611" s="68" t="s">
        <v>69</v>
      </c>
      <c r="X611" s="67"/>
      <c r="Y611" s="73"/>
      <c r="Z611" s="73"/>
      <c r="AA611" s="68"/>
      <c r="AB611" s="67" t="s">
        <v>69</v>
      </c>
      <c r="AC611" s="73"/>
      <c r="AD611" s="73"/>
      <c r="AE611" s="68"/>
      <c r="AF611" s="67" t="s">
        <v>69</v>
      </c>
      <c r="AG611" s="73"/>
      <c r="AH611" s="73"/>
      <c r="AI611" s="68"/>
      <c r="AJ611" s="67" t="s">
        <v>69</v>
      </c>
      <c r="AK611" s="73"/>
      <c r="AL611" s="73"/>
      <c r="AM611" s="68"/>
      <c r="AN611" s="73" t="s">
        <v>69</v>
      </c>
      <c r="AO611" s="73"/>
      <c r="AP611" s="73"/>
      <c r="AQ611" s="68"/>
      <c r="AR611" s="67">
        <f t="shared" si="398"/>
        <v>73</v>
      </c>
      <c r="AS611" s="68" t="str">
        <f t="shared" si="399"/>
        <v>A</v>
      </c>
      <c r="AV611" s="49">
        <f t="shared" si="360"/>
        <v>0</v>
      </c>
      <c r="AW611" s="49">
        <f t="shared" si="361"/>
        <v>0</v>
      </c>
      <c r="AX611" s="49">
        <f t="shared" si="362"/>
        <v>0</v>
      </c>
      <c r="AY611" s="49">
        <f t="shared" si="363"/>
        <v>1</v>
      </c>
      <c r="AZ611" s="49">
        <f t="shared" si="364"/>
        <v>0</v>
      </c>
      <c r="BA611" s="49">
        <f t="shared" si="365"/>
        <v>0</v>
      </c>
      <c r="BB611" s="49">
        <f t="shared" si="366"/>
        <v>0</v>
      </c>
      <c r="BC611" s="49">
        <f t="shared" si="367"/>
        <v>0</v>
      </c>
      <c r="BD611" s="49">
        <f t="shared" si="368"/>
        <v>1</v>
      </c>
      <c r="BE611" s="49">
        <f t="shared" si="369"/>
        <v>0</v>
      </c>
      <c r="BF611" s="49">
        <f t="shared" si="370"/>
        <v>0</v>
      </c>
      <c r="BG611" s="49">
        <f t="shared" si="371"/>
        <v>0</v>
      </c>
      <c r="BH611" s="49">
        <f t="shared" si="372"/>
        <v>1</v>
      </c>
      <c r="BI611" s="49">
        <f t="shared" si="373"/>
        <v>0</v>
      </c>
      <c r="BJ611" s="49">
        <f t="shared" si="374"/>
        <v>0</v>
      </c>
      <c r="BK611" s="49">
        <f t="shared" si="375"/>
        <v>1</v>
      </c>
      <c r="BL611" s="49">
        <f t="shared" si="376"/>
        <v>0</v>
      </c>
      <c r="BM611" s="49">
        <f t="shared" si="377"/>
        <v>0</v>
      </c>
      <c r="BN611" s="49">
        <f t="shared" si="378"/>
        <v>0</v>
      </c>
      <c r="BO611" s="49">
        <f t="shared" si="379"/>
        <v>0</v>
      </c>
      <c r="BP611" s="49">
        <f t="shared" si="380"/>
        <v>1</v>
      </c>
      <c r="BQ611" s="49">
        <f t="shared" si="381"/>
        <v>0</v>
      </c>
      <c r="BR611" s="49">
        <f t="shared" si="382"/>
        <v>0</v>
      </c>
      <c r="BS611" s="49">
        <f t="shared" si="383"/>
        <v>0</v>
      </c>
      <c r="BT611" s="49">
        <f t="shared" si="384"/>
        <v>1</v>
      </c>
      <c r="BU611" s="49">
        <f t="shared" si="385"/>
        <v>0</v>
      </c>
      <c r="BV611" s="49">
        <f t="shared" si="386"/>
        <v>0</v>
      </c>
      <c r="BW611" s="49">
        <f t="shared" si="387"/>
        <v>0</v>
      </c>
      <c r="BX611" s="49">
        <f t="shared" si="388"/>
        <v>1</v>
      </c>
      <c r="BY611" s="49">
        <f t="shared" si="389"/>
        <v>0</v>
      </c>
      <c r="BZ611" s="49">
        <f t="shared" si="390"/>
        <v>0</v>
      </c>
      <c r="CA611" s="49">
        <f t="shared" si="391"/>
        <v>0</v>
      </c>
      <c r="CB611" s="49">
        <f t="shared" si="392"/>
        <v>1</v>
      </c>
      <c r="CC611" s="49">
        <f t="shared" si="393"/>
        <v>0</v>
      </c>
      <c r="CD611" s="49">
        <f t="shared" si="394"/>
        <v>0</v>
      </c>
      <c r="CE611" s="49">
        <f t="shared" si="395"/>
        <v>0</v>
      </c>
    </row>
    <row r="612" spans="1:83" ht="35.1" customHeight="1" x14ac:dyDescent="0.3">
      <c r="A612" s="123" t="str">
        <f t="shared" si="396"/>
        <v>6팀</v>
      </c>
      <c r="B612" s="69">
        <f t="shared" si="397"/>
        <v>606</v>
      </c>
      <c r="C612" s="120" t="str">
        <f>IF(VLOOKUP($B612,'1. 현장별 인원현황'!$C:$J,2,0)=0,"",VLOOKUP($B612,'1. 현장별 인원현황'!$C:$J,2,0))</f>
        <v xml:space="preserve"> [6.현대엔지니어링] AutoLand 화성 기아 LW 프로젝트 일반전기공사(도장)</v>
      </c>
      <c r="D612" s="70" t="str">
        <f>IF(VLOOKUP($B612,'1. 현장별 인원현황'!$C:$J,3,0)=0,"",VLOOKUP($B612,'1. 현장별 인원현황'!$C:$J,3,0))</f>
        <v>김영현</v>
      </c>
      <c r="E612" s="74" t="str">
        <f ca="1">IF(VLOOKUP($B612,'1. 현장별 인원현황'!$C:$J,4,0)=0,"",VLOOKUP($B612,'1. 현장별 인원현황'!$C:$J,4,0))</f>
        <v>32세</v>
      </c>
      <c r="F612" s="70" t="str">
        <f>IF(VLOOKUP($B612,'1. 현장별 인원현황'!$C:$J,7,0)=0,"",VLOOKUP($B612,'1. 현장별 인원현황'!$C:$J,7,0))</f>
        <v>공무</v>
      </c>
      <c r="G612" s="72" t="str">
        <f>IF(VLOOKUP($B612,'1. 현장별 인원현황'!$C:$J,8,0)=0,"",VLOOKUP($B612,'1. 현장별 인원현황'!$C:$J,8,0))</f>
        <v>대리</v>
      </c>
      <c r="H612" s="67" t="s">
        <v>69</v>
      </c>
      <c r="I612" s="73"/>
      <c r="J612" s="73"/>
      <c r="K612" s="68"/>
      <c r="L612" s="67" t="s">
        <v>69</v>
      </c>
      <c r="M612" s="73"/>
      <c r="N612" s="73"/>
      <c r="O612" s="68" t="s">
        <v>69</v>
      </c>
      <c r="P612" s="67"/>
      <c r="Q612" s="73"/>
      <c r="R612" s="73"/>
      <c r="S612" s="68" t="s">
        <v>69</v>
      </c>
      <c r="T612" s="67"/>
      <c r="U612" s="73"/>
      <c r="V612" s="73"/>
      <c r="W612" s="68"/>
      <c r="X612" s="67" t="s">
        <v>69</v>
      </c>
      <c r="Y612" s="73"/>
      <c r="Z612" s="73"/>
      <c r="AA612" s="68"/>
      <c r="AB612" s="67" t="s">
        <v>69</v>
      </c>
      <c r="AC612" s="73"/>
      <c r="AD612" s="73"/>
      <c r="AE612" s="68" t="s">
        <v>69</v>
      </c>
      <c r="AF612" s="67"/>
      <c r="AG612" s="73"/>
      <c r="AH612" s="73"/>
      <c r="AI612" s="68" t="s">
        <v>69</v>
      </c>
      <c r="AJ612" s="67"/>
      <c r="AK612" s="73"/>
      <c r="AL612" s="73" t="s">
        <v>69</v>
      </c>
      <c r="AM612" s="68"/>
      <c r="AN612" s="73"/>
      <c r="AO612" s="73"/>
      <c r="AP612" s="73"/>
      <c r="AQ612" s="68"/>
      <c r="AR612" s="67">
        <f t="shared" si="398"/>
        <v>64</v>
      </c>
      <c r="AS612" s="68" t="str">
        <f t="shared" si="399"/>
        <v>B</v>
      </c>
      <c r="AV612" s="49">
        <f t="shared" si="360"/>
        <v>1</v>
      </c>
      <c r="AW612" s="49">
        <f t="shared" si="361"/>
        <v>0</v>
      </c>
      <c r="AX612" s="49">
        <f t="shared" si="362"/>
        <v>0</v>
      </c>
      <c r="AY612" s="49">
        <f t="shared" si="363"/>
        <v>0</v>
      </c>
      <c r="AZ612" s="49">
        <f t="shared" si="364"/>
        <v>1</v>
      </c>
      <c r="BA612" s="49">
        <f t="shared" si="365"/>
        <v>0</v>
      </c>
      <c r="BB612" s="49">
        <f t="shared" si="366"/>
        <v>0</v>
      </c>
      <c r="BC612" s="49">
        <f t="shared" si="367"/>
        <v>1</v>
      </c>
      <c r="BD612" s="49">
        <f t="shared" si="368"/>
        <v>0</v>
      </c>
      <c r="BE612" s="49">
        <f t="shared" si="369"/>
        <v>0</v>
      </c>
      <c r="BF612" s="49">
        <f t="shared" si="370"/>
        <v>0</v>
      </c>
      <c r="BG612" s="49">
        <f t="shared" si="371"/>
        <v>1</v>
      </c>
      <c r="BH612" s="49">
        <f t="shared" si="372"/>
        <v>0</v>
      </c>
      <c r="BI612" s="49">
        <f t="shared" si="373"/>
        <v>0</v>
      </c>
      <c r="BJ612" s="49">
        <f t="shared" si="374"/>
        <v>0</v>
      </c>
      <c r="BK612" s="49">
        <f t="shared" si="375"/>
        <v>0</v>
      </c>
      <c r="BL612" s="49">
        <f t="shared" si="376"/>
        <v>1</v>
      </c>
      <c r="BM612" s="49">
        <f t="shared" si="377"/>
        <v>0</v>
      </c>
      <c r="BN612" s="49">
        <f t="shared" si="378"/>
        <v>0</v>
      </c>
      <c r="BO612" s="49">
        <f t="shared" si="379"/>
        <v>0</v>
      </c>
      <c r="BP612" s="49">
        <f t="shared" si="380"/>
        <v>1</v>
      </c>
      <c r="BQ612" s="49">
        <f t="shared" si="381"/>
        <v>0</v>
      </c>
      <c r="BR612" s="49">
        <f t="shared" si="382"/>
        <v>0</v>
      </c>
      <c r="BS612" s="49">
        <f t="shared" si="383"/>
        <v>1</v>
      </c>
      <c r="BT612" s="49">
        <f t="shared" si="384"/>
        <v>0</v>
      </c>
      <c r="BU612" s="49">
        <f t="shared" si="385"/>
        <v>0</v>
      </c>
      <c r="BV612" s="49">
        <f t="shared" si="386"/>
        <v>0</v>
      </c>
      <c r="BW612" s="49">
        <f t="shared" si="387"/>
        <v>1</v>
      </c>
      <c r="BX612" s="49">
        <f t="shared" si="388"/>
        <v>0</v>
      </c>
      <c r="BY612" s="49">
        <f t="shared" si="389"/>
        <v>0</v>
      </c>
      <c r="BZ612" s="49">
        <f t="shared" si="390"/>
        <v>1</v>
      </c>
      <c r="CA612" s="49">
        <f t="shared" si="391"/>
        <v>0</v>
      </c>
      <c r="CB612" s="49">
        <f t="shared" si="392"/>
        <v>0</v>
      </c>
      <c r="CC612" s="49">
        <f t="shared" si="393"/>
        <v>0</v>
      </c>
      <c r="CD612" s="49">
        <f t="shared" si="394"/>
        <v>0</v>
      </c>
      <c r="CE612" s="49">
        <f t="shared" si="395"/>
        <v>0</v>
      </c>
    </row>
    <row r="613" spans="1:83" ht="35.1" customHeight="1" x14ac:dyDescent="0.3">
      <c r="A613" s="123" t="str">
        <f t="shared" si="396"/>
        <v>6팀</v>
      </c>
      <c r="B613" s="69">
        <f t="shared" si="397"/>
        <v>607</v>
      </c>
      <c r="C613" s="120" t="str">
        <f>IF(VLOOKUP($B613,'1. 현장별 인원현황'!$C:$J,2,0)=0,"",VLOOKUP($B613,'1. 현장별 인원현황'!$C:$J,2,0))</f>
        <v xml:space="preserve"> [6.현대엔지니어링] AutoLand 화성 기아 LW 프로젝트 일반전기공사(도장)</v>
      </c>
      <c r="D613" s="70" t="str">
        <f>IF(VLOOKUP($B613,'1. 현장별 인원현황'!$C:$J,3,0)=0,"",VLOOKUP($B613,'1. 현장별 인원현황'!$C:$J,3,0))</f>
        <v>정은국</v>
      </c>
      <c r="E613" s="74" t="str">
        <f ca="1">IF(VLOOKUP($B613,'1. 현장별 인원현황'!$C:$J,4,0)=0,"",VLOOKUP($B613,'1. 현장별 인원현황'!$C:$J,4,0))</f>
        <v>41세</v>
      </c>
      <c r="F613" s="70" t="str">
        <f>IF(VLOOKUP($B613,'1. 현장별 인원현황'!$C:$J,7,0)=0,"",VLOOKUP($B613,'1. 현장별 인원현황'!$C:$J,7,0))</f>
        <v>기능공</v>
      </c>
      <c r="G613" s="72" t="str">
        <f>IF(VLOOKUP($B613,'1. 현장별 인원현황'!$C:$J,8,0)=0,"",VLOOKUP($B613,'1. 현장별 인원현황'!$C:$J,8,0))</f>
        <v>전공</v>
      </c>
      <c r="H613" s="67"/>
      <c r="I613" s="73"/>
      <c r="J613" s="73"/>
      <c r="K613" s="68"/>
      <c r="L613" s="67" t="s">
        <v>69</v>
      </c>
      <c r="M613" s="73"/>
      <c r="N613" s="73"/>
      <c r="O613" s="68" t="s">
        <v>69</v>
      </c>
      <c r="P613" s="67"/>
      <c r="Q613" s="73"/>
      <c r="R613" s="73"/>
      <c r="S613" s="68"/>
      <c r="T613" s="67" t="s">
        <v>69</v>
      </c>
      <c r="U613" s="73"/>
      <c r="V613" s="73"/>
      <c r="W613" s="68" t="s">
        <v>69</v>
      </c>
      <c r="X613" s="67"/>
      <c r="Y613" s="73"/>
      <c r="Z613" s="73"/>
      <c r="AA613" s="68"/>
      <c r="AB613" s="67" t="s">
        <v>69</v>
      </c>
      <c r="AC613" s="73"/>
      <c r="AD613" s="73"/>
      <c r="AE613" s="68" t="s">
        <v>69</v>
      </c>
      <c r="AF613" s="67"/>
      <c r="AG613" s="73"/>
      <c r="AH613" s="73"/>
      <c r="AI613" s="68"/>
      <c r="AJ613" s="67" t="s">
        <v>69</v>
      </c>
      <c r="AK613" s="73"/>
      <c r="AL613" s="73"/>
      <c r="AM613" s="68" t="s">
        <v>69</v>
      </c>
      <c r="AN613" s="73"/>
      <c r="AO613" s="73"/>
      <c r="AP613" s="73"/>
      <c r="AQ613" s="68"/>
      <c r="AR613" s="67">
        <f t="shared" si="398"/>
        <v>58</v>
      </c>
      <c r="AS613" s="68" t="str">
        <f t="shared" si="399"/>
        <v>B</v>
      </c>
      <c r="AV613" s="49">
        <f t="shared" si="360"/>
        <v>0</v>
      </c>
      <c r="AW613" s="49">
        <f t="shared" si="361"/>
        <v>0</v>
      </c>
      <c r="AX613" s="49">
        <f t="shared" si="362"/>
        <v>0</v>
      </c>
      <c r="AY613" s="49">
        <f t="shared" si="363"/>
        <v>0</v>
      </c>
      <c r="AZ613" s="49">
        <f t="shared" si="364"/>
        <v>1</v>
      </c>
      <c r="BA613" s="49">
        <f t="shared" si="365"/>
        <v>0</v>
      </c>
      <c r="BB613" s="49">
        <f t="shared" si="366"/>
        <v>0</v>
      </c>
      <c r="BC613" s="49">
        <f t="shared" si="367"/>
        <v>1</v>
      </c>
      <c r="BD613" s="49">
        <f t="shared" si="368"/>
        <v>0</v>
      </c>
      <c r="BE613" s="49">
        <f t="shared" si="369"/>
        <v>0</v>
      </c>
      <c r="BF613" s="49">
        <f t="shared" si="370"/>
        <v>0</v>
      </c>
      <c r="BG613" s="49">
        <f t="shared" si="371"/>
        <v>0</v>
      </c>
      <c r="BH613" s="49">
        <f t="shared" si="372"/>
        <v>1</v>
      </c>
      <c r="BI613" s="49">
        <f t="shared" si="373"/>
        <v>0</v>
      </c>
      <c r="BJ613" s="49">
        <f t="shared" si="374"/>
        <v>0</v>
      </c>
      <c r="BK613" s="49">
        <f t="shared" si="375"/>
        <v>1</v>
      </c>
      <c r="BL613" s="49">
        <f t="shared" si="376"/>
        <v>0</v>
      </c>
      <c r="BM613" s="49">
        <f t="shared" si="377"/>
        <v>0</v>
      </c>
      <c r="BN613" s="49">
        <f t="shared" si="378"/>
        <v>0</v>
      </c>
      <c r="BO613" s="49">
        <f t="shared" si="379"/>
        <v>0</v>
      </c>
      <c r="BP613" s="49">
        <f t="shared" si="380"/>
        <v>1</v>
      </c>
      <c r="BQ613" s="49">
        <f t="shared" si="381"/>
        <v>0</v>
      </c>
      <c r="BR613" s="49">
        <f t="shared" si="382"/>
        <v>0</v>
      </c>
      <c r="BS613" s="49">
        <f t="shared" si="383"/>
        <v>1</v>
      </c>
      <c r="BT613" s="49">
        <f t="shared" si="384"/>
        <v>0</v>
      </c>
      <c r="BU613" s="49">
        <f t="shared" si="385"/>
        <v>0</v>
      </c>
      <c r="BV613" s="49">
        <f t="shared" si="386"/>
        <v>0</v>
      </c>
      <c r="BW613" s="49">
        <f t="shared" si="387"/>
        <v>0</v>
      </c>
      <c r="BX613" s="49">
        <f t="shared" si="388"/>
        <v>1</v>
      </c>
      <c r="BY613" s="49">
        <f t="shared" si="389"/>
        <v>0</v>
      </c>
      <c r="BZ613" s="49">
        <f t="shared" si="390"/>
        <v>0</v>
      </c>
      <c r="CA613" s="49">
        <f t="shared" si="391"/>
        <v>1</v>
      </c>
      <c r="CB613" s="49">
        <f t="shared" si="392"/>
        <v>0</v>
      </c>
      <c r="CC613" s="49">
        <f t="shared" si="393"/>
        <v>0</v>
      </c>
      <c r="CD613" s="49">
        <f t="shared" si="394"/>
        <v>0</v>
      </c>
      <c r="CE613" s="49">
        <f t="shared" si="395"/>
        <v>0</v>
      </c>
    </row>
    <row r="614" spans="1:83" ht="35.1" customHeight="1" x14ac:dyDescent="0.3">
      <c r="A614" s="123" t="str">
        <f t="shared" si="396"/>
        <v>6팀</v>
      </c>
      <c r="B614" s="69">
        <f t="shared" si="397"/>
        <v>608</v>
      </c>
      <c r="C614" s="120" t="str">
        <f>IF(VLOOKUP($B614,'1. 현장별 인원현황'!$C:$J,2,0)=0,"",VLOOKUP($B614,'1. 현장별 인원현황'!$C:$J,2,0))</f>
        <v xml:space="preserve"> [6.현대엔지니어링] AutoLand 화성 기아 LW 프로젝트 일반전기공사(도장)</v>
      </c>
      <c r="D614" s="70" t="str">
        <f>IF(VLOOKUP($B614,'1. 현장별 인원현황'!$C:$J,3,0)=0,"",VLOOKUP($B614,'1. 현장별 인원현황'!$C:$J,3,0))</f>
        <v>박근식</v>
      </c>
      <c r="E614" s="74" t="str">
        <f ca="1">IF(VLOOKUP($B614,'1. 현장별 인원현황'!$C:$J,4,0)=0,"",VLOOKUP($B614,'1. 현장별 인원현황'!$C:$J,4,0))</f>
        <v>46세</v>
      </c>
      <c r="F614" s="70" t="str">
        <f>IF(VLOOKUP($B614,'1. 현장별 인원현황'!$C:$J,7,0)=0,"",VLOOKUP($B614,'1. 현장별 인원현황'!$C:$J,7,0))</f>
        <v>기능공</v>
      </c>
      <c r="G614" s="72" t="str">
        <f>IF(VLOOKUP($B614,'1. 현장별 인원현황'!$C:$J,8,0)=0,"",VLOOKUP($B614,'1. 현장별 인원현황'!$C:$J,8,0))</f>
        <v>전공</v>
      </c>
      <c r="H614" s="67" t="s">
        <v>69</v>
      </c>
      <c r="I614" s="73"/>
      <c r="J614" s="73"/>
      <c r="K614" s="68" t="s">
        <v>69</v>
      </c>
      <c r="L614" s="67"/>
      <c r="M614" s="73"/>
      <c r="N614" s="73"/>
      <c r="O614" s="68" t="s">
        <v>69</v>
      </c>
      <c r="P614" s="67"/>
      <c r="Q614" s="73"/>
      <c r="R614" s="73" t="s">
        <v>69</v>
      </c>
      <c r="S614" s="68"/>
      <c r="T614" s="67"/>
      <c r="U614" s="73"/>
      <c r="V614" s="73"/>
      <c r="W614" s="68" t="s">
        <v>69</v>
      </c>
      <c r="X614" s="67"/>
      <c r="Y614" s="73"/>
      <c r="Z614" s="73"/>
      <c r="AA614" s="68"/>
      <c r="AB614" s="67" t="s">
        <v>69</v>
      </c>
      <c r="AC614" s="73"/>
      <c r="AD614" s="73"/>
      <c r="AE614" s="68"/>
      <c r="AF614" s="67" t="s">
        <v>69</v>
      </c>
      <c r="AG614" s="73"/>
      <c r="AH614" s="73"/>
      <c r="AI614" s="68"/>
      <c r="AJ614" s="67" t="s">
        <v>69</v>
      </c>
      <c r="AK614" s="73"/>
      <c r="AL614" s="73"/>
      <c r="AM614" s="68" t="s">
        <v>69</v>
      </c>
      <c r="AN614" s="73"/>
      <c r="AO614" s="73"/>
      <c r="AP614" s="73"/>
      <c r="AQ614" s="68"/>
      <c r="AR614" s="67">
        <f t="shared" si="398"/>
        <v>63</v>
      </c>
      <c r="AS614" s="68" t="str">
        <f t="shared" si="399"/>
        <v>B</v>
      </c>
      <c r="AV614" s="49">
        <f t="shared" si="360"/>
        <v>1</v>
      </c>
      <c r="AW614" s="49">
        <f t="shared" si="361"/>
        <v>0</v>
      </c>
      <c r="AX614" s="49">
        <f t="shared" si="362"/>
        <v>0</v>
      </c>
      <c r="AY614" s="49">
        <f t="shared" si="363"/>
        <v>1</v>
      </c>
      <c r="AZ614" s="49">
        <f t="shared" si="364"/>
        <v>0</v>
      </c>
      <c r="BA614" s="49">
        <f t="shared" si="365"/>
        <v>0</v>
      </c>
      <c r="BB614" s="49">
        <f t="shared" si="366"/>
        <v>0</v>
      </c>
      <c r="BC614" s="49">
        <f t="shared" si="367"/>
        <v>1</v>
      </c>
      <c r="BD614" s="49">
        <f t="shared" si="368"/>
        <v>0</v>
      </c>
      <c r="BE614" s="49">
        <f t="shared" si="369"/>
        <v>0</v>
      </c>
      <c r="BF614" s="49">
        <f t="shared" si="370"/>
        <v>1</v>
      </c>
      <c r="BG614" s="49">
        <f t="shared" si="371"/>
        <v>0</v>
      </c>
      <c r="BH614" s="49">
        <f t="shared" si="372"/>
        <v>0</v>
      </c>
      <c r="BI614" s="49">
        <f t="shared" si="373"/>
        <v>0</v>
      </c>
      <c r="BJ614" s="49">
        <f t="shared" si="374"/>
        <v>0</v>
      </c>
      <c r="BK614" s="49">
        <f t="shared" si="375"/>
        <v>1</v>
      </c>
      <c r="BL614" s="49">
        <f t="shared" si="376"/>
        <v>0</v>
      </c>
      <c r="BM614" s="49">
        <f t="shared" si="377"/>
        <v>0</v>
      </c>
      <c r="BN614" s="49">
        <f t="shared" si="378"/>
        <v>0</v>
      </c>
      <c r="BO614" s="49">
        <f t="shared" si="379"/>
        <v>0</v>
      </c>
      <c r="BP614" s="49">
        <f t="shared" si="380"/>
        <v>1</v>
      </c>
      <c r="BQ614" s="49">
        <f t="shared" si="381"/>
        <v>0</v>
      </c>
      <c r="BR614" s="49">
        <f t="shared" si="382"/>
        <v>0</v>
      </c>
      <c r="BS614" s="49">
        <f t="shared" si="383"/>
        <v>0</v>
      </c>
      <c r="BT614" s="49">
        <f t="shared" si="384"/>
        <v>1</v>
      </c>
      <c r="BU614" s="49">
        <f t="shared" si="385"/>
        <v>0</v>
      </c>
      <c r="BV614" s="49">
        <f t="shared" si="386"/>
        <v>0</v>
      </c>
      <c r="BW614" s="49">
        <f t="shared" si="387"/>
        <v>0</v>
      </c>
      <c r="BX614" s="49">
        <f t="shared" si="388"/>
        <v>1</v>
      </c>
      <c r="BY614" s="49">
        <f t="shared" si="389"/>
        <v>0</v>
      </c>
      <c r="BZ614" s="49">
        <f t="shared" si="390"/>
        <v>0</v>
      </c>
      <c r="CA614" s="49">
        <f t="shared" si="391"/>
        <v>1</v>
      </c>
      <c r="CB614" s="49">
        <f t="shared" si="392"/>
        <v>0</v>
      </c>
      <c r="CC614" s="49">
        <f t="shared" si="393"/>
        <v>0</v>
      </c>
      <c r="CD614" s="49">
        <f t="shared" si="394"/>
        <v>0</v>
      </c>
      <c r="CE614" s="49">
        <f t="shared" si="395"/>
        <v>0</v>
      </c>
    </row>
    <row r="615" spans="1:83" ht="35.1" customHeight="1" x14ac:dyDescent="0.3">
      <c r="A615" s="123" t="str">
        <f t="shared" si="396"/>
        <v>6팀</v>
      </c>
      <c r="B615" s="69">
        <f t="shared" si="397"/>
        <v>609</v>
      </c>
      <c r="C615" s="120" t="str">
        <f>IF(VLOOKUP($B615,'1. 현장별 인원현황'!$C:$J,2,0)=0,"",VLOOKUP($B615,'1. 현장별 인원현황'!$C:$J,2,0))</f>
        <v xml:space="preserve"> [6.현대엔지니어링] AutoLand 화성 기아 LW 프로젝트 일반전기공사(도장)</v>
      </c>
      <c r="D615" s="70" t="str">
        <f>IF(VLOOKUP($B615,'1. 현장별 인원현황'!$C:$J,3,0)=0,"",VLOOKUP($B615,'1. 현장별 인원현황'!$C:$J,3,0))</f>
        <v>신준재</v>
      </c>
      <c r="E615" s="74" t="str">
        <f ca="1">IF(VLOOKUP($B615,'1. 현장별 인원현황'!$C:$J,4,0)=0,"",VLOOKUP($B615,'1. 현장별 인원현황'!$C:$J,4,0))</f>
        <v>40세</v>
      </c>
      <c r="F615" s="70" t="str">
        <f>IF(VLOOKUP($B615,'1. 현장별 인원현황'!$C:$J,7,0)=0,"",VLOOKUP($B615,'1. 현장별 인원현황'!$C:$J,7,0))</f>
        <v>기능공</v>
      </c>
      <c r="G615" s="72" t="str">
        <f>IF(VLOOKUP($B615,'1. 현장별 인원현황'!$C:$J,8,0)=0,"",VLOOKUP($B615,'1. 현장별 인원현황'!$C:$J,8,0))</f>
        <v>전공</v>
      </c>
      <c r="H615" s="67"/>
      <c r="I615" s="73"/>
      <c r="J615" s="73" t="s">
        <v>69</v>
      </c>
      <c r="K615" s="68"/>
      <c r="L615" s="67"/>
      <c r="M615" s="73"/>
      <c r="N615" s="73"/>
      <c r="O615" s="68" t="s">
        <v>69</v>
      </c>
      <c r="P615" s="67"/>
      <c r="Q615" s="73"/>
      <c r="R615" s="73"/>
      <c r="S615" s="68"/>
      <c r="T615" s="67" t="s">
        <v>69</v>
      </c>
      <c r="U615" s="73"/>
      <c r="V615" s="73" t="s">
        <v>69</v>
      </c>
      <c r="W615" s="68"/>
      <c r="X615" s="67"/>
      <c r="Y615" s="73"/>
      <c r="Z615" s="73"/>
      <c r="AA615" s="68"/>
      <c r="AB615" s="67" t="s">
        <v>69</v>
      </c>
      <c r="AC615" s="73"/>
      <c r="AD615" s="73"/>
      <c r="AE615" s="68"/>
      <c r="AF615" s="67" t="s">
        <v>69</v>
      </c>
      <c r="AG615" s="73"/>
      <c r="AH615" s="73"/>
      <c r="AI615" s="68" t="s">
        <v>69</v>
      </c>
      <c r="AJ615" s="67"/>
      <c r="AK615" s="73"/>
      <c r="AL615" s="73"/>
      <c r="AM615" s="68" t="s">
        <v>69</v>
      </c>
      <c r="AN615" s="73"/>
      <c r="AO615" s="73"/>
      <c r="AP615" s="73"/>
      <c r="AQ615" s="68"/>
      <c r="AR615" s="67">
        <f t="shared" si="398"/>
        <v>52</v>
      </c>
      <c r="AS615" s="68" t="str">
        <f t="shared" si="399"/>
        <v>B</v>
      </c>
      <c r="AV615" s="49">
        <f t="shared" si="360"/>
        <v>0</v>
      </c>
      <c r="AW615" s="49">
        <f t="shared" si="361"/>
        <v>0</v>
      </c>
      <c r="AX615" s="49">
        <f t="shared" si="362"/>
        <v>1</v>
      </c>
      <c r="AY615" s="49">
        <f t="shared" si="363"/>
        <v>0</v>
      </c>
      <c r="AZ615" s="49">
        <f t="shared" si="364"/>
        <v>0</v>
      </c>
      <c r="BA615" s="49">
        <f t="shared" si="365"/>
        <v>0</v>
      </c>
      <c r="BB615" s="49">
        <f t="shared" si="366"/>
        <v>0</v>
      </c>
      <c r="BC615" s="49">
        <f t="shared" si="367"/>
        <v>1</v>
      </c>
      <c r="BD615" s="49">
        <f t="shared" si="368"/>
        <v>0</v>
      </c>
      <c r="BE615" s="49">
        <f t="shared" si="369"/>
        <v>0</v>
      </c>
      <c r="BF615" s="49">
        <f t="shared" si="370"/>
        <v>0</v>
      </c>
      <c r="BG615" s="49">
        <f t="shared" si="371"/>
        <v>0</v>
      </c>
      <c r="BH615" s="49">
        <f t="shared" si="372"/>
        <v>1</v>
      </c>
      <c r="BI615" s="49">
        <f t="shared" si="373"/>
        <v>0</v>
      </c>
      <c r="BJ615" s="49">
        <f t="shared" si="374"/>
        <v>1</v>
      </c>
      <c r="BK615" s="49">
        <f t="shared" si="375"/>
        <v>0</v>
      </c>
      <c r="BL615" s="49">
        <f t="shared" si="376"/>
        <v>0</v>
      </c>
      <c r="BM615" s="49">
        <f t="shared" si="377"/>
        <v>0</v>
      </c>
      <c r="BN615" s="49">
        <f t="shared" si="378"/>
        <v>0</v>
      </c>
      <c r="BO615" s="49">
        <f t="shared" si="379"/>
        <v>0</v>
      </c>
      <c r="BP615" s="49">
        <f t="shared" si="380"/>
        <v>1</v>
      </c>
      <c r="BQ615" s="49">
        <f t="shared" si="381"/>
        <v>0</v>
      </c>
      <c r="BR615" s="49">
        <f t="shared" si="382"/>
        <v>0</v>
      </c>
      <c r="BS615" s="49">
        <f t="shared" si="383"/>
        <v>0</v>
      </c>
      <c r="BT615" s="49">
        <f t="shared" si="384"/>
        <v>1</v>
      </c>
      <c r="BU615" s="49">
        <f t="shared" si="385"/>
        <v>0</v>
      </c>
      <c r="BV615" s="49">
        <f t="shared" si="386"/>
        <v>0</v>
      </c>
      <c r="BW615" s="49">
        <f t="shared" si="387"/>
        <v>1</v>
      </c>
      <c r="BX615" s="49">
        <f t="shared" si="388"/>
        <v>0</v>
      </c>
      <c r="BY615" s="49">
        <f t="shared" si="389"/>
        <v>0</v>
      </c>
      <c r="BZ615" s="49">
        <f t="shared" si="390"/>
        <v>0</v>
      </c>
      <c r="CA615" s="49">
        <f t="shared" si="391"/>
        <v>1</v>
      </c>
      <c r="CB615" s="49">
        <f t="shared" si="392"/>
        <v>0</v>
      </c>
      <c r="CC615" s="49">
        <f t="shared" si="393"/>
        <v>0</v>
      </c>
      <c r="CD615" s="49">
        <f t="shared" si="394"/>
        <v>0</v>
      </c>
      <c r="CE615" s="49">
        <f t="shared" si="395"/>
        <v>0</v>
      </c>
    </row>
    <row r="616" spans="1:83" ht="35.1" customHeight="1" x14ac:dyDescent="0.3">
      <c r="A616" s="123" t="str">
        <f t="shared" si="396"/>
        <v>6팀</v>
      </c>
      <c r="B616" s="69">
        <f t="shared" si="397"/>
        <v>610</v>
      </c>
      <c r="C616" s="120" t="str">
        <f>IF(VLOOKUP($B616,'1. 현장별 인원현황'!$C:$J,2,0)=0,"",VLOOKUP($B616,'1. 현장별 인원현황'!$C:$J,2,0))</f>
        <v xml:space="preserve"> [6.현대엔지니어링] AutoLand 화성 기아 LW 프로젝트 일반전기공사(도장)</v>
      </c>
      <c r="D616" s="70" t="str">
        <f>IF(VLOOKUP($B616,'1. 현장별 인원현황'!$C:$J,3,0)=0,"",VLOOKUP($B616,'1. 현장별 인원현황'!$C:$J,3,0))</f>
        <v>김민규</v>
      </c>
      <c r="E616" s="74" t="str">
        <f ca="1">IF(VLOOKUP($B616,'1. 현장별 인원현황'!$C:$J,4,0)=0,"",VLOOKUP($B616,'1. 현장별 인원현황'!$C:$J,4,0))</f>
        <v>44세</v>
      </c>
      <c r="F616" s="70" t="str">
        <f>IF(VLOOKUP($B616,'1. 현장별 인원현황'!$C:$J,7,0)=0,"",VLOOKUP($B616,'1. 현장별 인원현황'!$C:$J,7,0))</f>
        <v>기능공</v>
      </c>
      <c r="G616" s="72" t="str">
        <f>IF(VLOOKUP($B616,'1. 현장별 인원현황'!$C:$J,8,0)=0,"",VLOOKUP($B616,'1. 현장별 인원현황'!$C:$J,8,0))</f>
        <v>전공</v>
      </c>
      <c r="H616" s="67"/>
      <c r="I616" s="73"/>
      <c r="J616" s="73"/>
      <c r="K616" s="68"/>
      <c r="L616" s="67" t="s">
        <v>69</v>
      </c>
      <c r="M616" s="73"/>
      <c r="N616" s="73"/>
      <c r="O616" s="68"/>
      <c r="P616" s="67" t="s">
        <v>69</v>
      </c>
      <c r="Q616" s="73"/>
      <c r="R616" s="73"/>
      <c r="S616" s="68" t="s">
        <v>69</v>
      </c>
      <c r="T616" s="67"/>
      <c r="U616" s="73"/>
      <c r="V616" s="73"/>
      <c r="W616" s="68"/>
      <c r="X616" s="67"/>
      <c r="Y616" s="73"/>
      <c r="Z616" s="73"/>
      <c r="AA616" s="68" t="s">
        <v>69</v>
      </c>
      <c r="AB616" s="67"/>
      <c r="AC616" s="73"/>
      <c r="AD616" s="73"/>
      <c r="AE616" s="68" t="s">
        <v>69</v>
      </c>
      <c r="AF616" s="67"/>
      <c r="AG616" s="73"/>
      <c r="AH616" s="73"/>
      <c r="AI616" s="68" t="s">
        <v>69</v>
      </c>
      <c r="AJ616" s="67"/>
      <c r="AK616" s="73"/>
      <c r="AL616" s="73"/>
      <c r="AM616" s="68" t="s">
        <v>69</v>
      </c>
      <c r="AN616" s="73"/>
      <c r="AO616" s="73"/>
      <c r="AP616" s="73"/>
      <c r="AQ616" s="68"/>
      <c r="AR616" s="67">
        <f t="shared" si="398"/>
        <v>42</v>
      </c>
      <c r="AS616" s="68" t="str">
        <f t="shared" si="399"/>
        <v>C</v>
      </c>
      <c r="AV616" s="49">
        <f t="shared" si="360"/>
        <v>0</v>
      </c>
      <c r="AW616" s="49">
        <f t="shared" si="361"/>
        <v>0</v>
      </c>
      <c r="AX616" s="49">
        <f t="shared" si="362"/>
        <v>0</v>
      </c>
      <c r="AY616" s="49">
        <f t="shared" si="363"/>
        <v>0</v>
      </c>
      <c r="AZ616" s="49">
        <f t="shared" si="364"/>
        <v>1</v>
      </c>
      <c r="BA616" s="49">
        <f t="shared" si="365"/>
        <v>0</v>
      </c>
      <c r="BB616" s="49">
        <f t="shared" si="366"/>
        <v>0</v>
      </c>
      <c r="BC616" s="49">
        <f t="shared" si="367"/>
        <v>0</v>
      </c>
      <c r="BD616" s="49">
        <f t="shared" si="368"/>
        <v>1</v>
      </c>
      <c r="BE616" s="49">
        <f t="shared" si="369"/>
        <v>0</v>
      </c>
      <c r="BF616" s="49">
        <f t="shared" si="370"/>
        <v>0</v>
      </c>
      <c r="BG616" s="49">
        <f t="shared" si="371"/>
        <v>1</v>
      </c>
      <c r="BH616" s="49">
        <f t="shared" si="372"/>
        <v>0</v>
      </c>
      <c r="BI616" s="49">
        <f t="shared" si="373"/>
        <v>0</v>
      </c>
      <c r="BJ616" s="49">
        <f t="shared" si="374"/>
        <v>0</v>
      </c>
      <c r="BK616" s="49">
        <f t="shared" si="375"/>
        <v>0</v>
      </c>
      <c r="BL616" s="49">
        <f t="shared" si="376"/>
        <v>0</v>
      </c>
      <c r="BM616" s="49">
        <f t="shared" si="377"/>
        <v>0</v>
      </c>
      <c r="BN616" s="49">
        <f t="shared" si="378"/>
        <v>0</v>
      </c>
      <c r="BO616" s="49">
        <f t="shared" si="379"/>
        <v>1</v>
      </c>
      <c r="BP616" s="49">
        <f t="shared" si="380"/>
        <v>0</v>
      </c>
      <c r="BQ616" s="49">
        <f t="shared" si="381"/>
        <v>0</v>
      </c>
      <c r="BR616" s="49">
        <f t="shared" si="382"/>
        <v>0</v>
      </c>
      <c r="BS616" s="49">
        <f t="shared" si="383"/>
        <v>1</v>
      </c>
      <c r="BT616" s="49">
        <f t="shared" si="384"/>
        <v>0</v>
      </c>
      <c r="BU616" s="49">
        <f t="shared" si="385"/>
        <v>0</v>
      </c>
      <c r="BV616" s="49">
        <f t="shared" si="386"/>
        <v>0</v>
      </c>
      <c r="BW616" s="49">
        <f t="shared" si="387"/>
        <v>1</v>
      </c>
      <c r="BX616" s="49">
        <f t="shared" si="388"/>
        <v>0</v>
      </c>
      <c r="BY616" s="49">
        <f t="shared" si="389"/>
        <v>0</v>
      </c>
      <c r="BZ616" s="49">
        <f t="shared" si="390"/>
        <v>0</v>
      </c>
      <c r="CA616" s="49">
        <f t="shared" si="391"/>
        <v>1</v>
      </c>
      <c r="CB616" s="49">
        <f t="shared" si="392"/>
        <v>0</v>
      </c>
      <c r="CC616" s="49">
        <f t="shared" si="393"/>
        <v>0</v>
      </c>
      <c r="CD616" s="49">
        <f t="shared" si="394"/>
        <v>0</v>
      </c>
      <c r="CE616" s="49">
        <f t="shared" si="395"/>
        <v>0</v>
      </c>
    </row>
    <row r="617" spans="1:83" ht="35.1" customHeight="1" x14ac:dyDescent="0.3">
      <c r="A617" s="123" t="str">
        <f t="shared" si="396"/>
        <v>6팀</v>
      </c>
      <c r="B617" s="69">
        <f t="shared" si="397"/>
        <v>611</v>
      </c>
      <c r="C617" s="120" t="str">
        <f>IF(VLOOKUP($B617,'1. 현장별 인원현황'!$C:$J,2,0)=0,"",VLOOKUP($B617,'1. 현장별 인원현황'!$C:$J,2,0))</f>
        <v xml:space="preserve"> [6.현대엔지니어링] AutoLand 화성 기아 LW 프로젝트 일반전기공사(도장)</v>
      </c>
      <c r="D617" s="70" t="str">
        <f>IF(VLOOKUP($B617,'1. 현장별 인원현황'!$C:$J,3,0)=0,"",VLOOKUP($B617,'1. 현장별 인원현황'!$C:$J,3,0))</f>
        <v>김정호</v>
      </c>
      <c r="E617" s="74" t="str">
        <f ca="1">IF(VLOOKUP($B617,'1. 현장별 인원현황'!$C:$J,4,0)=0,"",VLOOKUP($B617,'1. 현장별 인원현황'!$C:$J,4,0))</f>
        <v>52세</v>
      </c>
      <c r="F617" s="70" t="str">
        <f>IF(VLOOKUP($B617,'1. 현장별 인원현황'!$C:$J,7,0)=0,"",VLOOKUP($B617,'1. 현장별 인원현황'!$C:$J,7,0))</f>
        <v>기능공</v>
      </c>
      <c r="G617" s="72" t="str">
        <f>IF(VLOOKUP($B617,'1. 현장별 인원현황'!$C:$J,8,0)=0,"",VLOOKUP($B617,'1. 현장별 인원현황'!$C:$J,8,0))</f>
        <v>조공</v>
      </c>
      <c r="H617" s="67" t="s">
        <v>69</v>
      </c>
      <c r="I617" s="73"/>
      <c r="J617" s="73"/>
      <c r="K617" s="68"/>
      <c r="L617" s="67" t="s">
        <v>69</v>
      </c>
      <c r="M617" s="73"/>
      <c r="N617" s="73"/>
      <c r="O617" s="68"/>
      <c r="P617" s="67" t="s">
        <v>69</v>
      </c>
      <c r="Q617" s="73"/>
      <c r="R617" s="73"/>
      <c r="S617" s="68" t="s">
        <v>69</v>
      </c>
      <c r="T617" s="67"/>
      <c r="U617" s="73"/>
      <c r="V617" s="73"/>
      <c r="W617" s="68"/>
      <c r="X617" s="67"/>
      <c r="Y617" s="73"/>
      <c r="Z617" s="73" t="s">
        <v>69</v>
      </c>
      <c r="AA617" s="68"/>
      <c r="AB617" s="67"/>
      <c r="AC617" s="73"/>
      <c r="AD617" s="73"/>
      <c r="AE617" s="68" t="s">
        <v>69</v>
      </c>
      <c r="AF617" s="67"/>
      <c r="AG617" s="73"/>
      <c r="AH617" s="73"/>
      <c r="AI617" s="68"/>
      <c r="AJ617" s="67" t="s">
        <v>69</v>
      </c>
      <c r="AK617" s="73"/>
      <c r="AL617" s="73"/>
      <c r="AM617" s="68"/>
      <c r="AN617" s="73" t="s">
        <v>69</v>
      </c>
      <c r="AO617" s="73"/>
      <c r="AP617" s="73"/>
      <c r="AQ617" s="68"/>
      <c r="AR617" s="67">
        <f t="shared" si="398"/>
        <v>73</v>
      </c>
      <c r="AS617" s="68" t="str">
        <f t="shared" si="399"/>
        <v>A</v>
      </c>
      <c r="AV617" s="49">
        <f t="shared" si="360"/>
        <v>1</v>
      </c>
      <c r="AW617" s="49">
        <f t="shared" si="361"/>
        <v>0</v>
      </c>
      <c r="AX617" s="49">
        <f t="shared" si="362"/>
        <v>0</v>
      </c>
      <c r="AY617" s="49">
        <f t="shared" si="363"/>
        <v>0</v>
      </c>
      <c r="AZ617" s="49">
        <f t="shared" si="364"/>
        <v>1</v>
      </c>
      <c r="BA617" s="49">
        <f t="shared" si="365"/>
        <v>0</v>
      </c>
      <c r="BB617" s="49">
        <f t="shared" si="366"/>
        <v>0</v>
      </c>
      <c r="BC617" s="49">
        <f t="shared" si="367"/>
        <v>0</v>
      </c>
      <c r="BD617" s="49">
        <f t="shared" si="368"/>
        <v>1</v>
      </c>
      <c r="BE617" s="49">
        <f t="shared" si="369"/>
        <v>0</v>
      </c>
      <c r="BF617" s="49">
        <f t="shared" si="370"/>
        <v>0</v>
      </c>
      <c r="BG617" s="49">
        <f t="shared" si="371"/>
        <v>1</v>
      </c>
      <c r="BH617" s="49">
        <f t="shared" si="372"/>
        <v>0</v>
      </c>
      <c r="BI617" s="49">
        <f t="shared" si="373"/>
        <v>0</v>
      </c>
      <c r="BJ617" s="49">
        <f t="shared" si="374"/>
        <v>0</v>
      </c>
      <c r="BK617" s="49">
        <f t="shared" si="375"/>
        <v>0</v>
      </c>
      <c r="BL617" s="49">
        <f t="shared" si="376"/>
        <v>0</v>
      </c>
      <c r="BM617" s="49">
        <f t="shared" si="377"/>
        <v>0</v>
      </c>
      <c r="BN617" s="49">
        <f t="shared" si="378"/>
        <v>1</v>
      </c>
      <c r="BO617" s="49">
        <f t="shared" si="379"/>
        <v>0</v>
      </c>
      <c r="BP617" s="49">
        <f t="shared" si="380"/>
        <v>0</v>
      </c>
      <c r="BQ617" s="49">
        <f t="shared" si="381"/>
        <v>0</v>
      </c>
      <c r="BR617" s="49">
        <f t="shared" si="382"/>
        <v>0</v>
      </c>
      <c r="BS617" s="49">
        <f t="shared" si="383"/>
        <v>1</v>
      </c>
      <c r="BT617" s="49">
        <f t="shared" si="384"/>
        <v>0</v>
      </c>
      <c r="BU617" s="49">
        <f t="shared" si="385"/>
        <v>0</v>
      </c>
      <c r="BV617" s="49">
        <f t="shared" si="386"/>
        <v>0</v>
      </c>
      <c r="BW617" s="49">
        <f t="shared" si="387"/>
        <v>0</v>
      </c>
      <c r="BX617" s="49">
        <f t="shared" si="388"/>
        <v>1</v>
      </c>
      <c r="BY617" s="49">
        <f t="shared" si="389"/>
        <v>0</v>
      </c>
      <c r="BZ617" s="49">
        <f t="shared" si="390"/>
        <v>0</v>
      </c>
      <c r="CA617" s="49">
        <f t="shared" si="391"/>
        <v>0</v>
      </c>
      <c r="CB617" s="49">
        <f t="shared" si="392"/>
        <v>1</v>
      </c>
      <c r="CC617" s="49">
        <f t="shared" si="393"/>
        <v>0</v>
      </c>
      <c r="CD617" s="49">
        <f t="shared" si="394"/>
        <v>0</v>
      </c>
      <c r="CE617" s="49">
        <f t="shared" si="395"/>
        <v>0</v>
      </c>
    </row>
    <row r="618" spans="1:83" ht="35.1" customHeight="1" x14ac:dyDescent="0.3">
      <c r="A618" s="123" t="e">
        <f t="shared" si="396"/>
        <v>#N/A</v>
      </c>
      <c r="B618" s="69">
        <f t="shared" si="397"/>
        <v>612</v>
      </c>
      <c r="C618" s="120" t="e">
        <f>IF(VLOOKUP($B618,'1. 현장별 인원현황'!$C:$J,2,0)=0,"",VLOOKUP($B618,'1. 현장별 인원현황'!$C:$J,2,0))</f>
        <v>#N/A</v>
      </c>
      <c r="D618" s="70" t="e">
        <f>IF(VLOOKUP($B618,'1. 현장별 인원현황'!$C:$J,3,0)=0,"",VLOOKUP($B618,'1. 현장별 인원현황'!$C:$J,3,0))</f>
        <v>#N/A</v>
      </c>
      <c r="E618" s="74" t="e">
        <f>IF(VLOOKUP($B618,'1. 현장별 인원현황'!$C:$J,4,0)=0,"",VLOOKUP($B618,'1. 현장별 인원현황'!$C:$J,4,0))</f>
        <v>#N/A</v>
      </c>
      <c r="F618" s="70" t="e">
        <f>IF(VLOOKUP($B618,'1. 현장별 인원현황'!$C:$J,7,0)=0,"",VLOOKUP($B618,'1. 현장별 인원현황'!$C:$J,7,0))</f>
        <v>#N/A</v>
      </c>
      <c r="G618" s="72" t="e">
        <f>IF(VLOOKUP($B618,'1. 현장별 인원현황'!$C:$J,8,0)=0,"",VLOOKUP($B618,'1. 현장별 인원현황'!$C:$J,8,0))</f>
        <v>#N/A</v>
      </c>
      <c r="H618" s="67" t="s">
        <v>69</v>
      </c>
      <c r="I618" s="73"/>
      <c r="J618" s="73"/>
      <c r="K618" s="68"/>
      <c r="L618" s="67"/>
      <c r="M618" s="73" t="s">
        <v>69</v>
      </c>
      <c r="N618" s="73"/>
      <c r="O618" s="68"/>
      <c r="P618" s="67"/>
      <c r="Q618" s="73" t="s">
        <v>69</v>
      </c>
      <c r="R618" s="73"/>
      <c r="S618" s="68"/>
      <c r="T618" s="67"/>
      <c r="U618" s="73" t="s">
        <v>69</v>
      </c>
      <c r="V618" s="73"/>
      <c r="W618" s="68"/>
      <c r="X618" s="67"/>
      <c r="Y618" s="73" t="s">
        <v>69</v>
      </c>
      <c r="Z618" s="73"/>
      <c r="AA618" s="68"/>
      <c r="AB618" s="67"/>
      <c r="AC618" s="73" t="s">
        <v>69</v>
      </c>
      <c r="AD618" s="73"/>
      <c r="AE618" s="68"/>
      <c r="AF618" s="67"/>
      <c r="AG618" s="73" t="s">
        <v>69</v>
      </c>
      <c r="AH618" s="73"/>
      <c r="AI618" s="68"/>
      <c r="AJ618" s="67" t="s">
        <v>69</v>
      </c>
      <c r="AK618" s="73"/>
      <c r="AL618" s="73"/>
      <c r="AM618" s="68"/>
      <c r="AN618" s="73" t="s">
        <v>69</v>
      </c>
      <c r="AO618" s="73"/>
      <c r="AP618" s="73"/>
      <c r="AQ618" s="68"/>
      <c r="AR618" s="67">
        <f t="shared" si="398"/>
        <v>86</v>
      </c>
      <c r="AS618" s="68" t="str">
        <f t="shared" si="399"/>
        <v>S</v>
      </c>
      <c r="AV618" s="49">
        <f t="shared" si="360"/>
        <v>1</v>
      </c>
      <c r="AW618" s="49">
        <f t="shared" si="361"/>
        <v>0</v>
      </c>
      <c r="AX618" s="49">
        <f t="shared" si="362"/>
        <v>0</v>
      </c>
      <c r="AY618" s="49">
        <f t="shared" si="363"/>
        <v>0</v>
      </c>
      <c r="AZ618" s="49">
        <f t="shared" si="364"/>
        <v>0</v>
      </c>
      <c r="BA618" s="49">
        <f t="shared" si="365"/>
        <v>1</v>
      </c>
      <c r="BB618" s="49">
        <f t="shared" si="366"/>
        <v>0</v>
      </c>
      <c r="BC618" s="49">
        <f t="shared" si="367"/>
        <v>0</v>
      </c>
      <c r="BD618" s="49">
        <f t="shared" si="368"/>
        <v>0</v>
      </c>
      <c r="BE618" s="49">
        <f t="shared" si="369"/>
        <v>1</v>
      </c>
      <c r="BF618" s="49">
        <f t="shared" si="370"/>
        <v>0</v>
      </c>
      <c r="BG618" s="49">
        <f t="shared" si="371"/>
        <v>0</v>
      </c>
      <c r="BH618" s="49">
        <f t="shared" si="372"/>
        <v>0</v>
      </c>
      <c r="BI618" s="49">
        <f t="shared" si="373"/>
        <v>1</v>
      </c>
      <c r="BJ618" s="49">
        <f t="shared" si="374"/>
        <v>0</v>
      </c>
      <c r="BK618" s="49">
        <f t="shared" si="375"/>
        <v>0</v>
      </c>
      <c r="BL618" s="49">
        <f t="shared" si="376"/>
        <v>0</v>
      </c>
      <c r="BM618" s="49">
        <f t="shared" si="377"/>
        <v>1</v>
      </c>
      <c r="BN618" s="49">
        <f t="shared" si="378"/>
        <v>0</v>
      </c>
      <c r="BO618" s="49">
        <f t="shared" si="379"/>
        <v>0</v>
      </c>
      <c r="BP618" s="49">
        <f t="shared" si="380"/>
        <v>0</v>
      </c>
      <c r="BQ618" s="49">
        <f t="shared" si="381"/>
        <v>1</v>
      </c>
      <c r="BR618" s="49">
        <f t="shared" si="382"/>
        <v>0</v>
      </c>
      <c r="BS618" s="49">
        <f t="shared" si="383"/>
        <v>0</v>
      </c>
      <c r="BT618" s="49">
        <f t="shared" si="384"/>
        <v>0</v>
      </c>
      <c r="BU618" s="49">
        <f t="shared" si="385"/>
        <v>1</v>
      </c>
      <c r="BV618" s="49">
        <f t="shared" si="386"/>
        <v>0</v>
      </c>
      <c r="BW618" s="49">
        <f t="shared" si="387"/>
        <v>0</v>
      </c>
      <c r="BX618" s="49">
        <f t="shared" si="388"/>
        <v>1</v>
      </c>
      <c r="BY618" s="49">
        <f t="shared" si="389"/>
        <v>0</v>
      </c>
      <c r="BZ618" s="49">
        <f t="shared" si="390"/>
        <v>0</v>
      </c>
      <c r="CA618" s="49">
        <f t="shared" si="391"/>
        <v>0</v>
      </c>
      <c r="CB618" s="49">
        <f t="shared" si="392"/>
        <v>1</v>
      </c>
      <c r="CC618" s="49">
        <f t="shared" si="393"/>
        <v>0</v>
      </c>
      <c r="CD618" s="49">
        <f t="shared" si="394"/>
        <v>0</v>
      </c>
      <c r="CE618" s="49">
        <f t="shared" si="395"/>
        <v>0</v>
      </c>
    </row>
    <row r="619" spans="1:83" ht="35.1" customHeight="1" x14ac:dyDescent="0.3">
      <c r="A619" s="123" t="e">
        <f t="shared" si="396"/>
        <v>#N/A</v>
      </c>
      <c r="B619" s="69">
        <f t="shared" si="397"/>
        <v>613</v>
      </c>
      <c r="C619" s="120" t="e">
        <f>IF(VLOOKUP($B619,'1. 현장별 인원현황'!$C:$J,2,0)=0,"",VLOOKUP($B619,'1. 현장별 인원현황'!$C:$J,2,0))</f>
        <v>#N/A</v>
      </c>
      <c r="D619" s="70" t="e">
        <f>IF(VLOOKUP($B619,'1. 현장별 인원현황'!$C:$J,3,0)=0,"",VLOOKUP($B619,'1. 현장별 인원현황'!$C:$J,3,0))</f>
        <v>#N/A</v>
      </c>
      <c r="E619" s="74" t="e">
        <f>IF(VLOOKUP($B619,'1. 현장별 인원현황'!$C:$J,4,0)=0,"",VLOOKUP($B619,'1. 현장별 인원현황'!$C:$J,4,0))</f>
        <v>#N/A</v>
      </c>
      <c r="F619" s="70" t="e">
        <f>IF(VLOOKUP($B619,'1. 현장별 인원현황'!$C:$J,7,0)=0,"",VLOOKUP($B619,'1. 현장별 인원현황'!$C:$J,7,0))</f>
        <v>#N/A</v>
      </c>
      <c r="G619" s="72" t="e">
        <f>IF(VLOOKUP($B619,'1. 현장별 인원현황'!$C:$J,8,0)=0,"",VLOOKUP($B619,'1. 현장별 인원현황'!$C:$J,8,0))</f>
        <v>#N/A</v>
      </c>
      <c r="H619" s="67"/>
      <c r="I619" s="73" t="s">
        <v>69</v>
      </c>
      <c r="J619" s="73"/>
      <c r="K619" s="68"/>
      <c r="L619" s="67"/>
      <c r="M619" s="73" t="s">
        <v>69</v>
      </c>
      <c r="N619" s="73"/>
      <c r="O619" s="68"/>
      <c r="P619" s="67"/>
      <c r="Q619" s="73" t="s">
        <v>69</v>
      </c>
      <c r="R619" s="73"/>
      <c r="S619" s="68"/>
      <c r="T619" s="67"/>
      <c r="U619" s="73" t="s">
        <v>69</v>
      </c>
      <c r="V619" s="73"/>
      <c r="W619" s="68"/>
      <c r="X619" s="67"/>
      <c r="Y619" s="73" t="s">
        <v>69</v>
      </c>
      <c r="Z619" s="73"/>
      <c r="AA619" s="68"/>
      <c r="AB619" s="67"/>
      <c r="AC619" s="73" t="s">
        <v>69</v>
      </c>
      <c r="AD619" s="73"/>
      <c r="AE619" s="68"/>
      <c r="AF619" s="67"/>
      <c r="AG619" s="73" t="s">
        <v>69</v>
      </c>
      <c r="AH619" s="73"/>
      <c r="AI619" s="68"/>
      <c r="AJ619" s="67"/>
      <c r="AK619" s="73" t="s">
        <v>69</v>
      </c>
      <c r="AL619" s="73"/>
      <c r="AM619" s="68"/>
      <c r="AN619" s="73"/>
      <c r="AO619" s="73" t="s">
        <v>69</v>
      </c>
      <c r="AP619" s="73"/>
      <c r="AQ619" s="68"/>
      <c r="AR619" s="67">
        <f t="shared" si="398"/>
        <v>77</v>
      </c>
      <c r="AS619" s="68" t="str">
        <f t="shared" si="399"/>
        <v>A</v>
      </c>
      <c r="AV619" s="49">
        <f t="shared" si="360"/>
        <v>0</v>
      </c>
      <c r="AW619" s="49">
        <f t="shared" si="361"/>
        <v>1</v>
      </c>
      <c r="AX619" s="49">
        <f t="shared" si="362"/>
        <v>0</v>
      </c>
      <c r="AY619" s="49">
        <f t="shared" si="363"/>
        <v>0</v>
      </c>
      <c r="AZ619" s="49">
        <f t="shared" si="364"/>
        <v>0</v>
      </c>
      <c r="BA619" s="49">
        <f t="shared" si="365"/>
        <v>1</v>
      </c>
      <c r="BB619" s="49">
        <f t="shared" si="366"/>
        <v>0</v>
      </c>
      <c r="BC619" s="49">
        <f t="shared" si="367"/>
        <v>0</v>
      </c>
      <c r="BD619" s="49">
        <f t="shared" si="368"/>
        <v>0</v>
      </c>
      <c r="BE619" s="49">
        <f t="shared" si="369"/>
        <v>1</v>
      </c>
      <c r="BF619" s="49">
        <f t="shared" si="370"/>
        <v>0</v>
      </c>
      <c r="BG619" s="49">
        <f t="shared" si="371"/>
        <v>0</v>
      </c>
      <c r="BH619" s="49">
        <f t="shared" si="372"/>
        <v>0</v>
      </c>
      <c r="BI619" s="49">
        <f t="shared" si="373"/>
        <v>1</v>
      </c>
      <c r="BJ619" s="49">
        <f t="shared" si="374"/>
        <v>0</v>
      </c>
      <c r="BK619" s="49">
        <f t="shared" si="375"/>
        <v>0</v>
      </c>
      <c r="BL619" s="49">
        <f t="shared" si="376"/>
        <v>0</v>
      </c>
      <c r="BM619" s="49">
        <f t="shared" si="377"/>
        <v>1</v>
      </c>
      <c r="BN619" s="49">
        <f t="shared" si="378"/>
        <v>0</v>
      </c>
      <c r="BO619" s="49">
        <f t="shared" si="379"/>
        <v>0</v>
      </c>
      <c r="BP619" s="49">
        <f t="shared" si="380"/>
        <v>0</v>
      </c>
      <c r="BQ619" s="49">
        <f t="shared" si="381"/>
        <v>1</v>
      </c>
      <c r="BR619" s="49">
        <f t="shared" si="382"/>
        <v>0</v>
      </c>
      <c r="BS619" s="49">
        <f t="shared" si="383"/>
        <v>0</v>
      </c>
      <c r="BT619" s="49">
        <f t="shared" si="384"/>
        <v>0</v>
      </c>
      <c r="BU619" s="49">
        <f t="shared" si="385"/>
        <v>1</v>
      </c>
      <c r="BV619" s="49">
        <f t="shared" si="386"/>
        <v>0</v>
      </c>
      <c r="BW619" s="49">
        <f t="shared" si="387"/>
        <v>0</v>
      </c>
      <c r="BX619" s="49">
        <f t="shared" si="388"/>
        <v>0</v>
      </c>
      <c r="BY619" s="49">
        <f t="shared" si="389"/>
        <v>1</v>
      </c>
      <c r="BZ619" s="49">
        <f t="shared" si="390"/>
        <v>0</v>
      </c>
      <c r="CA619" s="49">
        <f t="shared" si="391"/>
        <v>0</v>
      </c>
      <c r="CB619" s="49">
        <f t="shared" si="392"/>
        <v>0</v>
      </c>
      <c r="CC619" s="49">
        <f t="shared" si="393"/>
        <v>1</v>
      </c>
      <c r="CD619" s="49">
        <f t="shared" si="394"/>
        <v>0</v>
      </c>
      <c r="CE619" s="49">
        <f t="shared" si="395"/>
        <v>0</v>
      </c>
    </row>
    <row r="620" spans="1:83" ht="35.1" customHeight="1" x14ac:dyDescent="0.3">
      <c r="A620" s="123" t="e">
        <f t="shared" si="396"/>
        <v>#N/A</v>
      </c>
      <c r="B620" s="69">
        <f t="shared" si="397"/>
        <v>614</v>
      </c>
      <c r="C620" s="120" t="e">
        <f>IF(VLOOKUP($B620,'1. 현장별 인원현황'!$C:$J,2,0)=0,"",VLOOKUP($B620,'1. 현장별 인원현황'!$C:$J,2,0))</f>
        <v>#N/A</v>
      </c>
      <c r="D620" s="70" t="e">
        <f>IF(VLOOKUP($B620,'1. 현장별 인원현황'!$C:$J,3,0)=0,"",VLOOKUP($B620,'1. 현장별 인원현황'!$C:$J,3,0))</f>
        <v>#N/A</v>
      </c>
      <c r="E620" s="74" t="e">
        <f>IF(VLOOKUP($B620,'1. 현장별 인원현황'!$C:$J,4,0)=0,"",VLOOKUP($B620,'1. 현장별 인원현황'!$C:$J,4,0))</f>
        <v>#N/A</v>
      </c>
      <c r="F620" s="70" t="e">
        <f>IF(VLOOKUP($B620,'1. 현장별 인원현황'!$C:$J,7,0)=0,"",VLOOKUP($B620,'1. 현장별 인원현황'!$C:$J,7,0))</f>
        <v>#N/A</v>
      </c>
      <c r="G620" s="72" t="e">
        <f>IF(VLOOKUP($B620,'1. 현장별 인원현황'!$C:$J,8,0)=0,"",VLOOKUP($B620,'1. 현장별 인원현황'!$C:$J,8,0))</f>
        <v>#N/A</v>
      </c>
      <c r="H620" s="67" t="s">
        <v>69</v>
      </c>
      <c r="I620" s="73"/>
      <c r="J620" s="73"/>
      <c r="K620" s="68"/>
      <c r="L620" s="67" t="s">
        <v>69</v>
      </c>
      <c r="M620" s="73"/>
      <c r="N620" s="73"/>
      <c r="O620" s="68"/>
      <c r="P620" s="67"/>
      <c r="Q620" s="73" t="s">
        <v>69</v>
      </c>
      <c r="R620" s="73"/>
      <c r="S620" s="68"/>
      <c r="T620" s="67"/>
      <c r="U620" s="73" t="s">
        <v>69</v>
      </c>
      <c r="V620" s="73"/>
      <c r="W620" s="68"/>
      <c r="X620" s="67"/>
      <c r="Y620" s="73"/>
      <c r="Z620" s="73" t="s">
        <v>69</v>
      </c>
      <c r="AA620" s="68"/>
      <c r="AB620" s="67"/>
      <c r="AC620" s="73" t="s">
        <v>69</v>
      </c>
      <c r="AD620" s="73"/>
      <c r="AE620" s="68"/>
      <c r="AF620" s="67"/>
      <c r="AG620" s="73" t="s">
        <v>69</v>
      </c>
      <c r="AH620" s="73"/>
      <c r="AI620" s="68"/>
      <c r="AJ620" s="67"/>
      <c r="AK620" s="73"/>
      <c r="AL620" s="73" t="s">
        <v>69</v>
      </c>
      <c r="AM620" s="68"/>
      <c r="AN620" s="73"/>
      <c r="AO620" s="73"/>
      <c r="AP620" s="73" t="s">
        <v>69</v>
      </c>
      <c r="AQ620" s="68"/>
      <c r="AR620" s="67">
        <f t="shared" si="398"/>
        <v>75</v>
      </c>
      <c r="AS620" s="68" t="str">
        <f t="shared" si="399"/>
        <v>A</v>
      </c>
      <c r="AV620" s="49">
        <f t="shared" si="360"/>
        <v>1</v>
      </c>
      <c r="AW620" s="49">
        <f t="shared" si="361"/>
        <v>0</v>
      </c>
      <c r="AX620" s="49">
        <f t="shared" si="362"/>
        <v>0</v>
      </c>
      <c r="AY620" s="49">
        <f t="shared" si="363"/>
        <v>0</v>
      </c>
      <c r="AZ620" s="49">
        <f t="shared" si="364"/>
        <v>1</v>
      </c>
      <c r="BA620" s="49">
        <f t="shared" si="365"/>
        <v>0</v>
      </c>
      <c r="BB620" s="49">
        <f t="shared" si="366"/>
        <v>0</v>
      </c>
      <c r="BC620" s="49">
        <f t="shared" si="367"/>
        <v>0</v>
      </c>
      <c r="BD620" s="49">
        <f t="shared" si="368"/>
        <v>0</v>
      </c>
      <c r="BE620" s="49">
        <f t="shared" si="369"/>
        <v>1</v>
      </c>
      <c r="BF620" s="49">
        <f t="shared" si="370"/>
        <v>0</v>
      </c>
      <c r="BG620" s="49">
        <f t="shared" si="371"/>
        <v>0</v>
      </c>
      <c r="BH620" s="49">
        <f t="shared" si="372"/>
        <v>0</v>
      </c>
      <c r="BI620" s="49">
        <f t="shared" si="373"/>
        <v>1</v>
      </c>
      <c r="BJ620" s="49">
        <f t="shared" si="374"/>
        <v>0</v>
      </c>
      <c r="BK620" s="49">
        <f t="shared" si="375"/>
        <v>0</v>
      </c>
      <c r="BL620" s="49">
        <f t="shared" si="376"/>
        <v>0</v>
      </c>
      <c r="BM620" s="49">
        <f t="shared" si="377"/>
        <v>0</v>
      </c>
      <c r="BN620" s="49">
        <f t="shared" si="378"/>
        <v>1</v>
      </c>
      <c r="BO620" s="49">
        <f t="shared" si="379"/>
        <v>0</v>
      </c>
      <c r="BP620" s="49">
        <f t="shared" si="380"/>
        <v>0</v>
      </c>
      <c r="BQ620" s="49">
        <f t="shared" si="381"/>
        <v>1</v>
      </c>
      <c r="BR620" s="49">
        <f t="shared" si="382"/>
        <v>0</v>
      </c>
      <c r="BS620" s="49">
        <f t="shared" si="383"/>
        <v>0</v>
      </c>
      <c r="BT620" s="49">
        <f t="shared" si="384"/>
        <v>0</v>
      </c>
      <c r="BU620" s="49">
        <f t="shared" si="385"/>
        <v>1</v>
      </c>
      <c r="BV620" s="49">
        <f t="shared" si="386"/>
        <v>0</v>
      </c>
      <c r="BW620" s="49">
        <f t="shared" si="387"/>
        <v>0</v>
      </c>
      <c r="BX620" s="49">
        <f t="shared" si="388"/>
        <v>0</v>
      </c>
      <c r="BY620" s="49">
        <f t="shared" si="389"/>
        <v>0</v>
      </c>
      <c r="BZ620" s="49">
        <f t="shared" si="390"/>
        <v>1</v>
      </c>
      <c r="CA620" s="49">
        <f t="shared" si="391"/>
        <v>0</v>
      </c>
      <c r="CB620" s="49">
        <f t="shared" si="392"/>
        <v>0</v>
      </c>
      <c r="CC620" s="49">
        <f t="shared" si="393"/>
        <v>0</v>
      </c>
      <c r="CD620" s="49">
        <f t="shared" si="394"/>
        <v>1</v>
      </c>
      <c r="CE620" s="49">
        <f t="shared" si="395"/>
        <v>0</v>
      </c>
    </row>
    <row r="621" spans="1:83" ht="35.1" customHeight="1" x14ac:dyDescent="0.3">
      <c r="A621" s="123" t="e">
        <f t="shared" si="396"/>
        <v>#N/A</v>
      </c>
      <c r="B621" s="69">
        <f t="shared" si="397"/>
        <v>615</v>
      </c>
      <c r="C621" s="120" t="e">
        <f>IF(VLOOKUP($B621,'1. 현장별 인원현황'!$C:$J,2,0)=0,"",VLOOKUP($B621,'1. 현장별 인원현황'!$C:$J,2,0))</f>
        <v>#N/A</v>
      </c>
      <c r="D621" s="70" t="e">
        <f>IF(VLOOKUP($B621,'1. 현장별 인원현황'!$C:$J,3,0)=0,"",VLOOKUP($B621,'1. 현장별 인원현황'!$C:$J,3,0))</f>
        <v>#N/A</v>
      </c>
      <c r="E621" s="74" t="e">
        <f>IF(VLOOKUP($B621,'1. 현장별 인원현황'!$C:$J,4,0)=0,"",VLOOKUP($B621,'1. 현장별 인원현황'!$C:$J,4,0))</f>
        <v>#N/A</v>
      </c>
      <c r="F621" s="70" t="e">
        <f>IF(VLOOKUP($B621,'1. 현장별 인원현황'!$C:$J,7,0)=0,"",VLOOKUP($B621,'1. 현장별 인원현황'!$C:$J,7,0))</f>
        <v>#N/A</v>
      </c>
      <c r="G621" s="72" t="e">
        <f>IF(VLOOKUP($B621,'1. 현장별 인원현황'!$C:$J,8,0)=0,"",VLOOKUP($B621,'1. 현장별 인원현황'!$C:$J,8,0))</f>
        <v>#N/A</v>
      </c>
      <c r="H621" s="67" t="s">
        <v>69</v>
      </c>
      <c r="I621" s="73"/>
      <c r="J621" s="73"/>
      <c r="K621" s="68"/>
      <c r="L621" s="67" t="s">
        <v>69</v>
      </c>
      <c r="M621" s="73"/>
      <c r="N621" s="73"/>
      <c r="O621" s="68"/>
      <c r="P621" s="67"/>
      <c r="Q621" s="73" t="s">
        <v>69</v>
      </c>
      <c r="R621" s="73"/>
      <c r="S621" s="68"/>
      <c r="T621" s="67"/>
      <c r="U621" s="73" t="s">
        <v>69</v>
      </c>
      <c r="V621" s="73"/>
      <c r="W621" s="68"/>
      <c r="X621" s="67"/>
      <c r="Y621" s="73"/>
      <c r="Z621" s="73" t="s">
        <v>69</v>
      </c>
      <c r="AA621" s="68"/>
      <c r="AB621" s="67"/>
      <c r="AC621" s="73" t="s">
        <v>69</v>
      </c>
      <c r="AD621" s="73"/>
      <c r="AE621" s="68"/>
      <c r="AF621" s="67"/>
      <c r="AG621" s="73" t="s">
        <v>69</v>
      </c>
      <c r="AH621" s="73"/>
      <c r="AI621" s="68"/>
      <c r="AJ621" s="67"/>
      <c r="AK621" s="73"/>
      <c r="AL621" s="73" t="s">
        <v>69</v>
      </c>
      <c r="AM621" s="68"/>
      <c r="AN621" s="73"/>
      <c r="AO621" s="73"/>
      <c r="AP621" s="73" t="s">
        <v>69</v>
      </c>
      <c r="AQ621" s="68"/>
      <c r="AR621" s="67">
        <f t="shared" si="398"/>
        <v>75</v>
      </c>
      <c r="AS621" s="68" t="str">
        <f t="shared" si="399"/>
        <v>A</v>
      </c>
      <c r="AV621" s="49">
        <f t="shared" si="360"/>
        <v>1</v>
      </c>
      <c r="AW621" s="49">
        <f t="shared" si="361"/>
        <v>0</v>
      </c>
      <c r="AX621" s="49">
        <f t="shared" si="362"/>
        <v>0</v>
      </c>
      <c r="AY621" s="49">
        <f t="shared" si="363"/>
        <v>0</v>
      </c>
      <c r="AZ621" s="49">
        <f t="shared" si="364"/>
        <v>1</v>
      </c>
      <c r="BA621" s="49">
        <f t="shared" si="365"/>
        <v>0</v>
      </c>
      <c r="BB621" s="49">
        <f t="shared" si="366"/>
        <v>0</v>
      </c>
      <c r="BC621" s="49">
        <f t="shared" si="367"/>
        <v>0</v>
      </c>
      <c r="BD621" s="49">
        <f t="shared" si="368"/>
        <v>0</v>
      </c>
      <c r="BE621" s="49">
        <f t="shared" si="369"/>
        <v>1</v>
      </c>
      <c r="BF621" s="49">
        <f t="shared" si="370"/>
        <v>0</v>
      </c>
      <c r="BG621" s="49">
        <f t="shared" si="371"/>
        <v>0</v>
      </c>
      <c r="BH621" s="49">
        <f t="shared" si="372"/>
        <v>0</v>
      </c>
      <c r="BI621" s="49">
        <f t="shared" si="373"/>
        <v>1</v>
      </c>
      <c r="BJ621" s="49">
        <f t="shared" si="374"/>
        <v>0</v>
      </c>
      <c r="BK621" s="49">
        <f t="shared" si="375"/>
        <v>0</v>
      </c>
      <c r="BL621" s="49">
        <f t="shared" si="376"/>
        <v>0</v>
      </c>
      <c r="BM621" s="49">
        <f t="shared" si="377"/>
        <v>0</v>
      </c>
      <c r="BN621" s="49">
        <f t="shared" si="378"/>
        <v>1</v>
      </c>
      <c r="BO621" s="49">
        <f t="shared" si="379"/>
        <v>0</v>
      </c>
      <c r="BP621" s="49">
        <f t="shared" si="380"/>
        <v>0</v>
      </c>
      <c r="BQ621" s="49">
        <f t="shared" si="381"/>
        <v>1</v>
      </c>
      <c r="BR621" s="49">
        <f t="shared" si="382"/>
        <v>0</v>
      </c>
      <c r="BS621" s="49">
        <f t="shared" si="383"/>
        <v>0</v>
      </c>
      <c r="BT621" s="49">
        <f t="shared" si="384"/>
        <v>0</v>
      </c>
      <c r="BU621" s="49">
        <f t="shared" si="385"/>
        <v>1</v>
      </c>
      <c r="BV621" s="49">
        <f t="shared" si="386"/>
        <v>0</v>
      </c>
      <c r="BW621" s="49">
        <f t="shared" si="387"/>
        <v>0</v>
      </c>
      <c r="BX621" s="49">
        <f t="shared" si="388"/>
        <v>0</v>
      </c>
      <c r="BY621" s="49">
        <f t="shared" si="389"/>
        <v>0</v>
      </c>
      <c r="BZ621" s="49">
        <f t="shared" si="390"/>
        <v>1</v>
      </c>
      <c r="CA621" s="49">
        <f t="shared" si="391"/>
        <v>0</v>
      </c>
      <c r="CB621" s="49">
        <f t="shared" si="392"/>
        <v>0</v>
      </c>
      <c r="CC621" s="49">
        <f t="shared" si="393"/>
        <v>0</v>
      </c>
      <c r="CD621" s="49">
        <f t="shared" si="394"/>
        <v>1</v>
      </c>
      <c r="CE621" s="49">
        <f t="shared" si="395"/>
        <v>0</v>
      </c>
    </row>
    <row r="622" spans="1:83" ht="35.1" customHeight="1" x14ac:dyDescent="0.3">
      <c r="A622" s="123" t="e">
        <f t="shared" si="396"/>
        <v>#N/A</v>
      </c>
      <c r="B622" s="69">
        <f t="shared" si="397"/>
        <v>616</v>
      </c>
      <c r="C622" s="120" t="e">
        <f>IF(VLOOKUP($B622,'1. 현장별 인원현황'!$C:$J,2,0)=0,"",VLOOKUP($B622,'1. 현장별 인원현황'!$C:$J,2,0))</f>
        <v>#N/A</v>
      </c>
      <c r="D622" s="70" t="e">
        <f>IF(VLOOKUP($B622,'1. 현장별 인원현황'!$C:$J,3,0)=0,"",VLOOKUP($B622,'1. 현장별 인원현황'!$C:$J,3,0))</f>
        <v>#N/A</v>
      </c>
      <c r="E622" s="74" t="e">
        <f>IF(VLOOKUP($B622,'1. 현장별 인원현황'!$C:$J,4,0)=0,"",VLOOKUP($B622,'1. 현장별 인원현황'!$C:$J,4,0))</f>
        <v>#N/A</v>
      </c>
      <c r="F622" s="70" t="e">
        <f>IF(VLOOKUP($B622,'1. 현장별 인원현황'!$C:$J,7,0)=0,"",VLOOKUP($B622,'1. 현장별 인원현황'!$C:$J,7,0))</f>
        <v>#N/A</v>
      </c>
      <c r="G622" s="72" t="e">
        <f>IF(VLOOKUP($B622,'1. 현장별 인원현황'!$C:$J,8,0)=0,"",VLOOKUP($B622,'1. 현장별 인원현황'!$C:$J,8,0))</f>
        <v>#N/A</v>
      </c>
      <c r="H622" s="67" t="s">
        <v>69</v>
      </c>
      <c r="I622" s="73"/>
      <c r="J622" s="73"/>
      <c r="K622" s="68"/>
      <c r="L622" s="67"/>
      <c r="M622" s="73" t="s">
        <v>69</v>
      </c>
      <c r="N622" s="73"/>
      <c r="O622" s="68"/>
      <c r="P622" s="67"/>
      <c r="Q622" s="73" t="s">
        <v>69</v>
      </c>
      <c r="R622" s="73"/>
      <c r="S622" s="68"/>
      <c r="T622" s="67"/>
      <c r="U622" s="73" t="s">
        <v>69</v>
      </c>
      <c r="V622" s="73"/>
      <c r="W622" s="68"/>
      <c r="X622" s="67" t="s">
        <v>69</v>
      </c>
      <c r="Y622" s="73"/>
      <c r="Z622" s="73"/>
      <c r="AA622" s="68"/>
      <c r="AB622" s="67" t="s">
        <v>69</v>
      </c>
      <c r="AC622" s="73"/>
      <c r="AD622" s="73"/>
      <c r="AE622" s="68"/>
      <c r="AF622" s="67" t="s">
        <v>69</v>
      </c>
      <c r="AG622" s="73"/>
      <c r="AH622" s="73"/>
      <c r="AI622" s="68"/>
      <c r="AJ622" s="67" t="s">
        <v>69</v>
      </c>
      <c r="AK622" s="73"/>
      <c r="AL622" s="73"/>
      <c r="AM622" s="68"/>
      <c r="AN622" s="73" t="s">
        <v>69</v>
      </c>
      <c r="AO622" s="73"/>
      <c r="AP622" s="73"/>
      <c r="AQ622" s="68"/>
      <c r="AR622" s="67">
        <f t="shared" si="398"/>
        <v>92</v>
      </c>
      <c r="AS622" s="68" t="str">
        <f t="shared" si="399"/>
        <v>S</v>
      </c>
      <c r="AV622" s="49">
        <f t="shared" si="360"/>
        <v>1</v>
      </c>
      <c r="AW622" s="49">
        <f t="shared" si="361"/>
        <v>0</v>
      </c>
      <c r="AX622" s="49">
        <f t="shared" si="362"/>
        <v>0</v>
      </c>
      <c r="AY622" s="49">
        <f t="shared" si="363"/>
        <v>0</v>
      </c>
      <c r="AZ622" s="49">
        <f t="shared" si="364"/>
        <v>0</v>
      </c>
      <c r="BA622" s="49">
        <f t="shared" si="365"/>
        <v>1</v>
      </c>
      <c r="BB622" s="49">
        <f t="shared" si="366"/>
        <v>0</v>
      </c>
      <c r="BC622" s="49">
        <f t="shared" si="367"/>
        <v>0</v>
      </c>
      <c r="BD622" s="49">
        <f t="shared" si="368"/>
        <v>0</v>
      </c>
      <c r="BE622" s="49">
        <f t="shared" si="369"/>
        <v>1</v>
      </c>
      <c r="BF622" s="49">
        <f t="shared" si="370"/>
        <v>0</v>
      </c>
      <c r="BG622" s="49">
        <f t="shared" si="371"/>
        <v>0</v>
      </c>
      <c r="BH622" s="49">
        <f t="shared" si="372"/>
        <v>0</v>
      </c>
      <c r="BI622" s="49">
        <f t="shared" si="373"/>
        <v>1</v>
      </c>
      <c r="BJ622" s="49">
        <f t="shared" si="374"/>
        <v>0</v>
      </c>
      <c r="BK622" s="49">
        <f t="shared" si="375"/>
        <v>0</v>
      </c>
      <c r="BL622" s="49">
        <f t="shared" si="376"/>
        <v>1</v>
      </c>
      <c r="BM622" s="49">
        <f t="shared" si="377"/>
        <v>0</v>
      </c>
      <c r="BN622" s="49">
        <f t="shared" si="378"/>
        <v>0</v>
      </c>
      <c r="BO622" s="49">
        <f t="shared" si="379"/>
        <v>0</v>
      </c>
      <c r="BP622" s="49">
        <f t="shared" si="380"/>
        <v>1</v>
      </c>
      <c r="BQ622" s="49">
        <f t="shared" si="381"/>
        <v>0</v>
      </c>
      <c r="BR622" s="49">
        <f t="shared" si="382"/>
        <v>0</v>
      </c>
      <c r="BS622" s="49">
        <f t="shared" si="383"/>
        <v>0</v>
      </c>
      <c r="BT622" s="49">
        <f t="shared" si="384"/>
        <v>1</v>
      </c>
      <c r="BU622" s="49">
        <f t="shared" si="385"/>
        <v>0</v>
      </c>
      <c r="BV622" s="49">
        <f t="shared" si="386"/>
        <v>0</v>
      </c>
      <c r="BW622" s="49">
        <f t="shared" si="387"/>
        <v>0</v>
      </c>
      <c r="BX622" s="49">
        <f t="shared" si="388"/>
        <v>1</v>
      </c>
      <c r="BY622" s="49">
        <f t="shared" si="389"/>
        <v>0</v>
      </c>
      <c r="BZ622" s="49">
        <f t="shared" si="390"/>
        <v>0</v>
      </c>
      <c r="CA622" s="49">
        <f t="shared" si="391"/>
        <v>0</v>
      </c>
      <c r="CB622" s="49">
        <f t="shared" si="392"/>
        <v>1</v>
      </c>
      <c r="CC622" s="49">
        <f t="shared" si="393"/>
        <v>0</v>
      </c>
      <c r="CD622" s="49">
        <f t="shared" si="394"/>
        <v>0</v>
      </c>
      <c r="CE622" s="49">
        <f t="shared" si="395"/>
        <v>0</v>
      </c>
    </row>
    <row r="623" spans="1:83" ht="35.1" customHeight="1" x14ac:dyDescent="0.3">
      <c r="A623" s="123" t="e">
        <f t="shared" si="396"/>
        <v>#N/A</v>
      </c>
      <c r="B623" s="69">
        <f t="shared" si="397"/>
        <v>617</v>
      </c>
      <c r="C623" s="120" t="e">
        <f>IF(VLOOKUP($B623,'1. 현장별 인원현황'!$C:$J,2,0)=0,"",VLOOKUP($B623,'1. 현장별 인원현황'!$C:$J,2,0))</f>
        <v>#N/A</v>
      </c>
      <c r="D623" s="70" t="e">
        <f>IF(VLOOKUP($B623,'1. 현장별 인원현황'!$C:$J,3,0)=0,"",VLOOKUP($B623,'1. 현장별 인원현황'!$C:$J,3,0))</f>
        <v>#N/A</v>
      </c>
      <c r="E623" s="74" t="e">
        <f>IF(VLOOKUP($B623,'1. 현장별 인원현황'!$C:$J,4,0)=0,"",VLOOKUP($B623,'1. 현장별 인원현황'!$C:$J,4,0))</f>
        <v>#N/A</v>
      </c>
      <c r="F623" s="70" t="e">
        <f>IF(VLOOKUP($B623,'1. 현장별 인원현황'!$C:$J,7,0)=0,"",VLOOKUP($B623,'1. 현장별 인원현황'!$C:$J,7,0))</f>
        <v>#N/A</v>
      </c>
      <c r="G623" s="72" t="e">
        <f>IF(VLOOKUP($B623,'1. 현장별 인원현황'!$C:$J,8,0)=0,"",VLOOKUP($B623,'1. 현장별 인원현황'!$C:$J,8,0))</f>
        <v>#N/A</v>
      </c>
      <c r="H623" s="67" t="s">
        <v>69</v>
      </c>
      <c r="I623" s="73"/>
      <c r="J623" s="73"/>
      <c r="K623" s="68"/>
      <c r="L623" s="67"/>
      <c r="M623" s="73" t="s">
        <v>69</v>
      </c>
      <c r="N623" s="73"/>
      <c r="O623" s="68"/>
      <c r="P623" s="67"/>
      <c r="Q623" s="73" t="s">
        <v>69</v>
      </c>
      <c r="R623" s="73"/>
      <c r="S623" s="68"/>
      <c r="T623" s="67"/>
      <c r="U623" s="73" t="s">
        <v>69</v>
      </c>
      <c r="V623" s="73"/>
      <c r="W623" s="68"/>
      <c r="X623" s="67" t="s">
        <v>69</v>
      </c>
      <c r="Y623" s="73"/>
      <c r="Z623" s="73"/>
      <c r="AA623" s="68"/>
      <c r="AB623" s="67" t="s">
        <v>69</v>
      </c>
      <c r="AC623" s="73"/>
      <c r="AD623" s="73"/>
      <c r="AE623" s="68"/>
      <c r="AF623" s="67" t="s">
        <v>69</v>
      </c>
      <c r="AG623" s="73"/>
      <c r="AH623" s="73"/>
      <c r="AI623" s="68"/>
      <c r="AJ623" s="67" t="s">
        <v>69</v>
      </c>
      <c r="AK623" s="73"/>
      <c r="AL623" s="73"/>
      <c r="AM623" s="68"/>
      <c r="AN623" s="73" t="s">
        <v>69</v>
      </c>
      <c r="AO623" s="73"/>
      <c r="AP623" s="73"/>
      <c r="AQ623" s="68"/>
      <c r="AR623" s="67">
        <f t="shared" si="398"/>
        <v>92</v>
      </c>
      <c r="AS623" s="68" t="str">
        <f t="shared" si="399"/>
        <v>S</v>
      </c>
      <c r="AV623" s="49">
        <f t="shared" si="360"/>
        <v>1</v>
      </c>
      <c r="AW623" s="49">
        <f t="shared" si="361"/>
        <v>0</v>
      </c>
      <c r="AX623" s="49">
        <f t="shared" si="362"/>
        <v>0</v>
      </c>
      <c r="AY623" s="49">
        <f t="shared" si="363"/>
        <v>0</v>
      </c>
      <c r="AZ623" s="49">
        <f t="shared" si="364"/>
        <v>0</v>
      </c>
      <c r="BA623" s="49">
        <f t="shared" si="365"/>
        <v>1</v>
      </c>
      <c r="BB623" s="49">
        <f t="shared" si="366"/>
        <v>0</v>
      </c>
      <c r="BC623" s="49">
        <f t="shared" si="367"/>
        <v>0</v>
      </c>
      <c r="BD623" s="49">
        <f t="shared" si="368"/>
        <v>0</v>
      </c>
      <c r="BE623" s="49">
        <f t="shared" si="369"/>
        <v>1</v>
      </c>
      <c r="BF623" s="49">
        <f t="shared" si="370"/>
        <v>0</v>
      </c>
      <c r="BG623" s="49">
        <f t="shared" si="371"/>
        <v>0</v>
      </c>
      <c r="BH623" s="49">
        <f t="shared" si="372"/>
        <v>0</v>
      </c>
      <c r="BI623" s="49">
        <f t="shared" si="373"/>
        <v>1</v>
      </c>
      <c r="BJ623" s="49">
        <f t="shared" si="374"/>
        <v>0</v>
      </c>
      <c r="BK623" s="49">
        <f t="shared" si="375"/>
        <v>0</v>
      </c>
      <c r="BL623" s="49">
        <f t="shared" si="376"/>
        <v>1</v>
      </c>
      <c r="BM623" s="49">
        <f t="shared" si="377"/>
        <v>0</v>
      </c>
      <c r="BN623" s="49">
        <f t="shared" si="378"/>
        <v>0</v>
      </c>
      <c r="BO623" s="49">
        <f t="shared" si="379"/>
        <v>0</v>
      </c>
      <c r="BP623" s="49">
        <f t="shared" si="380"/>
        <v>1</v>
      </c>
      <c r="BQ623" s="49">
        <f t="shared" si="381"/>
        <v>0</v>
      </c>
      <c r="BR623" s="49">
        <f t="shared" si="382"/>
        <v>0</v>
      </c>
      <c r="BS623" s="49">
        <f t="shared" si="383"/>
        <v>0</v>
      </c>
      <c r="BT623" s="49">
        <f t="shared" si="384"/>
        <v>1</v>
      </c>
      <c r="BU623" s="49">
        <f t="shared" si="385"/>
        <v>0</v>
      </c>
      <c r="BV623" s="49">
        <f t="shared" si="386"/>
        <v>0</v>
      </c>
      <c r="BW623" s="49">
        <f t="shared" si="387"/>
        <v>0</v>
      </c>
      <c r="BX623" s="49">
        <f t="shared" si="388"/>
        <v>1</v>
      </c>
      <c r="BY623" s="49">
        <f t="shared" si="389"/>
        <v>0</v>
      </c>
      <c r="BZ623" s="49">
        <f t="shared" si="390"/>
        <v>0</v>
      </c>
      <c r="CA623" s="49">
        <f t="shared" si="391"/>
        <v>0</v>
      </c>
      <c r="CB623" s="49">
        <f t="shared" si="392"/>
        <v>1</v>
      </c>
      <c r="CC623" s="49">
        <f t="shared" si="393"/>
        <v>0</v>
      </c>
      <c r="CD623" s="49">
        <f t="shared" si="394"/>
        <v>0</v>
      </c>
      <c r="CE623" s="49">
        <f t="shared" si="395"/>
        <v>0</v>
      </c>
    </row>
    <row r="624" spans="1:83" ht="35.1" customHeight="1" x14ac:dyDescent="0.3">
      <c r="A624" s="123" t="e">
        <f t="shared" si="396"/>
        <v>#N/A</v>
      </c>
      <c r="B624" s="69">
        <f t="shared" si="397"/>
        <v>618</v>
      </c>
      <c r="C624" s="120" t="e">
        <f>IF(VLOOKUP($B624,'1. 현장별 인원현황'!$C:$J,2,0)=0,"",VLOOKUP($B624,'1. 현장별 인원현황'!$C:$J,2,0))</f>
        <v>#N/A</v>
      </c>
      <c r="D624" s="70" t="e">
        <f>IF(VLOOKUP($B624,'1. 현장별 인원현황'!$C:$J,3,0)=0,"",VLOOKUP($B624,'1. 현장별 인원현황'!$C:$J,3,0))</f>
        <v>#N/A</v>
      </c>
      <c r="E624" s="74" t="e">
        <f>IF(VLOOKUP($B624,'1. 현장별 인원현황'!$C:$J,4,0)=0,"",VLOOKUP($B624,'1. 현장별 인원현황'!$C:$J,4,0))</f>
        <v>#N/A</v>
      </c>
      <c r="F624" s="70" t="e">
        <f>IF(VLOOKUP($B624,'1. 현장별 인원현황'!$C:$J,7,0)=0,"",VLOOKUP($B624,'1. 현장별 인원현황'!$C:$J,7,0))</f>
        <v>#N/A</v>
      </c>
      <c r="G624" s="72" t="e">
        <f>IF(VLOOKUP($B624,'1. 현장별 인원현황'!$C:$J,8,0)=0,"",VLOOKUP($B624,'1. 현장별 인원현황'!$C:$J,8,0))</f>
        <v>#N/A</v>
      </c>
      <c r="H624" s="67" t="s">
        <v>69</v>
      </c>
      <c r="I624" s="73"/>
      <c r="J624" s="73"/>
      <c r="K624" s="68"/>
      <c r="L624" s="67"/>
      <c r="M624" s="73" t="s">
        <v>69</v>
      </c>
      <c r="N624" s="73"/>
      <c r="O624" s="68"/>
      <c r="P624" s="67"/>
      <c r="Q624" s="73" t="s">
        <v>69</v>
      </c>
      <c r="R624" s="73"/>
      <c r="S624" s="68"/>
      <c r="T624" s="67"/>
      <c r="U624" s="73" t="s">
        <v>69</v>
      </c>
      <c r="V624" s="73"/>
      <c r="W624" s="68"/>
      <c r="X624" s="67" t="s">
        <v>69</v>
      </c>
      <c r="Y624" s="73"/>
      <c r="Z624" s="73"/>
      <c r="AA624" s="68"/>
      <c r="AB624" s="67" t="s">
        <v>69</v>
      </c>
      <c r="AC624" s="73"/>
      <c r="AD624" s="73"/>
      <c r="AE624" s="68"/>
      <c r="AF624" s="67" t="s">
        <v>69</v>
      </c>
      <c r="AG624" s="73"/>
      <c r="AH624" s="73"/>
      <c r="AI624" s="68"/>
      <c r="AJ624" s="67" t="s">
        <v>69</v>
      </c>
      <c r="AK624" s="73"/>
      <c r="AL624" s="73"/>
      <c r="AM624" s="68"/>
      <c r="AN624" s="73" t="s">
        <v>69</v>
      </c>
      <c r="AO624" s="73"/>
      <c r="AP624" s="73"/>
      <c r="AQ624" s="68"/>
      <c r="AR624" s="67">
        <f t="shared" si="398"/>
        <v>92</v>
      </c>
      <c r="AS624" s="68" t="str">
        <f t="shared" si="399"/>
        <v>S</v>
      </c>
      <c r="AV624" s="49">
        <f t="shared" si="360"/>
        <v>1</v>
      </c>
      <c r="AW624" s="49">
        <f t="shared" si="361"/>
        <v>0</v>
      </c>
      <c r="AX624" s="49">
        <f t="shared" si="362"/>
        <v>0</v>
      </c>
      <c r="AY624" s="49">
        <f t="shared" si="363"/>
        <v>0</v>
      </c>
      <c r="AZ624" s="49">
        <f t="shared" si="364"/>
        <v>0</v>
      </c>
      <c r="BA624" s="49">
        <f t="shared" si="365"/>
        <v>1</v>
      </c>
      <c r="BB624" s="49">
        <f t="shared" si="366"/>
        <v>0</v>
      </c>
      <c r="BC624" s="49">
        <f t="shared" si="367"/>
        <v>0</v>
      </c>
      <c r="BD624" s="49">
        <f t="shared" si="368"/>
        <v>0</v>
      </c>
      <c r="BE624" s="49">
        <f t="shared" si="369"/>
        <v>1</v>
      </c>
      <c r="BF624" s="49">
        <f t="shared" si="370"/>
        <v>0</v>
      </c>
      <c r="BG624" s="49">
        <f t="shared" si="371"/>
        <v>0</v>
      </c>
      <c r="BH624" s="49">
        <f t="shared" si="372"/>
        <v>0</v>
      </c>
      <c r="BI624" s="49">
        <f t="shared" si="373"/>
        <v>1</v>
      </c>
      <c r="BJ624" s="49">
        <f t="shared" si="374"/>
        <v>0</v>
      </c>
      <c r="BK624" s="49">
        <f t="shared" si="375"/>
        <v>0</v>
      </c>
      <c r="BL624" s="49">
        <f t="shared" si="376"/>
        <v>1</v>
      </c>
      <c r="BM624" s="49">
        <f t="shared" si="377"/>
        <v>0</v>
      </c>
      <c r="BN624" s="49">
        <f t="shared" si="378"/>
        <v>0</v>
      </c>
      <c r="BO624" s="49">
        <f t="shared" si="379"/>
        <v>0</v>
      </c>
      <c r="BP624" s="49">
        <f t="shared" si="380"/>
        <v>1</v>
      </c>
      <c r="BQ624" s="49">
        <f t="shared" si="381"/>
        <v>0</v>
      </c>
      <c r="BR624" s="49">
        <f t="shared" si="382"/>
        <v>0</v>
      </c>
      <c r="BS624" s="49">
        <f t="shared" si="383"/>
        <v>0</v>
      </c>
      <c r="BT624" s="49">
        <f t="shared" si="384"/>
        <v>1</v>
      </c>
      <c r="BU624" s="49">
        <f t="shared" si="385"/>
        <v>0</v>
      </c>
      <c r="BV624" s="49">
        <f t="shared" si="386"/>
        <v>0</v>
      </c>
      <c r="BW624" s="49">
        <f t="shared" si="387"/>
        <v>0</v>
      </c>
      <c r="BX624" s="49">
        <f t="shared" si="388"/>
        <v>1</v>
      </c>
      <c r="BY624" s="49">
        <f t="shared" si="389"/>
        <v>0</v>
      </c>
      <c r="BZ624" s="49">
        <f t="shared" si="390"/>
        <v>0</v>
      </c>
      <c r="CA624" s="49">
        <f t="shared" si="391"/>
        <v>0</v>
      </c>
      <c r="CB624" s="49">
        <f t="shared" si="392"/>
        <v>1</v>
      </c>
      <c r="CC624" s="49">
        <f t="shared" si="393"/>
        <v>0</v>
      </c>
      <c r="CD624" s="49">
        <f t="shared" si="394"/>
        <v>0</v>
      </c>
      <c r="CE624" s="49">
        <f t="shared" si="395"/>
        <v>0</v>
      </c>
    </row>
    <row r="625" spans="1:83" ht="35.1" customHeight="1" x14ac:dyDescent="0.3">
      <c r="A625" s="123" t="e">
        <f t="shared" si="396"/>
        <v>#N/A</v>
      </c>
      <c r="B625" s="69">
        <f t="shared" si="397"/>
        <v>619</v>
      </c>
      <c r="C625" s="120" t="e">
        <f>IF(VLOOKUP($B625,'1. 현장별 인원현황'!$C:$J,2,0)=0,"",VLOOKUP($B625,'1. 현장별 인원현황'!$C:$J,2,0))</f>
        <v>#N/A</v>
      </c>
      <c r="D625" s="70" t="e">
        <f>IF(VLOOKUP($B625,'1. 현장별 인원현황'!$C:$J,3,0)=0,"",VLOOKUP($B625,'1. 현장별 인원현황'!$C:$J,3,0))</f>
        <v>#N/A</v>
      </c>
      <c r="E625" s="74" t="e">
        <f>IF(VLOOKUP($B625,'1. 현장별 인원현황'!$C:$J,4,0)=0,"",VLOOKUP($B625,'1. 현장별 인원현황'!$C:$J,4,0))</f>
        <v>#N/A</v>
      </c>
      <c r="F625" s="70" t="e">
        <f>IF(VLOOKUP($B625,'1. 현장별 인원현황'!$C:$J,7,0)=0,"",VLOOKUP($B625,'1. 현장별 인원현황'!$C:$J,7,0))</f>
        <v>#N/A</v>
      </c>
      <c r="G625" s="72" t="e">
        <f>IF(VLOOKUP($B625,'1. 현장별 인원현황'!$C:$J,8,0)=0,"",VLOOKUP($B625,'1. 현장별 인원현황'!$C:$J,8,0))</f>
        <v>#N/A</v>
      </c>
      <c r="H625" s="67" t="s">
        <v>69</v>
      </c>
      <c r="I625" s="73"/>
      <c r="J625" s="73"/>
      <c r="K625" s="68"/>
      <c r="L625" s="67" t="s">
        <v>69</v>
      </c>
      <c r="M625" s="73"/>
      <c r="N625" s="73"/>
      <c r="O625" s="68"/>
      <c r="P625" s="67" t="s">
        <v>69</v>
      </c>
      <c r="Q625" s="73"/>
      <c r="R625" s="73"/>
      <c r="S625" s="68"/>
      <c r="T625" s="67"/>
      <c r="U625" s="73" t="s">
        <v>69</v>
      </c>
      <c r="V625" s="73"/>
      <c r="W625" s="68"/>
      <c r="X625" s="67"/>
      <c r="Y625" s="73"/>
      <c r="Z625" s="73" t="s">
        <v>69</v>
      </c>
      <c r="AA625" s="68"/>
      <c r="AB625" s="67"/>
      <c r="AC625" s="73" t="s">
        <v>69</v>
      </c>
      <c r="AD625" s="73"/>
      <c r="AE625" s="68"/>
      <c r="AF625" s="67"/>
      <c r="AG625" s="73" t="s">
        <v>69</v>
      </c>
      <c r="AH625" s="73"/>
      <c r="AI625" s="68"/>
      <c r="AJ625" s="67"/>
      <c r="AK625" s="73"/>
      <c r="AL625" s="73" t="s">
        <v>69</v>
      </c>
      <c r="AM625" s="68"/>
      <c r="AN625" s="73"/>
      <c r="AO625" s="73" t="s">
        <v>69</v>
      </c>
      <c r="AP625" s="73"/>
      <c r="AQ625" s="68"/>
      <c r="AR625" s="67">
        <f t="shared" si="398"/>
        <v>81</v>
      </c>
      <c r="AS625" s="68" t="str">
        <f t="shared" si="399"/>
        <v>A</v>
      </c>
      <c r="AV625" s="49">
        <f t="shared" si="360"/>
        <v>1</v>
      </c>
      <c r="AW625" s="49">
        <f t="shared" si="361"/>
        <v>0</v>
      </c>
      <c r="AX625" s="49">
        <f t="shared" si="362"/>
        <v>0</v>
      </c>
      <c r="AY625" s="49">
        <f t="shared" si="363"/>
        <v>0</v>
      </c>
      <c r="AZ625" s="49">
        <f t="shared" si="364"/>
        <v>1</v>
      </c>
      <c r="BA625" s="49">
        <f t="shared" si="365"/>
        <v>0</v>
      </c>
      <c r="BB625" s="49">
        <f t="shared" si="366"/>
        <v>0</v>
      </c>
      <c r="BC625" s="49">
        <f t="shared" si="367"/>
        <v>0</v>
      </c>
      <c r="BD625" s="49">
        <f t="shared" si="368"/>
        <v>1</v>
      </c>
      <c r="BE625" s="49">
        <f t="shared" si="369"/>
        <v>0</v>
      </c>
      <c r="BF625" s="49">
        <f t="shared" si="370"/>
        <v>0</v>
      </c>
      <c r="BG625" s="49">
        <f t="shared" si="371"/>
        <v>0</v>
      </c>
      <c r="BH625" s="49">
        <f t="shared" si="372"/>
        <v>0</v>
      </c>
      <c r="BI625" s="49">
        <f t="shared" si="373"/>
        <v>1</v>
      </c>
      <c r="BJ625" s="49">
        <f t="shared" si="374"/>
        <v>0</v>
      </c>
      <c r="BK625" s="49">
        <f t="shared" si="375"/>
        <v>0</v>
      </c>
      <c r="BL625" s="49">
        <f t="shared" si="376"/>
        <v>0</v>
      </c>
      <c r="BM625" s="49">
        <f t="shared" si="377"/>
        <v>0</v>
      </c>
      <c r="BN625" s="49">
        <f t="shared" si="378"/>
        <v>1</v>
      </c>
      <c r="BO625" s="49">
        <f t="shared" si="379"/>
        <v>0</v>
      </c>
      <c r="BP625" s="49">
        <f t="shared" si="380"/>
        <v>0</v>
      </c>
      <c r="BQ625" s="49">
        <f t="shared" si="381"/>
        <v>1</v>
      </c>
      <c r="BR625" s="49">
        <f t="shared" si="382"/>
        <v>0</v>
      </c>
      <c r="BS625" s="49">
        <f t="shared" si="383"/>
        <v>0</v>
      </c>
      <c r="BT625" s="49">
        <f t="shared" si="384"/>
        <v>0</v>
      </c>
      <c r="BU625" s="49">
        <f t="shared" si="385"/>
        <v>1</v>
      </c>
      <c r="BV625" s="49">
        <f t="shared" si="386"/>
        <v>0</v>
      </c>
      <c r="BW625" s="49">
        <f t="shared" si="387"/>
        <v>0</v>
      </c>
      <c r="BX625" s="49">
        <f t="shared" si="388"/>
        <v>0</v>
      </c>
      <c r="BY625" s="49">
        <f t="shared" si="389"/>
        <v>0</v>
      </c>
      <c r="BZ625" s="49">
        <f t="shared" si="390"/>
        <v>1</v>
      </c>
      <c r="CA625" s="49">
        <f t="shared" si="391"/>
        <v>0</v>
      </c>
      <c r="CB625" s="49">
        <f t="shared" si="392"/>
        <v>0</v>
      </c>
      <c r="CC625" s="49">
        <f t="shared" si="393"/>
        <v>1</v>
      </c>
      <c r="CD625" s="49">
        <f t="shared" si="394"/>
        <v>0</v>
      </c>
      <c r="CE625" s="49">
        <f t="shared" si="395"/>
        <v>0</v>
      </c>
    </row>
    <row r="626" spans="1:83" ht="35.1" customHeight="1" x14ac:dyDescent="0.3">
      <c r="A626" s="123" t="e">
        <f t="shared" si="396"/>
        <v>#N/A</v>
      </c>
      <c r="B626" s="69">
        <f t="shared" si="397"/>
        <v>620</v>
      </c>
      <c r="C626" s="120" t="e">
        <f>IF(VLOOKUP($B626,'1. 현장별 인원현황'!$C:$J,2,0)=0,"",VLOOKUP($B626,'1. 현장별 인원현황'!$C:$J,2,0))</f>
        <v>#N/A</v>
      </c>
      <c r="D626" s="70" t="e">
        <f>IF(VLOOKUP($B626,'1. 현장별 인원현황'!$C:$J,3,0)=0,"",VLOOKUP($B626,'1. 현장별 인원현황'!$C:$J,3,0))</f>
        <v>#N/A</v>
      </c>
      <c r="E626" s="74" t="e">
        <f>IF(VLOOKUP($B626,'1. 현장별 인원현황'!$C:$J,4,0)=0,"",VLOOKUP($B626,'1. 현장별 인원현황'!$C:$J,4,0))</f>
        <v>#N/A</v>
      </c>
      <c r="F626" s="70" t="e">
        <f>IF(VLOOKUP($B626,'1. 현장별 인원현황'!$C:$J,7,0)=0,"",VLOOKUP($B626,'1. 현장별 인원현황'!$C:$J,7,0))</f>
        <v>#N/A</v>
      </c>
      <c r="G626" s="72" t="e">
        <f>IF(VLOOKUP($B626,'1. 현장별 인원현황'!$C:$J,8,0)=0,"",VLOOKUP($B626,'1. 현장별 인원현황'!$C:$J,8,0))</f>
        <v>#N/A</v>
      </c>
      <c r="H626" s="67"/>
      <c r="I626" s="73" t="s">
        <v>69</v>
      </c>
      <c r="J626" s="73"/>
      <c r="K626" s="68"/>
      <c r="L626" s="67"/>
      <c r="M626" s="73" t="s">
        <v>69</v>
      </c>
      <c r="N626" s="73"/>
      <c r="O626" s="68"/>
      <c r="P626" s="67"/>
      <c r="Q626" s="73" t="s">
        <v>69</v>
      </c>
      <c r="R626" s="73"/>
      <c r="S626" s="68"/>
      <c r="T626" s="67"/>
      <c r="U626" s="73" t="s">
        <v>69</v>
      </c>
      <c r="V626" s="73"/>
      <c r="W626" s="68"/>
      <c r="X626" s="67"/>
      <c r="Y626" s="73" t="s">
        <v>69</v>
      </c>
      <c r="Z626" s="73"/>
      <c r="AA626" s="68"/>
      <c r="AB626" s="67"/>
      <c r="AC626" s="73" t="s">
        <v>69</v>
      </c>
      <c r="AD626" s="73"/>
      <c r="AE626" s="68"/>
      <c r="AF626" s="67"/>
      <c r="AG626" s="73" t="s">
        <v>69</v>
      </c>
      <c r="AH626" s="73"/>
      <c r="AI626" s="68"/>
      <c r="AJ626" s="67"/>
      <c r="AK626" s="73" t="s">
        <v>69</v>
      </c>
      <c r="AL626" s="73"/>
      <c r="AM626" s="68"/>
      <c r="AN626" s="73"/>
      <c r="AO626" s="73" t="s">
        <v>69</v>
      </c>
      <c r="AP626" s="73"/>
      <c r="AQ626" s="68"/>
      <c r="AR626" s="67">
        <f t="shared" si="398"/>
        <v>77</v>
      </c>
      <c r="AS626" s="68" t="str">
        <f t="shared" si="399"/>
        <v>A</v>
      </c>
      <c r="AV626" s="49">
        <f t="shared" si="360"/>
        <v>0</v>
      </c>
      <c r="AW626" s="49">
        <f t="shared" si="361"/>
        <v>1</v>
      </c>
      <c r="AX626" s="49">
        <f t="shared" si="362"/>
        <v>0</v>
      </c>
      <c r="AY626" s="49">
        <f t="shared" si="363"/>
        <v>0</v>
      </c>
      <c r="AZ626" s="49">
        <f t="shared" si="364"/>
        <v>0</v>
      </c>
      <c r="BA626" s="49">
        <f t="shared" si="365"/>
        <v>1</v>
      </c>
      <c r="BB626" s="49">
        <f t="shared" si="366"/>
        <v>0</v>
      </c>
      <c r="BC626" s="49">
        <f t="shared" si="367"/>
        <v>0</v>
      </c>
      <c r="BD626" s="49">
        <f t="shared" si="368"/>
        <v>0</v>
      </c>
      <c r="BE626" s="49">
        <f t="shared" si="369"/>
        <v>1</v>
      </c>
      <c r="BF626" s="49">
        <f t="shared" si="370"/>
        <v>0</v>
      </c>
      <c r="BG626" s="49">
        <f t="shared" si="371"/>
        <v>0</v>
      </c>
      <c r="BH626" s="49">
        <f t="shared" si="372"/>
        <v>0</v>
      </c>
      <c r="BI626" s="49">
        <f t="shared" si="373"/>
        <v>1</v>
      </c>
      <c r="BJ626" s="49">
        <f t="shared" si="374"/>
        <v>0</v>
      </c>
      <c r="BK626" s="49">
        <f t="shared" si="375"/>
        <v>0</v>
      </c>
      <c r="BL626" s="49">
        <f t="shared" si="376"/>
        <v>0</v>
      </c>
      <c r="BM626" s="49">
        <f t="shared" si="377"/>
        <v>1</v>
      </c>
      <c r="BN626" s="49">
        <f t="shared" si="378"/>
        <v>0</v>
      </c>
      <c r="BO626" s="49">
        <f t="shared" si="379"/>
        <v>0</v>
      </c>
      <c r="BP626" s="49">
        <f t="shared" si="380"/>
        <v>0</v>
      </c>
      <c r="BQ626" s="49">
        <f t="shared" si="381"/>
        <v>1</v>
      </c>
      <c r="BR626" s="49">
        <f t="shared" si="382"/>
        <v>0</v>
      </c>
      <c r="BS626" s="49">
        <f t="shared" si="383"/>
        <v>0</v>
      </c>
      <c r="BT626" s="49">
        <f t="shared" si="384"/>
        <v>0</v>
      </c>
      <c r="BU626" s="49">
        <f t="shared" si="385"/>
        <v>1</v>
      </c>
      <c r="BV626" s="49">
        <f t="shared" si="386"/>
        <v>0</v>
      </c>
      <c r="BW626" s="49">
        <f t="shared" si="387"/>
        <v>0</v>
      </c>
      <c r="BX626" s="49">
        <f t="shared" si="388"/>
        <v>0</v>
      </c>
      <c r="BY626" s="49">
        <f t="shared" si="389"/>
        <v>1</v>
      </c>
      <c r="BZ626" s="49">
        <f t="shared" si="390"/>
        <v>0</v>
      </c>
      <c r="CA626" s="49">
        <f t="shared" si="391"/>
        <v>0</v>
      </c>
      <c r="CB626" s="49">
        <f t="shared" si="392"/>
        <v>0</v>
      </c>
      <c r="CC626" s="49">
        <f t="shared" si="393"/>
        <v>1</v>
      </c>
      <c r="CD626" s="49">
        <f t="shared" si="394"/>
        <v>0</v>
      </c>
      <c r="CE626" s="49">
        <f t="shared" si="395"/>
        <v>0</v>
      </c>
    </row>
    <row r="627" spans="1:83" ht="35.1" customHeight="1" x14ac:dyDescent="0.3">
      <c r="A627" s="123" t="e">
        <f t="shared" si="396"/>
        <v>#N/A</v>
      </c>
      <c r="B627" s="69">
        <f t="shared" si="397"/>
        <v>621</v>
      </c>
      <c r="C627" s="120" t="e">
        <f>IF(VLOOKUP($B627,'1. 현장별 인원현황'!$C:$J,2,0)=0,"",VLOOKUP($B627,'1. 현장별 인원현황'!$C:$J,2,0))</f>
        <v>#N/A</v>
      </c>
      <c r="D627" s="70" t="e">
        <f>IF(VLOOKUP($B627,'1. 현장별 인원현황'!$C:$J,3,0)=0,"",VLOOKUP($B627,'1. 현장별 인원현황'!$C:$J,3,0))</f>
        <v>#N/A</v>
      </c>
      <c r="E627" s="74" t="e">
        <f>IF(VLOOKUP($B627,'1. 현장별 인원현황'!$C:$J,4,0)=0,"",VLOOKUP($B627,'1. 현장별 인원현황'!$C:$J,4,0))</f>
        <v>#N/A</v>
      </c>
      <c r="F627" s="70" t="e">
        <f>IF(VLOOKUP($B627,'1. 현장별 인원현황'!$C:$J,7,0)=0,"",VLOOKUP($B627,'1. 현장별 인원현황'!$C:$J,7,0))</f>
        <v>#N/A</v>
      </c>
      <c r="G627" s="72" t="e">
        <f>IF(VLOOKUP($B627,'1. 현장별 인원현황'!$C:$J,8,0)=0,"",VLOOKUP($B627,'1. 현장별 인원현황'!$C:$J,8,0))</f>
        <v>#N/A</v>
      </c>
      <c r="H627" s="67"/>
      <c r="I627" s="73" t="s">
        <v>69</v>
      </c>
      <c r="J627" s="73"/>
      <c r="K627" s="68"/>
      <c r="L627" s="67"/>
      <c r="M627" s="73" t="s">
        <v>69</v>
      </c>
      <c r="N627" s="73"/>
      <c r="O627" s="68"/>
      <c r="P627" s="67"/>
      <c r="Q627" s="73" t="s">
        <v>69</v>
      </c>
      <c r="R627" s="73"/>
      <c r="S627" s="68"/>
      <c r="T627" s="67"/>
      <c r="U627" s="73" t="s">
        <v>69</v>
      </c>
      <c r="V627" s="73"/>
      <c r="W627" s="68"/>
      <c r="X627" s="67"/>
      <c r="Y627" s="73" t="s">
        <v>69</v>
      </c>
      <c r="Z627" s="73"/>
      <c r="AA627" s="68"/>
      <c r="AB627" s="67" t="s">
        <v>69</v>
      </c>
      <c r="AC627" s="73"/>
      <c r="AD627" s="73"/>
      <c r="AE627" s="68"/>
      <c r="AF627" s="67"/>
      <c r="AG627" s="73" t="s">
        <v>69</v>
      </c>
      <c r="AH627" s="73"/>
      <c r="AI627" s="68"/>
      <c r="AJ627" s="67"/>
      <c r="AK627" s="73" t="s">
        <v>69</v>
      </c>
      <c r="AL627" s="73"/>
      <c r="AM627" s="68"/>
      <c r="AN627" s="73" t="s">
        <v>69</v>
      </c>
      <c r="AO627" s="73"/>
      <c r="AP627" s="73"/>
      <c r="AQ627" s="68"/>
      <c r="AR627" s="67">
        <f t="shared" si="398"/>
        <v>82</v>
      </c>
      <c r="AS627" s="68" t="str">
        <f t="shared" si="399"/>
        <v>A</v>
      </c>
      <c r="AV627" s="49">
        <f t="shared" si="360"/>
        <v>0</v>
      </c>
      <c r="AW627" s="49">
        <f t="shared" si="361"/>
        <v>1</v>
      </c>
      <c r="AX627" s="49">
        <f t="shared" si="362"/>
        <v>0</v>
      </c>
      <c r="AY627" s="49">
        <f t="shared" si="363"/>
        <v>0</v>
      </c>
      <c r="AZ627" s="49">
        <f t="shared" si="364"/>
        <v>0</v>
      </c>
      <c r="BA627" s="49">
        <f t="shared" si="365"/>
        <v>1</v>
      </c>
      <c r="BB627" s="49">
        <f t="shared" si="366"/>
        <v>0</v>
      </c>
      <c r="BC627" s="49">
        <f t="shared" si="367"/>
        <v>0</v>
      </c>
      <c r="BD627" s="49">
        <f t="shared" si="368"/>
        <v>0</v>
      </c>
      <c r="BE627" s="49">
        <f t="shared" si="369"/>
        <v>1</v>
      </c>
      <c r="BF627" s="49">
        <f t="shared" si="370"/>
        <v>0</v>
      </c>
      <c r="BG627" s="49">
        <f t="shared" si="371"/>
        <v>0</v>
      </c>
      <c r="BH627" s="49">
        <f t="shared" si="372"/>
        <v>0</v>
      </c>
      <c r="BI627" s="49">
        <f t="shared" si="373"/>
        <v>1</v>
      </c>
      <c r="BJ627" s="49">
        <f t="shared" si="374"/>
        <v>0</v>
      </c>
      <c r="BK627" s="49">
        <f t="shared" si="375"/>
        <v>0</v>
      </c>
      <c r="BL627" s="49">
        <f t="shared" si="376"/>
        <v>0</v>
      </c>
      <c r="BM627" s="49">
        <f t="shared" si="377"/>
        <v>1</v>
      </c>
      <c r="BN627" s="49">
        <f t="shared" si="378"/>
        <v>0</v>
      </c>
      <c r="BO627" s="49">
        <f t="shared" si="379"/>
        <v>0</v>
      </c>
      <c r="BP627" s="49">
        <f t="shared" si="380"/>
        <v>1</v>
      </c>
      <c r="BQ627" s="49">
        <f t="shared" si="381"/>
        <v>0</v>
      </c>
      <c r="BR627" s="49">
        <f t="shared" si="382"/>
        <v>0</v>
      </c>
      <c r="BS627" s="49">
        <f t="shared" si="383"/>
        <v>0</v>
      </c>
      <c r="BT627" s="49">
        <f t="shared" si="384"/>
        <v>0</v>
      </c>
      <c r="BU627" s="49">
        <f t="shared" si="385"/>
        <v>1</v>
      </c>
      <c r="BV627" s="49">
        <f t="shared" si="386"/>
        <v>0</v>
      </c>
      <c r="BW627" s="49">
        <f t="shared" si="387"/>
        <v>0</v>
      </c>
      <c r="BX627" s="49">
        <f t="shared" si="388"/>
        <v>0</v>
      </c>
      <c r="BY627" s="49">
        <f t="shared" si="389"/>
        <v>1</v>
      </c>
      <c r="BZ627" s="49">
        <f t="shared" si="390"/>
        <v>0</v>
      </c>
      <c r="CA627" s="49">
        <f t="shared" si="391"/>
        <v>0</v>
      </c>
      <c r="CB627" s="49">
        <f t="shared" si="392"/>
        <v>1</v>
      </c>
      <c r="CC627" s="49">
        <f t="shared" si="393"/>
        <v>0</v>
      </c>
      <c r="CD627" s="49">
        <f t="shared" si="394"/>
        <v>0</v>
      </c>
      <c r="CE627" s="49">
        <f t="shared" si="395"/>
        <v>0</v>
      </c>
    </row>
    <row r="628" spans="1:83" ht="35.1" customHeight="1" x14ac:dyDescent="0.3">
      <c r="A628" s="123" t="e">
        <f t="shared" si="396"/>
        <v>#N/A</v>
      </c>
      <c r="B628" s="69">
        <f t="shared" si="397"/>
        <v>622</v>
      </c>
      <c r="C628" s="120" t="e">
        <f>IF(VLOOKUP($B628,'1. 현장별 인원현황'!$C:$J,2,0)=0,"",VLOOKUP($B628,'1. 현장별 인원현황'!$C:$J,2,0))</f>
        <v>#N/A</v>
      </c>
      <c r="D628" s="70" t="e">
        <f>IF(VLOOKUP($B628,'1. 현장별 인원현황'!$C:$J,3,0)=0,"",VLOOKUP($B628,'1. 현장별 인원현황'!$C:$J,3,0))</f>
        <v>#N/A</v>
      </c>
      <c r="E628" s="74" t="e">
        <f>IF(VLOOKUP($B628,'1. 현장별 인원현황'!$C:$J,4,0)=0,"",VLOOKUP($B628,'1. 현장별 인원현황'!$C:$J,4,0))</f>
        <v>#N/A</v>
      </c>
      <c r="F628" s="70" t="e">
        <f>IF(VLOOKUP($B628,'1. 현장별 인원현황'!$C:$J,7,0)=0,"",VLOOKUP($B628,'1. 현장별 인원현황'!$C:$J,7,0))</f>
        <v>#N/A</v>
      </c>
      <c r="G628" s="72" t="e">
        <f>IF(VLOOKUP($B628,'1. 현장별 인원현황'!$C:$J,8,0)=0,"",VLOOKUP($B628,'1. 현장별 인원현황'!$C:$J,8,0))</f>
        <v>#N/A</v>
      </c>
      <c r="H628" s="67"/>
      <c r="I628" s="73" t="s">
        <v>69</v>
      </c>
      <c r="J628" s="73"/>
      <c r="K628" s="68"/>
      <c r="L628" s="67"/>
      <c r="M628" s="73" t="s">
        <v>69</v>
      </c>
      <c r="N628" s="73"/>
      <c r="O628" s="68"/>
      <c r="P628" s="67"/>
      <c r="Q628" s="73" t="s">
        <v>69</v>
      </c>
      <c r="R628" s="73"/>
      <c r="S628" s="68"/>
      <c r="T628" s="67"/>
      <c r="U628" s="73" t="s">
        <v>69</v>
      </c>
      <c r="V628" s="73"/>
      <c r="W628" s="68"/>
      <c r="X628" s="67"/>
      <c r="Y628" s="73" t="s">
        <v>69</v>
      </c>
      <c r="Z628" s="73"/>
      <c r="AA628" s="68"/>
      <c r="AB628" s="67"/>
      <c r="AC628" s="73" t="s">
        <v>69</v>
      </c>
      <c r="AD628" s="73"/>
      <c r="AE628" s="68"/>
      <c r="AF628" s="67"/>
      <c r="AG628" s="73" t="s">
        <v>69</v>
      </c>
      <c r="AH628" s="73"/>
      <c r="AI628" s="68"/>
      <c r="AJ628" s="67"/>
      <c r="AK628" s="73" t="s">
        <v>69</v>
      </c>
      <c r="AL628" s="73"/>
      <c r="AM628" s="68"/>
      <c r="AN628" s="73" t="s">
        <v>69</v>
      </c>
      <c r="AO628" s="73"/>
      <c r="AP628" s="73"/>
      <c r="AQ628" s="68"/>
      <c r="AR628" s="67">
        <f t="shared" si="398"/>
        <v>80</v>
      </c>
      <c r="AS628" s="68" t="str">
        <f t="shared" si="399"/>
        <v>A</v>
      </c>
      <c r="AV628" s="49">
        <f t="shared" si="360"/>
        <v>0</v>
      </c>
      <c r="AW628" s="49">
        <f t="shared" si="361"/>
        <v>1</v>
      </c>
      <c r="AX628" s="49">
        <f t="shared" si="362"/>
        <v>0</v>
      </c>
      <c r="AY628" s="49">
        <f t="shared" si="363"/>
        <v>0</v>
      </c>
      <c r="AZ628" s="49">
        <f t="shared" si="364"/>
        <v>0</v>
      </c>
      <c r="BA628" s="49">
        <f t="shared" si="365"/>
        <v>1</v>
      </c>
      <c r="BB628" s="49">
        <f t="shared" si="366"/>
        <v>0</v>
      </c>
      <c r="BC628" s="49">
        <f t="shared" si="367"/>
        <v>0</v>
      </c>
      <c r="BD628" s="49">
        <f t="shared" si="368"/>
        <v>0</v>
      </c>
      <c r="BE628" s="49">
        <f t="shared" si="369"/>
        <v>1</v>
      </c>
      <c r="BF628" s="49">
        <f t="shared" si="370"/>
        <v>0</v>
      </c>
      <c r="BG628" s="49">
        <f t="shared" si="371"/>
        <v>0</v>
      </c>
      <c r="BH628" s="49">
        <f t="shared" si="372"/>
        <v>0</v>
      </c>
      <c r="BI628" s="49">
        <f t="shared" si="373"/>
        <v>1</v>
      </c>
      <c r="BJ628" s="49">
        <f t="shared" si="374"/>
        <v>0</v>
      </c>
      <c r="BK628" s="49">
        <f t="shared" si="375"/>
        <v>0</v>
      </c>
      <c r="BL628" s="49">
        <f t="shared" si="376"/>
        <v>0</v>
      </c>
      <c r="BM628" s="49">
        <f t="shared" si="377"/>
        <v>1</v>
      </c>
      <c r="BN628" s="49">
        <f t="shared" si="378"/>
        <v>0</v>
      </c>
      <c r="BO628" s="49">
        <f t="shared" si="379"/>
        <v>0</v>
      </c>
      <c r="BP628" s="49">
        <f t="shared" si="380"/>
        <v>0</v>
      </c>
      <c r="BQ628" s="49">
        <f t="shared" si="381"/>
        <v>1</v>
      </c>
      <c r="BR628" s="49">
        <f t="shared" si="382"/>
        <v>0</v>
      </c>
      <c r="BS628" s="49">
        <f t="shared" si="383"/>
        <v>0</v>
      </c>
      <c r="BT628" s="49">
        <f t="shared" si="384"/>
        <v>0</v>
      </c>
      <c r="BU628" s="49">
        <f t="shared" si="385"/>
        <v>1</v>
      </c>
      <c r="BV628" s="49">
        <f t="shared" si="386"/>
        <v>0</v>
      </c>
      <c r="BW628" s="49">
        <f t="shared" si="387"/>
        <v>0</v>
      </c>
      <c r="BX628" s="49">
        <f t="shared" si="388"/>
        <v>0</v>
      </c>
      <c r="BY628" s="49">
        <f t="shared" si="389"/>
        <v>1</v>
      </c>
      <c r="BZ628" s="49">
        <f t="shared" si="390"/>
        <v>0</v>
      </c>
      <c r="CA628" s="49">
        <f t="shared" si="391"/>
        <v>0</v>
      </c>
      <c r="CB628" s="49">
        <f t="shared" si="392"/>
        <v>1</v>
      </c>
      <c r="CC628" s="49">
        <f t="shared" si="393"/>
        <v>0</v>
      </c>
      <c r="CD628" s="49">
        <f t="shared" si="394"/>
        <v>0</v>
      </c>
      <c r="CE628" s="49">
        <f t="shared" si="395"/>
        <v>0</v>
      </c>
    </row>
    <row r="629" spans="1:83" ht="35.1" customHeight="1" x14ac:dyDescent="0.3">
      <c r="A629" s="123" t="e">
        <f t="shared" si="396"/>
        <v>#N/A</v>
      </c>
      <c r="B629" s="69">
        <f t="shared" si="397"/>
        <v>623</v>
      </c>
      <c r="C629" s="120" t="e">
        <f>IF(VLOOKUP($B629,'1. 현장별 인원현황'!$C:$J,2,0)=0,"",VLOOKUP($B629,'1. 현장별 인원현황'!$C:$J,2,0))</f>
        <v>#N/A</v>
      </c>
      <c r="D629" s="70" t="e">
        <f>IF(VLOOKUP($B629,'1. 현장별 인원현황'!$C:$J,3,0)=0,"",VLOOKUP($B629,'1. 현장별 인원현황'!$C:$J,3,0))</f>
        <v>#N/A</v>
      </c>
      <c r="E629" s="74" t="e">
        <f>IF(VLOOKUP($B629,'1. 현장별 인원현황'!$C:$J,4,0)=0,"",VLOOKUP($B629,'1. 현장별 인원현황'!$C:$J,4,0))</f>
        <v>#N/A</v>
      </c>
      <c r="F629" s="70" t="e">
        <f>IF(VLOOKUP($B629,'1. 현장별 인원현황'!$C:$J,7,0)=0,"",VLOOKUP($B629,'1. 현장별 인원현황'!$C:$J,7,0))</f>
        <v>#N/A</v>
      </c>
      <c r="G629" s="72" t="e">
        <f>IF(VLOOKUP($B629,'1. 현장별 인원현황'!$C:$J,8,0)=0,"",VLOOKUP($B629,'1. 현장별 인원현황'!$C:$J,8,0))</f>
        <v>#N/A</v>
      </c>
      <c r="H629" s="67" t="s">
        <v>69</v>
      </c>
      <c r="I629" s="73"/>
      <c r="J629" s="73"/>
      <c r="K629" s="68"/>
      <c r="L629" s="67" t="s">
        <v>69</v>
      </c>
      <c r="M629" s="73"/>
      <c r="N629" s="73"/>
      <c r="O629" s="68"/>
      <c r="P629" s="67" t="s">
        <v>69</v>
      </c>
      <c r="Q629" s="73"/>
      <c r="R629" s="73"/>
      <c r="S629" s="68"/>
      <c r="T629" s="67"/>
      <c r="U629" s="73" t="s">
        <v>69</v>
      </c>
      <c r="V629" s="73"/>
      <c r="W629" s="68"/>
      <c r="X629" s="67"/>
      <c r="Y629" s="73" t="s">
        <v>69</v>
      </c>
      <c r="Z629" s="73"/>
      <c r="AA629" s="68"/>
      <c r="AB629" s="67" t="s">
        <v>69</v>
      </c>
      <c r="AC629" s="73"/>
      <c r="AD629" s="73"/>
      <c r="AE629" s="68"/>
      <c r="AF629" s="67"/>
      <c r="AG629" s="73" t="s">
        <v>69</v>
      </c>
      <c r="AH629" s="73"/>
      <c r="AI629" s="68"/>
      <c r="AJ629" s="67"/>
      <c r="AK629" s="73" t="s">
        <v>69</v>
      </c>
      <c r="AL629" s="73"/>
      <c r="AM629" s="68"/>
      <c r="AN629" s="73" t="s">
        <v>69</v>
      </c>
      <c r="AO629" s="73"/>
      <c r="AP629" s="73"/>
      <c r="AQ629" s="68"/>
      <c r="AR629" s="67">
        <f t="shared" si="398"/>
        <v>91</v>
      </c>
      <c r="AS629" s="68" t="str">
        <f t="shared" si="399"/>
        <v>S</v>
      </c>
      <c r="AV629" s="49">
        <f t="shared" si="360"/>
        <v>1</v>
      </c>
      <c r="AW629" s="49">
        <f t="shared" si="361"/>
        <v>0</v>
      </c>
      <c r="AX629" s="49">
        <f t="shared" si="362"/>
        <v>0</v>
      </c>
      <c r="AY629" s="49">
        <f t="shared" si="363"/>
        <v>0</v>
      </c>
      <c r="AZ629" s="49">
        <f t="shared" si="364"/>
        <v>1</v>
      </c>
      <c r="BA629" s="49">
        <f t="shared" si="365"/>
        <v>0</v>
      </c>
      <c r="BB629" s="49">
        <f t="shared" si="366"/>
        <v>0</v>
      </c>
      <c r="BC629" s="49">
        <f t="shared" si="367"/>
        <v>0</v>
      </c>
      <c r="BD629" s="49">
        <f t="shared" si="368"/>
        <v>1</v>
      </c>
      <c r="BE629" s="49">
        <f t="shared" si="369"/>
        <v>0</v>
      </c>
      <c r="BF629" s="49">
        <f t="shared" si="370"/>
        <v>0</v>
      </c>
      <c r="BG629" s="49">
        <f t="shared" si="371"/>
        <v>0</v>
      </c>
      <c r="BH629" s="49">
        <f t="shared" si="372"/>
        <v>0</v>
      </c>
      <c r="BI629" s="49">
        <f t="shared" si="373"/>
        <v>1</v>
      </c>
      <c r="BJ629" s="49">
        <f t="shared" si="374"/>
        <v>0</v>
      </c>
      <c r="BK629" s="49">
        <f t="shared" si="375"/>
        <v>0</v>
      </c>
      <c r="BL629" s="49">
        <f t="shared" si="376"/>
        <v>0</v>
      </c>
      <c r="BM629" s="49">
        <f t="shared" si="377"/>
        <v>1</v>
      </c>
      <c r="BN629" s="49">
        <f t="shared" si="378"/>
        <v>0</v>
      </c>
      <c r="BO629" s="49">
        <f t="shared" si="379"/>
        <v>0</v>
      </c>
      <c r="BP629" s="49">
        <f t="shared" si="380"/>
        <v>1</v>
      </c>
      <c r="BQ629" s="49">
        <f t="shared" si="381"/>
        <v>0</v>
      </c>
      <c r="BR629" s="49">
        <f t="shared" si="382"/>
        <v>0</v>
      </c>
      <c r="BS629" s="49">
        <f t="shared" si="383"/>
        <v>0</v>
      </c>
      <c r="BT629" s="49">
        <f t="shared" si="384"/>
        <v>0</v>
      </c>
      <c r="BU629" s="49">
        <f t="shared" si="385"/>
        <v>1</v>
      </c>
      <c r="BV629" s="49">
        <f t="shared" si="386"/>
        <v>0</v>
      </c>
      <c r="BW629" s="49">
        <f t="shared" si="387"/>
        <v>0</v>
      </c>
      <c r="BX629" s="49">
        <f t="shared" si="388"/>
        <v>0</v>
      </c>
      <c r="BY629" s="49">
        <f t="shared" si="389"/>
        <v>1</v>
      </c>
      <c r="BZ629" s="49">
        <f t="shared" si="390"/>
        <v>0</v>
      </c>
      <c r="CA629" s="49">
        <f t="shared" si="391"/>
        <v>0</v>
      </c>
      <c r="CB629" s="49">
        <f t="shared" si="392"/>
        <v>1</v>
      </c>
      <c r="CC629" s="49">
        <f t="shared" si="393"/>
        <v>0</v>
      </c>
      <c r="CD629" s="49">
        <f t="shared" si="394"/>
        <v>0</v>
      </c>
      <c r="CE629" s="49">
        <f t="shared" si="395"/>
        <v>0</v>
      </c>
    </row>
    <row r="630" spans="1:83" ht="35.1" customHeight="1" x14ac:dyDescent="0.3">
      <c r="A630" s="123" t="e">
        <f t="shared" si="396"/>
        <v>#N/A</v>
      </c>
      <c r="B630" s="69">
        <f t="shared" si="397"/>
        <v>624</v>
      </c>
      <c r="C630" s="120" t="e">
        <f>IF(VLOOKUP($B630,'1. 현장별 인원현황'!$C:$J,2,0)=0,"",VLOOKUP($B630,'1. 현장별 인원현황'!$C:$J,2,0))</f>
        <v>#N/A</v>
      </c>
      <c r="D630" s="70" t="e">
        <f>IF(VLOOKUP($B630,'1. 현장별 인원현황'!$C:$J,3,0)=0,"",VLOOKUP($B630,'1. 현장별 인원현황'!$C:$J,3,0))</f>
        <v>#N/A</v>
      </c>
      <c r="E630" s="74" t="e">
        <f>IF(VLOOKUP($B630,'1. 현장별 인원현황'!$C:$J,4,0)=0,"",VLOOKUP($B630,'1. 현장별 인원현황'!$C:$J,4,0))</f>
        <v>#N/A</v>
      </c>
      <c r="F630" s="70" t="e">
        <f>IF(VLOOKUP($B630,'1. 현장별 인원현황'!$C:$J,7,0)=0,"",VLOOKUP($B630,'1. 현장별 인원현황'!$C:$J,7,0))</f>
        <v>#N/A</v>
      </c>
      <c r="G630" s="72" t="e">
        <f>IF(VLOOKUP($B630,'1. 현장별 인원현황'!$C:$J,8,0)=0,"",VLOOKUP($B630,'1. 현장별 인원현황'!$C:$J,8,0))</f>
        <v>#N/A</v>
      </c>
      <c r="H630" s="67"/>
      <c r="I630" s="73" t="s">
        <v>69</v>
      </c>
      <c r="J630" s="73"/>
      <c r="K630" s="68"/>
      <c r="L630" s="67"/>
      <c r="M630" s="73" t="s">
        <v>69</v>
      </c>
      <c r="N630" s="73"/>
      <c r="O630" s="68"/>
      <c r="P630" s="67"/>
      <c r="Q630" s="73" t="s">
        <v>69</v>
      </c>
      <c r="R630" s="73"/>
      <c r="S630" s="68"/>
      <c r="T630" s="67"/>
      <c r="U630" s="73" t="s">
        <v>69</v>
      </c>
      <c r="V630" s="73"/>
      <c r="W630" s="68"/>
      <c r="X630" s="67"/>
      <c r="Y630" s="73" t="s">
        <v>69</v>
      </c>
      <c r="Z630" s="73"/>
      <c r="AA630" s="68"/>
      <c r="AB630" s="67"/>
      <c r="AC630" s="73" t="s">
        <v>69</v>
      </c>
      <c r="AD630" s="73"/>
      <c r="AE630" s="68"/>
      <c r="AF630" s="67"/>
      <c r="AG630" s="73" t="s">
        <v>69</v>
      </c>
      <c r="AH630" s="73"/>
      <c r="AI630" s="68"/>
      <c r="AJ630" s="67"/>
      <c r="AK630" s="73" t="s">
        <v>69</v>
      </c>
      <c r="AL630" s="73"/>
      <c r="AM630" s="68"/>
      <c r="AN630" s="73" t="s">
        <v>69</v>
      </c>
      <c r="AO630" s="73"/>
      <c r="AP630" s="73"/>
      <c r="AQ630" s="68"/>
      <c r="AR630" s="67">
        <f t="shared" si="398"/>
        <v>80</v>
      </c>
      <c r="AS630" s="68" t="str">
        <f t="shared" si="399"/>
        <v>A</v>
      </c>
      <c r="AV630" s="49">
        <f t="shared" si="360"/>
        <v>0</v>
      </c>
      <c r="AW630" s="49">
        <f t="shared" si="361"/>
        <v>1</v>
      </c>
      <c r="AX630" s="49">
        <f t="shared" si="362"/>
        <v>0</v>
      </c>
      <c r="AY630" s="49">
        <f t="shared" si="363"/>
        <v>0</v>
      </c>
      <c r="AZ630" s="49">
        <f t="shared" si="364"/>
        <v>0</v>
      </c>
      <c r="BA630" s="49">
        <f t="shared" si="365"/>
        <v>1</v>
      </c>
      <c r="BB630" s="49">
        <f t="shared" si="366"/>
        <v>0</v>
      </c>
      <c r="BC630" s="49">
        <f t="shared" si="367"/>
        <v>0</v>
      </c>
      <c r="BD630" s="49">
        <f t="shared" si="368"/>
        <v>0</v>
      </c>
      <c r="BE630" s="49">
        <f t="shared" si="369"/>
        <v>1</v>
      </c>
      <c r="BF630" s="49">
        <f t="shared" si="370"/>
        <v>0</v>
      </c>
      <c r="BG630" s="49">
        <f t="shared" si="371"/>
        <v>0</v>
      </c>
      <c r="BH630" s="49">
        <f t="shared" si="372"/>
        <v>0</v>
      </c>
      <c r="BI630" s="49">
        <f t="shared" si="373"/>
        <v>1</v>
      </c>
      <c r="BJ630" s="49">
        <f t="shared" si="374"/>
        <v>0</v>
      </c>
      <c r="BK630" s="49">
        <f t="shared" si="375"/>
        <v>0</v>
      </c>
      <c r="BL630" s="49">
        <f t="shared" si="376"/>
        <v>0</v>
      </c>
      <c r="BM630" s="49">
        <f t="shared" si="377"/>
        <v>1</v>
      </c>
      <c r="BN630" s="49">
        <f t="shared" si="378"/>
        <v>0</v>
      </c>
      <c r="BO630" s="49">
        <f t="shared" si="379"/>
        <v>0</v>
      </c>
      <c r="BP630" s="49">
        <f t="shared" si="380"/>
        <v>0</v>
      </c>
      <c r="BQ630" s="49">
        <f t="shared" si="381"/>
        <v>1</v>
      </c>
      <c r="BR630" s="49">
        <f t="shared" si="382"/>
        <v>0</v>
      </c>
      <c r="BS630" s="49">
        <f t="shared" si="383"/>
        <v>0</v>
      </c>
      <c r="BT630" s="49">
        <f t="shared" si="384"/>
        <v>0</v>
      </c>
      <c r="BU630" s="49">
        <f t="shared" si="385"/>
        <v>1</v>
      </c>
      <c r="BV630" s="49">
        <f t="shared" si="386"/>
        <v>0</v>
      </c>
      <c r="BW630" s="49">
        <f t="shared" si="387"/>
        <v>0</v>
      </c>
      <c r="BX630" s="49">
        <f t="shared" si="388"/>
        <v>0</v>
      </c>
      <c r="BY630" s="49">
        <f t="shared" si="389"/>
        <v>1</v>
      </c>
      <c r="BZ630" s="49">
        <f t="shared" si="390"/>
        <v>0</v>
      </c>
      <c r="CA630" s="49">
        <f t="shared" si="391"/>
        <v>0</v>
      </c>
      <c r="CB630" s="49">
        <f t="shared" si="392"/>
        <v>1</v>
      </c>
      <c r="CC630" s="49">
        <f t="shared" si="393"/>
        <v>0</v>
      </c>
      <c r="CD630" s="49">
        <f t="shared" si="394"/>
        <v>0</v>
      </c>
      <c r="CE630" s="49">
        <f t="shared" si="395"/>
        <v>0</v>
      </c>
    </row>
    <row r="631" spans="1:83" ht="35.1" customHeight="1" x14ac:dyDescent="0.3">
      <c r="A631" s="123" t="e">
        <f t="shared" si="396"/>
        <v>#N/A</v>
      </c>
      <c r="B631" s="69">
        <f t="shared" si="397"/>
        <v>625</v>
      </c>
      <c r="C631" s="120" t="e">
        <f>IF(VLOOKUP($B631,'1. 현장별 인원현황'!$C:$J,2,0)=0,"",VLOOKUP($B631,'1. 현장별 인원현황'!$C:$J,2,0))</f>
        <v>#N/A</v>
      </c>
      <c r="D631" s="70" t="e">
        <f>IF(VLOOKUP($B631,'1. 현장별 인원현황'!$C:$J,3,0)=0,"",VLOOKUP($B631,'1. 현장별 인원현황'!$C:$J,3,0))</f>
        <v>#N/A</v>
      </c>
      <c r="E631" s="74" t="e">
        <f>IF(VLOOKUP($B631,'1. 현장별 인원현황'!$C:$J,4,0)=0,"",VLOOKUP($B631,'1. 현장별 인원현황'!$C:$J,4,0))</f>
        <v>#N/A</v>
      </c>
      <c r="F631" s="70" t="e">
        <f>IF(VLOOKUP($B631,'1. 현장별 인원현황'!$C:$J,7,0)=0,"",VLOOKUP($B631,'1. 현장별 인원현황'!$C:$J,7,0))</f>
        <v>#N/A</v>
      </c>
      <c r="G631" s="72" t="e">
        <f>IF(VLOOKUP($B631,'1. 현장별 인원현황'!$C:$J,8,0)=0,"",VLOOKUP($B631,'1. 현장별 인원현황'!$C:$J,8,0))</f>
        <v>#N/A</v>
      </c>
      <c r="H631" s="67"/>
      <c r="I631" s="73" t="s">
        <v>69</v>
      </c>
      <c r="J631" s="73"/>
      <c r="K631" s="68"/>
      <c r="L631" s="67"/>
      <c r="M631" s="73" t="s">
        <v>69</v>
      </c>
      <c r="N631" s="73"/>
      <c r="O631" s="68"/>
      <c r="P631" s="67"/>
      <c r="Q631" s="73" t="s">
        <v>69</v>
      </c>
      <c r="R631" s="73"/>
      <c r="S631" s="68"/>
      <c r="T631" s="67"/>
      <c r="U631" s="73" t="s">
        <v>69</v>
      </c>
      <c r="V631" s="73"/>
      <c r="W631" s="68"/>
      <c r="X631" s="67"/>
      <c r="Y631" s="73" t="s">
        <v>69</v>
      </c>
      <c r="Z631" s="73"/>
      <c r="AA631" s="68"/>
      <c r="AB631" s="67"/>
      <c r="AC631" s="73" t="s">
        <v>69</v>
      </c>
      <c r="AD631" s="73"/>
      <c r="AE631" s="68"/>
      <c r="AF631" s="67"/>
      <c r="AG631" s="73" t="s">
        <v>69</v>
      </c>
      <c r="AH631" s="73"/>
      <c r="AI631" s="68"/>
      <c r="AJ631" s="67"/>
      <c r="AK631" s="73" t="s">
        <v>69</v>
      </c>
      <c r="AL631" s="73"/>
      <c r="AM631" s="68"/>
      <c r="AN631" s="73" t="s">
        <v>69</v>
      </c>
      <c r="AO631" s="73"/>
      <c r="AP631" s="73"/>
      <c r="AQ631" s="68"/>
      <c r="AR631" s="67">
        <f t="shared" si="398"/>
        <v>80</v>
      </c>
      <c r="AS631" s="68" t="str">
        <f t="shared" si="399"/>
        <v>A</v>
      </c>
      <c r="AV631" s="49">
        <f t="shared" si="360"/>
        <v>0</v>
      </c>
      <c r="AW631" s="49">
        <f t="shared" si="361"/>
        <v>1</v>
      </c>
      <c r="AX631" s="49">
        <f t="shared" si="362"/>
        <v>0</v>
      </c>
      <c r="AY631" s="49">
        <f t="shared" si="363"/>
        <v>0</v>
      </c>
      <c r="AZ631" s="49">
        <f t="shared" si="364"/>
        <v>0</v>
      </c>
      <c r="BA631" s="49">
        <f t="shared" si="365"/>
        <v>1</v>
      </c>
      <c r="BB631" s="49">
        <f t="shared" si="366"/>
        <v>0</v>
      </c>
      <c r="BC631" s="49">
        <f t="shared" si="367"/>
        <v>0</v>
      </c>
      <c r="BD631" s="49">
        <f t="shared" si="368"/>
        <v>0</v>
      </c>
      <c r="BE631" s="49">
        <f t="shared" si="369"/>
        <v>1</v>
      </c>
      <c r="BF631" s="49">
        <f t="shared" si="370"/>
        <v>0</v>
      </c>
      <c r="BG631" s="49">
        <f t="shared" si="371"/>
        <v>0</v>
      </c>
      <c r="BH631" s="49">
        <f t="shared" si="372"/>
        <v>0</v>
      </c>
      <c r="BI631" s="49">
        <f t="shared" si="373"/>
        <v>1</v>
      </c>
      <c r="BJ631" s="49">
        <f t="shared" si="374"/>
        <v>0</v>
      </c>
      <c r="BK631" s="49">
        <f t="shared" si="375"/>
        <v>0</v>
      </c>
      <c r="BL631" s="49">
        <f t="shared" si="376"/>
        <v>0</v>
      </c>
      <c r="BM631" s="49">
        <f t="shared" si="377"/>
        <v>1</v>
      </c>
      <c r="BN631" s="49">
        <f t="shared" si="378"/>
        <v>0</v>
      </c>
      <c r="BO631" s="49">
        <f t="shared" si="379"/>
        <v>0</v>
      </c>
      <c r="BP631" s="49">
        <f t="shared" si="380"/>
        <v>0</v>
      </c>
      <c r="BQ631" s="49">
        <f t="shared" si="381"/>
        <v>1</v>
      </c>
      <c r="BR631" s="49">
        <f t="shared" si="382"/>
        <v>0</v>
      </c>
      <c r="BS631" s="49">
        <f t="shared" si="383"/>
        <v>0</v>
      </c>
      <c r="BT631" s="49">
        <f t="shared" si="384"/>
        <v>0</v>
      </c>
      <c r="BU631" s="49">
        <f t="shared" si="385"/>
        <v>1</v>
      </c>
      <c r="BV631" s="49">
        <f t="shared" si="386"/>
        <v>0</v>
      </c>
      <c r="BW631" s="49">
        <f t="shared" si="387"/>
        <v>0</v>
      </c>
      <c r="BX631" s="49">
        <f t="shared" si="388"/>
        <v>0</v>
      </c>
      <c r="BY631" s="49">
        <f t="shared" si="389"/>
        <v>1</v>
      </c>
      <c r="BZ631" s="49">
        <f t="shared" si="390"/>
        <v>0</v>
      </c>
      <c r="CA631" s="49">
        <f t="shared" si="391"/>
        <v>0</v>
      </c>
      <c r="CB631" s="49">
        <f t="shared" si="392"/>
        <v>1</v>
      </c>
      <c r="CC631" s="49">
        <f t="shared" si="393"/>
        <v>0</v>
      </c>
      <c r="CD631" s="49">
        <f t="shared" si="394"/>
        <v>0</v>
      </c>
      <c r="CE631" s="49">
        <f t="shared" si="395"/>
        <v>0</v>
      </c>
    </row>
    <row r="632" spans="1:83" ht="35.1" customHeight="1" x14ac:dyDescent="0.3">
      <c r="A632" s="123" t="e">
        <f t="shared" si="396"/>
        <v>#N/A</v>
      </c>
      <c r="B632" s="69">
        <f t="shared" si="397"/>
        <v>626</v>
      </c>
      <c r="C632" s="120" t="e">
        <f>IF(VLOOKUP($B632,'1. 현장별 인원현황'!$C:$J,2,0)=0,"",VLOOKUP($B632,'1. 현장별 인원현황'!$C:$J,2,0))</f>
        <v>#N/A</v>
      </c>
      <c r="D632" s="70" t="e">
        <f>IF(VLOOKUP($B632,'1. 현장별 인원현황'!$C:$J,3,0)=0,"",VLOOKUP($B632,'1. 현장별 인원현황'!$C:$J,3,0))</f>
        <v>#N/A</v>
      </c>
      <c r="E632" s="74" t="e">
        <f>IF(VLOOKUP($B632,'1. 현장별 인원현황'!$C:$J,4,0)=0,"",VLOOKUP($B632,'1. 현장별 인원현황'!$C:$J,4,0))</f>
        <v>#N/A</v>
      </c>
      <c r="F632" s="70" t="e">
        <f>IF(VLOOKUP($B632,'1. 현장별 인원현황'!$C:$J,7,0)=0,"",VLOOKUP($B632,'1. 현장별 인원현황'!$C:$J,7,0))</f>
        <v>#N/A</v>
      </c>
      <c r="G632" s="72" t="e">
        <f>IF(VLOOKUP($B632,'1. 현장별 인원현황'!$C:$J,8,0)=0,"",VLOOKUP($B632,'1. 현장별 인원현황'!$C:$J,8,0))</f>
        <v>#N/A</v>
      </c>
      <c r="H632" s="67"/>
      <c r="I632" s="73" t="s">
        <v>69</v>
      </c>
      <c r="J632" s="73"/>
      <c r="K632" s="68"/>
      <c r="L632" s="67"/>
      <c r="M632" s="73" t="s">
        <v>69</v>
      </c>
      <c r="N632" s="73"/>
      <c r="O632" s="68"/>
      <c r="P632" s="67"/>
      <c r="Q632" s="73" t="s">
        <v>69</v>
      </c>
      <c r="R632" s="73"/>
      <c r="S632" s="68"/>
      <c r="T632" s="67"/>
      <c r="U632" s="73" t="s">
        <v>69</v>
      </c>
      <c r="V632" s="73"/>
      <c r="W632" s="68"/>
      <c r="X632" s="67"/>
      <c r="Y632" s="73" t="s">
        <v>69</v>
      </c>
      <c r="Z632" s="73"/>
      <c r="AA632" s="68"/>
      <c r="AB632" s="67"/>
      <c r="AC632" s="73" t="s">
        <v>69</v>
      </c>
      <c r="AD632" s="73"/>
      <c r="AE632" s="68"/>
      <c r="AF632" s="67"/>
      <c r="AG632" s="73" t="s">
        <v>69</v>
      </c>
      <c r="AH632" s="73"/>
      <c r="AI632" s="68"/>
      <c r="AJ632" s="67"/>
      <c r="AK632" s="73" t="s">
        <v>69</v>
      </c>
      <c r="AL632" s="73"/>
      <c r="AM632" s="68"/>
      <c r="AN632" s="73" t="s">
        <v>69</v>
      </c>
      <c r="AO632" s="73"/>
      <c r="AP632" s="73"/>
      <c r="AQ632" s="68"/>
      <c r="AR632" s="67">
        <f t="shared" si="398"/>
        <v>80</v>
      </c>
      <c r="AS632" s="68" t="str">
        <f t="shared" si="399"/>
        <v>A</v>
      </c>
      <c r="AV632" s="49">
        <f t="shared" si="360"/>
        <v>0</v>
      </c>
      <c r="AW632" s="49">
        <f t="shared" si="361"/>
        <v>1</v>
      </c>
      <c r="AX632" s="49">
        <f t="shared" si="362"/>
        <v>0</v>
      </c>
      <c r="AY632" s="49">
        <f t="shared" si="363"/>
        <v>0</v>
      </c>
      <c r="AZ632" s="49">
        <f t="shared" si="364"/>
        <v>0</v>
      </c>
      <c r="BA632" s="49">
        <f t="shared" si="365"/>
        <v>1</v>
      </c>
      <c r="BB632" s="49">
        <f t="shared" si="366"/>
        <v>0</v>
      </c>
      <c r="BC632" s="49">
        <f t="shared" si="367"/>
        <v>0</v>
      </c>
      <c r="BD632" s="49">
        <f t="shared" si="368"/>
        <v>0</v>
      </c>
      <c r="BE632" s="49">
        <f t="shared" si="369"/>
        <v>1</v>
      </c>
      <c r="BF632" s="49">
        <f t="shared" si="370"/>
        <v>0</v>
      </c>
      <c r="BG632" s="49">
        <f t="shared" si="371"/>
        <v>0</v>
      </c>
      <c r="BH632" s="49">
        <f t="shared" si="372"/>
        <v>0</v>
      </c>
      <c r="BI632" s="49">
        <f t="shared" si="373"/>
        <v>1</v>
      </c>
      <c r="BJ632" s="49">
        <f t="shared" si="374"/>
        <v>0</v>
      </c>
      <c r="BK632" s="49">
        <f t="shared" si="375"/>
        <v>0</v>
      </c>
      <c r="BL632" s="49">
        <f t="shared" si="376"/>
        <v>0</v>
      </c>
      <c r="BM632" s="49">
        <f t="shared" si="377"/>
        <v>1</v>
      </c>
      <c r="BN632" s="49">
        <f t="shared" si="378"/>
        <v>0</v>
      </c>
      <c r="BO632" s="49">
        <f t="shared" si="379"/>
        <v>0</v>
      </c>
      <c r="BP632" s="49">
        <f t="shared" si="380"/>
        <v>0</v>
      </c>
      <c r="BQ632" s="49">
        <f t="shared" si="381"/>
        <v>1</v>
      </c>
      <c r="BR632" s="49">
        <f t="shared" si="382"/>
        <v>0</v>
      </c>
      <c r="BS632" s="49">
        <f t="shared" si="383"/>
        <v>0</v>
      </c>
      <c r="BT632" s="49">
        <f t="shared" si="384"/>
        <v>0</v>
      </c>
      <c r="BU632" s="49">
        <f t="shared" si="385"/>
        <v>1</v>
      </c>
      <c r="BV632" s="49">
        <f t="shared" si="386"/>
        <v>0</v>
      </c>
      <c r="BW632" s="49">
        <f t="shared" si="387"/>
        <v>0</v>
      </c>
      <c r="BX632" s="49">
        <f t="shared" si="388"/>
        <v>0</v>
      </c>
      <c r="BY632" s="49">
        <f t="shared" si="389"/>
        <v>1</v>
      </c>
      <c r="BZ632" s="49">
        <f t="shared" si="390"/>
        <v>0</v>
      </c>
      <c r="CA632" s="49">
        <f t="shared" si="391"/>
        <v>0</v>
      </c>
      <c r="CB632" s="49">
        <f t="shared" si="392"/>
        <v>1</v>
      </c>
      <c r="CC632" s="49">
        <f t="shared" si="393"/>
        <v>0</v>
      </c>
      <c r="CD632" s="49">
        <f t="shared" si="394"/>
        <v>0</v>
      </c>
      <c r="CE632" s="49">
        <f t="shared" si="395"/>
        <v>0</v>
      </c>
    </row>
    <row r="633" spans="1:83" ht="35.1" customHeight="1" x14ac:dyDescent="0.3">
      <c r="A633" s="123" t="e">
        <f t="shared" si="396"/>
        <v>#N/A</v>
      </c>
      <c r="B633" s="69">
        <f t="shared" si="397"/>
        <v>627</v>
      </c>
      <c r="C633" s="120" t="e">
        <f>IF(VLOOKUP($B633,'1. 현장별 인원현황'!$C:$J,2,0)=0,"",VLOOKUP($B633,'1. 현장별 인원현황'!$C:$J,2,0))</f>
        <v>#N/A</v>
      </c>
      <c r="D633" s="70" t="e">
        <f>IF(VLOOKUP($B633,'1. 현장별 인원현황'!$C:$J,3,0)=0,"",VLOOKUP($B633,'1. 현장별 인원현황'!$C:$J,3,0))</f>
        <v>#N/A</v>
      </c>
      <c r="E633" s="74" t="e">
        <f>IF(VLOOKUP($B633,'1. 현장별 인원현황'!$C:$J,4,0)=0,"",VLOOKUP($B633,'1. 현장별 인원현황'!$C:$J,4,0))</f>
        <v>#N/A</v>
      </c>
      <c r="F633" s="70" t="e">
        <f>IF(VLOOKUP($B633,'1. 현장별 인원현황'!$C:$J,7,0)=0,"",VLOOKUP($B633,'1. 현장별 인원현황'!$C:$J,7,0))</f>
        <v>#N/A</v>
      </c>
      <c r="G633" s="72" t="e">
        <f>IF(VLOOKUP($B633,'1. 현장별 인원현황'!$C:$J,8,0)=0,"",VLOOKUP($B633,'1. 현장별 인원현황'!$C:$J,8,0))</f>
        <v>#N/A</v>
      </c>
      <c r="H633" s="67" t="s">
        <v>69</v>
      </c>
      <c r="I633" s="73"/>
      <c r="J633" s="73"/>
      <c r="K633" s="68"/>
      <c r="L633" s="67" t="s">
        <v>69</v>
      </c>
      <c r="M633" s="73"/>
      <c r="N633" s="73"/>
      <c r="O633" s="68"/>
      <c r="P633" s="67" t="s">
        <v>69</v>
      </c>
      <c r="Q633" s="73"/>
      <c r="R633" s="73"/>
      <c r="S633" s="68"/>
      <c r="T633" s="67"/>
      <c r="U633" s="73" t="s">
        <v>69</v>
      </c>
      <c r="V633" s="73"/>
      <c r="W633" s="68"/>
      <c r="X633" s="67"/>
      <c r="Y633" s="73" t="s">
        <v>69</v>
      </c>
      <c r="Z633" s="73"/>
      <c r="AA633" s="68"/>
      <c r="AB633" s="67" t="s">
        <v>69</v>
      </c>
      <c r="AC633" s="73"/>
      <c r="AD633" s="73"/>
      <c r="AE633" s="68"/>
      <c r="AF633" s="67"/>
      <c r="AG633" s="73" t="s">
        <v>69</v>
      </c>
      <c r="AH633" s="73"/>
      <c r="AI633" s="68"/>
      <c r="AJ633" s="67"/>
      <c r="AK633" s="73" t="s">
        <v>69</v>
      </c>
      <c r="AL633" s="73"/>
      <c r="AM633" s="68"/>
      <c r="AN633" s="73" t="s">
        <v>69</v>
      </c>
      <c r="AO633" s="73"/>
      <c r="AP633" s="73"/>
      <c r="AQ633" s="68"/>
      <c r="AR633" s="67">
        <f t="shared" si="398"/>
        <v>91</v>
      </c>
      <c r="AS633" s="68" t="str">
        <f t="shared" si="399"/>
        <v>S</v>
      </c>
      <c r="AV633" s="49">
        <f t="shared" si="360"/>
        <v>1</v>
      </c>
      <c r="AW633" s="49">
        <f t="shared" si="361"/>
        <v>0</v>
      </c>
      <c r="AX633" s="49">
        <f t="shared" si="362"/>
        <v>0</v>
      </c>
      <c r="AY633" s="49">
        <f t="shared" si="363"/>
        <v>0</v>
      </c>
      <c r="AZ633" s="49">
        <f t="shared" si="364"/>
        <v>1</v>
      </c>
      <c r="BA633" s="49">
        <f t="shared" si="365"/>
        <v>0</v>
      </c>
      <c r="BB633" s="49">
        <f t="shared" si="366"/>
        <v>0</v>
      </c>
      <c r="BC633" s="49">
        <f t="shared" si="367"/>
        <v>0</v>
      </c>
      <c r="BD633" s="49">
        <f t="shared" si="368"/>
        <v>1</v>
      </c>
      <c r="BE633" s="49">
        <f t="shared" si="369"/>
        <v>0</v>
      </c>
      <c r="BF633" s="49">
        <f t="shared" si="370"/>
        <v>0</v>
      </c>
      <c r="BG633" s="49">
        <f t="shared" si="371"/>
        <v>0</v>
      </c>
      <c r="BH633" s="49">
        <f t="shared" si="372"/>
        <v>0</v>
      </c>
      <c r="BI633" s="49">
        <f t="shared" si="373"/>
        <v>1</v>
      </c>
      <c r="BJ633" s="49">
        <f t="shared" si="374"/>
        <v>0</v>
      </c>
      <c r="BK633" s="49">
        <f t="shared" si="375"/>
        <v>0</v>
      </c>
      <c r="BL633" s="49">
        <f t="shared" si="376"/>
        <v>0</v>
      </c>
      <c r="BM633" s="49">
        <f t="shared" si="377"/>
        <v>1</v>
      </c>
      <c r="BN633" s="49">
        <f t="shared" si="378"/>
        <v>0</v>
      </c>
      <c r="BO633" s="49">
        <f t="shared" si="379"/>
        <v>0</v>
      </c>
      <c r="BP633" s="49">
        <f t="shared" si="380"/>
        <v>1</v>
      </c>
      <c r="BQ633" s="49">
        <f t="shared" si="381"/>
        <v>0</v>
      </c>
      <c r="BR633" s="49">
        <f t="shared" si="382"/>
        <v>0</v>
      </c>
      <c r="BS633" s="49">
        <f t="shared" si="383"/>
        <v>0</v>
      </c>
      <c r="BT633" s="49">
        <f t="shared" si="384"/>
        <v>0</v>
      </c>
      <c r="BU633" s="49">
        <f t="shared" si="385"/>
        <v>1</v>
      </c>
      <c r="BV633" s="49">
        <f t="shared" si="386"/>
        <v>0</v>
      </c>
      <c r="BW633" s="49">
        <f t="shared" si="387"/>
        <v>0</v>
      </c>
      <c r="BX633" s="49">
        <f t="shared" si="388"/>
        <v>0</v>
      </c>
      <c r="BY633" s="49">
        <f t="shared" si="389"/>
        <v>1</v>
      </c>
      <c r="BZ633" s="49">
        <f t="shared" si="390"/>
        <v>0</v>
      </c>
      <c r="CA633" s="49">
        <f t="shared" si="391"/>
        <v>0</v>
      </c>
      <c r="CB633" s="49">
        <f t="shared" si="392"/>
        <v>1</v>
      </c>
      <c r="CC633" s="49">
        <f t="shared" si="393"/>
        <v>0</v>
      </c>
      <c r="CD633" s="49">
        <f t="shared" si="394"/>
        <v>0</v>
      </c>
      <c r="CE633" s="49">
        <f t="shared" si="395"/>
        <v>0</v>
      </c>
    </row>
    <row r="634" spans="1:83" ht="35.1" customHeight="1" x14ac:dyDescent="0.3">
      <c r="A634" s="123" t="e">
        <f t="shared" si="396"/>
        <v>#N/A</v>
      </c>
      <c r="B634" s="69">
        <f t="shared" si="397"/>
        <v>628</v>
      </c>
      <c r="C634" s="120" t="e">
        <f>IF(VLOOKUP($B634,'1. 현장별 인원현황'!$C:$J,2,0)=0,"",VLOOKUP($B634,'1. 현장별 인원현황'!$C:$J,2,0))</f>
        <v>#N/A</v>
      </c>
      <c r="D634" s="70" t="e">
        <f>IF(VLOOKUP($B634,'1. 현장별 인원현황'!$C:$J,3,0)=0,"",VLOOKUP($B634,'1. 현장별 인원현황'!$C:$J,3,0))</f>
        <v>#N/A</v>
      </c>
      <c r="E634" s="74" t="e">
        <f>IF(VLOOKUP($B634,'1. 현장별 인원현황'!$C:$J,4,0)=0,"",VLOOKUP($B634,'1. 현장별 인원현황'!$C:$J,4,0))</f>
        <v>#N/A</v>
      </c>
      <c r="F634" s="70" t="e">
        <f>IF(VLOOKUP($B634,'1. 현장별 인원현황'!$C:$J,7,0)=0,"",VLOOKUP($B634,'1. 현장별 인원현황'!$C:$J,7,0))</f>
        <v>#N/A</v>
      </c>
      <c r="G634" s="72" t="e">
        <f>IF(VLOOKUP($B634,'1. 현장별 인원현황'!$C:$J,8,0)=0,"",VLOOKUP($B634,'1. 현장별 인원현황'!$C:$J,8,0))</f>
        <v>#N/A</v>
      </c>
      <c r="H634" s="67"/>
      <c r="I634" s="73"/>
      <c r="J634" s="73" t="s">
        <v>69</v>
      </c>
      <c r="K634" s="68"/>
      <c r="L634" s="67"/>
      <c r="M634" s="73"/>
      <c r="N634" s="73" t="s">
        <v>69</v>
      </c>
      <c r="O634" s="68"/>
      <c r="P634" s="67"/>
      <c r="Q634" s="73"/>
      <c r="R634" s="73" t="s">
        <v>69</v>
      </c>
      <c r="S634" s="68"/>
      <c r="T634" s="67"/>
      <c r="U634" s="73"/>
      <c r="V634" s="73" t="s">
        <v>69</v>
      </c>
      <c r="W634" s="68"/>
      <c r="X634" s="67"/>
      <c r="Y634" s="73" t="s">
        <v>69</v>
      </c>
      <c r="Z634" s="73"/>
      <c r="AA634" s="68"/>
      <c r="AB634" s="67"/>
      <c r="AC634" s="73" t="s">
        <v>69</v>
      </c>
      <c r="AD634" s="73"/>
      <c r="AE634" s="68"/>
      <c r="AF634" s="67"/>
      <c r="AG634" s="73" t="s">
        <v>69</v>
      </c>
      <c r="AH634" s="73"/>
      <c r="AI634" s="68"/>
      <c r="AJ634" s="67"/>
      <c r="AK634" s="73" t="s">
        <v>69</v>
      </c>
      <c r="AL634" s="73"/>
      <c r="AM634" s="68"/>
      <c r="AN634" s="73" t="s">
        <v>69</v>
      </c>
      <c r="AO634" s="73"/>
      <c r="AP634" s="73"/>
      <c r="AQ634" s="68"/>
      <c r="AR634" s="67">
        <f t="shared" si="398"/>
        <v>69</v>
      </c>
      <c r="AS634" s="68" t="str">
        <f t="shared" si="399"/>
        <v>B</v>
      </c>
      <c r="AV634" s="49">
        <f t="shared" si="360"/>
        <v>0</v>
      </c>
      <c r="AW634" s="49">
        <f t="shared" si="361"/>
        <v>0</v>
      </c>
      <c r="AX634" s="49">
        <f t="shared" si="362"/>
        <v>1</v>
      </c>
      <c r="AY634" s="49">
        <f t="shared" si="363"/>
        <v>0</v>
      </c>
      <c r="AZ634" s="49">
        <f t="shared" si="364"/>
        <v>0</v>
      </c>
      <c r="BA634" s="49">
        <f t="shared" si="365"/>
        <v>0</v>
      </c>
      <c r="BB634" s="49">
        <f t="shared" si="366"/>
        <v>1</v>
      </c>
      <c r="BC634" s="49">
        <f t="shared" si="367"/>
        <v>0</v>
      </c>
      <c r="BD634" s="49">
        <f t="shared" si="368"/>
        <v>0</v>
      </c>
      <c r="BE634" s="49">
        <f t="shared" si="369"/>
        <v>0</v>
      </c>
      <c r="BF634" s="49">
        <f t="shared" si="370"/>
        <v>1</v>
      </c>
      <c r="BG634" s="49">
        <f t="shared" si="371"/>
        <v>0</v>
      </c>
      <c r="BH634" s="49">
        <f t="shared" si="372"/>
        <v>0</v>
      </c>
      <c r="BI634" s="49">
        <f t="shared" si="373"/>
        <v>0</v>
      </c>
      <c r="BJ634" s="49">
        <f t="shared" si="374"/>
        <v>1</v>
      </c>
      <c r="BK634" s="49">
        <f t="shared" si="375"/>
        <v>0</v>
      </c>
      <c r="BL634" s="49">
        <f t="shared" si="376"/>
        <v>0</v>
      </c>
      <c r="BM634" s="49">
        <f t="shared" si="377"/>
        <v>1</v>
      </c>
      <c r="BN634" s="49">
        <f t="shared" si="378"/>
        <v>0</v>
      </c>
      <c r="BO634" s="49">
        <f t="shared" si="379"/>
        <v>0</v>
      </c>
      <c r="BP634" s="49">
        <f t="shared" si="380"/>
        <v>0</v>
      </c>
      <c r="BQ634" s="49">
        <f t="shared" si="381"/>
        <v>1</v>
      </c>
      <c r="BR634" s="49">
        <f t="shared" si="382"/>
        <v>0</v>
      </c>
      <c r="BS634" s="49">
        <f t="shared" si="383"/>
        <v>0</v>
      </c>
      <c r="BT634" s="49">
        <f t="shared" si="384"/>
        <v>0</v>
      </c>
      <c r="BU634" s="49">
        <f t="shared" si="385"/>
        <v>1</v>
      </c>
      <c r="BV634" s="49">
        <f t="shared" si="386"/>
        <v>0</v>
      </c>
      <c r="BW634" s="49">
        <f t="shared" si="387"/>
        <v>0</v>
      </c>
      <c r="BX634" s="49">
        <f t="shared" si="388"/>
        <v>0</v>
      </c>
      <c r="BY634" s="49">
        <f t="shared" si="389"/>
        <v>1</v>
      </c>
      <c r="BZ634" s="49">
        <f t="shared" si="390"/>
        <v>0</v>
      </c>
      <c r="CA634" s="49">
        <f t="shared" si="391"/>
        <v>0</v>
      </c>
      <c r="CB634" s="49">
        <f t="shared" si="392"/>
        <v>1</v>
      </c>
      <c r="CC634" s="49">
        <f t="shared" si="393"/>
        <v>0</v>
      </c>
      <c r="CD634" s="49">
        <f t="shared" si="394"/>
        <v>0</v>
      </c>
      <c r="CE634" s="49">
        <f t="shared" si="395"/>
        <v>0</v>
      </c>
    </row>
    <row r="635" spans="1:83" ht="35.1" customHeight="1" x14ac:dyDescent="0.3">
      <c r="A635" s="123" t="e">
        <f t="shared" si="396"/>
        <v>#N/A</v>
      </c>
      <c r="B635" s="69">
        <f t="shared" si="397"/>
        <v>629</v>
      </c>
      <c r="C635" s="120" t="e">
        <f>IF(VLOOKUP($B635,'1. 현장별 인원현황'!$C:$J,2,0)=0,"",VLOOKUP($B635,'1. 현장별 인원현황'!$C:$J,2,0))</f>
        <v>#N/A</v>
      </c>
      <c r="D635" s="70" t="e">
        <f>IF(VLOOKUP($B635,'1. 현장별 인원현황'!$C:$J,3,0)=0,"",VLOOKUP($B635,'1. 현장별 인원현황'!$C:$J,3,0))</f>
        <v>#N/A</v>
      </c>
      <c r="E635" s="74" t="e">
        <f>IF(VLOOKUP($B635,'1. 현장별 인원현황'!$C:$J,4,0)=0,"",VLOOKUP($B635,'1. 현장별 인원현황'!$C:$J,4,0))</f>
        <v>#N/A</v>
      </c>
      <c r="F635" s="70" t="e">
        <f>IF(VLOOKUP($B635,'1. 현장별 인원현황'!$C:$J,7,0)=0,"",VLOOKUP($B635,'1. 현장별 인원현황'!$C:$J,7,0))</f>
        <v>#N/A</v>
      </c>
      <c r="G635" s="72" t="e">
        <f>IF(VLOOKUP($B635,'1. 현장별 인원현황'!$C:$J,8,0)=0,"",VLOOKUP($B635,'1. 현장별 인원현황'!$C:$J,8,0))</f>
        <v>#N/A</v>
      </c>
      <c r="H635" s="67"/>
      <c r="I635" s="73"/>
      <c r="J635" s="73"/>
      <c r="K635" s="68" t="s">
        <v>69</v>
      </c>
      <c r="L635" s="67"/>
      <c r="M635" s="73"/>
      <c r="N635" s="73"/>
      <c r="O635" s="68" t="s">
        <v>69</v>
      </c>
      <c r="P635" s="67"/>
      <c r="Q635" s="73"/>
      <c r="R635" s="73"/>
      <c r="S635" s="68" t="s">
        <v>69</v>
      </c>
      <c r="T635" s="67"/>
      <c r="U635" s="73"/>
      <c r="V635" s="73"/>
      <c r="W635" s="68" t="s">
        <v>69</v>
      </c>
      <c r="X635" s="67"/>
      <c r="Y635" s="73"/>
      <c r="Z635" s="73"/>
      <c r="AA635" s="68" t="s">
        <v>69</v>
      </c>
      <c r="AB635" s="67"/>
      <c r="AC635" s="73"/>
      <c r="AD635" s="73"/>
      <c r="AE635" s="68" t="s">
        <v>69</v>
      </c>
      <c r="AF635" s="67"/>
      <c r="AG635" s="73"/>
      <c r="AH635" s="73"/>
      <c r="AI635" s="68"/>
      <c r="AJ635" s="67" t="s">
        <v>69</v>
      </c>
      <c r="AK635" s="73"/>
      <c r="AL635" s="73"/>
      <c r="AM635" s="68"/>
      <c r="AN635" s="73" t="s">
        <v>69</v>
      </c>
      <c r="AO635" s="73"/>
      <c r="AP635" s="73"/>
      <c r="AQ635" s="68"/>
      <c r="AR635" s="67">
        <f t="shared" si="398"/>
        <v>45</v>
      </c>
      <c r="AS635" s="68" t="str">
        <f t="shared" si="399"/>
        <v>C</v>
      </c>
      <c r="AV635" s="49">
        <f t="shared" si="360"/>
        <v>0</v>
      </c>
      <c r="AW635" s="49">
        <f t="shared" si="361"/>
        <v>0</v>
      </c>
      <c r="AX635" s="49">
        <f t="shared" si="362"/>
        <v>0</v>
      </c>
      <c r="AY635" s="49">
        <f t="shared" si="363"/>
        <v>1</v>
      </c>
      <c r="AZ635" s="49">
        <f t="shared" si="364"/>
        <v>0</v>
      </c>
      <c r="BA635" s="49">
        <f t="shared" si="365"/>
        <v>0</v>
      </c>
      <c r="BB635" s="49">
        <f t="shared" si="366"/>
        <v>0</v>
      </c>
      <c r="BC635" s="49">
        <f t="shared" si="367"/>
        <v>1</v>
      </c>
      <c r="BD635" s="49">
        <f t="shared" si="368"/>
        <v>0</v>
      </c>
      <c r="BE635" s="49">
        <f t="shared" si="369"/>
        <v>0</v>
      </c>
      <c r="BF635" s="49">
        <f t="shared" si="370"/>
        <v>0</v>
      </c>
      <c r="BG635" s="49">
        <f t="shared" si="371"/>
        <v>1</v>
      </c>
      <c r="BH635" s="49">
        <f t="shared" si="372"/>
        <v>0</v>
      </c>
      <c r="BI635" s="49">
        <f t="shared" si="373"/>
        <v>0</v>
      </c>
      <c r="BJ635" s="49">
        <f t="shared" si="374"/>
        <v>0</v>
      </c>
      <c r="BK635" s="49">
        <f t="shared" si="375"/>
        <v>1</v>
      </c>
      <c r="BL635" s="49">
        <f t="shared" si="376"/>
        <v>0</v>
      </c>
      <c r="BM635" s="49">
        <f t="shared" si="377"/>
        <v>0</v>
      </c>
      <c r="BN635" s="49">
        <f t="shared" si="378"/>
        <v>0</v>
      </c>
      <c r="BO635" s="49">
        <f t="shared" si="379"/>
        <v>1</v>
      </c>
      <c r="BP635" s="49">
        <f t="shared" si="380"/>
        <v>0</v>
      </c>
      <c r="BQ635" s="49">
        <f t="shared" si="381"/>
        <v>0</v>
      </c>
      <c r="BR635" s="49">
        <f t="shared" si="382"/>
        <v>0</v>
      </c>
      <c r="BS635" s="49">
        <f t="shared" si="383"/>
        <v>1</v>
      </c>
      <c r="BT635" s="49">
        <f t="shared" si="384"/>
        <v>0</v>
      </c>
      <c r="BU635" s="49">
        <f t="shared" si="385"/>
        <v>0</v>
      </c>
      <c r="BV635" s="49">
        <f t="shared" si="386"/>
        <v>0</v>
      </c>
      <c r="BW635" s="49">
        <f t="shared" si="387"/>
        <v>0</v>
      </c>
      <c r="BX635" s="49">
        <f t="shared" si="388"/>
        <v>1</v>
      </c>
      <c r="BY635" s="49">
        <f t="shared" si="389"/>
        <v>0</v>
      </c>
      <c r="BZ635" s="49">
        <f t="shared" si="390"/>
        <v>0</v>
      </c>
      <c r="CA635" s="49">
        <f t="shared" si="391"/>
        <v>0</v>
      </c>
      <c r="CB635" s="49">
        <f t="shared" si="392"/>
        <v>1</v>
      </c>
      <c r="CC635" s="49">
        <f t="shared" si="393"/>
        <v>0</v>
      </c>
      <c r="CD635" s="49">
        <f t="shared" si="394"/>
        <v>0</v>
      </c>
      <c r="CE635" s="49">
        <f t="shared" si="395"/>
        <v>0</v>
      </c>
    </row>
    <row r="636" spans="1:83" ht="35.1" customHeight="1" x14ac:dyDescent="0.3">
      <c r="A636" s="123" t="e">
        <f t="shared" si="396"/>
        <v>#N/A</v>
      </c>
      <c r="B636" s="69">
        <f t="shared" si="397"/>
        <v>630</v>
      </c>
      <c r="C636" s="120" t="e">
        <f>IF(VLOOKUP($B636,'1. 현장별 인원현황'!$C:$J,2,0)=0,"",VLOOKUP($B636,'1. 현장별 인원현황'!$C:$J,2,0))</f>
        <v>#N/A</v>
      </c>
      <c r="D636" s="70" t="e">
        <f>IF(VLOOKUP($B636,'1. 현장별 인원현황'!$C:$J,3,0)=0,"",VLOOKUP($B636,'1. 현장별 인원현황'!$C:$J,3,0))</f>
        <v>#N/A</v>
      </c>
      <c r="E636" s="74" t="e">
        <f>IF(VLOOKUP($B636,'1. 현장별 인원현황'!$C:$J,4,0)=0,"",VLOOKUP($B636,'1. 현장별 인원현황'!$C:$J,4,0))</f>
        <v>#N/A</v>
      </c>
      <c r="F636" s="70" t="e">
        <f>IF(VLOOKUP($B636,'1. 현장별 인원현황'!$C:$J,7,0)=0,"",VLOOKUP($B636,'1. 현장별 인원현황'!$C:$J,7,0))</f>
        <v>#N/A</v>
      </c>
      <c r="G636" s="72" t="e">
        <f>IF(VLOOKUP($B636,'1. 현장별 인원현황'!$C:$J,8,0)=0,"",VLOOKUP($B636,'1. 현장별 인원현황'!$C:$J,8,0))</f>
        <v>#N/A</v>
      </c>
      <c r="H636" s="67"/>
      <c r="I636" s="73"/>
      <c r="J636" s="73"/>
      <c r="K636" s="68"/>
      <c r="L636" s="67" t="s">
        <v>69</v>
      </c>
      <c r="M636" s="73"/>
      <c r="N636" s="73"/>
      <c r="O636" s="68" t="s">
        <v>69</v>
      </c>
      <c r="P636" s="67"/>
      <c r="Q636" s="73"/>
      <c r="R636" s="73"/>
      <c r="S636" s="68" t="s">
        <v>69</v>
      </c>
      <c r="T636" s="67"/>
      <c r="U636" s="73"/>
      <c r="V636" s="73"/>
      <c r="W636" s="68"/>
      <c r="X636" s="67" t="s">
        <v>69</v>
      </c>
      <c r="Y636" s="73"/>
      <c r="Z636" s="73" t="s">
        <v>69</v>
      </c>
      <c r="AA636" s="68"/>
      <c r="AB636" s="67"/>
      <c r="AC636" s="73"/>
      <c r="AD636" s="73" t="s">
        <v>69</v>
      </c>
      <c r="AE636" s="68"/>
      <c r="AF636" s="67"/>
      <c r="AG636" s="73"/>
      <c r="AH636" s="73"/>
      <c r="AI636" s="68" t="s">
        <v>69</v>
      </c>
      <c r="AJ636" s="67"/>
      <c r="AK636" s="73"/>
      <c r="AL636" s="73"/>
      <c r="AM636" s="68" t="s">
        <v>69</v>
      </c>
      <c r="AN636" s="73"/>
      <c r="AO636" s="73"/>
      <c r="AP636" s="73"/>
      <c r="AQ636" s="68"/>
      <c r="AR636" s="67">
        <f t="shared" si="398"/>
        <v>47</v>
      </c>
      <c r="AS636" s="68" t="str">
        <f t="shared" si="399"/>
        <v>C</v>
      </c>
      <c r="AV636" s="49">
        <f t="shared" si="360"/>
        <v>0</v>
      </c>
      <c r="AW636" s="49">
        <f t="shared" si="361"/>
        <v>0</v>
      </c>
      <c r="AX636" s="49">
        <f t="shared" si="362"/>
        <v>0</v>
      </c>
      <c r="AY636" s="49">
        <f t="shared" si="363"/>
        <v>0</v>
      </c>
      <c r="AZ636" s="49">
        <f t="shared" si="364"/>
        <v>1</v>
      </c>
      <c r="BA636" s="49">
        <f t="shared" si="365"/>
        <v>0</v>
      </c>
      <c r="BB636" s="49">
        <f t="shared" si="366"/>
        <v>0</v>
      </c>
      <c r="BC636" s="49">
        <f t="shared" si="367"/>
        <v>1</v>
      </c>
      <c r="BD636" s="49">
        <f t="shared" si="368"/>
        <v>0</v>
      </c>
      <c r="BE636" s="49">
        <f t="shared" si="369"/>
        <v>0</v>
      </c>
      <c r="BF636" s="49">
        <f t="shared" si="370"/>
        <v>0</v>
      </c>
      <c r="BG636" s="49">
        <f t="shared" si="371"/>
        <v>1</v>
      </c>
      <c r="BH636" s="49">
        <f t="shared" si="372"/>
        <v>0</v>
      </c>
      <c r="BI636" s="49">
        <f t="shared" si="373"/>
        <v>0</v>
      </c>
      <c r="BJ636" s="49">
        <f t="shared" si="374"/>
        <v>0</v>
      </c>
      <c r="BK636" s="49">
        <f t="shared" si="375"/>
        <v>0</v>
      </c>
      <c r="BL636" s="49">
        <f t="shared" si="376"/>
        <v>1</v>
      </c>
      <c r="BM636" s="49">
        <f t="shared" si="377"/>
        <v>0</v>
      </c>
      <c r="BN636" s="49">
        <f t="shared" si="378"/>
        <v>1</v>
      </c>
      <c r="BO636" s="49">
        <f t="shared" si="379"/>
        <v>0</v>
      </c>
      <c r="BP636" s="49">
        <f t="shared" si="380"/>
        <v>0</v>
      </c>
      <c r="BQ636" s="49">
        <f t="shared" si="381"/>
        <v>0</v>
      </c>
      <c r="BR636" s="49">
        <f t="shared" si="382"/>
        <v>1</v>
      </c>
      <c r="BS636" s="49">
        <f t="shared" si="383"/>
        <v>0</v>
      </c>
      <c r="BT636" s="49">
        <f t="shared" si="384"/>
        <v>0</v>
      </c>
      <c r="BU636" s="49">
        <f t="shared" si="385"/>
        <v>0</v>
      </c>
      <c r="BV636" s="49">
        <f t="shared" si="386"/>
        <v>0</v>
      </c>
      <c r="BW636" s="49">
        <f t="shared" si="387"/>
        <v>1</v>
      </c>
      <c r="BX636" s="49">
        <f t="shared" si="388"/>
        <v>0</v>
      </c>
      <c r="BY636" s="49">
        <f t="shared" si="389"/>
        <v>0</v>
      </c>
      <c r="BZ636" s="49">
        <f t="shared" si="390"/>
        <v>0</v>
      </c>
      <c r="CA636" s="49">
        <f t="shared" si="391"/>
        <v>1</v>
      </c>
      <c r="CB636" s="49">
        <f t="shared" si="392"/>
        <v>0</v>
      </c>
      <c r="CC636" s="49">
        <f t="shared" si="393"/>
        <v>0</v>
      </c>
      <c r="CD636" s="49">
        <f t="shared" si="394"/>
        <v>0</v>
      </c>
      <c r="CE636" s="49">
        <f t="shared" si="395"/>
        <v>0</v>
      </c>
    </row>
    <row r="637" spans="1:83" ht="35.1" customHeight="1" x14ac:dyDescent="0.3">
      <c r="A637" s="123" t="e">
        <f t="shared" si="396"/>
        <v>#N/A</v>
      </c>
      <c r="B637" s="69">
        <f t="shared" si="397"/>
        <v>631</v>
      </c>
      <c r="C637" s="120" t="e">
        <f>IF(VLOOKUP($B637,'1. 현장별 인원현황'!$C:$J,2,0)=0,"",VLOOKUP($B637,'1. 현장별 인원현황'!$C:$J,2,0))</f>
        <v>#N/A</v>
      </c>
      <c r="D637" s="70" t="e">
        <f>IF(VLOOKUP($B637,'1. 현장별 인원현황'!$C:$J,3,0)=0,"",VLOOKUP($B637,'1. 현장별 인원현황'!$C:$J,3,0))</f>
        <v>#N/A</v>
      </c>
      <c r="E637" s="74" t="e">
        <f>IF(VLOOKUP($B637,'1. 현장별 인원현황'!$C:$J,4,0)=0,"",VLOOKUP($B637,'1. 현장별 인원현황'!$C:$J,4,0))</f>
        <v>#N/A</v>
      </c>
      <c r="F637" s="70" t="e">
        <f>IF(VLOOKUP($B637,'1. 현장별 인원현황'!$C:$J,7,0)=0,"",VLOOKUP($B637,'1. 현장별 인원현황'!$C:$J,7,0))</f>
        <v>#N/A</v>
      </c>
      <c r="G637" s="72" t="e">
        <f>IF(VLOOKUP($B637,'1. 현장별 인원현황'!$C:$J,8,0)=0,"",VLOOKUP($B637,'1. 현장별 인원현황'!$C:$J,8,0))</f>
        <v>#N/A</v>
      </c>
      <c r="H637" s="67"/>
      <c r="I637" s="73"/>
      <c r="J637" s="73"/>
      <c r="K637" s="68" t="s">
        <v>69</v>
      </c>
      <c r="L637" s="67"/>
      <c r="M637" s="73"/>
      <c r="N637" s="73"/>
      <c r="O637" s="68"/>
      <c r="P637" s="67" t="s">
        <v>69</v>
      </c>
      <c r="Q637" s="73"/>
      <c r="R637" s="73" t="s">
        <v>69</v>
      </c>
      <c r="S637" s="68"/>
      <c r="T637" s="67"/>
      <c r="U637" s="73"/>
      <c r="V637" s="73"/>
      <c r="W637" s="68"/>
      <c r="X637" s="67" t="s">
        <v>69</v>
      </c>
      <c r="Y637" s="73"/>
      <c r="Z637" s="73"/>
      <c r="AA637" s="68" t="s">
        <v>69</v>
      </c>
      <c r="AB637" s="67"/>
      <c r="AC637" s="73"/>
      <c r="AD637" s="73"/>
      <c r="AE637" s="68" t="s">
        <v>69</v>
      </c>
      <c r="AF637" s="67"/>
      <c r="AG637" s="73"/>
      <c r="AH637" s="73"/>
      <c r="AI637" s="68"/>
      <c r="AJ637" s="67" t="s">
        <v>69</v>
      </c>
      <c r="AK637" s="73"/>
      <c r="AL637" s="73"/>
      <c r="AM637" s="68"/>
      <c r="AN637" s="73" t="s">
        <v>69</v>
      </c>
      <c r="AO637" s="73"/>
      <c r="AP637" s="73"/>
      <c r="AQ637" s="68"/>
      <c r="AR637" s="67">
        <f t="shared" si="398"/>
        <v>63</v>
      </c>
      <c r="AS637" s="68" t="str">
        <f t="shared" si="399"/>
        <v>B</v>
      </c>
      <c r="AV637" s="49">
        <f t="shared" si="320"/>
        <v>0</v>
      </c>
      <c r="AW637" s="49">
        <f t="shared" si="321"/>
        <v>0</v>
      </c>
      <c r="AX637" s="49">
        <f t="shared" si="322"/>
        <v>0</v>
      </c>
      <c r="AY637" s="49">
        <f t="shared" si="323"/>
        <v>1</v>
      </c>
      <c r="AZ637" s="49">
        <f t="shared" si="324"/>
        <v>0</v>
      </c>
      <c r="BA637" s="49">
        <f t="shared" si="325"/>
        <v>0</v>
      </c>
      <c r="BB637" s="49">
        <f t="shared" si="326"/>
        <v>0</v>
      </c>
      <c r="BC637" s="49">
        <f t="shared" si="327"/>
        <v>0</v>
      </c>
      <c r="BD637" s="49">
        <f t="shared" si="328"/>
        <v>1</v>
      </c>
      <c r="BE637" s="49">
        <f t="shared" si="329"/>
        <v>0</v>
      </c>
      <c r="BF637" s="49">
        <f t="shared" si="330"/>
        <v>1</v>
      </c>
      <c r="BG637" s="49">
        <f t="shared" si="331"/>
        <v>0</v>
      </c>
      <c r="BH637" s="49">
        <f t="shared" si="332"/>
        <v>0</v>
      </c>
      <c r="BI637" s="49">
        <f t="shared" si="333"/>
        <v>0</v>
      </c>
      <c r="BJ637" s="49">
        <f t="shared" si="334"/>
        <v>0</v>
      </c>
      <c r="BK637" s="49">
        <f t="shared" si="335"/>
        <v>0</v>
      </c>
      <c r="BL637" s="49">
        <f t="shared" si="336"/>
        <v>1</v>
      </c>
      <c r="BM637" s="49">
        <f t="shared" si="337"/>
        <v>0</v>
      </c>
      <c r="BN637" s="49">
        <f t="shared" si="338"/>
        <v>0</v>
      </c>
      <c r="BO637" s="49">
        <f t="shared" si="339"/>
        <v>1</v>
      </c>
      <c r="BP637" s="49">
        <f t="shared" si="340"/>
        <v>0</v>
      </c>
      <c r="BQ637" s="49">
        <f t="shared" si="341"/>
        <v>0</v>
      </c>
      <c r="BR637" s="49">
        <f t="shared" si="342"/>
        <v>0</v>
      </c>
      <c r="BS637" s="49">
        <f t="shared" si="343"/>
        <v>1</v>
      </c>
      <c r="BT637" s="49">
        <f t="shared" si="344"/>
        <v>0</v>
      </c>
      <c r="BU637" s="49">
        <f t="shared" si="345"/>
        <v>0</v>
      </c>
      <c r="BV637" s="49">
        <f t="shared" si="346"/>
        <v>0</v>
      </c>
      <c r="BW637" s="49">
        <f t="shared" si="347"/>
        <v>0</v>
      </c>
      <c r="BX637" s="49">
        <f t="shared" si="348"/>
        <v>1</v>
      </c>
      <c r="BY637" s="49">
        <f t="shared" si="349"/>
        <v>0</v>
      </c>
      <c r="BZ637" s="49">
        <f t="shared" si="350"/>
        <v>0</v>
      </c>
      <c r="CA637" s="49">
        <f t="shared" si="351"/>
        <v>0</v>
      </c>
      <c r="CB637" s="49">
        <f t="shared" si="352"/>
        <v>1</v>
      </c>
      <c r="CC637" s="49">
        <f t="shared" si="353"/>
        <v>0</v>
      </c>
      <c r="CD637" s="49">
        <f t="shared" si="354"/>
        <v>0</v>
      </c>
      <c r="CE637" s="49">
        <f t="shared" si="355"/>
        <v>0</v>
      </c>
    </row>
    <row r="638" spans="1:83" ht="35.1" customHeight="1" x14ac:dyDescent="0.3">
      <c r="A638" s="123" t="e">
        <f t="shared" si="396"/>
        <v>#N/A</v>
      </c>
      <c r="B638" s="69">
        <f t="shared" si="397"/>
        <v>632</v>
      </c>
      <c r="C638" s="120" t="e">
        <f>IF(VLOOKUP($B638,'1. 현장별 인원현황'!$C:$J,2,0)=0,"",VLOOKUP($B638,'1. 현장별 인원현황'!$C:$J,2,0))</f>
        <v>#N/A</v>
      </c>
      <c r="D638" s="70" t="e">
        <f>IF(VLOOKUP($B638,'1. 현장별 인원현황'!$C:$J,3,0)=0,"",VLOOKUP($B638,'1. 현장별 인원현황'!$C:$J,3,0))</f>
        <v>#N/A</v>
      </c>
      <c r="E638" s="74" t="e">
        <f>IF(VLOOKUP($B638,'1. 현장별 인원현황'!$C:$J,4,0)=0,"",VLOOKUP($B638,'1. 현장별 인원현황'!$C:$J,4,0))</f>
        <v>#N/A</v>
      </c>
      <c r="F638" s="70" t="e">
        <f>IF(VLOOKUP($B638,'1. 현장별 인원현황'!$C:$J,7,0)=0,"",VLOOKUP($B638,'1. 현장별 인원현황'!$C:$J,7,0))</f>
        <v>#N/A</v>
      </c>
      <c r="G638" s="72" t="e">
        <f>IF(VLOOKUP($B638,'1. 현장별 인원현황'!$C:$J,8,0)=0,"",VLOOKUP($B638,'1. 현장별 인원현황'!$C:$J,8,0))</f>
        <v>#N/A</v>
      </c>
      <c r="H638" s="67"/>
      <c r="I638" s="73"/>
      <c r="J638" s="73"/>
      <c r="K638" s="68" t="s">
        <v>69</v>
      </c>
      <c r="L638" s="67"/>
      <c r="M638" s="73"/>
      <c r="N638" s="73"/>
      <c r="O638" s="68"/>
      <c r="P638" s="67" t="s">
        <v>69</v>
      </c>
      <c r="Q638" s="73"/>
      <c r="R638" s="73"/>
      <c r="S638" s="68"/>
      <c r="T638" s="67" t="s">
        <v>69</v>
      </c>
      <c r="U638" s="73"/>
      <c r="V638" s="73"/>
      <c r="W638" s="68" t="s">
        <v>69</v>
      </c>
      <c r="X638" s="67"/>
      <c r="Y638" s="73"/>
      <c r="Z638" s="73"/>
      <c r="AA638" s="68"/>
      <c r="AB638" s="67" t="s">
        <v>69</v>
      </c>
      <c r="AC638" s="73"/>
      <c r="AD638" s="73"/>
      <c r="AE638" s="68"/>
      <c r="AF638" s="67" t="s">
        <v>69</v>
      </c>
      <c r="AG638" s="73"/>
      <c r="AH638" s="73"/>
      <c r="AI638" s="68"/>
      <c r="AJ638" s="67" t="s">
        <v>69</v>
      </c>
      <c r="AK638" s="73"/>
      <c r="AL638" s="73"/>
      <c r="AM638" s="68"/>
      <c r="AN638" s="73" t="s">
        <v>69</v>
      </c>
      <c r="AO638" s="73"/>
      <c r="AP638" s="73"/>
      <c r="AQ638" s="68"/>
      <c r="AR638" s="67">
        <f t="shared" si="398"/>
        <v>73</v>
      </c>
      <c r="AS638" s="68" t="str">
        <f t="shared" si="399"/>
        <v>A</v>
      </c>
      <c r="AV638" s="49">
        <f t="shared" si="320"/>
        <v>0</v>
      </c>
      <c r="AW638" s="49">
        <f t="shared" si="321"/>
        <v>0</v>
      </c>
      <c r="AX638" s="49">
        <f t="shared" si="322"/>
        <v>0</v>
      </c>
      <c r="AY638" s="49">
        <f t="shared" si="323"/>
        <v>1</v>
      </c>
      <c r="AZ638" s="49">
        <f t="shared" si="324"/>
        <v>0</v>
      </c>
      <c r="BA638" s="49">
        <f t="shared" si="325"/>
        <v>0</v>
      </c>
      <c r="BB638" s="49">
        <f t="shared" si="326"/>
        <v>0</v>
      </c>
      <c r="BC638" s="49">
        <f t="shared" si="327"/>
        <v>0</v>
      </c>
      <c r="BD638" s="49">
        <f t="shared" si="328"/>
        <v>1</v>
      </c>
      <c r="BE638" s="49">
        <f t="shared" si="329"/>
        <v>0</v>
      </c>
      <c r="BF638" s="49">
        <f t="shared" si="330"/>
        <v>0</v>
      </c>
      <c r="BG638" s="49">
        <f t="shared" si="331"/>
        <v>0</v>
      </c>
      <c r="BH638" s="49">
        <f t="shared" si="332"/>
        <v>1</v>
      </c>
      <c r="BI638" s="49">
        <f t="shared" si="333"/>
        <v>0</v>
      </c>
      <c r="BJ638" s="49">
        <f t="shared" si="334"/>
        <v>0</v>
      </c>
      <c r="BK638" s="49">
        <f t="shared" si="335"/>
        <v>1</v>
      </c>
      <c r="BL638" s="49">
        <f t="shared" si="336"/>
        <v>0</v>
      </c>
      <c r="BM638" s="49">
        <f t="shared" si="337"/>
        <v>0</v>
      </c>
      <c r="BN638" s="49">
        <f t="shared" si="338"/>
        <v>0</v>
      </c>
      <c r="BO638" s="49">
        <f t="shared" si="339"/>
        <v>0</v>
      </c>
      <c r="BP638" s="49">
        <f t="shared" si="340"/>
        <v>1</v>
      </c>
      <c r="BQ638" s="49">
        <f t="shared" si="341"/>
        <v>0</v>
      </c>
      <c r="BR638" s="49">
        <f t="shared" si="342"/>
        <v>0</v>
      </c>
      <c r="BS638" s="49">
        <f t="shared" si="343"/>
        <v>0</v>
      </c>
      <c r="BT638" s="49">
        <f t="shared" si="344"/>
        <v>1</v>
      </c>
      <c r="BU638" s="49">
        <f t="shared" si="345"/>
        <v>0</v>
      </c>
      <c r="BV638" s="49">
        <f t="shared" si="346"/>
        <v>0</v>
      </c>
      <c r="BW638" s="49">
        <f t="shared" si="347"/>
        <v>0</v>
      </c>
      <c r="BX638" s="49">
        <f t="shared" si="348"/>
        <v>1</v>
      </c>
      <c r="BY638" s="49">
        <f t="shared" si="349"/>
        <v>0</v>
      </c>
      <c r="BZ638" s="49">
        <f t="shared" si="350"/>
        <v>0</v>
      </c>
      <c r="CA638" s="49">
        <f t="shared" si="351"/>
        <v>0</v>
      </c>
      <c r="CB638" s="49">
        <f t="shared" si="352"/>
        <v>1</v>
      </c>
      <c r="CC638" s="49">
        <f t="shared" si="353"/>
        <v>0</v>
      </c>
      <c r="CD638" s="49">
        <f t="shared" si="354"/>
        <v>0</v>
      </c>
      <c r="CE638" s="49">
        <f t="shared" si="355"/>
        <v>0</v>
      </c>
    </row>
    <row r="639" spans="1:83" ht="35.1" customHeight="1" x14ac:dyDescent="0.3">
      <c r="A639" s="123" t="e">
        <f t="shared" si="396"/>
        <v>#N/A</v>
      </c>
      <c r="B639" s="69">
        <f t="shared" si="397"/>
        <v>633</v>
      </c>
      <c r="C639" s="120" t="e">
        <f>IF(VLOOKUP($B639,'1. 현장별 인원현황'!$C:$J,2,0)=0,"",VLOOKUP($B639,'1. 현장별 인원현황'!$C:$J,2,0))</f>
        <v>#N/A</v>
      </c>
      <c r="D639" s="70" t="e">
        <f>IF(VLOOKUP($B639,'1. 현장별 인원현황'!$C:$J,3,0)=0,"",VLOOKUP($B639,'1. 현장별 인원현황'!$C:$J,3,0))</f>
        <v>#N/A</v>
      </c>
      <c r="E639" s="74" t="e">
        <f>IF(VLOOKUP($B639,'1. 현장별 인원현황'!$C:$J,4,0)=0,"",VLOOKUP($B639,'1. 현장별 인원현황'!$C:$J,4,0))</f>
        <v>#N/A</v>
      </c>
      <c r="F639" s="70" t="e">
        <f>IF(VLOOKUP($B639,'1. 현장별 인원현황'!$C:$J,7,0)=0,"",VLOOKUP($B639,'1. 현장별 인원현황'!$C:$J,7,0))</f>
        <v>#N/A</v>
      </c>
      <c r="G639" s="72" t="e">
        <f>IF(VLOOKUP($B639,'1. 현장별 인원현황'!$C:$J,8,0)=0,"",VLOOKUP($B639,'1. 현장별 인원현황'!$C:$J,8,0))</f>
        <v>#N/A</v>
      </c>
      <c r="H639" s="67" t="s">
        <v>69</v>
      </c>
      <c r="I639" s="73"/>
      <c r="J639" s="73"/>
      <c r="K639" s="68"/>
      <c r="L639" s="67" t="s">
        <v>69</v>
      </c>
      <c r="M639" s="73"/>
      <c r="N639" s="73"/>
      <c r="O639" s="68" t="s">
        <v>69</v>
      </c>
      <c r="P639" s="67"/>
      <c r="Q639" s="73"/>
      <c r="R639" s="73"/>
      <c r="S639" s="68" t="s">
        <v>69</v>
      </c>
      <c r="T639" s="67"/>
      <c r="U639" s="73"/>
      <c r="V639" s="73"/>
      <c r="W639" s="68"/>
      <c r="X639" s="67" t="s">
        <v>69</v>
      </c>
      <c r="Y639" s="73"/>
      <c r="Z639" s="73"/>
      <c r="AA639" s="68"/>
      <c r="AB639" s="67" t="s">
        <v>69</v>
      </c>
      <c r="AC639" s="73"/>
      <c r="AD639" s="73"/>
      <c r="AE639" s="68" t="s">
        <v>69</v>
      </c>
      <c r="AF639" s="67"/>
      <c r="AG639" s="73"/>
      <c r="AH639" s="73"/>
      <c r="AI639" s="68" t="s">
        <v>69</v>
      </c>
      <c r="AJ639" s="67"/>
      <c r="AK639" s="73"/>
      <c r="AL639" s="73" t="s">
        <v>69</v>
      </c>
      <c r="AM639" s="68"/>
      <c r="AN639" s="73"/>
      <c r="AO639" s="73"/>
      <c r="AP639" s="73"/>
      <c r="AQ639" s="68"/>
      <c r="AR639" s="67">
        <f t="shared" si="398"/>
        <v>64</v>
      </c>
      <c r="AS639" s="68" t="str">
        <f t="shared" si="399"/>
        <v>B</v>
      </c>
      <c r="AV639" s="49">
        <f t="shared" si="320"/>
        <v>1</v>
      </c>
      <c r="AW639" s="49">
        <f t="shared" si="321"/>
        <v>0</v>
      </c>
      <c r="AX639" s="49">
        <f t="shared" si="322"/>
        <v>0</v>
      </c>
      <c r="AY639" s="49">
        <f t="shared" si="323"/>
        <v>0</v>
      </c>
      <c r="AZ639" s="49">
        <f t="shared" si="324"/>
        <v>1</v>
      </c>
      <c r="BA639" s="49">
        <f t="shared" si="325"/>
        <v>0</v>
      </c>
      <c r="BB639" s="49">
        <f t="shared" si="326"/>
        <v>0</v>
      </c>
      <c r="BC639" s="49">
        <f t="shared" si="327"/>
        <v>1</v>
      </c>
      <c r="BD639" s="49">
        <f t="shared" si="328"/>
        <v>0</v>
      </c>
      <c r="BE639" s="49">
        <f t="shared" si="329"/>
        <v>0</v>
      </c>
      <c r="BF639" s="49">
        <f t="shared" si="330"/>
        <v>0</v>
      </c>
      <c r="BG639" s="49">
        <f t="shared" si="331"/>
        <v>1</v>
      </c>
      <c r="BH639" s="49">
        <f t="shared" si="332"/>
        <v>0</v>
      </c>
      <c r="BI639" s="49">
        <f t="shared" si="333"/>
        <v>0</v>
      </c>
      <c r="BJ639" s="49">
        <f t="shared" si="334"/>
        <v>0</v>
      </c>
      <c r="BK639" s="49">
        <f t="shared" si="335"/>
        <v>0</v>
      </c>
      <c r="BL639" s="49">
        <f t="shared" si="336"/>
        <v>1</v>
      </c>
      <c r="BM639" s="49">
        <f t="shared" si="337"/>
        <v>0</v>
      </c>
      <c r="BN639" s="49">
        <f t="shared" si="338"/>
        <v>0</v>
      </c>
      <c r="BO639" s="49">
        <f t="shared" si="339"/>
        <v>0</v>
      </c>
      <c r="BP639" s="49">
        <f t="shared" si="340"/>
        <v>1</v>
      </c>
      <c r="BQ639" s="49">
        <f t="shared" si="341"/>
        <v>0</v>
      </c>
      <c r="BR639" s="49">
        <f t="shared" si="342"/>
        <v>0</v>
      </c>
      <c r="BS639" s="49">
        <f t="shared" si="343"/>
        <v>1</v>
      </c>
      <c r="BT639" s="49">
        <f t="shared" si="344"/>
        <v>0</v>
      </c>
      <c r="BU639" s="49">
        <f t="shared" si="345"/>
        <v>0</v>
      </c>
      <c r="BV639" s="49">
        <f t="shared" si="346"/>
        <v>0</v>
      </c>
      <c r="BW639" s="49">
        <f t="shared" si="347"/>
        <v>1</v>
      </c>
      <c r="BX639" s="49">
        <f t="shared" si="348"/>
        <v>0</v>
      </c>
      <c r="BY639" s="49">
        <f t="shared" si="349"/>
        <v>0</v>
      </c>
      <c r="BZ639" s="49">
        <f t="shared" si="350"/>
        <v>1</v>
      </c>
      <c r="CA639" s="49">
        <f t="shared" si="351"/>
        <v>0</v>
      </c>
      <c r="CB639" s="49">
        <f t="shared" si="352"/>
        <v>0</v>
      </c>
      <c r="CC639" s="49">
        <f t="shared" si="353"/>
        <v>0</v>
      </c>
      <c r="CD639" s="49">
        <f t="shared" si="354"/>
        <v>0</v>
      </c>
      <c r="CE639" s="49">
        <f t="shared" si="355"/>
        <v>0</v>
      </c>
    </row>
    <row r="640" spans="1:83" ht="35.1" customHeight="1" x14ac:dyDescent="0.3">
      <c r="A640" s="123" t="e">
        <f t="shared" si="396"/>
        <v>#N/A</v>
      </c>
      <c r="B640" s="69">
        <f t="shared" si="397"/>
        <v>634</v>
      </c>
      <c r="C640" s="120" t="e">
        <f>IF(VLOOKUP($B640,'1. 현장별 인원현황'!$C:$J,2,0)=0,"",VLOOKUP($B640,'1. 현장별 인원현황'!$C:$J,2,0))</f>
        <v>#N/A</v>
      </c>
      <c r="D640" s="70" t="e">
        <f>IF(VLOOKUP($B640,'1. 현장별 인원현황'!$C:$J,3,0)=0,"",VLOOKUP($B640,'1. 현장별 인원현황'!$C:$J,3,0))</f>
        <v>#N/A</v>
      </c>
      <c r="E640" s="74" t="e">
        <f>IF(VLOOKUP($B640,'1. 현장별 인원현황'!$C:$J,4,0)=0,"",VLOOKUP($B640,'1. 현장별 인원현황'!$C:$J,4,0))</f>
        <v>#N/A</v>
      </c>
      <c r="F640" s="70" t="e">
        <f>IF(VLOOKUP($B640,'1. 현장별 인원현황'!$C:$J,7,0)=0,"",VLOOKUP($B640,'1. 현장별 인원현황'!$C:$J,7,0))</f>
        <v>#N/A</v>
      </c>
      <c r="G640" s="72" t="e">
        <f>IF(VLOOKUP($B640,'1. 현장별 인원현황'!$C:$J,8,0)=0,"",VLOOKUP($B640,'1. 현장별 인원현황'!$C:$J,8,0))</f>
        <v>#N/A</v>
      </c>
      <c r="H640" s="67"/>
      <c r="I640" s="73"/>
      <c r="J640" s="73"/>
      <c r="K640" s="68"/>
      <c r="L640" s="67" t="s">
        <v>69</v>
      </c>
      <c r="M640" s="73"/>
      <c r="N640" s="73"/>
      <c r="O640" s="68" t="s">
        <v>69</v>
      </c>
      <c r="P640" s="67"/>
      <c r="Q640" s="73"/>
      <c r="R640" s="73"/>
      <c r="S640" s="68"/>
      <c r="T640" s="67" t="s">
        <v>69</v>
      </c>
      <c r="U640" s="73"/>
      <c r="V640" s="73"/>
      <c r="W640" s="68" t="s">
        <v>69</v>
      </c>
      <c r="X640" s="67"/>
      <c r="Y640" s="73"/>
      <c r="Z640" s="73"/>
      <c r="AA640" s="68"/>
      <c r="AB640" s="67" t="s">
        <v>69</v>
      </c>
      <c r="AC640" s="73"/>
      <c r="AD640" s="73"/>
      <c r="AE640" s="68" t="s">
        <v>69</v>
      </c>
      <c r="AF640" s="67"/>
      <c r="AG640" s="73"/>
      <c r="AH640" s="73"/>
      <c r="AI640" s="68"/>
      <c r="AJ640" s="67" t="s">
        <v>69</v>
      </c>
      <c r="AK640" s="73"/>
      <c r="AL640" s="73"/>
      <c r="AM640" s="68" t="s">
        <v>69</v>
      </c>
      <c r="AN640" s="73"/>
      <c r="AO640" s="73"/>
      <c r="AP640" s="73"/>
      <c r="AQ640" s="68"/>
      <c r="AR640" s="67">
        <f t="shared" si="398"/>
        <v>58</v>
      </c>
      <c r="AS640" s="68" t="str">
        <f t="shared" si="399"/>
        <v>B</v>
      </c>
      <c r="AV640" s="49">
        <f t="shared" si="320"/>
        <v>0</v>
      </c>
      <c r="AW640" s="49">
        <f t="shared" si="321"/>
        <v>0</v>
      </c>
      <c r="AX640" s="49">
        <f t="shared" si="322"/>
        <v>0</v>
      </c>
      <c r="AY640" s="49">
        <f t="shared" si="323"/>
        <v>0</v>
      </c>
      <c r="AZ640" s="49">
        <f t="shared" si="324"/>
        <v>1</v>
      </c>
      <c r="BA640" s="49">
        <f t="shared" si="325"/>
        <v>0</v>
      </c>
      <c r="BB640" s="49">
        <f t="shared" si="326"/>
        <v>0</v>
      </c>
      <c r="BC640" s="49">
        <f t="shared" si="327"/>
        <v>1</v>
      </c>
      <c r="BD640" s="49">
        <f t="shared" si="328"/>
        <v>0</v>
      </c>
      <c r="BE640" s="49">
        <f t="shared" si="329"/>
        <v>0</v>
      </c>
      <c r="BF640" s="49">
        <f t="shared" si="330"/>
        <v>0</v>
      </c>
      <c r="BG640" s="49">
        <f t="shared" si="331"/>
        <v>0</v>
      </c>
      <c r="BH640" s="49">
        <f t="shared" si="332"/>
        <v>1</v>
      </c>
      <c r="BI640" s="49">
        <f t="shared" si="333"/>
        <v>0</v>
      </c>
      <c r="BJ640" s="49">
        <f t="shared" si="334"/>
        <v>0</v>
      </c>
      <c r="BK640" s="49">
        <f t="shared" si="335"/>
        <v>1</v>
      </c>
      <c r="BL640" s="49">
        <f t="shared" si="336"/>
        <v>0</v>
      </c>
      <c r="BM640" s="49">
        <f t="shared" si="337"/>
        <v>0</v>
      </c>
      <c r="BN640" s="49">
        <f t="shared" si="338"/>
        <v>0</v>
      </c>
      <c r="BO640" s="49">
        <f t="shared" si="339"/>
        <v>0</v>
      </c>
      <c r="BP640" s="49">
        <f t="shared" si="340"/>
        <v>1</v>
      </c>
      <c r="BQ640" s="49">
        <f t="shared" si="341"/>
        <v>0</v>
      </c>
      <c r="BR640" s="49">
        <f t="shared" si="342"/>
        <v>0</v>
      </c>
      <c r="BS640" s="49">
        <f t="shared" si="343"/>
        <v>1</v>
      </c>
      <c r="BT640" s="49">
        <f t="shared" si="344"/>
        <v>0</v>
      </c>
      <c r="BU640" s="49">
        <f t="shared" si="345"/>
        <v>0</v>
      </c>
      <c r="BV640" s="49">
        <f t="shared" si="346"/>
        <v>0</v>
      </c>
      <c r="BW640" s="49">
        <f t="shared" si="347"/>
        <v>0</v>
      </c>
      <c r="BX640" s="49">
        <f t="shared" si="348"/>
        <v>1</v>
      </c>
      <c r="BY640" s="49">
        <f t="shared" si="349"/>
        <v>0</v>
      </c>
      <c r="BZ640" s="49">
        <f t="shared" si="350"/>
        <v>0</v>
      </c>
      <c r="CA640" s="49">
        <f t="shared" si="351"/>
        <v>1</v>
      </c>
      <c r="CB640" s="49">
        <f t="shared" si="352"/>
        <v>0</v>
      </c>
      <c r="CC640" s="49">
        <f t="shared" si="353"/>
        <v>0</v>
      </c>
      <c r="CD640" s="49">
        <f t="shared" si="354"/>
        <v>0</v>
      </c>
      <c r="CE640" s="49">
        <f t="shared" si="355"/>
        <v>0</v>
      </c>
    </row>
    <row r="641" spans="1:83" ht="35.1" customHeight="1" x14ac:dyDescent="0.3">
      <c r="A641" s="123" t="e">
        <f t="shared" si="396"/>
        <v>#N/A</v>
      </c>
      <c r="B641" s="69">
        <f t="shared" si="397"/>
        <v>635</v>
      </c>
      <c r="C641" s="120" t="e">
        <f>IF(VLOOKUP($B641,'1. 현장별 인원현황'!$C:$J,2,0)=0,"",VLOOKUP($B641,'1. 현장별 인원현황'!$C:$J,2,0))</f>
        <v>#N/A</v>
      </c>
      <c r="D641" s="70" t="e">
        <f>IF(VLOOKUP($B641,'1. 현장별 인원현황'!$C:$J,3,0)=0,"",VLOOKUP($B641,'1. 현장별 인원현황'!$C:$J,3,0))</f>
        <v>#N/A</v>
      </c>
      <c r="E641" s="74" t="e">
        <f>IF(VLOOKUP($B641,'1. 현장별 인원현황'!$C:$J,4,0)=0,"",VLOOKUP($B641,'1. 현장별 인원현황'!$C:$J,4,0))</f>
        <v>#N/A</v>
      </c>
      <c r="F641" s="70" t="e">
        <f>IF(VLOOKUP($B641,'1. 현장별 인원현황'!$C:$J,7,0)=0,"",VLOOKUP($B641,'1. 현장별 인원현황'!$C:$J,7,0))</f>
        <v>#N/A</v>
      </c>
      <c r="G641" s="72" t="e">
        <f>IF(VLOOKUP($B641,'1. 현장별 인원현황'!$C:$J,8,0)=0,"",VLOOKUP($B641,'1. 현장별 인원현황'!$C:$J,8,0))</f>
        <v>#N/A</v>
      </c>
      <c r="H641" s="67" t="s">
        <v>69</v>
      </c>
      <c r="I641" s="73"/>
      <c r="J641" s="73"/>
      <c r="K641" s="68" t="s">
        <v>69</v>
      </c>
      <c r="L641" s="67"/>
      <c r="M641" s="73"/>
      <c r="N641" s="73"/>
      <c r="O641" s="68" t="s">
        <v>69</v>
      </c>
      <c r="P641" s="67"/>
      <c r="Q641" s="73"/>
      <c r="R641" s="73" t="s">
        <v>69</v>
      </c>
      <c r="S641" s="68"/>
      <c r="T641" s="67"/>
      <c r="U641" s="73"/>
      <c r="V641" s="73"/>
      <c r="W641" s="68" t="s">
        <v>69</v>
      </c>
      <c r="X641" s="67"/>
      <c r="Y641" s="73"/>
      <c r="Z641" s="73"/>
      <c r="AA641" s="68"/>
      <c r="AB641" s="67" t="s">
        <v>69</v>
      </c>
      <c r="AC641" s="73"/>
      <c r="AD641" s="73"/>
      <c r="AE641" s="68"/>
      <c r="AF641" s="67" t="s">
        <v>69</v>
      </c>
      <c r="AG641" s="73"/>
      <c r="AH641" s="73"/>
      <c r="AI641" s="68"/>
      <c r="AJ641" s="67" t="s">
        <v>69</v>
      </c>
      <c r="AK641" s="73"/>
      <c r="AL641" s="73"/>
      <c r="AM641" s="68" t="s">
        <v>69</v>
      </c>
      <c r="AN641" s="73"/>
      <c r="AO641" s="73"/>
      <c r="AP641" s="73"/>
      <c r="AQ641" s="68"/>
      <c r="AR641" s="67">
        <f t="shared" si="398"/>
        <v>63</v>
      </c>
      <c r="AS641" s="68" t="str">
        <f t="shared" si="399"/>
        <v>B</v>
      </c>
      <c r="AV641" s="49">
        <f t="shared" si="320"/>
        <v>1</v>
      </c>
      <c r="AW641" s="49">
        <f t="shared" si="321"/>
        <v>0</v>
      </c>
      <c r="AX641" s="49">
        <f t="shared" si="322"/>
        <v>0</v>
      </c>
      <c r="AY641" s="49">
        <f t="shared" si="323"/>
        <v>1</v>
      </c>
      <c r="AZ641" s="49">
        <f t="shared" si="324"/>
        <v>0</v>
      </c>
      <c r="BA641" s="49">
        <f t="shared" si="325"/>
        <v>0</v>
      </c>
      <c r="BB641" s="49">
        <f t="shared" si="326"/>
        <v>0</v>
      </c>
      <c r="BC641" s="49">
        <f t="shared" si="327"/>
        <v>1</v>
      </c>
      <c r="BD641" s="49">
        <f t="shared" si="328"/>
        <v>0</v>
      </c>
      <c r="BE641" s="49">
        <f t="shared" si="329"/>
        <v>0</v>
      </c>
      <c r="BF641" s="49">
        <f t="shared" si="330"/>
        <v>1</v>
      </c>
      <c r="BG641" s="49">
        <f t="shared" si="331"/>
        <v>0</v>
      </c>
      <c r="BH641" s="49">
        <f t="shared" si="332"/>
        <v>0</v>
      </c>
      <c r="BI641" s="49">
        <f t="shared" si="333"/>
        <v>0</v>
      </c>
      <c r="BJ641" s="49">
        <f t="shared" si="334"/>
        <v>0</v>
      </c>
      <c r="BK641" s="49">
        <f t="shared" si="335"/>
        <v>1</v>
      </c>
      <c r="BL641" s="49">
        <f t="shared" si="336"/>
        <v>0</v>
      </c>
      <c r="BM641" s="49">
        <f t="shared" si="337"/>
        <v>0</v>
      </c>
      <c r="BN641" s="49">
        <f t="shared" si="338"/>
        <v>0</v>
      </c>
      <c r="BO641" s="49">
        <f t="shared" si="339"/>
        <v>0</v>
      </c>
      <c r="BP641" s="49">
        <f t="shared" si="340"/>
        <v>1</v>
      </c>
      <c r="BQ641" s="49">
        <f t="shared" si="341"/>
        <v>0</v>
      </c>
      <c r="BR641" s="49">
        <f t="shared" si="342"/>
        <v>0</v>
      </c>
      <c r="BS641" s="49">
        <f t="shared" si="343"/>
        <v>0</v>
      </c>
      <c r="BT641" s="49">
        <f t="shared" si="344"/>
        <v>1</v>
      </c>
      <c r="BU641" s="49">
        <f t="shared" si="345"/>
        <v>0</v>
      </c>
      <c r="BV641" s="49">
        <f t="shared" si="346"/>
        <v>0</v>
      </c>
      <c r="BW641" s="49">
        <f t="shared" si="347"/>
        <v>0</v>
      </c>
      <c r="BX641" s="49">
        <f t="shared" si="348"/>
        <v>1</v>
      </c>
      <c r="BY641" s="49">
        <f t="shared" si="349"/>
        <v>0</v>
      </c>
      <c r="BZ641" s="49">
        <f t="shared" si="350"/>
        <v>0</v>
      </c>
      <c r="CA641" s="49">
        <f t="shared" si="351"/>
        <v>1</v>
      </c>
      <c r="CB641" s="49">
        <f t="shared" si="352"/>
        <v>0</v>
      </c>
      <c r="CC641" s="49">
        <f t="shared" si="353"/>
        <v>0</v>
      </c>
      <c r="CD641" s="49">
        <f t="shared" si="354"/>
        <v>0</v>
      </c>
      <c r="CE641" s="49">
        <f t="shared" si="355"/>
        <v>0</v>
      </c>
    </row>
    <row r="642" spans="1:83" ht="35.1" customHeight="1" x14ac:dyDescent="0.3">
      <c r="A642" s="123" t="e">
        <f t="shared" si="396"/>
        <v>#N/A</v>
      </c>
      <c r="B642" s="69">
        <f t="shared" si="397"/>
        <v>636</v>
      </c>
      <c r="C642" s="120" t="e">
        <f>IF(VLOOKUP($B642,'1. 현장별 인원현황'!$C:$J,2,0)=0,"",VLOOKUP($B642,'1. 현장별 인원현황'!$C:$J,2,0))</f>
        <v>#N/A</v>
      </c>
      <c r="D642" s="70" t="e">
        <f>IF(VLOOKUP($B642,'1. 현장별 인원현황'!$C:$J,3,0)=0,"",VLOOKUP($B642,'1. 현장별 인원현황'!$C:$J,3,0))</f>
        <v>#N/A</v>
      </c>
      <c r="E642" s="74" t="e">
        <f>IF(VLOOKUP($B642,'1. 현장별 인원현황'!$C:$J,4,0)=0,"",VLOOKUP($B642,'1. 현장별 인원현황'!$C:$J,4,0))</f>
        <v>#N/A</v>
      </c>
      <c r="F642" s="70" t="e">
        <f>IF(VLOOKUP($B642,'1. 현장별 인원현황'!$C:$J,7,0)=0,"",VLOOKUP($B642,'1. 현장별 인원현황'!$C:$J,7,0))</f>
        <v>#N/A</v>
      </c>
      <c r="G642" s="72" t="e">
        <f>IF(VLOOKUP($B642,'1. 현장별 인원현황'!$C:$J,8,0)=0,"",VLOOKUP($B642,'1. 현장별 인원현황'!$C:$J,8,0))</f>
        <v>#N/A</v>
      </c>
      <c r="H642" s="67"/>
      <c r="I642" s="73"/>
      <c r="J642" s="73" t="s">
        <v>69</v>
      </c>
      <c r="K642" s="68"/>
      <c r="L642" s="67"/>
      <c r="M642" s="73"/>
      <c r="N642" s="73"/>
      <c r="O642" s="68" t="s">
        <v>69</v>
      </c>
      <c r="P642" s="67"/>
      <c r="Q642" s="73"/>
      <c r="R642" s="73"/>
      <c r="S642" s="68"/>
      <c r="T642" s="67" t="s">
        <v>69</v>
      </c>
      <c r="U642" s="73"/>
      <c r="V642" s="73" t="s">
        <v>69</v>
      </c>
      <c r="W642" s="68"/>
      <c r="X642" s="67"/>
      <c r="Y642" s="73"/>
      <c r="Z642" s="73"/>
      <c r="AA642" s="68"/>
      <c r="AB642" s="67" t="s">
        <v>69</v>
      </c>
      <c r="AC642" s="73"/>
      <c r="AD642" s="73"/>
      <c r="AE642" s="68"/>
      <c r="AF642" s="67" t="s">
        <v>69</v>
      </c>
      <c r="AG642" s="73"/>
      <c r="AH642" s="73"/>
      <c r="AI642" s="68" t="s">
        <v>69</v>
      </c>
      <c r="AJ642" s="67"/>
      <c r="AK642" s="73"/>
      <c r="AL642" s="73"/>
      <c r="AM642" s="68" t="s">
        <v>69</v>
      </c>
      <c r="AN642" s="73"/>
      <c r="AO642" s="73"/>
      <c r="AP642" s="73"/>
      <c r="AQ642" s="68"/>
      <c r="AR642" s="67">
        <f t="shared" si="398"/>
        <v>52</v>
      </c>
      <c r="AS642" s="68" t="str">
        <f t="shared" si="399"/>
        <v>B</v>
      </c>
      <c r="AV642" s="49">
        <f t="shared" si="320"/>
        <v>0</v>
      </c>
      <c r="AW642" s="49">
        <f t="shared" si="321"/>
        <v>0</v>
      </c>
      <c r="AX642" s="49">
        <f t="shared" si="322"/>
        <v>1</v>
      </c>
      <c r="AY642" s="49">
        <f t="shared" si="323"/>
        <v>0</v>
      </c>
      <c r="AZ642" s="49">
        <f t="shared" si="324"/>
        <v>0</v>
      </c>
      <c r="BA642" s="49">
        <f t="shared" si="325"/>
        <v>0</v>
      </c>
      <c r="BB642" s="49">
        <f t="shared" si="326"/>
        <v>0</v>
      </c>
      <c r="BC642" s="49">
        <f t="shared" si="327"/>
        <v>1</v>
      </c>
      <c r="BD642" s="49">
        <f t="shared" si="328"/>
        <v>0</v>
      </c>
      <c r="BE642" s="49">
        <f t="shared" si="329"/>
        <v>0</v>
      </c>
      <c r="BF642" s="49">
        <f t="shared" si="330"/>
        <v>0</v>
      </c>
      <c r="BG642" s="49">
        <f t="shared" si="331"/>
        <v>0</v>
      </c>
      <c r="BH642" s="49">
        <f t="shared" si="332"/>
        <v>1</v>
      </c>
      <c r="BI642" s="49">
        <f t="shared" si="333"/>
        <v>0</v>
      </c>
      <c r="BJ642" s="49">
        <f t="shared" si="334"/>
        <v>1</v>
      </c>
      <c r="BK642" s="49">
        <f t="shared" si="335"/>
        <v>0</v>
      </c>
      <c r="BL642" s="49">
        <f t="shared" si="336"/>
        <v>0</v>
      </c>
      <c r="BM642" s="49">
        <f t="shared" si="337"/>
        <v>0</v>
      </c>
      <c r="BN642" s="49">
        <f t="shared" si="338"/>
        <v>0</v>
      </c>
      <c r="BO642" s="49">
        <f t="shared" si="339"/>
        <v>0</v>
      </c>
      <c r="BP642" s="49">
        <f t="shared" si="340"/>
        <v>1</v>
      </c>
      <c r="BQ642" s="49">
        <f t="shared" si="341"/>
        <v>0</v>
      </c>
      <c r="BR642" s="49">
        <f t="shared" si="342"/>
        <v>0</v>
      </c>
      <c r="BS642" s="49">
        <f t="shared" si="343"/>
        <v>0</v>
      </c>
      <c r="BT642" s="49">
        <f t="shared" si="344"/>
        <v>1</v>
      </c>
      <c r="BU642" s="49">
        <f t="shared" si="345"/>
        <v>0</v>
      </c>
      <c r="BV642" s="49">
        <f t="shared" si="346"/>
        <v>0</v>
      </c>
      <c r="BW642" s="49">
        <f t="shared" si="347"/>
        <v>1</v>
      </c>
      <c r="BX642" s="49">
        <f t="shared" si="348"/>
        <v>0</v>
      </c>
      <c r="BY642" s="49">
        <f t="shared" si="349"/>
        <v>0</v>
      </c>
      <c r="BZ642" s="49">
        <f t="shared" si="350"/>
        <v>0</v>
      </c>
      <c r="CA642" s="49">
        <f t="shared" si="351"/>
        <v>1</v>
      </c>
      <c r="CB642" s="49">
        <f t="shared" si="352"/>
        <v>0</v>
      </c>
      <c r="CC642" s="49">
        <f t="shared" si="353"/>
        <v>0</v>
      </c>
      <c r="CD642" s="49">
        <f t="shared" si="354"/>
        <v>0</v>
      </c>
      <c r="CE642" s="49">
        <f t="shared" si="355"/>
        <v>0</v>
      </c>
    </row>
    <row r="643" spans="1:83" ht="35.1" customHeight="1" x14ac:dyDescent="0.3">
      <c r="A643" s="123" t="e">
        <f t="shared" si="396"/>
        <v>#N/A</v>
      </c>
      <c r="B643" s="69">
        <f t="shared" si="397"/>
        <v>637</v>
      </c>
      <c r="C643" s="120" t="e">
        <f>IF(VLOOKUP($B643,'1. 현장별 인원현황'!$C:$J,2,0)=0,"",VLOOKUP($B643,'1. 현장별 인원현황'!$C:$J,2,0))</f>
        <v>#N/A</v>
      </c>
      <c r="D643" s="70" t="e">
        <f>IF(VLOOKUP($B643,'1. 현장별 인원현황'!$C:$J,3,0)=0,"",VLOOKUP($B643,'1. 현장별 인원현황'!$C:$J,3,0))</f>
        <v>#N/A</v>
      </c>
      <c r="E643" s="74" t="e">
        <f>IF(VLOOKUP($B643,'1. 현장별 인원현황'!$C:$J,4,0)=0,"",VLOOKUP($B643,'1. 현장별 인원현황'!$C:$J,4,0))</f>
        <v>#N/A</v>
      </c>
      <c r="F643" s="70" t="e">
        <f>IF(VLOOKUP($B643,'1. 현장별 인원현황'!$C:$J,7,0)=0,"",VLOOKUP($B643,'1. 현장별 인원현황'!$C:$J,7,0))</f>
        <v>#N/A</v>
      </c>
      <c r="G643" s="72" t="e">
        <f>IF(VLOOKUP($B643,'1. 현장별 인원현황'!$C:$J,8,0)=0,"",VLOOKUP($B643,'1. 현장별 인원현황'!$C:$J,8,0))</f>
        <v>#N/A</v>
      </c>
      <c r="H643" s="67"/>
      <c r="I643" s="73"/>
      <c r="J643" s="73"/>
      <c r="K643" s="68"/>
      <c r="L643" s="67" t="s">
        <v>69</v>
      </c>
      <c r="M643" s="73"/>
      <c r="N643" s="73"/>
      <c r="O643" s="68"/>
      <c r="P643" s="67" t="s">
        <v>69</v>
      </c>
      <c r="Q643" s="73"/>
      <c r="R643" s="73"/>
      <c r="S643" s="68" t="s">
        <v>69</v>
      </c>
      <c r="T643" s="67"/>
      <c r="U643" s="73"/>
      <c r="V643" s="73"/>
      <c r="W643" s="68"/>
      <c r="X643" s="67"/>
      <c r="Y643" s="73"/>
      <c r="Z643" s="73"/>
      <c r="AA643" s="68" t="s">
        <v>69</v>
      </c>
      <c r="AB643" s="67"/>
      <c r="AC643" s="73"/>
      <c r="AD643" s="73"/>
      <c r="AE643" s="68" t="s">
        <v>69</v>
      </c>
      <c r="AF643" s="67"/>
      <c r="AG643" s="73"/>
      <c r="AH643" s="73"/>
      <c r="AI643" s="68" t="s">
        <v>69</v>
      </c>
      <c r="AJ643" s="67"/>
      <c r="AK643" s="73"/>
      <c r="AL643" s="73"/>
      <c r="AM643" s="68" t="s">
        <v>69</v>
      </c>
      <c r="AN643" s="73"/>
      <c r="AO643" s="73"/>
      <c r="AP643" s="73"/>
      <c r="AQ643" s="68"/>
      <c r="AR643" s="67">
        <f t="shared" si="398"/>
        <v>42</v>
      </c>
      <c r="AS643" s="68" t="str">
        <f t="shared" si="399"/>
        <v>C</v>
      </c>
      <c r="AV643" s="49">
        <f t="shared" si="320"/>
        <v>0</v>
      </c>
      <c r="AW643" s="49">
        <f t="shared" si="321"/>
        <v>0</v>
      </c>
      <c r="AX643" s="49">
        <f t="shared" si="322"/>
        <v>0</v>
      </c>
      <c r="AY643" s="49">
        <f t="shared" si="323"/>
        <v>0</v>
      </c>
      <c r="AZ643" s="49">
        <f t="shared" si="324"/>
        <v>1</v>
      </c>
      <c r="BA643" s="49">
        <f t="shared" si="325"/>
        <v>0</v>
      </c>
      <c r="BB643" s="49">
        <f t="shared" si="326"/>
        <v>0</v>
      </c>
      <c r="BC643" s="49">
        <f t="shared" si="327"/>
        <v>0</v>
      </c>
      <c r="BD643" s="49">
        <f t="shared" si="328"/>
        <v>1</v>
      </c>
      <c r="BE643" s="49">
        <f t="shared" si="329"/>
        <v>0</v>
      </c>
      <c r="BF643" s="49">
        <f t="shared" si="330"/>
        <v>0</v>
      </c>
      <c r="BG643" s="49">
        <f t="shared" si="331"/>
        <v>1</v>
      </c>
      <c r="BH643" s="49">
        <f t="shared" si="332"/>
        <v>0</v>
      </c>
      <c r="BI643" s="49">
        <f t="shared" si="333"/>
        <v>0</v>
      </c>
      <c r="BJ643" s="49">
        <f t="shared" si="334"/>
        <v>0</v>
      </c>
      <c r="BK643" s="49">
        <f t="shared" si="335"/>
        <v>0</v>
      </c>
      <c r="BL643" s="49">
        <f t="shared" si="336"/>
        <v>0</v>
      </c>
      <c r="BM643" s="49">
        <f t="shared" si="337"/>
        <v>0</v>
      </c>
      <c r="BN643" s="49">
        <f t="shared" si="338"/>
        <v>0</v>
      </c>
      <c r="BO643" s="49">
        <f t="shared" si="339"/>
        <v>1</v>
      </c>
      <c r="BP643" s="49">
        <f t="shared" si="340"/>
        <v>0</v>
      </c>
      <c r="BQ643" s="49">
        <f t="shared" si="341"/>
        <v>0</v>
      </c>
      <c r="BR643" s="49">
        <f t="shared" si="342"/>
        <v>0</v>
      </c>
      <c r="BS643" s="49">
        <f t="shared" si="343"/>
        <v>1</v>
      </c>
      <c r="BT643" s="49">
        <f t="shared" si="344"/>
        <v>0</v>
      </c>
      <c r="BU643" s="49">
        <f t="shared" si="345"/>
        <v>0</v>
      </c>
      <c r="BV643" s="49">
        <f t="shared" si="346"/>
        <v>0</v>
      </c>
      <c r="BW643" s="49">
        <f t="shared" si="347"/>
        <v>1</v>
      </c>
      <c r="BX643" s="49">
        <f t="shared" si="348"/>
        <v>0</v>
      </c>
      <c r="BY643" s="49">
        <f t="shared" si="349"/>
        <v>0</v>
      </c>
      <c r="BZ643" s="49">
        <f t="shared" si="350"/>
        <v>0</v>
      </c>
      <c r="CA643" s="49">
        <f t="shared" si="351"/>
        <v>1</v>
      </c>
      <c r="CB643" s="49">
        <f t="shared" si="352"/>
        <v>0</v>
      </c>
      <c r="CC643" s="49">
        <f t="shared" si="353"/>
        <v>0</v>
      </c>
      <c r="CD643" s="49">
        <f t="shared" si="354"/>
        <v>0</v>
      </c>
      <c r="CE643" s="49">
        <f t="shared" si="355"/>
        <v>0</v>
      </c>
    </row>
    <row r="644" spans="1:83" ht="35.1" customHeight="1" x14ac:dyDescent="0.3">
      <c r="A644" s="123" t="e">
        <f t="shared" si="396"/>
        <v>#N/A</v>
      </c>
      <c r="B644" s="69">
        <f t="shared" si="397"/>
        <v>638</v>
      </c>
      <c r="C644" s="120" t="e">
        <f>IF(VLOOKUP($B644,'1. 현장별 인원현황'!$C:$J,2,0)=0,"",VLOOKUP($B644,'1. 현장별 인원현황'!$C:$J,2,0))</f>
        <v>#N/A</v>
      </c>
      <c r="D644" s="70" t="e">
        <f>IF(VLOOKUP($B644,'1. 현장별 인원현황'!$C:$J,3,0)=0,"",VLOOKUP($B644,'1. 현장별 인원현황'!$C:$J,3,0))</f>
        <v>#N/A</v>
      </c>
      <c r="E644" s="74" t="e">
        <f>IF(VLOOKUP($B644,'1. 현장별 인원현황'!$C:$J,4,0)=0,"",VLOOKUP($B644,'1. 현장별 인원현황'!$C:$J,4,0))</f>
        <v>#N/A</v>
      </c>
      <c r="F644" s="70" t="e">
        <f>IF(VLOOKUP($B644,'1. 현장별 인원현황'!$C:$J,7,0)=0,"",VLOOKUP($B644,'1. 현장별 인원현황'!$C:$J,7,0))</f>
        <v>#N/A</v>
      </c>
      <c r="G644" s="72" t="e">
        <f>IF(VLOOKUP($B644,'1. 현장별 인원현황'!$C:$J,8,0)=0,"",VLOOKUP($B644,'1. 현장별 인원현황'!$C:$J,8,0))</f>
        <v>#N/A</v>
      </c>
      <c r="H644" s="67" t="s">
        <v>69</v>
      </c>
      <c r="I644" s="73"/>
      <c r="J644" s="73"/>
      <c r="K644" s="68"/>
      <c r="L644" s="67" t="s">
        <v>69</v>
      </c>
      <c r="M644" s="73"/>
      <c r="N644" s="73"/>
      <c r="O644" s="68"/>
      <c r="P644" s="67" t="s">
        <v>69</v>
      </c>
      <c r="Q644" s="73"/>
      <c r="R644" s="73"/>
      <c r="S644" s="68" t="s">
        <v>69</v>
      </c>
      <c r="T644" s="67"/>
      <c r="U644" s="73"/>
      <c r="V644" s="73"/>
      <c r="W644" s="68"/>
      <c r="X644" s="67"/>
      <c r="Y644" s="73"/>
      <c r="Z644" s="73" t="s">
        <v>69</v>
      </c>
      <c r="AA644" s="68"/>
      <c r="AB644" s="67"/>
      <c r="AC644" s="73"/>
      <c r="AD644" s="73"/>
      <c r="AE644" s="68" t="s">
        <v>69</v>
      </c>
      <c r="AF644" s="67"/>
      <c r="AG644" s="73"/>
      <c r="AH644" s="73"/>
      <c r="AI644" s="68"/>
      <c r="AJ644" s="67" t="s">
        <v>69</v>
      </c>
      <c r="AK644" s="73"/>
      <c r="AL644" s="73"/>
      <c r="AM644" s="68"/>
      <c r="AN644" s="73" t="s">
        <v>69</v>
      </c>
      <c r="AO644" s="73"/>
      <c r="AP644" s="73"/>
      <c r="AQ644" s="68"/>
      <c r="AR644" s="67">
        <f t="shared" si="398"/>
        <v>73</v>
      </c>
      <c r="AS644" s="68" t="str">
        <f t="shared" si="399"/>
        <v>A</v>
      </c>
      <c r="AV644" s="49">
        <f t="shared" si="320"/>
        <v>1</v>
      </c>
      <c r="AW644" s="49">
        <f t="shared" si="321"/>
        <v>0</v>
      </c>
      <c r="AX644" s="49">
        <f t="shared" si="322"/>
        <v>0</v>
      </c>
      <c r="AY644" s="49">
        <f t="shared" si="323"/>
        <v>0</v>
      </c>
      <c r="AZ644" s="49">
        <f t="shared" si="324"/>
        <v>1</v>
      </c>
      <c r="BA644" s="49">
        <f t="shared" si="325"/>
        <v>0</v>
      </c>
      <c r="BB644" s="49">
        <f t="shared" si="326"/>
        <v>0</v>
      </c>
      <c r="BC644" s="49">
        <f t="shared" si="327"/>
        <v>0</v>
      </c>
      <c r="BD644" s="49">
        <f t="shared" si="328"/>
        <v>1</v>
      </c>
      <c r="BE644" s="49">
        <f t="shared" si="329"/>
        <v>0</v>
      </c>
      <c r="BF644" s="49">
        <f t="shared" si="330"/>
        <v>0</v>
      </c>
      <c r="BG644" s="49">
        <f t="shared" si="331"/>
        <v>1</v>
      </c>
      <c r="BH644" s="49">
        <f t="shared" si="332"/>
        <v>0</v>
      </c>
      <c r="BI644" s="49">
        <f t="shared" si="333"/>
        <v>0</v>
      </c>
      <c r="BJ644" s="49">
        <f t="shared" si="334"/>
        <v>0</v>
      </c>
      <c r="BK644" s="49">
        <f t="shared" si="335"/>
        <v>0</v>
      </c>
      <c r="BL644" s="49">
        <f t="shared" si="336"/>
        <v>0</v>
      </c>
      <c r="BM644" s="49">
        <f t="shared" si="337"/>
        <v>0</v>
      </c>
      <c r="BN644" s="49">
        <f t="shared" si="338"/>
        <v>1</v>
      </c>
      <c r="BO644" s="49">
        <f t="shared" si="339"/>
        <v>0</v>
      </c>
      <c r="BP644" s="49">
        <f t="shared" si="340"/>
        <v>0</v>
      </c>
      <c r="BQ644" s="49">
        <f t="shared" si="341"/>
        <v>0</v>
      </c>
      <c r="BR644" s="49">
        <f t="shared" si="342"/>
        <v>0</v>
      </c>
      <c r="BS644" s="49">
        <f t="shared" si="343"/>
        <v>1</v>
      </c>
      <c r="BT644" s="49">
        <f t="shared" si="344"/>
        <v>0</v>
      </c>
      <c r="BU644" s="49">
        <f t="shared" si="345"/>
        <v>0</v>
      </c>
      <c r="BV644" s="49">
        <f t="shared" si="346"/>
        <v>0</v>
      </c>
      <c r="BW644" s="49">
        <f t="shared" si="347"/>
        <v>0</v>
      </c>
      <c r="BX644" s="49">
        <f t="shared" si="348"/>
        <v>1</v>
      </c>
      <c r="BY644" s="49">
        <f t="shared" si="349"/>
        <v>0</v>
      </c>
      <c r="BZ644" s="49">
        <f t="shared" si="350"/>
        <v>0</v>
      </c>
      <c r="CA644" s="49">
        <f t="shared" si="351"/>
        <v>0</v>
      </c>
      <c r="CB644" s="49">
        <f t="shared" si="352"/>
        <v>1</v>
      </c>
      <c r="CC644" s="49">
        <f t="shared" si="353"/>
        <v>0</v>
      </c>
      <c r="CD644" s="49">
        <f t="shared" si="354"/>
        <v>0</v>
      </c>
      <c r="CE644" s="49">
        <f t="shared" si="355"/>
        <v>0</v>
      </c>
    </row>
  </sheetData>
  <autoFilter ref="A6:AS6" xr:uid="{A23F9560-9ED4-4313-A89D-E82763C21AEC}"/>
  <mergeCells count="8">
    <mergeCell ref="AS2:AS5"/>
    <mergeCell ref="B2:B5"/>
    <mergeCell ref="D2:D5"/>
    <mergeCell ref="E2:E5"/>
    <mergeCell ref="F2:F5"/>
    <mergeCell ref="G2:G5"/>
    <mergeCell ref="AR2:AR5"/>
    <mergeCell ref="C2:C5"/>
  </mergeCells>
  <phoneticPr fontId="4" type="noConversion"/>
  <conditionalFormatting sqref="B7:AS98">
    <cfRule type="expression" dxfId="30" priority="479">
      <formula>TEXT($C7,0)=TEXT($C8,0)=FALSE</formula>
    </cfRule>
  </conditionalFormatting>
  <conditionalFormatting sqref="B99:AS99 B644:AS644">
    <cfRule type="expression" dxfId="29" priority="993">
      <formula>TEXT($C99,0)=TEXT(#REF!,0)=FALSE</formula>
    </cfRule>
  </conditionalFormatting>
  <conditionalFormatting sqref="B100:AS643">
    <cfRule type="expression" dxfId="28" priority="1">
      <formula>TEXT($C100,0)=TEXT($C101,0)=FALSE</formula>
    </cfRule>
  </conditionalFormatting>
  <conditionalFormatting sqref="E7:E644">
    <cfRule type="cellIs" dxfId="27" priority="485" operator="lessThan">
      <formula>0</formula>
    </cfRule>
  </conditionalFormatting>
  <conditionalFormatting sqref="H7:AQ644">
    <cfRule type="cellIs" dxfId="26" priority="480" operator="equal">
      <formula>"O"</formula>
    </cfRule>
  </conditionalFormatting>
  <printOptions horizontalCentered="1"/>
  <pageMargins left="0.19685039370078741" right="0.19685039370078741" top="0.59055118110236227" bottom="0.39370078740157483" header="0.31496062992125984" footer="0.31496062992125984"/>
  <pageSetup paperSize="8" scale="41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8C12-A854-496A-9685-4E3F2304D51B}">
  <sheetPr>
    <tabColor theme="6" tint="0.79998168889431442"/>
    <pageSetUpPr fitToPage="1"/>
  </sheetPr>
  <dimension ref="A1:BW644"/>
  <sheetViews>
    <sheetView tabSelected="1" view="pageBreakPreview" topLeftCell="A406" zoomScale="55" zoomScaleNormal="100" zoomScaleSheetLayoutView="55" workbookViewId="0">
      <selection activeCell="Y623" sqref="Y623"/>
    </sheetView>
  </sheetViews>
  <sheetFormatPr defaultRowHeight="24.95" customHeight="1" x14ac:dyDescent="0.3"/>
  <cols>
    <col min="1" max="1" width="9" style="123"/>
    <col min="2" max="2" width="9" style="49"/>
    <col min="3" max="3" width="60.625" style="49" customWidth="1"/>
    <col min="4" max="7" width="10.625" style="49" customWidth="1"/>
    <col min="8" max="39" width="9" style="49"/>
    <col min="40" max="41" width="12.625" style="49" customWidth="1"/>
    <col min="42" max="43" width="9" style="49"/>
    <col min="44" max="75" width="9" style="49" hidden="1" customWidth="1"/>
    <col min="76" max="76" width="0" style="49" hidden="1" customWidth="1"/>
    <col min="77" max="16384" width="9" style="49"/>
  </cols>
  <sheetData>
    <row r="1" spans="1:75" ht="75" customHeight="1" thickBot="1" x14ac:dyDescent="0.35">
      <c r="B1" s="48" t="s">
        <v>83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</row>
    <row r="2" spans="1:75" ht="35.1" customHeight="1" x14ac:dyDescent="0.3">
      <c r="B2" s="144" t="s">
        <v>55</v>
      </c>
      <c r="C2" s="147" t="s">
        <v>13</v>
      </c>
      <c r="D2" s="147" t="s">
        <v>35</v>
      </c>
      <c r="E2" s="147" t="s">
        <v>36</v>
      </c>
      <c r="F2" s="147" t="s">
        <v>38</v>
      </c>
      <c r="G2" s="150" t="s">
        <v>38</v>
      </c>
      <c r="H2" s="50" t="s">
        <v>67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2"/>
      <c r="AB2" s="50" t="s">
        <v>68</v>
      </c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2"/>
      <c r="AN2" s="153" t="s">
        <v>56</v>
      </c>
      <c r="AO2" s="142" t="s">
        <v>57</v>
      </c>
    </row>
    <row r="3" spans="1:75" ht="35.1" customHeight="1" x14ac:dyDescent="0.3">
      <c r="B3" s="145"/>
      <c r="C3" s="148"/>
      <c r="D3" s="148"/>
      <c r="E3" s="148"/>
      <c r="F3" s="148"/>
      <c r="G3" s="151"/>
      <c r="H3" s="57" t="s">
        <v>81</v>
      </c>
      <c r="I3" s="58"/>
      <c r="J3" s="58"/>
      <c r="K3" s="59"/>
      <c r="L3" s="57" t="s">
        <v>70</v>
      </c>
      <c r="M3" s="58"/>
      <c r="N3" s="58"/>
      <c r="O3" s="59"/>
      <c r="P3" s="57" t="s">
        <v>71</v>
      </c>
      <c r="Q3" s="58"/>
      <c r="R3" s="58"/>
      <c r="S3" s="59"/>
      <c r="T3" s="57" t="s">
        <v>72</v>
      </c>
      <c r="U3" s="58"/>
      <c r="V3" s="58"/>
      <c r="W3" s="59"/>
      <c r="X3" s="57" t="s">
        <v>73</v>
      </c>
      <c r="Y3" s="58"/>
      <c r="Z3" s="58"/>
      <c r="AA3" s="59"/>
      <c r="AB3" s="57" t="s">
        <v>74</v>
      </c>
      <c r="AC3" s="58"/>
      <c r="AD3" s="58"/>
      <c r="AE3" s="59"/>
      <c r="AF3" s="57" t="s">
        <v>75</v>
      </c>
      <c r="AG3" s="58"/>
      <c r="AH3" s="58"/>
      <c r="AI3" s="59"/>
      <c r="AJ3" s="57" t="s">
        <v>76</v>
      </c>
      <c r="AK3" s="58"/>
      <c r="AL3" s="58"/>
      <c r="AM3" s="59"/>
      <c r="AN3" s="154"/>
      <c r="AO3" s="143"/>
    </row>
    <row r="4" spans="1:75" ht="35.1" customHeight="1" x14ac:dyDescent="0.3">
      <c r="B4" s="146"/>
      <c r="C4" s="149"/>
      <c r="D4" s="149"/>
      <c r="E4" s="149"/>
      <c r="F4" s="149"/>
      <c r="G4" s="152"/>
      <c r="H4" s="54" t="s">
        <v>80</v>
      </c>
      <c r="I4" s="55" t="s">
        <v>77</v>
      </c>
      <c r="J4" s="55" t="s">
        <v>78</v>
      </c>
      <c r="K4" s="56" t="s">
        <v>79</v>
      </c>
      <c r="L4" s="54" t="s">
        <v>80</v>
      </c>
      <c r="M4" s="55" t="s">
        <v>77</v>
      </c>
      <c r="N4" s="55" t="s">
        <v>78</v>
      </c>
      <c r="O4" s="56" t="s">
        <v>79</v>
      </c>
      <c r="P4" s="54" t="s">
        <v>80</v>
      </c>
      <c r="Q4" s="55" t="s">
        <v>77</v>
      </c>
      <c r="R4" s="55" t="s">
        <v>78</v>
      </c>
      <c r="S4" s="56" t="s">
        <v>79</v>
      </c>
      <c r="T4" s="54" t="s">
        <v>80</v>
      </c>
      <c r="U4" s="55" t="s">
        <v>77</v>
      </c>
      <c r="V4" s="55" t="s">
        <v>78</v>
      </c>
      <c r="W4" s="56" t="s">
        <v>79</v>
      </c>
      <c r="X4" s="54" t="s">
        <v>80</v>
      </c>
      <c r="Y4" s="55" t="s">
        <v>77</v>
      </c>
      <c r="Z4" s="55" t="s">
        <v>78</v>
      </c>
      <c r="AA4" s="56" t="s">
        <v>79</v>
      </c>
      <c r="AB4" s="54" t="s">
        <v>80</v>
      </c>
      <c r="AC4" s="55" t="s">
        <v>77</v>
      </c>
      <c r="AD4" s="55" t="s">
        <v>78</v>
      </c>
      <c r="AE4" s="56" t="s">
        <v>79</v>
      </c>
      <c r="AF4" s="54" t="s">
        <v>80</v>
      </c>
      <c r="AG4" s="55" t="s">
        <v>77</v>
      </c>
      <c r="AH4" s="55" t="s">
        <v>78</v>
      </c>
      <c r="AI4" s="56" t="s">
        <v>79</v>
      </c>
      <c r="AJ4" s="54" t="s">
        <v>80</v>
      </c>
      <c r="AK4" s="55" t="s">
        <v>77</v>
      </c>
      <c r="AL4" s="55" t="s">
        <v>78</v>
      </c>
      <c r="AM4" s="56" t="s">
        <v>79</v>
      </c>
      <c r="AN4" s="154"/>
      <c r="AO4" s="143"/>
    </row>
    <row r="5" spans="1:75" ht="35.1" customHeight="1" x14ac:dyDescent="0.3">
      <c r="B5" s="146"/>
      <c r="C5" s="149"/>
      <c r="D5" s="149"/>
      <c r="E5" s="149"/>
      <c r="F5" s="149"/>
      <c r="G5" s="152"/>
      <c r="H5" s="79">
        <v>15</v>
      </c>
      <c r="I5" s="80">
        <v>11</v>
      </c>
      <c r="J5" s="80">
        <v>7</v>
      </c>
      <c r="K5" s="81">
        <v>3</v>
      </c>
      <c r="L5" s="79">
        <v>15</v>
      </c>
      <c r="M5" s="80">
        <v>11</v>
      </c>
      <c r="N5" s="80">
        <v>7</v>
      </c>
      <c r="O5" s="81">
        <v>3</v>
      </c>
      <c r="P5" s="79">
        <v>15</v>
      </c>
      <c r="Q5" s="80">
        <v>11</v>
      </c>
      <c r="R5" s="80">
        <v>7</v>
      </c>
      <c r="S5" s="81">
        <v>3</v>
      </c>
      <c r="T5" s="79">
        <v>15</v>
      </c>
      <c r="U5" s="80">
        <v>11</v>
      </c>
      <c r="V5" s="80">
        <v>7</v>
      </c>
      <c r="W5" s="81">
        <v>3</v>
      </c>
      <c r="X5" s="79">
        <v>15</v>
      </c>
      <c r="Y5" s="80">
        <v>11</v>
      </c>
      <c r="Z5" s="80">
        <v>7</v>
      </c>
      <c r="AA5" s="81">
        <v>3</v>
      </c>
      <c r="AB5" s="79">
        <v>5</v>
      </c>
      <c r="AC5" s="80">
        <v>3</v>
      </c>
      <c r="AD5" s="80">
        <v>2</v>
      </c>
      <c r="AE5" s="81">
        <v>1</v>
      </c>
      <c r="AF5" s="79">
        <v>10</v>
      </c>
      <c r="AG5" s="80">
        <v>7</v>
      </c>
      <c r="AH5" s="80">
        <v>4</v>
      </c>
      <c r="AI5" s="81">
        <v>1</v>
      </c>
      <c r="AJ5" s="79">
        <v>10</v>
      </c>
      <c r="AK5" s="80">
        <v>7</v>
      </c>
      <c r="AL5" s="80">
        <v>4</v>
      </c>
      <c r="AM5" s="81">
        <v>1</v>
      </c>
      <c r="AN5" s="154"/>
      <c r="AO5" s="143"/>
    </row>
    <row r="6" spans="1:75" ht="35.1" customHeight="1" thickBot="1" x14ac:dyDescent="0.35">
      <c r="B6" s="60"/>
      <c r="C6" s="61"/>
      <c r="D6" s="61"/>
      <c r="E6" s="61"/>
      <c r="F6" s="61"/>
      <c r="G6" s="117"/>
      <c r="H6" s="60"/>
      <c r="I6" s="61"/>
      <c r="J6" s="61"/>
      <c r="K6" s="62"/>
      <c r="L6" s="60"/>
      <c r="M6" s="61"/>
      <c r="N6" s="61"/>
      <c r="O6" s="62"/>
      <c r="P6" s="60"/>
      <c r="Q6" s="61"/>
      <c r="R6" s="61"/>
      <c r="S6" s="62"/>
      <c r="T6" s="60"/>
      <c r="U6" s="61"/>
      <c r="V6" s="61"/>
      <c r="W6" s="62"/>
      <c r="X6" s="60"/>
      <c r="Y6" s="61"/>
      <c r="Z6" s="61"/>
      <c r="AA6" s="62"/>
      <c r="AB6" s="60"/>
      <c r="AC6" s="61"/>
      <c r="AD6" s="61"/>
      <c r="AE6" s="62"/>
      <c r="AF6" s="60"/>
      <c r="AG6" s="61"/>
      <c r="AH6" s="61"/>
      <c r="AI6" s="62"/>
      <c r="AJ6" s="60"/>
      <c r="AK6" s="61"/>
      <c r="AL6" s="61"/>
      <c r="AM6" s="62"/>
      <c r="AN6" s="60"/>
      <c r="AO6" s="62"/>
    </row>
    <row r="7" spans="1:75" ht="35.1" customHeight="1" thickTop="1" x14ac:dyDescent="0.3">
      <c r="A7" s="123" t="str">
        <f t="shared" ref="A7:A70" si="0">MID(C7,3,1)&amp;"팀"</f>
        <v>1팀</v>
      </c>
      <c r="B7" s="115">
        <f t="shared" ref="B7:B70" si="1">ROW()-6</f>
        <v>1</v>
      </c>
      <c r="C7" s="122" t="str">
        <f>IF(VLOOKUP($B7,'1. 현장별 인원현황'!$C:$J,2,0)=0,"",VLOOKUP($B7,'1. 현장별 인원현황'!$C:$J,2,0))</f>
        <v xml:space="preserve"> [1.DL건설] 전도관구역 주택재개발 정비사업조합(01공구)</v>
      </c>
      <c r="D7" s="63" t="str">
        <f>IF(VLOOKUP($B7,'1. 현장별 인원현황'!$C:$J,3,0)=0,"",VLOOKUP($B7,'1. 현장별 인원현황'!$C:$J,3,0))</f>
        <v>강민</v>
      </c>
      <c r="E7" s="63" t="str">
        <f ca="1">IF(VLOOKUP($B7,'1. 현장별 인원현황'!$C:$J,4,0)=0,"",VLOOKUP($B7,'1. 현장별 인원현황'!$C:$J,4,0))</f>
        <v>37세</v>
      </c>
      <c r="F7" s="63" t="str">
        <f>IF(VLOOKUP($B7,'1. 현장별 인원현황'!$C:$J,7,0)=0,"",VLOOKUP($B7,'1. 현장별 인원현황'!$C:$J,7,0))</f>
        <v>공무</v>
      </c>
      <c r="G7" s="63" t="str">
        <f>IF(VLOOKUP($B7,'1. 현장별 인원현황'!$C:$J,8,0)=0,"",VLOOKUP($B7,'1. 현장별 인원현황'!$C:$J,8,0))</f>
        <v>과장</v>
      </c>
      <c r="H7" s="64" t="s">
        <v>69</v>
      </c>
      <c r="I7" s="65"/>
      <c r="J7" s="65"/>
      <c r="K7" s="66"/>
      <c r="L7" s="64" t="s">
        <v>69</v>
      </c>
      <c r="M7" s="65"/>
      <c r="N7" s="65"/>
      <c r="O7" s="66"/>
      <c r="P7" s="64" t="s">
        <v>69</v>
      </c>
      <c r="Q7" s="65"/>
      <c r="R7" s="65"/>
      <c r="S7" s="66"/>
      <c r="T7" s="64" t="s">
        <v>69</v>
      </c>
      <c r="U7" s="65"/>
      <c r="V7" s="65"/>
      <c r="W7" s="66"/>
      <c r="X7" s="64" t="s">
        <v>69</v>
      </c>
      <c r="Y7" s="65"/>
      <c r="Z7" s="65"/>
      <c r="AA7" s="66"/>
      <c r="AB7" s="64" t="s">
        <v>69</v>
      </c>
      <c r="AC7" s="65"/>
      <c r="AD7" s="65"/>
      <c r="AE7" s="66"/>
      <c r="AF7" s="64" t="s">
        <v>69</v>
      </c>
      <c r="AG7" s="65"/>
      <c r="AH7" s="65"/>
      <c r="AI7" s="66"/>
      <c r="AJ7" s="64" t="s">
        <v>69</v>
      </c>
      <c r="AK7" s="65"/>
      <c r="AL7" s="65"/>
      <c r="AM7" s="66"/>
      <c r="AN7" s="64">
        <f t="shared" ref="AN7:AN70" si="2">SUMPRODUCT($H$5:$AM$5,AR7:BW7)</f>
        <v>100</v>
      </c>
      <c r="AO7" s="66" t="str">
        <f t="shared" ref="AO7:AO70" si="3">IF(AN7&gt;85,"S",IF(AN7&gt;70,"A",IF(AN7&gt;50,"B",IF(AN7&gt;0,"C",""))))</f>
        <v>S</v>
      </c>
      <c r="AR7" s="49">
        <f t="shared" ref="AR7:BW7" si="4">IF(H7&gt;0,1,0)</f>
        <v>1</v>
      </c>
      <c r="AS7" s="49">
        <f t="shared" si="4"/>
        <v>0</v>
      </c>
      <c r="AT7" s="49">
        <f t="shared" si="4"/>
        <v>0</v>
      </c>
      <c r="AU7" s="49">
        <f t="shared" si="4"/>
        <v>0</v>
      </c>
      <c r="AV7" s="49">
        <f t="shared" si="4"/>
        <v>1</v>
      </c>
      <c r="AW7" s="49">
        <f t="shared" si="4"/>
        <v>0</v>
      </c>
      <c r="AX7" s="49">
        <f t="shared" si="4"/>
        <v>0</v>
      </c>
      <c r="AY7" s="49">
        <f t="shared" si="4"/>
        <v>0</v>
      </c>
      <c r="AZ7" s="49">
        <f t="shared" si="4"/>
        <v>1</v>
      </c>
      <c r="BA7" s="49">
        <f t="shared" si="4"/>
        <v>0</v>
      </c>
      <c r="BB7" s="49">
        <f t="shared" si="4"/>
        <v>0</v>
      </c>
      <c r="BC7" s="49">
        <f t="shared" si="4"/>
        <v>0</v>
      </c>
      <c r="BD7" s="49">
        <f t="shared" si="4"/>
        <v>1</v>
      </c>
      <c r="BE7" s="49">
        <f t="shared" si="4"/>
        <v>0</v>
      </c>
      <c r="BF7" s="49">
        <f t="shared" si="4"/>
        <v>0</v>
      </c>
      <c r="BG7" s="49">
        <f t="shared" si="4"/>
        <v>0</v>
      </c>
      <c r="BH7" s="49">
        <f t="shared" si="4"/>
        <v>1</v>
      </c>
      <c r="BI7" s="49">
        <f t="shared" si="4"/>
        <v>0</v>
      </c>
      <c r="BJ7" s="49">
        <f t="shared" si="4"/>
        <v>0</v>
      </c>
      <c r="BK7" s="49">
        <f t="shared" si="4"/>
        <v>0</v>
      </c>
      <c r="BL7" s="49">
        <f t="shared" si="4"/>
        <v>1</v>
      </c>
      <c r="BM7" s="49">
        <f t="shared" si="4"/>
        <v>0</v>
      </c>
      <c r="BN7" s="49">
        <f t="shared" si="4"/>
        <v>0</v>
      </c>
      <c r="BO7" s="49">
        <f t="shared" si="4"/>
        <v>0</v>
      </c>
      <c r="BP7" s="49">
        <f t="shared" si="4"/>
        <v>1</v>
      </c>
      <c r="BQ7" s="49">
        <f t="shared" si="4"/>
        <v>0</v>
      </c>
      <c r="BR7" s="49">
        <f t="shared" si="4"/>
        <v>0</v>
      </c>
      <c r="BS7" s="49">
        <f t="shared" si="4"/>
        <v>0</v>
      </c>
      <c r="BT7" s="49">
        <f t="shared" si="4"/>
        <v>1</v>
      </c>
      <c r="BU7" s="49">
        <f t="shared" si="4"/>
        <v>0</v>
      </c>
      <c r="BV7" s="49">
        <f t="shared" si="4"/>
        <v>0</v>
      </c>
      <c r="BW7" s="49">
        <f t="shared" si="4"/>
        <v>0</v>
      </c>
    </row>
    <row r="8" spans="1:75" ht="35.1" customHeight="1" x14ac:dyDescent="0.3">
      <c r="A8" s="123" t="str">
        <f t="shared" si="0"/>
        <v>1팀</v>
      </c>
      <c r="B8" s="69">
        <f t="shared" si="1"/>
        <v>2</v>
      </c>
      <c r="C8" s="121" t="str">
        <f>IF(VLOOKUP($B8,'1. 현장별 인원현황'!$C:$J,2,0)=0,"",VLOOKUP($B8,'1. 현장별 인원현황'!$C:$J,2,0))</f>
        <v xml:space="preserve"> [1.DL건설] 전도관구역 주택재개발 정비사업조합(01공구)</v>
      </c>
      <c r="D8" s="71" t="str">
        <f>IF(VLOOKUP($B8,'1. 현장별 인원현황'!$C:$J,3,0)=0,"",VLOOKUP($B8,'1. 현장별 인원현황'!$C:$J,3,0))</f>
        <v>오재욱</v>
      </c>
      <c r="E8" s="63" t="str">
        <f ca="1">IF(VLOOKUP($B8,'1. 현장별 인원현황'!$C:$J,4,0)=0,"",VLOOKUP($B8,'1. 현장별 인원현황'!$C:$J,4,0))</f>
        <v>32세</v>
      </c>
      <c r="F8" s="63" t="str">
        <f>IF(VLOOKUP($B8,'1. 현장별 인원현황'!$C:$J,7,0)=0,"",VLOOKUP($B8,'1. 현장별 인원현황'!$C:$J,7,0))</f>
        <v>안전관리자</v>
      </c>
      <c r="G8" s="63" t="str">
        <f>IF(VLOOKUP($B8,'1. 현장별 인원현황'!$C:$J,8,0)=0,"",VLOOKUP($B8,'1. 현장별 인원현황'!$C:$J,8,0))</f>
        <v>대리</v>
      </c>
      <c r="H8" s="67" t="s">
        <v>69</v>
      </c>
      <c r="I8" s="73"/>
      <c r="J8" s="73"/>
      <c r="K8" s="68"/>
      <c r="L8" s="67" t="s">
        <v>69</v>
      </c>
      <c r="M8" s="73"/>
      <c r="N8" s="73"/>
      <c r="O8" s="68"/>
      <c r="P8" s="67" t="s">
        <v>69</v>
      </c>
      <c r="Q8" s="73"/>
      <c r="R8" s="73"/>
      <c r="S8" s="68"/>
      <c r="T8" s="67"/>
      <c r="U8" s="73" t="s">
        <v>69</v>
      </c>
      <c r="V8" s="73"/>
      <c r="W8" s="68"/>
      <c r="X8" s="67" t="s">
        <v>69</v>
      </c>
      <c r="Y8" s="73"/>
      <c r="Z8" s="73"/>
      <c r="AA8" s="68"/>
      <c r="AB8" s="67" t="s">
        <v>69</v>
      </c>
      <c r="AC8" s="73"/>
      <c r="AD8" s="73"/>
      <c r="AE8" s="68"/>
      <c r="AF8" s="67"/>
      <c r="AG8" s="73" t="s">
        <v>69</v>
      </c>
      <c r="AH8" s="73"/>
      <c r="AI8" s="68"/>
      <c r="AJ8" s="67" t="s">
        <v>69</v>
      </c>
      <c r="AK8" s="73"/>
      <c r="AL8" s="73"/>
      <c r="AM8" s="68"/>
      <c r="AN8" s="67">
        <f t="shared" si="2"/>
        <v>93</v>
      </c>
      <c r="AO8" s="68" t="str">
        <f t="shared" si="3"/>
        <v>S</v>
      </c>
      <c r="AR8" s="49">
        <f t="shared" ref="AR8:AR71" si="5">IF(H8&gt;0,1,0)</f>
        <v>1</v>
      </c>
      <c r="AS8" s="49">
        <f t="shared" ref="AS8:AS71" si="6">IF(I8&gt;0,1,0)</f>
        <v>0</v>
      </c>
      <c r="AT8" s="49">
        <f t="shared" ref="AT8:AT71" si="7">IF(J8&gt;0,1,0)</f>
        <v>0</v>
      </c>
      <c r="AU8" s="49">
        <f t="shared" ref="AU8:AU71" si="8">IF(K8&gt;0,1,0)</f>
        <v>0</v>
      </c>
      <c r="AV8" s="49">
        <f t="shared" ref="AV8:AV71" si="9">IF(L8&gt;0,1,0)</f>
        <v>1</v>
      </c>
      <c r="AW8" s="49">
        <f t="shared" ref="AW8:AW71" si="10">IF(M8&gt;0,1,0)</f>
        <v>0</v>
      </c>
      <c r="AX8" s="49">
        <f t="shared" ref="AX8:AX71" si="11">IF(N8&gt;0,1,0)</f>
        <v>0</v>
      </c>
      <c r="AY8" s="49">
        <f t="shared" ref="AY8:AY71" si="12">IF(O8&gt;0,1,0)</f>
        <v>0</v>
      </c>
      <c r="AZ8" s="49">
        <f t="shared" ref="AZ8:AZ71" si="13">IF(P8&gt;0,1,0)</f>
        <v>1</v>
      </c>
      <c r="BA8" s="49">
        <f t="shared" ref="BA8:BA71" si="14">IF(Q8&gt;0,1,0)</f>
        <v>0</v>
      </c>
      <c r="BB8" s="49">
        <f t="shared" ref="BB8:BB71" si="15">IF(R8&gt;0,1,0)</f>
        <v>0</v>
      </c>
      <c r="BC8" s="49">
        <f t="shared" ref="BC8:BC71" si="16">IF(S8&gt;0,1,0)</f>
        <v>0</v>
      </c>
      <c r="BD8" s="49">
        <f t="shared" ref="BD8:BD71" si="17">IF(T8&gt;0,1,0)</f>
        <v>0</v>
      </c>
      <c r="BE8" s="49">
        <f t="shared" ref="BE8:BE71" si="18">IF(U8&gt;0,1,0)</f>
        <v>1</v>
      </c>
      <c r="BF8" s="49">
        <f t="shared" ref="BF8:BF71" si="19">IF(V8&gt;0,1,0)</f>
        <v>0</v>
      </c>
      <c r="BG8" s="49">
        <f t="shared" ref="BG8:BG71" si="20">IF(W8&gt;0,1,0)</f>
        <v>0</v>
      </c>
      <c r="BH8" s="49">
        <f t="shared" ref="BH8:BH71" si="21">IF(X8&gt;0,1,0)</f>
        <v>1</v>
      </c>
      <c r="BI8" s="49">
        <f t="shared" ref="BI8:BI71" si="22">IF(Y8&gt;0,1,0)</f>
        <v>0</v>
      </c>
      <c r="BJ8" s="49">
        <f t="shared" ref="BJ8:BJ71" si="23">IF(Z8&gt;0,1,0)</f>
        <v>0</v>
      </c>
      <c r="BK8" s="49">
        <f t="shared" ref="BK8:BK71" si="24">IF(AA8&gt;0,1,0)</f>
        <v>0</v>
      </c>
      <c r="BL8" s="49">
        <f t="shared" ref="BL8:BL71" si="25">IF(AB8&gt;0,1,0)</f>
        <v>1</v>
      </c>
      <c r="BM8" s="49">
        <f t="shared" ref="BM8:BM71" si="26">IF(AC8&gt;0,1,0)</f>
        <v>0</v>
      </c>
      <c r="BN8" s="49">
        <f t="shared" ref="BN8:BN71" si="27">IF(AD8&gt;0,1,0)</f>
        <v>0</v>
      </c>
      <c r="BO8" s="49">
        <f t="shared" ref="BO8:BO71" si="28">IF(AE8&gt;0,1,0)</f>
        <v>0</v>
      </c>
      <c r="BP8" s="49">
        <f t="shared" ref="BP8:BP71" si="29">IF(AF8&gt;0,1,0)</f>
        <v>0</v>
      </c>
      <c r="BQ8" s="49">
        <f t="shared" ref="BQ8:BQ71" si="30">IF(AG8&gt;0,1,0)</f>
        <v>1</v>
      </c>
      <c r="BR8" s="49">
        <f t="shared" ref="BR8:BR71" si="31">IF(AH8&gt;0,1,0)</f>
        <v>0</v>
      </c>
      <c r="BS8" s="49">
        <f t="shared" ref="BS8:BS71" si="32">IF(AI8&gt;0,1,0)</f>
        <v>0</v>
      </c>
      <c r="BT8" s="49">
        <f t="shared" ref="BT8:BT71" si="33">IF(AJ8&gt;0,1,0)</f>
        <v>1</v>
      </c>
      <c r="BU8" s="49">
        <f t="shared" ref="BU8:BU71" si="34">IF(AK8&gt;0,1,0)</f>
        <v>0</v>
      </c>
      <c r="BV8" s="49">
        <f t="shared" ref="BV8:BV71" si="35">IF(AL8&gt;0,1,0)</f>
        <v>0</v>
      </c>
      <c r="BW8" s="49">
        <f t="shared" ref="BW8:BW71" si="36">IF(AM8&gt;0,1,0)</f>
        <v>0</v>
      </c>
    </row>
    <row r="9" spans="1:75" ht="35.1" customHeight="1" x14ac:dyDescent="0.3">
      <c r="A9" s="123" t="str">
        <f t="shared" si="0"/>
        <v>1팀</v>
      </c>
      <c r="B9" s="69">
        <f t="shared" si="1"/>
        <v>3</v>
      </c>
      <c r="C9" s="121" t="str">
        <f>IF(VLOOKUP($B9,'1. 현장별 인원현황'!$C:$J,2,0)=0,"",VLOOKUP($B9,'1. 현장별 인원현황'!$C:$J,2,0))</f>
        <v xml:space="preserve"> [1.DL건설] 전도관구역 주택재개발 정비사업조합(01공구)</v>
      </c>
      <c r="D9" s="71" t="str">
        <f>IF(VLOOKUP($B9,'1. 현장별 인원현황'!$C:$J,3,0)=0,"",VLOOKUP($B9,'1. 현장별 인원현황'!$C:$J,3,0))</f>
        <v>조경호</v>
      </c>
      <c r="E9" s="63" t="str">
        <f ca="1">IF(VLOOKUP($B9,'1. 현장별 인원현황'!$C:$J,4,0)=0,"",VLOOKUP($B9,'1. 현장별 인원현황'!$C:$J,4,0))</f>
        <v>57세</v>
      </c>
      <c r="F9" s="63" t="str">
        <f>IF(VLOOKUP($B9,'1. 현장별 인원현황'!$C:$J,7,0)=0,"",VLOOKUP($B9,'1. 현장별 인원현황'!$C:$J,7,0))</f>
        <v>공사</v>
      </c>
      <c r="G9" s="63" t="str">
        <f>IF(VLOOKUP($B9,'1. 현장별 인원현황'!$C:$J,8,0)=0,"",VLOOKUP($B9,'1. 현장별 인원현황'!$C:$J,8,0))</f>
        <v>차장</v>
      </c>
      <c r="H9" s="67" t="s">
        <v>69</v>
      </c>
      <c r="I9" s="73"/>
      <c r="J9" s="73"/>
      <c r="K9" s="68"/>
      <c r="L9" s="67" t="s">
        <v>69</v>
      </c>
      <c r="M9" s="73"/>
      <c r="N9" s="73"/>
      <c r="O9" s="68"/>
      <c r="P9" s="67" t="s">
        <v>69</v>
      </c>
      <c r="Q9" s="73"/>
      <c r="R9" s="73"/>
      <c r="S9" s="68"/>
      <c r="T9" s="67" t="s">
        <v>69</v>
      </c>
      <c r="U9" s="73"/>
      <c r="V9" s="73"/>
      <c r="W9" s="68"/>
      <c r="X9" s="67" t="s">
        <v>69</v>
      </c>
      <c r="Y9" s="73"/>
      <c r="Z9" s="73"/>
      <c r="AA9" s="68"/>
      <c r="AB9" s="67" t="s">
        <v>69</v>
      </c>
      <c r="AC9" s="73"/>
      <c r="AD9" s="73"/>
      <c r="AE9" s="68"/>
      <c r="AF9" s="67" t="s">
        <v>69</v>
      </c>
      <c r="AG9" s="73"/>
      <c r="AH9" s="73"/>
      <c r="AI9" s="68"/>
      <c r="AJ9" s="67" t="s">
        <v>69</v>
      </c>
      <c r="AK9" s="73"/>
      <c r="AL9" s="73"/>
      <c r="AM9" s="68"/>
      <c r="AN9" s="67">
        <f t="shared" si="2"/>
        <v>100</v>
      </c>
      <c r="AO9" s="68" t="str">
        <f t="shared" si="3"/>
        <v>S</v>
      </c>
      <c r="AR9" s="49">
        <f t="shared" si="5"/>
        <v>1</v>
      </c>
      <c r="AS9" s="49">
        <f t="shared" si="6"/>
        <v>0</v>
      </c>
      <c r="AT9" s="49">
        <f t="shared" si="7"/>
        <v>0</v>
      </c>
      <c r="AU9" s="49">
        <f t="shared" si="8"/>
        <v>0</v>
      </c>
      <c r="AV9" s="49">
        <f t="shared" si="9"/>
        <v>1</v>
      </c>
      <c r="AW9" s="49">
        <f t="shared" si="10"/>
        <v>0</v>
      </c>
      <c r="AX9" s="49">
        <f t="shared" si="11"/>
        <v>0</v>
      </c>
      <c r="AY9" s="49">
        <f t="shared" si="12"/>
        <v>0</v>
      </c>
      <c r="AZ9" s="49">
        <f t="shared" si="13"/>
        <v>1</v>
      </c>
      <c r="BA9" s="49">
        <f t="shared" si="14"/>
        <v>0</v>
      </c>
      <c r="BB9" s="49">
        <f t="shared" si="15"/>
        <v>0</v>
      </c>
      <c r="BC9" s="49">
        <f t="shared" si="16"/>
        <v>0</v>
      </c>
      <c r="BD9" s="49">
        <f t="shared" si="17"/>
        <v>1</v>
      </c>
      <c r="BE9" s="49">
        <f t="shared" si="18"/>
        <v>0</v>
      </c>
      <c r="BF9" s="49">
        <f t="shared" si="19"/>
        <v>0</v>
      </c>
      <c r="BG9" s="49">
        <f t="shared" si="20"/>
        <v>0</v>
      </c>
      <c r="BH9" s="49">
        <f t="shared" si="21"/>
        <v>1</v>
      </c>
      <c r="BI9" s="49">
        <f t="shared" si="22"/>
        <v>0</v>
      </c>
      <c r="BJ9" s="49">
        <f t="shared" si="23"/>
        <v>0</v>
      </c>
      <c r="BK9" s="49">
        <f t="shared" si="24"/>
        <v>0</v>
      </c>
      <c r="BL9" s="49">
        <f t="shared" si="25"/>
        <v>1</v>
      </c>
      <c r="BM9" s="49">
        <f t="shared" si="26"/>
        <v>0</v>
      </c>
      <c r="BN9" s="49">
        <f t="shared" si="27"/>
        <v>0</v>
      </c>
      <c r="BO9" s="49">
        <f t="shared" si="28"/>
        <v>0</v>
      </c>
      <c r="BP9" s="49">
        <f t="shared" si="29"/>
        <v>1</v>
      </c>
      <c r="BQ9" s="49">
        <f t="shared" si="30"/>
        <v>0</v>
      </c>
      <c r="BR9" s="49">
        <f t="shared" si="31"/>
        <v>0</v>
      </c>
      <c r="BS9" s="49">
        <f t="shared" si="32"/>
        <v>0</v>
      </c>
      <c r="BT9" s="49">
        <f t="shared" si="33"/>
        <v>1</v>
      </c>
      <c r="BU9" s="49">
        <f t="shared" si="34"/>
        <v>0</v>
      </c>
      <c r="BV9" s="49">
        <f t="shared" si="35"/>
        <v>0</v>
      </c>
      <c r="BW9" s="49">
        <f t="shared" si="36"/>
        <v>0</v>
      </c>
    </row>
    <row r="10" spans="1:75" ht="35.1" customHeight="1" x14ac:dyDescent="0.3">
      <c r="A10" s="123" t="str">
        <f t="shared" si="0"/>
        <v>1팀</v>
      </c>
      <c r="B10" s="69">
        <f t="shared" si="1"/>
        <v>4</v>
      </c>
      <c r="C10" s="121" t="str">
        <f>IF(VLOOKUP($B10,'1. 현장별 인원현황'!$C:$J,2,0)=0,"",VLOOKUP($B10,'1. 현장별 인원현황'!$C:$J,2,0))</f>
        <v xml:space="preserve"> [1.DL건설] 전도관구역 주택재개발 정비사업조합(01공구)</v>
      </c>
      <c r="D10" s="71" t="str">
        <f>IF(VLOOKUP($B10,'1. 현장별 인원현황'!$C:$J,3,0)=0,"",VLOOKUP($B10,'1. 현장별 인원현황'!$C:$J,3,0))</f>
        <v>남춘섭</v>
      </c>
      <c r="E10" s="63" t="str">
        <f ca="1">IF(VLOOKUP($B10,'1. 현장별 인원현황'!$C:$J,4,0)=0,"",VLOOKUP($B10,'1. 현장별 인원현황'!$C:$J,4,0))</f>
        <v>62세</v>
      </c>
      <c r="F10" s="63" t="str">
        <f>IF(VLOOKUP($B10,'1. 현장별 인원현황'!$C:$J,7,0)=0,"",VLOOKUP($B10,'1. 현장별 인원현황'!$C:$J,7,0))</f>
        <v>공사</v>
      </c>
      <c r="G10" s="63" t="str">
        <f>IF(VLOOKUP($B10,'1. 현장별 인원현황'!$C:$J,8,0)=0,"",VLOOKUP($B10,'1. 현장별 인원현황'!$C:$J,8,0))</f>
        <v>과장</v>
      </c>
      <c r="H10" s="67" t="s">
        <v>69</v>
      </c>
      <c r="I10" s="73"/>
      <c r="J10" s="73"/>
      <c r="K10" s="68"/>
      <c r="L10" s="67" t="s">
        <v>69</v>
      </c>
      <c r="M10" s="73"/>
      <c r="N10" s="73"/>
      <c r="O10" s="68"/>
      <c r="P10" s="67" t="s">
        <v>69</v>
      </c>
      <c r="Q10" s="73"/>
      <c r="R10" s="73"/>
      <c r="S10" s="68"/>
      <c r="T10" s="67"/>
      <c r="U10" s="73" t="s">
        <v>69</v>
      </c>
      <c r="V10" s="73"/>
      <c r="W10" s="68"/>
      <c r="X10" s="67" t="s">
        <v>69</v>
      </c>
      <c r="Y10" s="73"/>
      <c r="Z10" s="73"/>
      <c r="AA10" s="68"/>
      <c r="AB10" s="67" t="s">
        <v>69</v>
      </c>
      <c r="AC10" s="73"/>
      <c r="AD10" s="73"/>
      <c r="AE10" s="68"/>
      <c r="AF10" s="67"/>
      <c r="AG10" s="73" t="s">
        <v>69</v>
      </c>
      <c r="AH10" s="73"/>
      <c r="AI10" s="68"/>
      <c r="AJ10" s="67" t="s">
        <v>69</v>
      </c>
      <c r="AK10" s="73"/>
      <c r="AL10" s="73"/>
      <c r="AM10" s="68"/>
      <c r="AN10" s="67">
        <f t="shared" si="2"/>
        <v>93</v>
      </c>
      <c r="AO10" s="68" t="str">
        <f t="shared" si="3"/>
        <v>S</v>
      </c>
      <c r="AR10" s="49">
        <f t="shared" si="5"/>
        <v>1</v>
      </c>
      <c r="AS10" s="49">
        <f t="shared" si="6"/>
        <v>0</v>
      </c>
      <c r="AT10" s="49">
        <f t="shared" si="7"/>
        <v>0</v>
      </c>
      <c r="AU10" s="49">
        <f t="shared" si="8"/>
        <v>0</v>
      </c>
      <c r="AV10" s="49">
        <f t="shared" si="9"/>
        <v>1</v>
      </c>
      <c r="AW10" s="49">
        <f t="shared" si="10"/>
        <v>0</v>
      </c>
      <c r="AX10" s="49">
        <f t="shared" si="11"/>
        <v>0</v>
      </c>
      <c r="AY10" s="49">
        <f t="shared" si="12"/>
        <v>0</v>
      </c>
      <c r="AZ10" s="49">
        <f t="shared" si="13"/>
        <v>1</v>
      </c>
      <c r="BA10" s="49">
        <f t="shared" si="14"/>
        <v>0</v>
      </c>
      <c r="BB10" s="49">
        <f t="shared" si="15"/>
        <v>0</v>
      </c>
      <c r="BC10" s="49">
        <f t="shared" si="16"/>
        <v>0</v>
      </c>
      <c r="BD10" s="49">
        <f t="shared" si="17"/>
        <v>0</v>
      </c>
      <c r="BE10" s="49">
        <f t="shared" si="18"/>
        <v>1</v>
      </c>
      <c r="BF10" s="49">
        <f t="shared" si="19"/>
        <v>0</v>
      </c>
      <c r="BG10" s="49">
        <f t="shared" si="20"/>
        <v>0</v>
      </c>
      <c r="BH10" s="49">
        <f t="shared" si="21"/>
        <v>1</v>
      </c>
      <c r="BI10" s="49">
        <f t="shared" si="22"/>
        <v>0</v>
      </c>
      <c r="BJ10" s="49">
        <f t="shared" si="23"/>
        <v>0</v>
      </c>
      <c r="BK10" s="49">
        <f t="shared" si="24"/>
        <v>0</v>
      </c>
      <c r="BL10" s="49">
        <f t="shared" si="25"/>
        <v>1</v>
      </c>
      <c r="BM10" s="49">
        <f t="shared" si="26"/>
        <v>0</v>
      </c>
      <c r="BN10" s="49">
        <f t="shared" si="27"/>
        <v>0</v>
      </c>
      <c r="BO10" s="49">
        <f t="shared" si="28"/>
        <v>0</v>
      </c>
      <c r="BP10" s="49">
        <f t="shared" si="29"/>
        <v>0</v>
      </c>
      <c r="BQ10" s="49">
        <f t="shared" si="30"/>
        <v>1</v>
      </c>
      <c r="BR10" s="49">
        <f t="shared" si="31"/>
        <v>0</v>
      </c>
      <c r="BS10" s="49">
        <f t="shared" si="32"/>
        <v>0</v>
      </c>
      <c r="BT10" s="49">
        <f t="shared" si="33"/>
        <v>1</v>
      </c>
      <c r="BU10" s="49">
        <f t="shared" si="34"/>
        <v>0</v>
      </c>
      <c r="BV10" s="49">
        <f t="shared" si="35"/>
        <v>0</v>
      </c>
      <c r="BW10" s="49">
        <f t="shared" si="36"/>
        <v>0</v>
      </c>
    </row>
    <row r="11" spans="1:75" ht="35.1" customHeight="1" x14ac:dyDescent="0.3">
      <c r="A11" s="123" t="str">
        <f t="shared" si="0"/>
        <v>1팀</v>
      </c>
      <c r="B11" s="69">
        <f t="shared" si="1"/>
        <v>5</v>
      </c>
      <c r="C11" s="121" t="str">
        <f>IF(VLOOKUP($B11,'1. 현장별 인원현황'!$C:$J,2,0)=0,"",VLOOKUP($B11,'1. 현장별 인원현황'!$C:$J,2,0))</f>
        <v xml:space="preserve"> [1.DL건설] 전도관구역 주택재개발 정비사업조합(01공구)</v>
      </c>
      <c r="D11" s="71" t="str">
        <f>IF(VLOOKUP($B11,'1. 현장별 인원현황'!$C:$J,3,0)=0,"",VLOOKUP($B11,'1. 현장별 인원현황'!$C:$J,3,0))</f>
        <v>김옥수</v>
      </c>
      <c r="E11" s="63" t="str">
        <f ca="1">IF(VLOOKUP($B11,'1. 현장별 인원현황'!$C:$J,4,0)=0,"",VLOOKUP($B11,'1. 현장별 인원현황'!$C:$J,4,0))</f>
        <v>57세</v>
      </c>
      <c r="F11" s="63" t="str">
        <f>IF(VLOOKUP($B11,'1. 현장별 인원현황'!$C:$J,7,0)=0,"",VLOOKUP($B11,'1. 현장별 인원현황'!$C:$J,7,0))</f>
        <v>기능공</v>
      </c>
      <c r="G11" s="63" t="str">
        <f>IF(VLOOKUP($B11,'1. 현장별 인원현황'!$C:$J,8,0)=0,"",VLOOKUP($B11,'1. 현장별 인원현황'!$C:$J,8,0))</f>
        <v>전공</v>
      </c>
      <c r="H11" s="67" t="s">
        <v>69</v>
      </c>
      <c r="I11" s="73"/>
      <c r="J11" s="73"/>
      <c r="K11" s="68"/>
      <c r="L11" s="67" t="s">
        <v>69</v>
      </c>
      <c r="M11" s="73"/>
      <c r="N11" s="73"/>
      <c r="O11" s="68"/>
      <c r="P11" s="67" t="s">
        <v>69</v>
      </c>
      <c r="Q11" s="73"/>
      <c r="R11" s="73"/>
      <c r="S11" s="68"/>
      <c r="T11" s="67"/>
      <c r="U11" s="73" t="s">
        <v>69</v>
      </c>
      <c r="V11" s="73"/>
      <c r="W11" s="68"/>
      <c r="X11" s="67" t="s">
        <v>69</v>
      </c>
      <c r="Y11" s="73"/>
      <c r="Z11" s="73"/>
      <c r="AA11" s="68"/>
      <c r="AB11" s="67" t="s">
        <v>69</v>
      </c>
      <c r="AC11" s="73"/>
      <c r="AD11" s="73"/>
      <c r="AE11" s="68"/>
      <c r="AF11" s="67"/>
      <c r="AG11" s="73" t="s">
        <v>69</v>
      </c>
      <c r="AH11" s="73"/>
      <c r="AI11" s="68"/>
      <c r="AJ11" s="67" t="s">
        <v>69</v>
      </c>
      <c r="AK11" s="73"/>
      <c r="AL11" s="73"/>
      <c r="AM11" s="68"/>
      <c r="AN11" s="67">
        <f t="shared" si="2"/>
        <v>93</v>
      </c>
      <c r="AO11" s="68" t="str">
        <f t="shared" si="3"/>
        <v>S</v>
      </c>
      <c r="AR11" s="49">
        <f t="shared" si="5"/>
        <v>1</v>
      </c>
      <c r="AS11" s="49">
        <f t="shared" si="6"/>
        <v>0</v>
      </c>
      <c r="AT11" s="49">
        <f t="shared" si="7"/>
        <v>0</v>
      </c>
      <c r="AU11" s="49">
        <f t="shared" si="8"/>
        <v>0</v>
      </c>
      <c r="AV11" s="49">
        <f t="shared" si="9"/>
        <v>1</v>
      </c>
      <c r="AW11" s="49">
        <f t="shared" si="10"/>
        <v>0</v>
      </c>
      <c r="AX11" s="49">
        <f t="shared" si="11"/>
        <v>0</v>
      </c>
      <c r="AY11" s="49">
        <f t="shared" si="12"/>
        <v>0</v>
      </c>
      <c r="AZ11" s="49">
        <f t="shared" si="13"/>
        <v>1</v>
      </c>
      <c r="BA11" s="49">
        <f t="shared" si="14"/>
        <v>0</v>
      </c>
      <c r="BB11" s="49">
        <f t="shared" si="15"/>
        <v>0</v>
      </c>
      <c r="BC11" s="49">
        <f t="shared" si="16"/>
        <v>0</v>
      </c>
      <c r="BD11" s="49">
        <f t="shared" si="17"/>
        <v>0</v>
      </c>
      <c r="BE11" s="49">
        <f t="shared" si="18"/>
        <v>1</v>
      </c>
      <c r="BF11" s="49">
        <f t="shared" si="19"/>
        <v>0</v>
      </c>
      <c r="BG11" s="49">
        <f t="shared" si="20"/>
        <v>0</v>
      </c>
      <c r="BH11" s="49">
        <f t="shared" si="21"/>
        <v>1</v>
      </c>
      <c r="BI11" s="49">
        <f t="shared" si="22"/>
        <v>0</v>
      </c>
      <c r="BJ11" s="49">
        <f t="shared" si="23"/>
        <v>0</v>
      </c>
      <c r="BK11" s="49">
        <f t="shared" si="24"/>
        <v>0</v>
      </c>
      <c r="BL11" s="49">
        <f t="shared" si="25"/>
        <v>1</v>
      </c>
      <c r="BM11" s="49">
        <f t="shared" si="26"/>
        <v>0</v>
      </c>
      <c r="BN11" s="49">
        <f t="shared" si="27"/>
        <v>0</v>
      </c>
      <c r="BO11" s="49">
        <f t="shared" si="28"/>
        <v>0</v>
      </c>
      <c r="BP11" s="49">
        <f t="shared" si="29"/>
        <v>0</v>
      </c>
      <c r="BQ11" s="49">
        <f t="shared" si="30"/>
        <v>1</v>
      </c>
      <c r="BR11" s="49">
        <f t="shared" si="31"/>
        <v>0</v>
      </c>
      <c r="BS11" s="49">
        <f t="shared" si="32"/>
        <v>0</v>
      </c>
      <c r="BT11" s="49">
        <f t="shared" si="33"/>
        <v>1</v>
      </c>
      <c r="BU11" s="49">
        <f t="shared" si="34"/>
        <v>0</v>
      </c>
      <c r="BV11" s="49">
        <f t="shared" si="35"/>
        <v>0</v>
      </c>
      <c r="BW11" s="49">
        <f t="shared" si="36"/>
        <v>0</v>
      </c>
    </row>
    <row r="12" spans="1:75" ht="35.1" customHeight="1" x14ac:dyDescent="0.3">
      <c r="A12" s="123" t="str">
        <f t="shared" si="0"/>
        <v>1팀</v>
      </c>
      <c r="B12" s="69">
        <f t="shared" si="1"/>
        <v>6</v>
      </c>
      <c r="C12" s="121" t="str">
        <f>IF(VLOOKUP($B12,'1. 현장별 인원현황'!$C:$J,2,0)=0,"",VLOOKUP($B12,'1. 현장별 인원현황'!$C:$J,2,0))</f>
        <v xml:space="preserve"> [1.DL건설] 전도관구역 주택재개발 정비사업조합(01공구)</v>
      </c>
      <c r="D12" s="71" t="str">
        <f>IF(VLOOKUP($B12,'1. 현장별 인원현황'!$C:$J,3,0)=0,"",VLOOKUP($B12,'1. 현장별 인원현황'!$C:$J,3,0))</f>
        <v>박예만</v>
      </c>
      <c r="E12" s="63" t="str">
        <f ca="1">IF(VLOOKUP($B12,'1. 현장별 인원현황'!$C:$J,4,0)=0,"",VLOOKUP($B12,'1. 현장별 인원현황'!$C:$J,4,0))</f>
        <v>37세</v>
      </c>
      <c r="F12" s="63" t="str">
        <f>IF(VLOOKUP($B12,'1. 현장별 인원현황'!$C:$J,7,0)=0,"",VLOOKUP($B12,'1. 현장별 인원현황'!$C:$J,7,0))</f>
        <v>기능공</v>
      </c>
      <c r="G12" s="63" t="str">
        <f>IF(VLOOKUP($B12,'1. 현장별 인원현황'!$C:$J,8,0)=0,"",VLOOKUP($B12,'1. 현장별 인원현황'!$C:$J,8,0))</f>
        <v>전공</v>
      </c>
      <c r="H12" s="67" t="s">
        <v>69</v>
      </c>
      <c r="I12" s="73"/>
      <c r="J12" s="73"/>
      <c r="K12" s="68"/>
      <c r="L12" s="67" t="s">
        <v>69</v>
      </c>
      <c r="M12" s="73"/>
      <c r="N12" s="73"/>
      <c r="O12" s="68"/>
      <c r="P12" s="67" t="s">
        <v>69</v>
      </c>
      <c r="Q12" s="73"/>
      <c r="R12" s="73"/>
      <c r="S12" s="68"/>
      <c r="T12" s="67"/>
      <c r="U12" s="73" t="s">
        <v>69</v>
      </c>
      <c r="V12" s="73"/>
      <c r="W12" s="68"/>
      <c r="X12" s="67" t="s">
        <v>69</v>
      </c>
      <c r="Y12" s="73"/>
      <c r="Z12" s="73"/>
      <c r="AA12" s="68"/>
      <c r="AB12" s="67" t="s">
        <v>69</v>
      </c>
      <c r="AC12" s="73"/>
      <c r="AD12" s="73"/>
      <c r="AE12" s="68"/>
      <c r="AF12" s="67"/>
      <c r="AG12" s="73" t="s">
        <v>69</v>
      </c>
      <c r="AH12" s="73"/>
      <c r="AI12" s="68"/>
      <c r="AJ12" s="67" t="s">
        <v>69</v>
      </c>
      <c r="AK12" s="73"/>
      <c r="AL12" s="73"/>
      <c r="AM12" s="68"/>
      <c r="AN12" s="67">
        <f t="shared" si="2"/>
        <v>93</v>
      </c>
      <c r="AO12" s="68" t="str">
        <f t="shared" si="3"/>
        <v>S</v>
      </c>
      <c r="AR12" s="49">
        <f t="shared" si="5"/>
        <v>1</v>
      </c>
      <c r="AS12" s="49">
        <f t="shared" si="6"/>
        <v>0</v>
      </c>
      <c r="AT12" s="49">
        <f t="shared" si="7"/>
        <v>0</v>
      </c>
      <c r="AU12" s="49">
        <f t="shared" si="8"/>
        <v>0</v>
      </c>
      <c r="AV12" s="49">
        <f t="shared" si="9"/>
        <v>1</v>
      </c>
      <c r="AW12" s="49">
        <f t="shared" si="10"/>
        <v>0</v>
      </c>
      <c r="AX12" s="49">
        <f t="shared" si="11"/>
        <v>0</v>
      </c>
      <c r="AY12" s="49">
        <f t="shared" si="12"/>
        <v>0</v>
      </c>
      <c r="AZ12" s="49">
        <f t="shared" si="13"/>
        <v>1</v>
      </c>
      <c r="BA12" s="49">
        <f t="shared" si="14"/>
        <v>0</v>
      </c>
      <c r="BB12" s="49">
        <f t="shared" si="15"/>
        <v>0</v>
      </c>
      <c r="BC12" s="49">
        <f t="shared" si="16"/>
        <v>0</v>
      </c>
      <c r="BD12" s="49">
        <f t="shared" si="17"/>
        <v>0</v>
      </c>
      <c r="BE12" s="49">
        <f t="shared" si="18"/>
        <v>1</v>
      </c>
      <c r="BF12" s="49">
        <f t="shared" si="19"/>
        <v>0</v>
      </c>
      <c r="BG12" s="49">
        <f t="shared" si="20"/>
        <v>0</v>
      </c>
      <c r="BH12" s="49">
        <f t="shared" si="21"/>
        <v>1</v>
      </c>
      <c r="BI12" s="49">
        <f t="shared" si="22"/>
        <v>0</v>
      </c>
      <c r="BJ12" s="49">
        <f t="shared" si="23"/>
        <v>0</v>
      </c>
      <c r="BK12" s="49">
        <f t="shared" si="24"/>
        <v>0</v>
      </c>
      <c r="BL12" s="49">
        <f t="shared" si="25"/>
        <v>1</v>
      </c>
      <c r="BM12" s="49">
        <f t="shared" si="26"/>
        <v>0</v>
      </c>
      <c r="BN12" s="49">
        <f t="shared" si="27"/>
        <v>0</v>
      </c>
      <c r="BO12" s="49">
        <f t="shared" si="28"/>
        <v>0</v>
      </c>
      <c r="BP12" s="49">
        <f t="shared" si="29"/>
        <v>0</v>
      </c>
      <c r="BQ12" s="49">
        <f t="shared" si="30"/>
        <v>1</v>
      </c>
      <c r="BR12" s="49">
        <f t="shared" si="31"/>
        <v>0</v>
      </c>
      <c r="BS12" s="49">
        <f t="shared" si="32"/>
        <v>0</v>
      </c>
      <c r="BT12" s="49">
        <f t="shared" si="33"/>
        <v>1</v>
      </c>
      <c r="BU12" s="49">
        <f t="shared" si="34"/>
        <v>0</v>
      </c>
      <c r="BV12" s="49">
        <f t="shared" si="35"/>
        <v>0</v>
      </c>
      <c r="BW12" s="49">
        <f t="shared" si="36"/>
        <v>0</v>
      </c>
    </row>
    <row r="13" spans="1:75" ht="35.1" customHeight="1" x14ac:dyDescent="0.3">
      <c r="A13" s="123" t="str">
        <f t="shared" si="0"/>
        <v>1팀</v>
      </c>
      <c r="B13" s="69">
        <f t="shared" si="1"/>
        <v>7</v>
      </c>
      <c r="C13" s="121" t="str">
        <f>IF(VLOOKUP($B13,'1. 현장별 인원현황'!$C:$J,2,0)=0,"",VLOOKUP($B13,'1. 현장별 인원현황'!$C:$J,2,0))</f>
        <v xml:space="preserve"> [1.DL건설] 전도관구역 주택재개발 정비사업조합(01공구)</v>
      </c>
      <c r="D13" s="71" t="str">
        <f>IF(VLOOKUP($B13,'1. 현장별 인원현황'!$C:$J,3,0)=0,"",VLOOKUP($B13,'1. 현장별 인원현황'!$C:$J,3,0))</f>
        <v>유동민</v>
      </c>
      <c r="E13" s="63" t="str">
        <f ca="1">IF(VLOOKUP($B13,'1. 현장별 인원현황'!$C:$J,4,0)=0,"",VLOOKUP($B13,'1. 현장별 인원현황'!$C:$J,4,0))</f>
        <v>54세</v>
      </c>
      <c r="F13" s="63" t="str">
        <f>IF(VLOOKUP($B13,'1. 현장별 인원현황'!$C:$J,7,0)=0,"",VLOOKUP($B13,'1. 현장별 인원현황'!$C:$J,7,0))</f>
        <v>기능공</v>
      </c>
      <c r="G13" s="63" t="str">
        <f>IF(VLOOKUP($B13,'1. 현장별 인원현황'!$C:$J,8,0)=0,"",VLOOKUP($B13,'1. 현장별 인원현황'!$C:$J,8,0))</f>
        <v>전공</v>
      </c>
      <c r="H13" s="67" t="s">
        <v>69</v>
      </c>
      <c r="I13" s="73"/>
      <c r="J13" s="73"/>
      <c r="K13" s="68"/>
      <c r="L13" s="67" t="s">
        <v>69</v>
      </c>
      <c r="M13" s="73"/>
      <c r="N13" s="73"/>
      <c r="O13" s="68"/>
      <c r="P13" s="67" t="s">
        <v>69</v>
      </c>
      <c r="Q13" s="73"/>
      <c r="R13" s="73"/>
      <c r="S13" s="68"/>
      <c r="T13" s="67"/>
      <c r="U13" s="73" t="s">
        <v>69</v>
      </c>
      <c r="V13" s="73"/>
      <c r="W13" s="68"/>
      <c r="X13" s="67" t="s">
        <v>69</v>
      </c>
      <c r="Y13" s="73"/>
      <c r="Z13" s="73"/>
      <c r="AA13" s="68"/>
      <c r="AB13" s="67" t="s">
        <v>69</v>
      </c>
      <c r="AC13" s="73"/>
      <c r="AD13" s="73"/>
      <c r="AE13" s="68"/>
      <c r="AF13" s="67"/>
      <c r="AG13" s="73" t="s">
        <v>69</v>
      </c>
      <c r="AH13" s="73"/>
      <c r="AI13" s="68"/>
      <c r="AJ13" s="67" t="s">
        <v>69</v>
      </c>
      <c r="AK13" s="73"/>
      <c r="AL13" s="73"/>
      <c r="AM13" s="68"/>
      <c r="AN13" s="67">
        <f t="shared" si="2"/>
        <v>93</v>
      </c>
      <c r="AO13" s="68" t="str">
        <f t="shared" si="3"/>
        <v>S</v>
      </c>
      <c r="AR13" s="49">
        <f t="shared" si="5"/>
        <v>1</v>
      </c>
      <c r="AS13" s="49">
        <f t="shared" si="6"/>
        <v>0</v>
      </c>
      <c r="AT13" s="49">
        <f t="shared" si="7"/>
        <v>0</v>
      </c>
      <c r="AU13" s="49">
        <f t="shared" si="8"/>
        <v>0</v>
      </c>
      <c r="AV13" s="49">
        <f t="shared" si="9"/>
        <v>1</v>
      </c>
      <c r="AW13" s="49">
        <f t="shared" si="10"/>
        <v>0</v>
      </c>
      <c r="AX13" s="49">
        <f t="shared" si="11"/>
        <v>0</v>
      </c>
      <c r="AY13" s="49">
        <f t="shared" si="12"/>
        <v>0</v>
      </c>
      <c r="AZ13" s="49">
        <f t="shared" si="13"/>
        <v>1</v>
      </c>
      <c r="BA13" s="49">
        <f t="shared" si="14"/>
        <v>0</v>
      </c>
      <c r="BB13" s="49">
        <f t="shared" si="15"/>
        <v>0</v>
      </c>
      <c r="BC13" s="49">
        <f t="shared" si="16"/>
        <v>0</v>
      </c>
      <c r="BD13" s="49">
        <f t="shared" si="17"/>
        <v>0</v>
      </c>
      <c r="BE13" s="49">
        <f t="shared" si="18"/>
        <v>1</v>
      </c>
      <c r="BF13" s="49">
        <f t="shared" si="19"/>
        <v>0</v>
      </c>
      <c r="BG13" s="49">
        <f t="shared" si="20"/>
        <v>0</v>
      </c>
      <c r="BH13" s="49">
        <f t="shared" si="21"/>
        <v>1</v>
      </c>
      <c r="BI13" s="49">
        <f t="shared" si="22"/>
        <v>0</v>
      </c>
      <c r="BJ13" s="49">
        <f t="shared" si="23"/>
        <v>0</v>
      </c>
      <c r="BK13" s="49">
        <f t="shared" si="24"/>
        <v>0</v>
      </c>
      <c r="BL13" s="49">
        <f t="shared" si="25"/>
        <v>1</v>
      </c>
      <c r="BM13" s="49">
        <f t="shared" si="26"/>
        <v>0</v>
      </c>
      <c r="BN13" s="49">
        <f t="shared" si="27"/>
        <v>0</v>
      </c>
      <c r="BO13" s="49">
        <f t="shared" si="28"/>
        <v>0</v>
      </c>
      <c r="BP13" s="49">
        <f t="shared" si="29"/>
        <v>0</v>
      </c>
      <c r="BQ13" s="49">
        <f t="shared" si="30"/>
        <v>1</v>
      </c>
      <c r="BR13" s="49">
        <f t="shared" si="31"/>
        <v>0</v>
      </c>
      <c r="BS13" s="49">
        <f t="shared" si="32"/>
        <v>0</v>
      </c>
      <c r="BT13" s="49">
        <f t="shared" si="33"/>
        <v>1</v>
      </c>
      <c r="BU13" s="49">
        <f t="shared" si="34"/>
        <v>0</v>
      </c>
      <c r="BV13" s="49">
        <f t="shared" si="35"/>
        <v>0</v>
      </c>
      <c r="BW13" s="49">
        <f t="shared" si="36"/>
        <v>0</v>
      </c>
    </row>
    <row r="14" spans="1:75" ht="35.1" customHeight="1" x14ac:dyDescent="0.3">
      <c r="A14" s="123" t="str">
        <f t="shared" si="0"/>
        <v>1팀</v>
      </c>
      <c r="B14" s="69">
        <f t="shared" si="1"/>
        <v>8</v>
      </c>
      <c r="C14" s="121" t="str">
        <f>IF(VLOOKUP($B14,'1. 현장별 인원현황'!$C:$J,2,0)=0,"",VLOOKUP($B14,'1. 현장별 인원현황'!$C:$J,2,0))</f>
        <v xml:space="preserve"> [1.DL건설] 전도관구역 주택재개발 정비사업조합(01공구)</v>
      </c>
      <c r="D14" s="71" t="str">
        <f>IF(VLOOKUP($B14,'1. 현장별 인원현황'!$C:$J,3,0)=0,"",VLOOKUP($B14,'1. 현장별 인원현황'!$C:$J,3,0))</f>
        <v>윤효상</v>
      </c>
      <c r="E14" s="63" t="str">
        <f ca="1">IF(VLOOKUP($B14,'1. 현장별 인원현황'!$C:$J,4,0)=0,"",VLOOKUP($B14,'1. 현장별 인원현황'!$C:$J,4,0))</f>
        <v>56세</v>
      </c>
      <c r="F14" s="63" t="str">
        <f>IF(VLOOKUP($B14,'1. 현장별 인원현황'!$C:$J,7,0)=0,"",VLOOKUP($B14,'1. 현장별 인원현황'!$C:$J,7,0))</f>
        <v>기능공</v>
      </c>
      <c r="G14" s="63" t="str">
        <f>IF(VLOOKUP($B14,'1. 현장별 인원현황'!$C:$J,8,0)=0,"",VLOOKUP($B14,'1. 현장별 인원현황'!$C:$J,8,0))</f>
        <v>전공</v>
      </c>
      <c r="H14" s="67" t="s">
        <v>69</v>
      </c>
      <c r="I14" s="73"/>
      <c r="J14" s="73"/>
      <c r="K14" s="68"/>
      <c r="L14" s="67" t="s">
        <v>69</v>
      </c>
      <c r="M14" s="73"/>
      <c r="N14" s="73"/>
      <c r="O14" s="68"/>
      <c r="P14" s="67" t="s">
        <v>69</v>
      </c>
      <c r="Q14" s="73"/>
      <c r="R14" s="73"/>
      <c r="S14" s="68"/>
      <c r="T14" s="67"/>
      <c r="U14" s="73" t="s">
        <v>69</v>
      </c>
      <c r="V14" s="73"/>
      <c r="W14" s="68"/>
      <c r="X14" s="67" t="s">
        <v>69</v>
      </c>
      <c r="Y14" s="73"/>
      <c r="Z14" s="73"/>
      <c r="AA14" s="68"/>
      <c r="AB14" s="67" t="s">
        <v>69</v>
      </c>
      <c r="AC14" s="73"/>
      <c r="AD14" s="73"/>
      <c r="AE14" s="68"/>
      <c r="AF14" s="67"/>
      <c r="AG14" s="73" t="s">
        <v>69</v>
      </c>
      <c r="AH14" s="73"/>
      <c r="AI14" s="68"/>
      <c r="AJ14" s="67" t="s">
        <v>69</v>
      </c>
      <c r="AK14" s="73"/>
      <c r="AL14" s="73"/>
      <c r="AM14" s="68"/>
      <c r="AN14" s="67">
        <f t="shared" si="2"/>
        <v>93</v>
      </c>
      <c r="AO14" s="68" t="str">
        <f t="shared" si="3"/>
        <v>S</v>
      </c>
      <c r="AR14" s="49">
        <f t="shared" si="5"/>
        <v>1</v>
      </c>
      <c r="AS14" s="49">
        <f t="shared" si="6"/>
        <v>0</v>
      </c>
      <c r="AT14" s="49">
        <f t="shared" si="7"/>
        <v>0</v>
      </c>
      <c r="AU14" s="49">
        <f t="shared" si="8"/>
        <v>0</v>
      </c>
      <c r="AV14" s="49">
        <f t="shared" si="9"/>
        <v>1</v>
      </c>
      <c r="AW14" s="49">
        <f t="shared" si="10"/>
        <v>0</v>
      </c>
      <c r="AX14" s="49">
        <f t="shared" si="11"/>
        <v>0</v>
      </c>
      <c r="AY14" s="49">
        <f t="shared" si="12"/>
        <v>0</v>
      </c>
      <c r="AZ14" s="49">
        <f t="shared" si="13"/>
        <v>1</v>
      </c>
      <c r="BA14" s="49">
        <f t="shared" si="14"/>
        <v>0</v>
      </c>
      <c r="BB14" s="49">
        <f t="shared" si="15"/>
        <v>0</v>
      </c>
      <c r="BC14" s="49">
        <f t="shared" si="16"/>
        <v>0</v>
      </c>
      <c r="BD14" s="49">
        <f t="shared" si="17"/>
        <v>0</v>
      </c>
      <c r="BE14" s="49">
        <f t="shared" si="18"/>
        <v>1</v>
      </c>
      <c r="BF14" s="49">
        <f t="shared" si="19"/>
        <v>0</v>
      </c>
      <c r="BG14" s="49">
        <f t="shared" si="20"/>
        <v>0</v>
      </c>
      <c r="BH14" s="49">
        <f t="shared" si="21"/>
        <v>1</v>
      </c>
      <c r="BI14" s="49">
        <f t="shared" si="22"/>
        <v>0</v>
      </c>
      <c r="BJ14" s="49">
        <f t="shared" si="23"/>
        <v>0</v>
      </c>
      <c r="BK14" s="49">
        <f t="shared" si="24"/>
        <v>0</v>
      </c>
      <c r="BL14" s="49">
        <f t="shared" si="25"/>
        <v>1</v>
      </c>
      <c r="BM14" s="49">
        <f t="shared" si="26"/>
        <v>0</v>
      </c>
      <c r="BN14" s="49">
        <f t="shared" si="27"/>
        <v>0</v>
      </c>
      <c r="BO14" s="49">
        <f t="shared" si="28"/>
        <v>0</v>
      </c>
      <c r="BP14" s="49">
        <f t="shared" si="29"/>
        <v>0</v>
      </c>
      <c r="BQ14" s="49">
        <f t="shared" si="30"/>
        <v>1</v>
      </c>
      <c r="BR14" s="49">
        <f t="shared" si="31"/>
        <v>0</v>
      </c>
      <c r="BS14" s="49">
        <f t="shared" si="32"/>
        <v>0</v>
      </c>
      <c r="BT14" s="49">
        <f t="shared" si="33"/>
        <v>1</v>
      </c>
      <c r="BU14" s="49">
        <f t="shared" si="34"/>
        <v>0</v>
      </c>
      <c r="BV14" s="49">
        <f t="shared" si="35"/>
        <v>0</v>
      </c>
      <c r="BW14" s="49">
        <f t="shared" si="36"/>
        <v>0</v>
      </c>
    </row>
    <row r="15" spans="1:75" ht="35.1" customHeight="1" x14ac:dyDescent="0.3">
      <c r="A15" s="123" t="str">
        <f t="shared" si="0"/>
        <v>1팀</v>
      </c>
      <c r="B15" s="69">
        <f t="shared" si="1"/>
        <v>9</v>
      </c>
      <c r="C15" s="121" t="str">
        <f>IF(VLOOKUP($B15,'1. 현장별 인원현황'!$C:$J,2,0)=0,"",VLOOKUP($B15,'1. 현장별 인원현황'!$C:$J,2,0))</f>
        <v xml:space="preserve"> [1.DL건설] 전도관구역 주택재개발 정비사업조합(01공구)</v>
      </c>
      <c r="D15" s="71" t="str">
        <f>IF(VLOOKUP($B15,'1. 현장별 인원현황'!$C:$J,3,0)=0,"",VLOOKUP($B15,'1. 현장별 인원현황'!$C:$J,3,0))</f>
        <v>이봉운</v>
      </c>
      <c r="E15" s="63" t="str">
        <f ca="1">IF(VLOOKUP($B15,'1. 현장별 인원현황'!$C:$J,4,0)=0,"",VLOOKUP($B15,'1. 현장별 인원현황'!$C:$J,4,0))</f>
        <v>44세</v>
      </c>
      <c r="F15" s="63" t="str">
        <f>IF(VLOOKUP($B15,'1. 현장별 인원현황'!$C:$J,7,0)=0,"",VLOOKUP($B15,'1. 현장별 인원현황'!$C:$J,7,0))</f>
        <v>기능공</v>
      </c>
      <c r="G15" s="63" t="str">
        <f>IF(VLOOKUP($B15,'1. 현장별 인원현황'!$C:$J,8,0)=0,"",VLOOKUP($B15,'1. 현장별 인원현황'!$C:$J,8,0))</f>
        <v>전공</v>
      </c>
      <c r="H15" s="67" t="s">
        <v>69</v>
      </c>
      <c r="I15" s="73"/>
      <c r="J15" s="73"/>
      <c r="K15" s="68"/>
      <c r="L15" s="67" t="s">
        <v>69</v>
      </c>
      <c r="M15" s="73"/>
      <c r="N15" s="73"/>
      <c r="O15" s="68"/>
      <c r="P15" s="67" t="s">
        <v>69</v>
      </c>
      <c r="Q15" s="73"/>
      <c r="R15" s="73"/>
      <c r="S15" s="68"/>
      <c r="T15" s="67"/>
      <c r="U15" s="73" t="s">
        <v>69</v>
      </c>
      <c r="V15" s="73"/>
      <c r="W15" s="68"/>
      <c r="X15" s="67" t="s">
        <v>69</v>
      </c>
      <c r="Y15" s="73"/>
      <c r="Z15" s="73"/>
      <c r="AA15" s="68"/>
      <c r="AB15" s="67" t="s">
        <v>69</v>
      </c>
      <c r="AC15" s="73"/>
      <c r="AD15" s="73"/>
      <c r="AE15" s="68"/>
      <c r="AF15" s="67"/>
      <c r="AG15" s="73" t="s">
        <v>69</v>
      </c>
      <c r="AH15" s="73"/>
      <c r="AI15" s="68"/>
      <c r="AJ15" s="67" t="s">
        <v>69</v>
      </c>
      <c r="AK15" s="73"/>
      <c r="AL15" s="73"/>
      <c r="AM15" s="68"/>
      <c r="AN15" s="67">
        <f t="shared" si="2"/>
        <v>93</v>
      </c>
      <c r="AO15" s="68" t="str">
        <f t="shared" si="3"/>
        <v>S</v>
      </c>
      <c r="AR15" s="49">
        <f t="shared" si="5"/>
        <v>1</v>
      </c>
      <c r="AS15" s="49">
        <f t="shared" si="6"/>
        <v>0</v>
      </c>
      <c r="AT15" s="49">
        <f t="shared" si="7"/>
        <v>0</v>
      </c>
      <c r="AU15" s="49">
        <f t="shared" si="8"/>
        <v>0</v>
      </c>
      <c r="AV15" s="49">
        <f t="shared" si="9"/>
        <v>1</v>
      </c>
      <c r="AW15" s="49">
        <f t="shared" si="10"/>
        <v>0</v>
      </c>
      <c r="AX15" s="49">
        <f t="shared" si="11"/>
        <v>0</v>
      </c>
      <c r="AY15" s="49">
        <f t="shared" si="12"/>
        <v>0</v>
      </c>
      <c r="AZ15" s="49">
        <f t="shared" si="13"/>
        <v>1</v>
      </c>
      <c r="BA15" s="49">
        <f t="shared" si="14"/>
        <v>0</v>
      </c>
      <c r="BB15" s="49">
        <f t="shared" si="15"/>
        <v>0</v>
      </c>
      <c r="BC15" s="49">
        <f t="shared" si="16"/>
        <v>0</v>
      </c>
      <c r="BD15" s="49">
        <f t="shared" si="17"/>
        <v>0</v>
      </c>
      <c r="BE15" s="49">
        <f t="shared" si="18"/>
        <v>1</v>
      </c>
      <c r="BF15" s="49">
        <f t="shared" si="19"/>
        <v>0</v>
      </c>
      <c r="BG15" s="49">
        <f t="shared" si="20"/>
        <v>0</v>
      </c>
      <c r="BH15" s="49">
        <f t="shared" si="21"/>
        <v>1</v>
      </c>
      <c r="BI15" s="49">
        <f t="shared" si="22"/>
        <v>0</v>
      </c>
      <c r="BJ15" s="49">
        <f t="shared" si="23"/>
        <v>0</v>
      </c>
      <c r="BK15" s="49">
        <f t="shared" si="24"/>
        <v>0</v>
      </c>
      <c r="BL15" s="49">
        <f t="shared" si="25"/>
        <v>1</v>
      </c>
      <c r="BM15" s="49">
        <f t="shared" si="26"/>
        <v>0</v>
      </c>
      <c r="BN15" s="49">
        <f t="shared" si="27"/>
        <v>0</v>
      </c>
      <c r="BO15" s="49">
        <f t="shared" si="28"/>
        <v>0</v>
      </c>
      <c r="BP15" s="49">
        <f t="shared" si="29"/>
        <v>0</v>
      </c>
      <c r="BQ15" s="49">
        <f t="shared" si="30"/>
        <v>1</v>
      </c>
      <c r="BR15" s="49">
        <f t="shared" si="31"/>
        <v>0</v>
      </c>
      <c r="BS15" s="49">
        <f t="shared" si="32"/>
        <v>0</v>
      </c>
      <c r="BT15" s="49">
        <f t="shared" si="33"/>
        <v>1</v>
      </c>
      <c r="BU15" s="49">
        <f t="shared" si="34"/>
        <v>0</v>
      </c>
      <c r="BV15" s="49">
        <f t="shared" si="35"/>
        <v>0</v>
      </c>
      <c r="BW15" s="49">
        <f t="shared" si="36"/>
        <v>0</v>
      </c>
    </row>
    <row r="16" spans="1:75" ht="35.1" customHeight="1" x14ac:dyDescent="0.3">
      <c r="A16" s="123" t="str">
        <f t="shared" si="0"/>
        <v>1팀</v>
      </c>
      <c r="B16" s="69">
        <f t="shared" si="1"/>
        <v>10</v>
      </c>
      <c r="C16" s="121" t="str">
        <f>IF(VLOOKUP($B16,'1. 현장별 인원현황'!$C:$J,2,0)=0,"",VLOOKUP($B16,'1. 현장별 인원현황'!$C:$J,2,0))</f>
        <v xml:space="preserve"> [1.DL건설] 전도관구역 주택재개발 정비사업조합(01공구)</v>
      </c>
      <c r="D16" s="71" t="str">
        <f>IF(VLOOKUP($B16,'1. 현장별 인원현황'!$C:$J,3,0)=0,"",VLOOKUP($B16,'1. 현장별 인원현황'!$C:$J,3,0))</f>
        <v>이상열</v>
      </c>
      <c r="E16" s="63" t="str">
        <f ca="1">IF(VLOOKUP($B16,'1. 현장별 인원현황'!$C:$J,4,0)=0,"",VLOOKUP($B16,'1. 현장별 인원현황'!$C:$J,4,0))</f>
        <v>53세</v>
      </c>
      <c r="F16" s="63" t="str">
        <f>IF(VLOOKUP($B16,'1. 현장별 인원현황'!$C:$J,7,0)=0,"",VLOOKUP($B16,'1. 현장별 인원현황'!$C:$J,7,0))</f>
        <v>기능공</v>
      </c>
      <c r="G16" s="63" t="str">
        <f>IF(VLOOKUP($B16,'1. 현장별 인원현황'!$C:$J,8,0)=0,"",VLOOKUP($B16,'1. 현장별 인원현황'!$C:$J,8,0))</f>
        <v>전공</v>
      </c>
      <c r="H16" s="67" t="s">
        <v>69</v>
      </c>
      <c r="I16" s="73"/>
      <c r="J16" s="73"/>
      <c r="K16" s="68"/>
      <c r="L16" s="67" t="s">
        <v>69</v>
      </c>
      <c r="M16" s="73"/>
      <c r="N16" s="73"/>
      <c r="O16" s="68"/>
      <c r="P16" s="67" t="s">
        <v>69</v>
      </c>
      <c r="Q16" s="73"/>
      <c r="R16" s="73"/>
      <c r="S16" s="68"/>
      <c r="T16" s="67" t="s">
        <v>69</v>
      </c>
      <c r="U16" s="73"/>
      <c r="V16" s="73"/>
      <c r="W16" s="68"/>
      <c r="X16" s="67" t="s">
        <v>69</v>
      </c>
      <c r="Y16" s="73"/>
      <c r="Z16" s="73"/>
      <c r="AA16" s="68"/>
      <c r="AB16" s="67" t="s">
        <v>69</v>
      </c>
      <c r="AC16" s="73"/>
      <c r="AD16" s="73"/>
      <c r="AE16" s="68"/>
      <c r="AF16" s="67" t="s">
        <v>69</v>
      </c>
      <c r="AG16" s="73"/>
      <c r="AH16" s="73"/>
      <c r="AI16" s="68"/>
      <c r="AJ16" s="67" t="s">
        <v>69</v>
      </c>
      <c r="AK16" s="73"/>
      <c r="AL16" s="73"/>
      <c r="AM16" s="68"/>
      <c r="AN16" s="67">
        <f t="shared" si="2"/>
        <v>100</v>
      </c>
      <c r="AO16" s="68" t="str">
        <f t="shared" si="3"/>
        <v>S</v>
      </c>
      <c r="AR16" s="49">
        <f t="shared" si="5"/>
        <v>1</v>
      </c>
      <c r="AS16" s="49">
        <f t="shared" si="6"/>
        <v>0</v>
      </c>
      <c r="AT16" s="49">
        <f t="shared" si="7"/>
        <v>0</v>
      </c>
      <c r="AU16" s="49">
        <f t="shared" si="8"/>
        <v>0</v>
      </c>
      <c r="AV16" s="49">
        <f t="shared" si="9"/>
        <v>1</v>
      </c>
      <c r="AW16" s="49">
        <f t="shared" si="10"/>
        <v>0</v>
      </c>
      <c r="AX16" s="49">
        <f t="shared" si="11"/>
        <v>0</v>
      </c>
      <c r="AY16" s="49">
        <f t="shared" si="12"/>
        <v>0</v>
      </c>
      <c r="AZ16" s="49">
        <f t="shared" si="13"/>
        <v>1</v>
      </c>
      <c r="BA16" s="49">
        <f t="shared" si="14"/>
        <v>0</v>
      </c>
      <c r="BB16" s="49">
        <f t="shared" si="15"/>
        <v>0</v>
      </c>
      <c r="BC16" s="49">
        <f t="shared" si="16"/>
        <v>0</v>
      </c>
      <c r="BD16" s="49">
        <f t="shared" si="17"/>
        <v>1</v>
      </c>
      <c r="BE16" s="49">
        <f t="shared" si="18"/>
        <v>0</v>
      </c>
      <c r="BF16" s="49">
        <f t="shared" si="19"/>
        <v>0</v>
      </c>
      <c r="BG16" s="49">
        <f t="shared" si="20"/>
        <v>0</v>
      </c>
      <c r="BH16" s="49">
        <f t="shared" si="21"/>
        <v>1</v>
      </c>
      <c r="BI16" s="49">
        <f t="shared" si="22"/>
        <v>0</v>
      </c>
      <c r="BJ16" s="49">
        <f t="shared" si="23"/>
        <v>0</v>
      </c>
      <c r="BK16" s="49">
        <f t="shared" si="24"/>
        <v>0</v>
      </c>
      <c r="BL16" s="49">
        <f t="shared" si="25"/>
        <v>1</v>
      </c>
      <c r="BM16" s="49">
        <f t="shared" si="26"/>
        <v>0</v>
      </c>
      <c r="BN16" s="49">
        <f t="shared" si="27"/>
        <v>0</v>
      </c>
      <c r="BO16" s="49">
        <f t="shared" si="28"/>
        <v>0</v>
      </c>
      <c r="BP16" s="49">
        <f t="shared" si="29"/>
        <v>1</v>
      </c>
      <c r="BQ16" s="49">
        <f t="shared" si="30"/>
        <v>0</v>
      </c>
      <c r="BR16" s="49">
        <f t="shared" si="31"/>
        <v>0</v>
      </c>
      <c r="BS16" s="49">
        <f t="shared" si="32"/>
        <v>0</v>
      </c>
      <c r="BT16" s="49">
        <f t="shared" si="33"/>
        <v>1</v>
      </c>
      <c r="BU16" s="49">
        <f t="shared" si="34"/>
        <v>0</v>
      </c>
      <c r="BV16" s="49">
        <f t="shared" si="35"/>
        <v>0</v>
      </c>
      <c r="BW16" s="49">
        <f t="shared" si="36"/>
        <v>0</v>
      </c>
    </row>
    <row r="17" spans="1:75" ht="35.1" customHeight="1" x14ac:dyDescent="0.3">
      <c r="A17" s="123" t="str">
        <f t="shared" si="0"/>
        <v>1팀</v>
      </c>
      <c r="B17" s="69">
        <f t="shared" si="1"/>
        <v>11</v>
      </c>
      <c r="C17" s="121" t="str">
        <f>IF(VLOOKUP($B17,'1. 현장별 인원현황'!$C:$J,2,0)=0,"",VLOOKUP($B17,'1. 현장별 인원현황'!$C:$J,2,0))</f>
        <v xml:space="preserve"> [1.DL건설] 전도관구역 주택재개발 정비사업조합(01공구)</v>
      </c>
      <c r="D17" s="71" t="str">
        <f>IF(VLOOKUP($B17,'1. 현장별 인원현황'!$C:$J,3,0)=0,"",VLOOKUP($B17,'1. 현장별 인원현황'!$C:$J,3,0))</f>
        <v>이후승</v>
      </c>
      <c r="E17" s="63" t="str">
        <f ca="1">IF(VLOOKUP($B17,'1. 현장별 인원현황'!$C:$J,4,0)=0,"",VLOOKUP($B17,'1. 현장별 인원현황'!$C:$J,4,0))</f>
        <v>27세</v>
      </c>
      <c r="F17" s="63" t="str">
        <f>IF(VLOOKUP($B17,'1. 현장별 인원현황'!$C:$J,7,0)=0,"",VLOOKUP($B17,'1. 현장별 인원현황'!$C:$J,7,0))</f>
        <v>기능공</v>
      </c>
      <c r="G17" s="63" t="str">
        <f>IF(VLOOKUP($B17,'1. 현장별 인원현황'!$C:$J,8,0)=0,"",VLOOKUP($B17,'1. 현장별 인원현황'!$C:$J,8,0))</f>
        <v>전공</v>
      </c>
      <c r="H17" s="67" t="s">
        <v>69</v>
      </c>
      <c r="I17" s="73"/>
      <c r="J17" s="73"/>
      <c r="K17" s="68"/>
      <c r="L17" s="67" t="s">
        <v>69</v>
      </c>
      <c r="M17" s="73"/>
      <c r="N17" s="73"/>
      <c r="O17" s="68"/>
      <c r="P17" s="67" t="s">
        <v>69</v>
      </c>
      <c r="Q17" s="73"/>
      <c r="R17" s="73"/>
      <c r="S17" s="68"/>
      <c r="T17" s="67" t="s">
        <v>69</v>
      </c>
      <c r="U17" s="73"/>
      <c r="V17" s="73"/>
      <c r="W17" s="68"/>
      <c r="X17" s="67" t="s">
        <v>69</v>
      </c>
      <c r="Y17" s="73"/>
      <c r="Z17" s="73"/>
      <c r="AA17" s="68"/>
      <c r="AB17" s="67" t="s">
        <v>69</v>
      </c>
      <c r="AC17" s="73"/>
      <c r="AD17" s="73"/>
      <c r="AE17" s="68"/>
      <c r="AF17" s="67" t="s">
        <v>69</v>
      </c>
      <c r="AG17" s="73"/>
      <c r="AH17" s="73"/>
      <c r="AI17" s="68"/>
      <c r="AJ17" s="67" t="s">
        <v>69</v>
      </c>
      <c r="AK17" s="73"/>
      <c r="AL17" s="73"/>
      <c r="AM17" s="68"/>
      <c r="AN17" s="67">
        <f t="shared" si="2"/>
        <v>100</v>
      </c>
      <c r="AO17" s="68" t="str">
        <f t="shared" si="3"/>
        <v>S</v>
      </c>
      <c r="AR17" s="49">
        <f t="shared" si="5"/>
        <v>1</v>
      </c>
      <c r="AS17" s="49">
        <f t="shared" si="6"/>
        <v>0</v>
      </c>
      <c r="AT17" s="49">
        <f t="shared" si="7"/>
        <v>0</v>
      </c>
      <c r="AU17" s="49">
        <f t="shared" si="8"/>
        <v>0</v>
      </c>
      <c r="AV17" s="49">
        <f t="shared" si="9"/>
        <v>1</v>
      </c>
      <c r="AW17" s="49">
        <f t="shared" si="10"/>
        <v>0</v>
      </c>
      <c r="AX17" s="49">
        <f t="shared" si="11"/>
        <v>0</v>
      </c>
      <c r="AY17" s="49">
        <f t="shared" si="12"/>
        <v>0</v>
      </c>
      <c r="AZ17" s="49">
        <f t="shared" si="13"/>
        <v>1</v>
      </c>
      <c r="BA17" s="49">
        <f t="shared" si="14"/>
        <v>0</v>
      </c>
      <c r="BB17" s="49">
        <f t="shared" si="15"/>
        <v>0</v>
      </c>
      <c r="BC17" s="49">
        <f t="shared" si="16"/>
        <v>0</v>
      </c>
      <c r="BD17" s="49">
        <f t="shared" si="17"/>
        <v>1</v>
      </c>
      <c r="BE17" s="49">
        <f t="shared" si="18"/>
        <v>0</v>
      </c>
      <c r="BF17" s="49">
        <f t="shared" si="19"/>
        <v>0</v>
      </c>
      <c r="BG17" s="49">
        <f t="shared" si="20"/>
        <v>0</v>
      </c>
      <c r="BH17" s="49">
        <f t="shared" si="21"/>
        <v>1</v>
      </c>
      <c r="BI17" s="49">
        <f t="shared" si="22"/>
        <v>0</v>
      </c>
      <c r="BJ17" s="49">
        <f t="shared" si="23"/>
        <v>0</v>
      </c>
      <c r="BK17" s="49">
        <f t="shared" si="24"/>
        <v>0</v>
      </c>
      <c r="BL17" s="49">
        <f t="shared" si="25"/>
        <v>1</v>
      </c>
      <c r="BM17" s="49">
        <f t="shared" si="26"/>
        <v>0</v>
      </c>
      <c r="BN17" s="49">
        <f t="shared" si="27"/>
        <v>0</v>
      </c>
      <c r="BO17" s="49">
        <f t="shared" si="28"/>
        <v>0</v>
      </c>
      <c r="BP17" s="49">
        <f t="shared" si="29"/>
        <v>1</v>
      </c>
      <c r="BQ17" s="49">
        <f t="shared" si="30"/>
        <v>0</v>
      </c>
      <c r="BR17" s="49">
        <f t="shared" si="31"/>
        <v>0</v>
      </c>
      <c r="BS17" s="49">
        <f t="shared" si="32"/>
        <v>0</v>
      </c>
      <c r="BT17" s="49">
        <f t="shared" si="33"/>
        <v>1</v>
      </c>
      <c r="BU17" s="49">
        <f t="shared" si="34"/>
        <v>0</v>
      </c>
      <c r="BV17" s="49">
        <f t="shared" si="35"/>
        <v>0</v>
      </c>
      <c r="BW17" s="49">
        <f t="shared" si="36"/>
        <v>0</v>
      </c>
    </row>
    <row r="18" spans="1:75" ht="35.1" customHeight="1" x14ac:dyDescent="0.3">
      <c r="A18" s="123" t="str">
        <f t="shared" si="0"/>
        <v>1팀</v>
      </c>
      <c r="B18" s="69">
        <f t="shared" si="1"/>
        <v>12</v>
      </c>
      <c r="C18" s="121" t="str">
        <f>IF(VLOOKUP($B18,'1. 현장별 인원현황'!$C:$J,2,0)=0,"",VLOOKUP($B18,'1. 현장별 인원현황'!$C:$J,2,0))</f>
        <v xml:space="preserve"> [1.DL건설] 전도관구역 주택재개발 정비사업조합(01공구)</v>
      </c>
      <c r="D18" s="71" t="str">
        <f>IF(VLOOKUP($B18,'1. 현장별 인원현황'!$C:$J,3,0)=0,"",VLOOKUP($B18,'1. 현장별 인원현황'!$C:$J,3,0))</f>
        <v>조해제</v>
      </c>
      <c r="E18" s="63" t="str">
        <f ca="1">IF(VLOOKUP($B18,'1. 현장별 인원현황'!$C:$J,4,0)=0,"",VLOOKUP($B18,'1. 현장별 인원현황'!$C:$J,4,0))</f>
        <v>62세</v>
      </c>
      <c r="F18" s="63" t="str">
        <f>IF(VLOOKUP($B18,'1. 현장별 인원현황'!$C:$J,7,0)=0,"",VLOOKUP($B18,'1. 현장별 인원현황'!$C:$J,7,0))</f>
        <v>기능공</v>
      </c>
      <c r="G18" s="63" t="str">
        <f>IF(VLOOKUP($B18,'1. 현장별 인원현황'!$C:$J,8,0)=0,"",VLOOKUP($B18,'1. 현장별 인원현황'!$C:$J,8,0))</f>
        <v>전공</v>
      </c>
      <c r="H18" s="67" t="s">
        <v>69</v>
      </c>
      <c r="I18" s="73"/>
      <c r="J18" s="73"/>
      <c r="K18" s="68"/>
      <c r="L18" s="67" t="s">
        <v>69</v>
      </c>
      <c r="M18" s="73"/>
      <c r="N18" s="73"/>
      <c r="O18" s="68"/>
      <c r="P18" s="67" t="s">
        <v>69</v>
      </c>
      <c r="Q18" s="73"/>
      <c r="R18" s="73"/>
      <c r="S18" s="68"/>
      <c r="T18" s="67" t="s">
        <v>69</v>
      </c>
      <c r="U18" s="73"/>
      <c r="V18" s="73"/>
      <c r="W18" s="68"/>
      <c r="X18" s="67" t="s">
        <v>69</v>
      </c>
      <c r="Y18" s="73"/>
      <c r="Z18" s="73"/>
      <c r="AA18" s="68"/>
      <c r="AB18" s="67" t="s">
        <v>69</v>
      </c>
      <c r="AC18" s="73"/>
      <c r="AD18" s="73"/>
      <c r="AE18" s="68"/>
      <c r="AF18" s="67" t="s">
        <v>69</v>
      </c>
      <c r="AG18" s="73"/>
      <c r="AH18" s="73"/>
      <c r="AI18" s="68"/>
      <c r="AJ18" s="67" t="s">
        <v>69</v>
      </c>
      <c r="AK18" s="73"/>
      <c r="AL18" s="73"/>
      <c r="AM18" s="68"/>
      <c r="AN18" s="67">
        <f t="shared" si="2"/>
        <v>100</v>
      </c>
      <c r="AO18" s="68" t="str">
        <f t="shared" si="3"/>
        <v>S</v>
      </c>
      <c r="AR18" s="49">
        <f t="shared" si="5"/>
        <v>1</v>
      </c>
      <c r="AS18" s="49">
        <f t="shared" si="6"/>
        <v>0</v>
      </c>
      <c r="AT18" s="49">
        <f t="shared" si="7"/>
        <v>0</v>
      </c>
      <c r="AU18" s="49">
        <f t="shared" si="8"/>
        <v>0</v>
      </c>
      <c r="AV18" s="49">
        <f t="shared" si="9"/>
        <v>1</v>
      </c>
      <c r="AW18" s="49">
        <f t="shared" si="10"/>
        <v>0</v>
      </c>
      <c r="AX18" s="49">
        <f t="shared" si="11"/>
        <v>0</v>
      </c>
      <c r="AY18" s="49">
        <f t="shared" si="12"/>
        <v>0</v>
      </c>
      <c r="AZ18" s="49">
        <f t="shared" si="13"/>
        <v>1</v>
      </c>
      <c r="BA18" s="49">
        <f t="shared" si="14"/>
        <v>0</v>
      </c>
      <c r="BB18" s="49">
        <f t="shared" si="15"/>
        <v>0</v>
      </c>
      <c r="BC18" s="49">
        <f t="shared" si="16"/>
        <v>0</v>
      </c>
      <c r="BD18" s="49">
        <f t="shared" si="17"/>
        <v>1</v>
      </c>
      <c r="BE18" s="49">
        <f t="shared" si="18"/>
        <v>0</v>
      </c>
      <c r="BF18" s="49">
        <f t="shared" si="19"/>
        <v>0</v>
      </c>
      <c r="BG18" s="49">
        <f t="shared" si="20"/>
        <v>0</v>
      </c>
      <c r="BH18" s="49">
        <f t="shared" si="21"/>
        <v>1</v>
      </c>
      <c r="BI18" s="49">
        <f t="shared" si="22"/>
        <v>0</v>
      </c>
      <c r="BJ18" s="49">
        <f t="shared" si="23"/>
        <v>0</v>
      </c>
      <c r="BK18" s="49">
        <f t="shared" si="24"/>
        <v>0</v>
      </c>
      <c r="BL18" s="49">
        <f t="shared" si="25"/>
        <v>1</v>
      </c>
      <c r="BM18" s="49">
        <f t="shared" si="26"/>
        <v>0</v>
      </c>
      <c r="BN18" s="49">
        <f t="shared" si="27"/>
        <v>0</v>
      </c>
      <c r="BO18" s="49">
        <f t="shared" si="28"/>
        <v>0</v>
      </c>
      <c r="BP18" s="49">
        <f t="shared" si="29"/>
        <v>1</v>
      </c>
      <c r="BQ18" s="49">
        <f t="shared" si="30"/>
        <v>0</v>
      </c>
      <c r="BR18" s="49">
        <f t="shared" si="31"/>
        <v>0</v>
      </c>
      <c r="BS18" s="49">
        <f t="shared" si="32"/>
        <v>0</v>
      </c>
      <c r="BT18" s="49">
        <f t="shared" si="33"/>
        <v>1</v>
      </c>
      <c r="BU18" s="49">
        <f t="shared" si="34"/>
        <v>0</v>
      </c>
      <c r="BV18" s="49">
        <f t="shared" si="35"/>
        <v>0</v>
      </c>
      <c r="BW18" s="49">
        <f t="shared" si="36"/>
        <v>0</v>
      </c>
    </row>
    <row r="19" spans="1:75" ht="35.1" customHeight="1" x14ac:dyDescent="0.3">
      <c r="A19" s="123" t="str">
        <f t="shared" si="0"/>
        <v>1팀</v>
      </c>
      <c r="B19" s="69">
        <f t="shared" si="1"/>
        <v>13</v>
      </c>
      <c r="C19" s="121" t="str">
        <f>IF(VLOOKUP($B19,'1. 현장별 인원현황'!$C:$J,2,0)=0,"",VLOOKUP($B19,'1. 현장별 인원현황'!$C:$J,2,0))</f>
        <v xml:space="preserve"> [1.대우건설] 고양향동 지원1BL 지식산업센터 신축공사</v>
      </c>
      <c r="D19" s="71" t="str">
        <f>IF(VLOOKUP($B19,'1. 현장별 인원현황'!$C:$J,3,0)=0,"",VLOOKUP($B19,'1. 현장별 인원현황'!$C:$J,3,0))</f>
        <v>홍병수</v>
      </c>
      <c r="E19" s="63" t="str">
        <f ca="1">IF(VLOOKUP($B19,'1. 현장별 인원현황'!$C:$J,4,0)=0,"",VLOOKUP($B19,'1. 현장별 인원현황'!$C:$J,4,0))</f>
        <v>44세</v>
      </c>
      <c r="F19" s="63" t="str">
        <f>IF(VLOOKUP($B19,'1. 현장별 인원현황'!$C:$J,7,0)=0,"",VLOOKUP($B19,'1. 현장별 인원현황'!$C:$J,7,0))</f>
        <v>공무</v>
      </c>
      <c r="G19" s="63" t="str">
        <f>IF(VLOOKUP($B19,'1. 현장별 인원현황'!$C:$J,8,0)=0,"",VLOOKUP($B19,'1. 현장별 인원현황'!$C:$J,8,0))</f>
        <v>과장</v>
      </c>
      <c r="H19" s="67" t="s">
        <v>69</v>
      </c>
      <c r="I19" s="73"/>
      <c r="J19" s="73"/>
      <c r="K19" s="68"/>
      <c r="L19" s="67" t="s">
        <v>69</v>
      </c>
      <c r="M19" s="73"/>
      <c r="N19" s="73"/>
      <c r="O19" s="68"/>
      <c r="P19" s="67" t="s">
        <v>69</v>
      </c>
      <c r="Q19" s="73"/>
      <c r="R19" s="73"/>
      <c r="S19" s="68"/>
      <c r="T19" s="67" t="s">
        <v>69</v>
      </c>
      <c r="U19" s="73"/>
      <c r="V19" s="73"/>
      <c r="W19" s="68"/>
      <c r="X19" s="67" t="s">
        <v>69</v>
      </c>
      <c r="Y19" s="73"/>
      <c r="Z19" s="73"/>
      <c r="AA19" s="68"/>
      <c r="AB19" s="67" t="s">
        <v>69</v>
      </c>
      <c r="AC19" s="73"/>
      <c r="AD19" s="73"/>
      <c r="AE19" s="68"/>
      <c r="AF19" s="67" t="s">
        <v>69</v>
      </c>
      <c r="AG19" s="73"/>
      <c r="AH19" s="73"/>
      <c r="AI19" s="68"/>
      <c r="AJ19" s="67" t="s">
        <v>69</v>
      </c>
      <c r="AK19" s="73"/>
      <c r="AL19" s="73"/>
      <c r="AM19" s="68"/>
      <c r="AN19" s="67">
        <f t="shared" si="2"/>
        <v>100</v>
      </c>
      <c r="AO19" s="68" t="str">
        <f t="shared" si="3"/>
        <v>S</v>
      </c>
      <c r="AR19" s="49">
        <f t="shared" si="5"/>
        <v>1</v>
      </c>
      <c r="AS19" s="49">
        <f t="shared" si="6"/>
        <v>0</v>
      </c>
      <c r="AT19" s="49">
        <f t="shared" si="7"/>
        <v>0</v>
      </c>
      <c r="AU19" s="49">
        <f t="shared" si="8"/>
        <v>0</v>
      </c>
      <c r="AV19" s="49">
        <f t="shared" si="9"/>
        <v>1</v>
      </c>
      <c r="AW19" s="49">
        <f t="shared" si="10"/>
        <v>0</v>
      </c>
      <c r="AX19" s="49">
        <f t="shared" si="11"/>
        <v>0</v>
      </c>
      <c r="AY19" s="49">
        <f t="shared" si="12"/>
        <v>0</v>
      </c>
      <c r="AZ19" s="49">
        <f t="shared" si="13"/>
        <v>1</v>
      </c>
      <c r="BA19" s="49">
        <f t="shared" si="14"/>
        <v>0</v>
      </c>
      <c r="BB19" s="49">
        <f t="shared" si="15"/>
        <v>0</v>
      </c>
      <c r="BC19" s="49">
        <f t="shared" si="16"/>
        <v>0</v>
      </c>
      <c r="BD19" s="49">
        <f t="shared" si="17"/>
        <v>1</v>
      </c>
      <c r="BE19" s="49">
        <f t="shared" si="18"/>
        <v>0</v>
      </c>
      <c r="BF19" s="49">
        <f t="shared" si="19"/>
        <v>0</v>
      </c>
      <c r="BG19" s="49">
        <f t="shared" si="20"/>
        <v>0</v>
      </c>
      <c r="BH19" s="49">
        <f t="shared" si="21"/>
        <v>1</v>
      </c>
      <c r="BI19" s="49">
        <f t="shared" si="22"/>
        <v>0</v>
      </c>
      <c r="BJ19" s="49">
        <f t="shared" si="23"/>
        <v>0</v>
      </c>
      <c r="BK19" s="49">
        <f t="shared" si="24"/>
        <v>0</v>
      </c>
      <c r="BL19" s="49">
        <f t="shared" si="25"/>
        <v>1</v>
      </c>
      <c r="BM19" s="49">
        <f t="shared" si="26"/>
        <v>0</v>
      </c>
      <c r="BN19" s="49">
        <f t="shared" si="27"/>
        <v>0</v>
      </c>
      <c r="BO19" s="49">
        <f t="shared" si="28"/>
        <v>0</v>
      </c>
      <c r="BP19" s="49">
        <f t="shared" si="29"/>
        <v>1</v>
      </c>
      <c r="BQ19" s="49">
        <f t="shared" si="30"/>
        <v>0</v>
      </c>
      <c r="BR19" s="49">
        <f t="shared" si="31"/>
        <v>0</v>
      </c>
      <c r="BS19" s="49">
        <f t="shared" si="32"/>
        <v>0</v>
      </c>
      <c r="BT19" s="49">
        <f t="shared" si="33"/>
        <v>1</v>
      </c>
      <c r="BU19" s="49">
        <f t="shared" si="34"/>
        <v>0</v>
      </c>
      <c r="BV19" s="49">
        <f t="shared" si="35"/>
        <v>0</v>
      </c>
      <c r="BW19" s="49">
        <f t="shared" si="36"/>
        <v>0</v>
      </c>
    </row>
    <row r="20" spans="1:75" ht="35.1" customHeight="1" x14ac:dyDescent="0.3">
      <c r="A20" s="123" t="str">
        <f t="shared" si="0"/>
        <v>1팀</v>
      </c>
      <c r="B20" s="69">
        <f t="shared" si="1"/>
        <v>14</v>
      </c>
      <c r="C20" s="121" t="str">
        <f>IF(VLOOKUP($B20,'1. 현장별 인원현황'!$C:$J,2,0)=0,"",VLOOKUP($B20,'1. 현장별 인원현황'!$C:$J,2,0))</f>
        <v xml:space="preserve"> [1.대우건설] 고양향동 지원1BL 지식산업센터 신축공사</v>
      </c>
      <c r="D20" s="71" t="str">
        <f>IF(VLOOKUP($B20,'1. 현장별 인원현황'!$C:$J,3,0)=0,"",VLOOKUP($B20,'1. 현장별 인원현황'!$C:$J,3,0))</f>
        <v>남치원</v>
      </c>
      <c r="E20" s="63" t="str">
        <f ca="1">IF(VLOOKUP($B20,'1. 현장별 인원현황'!$C:$J,4,0)=0,"",VLOOKUP($B20,'1. 현장별 인원현황'!$C:$J,4,0))</f>
        <v>63세</v>
      </c>
      <c r="F20" s="63" t="str">
        <f>IF(VLOOKUP($B20,'1. 현장별 인원현황'!$C:$J,7,0)=0,"",VLOOKUP($B20,'1. 현장별 인원현황'!$C:$J,7,0))</f>
        <v>공사</v>
      </c>
      <c r="G20" s="63" t="str">
        <f>IF(VLOOKUP($B20,'1. 현장별 인원현황'!$C:$J,8,0)=0,"",VLOOKUP($B20,'1. 현장별 인원현황'!$C:$J,8,0))</f>
        <v>차장</v>
      </c>
      <c r="H20" s="67" t="s">
        <v>69</v>
      </c>
      <c r="I20" s="73"/>
      <c r="J20" s="73"/>
      <c r="K20" s="68"/>
      <c r="L20" s="67" t="s">
        <v>69</v>
      </c>
      <c r="M20" s="73"/>
      <c r="N20" s="73"/>
      <c r="O20" s="68"/>
      <c r="P20" s="67" t="s">
        <v>69</v>
      </c>
      <c r="Q20" s="73"/>
      <c r="R20" s="73"/>
      <c r="S20" s="68"/>
      <c r="T20" s="67" t="s">
        <v>69</v>
      </c>
      <c r="U20" s="73"/>
      <c r="V20" s="73"/>
      <c r="W20" s="68"/>
      <c r="X20" s="67" t="s">
        <v>69</v>
      </c>
      <c r="Y20" s="73"/>
      <c r="Z20" s="73"/>
      <c r="AA20" s="68"/>
      <c r="AB20" s="67" t="s">
        <v>69</v>
      </c>
      <c r="AC20" s="73"/>
      <c r="AD20" s="73"/>
      <c r="AE20" s="68"/>
      <c r="AF20" s="67" t="s">
        <v>69</v>
      </c>
      <c r="AG20" s="73"/>
      <c r="AH20" s="73"/>
      <c r="AI20" s="68"/>
      <c r="AJ20" s="67" t="s">
        <v>69</v>
      </c>
      <c r="AK20" s="73"/>
      <c r="AL20" s="73"/>
      <c r="AM20" s="68"/>
      <c r="AN20" s="67">
        <f t="shared" si="2"/>
        <v>100</v>
      </c>
      <c r="AO20" s="68" t="str">
        <f t="shared" si="3"/>
        <v>S</v>
      </c>
      <c r="AR20" s="49">
        <f t="shared" si="5"/>
        <v>1</v>
      </c>
      <c r="AS20" s="49">
        <f t="shared" si="6"/>
        <v>0</v>
      </c>
      <c r="AT20" s="49">
        <f t="shared" si="7"/>
        <v>0</v>
      </c>
      <c r="AU20" s="49">
        <f t="shared" si="8"/>
        <v>0</v>
      </c>
      <c r="AV20" s="49">
        <f t="shared" si="9"/>
        <v>1</v>
      </c>
      <c r="AW20" s="49">
        <f t="shared" si="10"/>
        <v>0</v>
      </c>
      <c r="AX20" s="49">
        <f t="shared" si="11"/>
        <v>0</v>
      </c>
      <c r="AY20" s="49">
        <f t="shared" si="12"/>
        <v>0</v>
      </c>
      <c r="AZ20" s="49">
        <f t="shared" si="13"/>
        <v>1</v>
      </c>
      <c r="BA20" s="49">
        <f t="shared" si="14"/>
        <v>0</v>
      </c>
      <c r="BB20" s="49">
        <f t="shared" si="15"/>
        <v>0</v>
      </c>
      <c r="BC20" s="49">
        <f t="shared" si="16"/>
        <v>0</v>
      </c>
      <c r="BD20" s="49">
        <f t="shared" si="17"/>
        <v>1</v>
      </c>
      <c r="BE20" s="49">
        <f t="shared" si="18"/>
        <v>0</v>
      </c>
      <c r="BF20" s="49">
        <f t="shared" si="19"/>
        <v>0</v>
      </c>
      <c r="BG20" s="49">
        <f t="shared" si="20"/>
        <v>0</v>
      </c>
      <c r="BH20" s="49">
        <f t="shared" si="21"/>
        <v>1</v>
      </c>
      <c r="BI20" s="49">
        <f t="shared" si="22"/>
        <v>0</v>
      </c>
      <c r="BJ20" s="49">
        <f t="shared" si="23"/>
        <v>0</v>
      </c>
      <c r="BK20" s="49">
        <f t="shared" si="24"/>
        <v>0</v>
      </c>
      <c r="BL20" s="49">
        <f t="shared" si="25"/>
        <v>1</v>
      </c>
      <c r="BM20" s="49">
        <f t="shared" si="26"/>
        <v>0</v>
      </c>
      <c r="BN20" s="49">
        <f t="shared" si="27"/>
        <v>0</v>
      </c>
      <c r="BO20" s="49">
        <f t="shared" si="28"/>
        <v>0</v>
      </c>
      <c r="BP20" s="49">
        <f t="shared" si="29"/>
        <v>1</v>
      </c>
      <c r="BQ20" s="49">
        <f t="shared" si="30"/>
        <v>0</v>
      </c>
      <c r="BR20" s="49">
        <f t="shared" si="31"/>
        <v>0</v>
      </c>
      <c r="BS20" s="49">
        <f t="shared" si="32"/>
        <v>0</v>
      </c>
      <c r="BT20" s="49">
        <f t="shared" si="33"/>
        <v>1</v>
      </c>
      <c r="BU20" s="49">
        <f t="shared" si="34"/>
        <v>0</v>
      </c>
      <c r="BV20" s="49">
        <f t="shared" si="35"/>
        <v>0</v>
      </c>
      <c r="BW20" s="49">
        <f t="shared" si="36"/>
        <v>0</v>
      </c>
    </row>
    <row r="21" spans="1:75" ht="35.1" customHeight="1" x14ac:dyDescent="0.3">
      <c r="A21" s="123" t="str">
        <f t="shared" si="0"/>
        <v>1팀</v>
      </c>
      <c r="B21" s="69">
        <f t="shared" si="1"/>
        <v>15</v>
      </c>
      <c r="C21" s="121" t="str">
        <f>IF(VLOOKUP($B21,'1. 현장별 인원현황'!$C:$J,2,0)=0,"",VLOOKUP($B21,'1. 현장별 인원현황'!$C:$J,2,0))</f>
        <v xml:space="preserve"> [1.대우건설] 고양향동 지원1BL 지식산업센터 신축공사</v>
      </c>
      <c r="D21" s="71" t="str">
        <f>IF(VLOOKUP($B21,'1. 현장별 인원현황'!$C:$J,3,0)=0,"",VLOOKUP($B21,'1. 현장별 인원현황'!$C:$J,3,0))</f>
        <v>문대준</v>
      </c>
      <c r="E21" s="63" t="str">
        <f ca="1">IF(VLOOKUP($B21,'1. 현장별 인원현황'!$C:$J,4,0)=0,"",VLOOKUP($B21,'1. 현장별 인원현황'!$C:$J,4,0))</f>
        <v>58세</v>
      </c>
      <c r="F21" s="63" t="str">
        <f>IF(VLOOKUP($B21,'1. 현장별 인원현황'!$C:$J,7,0)=0,"",VLOOKUP($B21,'1. 현장별 인원현황'!$C:$J,7,0))</f>
        <v>공사</v>
      </c>
      <c r="G21" s="63" t="str">
        <f>IF(VLOOKUP($B21,'1. 현장별 인원현황'!$C:$J,8,0)=0,"",VLOOKUP($B21,'1. 현장별 인원현황'!$C:$J,8,0))</f>
        <v>차장</v>
      </c>
      <c r="H21" s="67" t="s">
        <v>69</v>
      </c>
      <c r="I21" s="73"/>
      <c r="J21" s="73"/>
      <c r="K21" s="68"/>
      <c r="L21" s="67"/>
      <c r="M21" s="73" t="s">
        <v>69</v>
      </c>
      <c r="N21" s="73"/>
      <c r="O21" s="68"/>
      <c r="P21" s="67" t="s">
        <v>69</v>
      </c>
      <c r="Q21" s="73"/>
      <c r="R21" s="73"/>
      <c r="S21" s="68"/>
      <c r="T21" s="67" t="s">
        <v>69</v>
      </c>
      <c r="U21" s="73"/>
      <c r="V21" s="73"/>
      <c r="W21" s="68"/>
      <c r="X21" s="67" t="s">
        <v>69</v>
      </c>
      <c r="Y21" s="73"/>
      <c r="Z21" s="73"/>
      <c r="AA21" s="68"/>
      <c r="AB21" s="67" t="s">
        <v>69</v>
      </c>
      <c r="AC21" s="73"/>
      <c r="AD21" s="73"/>
      <c r="AE21" s="68"/>
      <c r="AF21" s="67" t="s">
        <v>69</v>
      </c>
      <c r="AG21" s="73"/>
      <c r="AH21" s="73"/>
      <c r="AI21" s="68"/>
      <c r="AJ21" s="67" t="s">
        <v>69</v>
      </c>
      <c r="AK21" s="73"/>
      <c r="AL21" s="73"/>
      <c r="AM21" s="68"/>
      <c r="AN21" s="67">
        <f t="shared" si="2"/>
        <v>96</v>
      </c>
      <c r="AO21" s="68" t="str">
        <f t="shared" si="3"/>
        <v>S</v>
      </c>
      <c r="AR21" s="49">
        <f t="shared" si="5"/>
        <v>1</v>
      </c>
      <c r="AS21" s="49">
        <f t="shared" si="6"/>
        <v>0</v>
      </c>
      <c r="AT21" s="49">
        <f t="shared" si="7"/>
        <v>0</v>
      </c>
      <c r="AU21" s="49">
        <f t="shared" si="8"/>
        <v>0</v>
      </c>
      <c r="AV21" s="49">
        <f t="shared" si="9"/>
        <v>0</v>
      </c>
      <c r="AW21" s="49">
        <f t="shared" si="10"/>
        <v>1</v>
      </c>
      <c r="AX21" s="49">
        <f t="shared" si="11"/>
        <v>0</v>
      </c>
      <c r="AY21" s="49">
        <f t="shared" si="12"/>
        <v>0</v>
      </c>
      <c r="AZ21" s="49">
        <f t="shared" si="13"/>
        <v>1</v>
      </c>
      <c r="BA21" s="49">
        <f t="shared" si="14"/>
        <v>0</v>
      </c>
      <c r="BB21" s="49">
        <f t="shared" si="15"/>
        <v>0</v>
      </c>
      <c r="BC21" s="49">
        <f t="shared" si="16"/>
        <v>0</v>
      </c>
      <c r="BD21" s="49">
        <f t="shared" si="17"/>
        <v>1</v>
      </c>
      <c r="BE21" s="49">
        <f t="shared" si="18"/>
        <v>0</v>
      </c>
      <c r="BF21" s="49">
        <f t="shared" si="19"/>
        <v>0</v>
      </c>
      <c r="BG21" s="49">
        <f t="shared" si="20"/>
        <v>0</v>
      </c>
      <c r="BH21" s="49">
        <f t="shared" si="21"/>
        <v>1</v>
      </c>
      <c r="BI21" s="49">
        <f t="shared" si="22"/>
        <v>0</v>
      </c>
      <c r="BJ21" s="49">
        <f t="shared" si="23"/>
        <v>0</v>
      </c>
      <c r="BK21" s="49">
        <f t="shared" si="24"/>
        <v>0</v>
      </c>
      <c r="BL21" s="49">
        <f t="shared" si="25"/>
        <v>1</v>
      </c>
      <c r="BM21" s="49">
        <f t="shared" si="26"/>
        <v>0</v>
      </c>
      <c r="BN21" s="49">
        <f t="shared" si="27"/>
        <v>0</v>
      </c>
      <c r="BO21" s="49">
        <f t="shared" si="28"/>
        <v>0</v>
      </c>
      <c r="BP21" s="49">
        <f t="shared" si="29"/>
        <v>1</v>
      </c>
      <c r="BQ21" s="49">
        <f t="shared" si="30"/>
        <v>0</v>
      </c>
      <c r="BR21" s="49">
        <f t="shared" si="31"/>
        <v>0</v>
      </c>
      <c r="BS21" s="49">
        <f t="shared" si="32"/>
        <v>0</v>
      </c>
      <c r="BT21" s="49">
        <f t="shared" si="33"/>
        <v>1</v>
      </c>
      <c r="BU21" s="49">
        <f t="shared" si="34"/>
        <v>0</v>
      </c>
      <c r="BV21" s="49">
        <f t="shared" si="35"/>
        <v>0</v>
      </c>
      <c r="BW21" s="49">
        <f t="shared" si="36"/>
        <v>0</v>
      </c>
    </row>
    <row r="22" spans="1:75" ht="35.1" customHeight="1" x14ac:dyDescent="0.3">
      <c r="A22" s="123" t="str">
        <f t="shared" si="0"/>
        <v>1팀</v>
      </c>
      <c r="B22" s="69">
        <f t="shared" si="1"/>
        <v>16</v>
      </c>
      <c r="C22" s="121" t="str">
        <f>IF(VLOOKUP($B22,'1. 현장별 인원현황'!$C:$J,2,0)=0,"",VLOOKUP($B22,'1. 현장별 인원현황'!$C:$J,2,0))</f>
        <v xml:space="preserve"> [1.대우건설] 고양향동 지원1BL 지식산업센터 신축공사</v>
      </c>
      <c r="D22" s="71" t="str">
        <f>IF(VLOOKUP($B22,'1. 현장별 인원현황'!$C:$J,3,0)=0,"",VLOOKUP($B22,'1. 현장별 인원현황'!$C:$J,3,0))</f>
        <v>김인철</v>
      </c>
      <c r="E22" s="63" t="str">
        <f ca="1">IF(VLOOKUP($B22,'1. 현장별 인원현황'!$C:$J,4,0)=0,"",VLOOKUP($B22,'1. 현장별 인원현황'!$C:$J,4,0))</f>
        <v>68세</v>
      </c>
      <c r="F22" s="63" t="str">
        <f>IF(VLOOKUP($B22,'1. 현장별 인원현황'!$C:$J,7,0)=0,"",VLOOKUP($B22,'1. 현장별 인원현황'!$C:$J,7,0))</f>
        <v>기능공</v>
      </c>
      <c r="G22" s="63" t="str">
        <f>IF(VLOOKUP($B22,'1. 현장별 인원현황'!$C:$J,8,0)=0,"",VLOOKUP($B22,'1. 현장별 인원현황'!$C:$J,8,0))</f>
        <v>전공</v>
      </c>
      <c r="H22" s="67" t="s">
        <v>69</v>
      </c>
      <c r="I22" s="73"/>
      <c r="J22" s="73"/>
      <c r="K22" s="68"/>
      <c r="L22" s="67"/>
      <c r="M22" s="73" t="s">
        <v>69</v>
      </c>
      <c r="N22" s="73"/>
      <c r="O22" s="68"/>
      <c r="P22" s="67" t="s">
        <v>69</v>
      </c>
      <c r="Q22" s="73"/>
      <c r="R22" s="73"/>
      <c r="S22" s="68"/>
      <c r="T22" s="67" t="s">
        <v>69</v>
      </c>
      <c r="U22" s="73"/>
      <c r="V22" s="73"/>
      <c r="W22" s="68"/>
      <c r="X22" s="67" t="s">
        <v>69</v>
      </c>
      <c r="Y22" s="73"/>
      <c r="Z22" s="73"/>
      <c r="AA22" s="68"/>
      <c r="AB22" s="67" t="s">
        <v>69</v>
      </c>
      <c r="AC22" s="73"/>
      <c r="AD22" s="73"/>
      <c r="AE22" s="68"/>
      <c r="AF22" s="67" t="s">
        <v>69</v>
      </c>
      <c r="AG22" s="73"/>
      <c r="AH22" s="73"/>
      <c r="AI22" s="68"/>
      <c r="AJ22" s="67" t="s">
        <v>69</v>
      </c>
      <c r="AK22" s="73"/>
      <c r="AL22" s="73"/>
      <c r="AM22" s="68"/>
      <c r="AN22" s="67">
        <f t="shared" si="2"/>
        <v>96</v>
      </c>
      <c r="AO22" s="68" t="str">
        <f t="shared" si="3"/>
        <v>S</v>
      </c>
      <c r="AR22" s="49">
        <f t="shared" si="5"/>
        <v>1</v>
      </c>
      <c r="AS22" s="49">
        <f t="shared" si="6"/>
        <v>0</v>
      </c>
      <c r="AT22" s="49">
        <f t="shared" si="7"/>
        <v>0</v>
      </c>
      <c r="AU22" s="49">
        <f t="shared" si="8"/>
        <v>0</v>
      </c>
      <c r="AV22" s="49">
        <f t="shared" si="9"/>
        <v>0</v>
      </c>
      <c r="AW22" s="49">
        <f t="shared" si="10"/>
        <v>1</v>
      </c>
      <c r="AX22" s="49">
        <f t="shared" si="11"/>
        <v>0</v>
      </c>
      <c r="AY22" s="49">
        <f t="shared" si="12"/>
        <v>0</v>
      </c>
      <c r="AZ22" s="49">
        <f t="shared" si="13"/>
        <v>1</v>
      </c>
      <c r="BA22" s="49">
        <f t="shared" si="14"/>
        <v>0</v>
      </c>
      <c r="BB22" s="49">
        <f t="shared" si="15"/>
        <v>0</v>
      </c>
      <c r="BC22" s="49">
        <f t="shared" si="16"/>
        <v>0</v>
      </c>
      <c r="BD22" s="49">
        <f t="shared" si="17"/>
        <v>1</v>
      </c>
      <c r="BE22" s="49">
        <f t="shared" si="18"/>
        <v>0</v>
      </c>
      <c r="BF22" s="49">
        <f t="shared" si="19"/>
        <v>0</v>
      </c>
      <c r="BG22" s="49">
        <f t="shared" si="20"/>
        <v>0</v>
      </c>
      <c r="BH22" s="49">
        <f t="shared" si="21"/>
        <v>1</v>
      </c>
      <c r="BI22" s="49">
        <f t="shared" si="22"/>
        <v>0</v>
      </c>
      <c r="BJ22" s="49">
        <f t="shared" si="23"/>
        <v>0</v>
      </c>
      <c r="BK22" s="49">
        <f t="shared" si="24"/>
        <v>0</v>
      </c>
      <c r="BL22" s="49">
        <f t="shared" si="25"/>
        <v>1</v>
      </c>
      <c r="BM22" s="49">
        <f t="shared" si="26"/>
        <v>0</v>
      </c>
      <c r="BN22" s="49">
        <f t="shared" si="27"/>
        <v>0</v>
      </c>
      <c r="BO22" s="49">
        <f t="shared" si="28"/>
        <v>0</v>
      </c>
      <c r="BP22" s="49">
        <f t="shared" si="29"/>
        <v>1</v>
      </c>
      <c r="BQ22" s="49">
        <f t="shared" si="30"/>
        <v>0</v>
      </c>
      <c r="BR22" s="49">
        <f t="shared" si="31"/>
        <v>0</v>
      </c>
      <c r="BS22" s="49">
        <f t="shared" si="32"/>
        <v>0</v>
      </c>
      <c r="BT22" s="49">
        <f t="shared" si="33"/>
        <v>1</v>
      </c>
      <c r="BU22" s="49">
        <f t="shared" si="34"/>
        <v>0</v>
      </c>
      <c r="BV22" s="49">
        <f t="shared" si="35"/>
        <v>0</v>
      </c>
      <c r="BW22" s="49">
        <f t="shared" si="36"/>
        <v>0</v>
      </c>
    </row>
    <row r="23" spans="1:75" ht="35.1" customHeight="1" x14ac:dyDescent="0.3">
      <c r="A23" s="123" t="str">
        <f t="shared" si="0"/>
        <v>1팀</v>
      </c>
      <c r="B23" s="69">
        <f t="shared" si="1"/>
        <v>17</v>
      </c>
      <c r="C23" s="121" t="str">
        <f>IF(VLOOKUP($B23,'1. 현장별 인원현황'!$C:$J,2,0)=0,"",VLOOKUP($B23,'1. 현장별 인원현황'!$C:$J,2,0))</f>
        <v xml:space="preserve"> [1.대우건설] 고양향동 지원1BL 지식산업센터 신축공사</v>
      </c>
      <c r="D23" s="71" t="str">
        <f>IF(VLOOKUP($B23,'1. 현장별 인원현황'!$C:$J,3,0)=0,"",VLOOKUP($B23,'1. 현장별 인원현황'!$C:$J,3,0))</f>
        <v>엄관영</v>
      </c>
      <c r="E23" s="63" t="str">
        <f ca="1">IF(VLOOKUP($B23,'1. 현장별 인원현황'!$C:$J,4,0)=0,"",VLOOKUP($B23,'1. 현장별 인원현황'!$C:$J,4,0))</f>
        <v>64세</v>
      </c>
      <c r="F23" s="63" t="str">
        <f>IF(VLOOKUP($B23,'1. 현장별 인원현황'!$C:$J,7,0)=0,"",VLOOKUP($B23,'1. 현장별 인원현황'!$C:$J,7,0))</f>
        <v>기능공</v>
      </c>
      <c r="G23" s="63" t="str">
        <f>IF(VLOOKUP($B23,'1. 현장별 인원현황'!$C:$J,8,0)=0,"",VLOOKUP($B23,'1. 현장별 인원현황'!$C:$J,8,0))</f>
        <v>전공</v>
      </c>
      <c r="H23" s="67" t="s">
        <v>69</v>
      </c>
      <c r="I23" s="73"/>
      <c r="J23" s="73"/>
      <c r="K23" s="68"/>
      <c r="L23" s="67"/>
      <c r="M23" s="73" t="s">
        <v>69</v>
      </c>
      <c r="N23" s="73"/>
      <c r="O23" s="68"/>
      <c r="P23" s="67" t="s">
        <v>69</v>
      </c>
      <c r="Q23" s="73"/>
      <c r="R23" s="73"/>
      <c r="S23" s="68"/>
      <c r="T23" s="67" t="s">
        <v>69</v>
      </c>
      <c r="U23" s="73"/>
      <c r="V23" s="73"/>
      <c r="W23" s="68"/>
      <c r="X23" s="67" t="s">
        <v>69</v>
      </c>
      <c r="Y23" s="73"/>
      <c r="Z23" s="73"/>
      <c r="AA23" s="68"/>
      <c r="AB23" s="67" t="s">
        <v>69</v>
      </c>
      <c r="AC23" s="73"/>
      <c r="AD23" s="73"/>
      <c r="AE23" s="68"/>
      <c r="AF23" s="67" t="s">
        <v>69</v>
      </c>
      <c r="AG23" s="73"/>
      <c r="AH23" s="73"/>
      <c r="AI23" s="68"/>
      <c r="AJ23" s="67" t="s">
        <v>69</v>
      </c>
      <c r="AK23" s="73"/>
      <c r="AL23" s="73"/>
      <c r="AM23" s="68"/>
      <c r="AN23" s="67">
        <f t="shared" si="2"/>
        <v>96</v>
      </c>
      <c r="AO23" s="68" t="str">
        <f t="shared" si="3"/>
        <v>S</v>
      </c>
      <c r="AR23" s="49">
        <f t="shared" si="5"/>
        <v>1</v>
      </c>
      <c r="AS23" s="49">
        <f t="shared" si="6"/>
        <v>0</v>
      </c>
      <c r="AT23" s="49">
        <f t="shared" si="7"/>
        <v>0</v>
      </c>
      <c r="AU23" s="49">
        <f t="shared" si="8"/>
        <v>0</v>
      </c>
      <c r="AV23" s="49">
        <f t="shared" si="9"/>
        <v>0</v>
      </c>
      <c r="AW23" s="49">
        <f t="shared" si="10"/>
        <v>1</v>
      </c>
      <c r="AX23" s="49">
        <f t="shared" si="11"/>
        <v>0</v>
      </c>
      <c r="AY23" s="49">
        <f t="shared" si="12"/>
        <v>0</v>
      </c>
      <c r="AZ23" s="49">
        <f t="shared" si="13"/>
        <v>1</v>
      </c>
      <c r="BA23" s="49">
        <f t="shared" si="14"/>
        <v>0</v>
      </c>
      <c r="BB23" s="49">
        <f t="shared" si="15"/>
        <v>0</v>
      </c>
      <c r="BC23" s="49">
        <f t="shared" si="16"/>
        <v>0</v>
      </c>
      <c r="BD23" s="49">
        <f t="shared" si="17"/>
        <v>1</v>
      </c>
      <c r="BE23" s="49">
        <f t="shared" si="18"/>
        <v>0</v>
      </c>
      <c r="BF23" s="49">
        <f t="shared" si="19"/>
        <v>0</v>
      </c>
      <c r="BG23" s="49">
        <f t="shared" si="20"/>
        <v>0</v>
      </c>
      <c r="BH23" s="49">
        <f t="shared" si="21"/>
        <v>1</v>
      </c>
      <c r="BI23" s="49">
        <f t="shared" si="22"/>
        <v>0</v>
      </c>
      <c r="BJ23" s="49">
        <f t="shared" si="23"/>
        <v>0</v>
      </c>
      <c r="BK23" s="49">
        <f t="shared" si="24"/>
        <v>0</v>
      </c>
      <c r="BL23" s="49">
        <f t="shared" si="25"/>
        <v>1</v>
      </c>
      <c r="BM23" s="49">
        <f t="shared" si="26"/>
        <v>0</v>
      </c>
      <c r="BN23" s="49">
        <f t="shared" si="27"/>
        <v>0</v>
      </c>
      <c r="BO23" s="49">
        <f t="shared" si="28"/>
        <v>0</v>
      </c>
      <c r="BP23" s="49">
        <f t="shared" si="29"/>
        <v>1</v>
      </c>
      <c r="BQ23" s="49">
        <f t="shared" si="30"/>
        <v>0</v>
      </c>
      <c r="BR23" s="49">
        <f t="shared" si="31"/>
        <v>0</v>
      </c>
      <c r="BS23" s="49">
        <f t="shared" si="32"/>
        <v>0</v>
      </c>
      <c r="BT23" s="49">
        <f t="shared" si="33"/>
        <v>1</v>
      </c>
      <c r="BU23" s="49">
        <f t="shared" si="34"/>
        <v>0</v>
      </c>
      <c r="BV23" s="49">
        <f t="shared" si="35"/>
        <v>0</v>
      </c>
      <c r="BW23" s="49">
        <f t="shared" si="36"/>
        <v>0</v>
      </c>
    </row>
    <row r="24" spans="1:75" ht="35.1" customHeight="1" x14ac:dyDescent="0.3">
      <c r="A24" s="123" t="str">
        <f t="shared" si="0"/>
        <v>1팀</v>
      </c>
      <c r="B24" s="69">
        <f t="shared" si="1"/>
        <v>18</v>
      </c>
      <c r="C24" s="121" t="str">
        <f>IF(VLOOKUP($B24,'1. 현장별 인원현황'!$C:$J,2,0)=0,"",VLOOKUP($B24,'1. 현장별 인원현황'!$C:$J,2,0))</f>
        <v xml:space="preserve"> [1.대우건설] 인천검단 신도시 AA28BL 공동주택 신축공사</v>
      </c>
      <c r="D24" s="71" t="str">
        <f>IF(VLOOKUP($B24,'1. 현장별 인원현황'!$C:$J,3,0)=0,"",VLOOKUP($B24,'1. 현장별 인원현황'!$C:$J,3,0))</f>
        <v>윤홍식</v>
      </c>
      <c r="E24" s="63" t="str">
        <f ca="1">IF(VLOOKUP($B24,'1. 현장별 인원현황'!$C:$J,4,0)=0,"",VLOOKUP($B24,'1. 현장별 인원현황'!$C:$J,4,0))</f>
        <v>49세</v>
      </c>
      <c r="F24" s="63" t="str">
        <f>IF(VLOOKUP($B24,'1. 현장별 인원현황'!$C:$J,7,0)=0,"",VLOOKUP($B24,'1. 현장별 인원현황'!$C:$J,7,0))</f>
        <v>공무</v>
      </c>
      <c r="G24" s="63" t="str">
        <f>IF(VLOOKUP($B24,'1. 현장별 인원현황'!$C:$J,8,0)=0,"",VLOOKUP($B24,'1. 현장별 인원현황'!$C:$J,8,0))</f>
        <v>차장</v>
      </c>
      <c r="H24" s="67" t="s">
        <v>69</v>
      </c>
      <c r="I24" s="73"/>
      <c r="J24" s="73"/>
      <c r="K24" s="68"/>
      <c r="L24" s="67" t="s">
        <v>69</v>
      </c>
      <c r="M24" s="73"/>
      <c r="N24" s="73"/>
      <c r="O24" s="68"/>
      <c r="P24" s="67" t="s">
        <v>69</v>
      </c>
      <c r="Q24" s="73"/>
      <c r="R24" s="73"/>
      <c r="S24" s="68"/>
      <c r="T24" s="67" t="s">
        <v>69</v>
      </c>
      <c r="U24" s="73"/>
      <c r="V24" s="73"/>
      <c r="W24" s="68"/>
      <c r="X24" s="67" t="s">
        <v>69</v>
      </c>
      <c r="Y24" s="73"/>
      <c r="Z24" s="73"/>
      <c r="AA24" s="68"/>
      <c r="AB24" s="67" t="s">
        <v>69</v>
      </c>
      <c r="AC24" s="73"/>
      <c r="AD24" s="73"/>
      <c r="AE24" s="68"/>
      <c r="AF24" s="67" t="s">
        <v>69</v>
      </c>
      <c r="AG24" s="73"/>
      <c r="AH24" s="73"/>
      <c r="AI24" s="68"/>
      <c r="AJ24" s="67" t="s">
        <v>69</v>
      </c>
      <c r="AK24" s="73"/>
      <c r="AL24" s="73"/>
      <c r="AM24" s="68"/>
      <c r="AN24" s="67">
        <f t="shared" si="2"/>
        <v>100</v>
      </c>
      <c r="AO24" s="68" t="str">
        <f t="shared" si="3"/>
        <v>S</v>
      </c>
      <c r="AR24" s="49">
        <f t="shared" si="5"/>
        <v>1</v>
      </c>
      <c r="AS24" s="49">
        <f t="shared" si="6"/>
        <v>0</v>
      </c>
      <c r="AT24" s="49">
        <f t="shared" si="7"/>
        <v>0</v>
      </c>
      <c r="AU24" s="49">
        <f t="shared" si="8"/>
        <v>0</v>
      </c>
      <c r="AV24" s="49">
        <f t="shared" si="9"/>
        <v>1</v>
      </c>
      <c r="AW24" s="49">
        <f t="shared" si="10"/>
        <v>0</v>
      </c>
      <c r="AX24" s="49">
        <f t="shared" si="11"/>
        <v>0</v>
      </c>
      <c r="AY24" s="49">
        <f t="shared" si="12"/>
        <v>0</v>
      </c>
      <c r="AZ24" s="49">
        <f t="shared" si="13"/>
        <v>1</v>
      </c>
      <c r="BA24" s="49">
        <f t="shared" si="14"/>
        <v>0</v>
      </c>
      <c r="BB24" s="49">
        <f t="shared" si="15"/>
        <v>0</v>
      </c>
      <c r="BC24" s="49">
        <f t="shared" si="16"/>
        <v>0</v>
      </c>
      <c r="BD24" s="49">
        <f t="shared" si="17"/>
        <v>1</v>
      </c>
      <c r="BE24" s="49">
        <f t="shared" si="18"/>
        <v>0</v>
      </c>
      <c r="BF24" s="49">
        <f t="shared" si="19"/>
        <v>0</v>
      </c>
      <c r="BG24" s="49">
        <f t="shared" si="20"/>
        <v>0</v>
      </c>
      <c r="BH24" s="49">
        <f t="shared" si="21"/>
        <v>1</v>
      </c>
      <c r="BI24" s="49">
        <f t="shared" si="22"/>
        <v>0</v>
      </c>
      <c r="BJ24" s="49">
        <f t="shared" si="23"/>
        <v>0</v>
      </c>
      <c r="BK24" s="49">
        <f t="shared" si="24"/>
        <v>0</v>
      </c>
      <c r="BL24" s="49">
        <f t="shared" si="25"/>
        <v>1</v>
      </c>
      <c r="BM24" s="49">
        <f t="shared" si="26"/>
        <v>0</v>
      </c>
      <c r="BN24" s="49">
        <f t="shared" si="27"/>
        <v>0</v>
      </c>
      <c r="BO24" s="49">
        <f t="shared" si="28"/>
        <v>0</v>
      </c>
      <c r="BP24" s="49">
        <f t="shared" si="29"/>
        <v>1</v>
      </c>
      <c r="BQ24" s="49">
        <f t="shared" si="30"/>
        <v>0</v>
      </c>
      <c r="BR24" s="49">
        <f t="shared" si="31"/>
        <v>0</v>
      </c>
      <c r="BS24" s="49">
        <f t="shared" si="32"/>
        <v>0</v>
      </c>
      <c r="BT24" s="49">
        <f t="shared" si="33"/>
        <v>1</v>
      </c>
      <c r="BU24" s="49">
        <f t="shared" si="34"/>
        <v>0</v>
      </c>
      <c r="BV24" s="49">
        <f t="shared" si="35"/>
        <v>0</v>
      </c>
      <c r="BW24" s="49">
        <f t="shared" si="36"/>
        <v>0</v>
      </c>
    </row>
    <row r="25" spans="1:75" ht="35.1" customHeight="1" x14ac:dyDescent="0.3">
      <c r="A25" s="123" t="str">
        <f t="shared" si="0"/>
        <v>1팀</v>
      </c>
      <c r="B25" s="69">
        <f t="shared" si="1"/>
        <v>19</v>
      </c>
      <c r="C25" s="121" t="str">
        <f>IF(VLOOKUP($B25,'1. 현장별 인원현황'!$C:$J,2,0)=0,"",VLOOKUP($B25,'1. 현장별 인원현황'!$C:$J,2,0))</f>
        <v xml:space="preserve"> [1.대우건설] 인천검단 신도시 AA28BL 공동주택 신축공사</v>
      </c>
      <c r="D25" s="71" t="str">
        <f>IF(VLOOKUP($B25,'1. 현장별 인원현황'!$C:$J,3,0)=0,"",VLOOKUP($B25,'1. 현장별 인원현황'!$C:$J,3,0))</f>
        <v>김지호</v>
      </c>
      <c r="E25" s="63" t="str">
        <f ca="1">IF(VLOOKUP($B25,'1. 현장별 인원현황'!$C:$J,4,0)=0,"",VLOOKUP($B25,'1. 현장별 인원현황'!$C:$J,4,0))</f>
        <v>31세</v>
      </c>
      <c r="F25" s="63" t="str">
        <f>IF(VLOOKUP($B25,'1. 현장별 인원현황'!$C:$J,7,0)=0,"",VLOOKUP($B25,'1. 현장별 인원현황'!$C:$J,7,0))</f>
        <v>안전관리자</v>
      </c>
      <c r="G25" s="63" t="str">
        <f>IF(VLOOKUP($B25,'1. 현장별 인원현황'!$C:$J,8,0)=0,"",VLOOKUP($B25,'1. 현장별 인원현황'!$C:$J,8,0))</f>
        <v>대리</v>
      </c>
      <c r="H25" s="67" t="s">
        <v>69</v>
      </c>
      <c r="I25" s="73"/>
      <c r="J25" s="73"/>
      <c r="K25" s="68"/>
      <c r="L25" s="67" t="s">
        <v>69</v>
      </c>
      <c r="M25" s="73"/>
      <c r="N25" s="73"/>
      <c r="O25" s="68"/>
      <c r="P25" s="67" t="s">
        <v>69</v>
      </c>
      <c r="Q25" s="73"/>
      <c r="R25" s="73"/>
      <c r="S25" s="68"/>
      <c r="T25" s="67" t="s">
        <v>69</v>
      </c>
      <c r="U25" s="73"/>
      <c r="V25" s="73"/>
      <c r="W25" s="68"/>
      <c r="X25" s="67" t="s">
        <v>69</v>
      </c>
      <c r="Y25" s="73"/>
      <c r="Z25" s="73"/>
      <c r="AA25" s="68"/>
      <c r="AB25" s="67" t="s">
        <v>69</v>
      </c>
      <c r="AC25" s="73"/>
      <c r="AD25" s="73"/>
      <c r="AE25" s="68"/>
      <c r="AF25" s="67" t="s">
        <v>69</v>
      </c>
      <c r="AG25" s="73"/>
      <c r="AH25" s="73"/>
      <c r="AI25" s="68"/>
      <c r="AJ25" s="67" t="s">
        <v>69</v>
      </c>
      <c r="AK25" s="73"/>
      <c r="AL25" s="73"/>
      <c r="AM25" s="68"/>
      <c r="AN25" s="67">
        <f t="shared" si="2"/>
        <v>100</v>
      </c>
      <c r="AO25" s="68" t="str">
        <f t="shared" si="3"/>
        <v>S</v>
      </c>
      <c r="AR25" s="49">
        <f t="shared" si="5"/>
        <v>1</v>
      </c>
      <c r="AS25" s="49">
        <f t="shared" si="6"/>
        <v>0</v>
      </c>
      <c r="AT25" s="49">
        <f t="shared" si="7"/>
        <v>0</v>
      </c>
      <c r="AU25" s="49">
        <f t="shared" si="8"/>
        <v>0</v>
      </c>
      <c r="AV25" s="49">
        <f t="shared" si="9"/>
        <v>1</v>
      </c>
      <c r="AW25" s="49">
        <f t="shared" si="10"/>
        <v>0</v>
      </c>
      <c r="AX25" s="49">
        <f t="shared" si="11"/>
        <v>0</v>
      </c>
      <c r="AY25" s="49">
        <f t="shared" si="12"/>
        <v>0</v>
      </c>
      <c r="AZ25" s="49">
        <f t="shared" si="13"/>
        <v>1</v>
      </c>
      <c r="BA25" s="49">
        <f t="shared" si="14"/>
        <v>0</v>
      </c>
      <c r="BB25" s="49">
        <f t="shared" si="15"/>
        <v>0</v>
      </c>
      <c r="BC25" s="49">
        <f t="shared" si="16"/>
        <v>0</v>
      </c>
      <c r="BD25" s="49">
        <f t="shared" si="17"/>
        <v>1</v>
      </c>
      <c r="BE25" s="49">
        <f t="shared" si="18"/>
        <v>0</v>
      </c>
      <c r="BF25" s="49">
        <f t="shared" si="19"/>
        <v>0</v>
      </c>
      <c r="BG25" s="49">
        <f t="shared" si="20"/>
        <v>0</v>
      </c>
      <c r="BH25" s="49">
        <f t="shared" si="21"/>
        <v>1</v>
      </c>
      <c r="BI25" s="49">
        <f t="shared" si="22"/>
        <v>0</v>
      </c>
      <c r="BJ25" s="49">
        <f t="shared" si="23"/>
        <v>0</v>
      </c>
      <c r="BK25" s="49">
        <f t="shared" si="24"/>
        <v>0</v>
      </c>
      <c r="BL25" s="49">
        <f t="shared" si="25"/>
        <v>1</v>
      </c>
      <c r="BM25" s="49">
        <f t="shared" si="26"/>
        <v>0</v>
      </c>
      <c r="BN25" s="49">
        <f t="shared" si="27"/>
        <v>0</v>
      </c>
      <c r="BO25" s="49">
        <f t="shared" si="28"/>
        <v>0</v>
      </c>
      <c r="BP25" s="49">
        <f t="shared" si="29"/>
        <v>1</v>
      </c>
      <c r="BQ25" s="49">
        <f t="shared" si="30"/>
        <v>0</v>
      </c>
      <c r="BR25" s="49">
        <f t="shared" si="31"/>
        <v>0</v>
      </c>
      <c r="BS25" s="49">
        <f t="shared" si="32"/>
        <v>0</v>
      </c>
      <c r="BT25" s="49">
        <f t="shared" si="33"/>
        <v>1</v>
      </c>
      <c r="BU25" s="49">
        <f t="shared" si="34"/>
        <v>0</v>
      </c>
      <c r="BV25" s="49">
        <f t="shared" si="35"/>
        <v>0</v>
      </c>
      <c r="BW25" s="49">
        <f t="shared" si="36"/>
        <v>0</v>
      </c>
    </row>
    <row r="26" spans="1:75" ht="35.1" customHeight="1" x14ac:dyDescent="0.3">
      <c r="A26" s="123" t="str">
        <f t="shared" si="0"/>
        <v>1팀</v>
      </c>
      <c r="B26" s="69">
        <f t="shared" si="1"/>
        <v>20</v>
      </c>
      <c r="C26" s="121" t="str">
        <f>IF(VLOOKUP($B26,'1. 현장별 인원현황'!$C:$J,2,0)=0,"",VLOOKUP($B26,'1. 현장별 인원현황'!$C:$J,2,0))</f>
        <v xml:space="preserve"> [1.대우건설] 인천검단 신도시 AA28BL 공동주택 신축공사</v>
      </c>
      <c r="D26" s="71" t="str">
        <f>IF(VLOOKUP($B26,'1. 현장별 인원현황'!$C:$J,3,0)=0,"",VLOOKUP($B26,'1. 현장별 인원현황'!$C:$J,3,0))</f>
        <v>차성철</v>
      </c>
      <c r="E26" s="63" t="str">
        <f ca="1">IF(VLOOKUP($B26,'1. 현장별 인원현황'!$C:$J,4,0)=0,"",VLOOKUP($B26,'1. 현장별 인원현황'!$C:$J,4,0))</f>
        <v>51세</v>
      </c>
      <c r="F26" s="63" t="str">
        <f>IF(VLOOKUP($B26,'1. 현장별 인원현황'!$C:$J,7,0)=0,"",VLOOKUP($B26,'1. 현장별 인원현황'!$C:$J,7,0))</f>
        <v>기능공</v>
      </c>
      <c r="G26" s="63" t="str">
        <f>IF(VLOOKUP($B26,'1. 현장별 인원현황'!$C:$J,8,0)=0,"",VLOOKUP($B26,'1. 현장별 인원현황'!$C:$J,8,0))</f>
        <v>전공</v>
      </c>
      <c r="H26" s="67" t="s">
        <v>69</v>
      </c>
      <c r="I26" s="73"/>
      <c r="J26" s="73"/>
      <c r="K26" s="68"/>
      <c r="L26" s="67" t="s">
        <v>69</v>
      </c>
      <c r="M26" s="73"/>
      <c r="N26" s="73"/>
      <c r="O26" s="68"/>
      <c r="P26" s="67" t="s">
        <v>69</v>
      </c>
      <c r="Q26" s="73"/>
      <c r="R26" s="73"/>
      <c r="S26" s="68"/>
      <c r="T26" s="67" t="s">
        <v>69</v>
      </c>
      <c r="U26" s="73"/>
      <c r="V26" s="73"/>
      <c r="W26" s="68"/>
      <c r="X26" s="67" t="s">
        <v>69</v>
      </c>
      <c r="Y26" s="73"/>
      <c r="Z26" s="73"/>
      <c r="AA26" s="68"/>
      <c r="AB26" s="67" t="s">
        <v>69</v>
      </c>
      <c r="AC26" s="73"/>
      <c r="AD26" s="73"/>
      <c r="AE26" s="68"/>
      <c r="AF26" s="67" t="s">
        <v>69</v>
      </c>
      <c r="AG26" s="73"/>
      <c r="AH26" s="73"/>
      <c r="AI26" s="68"/>
      <c r="AJ26" s="67" t="s">
        <v>69</v>
      </c>
      <c r="AK26" s="73"/>
      <c r="AL26" s="73"/>
      <c r="AM26" s="68"/>
      <c r="AN26" s="67">
        <f t="shared" si="2"/>
        <v>100</v>
      </c>
      <c r="AO26" s="68" t="str">
        <f t="shared" si="3"/>
        <v>S</v>
      </c>
      <c r="AR26" s="49">
        <f t="shared" si="5"/>
        <v>1</v>
      </c>
      <c r="AS26" s="49">
        <f t="shared" si="6"/>
        <v>0</v>
      </c>
      <c r="AT26" s="49">
        <f t="shared" si="7"/>
        <v>0</v>
      </c>
      <c r="AU26" s="49">
        <f t="shared" si="8"/>
        <v>0</v>
      </c>
      <c r="AV26" s="49">
        <f t="shared" si="9"/>
        <v>1</v>
      </c>
      <c r="AW26" s="49">
        <f t="shared" si="10"/>
        <v>0</v>
      </c>
      <c r="AX26" s="49">
        <f t="shared" si="11"/>
        <v>0</v>
      </c>
      <c r="AY26" s="49">
        <f t="shared" si="12"/>
        <v>0</v>
      </c>
      <c r="AZ26" s="49">
        <f t="shared" si="13"/>
        <v>1</v>
      </c>
      <c r="BA26" s="49">
        <f t="shared" si="14"/>
        <v>0</v>
      </c>
      <c r="BB26" s="49">
        <f t="shared" si="15"/>
        <v>0</v>
      </c>
      <c r="BC26" s="49">
        <f t="shared" si="16"/>
        <v>0</v>
      </c>
      <c r="BD26" s="49">
        <f t="shared" si="17"/>
        <v>1</v>
      </c>
      <c r="BE26" s="49">
        <f t="shared" si="18"/>
        <v>0</v>
      </c>
      <c r="BF26" s="49">
        <f t="shared" si="19"/>
        <v>0</v>
      </c>
      <c r="BG26" s="49">
        <f t="shared" si="20"/>
        <v>0</v>
      </c>
      <c r="BH26" s="49">
        <f t="shared" si="21"/>
        <v>1</v>
      </c>
      <c r="BI26" s="49">
        <f t="shared" si="22"/>
        <v>0</v>
      </c>
      <c r="BJ26" s="49">
        <f t="shared" si="23"/>
        <v>0</v>
      </c>
      <c r="BK26" s="49">
        <f t="shared" si="24"/>
        <v>0</v>
      </c>
      <c r="BL26" s="49">
        <f t="shared" si="25"/>
        <v>1</v>
      </c>
      <c r="BM26" s="49">
        <f t="shared" si="26"/>
        <v>0</v>
      </c>
      <c r="BN26" s="49">
        <f t="shared" si="27"/>
        <v>0</v>
      </c>
      <c r="BO26" s="49">
        <f t="shared" si="28"/>
        <v>0</v>
      </c>
      <c r="BP26" s="49">
        <f t="shared" si="29"/>
        <v>1</v>
      </c>
      <c r="BQ26" s="49">
        <f t="shared" si="30"/>
        <v>0</v>
      </c>
      <c r="BR26" s="49">
        <f t="shared" si="31"/>
        <v>0</v>
      </c>
      <c r="BS26" s="49">
        <f t="shared" si="32"/>
        <v>0</v>
      </c>
      <c r="BT26" s="49">
        <f t="shared" si="33"/>
        <v>1</v>
      </c>
      <c r="BU26" s="49">
        <f t="shared" si="34"/>
        <v>0</v>
      </c>
      <c r="BV26" s="49">
        <f t="shared" si="35"/>
        <v>0</v>
      </c>
      <c r="BW26" s="49">
        <f t="shared" si="36"/>
        <v>0</v>
      </c>
    </row>
    <row r="27" spans="1:75" ht="35.1" customHeight="1" x14ac:dyDescent="0.3">
      <c r="A27" s="123" t="str">
        <f t="shared" si="0"/>
        <v>1팀</v>
      </c>
      <c r="B27" s="69">
        <f t="shared" si="1"/>
        <v>21</v>
      </c>
      <c r="C27" s="121" t="str">
        <f>IF(VLOOKUP($B27,'1. 현장별 인원현황'!$C:$J,2,0)=0,"",VLOOKUP($B27,'1. 현장별 인원현황'!$C:$J,2,0))</f>
        <v xml:space="preserve"> [1.대우건설] 인천검단 신도시 AA28BL 공동주택 신축공사</v>
      </c>
      <c r="D27" s="71" t="str">
        <f>IF(VLOOKUP($B27,'1. 현장별 인원현황'!$C:$J,3,0)=0,"",VLOOKUP($B27,'1. 현장별 인원현황'!$C:$J,3,0))</f>
        <v>박상걸</v>
      </c>
      <c r="E27" s="63" t="str">
        <f ca="1">IF(VLOOKUP($B27,'1. 현장별 인원현황'!$C:$J,4,0)=0,"",VLOOKUP($B27,'1. 현장별 인원현황'!$C:$J,4,0))</f>
        <v>46세</v>
      </c>
      <c r="F27" s="63" t="str">
        <f>IF(VLOOKUP($B27,'1. 현장별 인원현황'!$C:$J,7,0)=0,"",VLOOKUP($B27,'1. 현장별 인원현황'!$C:$J,7,0))</f>
        <v>기능공</v>
      </c>
      <c r="G27" s="63" t="str">
        <f>IF(VLOOKUP($B27,'1. 현장별 인원현황'!$C:$J,8,0)=0,"",VLOOKUP($B27,'1. 현장별 인원현황'!$C:$J,8,0))</f>
        <v>전공</v>
      </c>
      <c r="H27" s="67" t="s">
        <v>69</v>
      </c>
      <c r="I27" s="73"/>
      <c r="J27" s="73"/>
      <c r="K27" s="68"/>
      <c r="L27" s="67" t="s">
        <v>69</v>
      </c>
      <c r="M27" s="73"/>
      <c r="N27" s="73"/>
      <c r="O27" s="68"/>
      <c r="P27" s="67" t="s">
        <v>69</v>
      </c>
      <c r="Q27" s="73"/>
      <c r="R27" s="73"/>
      <c r="S27" s="68"/>
      <c r="T27" s="67" t="s">
        <v>69</v>
      </c>
      <c r="U27" s="73"/>
      <c r="V27" s="73"/>
      <c r="W27" s="68"/>
      <c r="X27" s="67" t="s">
        <v>69</v>
      </c>
      <c r="Y27" s="73"/>
      <c r="Z27" s="73"/>
      <c r="AA27" s="68"/>
      <c r="AB27" s="67" t="s">
        <v>69</v>
      </c>
      <c r="AC27" s="73"/>
      <c r="AD27" s="73"/>
      <c r="AE27" s="68"/>
      <c r="AF27" s="67" t="s">
        <v>69</v>
      </c>
      <c r="AG27" s="73"/>
      <c r="AH27" s="73"/>
      <c r="AI27" s="68"/>
      <c r="AJ27" s="67" t="s">
        <v>69</v>
      </c>
      <c r="AK27" s="73"/>
      <c r="AL27" s="73"/>
      <c r="AM27" s="68"/>
      <c r="AN27" s="67">
        <f t="shared" si="2"/>
        <v>100</v>
      </c>
      <c r="AO27" s="68" t="str">
        <f t="shared" si="3"/>
        <v>S</v>
      </c>
      <c r="AR27" s="49">
        <f t="shared" si="5"/>
        <v>1</v>
      </c>
      <c r="AS27" s="49">
        <f t="shared" si="6"/>
        <v>0</v>
      </c>
      <c r="AT27" s="49">
        <f t="shared" si="7"/>
        <v>0</v>
      </c>
      <c r="AU27" s="49">
        <f t="shared" si="8"/>
        <v>0</v>
      </c>
      <c r="AV27" s="49">
        <f t="shared" si="9"/>
        <v>1</v>
      </c>
      <c r="AW27" s="49">
        <f t="shared" si="10"/>
        <v>0</v>
      </c>
      <c r="AX27" s="49">
        <f t="shared" si="11"/>
        <v>0</v>
      </c>
      <c r="AY27" s="49">
        <f t="shared" si="12"/>
        <v>0</v>
      </c>
      <c r="AZ27" s="49">
        <f t="shared" si="13"/>
        <v>1</v>
      </c>
      <c r="BA27" s="49">
        <f t="shared" si="14"/>
        <v>0</v>
      </c>
      <c r="BB27" s="49">
        <f t="shared" si="15"/>
        <v>0</v>
      </c>
      <c r="BC27" s="49">
        <f t="shared" si="16"/>
        <v>0</v>
      </c>
      <c r="BD27" s="49">
        <f t="shared" si="17"/>
        <v>1</v>
      </c>
      <c r="BE27" s="49">
        <f t="shared" si="18"/>
        <v>0</v>
      </c>
      <c r="BF27" s="49">
        <f t="shared" si="19"/>
        <v>0</v>
      </c>
      <c r="BG27" s="49">
        <f t="shared" si="20"/>
        <v>0</v>
      </c>
      <c r="BH27" s="49">
        <f t="shared" si="21"/>
        <v>1</v>
      </c>
      <c r="BI27" s="49">
        <f t="shared" si="22"/>
        <v>0</v>
      </c>
      <c r="BJ27" s="49">
        <f t="shared" si="23"/>
        <v>0</v>
      </c>
      <c r="BK27" s="49">
        <f t="shared" si="24"/>
        <v>0</v>
      </c>
      <c r="BL27" s="49">
        <f t="shared" si="25"/>
        <v>1</v>
      </c>
      <c r="BM27" s="49">
        <f t="shared" si="26"/>
        <v>0</v>
      </c>
      <c r="BN27" s="49">
        <f t="shared" si="27"/>
        <v>0</v>
      </c>
      <c r="BO27" s="49">
        <f t="shared" si="28"/>
        <v>0</v>
      </c>
      <c r="BP27" s="49">
        <f t="shared" si="29"/>
        <v>1</v>
      </c>
      <c r="BQ27" s="49">
        <f t="shared" si="30"/>
        <v>0</v>
      </c>
      <c r="BR27" s="49">
        <f t="shared" si="31"/>
        <v>0</v>
      </c>
      <c r="BS27" s="49">
        <f t="shared" si="32"/>
        <v>0</v>
      </c>
      <c r="BT27" s="49">
        <f t="shared" si="33"/>
        <v>1</v>
      </c>
      <c r="BU27" s="49">
        <f t="shared" si="34"/>
        <v>0</v>
      </c>
      <c r="BV27" s="49">
        <f t="shared" si="35"/>
        <v>0</v>
      </c>
      <c r="BW27" s="49">
        <f t="shared" si="36"/>
        <v>0</v>
      </c>
    </row>
    <row r="28" spans="1:75" ht="35.1" customHeight="1" x14ac:dyDescent="0.3">
      <c r="A28" s="123" t="str">
        <f t="shared" si="0"/>
        <v>1팀</v>
      </c>
      <c r="B28" s="69">
        <f t="shared" si="1"/>
        <v>22</v>
      </c>
      <c r="C28" s="121" t="str">
        <f>IF(VLOOKUP($B28,'1. 현장별 인원현황'!$C:$J,2,0)=0,"",VLOOKUP($B28,'1. 현장별 인원현황'!$C:$J,2,0))</f>
        <v xml:space="preserve"> [1.대우건설] 인천검단 신도시 AA28BL 공동주택 신축공사</v>
      </c>
      <c r="D28" s="71" t="str">
        <f>IF(VLOOKUP($B28,'1. 현장별 인원현황'!$C:$J,3,0)=0,"",VLOOKUP($B28,'1. 현장별 인원현황'!$C:$J,3,0))</f>
        <v>이세열</v>
      </c>
      <c r="E28" s="63" t="str">
        <f ca="1">IF(VLOOKUP($B28,'1. 현장별 인원현황'!$C:$J,4,0)=0,"",VLOOKUP($B28,'1. 현장별 인원현황'!$C:$J,4,0))</f>
        <v>42세</v>
      </c>
      <c r="F28" s="63" t="str">
        <f>IF(VLOOKUP($B28,'1. 현장별 인원현황'!$C:$J,7,0)=0,"",VLOOKUP($B28,'1. 현장별 인원현황'!$C:$J,7,0))</f>
        <v>기능공</v>
      </c>
      <c r="G28" s="63" t="str">
        <f>IF(VLOOKUP($B28,'1. 현장별 인원현황'!$C:$J,8,0)=0,"",VLOOKUP($B28,'1. 현장별 인원현황'!$C:$J,8,0))</f>
        <v>전공</v>
      </c>
      <c r="H28" s="67" t="s">
        <v>69</v>
      </c>
      <c r="I28" s="73"/>
      <c r="J28" s="73"/>
      <c r="K28" s="68"/>
      <c r="L28" s="67" t="s">
        <v>69</v>
      </c>
      <c r="M28" s="73"/>
      <c r="N28" s="73"/>
      <c r="O28" s="68"/>
      <c r="P28" s="67" t="s">
        <v>69</v>
      </c>
      <c r="Q28" s="73"/>
      <c r="R28" s="73"/>
      <c r="S28" s="68"/>
      <c r="T28" s="67" t="s">
        <v>69</v>
      </c>
      <c r="U28" s="73"/>
      <c r="V28" s="73"/>
      <c r="W28" s="68"/>
      <c r="X28" s="67" t="s">
        <v>69</v>
      </c>
      <c r="Y28" s="73"/>
      <c r="Z28" s="73"/>
      <c r="AA28" s="68"/>
      <c r="AB28" s="67" t="s">
        <v>69</v>
      </c>
      <c r="AC28" s="73"/>
      <c r="AD28" s="73"/>
      <c r="AE28" s="68"/>
      <c r="AF28" s="67" t="s">
        <v>69</v>
      </c>
      <c r="AG28" s="73"/>
      <c r="AH28" s="73"/>
      <c r="AI28" s="68"/>
      <c r="AJ28" s="67" t="s">
        <v>69</v>
      </c>
      <c r="AK28" s="73"/>
      <c r="AL28" s="73"/>
      <c r="AM28" s="68"/>
      <c r="AN28" s="67">
        <f t="shared" si="2"/>
        <v>100</v>
      </c>
      <c r="AO28" s="68" t="str">
        <f t="shared" si="3"/>
        <v>S</v>
      </c>
      <c r="AR28" s="49">
        <f t="shared" si="5"/>
        <v>1</v>
      </c>
      <c r="AS28" s="49">
        <f t="shared" si="6"/>
        <v>0</v>
      </c>
      <c r="AT28" s="49">
        <f t="shared" si="7"/>
        <v>0</v>
      </c>
      <c r="AU28" s="49">
        <f t="shared" si="8"/>
        <v>0</v>
      </c>
      <c r="AV28" s="49">
        <f t="shared" si="9"/>
        <v>1</v>
      </c>
      <c r="AW28" s="49">
        <f t="shared" si="10"/>
        <v>0</v>
      </c>
      <c r="AX28" s="49">
        <f t="shared" si="11"/>
        <v>0</v>
      </c>
      <c r="AY28" s="49">
        <f t="shared" si="12"/>
        <v>0</v>
      </c>
      <c r="AZ28" s="49">
        <f t="shared" si="13"/>
        <v>1</v>
      </c>
      <c r="BA28" s="49">
        <f t="shared" si="14"/>
        <v>0</v>
      </c>
      <c r="BB28" s="49">
        <f t="shared" si="15"/>
        <v>0</v>
      </c>
      <c r="BC28" s="49">
        <f t="shared" si="16"/>
        <v>0</v>
      </c>
      <c r="BD28" s="49">
        <f t="shared" si="17"/>
        <v>1</v>
      </c>
      <c r="BE28" s="49">
        <f t="shared" si="18"/>
        <v>0</v>
      </c>
      <c r="BF28" s="49">
        <f t="shared" si="19"/>
        <v>0</v>
      </c>
      <c r="BG28" s="49">
        <f t="shared" si="20"/>
        <v>0</v>
      </c>
      <c r="BH28" s="49">
        <f t="shared" si="21"/>
        <v>1</v>
      </c>
      <c r="BI28" s="49">
        <f t="shared" si="22"/>
        <v>0</v>
      </c>
      <c r="BJ28" s="49">
        <f t="shared" si="23"/>
        <v>0</v>
      </c>
      <c r="BK28" s="49">
        <f t="shared" si="24"/>
        <v>0</v>
      </c>
      <c r="BL28" s="49">
        <f t="shared" si="25"/>
        <v>1</v>
      </c>
      <c r="BM28" s="49">
        <f t="shared" si="26"/>
        <v>0</v>
      </c>
      <c r="BN28" s="49">
        <f t="shared" si="27"/>
        <v>0</v>
      </c>
      <c r="BO28" s="49">
        <f t="shared" si="28"/>
        <v>0</v>
      </c>
      <c r="BP28" s="49">
        <f t="shared" si="29"/>
        <v>1</v>
      </c>
      <c r="BQ28" s="49">
        <f t="shared" si="30"/>
        <v>0</v>
      </c>
      <c r="BR28" s="49">
        <f t="shared" si="31"/>
        <v>0</v>
      </c>
      <c r="BS28" s="49">
        <f t="shared" si="32"/>
        <v>0</v>
      </c>
      <c r="BT28" s="49">
        <f t="shared" si="33"/>
        <v>1</v>
      </c>
      <c r="BU28" s="49">
        <f t="shared" si="34"/>
        <v>0</v>
      </c>
      <c r="BV28" s="49">
        <f t="shared" si="35"/>
        <v>0</v>
      </c>
      <c r="BW28" s="49">
        <f t="shared" si="36"/>
        <v>0</v>
      </c>
    </row>
    <row r="29" spans="1:75" ht="35.1" customHeight="1" x14ac:dyDescent="0.3">
      <c r="A29" s="123" t="str">
        <f t="shared" si="0"/>
        <v>1팀</v>
      </c>
      <c r="B29" s="69">
        <f t="shared" si="1"/>
        <v>23</v>
      </c>
      <c r="C29" s="121" t="str">
        <f>IF(VLOOKUP($B29,'1. 현장별 인원현황'!$C:$J,2,0)=0,"",VLOOKUP($B29,'1. 현장별 인원현황'!$C:$J,2,0))</f>
        <v xml:space="preserve"> [1.대우건설] 인천검단 신도시 AA28BL 공동주택 신축공사</v>
      </c>
      <c r="D29" s="71" t="str">
        <f>IF(VLOOKUP($B29,'1. 현장별 인원현황'!$C:$J,3,0)=0,"",VLOOKUP($B29,'1. 현장별 인원현황'!$C:$J,3,0))</f>
        <v>한성필</v>
      </c>
      <c r="E29" s="63" t="str">
        <f ca="1">IF(VLOOKUP($B29,'1. 현장별 인원현황'!$C:$J,4,0)=0,"",VLOOKUP($B29,'1. 현장별 인원현황'!$C:$J,4,0))</f>
        <v>53세</v>
      </c>
      <c r="F29" s="63" t="str">
        <f>IF(VLOOKUP($B29,'1. 현장별 인원현황'!$C:$J,7,0)=0,"",VLOOKUP($B29,'1. 현장별 인원현황'!$C:$J,7,0))</f>
        <v>기능공</v>
      </c>
      <c r="G29" s="63" t="str">
        <f>IF(VLOOKUP($B29,'1. 현장별 인원현황'!$C:$J,8,0)=0,"",VLOOKUP($B29,'1. 현장별 인원현황'!$C:$J,8,0))</f>
        <v>전공</v>
      </c>
      <c r="H29" s="67" t="s">
        <v>69</v>
      </c>
      <c r="I29" s="73"/>
      <c r="J29" s="73"/>
      <c r="K29" s="68"/>
      <c r="L29" s="67" t="s">
        <v>69</v>
      </c>
      <c r="M29" s="73"/>
      <c r="N29" s="73"/>
      <c r="O29" s="68"/>
      <c r="P29" s="67" t="s">
        <v>69</v>
      </c>
      <c r="Q29" s="73"/>
      <c r="R29" s="73"/>
      <c r="S29" s="68"/>
      <c r="T29" s="67" t="s">
        <v>69</v>
      </c>
      <c r="U29" s="73"/>
      <c r="V29" s="73"/>
      <c r="W29" s="68"/>
      <c r="X29" s="67" t="s">
        <v>69</v>
      </c>
      <c r="Y29" s="73"/>
      <c r="Z29" s="73"/>
      <c r="AA29" s="68"/>
      <c r="AB29" s="67" t="s">
        <v>69</v>
      </c>
      <c r="AC29" s="73"/>
      <c r="AD29" s="73"/>
      <c r="AE29" s="68"/>
      <c r="AF29" s="67" t="s">
        <v>69</v>
      </c>
      <c r="AG29" s="73"/>
      <c r="AH29" s="73"/>
      <c r="AI29" s="68"/>
      <c r="AJ29" s="67" t="s">
        <v>69</v>
      </c>
      <c r="AK29" s="73"/>
      <c r="AL29" s="73"/>
      <c r="AM29" s="68"/>
      <c r="AN29" s="67">
        <f t="shared" si="2"/>
        <v>100</v>
      </c>
      <c r="AO29" s="68" t="str">
        <f t="shared" si="3"/>
        <v>S</v>
      </c>
      <c r="AR29" s="49">
        <f t="shared" si="5"/>
        <v>1</v>
      </c>
      <c r="AS29" s="49">
        <f t="shared" si="6"/>
        <v>0</v>
      </c>
      <c r="AT29" s="49">
        <f t="shared" si="7"/>
        <v>0</v>
      </c>
      <c r="AU29" s="49">
        <f t="shared" si="8"/>
        <v>0</v>
      </c>
      <c r="AV29" s="49">
        <f t="shared" si="9"/>
        <v>1</v>
      </c>
      <c r="AW29" s="49">
        <f t="shared" si="10"/>
        <v>0</v>
      </c>
      <c r="AX29" s="49">
        <f t="shared" si="11"/>
        <v>0</v>
      </c>
      <c r="AY29" s="49">
        <f t="shared" si="12"/>
        <v>0</v>
      </c>
      <c r="AZ29" s="49">
        <f t="shared" si="13"/>
        <v>1</v>
      </c>
      <c r="BA29" s="49">
        <f t="shared" si="14"/>
        <v>0</v>
      </c>
      <c r="BB29" s="49">
        <f t="shared" si="15"/>
        <v>0</v>
      </c>
      <c r="BC29" s="49">
        <f t="shared" si="16"/>
        <v>0</v>
      </c>
      <c r="BD29" s="49">
        <f t="shared" si="17"/>
        <v>1</v>
      </c>
      <c r="BE29" s="49">
        <f t="shared" si="18"/>
        <v>0</v>
      </c>
      <c r="BF29" s="49">
        <f t="shared" si="19"/>
        <v>0</v>
      </c>
      <c r="BG29" s="49">
        <f t="shared" si="20"/>
        <v>0</v>
      </c>
      <c r="BH29" s="49">
        <f t="shared" si="21"/>
        <v>1</v>
      </c>
      <c r="BI29" s="49">
        <f t="shared" si="22"/>
        <v>0</v>
      </c>
      <c r="BJ29" s="49">
        <f t="shared" si="23"/>
        <v>0</v>
      </c>
      <c r="BK29" s="49">
        <f t="shared" si="24"/>
        <v>0</v>
      </c>
      <c r="BL29" s="49">
        <f t="shared" si="25"/>
        <v>1</v>
      </c>
      <c r="BM29" s="49">
        <f t="shared" si="26"/>
        <v>0</v>
      </c>
      <c r="BN29" s="49">
        <f t="shared" si="27"/>
        <v>0</v>
      </c>
      <c r="BO29" s="49">
        <f t="shared" si="28"/>
        <v>0</v>
      </c>
      <c r="BP29" s="49">
        <f t="shared" si="29"/>
        <v>1</v>
      </c>
      <c r="BQ29" s="49">
        <f t="shared" si="30"/>
        <v>0</v>
      </c>
      <c r="BR29" s="49">
        <f t="shared" si="31"/>
        <v>0</v>
      </c>
      <c r="BS29" s="49">
        <f t="shared" si="32"/>
        <v>0</v>
      </c>
      <c r="BT29" s="49">
        <f t="shared" si="33"/>
        <v>1</v>
      </c>
      <c r="BU29" s="49">
        <f t="shared" si="34"/>
        <v>0</v>
      </c>
      <c r="BV29" s="49">
        <f t="shared" si="35"/>
        <v>0</v>
      </c>
      <c r="BW29" s="49">
        <f t="shared" si="36"/>
        <v>0</v>
      </c>
    </row>
    <row r="30" spans="1:75" ht="35.1" customHeight="1" x14ac:dyDescent="0.3">
      <c r="A30" s="123" t="str">
        <f t="shared" si="0"/>
        <v>1팀</v>
      </c>
      <c r="B30" s="69">
        <f t="shared" si="1"/>
        <v>24</v>
      </c>
      <c r="C30" s="121" t="str">
        <f>IF(VLOOKUP($B30,'1. 현장별 인원현황'!$C:$J,2,0)=0,"",VLOOKUP($B30,'1. 현장별 인원현황'!$C:$J,2,0))</f>
        <v xml:space="preserve"> [1.대우건설] 장위6구역 주택재개발 정비사업아파트 신축공사</v>
      </c>
      <c r="D30" s="134" t="str">
        <f>IF(VLOOKUP($B30,'1. 현장별 인원현황'!$C:$J,3,0)=0,"",VLOOKUP($B30,'1. 현장별 인원현황'!$C:$J,3,0))</f>
        <v>강지성</v>
      </c>
      <c r="E30" s="135" t="str">
        <f ca="1">IF(VLOOKUP($B30,'1. 현장별 인원현황'!$C:$J,4,0)=0,"",VLOOKUP($B30,'1. 현장별 인원현황'!$C:$J,4,0))</f>
        <v>50세</v>
      </c>
      <c r="F30" s="135" t="str">
        <f>IF(VLOOKUP($B30,'1. 현장별 인원현황'!$C:$J,7,0)=0,"",VLOOKUP($B30,'1. 현장별 인원현황'!$C:$J,7,0))</f>
        <v>공무</v>
      </c>
      <c r="G30" s="135" t="str">
        <f>IF(VLOOKUP($B30,'1. 현장별 인원현황'!$C:$J,8,0)=0,"",VLOOKUP($B30,'1. 현장별 인원현황'!$C:$J,8,0))</f>
        <v>차장</v>
      </c>
      <c r="H30" s="136"/>
      <c r="I30" s="137"/>
      <c r="J30" s="137"/>
      <c r="K30" s="138"/>
      <c r="L30" s="136"/>
      <c r="M30" s="137"/>
      <c r="N30" s="137"/>
      <c r="O30" s="138"/>
      <c r="P30" s="136"/>
      <c r="Q30" s="137"/>
      <c r="R30" s="137"/>
      <c r="S30" s="138"/>
      <c r="T30" s="136"/>
      <c r="U30" s="137"/>
      <c r="V30" s="137"/>
      <c r="W30" s="138"/>
      <c r="X30" s="136"/>
      <c r="Y30" s="137"/>
      <c r="Z30" s="137"/>
      <c r="AA30" s="138"/>
      <c r="AB30" s="136"/>
      <c r="AC30" s="137"/>
      <c r="AD30" s="137"/>
      <c r="AE30" s="138"/>
      <c r="AF30" s="136"/>
      <c r="AG30" s="137"/>
      <c r="AH30" s="137"/>
      <c r="AI30" s="138"/>
      <c r="AJ30" s="136"/>
      <c r="AK30" s="137"/>
      <c r="AL30" s="137"/>
      <c r="AM30" s="138"/>
      <c r="AN30" s="136">
        <f t="shared" si="2"/>
        <v>0</v>
      </c>
      <c r="AO30" s="138" t="str">
        <f t="shared" si="3"/>
        <v/>
      </c>
      <c r="AR30" s="49">
        <f t="shared" si="5"/>
        <v>0</v>
      </c>
      <c r="AS30" s="49">
        <f t="shared" si="6"/>
        <v>0</v>
      </c>
      <c r="AT30" s="49">
        <f t="shared" si="7"/>
        <v>0</v>
      </c>
      <c r="AU30" s="49">
        <f t="shared" si="8"/>
        <v>0</v>
      </c>
      <c r="AV30" s="49">
        <f t="shared" si="9"/>
        <v>0</v>
      </c>
      <c r="AW30" s="49">
        <f t="shared" si="10"/>
        <v>0</v>
      </c>
      <c r="AX30" s="49">
        <f t="shared" si="11"/>
        <v>0</v>
      </c>
      <c r="AY30" s="49">
        <f t="shared" si="12"/>
        <v>0</v>
      </c>
      <c r="AZ30" s="49">
        <f t="shared" si="13"/>
        <v>0</v>
      </c>
      <c r="BA30" s="49">
        <f t="shared" si="14"/>
        <v>0</v>
      </c>
      <c r="BB30" s="49">
        <f t="shared" si="15"/>
        <v>0</v>
      </c>
      <c r="BC30" s="49">
        <f t="shared" si="16"/>
        <v>0</v>
      </c>
      <c r="BD30" s="49">
        <f t="shared" si="17"/>
        <v>0</v>
      </c>
      <c r="BE30" s="49">
        <f t="shared" si="18"/>
        <v>0</v>
      </c>
      <c r="BF30" s="49">
        <f t="shared" si="19"/>
        <v>0</v>
      </c>
      <c r="BG30" s="49">
        <f t="shared" si="20"/>
        <v>0</v>
      </c>
      <c r="BH30" s="49">
        <f t="shared" si="21"/>
        <v>0</v>
      </c>
      <c r="BI30" s="49">
        <f t="shared" si="22"/>
        <v>0</v>
      </c>
      <c r="BJ30" s="49">
        <f t="shared" si="23"/>
        <v>0</v>
      </c>
      <c r="BK30" s="49">
        <f t="shared" si="24"/>
        <v>0</v>
      </c>
      <c r="BL30" s="49">
        <f t="shared" si="25"/>
        <v>0</v>
      </c>
      <c r="BM30" s="49">
        <f t="shared" si="26"/>
        <v>0</v>
      </c>
      <c r="BN30" s="49">
        <f t="shared" si="27"/>
        <v>0</v>
      </c>
      <c r="BO30" s="49">
        <f t="shared" si="28"/>
        <v>0</v>
      </c>
      <c r="BP30" s="49">
        <f t="shared" si="29"/>
        <v>0</v>
      </c>
      <c r="BQ30" s="49">
        <f t="shared" si="30"/>
        <v>0</v>
      </c>
      <c r="BR30" s="49">
        <f t="shared" si="31"/>
        <v>0</v>
      </c>
      <c r="BS30" s="49">
        <f t="shared" si="32"/>
        <v>0</v>
      </c>
      <c r="BT30" s="49">
        <f t="shared" si="33"/>
        <v>0</v>
      </c>
      <c r="BU30" s="49">
        <f t="shared" si="34"/>
        <v>0</v>
      </c>
      <c r="BV30" s="49">
        <f t="shared" si="35"/>
        <v>0</v>
      </c>
      <c r="BW30" s="49">
        <f t="shared" si="36"/>
        <v>0</v>
      </c>
    </row>
    <row r="31" spans="1:75" ht="35.1" customHeight="1" x14ac:dyDescent="0.3">
      <c r="A31" s="123" t="str">
        <f t="shared" si="0"/>
        <v>1팀</v>
      </c>
      <c r="B31" s="69">
        <f t="shared" si="1"/>
        <v>25</v>
      </c>
      <c r="C31" s="121" t="str">
        <f>IF(VLOOKUP($B31,'1. 현장별 인원현황'!$C:$J,2,0)=0,"",VLOOKUP($B31,'1. 현장별 인원현황'!$C:$J,2,0))</f>
        <v xml:space="preserve"> [1.대우건설] 장위6구역 주택재개발 정비사업아파트 신축공사</v>
      </c>
      <c r="D31" s="71" t="str">
        <f>IF(VLOOKUP($B31,'1. 현장별 인원현황'!$C:$J,3,0)=0,"",VLOOKUP($B31,'1. 현장별 인원현황'!$C:$J,3,0))</f>
        <v>이시우</v>
      </c>
      <c r="E31" s="63" t="str">
        <f ca="1">IF(VLOOKUP($B31,'1. 현장별 인원현황'!$C:$J,4,0)=0,"",VLOOKUP($B31,'1. 현장별 인원현황'!$C:$J,4,0))</f>
        <v>24세</v>
      </c>
      <c r="F31" s="63" t="str">
        <f>IF(VLOOKUP($B31,'1. 현장별 인원현황'!$C:$J,7,0)=0,"",VLOOKUP($B31,'1. 현장별 인원현황'!$C:$J,7,0))</f>
        <v>공무</v>
      </c>
      <c r="G31" s="63" t="str">
        <f>IF(VLOOKUP($B31,'1. 현장별 인원현황'!$C:$J,8,0)=0,"",VLOOKUP($B31,'1. 현장별 인원현황'!$C:$J,8,0))</f>
        <v>대리</v>
      </c>
      <c r="H31" s="67" t="s">
        <v>69</v>
      </c>
      <c r="I31" s="73"/>
      <c r="J31" s="73"/>
      <c r="K31" s="68"/>
      <c r="L31" s="67" t="s">
        <v>69</v>
      </c>
      <c r="M31" s="73"/>
      <c r="N31" s="73"/>
      <c r="O31" s="68"/>
      <c r="P31" s="67" t="s">
        <v>69</v>
      </c>
      <c r="Q31" s="73"/>
      <c r="R31" s="73"/>
      <c r="S31" s="68"/>
      <c r="T31" s="67"/>
      <c r="U31" s="73" t="s">
        <v>69</v>
      </c>
      <c r="V31" s="73"/>
      <c r="W31" s="68"/>
      <c r="X31" s="67"/>
      <c r="Y31" s="73" t="s">
        <v>69</v>
      </c>
      <c r="Z31" s="73"/>
      <c r="AA31" s="68"/>
      <c r="AB31" s="67" t="s">
        <v>69</v>
      </c>
      <c r="AC31" s="73"/>
      <c r="AD31" s="73"/>
      <c r="AE31" s="68"/>
      <c r="AF31" s="67"/>
      <c r="AG31" s="73" t="s">
        <v>69</v>
      </c>
      <c r="AH31" s="73"/>
      <c r="AI31" s="68"/>
      <c r="AJ31" s="67" t="s">
        <v>69</v>
      </c>
      <c r="AK31" s="73"/>
      <c r="AL31" s="73"/>
      <c r="AM31" s="68"/>
      <c r="AN31" s="67">
        <f t="shared" si="2"/>
        <v>89</v>
      </c>
      <c r="AO31" s="68" t="str">
        <f t="shared" si="3"/>
        <v>S</v>
      </c>
      <c r="AR31" s="49">
        <f t="shared" si="5"/>
        <v>1</v>
      </c>
      <c r="AS31" s="49">
        <f t="shared" si="6"/>
        <v>0</v>
      </c>
      <c r="AT31" s="49">
        <f t="shared" si="7"/>
        <v>0</v>
      </c>
      <c r="AU31" s="49">
        <f t="shared" si="8"/>
        <v>0</v>
      </c>
      <c r="AV31" s="49">
        <f t="shared" si="9"/>
        <v>1</v>
      </c>
      <c r="AW31" s="49">
        <f t="shared" si="10"/>
        <v>0</v>
      </c>
      <c r="AX31" s="49">
        <f t="shared" si="11"/>
        <v>0</v>
      </c>
      <c r="AY31" s="49">
        <f t="shared" si="12"/>
        <v>0</v>
      </c>
      <c r="AZ31" s="49">
        <f t="shared" si="13"/>
        <v>1</v>
      </c>
      <c r="BA31" s="49">
        <f t="shared" si="14"/>
        <v>0</v>
      </c>
      <c r="BB31" s="49">
        <f t="shared" si="15"/>
        <v>0</v>
      </c>
      <c r="BC31" s="49">
        <f t="shared" si="16"/>
        <v>0</v>
      </c>
      <c r="BD31" s="49">
        <f t="shared" si="17"/>
        <v>0</v>
      </c>
      <c r="BE31" s="49">
        <f t="shared" si="18"/>
        <v>1</v>
      </c>
      <c r="BF31" s="49">
        <f t="shared" si="19"/>
        <v>0</v>
      </c>
      <c r="BG31" s="49">
        <f t="shared" si="20"/>
        <v>0</v>
      </c>
      <c r="BH31" s="49">
        <f t="shared" si="21"/>
        <v>0</v>
      </c>
      <c r="BI31" s="49">
        <f t="shared" si="22"/>
        <v>1</v>
      </c>
      <c r="BJ31" s="49">
        <f t="shared" si="23"/>
        <v>0</v>
      </c>
      <c r="BK31" s="49">
        <f t="shared" si="24"/>
        <v>0</v>
      </c>
      <c r="BL31" s="49">
        <f t="shared" si="25"/>
        <v>1</v>
      </c>
      <c r="BM31" s="49">
        <f t="shared" si="26"/>
        <v>0</v>
      </c>
      <c r="BN31" s="49">
        <f t="shared" si="27"/>
        <v>0</v>
      </c>
      <c r="BO31" s="49">
        <f t="shared" si="28"/>
        <v>0</v>
      </c>
      <c r="BP31" s="49">
        <f t="shared" si="29"/>
        <v>0</v>
      </c>
      <c r="BQ31" s="49">
        <f t="shared" si="30"/>
        <v>1</v>
      </c>
      <c r="BR31" s="49">
        <f t="shared" si="31"/>
        <v>0</v>
      </c>
      <c r="BS31" s="49">
        <f t="shared" si="32"/>
        <v>0</v>
      </c>
      <c r="BT31" s="49">
        <f t="shared" si="33"/>
        <v>1</v>
      </c>
      <c r="BU31" s="49">
        <f t="shared" si="34"/>
        <v>0</v>
      </c>
      <c r="BV31" s="49">
        <f t="shared" si="35"/>
        <v>0</v>
      </c>
      <c r="BW31" s="49">
        <f t="shared" si="36"/>
        <v>0</v>
      </c>
    </row>
    <row r="32" spans="1:75" ht="35.1" customHeight="1" x14ac:dyDescent="0.3">
      <c r="A32" s="123" t="str">
        <f t="shared" si="0"/>
        <v>1팀</v>
      </c>
      <c r="B32" s="69">
        <f t="shared" si="1"/>
        <v>26</v>
      </c>
      <c r="C32" s="121" t="str">
        <f>IF(VLOOKUP($B32,'1. 현장별 인원현황'!$C:$J,2,0)=0,"",VLOOKUP($B32,'1. 현장별 인원현황'!$C:$J,2,0))</f>
        <v xml:space="preserve"> [1.대우건설] 장위6구역 주택재개발 정비사업아파트 신축공사</v>
      </c>
      <c r="D32" s="71" t="str">
        <f>IF(VLOOKUP($B32,'1. 현장별 인원현황'!$C:$J,3,0)=0,"",VLOOKUP($B32,'1. 현장별 인원현황'!$C:$J,3,0))</f>
        <v>정  권</v>
      </c>
      <c r="E32" s="63" t="str">
        <f ca="1">IF(VLOOKUP($B32,'1. 현장별 인원현황'!$C:$J,4,0)=0,"",VLOOKUP($B32,'1. 현장별 인원현황'!$C:$J,4,0))</f>
        <v>60세</v>
      </c>
      <c r="F32" s="63" t="str">
        <f>IF(VLOOKUP($B32,'1. 현장별 인원현황'!$C:$J,7,0)=0,"",VLOOKUP($B32,'1. 현장별 인원현황'!$C:$J,7,0))</f>
        <v>공사</v>
      </c>
      <c r="G32" s="63" t="str">
        <f>IF(VLOOKUP($B32,'1. 현장별 인원현황'!$C:$J,8,0)=0,"",VLOOKUP($B32,'1. 현장별 인원현황'!$C:$J,8,0))</f>
        <v>차장</v>
      </c>
      <c r="H32" s="67" t="s">
        <v>69</v>
      </c>
      <c r="I32" s="73"/>
      <c r="J32" s="73"/>
      <c r="K32" s="68"/>
      <c r="L32" s="67" t="s">
        <v>69</v>
      </c>
      <c r="M32" s="73"/>
      <c r="N32" s="73"/>
      <c r="O32" s="68"/>
      <c r="P32" s="67" t="s">
        <v>69</v>
      </c>
      <c r="Q32" s="73"/>
      <c r="R32" s="73"/>
      <c r="S32" s="68"/>
      <c r="T32" s="67" t="s">
        <v>69</v>
      </c>
      <c r="U32" s="73"/>
      <c r="V32" s="73"/>
      <c r="W32" s="68"/>
      <c r="X32" s="67"/>
      <c r="Y32" s="73" t="s">
        <v>69</v>
      </c>
      <c r="Z32" s="73"/>
      <c r="AA32" s="68"/>
      <c r="AB32" s="67"/>
      <c r="AC32" s="73" t="s">
        <v>69</v>
      </c>
      <c r="AD32" s="73"/>
      <c r="AE32" s="68"/>
      <c r="AF32" s="67" t="s">
        <v>69</v>
      </c>
      <c r="AG32" s="73"/>
      <c r="AH32" s="73"/>
      <c r="AI32" s="68"/>
      <c r="AJ32" s="67"/>
      <c r="AK32" s="73" t="s">
        <v>69</v>
      </c>
      <c r="AL32" s="73"/>
      <c r="AM32" s="68"/>
      <c r="AN32" s="67">
        <f t="shared" si="2"/>
        <v>91</v>
      </c>
      <c r="AO32" s="68" t="str">
        <f t="shared" si="3"/>
        <v>S</v>
      </c>
      <c r="AR32" s="49">
        <f t="shared" si="5"/>
        <v>1</v>
      </c>
      <c r="AS32" s="49">
        <f t="shared" si="6"/>
        <v>0</v>
      </c>
      <c r="AT32" s="49">
        <f t="shared" si="7"/>
        <v>0</v>
      </c>
      <c r="AU32" s="49">
        <f t="shared" si="8"/>
        <v>0</v>
      </c>
      <c r="AV32" s="49">
        <f t="shared" si="9"/>
        <v>1</v>
      </c>
      <c r="AW32" s="49">
        <f t="shared" si="10"/>
        <v>0</v>
      </c>
      <c r="AX32" s="49">
        <f t="shared" si="11"/>
        <v>0</v>
      </c>
      <c r="AY32" s="49">
        <f t="shared" si="12"/>
        <v>0</v>
      </c>
      <c r="AZ32" s="49">
        <f t="shared" si="13"/>
        <v>1</v>
      </c>
      <c r="BA32" s="49">
        <f t="shared" si="14"/>
        <v>0</v>
      </c>
      <c r="BB32" s="49">
        <f t="shared" si="15"/>
        <v>0</v>
      </c>
      <c r="BC32" s="49">
        <f t="shared" si="16"/>
        <v>0</v>
      </c>
      <c r="BD32" s="49">
        <f t="shared" si="17"/>
        <v>1</v>
      </c>
      <c r="BE32" s="49">
        <f t="shared" si="18"/>
        <v>0</v>
      </c>
      <c r="BF32" s="49">
        <f t="shared" si="19"/>
        <v>0</v>
      </c>
      <c r="BG32" s="49">
        <f t="shared" si="20"/>
        <v>0</v>
      </c>
      <c r="BH32" s="49">
        <f t="shared" si="21"/>
        <v>0</v>
      </c>
      <c r="BI32" s="49">
        <f t="shared" si="22"/>
        <v>1</v>
      </c>
      <c r="BJ32" s="49">
        <f t="shared" si="23"/>
        <v>0</v>
      </c>
      <c r="BK32" s="49">
        <f t="shared" si="24"/>
        <v>0</v>
      </c>
      <c r="BL32" s="49">
        <f t="shared" si="25"/>
        <v>0</v>
      </c>
      <c r="BM32" s="49">
        <f t="shared" si="26"/>
        <v>1</v>
      </c>
      <c r="BN32" s="49">
        <f t="shared" si="27"/>
        <v>0</v>
      </c>
      <c r="BO32" s="49">
        <f t="shared" si="28"/>
        <v>0</v>
      </c>
      <c r="BP32" s="49">
        <f t="shared" si="29"/>
        <v>1</v>
      </c>
      <c r="BQ32" s="49">
        <f t="shared" si="30"/>
        <v>0</v>
      </c>
      <c r="BR32" s="49">
        <f t="shared" si="31"/>
        <v>0</v>
      </c>
      <c r="BS32" s="49">
        <f t="shared" si="32"/>
        <v>0</v>
      </c>
      <c r="BT32" s="49">
        <f t="shared" si="33"/>
        <v>0</v>
      </c>
      <c r="BU32" s="49">
        <f t="shared" si="34"/>
        <v>1</v>
      </c>
      <c r="BV32" s="49">
        <f t="shared" si="35"/>
        <v>0</v>
      </c>
      <c r="BW32" s="49">
        <f t="shared" si="36"/>
        <v>0</v>
      </c>
    </row>
    <row r="33" spans="1:75" ht="35.1" customHeight="1" x14ac:dyDescent="0.3">
      <c r="A33" s="123" t="str">
        <f t="shared" si="0"/>
        <v>1팀</v>
      </c>
      <c r="B33" s="69">
        <f t="shared" si="1"/>
        <v>27</v>
      </c>
      <c r="C33" s="121" t="str">
        <f>IF(VLOOKUP($B33,'1. 현장별 인원현황'!$C:$J,2,0)=0,"",VLOOKUP($B33,'1. 현장별 인원현황'!$C:$J,2,0))</f>
        <v xml:space="preserve"> [1.대우건설] 장위6구역 주택재개발 정비사업아파트 신축공사</v>
      </c>
      <c r="D33" s="71" t="str">
        <f>IF(VLOOKUP($B33,'1. 현장별 인원현황'!$C:$J,3,0)=0,"",VLOOKUP($B33,'1. 현장별 인원현황'!$C:$J,3,0))</f>
        <v>성경웅</v>
      </c>
      <c r="E33" s="63" t="str">
        <f ca="1">IF(VLOOKUP($B33,'1. 현장별 인원현황'!$C:$J,4,0)=0,"",VLOOKUP($B33,'1. 현장별 인원현황'!$C:$J,4,0))</f>
        <v>56세</v>
      </c>
      <c r="F33" s="63" t="str">
        <f>IF(VLOOKUP($B33,'1. 현장별 인원현황'!$C:$J,7,0)=0,"",VLOOKUP($B33,'1. 현장별 인원현황'!$C:$J,7,0))</f>
        <v>공사</v>
      </c>
      <c r="G33" s="63" t="str">
        <f>IF(VLOOKUP($B33,'1. 현장별 인원현황'!$C:$J,8,0)=0,"",VLOOKUP($B33,'1. 현장별 인원현황'!$C:$J,8,0))</f>
        <v>차장</v>
      </c>
      <c r="H33" s="67" t="s">
        <v>69</v>
      </c>
      <c r="I33" s="73"/>
      <c r="J33" s="73"/>
      <c r="K33" s="68"/>
      <c r="L33" s="67" t="s">
        <v>69</v>
      </c>
      <c r="M33" s="73"/>
      <c r="N33" s="73"/>
      <c r="O33" s="68"/>
      <c r="P33" s="67" t="s">
        <v>69</v>
      </c>
      <c r="Q33" s="73"/>
      <c r="R33" s="73"/>
      <c r="S33" s="68"/>
      <c r="T33" s="67" t="s">
        <v>69</v>
      </c>
      <c r="U33" s="73"/>
      <c r="V33" s="73"/>
      <c r="W33" s="68"/>
      <c r="X33" s="67" t="s">
        <v>69</v>
      </c>
      <c r="Y33" s="73"/>
      <c r="Z33" s="73"/>
      <c r="AA33" s="68"/>
      <c r="AB33" s="67" t="s">
        <v>69</v>
      </c>
      <c r="AC33" s="73"/>
      <c r="AD33" s="73"/>
      <c r="AE33" s="68"/>
      <c r="AF33" s="67" t="s">
        <v>69</v>
      </c>
      <c r="AG33" s="73"/>
      <c r="AH33" s="73"/>
      <c r="AI33" s="68"/>
      <c r="AJ33" s="67" t="s">
        <v>69</v>
      </c>
      <c r="AK33" s="73"/>
      <c r="AL33" s="73"/>
      <c r="AM33" s="68"/>
      <c r="AN33" s="67">
        <f t="shared" si="2"/>
        <v>100</v>
      </c>
      <c r="AO33" s="68" t="str">
        <f t="shared" si="3"/>
        <v>S</v>
      </c>
      <c r="AR33" s="49">
        <f t="shared" si="5"/>
        <v>1</v>
      </c>
      <c r="AS33" s="49">
        <f t="shared" si="6"/>
        <v>0</v>
      </c>
      <c r="AT33" s="49">
        <f t="shared" si="7"/>
        <v>0</v>
      </c>
      <c r="AU33" s="49">
        <f t="shared" si="8"/>
        <v>0</v>
      </c>
      <c r="AV33" s="49">
        <f t="shared" si="9"/>
        <v>1</v>
      </c>
      <c r="AW33" s="49">
        <f t="shared" si="10"/>
        <v>0</v>
      </c>
      <c r="AX33" s="49">
        <f t="shared" si="11"/>
        <v>0</v>
      </c>
      <c r="AY33" s="49">
        <f t="shared" si="12"/>
        <v>0</v>
      </c>
      <c r="AZ33" s="49">
        <f t="shared" si="13"/>
        <v>1</v>
      </c>
      <c r="BA33" s="49">
        <f t="shared" si="14"/>
        <v>0</v>
      </c>
      <c r="BB33" s="49">
        <f t="shared" si="15"/>
        <v>0</v>
      </c>
      <c r="BC33" s="49">
        <f t="shared" si="16"/>
        <v>0</v>
      </c>
      <c r="BD33" s="49">
        <f t="shared" si="17"/>
        <v>1</v>
      </c>
      <c r="BE33" s="49">
        <f t="shared" si="18"/>
        <v>0</v>
      </c>
      <c r="BF33" s="49">
        <f t="shared" si="19"/>
        <v>0</v>
      </c>
      <c r="BG33" s="49">
        <f t="shared" si="20"/>
        <v>0</v>
      </c>
      <c r="BH33" s="49">
        <f t="shared" si="21"/>
        <v>1</v>
      </c>
      <c r="BI33" s="49">
        <f t="shared" si="22"/>
        <v>0</v>
      </c>
      <c r="BJ33" s="49">
        <f t="shared" si="23"/>
        <v>0</v>
      </c>
      <c r="BK33" s="49">
        <f t="shared" si="24"/>
        <v>0</v>
      </c>
      <c r="BL33" s="49">
        <f t="shared" si="25"/>
        <v>1</v>
      </c>
      <c r="BM33" s="49">
        <f t="shared" si="26"/>
        <v>0</v>
      </c>
      <c r="BN33" s="49">
        <f t="shared" si="27"/>
        <v>0</v>
      </c>
      <c r="BO33" s="49">
        <f t="shared" si="28"/>
        <v>0</v>
      </c>
      <c r="BP33" s="49">
        <f t="shared" si="29"/>
        <v>1</v>
      </c>
      <c r="BQ33" s="49">
        <f t="shared" si="30"/>
        <v>0</v>
      </c>
      <c r="BR33" s="49">
        <f t="shared" si="31"/>
        <v>0</v>
      </c>
      <c r="BS33" s="49">
        <f t="shared" si="32"/>
        <v>0</v>
      </c>
      <c r="BT33" s="49">
        <f t="shared" si="33"/>
        <v>1</v>
      </c>
      <c r="BU33" s="49">
        <f t="shared" si="34"/>
        <v>0</v>
      </c>
      <c r="BV33" s="49">
        <f t="shared" si="35"/>
        <v>0</v>
      </c>
      <c r="BW33" s="49">
        <f t="shared" si="36"/>
        <v>0</v>
      </c>
    </row>
    <row r="34" spans="1:75" ht="35.1" customHeight="1" thickTop="1" x14ac:dyDescent="0.3">
      <c r="A34" s="123" t="str">
        <f t="shared" si="0"/>
        <v>1팀</v>
      </c>
      <c r="B34" s="69">
        <f t="shared" si="1"/>
        <v>28</v>
      </c>
      <c r="C34" s="121" t="str">
        <f>IF(VLOOKUP($B34,'1. 현장별 인원현황'!$C:$J,2,0)=0,"",VLOOKUP($B34,'1. 현장별 인원현황'!$C:$J,2,0))</f>
        <v xml:space="preserve"> [1.대우건설] 장위6구역 주택재개발 정비사업아파트 신축공사</v>
      </c>
      <c r="D34" s="71" t="str">
        <f>IF(VLOOKUP($B34,'1. 현장별 인원현황'!$C:$J,3,0)=0,"",VLOOKUP($B34,'1. 현장별 인원현황'!$C:$J,3,0))</f>
        <v>용효중</v>
      </c>
      <c r="E34" s="63" t="str">
        <f ca="1">IF(VLOOKUP($B34,'1. 현장별 인원현황'!$C:$J,4,0)=0,"",VLOOKUP($B34,'1. 현장별 인원현황'!$C:$J,4,0))</f>
        <v>49세</v>
      </c>
      <c r="F34" s="63" t="str">
        <f>IF(VLOOKUP($B34,'1. 현장별 인원현황'!$C:$J,7,0)=0,"",VLOOKUP($B34,'1. 현장별 인원현황'!$C:$J,7,0))</f>
        <v>기능공</v>
      </c>
      <c r="G34" s="63" t="str">
        <f>IF(VLOOKUP($B34,'1. 현장별 인원현황'!$C:$J,8,0)=0,"",VLOOKUP($B34,'1. 현장별 인원현황'!$C:$J,8,0))</f>
        <v>전공</v>
      </c>
      <c r="H34" s="64" t="s">
        <v>69</v>
      </c>
      <c r="I34" s="65"/>
      <c r="J34" s="65"/>
      <c r="K34" s="66"/>
      <c r="L34" s="64" t="s">
        <v>69</v>
      </c>
      <c r="M34" s="65"/>
      <c r="N34" s="65"/>
      <c r="O34" s="66"/>
      <c r="P34" s="64" t="s">
        <v>69</v>
      </c>
      <c r="Q34" s="65"/>
      <c r="R34" s="65"/>
      <c r="S34" s="66"/>
      <c r="T34" s="64" t="s">
        <v>69</v>
      </c>
      <c r="U34" s="65"/>
      <c r="V34" s="65"/>
      <c r="W34" s="66"/>
      <c r="X34" s="64"/>
      <c r="Y34" s="65" t="s">
        <v>69</v>
      </c>
      <c r="Z34" s="65"/>
      <c r="AA34" s="66"/>
      <c r="AB34" s="64"/>
      <c r="AC34" s="65" t="s">
        <v>69</v>
      </c>
      <c r="AD34" s="65"/>
      <c r="AE34" s="66"/>
      <c r="AF34" s="64" t="s">
        <v>69</v>
      </c>
      <c r="AG34" s="65"/>
      <c r="AH34" s="65"/>
      <c r="AI34" s="66"/>
      <c r="AJ34" s="64" t="s">
        <v>69</v>
      </c>
      <c r="AK34" s="65"/>
      <c r="AL34" s="65"/>
      <c r="AM34" s="66"/>
      <c r="AN34" s="67">
        <f t="shared" si="2"/>
        <v>94</v>
      </c>
      <c r="AO34" s="68" t="str">
        <f t="shared" si="3"/>
        <v>S</v>
      </c>
      <c r="AR34" s="49">
        <f t="shared" si="5"/>
        <v>1</v>
      </c>
      <c r="AS34" s="49">
        <f t="shared" si="6"/>
        <v>0</v>
      </c>
      <c r="AT34" s="49">
        <f t="shared" si="7"/>
        <v>0</v>
      </c>
      <c r="AU34" s="49">
        <f t="shared" si="8"/>
        <v>0</v>
      </c>
      <c r="AV34" s="49">
        <f t="shared" si="9"/>
        <v>1</v>
      </c>
      <c r="AW34" s="49">
        <f t="shared" si="10"/>
        <v>0</v>
      </c>
      <c r="AX34" s="49">
        <f t="shared" si="11"/>
        <v>0</v>
      </c>
      <c r="AY34" s="49">
        <f t="shared" si="12"/>
        <v>0</v>
      </c>
      <c r="AZ34" s="49">
        <f t="shared" si="13"/>
        <v>1</v>
      </c>
      <c r="BA34" s="49">
        <f t="shared" si="14"/>
        <v>0</v>
      </c>
      <c r="BB34" s="49">
        <f t="shared" si="15"/>
        <v>0</v>
      </c>
      <c r="BC34" s="49">
        <f t="shared" si="16"/>
        <v>0</v>
      </c>
      <c r="BD34" s="49">
        <f t="shared" si="17"/>
        <v>1</v>
      </c>
      <c r="BE34" s="49">
        <f t="shared" si="18"/>
        <v>0</v>
      </c>
      <c r="BF34" s="49">
        <f t="shared" si="19"/>
        <v>0</v>
      </c>
      <c r="BG34" s="49">
        <f t="shared" si="20"/>
        <v>0</v>
      </c>
      <c r="BH34" s="49">
        <f t="shared" si="21"/>
        <v>0</v>
      </c>
      <c r="BI34" s="49">
        <f t="shared" si="22"/>
        <v>1</v>
      </c>
      <c r="BJ34" s="49">
        <f t="shared" si="23"/>
        <v>0</v>
      </c>
      <c r="BK34" s="49">
        <f t="shared" si="24"/>
        <v>0</v>
      </c>
      <c r="BL34" s="49">
        <f t="shared" si="25"/>
        <v>0</v>
      </c>
      <c r="BM34" s="49">
        <f t="shared" si="26"/>
        <v>1</v>
      </c>
      <c r="BN34" s="49">
        <f t="shared" si="27"/>
        <v>0</v>
      </c>
      <c r="BO34" s="49">
        <f t="shared" si="28"/>
        <v>0</v>
      </c>
      <c r="BP34" s="49">
        <f t="shared" si="29"/>
        <v>1</v>
      </c>
      <c r="BQ34" s="49">
        <f t="shared" si="30"/>
        <v>0</v>
      </c>
      <c r="BR34" s="49">
        <f t="shared" si="31"/>
        <v>0</v>
      </c>
      <c r="BS34" s="49">
        <f t="shared" si="32"/>
        <v>0</v>
      </c>
      <c r="BT34" s="49">
        <f t="shared" si="33"/>
        <v>1</v>
      </c>
      <c r="BU34" s="49">
        <f t="shared" si="34"/>
        <v>0</v>
      </c>
      <c r="BV34" s="49">
        <f t="shared" si="35"/>
        <v>0</v>
      </c>
      <c r="BW34" s="49">
        <f t="shared" si="36"/>
        <v>0</v>
      </c>
    </row>
    <row r="35" spans="1:75" ht="35.1" customHeight="1" x14ac:dyDescent="0.3">
      <c r="A35" s="123" t="str">
        <f t="shared" si="0"/>
        <v>1팀</v>
      </c>
      <c r="B35" s="69">
        <f t="shared" si="1"/>
        <v>29</v>
      </c>
      <c r="C35" s="121" t="str">
        <f>IF(VLOOKUP($B35,'1. 현장별 인원현황'!$C:$J,2,0)=0,"",VLOOKUP($B35,'1. 현장별 인원현황'!$C:$J,2,0))</f>
        <v xml:space="preserve"> [1.대우건설] 장위6구역 주택재개발 정비사업아파트 신축공사</v>
      </c>
      <c r="D35" s="71" t="str">
        <f>IF(VLOOKUP($B35,'1. 현장별 인원현황'!$C:$J,3,0)=0,"",VLOOKUP($B35,'1. 현장별 인원현황'!$C:$J,3,0))</f>
        <v>서경배</v>
      </c>
      <c r="E35" s="63" t="str">
        <f ca="1">IF(VLOOKUP($B35,'1. 현장별 인원현황'!$C:$J,4,0)=0,"",VLOOKUP($B35,'1. 현장별 인원현황'!$C:$J,4,0))</f>
        <v>62세</v>
      </c>
      <c r="F35" s="63" t="str">
        <f>IF(VLOOKUP($B35,'1. 현장별 인원현황'!$C:$J,7,0)=0,"",VLOOKUP($B35,'1. 현장별 인원현황'!$C:$J,7,0))</f>
        <v>기능공</v>
      </c>
      <c r="G35" s="63" t="str">
        <f>IF(VLOOKUP($B35,'1. 현장별 인원현황'!$C:$J,8,0)=0,"",VLOOKUP($B35,'1. 현장별 인원현황'!$C:$J,8,0))</f>
        <v>전공</v>
      </c>
      <c r="H35" s="67" t="s">
        <v>69</v>
      </c>
      <c r="I35" s="73"/>
      <c r="J35" s="73"/>
      <c r="K35" s="68"/>
      <c r="L35" s="67" t="s">
        <v>69</v>
      </c>
      <c r="M35" s="73"/>
      <c r="N35" s="73"/>
      <c r="O35" s="68"/>
      <c r="P35" s="67" t="s">
        <v>69</v>
      </c>
      <c r="Q35" s="73"/>
      <c r="R35" s="73"/>
      <c r="S35" s="68"/>
      <c r="T35" s="67" t="s">
        <v>69</v>
      </c>
      <c r="U35" s="73"/>
      <c r="V35" s="73"/>
      <c r="W35" s="68"/>
      <c r="X35" s="67" t="s">
        <v>69</v>
      </c>
      <c r="Y35" s="73"/>
      <c r="Z35" s="73"/>
      <c r="AA35" s="68"/>
      <c r="AB35" s="67" t="s">
        <v>69</v>
      </c>
      <c r="AC35" s="73"/>
      <c r="AD35" s="73"/>
      <c r="AE35" s="68"/>
      <c r="AF35" s="67" t="s">
        <v>69</v>
      </c>
      <c r="AG35" s="73"/>
      <c r="AH35" s="73"/>
      <c r="AI35" s="68"/>
      <c r="AJ35" s="67" t="s">
        <v>69</v>
      </c>
      <c r="AK35" s="73"/>
      <c r="AL35" s="73"/>
      <c r="AM35" s="68"/>
      <c r="AN35" s="67">
        <f t="shared" si="2"/>
        <v>100</v>
      </c>
      <c r="AO35" s="68" t="str">
        <f t="shared" si="3"/>
        <v>S</v>
      </c>
      <c r="AR35" s="49">
        <f t="shared" si="5"/>
        <v>1</v>
      </c>
      <c r="AS35" s="49">
        <f t="shared" si="6"/>
        <v>0</v>
      </c>
      <c r="AT35" s="49">
        <f t="shared" si="7"/>
        <v>0</v>
      </c>
      <c r="AU35" s="49">
        <f t="shared" si="8"/>
        <v>0</v>
      </c>
      <c r="AV35" s="49">
        <f t="shared" si="9"/>
        <v>1</v>
      </c>
      <c r="AW35" s="49">
        <f t="shared" si="10"/>
        <v>0</v>
      </c>
      <c r="AX35" s="49">
        <f t="shared" si="11"/>
        <v>0</v>
      </c>
      <c r="AY35" s="49">
        <f t="shared" si="12"/>
        <v>0</v>
      </c>
      <c r="AZ35" s="49">
        <f t="shared" si="13"/>
        <v>1</v>
      </c>
      <c r="BA35" s="49">
        <f t="shared" si="14"/>
        <v>0</v>
      </c>
      <c r="BB35" s="49">
        <f t="shared" si="15"/>
        <v>0</v>
      </c>
      <c r="BC35" s="49">
        <f t="shared" si="16"/>
        <v>0</v>
      </c>
      <c r="BD35" s="49">
        <f t="shared" si="17"/>
        <v>1</v>
      </c>
      <c r="BE35" s="49">
        <f t="shared" si="18"/>
        <v>0</v>
      </c>
      <c r="BF35" s="49">
        <f t="shared" si="19"/>
        <v>0</v>
      </c>
      <c r="BG35" s="49">
        <f t="shared" si="20"/>
        <v>0</v>
      </c>
      <c r="BH35" s="49">
        <f t="shared" si="21"/>
        <v>1</v>
      </c>
      <c r="BI35" s="49">
        <f t="shared" si="22"/>
        <v>0</v>
      </c>
      <c r="BJ35" s="49">
        <f t="shared" si="23"/>
        <v>0</v>
      </c>
      <c r="BK35" s="49">
        <f t="shared" si="24"/>
        <v>0</v>
      </c>
      <c r="BL35" s="49">
        <f t="shared" si="25"/>
        <v>1</v>
      </c>
      <c r="BM35" s="49">
        <f t="shared" si="26"/>
        <v>0</v>
      </c>
      <c r="BN35" s="49">
        <f t="shared" si="27"/>
        <v>0</v>
      </c>
      <c r="BO35" s="49">
        <f t="shared" si="28"/>
        <v>0</v>
      </c>
      <c r="BP35" s="49">
        <f t="shared" si="29"/>
        <v>1</v>
      </c>
      <c r="BQ35" s="49">
        <f t="shared" si="30"/>
        <v>0</v>
      </c>
      <c r="BR35" s="49">
        <f t="shared" si="31"/>
        <v>0</v>
      </c>
      <c r="BS35" s="49">
        <f t="shared" si="32"/>
        <v>0</v>
      </c>
      <c r="BT35" s="49">
        <f t="shared" si="33"/>
        <v>1</v>
      </c>
      <c r="BU35" s="49">
        <f t="shared" si="34"/>
        <v>0</v>
      </c>
      <c r="BV35" s="49">
        <f t="shared" si="35"/>
        <v>0</v>
      </c>
      <c r="BW35" s="49">
        <f t="shared" si="36"/>
        <v>0</v>
      </c>
    </row>
    <row r="36" spans="1:75" ht="35.1" customHeight="1" x14ac:dyDescent="0.3">
      <c r="A36" s="123" t="str">
        <f t="shared" si="0"/>
        <v>1팀</v>
      </c>
      <c r="B36" s="69">
        <f t="shared" si="1"/>
        <v>30</v>
      </c>
      <c r="C36" s="121" t="str">
        <f>IF(VLOOKUP($B36,'1. 현장별 인원현황'!$C:$J,2,0)=0,"",VLOOKUP($B36,'1. 현장별 인원현황'!$C:$J,2,0))</f>
        <v xml:space="preserve"> [1.대우건설] 장위6구역 주택재개발 정비사업아파트 신축공사</v>
      </c>
      <c r="D36" s="71" t="str">
        <f>IF(VLOOKUP($B36,'1. 현장별 인원현황'!$C:$J,3,0)=0,"",VLOOKUP($B36,'1. 현장별 인원현황'!$C:$J,3,0))</f>
        <v>장대용</v>
      </c>
      <c r="E36" s="63" t="str">
        <f ca="1">IF(VLOOKUP($B36,'1. 현장별 인원현황'!$C:$J,4,0)=0,"",VLOOKUP($B36,'1. 현장별 인원현황'!$C:$J,4,0))</f>
        <v>42세</v>
      </c>
      <c r="F36" s="63" t="str">
        <f>IF(VLOOKUP($B36,'1. 현장별 인원현황'!$C:$J,7,0)=0,"",VLOOKUP($B36,'1. 현장별 인원현황'!$C:$J,7,0))</f>
        <v>기능공</v>
      </c>
      <c r="G36" s="63" t="str">
        <f>IF(VLOOKUP($B36,'1. 현장별 인원현황'!$C:$J,8,0)=0,"",VLOOKUP($B36,'1. 현장별 인원현황'!$C:$J,8,0))</f>
        <v>전공</v>
      </c>
      <c r="H36" s="67" t="s">
        <v>69</v>
      </c>
      <c r="I36" s="73"/>
      <c r="J36" s="73"/>
      <c r="K36" s="68"/>
      <c r="L36" s="67" t="s">
        <v>69</v>
      </c>
      <c r="M36" s="73"/>
      <c r="N36" s="73"/>
      <c r="O36" s="68"/>
      <c r="P36" s="67" t="s">
        <v>69</v>
      </c>
      <c r="Q36" s="73"/>
      <c r="R36" s="73"/>
      <c r="S36" s="68"/>
      <c r="T36" s="67" t="s">
        <v>69</v>
      </c>
      <c r="U36" s="73"/>
      <c r="V36" s="73"/>
      <c r="W36" s="68"/>
      <c r="X36" s="67"/>
      <c r="Y36" s="73" t="s">
        <v>69</v>
      </c>
      <c r="Z36" s="73"/>
      <c r="AA36" s="68"/>
      <c r="AB36" s="67"/>
      <c r="AC36" s="73" t="s">
        <v>69</v>
      </c>
      <c r="AD36" s="73"/>
      <c r="AE36" s="68"/>
      <c r="AF36" s="67"/>
      <c r="AG36" s="73" t="s">
        <v>69</v>
      </c>
      <c r="AH36" s="73"/>
      <c r="AI36" s="68"/>
      <c r="AJ36" s="67"/>
      <c r="AK36" s="73" t="s">
        <v>69</v>
      </c>
      <c r="AL36" s="73"/>
      <c r="AM36" s="68"/>
      <c r="AN36" s="67">
        <f t="shared" si="2"/>
        <v>88</v>
      </c>
      <c r="AO36" s="68" t="str">
        <f t="shared" si="3"/>
        <v>S</v>
      </c>
      <c r="AR36" s="49">
        <f t="shared" si="5"/>
        <v>1</v>
      </c>
      <c r="AS36" s="49">
        <f t="shared" si="6"/>
        <v>0</v>
      </c>
      <c r="AT36" s="49">
        <f t="shared" si="7"/>
        <v>0</v>
      </c>
      <c r="AU36" s="49">
        <f t="shared" si="8"/>
        <v>0</v>
      </c>
      <c r="AV36" s="49">
        <f t="shared" si="9"/>
        <v>1</v>
      </c>
      <c r="AW36" s="49">
        <f t="shared" si="10"/>
        <v>0</v>
      </c>
      <c r="AX36" s="49">
        <f t="shared" si="11"/>
        <v>0</v>
      </c>
      <c r="AY36" s="49">
        <f t="shared" si="12"/>
        <v>0</v>
      </c>
      <c r="AZ36" s="49">
        <f t="shared" si="13"/>
        <v>1</v>
      </c>
      <c r="BA36" s="49">
        <f t="shared" si="14"/>
        <v>0</v>
      </c>
      <c r="BB36" s="49">
        <f t="shared" si="15"/>
        <v>0</v>
      </c>
      <c r="BC36" s="49">
        <f t="shared" si="16"/>
        <v>0</v>
      </c>
      <c r="BD36" s="49">
        <f t="shared" si="17"/>
        <v>1</v>
      </c>
      <c r="BE36" s="49">
        <f t="shared" si="18"/>
        <v>0</v>
      </c>
      <c r="BF36" s="49">
        <f t="shared" si="19"/>
        <v>0</v>
      </c>
      <c r="BG36" s="49">
        <f t="shared" si="20"/>
        <v>0</v>
      </c>
      <c r="BH36" s="49">
        <f t="shared" si="21"/>
        <v>0</v>
      </c>
      <c r="BI36" s="49">
        <f t="shared" si="22"/>
        <v>1</v>
      </c>
      <c r="BJ36" s="49">
        <f t="shared" si="23"/>
        <v>0</v>
      </c>
      <c r="BK36" s="49">
        <f t="shared" si="24"/>
        <v>0</v>
      </c>
      <c r="BL36" s="49">
        <f t="shared" si="25"/>
        <v>0</v>
      </c>
      <c r="BM36" s="49">
        <f t="shared" si="26"/>
        <v>1</v>
      </c>
      <c r="BN36" s="49">
        <f t="shared" si="27"/>
        <v>0</v>
      </c>
      <c r="BO36" s="49">
        <f t="shared" si="28"/>
        <v>0</v>
      </c>
      <c r="BP36" s="49">
        <f t="shared" si="29"/>
        <v>0</v>
      </c>
      <c r="BQ36" s="49">
        <f t="shared" si="30"/>
        <v>1</v>
      </c>
      <c r="BR36" s="49">
        <f t="shared" si="31"/>
        <v>0</v>
      </c>
      <c r="BS36" s="49">
        <f t="shared" si="32"/>
        <v>0</v>
      </c>
      <c r="BT36" s="49">
        <f t="shared" si="33"/>
        <v>0</v>
      </c>
      <c r="BU36" s="49">
        <f t="shared" si="34"/>
        <v>1</v>
      </c>
      <c r="BV36" s="49">
        <f t="shared" si="35"/>
        <v>0</v>
      </c>
      <c r="BW36" s="49">
        <f t="shared" si="36"/>
        <v>0</v>
      </c>
    </row>
    <row r="37" spans="1:75" ht="35.1" customHeight="1" x14ac:dyDescent="0.3">
      <c r="A37" s="123" t="str">
        <f t="shared" si="0"/>
        <v>1팀</v>
      </c>
      <c r="B37" s="69">
        <f t="shared" si="1"/>
        <v>31</v>
      </c>
      <c r="C37" s="121" t="str">
        <f>IF(VLOOKUP($B37,'1. 현장별 인원현황'!$C:$J,2,0)=0,"",VLOOKUP($B37,'1. 현장별 인원현황'!$C:$J,2,0))</f>
        <v xml:space="preserve"> [1.대우건설] 장위6구역 주택재개발 정비사업아파트 신축공사</v>
      </c>
      <c r="D37" s="74" t="str">
        <f>IF(VLOOKUP($B37,'1. 현장별 인원현황'!$C:$J,3,0)=0,"",VLOOKUP($B37,'1. 현장별 인원현황'!$C:$J,3,0))</f>
        <v>석준수</v>
      </c>
      <c r="E37" s="63" t="str">
        <f ca="1">IF(VLOOKUP($B37,'1. 현장별 인원현황'!$C:$J,4,0)=0,"",VLOOKUP($B37,'1. 현장별 인원현황'!$C:$J,4,0))</f>
        <v>50세</v>
      </c>
      <c r="F37" s="63" t="str">
        <f>IF(VLOOKUP($B37,'1. 현장별 인원현황'!$C:$J,7,0)=0,"",VLOOKUP($B37,'1. 현장별 인원현황'!$C:$J,7,0))</f>
        <v>기능공</v>
      </c>
      <c r="G37" s="63" t="str">
        <f>IF(VLOOKUP($B37,'1. 현장별 인원현황'!$C:$J,8,0)=0,"",VLOOKUP($B37,'1. 현장별 인원현황'!$C:$J,8,0))</f>
        <v>전공</v>
      </c>
      <c r="H37" s="67" t="s">
        <v>69</v>
      </c>
      <c r="I37" s="73"/>
      <c r="J37" s="73"/>
      <c r="K37" s="68"/>
      <c r="L37" s="67" t="s">
        <v>69</v>
      </c>
      <c r="M37" s="73"/>
      <c r="N37" s="73"/>
      <c r="O37" s="68"/>
      <c r="P37" s="67"/>
      <c r="Q37" s="73" t="s">
        <v>69</v>
      </c>
      <c r="R37" s="73"/>
      <c r="S37" s="68"/>
      <c r="T37" s="67" t="s">
        <v>69</v>
      </c>
      <c r="U37" s="73"/>
      <c r="V37" s="73"/>
      <c r="W37" s="68"/>
      <c r="X37" s="67"/>
      <c r="Y37" s="73" t="s">
        <v>69</v>
      </c>
      <c r="Z37" s="73"/>
      <c r="AA37" s="68"/>
      <c r="AB37" s="67"/>
      <c r="AC37" s="73" t="s">
        <v>69</v>
      </c>
      <c r="AD37" s="73"/>
      <c r="AE37" s="68"/>
      <c r="AF37" s="67" t="s">
        <v>69</v>
      </c>
      <c r="AG37" s="73"/>
      <c r="AH37" s="73"/>
      <c r="AI37" s="68"/>
      <c r="AJ37" s="67" t="s">
        <v>69</v>
      </c>
      <c r="AK37" s="73"/>
      <c r="AL37" s="73"/>
      <c r="AM37" s="68"/>
      <c r="AN37" s="67">
        <f t="shared" si="2"/>
        <v>90</v>
      </c>
      <c r="AO37" s="68" t="str">
        <f t="shared" si="3"/>
        <v>S</v>
      </c>
      <c r="AR37" s="49">
        <f t="shared" si="5"/>
        <v>1</v>
      </c>
      <c r="AS37" s="49">
        <f t="shared" si="6"/>
        <v>0</v>
      </c>
      <c r="AT37" s="49">
        <f t="shared" si="7"/>
        <v>0</v>
      </c>
      <c r="AU37" s="49">
        <f t="shared" si="8"/>
        <v>0</v>
      </c>
      <c r="AV37" s="49">
        <f t="shared" si="9"/>
        <v>1</v>
      </c>
      <c r="AW37" s="49">
        <f t="shared" si="10"/>
        <v>0</v>
      </c>
      <c r="AX37" s="49">
        <f t="shared" si="11"/>
        <v>0</v>
      </c>
      <c r="AY37" s="49">
        <f t="shared" si="12"/>
        <v>0</v>
      </c>
      <c r="AZ37" s="49">
        <f t="shared" si="13"/>
        <v>0</v>
      </c>
      <c r="BA37" s="49">
        <f t="shared" si="14"/>
        <v>1</v>
      </c>
      <c r="BB37" s="49">
        <f t="shared" si="15"/>
        <v>0</v>
      </c>
      <c r="BC37" s="49">
        <f t="shared" si="16"/>
        <v>0</v>
      </c>
      <c r="BD37" s="49">
        <f t="shared" si="17"/>
        <v>1</v>
      </c>
      <c r="BE37" s="49">
        <f t="shared" si="18"/>
        <v>0</v>
      </c>
      <c r="BF37" s="49">
        <f t="shared" si="19"/>
        <v>0</v>
      </c>
      <c r="BG37" s="49">
        <f t="shared" si="20"/>
        <v>0</v>
      </c>
      <c r="BH37" s="49">
        <f t="shared" si="21"/>
        <v>0</v>
      </c>
      <c r="BI37" s="49">
        <f t="shared" si="22"/>
        <v>1</v>
      </c>
      <c r="BJ37" s="49">
        <f t="shared" si="23"/>
        <v>0</v>
      </c>
      <c r="BK37" s="49">
        <f t="shared" si="24"/>
        <v>0</v>
      </c>
      <c r="BL37" s="49">
        <f t="shared" si="25"/>
        <v>0</v>
      </c>
      <c r="BM37" s="49">
        <f t="shared" si="26"/>
        <v>1</v>
      </c>
      <c r="BN37" s="49">
        <f t="shared" si="27"/>
        <v>0</v>
      </c>
      <c r="BO37" s="49">
        <f t="shared" si="28"/>
        <v>0</v>
      </c>
      <c r="BP37" s="49">
        <f t="shared" si="29"/>
        <v>1</v>
      </c>
      <c r="BQ37" s="49">
        <f t="shared" si="30"/>
        <v>0</v>
      </c>
      <c r="BR37" s="49">
        <f t="shared" si="31"/>
        <v>0</v>
      </c>
      <c r="BS37" s="49">
        <f t="shared" si="32"/>
        <v>0</v>
      </c>
      <c r="BT37" s="49">
        <f t="shared" si="33"/>
        <v>1</v>
      </c>
      <c r="BU37" s="49">
        <f t="shared" si="34"/>
        <v>0</v>
      </c>
      <c r="BV37" s="49">
        <f t="shared" si="35"/>
        <v>0</v>
      </c>
      <c r="BW37" s="49">
        <f t="shared" si="36"/>
        <v>0</v>
      </c>
    </row>
    <row r="38" spans="1:75" ht="35.1" customHeight="1" x14ac:dyDescent="0.3">
      <c r="A38" s="123" t="str">
        <f t="shared" si="0"/>
        <v>1팀</v>
      </c>
      <c r="B38" s="69">
        <f t="shared" si="1"/>
        <v>32</v>
      </c>
      <c r="C38" s="121" t="str">
        <f>IF(VLOOKUP($B38,'1. 현장별 인원현황'!$C:$J,2,0)=0,"",VLOOKUP($B38,'1. 현장별 인원현황'!$C:$J,2,0))</f>
        <v xml:space="preserve"> [1.대우건설] 장위6구역 주택재개발 정비사업아파트 신축공사</v>
      </c>
      <c r="D38" s="74" t="str">
        <f>IF(VLOOKUP($B38,'1. 현장별 인원현황'!$C:$J,3,0)=0,"",VLOOKUP($B38,'1. 현장별 인원현황'!$C:$J,3,0))</f>
        <v>배기정</v>
      </c>
      <c r="E38" s="63" t="str">
        <f ca="1">IF(VLOOKUP($B38,'1. 현장별 인원현황'!$C:$J,4,0)=0,"",VLOOKUP($B38,'1. 현장별 인원현황'!$C:$J,4,0))</f>
        <v>32세</v>
      </c>
      <c r="F38" s="63" t="str">
        <f>IF(VLOOKUP($B38,'1. 현장별 인원현황'!$C:$J,7,0)=0,"",VLOOKUP($B38,'1. 현장별 인원현황'!$C:$J,7,0))</f>
        <v>기능공</v>
      </c>
      <c r="G38" s="63" t="str">
        <f>IF(VLOOKUP($B38,'1. 현장별 인원현황'!$C:$J,8,0)=0,"",VLOOKUP($B38,'1. 현장별 인원현황'!$C:$J,8,0))</f>
        <v>조공</v>
      </c>
      <c r="H38" s="67"/>
      <c r="I38" s="73" t="s">
        <v>69</v>
      </c>
      <c r="J38" s="73"/>
      <c r="K38" s="68"/>
      <c r="L38" s="67"/>
      <c r="M38" s="73" t="s">
        <v>69</v>
      </c>
      <c r="N38" s="73"/>
      <c r="O38" s="68"/>
      <c r="P38" s="67"/>
      <c r="Q38" s="73" t="s">
        <v>69</v>
      </c>
      <c r="R38" s="73"/>
      <c r="S38" s="68"/>
      <c r="T38" s="67"/>
      <c r="U38" s="73" t="s">
        <v>69</v>
      </c>
      <c r="V38" s="73"/>
      <c r="W38" s="68"/>
      <c r="X38" s="67"/>
      <c r="Y38" s="73" t="s">
        <v>69</v>
      </c>
      <c r="Z38" s="73"/>
      <c r="AA38" s="68"/>
      <c r="AB38" s="67"/>
      <c r="AC38" s="73" t="s">
        <v>69</v>
      </c>
      <c r="AD38" s="73"/>
      <c r="AE38" s="68"/>
      <c r="AF38" s="67" t="s">
        <v>69</v>
      </c>
      <c r="AG38" s="73"/>
      <c r="AH38" s="73"/>
      <c r="AI38" s="68"/>
      <c r="AJ38" s="67" t="s">
        <v>69</v>
      </c>
      <c r="AK38" s="73"/>
      <c r="AL38" s="73"/>
      <c r="AM38" s="68"/>
      <c r="AN38" s="67">
        <f t="shared" si="2"/>
        <v>78</v>
      </c>
      <c r="AO38" s="68" t="str">
        <f t="shared" si="3"/>
        <v>A</v>
      </c>
      <c r="AR38" s="49">
        <f t="shared" si="5"/>
        <v>0</v>
      </c>
      <c r="AS38" s="49">
        <f t="shared" si="6"/>
        <v>1</v>
      </c>
      <c r="AT38" s="49">
        <f t="shared" si="7"/>
        <v>0</v>
      </c>
      <c r="AU38" s="49">
        <f t="shared" si="8"/>
        <v>0</v>
      </c>
      <c r="AV38" s="49">
        <f t="shared" si="9"/>
        <v>0</v>
      </c>
      <c r="AW38" s="49">
        <f t="shared" si="10"/>
        <v>1</v>
      </c>
      <c r="AX38" s="49">
        <f t="shared" si="11"/>
        <v>0</v>
      </c>
      <c r="AY38" s="49">
        <f t="shared" si="12"/>
        <v>0</v>
      </c>
      <c r="AZ38" s="49">
        <f t="shared" si="13"/>
        <v>0</v>
      </c>
      <c r="BA38" s="49">
        <f t="shared" si="14"/>
        <v>1</v>
      </c>
      <c r="BB38" s="49">
        <f t="shared" si="15"/>
        <v>0</v>
      </c>
      <c r="BC38" s="49">
        <f t="shared" si="16"/>
        <v>0</v>
      </c>
      <c r="BD38" s="49">
        <f t="shared" si="17"/>
        <v>0</v>
      </c>
      <c r="BE38" s="49">
        <f t="shared" si="18"/>
        <v>1</v>
      </c>
      <c r="BF38" s="49">
        <f t="shared" si="19"/>
        <v>0</v>
      </c>
      <c r="BG38" s="49">
        <f t="shared" si="20"/>
        <v>0</v>
      </c>
      <c r="BH38" s="49">
        <f t="shared" si="21"/>
        <v>0</v>
      </c>
      <c r="BI38" s="49">
        <f t="shared" si="22"/>
        <v>1</v>
      </c>
      <c r="BJ38" s="49">
        <f t="shared" si="23"/>
        <v>0</v>
      </c>
      <c r="BK38" s="49">
        <f t="shared" si="24"/>
        <v>0</v>
      </c>
      <c r="BL38" s="49">
        <f t="shared" si="25"/>
        <v>0</v>
      </c>
      <c r="BM38" s="49">
        <f t="shared" si="26"/>
        <v>1</v>
      </c>
      <c r="BN38" s="49">
        <f t="shared" si="27"/>
        <v>0</v>
      </c>
      <c r="BO38" s="49">
        <f t="shared" si="28"/>
        <v>0</v>
      </c>
      <c r="BP38" s="49">
        <f t="shared" si="29"/>
        <v>1</v>
      </c>
      <c r="BQ38" s="49">
        <f t="shared" si="30"/>
        <v>0</v>
      </c>
      <c r="BR38" s="49">
        <f t="shared" si="31"/>
        <v>0</v>
      </c>
      <c r="BS38" s="49">
        <f t="shared" si="32"/>
        <v>0</v>
      </c>
      <c r="BT38" s="49">
        <f t="shared" si="33"/>
        <v>1</v>
      </c>
      <c r="BU38" s="49">
        <f t="shared" si="34"/>
        <v>0</v>
      </c>
      <c r="BV38" s="49">
        <f t="shared" si="35"/>
        <v>0</v>
      </c>
      <c r="BW38" s="49">
        <f t="shared" si="36"/>
        <v>0</v>
      </c>
    </row>
    <row r="39" spans="1:75" ht="35.1" customHeight="1" x14ac:dyDescent="0.3">
      <c r="A39" s="123" t="str">
        <f t="shared" si="0"/>
        <v>1팀</v>
      </c>
      <c r="B39" s="69">
        <f t="shared" si="1"/>
        <v>33</v>
      </c>
      <c r="C39" s="121" t="str">
        <f>IF(VLOOKUP($B39,'1. 현장별 인원현황'!$C:$J,2,0)=0,"",VLOOKUP($B39,'1. 현장별 인원현황'!$C:$J,2,0))</f>
        <v xml:space="preserve"> [1.대우건설] 장위6구역 주택재개발 정비사업아파트 신축공사</v>
      </c>
      <c r="D39" s="74" t="str">
        <f>IF(VLOOKUP($B39,'1. 현장별 인원현황'!$C:$J,3,0)=0,"",VLOOKUP($B39,'1. 현장별 인원현황'!$C:$J,3,0))</f>
        <v>김기현</v>
      </c>
      <c r="E39" s="63" t="str">
        <f ca="1">IF(VLOOKUP($B39,'1. 현장별 인원현황'!$C:$J,4,0)=0,"",VLOOKUP($B39,'1. 현장별 인원현황'!$C:$J,4,0))</f>
        <v>55세</v>
      </c>
      <c r="F39" s="63" t="str">
        <f>IF(VLOOKUP($B39,'1. 현장별 인원현황'!$C:$J,7,0)=0,"",VLOOKUP($B39,'1. 현장별 인원현황'!$C:$J,7,0))</f>
        <v>기능공</v>
      </c>
      <c r="G39" s="63" t="str">
        <f>IF(VLOOKUP($B39,'1. 현장별 인원현황'!$C:$J,8,0)=0,"",VLOOKUP($B39,'1. 현장별 인원현황'!$C:$J,8,0))</f>
        <v>전공</v>
      </c>
      <c r="H39" s="67" t="s">
        <v>69</v>
      </c>
      <c r="I39" s="73"/>
      <c r="J39" s="73"/>
      <c r="K39" s="68"/>
      <c r="L39" s="67" t="s">
        <v>69</v>
      </c>
      <c r="M39" s="73"/>
      <c r="N39" s="73"/>
      <c r="O39" s="68"/>
      <c r="P39" s="67" t="s">
        <v>69</v>
      </c>
      <c r="Q39" s="73"/>
      <c r="R39" s="73"/>
      <c r="S39" s="68"/>
      <c r="T39" s="67"/>
      <c r="U39" s="73" t="s">
        <v>69</v>
      </c>
      <c r="V39" s="73"/>
      <c r="W39" s="68"/>
      <c r="X39" s="67"/>
      <c r="Y39" s="73" t="s">
        <v>69</v>
      </c>
      <c r="Z39" s="73"/>
      <c r="AA39" s="68"/>
      <c r="AB39" s="67" t="s">
        <v>69</v>
      </c>
      <c r="AC39" s="73"/>
      <c r="AD39" s="73"/>
      <c r="AE39" s="68"/>
      <c r="AF39" s="67" t="s">
        <v>69</v>
      </c>
      <c r="AG39" s="73"/>
      <c r="AH39" s="73"/>
      <c r="AI39" s="68"/>
      <c r="AJ39" s="67" t="s">
        <v>69</v>
      </c>
      <c r="AK39" s="73"/>
      <c r="AL39" s="73"/>
      <c r="AM39" s="68"/>
      <c r="AN39" s="67">
        <f t="shared" si="2"/>
        <v>92</v>
      </c>
      <c r="AO39" s="68" t="str">
        <f t="shared" si="3"/>
        <v>S</v>
      </c>
      <c r="AR39" s="49">
        <f t="shared" si="5"/>
        <v>1</v>
      </c>
      <c r="AS39" s="49">
        <f t="shared" si="6"/>
        <v>0</v>
      </c>
      <c r="AT39" s="49">
        <f t="shared" si="7"/>
        <v>0</v>
      </c>
      <c r="AU39" s="49">
        <f t="shared" si="8"/>
        <v>0</v>
      </c>
      <c r="AV39" s="49">
        <f t="shared" si="9"/>
        <v>1</v>
      </c>
      <c r="AW39" s="49">
        <f t="shared" si="10"/>
        <v>0</v>
      </c>
      <c r="AX39" s="49">
        <f t="shared" si="11"/>
        <v>0</v>
      </c>
      <c r="AY39" s="49">
        <f t="shared" si="12"/>
        <v>0</v>
      </c>
      <c r="AZ39" s="49">
        <f t="shared" si="13"/>
        <v>1</v>
      </c>
      <c r="BA39" s="49">
        <f t="shared" si="14"/>
        <v>0</v>
      </c>
      <c r="BB39" s="49">
        <f t="shared" si="15"/>
        <v>0</v>
      </c>
      <c r="BC39" s="49">
        <f t="shared" si="16"/>
        <v>0</v>
      </c>
      <c r="BD39" s="49">
        <f t="shared" si="17"/>
        <v>0</v>
      </c>
      <c r="BE39" s="49">
        <f t="shared" si="18"/>
        <v>1</v>
      </c>
      <c r="BF39" s="49">
        <f t="shared" si="19"/>
        <v>0</v>
      </c>
      <c r="BG39" s="49">
        <f t="shared" si="20"/>
        <v>0</v>
      </c>
      <c r="BH39" s="49">
        <f t="shared" si="21"/>
        <v>0</v>
      </c>
      <c r="BI39" s="49">
        <f t="shared" si="22"/>
        <v>1</v>
      </c>
      <c r="BJ39" s="49">
        <f t="shared" si="23"/>
        <v>0</v>
      </c>
      <c r="BK39" s="49">
        <f t="shared" si="24"/>
        <v>0</v>
      </c>
      <c r="BL39" s="49">
        <f t="shared" si="25"/>
        <v>1</v>
      </c>
      <c r="BM39" s="49">
        <f t="shared" si="26"/>
        <v>0</v>
      </c>
      <c r="BN39" s="49">
        <f t="shared" si="27"/>
        <v>0</v>
      </c>
      <c r="BO39" s="49">
        <f t="shared" si="28"/>
        <v>0</v>
      </c>
      <c r="BP39" s="49">
        <f t="shared" si="29"/>
        <v>1</v>
      </c>
      <c r="BQ39" s="49">
        <f t="shared" si="30"/>
        <v>0</v>
      </c>
      <c r="BR39" s="49">
        <f t="shared" si="31"/>
        <v>0</v>
      </c>
      <c r="BS39" s="49">
        <f t="shared" si="32"/>
        <v>0</v>
      </c>
      <c r="BT39" s="49">
        <f t="shared" si="33"/>
        <v>1</v>
      </c>
      <c r="BU39" s="49">
        <f t="shared" si="34"/>
        <v>0</v>
      </c>
      <c r="BV39" s="49">
        <f t="shared" si="35"/>
        <v>0</v>
      </c>
      <c r="BW39" s="49">
        <f t="shared" si="36"/>
        <v>0</v>
      </c>
    </row>
    <row r="40" spans="1:75" ht="35.1" customHeight="1" x14ac:dyDescent="0.3">
      <c r="A40" s="123" t="str">
        <f t="shared" si="0"/>
        <v>1팀</v>
      </c>
      <c r="B40" s="69">
        <f t="shared" si="1"/>
        <v>34</v>
      </c>
      <c r="C40" s="121" t="str">
        <f>IF(VLOOKUP($B40,'1. 현장별 인원현황'!$C:$J,2,0)=0,"",VLOOKUP($B40,'1. 현장별 인원현황'!$C:$J,2,0))</f>
        <v xml:space="preserve"> [1.대우건설] 장위6구역 주택재개발 정비사업아파트 신축공사</v>
      </c>
      <c r="D40" s="74" t="str">
        <f>IF(VLOOKUP($B40,'1. 현장별 인원현황'!$C:$J,3,0)=0,"",VLOOKUP($B40,'1. 현장별 인원현황'!$C:$J,3,0))</f>
        <v>문원규</v>
      </c>
      <c r="E40" s="63" t="str">
        <f ca="1">IF(VLOOKUP($B40,'1. 현장별 인원현황'!$C:$J,4,0)=0,"",VLOOKUP($B40,'1. 현장별 인원현황'!$C:$J,4,0))</f>
        <v>35세</v>
      </c>
      <c r="F40" s="63" t="str">
        <f>IF(VLOOKUP($B40,'1. 현장별 인원현황'!$C:$J,7,0)=0,"",VLOOKUP($B40,'1. 현장별 인원현황'!$C:$J,7,0))</f>
        <v>기능공</v>
      </c>
      <c r="G40" s="63" t="str">
        <f>IF(VLOOKUP($B40,'1. 현장별 인원현황'!$C:$J,8,0)=0,"",VLOOKUP($B40,'1. 현장별 인원현황'!$C:$J,8,0))</f>
        <v>조공</v>
      </c>
      <c r="H40" s="67" t="s">
        <v>69</v>
      </c>
      <c r="I40" s="73"/>
      <c r="J40" s="73"/>
      <c r="K40" s="68"/>
      <c r="L40" s="67" t="s">
        <v>2885</v>
      </c>
      <c r="M40" s="73"/>
      <c r="N40" s="73"/>
      <c r="O40" s="68"/>
      <c r="P40" s="67" t="s">
        <v>69</v>
      </c>
      <c r="Q40" s="73"/>
      <c r="R40" s="73"/>
      <c r="S40" s="68"/>
      <c r="T40" s="67" t="s">
        <v>69</v>
      </c>
      <c r="U40" s="73"/>
      <c r="V40" s="73"/>
      <c r="W40" s="68"/>
      <c r="X40" s="67" t="s">
        <v>69</v>
      </c>
      <c r="Y40" s="73"/>
      <c r="Z40" s="73"/>
      <c r="AA40" s="68"/>
      <c r="AB40" s="67" t="s">
        <v>69</v>
      </c>
      <c r="AC40" s="73"/>
      <c r="AD40" s="73"/>
      <c r="AE40" s="68"/>
      <c r="AF40" s="67" t="s">
        <v>69</v>
      </c>
      <c r="AG40" s="73"/>
      <c r="AH40" s="73"/>
      <c r="AI40" s="68"/>
      <c r="AJ40" s="67" t="s">
        <v>69</v>
      </c>
      <c r="AK40" s="73"/>
      <c r="AL40" s="73"/>
      <c r="AM40" s="68"/>
      <c r="AN40" s="67">
        <f t="shared" si="2"/>
        <v>100</v>
      </c>
      <c r="AO40" s="68" t="str">
        <f t="shared" si="3"/>
        <v>S</v>
      </c>
      <c r="AR40" s="49">
        <f t="shared" si="5"/>
        <v>1</v>
      </c>
      <c r="AS40" s="49">
        <f t="shared" si="6"/>
        <v>0</v>
      </c>
      <c r="AT40" s="49">
        <f t="shared" si="7"/>
        <v>0</v>
      </c>
      <c r="AU40" s="49">
        <f t="shared" si="8"/>
        <v>0</v>
      </c>
      <c r="AV40" s="49">
        <f t="shared" si="9"/>
        <v>1</v>
      </c>
      <c r="AW40" s="49">
        <f t="shared" si="10"/>
        <v>0</v>
      </c>
      <c r="AX40" s="49">
        <f t="shared" si="11"/>
        <v>0</v>
      </c>
      <c r="AY40" s="49">
        <f t="shared" si="12"/>
        <v>0</v>
      </c>
      <c r="AZ40" s="49">
        <f t="shared" si="13"/>
        <v>1</v>
      </c>
      <c r="BA40" s="49">
        <f t="shared" si="14"/>
        <v>0</v>
      </c>
      <c r="BB40" s="49">
        <f t="shared" si="15"/>
        <v>0</v>
      </c>
      <c r="BC40" s="49">
        <f t="shared" si="16"/>
        <v>0</v>
      </c>
      <c r="BD40" s="49">
        <f t="shared" si="17"/>
        <v>1</v>
      </c>
      <c r="BE40" s="49">
        <f t="shared" si="18"/>
        <v>0</v>
      </c>
      <c r="BF40" s="49">
        <f t="shared" si="19"/>
        <v>0</v>
      </c>
      <c r="BG40" s="49">
        <f t="shared" si="20"/>
        <v>0</v>
      </c>
      <c r="BH40" s="49">
        <f t="shared" si="21"/>
        <v>1</v>
      </c>
      <c r="BI40" s="49">
        <f t="shared" si="22"/>
        <v>0</v>
      </c>
      <c r="BJ40" s="49">
        <f t="shared" si="23"/>
        <v>0</v>
      </c>
      <c r="BK40" s="49">
        <f t="shared" si="24"/>
        <v>0</v>
      </c>
      <c r="BL40" s="49">
        <f t="shared" si="25"/>
        <v>1</v>
      </c>
      <c r="BM40" s="49">
        <f t="shared" si="26"/>
        <v>0</v>
      </c>
      <c r="BN40" s="49">
        <f t="shared" si="27"/>
        <v>0</v>
      </c>
      <c r="BO40" s="49">
        <f t="shared" si="28"/>
        <v>0</v>
      </c>
      <c r="BP40" s="49">
        <f t="shared" si="29"/>
        <v>1</v>
      </c>
      <c r="BQ40" s="49">
        <f t="shared" si="30"/>
        <v>0</v>
      </c>
      <c r="BR40" s="49">
        <f t="shared" si="31"/>
        <v>0</v>
      </c>
      <c r="BS40" s="49">
        <f t="shared" si="32"/>
        <v>0</v>
      </c>
      <c r="BT40" s="49">
        <f t="shared" si="33"/>
        <v>1</v>
      </c>
      <c r="BU40" s="49">
        <f t="shared" si="34"/>
        <v>0</v>
      </c>
      <c r="BV40" s="49">
        <f t="shared" si="35"/>
        <v>0</v>
      </c>
      <c r="BW40" s="49">
        <f t="shared" si="36"/>
        <v>0</v>
      </c>
    </row>
    <row r="41" spans="1:75" ht="35.1" customHeight="1" x14ac:dyDescent="0.3">
      <c r="A41" s="123" t="str">
        <f t="shared" si="0"/>
        <v>1팀</v>
      </c>
      <c r="B41" s="69">
        <f t="shared" si="1"/>
        <v>35</v>
      </c>
      <c r="C41" s="121" t="str">
        <f>IF(VLOOKUP($B41,'1. 현장별 인원현황'!$C:$J,2,0)=0,"",VLOOKUP($B41,'1. 현장별 인원현황'!$C:$J,2,0))</f>
        <v xml:space="preserve"> [1.대우건설] 청라C18BL 오피스텔 신축공사</v>
      </c>
      <c r="D41" s="74" t="str">
        <f>IF(VLOOKUP($B41,'1. 현장별 인원현황'!$C:$J,3,0)=0,"",VLOOKUP($B41,'1. 현장별 인원현황'!$C:$J,3,0))</f>
        <v>양규성</v>
      </c>
      <c r="E41" s="63" t="str">
        <f ca="1">IF(VLOOKUP($B41,'1. 현장별 인원현황'!$C:$J,4,0)=0,"",VLOOKUP($B41,'1. 현장별 인원현황'!$C:$J,4,0))</f>
        <v>42세</v>
      </c>
      <c r="F41" s="63" t="str">
        <f>IF(VLOOKUP($B41,'1. 현장별 인원현황'!$C:$J,7,0)=0,"",VLOOKUP($B41,'1. 현장별 인원현황'!$C:$J,7,0))</f>
        <v>공무</v>
      </c>
      <c r="G41" s="63" t="str">
        <f>IF(VLOOKUP($B41,'1. 현장별 인원현황'!$C:$J,8,0)=0,"",VLOOKUP($B41,'1. 현장별 인원현황'!$C:$J,8,0))</f>
        <v>과장</v>
      </c>
      <c r="H41" s="67" t="s">
        <v>69</v>
      </c>
      <c r="I41" s="73"/>
      <c r="J41" s="73"/>
      <c r="K41" s="68"/>
      <c r="L41" s="67" t="s">
        <v>69</v>
      </c>
      <c r="M41" s="73"/>
      <c r="N41" s="73"/>
      <c r="O41" s="68"/>
      <c r="P41" s="67" t="s">
        <v>69</v>
      </c>
      <c r="Q41" s="73"/>
      <c r="R41" s="73"/>
      <c r="S41" s="68"/>
      <c r="T41" s="67" t="s">
        <v>69</v>
      </c>
      <c r="U41" s="73"/>
      <c r="V41" s="73"/>
      <c r="W41" s="68"/>
      <c r="X41" s="67" t="s">
        <v>69</v>
      </c>
      <c r="Y41" s="73"/>
      <c r="Z41" s="73"/>
      <c r="AA41" s="68"/>
      <c r="AB41" s="67" t="s">
        <v>69</v>
      </c>
      <c r="AC41" s="73"/>
      <c r="AD41" s="73"/>
      <c r="AE41" s="68"/>
      <c r="AF41" s="67" t="s">
        <v>69</v>
      </c>
      <c r="AG41" s="73"/>
      <c r="AH41" s="73"/>
      <c r="AI41" s="68"/>
      <c r="AJ41" s="67" t="s">
        <v>69</v>
      </c>
      <c r="AK41" s="73"/>
      <c r="AL41" s="73"/>
      <c r="AM41" s="68"/>
      <c r="AN41" s="67">
        <f t="shared" si="2"/>
        <v>100</v>
      </c>
      <c r="AO41" s="68" t="str">
        <f t="shared" si="3"/>
        <v>S</v>
      </c>
      <c r="AR41" s="49">
        <f t="shared" si="5"/>
        <v>1</v>
      </c>
      <c r="AS41" s="49">
        <f t="shared" si="6"/>
        <v>0</v>
      </c>
      <c r="AT41" s="49">
        <f t="shared" si="7"/>
        <v>0</v>
      </c>
      <c r="AU41" s="49">
        <f t="shared" si="8"/>
        <v>0</v>
      </c>
      <c r="AV41" s="49">
        <f t="shared" si="9"/>
        <v>1</v>
      </c>
      <c r="AW41" s="49">
        <f t="shared" si="10"/>
        <v>0</v>
      </c>
      <c r="AX41" s="49">
        <f t="shared" si="11"/>
        <v>0</v>
      </c>
      <c r="AY41" s="49">
        <f t="shared" si="12"/>
        <v>0</v>
      </c>
      <c r="AZ41" s="49">
        <f t="shared" si="13"/>
        <v>1</v>
      </c>
      <c r="BA41" s="49">
        <f t="shared" si="14"/>
        <v>0</v>
      </c>
      <c r="BB41" s="49">
        <f t="shared" si="15"/>
        <v>0</v>
      </c>
      <c r="BC41" s="49">
        <f t="shared" si="16"/>
        <v>0</v>
      </c>
      <c r="BD41" s="49">
        <f t="shared" si="17"/>
        <v>1</v>
      </c>
      <c r="BE41" s="49">
        <f t="shared" si="18"/>
        <v>0</v>
      </c>
      <c r="BF41" s="49">
        <f t="shared" si="19"/>
        <v>0</v>
      </c>
      <c r="BG41" s="49">
        <f t="shared" si="20"/>
        <v>0</v>
      </c>
      <c r="BH41" s="49">
        <f t="shared" si="21"/>
        <v>1</v>
      </c>
      <c r="BI41" s="49">
        <f t="shared" si="22"/>
        <v>0</v>
      </c>
      <c r="BJ41" s="49">
        <f t="shared" si="23"/>
        <v>0</v>
      </c>
      <c r="BK41" s="49">
        <f t="shared" si="24"/>
        <v>0</v>
      </c>
      <c r="BL41" s="49">
        <f t="shared" si="25"/>
        <v>1</v>
      </c>
      <c r="BM41" s="49">
        <f t="shared" si="26"/>
        <v>0</v>
      </c>
      <c r="BN41" s="49">
        <f t="shared" si="27"/>
        <v>0</v>
      </c>
      <c r="BO41" s="49">
        <f t="shared" si="28"/>
        <v>0</v>
      </c>
      <c r="BP41" s="49">
        <f t="shared" si="29"/>
        <v>1</v>
      </c>
      <c r="BQ41" s="49">
        <f t="shared" si="30"/>
        <v>0</v>
      </c>
      <c r="BR41" s="49">
        <f t="shared" si="31"/>
        <v>0</v>
      </c>
      <c r="BS41" s="49">
        <f t="shared" si="32"/>
        <v>0</v>
      </c>
      <c r="BT41" s="49">
        <f t="shared" si="33"/>
        <v>1</v>
      </c>
      <c r="BU41" s="49">
        <f t="shared" si="34"/>
        <v>0</v>
      </c>
      <c r="BV41" s="49">
        <f t="shared" si="35"/>
        <v>0</v>
      </c>
      <c r="BW41" s="49">
        <f t="shared" si="36"/>
        <v>0</v>
      </c>
    </row>
    <row r="42" spans="1:75" ht="35.1" customHeight="1" x14ac:dyDescent="0.3">
      <c r="A42" s="123" t="str">
        <f t="shared" si="0"/>
        <v>1팀</v>
      </c>
      <c r="B42" s="69">
        <f t="shared" si="1"/>
        <v>36</v>
      </c>
      <c r="C42" s="121" t="str">
        <f>IF(VLOOKUP($B42,'1. 현장별 인원현황'!$C:$J,2,0)=0,"",VLOOKUP($B42,'1. 현장별 인원현황'!$C:$J,2,0))</f>
        <v xml:space="preserve"> [1.대우건설] 청라C18BL 오피스텔 신축공사</v>
      </c>
      <c r="D42" s="74" t="str">
        <f>IF(VLOOKUP($B42,'1. 현장별 인원현황'!$C:$J,3,0)=0,"",VLOOKUP($B42,'1. 현장별 인원현황'!$C:$J,3,0))</f>
        <v>박규철</v>
      </c>
      <c r="E42" s="63" t="str">
        <f ca="1">IF(VLOOKUP($B42,'1. 현장별 인원현황'!$C:$J,4,0)=0,"",VLOOKUP($B42,'1. 현장별 인원현황'!$C:$J,4,0))</f>
        <v>30세</v>
      </c>
      <c r="F42" s="63" t="str">
        <f>IF(VLOOKUP($B42,'1. 현장별 인원현황'!$C:$J,7,0)=0,"",VLOOKUP($B42,'1. 현장별 인원현황'!$C:$J,7,0))</f>
        <v>공무</v>
      </c>
      <c r="G42" s="63" t="str">
        <f>IF(VLOOKUP($B42,'1. 현장별 인원현황'!$C:$J,8,0)=0,"",VLOOKUP($B42,'1. 현장별 인원현황'!$C:$J,8,0))</f>
        <v>과장</v>
      </c>
      <c r="H42" s="67" t="s">
        <v>69</v>
      </c>
      <c r="I42" s="73"/>
      <c r="J42" s="73"/>
      <c r="K42" s="68"/>
      <c r="L42" s="67" t="s">
        <v>69</v>
      </c>
      <c r="M42" s="73"/>
      <c r="N42" s="73"/>
      <c r="O42" s="68"/>
      <c r="P42" s="67" t="s">
        <v>69</v>
      </c>
      <c r="Q42" s="73"/>
      <c r="R42" s="73"/>
      <c r="S42" s="68"/>
      <c r="T42" s="67" t="s">
        <v>69</v>
      </c>
      <c r="U42" s="73"/>
      <c r="V42" s="73"/>
      <c r="W42" s="68"/>
      <c r="X42" s="67" t="s">
        <v>69</v>
      </c>
      <c r="Y42" s="73"/>
      <c r="Z42" s="73"/>
      <c r="AA42" s="68"/>
      <c r="AB42" s="67" t="s">
        <v>69</v>
      </c>
      <c r="AC42" s="73"/>
      <c r="AD42" s="73"/>
      <c r="AE42" s="68"/>
      <c r="AF42" s="67" t="s">
        <v>69</v>
      </c>
      <c r="AG42" s="73"/>
      <c r="AH42" s="73"/>
      <c r="AI42" s="68"/>
      <c r="AJ42" s="67" t="s">
        <v>69</v>
      </c>
      <c r="AK42" s="73"/>
      <c r="AL42" s="73"/>
      <c r="AM42" s="68"/>
      <c r="AN42" s="67">
        <f t="shared" si="2"/>
        <v>100</v>
      </c>
      <c r="AO42" s="68" t="str">
        <f t="shared" si="3"/>
        <v>S</v>
      </c>
      <c r="AR42" s="49">
        <f t="shared" si="5"/>
        <v>1</v>
      </c>
      <c r="AS42" s="49">
        <f t="shared" si="6"/>
        <v>0</v>
      </c>
      <c r="AT42" s="49">
        <f t="shared" si="7"/>
        <v>0</v>
      </c>
      <c r="AU42" s="49">
        <f t="shared" si="8"/>
        <v>0</v>
      </c>
      <c r="AV42" s="49">
        <f t="shared" si="9"/>
        <v>1</v>
      </c>
      <c r="AW42" s="49">
        <f t="shared" si="10"/>
        <v>0</v>
      </c>
      <c r="AX42" s="49">
        <f t="shared" si="11"/>
        <v>0</v>
      </c>
      <c r="AY42" s="49">
        <f t="shared" si="12"/>
        <v>0</v>
      </c>
      <c r="AZ42" s="49">
        <f t="shared" si="13"/>
        <v>1</v>
      </c>
      <c r="BA42" s="49">
        <f t="shared" si="14"/>
        <v>0</v>
      </c>
      <c r="BB42" s="49">
        <f t="shared" si="15"/>
        <v>0</v>
      </c>
      <c r="BC42" s="49">
        <f t="shared" si="16"/>
        <v>0</v>
      </c>
      <c r="BD42" s="49">
        <f t="shared" si="17"/>
        <v>1</v>
      </c>
      <c r="BE42" s="49">
        <f t="shared" si="18"/>
        <v>0</v>
      </c>
      <c r="BF42" s="49">
        <f t="shared" si="19"/>
        <v>0</v>
      </c>
      <c r="BG42" s="49">
        <f t="shared" si="20"/>
        <v>0</v>
      </c>
      <c r="BH42" s="49">
        <f t="shared" si="21"/>
        <v>1</v>
      </c>
      <c r="BI42" s="49">
        <f t="shared" si="22"/>
        <v>0</v>
      </c>
      <c r="BJ42" s="49">
        <f t="shared" si="23"/>
        <v>0</v>
      </c>
      <c r="BK42" s="49">
        <f t="shared" si="24"/>
        <v>0</v>
      </c>
      <c r="BL42" s="49">
        <f t="shared" si="25"/>
        <v>1</v>
      </c>
      <c r="BM42" s="49">
        <f t="shared" si="26"/>
        <v>0</v>
      </c>
      <c r="BN42" s="49">
        <f t="shared" si="27"/>
        <v>0</v>
      </c>
      <c r="BO42" s="49">
        <f t="shared" si="28"/>
        <v>0</v>
      </c>
      <c r="BP42" s="49">
        <f t="shared" si="29"/>
        <v>1</v>
      </c>
      <c r="BQ42" s="49">
        <f t="shared" si="30"/>
        <v>0</v>
      </c>
      <c r="BR42" s="49">
        <f t="shared" si="31"/>
        <v>0</v>
      </c>
      <c r="BS42" s="49">
        <f t="shared" si="32"/>
        <v>0</v>
      </c>
      <c r="BT42" s="49">
        <f t="shared" si="33"/>
        <v>1</v>
      </c>
      <c r="BU42" s="49">
        <f t="shared" si="34"/>
        <v>0</v>
      </c>
      <c r="BV42" s="49">
        <f t="shared" si="35"/>
        <v>0</v>
      </c>
      <c r="BW42" s="49">
        <f t="shared" si="36"/>
        <v>0</v>
      </c>
    </row>
    <row r="43" spans="1:75" ht="35.1" customHeight="1" x14ac:dyDescent="0.3">
      <c r="A43" s="123" t="str">
        <f t="shared" si="0"/>
        <v>1팀</v>
      </c>
      <c r="B43" s="69">
        <f t="shared" si="1"/>
        <v>37</v>
      </c>
      <c r="C43" s="121" t="str">
        <f>IF(VLOOKUP($B43,'1. 현장별 인원현황'!$C:$J,2,0)=0,"",VLOOKUP($B43,'1. 현장별 인원현황'!$C:$J,2,0))</f>
        <v xml:space="preserve"> [1.대우건설] 청라C18BL 오피스텔 신축공사</v>
      </c>
      <c r="D43" s="74" t="str">
        <f>IF(VLOOKUP($B43,'1. 현장별 인원현황'!$C:$J,3,0)=0,"",VLOOKUP($B43,'1. 현장별 인원현황'!$C:$J,3,0))</f>
        <v>차광식</v>
      </c>
      <c r="E43" s="63" t="str">
        <f ca="1">IF(VLOOKUP($B43,'1. 현장별 인원현황'!$C:$J,4,0)=0,"",VLOOKUP($B43,'1. 현장별 인원현황'!$C:$J,4,0))</f>
        <v>64세</v>
      </c>
      <c r="F43" s="63" t="str">
        <f>IF(VLOOKUP($B43,'1. 현장별 인원현황'!$C:$J,7,0)=0,"",VLOOKUP($B43,'1. 현장별 인원현황'!$C:$J,7,0))</f>
        <v>공사</v>
      </c>
      <c r="G43" s="63" t="str">
        <f>IF(VLOOKUP($B43,'1. 현장별 인원현황'!$C:$J,8,0)=0,"",VLOOKUP($B43,'1. 현장별 인원현황'!$C:$J,8,0))</f>
        <v>차장</v>
      </c>
      <c r="H43" s="67" t="s">
        <v>69</v>
      </c>
      <c r="I43" s="73"/>
      <c r="J43" s="73"/>
      <c r="K43" s="68"/>
      <c r="L43" s="67" t="s">
        <v>69</v>
      </c>
      <c r="M43" s="73"/>
      <c r="N43" s="73"/>
      <c r="O43" s="68"/>
      <c r="P43" s="67" t="s">
        <v>69</v>
      </c>
      <c r="Q43" s="73"/>
      <c r="R43" s="73"/>
      <c r="S43" s="68"/>
      <c r="T43" s="67" t="s">
        <v>69</v>
      </c>
      <c r="U43" s="73"/>
      <c r="V43" s="73"/>
      <c r="W43" s="68"/>
      <c r="X43" s="67" t="s">
        <v>69</v>
      </c>
      <c r="Y43" s="73"/>
      <c r="Z43" s="73"/>
      <c r="AA43" s="68"/>
      <c r="AB43" s="67" t="s">
        <v>69</v>
      </c>
      <c r="AC43" s="73"/>
      <c r="AD43" s="73"/>
      <c r="AE43" s="68"/>
      <c r="AF43" s="67" t="s">
        <v>69</v>
      </c>
      <c r="AG43" s="73"/>
      <c r="AH43" s="73"/>
      <c r="AI43" s="68"/>
      <c r="AJ43" s="67" t="s">
        <v>69</v>
      </c>
      <c r="AK43" s="73"/>
      <c r="AL43" s="73"/>
      <c r="AM43" s="68"/>
      <c r="AN43" s="67">
        <f t="shared" si="2"/>
        <v>100</v>
      </c>
      <c r="AO43" s="68" t="str">
        <f t="shared" si="3"/>
        <v>S</v>
      </c>
      <c r="AR43" s="49">
        <f t="shared" si="5"/>
        <v>1</v>
      </c>
      <c r="AS43" s="49">
        <f t="shared" si="6"/>
        <v>0</v>
      </c>
      <c r="AT43" s="49">
        <f t="shared" si="7"/>
        <v>0</v>
      </c>
      <c r="AU43" s="49">
        <f t="shared" si="8"/>
        <v>0</v>
      </c>
      <c r="AV43" s="49">
        <f t="shared" si="9"/>
        <v>1</v>
      </c>
      <c r="AW43" s="49">
        <f t="shared" si="10"/>
        <v>0</v>
      </c>
      <c r="AX43" s="49">
        <f t="shared" si="11"/>
        <v>0</v>
      </c>
      <c r="AY43" s="49">
        <f t="shared" si="12"/>
        <v>0</v>
      </c>
      <c r="AZ43" s="49">
        <f t="shared" si="13"/>
        <v>1</v>
      </c>
      <c r="BA43" s="49">
        <f t="shared" si="14"/>
        <v>0</v>
      </c>
      <c r="BB43" s="49">
        <f t="shared" si="15"/>
        <v>0</v>
      </c>
      <c r="BC43" s="49">
        <f t="shared" si="16"/>
        <v>0</v>
      </c>
      <c r="BD43" s="49">
        <f t="shared" si="17"/>
        <v>1</v>
      </c>
      <c r="BE43" s="49">
        <f t="shared" si="18"/>
        <v>0</v>
      </c>
      <c r="BF43" s="49">
        <f t="shared" si="19"/>
        <v>0</v>
      </c>
      <c r="BG43" s="49">
        <f t="shared" si="20"/>
        <v>0</v>
      </c>
      <c r="BH43" s="49">
        <f t="shared" si="21"/>
        <v>1</v>
      </c>
      <c r="BI43" s="49">
        <f t="shared" si="22"/>
        <v>0</v>
      </c>
      <c r="BJ43" s="49">
        <f t="shared" si="23"/>
        <v>0</v>
      </c>
      <c r="BK43" s="49">
        <f t="shared" si="24"/>
        <v>0</v>
      </c>
      <c r="BL43" s="49">
        <f t="shared" si="25"/>
        <v>1</v>
      </c>
      <c r="BM43" s="49">
        <f t="shared" si="26"/>
        <v>0</v>
      </c>
      <c r="BN43" s="49">
        <f t="shared" si="27"/>
        <v>0</v>
      </c>
      <c r="BO43" s="49">
        <f t="shared" si="28"/>
        <v>0</v>
      </c>
      <c r="BP43" s="49">
        <f t="shared" si="29"/>
        <v>1</v>
      </c>
      <c r="BQ43" s="49">
        <f t="shared" si="30"/>
        <v>0</v>
      </c>
      <c r="BR43" s="49">
        <f t="shared" si="31"/>
        <v>0</v>
      </c>
      <c r="BS43" s="49">
        <f t="shared" si="32"/>
        <v>0</v>
      </c>
      <c r="BT43" s="49">
        <f t="shared" si="33"/>
        <v>1</v>
      </c>
      <c r="BU43" s="49">
        <f t="shared" si="34"/>
        <v>0</v>
      </c>
      <c r="BV43" s="49">
        <f t="shared" si="35"/>
        <v>0</v>
      </c>
      <c r="BW43" s="49">
        <f t="shared" si="36"/>
        <v>0</v>
      </c>
    </row>
    <row r="44" spans="1:75" ht="35.1" customHeight="1" x14ac:dyDescent="0.3">
      <c r="A44" s="123" t="str">
        <f t="shared" si="0"/>
        <v>1팀</v>
      </c>
      <c r="B44" s="69">
        <f t="shared" si="1"/>
        <v>38</v>
      </c>
      <c r="C44" s="121" t="str">
        <f>IF(VLOOKUP($B44,'1. 현장별 인원현황'!$C:$J,2,0)=0,"",VLOOKUP($B44,'1. 현장별 인원현황'!$C:$J,2,0))</f>
        <v xml:space="preserve"> [1.대우건설] 청라C18BL 오피스텔 신축공사</v>
      </c>
      <c r="D44" s="74" t="str">
        <f>IF(VLOOKUP($B44,'1. 현장별 인원현황'!$C:$J,3,0)=0,"",VLOOKUP($B44,'1. 현장별 인원현황'!$C:$J,3,0))</f>
        <v>김 동 석</v>
      </c>
      <c r="E44" s="63" t="str">
        <f ca="1">IF(VLOOKUP($B44,'1. 현장별 인원현황'!$C:$J,4,0)=0,"",VLOOKUP($B44,'1. 현장별 인원현황'!$C:$J,4,0))</f>
        <v>53세</v>
      </c>
      <c r="F44" s="63" t="str">
        <f>IF(VLOOKUP($B44,'1. 현장별 인원현황'!$C:$J,7,0)=0,"",VLOOKUP($B44,'1. 현장별 인원현황'!$C:$J,7,0))</f>
        <v>공사</v>
      </c>
      <c r="G44" s="63" t="str">
        <f>IF(VLOOKUP($B44,'1. 현장별 인원현황'!$C:$J,8,0)=0,"",VLOOKUP($B44,'1. 현장별 인원현황'!$C:$J,8,0))</f>
        <v>차장</v>
      </c>
      <c r="H44" s="67" t="s">
        <v>69</v>
      </c>
      <c r="I44" s="73"/>
      <c r="J44" s="73"/>
      <c r="K44" s="68"/>
      <c r="L44" s="67" t="s">
        <v>69</v>
      </c>
      <c r="M44" s="73"/>
      <c r="N44" s="73"/>
      <c r="O44" s="68"/>
      <c r="P44" s="67" t="s">
        <v>69</v>
      </c>
      <c r="Q44" s="73"/>
      <c r="R44" s="73"/>
      <c r="S44" s="68"/>
      <c r="T44" s="67" t="s">
        <v>69</v>
      </c>
      <c r="U44" s="73"/>
      <c r="V44" s="73"/>
      <c r="W44" s="68"/>
      <c r="X44" s="67" t="s">
        <v>69</v>
      </c>
      <c r="Y44" s="73"/>
      <c r="Z44" s="73"/>
      <c r="AA44" s="68"/>
      <c r="AB44" s="67" t="s">
        <v>69</v>
      </c>
      <c r="AC44" s="73"/>
      <c r="AD44" s="73"/>
      <c r="AE44" s="68"/>
      <c r="AF44" s="67" t="s">
        <v>69</v>
      </c>
      <c r="AG44" s="73"/>
      <c r="AH44" s="73"/>
      <c r="AI44" s="68"/>
      <c r="AJ44" s="67" t="s">
        <v>69</v>
      </c>
      <c r="AK44" s="73"/>
      <c r="AL44" s="73"/>
      <c r="AM44" s="68"/>
      <c r="AN44" s="67">
        <f t="shared" si="2"/>
        <v>100</v>
      </c>
      <c r="AO44" s="68" t="str">
        <f t="shared" si="3"/>
        <v>S</v>
      </c>
      <c r="AR44" s="49">
        <f t="shared" si="5"/>
        <v>1</v>
      </c>
      <c r="AS44" s="49">
        <f t="shared" si="6"/>
        <v>0</v>
      </c>
      <c r="AT44" s="49">
        <f t="shared" si="7"/>
        <v>0</v>
      </c>
      <c r="AU44" s="49">
        <f t="shared" si="8"/>
        <v>0</v>
      </c>
      <c r="AV44" s="49">
        <f t="shared" si="9"/>
        <v>1</v>
      </c>
      <c r="AW44" s="49">
        <f t="shared" si="10"/>
        <v>0</v>
      </c>
      <c r="AX44" s="49">
        <f t="shared" si="11"/>
        <v>0</v>
      </c>
      <c r="AY44" s="49">
        <f t="shared" si="12"/>
        <v>0</v>
      </c>
      <c r="AZ44" s="49">
        <f t="shared" si="13"/>
        <v>1</v>
      </c>
      <c r="BA44" s="49">
        <f t="shared" si="14"/>
        <v>0</v>
      </c>
      <c r="BB44" s="49">
        <f t="shared" si="15"/>
        <v>0</v>
      </c>
      <c r="BC44" s="49">
        <f t="shared" si="16"/>
        <v>0</v>
      </c>
      <c r="BD44" s="49">
        <f t="shared" si="17"/>
        <v>1</v>
      </c>
      <c r="BE44" s="49">
        <f t="shared" si="18"/>
        <v>0</v>
      </c>
      <c r="BF44" s="49">
        <f t="shared" si="19"/>
        <v>0</v>
      </c>
      <c r="BG44" s="49">
        <f t="shared" si="20"/>
        <v>0</v>
      </c>
      <c r="BH44" s="49">
        <f t="shared" si="21"/>
        <v>1</v>
      </c>
      <c r="BI44" s="49">
        <f t="shared" si="22"/>
        <v>0</v>
      </c>
      <c r="BJ44" s="49">
        <f t="shared" si="23"/>
        <v>0</v>
      </c>
      <c r="BK44" s="49">
        <f t="shared" si="24"/>
        <v>0</v>
      </c>
      <c r="BL44" s="49">
        <f t="shared" si="25"/>
        <v>1</v>
      </c>
      <c r="BM44" s="49">
        <f t="shared" si="26"/>
        <v>0</v>
      </c>
      <c r="BN44" s="49">
        <f t="shared" si="27"/>
        <v>0</v>
      </c>
      <c r="BO44" s="49">
        <f t="shared" si="28"/>
        <v>0</v>
      </c>
      <c r="BP44" s="49">
        <f t="shared" si="29"/>
        <v>1</v>
      </c>
      <c r="BQ44" s="49">
        <f t="shared" si="30"/>
        <v>0</v>
      </c>
      <c r="BR44" s="49">
        <f t="shared" si="31"/>
        <v>0</v>
      </c>
      <c r="BS44" s="49">
        <f t="shared" si="32"/>
        <v>0</v>
      </c>
      <c r="BT44" s="49">
        <f t="shared" si="33"/>
        <v>1</v>
      </c>
      <c r="BU44" s="49">
        <f t="shared" si="34"/>
        <v>0</v>
      </c>
      <c r="BV44" s="49">
        <f t="shared" si="35"/>
        <v>0</v>
      </c>
      <c r="BW44" s="49">
        <f t="shared" si="36"/>
        <v>0</v>
      </c>
    </row>
    <row r="45" spans="1:75" ht="35.1" customHeight="1" x14ac:dyDescent="0.3">
      <c r="A45" s="123" t="str">
        <f t="shared" si="0"/>
        <v>1팀</v>
      </c>
      <c r="B45" s="69">
        <f t="shared" si="1"/>
        <v>39</v>
      </c>
      <c r="C45" s="121" t="str">
        <f>IF(VLOOKUP($B45,'1. 현장별 인원현황'!$C:$J,2,0)=0,"",VLOOKUP($B45,'1. 현장별 인원현황'!$C:$J,2,0))</f>
        <v xml:space="preserve"> [1.대우건설] 청라C18BL 오피스텔 신축공사</v>
      </c>
      <c r="D45" s="74" t="str">
        <f>IF(VLOOKUP($B45,'1. 현장별 인원현황'!$C:$J,3,0)=0,"",VLOOKUP($B45,'1. 현장별 인원현황'!$C:$J,3,0))</f>
        <v>강 용</v>
      </c>
      <c r="E45" s="63" t="str">
        <f ca="1">IF(VLOOKUP($B45,'1. 현장별 인원현황'!$C:$J,4,0)=0,"",VLOOKUP($B45,'1. 현장별 인원현황'!$C:$J,4,0))</f>
        <v>33세</v>
      </c>
      <c r="F45" s="63" t="str">
        <f>IF(VLOOKUP($B45,'1. 현장별 인원현황'!$C:$J,7,0)=0,"",VLOOKUP($B45,'1. 현장별 인원현황'!$C:$J,7,0))</f>
        <v>기능공</v>
      </c>
      <c r="G45" s="63" t="str">
        <f>IF(VLOOKUP($B45,'1. 현장별 인원현황'!$C:$J,8,0)=0,"",VLOOKUP($B45,'1. 현장별 인원현황'!$C:$J,8,0))</f>
        <v>전공</v>
      </c>
      <c r="H45" s="67" t="s">
        <v>69</v>
      </c>
      <c r="I45" s="73"/>
      <c r="J45" s="73"/>
      <c r="K45" s="68"/>
      <c r="L45" s="67" t="s">
        <v>69</v>
      </c>
      <c r="M45" s="73"/>
      <c r="N45" s="73"/>
      <c r="O45" s="68"/>
      <c r="P45" s="67" t="s">
        <v>69</v>
      </c>
      <c r="Q45" s="73"/>
      <c r="R45" s="73"/>
      <c r="S45" s="68"/>
      <c r="T45" s="67" t="s">
        <v>69</v>
      </c>
      <c r="U45" s="73"/>
      <c r="V45" s="73"/>
      <c r="W45" s="68"/>
      <c r="X45" s="67" t="s">
        <v>69</v>
      </c>
      <c r="Y45" s="73"/>
      <c r="Z45" s="73"/>
      <c r="AA45" s="68"/>
      <c r="AB45" s="67" t="s">
        <v>69</v>
      </c>
      <c r="AC45" s="73"/>
      <c r="AD45" s="73"/>
      <c r="AE45" s="68"/>
      <c r="AF45" s="67" t="s">
        <v>69</v>
      </c>
      <c r="AG45" s="73"/>
      <c r="AH45" s="73"/>
      <c r="AI45" s="68"/>
      <c r="AJ45" s="67" t="s">
        <v>69</v>
      </c>
      <c r="AK45" s="73"/>
      <c r="AL45" s="73"/>
      <c r="AM45" s="68"/>
      <c r="AN45" s="67">
        <f t="shared" si="2"/>
        <v>100</v>
      </c>
      <c r="AO45" s="68" t="str">
        <f t="shared" si="3"/>
        <v>S</v>
      </c>
      <c r="AR45" s="49">
        <f t="shared" si="5"/>
        <v>1</v>
      </c>
      <c r="AS45" s="49">
        <f t="shared" si="6"/>
        <v>0</v>
      </c>
      <c r="AT45" s="49">
        <f t="shared" si="7"/>
        <v>0</v>
      </c>
      <c r="AU45" s="49">
        <f t="shared" si="8"/>
        <v>0</v>
      </c>
      <c r="AV45" s="49">
        <f t="shared" si="9"/>
        <v>1</v>
      </c>
      <c r="AW45" s="49">
        <f t="shared" si="10"/>
        <v>0</v>
      </c>
      <c r="AX45" s="49">
        <f t="shared" si="11"/>
        <v>0</v>
      </c>
      <c r="AY45" s="49">
        <f t="shared" si="12"/>
        <v>0</v>
      </c>
      <c r="AZ45" s="49">
        <f t="shared" si="13"/>
        <v>1</v>
      </c>
      <c r="BA45" s="49">
        <f t="shared" si="14"/>
        <v>0</v>
      </c>
      <c r="BB45" s="49">
        <f t="shared" si="15"/>
        <v>0</v>
      </c>
      <c r="BC45" s="49">
        <f t="shared" si="16"/>
        <v>0</v>
      </c>
      <c r="BD45" s="49">
        <f t="shared" si="17"/>
        <v>1</v>
      </c>
      <c r="BE45" s="49">
        <f t="shared" si="18"/>
        <v>0</v>
      </c>
      <c r="BF45" s="49">
        <f t="shared" si="19"/>
        <v>0</v>
      </c>
      <c r="BG45" s="49">
        <f t="shared" si="20"/>
        <v>0</v>
      </c>
      <c r="BH45" s="49">
        <f t="shared" si="21"/>
        <v>1</v>
      </c>
      <c r="BI45" s="49">
        <f t="shared" si="22"/>
        <v>0</v>
      </c>
      <c r="BJ45" s="49">
        <f t="shared" si="23"/>
        <v>0</v>
      </c>
      <c r="BK45" s="49">
        <f t="shared" si="24"/>
        <v>0</v>
      </c>
      <c r="BL45" s="49">
        <f t="shared" si="25"/>
        <v>1</v>
      </c>
      <c r="BM45" s="49">
        <f t="shared" si="26"/>
        <v>0</v>
      </c>
      <c r="BN45" s="49">
        <f t="shared" si="27"/>
        <v>0</v>
      </c>
      <c r="BO45" s="49">
        <f t="shared" si="28"/>
        <v>0</v>
      </c>
      <c r="BP45" s="49">
        <f t="shared" si="29"/>
        <v>1</v>
      </c>
      <c r="BQ45" s="49">
        <f t="shared" si="30"/>
        <v>0</v>
      </c>
      <c r="BR45" s="49">
        <f t="shared" si="31"/>
        <v>0</v>
      </c>
      <c r="BS45" s="49">
        <f t="shared" si="32"/>
        <v>0</v>
      </c>
      <c r="BT45" s="49">
        <f t="shared" si="33"/>
        <v>1</v>
      </c>
      <c r="BU45" s="49">
        <f t="shared" si="34"/>
        <v>0</v>
      </c>
      <c r="BV45" s="49">
        <f t="shared" si="35"/>
        <v>0</v>
      </c>
      <c r="BW45" s="49">
        <f t="shared" si="36"/>
        <v>0</v>
      </c>
    </row>
    <row r="46" spans="1:75" ht="35.1" customHeight="1" x14ac:dyDescent="0.3">
      <c r="A46" s="123" t="str">
        <f t="shared" si="0"/>
        <v>1팀</v>
      </c>
      <c r="B46" s="69">
        <f t="shared" si="1"/>
        <v>40</v>
      </c>
      <c r="C46" s="121" t="str">
        <f>IF(VLOOKUP($B46,'1. 현장별 인원현황'!$C:$J,2,0)=0,"",VLOOKUP($B46,'1. 현장별 인원현황'!$C:$J,2,0))</f>
        <v xml:space="preserve"> [1.대우건설] 청라C18BL 오피스텔 신축공사</v>
      </c>
      <c r="D46" s="74" t="str">
        <f>IF(VLOOKUP($B46,'1. 현장별 인원현황'!$C:$J,3,0)=0,"",VLOOKUP($B46,'1. 현장별 인원현황'!$C:$J,3,0))</f>
        <v>김 용</v>
      </c>
      <c r="E46" s="63" t="str">
        <f ca="1">IF(VLOOKUP($B46,'1. 현장별 인원현황'!$C:$J,4,0)=0,"",VLOOKUP($B46,'1. 현장별 인원현황'!$C:$J,4,0))</f>
        <v>48세</v>
      </c>
      <c r="F46" s="63" t="str">
        <f>IF(VLOOKUP($B46,'1. 현장별 인원현황'!$C:$J,7,0)=0,"",VLOOKUP($B46,'1. 현장별 인원현황'!$C:$J,7,0))</f>
        <v>기능공</v>
      </c>
      <c r="G46" s="63" t="str">
        <f>IF(VLOOKUP($B46,'1. 현장별 인원현황'!$C:$J,8,0)=0,"",VLOOKUP($B46,'1. 현장별 인원현황'!$C:$J,8,0))</f>
        <v>전공</v>
      </c>
      <c r="H46" s="67" t="s">
        <v>69</v>
      </c>
      <c r="I46" s="73"/>
      <c r="J46" s="73"/>
      <c r="K46" s="68"/>
      <c r="L46" s="67" t="s">
        <v>69</v>
      </c>
      <c r="M46" s="73"/>
      <c r="N46" s="73"/>
      <c r="O46" s="68"/>
      <c r="P46" s="67" t="s">
        <v>69</v>
      </c>
      <c r="Q46" s="73"/>
      <c r="R46" s="73"/>
      <c r="S46" s="68"/>
      <c r="T46" s="67" t="s">
        <v>69</v>
      </c>
      <c r="U46" s="73"/>
      <c r="V46" s="73"/>
      <c r="W46" s="68"/>
      <c r="X46" s="67" t="s">
        <v>69</v>
      </c>
      <c r="Y46" s="73"/>
      <c r="Z46" s="73"/>
      <c r="AA46" s="68"/>
      <c r="AB46" s="67" t="s">
        <v>69</v>
      </c>
      <c r="AC46" s="73"/>
      <c r="AD46" s="73"/>
      <c r="AE46" s="68"/>
      <c r="AF46" s="67" t="s">
        <v>69</v>
      </c>
      <c r="AG46" s="73"/>
      <c r="AH46" s="73"/>
      <c r="AI46" s="68"/>
      <c r="AJ46" s="67" t="s">
        <v>69</v>
      </c>
      <c r="AK46" s="73"/>
      <c r="AL46" s="73"/>
      <c r="AM46" s="68"/>
      <c r="AN46" s="67">
        <f t="shared" si="2"/>
        <v>100</v>
      </c>
      <c r="AO46" s="68" t="str">
        <f t="shared" si="3"/>
        <v>S</v>
      </c>
      <c r="AR46" s="49">
        <f t="shared" si="5"/>
        <v>1</v>
      </c>
      <c r="AS46" s="49">
        <f t="shared" si="6"/>
        <v>0</v>
      </c>
      <c r="AT46" s="49">
        <f t="shared" si="7"/>
        <v>0</v>
      </c>
      <c r="AU46" s="49">
        <f t="shared" si="8"/>
        <v>0</v>
      </c>
      <c r="AV46" s="49">
        <f t="shared" si="9"/>
        <v>1</v>
      </c>
      <c r="AW46" s="49">
        <f t="shared" si="10"/>
        <v>0</v>
      </c>
      <c r="AX46" s="49">
        <f t="shared" si="11"/>
        <v>0</v>
      </c>
      <c r="AY46" s="49">
        <f t="shared" si="12"/>
        <v>0</v>
      </c>
      <c r="AZ46" s="49">
        <f t="shared" si="13"/>
        <v>1</v>
      </c>
      <c r="BA46" s="49">
        <f t="shared" si="14"/>
        <v>0</v>
      </c>
      <c r="BB46" s="49">
        <f t="shared" si="15"/>
        <v>0</v>
      </c>
      <c r="BC46" s="49">
        <f t="shared" si="16"/>
        <v>0</v>
      </c>
      <c r="BD46" s="49">
        <f t="shared" si="17"/>
        <v>1</v>
      </c>
      <c r="BE46" s="49">
        <f t="shared" si="18"/>
        <v>0</v>
      </c>
      <c r="BF46" s="49">
        <f t="shared" si="19"/>
        <v>0</v>
      </c>
      <c r="BG46" s="49">
        <f t="shared" si="20"/>
        <v>0</v>
      </c>
      <c r="BH46" s="49">
        <f t="shared" si="21"/>
        <v>1</v>
      </c>
      <c r="BI46" s="49">
        <f t="shared" si="22"/>
        <v>0</v>
      </c>
      <c r="BJ46" s="49">
        <f t="shared" si="23"/>
        <v>0</v>
      </c>
      <c r="BK46" s="49">
        <f t="shared" si="24"/>
        <v>0</v>
      </c>
      <c r="BL46" s="49">
        <f t="shared" si="25"/>
        <v>1</v>
      </c>
      <c r="BM46" s="49">
        <f t="shared" si="26"/>
        <v>0</v>
      </c>
      <c r="BN46" s="49">
        <f t="shared" si="27"/>
        <v>0</v>
      </c>
      <c r="BO46" s="49">
        <f t="shared" si="28"/>
        <v>0</v>
      </c>
      <c r="BP46" s="49">
        <f t="shared" si="29"/>
        <v>1</v>
      </c>
      <c r="BQ46" s="49">
        <f t="shared" si="30"/>
        <v>0</v>
      </c>
      <c r="BR46" s="49">
        <f t="shared" si="31"/>
        <v>0</v>
      </c>
      <c r="BS46" s="49">
        <f t="shared" si="32"/>
        <v>0</v>
      </c>
      <c r="BT46" s="49">
        <f t="shared" si="33"/>
        <v>1</v>
      </c>
      <c r="BU46" s="49">
        <f t="shared" si="34"/>
        <v>0</v>
      </c>
      <c r="BV46" s="49">
        <f t="shared" si="35"/>
        <v>0</v>
      </c>
      <c r="BW46" s="49">
        <f t="shared" si="36"/>
        <v>0</v>
      </c>
    </row>
    <row r="47" spans="1:75" ht="35.1" customHeight="1" x14ac:dyDescent="0.3">
      <c r="A47" s="123" t="str">
        <f t="shared" si="0"/>
        <v>1팀</v>
      </c>
      <c r="B47" s="69">
        <f t="shared" si="1"/>
        <v>41</v>
      </c>
      <c r="C47" s="121" t="str">
        <f>IF(VLOOKUP($B47,'1. 현장별 인원현황'!$C:$J,2,0)=0,"",VLOOKUP($B47,'1. 현장별 인원현황'!$C:$J,2,0))</f>
        <v xml:space="preserve"> [1.대우건설] 청라C18BL 오피스텔 신축공사</v>
      </c>
      <c r="D47" s="74" t="str">
        <f>IF(VLOOKUP($B47,'1. 현장별 인원현황'!$C:$J,3,0)=0,"",VLOOKUP($B47,'1. 현장별 인원현황'!$C:$J,3,0))</f>
        <v>박옥수</v>
      </c>
      <c r="E47" s="63" t="str">
        <f ca="1">IF(VLOOKUP($B47,'1. 현장별 인원현황'!$C:$J,4,0)=0,"",VLOOKUP($B47,'1. 현장별 인원현황'!$C:$J,4,0))</f>
        <v>61세</v>
      </c>
      <c r="F47" s="63" t="str">
        <f>IF(VLOOKUP($B47,'1. 현장별 인원현황'!$C:$J,7,0)=0,"",VLOOKUP($B47,'1. 현장별 인원현황'!$C:$J,7,0))</f>
        <v>기능공</v>
      </c>
      <c r="G47" s="63" t="str">
        <f>IF(VLOOKUP($B47,'1. 현장별 인원현황'!$C:$J,8,0)=0,"",VLOOKUP($B47,'1. 현장별 인원현황'!$C:$J,8,0))</f>
        <v>조공</v>
      </c>
      <c r="H47" s="67" t="s">
        <v>69</v>
      </c>
      <c r="I47" s="73"/>
      <c r="J47" s="73"/>
      <c r="K47" s="68"/>
      <c r="L47" s="67" t="s">
        <v>69</v>
      </c>
      <c r="M47" s="73"/>
      <c r="N47" s="73"/>
      <c r="O47" s="68"/>
      <c r="P47" s="67" t="s">
        <v>69</v>
      </c>
      <c r="Q47" s="73"/>
      <c r="R47" s="73"/>
      <c r="S47" s="68"/>
      <c r="T47" s="67" t="s">
        <v>69</v>
      </c>
      <c r="U47" s="73"/>
      <c r="V47" s="73"/>
      <c r="W47" s="68"/>
      <c r="X47" s="67" t="s">
        <v>69</v>
      </c>
      <c r="Y47" s="73"/>
      <c r="Z47" s="73"/>
      <c r="AA47" s="68"/>
      <c r="AB47" s="67" t="s">
        <v>69</v>
      </c>
      <c r="AC47" s="73"/>
      <c r="AD47" s="73"/>
      <c r="AE47" s="68"/>
      <c r="AF47" s="67" t="s">
        <v>69</v>
      </c>
      <c r="AG47" s="73"/>
      <c r="AH47" s="73"/>
      <c r="AI47" s="68"/>
      <c r="AJ47" s="67" t="s">
        <v>69</v>
      </c>
      <c r="AK47" s="73"/>
      <c r="AL47" s="73"/>
      <c r="AM47" s="68"/>
      <c r="AN47" s="67">
        <f t="shared" si="2"/>
        <v>100</v>
      </c>
      <c r="AO47" s="68" t="str">
        <f t="shared" si="3"/>
        <v>S</v>
      </c>
      <c r="AR47" s="49">
        <f t="shared" si="5"/>
        <v>1</v>
      </c>
      <c r="AS47" s="49">
        <f t="shared" si="6"/>
        <v>0</v>
      </c>
      <c r="AT47" s="49">
        <f t="shared" si="7"/>
        <v>0</v>
      </c>
      <c r="AU47" s="49">
        <f t="shared" si="8"/>
        <v>0</v>
      </c>
      <c r="AV47" s="49">
        <f t="shared" si="9"/>
        <v>1</v>
      </c>
      <c r="AW47" s="49">
        <f t="shared" si="10"/>
        <v>0</v>
      </c>
      <c r="AX47" s="49">
        <f t="shared" si="11"/>
        <v>0</v>
      </c>
      <c r="AY47" s="49">
        <f t="shared" si="12"/>
        <v>0</v>
      </c>
      <c r="AZ47" s="49">
        <f t="shared" si="13"/>
        <v>1</v>
      </c>
      <c r="BA47" s="49">
        <f t="shared" si="14"/>
        <v>0</v>
      </c>
      <c r="BB47" s="49">
        <f t="shared" si="15"/>
        <v>0</v>
      </c>
      <c r="BC47" s="49">
        <f t="shared" si="16"/>
        <v>0</v>
      </c>
      <c r="BD47" s="49">
        <f t="shared" si="17"/>
        <v>1</v>
      </c>
      <c r="BE47" s="49">
        <f t="shared" si="18"/>
        <v>0</v>
      </c>
      <c r="BF47" s="49">
        <f t="shared" si="19"/>
        <v>0</v>
      </c>
      <c r="BG47" s="49">
        <f t="shared" si="20"/>
        <v>0</v>
      </c>
      <c r="BH47" s="49">
        <f t="shared" si="21"/>
        <v>1</v>
      </c>
      <c r="BI47" s="49">
        <f t="shared" si="22"/>
        <v>0</v>
      </c>
      <c r="BJ47" s="49">
        <f t="shared" si="23"/>
        <v>0</v>
      </c>
      <c r="BK47" s="49">
        <f t="shared" si="24"/>
        <v>0</v>
      </c>
      <c r="BL47" s="49">
        <f t="shared" si="25"/>
        <v>1</v>
      </c>
      <c r="BM47" s="49">
        <f t="shared" si="26"/>
        <v>0</v>
      </c>
      <c r="BN47" s="49">
        <f t="shared" si="27"/>
        <v>0</v>
      </c>
      <c r="BO47" s="49">
        <f t="shared" si="28"/>
        <v>0</v>
      </c>
      <c r="BP47" s="49">
        <f t="shared" si="29"/>
        <v>1</v>
      </c>
      <c r="BQ47" s="49">
        <f t="shared" si="30"/>
        <v>0</v>
      </c>
      <c r="BR47" s="49">
        <f t="shared" si="31"/>
        <v>0</v>
      </c>
      <c r="BS47" s="49">
        <f t="shared" si="32"/>
        <v>0</v>
      </c>
      <c r="BT47" s="49">
        <f t="shared" si="33"/>
        <v>1</v>
      </c>
      <c r="BU47" s="49">
        <f t="shared" si="34"/>
        <v>0</v>
      </c>
      <c r="BV47" s="49">
        <f t="shared" si="35"/>
        <v>0</v>
      </c>
      <c r="BW47" s="49">
        <f t="shared" si="36"/>
        <v>0</v>
      </c>
    </row>
    <row r="48" spans="1:75" ht="35.1" customHeight="1" x14ac:dyDescent="0.3">
      <c r="A48" s="123" t="str">
        <f t="shared" si="0"/>
        <v>1팀</v>
      </c>
      <c r="B48" s="69">
        <f t="shared" si="1"/>
        <v>42</v>
      </c>
      <c r="C48" s="121" t="str">
        <f>IF(VLOOKUP($B48,'1. 현장별 인원현황'!$C:$J,2,0)=0,"",VLOOKUP($B48,'1. 현장별 인원현황'!$C:$J,2,0))</f>
        <v xml:space="preserve"> [1.대우건설] 청라C18BL 오피스텔 신축공사</v>
      </c>
      <c r="D48" s="74" t="str">
        <f>IF(VLOOKUP($B48,'1. 현장별 인원현황'!$C:$J,3,0)=0,"",VLOOKUP($B48,'1. 현장별 인원현황'!$C:$J,3,0))</f>
        <v>전봉기</v>
      </c>
      <c r="E48" s="63" t="str">
        <f ca="1">IF(VLOOKUP($B48,'1. 현장별 인원현황'!$C:$J,4,0)=0,"",VLOOKUP($B48,'1. 현장별 인원현황'!$C:$J,4,0))</f>
        <v>63세</v>
      </c>
      <c r="F48" s="63" t="str">
        <f>IF(VLOOKUP($B48,'1. 현장별 인원현황'!$C:$J,7,0)=0,"",VLOOKUP($B48,'1. 현장별 인원현황'!$C:$J,7,0))</f>
        <v>기능공</v>
      </c>
      <c r="G48" s="63" t="str">
        <f>IF(VLOOKUP($B48,'1. 현장별 인원현황'!$C:$J,8,0)=0,"",VLOOKUP($B48,'1. 현장별 인원현황'!$C:$J,8,0))</f>
        <v>전공</v>
      </c>
      <c r="H48" s="67" t="s">
        <v>69</v>
      </c>
      <c r="I48" s="73"/>
      <c r="J48" s="73"/>
      <c r="K48" s="68"/>
      <c r="L48" s="67" t="s">
        <v>69</v>
      </c>
      <c r="M48" s="73"/>
      <c r="N48" s="73"/>
      <c r="O48" s="68"/>
      <c r="P48" s="67" t="s">
        <v>69</v>
      </c>
      <c r="Q48" s="73"/>
      <c r="R48" s="73"/>
      <c r="S48" s="68"/>
      <c r="T48" s="67" t="s">
        <v>69</v>
      </c>
      <c r="U48" s="73"/>
      <c r="V48" s="73"/>
      <c r="W48" s="68"/>
      <c r="X48" s="67" t="s">
        <v>69</v>
      </c>
      <c r="Y48" s="73"/>
      <c r="Z48" s="73"/>
      <c r="AA48" s="68"/>
      <c r="AB48" s="67" t="s">
        <v>69</v>
      </c>
      <c r="AC48" s="73"/>
      <c r="AD48" s="73"/>
      <c r="AE48" s="68"/>
      <c r="AF48" s="67" t="s">
        <v>69</v>
      </c>
      <c r="AG48" s="73"/>
      <c r="AH48" s="73"/>
      <c r="AI48" s="68"/>
      <c r="AJ48" s="67" t="s">
        <v>69</v>
      </c>
      <c r="AK48" s="73"/>
      <c r="AL48" s="73"/>
      <c r="AM48" s="68"/>
      <c r="AN48" s="67">
        <f t="shared" si="2"/>
        <v>100</v>
      </c>
      <c r="AO48" s="68" t="str">
        <f t="shared" si="3"/>
        <v>S</v>
      </c>
      <c r="AR48" s="49">
        <f t="shared" si="5"/>
        <v>1</v>
      </c>
      <c r="AS48" s="49">
        <f t="shared" si="6"/>
        <v>0</v>
      </c>
      <c r="AT48" s="49">
        <f t="shared" si="7"/>
        <v>0</v>
      </c>
      <c r="AU48" s="49">
        <f t="shared" si="8"/>
        <v>0</v>
      </c>
      <c r="AV48" s="49">
        <f t="shared" si="9"/>
        <v>1</v>
      </c>
      <c r="AW48" s="49">
        <f t="shared" si="10"/>
        <v>0</v>
      </c>
      <c r="AX48" s="49">
        <f t="shared" si="11"/>
        <v>0</v>
      </c>
      <c r="AY48" s="49">
        <f t="shared" si="12"/>
        <v>0</v>
      </c>
      <c r="AZ48" s="49">
        <f t="shared" si="13"/>
        <v>1</v>
      </c>
      <c r="BA48" s="49">
        <f t="shared" si="14"/>
        <v>0</v>
      </c>
      <c r="BB48" s="49">
        <f t="shared" si="15"/>
        <v>0</v>
      </c>
      <c r="BC48" s="49">
        <f t="shared" si="16"/>
        <v>0</v>
      </c>
      <c r="BD48" s="49">
        <f t="shared" si="17"/>
        <v>1</v>
      </c>
      <c r="BE48" s="49">
        <f t="shared" si="18"/>
        <v>0</v>
      </c>
      <c r="BF48" s="49">
        <f t="shared" si="19"/>
        <v>0</v>
      </c>
      <c r="BG48" s="49">
        <f t="shared" si="20"/>
        <v>0</v>
      </c>
      <c r="BH48" s="49">
        <f t="shared" si="21"/>
        <v>1</v>
      </c>
      <c r="BI48" s="49">
        <f t="shared" si="22"/>
        <v>0</v>
      </c>
      <c r="BJ48" s="49">
        <f t="shared" si="23"/>
        <v>0</v>
      </c>
      <c r="BK48" s="49">
        <f t="shared" si="24"/>
        <v>0</v>
      </c>
      <c r="BL48" s="49">
        <f t="shared" si="25"/>
        <v>1</v>
      </c>
      <c r="BM48" s="49">
        <f t="shared" si="26"/>
        <v>0</v>
      </c>
      <c r="BN48" s="49">
        <f t="shared" si="27"/>
        <v>0</v>
      </c>
      <c r="BO48" s="49">
        <f t="shared" si="28"/>
        <v>0</v>
      </c>
      <c r="BP48" s="49">
        <f t="shared" si="29"/>
        <v>1</v>
      </c>
      <c r="BQ48" s="49">
        <f t="shared" si="30"/>
        <v>0</v>
      </c>
      <c r="BR48" s="49">
        <f t="shared" si="31"/>
        <v>0</v>
      </c>
      <c r="BS48" s="49">
        <f t="shared" si="32"/>
        <v>0</v>
      </c>
      <c r="BT48" s="49">
        <f t="shared" si="33"/>
        <v>1</v>
      </c>
      <c r="BU48" s="49">
        <f t="shared" si="34"/>
        <v>0</v>
      </c>
      <c r="BV48" s="49">
        <f t="shared" si="35"/>
        <v>0</v>
      </c>
      <c r="BW48" s="49">
        <f t="shared" si="36"/>
        <v>0</v>
      </c>
    </row>
    <row r="49" spans="1:75" ht="35.1" customHeight="1" x14ac:dyDescent="0.3">
      <c r="A49" s="123" t="str">
        <f t="shared" si="0"/>
        <v>1팀</v>
      </c>
      <c r="B49" s="69">
        <f t="shared" si="1"/>
        <v>43</v>
      </c>
      <c r="C49" s="121" t="str">
        <f>IF(VLOOKUP($B49,'1. 현장별 인원현황'!$C:$J,2,0)=0,"",VLOOKUP($B49,'1. 현장별 인원현황'!$C:$J,2,0))</f>
        <v xml:space="preserve"> [1.대우건설] 청라C18BL 오피스텔 신축공사</v>
      </c>
      <c r="D49" s="74" t="str">
        <f>IF(VLOOKUP($B49,'1. 현장별 인원현황'!$C:$J,3,0)=0,"",VLOOKUP($B49,'1. 현장별 인원현황'!$C:$J,3,0))</f>
        <v>정진형</v>
      </c>
      <c r="E49" s="63" t="str">
        <f ca="1">IF(VLOOKUP($B49,'1. 현장별 인원현황'!$C:$J,4,0)=0,"",VLOOKUP($B49,'1. 현장별 인원현황'!$C:$J,4,0))</f>
        <v>29세</v>
      </c>
      <c r="F49" s="63" t="str">
        <f>IF(VLOOKUP($B49,'1. 현장별 인원현황'!$C:$J,7,0)=0,"",VLOOKUP($B49,'1. 현장별 인원현황'!$C:$J,7,0))</f>
        <v>기능공</v>
      </c>
      <c r="G49" s="63" t="str">
        <f>IF(VLOOKUP($B49,'1. 현장별 인원현황'!$C:$J,8,0)=0,"",VLOOKUP($B49,'1. 현장별 인원현황'!$C:$J,8,0))</f>
        <v>조공</v>
      </c>
      <c r="H49" s="67" t="s">
        <v>69</v>
      </c>
      <c r="I49" s="73"/>
      <c r="J49" s="73"/>
      <c r="K49" s="68"/>
      <c r="L49" s="67" t="s">
        <v>69</v>
      </c>
      <c r="M49" s="73"/>
      <c r="N49" s="73"/>
      <c r="O49" s="68"/>
      <c r="P49" s="67" t="s">
        <v>69</v>
      </c>
      <c r="Q49" s="73"/>
      <c r="R49" s="73"/>
      <c r="S49" s="68"/>
      <c r="T49" s="67" t="s">
        <v>69</v>
      </c>
      <c r="U49" s="73"/>
      <c r="V49" s="73"/>
      <c r="W49" s="68"/>
      <c r="X49" s="67" t="s">
        <v>69</v>
      </c>
      <c r="Y49" s="73"/>
      <c r="Z49" s="73"/>
      <c r="AA49" s="68"/>
      <c r="AB49" s="67" t="s">
        <v>69</v>
      </c>
      <c r="AC49" s="73"/>
      <c r="AD49" s="73"/>
      <c r="AE49" s="68"/>
      <c r="AF49" s="67" t="s">
        <v>69</v>
      </c>
      <c r="AG49" s="73"/>
      <c r="AH49" s="73"/>
      <c r="AI49" s="68"/>
      <c r="AJ49" s="67" t="s">
        <v>69</v>
      </c>
      <c r="AK49" s="73"/>
      <c r="AL49" s="73"/>
      <c r="AM49" s="68"/>
      <c r="AN49" s="67">
        <f t="shared" si="2"/>
        <v>100</v>
      </c>
      <c r="AO49" s="68" t="str">
        <f t="shared" si="3"/>
        <v>S</v>
      </c>
      <c r="AR49" s="49">
        <f t="shared" si="5"/>
        <v>1</v>
      </c>
      <c r="AS49" s="49">
        <f t="shared" si="6"/>
        <v>0</v>
      </c>
      <c r="AT49" s="49">
        <f t="shared" si="7"/>
        <v>0</v>
      </c>
      <c r="AU49" s="49">
        <f t="shared" si="8"/>
        <v>0</v>
      </c>
      <c r="AV49" s="49">
        <f t="shared" si="9"/>
        <v>1</v>
      </c>
      <c r="AW49" s="49">
        <f t="shared" si="10"/>
        <v>0</v>
      </c>
      <c r="AX49" s="49">
        <f t="shared" si="11"/>
        <v>0</v>
      </c>
      <c r="AY49" s="49">
        <f t="shared" si="12"/>
        <v>0</v>
      </c>
      <c r="AZ49" s="49">
        <f t="shared" si="13"/>
        <v>1</v>
      </c>
      <c r="BA49" s="49">
        <f t="shared" si="14"/>
        <v>0</v>
      </c>
      <c r="BB49" s="49">
        <f t="shared" si="15"/>
        <v>0</v>
      </c>
      <c r="BC49" s="49">
        <f t="shared" si="16"/>
        <v>0</v>
      </c>
      <c r="BD49" s="49">
        <f t="shared" si="17"/>
        <v>1</v>
      </c>
      <c r="BE49" s="49">
        <f t="shared" si="18"/>
        <v>0</v>
      </c>
      <c r="BF49" s="49">
        <f t="shared" si="19"/>
        <v>0</v>
      </c>
      <c r="BG49" s="49">
        <f t="shared" si="20"/>
        <v>0</v>
      </c>
      <c r="BH49" s="49">
        <f t="shared" si="21"/>
        <v>1</v>
      </c>
      <c r="BI49" s="49">
        <f t="shared" si="22"/>
        <v>0</v>
      </c>
      <c r="BJ49" s="49">
        <f t="shared" si="23"/>
        <v>0</v>
      </c>
      <c r="BK49" s="49">
        <f t="shared" si="24"/>
        <v>0</v>
      </c>
      <c r="BL49" s="49">
        <f t="shared" si="25"/>
        <v>1</v>
      </c>
      <c r="BM49" s="49">
        <f t="shared" si="26"/>
        <v>0</v>
      </c>
      <c r="BN49" s="49">
        <f t="shared" si="27"/>
        <v>0</v>
      </c>
      <c r="BO49" s="49">
        <f t="shared" si="28"/>
        <v>0</v>
      </c>
      <c r="BP49" s="49">
        <f t="shared" si="29"/>
        <v>1</v>
      </c>
      <c r="BQ49" s="49">
        <f t="shared" si="30"/>
        <v>0</v>
      </c>
      <c r="BR49" s="49">
        <f t="shared" si="31"/>
        <v>0</v>
      </c>
      <c r="BS49" s="49">
        <f t="shared" si="32"/>
        <v>0</v>
      </c>
      <c r="BT49" s="49">
        <f t="shared" si="33"/>
        <v>1</v>
      </c>
      <c r="BU49" s="49">
        <f t="shared" si="34"/>
        <v>0</v>
      </c>
      <c r="BV49" s="49">
        <f t="shared" si="35"/>
        <v>0</v>
      </c>
      <c r="BW49" s="49">
        <f t="shared" si="36"/>
        <v>0</v>
      </c>
    </row>
    <row r="50" spans="1:75" ht="35.1" customHeight="1" x14ac:dyDescent="0.3">
      <c r="A50" s="123" t="str">
        <f t="shared" si="0"/>
        <v>1팀</v>
      </c>
      <c r="B50" s="69">
        <f t="shared" si="1"/>
        <v>44</v>
      </c>
      <c r="C50" s="121" t="str">
        <f>IF(VLOOKUP($B50,'1. 현장별 인원현황'!$C:$J,2,0)=0,"",VLOOKUP($B50,'1. 현장별 인원현황'!$C:$J,2,0))</f>
        <v xml:space="preserve"> [1.대우건설] 청라C18BL 오피스텔 신축공사</v>
      </c>
      <c r="D50" s="74" t="str">
        <f>IF(VLOOKUP($B50,'1. 현장별 인원현황'!$C:$J,3,0)=0,"",VLOOKUP($B50,'1. 현장별 인원현황'!$C:$J,3,0))</f>
        <v>조영종</v>
      </c>
      <c r="E50" s="63" t="str">
        <f ca="1">IF(VLOOKUP($B50,'1. 현장별 인원현황'!$C:$J,4,0)=0,"",VLOOKUP($B50,'1. 현장별 인원현황'!$C:$J,4,0))</f>
        <v>51세</v>
      </c>
      <c r="F50" s="63" t="str">
        <f>IF(VLOOKUP($B50,'1. 현장별 인원현황'!$C:$J,7,0)=0,"",VLOOKUP($B50,'1. 현장별 인원현황'!$C:$J,7,0))</f>
        <v>기능공</v>
      </c>
      <c r="G50" s="63" t="str">
        <f>IF(VLOOKUP($B50,'1. 현장별 인원현황'!$C:$J,8,0)=0,"",VLOOKUP($B50,'1. 현장별 인원현황'!$C:$J,8,0))</f>
        <v>전공</v>
      </c>
      <c r="H50" s="67" t="s">
        <v>69</v>
      </c>
      <c r="I50" s="73"/>
      <c r="J50" s="73"/>
      <c r="K50" s="68"/>
      <c r="L50" s="67" t="s">
        <v>69</v>
      </c>
      <c r="M50" s="73"/>
      <c r="N50" s="73"/>
      <c r="O50" s="68"/>
      <c r="P50" s="67" t="s">
        <v>69</v>
      </c>
      <c r="Q50" s="73"/>
      <c r="R50" s="73"/>
      <c r="S50" s="68"/>
      <c r="T50" s="67" t="s">
        <v>69</v>
      </c>
      <c r="U50" s="73"/>
      <c r="V50" s="73"/>
      <c r="W50" s="68"/>
      <c r="X50" s="67" t="s">
        <v>69</v>
      </c>
      <c r="Y50" s="73"/>
      <c r="Z50" s="73"/>
      <c r="AA50" s="68"/>
      <c r="AB50" s="67" t="s">
        <v>69</v>
      </c>
      <c r="AC50" s="73"/>
      <c r="AD50" s="73"/>
      <c r="AE50" s="68"/>
      <c r="AF50" s="67" t="s">
        <v>69</v>
      </c>
      <c r="AG50" s="73"/>
      <c r="AH50" s="73"/>
      <c r="AI50" s="68"/>
      <c r="AJ50" s="67" t="s">
        <v>69</v>
      </c>
      <c r="AK50" s="73"/>
      <c r="AL50" s="73"/>
      <c r="AM50" s="68"/>
      <c r="AN50" s="67">
        <f t="shared" si="2"/>
        <v>100</v>
      </c>
      <c r="AO50" s="68" t="str">
        <f t="shared" si="3"/>
        <v>S</v>
      </c>
      <c r="AR50" s="49">
        <f t="shared" si="5"/>
        <v>1</v>
      </c>
      <c r="AS50" s="49">
        <f t="shared" si="6"/>
        <v>0</v>
      </c>
      <c r="AT50" s="49">
        <f t="shared" si="7"/>
        <v>0</v>
      </c>
      <c r="AU50" s="49">
        <f t="shared" si="8"/>
        <v>0</v>
      </c>
      <c r="AV50" s="49">
        <f t="shared" si="9"/>
        <v>1</v>
      </c>
      <c r="AW50" s="49">
        <f t="shared" si="10"/>
        <v>0</v>
      </c>
      <c r="AX50" s="49">
        <f t="shared" si="11"/>
        <v>0</v>
      </c>
      <c r="AY50" s="49">
        <f t="shared" si="12"/>
        <v>0</v>
      </c>
      <c r="AZ50" s="49">
        <f t="shared" si="13"/>
        <v>1</v>
      </c>
      <c r="BA50" s="49">
        <f t="shared" si="14"/>
        <v>0</v>
      </c>
      <c r="BB50" s="49">
        <f t="shared" si="15"/>
        <v>0</v>
      </c>
      <c r="BC50" s="49">
        <f t="shared" si="16"/>
        <v>0</v>
      </c>
      <c r="BD50" s="49">
        <f t="shared" si="17"/>
        <v>1</v>
      </c>
      <c r="BE50" s="49">
        <f t="shared" si="18"/>
        <v>0</v>
      </c>
      <c r="BF50" s="49">
        <f t="shared" si="19"/>
        <v>0</v>
      </c>
      <c r="BG50" s="49">
        <f t="shared" si="20"/>
        <v>0</v>
      </c>
      <c r="BH50" s="49">
        <f t="shared" si="21"/>
        <v>1</v>
      </c>
      <c r="BI50" s="49">
        <f t="shared" si="22"/>
        <v>0</v>
      </c>
      <c r="BJ50" s="49">
        <f t="shared" si="23"/>
        <v>0</v>
      </c>
      <c r="BK50" s="49">
        <f t="shared" si="24"/>
        <v>0</v>
      </c>
      <c r="BL50" s="49">
        <f t="shared" si="25"/>
        <v>1</v>
      </c>
      <c r="BM50" s="49">
        <f t="shared" si="26"/>
        <v>0</v>
      </c>
      <c r="BN50" s="49">
        <f t="shared" si="27"/>
        <v>0</v>
      </c>
      <c r="BO50" s="49">
        <f t="shared" si="28"/>
        <v>0</v>
      </c>
      <c r="BP50" s="49">
        <f t="shared" si="29"/>
        <v>1</v>
      </c>
      <c r="BQ50" s="49">
        <f t="shared" si="30"/>
        <v>0</v>
      </c>
      <c r="BR50" s="49">
        <f t="shared" si="31"/>
        <v>0</v>
      </c>
      <c r="BS50" s="49">
        <f t="shared" si="32"/>
        <v>0</v>
      </c>
      <c r="BT50" s="49">
        <f t="shared" si="33"/>
        <v>1</v>
      </c>
      <c r="BU50" s="49">
        <f t="shared" si="34"/>
        <v>0</v>
      </c>
      <c r="BV50" s="49">
        <f t="shared" si="35"/>
        <v>0</v>
      </c>
      <c r="BW50" s="49">
        <f t="shared" si="36"/>
        <v>0</v>
      </c>
    </row>
    <row r="51" spans="1:75" ht="35.1" customHeight="1" x14ac:dyDescent="0.3">
      <c r="A51" s="123" t="str">
        <f t="shared" si="0"/>
        <v>1팀</v>
      </c>
      <c r="B51" s="69">
        <f t="shared" si="1"/>
        <v>45</v>
      </c>
      <c r="C51" s="121" t="str">
        <f>IF(VLOOKUP($B51,'1. 현장별 인원현황'!$C:$J,2,0)=0,"",VLOOKUP($B51,'1. 현장별 인원현황'!$C:$J,2,0))</f>
        <v xml:space="preserve"> [1.대우건설] 청주 테크노폴리스 S1-1,2BL 주상복합 신축공사</v>
      </c>
      <c r="D51" s="74" t="str">
        <f>IF(VLOOKUP($B51,'1. 현장별 인원현황'!$C:$J,3,0)=0,"",VLOOKUP($B51,'1. 현장별 인원현황'!$C:$J,3,0))</f>
        <v>이경애</v>
      </c>
      <c r="E51" s="63" t="str">
        <f ca="1">IF(VLOOKUP($B51,'1. 현장별 인원현황'!$C:$J,4,0)=0,"",VLOOKUP($B51,'1. 현장별 인원현황'!$C:$J,4,0))</f>
        <v>51세</v>
      </c>
      <c r="F51" s="63" t="str">
        <f>IF(VLOOKUP($B51,'1. 현장별 인원현황'!$C:$J,7,0)=0,"",VLOOKUP($B51,'1. 현장별 인원현황'!$C:$J,7,0))</f>
        <v>공무</v>
      </c>
      <c r="G51" s="63" t="str">
        <f>IF(VLOOKUP($B51,'1. 현장별 인원현황'!$C:$J,8,0)=0,"",VLOOKUP($B51,'1. 현장별 인원현황'!$C:$J,8,0))</f>
        <v>과장</v>
      </c>
      <c r="H51" s="67" t="s">
        <v>69</v>
      </c>
      <c r="I51" s="73"/>
      <c r="J51" s="73"/>
      <c r="K51" s="68"/>
      <c r="L51" s="67"/>
      <c r="M51" s="73" t="s">
        <v>69</v>
      </c>
      <c r="N51" s="73"/>
      <c r="O51" s="68"/>
      <c r="P51" s="67" t="s">
        <v>69</v>
      </c>
      <c r="Q51" s="73"/>
      <c r="R51" s="73"/>
      <c r="S51" s="68"/>
      <c r="T51" s="67" t="s">
        <v>69</v>
      </c>
      <c r="U51" s="73"/>
      <c r="V51" s="73"/>
      <c r="W51" s="68"/>
      <c r="X51" s="67" t="s">
        <v>69</v>
      </c>
      <c r="Y51" s="73"/>
      <c r="Z51" s="73"/>
      <c r="AA51" s="68"/>
      <c r="AB51" s="67" t="s">
        <v>69</v>
      </c>
      <c r="AC51" s="73"/>
      <c r="AD51" s="73"/>
      <c r="AE51" s="68"/>
      <c r="AF51" s="67" t="s">
        <v>69</v>
      </c>
      <c r="AG51" s="73"/>
      <c r="AH51" s="73"/>
      <c r="AI51" s="68"/>
      <c r="AJ51" s="67" t="s">
        <v>69</v>
      </c>
      <c r="AK51" s="73"/>
      <c r="AL51" s="73"/>
      <c r="AM51" s="68"/>
      <c r="AN51" s="67">
        <f t="shared" si="2"/>
        <v>96</v>
      </c>
      <c r="AO51" s="68" t="str">
        <f t="shared" si="3"/>
        <v>S</v>
      </c>
      <c r="AR51" s="49">
        <f t="shared" si="5"/>
        <v>1</v>
      </c>
      <c r="AS51" s="49">
        <f t="shared" si="6"/>
        <v>0</v>
      </c>
      <c r="AT51" s="49">
        <f t="shared" si="7"/>
        <v>0</v>
      </c>
      <c r="AU51" s="49">
        <f t="shared" si="8"/>
        <v>0</v>
      </c>
      <c r="AV51" s="49">
        <f t="shared" si="9"/>
        <v>0</v>
      </c>
      <c r="AW51" s="49">
        <f t="shared" si="10"/>
        <v>1</v>
      </c>
      <c r="AX51" s="49">
        <f t="shared" si="11"/>
        <v>0</v>
      </c>
      <c r="AY51" s="49">
        <f t="shared" si="12"/>
        <v>0</v>
      </c>
      <c r="AZ51" s="49">
        <f t="shared" si="13"/>
        <v>1</v>
      </c>
      <c r="BA51" s="49">
        <f t="shared" si="14"/>
        <v>0</v>
      </c>
      <c r="BB51" s="49">
        <f t="shared" si="15"/>
        <v>0</v>
      </c>
      <c r="BC51" s="49">
        <f t="shared" si="16"/>
        <v>0</v>
      </c>
      <c r="BD51" s="49">
        <f t="shared" si="17"/>
        <v>1</v>
      </c>
      <c r="BE51" s="49">
        <f t="shared" si="18"/>
        <v>0</v>
      </c>
      <c r="BF51" s="49">
        <f t="shared" si="19"/>
        <v>0</v>
      </c>
      <c r="BG51" s="49">
        <f t="shared" si="20"/>
        <v>0</v>
      </c>
      <c r="BH51" s="49">
        <f t="shared" si="21"/>
        <v>1</v>
      </c>
      <c r="BI51" s="49">
        <f t="shared" si="22"/>
        <v>0</v>
      </c>
      <c r="BJ51" s="49">
        <f t="shared" si="23"/>
        <v>0</v>
      </c>
      <c r="BK51" s="49">
        <f t="shared" si="24"/>
        <v>0</v>
      </c>
      <c r="BL51" s="49">
        <f t="shared" si="25"/>
        <v>1</v>
      </c>
      <c r="BM51" s="49">
        <f t="shared" si="26"/>
        <v>0</v>
      </c>
      <c r="BN51" s="49">
        <f t="shared" si="27"/>
        <v>0</v>
      </c>
      <c r="BO51" s="49">
        <f t="shared" si="28"/>
        <v>0</v>
      </c>
      <c r="BP51" s="49">
        <f t="shared" si="29"/>
        <v>1</v>
      </c>
      <c r="BQ51" s="49">
        <f t="shared" si="30"/>
        <v>0</v>
      </c>
      <c r="BR51" s="49">
        <f t="shared" si="31"/>
        <v>0</v>
      </c>
      <c r="BS51" s="49">
        <f t="shared" si="32"/>
        <v>0</v>
      </c>
      <c r="BT51" s="49">
        <f t="shared" si="33"/>
        <v>1</v>
      </c>
      <c r="BU51" s="49">
        <f t="shared" si="34"/>
        <v>0</v>
      </c>
      <c r="BV51" s="49">
        <f t="shared" si="35"/>
        <v>0</v>
      </c>
      <c r="BW51" s="49">
        <f t="shared" si="36"/>
        <v>0</v>
      </c>
    </row>
    <row r="52" spans="1:75" ht="35.1" customHeight="1" x14ac:dyDescent="0.3">
      <c r="A52" s="123" t="str">
        <f t="shared" si="0"/>
        <v>1팀</v>
      </c>
      <c r="B52" s="69">
        <f t="shared" si="1"/>
        <v>46</v>
      </c>
      <c r="C52" s="121" t="str">
        <f>IF(VLOOKUP($B52,'1. 현장별 인원현황'!$C:$J,2,0)=0,"",VLOOKUP($B52,'1. 현장별 인원현황'!$C:$J,2,0))</f>
        <v xml:space="preserve"> [1.대우건설] 청주 테크노폴리스 S1-1,2BL 주상복합 신축공사</v>
      </c>
      <c r="D52" s="74" t="str">
        <f>IF(VLOOKUP($B52,'1. 현장별 인원현황'!$C:$J,3,0)=0,"",VLOOKUP($B52,'1. 현장별 인원현황'!$C:$J,3,0))</f>
        <v>김차영</v>
      </c>
      <c r="E52" s="63" t="str">
        <f ca="1">IF(VLOOKUP($B52,'1. 현장별 인원현황'!$C:$J,4,0)=0,"",VLOOKUP($B52,'1. 현장별 인원현황'!$C:$J,4,0))</f>
        <v>56세</v>
      </c>
      <c r="F52" s="63" t="str">
        <f>IF(VLOOKUP($B52,'1. 현장별 인원현황'!$C:$J,7,0)=0,"",VLOOKUP($B52,'1. 현장별 인원현황'!$C:$J,7,0))</f>
        <v>공사</v>
      </c>
      <c r="G52" s="63" t="str">
        <f>IF(VLOOKUP($B52,'1. 현장별 인원현황'!$C:$J,8,0)=0,"",VLOOKUP($B52,'1. 현장별 인원현황'!$C:$J,8,0))</f>
        <v>차장</v>
      </c>
      <c r="H52" s="67" t="s">
        <v>69</v>
      </c>
      <c r="I52" s="73"/>
      <c r="J52" s="73"/>
      <c r="K52" s="68"/>
      <c r="L52" s="67"/>
      <c r="M52" s="73" t="s">
        <v>69</v>
      </c>
      <c r="N52" s="73"/>
      <c r="O52" s="68"/>
      <c r="P52" s="67" t="s">
        <v>69</v>
      </c>
      <c r="Q52" s="73"/>
      <c r="R52" s="73"/>
      <c r="S52" s="68"/>
      <c r="T52" s="67" t="s">
        <v>69</v>
      </c>
      <c r="U52" s="73"/>
      <c r="V52" s="73"/>
      <c r="W52" s="68"/>
      <c r="X52" s="67" t="s">
        <v>69</v>
      </c>
      <c r="Y52" s="73"/>
      <c r="Z52" s="73"/>
      <c r="AA52" s="68"/>
      <c r="AB52" s="67" t="s">
        <v>69</v>
      </c>
      <c r="AC52" s="73"/>
      <c r="AD52" s="73"/>
      <c r="AE52" s="68"/>
      <c r="AF52" s="67"/>
      <c r="AG52" s="73" t="s">
        <v>69</v>
      </c>
      <c r="AH52" s="73"/>
      <c r="AI52" s="68"/>
      <c r="AJ52" s="67" t="s">
        <v>69</v>
      </c>
      <c r="AK52" s="73"/>
      <c r="AL52" s="73"/>
      <c r="AM52" s="68"/>
      <c r="AN52" s="67">
        <f t="shared" si="2"/>
        <v>93</v>
      </c>
      <c r="AO52" s="68" t="str">
        <f t="shared" si="3"/>
        <v>S</v>
      </c>
      <c r="AR52" s="49">
        <f t="shared" si="5"/>
        <v>1</v>
      </c>
      <c r="AS52" s="49">
        <f t="shared" si="6"/>
        <v>0</v>
      </c>
      <c r="AT52" s="49">
        <f t="shared" si="7"/>
        <v>0</v>
      </c>
      <c r="AU52" s="49">
        <f t="shared" si="8"/>
        <v>0</v>
      </c>
      <c r="AV52" s="49">
        <f t="shared" si="9"/>
        <v>0</v>
      </c>
      <c r="AW52" s="49">
        <f t="shared" si="10"/>
        <v>1</v>
      </c>
      <c r="AX52" s="49">
        <f t="shared" si="11"/>
        <v>0</v>
      </c>
      <c r="AY52" s="49">
        <f t="shared" si="12"/>
        <v>0</v>
      </c>
      <c r="AZ52" s="49">
        <f t="shared" si="13"/>
        <v>1</v>
      </c>
      <c r="BA52" s="49">
        <f t="shared" si="14"/>
        <v>0</v>
      </c>
      <c r="BB52" s="49">
        <f t="shared" si="15"/>
        <v>0</v>
      </c>
      <c r="BC52" s="49">
        <f t="shared" si="16"/>
        <v>0</v>
      </c>
      <c r="BD52" s="49">
        <f t="shared" si="17"/>
        <v>1</v>
      </c>
      <c r="BE52" s="49">
        <f t="shared" si="18"/>
        <v>0</v>
      </c>
      <c r="BF52" s="49">
        <f t="shared" si="19"/>
        <v>0</v>
      </c>
      <c r="BG52" s="49">
        <f t="shared" si="20"/>
        <v>0</v>
      </c>
      <c r="BH52" s="49">
        <f t="shared" si="21"/>
        <v>1</v>
      </c>
      <c r="BI52" s="49">
        <f t="shared" si="22"/>
        <v>0</v>
      </c>
      <c r="BJ52" s="49">
        <f t="shared" si="23"/>
        <v>0</v>
      </c>
      <c r="BK52" s="49">
        <f t="shared" si="24"/>
        <v>0</v>
      </c>
      <c r="BL52" s="49">
        <f t="shared" si="25"/>
        <v>1</v>
      </c>
      <c r="BM52" s="49">
        <f t="shared" si="26"/>
        <v>0</v>
      </c>
      <c r="BN52" s="49">
        <f t="shared" si="27"/>
        <v>0</v>
      </c>
      <c r="BO52" s="49">
        <f t="shared" si="28"/>
        <v>0</v>
      </c>
      <c r="BP52" s="49">
        <f t="shared" si="29"/>
        <v>0</v>
      </c>
      <c r="BQ52" s="49">
        <f t="shared" si="30"/>
        <v>1</v>
      </c>
      <c r="BR52" s="49">
        <f t="shared" si="31"/>
        <v>0</v>
      </c>
      <c r="BS52" s="49">
        <f t="shared" si="32"/>
        <v>0</v>
      </c>
      <c r="BT52" s="49">
        <f t="shared" si="33"/>
        <v>1</v>
      </c>
      <c r="BU52" s="49">
        <f t="shared" si="34"/>
        <v>0</v>
      </c>
      <c r="BV52" s="49">
        <f t="shared" si="35"/>
        <v>0</v>
      </c>
      <c r="BW52" s="49">
        <f t="shared" si="36"/>
        <v>0</v>
      </c>
    </row>
    <row r="53" spans="1:75" ht="35.1" customHeight="1" x14ac:dyDescent="0.3">
      <c r="A53" s="123" t="str">
        <f t="shared" si="0"/>
        <v>1팀</v>
      </c>
      <c r="B53" s="69">
        <f t="shared" si="1"/>
        <v>47</v>
      </c>
      <c r="C53" s="121" t="str">
        <f>IF(VLOOKUP($B53,'1. 현장별 인원현황'!$C:$J,2,0)=0,"",VLOOKUP($B53,'1. 현장별 인원현황'!$C:$J,2,0))</f>
        <v xml:space="preserve"> [1.대우건설] 청주 테크노폴리스 S1-1,2BL 주상복합 신축공사</v>
      </c>
      <c r="D53" s="74" t="str">
        <f>IF(VLOOKUP($B53,'1. 현장별 인원현황'!$C:$J,3,0)=0,"",VLOOKUP($B53,'1. 현장별 인원현황'!$C:$J,3,0))</f>
        <v>이정국</v>
      </c>
      <c r="E53" s="63" t="str">
        <f ca="1">IF(VLOOKUP($B53,'1. 현장별 인원현황'!$C:$J,4,0)=0,"",VLOOKUP($B53,'1. 현장별 인원현황'!$C:$J,4,0))</f>
        <v>51세</v>
      </c>
      <c r="F53" s="63" t="str">
        <f>IF(VLOOKUP($B53,'1. 현장별 인원현황'!$C:$J,7,0)=0,"",VLOOKUP($B53,'1. 현장별 인원현황'!$C:$J,7,0))</f>
        <v>기능공</v>
      </c>
      <c r="G53" s="63" t="str">
        <f>IF(VLOOKUP($B53,'1. 현장별 인원현황'!$C:$J,8,0)=0,"",VLOOKUP($B53,'1. 현장별 인원현황'!$C:$J,8,0))</f>
        <v>전공</v>
      </c>
      <c r="H53" s="67" t="s">
        <v>69</v>
      </c>
      <c r="I53" s="73"/>
      <c r="J53" s="73"/>
      <c r="K53" s="68"/>
      <c r="L53" s="67"/>
      <c r="M53" s="73"/>
      <c r="N53" s="73" t="s">
        <v>69</v>
      </c>
      <c r="O53" s="68"/>
      <c r="P53" s="67" t="s">
        <v>69</v>
      </c>
      <c r="Q53" s="73"/>
      <c r="R53" s="73"/>
      <c r="S53" s="68"/>
      <c r="T53" s="67"/>
      <c r="U53" s="73" t="s">
        <v>69</v>
      </c>
      <c r="V53" s="73"/>
      <c r="W53" s="68"/>
      <c r="X53" s="67" t="s">
        <v>69</v>
      </c>
      <c r="Y53" s="73"/>
      <c r="Z53" s="73"/>
      <c r="AA53" s="68"/>
      <c r="AB53" s="67" t="s">
        <v>69</v>
      </c>
      <c r="AC53" s="73"/>
      <c r="AD53" s="73"/>
      <c r="AE53" s="68"/>
      <c r="AF53" s="67"/>
      <c r="AG53" s="73" t="s">
        <v>69</v>
      </c>
      <c r="AH53" s="73"/>
      <c r="AI53" s="68"/>
      <c r="AJ53" s="67" t="s">
        <v>69</v>
      </c>
      <c r="AK53" s="73"/>
      <c r="AL53" s="73"/>
      <c r="AM53" s="68"/>
      <c r="AN53" s="67">
        <f t="shared" si="2"/>
        <v>85</v>
      </c>
      <c r="AO53" s="68" t="str">
        <f t="shared" si="3"/>
        <v>A</v>
      </c>
      <c r="AR53" s="49">
        <f t="shared" si="5"/>
        <v>1</v>
      </c>
      <c r="AS53" s="49">
        <f t="shared" si="6"/>
        <v>0</v>
      </c>
      <c r="AT53" s="49">
        <f t="shared" si="7"/>
        <v>0</v>
      </c>
      <c r="AU53" s="49">
        <f t="shared" si="8"/>
        <v>0</v>
      </c>
      <c r="AV53" s="49">
        <f t="shared" si="9"/>
        <v>0</v>
      </c>
      <c r="AW53" s="49">
        <f t="shared" si="10"/>
        <v>0</v>
      </c>
      <c r="AX53" s="49">
        <f t="shared" si="11"/>
        <v>1</v>
      </c>
      <c r="AY53" s="49">
        <f t="shared" si="12"/>
        <v>0</v>
      </c>
      <c r="AZ53" s="49">
        <f t="shared" si="13"/>
        <v>1</v>
      </c>
      <c r="BA53" s="49">
        <f t="shared" si="14"/>
        <v>0</v>
      </c>
      <c r="BB53" s="49">
        <f t="shared" si="15"/>
        <v>0</v>
      </c>
      <c r="BC53" s="49">
        <f t="shared" si="16"/>
        <v>0</v>
      </c>
      <c r="BD53" s="49">
        <f t="shared" si="17"/>
        <v>0</v>
      </c>
      <c r="BE53" s="49">
        <f t="shared" si="18"/>
        <v>1</v>
      </c>
      <c r="BF53" s="49">
        <f t="shared" si="19"/>
        <v>0</v>
      </c>
      <c r="BG53" s="49">
        <f t="shared" si="20"/>
        <v>0</v>
      </c>
      <c r="BH53" s="49">
        <f t="shared" si="21"/>
        <v>1</v>
      </c>
      <c r="BI53" s="49">
        <f t="shared" si="22"/>
        <v>0</v>
      </c>
      <c r="BJ53" s="49">
        <f t="shared" si="23"/>
        <v>0</v>
      </c>
      <c r="BK53" s="49">
        <f t="shared" si="24"/>
        <v>0</v>
      </c>
      <c r="BL53" s="49">
        <f t="shared" si="25"/>
        <v>1</v>
      </c>
      <c r="BM53" s="49">
        <f t="shared" si="26"/>
        <v>0</v>
      </c>
      <c r="BN53" s="49">
        <f t="shared" si="27"/>
        <v>0</v>
      </c>
      <c r="BO53" s="49">
        <f t="shared" si="28"/>
        <v>0</v>
      </c>
      <c r="BP53" s="49">
        <f t="shared" si="29"/>
        <v>0</v>
      </c>
      <c r="BQ53" s="49">
        <f t="shared" si="30"/>
        <v>1</v>
      </c>
      <c r="BR53" s="49">
        <f t="shared" si="31"/>
        <v>0</v>
      </c>
      <c r="BS53" s="49">
        <f t="shared" si="32"/>
        <v>0</v>
      </c>
      <c r="BT53" s="49">
        <f t="shared" si="33"/>
        <v>1</v>
      </c>
      <c r="BU53" s="49">
        <f t="shared" si="34"/>
        <v>0</v>
      </c>
      <c r="BV53" s="49">
        <f t="shared" si="35"/>
        <v>0</v>
      </c>
      <c r="BW53" s="49">
        <f t="shared" si="36"/>
        <v>0</v>
      </c>
    </row>
    <row r="54" spans="1:75" ht="35.1" customHeight="1" x14ac:dyDescent="0.3">
      <c r="A54" s="123" t="str">
        <f t="shared" si="0"/>
        <v>1팀</v>
      </c>
      <c r="B54" s="69">
        <f t="shared" si="1"/>
        <v>48</v>
      </c>
      <c r="C54" s="121" t="str">
        <f>IF(VLOOKUP($B54,'1. 현장별 인원현황'!$C:$J,2,0)=0,"",VLOOKUP($B54,'1. 현장별 인원현황'!$C:$J,2,0))</f>
        <v xml:space="preserve"> [1.대우건설] 청주 테크노폴리스 S1-1,2BL 주상복합 신축공사</v>
      </c>
      <c r="D54" s="74" t="str">
        <f>IF(VLOOKUP($B54,'1. 현장별 인원현황'!$C:$J,3,0)=0,"",VLOOKUP($B54,'1. 현장별 인원현황'!$C:$J,3,0))</f>
        <v>김태훈</v>
      </c>
      <c r="E54" s="63" t="str">
        <f ca="1">IF(VLOOKUP($B54,'1. 현장별 인원현황'!$C:$J,4,0)=0,"",VLOOKUP($B54,'1. 현장별 인원현황'!$C:$J,4,0))</f>
        <v>38세</v>
      </c>
      <c r="F54" s="63" t="str">
        <f>IF(VLOOKUP($B54,'1. 현장별 인원현황'!$C:$J,7,0)=0,"",VLOOKUP($B54,'1. 현장별 인원현황'!$C:$J,7,0))</f>
        <v>기능공</v>
      </c>
      <c r="G54" s="63" t="str">
        <f>IF(VLOOKUP($B54,'1. 현장별 인원현황'!$C:$J,8,0)=0,"",VLOOKUP($B54,'1. 현장별 인원현황'!$C:$J,8,0))</f>
        <v>조공</v>
      </c>
      <c r="H54" s="67"/>
      <c r="I54" s="73" t="s">
        <v>69</v>
      </c>
      <c r="J54" s="73"/>
      <c r="K54" s="68"/>
      <c r="L54" s="67" t="s">
        <v>69</v>
      </c>
      <c r="M54" s="73"/>
      <c r="N54" s="73"/>
      <c r="O54" s="68"/>
      <c r="P54" s="67" t="s">
        <v>69</v>
      </c>
      <c r="Q54" s="73"/>
      <c r="R54" s="73"/>
      <c r="S54" s="68"/>
      <c r="T54" s="67" t="s">
        <v>69</v>
      </c>
      <c r="U54" s="73"/>
      <c r="V54" s="73"/>
      <c r="W54" s="68"/>
      <c r="X54" s="67" t="s">
        <v>69</v>
      </c>
      <c r="Y54" s="73"/>
      <c r="Z54" s="73"/>
      <c r="AA54" s="68"/>
      <c r="AB54" s="67" t="s">
        <v>69</v>
      </c>
      <c r="AC54" s="73"/>
      <c r="AD54" s="73"/>
      <c r="AE54" s="68"/>
      <c r="AF54" s="67" t="s">
        <v>69</v>
      </c>
      <c r="AG54" s="73"/>
      <c r="AH54" s="73"/>
      <c r="AI54" s="68"/>
      <c r="AJ54" s="67" t="s">
        <v>69</v>
      </c>
      <c r="AK54" s="73"/>
      <c r="AL54" s="73"/>
      <c r="AM54" s="68"/>
      <c r="AN54" s="67">
        <f t="shared" si="2"/>
        <v>96</v>
      </c>
      <c r="AO54" s="68" t="str">
        <f t="shared" si="3"/>
        <v>S</v>
      </c>
      <c r="AR54" s="49">
        <f t="shared" si="5"/>
        <v>0</v>
      </c>
      <c r="AS54" s="49">
        <f t="shared" si="6"/>
        <v>1</v>
      </c>
      <c r="AT54" s="49">
        <f t="shared" si="7"/>
        <v>0</v>
      </c>
      <c r="AU54" s="49">
        <f t="shared" si="8"/>
        <v>0</v>
      </c>
      <c r="AV54" s="49">
        <f t="shared" si="9"/>
        <v>1</v>
      </c>
      <c r="AW54" s="49">
        <f t="shared" si="10"/>
        <v>0</v>
      </c>
      <c r="AX54" s="49">
        <f t="shared" si="11"/>
        <v>0</v>
      </c>
      <c r="AY54" s="49">
        <f t="shared" si="12"/>
        <v>0</v>
      </c>
      <c r="AZ54" s="49">
        <f t="shared" si="13"/>
        <v>1</v>
      </c>
      <c r="BA54" s="49">
        <f t="shared" si="14"/>
        <v>0</v>
      </c>
      <c r="BB54" s="49">
        <f t="shared" si="15"/>
        <v>0</v>
      </c>
      <c r="BC54" s="49">
        <f t="shared" si="16"/>
        <v>0</v>
      </c>
      <c r="BD54" s="49">
        <f t="shared" si="17"/>
        <v>1</v>
      </c>
      <c r="BE54" s="49">
        <f t="shared" si="18"/>
        <v>0</v>
      </c>
      <c r="BF54" s="49">
        <f t="shared" si="19"/>
        <v>0</v>
      </c>
      <c r="BG54" s="49">
        <f t="shared" si="20"/>
        <v>0</v>
      </c>
      <c r="BH54" s="49">
        <f t="shared" si="21"/>
        <v>1</v>
      </c>
      <c r="BI54" s="49">
        <f t="shared" si="22"/>
        <v>0</v>
      </c>
      <c r="BJ54" s="49">
        <f t="shared" si="23"/>
        <v>0</v>
      </c>
      <c r="BK54" s="49">
        <f t="shared" si="24"/>
        <v>0</v>
      </c>
      <c r="BL54" s="49">
        <f t="shared" si="25"/>
        <v>1</v>
      </c>
      <c r="BM54" s="49">
        <f t="shared" si="26"/>
        <v>0</v>
      </c>
      <c r="BN54" s="49">
        <f t="shared" si="27"/>
        <v>0</v>
      </c>
      <c r="BO54" s="49">
        <f t="shared" si="28"/>
        <v>0</v>
      </c>
      <c r="BP54" s="49">
        <f t="shared" si="29"/>
        <v>1</v>
      </c>
      <c r="BQ54" s="49">
        <f t="shared" si="30"/>
        <v>0</v>
      </c>
      <c r="BR54" s="49">
        <f t="shared" si="31"/>
        <v>0</v>
      </c>
      <c r="BS54" s="49">
        <f t="shared" si="32"/>
        <v>0</v>
      </c>
      <c r="BT54" s="49">
        <f t="shared" si="33"/>
        <v>1</v>
      </c>
      <c r="BU54" s="49">
        <f t="shared" si="34"/>
        <v>0</v>
      </c>
      <c r="BV54" s="49">
        <f t="shared" si="35"/>
        <v>0</v>
      </c>
      <c r="BW54" s="49">
        <f t="shared" si="36"/>
        <v>0</v>
      </c>
    </row>
    <row r="55" spans="1:75" ht="35.1" customHeight="1" x14ac:dyDescent="0.3">
      <c r="A55" s="123" t="str">
        <f t="shared" si="0"/>
        <v>1팀</v>
      </c>
      <c r="B55" s="69">
        <f t="shared" si="1"/>
        <v>49</v>
      </c>
      <c r="C55" s="121" t="str">
        <f>IF(VLOOKUP($B55,'1. 현장별 인원현황'!$C:$J,2,0)=0,"",VLOOKUP($B55,'1. 현장별 인원현황'!$C:$J,2,0))</f>
        <v xml:space="preserve"> [1.대우건설] 청주 테크노폴리스 S1-1,2BL 주상복합 신축공사</v>
      </c>
      <c r="D55" s="74" t="str">
        <f>IF(VLOOKUP($B55,'1. 현장별 인원현황'!$C:$J,3,0)=0,"",VLOOKUP($B55,'1. 현장별 인원현황'!$C:$J,3,0))</f>
        <v>김용세</v>
      </c>
      <c r="E55" s="63" t="str">
        <f ca="1">IF(VLOOKUP($B55,'1. 현장별 인원현황'!$C:$J,4,0)=0,"",VLOOKUP($B55,'1. 현장별 인원현황'!$C:$J,4,0))</f>
        <v>50세</v>
      </c>
      <c r="F55" s="63" t="str">
        <f>IF(VLOOKUP($B55,'1. 현장별 인원현황'!$C:$J,7,0)=0,"",VLOOKUP($B55,'1. 현장별 인원현황'!$C:$J,7,0))</f>
        <v>기능공</v>
      </c>
      <c r="G55" s="63" t="str">
        <f>IF(VLOOKUP($B55,'1. 현장별 인원현황'!$C:$J,8,0)=0,"",VLOOKUP($B55,'1. 현장별 인원현황'!$C:$J,8,0))</f>
        <v>전공</v>
      </c>
      <c r="H55" s="67" t="s">
        <v>69</v>
      </c>
      <c r="I55" s="73"/>
      <c r="J55" s="73"/>
      <c r="K55" s="68"/>
      <c r="L55" s="67"/>
      <c r="M55" s="73"/>
      <c r="N55" s="73" t="s">
        <v>69</v>
      </c>
      <c r="O55" s="68"/>
      <c r="P55" s="67" t="s">
        <v>69</v>
      </c>
      <c r="Q55" s="73"/>
      <c r="R55" s="73"/>
      <c r="S55" s="68"/>
      <c r="T55" s="67" t="s">
        <v>69</v>
      </c>
      <c r="U55" s="73"/>
      <c r="V55" s="73"/>
      <c r="W55" s="68"/>
      <c r="X55" s="67" t="s">
        <v>69</v>
      </c>
      <c r="Y55" s="73"/>
      <c r="Z55" s="73"/>
      <c r="AA55" s="68"/>
      <c r="AB55" s="67" t="s">
        <v>69</v>
      </c>
      <c r="AC55" s="73"/>
      <c r="AD55" s="73"/>
      <c r="AE55" s="68"/>
      <c r="AF55" s="67"/>
      <c r="AG55" s="73" t="s">
        <v>69</v>
      </c>
      <c r="AH55" s="73"/>
      <c r="AI55" s="68"/>
      <c r="AJ55" s="67" t="s">
        <v>69</v>
      </c>
      <c r="AK55" s="73"/>
      <c r="AL55" s="73"/>
      <c r="AM55" s="68"/>
      <c r="AN55" s="67">
        <f t="shared" si="2"/>
        <v>89</v>
      </c>
      <c r="AO55" s="68" t="str">
        <f t="shared" si="3"/>
        <v>S</v>
      </c>
      <c r="AR55" s="49">
        <f t="shared" si="5"/>
        <v>1</v>
      </c>
      <c r="AS55" s="49">
        <f t="shared" si="6"/>
        <v>0</v>
      </c>
      <c r="AT55" s="49">
        <f t="shared" si="7"/>
        <v>0</v>
      </c>
      <c r="AU55" s="49">
        <f t="shared" si="8"/>
        <v>0</v>
      </c>
      <c r="AV55" s="49">
        <f t="shared" si="9"/>
        <v>0</v>
      </c>
      <c r="AW55" s="49">
        <f t="shared" si="10"/>
        <v>0</v>
      </c>
      <c r="AX55" s="49">
        <f t="shared" si="11"/>
        <v>1</v>
      </c>
      <c r="AY55" s="49">
        <f t="shared" si="12"/>
        <v>0</v>
      </c>
      <c r="AZ55" s="49">
        <f t="shared" si="13"/>
        <v>1</v>
      </c>
      <c r="BA55" s="49">
        <f t="shared" si="14"/>
        <v>0</v>
      </c>
      <c r="BB55" s="49">
        <f t="shared" si="15"/>
        <v>0</v>
      </c>
      <c r="BC55" s="49">
        <f t="shared" si="16"/>
        <v>0</v>
      </c>
      <c r="BD55" s="49">
        <f t="shared" si="17"/>
        <v>1</v>
      </c>
      <c r="BE55" s="49">
        <f t="shared" si="18"/>
        <v>0</v>
      </c>
      <c r="BF55" s="49">
        <f t="shared" si="19"/>
        <v>0</v>
      </c>
      <c r="BG55" s="49">
        <f t="shared" si="20"/>
        <v>0</v>
      </c>
      <c r="BH55" s="49">
        <f t="shared" si="21"/>
        <v>1</v>
      </c>
      <c r="BI55" s="49">
        <f t="shared" si="22"/>
        <v>0</v>
      </c>
      <c r="BJ55" s="49">
        <f t="shared" si="23"/>
        <v>0</v>
      </c>
      <c r="BK55" s="49">
        <f t="shared" si="24"/>
        <v>0</v>
      </c>
      <c r="BL55" s="49">
        <f t="shared" si="25"/>
        <v>1</v>
      </c>
      <c r="BM55" s="49">
        <f t="shared" si="26"/>
        <v>0</v>
      </c>
      <c r="BN55" s="49">
        <f t="shared" si="27"/>
        <v>0</v>
      </c>
      <c r="BO55" s="49">
        <f t="shared" si="28"/>
        <v>0</v>
      </c>
      <c r="BP55" s="49">
        <f t="shared" si="29"/>
        <v>0</v>
      </c>
      <c r="BQ55" s="49">
        <f t="shared" si="30"/>
        <v>1</v>
      </c>
      <c r="BR55" s="49">
        <f t="shared" si="31"/>
        <v>0</v>
      </c>
      <c r="BS55" s="49">
        <f t="shared" si="32"/>
        <v>0</v>
      </c>
      <c r="BT55" s="49">
        <f t="shared" si="33"/>
        <v>1</v>
      </c>
      <c r="BU55" s="49">
        <f t="shared" si="34"/>
        <v>0</v>
      </c>
      <c r="BV55" s="49">
        <f t="shared" si="35"/>
        <v>0</v>
      </c>
      <c r="BW55" s="49">
        <f t="shared" si="36"/>
        <v>0</v>
      </c>
    </row>
    <row r="56" spans="1:75" ht="35.1" customHeight="1" x14ac:dyDescent="0.3">
      <c r="A56" s="123" t="str">
        <f t="shared" si="0"/>
        <v>1팀</v>
      </c>
      <c r="B56" s="69">
        <f t="shared" si="1"/>
        <v>50</v>
      </c>
      <c r="C56" s="121" t="str">
        <f>IF(VLOOKUP($B56,'1. 현장별 인원현황'!$C:$J,2,0)=0,"",VLOOKUP($B56,'1. 현장별 인원현황'!$C:$J,2,0))</f>
        <v xml:space="preserve"> [1.대우건설] 청주 테크노폴리스 S1-1,2BL 주상복합 신축공사</v>
      </c>
      <c r="D56" s="74" t="str">
        <f>IF(VLOOKUP($B56,'1. 현장별 인원현황'!$C:$J,3,0)=0,"",VLOOKUP($B56,'1. 현장별 인원현황'!$C:$J,3,0))</f>
        <v>이상범</v>
      </c>
      <c r="E56" s="63" t="str">
        <f ca="1">IF(VLOOKUP($B56,'1. 현장별 인원현황'!$C:$J,4,0)=0,"",VLOOKUP($B56,'1. 현장별 인원현황'!$C:$J,4,0))</f>
        <v>51세</v>
      </c>
      <c r="F56" s="63" t="str">
        <f>IF(VLOOKUP($B56,'1. 현장별 인원현황'!$C:$J,7,0)=0,"",VLOOKUP($B56,'1. 현장별 인원현황'!$C:$J,7,0))</f>
        <v>기능공</v>
      </c>
      <c r="G56" s="63" t="str">
        <f>IF(VLOOKUP($B56,'1. 현장별 인원현황'!$C:$J,8,0)=0,"",VLOOKUP($B56,'1. 현장별 인원현황'!$C:$J,8,0))</f>
        <v>전공</v>
      </c>
      <c r="H56" s="67" t="s">
        <v>69</v>
      </c>
      <c r="I56" s="73"/>
      <c r="J56" s="73"/>
      <c r="K56" s="68"/>
      <c r="L56" s="67"/>
      <c r="M56" s="73"/>
      <c r="N56" s="73" t="s">
        <v>69</v>
      </c>
      <c r="O56" s="68"/>
      <c r="P56" s="67" t="s">
        <v>69</v>
      </c>
      <c r="Q56" s="73"/>
      <c r="R56" s="73"/>
      <c r="S56" s="68"/>
      <c r="T56" s="67"/>
      <c r="U56" s="73" t="s">
        <v>69</v>
      </c>
      <c r="V56" s="73"/>
      <c r="W56" s="68"/>
      <c r="X56" s="67" t="s">
        <v>69</v>
      </c>
      <c r="Y56" s="73"/>
      <c r="Z56" s="73"/>
      <c r="AA56" s="68"/>
      <c r="AB56" s="67" t="s">
        <v>69</v>
      </c>
      <c r="AC56" s="73"/>
      <c r="AD56" s="73"/>
      <c r="AE56" s="68"/>
      <c r="AF56" s="67"/>
      <c r="AG56" s="73" t="s">
        <v>69</v>
      </c>
      <c r="AH56" s="73"/>
      <c r="AI56" s="68"/>
      <c r="AJ56" s="67" t="s">
        <v>69</v>
      </c>
      <c r="AK56" s="73"/>
      <c r="AL56" s="73"/>
      <c r="AM56" s="68"/>
      <c r="AN56" s="67">
        <f t="shared" si="2"/>
        <v>85</v>
      </c>
      <c r="AO56" s="68" t="str">
        <f t="shared" si="3"/>
        <v>A</v>
      </c>
      <c r="AR56" s="49">
        <f t="shared" si="5"/>
        <v>1</v>
      </c>
      <c r="AS56" s="49">
        <f t="shared" si="6"/>
        <v>0</v>
      </c>
      <c r="AT56" s="49">
        <f t="shared" si="7"/>
        <v>0</v>
      </c>
      <c r="AU56" s="49">
        <f t="shared" si="8"/>
        <v>0</v>
      </c>
      <c r="AV56" s="49">
        <f t="shared" si="9"/>
        <v>0</v>
      </c>
      <c r="AW56" s="49">
        <f t="shared" si="10"/>
        <v>0</v>
      </c>
      <c r="AX56" s="49">
        <f t="shared" si="11"/>
        <v>1</v>
      </c>
      <c r="AY56" s="49">
        <f t="shared" si="12"/>
        <v>0</v>
      </c>
      <c r="AZ56" s="49">
        <f t="shared" si="13"/>
        <v>1</v>
      </c>
      <c r="BA56" s="49">
        <f t="shared" si="14"/>
        <v>0</v>
      </c>
      <c r="BB56" s="49">
        <f t="shared" si="15"/>
        <v>0</v>
      </c>
      <c r="BC56" s="49">
        <f t="shared" si="16"/>
        <v>0</v>
      </c>
      <c r="BD56" s="49">
        <f t="shared" si="17"/>
        <v>0</v>
      </c>
      <c r="BE56" s="49">
        <f t="shared" si="18"/>
        <v>1</v>
      </c>
      <c r="BF56" s="49">
        <f t="shared" si="19"/>
        <v>0</v>
      </c>
      <c r="BG56" s="49">
        <f t="shared" si="20"/>
        <v>0</v>
      </c>
      <c r="BH56" s="49">
        <f t="shared" si="21"/>
        <v>1</v>
      </c>
      <c r="BI56" s="49">
        <f t="shared" si="22"/>
        <v>0</v>
      </c>
      <c r="BJ56" s="49">
        <f t="shared" si="23"/>
        <v>0</v>
      </c>
      <c r="BK56" s="49">
        <f t="shared" si="24"/>
        <v>0</v>
      </c>
      <c r="BL56" s="49">
        <f t="shared" si="25"/>
        <v>1</v>
      </c>
      <c r="BM56" s="49">
        <f t="shared" si="26"/>
        <v>0</v>
      </c>
      <c r="BN56" s="49">
        <f t="shared" si="27"/>
        <v>0</v>
      </c>
      <c r="BO56" s="49">
        <f t="shared" si="28"/>
        <v>0</v>
      </c>
      <c r="BP56" s="49">
        <f t="shared" si="29"/>
        <v>0</v>
      </c>
      <c r="BQ56" s="49">
        <f t="shared" si="30"/>
        <v>1</v>
      </c>
      <c r="BR56" s="49">
        <f t="shared" si="31"/>
        <v>0</v>
      </c>
      <c r="BS56" s="49">
        <f t="shared" si="32"/>
        <v>0</v>
      </c>
      <c r="BT56" s="49">
        <f t="shared" si="33"/>
        <v>1</v>
      </c>
      <c r="BU56" s="49">
        <f t="shared" si="34"/>
        <v>0</v>
      </c>
      <c r="BV56" s="49">
        <f t="shared" si="35"/>
        <v>0</v>
      </c>
      <c r="BW56" s="49">
        <f t="shared" si="36"/>
        <v>0</v>
      </c>
    </row>
    <row r="57" spans="1:75" ht="35.1" customHeight="1" x14ac:dyDescent="0.3">
      <c r="A57" s="123" t="str">
        <f t="shared" si="0"/>
        <v>1팀</v>
      </c>
      <c r="B57" s="69">
        <f t="shared" si="1"/>
        <v>51</v>
      </c>
      <c r="C57" s="121" t="str">
        <f>IF(VLOOKUP($B57,'1. 현장별 인원현황'!$C:$J,2,0)=0,"",VLOOKUP($B57,'1. 현장별 인원현황'!$C:$J,2,0))</f>
        <v xml:space="preserve"> [1.대우건설] 청주 테크노폴리스 S1-1,2BL 주상복합 신축공사</v>
      </c>
      <c r="D57" s="74" t="str">
        <f>IF(VLOOKUP($B57,'1. 현장별 인원현황'!$C:$J,3,0)=0,"",VLOOKUP($B57,'1. 현장별 인원현황'!$C:$J,3,0))</f>
        <v>이용호</v>
      </c>
      <c r="E57" s="63" t="str">
        <f ca="1">IF(VLOOKUP($B57,'1. 현장별 인원현황'!$C:$J,4,0)=0,"",VLOOKUP($B57,'1. 현장별 인원현황'!$C:$J,4,0))</f>
        <v>61세</v>
      </c>
      <c r="F57" s="63" t="str">
        <f>IF(VLOOKUP($B57,'1. 현장별 인원현황'!$C:$J,7,0)=0,"",VLOOKUP($B57,'1. 현장별 인원현황'!$C:$J,7,0))</f>
        <v>기능공</v>
      </c>
      <c r="G57" s="63" t="str">
        <f>IF(VLOOKUP($B57,'1. 현장별 인원현황'!$C:$J,8,0)=0,"",VLOOKUP($B57,'1. 현장별 인원현황'!$C:$J,8,0))</f>
        <v>전공</v>
      </c>
      <c r="H57" s="67" t="s">
        <v>69</v>
      </c>
      <c r="I57" s="73"/>
      <c r="J57" s="73"/>
      <c r="K57" s="68"/>
      <c r="L57" s="67"/>
      <c r="M57" s="73"/>
      <c r="N57" s="73" t="s">
        <v>69</v>
      </c>
      <c r="O57" s="68"/>
      <c r="P57" s="67" t="s">
        <v>69</v>
      </c>
      <c r="Q57" s="73"/>
      <c r="R57" s="73"/>
      <c r="S57" s="68"/>
      <c r="T57" s="67"/>
      <c r="U57" s="73" t="s">
        <v>69</v>
      </c>
      <c r="V57" s="73"/>
      <c r="W57" s="68"/>
      <c r="X57" s="67" t="s">
        <v>69</v>
      </c>
      <c r="Y57" s="73"/>
      <c r="Z57" s="73"/>
      <c r="AA57" s="68"/>
      <c r="AB57" s="67" t="s">
        <v>69</v>
      </c>
      <c r="AC57" s="73"/>
      <c r="AD57" s="73"/>
      <c r="AE57" s="68"/>
      <c r="AF57" s="67"/>
      <c r="AG57" s="73" t="s">
        <v>69</v>
      </c>
      <c r="AH57" s="73"/>
      <c r="AI57" s="68"/>
      <c r="AJ57" s="67" t="s">
        <v>69</v>
      </c>
      <c r="AK57" s="73"/>
      <c r="AL57" s="73"/>
      <c r="AM57" s="68"/>
      <c r="AN57" s="67">
        <f t="shared" si="2"/>
        <v>85</v>
      </c>
      <c r="AO57" s="68" t="str">
        <f t="shared" si="3"/>
        <v>A</v>
      </c>
      <c r="AR57" s="49">
        <f t="shared" si="5"/>
        <v>1</v>
      </c>
      <c r="AS57" s="49">
        <f t="shared" si="6"/>
        <v>0</v>
      </c>
      <c r="AT57" s="49">
        <f t="shared" si="7"/>
        <v>0</v>
      </c>
      <c r="AU57" s="49">
        <f t="shared" si="8"/>
        <v>0</v>
      </c>
      <c r="AV57" s="49">
        <f t="shared" si="9"/>
        <v>0</v>
      </c>
      <c r="AW57" s="49">
        <f t="shared" si="10"/>
        <v>0</v>
      </c>
      <c r="AX57" s="49">
        <f t="shared" si="11"/>
        <v>1</v>
      </c>
      <c r="AY57" s="49">
        <f t="shared" si="12"/>
        <v>0</v>
      </c>
      <c r="AZ57" s="49">
        <f t="shared" si="13"/>
        <v>1</v>
      </c>
      <c r="BA57" s="49">
        <f t="shared" si="14"/>
        <v>0</v>
      </c>
      <c r="BB57" s="49">
        <f t="shared" si="15"/>
        <v>0</v>
      </c>
      <c r="BC57" s="49">
        <f t="shared" si="16"/>
        <v>0</v>
      </c>
      <c r="BD57" s="49">
        <f t="shared" si="17"/>
        <v>0</v>
      </c>
      <c r="BE57" s="49">
        <f t="shared" si="18"/>
        <v>1</v>
      </c>
      <c r="BF57" s="49">
        <f t="shared" si="19"/>
        <v>0</v>
      </c>
      <c r="BG57" s="49">
        <f t="shared" si="20"/>
        <v>0</v>
      </c>
      <c r="BH57" s="49">
        <f t="shared" si="21"/>
        <v>1</v>
      </c>
      <c r="BI57" s="49">
        <f t="shared" si="22"/>
        <v>0</v>
      </c>
      <c r="BJ57" s="49">
        <f t="shared" si="23"/>
        <v>0</v>
      </c>
      <c r="BK57" s="49">
        <f t="shared" si="24"/>
        <v>0</v>
      </c>
      <c r="BL57" s="49">
        <f t="shared" si="25"/>
        <v>1</v>
      </c>
      <c r="BM57" s="49">
        <f t="shared" si="26"/>
        <v>0</v>
      </c>
      <c r="BN57" s="49">
        <f t="shared" si="27"/>
        <v>0</v>
      </c>
      <c r="BO57" s="49">
        <f t="shared" si="28"/>
        <v>0</v>
      </c>
      <c r="BP57" s="49">
        <f t="shared" si="29"/>
        <v>0</v>
      </c>
      <c r="BQ57" s="49">
        <f t="shared" si="30"/>
        <v>1</v>
      </c>
      <c r="BR57" s="49">
        <f t="shared" si="31"/>
        <v>0</v>
      </c>
      <c r="BS57" s="49">
        <f t="shared" si="32"/>
        <v>0</v>
      </c>
      <c r="BT57" s="49">
        <f t="shared" si="33"/>
        <v>1</v>
      </c>
      <c r="BU57" s="49">
        <f t="shared" si="34"/>
        <v>0</v>
      </c>
      <c r="BV57" s="49">
        <f t="shared" si="35"/>
        <v>0</v>
      </c>
      <c r="BW57" s="49">
        <f t="shared" si="36"/>
        <v>0</v>
      </c>
    </row>
    <row r="58" spans="1:75" ht="35.1" customHeight="1" x14ac:dyDescent="0.3">
      <c r="A58" s="123" t="str">
        <f t="shared" si="0"/>
        <v>1팀</v>
      </c>
      <c r="B58" s="69">
        <f t="shared" si="1"/>
        <v>52</v>
      </c>
      <c r="C58" s="121" t="str">
        <f>IF(VLOOKUP($B58,'1. 현장별 인원현황'!$C:$J,2,0)=0,"",VLOOKUP($B58,'1. 현장별 인원현황'!$C:$J,2,0))</f>
        <v xml:space="preserve"> [1.대우건설] 청주 테크노폴리스 S1-1,2BL 주상복합 신축공사</v>
      </c>
      <c r="D58" s="74" t="str">
        <f>IF(VLOOKUP($B58,'1. 현장별 인원현황'!$C:$J,3,0)=0,"",VLOOKUP($B58,'1. 현장별 인원현황'!$C:$J,3,0))</f>
        <v>하재근</v>
      </c>
      <c r="E58" s="63" t="str">
        <f ca="1">IF(VLOOKUP($B58,'1. 현장별 인원현황'!$C:$J,4,0)=0,"",VLOOKUP($B58,'1. 현장별 인원현황'!$C:$J,4,0))</f>
        <v>54세</v>
      </c>
      <c r="F58" s="63" t="str">
        <f>IF(VLOOKUP($B58,'1. 현장별 인원현황'!$C:$J,7,0)=0,"",VLOOKUP($B58,'1. 현장별 인원현황'!$C:$J,7,0))</f>
        <v>기능공</v>
      </c>
      <c r="G58" s="63" t="str">
        <f>IF(VLOOKUP($B58,'1. 현장별 인원현황'!$C:$J,8,0)=0,"",VLOOKUP($B58,'1. 현장별 인원현황'!$C:$J,8,0))</f>
        <v>전공</v>
      </c>
      <c r="H58" s="67" t="s">
        <v>69</v>
      </c>
      <c r="I58" s="73"/>
      <c r="J58" s="73"/>
      <c r="K58" s="68"/>
      <c r="L58" s="67"/>
      <c r="M58" s="73"/>
      <c r="N58" s="73" t="s">
        <v>69</v>
      </c>
      <c r="O58" s="68"/>
      <c r="P58" s="67" t="s">
        <v>69</v>
      </c>
      <c r="Q58" s="73"/>
      <c r="R58" s="73"/>
      <c r="S58" s="68"/>
      <c r="T58" s="67"/>
      <c r="U58" s="73" t="s">
        <v>69</v>
      </c>
      <c r="V58" s="73"/>
      <c r="W58" s="68"/>
      <c r="X58" s="67" t="s">
        <v>69</v>
      </c>
      <c r="Y58" s="73"/>
      <c r="Z58" s="73"/>
      <c r="AA58" s="68"/>
      <c r="AB58" s="67" t="s">
        <v>69</v>
      </c>
      <c r="AC58" s="73"/>
      <c r="AD58" s="73"/>
      <c r="AE58" s="68"/>
      <c r="AF58" s="67"/>
      <c r="AG58" s="73" t="s">
        <v>69</v>
      </c>
      <c r="AH58" s="73"/>
      <c r="AI58" s="68"/>
      <c r="AJ58" s="67" t="s">
        <v>69</v>
      </c>
      <c r="AK58" s="73"/>
      <c r="AL58" s="73"/>
      <c r="AM58" s="68"/>
      <c r="AN58" s="67">
        <f t="shared" si="2"/>
        <v>85</v>
      </c>
      <c r="AO58" s="68" t="str">
        <f t="shared" si="3"/>
        <v>A</v>
      </c>
      <c r="AR58" s="49">
        <f t="shared" si="5"/>
        <v>1</v>
      </c>
      <c r="AS58" s="49">
        <f t="shared" si="6"/>
        <v>0</v>
      </c>
      <c r="AT58" s="49">
        <f t="shared" si="7"/>
        <v>0</v>
      </c>
      <c r="AU58" s="49">
        <f t="shared" si="8"/>
        <v>0</v>
      </c>
      <c r="AV58" s="49">
        <f t="shared" si="9"/>
        <v>0</v>
      </c>
      <c r="AW58" s="49">
        <f t="shared" si="10"/>
        <v>0</v>
      </c>
      <c r="AX58" s="49">
        <f t="shared" si="11"/>
        <v>1</v>
      </c>
      <c r="AY58" s="49">
        <f t="shared" si="12"/>
        <v>0</v>
      </c>
      <c r="AZ58" s="49">
        <f t="shared" si="13"/>
        <v>1</v>
      </c>
      <c r="BA58" s="49">
        <f t="shared" si="14"/>
        <v>0</v>
      </c>
      <c r="BB58" s="49">
        <f t="shared" si="15"/>
        <v>0</v>
      </c>
      <c r="BC58" s="49">
        <f t="shared" si="16"/>
        <v>0</v>
      </c>
      <c r="BD58" s="49">
        <f t="shared" si="17"/>
        <v>0</v>
      </c>
      <c r="BE58" s="49">
        <f t="shared" si="18"/>
        <v>1</v>
      </c>
      <c r="BF58" s="49">
        <f t="shared" si="19"/>
        <v>0</v>
      </c>
      <c r="BG58" s="49">
        <f t="shared" si="20"/>
        <v>0</v>
      </c>
      <c r="BH58" s="49">
        <f t="shared" si="21"/>
        <v>1</v>
      </c>
      <c r="BI58" s="49">
        <f t="shared" si="22"/>
        <v>0</v>
      </c>
      <c r="BJ58" s="49">
        <f t="shared" si="23"/>
        <v>0</v>
      </c>
      <c r="BK58" s="49">
        <f t="shared" si="24"/>
        <v>0</v>
      </c>
      <c r="BL58" s="49">
        <f t="shared" si="25"/>
        <v>1</v>
      </c>
      <c r="BM58" s="49">
        <f t="shared" si="26"/>
        <v>0</v>
      </c>
      <c r="BN58" s="49">
        <f t="shared" si="27"/>
        <v>0</v>
      </c>
      <c r="BO58" s="49">
        <f t="shared" si="28"/>
        <v>0</v>
      </c>
      <c r="BP58" s="49">
        <f t="shared" si="29"/>
        <v>0</v>
      </c>
      <c r="BQ58" s="49">
        <f t="shared" si="30"/>
        <v>1</v>
      </c>
      <c r="BR58" s="49">
        <f t="shared" si="31"/>
        <v>0</v>
      </c>
      <c r="BS58" s="49">
        <f t="shared" si="32"/>
        <v>0</v>
      </c>
      <c r="BT58" s="49">
        <f t="shared" si="33"/>
        <v>1</v>
      </c>
      <c r="BU58" s="49">
        <f t="shared" si="34"/>
        <v>0</v>
      </c>
      <c r="BV58" s="49">
        <f t="shared" si="35"/>
        <v>0</v>
      </c>
      <c r="BW58" s="49">
        <f t="shared" si="36"/>
        <v>0</v>
      </c>
    </row>
    <row r="59" spans="1:75" ht="35.1" customHeight="1" x14ac:dyDescent="0.3">
      <c r="A59" s="123" t="str">
        <f t="shared" si="0"/>
        <v>1팀</v>
      </c>
      <c r="B59" s="69">
        <f t="shared" si="1"/>
        <v>53</v>
      </c>
      <c r="C59" s="121" t="str">
        <f>IF(VLOOKUP($B59,'1. 현장별 인원현황'!$C:$J,2,0)=0,"",VLOOKUP($B59,'1. 현장별 인원현황'!$C:$J,2,0))</f>
        <v xml:space="preserve"> [1.대우건설] 청주 테크노폴리스 S1-1,2BL 주상복합 신축공사</v>
      </c>
      <c r="D59" s="74" t="str">
        <f>IF(VLOOKUP($B59,'1. 현장별 인원현황'!$C:$J,3,0)=0,"",VLOOKUP($B59,'1. 현장별 인원현황'!$C:$J,3,0))</f>
        <v>이영환</v>
      </c>
      <c r="E59" s="63" t="str">
        <f ca="1">IF(VLOOKUP($B59,'1. 현장별 인원현황'!$C:$J,4,0)=0,"",VLOOKUP($B59,'1. 현장별 인원현황'!$C:$J,4,0))</f>
        <v>47세</v>
      </c>
      <c r="F59" s="63" t="str">
        <f>IF(VLOOKUP($B59,'1. 현장별 인원현황'!$C:$J,7,0)=0,"",VLOOKUP($B59,'1. 현장별 인원현황'!$C:$J,7,0))</f>
        <v>기능공</v>
      </c>
      <c r="G59" s="63" t="str">
        <f>IF(VLOOKUP($B59,'1. 현장별 인원현황'!$C:$J,8,0)=0,"",VLOOKUP($B59,'1. 현장별 인원현황'!$C:$J,8,0))</f>
        <v>전공</v>
      </c>
      <c r="H59" s="67" t="s">
        <v>69</v>
      </c>
      <c r="I59" s="73"/>
      <c r="J59" s="73"/>
      <c r="K59" s="68"/>
      <c r="L59" s="67"/>
      <c r="M59" s="73"/>
      <c r="N59" s="73" t="s">
        <v>69</v>
      </c>
      <c r="O59" s="68"/>
      <c r="P59" s="67" t="s">
        <v>69</v>
      </c>
      <c r="Q59" s="73"/>
      <c r="R59" s="73"/>
      <c r="S59" s="68"/>
      <c r="T59" s="67"/>
      <c r="U59" s="73" t="s">
        <v>69</v>
      </c>
      <c r="V59" s="73"/>
      <c r="W59" s="68"/>
      <c r="X59" s="67" t="s">
        <v>69</v>
      </c>
      <c r="Y59" s="73"/>
      <c r="Z59" s="73"/>
      <c r="AA59" s="68"/>
      <c r="AB59" s="67" t="s">
        <v>69</v>
      </c>
      <c r="AC59" s="73"/>
      <c r="AD59" s="73"/>
      <c r="AE59" s="68"/>
      <c r="AF59" s="67"/>
      <c r="AG59" s="73" t="s">
        <v>69</v>
      </c>
      <c r="AH59" s="73"/>
      <c r="AI59" s="68"/>
      <c r="AJ59" s="67" t="s">
        <v>69</v>
      </c>
      <c r="AK59" s="73"/>
      <c r="AL59" s="73"/>
      <c r="AM59" s="68"/>
      <c r="AN59" s="67">
        <f t="shared" si="2"/>
        <v>85</v>
      </c>
      <c r="AO59" s="68" t="str">
        <f t="shared" si="3"/>
        <v>A</v>
      </c>
      <c r="AR59" s="49">
        <f t="shared" si="5"/>
        <v>1</v>
      </c>
      <c r="AS59" s="49">
        <f t="shared" si="6"/>
        <v>0</v>
      </c>
      <c r="AT59" s="49">
        <f t="shared" si="7"/>
        <v>0</v>
      </c>
      <c r="AU59" s="49">
        <f t="shared" si="8"/>
        <v>0</v>
      </c>
      <c r="AV59" s="49">
        <f t="shared" si="9"/>
        <v>0</v>
      </c>
      <c r="AW59" s="49">
        <f t="shared" si="10"/>
        <v>0</v>
      </c>
      <c r="AX59" s="49">
        <f t="shared" si="11"/>
        <v>1</v>
      </c>
      <c r="AY59" s="49">
        <f t="shared" si="12"/>
        <v>0</v>
      </c>
      <c r="AZ59" s="49">
        <f t="shared" si="13"/>
        <v>1</v>
      </c>
      <c r="BA59" s="49">
        <f t="shared" si="14"/>
        <v>0</v>
      </c>
      <c r="BB59" s="49">
        <f t="shared" si="15"/>
        <v>0</v>
      </c>
      <c r="BC59" s="49">
        <f t="shared" si="16"/>
        <v>0</v>
      </c>
      <c r="BD59" s="49">
        <f t="shared" si="17"/>
        <v>0</v>
      </c>
      <c r="BE59" s="49">
        <f t="shared" si="18"/>
        <v>1</v>
      </c>
      <c r="BF59" s="49">
        <f t="shared" si="19"/>
        <v>0</v>
      </c>
      <c r="BG59" s="49">
        <f t="shared" si="20"/>
        <v>0</v>
      </c>
      <c r="BH59" s="49">
        <f t="shared" si="21"/>
        <v>1</v>
      </c>
      <c r="BI59" s="49">
        <f t="shared" si="22"/>
        <v>0</v>
      </c>
      <c r="BJ59" s="49">
        <f t="shared" si="23"/>
        <v>0</v>
      </c>
      <c r="BK59" s="49">
        <f t="shared" si="24"/>
        <v>0</v>
      </c>
      <c r="BL59" s="49">
        <f t="shared" si="25"/>
        <v>1</v>
      </c>
      <c r="BM59" s="49">
        <f t="shared" si="26"/>
        <v>0</v>
      </c>
      <c r="BN59" s="49">
        <f t="shared" si="27"/>
        <v>0</v>
      </c>
      <c r="BO59" s="49">
        <f t="shared" si="28"/>
        <v>0</v>
      </c>
      <c r="BP59" s="49">
        <f t="shared" si="29"/>
        <v>0</v>
      </c>
      <c r="BQ59" s="49">
        <f t="shared" si="30"/>
        <v>1</v>
      </c>
      <c r="BR59" s="49">
        <f t="shared" si="31"/>
        <v>0</v>
      </c>
      <c r="BS59" s="49">
        <f t="shared" si="32"/>
        <v>0</v>
      </c>
      <c r="BT59" s="49">
        <f t="shared" si="33"/>
        <v>1</v>
      </c>
      <c r="BU59" s="49">
        <f t="shared" si="34"/>
        <v>0</v>
      </c>
      <c r="BV59" s="49">
        <f t="shared" si="35"/>
        <v>0</v>
      </c>
      <c r="BW59" s="49">
        <f t="shared" si="36"/>
        <v>0</v>
      </c>
    </row>
    <row r="60" spans="1:75" ht="35.1" customHeight="1" x14ac:dyDescent="0.3">
      <c r="A60" s="123" t="str">
        <f t="shared" si="0"/>
        <v>1팀</v>
      </c>
      <c r="B60" s="69">
        <f t="shared" si="1"/>
        <v>54</v>
      </c>
      <c r="C60" s="121" t="str">
        <f>IF(VLOOKUP($B60,'1. 현장별 인원현황'!$C:$J,2,0)=0,"",VLOOKUP($B60,'1. 현장별 인원현황'!$C:$J,2,0))</f>
        <v xml:space="preserve"> [1.대우건설] 청주 테크노폴리스 S1-1,2BL 주상복합 신축공사</v>
      </c>
      <c r="D60" s="74" t="str">
        <f>IF(VLOOKUP($B60,'1. 현장별 인원현황'!$C:$J,3,0)=0,"",VLOOKUP($B60,'1. 현장별 인원현황'!$C:$J,3,0))</f>
        <v>김기수</v>
      </c>
      <c r="E60" s="63" t="str">
        <f ca="1">IF(VLOOKUP($B60,'1. 현장별 인원현황'!$C:$J,4,0)=0,"",VLOOKUP($B60,'1. 현장별 인원현황'!$C:$J,4,0))</f>
        <v>47세</v>
      </c>
      <c r="F60" s="63" t="str">
        <f>IF(VLOOKUP($B60,'1. 현장별 인원현황'!$C:$J,7,0)=0,"",VLOOKUP($B60,'1. 현장별 인원현황'!$C:$J,7,0))</f>
        <v>기능공</v>
      </c>
      <c r="G60" s="63" t="str">
        <f>IF(VLOOKUP($B60,'1. 현장별 인원현황'!$C:$J,8,0)=0,"",VLOOKUP($B60,'1. 현장별 인원현황'!$C:$J,8,0))</f>
        <v>전공</v>
      </c>
      <c r="H60" s="67"/>
      <c r="I60" s="73" t="s">
        <v>69</v>
      </c>
      <c r="J60" s="73"/>
      <c r="K60" s="68"/>
      <c r="L60" s="67"/>
      <c r="M60" s="73"/>
      <c r="N60" s="73" t="s">
        <v>69</v>
      </c>
      <c r="O60" s="68"/>
      <c r="P60" s="67" t="s">
        <v>69</v>
      </c>
      <c r="Q60" s="73"/>
      <c r="R60" s="73"/>
      <c r="S60" s="68"/>
      <c r="T60" s="67"/>
      <c r="U60" s="73" t="s">
        <v>69</v>
      </c>
      <c r="V60" s="73"/>
      <c r="W60" s="68"/>
      <c r="X60" s="67" t="s">
        <v>69</v>
      </c>
      <c r="Y60" s="73"/>
      <c r="Z60" s="73"/>
      <c r="AA60" s="68"/>
      <c r="AB60" s="67" t="s">
        <v>69</v>
      </c>
      <c r="AC60" s="73"/>
      <c r="AD60" s="73"/>
      <c r="AE60" s="68"/>
      <c r="AF60" s="67"/>
      <c r="AG60" s="73" t="s">
        <v>69</v>
      </c>
      <c r="AH60" s="73"/>
      <c r="AI60" s="68"/>
      <c r="AJ60" s="67" t="s">
        <v>69</v>
      </c>
      <c r="AK60" s="73"/>
      <c r="AL60" s="73"/>
      <c r="AM60" s="68"/>
      <c r="AN60" s="67">
        <f t="shared" si="2"/>
        <v>81</v>
      </c>
      <c r="AO60" s="68" t="str">
        <f t="shared" si="3"/>
        <v>A</v>
      </c>
      <c r="AR60" s="49">
        <f t="shared" si="5"/>
        <v>0</v>
      </c>
      <c r="AS60" s="49">
        <f t="shared" si="6"/>
        <v>1</v>
      </c>
      <c r="AT60" s="49">
        <f t="shared" si="7"/>
        <v>0</v>
      </c>
      <c r="AU60" s="49">
        <f t="shared" si="8"/>
        <v>0</v>
      </c>
      <c r="AV60" s="49">
        <f t="shared" si="9"/>
        <v>0</v>
      </c>
      <c r="AW60" s="49">
        <f t="shared" si="10"/>
        <v>0</v>
      </c>
      <c r="AX60" s="49">
        <f t="shared" si="11"/>
        <v>1</v>
      </c>
      <c r="AY60" s="49">
        <f t="shared" si="12"/>
        <v>0</v>
      </c>
      <c r="AZ60" s="49">
        <f t="shared" si="13"/>
        <v>1</v>
      </c>
      <c r="BA60" s="49">
        <f t="shared" si="14"/>
        <v>0</v>
      </c>
      <c r="BB60" s="49">
        <f t="shared" si="15"/>
        <v>0</v>
      </c>
      <c r="BC60" s="49">
        <f t="shared" si="16"/>
        <v>0</v>
      </c>
      <c r="BD60" s="49">
        <f t="shared" si="17"/>
        <v>0</v>
      </c>
      <c r="BE60" s="49">
        <f t="shared" si="18"/>
        <v>1</v>
      </c>
      <c r="BF60" s="49">
        <f t="shared" si="19"/>
        <v>0</v>
      </c>
      <c r="BG60" s="49">
        <f t="shared" si="20"/>
        <v>0</v>
      </c>
      <c r="BH60" s="49">
        <f t="shared" si="21"/>
        <v>1</v>
      </c>
      <c r="BI60" s="49">
        <f t="shared" si="22"/>
        <v>0</v>
      </c>
      <c r="BJ60" s="49">
        <f t="shared" si="23"/>
        <v>0</v>
      </c>
      <c r="BK60" s="49">
        <f t="shared" si="24"/>
        <v>0</v>
      </c>
      <c r="BL60" s="49">
        <f t="shared" si="25"/>
        <v>1</v>
      </c>
      <c r="BM60" s="49">
        <f t="shared" si="26"/>
        <v>0</v>
      </c>
      <c r="BN60" s="49">
        <f t="shared" si="27"/>
        <v>0</v>
      </c>
      <c r="BO60" s="49">
        <f t="shared" si="28"/>
        <v>0</v>
      </c>
      <c r="BP60" s="49">
        <f t="shared" si="29"/>
        <v>0</v>
      </c>
      <c r="BQ60" s="49">
        <f t="shared" si="30"/>
        <v>1</v>
      </c>
      <c r="BR60" s="49">
        <f t="shared" si="31"/>
        <v>0</v>
      </c>
      <c r="BS60" s="49">
        <f t="shared" si="32"/>
        <v>0</v>
      </c>
      <c r="BT60" s="49">
        <f t="shared" si="33"/>
        <v>1</v>
      </c>
      <c r="BU60" s="49">
        <f t="shared" si="34"/>
        <v>0</v>
      </c>
      <c r="BV60" s="49">
        <f t="shared" si="35"/>
        <v>0</v>
      </c>
      <c r="BW60" s="49">
        <f t="shared" si="36"/>
        <v>0</v>
      </c>
    </row>
    <row r="61" spans="1:75" ht="35.1" customHeight="1" x14ac:dyDescent="0.3">
      <c r="A61" s="123" t="str">
        <f t="shared" si="0"/>
        <v>1팀</v>
      </c>
      <c r="B61" s="69">
        <f t="shared" si="1"/>
        <v>55</v>
      </c>
      <c r="C61" s="121" t="str">
        <f>IF(VLOOKUP($B61,'1. 현장별 인원현황'!$C:$J,2,0)=0,"",VLOOKUP($B61,'1. 현장별 인원현황'!$C:$J,2,0))</f>
        <v xml:space="preserve"> [1.대우건설] 청주 테크노폴리스 S1-1,2BL 주상복합 신축공사</v>
      </c>
      <c r="D61" s="74" t="str">
        <f>IF(VLOOKUP($B61,'1. 현장별 인원현황'!$C:$J,3,0)=0,"",VLOOKUP($B61,'1. 현장별 인원현황'!$C:$J,3,0))</f>
        <v>박진연</v>
      </c>
      <c r="E61" s="63" t="str">
        <f ca="1">IF(VLOOKUP($B61,'1. 현장별 인원현황'!$C:$J,4,0)=0,"",VLOOKUP($B61,'1. 현장별 인원현황'!$C:$J,4,0))</f>
        <v>50세</v>
      </c>
      <c r="F61" s="63" t="str">
        <f>IF(VLOOKUP($B61,'1. 현장별 인원현황'!$C:$J,7,0)=0,"",VLOOKUP($B61,'1. 현장별 인원현황'!$C:$J,7,0))</f>
        <v>기능공</v>
      </c>
      <c r="G61" s="63" t="str">
        <f>IF(VLOOKUP($B61,'1. 현장별 인원현황'!$C:$J,8,0)=0,"",VLOOKUP($B61,'1. 현장별 인원현황'!$C:$J,8,0))</f>
        <v>조공</v>
      </c>
      <c r="H61" s="67" t="s">
        <v>69</v>
      </c>
      <c r="I61" s="73"/>
      <c r="J61" s="73"/>
      <c r="K61" s="68"/>
      <c r="L61" s="67"/>
      <c r="M61" s="73"/>
      <c r="N61" s="73" t="s">
        <v>69</v>
      </c>
      <c r="O61" s="68"/>
      <c r="P61" s="67" t="s">
        <v>69</v>
      </c>
      <c r="Q61" s="73"/>
      <c r="R61" s="73"/>
      <c r="S61" s="68"/>
      <c r="T61" s="67"/>
      <c r="U61" s="73" t="s">
        <v>69</v>
      </c>
      <c r="V61" s="73"/>
      <c r="W61" s="68"/>
      <c r="X61" s="67" t="s">
        <v>69</v>
      </c>
      <c r="Y61" s="73"/>
      <c r="Z61" s="73"/>
      <c r="AA61" s="68"/>
      <c r="AB61" s="67" t="s">
        <v>69</v>
      </c>
      <c r="AC61" s="73"/>
      <c r="AD61" s="73"/>
      <c r="AE61" s="68"/>
      <c r="AF61" s="67"/>
      <c r="AG61" s="73" t="s">
        <v>69</v>
      </c>
      <c r="AH61" s="73"/>
      <c r="AI61" s="68"/>
      <c r="AJ61" s="67" t="s">
        <v>69</v>
      </c>
      <c r="AK61" s="73"/>
      <c r="AL61" s="73"/>
      <c r="AM61" s="68"/>
      <c r="AN61" s="67">
        <f t="shared" si="2"/>
        <v>85</v>
      </c>
      <c r="AO61" s="68" t="str">
        <f t="shared" si="3"/>
        <v>A</v>
      </c>
      <c r="AR61" s="49">
        <f t="shared" si="5"/>
        <v>1</v>
      </c>
      <c r="AS61" s="49">
        <f t="shared" si="6"/>
        <v>0</v>
      </c>
      <c r="AT61" s="49">
        <f t="shared" si="7"/>
        <v>0</v>
      </c>
      <c r="AU61" s="49">
        <f t="shared" si="8"/>
        <v>0</v>
      </c>
      <c r="AV61" s="49">
        <f t="shared" si="9"/>
        <v>0</v>
      </c>
      <c r="AW61" s="49">
        <f t="shared" si="10"/>
        <v>0</v>
      </c>
      <c r="AX61" s="49">
        <f t="shared" si="11"/>
        <v>1</v>
      </c>
      <c r="AY61" s="49">
        <f t="shared" si="12"/>
        <v>0</v>
      </c>
      <c r="AZ61" s="49">
        <f t="shared" si="13"/>
        <v>1</v>
      </c>
      <c r="BA61" s="49">
        <f t="shared" si="14"/>
        <v>0</v>
      </c>
      <c r="BB61" s="49">
        <f t="shared" si="15"/>
        <v>0</v>
      </c>
      <c r="BC61" s="49">
        <f t="shared" si="16"/>
        <v>0</v>
      </c>
      <c r="BD61" s="49">
        <f t="shared" si="17"/>
        <v>0</v>
      </c>
      <c r="BE61" s="49">
        <f t="shared" si="18"/>
        <v>1</v>
      </c>
      <c r="BF61" s="49">
        <f t="shared" si="19"/>
        <v>0</v>
      </c>
      <c r="BG61" s="49">
        <f t="shared" si="20"/>
        <v>0</v>
      </c>
      <c r="BH61" s="49">
        <f t="shared" si="21"/>
        <v>1</v>
      </c>
      <c r="BI61" s="49">
        <f t="shared" si="22"/>
        <v>0</v>
      </c>
      <c r="BJ61" s="49">
        <f t="shared" si="23"/>
        <v>0</v>
      </c>
      <c r="BK61" s="49">
        <f t="shared" si="24"/>
        <v>0</v>
      </c>
      <c r="BL61" s="49">
        <f t="shared" si="25"/>
        <v>1</v>
      </c>
      <c r="BM61" s="49">
        <f t="shared" si="26"/>
        <v>0</v>
      </c>
      <c r="BN61" s="49">
        <f t="shared" si="27"/>
        <v>0</v>
      </c>
      <c r="BO61" s="49">
        <f t="shared" si="28"/>
        <v>0</v>
      </c>
      <c r="BP61" s="49">
        <f t="shared" si="29"/>
        <v>0</v>
      </c>
      <c r="BQ61" s="49">
        <f t="shared" si="30"/>
        <v>1</v>
      </c>
      <c r="BR61" s="49">
        <f t="shared" si="31"/>
        <v>0</v>
      </c>
      <c r="BS61" s="49">
        <f t="shared" si="32"/>
        <v>0</v>
      </c>
      <c r="BT61" s="49">
        <f t="shared" si="33"/>
        <v>1</v>
      </c>
      <c r="BU61" s="49">
        <f t="shared" si="34"/>
        <v>0</v>
      </c>
      <c r="BV61" s="49">
        <f t="shared" si="35"/>
        <v>0</v>
      </c>
      <c r="BW61" s="49">
        <f t="shared" si="36"/>
        <v>0</v>
      </c>
    </row>
    <row r="62" spans="1:75" ht="35.1" customHeight="1" x14ac:dyDescent="0.3">
      <c r="A62" s="123" t="str">
        <f t="shared" si="0"/>
        <v>1팀</v>
      </c>
      <c r="B62" s="69">
        <f t="shared" si="1"/>
        <v>56</v>
      </c>
      <c r="C62" s="121" t="str">
        <f>IF(VLOOKUP($B62,'1. 현장별 인원현황'!$C:$J,2,0)=0,"",VLOOKUP($B62,'1. 현장별 인원현황'!$C:$J,2,0))</f>
        <v xml:space="preserve"> [1.대우건설] 청주 테크노폴리스 S1-1,2BL 주상복합 신축공사</v>
      </c>
      <c r="D62" s="74" t="str">
        <f>IF(VLOOKUP($B62,'1. 현장별 인원현황'!$C:$J,3,0)=0,"",VLOOKUP($B62,'1. 현장별 인원현황'!$C:$J,3,0))</f>
        <v>배경훈</v>
      </c>
      <c r="E62" s="63" t="str">
        <f ca="1">IF(VLOOKUP($B62,'1. 현장별 인원현황'!$C:$J,4,0)=0,"",VLOOKUP($B62,'1. 현장별 인원현황'!$C:$J,4,0))</f>
        <v>48세</v>
      </c>
      <c r="F62" s="63" t="str">
        <f>IF(VLOOKUP($B62,'1. 현장별 인원현황'!$C:$J,7,0)=0,"",VLOOKUP($B62,'1. 현장별 인원현황'!$C:$J,7,0))</f>
        <v>기능공</v>
      </c>
      <c r="G62" s="63" t="str">
        <f>IF(VLOOKUP($B62,'1. 현장별 인원현황'!$C:$J,8,0)=0,"",VLOOKUP($B62,'1. 현장별 인원현황'!$C:$J,8,0))</f>
        <v>조공</v>
      </c>
      <c r="H62" s="67" t="s">
        <v>69</v>
      </c>
      <c r="I62" s="73"/>
      <c r="J62" s="73"/>
      <c r="K62" s="68"/>
      <c r="L62" s="67"/>
      <c r="M62" s="73" t="s">
        <v>69</v>
      </c>
      <c r="N62" s="73"/>
      <c r="O62" s="68"/>
      <c r="P62" s="67" t="s">
        <v>69</v>
      </c>
      <c r="Q62" s="73"/>
      <c r="R62" s="73"/>
      <c r="S62" s="68"/>
      <c r="T62" s="67"/>
      <c r="U62" s="73" t="s">
        <v>69</v>
      </c>
      <c r="V62" s="73"/>
      <c r="W62" s="68"/>
      <c r="X62" s="67" t="s">
        <v>69</v>
      </c>
      <c r="Y62" s="73"/>
      <c r="Z62" s="73"/>
      <c r="AA62" s="68"/>
      <c r="AB62" s="67" t="s">
        <v>69</v>
      </c>
      <c r="AC62" s="73"/>
      <c r="AD62" s="73"/>
      <c r="AE62" s="68"/>
      <c r="AF62" s="67" t="s">
        <v>69</v>
      </c>
      <c r="AG62" s="73"/>
      <c r="AH62" s="73"/>
      <c r="AI62" s="68"/>
      <c r="AJ62" s="67" t="s">
        <v>69</v>
      </c>
      <c r="AK62" s="73"/>
      <c r="AL62" s="73"/>
      <c r="AM62" s="68"/>
      <c r="AN62" s="67">
        <f t="shared" si="2"/>
        <v>92</v>
      </c>
      <c r="AO62" s="68" t="str">
        <f t="shared" si="3"/>
        <v>S</v>
      </c>
      <c r="AR62" s="49">
        <f t="shared" si="5"/>
        <v>1</v>
      </c>
      <c r="AS62" s="49">
        <f t="shared" si="6"/>
        <v>0</v>
      </c>
      <c r="AT62" s="49">
        <f t="shared" si="7"/>
        <v>0</v>
      </c>
      <c r="AU62" s="49">
        <f t="shared" si="8"/>
        <v>0</v>
      </c>
      <c r="AV62" s="49">
        <f t="shared" si="9"/>
        <v>0</v>
      </c>
      <c r="AW62" s="49">
        <f t="shared" si="10"/>
        <v>1</v>
      </c>
      <c r="AX62" s="49">
        <f t="shared" si="11"/>
        <v>0</v>
      </c>
      <c r="AY62" s="49">
        <f t="shared" si="12"/>
        <v>0</v>
      </c>
      <c r="AZ62" s="49">
        <f t="shared" si="13"/>
        <v>1</v>
      </c>
      <c r="BA62" s="49">
        <f t="shared" si="14"/>
        <v>0</v>
      </c>
      <c r="BB62" s="49">
        <f t="shared" si="15"/>
        <v>0</v>
      </c>
      <c r="BC62" s="49">
        <f t="shared" si="16"/>
        <v>0</v>
      </c>
      <c r="BD62" s="49">
        <f t="shared" si="17"/>
        <v>0</v>
      </c>
      <c r="BE62" s="49">
        <f t="shared" si="18"/>
        <v>1</v>
      </c>
      <c r="BF62" s="49">
        <f t="shared" si="19"/>
        <v>0</v>
      </c>
      <c r="BG62" s="49">
        <f t="shared" si="20"/>
        <v>0</v>
      </c>
      <c r="BH62" s="49">
        <f t="shared" si="21"/>
        <v>1</v>
      </c>
      <c r="BI62" s="49">
        <f t="shared" si="22"/>
        <v>0</v>
      </c>
      <c r="BJ62" s="49">
        <f t="shared" si="23"/>
        <v>0</v>
      </c>
      <c r="BK62" s="49">
        <f t="shared" si="24"/>
        <v>0</v>
      </c>
      <c r="BL62" s="49">
        <f t="shared" si="25"/>
        <v>1</v>
      </c>
      <c r="BM62" s="49">
        <f t="shared" si="26"/>
        <v>0</v>
      </c>
      <c r="BN62" s="49">
        <f t="shared" si="27"/>
        <v>0</v>
      </c>
      <c r="BO62" s="49">
        <f t="shared" si="28"/>
        <v>0</v>
      </c>
      <c r="BP62" s="49">
        <f t="shared" si="29"/>
        <v>1</v>
      </c>
      <c r="BQ62" s="49">
        <f t="shared" si="30"/>
        <v>0</v>
      </c>
      <c r="BR62" s="49">
        <f t="shared" si="31"/>
        <v>0</v>
      </c>
      <c r="BS62" s="49">
        <f t="shared" si="32"/>
        <v>0</v>
      </c>
      <c r="BT62" s="49">
        <f t="shared" si="33"/>
        <v>1</v>
      </c>
      <c r="BU62" s="49">
        <f t="shared" si="34"/>
        <v>0</v>
      </c>
      <c r="BV62" s="49">
        <f t="shared" si="35"/>
        <v>0</v>
      </c>
      <c r="BW62" s="49">
        <f t="shared" si="36"/>
        <v>0</v>
      </c>
    </row>
    <row r="63" spans="1:75" ht="35.1" customHeight="1" x14ac:dyDescent="0.3">
      <c r="A63" s="123" t="str">
        <f t="shared" si="0"/>
        <v>1팀</v>
      </c>
      <c r="B63" s="69">
        <f t="shared" si="1"/>
        <v>57</v>
      </c>
      <c r="C63" s="121" t="str">
        <f>IF(VLOOKUP($B63,'1. 현장별 인원현황'!$C:$J,2,0)=0,"",VLOOKUP($B63,'1. 현장별 인원현황'!$C:$J,2,0))</f>
        <v xml:space="preserve"> [1.대우건설] 청주 테크노폴리스 S1-1,2BL 주상복합 신축공사</v>
      </c>
      <c r="D63" s="74" t="str">
        <f>IF(VLOOKUP($B63,'1. 현장별 인원현황'!$C:$J,3,0)=0,"",VLOOKUP($B63,'1. 현장별 인원현황'!$C:$J,3,0))</f>
        <v>김원</v>
      </c>
      <c r="E63" s="63" t="str">
        <f ca="1">IF(VLOOKUP($B63,'1. 현장별 인원현황'!$C:$J,4,0)=0,"",VLOOKUP($B63,'1. 현장별 인원현황'!$C:$J,4,0))</f>
        <v>43세</v>
      </c>
      <c r="F63" s="63" t="str">
        <f>IF(VLOOKUP($B63,'1. 현장별 인원현황'!$C:$J,7,0)=0,"",VLOOKUP($B63,'1. 현장별 인원현황'!$C:$J,7,0))</f>
        <v>기능공</v>
      </c>
      <c r="G63" s="63" t="str">
        <f>IF(VLOOKUP($B63,'1. 현장별 인원현황'!$C:$J,8,0)=0,"",VLOOKUP($B63,'1. 현장별 인원현황'!$C:$J,8,0))</f>
        <v>전공</v>
      </c>
      <c r="H63" s="67"/>
      <c r="I63" s="73" t="s">
        <v>69</v>
      </c>
      <c r="J63" s="73"/>
      <c r="K63" s="68"/>
      <c r="L63" s="67"/>
      <c r="M63" s="73"/>
      <c r="N63" s="73" t="s">
        <v>69</v>
      </c>
      <c r="O63" s="68"/>
      <c r="P63" s="67" t="s">
        <v>69</v>
      </c>
      <c r="Q63" s="73"/>
      <c r="R63" s="73"/>
      <c r="S63" s="68"/>
      <c r="T63" s="67"/>
      <c r="U63" s="73" t="s">
        <v>69</v>
      </c>
      <c r="V63" s="73"/>
      <c r="W63" s="68"/>
      <c r="X63" s="67" t="s">
        <v>69</v>
      </c>
      <c r="Y63" s="73"/>
      <c r="Z63" s="73"/>
      <c r="AA63" s="68"/>
      <c r="AB63" s="67" t="s">
        <v>69</v>
      </c>
      <c r="AC63" s="73"/>
      <c r="AD63" s="73"/>
      <c r="AE63" s="68"/>
      <c r="AF63" s="67"/>
      <c r="AG63" s="73" t="s">
        <v>69</v>
      </c>
      <c r="AH63" s="73"/>
      <c r="AI63" s="68"/>
      <c r="AJ63" s="67" t="s">
        <v>69</v>
      </c>
      <c r="AK63" s="73"/>
      <c r="AL63" s="73"/>
      <c r="AM63" s="68"/>
      <c r="AN63" s="67">
        <f t="shared" si="2"/>
        <v>81</v>
      </c>
      <c r="AO63" s="68" t="str">
        <f t="shared" si="3"/>
        <v>A</v>
      </c>
      <c r="AR63" s="49">
        <f t="shared" si="5"/>
        <v>0</v>
      </c>
      <c r="AS63" s="49">
        <f t="shared" si="6"/>
        <v>1</v>
      </c>
      <c r="AT63" s="49">
        <f t="shared" si="7"/>
        <v>0</v>
      </c>
      <c r="AU63" s="49">
        <f t="shared" si="8"/>
        <v>0</v>
      </c>
      <c r="AV63" s="49">
        <f t="shared" si="9"/>
        <v>0</v>
      </c>
      <c r="AW63" s="49">
        <f t="shared" si="10"/>
        <v>0</v>
      </c>
      <c r="AX63" s="49">
        <f t="shared" si="11"/>
        <v>1</v>
      </c>
      <c r="AY63" s="49">
        <f t="shared" si="12"/>
        <v>0</v>
      </c>
      <c r="AZ63" s="49">
        <f t="shared" si="13"/>
        <v>1</v>
      </c>
      <c r="BA63" s="49">
        <f t="shared" si="14"/>
        <v>0</v>
      </c>
      <c r="BB63" s="49">
        <f t="shared" si="15"/>
        <v>0</v>
      </c>
      <c r="BC63" s="49">
        <f t="shared" si="16"/>
        <v>0</v>
      </c>
      <c r="BD63" s="49">
        <f t="shared" si="17"/>
        <v>0</v>
      </c>
      <c r="BE63" s="49">
        <f t="shared" si="18"/>
        <v>1</v>
      </c>
      <c r="BF63" s="49">
        <f t="shared" si="19"/>
        <v>0</v>
      </c>
      <c r="BG63" s="49">
        <f t="shared" si="20"/>
        <v>0</v>
      </c>
      <c r="BH63" s="49">
        <f t="shared" si="21"/>
        <v>1</v>
      </c>
      <c r="BI63" s="49">
        <f t="shared" si="22"/>
        <v>0</v>
      </c>
      <c r="BJ63" s="49">
        <f t="shared" si="23"/>
        <v>0</v>
      </c>
      <c r="BK63" s="49">
        <f t="shared" si="24"/>
        <v>0</v>
      </c>
      <c r="BL63" s="49">
        <f t="shared" si="25"/>
        <v>1</v>
      </c>
      <c r="BM63" s="49">
        <f t="shared" si="26"/>
        <v>0</v>
      </c>
      <c r="BN63" s="49">
        <f t="shared" si="27"/>
        <v>0</v>
      </c>
      <c r="BO63" s="49">
        <f t="shared" si="28"/>
        <v>0</v>
      </c>
      <c r="BP63" s="49">
        <f t="shared" si="29"/>
        <v>0</v>
      </c>
      <c r="BQ63" s="49">
        <f t="shared" si="30"/>
        <v>1</v>
      </c>
      <c r="BR63" s="49">
        <f t="shared" si="31"/>
        <v>0</v>
      </c>
      <c r="BS63" s="49">
        <f t="shared" si="32"/>
        <v>0</v>
      </c>
      <c r="BT63" s="49">
        <f t="shared" si="33"/>
        <v>1</v>
      </c>
      <c r="BU63" s="49">
        <f t="shared" si="34"/>
        <v>0</v>
      </c>
      <c r="BV63" s="49">
        <f t="shared" si="35"/>
        <v>0</v>
      </c>
      <c r="BW63" s="49">
        <f t="shared" si="36"/>
        <v>0</v>
      </c>
    </row>
    <row r="64" spans="1:75" ht="35.1" customHeight="1" x14ac:dyDescent="0.3">
      <c r="A64" s="123" t="str">
        <f t="shared" si="0"/>
        <v>1팀</v>
      </c>
      <c r="B64" s="69">
        <f t="shared" si="1"/>
        <v>58</v>
      </c>
      <c r="C64" s="121" t="str">
        <f>IF(VLOOKUP($B64,'1. 현장별 인원현황'!$C:$J,2,0)=0,"",VLOOKUP($B64,'1. 현장별 인원현황'!$C:$J,2,0))</f>
        <v xml:space="preserve"> [1.대우건설] 청주 테크노폴리스 S1-1,2BL 주상복합 신축공사</v>
      </c>
      <c r="D64" s="74" t="str">
        <f>IF(VLOOKUP($B64,'1. 현장별 인원현황'!$C:$J,3,0)=0,"",VLOOKUP($B64,'1. 현장별 인원현황'!$C:$J,3,0))</f>
        <v>고상용</v>
      </c>
      <c r="E64" s="63" t="str">
        <f ca="1">IF(VLOOKUP($B64,'1. 현장별 인원현황'!$C:$J,4,0)=0,"",VLOOKUP($B64,'1. 현장별 인원현황'!$C:$J,4,0))</f>
        <v>53세</v>
      </c>
      <c r="F64" s="63" t="str">
        <f>IF(VLOOKUP($B64,'1. 현장별 인원현황'!$C:$J,7,0)=0,"",VLOOKUP($B64,'1. 현장별 인원현황'!$C:$J,7,0))</f>
        <v>기능공</v>
      </c>
      <c r="G64" s="63" t="str">
        <f>IF(VLOOKUP($B64,'1. 현장별 인원현황'!$C:$J,8,0)=0,"",VLOOKUP($B64,'1. 현장별 인원현황'!$C:$J,8,0))</f>
        <v>전공</v>
      </c>
      <c r="H64" s="67" t="s">
        <v>69</v>
      </c>
      <c r="I64" s="73"/>
      <c r="J64" s="73"/>
      <c r="K64" s="68"/>
      <c r="L64" s="67"/>
      <c r="M64" s="73"/>
      <c r="N64" s="73" t="s">
        <v>69</v>
      </c>
      <c r="O64" s="68"/>
      <c r="P64" s="67" t="s">
        <v>69</v>
      </c>
      <c r="Q64" s="73"/>
      <c r="R64" s="73"/>
      <c r="S64" s="68"/>
      <c r="T64" s="67"/>
      <c r="U64" s="73" t="s">
        <v>69</v>
      </c>
      <c r="V64" s="73"/>
      <c r="W64" s="68"/>
      <c r="X64" s="67" t="s">
        <v>69</v>
      </c>
      <c r="Y64" s="73"/>
      <c r="Z64" s="73"/>
      <c r="AA64" s="68"/>
      <c r="AB64" s="67" t="s">
        <v>69</v>
      </c>
      <c r="AC64" s="73"/>
      <c r="AD64" s="73"/>
      <c r="AE64" s="68"/>
      <c r="AF64" s="67"/>
      <c r="AG64" s="73" t="s">
        <v>69</v>
      </c>
      <c r="AH64" s="73"/>
      <c r="AI64" s="68"/>
      <c r="AJ64" s="67" t="s">
        <v>69</v>
      </c>
      <c r="AK64" s="73"/>
      <c r="AL64" s="73"/>
      <c r="AM64" s="68"/>
      <c r="AN64" s="67">
        <f t="shared" si="2"/>
        <v>85</v>
      </c>
      <c r="AO64" s="68" t="str">
        <f t="shared" si="3"/>
        <v>A</v>
      </c>
      <c r="AR64" s="49">
        <f t="shared" si="5"/>
        <v>1</v>
      </c>
      <c r="AS64" s="49">
        <f t="shared" si="6"/>
        <v>0</v>
      </c>
      <c r="AT64" s="49">
        <f t="shared" si="7"/>
        <v>0</v>
      </c>
      <c r="AU64" s="49">
        <f t="shared" si="8"/>
        <v>0</v>
      </c>
      <c r="AV64" s="49">
        <f t="shared" si="9"/>
        <v>0</v>
      </c>
      <c r="AW64" s="49">
        <f t="shared" si="10"/>
        <v>0</v>
      </c>
      <c r="AX64" s="49">
        <f t="shared" si="11"/>
        <v>1</v>
      </c>
      <c r="AY64" s="49">
        <f t="shared" si="12"/>
        <v>0</v>
      </c>
      <c r="AZ64" s="49">
        <f t="shared" si="13"/>
        <v>1</v>
      </c>
      <c r="BA64" s="49">
        <f t="shared" si="14"/>
        <v>0</v>
      </c>
      <c r="BB64" s="49">
        <f t="shared" si="15"/>
        <v>0</v>
      </c>
      <c r="BC64" s="49">
        <f t="shared" si="16"/>
        <v>0</v>
      </c>
      <c r="BD64" s="49">
        <f t="shared" si="17"/>
        <v>0</v>
      </c>
      <c r="BE64" s="49">
        <f t="shared" si="18"/>
        <v>1</v>
      </c>
      <c r="BF64" s="49">
        <f t="shared" si="19"/>
        <v>0</v>
      </c>
      <c r="BG64" s="49">
        <f t="shared" si="20"/>
        <v>0</v>
      </c>
      <c r="BH64" s="49">
        <f t="shared" si="21"/>
        <v>1</v>
      </c>
      <c r="BI64" s="49">
        <f t="shared" si="22"/>
        <v>0</v>
      </c>
      <c r="BJ64" s="49">
        <f t="shared" si="23"/>
        <v>0</v>
      </c>
      <c r="BK64" s="49">
        <f t="shared" si="24"/>
        <v>0</v>
      </c>
      <c r="BL64" s="49">
        <f t="shared" si="25"/>
        <v>1</v>
      </c>
      <c r="BM64" s="49">
        <f t="shared" si="26"/>
        <v>0</v>
      </c>
      <c r="BN64" s="49">
        <f t="shared" si="27"/>
        <v>0</v>
      </c>
      <c r="BO64" s="49">
        <f t="shared" si="28"/>
        <v>0</v>
      </c>
      <c r="BP64" s="49">
        <f t="shared" si="29"/>
        <v>0</v>
      </c>
      <c r="BQ64" s="49">
        <f t="shared" si="30"/>
        <v>1</v>
      </c>
      <c r="BR64" s="49">
        <f t="shared" si="31"/>
        <v>0</v>
      </c>
      <c r="BS64" s="49">
        <f t="shared" si="32"/>
        <v>0</v>
      </c>
      <c r="BT64" s="49">
        <f t="shared" si="33"/>
        <v>1</v>
      </c>
      <c r="BU64" s="49">
        <f t="shared" si="34"/>
        <v>0</v>
      </c>
      <c r="BV64" s="49">
        <f t="shared" si="35"/>
        <v>0</v>
      </c>
      <c r="BW64" s="49">
        <f t="shared" si="36"/>
        <v>0</v>
      </c>
    </row>
    <row r="65" spans="1:75" ht="35.1" customHeight="1" x14ac:dyDescent="0.3">
      <c r="A65" s="123" t="str">
        <f t="shared" si="0"/>
        <v>1팀</v>
      </c>
      <c r="B65" s="69">
        <f t="shared" si="1"/>
        <v>59</v>
      </c>
      <c r="C65" s="121" t="str">
        <f>IF(VLOOKUP($B65,'1. 현장별 인원현황'!$C:$J,2,0)=0,"",VLOOKUP($B65,'1. 현장별 인원현황'!$C:$J,2,0))</f>
        <v xml:space="preserve"> [1.대우건설] 청주 테크노폴리스 S1-1,2BL 주상복합 신축공사</v>
      </c>
      <c r="D65" s="74" t="str">
        <f>IF(VLOOKUP($B65,'1. 현장별 인원현황'!$C:$J,3,0)=0,"",VLOOKUP($B65,'1. 현장별 인원현황'!$C:$J,3,0))</f>
        <v>하태홍</v>
      </c>
      <c r="E65" s="63" t="str">
        <f ca="1">IF(VLOOKUP($B65,'1. 현장별 인원현황'!$C:$J,4,0)=0,"",VLOOKUP($B65,'1. 현장별 인원현황'!$C:$J,4,0))</f>
        <v>58세</v>
      </c>
      <c r="F65" s="63" t="str">
        <f>IF(VLOOKUP($B65,'1. 현장별 인원현황'!$C:$J,7,0)=0,"",VLOOKUP($B65,'1. 현장별 인원현황'!$C:$J,7,0))</f>
        <v>기능공</v>
      </c>
      <c r="G65" s="63" t="str">
        <f>IF(VLOOKUP($B65,'1. 현장별 인원현황'!$C:$J,8,0)=0,"",VLOOKUP($B65,'1. 현장별 인원현황'!$C:$J,8,0))</f>
        <v>전공</v>
      </c>
      <c r="H65" s="67" t="s">
        <v>69</v>
      </c>
      <c r="I65" s="73"/>
      <c r="J65" s="73"/>
      <c r="K65" s="68"/>
      <c r="L65" s="67"/>
      <c r="M65" s="73"/>
      <c r="N65" s="73" t="s">
        <v>69</v>
      </c>
      <c r="O65" s="68"/>
      <c r="P65" s="67" t="s">
        <v>69</v>
      </c>
      <c r="Q65" s="73"/>
      <c r="R65" s="73"/>
      <c r="S65" s="68"/>
      <c r="T65" s="67"/>
      <c r="U65" s="73" t="s">
        <v>69</v>
      </c>
      <c r="V65" s="73"/>
      <c r="W65" s="68"/>
      <c r="X65" s="67" t="s">
        <v>69</v>
      </c>
      <c r="Y65" s="73"/>
      <c r="Z65" s="73"/>
      <c r="AA65" s="68"/>
      <c r="AB65" s="67" t="s">
        <v>69</v>
      </c>
      <c r="AC65" s="73"/>
      <c r="AD65" s="73"/>
      <c r="AE65" s="68"/>
      <c r="AF65" s="67"/>
      <c r="AG65" s="73" t="s">
        <v>69</v>
      </c>
      <c r="AH65" s="73"/>
      <c r="AI65" s="68"/>
      <c r="AJ65" s="67" t="s">
        <v>69</v>
      </c>
      <c r="AK65" s="73"/>
      <c r="AL65" s="73"/>
      <c r="AM65" s="68"/>
      <c r="AN65" s="67">
        <f t="shared" si="2"/>
        <v>85</v>
      </c>
      <c r="AO65" s="68" t="str">
        <f t="shared" si="3"/>
        <v>A</v>
      </c>
      <c r="AR65" s="49">
        <f t="shared" si="5"/>
        <v>1</v>
      </c>
      <c r="AS65" s="49">
        <f t="shared" si="6"/>
        <v>0</v>
      </c>
      <c r="AT65" s="49">
        <f t="shared" si="7"/>
        <v>0</v>
      </c>
      <c r="AU65" s="49">
        <f t="shared" si="8"/>
        <v>0</v>
      </c>
      <c r="AV65" s="49">
        <f t="shared" si="9"/>
        <v>0</v>
      </c>
      <c r="AW65" s="49">
        <f t="shared" si="10"/>
        <v>0</v>
      </c>
      <c r="AX65" s="49">
        <f t="shared" si="11"/>
        <v>1</v>
      </c>
      <c r="AY65" s="49">
        <f t="shared" si="12"/>
        <v>0</v>
      </c>
      <c r="AZ65" s="49">
        <f t="shared" si="13"/>
        <v>1</v>
      </c>
      <c r="BA65" s="49">
        <f t="shared" si="14"/>
        <v>0</v>
      </c>
      <c r="BB65" s="49">
        <f t="shared" si="15"/>
        <v>0</v>
      </c>
      <c r="BC65" s="49">
        <f t="shared" si="16"/>
        <v>0</v>
      </c>
      <c r="BD65" s="49">
        <f t="shared" si="17"/>
        <v>0</v>
      </c>
      <c r="BE65" s="49">
        <f t="shared" si="18"/>
        <v>1</v>
      </c>
      <c r="BF65" s="49">
        <f t="shared" si="19"/>
        <v>0</v>
      </c>
      <c r="BG65" s="49">
        <f t="shared" si="20"/>
        <v>0</v>
      </c>
      <c r="BH65" s="49">
        <f t="shared" si="21"/>
        <v>1</v>
      </c>
      <c r="BI65" s="49">
        <f t="shared" si="22"/>
        <v>0</v>
      </c>
      <c r="BJ65" s="49">
        <f t="shared" si="23"/>
        <v>0</v>
      </c>
      <c r="BK65" s="49">
        <f t="shared" si="24"/>
        <v>0</v>
      </c>
      <c r="BL65" s="49">
        <f t="shared" si="25"/>
        <v>1</v>
      </c>
      <c r="BM65" s="49">
        <f t="shared" si="26"/>
        <v>0</v>
      </c>
      <c r="BN65" s="49">
        <f t="shared" si="27"/>
        <v>0</v>
      </c>
      <c r="BO65" s="49">
        <f t="shared" si="28"/>
        <v>0</v>
      </c>
      <c r="BP65" s="49">
        <f t="shared" si="29"/>
        <v>0</v>
      </c>
      <c r="BQ65" s="49">
        <f t="shared" si="30"/>
        <v>1</v>
      </c>
      <c r="BR65" s="49">
        <f t="shared" si="31"/>
        <v>0</v>
      </c>
      <c r="BS65" s="49">
        <f t="shared" si="32"/>
        <v>0</v>
      </c>
      <c r="BT65" s="49">
        <f t="shared" si="33"/>
        <v>1</v>
      </c>
      <c r="BU65" s="49">
        <f t="shared" si="34"/>
        <v>0</v>
      </c>
      <c r="BV65" s="49">
        <f t="shared" si="35"/>
        <v>0</v>
      </c>
      <c r="BW65" s="49">
        <f t="shared" si="36"/>
        <v>0</v>
      </c>
    </row>
    <row r="66" spans="1:75" ht="35.1" customHeight="1" x14ac:dyDescent="0.3">
      <c r="A66" s="123" t="str">
        <f t="shared" si="0"/>
        <v>1팀</v>
      </c>
      <c r="B66" s="69">
        <f t="shared" si="1"/>
        <v>60</v>
      </c>
      <c r="C66" s="121" t="str">
        <f>IF(VLOOKUP($B66,'1. 현장별 인원현황'!$C:$J,2,0)=0,"",VLOOKUP($B66,'1. 현장별 인원현황'!$C:$J,2,0))</f>
        <v xml:space="preserve"> [1.대우건설] 청주 테크노폴리스 S1-1,2BL 주상복합 신축공사</v>
      </c>
      <c r="D66" s="74" t="str">
        <f>IF(VLOOKUP($B66,'1. 현장별 인원현황'!$C:$J,3,0)=0,"",VLOOKUP($B66,'1. 현장별 인원현황'!$C:$J,3,0))</f>
        <v>이윤희</v>
      </c>
      <c r="E66" s="63" t="str">
        <f ca="1">IF(VLOOKUP($B66,'1. 현장별 인원현황'!$C:$J,4,0)=0,"",VLOOKUP($B66,'1. 현장별 인원현황'!$C:$J,4,0))</f>
        <v>54세</v>
      </c>
      <c r="F66" s="63" t="str">
        <f>IF(VLOOKUP($B66,'1. 현장별 인원현황'!$C:$J,7,0)=0,"",VLOOKUP($B66,'1. 현장별 인원현황'!$C:$J,7,0))</f>
        <v>기능공</v>
      </c>
      <c r="G66" s="63" t="str">
        <f>IF(VLOOKUP($B66,'1. 현장별 인원현황'!$C:$J,8,0)=0,"",VLOOKUP($B66,'1. 현장별 인원현황'!$C:$J,8,0))</f>
        <v>전공</v>
      </c>
      <c r="H66" s="67" t="s">
        <v>69</v>
      </c>
      <c r="I66" s="73"/>
      <c r="J66" s="73"/>
      <c r="K66" s="68"/>
      <c r="L66" s="67"/>
      <c r="M66" s="73"/>
      <c r="N66" s="73" t="s">
        <v>69</v>
      </c>
      <c r="O66" s="68"/>
      <c r="P66" s="67" t="s">
        <v>69</v>
      </c>
      <c r="Q66" s="73"/>
      <c r="R66" s="73"/>
      <c r="S66" s="68"/>
      <c r="T66" s="67"/>
      <c r="U66" s="73" t="s">
        <v>69</v>
      </c>
      <c r="V66" s="73"/>
      <c r="W66" s="68"/>
      <c r="X66" s="67" t="s">
        <v>69</v>
      </c>
      <c r="Y66" s="73"/>
      <c r="Z66" s="73"/>
      <c r="AA66" s="68"/>
      <c r="AB66" s="67" t="s">
        <v>69</v>
      </c>
      <c r="AC66" s="73"/>
      <c r="AD66" s="73"/>
      <c r="AE66" s="68"/>
      <c r="AF66" s="67"/>
      <c r="AG66" s="73" t="s">
        <v>69</v>
      </c>
      <c r="AH66" s="73"/>
      <c r="AI66" s="68"/>
      <c r="AJ66" s="67" t="s">
        <v>69</v>
      </c>
      <c r="AK66" s="73"/>
      <c r="AL66" s="73"/>
      <c r="AM66" s="68"/>
      <c r="AN66" s="67">
        <f t="shared" si="2"/>
        <v>85</v>
      </c>
      <c r="AO66" s="68" t="str">
        <f t="shared" si="3"/>
        <v>A</v>
      </c>
      <c r="AR66" s="49">
        <f t="shared" si="5"/>
        <v>1</v>
      </c>
      <c r="AS66" s="49">
        <f t="shared" si="6"/>
        <v>0</v>
      </c>
      <c r="AT66" s="49">
        <f t="shared" si="7"/>
        <v>0</v>
      </c>
      <c r="AU66" s="49">
        <f t="shared" si="8"/>
        <v>0</v>
      </c>
      <c r="AV66" s="49">
        <f t="shared" si="9"/>
        <v>0</v>
      </c>
      <c r="AW66" s="49">
        <f t="shared" si="10"/>
        <v>0</v>
      </c>
      <c r="AX66" s="49">
        <f t="shared" si="11"/>
        <v>1</v>
      </c>
      <c r="AY66" s="49">
        <f t="shared" si="12"/>
        <v>0</v>
      </c>
      <c r="AZ66" s="49">
        <f t="shared" si="13"/>
        <v>1</v>
      </c>
      <c r="BA66" s="49">
        <f t="shared" si="14"/>
        <v>0</v>
      </c>
      <c r="BB66" s="49">
        <f t="shared" si="15"/>
        <v>0</v>
      </c>
      <c r="BC66" s="49">
        <f t="shared" si="16"/>
        <v>0</v>
      </c>
      <c r="BD66" s="49">
        <f t="shared" si="17"/>
        <v>0</v>
      </c>
      <c r="BE66" s="49">
        <f t="shared" si="18"/>
        <v>1</v>
      </c>
      <c r="BF66" s="49">
        <f t="shared" si="19"/>
        <v>0</v>
      </c>
      <c r="BG66" s="49">
        <f t="shared" si="20"/>
        <v>0</v>
      </c>
      <c r="BH66" s="49">
        <f t="shared" si="21"/>
        <v>1</v>
      </c>
      <c r="BI66" s="49">
        <f t="shared" si="22"/>
        <v>0</v>
      </c>
      <c r="BJ66" s="49">
        <f t="shared" si="23"/>
        <v>0</v>
      </c>
      <c r="BK66" s="49">
        <f t="shared" si="24"/>
        <v>0</v>
      </c>
      <c r="BL66" s="49">
        <f t="shared" si="25"/>
        <v>1</v>
      </c>
      <c r="BM66" s="49">
        <f t="shared" si="26"/>
        <v>0</v>
      </c>
      <c r="BN66" s="49">
        <f t="shared" si="27"/>
        <v>0</v>
      </c>
      <c r="BO66" s="49">
        <f t="shared" si="28"/>
        <v>0</v>
      </c>
      <c r="BP66" s="49">
        <f t="shared" si="29"/>
        <v>0</v>
      </c>
      <c r="BQ66" s="49">
        <f t="shared" si="30"/>
        <v>1</v>
      </c>
      <c r="BR66" s="49">
        <f t="shared" si="31"/>
        <v>0</v>
      </c>
      <c r="BS66" s="49">
        <f t="shared" si="32"/>
        <v>0</v>
      </c>
      <c r="BT66" s="49">
        <f t="shared" si="33"/>
        <v>1</v>
      </c>
      <c r="BU66" s="49">
        <f t="shared" si="34"/>
        <v>0</v>
      </c>
      <c r="BV66" s="49">
        <f t="shared" si="35"/>
        <v>0</v>
      </c>
      <c r="BW66" s="49">
        <f t="shared" si="36"/>
        <v>0</v>
      </c>
    </row>
    <row r="67" spans="1:75" ht="35.1" customHeight="1" x14ac:dyDescent="0.3">
      <c r="A67" s="123" t="str">
        <f t="shared" si="0"/>
        <v>1팀</v>
      </c>
      <c r="B67" s="69">
        <f t="shared" si="1"/>
        <v>61</v>
      </c>
      <c r="C67" s="121" t="str">
        <f>IF(VLOOKUP($B67,'1. 현장별 인원현황'!$C:$J,2,0)=0,"",VLOOKUP($B67,'1. 현장별 인원현황'!$C:$J,2,0))</f>
        <v xml:space="preserve"> [1.대우건설] 청주 테크노폴리스 S1-1,2BL 주상복합 신축공사</v>
      </c>
      <c r="D67" s="74" t="str">
        <f>IF(VLOOKUP($B67,'1. 현장별 인원현황'!$C:$J,3,0)=0,"",VLOOKUP($B67,'1. 현장별 인원현황'!$C:$J,3,0))</f>
        <v>주봉진</v>
      </c>
      <c r="E67" s="63" t="str">
        <f ca="1">IF(VLOOKUP($B67,'1. 현장별 인원현황'!$C:$J,4,0)=0,"",VLOOKUP($B67,'1. 현장별 인원현황'!$C:$J,4,0))</f>
        <v>45세</v>
      </c>
      <c r="F67" s="63" t="str">
        <f>IF(VLOOKUP($B67,'1. 현장별 인원현황'!$C:$J,7,0)=0,"",VLOOKUP($B67,'1. 현장별 인원현황'!$C:$J,7,0))</f>
        <v>기능공</v>
      </c>
      <c r="G67" s="63" t="str">
        <f>IF(VLOOKUP($B67,'1. 현장별 인원현황'!$C:$J,8,0)=0,"",VLOOKUP($B67,'1. 현장별 인원현황'!$C:$J,8,0))</f>
        <v>전공</v>
      </c>
      <c r="H67" s="67" t="s">
        <v>69</v>
      </c>
      <c r="I67" s="73"/>
      <c r="J67" s="73"/>
      <c r="K67" s="68"/>
      <c r="L67" s="67"/>
      <c r="M67" s="73"/>
      <c r="N67" s="73" t="s">
        <v>69</v>
      </c>
      <c r="O67" s="68"/>
      <c r="P67" s="67" t="s">
        <v>69</v>
      </c>
      <c r="Q67" s="73"/>
      <c r="R67" s="73"/>
      <c r="S67" s="68"/>
      <c r="T67" s="67"/>
      <c r="U67" s="73" t="s">
        <v>69</v>
      </c>
      <c r="V67" s="73"/>
      <c r="W67" s="68"/>
      <c r="X67" s="67" t="s">
        <v>69</v>
      </c>
      <c r="Y67" s="73"/>
      <c r="Z67" s="73"/>
      <c r="AA67" s="68"/>
      <c r="AB67" s="67" t="s">
        <v>69</v>
      </c>
      <c r="AC67" s="73"/>
      <c r="AD67" s="73"/>
      <c r="AE67" s="68"/>
      <c r="AF67" s="67"/>
      <c r="AG67" s="73" t="s">
        <v>69</v>
      </c>
      <c r="AH67" s="73"/>
      <c r="AI67" s="68"/>
      <c r="AJ67" s="67" t="s">
        <v>69</v>
      </c>
      <c r="AK67" s="73"/>
      <c r="AL67" s="73"/>
      <c r="AM67" s="68"/>
      <c r="AN67" s="67">
        <f t="shared" si="2"/>
        <v>85</v>
      </c>
      <c r="AO67" s="68" t="str">
        <f t="shared" si="3"/>
        <v>A</v>
      </c>
      <c r="AR67" s="49">
        <f t="shared" si="5"/>
        <v>1</v>
      </c>
      <c r="AS67" s="49">
        <f t="shared" si="6"/>
        <v>0</v>
      </c>
      <c r="AT67" s="49">
        <f t="shared" si="7"/>
        <v>0</v>
      </c>
      <c r="AU67" s="49">
        <f t="shared" si="8"/>
        <v>0</v>
      </c>
      <c r="AV67" s="49">
        <f t="shared" si="9"/>
        <v>0</v>
      </c>
      <c r="AW67" s="49">
        <f t="shared" si="10"/>
        <v>0</v>
      </c>
      <c r="AX67" s="49">
        <f t="shared" si="11"/>
        <v>1</v>
      </c>
      <c r="AY67" s="49">
        <f t="shared" si="12"/>
        <v>0</v>
      </c>
      <c r="AZ67" s="49">
        <f t="shared" si="13"/>
        <v>1</v>
      </c>
      <c r="BA67" s="49">
        <f t="shared" si="14"/>
        <v>0</v>
      </c>
      <c r="BB67" s="49">
        <f t="shared" si="15"/>
        <v>0</v>
      </c>
      <c r="BC67" s="49">
        <f t="shared" si="16"/>
        <v>0</v>
      </c>
      <c r="BD67" s="49">
        <f t="shared" si="17"/>
        <v>0</v>
      </c>
      <c r="BE67" s="49">
        <f t="shared" si="18"/>
        <v>1</v>
      </c>
      <c r="BF67" s="49">
        <f t="shared" si="19"/>
        <v>0</v>
      </c>
      <c r="BG67" s="49">
        <f t="shared" si="20"/>
        <v>0</v>
      </c>
      <c r="BH67" s="49">
        <f t="shared" si="21"/>
        <v>1</v>
      </c>
      <c r="BI67" s="49">
        <f t="shared" si="22"/>
        <v>0</v>
      </c>
      <c r="BJ67" s="49">
        <f t="shared" si="23"/>
        <v>0</v>
      </c>
      <c r="BK67" s="49">
        <f t="shared" si="24"/>
        <v>0</v>
      </c>
      <c r="BL67" s="49">
        <f t="shared" si="25"/>
        <v>1</v>
      </c>
      <c r="BM67" s="49">
        <f t="shared" si="26"/>
        <v>0</v>
      </c>
      <c r="BN67" s="49">
        <f t="shared" si="27"/>
        <v>0</v>
      </c>
      <c r="BO67" s="49">
        <f t="shared" si="28"/>
        <v>0</v>
      </c>
      <c r="BP67" s="49">
        <f t="shared" si="29"/>
        <v>0</v>
      </c>
      <c r="BQ67" s="49">
        <f t="shared" si="30"/>
        <v>1</v>
      </c>
      <c r="BR67" s="49">
        <f t="shared" si="31"/>
        <v>0</v>
      </c>
      <c r="BS67" s="49">
        <f t="shared" si="32"/>
        <v>0</v>
      </c>
      <c r="BT67" s="49">
        <f t="shared" si="33"/>
        <v>1</v>
      </c>
      <c r="BU67" s="49">
        <f t="shared" si="34"/>
        <v>0</v>
      </c>
      <c r="BV67" s="49">
        <f t="shared" si="35"/>
        <v>0</v>
      </c>
      <c r="BW67" s="49">
        <f t="shared" si="36"/>
        <v>0</v>
      </c>
    </row>
    <row r="68" spans="1:75" ht="35.1" customHeight="1" x14ac:dyDescent="0.3">
      <c r="A68" s="123" t="str">
        <f t="shared" si="0"/>
        <v>1팀</v>
      </c>
      <c r="B68" s="69">
        <f t="shared" si="1"/>
        <v>62</v>
      </c>
      <c r="C68" s="121" t="str">
        <f>IF(VLOOKUP($B68,'1. 현장별 인원현황'!$C:$J,2,0)=0,"",VLOOKUP($B68,'1. 현장별 인원현황'!$C:$J,2,0))</f>
        <v xml:space="preserve"> [1.대우건설] 청주 테크노폴리스 S1-1,2BL 주상복합 신축공사</v>
      </c>
      <c r="D68" s="74" t="str">
        <f>IF(VLOOKUP($B68,'1. 현장별 인원현황'!$C:$J,3,0)=0,"",VLOOKUP($B68,'1. 현장별 인원현황'!$C:$J,3,0))</f>
        <v>김진영</v>
      </c>
      <c r="E68" s="63" t="str">
        <f ca="1">IF(VLOOKUP($B68,'1. 현장별 인원현황'!$C:$J,4,0)=0,"",VLOOKUP($B68,'1. 현장별 인원현황'!$C:$J,4,0))</f>
        <v>56세</v>
      </c>
      <c r="F68" s="63" t="str">
        <f>IF(VLOOKUP($B68,'1. 현장별 인원현황'!$C:$J,7,0)=0,"",VLOOKUP($B68,'1. 현장별 인원현황'!$C:$J,7,0))</f>
        <v>안전관리자</v>
      </c>
      <c r="G68" s="63" t="str">
        <f>IF(VLOOKUP($B68,'1. 현장별 인원현황'!$C:$J,8,0)=0,"",VLOOKUP($B68,'1. 현장별 인원현황'!$C:$J,8,0))</f>
        <v>과장</v>
      </c>
      <c r="H68" s="67" t="s">
        <v>69</v>
      </c>
      <c r="I68" s="73"/>
      <c r="J68" s="73"/>
      <c r="K68" s="68"/>
      <c r="L68" s="67" t="s">
        <v>69</v>
      </c>
      <c r="M68" s="73"/>
      <c r="N68" s="73"/>
      <c r="O68" s="68"/>
      <c r="P68" s="67" t="s">
        <v>69</v>
      </c>
      <c r="Q68" s="73"/>
      <c r="R68" s="73"/>
      <c r="S68" s="68"/>
      <c r="T68" s="67" t="s">
        <v>69</v>
      </c>
      <c r="U68" s="73"/>
      <c r="V68" s="73"/>
      <c r="W68" s="68"/>
      <c r="X68" s="67" t="s">
        <v>69</v>
      </c>
      <c r="Y68" s="73"/>
      <c r="Z68" s="73"/>
      <c r="AA68" s="68"/>
      <c r="AB68" s="67" t="s">
        <v>69</v>
      </c>
      <c r="AC68" s="73"/>
      <c r="AD68" s="73"/>
      <c r="AE68" s="68"/>
      <c r="AF68" s="67" t="s">
        <v>69</v>
      </c>
      <c r="AG68" s="73"/>
      <c r="AH68" s="73"/>
      <c r="AI68" s="68"/>
      <c r="AJ68" s="67" t="s">
        <v>69</v>
      </c>
      <c r="AK68" s="73"/>
      <c r="AL68" s="73"/>
      <c r="AM68" s="68"/>
      <c r="AN68" s="67">
        <f t="shared" si="2"/>
        <v>100</v>
      </c>
      <c r="AO68" s="68" t="str">
        <f t="shared" si="3"/>
        <v>S</v>
      </c>
      <c r="AR68" s="49">
        <f t="shared" si="5"/>
        <v>1</v>
      </c>
      <c r="AS68" s="49">
        <f t="shared" si="6"/>
        <v>0</v>
      </c>
      <c r="AT68" s="49">
        <f t="shared" si="7"/>
        <v>0</v>
      </c>
      <c r="AU68" s="49">
        <f t="shared" si="8"/>
        <v>0</v>
      </c>
      <c r="AV68" s="49">
        <f t="shared" si="9"/>
        <v>1</v>
      </c>
      <c r="AW68" s="49">
        <f t="shared" si="10"/>
        <v>0</v>
      </c>
      <c r="AX68" s="49">
        <f t="shared" si="11"/>
        <v>0</v>
      </c>
      <c r="AY68" s="49">
        <f t="shared" si="12"/>
        <v>0</v>
      </c>
      <c r="AZ68" s="49">
        <f t="shared" si="13"/>
        <v>1</v>
      </c>
      <c r="BA68" s="49">
        <f t="shared" si="14"/>
        <v>0</v>
      </c>
      <c r="BB68" s="49">
        <f t="shared" si="15"/>
        <v>0</v>
      </c>
      <c r="BC68" s="49">
        <f t="shared" si="16"/>
        <v>0</v>
      </c>
      <c r="BD68" s="49">
        <f t="shared" si="17"/>
        <v>1</v>
      </c>
      <c r="BE68" s="49">
        <f t="shared" si="18"/>
        <v>0</v>
      </c>
      <c r="BF68" s="49">
        <f t="shared" si="19"/>
        <v>0</v>
      </c>
      <c r="BG68" s="49">
        <f t="shared" si="20"/>
        <v>0</v>
      </c>
      <c r="BH68" s="49">
        <f t="shared" si="21"/>
        <v>1</v>
      </c>
      <c r="BI68" s="49">
        <f t="shared" si="22"/>
        <v>0</v>
      </c>
      <c r="BJ68" s="49">
        <f t="shared" si="23"/>
        <v>0</v>
      </c>
      <c r="BK68" s="49">
        <f t="shared" si="24"/>
        <v>0</v>
      </c>
      <c r="BL68" s="49">
        <f t="shared" si="25"/>
        <v>1</v>
      </c>
      <c r="BM68" s="49">
        <f t="shared" si="26"/>
        <v>0</v>
      </c>
      <c r="BN68" s="49">
        <f t="shared" si="27"/>
        <v>0</v>
      </c>
      <c r="BO68" s="49">
        <f t="shared" si="28"/>
        <v>0</v>
      </c>
      <c r="BP68" s="49">
        <f t="shared" si="29"/>
        <v>1</v>
      </c>
      <c r="BQ68" s="49">
        <f t="shared" si="30"/>
        <v>0</v>
      </c>
      <c r="BR68" s="49">
        <f t="shared" si="31"/>
        <v>0</v>
      </c>
      <c r="BS68" s="49">
        <f t="shared" si="32"/>
        <v>0</v>
      </c>
      <c r="BT68" s="49">
        <f t="shared" si="33"/>
        <v>1</v>
      </c>
      <c r="BU68" s="49">
        <f t="shared" si="34"/>
        <v>0</v>
      </c>
      <c r="BV68" s="49">
        <f t="shared" si="35"/>
        <v>0</v>
      </c>
      <c r="BW68" s="49">
        <f t="shared" si="36"/>
        <v>0</v>
      </c>
    </row>
    <row r="69" spans="1:75" ht="35.1" customHeight="1" x14ac:dyDescent="0.3">
      <c r="A69" s="123" t="str">
        <f t="shared" si="0"/>
        <v>1팀</v>
      </c>
      <c r="B69" s="69">
        <f t="shared" si="1"/>
        <v>63</v>
      </c>
      <c r="C69" s="121" t="str">
        <f>IF(VLOOKUP($B69,'1. 현장별 인원현황'!$C:$J,2,0)=0,"",VLOOKUP($B69,'1. 현장별 인원현황'!$C:$J,2,0))</f>
        <v xml:space="preserve"> [1.대우건설] 파주운정지구 도시지원 4-5,6,7,8,9BL(1단지) 및 4-4BL(2단지) 오피스텔 신축공사</v>
      </c>
      <c r="D69" s="74" t="str">
        <f>IF(VLOOKUP($B69,'1. 현장별 인원현황'!$C:$J,3,0)=0,"",VLOOKUP($B69,'1. 현장별 인원현황'!$C:$J,3,0))</f>
        <v>박현준</v>
      </c>
      <c r="E69" s="63" t="str">
        <f ca="1">IF(VLOOKUP($B69,'1. 현장별 인원현황'!$C:$J,4,0)=0,"",VLOOKUP($B69,'1. 현장별 인원현황'!$C:$J,4,0))</f>
        <v>44세</v>
      </c>
      <c r="F69" s="63" t="str">
        <f>IF(VLOOKUP($B69,'1. 현장별 인원현황'!$C:$J,7,0)=0,"",VLOOKUP($B69,'1. 현장별 인원현황'!$C:$J,7,0))</f>
        <v>공무</v>
      </c>
      <c r="G69" s="63" t="str">
        <f>IF(VLOOKUP($B69,'1. 현장별 인원현황'!$C:$J,8,0)=0,"",VLOOKUP($B69,'1. 현장별 인원현황'!$C:$J,8,0))</f>
        <v>과장</v>
      </c>
      <c r="H69" s="67" t="s">
        <v>69</v>
      </c>
      <c r="I69" s="73"/>
      <c r="J69" s="73"/>
      <c r="K69" s="68"/>
      <c r="L69" s="67" t="s">
        <v>69</v>
      </c>
      <c r="M69" s="73"/>
      <c r="N69" s="73"/>
      <c r="O69" s="68"/>
      <c r="P69" s="67" t="s">
        <v>69</v>
      </c>
      <c r="Q69" s="73"/>
      <c r="R69" s="73"/>
      <c r="S69" s="68"/>
      <c r="T69" s="67" t="s">
        <v>69</v>
      </c>
      <c r="U69" s="73"/>
      <c r="V69" s="73"/>
      <c r="W69" s="68"/>
      <c r="X69" s="67" t="s">
        <v>69</v>
      </c>
      <c r="Y69" s="73"/>
      <c r="Z69" s="73"/>
      <c r="AA69" s="68"/>
      <c r="AB69" s="67" t="s">
        <v>69</v>
      </c>
      <c r="AC69" s="73"/>
      <c r="AD69" s="73"/>
      <c r="AE69" s="68"/>
      <c r="AF69" s="67"/>
      <c r="AG69" s="73" t="s">
        <v>69</v>
      </c>
      <c r="AH69" s="73"/>
      <c r="AI69" s="68"/>
      <c r="AJ69" s="67" t="s">
        <v>69</v>
      </c>
      <c r="AK69" s="73"/>
      <c r="AL69" s="73"/>
      <c r="AM69" s="68"/>
      <c r="AN69" s="67">
        <f t="shared" si="2"/>
        <v>97</v>
      </c>
      <c r="AO69" s="68" t="str">
        <f t="shared" si="3"/>
        <v>S</v>
      </c>
      <c r="AR69" s="49">
        <f t="shared" si="5"/>
        <v>1</v>
      </c>
      <c r="AS69" s="49">
        <f t="shared" si="6"/>
        <v>0</v>
      </c>
      <c r="AT69" s="49">
        <f t="shared" si="7"/>
        <v>0</v>
      </c>
      <c r="AU69" s="49">
        <f t="shared" si="8"/>
        <v>0</v>
      </c>
      <c r="AV69" s="49">
        <f t="shared" si="9"/>
        <v>1</v>
      </c>
      <c r="AW69" s="49">
        <f t="shared" si="10"/>
        <v>0</v>
      </c>
      <c r="AX69" s="49">
        <f t="shared" si="11"/>
        <v>0</v>
      </c>
      <c r="AY69" s="49">
        <f t="shared" si="12"/>
        <v>0</v>
      </c>
      <c r="AZ69" s="49">
        <f t="shared" si="13"/>
        <v>1</v>
      </c>
      <c r="BA69" s="49">
        <f t="shared" si="14"/>
        <v>0</v>
      </c>
      <c r="BB69" s="49">
        <f t="shared" si="15"/>
        <v>0</v>
      </c>
      <c r="BC69" s="49">
        <f t="shared" si="16"/>
        <v>0</v>
      </c>
      <c r="BD69" s="49">
        <f t="shared" si="17"/>
        <v>1</v>
      </c>
      <c r="BE69" s="49">
        <f t="shared" si="18"/>
        <v>0</v>
      </c>
      <c r="BF69" s="49">
        <f t="shared" si="19"/>
        <v>0</v>
      </c>
      <c r="BG69" s="49">
        <f t="shared" si="20"/>
        <v>0</v>
      </c>
      <c r="BH69" s="49">
        <f t="shared" si="21"/>
        <v>1</v>
      </c>
      <c r="BI69" s="49">
        <f t="shared" si="22"/>
        <v>0</v>
      </c>
      <c r="BJ69" s="49">
        <f t="shared" si="23"/>
        <v>0</v>
      </c>
      <c r="BK69" s="49">
        <f t="shared" si="24"/>
        <v>0</v>
      </c>
      <c r="BL69" s="49">
        <f t="shared" si="25"/>
        <v>1</v>
      </c>
      <c r="BM69" s="49">
        <f t="shared" si="26"/>
        <v>0</v>
      </c>
      <c r="BN69" s="49">
        <f t="shared" si="27"/>
        <v>0</v>
      </c>
      <c r="BO69" s="49">
        <f t="shared" si="28"/>
        <v>0</v>
      </c>
      <c r="BP69" s="49">
        <f t="shared" si="29"/>
        <v>0</v>
      </c>
      <c r="BQ69" s="49">
        <f t="shared" si="30"/>
        <v>1</v>
      </c>
      <c r="BR69" s="49">
        <f t="shared" si="31"/>
        <v>0</v>
      </c>
      <c r="BS69" s="49">
        <f t="shared" si="32"/>
        <v>0</v>
      </c>
      <c r="BT69" s="49">
        <f t="shared" si="33"/>
        <v>1</v>
      </c>
      <c r="BU69" s="49">
        <f t="shared" si="34"/>
        <v>0</v>
      </c>
      <c r="BV69" s="49">
        <f t="shared" si="35"/>
        <v>0</v>
      </c>
      <c r="BW69" s="49">
        <f t="shared" si="36"/>
        <v>0</v>
      </c>
    </row>
    <row r="70" spans="1:75" ht="35.1" customHeight="1" x14ac:dyDescent="0.3">
      <c r="A70" s="123" t="str">
        <f t="shared" si="0"/>
        <v>1팀</v>
      </c>
      <c r="B70" s="69">
        <f t="shared" si="1"/>
        <v>64</v>
      </c>
      <c r="C70" s="121" t="str">
        <f>IF(VLOOKUP($B70,'1. 현장별 인원현황'!$C:$J,2,0)=0,"",VLOOKUP($B70,'1. 현장별 인원현황'!$C:$J,2,0))</f>
        <v xml:space="preserve"> [1.대우건설] 파주운정지구 도시지원 4-5,6,7,8,9BL(1단지) 및 4-4BL(2단지) 오피스텔 신축공사</v>
      </c>
      <c r="D70" s="74" t="str">
        <f>IF(VLOOKUP($B70,'1. 현장별 인원현황'!$C:$J,3,0)=0,"",VLOOKUP($B70,'1. 현장별 인원현황'!$C:$J,3,0))</f>
        <v>주원덕</v>
      </c>
      <c r="E70" s="63" t="str">
        <f ca="1">IF(VLOOKUP($B70,'1. 현장별 인원현황'!$C:$J,4,0)=0,"",VLOOKUP($B70,'1. 현장별 인원현황'!$C:$J,4,0))</f>
        <v>64세</v>
      </c>
      <c r="F70" s="63" t="str">
        <f>IF(VLOOKUP($B70,'1. 현장별 인원현황'!$C:$J,7,0)=0,"",VLOOKUP($B70,'1. 현장별 인원현황'!$C:$J,7,0))</f>
        <v>공사</v>
      </c>
      <c r="G70" s="63" t="str">
        <f>IF(VLOOKUP($B70,'1. 현장별 인원현황'!$C:$J,8,0)=0,"",VLOOKUP($B70,'1. 현장별 인원현황'!$C:$J,8,0))</f>
        <v>차장</v>
      </c>
      <c r="H70" s="67" t="s">
        <v>69</v>
      </c>
      <c r="I70" s="73"/>
      <c r="J70" s="73"/>
      <c r="K70" s="68"/>
      <c r="L70" s="67" t="s">
        <v>69</v>
      </c>
      <c r="M70" s="73"/>
      <c r="N70" s="73"/>
      <c r="O70" s="68"/>
      <c r="P70" s="67" t="s">
        <v>69</v>
      </c>
      <c r="Q70" s="73"/>
      <c r="R70" s="73"/>
      <c r="S70" s="68"/>
      <c r="T70" s="67" t="s">
        <v>69</v>
      </c>
      <c r="U70" s="73"/>
      <c r="V70" s="73"/>
      <c r="W70" s="68"/>
      <c r="X70" s="67" t="s">
        <v>69</v>
      </c>
      <c r="Y70" s="73"/>
      <c r="Z70" s="73"/>
      <c r="AA70" s="68"/>
      <c r="AB70" s="67" t="s">
        <v>69</v>
      </c>
      <c r="AC70" s="73"/>
      <c r="AD70" s="73"/>
      <c r="AE70" s="68"/>
      <c r="AF70" s="67"/>
      <c r="AG70" s="73" t="s">
        <v>69</v>
      </c>
      <c r="AH70" s="73"/>
      <c r="AI70" s="68"/>
      <c r="AJ70" s="67" t="s">
        <v>69</v>
      </c>
      <c r="AK70" s="73"/>
      <c r="AL70" s="73"/>
      <c r="AM70" s="68"/>
      <c r="AN70" s="67">
        <f t="shared" si="2"/>
        <v>97</v>
      </c>
      <c r="AO70" s="68" t="str">
        <f t="shared" si="3"/>
        <v>S</v>
      </c>
      <c r="AR70" s="49">
        <f t="shared" si="5"/>
        <v>1</v>
      </c>
      <c r="AS70" s="49">
        <f t="shared" si="6"/>
        <v>0</v>
      </c>
      <c r="AT70" s="49">
        <f t="shared" si="7"/>
        <v>0</v>
      </c>
      <c r="AU70" s="49">
        <f t="shared" si="8"/>
        <v>0</v>
      </c>
      <c r="AV70" s="49">
        <f t="shared" si="9"/>
        <v>1</v>
      </c>
      <c r="AW70" s="49">
        <f t="shared" si="10"/>
        <v>0</v>
      </c>
      <c r="AX70" s="49">
        <f t="shared" si="11"/>
        <v>0</v>
      </c>
      <c r="AY70" s="49">
        <f t="shared" si="12"/>
        <v>0</v>
      </c>
      <c r="AZ70" s="49">
        <f t="shared" si="13"/>
        <v>1</v>
      </c>
      <c r="BA70" s="49">
        <f t="shared" si="14"/>
        <v>0</v>
      </c>
      <c r="BB70" s="49">
        <f t="shared" si="15"/>
        <v>0</v>
      </c>
      <c r="BC70" s="49">
        <f t="shared" si="16"/>
        <v>0</v>
      </c>
      <c r="BD70" s="49">
        <f t="shared" si="17"/>
        <v>1</v>
      </c>
      <c r="BE70" s="49">
        <f t="shared" si="18"/>
        <v>0</v>
      </c>
      <c r="BF70" s="49">
        <f t="shared" si="19"/>
        <v>0</v>
      </c>
      <c r="BG70" s="49">
        <f t="shared" si="20"/>
        <v>0</v>
      </c>
      <c r="BH70" s="49">
        <f t="shared" si="21"/>
        <v>1</v>
      </c>
      <c r="BI70" s="49">
        <f t="shared" si="22"/>
        <v>0</v>
      </c>
      <c r="BJ70" s="49">
        <f t="shared" si="23"/>
        <v>0</v>
      </c>
      <c r="BK70" s="49">
        <f t="shared" si="24"/>
        <v>0</v>
      </c>
      <c r="BL70" s="49">
        <f t="shared" si="25"/>
        <v>1</v>
      </c>
      <c r="BM70" s="49">
        <f t="shared" si="26"/>
        <v>0</v>
      </c>
      <c r="BN70" s="49">
        <f t="shared" si="27"/>
        <v>0</v>
      </c>
      <c r="BO70" s="49">
        <f t="shared" si="28"/>
        <v>0</v>
      </c>
      <c r="BP70" s="49">
        <f t="shared" si="29"/>
        <v>0</v>
      </c>
      <c r="BQ70" s="49">
        <f t="shared" si="30"/>
        <v>1</v>
      </c>
      <c r="BR70" s="49">
        <f t="shared" si="31"/>
        <v>0</v>
      </c>
      <c r="BS70" s="49">
        <f t="shared" si="32"/>
        <v>0</v>
      </c>
      <c r="BT70" s="49">
        <f t="shared" si="33"/>
        <v>1</v>
      </c>
      <c r="BU70" s="49">
        <f t="shared" si="34"/>
        <v>0</v>
      </c>
      <c r="BV70" s="49">
        <f t="shared" si="35"/>
        <v>0</v>
      </c>
      <c r="BW70" s="49">
        <f t="shared" si="36"/>
        <v>0</v>
      </c>
    </row>
    <row r="71" spans="1:75" ht="35.1" customHeight="1" x14ac:dyDescent="0.3">
      <c r="A71" s="123" t="str">
        <f t="shared" ref="A71:A134" si="37">MID(C71,3,1)&amp;"팀"</f>
        <v>1팀</v>
      </c>
      <c r="B71" s="69">
        <f t="shared" ref="B71:B134" si="38">ROW()-6</f>
        <v>65</v>
      </c>
      <c r="C71" s="121" t="str">
        <f>IF(VLOOKUP($B71,'1. 현장별 인원현황'!$C:$J,2,0)=0,"",VLOOKUP($B71,'1. 현장별 인원현황'!$C:$J,2,0))</f>
        <v xml:space="preserve"> [1.대우건설] 파주운정지구 도시지원 4-5,6,7,8,9BL(1단지) 및 4-4BL(2단지) 오피스텔 신축공사</v>
      </c>
      <c r="D71" s="74" t="str">
        <f>IF(VLOOKUP($B71,'1. 현장별 인원현황'!$C:$J,3,0)=0,"",VLOOKUP($B71,'1. 현장별 인원현황'!$C:$J,3,0))</f>
        <v>김강남</v>
      </c>
      <c r="E71" s="63" t="str">
        <f ca="1">IF(VLOOKUP($B71,'1. 현장별 인원현황'!$C:$J,4,0)=0,"",VLOOKUP($B71,'1. 현장별 인원현황'!$C:$J,4,0))</f>
        <v>39세</v>
      </c>
      <c r="F71" s="63" t="str">
        <f>IF(VLOOKUP($B71,'1. 현장별 인원현황'!$C:$J,7,0)=0,"",VLOOKUP($B71,'1. 현장별 인원현황'!$C:$J,7,0))</f>
        <v>기능공</v>
      </c>
      <c r="G71" s="63" t="str">
        <f>IF(VLOOKUP($B71,'1. 현장별 인원현황'!$C:$J,8,0)=0,"",VLOOKUP($B71,'1. 현장별 인원현황'!$C:$J,8,0))</f>
        <v>전공</v>
      </c>
      <c r="H71" s="67" t="s">
        <v>69</v>
      </c>
      <c r="I71" s="73"/>
      <c r="J71" s="73"/>
      <c r="K71" s="68"/>
      <c r="L71" s="67" t="s">
        <v>69</v>
      </c>
      <c r="M71" s="73"/>
      <c r="N71" s="73"/>
      <c r="O71" s="68"/>
      <c r="P71" s="67" t="s">
        <v>69</v>
      </c>
      <c r="Q71" s="73"/>
      <c r="R71" s="73"/>
      <c r="S71" s="68"/>
      <c r="T71" s="67"/>
      <c r="U71" s="73" t="s">
        <v>69</v>
      </c>
      <c r="V71" s="73"/>
      <c r="W71" s="68"/>
      <c r="X71" s="67" t="s">
        <v>69</v>
      </c>
      <c r="Y71" s="73"/>
      <c r="Z71" s="73"/>
      <c r="AA71" s="68"/>
      <c r="AB71" s="67" t="s">
        <v>69</v>
      </c>
      <c r="AC71" s="73"/>
      <c r="AD71" s="73"/>
      <c r="AE71" s="68"/>
      <c r="AF71" s="67" t="s">
        <v>69</v>
      </c>
      <c r="AG71" s="73"/>
      <c r="AH71" s="73"/>
      <c r="AI71" s="68"/>
      <c r="AJ71" s="67" t="s">
        <v>69</v>
      </c>
      <c r="AK71" s="73"/>
      <c r="AL71" s="73"/>
      <c r="AM71" s="68"/>
      <c r="AN71" s="67">
        <f t="shared" ref="AN71:AN134" si="39">SUMPRODUCT($H$5:$AM$5,AR71:BW71)</f>
        <v>96</v>
      </c>
      <c r="AO71" s="68" t="str">
        <f t="shared" ref="AO71:AO134" si="40">IF(AN71&gt;85,"S",IF(AN71&gt;70,"A",IF(AN71&gt;50,"B",IF(AN71&gt;0,"C",""))))</f>
        <v>S</v>
      </c>
      <c r="AR71" s="49">
        <f t="shared" si="5"/>
        <v>1</v>
      </c>
      <c r="AS71" s="49">
        <f t="shared" si="6"/>
        <v>0</v>
      </c>
      <c r="AT71" s="49">
        <f t="shared" si="7"/>
        <v>0</v>
      </c>
      <c r="AU71" s="49">
        <f t="shared" si="8"/>
        <v>0</v>
      </c>
      <c r="AV71" s="49">
        <f t="shared" si="9"/>
        <v>1</v>
      </c>
      <c r="AW71" s="49">
        <f t="shared" si="10"/>
        <v>0</v>
      </c>
      <c r="AX71" s="49">
        <f t="shared" si="11"/>
        <v>0</v>
      </c>
      <c r="AY71" s="49">
        <f t="shared" si="12"/>
        <v>0</v>
      </c>
      <c r="AZ71" s="49">
        <f t="shared" si="13"/>
        <v>1</v>
      </c>
      <c r="BA71" s="49">
        <f t="shared" si="14"/>
        <v>0</v>
      </c>
      <c r="BB71" s="49">
        <f t="shared" si="15"/>
        <v>0</v>
      </c>
      <c r="BC71" s="49">
        <f t="shared" si="16"/>
        <v>0</v>
      </c>
      <c r="BD71" s="49">
        <f t="shared" si="17"/>
        <v>0</v>
      </c>
      <c r="BE71" s="49">
        <f t="shared" si="18"/>
        <v>1</v>
      </c>
      <c r="BF71" s="49">
        <f t="shared" si="19"/>
        <v>0</v>
      </c>
      <c r="BG71" s="49">
        <f t="shared" si="20"/>
        <v>0</v>
      </c>
      <c r="BH71" s="49">
        <f t="shared" si="21"/>
        <v>1</v>
      </c>
      <c r="BI71" s="49">
        <f t="shared" si="22"/>
        <v>0</v>
      </c>
      <c r="BJ71" s="49">
        <f t="shared" si="23"/>
        <v>0</v>
      </c>
      <c r="BK71" s="49">
        <f t="shared" si="24"/>
        <v>0</v>
      </c>
      <c r="BL71" s="49">
        <f t="shared" si="25"/>
        <v>1</v>
      </c>
      <c r="BM71" s="49">
        <f t="shared" si="26"/>
        <v>0</v>
      </c>
      <c r="BN71" s="49">
        <f t="shared" si="27"/>
        <v>0</v>
      </c>
      <c r="BO71" s="49">
        <f t="shared" si="28"/>
        <v>0</v>
      </c>
      <c r="BP71" s="49">
        <f t="shared" si="29"/>
        <v>1</v>
      </c>
      <c r="BQ71" s="49">
        <f t="shared" si="30"/>
        <v>0</v>
      </c>
      <c r="BR71" s="49">
        <f t="shared" si="31"/>
        <v>0</v>
      </c>
      <c r="BS71" s="49">
        <f t="shared" si="32"/>
        <v>0</v>
      </c>
      <c r="BT71" s="49">
        <f t="shared" si="33"/>
        <v>1</v>
      </c>
      <c r="BU71" s="49">
        <f t="shared" si="34"/>
        <v>0</v>
      </c>
      <c r="BV71" s="49">
        <f t="shared" si="35"/>
        <v>0</v>
      </c>
      <c r="BW71" s="49">
        <f t="shared" si="36"/>
        <v>0</v>
      </c>
    </row>
    <row r="72" spans="1:75" ht="35.1" customHeight="1" x14ac:dyDescent="0.3">
      <c r="A72" s="123" t="str">
        <f t="shared" si="37"/>
        <v>1팀</v>
      </c>
      <c r="B72" s="69">
        <f t="shared" si="38"/>
        <v>66</v>
      </c>
      <c r="C72" s="121" t="str">
        <f>IF(VLOOKUP($B72,'1. 현장별 인원현황'!$C:$J,2,0)=0,"",VLOOKUP($B72,'1. 현장별 인원현황'!$C:$J,2,0))</f>
        <v xml:space="preserve"> [1.두산건설] [전기] 강화2지역 주택조합 전기공사</v>
      </c>
      <c r="D72" s="74" t="str">
        <f>IF(VLOOKUP($B72,'1. 현장별 인원현황'!$C:$J,3,0)=0,"",VLOOKUP($B72,'1. 현장별 인원현황'!$C:$J,3,0))</f>
        <v>고원석</v>
      </c>
      <c r="E72" s="63" t="str">
        <f ca="1">IF(VLOOKUP($B72,'1. 현장별 인원현황'!$C:$J,4,0)=0,"",VLOOKUP($B72,'1. 현장별 인원현황'!$C:$J,4,0))</f>
        <v>60세</v>
      </c>
      <c r="F72" s="63" t="str">
        <f>IF(VLOOKUP($B72,'1. 현장별 인원현황'!$C:$J,7,0)=0,"",VLOOKUP($B72,'1. 현장별 인원현황'!$C:$J,7,0))</f>
        <v>공사</v>
      </c>
      <c r="G72" s="63" t="str">
        <f>IF(VLOOKUP($B72,'1. 현장별 인원현황'!$C:$J,8,0)=0,"",VLOOKUP($B72,'1. 현장별 인원현황'!$C:$J,8,0))</f>
        <v>차장</v>
      </c>
      <c r="H72" s="67" t="s">
        <v>69</v>
      </c>
      <c r="I72" s="73"/>
      <c r="J72" s="73"/>
      <c r="K72" s="68"/>
      <c r="L72" s="67"/>
      <c r="M72" s="73" t="s">
        <v>69</v>
      </c>
      <c r="N72" s="73"/>
      <c r="O72" s="68"/>
      <c r="P72" s="67" t="s">
        <v>69</v>
      </c>
      <c r="Q72" s="73"/>
      <c r="R72" s="73"/>
      <c r="S72" s="68"/>
      <c r="T72" s="67"/>
      <c r="U72" s="73" t="s">
        <v>69</v>
      </c>
      <c r="V72" s="73"/>
      <c r="W72" s="68"/>
      <c r="X72" s="67" t="s">
        <v>69</v>
      </c>
      <c r="Y72" s="73"/>
      <c r="Z72" s="73"/>
      <c r="AA72" s="68"/>
      <c r="AB72" s="67" t="s">
        <v>69</v>
      </c>
      <c r="AC72" s="73"/>
      <c r="AD72" s="73"/>
      <c r="AE72" s="68"/>
      <c r="AF72" s="67"/>
      <c r="AG72" s="73" t="s">
        <v>69</v>
      </c>
      <c r="AH72" s="73"/>
      <c r="AI72" s="68"/>
      <c r="AJ72" s="67"/>
      <c r="AK72" s="73" t="s">
        <v>69</v>
      </c>
      <c r="AL72" s="73"/>
      <c r="AM72" s="68"/>
      <c r="AN72" s="67">
        <f t="shared" si="39"/>
        <v>86</v>
      </c>
      <c r="AO72" s="68" t="str">
        <f t="shared" si="40"/>
        <v>S</v>
      </c>
      <c r="AR72" s="49">
        <f t="shared" ref="AR72:AR500" si="41">IF(H72&gt;0,1,0)</f>
        <v>1</v>
      </c>
      <c r="AS72" s="49">
        <f t="shared" ref="AS72:AS500" si="42">IF(I72&gt;0,1,0)</f>
        <v>0</v>
      </c>
      <c r="AT72" s="49">
        <f t="shared" ref="AT72:AT500" si="43">IF(J72&gt;0,1,0)</f>
        <v>0</v>
      </c>
      <c r="AU72" s="49">
        <f t="shared" ref="AU72:AU500" si="44">IF(K72&gt;0,1,0)</f>
        <v>0</v>
      </c>
      <c r="AV72" s="49">
        <f t="shared" ref="AV72:AV500" si="45">IF(L72&gt;0,1,0)</f>
        <v>0</v>
      </c>
      <c r="AW72" s="49">
        <f t="shared" ref="AW72:AW500" si="46">IF(M72&gt;0,1,0)</f>
        <v>1</v>
      </c>
      <c r="AX72" s="49">
        <f t="shared" ref="AX72:AX500" si="47">IF(N72&gt;0,1,0)</f>
        <v>0</v>
      </c>
      <c r="AY72" s="49">
        <f t="shared" ref="AY72:AY500" si="48">IF(O72&gt;0,1,0)</f>
        <v>0</v>
      </c>
      <c r="AZ72" s="49">
        <f t="shared" ref="AZ72:AZ500" si="49">IF(P72&gt;0,1,0)</f>
        <v>1</v>
      </c>
      <c r="BA72" s="49">
        <f t="shared" ref="BA72:BA500" si="50">IF(Q72&gt;0,1,0)</f>
        <v>0</v>
      </c>
      <c r="BB72" s="49">
        <f t="shared" ref="BB72:BB500" si="51">IF(R72&gt;0,1,0)</f>
        <v>0</v>
      </c>
      <c r="BC72" s="49">
        <f t="shared" ref="BC72:BC500" si="52">IF(S72&gt;0,1,0)</f>
        <v>0</v>
      </c>
      <c r="BD72" s="49">
        <f t="shared" ref="BD72:BD500" si="53">IF(T72&gt;0,1,0)</f>
        <v>0</v>
      </c>
      <c r="BE72" s="49">
        <f t="shared" ref="BE72:BE500" si="54">IF(U72&gt;0,1,0)</f>
        <v>1</v>
      </c>
      <c r="BF72" s="49">
        <f t="shared" ref="BF72:BF500" si="55">IF(V72&gt;0,1,0)</f>
        <v>0</v>
      </c>
      <c r="BG72" s="49">
        <f t="shared" ref="BG72:BG500" si="56">IF(W72&gt;0,1,0)</f>
        <v>0</v>
      </c>
      <c r="BH72" s="49">
        <f t="shared" ref="BH72:BH500" si="57">IF(X72&gt;0,1,0)</f>
        <v>1</v>
      </c>
      <c r="BI72" s="49">
        <f t="shared" ref="BI72:BI500" si="58">IF(Y72&gt;0,1,0)</f>
        <v>0</v>
      </c>
      <c r="BJ72" s="49">
        <f t="shared" ref="BJ72:BJ500" si="59">IF(Z72&gt;0,1,0)</f>
        <v>0</v>
      </c>
      <c r="BK72" s="49">
        <f t="shared" ref="BK72:BK500" si="60">IF(AA72&gt;0,1,0)</f>
        <v>0</v>
      </c>
      <c r="BL72" s="49">
        <f t="shared" ref="BL72:BL500" si="61">IF(AB72&gt;0,1,0)</f>
        <v>1</v>
      </c>
      <c r="BM72" s="49">
        <f t="shared" ref="BM72:BM500" si="62">IF(AC72&gt;0,1,0)</f>
        <v>0</v>
      </c>
      <c r="BN72" s="49">
        <f t="shared" ref="BN72:BN500" si="63">IF(AD72&gt;0,1,0)</f>
        <v>0</v>
      </c>
      <c r="BO72" s="49">
        <f t="shared" ref="BO72:BO500" si="64">IF(AE72&gt;0,1,0)</f>
        <v>0</v>
      </c>
      <c r="BP72" s="49">
        <f t="shared" ref="BP72:BP500" si="65">IF(AF72&gt;0,1,0)</f>
        <v>0</v>
      </c>
      <c r="BQ72" s="49">
        <f t="shared" ref="BQ72:BQ500" si="66">IF(AG72&gt;0,1,0)</f>
        <v>1</v>
      </c>
      <c r="BR72" s="49">
        <f t="shared" ref="BR72:BR500" si="67">IF(AH72&gt;0,1,0)</f>
        <v>0</v>
      </c>
      <c r="BS72" s="49">
        <f t="shared" ref="BS72:BS500" si="68">IF(AI72&gt;0,1,0)</f>
        <v>0</v>
      </c>
      <c r="BT72" s="49">
        <f t="shared" ref="BT72:BT500" si="69">IF(AJ72&gt;0,1,0)</f>
        <v>0</v>
      </c>
      <c r="BU72" s="49">
        <f t="shared" ref="BU72:BU500" si="70">IF(AK72&gt;0,1,0)</f>
        <v>1</v>
      </c>
      <c r="BV72" s="49">
        <f t="shared" ref="BV72:BV500" si="71">IF(AL72&gt;0,1,0)</f>
        <v>0</v>
      </c>
      <c r="BW72" s="49">
        <f t="shared" ref="BW72:BW500" si="72">IF(AM72&gt;0,1,0)</f>
        <v>0</v>
      </c>
    </row>
    <row r="73" spans="1:75" ht="35.1" customHeight="1" x14ac:dyDescent="0.3">
      <c r="A73" s="123" t="str">
        <f t="shared" si="37"/>
        <v>1팀</v>
      </c>
      <c r="B73" s="69">
        <f t="shared" si="38"/>
        <v>67</v>
      </c>
      <c r="C73" s="121" t="str">
        <f>IF(VLOOKUP($B73,'1. 현장별 인원현황'!$C:$J,2,0)=0,"",VLOOKUP($B73,'1. 현장별 인원현황'!$C:$J,2,0))</f>
        <v xml:space="preserve"> [1.두산건설] [전기] 강화2지역 주택조합 전기공사</v>
      </c>
      <c r="D73" s="74" t="str">
        <f>IF(VLOOKUP($B73,'1. 현장별 인원현황'!$C:$J,3,0)=0,"",VLOOKUP($B73,'1. 현장별 인원현황'!$C:$J,3,0))</f>
        <v>최진우</v>
      </c>
      <c r="E73" s="63" t="str">
        <f ca="1">IF(VLOOKUP($B73,'1. 현장별 인원현황'!$C:$J,4,0)=0,"",VLOOKUP($B73,'1. 현장별 인원현황'!$C:$J,4,0))</f>
        <v>40세</v>
      </c>
      <c r="F73" s="63" t="str">
        <f>IF(VLOOKUP($B73,'1. 현장별 인원현황'!$C:$J,7,0)=0,"",VLOOKUP($B73,'1. 현장별 인원현황'!$C:$J,7,0))</f>
        <v>공사</v>
      </c>
      <c r="G73" s="63" t="str">
        <f>IF(VLOOKUP($B73,'1. 현장별 인원현황'!$C:$J,8,0)=0,"",VLOOKUP($B73,'1. 현장별 인원현황'!$C:$J,8,0))</f>
        <v>차장</v>
      </c>
      <c r="H73" s="67" t="s">
        <v>69</v>
      </c>
      <c r="I73" s="73"/>
      <c r="J73" s="73"/>
      <c r="K73" s="68"/>
      <c r="L73" s="67"/>
      <c r="M73" s="73" t="s">
        <v>69</v>
      </c>
      <c r="N73" s="73"/>
      <c r="O73" s="68"/>
      <c r="P73" s="67" t="s">
        <v>69</v>
      </c>
      <c r="Q73" s="73"/>
      <c r="R73" s="73"/>
      <c r="S73" s="68"/>
      <c r="T73" s="67"/>
      <c r="U73" s="73" t="s">
        <v>69</v>
      </c>
      <c r="V73" s="73"/>
      <c r="W73" s="68"/>
      <c r="X73" s="67" t="s">
        <v>69</v>
      </c>
      <c r="Y73" s="73"/>
      <c r="Z73" s="73"/>
      <c r="AA73" s="68"/>
      <c r="AB73" s="67" t="s">
        <v>69</v>
      </c>
      <c r="AC73" s="73"/>
      <c r="AD73" s="73"/>
      <c r="AE73" s="68"/>
      <c r="AF73" s="67"/>
      <c r="AG73" s="73" t="s">
        <v>69</v>
      </c>
      <c r="AH73" s="73"/>
      <c r="AI73" s="68"/>
      <c r="AJ73" s="67"/>
      <c r="AK73" s="73" t="s">
        <v>69</v>
      </c>
      <c r="AL73" s="73"/>
      <c r="AM73" s="68"/>
      <c r="AN73" s="67">
        <f t="shared" si="39"/>
        <v>86</v>
      </c>
      <c r="AO73" s="68" t="str">
        <f t="shared" si="40"/>
        <v>S</v>
      </c>
      <c r="AR73" s="49">
        <f t="shared" si="41"/>
        <v>1</v>
      </c>
      <c r="AS73" s="49">
        <f t="shared" si="42"/>
        <v>0</v>
      </c>
      <c r="AT73" s="49">
        <f t="shared" si="43"/>
        <v>0</v>
      </c>
      <c r="AU73" s="49">
        <f t="shared" si="44"/>
        <v>0</v>
      </c>
      <c r="AV73" s="49">
        <f t="shared" si="45"/>
        <v>0</v>
      </c>
      <c r="AW73" s="49">
        <f t="shared" si="46"/>
        <v>1</v>
      </c>
      <c r="AX73" s="49">
        <f t="shared" si="47"/>
        <v>0</v>
      </c>
      <c r="AY73" s="49">
        <f t="shared" si="48"/>
        <v>0</v>
      </c>
      <c r="AZ73" s="49">
        <f t="shared" si="49"/>
        <v>1</v>
      </c>
      <c r="BA73" s="49">
        <f t="shared" si="50"/>
        <v>0</v>
      </c>
      <c r="BB73" s="49">
        <f t="shared" si="51"/>
        <v>0</v>
      </c>
      <c r="BC73" s="49">
        <f t="shared" si="52"/>
        <v>0</v>
      </c>
      <c r="BD73" s="49">
        <f t="shared" si="53"/>
        <v>0</v>
      </c>
      <c r="BE73" s="49">
        <f t="shared" si="54"/>
        <v>1</v>
      </c>
      <c r="BF73" s="49">
        <f t="shared" si="55"/>
        <v>0</v>
      </c>
      <c r="BG73" s="49">
        <f t="shared" si="56"/>
        <v>0</v>
      </c>
      <c r="BH73" s="49">
        <f t="shared" si="57"/>
        <v>1</v>
      </c>
      <c r="BI73" s="49">
        <f t="shared" si="58"/>
        <v>0</v>
      </c>
      <c r="BJ73" s="49">
        <f t="shared" si="59"/>
        <v>0</v>
      </c>
      <c r="BK73" s="49">
        <f t="shared" si="60"/>
        <v>0</v>
      </c>
      <c r="BL73" s="49">
        <f t="shared" si="61"/>
        <v>1</v>
      </c>
      <c r="BM73" s="49">
        <f t="shared" si="62"/>
        <v>0</v>
      </c>
      <c r="BN73" s="49">
        <f t="shared" si="63"/>
        <v>0</v>
      </c>
      <c r="BO73" s="49">
        <f t="shared" si="64"/>
        <v>0</v>
      </c>
      <c r="BP73" s="49">
        <f t="shared" si="65"/>
        <v>0</v>
      </c>
      <c r="BQ73" s="49">
        <f t="shared" si="66"/>
        <v>1</v>
      </c>
      <c r="BR73" s="49">
        <f t="shared" si="67"/>
        <v>0</v>
      </c>
      <c r="BS73" s="49">
        <f t="shared" si="68"/>
        <v>0</v>
      </c>
      <c r="BT73" s="49">
        <f t="shared" si="69"/>
        <v>0</v>
      </c>
      <c r="BU73" s="49">
        <f t="shared" si="70"/>
        <v>1</v>
      </c>
      <c r="BV73" s="49">
        <f t="shared" si="71"/>
        <v>0</v>
      </c>
      <c r="BW73" s="49">
        <f t="shared" si="72"/>
        <v>0</v>
      </c>
    </row>
    <row r="74" spans="1:75" ht="35.1" customHeight="1" x14ac:dyDescent="0.3">
      <c r="A74" s="123" t="str">
        <f t="shared" si="37"/>
        <v>1팀</v>
      </c>
      <c r="B74" s="69">
        <f t="shared" si="38"/>
        <v>68</v>
      </c>
      <c r="C74" s="121" t="str">
        <f>IF(VLOOKUP($B74,'1. 현장별 인원현황'!$C:$J,2,0)=0,"",VLOOKUP($B74,'1. 현장별 인원현황'!$C:$J,2,0))</f>
        <v xml:space="preserve"> [1.두산건설] [전기] 강화2지역 주택조합 전기공사</v>
      </c>
      <c r="D74" s="74" t="str">
        <f>IF(VLOOKUP($B74,'1. 현장별 인원현황'!$C:$J,3,0)=0,"",VLOOKUP($B74,'1. 현장별 인원현황'!$C:$J,3,0))</f>
        <v>김진오</v>
      </c>
      <c r="E74" s="63" t="str">
        <f ca="1">IF(VLOOKUP($B74,'1. 현장별 인원현황'!$C:$J,4,0)=0,"",VLOOKUP($B74,'1. 현장별 인원현황'!$C:$J,4,0))</f>
        <v>54세</v>
      </c>
      <c r="F74" s="63" t="str">
        <f>IF(VLOOKUP($B74,'1. 현장별 인원현황'!$C:$J,7,0)=0,"",VLOOKUP($B74,'1. 현장별 인원현황'!$C:$J,7,0))</f>
        <v>공무</v>
      </c>
      <c r="G74" s="63" t="str">
        <f>IF(VLOOKUP($B74,'1. 현장별 인원현황'!$C:$J,8,0)=0,"",VLOOKUP($B74,'1. 현장별 인원현황'!$C:$J,8,0))</f>
        <v>부장</v>
      </c>
      <c r="H74" s="67" t="s">
        <v>69</v>
      </c>
      <c r="I74" s="73"/>
      <c r="J74" s="73"/>
      <c r="K74" s="68"/>
      <c r="L74" s="67"/>
      <c r="M74" s="73" t="s">
        <v>69</v>
      </c>
      <c r="N74" s="73"/>
      <c r="O74" s="68"/>
      <c r="P74" s="67" t="s">
        <v>69</v>
      </c>
      <c r="Q74" s="73"/>
      <c r="R74" s="73"/>
      <c r="S74" s="68"/>
      <c r="T74" s="67"/>
      <c r="U74" s="73" t="s">
        <v>69</v>
      </c>
      <c r="V74" s="73"/>
      <c r="W74" s="68"/>
      <c r="X74" s="67" t="s">
        <v>69</v>
      </c>
      <c r="Y74" s="73"/>
      <c r="Z74" s="73"/>
      <c r="AA74" s="68"/>
      <c r="AB74" s="67" t="s">
        <v>69</v>
      </c>
      <c r="AC74" s="73"/>
      <c r="AD74" s="73"/>
      <c r="AE74" s="68"/>
      <c r="AF74" s="67"/>
      <c r="AG74" s="73" t="s">
        <v>69</v>
      </c>
      <c r="AH74" s="73"/>
      <c r="AI74" s="68"/>
      <c r="AJ74" s="67"/>
      <c r="AK74" s="73" t="s">
        <v>69</v>
      </c>
      <c r="AL74" s="73"/>
      <c r="AM74" s="68"/>
      <c r="AN74" s="67">
        <f t="shared" si="39"/>
        <v>86</v>
      </c>
      <c r="AO74" s="68" t="str">
        <f t="shared" si="40"/>
        <v>S</v>
      </c>
      <c r="AR74" s="49">
        <f t="shared" si="41"/>
        <v>1</v>
      </c>
      <c r="AS74" s="49">
        <f t="shared" si="42"/>
        <v>0</v>
      </c>
      <c r="AT74" s="49">
        <f t="shared" si="43"/>
        <v>0</v>
      </c>
      <c r="AU74" s="49">
        <f t="shared" si="44"/>
        <v>0</v>
      </c>
      <c r="AV74" s="49">
        <f t="shared" si="45"/>
        <v>0</v>
      </c>
      <c r="AW74" s="49">
        <f t="shared" si="46"/>
        <v>1</v>
      </c>
      <c r="AX74" s="49">
        <f t="shared" si="47"/>
        <v>0</v>
      </c>
      <c r="AY74" s="49">
        <f t="shared" si="48"/>
        <v>0</v>
      </c>
      <c r="AZ74" s="49">
        <f t="shared" si="49"/>
        <v>1</v>
      </c>
      <c r="BA74" s="49">
        <f t="shared" si="50"/>
        <v>0</v>
      </c>
      <c r="BB74" s="49">
        <f t="shared" si="51"/>
        <v>0</v>
      </c>
      <c r="BC74" s="49">
        <f t="shared" si="52"/>
        <v>0</v>
      </c>
      <c r="BD74" s="49">
        <f t="shared" si="53"/>
        <v>0</v>
      </c>
      <c r="BE74" s="49">
        <f t="shared" si="54"/>
        <v>1</v>
      </c>
      <c r="BF74" s="49">
        <f t="shared" si="55"/>
        <v>0</v>
      </c>
      <c r="BG74" s="49">
        <f t="shared" si="56"/>
        <v>0</v>
      </c>
      <c r="BH74" s="49">
        <f t="shared" si="57"/>
        <v>1</v>
      </c>
      <c r="BI74" s="49">
        <f t="shared" si="58"/>
        <v>0</v>
      </c>
      <c r="BJ74" s="49">
        <f t="shared" si="59"/>
        <v>0</v>
      </c>
      <c r="BK74" s="49">
        <f t="shared" si="60"/>
        <v>0</v>
      </c>
      <c r="BL74" s="49">
        <f t="shared" si="61"/>
        <v>1</v>
      </c>
      <c r="BM74" s="49">
        <f t="shared" si="62"/>
        <v>0</v>
      </c>
      <c r="BN74" s="49">
        <f t="shared" si="63"/>
        <v>0</v>
      </c>
      <c r="BO74" s="49">
        <f t="shared" si="64"/>
        <v>0</v>
      </c>
      <c r="BP74" s="49">
        <f t="shared" si="65"/>
        <v>0</v>
      </c>
      <c r="BQ74" s="49">
        <f t="shared" si="66"/>
        <v>1</v>
      </c>
      <c r="BR74" s="49">
        <f t="shared" si="67"/>
        <v>0</v>
      </c>
      <c r="BS74" s="49">
        <f t="shared" si="68"/>
        <v>0</v>
      </c>
      <c r="BT74" s="49">
        <f t="shared" si="69"/>
        <v>0</v>
      </c>
      <c r="BU74" s="49">
        <f t="shared" si="70"/>
        <v>1</v>
      </c>
      <c r="BV74" s="49">
        <f t="shared" si="71"/>
        <v>0</v>
      </c>
      <c r="BW74" s="49">
        <f t="shared" si="72"/>
        <v>0</v>
      </c>
    </row>
    <row r="75" spans="1:75" ht="35.1" customHeight="1" x14ac:dyDescent="0.3">
      <c r="A75" s="123" t="str">
        <f t="shared" si="37"/>
        <v>1팀</v>
      </c>
      <c r="B75" s="69">
        <f t="shared" si="38"/>
        <v>69</v>
      </c>
      <c r="C75" s="121" t="str">
        <f>IF(VLOOKUP($B75,'1. 현장별 인원현황'!$C:$J,2,0)=0,"",VLOOKUP($B75,'1. 현장별 인원현황'!$C:$J,2,0))</f>
        <v xml:space="preserve"> [1.두산건설] [전기] 강화2지역 주택조합 전기공사</v>
      </c>
      <c r="D75" s="74" t="str">
        <f>IF(VLOOKUP($B75,'1. 현장별 인원현황'!$C:$J,3,0)=0,"",VLOOKUP($B75,'1. 현장별 인원현황'!$C:$J,3,0))</f>
        <v>이두현</v>
      </c>
      <c r="E75" s="63" t="str">
        <f ca="1">IF(VLOOKUP($B75,'1. 현장별 인원현황'!$C:$J,4,0)=0,"",VLOOKUP($B75,'1. 현장별 인원현황'!$C:$J,4,0))</f>
        <v>44세</v>
      </c>
      <c r="F75" s="63" t="str">
        <f>IF(VLOOKUP($B75,'1. 현장별 인원현황'!$C:$J,7,0)=0,"",VLOOKUP($B75,'1. 현장별 인원현황'!$C:$J,7,0))</f>
        <v>공무</v>
      </c>
      <c r="G75" s="63" t="str">
        <f>IF(VLOOKUP($B75,'1. 현장별 인원현황'!$C:$J,8,0)=0,"",VLOOKUP($B75,'1. 현장별 인원현황'!$C:$J,8,0))</f>
        <v>차장</v>
      </c>
      <c r="H75" s="67" t="s">
        <v>69</v>
      </c>
      <c r="I75" s="73"/>
      <c r="J75" s="73"/>
      <c r="K75" s="68"/>
      <c r="L75" s="67"/>
      <c r="M75" s="73" t="s">
        <v>69</v>
      </c>
      <c r="N75" s="73"/>
      <c r="O75" s="68"/>
      <c r="P75" s="67" t="s">
        <v>69</v>
      </c>
      <c r="Q75" s="73"/>
      <c r="R75" s="73"/>
      <c r="S75" s="68"/>
      <c r="T75" s="67"/>
      <c r="U75" s="73" t="s">
        <v>69</v>
      </c>
      <c r="V75" s="73"/>
      <c r="W75" s="68"/>
      <c r="X75" s="67" t="s">
        <v>69</v>
      </c>
      <c r="Y75" s="73"/>
      <c r="Z75" s="73"/>
      <c r="AA75" s="68"/>
      <c r="AB75" s="67" t="s">
        <v>69</v>
      </c>
      <c r="AC75" s="73"/>
      <c r="AD75" s="73"/>
      <c r="AE75" s="68"/>
      <c r="AF75" s="67"/>
      <c r="AG75" s="73" t="s">
        <v>69</v>
      </c>
      <c r="AH75" s="73"/>
      <c r="AI75" s="68"/>
      <c r="AJ75" s="67"/>
      <c r="AK75" s="73" t="s">
        <v>69</v>
      </c>
      <c r="AL75" s="73"/>
      <c r="AM75" s="68"/>
      <c r="AN75" s="67">
        <f t="shared" si="39"/>
        <v>86</v>
      </c>
      <c r="AO75" s="68" t="str">
        <f t="shared" si="40"/>
        <v>S</v>
      </c>
      <c r="AR75" s="49">
        <f t="shared" si="41"/>
        <v>1</v>
      </c>
      <c r="AS75" s="49">
        <f t="shared" si="42"/>
        <v>0</v>
      </c>
      <c r="AT75" s="49">
        <f t="shared" si="43"/>
        <v>0</v>
      </c>
      <c r="AU75" s="49">
        <f t="shared" si="44"/>
        <v>0</v>
      </c>
      <c r="AV75" s="49">
        <f t="shared" si="45"/>
        <v>0</v>
      </c>
      <c r="AW75" s="49">
        <f t="shared" si="46"/>
        <v>1</v>
      </c>
      <c r="AX75" s="49">
        <f t="shared" si="47"/>
        <v>0</v>
      </c>
      <c r="AY75" s="49">
        <f t="shared" si="48"/>
        <v>0</v>
      </c>
      <c r="AZ75" s="49">
        <f t="shared" si="49"/>
        <v>1</v>
      </c>
      <c r="BA75" s="49">
        <f t="shared" si="50"/>
        <v>0</v>
      </c>
      <c r="BB75" s="49">
        <f t="shared" si="51"/>
        <v>0</v>
      </c>
      <c r="BC75" s="49">
        <f t="shared" si="52"/>
        <v>0</v>
      </c>
      <c r="BD75" s="49">
        <f t="shared" si="53"/>
        <v>0</v>
      </c>
      <c r="BE75" s="49">
        <f t="shared" si="54"/>
        <v>1</v>
      </c>
      <c r="BF75" s="49">
        <f t="shared" si="55"/>
        <v>0</v>
      </c>
      <c r="BG75" s="49">
        <f t="shared" si="56"/>
        <v>0</v>
      </c>
      <c r="BH75" s="49">
        <f t="shared" si="57"/>
        <v>1</v>
      </c>
      <c r="BI75" s="49">
        <f t="shared" si="58"/>
        <v>0</v>
      </c>
      <c r="BJ75" s="49">
        <f t="shared" si="59"/>
        <v>0</v>
      </c>
      <c r="BK75" s="49">
        <f t="shared" si="60"/>
        <v>0</v>
      </c>
      <c r="BL75" s="49">
        <f t="shared" si="61"/>
        <v>1</v>
      </c>
      <c r="BM75" s="49">
        <f t="shared" si="62"/>
        <v>0</v>
      </c>
      <c r="BN75" s="49">
        <f t="shared" si="63"/>
        <v>0</v>
      </c>
      <c r="BO75" s="49">
        <f t="shared" si="64"/>
        <v>0</v>
      </c>
      <c r="BP75" s="49">
        <f t="shared" si="65"/>
        <v>0</v>
      </c>
      <c r="BQ75" s="49">
        <f t="shared" si="66"/>
        <v>1</v>
      </c>
      <c r="BR75" s="49">
        <f t="shared" si="67"/>
        <v>0</v>
      </c>
      <c r="BS75" s="49">
        <f t="shared" si="68"/>
        <v>0</v>
      </c>
      <c r="BT75" s="49">
        <f t="shared" si="69"/>
        <v>0</v>
      </c>
      <c r="BU75" s="49">
        <f t="shared" si="70"/>
        <v>1</v>
      </c>
      <c r="BV75" s="49">
        <f t="shared" si="71"/>
        <v>0</v>
      </c>
      <c r="BW75" s="49">
        <f t="shared" si="72"/>
        <v>0</v>
      </c>
    </row>
    <row r="76" spans="1:75" ht="35.1" customHeight="1" x14ac:dyDescent="0.3">
      <c r="A76" s="123" t="str">
        <f t="shared" si="37"/>
        <v>1팀</v>
      </c>
      <c r="B76" s="69">
        <f t="shared" si="38"/>
        <v>70</v>
      </c>
      <c r="C76" s="121" t="str">
        <f>IF(VLOOKUP($B76,'1. 현장별 인원현황'!$C:$J,2,0)=0,"",VLOOKUP($B76,'1. 현장별 인원현황'!$C:$J,2,0))</f>
        <v xml:space="preserve"> [1.두산건설] [전기] 강화2지역 주택조합 전기공사</v>
      </c>
      <c r="D76" s="74" t="str">
        <f>IF(VLOOKUP($B76,'1. 현장별 인원현황'!$C:$J,3,0)=0,"",VLOOKUP($B76,'1. 현장별 인원현황'!$C:$J,3,0))</f>
        <v>김영규</v>
      </c>
      <c r="E76" s="63" t="str">
        <f ca="1">IF(VLOOKUP($B76,'1. 현장별 인원현황'!$C:$J,4,0)=0,"",VLOOKUP($B76,'1. 현장별 인원현황'!$C:$J,4,0))</f>
        <v>37세</v>
      </c>
      <c r="F76" s="63" t="str">
        <f>IF(VLOOKUP($B76,'1. 현장별 인원현황'!$C:$J,7,0)=0,"",VLOOKUP($B76,'1. 현장별 인원현황'!$C:$J,7,0))</f>
        <v>기능공</v>
      </c>
      <c r="G76" s="63" t="str">
        <f>IF(VLOOKUP($B76,'1. 현장별 인원현황'!$C:$J,8,0)=0,"",VLOOKUP($B76,'1. 현장별 인원현황'!$C:$J,8,0))</f>
        <v>전공</v>
      </c>
      <c r="H76" s="67" t="s">
        <v>69</v>
      </c>
      <c r="I76" s="73"/>
      <c r="J76" s="73"/>
      <c r="K76" s="68"/>
      <c r="L76" s="67"/>
      <c r="M76" s="73" t="s">
        <v>69</v>
      </c>
      <c r="N76" s="73"/>
      <c r="O76" s="68"/>
      <c r="P76" s="67" t="s">
        <v>69</v>
      </c>
      <c r="Q76" s="73"/>
      <c r="R76" s="73"/>
      <c r="S76" s="68"/>
      <c r="T76" s="67"/>
      <c r="U76" s="73" t="s">
        <v>69</v>
      </c>
      <c r="V76" s="73"/>
      <c r="W76" s="68"/>
      <c r="X76" s="67" t="s">
        <v>69</v>
      </c>
      <c r="Y76" s="73"/>
      <c r="Z76" s="73"/>
      <c r="AA76" s="68"/>
      <c r="AB76" s="67" t="s">
        <v>69</v>
      </c>
      <c r="AC76" s="73"/>
      <c r="AD76" s="73"/>
      <c r="AE76" s="68"/>
      <c r="AF76" s="67"/>
      <c r="AG76" s="73" t="s">
        <v>69</v>
      </c>
      <c r="AH76" s="73"/>
      <c r="AI76" s="68"/>
      <c r="AJ76" s="67"/>
      <c r="AK76" s="73" t="s">
        <v>69</v>
      </c>
      <c r="AL76" s="73"/>
      <c r="AM76" s="68"/>
      <c r="AN76" s="67">
        <f t="shared" si="39"/>
        <v>86</v>
      </c>
      <c r="AO76" s="68" t="str">
        <f t="shared" si="40"/>
        <v>S</v>
      </c>
      <c r="AR76" s="49">
        <f t="shared" si="41"/>
        <v>1</v>
      </c>
      <c r="AS76" s="49">
        <f t="shared" si="42"/>
        <v>0</v>
      </c>
      <c r="AT76" s="49">
        <f t="shared" si="43"/>
        <v>0</v>
      </c>
      <c r="AU76" s="49">
        <f t="shared" si="44"/>
        <v>0</v>
      </c>
      <c r="AV76" s="49">
        <f t="shared" si="45"/>
        <v>0</v>
      </c>
      <c r="AW76" s="49">
        <f t="shared" si="46"/>
        <v>1</v>
      </c>
      <c r="AX76" s="49">
        <f t="shared" si="47"/>
        <v>0</v>
      </c>
      <c r="AY76" s="49">
        <f t="shared" si="48"/>
        <v>0</v>
      </c>
      <c r="AZ76" s="49">
        <f t="shared" si="49"/>
        <v>1</v>
      </c>
      <c r="BA76" s="49">
        <f t="shared" si="50"/>
        <v>0</v>
      </c>
      <c r="BB76" s="49">
        <f t="shared" si="51"/>
        <v>0</v>
      </c>
      <c r="BC76" s="49">
        <f t="shared" si="52"/>
        <v>0</v>
      </c>
      <c r="BD76" s="49">
        <f t="shared" si="53"/>
        <v>0</v>
      </c>
      <c r="BE76" s="49">
        <f t="shared" si="54"/>
        <v>1</v>
      </c>
      <c r="BF76" s="49">
        <f t="shared" si="55"/>
        <v>0</v>
      </c>
      <c r="BG76" s="49">
        <f t="shared" si="56"/>
        <v>0</v>
      </c>
      <c r="BH76" s="49">
        <f t="shared" si="57"/>
        <v>1</v>
      </c>
      <c r="BI76" s="49">
        <f t="shared" si="58"/>
        <v>0</v>
      </c>
      <c r="BJ76" s="49">
        <f t="shared" si="59"/>
        <v>0</v>
      </c>
      <c r="BK76" s="49">
        <f t="shared" si="60"/>
        <v>0</v>
      </c>
      <c r="BL76" s="49">
        <f t="shared" si="61"/>
        <v>1</v>
      </c>
      <c r="BM76" s="49">
        <f t="shared" si="62"/>
        <v>0</v>
      </c>
      <c r="BN76" s="49">
        <f t="shared" si="63"/>
        <v>0</v>
      </c>
      <c r="BO76" s="49">
        <f t="shared" si="64"/>
        <v>0</v>
      </c>
      <c r="BP76" s="49">
        <f t="shared" si="65"/>
        <v>0</v>
      </c>
      <c r="BQ76" s="49">
        <f t="shared" si="66"/>
        <v>1</v>
      </c>
      <c r="BR76" s="49">
        <f t="shared" si="67"/>
        <v>0</v>
      </c>
      <c r="BS76" s="49">
        <f t="shared" si="68"/>
        <v>0</v>
      </c>
      <c r="BT76" s="49">
        <f t="shared" si="69"/>
        <v>0</v>
      </c>
      <c r="BU76" s="49">
        <f t="shared" si="70"/>
        <v>1</v>
      </c>
      <c r="BV76" s="49">
        <f t="shared" si="71"/>
        <v>0</v>
      </c>
      <c r="BW76" s="49">
        <f t="shared" si="72"/>
        <v>0</v>
      </c>
    </row>
    <row r="77" spans="1:75" ht="35.1" customHeight="1" x14ac:dyDescent="0.3">
      <c r="A77" s="123" t="str">
        <f t="shared" si="37"/>
        <v>1팀</v>
      </c>
      <c r="B77" s="69">
        <f t="shared" si="38"/>
        <v>71</v>
      </c>
      <c r="C77" s="121" t="str">
        <f>IF(VLOOKUP($B77,'1. 현장별 인원현황'!$C:$J,2,0)=0,"",VLOOKUP($B77,'1. 현장별 인원현황'!$C:$J,2,0))</f>
        <v xml:space="preserve"> [1.두산건설] [전기] 강화2지역 주택조합 전기공사</v>
      </c>
      <c r="D77" s="74" t="str">
        <f>IF(VLOOKUP($B77,'1. 현장별 인원현황'!$C:$J,3,0)=0,"",VLOOKUP($B77,'1. 현장별 인원현황'!$C:$J,3,0))</f>
        <v>김민규</v>
      </c>
      <c r="E77" s="63" t="str">
        <f ca="1">IF(VLOOKUP($B77,'1. 현장별 인원현황'!$C:$J,4,0)=0,"",VLOOKUP($B77,'1. 현장별 인원현황'!$C:$J,4,0))</f>
        <v>34세</v>
      </c>
      <c r="F77" s="63" t="str">
        <f>IF(VLOOKUP($B77,'1. 현장별 인원현황'!$C:$J,7,0)=0,"",VLOOKUP($B77,'1. 현장별 인원현황'!$C:$J,7,0))</f>
        <v>기능공</v>
      </c>
      <c r="G77" s="63" t="str">
        <f>IF(VLOOKUP($B77,'1. 현장별 인원현황'!$C:$J,8,0)=0,"",VLOOKUP($B77,'1. 현장별 인원현황'!$C:$J,8,0))</f>
        <v>전공</v>
      </c>
      <c r="H77" s="67" t="s">
        <v>69</v>
      </c>
      <c r="I77" s="73"/>
      <c r="J77" s="73"/>
      <c r="K77" s="68"/>
      <c r="L77" s="67"/>
      <c r="M77" s="73" t="s">
        <v>69</v>
      </c>
      <c r="N77" s="73"/>
      <c r="O77" s="68"/>
      <c r="P77" s="67" t="s">
        <v>69</v>
      </c>
      <c r="Q77" s="73"/>
      <c r="R77" s="73"/>
      <c r="S77" s="68"/>
      <c r="T77" s="67"/>
      <c r="U77" s="73" t="s">
        <v>69</v>
      </c>
      <c r="V77" s="73"/>
      <c r="W77" s="68"/>
      <c r="X77" s="67" t="s">
        <v>69</v>
      </c>
      <c r="Y77" s="73"/>
      <c r="Z77" s="73"/>
      <c r="AA77" s="68"/>
      <c r="AB77" s="67" t="s">
        <v>69</v>
      </c>
      <c r="AC77" s="73"/>
      <c r="AD77" s="73"/>
      <c r="AE77" s="68"/>
      <c r="AF77" s="67"/>
      <c r="AG77" s="73" t="s">
        <v>69</v>
      </c>
      <c r="AH77" s="73"/>
      <c r="AI77" s="68"/>
      <c r="AJ77" s="67"/>
      <c r="AK77" s="73" t="s">
        <v>69</v>
      </c>
      <c r="AL77" s="73"/>
      <c r="AM77" s="68"/>
      <c r="AN77" s="67">
        <f t="shared" si="39"/>
        <v>86</v>
      </c>
      <c r="AO77" s="68" t="str">
        <f t="shared" si="40"/>
        <v>S</v>
      </c>
      <c r="AR77" s="49">
        <f t="shared" si="41"/>
        <v>1</v>
      </c>
      <c r="AS77" s="49">
        <f t="shared" si="42"/>
        <v>0</v>
      </c>
      <c r="AT77" s="49">
        <f t="shared" si="43"/>
        <v>0</v>
      </c>
      <c r="AU77" s="49">
        <f t="shared" si="44"/>
        <v>0</v>
      </c>
      <c r="AV77" s="49">
        <f t="shared" si="45"/>
        <v>0</v>
      </c>
      <c r="AW77" s="49">
        <f t="shared" si="46"/>
        <v>1</v>
      </c>
      <c r="AX77" s="49">
        <f t="shared" si="47"/>
        <v>0</v>
      </c>
      <c r="AY77" s="49">
        <f t="shared" si="48"/>
        <v>0</v>
      </c>
      <c r="AZ77" s="49">
        <f t="shared" si="49"/>
        <v>1</v>
      </c>
      <c r="BA77" s="49">
        <f t="shared" si="50"/>
        <v>0</v>
      </c>
      <c r="BB77" s="49">
        <f t="shared" si="51"/>
        <v>0</v>
      </c>
      <c r="BC77" s="49">
        <f t="shared" si="52"/>
        <v>0</v>
      </c>
      <c r="BD77" s="49">
        <f t="shared" si="53"/>
        <v>0</v>
      </c>
      <c r="BE77" s="49">
        <f t="shared" si="54"/>
        <v>1</v>
      </c>
      <c r="BF77" s="49">
        <f t="shared" si="55"/>
        <v>0</v>
      </c>
      <c r="BG77" s="49">
        <f t="shared" si="56"/>
        <v>0</v>
      </c>
      <c r="BH77" s="49">
        <f t="shared" si="57"/>
        <v>1</v>
      </c>
      <c r="BI77" s="49">
        <f t="shared" si="58"/>
        <v>0</v>
      </c>
      <c r="BJ77" s="49">
        <f t="shared" si="59"/>
        <v>0</v>
      </c>
      <c r="BK77" s="49">
        <f t="shared" si="60"/>
        <v>0</v>
      </c>
      <c r="BL77" s="49">
        <f t="shared" si="61"/>
        <v>1</v>
      </c>
      <c r="BM77" s="49">
        <f t="shared" si="62"/>
        <v>0</v>
      </c>
      <c r="BN77" s="49">
        <f t="shared" si="63"/>
        <v>0</v>
      </c>
      <c r="BO77" s="49">
        <f t="shared" si="64"/>
        <v>0</v>
      </c>
      <c r="BP77" s="49">
        <f t="shared" si="65"/>
        <v>0</v>
      </c>
      <c r="BQ77" s="49">
        <f t="shared" si="66"/>
        <v>1</v>
      </c>
      <c r="BR77" s="49">
        <f t="shared" si="67"/>
        <v>0</v>
      </c>
      <c r="BS77" s="49">
        <f t="shared" si="68"/>
        <v>0</v>
      </c>
      <c r="BT77" s="49">
        <f t="shared" si="69"/>
        <v>0</v>
      </c>
      <c r="BU77" s="49">
        <f t="shared" si="70"/>
        <v>1</v>
      </c>
      <c r="BV77" s="49">
        <f t="shared" si="71"/>
        <v>0</v>
      </c>
      <c r="BW77" s="49">
        <f t="shared" si="72"/>
        <v>0</v>
      </c>
    </row>
    <row r="78" spans="1:75" ht="35.1" customHeight="1" x14ac:dyDescent="0.3">
      <c r="A78" s="123" t="str">
        <f t="shared" si="37"/>
        <v>1팀</v>
      </c>
      <c r="B78" s="69">
        <f t="shared" si="38"/>
        <v>72</v>
      </c>
      <c r="C78" s="121" t="str">
        <f>IF(VLOOKUP($B78,'1. 현장별 인원현황'!$C:$J,2,0)=0,"",VLOOKUP($B78,'1. 현장별 인원현황'!$C:$J,2,0))</f>
        <v xml:space="preserve"> [1.두산건설] [전기] 강화2지역 주택조합 전기공사</v>
      </c>
      <c r="D78" s="74" t="str">
        <f>IF(VLOOKUP($B78,'1. 현장별 인원현황'!$C:$J,3,0)=0,"",VLOOKUP($B78,'1. 현장별 인원현황'!$C:$J,3,0))</f>
        <v>김남현</v>
      </c>
      <c r="E78" s="63" t="str">
        <f ca="1">IF(VLOOKUP($B78,'1. 현장별 인원현황'!$C:$J,4,0)=0,"",VLOOKUP($B78,'1. 현장별 인원현황'!$C:$J,4,0))</f>
        <v>53세</v>
      </c>
      <c r="F78" s="63" t="str">
        <f>IF(VLOOKUP($B78,'1. 현장별 인원현황'!$C:$J,7,0)=0,"",VLOOKUP($B78,'1. 현장별 인원현황'!$C:$J,7,0))</f>
        <v>기능공</v>
      </c>
      <c r="G78" s="63" t="str">
        <f>IF(VLOOKUP($B78,'1. 현장별 인원현황'!$C:$J,8,0)=0,"",VLOOKUP($B78,'1. 현장별 인원현황'!$C:$J,8,0))</f>
        <v>전공</v>
      </c>
      <c r="H78" s="67" t="s">
        <v>69</v>
      </c>
      <c r="I78" s="73"/>
      <c r="J78" s="73"/>
      <c r="K78" s="68"/>
      <c r="L78" s="67"/>
      <c r="M78" s="73" t="s">
        <v>69</v>
      </c>
      <c r="N78" s="73"/>
      <c r="O78" s="68"/>
      <c r="P78" s="67" t="s">
        <v>69</v>
      </c>
      <c r="Q78" s="73"/>
      <c r="R78" s="73"/>
      <c r="S78" s="68"/>
      <c r="T78" s="67"/>
      <c r="U78" s="73" t="s">
        <v>69</v>
      </c>
      <c r="V78" s="73"/>
      <c r="W78" s="68"/>
      <c r="X78" s="67" t="s">
        <v>69</v>
      </c>
      <c r="Y78" s="73"/>
      <c r="Z78" s="73"/>
      <c r="AA78" s="68"/>
      <c r="AB78" s="67" t="s">
        <v>69</v>
      </c>
      <c r="AC78" s="73"/>
      <c r="AD78" s="73"/>
      <c r="AE78" s="68"/>
      <c r="AF78" s="67"/>
      <c r="AG78" s="73" t="s">
        <v>69</v>
      </c>
      <c r="AH78" s="73"/>
      <c r="AI78" s="68"/>
      <c r="AJ78" s="67"/>
      <c r="AK78" s="73" t="s">
        <v>69</v>
      </c>
      <c r="AL78" s="73"/>
      <c r="AM78" s="68"/>
      <c r="AN78" s="67">
        <f t="shared" si="39"/>
        <v>86</v>
      </c>
      <c r="AO78" s="68" t="str">
        <f t="shared" si="40"/>
        <v>S</v>
      </c>
      <c r="AR78" s="49">
        <f t="shared" si="41"/>
        <v>1</v>
      </c>
      <c r="AS78" s="49">
        <f t="shared" si="42"/>
        <v>0</v>
      </c>
      <c r="AT78" s="49">
        <f t="shared" si="43"/>
        <v>0</v>
      </c>
      <c r="AU78" s="49">
        <f t="shared" si="44"/>
        <v>0</v>
      </c>
      <c r="AV78" s="49">
        <f t="shared" si="45"/>
        <v>0</v>
      </c>
      <c r="AW78" s="49">
        <f t="shared" si="46"/>
        <v>1</v>
      </c>
      <c r="AX78" s="49">
        <f t="shared" si="47"/>
        <v>0</v>
      </c>
      <c r="AY78" s="49">
        <f t="shared" si="48"/>
        <v>0</v>
      </c>
      <c r="AZ78" s="49">
        <f t="shared" si="49"/>
        <v>1</v>
      </c>
      <c r="BA78" s="49">
        <f t="shared" si="50"/>
        <v>0</v>
      </c>
      <c r="BB78" s="49">
        <f t="shared" si="51"/>
        <v>0</v>
      </c>
      <c r="BC78" s="49">
        <f t="shared" si="52"/>
        <v>0</v>
      </c>
      <c r="BD78" s="49">
        <f t="shared" si="53"/>
        <v>0</v>
      </c>
      <c r="BE78" s="49">
        <f t="shared" si="54"/>
        <v>1</v>
      </c>
      <c r="BF78" s="49">
        <f t="shared" si="55"/>
        <v>0</v>
      </c>
      <c r="BG78" s="49">
        <f t="shared" si="56"/>
        <v>0</v>
      </c>
      <c r="BH78" s="49">
        <f t="shared" si="57"/>
        <v>1</v>
      </c>
      <c r="BI78" s="49">
        <f t="shared" si="58"/>
        <v>0</v>
      </c>
      <c r="BJ78" s="49">
        <f t="shared" si="59"/>
        <v>0</v>
      </c>
      <c r="BK78" s="49">
        <f t="shared" si="60"/>
        <v>0</v>
      </c>
      <c r="BL78" s="49">
        <f t="shared" si="61"/>
        <v>1</v>
      </c>
      <c r="BM78" s="49">
        <f t="shared" si="62"/>
        <v>0</v>
      </c>
      <c r="BN78" s="49">
        <f t="shared" si="63"/>
        <v>0</v>
      </c>
      <c r="BO78" s="49">
        <f t="shared" si="64"/>
        <v>0</v>
      </c>
      <c r="BP78" s="49">
        <f t="shared" si="65"/>
        <v>0</v>
      </c>
      <c r="BQ78" s="49">
        <f t="shared" si="66"/>
        <v>1</v>
      </c>
      <c r="BR78" s="49">
        <f t="shared" si="67"/>
        <v>0</v>
      </c>
      <c r="BS78" s="49">
        <f t="shared" si="68"/>
        <v>0</v>
      </c>
      <c r="BT78" s="49">
        <f t="shared" si="69"/>
        <v>0</v>
      </c>
      <c r="BU78" s="49">
        <f t="shared" si="70"/>
        <v>1</v>
      </c>
      <c r="BV78" s="49">
        <f t="shared" si="71"/>
        <v>0</v>
      </c>
      <c r="BW78" s="49">
        <f t="shared" si="72"/>
        <v>0</v>
      </c>
    </row>
    <row r="79" spans="1:75" ht="35.1" customHeight="1" x14ac:dyDescent="0.3">
      <c r="A79" s="123" t="str">
        <f t="shared" si="37"/>
        <v>1팀</v>
      </c>
      <c r="B79" s="69">
        <f t="shared" si="38"/>
        <v>73</v>
      </c>
      <c r="C79" s="121" t="str">
        <f>IF(VLOOKUP($B79,'1. 현장별 인원현황'!$C:$J,2,0)=0,"",VLOOKUP($B79,'1. 현장별 인원현황'!$C:$J,2,0))</f>
        <v xml:space="preserve"> [1.두산건설] [전기] 강화2지역 주택조합 전기공사</v>
      </c>
      <c r="D79" s="74" t="str">
        <f>IF(VLOOKUP($B79,'1. 현장별 인원현황'!$C:$J,3,0)=0,"",VLOOKUP($B79,'1. 현장별 인원현황'!$C:$J,3,0))</f>
        <v>전영재</v>
      </c>
      <c r="E79" s="63" t="str">
        <f ca="1">IF(VLOOKUP($B79,'1. 현장별 인원현황'!$C:$J,4,0)=0,"",VLOOKUP($B79,'1. 현장별 인원현황'!$C:$J,4,0))</f>
        <v>24세</v>
      </c>
      <c r="F79" s="63" t="str">
        <f>IF(VLOOKUP($B79,'1. 현장별 인원현황'!$C:$J,7,0)=0,"",VLOOKUP($B79,'1. 현장별 인원현황'!$C:$J,7,0))</f>
        <v>기능공</v>
      </c>
      <c r="G79" s="63" t="str">
        <f>IF(VLOOKUP($B79,'1. 현장별 인원현황'!$C:$J,8,0)=0,"",VLOOKUP($B79,'1. 현장별 인원현황'!$C:$J,8,0))</f>
        <v>전공</v>
      </c>
      <c r="H79" s="67" t="s">
        <v>69</v>
      </c>
      <c r="I79" s="73"/>
      <c r="J79" s="73"/>
      <c r="K79" s="68"/>
      <c r="L79" s="67"/>
      <c r="M79" s="73" t="s">
        <v>69</v>
      </c>
      <c r="N79" s="73"/>
      <c r="O79" s="68"/>
      <c r="P79" s="67" t="s">
        <v>69</v>
      </c>
      <c r="Q79" s="73"/>
      <c r="R79" s="73"/>
      <c r="S79" s="68"/>
      <c r="T79" s="67"/>
      <c r="U79" s="73" t="s">
        <v>69</v>
      </c>
      <c r="V79" s="73"/>
      <c r="W79" s="68"/>
      <c r="X79" s="67" t="s">
        <v>69</v>
      </c>
      <c r="Y79" s="73"/>
      <c r="Z79" s="73"/>
      <c r="AA79" s="68"/>
      <c r="AB79" s="67" t="s">
        <v>69</v>
      </c>
      <c r="AC79" s="73"/>
      <c r="AD79" s="73"/>
      <c r="AE79" s="68"/>
      <c r="AF79" s="67"/>
      <c r="AG79" s="73" t="s">
        <v>69</v>
      </c>
      <c r="AH79" s="73"/>
      <c r="AI79" s="68"/>
      <c r="AJ79" s="67"/>
      <c r="AK79" s="73" t="s">
        <v>69</v>
      </c>
      <c r="AL79" s="73"/>
      <c r="AM79" s="68"/>
      <c r="AN79" s="67">
        <f t="shared" si="39"/>
        <v>86</v>
      </c>
      <c r="AO79" s="68" t="str">
        <f t="shared" si="40"/>
        <v>S</v>
      </c>
      <c r="AR79" s="49">
        <f t="shared" si="41"/>
        <v>1</v>
      </c>
      <c r="AS79" s="49">
        <f t="shared" si="42"/>
        <v>0</v>
      </c>
      <c r="AT79" s="49">
        <f t="shared" si="43"/>
        <v>0</v>
      </c>
      <c r="AU79" s="49">
        <f t="shared" si="44"/>
        <v>0</v>
      </c>
      <c r="AV79" s="49">
        <f t="shared" si="45"/>
        <v>0</v>
      </c>
      <c r="AW79" s="49">
        <f t="shared" si="46"/>
        <v>1</v>
      </c>
      <c r="AX79" s="49">
        <f t="shared" si="47"/>
        <v>0</v>
      </c>
      <c r="AY79" s="49">
        <f t="shared" si="48"/>
        <v>0</v>
      </c>
      <c r="AZ79" s="49">
        <f t="shared" si="49"/>
        <v>1</v>
      </c>
      <c r="BA79" s="49">
        <f t="shared" si="50"/>
        <v>0</v>
      </c>
      <c r="BB79" s="49">
        <f t="shared" si="51"/>
        <v>0</v>
      </c>
      <c r="BC79" s="49">
        <f t="shared" si="52"/>
        <v>0</v>
      </c>
      <c r="BD79" s="49">
        <f t="shared" si="53"/>
        <v>0</v>
      </c>
      <c r="BE79" s="49">
        <f t="shared" si="54"/>
        <v>1</v>
      </c>
      <c r="BF79" s="49">
        <f t="shared" si="55"/>
        <v>0</v>
      </c>
      <c r="BG79" s="49">
        <f t="shared" si="56"/>
        <v>0</v>
      </c>
      <c r="BH79" s="49">
        <f t="shared" si="57"/>
        <v>1</v>
      </c>
      <c r="BI79" s="49">
        <f t="shared" si="58"/>
        <v>0</v>
      </c>
      <c r="BJ79" s="49">
        <f t="shared" si="59"/>
        <v>0</v>
      </c>
      <c r="BK79" s="49">
        <f t="shared" si="60"/>
        <v>0</v>
      </c>
      <c r="BL79" s="49">
        <f t="shared" si="61"/>
        <v>1</v>
      </c>
      <c r="BM79" s="49">
        <f t="shared" si="62"/>
        <v>0</v>
      </c>
      <c r="BN79" s="49">
        <f t="shared" si="63"/>
        <v>0</v>
      </c>
      <c r="BO79" s="49">
        <f t="shared" si="64"/>
        <v>0</v>
      </c>
      <c r="BP79" s="49">
        <f t="shared" si="65"/>
        <v>0</v>
      </c>
      <c r="BQ79" s="49">
        <f t="shared" si="66"/>
        <v>1</v>
      </c>
      <c r="BR79" s="49">
        <f t="shared" si="67"/>
        <v>0</v>
      </c>
      <c r="BS79" s="49">
        <f t="shared" si="68"/>
        <v>0</v>
      </c>
      <c r="BT79" s="49">
        <f t="shared" si="69"/>
        <v>0</v>
      </c>
      <c r="BU79" s="49">
        <f t="shared" si="70"/>
        <v>1</v>
      </c>
      <c r="BV79" s="49">
        <f t="shared" si="71"/>
        <v>0</v>
      </c>
      <c r="BW79" s="49">
        <f t="shared" si="72"/>
        <v>0</v>
      </c>
    </row>
    <row r="80" spans="1:75" ht="35.1" customHeight="1" x14ac:dyDescent="0.3">
      <c r="A80" s="123" t="str">
        <f t="shared" si="37"/>
        <v>1팀</v>
      </c>
      <c r="B80" s="69">
        <f t="shared" si="38"/>
        <v>74</v>
      </c>
      <c r="C80" s="121" t="str">
        <f>IF(VLOOKUP($B80,'1. 현장별 인원현황'!$C:$J,2,0)=0,"",VLOOKUP($B80,'1. 현장별 인원현황'!$C:$J,2,0))</f>
        <v xml:space="preserve"> [1.두산건설] [전기] 강화2지역 주택조합 전기공사</v>
      </c>
      <c r="D80" s="74" t="str">
        <f>IF(VLOOKUP($B80,'1. 현장별 인원현황'!$C:$J,3,0)=0,"",VLOOKUP($B80,'1. 현장별 인원현황'!$C:$J,3,0))</f>
        <v>이영철</v>
      </c>
      <c r="E80" s="63" t="str">
        <f ca="1">IF(VLOOKUP($B80,'1. 현장별 인원현황'!$C:$J,4,0)=0,"",VLOOKUP($B80,'1. 현장별 인원현황'!$C:$J,4,0))</f>
        <v>54세</v>
      </c>
      <c r="F80" s="63" t="str">
        <f>IF(VLOOKUP($B80,'1. 현장별 인원현황'!$C:$J,7,0)=0,"",VLOOKUP($B80,'1. 현장별 인원현황'!$C:$J,7,0))</f>
        <v>기능공</v>
      </c>
      <c r="G80" s="63" t="str">
        <f>IF(VLOOKUP($B80,'1. 현장별 인원현황'!$C:$J,8,0)=0,"",VLOOKUP($B80,'1. 현장별 인원현황'!$C:$J,8,0))</f>
        <v>전공</v>
      </c>
      <c r="H80" s="67" t="s">
        <v>69</v>
      </c>
      <c r="I80" s="73"/>
      <c r="J80" s="73"/>
      <c r="K80" s="68"/>
      <c r="L80" s="67"/>
      <c r="M80" s="73" t="s">
        <v>69</v>
      </c>
      <c r="N80" s="73"/>
      <c r="O80" s="68"/>
      <c r="P80" s="67" t="s">
        <v>69</v>
      </c>
      <c r="Q80" s="73"/>
      <c r="R80" s="73"/>
      <c r="S80" s="68"/>
      <c r="T80" s="67"/>
      <c r="U80" s="73" t="s">
        <v>69</v>
      </c>
      <c r="V80" s="73"/>
      <c r="W80" s="68"/>
      <c r="X80" s="67" t="s">
        <v>69</v>
      </c>
      <c r="Y80" s="73"/>
      <c r="Z80" s="73"/>
      <c r="AA80" s="68"/>
      <c r="AB80" s="67" t="s">
        <v>69</v>
      </c>
      <c r="AC80" s="73"/>
      <c r="AD80" s="73"/>
      <c r="AE80" s="68"/>
      <c r="AF80" s="67"/>
      <c r="AG80" s="73" t="s">
        <v>69</v>
      </c>
      <c r="AH80" s="73"/>
      <c r="AI80" s="68"/>
      <c r="AJ80" s="67"/>
      <c r="AK80" s="73" t="s">
        <v>69</v>
      </c>
      <c r="AL80" s="73"/>
      <c r="AM80" s="68"/>
      <c r="AN80" s="67">
        <f t="shared" si="39"/>
        <v>86</v>
      </c>
      <c r="AO80" s="68" t="str">
        <f t="shared" si="40"/>
        <v>S</v>
      </c>
      <c r="AR80" s="49">
        <f t="shared" si="41"/>
        <v>1</v>
      </c>
      <c r="AS80" s="49">
        <f t="shared" si="42"/>
        <v>0</v>
      </c>
      <c r="AT80" s="49">
        <f t="shared" si="43"/>
        <v>0</v>
      </c>
      <c r="AU80" s="49">
        <f t="shared" si="44"/>
        <v>0</v>
      </c>
      <c r="AV80" s="49">
        <f t="shared" si="45"/>
        <v>0</v>
      </c>
      <c r="AW80" s="49">
        <f t="shared" si="46"/>
        <v>1</v>
      </c>
      <c r="AX80" s="49">
        <f t="shared" si="47"/>
        <v>0</v>
      </c>
      <c r="AY80" s="49">
        <f t="shared" si="48"/>
        <v>0</v>
      </c>
      <c r="AZ80" s="49">
        <f t="shared" si="49"/>
        <v>1</v>
      </c>
      <c r="BA80" s="49">
        <f t="shared" si="50"/>
        <v>0</v>
      </c>
      <c r="BB80" s="49">
        <f t="shared" si="51"/>
        <v>0</v>
      </c>
      <c r="BC80" s="49">
        <f t="shared" si="52"/>
        <v>0</v>
      </c>
      <c r="BD80" s="49">
        <f t="shared" si="53"/>
        <v>0</v>
      </c>
      <c r="BE80" s="49">
        <f t="shared" si="54"/>
        <v>1</v>
      </c>
      <c r="BF80" s="49">
        <f t="shared" si="55"/>
        <v>0</v>
      </c>
      <c r="BG80" s="49">
        <f t="shared" si="56"/>
        <v>0</v>
      </c>
      <c r="BH80" s="49">
        <f t="shared" si="57"/>
        <v>1</v>
      </c>
      <c r="BI80" s="49">
        <f t="shared" si="58"/>
        <v>0</v>
      </c>
      <c r="BJ80" s="49">
        <f t="shared" si="59"/>
        <v>0</v>
      </c>
      <c r="BK80" s="49">
        <f t="shared" si="60"/>
        <v>0</v>
      </c>
      <c r="BL80" s="49">
        <f t="shared" si="61"/>
        <v>1</v>
      </c>
      <c r="BM80" s="49">
        <f t="shared" si="62"/>
        <v>0</v>
      </c>
      <c r="BN80" s="49">
        <f t="shared" si="63"/>
        <v>0</v>
      </c>
      <c r="BO80" s="49">
        <f t="shared" si="64"/>
        <v>0</v>
      </c>
      <c r="BP80" s="49">
        <f t="shared" si="65"/>
        <v>0</v>
      </c>
      <c r="BQ80" s="49">
        <f t="shared" si="66"/>
        <v>1</v>
      </c>
      <c r="BR80" s="49">
        <f t="shared" si="67"/>
        <v>0</v>
      </c>
      <c r="BS80" s="49">
        <f t="shared" si="68"/>
        <v>0</v>
      </c>
      <c r="BT80" s="49">
        <f t="shared" si="69"/>
        <v>0</v>
      </c>
      <c r="BU80" s="49">
        <f t="shared" si="70"/>
        <v>1</v>
      </c>
      <c r="BV80" s="49">
        <f t="shared" si="71"/>
        <v>0</v>
      </c>
      <c r="BW80" s="49">
        <f t="shared" si="72"/>
        <v>0</v>
      </c>
    </row>
    <row r="81" spans="1:75" ht="35.1" customHeight="1" x14ac:dyDescent="0.3">
      <c r="A81" s="123" t="str">
        <f t="shared" si="37"/>
        <v>1팀</v>
      </c>
      <c r="B81" s="136">
        <f t="shared" si="38"/>
        <v>75</v>
      </c>
      <c r="C81" s="139" t="str">
        <f>IF(VLOOKUP($B81,'1. 현장별 인원현황'!$C:$J,2,0)=0,"",VLOOKUP($B81,'1. 현장별 인원현황'!$C:$J,2,0))</f>
        <v xml:space="preserve"> [1.두산건설] 송림3구역 주택재개발 중 전기공사1,2공구</v>
      </c>
      <c r="D81" s="140" t="str">
        <f>IF(VLOOKUP($B81,'1. 현장별 인원현황'!$C:$J,3,0)=0,"",VLOOKUP($B81,'1. 현장별 인원현황'!$C:$J,3,0))</f>
        <v>박전규</v>
      </c>
      <c r="E81" s="135" t="str">
        <f ca="1">IF(VLOOKUP($B81,'1. 현장별 인원현황'!$C:$J,4,0)=0,"",VLOOKUP($B81,'1. 현장별 인원현황'!$C:$J,4,0))</f>
        <v>42세</v>
      </c>
      <c r="F81" s="135" t="str">
        <f>IF(VLOOKUP($B81,'1. 현장별 인원현황'!$C:$J,7,0)=0,"",VLOOKUP($B81,'1. 현장별 인원현황'!$C:$J,7,0))</f>
        <v>공무</v>
      </c>
      <c r="G81" s="135" t="str">
        <f>IF(VLOOKUP($B81,'1. 현장별 인원현황'!$C:$J,8,0)=0,"",VLOOKUP($B81,'1. 현장별 인원현황'!$C:$J,8,0))</f>
        <v>차장</v>
      </c>
      <c r="H81" s="141" t="s">
        <v>3434</v>
      </c>
      <c r="I81" s="137"/>
      <c r="J81" s="137"/>
      <c r="K81" s="138"/>
      <c r="L81" s="136"/>
      <c r="M81" s="137" t="s">
        <v>3434</v>
      </c>
      <c r="N81" s="137"/>
      <c r="O81" s="138"/>
      <c r="P81" s="136" t="s">
        <v>3434</v>
      </c>
      <c r="Q81" s="137"/>
      <c r="R81" s="137"/>
      <c r="S81" s="138"/>
      <c r="T81" s="136" t="s">
        <v>3434</v>
      </c>
      <c r="U81" s="137"/>
      <c r="V81" s="137"/>
      <c r="W81" s="138"/>
      <c r="X81" s="136" t="s">
        <v>3434</v>
      </c>
      <c r="Y81" s="137"/>
      <c r="Z81" s="137"/>
      <c r="AA81" s="138"/>
      <c r="AB81" s="136" t="s">
        <v>3434</v>
      </c>
      <c r="AC81" s="137"/>
      <c r="AD81" s="137"/>
      <c r="AE81" s="138"/>
      <c r="AF81" s="136" t="s">
        <v>3434</v>
      </c>
      <c r="AG81" s="137"/>
      <c r="AH81" s="137"/>
      <c r="AI81" s="138"/>
      <c r="AJ81" s="136" t="s">
        <v>3434</v>
      </c>
      <c r="AK81" s="137"/>
      <c r="AL81" s="137"/>
      <c r="AM81" s="138"/>
      <c r="AN81" s="136">
        <f t="shared" si="39"/>
        <v>96</v>
      </c>
      <c r="AO81" s="138" t="str">
        <f t="shared" si="40"/>
        <v>S</v>
      </c>
      <c r="AR81" s="49">
        <f t="shared" si="41"/>
        <v>1</v>
      </c>
      <c r="AS81" s="49">
        <f t="shared" si="42"/>
        <v>0</v>
      </c>
      <c r="AT81" s="49">
        <f t="shared" si="43"/>
        <v>0</v>
      </c>
      <c r="AU81" s="49">
        <f t="shared" si="44"/>
        <v>0</v>
      </c>
      <c r="AV81" s="49">
        <f t="shared" si="45"/>
        <v>0</v>
      </c>
      <c r="AW81" s="49">
        <f>IF(M81&gt;0,1,0)</f>
        <v>1</v>
      </c>
      <c r="AX81" s="49">
        <f>IF(N81&gt;0,1,0)</f>
        <v>0</v>
      </c>
      <c r="AY81" s="49">
        <f t="shared" si="48"/>
        <v>0</v>
      </c>
      <c r="AZ81" s="49">
        <f t="shared" si="49"/>
        <v>1</v>
      </c>
      <c r="BA81" s="49">
        <f t="shared" si="50"/>
        <v>0</v>
      </c>
      <c r="BB81" s="49">
        <f t="shared" si="51"/>
        <v>0</v>
      </c>
      <c r="BC81" s="49">
        <f t="shared" si="52"/>
        <v>0</v>
      </c>
      <c r="BD81" s="49">
        <f t="shared" si="53"/>
        <v>1</v>
      </c>
      <c r="BE81" s="49">
        <f t="shared" si="54"/>
        <v>0</v>
      </c>
      <c r="BF81" s="49">
        <f t="shared" si="55"/>
        <v>0</v>
      </c>
      <c r="BG81" s="49">
        <f t="shared" si="56"/>
        <v>0</v>
      </c>
      <c r="BH81" s="49">
        <f t="shared" si="57"/>
        <v>1</v>
      </c>
      <c r="BI81" s="49">
        <f t="shared" si="58"/>
        <v>0</v>
      </c>
      <c r="BJ81" s="49">
        <f t="shared" si="59"/>
        <v>0</v>
      </c>
      <c r="BK81" s="49">
        <f t="shared" si="60"/>
        <v>0</v>
      </c>
      <c r="BL81" s="49">
        <f t="shared" si="61"/>
        <v>1</v>
      </c>
      <c r="BM81" s="49">
        <f t="shared" si="62"/>
        <v>0</v>
      </c>
      <c r="BN81" s="49">
        <f t="shared" si="63"/>
        <v>0</v>
      </c>
      <c r="BO81" s="49">
        <f t="shared" si="64"/>
        <v>0</v>
      </c>
      <c r="BP81" s="49">
        <f t="shared" si="65"/>
        <v>1</v>
      </c>
      <c r="BQ81" s="49">
        <f t="shared" si="66"/>
        <v>0</v>
      </c>
      <c r="BR81" s="49">
        <f t="shared" si="67"/>
        <v>0</v>
      </c>
      <c r="BS81" s="49">
        <f t="shared" si="68"/>
        <v>0</v>
      </c>
      <c r="BT81" s="49">
        <f t="shared" si="69"/>
        <v>1</v>
      </c>
      <c r="BU81" s="49">
        <f t="shared" si="70"/>
        <v>0</v>
      </c>
      <c r="BV81" s="49">
        <f t="shared" si="71"/>
        <v>0</v>
      </c>
      <c r="BW81" s="49">
        <f t="shared" si="72"/>
        <v>0</v>
      </c>
    </row>
    <row r="82" spans="1:75" ht="35.1" customHeight="1" x14ac:dyDescent="0.3">
      <c r="A82" s="123" t="str">
        <f t="shared" si="37"/>
        <v>1팀</v>
      </c>
      <c r="B82" s="136">
        <f t="shared" si="38"/>
        <v>76</v>
      </c>
      <c r="C82" s="139" t="str">
        <f>IF(VLOOKUP($B82,'1. 현장별 인원현황'!$C:$J,2,0)=0,"",VLOOKUP($B82,'1. 현장별 인원현황'!$C:$J,2,0))</f>
        <v xml:space="preserve"> [1.두산건설] 송림3구역 주택재개발 중 전기공사1,2공구</v>
      </c>
      <c r="D82" s="140" t="str">
        <f>IF(VLOOKUP($B82,'1. 현장별 인원현황'!$C:$J,3,0)=0,"",VLOOKUP($B82,'1. 현장별 인원현황'!$C:$J,3,0))</f>
        <v>김항규</v>
      </c>
      <c r="E82" s="135" t="str">
        <f ca="1">IF(VLOOKUP($B82,'1. 현장별 인원현황'!$C:$J,4,0)=0,"",VLOOKUP($B82,'1. 현장별 인원현황'!$C:$J,4,0))</f>
        <v>31세</v>
      </c>
      <c r="F82" s="135" t="str">
        <f>IF(VLOOKUP($B82,'1. 현장별 인원현황'!$C:$J,7,0)=0,"",VLOOKUP($B82,'1. 현장별 인원현황'!$C:$J,7,0))</f>
        <v>공무</v>
      </c>
      <c r="G82" s="135" t="str">
        <f>IF(VLOOKUP($B82,'1. 현장별 인원현황'!$C:$J,8,0)=0,"",VLOOKUP($B82,'1. 현장별 인원현황'!$C:$J,8,0))</f>
        <v>기사</v>
      </c>
      <c r="H82" s="136" t="s">
        <v>3434</v>
      </c>
      <c r="I82" s="137"/>
      <c r="J82" s="137"/>
      <c r="K82" s="138"/>
      <c r="L82" s="136"/>
      <c r="M82" s="137" t="s">
        <v>3434</v>
      </c>
      <c r="N82" s="137"/>
      <c r="O82" s="138"/>
      <c r="P82" s="136" t="s">
        <v>3434</v>
      </c>
      <c r="Q82" s="137"/>
      <c r="R82" s="137"/>
      <c r="S82" s="138"/>
      <c r="T82" s="136" t="s">
        <v>3434</v>
      </c>
      <c r="U82" s="137"/>
      <c r="V82" s="137"/>
      <c r="W82" s="138"/>
      <c r="X82" s="136" t="s">
        <v>3434</v>
      </c>
      <c r="Y82" s="137"/>
      <c r="Z82" s="137"/>
      <c r="AA82" s="138"/>
      <c r="AB82" s="136" t="s">
        <v>3434</v>
      </c>
      <c r="AC82" s="137"/>
      <c r="AD82" s="137"/>
      <c r="AE82" s="138"/>
      <c r="AF82" s="136" t="s">
        <v>3434</v>
      </c>
      <c r="AG82" s="137"/>
      <c r="AH82" s="137"/>
      <c r="AI82" s="138"/>
      <c r="AJ82" s="136" t="s">
        <v>3434</v>
      </c>
      <c r="AK82" s="137"/>
      <c r="AL82" s="137"/>
      <c r="AM82" s="138"/>
      <c r="AN82" s="136">
        <f t="shared" si="39"/>
        <v>96</v>
      </c>
      <c r="AO82" s="138" t="str">
        <f t="shared" si="40"/>
        <v>S</v>
      </c>
      <c r="AR82" s="49">
        <f t="shared" si="41"/>
        <v>1</v>
      </c>
      <c r="AS82" s="49">
        <f t="shared" si="42"/>
        <v>0</v>
      </c>
      <c r="AT82" s="49">
        <f t="shared" si="43"/>
        <v>0</v>
      </c>
      <c r="AU82" s="49">
        <f t="shared" si="44"/>
        <v>0</v>
      </c>
      <c r="AV82" s="49">
        <f t="shared" si="45"/>
        <v>0</v>
      </c>
      <c r="AW82" s="49">
        <f t="shared" si="46"/>
        <v>1</v>
      </c>
      <c r="AX82" s="49">
        <f t="shared" si="47"/>
        <v>0</v>
      </c>
      <c r="AY82" s="49">
        <f t="shared" si="48"/>
        <v>0</v>
      </c>
      <c r="AZ82" s="49">
        <f t="shared" si="49"/>
        <v>1</v>
      </c>
      <c r="BA82" s="49">
        <f t="shared" si="50"/>
        <v>0</v>
      </c>
      <c r="BB82" s="49">
        <f t="shared" si="51"/>
        <v>0</v>
      </c>
      <c r="BC82" s="49">
        <f t="shared" si="52"/>
        <v>0</v>
      </c>
      <c r="BD82" s="49">
        <f t="shared" si="53"/>
        <v>1</v>
      </c>
      <c r="BE82" s="49">
        <f t="shared" si="54"/>
        <v>0</v>
      </c>
      <c r="BF82" s="49">
        <f t="shared" si="55"/>
        <v>0</v>
      </c>
      <c r="BG82" s="49">
        <f t="shared" si="56"/>
        <v>0</v>
      </c>
      <c r="BH82" s="49">
        <f t="shared" si="57"/>
        <v>1</v>
      </c>
      <c r="BI82" s="49">
        <f t="shared" si="58"/>
        <v>0</v>
      </c>
      <c r="BJ82" s="49">
        <f t="shared" si="59"/>
        <v>0</v>
      </c>
      <c r="BK82" s="49">
        <f t="shared" si="60"/>
        <v>0</v>
      </c>
      <c r="BL82" s="49">
        <f t="shared" si="61"/>
        <v>1</v>
      </c>
      <c r="BM82" s="49">
        <f t="shared" si="62"/>
        <v>0</v>
      </c>
      <c r="BN82" s="49">
        <f t="shared" si="63"/>
        <v>0</v>
      </c>
      <c r="BO82" s="49">
        <f t="shared" si="64"/>
        <v>0</v>
      </c>
      <c r="BP82" s="49">
        <f t="shared" si="65"/>
        <v>1</v>
      </c>
      <c r="BQ82" s="49">
        <f t="shared" si="66"/>
        <v>0</v>
      </c>
      <c r="BR82" s="49">
        <f t="shared" si="67"/>
        <v>0</v>
      </c>
      <c r="BS82" s="49">
        <f t="shared" si="68"/>
        <v>0</v>
      </c>
      <c r="BT82" s="49">
        <f t="shared" si="69"/>
        <v>1</v>
      </c>
      <c r="BU82" s="49">
        <f t="shared" si="70"/>
        <v>0</v>
      </c>
      <c r="BV82" s="49">
        <f t="shared" si="71"/>
        <v>0</v>
      </c>
      <c r="BW82" s="49">
        <f t="shared" si="72"/>
        <v>0</v>
      </c>
    </row>
    <row r="83" spans="1:75" ht="35.1" customHeight="1" x14ac:dyDescent="0.3">
      <c r="A83" s="123" t="str">
        <f t="shared" si="37"/>
        <v>1팀</v>
      </c>
      <c r="B83" s="136">
        <f t="shared" si="38"/>
        <v>77</v>
      </c>
      <c r="C83" s="139" t="str">
        <f>IF(VLOOKUP($B83,'1. 현장별 인원현황'!$C:$J,2,0)=0,"",VLOOKUP($B83,'1. 현장별 인원현황'!$C:$J,2,0))</f>
        <v xml:space="preserve"> [1.두산건설] 송림3구역 주택재개발 중 전기공사1,2공구</v>
      </c>
      <c r="D83" s="140" t="str">
        <f>IF(VLOOKUP($B83,'1. 현장별 인원현황'!$C:$J,3,0)=0,"",VLOOKUP($B83,'1. 현장별 인원현황'!$C:$J,3,0))</f>
        <v>이윤희</v>
      </c>
      <c r="E83" s="135" t="str">
        <f ca="1">IF(VLOOKUP($B83,'1. 현장별 인원현황'!$C:$J,4,0)=0,"",VLOOKUP($B83,'1. 현장별 인원현황'!$C:$J,4,0))</f>
        <v>62세</v>
      </c>
      <c r="F83" s="135" t="str">
        <f>IF(VLOOKUP($B83,'1. 현장별 인원현황'!$C:$J,7,0)=0,"",VLOOKUP($B83,'1. 현장별 인원현황'!$C:$J,7,0))</f>
        <v>기능공</v>
      </c>
      <c r="G83" s="135" t="str">
        <f>IF(VLOOKUP($B83,'1. 현장별 인원현황'!$C:$J,8,0)=0,"",VLOOKUP($B83,'1. 현장별 인원현황'!$C:$J,8,0))</f>
        <v>전공</v>
      </c>
      <c r="H83" s="136"/>
      <c r="I83" s="137" t="s">
        <v>69</v>
      </c>
      <c r="J83" s="137"/>
      <c r="K83" s="138"/>
      <c r="L83" s="136"/>
      <c r="M83" s="137" t="s">
        <v>3434</v>
      </c>
      <c r="N83" s="137"/>
      <c r="O83" s="138"/>
      <c r="P83" s="136" t="s">
        <v>3434</v>
      </c>
      <c r="Q83" s="137"/>
      <c r="R83" s="137"/>
      <c r="S83" s="138"/>
      <c r="T83" s="136"/>
      <c r="U83" s="137" t="s">
        <v>69</v>
      </c>
      <c r="V83" s="137"/>
      <c r="W83" s="138"/>
      <c r="X83" s="136" t="s">
        <v>3434</v>
      </c>
      <c r="Y83" s="137"/>
      <c r="Z83" s="137"/>
      <c r="AA83" s="138"/>
      <c r="AB83" s="136"/>
      <c r="AC83" s="137" t="s">
        <v>69</v>
      </c>
      <c r="AD83" s="137"/>
      <c r="AE83" s="138"/>
      <c r="AF83" s="136" t="s">
        <v>3434</v>
      </c>
      <c r="AG83" s="137"/>
      <c r="AH83" s="137"/>
      <c r="AI83" s="138"/>
      <c r="AJ83" s="136" t="s">
        <v>3434</v>
      </c>
      <c r="AK83" s="137"/>
      <c r="AL83" s="137"/>
      <c r="AM83" s="138"/>
      <c r="AN83" s="136">
        <f t="shared" si="39"/>
        <v>86</v>
      </c>
      <c r="AO83" s="138" t="str">
        <f t="shared" si="40"/>
        <v>S</v>
      </c>
      <c r="AR83" s="49">
        <f t="shared" si="41"/>
        <v>0</v>
      </c>
      <c r="AS83" s="49">
        <f t="shared" si="42"/>
        <v>1</v>
      </c>
      <c r="AT83" s="49">
        <f t="shared" si="43"/>
        <v>0</v>
      </c>
      <c r="AU83" s="49">
        <f t="shared" si="44"/>
        <v>0</v>
      </c>
      <c r="AV83" s="49">
        <f t="shared" si="45"/>
        <v>0</v>
      </c>
      <c r="AW83" s="49">
        <f t="shared" si="46"/>
        <v>1</v>
      </c>
      <c r="AX83" s="49">
        <f t="shared" si="47"/>
        <v>0</v>
      </c>
      <c r="AY83" s="49">
        <f t="shared" si="48"/>
        <v>0</v>
      </c>
      <c r="AZ83" s="49">
        <f t="shared" si="49"/>
        <v>1</v>
      </c>
      <c r="BA83" s="49">
        <f t="shared" si="50"/>
        <v>0</v>
      </c>
      <c r="BB83" s="49">
        <f t="shared" si="51"/>
        <v>0</v>
      </c>
      <c r="BC83" s="49">
        <f t="shared" si="52"/>
        <v>0</v>
      </c>
      <c r="BD83" s="49">
        <f t="shared" si="53"/>
        <v>0</v>
      </c>
      <c r="BE83" s="49">
        <f t="shared" si="54"/>
        <v>1</v>
      </c>
      <c r="BF83" s="49">
        <f t="shared" si="55"/>
        <v>0</v>
      </c>
      <c r="BG83" s="49">
        <f t="shared" si="56"/>
        <v>0</v>
      </c>
      <c r="BH83" s="49">
        <f t="shared" si="57"/>
        <v>1</v>
      </c>
      <c r="BI83" s="49">
        <f t="shared" si="58"/>
        <v>0</v>
      </c>
      <c r="BJ83" s="49">
        <f t="shared" si="59"/>
        <v>0</v>
      </c>
      <c r="BK83" s="49">
        <f t="shared" si="60"/>
        <v>0</v>
      </c>
      <c r="BL83" s="49">
        <f t="shared" si="61"/>
        <v>0</v>
      </c>
      <c r="BM83" s="49">
        <f t="shared" si="62"/>
        <v>1</v>
      </c>
      <c r="BN83" s="49">
        <f t="shared" si="63"/>
        <v>0</v>
      </c>
      <c r="BO83" s="49">
        <f t="shared" si="64"/>
        <v>0</v>
      </c>
      <c r="BP83" s="49">
        <f t="shared" si="65"/>
        <v>1</v>
      </c>
      <c r="BQ83" s="49">
        <f t="shared" si="66"/>
        <v>0</v>
      </c>
      <c r="BR83" s="49">
        <f t="shared" si="67"/>
        <v>0</v>
      </c>
      <c r="BS83" s="49">
        <f t="shared" si="68"/>
        <v>0</v>
      </c>
      <c r="BT83" s="49">
        <f t="shared" si="69"/>
        <v>1</v>
      </c>
      <c r="BU83" s="49">
        <f t="shared" si="70"/>
        <v>0</v>
      </c>
      <c r="BV83" s="49">
        <f t="shared" si="71"/>
        <v>0</v>
      </c>
      <c r="BW83" s="49">
        <f t="shared" si="72"/>
        <v>0</v>
      </c>
    </row>
    <row r="84" spans="1:75" ht="35.1" customHeight="1" x14ac:dyDescent="0.3">
      <c r="A84" s="123" t="str">
        <f t="shared" si="37"/>
        <v>1팀</v>
      </c>
      <c r="B84" s="136">
        <f t="shared" si="38"/>
        <v>78</v>
      </c>
      <c r="C84" s="139" t="str">
        <f>IF(VLOOKUP($B84,'1. 현장별 인원현황'!$C:$J,2,0)=0,"",VLOOKUP($B84,'1. 현장별 인원현황'!$C:$J,2,0))</f>
        <v xml:space="preserve"> [1.두산건설] 송림3구역 주택재개발 중 전기공사1,2공구</v>
      </c>
      <c r="D84" s="140" t="str">
        <f>IF(VLOOKUP($B84,'1. 현장별 인원현황'!$C:$J,3,0)=0,"",VLOOKUP($B84,'1. 현장별 인원현황'!$C:$J,3,0))</f>
        <v>이봉일</v>
      </c>
      <c r="E84" s="135" t="str">
        <f ca="1">IF(VLOOKUP($B84,'1. 현장별 인원현황'!$C:$J,4,0)=0,"",VLOOKUP($B84,'1. 현장별 인원현황'!$C:$J,4,0))</f>
        <v>62세</v>
      </c>
      <c r="F84" s="135" t="str">
        <f>IF(VLOOKUP($B84,'1. 현장별 인원현황'!$C:$J,7,0)=0,"",VLOOKUP($B84,'1. 현장별 인원현황'!$C:$J,7,0))</f>
        <v>기능공</v>
      </c>
      <c r="G84" s="135" t="str">
        <f>IF(VLOOKUP($B84,'1. 현장별 인원현황'!$C:$J,8,0)=0,"",VLOOKUP($B84,'1. 현장별 인원현황'!$C:$J,8,0))</f>
        <v>전공</v>
      </c>
      <c r="H84" s="136"/>
      <c r="I84" s="137" t="s">
        <v>69</v>
      </c>
      <c r="J84" s="137"/>
      <c r="K84" s="138"/>
      <c r="L84" s="136"/>
      <c r="M84" s="137" t="s">
        <v>3434</v>
      </c>
      <c r="N84" s="137"/>
      <c r="O84" s="138"/>
      <c r="P84" s="136" t="s">
        <v>3434</v>
      </c>
      <c r="Q84" s="137"/>
      <c r="R84" s="137"/>
      <c r="S84" s="138"/>
      <c r="T84" s="136"/>
      <c r="U84" s="137" t="s">
        <v>69</v>
      </c>
      <c r="V84" s="137"/>
      <c r="W84" s="138"/>
      <c r="X84" s="136" t="s">
        <v>3434</v>
      </c>
      <c r="Y84" s="137"/>
      <c r="Z84" s="137"/>
      <c r="AA84" s="138"/>
      <c r="AB84" s="136"/>
      <c r="AC84" s="137" t="s">
        <v>69</v>
      </c>
      <c r="AD84" s="137"/>
      <c r="AE84" s="138"/>
      <c r="AF84" s="136" t="s">
        <v>3434</v>
      </c>
      <c r="AG84" s="137"/>
      <c r="AH84" s="137"/>
      <c r="AI84" s="138"/>
      <c r="AJ84" s="136" t="s">
        <v>3434</v>
      </c>
      <c r="AK84" s="137"/>
      <c r="AL84" s="137"/>
      <c r="AM84" s="138"/>
      <c r="AN84" s="136">
        <f t="shared" si="39"/>
        <v>86</v>
      </c>
      <c r="AO84" s="138" t="str">
        <f t="shared" si="40"/>
        <v>S</v>
      </c>
      <c r="AR84" s="49">
        <f t="shared" si="41"/>
        <v>0</v>
      </c>
      <c r="AS84" s="49">
        <f t="shared" si="42"/>
        <v>1</v>
      </c>
      <c r="AT84" s="49">
        <f t="shared" si="43"/>
        <v>0</v>
      </c>
      <c r="AU84" s="49">
        <f t="shared" si="44"/>
        <v>0</v>
      </c>
      <c r="AV84" s="49">
        <f t="shared" si="45"/>
        <v>0</v>
      </c>
      <c r="AW84" s="49">
        <f t="shared" si="46"/>
        <v>1</v>
      </c>
      <c r="AX84" s="49">
        <f t="shared" si="47"/>
        <v>0</v>
      </c>
      <c r="AY84" s="49">
        <f t="shared" si="48"/>
        <v>0</v>
      </c>
      <c r="AZ84" s="49">
        <f t="shared" si="49"/>
        <v>1</v>
      </c>
      <c r="BA84" s="49">
        <f t="shared" si="50"/>
        <v>0</v>
      </c>
      <c r="BB84" s="49">
        <f t="shared" si="51"/>
        <v>0</v>
      </c>
      <c r="BC84" s="49">
        <f t="shared" si="52"/>
        <v>0</v>
      </c>
      <c r="BD84" s="49">
        <f t="shared" si="53"/>
        <v>0</v>
      </c>
      <c r="BE84" s="49">
        <f t="shared" si="54"/>
        <v>1</v>
      </c>
      <c r="BF84" s="49">
        <f t="shared" si="55"/>
        <v>0</v>
      </c>
      <c r="BG84" s="49">
        <f t="shared" si="56"/>
        <v>0</v>
      </c>
      <c r="BH84" s="49">
        <f t="shared" si="57"/>
        <v>1</v>
      </c>
      <c r="BI84" s="49">
        <f t="shared" si="58"/>
        <v>0</v>
      </c>
      <c r="BJ84" s="49">
        <f t="shared" si="59"/>
        <v>0</v>
      </c>
      <c r="BK84" s="49">
        <f t="shared" si="60"/>
        <v>0</v>
      </c>
      <c r="BL84" s="49">
        <f t="shared" si="61"/>
        <v>0</v>
      </c>
      <c r="BM84" s="49">
        <f t="shared" si="62"/>
        <v>1</v>
      </c>
      <c r="BN84" s="49">
        <f t="shared" si="63"/>
        <v>0</v>
      </c>
      <c r="BO84" s="49">
        <f t="shared" si="64"/>
        <v>0</v>
      </c>
      <c r="BP84" s="49">
        <f t="shared" si="65"/>
        <v>1</v>
      </c>
      <c r="BQ84" s="49">
        <f t="shared" si="66"/>
        <v>0</v>
      </c>
      <c r="BR84" s="49">
        <f t="shared" si="67"/>
        <v>0</v>
      </c>
      <c r="BS84" s="49">
        <f t="shared" si="68"/>
        <v>0</v>
      </c>
      <c r="BT84" s="49">
        <f t="shared" si="69"/>
        <v>1</v>
      </c>
      <c r="BU84" s="49">
        <f t="shared" si="70"/>
        <v>0</v>
      </c>
      <c r="BV84" s="49">
        <f t="shared" si="71"/>
        <v>0</v>
      </c>
      <c r="BW84" s="49">
        <f t="shared" si="72"/>
        <v>0</v>
      </c>
    </row>
    <row r="85" spans="1:75" ht="35.1" customHeight="1" x14ac:dyDescent="0.3">
      <c r="A85" s="123" t="str">
        <f t="shared" si="37"/>
        <v>1팀</v>
      </c>
      <c r="B85" s="136">
        <f t="shared" si="38"/>
        <v>79</v>
      </c>
      <c r="C85" s="139" t="str">
        <f>IF(VLOOKUP($B85,'1. 현장별 인원현황'!$C:$J,2,0)=0,"",VLOOKUP($B85,'1. 현장별 인원현황'!$C:$J,2,0))</f>
        <v xml:space="preserve"> [1.두산건설] 송림3구역 주택재개발 중 전기공사1,2공구</v>
      </c>
      <c r="D85" s="140" t="str">
        <f>IF(VLOOKUP($B85,'1. 현장별 인원현황'!$C:$J,3,0)=0,"",VLOOKUP($B85,'1. 현장별 인원현황'!$C:$J,3,0))</f>
        <v>최동환</v>
      </c>
      <c r="E85" s="135" t="str">
        <f ca="1">IF(VLOOKUP($B85,'1. 현장별 인원현황'!$C:$J,4,0)=0,"",VLOOKUP($B85,'1. 현장별 인원현황'!$C:$J,4,0))</f>
        <v>64세</v>
      </c>
      <c r="F85" s="135" t="str">
        <f>IF(VLOOKUP($B85,'1. 현장별 인원현황'!$C:$J,7,0)=0,"",VLOOKUP($B85,'1. 현장별 인원현황'!$C:$J,7,0))</f>
        <v>기능공</v>
      </c>
      <c r="G85" s="135" t="str">
        <f>IF(VLOOKUP($B85,'1. 현장별 인원현황'!$C:$J,8,0)=0,"",VLOOKUP($B85,'1. 현장별 인원현황'!$C:$J,8,0))</f>
        <v>전공</v>
      </c>
      <c r="H85" s="136"/>
      <c r="I85" s="137" t="s">
        <v>69</v>
      </c>
      <c r="J85" s="137"/>
      <c r="K85" s="138"/>
      <c r="L85" s="136"/>
      <c r="M85" s="137" t="s">
        <v>3434</v>
      </c>
      <c r="N85" s="137"/>
      <c r="O85" s="138"/>
      <c r="P85" s="136" t="s">
        <v>3434</v>
      </c>
      <c r="Q85" s="137"/>
      <c r="R85" s="137"/>
      <c r="S85" s="138"/>
      <c r="T85" s="136"/>
      <c r="U85" s="137" t="s">
        <v>69</v>
      </c>
      <c r="V85" s="137"/>
      <c r="W85" s="138"/>
      <c r="X85" s="136" t="s">
        <v>3434</v>
      </c>
      <c r="Y85" s="137"/>
      <c r="Z85" s="137"/>
      <c r="AA85" s="138"/>
      <c r="AB85" s="136"/>
      <c r="AC85" s="137" t="s">
        <v>69</v>
      </c>
      <c r="AD85" s="137"/>
      <c r="AE85" s="138"/>
      <c r="AF85" s="136" t="s">
        <v>3434</v>
      </c>
      <c r="AG85" s="137"/>
      <c r="AH85" s="137"/>
      <c r="AI85" s="138"/>
      <c r="AJ85" s="136" t="s">
        <v>3434</v>
      </c>
      <c r="AK85" s="137"/>
      <c r="AL85" s="137"/>
      <c r="AM85" s="138"/>
      <c r="AN85" s="136">
        <f t="shared" si="39"/>
        <v>86</v>
      </c>
      <c r="AO85" s="138" t="str">
        <f t="shared" si="40"/>
        <v>S</v>
      </c>
      <c r="AR85" s="49">
        <f t="shared" si="41"/>
        <v>0</v>
      </c>
      <c r="AS85" s="49">
        <f t="shared" si="42"/>
        <v>1</v>
      </c>
      <c r="AT85" s="49">
        <f t="shared" si="43"/>
        <v>0</v>
      </c>
      <c r="AU85" s="49">
        <f t="shared" si="44"/>
        <v>0</v>
      </c>
      <c r="AV85" s="49">
        <f t="shared" si="45"/>
        <v>0</v>
      </c>
      <c r="AW85" s="49">
        <f t="shared" si="46"/>
        <v>1</v>
      </c>
      <c r="AX85" s="49">
        <f t="shared" si="47"/>
        <v>0</v>
      </c>
      <c r="AY85" s="49">
        <f t="shared" si="48"/>
        <v>0</v>
      </c>
      <c r="AZ85" s="49">
        <f t="shared" si="49"/>
        <v>1</v>
      </c>
      <c r="BA85" s="49">
        <f t="shared" si="50"/>
        <v>0</v>
      </c>
      <c r="BB85" s="49">
        <f t="shared" si="51"/>
        <v>0</v>
      </c>
      <c r="BC85" s="49">
        <f t="shared" si="52"/>
        <v>0</v>
      </c>
      <c r="BD85" s="49">
        <f t="shared" si="53"/>
        <v>0</v>
      </c>
      <c r="BE85" s="49">
        <f t="shared" si="54"/>
        <v>1</v>
      </c>
      <c r="BF85" s="49">
        <f t="shared" si="55"/>
        <v>0</v>
      </c>
      <c r="BG85" s="49">
        <f t="shared" si="56"/>
        <v>0</v>
      </c>
      <c r="BH85" s="49">
        <f t="shared" si="57"/>
        <v>1</v>
      </c>
      <c r="BI85" s="49">
        <f t="shared" si="58"/>
        <v>0</v>
      </c>
      <c r="BJ85" s="49">
        <f t="shared" si="59"/>
        <v>0</v>
      </c>
      <c r="BK85" s="49">
        <f t="shared" si="60"/>
        <v>0</v>
      </c>
      <c r="BL85" s="49">
        <f t="shared" si="61"/>
        <v>0</v>
      </c>
      <c r="BM85" s="49">
        <f t="shared" si="62"/>
        <v>1</v>
      </c>
      <c r="BN85" s="49">
        <f t="shared" si="63"/>
        <v>0</v>
      </c>
      <c r="BO85" s="49">
        <f t="shared" si="64"/>
        <v>0</v>
      </c>
      <c r="BP85" s="49">
        <f t="shared" si="65"/>
        <v>1</v>
      </c>
      <c r="BQ85" s="49">
        <f t="shared" si="66"/>
        <v>0</v>
      </c>
      <c r="BR85" s="49">
        <f t="shared" si="67"/>
        <v>0</v>
      </c>
      <c r="BS85" s="49">
        <f t="shared" si="68"/>
        <v>0</v>
      </c>
      <c r="BT85" s="49">
        <f t="shared" si="69"/>
        <v>1</v>
      </c>
      <c r="BU85" s="49">
        <f t="shared" si="70"/>
        <v>0</v>
      </c>
      <c r="BV85" s="49">
        <f t="shared" si="71"/>
        <v>0</v>
      </c>
      <c r="BW85" s="49">
        <f t="shared" si="72"/>
        <v>0</v>
      </c>
    </row>
    <row r="86" spans="1:75" ht="35.1" customHeight="1" x14ac:dyDescent="0.3">
      <c r="A86" s="123" t="str">
        <f t="shared" si="37"/>
        <v>1팀</v>
      </c>
      <c r="B86" s="136">
        <f t="shared" si="38"/>
        <v>80</v>
      </c>
      <c r="C86" s="139" t="str">
        <f>IF(VLOOKUP($B86,'1. 현장별 인원현황'!$C:$J,2,0)=0,"",VLOOKUP($B86,'1. 현장별 인원현황'!$C:$J,2,0))</f>
        <v xml:space="preserve"> [1.두산건설] 송림3구역 주택재개발 중 전기공사1,2공구</v>
      </c>
      <c r="D86" s="140" t="str">
        <f>IF(VLOOKUP($B86,'1. 현장별 인원현황'!$C:$J,3,0)=0,"",VLOOKUP($B86,'1. 현장별 인원현황'!$C:$J,3,0))</f>
        <v>강상욱</v>
      </c>
      <c r="E86" s="135" t="str">
        <f ca="1">IF(VLOOKUP($B86,'1. 현장별 인원현황'!$C:$J,4,0)=0,"",VLOOKUP($B86,'1. 현장별 인원현황'!$C:$J,4,0))</f>
        <v>50세</v>
      </c>
      <c r="F86" s="135" t="str">
        <f>IF(VLOOKUP($B86,'1. 현장별 인원현황'!$C:$J,7,0)=0,"",VLOOKUP($B86,'1. 현장별 인원현황'!$C:$J,7,0))</f>
        <v>기능공</v>
      </c>
      <c r="G86" s="135" t="str">
        <f>IF(VLOOKUP($B86,'1. 현장별 인원현황'!$C:$J,8,0)=0,"",VLOOKUP($B86,'1. 현장별 인원현황'!$C:$J,8,0))</f>
        <v>전공</v>
      </c>
      <c r="H86" s="136"/>
      <c r="I86" s="137" t="s">
        <v>69</v>
      </c>
      <c r="J86" s="137"/>
      <c r="K86" s="138"/>
      <c r="L86" s="136"/>
      <c r="M86" s="137" t="s">
        <v>3434</v>
      </c>
      <c r="N86" s="137"/>
      <c r="O86" s="138"/>
      <c r="P86" s="136" t="s">
        <v>3434</v>
      </c>
      <c r="Q86" s="137"/>
      <c r="R86" s="137"/>
      <c r="S86" s="138"/>
      <c r="T86" s="136"/>
      <c r="U86" s="137" t="s">
        <v>69</v>
      </c>
      <c r="V86" s="137"/>
      <c r="W86" s="138"/>
      <c r="X86" s="136" t="s">
        <v>3434</v>
      </c>
      <c r="Y86" s="137"/>
      <c r="Z86" s="137"/>
      <c r="AA86" s="138"/>
      <c r="AB86" s="136"/>
      <c r="AC86" s="137" t="s">
        <v>69</v>
      </c>
      <c r="AD86" s="137"/>
      <c r="AE86" s="138"/>
      <c r="AF86" s="136" t="s">
        <v>3434</v>
      </c>
      <c r="AG86" s="137"/>
      <c r="AH86" s="137"/>
      <c r="AI86" s="138"/>
      <c r="AJ86" s="136" t="s">
        <v>3434</v>
      </c>
      <c r="AK86" s="137"/>
      <c r="AL86" s="137"/>
      <c r="AM86" s="138"/>
      <c r="AN86" s="136">
        <f t="shared" si="39"/>
        <v>86</v>
      </c>
      <c r="AO86" s="138" t="str">
        <f t="shared" si="40"/>
        <v>S</v>
      </c>
      <c r="AR86" s="49">
        <f t="shared" si="41"/>
        <v>0</v>
      </c>
      <c r="AS86" s="49">
        <f t="shared" si="42"/>
        <v>1</v>
      </c>
      <c r="AT86" s="49">
        <f t="shared" si="43"/>
        <v>0</v>
      </c>
      <c r="AU86" s="49">
        <f t="shared" si="44"/>
        <v>0</v>
      </c>
      <c r="AV86" s="49">
        <f t="shared" si="45"/>
        <v>0</v>
      </c>
      <c r="AW86" s="49">
        <f t="shared" si="46"/>
        <v>1</v>
      </c>
      <c r="AX86" s="49">
        <f t="shared" si="47"/>
        <v>0</v>
      </c>
      <c r="AY86" s="49">
        <f t="shared" si="48"/>
        <v>0</v>
      </c>
      <c r="AZ86" s="49">
        <f t="shared" si="49"/>
        <v>1</v>
      </c>
      <c r="BA86" s="49">
        <f t="shared" si="50"/>
        <v>0</v>
      </c>
      <c r="BB86" s="49">
        <f t="shared" si="51"/>
        <v>0</v>
      </c>
      <c r="BC86" s="49">
        <f t="shared" si="52"/>
        <v>0</v>
      </c>
      <c r="BD86" s="49">
        <f t="shared" si="53"/>
        <v>0</v>
      </c>
      <c r="BE86" s="49">
        <f t="shared" si="54"/>
        <v>1</v>
      </c>
      <c r="BF86" s="49">
        <f t="shared" si="55"/>
        <v>0</v>
      </c>
      <c r="BG86" s="49">
        <f t="shared" si="56"/>
        <v>0</v>
      </c>
      <c r="BH86" s="49">
        <f t="shared" si="57"/>
        <v>1</v>
      </c>
      <c r="BI86" s="49">
        <f t="shared" si="58"/>
        <v>0</v>
      </c>
      <c r="BJ86" s="49">
        <f t="shared" si="59"/>
        <v>0</v>
      </c>
      <c r="BK86" s="49">
        <f t="shared" si="60"/>
        <v>0</v>
      </c>
      <c r="BL86" s="49">
        <f t="shared" si="61"/>
        <v>0</v>
      </c>
      <c r="BM86" s="49">
        <f t="shared" si="62"/>
        <v>1</v>
      </c>
      <c r="BN86" s="49">
        <f t="shared" si="63"/>
        <v>0</v>
      </c>
      <c r="BO86" s="49">
        <f t="shared" si="64"/>
        <v>0</v>
      </c>
      <c r="BP86" s="49">
        <f t="shared" si="65"/>
        <v>1</v>
      </c>
      <c r="BQ86" s="49">
        <f t="shared" si="66"/>
        <v>0</v>
      </c>
      <c r="BR86" s="49">
        <f t="shared" si="67"/>
        <v>0</v>
      </c>
      <c r="BS86" s="49">
        <f t="shared" si="68"/>
        <v>0</v>
      </c>
      <c r="BT86" s="49">
        <f t="shared" si="69"/>
        <v>1</v>
      </c>
      <c r="BU86" s="49">
        <f t="shared" si="70"/>
        <v>0</v>
      </c>
      <c r="BV86" s="49">
        <f t="shared" si="71"/>
        <v>0</v>
      </c>
      <c r="BW86" s="49">
        <f t="shared" si="72"/>
        <v>0</v>
      </c>
    </row>
    <row r="87" spans="1:75" ht="35.1" customHeight="1" x14ac:dyDescent="0.3">
      <c r="A87" s="123" t="str">
        <f t="shared" si="37"/>
        <v>1팀</v>
      </c>
      <c r="B87" s="136">
        <f t="shared" si="38"/>
        <v>81</v>
      </c>
      <c r="C87" s="139" t="str">
        <f>IF(VLOOKUP($B87,'1. 현장별 인원현황'!$C:$J,2,0)=0,"",VLOOKUP($B87,'1. 현장별 인원현황'!$C:$J,2,0))</f>
        <v xml:space="preserve"> [1.두산건설] 송림3구역 주택재개발 중 전기공사1,2공구</v>
      </c>
      <c r="D87" s="140" t="str">
        <f>IF(VLOOKUP($B87,'1. 현장별 인원현황'!$C:$J,3,0)=0,"",VLOOKUP($B87,'1. 현장별 인원현황'!$C:$J,3,0))</f>
        <v>한수영</v>
      </c>
      <c r="E87" s="135" t="str">
        <f ca="1">IF(VLOOKUP($B87,'1. 현장별 인원현황'!$C:$J,4,0)=0,"",VLOOKUP($B87,'1. 현장별 인원현황'!$C:$J,4,0))</f>
        <v>50세</v>
      </c>
      <c r="F87" s="135" t="str">
        <f>IF(VLOOKUP($B87,'1. 현장별 인원현황'!$C:$J,7,0)=0,"",VLOOKUP($B87,'1. 현장별 인원현황'!$C:$J,7,0))</f>
        <v>기능공</v>
      </c>
      <c r="G87" s="135" t="str">
        <f>IF(VLOOKUP($B87,'1. 현장별 인원현황'!$C:$J,8,0)=0,"",VLOOKUP($B87,'1. 현장별 인원현황'!$C:$J,8,0))</f>
        <v>전공</v>
      </c>
      <c r="H87" s="136"/>
      <c r="I87" s="137" t="s">
        <v>69</v>
      </c>
      <c r="J87" s="137"/>
      <c r="K87" s="138"/>
      <c r="L87" s="136"/>
      <c r="M87" s="137" t="s">
        <v>3434</v>
      </c>
      <c r="N87" s="137"/>
      <c r="O87" s="138"/>
      <c r="P87" s="136" t="s">
        <v>3434</v>
      </c>
      <c r="Q87" s="137"/>
      <c r="R87" s="137"/>
      <c r="S87" s="138"/>
      <c r="T87" s="136"/>
      <c r="U87" s="137" t="s">
        <v>69</v>
      </c>
      <c r="V87" s="137"/>
      <c r="W87" s="138"/>
      <c r="X87" s="136" t="s">
        <v>3434</v>
      </c>
      <c r="Y87" s="137"/>
      <c r="Z87" s="137"/>
      <c r="AA87" s="138"/>
      <c r="AB87" s="136"/>
      <c r="AC87" s="137" t="s">
        <v>69</v>
      </c>
      <c r="AD87" s="137"/>
      <c r="AE87" s="138"/>
      <c r="AF87" s="136" t="s">
        <v>3434</v>
      </c>
      <c r="AG87" s="137"/>
      <c r="AH87" s="137"/>
      <c r="AI87" s="138"/>
      <c r="AJ87" s="136" t="s">
        <v>3434</v>
      </c>
      <c r="AK87" s="137"/>
      <c r="AL87" s="137"/>
      <c r="AM87" s="138"/>
      <c r="AN87" s="136">
        <f t="shared" si="39"/>
        <v>86</v>
      </c>
      <c r="AO87" s="138" t="str">
        <f t="shared" si="40"/>
        <v>S</v>
      </c>
      <c r="AR87" s="49">
        <f t="shared" si="41"/>
        <v>0</v>
      </c>
      <c r="AS87" s="49">
        <f t="shared" si="42"/>
        <v>1</v>
      </c>
      <c r="AT87" s="49">
        <f t="shared" si="43"/>
        <v>0</v>
      </c>
      <c r="AU87" s="49">
        <f t="shared" si="44"/>
        <v>0</v>
      </c>
      <c r="AV87" s="49">
        <f t="shared" si="45"/>
        <v>0</v>
      </c>
      <c r="AW87" s="49">
        <f t="shared" si="46"/>
        <v>1</v>
      </c>
      <c r="AX87" s="49">
        <f t="shared" si="47"/>
        <v>0</v>
      </c>
      <c r="AY87" s="49">
        <f t="shared" si="48"/>
        <v>0</v>
      </c>
      <c r="AZ87" s="49">
        <f t="shared" si="49"/>
        <v>1</v>
      </c>
      <c r="BA87" s="49">
        <f t="shared" si="50"/>
        <v>0</v>
      </c>
      <c r="BB87" s="49">
        <f t="shared" si="51"/>
        <v>0</v>
      </c>
      <c r="BC87" s="49">
        <f t="shared" si="52"/>
        <v>0</v>
      </c>
      <c r="BD87" s="49">
        <f t="shared" si="53"/>
        <v>0</v>
      </c>
      <c r="BE87" s="49">
        <f t="shared" si="54"/>
        <v>1</v>
      </c>
      <c r="BF87" s="49">
        <f t="shared" si="55"/>
        <v>0</v>
      </c>
      <c r="BG87" s="49">
        <f t="shared" si="56"/>
        <v>0</v>
      </c>
      <c r="BH87" s="49">
        <f t="shared" si="57"/>
        <v>1</v>
      </c>
      <c r="BI87" s="49">
        <f t="shared" si="58"/>
        <v>0</v>
      </c>
      <c r="BJ87" s="49">
        <f t="shared" si="59"/>
        <v>0</v>
      </c>
      <c r="BK87" s="49">
        <f t="shared" si="60"/>
        <v>0</v>
      </c>
      <c r="BL87" s="49">
        <f t="shared" si="61"/>
        <v>0</v>
      </c>
      <c r="BM87" s="49">
        <f t="shared" si="62"/>
        <v>1</v>
      </c>
      <c r="BN87" s="49">
        <f t="shared" si="63"/>
        <v>0</v>
      </c>
      <c r="BO87" s="49">
        <f t="shared" si="64"/>
        <v>0</v>
      </c>
      <c r="BP87" s="49">
        <f t="shared" si="65"/>
        <v>1</v>
      </c>
      <c r="BQ87" s="49">
        <f t="shared" si="66"/>
        <v>0</v>
      </c>
      <c r="BR87" s="49">
        <f t="shared" si="67"/>
        <v>0</v>
      </c>
      <c r="BS87" s="49">
        <f t="shared" si="68"/>
        <v>0</v>
      </c>
      <c r="BT87" s="49">
        <f t="shared" si="69"/>
        <v>1</v>
      </c>
      <c r="BU87" s="49">
        <f t="shared" si="70"/>
        <v>0</v>
      </c>
      <c r="BV87" s="49">
        <f t="shared" si="71"/>
        <v>0</v>
      </c>
      <c r="BW87" s="49">
        <f t="shared" si="72"/>
        <v>0</v>
      </c>
    </row>
    <row r="88" spans="1:75" ht="35.1" customHeight="1" x14ac:dyDescent="0.3">
      <c r="A88" s="123" t="str">
        <f t="shared" si="37"/>
        <v>1팀</v>
      </c>
      <c r="B88" s="136">
        <f t="shared" si="38"/>
        <v>82</v>
      </c>
      <c r="C88" s="139" t="str">
        <f>IF(VLOOKUP($B88,'1. 현장별 인원현황'!$C:$J,2,0)=0,"",VLOOKUP($B88,'1. 현장별 인원현황'!$C:$J,2,0))</f>
        <v xml:space="preserve"> [1.두산건설] 송림3구역 주택재개발 중 전기공사1,2공구</v>
      </c>
      <c r="D88" s="140" t="str">
        <f>IF(VLOOKUP($B88,'1. 현장별 인원현황'!$C:$J,3,0)=0,"",VLOOKUP($B88,'1. 현장별 인원현황'!$C:$J,3,0))</f>
        <v>김형진</v>
      </c>
      <c r="E88" s="140" t="str">
        <f ca="1">IF(VLOOKUP($B88,'1. 현장별 인원현황'!$C:$J,4,0)=0,"",VLOOKUP($B88,'1. 현장별 인원현황'!$C:$J,4,0))</f>
        <v>34세</v>
      </c>
      <c r="F88" s="137" t="str">
        <f>IF(VLOOKUP($B88,'1. 현장별 인원현황'!$C:$J,7,0)=0,"",VLOOKUP($B88,'1. 현장별 인원현황'!$C:$J,7,0))</f>
        <v>기능공</v>
      </c>
      <c r="G88" s="138" t="str">
        <f>IF(VLOOKUP($B88,'1. 현장별 인원현황'!$C:$J,8,0)=0,"",VLOOKUP($B88,'1. 현장별 인원현황'!$C:$J,8,0))</f>
        <v>조공</v>
      </c>
      <c r="H88" s="136"/>
      <c r="I88" s="137" t="s">
        <v>69</v>
      </c>
      <c r="J88" s="137"/>
      <c r="K88" s="138"/>
      <c r="L88" s="136"/>
      <c r="M88" s="137" t="s">
        <v>3434</v>
      </c>
      <c r="N88" s="137"/>
      <c r="O88" s="138"/>
      <c r="P88" s="136" t="s">
        <v>3434</v>
      </c>
      <c r="Q88" s="137"/>
      <c r="R88" s="137"/>
      <c r="S88" s="138"/>
      <c r="T88" s="136"/>
      <c r="U88" s="137" t="s">
        <v>69</v>
      </c>
      <c r="V88" s="137"/>
      <c r="W88" s="138"/>
      <c r="X88" s="136" t="s">
        <v>3434</v>
      </c>
      <c r="Y88" s="137"/>
      <c r="Z88" s="137"/>
      <c r="AA88" s="138"/>
      <c r="AB88" s="136"/>
      <c r="AC88" s="137" t="s">
        <v>69</v>
      </c>
      <c r="AD88" s="137"/>
      <c r="AE88" s="138"/>
      <c r="AF88" s="136" t="s">
        <v>3434</v>
      </c>
      <c r="AG88" s="137"/>
      <c r="AH88" s="137"/>
      <c r="AI88" s="138"/>
      <c r="AJ88" s="136" t="s">
        <v>3434</v>
      </c>
      <c r="AK88" s="137"/>
      <c r="AL88" s="137"/>
      <c r="AM88" s="138"/>
      <c r="AN88" s="136">
        <f t="shared" si="39"/>
        <v>86</v>
      </c>
      <c r="AO88" s="138" t="str">
        <f t="shared" si="40"/>
        <v>S</v>
      </c>
      <c r="AR88" s="49">
        <f t="shared" si="41"/>
        <v>0</v>
      </c>
      <c r="AS88" s="49">
        <f t="shared" si="42"/>
        <v>1</v>
      </c>
      <c r="AT88" s="49">
        <f t="shared" si="43"/>
        <v>0</v>
      </c>
      <c r="AU88" s="49">
        <f t="shared" si="44"/>
        <v>0</v>
      </c>
      <c r="AV88" s="49">
        <f t="shared" si="45"/>
        <v>0</v>
      </c>
      <c r="AW88" s="49">
        <f t="shared" si="46"/>
        <v>1</v>
      </c>
      <c r="AX88" s="49">
        <f t="shared" si="47"/>
        <v>0</v>
      </c>
      <c r="AY88" s="49">
        <f t="shared" si="48"/>
        <v>0</v>
      </c>
      <c r="AZ88" s="49">
        <f t="shared" si="49"/>
        <v>1</v>
      </c>
      <c r="BA88" s="49">
        <f t="shared" si="50"/>
        <v>0</v>
      </c>
      <c r="BB88" s="49">
        <f t="shared" si="51"/>
        <v>0</v>
      </c>
      <c r="BC88" s="49">
        <f t="shared" si="52"/>
        <v>0</v>
      </c>
      <c r="BD88" s="49">
        <f t="shared" si="53"/>
        <v>0</v>
      </c>
      <c r="BE88" s="49">
        <f t="shared" si="54"/>
        <v>1</v>
      </c>
      <c r="BF88" s="49">
        <f t="shared" si="55"/>
        <v>0</v>
      </c>
      <c r="BG88" s="49">
        <f t="shared" si="56"/>
        <v>0</v>
      </c>
      <c r="BH88" s="49">
        <f t="shared" si="57"/>
        <v>1</v>
      </c>
      <c r="BI88" s="49">
        <f t="shared" si="58"/>
        <v>0</v>
      </c>
      <c r="BJ88" s="49">
        <f t="shared" si="59"/>
        <v>0</v>
      </c>
      <c r="BK88" s="49">
        <f t="shared" si="60"/>
        <v>0</v>
      </c>
      <c r="BL88" s="49">
        <f t="shared" si="61"/>
        <v>0</v>
      </c>
      <c r="BM88" s="49">
        <f t="shared" si="62"/>
        <v>1</v>
      </c>
      <c r="BN88" s="49">
        <f t="shared" si="63"/>
        <v>0</v>
      </c>
      <c r="BO88" s="49">
        <f t="shared" si="64"/>
        <v>0</v>
      </c>
      <c r="BP88" s="49">
        <f t="shared" si="65"/>
        <v>1</v>
      </c>
      <c r="BQ88" s="49">
        <f t="shared" si="66"/>
        <v>0</v>
      </c>
      <c r="BR88" s="49">
        <f t="shared" si="67"/>
        <v>0</v>
      </c>
      <c r="BS88" s="49">
        <f t="shared" si="68"/>
        <v>0</v>
      </c>
      <c r="BT88" s="49">
        <f t="shared" si="69"/>
        <v>1</v>
      </c>
      <c r="BU88" s="49">
        <f t="shared" si="70"/>
        <v>0</v>
      </c>
      <c r="BV88" s="49">
        <f t="shared" si="71"/>
        <v>0</v>
      </c>
      <c r="BW88" s="49">
        <f t="shared" si="72"/>
        <v>0</v>
      </c>
    </row>
    <row r="89" spans="1:75" ht="35.1" customHeight="1" x14ac:dyDescent="0.3">
      <c r="A89" s="123" t="str">
        <f t="shared" si="37"/>
        <v>1팀</v>
      </c>
      <c r="B89" s="69">
        <f t="shared" si="38"/>
        <v>83</v>
      </c>
      <c r="C89" s="121" t="str">
        <f>IF(VLOOKUP($B89,'1. 현장별 인원현황'!$C:$J,2,0)=0,"",VLOOKUP($B89,'1. 현장별 인원현황'!$C:$J,2,0))</f>
        <v xml:space="preserve"> [1.라온건설] 덕소2구역 주택재개발 정비사업</v>
      </c>
      <c r="D89" s="74" t="str">
        <f>IF(VLOOKUP($B89,'1. 현장별 인원현황'!$C:$J,3,0)=0,"",VLOOKUP($B89,'1. 현장별 인원현황'!$C:$J,3,0))</f>
        <v>강윤석</v>
      </c>
      <c r="E89" s="74" t="str">
        <f ca="1">IF(VLOOKUP($B89,'1. 현장별 인원현황'!$C:$J,4,0)=0,"",VLOOKUP($B89,'1. 현장별 인원현황'!$C:$J,4,0))</f>
        <v>53세</v>
      </c>
      <c r="F89" s="70" t="str">
        <f>IF(VLOOKUP($B89,'1. 현장별 인원현황'!$C:$J,7,0)=0,"",VLOOKUP($B89,'1. 현장별 인원현황'!$C:$J,7,0))</f>
        <v>공무</v>
      </c>
      <c r="G89" s="72" t="str">
        <f>IF(VLOOKUP($B89,'1. 현장별 인원현황'!$C:$J,8,0)=0,"",VLOOKUP($B89,'1. 현장별 인원현황'!$C:$J,8,0))</f>
        <v>부장</v>
      </c>
      <c r="H89" s="67"/>
      <c r="I89" s="73" t="s">
        <v>69</v>
      </c>
      <c r="J89" s="73"/>
      <c r="K89" s="68"/>
      <c r="L89" s="67"/>
      <c r="M89" s="73" t="s">
        <v>69</v>
      </c>
      <c r="N89" s="73"/>
      <c r="O89" s="68"/>
      <c r="P89" s="67"/>
      <c r="Q89" s="73" t="s">
        <v>69</v>
      </c>
      <c r="R89" s="73"/>
      <c r="S89" s="68"/>
      <c r="T89" s="67"/>
      <c r="U89" s="73" t="s">
        <v>69</v>
      </c>
      <c r="V89" s="73"/>
      <c r="W89" s="68"/>
      <c r="X89" s="67"/>
      <c r="Y89" s="73" t="s">
        <v>69</v>
      </c>
      <c r="Z89" s="73"/>
      <c r="AA89" s="68"/>
      <c r="AB89" s="67"/>
      <c r="AC89" s="73" t="s">
        <v>69</v>
      </c>
      <c r="AD89" s="73"/>
      <c r="AE89" s="68"/>
      <c r="AF89" s="67"/>
      <c r="AG89" s="73" t="s">
        <v>69</v>
      </c>
      <c r="AH89" s="73"/>
      <c r="AI89" s="68"/>
      <c r="AJ89" s="67"/>
      <c r="AK89" s="73" t="s">
        <v>69</v>
      </c>
      <c r="AL89" s="73"/>
      <c r="AM89" s="68"/>
      <c r="AN89" s="67">
        <f t="shared" si="39"/>
        <v>72</v>
      </c>
      <c r="AO89" s="68" t="str">
        <f t="shared" si="40"/>
        <v>A</v>
      </c>
      <c r="AR89" s="49">
        <f t="shared" si="41"/>
        <v>0</v>
      </c>
      <c r="AS89" s="49">
        <f t="shared" si="42"/>
        <v>1</v>
      </c>
      <c r="AT89" s="49">
        <f t="shared" si="43"/>
        <v>0</v>
      </c>
      <c r="AU89" s="49">
        <f t="shared" si="44"/>
        <v>0</v>
      </c>
      <c r="AV89" s="49">
        <f t="shared" si="45"/>
        <v>0</v>
      </c>
      <c r="AW89" s="49">
        <f t="shared" si="46"/>
        <v>1</v>
      </c>
      <c r="AX89" s="49">
        <f t="shared" si="47"/>
        <v>0</v>
      </c>
      <c r="AY89" s="49">
        <f t="shared" si="48"/>
        <v>0</v>
      </c>
      <c r="AZ89" s="49">
        <f t="shared" si="49"/>
        <v>0</v>
      </c>
      <c r="BA89" s="49">
        <f t="shared" si="50"/>
        <v>1</v>
      </c>
      <c r="BB89" s="49">
        <f t="shared" si="51"/>
        <v>0</v>
      </c>
      <c r="BC89" s="49">
        <f t="shared" si="52"/>
        <v>0</v>
      </c>
      <c r="BD89" s="49">
        <f t="shared" si="53"/>
        <v>0</v>
      </c>
      <c r="BE89" s="49">
        <f t="shared" si="54"/>
        <v>1</v>
      </c>
      <c r="BF89" s="49">
        <f t="shared" si="55"/>
        <v>0</v>
      </c>
      <c r="BG89" s="49">
        <f t="shared" si="56"/>
        <v>0</v>
      </c>
      <c r="BH89" s="49">
        <f t="shared" si="57"/>
        <v>0</v>
      </c>
      <c r="BI89" s="49">
        <f t="shared" si="58"/>
        <v>1</v>
      </c>
      <c r="BJ89" s="49">
        <f t="shared" si="59"/>
        <v>0</v>
      </c>
      <c r="BK89" s="49">
        <f t="shared" si="60"/>
        <v>0</v>
      </c>
      <c r="BL89" s="49">
        <f t="shared" si="61"/>
        <v>0</v>
      </c>
      <c r="BM89" s="49">
        <f t="shared" si="62"/>
        <v>1</v>
      </c>
      <c r="BN89" s="49">
        <f t="shared" si="63"/>
        <v>0</v>
      </c>
      <c r="BO89" s="49">
        <f t="shared" si="64"/>
        <v>0</v>
      </c>
      <c r="BP89" s="49">
        <f t="shared" si="65"/>
        <v>0</v>
      </c>
      <c r="BQ89" s="49">
        <f t="shared" si="66"/>
        <v>1</v>
      </c>
      <c r="BR89" s="49">
        <f t="shared" si="67"/>
        <v>0</v>
      </c>
      <c r="BS89" s="49">
        <f t="shared" si="68"/>
        <v>0</v>
      </c>
      <c r="BT89" s="49">
        <f t="shared" si="69"/>
        <v>0</v>
      </c>
      <c r="BU89" s="49">
        <f t="shared" si="70"/>
        <v>1</v>
      </c>
      <c r="BV89" s="49">
        <f t="shared" si="71"/>
        <v>0</v>
      </c>
      <c r="BW89" s="49">
        <f t="shared" si="72"/>
        <v>0</v>
      </c>
    </row>
    <row r="90" spans="1:75" ht="35.1" customHeight="1" x14ac:dyDescent="0.3">
      <c r="A90" s="123" t="str">
        <f t="shared" si="37"/>
        <v>1팀</v>
      </c>
      <c r="B90" s="69">
        <f t="shared" si="38"/>
        <v>84</v>
      </c>
      <c r="C90" s="121" t="str">
        <f>IF(VLOOKUP($B90,'1. 현장별 인원현황'!$C:$J,2,0)=0,"",VLOOKUP($B90,'1. 현장별 인원현황'!$C:$J,2,0))</f>
        <v xml:space="preserve"> [1.라온건설] 덕소2구역 주택재개발 정비사업</v>
      </c>
      <c r="D90" s="74" t="str">
        <f>IF(VLOOKUP($B90,'1. 현장별 인원현황'!$C:$J,3,0)=0,"",VLOOKUP($B90,'1. 현장별 인원현황'!$C:$J,3,0))</f>
        <v>김병석</v>
      </c>
      <c r="E90" s="74" t="str">
        <f ca="1">IF(VLOOKUP($B90,'1. 현장별 인원현황'!$C:$J,4,0)=0,"",VLOOKUP($B90,'1. 현장별 인원현황'!$C:$J,4,0))</f>
        <v>52세</v>
      </c>
      <c r="F90" s="70" t="str">
        <f>IF(VLOOKUP($B90,'1. 현장별 인원현황'!$C:$J,7,0)=0,"",VLOOKUP($B90,'1. 현장별 인원현황'!$C:$J,7,0))</f>
        <v>공사</v>
      </c>
      <c r="G90" s="72" t="str">
        <f>IF(VLOOKUP($B90,'1. 현장별 인원현황'!$C:$J,8,0)=0,"",VLOOKUP($B90,'1. 현장별 인원현황'!$C:$J,8,0))</f>
        <v>차장</v>
      </c>
      <c r="H90" s="67" t="s">
        <v>69</v>
      </c>
      <c r="I90" s="73"/>
      <c r="J90" s="73"/>
      <c r="K90" s="68"/>
      <c r="L90" s="67"/>
      <c r="M90" s="73" t="s">
        <v>69</v>
      </c>
      <c r="N90" s="73"/>
      <c r="O90" s="68"/>
      <c r="P90" s="67"/>
      <c r="Q90" s="73" t="s">
        <v>69</v>
      </c>
      <c r="R90" s="73"/>
      <c r="S90" s="68"/>
      <c r="T90" s="67"/>
      <c r="U90" s="73" t="s">
        <v>69</v>
      </c>
      <c r="V90" s="73"/>
      <c r="W90" s="68"/>
      <c r="X90" s="67"/>
      <c r="Y90" s="73" t="s">
        <v>69</v>
      </c>
      <c r="Z90" s="73"/>
      <c r="AA90" s="68"/>
      <c r="AB90" s="67" t="s">
        <v>69</v>
      </c>
      <c r="AC90" s="73"/>
      <c r="AD90" s="73"/>
      <c r="AE90" s="68"/>
      <c r="AF90" s="67"/>
      <c r="AG90" s="73" t="s">
        <v>69</v>
      </c>
      <c r="AH90" s="73"/>
      <c r="AI90" s="68"/>
      <c r="AJ90" s="67" t="s">
        <v>69</v>
      </c>
      <c r="AK90" s="73"/>
      <c r="AL90" s="73"/>
      <c r="AM90" s="68"/>
      <c r="AN90" s="67">
        <f t="shared" si="39"/>
        <v>81</v>
      </c>
      <c r="AO90" s="68" t="str">
        <f t="shared" si="40"/>
        <v>A</v>
      </c>
      <c r="AR90" s="49">
        <f t="shared" si="41"/>
        <v>1</v>
      </c>
      <c r="AS90" s="49">
        <f t="shared" si="42"/>
        <v>0</v>
      </c>
      <c r="AT90" s="49">
        <f t="shared" si="43"/>
        <v>0</v>
      </c>
      <c r="AU90" s="49">
        <f t="shared" si="44"/>
        <v>0</v>
      </c>
      <c r="AV90" s="49">
        <f t="shared" si="45"/>
        <v>0</v>
      </c>
      <c r="AW90" s="49">
        <f t="shared" si="46"/>
        <v>1</v>
      </c>
      <c r="AX90" s="49">
        <f t="shared" si="47"/>
        <v>0</v>
      </c>
      <c r="AY90" s="49">
        <f t="shared" si="48"/>
        <v>0</v>
      </c>
      <c r="AZ90" s="49">
        <f t="shared" si="49"/>
        <v>0</v>
      </c>
      <c r="BA90" s="49">
        <f t="shared" si="50"/>
        <v>1</v>
      </c>
      <c r="BB90" s="49">
        <f t="shared" si="51"/>
        <v>0</v>
      </c>
      <c r="BC90" s="49">
        <f t="shared" si="52"/>
        <v>0</v>
      </c>
      <c r="BD90" s="49">
        <f t="shared" si="53"/>
        <v>0</v>
      </c>
      <c r="BE90" s="49">
        <f t="shared" si="54"/>
        <v>1</v>
      </c>
      <c r="BF90" s="49">
        <f t="shared" si="55"/>
        <v>0</v>
      </c>
      <c r="BG90" s="49">
        <f t="shared" si="56"/>
        <v>0</v>
      </c>
      <c r="BH90" s="49">
        <f t="shared" si="57"/>
        <v>0</v>
      </c>
      <c r="BI90" s="49">
        <f t="shared" si="58"/>
        <v>1</v>
      </c>
      <c r="BJ90" s="49">
        <f t="shared" si="59"/>
        <v>0</v>
      </c>
      <c r="BK90" s="49">
        <f t="shared" si="60"/>
        <v>0</v>
      </c>
      <c r="BL90" s="49">
        <f t="shared" si="61"/>
        <v>1</v>
      </c>
      <c r="BM90" s="49">
        <f t="shared" si="62"/>
        <v>0</v>
      </c>
      <c r="BN90" s="49">
        <f t="shared" si="63"/>
        <v>0</v>
      </c>
      <c r="BO90" s="49">
        <f t="shared" si="64"/>
        <v>0</v>
      </c>
      <c r="BP90" s="49">
        <f t="shared" si="65"/>
        <v>0</v>
      </c>
      <c r="BQ90" s="49">
        <f t="shared" si="66"/>
        <v>1</v>
      </c>
      <c r="BR90" s="49">
        <f t="shared" si="67"/>
        <v>0</v>
      </c>
      <c r="BS90" s="49">
        <f t="shared" si="68"/>
        <v>0</v>
      </c>
      <c r="BT90" s="49">
        <f t="shared" si="69"/>
        <v>1</v>
      </c>
      <c r="BU90" s="49">
        <f t="shared" si="70"/>
        <v>0</v>
      </c>
      <c r="BV90" s="49">
        <f t="shared" si="71"/>
        <v>0</v>
      </c>
      <c r="BW90" s="49">
        <f t="shared" si="72"/>
        <v>0</v>
      </c>
    </row>
    <row r="91" spans="1:75" ht="35.1" customHeight="1" x14ac:dyDescent="0.3">
      <c r="A91" s="123" t="str">
        <f t="shared" si="37"/>
        <v>1팀</v>
      </c>
      <c r="B91" s="69">
        <f t="shared" si="38"/>
        <v>85</v>
      </c>
      <c r="C91" s="121" t="str">
        <f>IF(VLOOKUP($B91,'1. 현장별 인원현황'!$C:$J,2,0)=0,"",VLOOKUP($B91,'1. 현장별 인원현황'!$C:$J,2,0))</f>
        <v xml:space="preserve"> [1.라온건설] 덕소2구역 주택재개발 정비사업</v>
      </c>
      <c r="D91" s="74" t="str">
        <f>IF(VLOOKUP($B91,'1. 현장별 인원현황'!$C:$J,3,0)=0,"",VLOOKUP($B91,'1. 현장별 인원현황'!$C:$J,3,0))</f>
        <v>황성욱</v>
      </c>
      <c r="E91" s="74" t="str">
        <f ca="1">IF(VLOOKUP($B91,'1. 현장별 인원현황'!$C:$J,4,0)=0,"",VLOOKUP($B91,'1. 현장별 인원현황'!$C:$J,4,0))</f>
        <v>32세</v>
      </c>
      <c r="F91" s="70" t="str">
        <f>IF(VLOOKUP($B91,'1. 현장별 인원현황'!$C:$J,7,0)=0,"",VLOOKUP($B91,'1. 현장별 인원현황'!$C:$J,7,0))</f>
        <v>기능공</v>
      </c>
      <c r="G91" s="72" t="str">
        <f>IF(VLOOKUP($B91,'1. 현장별 인원현황'!$C:$J,8,0)=0,"",VLOOKUP($B91,'1. 현장별 인원현황'!$C:$J,8,0))</f>
        <v>전공</v>
      </c>
      <c r="H91" s="67" t="s">
        <v>69</v>
      </c>
      <c r="I91" s="73"/>
      <c r="J91" s="73"/>
      <c r="K91" s="68"/>
      <c r="L91" s="67"/>
      <c r="M91" s="73" t="s">
        <v>69</v>
      </c>
      <c r="N91" s="73"/>
      <c r="O91" s="68"/>
      <c r="P91" s="67"/>
      <c r="Q91" s="73" t="s">
        <v>69</v>
      </c>
      <c r="R91" s="73"/>
      <c r="S91" s="68"/>
      <c r="T91" s="67"/>
      <c r="U91" s="73" t="s">
        <v>69</v>
      </c>
      <c r="V91" s="73"/>
      <c r="W91" s="68"/>
      <c r="X91" s="67"/>
      <c r="Y91" s="73" t="s">
        <v>69</v>
      </c>
      <c r="Z91" s="73"/>
      <c r="AA91" s="68"/>
      <c r="AB91" s="67"/>
      <c r="AC91" s="73" t="s">
        <v>69</v>
      </c>
      <c r="AD91" s="73"/>
      <c r="AE91" s="68"/>
      <c r="AF91" s="67"/>
      <c r="AG91" s="73" t="s">
        <v>69</v>
      </c>
      <c r="AH91" s="73"/>
      <c r="AI91" s="68"/>
      <c r="AJ91" s="67" t="s">
        <v>69</v>
      </c>
      <c r="AK91" s="73"/>
      <c r="AL91" s="73"/>
      <c r="AM91" s="68"/>
      <c r="AN91" s="67">
        <f t="shared" si="39"/>
        <v>79</v>
      </c>
      <c r="AO91" s="68" t="str">
        <f t="shared" si="40"/>
        <v>A</v>
      </c>
      <c r="AR91" s="49">
        <f t="shared" si="41"/>
        <v>1</v>
      </c>
      <c r="AS91" s="49">
        <f t="shared" si="42"/>
        <v>0</v>
      </c>
      <c r="AT91" s="49">
        <f t="shared" si="43"/>
        <v>0</v>
      </c>
      <c r="AU91" s="49">
        <f t="shared" si="44"/>
        <v>0</v>
      </c>
      <c r="AV91" s="49">
        <f t="shared" si="45"/>
        <v>0</v>
      </c>
      <c r="AW91" s="49">
        <f t="shared" si="46"/>
        <v>1</v>
      </c>
      <c r="AX91" s="49">
        <f t="shared" si="47"/>
        <v>0</v>
      </c>
      <c r="AY91" s="49">
        <f t="shared" si="48"/>
        <v>0</v>
      </c>
      <c r="AZ91" s="49">
        <f t="shared" si="49"/>
        <v>0</v>
      </c>
      <c r="BA91" s="49">
        <f t="shared" si="50"/>
        <v>1</v>
      </c>
      <c r="BB91" s="49">
        <f t="shared" si="51"/>
        <v>0</v>
      </c>
      <c r="BC91" s="49">
        <f t="shared" si="52"/>
        <v>0</v>
      </c>
      <c r="BD91" s="49">
        <f t="shared" si="53"/>
        <v>0</v>
      </c>
      <c r="BE91" s="49">
        <f t="shared" si="54"/>
        <v>1</v>
      </c>
      <c r="BF91" s="49">
        <f t="shared" si="55"/>
        <v>0</v>
      </c>
      <c r="BG91" s="49">
        <f t="shared" si="56"/>
        <v>0</v>
      </c>
      <c r="BH91" s="49">
        <f t="shared" si="57"/>
        <v>0</v>
      </c>
      <c r="BI91" s="49">
        <f t="shared" si="58"/>
        <v>1</v>
      </c>
      <c r="BJ91" s="49">
        <f t="shared" si="59"/>
        <v>0</v>
      </c>
      <c r="BK91" s="49">
        <f t="shared" si="60"/>
        <v>0</v>
      </c>
      <c r="BL91" s="49">
        <f t="shared" si="61"/>
        <v>0</v>
      </c>
      <c r="BM91" s="49">
        <f t="shared" si="62"/>
        <v>1</v>
      </c>
      <c r="BN91" s="49">
        <f t="shared" si="63"/>
        <v>0</v>
      </c>
      <c r="BO91" s="49">
        <f t="shared" si="64"/>
        <v>0</v>
      </c>
      <c r="BP91" s="49">
        <f t="shared" si="65"/>
        <v>0</v>
      </c>
      <c r="BQ91" s="49">
        <f t="shared" si="66"/>
        <v>1</v>
      </c>
      <c r="BR91" s="49">
        <f t="shared" si="67"/>
        <v>0</v>
      </c>
      <c r="BS91" s="49">
        <f t="shared" si="68"/>
        <v>0</v>
      </c>
      <c r="BT91" s="49">
        <f t="shared" si="69"/>
        <v>1</v>
      </c>
      <c r="BU91" s="49">
        <f t="shared" si="70"/>
        <v>0</v>
      </c>
      <c r="BV91" s="49">
        <f t="shared" si="71"/>
        <v>0</v>
      </c>
      <c r="BW91" s="49">
        <f t="shared" si="72"/>
        <v>0</v>
      </c>
    </row>
    <row r="92" spans="1:75" ht="35.1" customHeight="1" x14ac:dyDescent="0.3">
      <c r="A92" s="123" t="str">
        <f t="shared" si="37"/>
        <v>1팀</v>
      </c>
      <c r="B92" s="69">
        <f t="shared" si="38"/>
        <v>86</v>
      </c>
      <c r="C92" s="121" t="str">
        <f>IF(VLOOKUP($B92,'1. 현장별 인원현황'!$C:$J,2,0)=0,"",VLOOKUP($B92,'1. 현장별 인원현황'!$C:$J,2,0))</f>
        <v xml:space="preserve"> [1.라온건설] 덕소2구역 주택재개발 정비사업</v>
      </c>
      <c r="D92" s="74" t="str">
        <f>IF(VLOOKUP($B92,'1. 현장별 인원현황'!$C:$J,3,0)=0,"",VLOOKUP($B92,'1. 현장별 인원현황'!$C:$J,3,0))</f>
        <v>이영재</v>
      </c>
      <c r="E92" s="74" t="str">
        <f ca="1">IF(VLOOKUP($B92,'1. 현장별 인원현황'!$C:$J,4,0)=0,"",VLOOKUP($B92,'1. 현장별 인원현황'!$C:$J,4,0))</f>
        <v>29세</v>
      </c>
      <c r="F92" s="70" t="str">
        <f>IF(VLOOKUP($B92,'1. 현장별 인원현황'!$C:$J,7,0)=0,"",VLOOKUP($B92,'1. 현장별 인원현황'!$C:$J,7,0))</f>
        <v>기능공</v>
      </c>
      <c r="G92" s="72" t="str">
        <f>IF(VLOOKUP($B92,'1. 현장별 인원현황'!$C:$J,8,0)=0,"",VLOOKUP($B92,'1. 현장별 인원현황'!$C:$J,8,0))</f>
        <v>전공</v>
      </c>
      <c r="H92" s="67" t="s">
        <v>69</v>
      </c>
      <c r="I92" s="73"/>
      <c r="J92" s="73"/>
      <c r="K92" s="68"/>
      <c r="L92" s="67"/>
      <c r="M92" s="73" t="s">
        <v>69</v>
      </c>
      <c r="N92" s="73"/>
      <c r="O92" s="68"/>
      <c r="P92" s="67"/>
      <c r="Q92" s="73" t="s">
        <v>69</v>
      </c>
      <c r="R92" s="73"/>
      <c r="S92" s="68"/>
      <c r="T92" s="67"/>
      <c r="U92" s="73" t="s">
        <v>69</v>
      </c>
      <c r="V92" s="73"/>
      <c r="W92" s="68"/>
      <c r="X92" s="67"/>
      <c r="Y92" s="73" t="s">
        <v>69</v>
      </c>
      <c r="Z92" s="73"/>
      <c r="AA92" s="68"/>
      <c r="AB92" s="67"/>
      <c r="AC92" s="73" t="s">
        <v>69</v>
      </c>
      <c r="AD92" s="73"/>
      <c r="AE92" s="68"/>
      <c r="AF92" s="67"/>
      <c r="AG92" s="73" t="s">
        <v>69</v>
      </c>
      <c r="AH92" s="73"/>
      <c r="AI92" s="68"/>
      <c r="AJ92" s="67" t="s">
        <v>69</v>
      </c>
      <c r="AK92" s="73"/>
      <c r="AL92" s="73"/>
      <c r="AM92" s="68"/>
      <c r="AN92" s="67">
        <f t="shared" si="39"/>
        <v>79</v>
      </c>
      <c r="AO92" s="68" t="str">
        <f t="shared" si="40"/>
        <v>A</v>
      </c>
      <c r="AR92" s="49">
        <f t="shared" si="41"/>
        <v>1</v>
      </c>
      <c r="AS92" s="49">
        <f t="shared" si="42"/>
        <v>0</v>
      </c>
      <c r="AT92" s="49">
        <f t="shared" si="43"/>
        <v>0</v>
      </c>
      <c r="AU92" s="49">
        <f t="shared" si="44"/>
        <v>0</v>
      </c>
      <c r="AV92" s="49">
        <f t="shared" si="45"/>
        <v>0</v>
      </c>
      <c r="AW92" s="49">
        <f t="shared" si="46"/>
        <v>1</v>
      </c>
      <c r="AX92" s="49">
        <f t="shared" si="47"/>
        <v>0</v>
      </c>
      <c r="AY92" s="49">
        <f t="shared" si="48"/>
        <v>0</v>
      </c>
      <c r="AZ92" s="49">
        <f t="shared" si="49"/>
        <v>0</v>
      </c>
      <c r="BA92" s="49">
        <f t="shared" si="50"/>
        <v>1</v>
      </c>
      <c r="BB92" s="49">
        <f t="shared" si="51"/>
        <v>0</v>
      </c>
      <c r="BC92" s="49">
        <f t="shared" si="52"/>
        <v>0</v>
      </c>
      <c r="BD92" s="49">
        <f t="shared" si="53"/>
        <v>0</v>
      </c>
      <c r="BE92" s="49">
        <f t="shared" si="54"/>
        <v>1</v>
      </c>
      <c r="BF92" s="49">
        <f t="shared" si="55"/>
        <v>0</v>
      </c>
      <c r="BG92" s="49">
        <f t="shared" si="56"/>
        <v>0</v>
      </c>
      <c r="BH92" s="49">
        <f t="shared" si="57"/>
        <v>0</v>
      </c>
      <c r="BI92" s="49">
        <f t="shared" si="58"/>
        <v>1</v>
      </c>
      <c r="BJ92" s="49">
        <f t="shared" si="59"/>
        <v>0</v>
      </c>
      <c r="BK92" s="49">
        <f t="shared" si="60"/>
        <v>0</v>
      </c>
      <c r="BL92" s="49">
        <f t="shared" si="61"/>
        <v>0</v>
      </c>
      <c r="BM92" s="49">
        <f t="shared" si="62"/>
        <v>1</v>
      </c>
      <c r="BN92" s="49">
        <f t="shared" si="63"/>
        <v>0</v>
      </c>
      <c r="BO92" s="49">
        <f t="shared" si="64"/>
        <v>0</v>
      </c>
      <c r="BP92" s="49">
        <f t="shared" si="65"/>
        <v>0</v>
      </c>
      <c r="BQ92" s="49">
        <f t="shared" si="66"/>
        <v>1</v>
      </c>
      <c r="BR92" s="49">
        <f t="shared" si="67"/>
        <v>0</v>
      </c>
      <c r="BS92" s="49">
        <f t="shared" si="68"/>
        <v>0</v>
      </c>
      <c r="BT92" s="49">
        <f t="shared" si="69"/>
        <v>1</v>
      </c>
      <c r="BU92" s="49">
        <f t="shared" si="70"/>
        <v>0</v>
      </c>
      <c r="BV92" s="49">
        <f t="shared" si="71"/>
        <v>0</v>
      </c>
      <c r="BW92" s="49">
        <f t="shared" si="72"/>
        <v>0</v>
      </c>
    </row>
    <row r="93" spans="1:75" ht="35.1" customHeight="1" x14ac:dyDescent="0.3">
      <c r="A93" s="123" t="str">
        <f t="shared" si="37"/>
        <v>1팀</v>
      </c>
      <c r="B93" s="69">
        <f t="shared" si="38"/>
        <v>87</v>
      </c>
      <c r="C93" s="121" t="str">
        <f>IF(VLOOKUP($B93,'1. 현장별 인원현황'!$C:$J,2,0)=0,"",VLOOKUP($B93,'1. 현장별 인원현황'!$C:$J,2,0))</f>
        <v xml:space="preserve"> [1.라온건설] 인천 신흥동3가 주상복합</v>
      </c>
      <c r="D93" s="74" t="str">
        <f>IF(VLOOKUP($B93,'1. 현장별 인원현황'!$C:$J,3,0)=0,"",VLOOKUP($B93,'1. 현장별 인원현황'!$C:$J,3,0))</f>
        <v>박승용</v>
      </c>
      <c r="E93" s="74" t="str">
        <f ca="1">IF(VLOOKUP($B93,'1. 현장별 인원현황'!$C:$J,4,0)=0,"",VLOOKUP($B93,'1. 현장별 인원현황'!$C:$J,4,0))</f>
        <v>37세</v>
      </c>
      <c r="F93" s="70" t="str">
        <f>IF(VLOOKUP($B93,'1. 현장별 인원현황'!$C:$J,7,0)=0,"",VLOOKUP($B93,'1. 현장별 인원현황'!$C:$J,7,0))</f>
        <v>공무</v>
      </c>
      <c r="G93" s="72" t="str">
        <f>IF(VLOOKUP($B93,'1. 현장별 인원현황'!$C:$J,8,0)=0,"",VLOOKUP($B93,'1. 현장별 인원현황'!$C:$J,8,0))</f>
        <v>과장</v>
      </c>
      <c r="H93" s="67" t="s">
        <v>69</v>
      </c>
      <c r="I93" s="73"/>
      <c r="J93" s="73"/>
      <c r="K93" s="68"/>
      <c r="L93" s="67"/>
      <c r="M93" s="73" t="s">
        <v>69</v>
      </c>
      <c r="N93" s="73"/>
      <c r="O93" s="68"/>
      <c r="P93" s="67" t="s">
        <v>69</v>
      </c>
      <c r="Q93" s="73"/>
      <c r="R93" s="73"/>
      <c r="S93" s="68"/>
      <c r="T93" s="67" t="s">
        <v>69</v>
      </c>
      <c r="U93" s="73"/>
      <c r="V93" s="73"/>
      <c r="W93" s="68"/>
      <c r="X93" s="67" t="s">
        <v>69</v>
      </c>
      <c r="Y93" s="73"/>
      <c r="Z93" s="73"/>
      <c r="AA93" s="68"/>
      <c r="AB93" s="67" t="s">
        <v>69</v>
      </c>
      <c r="AC93" s="73"/>
      <c r="AD93" s="73"/>
      <c r="AE93" s="68"/>
      <c r="AF93" s="67" t="s">
        <v>69</v>
      </c>
      <c r="AG93" s="73"/>
      <c r="AH93" s="73"/>
      <c r="AI93" s="68"/>
      <c r="AJ93" s="67" t="s">
        <v>69</v>
      </c>
      <c r="AK93" s="73"/>
      <c r="AL93" s="73"/>
      <c r="AM93" s="68"/>
      <c r="AN93" s="67">
        <f t="shared" si="39"/>
        <v>96</v>
      </c>
      <c r="AO93" s="68" t="str">
        <f t="shared" si="40"/>
        <v>S</v>
      </c>
      <c r="AR93" s="49">
        <f t="shared" si="41"/>
        <v>1</v>
      </c>
      <c r="AS93" s="49">
        <f t="shared" si="42"/>
        <v>0</v>
      </c>
      <c r="AT93" s="49">
        <f t="shared" si="43"/>
        <v>0</v>
      </c>
      <c r="AU93" s="49">
        <f t="shared" si="44"/>
        <v>0</v>
      </c>
      <c r="AV93" s="49">
        <f t="shared" si="45"/>
        <v>0</v>
      </c>
      <c r="AW93" s="49">
        <f t="shared" si="46"/>
        <v>1</v>
      </c>
      <c r="AX93" s="49">
        <f t="shared" si="47"/>
        <v>0</v>
      </c>
      <c r="AY93" s="49">
        <f t="shared" si="48"/>
        <v>0</v>
      </c>
      <c r="AZ93" s="49">
        <f t="shared" si="49"/>
        <v>1</v>
      </c>
      <c r="BA93" s="49">
        <f t="shared" si="50"/>
        <v>0</v>
      </c>
      <c r="BB93" s="49">
        <f t="shared" si="51"/>
        <v>0</v>
      </c>
      <c r="BC93" s="49">
        <f t="shared" si="52"/>
        <v>0</v>
      </c>
      <c r="BD93" s="49">
        <f t="shared" si="53"/>
        <v>1</v>
      </c>
      <c r="BE93" s="49">
        <f t="shared" si="54"/>
        <v>0</v>
      </c>
      <c r="BF93" s="49">
        <f t="shared" si="55"/>
        <v>0</v>
      </c>
      <c r="BG93" s="49">
        <f t="shared" si="56"/>
        <v>0</v>
      </c>
      <c r="BH93" s="49">
        <f t="shared" si="57"/>
        <v>1</v>
      </c>
      <c r="BI93" s="49">
        <f t="shared" si="58"/>
        <v>0</v>
      </c>
      <c r="BJ93" s="49">
        <f t="shared" si="59"/>
        <v>0</v>
      </c>
      <c r="BK93" s="49">
        <f t="shared" si="60"/>
        <v>0</v>
      </c>
      <c r="BL93" s="49">
        <f t="shared" si="61"/>
        <v>1</v>
      </c>
      <c r="BM93" s="49">
        <f t="shared" si="62"/>
        <v>0</v>
      </c>
      <c r="BN93" s="49">
        <f t="shared" si="63"/>
        <v>0</v>
      </c>
      <c r="BO93" s="49">
        <f t="shared" si="64"/>
        <v>0</v>
      </c>
      <c r="BP93" s="49">
        <f t="shared" si="65"/>
        <v>1</v>
      </c>
      <c r="BQ93" s="49">
        <f t="shared" si="66"/>
        <v>0</v>
      </c>
      <c r="BR93" s="49">
        <f t="shared" si="67"/>
        <v>0</v>
      </c>
      <c r="BS93" s="49">
        <f t="shared" si="68"/>
        <v>0</v>
      </c>
      <c r="BT93" s="49">
        <f t="shared" si="69"/>
        <v>1</v>
      </c>
      <c r="BU93" s="49">
        <f t="shared" si="70"/>
        <v>0</v>
      </c>
      <c r="BV93" s="49">
        <f t="shared" si="71"/>
        <v>0</v>
      </c>
      <c r="BW93" s="49">
        <f t="shared" si="72"/>
        <v>0</v>
      </c>
    </row>
    <row r="94" spans="1:75" ht="35.1" customHeight="1" x14ac:dyDescent="0.3">
      <c r="A94" s="123" t="str">
        <f t="shared" si="37"/>
        <v>1팀</v>
      </c>
      <c r="B94" s="69">
        <f t="shared" si="38"/>
        <v>88</v>
      </c>
      <c r="C94" s="121" t="str">
        <f>IF(VLOOKUP($B94,'1. 현장별 인원현황'!$C:$J,2,0)=0,"",VLOOKUP($B94,'1. 현장별 인원현황'!$C:$J,2,0))</f>
        <v xml:space="preserve"> [1.라온건설] 인천 신흥동3가 주상복합</v>
      </c>
      <c r="D94" s="74" t="str">
        <f>IF(VLOOKUP($B94,'1. 현장별 인원현황'!$C:$J,3,0)=0,"",VLOOKUP($B94,'1. 현장별 인원현황'!$C:$J,3,0))</f>
        <v>최재용</v>
      </c>
      <c r="E94" s="74" t="str">
        <f ca="1">IF(VLOOKUP($B94,'1. 현장별 인원현황'!$C:$J,4,0)=0,"",VLOOKUP($B94,'1. 현장별 인원현황'!$C:$J,4,0))</f>
        <v>49세</v>
      </c>
      <c r="F94" s="70" t="str">
        <f>IF(VLOOKUP($B94,'1. 현장별 인원현황'!$C:$J,7,0)=0,"",VLOOKUP($B94,'1. 현장별 인원현황'!$C:$J,7,0))</f>
        <v>공사</v>
      </c>
      <c r="G94" s="72" t="str">
        <f>IF(VLOOKUP($B94,'1. 현장별 인원현황'!$C:$J,8,0)=0,"",VLOOKUP($B94,'1. 현장별 인원현황'!$C:$J,8,0))</f>
        <v>차장</v>
      </c>
      <c r="H94" s="67" t="s">
        <v>69</v>
      </c>
      <c r="I94" s="73"/>
      <c r="J94" s="73"/>
      <c r="K94" s="68"/>
      <c r="L94" s="67"/>
      <c r="M94" s="73" t="s">
        <v>69</v>
      </c>
      <c r="N94" s="73"/>
      <c r="O94" s="68"/>
      <c r="P94" s="67" t="s">
        <v>69</v>
      </c>
      <c r="Q94" s="73"/>
      <c r="R94" s="73"/>
      <c r="S94" s="68"/>
      <c r="T94" s="67" t="s">
        <v>69</v>
      </c>
      <c r="U94" s="73"/>
      <c r="V94" s="73"/>
      <c r="W94" s="68"/>
      <c r="X94" s="67" t="s">
        <v>69</v>
      </c>
      <c r="Y94" s="73"/>
      <c r="Z94" s="73"/>
      <c r="AA94" s="68"/>
      <c r="AB94" s="67" t="s">
        <v>69</v>
      </c>
      <c r="AC94" s="73"/>
      <c r="AD94" s="73"/>
      <c r="AE94" s="68"/>
      <c r="AF94" s="67" t="s">
        <v>69</v>
      </c>
      <c r="AG94" s="73"/>
      <c r="AH94" s="73"/>
      <c r="AI94" s="68"/>
      <c r="AJ94" s="67" t="s">
        <v>69</v>
      </c>
      <c r="AK94" s="73"/>
      <c r="AL94" s="73"/>
      <c r="AM94" s="68"/>
      <c r="AN94" s="67">
        <f t="shared" si="39"/>
        <v>96</v>
      </c>
      <c r="AO94" s="68" t="str">
        <f t="shared" si="40"/>
        <v>S</v>
      </c>
      <c r="AR94" s="49">
        <f t="shared" si="41"/>
        <v>1</v>
      </c>
      <c r="AS94" s="49">
        <f t="shared" si="42"/>
        <v>0</v>
      </c>
      <c r="AT94" s="49">
        <f t="shared" si="43"/>
        <v>0</v>
      </c>
      <c r="AU94" s="49">
        <f t="shared" si="44"/>
        <v>0</v>
      </c>
      <c r="AV94" s="49">
        <f t="shared" si="45"/>
        <v>0</v>
      </c>
      <c r="AW94" s="49">
        <f t="shared" si="46"/>
        <v>1</v>
      </c>
      <c r="AX94" s="49">
        <f t="shared" si="47"/>
        <v>0</v>
      </c>
      <c r="AY94" s="49">
        <f t="shared" si="48"/>
        <v>0</v>
      </c>
      <c r="AZ94" s="49">
        <f t="shared" si="49"/>
        <v>1</v>
      </c>
      <c r="BA94" s="49">
        <f t="shared" si="50"/>
        <v>0</v>
      </c>
      <c r="BB94" s="49">
        <f t="shared" si="51"/>
        <v>0</v>
      </c>
      <c r="BC94" s="49">
        <f t="shared" si="52"/>
        <v>0</v>
      </c>
      <c r="BD94" s="49">
        <f t="shared" si="53"/>
        <v>1</v>
      </c>
      <c r="BE94" s="49">
        <f t="shared" si="54"/>
        <v>0</v>
      </c>
      <c r="BF94" s="49">
        <f t="shared" si="55"/>
        <v>0</v>
      </c>
      <c r="BG94" s="49">
        <f t="shared" si="56"/>
        <v>0</v>
      </c>
      <c r="BH94" s="49">
        <f t="shared" si="57"/>
        <v>1</v>
      </c>
      <c r="BI94" s="49">
        <f t="shared" si="58"/>
        <v>0</v>
      </c>
      <c r="BJ94" s="49">
        <f t="shared" si="59"/>
        <v>0</v>
      </c>
      <c r="BK94" s="49">
        <f t="shared" si="60"/>
        <v>0</v>
      </c>
      <c r="BL94" s="49">
        <f t="shared" si="61"/>
        <v>1</v>
      </c>
      <c r="BM94" s="49">
        <f t="shared" si="62"/>
        <v>0</v>
      </c>
      <c r="BN94" s="49">
        <f t="shared" si="63"/>
        <v>0</v>
      </c>
      <c r="BO94" s="49">
        <f t="shared" si="64"/>
        <v>0</v>
      </c>
      <c r="BP94" s="49">
        <f t="shared" si="65"/>
        <v>1</v>
      </c>
      <c r="BQ94" s="49">
        <f t="shared" si="66"/>
        <v>0</v>
      </c>
      <c r="BR94" s="49">
        <f t="shared" si="67"/>
        <v>0</v>
      </c>
      <c r="BS94" s="49">
        <f t="shared" si="68"/>
        <v>0</v>
      </c>
      <c r="BT94" s="49">
        <f t="shared" si="69"/>
        <v>1</v>
      </c>
      <c r="BU94" s="49">
        <f t="shared" si="70"/>
        <v>0</v>
      </c>
      <c r="BV94" s="49">
        <f t="shared" si="71"/>
        <v>0</v>
      </c>
      <c r="BW94" s="49">
        <f t="shared" si="72"/>
        <v>0</v>
      </c>
    </row>
    <row r="95" spans="1:75" ht="35.1" customHeight="1" x14ac:dyDescent="0.3">
      <c r="A95" s="123" t="str">
        <f t="shared" si="37"/>
        <v>1팀</v>
      </c>
      <c r="B95" s="69">
        <f t="shared" si="38"/>
        <v>89</v>
      </c>
      <c r="C95" s="121" t="str">
        <f>IF(VLOOKUP($B95,'1. 현장별 인원현황'!$C:$J,2,0)=0,"",VLOOKUP($B95,'1. 현장별 인원현황'!$C:$J,2,0))</f>
        <v xml:space="preserve"> [1.라온건설] 인천 신흥동3가 주상복합</v>
      </c>
      <c r="D95" s="74" t="str">
        <f>IF(VLOOKUP($B95,'1. 현장별 인원현황'!$C:$J,3,0)=0,"",VLOOKUP($B95,'1. 현장별 인원현황'!$C:$J,3,0))</f>
        <v>홍광표</v>
      </c>
      <c r="E95" s="74" t="str">
        <f ca="1">IF(VLOOKUP($B95,'1. 현장별 인원현황'!$C:$J,4,0)=0,"",VLOOKUP($B95,'1. 현장별 인원현황'!$C:$J,4,0))</f>
        <v>62세</v>
      </c>
      <c r="F95" s="70" t="str">
        <f>IF(VLOOKUP($B95,'1. 현장별 인원현황'!$C:$J,7,0)=0,"",VLOOKUP($B95,'1. 현장별 인원현황'!$C:$J,7,0))</f>
        <v>공무</v>
      </c>
      <c r="G95" s="72" t="str">
        <f>IF(VLOOKUP($B95,'1. 현장별 인원현황'!$C:$J,8,0)=0,"",VLOOKUP($B95,'1. 현장별 인원현황'!$C:$J,8,0))</f>
        <v>부장</v>
      </c>
      <c r="H95" s="67" t="s">
        <v>69</v>
      </c>
      <c r="I95" s="73"/>
      <c r="J95" s="73"/>
      <c r="K95" s="68"/>
      <c r="L95" s="67"/>
      <c r="M95" s="73" t="s">
        <v>69</v>
      </c>
      <c r="N95" s="73"/>
      <c r="O95" s="68"/>
      <c r="P95" s="67" t="s">
        <v>69</v>
      </c>
      <c r="Q95" s="73"/>
      <c r="R95" s="73"/>
      <c r="S95" s="68"/>
      <c r="T95" s="67" t="s">
        <v>69</v>
      </c>
      <c r="U95" s="73"/>
      <c r="V95" s="73"/>
      <c r="W95" s="68"/>
      <c r="X95" s="67" t="s">
        <v>69</v>
      </c>
      <c r="Y95" s="73"/>
      <c r="Z95" s="73"/>
      <c r="AA95" s="68"/>
      <c r="AB95" s="67" t="s">
        <v>69</v>
      </c>
      <c r="AC95" s="73"/>
      <c r="AD95" s="73"/>
      <c r="AE95" s="68"/>
      <c r="AF95" s="67" t="s">
        <v>69</v>
      </c>
      <c r="AG95" s="73"/>
      <c r="AH95" s="73"/>
      <c r="AI95" s="68"/>
      <c r="AJ95" s="67" t="s">
        <v>69</v>
      </c>
      <c r="AK95" s="73"/>
      <c r="AL95" s="73"/>
      <c r="AM95" s="68"/>
      <c r="AN95" s="67">
        <f t="shared" si="39"/>
        <v>96</v>
      </c>
      <c r="AO95" s="68" t="str">
        <f t="shared" si="40"/>
        <v>S</v>
      </c>
      <c r="AR95" s="49">
        <f t="shared" si="41"/>
        <v>1</v>
      </c>
      <c r="AS95" s="49">
        <f t="shared" si="42"/>
        <v>0</v>
      </c>
      <c r="AT95" s="49">
        <f t="shared" si="43"/>
        <v>0</v>
      </c>
      <c r="AU95" s="49">
        <f t="shared" si="44"/>
        <v>0</v>
      </c>
      <c r="AV95" s="49">
        <f t="shared" si="45"/>
        <v>0</v>
      </c>
      <c r="AW95" s="49">
        <f t="shared" si="46"/>
        <v>1</v>
      </c>
      <c r="AX95" s="49">
        <f t="shared" si="47"/>
        <v>0</v>
      </c>
      <c r="AY95" s="49">
        <f t="shared" si="48"/>
        <v>0</v>
      </c>
      <c r="AZ95" s="49">
        <f t="shared" si="49"/>
        <v>1</v>
      </c>
      <c r="BA95" s="49">
        <f t="shared" si="50"/>
        <v>0</v>
      </c>
      <c r="BB95" s="49">
        <f t="shared" si="51"/>
        <v>0</v>
      </c>
      <c r="BC95" s="49">
        <f t="shared" si="52"/>
        <v>0</v>
      </c>
      <c r="BD95" s="49">
        <f t="shared" si="53"/>
        <v>1</v>
      </c>
      <c r="BE95" s="49">
        <f t="shared" si="54"/>
        <v>0</v>
      </c>
      <c r="BF95" s="49">
        <f t="shared" si="55"/>
        <v>0</v>
      </c>
      <c r="BG95" s="49">
        <f t="shared" si="56"/>
        <v>0</v>
      </c>
      <c r="BH95" s="49">
        <f t="shared" si="57"/>
        <v>1</v>
      </c>
      <c r="BI95" s="49">
        <f t="shared" si="58"/>
        <v>0</v>
      </c>
      <c r="BJ95" s="49">
        <f t="shared" si="59"/>
        <v>0</v>
      </c>
      <c r="BK95" s="49">
        <f t="shared" si="60"/>
        <v>0</v>
      </c>
      <c r="BL95" s="49">
        <f t="shared" si="61"/>
        <v>1</v>
      </c>
      <c r="BM95" s="49">
        <f t="shared" si="62"/>
        <v>0</v>
      </c>
      <c r="BN95" s="49">
        <f t="shared" si="63"/>
        <v>0</v>
      </c>
      <c r="BO95" s="49">
        <f t="shared" si="64"/>
        <v>0</v>
      </c>
      <c r="BP95" s="49">
        <f t="shared" si="65"/>
        <v>1</v>
      </c>
      <c r="BQ95" s="49">
        <f t="shared" si="66"/>
        <v>0</v>
      </c>
      <c r="BR95" s="49">
        <f t="shared" si="67"/>
        <v>0</v>
      </c>
      <c r="BS95" s="49">
        <f t="shared" si="68"/>
        <v>0</v>
      </c>
      <c r="BT95" s="49">
        <f t="shared" si="69"/>
        <v>1</v>
      </c>
      <c r="BU95" s="49">
        <f t="shared" si="70"/>
        <v>0</v>
      </c>
      <c r="BV95" s="49">
        <f t="shared" si="71"/>
        <v>0</v>
      </c>
      <c r="BW95" s="49">
        <f t="shared" si="72"/>
        <v>0</v>
      </c>
    </row>
    <row r="96" spans="1:75" ht="35.1" customHeight="1" x14ac:dyDescent="0.3">
      <c r="A96" s="123" t="str">
        <f t="shared" si="37"/>
        <v>1팀</v>
      </c>
      <c r="B96" s="69">
        <f t="shared" si="38"/>
        <v>90</v>
      </c>
      <c r="C96" s="121" t="str">
        <f>IF(VLOOKUP($B96,'1. 현장별 인원현황'!$C:$J,2,0)=0,"",VLOOKUP($B96,'1. 현장별 인원현황'!$C:$J,2,0))</f>
        <v xml:space="preserve"> [1.라온건설] 인천 신흥동3가 주상복합</v>
      </c>
      <c r="D96" s="74" t="str">
        <f>IF(VLOOKUP($B96,'1. 현장별 인원현황'!$C:$J,3,0)=0,"",VLOOKUP($B96,'1. 현장별 인원현황'!$C:$J,3,0))</f>
        <v>신하영</v>
      </c>
      <c r="E96" s="74" t="str">
        <f ca="1">IF(VLOOKUP($B96,'1. 현장별 인원현황'!$C:$J,4,0)=0,"",VLOOKUP($B96,'1. 현장별 인원현황'!$C:$J,4,0))</f>
        <v>57세</v>
      </c>
      <c r="F96" s="70" t="str">
        <f>IF(VLOOKUP($B96,'1. 현장별 인원현황'!$C:$J,7,0)=0,"",VLOOKUP($B96,'1. 현장별 인원현황'!$C:$J,7,0))</f>
        <v>기능공</v>
      </c>
      <c r="G96" s="72" t="str">
        <f>IF(VLOOKUP($B96,'1. 현장별 인원현황'!$C:$J,8,0)=0,"",VLOOKUP($B96,'1. 현장별 인원현황'!$C:$J,8,0))</f>
        <v>전공</v>
      </c>
      <c r="H96" s="67" t="s">
        <v>69</v>
      </c>
      <c r="I96" s="73"/>
      <c r="J96" s="73"/>
      <c r="K96" s="68"/>
      <c r="L96" s="67"/>
      <c r="M96" s="73" t="s">
        <v>69</v>
      </c>
      <c r="N96" s="73"/>
      <c r="O96" s="68"/>
      <c r="P96" s="67" t="s">
        <v>69</v>
      </c>
      <c r="Q96" s="73"/>
      <c r="R96" s="73"/>
      <c r="S96" s="68"/>
      <c r="T96" s="67" t="s">
        <v>69</v>
      </c>
      <c r="U96" s="73"/>
      <c r="V96" s="73"/>
      <c r="W96" s="68"/>
      <c r="X96" s="67" t="s">
        <v>69</v>
      </c>
      <c r="Y96" s="73"/>
      <c r="Z96" s="73"/>
      <c r="AA96" s="68"/>
      <c r="AB96" s="67" t="s">
        <v>69</v>
      </c>
      <c r="AC96" s="73"/>
      <c r="AD96" s="73"/>
      <c r="AE96" s="68"/>
      <c r="AF96" s="67" t="s">
        <v>69</v>
      </c>
      <c r="AG96" s="73"/>
      <c r="AH96" s="73"/>
      <c r="AI96" s="68"/>
      <c r="AJ96" s="67" t="s">
        <v>69</v>
      </c>
      <c r="AK96" s="73"/>
      <c r="AL96" s="73"/>
      <c r="AM96" s="68"/>
      <c r="AN96" s="67">
        <f t="shared" si="39"/>
        <v>96</v>
      </c>
      <c r="AO96" s="68" t="str">
        <f t="shared" si="40"/>
        <v>S</v>
      </c>
      <c r="AR96" s="49">
        <f t="shared" si="41"/>
        <v>1</v>
      </c>
      <c r="AS96" s="49">
        <f t="shared" si="42"/>
        <v>0</v>
      </c>
      <c r="AT96" s="49">
        <f t="shared" si="43"/>
        <v>0</v>
      </c>
      <c r="AU96" s="49">
        <f t="shared" si="44"/>
        <v>0</v>
      </c>
      <c r="AV96" s="49">
        <f t="shared" si="45"/>
        <v>0</v>
      </c>
      <c r="AW96" s="49">
        <f t="shared" si="46"/>
        <v>1</v>
      </c>
      <c r="AX96" s="49">
        <f t="shared" si="47"/>
        <v>0</v>
      </c>
      <c r="AY96" s="49">
        <f t="shared" si="48"/>
        <v>0</v>
      </c>
      <c r="AZ96" s="49">
        <f t="shared" si="49"/>
        <v>1</v>
      </c>
      <c r="BA96" s="49">
        <f t="shared" si="50"/>
        <v>0</v>
      </c>
      <c r="BB96" s="49">
        <f t="shared" si="51"/>
        <v>0</v>
      </c>
      <c r="BC96" s="49">
        <f t="shared" si="52"/>
        <v>0</v>
      </c>
      <c r="BD96" s="49">
        <f t="shared" si="53"/>
        <v>1</v>
      </c>
      <c r="BE96" s="49">
        <f t="shared" si="54"/>
        <v>0</v>
      </c>
      <c r="BF96" s="49">
        <f t="shared" si="55"/>
        <v>0</v>
      </c>
      <c r="BG96" s="49">
        <f t="shared" si="56"/>
        <v>0</v>
      </c>
      <c r="BH96" s="49">
        <f t="shared" si="57"/>
        <v>1</v>
      </c>
      <c r="BI96" s="49">
        <f t="shared" si="58"/>
        <v>0</v>
      </c>
      <c r="BJ96" s="49">
        <f t="shared" si="59"/>
        <v>0</v>
      </c>
      <c r="BK96" s="49">
        <f t="shared" si="60"/>
        <v>0</v>
      </c>
      <c r="BL96" s="49">
        <f t="shared" si="61"/>
        <v>1</v>
      </c>
      <c r="BM96" s="49">
        <f t="shared" si="62"/>
        <v>0</v>
      </c>
      <c r="BN96" s="49">
        <f t="shared" si="63"/>
        <v>0</v>
      </c>
      <c r="BO96" s="49">
        <f t="shared" si="64"/>
        <v>0</v>
      </c>
      <c r="BP96" s="49">
        <f t="shared" si="65"/>
        <v>1</v>
      </c>
      <c r="BQ96" s="49">
        <f t="shared" si="66"/>
        <v>0</v>
      </c>
      <c r="BR96" s="49">
        <f t="shared" si="67"/>
        <v>0</v>
      </c>
      <c r="BS96" s="49">
        <f t="shared" si="68"/>
        <v>0</v>
      </c>
      <c r="BT96" s="49">
        <f t="shared" si="69"/>
        <v>1</v>
      </c>
      <c r="BU96" s="49">
        <f t="shared" si="70"/>
        <v>0</v>
      </c>
      <c r="BV96" s="49">
        <f t="shared" si="71"/>
        <v>0</v>
      </c>
      <c r="BW96" s="49">
        <f t="shared" si="72"/>
        <v>0</v>
      </c>
    </row>
    <row r="97" spans="1:75" ht="35.1" customHeight="1" x14ac:dyDescent="0.3">
      <c r="A97" s="123" t="str">
        <f t="shared" si="37"/>
        <v>1팀</v>
      </c>
      <c r="B97" s="69">
        <f t="shared" si="38"/>
        <v>91</v>
      </c>
      <c r="C97" s="121" t="str">
        <f>IF(VLOOKUP($B97,'1. 현장별 인원현황'!$C:$J,2,0)=0,"",VLOOKUP($B97,'1. 현장별 인원현황'!$C:$J,2,0))</f>
        <v xml:space="preserve"> [1.라온건설] 인천 신흥동3가 주상복합</v>
      </c>
      <c r="D97" s="74" t="str">
        <f>IF(VLOOKUP($B97,'1. 현장별 인원현황'!$C:$J,3,0)=0,"",VLOOKUP($B97,'1. 현장별 인원현황'!$C:$J,3,0))</f>
        <v>박순걸</v>
      </c>
      <c r="E97" s="74" t="str">
        <f ca="1">IF(VLOOKUP($B97,'1. 현장별 인원현황'!$C:$J,4,0)=0,"",VLOOKUP($B97,'1. 현장별 인원현황'!$C:$J,4,0))</f>
        <v>57세</v>
      </c>
      <c r="F97" s="70" t="str">
        <f>IF(VLOOKUP($B97,'1. 현장별 인원현황'!$C:$J,7,0)=0,"",VLOOKUP($B97,'1. 현장별 인원현황'!$C:$J,7,0))</f>
        <v>기능공</v>
      </c>
      <c r="G97" s="72" t="str">
        <f>IF(VLOOKUP($B97,'1. 현장별 인원현황'!$C:$J,8,0)=0,"",VLOOKUP($B97,'1. 현장별 인원현황'!$C:$J,8,0))</f>
        <v>전공</v>
      </c>
      <c r="H97" s="67" t="s">
        <v>69</v>
      </c>
      <c r="I97" s="73"/>
      <c r="J97" s="73"/>
      <c r="K97" s="68"/>
      <c r="L97" s="67"/>
      <c r="M97" s="73" t="s">
        <v>69</v>
      </c>
      <c r="N97" s="73"/>
      <c r="O97" s="68"/>
      <c r="P97" s="67" t="s">
        <v>69</v>
      </c>
      <c r="Q97" s="73"/>
      <c r="R97" s="73"/>
      <c r="S97" s="68"/>
      <c r="T97" s="67" t="s">
        <v>69</v>
      </c>
      <c r="U97" s="73"/>
      <c r="V97" s="73"/>
      <c r="W97" s="68"/>
      <c r="X97" s="67" t="s">
        <v>69</v>
      </c>
      <c r="Y97" s="73"/>
      <c r="Z97" s="73"/>
      <c r="AA97" s="68"/>
      <c r="AB97" s="67" t="s">
        <v>69</v>
      </c>
      <c r="AC97" s="73"/>
      <c r="AD97" s="73"/>
      <c r="AE97" s="68"/>
      <c r="AF97" s="67" t="s">
        <v>69</v>
      </c>
      <c r="AG97" s="73"/>
      <c r="AH97" s="73"/>
      <c r="AI97" s="68"/>
      <c r="AJ97" s="67" t="s">
        <v>69</v>
      </c>
      <c r="AK97" s="73"/>
      <c r="AL97" s="73"/>
      <c r="AM97" s="68"/>
      <c r="AN97" s="67">
        <f t="shared" si="39"/>
        <v>96</v>
      </c>
      <c r="AO97" s="68" t="str">
        <f t="shared" si="40"/>
        <v>S</v>
      </c>
      <c r="AR97" s="49">
        <f t="shared" si="41"/>
        <v>1</v>
      </c>
      <c r="AS97" s="49">
        <f t="shared" si="42"/>
        <v>0</v>
      </c>
      <c r="AT97" s="49">
        <f t="shared" si="43"/>
        <v>0</v>
      </c>
      <c r="AU97" s="49">
        <f t="shared" si="44"/>
        <v>0</v>
      </c>
      <c r="AV97" s="49">
        <f t="shared" si="45"/>
        <v>0</v>
      </c>
      <c r="AW97" s="49">
        <f t="shared" si="46"/>
        <v>1</v>
      </c>
      <c r="AX97" s="49">
        <f t="shared" si="47"/>
        <v>0</v>
      </c>
      <c r="AY97" s="49">
        <f t="shared" si="48"/>
        <v>0</v>
      </c>
      <c r="AZ97" s="49">
        <f t="shared" si="49"/>
        <v>1</v>
      </c>
      <c r="BA97" s="49">
        <f t="shared" si="50"/>
        <v>0</v>
      </c>
      <c r="BB97" s="49">
        <f t="shared" si="51"/>
        <v>0</v>
      </c>
      <c r="BC97" s="49">
        <f t="shared" si="52"/>
        <v>0</v>
      </c>
      <c r="BD97" s="49">
        <f t="shared" si="53"/>
        <v>1</v>
      </c>
      <c r="BE97" s="49">
        <f t="shared" si="54"/>
        <v>0</v>
      </c>
      <c r="BF97" s="49">
        <f t="shared" si="55"/>
        <v>0</v>
      </c>
      <c r="BG97" s="49">
        <f t="shared" si="56"/>
        <v>0</v>
      </c>
      <c r="BH97" s="49">
        <f t="shared" si="57"/>
        <v>1</v>
      </c>
      <c r="BI97" s="49">
        <f t="shared" si="58"/>
        <v>0</v>
      </c>
      <c r="BJ97" s="49">
        <f t="shared" si="59"/>
        <v>0</v>
      </c>
      <c r="BK97" s="49">
        <f t="shared" si="60"/>
        <v>0</v>
      </c>
      <c r="BL97" s="49">
        <f t="shared" si="61"/>
        <v>1</v>
      </c>
      <c r="BM97" s="49">
        <f t="shared" si="62"/>
        <v>0</v>
      </c>
      <c r="BN97" s="49">
        <f t="shared" si="63"/>
        <v>0</v>
      </c>
      <c r="BO97" s="49">
        <f t="shared" si="64"/>
        <v>0</v>
      </c>
      <c r="BP97" s="49">
        <f t="shared" si="65"/>
        <v>1</v>
      </c>
      <c r="BQ97" s="49">
        <f t="shared" si="66"/>
        <v>0</v>
      </c>
      <c r="BR97" s="49">
        <f t="shared" si="67"/>
        <v>0</v>
      </c>
      <c r="BS97" s="49">
        <f t="shared" si="68"/>
        <v>0</v>
      </c>
      <c r="BT97" s="49">
        <f t="shared" si="69"/>
        <v>1</v>
      </c>
      <c r="BU97" s="49">
        <f t="shared" si="70"/>
        <v>0</v>
      </c>
      <c r="BV97" s="49">
        <f t="shared" si="71"/>
        <v>0</v>
      </c>
      <c r="BW97" s="49">
        <f t="shared" si="72"/>
        <v>0</v>
      </c>
    </row>
    <row r="98" spans="1:75" ht="35.1" customHeight="1" x14ac:dyDescent="0.3">
      <c r="A98" s="123" t="str">
        <f t="shared" si="37"/>
        <v>1팀</v>
      </c>
      <c r="B98" s="69">
        <f t="shared" si="38"/>
        <v>92</v>
      </c>
      <c r="C98" s="121" t="str">
        <f>IF(VLOOKUP($B98,'1. 현장별 인원현황'!$C:$J,2,0)=0,"",VLOOKUP($B98,'1. 현장별 인원현황'!$C:$J,2,0))</f>
        <v xml:space="preserve"> [1.라온건설] 인천 신흥동3가 주상복합</v>
      </c>
      <c r="D98" s="74" t="str">
        <f>IF(VLOOKUP($B98,'1. 현장별 인원현황'!$C:$J,3,0)=0,"",VLOOKUP($B98,'1. 현장별 인원현황'!$C:$J,3,0))</f>
        <v>박연민</v>
      </c>
      <c r="E98" s="74" t="str">
        <f ca="1">IF(VLOOKUP($B98,'1. 현장별 인원현황'!$C:$J,4,0)=0,"",VLOOKUP($B98,'1. 현장별 인원현황'!$C:$J,4,0))</f>
        <v>48세</v>
      </c>
      <c r="F98" s="70" t="str">
        <f>IF(VLOOKUP($B98,'1. 현장별 인원현황'!$C:$J,7,0)=0,"",VLOOKUP($B98,'1. 현장별 인원현황'!$C:$J,7,0))</f>
        <v>기능공</v>
      </c>
      <c r="G98" s="72" t="str">
        <f>IF(VLOOKUP($B98,'1. 현장별 인원현황'!$C:$J,8,0)=0,"",VLOOKUP($B98,'1. 현장별 인원현황'!$C:$J,8,0))</f>
        <v>전공</v>
      </c>
      <c r="H98" s="67" t="s">
        <v>69</v>
      </c>
      <c r="I98" s="73"/>
      <c r="J98" s="73"/>
      <c r="K98" s="68"/>
      <c r="L98" s="67"/>
      <c r="M98" s="73" t="s">
        <v>69</v>
      </c>
      <c r="N98" s="73"/>
      <c r="O98" s="68"/>
      <c r="P98" s="67" t="s">
        <v>69</v>
      </c>
      <c r="Q98" s="73"/>
      <c r="R98" s="73"/>
      <c r="S98" s="68"/>
      <c r="T98" s="67" t="s">
        <v>69</v>
      </c>
      <c r="U98" s="73"/>
      <c r="V98" s="73"/>
      <c r="W98" s="68"/>
      <c r="X98" s="67" t="s">
        <v>69</v>
      </c>
      <c r="Y98" s="73"/>
      <c r="Z98" s="73"/>
      <c r="AA98" s="68"/>
      <c r="AB98" s="67" t="s">
        <v>69</v>
      </c>
      <c r="AC98" s="73"/>
      <c r="AD98" s="73"/>
      <c r="AE98" s="68"/>
      <c r="AF98" s="67" t="s">
        <v>69</v>
      </c>
      <c r="AG98" s="73"/>
      <c r="AH98" s="73"/>
      <c r="AI98" s="68"/>
      <c r="AJ98" s="67" t="s">
        <v>69</v>
      </c>
      <c r="AK98" s="73"/>
      <c r="AL98" s="73"/>
      <c r="AM98" s="68"/>
      <c r="AN98" s="67">
        <f t="shared" si="39"/>
        <v>96</v>
      </c>
      <c r="AO98" s="68" t="str">
        <f t="shared" si="40"/>
        <v>S</v>
      </c>
      <c r="AR98" s="49">
        <f t="shared" si="41"/>
        <v>1</v>
      </c>
      <c r="AS98" s="49">
        <f t="shared" si="42"/>
        <v>0</v>
      </c>
      <c r="AT98" s="49">
        <f t="shared" si="43"/>
        <v>0</v>
      </c>
      <c r="AU98" s="49">
        <f t="shared" si="44"/>
        <v>0</v>
      </c>
      <c r="AV98" s="49">
        <f t="shared" si="45"/>
        <v>0</v>
      </c>
      <c r="AW98" s="49">
        <f t="shared" si="46"/>
        <v>1</v>
      </c>
      <c r="AX98" s="49">
        <f t="shared" si="47"/>
        <v>0</v>
      </c>
      <c r="AY98" s="49">
        <f t="shared" si="48"/>
        <v>0</v>
      </c>
      <c r="AZ98" s="49">
        <f t="shared" si="49"/>
        <v>1</v>
      </c>
      <c r="BA98" s="49">
        <f t="shared" si="50"/>
        <v>0</v>
      </c>
      <c r="BB98" s="49">
        <f t="shared" si="51"/>
        <v>0</v>
      </c>
      <c r="BC98" s="49">
        <f t="shared" si="52"/>
        <v>0</v>
      </c>
      <c r="BD98" s="49">
        <f t="shared" si="53"/>
        <v>1</v>
      </c>
      <c r="BE98" s="49">
        <f t="shared" si="54"/>
        <v>0</v>
      </c>
      <c r="BF98" s="49">
        <f t="shared" si="55"/>
        <v>0</v>
      </c>
      <c r="BG98" s="49">
        <f t="shared" si="56"/>
        <v>0</v>
      </c>
      <c r="BH98" s="49">
        <f t="shared" si="57"/>
        <v>1</v>
      </c>
      <c r="BI98" s="49">
        <f t="shared" si="58"/>
        <v>0</v>
      </c>
      <c r="BJ98" s="49">
        <f t="shared" si="59"/>
        <v>0</v>
      </c>
      <c r="BK98" s="49">
        <f t="shared" si="60"/>
        <v>0</v>
      </c>
      <c r="BL98" s="49">
        <f t="shared" si="61"/>
        <v>1</v>
      </c>
      <c r="BM98" s="49">
        <f t="shared" si="62"/>
        <v>0</v>
      </c>
      <c r="BN98" s="49">
        <f t="shared" si="63"/>
        <v>0</v>
      </c>
      <c r="BO98" s="49">
        <f t="shared" si="64"/>
        <v>0</v>
      </c>
      <c r="BP98" s="49">
        <f t="shared" si="65"/>
        <v>1</v>
      </c>
      <c r="BQ98" s="49">
        <f t="shared" si="66"/>
        <v>0</v>
      </c>
      <c r="BR98" s="49">
        <f t="shared" si="67"/>
        <v>0</v>
      </c>
      <c r="BS98" s="49">
        <f t="shared" si="68"/>
        <v>0</v>
      </c>
      <c r="BT98" s="49">
        <f t="shared" si="69"/>
        <v>1</v>
      </c>
      <c r="BU98" s="49">
        <f t="shared" si="70"/>
        <v>0</v>
      </c>
      <c r="BV98" s="49">
        <f t="shared" si="71"/>
        <v>0</v>
      </c>
      <c r="BW98" s="49">
        <f t="shared" si="72"/>
        <v>0</v>
      </c>
    </row>
    <row r="99" spans="1:75" ht="35.1" customHeight="1" x14ac:dyDescent="0.3">
      <c r="A99" s="123" t="str">
        <f t="shared" si="37"/>
        <v>1팀</v>
      </c>
      <c r="B99" s="69">
        <f t="shared" si="38"/>
        <v>93</v>
      </c>
      <c r="C99" s="121" t="str">
        <f>IF(VLOOKUP($B99,'1. 현장별 인원현황'!$C:$J,2,0)=0,"",VLOOKUP($B99,'1. 현장별 인원현황'!$C:$J,2,0))</f>
        <v xml:space="preserve"> [1.라온건설] 인천 신흥동3가 주상복합</v>
      </c>
      <c r="D99" s="74" t="str">
        <f>IF(VLOOKUP($B99,'1. 현장별 인원현황'!$C:$J,3,0)=0,"",VLOOKUP($B99,'1. 현장별 인원현황'!$C:$J,3,0))</f>
        <v>고석출</v>
      </c>
      <c r="E99" s="74" t="str">
        <f ca="1">IF(VLOOKUP($B99,'1. 현장별 인원현황'!$C:$J,4,0)=0,"",VLOOKUP($B99,'1. 현장별 인원현황'!$C:$J,4,0))</f>
        <v>66세</v>
      </c>
      <c r="F99" s="70" t="str">
        <f>IF(VLOOKUP($B99,'1. 현장별 인원현황'!$C:$J,7,0)=0,"",VLOOKUP($B99,'1. 현장별 인원현황'!$C:$J,7,0))</f>
        <v>기능공</v>
      </c>
      <c r="G99" s="72" t="str">
        <f>IF(VLOOKUP($B99,'1. 현장별 인원현황'!$C:$J,8,0)=0,"",VLOOKUP($B99,'1. 현장별 인원현황'!$C:$J,8,0))</f>
        <v>전공</v>
      </c>
      <c r="H99" s="67" t="s">
        <v>69</v>
      </c>
      <c r="I99" s="73"/>
      <c r="J99" s="73"/>
      <c r="K99" s="68"/>
      <c r="L99" s="67"/>
      <c r="M99" s="73" t="s">
        <v>69</v>
      </c>
      <c r="N99" s="73"/>
      <c r="O99" s="68"/>
      <c r="P99" s="67" t="s">
        <v>69</v>
      </c>
      <c r="Q99" s="73"/>
      <c r="R99" s="73"/>
      <c r="S99" s="68"/>
      <c r="T99" s="67" t="s">
        <v>69</v>
      </c>
      <c r="U99" s="73"/>
      <c r="V99" s="73"/>
      <c r="W99" s="68"/>
      <c r="X99" s="67" t="s">
        <v>69</v>
      </c>
      <c r="Y99" s="73"/>
      <c r="Z99" s="73"/>
      <c r="AA99" s="68"/>
      <c r="AB99" s="67" t="s">
        <v>69</v>
      </c>
      <c r="AC99" s="73"/>
      <c r="AD99" s="73"/>
      <c r="AE99" s="68"/>
      <c r="AF99" s="67" t="s">
        <v>69</v>
      </c>
      <c r="AG99" s="73"/>
      <c r="AH99" s="73"/>
      <c r="AI99" s="68"/>
      <c r="AJ99" s="67" t="s">
        <v>69</v>
      </c>
      <c r="AK99" s="73"/>
      <c r="AL99" s="73"/>
      <c r="AM99" s="68"/>
      <c r="AN99" s="67">
        <f t="shared" si="39"/>
        <v>96</v>
      </c>
      <c r="AO99" s="68" t="str">
        <f t="shared" si="40"/>
        <v>S</v>
      </c>
      <c r="AR99" s="49">
        <f t="shared" si="41"/>
        <v>1</v>
      </c>
      <c r="AS99" s="49">
        <f t="shared" si="42"/>
        <v>0</v>
      </c>
      <c r="AT99" s="49">
        <f t="shared" si="43"/>
        <v>0</v>
      </c>
      <c r="AU99" s="49">
        <f t="shared" si="44"/>
        <v>0</v>
      </c>
      <c r="AV99" s="49">
        <f t="shared" si="45"/>
        <v>0</v>
      </c>
      <c r="AW99" s="49">
        <f t="shared" si="46"/>
        <v>1</v>
      </c>
      <c r="AX99" s="49">
        <f t="shared" si="47"/>
        <v>0</v>
      </c>
      <c r="AY99" s="49">
        <f t="shared" si="48"/>
        <v>0</v>
      </c>
      <c r="AZ99" s="49">
        <f t="shared" si="49"/>
        <v>1</v>
      </c>
      <c r="BA99" s="49">
        <f t="shared" si="50"/>
        <v>0</v>
      </c>
      <c r="BB99" s="49">
        <f t="shared" si="51"/>
        <v>0</v>
      </c>
      <c r="BC99" s="49">
        <f t="shared" si="52"/>
        <v>0</v>
      </c>
      <c r="BD99" s="49">
        <f t="shared" si="53"/>
        <v>1</v>
      </c>
      <c r="BE99" s="49">
        <f t="shared" si="54"/>
        <v>0</v>
      </c>
      <c r="BF99" s="49">
        <f t="shared" si="55"/>
        <v>0</v>
      </c>
      <c r="BG99" s="49">
        <f t="shared" si="56"/>
        <v>0</v>
      </c>
      <c r="BH99" s="49">
        <f t="shared" si="57"/>
        <v>1</v>
      </c>
      <c r="BI99" s="49">
        <f t="shared" si="58"/>
        <v>0</v>
      </c>
      <c r="BJ99" s="49">
        <f t="shared" si="59"/>
        <v>0</v>
      </c>
      <c r="BK99" s="49">
        <f t="shared" si="60"/>
        <v>0</v>
      </c>
      <c r="BL99" s="49">
        <f t="shared" si="61"/>
        <v>1</v>
      </c>
      <c r="BM99" s="49">
        <f t="shared" si="62"/>
        <v>0</v>
      </c>
      <c r="BN99" s="49">
        <f t="shared" si="63"/>
        <v>0</v>
      </c>
      <c r="BO99" s="49">
        <f t="shared" si="64"/>
        <v>0</v>
      </c>
      <c r="BP99" s="49">
        <f t="shared" si="65"/>
        <v>1</v>
      </c>
      <c r="BQ99" s="49">
        <f t="shared" si="66"/>
        <v>0</v>
      </c>
      <c r="BR99" s="49">
        <f t="shared" si="67"/>
        <v>0</v>
      </c>
      <c r="BS99" s="49">
        <f t="shared" si="68"/>
        <v>0</v>
      </c>
      <c r="BT99" s="49">
        <f t="shared" si="69"/>
        <v>1</v>
      </c>
      <c r="BU99" s="49">
        <f t="shared" si="70"/>
        <v>0</v>
      </c>
      <c r="BV99" s="49">
        <f t="shared" si="71"/>
        <v>0</v>
      </c>
      <c r="BW99" s="49">
        <f t="shared" si="72"/>
        <v>0</v>
      </c>
    </row>
    <row r="100" spans="1:75" ht="35.1" customHeight="1" x14ac:dyDescent="0.3">
      <c r="A100" s="123" t="str">
        <f t="shared" si="37"/>
        <v>1팀</v>
      </c>
      <c r="B100" s="69">
        <f t="shared" si="38"/>
        <v>94</v>
      </c>
      <c r="C100" s="121" t="str">
        <f>IF(VLOOKUP($B100,'1. 현장별 인원현황'!$C:$J,2,0)=0,"",VLOOKUP($B100,'1. 현장별 인원현황'!$C:$J,2,0))</f>
        <v xml:space="preserve"> [1.라온건설] 인천 신흥동3가 주상복합</v>
      </c>
      <c r="D100" s="74" t="str">
        <f>IF(VLOOKUP($B100,'1. 현장별 인원현황'!$C:$J,3,0)=0,"",VLOOKUP($B100,'1. 현장별 인원현황'!$C:$J,3,0))</f>
        <v>홍철군</v>
      </c>
      <c r="E100" s="74" t="str">
        <f ca="1">IF(VLOOKUP($B100,'1. 현장별 인원현황'!$C:$J,4,0)=0,"",VLOOKUP($B100,'1. 현장별 인원현황'!$C:$J,4,0))</f>
        <v>38세</v>
      </c>
      <c r="F100" s="70" t="str">
        <f>IF(VLOOKUP($B100,'1. 현장별 인원현황'!$C:$J,7,0)=0,"",VLOOKUP($B100,'1. 현장별 인원현황'!$C:$J,7,0))</f>
        <v>기능공</v>
      </c>
      <c r="G100" s="72" t="str">
        <f>IF(VLOOKUP($B100,'1. 현장별 인원현황'!$C:$J,8,0)=0,"",VLOOKUP($B100,'1. 현장별 인원현황'!$C:$J,8,0))</f>
        <v>조공</v>
      </c>
      <c r="H100" s="67" t="s">
        <v>69</v>
      </c>
      <c r="I100" s="73"/>
      <c r="J100" s="73"/>
      <c r="K100" s="68"/>
      <c r="L100" s="67"/>
      <c r="M100" s="73" t="s">
        <v>69</v>
      </c>
      <c r="N100" s="73"/>
      <c r="O100" s="68"/>
      <c r="P100" s="67" t="s">
        <v>69</v>
      </c>
      <c r="Q100" s="73"/>
      <c r="R100" s="73"/>
      <c r="S100" s="68"/>
      <c r="T100" s="67" t="s">
        <v>69</v>
      </c>
      <c r="U100" s="73"/>
      <c r="V100" s="73"/>
      <c r="W100" s="68"/>
      <c r="X100" s="67" t="s">
        <v>69</v>
      </c>
      <c r="Y100" s="73"/>
      <c r="Z100" s="73"/>
      <c r="AA100" s="68"/>
      <c r="AB100" s="67" t="s">
        <v>69</v>
      </c>
      <c r="AC100" s="73"/>
      <c r="AD100" s="73"/>
      <c r="AE100" s="68"/>
      <c r="AF100" s="67" t="s">
        <v>69</v>
      </c>
      <c r="AG100" s="73"/>
      <c r="AH100" s="73"/>
      <c r="AI100" s="68"/>
      <c r="AJ100" s="67" t="s">
        <v>69</v>
      </c>
      <c r="AK100" s="73"/>
      <c r="AL100" s="73"/>
      <c r="AM100" s="68"/>
      <c r="AN100" s="67">
        <f t="shared" si="39"/>
        <v>96</v>
      </c>
      <c r="AO100" s="68" t="str">
        <f t="shared" si="40"/>
        <v>S</v>
      </c>
      <c r="AR100" s="49">
        <f t="shared" ref="AR100:AR115" si="73">IF(H100&gt;0,1,0)</f>
        <v>1</v>
      </c>
      <c r="AS100" s="49">
        <f t="shared" ref="AS100:AS115" si="74">IF(I100&gt;0,1,0)</f>
        <v>0</v>
      </c>
      <c r="AT100" s="49">
        <f t="shared" ref="AT100:AT115" si="75">IF(J100&gt;0,1,0)</f>
        <v>0</v>
      </c>
      <c r="AU100" s="49">
        <f t="shared" ref="AU100:AU115" si="76">IF(K100&gt;0,1,0)</f>
        <v>0</v>
      </c>
      <c r="AV100" s="49">
        <f t="shared" ref="AV100:AV115" si="77">IF(L100&gt;0,1,0)</f>
        <v>0</v>
      </c>
      <c r="AW100" s="49">
        <f t="shared" ref="AW100:AW115" si="78">IF(M100&gt;0,1,0)</f>
        <v>1</v>
      </c>
      <c r="AX100" s="49">
        <f t="shared" ref="AX100:AX115" si="79">IF(N100&gt;0,1,0)</f>
        <v>0</v>
      </c>
      <c r="AY100" s="49">
        <f t="shared" ref="AY100:AY115" si="80">IF(O100&gt;0,1,0)</f>
        <v>0</v>
      </c>
      <c r="AZ100" s="49">
        <f t="shared" ref="AZ100:AZ115" si="81">IF(P100&gt;0,1,0)</f>
        <v>1</v>
      </c>
      <c r="BA100" s="49">
        <f t="shared" ref="BA100:BA115" si="82">IF(Q100&gt;0,1,0)</f>
        <v>0</v>
      </c>
      <c r="BB100" s="49">
        <f t="shared" ref="BB100:BB115" si="83">IF(R100&gt;0,1,0)</f>
        <v>0</v>
      </c>
      <c r="BC100" s="49">
        <f t="shared" ref="BC100:BC115" si="84">IF(S100&gt;0,1,0)</f>
        <v>0</v>
      </c>
      <c r="BD100" s="49">
        <f t="shared" ref="BD100:BD115" si="85">IF(T100&gt;0,1,0)</f>
        <v>1</v>
      </c>
      <c r="BE100" s="49">
        <f t="shared" ref="BE100:BE115" si="86">IF(U100&gt;0,1,0)</f>
        <v>0</v>
      </c>
      <c r="BF100" s="49">
        <f t="shared" ref="BF100:BF115" si="87">IF(V100&gt;0,1,0)</f>
        <v>0</v>
      </c>
      <c r="BG100" s="49">
        <f t="shared" ref="BG100:BG115" si="88">IF(W100&gt;0,1,0)</f>
        <v>0</v>
      </c>
      <c r="BH100" s="49">
        <f t="shared" ref="BH100:BH115" si="89">IF(X100&gt;0,1,0)</f>
        <v>1</v>
      </c>
      <c r="BI100" s="49">
        <f t="shared" ref="BI100:BI115" si="90">IF(Y100&gt;0,1,0)</f>
        <v>0</v>
      </c>
      <c r="BJ100" s="49">
        <f t="shared" ref="BJ100:BJ115" si="91">IF(Z100&gt;0,1,0)</f>
        <v>0</v>
      </c>
      <c r="BK100" s="49">
        <f t="shared" ref="BK100:BK115" si="92">IF(AA100&gt;0,1,0)</f>
        <v>0</v>
      </c>
      <c r="BL100" s="49">
        <f t="shared" ref="BL100:BL115" si="93">IF(AB100&gt;0,1,0)</f>
        <v>1</v>
      </c>
      <c r="BM100" s="49">
        <f t="shared" ref="BM100:BM115" si="94">IF(AC100&gt;0,1,0)</f>
        <v>0</v>
      </c>
      <c r="BN100" s="49">
        <f t="shared" ref="BN100:BN115" si="95">IF(AD100&gt;0,1,0)</f>
        <v>0</v>
      </c>
      <c r="BO100" s="49">
        <f t="shared" ref="BO100:BO115" si="96">IF(AE100&gt;0,1,0)</f>
        <v>0</v>
      </c>
      <c r="BP100" s="49">
        <f t="shared" ref="BP100:BP115" si="97">IF(AF100&gt;0,1,0)</f>
        <v>1</v>
      </c>
      <c r="BQ100" s="49">
        <f t="shared" ref="BQ100:BQ115" si="98">IF(AG100&gt;0,1,0)</f>
        <v>0</v>
      </c>
      <c r="BR100" s="49">
        <f t="shared" ref="BR100:BR115" si="99">IF(AH100&gt;0,1,0)</f>
        <v>0</v>
      </c>
      <c r="BS100" s="49">
        <f t="shared" ref="BS100:BS115" si="100">IF(AI100&gt;0,1,0)</f>
        <v>0</v>
      </c>
      <c r="BT100" s="49">
        <f t="shared" ref="BT100:BT115" si="101">IF(AJ100&gt;0,1,0)</f>
        <v>1</v>
      </c>
      <c r="BU100" s="49">
        <f t="shared" ref="BU100:BU115" si="102">IF(AK100&gt;0,1,0)</f>
        <v>0</v>
      </c>
      <c r="BV100" s="49">
        <f t="shared" ref="BV100:BV115" si="103">IF(AL100&gt;0,1,0)</f>
        <v>0</v>
      </c>
      <c r="BW100" s="49">
        <f t="shared" ref="BW100:BW115" si="104">IF(AM100&gt;0,1,0)</f>
        <v>0</v>
      </c>
    </row>
    <row r="101" spans="1:75" ht="35.1" customHeight="1" x14ac:dyDescent="0.3">
      <c r="A101" s="123" t="str">
        <f t="shared" si="37"/>
        <v>1팀</v>
      </c>
      <c r="B101" s="69">
        <f t="shared" si="38"/>
        <v>95</v>
      </c>
      <c r="C101" s="121" t="str">
        <f>IF(VLOOKUP($B101,'1. 현장별 인원현황'!$C:$J,2,0)=0,"",VLOOKUP($B101,'1. 현장별 인원현황'!$C:$J,2,0))</f>
        <v xml:space="preserve"> [1.라온건설] 인천 신흥동3가 주상복합</v>
      </c>
      <c r="D101" s="74" t="str">
        <f>IF(VLOOKUP($B101,'1. 현장별 인원현황'!$C:$J,3,0)=0,"",VLOOKUP($B101,'1. 현장별 인원현황'!$C:$J,3,0))</f>
        <v>강진모</v>
      </c>
      <c r="E101" s="74" t="str">
        <f ca="1">IF(VLOOKUP($B101,'1. 현장별 인원현황'!$C:$J,4,0)=0,"",VLOOKUP($B101,'1. 현장별 인원현황'!$C:$J,4,0))</f>
        <v>31세</v>
      </c>
      <c r="F101" s="70" t="str">
        <f>IF(VLOOKUP($B101,'1. 현장별 인원현황'!$C:$J,7,0)=0,"",VLOOKUP($B101,'1. 현장별 인원현황'!$C:$J,7,0))</f>
        <v>기능공</v>
      </c>
      <c r="G101" s="72" t="str">
        <f>IF(VLOOKUP($B101,'1. 현장별 인원현황'!$C:$J,8,0)=0,"",VLOOKUP($B101,'1. 현장별 인원현황'!$C:$J,8,0))</f>
        <v>조공</v>
      </c>
      <c r="H101" s="67" t="s">
        <v>69</v>
      </c>
      <c r="I101" s="73"/>
      <c r="J101" s="73"/>
      <c r="K101" s="68"/>
      <c r="L101" s="67"/>
      <c r="M101" s="73" t="s">
        <v>69</v>
      </c>
      <c r="N101" s="73"/>
      <c r="O101" s="68"/>
      <c r="P101" s="67" t="s">
        <v>69</v>
      </c>
      <c r="Q101" s="73"/>
      <c r="R101" s="73"/>
      <c r="S101" s="68"/>
      <c r="T101" s="67" t="s">
        <v>69</v>
      </c>
      <c r="U101" s="73"/>
      <c r="V101" s="73"/>
      <c r="W101" s="68"/>
      <c r="X101" s="67" t="s">
        <v>69</v>
      </c>
      <c r="Y101" s="73"/>
      <c r="Z101" s="73"/>
      <c r="AA101" s="68"/>
      <c r="AB101" s="67" t="s">
        <v>69</v>
      </c>
      <c r="AC101" s="73"/>
      <c r="AD101" s="73"/>
      <c r="AE101" s="68"/>
      <c r="AF101" s="67" t="s">
        <v>69</v>
      </c>
      <c r="AG101" s="73"/>
      <c r="AH101" s="73"/>
      <c r="AI101" s="68"/>
      <c r="AJ101" s="67" t="s">
        <v>69</v>
      </c>
      <c r="AK101" s="73"/>
      <c r="AL101" s="73"/>
      <c r="AM101" s="68"/>
      <c r="AN101" s="67">
        <f t="shared" si="39"/>
        <v>96</v>
      </c>
      <c r="AO101" s="68" t="str">
        <f t="shared" si="40"/>
        <v>S</v>
      </c>
      <c r="AR101" s="49">
        <f t="shared" si="73"/>
        <v>1</v>
      </c>
      <c r="AS101" s="49">
        <f t="shared" si="74"/>
        <v>0</v>
      </c>
      <c r="AT101" s="49">
        <f t="shared" si="75"/>
        <v>0</v>
      </c>
      <c r="AU101" s="49">
        <f t="shared" si="76"/>
        <v>0</v>
      </c>
      <c r="AV101" s="49">
        <f t="shared" si="77"/>
        <v>0</v>
      </c>
      <c r="AW101" s="49">
        <f t="shared" si="78"/>
        <v>1</v>
      </c>
      <c r="AX101" s="49">
        <f t="shared" si="79"/>
        <v>0</v>
      </c>
      <c r="AY101" s="49">
        <f t="shared" si="80"/>
        <v>0</v>
      </c>
      <c r="AZ101" s="49">
        <f t="shared" si="81"/>
        <v>1</v>
      </c>
      <c r="BA101" s="49">
        <f t="shared" si="82"/>
        <v>0</v>
      </c>
      <c r="BB101" s="49">
        <f t="shared" si="83"/>
        <v>0</v>
      </c>
      <c r="BC101" s="49">
        <f t="shared" si="84"/>
        <v>0</v>
      </c>
      <c r="BD101" s="49">
        <f t="shared" si="85"/>
        <v>1</v>
      </c>
      <c r="BE101" s="49">
        <f t="shared" si="86"/>
        <v>0</v>
      </c>
      <c r="BF101" s="49">
        <f t="shared" si="87"/>
        <v>0</v>
      </c>
      <c r="BG101" s="49">
        <f t="shared" si="88"/>
        <v>0</v>
      </c>
      <c r="BH101" s="49">
        <f t="shared" si="89"/>
        <v>1</v>
      </c>
      <c r="BI101" s="49">
        <f t="shared" si="90"/>
        <v>0</v>
      </c>
      <c r="BJ101" s="49">
        <f t="shared" si="91"/>
        <v>0</v>
      </c>
      <c r="BK101" s="49">
        <f t="shared" si="92"/>
        <v>0</v>
      </c>
      <c r="BL101" s="49">
        <f t="shared" si="93"/>
        <v>1</v>
      </c>
      <c r="BM101" s="49">
        <f t="shared" si="94"/>
        <v>0</v>
      </c>
      <c r="BN101" s="49">
        <f t="shared" si="95"/>
        <v>0</v>
      </c>
      <c r="BO101" s="49">
        <f t="shared" si="96"/>
        <v>0</v>
      </c>
      <c r="BP101" s="49">
        <f t="shared" si="97"/>
        <v>1</v>
      </c>
      <c r="BQ101" s="49">
        <f t="shared" si="98"/>
        <v>0</v>
      </c>
      <c r="BR101" s="49">
        <f t="shared" si="99"/>
        <v>0</v>
      </c>
      <c r="BS101" s="49">
        <f t="shared" si="100"/>
        <v>0</v>
      </c>
      <c r="BT101" s="49">
        <f t="shared" si="101"/>
        <v>1</v>
      </c>
      <c r="BU101" s="49">
        <f t="shared" si="102"/>
        <v>0</v>
      </c>
      <c r="BV101" s="49">
        <f t="shared" si="103"/>
        <v>0</v>
      </c>
      <c r="BW101" s="49">
        <f t="shared" si="104"/>
        <v>0</v>
      </c>
    </row>
    <row r="102" spans="1:75" ht="35.1" customHeight="1" x14ac:dyDescent="0.3">
      <c r="A102" s="123" t="str">
        <f t="shared" si="37"/>
        <v>1팀</v>
      </c>
      <c r="B102" s="69">
        <f t="shared" si="38"/>
        <v>96</v>
      </c>
      <c r="C102" s="121" t="str">
        <f>IF(VLOOKUP($B102,'1. 현장별 인원현황'!$C:$J,2,0)=0,"",VLOOKUP($B102,'1. 현장별 인원현황'!$C:$J,2,0))</f>
        <v xml:space="preserve"> [1.부영] 김천혁신 2-1블럭 부영아파트 신축공사</v>
      </c>
      <c r="D102" s="74" t="str">
        <f>IF(VLOOKUP($B102,'1. 현장별 인원현황'!$C:$J,3,0)=0,"",VLOOKUP($B102,'1. 현장별 인원현황'!$C:$J,3,0))</f>
        <v>김재성</v>
      </c>
      <c r="E102" s="74" t="str">
        <f ca="1">IF(VLOOKUP($B102,'1. 현장별 인원현황'!$C:$J,4,0)=0,"",VLOOKUP($B102,'1. 현장별 인원현황'!$C:$J,4,0))</f>
        <v>59세</v>
      </c>
      <c r="F102" s="70" t="str">
        <f>IF(VLOOKUP($B102,'1. 현장별 인원현황'!$C:$J,7,0)=0,"",VLOOKUP($B102,'1. 현장별 인원현황'!$C:$J,7,0))</f>
        <v>공사</v>
      </c>
      <c r="G102" s="72" t="str">
        <f>IF(VLOOKUP($B102,'1. 현장별 인원현황'!$C:$J,8,0)=0,"",VLOOKUP($B102,'1. 현장별 인원현황'!$C:$J,8,0))</f>
        <v>차장</v>
      </c>
      <c r="H102" s="67" t="s">
        <v>69</v>
      </c>
      <c r="I102" s="73"/>
      <c r="J102" s="73"/>
      <c r="K102" s="68"/>
      <c r="L102" s="67"/>
      <c r="M102" s="73" t="s">
        <v>69</v>
      </c>
      <c r="N102" s="73"/>
      <c r="O102" s="68"/>
      <c r="P102" s="67" t="s">
        <v>69</v>
      </c>
      <c r="Q102" s="73"/>
      <c r="R102" s="73"/>
      <c r="S102" s="68"/>
      <c r="T102" s="67" t="s">
        <v>69</v>
      </c>
      <c r="U102" s="73"/>
      <c r="V102" s="73"/>
      <c r="W102" s="68"/>
      <c r="X102" s="67" t="s">
        <v>69</v>
      </c>
      <c r="Y102" s="73"/>
      <c r="Z102" s="73"/>
      <c r="AA102" s="68"/>
      <c r="AB102" s="67" t="s">
        <v>69</v>
      </c>
      <c r="AC102" s="73"/>
      <c r="AD102" s="73"/>
      <c r="AE102" s="68"/>
      <c r="AF102" s="67"/>
      <c r="AG102" s="73" t="s">
        <v>69</v>
      </c>
      <c r="AH102" s="73"/>
      <c r="AI102" s="68"/>
      <c r="AJ102" s="67" t="s">
        <v>69</v>
      </c>
      <c r="AK102" s="73"/>
      <c r="AL102" s="73"/>
      <c r="AM102" s="68"/>
      <c r="AN102" s="67">
        <f t="shared" si="39"/>
        <v>93</v>
      </c>
      <c r="AO102" s="68" t="str">
        <f t="shared" si="40"/>
        <v>S</v>
      </c>
      <c r="AR102" s="49">
        <f t="shared" si="73"/>
        <v>1</v>
      </c>
      <c r="AS102" s="49">
        <f t="shared" si="74"/>
        <v>0</v>
      </c>
      <c r="AT102" s="49">
        <f t="shared" si="75"/>
        <v>0</v>
      </c>
      <c r="AU102" s="49">
        <f t="shared" si="76"/>
        <v>0</v>
      </c>
      <c r="AV102" s="49">
        <f t="shared" si="77"/>
        <v>0</v>
      </c>
      <c r="AW102" s="49">
        <f t="shared" si="78"/>
        <v>1</v>
      </c>
      <c r="AX102" s="49">
        <f t="shared" si="79"/>
        <v>0</v>
      </c>
      <c r="AY102" s="49">
        <f t="shared" si="80"/>
        <v>0</v>
      </c>
      <c r="AZ102" s="49">
        <f t="shared" si="81"/>
        <v>1</v>
      </c>
      <c r="BA102" s="49">
        <f t="shared" si="82"/>
        <v>0</v>
      </c>
      <c r="BB102" s="49">
        <f t="shared" si="83"/>
        <v>0</v>
      </c>
      <c r="BC102" s="49">
        <f t="shared" si="84"/>
        <v>0</v>
      </c>
      <c r="BD102" s="49">
        <f t="shared" si="85"/>
        <v>1</v>
      </c>
      <c r="BE102" s="49">
        <f t="shared" si="86"/>
        <v>0</v>
      </c>
      <c r="BF102" s="49">
        <f t="shared" si="87"/>
        <v>0</v>
      </c>
      <c r="BG102" s="49">
        <f t="shared" si="88"/>
        <v>0</v>
      </c>
      <c r="BH102" s="49">
        <f t="shared" si="89"/>
        <v>1</v>
      </c>
      <c r="BI102" s="49">
        <f t="shared" si="90"/>
        <v>0</v>
      </c>
      <c r="BJ102" s="49">
        <f t="shared" si="91"/>
        <v>0</v>
      </c>
      <c r="BK102" s="49">
        <f t="shared" si="92"/>
        <v>0</v>
      </c>
      <c r="BL102" s="49">
        <f t="shared" si="93"/>
        <v>1</v>
      </c>
      <c r="BM102" s="49">
        <f t="shared" si="94"/>
        <v>0</v>
      </c>
      <c r="BN102" s="49">
        <f t="shared" si="95"/>
        <v>0</v>
      </c>
      <c r="BO102" s="49">
        <f t="shared" si="96"/>
        <v>0</v>
      </c>
      <c r="BP102" s="49">
        <f t="shared" si="97"/>
        <v>0</v>
      </c>
      <c r="BQ102" s="49">
        <f t="shared" si="98"/>
        <v>1</v>
      </c>
      <c r="BR102" s="49">
        <f t="shared" si="99"/>
        <v>0</v>
      </c>
      <c r="BS102" s="49">
        <f t="shared" si="100"/>
        <v>0</v>
      </c>
      <c r="BT102" s="49">
        <f t="shared" si="101"/>
        <v>1</v>
      </c>
      <c r="BU102" s="49">
        <f t="shared" si="102"/>
        <v>0</v>
      </c>
      <c r="BV102" s="49">
        <f t="shared" si="103"/>
        <v>0</v>
      </c>
      <c r="BW102" s="49">
        <f t="shared" si="104"/>
        <v>0</v>
      </c>
    </row>
    <row r="103" spans="1:75" ht="35.1" customHeight="1" x14ac:dyDescent="0.3">
      <c r="A103" s="123" t="str">
        <f t="shared" si="37"/>
        <v>1팀</v>
      </c>
      <c r="B103" s="69">
        <f t="shared" si="38"/>
        <v>97</v>
      </c>
      <c r="C103" s="121" t="str">
        <f>IF(VLOOKUP($B103,'1. 현장별 인원현황'!$C:$J,2,0)=0,"",VLOOKUP($B103,'1. 현장별 인원현황'!$C:$J,2,0))</f>
        <v xml:space="preserve"> [1.부영] 김천혁신 2-1블럭 부영아파트 신축공사</v>
      </c>
      <c r="D103" s="74" t="str">
        <f>IF(VLOOKUP($B103,'1. 현장별 인원현황'!$C:$J,3,0)=0,"",VLOOKUP($B103,'1. 현장별 인원현황'!$C:$J,3,0))</f>
        <v>김선동</v>
      </c>
      <c r="E103" s="74" t="str">
        <f ca="1">IF(VLOOKUP($B103,'1. 현장별 인원현황'!$C:$J,4,0)=0,"",VLOOKUP($B103,'1. 현장별 인원현황'!$C:$J,4,0))</f>
        <v>44세</v>
      </c>
      <c r="F103" s="70" t="str">
        <f>IF(VLOOKUP($B103,'1. 현장별 인원현황'!$C:$J,7,0)=0,"",VLOOKUP($B103,'1. 현장별 인원현황'!$C:$J,7,0))</f>
        <v>공무</v>
      </c>
      <c r="G103" s="72" t="str">
        <f>IF(VLOOKUP($B103,'1. 현장별 인원현황'!$C:$J,8,0)=0,"",VLOOKUP($B103,'1. 현장별 인원현황'!$C:$J,8,0))</f>
        <v>과장</v>
      </c>
      <c r="H103" s="67" t="s">
        <v>69</v>
      </c>
      <c r="I103" s="73"/>
      <c r="J103" s="73"/>
      <c r="K103" s="68"/>
      <c r="L103" s="67"/>
      <c r="M103" s="73" t="s">
        <v>69</v>
      </c>
      <c r="N103" s="73"/>
      <c r="O103" s="68"/>
      <c r="P103" s="67" t="s">
        <v>69</v>
      </c>
      <c r="Q103" s="73"/>
      <c r="R103" s="73"/>
      <c r="S103" s="68"/>
      <c r="T103" s="67" t="s">
        <v>69</v>
      </c>
      <c r="U103" s="73"/>
      <c r="V103" s="73"/>
      <c r="W103" s="68"/>
      <c r="X103" s="67" t="s">
        <v>69</v>
      </c>
      <c r="Y103" s="73"/>
      <c r="Z103" s="73"/>
      <c r="AA103" s="68"/>
      <c r="AB103" s="67"/>
      <c r="AC103" s="73" t="s">
        <v>69</v>
      </c>
      <c r="AD103" s="73"/>
      <c r="AE103" s="68"/>
      <c r="AF103" s="67"/>
      <c r="AG103" s="73" t="s">
        <v>69</v>
      </c>
      <c r="AH103" s="73"/>
      <c r="AI103" s="68"/>
      <c r="AJ103" s="67" t="s">
        <v>69</v>
      </c>
      <c r="AK103" s="73"/>
      <c r="AL103" s="73"/>
      <c r="AM103" s="68"/>
      <c r="AN103" s="67">
        <f t="shared" si="39"/>
        <v>91</v>
      </c>
      <c r="AO103" s="68" t="str">
        <f t="shared" si="40"/>
        <v>S</v>
      </c>
      <c r="AR103" s="49">
        <f t="shared" si="73"/>
        <v>1</v>
      </c>
      <c r="AS103" s="49">
        <f t="shared" si="74"/>
        <v>0</v>
      </c>
      <c r="AT103" s="49">
        <f t="shared" si="75"/>
        <v>0</v>
      </c>
      <c r="AU103" s="49">
        <f t="shared" si="76"/>
        <v>0</v>
      </c>
      <c r="AV103" s="49">
        <f t="shared" si="77"/>
        <v>0</v>
      </c>
      <c r="AW103" s="49">
        <f t="shared" si="78"/>
        <v>1</v>
      </c>
      <c r="AX103" s="49">
        <f t="shared" si="79"/>
        <v>0</v>
      </c>
      <c r="AY103" s="49">
        <f t="shared" si="80"/>
        <v>0</v>
      </c>
      <c r="AZ103" s="49">
        <f t="shared" si="81"/>
        <v>1</v>
      </c>
      <c r="BA103" s="49">
        <f t="shared" si="82"/>
        <v>0</v>
      </c>
      <c r="BB103" s="49">
        <f t="shared" si="83"/>
        <v>0</v>
      </c>
      <c r="BC103" s="49">
        <f t="shared" si="84"/>
        <v>0</v>
      </c>
      <c r="BD103" s="49">
        <f t="shared" si="85"/>
        <v>1</v>
      </c>
      <c r="BE103" s="49">
        <f t="shared" si="86"/>
        <v>0</v>
      </c>
      <c r="BF103" s="49">
        <f t="shared" si="87"/>
        <v>0</v>
      </c>
      <c r="BG103" s="49">
        <f t="shared" si="88"/>
        <v>0</v>
      </c>
      <c r="BH103" s="49">
        <f t="shared" si="89"/>
        <v>1</v>
      </c>
      <c r="BI103" s="49">
        <f t="shared" si="90"/>
        <v>0</v>
      </c>
      <c r="BJ103" s="49">
        <f t="shared" si="91"/>
        <v>0</v>
      </c>
      <c r="BK103" s="49">
        <f t="shared" si="92"/>
        <v>0</v>
      </c>
      <c r="BL103" s="49">
        <f t="shared" si="93"/>
        <v>0</v>
      </c>
      <c r="BM103" s="49">
        <f t="shared" si="94"/>
        <v>1</v>
      </c>
      <c r="BN103" s="49">
        <f t="shared" si="95"/>
        <v>0</v>
      </c>
      <c r="BO103" s="49">
        <f t="shared" si="96"/>
        <v>0</v>
      </c>
      <c r="BP103" s="49">
        <f t="shared" si="97"/>
        <v>0</v>
      </c>
      <c r="BQ103" s="49">
        <f t="shared" si="98"/>
        <v>1</v>
      </c>
      <c r="BR103" s="49">
        <f t="shared" si="99"/>
        <v>0</v>
      </c>
      <c r="BS103" s="49">
        <f t="shared" si="100"/>
        <v>0</v>
      </c>
      <c r="BT103" s="49">
        <f t="shared" si="101"/>
        <v>1</v>
      </c>
      <c r="BU103" s="49">
        <f t="shared" si="102"/>
        <v>0</v>
      </c>
      <c r="BV103" s="49">
        <f t="shared" si="103"/>
        <v>0</v>
      </c>
      <c r="BW103" s="49">
        <f t="shared" si="104"/>
        <v>0</v>
      </c>
    </row>
    <row r="104" spans="1:75" ht="35.1" customHeight="1" x14ac:dyDescent="0.3">
      <c r="A104" s="123" t="str">
        <f t="shared" si="37"/>
        <v>1팀</v>
      </c>
      <c r="B104" s="69">
        <f t="shared" si="38"/>
        <v>98</v>
      </c>
      <c r="C104" s="121" t="str">
        <f>IF(VLOOKUP($B104,'1. 현장별 인원현황'!$C:$J,2,0)=0,"",VLOOKUP($B104,'1. 현장별 인원현황'!$C:$J,2,0))</f>
        <v xml:space="preserve"> [1.부영] 김천혁신 2-1블럭 부영아파트 신축공사</v>
      </c>
      <c r="D104" s="74" t="str">
        <f>IF(VLOOKUP($B104,'1. 현장별 인원현황'!$C:$J,3,0)=0,"",VLOOKUP($B104,'1. 현장별 인원현황'!$C:$J,3,0))</f>
        <v>김성규</v>
      </c>
      <c r="E104" s="74" t="str">
        <f ca="1">IF(VLOOKUP($B104,'1. 현장별 인원현황'!$C:$J,4,0)=0,"",VLOOKUP($B104,'1. 현장별 인원현황'!$C:$J,4,0))</f>
        <v>53세</v>
      </c>
      <c r="F104" s="70" t="str">
        <f>IF(VLOOKUP($B104,'1. 현장별 인원현황'!$C:$J,7,0)=0,"",VLOOKUP($B104,'1. 현장별 인원현황'!$C:$J,7,0))</f>
        <v>안전관리자</v>
      </c>
      <c r="G104" s="72" t="str">
        <f>IF(VLOOKUP($B104,'1. 현장별 인원현황'!$C:$J,8,0)=0,"",VLOOKUP($B104,'1. 현장별 인원현황'!$C:$J,8,0))</f>
        <v>과장</v>
      </c>
      <c r="H104" s="67" t="s">
        <v>69</v>
      </c>
      <c r="I104" s="73"/>
      <c r="J104" s="73"/>
      <c r="K104" s="68"/>
      <c r="L104" s="67"/>
      <c r="M104" s="73" t="s">
        <v>69</v>
      </c>
      <c r="N104" s="73"/>
      <c r="O104" s="68"/>
      <c r="P104" s="67" t="s">
        <v>69</v>
      </c>
      <c r="Q104" s="73"/>
      <c r="R104" s="73"/>
      <c r="S104" s="68"/>
      <c r="T104" s="67"/>
      <c r="U104" s="73" t="s">
        <v>69</v>
      </c>
      <c r="V104" s="73"/>
      <c r="W104" s="68"/>
      <c r="X104" s="67" t="s">
        <v>69</v>
      </c>
      <c r="Y104" s="73"/>
      <c r="Z104" s="73"/>
      <c r="AA104" s="68"/>
      <c r="AB104" s="67"/>
      <c r="AC104" s="73" t="s">
        <v>69</v>
      </c>
      <c r="AD104" s="73"/>
      <c r="AE104" s="68"/>
      <c r="AF104" s="67"/>
      <c r="AG104" s="73" t="s">
        <v>69</v>
      </c>
      <c r="AH104" s="73"/>
      <c r="AI104" s="68"/>
      <c r="AJ104" s="67" t="s">
        <v>69</v>
      </c>
      <c r="AK104" s="73"/>
      <c r="AL104" s="73"/>
      <c r="AM104" s="68"/>
      <c r="AN104" s="67">
        <f t="shared" si="39"/>
        <v>87</v>
      </c>
      <c r="AO104" s="68" t="str">
        <f t="shared" si="40"/>
        <v>S</v>
      </c>
      <c r="AR104" s="49">
        <f t="shared" si="73"/>
        <v>1</v>
      </c>
      <c r="AS104" s="49">
        <f t="shared" si="74"/>
        <v>0</v>
      </c>
      <c r="AT104" s="49">
        <f t="shared" si="75"/>
        <v>0</v>
      </c>
      <c r="AU104" s="49">
        <f t="shared" si="76"/>
        <v>0</v>
      </c>
      <c r="AV104" s="49">
        <f t="shared" si="77"/>
        <v>0</v>
      </c>
      <c r="AW104" s="49">
        <f t="shared" si="78"/>
        <v>1</v>
      </c>
      <c r="AX104" s="49">
        <f t="shared" si="79"/>
        <v>0</v>
      </c>
      <c r="AY104" s="49">
        <f t="shared" si="80"/>
        <v>0</v>
      </c>
      <c r="AZ104" s="49">
        <f t="shared" si="81"/>
        <v>1</v>
      </c>
      <c r="BA104" s="49">
        <f t="shared" si="82"/>
        <v>0</v>
      </c>
      <c r="BB104" s="49">
        <f t="shared" si="83"/>
        <v>0</v>
      </c>
      <c r="BC104" s="49">
        <f t="shared" si="84"/>
        <v>0</v>
      </c>
      <c r="BD104" s="49">
        <f t="shared" si="85"/>
        <v>0</v>
      </c>
      <c r="BE104" s="49">
        <f t="shared" si="86"/>
        <v>1</v>
      </c>
      <c r="BF104" s="49">
        <f t="shared" si="87"/>
        <v>0</v>
      </c>
      <c r="BG104" s="49">
        <f t="shared" si="88"/>
        <v>0</v>
      </c>
      <c r="BH104" s="49">
        <f t="shared" si="89"/>
        <v>1</v>
      </c>
      <c r="BI104" s="49">
        <f t="shared" si="90"/>
        <v>0</v>
      </c>
      <c r="BJ104" s="49">
        <f t="shared" si="91"/>
        <v>0</v>
      </c>
      <c r="BK104" s="49">
        <f t="shared" si="92"/>
        <v>0</v>
      </c>
      <c r="BL104" s="49">
        <f t="shared" si="93"/>
        <v>0</v>
      </c>
      <c r="BM104" s="49">
        <f t="shared" si="94"/>
        <v>1</v>
      </c>
      <c r="BN104" s="49">
        <f t="shared" si="95"/>
        <v>0</v>
      </c>
      <c r="BO104" s="49">
        <f t="shared" si="96"/>
        <v>0</v>
      </c>
      <c r="BP104" s="49">
        <f t="shared" si="97"/>
        <v>0</v>
      </c>
      <c r="BQ104" s="49">
        <f t="shared" si="98"/>
        <v>1</v>
      </c>
      <c r="BR104" s="49">
        <f t="shared" si="99"/>
        <v>0</v>
      </c>
      <c r="BS104" s="49">
        <f t="shared" si="100"/>
        <v>0</v>
      </c>
      <c r="BT104" s="49">
        <f t="shared" si="101"/>
        <v>1</v>
      </c>
      <c r="BU104" s="49">
        <f t="shared" si="102"/>
        <v>0</v>
      </c>
      <c r="BV104" s="49">
        <f t="shared" si="103"/>
        <v>0</v>
      </c>
      <c r="BW104" s="49">
        <f t="shared" si="104"/>
        <v>0</v>
      </c>
    </row>
    <row r="105" spans="1:75" ht="35.1" customHeight="1" x14ac:dyDescent="0.3">
      <c r="A105" s="123" t="str">
        <f t="shared" si="37"/>
        <v>1팀</v>
      </c>
      <c r="B105" s="69">
        <f t="shared" si="38"/>
        <v>99</v>
      </c>
      <c r="C105" s="121" t="str">
        <f>IF(VLOOKUP($B105,'1. 현장별 인원현황'!$C:$J,2,0)=0,"",VLOOKUP($B105,'1. 현장별 인원현황'!$C:$J,2,0))</f>
        <v xml:space="preserve"> [1.부영] 김천혁신 2-1블럭 부영아파트 신축공사</v>
      </c>
      <c r="D105" s="74" t="str">
        <f>IF(VLOOKUP($B105,'1. 현장별 인원현황'!$C:$J,3,0)=0,"",VLOOKUP($B105,'1. 현장별 인원현황'!$C:$J,3,0))</f>
        <v>김영수</v>
      </c>
      <c r="E105" s="74" t="str">
        <f ca="1">IF(VLOOKUP($B105,'1. 현장별 인원현황'!$C:$J,4,0)=0,"",VLOOKUP($B105,'1. 현장별 인원현황'!$C:$J,4,0))</f>
        <v>54세</v>
      </c>
      <c r="F105" s="70" t="str">
        <f>IF(VLOOKUP($B105,'1. 현장별 인원현황'!$C:$J,7,0)=0,"",VLOOKUP($B105,'1. 현장별 인원현황'!$C:$J,7,0))</f>
        <v>기능공</v>
      </c>
      <c r="G105" s="72" t="str">
        <f>IF(VLOOKUP($B105,'1. 현장별 인원현황'!$C:$J,8,0)=0,"",VLOOKUP($B105,'1. 현장별 인원현황'!$C:$J,8,0))</f>
        <v>전공</v>
      </c>
      <c r="H105" s="67" t="s">
        <v>69</v>
      </c>
      <c r="I105" s="73"/>
      <c r="J105" s="73"/>
      <c r="K105" s="68"/>
      <c r="L105" s="67"/>
      <c r="M105" s="73" t="s">
        <v>69</v>
      </c>
      <c r="N105" s="73"/>
      <c r="O105" s="68"/>
      <c r="P105" s="67" t="s">
        <v>69</v>
      </c>
      <c r="Q105" s="73"/>
      <c r="R105" s="73"/>
      <c r="S105" s="68"/>
      <c r="T105" s="67" t="s">
        <v>69</v>
      </c>
      <c r="U105" s="73"/>
      <c r="V105" s="73"/>
      <c r="W105" s="68"/>
      <c r="X105" s="67" t="s">
        <v>69</v>
      </c>
      <c r="Y105" s="73"/>
      <c r="Z105" s="73"/>
      <c r="AA105" s="68"/>
      <c r="AB105" s="67"/>
      <c r="AC105" s="73" t="s">
        <v>69</v>
      </c>
      <c r="AD105" s="73"/>
      <c r="AE105" s="68"/>
      <c r="AF105" s="67"/>
      <c r="AG105" s="73" t="s">
        <v>69</v>
      </c>
      <c r="AH105" s="73"/>
      <c r="AI105" s="68"/>
      <c r="AJ105" s="67" t="s">
        <v>69</v>
      </c>
      <c r="AK105" s="73"/>
      <c r="AL105" s="73"/>
      <c r="AM105" s="68"/>
      <c r="AN105" s="67">
        <f t="shared" si="39"/>
        <v>91</v>
      </c>
      <c r="AO105" s="68" t="str">
        <f t="shared" si="40"/>
        <v>S</v>
      </c>
      <c r="AR105" s="49">
        <f t="shared" si="73"/>
        <v>1</v>
      </c>
      <c r="AS105" s="49">
        <f t="shared" si="74"/>
        <v>0</v>
      </c>
      <c r="AT105" s="49">
        <f t="shared" si="75"/>
        <v>0</v>
      </c>
      <c r="AU105" s="49">
        <f t="shared" si="76"/>
        <v>0</v>
      </c>
      <c r="AV105" s="49">
        <f t="shared" si="77"/>
        <v>0</v>
      </c>
      <c r="AW105" s="49">
        <f t="shared" si="78"/>
        <v>1</v>
      </c>
      <c r="AX105" s="49">
        <f t="shared" si="79"/>
        <v>0</v>
      </c>
      <c r="AY105" s="49">
        <f t="shared" si="80"/>
        <v>0</v>
      </c>
      <c r="AZ105" s="49">
        <f t="shared" si="81"/>
        <v>1</v>
      </c>
      <c r="BA105" s="49">
        <f t="shared" si="82"/>
        <v>0</v>
      </c>
      <c r="BB105" s="49">
        <f t="shared" si="83"/>
        <v>0</v>
      </c>
      <c r="BC105" s="49">
        <f t="shared" si="84"/>
        <v>0</v>
      </c>
      <c r="BD105" s="49">
        <f t="shared" si="85"/>
        <v>1</v>
      </c>
      <c r="BE105" s="49">
        <f t="shared" si="86"/>
        <v>0</v>
      </c>
      <c r="BF105" s="49">
        <f t="shared" si="87"/>
        <v>0</v>
      </c>
      <c r="BG105" s="49">
        <f t="shared" si="88"/>
        <v>0</v>
      </c>
      <c r="BH105" s="49">
        <f t="shared" si="89"/>
        <v>1</v>
      </c>
      <c r="BI105" s="49">
        <f t="shared" si="90"/>
        <v>0</v>
      </c>
      <c r="BJ105" s="49">
        <f t="shared" si="91"/>
        <v>0</v>
      </c>
      <c r="BK105" s="49">
        <f t="shared" si="92"/>
        <v>0</v>
      </c>
      <c r="BL105" s="49">
        <f t="shared" si="93"/>
        <v>0</v>
      </c>
      <c r="BM105" s="49">
        <f t="shared" si="94"/>
        <v>1</v>
      </c>
      <c r="BN105" s="49">
        <f t="shared" si="95"/>
        <v>0</v>
      </c>
      <c r="BO105" s="49">
        <f t="shared" si="96"/>
        <v>0</v>
      </c>
      <c r="BP105" s="49">
        <f t="shared" si="97"/>
        <v>0</v>
      </c>
      <c r="BQ105" s="49">
        <f t="shared" si="98"/>
        <v>1</v>
      </c>
      <c r="BR105" s="49">
        <f t="shared" si="99"/>
        <v>0</v>
      </c>
      <c r="BS105" s="49">
        <f t="shared" si="100"/>
        <v>0</v>
      </c>
      <c r="BT105" s="49">
        <f t="shared" si="101"/>
        <v>1</v>
      </c>
      <c r="BU105" s="49">
        <f t="shared" si="102"/>
        <v>0</v>
      </c>
      <c r="BV105" s="49">
        <f t="shared" si="103"/>
        <v>0</v>
      </c>
      <c r="BW105" s="49">
        <f t="shared" si="104"/>
        <v>0</v>
      </c>
    </row>
    <row r="106" spans="1:75" ht="35.1" customHeight="1" x14ac:dyDescent="0.3">
      <c r="A106" s="123" t="str">
        <f t="shared" si="37"/>
        <v>1팀</v>
      </c>
      <c r="B106" s="69">
        <f t="shared" si="38"/>
        <v>100</v>
      </c>
      <c r="C106" s="121" t="str">
        <f>IF(VLOOKUP($B106,'1. 현장별 인원현황'!$C:$J,2,0)=0,"",VLOOKUP($B106,'1. 현장별 인원현황'!$C:$J,2,0))</f>
        <v xml:space="preserve"> [1.부영] 김천혁신 2-1블럭 부영아파트 신축공사</v>
      </c>
      <c r="D106" s="74" t="str">
        <f>IF(VLOOKUP($B106,'1. 현장별 인원현황'!$C:$J,3,0)=0,"",VLOOKUP($B106,'1. 현장별 인원현황'!$C:$J,3,0))</f>
        <v>김철영</v>
      </c>
      <c r="E106" s="74" t="str">
        <f ca="1">IF(VLOOKUP($B106,'1. 현장별 인원현황'!$C:$J,4,0)=0,"",VLOOKUP($B106,'1. 현장별 인원현황'!$C:$J,4,0))</f>
        <v>46세</v>
      </c>
      <c r="F106" s="70" t="str">
        <f>IF(VLOOKUP($B106,'1. 현장별 인원현황'!$C:$J,7,0)=0,"",VLOOKUP($B106,'1. 현장별 인원현황'!$C:$J,7,0))</f>
        <v>기능공</v>
      </c>
      <c r="G106" s="72" t="str">
        <f>IF(VLOOKUP($B106,'1. 현장별 인원현황'!$C:$J,8,0)=0,"",VLOOKUP($B106,'1. 현장별 인원현황'!$C:$J,8,0))</f>
        <v>전공</v>
      </c>
      <c r="H106" s="67" t="s">
        <v>69</v>
      </c>
      <c r="I106" s="73"/>
      <c r="J106" s="73"/>
      <c r="K106" s="68"/>
      <c r="L106" s="67"/>
      <c r="M106" s="73" t="s">
        <v>69</v>
      </c>
      <c r="N106" s="73"/>
      <c r="O106" s="68"/>
      <c r="P106" s="67" t="s">
        <v>69</v>
      </c>
      <c r="Q106" s="73"/>
      <c r="R106" s="73"/>
      <c r="S106" s="68"/>
      <c r="T106" s="67" t="s">
        <v>69</v>
      </c>
      <c r="U106" s="73"/>
      <c r="V106" s="73"/>
      <c r="W106" s="68"/>
      <c r="X106" s="67" t="s">
        <v>69</v>
      </c>
      <c r="Y106" s="73"/>
      <c r="Z106" s="73"/>
      <c r="AA106" s="68"/>
      <c r="AB106" s="67"/>
      <c r="AC106" s="73" t="s">
        <v>69</v>
      </c>
      <c r="AD106" s="73"/>
      <c r="AE106" s="68"/>
      <c r="AF106" s="67"/>
      <c r="AG106" s="73" t="s">
        <v>69</v>
      </c>
      <c r="AH106" s="73"/>
      <c r="AI106" s="68"/>
      <c r="AJ106" s="67" t="s">
        <v>69</v>
      </c>
      <c r="AK106" s="73"/>
      <c r="AL106" s="73"/>
      <c r="AM106" s="68"/>
      <c r="AN106" s="67">
        <f t="shared" si="39"/>
        <v>91</v>
      </c>
      <c r="AO106" s="68" t="str">
        <f t="shared" si="40"/>
        <v>S</v>
      </c>
      <c r="AR106" s="49">
        <f t="shared" si="73"/>
        <v>1</v>
      </c>
      <c r="AS106" s="49">
        <f t="shared" si="74"/>
        <v>0</v>
      </c>
      <c r="AT106" s="49">
        <f t="shared" si="75"/>
        <v>0</v>
      </c>
      <c r="AU106" s="49">
        <f t="shared" si="76"/>
        <v>0</v>
      </c>
      <c r="AV106" s="49">
        <f t="shared" si="77"/>
        <v>0</v>
      </c>
      <c r="AW106" s="49">
        <f t="shared" si="78"/>
        <v>1</v>
      </c>
      <c r="AX106" s="49">
        <f t="shared" si="79"/>
        <v>0</v>
      </c>
      <c r="AY106" s="49">
        <f t="shared" si="80"/>
        <v>0</v>
      </c>
      <c r="AZ106" s="49">
        <f t="shared" si="81"/>
        <v>1</v>
      </c>
      <c r="BA106" s="49">
        <f t="shared" si="82"/>
        <v>0</v>
      </c>
      <c r="BB106" s="49">
        <f t="shared" si="83"/>
        <v>0</v>
      </c>
      <c r="BC106" s="49">
        <f t="shared" si="84"/>
        <v>0</v>
      </c>
      <c r="BD106" s="49">
        <f t="shared" si="85"/>
        <v>1</v>
      </c>
      <c r="BE106" s="49">
        <f t="shared" si="86"/>
        <v>0</v>
      </c>
      <c r="BF106" s="49">
        <f t="shared" si="87"/>
        <v>0</v>
      </c>
      <c r="BG106" s="49">
        <f t="shared" si="88"/>
        <v>0</v>
      </c>
      <c r="BH106" s="49">
        <f t="shared" si="89"/>
        <v>1</v>
      </c>
      <c r="BI106" s="49">
        <f t="shared" si="90"/>
        <v>0</v>
      </c>
      <c r="BJ106" s="49">
        <f t="shared" si="91"/>
        <v>0</v>
      </c>
      <c r="BK106" s="49">
        <f t="shared" si="92"/>
        <v>0</v>
      </c>
      <c r="BL106" s="49">
        <f t="shared" si="93"/>
        <v>0</v>
      </c>
      <c r="BM106" s="49">
        <f t="shared" si="94"/>
        <v>1</v>
      </c>
      <c r="BN106" s="49">
        <f t="shared" si="95"/>
        <v>0</v>
      </c>
      <c r="BO106" s="49">
        <f t="shared" si="96"/>
        <v>0</v>
      </c>
      <c r="BP106" s="49">
        <f t="shared" si="97"/>
        <v>0</v>
      </c>
      <c r="BQ106" s="49">
        <f t="shared" si="98"/>
        <v>1</v>
      </c>
      <c r="BR106" s="49">
        <f t="shared" si="99"/>
        <v>0</v>
      </c>
      <c r="BS106" s="49">
        <f t="shared" si="100"/>
        <v>0</v>
      </c>
      <c r="BT106" s="49">
        <f t="shared" si="101"/>
        <v>1</v>
      </c>
      <c r="BU106" s="49">
        <f t="shared" si="102"/>
        <v>0</v>
      </c>
      <c r="BV106" s="49">
        <f t="shared" si="103"/>
        <v>0</v>
      </c>
      <c r="BW106" s="49">
        <f t="shared" si="104"/>
        <v>0</v>
      </c>
    </row>
    <row r="107" spans="1:75" ht="35.1" customHeight="1" x14ac:dyDescent="0.3">
      <c r="A107" s="123" t="str">
        <f t="shared" si="37"/>
        <v>1팀</v>
      </c>
      <c r="B107" s="69">
        <f t="shared" si="38"/>
        <v>101</v>
      </c>
      <c r="C107" s="121" t="str">
        <f>IF(VLOOKUP($B107,'1. 현장별 인원현황'!$C:$J,2,0)=0,"",VLOOKUP($B107,'1. 현장별 인원현황'!$C:$J,2,0))</f>
        <v xml:space="preserve"> [1.부영] 김천혁신 2-1블럭 부영아파트 신축공사</v>
      </c>
      <c r="D107" s="74" t="str">
        <f>IF(VLOOKUP($B107,'1. 현장별 인원현황'!$C:$J,3,0)=0,"",VLOOKUP($B107,'1. 현장별 인원현황'!$C:$J,3,0))</f>
        <v>김광호</v>
      </c>
      <c r="E107" s="74" t="str">
        <f ca="1">IF(VLOOKUP($B107,'1. 현장별 인원현황'!$C:$J,4,0)=0,"",VLOOKUP($B107,'1. 현장별 인원현황'!$C:$J,4,0))</f>
        <v>61세</v>
      </c>
      <c r="F107" s="70" t="str">
        <f>IF(VLOOKUP($B107,'1. 현장별 인원현황'!$C:$J,7,0)=0,"",VLOOKUP($B107,'1. 현장별 인원현황'!$C:$J,7,0))</f>
        <v>기능공</v>
      </c>
      <c r="G107" s="72" t="str">
        <f>IF(VLOOKUP($B107,'1. 현장별 인원현황'!$C:$J,8,0)=0,"",VLOOKUP($B107,'1. 현장별 인원현황'!$C:$J,8,0))</f>
        <v>전공</v>
      </c>
      <c r="H107" s="67" t="s">
        <v>69</v>
      </c>
      <c r="I107" s="73"/>
      <c r="J107" s="73"/>
      <c r="K107" s="68"/>
      <c r="L107" s="67"/>
      <c r="M107" s="73" t="s">
        <v>69</v>
      </c>
      <c r="N107" s="73"/>
      <c r="O107" s="68"/>
      <c r="P107" s="67" t="s">
        <v>69</v>
      </c>
      <c r="Q107" s="73"/>
      <c r="R107" s="73"/>
      <c r="S107" s="68"/>
      <c r="T107" s="67"/>
      <c r="U107" s="73" t="s">
        <v>69</v>
      </c>
      <c r="V107" s="73"/>
      <c r="W107" s="68"/>
      <c r="X107" s="67" t="s">
        <v>69</v>
      </c>
      <c r="Y107" s="73"/>
      <c r="Z107" s="73"/>
      <c r="AA107" s="68"/>
      <c r="AB107" s="67"/>
      <c r="AC107" s="73" t="s">
        <v>69</v>
      </c>
      <c r="AD107" s="73"/>
      <c r="AE107" s="68"/>
      <c r="AF107" s="67"/>
      <c r="AG107" s="73" t="s">
        <v>69</v>
      </c>
      <c r="AH107" s="73"/>
      <c r="AI107" s="68"/>
      <c r="AJ107" s="67"/>
      <c r="AK107" s="73" t="s">
        <v>69</v>
      </c>
      <c r="AL107" s="73"/>
      <c r="AM107" s="68"/>
      <c r="AN107" s="67">
        <f t="shared" si="39"/>
        <v>84</v>
      </c>
      <c r="AO107" s="68" t="str">
        <f t="shared" si="40"/>
        <v>A</v>
      </c>
      <c r="AR107" s="49">
        <f t="shared" si="73"/>
        <v>1</v>
      </c>
      <c r="AS107" s="49">
        <f t="shared" si="74"/>
        <v>0</v>
      </c>
      <c r="AT107" s="49">
        <f t="shared" si="75"/>
        <v>0</v>
      </c>
      <c r="AU107" s="49">
        <f t="shared" si="76"/>
        <v>0</v>
      </c>
      <c r="AV107" s="49">
        <f t="shared" si="77"/>
        <v>0</v>
      </c>
      <c r="AW107" s="49">
        <f t="shared" si="78"/>
        <v>1</v>
      </c>
      <c r="AX107" s="49">
        <f t="shared" si="79"/>
        <v>0</v>
      </c>
      <c r="AY107" s="49">
        <f t="shared" si="80"/>
        <v>0</v>
      </c>
      <c r="AZ107" s="49">
        <f t="shared" si="81"/>
        <v>1</v>
      </c>
      <c r="BA107" s="49">
        <f t="shared" si="82"/>
        <v>0</v>
      </c>
      <c r="BB107" s="49">
        <f t="shared" si="83"/>
        <v>0</v>
      </c>
      <c r="BC107" s="49">
        <f t="shared" si="84"/>
        <v>0</v>
      </c>
      <c r="BD107" s="49">
        <f t="shared" si="85"/>
        <v>0</v>
      </c>
      <c r="BE107" s="49">
        <f t="shared" si="86"/>
        <v>1</v>
      </c>
      <c r="BF107" s="49">
        <f t="shared" si="87"/>
        <v>0</v>
      </c>
      <c r="BG107" s="49">
        <f t="shared" si="88"/>
        <v>0</v>
      </c>
      <c r="BH107" s="49">
        <f t="shared" si="89"/>
        <v>1</v>
      </c>
      <c r="BI107" s="49">
        <f t="shared" si="90"/>
        <v>0</v>
      </c>
      <c r="BJ107" s="49">
        <f t="shared" si="91"/>
        <v>0</v>
      </c>
      <c r="BK107" s="49">
        <f t="shared" si="92"/>
        <v>0</v>
      </c>
      <c r="BL107" s="49">
        <f t="shared" si="93"/>
        <v>0</v>
      </c>
      <c r="BM107" s="49">
        <f t="shared" si="94"/>
        <v>1</v>
      </c>
      <c r="BN107" s="49">
        <f t="shared" si="95"/>
        <v>0</v>
      </c>
      <c r="BO107" s="49">
        <f t="shared" si="96"/>
        <v>0</v>
      </c>
      <c r="BP107" s="49">
        <f t="shared" si="97"/>
        <v>0</v>
      </c>
      <c r="BQ107" s="49">
        <f t="shared" si="98"/>
        <v>1</v>
      </c>
      <c r="BR107" s="49">
        <f t="shared" si="99"/>
        <v>0</v>
      </c>
      <c r="BS107" s="49">
        <f t="shared" si="100"/>
        <v>0</v>
      </c>
      <c r="BT107" s="49">
        <f t="shared" si="101"/>
        <v>0</v>
      </c>
      <c r="BU107" s="49">
        <f t="shared" si="102"/>
        <v>1</v>
      </c>
      <c r="BV107" s="49">
        <f t="shared" si="103"/>
        <v>0</v>
      </c>
      <c r="BW107" s="49">
        <f t="shared" si="104"/>
        <v>0</v>
      </c>
    </row>
    <row r="108" spans="1:75" ht="35.1" customHeight="1" x14ac:dyDescent="0.3">
      <c r="A108" s="123" t="str">
        <f t="shared" si="37"/>
        <v>1팀</v>
      </c>
      <c r="B108" s="69">
        <f t="shared" si="38"/>
        <v>102</v>
      </c>
      <c r="C108" s="121" t="str">
        <f>IF(VLOOKUP($B108,'1. 현장별 인원현황'!$C:$J,2,0)=0,"",VLOOKUP($B108,'1. 현장별 인원현황'!$C:$J,2,0))</f>
        <v xml:space="preserve"> [1.부영] 김천혁신 2-1블럭 부영아파트 신축공사</v>
      </c>
      <c r="D108" s="74" t="str">
        <f>IF(VLOOKUP($B108,'1. 현장별 인원현황'!$C:$J,3,0)=0,"",VLOOKUP($B108,'1. 현장별 인원현황'!$C:$J,3,0))</f>
        <v>김동준</v>
      </c>
      <c r="E108" s="74" t="str">
        <f ca="1">IF(VLOOKUP($B108,'1. 현장별 인원현황'!$C:$J,4,0)=0,"",VLOOKUP($B108,'1. 현장별 인원현황'!$C:$J,4,0))</f>
        <v>44세</v>
      </c>
      <c r="F108" s="70" t="str">
        <f>IF(VLOOKUP($B108,'1. 현장별 인원현황'!$C:$J,7,0)=0,"",VLOOKUP($B108,'1. 현장별 인원현황'!$C:$J,7,0))</f>
        <v>기능공</v>
      </c>
      <c r="G108" s="72" t="str">
        <f>IF(VLOOKUP($B108,'1. 현장별 인원현황'!$C:$J,8,0)=0,"",VLOOKUP($B108,'1. 현장별 인원현황'!$C:$J,8,0))</f>
        <v>전공</v>
      </c>
      <c r="H108" s="67" t="s">
        <v>69</v>
      </c>
      <c r="I108" s="73"/>
      <c r="J108" s="73"/>
      <c r="K108" s="68"/>
      <c r="L108" s="67"/>
      <c r="M108" s="73" t="s">
        <v>69</v>
      </c>
      <c r="N108" s="73"/>
      <c r="O108" s="68"/>
      <c r="P108" s="67" t="s">
        <v>69</v>
      </c>
      <c r="Q108" s="73"/>
      <c r="R108" s="73"/>
      <c r="S108" s="68"/>
      <c r="T108" s="67"/>
      <c r="U108" s="73" t="s">
        <v>69</v>
      </c>
      <c r="V108" s="73"/>
      <c r="W108" s="68"/>
      <c r="X108" s="67" t="s">
        <v>69</v>
      </c>
      <c r="Y108" s="73"/>
      <c r="Z108" s="73"/>
      <c r="AA108" s="68"/>
      <c r="AB108" s="67"/>
      <c r="AC108" s="73" t="s">
        <v>69</v>
      </c>
      <c r="AD108" s="73"/>
      <c r="AE108" s="68"/>
      <c r="AF108" s="67"/>
      <c r="AG108" s="73"/>
      <c r="AH108" s="73" t="s">
        <v>69</v>
      </c>
      <c r="AI108" s="68"/>
      <c r="AJ108" s="67"/>
      <c r="AK108" s="73" t="s">
        <v>69</v>
      </c>
      <c r="AL108" s="73"/>
      <c r="AM108" s="68"/>
      <c r="AN108" s="67">
        <f t="shared" si="39"/>
        <v>81</v>
      </c>
      <c r="AO108" s="68" t="str">
        <f t="shared" si="40"/>
        <v>A</v>
      </c>
      <c r="AR108" s="49">
        <f t="shared" si="73"/>
        <v>1</v>
      </c>
      <c r="AS108" s="49">
        <f t="shared" si="74"/>
        <v>0</v>
      </c>
      <c r="AT108" s="49">
        <f t="shared" si="75"/>
        <v>0</v>
      </c>
      <c r="AU108" s="49">
        <f t="shared" si="76"/>
        <v>0</v>
      </c>
      <c r="AV108" s="49">
        <f t="shared" si="77"/>
        <v>0</v>
      </c>
      <c r="AW108" s="49">
        <f t="shared" si="78"/>
        <v>1</v>
      </c>
      <c r="AX108" s="49">
        <f t="shared" si="79"/>
        <v>0</v>
      </c>
      <c r="AY108" s="49">
        <f t="shared" si="80"/>
        <v>0</v>
      </c>
      <c r="AZ108" s="49">
        <f t="shared" si="81"/>
        <v>1</v>
      </c>
      <c r="BA108" s="49">
        <f t="shared" si="82"/>
        <v>0</v>
      </c>
      <c r="BB108" s="49">
        <f t="shared" si="83"/>
        <v>0</v>
      </c>
      <c r="BC108" s="49">
        <f t="shared" si="84"/>
        <v>0</v>
      </c>
      <c r="BD108" s="49">
        <f t="shared" si="85"/>
        <v>0</v>
      </c>
      <c r="BE108" s="49">
        <f t="shared" si="86"/>
        <v>1</v>
      </c>
      <c r="BF108" s="49">
        <f t="shared" si="87"/>
        <v>0</v>
      </c>
      <c r="BG108" s="49">
        <f t="shared" si="88"/>
        <v>0</v>
      </c>
      <c r="BH108" s="49">
        <f t="shared" si="89"/>
        <v>1</v>
      </c>
      <c r="BI108" s="49">
        <f t="shared" si="90"/>
        <v>0</v>
      </c>
      <c r="BJ108" s="49">
        <f t="shared" si="91"/>
        <v>0</v>
      </c>
      <c r="BK108" s="49">
        <f t="shared" si="92"/>
        <v>0</v>
      </c>
      <c r="BL108" s="49">
        <f t="shared" si="93"/>
        <v>0</v>
      </c>
      <c r="BM108" s="49">
        <f t="shared" si="94"/>
        <v>1</v>
      </c>
      <c r="BN108" s="49">
        <f t="shared" si="95"/>
        <v>0</v>
      </c>
      <c r="BO108" s="49">
        <f t="shared" si="96"/>
        <v>0</v>
      </c>
      <c r="BP108" s="49">
        <f t="shared" si="97"/>
        <v>0</v>
      </c>
      <c r="BQ108" s="49">
        <f t="shared" si="98"/>
        <v>0</v>
      </c>
      <c r="BR108" s="49">
        <f t="shared" si="99"/>
        <v>1</v>
      </c>
      <c r="BS108" s="49">
        <f t="shared" si="100"/>
        <v>0</v>
      </c>
      <c r="BT108" s="49">
        <f t="shared" si="101"/>
        <v>0</v>
      </c>
      <c r="BU108" s="49">
        <f t="shared" si="102"/>
        <v>1</v>
      </c>
      <c r="BV108" s="49">
        <f t="shared" si="103"/>
        <v>0</v>
      </c>
      <c r="BW108" s="49">
        <f t="shared" si="104"/>
        <v>0</v>
      </c>
    </row>
    <row r="109" spans="1:75" ht="35.1" customHeight="1" x14ac:dyDescent="0.3">
      <c r="A109" s="123" t="str">
        <f t="shared" si="37"/>
        <v>1팀</v>
      </c>
      <c r="B109" s="69">
        <f t="shared" si="38"/>
        <v>103</v>
      </c>
      <c r="C109" s="121" t="str">
        <f>IF(VLOOKUP($B109,'1. 현장별 인원현황'!$C:$J,2,0)=0,"",VLOOKUP($B109,'1. 현장별 인원현황'!$C:$J,2,0))</f>
        <v xml:space="preserve"> [1.부영] 김천혁신 2-1블럭 부영아파트 신축공사</v>
      </c>
      <c r="D109" s="74" t="str">
        <f>IF(VLOOKUP($B109,'1. 현장별 인원현황'!$C:$J,3,0)=0,"",VLOOKUP($B109,'1. 현장별 인원현황'!$C:$J,3,0))</f>
        <v>박상욱</v>
      </c>
      <c r="E109" s="74" t="str">
        <f ca="1">IF(VLOOKUP($B109,'1. 현장별 인원현황'!$C:$J,4,0)=0,"",VLOOKUP($B109,'1. 현장별 인원현황'!$C:$J,4,0))</f>
        <v>36세</v>
      </c>
      <c r="F109" s="70" t="str">
        <f>IF(VLOOKUP($B109,'1. 현장별 인원현황'!$C:$J,7,0)=0,"",VLOOKUP($B109,'1. 현장별 인원현황'!$C:$J,7,0))</f>
        <v>기능공</v>
      </c>
      <c r="G109" s="72" t="str">
        <f>IF(VLOOKUP($B109,'1. 현장별 인원현황'!$C:$J,8,0)=0,"",VLOOKUP($B109,'1. 현장별 인원현황'!$C:$J,8,0))</f>
        <v>전공</v>
      </c>
      <c r="H109" s="67" t="s">
        <v>69</v>
      </c>
      <c r="I109" s="73"/>
      <c r="J109" s="73"/>
      <c r="K109" s="68"/>
      <c r="L109" s="67"/>
      <c r="M109" s="73" t="s">
        <v>69</v>
      </c>
      <c r="N109" s="73"/>
      <c r="O109" s="68"/>
      <c r="P109" s="67" t="s">
        <v>69</v>
      </c>
      <c r="Q109" s="73"/>
      <c r="R109" s="73"/>
      <c r="S109" s="68"/>
      <c r="T109" s="67"/>
      <c r="U109" s="73" t="s">
        <v>69</v>
      </c>
      <c r="V109" s="73"/>
      <c r="W109" s="68"/>
      <c r="X109" s="67" t="s">
        <v>69</v>
      </c>
      <c r="Y109" s="73"/>
      <c r="Z109" s="73"/>
      <c r="AA109" s="68"/>
      <c r="AB109" s="67"/>
      <c r="AC109" s="73" t="s">
        <v>69</v>
      </c>
      <c r="AD109" s="73"/>
      <c r="AE109" s="68"/>
      <c r="AF109" s="67"/>
      <c r="AG109" s="73"/>
      <c r="AH109" s="73" t="s">
        <v>69</v>
      </c>
      <c r="AI109" s="68"/>
      <c r="AJ109" s="67"/>
      <c r="AK109" s="73" t="s">
        <v>69</v>
      </c>
      <c r="AL109" s="73"/>
      <c r="AM109" s="68"/>
      <c r="AN109" s="67">
        <f t="shared" si="39"/>
        <v>81</v>
      </c>
      <c r="AO109" s="68" t="str">
        <f t="shared" si="40"/>
        <v>A</v>
      </c>
      <c r="AR109" s="49">
        <f t="shared" si="73"/>
        <v>1</v>
      </c>
      <c r="AS109" s="49">
        <f t="shared" si="74"/>
        <v>0</v>
      </c>
      <c r="AT109" s="49">
        <f t="shared" si="75"/>
        <v>0</v>
      </c>
      <c r="AU109" s="49">
        <f t="shared" si="76"/>
        <v>0</v>
      </c>
      <c r="AV109" s="49">
        <f t="shared" si="77"/>
        <v>0</v>
      </c>
      <c r="AW109" s="49">
        <f t="shared" si="78"/>
        <v>1</v>
      </c>
      <c r="AX109" s="49">
        <f t="shared" si="79"/>
        <v>0</v>
      </c>
      <c r="AY109" s="49">
        <f t="shared" si="80"/>
        <v>0</v>
      </c>
      <c r="AZ109" s="49">
        <f t="shared" si="81"/>
        <v>1</v>
      </c>
      <c r="BA109" s="49">
        <f t="shared" si="82"/>
        <v>0</v>
      </c>
      <c r="BB109" s="49">
        <f t="shared" si="83"/>
        <v>0</v>
      </c>
      <c r="BC109" s="49">
        <f t="shared" si="84"/>
        <v>0</v>
      </c>
      <c r="BD109" s="49">
        <f t="shared" si="85"/>
        <v>0</v>
      </c>
      <c r="BE109" s="49">
        <f t="shared" si="86"/>
        <v>1</v>
      </c>
      <c r="BF109" s="49">
        <f t="shared" si="87"/>
        <v>0</v>
      </c>
      <c r="BG109" s="49">
        <f t="shared" si="88"/>
        <v>0</v>
      </c>
      <c r="BH109" s="49">
        <f t="shared" si="89"/>
        <v>1</v>
      </c>
      <c r="BI109" s="49">
        <f t="shared" si="90"/>
        <v>0</v>
      </c>
      <c r="BJ109" s="49">
        <f t="shared" si="91"/>
        <v>0</v>
      </c>
      <c r="BK109" s="49">
        <f t="shared" si="92"/>
        <v>0</v>
      </c>
      <c r="BL109" s="49">
        <f t="shared" si="93"/>
        <v>0</v>
      </c>
      <c r="BM109" s="49">
        <f t="shared" si="94"/>
        <v>1</v>
      </c>
      <c r="BN109" s="49">
        <f t="shared" si="95"/>
        <v>0</v>
      </c>
      <c r="BO109" s="49">
        <f t="shared" si="96"/>
        <v>0</v>
      </c>
      <c r="BP109" s="49">
        <f t="shared" si="97"/>
        <v>0</v>
      </c>
      <c r="BQ109" s="49">
        <f t="shared" si="98"/>
        <v>0</v>
      </c>
      <c r="BR109" s="49">
        <f t="shared" si="99"/>
        <v>1</v>
      </c>
      <c r="BS109" s="49">
        <f t="shared" si="100"/>
        <v>0</v>
      </c>
      <c r="BT109" s="49">
        <f t="shared" si="101"/>
        <v>0</v>
      </c>
      <c r="BU109" s="49">
        <f t="shared" si="102"/>
        <v>1</v>
      </c>
      <c r="BV109" s="49">
        <f t="shared" si="103"/>
        <v>0</v>
      </c>
      <c r="BW109" s="49">
        <f t="shared" si="104"/>
        <v>0</v>
      </c>
    </row>
    <row r="110" spans="1:75" ht="35.1" customHeight="1" x14ac:dyDescent="0.3">
      <c r="A110" s="123" t="str">
        <f t="shared" si="37"/>
        <v>1팀</v>
      </c>
      <c r="B110" s="69">
        <f t="shared" si="38"/>
        <v>104</v>
      </c>
      <c r="C110" s="121" t="str">
        <f>IF(VLOOKUP($B110,'1. 현장별 인원현황'!$C:$J,2,0)=0,"",VLOOKUP($B110,'1. 현장별 인원현황'!$C:$J,2,0))</f>
        <v xml:space="preserve"> [1.우미건설] 오산세교1차 우미린 아파트 전기공사(2공구)</v>
      </c>
      <c r="D110" s="74" t="str">
        <f>IF(VLOOKUP($B110,'1. 현장별 인원현황'!$C:$J,3,0)=0,"",VLOOKUP($B110,'1. 현장별 인원현황'!$C:$J,3,0))</f>
        <v>유영석</v>
      </c>
      <c r="E110" s="74" t="str">
        <f ca="1">IF(VLOOKUP($B110,'1. 현장별 인원현황'!$C:$J,4,0)=0,"",VLOOKUP($B110,'1. 현장별 인원현황'!$C:$J,4,0))</f>
        <v>26세</v>
      </c>
      <c r="F110" s="70" t="str">
        <f>IF(VLOOKUP($B110,'1. 현장별 인원현황'!$C:$J,7,0)=0,"",VLOOKUP($B110,'1. 현장별 인원현황'!$C:$J,7,0))</f>
        <v>공무</v>
      </c>
      <c r="G110" s="72" t="str">
        <f>IF(VLOOKUP($B110,'1. 현장별 인원현황'!$C:$J,8,0)=0,"",VLOOKUP($B110,'1. 현장별 인원현황'!$C:$J,8,0))</f>
        <v>기사</v>
      </c>
      <c r="H110" s="67" t="s">
        <v>69</v>
      </c>
      <c r="I110" s="73"/>
      <c r="J110" s="73"/>
      <c r="K110" s="68"/>
      <c r="L110" s="67" t="s">
        <v>69</v>
      </c>
      <c r="M110" s="73"/>
      <c r="N110" s="73"/>
      <c r="O110" s="68"/>
      <c r="P110" s="67" t="s">
        <v>69</v>
      </c>
      <c r="Q110" s="73"/>
      <c r="R110" s="73"/>
      <c r="S110" s="68"/>
      <c r="T110" s="67"/>
      <c r="U110" s="73" t="s">
        <v>69</v>
      </c>
      <c r="V110" s="73"/>
      <c r="W110" s="68"/>
      <c r="X110" s="67" t="s">
        <v>69</v>
      </c>
      <c r="Y110" s="73"/>
      <c r="Z110" s="73"/>
      <c r="AA110" s="68"/>
      <c r="AB110" s="67" t="s">
        <v>69</v>
      </c>
      <c r="AC110" s="73"/>
      <c r="AD110" s="73"/>
      <c r="AE110" s="68"/>
      <c r="AF110" s="67"/>
      <c r="AG110" s="73" t="s">
        <v>69</v>
      </c>
      <c r="AH110" s="73"/>
      <c r="AI110" s="68"/>
      <c r="AJ110" s="67" t="s">
        <v>69</v>
      </c>
      <c r="AK110" s="73"/>
      <c r="AL110" s="73"/>
      <c r="AM110" s="68"/>
      <c r="AN110" s="67">
        <f t="shared" si="39"/>
        <v>93</v>
      </c>
      <c r="AO110" s="68" t="str">
        <f t="shared" si="40"/>
        <v>S</v>
      </c>
      <c r="AR110" s="49">
        <f t="shared" si="73"/>
        <v>1</v>
      </c>
      <c r="AS110" s="49">
        <f t="shared" si="74"/>
        <v>0</v>
      </c>
      <c r="AT110" s="49">
        <f t="shared" si="75"/>
        <v>0</v>
      </c>
      <c r="AU110" s="49">
        <f t="shared" si="76"/>
        <v>0</v>
      </c>
      <c r="AV110" s="49">
        <f t="shared" si="77"/>
        <v>1</v>
      </c>
      <c r="AW110" s="49">
        <f t="shared" si="78"/>
        <v>0</v>
      </c>
      <c r="AX110" s="49">
        <f t="shared" si="79"/>
        <v>0</v>
      </c>
      <c r="AY110" s="49">
        <f t="shared" si="80"/>
        <v>0</v>
      </c>
      <c r="AZ110" s="49">
        <f t="shared" si="81"/>
        <v>1</v>
      </c>
      <c r="BA110" s="49">
        <f t="shared" si="82"/>
        <v>0</v>
      </c>
      <c r="BB110" s="49">
        <f t="shared" si="83"/>
        <v>0</v>
      </c>
      <c r="BC110" s="49">
        <f t="shared" si="84"/>
        <v>0</v>
      </c>
      <c r="BD110" s="49">
        <f t="shared" si="85"/>
        <v>0</v>
      </c>
      <c r="BE110" s="49">
        <f t="shared" si="86"/>
        <v>1</v>
      </c>
      <c r="BF110" s="49">
        <f t="shared" si="87"/>
        <v>0</v>
      </c>
      <c r="BG110" s="49">
        <f t="shared" si="88"/>
        <v>0</v>
      </c>
      <c r="BH110" s="49">
        <f t="shared" si="89"/>
        <v>1</v>
      </c>
      <c r="BI110" s="49">
        <f t="shared" si="90"/>
        <v>0</v>
      </c>
      <c r="BJ110" s="49">
        <f t="shared" si="91"/>
        <v>0</v>
      </c>
      <c r="BK110" s="49">
        <f t="shared" si="92"/>
        <v>0</v>
      </c>
      <c r="BL110" s="49">
        <f t="shared" si="93"/>
        <v>1</v>
      </c>
      <c r="BM110" s="49">
        <f t="shared" si="94"/>
        <v>0</v>
      </c>
      <c r="BN110" s="49">
        <f t="shared" si="95"/>
        <v>0</v>
      </c>
      <c r="BO110" s="49">
        <f t="shared" si="96"/>
        <v>0</v>
      </c>
      <c r="BP110" s="49">
        <f t="shared" si="97"/>
        <v>0</v>
      </c>
      <c r="BQ110" s="49">
        <f t="shared" si="98"/>
        <v>1</v>
      </c>
      <c r="BR110" s="49">
        <f t="shared" si="99"/>
        <v>0</v>
      </c>
      <c r="BS110" s="49">
        <f t="shared" si="100"/>
        <v>0</v>
      </c>
      <c r="BT110" s="49">
        <f t="shared" si="101"/>
        <v>1</v>
      </c>
      <c r="BU110" s="49">
        <f t="shared" si="102"/>
        <v>0</v>
      </c>
      <c r="BV110" s="49">
        <f t="shared" si="103"/>
        <v>0</v>
      </c>
      <c r="BW110" s="49">
        <f t="shared" si="104"/>
        <v>0</v>
      </c>
    </row>
    <row r="111" spans="1:75" ht="35.1" customHeight="1" x14ac:dyDescent="0.3">
      <c r="A111" s="123" t="str">
        <f t="shared" si="37"/>
        <v>1팀</v>
      </c>
      <c r="B111" s="69">
        <f t="shared" si="38"/>
        <v>105</v>
      </c>
      <c r="C111" s="121" t="str">
        <f>IF(VLOOKUP($B111,'1. 현장별 인원현황'!$C:$J,2,0)=0,"",VLOOKUP($B111,'1. 현장별 인원현황'!$C:$J,2,0))</f>
        <v xml:space="preserve"> [1.우미건설] 오산세교1차 우미린 아파트 전기공사(2공구)</v>
      </c>
      <c r="D111" s="74" t="str">
        <f>IF(VLOOKUP($B111,'1. 현장별 인원현황'!$C:$J,3,0)=0,"",VLOOKUP($B111,'1. 현장별 인원현황'!$C:$J,3,0))</f>
        <v>송헌</v>
      </c>
      <c r="E111" s="74" t="str">
        <f ca="1">IF(VLOOKUP($B111,'1. 현장별 인원현황'!$C:$J,4,0)=0,"",VLOOKUP($B111,'1. 현장별 인원현황'!$C:$J,4,0))</f>
        <v>64세</v>
      </c>
      <c r="F111" s="70" t="str">
        <f>IF(VLOOKUP($B111,'1. 현장별 인원현황'!$C:$J,7,0)=0,"",VLOOKUP($B111,'1. 현장별 인원현황'!$C:$J,7,0))</f>
        <v>공사</v>
      </c>
      <c r="G111" s="72" t="str">
        <f>IF(VLOOKUP($B111,'1. 현장별 인원현황'!$C:$J,8,0)=0,"",VLOOKUP($B111,'1. 현장별 인원현황'!$C:$J,8,0))</f>
        <v>과장</v>
      </c>
      <c r="H111" s="67" t="s">
        <v>69</v>
      </c>
      <c r="I111" s="73"/>
      <c r="J111" s="73"/>
      <c r="K111" s="68"/>
      <c r="L111" s="67"/>
      <c r="M111" s="73" t="s">
        <v>69</v>
      </c>
      <c r="N111" s="73"/>
      <c r="O111" s="68"/>
      <c r="P111" s="67" t="s">
        <v>69</v>
      </c>
      <c r="Q111" s="73"/>
      <c r="R111" s="73"/>
      <c r="S111" s="68"/>
      <c r="T111" s="67"/>
      <c r="U111" s="73" t="s">
        <v>69</v>
      </c>
      <c r="V111" s="73"/>
      <c r="W111" s="68"/>
      <c r="X111" s="67" t="s">
        <v>69</v>
      </c>
      <c r="Y111" s="73"/>
      <c r="Z111" s="73"/>
      <c r="AA111" s="68"/>
      <c r="AB111" s="67" t="s">
        <v>69</v>
      </c>
      <c r="AC111" s="73"/>
      <c r="AD111" s="73"/>
      <c r="AE111" s="68"/>
      <c r="AF111" s="67"/>
      <c r="AG111" s="73" t="s">
        <v>69</v>
      </c>
      <c r="AH111" s="73"/>
      <c r="AI111" s="68"/>
      <c r="AJ111" s="67" t="s">
        <v>69</v>
      </c>
      <c r="AK111" s="73"/>
      <c r="AL111" s="73"/>
      <c r="AM111" s="68"/>
      <c r="AN111" s="67">
        <f t="shared" si="39"/>
        <v>89</v>
      </c>
      <c r="AO111" s="68" t="str">
        <f t="shared" si="40"/>
        <v>S</v>
      </c>
      <c r="AR111" s="49">
        <f t="shared" si="73"/>
        <v>1</v>
      </c>
      <c r="AS111" s="49">
        <f t="shared" si="74"/>
        <v>0</v>
      </c>
      <c r="AT111" s="49">
        <f t="shared" si="75"/>
        <v>0</v>
      </c>
      <c r="AU111" s="49">
        <f t="shared" si="76"/>
        <v>0</v>
      </c>
      <c r="AV111" s="49">
        <f t="shared" si="77"/>
        <v>0</v>
      </c>
      <c r="AW111" s="49">
        <f t="shared" si="78"/>
        <v>1</v>
      </c>
      <c r="AX111" s="49">
        <f t="shared" si="79"/>
        <v>0</v>
      </c>
      <c r="AY111" s="49">
        <f t="shared" si="80"/>
        <v>0</v>
      </c>
      <c r="AZ111" s="49">
        <f t="shared" si="81"/>
        <v>1</v>
      </c>
      <c r="BA111" s="49">
        <f t="shared" si="82"/>
        <v>0</v>
      </c>
      <c r="BB111" s="49">
        <f t="shared" si="83"/>
        <v>0</v>
      </c>
      <c r="BC111" s="49">
        <f t="shared" si="84"/>
        <v>0</v>
      </c>
      <c r="BD111" s="49">
        <f t="shared" si="85"/>
        <v>0</v>
      </c>
      <c r="BE111" s="49">
        <f t="shared" si="86"/>
        <v>1</v>
      </c>
      <c r="BF111" s="49">
        <f t="shared" si="87"/>
        <v>0</v>
      </c>
      <c r="BG111" s="49">
        <f t="shared" si="88"/>
        <v>0</v>
      </c>
      <c r="BH111" s="49">
        <f t="shared" si="89"/>
        <v>1</v>
      </c>
      <c r="BI111" s="49">
        <f t="shared" si="90"/>
        <v>0</v>
      </c>
      <c r="BJ111" s="49">
        <f t="shared" si="91"/>
        <v>0</v>
      </c>
      <c r="BK111" s="49">
        <f t="shared" si="92"/>
        <v>0</v>
      </c>
      <c r="BL111" s="49">
        <f t="shared" si="93"/>
        <v>1</v>
      </c>
      <c r="BM111" s="49">
        <f t="shared" si="94"/>
        <v>0</v>
      </c>
      <c r="BN111" s="49">
        <f t="shared" si="95"/>
        <v>0</v>
      </c>
      <c r="BO111" s="49">
        <f t="shared" si="96"/>
        <v>0</v>
      </c>
      <c r="BP111" s="49">
        <f t="shared" si="97"/>
        <v>0</v>
      </c>
      <c r="BQ111" s="49">
        <f t="shared" si="98"/>
        <v>1</v>
      </c>
      <c r="BR111" s="49">
        <f t="shared" si="99"/>
        <v>0</v>
      </c>
      <c r="BS111" s="49">
        <f t="shared" si="100"/>
        <v>0</v>
      </c>
      <c r="BT111" s="49">
        <f t="shared" si="101"/>
        <v>1</v>
      </c>
      <c r="BU111" s="49">
        <f t="shared" si="102"/>
        <v>0</v>
      </c>
      <c r="BV111" s="49">
        <f t="shared" si="103"/>
        <v>0</v>
      </c>
      <c r="BW111" s="49">
        <f t="shared" si="104"/>
        <v>0</v>
      </c>
    </row>
    <row r="112" spans="1:75" ht="35.1" customHeight="1" x14ac:dyDescent="0.3">
      <c r="A112" s="123" t="str">
        <f t="shared" si="37"/>
        <v>1팀</v>
      </c>
      <c r="B112" s="69">
        <f t="shared" si="38"/>
        <v>106</v>
      </c>
      <c r="C112" s="121" t="str">
        <f>IF(VLOOKUP($B112,'1. 현장별 인원현황'!$C:$J,2,0)=0,"",VLOOKUP($B112,'1. 현장별 인원현황'!$C:$J,2,0))</f>
        <v xml:space="preserve"> [1.우미건설] 오산세교1차 우미린 아파트 전기공사(2공구)</v>
      </c>
      <c r="D112" s="74" t="str">
        <f>IF(VLOOKUP($B112,'1. 현장별 인원현황'!$C:$J,3,0)=0,"",VLOOKUP($B112,'1. 현장별 인원현황'!$C:$J,3,0))</f>
        <v>한광철</v>
      </c>
      <c r="E112" s="74" t="str">
        <f ca="1">IF(VLOOKUP($B112,'1. 현장별 인원현황'!$C:$J,4,0)=0,"",VLOOKUP($B112,'1. 현장별 인원현황'!$C:$J,4,0))</f>
        <v>63세</v>
      </c>
      <c r="F112" s="70" t="str">
        <f>IF(VLOOKUP($B112,'1. 현장별 인원현황'!$C:$J,7,0)=0,"",VLOOKUP($B112,'1. 현장별 인원현황'!$C:$J,7,0))</f>
        <v>기능공</v>
      </c>
      <c r="G112" s="72" t="str">
        <f>IF(VLOOKUP($B112,'1. 현장별 인원현황'!$C:$J,8,0)=0,"",VLOOKUP($B112,'1. 현장별 인원현황'!$C:$J,8,0))</f>
        <v>전공</v>
      </c>
      <c r="H112" s="67" t="s">
        <v>69</v>
      </c>
      <c r="I112" s="73"/>
      <c r="J112" s="73"/>
      <c r="K112" s="68"/>
      <c r="L112" s="67"/>
      <c r="M112" s="73" t="s">
        <v>69</v>
      </c>
      <c r="N112" s="73"/>
      <c r="O112" s="68"/>
      <c r="P112" s="67" t="s">
        <v>69</v>
      </c>
      <c r="Q112" s="73"/>
      <c r="R112" s="73"/>
      <c r="S112" s="68"/>
      <c r="T112" s="67"/>
      <c r="U112" s="73" t="s">
        <v>69</v>
      </c>
      <c r="V112" s="73"/>
      <c r="W112" s="68"/>
      <c r="X112" s="67" t="s">
        <v>69</v>
      </c>
      <c r="Y112" s="73"/>
      <c r="Z112" s="73"/>
      <c r="AA112" s="68"/>
      <c r="AB112" s="67" t="s">
        <v>69</v>
      </c>
      <c r="AC112" s="73"/>
      <c r="AD112" s="73"/>
      <c r="AE112" s="68"/>
      <c r="AF112" s="67"/>
      <c r="AG112" s="73" t="s">
        <v>69</v>
      </c>
      <c r="AH112" s="73"/>
      <c r="AI112" s="68"/>
      <c r="AJ112" s="67" t="s">
        <v>69</v>
      </c>
      <c r="AK112" s="73"/>
      <c r="AL112" s="73"/>
      <c r="AM112" s="68"/>
      <c r="AN112" s="67">
        <f t="shared" si="39"/>
        <v>89</v>
      </c>
      <c r="AO112" s="68" t="str">
        <f t="shared" si="40"/>
        <v>S</v>
      </c>
      <c r="AR112" s="49">
        <f t="shared" si="73"/>
        <v>1</v>
      </c>
      <c r="AS112" s="49">
        <f t="shared" si="74"/>
        <v>0</v>
      </c>
      <c r="AT112" s="49">
        <f t="shared" si="75"/>
        <v>0</v>
      </c>
      <c r="AU112" s="49">
        <f t="shared" si="76"/>
        <v>0</v>
      </c>
      <c r="AV112" s="49">
        <f t="shared" si="77"/>
        <v>0</v>
      </c>
      <c r="AW112" s="49">
        <f t="shared" si="78"/>
        <v>1</v>
      </c>
      <c r="AX112" s="49">
        <f t="shared" si="79"/>
        <v>0</v>
      </c>
      <c r="AY112" s="49">
        <f t="shared" si="80"/>
        <v>0</v>
      </c>
      <c r="AZ112" s="49">
        <f t="shared" si="81"/>
        <v>1</v>
      </c>
      <c r="BA112" s="49">
        <f t="shared" si="82"/>
        <v>0</v>
      </c>
      <c r="BB112" s="49">
        <f t="shared" si="83"/>
        <v>0</v>
      </c>
      <c r="BC112" s="49">
        <f t="shared" si="84"/>
        <v>0</v>
      </c>
      <c r="BD112" s="49">
        <f t="shared" si="85"/>
        <v>0</v>
      </c>
      <c r="BE112" s="49">
        <f t="shared" si="86"/>
        <v>1</v>
      </c>
      <c r="BF112" s="49">
        <f t="shared" si="87"/>
        <v>0</v>
      </c>
      <c r="BG112" s="49">
        <f t="shared" si="88"/>
        <v>0</v>
      </c>
      <c r="BH112" s="49">
        <f t="shared" si="89"/>
        <v>1</v>
      </c>
      <c r="BI112" s="49">
        <f t="shared" si="90"/>
        <v>0</v>
      </c>
      <c r="BJ112" s="49">
        <f t="shared" si="91"/>
        <v>0</v>
      </c>
      <c r="BK112" s="49">
        <f t="shared" si="92"/>
        <v>0</v>
      </c>
      <c r="BL112" s="49">
        <f t="shared" si="93"/>
        <v>1</v>
      </c>
      <c r="BM112" s="49">
        <f t="shared" si="94"/>
        <v>0</v>
      </c>
      <c r="BN112" s="49">
        <f t="shared" si="95"/>
        <v>0</v>
      </c>
      <c r="BO112" s="49">
        <f t="shared" si="96"/>
        <v>0</v>
      </c>
      <c r="BP112" s="49">
        <f t="shared" si="97"/>
        <v>0</v>
      </c>
      <c r="BQ112" s="49">
        <f t="shared" si="98"/>
        <v>1</v>
      </c>
      <c r="BR112" s="49">
        <f t="shared" si="99"/>
        <v>0</v>
      </c>
      <c r="BS112" s="49">
        <f t="shared" si="100"/>
        <v>0</v>
      </c>
      <c r="BT112" s="49">
        <f t="shared" si="101"/>
        <v>1</v>
      </c>
      <c r="BU112" s="49">
        <f t="shared" si="102"/>
        <v>0</v>
      </c>
      <c r="BV112" s="49">
        <f t="shared" si="103"/>
        <v>0</v>
      </c>
      <c r="BW112" s="49">
        <f t="shared" si="104"/>
        <v>0</v>
      </c>
    </row>
    <row r="113" spans="1:75" ht="35.1" customHeight="1" x14ac:dyDescent="0.3">
      <c r="A113" s="123" t="str">
        <f t="shared" si="37"/>
        <v>1팀</v>
      </c>
      <c r="B113" s="69">
        <f t="shared" si="38"/>
        <v>107</v>
      </c>
      <c r="C113" s="121" t="str">
        <f>IF(VLOOKUP($B113,'1. 현장별 인원현황'!$C:$J,2,0)=0,"",VLOOKUP($B113,'1. 현장별 인원현황'!$C:$J,2,0))</f>
        <v xml:space="preserve"> [1.중흥건설] 인천 검단지구 공동주택용지 AB20-2BL 중흥S-클래스 공동주택 신축공사</v>
      </c>
      <c r="D113" s="74" t="str">
        <f>IF(VLOOKUP($B113,'1. 현장별 인원현황'!$C:$J,3,0)=0,"",VLOOKUP($B113,'1. 현장별 인원현황'!$C:$J,3,0))</f>
        <v>장명훈</v>
      </c>
      <c r="E113" s="74" t="str">
        <f ca="1">IF(VLOOKUP($B113,'1. 현장별 인원현황'!$C:$J,4,0)=0,"",VLOOKUP($B113,'1. 현장별 인원현황'!$C:$J,4,0))</f>
        <v>43세</v>
      </c>
      <c r="F113" s="70" t="str">
        <f>IF(VLOOKUP($B113,'1. 현장별 인원현황'!$C:$J,7,0)=0,"",VLOOKUP($B113,'1. 현장별 인원현황'!$C:$J,7,0))</f>
        <v>공무</v>
      </c>
      <c r="G113" s="72" t="str">
        <f>IF(VLOOKUP($B113,'1. 현장별 인원현황'!$C:$J,8,0)=0,"",VLOOKUP($B113,'1. 현장별 인원현황'!$C:$J,8,0))</f>
        <v>과장</v>
      </c>
      <c r="H113" s="67" t="s">
        <v>69</v>
      </c>
      <c r="I113" s="73"/>
      <c r="J113" s="73"/>
      <c r="K113" s="68"/>
      <c r="L113" s="67"/>
      <c r="M113" s="73" t="s">
        <v>69</v>
      </c>
      <c r="N113" s="73"/>
      <c r="O113" s="68"/>
      <c r="P113" s="67" t="s">
        <v>69</v>
      </c>
      <c r="Q113" s="73"/>
      <c r="R113" s="73"/>
      <c r="S113" s="68"/>
      <c r="T113" s="67"/>
      <c r="U113" s="73" t="s">
        <v>69</v>
      </c>
      <c r="V113" s="73"/>
      <c r="W113" s="68"/>
      <c r="X113" s="67" t="s">
        <v>69</v>
      </c>
      <c r="Y113" s="73"/>
      <c r="Z113" s="73"/>
      <c r="AA113" s="68"/>
      <c r="AB113" s="67" t="s">
        <v>69</v>
      </c>
      <c r="AC113" s="73"/>
      <c r="AD113" s="73"/>
      <c r="AE113" s="68"/>
      <c r="AF113" s="67"/>
      <c r="AG113" s="73" t="s">
        <v>69</v>
      </c>
      <c r="AH113" s="73"/>
      <c r="AI113" s="68"/>
      <c r="AJ113" s="67"/>
      <c r="AK113" s="73" t="s">
        <v>69</v>
      </c>
      <c r="AL113" s="73"/>
      <c r="AM113" s="68"/>
      <c r="AN113" s="67">
        <f t="shared" si="39"/>
        <v>86</v>
      </c>
      <c r="AO113" s="68" t="str">
        <f t="shared" si="40"/>
        <v>S</v>
      </c>
      <c r="AR113" s="49">
        <f t="shared" si="73"/>
        <v>1</v>
      </c>
      <c r="AS113" s="49">
        <f t="shared" si="74"/>
        <v>0</v>
      </c>
      <c r="AT113" s="49">
        <f t="shared" si="75"/>
        <v>0</v>
      </c>
      <c r="AU113" s="49">
        <f t="shared" si="76"/>
        <v>0</v>
      </c>
      <c r="AV113" s="49">
        <f t="shared" si="77"/>
        <v>0</v>
      </c>
      <c r="AW113" s="49">
        <f t="shared" si="78"/>
        <v>1</v>
      </c>
      <c r="AX113" s="49">
        <f t="shared" si="79"/>
        <v>0</v>
      </c>
      <c r="AY113" s="49">
        <f t="shared" si="80"/>
        <v>0</v>
      </c>
      <c r="AZ113" s="49">
        <f t="shared" si="81"/>
        <v>1</v>
      </c>
      <c r="BA113" s="49">
        <f t="shared" si="82"/>
        <v>0</v>
      </c>
      <c r="BB113" s="49">
        <f t="shared" si="83"/>
        <v>0</v>
      </c>
      <c r="BC113" s="49">
        <f t="shared" si="84"/>
        <v>0</v>
      </c>
      <c r="BD113" s="49">
        <f t="shared" si="85"/>
        <v>0</v>
      </c>
      <c r="BE113" s="49">
        <f t="shared" si="86"/>
        <v>1</v>
      </c>
      <c r="BF113" s="49">
        <f t="shared" si="87"/>
        <v>0</v>
      </c>
      <c r="BG113" s="49">
        <f t="shared" si="88"/>
        <v>0</v>
      </c>
      <c r="BH113" s="49">
        <f t="shared" si="89"/>
        <v>1</v>
      </c>
      <c r="BI113" s="49">
        <f t="shared" si="90"/>
        <v>0</v>
      </c>
      <c r="BJ113" s="49">
        <f t="shared" si="91"/>
        <v>0</v>
      </c>
      <c r="BK113" s="49">
        <f t="shared" si="92"/>
        <v>0</v>
      </c>
      <c r="BL113" s="49">
        <f t="shared" si="93"/>
        <v>1</v>
      </c>
      <c r="BM113" s="49">
        <f t="shared" si="94"/>
        <v>0</v>
      </c>
      <c r="BN113" s="49">
        <f t="shared" si="95"/>
        <v>0</v>
      </c>
      <c r="BO113" s="49">
        <f t="shared" si="96"/>
        <v>0</v>
      </c>
      <c r="BP113" s="49">
        <f t="shared" si="97"/>
        <v>0</v>
      </c>
      <c r="BQ113" s="49">
        <f t="shared" si="98"/>
        <v>1</v>
      </c>
      <c r="BR113" s="49">
        <f t="shared" si="99"/>
        <v>0</v>
      </c>
      <c r="BS113" s="49">
        <f t="shared" si="100"/>
        <v>0</v>
      </c>
      <c r="BT113" s="49">
        <f t="shared" si="101"/>
        <v>0</v>
      </c>
      <c r="BU113" s="49">
        <f t="shared" si="102"/>
        <v>1</v>
      </c>
      <c r="BV113" s="49">
        <f t="shared" si="103"/>
        <v>0</v>
      </c>
      <c r="BW113" s="49">
        <f t="shared" si="104"/>
        <v>0</v>
      </c>
    </row>
    <row r="114" spans="1:75" ht="35.1" customHeight="1" x14ac:dyDescent="0.3">
      <c r="A114" s="123" t="str">
        <f t="shared" si="37"/>
        <v>1팀</v>
      </c>
      <c r="B114" s="69">
        <f t="shared" si="38"/>
        <v>108</v>
      </c>
      <c r="C114" s="121" t="str">
        <f>IF(VLOOKUP($B114,'1. 현장별 인원현황'!$C:$J,2,0)=0,"",VLOOKUP($B114,'1. 현장별 인원현황'!$C:$J,2,0))</f>
        <v xml:space="preserve"> [1.중흥건설] 인천 검단지구 공동주택용지 AB20-2BL 중흥S-클래스 공동주택 신축공사</v>
      </c>
      <c r="D114" s="74" t="str">
        <f>IF(VLOOKUP($B114,'1. 현장별 인원현황'!$C:$J,3,0)=0,"",VLOOKUP($B114,'1. 현장별 인원현황'!$C:$J,3,0))</f>
        <v>이유진</v>
      </c>
      <c r="E114" s="74" t="str">
        <f ca="1">IF(VLOOKUP($B114,'1. 현장별 인원현황'!$C:$J,4,0)=0,"",VLOOKUP($B114,'1. 현장별 인원현황'!$C:$J,4,0))</f>
        <v>37세</v>
      </c>
      <c r="F114" s="70" t="str">
        <f>IF(VLOOKUP($B114,'1. 현장별 인원현황'!$C:$J,7,0)=0,"",VLOOKUP($B114,'1. 현장별 인원현황'!$C:$J,7,0))</f>
        <v>공무</v>
      </c>
      <c r="G114" s="72" t="str">
        <f>IF(VLOOKUP($B114,'1. 현장별 인원현황'!$C:$J,8,0)=0,"",VLOOKUP($B114,'1. 현장별 인원현황'!$C:$J,8,0))</f>
        <v>대리</v>
      </c>
      <c r="H114" s="67" t="s">
        <v>69</v>
      </c>
      <c r="I114" s="73"/>
      <c r="J114" s="73"/>
      <c r="K114" s="68"/>
      <c r="L114" s="67"/>
      <c r="M114" s="73" t="s">
        <v>69</v>
      </c>
      <c r="N114" s="73"/>
      <c r="O114" s="68"/>
      <c r="P114" s="67" t="s">
        <v>69</v>
      </c>
      <c r="Q114" s="73"/>
      <c r="R114" s="73"/>
      <c r="S114" s="68"/>
      <c r="T114" s="67"/>
      <c r="U114" s="73" t="s">
        <v>69</v>
      </c>
      <c r="V114" s="73"/>
      <c r="W114" s="68"/>
      <c r="X114" s="67" t="s">
        <v>69</v>
      </c>
      <c r="Y114" s="73"/>
      <c r="Z114" s="73"/>
      <c r="AA114" s="68"/>
      <c r="AB114" s="67" t="s">
        <v>69</v>
      </c>
      <c r="AC114" s="73"/>
      <c r="AD114" s="73"/>
      <c r="AE114" s="68"/>
      <c r="AF114" s="67"/>
      <c r="AG114" s="73" t="s">
        <v>69</v>
      </c>
      <c r="AH114" s="73"/>
      <c r="AI114" s="68"/>
      <c r="AJ114" s="67"/>
      <c r="AK114" s="73" t="s">
        <v>69</v>
      </c>
      <c r="AL114" s="73"/>
      <c r="AM114" s="68"/>
      <c r="AN114" s="67">
        <f t="shared" si="39"/>
        <v>86</v>
      </c>
      <c r="AO114" s="68" t="str">
        <f t="shared" si="40"/>
        <v>S</v>
      </c>
      <c r="AR114" s="49">
        <f t="shared" si="73"/>
        <v>1</v>
      </c>
      <c r="AS114" s="49">
        <f t="shared" si="74"/>
        <v>0</v>
      </c>
      <c r="AT114" s="49">
        <f t="shared" si="75"/>
        <v>0</v>
      </c>
      <c r="AU114" s="49">
        <f t="shared" si="76"/>
        <v>0</v>
      </c>
      <c r="AV114" s="49">
        <f t="shared" si="77"/>
        <v>0</v>
      </c>
      <c r="AW114" s="49">
        <f t="shared" si="78"/>
        <v>1</v>
      </c>
      <c r="AX114" s="49">
        <f t="shared" si="79"/>
        <v>0</v>
      </c>
      <c r="AY114" s="49">
        <f t="shared" si="80"/>
        <v>0</v>
      </c>
      <c r="AZ114" s="49">
        <f t="shared" si="81"/>
        <v>1</v>
      </c>
      <c r="BA114" s="49">
        <f t="shared" si="82"/>
        <v>0</v>
      </c>
      <c r="BB114" s="49">
        <f t="shared" si="83"/>
        <v>0</v>
      </c>
      <c r="BC114" s="49">
        <f t="shared" si="84"/>
        <v>0</v>
      </c>
      <c r="BD114" s="49">
        <f t="shared" si="85"/>
        <v>0</v>
      </c>
      <c r="BE114" s="49">
        <f t="shared" si="86"/>
        <v>1</v>
      </c>
      <c r="BF114" s="49">
        <f t="shared" si="87"/>
        <v>0</v>
      </c>
      <c r="BG114" s="49">
        <f t="shared" si="88"/>
        <v>0</v>
      </c>
      <c r="BH114" s="49">
        <f t="shared" si="89"/>
        <v>1</v>
      </c>
      <c r="BI114" s="49">
        <f t="shared" si="90"/>
        <v>0</v>
      </c>
      <c r="BJ114" s="49">
        <f t="shared" si="91"/>
        <v>0</v>
      </c>
      <c r="BK114" s="49">
        <f t="shared" si="92"/>
        <v>0</v>
      </c>
      <c r="BL114" s="49">
        <f t="shared" si="93"/>
        <v>1</v>
      </c>
      <c r="BM114" s="49">
        <f t="shared" si="94"/>
        <v>0</v>
      </c>
      <c r="BN114" s="49">
        <f t="shared" si="95"/>
        <v>0</v>
      </c>
      <c r="BO114" s="49">
        <f t="shared" si="96"/>
        <v>0</v>
      </c>
      <c r="BP114" s="49">
        <f t="shared" si="97"/>
        <v>0</v>
      </c>
      <c r="BQ114" s="49">
        <f t="shared" si="98"/>
        <v>1</v>
      </c>
      <c r="BR114" s="49">
        <f t="shared" si="99"/>
        <v>0</v>
      </c>
      <c r="BS114" s="49">
        <f t="shared" si="100"/>
        <v>0</v>
      </c>
      <c r="BT114" s="49">
        <f t="shared" si="101"/>
        <v>0</v>
      </c>
      <c r="BU114" s="49">
        <f t="shared" si="102"/>
        <v>1</v>
      </c>
      <c r="BV114" s="49">
        <f t="shared" si="103"/>
        <v>0</v>
      </c>
      <c r="BW114" s="49">
        <f t="shared" si="104"/>
        <v>0</v>
      </c>
    </row>
    <row r="115" spans="1:75" ht="35.1" customHeight="1" x14ac:dyDescent="0.3">
      <c r="A115" s="123" t="str">
        <f t="shared" si="37"/>
        <v>1팀</v>
      </c>
      <c r="B115" s="69">
        <f t="shared" si="38"/>
        <v>109</v>
      </c>
      <c r="C115" s="121" t="str">
        <f>IF(VLOOKUP($B115,'1. 현장별 인원현황'!$C:$J,2,0)=0,"",VLOOKUP($B115,'1. 현장별 인원현황'!$C:$J,2,0))</f>
        <v xml:space="preserve"> [1.중흥건설] 인천 검단지구 공동주택용지 AB20-2BL 중흥S-클래스 공동주택 신축공사</v>
      </c>
      <c r="D115" s="74" t="str">
        <f>IF(VLOOKUP($B115,'1. 현장별 인원현황'!$C:$J,3,0)=0,"",VLOOKUP($B115,'1. 현장별 인원현황'!$C:$J,3,0))</f>
        <v>김창훈</v>
      </c>
      <c r="E115" s="74" t="str">
        <f ca="1">IF(VLOOKUP($B115,'1. 현장별 인원현황'!$C:$J,4,0)=0,"",VLOOKUP($B115,'1. 현장별 인원현황'!$C:$J,4,0))</f>
        <v>44세</v>
      </c>
      <c r="F115" s="70" t="str">
        <f>IF(VLOOKUP($B115,'1. 현장별 인원현황'!$C:$J,7,0)=0,"",VLOOKUP($B115,'1. 현장별 인원현황'!$C:$J,7,0))</f>
        <v>공사</v>
      </c>
      <c r="G115" s="72" t="str">
        <f>IF(VLOOKUP($B115,'1. 현장별 인원현황'!$C:$J,8,0)=0,"",VLOOKUP($B115,'1. 현장별 인원현황'!$C:$J,8,0))</f>
        <v>과장</v>
      </c>
      <c r="H115" s="67" t="s">
        <v>69</v>
      </c>
      <c r="I115" s="73"/>
      <c r="J115" s="73"/>
      <c r="K115" s="68"/>
      <c r="L115" s="67"/>
      <c r="M115" s="73" t="s">
        <v>69</v>
      </c>
      <c r="N115" s="73"/>
      <c r="O115" s="68"/>
      <c r="P115" s="67" t="s">
        <v>69</v>
      </c>
      <c r="Q115" s="73"/>
      <c r="R115" s="73"/>
      <c r="S115" s="68"/>
      <c r="T115" s="67"/>
      <c r="U115" s="73" t="s">
        <v>69</v>
      </c>
      <c r="V115" s="73"/>
      <c r="W115" s="68"/>
      <c r="X115" s="67" t="s">
        <v>69</v>
      </c>
      <c r="Y115" s="73"/>
      <c r="Z115" s="73"/>
      <c r="AA115" s="68"/>
      <c r="AB115" s="67"/>
      <c r="AC115" s="73" t="s">
        <v>69</v>
      </c>
      <c r="AD115" s="73"/>
      <c r="AE115" s="68"/>
      <c r="AF115" s="67"/>
      <c r="AG115" s="73" t="s">
        <v>69</v>
      </c>
      <c r="AH115" s="73"/>
      <c r="AI115" s="68"/>
      <c r="AJ115" s="67"/>
      <c r="AK115" s="73" t="s">
        <v>69</v>
      </c>
      <c r="AL115" s="73"/>
      <c r="AM115" s="68"/>
      <c r="AN115" s="67">
        <f t="shared" si="39"/>
        <v>84</v>
      </c>
      <c r="AO115" s="68" t="str">
        <f t="shared" si="40"/>
        <v>A</v>
      </c>
      <c r="AR115" s="49">
        <f t="shared" si="73"/>
        <v>1</v>
      </c>
      <c r="AS115" s="49">
        <f t="shared" si="74"/>
        <v>0</v>
      </c>
      <c r="AT115" s="49">
        <f t="shared" si="75"/>
        <v>0</v>
      </c>
      <c r="AU115" s="49">
        <f t="shared" si="76"/>
        <v>0</v>
      </c>
      <c r="AV115" s="49">
        <f t="shared" si="77"/>
        <v>0</v>
      </c>
      <c r="AW115" s="49">
        <f t="shared" si="78"/>
        <v>1</v>
      </c>
      <c r="AX115" s="49">
        <f t="shared" si="79"/>
        <v>0</v>
      </c>
      <c r="AY115" s="49">
        <f t="shared" si="80"/>
        <v>0</v>
      </c>
      <c r="AZ115" s="49">
        <f t="shared" si="81"/>
        <v>1</v>
      </c>
      <c r="BA115" s="49">
        <f t="shared" si="82"/>
        <v>0</v>
      </c>
      <c r="BB115" s="49">
        <f t="shared" si="83"/>
        <v>0</v>
      </c>
      <c r="BC115" s="49">
        <f t="shared" si="84"/>
        <v>0</v>
      </c>
      <c r="BD115" s="49">
        <f t="shared" si="85"/>
        <v>0</v>
      </c>
      <c r="BE115" s="49">
        <f t="shared" si="86"/>
        <v>1</v>
      </c>
      <c r="BF115" s="49">
        <f t="shared" si="87"/>
        <v>0</v>
      </c>
      <c r="BG115" s="49">
        <f t="shared" si="88"/>
        <v>0</v>
      </c>
      <c r="BH115" s="49">
        <f t="shared" si="89"/>
        <v>1</v>
      </c>
      <c r="BI115" s="49">
        <f t="shared" si="90"/>
        <v>0</v>
      </c>
      <c r="BJ115" s="49">
        <f t="shared" si="91"/>
        <v>0</v>
      </c>
      <c r="BK115" s="49">
        <f t="shared" si="92"/>
        <v>0</v>
      </c>
      <c r="BL115" s="49">
        <f t="shared" si="93"/>
        <v>0</v>
      </c>
      <c r="BM115" s="49">
        <f t="shared" si="94"/>
        <v>1</v>
      </c>
      <c r="BN115" s="49">
        <f t="shared" si="95"/>
        <v>0</v>
      </c>
      <c r="BO115" s="49">
        <f t="shared" si="96"/>
        <v>0</v>
      </c>
      <c r="BP115" s="49">
        <f t="shared" si="97"/>
        <v>0</v>
      </c>
      <c r="BQ115" s="49">
        <f t="shared" si="98"/>
        <v>1</v>
      </c>
      <c r="BR115" s="49">
        <f t="shared" si="99"/>
        <v>0</v>
      </c>
      <c r="BS115" s="49">
        <f t="shared" si="100"/>
        <v>0</v>
      </c>
      <c r="BT115" s="49">
        <f t="shared" si="101"/>
        <v>0</v>
      </c>
      <c r="BU115" s="49">
        <f t="shared" si="102"/>
        <v>1</v>
      </c>
      <c r="BV115" s="49">
        <f t="shared" si="103"/>
        <v>0</v>
      </c>
      <c r="BW115" s="49">
        <f t="shared" si="104"/>
        <v>0</v>
      </c>
    </row>
    <row r="116" spans="1:75" ht="35.1" customHeight="1" x14ac:dyDescent="0.3">
      <c r="A116" s="123" t="str">
        <f t="shared" si="37"/>
        <v>1팀</v>
      </c>
      <c r="B116" s="69">
        <f t="shared" si="38"/>
        <v>110</v>
      </c>
      <c r="C116" s="121" t="str">
        <f>IF(VLOOKUP($B116,'1. 현장별 인원현황'!$C:$J,2,0)=0,"",VLOOKUP($B116,'1. 현장별 인원현황'!$C:$J,2,0))</f>
        <v xml:space="preserve"> [1.중흥건설] 인천 검단지구 공동주택용지 AB20-2BL 중흥S-클래스 공동주택 신축공사</v>
      </c>
      <c r="D116" s="74" t="str">
        <f>IF(VLOOKUP($B116,'1. 현장별 인원현황'!$C:$J,3,0)=0,"",VLOOKUP($B116,'1. 현장별 인원현황'!$C:$J,3,0))</f>
        <v>임대복</v>
      </c>
      <c r="E116" s="74" t="str">
        <f ca="1">IF(VLOOKUP($B116,'1. 현장별 인원현황'!$C:$J,4,0)=0,"",VLOOKUP($B116,'1. 현장별 인원현황'!$C:$J,4,0))</f>
        <v>43세</v>
      </c>
      <c r="F116" s="70" t="str">
        <f>IF(VLOOKUP($B116,'1. 현장별 인원현황'!$C:$J,7,0)=0,"",VLOOKUP($B116,'1. 현장별 인원현황'!$C:$J,7,0))</f>
        <v>기능공</v>
      </c>
      <c r="G116" s="72" t="str">
        <f>IF(VLOOKUP($B116,'1. 현장별 인원현황'!$C:$J,8,0)=0,"",VLOOKUP($B116,'1. 현장별 인원현황'!$C:$J,8,0))</f>
        <v>전공</v>
      </c>
      <c r="H116" s="67"/>
      <c r="I116" s="73" t="s">
        <v>69</v>
      </c>
      <c r="J116" s="73"/>
      <c r="K116" s="68"/>
      <c r="L116" s="67"/>
      <c r="M116" s="73" t="s">
        <v>69</v>
      </c>
      <c r="N116" s="73"/>
      <c r="O116" s="68"/>
      <c r="P116" s="67" t="s">
        <v>69</v>
      </c>
      <c r="Q116" s="73"/>
      <c r="R116" s="73"/>
      <c r="S116" s="68"/>
      <c r="T116" s="67"/>
      <c r="U116" s="73" t="s">
        <v>69</v>
      </c>
      <c r="V116" s="73"/>
      <c r="W116" s="68"/>
      <c r="X116" s="67"/>
      <c r="Y116" s="73" t="s">
        <v>69</v>
      </c>
      <c r="Z116" s="73"/>
      <c r="AA116" s="68"/>
      <c r="AB116" s="67"/>
      <c r="AC116" s="73" t="s">
        <v>69</v>
      </c>
      <c r="AD116" s="73"/>
      <c r="AE116" s="68"/>
      <c r="AF116" s="67"/>
      <c r="AG116" s="73"/>
      <c r="AH116" s="73" t="s">
        <v>69</v>
      </c>
      <c r="AI116" s="68"/>
      <c r="AJ116" s="67"/>
      <c r="AK116" s="73" t="s">
        <v>69</v>
      </c>
      <c r="AL116" s="73"/>
      <c r="AM116" s="68"/>
      <c r="AN116" s="67">
        <f t="shared" si="39"/>
        <v>73</v>
      </c>
      <c r="AO116" s="68" t="str">
        <f t="shared" si="40"/>
        <v>A</v>
      </c>
      <c r="AR116" s="49">
        <f t="shared" si="41"/>
        <v>0</v>
      </c>
      <c r="AS116" s="49">
        <f t="shared" si="42"/>
        <v>1</v>
      </c>
      <c r="AT116" s="49">
        <f t="shared" si="43"/>
        <v>0</v>
      </c>
      <c r="AU116" s="49">
        <f t="shared" si="44"/>
        <v>0</v>
      </c>
      <c r="AV116" s="49">
        <f t="shared" si="45"/>
        <v>0</v>
      </c>
      <c r="AW116" s="49">
        <f t="shared" si="46"/>
        <v>1</v>
      </c>
      <c r="AX116" s="49">
        <f t="shared" si="47"/>
        <v>0</v>
      </c>
      <c r="AY116" s="49">
        <f t="shared" si="48"/>
        <v>0</v>
      </c>
      <c r="AZ116" s="49">
        <f t="shared" si="49"/>
        <v>1</v>
      </c>
      <c r="BA116" s="49">
        <f t="shared" si="50"/>
        <v>0</v>
      </c>
      <c r="BB116" s="49">
        <f t="shared" si="51"/>
        <v>0</v>
      </c>
      <c r="BC116" s="49">
        <f t="shared" si="52"/>
        <v>0</v>
      </c>
      <c r="BD116" s="49">
        <f t="shared" si="53"/>
        <v>0</v>
      </c>
      <c r="BE116" s="49">
        <f t="shared" si="54"/>
        <v>1</v>
      </c>
      <c r="BF116" s="49">
        <f t="shared" si="55"/>
        <v>0</v>
      </c>
      <c r="BG116" s="49">
        <f t="shared" si="56"/>
        <v>0</v>
      </c>
      <c r="BH116" s="49">
        <f t="shared" si="57"/>
        <v>0</v>
      </c>
      <c r="BI116" s="49">
        <f t="shared" si="58"/>
        <v>1</v>
      </c>
      <c r="BJ116" s="49">
        <f t="shared" si="59"/>
        <v>0</v>
      </c>
      <c r="BK116" s="49">
        <f t="shared" si="60"/>
        <v>0</v>
      </c>
      <c r="BL116" s="49">
        <f t="shared" si="61"/>
        <v>0</v>
      </c>
      <c r="BM116" s="49">
        <f t="shared" si="62"/>
        <v>1</v>
      </c>
      <c r="BN116" s="49">
        <f t="shared" si="63"/>
        <v>0</v>
      </c>
      <c r="BO116" s="49">
        <f t="shared" si="64"/>
        <v>0</v>
      </c>
      <c r="BP116" s="49">
        <f t="shared" si="65"/>
        <v>0</v>
      </c>
      <c r="BQ116" s="49">
        <f t="shared" si="66"/>
        <v>0</v>
      </c>
      <c r="BR116" s="49">
        <f t="shared" si="67"/>
        <v>1</v>
      </c>
      <c r="BS116" s="49">
        <f t="shared" si="68"/>
        <v>0</v>
      </c>
      <c r="BT116" s="49">
        <f t="shared" si="69"/>
        <v>0</v>
      </c>
      <c r="BU116" s="49">
        <f t="shared" si="70"/>
        <v>1</v>
      </c>
      <c r="BV116" s="49">
        <f t="shared" si="71"/>
        <v>0</v>
      </c>
      <c r="BW116" s="49">
        <f t="shared" si="72"/>
        <v>0</v>
      </c>
    </row>
    <row r="117" spans="1:75" ht="35.1" customHeight="1" x14ac:dyDescent="0.3">
      <c r="A117" s="123" t="str">
        <f t="shared" si="37"/>
        <v>1팀</v>
      </c>
      <c r="B117" s="69">
        <f t="shared" si="38"/>
        <v>111</v>
      </c>
      <c r="C117" s="121" t="str">
        <f>IF(VLOOKUP($B117,'1. 현장별 인원현황'!$C:$J,2,0)=0,"",VLOOKUP($B117,'1. 현장별 인원현황'!$C:$J,2,0))</f>
        <v xml:space="preserve"> [1.중흥건설] 인천 검단지구 공동주택용지 AB20-2BL 중흥S-클래스 공동주택 신축공사</v>
      </c>
      <c r="D117" s="74" t="str">
        <f>IF(VLOOKUP($B117,'1. 현장별 인원현황'!$C:$J,3,0)=0,"",VLOOKUP($B117,'1. 현장별 인원현황'!$C:$J,3,0))</f>
        <v>오원호</v>
      </c>
      <c r="E117" s="74" t="str">
        <f ca="1">IF(VLOOKUP($B117,'1. 현장별 인원현황'!$C:$J,4,0)=0,"",VLOOKUP($B117,'1. 현장별 인원현황'!$C:$J,4,0))</f>
        <v>32세</v>
      </c>
      <c r="F117" s="70" t="str">
        <f>IF(VLOOKUP($B117,'1. 현장별 인원현황'!$C:$J,7,0)=0,"",VLOOKUP($B117,'1. 현장별 인원현황'!$C:$J,7,0))</f>
        <v>기능공</v>
      </c>
      <c r="G117" s="72" t="str">
        <f>IF(VLOOKUP($B117,'1. 현장별 인원현황'!$C:$J,8,0)=0,"",VLOOKUP($B117,'1. 현장별 인원현황'!$C:$J,8,0))</f>
        <v>전공</v>
      </c>
      <c r="H117" s="67" t="s">
        <v>69</v>
      </c>
      <c r="I117" s="73"/>
      <c r="J117" s="73"/>
      <c r="K117" s="68"/>
      <c r="L117" s="67"/>
      <c r="M117" s="73" t="s">
        <v>69</v>
      </c>
      <c r="N117" s="73"/>
      <c r="O117" s="68"/>
      <c r="P117" s="67" t="s">
        <v>69</v>
      </c>
      <c r="Q117" s="73"/>
      <c r="R117" s="73"/>
      <c r="S117" s="68"/>
      <c r="T117" s="67"/>
      <c r="U117" s="73" t="s">
        <v>69</v>
      </c>
      <c r="V117" s="73"/>
      <c r="W117" s="68"/>
      <c r="X117" s="67" t="s">
        <v>69</v>
      </c>
      <c r="Y117" s="73"/>
      <c r="Z117" s="73"/>
      <c r="AA117" s="68"/>
      <c r="AB117" s="67" t="s">
        <v>69</v>
      </c>
      <c r="AC117" s="73"/>
      <c r="AD117" s="73"/>
      <c r="AE117" s="68"/>
      <c r="AF117" s="67"/>
      <c r="AG117" s="73" t="s">
        <v>69</v>
      </c>
      <c r="AH117" s="73"/>
      <c r="AI117" s="68"/>
      <c r="AJ117" s="67"/>
      <c r="AK117" s="73" t="s">
        <v>69</v>
      </c>
      <c r="AL117" s="73"/>
      <c r="AM117" s="68"/>
      <c r="AN117" s="67">
        <f t="shared" si="39"/>
        <v>86</v>
      </c>
      <c r="AO117" s="68" t="str">
        <f t="shared" si="40"/>
        <v>S</v>
      </c>
      <c r="AR117" s="49">
        <f t="shared" si="41"/>
        <v>1</v>
      </c>
      <c r="AS117" s="49">
        <f t="shared" si="42"/>
        <v>0</v>
      </c>
      <c r="AT117" s="49">
        <f t="shared" si="43"/>
        <v>0</v>
      </c>
      <c r="AU117" s="49">
        <f t="shared" si="44"/>
        <v>0</v>
      </c>
      <c r="AV117" s="49">
        <f t="shared" si="45"/>
        <v>0</v>
      </c>
      <c r="AW117" s="49">
        <f t="shared" si="46"/>
        <v>1</v>
      </c>
      <c r="AX117" s="49">
        <f t="shared" si="47"/>
        <v>0</v>
      </c>
      <c r="AY117" s="49">
        <f t="shared" si="48"/>
        <v>0</v>
      </c>
      <c r="AZ117" s="49">
        <f t="shared" si="49"/>
        <v>1</v>
      </c>
      <c r="BA117" s="49">
        <f t="shared" si="50"/>
        <v>0</v>
      </c>
      <c r="BB117" s="49">
        <f t="shared" si="51"/>
        <v>0</v>
      </c>
      <c r="BC117" s="49">
        <f t="shared" si="52"/>
        <v>0</v>
      </c>
      <c r="BD117" s="49">
        <f t="shared" si="53"/>
        <v>0</v>
      </c>
      <c r="BE117" s="49">
        <f t="shared" si="54"/>
        <v>1</v>
      </c>
      <c r="BF117" s="49">
        <f t="shared" si="55"/>
        <v>0</v>
      </c>
      <c r="BG117" s="49">
        <f t="shared" si="56"/>
        <v>0</v>
      </c>
      <c r="BH117" s="49">
        <f t="shared" si="57"/>
        <v>1</v>
      </c>
      <c r="BI117" s="49">
        <f t="shared" si="58"/>
        <v>0</v>
      </c>
      <c r="BJ117" s="49">
        <f t="shared" si="59"/>
        <v>0</v>
      </c>
      <c r="BK117" s="49">
        <f t="shared" si="60"/>
        <v>0</v>
      </c>
      <c r="BL117" s="49">
        <f t="shared" si="61"/>
        <v>1</v>
      </c>
      <c r="BM117" s="49">
        <f t="shared" si="62"/>
        <v>0</v>
      </c>
      <c r="BN117" s="49">
        <f t="shared" si="63"/>
        <v>0</v>
      </c>
      <c r="BO117" s="49">
        <f t="shared" si="64"/>
        <v>0</v>
      </c>
      <c r="BP117" s="49">
        <f t="shared" si="65"/>
        <v>0</v>
      </c>
      <c r="BQ117" s="49">
        <f t="shared" si="66"/>
        <v>1</v>
      </c>
      <c r="BR117" s="49">
        <f t="shared" si="67"/>
        <v>0</v>
      </c>
      <c r="BS117" s="49">
        <f t="shared" si="68"/>
        <v>0</v>
      </c>
      <c r="BT117" s="49">
        <f t="shared" si="69"/>
        <v>0</v>
      </c>
      <c r="BU117" s="49">
        <f t="shared" si="70"/>
        <v>1</v>
      </c>
      <c r="BV117" s="49">
        <f t="shared" si="71"/>
        <v>0</v>
      </c>
      <c r="BW117" s="49">
        <f t="shared" si="72"/>
        <v>0</v>
      </c>
    </row>
    <row r="118" spans="1:75" ht="35.1" customHeight="1" x14ac:dyDescent="0.3">
      <c r="A118" s="123" t="str">
        <f t="shared" si="37"/>
        <v>1팀</v>
      </c>
      <c r="B118" s="69">
        <f t="shared" si="38"/>
        <v>112</v>
      </c>
      <c r="C118" s="121" t="str">
        <f>IF(VLOOKUP($B118,'1. 현장별 인원현황'!$C:$J,2,0)=0,"",VLOOKUP($B118,'1. 현장별 인원현황'!$C:$J,2,0))</f>
        <v xml:space="preserve"> [1.중흥건설] 인천 검단지구 공동주택용지 AB20-2BL 중흥S-클래스 공동주택 신축공사</v>
      </c>
      <c r="D118" s="74" t="str">
        <f>IF(VLOOKUP($B118,'1. 현장별 인원현황'!$C:$J,3,0)=0,"",VLOOKUP($B118,'1. 현장별 인원현황'!$C:$J,3,0))</f>
        <v>최윤호</v>
      </c>
      <c r="E118" s="74" t="str">
        <f ca="1">IF(VLOOKUP($B118,'1. 현장별 인원현황'!$C:$J,4,0)=0,"",VLOOKUP($B118,'1. 현장별 인원현황'!$C:$J,4,0))</f>
        <v>25세</v>
      </c>
      <c r="F118" s="70" t="str">
        <f>IF(VLOOKUP($B118,'1. 현장별 인원현황'!$C:$J,7,0)=0,"",VLOOKUP($B118,'1. 현장별 인원현황'!$C:$J,7,0))</f>
        <v>기능공</v>
      </c>
      <c r="G118" s="72" t="str">
        <f>IF(VLOOKUP($B118,'1. 현장별 인원현황'!$C:$J,8,0)=0,"",VLOOKUP($B118,'1. 현장별 인원현황'!$C:$J,8,0))</f>
        <v>전공</v>
      </c>
      <c r="H118" s="67"/>
      <c r="I118" s="73" t="s">
        <v>69</v>
      </c>
      <c r="J118" s="73"/>
      <c r="K118" s="68"/>
      <c r="L118" s="67"/>
      <c r="M118" s="73" t="s">
        <v>69</v>
      </c>
      <c r="N118" s="73"/>
      <c r="O118" s="68"/>
      <c r="P118" s="67" t="s">
        <v>69</v>
      </c>
      <c r="Q118" s="73"/>
      <c r="R118" s="73"/>
      <c r="S118" s="68"/>
      <c r="T118" s="67"/>
      <c r="U118" s="73" t="s">
        <v>69</v>
      </c>
      <c r="V118" s="73"/>
      <c r="W118" s="68"/>
      <c r="X118" s="67" t="s">
        <v>69</v>
      </c>
      <c r="Y118" s="73"/>
      <c r="Z118" s="73"/>
      <c r="AA118" s="68"/>
      <c r="AB118" s="67"/>
      <c r="AC118" s="73"/>
      <c r="AD118" s="73" t="s">
        <v>69</v>
      </c>
      <c r="AE118" s="68"/>
      <c r="AF118" s="67"/>
      <c r="AG118" s="73"/>
      <c r="AH118" s="73" t="s">
        <v>69</v>
      </c>
      <c r="AI118" s="68"/>
      <c r="AJ118" s="67"/>
      <c r="AK118" s="73" t="s">
        <v>69</v>
      </c>
      <c r="AL118" s="73"/>
      <c r="AM118" s="68"/>
      <c r="AN118" s="67">
        <f t="shared" si="39"/>
        <v>76</v>
      </c>
      <c r="AO118" s="68" t="str">
        <f t="shared" si="40"/>
        <v>A</v>
      </c>
      <c r="AR118" s="49">
        <f t="shared" si="41"/>
        <v>0</v>
      </c>
      <c r="AS118" s="49">
        <f t="shared" si="42"/>
        <v>1</v>
      </c>
      <c r="AT118" s="49">
        <f t="shared" si="43"/>
        <v>0</v>
      </c>
      <c r="AU118" s="49">
        <f t="shared" si="44"/>
        <v>0</v>
      </c>
      <c r="AV118" s="49">
        <f t="shared" si="45"/>
        <v>0</v>
      </c>
      <c r="AW118" s="49">
        <f t="shared" si="46"/>
        <v>1</v>
      </c>
      <c r="AX118" s="49">
        <f t="shared" si="47"/>
        <v>0</v>
      </c>
      <c r="AY118" s="49">
        <f t="shared" si="48"/>
        <v>0</v>
      </c>
      <c r="AZ118" s="49">
        <f t="shared" si="49"/>
        <v>1</v>
      </c>
      <c r="BA118" s="49">
        <f t="shared" si="50"/>
        <v>0</v>
      </c>
      <c r="BB118" s="49">
        <f t="shared" si="51"/>
        <v>0</v>
      </c>
      <c r="BC118" s="49">
        <f t="shared" si="52"/>
        <v>0</v>
      </c>
      <c r="BD118" s="49">
        <f t="shared" si="53"/>
        <v>0</v>
      </c>
      <c r="BE118" s="49">
        <f t="shared" si="54"/>
        <v>1</v>
      </c>
      <c r="BF118" s="49">
        <f t="shared" si="55"/>
        <v>0</v>
      </c>
      <c r="BG118" s="49">
        <f t="shared" si="56"/>
        <v>0</v>
      </c>
      <c r="BH118" s="49">
        <f t="shared" si="57"/>
        <v>1</v>
      </c>
      <c r="BI118" s="49">
        <f t="shared" si="58"/>
        <v>0</v>
      </c>
      <c r="BJ118" s="49">
        <f t="shared" si="59"/>
        <v>0</v>
      </c>
      <c r="BK118" s="49">
        <f t="shared" si="60"/>
        <v>0</v>
      </c>
      <c r="BL118" s="49">
        <f t="shared" si="61"/>
        <v>0</v>
      </c>
      <c r="BM118" s="49">
        <f t="shared" si="62"/>
        <v>0</v>
      </c>
      <c r="BN118" s="49">
        <f t="shared" si="63"/>
        <v>1</v>
      </c>
      <c r="BO118" s="49">
        <f t="shared" si="64"/>
        <v>0</v>
      </c>
      <c r="BP118" s="49">
        <f t="shared" si="65"/>
        <v>0</v>
      </c>
      <c r="BQ118" s="49">
        <f t="shared" si="66"/>
        <v>0</v>
      </c>
      <c r="BR118" s="49">
        <f t="shared" si="67"/>
        <v>1</v>
      </c>
      <c r="BS118" s="49">
        <f t="shared" si="68"/>
        <v>0</v>
      </c>
      <c r="BT118" s="49">
        <f t="shared" si="69"/>
        <v>0</v>
      </c>
      <c r="BU118" s="49">
        <f t="shared" si="70"/>
        <v>1</v>
      </c>
      <c r="BV118" s="49">
        <f t="shared" si="71"/>
        <v>0</v>
      </c>
      <c r="BW118" s="49">
        <f t="shared" si="72"/>
        <v>0</v>
      </c>
    </row>
    <row r="119" spans="1:75" ht="35.1" customHeight="1" x14ac:dyDescent="0.3">
      <c r="A119" s="123" t="str">
        <f t="shared" si="37"/>
        <v>1팀</v>
      </c>
      <c r="B119" s="69">
        <f t="shared" si="38"/>
        <v>113</v>
      </c>
      <c r="C119" s="121" t="str">
        <f>IF(VLOOKUP($B119,'1. 현장별 인원현황'!$C:$J,2,0)=0,"",VLOOKUP($B119,'1. 현장별 인원현황'!$C:$J,2,0))</f>
        <v xml:space="preserve"> [1.중흥건설] 인천 검단지구 공동주택용지 AB20-2BL 중흥S-클래스 공동주택 신축공사</v>
      </c>
      <c r="D119" s="74" t="str">
        <f>IF(VLOOKUP($B119,'1. 현장별 인원현황'!$C:$J,3,0)=0,"",VLOOKUP($B119,'1. 현장별 인원현황'!$C:$J,3,0))</f>
        <v>성혁제</v>
      </c>
      <c r="E119" s="74" t="str">
        <f ca="1">IF(VLOOKUP($B119,'1. 현장별 인원현황'!$C:$J,4,0)=0,"",VLOOKUP($B119,'1. 현장별 인원현황'!$C:$J,4,0))</f>
        <v>25세</v>
      </c>
      <c r="F119" s="70" t="str">
        <f>IF(VLOOKUP($B119,'1. 현장별 인원현황'!$C:$J,7,0)=0,"",VLOOKUP($B119,'1. 현장별 인원현황'!$C:$J,7,0))</f>
        <v>기능공</v>
      </c>
      <c r="G119" s="72" t="str">
        <f>IF(VLOOKUP($B119,'1. 현장별 인원현황'!$C:$J,8,0)=0,"",VLOOKUP($B119,'1. 현장별 인원현황'!$C:$J,8,0))</f>
        <v>조공</v>
      </c>
      <c r="H119" s="67"/>
      <c r="I119" s="73" t="s">
        <v>69</v>
      </c>
      <c r="J119" s="73"/>
      <c r="K119" s="68"/>
      <c r="L119" s="67"/>
      <c r="M119" s="73" t="s">
        <v>69</v>
      </c>
      <c r="N119" s="73"/>
      <c r="O119" s="68"/>
      <c r="P119" s="67" t="s">
        <v>69</v>
      </c>
      <c r="Q119" s="73"/>
      <c r="R119" s="73"/>
      <c r="S119" s="68"/>
      <c r="T119" s="67"/>
      <c r="U119" s="73" t="s">
        <v>69</v>
      </c>
      <c r="V119" s="73"/>
      <c r="W119" s="68"/>
      <c r="X119" s="67" t="s">
        <v>69</v>
      </c>
      <c r="Y119" s="73"/>
      <c r="Z119" s="73"/>
      <c r="AA119" s="68"/>
      <c r="AB119" s="67"/>
      <c r="AC119" s="73"/>
      <c r="AD119" s="73" t="s">
        <v>69</v>
      </c>
      <c r="AE119" s="68"/>
      <c r="AF119" s="67"/>
      <c r="AG119" s="73"/>
      <c r="AH119" s="73" t="s">
        <v>69</v>
      </c>
      <c r="AI119" s="68"/>
      <c r="AJ119" s="67"/>
      <c r="AK119" s="73" t="s">
        <v>69</v>
      </c>
      <c r="AL119" s="73"/>
      <c r="AM119" s="68"/>
      <c r="AN119" s="67">
        <f t="shared" si="39"/>
        <v>76</v>
      </c>
      <c r="AO119" s="68" t="str">
        <f t="shared" si="40"/>
        <v>A</v>
      </c>
      <c r="AR119" s="49">
        <f t="shared" si="41"/>
        <v>0</v>
      </c>
      <c r="AS119" s="49">
        <f t="shared" si="42"/>
        <v>1</v>
      </c>
      <c r="AT119" s="49">
        <f t="shared" si="43"/>
        <v>0</v>
      </c>
      <c r="AU119" s="49">
        <f t="shared" si="44"/>
        <v>0</v>
      </c>
      <c r="AV119" s="49">
        <f t="shared" si="45"/>
        <v>0</v>
      </c>
      <c r="AW119" s="49">
        <f t="shared" si="46"/>
        <v>1</v>
      </c>
      <c r="AX119" s="49">
        <f t="shared" si="47"/>
        <v>0</v>
      </c>
      <c r="AY119" s="49">
        <f t="shared" si="48"/>
        <v>0</v>
      </c>
      <c r="AZ119" s="49">
        <f t="shared" si="49"/>
        <v>1</v>
      </c>
      <c r="BA119" s="49">
        <f t="shared" si="50"/>
        <v>0</v>
      </c>
      <c r="BB119" s="49">
        <f t="shared" si="51"/>
        <v>0</v>
      </c>
      <c r="BC119" s="49">
        <f t="shared" si="52"/>
        <v>0</v>
      </c>
      <c r="BD119" s="49">
        <f t="shared" si="53"/>
        <v>0</v>
      </c>
      <c r="BE119" s="49">
        <f t="shared" si="54"/>
        <v>1</v>
      </c>
      <c r="BF119" s="49">
        <f t="shared" si="55"/>
        <v>0</v>
      </c>
      <c r="BG119" s="49">
        <f t="shared" si="56"/>
        <v>0</v>
      </c>
      <c r="BH119" s="49">
        <f t="shared" si="57"/>
        <v>1</v>
      </c>
      <c r="BI119" s="49">
        <f t="shared" si="58"/>
        <v>0</v>
      </c>
      <c r="BJ119" s="49">
        <f t="shared" si="59"/>
        <v>0</v>
      </c>
      <c r="BK119" s="49">
        <f t="shared" si="60"/>
        <v>0</v>
      </c>
      <c r="BL119" s="49">
        <f t="shared" si="61"/>
        <v>0</v>
      </c>
      <c r="BM119" s="49">
        <f t="shared" si="62"/>
        <v>0</v>
      </c>
      <c r="BN119" s="49">
        <f t="shared" si="63"/>
        <v>1</v>
      </c>
      <c r="BO119" s="49">
        <f t="shared" si="64"/>
        <v>0</v>
      </c>
      <c r="BP119" s="49">
        <f t="shared" si="65"/>
        <v>0</v>
      </c>
      <c r="BQ119" s="49">
        <f t="shared" si="66"/>
        <v>0</v>
      </c>
      <c r="BR119" s="49">
        <f t="shared" si="67"/>
        <v>1</v>
      </c>
      <c r="BS119" s="49">
        <f t="shared" si="68"/>
        <v>0</v>
      </c>
      <c r="BT119" s="49">
        <f t="shared" si="69"/>
        <v>0</v>
      </c>
      <c r="BU119" s="49">
        <f t="shared" si="70"/>
        <v>1</v>
      </c>
      <c r="BV119" s="49">
        <f t="shared" si="71"/>
        <v>0</v>
      </c>
      <c r="BW119" s="49">
        <f t="shared" si="72"/>
        <v>0</v>
      </c>
    </row>
    <row r="120" spans="1:75" ht="35.1" customHeight="1" x14ac:dyDescent="0.3">
      <c r="A120" s="123" t="str">
        <f t="shared" si="37"/>
        <v>1팀</v>
      </c>
      <c r="B120" s="69">
        <f t="shared" si="38"/>
        <v>114</v>
      </c>
      <c r="C120" s="121" t="str">
        <f>IF(VLOOKUP($B120,'1. 현장별 인원현황'!$C:$J,2,0)=0,"",VLOOKUP($B120,'1. 현장별 인원현황'!$C:$J,2,0))</f>
        <v xml:space="preserve"> [1.중흥건설] 인천 검단지구 공동주택용지 AB20-2BL 중흥S-클래스 공동주택 신축공사</v>
      </c>
      <c r="D120" s="74" t="str">
        <f>IF(VLOOKUP($B120,'1. 현장별 인원현황'!$C:$J,3,0)=0,"",VLOOKUP($B120,'1. 현장별 인원현황'!$C:$J,3,0))</f>
        <v>김승욱</v>
      </c>
      <c r="E120" s="74" t="str">
        <f ca="1">IF(VLOOKUP($B120,'1. 현장별 인원현황'!$C:$J,4,0)=0,"",VLOOKUP($B120,'1. 현장별 인원현황'!$C:$J,4,0))</f>
        <v>25세</v>
      </c>
      <c r="F120" s="70" t="str">
        <f>IF(VLOOKUP($B120,'1. 현장별 인원현황'!$C:$J,7,0)=0,"",VLOOKUP($B120,'1. 현장별 인원현황'!$C:$J,7,0))</f>
        <v>기능공</v>
      </c>
      <c r="G120" s="72" t="str">
        <f>IF(VLOOKUP($B120,'1. 현장별 인원현황'!$C:$J,8,0)=0,"",VLOOKUP($B120,'1. 현장별 인원현황'!$C:$J,8,0))</f>
        <v>조공</v>
      </c>
      <c r="H120" s="67" t="s">
        <v>69</v>
      </c>
      <c r="I120" s="73"/>
      <c r="J120" s="73"/>
      <c r="K120" s="68"/>
      <c r="L120" s="67"/>
      <c r="M120" s="73" t="s">
        <v>69</v>
      </c>
      <c r="N120" s="73"/>
      <c r="O120" s="68"/>
      <c r="P120" s="67" t="s">
        <v>69</v>
      </c>
      <c r="Q120" s="73"/>
      <c r="R120" s="73"/>
      <c r="S120" s="68"/>
      <c r="T120" s="67"/>
      <c r="U120" s="73" t="s">
        <v>69</v>
      </c>
      <c r="V120" s="73"/>
      <c r="W120" s="68"/>
      <c r="X120" s="67" t="s">
        <v>69</v>
      </c>
      <c r="Y120" s="73"/>
      <c r="Z120" s="73"/>
      <c r="AA120" s="68"/>
      <c r="AB120" s="67"/>
      <c r="AC120" s="73"/>
      <c r="AD120" s="73" t="s">
        <v>69</v>
      </c>
      <c r="AE120" s="68"/>
      <c r="AF120" s="67"/>
      <c r="AG120" s="73" t="s">
        <v>69</v>
      </c>
      <c r="AH120" s="73"/>
      <c r="AI120" s="68"/>
      <c r="AJ120" s="67"/>
      <c r="AK120" s="73" t="s">
        <v>69</v>
      </c>
      <c r="AL120" s="73"/>
      <c r="AM120" s="68"/>
      <c r="AN120" s="67">
        <f t="shared" si="39"/>
        <v>83</v>
      </c>
      <c r="AO120" s="68" t="str">
        <f t="shared" si="40"/>
        <v>A</v>
      </c>
      <c r="AR120" s="49">
        <f t="shared" si="41"/>
        <v>1</v>
      </c>
      <c r="AS120" s="49">
        <f t="shared" si="42"/>
        <v>0</v>
      </c>
      <c r="AT120" s="49">
        <f t="shared" si="43"/>
        <v>0</v>
      </c>
      <c r="AU120" s="49">
        <f t="shared" si="44"/>
        <v>0</v>
      </c>
      <c r="AV120" s="49">
        <f t="shared" si="45"/>
        <v>0</v>
      </c>
      <c r="AW120" s="49">
        <f t="shared" si="46"/>
        <v>1</v>
      </c>
      <c r="AX120" s="49">
        <f t="shared" si="47"/>
        <v>0</v>
      </c>
      <c r="AY120" s="49">
        <f t="shared" si="48"/>
        <v>0</v>
      </c>
      <c r="AZ120" s="49">
        <f t="shared" si="49"/>
        <v>1</v>
      </c>
      <c r="BA120" s="49">
        <f t="shared" si="50"/>
        <v>0</v>
      </c>
      <c r="BB120" s="49">
        <f t="shared" si="51"/>
        <v>0</v>
      </c>
      <c r="BC120" s="49">
        <f t="shared" si="52"/>
        <v>0</v>
      </c>
      <c r="BD120" s="49">
        <f t="shared" si="53"/>
        <v>0</v>
      </c>
      <c r="BE120" s="49">
        <f t="shared" si="54"/>
        <v>1</v>
      </c>
      <c r="BF120" s="49">
        <f t="shared" si="55"/>
        <v>0</v>
      </c>
      <c r="BG120" s="49">
        <f t="shared" si="56"/>
        <v>0</v>
      </c>
      <c r="BH120" s="49">
        <f t="shared" si="57"/>
        <v>1</v>
      </c>
      <c r="BI120" s="49">
        <f t="shared" si="58"/>
        <v>0</v>
      </c>
      <c r="BJ120" s="49">
        <f t="shared" si="59"/>
        <v>0</v>
      </c>
      <c r="BK120" s="49">
        <f t="shared" si="60"/>
        <v>0</v>
      </c>
      <c r="BL120" s="49">
        <f t="shared" si="61"/>
        <v>0</v>
      </c>
      <c r="BM120" s="49">
        <f t="shared" si="62"/>
        <v>0</v>
      </c>
      <c r="BN120" s="49">
        <f t="shared" si="63"/>
        <v>1</v>
      </c>
      <c r="BO120" s="49">
        <f t="shared" si="64"/>
        <v>0</v>
      </c>
      <c r="BP120" s="49">
        <f t="shared" si="65"/>
        <v>0</v>
      </c>
      <c r="BQ120" s="49">
        <f t="shared" si="66"/>
        <v>1</v>
      </c>
      <c r="BR120" s="49">
        <f t="shared" si="67"/>
        <v>0</v>
      </c>
      <c r="BS120" s="49">
        <f t="shared" si="68"/>
        <v>0</v>
      </c>
      <c r="BT120" s="49">
        <f t="shared" si="69"/>
        <v>0</v>
      </c>
      <c r="BU120" s="49">
        <f t="shared" si="70"/>
        <v>1</v>
      </c>
      <c r="BV120" s="49">
        <f t="shared" si="71"/>
        <v>0</v>
      </c>
      <c r="BW120" s="49">
        <f t="shared" si="72"/>
        <v>0</v>
      </c>
    </row>
    <row r="121" spans="1:75" ht="35.1" customHeight="1" x14ac:dyDescent="0.3">
      <c r="A121" s="123" t="str">
        <f t="shared" si="37"/>
        <v>1팀</v>
      </c>
      <c r="B121" s="136">
        <f t="shared" si="38"/>
        <v>115</v>
      </c>
      <c r="C121" s="139" t="str">
        <f>IF(VLOOKUP($B121,'1. 현장별 인원현황'!$C:$J,2,0)=0,"",VLOOKUP($B121,'1. 현장별 인원현황'!$C:$J,2,0))</f>
        <v xml:space="preserve"> [1.중흥건설] 인천 검단지구 공동주택용지 AB20-2BL 중흥S-클래스 공동주택 신축공사</v>
      </c>
      <c r="D121" s="140" t="str">
        <f>IF(VLOOKUP($B121,'1. 현장별 인원현황'!$C:$J,3,0)=0,"",VLOOKUP($B121,'1. 현장별 인원현황'!$C:$J,3,0))</f>
        <v>김용호</v>
      </c>
      <c r="E121" s="140" t="str">
        <f ca="1">IF(VLOOKUP($B121,'1. 현장별 인원현황'!$C:$J,4,0)=0,"",VLOOKUP($B121,'1. 현장별 인원현황'!$C:$J,4,0))</f>
        <v>53세</v>
      </c>
      <c r="F121" s="137" t="str">
        <f>IF(VLOOKUP($B121,'1. 현장별 인원현황'!$C:$J,7,0)=0,"",VLOOKUP($B121,'1. 현장별 인원현황'!$C:$J,7,0))</f>
        <v>기능공</v>
      </c>
      <c r="G121" s="138" t="str">
        <f>IF(VLOOKUP($B121,'1. 현장별 인원현황'!$C:$J,8,0)=0,"",VLOOKUP($B121,'1. 현장별 인원현황'!$C:$J,8,0))</f>
        <v>조공</v>
      </c>
      <c r="H121" s="136" t="s">
        <v>3434</v>
      </c>
      <c r="I121" s="137"/>
      <c r="J121" s="137"/>
      <c r="K121" s="138"/>
      <c r="L121" s="136" t="s">
        <v>3434</v>
      </c>
      <c r="M121" s="137"/>
      <c r="N121" s="137"/>
      <c r="O121" s="138" t="s">
        <v>3434</v>
      </c>
      <c r="P121" s="136"/>
      <c r="Q121" s="137"/>
      <c r="R121" s="137"/>
      <c r="S121" s="138"/>
      <c r="T121" s="136" t="s">
        <v>3434</v>
      </c>
      <c r="U121" s="137"/>
      <c r="V121" s="137"/>
      <c r="W121" s="138"/>
      <c r="X121" s="136"/>
      <c r="Y121" s="137" t="s">
        <v>3434</v>
      </c>
      <c r="Z121" s="137"/>
      <c r="AA121" s="138"/>
      <c r="AB121" s="136"/>
      <c r="AC121" s="137" t="s">
        <v>3434</v>
      </c>
      <c r="AD121" s="137"/>
      <c r="AE121" s="138"/>
      <c r="AF121" s="136"/>
      <c r="AG121" s="137" t="s">
        <v>3434</v>
      </c>
      <c r="AH121" s="137"/>
      <c r="AI121" s="138"/>
      <c r="AJ121" s="136" t="s">
        <v>3434</v>
      </c>
      <c r="AK121" s="137"/>
      <c r="AL121" s="137"/>
      <c r="AM121" s="138"/>
      <c r="AN121" s="136">
        <f t="shared" si="39"/>
        <v>79</v>
      </c>
      <c r="AO121" s="138" t="str">
        <f t="shared" si="40"/>
        <v>A</v>
      </c>
      <c r="AR121" s="49">
        <f t="shared" si="41"/>
        <v>1</v>
      </c>
      <c r="AS121" s="49">
        <f t="shared" si="42"/>
        <v>0</v>
      </c>
      <c r="AT121" s="49">
        <f t="shared" si="43"/>
        <v>0</v>
      </c>
      <c r="AU121" s="49">
        <f t="shared" si="44"/>
        <v>0</v>
      </c>
      <c r="AV121" s="49">
        <f t="shared" si="45"/>
        <v>1</v>
      </c>
      <c r="AW121" s="49">
        <f t="shared" si="46"/>
        <v>0</v>
      </c>
      <c r="AX121" s="49">
        <f t="shared" si="47"/>
        <v>0</v>
      </c>
      <c r="AY121" s="49">
        <f t="shared" si="48"/>
        <v>1</v>
      </c>
      <c r="AZ121" s="49">
        <f t="shared" si="49"/>
        <v>0</v>
      </c>
      <c r="BA121" s="49">
        <f t="shared" si="50"/>
        <v>0</v>
      </c>
      <c r="BB121" s="49">
        <f t="shared" si="51"/>
        <v>0</v>
      </c>
      <c r="BC121" s="49">
        <f t="shared" si="52"/>
        <v>0</v>
      </c>
      <c r="BD121" s="49">
        <f t="shared" si="53"/>
        <v>1</v>
      </c>
      <c r="BE121" s="49">
        <f t="shared" si="54"/>
        <v>0</v>
      </c>
      <c r="BF121" s="49">
        <f t="shared" si="55"/>
        <v>0</v>
      </c>
      <c r="BG121" s="49">
        <f t="shared" si="56"/>
        <v>0</v>
      </c>
      <c r="BH121" s="49">
        <f t="shared" si="57"/>
        <v>0</v>
      </c>
      <c r="BI121" s="49">
        <f t="shared" si="58"/>
        <v>1</v>
      </c>
      <c r="BJ121" s="49">
        <f t="shared" si="59"/>
        <v>0</v>
      </c>
      <c r="BK121" s="49">
        <f t="shared" si="60"/>
        <v>0</v>
      </c>
      <c r="BL121" s="49">
        <f t="shared" si="61"/>
        <v>0</v>
      </c>
      <c r="BM121" s="49">
        <f t="shared" si="62"/>
        <v>1</v>
      </c>
      <c r="BN121" s="49">
        <f t="shared" si="63"/>
        <v>0</v>
      </c>
      <c r="BO121" s="49">
        <f t="shared" si="64"/>
        <v>0</v>
      </c>
      <c r="BP121" s="49">
        <f t="shared" si="65"/>
        <v>0</v>
      </c>
      <c r="BQ121" s="49">
        <f t="shared" si="66"/>
        <v>1</v>
      </c>
      <c r="BR121" s="49">
        <f t="shared" si="67"/>
        <v>0</v>
      </c>
      <c r="BS121" s="49">
        <f t="shared" si="68"/>
        <v>0</v>
      </c>
      <c r="BT121" s="49">
        <f t="shared" si="69"/>
        <v>1</v>
      </c>
      <c r="BU121" s="49">
        <f t="shared" si="70"/>
        <v>0</v>
      </c>
      <c r="BV121" s="49">
        <f t="shared" si="71"/>
        <v>0</v>
      </c>
      <c r="BW121" s="49">
        <f t="shared" si="72"/>
        <v>0</v>
      </c>
    </row>
    <row r="122" spans="1:75" ht="35.1" customHeight="1" x14ac:dyDescent="0.3">
      <c r="A122" s="123" t="str">
        <f t="shared" si="37"/>
        <v>1팀</v>
      </c>
      <c r="B122" s="69">
        <f t="shared" si="38"/>
        <v>116</v>
      </c>
      <c r="C122" s="121" t="str">
        <f>IF(VLOOKUP($B122,'1. 현장별 인원현황'!$C:$J,2,0)=0,"",VLOOKUP($B122,'1. 현장별 인원현황'!$C:$J,2,0))</f>
        <v xml:space="preserve"> [1.진흥기업] 해링턴 플레이스 감삼 신축공사</v>
      </c>
      <c r="D122" s="74" t="str">
        <f>IF(VLOOKUP($B122,'1. 현장별 인원현황'!$C:$J,3,0)=0,"",VLOOKUP($B122,'1. 현장별 인원현황'!$C:$J,3,0))</f>
        <v>최준열</v>
      </c>
      <c r="E122" s="74" t="str">
        <f ca="1">IF(VLOOKUP($B122,'1. 현장별 인원현황'!$C:$J,4,0)=0,"",VLOOKUP($B122,'1. 현장별 인원현황'!$C:$J,4,0))</f>
        <v>42세</v>
      </c>
      <c r="F122" s="70" t="str">
        <f>IF(VLOOKUP($B122,'1. 현장별 인원현황'!$C:$J,7,0)=0,"",VLOOKUP($B122,'1. 현장별 인원현황'!$C:$J,7,0))</f>
        <v>공무</v>
      </c>
      <c r="G122" s="72" t="str">
        <f>IF(VLOOKUP($B122,'1. 현장별 인원현황'!$C:$J,8,0)=0,"",VLOOKUP($B122,'1. 현장별 인원현황'!$C:$J,8,0))</f>
        <v>과장</v>
      </c>
      <c r="H122" s="67"/>
      <c r="I122" s="73"/>
      <c r="J122" s="73"/>
      <c r="K122" s="68" t="s">
        <v>69</v>
      </c>
      <c r="L122" s="67"/>
      <c r="M122" s="73" t="s">
        <v>69</v>
      </c>
      <c r="N122" s="73"/>
      <c r="O122" s="68"/>
      <c r="P122" s="67" t="s">
        <v>69</v>
      </c>
      <c r="Q122" s="73"/>
      <c r="R122" s="73"/>
      <c r="S122" s="68"/>
      <c r="T122" s="67"/>
      <c r="U122" s="73" t="s">
        <v>69</v>
      </c>
      <c r="V122" s="73"/>
      <c r="W122" s="68"/>
      <c r="X122" s="67"/>
      <c r="Y122" s="73" t="s">
        <v>69</v>
      </c>
      <c r="Z122" s="73"/>
      <c r="AA122" s="68"/>
      <c r="AB122" s="67"/>
      <c r="AC122" s="73" t="s">
        <v>69</v>
      </c>
      <c r="AD122" s="73"/>
      <c r="AE122" s="68"/>
      <c r="AF122" s="67"/>
      <c r="AG122" s="73" t="s">
        <v>69</v>
      </c>
      <c r="AH122" s="73"/>
      <c r="AI122" s="68"/>
      <c r="AJ122" s="67" t="s">
        <v>69</v>
      </c>
      <c r="AK122" s="73"/>
      <c r="AL122" s="73"/>
      <c r="AM122" s="68"/>
      <c r="AN122" s="67">
        <f t="shared" si="39"/>
        <v>71</v>
      </c>
      <c r="AO122" s="68" t="str">
        <f t="shared" si="40"/>
        <v>A</v>
      </c>
      <c r="AR122" s="49">
        <f t="shared" si="41"/>
        <v>0</v>
      </c>
      <c r="AS122" s="49">
        <f t="shared" si="42"/>
        <v>0</v>
      </c>
      <c r="AT122" s="49">
        <f t="shared" si="43"/>
        <v>0</v>
      </c>
      <c r="AU122" s="49">
        <f t="shared" si="44"/>
        <v>1</v>
      </c>
      <c r="AV122" s="49">
        <f t="shared" si="45"/>
        <v>0</v>
      </c>
      <c r="AW122" s="49">
        <f t="shared" si="46"/>
        <v>1</v>
      </c>
      <c r="AX122" s="49">
        <f t="shared" si="47"/>
        <v>0</v>
      </c>
      <c r="AY122" s="49">
        <f t="shared" si="48"/>
        <v>0</v>
      </c>
      <c r="AZ122" s="49">
        <f t="shared" si="49"/>
        <v>1</v>
      </c>
      <c r="BA122" s="49">
        <f t="shared" si="50"/>
        <v>0</v>
      </c>
      <c r="BB122" s="49">
        <f t="shared" si="51"/>
        <v>0</v>
      </c>
      <c r="BC122" s="49">
        <f t="shared" si="52"/>
        <v>0</v>
      </c>
      <c r="BD122" s="49">
        <f t="shared" si="53"/>
        <v>0</v>
      </c>
      <c r="BE122" s="49">
        <f t="shared" si="54"/>
        <v>1</v>
      </c>
      <c r="BF122" s="49">
        <f t="shared" si="55"/>
        <v>0</v>
      </c>
      <c r="BG122" s="49">
        <f t="shared" si="56"/>
        <v>0</v>
      </c>
      <c r="BH122" s="49">
        <f t="shared" si="57"/>
        <v>0</v>
      </c>
      <c r="BI122" s="49">
        <f t="shared" si="58"/>
        <v>1</v>
      </c>
      <c r="BJ122" s="49">
        <f t="shared" si="59"/>
        <v>0</v>
      </c>
      <c r="BK122" s="49">
        <f t="shared" si="60"/>
        <v>0</v>
      </c>
      <c r="BL122" s="49">
        <f t="shared" si="61"/>
        <v>0</v>
      </c>
      <c r="BM122" s="49">
        <f t="shared" si="62"/>
        <v>1</v>
      </c>
      <c r="BN122" s="49">
        <f t="shared" si="63"/>
        <v>0</v>
      </c>
      <c r="BO122" s="49">
        <f t="shared" si="64"/>
        <v>0</v>
      </c>
      <c r="BP122" s="49">
        <f t="shared" si="65"/>
        <v>0</v>
      </c>
      <c r="BQ122" s="49">
        <f t="shared" si="66"/>
        <v>1</v>
      </c>
      <c r="BR122" s="49">
        <f t="shared" si="67"/>
        <v>0</v>
      </c>
      <c r="BS122" s="49">
        <f t="shared" si="68"/>
        <v>0</v>
      </c>
      <c r="BT122" s="49">
        <f t="shared" si="69"/>
        <v>1</v>
      </c>
      <c r="BU122" s="49">
        <f t="shared" si="70"/>
        <v>0</v>
      </c>
      <c r="BV122" s="49">
        <f t="shared" si="71"/>
        <v>0</v>
      </c>
      <c r="BW122" s="49">
        <f t="shared" si="72"/>
        <v>0</v>
      </c>
    </row>
    <row r="123" spans="1:75" ht="35.1" customHeight="1" x14ac:dyDescent="0.3">
      <c r="A123" s="123" t="str">
        <f t="shared" si="37"/>
        <v>1팀</v>
      </c>
      <c r="B123" s="69">
        <f t="shared" si="38"/>
        <v>117</v>
      </c>
      <c r="C123" s="121" t="str">
        <f>IF(VLOOKUP($B123,'1. 현장별 인원현황'!$C:$J,2,0)=0,"",VLOOKUP($B123,'1. 현장별 인원현황'!$C:$J,2,0))</f>
        <v xml:space="preserve"> [1.진흥기업] 해링턴 플레이스 감삼 신축공사</v>
      </c>
      <c r="D123" s="74" t="str">
        <f>IF(VLOOKUP($B123,'1. 현장별 인원현황'!$C:$J,3,0)=0,"",VLOOKUP($B123,'1. 현장별 인원현황'!$C:$J,3,0))</f>
        <v>강민구</v>
      </c>
      <c r="E123" s="74" t="str">
        <f ca="1">IF(VLOOKUP($B123,'1. 현장별 인원현황'!$C:$J,4,0)=0,"",VLOOKUP($B123,'1. 현장별 인원현황'!$C:$J,4,0))</f>
        <v>45세</v>
      </c>
      <c r="F123" s="70" t="str">
        <f>IF(VLOOKUP($B123,'1. 현장별 인원현황'!$C:$J,7,0)=0,"",VLOOKUP($B123,'1. 현장별 인원현황'!$C:$J,7,0))</f>
        <v>기능공</v>
      </c>
      <c r="G123" s="72" t="str">
        <f>IF(VLOOKUP($B123,'1. 현장별 인원현황'!$C:$J,8,0)=0,"",VLOOKUP($B123,'1. 현장별 인원현황'!$C:$J,8,0))</f>
        <v>전공</v>
      </c>
      <c r="H123" s="67" t="s">
        <v>69</v>
      </c>
      <c r="I123" s="73"/>
      <c r="J123" s="73"/>
      <c r="K123" s="68"/>
      <c r="L123" s="67"/>
      <c r="M123" s="73" t="s">
        <v>69</v>
      </c>
      <c r="N123" s="73"/>
      <c r="O123" s="68"/>
      <c r="P123" s="67" t="s">
        <v>69</v>
      </c>
      <c r="Q123" s="73"/>
      <c r="R123" s="73"/>
      <c r="S123" s="68"/>
      <c r="T123" s="67"/>
      <c r="U123" s="73" t="s">
        <v>69</v>
      </c>
      <c r="V123" s="73"/>
      <c r="W123" s="68"/>
      <c r="X123" s="67"/>
      <c r="Y123" s="73" t="s">
        <v>69</v>
      </c>
      <c r="Z123" s="73"/>
      <c r="AA123" s="68"/>
      <c r="AB123" s="67"/>
      <c r="AC123" s="73" t="s">
        <v>69</v>
      </c>
      <c r="AD123" s="73"/>
      <c r="AE123" s="68"/>
      <c r="AF123" s="67"/>
      <c r="AG123" s="73" t="s">
        <v>69</v>
      </c>
      <c r="AH123" s="73"/>
      <c r="AI123" s="68"/>
      <c r="AJ123" s="67" t="s">
        <v>69</v>
      </c>
      <c r="AK123" s="73"/>
      <c r="AL123" s="73"/>
      <c r="AM123" s="68"/>
      <c r="AN123" s="67">
        <f t="shared" si="39"/>
        <v>83</v>
      </c>
      <c r="AO123" s="68" t="str">
        <f t="shared" si="40"/>
        <v>A</v>
      </c>
      <c r="AR123" s="49">
        <f t="shared" si="41"/>
        <v>1</v>
      </c>
      <c r="AS123" s="49">
        <f t="shared" si="42"/>
        <v>0</v>
      </c>
      <c r="AT123" s="49">
        <f t="shared" si="43"/>
        <v>0</v>
      </c>
      <c r="AU123" s="49">
        <f t="shared" si="44"/>
        <v>0</v>
      </c>
      <c r="AV123" s="49">
        <f t="shared" si="45"/>
        <v>0</v>
      </c>
      <c r="AW123" s="49">
        <f t="shared" si="46"/>
        <v>1</v>
      </c>
      <c r="AX123" s="49">
        <f t="shared" si="47"/>
        <v>0</v>
      </c>
      <c r="AY123" s="49">
        <f t="shared" si="48"/>
        <v>0</v>
      </c>
      <c r="AZ123" s="49">
        <f t="shared" si="49"/>
        <v>1</v>
      </c>
      <c r="BA123" s="49">
        <f t="shared" si="50"/>
        <v>0</v>
      </c>
      <c r="BB123" s="49">
        <f t="shared" si="51"/>
        <v>0</v>
      </c>
      <c r="BC123" s="49">
        <f t="shared" si="52"/>
        <v>0</v>
      </c>
      <c r="BD123" s="49">
        <f t="shared" si="53"/>
        <v>0</v>
      </c>
      <c r="BE123" s="49">
        <f t="shared" si="54"/>
        <v>1</v>
      </c>
      <c r="BF123" s="49">
        <f t="shared" si="55"/>
        <v>0</v>
      </c>
      <c r="BG123" s="49">
        <f t="shared" si="56"/>
        <v>0</v>
      </c>
      <c r="BH123" s="49">
        <f t="shared" si="57"/>
        <v>0</v>
      </c>
      <c r="BI123" s="49">
        <f t="shared" si="58"/>
        <v>1</v>
      </c>
      <c r="BJ123" s="49">
        <f t="shared" si="59"/>
        <v>0</v>
      </c>
      <c r="BK123" s="49">
        <f t="shared" si="60"/>
        <v>0</v>
      </c>
      <c r="BL123" s="49">
        <f t="shared" si="61"/>
        <v>0</v>
      </c>
      <c r="BM123" s="49">
        <f t="shared" si="62"/>
        <v>1</v>
      </c>
      <c r="BN123" s="49">
        <f t="shared" si="63"/>
        <v>0</v>
      </c>
      <c r="BO123" s="49">
        <f t="shared" si="64"/>
        <v>0</v>
      </c>
      <c r="BP123" s="49">
        <f t="shared" si="65"/>
        <v>0</v>
      </c>
      <c r="BQ123" s="49">
        <f t="shared" si="66"/>
        <v>1</v>
      </c>
      <c r="BR123" s="49">
        <f t="shared" si="67"/>
        <v>0</v>
      </c>
      <c r="BS123" s="49">
        <f t="shared" si="68"/>
        <v>0</v>
      </c>
      <c r="BT123" s="49">
        <f t="shared" si="69"/>
        <v>1</v>
      </c>
      <c r="BU123" s="49">
        <f t="shared" si="70"/>
        <v>0</v>
      </c>
      <c r="BV123" s="49">
        <f t="shared" si="71"/>
        <v>0</v>
      </c>
      <c r="BW123" s="49">
        <f t="shared" si="72"/>
        <v>0</v>
      </c>
    </row>
    <row r="124" spans="1:75" ht="35.1" customHeight="1" x14ac:dyDescent="0.3">
      <c r="A124" s="123" t="str">
        <f t="shared" si="37"/>
        <v>1팀</v>
      </c>
      <c r="B124" s="69">
        <f t="shared" si="38"/>
        <v>118</v>
      </c>
      <c r="C124" s="121" t="str">
        <f>IF(VLOOKUP($B124,'1. 현장별 인원현황'!$C:$J,2,0)=0,"",VLOOKUP($B124,'1. 현장별 인원현황'!$C:$J,2,0))</f>
        <v xml:space="preserve"> [1.진흥기업] 해링턴 플레이스 감삼 신축공사</v>
      </c>
      <c r="D124" s="74" t="str">
        <f>IF(VLOOKUP($B124,'1. 현장별 인원현황'!$C:$J,3,0)=0,"",VLOOKUP($B124,'1. 현장별 인원현황'!$C:$J,3,0))</f>
        <v>권대엽</v>
      </c>
      <c r="E124" s="74" t="str">
        <f ca="1">IF(VLOOKUP($B124,'1. 현장별 인원현황'!$C:$J,4,0)=0,"",VLOOKUP($B124,'1. 현장별 인원현황'!$C:$J,4,0))</f>
        <v>54세</v>
      </c>
      <c r="F124" s="70" t="str">
        <f>IF(VLOOKUP($B124,'1. 현장별 인원현황'!$C:$J,7,0)=0,"",VLOOKUP($B124,'1. 현장별 인원현황'!$C:$J,7,0))</f>
        <v>기능공</v>
      </c>
      <c r="G124" s="72" t="str">
        <f>IF(VLOOKUP($B124,'1. 현장별 인원현황'!$C:$J,8,0)=0,"",VLOOKUP($B124,'1. 현장별 인원현황'!$C:$J,8,0))</f>
        <v>전공</v>
      </c>
      <c r="H124" s="67"/>
      <c r="I124" s="73" t="s">
        <v>69</v>
      </c>
      <c r="J124" s="73"/>
      <c r="K124" s="68"/>
      <c r="L124" s="67"/>
      <c r="M124" s="73" t="s">
        <v>69</v>
      </c>
      <c r="N124" s="73"/>
      <c r="O124" s="68"/>
      <c r="P124" s="67" t="s">
        <v>69</v>
      </c>
      <c r="Q124" s="73"/>
      <c r="R124" s="73"/>
      <c r="S124" s="68"/>
      <c r="T124" s="67"/>
      <c r="U124" s="73" t="s">
        <v>69</v>
      </c>
      <c r="V124" s="73"/>
      <c r="W124" s="68"/>
      <c r="X124" s="67"/>
      <c r="Y124" s="73" t="s">
        <v>69</v>
      </c>
      <c r="Z124" s="73"/>
      <c r="AA124" s="68"/>
      <c r="AB124" s="67"/>
      <c r="AC124" s="73" t="s">
        <v>69</v>
      </c>
      <c r="AD124" s="73"/>
      <c r="AE124" s="68"/>
      <c r="AF124" s="67"/>
      <c r="AG124" s="73" t="s">
        <v>69</v>
      </c>
      <c r="AH124" s="73"/>
      <c r="AI124" s="68"/>
      <c r="AJ124" s="67"/>
      <c r="AK124" s="73" t="s">
        <v>69</v>
      </c>
      <c r="AL124" s="73"/>
      <c r="AM124" s="68"/>
      <c r="AN124" s="67">
        <f t="shared" si="39"/>
        <v>76</v>
      </c>
      <c r="AO124" s="68" t="str">
        <f t="shared" si="40"/>
        <v>A</v>
      </c>
      <c r="AR124" s="49">
        <f t="shared" si="41"/>
        <v>0</v>
      </c>
      <c r="AS124" s="49">
        <f t="shared" si="42"/>
        <v>1</v>
      </c>
      <c r="AT124" s="49">
        <f t="shared" si="43"/>
        <v>0</v>
      </c>
      <c r="AU124" s="49">
        <f t="shared" si="44"/>
        <v>0</v>
      </c>
      <c r="AV124" s="49">
        <f t="shared" si="45"/>
        <v>0</v>
      </c>
      <c r="AW124" s="49">
        <f t="shared" si="46"/>
        <v>1</v>
      </c>
      <c r="AX124" s="49">
        <f t="shared" si="47"/>
        <v>0</v>
      </c>
      <c r="AY124" s="49">
        <f t="shared" si="48"/>
        <v>0</v>
      </c>
      <c r="AZ124" s="49">
        <f t="shared" si="49"/>
        <v>1</v>
      </c>
      <c r="BA124" s="49">
        <f t="shared" si="50"/>
        <v>0</v>
      </c>
      <c r="BB124" s="49">
        <f t="shared" si="51"/>
        <v>0</v>
      </c>
      <c r="BC124" s="49">
        <f t="shared" si="52"/>
        <v>0</v>
      </c>
      <c r="BD124" s="49">
        <f t="shared" si="53"/>
        <v>0</v>
      </c>
      <c r="BE124" s="49">
        <f t="shared" si="54"/>
        <v>1</v>
      </c>
      <c r="BF124" s="49">
        <f t="shared" si="55"/>
        <v>0</v>
      </c>
      <c r="BG124" s="49">
        <f t="shared" si="56"/>
        <v>0</v>
      </c>
      <c r="BH124" s="49">
        <f t="shared" si="57"/>
        <v>0</v>
      </c>
      <c r="BI124" s="49">
        <f t="shared" si="58"/>
        <v>1</v>
      </c>
      <c r="BJ124" s="49">
        <f t="shared" si="59"/>
        <v>0</v>
      </c>
      <c r="BK124" s="49">
        <f t="shared" si="60"/>
        <v>0</v>
      </c>
      <c r="BL124" s="49">
        <f t="shared" si="61"/>
        <v>0</v>
      </c>
      <c r="BM124" s="49">
        <f t="shared" si="62"/>
        <v>1</v>
      </c>
      <c r="BN124" s="49">
        <f t="shared" si="63"/>
        <v>0</v>
      </c>
      <c r="BO124" s="49">
        <f t="shared" si="64"/>
        <v>0</v>
      </c>
      <c r="BP124" s="49">
        <f t="shared" si="65"/>
        <v>0</v>
      </c>
      <c r="BQ124" s="49">
        <f t="shared" si="66"/>
        <v>1</v>
      </c>
      <c r="BR124" s="49">
        <f t="shared" si="67"/>
        <v>0</v>
      </c>
      <c r="BS124" s="49">
        <f t="shared" si="68"/>
        <v>0</v>
      </c>
      <c r="BT124" s="49">
        <f t="shared" si="69"/>
        <v>0</v>
      </c>
      <c r="BU124" s="49">
        <f t="shared" si="70"/>
        <v>1</v>
      </c>
      <c r="BV124" s="49">
        <f t="shared" si="71"/>
        <v>0</v>
      </c>
      <c r="BW124" s="49">
        <f t="shared" si="72"/>
        <v>0</v>
      </c>
    </row>
    <row r="125" spans="1:75" ht="35.1" customHeight="1" x14ac:dyDescent="0.3">
      <c r="A125" s="123" t="str">
        <f t="shared" si="37"/>
        <v>1팀</v>
      </c>
      <c r="B125" s="69">
        <f t="shared" si="38"/>
        <v>119</v>
      </c>
      <c r="C125" s="121" t="str">
        <f>IF(VLOOKUP($B125,'1. 현장별 인원현황'!$C:$J,2,0)=0,"",VLOOKUP($B125,'1. 현장별 인원현황'!$C:$J,2,0))</f>
        <v xml:space="preserve"> [1.진흥기업] 해링턴 플레이스 감삼 신축공사</v>
      </c>
      <c r="D125" s="74" t="str">
        <f>IF(VLOOKUP($B125,'1. 현장별 인원현황'!$C:$J,3,0)=0,"",VLOOKUP($B125,'1. 현장별 인원현황'!$C:$J,3,0))</f>
        <v>김민규</v>
      </c>
      <c r="E125" s="74" t="str">
        <f ca="1">IF(VLOOKUP($B125,'1. 현장별 인원현황'!$C:$J,4,0)=0,"",VLOOKUP($B125,'1. 현장별 인원현황'!$C:$J,4,0))</f>
        <v>27세</v>
      </c>
      <c r="F125" s="70" t="str">
        <f>IF(VLOOKUP($B125,'1. 현장별 인원현황'!$C:$J,7,0)=0,"",VLOOKUP($B125,'1. 현장별 인원현황'!$C:$J,7,0))</f>
        <v>기능공</v>
      </c>
      <c r="G125" s="72" t="str">
        <f>IF(VLOOKUP($B125,'1. 현장별 인원현황'!$C:$J,8,0)=0,"",VLOOKUP($B125,'1. 현장별 인원현황'!$C:$J,8,0))</f>
        <v>전공</v>
      </c>
      <c r="H125" s="67"/>
      <c r="I125" s="73" t="s">
        <v>69</v>
      </c>
      <c r="J125" s="73"/>
      <c r="K125" s="68"/>
      <c r="L125" s="67"/>
      <c r="M125" s="73" t="s">
        <v>69</v>
      </c>
      <c r="N125" s="73"/>
      <c r="O125" s="68"/>
      <c r="P125" s="67" t="s">
        <v>69</v>
      </c>
      <c r="Q125" s="73"/>
      <c r="R125" s="73"/>
      <c r="S125" s="68"/>
      <c r="T125" s="67"/>
      <c r="U125" s="73" t="s">
        <v>69</v>
      </c>
      <c r="V125" s="73"/>
      <c r="W125" s="68"/>
      <c r="X125" s="67"/>
      <c r="Y125" s="73" t="s">
        <v>69</v>
      </c>
      <c r="Z125" s="73"/>
      <c r="AA125" s="68"/>
      <c r="AB125" s="67"/>
      <c r="AC125" s="73" t="s">
        <v>69</v>
      </c>
      <c r="AD125" s="73"/>
      <c r="AE125" s="68"/>
      <c r="AF125" s="67"/>
      <c r="AG125" s="73" t="s">
        <v>69</v>
      </c>
      <c r="AH125" s="73"/>
      <c r="AI125" s="68"/>
      <c r="AJ125" s="67" t="s">
        <v>69</v>
      </c>
      <c r="AK125" s="73"/>
      <c r="AL125" s="73"/>
      <c r="AM125" s="68"/>
      <c r="AN125" s="67">
        <f t="shared" si="39"/>
        <v>79</v>
      </c>
      <c r="AO125" s="68" t="str">
        <f t="shared" si="40"/>
        <v>A</v>
      </c>
      <c r="AR125" s="49">
        <f t="shared" si="41"/>
        <v>0</v>
      </c>
      <c r="AS125" s="49">
        <f t="shared" si="42"/>
        <v>1</v>
      </c>
      <c r="AT125" s="49">
        <f t="shared" si="43"/>
        <v>0</v>
      </c>
      <c r="AU125" s="49">
        <f t="shared" si="44"/>
        <v>0</v>
      </c>
      <c r="AV125" s="49">
        <f t="shared" si="45"/>
        <v>0</v>
      </c>
      <c r="AW125" s="49">
        <f t="shared" si="46"/>
        <v>1</v>
      </c>
      <c r="AX125" s="49">
        <f t="shared" si="47"/>
        <v>0</v>
      </c>
      <c r="AY125" s="49">
        <f t="shared" si="48"/>
        <v>0</v>
      </c>
      <c r="AZ125" s="49">
        <f t="shared" si="49"/>
        <v>1</v>
      </c>
      <c r="BA125" s="49">
        <f t="shared" si="50"/>
        <v>0</v>
      </c>
      <c r="BB125" s="49">
        <f t="shared" si="51"/>
        <v>0</v>
      </c>
      <c r="BC125" s="49">
        <f t="shared" si="52"/>
        <v>0</v>
      </c>
      <c r="BD125" s="49">
        <f t="shared" si="53"/>
        <v>0</v>
      </c>
      <c r="BE125" s="49">
        <f t="shared" si="54"/>
        <v>1</v>
      </c>
      <c r="BF125" s="49">
        <f t="shared" si="55"/>
        <v>0</v>
      </c>
      <c r="BG125" s="49">
        <f t="shared" si="56"/>
        <v>0</v>
      </c>
      <c r="BH125" s="49">
        <f t="shared" si="57"/>
        <v>0</v>
      </c>
      <c r="BI125" s="49">
        <f t="shared" si="58"/>
        <v>1</v>
      </c>
      <c r="BJ125" s="49">
        <f t="shared" si="59"/>
        <v>0</v>
      </c>
      <c r="BK125" s="49">
        <f t="shared" si="60"/>
        <v>0</v>
      </c>
      <c r="BL125" s="49">
        <f t="shared" si="61"/>
        <v>0</v>
      </c>
      <c r="BM125" s="49">
        <f t="shared" si="62"/>
        <v>1</v>
      </c>
      <c r="BN125" s="49">
        <f t="shared" si="63"/>
        <v>0</v>
      </c>
      <c r="BO125" s="49">
        <f t="shared" si="64"/>
        <v>0</v>
      </c>
      <c r="BP125" s="49">
        <f t="shared" si="65"/>
        <v>0</v>
      </c>
      <c r="BQ125" s="49">
        <f t="shared" si="66"/>
        <v>1</v>
      </c>
      <c r="BR125" s="49">
        <f t="shared" si="67"/>
        <v>0</v>
      </c>
      <c r="BS125" s="49">
        <f t="shared" si="68"/>
        <v>0</v>
      </c>
      <c r="BT125" s="49">
        <f t="shared" si="69"/>
        <v>1</v>
      </c>
      <c r="BU125" s="49">
        <f t="shared" si="70"/>
        <v>0</v>
      </c>
      <c r="BV125" s="49">
        <f t="shared" si="71"/>
        <v>0</v>
      </c>
      <c r="BW125" s="49">
        <f t="shared" si="72"/>
        <v>0</v>
      </c>
    </row>
    <row r="126" spans="1:75" ht="35.1" customHeight="1" x14ac:dyDescent="0.3">
      <c r="A126" s="123" t="str">
        <f t="shared" si="37"/>
        <v>1팀</v>
      </c>
      <c r="B126" s="69">
        <f t="shared" si="38"/>
        <v>120</v>
      </c>
      <c r="C126" s="121" t="str">
        <f>IF(VLOOKUP($B126,'1. 현장별 인원현황'!$C:$J,2,0)=0,"",VLOOKUP($B126,'1. 현장별 인원현황'!$C:$J,2,0))</f>
        <v xml:space="preserve"> [1.진흥기업] 해링턴 플레이스 감삼 신축공사</v>
      </c>
      <c r="D126" s="74" t="str">
        <f>IF(VLOOKUP($B126,'1. 현장별 인원현황'!$C:$J,3,0)=0,"",VLOOKUP($B126,'1. 현장별 인원현황'!$C:$J,3,0))</f>
        <v>박도원</v>
      </c>
      <c r="E126" s="74" t="str">
        <f ca="1">IF(VLOOKUP($B126,'1. 현장별 인원현황'!$C:$J,4,0)=0,"",VLOOKUP($B126,'1. 현장별 인원현황'!$C:$J,4,0))</f>
        <v>31세</v>
      </c>
      <c r="F126" s="70" t="str">
        <f>IF(VLOOKUP($B126,'1. 현장별 인원현황'!$C:$J,7,0)=0,"",VLOOKUP($B126,'1. 현장별 인원현황'!$C:$J,7,0))</f>
        <v>기능공</v>
      </c>
      <c r="G126" s="72" t="str">
        <f>IF(VLOOKUP($B126,'1. 현장별 인원현황'!$C:$J,8,0)=0,"",VLOOKUP($B126,'1. 현장별 인원현황'!$C:$J,8,0))</f>
        <v>조공</v>
      </c>
      <c r="H126" s="67" t="s">
        <v>69</v>
      </c>
      <c r="I126" s="73"/>
      <c r="J126" s="73"/>
      <c r="K126" s="68"/>
      <c r="L126" s="67"/>
      <c r="M126" s="73" t="s">
        <v>69</v>
      </c>
      <c r="N126" s="73"/>
      <c r="O126" s="68"/>
      <c r="P126" s="67" t="s">
        <v>69</v>
      </c>
      <c r="Q126" s="73"/>
      <c r="R126" s="73"/>
      <c r="S126" s="68"/>
      <c r="T126" s="67"/>
      <c r="U126" s="73" t="s">
        <v>69</v>
      </c>
      <c r="V126" s="73"/>
      <c r="W126" s="68"/>
      <c r="X126" s="67" t="s">
        <v>69</v>
      </c>
      <c r="Y126" s="73"/>
      <c r="Z126" s="73"/>
      <c r="AA126" s="68"/>
      <c r="AB126" s="67" t="s">
        <v>69</v>
      </c>
      <c r="AC126" s="73"/>
      <c r="AD126" s="73"/>
      <c r="AE126" s="68"/>
      <c r="AF126" s="67"/>
      <c r="AG126" s="73" t="s">
        <v>69</v>
      </c>
      <c r="AH126" s="73"/>
      <c r="AI126" s="68"/>
      <c r="AJ126" s="67" t="s">
        <v>69</v>
      </c>
      <c r="AK126" s="73"/>
      <c r="AL126" s="73"/>
      <c r="AM126" s="68"/>
      <c r="AN126" s="67">
        <f t="shared" si="39"/>
        <v>89</v>
      </c>
      <c r="AO126" s="68" t="str">
        <f t="shared" si="40"/>
        <v>S</v>
      </c>
      <c r="AR126" s="49">
        <f t="shared" si="41"/>
        <v>1</v>
      </c>
      <c r="AS126" s="49">
        <f t="shared" si="42"/>
        <v>0</v>
      </c>
      <c r="AT126" s="49">
        <f t="shared" si="43"/>
        <v>0</v>
      </c>
      <c r="AU126" s="49">
        <f t="shared" si="44"/>
        <v>0</v>
      </c>
      <c r="AV126" s="49">
        <f t="shared" si="45"/>
        <v>0</v>
      </c>
      <c r="AW126" s="49">
        <f t="shared" si="46"/>
        <v>1</v>
      </c>
      <c r="AX126" s="49">
        <f t="shared" si="47"/>
        <v>0</v>
      </c>
      <c r="AY126" s="49">
        <f t="shared" si="48"/>
        <v>0</v>
      </c>
      <c r="AZ126" s="49">
        <f t="shared" si="49"/>
        <v>1</v>
      </c>
      <c r="BA126" s="49">
        <f t="shared" si="50"/>
        <v>0</v>
      </c>
      <c r="BB126" s="49">
        <f t="shared" si="51"/>
        <v>0</v>
      </c>
      <c r="BC126" s="49">
        <f t="shared" si="52"/>
        <v>0</v>
      </c>
      <c r="BD126" s="49">
        <f t="shared" si="53"/>
        <v>0</v>
      </c>
      <c r="BE126" s="49">
        <f t="shared" si="54"/>
        <v>1</v>
      </c>
      <c r="BF126" s="49">
        <f t="shared" si="55"/>
        <v>0</v>
      </c>
      <c r="BG126" s="49">
        <f t="shared" si="56"/>
        <v>0</v>
      </c>
      <c r="BH126" s="49">
        <f t="shared" si="57"/>
        <v>1</v>
      </c>
      <c r="BI126" s="49">
        <f t="shared" si="58"/>
        <v>0</v>
      </c>
      <c r="BJ126" s="49">
        <f t="shared" si="59"/>
        <v>0</v>
      </c>
      <c r="BK126" s="49">
        <f t="shared" si="60"/>
        <v>0</v>
      </c>
      <c r="BL126" s="49">
        <f t="shared" si="61"/>
        <v>1</v>
      </c>
      <c r="BM126" s="49">
        <f t="shared" si="62"/>
        <v>0</v>
      </c>
      <c r="BN126" s="49">
        <f t="shared" si="63"/>
        <v>0</v>
      </c>
      <c r="BO126" s="49">
        <f t="shared" si="64"/>
        <v>0</v>
      </c>
      <c r="BP126" s="49">
        <f t="shared" si="65"/>
        <v>0</v>
      </c>
      <c r="BQ126" s="49">
        <f t="shared" si="66"/>
        <v>1</v>
      </c>
      <c r="BR126" s="49">
        <f t="shared" si="67"/>
        <v>0</v>
      </c>
      <c r="BS126" s="49">
        <f t="shared" si="68"/>
        <v>0</v>
      </c>
      <c r="BT126" s="49">
        <f t="shared" si="69"/>
        <v>1</v>
      </c>
      <c r="BU126" s="49">
        <f t="shared" si="70"/>
        <v>0</v>
      </c>
      <c r="BV126" s="49">
        <f t="shared" si="71"/>
        <v>0</v>
      </c>
      <c r="BW126" s="49">
        <f t="shared" si="72"/>
        <v>0</v>
      </c>
    </row>
    <row r="127" spans="1:75" ht="35.1" customHeight="1" x14ac:dyDescent="0.3">
      <c r="A127" s="123" t="str">
        <f t="shared" si="37"/>
        <v>1팀</v>
      </c>
      <c r="B127" s="69">
        <f t="shared" si="38"/>
        <v>121</v>
      </c>
      <c r="C127" s="121" t="str">
        <f>IF(VLOOKUP($B127,'1. 현장별 인원현황'!$C:$J,2,0)=0,"",VLOOKUP($B127,'1. 현장별 인원현황'!$C:$J,2,0))</f>
        <v xml:space="preserve"> [1.진흥기업] 해링턴 플레이스 감삼 신축공사</v>
      </c>
      <c r="D127" s="74" t="str">
        <f>IF(VLOOKUP($B127,'1. 현장별 인원현황'!$C:$J,3,0)=0,"",VLOOKUP($B127,'1. 현장별 인원현황'!$C:$J,3,0))</f>
        <v>박민호</v>
      </c>
      <c r="E127" s="74" t="str">
        <f ca="1">IF(VLOOKUP($B127,'1. 현장별 인원현황'!$C:$J,4,0)=0,"",VLOOKUP($B127,'1. 현장별 인원현황'!$C:$J,4,0))</f>
        <v>55세</v>
      </c>
      <c r="F127" s="70" t="str">
        <f>IF(VLOOKUP($B127,'1. 현장별 인원현황'!$C:$J,7,0)=0,"",VLOOKUP($B127,'1. 현장별 인원현황'!$C:$J,7,0))</f>
        <v>기능공</v>
      </c>
      <c r="G127" s="72" t="str">
        <f>IF(VLOOKUP($B127,'1. 현장별 인원현황'!$C:$J,8,0)=0,"",VLOOKUP($B127,'1. 현장별 인원현황'!$C:$J,8,0))</f>
        <v>조공</v>
      </c>
      <c r="H127" s="67" t="s">
        <v>69</v>
      </c>
      <c r="I127" s="73"/>
      <c r="J127" s="73"/>
      <c r="K127" s="68"/>
      <c r="L127" s="67"/>
      <c r="M127" s="73" t="s">
        <v>69</v>
      </c>
      <c r="N127" s="73"/>
      <c r="O127" s="68"/>
      <c r="P127" s="67" t="s">
        <v>69</v>
      </c>
      <c r="Q127" s="73"/>
      <c r="R127" s="73"/>
      <c r="S127" s="68"/>
      <c r="T127" s="67"/>
      <c r="U127" s="73"/>
      <c r="V127" s="73" t="s">
        <v>69</v>
      </c>
      <c r="W127" s="68"/>
      <c r="X127" s="67" t="s">
        <v>69</v>
      </c>
      <c r="Y127" s="73"/>
      <c r="Z127" s="73"/>
      <c r="AA127" s="68"/>
      <c r="AB127" s="67" t="s">
        <v>69</v>
      </c>
      <c r="AC127" s="73"/>
      <c r="AD127" s="73"/>
      <c r="AE127" s="68"/>
      <c r="AF127" s="67"/>
      <c r="AG127" s="73"/>
      <c r="AH127" s="73" t="s">
        <v>69</v>
      </c>
      <c r="AI127" s="68"/>
      <c r="AJ127" s="67" t="s">
        <v>69</v>
      </c>
      <c r="AK127" s="73"/>
      <c r="AL127" s="73"/>
      <c r="AM127" s="68"/>
      <c r="AN127" s="67">
        <f t="shared" si="39"/>
        <v>82</v>
      </c>
      <c r="AO127" s="68" t="str">
        <f t="shared" si="40"/>
        <v>A</v>
      </c>
      <c r="AR127" s="49">
        <f t="shared" si="41"/>
        <v>1</v>
      </c>
      <c r="AS127" s="49">
        <f t="shared" si="42"/>
        <v>0</v>
      </c>
      <c r="AT127" s="49">
        <f t="shared" si="43"/>
        <v>0</v>
      </c>
      <c r="AU127" s="49">
        <f t="shared" si="44"/>
        <v>0</v>
      </c>
      <c r="AV127" s="49">
        <f t="shared" si="45"/>
        <v>0</v>
      </c>
      <c r="AW127" s="49">
        <f t="shared" si="46"/>
        <v>1</v>
      </c>
      <c r="AX127" s="49">
        <f t="shared" si="47"/>
        <v>0</v>
      </c>
      <c r="AY127" s="49">
        <f t="shared" si="48"/>
        <v>0</v>
      </c>
      <c r="AZ127" s="49">
        <f t="shared" si="49"/>
        <v>1</v>
      </c>
      <c r="BA127" s="49">
        <f t="shared" si="50"/>
        <v>0</v>
      </c>
      <c r="BB127" s="49">
        <f t="shared" si="51"/>
        <v>0</v>
      </c>
      <c r="BC127" s="49">
        <f t="shared" si="52"/>
        <v>0</v>
      </c>
      <c r="BD127" s="49">
        <f t="shared" si="53"/>
        <v>0</v>
      </c>
      <c r="BE127" s="49">
        <f t="shared" si="54"/>
        <v>0</v>
      </c>
      <c r="BF127" s="49">
        <f t="shared" si="55"/>
        <v>1</v>
      </c>
      <c r="BG127" s="49">
        <f t="shared" si="56"/>
        <v>0</v>
      </c>
      <c r="BH127" s="49">
        <f t="shared" si="57"/>
        <v>1</v>
      </c>
      <c r="BI127" s="49">
        <f t="shared" si="58"/>
        <v>0</v>
      </c>
      <c r="BJ127" s="49">
        <f t="shared" si="59"/>
        <v>0</v>
      </c>
      <c r="BK127" s="49">
        <f t="shared" si="60"/>
        <v>0</v>
      </c>
      <c r="BL127" s="49">
        <f t="shared" si="61"/>
        <v>1</v>
      </c>
      <c r="BM127" s="49">
        <f t="shared" si="62"/>
        <v>0</v>
      </c>
      <c r="BN127" s="49">
        <f t="shared" si="63"/>
        <v>0</v>
      </c>
      <c r="BO127" s="49">
        <f t="shared" si="64"/>
        <v>0</v>
      </c>
      <c r="BP127" s="49">
        <f t="shared" si="65"/>
        <v>0</v>
      </c>
      <c r="BQ127" s="49">
        <f t="shared" si="66"/>
        <v>0</v>
      </c>
      <c r="BR127" s="49">
        <f t="shared" si="67"/>
        <v>1</v>
      </c>
      <c r="BS127" s="49">
        <f t="shared" si="68"/>
        <v>0</v>
      </c>
      <c r="BT127" s="49">
        <f t="shared" si="69"/>
        <v>1</v>
      </c>
      <c r="BU127" s="49">
        <f t="shared" si="70"/>
        <v>0</v>
      </c>
      <c r="BV127" s="49">
        <f t="shared" si="71"/>
        <v>0</v>
      </c>
      <c r="BW127" s="49">
        <f t="shared" si="72"/>
        <v>0</v>
      </c>
    </row>
    <row r="128" spans="1:75" ht="35.1" customHeight="1" x14ac:dyDescent="0.3">
      <c r="A128" s="123" t="str">
        <f t="shared" si="37"/>
        <v>1팀</v>
      </c>
      <c r="B128" s="69">
        <f t="shared" si="38"/>
        <v>122</v>
      </c>
      <c r="C128" s="121" t="str">
        <f>IF(VLOOKUP($B128,'1. 현장별 인원현황'!$C:$J,2,0)=0,"",VLOOKUP($B128,'1. 현장별 인원현황'!$C:$J,2,0))</f>
        <v xml:space="preserve"> [1.진흥기업] 해링턴 플레이스 감삼 신축공사</v>
      </c>
      <c r="D128" s="74" t="str">
        <f>IF(VLOOKUP($B128,'1. 현장별 인원현황'!$C:$J,3,0)=0,"",VLOOKUP($B128,'1. 현장별 인원현황'!$C:$J,3,0))</f>
        <v>박성호</v>
      </c>
      <c r="E128" s="74" t="str">
        <f ca="1">IF(VLOOKUP($B128,'1. 현장별 인원현황'!$C:$J,4,0)=0,"",VLOOKUP($B128,'1. 현장별 인원현황'!$C:$J,4,0))</f>
        <v>58세</v>
      </c>
      <c r="F128" s="70" t="str">
        <f>IF(VLOOKUP($B128,'1. 현장별 인원현황'!$C:$J,7,0)=0,"",VLOOKUP($B128,'1. 현장별 인원현황'!$C:$J,7,0))</f>
        <v>기능공</v>
      </c>
      <c r="G128" s="72" t="str">
        <f>IF(VLOOKUP($B128,'1. 현장별 인원현황'!$C:$J,8,0)=0,"",VLOOKUP($B128,'1. 현장별 인원현황'!$C:$J,8,0))</f>
        <v>전공</v>
      </c>
      <c r="H128" s="67" t="s">
        <v>69</v>
      </c>
      <c r="I128" s="73"/>
      <c r="J128" s="73"/>
      <c r="K128" s="68"/>
      <c r="L128" s="67"/>
      <c r="M128" s="73" t="s">
        <v>69</v>
      </c>
      <c r="N128" s="73"/>
      <c r="O128" s="68"/>
      <c r="P128" s="67" t="s">
        <v>69</v>
      </c>
      <c r="Q128" s="73"/>
      <c r="R128" s="73"/>
      <c r="S128" s="68"/>
      <c r="T128" s="67"/>
      <c r="U128" s="73" t="s">
        <v>69</v>
      </c>
      <c r="V128" s="73"/>
      <c r="W128" s="68"/>
      <c r="X128" s="67" t="s">
        <v>69</v>
      </c>
      <c r="Y128" s="73"/>
      <c r="Z128" s="73"/>
      <c r="AA128" s="68"/>
      <c r="AB128" s="67" t="s">
        <v>69</v>
      </c>
      <c r="AC128" s="73"/>
      <c r="AD128" s="73"/>
      <c r="AE128" s="68"/>
      <c r="AF128" s="67"/>
      <c r="AG128" s="73" t="s">
        <v>69</v>
      </c>
      <c r="AH128" s="73"/>
      <c r="AI128" s="68"/>
      <c r="AJ128" s="67" t="s">
        <v>69</v>
      </c>
      <c r="AK128" s="73"/>
      <c r="AL128" s="73"/>
      <c r="AM128" s="68"/>
      <c r="AN128" s="67">
        <f t="shared" si="39"/>
        <v>89</v>
      </c>
      <c r="AO128" s="68" t="str">
        <f t="shared" si="40"/>
        <v>S</v>
      </c>
      <c r="AR128" s="49">
        <f t="shared" si="41"/>
        <v>1</v>
      </c>
      <c r="AS128" s="49">
        <f t="shared" si="42"/>
        <v>0</v>
      </c>
      <c r="AT128" s="49">
        <f t="shared" si="43"/>
        <v>0</v>
      </c>
      <c r="AU128" s="49">
        <f t="shared" si="44"/>
        <v>0</v>
      </c>
      <c r="AV128" s="49">
        <f t="shared" si="45"/>
        <v>0</v>
      </c>
      <c r="AW128" s="49">
        <f t="shared" si="46"/>
        <v>1</v>
      </c>
      <c r="AX128" s="49">
        <f t="shared" si="47"/>
        <v>0</v>
      </c>
      <c r="AY128" s="49">
        <f t="shared" si="48"/>
        <v>0</v>
      </c>
      <c r="AZ128" s="49">
        <f t="shared" si="49"/>
        <v>1</v>
      </c>
      <c r="BA128" s="49">
        <f t="shared" si="50"/>
        <v>0</v>
      </c>
      <c r="BB128" s="49">
        <f t="shared" si="51"/>
        <v>0</v>
      </c>
      <c r="BC128" s="49">
        <f t="shared" si="52"/>
        <v>0</v>
      </c>
      <c r="BD128" s="49">
        <f t="shared" si="53"/>
        <v>0</v>
      </c>
      <c r="BE128" s="49">
        <f t="shared" si="54"/>
        <v>1</v>
      </c>
      <c r="BF128" s="49">
        <f t="shared" si="55"/>
        <v>0</v>
      </c>
      <c r="BG128" s="49">
        <f t="shared" si="56"/>
        <v>0</v>
      </c>
      <c r="BH128" s="49">
        <f t="shared" si="57"/>
        <v>1</v>
      </c>
      <c r="BI128" s="49">
        <f t="shared" si="58"/>
        <v>0</v>
      </c>
      <c r="BJ128" s="49">
        <f t="shared" si="59"/>
        <v>0</v>
      </c>
      <c r="BK128" s="49">
        <f t="shared" si="60"/>
        <v>0</v>
      </c>
      <c r="BL128" s="49">
        <f t="shared" si="61"/>
        <v>1</v>
      </c>
      <c r="BM128" s="49">
        <f t="shared" si="62"/>
        <v>0</v>
      </c>
      <c r="BN128" s="49">
        <f t="shared" si="63"/>
        <v>0</v>
      </c>
      <c r="BO128" s="49">
        <f t="shared" si="64"/>
        <v>0</v>
      </c>
      <c r="BP128" s="49">
        <f t="shared" si="65"/>
        <v>0</v>
      </c>
      <c r="BQ128" s="49">
        <f t="shared" si="66"/>
        <v>1</v>
      </c>
      <c r="BR128" s="49">
        <f t="shared" si="67"/>
        <v>0</v>
      </c>
      <c r="BS128" s="49">
        <f t="shared" si="68"/>
        <v>0</v>
      </c>
      <c r="BT128" s="49">
        <f t="shared" si="69"/>
        <v>1</v>
      </c>
      <c r="BU128" s="49">
        <f t="shared" si="70"/>
        <v>0</v>
      </c>
      <c r="BV128" s="49">
        <f t="shared" si="71"/>
        <v>0</v>
      </c>
      <c r="BW128" s="49">
        <f t="shared" si="72"/>
        <v>0</v>
      </c>
    </row>
    <row r="129" spans="1:75" ht="35.1" customHeight="1" x14ac:dyDescent="0.3">
      <c r="A129" s="123" t="str">
        <f t="shared" si="37"/>
        <v>1팀</v>
      </c>
      <c r="B129" s="136">
        <f t="shared" si="38"/>
        <v>123</v>
      </c>
      <c r="C129" s="139" t="str">
        <f>IF(VLOOKUP($B129,'1. 현장별 인원현황'!$C:$J,2,0)=0,"",VLOOKUP($B129,'1. 현장별 인원현황'!$C:$J,2,0))</f>
        <v xml:space="preserve"> [1.진흥기업] 해링턴 플레이스 감삼 신축공사</v>
      </c>
      <c r="D129" s="140" t="str">
        <f>IF(VLOOKUP($B129,'1. 현장별 인원현황'!$C:$J,3,0)=0,"",VLOOKUP($B129,'1. 현장별 인원현황'!$C:$J,3,0))</f>
        <v>박찬선</v>
      </c>
      <c r="E129" s="140" t="str">
        <f ca="1">IF(VLOOKUP($B129,'1. 현장별 인원현황'!$C:$J,4,0)=0,"",VLOOKUP($B129,'1. 현장별 인원현황'!$C:$J,4,0))</f>
        <v>52세</v>
      </c>
      <c r="F129" s="137" t="str">
        <f>IF(VLOOKUP($B129,'1. 현장별 인원현황'!$C:$J,7,0)=0,"",VLOOKUP($B129,'1. 현장별 인원현황'!$C:$J,7,0))</f>
        <v>기능공</v>
      </c>
      <c r="G129" s="138" t="str">
        <f>IF(VLOOKUP($B129,'1. 현장별 인원현황'!$C:$J,8,0)=0,"",VLOOKUP($B129,'1. 현장별 인원현황'!$C:$J,8,0))</f>
        <v>전공</v>
      </c>
      <c r="H129" s="136"/>
      <c r="I129" s="137"/>
      <c r="J129" s="137"/>
      <c r="K129" s="138" t="s">
        <v>69</v>
      </c>
      <c r="L129" s="136"/>
      <c r="M129" s="137" t="s">
        <v>69</v>
      </c>
      <c r="N129" s="137"/>
      <c r="O129" s="138"/>
      <c r="P129" s="136" t="s">
        <v>69</v>
      </c>
      <c r="Q129" s="137"/>
      <c r="R129" s="137"/>
      <c r="S129" s="138"/>
      <c r="T129" s="136"/>
      <c r="U129" s="137"/>
      <c r="V129" s="137" t="s">
        <v>69</v>
      </c>
      <c r="W129" s="138"/>
      <c r="X129" s="136"/>
      <c r="Y129" s="137" t="s">
        <v>69</v>
      </c>
      <c r="Z129" s="137"/>
      <c r="AA129" s="138"/>
      <c r="AB129" s="136"/>
      <c r="AC129" s="137" t="s">
        <v>69</v>
      </c>
      <c r="AD129" s="137"/>
      <c r="AE129" s="138"/>
      <c r="AF129" s="136"/>
      <c r="AG129" s="137"/>
      <c r="AH129" s="137" t="s">
        <v>69</v>
      </c>
      <c r="AI129" s="138"/>
      <c r="AJ129" s="136"/>
      <c r="AK129" s="137" t="s">
        <v>69</v>
      </c>
      <c r="AL129" s="137"/>
      <c r="AM129" s="138"/>
      <c r="AN129" s="136">
        <f t="shared" si="39"/>
        <v>61</v>
      </c>
      <c r="AO129" s="138" t="str">
        <f t="shared" si="40"/>
        <v>B</v>
      </c>
      <c r="AR129" s="49">
        <f t="shared" si="41"/>
        <v>0</v>
      </c>
      <c r="AS129" s="49">
        <f t="shared" si="42"/>
        <v>0</v>
      </c>
      <c r="AT129" s="49">
        <f t="shared" si="43"/>
        <v>0</v>
      </c>
      <c r="AU129" s="49">
        <f t="shared" si="44"/>
        <v>1</v>
      </c>
      <c r="AV129" s="49">
        <f t="shared" si="45"/>
        <v>0</v>
      </c>
      <c r="AW129" s="49">
        <f t="shared" si="46"/>
        <v>1</v>
      </c>
      <c r="AX129" s="49">
        <f t="shared" si="47"/>
        <v>0</v>
      </c>
      <c r="AY129" s="49">
        <f t="shared" si="48"/>
        <v>0</v>
      </c>
      <c r="AZ129" s="49">
        <f t="shared" si="49"/>
        <v>1</v>
      </c>
      <c r="BA129" s="49">
        <f t="shared" si="50"/>
        <v>0</v>
      </c>
      <c r="BB129" s="49">
        <f t="shared" si="51"/>
        <v>0</v>
      </c>
      <c r="BC129" s="49">
        <f t="shared" si="52"/>
        <v>0</v>
      </c>
      <c r="BD129" s="49">
        <f t="shared" si="53"/>
        <v>0</v>
      </c>
      <c r="BE129" s="49">
        <f t="shared" si="54"/>
        <v>0</v>
      </c>
      <c r="BF129" s="49">
        <f t="shared" si="55"/>
        <v>1</v>
      </c>
      <c r="BG129" s="49">
        <f t="shared" si="56"/>
        <v>0</v>
      </c>
      <c r="BH129" s="49">
        <f t="shared" si="57"/>
        <v>0</v>
      </c>
      <c r="BI129" s="49">
        <f t="shared" si="58"/>
        <v>1</v>
      </c>
      <c r="BJ129" s="49">
        <f t="shared" si="59"/>
        <v>0</v>
      </c>
      <c r="BK129" s="49">
        <f t="shared" si="60"/>
        <v>0</v>
      </c>
      <c r="BL129" s="49">
        <f t="shared" si="61"/>
        <v>0</v>
      </c>
      <c r="BM129" s="49">
        <f t="shared" si="62"/>
        <v>1</v>
      </c>
      <c r="BN129" s="49">
        <f t="shared" si="63"/>
        <v>0</v>
      </c>
      <c r="BO129" s="49">
        <f t="shared" si="64"/>
        <v>0</v>
      </c>
      <c r="BP129" s="49">
        <f t="shared" si="65"/>
        <v>0</v>
      </c>
      <c r="BQ129" s="49">
        <f t="shared" si="66"/>
        <v>0</v>
      </c>
      <c r="BR129" s="49">
        <f t="shared" si="67"/>
        <v>1</v>
      </c>
      <c r="BS129" s="49">
        <f t="shared" si="68"/>
        <v>0</v>
      </c>
      <c r="BT129" s="49">
        <f t="shared" si="69"/>
        <v>0</v>
      </c>
      <c r="BU129" s="49">
        <f t="shared" si="70"/>
        <v>1</v>
      </c>
      <c r="BV129" s="49">
        <f t="shared" si="71"/>
        <v>0</v>
      </c>
      <c r="BW129" s="49">
        <f t="shared" si="72"/>
        <v>0</v>
      </c>
    </row>
    <row r="130" spans="1:75" ht="35.1" customHeight="1" x14ac:dyDescent="0.3">
      <c r="A130" s="123" t="str">
        <f t="shared" si="37"/>
        <v>1팀</v>
      </c>
      <c r="B130" s="69">
        <f t="shared" si="38"/>
        <v>124</v>
      </c>
      <c r="C130" s="121" t="str">
        <f>IF(VLOOKUP($B130,'1. 현장별 인원현황'!$C:$J,2,0)=0,"",VLOOKUP($B130,'1. 현장별 인원현황'!$C:$J,2,0))</f>
        <v xml:space="preserve"> [1.진흥기업] 해링턴 플레이스 감삼 신축공사</v>
      </c>
      <c r="D130" s="74" t="str">
        <f>IF(VLOOKUP($B130,'1. 현장별 인원현황'!$C:$J,3,0)=0,"",VLOOKUP($B130,'1. 현장별 인원현황'!$C:$J,3,0))</f>
        <v>손동호</v>
      </c>
      <c r="E130" s="74" t="str">
        <f ca="1">IF(VLOOKUP($B130,'1. 현장별 인원현황'!$C:$J,4,0)=0,"",VLOOKUP($B130,'1. 현장별 인원현황'!$C:$J,4,0))</f>
        <v>55세</v>
      </c>
      <c r="F130" s="70" t="str">
        <f>IF(VLOOKUP($B130,'1. 현장별 인원현황'!$C:$J,7,0)=0,"",VLOOKUP($B130,'1. 현장별 인원현황'!$C:$J,7,0))</f>
        <v>기능공</v>
      </c>
      <c r="G130" s="72" t="str">
        <f>IF(VLOOKUP($B130,'1. 현장별 인원현황'!$C:$J,8,0)=0,"",VLOOKUP($B130,'1. 현장별 인원현황'!$C:$J,8,0))</f>
        <v>전공</v>
      </c>
      <c r="H130" s="67" t="s">
        <v>69</v>
      </c>
      <c r="I130" s="73"/>
      <c r="J130" s="73"/>
      <c r="K130" s="68"/>
      <c r="L130" s="67"/>
      <c r="M130" s="73" t="s">
        <v>69</v>
      </c>
      <c r="N130" s="73"/>
      <c r="O130" s="68"/>
      <c r="P130" s="67" t="s">
        <v>69</v>
      </c>
      <c r="Q130" s="73"/>
      <c r="R130" s="73"/>
      <c r="S130" s="68"/>
      <c r="T130" s="67"/>
      <c r="U130" s="73" t="s">
        <v>69</v>
      </c>
      <c r="V130" s="73"/>
      <c r="W130" s="68"/>
      <c r="X130" s="67" t="s">
        <v>69</v>
      </c>
      <c r="Y130" s="73"/>
      <c r="Z130" s="73"/>
      <c r="AA130" s="68"/>
      <c r="AB130" s="67" t="s">
        <v>69</v>
      </c>
      <c r="AC130" s="73"/>
      <c r="AD130" s="73"/>
      <c r="AE130" s="68"/>
      <c r="AF130" s="67"/>
      <c r="AG130" s="73" t="s">
        <v>69</v>
      </c>
      <c r="AH130" s="73"/>
      <c r="AI130" s="68"/>
      <c r="AJ130" s="67" t="s">
        <v>69</v>
      </c>
      <c r="AK130" s="73"/>
      <c r="AL130" s="73"/>
      <c r="AM130" s="68"/>
      <c r="AN130" s="67">
        <f t="shared" si="39"/>
        <v>89</v>
      </c>
      <c r="AO130" s="68" t="str">
        <f t="shared" si="40"/>
        <v>S</v>
      </c>
      <c r="AR130" s="49">
        <f t="shared" si="41"/>
        <v>1</v>
      </c>
      <c r="AS130" s="49">
        <f t="shared" si="42"/>
        <v>0</v>
      </c>
      <c r="AT130" s="49">
        <f t="shared" si="43"/>
        <v>0</v>
      </c>
      <c r="AU130" s="49">
        <f t="shared" si="44"/>
        <v>0</v>
      </c>
      <c r="AV130" s="49">
        <f t="shared" si="45"/>
        <v>0</v>
      </c>
      <c r="AW130" s="49">
        <f t="shared" si="46"/>
        <v>1</v>
      </c>
      <c r="AX130" s="49">
        <f t="shared" si="47"/>
        <v>0</v>
      </c>
      <c r="AY130" s="49">
        <f t="shared" si="48"/>
        <v>0</v>
      </c>
      <c r="AZ130" s="49">
        <f t="shared" si="49"/>
        <v>1</v>
      </c>
      <c r="BA130" s="49">
        <f t="shared" si="50"/>
        <v>0</v>
      </c>
      <c r="BB130" s="49">
        <f t="shared" si="51"/>
        <v>0</v>
      </c>
      <c r="BC130" s="49">
        <f t="shared" si="52"/>
        <v>0</v>
      </c>
      <c r="BD130" s="49">
        <f t="shared" si="53"/>
        <v>0</v>
      </c>
      <c r="BE130" s="49">
        <f t="shared" si="54"/>
        <v>1</v>
      </c>
      <c r="BF130" s="49">
        <f t="shared" si="55"/>
        <v>0</v>
      </c>
      <c r="BG130" s="49">
        <f t="shared" si="56"/>
        <v>0</v>
      </c>
      <c r="BH130" s="49">
        <f t="shared" si="57"/>
        <v>1</v>
      </c>
      <c r="BI130" s="49">
        <f t="shared" si="58"/>
        <v>0</v>
      </c>
      <c r="BJ130" s="49">
        <f t="shared" si="59"/>
        <v>0</v>
      </c>
      <c r="BK130" s="49">
        <f t="shared" si="60"/>
        <v>0</v>
      </c>
      <c r="BL130" s="49">
        <f t="shared" si="61"/>
        <v>1</v>
      </c>
      <c r="BM130" s="49">
        <f t="shared" si="62"/>
        <v>0</v>
      </c>
      <c r="BN130" s="49">
        <f t="shared" si="63"/>
        <v>0</v>
      </c>
      <c r="BO130" s="49">
        <f t="shared" si="64"/>
        <v>0</v>
      </c>
      <c r="BP130" s="49">
        <f t="shared" si="65"/>
        <v>0</v>
      </c>
      <c r="BQ130" s="49">
        <f t="shared" si="66"/>
        <v>1</v>
      </c>
      <c r="BR130" s="49">
        <f t="shared" si="67"/>
        <v>0</v>
      </c>
      <c r="BS130" s="49">
        <f t="shared" si="68"/>
        <v>0</v>
      </c>
      <c r="BT130" s="49">
        <f t="shared" si="69"/>
        <v>1</v>
      </c>
      <c r="BU130" s="49">
        <f t="shared" si="70"/>
        <v>0</v>
      </c>
      <c r="BV130" s="49">
        <f t="shared" si="71"/>
        <v>0</v>
      </c>
      <c r="BW130" s="49">
        <f t="shared" si="72"/>
        <v>0</v>
      </c>
    </row>
    <row r="131" spans="1:75" ht="35.1" customHeight="1" x14ac:dyDescent="0.3">
      <c r="A131" s="123" t="str">
        <f t="shared" si="37"/>
        <v>1팀</v>
      </c>
      <c r="B131" s="69">
        <f t="shared" si="38"/>
        <v>125</v>
      </c>
      <c r="C131" s="121" t="str">
        <f>IF(VLOOKUP($B131,'1. 현장별 인원현황'!$C:$J,2,0)=0,"",VLOOKUP($B131,'1. 현장별 인원현황'!$C:$J,2,0))</f>
        <v xml:space="preserve"> [1.진흥기업] 해링턴 플레이스 감삼 신축공사</v>
      </c>
      <c r="D131" s="74" t="str">
        <f>IF(VLOOKUP($B131,'1. 현장별 인원현황'!$C:$J,3,0)=0,"",VLOOKUP($B131,'1. 현장별 인원현황'!$C:$J,3,0))</f>
        <v>장경수</v>
      </c>
      <c r="E131" s="74" t="str">
        <f ca="1">IF(VLOOKUP($B131,'1. 현장별 인원현황'!$C:$J,4,0)=0,"",VLOOKUP($B131,'1. 현장별 인원현황'!$C:$J,4,0))</f>
        <v>52세</v>
      </c>
      <c r="F131" s="70" t="str">
        <f>IF(VLOOKUP($B131,'1. 현장별 인원현황'!$C:$J,7,0)=0,"",VLOOKUP($B131,'1. 현장별 인원현황'!$C:$J,7,0))</f>
        <v>기능공</v>
      </c>
      <c r="G131" s="72" t="str">
        <f>IF(VLOOKUP($B131,'1. 현장별 인원현황'!$C:$J,8,0)=0,"",VLOOKUP($B131,'1. 현장별 인원현황'!$C:$J,8,0))</f>
        <v>전공</v>
      </c>
      <c r="H131" s="67" t="s">
        <v>69</v>
      </c>
      <c r="I131" s="73"/>
      <c r="J131" s="73"/>
      <c r="K131" s="68"/>
      <c r="L131" s="67"/>
      <c r="M131" s="73" t="s">
        <v>69</v>
      </c>
      <c r="N131" s="73"/>
      <c r="O131" s="68"/>
      <c r="P131" s="67" t="s">
        <v>69</v>
      </c>
      <c r="Q131" s="73"/>
      <c r="R131" s="73"/>
      <c r="S131" s="68"/>
      <c r="T131" s="67"/>
      <c r="U131" s="73" t="s">
        <v>69</v>
      </c>
      <c r="V131" s="73"/>
      <c r="W131" s="68"/>
      <c r="X131" s="67" t="s">
        <v>69</v>
      </c>
      <c r="Y131" s="73"/>
      <c r="Z131" s="73"/>
      <c r="AA131" s="68"/>
      <c r="AB131" s="67" t="s">
        <v>69</v>
      </c>
      <c r="AC131" s="73"/>
      <c r="AD131" s="73"/>
      <c r="AE131" s="68"/>
      <c r="AF131" s="67"/>
      <c r="AG131" s="73" t="s">
        <v>69</v>
      </c>
      <c r="AH131" s="73"/>
      <c r="AI131" s="68"/>
      <c r="AJ131" s="67" t="s">
        <v>69</v>
      </c>
      <c r="AK131" s="73"/>
      <c r="AL131" s="73"/>
      <c r="AM131" s="68"/>
      <c r="AN131" s="67">
        <f t="shared" si="39"/>
        <v>89</v>
      </c>
      <c r="AO131" s="68" t="str">
        <f t="shared" si="40"/>
        <v>S</v>
      </c>
      <c r="AR131" s="49">
        <f t="shared" si="41"/>
        <v>1</v>
      </c>
      <c r="AS131" s="49">
        <f t="shared" si="42"/>
        <v>0</v>
      </c>
      <c r="AT131" s="49">
        <f t="shared" si="43"/>
        <v>0</v>
      </c>
      <c r="AU131" s="49">
        <f t="shared" si="44"/>
        <v>0</v>
      </c>
      <c r="AV131" s="49">
        <f t="shared" si="45"/>
        <v>0</v>
      </c>
      <c r="AW131" s="49">
        <f t="shared" si="46"/>
        <v>1</v>
      </c>
      <c r="AX131" s="49">
        <f t="shared" si="47"/>
        <v>0</v>
      </c>
      <c r="AY131" s="49">
        <f t="shared" si="48"/>
        <v>0</v>
      </c>
      <c r="AZ131" s="49">
        <f t="shared" si="49"/>
        <v>1</v>
      </c>
      <c r="BA131" s="49">
        <f t="shared" si="50"/>
        <v>0</v>
      </c>
      <c r="BB131" s="49">
        <f t="shared" si="51"/>
        <v>0</v>
      </c>
      <c r="BC131" s="49">
        <f t="shared" si="52"/>
        <v>0</v>
      </c>
      <c r="BD131" s="49">
        <f t="shared" si="53"/>
        <v>0</v>
      </c>
      <c r="BE131" s="49">
        <f t="shared" si="54"/>
        <v>1</v>
      </c>
      <c r="BF131" s="49">
        <f t="shared" si="55"/>
        <v>0</v>
      </c>
      <c r="BG131" s="49">
        <f t="shared" si="56"/>
        <v>0</v>
      </c>
      <c r="BH131" s="49">
        <f t="shared" si="57"/>
        <v>1</v>
      </c>
      <c r="BI131" s="49">
        <f t="shared" si="58"/>
        <v>0</v>
      </c>
      <c r="BJ131" s="49">
        <f t="shared" si="59"/>
        <v>0</v>
      </c>
      <c r="BK131" s="49">
        <f t="shared" si="60"/>
        <v>0</v>
      </c>
      <c r="BL131" s="49">
        <f t="shared" si="61"/>
        <v>1</v>
      </c>
      <c r="BM131" s="49">
        <f t="shared" si="62"/>
        <v>0</v>
      </c>
      <c r="BN131" s="49">
        <f t="shared" si="63"/>
        <v>0</v>
      </c>
      <c r="BO131" s="49">
        <f t="shared" si="64"/>
        <v>0</v>
      </c>
      <c r="BP131" s="49">
        <f t="shared" si="65"/>
        <v>0</v>
      </c>
      <c r="BQ131" s="49">
        <f t="shared" si="66"/>
        <v>1</v>
      </c>
      <c r="BR131" s="49">
        <f t="shared" si="67"/>
        <v>0</v>
      </c>
      <c r="BS131" s="49">
        <f t="shared" si="68"/>
        <v>0</v>
      </c>
      <c r="BT131" s="49">
        <f t="shared" si="69"/>
        <v>1</v>
      </c>
      <c r="BU131" s="49">
        <f t="shared" si="70"/>
        <v>0</v>
      </c>
      <c r="BV131" s="49">
        <f t="shared" si="71"/>
        <v>0</v>
      </c>
      <c r="BW131" s="49">
        <f t="shared" si="72"/>
        <v>0</v>
      </c>
    </row>
    <row r="132" spans="1:75" ht="35.1" customHeight="1" x14ac:dyDescent="0.3">
      <c r="A132" s="123" t="str">
        <f t="shared" si="37"/>
        <v>1팀</v>
      </c>
      <c r="B132" s="69">
        <f t="shared" si="38"/>
        <v>126</v>
      </c>
      <c r="C132" s="121" t="str">
        <f>IF(VLOOKUP($B132,'1. 현장별 인원현황'!$C:$J,2,0)=0,"",VLOOKUP($B132,'1. 현장별 인원현황'!$C:$J,2,0))</f>
        <v xml:space="preserve"> [1.진흥기업] 해링턴 플레이스 감삼 신축공사</v>
      </c>
      <c r="D132" s="74" t="str">
        <f>IF(VLOOKUP($B132,'1. 현장별 인원현황'!$C:$J,3,0)=0,"",VLOOKUP($B132,'1. 현장별 인원현황'!$C:$J,3,0))</f>
        <v>장덕구</v>
      </c>
      <c r="E132" s="74" t="str">
        <f ca="1">IF(VLOOKUP($B132,'1. 현장별 인원현황'!$C:$J,4,0)=0,"",VLOOKUP($B132,'1. 현장별 인원현황'!$C:$J,4,0))</f>
        <v>52세</v>
      </c>
      <c r="F132" s="70" t="str">
        <f>IF(VLOOKUP($B132,'1. 현장별 인원현황'!$C:$J,7,0)=0,"",VLOOKUP($B132,'1. 현장별 인원현황'!$C:$J,7,0))</f>
        <v>기능공</v>
      </c>
      <c r="G132" s="72" t="str">
        <f>IF(VLOOKUP($B132,'1. 현장별 인원현황'!$C:$J,8,0)=0,"",VLOOKUP($B132,'1. 현장별 인원현황'!$C:$J,8,0))</f>
        <v>전공</v>
      </c>
      <c r="H132" s="67" t="s">
        <v>69</v>
      </c>
      <c r="I132" s="73"/>
      <c r="J132" s="73"/>
      <c r="K132" s="68"/>
      <c r="L132" s="67"/>
      <c r="M132" s="73" t="s">
        <v>69</v>
      </c>
      <c r="N132" s="73"/>
      <c r="O132" s="68"/>
      <c r="P132" s="67" t="s">
        <v>69</v>
      </c>
      <c r="Q132" s="73"/>
      <c r="R132" s="73"/>
      <c r="S132" s="68"/>
      <c r="T132" s="67"/>
      <c r="U132" s="73" t="s">
        <v>69</v>
      </c>
      <c r="V132" s="73"/>
      <c r="W132" s="68"/>
      <c r="X132" s="67" t="s">
        <v>69</v>
      </c>
      <c r="Y132" s="73"/>
      <c r="Z132" s="73"/>
      <c r="AA132" s="68"/>
      <c r="AB132" s="67" t="s">
        <v>69</v>
      </c>
      <c r="AC132" s="73"/>
      <c r="AD132" s="73"/>
      <c r="AE132" s="68"/>
      <c r="AF132" s="67"/>
      <c r="AG132" s="73" t="s">
        <v>69</v>
      </c>
      <c r="AH132" s="73"/>
      <c r="AI132" s="68"/>
      <c r="AJ132" s="67" t="s">
        <v>69</v>
      </c>
      <c r="AK132" s="73"/>
      <c r="AL132" s="73"/>
      <c r="AM132" s="68"/>
      <c r="AN132" s="67">
        <f t="shared" si="39"/>
        <v>89</v>
      </c>
      <c r="AO132" s="68" t="str">
        <f t="shared" si="40"/>
        <v>S</v>
      </c>
      <c r="AR132" s="49">
        <f t="shared" ref="AR132:AR147" si="105">IF(H132&gt;0,1,0)</f>
        <v>1</v>
      </c>
      <c r="AS132" s="49">
        <f t="shared" ref="AS132:AS147" si="106">IF(I132&gt;0,1,0)</f>
        <v>0</v>
      </c>
      <c r="AT132" s="49">
        <f t="shared" ref="AT132:AT147" si="107">IF(J132&gt;0,1,0)</f>
        <v>0</v>
      </c>
      <c r="AU132" s="49">
        <f t="shared" ref="AU132:AU147" si="108">IF(K132&gt;0,1,0)</f>
        <v>0</v>
      </c>
      <c r="AV132" s="49">
        <f t="shared" ref="AV132:AV147" si="109">IF(L132&gt;0,1,0)</f>
        <v>0</v>
      </c>
      <c r="AW132" s="49">
        <f t="shared" ref="AW132:AW147" si="110">IF(M132&gt;0,1,0)</f>
        <v>1</v>
      </c>
      <c r="AX132" s="49">
        <f t="shared" ref="AX132:AX147" si="111">IF(N132&gt;0,1,0)</f>
        <v>0</v>
      </c>
      <c r="AY132" s="49">
        <f t="shared" ref="AY132:AY147" si="112">IF(O132&gt;0,1,0)</f>
        <v>0</v>
      </c>
      <c r="AZ132" s="49">
        <f t="shared" ref="AZ132:AZ147" si="113">IF(P132&gt;0,1,0)</f>
        <v>1</v>
      </c>
      <c r="BA132" s="49">
        <f t="shared" ref="BA132:BA147" si="114">IF(Q132&gt;0,1,0)</f>
        <v>0</v>
      </c>
      <c r="BB132" s="49">
        <f t="shared" ref="BB132:BB147" si="115">IF(R132&gt;0,1,0)</f>
        <v>0</v>
      </c>
      <c r="BC132" s="49">
        <f t="shared" ref="BC132:BC147" si="116">IF(S132&gt;0,1,0)</f>
        <v>0</v>
      </c>
      <c r="BD132" s="49">
        <f t="shared" ref="BD132:BD147" si="117">IF(T132&gt;0,1,0)</f>
        <v>0</v>
      </c>
      <c r="BE132" s="49">
        <f t="shared" ref="BE132:BE147" si="118">IF(U132&gt;0,1,0)</f>
        <v>1</v>
      </c>
      <c r="BF132" s="49">
        <f t="shared" ref="BF132:BF147" si="119">IF(V132&gt;0,1,0)</f>
        <v>0</v>
      </c>
      <c r="BG132" s="49">
        <f t="shared" ref="BG132:BG147" si="120">IF(W132&gt;0,1,0)</f>
        <v>0</v>
      </c>
      <c r="BH132" s="49">
        <f t="shared" ref="BH132:BH147" si="121">IF(X132&gt;0,1,0)</f>
        <v>1</v>
      </c>
      <c r="BI132" s="49">
        <f t="shared" ref="BI132:BI147" si="122">IF(Y132&gt;0,1,0)</f>
        <v>0</v>
      </c>
      <c r="BJ132" s="49">
        <f t="shared" ref="BJ132:BJ147" si="123">IF(Z132&gt;0,1,0)</f>
        <v>0</v>
      </c>
      <c r="BK132" s="49">
        <f t="shared" ref="BK132:BK147" si="124">IF(AA132&gt;0,1,0)</f>
        <v>0</v>
      </c>
      <c r="BL132" s="49">
        <f t="shared" ref="BL132:BL147" si="125">IF(AB132&gt;0,1,0)</f>
        <v>1</v>
      </c>
      <c r="BM132" s="49">
        <f t="shared" ref="BM132:BM147" si="126">IF(AC132&gt;0,1,0)</f>
        <v>0</v>
      </c>
      <c r="BN132" s="49">
        <f t="shared" ref="BN132:BN147" si="127">IF(AD132&gt;0,1,0)</f>
        <v>0</v>
      </c>
      <c r="BO132" s="49">
        <f t="shared" ref="BO132:BO147" si="128">IF(AE132&gt;0,1,0)</f>
        <v>0</v>
      </c>
      <c r="BP132" s="49">
        <f t="shared" ref="BP132:BP147" si="129">IF(AF132&gt;0,1,0)</f>
        <v>0</v>
      </c>
      <c r="BQ132" s="49">
        <f t="shared" ref="BQ132:BQ147" si="130">IF(AG132&gt;0,1,0)</f>
        <v>1</v>
      </c>
      <c r="BR132" s="49">
        <f t="shared" ref="BR132:BR147" si="131">IF(AH132&gt;0,1,0)</f>
        <v>0</v>
      </c>
      <c r="BS132" s="49">
        <f t="shared" ref="BS132:BS147" si="132">IF(AI132&gt;0,1,0)</f>
        <v>0</v>
      </c>
      <c r="BT132" s="49">
        <f t="shared" ref="BT132:BT147" si="133">IF(AJ132&gt;0,1,0)</f>
        <v>1</v>
      </c>
      <c r="BU132" s="49">
        <f t="shared" ref="BU132:BU147" si="134">IF(AK132&gt;0,1,0)</f>
        <v>0</v>
      </c>
      <c r="BV132" s="49">
        <f t="shared" ref="BV132:BV147" si="135">IF(AL132&gt;0,1,0)</f>
        <v>0</v>
      </c>
      <c r="BW132" s="49">
        <f t="shared" ref="BW132:BW147" si="136">IF(AM132&gt;0,1,0)</f>
        <v>0</v>
      </c>
    </row>
    <row r="133" spans="1:75" ht="35.1" customHeight="1" x14ac:dyDescent="0.3">
      <c r="A133" s="123" t="str">
        <f t="shared" si="37"/>
        <v>1팀</v>
      </c>
      <c r="B133" s="69">
        <f t="shared" si="38"/>
        <v>127</v>
      </c>
      <c r="C133" s="121" t="str">
        <f>IF(VLOOKUP($B133,'1. 현장별 인원현황'!$C:$J,2,0)=0,"",VLOOKUP($B133,'1. 현장별 인원현황'!$C:$J,2,0))</f>
        <v xml:space="preserve"> [1.진흥기업] 해링턴 플레이스 감삼 신축공사</v>
      </c>
      <c r="D133" s="74" t="str">
        <f>IF(VLOOKUP($B133,'1. 현장별 인원현황'!$C:$J,3,0)=0,"",VLOOKUP($B133,'1. 현장별 인원현황'!$C:$J,3,0))</f>
        <v>전광민</v>
      </c>
      <c r="E133" s="74" t="str">
        <f ca="1">IF(VLOOKUP($B133,'1. 현장별 인원현황'!$C:$J,4,0)=0,"",VLOOKUP($B133,'1. 현장별 인원현황'!$C:$J,4,0))</f>
        <v>31세</v>
      </c>
      <c r="F133" s="70" t="str">
        <f>IF(VLOOKUP($B133,'1. 현장별 인원현황'!$C:$J,7,0)=0,"",VLOOKUP($B133,'1. 현장별 인원현황'!$C:$J,7,0))</f>
        <v>기능공</v>
      </c>
      <c r="G133" s="72" t="str">
        <f>IF(VLOOKUP($B133,'1. 현장별 인원현황'!$C:$J,8,0)=0,"",VLOOKUP($B133,'1. 현장별 인원현황'!$C:$J,8,0))</f>
        <v>전공</v>
      </c>
      <c r="H133" s="67" t="s">
        <v>69</v>
      </c>
      <c r="I133" s="73"/>
      <c r="J133" s="73"/>
      <c r="K133" s="68"/>
      <c r="L133" s="67"/>
      <c r="M133" s="73" t="s">
        <v>69</v>
      </c>
      <c r="N133" s="73"/>
      <c r="O133" s="68"/>
      <c r="P133" s="67" t="s">
        <v>69</v>
      </c>
      <c r="Q133" s="73"/>
      <c r="R133" s="73"/>
      <c r="S133" s="68"/>
      <c r="T133" s="67"/>
      <c r="U133" s="73" t="s">
        <v>69</v>
      </c>
      <c r="V133" s="73"/>
      <c r="W133" s="68"/>
      <c r="X133" s="67" t="s">
        <v>69</v>
      </c>
      <c r="Y133" s="73"/>
      <c r="Z133" s="73"/>
      <c r="AA133" s="68"/>
      <c r="AB133" s="67" t="s">
        <v>69</v>
      </c>
      <c r="AC133" s="73"/>
      <c r="AD133" s="73"/>
      <c r="AE133" s="68"/>
      <c r="AF133" s="67"/>
      <c r="AG133" s="73" t="s">
        <v>69</v>
      </c>
      <c r="AH133" s="73"/>
      <c r="AI133" s="68"/>
      <c r="AJ133" s="67" t="s">
        <v>69</v>
      </c>
      <c r="AK133" s="73"/>
      <c r="AL133" s="73"/>
      <c r="AM133" s="68"/>
      <c r="AN133" s="67">
        <f t="shared" si="39"/>
        <v>89</v>
      </c>
      <c r="AO133" s="68" t="str">
        <f t="shared" si="40"/>
        <v>S</v>
      </c>
      <c r="AR133" s="49">
        <f t="shared" si="105"/>
        <v>1</v>
      </c>
      <c r="AS133" s="49">
        <f t="shared" si="106"/>
        <v>0</v>
      </c>
      <c r="AT133" s="49">
        <f t="shared" si="107"/>
        <v>0</v>
      </c>
      <c r="AU133" s="49">
        <f t="shared" si="108"/>
        <v>0</v>
      </c>
      <c r="AV133" s="49">
        <f t="shared" si="109"/>
        <v>0</v>
      </c>
      <c r="AW133" s="49">
        <f t="shared" si="110"/>
        <v>1</v>
      </c>
      <c r="AX133" s="49">
        <f t="shared" si="111"/>
        <v>0</v>
      </c>
      <c r="AY133" s="49">
        <f t="shared" si="112"/>
        <v>0</v>
      </c>
      <c r="AZ133" s="49">
        <f t="shared" si="113"/>
        <v>1</v>
      </c>
      <c r="BA133" s="49">
        <f t="shared" si="114"/>
        <v>0</v>
      </c>
      <c r="BB133" s="49">
        <f t="shared" si="115"/>
        <v>0</v>
      </c>
      <c r="BC133" s="49">
        <f t="shared" si="116"/>
        <v>0</v>
      </c>
      <c r="BD133" s="49">
        <f t="shared" si="117"/>
        <v>0</v>
      </c>
      <c r="BE133" s="49">
        <f t="shared" si="118"/>
        <v>1</v>
      </c>
      <c r="BF133" s="49">
        <f t="shared" si="119"/>
        <v>0</v>
      </c>
      <c r="BG133" s="49">
        <f t="shared" si="120"/>
        <v>0</v>
      </c>
      <c r="BH133" s="49">
        <f t="shared" si="121"/>
        <v>1</v>
      </c>
      <c r="BI133" s="49">
        <f t="shared" si="122"/>
        <v>0</v>
      </c>
      <c r="BJ133" s="49">
        <f t="shared" si="123"/>
        <v>0</v>
      </c>
      <c r="BK133" s="49">
        <f t="shared" si="124"/>
        <v>0</v>
      </c>
      <c r="BL133" s="49">
        <f t="shared" si="125"/>
        <v>1</v>
      </c>
      <c r="BM133" s="49">
        <f t="shared" si="126"/>
        <v>0</v>
      </c>
      <c r="BN133" s="49">
        <f t="shared" si="127"/>
        <v>0</v>
      </c>
      <c r="BO133" s="49">
        <f t="shared" si="128"/>
        <v>0</v>
      </c>
      <c r="BP133" s="49">
        <f t="shared" si="129"/>
        <v>0</v>
      </c>
      <c r="BQ133" s="49">
        <f t="shared" si="130"/>
        <v>1</v>
      </c>
      <c r="BR133" s="49">
        <f t="shared" si="131"/>
        <v>0</v>
      </c>
      <c r="BS133" s="49">
        <f t="shared" si="132"/>
        <v>0</v>
      </c>
      <c r="BT133" s="49">
        <f t="shared" si="133"/>
        <v>1</v>
      </c>
      <c r="BU133" s="49">
        <f t="shared" si="134"/>
        <v>0</v>
      </c>
      <c r="BV133" s="49">
        <f t="shared" si="135"/>
        <v>0</v>
      </c>
      <c r="BW133" s="49">
        <f t="shared" si="136"/>
        <v>0</v>
      </c>
    </row>
    <row r="134" spans="1:75" ht="35.1" customHeight="1" x14ac:dyDescent="0.3">
      <c r="A134" s="123" t="str">
        <f t="shared" si="37"/>
        <v>1팀</v>
      </c>
      <c r="B134" s="69">
        <f t="shared" si="38"/>
        <v>128</v>
      </c>
      <c r="C134" s="121" t="str">
        <f>IF(VLOOKUP($B134,'1. 현장별 인원현황'!$C:$J,2,0)=0,"",VLOOKUP($B134,'1. 현장별 인원현황'!$C:$J,2,0))</f>
        <v xml:space="preserve"> [1.진흥기업] 해링턴 플레이스 감삼 신축공사</v>
      </c>
      <c r="D134" s="74" t="str">
        <f>IF(VLOOKUP($B134,'1. 현장별 인원현황'!$C:$J,3,0)=0,"",VLOOKUP($B134,'1. 현장별 인원현황'!$C:$J,3,0))</f>
        <v>정종필</v>
      </c>
      <c r="E134" s="74" t="str">
        <f ca="1">IF(VLOOKUP($B134,'1. 현장별 인원현황'!$C:$J,4,0)=0,"",VLOOKUP($B134,'1. 현장별 인원현황'!$C:$J,4,0))</f>
        <v>49세</v>
      </c>
      <c r="F134" s="70" t="str">
        <f>IF(VLOOKUP($B134,'1. 현장별 인원현황'!$C:$J,7,0)=0,"",VLOOKUP($B134,'1. 현장별 인원현황'!$C:$J,7,0))</f>
        <v>기능공</v>
      </c>
      <c r="G134" s="72" t="str">
        <f>IF(VLOOKUP($B134,'1. 현장별 인원현황'!$C:$J,8,0)=0,"",VLOOKUP($B134,'1. 현장별 인원현황'!$C:$J,8,0))</f>
        <v>전공</v>
      </c>
      <c r="H134" s="67" t="s">
        <v>69</v>
      </c>
      <c r="I134" s="73"/>
      <c r="J134" s="73"/>
      <c r="K134" s="68"/>
      <c r="L134" s="67"/>
      <c r="M134" s="73" t="s">
        <v>69</v>
      </c>
      <c r="N134" s="73"/>
      <c r="O134" s="68"/>
      <c r="P134" s="67" t="s">
        <v>69</v>
      </c>
      <c r="Q134" s="73"/>
      <c r="R134" s="73"/>
      <c r="S134" s="68"/>
      <c r="T134" s="67"/>
      <c r="U134" s="73"/>
      <c r="V134" s="73" t="s">
        <v>69</v>
      </c>
      <c r="W134" s="68"/>
      <c r="X134" s="67" t="s">
        <v>69</v>
      </c>
      <c r="Y134" s="73"/>
      <c r="Z134" s="73"/>
      <c r="AA134" s="68"/>
      <c r="AB134" s="67" t="s">
        <v>69</v>
      </c>
      <c r="AC134" s="73"/>
      <c r="AD134" s="73"/>
      <c r="AE134" s="68"/>
      <c r="AF134" s="67"/>
      <c r="AG134" s="73" t="s">
        <v>69</v>
      </c>
      <c r="AH134" s="73"/>
      <c r="AI134" s="68"/>
      <c r="AJ134" s="67" t="s">
        <v>69</v>
      </c>
      <c r="AK134" s="73"/>
      <c r="AL134" s="73"/>
      <c r="AM134" s="68"/>
      <c r="AN134" s="67">
        <f t="shared" si="39"/>
        <v>85</v>
      </c>
      <c r="AO134" s="68" t="str">
        <f t="shared" si="40"/>
        <v>A</v>
      </c>
      <c r="AR134" s="49">
        <f t="shared" si="105"/>
        <v>1</v>
      </c>
      <c r="AS134" s="49">
        <f t="shared" si="106"/>
        <v>0</v>
      </c>
      <c r="AT134" s="49">
        <f t="shared" si="107"/>
        <v>0</v>
      </c>
      <c r="AU134" s="49">
        <f t="shared" si="108"/>
        <v>0</v>
      </c>
      <c r="AV134" s="49">
        <f t="shared" si="109"/>
        <v>0</v>
      </c>
      <c r="AW134" s="49">
        <f t="shared" si="110"/>
        <v>1</v>
      </c>
      <c r="AX134" s="49">
        <f t="shared" si="111"/>
        <v>0</v>
      </c>
      <c r="AY134" s="49">
        <f t="shared" si="112"/>
        <v>0</v>
      </c>
      <c r="AZ134" s="49">
        <f t="shared" si="113"/>
        <v>1</v>
      </c>
      <c r="BA134" s="49">
        <f t="shared" si="114"/>
        <v>0</v>
      </c>
      <c r="BB134" s="49">
        <f t="shared" si="115"/>
        <v>0</v>
      </c>
      <c r="BC134" s="49">
        <f t="shared" si="116"/>
        <v>0</v>
      </c>
      <c r="BD134" s="49">
        <f t="shared" si="117"/>
        <v>0</v>
      </c>
      <c r="BE134" s="49">
        <f t="shared" si="118"/>
        <v>0</v>
      </c>
      <c r="BF134" s="49">
        <f t="shared" si="119"/>
        <v>1</v>
      </c>
      <c r="BG134" s="49">
        <f t="shared" si="120"/>
        <v>0</v>
      </c>
      <c r="BH134" s="49">
        <f t="shared" si="121"/>
        <v>1</v>
      </c>
      <c r="BI134" s="49">
        <f t="shared" si="122"/>
        <v>0</v>
      </c>
      <c r="BJ134" s="49">
        <f t="shared" si="123"/>
        <v>0</v>
      </c>
      <c r="BK134" s="49">
        <f t="shared" si="124"/>
        <v>0</v>
      </c>
      <c r="BL134" s="49">
        <f t="shared" si="125"/>
        <v>1</v>
      </c>
      <c r="BM134" s="49">
        <f t="shared" si="126"/>
        <v>0</v>
      </c>
      <c r="BN134" s="49">
        <f t="shared" si="127"/>
        <v>0</v>
      </c>
      <c r="BO134" s="49">
        <f t="shared" si="128"/>
        <v>0</v>
      </c>
      <c r="BP134" s="49">
        <f t="shared" si="129"/>
        <v>0</v>
      </c>
      <c r="BQ134" s="49">
        <f t="shared" si="130"/>
        <v>1</v>
      </c>
      <c r="BR134" s="49">
        <f t="shared" si="131"/>
        <v>0</v>
      </c>
      <c r="BS134" s="49">
        <f t="shared" si="132"/>
        <v>0</v>
      </c>
      <c r="BT134" s="49">
        <f t="shared" si="133"/>
        <v>1</v>
      </c>
      <c r="BU134" s="49">
        <f t="shared" si="134"/>
        <v>0</v>
      </c>
      <c r="BV134" s="49">
        <f t="shared" si="135"/>
        <v>0</v>
      </c>
      <c r="BW134" s="49">
        <f t="shared" si="136"/>
        <v>0</v>
      </c>
    </row>
    <row r="135" spans="1:75" ht="35.1" customHeight="1" x14ac:dyDescent="0.3">
      <c r="A135" s="123" t="str">
        <f t="shared" ref="A135:A198" si="137">MID(C135,3,1)&amp;"팀"</f>
        <v>1팀</v>
      </c>
      <c r="B135" s="69">
        <f t="shared" ref="B135:B198" si="138">ROW()-6</f>
        <v>129</v>
      </c>
      <c r="C135" s="121" t="str">
        <f>IF(VLOOKUP($B135,'1. 현장별 인원현황'!$C:$J,2,0)=0,"",VLOOKUP($B135,'1. 현장별 인원현황'!$C:$J,2,0))</f>
        <v xml:space="preserve"> [1.포스코건설] 영종-청라 연결도로(제3연륙교) 건설공사 제2공구 전기 및 통신공사</v>
      </c>
      <c r="D135" s="74" t="str">
        <f>IF(VLOOKUP($B135,'1. 현장별 인원현황'!$C:$J,3,0)=0,"",VLOOKUP($B135,'1. 현장별 인원현황'!$C:$J,3,0))</f>
        <v>정두환</v>
      </c>
      <c r="E135" s="74" t="str">
        <f ca="1">IF(VLOOKUP($B135,'1. 현장별 인원현황'!$C:$J,4,0)=0,"",VLOOKUP($B135,'1. 현장별 인원현황'!$C:$J,4,0))</f>
        <v>63세</v>
      </c>
      <c r="F135" s="70" t="str">
        <f>IF(VLOOKUP($B135,'1. 현장별 인원현황'!$C:$J,7,0)=0,"",VLOOKUP($B135,'1. 현장별 인원현황'!$C:$J,7,0))</f>
        <v>공사</v>
      </c>
      <c r="G135" s="72" t="str">
        <f>IF(VLOOKUP($B135,'1. 현장별 인원현황'!$C:$J,8,0)=0,"",VLOOKUP($B135,'1. 현장별 인원현황'!$C:$J,8,0))</f>
        <v>차장</v>
      </c>
      <c r="H135" s="67" t="s">
        <v>69</v>
      </c>
      <c r="I135" s="73"/>
      <c r="J135" s="73"/>
      <c r="K135" s="68"/>
      <c r="L135" s="67"/>
      <c r="M135" s="73" t="s">
        <v>69</v>
      </c>
      <c r="N135" s="73"/>
      <c r="O135" s="68"/>
      <c r="P135" s="67" t="s">
        <v>69</v>
      </c>
      <c r="Q135" s="73"/>
      <c r="R135" s="73"/>
      <c r="S135" s="68"/>
      <c r="T135" s="67"/>
      <c r="U135" s="73" t="s">
        <v>69</v>
      </c>
      <c r="V135" s="73"/>
      <c r="W135" s="68"/>
      <c r="X135" s="67"/>
      <c r="Y135" s="73" t="s">
        <v>69</v>
      </c>
      <c r="Z135" s="73"/>
      <c r="AA135" s="68"/>
      <c r="AB135" s="67" t="s">
        <v>69</v>
      </c>
      <c r="AC135" s="73"/>
      <c r="AD135" s="73"/>
      <c r="AE135" s="68"/>
      <c r="AF135" s="67"/>
      <c r="AG135" s="73" t="s">
        <v>69</v>
      </c>
      <c r="AH135" s="73"/>
      <c r="AI135" s="68"/>
      <c r="AJ135" s="67" t="s">
        <v>69</v>
      </c>
      <c r="AK135" s="73"/>
      <c r="AL135" s="73"/>
      <c r="AM135" s="68"/>
      <c r="AN135" s="67">
        <f t="shared" ref="AN135:AN198" si="139">SUMPRODUCT($H$5:$AM$5,AR135:BW135)</f>
        <v>85</v>
      </c>
      <c r="AO135" s="68" t="str">
        <f t="shared" ref="AO135:AO198" si="140">IF(AN135&gt;85,"S",IF(AN135&gt;70,"A",IF(AN135&gt;50,"B",IF(AN135&gt;0,"C",""))))</f>
        <v>A</v>
      </c>
      <c r="AR135" s="49">
        <f t="shared" si="105"/>
        <v>1</v>
      </c>
      <c r="AS135" s="49">
        <f t="shared" si="106"/>
        <v>0</v>
      </c>
      <c r="AT135" s="49">
        <f t="shared" si="107"/>
        <v>0</v>
      </c>
      <c r="AU135" s="49">
        <f t="shared" si="108"/>
        <v>0</v>
      </c>
      <c r="AV135" s="49">
        <f t="shared" si="109"/>
        <v>0</v>
      </c>
      <c r="AW135" s="49">
        <f t="shared" si="110"/>
        <v>1</v>
      </c>
      <c r="AX135" s="49">
        <f t="shared" si="111"/>
        <v>0</v>
      </c>
      <c r="AY135" s="49">
        <f t="shared" si="112"/>
        <v>0</v>
      </c>
      <c r="AZ135" s="49">
        <f t="shared" si="113"/>
        <v>1</v>
      </c>
      <c r="BA135" s="49">
        <f t="shared" si="114"/>
        <v>0</v>
      </c>
      <c r="BB135" s="49">
        <f t="shared" si="115"/>
        <v>0</v>
      </c>
      <c r="BC135" s="49">
        <f t="shared" si="116"/>
        <v>0</v>
      </c>
      <c r="BD135" s="49">
        <f t="shared" si="117"/>
        <v>0</v>
      </c>
      <c r="BE135" s="49">
        <f t="shared" si="118"/>
        <v>1</v>
      </c>
      <c r="BF135" s="49">
        <f t="shared" si="119"/>
        <v>0</v>
      </c>
      <c r="BG135" s="49">
        <f t="shared" si="120"/>
        <v>0</v>
      </c>
      <c r="BH135" s="49">
        <f t="shared" si="121"/>
        <v>0</v>
      </c>
      <c r="BI135" s="49">
        <f t="shared" si="122"/>
        <v>1</v>
      </c>
      <c r="BJ135" s="49">
        <f t="shared" si="123"/>
        <v>0</v>
      </c>
      <c r="BK135" s="49">
        <f t="shared" si="124"/>
        <v>0</v>
      </c>
      <c r="BL135" s="49">
        <f t="shared" si="125"/>
        <v>1</v>
      </c>
      <c r="BM135" s="49">
        <f t="shared" si="126"/>
        <v>0</v>
      </c>
      <c r="BN135" s="49">
        <f t="shared" si="127"/>
        <v>0</v>
      </c>
      <c r="BO135" s="49">
        <f t="shared" si="128"/>
        <v>0</v>
      </c>
      <c r="BP135" s="49">
        <f t="shared" si="129"/>
        <v>0</v>
      </c>
      <c r="BQ135" s="49">
        <f t="shared" si="130"/>
        <v>1</v>
      </c>
      <c r="BR135" s="49">
        <f t="shared" si="131"/>
        <v>0</v>
      </c>
      <c r="BS135" s="49">
        <f t="shared" si="132"/>
        <v>0</v>
      </c>
      <c r="BT135" s="49">
        <f t="shared" si="133"/>
        <v>1</v>
      </c>
      <c r="BU135" s="49">
        <f t="shared" si="134"/>
        <v>0</v>
      </c>
      <c r="BV135" s="49">
        <f t="shared" si="135"/>
        <v>0</v>
      </c>
      <c r="BW135" s="49">
        <f t="shared" si="136"/>
        <v>0</v>
      </c>
    </row>
    <row r="136" spans="1:75" ht="35.1" customHeight="1" x14ac:dyDescent="0.3">
      <c r="A136" s="123" t="str">
        <f t="shared" si="137"/>
        <v>1팀</v>
      </c>
      <c r="B136" s="69">
        <f t="shared" si="138"/>
        <v>130</v>
      </c>
      <c r="C136" s="121" t="str">
        <f>IF(VLOOKUP($B136,'1. 현장별 인원현황'!$C:$J,2,0)=0,"",VLOOKUP($B136,'1. 현장별 인원현황'!$C:$J,2,0))</f>
        <v xml:space="preserve"> [1.포스코건설] 영종-청라 연결도로(제3연륙교) 건설공사 제2공구 전기 및 통신공사</v>
      </c>
      <c r="D136" s="74" t="str">
        <f>IF(VLOOKUP($B136,'1. 현장별 인원현황'!$C:$J,3,0)=0,"",VLOOKUP($B136,'1. 현장별 인원현황'!$C:$J,3,0))</f>
        <v>윤동환</v>
      </c>
      <c r="E136" s="74" t="str">
        <f ca="1">IF(VLOOKUP($B136,'1. 현장별 인원현황'!$C:$J,4,0)=0,"",VLOOKUP($B136,'1. 현장별 인원현황'!$C:$J,4,0))</f>
        <v>31세</v>
      </c>
      <c r="F136" s="70" t="str">
        <f>IF(VLOOKUP($B136,'1. 현장별 인원현황'!$C:$J,7,0)=0,"",VLOOKUP($B136,'1. 현장별 인원현황'!$C:$J,7,0))</f>
        <v>안전관리자</v>
      </c>
      <c r="G136" s="72" t="str">
        <f>IF(VLOOKUP($B136,'1. 현장별 인원현황'!$C:$J,8,0)=0,"",VLOOKUP($B136,'1. 현장별 인원현황'!$C:$J,8,0))</f>
        <v>대리</v>
      </c>
      <c r="H136" s="67" t="s">
        <v>69</v>
      </c>
      <c r="I136" s="73"/>
      <c r="J136" s="73"/>
      <c r="K136" s="68"/>
      <c r="L136" s="67"/>
      <c r="M136" s="73" t="s">
        <v>69</v>
      </c>
      <c r="N136" s="73"/>
      <c r="O136" s="68"/>
      <c r="P136" s="67" t="s">
        <v>69</v>
      </c>
      <c r="Q136" s="73"/>
      <c r="R136" s="73"/>
      <c r="S136" s="68"/>
      <c r="T136" s="67"/>
      <c r="U136" s="73" t="s">
        <v>69</v>
      </c>
      <c r="V136" s="73"/>
      <c r="W136" s="68"/>
      <c r="X136" s="67"/>
      <c r="Y136" s="73" t="s">
        <v>69</v>
      </c>
      <c r="Z136" s="73"/>
      <c r="AA136" s="68"/>
      <c r="AB136" s="67" t="s">
        <v>69</v>
      </c>
      <c r="AC136" s="73"/>
      <c r="AD136" s="73"/>
      <c r="AE136" s="68"/>
      <c r="AF136" s="67"/>
      <c r="AG136" s="73" t="s">
        <v>69</v>
      </c>
      <c r="AH136" s="73"/>
      <c r="AI136" s="68"/>
      <c r="AJ136" s="67" t="s">
        <v>69</v>
      </c>
      <c r="AK136" s="73"/>
      <c r="AL136" s="73"/>
      <c r="AM136" s="68"/>
      <c r="AN136" s="67">
        <f t="shared" si="139"/>
        <v>85</v>
      </c>
      <c r="AO136" s="68" t="str">
        <f t="shared" si="140"/>
        <v>A</v>
      </c>
      <c r="AR136" s="49">
        <f t="shared" si="105"/>
        <v>1</v>
      </c>
      <c r="AS136" s="49">
        <f t="shared" si="106"/>
        <v>0</v>
      </c>
      <c r="AT136" s="49">
        <f t="shared" si="107"/>
        <v>0</v>
      </c>
      <c r="AU136" s="49">
        <f t="shared" si="108"/>
        <v>0</v>
      </c>
      <c r="AV136" s="49">
        <f t="shared" si="109"/>
        <v>0</v>
      </c>
      <c r="AW136" s="49">
        <f t="shared" si="110"/>
        <v>1</v>
      </c>
      <c r="AX136" s="49">
        <f t="shared" si="111"/>
        <v>0</v>
      </c>
      <c r="AY136" s="49">
        <f t="shared" si="112"/>
        <v>0</v>
      </c>
      <c r="AZ136" s="49">
        <f t="shared" si="113"/>
        <v>1</v>
      </c>
      <c r="BA136" s="49">
        <f t="shared" si="114"/>
        <v>0</v>
      </c>
      <c r="BB136" s="49">
        <f t="shared" si="115"/>
        <v>0</v>
      </c>
      <c r="BC136" s="49">
        <f t="shared" si="116"/>
        <v>0</v>
      </c>
      <c r="BD136" s="49">
        <f t="shared" si="117"/>
        <v>0</v>
      </c>
      <c r="BE136" s="49">
        <f t="shared" si="118"/>
        <v>1</v>
      </c>
      <c r="BF136" s="49">
        <f t="shared" si="119"/>
        <v>0</v>
      </c>
      <c r="BG136" s="49">
        <f t="shared" si="120"/>
        <v>0</v>
      </c>
      <c r="BH136" s="49">
        <f t="shared" si="121"/>
        <v>0</v>
      </c>
      <c r="BI136" s="49">
        <f t="shared" si="122"/>
        <v>1</v>
      </c>
      <c r="BJ136" s="49">
        <f t="shared" si="123"/>
        <v>0</v>
      </c>
      <c r="BK136" s="49">
        <f t="shared" si="124"/>
        <v>0</v>
      </c>
      <c r="BL136" s="49">
        <f t="shared" si="125"/>
        <v>1</v>
      </c>
      <c r="BM136" s="49">
        <f t="shared" si="126"/>
        <v>0</v>
      </c>
      <c r="BN136" s="49">
        <f t="shared" si="127"/>
        <v>0</v>
      </c>
      <c r="BO136" s="49">
        <f t="shared" si="128"/>
        <v>0</v>
      </c>
      <c r="BP136" s="49">
        <f t="shared" si="129"/>
        <v>0</v>
      </c>
      <c r="BQ136" s="49">
        <f t="shared" si="130"/>
        <v>1</v>
      </c>
      <c r="BR136" s="49">
        <f t="shared" si="131"/>
        <v>0</v>
      </c>
      <c r="BS136" s="49">
        <f t="shared" si="132"/>
        <v>0</v>
      </c>
      <c r="BT136" s="49">
        <f t="shared" si="133"/>
        <v>1</v>
      </c>
      <c r="BU136" s="49">
        <f t="shared" si="134"/>
        <v>0</v>
      </c>
      <c r="BV136" s="49">
        <f t="shared" si="135"/>
        <v>0</v>
      </c>
      <c r="BW136" s="49">
        <f t="shared" si="136"/>
        <v>0</v>
      </c>
    </row>
    <row r="137" spans="1:75" ht="35.1" customHeight="1" x14ac:dyDescent="0.3">
      <c r="A137" s="123" t="str">
        <f t="shared" si="137"/>
        <v>1팀</v>
      </c>
      <c r="B137" s="69">
        <f t="shared" si="138"/>
        <v>131</v>
      </c>
      <c r="C137" s="121" t="str">
        <f>IF(VLOOKUP($B137,'1. 현장별 인원현황'!$C:$J,2,0)=0,"",VLOOKUP($B137,'1. 현장별 인원현황'!$C:$J,2,0))</f>
        <v xml:space="preserve"> [1.포스코건설] 영종-청라 연결도로(제3연륙교) 건설공사 제2공구 전기 및 통신공사</v>
      </c>
      <c r="D137" s="74" t="str">
        <f>IF(VLOOKUP($B137,'1. 현장별 인원현황'!$C:$J,3,0)=0,"",VLOOKUP($B137,'1. 현장별 인원현황'!$C:$J,3,0))</f>
        <v>김동완</v>
      </c>
      <c r="E137" s="74" t="str">
        <f ca="1">IF(VLOOKUP($B137,'1. 현장별 인원현황'!$C:$J,4,0)=0,"",VLOOKUP($B137,'1. 현장별 인원현황'!$C:$J,4,0))</f>
        <v>39세</v>
      </c>
      <c r="F137" s="70" t="str">
        <f>IF(VLOOKUP($B137,'1. 현장별 인원현황'!$C:$J,7,0)=0,"",VLOOKUP($B137,'1. 현장별 인원현황'!$C:$J,7,0))</f>
        <v>공무</v>
      </c>
      <c r="G137" s="72" t="str">
        <f>IF(VLOOKUP($B137,'1. 현장별 인원현황'!$C:$J,8,0)=0,"",VLOOKUP($B137,'1. 현장별 인원현황'!$C:$J,8,0))</f>
        <v>과장</v>
      </c>
      <c r="H137" s="67" t="s">
        <v>69</v>
      </c>
      <c r="I137" s="73"/>
      <c r="J137" s="73"/>
      <c r="K137" s="68"/>
      <c r="L137" s="67"/>
      <c r="M137" s="73" t="s">
        <v>69</v>
      </c>
      <c r="N137" s="73"/>
      <c r="O137" s="68"/>
      <c r="P137" s="67" t="s">
        <v>69</v>
      </c>
      <c r="Q137" s="73"/>
      <c r="R137" s="73"/>
      <c r="S137" s="68"/>
      <c r="T137" s="67"/>
      <c r="U137" s="73" t="s">
        <v>69</v>
      </c>
      <c r="V137" s="73"/>
      <c r="W137" s="68"/>
      <c r="X137" s="67"/>
      <c r="Y137" s="73" t="s">
        <v>69</v>
      </c>
      <c r="Z137" s="73"/>
      <c r="AA137" s="68"/>
      <c r="AB137" s="67" t="s">
        <v>69</v>
      </c>
      <c r="AC137" s="73"/>
      <c r="AD137" s="73"/>
      <c r="AE137" s="68"/>
      <c r="AF137" s="67"/>
      <c r="AG137" s="73" t="s">
        <v>69</v>
      </c>
      <c r="AH137" s="73"/>
      <c r="AI137" s="68"/>
      <c r="AJ137" s="67" t="s">
        <v>69</v>
      </c>
      <c r="AK137" s="73"/>
      <c r="AL137" s="73"/>
      <c r="AM137" s="68"/>
      <c r="AN137" s="67">
        <f t="shared" si="139"/>
        <v>85</v>
      </c>
      <c r="AO137" s="68" t="str">
        <f t="shared" si="140"/>
        <v>A</v>
      </c>
      <c r="AR137" s="49">
        <f t="shared" si="105"/>
        <v>1</v>
      </c>
      <c r="AS137" s="49">
        <f t="shared" si="106"/>
        <v>0</v>
      </c>
      <c r="AT137" s="49">
        <f t="shared" si="107"/>
        <v>0</v>
      </c>
      <c r="AU137" s="49">
        <f t="shared" si="108"/>
        <v>0</v>
      </c>
      <c r="AV137" s="49">
        <f t="shared" si="109"/>
        <v>0</v>
      </c>
      <c r="AW137" s="49">
        <f t="shared" si="110"/>
        <v>1</v>
      </c>
      <c r="AX137" s="49">
        <f t="shared" si="111"/>
        <v>0</v>
      </c>
      <c r="AY137" s="49">
        <f t="shared" si="112"/>
        <v>0</v>
      </c>
      <c r="AZ137" s="49">
        <f t="shared" si="113"/>
        <v>1</v>
      </c>
      <c r="BA137" s="49">
        <f t="shared" si="114"/>
        <v>0</v>
      </c>
      <c r="BB137" s="49">
        <f t="shared" si="115"/>
        <v>0</v>
      </c>
      <c r="BC137" s="49">
        <f t="shared" si="116"/>
        <v>0</v>
      </c>
      <c r="BD137" s="49">
        <f t="shared" si="117"/>
        <v>0</v>
      </c>
      <c r="BE137" s="49">
        <f t="shared" si="118"/>
        <v>1</v>
      </c>
      <c r="BF137" s="49">
        <f t="shared" si="119"/>
        <v>0</v>
      </c>
      <c r="BG137" s="49">
        <f t="shared" si="120"/>
        <v>0</v>
      </c>
      <c r="BH137" s="49">
        <f t="shared" si="121"/>
        <v>0</v>
      </c>
      <c r="BI137" s="49">
        <f t="shared" si="122"/>
        <v>1</v>
      </c>
      <c r="BJ137" s="49">
        <f t="shared" si="123"/>
        <v>0</v>
      </c>
      <c r="BK137" s="49">
        <f t="shared" si="124"/>
        <v>0</v>
      </c>
      <c r="BL137" s="49">
        <f t="shared" si="125"/>
        <v>1</v>
      </c>
      <c r="BM137" s="49">
        <f t="shared" si="126"/>
        <v>0</v>
      </c>
      <c r="BN137" s="49">
        <f t="shared" si="127"/>
        <v>0</v>
      </c>
      <c r="BO137" s="49">
        <f t="shared" si="128"/>
        <v>0</v>
      </c>
      <c r="BP137" s="49">
        <f t="shared" si="129"/>
        <v>0</v>
      </c>
      <c r="BQ137" s="49">
        <f t="shared" si="130"/>
        <v>1</v>
      </c>
      <c r="BR137" s="49">
        <f t="shared" si="131"/>
        <v>0</v>
      </c>
      <c r="BS137" s="49">
        <f t="shared" si="132"/>
        <v>0</v>
      </c>
      <c r="BT137" s="49">
        <f t="shared" si="133"/>
        <v>1</v>
      </c>
      <c r="BU137" s="49">
        <f t="shared" si="134"/>
        <v>0</v>
      </c>
      <c r="BV137" s="49">
        <f t="shared" si="135"/>
        <v>0</v>
      </c>
      <c r="BW137" s="49">
        <f t="shared" si="136"/>
        <v>0</v>
      </c>
    </row>
    <row r="138" spans="1:75" ht="35.1" customHeight="1" x14ac:dyDescent="0.3">
      <c r="A138" s="123" t="str">
        <f t="shared" si="137"/>
        <v>1팀</v>
      </c>
      <c r="B138" s="69">
        <f t="shared" si="138"/>
        <v>132</v>
      </c>
      <c r="C138" s="121" t="str">
        <f>IF(VLOOKUP($B138,'1. 현장별 인원현황'!$C:$J,2,0)=0,"",VLOOKUP($B138,'1. 현장별 인원현황'!$C:$J,2,0))</f>
        <v xml:space="preserve"> [1.포스코건설] 영종-청라 연결도로(제3연륙교) 건설공사 제2공구 전기 및 통신공사</v>
      </c>
      <c r="D138" s="74" t="str">
        <f>IF(VLOOKUP($B138,'1. 현장별 인원현황'!$C:$J,3,0)=0,"",VLOOKUP($B138,'1. 현장별 인원현황'!$C:$J,3,0))</f>
        <v>김경수</v>
      </c>
      <c r="E138" s="74" t="str">
        <f ca="1">IF(VLOOKUP($B138,'1. 현장별 인원현황'!$C:$J,4,0)=0,"",VLOOKUP($B138,'1. 현장별 인원현황'!$C:$J,4,0))</f>
        <v>55세</v>
      </c>
      <c r="F138" s="70" t="str">
        <f>IF(VLOOKUP($B138,'1. 현장별 인원현황'!$C:$J,7,0)=0,"",VLOOKUP($B138,'1. 현장별 인원현황'!$C:$J,7,0))</f>
        <v>기능공</v>
      </c>
      <c r="G138" s="72" t="str">
        <f>IF(VLOOKUP($B138,'1. 현장별 인원현황'!$C:$J,8,0)=0,"",VLOOKUP($B138,'1. 현장별 인원현황'!$C:$J,8,0))</f>
        <v>전공</v>
      </c>
      <c r="H138" s="67" t="s">
        <v>69</v>
      </c>
      <c r="I138" s="73"/>
      <c r="J138" s="73"/>
      <c r="K138" s="68"/>
      <c r="L138" s="67"/>
      <c r="M138" s="73" t="s">
        <v>69</v>
      </c>
      <c r="N138" s="73"/>
      <c r="O138" s="68"/>
      <c r="P138" s="67" t="s">
        <v>69</v>
      </c>
      <c r="Q138" s="73"/>
      <c r="R138" s="73"/>
      <c r="S138" s="68"/>
      <c r="T138" s="67"/>
      <c r="U138" s="73" t="s">
        <v>69</v>
      </c>
      <c r="V138" s="73"/>
      <c r="W138" s="68"/>
      <c r="X138" s="67"/>
      <c r="Y138" s="73" t="s">
        <v>69</v>
      </c>
      <c r="Z138" s="73"/>
      <c r="AA138" s="68"/>
      <c r="AB138" s="67" t="s">
        <v>69</v>
      </c>
      <c r="AC138" s="73"/>
      <c r="AD138" s="73"/>
      <c r="AE138" s="68"/>
      <c r="AF138" s="67"/>
      <c r="AG138" s="73" t="s">
        <v>69</v>
      </c>
      <c r="AH138" s="73"/>
      <c r="AI138" s="68"/>
      <c r="AJ138" s="67" t="s">
        <v>69</v>
      </c>
      <c r="AK138" s="73"/>
      <c r="AL138" s="73"/>
      <c r="AM138" s="68"/>
      <c r="AN138" s="67">
        <f t="shared" si="139"/>
        <v>85</v>
      </c>
      <c r="AO138" s="68" t="str">
        <f t="shared" si="140"/>
        <v>A</v>
      </c>
      <c r="AR138" s="49">
        <f t="shared" si="105"/>
        <v>1</v>
      </c>
      <c r="AS138" s="49">
        <f t="shared" si="106"/>
        <v>0</v>
      </c>
      <c r="AT138" s="49">
        <f t="shared" si="107"/>
        <v>0</v>
      </c>
      <c r="AU138" s="49">
        <f t="shared" si="108"/>
        <v>0</v>
      </c>
      <c r="AV138" s="49">
        <f t="shared" si="109"/>
        <v>0</v>
      </c>
      <c r="AW138" s="49">
        <f t="shared" si="110"/>
        <v>1</v>
      </c>
      <c r="AX138" s="49">
        <f t="shared" si="111"/>
        <v>0</v>
      </c>
      <c r="AY138" s="49">
        <f t="shared" si="112"/>
        <v>0</v>
      </c>
      <c r="AZ138" s="49">
        <f t="shared" si="113"/>
        <v>1</v>
      </c>
      <c r="BA138" s="49">
        <f t="shared" si="114"/>
        <v>0</v>
      </c>
      <c r="BB138" s="49">
        <f t="shared" si="115"/>
        <v>0</v>
      </c>
      <c r="BC138" s="49">
        <f t="shared" si="116"/>
        <v>0</v>
      </c>
      <c r="BD138" s="49">
        <f t="shared" si="117"/>
        <v>0</v>
      </c>
      <c r="BE138" s="49">
        <f t="shared" si="118"/>
        <v>1</v>
      </c>
      <c r="BF138" s="49">
        <f t="shared" si="119"/>
        <v>0</v>
      </c>
      <c r="BG138" s="49">
        <f t="shared" si="120"/>
        <v>0</v>
      </c>
      <c r="BH138" s="49">
        <f t="shared" si="121"/>
        <v>0</v>
      </c>
      <c r="BI138" s="49">
        <f t="shared" si="122"/>
        <v>1</v>
      </c>
      <c r="BJ138" s="49">
        <f t="shared" si="123"/>
        <v>0</v>
      </c>
      <c r="BK138" s="49">
        <f t="shared" si="124"/>
        <v>0</v>
      </c>
      <c r="BL138" s="49">
        <f t="shared" si="125"/>
        <v>1</v>
      </c>
      <c r="BM138" s="49">
        <f t="shared" si="126"/>
        <v>0</v>
      </c>
      <c r="BN138" s="49">
        <f t="shared" si="127"/>
        <v>0</v>
      </c>
      <c r="BO138" s="49">
        <f t="shared" si="128"/>
        <v>0</v>
      </c>
      <c r="BP138" s="49">
        <f t="shared" si="129"/>
        <v>0</v>
      </c>
      <c r="BQ138" s="49">
        <f t="shared" si="130"/>
        <v>1</v>
      </c>
      <c r="BR138" s="49">
        <f t="shared" si="131"/>
        <v>0</v>
      </c>
      <c r="BS138" s="49">
        <f t="shared" si="132"/>
        <v>0</v>
      </c>
      <c r="BT138" s="49">
        <f t="shared" si="133"/>
        <v>1</v>
      </c>
      <c r="BU138" s="49">
        <f t="shared" si="134"/>
        <v>0</v>
      </c>
      <c r="BV138" s="49">
        <f t="shared" si="135"/>
        <v>0</v>
      </c>
      <c r="BW138" s="49">
        <f t="shared" si="136"/>
        <v>0</v>
      </c>
    </row>
    <row r="139" spans="1:75" ht="35.1" customHeight="1" x14ac:dyDescent="0.3">
      <c r="A139" s="123" t="str">
        <f t="shared" si="137"/>
        <v>1팀</v>
      </c>
      <c r="B139" s="69">
        <f t="shared" si="138"/>
        <v>133</v>
      </c>
      <c r="C139" s="121" t="str">
        <f>IF(VLOOKUP($B139,'1. 현장별 인원현황'!$C:$J,2,0)=0,"",VLOOKUP($B139,'1. 현장별 인원현황'!$C:$J,2,0))</f>
        <v xml:space="preserve"> [1.포스코건설] 영종-청라 연결도로(제3연륙교) 건설공사 제2공구 전기 및 통신공사</v>
      </c>
      <c r="D139" s="74" t="str">
        <f>IF(VLOOKUP($B139,'1. 현장별 인원현황'!$C:$J,3,0)=0,"",VLOOKUP($B139,'1. 현장별 인원현황'!$C:$J,3,0))</f>
        <v>김재명</v>
      </c>
      <c r="E139" s="74" t="str">
        <f ca="1">IF(VLOOKUP($B139,'1. 현장별 인원현황'!$C:$J,4,0)=0,"",VLOOKUP($B139,'1. 현장별 인원현황'!$C:$J,4,0))</f>
        <v>51세</v>
      </c>
      <c r="F139" s="70" t="str">
        <f>IF(VLOOKUP($B139,'1. 현장별 인원현황'!$C:$J,7,0)=0,"",VLOOKUP($B139,'1. 현장별 인원현황'!$C:$J,7,0))</f>
        <v>기능공</v>
      </c>
      <c r="G139" s="72" t="str">
        <f>IF(VLOOKUP($B139,'1. 현장별 인원현황'!$C:$J,8,0)=0,"",VLOOKUP($B139,'1. 현장별 인원현황'!$C:$J,8,0))</f>
        <v>전공</v>
      </c>
      <c r="H139" s="67" t="s">
        <v>69</v>
      </c>
      <c r="I139" s="73"/>
      <c r="J139" s="73"/>
      <c r="K139" s="68"/>
      <c r="L139" s="67"/>
      <c r="M139" s="73" t="s">
        <v>69</v>
      </c>
      <c r="N139" s="73"/>
      <c r="O139" s="68"/>
      <c r="P139" s="67" t="s">
        <v>69</v>
      </c>
      <c r="Q139" s="73"/>
      <c r="R139" s="73"/>
      <c r="S139" s="68"/>
      <c r="T139" s="67"/>
      <c r="U139" s="73" t="s">
        <v>69</v>
      </c>
      <c r="V139" s="73"/>
      <c r="W139" s="68"/>
      <c r="X139" s="67"/>
      <c r="Y139" s="73" t="s">
        <v>69</v>
      </c>
      <c r="Z139" s="73"/>
      <c r="AA139" s="68"/>
      <c r="AB139" s="67" t="s">
        <v>69</v>
      </c>
      <c r="AC139" s="73"/>
      <c r="AD139" s="73"/>
      <c r="AE139" s="68"/>
      <c r="AF139" s="67"/>
      <c r="AG139" s="73" t="s">
        <v>69</v>
      </c>
      <c r="AH139" s="73"/>
      <c r="AI139" s="68"/>
      <c r="AJ139" s="67" t="s">
        <v>69</v>
      </c>
      <c r="AK139" s="73"/>
      <c r="AL139" s="73"/>
      <c r="AM139" s="68"/>
      <c r="AN139" s="67">
        <f t="shared" si="139"/>
        <v>85</v>
      </c>
      <c r="AO139" s="68" t="str">
        <f t="shared" si="140"/>
        <v>A</v>
      </c>
      <c r="AR139" s="49">
        <f t="shared" si="105"/>
        <v>1</v>
      </c>
      <c r="AS139" s="49">
        <f t="shared" si="106"/>
        <v>0</v>
      </c>
      <c r="AT139" s="49">
        <f t="shared" si="107"/>
        <v>0</v>
      </c>
      <c r="AU139" s="49">
        <f t="shared" si="108"/>
        <v>0</v>
      </c>
      <c r="AV139" s="49">
        <f t="shared" si="109"/>
        <v>0</v>
      </c>
      <c r="AW139" s="49">
        <f t="shared" si="110"/>
        <v>1</v>
      </c>
      <c r="AX139" s="49">
        <f t="shared" si="111"/>
        <v>0</v>
      </c>
      <c r="AY139" s="49">
        <f t="shared" si="112"/>
        <v>0</v>
      </c>
      <c r="AZ139" s="49">
        <f t="shared" si="113"/>
        <v>1</v>
      </c>
      <c r="BA139" s="49">
        <f t="shared" si="114"/>
        <v>0</v>
      </c>
      <c r="BB139" s="49">
        <f t="shared" si="115"/>
        <v>0</v>
      </c>
      <c r="BC139" s="49">
        <f t="shared" si="116"/>
        <v>0</v>
      </c>
      <c r="BD139" s="49">
        <f t="shared" si="117"/>
        <v>0</v>
      </c>
      <c r="BE139" s="49">
        <f t="shared" si="118"/>
        <v>1</v>
      </c>
      <c r="BF139" s="49">
        <f t="shared" si="119"/>
        <v>0</v>
      </c>
      <c r="BG139" s="49">
        <f t="shared" si="120"/>
        <v>0</v>
      </c>
      <c r="BH139" s="49">
        <f t="shared" si="121"/>
        <v>0</v>
      </c>
      <c r="BI139" s="49">
        <f t="shared" si="122"/>
        <v>1</v>
      </c>
      <c r="BJ139" s="49">
        <f t="shared" si="123"/>
        <v>0</v>
      </c>
      <c r="BK139" s="49">
        <f t="shared" si="124"/>
        <v>0</v>
      </c>
      <c r="BL139" s="49">
        <f t="shared" si="125"/>
        <v>1</v>
      </c>
      <c r="BM139" s="49">
        <f t="shared" si="126"/>
        <v>0</v>
      </c>
      <c r="BN139" s="49">
        <f t="shared" si="127"/>
        <v>0</v>
      </c>
      <c r="BO139" s="49">
        <f t="shared" si="128"/>
        <v>0</v>
      </c>
      <c r="BP139" s="49">
        <f t="shared" si="129"/>
        <v>0</v>
      </c>
      <c r="BQ139" s="49">
        <f t="shared" si="130"/>
        <v>1</v>
      </c>
      <c r="BR139" s="49">
        <f t="shared" si="131"/>
        <v>0</v>
      </c>
      <c r="BS139" s="49">
        <f t="shared" si="132"/>
        <v>0</v>
      </c>
      <c r="BT139" s="49">
        <f t="shared" si="133"/>
        <v>1</v>
      </c>
      <c r="BU139" s="49">
        <f t="shared" si="134"/>
        <v>0</v>
      </c>
      <c r="BV139" s="49">
        <f t="shared" si="135"/>
        <v>0</v>
      </c>
      <c r="BW139" s="49">
        <f t="shared" si="136"/>
        <v>0</v>
      </c>
    </row>
    <row r="140" spans="1:75" ht="35.1" customHeight="1" x14ac:dyDescent="0.3">
      <c r="A140" s="123" t="str">
        <f t="shared" si="137"/>
        <v>1팀</v>
      </c>
      <c r="B140" s="69">
        <f t="shared" si="138"/>
        <v>134</v>
      </c>
      <c r="C140" s="121" t="str">
        <f>IF(VLOOKUP($B140,'1. 현장별 인원현황'!$C:$J,2,0)=0,"",VLOOKUP($B140,'1. 현장별 인원현황'!$C:$J,2,0))</f>
        <v xml:space="preserve"> [1.포스코건설] 영종-청라 연결도로(제3연륙교) 건설공사 제2공구 전기 및 통신공사</v>
      </c>
      <c r="D140" s="74" t="str">
        <f>IF(VLOOKUP($B140,'1. 현장별 인원현황'!$C:$J,3,0)=0,"",VLOOKUP($B140,'1. 현장별 인원현황'!$C:$J,3,0))</f>
        <v>마영수</v>
      </c>
      <c r="E140" s="74" t="str">
        <f ca="1">IF(VLOOKUP($B140,'1. 현장별 인원현황'!$C:$J,4,0)=0,"",VLOOKUP($B140,'1. 현장별 인원현황'!$C:$J,4,0))</f>
        <v>63세</v>
      </c>
      <c r="F140" s="70" t="str">
        <f>IF(VLOOKUP($B140,'1. 현장별 인원현황'!$C:$J,7,0)=0,"",VLOOKUP($B140,'1. 현장별 인원현황'!$C:$J,7,0))</f>
        <v>기능공</v>
      </c>
      <c r="G140" s="72" t="str">
        <f>IF(VLOOKUP($B140,'1. 현장별 인원현황'!$C:$J,8,0)=0,"",VLOOKUP($B140,'1. 현장별 인원현황'!$C:$J,8,0))</f>
        <v>전공</v>
      </c>
      <c r="H140" s="67" t="s">
        <v>69</v>
      </c>
      <c r="I140" s="73"/>
      <c r="J140" s="73"/>
      <c r="K140" s="68"/>
      <c r="L140" s="67"/>
      <c r="M140" s="73" t="s">
        <v>69</v>
      </c>
      <c r="N140" s="73"/>
      <c r="O140" s="68"/>
      <c r="P140" s="67" t="s">
        <v>69</v>
      </c>
      <c r="Q140" s="73"/>
      <c r="R140" s="73"/>
      <c r="S140" s="68"/>
      <c r="T140" s="67"/>
      <c r="U140" s="73" t="s">
        <v>69</v>
      </c>
      <c r="V140" s="73"/>
      <c r="W140" s="68"/>
      <c r="X140" s="67"/>
      <c r="Y140" s="73" t="s">
        <v>69</v>
      </c>
      <c r="Z140" s="73"/>
      <c r="AA140" s="68"/>
      <c r="AB140" s="67" t="s">
        <v>69</v>
      </c>
      <c r="AC140" s="73"/>
      <c r="AD140" s="73"/>
      <c r="AE140" s="68"/>
      <c r="AF140" s="67"/>
      <c r="AG140" s="73" t="s">
        <v>69</v>
      </c>
      <c r="AH140" s="73"/>
      <c r="AI140" s="68"/>
      <c r="AJ140" s="67" t="s">
        <v>69</v>
      </c>
      <c r="AK140" s="73"/>
      <c r="AL140" s="73"/>
      <c r="AM140" s="68"/>
      <c r="AN140" s="67">
        <f t="shared" si="139"/>
        <v>85</v>
      </c>
      <c r="AO140" s="68" t="str">
        <f t="shared" si="140"/>
        <v>A</v>
      </c>
      <c r="AR140" s="49">
        <f t="shared" si="105"/>
        <v>1</v>
      </c>
      <c r="AS140" s="49">
        <f t="shared" si="106"/>
        <v>0</v>
      </c>
      <c r="AT140" s="49">
        <f t="shared" si="107"/>
        <v>0</v>
      </c>
      <c r="AU140" s="49">
        <f t="shared" si="108"/>
        <v>0</v>
      </c>
      <c r="AV140" s="49">
        <f t="shared" si="109"/>
        <v>0</v>
      </c>
      <c r="AW140" s="49">
        <f t="shared" si="110"/>
        <v>1</v>
      </c>
      <c r="AX140" s="49">
        <f t="shared" si="111"/>
        <v>0</v>
      </c>
      <c r="AY140" s="49">
        <f t="shared" si="112"/>
        <v>0</v>
      </c>
      <c r="AZ140" s="49">
        <f t="shared" si="113"/>
        <v>1</v>
      </c>
      <c r="BA140" s="49">
        <f t="shared" si="114"/>
        <v>0</v>
      </c>
      <c r="BB140" s="49">
        <f t="shared" si="115"/>
        <v>0</v>
      </c>
      <c r="BC140" s="49">
        <f t="shared" si="116"/>
        <v>0</v>
      </c>
      <c r="BD140" s="49">
        <f t="shared" si="117"/>
        <v>0</v>
      </c>
      <c r="BE140" s="49">
        <f t="shared" si="118"/>
        <v>1</v>
      </c>
      <c r="BF140" s="49">
        <f t="shared" si="119"/>
        <v>0</v>
      </c>
      <c r="BG140" s="49">
        <f t="shared" si="120"/>
        <v>0</v>
      </c>
      <c r="BH140" s="49">
        <f t="shared" si="121"/>
        <v>0</v>
      </c>
      <c r="BI140" s="49">
        <f t="shared" si="122"/>
        <v>1</v>
      </c>
      <c r="BJ140" s="49">
        <f t="shared" si="123"/>
        <v>0</v>
      </c>
      <c r="BK140" s="49">
        <f t="shared" si="124"/>
        <v>0</v>
      </c>
      <c r="BL140" s="49">
        <f t="shared" si="125"/>
        <v>1</v>
      </c>
      <c r="BM140" s="49">
        <f t="shared" si="126"/>
        <v>0</v>
      </c>
      <c r="BN140" s="49">
        <f t="shared" si="127"/>
        <v>0</v>
      </c>
      <c r="BO140" s="49">
        <f t="shared" si="128"/>
        <v>0</v>
      </c>
      <c r="BP140" s="49">
        <f t="shared" si="129"/>
        <v>0</v>
      </c>
      <c r="BQ140" s="49">
        <f t="shared" si="130"/>
        <v>1</v>
      </c>
      <c r="BR140" s="49">
        <f t="shared" si="131"/>
        <v>0</v>
      </c>
      <c r="BS140" s="49">
        <f t="shared" si="132"/>
        <v>0</v>
      </c>
      <c r="BT140" s="49">
        <f t="shared" si="133"/>
        <v>1</v>
      </c>
      <c r="BU140" s="49">
        <f t="shared" si="134"/>
        <v>0</v>
      </c>
      <c r="BV140" s="49">
        <f t="shared" si="135"/>
        <v>0</v>
      </c>
      <c r="BW140" s="49">
        <f t="shared" si="136"/>
        <v>0</v>
      </c>
    </row>
    <row r="141" spans="1:75" ht="35.1" customHeight="1" x14ac:dyDescent="0.3">
      <c r="A141" s="123" t="str">
        <f t="shared" si="137"/>
        <v>1팀</v>
      </c>
      <c r="B141" s="69">
        <f t="shared" si="138"/>
        <v>135</v>
      </c>
      <c r="C141" s="121" t="str">
        <f>IF(VLOOKUP($B141,'1. 현장별 인원현황'!$C:$J,2,0)=0,"",VLOOKUP($B141,'1. 현장별 인원현황'!$C:$J,2,0))</f>
        <v xml:space="preserve"> [1.포스코건설] 영종-청라 연결도로(제3연륙교) 건설공사 제2공구 전기 및 통신공사</v>
      </c>
      <c r="D141" s="74" t="str">
        <f>IF(VLOOKUP($B141,'1. 현장별 인원현황'!$C:$J,3,0)=0,"",VLOOKUP($B141,'1. 현장별 인원현황'!$C:$J,3,0))</f>
        <v>박창명</v>
      </c>
      <c r="E141" s="74" t="str">
        <f ca="1">IF(VLOOKUP($B141,'1. 현장별 인원현황'!$C:$J,4,0)=0,"",VLOOKUP($B141,'1. 현장별 인원현황'!$C:$J,4,0))</f>
        <v>63세</v>
      </c>
      <c r="F141" s="70" t="str">
        <f>IF(VLOOKUP($B141,'1. 현장별 인원현황'!$C:$J,7,0)=0,"",VLOOKUP($B141,'1. 현장별 인원현황'!$C:$J,7,0))</f>
        <v>기능공</v>
      </c>
      <c r="G141" s="72" t="str">
        <f>IF(VLOOKUP($B141,'1. 현장별 인원현황'!$C:$J,8,0)=0,"",VLOOKUP($B141,'1. 현장별 인원현황'!$C:$J,8,0))</f>
        <v>전공</v>
      </c>
      <c r="H141" s="67" t="s">
        <v>69</v>
      </c>
      <c r="I141" s="73"/>
      <c r="J141" s="73"/>
      <c r="K141" s="68"/>
      <c r="L141" s="67"/>
      <c r="M141" s="73" t="s">
        <v>69</v>
      </c>
      <c r="N141" s="73"/>
      <c r="O141" s="68"/>
      <c r="P141" s="67" t="s">
        <v>69</v>
      </c>
      <c r="Q141" s="73"/>
      <c r="R141" s="73"/>
      <c r="S141" s="68"/>
      <c r="T141" s="67"/>
      <c r="U141" s="73" t="s">
        <v>69</v>
      </c>
      <c r="V141" s="73"/>
      <c r="W141" s="68"/>
      <c r="X141" s="67"/>
      <c r="Y141" s="73" t="s">
        <v>69</v>
      </c>
      <c r="Z141" s="73"/>
      <c r="AA141" s="68"/>
      <c r="AB141" s="67" t="s">
        <v>69</v>
      </c>
      <c r="AC141" s="73"/>
      <c r="AD141" s="73"/>
      <c r="AE141" s="68"/>
      <c r="AF141" s="67"/>
      <c r="AG141" s="73" t="s">
        <v>69</v>
      </c>
      <c r="AH141" s="73"/>
      <c r="AI141" s="68"/>
      <c r="AJ141" s="67" t="s">
        <v>69</v>
      </c>
      <c r="AK141" s="73"/>
      <c r="AL141" s="73"/>
      <c r="AM141" s="68"/>
      <c r="AN141" s="67">
        <f t="shared" si="139"/>
        <v>85</v>
      </c>
      <c r="AO141" s="68" t="str">
        <f t="shared" si="140"/>
        <v>A</v>
      </c>
      <c r="AR141" s="49">
        <f t="shared" si="105"/>
        <v>1</v>
      </c>
      <c r="AS141" s="49">
        <f t="shared" si="106"/>
        <v>0</v>
      </c>
      <c r="AT141" s="49">
        <f t="shared" si="107"/>
        <v>0</v>
      </c>
      <c r="AU141" s="49">
        <f t="shared" si="108"/>
        <v>0</v>
      </c>
      <c r="AV141" s="49">
        <f t="shared" si="109"/>
        <v>0</v>
      </c>
      <c r="AW141" s="49">
        <f t="shared" si="110"/>
        <v>1</v>
      </c>
      <c r="AX141" s="49">
        <f t="shared" si="111"/>
        <v>0</v>
      </c>
      <c r="AY141" s="49">
        <f t="shared" si="112"/>
        <v>0</v>
      </c>
      <c r="AZ141" s="49">
        <f t="shared" si="113"/>
        <v>1</v>
      </c>
      <c r="BA141" s="49">
        <f t="shared" si="114"/>
        <v>0</v>
      </c>
      <c r="BB141" s="49">
        <f t="shared" si="115"/>
        <v>0</v>
      </c>
      <c r="BC141" s="49">
        <f t="shared" si="116"/>
        <v>0</v>
      </c>
      <c r="BD141" s="49">
        <f t="shared" si="117"/>
        <v>0</v>
      </c>
      <c r="BE141" s="49">
        <f t="shared" si="118"/>
        <v>1</v>
      </c>
      <c r="BF141" s="49">
        <f t="shared" si="119"/>
        <v>0</v>
      </c>
      <c r="BG141" s="49">
        <f t="shared" si="120"/>
        <v>0</v>
      </c>
      <c r="BH141" s="49">
        <f t="shared" si="121"/>
        <v>0</v>
      </c>
      <c r="BI141" s="49">
        <f t="shared" si="122"/>
        <v>1</v>
      </c>
      <c r="BJ141" s="49">
        <f t="shared" si="123"/>
        <v>0</v>
      </c>
      <c r="BK141" s="49">
        <f t="shared" si="124"/>
        <v>0</v>
      </c>
      <c r="BL141" s="49">
        <f t="shared" si="125"/>
        <v>1</v>
      </c>
      <c r="BM141" s="49">
        <f t="shared" si="126"/>
        <v>0</v>
      </c>
      <c r="BN141" s="49">
        <f t="shared" si="127"/>
        <v>0</v>
      </c>
      <c r="BO141" s="49">
        <f t="shared" si="128"/>
        <v>0</v>
      </c>
      <c r="BP141" s="49">
        <f t="shared" si="129"/>
        <v>0</v>
      </c>
      <c r="BQ141" s="49">
        <f t="shared" si="130"/>
        <v>1</v>
      </c>
      <c r="BR141" s="49">
        <f t="shared" si="131"/>
        <v>0</v>
      </c>
      <c r="BS141" s="49">
        <f t="shared" si="132"/>
        <v>0</v>
      </c>
      <c r="BT141" s="49">
        <f t="shared" si="133"/>
        <v>1</v>
      </c>
      <c r="BU141" s="49">
        <f t="shared" si="134"/>
        <v>0</v>
      </c>
      <c r="BV141" s="49">
        <f t="shared" si="135"/>
        <v>0</v>
      </c>
      <c r="BW141" s="49">
        <f t="shared" si="136"/>
        <v>0</v>
      </c>
    </row>
    <row r="142" spans="1:75" ht="35.1" customHeight="1" x14ac:dyDescent="0.3">
      <c r="A142" s="123" t="str">
        <f t="shared" si="137"/>
        <v>1팀</v>
      </c>
      <c r="B142" s="69">
        <f t="shared" si="138"/>
        <v>136</v>
      </c>
      <c r="C142" s="121" t="str">
        <f>IF(VLOOKUP($B142,'1. 현장별 인원현황'!$C:$J,2,0)=0,"",VLOOKUP($B142,'1. 현장별 인원현황'!$C:$J,2,0))</f>
        <v xml:space="preserve"> [1.포스코건설] 영종-청라 연결도로(제3연륙교) 건설공사 제2공구 전기 및 통신공사</v>
      </c>
      <c r="D142" s="74" t="str">
        <f>IF(VLOOKUP($B142,'1. 현장별 인원현황'!$C:$J,3,0)=0,"",VLOOKUP($B142,'1. 현장별 인원현황'!$C:$J,3,0))</f>
        <v>성승현</v>
      </c>
      <c r="E142" s="74" t="str">
        <f ca="1">IF(VLOOKUP($B142,'1. 현장별 인원현황'!$C:$J,4,0)=0,"",VLOOKUP($B142,'1. 현장별 인원현황'!$C:$J,4,0))</f>
        <v>62세</v>
      </c>
      <c r="F142" s="70" t="str">
        <f>IF(VLOOKUP($B142,'1. 현장별 인원현황'!$C:$J,7,0)=0,"",VLOOKUP($B142,'1. 현장별 인원현황'!$C:$J,7,0))</f>
        <v>기능공</v>
      </c>
      <c r="G142" s="72" t="str">
        <f>IF(VLOOKUP($B142,'1. 현장별 인원현황'!$C:$J,8,0)=0,"",VLOOKUP($B142,'1. 현장별 인원현황'!$C:$J,8,0))</f>
        <v>전공</v>
      </c>
      <c r="H142" s="67" t="s">
        <v>69</v>
      </c>
      <c r="I142" s="73"/>
      <c r="J142" s="73"/>
      <c r="K142" s="68"/>
      <c r="L142" s="67"/>
      <c r="M142" s="73" t="s">
        <v>69</v>
      </c>
      <c r="N142" s="73"/>
      <c r="O142" s="68"/>
      <c r="P142" s="67" t="s">
        <v>69</v>
      </c>
      <c r="Q142" s="73"/>
      <c r="R142" s="73"/>
      <c r="S142" s="68"/>
      <c r="T142" s="67"/>
      <c r="U142" s="73" t="s">
        <v>69</v>
      </c>
      <c r="V142" s="73"/>
      <c r="W142" s="68"/>
      <c r="X142" s="67"/>
      <c r="Y142" s="73" t="s">
        <v>69</v>
      </c>
      <c r="Z142" s="73"/>
      <c r="AA142" s="68"/>
      <c r="AB142" s="67" t="s">
        <v>69</v>
      </c>
      <c r="AC142" s="73"/>
      <c r="AD142" s="73"/>
      <c r="AE142" s="68"/>
      <c r="AF142" s="67"/>
      <c r="AG142" s="73" t="s">
        <v>69</v>
      </c>
      <c r="AH142" s="73"/>
      <c r="AI142" s="68"/>
      <c r="AJ142" s="67" t="s">
        <v>69</v>
      </c>
      <c r="AK142" s="73"/>
      <c r="AL142" s="73"/>
      <c r="AM142" s="68"/>
      <c r="AN142" s="67">
        <f t="shared" si="139"/>
        <v>85</v>
      </c>
      <c r="AO142" s="68" t="str">
        <f t="shared" si="140"/>
        <v>A</v>
      </c>
      <c r="AR142" s="49">
        <f t="shared" si="105"/>
        <v>1</v>
      </c>
      <c r="AS142" s="49">
        <f t="shared" si="106"/>
        <v>0</v>
      </c>
      <c r="AT142" s="49">
        <f t="shared" si="107"/>
        <v>0</v>
      </c>
      <c r="AU142" s="49">
        <f t="shared" si="108"/>
        <v>0</v>
      </c>
      <c r="AV142" s="49">
        <f t="shared" si="109"/>
        <v>0</v>
      </c>
      <c r="AW142" s="49">
        <f t="shared" si="110"/>
        <v>1</v>
      </c>
      <c r="AX142" s="49">
        <f t="shared" si="111"/>
        <v>0</v>
      </c>
      <c r="AY142" s="49">
        <f t="shared" si="112"/>
        <v>0</v>
      </c>
      <c r="AZ142" s="49">
        <f t="shared" si="113"/>
        <v>1</v>
      </c>
      <c r="BA142" s="49">
        <f t="shared" si="114"/>
        <v>0</v>
      </c>
      <c r="BB142" s="49">
        <f t="shared" si="115"/>
        <v>0</v>
      </c>
      <c r="BC142" s="49">
        <f t="shared" si="116"/>
        <v>0</v>
      </c>
      <c r="BD142" s="49">
        <f t="shared" si="117"/>
        <v>0</v>
      </c>
      <c r="BE142" s="49">
        <f t="shared" si="118"/>
        <v>1</v>
      </c>
      <c r="BF142" s="49">
        <f t="shared" si="119"/>
        <v>0</v>
      </c>
      <c r="BG142" s="49">
        <f t="shared" si="120"/>
        <v>0</v>
      </c>
      <c r="BH142" s="49">
        <f t="shared" si="121"/>
        <v>0</v>
      </c>
      <c r="BI142" s="49">
        <f t="shared" si="122"/>
        <v>1</v>
      </c>
      <c r="BJ142" s="49">
        <f t="shared" si="123"/>
        <v>0</v>
      </c>
      <c r="BK142" s="49">
        <f t="shared" si="124"/>
        <v>0</v>
      </c>
      <c r="BL142" s="49">
        <f t="shared" si="125"/>
        <v>1</v>
      </c>
      <c r="BM142" s="49">
        <f t="shared" si="126"/>
        <v>0</v>
      </c>
      <c r="BN142" s="49">
        <f t="shared" si="127"/>
        <v>0</v>
      </c>
      <c r="BO142" s="49">
        <f t="shared" si="128"/>
        <v>0</v>
      </c>
      <c r="BP142" s="49">
        <f t="shared" si="129"/>
        <v>0</v>
      </c>
      <c r="BQ142" s="49">
        <f t="shared" si="130"/>
        <v>1</v>
      </c>
      <c r="BR142" s="49">
        <f t="shared" si="131"/>
        <v>0</v>
      </c>
      <c r="BS142" s="49">
        <f t="shared" si="132"/>
        <v>0</v>
      </c>
      <c r="BT142" s="49">
        <f t="shared" si="133"/>
        <v>1</v>
      </c>
      <c r="BU142" s="49">
        <f t="shared" si="134"/>
        <v>0</v>
      </c>
      <c r="BV142" s="49">
        <f t="shared" si="135"/>
        <v>0</v>
      </c>
      <c r="BW142" s="49">
        <f t="shared" si="136"/>
        <v>0</v>
      </c>
    </row>
    <row r="143" spans="1:75" ht="35.1" customHeight="1" x14ac:dyDescent="0.3">
      <c r="A143" s="123" t="str">
        <f t="shared" si="137"/>
        <v>1팀</v>
      </c>
      <c r="B143" s="69">
        <f t="shared" si="138"/>
        <v>137</v>
      </c>
      <c r="C143" s="121" t="str">
        <f>IF(VLOOKUP($B143,'1. 현장별 인원현황'!$C:$J,2,0)=0,"",VLOOKUP($B143,'1. 현장별 인원현황'!$C:$J,2,0))</f>
        <v xml:space="preserve"> [1.포스코건설] 영종-청라 연결도로(제3연륙교) 건설공사 제2공구 전기 및 통신공사</v>
      </c>
      <c r="D143" s="74" t="str">
        <f>IF(VLOOKUP($B143,'1. 현장별 인원현황'!$C:$J,3,0)=0,"",VLOOKUP($B143,'1. 현장별 인원현황'!$C:$J,3,0))</f>
        <v>신덕진</v>
      </c>
      <c r="E143" s="74" t="str">
        <f ca="1">IF(VLOOKUP($B143,'1. 현장별 인원현황'!$C:$J,4,0)=0,"",VLOOKUP($B143,'1. 현장별 인원현황'!$C:$J,4,0))</f>
        <v>38세</v>
      </c>
      <c r="F143" s="70" t="str">
        <f>IF(VLOOKUP($B143,'1. 현장별 인원현황'!$C:$J,7,0)=0,"",VLOOKUP($B143,'1. 현장별 인원현황'!$C:$J,7,0))</f>
        <v>기능공</v>
      </c>
      <c r="G143" s="72" t="str">
        <f>IF(VLOOKUP($B143,'1. 현장별 인원현황'!$C:$J,8,0)=0,"",VLOOKUP($B143,'1. 현장별 인원현황'!$C:$J,8,0))</f>
        <v>전공</v>
      </c>
      <c r="H143" s="67" t="s">
        <v>69</v>
      </c>
      <c r="I143" s="73"/>
      <c r="J143" s="73"/>
      <c r="K143" s="68"/>
      <c r="L143" s="67"/>
      <c r="M143" s="73" t="s">
        <v>69</v>
      </c>
      <c r="N143" s="73"/>
      <c r="O143" s="68"/>
      <c r="P143" s="67" t="s">
        <v>69</v>
      </c>
      <c r="Q143" s="73"/>
      <c r="R143" s="73"/>
      <c r="S143" s="68"/>
      <c r="T143" s="67"/>
      <c r="U143" s="73" t="s">
        <v>69</v>
      </c>
      <c r="V143" s="73"/>
      <c r="W143" s="68"/>
      <c r="X143" s="67"/>
      <c r="Y143" s="73" t="s">
        <v>69</v>
      </c>
      <c r="Z143" s="73"/>
      <c r="AA143" s="68"/>
      <c r="AB143" s="67" t="s">
        <v>69</v>
      </c>
      <c r="AC143" s="73"/>
      <c r="AD143" s="73"/>
      <c r="AE143" s="68"/>
      <c r="AF143" s="67"/>
      <c r="AG143" s="73" t="s">
        <v>69</v>
      </c>
      <c r="AH143" s="73"/>
      <c r="AI143" s="68"/>
      <c r="AJ143" s="67" t="s">
        <v>69</v>
      </c>
      <c r="AK143" s="73"/>
      <c r="AL143" s="73"/>
      <c r="AM143" s="68"/>
      <c r="AN143" s="67">
        <f t="shared" si="139"/>
        <v>85</v>
      </c>
      <c r="AO143" s="68" t="str">
        <f t="shared" si="140"/>
        <v>A</v>
      </c>
      <c r="AR143" s="49">
        <f t="shared" si="105"/>
        <v>1</v>
      </c>
      <c r="AS143" s="49">
        <f t="shared" si="106"/>
        <v>0</v>
      </c>
      <c r="AT143" s="49">
        <f t="shared" si="107"/>
        <v>0</v>
      </c>
      <c r="AU143" s="49">
        <f t="shared" si="108"/>
        <v>0</v>
      </c>
      <c r="AV143" s="49">
        <f t="shared" si="109"/>
        <v>0</v>
      </c>
      <c r="AW143" s="49">
        <f t="shared" si="110"/>
        <v>1</v>
      </c>
      <c r="AX143" s="49">
        <f t="shared" si="111"/>
        <v>0</v>
      </c>
      <c r="AY143" s="49">
        <f t="shared" si="112"/>
        <v>0</v>
      </c>
      <c r="AZ143" s="49">
        <f t="shared" si="113"/>
        <v>1</v>
      </c>
      <c r="BA143" s="49">
        <f t="shared" si="114"/>
        <v>0</v>
      </c>
      <c r="BB143" s="49">
        <f t="shared" si="115"/>
        <v>0</v>
      </c>
      <c r="BC143" s="49">
        <f t="shared" si="116"/>
        <v>0</v>
      </c>
      <c r="BD143" s="49">
        <f t="shared" si="117"/>
        <v>0</v>
      </c>
      <c r="BE143" s="49">
        <f t="shared" si="118"/>
        <v>1</v>
      </c>
      <c r="BF143" s="49">
        <f t="shared" si="119"/>
        <v>0</v>
      </c>
      <c r="BG143" s="49">
        <f t="shared" si="120"/>
        <v>0</v>
      </c>
      <c r="BH143" s="49">
        <f t="shared" si="121"/>
        <v>0</v>
      </c>
      <c r="BI143" s="49">
        <f t="shared" si="122"/>
        <v>1</v>
      </c>
      <c r="BJ143" s="49">
        <f t="shared" si="123"/>
        <v>0</v>
      </c>
      <c r="BK143" s="49">
        <f t="shared" si="124"/>
        <v>0</v>
      </c>
      <c r="BL143" s="49">
        <f t="shared" si="125"/>
        <v>1</v>
      </c>
      <c r="BM143" s="49">
        <f t="shared" si="126"/>
        <v>0</v>
      </c>
      <c r="BN143" s="49">
        <f t="shared" si="127"/>
        <v>0</v>
      </c>
      <c r="BO143" s="49">
        <f t="shared" si="128"/>
        <v>0</v>
      </c>
      <c r="BP143" s="49">
        <f t="shared" si="129"/>
        <v>0</v>
      </c>
      <c r="BQ143" s="49">
        <f t="shared" si="130"/>
        <v>1</v>
      </c>
      <c r="BR143" s="49">
        <f t="shared" si="131"/>
        <v>0</v>
      </c>
      <c r="BS143" s="49">
        <f t="shared" si="132"/>
        <v>0</v>
      </c>
      <c r="BT143" s="49">
        <f t="shared" si="133"/>
        <v>1</v>
      </c>
      <c r="BU143" s="49">
        <f t="shared" si="134"/>
        <v>0</v>
      </c>
      <c r="BV143" s="49">
        <f t="shared" si="135"/>
        <v>0</v>
      </c>
      <c r="BW143" s="49">
        <f t="shared" si="136"/>
        <v>0</v>
      </c>
    </row>
    <row r="144" spans="1:75" ht="35.1" customHeight="1" x14ac:dyDescent="0.3">
      <c r="A144" s="123" t="str">
        <f t="shared" si="137"/>
        <v>1팀</v>
      </c>
      <c r="B144" s="69">
        <f t="shared" si="138"/>
        <v>138</v>
      </c>
      <c r="C144" s="121" t="str">
        <f>IF(VLOOKUP($B144,'1. 현장별 인원현황'!$C:$J,2,0)=0,"",VLOOKUP($B144,'1. 현장별 인원현황'!$C:$J,2,0))</f>
        <v xml:space="preserve"> [1.포스코건설] 영종-청라 연결도로(제3연륙교) 건설공사 제2공구 전기 및 통신공사</v>
      </c>
      <c r="D144" s="74" t="str">
        <f>IF(VLOOKUP($B144,'1. 현장별 인원현황'!$C:$J,3,0)=0,"",VLOOKUP($B144,'1. 현장별 인원현황'!$C:$J,3,0))</f>
        <v>안은호</v>
      </c>
      <c r="E144" s="74" t="str">
        <f ca="1">IF(VLOOKUP($B144,'1. 현장별 인원현황'!$C:$J,4,0)=0,"",VLOOKUP($B144,'1. 현장별 인원현황'!$C:$J,4,0))</f>
        <v>44세</v>
      </c>
      <c r="F144" s="70" t="str">
        <f>IF(VLOOKUP($B144,'1. 현장별 인원현황'!$C:$J,7,0)=0,"",VLOOKUP($B144,'1. 현장별 인원현황'!$C:$J,7,0))</f>
        <v>기능공</v>
      </c>
      <c r="G144" s="72" t="str">
        <f>IF(VLOOKUP($B144,'1. 현장별 인원현황'!$C:$J,8,0)=0,"",VLOOKUP($B144,'1. 현장별 인원현황'!$C:$J,8,0))</f>
        <v>전공</v>
      </c>
      <c r="H144" s="67" t="s">
        <v>69</v>
      </c>
      <c r="I144" s="73"/>
      <c r="J144" s="73"/>
      <c r="K144" s="68"/>
      <c r="L144" s="67"/>
      <c r="M144" s="73" t="s">
        <v>69</v>
      </c>
      <c r="N144" s="73"/>
      <c r="O144" s="68"/>
      <c r="P144" s="67" t="s">
        <v>69</v>
      </c>
      <c r="Q144" s="73"/>
      <c r="R144" s="73"/>
      <c r="S144" s="68"/>
      <c r="T144" s="67"/>
      <c r="U144" s="73" t="s">
        <v>69</v>
      </c>
      <c r="V144" s="73"/>
      <c r="W144" s="68"/>
      <c r="X144" s="67"/>
      <c r="Y144" s="73" t="s">
        <v>69</v>
      </c>
      <c r="Z144" s="73"/>
      <c r="AA144" s="68"/>
      <c r="AB144" s="67" t="s">
        <v>69</v>
      </c>
      <c r="AC144" s="73"/>
      <c r="AD144" s="73"/>
      <c r="AE144" s="68"/>
      <c r="AF144" s="67"/>
      <c r="AG144" s="73" t="s">
        <v>69</v>
      </c>
      <c r="AH144" s="73"/>
      <c r="AI144" s="68"/>
      <c r="AJ144" s="67" t="s">
        <v>69</v>
      </c>
      <c r="AK144" s="73"/>
      <c r="AL144" s="73"/>
      <c r="AM144" s="68"/>
      <c r="AN144" s="67">
        <f t="shared" si="139"/>
        <v>85</v>
      </c>
      <c r="AO144" s="68" t="str">
        <f t="shared" si="140"/>
        <v>A</v>
      </c>
      <c r="AR144" s="49">
        <f t="shared" si="105"/>
        <v>1</v>
      </c>
      <c r="AS144" s="49">
        <f t="shared" si="106"/>
        <v>0</v>
      </c>
      <c r="AT144" s="49">
        <f t="shared" si="107"/>
        <v>0</v>
      </c>
      <c r="AU144" s="49">
        <f t="shared" si="108"/>
        <v>0</v>
      </c>
      <c r="AV144" s="49">
        <f t="shared" si="109"/>
        <v>0</v>
      </c>
      <c r="AW144" s="49">
        <f t="shared" si="110"/>
        <v>1</v>
      </c>
      <c r="AX144" s="49">
        <f t="shared" si="111"/>
        <v>0</v>
      </c>
      <c r="AY144" s="49">
        <f t="shared" si="112"/>
        <v>0</v>
      </c>
      <c r="AZ144" s="49">
        <f t="shared" si="113"/>
        <v>1</v>
      </c>
      <c r="BA144" s="49">
        <f t="shared" si="114"/>
        <v>0</v>
      </c>
      <c r="BB144" s="49">
        <f t="shared" si="115"/>
        <v>0</v>
      </c>
      <c r="BC144" s="49">
        <f t="shared" si="116"/>
        <v>0</v>
      </c>
      <c r="BD144" s="49">
        <f t="shared" si="117"/>
        <v>0</v>
      </c>
      <c r="BE144" s="49">
        <f t="shared" si="118"/>
        <v>1</v>
      </c>
      <c r="BF144" s="49">
        <f t="shared" si="119"/>
        <v>0</v>
      </c>
      <c r="BG144" s="49">
        <f t="shared" si="120"/>
        <v>0</v>
      </c>
      <c r="BH144" s="49">
        <f t="shared" si="121"/>
        <v>0</v>
      </c>
      <c r="BI144" s="49">
        <f t="shared" si="122"/>
        <v>1</v>
      </c>
      <c r="BJ144" s="49">
        <f t="shared" si="123"/>
        <v>0</v>
      </c>
      <c r="BK144" s="49">
        <f t="shared" si="124"/>
        <v>0</v>
      </c>
      <c r="BL144" s="49">
        <f t="shared" si="125"/>
        <v>1</v>
      </c>
      <c r="BM144" s="49">
        <f t="shared" si="126"/>
        <v>0</v>
      </c>
      <c r="BN144" s="49">
        <f t="shared" si="127"/>
        <v>0</v>
      </c>
      <c r="BO144" s="49">
        <f t="shared" si="128"/>
        <v>0</v>
      </c>
      <c r="BP144" s="49">
        <f t="shared" si="129"/>
        <v>0</v>
      </c>
      <c r="BQ144" s="49">
        <f t="shared" si="130"/>
        <v>1</v>
      </c>
      <c r="BR144" s="49">
        <f t="shared" si="131"/>
        <v>0</v>
      </c>
      <c r="BS144" s="49">
        <f t="shared" si="132"/>
        <v>0</v>
      </c>
      <c r="BT144" s="49">
        <f t="shared" si="133"/>
        <v>1</v>
      </c>
      <c r="BU144" s="49">
        <f t="shared" si="134"/>
        <v>0</v>
      </c>
      <c r="BV144" s="49">
        <f t="shared" si="135"/>
        <v>0</v>
      </c>
      <c r="BW144" s="49">
        <f t="shared" si="136"/>
        <v>0</v>
      </c>
    </row>
    <row r="145" spans="1:75" ht="35.1" customHeight="1" x14ac:dyDescent="0.3">
      <c r="A145" s="123" t="str">
        <f t="shared" si="137"/>
        <v>1팀</v>
      </c>
      <c r="B145" s="69">
        <f t="shared" si="138"/>
        <v>139</v>
      </c>
      <c r="C145" s="121" t="str">
        <f>IF(VLOOKUP($B145,'1. 현장별 인원현황'!$C:$J,2,0)=0,"",VLOOKUP($B145,'1. 현장별 인원현황'!$C:$J,2,0))</f>
        <v xml:space="preserve"> [1.포스코건설] 영종-청라 연결도로(제3연륙교) 건설공사 제2공구 전기 및 통신공사</v>
      </c>
      <c r="D145" s="74" t="str">
        <f>IF(VLOOKUP($B145,'1. 현장별 인원현황'!$C:$J,3,0)=0,"",VLOOKUP($B145,'1. 현장별 인원현황'!$C:$J,3,0))</f>
        <v>우덕균</v>
      </c>
      <c r="E145" s="74" t="str">
        <f ca="1">IF(VLOOKUP($B145,'1. 현장별 인원현황'!$C:$J,4,0)=0,"",VLOOKUP($B145,'1. 현장별 인원현황'!$C:$J,4,0))</f>
        <v>60세</v>
      </c>
      <c r="F145" s="70" t="str">
        <f>IF(VLOOKUP($B145,'1. 현장별 인원현황'!$C:$J,7,0)=0,"",VLOOKUP($B145,'1. 현장별 인원현황'!$C:$J,7,0))</f>
        <v>기능공</v>
      </c>
      <c r="G145" s="72" t="str">
        <f>IF(VLOOKUP($B145,'1. 현장별 인원현황'!$C:$J,8,0)=0,"",VLOOKUP($B145,'1. 현장별 인원현황'!$C:$J,8,0))</f>
        <v>전공</v>
      </c>
      <c r="H145" s="67" t="s">
        <v>69</v>
      </c>
      <c r="I145" s="73"/>
      <c r="J145" s="73"/>
      <c r="K145" s="68"/>
      <c r="L145" s="67"/>
      <c r="M145" s="73" t="s">
        <v>69</v>
      </c>
      <c r="N145" s="73"/>
      <c r="O145" s="68"/>
      <c r="P145" s="67" t="s">
        <v>69</v>
      </c>
      <c r="Q145" s="73"/>
      <c r="R145" s="73"/>
      <c r="S145" s="68"/>
      <c r="T145" s="67"/>
      <c r="U145" s="73" t="s">
        <v>69</v>
      </c>
      <c r="V145" s="73"/>
      <c r="W145" s="68"/>
      <c r="X145" s="67"/>
      <c r="Y145" s="73" t="s">
        <v>69</v>
      </c>
      <c r="Z145" s="73"/>
      <c r="AA145" s="68"/>
      <c r="AB145" s="67" t="s">
        <v>69</v>
      </c>
      <c r="AC145" s="73"/>
      <c r="AD145" s="73"/>
      <c r="AE145" s="68"/>
      <c r="AF145" s="67"/>
      <c r="AG145" s="73" t="s">
        <v>69</v>
      </c>
      <c r="AH145" s="73"/>
      <c r="AI145" s="68"/>
      <c r="AJ145" s="67" t="s">
        <v>69</v>
      </c>
      <c r="AK145" s="73"/>
      <c r="AL145" s="73"/>
      <c r="AM145" s="68"/>
      <c r="AN145" s="67">
        <f t="shared" si="139"/>
        <v>85</v>
      </c>
      <c r="AO145" s="68" t="str">
        <f t="shared" si="140"/>
        <v>A</v>
      </c>
      <c r="AR145" s="49">
        <f t="shared" si="105"/>
        <v>1</v>
      </c>
      <c r="AS145" s="49">
        <f t="shared" si="106"/>
        <v>0</v>
      </c>
      <c r="AT145" s="49">
        <f t="shared" si="107"/>
        <v>0</v>
      </c>
      <c r="AU145" s="49">
        <f t="shared" si="108"/>
        <v>0</v>
      </c>
      <c r="AV145" s="49">
        <f t="shared" si="109"/>
        <v>0</v>
      </c>
      <c r="AW145" s="49">
        <f t="shared" si="110"/>
        <v>1</v>
      </c>
      <c r="AX145" s="49">
        <f t="shared" si="111"/>
        <v>0</v>
      </c>
      <c r="AY145" s="49">
        <f t="shared" si="112"/>
        <v>0</v>
      </c>
      <c r="AZ145" s="49">
        <f t="shared" si="113"/>
        <v>1</v>
      </c>
      <c r="BA145" s="49">
        <f t="shared" si="114"/>
        <v>0</v>
      </c>
      <c r="BB145" s="49">
        <f t="shared" si="115"/>
        <v>0</v>
      </c>
      <c r="BC145" s="49">
        <f t="shared" si="116"/>
        <v>0</v>
      </c>
      <c r="BD145" s="49">
        <f t="shared" si="117"/>
        <v>0</v>
      </c>
      <c r="BE145" s="49">
        <f t="shared" si="118"/>
        <v>1</v>
      </c>
      <c r="BF145" s="49">
        <f t="shared" si="119"/>
        <v>0</v>
      </c>
      <c r="BG145" s="49">
        <f t="shared" si="120"/>
        <v>0</v>
      </c>
      <c r="BH145" s="49">
        <f t="shared" si="121"/>
        <v>0</v>
      </c>
      <c r="BI145" s="49">
        <f t="shared" si="122"/>
        <v>1</v>
      </c>
      <c r="BJ145" s="49">
        <f t="shared" si="123"/>
        <v>0</v>
      </c>
      <c r="BK145" s="49">
        <f t="shared" si="124"/>
        <v>0</v>
      </c>
      <c r="BL145" s="49">
        <f t="shared" si="125"/>
        <v>1</v>
      </c>
      <c r="BM145" s="49">
        <f t="shared" si="126"/>
        <v>0</v>
      </c>
      <c r="BN145" s="49">
        <f t="shared" si="127"/>
        <v>0</v>
      </c>
      <c r="BO145" s="49">
        <f t="shared" si="128"/>
        <v>0</v>
      </c>
      <c r="BP145" s="49">
        <f t="shared" si="129"/>
        <v>0</v>
      </c>
      <c r="BQ145" s="49">
        <f t="shared" si="130"/>
        <v>1</v>
      </c>
      <c r="BR145" s="49">
        <f t="shared" si="131"/>
        <v>0</v>
      </c>
      <c r="BS145" s="49">
        <f t="shared" si="132"/>
        <v>0</v>
      </c>
      <c r="BT145" s="49">
        <f t="shared" si="133"/>
        <v>1</v>
      </c>
      <c r="BU145" s="49">
        <f t="shared" si="134"/>
        <v>0</v>
      </c>
      <c r="BV145" s="49">
        <f t="shared" si="135"/>
        <v>0</v>
      </c>
      <c r="BW145" s="49">
        <f t="shared" si="136"/>
        <v>0</v>
      </c>
    </row>
    <row r="146" spans="1:75" ht="35.1" customHeight="1" x14ac:dyDescent="0.3">
      <c r="A146" s="123" t="str">
        <f t="shared" si="137"/>
        <v>1팀</v>
      </c>
      <c r="B146" s="69">
        <f t="shared" si="138"/>
        <v>140</v>
      </c>
      <c r="C146" s="121" t="str">
        <f>IF(VLOOKUP($B146,'1. 현장별 인원현황'!$C:$J,2,0)=0,"",VLOOKUP($B146,'1. 현장별 인원현황'!$C:$J,2,0))</f>
        <v xml:space="preserve"> [1.포스코건설] 영종-청라 연결도로(제3연륙교) 건설공사 제2공구 전기 및 통신공사</v>
      </c>
      <c r="D146" s="74" t="str">
        <f>IF(VLOOKUP($B146,'1. 현장별 인원현황'!$C:$J,3,0)=0,"",VLOOKUP($B146,'1. 현장별 인원현황'!$C:$J,3,0))</f>
        <v>유경철</v>
      </c>
      <c r="E146" s="74" t="str">
        <f ca="1">IF(VLOOKUP($B146,'1. 현장별 인원현황'!$C:$J,4,0)=0,"",VLOOKUP($B146,'1. 현장별 인원현황'!$C:$J,4,0))</f>
        <v>51세</v>
      </c>
      <c r="F146" s="70" t="str">
        <f>IF(VLOOKUP($B146,'1. 현장별 인원현황'!$C:$J,7,0)=0,"",VLOOKUP($B146,'1. 현장별 인원현황'!$C:$J,7,0))</f>
        <v>기능공</v>
      </c>
      <c r="G146" s="72" t="str">
        <f>IF(VLOOKUP($B146,'1. 현장별 인원현황'!$C:$J,8,0)=0,"",VLOOKUP($B146,'1. 현장별 인원현황'!$C:$J,8,0))</f>
        <v>전공</v>
      </c>
      <c r="H146" s="67" t="s">
        <v>69</v>
      </c>
      <c r="I146" s="73"/>
      <c r="J146" s="73"/>
      <c r="K146" s="68"/>
      <c r="L146" s="67"/>
      <c r="M146" s="73" t="s">
        <v>69</v>
      </c>
      <c r="N146" s="73"/>
      <c r="O146" s="68"/>
      <c r="P146" s="67" t="s">
        <v>69</v>
      </c>
      <c r="Q146" s="73"/>
      <c r="R146" s="73"/>
      <c r="S146" s="68"/>
      <c r="T146" s="67"/>
      <c r="U146" s="73" t="s">
        <v>69</v>
      </c>
      <c r="V146" s="73"/>
      <c r="W146" s="68"/>
      <c r="X146" s="67"/>
      <c r="Y146" s="73" t="s">
        <v>69</v>
      </c>
      <c r="Z146" s="73"/>
      <c r="AA146" s="68"/>
      <c r="AB146" s="67" t="s">
        <v>69</v>
      </c>
      <c r="AC146" s="73"/>
      <c r="AD146" s="73"/>
      <c r="AE146" s="68"/>
      <c r="AF146" s="67"/>
      <c r="AG146" s="73" t="s">
        <v>69</v>
      </c>
      <c r="AH146" s="73"/>
      <c r="AI146" s="68"/>
      <c r="AJ146" s="67" t="s">
        <v>69</v>
      </c>
      <c r="AK146" s="73"/>
      <c r="AL146" s="73"/>
      <c r="AM146" s="68"/>
      <c r="AN146" s="67">
        <f t="shared" si="139"/>
        <v>85</v>
      </c>
      <c r="AO146" s="68" t="str">
        <f t="shared" si="140"/>
        <v>A</v>
      </c>
      <c r="AR146" s="49">
        <f t="shared" si="105"/>
        <v>1</v>
      </c>
      <c r="AS146" s="49">
        <f t="shared" si="106"/>
        <v>0</v>
      </c>
      <c r="AT146" s="49">
        <f t="shared" si="107"/>
        <v>0</v>
      </c>
      <c r="AU146" s="49">
        <f t="shared" si="108"/>
        <v>0</v>
      </c>
      <c r="AV146" s="49">
        <f t="shared" si="109"/>
        <v>0</v>
      </c>
      <c r="AW146" s="49">
        <f t="shared" si="110"/>
        <v>1</v>
      </c>
      <c r="AX146" s="49">
        <f t="shared" si="111"/>
        <v>0</v>
      </c>
      <c r="AY146" s="49">
        <f t="shared" si="112"/>
        <v>0</v>
      </c>
      <c r="AZ146" s="49">
        <f t="shared" si="113"/>
        <v>1</v>
      </c>
      <c r="BA146" s="49">
        <f t="shared" si="114"/>
        <v>0</v>
      </c>
      <c r="BB146" s="49">
        <f t="shared" si="115"/>
        <v>0</v>
      </c>
      <c r="BC146" s="49">
        <f t="shared" si="116"/>
        <v>0</v>
      </c>
      <c r="BD146" s="49">
        <f t="shared" si="117"/>
        <v>0</v>
      </c>
      <c r="BE146" s="49">
        <f t="shared" si="118"/>
        <v>1</v>
      </c>
      <c r="BF146" s="49">
        <f t="shared" si="119"/>
        <v>0</v>
      </c>
      <c r="BG146" s="49">
        <f t="shared" si="120"/>
        <v>0</v>
      </c>
      <c r="BH146" s="49">
        <f t="shared" si="121"/>
        <v>0</v>
      </c>
      <c r="BI146" s="49">
        <f t="shared" si="122"/>
        <v>1</v>
      </c>
      <c r="BJ146" s="49">
        <f t="shared" si="123"/>
        <v>0</v>
      </c>
      <c r="BK146" s="49">
        <f t="shared" si="124"/>
        <v>0</v>
      </c>
      <c r="BL146" s="49">
        <f t="shared" si="125"/>
        <v>1</v>
      </c>
      <c r="BM146" s="49">
        <f t="shared" si="126"/>
        <v>0</v>
      </c>
      <c r="BN146" s="49">
        <f t="shared" si="127"/>
        <v>0</v>
      </c>
      <c r="BO146" s="49">
        <f t="shared" si="128"/>
        <v>0</v>
      </c>
      <c r="BP146" s="49">
        <f t="shared" si="129"/>
        <v>0</v>
      </c>
      <c r="BQ146" s="49">
        <f t="shared" si="130"/>
        <v>1</v>
      </c>
      <c r="BR146" s="49">
        <f t="shared" si="131"/>
        <v>0</v>
      </c>
      <c r="BS146" s="49">
        <f t="shared" si="132"/>
        <v>0</v>
      </c>
      <c r="BT146" s="49">
        <f t="shared" si="133"/>
        <v>1</v>
      </c>
      <c r="BU146" s="49">
        <f t="shared" si="134"/>
        <v>0</v>
      </c>
      <c r="BV146" s="49">
        <f t="shared" si="135"/>
        <v>0</v>
      </c>
      <c r="BW146" s="49">
        <f t="shared" si="136"/>
        <v>0</v>
      </c>
    </row>
    <row r="147" spans="1:75" ht="35.1" customHeight="1" x14ac:dyDescent="0.3">
      <c r="A147" s="123" t="str">
        <f t="shared" si="137"/>
        <v>1팀</v>
      </c>
      <c r="B147" s="69">
        <f t="shared" si="138"/>
        <v>141</v>
      </c>
      <c r="C147" s="121" t="str">
        <f>IF(VLOOKUP($B147,'1. 현장별 인원현황'!$C:$J,2,0)=0,"",VLOOKUP($B147,'1. 현장별 인원현황'!$C:$J,2,0))</f>
        <v xml:space="preserve"> [1.포스코건설] 영종-청라 연결도로(제3연륙교) 건설공사 제2공구 전기 및 통신공사</v>
      </c>
      <c r="D147" s="74" t="str">
        <f>IF(VLOOKUP($B147,'1. 현장별 인원현황'!$C:$J,3,0)=0,"",VLOOKUP($B147,'1. 현장별 인원현황'!$C:$J,3,0))</f>
        <v>유철호</v>
      </c>
      <c r="E147" s="74" t="str">
        <f ca="1">IF(VLOOKUP($B147,'1. 현장별 인원현황'!$C:$J,4,0)=0,"",VLOOKUP($B147,'1. 현장별 인원현황'!$C:$J,4,0))</f>
        <v>61세</v>
      </c>
      <c r="F147" s="70" t="str">
        <f>IF(VLOOKUP($B147,'1. 현장별 인원현황'!$C:$J,7,0)=0,"",VLOOKUP($B147,'1. 현장별 인원현황'!$C:$J,7,0))</f>
        <v>기능공</v>
      </c>
      <c r="G147" s="72" t="str">
        <f>IF(VLOOKUP($B147,'1. 현장별 인원현황'!$C:$J,8,0)=0,"",VLOOKUP($B147,'1. 현장별 인원현황'!$C:$J,8,0))</f>
        <v>전공</v>
      </c>
      <c r="H147" s="67" t="s">
        <v>69</v>
      </c>
      <c r="I147" s="73"/>
      <c r="J147" s="73"/>
      <c r="K147" s="68"/>
      <c r="L147" s="67"/>
      <c r="M147" s="73" t="s">
        <v>69</v>
      </c>
      <c r="N147" s="73"/>
      <c r="O147" s="68"/>
      <c r="P147" s="67" t="s">
        <v>69</v>
      </c>
      <c r="Q147" s="73"/>
      <c r="R147" s="73"/>
      <c r="S147" s="68"/>
      <c r="T147" s="67"/>
      <c r="U147" s="73" t="s">
        <v>69</v>
      </c>
      <c r="V147" s="73"/>
      <c r="W147" s="68"/>
      <c r="X147" s="67"/>
      <c r="Y147" s="73" t="s">
        <v>69</v>
      </c>
      <c r="Z147" s="73"/>
      <c r="AA147" s="68"/>
      <c r="AB147" s="67" t="s">
        <v>69</v>
      </c>
      <c r="AC147" s="73"/>
      <c r="AD147" s="73"/>
      <c r="AE147" s="68"/>
      <c r="AF147" s="67"/>
      <c r="AG147" s="73" t="s">
        <v>69</v>
      </c>
      <c r="AH147" s="73"/>
      <c r="AI147" s="68"/>
      <c r="AJ147" s="67" t="s">
        <v>69</v>
      </c>
      <c r="AK147" s="73"/>
      <c r="AL147" s="73"/>
      <c r="AM147" s="68"/>
      <c r="AN147" s="67">
        <f t="shared" si="139"/>
        <v>85</v>
      </c>
      <c r="AO147" s="68" t="str">
        <f t="shared" si="140"/>
        <v>A</v>
      </c>
      <c r="AR147" s="49">
        <f t="shared" si="105"/>
        <v>1</v>
      </c>
      <c r="AS147" s="49">
        <f t="shared" si="106"/>
        <v>0</v>
      </c>
      <c r="AT147" s="49">
        <f t="shared" si="107"/>
        <v>0</v>
      </c>
      <c r="AU147" s="49">
        <f t="shared" si="108"/>
        <v>0</v>
      </c>
      <c r="AV147" s="49">
        <f t="shared" si="109"/>
        <v>0</v>
      </c>
      <c r="AW147" s="49">
        <f t="shared" si="110"/>
        <v>1</v>
      </c>
      <c r="AX147" s="49">
        <f t="shared" si="111"/>
        <v>0</v>
      </c>
      <c r="AY147" s="49">
        <f t="shared" si="112"/>
        <v>0</v>
      </c>
      <c r="AZ147" s="49">
        <f t="shared" si="113"/>
        <v>1</v>
      </c>
      <c r="BA147" s="49">
        <f t="shared" si="114"/>
        <v>0</v>
      </c>
      <c r="BB147" s="49">
        <f t="shared" si="115"/>
        <v>0</v>
      </c>
      <c r="BC147" s="49">
        <f t="shared" si="116"/>
        <v>0</v>
      </c>
      <c r="BD147" s="49">
        <f t="shared" si="117"/>
        <v>0</v>
      </c>
      <c r="BE147" s="49">
        <f t="shared" si="118"/>
        <v>1</v>
      </c>
      <c r="BF147" s="49">
        <f t="shared" si="119"/>
        <v>0</v>
      </c>
      <c r="BG147" s="49">
        <f t="shared" si="120"/>
        <v>0</v>
      </c>
      <c r="BH147" s="49">
        <f t="shared" si="121"/>
        <v>0</v>
      </c>
      <c r="BI147" s="49">
        <f t="shared" si="122"/>
        <v>1</v>
      </c>
      <c r="BJ147" s="49">
        <f t="shared" si="123"/>
        <v>0</v>
      </c>
      <c r="BK147" s="49">
        <f t="shared" si="124"/>
        <v>0</v>
      </c>
      <c r="BL147" s="49">
        <f t="shared" si="125"/>
        <v>1</v>
      </c>
      <c r="BM147" s="49">
        <f t="shared" si="126"/>
        <v>0</v>
      </c>
      <c r="BN147" s="49">
        <f t="shared" si="127"/>
        <v>0</v>
      </c>
      <c r="BO147" s="49">
        <f t="shared" si="128"/>
        <v>0</v>
      </c>
      <c r="BP147" s="49">
        <f t="shared" si="129"/>
        <v>0</v>
      </c>
      <c r="BQ147" s="49">
        <f t="shared" si="130"/>
        <v>1</v>
      </c>
      <c r="BR147" s="49">
        <f t="shared" si="131"/>
        <v>0</v>
      </c>
      <c r="BS147" s="49">
        <f t="shared" si="132"/>
        <v>0</v>
      </c>
      <c r="BT147" s="49">
        <f t="shared" si="133"/>
        <v>1</v>
      </c>
      <c r="BU147" s="49">
        <f t="shared" si="134"/>
        <v>0</v>
      </c>
      <c r="BV147" s="49">
        <f t="shared" si="135"/>
        <v>0</v>
      </c>
      <c r="BW147" s="49">
        <f t="shared" si="136"/>
        <v>0</v>
      </c>
    </row>
    <row r="148" spans="1:75" ht="35.1" customHeight="1" x14ac:dyDescent="0.3">
      <c r="A148" s="123" t="str">
        <f t="shared" si="137"/>
        <v>1팀</v>
      </c>
      <c r="B148" s="69">
        <f t="shared" si="138"/>
        <v>142</v>
      </c>
      <c r="C148" s="121" t="str">
        <f>IF(VLOOKUP($B148,'1. 현장별 인원현황'!$C:$J,2,0)=0,"",VLOOKUP($B148,'1. 현장별 인원현황'!$C:$J,2,0))</f>
        <v xml:space="preserve"> [1.포스코건설] 영종-청라 연결도로(제3연륙교) 건설공사 제2공구 전기 및 통신공사</v>
      </c>
      <c r="D148" s="74" t="str">
        <f>IF(VLOOKUP($B148,'1. 현장별 인원현황'!$C:$J,3,0)=0,"",VLOOKUP($B148,'1. 현장별 인원현황'!$C:$J,3,0))</f>
        <v>이흥주</v>
      </c>
      <c r="E148" s="74" t="str">
        <f ca="1">IF(VLOOKUP($B148,'1. 현장별 인원현황'!$C:$J,4,0)=0,"",VLOOKUP($B148,'1. 현장별 인원현황'!$C:$J,4,0))</f>
        <v>55세</v>
      </c>
      <c r="F148" s="70" t="str">
        <f>IF(VLOOKUP($B148,'1. 현장별 인원현황'!$C:$J,7,0)=0,"",VLOOKUP($B148,'1. 현장별 인원현황'!$C:$J,7,0))</f>
        <v>기능공</v>
      </c>
      <c r="G148" s="72" t="str">
        <f>IF(VLOOKUP($B148,'1. 현장별 인원현황'!$C:$J,8,0)=0,"",VLOOKUP($B148,'1. 현장별 인원현황'!$C:$J,8,0))</f>
        <v>전공</v>
      </c>
      <c r="H148" s="67" t="s">
        <v>69</v>
      </c>
      <c r="I148" s="73"/>
      <c r="J148" s="73"/>
      <c r="K148" s="68"/>
      <c r="L148" s="67"/>
      <c r="M148" s="73" t="s">
        <v>69</v>
      </c>
      <c r="N148" s="73"/>
      <c r="O148" s="68"/>
      <c r="P148" s="67" t="s">
        <v>69</v>
      </c>
      <c r="Q148" s="73"/>
      <c r="R148" s="73"/>
      <c r="S148" s="68"/>
      <c r="T148" s="67"/>
      <c r="U148" s="73" t="s">
        <v>69</v>
      </c>
      <c r="V148" s="73"/>
      <c r="W148" s="68"/>
      <c r="X148" s="67"/>
      <c r="Y148" s="73" t="s">
        <v>69</v>
      </c>
      <c r="Z148" s="73"/>
      <c r="AA148" s="68"/>
      <c r="AB148" s="67" t="s">
        <v>69</v>
      </c>
      <c r="AC148" s="73"/>
      <c r="AD148" s="73"/>
      <c r="AE148" s="68"/>
      <c r="AF148" s="67"/>
      <c r="AG148" s="73" t="s">
        <v>69</v>
      </c>
      <c r="AH148" s="73"/>
      <c r="AI148" s="68"/>
      <c r="AJ148" s="67" t="s">
        <v>69</v>
      </c>
      <c r="AK148" s="73"/>
      <c r="AL148" s="73"/>
      <c r="AM148" s="68"/>
      <c r="AN148" s="67">
        <f t="shared" si="139"/>
        <v>85</v>
      </c>
      <c r="AO148" s="68" t="str">
        <f t="shared" si="140"/>
        <v>A</v>
      </c>
      <c r="AR148" s="49">
        <f t="shared" si="41"/>
        <v>1</v>
      </c>
      <c r="AS148" s="49">
        <f t="shared" si="42"/>
        <v>0</v>
      </c>
      <c r="AT148" s="49">
        <f t="shared" si="43"/>
        <v>0</v>
      </c>
      <c r="AU148" s="49">
        <f t="shared" si="44"/>
        <v>0</v>
      </c>
      <c r="AV148" s="49">
        <f t="shared" si="45"/>
        <v>0</v>
      </c>
      <c r="AW148" s="49">
        <f t="shared" si="46"/>
        <v>1</v>
      </c>
      <c r="AX148" s="49">
        <f t="shared" si="47"/>
        <v>0</v>
      </c>
      <c r="AY148" s="49">
        <f t="shared" si="48"/>
        <v>0</v>
      </c>
      <c r="AZ148" s="49">
        <f t="shared" si="49"/>
        <v>1</v>
      </c>
      <c r="BA148" s="49">
        <f t="shared" si="50"/>
        <v>0</v>
      </c>
      <c r="BB148" s="49">
        <f t="shared" si="51"/>
        <v>0</v>
      </c>
      <c r="BC148" s="49">
        <f t="shared" si="52"/>
        <v>0</v>
      </c>
      <c r="BD148" s="49">
        <f t="shared" si="53"/>
        <v>0</v>
      </c>
      <c r="BE148" s="49">
        <f t="shared" si="54"/>
        <v>1</v>
      </c>
      <c r="BF148" s="49">
        <f t="shared" si="55"/>
        <v>0</v>
      </c>
      <c r="BG148" s="49">
        <f t="shared" si="56"/>
        <v>0</v>
      </c>
      <c r="BH148" s="49">
        <f t="shared" si="57"/>
        <v>0</v>
      </c>
      <c r="BI148" s="49">
        <f t="shared" si="58"/>
        <v>1</v>
      </c>
      <c r="BJ148" s="49">
        <f t="shared" si="59"/>
        <v>0</v>
      </c>
      <c r="BK148" s="49">
        <f t="shared" si="60"/>
        <v>0</v>
      </c>
      <c r="BL148" s="49">
        <f t="shared" si="61"/>
        <v>1</v>
      </c>
      <c r="BM148" s="49">
        <f t="shared" si="62"/>
        <v>0</v>
      </c>
      <c r="BN148" s="49">
        <f t="shared" si="63"/>
        <v>0</v>
      </c>
      <c r="BO148" s="49">
        <f t="shared" si="64"/>
        <v>0</v>
      </c>
      <c r="BP148" s="49">
        <f t="shared" si="65"/>
        <v>0</v>
      </c>
      <c r="BQ148" s="49">
        <f t="shared" si="66"/>
        <v>1</v>
      </c>
      <c r="BR148" s="49">
        <f t="shared" si="67"/>
        <v>0</v>
      </c>
      <c r="BS148" s="49">
        <f t="shared" si="68"/>
        <v>0</v>
      </c>
      <c r="BT148" s="49">
        <f t="shared" si="69"/>
        <v>1</v>
      </c>
      <c r="BU148" s="49">
        <f t="shared" si="70"/>
        <v>0</v>
      </c>
      <c r="BV148" s="49">
        <f t="shared" si="71"/>
        <v>0</v>
      </c>
      <c r="BW148" s="49">
        <f t="shared" si="72"/>
        <v>0</v>
      </c>
    </row>
    <row r="149" spans="1:75" ht="35.1" customHeight="1" x14ac:dyDescent="0.3">
      <c r="A149" s="123" t="str">
        <f t="shared" si="137"/>
        <v>1팀</v>
      </c>
      <c r="B149" s="69">
        <f t="shared" si="138"/>
        <v>143</v>
      </c>
      <c r="C149" s="121" t="str">
        <f>IF(VLOOKUP($B149,'1. 현장별 인원현황'!$C:$J,2,0)=0,"",VLOOKUP($B149,'1. 현장별 인원현황'!$C:$J,2,0))</f>
        <v xml:space="preserve"> [1.포스코건설] 영종-청라 연결도로(제3연륙교) 건설공사 제2공구 전기 및 통신공사</v>
      </c>
      <c r="D149" s="74" t="str">
        <f>IF(VLOOKUP($B149,'1. 현장별 인원현황'!$C:$J,3,0)=0,"",VLOOKUP($B149,'1. 현장별 인원현황'!$C:$J,3,0))</f>
        <v>차병석</v>
      </c>
      <c r="E149" s="74" t="str">
        <f ca="1">IF(VLOOKUP($B149,'1. 현장별 인원현황'!$C:$J,4,0)=0,"",VLOOKUP($B149,'1. 현장별 인원현황'!$C:$J,4,0))</f>
        <v>54세</v>
      </c>
      <c r="F149" s="70" t="str">
        <f>IF(VLOOKUP($B149,'1. 현장별 인원현황'!$C:$J,7,0)=0,"",VLOOKUP($B149,'1. 현장별 인원현황'!$C:$J,7,0))</f>
        <v>기능공</v>
      </c>
      <c r="G149" s="72" t="str">
        <f>IF(VLOOKUP($B149,'1. 현장별 인원현황'!$C:$J,8,0)=0,"",VLOOKUP($B149,'1. 현장별 인원현황'!$C:$J,8,0))</f>
        <v>전공</v>
      </c>
      <c r="H149" s="67" t="s">
        <v>69</v>
      </c>
      <c r="I149" s="73"/>
      <c r="J149" s="73"/>
      <c r="K149" s="68"/>
      <c r="L149" s="67"/>
      <c r="M149" s="73" t="s">
        <v>69</v>
      </c>
      <c r="N149" s="73"/>
      <c r="O149" s="68"/>
      <c r="P149" s="67" t="s">
        <v>69</v>
      </c>
      <c r="Q149" s="73"/>
      <c r="R149" s="73"/>
      <c r="S149" s="68"/>
      <c r="T149" s="67"/>
      <c r="U149" s="73" t="s">
        <v>69</v>
      </c>
      <c r="V149" s="73"/>
      <c r="W149" s="68"/>
      <c r="X149" s="67"/>
      <c r="Y149" s="73" t="s">
        <v>69</v>
      </c>
      <c r="Z149" s="73"/>
      <c r="AA149" s="68"/>
      <c r="AB149" s="67" t="s">
        <v>69</v>
      </c>
      <c r="AC149" s="73"/>
      <c r="AD149" s="73"/>
      <c r="AE149" s="68"/>
      <c r="AF149" s="67"/>
      <c r="AG149" s="73" t="s">
        <v>69</v>
      </c>
      <c r="AH149" s="73"/>
      <c r="AI149" s="68"/>
      <c r="AJ149" s="67" t="s">
        <v>69</v>
      </c>
      <c r="AK149" s="73"/>
      <c r="AL149" s="73"/>
      <c r="AM149" s="68"/>
      <c r="AN149" s="67">
        <f t="shared" si="139"/>
        <v>85</v>
      </c>
      <c r="AO149" s="68" t="str">
        <f t="shared" si="140"/>
        <v>A</v>
      </c>
      <c r="AR149" s="49">
        <f t="shared" si="41"/>
        <v>1</v>
      </c>
      <c r="AS149" s="49">
        <f t="shared" si="42"/>
        <v>0</v>
      </c>
      <c r="AT149" s="49">
        <f t="shared" si="43"/>
        <v>0</v>
      </c>
      <c r="AU149" s="49">
        <f t="shared" si="44"/>
        <v>0</v>
      </c>
      <c r="AV149" s="49">
        <f t="shared" si="45"/>
        <v>0</v>
      </c>
      <c r="AW149" s="49">
        <f t="shared" si="46"/>
        <v>1</v>
      </c>
      <c r="AX149" s="49">
        <f t="shared" si="47"/>
        <v>0</v>
      </c>
      <c r="AY149" s="49">
        <f t="shared" si="48"/>
        <v>0</v>
      </c>
      <c r="AZ149" s="49">
        <f t="shared" si="49"/>
        <v>1</v>
      </c>
      <c r="BA149" s="49">
        <f t="shared" si="50"/>
        <v>0</v>
      </c>
      <c r="BB149" s="49">
        <f t="shared" si="51"/>
        <v>0</v>
      </c>
      <c r="BC149" s="49">
        <f t="shared" si="52"/>
        <v>0</v>
      </c>
      <c r="BD149" s="49">
        <f t="shared" si="53"/>
        <v>0</v>
      </c>
      <c r="BE149" s="49">
        <f t="shared" si="54"/>
        <v>1</v>
      </c>
      <c r="BF149" s="49">
        <f t="shared" si="55"/>
        <v>0</v>
      </c>
      <c r="BG149" s="49">
        <f t="shared" si="56"/>
        <v>0</v>
      </c>
      <c r="BH149" s="49">
        <f t="shared" si="57"/>
        <v>0</v>
      </c>
      <c r="BI149" s="49">
        <f t="shared" si="58"/>
        <v>1</v>
      </c>
      <c r="BJ149" s="49">
        <f t="shared" si="59"/>
        <v>0</v>
      </c>
      <c r="BK149" s="49">
        <f t="shared" si="60"/>
        <v>0</v>
      </c>
      <c r="BL149" s="49">
        <f t="shared" si="61"/>
        <v>1</v>
      </c>
      <c r="BM149" s="49">
        <f t="shared" si="62"/>
        <v>0</v>
      </c>
      <c r="BN149" s="49">
        <f t="shared" si="63"/>
        <v>0</v>
      </c>
      <c r="BO149" s="49">
        <f t="shared" si="64"/>
        <v>0</v>
      </c>
      <c r="BP149" s="49">
        <f t="shared" si="65"/>
        <v>0</v>
      </c>
      <c r="BQ149" s="49">
        <f t="shared" si="66"/>
        <v>1</v>
      </c>
      <c r="BR149" s="49">
        <f t="shared" si="67"/>
        <v>0</v>
      </c>
      <c r="BS149" s="49">
        <f t="shared" si="68"/>
        <v>0</v>
      </c>
      <c r="BT149" s="49">
        <f t="shared" si="69"/>
        <v>1</v>
      </c>
      <c r="BU149" s="49">
        <f t="shared" si="70"/>
        <v>0</v>
      </c>
      <c r="BV149" s="49">
        <f t="shared" si="71"/>
        <v>0</v>
      </c>
      <c r="BW149" s="49">
        <f t="shared" si="72"/>
        <v>0</v>
      </c>
    </row>
    <row r="150" spans="1:75" ht="35.1" customHeight="1" x14ac:dyDescent="0.3">
      <c r="A150" s="123" t="str">
        <f t="shared" si="137"/>
        <v>1팀</v>
      </c>
      <c r="B150" s="69">
        <f t="shared" si="138"/>
        <v>144</v>
      </c>
      <c r="C150" s="121" t="str">
        <f>IF(VLOOKUP($B150,'1. 현장별 인원현황'!$C:$J,2,0)=0,"",VLOOKUP($B150,'1. 현장별 인원현황'!$C:$J,2,0))</f>
        <v xml:space="preserve"> [1.포스코건설] 영종-청라 연결도로(제3연륙교) 건설공사 제2공구 전기 및 통신공사</v>
      </c>
      <c r="D150" s="74" t="str">
        <f>IF(VLOOKUP($B150,'1. 현장별 인원현황'!$C:$J,3,0)=0,"",VLOOKUP($B150,'1. 현장별 인원현황'!$C:$J,3,0))</f>
        <v>채광복</v>
      </c>
      <c r="E150" s="74" t="str">
        <f ca="1">IF(VLOOKUP($B150,'1. 현장별 인원현황'!$C:$J,4,0)=0,"",VLOOKUP($B150,'1. 현장별 인원현황'!$C:$J,4,0))</f>
        <v>57세</v>
      </c>
      <c r="F150" s="70" t="str">
        <f>IF(VLOOKUP($B150,'1. 현장별 인원현황'!$C:$J,7,0)=0,"",VLOOKUP($B150,'1. 현장별 인원현황'!$C:$J,7,0))</f>
        <v>기능공</v>
      </c>
      <c r="G150" s="72" t="str">
        <f>IF(VLOOKUP($B150,'1. 현장별 인원현황'!$C:$J,8,0)=0,"",VLOOKUP($B150,'1. 현장별 인원현황'!$C:$J,8,0))</f>
        <v>전공</v>
      </c>
      <c r="H150" s="67" t="s">
        <v>69</v>
      </c>
      <c r="I150" s="73"/>
      <c r="J150" s="73"/>
      <c r="K150" s="68"/>
      <c r="L150" s="67"/>
      <c r="M150" s="73" t="s">
        <v>69</v>
      </c>
      <c r="N150" s="73"/>
      <c r="O150" s="68"/>
      <c r="P150" s="67" t="s">
        <v>69</v>
      </c>
      <c r="Q150" s="73"/>
      <c r="R150" s="73"/>
      <c r="S150" s="68"/>
      <c r="T150" s="67"/>
      <c r="U150" s="73" t="s">
        <v>69</v>
      </c>
      <c r="V150" s="73"/>
      <c r="W150" s="68"/>
      <c r="X150" s="67"/>
      <c r="Y150" s="73" t="s">
        <v>69</v>
      </c>
      <c r="Z150" s="73"/>
      <c r="AA150" s="68"/>
      <c r="AB150" s="67" t="s">
        <v>69</v>
      </c>
      <c r="AC150" s="73"/>
      <c r="AD150" s="73"/>
      <c r="AE150" s="68"/>
      <c r="AF150" s="67"/>
      <c r="AG150" s="73" t="s">
        <v>69</v>
      </c>
      <c r="AH150" s="73"/>
      <c r="AI150" s="68"/>
      <c r="AJ150" s="67" t="s">
        <v>69</v>
      </c>
      <c r="AK150" s="73"/>
      <c r="AL150" s="73"/>
      <c r="AM150" s="68"/>
      <c r="AN150" s="67">
        <f t="shared" si="139"/>
        <v>85</v>
      </c>
      <c r="AO150" s="68" t="str">
        <f t="shared" si="140"/>
        <v>A</v>
      </c>
      <c r="AR150" s="49">
        <f t="shared" si="41"/>
        <v>1</v>
      </c>
      <c r="AS150" s="49">
        <f t="shared" si="42"/>
        <v>0</v>
      </c>
      <c r="AT150" s="49">
        <f t="shared" si="43"/>
        <v>0</v>
      </c>
      <c r="AU150" s="49">
        <f t="shared" si="44"/>
        <v>0</v>
      </c>
      <c r="AV150" s="49">
        <f t="shared" si="45"/>
        <v>0</v>
      </c>
      <c r="AW150" s="49">
        <f t="shared" si="46"/>
        <v>1</v>
      </c>
      <c r="AX150" s="49">
        <f t="shared" si="47"/>
        <v>0</v>
      </c>
      <c r="AY150" s="49">
        <f t="shared" si="48"/>
        <v>0</v>
      </c>
      <c r="AZ150" s="49">
        <f t="shared" si="49"/>
        <v>1</v>
      </c>
      <c r="BA150" s="49">
        <f t="shared" si="50"/>
        <v>0</v>
      </c>
      <c r="BB150" s="49">
        <f t="shared" si="51"/>
        <v>0</v>
      </c>
      <c r="BC150" s="49">
        <f t="shared" si="52"/>
        <v>0</v>
      </c>
      <c r="BD150" s="49">
        <f t="shared" si="53"/>
        <v>0</v>
      </c>
      <c r="BE150" s="49">
        <f t="shared" si="54"/>
        <v>1</v>
      </c>
      <c r="BF150" s="49">
        <f t="shared" si="55"/>
        <v>0</v>
      </c>
      <c r="BG150" s="49">
        <f t="shared" si="56"/>
        <v>0</v>
      </c>
      <c r="BH150" s="49">
        <f t="shared" si="57"/>
        <v>0</v>
      </c>
      <c r="BI150" s="49">
        <f t="shared" si="58"/>
        <v>1</v>
      </c>
      <c r="BJ150" s="49">
        <f t="shared" si="59"/>
        <v>0</v>
      </c>
      <c r="BK150" s="49">
        <f t="shared" si="60"/>
        <v>0</v>
      </c>
      <c r="BL150" s="49">
        <f t="shared" si="61"/>
        <v>1</v>
      </c>
      <c r="BM150" s="49">
        <f t="shared" si="62"/>
        <v>0</v>
      </c>
      <c r="BN150" s="49">
        <f t="shared" si="63"/>
        <v>0</v>
      </c>
      <c r="BO150" s="49">
        <f t="shared" si="64"/>
        <v>0</v>
      </c>
      <c r="BP150" s="49">
        <f t="shared" si="65"/>
        <v>0</v>
      </c>
      <c r="BQ150" s="49">
        <f t="shared" si="66"/>
        <v>1</v>
      </c>
      <c r="BR150" s="49">
        <f t="shared" si="67"/>
        <v>0</v>
      </c>
      <c r="BS150" s="49">
        <f t="shared" si="68"/>
        <v>0</v>
      </c>
      <c r="BT150" s="49">
        <f t="shared" si="69"/>
        <v>1</v>
      </c>
      <c r="BU150" s="49">
        <f t="shared" si="70"/>
        <v>0</v>
      </c>
      <c r="BV150" s="49">
        <f t="shared" si="71"/>
        <v>0</v>
      </c>
      <c r="BW150" s="49">
        <f t="shared" si="72"/>
        <v>0</v>
      </c>
    </row>
    <row r="151" spans="1:75" ht="35.1" customHeight="1" x14ac:dyDescent="0.3">
      <c r="A151" s="123" t="str">
        <f t="shared" si="137"/>
        <v>1팀</v>
      </c>
      <c r="B151" s="69">
        <f t="shared" si="138"/>
        <v>145</v>
      </c>
      <c r="C151" s="121" t="str">
        <f>IF(VLOOKUP($B151,'1. 현장별 인원현황'!$C:$J,2,0)=0,"",VLOOKUP($B151,'1. 현장별 인원현황'!$C:$J,2,0))</f>
        <v xml:space="preserve"> [1.포스코건설] 영종-청라 연결도로(제3연륙교) 건설공사 제2공구 전기 및 통신공사</v>
      </c>
      <c r="D151" s="74" t="str">
        <f>IF(VLOOKUP($B151,'1. 현장별 인원현황'!$C:$J,3,0)=0,"",VLOOKUP($B151,'1. 현장별 인원현황'!$C:$J,3,0))</f>
        <v>최희건</v>
      </c>
      <c r="E151" s="74" t="str">
        <f ca="1">IF(VLOOKUP($B151,'1. 현장별 인원현황'!$C:$J,4,0)=0,"",VLOOKUP($B151,'1. 현장별 인원현황'!$C:$J,4,0))</f>
        <v>43세</v>
      </c>
      <c r="F151" s="70" t="str">
        <f>IF(VLOOKUP($B151,'1. 현장별 인원현황'!$C:$J,7,0)=0,"",VLOOKUP($B151,'1. 현장별 인원현황'!$C:$J,7,0))</f>
        <v>기능공</v>
      </c>
      <c r="G151" s="72" t="str">
        <f>IF(VLOOKUP($B151,'1. 현장별 인원현황'!$C:$J,8,0)=0,"",VLOOKUP($B151,'1. 현장별 인원현황'!$C:$J,8,0))</f>
        <v>전공</v>
      </c>
      <c r="H151" s="67" t="s">
        <v>69</v>
      </c>
      <c r="I151" s="73"/>
      <c r="J151" s="73"/>
      <c r="K151" s="68"/>
      <c r="L151" s="67"/>
      <c r="M151" s="73" t="s">
        <v>69</v>
      </c>
      <c r="N151" s="73"/>
      <c r="O151" s="68"/>
      <c r="P151" s="67" t="s">
        <v>69</v>
      </c>
      <c r="Q151" s="73"/>
      <c r="R151" s="73"/>
      <c r="S151" s="68"/>
      <c r="T151" s="67"/>
      <c r="U151" s="73" t="s">
        <v>69</v>
      </c>
      <c r="V151" s="73"/>
      <c r="W151" s="68"/>
      <c r="X151" s="67"/>
      <c r="Y151" s="73" t="s">
        <v>69</v>
      </c>
      <c r="Z151" s="73"/>
      <c r="AA151" s="68"/>
      <c r="AB151" s="67" t="s">
        <v>69</v>
      </c>
      <c r="AC151" s="73"/>
      <c r="AD151" s="73"/>
      <c r="AE151" s="68"/>
      <c r="AF151" s="67"/>
      <c r="AG151" s="73" t="s">
        <v>69</v>
      </c>
      <c r="AH151" s="73"/>
      <c r="AI151" s="68"/>
      <c r="AJ151" s="67" t="s">
        <v>69</v>
      </c>
      <c r="AK151" s="73"/>
      <c r="AL151" s="73"/>
      <c r="AM151" s="68"/>
      <c r="AN151" s="67">
        <f t="shared" si="139"/>
        <v>85</v>
      </c>
      <c r="AO151" s="68" t="str">
        <f t="shared" si="140"/>
        <v>A</v>
      </c>
      <c r="AR151" s="49">
        <f t="shared" si="41"/>
        <v>1</v>
      </c>
      <c r="AS151" s="49">
        <f t="shared" si="42"/>
        <v>0</v>
      </c>
      <c r="AT151" s="49">
        <f t="shared" si="43"/>
        <v>0</v>
      </c>
      <c r="AU151" s="49">
        <f t="shared" si="44"/>
        <v>0</v>
      </c>
      <c r="AV151" s="49">
        <f t="shared" si="45"/>
        <v>0</v>
      </c>
      <c r="AW151" s="49">
        <f t="shared" si="46"/>
        <v>1</v>
      </c>
      <c r="AX151" s="49">
        <f t="shared" si="47"/>
        <v>0</v>
      </c>
      <c r="AY151" s="49">
        <f t="shared" si="48"/>
        <v>0</v>
      </c>
      <c r="AZ151" s="49">
        <f t="shared" si="49"/>
        <v>1</v>
      </c>
      <c r="BA151" s="49">
        <f t="shared" si="50"/>
        <v>0</v>
      </c>
      <c r="BB151" s="49">
        <f t="shared" si="51"/>
        <v>0</v>
      </c>
      <c r="BC151" s="49">
        <f t="shared" si="52"/>
        <v>0</v>
      </c>
      <c r="BD151" s="49">
        <f t="shared" si="53"/>
        <v>0</v>
      </c>
      <c r="BE151" s="49">
        <f t="shared" si="54"/>
        <v>1</v>
      </c>
      <c r="BF151" s="49">
        <f t="shared" si="55"/>
        <v>0</v>
      </c>
      <c r="BG151" s="49">
        <f t="shared" si="56"/>
        <v>0</v>
      </c>
      <c r="BH151" s="49">
        <f t="shared" si="57"/>
        <v>0</v>
      </c>
      <c r="BI151" s="49">
        <f t="shared" si="58"/>
        <v>1</v>
      </c>
      <c r="BJ151" s="49">
        <f t="shared" si="59"/>
        <v>0</v>
      </c>
      <c r="BK151" s="49">
        <f t="shared" si="60"/>
        <v>0</v>
      </c>
      <c r="BL151" s="49">
        <f t="shared" si="61"/>
        <v>1</v>
      </c>
      <c r="BM151" s="49">
        <f t="shared" si="62"/>
        <v>0</v>
      </c>
      <c r="BN151" s="49">
        <f t="shared" si="63"/>
        <v>0</v>
      </c>
      <c r="BO151" s="49">
        <f t="shared" si="64"/>
        <v>0</v>
      </c>
      <c r="BP151" s="49">
        <f t="shared" si="65"/>
        <v>0</v>
      </c>
      <c r="BQ151" s="49">
        <f t="shared" si="66"/>
        <v>1</v>
      </c>
      <c r="BR151" s="49">
        <f t="shared" si="67"/>
        <v>0</v>
      </c>
      <c r="BS151" s="49">
        <f t="shared" si="68"/>
        <v>0</v>
      </c>
      <c r="BT151" s="49">
        <f t="shared" si="69"/>
        <v>1</v>
      </c>
      <c r="BU151" s="49">
        <f t="shared" si="70"/>
        <v>0</v>
      </c>
      <c r="BV151" s="49">
        <f t="shared" si="71"/>
        <v>0</v>
      </c>
      <c r="BW151" s="49">
        <f t="shared" si="72"/>
        <v>0</v>
      </c>
    </row>
    <row r="152" spans="1:75" ht="35.1" customHeight="1" x14ac:dyDescent="0.3">
      <c r="A152" s="123" t="str">
        <f t="shared" si="137"/>
        <v>1팀</v>
      </c>
      <c r="B152" s="69">
        <f t="shared" si="138"/>
        <v>146</v>
      </c>
      <c r="C152" s="121" t="str">
        <f>IF(VLOOKUP($B152,'1. 현장별 인원현황'!$C:$J,2,0)=0,"",VLOOKUP($B152,'1. 현장별 인원현황'!$C:$J,2,0))</f>
        <v xml:space="preserve"> [1.포스코건설] 영종-청라 연결도로(제3연륙교) 건설공사 제2공구 전기 및 통신공사</v>
      </c>
      <c r="D152" s="74" t="str">
        <f>IF(VLOOKUP($B152,'1. 현장별 인원현황'!$C:$J,3,0)=0,"",VLOOKUP($B152,'1. 현장별 인원현황'!$C:$J,3,0))</f>
        <v>황의범</v>
      </c>
      <c r="E152" s="74" t="str">
        <f ca="1">IF(VLOOKUP($B152,'1. 현장별 인원현황'!$C:$J,4,0)=0,"",VLOOKUP($B152,'1. 현장별 인원현황'!$C:$J,4,0))</f>
        <v>56세</v>
      </c>
      <c r="F152" s="70" t="str">
        <f>IF(VLOOKUP($B152,'1. 현장별 인원현황'!$C:$J,7,0)=0,"",VLOOKUP($B152,'1. 현장별 인원현황'!$C:$J,7,0))</f>
        <v>기능공</v>
      </c>
      <c r="G152" s="72" t="str">
        <f>IF(VLOOKUP($B152,'1. 현장별 인원현황'!$C:$J,8,0)=0,"",VLOOKUP($B152,'1. 현장별 인원현황'!$C:$J,8,0))</f>
        <v>전공</v>
      </c>
      <c r="H152" s="67" t="s">
        <v>69</v>
      </c>
      <c r="I152" s="73"/>
      <c r="J152" s="73"/>
      <c r="K152" s="68"/>
      <c r="L152" s="67"/>
      <c r="M152" s="73" t="s">
        <v>69</v>
      </c>
      <c r="N152" s="73"/>
      <c r="O152" s="68"/>
      <c r="P152" s="67" t="s">
        <v>69</v>
      </c>
      <c r="Q152" s="73"/>
      <c r="R152" s="73"/>
      <c r="S152" s="68"/>
      <c r="T152" s="67"/>
      <c r="U152" s="73" t="s">
        <v>69</v>
      </c>
      <c r="V152" s="73"/>
      <c r="W152" s="68"/>
      <c r="X152" s="67"/>
      <c r="Y152" s="73" t="s">
        <v>69</v>
      </c>
      <c r="Z152" s="73"/>
      <c r="AA152" s="68"/>
      <c r="AB152" s="67" t="s">
        <v>69</v>
      </c>
      <c r="AC152" s="73"/>
      <c r="AD152" s="73"/>
      <c r="AE152" s="68"/>
      <c r="AF152" s="67"/>
      <c r="AG152" s="73" t="s">
        <v>69</v>
      </c>
      <c r="AH152" s="73"/>
      <c r="AI152" s="68"/>
      <c r="AJ152" s="67" t="s">
        <v>69</v>
      </c>
      <c r="AK152" s="73"/>
      <c r="AL152" s="73"/>
      <c r="AM152" s="68"/>
      <c r="AN152" s="67">
        <f t="shared" si="139"/>
        <v>85</v>
      </c>
      <c r="AO152" s="68" t="str">
        <f t="shared" si="140"/>
        <v>A</v>
      </c>
      <c r="AR152" s="49">
        <f t="shared" si="41"/>
        <v>1</v>
      </c>
      <c r="AS152" s="49">
        <f t="shared" si="42"/>
        <v>0</v>
      </c>
      <c r="AT152" s="49">
        <f t="shared" si="43"/>
        <v>0</v>
      </c>
      <c r="AU152" s="49">
        <f t="shared" si="44"/>
        <v>0</v>
      </c>
      <c r="AV152" s="49">
        <f t="shared" si="45"/>
        <v>0</v>
      </c>
      <c r="AW152" s="49">
        <f t="shared" si="46"/>
        <v>1</v>
      </c>
      <c r="AX152" s="49">
        <f t="shared" si="47"/>
        <v>0</v>
      </c>
      <c r="AY152" s="49">
        <f t="shared" si="48"/>
        <v>0</v>
      </c>
      <c r="AZ152" s="49">
        <f t="shared" si="49"/>
        <v>1</v>
      </c>
      <c r="BA152" s="49">
        <f t="shared" si="50"/>
        <v>0</v>
      </c>
      <c r="BB152" s="49">
        <f t="shared" si="51"/>
        <v>0</v>
      </c>
      <c r="BC152" s="49">
        <f t="shared" si="52"/>
        <v>0</v>
      </c>
      <c r="BD152" s="49">
        <f t="shared" si="53"/>
        <v>0</v>
      </c>
      <c r="BE152" s="49">
        <f t="shared" si="54"/>
        <v>1</v>
      </c>
      <c r="BF152" s="49">
        <f t="shared" si="55"/>
        <v>0</v>
      </c>
      <c r="BG152" s="49">
        <f t="shared" si="56"/>
        <v>0</v>
      </c>
      <c r="BH152" s="49">
        <f t="shared" si="57"/>
        <v>0</v>
      </c>
      <c r="BI152" s="49">
        <f t="shared" si="58"/>
        <v>1</v>
      </c>
      <c r="BJ152" s="49">
        <f t="shared" si="59"/>
        <v>0</v>
      </c>
      <c r="BK152" s="49">
        <f t="shared" si="60"/>
        <v>0</v>
      </c>
      <c r="BL152" s="49">
        <f t="shared" si="61"/>
        <v>1</v>
      </c>
      <c r="BM152" s="49">
        <f t="shared" si="62"/>
        <v>0</v>
      </c>
      <c r="BN152" s="49">
        <f t="shared" si="63"/>
        <v>0</v>
      </c>
      <c r="BO152" s="49">
        <f t="shared" si="64"/>
        <v>0</v>
      </c>
      <c r="BP152" s="49">
        <f t="shared" si="65"/>
        <v>0</v>
      </c>
      <c r="BQ152" s="49">
        <f t="shared" si="66"/>
        <v>1</v>
      </c>
      <c r="BR152" s="49">
        <f t="shared" si="67"/>
        <v>0</v>
      </c>
      <c r="BS152" s="49">
        <f t="shared" si="68"/>
        <v>0</v>
      </c>
      <c r="BT152" s="49">
        <f t="shared" si="69"/>
        <v>1</v>
      </c>
      <c r="BU152" s="49">
        <f t="shared" si="70"/>
        <v>0</v>
      </c>
      <c r="BV152" s="49">
        <f t="shared" si="71"/>
        <v>0</v>
      </c>
      <c r="BW152" s="49">
        <f t="shared" si="72"/>
        <v>0</v>
      </c>
    </row>
    <row r="153" spans="1:75" ht="35.1" customHeight="1" x14ac:dyDescent="0.3">
      <c r="A153" s="123" t="str">
        <f t="shared" si="137"/>
        <v>1팀</v>
      </c>
      <c r="B153" s="69">
        <f t="shared" si="138"/>
        <v>147</v>
      </c>
      <c r="C153" s="121" t="str">
        <f>IF(VLOOKUP($B153,'1. 현장별 인원현황'!$C:$J,2,0)=0,"",VLOOKUP($B153,'1. 현장별 인원현황'!$C:$J,2,0))</f>
        <v xml:space="preserve"> [1.포스코건설] 인천송도 재미동포타운 조성사업 2단계 전기공사(오피스텔)</v>
      </c>
      <c r="D153" s="74" t="str">
        <f>IF(VLOOKUP($B153,'1. 현장별 인원현황'!$C:$J,3,0)=0,"",VLOOKUP($B153,'1. 현장별 인원현황'!$C:$J,3,0))</f>
        <v>김정휘</v>
      </c>
      <c r="E153" s="74" t="str">
        <f ca="1">IF(VLOOKUP($B153,'1. 현장별 인원현황'!$C:$J,4,0)=0,"",VLOOKUP($B153,'1. 현장별 인원현황'!$C:$J,4,0))</f>
        <v>46세</v>
      </c>
      <c r="F153" s="70" t="str">
        <f>IF(VLOOKUP($B153,'1. 현장별 인원현황'!$C:$J,7,0)=0,"",VLOOKUP($B153,'1. 현장별 인원현황'!$C:$J,7,0))</f>
        <v>공무</v>
      </c>
      <c r="G153" s="72" t="str">
        <f>IF(VLOOKUP($B153,'1. 현장별 인원현황'!$C:$J,8,0)=0,"",VLOOKUP($B153,'1. 현장별 인원현황'!$C:$J,8,0))</f>
        <v>과장</v>
      </c>
      <c r="H153" s="67" t="s">
        <v>69</v>
      </c>
      <c r="I153" s="73"/>
      <c r="J153" s="73"/>
      <c r="K153" s="68"/>
      <c r="L153" s="67"/>
      <c r="M153" s="73" t="s">
        <v>69</v>
      </c>
      <c r="N153" s="73"/>
      <c r="O153" s="68"/>
      <c r="P153" s="67" t="s">
        <v>69</v>
      </c>
      <c r="Q153" s="73"/>
      <c r="R153" s="73"/>
      <c r="S153" s="68"/>
      <c r="T153" s="67" t="s">
        <v>69</v>
      </c>
      <c r="U153" s="73"/>
      <c r="V153" s="73"/>
      <c r="W153" s="68"/>
      <c r="X153" s="67" t="s">
        <v>69</v>
      </c>
      <c r="Y153" s="73"/>
      <c r="Z153" s="73"/>
      <c r="AA153" s="68"/>
      <c r="AB153" s="67" t="s">
        <v>69</v>
      </c>
      <c r="AC153" s="73"/>
      <c r="AD153" s="73"/>
      <c r="AE153" s="68"/>
      <c r="AF153" s="67" t="s">
        <v>69</v>
      </c>
      <c r="AG153" s="73"/>
      <c r="AH153" s="73"/>
      <c r="AI153" s="68"/>
      <c r="AJ153" s="67" t="s">
        <v>69</v>
      </c>
      <c r="AK153" s="73"/>
      <c r="AL153" s="73"/>
      <c r="AM153" s="68"/>
      <c r="AN153" s="67">
        <f t="shared" si="139"/>
        <v>96</v>
      </c>
      <c r="AO153" s="68" t="str">
        <f t="shared" si="140"/>
        <v>S</v>
      </c>
      <c r="AR153" s="49">
        <f t="shared" si="41"/>
        <v>1</v>
      </c>
      <c r="AS153" s="49">
        <f t="shared" si="42"/>
        <v>0</v>
      </c>
      <c r="AT153" s="49">
        <f t="shared" si="43"/>
        <v>0</v>
      </c>
      <c r="AU153" s="49">
        <f t="shared" si="44"/>
        <v>0</v>
      </c>
      <c r="AV153" s="49">
        <f t="shared" si="45"/>
        <v>0</v>
      </c>
      <c r="AW153" s="49">
        <f t="shared" si="46"/>
        <v>1</v>
      </c>
      <c r="AX153" s="49">
        <f t="shared" si="47"/>
        <v>0</v>
      </c>
      <c r="AY153" s="49">
        <f t="shared" si="48"/>
        <v>0</v>
      </c>
      <c r="AZ153" s="49">
        <f t="shared" si="49"/>
        <v>1</v>
      </c>
      <c r="BA153" s="49">
        <f t="shared" si="50"/>
        <v>0</v>
      </c>
      <c r="BB153" s="49">
        <f t="shared" si="51"/>
        <v>0</v>
      </c>
      <c r="BC153" s="49">
        <f t="shared" si="52"/>
        <v>0</v>
      </c>
      <c r="BD153" s="49">
        <f t="shared" si="53"/>
        <v>1</v>
      </c>
      <c r="BE153" s="49">
        <f t="shared" si="54"/>
        <v>0</v>
      </c>
      <c r="BF153" s="49">
        <f t="shared" si="55"/>
        <v>0</v>
      </c>
      <c r="BG153" s="49">
        <f t="shared" si="56"/>
        <v>0</v>
      </c>
      <c r="BH153" s="49">
        <f t="shared" si="57"/>
        <v>1</v>
      </c>
      <c r="BI153" s="49">
        <f t="shared" si="58"/>
        <v>0</v>
      </c>
      <c r="BJ153" s="49">
        <f t="shared" si="59"/>
        <v>0</v>
      </c>
      <c r="BK153" s="49">
        <f t="shared" si="60"/>
        <v>0</v>
      </c>
      <c r="BL153" s="49">
        <f t="shared" si="61"/>
        <v>1</v>
      </c>
      <c r="BM153" s="49">
        <f t="shared" si="62"/>
        <v>0</v>
      </c>
      <c r="BN153" s="49">
        <f t="shared" si="63"/>
        <v>0</v>
      </c>
      <c r="BO153" s="49">
        <f t="shared" si="64"/>
        <v>0</v>
      </c>
      <c r="BP153" s="49">
        <f t="shared" si="65"/>
        <v>1</v>
      </c>
      <c r="BQ153" s="49">
        <f t="shared" si="66"/>
        <v>0</v>
      </c>
      <c r="BR153" s="49">
        <f t="shared" si="67"/>
        <v>0</v>
      </c>
      <c r="BS153" s="49">
        <f t="shared" si="68"/>
        <v>0</v>
      </c>
      <c r="BT153" s="49">
        <f t="shared" si="69"/>
        <v>1</v>
      </c>
      <c r="BU153" s="49">
        <f t="shared" si="70"/>
        <v>0</v>
      </c>
      <c r="BV153" s="49">
        <f t="shared" si="71"/>
        <v>0</v>
      </c>
      <c r="BW153" s="49">
        <f t="shared" si="72"/>
        <v>0</v>
      </c>
    </row>
    <row r="154" spans="1:75" ht="35.1" customHeight="1" x14ac:dyDescent="0.3">
      <c r="A154" s="123" t="str">
        <f t="shared" si="137"/>
        <v>1팀</v>
      </c>
      <c r="B154" s="69">
        <f t="shared" si="138"/>
        <v>148</v>
      </c>
      <c r="C154" s="121" t="str">
        <f>IF(VLOOKUP($B154,'1. 현장별 인원현황'!$C:$J,2,0)=0,"",VLOOKUP($B154,'1. 현장별 인원현황'!$C:$J,2,0))</f>
        <v xml:space="preserve"> [1.포스코건설] 인천송도 재미동포타운 조성사업 2단계 전기공사(오피스텔)</v>
      </c>
      <c r="D154" s="74" t="str">
        <f>IF(VLOOKUP($B154,'1. 현장별 인원현황'!$C:$J,3,0)=0,"",VLOOKUP($B154,'1. 현장별 인원현황'!$C:$J,3,0))</f>
        <v>최근용</v>
      </c>
      <c r="E154" s="74" t="str">
        <f ca="1">IF(VLOOKUP($B154,'1. 현장별 인원현황'!$C:$J,4,0)=0,"",VLOOKUP($B154,'1. 현장별 인원현황'!$C:$J,4,0))</f>
        <v>53세</v>
      </c>
      <c r="F154" s="70" t="str">
        <f>IF(VLOOKUP($B154,'1. 현장별 인원현황'!$C:$J,7,0)=0,"",VLOOKUP($B154,'1. 현장별 인원현황'!$C:$J,7,0))</f>
        <v>공사</v>
      </c>
      <c r="G154" s="72" t="str">
        <f>IF(VLOOKUP($B154,'1. 현장별 인원현황'!$C:$J,8,0)=0,"",VLOOKUP($B154,'1. 현장별 인원현황'!$C:$J,8,0))</f>
        <v>차장</v>
      </c>
      <c r="H154" s="67" t="s">
        <v>69</v>
      </c>
      <c r="I154" s="73"/>
      <c r="J154" s="73"/>
      <c r="K154" s="68"/>
      <c r="L154" s="67" t="s">
        <v>69</v>
      </c>
      <c r="M154" s="73"/>
      <c r="N154" s="73"/>
      <c r="O154" s="68"/>
      <c r="P154" s="67" t="s">
        <v>69</v>
      </c>
      <c r="Q154" s="73"/>
      <c r="R154" s="73"/>
      <c r="S154" s="68"/>
      <c r="T154" s="67" t="s">
        <v>69</v>
      </c>
      <c r="U154" s="73"/>
      <c r="V154" s="73"/>
      <c r="W154" s="68"/>
      <c r="X154" s="67" t="s">
        <v>69</v>
      </c>
      <c r="Y154" s="73"/>
      <c r="Z154" s="73"/>
      <c r="AA154" s="68"/>
      <c r="AB154" s="67" t="s">
        <v>69</v>
      </c>
      <c r="AC154" s="73"/>
      <c r="AD154" s="73"/>
      <c r="AE154" s="68"/>
      <c r="AF154" s="67" t="s">
        <v>69</v>
      </c>
      <c r="AG154" s="73"/>
      <c r="AH154" s="73"/>
      <c r="AI154" s="68"/>
      <c r="AJ154" s="67" t="s">
        <v>69</v>
      </c>
      <c r="AK154" s="73"/>
      <c r="AL154" s="73"/>
      <c r="AM154" s="68"/>
      <c r="AN154" s="67">
        <f t="shared" si="139"/>
        <v>100</v>
      </c>
      <c r="AO154" s="68" t="str">
        <f t="shared" si="140"/>
        <v>S</v>
      </c>
      <c r="AR154" s="49">
        <f t="shared" si="41"/>
        <v>1</v>
      </c>
      <c r="AS154" s="49">
        <f t="shared" si="42"/>
        <v>0</v>
      </c>
      <c r="AT154" s="49">
        <f t="shared" si="43"/>
        <v>0</v>
      </c>
      <c r="AU154" s="49">
        <f t="shared" si="44"/>
        <v>0</v>
      </c>
      <c r="AV154" s="49">
        <f t="shared" si="45"/>
        <v>1</v>
      </c>
      <c r="AW154" s="49">
        <f t="shared" si="46"/>
        <v>0</v>
      </c>
      <c r="AX154" s="49">
        <f t="shared" si="47"/>
        <v>0</v>
      </c>
      <c r="AY154" s="49">
        <f t="shared" si="48"/>
        <v>0</v>
      </c>
      <c r="AZ154" s="49">
        <f t="shared" si="49"/>
        <v>1</v>
      </c>
      <c r="BA154" s="49">
        <f t="shared" si="50"/>
        <v>0</v>
      </c>
      <c r="BB154" s="49">
        <f t="shared" si="51"/>
        <v>0</v>
      </c>
      <c r="BC154" s="49">
        <f t="shared" si="52"/>
        <v>0</v>
      </c>
      <c r="BD154" s="49">
        <f t="shared" si="53"/>
        <v>1</v>
      </c>
      <c r="BE154" s="49">
        <f t="shared" si="54"/>
        <v>0</v>
      </c>
      <c r="BF154" s="49">
        <f t="shared" si="55"/>
        <v>0</v>
      </c>
      <c r="BG154" s="49">
        <f t="shared" si="56"/>
        <v>0</v>
      </c>
      <c r="BH154" s="49">
        <f t="shared" si="57"/>
        <v>1</v>
      </c>
      <c r="BI154" s="49">
        <f t="shared" si="58"/>
        <v>0</v>
      </c>
      <c r="BJ154" s="49">
        <f t="shared" si="59"/>
        <v>0</v>
      </c>
      <c r="BK154" s="49">
        <f t="shared" si="60"/>
        <v>0</v>
      </c>
      <c r="BL154" s="49">
        <f t="shared" si="61"/>
        <v>1</v>
      </c>
      <c r="BM154" s="49">
        <f t="shared" si="62"/>
        <v>0</v>
      </c>
      <c r="BN154" s="49">
        <f t="shared" si="63"/>
        <v>0</v>
      </c>
      <c r="BO154" s="49">
        <f t="shared" si="64"/>
        <v>0</v>
      </c>
      <c r="BP154" s="49">
        <f t="shared" si="65"/>
        <v>1</v>
      </c>
      <c r="BQ154" s="49">
        <f t="shared" si="66"/>
        <v>0</v>
      </c>
      <c r="BR154" s="49">
        <f t="shared" si="67"/>
        <v>0</v>
      </c>
      <c r="BS154" s="49">
        <f t="shared" si="68"/>
        <v>0</v>
      </c>
      <c r="BT154" s="49">
        <f t="shared" si="69"/>
        <v>1</v>
      </c>
      <c r="BU154" s="49">
        <f t="shared" si="70"/>
        <v>0</v>
      </c>
      <c r="BV154" s="49">
        <f t="shared" si="71"/>
        <v>0</v>
      </c>
      <c r="BW154" s="49">
        <f t="shared" si="72"/>
        <v>0</v>
      </c>
    </row>
    <row r="155" spans="1:75" ht="35.1" customHeight="1" x14ac:dyDescent="0.3">
      <c r="A155" s="123" t="str">
        <f t="shared" si="137"/>
        <v>2팀</v>
      </c>
      <c r="B155" s="69">
        <f t="shared" si="138"/>
        <v>149</v>
      </c>
      <c r="C155" s="121" t="str">
        <f>IF(VLOOKUP($B155,'1. 현장별 인원현황'!$C:$J,2,0)=0,"",VLOOKUP($B155,'1. 현장별 인원현황'!$C:$J,2,0))</f>
        <v xml:space="preserve"> [2.금호건설] 고양장항 B-3BL 공공주택 신축공사</v>
      </c>
      <c r="D155" s="74" t="str">
        <f>IF(VLOOKUP($B155,'1. 현장별 인원현황'!$C:$J,3,0)=0,"",VLOOKUP($B155,'1. 현장별 인원현황'!$C:$J,3,0))</f>
        <v>유승판</v>
      </c>
      <c r="E155" s="74" t="str">
        <f ca="1">IF(VLOOKUP($B155,'1. 현장별 인원현황'!$C:$J,4,0)=0,"",VLOOKUP($B155,'1. 현장별 인원현황'!$C:$J,4,0))</f>
        <v>49세</v>
      </c>
      <c r="F155" s="70" t="str">
        <f>IF(VLOOKUP($B155,'1. 현장별 인원현황'!$C:$J,7,0)=0,"",VLOOKUP($B155,'1. 현장별 인원현황'!$C:$J,7,0))</f>
        <v>공사</v>
      </c>
      <c r="G155" s="72" t="str">
        <f>IF(VLOOKUP($B155,'1. 현장별 인원현황'!$C:$J,8,0)=0,"",VLOOKUP($B155,'1. 현장별 인원현황'!$C:$J,8,0))</f>
        <v>차장</v>
      </c>
      <c r="H155" s="67" t="s">
        <v>69</v>
      </c>
      <c r="I155" s="73"/>
      <c r="J155" s="73"/>
      <c r="K155" s="68"/>
      <c r="L155" s="67" t="s">
        <v>69</v>
      </c>
      <c r="M155" s="73"/>
      <c r="N155" s="73"/>
      <c r="O155" s="68"/>
      <c r="P155" s="67" t="s">
        <v>69</v>
      </c>
      <c r="Q155" s="73"/>
      <c r="R155" s="73"/>
      <c r="S155" s="68"/>
      <c r="T155" s="67" t="s">
        <v>69</v>
      </c>
      <c r="U155" s="73"/>
      <c r="V155" s="73"/>
      <c r="W155" s="68"/>
      <c r="X155" s="67" t="s">
        <v>69</v>
      </c>
      <c r="Y155" s="73"/>
      <c r="Z155" s="73"/>
      <c r="AA155" s="68"/>
      <c r="AB155" s="67"/>
      <c r="AC155" s="73" t="s">
        <v>69</v>
      </c>
      <c r="AD155" s="73"/>
      <c r="AE155" s="68"/>
      <c r="AF155" s="67" t="s">
        <v>69</v>
      </c>
      <c r="AG155" s="73"/>
      <c r="AH155" s="73"/>
      <c r="AI155" s="68"/>
      <c r="AJ155" s="67" t="s">
        <v>69</v>
      </c>
      <c r="AK155" s="73"/>
      <c r="AL155" s="73"/>
      <c r="AM155" s="68"/>
      <c r="AN155" s="67">
        <f t="shared" si="139"/>
        <v>98</v>
      </c>
      <c r="AO155" s="68" t="str">
        <f t="shared" si="140"/>
        <v>S</v>
      </c>
      <c r="AR155" s="49">
        <f t="shared" si="41"/>
        <v>1</v>
      </c>
      <c r="AS155" s="49">
        <f t="shared" si="42"/>
        <v>0</v>
      </c>
      <c r="AT155" s="49">
        <f t="shared" si="43"/>
        <v>0</v>
      </c>
      <c r="AU155" s="49">
        <f t="shared" si="44"/>
        <v>0</v>
      </c>
      <c r="AV155" s="49">
        <f t="shared" si="45"/>
        <v>1</v>
      </c>
      <c r="AW155" s="49">
        <f t="shared" si="46"/>
        <v>0</v>
      </c>
      <c r="AX155" s="49">
        <f t="shared" si="47"/>
        <v>0</v>
      </c>
      <c r="AY155" s="49">
        <f t="shared" si="48"/>
        <v>0</v>
      </c>
      <c r="AZ155" s="49">
        <f t="shared" si="49"/>
        <v>1</v>
      </c>
      <c r="BA155" s="49">
        <f t="shared" si="50"/>
        <v>0</v>
      </c>
      <c r="BB155" s="49">
        <f t="shared" si="51"/>
        <v>0</v>
      </c>
      <c r="BC155" s="49">
        <f t="shared" si="52"/>
        <v>0</v>
      </c>
      <c r="BD155" s="49">
        <f t="shared" si="53"/>
        <v>1</v>
      </c>
      <c r="BE155" s="49">
        <f t="shared" si="54"/>
        <v>0</v>
      </c>
      <c r="BF155" s="49">
        <f t="shared" si="55"/>
        <v>0</v>
      </c>
      <c r="BG155" s="49">
        <f t="shared" si="56"/>
        <v>0</v>
      </c>
      <c r="BH155" s="49">
        <f t="shared" si="57"/>
        <v>1</v>
      </c>
      <c r="BI155" s="49">
        <f t="shared" si="58"/>
        <v>0</v>
      </c>
      <c r="BJ155" s="49">
        <f t="shared" si="59"/>
        <v>0</v>
      </c>
      <c r="BK155" s="49">
        <f t="shared" si="60"/>
        <v>0</v>
      </c>
      <c r="BL155" s="49">
        <f t="shared" si="61"/>
        <v>0</v>
      </c>
      <c r="BM155" s="49">
        <f t="shared" si="62"/>
        <v>1</v>
      </c>
      <c r="BN155" s="49">
        <f t="shared" si="63"/>
        <v>0</v>
      </c>
      <c r="BO155" s="49">
        <f t="shared" si="64"/>
        <v>0</v>
      </c>
      <c r="BP155" s="49">
        <f t="shared" si="65"/>
        <v>1</v>
      </c>
      <c r="BQ155" s="49">
        <f t="shared" si="66"/>
        <v>0</v>
      </c>
      <c r="BR155" s="49">
        <f t="shared" si="67"/>
        <v>0</v>
      </c>
      <c r="BS155" s="49">
        <f t="shared" si="68"/>
        <v>0</v>
      </c>
      <c r="BT155" s="49">
        <f t="shared" si="69"/>
        <v>1</v>
      </c>
      <c r="BU155" s="49">
        <f t="shared" si="70"/>
        <v>0</v>
      </c>
      <c r="BV155" s="49">
        <f t="shared" si="71"/>
        <v>0</v>
      </c>
      <c r="BW155" s="49">
        <f t="shared" si="72"/>
        <v>0</v>
      </c>
    </row>
    <row r="156" spans="1:75" ht="35.1" customHeight="1" x14ac:dyDescent="0.3">
      <c r="A156" s="123" t="str">
        <f t="shared" si="137"/>
        <v>2팀</v>
      </c>
      <c r="B156" s="69">
        <f t="shared" si="138"/>
        <v>150</v>
      </c>
      <c r="C156" s="121" t="str">
        <f>IF(VLOOKUP($B156,'1. 현장별 인원현황'!$C:$J,2,0)=0,"",VLOOKUP($B156,'1. 현장별 인원현황'!$C:$J,2,0))</f>
        <v xml:space="preserve"> [2.금호건설] 고양장항 B-3BL 공공주택 신축공사</v>
      </c>
      <c r="D156" s="74" t="str">
        <f>IF(VLOOKUP($B156,'1. 현장별 인원현황'!$C:$J,3,0)=0,"",VLOOKUP($B156,'1. 현장별 인원현황'!$C:$J,3,0))</f>
        <v>신대식</v>
      </c>
      <c r="E156" s="74" t="str">
        <f ca="1">IF(VLOOKUP($B156,'1. 현장별 인원현황'!$C:$J,4,0)=0,"",VLOOKUP($B156,'1. 현장별 인원현황'!$C:$J,4,0))</f>
        <v>39세</v>
      </c>
      <c r="F156" s="70" t="str">
        <f>IF(VLOOKUP($B156,'1. 현장별 인원현황'!$C:$J,7,0)=0,"",VLOOKUP($B156,'1. 현장별 인원현황'!$C:$J,7,0))</f>
        <v>공무</v>
      </c>
      <c r="G156" s="72" t="str">
        <f>IF(VLOOKUP($B156,'1. 현장별 인원현황'!$C:$J,8,0)=0,"",VLOOKUP($B156,'1. 현장별 인원현황'!$C:$J,8,0))</f>
        <v>과장</v>
      </c>
      <c r="H156" s="67" t="s">
        <v>69</v>
      </c>
      <c r="I156" s="73"/>
      <c r="J156" s="73"/>
      <c r="K156" s="68"/>
      <c r="L156" s="67"/>
      <c r="M156" s="73" t="s">
        <v>69</v>
      </c>
      <c r="N156" s="73"/>
      <c r="O156" s="68"/>
      <c r="P156" s="67" t="s">
        <v>69</v>
      </c>
      <c r="Q156" s="73"/>
      <c r="R156" s="73"/>
      <c r="S156" s="68"/>
      <c r="T156" s="67" t="s">
        <v>69</v>
      </c>
      <c r="U156" s="73"/>
      <c r="V156" s="73"/>
      <c r="W156" s="68"/>
      <c r="X156" s="67" t="s">
        <v>69</v>
      </c>
      <c r="Y156" s="73"/>
      <c r="Z156" s="73"/>
      <c r="AA156" s="68"/>
      <c r="AB156" s="67" t="s">
        <v>69</v>
      </c>
      <c r="AC156" s="73"/>
      <c r="AD156" s="73"/>
      <c r="AE156" s="68"/>
      <c r="AF156" s="67" t="s">
        <v>69</v>
      </c>
      <c r="AG156" s="73"/>
      <c r="AH156" s="73"/>
      <c r="AI156" s="68"/>
      <c r="AJ156" s="67" t="s">
        <v>69</v>
      </c>
      <c r="AK156" s="73"/>
      <c r="AL156" s="73"/>
      <c r="AM156" s="68"/>
      <c r="AN156" s="67">
        <f t="shared" si="139"/>
        <v>96</v>
      </c>
      <c r="AO156" s="68" t="str">
        <f t="shared" si="140"/>
        <v>S</v>
      </c>
      <c r="AR156" s="49">
        <f t="shared" si="41"/>
        <v>1</v>
      </c>
      <c r="AS156" s="49">
        <f t="shared" si="42"/>
        <v>0</v>
      </c>
      <c r="AT156" s="49">
        <f t="shared" si="43"/>
        <v>0</v>
      </c>
      <c r="AU156" s="49">
        <f t="shared" si="44"/>
        <v>0</v>
      </c>
      <c r="AV156" s="49">
        <f t="shared" si="45"/>
        <v>0</v>
      </c>
      <c r="AW156" s="49">
        <f t="shared" si="46"/>
        <v>1</v>
      </c>
      <c r="AX156" s="49">
        <f t="shared" si="47"/>
        <v>0</v>
      </c>
      <c r="AY156" s="49">
        <f t="shared" si="48"/>
        <v>0</v>
      </c>
      <c r="AZ156" s="49">
        <f t="shared" si="49"/>
        <v>1</v>
      </c>
      <c r="BA156" s="49">
        <f t="shared" si="50"/>
        <v>0</v>
      </c>
      <c r="BB156" s="49">
        <f t="shared" si="51"/>
        <v>0</v>
      </c>
      <c r="BC156" s="49">
        <f t="shared" si="52"/>
        <v>0</v>
      </c>
      <c r="BD156" s="49">
        <f t="shared" si="53"/>
        <v>1</v>
      </c>
      <c r="BE156" s="49">
        <f t="shared" si="54"/>
        <v>0</v>
      </c>
      <c r="BF156" s="49">
        <f t="shared" si="55"/>
        <v>0</v>
      </c>
      <c r="BG156" s="49">
        <f t="shared" si="56"/>
        <v>0</v>
      </c>
      <c r="BH156" s="49">
        <f t="shared" si="57"/>
        <v>1</v>
      </c>
      <c r="BI156" s="49">
        <f t="shared" si="58"/>
        <v>0</v>
      </c>
      <c r="BJ156" s="49">
        <f t="shared" si="59"/>
        <v>0</v>
      </c>
      <c r="BK156" s="49">
        <f t="shared" si="60"/>
        <v>0</v>
      </c>
      <c r="BL156" s="49">
        <f t="shared" si="61"/>
        <v>1</v>
      </c>
      <c r="BM156" s="49">
        <f t="shared" si="62"/>
        <v>0</v>
      </c>
      <c r="BN156" s="49">
        <f t="shared" si="63"/>
        <v>0</v>
      </c>
      <c r="BO156" s="49">
        <f t="shared" si="64"/>
        <v>0</v>
      </c>
      <c r="BP156" s="49">
        <f t="shared" si="65"/>
        <v>1</v>
      </c>
      <c r="BQ156" s="49">
        <f t="shared" si="66"/>
        <v>0</v>
      </c>
      <c r="BR156" s="49">
        <f t="shared" si="67"/>
        <v>0</v>
      </c>
      <c r="BS156" s="49">
        <f t="shared" si="68"/>
        <v>0</v>
      </c>
      <c r="BT156" s="49">
        <f t="shared" si="69"/>
        <v>1</v>
      </c>
      <c r="BU156" s="49">
        <f t="shared" si="70"/>
        <v>0</v>
      </c>
      <c r="BV156" s="49">
        <f t="shared" si="71"/>
        <v>0</v>
      </c>
      <c r="BW156" s="49">
        <f t="shared" si="72"/>
        <v>0</v>
      </c>
    </row>
    <row r="157" spans="1:75" ht="35.1" customHeight="1" x14ac:dyDescent="0.3">
      <c r="A157" s="123" t="str">
        <f t="shared" si="137"/>
        <v>2팀</v>
      </c>
      <c r="B157" s="69">
        <f t="shared" si="138"/>
        <v>151</v>
      </c>
      <c r="C157" s="121" t="str">
        <f>IF(VLOOKUP($B157,'1. 현장별 인원현황'!$C:$J,2,0)=0,"",VLOOKUP($B157,'1. 현장별 인원현황'!$C:$J,2,0))</f>
        <v xml:space="preserve"> [2.금호건설] 고양장항 B-3BL 공공주택 신축공사</v>
      </c>
      <c r="D157" s="74" t="str">
        <f>IF(VLOOKUP($B157,'1. 현장별 인원현황'!$C:$J,3,0)=0,"",VLOOKUP($B157,'1. 현장별 인원현황'!$C:$J,3,0))</f>
        <v>안윤기</v>
      </c>
      <c r="E157" s="74" t="str">
        <f ca="1">IF(VLOOKUP($B157,'1. 현장별 인원현황'!$C:$J,4,0)=0,"",VLOOKUP($B157,'1. 현장별 인원현황'!$C:$J,4,0))</f>
        <v>70세</v>
      </c>
      <c r="F157" s="70" t="str">
        <f>IF(VLOOKUP($B157,'1. 현장별 인원현황'!$C:$J,7,0)=0,"",VLOOKUP($B157,'1. 현장별 인원현황'!$C:$J,7,0))</f>
        <v>기능공</v>
      </c>
      <c r="G157" s="72" t="str">
        <f>IF(VLOOKUP($B157,'1. 현장별 인원현황'!$C:$J,8,0)=0,"",VLOOKUP($B157,'1. 현장별 인원현황'!$C:$J,8,0))</f>
        <v>전공</v>
      </c>
      <c r="H157" s="67" t="s">
        <v>69</v>
      </c>
      <c r="I157" s="73"/>
      <c r="J157" s="73"/>
      <c r="K157" s="68"/>
      <c r="L157" s="67" t="s">
        <v>69</v>
      </c>
      <c r="M157" s="73"/>
      <c r="N157" s="73"/>
      <c r="O157" s="68"/>
      <c r="P157" s="67" t="s">
        <v>69</v>
      </c>
      <c r="Q157" s="73"/>
      <c r="R157" s="73"/>
      <c r="S157" s="68"/>
      <c r="T157" s="67" t="s">
        <v>69</v>
      </c>
      <c r="U157" s="73"/>
      <c r="V157" s="73"/>
      <c r="W157" s="68"/>
      <c r="X157" s="67" t="s">
        <v>69</v>
      </c>
      <c r="Y157" s="73"/>
      <c r="Z157" s="73"/>
      <c r="AA157" s="68"/>
      <c r="AB157" s="67" t="s">
        <v>69</v>
      </c>
      <c r="AC157" s="73"/>
      <c r="AD157" s="73"/>
      <c r="AE157" s="68"/>
      <c r="AF157" s="67"/>
      <c r="AG157" s="73" t="s">
        <v>69</v>
      </c>
      <c r="AH157" s="73"/>
      <c r="AI157" s="68"/>
      <c r="AJ157" s="67" t="s">
        <v>69</v>
      </c>
      <c r="AK157" s="73"/>
      <c r="AL157" s="73"/>
      <c r="AM157" s="68"/>
      <c r="AN157" s="67">
        <f t="shared" si="139"/>
        <v>97</v>
      </c>
      <c r="AO157" s="68" t="str">
        <f t="shared" si="140"/>
        <v>S</v>
      </c>
      <c r="AR157" s="49">
        <f t="shared" si="41"/>
        <v>1</v>
      </c>
      <c r="AS157" s="49">
        <f t="shared" si="42"/>
        <v>0</v>
      </c>
      <c r="AT157" s="49">
        <f t="shared" si="43"/>
        <v>0</v>
      </c>
      <c r="AU157" s="49">
        <f t="shared" si="44"/>
        <v>0</v>
      </c>
      <c r="AV157" s="49">
        <f t="shared" si="45"/>
        <v>1</v>
      </c>
      <c r="AW157" s="49">
        <f t="shared" si="46"/>
        <v>0</v>
      </c>
      <c r="AX157" s="49">
        <f t="shared" si="47"/>
        <v>0</v>
      </c>
      <c r="AY157" s="49">
        <f t="shared" si="48"/>
        <v>0</v>
      </c>
      <c r="AZ157" s="49">
        <f t="shared" si="49"/>
        <v>1</v>
      </c>
      <c r="BA157" s="49">
        <f t="shared" si="50"/>
        <v>0</v>
      </c>
      <c r="BB157" s="49">
        <f t="shared" si="51"/>
        <v>0</v>
      </c>
      <c r="BC157" s="49">
        <f t="shared" si="52"/>
        <v>0</v>
      </c>
      <c r="BD157" s="49">
        <f t="shared" si="53"/>
        <v>1</v>
      </c>
      <c r="BE157" s="49">
        <f t="shared" si="54"/>
        <v>0</v>
      </c>
      <c r="BF157" s="49">
        <f t="shared" si="55"/>
        <v>0</v>
      </c>
      <c r="BG157" s="49">
        <f t="shared" si="56"/>
        <v>0</v>
      </c>
      <c r="BH157" s="49">
        <f t="shared" si="57"/>
        <v>1</v>
      </c>
      <c r="BI157" s="49">
        <f t="shared" si="58"/>
        <v>0</v>
      </c>
      <c r="BJ157" s="49">
        <f t="shared" si="59"/>
        <v>0</v>
      </c>
      <c r="BK157" s="49">
        <f t="shared" si="60"/>
        <v>0</v>
      </c>
      <c r="BL157" s="49">
        <f t="shared" si="61"/>
        <v>1</v>
      </c>
      <c r="BM157" s="49">
        <f t="shared" si="62"/>
        <v>0</v>
      </c>
      <c r="BN157" s="49">
        <f t="shared" si="63"/>
        <v>0</v>
      </c>
      <c r="BO157" s="49">
        <f t="shared" si="64"/>
        <v>0</v>
      </c>
      <c r="BP157" s="49">
        <f t="shared" si="65"/>
        <v>0</v>
      </c>
      <c r="BQ157" s="49">
        <f t="shared" si="66"/>
        <v>1</v>
      </c>
      <c r="BR157" s="49">
        <f t="shared" si="67"/>
        <v>0</v>
      </c>
      <c r="BS157" s="49">
        <f t="shared" si="68"/>
        <v>0</v>
      </c>
      <c r="BT157" s="49">
        <f t="shared" si="69"/>
        <v>1</v>
      </c>
      <c r="BU157" s="49">
        <f t="shared" si="70"/>
        <v>0</v>
      </c>
      <c r="BV157" s="49">
        <f t="shared" si="71"/>
        <v>0</v>
      </c>
      <c r="BW157" s="49">
        <f t="shared" si="72"/>
        <v>0</v>
      </c>
    </row>
    <row r="158" spans="1:75" ht="35.1" customHeight="1" x14ac:dyDescent="0.3">
      <c r="A158" s="123" t="str">
        <f t="shared" si="137"/>
        <v>2팀</v>
      </c>
      <c r="B158" s="69">
        <f t="shared" si="138"/>
        <v>152</v>
      </c>
      <c r="C158" s="121" t="str">
        <f>IF(VLOOKUP($B158,'1. 현장별 인원현황'!$C:$J,2,0)=0,"",VLOOKUP($B158,'1. 현장별 인원현황'!$C:$J,2,0))</f>
        <v xml:space="preserve"> [2.금호건설] 고양장항 B-3BL 공공주택 신축공사</v>
      </c>
      <c r="D158" s="74" t="str">
        <f>IF(VLOOKUP($B158,'1. 현장별 인원현황'!$C:$J,3,0)=0,"",VLOOKUP($B158,'1. 현장별 인원현황'!$C:$J,3,0))</f>
        <v>노형재</v>
      </c>
      <c r="E158" s="74" t="str">
        <f ca="1">IF(VLOOKUP($B158,'1. 현장별 인원현황'!$C:$J,4,0)=0,"",VLOOKUP($B158,'1. 현장별 인원현황'!$C:$J,4,0))</f>
        <v>50세</v>
      </c>
      <c r="F158" s="70" t="str">
        <f>IF(VLOOKUP($B158,'1. 현장별 인원현황'!$C:$J,7,0)=0,"",VLOOKUP($B158,'1. 현장별 인원현황'!$C:$J,7,0))</f>
        <v>기능공</v>
      </c>
      <c r="G158" s="72" t="str">
        <f>IF(VLOOKUP($B158,'1. 현장별 인원현황'!$C:$J,8,0)=0,"",VLOOKUP($B158,'1. 현장별 인원현황'!$C:$J,8,0))</f>
        <v>전공</v>
      </c>
      <c r="H158" s="67" t="s">
        <v>69</v>
      </c>
      <c r="I158" s="73"/>
      <c r="J158" s="73"/>
      <c r="K158" s="68"/>
      <c r="L158" s="67" t="s">
        <v>69</v>
      </c>
      <c r="M158" s="73"/>
      <c r="N158" s="73"/>
      <c r="O158" s="68"/>
      <c r="P158" s="67" t="s">
        <v>69</v>
      </c>
      <c r="Q158" s="73"/>
      <c r="R158" s="73"/>
      <c r="S158" s="68"/>
      <c r="T158" s="67" t="s">
        <v>69</v>
      </c>
      <c r="U158" s="73"/>
      <c r="V158" s="73"/>
      <c r="W158" s="68"/>
      <c r="X158" s="67" t="s">
        <v>69</v>
      </c>
      <c r="Y158" s="73"/>
      <c r="Z158" s="73"/>
      <c r="AA158" s="68"/>
      <c r="AB158" s="67" t="s">
        <v>69</v>
      </c>
      <c r="AC158" s="73"/>
      <c r="AD158" s="73"/>
      <c r="AE158" s="68"/>
      <c r="AF158" s="67"/>
      <c r="AG158" s="73" t="s">
        <v>69</v>
      </c>
      <c r="AH158" s="73"/>
      <c r="AI158" s="68"/>
      <c r="AJ158" s="67" t="s">
        <v>69</v>
      </c>
      <c r="AK158" s="73"/>
      <c r="AL158" s="73"/>
      <c r="AM158" s="68"/>
      <c r="AN158" s="67">
        <f t="shared" si="139"/>
        <v>97</v>
      </c>
      <c r="AO158" s="68" t="str">
        <f t="shared" si="140"/>
        <v>S</v>
      </c>
      <c r="AR158" s="49">
        <f t="shared" si="41"/>
        <v>1</v>
      </c>
      <c r="AS158" s="49">
        <f t="shared" si="42"/>
        <v>0</v>
      </c>
      <c r="AT158" s="49">
        <f t="shared" si="43"/>
        <v>0</v>
      </c>
      <c r="AU158" s="49">
        <f t="shared" si="44"/>
        <v>0</v>
      </c>
      <c r="AV158" s="49">
        <f t="shared" si="45"/>
        <v>1</v>
      </c>
      <c r="AW158" s="49">
        <f t="shared" si="46"/>
        <v>0</v>
      </c>
      <c r="AX158" s="49">
        <f t="shared" si="47"/>
        <v>0</v>
      </c>
      <c r="AY158" s="49">
        <f t="shared" si="48"/>
        <v>0</v>
      </c>
      <c r="AZ158" s="49">
        <f t="shared" si="49"/>
        <v>1</v>
      </c>
      <c r="BA158" s="49">
        <f t="shared" si="50"/>
        <v>0</v>
      </c>
      <c r="BB158" s="49">
        <f t="shared" si="51"/>
        <v>0</v>
      </c>
      <c r="BC158" s="49">
        <f t="shared" si="52"/>
        <v>0</v>
      </c>
      <c r="BD158" s="49">
        <f t="shared" si="53"/>
        <v>1</v>
      </c>
      <c r="BE158" s="49">
        <f t="shared" si="54"/>
        <v>0</v>
      </c>
      <c r="BF158" s="49">
        <f t="shared" si="55"/>
        <v>0</v>
      </c>
      <c r="BG158" s="49">
        <f t="shared" si="56"/>
        <v>0</v>
      </c>
      <c r="BH158" s="49">
        <f t="shared" si="57"/>
        <v>1</v>
      </c>
      <c r="BI158" s="49">
        <f t="shared" si="58"/>
        <v>0</v>
      </c>
      <c r="BJ158" s="49">
        <f t="shared" si="59"/>
        <v>0</v>
      </c>
      <c r="BK158" s="49">
        <f t="shared" si="60"/>
        <v>0</v>
      </c>
      <c r="BL158" s="49">
        <f t="shared" si="61"/>
        <v>1</v>
      </c>
      <c r="BM158" s="49">
        <f t="shared" si="62"/>
        <v>0</v>
      </c>
      <c r="BN158" s="49">
        <f t="shared" si="63"/>
        <v>0</v>
      </c>
      <c r="BO158" s="49">
        <f t="shared" si="64"/>
        <v>0</v>
      </c>
      <c r="BP158" s="49">
        <f t="shared" si="65"/>
        <v>0</v>
      </c>
      <c r="BQ158" s="49">
        <f t="shared" si="66"/>
        <v>1</v>
      </c>
      <c r="BR158" s="49">
        <f t="shared" si="67"/>
        <v>0</v>
      </c>
      <c r="BS158" s="49">
        <f t="shared" si="68"/>
        <v>0</v>
      </c>
      <c r="BT158" s="49">
        <f t="shared" si="69"/>
        <v>1</v>
      </c>
      <c r="BU158" s="49">
        <f t="shared" si="70"/>
        <v>0</v>
      </c>
      <c r="BV158" s="49">
        <f t="shared" si="71"/>
        <v>0</v>
      </c>
      <c r="BW158" s="49">
        <f t="shared" si="72"/>
        <v>0</v>
      </c>
    </row>
    <row r="159" spans="1:75" ht="35.1" customHeight="1" x14ac:dyDescent="0.3">
      <c r="A159" s="123" t="str">
        <f t="shared" si="137"/>
        <v>2팀</v>
      </c>
      <c r="B159" s="69">
        <f t="shared" si="138"/>
        <v>153</v>
      </c>
      <c r="C159" s="121" t="str">
        <f>IF(VLOOKUP($B159,'1. 현장별 인원현황'!$C:$J,2,0)=0,"",VLOOKUP($B159,'1. 현장별 인원현황'!$C:$J,2,0))</f>
        <v xml:space="preserve"> [2.금호건설] 대웅제약 마곡연구소 신축공사</v>
      </c>
      <c r="D159" s="74" t="str">
        <f>IF(VLOOKUP($B159,'1. 현장별 인원현황'!$C:$J,3,0)=0,"",VLOOKUP($B159,'1. 현장별 인원현황'!$C:$J,3,0))</f>
        <v>김영하</v>
      </c>
      <c r="E159" s="74" t="str">
        <f ca="1">IF(VLOOKUP($B159,'1. 현장별 인원현황'!$C:$J,4,0)=0,"",VLOOKUP($B159,'1. 현장별 인원현황'!$C:$J,4,0))</f>
        <v>55세</v>
      </c>
      <c r="F159" s="70" t="str">
        <f>IF(VLOOKUP($B159,'1. 현장별 인원현황'!$C:$J,7,0)=0,"",VLOOKUP($B159,'1. 현장별 인원현황'!$C:$J,7,0))</f>
        <v>공무</v>
      </c>
      <c r="G159" s="72" t="str">
        <f>IF(VLOOKUP($B159,'1. 현장별 인원현황'!$C:$J,8,0)=0,"",VLOOKUP($B159,'1. 현장별 인원현황'!$C:$J,8,0))</f>
        <v>부장</v>
      </c>
      <c r="H159" s="67" t="s">
        <v>69</v>
      </c>
      <c r="I159" s="73"/>
      <c r="J159" s="73"/>
      <c r="K159" s="68"/>
      <c r="L159" s="67" t="s">
        <v>69</v>
      </c>
      <c r="M159" s="73"/>
      <c r="N159" s="73"/>
      <c r="O159" s="68"/>
      <c r="P159" s="67" t="s">
        <v>69</v>
      </c>
      <c r="Q159" s="73"/>
      <c r="R159" s="73"/>
      <c r="S159" s="68"/>
      <c r="T159" s="67" t="s">
        <v>69</v>
      </c>
      <c r="U159" s="73"/>
      <c r="V159" s="73"/>
      <c r="W159" s="68"/>
      <c r="X159" s="67" t="s">
        <v>69</v>
      </c>
      <c r="Y159" s="73"/>
      <c r="Z159" s="73"/>
      <c r="AA159" s="68"/>
      <c r="AB159" s="67" t="s">
        <v>69</v>
      </c>
      <c r="AC159" s="73"/>
      <c r="AD159" s="73"/>
      <c r="AE159" s="68"/>
      <c r="AF159" s="67" t="s">
        <v>69</v>
      </c>
      <c r="AG159" s="73"/>
      <c r="AH159" s="73"/>
      <c r="AI159" s="68"/>
      <c r="AJ159" s="67" t="s">
        <v>69</v>
      </c>
      <c r="AK159" s="73"/>
      <c r="AL159" s="73"/>
      <c r="AM159" s="68"/>
      <c r="AN159" s="67">
        <f t="shared" si="139"/>
        <v>100</v>
      </c>
      <c r="AO159" s="68" t="str">
        <f t="shared" si="140"/>
        <v>S</v>
      </c>
      <c r="AR159" s="49">
        <f t="shared" si="41"/>
        <v>1</v>
      </c>
      <c r="AS159" s="49">
        <f t="shared" si="42"/>
        <v>0</v>
      </c>
      <c r="AT159" s="49">
        <f t="shared" si="43"/>
        <v>0</v>
      </c>
      <c r="AU159" s="49">
        <f t="shared" si="44"/>
        <v>0</v>
      </c>
      <c r="AV159" s="49">
        <f t="shared" si="45"/>
        <v>1</v>
      </c>
      <c r="AW159" s="49">
        <f t="shared" si="46"/>
        <v>0</v>
      </c>
      <c r="AX159" s="49">
        <f t="shared" si="47"/>
        <v>0</v>
      </c>
      <c r="AY159" s="49">
        <f t="shared" si="48"/>
        <v>0</v>
      </c>
      <c r="AZ159" s="49">
        <f t="shared" si="49"/>
        <v>1</v>
      </c>
      <c r="BA159" s="49">
        <f t="shared" si="50"/>
        <v>0</v>
      </c>
      <c r="BB159" s="49">
        <f t="shared" si="51"/>
        <v>0</v>
      </c>
      <c r="BC159" s="49">
        <f t="shared" si="52"/>
        <v>0</v>
      </c>
      <c r="BD159" s="49">
        <f t="shared" si="53"/>
        <v>1</v>
      </c>
      <c r="BE159" s="49">
        <f t="shared" si="54"/>
        <v>0</v>
      </c>
      <c r="BF159" s="49">
        <f t="shared" si="55"/>
        <v>0</v>
      </c>
      <c r="BG159" s="49">
        <f t="shared" si="56"/>
        <v>0</v>
      </c>
      <c r="BH159" s="49">
        <f t="shared" si="57"/>
        <v>1</v>
      </c>
      <c r="BI159" s="49">
        <f t="shared" si="58"/>
        <v>0</v>
      </c>
      <c r="BJ159" s="49">
        <f t="shared" si="59"/>
        <v>0</v>
      </c>
      <c r="BK159" s="49">
        <f t="shared" si="60"/>
        <v>0</v>
      </c>
      <c r="BL159" s="49">
        <f t="shared" si="61"/>
        <v>1</v>
      </c>
      <c r="BM159" s="49">
        <f t="shared" si="62"/>
        <v>0</v>
      </c>
      <c r="BN159" s="49">
        <f t="shared" si="63"/>
        <v>0</v>
      </c>
      <c r="BO159" s="49">
        <f t="shared" si="64"/>
        <v>0</v>
      </c>
      <c r="BP159" s="49">
        <f t="shared" si="65"/>
        <v>1</v>
      </c>
      <c r="BQ159" s="49">
        <f t="shared" si="66"/>
        <v>0</v>
      </c>
      <c r="BR159" s="49">
        <f t="shared" si="67"/>
        <v>0</v>
      </c>
      <c r="BS159" s="49">
        <f t="shared" si="68"/>
        <v>0</v>
      </c>
      <c r="BT159" s="49">
        <f t="shared" si="69"/>
        <v>1</v>
      </c>
      <c r="BU159" s="49">
        <f t="shared" si="70"/>
        <v>0</v>
      </c>
      <c r="BV159" s="49">
        <f t="shared" si="71"/>
        <v>0</v>
      </c>
      <c r="BW159" s="49">
        <f t="shared" si="72"/>
        <v>0</v>
      </c>
    </row>
    <row r="160" spans="1:75" ht="35.1" customHeight="1" x14ac:dyDescent="0.3">
      <c r="A160" s="123" t="str">
        <f t="shared" si="137"/>
        <v>2팀</v>
      </c>
      <c r="B160" s="69">
        <f t="shared" si="138"/>
        <v>154</v>
      </c>
      <c r="C160" s="121" t="str">
        <f>IF(VLOOKUP($B160,'1. 현장별 인원현황'!$C:$J,2,0)=0,"",VLOOKUP($B160,'1. 현장별 인원현황'!$C:$J,2,0))</f>
        <v xml:space="preserve"> [2.금호건설] 대웅제약 마곡연구소 신축공사</v>
      </c>
      <c r="D160" s="74" t="str">
        <f>IF(VLOOKUP($B160,'1. 현장별 인원현황'!$C:$J,3,0)=0,"",VLOOKUP($B160,'1. 현장별 인원현황'!$C:$J,3,0))</f>
        <v>나태형</v>
      </c>
      <c r="E160" s="74" t="str">
        <f ca="1">IF(VLOOKUP($B160,'1. 현장별 인원현황'!$C:$J,4,0)=0,"",VLOOKUP($B160,'1. 현장별 인원현황'!$C:$J,4,0))</f>
        <v>36세</v>
      </c>
      <c r="F160" s="70" t="str">
        <f>IF(VLOOKUP($B160,'1. 현장별 인원현황'!$C:$J,7,0)=0,"",VLOOKUP($B160,'1. 현장별 인원현황'!$C:$J,7,0))</f>
        <v>공사</v>
      </c>
      <c r="G160" s="72" t="str">
        <f>IF(VLOOKUP($B160,'1. 현장별 인원현황'!$C:$J,8,0)=0,"",VLOOKUP($B160,'1. 현장별 인원현황'!$C:$J,8,0))</f>
        <v>대리</v>
      </c>
      <c r="H160" s="67" t="s">
        <v>69</v>
      </c>
      <c r="I160" s="73"/>
      <c r="J160" s="73"/>
      <c r="K160" s="68"/>
      <c r="L160" s="67" t="s">
        <v>69</v>
      </c>
      <c r="M160" s="73"/>
      <c r="N160" s="73"/>
      <c r="O160" s="68"/>
      <c r="P160" s="67" t="s">
        <v>69</v>
      </c>
      <c r="Q160" s="73"/>
      <c r="R160" s="73"/>
      <c r="S160" s="68"/>
      <c r="T160" s="67" t="s">
        <v>69</v>
      </c>
      <c r="U160" s="73"/>
      <c r="V160" s="73"/>
      <c r="W160" s="68"/>
      <c r="X160" s="67" t="s">
        <v>69</v>
      </c>
      <c r="Y160" s="73"/>
      <c r="Z160" s="73"/>
      <c r="AA160" s="68"/>
      <c r="AB160" s="67" t="s">
        <v>69</v>
      </c>
      <c r="AC160" s="73"/>
      <c r="AD160" s="73"/>
      <c r="AE160" s="68"/>
      <c r="AF160" s="67" t="s">
        <v>69</v>
      </c>
      <c r="AG160" s="73"/>
      <c r="AH160" s="73"/>
      <c r="AI160" s="68"/>
      <c r="AJ160" s="67" t="s">
        <v>69</v>
      </c>
      <c r="AK160" s="73"/>
      <c r="AL160" s="73"/>
      <c r="AM160" s="68"/>
      <c r="AN160" s="67">
        <f t="shared" si="139"/>
        <v>100</v>
      </c>
      <c r="AO160" s="68" t="str">
        <f t="shared" si="140"/>
        <v>S</v>
      </c>
      <c r="AR160" s="49">
        <f t="shared" si="41"/>
        <v>1</v>
      </c>
      <c r="AS160" s="49">
        <f t="shared" si="42"/>
        <v>0</v>
      </c>
      <c r="AT160" s="49">
        <f t="shared" si="43"/>
        <v>0</v>
      </c>
      <c r="AU160" s="49">
        <f t="shared" si="44"/>
        <v>0</v>
      </c>
      <c r="AV160" s="49">
        <f t="shared" si="45"/>
        <v>1</v>
      </c>
      <c r="AW160" s="49">
        <f t="shared" si="46"/>
        <v>0</v>
      </c>
      <c r="AX160" s="49">
        <f t="shared" si="47"/>
        <v>0</v>
      </c>
      <c r="AY160" s="49">
        <f t="shared" si="48"/>
        <v>0</v>
      </c>
      <c r="AZ160" s="49">
        <f t="shared" si="49"/>
        <v>1</v>
      </c>
      <c r="BA160" s="49">
        <f t="shared" si="50"/>
        <v>0</v>
      </c>
      <c r="BB160" s="49">
        <f t="shared" si="51"/>
        <v>0</v>
      </c>
      <c r="BC160" s="49">
        <f t="shared" si="52"/>
        <v>0</v>
      </c>
      <c r="BD160" s="49">
        <f t="shared" si="53"/>
        <v>1</v>
      </c>
      <c r="BE160" s="49">
        <f t="shared" si="54"/>
        <v>0</v>
      </c>
      <c r="BF160" s="49">
        <f t="shared" si="55"/>
        <v>0</v>
      </c>
      <c r="BG160" s="49">
        <f t="shared" si="56"/>
        <v>0</v>
      </c>
      <c r="BH160" s="49">
        <f t="shared" si="57"/>
        <v>1</v>
      </c>
      <c r="BI160" s="49">
        <f t="shared" si="58"/>
        <v>0</v>
      </c>
      <c r="BJ160" s="49">
        <f t="shared" si="59"/>
        <v>0</v>
      </c>
      <c r="BK160" s="49">
        <f t="shared" si="60"/>
        <v>0</v>
      </c>
      <c r="BL160" s="49">
        <f t="shared" si="61"/>
        <v>1</v>
      </c>
      <c r="BM160" s="49">
        <f t="shared" si="62"/>
        <v>0</v>
      </c>
      <c r="BN160" s="49">
        <f t="shared" si="63"/>
        <v>0</v>
      </c>
      <c r="BO160" s="49">
        <f t="shared" si="64"/>
        <v>0</v>
      </c>
      <c r="BP160" s="49">
        <f t="shared" si="65"/>
        <v>1</v>
      </c>
      <c r="BQ160" s="49">
        <f t="shared" si="66"/>
        <v>0</v>
      </c>
      <c r="BR160" s="49">
        <f t="shared" si="67"/>
        <v>0</v>
      </c>
      <c r="BS160" s="49">
        <f t="shared" si="68"/>
        <v>0</v>
      </c>
      <c r="BT160" s="49">
        <f t="shared" si="69"/>
        <v>1</v>
      </c>
      <c r="BU160" s="49">
        <f t="shared" si="70"/>
        <v>0</v>
      </c>
      <c r="BV160" s="49">
        <f t="shared" si="71"/>
        <v>0</v>
      </c>
      <c r="BW160" s="49">
        <f t="shared" si="72"/>
        <v>0</v>
      </c>
    </row>
    <row r="161" spans="1:75" ht="35.1" customHeight="1" x14ac:dyDescent="0.3">
      <c r="A161" s="123" t="str">
        <f t="shared" si="137"/>
        <v>2팀</v>
      </c>
      <c r="B161" s="69">
        <f t="shared" si="138"/>
        <v>155</v>
      </c>
      <c r="C161" s="121" t="str">
        <f>IF(VLOOKUP($B161,'1. 현장별 인원현황'!$C:$J,2,0)=0,"",VLOOKUP($B161,'1. 현장별 인원현황'!$C:$J,2,0))</f>
        <v xml:space="preserve"> [2.금호건설] 대웅제약 마곡연구소 신축공사</v>
      </c>
      <c r="D161" s="74" t="str">
        <f>IF(VLOOKUP($B161,'1. 현장별 인원현황'!$C:$J,3,0)=0,"",VLOOKUP($B161,'1. 현장별 인원현황'!$C:$J,3,0))</f>
        <v>박주형</v>
      </c>
      <c r="E161" s="74" t="str">
        <f ca="1">IF(VLOOKUP($B161,'1. 현장별 인원현황'!$C:$J,4,0)=0,"",VLOOKUP($B161,'1. 현장별 인원현황'!$C:$J,4,0))</f>
        <v>60세</v>
      </c>
      <c r="F161" s="70" t="str">
        <f>IF(VLOOKUP($B161,'1. 현장별 인원현황'!$C:$J,7,0)=0,"",VLOOKUP($B161,'1. 현장별 인원현황'!$C:$J,7,0))</f>
        <v>공무</v>
      </c>
      <c r="G161" s="72" t="str">
        <f>IF(VLOOKUP($B161,'1. 현장별 인원현황'!$C:$J,8,0)=0,"",VLOOKUP($B161,'1. 현장별 인원현황'!$C:$J,8,0))</f>
        <v>차장</v>
      </c>
      <c r="H161" s="67" t="s">
        <v>69</v>
      </c>
      <c r="I161" s="73"/>
      <c r="J161" s="73"/>
      <c r="K161" s="68"/>
      <c r="L161" s="67" t="s">
        <v>69</v>
      </c>
      <c r="M161" s="73"/>
      <c r="N161" s="73"/>
      <c r="O161" s="68"/>
      <c r="P161" s="67" t="s">
        <v>69</v>
      </c>
      <c r="Q161" s="73"/>
      <c r="R161" s="73"/>
      <c r="S161" s="68"/>
      <c r="T161" s="67" t="s">
        <v>69</v>
      </c>
      <c r="U161" s="73"/>
      <c r="V161" s="73"/>
      <c r="W161" s="68"/>
      <c r="X161" s="67" t="s">
        <v>69</v>
      </c>
      <c r="Y161" s="73"/>
      <c r="Z161" s="73"/>
      <c r="AA161" s="68"/>
      <c r="AB161" s="67" t="s">
        <v>69</v>
      </c>
      <c r="AC161" s="73"/>
      <c r="AD161" s="73"/>
      <c r="AE161" s="68"/>
      <c r="AF161" s="67" t="s">
        <v>69</v>
      </c>
      <c r="AG161" s="73"/>
      <c r="AH161" s="73"/>
      <c r="AI161" s="68"/>
      <c r="AJ161" s="67" t="s">
        <v>69</v>
      </c>
      <c r="AK161" s="73"/>
      <c r="AL161" s="73"/>
      <c r="AM161" s="68"/>
      <c r="AN161" s="67">
        <f t="shared" si="139"/>
        <v>100</v>
      </c>
      <c r="AO161" s="68" t="str">
        <f t="shared" si="140"/>
        <v>S</v>
      </c>
      <c r="AR161" s="49">
        <f t="shared" si="41"/>
        <v>1</v>
      </c>
      <c r="AS161" s="49">
        <f t="shared" si="42"/>
        <v>0</v>
      </c>
      <c r="AT161" s="49">
        <f t="shared" si="43"/>
        <v>0</v>
      </c>
      <c r="AU161" s="49">
        <f t="shared" si="44"/>
        <v>0</v>
      </c>
      <c r="AV161" s="49">
        <f t="shared" si="45"/>
        <v>1</v>
      </c>
      <c r="AW161" s="49">
        <f t="shared" si="46"/>
        <v>0</v>
      </c>
      <c r="AX161" s="49">
        <f t="shared" si="47"/>
        <v>0</v>
      </c>
      <c r="AY161" s="49">
        <f t="shared" si="48"/>
        <v>0</v>
      </c>
      <c r="AZ161" s="49">
        <f t="shared" si="49"/>
        <v>1</v>
      </c>
      <c r="BA161" s="49">
        <f t="shared" si="50"/>
        <v>0</v>
      </c>
      <c r="BB161" s="49">
        <f t="shared" si="51"/>
        <v>0</v>
      </c>
      <c r="BC161" s="49">
        <f t="shared" si="52"/>
        <v>0</v>
      </c>
      <c r="BD161" s="49">
        <f t="shared" si="53"/>
        <v>1</v>
      </c>
      <c r="BE161" s="49">
        <f t="shared" si="54"/>
        <v>0</v>
      </c>
      <c r="BF161" s="49">
        <f t="shared" si="55"/>
        <v>0</v>
      </c>
      <c r="BG161" s="49">
        <f t="shared" si="56"/>
        <v>0</v>
      </c>
      <c r="BH161" s="49">
        <f t="shared" si="57"/>
        <v>1</v>
      </c>
      <c r="BI161" s="49">
        <f t="shared" si="58"/>
        <v>0</v>
      </c>
      <c r="BJ161" s="49">
        <f t="shared" si="59"/>
        <v>0</v>
      </c>
      <c r="BK161" s="49">
        <f t="shared" si="60"/>
        <v>0</v>
      </c>
      <c r="BL161" s="49">
        <f t="shared" si="61"/>
        <v>1</v>
      </c>
      <c r="BM161" s="49">
        <f t="shared" si="62"/>
        <v>0</v>
      </c>
      <c r="BN161" s="49">
        <f t="shared" si="63"/>
        <v>0</v>
      </c>
      <c r="BO161" s="49">
        <f t="shared" si="64"/>
        <v>0</v>
      </c>
      <c r="BP161" s="49">
        <f t="shared" si="65"/>
        <v>1</v>
      </c>
      <c r="BQ161" s="49">
        <f t="shared" si="66"/>
        <v>0</v>
      </c>
      <c r="BR161" s="49">
        <f t="shared" si="67"/>
        <v>0</v>
      </c>
      <c r="BS161" s="49">
        <f t="shared" si="68"/>
        <v>0</v>
      </c>
      <c r="BT161" s="49">
        <f t="shared" si="69"/>
        <v>1</v>
      </c>
      <c r="BU161" s="49">
        <f t="shared" si="70"/>
        <v>0</v>
      </c>
      <c r="BV161" s="49">
        <f t="shared" si="71"/>
        <v>0</v>
      </c>
      <c r="BW161" s="49">
        <f t="shared" si="72"/>
        <v>0</v>
      </c>
    </row>
    <row r="162" spans="1:75" ht="35.1" customHeight="1" x14ac:dyDescent="0.3">
      <c r="A162" s="123" t="str">
        <f t="shared" si="137"/>
        <v>2팀</v>
      </c>
      <c r="B162" s="69">
        <f t="shared" si="138"/>
        <v>156</v>
      </c>
      <c r="C162" s="121" t="str">
        <f>IF(VLOOKUP($B162,'1. 현장별 인원현황'!$C:$J,2,0)=0,"",VLOOKUP($B162,'1. 현장별 인원현황'!$C:$J,2,0))</f>
        <v xml:space="preserve"> [2.금호건설] 대웅제약 마곡연구소 신축공사</v>
      </c>
      <c r="D162" s="74" t="str">
        <f>IF(VLOOKUP($B162,'1. 현장별 인원현황'!$C:$J,3,0)=0,"",VLOOKUP($B162,'1. 현장별 인원현황'!$C:$J,3,0))</f>
        <v>임준성</v>
      </c>
      <c r="E162" s="74" t="str">
        <f ca="1">IF(VLOOKUP($B162,'1. 현장별 인원현황'!$C:$J,4,0)=0,"",VLOOKUP($B162,'1. 현장별 인원현황'!$C:$J,4,0))</f>
        <v>48세</v>
      </c>
      <c r="F162" s="70" t="str">
        <f>IF(VLOOKUP($B162,'1. 현장별 인원현황'!$C:$J,7,0)=0,"",VLOOKUP($B162,'1. 현장별 인원현황'!$C:$J,7,0))</f>
        <v>공사</v>
      </c>
      <c r="G162" s="72" t="str">
        <f>IF(VLOOKUP($B162,'1. 현장별 인원현황'!$C:$J,8,0)=0,"",VLOOKUP($B162,'1. 현장별 인원현황'!$C:$J,8,0))</f>
        <v>차장</v>
      </c>
      <c r="H162" s="67" t="s">
        <v>69</v>
      </c>
      <c r="I162" s="73"/>
      <c r="J162" s="73"/>
      <c r="K162" s="68"/>
      <c r="L162" s="67" t="s">
        <v>69</v>
      </c>
      <c r="M162" s="73"/>
      <c r="N162" s="73"/>
      <c r="O162" s="68"/>
      <c r="P162" s="67" t="s">
        <v>69</v>
      </c>
      <c r="Q162" s="73"/>
      <c r="R162" s="73"/>
      <c r="S162" s="68"/>
      <c r="T162" s="67" t="s">
        <v>69</v>
      </c>
      <c r="U162" s="73"/>
      <c r="V162" s="73"/>
      <c r="W162" s="68"/>
      <c r="X162" s="67" t="s">
        <v>69</v>
      </c>
      <c r="Y162" s="73"/>
      <c r="Z162" s="73"/>
      <c r="AA162" s="68"/>
      <c r="AB162" s="67" t="s">
        <v>69</v>
      </c>
      <c r="AC162" s="73"/>
      <c r="AD162" s="73"/>
      <c r="AE162" s="68"/>
      <c r="AF162" s="67" t="s">
        <v>69</v>
      </c>
      <c r="AG162" s="73"/>
      <c r="AH162" s="73"/>
      <c r="AI162" s="68"/>
      <c r="AJ162" s="67" t="s">
        <v>69</v>
      </c>
      <c r="AK162" s="73"/>
      <c r="AL162" s="73"/>
      <c r="AM162" s="68"/>
      <c r="AN162" s="67">
        <f t="shared" si="139"/>
        <v>100</v>
      </c>
      <c r="AO162" s="68" t="str">
        <f t="shared" si="140"/>
        <v>S</v>
      </c>
      <c r="AR162" s="49">
        <f t="shared" si="41"/>
        <v>1</v>
      </c>
      <c r="AS162" s="49">
        <f t="shared" si="42"/>
        <v>0</v>
      </c>
      <c r="AT162" s="49">
        <f t="shared" si="43"/>
        <v>0</v>
      </c>
      <c r="AU162" s="49">
        <f t="shared" si="44"/>
        <v>0</v>
      </c>
      <c r="AV162" s="49">
        <f t="shared" si="45"/>
        <v>1</v>
      </c>
      <c r="AW162" s="49">
        <f t="shared" si="46"/>
        <v>0</v>
      </c>
      <c r="AX162" s="49">
        <f t="shared" si="47"/>
        <v>0</v>
      </c>
      <c r="AY162" s="49">
        <f t="shared" si="48"/>
        <v>0</v>
      </c>
      <c r="AZ162" s="49">
        <f t="shared" si="49"/>
        <v>1</v>
      </c>
      <c r="BA162" s="49">
        <f t="shared" si="50"/>
        <v>0</v>
      </c>
      <c r="BB162" s="49">
        <f t="shared" si="51"/>
        <v>0</v>
      </c>
      <c r="BC162" s="49">
        <f t="shared" si="52"/>
        <v>0</v>
      </c>
      <c r="BD162" s="49">
        <f t="shared" si="53"/>
        <v>1</v>
      </c>
      <c r="BE162" s="49">
        <f t="shared" si="54"/>
        <v>0</v>
      </c>
      <c r="BF162" s="49">
        <f t="shared" si="55"/>
        <v>0</v>
      </c>
      <c r="BG162" s="49">
        <f t="shared" si="56"/>
        <v>0</v>
      </c>
      <c r="BH162" s="49">
        <f t="shared" si="57"/>
        <v>1</v>
      </c>
      <c r="BI162" s="49">
        <f t="shared" si="58"/>
        <v>0</v>
      </c>
      <c r="BJ162" s="49">
        <f t="shared" si="59"/>
        <v>0</v>
      </c>
      <c r="BK162" s="49">
        <f t="shared" si="60"/>
        <v>0</v>
      </c>
      <c r="BL162" s="49">
        <f t="shared" si="61"/>
        <v>1</v>
      </c>
      <c r="BM162" s="49">
        <f t="shared" si="62"/>
        <v>0</v>
      </c>
      <c r="BN162" s="49">
        <f t="shared" si="63"/>
        <v>0</v>
      </c>
      <c r="BO162" s="49">
        <f t="shared" si="64"/>
        <v>0</v>
      </c>
      <c r="BP162" s="49">
        <f t="shared" si="65"/>
        <v>1</v>
      </c>
      <c r="BQ162" s="49">
        <f t="shared" si="66"/>
        <v>0</v>
      </c>
      <c r="BR162" s="49">
        <f t="shared" si="67"/>
        <v>0</v>
      </c>
      <c r="BS162" s="49">
        <f t="shared" si="68"/>
        <v>0</v>
      </c>
      <c r="BT162" s="49">
        <f t="shared" si="69"/>
        <v>1</v>
      </c>
      <c r="BU162" s="49">
        <f t="shared" si="70"/>
        <v>0</v>
      </c>
      <c r="BV162" s="49">
        <f t="shared" si="71"/>
        <v>0</v>
      </c>
      <c r="BW162" s="49">
        <f t="shared" si="72"/>
        <v>0</v>
      </c>
    </row>
    <row r="163" spans="1:75" ht="35.1" customHeight="1" x14ac:dyDescent="0.3">
      <c r="A163" s="123" t="str">
        <f t="shared" si="137"/>
        <v>2팀</v>
      </c>
      <c r="B163" s="69">
        <f t="shared" si="138"/>
        <v>157</v>
      </c>
      <c r="C163" s="121" t="str">
        <f>IF(VLOOKUP($B163,'1. 현장별 인원현황'!$C:$J,2,0)=0,"",VLOOKUP($B163,'1. 현장별 인원현황'!$C:$J,2,0))</f>
        <v xml:space="preserve"> [2.금호건설] 대웅제약 마곡연구소 신축공사</v>
      </c>
      <c r="D163" s="74" t="str">
        <f>IF(VLOOKUP($B163,'1. 현장별 인원현황'!$C:$J,3,0)=0,"",VLOOKUP($B163,'1. 현장별 인원현황'!$C:$J,3,0))</f>
        <v>홍상진</v>
      </c>
      <c r="E163" s="74" t="str">
        <f ca="1">IF(VLOOKUP($B163,'1. 현장별 인원현황'!$C:$J,4,0)=0,"",VLOOKUP($B163,'1. 현장별 인원현황'!$C:$J,4,0))</f>
        <v>52세</v>
      </c>
      <c r="F163" s="70" t="str">
        <f>IF(VLOOKUP($B163,'1. 현장별 인원현황'!$C:$J,7,0)=0,"",VLOOKUP($B163,'1. 현장별 인원현황'!$C:$J,7,0))</f>
        <v>기능공</v>
      </c>
      <c r="G163" s="72" t="str">
        <f>IF(VLOOKUP($B163,'1. 현장별 인원현황'!$C:$J,8,0)=0,"",VLOOKUP($B163,'1. 현장별 인원현황'!$C:$J,8,0))</f>
        <v>전공</v>
      </c>
      <c r="H163" s="67" t="s">
        <v>69</v>
      </c>
      <c r="I163" s="73"/>
      <c r="J163" s="73"/>
      <c r="K163" s="68"/>
      <c r="L163" s="67" t="s">
        <v>69</v>
      </c>
      <c r="M163" s="73"/>
      <c r="N163" s="73"/>
      <c r="O163" s="68"/>
      <c r="P163" s="67" t="s">
        <v>69</v>
      </c>
      <c r="Q163" s="73"/>
      <c r="R163" s="73"/>
      <c r="S163" s="68"/>
      <c r="T163" s="67" t="s">
        <v>69</v>
      </c>
      <c r="U163" s="73"/>
      <c r="V163" s="73"/>
      <c r="W163" s="68"/>
      <c r="X163" s="67" t="s">
        <v>69</v>
      </c>
      <c r="Y163" s="73"/>
      <c r="Z163" s="73"/>
      <c r="AA163" s="68"/>
      <c r="AB163" s="67" t="s">
        <v>69</v>
      </c>
      <c r="AC163" s="73"/>
      <c r="AD163" s="73"/>
      <c r="AE163" s="68"/>
      <c r="AF163" s="67" t="s">
        <v>69</v>
      </c>
      <c r="AG163" s="73"/>
      <c r="AH163" s="73"/>
      <c r="AI163" s="68"/>
      <c r="AJ163" s="67" t="s">
        <v>69</v>
      </c>
      <c r="AK163" s="73"/>
      <c r="AL163" s="73"/>
      <c r="AM163" s="68"/>
      <c r="AN163" s="67">
        <f t="shared" si="139"/>
        <v>100</v>
      </c>
      <c r="AO163" s="68" t="str">
        <f t="shared" si="140"/>
        <v>S</v>
      </c>
      <c r="AR163" s="49">
        <f t="shared" si="41"/>
        <v>1</v>
      </c>
      <c r="AS163" s="49">
        <f t="shared" si="42"/>
        <v>0</v>
      </c>
      <c r="AT163" s="49">
        <f t="shared" si="43"/>
        <v>0</v>
      </c>
      <c r="AU163" s="49">
        <f t="shared" si="44"/>
        <v>0</v>
      </c>
      <c r="AV163" s="49">
        <f t="shared" si="45"/>
        <v>1</v>
      </c>
      <c r="AW163" s="49">
        <f t="shared" si="46"/>
        <v>0</v>
      </c>
      <c r="AX163" s="49">
        <f t="shared" si="47"/>
        <v>0</v>
      </c>
      <c r="AY163" s="49">
        <f t="shared" si="48"/>
        <v>0</v>
      </c>
      <c r="AZ163" s="49">
        <f t="shared" si="49"/>
        <v>1</v>
      </c>
      <c r="BA163" s="49">
        <f t="shared" si="50"/>
        <v>0</v>
      </c>
      <c r="BB163" s="49">
        <f t="shared" si="51"/>
        <v>0</v>
      </c>
      <c r="BC163" s="49">
        <f t="shared" si="52"/>
        <v>0</v>
      </c>
      <c r="BD163" s="49">
        <f t="shared" si="53"/>
        <v>1</v>
      </c>
      <c r="BE163" s="49">
        <f t="shared" si="54"/>
        <v>0</v>
      </c>
      <c r="BF163" s="49">
        <f t="shared" si="55"/>
        <v>0</v>
      </c>
      <c r="BG163" s="49">
        <f t="shared" si="56"/>
        <v>0</v>
      </c>
      <c r="BH163" s="49">
        <f t="shared" si="57"/>
        <v>1</v>
      </c>
      <c r="BI163" s="49">
        <f t="shared" si="58"/>
        <v>0</v>
      </c>
      <c r="BJ163" s="49">
        <f t="shared" si="59"/>
        <v>0</v>
      </c>
      <c r="BK163" s="49">
        <f t="shared" si="60"/>
        <v>0</v>
      </c>
      <c r="BL163" s="49">
        <f t="shared" si="61"/>
        <v>1</v>
      </c>
      <c r="BM163" s="49">
        <f t="shared" si="62"/>
        <v>0</v>
      </c>
      <c r="BN163" s="49">
        <f t="shared" si="63"/>
        <v>0</v>
      </c>
      <c r="BO163" s="49">
        <f t="shared" si="64"/>
        <v>0</v>
      </c>
      <c r="BP163" s="49">
        <f t="shared" si="65"/>
        <v>1</v>
      </c>
      <c r="BQ163" s="49">
        <f t="shared" si="66"/>
        <v>0</v>
      </c>
      <c r="BR163" s="49">
        <f t="shared" si="67"/>
        <v>0</v>
      </c>
      <c r="BS163" s="49">
        <f t="shared" si="68"/>
        <v>0</v>
      </c>
      <c r="BT163" s="49">
        <f t="shared" si="69"/>
        <v>1</v>
      </c>
      <c r="BU163" s="49">
        <f t="shared" si="70"/>
        <v>0</v>
      </c>
      <c r="BV163" s="49">
        <f t="shared" si="71"/>
        <v>0</v>
      </c>
      <c r="BW163" s="49">
        <f t="shared" si="72"/>
        <v>0</v>
      </c>
    </row>
    <row r="164" spans="1:75" ht="35.1" customHeight="1" x14ac:dyDescent="0.3">
      <c r="A164" s="123" t="str">
        <f t="shared" si="137"/>
        <v>2팀</v>
      </c>
      <c r="B164" s="69">
        <f t="shared" si="138"/>
        <v>158</v>
      </c>
      <c r="C164" s="121" t="str">
        <f>IF(VLOOKUP($B164,'1. 현장별 인원현황'!$C:$J,2,0)=0,"",VLOOKUP($B164,'1. 현장별 인원현황'!$C:$J,2,0))</f>
        <v xml:space="preserve"> [2.금호건설] 대웅제약 마곡연구소 신축공사</v>
      </c>
      <c r="D164" s="74" t="str">
        <f>IF(VLOOKUP($B164,'1. 현장별 인원현황'!$C:$J,3,0)=0,"",VLOOKUP($B164,'1. 현장별 인원현황'!$C:$J,3,0))</f>
        <v>손병태</v>
      </c>
      <c r="E164" s="74" t="str">
        <f ca="1">IF(VLOOKUP($B164,'1. 현장별 인원현황'!$C:$J,4,0)=0,"",VLOOKUP($B164,'1. 현장별 인원현황'!$C:$J,4,0))</f>
        <v>57세</v>
      </c>
      <c r="F164" s="70" t="str">
        <f>IF(VLOOKUP($B164,'1. 현장별 인원현황'!$C:$J,7,0)=0,"",VLOOKUP($B164,'1. 현장별 인원현황'!$C:$J,7,0))</f>
        <v>기능공</v>
      </c>
      <c r="G164" s="72" t="str">
        <f>IF(VLOOKUP($B164,'1. 현장별 인원현황'!$C:$J,8,0)=0,"",VLOOKUP($B164,'1. 현장별 인원현황'!$C:$J,8,0))</f>
        <v>전공</v>
      </c>
      <c r="H164" s="67" t="s">
        <v>69</v>
      </c>
      <c r="I164" s="73"/>
      <c r="J164" s="73"/>
      <c r="K164" s="68"/>
      <c r="L164" s="67" t="s">
        <v>69</v>
      </c>
      <c r="M164" s="73"/>
      <c r="N164" s="73"/>
      <c r="O164" s="68"/>
      <c r="P164" s="67" t="s">
        <v>69</v>
      </c>
      <c r="Q164" s="73"/>
      <c r="R164" s="73"/>
      <c r="S164" s="68"/>
      <c r="T164" s="67" t="s">
        <v>69</v>
      </c>
      <c r="U164" s="73"/>
      <c r="V164" s="73"/>
      <c r="W164" s="68"/>
      <c r="X164" s="67" t="s">
        <v>69</v>
      </c>
      <c r="Y164" s="73"/>
      <c r="Z164" s="73"/>
      <c r="AA164" s="68"/>
      <c r="AB164" s="67" t="s">
        <v>69</v>
      </c>
      <c r="AC164" s="73"/>
      <c r="AD164" s="73"/>
      <c r="AE164" s="68"/>
      <c r="AF164" s="67"/>
      <c r="AG164" s="73" t="s">
        <v>69</v>
      </c>
      <c r="AH164" s="73"/>
      <c r="AI164" s="68"/>
      <c r="AJ164" s="67" t="s">
        <v>69</v>
      </c>
      <c r="AK164" s="73"/>
      <c r="AL164" s="73"/>
      <c r="AM164" s="68"/>
      <c r="AN164" s="67">
        <f t="shared" si="139"/>
        <v>97</v>
      </c>
      <c r="AO164" s="68" t="str">
        <f t="shared" si="140"/>
        <v>S</v>
      </c>
      <c r="AR164" s="49">
        <f t="shared" ref="AR164:AR179" si="141">IF(H164&gt;0,1,0)</f>
        <v>1</v>
      </c>
      <c r="AS164" s="49">
        <f t="shared" ref="AS164:AS179" si="142">IF(I164&gt;0,1,0)</f>
        <v>0</v>
      </c>
      <c r="AT164" s="49">
        <f t="shared" ref="AT164:AT179" si="143">IF(J164&gt;0,1,0)</f>
        <v>0</v>
      </c>
      <c r="AU164" s="49">
        <f t="shared" ref="AU164:AU179" si="144">IF(K164&gt;0,1,0)</f>
        <v>0</v>
      </c>
      <c r="AV164" s="49">
        <f t="shared" ref="AV164:AV179" si="145">IF(L164&gt;0,1,0)</f>
        <v>1</v>
      </c>
      <c r="AW164" s="49">
        <f t="shared" ref="AW164:AW179" si="146">IF(M164&gt;0,1,0)</f>
        <v>0</v>
      </c>
      <c r="AX164" s="49">
        <f t="shared" ref="AX164:AX179" si="147">IF(N164&gt;0,1,0)</f>
        <v>0</v>
      </c>
      <c r="AY164" s="49">
        <f t="shared" ref="AY164:AY179" si="148">IF(O164&gt;0,1,0)</f>
        <v>0</v>
      </c>
      <c r="AZ164" s="49">
        <f t="shared" ref="AZ164:AZ179" si="149">IF(P164&gt;0,1,0)</f>
        <v>1</v>
      </c>
      <c r="BA164" s="49">
        <f t="shared" ref="BA164:BA179" si="150">IF(Q164&gt;0,1,0)</f>
        <v>0</v>
      </c>
      <c r="BB164" s="49">
        <f t="shared" ref="BB164:BB179" si="151">IF(R164&gt;0,1,0)</f>
        <v>0</v>
      </c>
      <c r="BC164" s="49">
        <f t="shared" ref="BC164:BC179" si="152">IF(S164&gt;0,1,0)</f>
        <v>0</v>
      </c>
      <c r="BD164" s="49">
        <f t="shared" ref="BD164:BD179" si="153">IF(T164&gt;0,1,0)</f>
        <v>1</v>
      </c>
      <c r="BE164" s="49">
        <f t="shared" ref="BE164:BE179" si="154">IF(U164&gt;0,1,0)</f>
        <v>0</v>
      </c>
      <c r="BF164" s="49">
        <f t="shared" ref="BF164:BF179" si="155">IF(V164&gt;0,1,0)</f>
        <v>0</v>
      </c>
      <c r="BG164" s="49">
        <f t="shared" ref="BG164:BG179" si="156">IF(W164&gt;0,1,0)</f>
        <v>0</v>
      </c>
      <c r="BH164" s="49">
        <f t="shared" ref="BH164:BH179" si="157">IF(X164&gt;0,1,0)</f>
        <v>1</v>
      </c>
      <c r="BI164" s="49">
        <f t="shared" ref="BI164:BI179" si="158">IF(Y164&gt;0,1,0)</f>
        <v>0</v>
      </c>
      <c r="BJ164" s="49">
        <f t="shared" ref="BJ164:BJ179" si="159">IF(Z164&gt;0,1,0)</f>
        <v>0</v>
      </c>
      <c r="BK164" s="49">
        <f t="shared" ref="BK164:BK179" si="160">IF(AA164&gt;0,1,0)</f>
        <v>0</v>
      </c>
      <c r="BL164" s="49">
        <f t="shared" ref="BL164:BL179" si="161">IF(AB164&gt;0,1,0)</f>
        <v>1</v>
      </c>
      <c r="BM164" s="49">
        <f t="shared" ref="BM164:BM179" si="162">IF(AC164&gt;0,1,0)</f>
        <v>0</v>
      </c>
      <c r="BN164" s="49">
        <f t="shared" ref="BN164:BN179" si="163">IF(AD164&gt;0,1,0)</f>
        <v>0</v>
      </c>
      <c r="BO164" s="49">
        <f t="shared" ref="BO164:BO179" si="164">IF(AE164&gt;0,1,0)</f>
        <v>0</v>
      </c>
      <c r="BP164" s="49">
        <f t="shared" ref="BP164:BP179" si="165">IF(AF164&gt;0,1,0)</f>
        <v>0</v>
      </c>
      <c r="BQ164" s="49">
        <f t="shared" ref="BQ164:BQ179" si="166">IF(AG164&gt;0,1,0)</f>
        <v>1</v>
      </c>
      <c r="BR164" s="49">
        <f t="shared" ref="BR164:BR179" si="167">IF(AH164&gt;0,1,0)</f>
        <v>0</v>
      </c>
      <c r="BS164" s="49">
        <f t="shared" ref="BS164:BS179" si="168">IF(AI164&gt;0,1,0)</f>
        <v>0</v>
      </c>
      <c r="BT164" s="49">
        <f t="shared" ref="BT164:BT179" si="169">IF(AJ164&gt;0,1,0)</f>
        <v>1</v>
      </c>
      <c r="BU164" s="49">
        <f t="shared" ref="BU164:BU179" si="170">IF(AK164&gt;0,1,0)</f>
        <v>0</v>
      </c>
      <c r="BV164" s="49">
        <f t="shared" ref="BV164:BV179" si="171">IF(AL164&gt;0,1,0)</f>
        <v>0</v>
      </c>
      <c r="BW164" s="49">
        <f t="shared" ref="BW164:BW179" si="172">IF(AM164&gt;0,1,0)</f>
        <v>0</v>
      </c>
    </row>
    <row r="165" spans="1:75" ht="35.1" customHeight="1" x14ac:dyDescent="0.3">
      <c r="A165" s="123" t="str">
        <f t="shared" si="137"/>
        <v>2팀</v>
      </c>
      <c r="B165" s="69">
        <f t="shared" si="138"/>
        <v>159</v>
      </c>
      <c r="C165" s="121" t="str">
        <f>IF(VLOOKUP($B165,'1. 현장별 인원현황'!$C:$J,2,0)=0,"",VLOOKUP($B165,'1. 현장별 인원현황'!$C:$J,2,0))</f>
        <v xml:space="preserve"> [2.금호건설] 대웅제약 마곡연구소 신축공사</v>
      </c>
      <c r="D165" s="74" t="str">
        <f>IF(VLOOKUP($B165,'1. 현장별 인원현황'!$C:$J,3,0)=0,"",VLOOKUP($B165,'1. 현장별 인원현황'!$C:$J,3,0))</f>
        <v>박종찬</v>
      </c>
      <c r="E165" s="74" t="str">
        <f ca="1">IF(VLOOKUP($B165,'1. 현장별 인원현황'!$C:$J,4,0)=0,"",VLOOKUP($B165,'1. 현장별 인원현황'!$C:$J,4,0))</f>
        <v>57세</v>
      </c>
      <c r="F165" s="70" t="str">
        <f>IF(VLOOKUP($B165,'1. 현장별 인원현황'!$C:$J,7,0)=0,"",VLOOKUP($B165,'1. 현장별 인원현황'!$C:$J,7,0))</f>
        <v>기능공</v>
      </c>
      <c r="G165" s="72" t="str">
        <f>IF(VLOOKUP($B165,'1. 현장별 인원현황'!$C:$J,8,0)=0,"",VLOOKUP($B165,'1. 현장별 인원현황'!$C:$J,8,0))</f>
        <v>전공</v>
      </c>
      <c r="H165" s="67" t="s">
        <v>69</v>
      </c>
      <c r="I165" s="73"/>
      <c r="J165" s="73"/>
      <c r="K165" s="68"/>
      <c r="L165" s="67" t="s">
        <v>69</v>
      </c>
      <c r="M165" s="73"/>
      <c r="N165" s="73"/>
      <c r="O165" s="68"/>
      <c r="P165" s="67" t="s">
        <v>69</v>
      </c>
      <c r="Q165" s="73"/>
      <c r="R165" s="73"/>
      <c r="S165" s="68"/>
      <c r="T165" s="67" t="s">
        <v>69</v>
      </c>
      <c r="U165" s="73"/>
      <c r="V165" s="73"/>
      <c r="W165" s="68"/>
      <c r="X165" s="67" t="s">
        <v>69</v>
      </c>
      <c r="Y165" s="73"/>
      <c r="Z165" s="73"/>
      <c r="AA165" s="68"/>
      <c r="AB165" s="67" t="s">
        <v>69</v>
      </c>
      <c r="AC165" s="73"/>
      <c r="AD165" s="73"/>
      <c r="AE165" s="68"/>
      <c r="AF165" s="67"/>
      <c r="AG165" s="73" t="s">
        <v>69</v>
      </c>
      <c r="AH165" s="73"/>
      <c r="AI165" s="68"/>
      <c r="AJ165" s="67" t="s">
        <v>69</v>
      </c>
      <c r="AK165" s="73"/>
      <c r="AL165" s="73"/>
      <c r="AM165" s="68"/>
      <c r="AN165" s="67">
        <f t="shared" si="139"/>
        <v>97</v>
      </c>
      <c r="AO165" s="68" t="str">
        <f t="shared" si="140"/>
        <v>S</v>
      </c>
      <c r="AR165" s="49">
        <f t="shared" si="141"/>
        <v>1</v>
      </c>
      <c r="AS165" s="49">
        <f t="shared" si="142"/>
        <v>0</v>
      </c>
      <c r="AT165" s="49">
        <f t="shared" si="143"/>
        <v>0</v>
      </c>
      <c r="AU165" s="49">
        <f t="shared" si="144"/>
        <v>0</v>
      </c>
      <c r="AV165" s="49">
        <f t="shared" si="145"/>
        <v>1</v>
      </c>
      <c r="AW165" s="49">
        <f t="shared" si="146"/>
        <v>0</v>
      </c>
      <c r="AX165" s="49">
        <f t="shared" si="147"/>
        <v>0</v>
      </c>
      <c r="AY165" s="49">
        <f t="shared" si="148"/>
        <v>0</v>
      </c>
      <c r="AZ165" s="49">
        <f t="shared" si="149"/>
        <v>1</v>
      </c>
      <c r="BA165" s="49">
        <f t="shared" si="150"/>
        <v>0</v>
      </c>
      <c r="BB165" s="49">
        <f t="shared" si="151"/>
        <v>0</v>
      </c>
      <c r="BC165" s="49">
        <f t="shared" si="152"/>
        <v>0</v>
      </c>
      <c r="BD165" s="49">
        <f t="shared" si="153"/>
        <v>1</v>
      </c>
      <c r="BE165" s="49">
        <f t="shared" si="154"/>
        <v>0</v>
      </c>
      <c r="BF165" s="49">
        <f t="shared" si="155"/>
        <v>0</v>
      </c>
      <c r="BG165" s="49">
        <f t="shared" si="156"/>
        <v>0</v>
      </c>
      <c r="BH165" s="49">
        <f t="shared" si="157"/>
        <v>1</v>
      </c>
      <c r="BI165" s="49">
        <f t="shared" si="158"/>
        <v>0</v>
      </c>
      <c r="BJ165" s="49">
        <f t="shared" si="159"/>
        <v>0</v>
      </c>
      <c r="BK165" s="49">
        <f t="shared" si="160"/>
        <v>0</v>
      </c>
      <c r="BL165" s="49">
        <f t="shared" si="161"/>
        <v>1</v>
      </c>
      <c r="BM165" s="49">
        <f t="shared" si="162"/>
        <v>0</v>
      </c>
      <c r="BN165" s="49">
        <f t="shared" si="163"/>
        <v>0</v>
      </c>
      <c r="BO165" s="49">
        <f t="shared" si="164"/>
        <v>0</v>
      </c>
      <c r="BP165" s="49">
        <f t="shared" si="165"/>
        <v>0</v>
      </c>
      <c r="BQ165" s="49">
        <f t="shared" si="166"/>
        <v>1</v>
      </c>
      <c r="BR165" s="49">
        <f t="shared" si="167"/>
        <v>0</v>
      </c>
      <c r="BS165" s="49">
        <f t="shared" si="168"/>
        <v>0</v>
      </c>
      <c r="BT165" s="49">
        <f t="shared" si="169"/>
        <v>1</v>
      </c>
      <c r="BU165" s="49">
        <f t="shared" si="170"/>
        <v>0</v>
      </c>
      <c r="BV165" s="49">
        <f t="shared" si="171"/>
        <v>0</v>
      </c>
      <c r="BW165" s="49">
        <f t="shared" si="172"/>
        <v>0</v>
      </c>
    </row>
    <row r="166" spans="1:75" ht="35.1" customHeight="1" x14ac:dyDescent="0.3">
      <c r="A166" s="123" t="str">
        <f t="shared" si="137"/>
        <v>2팀</v>
      </c>
      <c r="B166" s="69">
        <f t="shared" si="138"/>
        <v>160</v>
      </c>
      <c r="C166" s="121" t="str">
        <f>IF(VLOOKUP($B166,'1. 현장별 인원현황'!$C:$J,2,0)=0,"",VLOOKUP($B166,'1. 현장별 인원현황'!$C:$J,2,0))</f>
        <v xml:space="preserve"> [2.금호건설] 대웅제약 마곡연구소 신축공사</v>
      </c>
      <c r="D166" s="74" t="str">
        <f>IF(VLOOKUP($B166,'1. 현장별 인원현황'!$C:$J,3,0)=0,"",VLOOKUP($B166,'1. 현장별 인원현황'!$C:$J,3,0))</f>
        <v>박해웅</v>
      </c>
      <c r="E166" s="74" t="str">
        <f ca="1">IF(VLOOKUP($B166,'1. 현장별 인원현황'!$C:$J,4,0)=0,"",VLOOKUP($B166,'1. 현장별 인원현황'!$C:$J,4,0))</f>
        <v>58세</v>
      </c>
      <c r="F166" s="70" t="str">
        <f>IF(VLOOKUP($B166,'1. 현장별 인원현황'!$C:$J,7,0)=0,"",VLOOKUP($B166,'1. 현장별 인원현황'!$C:$J,7,0))</f>
        <v>기능공</v>
      </c>
      <c r="G166" s="72" t="str">
        <f>IF(VLOOKUP($B166,'1. 현장별 인원현황'!$C:$J,8,0)=0,"",VLOOKUP($B166,'1. 현장별 인원현황'!$C:$J,8,0))</f>
        <v>전공</v>
      </c>
      <c r="H166" s="67" t="s">
        <v>69</v>
      </c>
      <c r="I166" s="73"/>
      <c r="J166" s="73"/>
      <c r="K166" s="68"/>
      <c r="L166" s="67" t="s">
        <v>69</v>
      </c>
      <c r="M166" s="73"/>
      <c r="N166" s="73"/>
      <c r="O166" s="68"/>
      <c r="P166" s="67" t="s">
        <v>69</v>
      </c>
      <c r="Q166" s="73"/>
      <c r="R166" s="73"/>
      <c r="S166" s="68"/>
      <c r="T166" s="67" t="s">
        <v>69</v>
      </c>
      <c r="U166" s="73"/>
      <c r="V166" s="73"/>
      <c r="W166" s="68"/>
      <c r="X166" s="67" t="s">
        <v>69</v>
      </c>
      <c r="Y166" s="73"/>
      <c r="Z166" s="73"/>
      <c r="AA166" s="68"/>
      <c r="AB166" s="67" t="s">
        <v>69</v>
      </c>
      <c r="AC166" s="73"/>
      <c r="AD166" s="73"/>
      <c r="AE166" s="68"/>
      <c r="AF166" s="67" t="s">
        <v>69</v>
      </c>
      <c r="AG166" s="73"/>
      <c r="AH166" s="73"/>
      <c r="AI166" s="68"/>
      <c r="AJ166" s="67" t="s">
        <v>69</v>
      </c>
      <c r="AK166" s="73"/>
      <c r="AL166" s="73"/>
      <c r="AM166" s="68"/>
      <c r="AN166" s="67">
        <f t="shared" si="139"/>
        <v>100</v>
      </c>
      <c r="AO166" s="68" t="str">
        <f t="shared" si="140"/>
        <v>S</v>
      </c>
      <c r="AR166" s="49">
        <f t="shared" si="141"/>
        <v>1</v>
      </c>
      <c r="AS166" s="49">
        <f t="shared" si="142"/>
        <v>0</v>
      </c>
      <c r="AT166" s="49">
        <f t="shared" si="143"/>
        <v>0</v>
      </c>
      <c r="AU166" s="49">
        <f t="shared" si="144"/>
        <v>0</v>
      </c>
      <c r="AV166" s="49">
        <f t="shared" si="145"/>
        <v>1</v>
      </c>
      <c r="AW166" s="49">
        <f t="shared" si="146"/>
        <v>0</v>
      </c>
      <c r="AX166" s="49">
        <f t="shared" si="147"/>
        <v>0</v>
      </c>
      <c r="AY166" s="49">
        <f t="shared" si="148"/>
        <v>0</v>
      </c>
      <c r="AZ166" s="49">
        <f t="shared" si="149"/>
        <v>1</v>
      </c>
      <c r="BA166" s="49">
        <f t="shared" si="150"/>
        <v>0</v>
      </c>
      <c r="BB166" s="49">
        <f t="shared" si="151"/>
        <v>0</v>
      </c>
      <c r="BC166" s="49">
        <f t="shared" si="152"/>
        <v>0</v>
      </c>
      <c r="BD166" s="49">
        <f t="shared" si="153"/>
        <v>1</v>
      </c>
      <c r="BE166" s="49">
        <f t="shared" si="154"/>
        <v>0</v>
      </c>
      <c r="BF166" s="49">
        <f t="shared" si="155"/>
        <v>0</v>
      </c>
      <c r="BG166" s="49">
        <f t="shared" si="156"/>
        <v>0</v>
      </c>
      <c r="BH166" s="49">
        <f t="shared" si="157"/>
        <v>1</v>
      </c>
      <c r="BI166" s="49">
        <f t="shared" si="158"/>
        <v>0</v>
      </c>
      <c r="BJ166" s="49">
        <f t="shared" si="159"/>
        <v>0</v>
      </c>
      <c r="BK166" s="49">
        <f t="shared" si="160"/>
        <v>0</v>
      </c>
      <c r="BL166" s="49">
        <f t="shared" si="161"/>
        <v>1</v>
      </c>
      <c r="BM166" s="49">
        <f t="shared" si="162"/>
        <v>0</v>
      </c>
      <c r="BN166" s="49">
        <f t="shared" si="163"/>
        <v>0</v>
      </c>
      <c r="BO166" s="49">
        <f t="shared" si="164"/>
        <v>0</v>
      </c>
      <c r="BP166" s="49">
        <f t="shared" si="165"/>
        <v>1</v>
      </c>
      <c r="BQ166" s="49">
        <f t="shared" si="166"/>
        <v>0</v>
      </c>
      <c r="BR166" s="49">
        <f t="shared" si="167"/>
        <v>0</v>
      </c>
      <c r="BS166" s="49">
        <f t="shared" si="168"/>
        <v>0</v>
      </c>
      <c r="BT166" s="49">
        <f t="shared" si="169"/>
        <v>1</v>
      </c>
      <c r="BU166" s="49">
        <f t="shared" si="170"/>
        <v>0</v>
      </c>
      <c r="BV166" s="49">
        <f t="shared" si="171"/>
        <v>0</v>
      </c>
      <c r="BW166" s="49">
        <f t="shared" si="172"/>
        <v>0</v>
      </c>
    </row>
    <row r="167" spans="1:75" ht="35.1" customHeight="1" x14ac:dyDescent="0.3">
      <c r="A167" s="123" t="str">
        <f t="shared" si="137"/>
        <v>2팀</v>
      </c>
      <c r="B167" s="69">
        <f t="shared" si="138"/>
        <v>161</v>
      </c>
      <c r="C167" s="121" t="str">
        <f>IF(VLOOKUP($B167,'1. 현장별 인원현황'!$C:$J,2,0)=0,"",VLOOKUP($B167,'1. 현장별 인원현황'!$C:$J,2,0))</f>
        <v xml:space="preserve"> [2.금호건설] 대웅제약 마곡연구소 신축공사</v>
      </c>
      <c r="D167" s="74" t="str">
        <f>IF(VLOOKUP($B167,'1. 현장별 인원현황'!$C:$J,3,0)=0,"",VLOOKUP($B167,'1. 현장별 인원현황'!$C:$J,3,0))</f>
        <v>이학운</v>
      </c>
      <c r="E167" s="74" t="str">
        <f ca="1">IF(VLOOKUP($B167,'1. 현장별 인원현황'!$C:$J,4,0)=0,"",VLOOKUP($B167,'1. 현장별 인원현황'!$C:$J,4,0))</f>
        <v>55세</v>
      </c>
      <c r="F167" s="70" t="str">
        <f>IF(VLOOKUP($B167,'1. 현장별 인원현황'!$C:$J,7,0)=0,"",VLOOKUP($B167,'1. 현장별 인원현황'!$C:$J,7,0))</f>
        <v>기능공</v>
      </c>
      <c r="G167" s="72" t="str">
        <f>IF(VLOOKUP($B167,'1. 현장별 인원현황'!$C:$J,8,0)=0,"",VLOOKUP($B167,'1. 현장별 인원현황'!$C:$J,8,0))</f>
        <v>전공</v>
      </c>
      <c r="H167" s="67" t="s">
        <v>69</v>
      </c>
      <c r="I167" s="73"/>
      <c r="J167" s="73"/>
      <c r="K167" s="68"/>
      <c r="L167" s="67" t="s">
        <v>69</v>
      </c>
      <c r="M167" s="73"/>
      <c r="N167" s="73"/>
      <c r="O167" s="68"/>
      <c r="P167" s="67" t="s">
        <v>69</v>
      </c>
      <c r="Q167" s="73"/>
      <c r="R167" s="73"/>
      <c r="S167" s="68"/>
      <c r="T167" s="67" t="s">
        <v>69</v>
      </c>
      <c r="U167" s="73"/>
      <c r="V167" s="73"/>
      <c r="W167" s="68"/>
      <c r="X167" s="67" t="s">
        <v>69</v>
      </c>
      <c r="Y167" s="73"/>
      <c r="Z167" s="73"/>
      <c r="AA167" s="68"/>
      <c r="AB167" s="67" t="s">
        <v>69</v>
      </c>
      <c r="AC167" s="73"/>
      <c r="AD167" s="73"/>
      <c r="AE167" s="68"/>
      <c r="AF167" s="67"/>
      <c r="AG167" s="73" t="s">
        <v>69</v>
      </c>
      <c r="AH167" s="73"/>
      <c r="AI167" s="68"/>
      <c r="AJ167" s="67" t="s">
        <v>69</v>
      </c>
      <c r="AK167" s="73"/>
      <c r="AL167" s="73"/>
      <c r="AM167" s="68"/>
      <c r="AN167" s="67">
        <f t="shared" si="139"/>
        <v>97</v>
      </c>
      <c r="AO167" s="68" t="str">
        <f t="shared" si="140"/>
        <v>S</v>
      </c>
      <c r="AR167" s="49">
        <f t="shared" si="141"/>
        <v>1</v>
      </c>
      <c r="AS167" s="49">
        <f t="shared" si="142"/>
        <v>0</v>
      </c>
      <c r="AT167" s="49">
        <f t="shared" si="143"/>
        <v>0</v>
      </c>
      <c r="AU167" s="49">
        <f t="shared" si="144"/>
        <v>0</v>
      </c>
      <c r="AV167" s="49">
        <f t="shared" si="145"/>
        <v>1</v>
      </c>
      <c r="AW167" s="49">
        <f t="shared" si="146"/>
        <v>0</v>
      </c>
      <c r="AX167" s="49">
        <f t="shared" si="147"/>
        <v>0</v>
      </c>
      <c r="AY167" s="49">
        <f t="shared" si="148"/>
        <v>0</v>
      </c>
      <c r="AZ167" s="49">
        <f t="shared" si="149"/>
        <v>1</v>
      </c>
      <c r="BA167" s="49">
        <f t="shared" si="150"/>
        <v>0</v>
      </c>
      <c r="BB167" s="49">
        <f t="shared" si="151"/>
        <v>0</v>
      </c>
      <c r="BC167" s="49">
        <f t="shared" si="152"/>
        <v>0</v>
      </c>
      <c r="BD167" s="49">
        <f t="shared" si="153"/>
        <v>1</v>
      </c>
      <c r="BE167" s="49">
        <f t="shared" si="154"/>
        <v>0</v>
      </c>
      <c r="BF167" s="49">
        <f t="shared" si="155"/>
        <v>0</v>
      </c>
      <c r="BG167" s="49">
        <f t="shared" si="156"/>
        <v>0</v>
      </c>
      <c r="BH167" s="49">
        <f t="shared" si="157"/>
        <v>1</v>
      </c>
      <c r="BI167" s="49">
        <f t="shared" si="158"/>
        <v>0</v>
      </c>
      <c r="BJ167" s="49">
        <f t="shared" si="159"/>
        <v>0</v>
      </c>
      <c r="BK167" s="49">
        <f t="shared" si="160"/>
        <v>0</v>
      </c>
      <c r="BL167" s="49">
        <f t="shared" si="161"/>
        <v>1</v>
      </c>
      <c r="BM167" s="49">
        <f t="shared" si="162"/>
        <v>0</v>
      </c>
      <c r="BN167" s="49">
        <f t="shared" si="163"/>
        <v>0</v>
      </c>
      <c r="BO167" s="49">
        <f t="shared" si="164"/>
        <v>0</v>
      </c>
      <c r="BP167" s="49">
        <f t="shared" si="165"/>
        <v>0</v>
      </c>
      <c r="BQ167" s="49">
        <f t="shared" si="166"/>
        <v>1</v>
      </c>
      <c r="BR167" s="49">
        <f t="shared" si="167"/>
        <v>0</v>
      </c>
      <c r="BS167" s="49">
        <f t="shared" si="168"/>
        <v>0</v>
      </c>
      <c r="BT167" s="49">
        <f t="shared" si="169"/>
        <v>1</v>
      </c>
      <c r="BU167" s="49">
        <f t="shared" si="170"/>
        <v>0</v>
      </c>
      <c r="BV167" s="49">
        <f t="shared" si="171"/>
        <v>0</v>
      </c>
      <c r="BW167" s="49">
        <f t="shared" si="172"/>
        <v>0</v>
      </c>
    </row>
    <row r="168" spans="1:75" ht="35.1" customHeight="1" x14ac:dyDescent="0.3">
      <c r="A168" s="123" t="str">
        <f t="shared" si="137"/>
        <v>2팀</v>
      </c>
      <c r="B168" s="69">
        <f t="shared" si="138"/>
        <v>162</v>
      </c>
      <c r="C168" s="121" t="str">
        <f>IF(VLOOKUP($B168,'1. 현장별 인원현황'!$C:$J,2,0)=0,"",VLOOKUP($B168,'1. 현장별 인원현황'!$C:$J,2,0))</f>
        <v xml:space="preserve"> [2.금호건설] 대웅제약 마곡연구소 신축공사</v>
      </c>
      <c r="D168" s="74" t="str">
        <f>IF(VLOOKUP($B168,'1. 현장별 인원현황'!$C:$J,3,0)=0,"",VLOOKUP($B168,'1. 현장별 인원현황'!$C:$J,3,0))</f>
        <v>김선규</v>
      </c>
      <c r="E168" s="74" t="str">
        <f ca="1">IF(VLOOKUP($B168,'1. 현장별 인원현황'!$C:$J,4,0)=0,"",VLOOKUP($B168,'1. 현장별 인원현황'!$C:$J,4,0))</f>
        <v>34세</v>
      </c>
      <c r="F168" s="70" t="str">
        <f>IF(VLOOKUP($B168,'1. 현장별 인원현황'!$C:$J,7,0)=0,"",VLOOKUP($B168,'1. 현장별 인원현황'!$C:$J,7,0))</f>
        <v>기능공</v>
      </c>
      <c r="G168" s="72" t="str">
        <f>IF(VLOOKUP($B168,'1. 현장별 인원현황'!$C:$J,8,0)=0,"",VLOOKUP($B168,'1. 현장별 인원현황'!$C:$J,8,0))</f>
        <v>조공</v>
      </c>
      <c r="H168" s="67" t="s">
        <v>69</v>
      </c>
      <c r="I168" s="73"/>
      <c r="J168" s="73"/>
      <c r="K168" s="68"/>
      <c r="L168" s="67" t="s">
        <v>69</v>
      </c>
      <c r="M168" s="73"/>
      <c r="N168" s="73"/>
      <c r="O168" s="68"/>
      <c r="P168" s="67" t="s">
        <v>69</v>
      </c>
      <c r="Q168" s="73"/>
      <c r="R168" s="73"/>
      <c r="S168" s="68"/>
      <c r="T168" s="67" t="s">
        <v>69</v>
      </c>
      <c r="U168" s="73"/>
      <c r="V168" s="73"/>
      <c r="W168" s="68"/>
      <c r="X168" s="67" t="s">
        <v>69</v>
      </c>
      <c r="Y168" s="73"/>
      <c r="Z168" s="73"/>
      <c r="AA168" s="68"/>
      <c r="AB168" s="67" t="s">
        <v>69</v>
      </c>
      <c r="AC168" s="73"/>
      <c r="AD168" s="73"/>
      <c r="AE168" s="68"/>
      <c r="AF168" s="67" t="s">
        <v>69</v>
      </c>
      <c r="AG168" s="73"/>
      <c r="AH168" s="73"/>
      <c r="AI168" s="68"/>
      <c r="AJ168" s="67" t="s">
        <v>69</v>
      </c>
      <c r="AK168" s="73"/>
      <c r="AL168" s="73"/>
      <c r="AM168" s="68"/>
      <c r="AN168" s="67">
        <f t="shared" si="139"/>
        <v>100</v>
      </c>
      <c r="AO168" s="68" t="str">
        <f t="shared" si="140"/>
        <v>S</v>
      </c>
      <c r="AR168" s="49">
        <f t="shared" si="141"/>
        <v>1</v>
      </c>
      <c r="AS168" s="49">
        <f t="shared" si="142"/>
        <v>0</v>
      </c>
      <c r="AT168" s="49">
        <f t="shared" si="143"/>
        <v>0</v>
      </c>
      <c r="AU168" s="49">
        <f t="shared" si="144"/>
        <v>0</v>
      </c>
      <c r="AV168" s="49">
        <f t="shared" si="145"/>
        <v>1</v>
      </c>
      <c r="AW168" s="49">
        <f t="shared" si="146"/>
        <v>0</v>
      </c>
      <c r="AX168" s="49">
        <f t="shared" si="147"/>
        <v>0</v>
      </c>
      <c r="AY168" s="49">
        <f t="shared" si="148"/>
        <v>0</v>
      </c>
      <c r="AZ168" s="49">
        <f t="shared" si="149"/>
        <v>1</v>
      </c>
      <c r="BA168" s="49">
        <f t="shared" si="150"/>
        <v>0</v>
      </c>
      <c r="BB168" s="49">
        <f t="shared" si="151"/>
        <v>0</v>
      </c>
      <c r="BC168" s="49">
        <f t="shared" si="152"/>
        <v>0</v>
      </c>
      <c r="BD168" s="49">
        <f t="shared" si="153"/>
        <v>1</v>
      </c>
      <c r="BE168" s="49">
        <f t="shared" si="154"/>
        <v>0</v>
      </c>
      <c r="BF168" s="49">
        <f t="shared" si="155"/>
        <v>0</v>
      </c>
      <c r="BG168" s="49">
        <f t="shared" si="156"/>
        <v>0</v>
      </c>
      <c r="BH168" s="49">
        <f t="shared" si="157"/>
        <v>1</v>
      </c>
      <c r="BI168" s="49">
        <f t="shared" si="158"/>
        <v>0</v>
      </c>
      <c r="BJ168" s="49">
        <f t="shared" si="159"/>
        <v>0</v>
      </c>
      <c r="BK168" s="49">
        <f t="shared" si="160"/>
        <v>0</v>
      </c>
      <c r="BL168" s="49">
        <f t="shared" si="161"/>
        <v>1</v>
      </c>
      <c r="BM168" s="49">
        <f t="shared" si="162"/>
        <v>0</v>
      </c>
      <c r="BN168" s="49">
        <f t="shared" si="163"/>
        <v>0</v>
      </c>
      <c r="BO168" s="49">
        <f t="shared" si="164"/>
        <v>0</v>
      </c>
      <c r="BP168" s="49">
        <f t="shared" si="165"/>
        <v>1</v>
      </c>
      <c r="BQ168" s="49">
        <f t="shared" si="166"/>
        <v>0</v>
      </c>
      <c r="BR168" s="49">
        <f t="shared" si="167"/>
        <v>0</v>
      </c>
      <c r="BS168" s="49">
        <f t="shared" si="168"/>
        <v>0</v>
      </c>
      <c r="BT168" s="49">
        <f t="shared" si="169"/>
        <v>1</v>
      </c>
      <c r="BU168" s="49">
        <f t="shared" si="170"/>
        <v>0</v>
      </c>
      <c r="BV168" s="49">
        <f t="shared" si="171"/>
        <v>0</v>
      </c>
      <c r="BW168" s="49">
        <f t="shared" si="172"/>
        <v>0</v>
      </c>
    </row>
    <row r="169" spans="1:75" ht="35.1" customHeight="1" x14ac:dyDescent="0.3">
      <c r="A169" s="123" t="str">
        <f t="shared" si="137"/>
        <v>2팀</v>
      </c>
      <c r="B169" s="69">
        <f t="shared" si="138"/>
        <v>163</v>
      </c>
      <c r="C169" s="121" t="str">
        <f>IF(VLOOKUP($B169,'1. 현장별 인원현황'!$C:$J,2,0)=0,"",VLOOKUP($B169,'1. 현장별 인원현황'!$C:$J,2,0))</f>
        <v xml:space="preserve"> [2.금호건설] 대웅제약 마곡연구소 신축공사</v>
      </c>
      <c r="D169" s="74" t="str">
        <f>IF(VLOOKUP($B169,'1. 현장별 인원현황'!$C:$J,3,0)=0,"",VLOOKUP($B169,'1. 현장별 인원현황'!$C:$J,3,0))</f>
        <v>김종만</v>
      </c>
      <c r="E169" s="74" t="str">
        <f ca="1">IF(VLOOKUP($B169,'1. 현장별 인원현황'!$C:$J,4,0)=0,"",VLOOKUP($B169,'1. 현장별 인원현황'!$C:$J,4,0))</f>
        <v>46세</v>
      </c>
      <c r="F169" s="70" t="str">
        <f>IF(VLOOKUP($B169,'1. 현장별 인원현황'!$C:$J,7,0)=0,"",VLOOKUP($B169,'1. 현장별 인원현황'!$C:$J,7,0))</f>
        <v>기능공</v>
      </c>
      <c r="G169" s="72" t="str">
        <f>IF(VLOOKUP($B169,'1. 현장별 인원현황'!$C:$J,8,0)=0,"",VLOOKUP($B169,'1. 현장별 인원현황'!$C:$J,8,0))</f>
        <v>전공</v>
      </c>
      <c r="H169" s="67" t="s">
        <v>69</v>
      </c>
      <c r="I169" s="73"/>
      <c r="J169" s="73"/>
      <c r="K169" s="68"/>
      <c r="L169" s="67" t="s">
        <v>69</v>
      </c>
      <c r="M169" s="73"/>
      <c r="N169" s="73"/>
      <c r="O169" s="68"/>
      <c r="P169" s="67" t="s">
        <v>69</v>
      </c>
      <c r="Q169" s="73"/>
      <c r="R169" s="73"/>
      <c r="S169" s="68"/>
      <c r="T169" s="67" t="s">
        <v>69</v>
      </c>
      <c r="U169" s="73"/>
      <c r="V169" s="73"/>
      <c r="W169" s="68"/>
      <c r="X169" s="67" t="s">
        <v>69</v>
      </c>
      <c r="Y169" s="73"/>
      <c r="Z169" s="73"/>
      <c r="AA169" s="68"/>
      <c r="AB169" s="67" t="s">
        <v>69</v>
      </c>
      <c r="AC169" s="73"/>
      <c r="AD169" s="73"/>
      <c r="AE169" s="68"/>
      <c r="AF169" s="67" t="s">
        <v>69</v>
      </c>
      <c r="AG169" s="73"/>
      <c r="AH169" s="73"/>
      <c r="AI169" s="68"/>
      <c r="AJ169" s="67" t="s">
        <v>69</v>
      </c>
      <c r="AK169" s="73"/>
      <c r="AL169" s="73"/>
      <c r="AM169" s="68"/>
      <c r="AN169" s="67">
        <f t="shared" si="139"/>
        <v>100</v>
      </c>
      <c r="AO169" s="68" t="str">
        <f t="shared" si="140"/>
        <v>S</v>
      </c>
      <c r="AR169" s="49">
        <f t="shared" si="141"/>
        <v>1</v>
      </c>
      <c r="AS169" s="49">
        <f t="shared" si="142"/>
        <v>0</v>
      </c>
      <c r="AT169" s="49">
        <f t="shared" si="143"/>
        <v>0</v>
      </c>
      <c r="AU169" s="49">
        <f t="shared" si="144"/>
        <v>0</v>
      </c>
      <c r="AV169" s="49">
        <f t="shared" si="145"/>
        <v>1</v>
      </c>
      <c r="AW169" s="49">
        <f t="shared" si="146"/>
        <v>0</v>
      </c>
      <c r="AX169" s="49">
        <f t="shared" si="147"/>
        <v>0</v>
      </c>
      <c r="AY169" s="49">
        <f t="shared" si="148"/>
        <v>0</v>
      </c>
      <c r="AZ169" s="49">
        <f t="shared" si="149"/>
        <v>1</v>
      </c>
      <c r="BA169" s="49">
        <f t="shared" si="150"/>
        <v>0</v>
      </c>
      <c r="BB169" s="49">
        <f t="shared" si="151"/>
        <v>0</v>
      </c>
      <c r="BC169" s="49">
        <f t="shared" si="152"/>
        <v>0</v>
      </c>
      <c r="BD169" s="49">
        <f t="shared" si="153"/>
        <v>1</v>
      </c>
      <c r="BE169" s="49">
        <f t="shared" si="154"/>
        <v>0</v>
      </c>
      <c r="BF169" s="49">
        <f t="shared" si="155"/>
        <v>0</v>
      </c>
      <c r="BG169" s="49">
        <f t="shared" si="156"/>
        <v>0</v>
      </c>
      <c r="BH169" s="49">
        <f t="shared" si="157"/>
        <v>1</v>
      </c>
      <c r="BI169" s="49">
        <f t="shared" si="158"/>
        <v>0</v>
      </c>
      <c r="BJ169" s="49">
        <f t="shared" si="159"/>
        <v>0</v>
      </c>
      <c r="BK169" s="49">
        <f t="shared" si="160"/>
        <v>0</v>
      </c>
      <c r="BL169" s="49">
        <f t="shared" si="161"/>
        <v>1</v>
      </c>
      <c r="BM169" s="49">
        <f t="shared" si="162"/>
        <v>0</v>
      </c>
      <c r="BN169" s="49">
        <f t="shared" si="163"/>
        <v>0</v>
      </c>
      <c r="BO169" s="49">
        <f t="shared" si="164"/>
        <v>0</v>
      </c>
      <c r="BP169" s="49">
        <f t="shared" si="165"/>
        <v>1</v>
      </c>
      <c r="BQ169" s="49">
        <f t="shared" si="166"/>
        <v>0</v>
      </c>
      <c r="BR169" s="49">
        <f t="shared" si="167"/>
        <v>0</v>
      </c>
      <c r="BS169" s="49">
        <f t="shared" si="168"/>
        <v>0</v>
      </c>
      <c r="BT169" s="49">
        <f t="shared" si="169"/>
        <v>1</v>
      </c>
      <c r="BU169" s="49">
        <f t="shared" si="170"/>
        <v>0</v>
      </c>
      <c r="BV169" s="49">
        <f t="shared" si="171"/>
        <v>0</v>
      </c>
      <c r="BW169" s="49">
        <f t="shared" si="172"/>
        <v>0</v>
      </c>
    </row>
    <row r="170" spans="1:75" ht="35.1" customHeight="1" x14ac:dyDescent="0.3">
      <c r="A170" s="123" t="str">
        <f t="shared" si="137"/>
        <v>2팀</v>
      </c>
      <c r="B170" s="69">
        <f t="shared" si="138"/>
        <v>164</v>
      </c>
      <c r="C170" s="121" t="str">
        <f>IF(VLOOKUP($B170,'1. 현장별 인원현황'!$C:$J,2,0)=0,"",VLOOKUP($B170,'1. 현장별 인원현황'!$C:$J,2,0))</f>
        <v xml:space="preserve"> [2.금호건설] 대웅제약 마곡연구소 신축공사</v>
      </c>
      <c r="D170" s="74" t="str">
        <f>IF(VLOOKUP($B170,'1. 현장별 인원현황'!$C:$J,3,0)=0,"",VLOOKUP($B170,'1. 현장별 인원현황'!$C:$J,3,0))</f>
        <v>안성현</v>
      </c>
      <c r="E170" s="74" t="str">
        <f ca="1">IF(VLOOKUP($B170,'1. 현장별 인원현황'!$C:$J,4,0)=0,"",VLOOKUP($B170,'1. 현장별 인원현황'!$C:$J,4,0))</f>
        <v>50세</v>
      </c>
      <c r="F170" s="70" t="str">
        <f>IF(VLOOKUP($B170,'1. 현장별 인원현황'!$C:$J,7,0)=0,"",VLOOKUP($B170,'1. 현장별 인원현황'!$C:$J,7,0))</f>
        <v>기능공</v>
      </c>
      <c r="G170" s="72" t="str">
        <f>IF(VLOOKUP($B170,'1. 현장별 인원현황'!$C:$J,8,0)=0,"",VLOOKUP($B170,'1. 현장별 인원현황'!$C:$J,8,0))</f>
        <v>전공</v>
      </c>
      <c r="H170" s="67" t="s">
        <v>69</v>
      </c>
      <c r="I170" s="73"/>
      <c r="J170" s="73"/>
      <c r="K170" s="68"/>
      <c r="L170" s="67" t="s">
        <v>69</v>
      </c>
      <c r="M170" s="73"/>
      <c r="N170" s="73"/>
      <c r="O170" s="68"/>
      <c r="P170" s="67" t="s">
        <v>69</v>
      </c>
      <c r="Q170" s="73"/>
      <c r="R170" s="73"/>
      <c r="S170" s="68"/>
      <c r="T170" s="67" t="s">
        <v>69</v>
      </c>
      <c r="U170" s="73"/>
      <c r="V170" s="73"/>
      <c r="W170" s="68"/>
      <c r="X170" s="67" t="s">
        <v>69</v>
      </c>
      <c r="Y170" s="73"/>
      <c r="Z170" s="73"/>
      <c r="AA170" s="68"/>
      <c r="AB170" s="67" t="s">
        <v>69</v>
      </c>
      <c r="AC170" s="73"/>
      <c r="AD170" s="73"/>
      <c r="AE170" s="68"/>
      <c r="AF170" s="67"/>
      <c r="AG170" s="73" t="s">
        <v>69</v>
      </c>
      <c r="AH170" s="73"/>
      <c r="AI170" s="68"/>
      <c r="AJ170" s="67" t="s">
        <v>69</v>
      </c>
      <c r="AK170" s="73"/>
      <c r="AL170" s="73"/>
      <c r="AM170" s="68"/>
      <c r="AN170" s="67">
        <f t="shared" si="139"/>
        <v>97</v>
      </c>
      <c r="AO170" s="68" t="str">
        <f t="shared" si="140"/>
        <v>S</v>
      </c>
      <c r="AR170" s="49">
        <f t="shared" si="141"/>
        <v>1</v>
      </c>
      <c r="AS170" s="49">
        <f t="shared" si="142"/>
        <v>0</v>
      </c>
      <c r="AT170" s="49">
        <f t="shared" si="143"/>
        <v>0</v>
      </c>
      <c r="AU170" s="49">
        <f t="shared" si="144"/>
        <v>0</v>
      </c>
      <c r="AV170" s="49">
        <f t="shared" si="145"/>
        <v>1</v>
      </c>
      <c r="AW170" s="49">
        <f t="shared" si="146"/>
        <v>0</v>
      </c>
      <c r="AX170" s="49">
        <f t="shared" si="147"/>
        <v>0</v>
      </c>
      <c r="AY170" s="49">
        <f t="shared" si="148"/>
        <v>0</v>
      </c>
      <c r="AZ170" s="49">
        <f t="shared" si="149"/>
        <v>1</v>
      </c>
      <c r="BA170" s="49">
        <f t="shared" si="150"/>
        <v>0</v>
      </c>
      <c r="BB170" s="49">
        <f t="shared" si="151"/>
        <v>0</v>
      </c>
      <c r="BC170" s="49">
        <f t="shared" si="152"/>
        <v>0</v>
      </c>
      <c r="BD170" s="49">
        <f t="shared" si="153"/>
        <v>1</v>
      </c>
      <c r="BE170" s="49">
        <f t="shared" si="154"/>
        <v>0</v>
      </c>
      <c r="BF170" s="49">
        <f t="shared" si="155"/>
        <v>0</v>
      </c>
      <c r="BG170" s="49">
        <f t="shared" si="156"/>
        <v>0</v>
      </c>
      <c r="BH170" s="49">
        <f t="shared" si="157"/>
        <v>1</v>
      </c>
      <c r="BI170" s="49">
        <f t="shared" si="158"/>
        <v>0</v>
      </c>
      <c r="BJ170" s="49">
        <f t="shared" si="159"/>
        <v>0</v>
      </c>
      <c r="BK170" s="49">
        <f t="shared" si="160"/>
        <v>0</v>
      </c>
      <c r="BL170" s="49">
        <f t="shared" si="161"/>
        <v>1</v>
      </c>
      <c r="BM170" s="49">
        <f t="shared" si="162"/>
        <v>0</v>
      </c>
      <c r="BN170" s="49">
        <f t="shared" si="163"/>
        <v>0</v>
      </c>
      <c r="BO170" s="49">
        <f t="shared" si="164"/>
        <v>0</v>
      </c>
      <c r="BP170" s="49">
        <f t="shared" si="165"/>
        <v>0</v>
      </c>
      <c r="BQ170" s="49">
        <f t="shared" si="166"/>
        <v>1</v>
      </c>
      <c r="BR170" s="49">
        <f t="shared" si="167"/>
        <v>0</v>
      </c>
      <c r="BS170" s="49">
        <f t="shared" si="168"/>
        <v>0</v>
      </c>
      <c r="BT170" s="49">
        <f t="shared" si="169"/>
        <v>1</v>
      </c>
      <c r="BU170" s="49">
        <f t="shared" si="170"/>
        <v>0</v>
      </c>
      <c r="BV170" s="49">
        <f t="shared" si="171"/>
        <v>0</v>
      </c>
      <c r="BW170" s="49">
        <f t="shared" si="172"/>
        <v>0</v>
      </c>
    </row>
    <row r="171" spans="1:75" ht="35.1" customHeight="1" x14ac:dyDescent="0.3">
      <c r="A171" s="123" t="str">
        <f t="shared" si="137"/>
        <v>2팀</v>
      </c>
      <c r="B171" s="69">
        <f t="shared" si="138"/>
        <v>165</v>
      </c>
      <c r="C171" s="121" t="str">
        <f>IF(VLOOKUP($B171,'1. 현장별 인원현황'!$C:$J,2,0)=0,"",VLOOKUP($B171,'1. 현장별 인원현황'!$C:$J,2,0))</f>
        <v xml:space="preserve"> [2.금호건설] 대웅제약 마곡연구소 신축공사</v>
      </c>
      <c r="D171" s="74" t="str">
        <f>IF(VLOOKUP($B171,'1. 현장별 인원현황'!$C:$J,3,0)=0,"",VLOOKUP($B171,'1. 현장별 인원현황'!$C:$J,3,0))</f>
        <v>박연수</v>
      </c>
      <c r="E171" s="74" t="str">
        <f ca="1">IF(VLOOKUP($B171,'1. 현장별 인원현황'!$C:$J,4,0)=0,"",VLOOKUP($B171,'1. 현장별 인원현황'!$C:$J,4,0))</f>
        <v>43세</v>
      </c>
      <c r="F171" s="70" t="str">
        <f>IF(VLOOKUP($B171,'1. 현장별 인원현황'!$C:$J,7,0)=0,"",VLOOKUP($B171,'1. 현장별 인원현황'!$C:$J,7,0))</f>
        <v>기능공</v>
      </c>
      <c r="G171" s="72" t="str">
        <f>IF(VLOOKUP($B171,'1. 현장별 인원현황'!$C:$J,8,0)=0,"",VLOOKUP($B171,'1. 현장별 인원현황'!$C:$J,8,0))</f>
        <v>전공</v>
      </c>
      <c r="H171" s="67" t="s">
        <v>69</v>
      </c>
      <c r="I171" s="73"/>
      <c r="J171" s="73"/>
      <c r="K171" s="68"/>
      <c r="L171" s="67" t="s">
        <v>69</v>
      </c>
      <c r="M171" s="73"/>
      <c r="N171" s="73"/>
      <c r="O171" s="68"/>
      <c r="P171" s="67" t="s">
        <v>69</v>
      </c>
      <c r="Q171" s="73"/>
      <c r="R171" s="73"/>
      <c r="S171" s="68"/>
      <c r="T171" s="67" t="s">
        <v>69</v>
      </c>
      <c r="U171" s="73"/>
      <c r="V171" s="73"/>
      <c r="W171" s="68"/>
      <c r="X171" s="67" t="s">
        <v>69</v>
      </c>
      <c r="Y171" s="73"/>
      <c r="Z171" s="73"/>
      <c r="AA171" s="68"/>
      <c r="AB171" s="67" t="s">
        <v>69</v>
      </c>
      <c r="AC171" s="73"/>
      <c r="AD171" s="73"/>
      <c r="AE171" s="68"/>
      <c r="AF171" s="67" t="s">
        <v>69</v>
      </c>
      <c r="AG171" s="73"/>
      <c r="AH171" s="73"/>
      <c r="AI171" s="68"/>
      <c r="AJ171" s="67" t="s">
        <v>69</v>
      </c>
      <c r="AK171" s="73"/>
      <c r="AL171" s="73"/>
      <c r="AM171" s="68"/>
      <c r="AN171" s="67">
        <f t="shared" si="139"/>
        <v>100</v>
      </c>
      <c r="AO171" s="68" t="str">
        <f t="shared" si="140"/>
        <v>S</v>
      </c>
      <c r="AR171" s="49">
        <f t="shared" si="141"/>
        <v>1</v>
      </c>
      <c r="AS171" s="49">
        <f t="shared" si="142"/>
        <v>0</v>
      </c>
      <c r="AT171" s="49">
        <f t="shared" si="143"/>
        <v>0</v>
      </c>
      <c r="AU171" s="49">
        <f t="shared" si="144"/>
        <v>0</v>
      </c>
      <c r="AV171" s="49">
        <f t="shared" si="145"/>
        <v>1</v>
      </c>
      <c r="AW171" s="49">
        <f t="shared" si="146"/>
        <v>0</v>
      </c>
      <c r="AX171" s="49">
        <f t="shared" si="147"/>
        <v>0</v>
      </c>
      <c r="AY171" s="49">
        <f t="shared" si="148"/>
        <v>0</v>
      </c>
      <c r="AZ171" s="49">
        <f t="shared" si="149"/>
        <v>1</v>
      </c>
      <c r="BA171" s="49">
        <f t="shared" si="150"/>
        <v>0</v>
      </c>
      <c r="BB171" s="49">
        <f t="shared" si="151"/>
        <v>0</v>
      </c>
      <c r="BC171" s="49">
        <f t="shared" si="152"/>
        <v>0</v>
      </c>
      <c r="BD171" s="49">
        <f t="shared" si="153"/>
        <v>1</v>
      </c>
      <c r="BE171" s="49">
        <f t="shared" si="154"/>
        <v>0</v>
      </c>
      <c r="BF171" s="49">
        <f t="shared" si="155"/>
        <v>0</v>
      </c>
      <c r="BG171" s="49">
        <f t="shared" si="156"/>
        <v>0</v>
      </c>
      <c r="BH171" s="49">
        <f t="shared" si="157"/>
        <v>1</v>
      </c>
      <c r="BI171" s="49">
        <f t="shared" si="158"/>
        <v>0</v>
      </c>
      <c r="BJ171" s="49">
        <f t="shared" si="159"/>
        <v>0</v>
      </c>
      <c r="BK171" s="49">
        <f t="shared" si="160"/>
        <v>0</v>
      </c>
      <c r="BL171" s="49">
        <f t="shared" si="161"/>
        <v>1</v>
      </c>
      <c r="BM171" s="49">
        <f t="shared" si="162"/>
        <v>0</v>
      </c>
      <c r="BN171" s="49">
        <f t="shared" si="163"/>
        <v>0</v>
      </c>
      <c r="BO171" s="49">
        <f t="shared" si="164"/>
        <v>0</v>
      </c>
      <c r="BP171" s="49">
        <f t="shared" si="165"/>
        <v>1</v>
      </c>
      <c r="BQ171" s="49">
        <f t="shared" si="166"/>
        <v>0</v>
      </c>
      <c r="BR171" s="49">
        <f t="shared" si="167"/>
        <v>0</v>
      </c>
      <c r="BS171" s="49">
        <f t="shared" si="168"/>
        <v>0</v>
      </c>
      <c r="BT171" s="49">
        <f t="shared" si="169"/>
        <v>1</v>
      </c>
      <c r="BU171" s="49">
        <f t="shared" si="170"/>
        <v>0</v>
      </c>
      <c r="BV171" s="49">
        <f t="shared" si="171"/>
        <v>0</v>
      </c>
      <c r="BW171" s="49">
        <f t="shared" si="172"/>
        <v>0</v>
      </c>
    </row>
    <row r="172" spans="1:75" ht="35.1" customHeight="1" x14ac:dyDescent="0.3">
      <c r="A172" s="123" t="str">
        <f t="shared" si="137"/>
        <v>2팀</v>
      </c>
      <c r="B172" s="69">
        <f t="shared" si="138"/>
        <v>166</v>
      </c>
      <c r="C172" s="121" t="str">
        <f>IF(VLOOKUP($B172,'1. 현장별 인원현황'!$C:$J,2,0)=0,"",VLOOKUP($B172,'1. 현장별 인원현황'!$C:$J,2,0))</f>
        <v xml:space="preserve"> [2.금호건설] 대웅제약 마곡연구소 신축공사</v>
      </c>
      <c r="D172" s="74" t="str">
        <f>IF(VLOOKUP($B172,'1. 현장별 인원현황'!$C:$J,3,0)=0,"",VLOOKUP($B172,'1. 현장별 인원현황'!$C:$J,3,0))</f>
        <v>이덕영</v>
      </c>
      <c r="E172" s="74" t="str">
        <f ca="1">IF(VLOOKUP($B172,'1. 현장별 인원현황'!$C:$J,4,0)=0,"",VLOOKUP($B172,'1. 현장별 인원현황'!$C:$J,4,0))</f>
        <v>61세</v>
      </c>
      <c r="F172" s="70" t="str">
        <f>IF(VLOOKUP($B172,'1. 현장별 인원현황'!$C:$J,7,0)=0,"",VLOOKUP($B172,'1. 현장별 인원현황'!$C:$J,7,0))</f>
        <v>기능공</v>
      </c>
      <c r="G172" s="72" t="str">
        <f>IF(VLOOKUP($B172,'1. 현장별 인원현황'!$C:$J,8,0)=0,"",VLOOKUP($B172,'1. 현장별 인원현황'!$C:$J,8,0))</f>
        <v>전공</v>
      </c>
      <c r="H172" s="67" t="s">
        <v>69</v>
      </c>
      <c r="I172" s="73"/>
      <c r="J172" s="73"/>
      <c r="K172" s="68"/>
      <c r="L172" s="67" t="s">
        <v>69</v>
      </c>
      <c r="M172" s="73"/>
      <c r="N172" s="73"/>
      <c r="O172" s="68"/>
      <c r="P172" s="67" t="s">
        <v>69</v>
      </c>
      <c r="Q172" s="73"/>
      <c r="R172" s="73"/>
      <c r="S172" s="68"/>
      <c r="T172" s="67" t="s">
        <v>69</v>
      </c>
      <c r="U172" s="73"/>
      <c r="V172" s="73"/>
      <c r="W172" s="68"/>
      <c r="X172" s="67" t="s">
        <v>69</v>
      </c>
      <c r="Y172" s="73"/>
      <c r="Z172" s="73"/>
      <c r="AA172" s="68"/>
      <c r="AB172" s="67" t="s">
        <v>69</v>
      </c>
      <c r="AC172" s="73"/>
      <c r="AD172" s="73"/>
      <c r="AE172" s="68"/>
      <c r="AF172" s="67" t="s">
        <v>69</v>
      </c>
      <c r="AG172" s="73"/>
      <c r="AH172" s="73"/>
      <c r="AI172" s="68"/>
      <c r="AJ172" s="67" t="s">
        <v>69</v>
      </c>
      <c r="AK172" s="73"/>
      <c r="AL172" s="73"/>
      <c r="AM172" s="68"/>
      <c r="AN172" s="67">
        <f t="shared" si="139"/>
        <v>100</v>
      </c>
      <c r="AO172" s="68" t="str">
        <f t="shared" si="140"/>
        <v>S</v>
      </c>
      <c r="AR172" s="49">
        <f t="shared" si="141"/>
        <v>1</v>
      </c>
      <c r="AS172" s="49">
        <f t="shared" si="142"/>
        <v>0</v>
      </c>
      <c r="AT172" s="49">
        <f t="shared" si="143"/>
        <v>0</v>
      </c>
      <c r="AU172" s="49">
        <f t="shared" si="144"/>
        <v>0</v>
      </c>
      <c r="AV172" s="49">
        <f t="shared" si="145"/>
        <v>1</v>
      </c>
      <c r="AW172" s="49">
        <f t="shared" si="146"/>
        <v>0</v>
      </c>
      <c r="AX172" s="49">
        <f t="shared" si="147"/>
        <v>0</v>
      </c>
      <c r="AY172" s="49">
        <f t="shared" si="148"/>
        <v>0</v>
      </c>
      <c r="AZ172" s="49">
        <f t="shared" si="149"/>
        <v>1</v>
      </c>
      <c r="BA172" s="49">
        <f t="shared" si="150"/>
        <v>0</v>
      </c>
      <c r="BB172" s="49">
        <f t="shared" si="151"/>
        <v>0</v>
      </c>
      <c r="BC172" s="49">
        <f t="shared" si="152"/>
        <v>0</v>
      </c>
      <c r="BD172" s="49">
        <f t="shared" si="153"/>
        <v>1</v>
      </c>
      <c r="BE172" s="49">
        <f t="shared" si="154"/>
        <v>0</v>
      </c>
      <c r="BF172" s="49">
        <f t="shared" si="155"/>
        <v>0</v>
      </c>
      <c r="BG172" s="49">
        <f t="shared" si="156"/>
        <v>0</v>
      </c>
      <c r="BH172" s="49">
        <f t="shared" si="157"/>
        <v>1</v>
      </c>
      <c r="BI172" s="49">
        <f t="shared" si="158"/>
        <v>0</v>
      </c>
      <c r="BJ172" s="49">
        <f t="shared" si="159"/>
        <v>0</v>
      </c>
      <c r="BK172" s="49">
        <f t="shared" si="160"/>
        <v>0</v>
      </c>
      <c r="BL172" s="49">
        <f t="shared" si="161"/>
        <v>1</v>
      </c>
      <c r="BM172" s="49">
        <f t="shared" si="162"/>
        <v>0</v>
      </c>
      <c r="BN172" s="49">
        <f t="shared" si="163"/>
        <v>0</v>
      </c>
      <c r="BO172" s="49">
        <f t="shared" si="164"/>
        <v>0</v>
      </c>
      <c r="BP172" s="49">
        <f t="shared" si="165"/>
        <v>1</v>
      </c>
      <c r="BQ172" s="49">
        <f t="shared" si="166"/>
        <v>0</v>
      </c>
      <c r="BR172" s="49">
        <f t="shared" si="167"/>
        <v>0</v>
      </c>
      <c r="BS172" s="49">
        <f t="shared" si="168"/>
        <v>0</v>
      </c>
      <c r="BT172" s="49">
        <f t="shared" si="169"/>
        <v>1</v>
      </c>
      <c r="BU172" s="49">
        <f t="shared" si="170"/>
        <v>0</v>
      </c>
      <c r="BV172" s="49">
        <f t="shared" si="171"/>
        <v>0</v>
      </c>
      <c r="BW172" s="49">
        <f t="shared" si="172"/>
        <v>0</v>
      </c>
    </row>
    <row r="173" spans="1:75" ht="35.1" customHeight="1" x14ac:dyDescent="0.3">
      <c r="A173" s="123" t="str">
        <f t="shared" si="137"/>
        <v>2팀</v>
      </c>
      <c r="B173" s="69">
        <f t="shared" si="138"/>
        <v>167</v>
      </c>
      <c r="C173" s="121" t="str">
        <f>IF(VLOOKUP($B173,'1. 현장별 인원현황'!$C:$J,2,0)=0,"",VLOOKUP($B173,'1. 현장별 인원현황'!$C:$J,2,0))</f>
        <v xml:space="preserve"> [2.금호건설] 대웅제약 마곡연구소 신축공사</v>
      </c>
      <c r="D173" s="74" t="str">
        <f>IF(VLOOKUP($B173,'1. 현장별 인원현황'!$C:$J,3,0)=0,"",VLOOKUP($B173,'1. 현장별 인원현황'!$C:$J,3,0))</f>
        <v>김형곤</v>
      </c>
      <c r="E173" s="74" t="str">
        <f ca="1">IF(VLOOKUP($B173,'1. 현장별 인원현황'!$C:$J,4,0)=0,"",VLOOKUP($B173,'1. 현장별 인원현황'!$C:$J,4,0))</f>
        <v>50세</v>
      </c>
      <c r="F173" s="70" t="str">
        <f>IF(VLOOKUP($B173,'1. 현장별 인원현황'!$C:$J,7,0)=0,"",VLOOKUP($B173,'1. 현장별 인원현황'!$C:$J,7,0))</f>
        <v>기능공</v>
      </c>
      <c r="G173" s="72" t="str">
        <f>IF(VLOOKUP($B173,'1. 현장별 인원현황'!$C:$J,8,0)=0,"",VLOOKUP($B173,'1. 현장별 인원현황'!$C:$J,8,0))</f>
        <v>전공</v>
      </c>
      <c r="H173" s="67" t="s">
        <v>69</v>
      </c>
      <c r="I173" s="73"/>
      <c r="J173" s="73"/>
      <c r="K173" s="68"/>
      <c r="L173" s="67" t="s">
        <v>69</v>
      </c>
      <c r="M173" s="73"/>
      <c r="N173" s="73"/>
      <c r="O173" s="68"/>
      <c r="P173" s="67" t="s">
        <v>69</v>
      </c>
      <c r="Q173" s="73"/>
      <c r="R173" s="73"/>
      <c r="S173" s="68"/>
      <c r="T173" s="67" t="s">
        <v>69</v>
      </c>
      <c r="U173" s="73"/>
      <c r="V173" s="73"/>
      <c r="W173" s="68"/>
      <c r="X173" s="67" t="s">
        <v>69</v>
      </c>
      <c r="Y173" s="73"/>
      <c r="Z173" s="73"/>
      <c r="AA173" s="68"/>
      <c r="AB173" s="67" t="s">
        <v>69</v>
      </c>
      <c r="AC173" s="73"/>
      <c r="AD173" s="73"/>
      <c r="AE173" s="68"/>
      <c r="AF173" s="67" t="s">
        <v>69</v>
      </c>
      <c r="AG173" s="73"/>
      <c r="AH173" s="73"/>
      <c r="AI173" s="68"/>
      <c r="AJ173" s="67" t="s">
        <v>69</v>
      </c>
      <c r="AK173" s="73"/>
      <c r="AL173" s="73"/>
      <c r="AM173" s="68"/>
      <c r="AN173" s="67">
        <f t="shared" si="139"/>
        <v>100</v>
      </c>
      <c r="AO173" s="68" t="str">
        <f t="shared" si="140"/>
        <v>S</v>
      </c>
      <c r="AR173" s="49">
        <f t="shared" si="141"/>
        <v>1</v>
      </c>
      <c r="AS173" s="49">
        <f t="shared" si="142"/>
        <v>0</v>
      </c>
      <c r="AT173" s="49">
        <f t="shared" si="143"/>
        <v>0</v>
      </c>
      <c r="AU173" s="49">
        <f t="shared" si="144"/>
        <v>0</v>
      </c>
      <c r="AV173" s="49">
        <f t="shared" si="145"/>
        <v>1</v>
      </c>
      <c r="AW173" s="49">
        <f t="shared" si="146"/>
        <v>0</v>
      </c>
      <c r="AX173" s="49">
        <f t="shared" si="147"/>
        <v>0</v>
      </c>
      <c r="AY173" s="49">
        <f t="shared" si="148"/>
        <v>0</v>
      </c>
      <c r="AZ173" s="49">
        <f t="shared" si="149"/>
        <v>1</v>
      </c>
      <c r="BA173" s="49">
        <f t="shared" si="150"/>
        <v>0</v>
      </c>
      <c r="BB173" s="49">
        <f t="shared" si="151"/>
        <v>0</v>
      </c>
      <c r="BC173" s="49">
        <f t="shared" si="152"/>
        <v>0</v>
      </c>
      <c r="BD173" s="49">
        <f t="shared" si="153"/>
        <v>1</v>
      </c>
      <c r="BE173" s="49">
        <f t="shared" si="154"/>
        <v>0</v>
      </c>
      <c r="BF173" s="49">
        <f t="shared" si="155"/>
        <v>0</v>
      </c>
      <c r="BG173" s="49">
        <f t="shared" si="156"/>
        <v>0</v>
      </c>
      <c r="BH173" s="49">
        <f t="shared" si="157"/>
        <v>1</v>
      </c>
      <c r="BI173" s="49">
        <f t="shared" si="158"/>
        <v>0</v>
      </c>
      <c r="BJ173" s="49">
        <f t="shared" si="159"/>
        <v>0</v>
      </c>
      <c r="BK173" s="49">
        <f t="shared" si="160"/>
        <v>0</v>
      </c>
      <c r="BL173" s="49">
        <f t="shared" si="161"/>
        <v>1</v>
      </c>
      <c r="BM173" s="49">
        <f t="shared" si="162"/>
        <v>0</v>
      </c>
      <c r="BN173" s="49">
        <f t="shared" si="163"/>
        <v>0</v>
      </c>
      <c r="BO173" s="49">
        <f t="shared" si="164"/>
        <v>0</v>
      </c>
      <c r="BP173" s="49">
        <f t="shared" si="165"/>
        <v>1</v>
      </c>
      <c r="BQ173" s="49">
        <f t="shared" si="166"/>
        <v>0</v>
      </c>
      <c r="BR173" s="49">
        <f t="shared" si="167"/>
        <v>0</v>
      </c>
      <c r="BS173" s="49">
        <f t="shared" si="168"/>
        <v>0</v>
      </c>
      <c r="BT173" s="49">
        <f t="shared" si="169"/>
        <v>1</v>
      </c>
      <c r="BU173" s="49">
        <f t="shared" si="170"/>
        <v>0</v>
      </c>
      <c r="BV173" s="49">
        <f t="shared" si="171"/>
        <v>0</v>
      </c>
      <c r="BW173" s="49">
        <f t="shared" si="172"/>
        <v>0</v>
      </c>
    </row>
    <row r="174" spans="1:75" ht="35.1" customHeight="1" x14ac:dyDescent="0.3">
      <c r="A174" s="123" t="str">
        <f t="shared" si="137"/>
        <v>2팀</v>
      </c>
      <c r="B174" s="69">
        <f t="shared" si="138"/>
        <v>168</v>
      </c>
      <c r="C174" s="121" t="str">
        <f>IF(VLOOKUP($B174,'1. 현장별 인원현황'!$C:$J,2,0)=0,"",VLOOKUP($B174,'1. 현장별 인원현황'!$C:$J,2,0))</f>
        <v xml:space="preserve"> [2.금호건설] 대웅제약 마곡연구소 신축공사</v>
      </c>
      <c r="D174" s="74" t="str">
        <f>IF(VLOOKUP($B174,'1. 현장별 인원현황'!$C:$J,3,0)=0,"",VLOOKUP($B174,'1. 현장별 인원현황'!$C:$J,3,0))</f>
        <v>이상철</v>
      </c>
      <c r="E174" s="74" t="str">
        <f ca="1">IF(VLOOKUP($B174,'1. 현장별 인원현황'!$C:$J,4,0)=0,"",VLOOKUP($B174,'1. 현장별 인원현황'!$C:$J,4,0))</f>
        <v>61세</v>
      </c>
      <c r="F174" s="70" t="str">
        <f>IF(VLOOKUP($B174,'1. 현장별 인원현황'!$C:$J,7,0)=0,"",VLOOKUP($B174,'1. 현장별 인원현황'!$C:$J,7,0))</f>
        <v>기능공</v>
      </c>
      <c r="G174" s="72" t="str">
        <f>IF(VLOOKUP($B174,'1. 현장별 인원현황'!$C:$J,8,0)=0,"",VLOOKUP($B174,'1. 현장별 인원현황'!$C:$J,8,0))</f>
        <v>전공</v>
      </c>
      <c r="H174" s="67" t="s">
        <v>69</v>
      </c>
      <c r="I174" s="73"/>
      <c r="J174" s="73"/>
      <c r="K174" s="68"/>
      <c r="L174" s="67" t="s">
        <v>69</v>
      </c>
      <c r="M174" s="73"/>
      <c r="N174" s="73"/>
      <c r="O174" s="68"/>
      <c r="P174" s="67" t="s">
        <v>69</v>
      </c>
      <c r="Q174" s="73"/>
      <c r="R174" s="73"/>
      <c r="S174" s="68"/>
      <c r="T174" s="67" t="s">
        <v>69</v>
      </c>
      <c r="U174" s="73"/>
      <c r="V174" s="73"/>
      <c r="W174" s="68"/>
      <c r="X174" s="67" t="s">
        <v>69</v>
      </c>
      <c r="Y174" s="73"/>
      <c r="Z174" s="73"/>
      <c r="AA174" s="68"/>
      <c r="AB174" s="67" t="s">
        <v>69</v>
      </c>
      <c r="AC174" s="73"/>
      <c r="AD174" s="73"/>
      <c r="AE174" s="68"/>
      <c r="AF174" s="67"/>
      <c r="AG174" s="73" t="s">
        <v>69</v>
      </c>
      <c r="AH174" s="73"/>
      <c r="AI174" s="68"/>
      <c r="AJ174" s="67" t="s">
        <v>69</v>
      </c>
      <c r="AK174" s="73"/>
      <c r="AL174" s="73"/>
      <c r="AM174" s="68"/>
      <c r="AN174" s="67">
        <f t="shared" si="139"/>
        <v>97</v>
      </c>
      <c r="AO174" s="68" t="str">
        <f t="shared" si="140"/>
        <v>S</v>
      </c>
      <c r="AR174" s="49">
        <f t="shared" si="141"/>
        <v>1</v>
      </c>
      <c r="AS174" s="49">
        <f t="shared" si="142"/>
        <v>0</v>
      </c>
      <c r="AT174" s="49">
        <f t="shared" si="143"/>
        <v>0</v>
      </c>
      <c r="AU174" s="49">
        <f t="shared" si="144"/>
        <v>0</v>
      </c>
      <c r="AV174" s="49">
        <f t="shared" si="145"/>
        <v>1</v>
      </c>
      <c r="AW174" s="49">
        <f t="shared" si="146"/>
        <v>0</v>
      </c>
      <c r="AX174" s="49">
        <f t="shared" si="147"/>
        <v>0</v>
      </c>
      <c r="AY174" s="49">
        <f t="shared" si="148"/>
        <v>0</v>
      </c>
      <c r="AZ174" s="49">
        <f t="shared" si="149"/>
        <v>1</v>
      </c>
      <c r="BA174" s="49">
        <f t="shared" si="150"/>
        <v>0</v>
      </c>
      <c r="BB174" s="49">
        <f t="shared" si="151"/>
        <v>0</v>
      </c>
      <c r="BC174" s="49">
        <f t="shared" si="152"/>
        <v>0</v>
      </c>
      <c r="BD174" s="49">
        <f t="shared" si="153"/>
        <v>1</v>
      </c>
      <c r="BE174" s="49">
        <f t="shared" si="154"/>
        <v>0</v>
      </c>
      <c r="BF174" s="49">
        <f t="shared" si="155"/>
        <v>0</v>
      </c>
      <c r="BG174" s="49">
        <f t="shared" si="156"/>
        <v>0</v>
      </c>
      <c r="BH174" s="49">
        <f t="shared" si="157"/>
        <v>1</v>
      </c>
      <c r="BI174" s="49">
        <f t="shared" si="158"/>
        <v>0</v>
      </c>
      <c r="BJ174" s="49">
        <f t="shared" si="159"/>
        <v>0</v>
      </c>
      <c r="BK174" s="49">
        <f t="shared" si="160"/>
        <v>0</v>
      </c>
      <c r="BL174" s="49">
        <f t="shared" si="161"/>
        <v>1</v>
      </c>
      <c r="BM174" s="49">
        <f t="shared" si="162"/>
        <v>0</v>
      </c>
      <c r="BN174" s="49">
        <f t="shared" si="163"/>
        <v>0</v>
      </c>
      <c r="BO174" s="49">
        <f t="shared" si="164"/>
        <v>0</v>
      </c>
      <c r="BP174" s="49">
        <f t="shared" si="165"/>
        <v>0</v>
      </c>
      <c r="BQ174" s="49">
        <f t="shared" si="166"/>
        <v>1</v>
      </c>
      <c r="BR174" s="49">
        <f t="shared" si="167"/>
        <v>0</v>
      </c>
      <c r="BS174" s="49">
        <f t="shared" si="168"/>
        <v>0</v>
      </c>
      <c r="BT174" s="49">
        <f t="shared" si="169"/>
        <v>1</v>
      </c>
      <c r="BU174" s="49">
        <f t="shared" si="170"/>
        <v>0</v>
      </c>
      <c r="BV174" s="49">
        <f t="shared" si="171"/>
        <v>0</v>
      </c>
      <c r="BW174" s="49">
        <f t="shared" si="172"/>
        <v>0</v>
      </c>
    </row>
    <row r="175" spans="1:75" ht="35.1" customHeight="1" x14ac:dyDescent="0.3">
      <c r="A175" s="123" t="str">
        <f t="shared" si="137"/>
        <v>2팀</v>
      </c>
      <c r="B175" s="69">
        <f t="shared" si="138"/>
        <v>169</v>
      </c>
      <c r="C175" s="121" t="str">
        <f>IF(VLOOKUP($B175,'1. 현장별 인원현황'!$C:$J,2,0)=0,"",VLOOKUP($B175,'1. 현장별 인원현황'!$C:$J,2,0))</f>
        <v xml:space="preserve"> [2.금호건설] 대웅제약 마곡연구소 신축공사</v>
      </c>
      <c r="D175" s="74" t="str">
        <f>IF(VLOOKUP($B175,'1. 현장별 인원현황'!$C:$J,3,0)=0,"",VLOOKUP($B175,'1. 현장별 인원현황'!$C:$J,3,0))</f>
        <v>김동진</v>
      </c>
      <c r="E175" s="74" t="str">
        <f ca="1">IF(VLOOKUP($B175,'1. 현장별 인원현황'!$C:$J,4,0)=0,"",VLOOKUP($B175,'1. 현장별 인원현황'!$C:$J,4,0))</f>
        <v>61세</v>
      </c>
      <c r="F175" s="70" t="str">
        <f>IF(VLOOKUP($B175,'1. 현장별 인원현황'!$C:$J,7,0)=0,"",VLOOKUP($B175,'1. 현장별 인원현황'!$C:$J,7,0))</f>
        <v>기능공</v>
      </c>
      <c r="G175" s="72" t="str">
        <f>IF(VLOOKUP($B175,'1. 현장별 인원현황'!$C:$J,8,0)=0,"",VLOOKUP($B175,'1. 현장별 인원현황'!$C:$J,8,0))</f>
        <v>전공</v>
      </c>
      <c r="H175" s="67" t="s">
        <v>69</v>
      </c>
      <c r="I175" s="73"/>
      <c r="J175" s="73"/>
      <c r="K175" s="68"/>
      <c r="L175" s="67" t="s">
        <v>69</v>
      </c>
      <c r="M175" s="73"/>
      <c r="N175" s="73"/>
      <c r="O175" s="68"/>
      <c r="P175" s="67" t="s">
        <v>69</v>
      </c>
      <c r="Q175" s="73"/>
      <c r="R175" s="73"/>
      <c r="S175" s="68"/>
      <c r="T175" s="67" t="s">
        <v>69</v>
      </c>
      <c r="U175" s="73"/>
      <c r="V175" s="73"/>
      <c r="W175" s="68"/>
      <c r="X175" s="67" t="s">
        <v>69</v>
      </c>
      <c r="Y175" s="73"/>
      <c r="Z175" s="73"/>
      <c r="AA175" s="68"/>
      <c r="AB175" s="67" t="s">
        <v>69</v>
      </c>
      <c r="AC175" s="73"/>
      <c r="AD175" s="73"/>
      <c r="AE175" s="68"/>
      <c r="AF175" s="67"/>
      <c r="AG175" s="73" t="s">
        <v>69</v>
      </c>
      <c r="AH175" s="73"/>
      <c r="AI175" s="68"/>
      <c r="AJ175" s="67" t="s">
        <v>69</v>
      </c>
      <c r="AK175" s="73"/>
      <c r="AL175" s="73"/>
      <c r="AM175" s="68"/>
      <c r="AN175" s="67">
        <f t="shared" si="139"/>
        <v>97</v>
      </c>
      <c r="AO175" s="68" t="str">
        <f t="shared" si="140"/>
        <v>S</v>
      </c>
      <c r="AR175" s="49">
        <f t="shared" si="141"/>
        <v>1</v>
      </c>
      <c r="AS175" s="49">
        <f t="shared" si="142"/>
        <v>0</v>
      </c>
      <c r="AT175" s="49">
        <f t="shared" si="143"/>
        <v>0</v>
      </c>
      <c r="AU175" s="49">
        <f t="shared" si="144"/>
        <v>0</v>
      </c>
      <c r="AV175" s="49">
        <f t="shared" si="145"/>
        <v>1</v>
      </c>
      <c r="AW175" s="49">
        <f t="shared" si="146"/>
        <v>0</v>
      </c>
      <c r="AX175" s="49">
        <f t="shared" si="147"/>
        <v>0</v>
      </c>
      <c r="AY175" s="49">
        <f t="shared" si="148"/>
        <v>0</v>
      </c>
      <c r="AZ175" s="49">
        <f t="shared" si="149"/>
        <v>1</v>
      </c>
      <c r="BA175" s="49">
        <f t="shared" si="150"/>
        <v>0</v>
      </c>
      <c r="BB175" s="49">
        <f t="shared" si="151"/>
        <v>0</v>
      </c>
      <c r="BC175" s="49">
        <f t="shared" si="152"/>
        <v>0</v>
      </c>
      <c r="BD175" s="49">
        <f t="shared" si="153"/>
        <v>1</v>
      </c>
      <c r="BE175" s="49">
        <f t="shared" si="154"/>
        <v>0</v>
      </c>
      <c r="BF175" s="49">
        <f t="shared" si="155"/>
        <v>0</v>
      </c>
      <c r="BG175" s="49">
        <f t="shared" si="156"/>
        <v>0</v>
      </c>
      <c r="BH175" s="49">
        <f t="shared" si="157"/>
        <v>1</v>
      </c>
      <c r="BI175" s="49">
        <f t="shared" si="158"/>
        <v>0</v>
      </c>
      <c r="BJ175" s="49">
        <f t="shared" si="159"/>
        <v>0</v>
      </c>
      <c r="BK175" s="49">
        <f t="shared" si="160"/>
        <v>0</v>
      </c>
      <c r="BL175" s="49">
        <f t="shared" si="161"/>
        <v>1</v>
      </c>
      <c r="BM175" s="49">
        <f t="shared" si="162"/>
        <v>0</v>
      </c>
      <c r="BN175" s="49">
        <f t="shared" si="163"/>
        <v>0</v>
      </c>
      <c r="BO175" s="49">
        <f t="shared" si="164"/>
        <v>0</v>
      </c>
      <c r="BP175" s="49">
        <f t="shared" si="165"/>
        <v>0</v>
      </c>
      <c r="BQ175" s="49">
        <f t="shared" si="166"/>
        <v>1</v>
      </c>
      <c r="BR175" s="49">
        <f t="shared" si="167"/>
        <v>0</v>
      </c>
      <c r="BS175" s="49">
        <f t="shared" si="168"/>
        <v>0</v>
      </c>
      <c r="BT175" s="49">
        <f t="shared" si="169"/>
        <v>1</v>
      </c>
      <c r="BU175" s="49">
        <f t="shared" si="170"/>
        <v>0</v>
      </c>
      <c r="BV175" s="49">
        <f t="shared" si="171"/>
        <v>0</v>
      </c>
      <c r="BW175" s="49">
        <f t="shared" si="172"/>
        <v>0</v>
      </c>
    </row>
    <row r="176" spans="1:75" ht="35.1" customHeight="1" x14ac:dyDescent="0.3">
      <c r="A176" s="123" t="str">
        <f t="shared" si="137"/>
        <v>2팀</v>
      </c>
      <c r="B176" s="69">
        <f t="shared" si="138"/>
        <v>170</v>
      </c>
      <c r="C176" s="121" t="str">
        <f>IF(VLOOKUP($B176,'1. 현장별 인원현황'!$C:$J,2,0)=0,"",VLOOKUP($B176,'1. 현장별 인원현황'!$C:$J,2,0))</f>
        <v xml:space="preserve"> [2.금호건설] 대웅제약 마곡연구소 신축공사</v>
      </c>
      <c r="D176" s="74" t="str">
        <f>IF(VLOOKUP($B176,'1. 현장별 인원현황'!$C:$J,3,0)=0,"",VLOOKUP($B176,'1. 현장별 인원현황'!$C:$J,3,0))</f>
        <v>이준영</v>
      </c>
      <c r="E176" s="74" t="str">
        <f ca="1">IF(VLOOKUP($B176,'1. 현장별 인원현황'!$C:$J,4,0)=0,"",VLOOKUP($B176,'1. 현장별 인원현황'!$C:$J,4,0))</f>
        <v>53세</v>
      </c>
      <c r="F176" s="70" t="str">
        <f>IF(VLOOKUP($B176,'1. 현장별 인원현황'!$C:$J,7,0)=0,"",VLOOKUP($B176,'1. 현장별 인원현황'!$C:$J,7,0))</f>
        <v>기능공</v>
      </c>
      <c r="G176" s="72" t="str">
        <f>IF(VLOOKUP($B176,'1. 현장별 인원현황'!$C:$J,8,0)=0,"",VLOOKUP($B176,'1. 현장별 인원현황'!$C:$J,8,0))</f>
        <v>전공</v>
      </c>
      <c r="H176" s="67" t="s">
        <v>69</v>
      </c>
      <c r="I176" s="73"/>
      <c r="J176" s="73"/>
      <c r="K176" s="68"/>
      <c r="L176" s="67" t="s">
        <v>69</v>
      </c>
      <c r="M176" s="73"/>
      <c r="N176" s="73"/>
      <c r="O176" s="68"/>
      <c r="P176" s="67" t="s">
        <v>69</v>
      </c>
      <c r="Q176" s="73"/>
      <c r="R176" s="73"/>
      <c r="S176" s="68"/>
      <c r="T176" s="67" t="s">
        <v>69</v>
      </c>
      <c r="U176" s="73"/>
      <c r="V176" s="73"/>
      <c r="W176" s="68"/>
      <c r="X176" s="67" t="s">
        <v>69</v>
      </c>
      <c r="Y176" s="73"/>
      <c r="Z176" s="73"/>
      <c r="AA176" s="68"/>
      <c r="AB176" s="67" t="s">
        <v>69</v>
      </c>
      <c r="AC176" s="73"/>
      <c r="AD176" s="73"/>
      <c r="AE176" s="68"/>
      <c r="AF176" s="67" t="s">
        <v>69</v>
      </c>
      <c r="AG176" s="73"/>
      <c r="AH176" s="73"/>
      <c r="AI176" s="68"/>
      <c r="AJ176" s="67" t="s">
        <v>69</v>
      </c>
      <c r="AK176" s="73"/>
      <c r="AL176" s="73"/>
      <c r="AM176" s="68"/>
      <c r="AN176" s="67">
        <f t="shared" si="139"/>
        <v>100</v>
      </c>
      <c r="AO176" s="68" t="str">
        <f t="shared" si="140"/>
        <v>S</v>
      </c>
      <c r="AR176" s="49">
        <f t="shared" si="141"/>
        <v>1</v>
      </c>
      <c r="AS176" s="49">
        <f t="shared" si="142"/>
        <v>0</v>
      </c>
      <c r="AT176" s="49">
        <f t="shared" si="143"/>
        <v>0</v>
      </c>
      <c r="AU176" s="49">
        <f t="shared" si="144"/>
        <v>0</v>
      </c>
      <c r="AV176" s="49">
        <f t="shared" si="145"/>
        <v>1</v>
      </c>
      <c r="AW176" s="49">
        <f t="shared" si="146"/>
        <v>0</v>
      </c>
      <c r="AX176" s="49">
        <f t="shared" si="147"/>
        <v>0</v>
      </c>
      <c r="AY176" s="49">
        <f t="shared" si="148"/>
        <v>0</v>
      </c>
      <c r="AZ176" s="49">
        <f t="shared" si="149"/>
        <v>1</v>
      </c>
      <c r="BA176" s="49">
        <f t="shared" si="150"/>
        <v>0</v>
      </c>
      <c r="BB176" s="49">
        <f t="shared" si="151"/>
        <v>0</v>
      </c>
      <c r="BC176" s="49">
        <f t="shared" si="152"/>
        <v>0</v>
      </c>
      <c r="BD176" s="49">
        <f t="shared" si="153"/>
        <v>1</v>
      </c>
      <c r="BE176" s="49">
        <f t="shared" si="154"/>
        <v>0</v>
      </c>
      <c r="BF176" s="49">
        <f t="shared" si="155"/>
        <v>0</v>
      </c>
      <c r="BG176" s="49">
        <f t="shared" si="156"/>
        <v>0</v>
      </c>
      <c r="BH176" s="49">
        <f t="shared" si="157"/>
        <v>1</v>
      </c>
      <c r="BI176" s="49">
        <f t="shared" si="158"/>
        <v>0</v>
      </c>
      <c r="BJ176" s="49">
        <f t="shared" si="159"/>
        <v>0</v>
      </c>
      <c r="BK176" s="49">
        <f t="shared" si="160"/>
        <v>0</v>
      </c>
      <c r="BL176" s="49">
        <f t="shared" si="161"/>
        <v>1</v>
      </c>
      <c r="BM176" s="49">
        <f t="shared" si="162"/>
        <v>0</v>
      </c>
      <c r="BN176" s="49">
        <f t="shared" si="163"/>
        <v>0</v>
      </c>
      <c r="BO176" s="49">
        <f t="shared" si="164"/>
        <v>0</v>
      </c>
      <c r="BP176" s="49">
        <f t="shared" si="165"/>
        <v>1</v>
      </c>
      <c r="BQ176" s="49">
        <f t="shared" si="166"/>
        <v>0</v>
      </c>
      <c r="BR176" s="49">
        <f t="shared" si="167"/>
        <v>0</v>
      </c>
      <c r="BS176" s="49">
        <f t="shared" si="168"/>
        <v>0</v>
      </c>
      <c r="BT176" s="49">
        <f t="shared" si="169"/>
        <v>1</v>
      </c>
      <c r="BU176" s="49">
        <f t="shared" si="170"/>
        <v>0</v>
      </c>
      <c r="BV176" s="49">
        <f t="shared" si="171"/>
        <v>0</v>
      </c>
      <c r="BW176" s="49">
        <f t="shared" si="172"/>
        <v>0</v>
      </c>
    </row>
    <row r="177" spans="1:75" ht="35.1" customHeight="1" x14ac:dyDescent="0.3">
      <c r="A177" s="123" t="str">
        <f t="shared" si="137"/>
        <v>2팀</v>
      </c>
      <c r="B177" s="69">
        <f t="shared" si="138"/>
        <v>171</v>
      </c>
      <c r="C177" s="121" t="str">
        <f>IF(VLOOKUP($B177,'1. 현장별 인원현황'!$C:$J,2,0)=0,"",VLOOKUP($B177,'1. 현장별 인원현황'!$C:$J,2,0))</f>
        <v xml:space="preserve"> [2.금호건설] 대웅제약 마곡연구소 신축공사</v>
      </c>
      <c r="D177" s="74" t="str">
        <f>IF(VLOOKUP($B177,'1. 현장별 인원현황'!$C:$J,3,0)=0,"",VLOOKUP($B177,'1. 현장별 인원현황'!$C:$J,3,0))</f>
        <v>김재희</v>
      </c>
      <c r="E177" s="74" t="str">
        <f ca="1">IF(VLOOKUP($B177,'1. 현장별 인원현황'!$C:$J,4,0)=0,"",VLOOKUP($B177,'1. 현장별 인원현황'!$C:$J,4,0))</f>
        <v>52세</v>
      </c>
      <c r="F177" s="70" t="str">
        <f>IF(VLOOKUP($B177,'1. 현장별 인원현황'!$C:$J,7,0)=0,"",VLOOKUP($B177,'1. 현장별 인원현황'!$C:$J,7,0))</f>
        <v>기능공</v>
      </c>
      <c r="G177" s="72" t="str">
        <f>IF(VLOOKUP($B177,'1. 현장별 인원현황'!$C:$J,8,0)=0,"",VLOOKUP($B177,'1. 현장별 인원현황'!$C:$J,8,0))</f>
        <v>전공</v>
      </c>
      <c r="H177" s="67" t="s">
        <v>69</v>
      </c>
      <c r="I177" s="73"/>
      <c r="J177" s="73"/>
      <c r="K177" s="68"/>
      <c r="L177" s="67" t="s">
        <v>69</v>
      </c>
      <c r="M177" s="73"/>
      <c r="N177" s="73"/>
      <c r="O177" s="68"/>
      <c r="P177" s="67" t="s">
        <v>69</v>
      </c>
      <c r="Q177" s="73"/>
      <c r="R177" s="73"/>
      <c r="S177" s="68"/>
      <c r="T177" s="67" t="s">
        <v>69</v>
      </c>
      <c r="U177" s="73"/>
      <c r="V177" s="73"/>
      <c r="W177" s="68"/>
      <c r="X177" s="67" t="s">
        <v>69</v>
      </c>
      <c r="Y177" s="73"/>
      <c r="Z177" s="73"/>
      <c r="AA177" s="68"/>
      <c r="AB177" s="67" t="s">
        <v>69</v>
      </c>
      <c r="AC177" s="73"/>
      <c r="AD177" s="73"/>
      <c r="AE177" s="68"/>
      <c r="AF177" s="67"/>
      <c r="AG177" s="73" t="s">
        <v>69</v>
      </c>
      <c r="AH177" s="73"/>
      <c r="AI177" s="68"/>
      <c r="AJ177" s="67" t="s">
        <v>69</v>
      </c>
      <c r="AK177" s="73"/>
      <c r="AL177" s="73"/>
      <c r="AM177" s="68"/>
      <c r="AN177" s="67">
        <f t="shared" si="139"/>
        <v>97</v>
      </c>
      <c r="AO177" s="68" t="str">
        <f t="shared" si="140"/>
        <v>S</v>
      </c>
      <c r="AR177" s="49">
        <f t="shared" si="141"/>
        <v>1</v>
      </c>
      <c r="AS177" s="49">
        <f t="shared" si="142"/>
        <v>0</v>
      </c>
      <c r="AT177" s="49">
        <f t="shared" si="143"/>
        <v>0</v>
      </c>
      <c r="AU177" s="49">
        <f t="shared" si="144"/>
        <v>0</v>
      </c>
      <c r="AV177" s="49">
        <f t="shared" si="145"/>
        <v>1</v>
      </c>
      <c r="AW177" s="49">
        <f t="shared" si="146"/>
        <v>0</v>
      </c>
      <c r="AX177" s="49">
        <f t="shared" si="147"/>
        <v>0</v>
      </c>
      <c r="AY177" s="49">
        <f t="shared" si="148"/>
        <v>0</v>
      </c>
      <c r="AZ177" s="49">
        <f t="shared" si="149"/>
        <v>1</v>
      </c>
      <c r="BA177" s="49">
        <f t="shared" si="150"/>
        <v>0</v>
      </c>
      <c r="BB177" s="49">
        <f t="shared" si="151"/>
        <v>0</v>
      </c>
      <c r="BC177" s="49">
        <f t="shared" si="152"/>
        <v>0</v>
      </c>
      <c r="BD177" s="49">
        <f t="shared" si="153"/>
        <v>1</v>
      </c>
      <c r="BE177" s="49">
        <f t="shared" si="154"/>
        <v>0</v>
      </c>
      <c r="BF177" s="49">
        <f t="shared" si="155"/>
        <v>0</v>
      </c>
      <c r="BG177" s="49">
        <f t="shared" si="156"/>
        <v>0</v>
      </c>
      <c r="BH177" s="49">
        <f t="shared" si="157"/>
        <v>1</v>
      </c>
      <c r="BI177" s="49">
        <f t="shared" si="158"/>
        <v>0</v>
      </c>
      <c r="BJ177" s="49">
        <f t="shared" si="159"/>
        <v>0</v>
      </c>
      <c r="BK177" s="49">
        <f t="shared" si="160"/>
        <v>0</v>
      </c>
      <c r="BL177" s="49">
        <f t="shared" si="161"/>
        <v>1</v>
      </c>
      <c r="BM177" s="49">
        <f t="shared" si="162"/>
        <v>0</v>
      </c>
      <c r="BN177" s="49">
        <f t="shared" si="163"/>
        <v>0</v>
      </c>
      <c r="BO177" s="49">
        <f t="shared" si="164"/>
        <v>0</v>
      </c>
      <c r="BP177" s="49">
        <f t="shared" si="165"/>
        <v>0</v>
      </c>
      <c r="BQ177" s="49">
        <f t="shared" si="166"/>
        <v>1</v>
      </c>
      <c r="BR177" s="49">
        <f t="shared" si="167"/>
        <v>0</v>
      </c>
      <c r="BS177" s="49">
        <f t="shared" si="168"/>
        <v>0</v>
      </c>
      <c r="BT177" s="49">
        <f t="shared" si="169"/>
        <v>1</v>
      </c>
      <c r="BU177" s="49">
        <f t="shared" si="170"/>
        <v>0</v>
      </c>
      <c r="BV177" s="49">
        <f t="shared" si="171"/>
        <v>0</v>
      </c>
      <c r="BW177" s="49">
        <f t="shared" si="172"/>
        <v>0</v>
      </c>
    </row>
    <row r="178" spans="1:75" ht="35.1" customHeight="1" x14ac:dyDescent="0.3">
      <c r="A178" s="123" t="str">
        <f t="shared" si="137"/>
        <v>2팀</v>
      </c>
      <c r="B178" s="69">
        <f t="shared" si="138"/>
        <v>172</v>
      </c>
      <c r="C178" s="121" t="str">
        <f>IF(VLOOKUP($B178,'1. 현장별 인원현황'!$C:$J,2,0)=0,"",VLOOKUP($B178,'1. 현장별 인원현황'!$C:$J,2,0))</f>
        <v xml:space="preserve"> [2.금호건설] 대웅제약 마곡연구소 신축공사</v>
      </c>
      <c r="D178" s="74" t="str">
        <f>IF(VLOOKUP($B178,'1. 현장별 인원현황'!$C:$J,3,0)=0,"",VLOOKUP($B178,'1. 현장별 인원현황'!$C:$J,3,0))</f>
        <v>김기후</v>
      </c>
      <c r="E178" s="74" t="str">
        <f ca="1">IF(VLOOKUP($B178,'1. 현장별 인원현황'!$C:$J,4,0)=0,"",VLOOKUP($B178,'1. 현장별 인원현황'!$C:$J,4,0))</f>
        <v>48세</v>
      </c>
      <c r="F178" s="70" t="str">
        <f>IF(VLOOKUP($B178,'1. 현장별 인원현황'!$C:$J,7,0)=0,"",VLOOKUP($B178,'1. 현장별 인원현황'!$C:$J,7,0))</f>
        <v>기능공</v>
      </c>
      <c r="G178" s="72" t="str">
        <f>IF(VLOOKUP($B178,'1. 현장별 인원현황'!$C:$J,8,0)=0,"",VLOOKUP($B178,'1. 현장별 인원현황'!$C:$J,8,0))</f>
        <v>전공</v>
      </c>
      <c r="H178" s="67" t="s">
        <v>69</v>
      </c>
      <c r="I178" s="73"/>
      <c r="J178" s="73"/>
      <c r="K178" s="68"/>
      <c r="L178" s="67" t="s">
        <v>69</v>
      </c>
      <c r="M178" s="73"/>
      <c r="N178" s="73"/>
      <c r="O178" s="68"/>
      <c r="P178" s="67" t="s">
        <v>69</v>
      </c>
      <c r="Q178" s="73"/>
      <c r="R178" s="73"/>
      <c r="S178" s="68"/>
      <c r="T178" s="67" t="s">
        <v>69</v>
      </c>
      <c r="U178" s="73"/>
      <c r="V178" s="73"/>
      <c r="W178" s="68"/>
      <c r="X178" s="67" t="s">
        <v>69</v>
      </c>
      <c r="Y178" s="73"/>
      <c r="Z178" s="73"/>
      <c r="AA178" s="68"/>
      <c r="AB178" s="67" t="s">
        <v>69</v>
      </c>
      <c r="AC178" s="73"/>
      <c r="AD178" s="73"/>
      <c r="AE178" s="68"/>
      <c r="AF178" s="67" t="s">
        <v>69</v>
      </c>
      <c r="AG178" s="73"/>
      <c r="AH178" s="73"/>
      <c r="AI178" s="68"/>
      <c r="AJ178" s="67" t="s">
        <v>69</v>
      </c>
      <c r="AK178" s="73"/>
      <c r="AL178" s="73"/>
      <c r="AM178" s="68"/>
      <c r="AN178" s="67">
        <f t="shared" si="139"/>
        <v>100</v>
      </c>
      <c r="AO178" s="68" t="str">
        <f t="shared" si="140"/>
        <v>S</v>
      </c>
      <c r="AR178" s="49">
        <f t="shared" si="141"/>
        <v>1</v>
      </c>
      <c r="AS178" s="49">
        <f t="shared" si="142"/>
        <v>0</v>
      </c>
      <c r="AT178" s="49">
        <f t="shared" si="143"/>
        <v>0</v>
      </c>
      <c r="AU178" s="49">
        <f t="shared" si="144"/>
        <v>0</v>
      </c>
      <c r="AV178" s="49">
        <f t="shared" si="145"/>
        <v>1</v>
      </c>
      <c r="AW178" s="49">
        <f t="shared" si="146"/>
        <v>0</v>
      </c>
      <c r="AX178" s="49">
        <f t="shared" si="147"/>
        <v>0</v>
      </c>
      <c r="AY178" s="49">
        <f t="shared" si="148"/>
        <v>0</v>
      </c>
      <c r="AZ178" s="49">
        <f t="shared" si="149"/>
        <v>1</v>
      </c>
      <c r="BA178" s="49">
        <f t="shared" si="150"/>
        <v>0</v>
      </c>
      <c r="BB178" s="49">
        <f t="shared" si="151"/>
        <v>0</v>
      </c>
      <c r="BC178" s="49">
        <f t="shared" si="152"/>
        <v>0</v>
      </c>
      <c r="BD178" s="49">
        <f t="shared" si="153"/>
        <v>1</v>
      </c>
      <c r="BE178" s="49">
        <f t="shared" si="154"/>
        <v>0</v>
      </c>
      <c r="BF178" s="49">
        <f t="shared" si="155"/>
        <v>0</v>
      </c>
      <c r="BG178" s="49">
        <f t="shared" si="156"/>
        <v>0</v>
      </c>
      <c r="BH178" s="49">
        <f t="shared" si="157"/>
        <v>1</v>
      </c>
      <c r="BI178" s="49">
        <f t="shared" si="158"/>
        <v>0</v>
      </c>
      <c r="BJ178" s="49">
        <f t="shared" si="159"/>
        <v>0</v>
      </c>
      <c r="BK178" s="49">
        <f t="shared" si="160"/>
        <v>0</v>
      </c>
      <c r="BL178" s="49">
        <f t="shared" si="161"/>
        <v>1</v>
      </c>
      <c r="BM178" s="49">
        <f t="shared" si="162"/>
        <v>0</v>
      </c>
      <c r="BN178" s="49">
        <f t="shared" si="163"/>
        <v>0</v>
      </c>
      <c r="BO178" s="49">
        <f t="shared" si="164"/>
        <v>0</v>
      </c>
      <c r="BP178" s="49">
        <f t="shared" si="165"/>
        <v>1</v>
      </c>
      <c r="BQ178" s="49">
        <f t="shared" si="166"/>
        <v>0</v>
      </c>
      <c r="BR178" s="49">
        <f t="shared" si="167"/>
        <v>0</v>
      </c>
      <c r="BS178" s="49">
        <f t="shared" si="168"/>
        <v>0</v>
      </c>
      <c r="BT178" s="49">
        <f t="shared" si="169"/>
        <v>1</v>
      </c>
      <c r="BU178" s="49">
        <f t="shared" si="170"/>
        <v>0</v>
      </c>
      <c r="BV178" s="49">
        <f t="shared" si="171"/>
        <v>0</v>
      </c>
      <c r="BW178" s="49">
        <f t="shared" si="172"/>
        <v>0</v>
      </c>
    </row>
    <row r="179" spans="1:75" ht="35.1" customHeight="1" x14ac:dyDescent="0.3">
      <c r="A179" s="123" t="str">
        <f t="shared" si="137"/>
        <v>2팀</v>
      </c>
      <c r="B179" s="69">
        <f t="shared" si="138"/>
        <v>173</v>
      </c>
      <c r="C179" s="121" t="str">
        <f>IF(VLOOKUP($B179,'1. 현장별 인원현황'!$C:$J,2,0)=0,"",VLOOKUP($B179,'1. 현장별 인원현황'!$C:$J,2,0))</f>
        <v xml:space="preserve"> [2.금호건설] 대웅제약 마곡연구소 신축공사</v>
      </c>
      <c r="D179" s="74" t="str">
        <f>IF(VLOOKUP($B179,'1. 현장별 인원현황'!$C:$J,3,0)=0,"",VLOOKUP($B179,'1. 현장별 인원현황'!$C:$J,3,0))</f>
        <v>김영춘</v>
      </c>
      <c r="E179" s="74" t="str">
        <f ca="1">IF(VLOOKUP($B179,'1. 현장별 인원현황'!$C:$J,4,0)=0,"",VLOOKUP($B179,'1. 현장별 인원현황'!$C:$J,4,0))</f>
        <v>64세</v>
      </c>
      <c r="F179" s="70" t="str">
        <f>IF(VLOOKUP($B179,'1. 현장별 인원현황'!$C:$J,7,0)=0,"",VLOOKUP($B179,'1. 현장별 인원현황'!$C:$J,7,0))</f>
        <v>기능공</v>
      </c>
      <c r="G179" s="72" t="str">
        <f>IF(VLOOKUP($B179,'1. 현장별 인원현황'!$C:$J,8,0)=0,"",VLOOKUP($B179,'1. 현장별 인원현황'!$C:$J,8,0))</f>
        <v>전공</v>
      </c>
      <c r="H179" s="67" t="s">
        <v>69</v>
      </c>
      <c r="I179" s="73"/>
      <c r="J179" s="73"/>
      <c r="K179" s="68"/>
      <c r="L179" s="67" t="s">
        <v>69</v>
      </c>
      <c r="M179" s="73"/>
      <c r="N179" s="73"/>
      <c r="O179" s="68"/>
      <c r="P179" s="67" t="s">
        <v>69</v>
      </c>
      <c r="Q179" s="73"/>
      <c r="R179" s="73"/>
      <c r="S179" s="68"/>
      <c r="T179" s="67" t="s">
        <v>69</v>
      </c>
      <c r="U179" s="73"/>
      <c r="V179" s="73"/>
      <c r="W179" s="68"/>
      <c r="X179" s="67" t="s">
        <v>69</v>
      </c>
      <c r="Y179" s="73"/>
      <c r="Z179" s="73"/>
      <c r="AA179" s="68"/>
      <c r="AB179" s="67" t="s">
        <v>69</v>
      </c>
      <c r="AC179" s="73"/>
      <c r="AD179" s="73"/>
      <c r="AE179" s="68"/>
      <c r="AF179" s="67"/>
      <c r="AG179" s="73" t="s">
        <v>69</v>
      </c>
      <c r="AH179" s="73"/>
      <c r="AI179" s="68"/>
      <c r="AJ179" s="67" t="s">
        <v>69</v>
      </c>
      <c r="AK179" s="73"/>
      <c r="AL179" s="73"/>
      <c r="AM179" s="68"/>
      <c r="AN179" s="67">
        <f t="shared" si="139"/>
        <v>97</v>
      </c>
      <c r="AO179" s="68" t="str">
        <f t="shared" si="140"/>
        <v>S</v>
      </c>
      <c r="AR179" s="49">
        <f t="shared" si="141"/>
        <v>1</v>
      </c>
      <c r="AS179" s="49">
        <f t="shared" si="142"/>
        <v>0</v>
      </c>
      <c r="AT179" s="49">
        <f t="shared" si="143"/>
        <v>0</v>
      </c>
      <c r="AU179" s="49">
        <f t="shared" si="144"/>
        <v>0</v>
      </c>
      <c r="AV179" s="49">
        <f t="shared" si="145"/>
        <v>1</v>
      </c>
      <c r="AW179" s="49">
        <f t="shared" si="146"/>
        <v>0</v>
      </c>
      <c r="AX179" s="49">
        <f t="shared" si="147"/>
        <v>0</v>
      </c>
      <c r="AY179" s="49">
        <f t="shared" si="148"/>
        <v>0</v>
      </c>
      <c r="AZ179" s="49">
        <f t="shared" si="149"/>
        <v>1</v>
      </c>
      <c r="BA179" s="49">
        <f t="shared" si="150"/>
        <v>0</v>
      </c>
      <c r="BB179" s="49">
        <f t="shared" si="151"/>
        <v>0</v>
      </c>
      <c r="BC179" s="49">
        <f t="shared" si="152"/>
        <v>0</v>
      </c>
      <c r="BD179" s="49">
        <f t="shared" si="153"/>
        <v>1</v>
      </c>
      <c r="BE179" s="49">
        <f t="shared" si="154"/>
        <v>0</v>
      </c>
      <c r="BF179" s="49">
        <f t="shared" si="155"/>
        <v>0</v>
      </c>
      <c r="BG179" s="49">
        <f t="shared" si="156"/>
        <v>0</v>
      </c>
      <c r="BH179" s="49">
        <f t="shared" si="157"/>
        <v>1</v>
      </c>
      <c r="BI179" s="49">
        <f t="shared" si="158"/>
        <v>0</v>
      </c>
      <c r="BJ179" s="49">
        <f t="shared" si="159"/>
        <v>0</v>
      </c>
      <c r="BK179" s="49">
        <f t="shared" si="160"/>
        <v>0</v>
      </c>
      <c r="BL179" s="49">
        <f t="shared" si="161"/>
        <v>1</v>
      </c>
      <c r="BM179" s="49">
        <f t="shared" si="162"/>
        <v>0</v>
      </c>
      <c r="BN179" s="49">
        <f t="shared" si="163"/>
        <v>0</v>
      </c>
      <c r="BO179" s="49">
        <f t="shared" si="164"/>
        <v>0</v>
      </c>
      <c r="BP179" s="49">
        <f t="shared" si="165"/>
        <v>0</v>
      </c>
      <c r="BQ179" s="49">
        <f t="shared" si="166"/>
        <v>1</v>
      </c>
      <c r="BR179" s="49">
        <f t="shared" si="167"/>
        <v>0</v>
      </c>
      <c r="BS179" s="49">
        <f t="shared" si="168"/>
        <v>0</v>
      </c>
      <c r="BT179" s="49">
        <f t="shared" si="169"/>
        <v>1</v>
      </c>
      <c r="BU179" s="49">
        <f t="shared" si="170"/>
        <v>0</v>
      </c>
      <c r="BV179" s="49">
        <f t="shared" si="171"/>
        <v>0</v>
      </c>
      <c r="BW179" s="49">
        <f t="shared" si="172"/>
        <v>0</v>
      </c>
    </row>
    <row r="180" spans="1:75" ht="35.1" customHeight="1" x14ac:dyDescent="0.3">
      <c r="A180" s="123" t="str">
        <f t="shared" si="137"/>
        <v>2팀</v>
      </c>
      <c r="B180" s="69">
        <f t="shared" si="138"/>
        <v>174</v>
      </c>
      <c r="C180" s="121" t="str">
        <f>IF(VLOOKUP($B180,'1. 현장별 인원현황'!$C:$J,2,0)=0,"",VLOOKUP($B180,'1. 현장별 인원현황'!$C:$J,2,0))</f>
        <v xml:space="preserve"> [2.금호건설] 대웅제약 마곡연구소 신축공사</v>
      </c>
      <c r="D180" s="74" t="str">
        <f>IF(VLOOKUP($B180,'1. 현장별 인원현황'!$C:$J,3,0)=0,"",VLOOKUP($B180,'1. 현장별 인원현황'!$C:$J,3,0))</f>
        <v>유영진</v>
      </c>
      <c r="E180" s="74" t="str">
        <f ca="1">IF(VLOOKUP($B180,'1. 현장별 인원현황'!$C:$J,4,0)=0,"",VLOOKUP($B180,'1. 현장별 인원현황'!$C:$J,4,0))</f>
        <v>59세</v>
      </c>
      <c r="F180" s="70" t="str">
        <f>IF(VLOOKUP($B180,'1. 현장별 인원현황'!$C:$J,7,0)=0,"",VLOOKUP($B180,'1. 현장별 인원현황'!$C:$J,7,0))</f>
        <v>기능공</v>
      </c>
      <c r="G180" s="72" t="str">
        <f>IF(VLOOKUP($B180,'1. 현장별 인원현황'!$C:$J,8,0)=0,"",VLOOKUP($B180,'1. 현장별 인원현황'!$C:$J,8,0))</f>
        <v>전공</v>
      </c>
      <c r="H180" s="67" t="s">
        <v>69</v>
      </c>
      <c r="I180" s="73"/>
      <c r="J180" s="73"/>
      <c r="K180" s="68"/>
      <c r="L180" s="67" t="s">
        <v>69</v>
      </c>
      <c r="M180" s="73"/>
      <c r="N180" s="73"/>
      <c r="O180" s="68"/>
      <c r="P180" s="67" t="s">
        <v>69</v>
      </c>
      <c r="Q180" s="73"/>
      <c r="R180" s="73"/>
      <c r="S180" s="68"/>
      <c r="T180" s="67" t="s">
        <v>69</v>
      </c>
      <c r="U180" s="73"/>
      <c r="V180" s="73"/>
      <c r="W180" s="68"/>
      <c r="X180" s="67" t="s">
        <v>69</v>
      </c>
      <c r="Y180" s="73"/>
      <c r="Z180" s="73"/>
      <c r="AA180" s="68"/>
      <c r="AB180" s="67" t="s">
        <v>69</v>
      </c>
      <c r="AC180" s="73"/>
      <c r="AD180" s="73"/>
      <c r="AE180" s="68"/>
      <c r="AF180" s="67"/>
      <c r="AG180" s="73" t="s">
        <v>69</v>
      </c>
      <c r="AH180" s="73"/>
      <c r="AI180" s="68"/>
      <c r="AJ180" s="67" t="s">
        <v>69</v>
      </c>
      <c r="AK180" s="73"/>
      <c r="AL180" s="73"/>
      <c r="AM180" s="68"/>
      <c r="AN180" s="67">
        <f t="shared" si="139"/>
        <v>97</v>
      </c>
      <c r="AO180" s="68" t="str">
        <f t="shared" si="140"/>
        <v>S</v>
      </c>
      <c r="AR180" s="49">
        <f t="shared" si="41"/>
        <v>1</v>
      </c>
      <c r="AS180" s="49">
        <f t="shared" si="42"/>
        <v>0</v>
      </c>
      <c r="AT180" s="49">
        <f t="shared" si="43"/>
        <v>0</v>
      </c>
      <c r="AU180" s="49">
        <f t="shared" si="44"/>
        <v>0</v>
      </c>
      <c r="AV180" s="49">
        <f t="shared" si="45"/>
        <v>1</v>
      </c>
      <c r="AW180" s="49">
        <f t="shared" si="46"/>
        <v>0</v>
      </c>
      <c r="AX180" s="49">
        <f t="shared" si="47"/>
        <v>0</v>
      </c>
      <c r="AY180" s="49">
        <f t="shared" si="48"/>
        <v>0</v>
      </c>
      <c r="AZ180" s="49">
        <f t="shared" si="49"/>
        <v>1</v>
      </c>
      <c r="BA180" s="49">
        <f t="shared" si="50"/>
        <v>0</v>
      </c>
      <c r="BB180" s="49">
        <f t="shared" si="51"/>
        <v>0</v>
      </c>
      <c r="BC180" s="49">
        <f t="shared" si="52"/>
        <v>0</v>
      </c>
      <c r="BD180" s="49">
        <f t="shared" si="53"/>
        <v>1</v>
      </c>
      <c r="BE180" s="49">
        <f t="shared" si="54"/>
        <v>0</v>
      </c>
      <c r="BF180" s="49">
        <f t="shared" si="55"/>
        <v>0</v>
      </c>
      <c r="BG180" s="49">
        <f t="shared" si="56"/>
        <v>0</v>
      </c>
      <c r="BH180" s="49">
        <f t="shared" si="57"/>
        <v>1</v>
      </c>
      <c r="BI180" s="49">
        <f t="shared" si="58"/>
        <v>0</v>
      </c>
      <c r="BJ180" s="49">
        <f t="shared" si="59"/>
        <v>0</v>
      </c>
      <c r="BK180" s="49">
        <f t="shared" si="60"/>
        <v>0</v>
      </c>
      <c r="BL180" s="49">
        <f t="shared" si="61"/>
        <v>1</v>
      </c>
      <c r="BM180" s="49">
        <f t="shared" si="62"/>
        <v>0</v>
      </c>
      <c r="BN180" s="49">
        <f t="shared" si="63"/>
        <v>0</v>
      </c>
      <c r="BO180" s="49">
        <f t="shared" si="64"/>
        <v>0</v>
      </c>
      <c r="BP180" s="49">
        <f t="shared" si="65"/>
        <v>0</v>
      </c>
      <c r="BQ180" s="49">
        <f t="shared" si="66"/>
        <v>1</v>
      </c>
      <c r="BR180" s="49">
        <f t="shared" si="67"/>
        <v>0</v>
      </c>
      <c r="BS180" s="49">
        <f t="shared" si="68"/>
        <v>0</v>
      </c>
      <c r="BT180" s="49">
        <f t="shared" si="69"/>
        <v>1</v>
      </c>
      <c r="BU180" s="49">
        <f t="shared" si="70"/>
        <v>0</v>
      </c>
      <c r="BV180" s="49">
        <f t="shared" si="71"/>
        <v>0</v>
      </c>
      <c r="BW180" s="49">
        <f t="shared" si="72"/>
        <v>0</v>
      </c>
    </row>
    <row r="181" spans="1:75" ht="35.1" customHeight="1" x14ac:dyDescent="0.3">
      <c r="A181" s="123" t="str">
        <f t="shared" si="137"/>
        <v>2팀</v>
      </c>
      <c r="B181" s="69">
        <f t="shared" si="138"/>
        <v>175</v>
      </c>
      <c r="C181" s="121" t="str">
        <f>IF(VLOOKUP($B181,'1. 현장별 인원현황'!$C:$J,2,0)=0,"",VLOOKUP($B181,'1. 현장별 인원현황'!$C:$J,2,0))</f>
        <v xml:space="preserve"> [2.금호건설] 대웅제약 마곡연구소 신축공사</v>
      </c>
      <c r="D181" s="74" t="str">
        <f>IF(VLOOKUP($B181,'1. 현장별 인원현황'!$C:$J,3,0)=0,"",VLOOKUP($B181,'1. 현장별 인원현황'!$C:$J,3,0))</f>
        <v>천도영</v>
      </c>
      <c r="E181" s="74" t="str">
        <f ca="1">IF(VLOOKUP($B181,'1. 현장별 인원현황'!$C:$J,4,0)=0,"",VLOOKUP($B181,'1. 현장별 인원현황'!$C:$J,4,0))</f>
        <v>58세</v>
      </c>
      <c r="F181" s="70" t="str">
        <f>IF(VLOOKUP($B181,'1. 현장별 인원현황'!$C:$J,7,0)=0,"",VLOOKUP($B181,'1. 현장별 인원현황'!$C:$J,7,0))</f>
        <v>기능공</v>
      </c>
      <c r="G181" s="72" t="str">
        <f>IF(VLOOKUP($B181,'1. 현장별 인원현황'!$C:$J,8,0)=0,"",VLOOKUP($B181,'1. 현장별 인원현황'!$C:$J,8,0))</f>
        <v>전공</v>
      </c>
      <c r="H181" s="67" t="s">
        <v>69</v>
      </c>
      <c r="I181" s="73"/>
      <c r="J181" s="73"/>
      <c r="K181" s="68"/>
      <c r="L181" s="67" t="s">
        <v>69</v>
      </c>
      <c r="M181" s="73"/>
      <c r="N181" s="73"/>
      <c r="O181" s="68"/>
      <c r="P181" s="67" t="s">
        <v>69</v>
      </c>
      <c r="Q181" s="73"/>
      <c r="R181" s="73"/>
      <c r="S181" s="68"/>
      <c r="T181" s="67" t="s">
        <v>69</v>
      </c>
      <c r="U181" s="73"/>
      <c r="V181" s="73"/>
      <c r="W181" s="68"/>
      <c r="X181" s="67" t="s">
        <v>69</v>
      </c>
      <c r="Y181" s="73"/>
      <c r="Z181" s="73"/>
      <c r="AA181" s="68"/>
      <c r="AB181" s="67" t="s">
        <v>69</v>
      </c>
      <c r="AC181" s="73"/>
      <c r="AD181" s="73"/>
      <c r="AE181" s="68"/>
      <c r="AF181" s="67"/>
      <c r="AG181" s="73" t="s">
        <v>69</v>
      </c>
      <c r="AH181" s="73"/>
      <c r="AI181" s="68"/>
      <c r="AJ181" s="67" t="s">
        <v>69</v>
      </c>
      <c r="AK181" s="73"/>
      <c r="AL181" s="73"/>
      <c r="AM181" s="68"/>
      <c r="AN181" s="67">
        <f t="shared" si="139"/>
        <v>97</v>
      </c>
      <c r="AO181" s="68" t="str">
        <f t="shared" si="140"/>
        <v>S</v>
      </c>
      <c r="AR181" s="49">
        <f t="shared" si="41"/>
        <v>1</v>
      </c>
      <c r="AS181" s="49">
        <f t="shared" si="42"/>
        <v>0</v>
      </c>
      <c r="AT181" s="49">
        <f t="shared" si="43"/>
        <v>0</v>
      </c>
      <c r="AU181" s="49">
        <f t="shared" si="44"/>
        <v>0</v>
      </c>
      <c r="AV181" s="49">
        <f t="shared" si="45"/>
        <v>1</v>
      </c>
      <c r="AW181" s="49">
        <f t="shared" si="46"/>
        <v>0</v>
      </c>
      <c r="AX181" s="49">
        <f t="shared" si="47"/>
        <v>0</v>
      </c>
      <c r="AY181" s="49">
        <f t="shared" si="48"/>
        <v>0</v>
      </c>
      <c r="AZ181" s="49">
        <f t="shared" si="49"/>
        <v>1</v>
      </c>
      <c r="BA181" s="49">
        <f t="shared" si="50"/>
        <v>0</v>
      </c>
      <c r="BB181" s="49">
        <f t="shared" si="51"/>
        <v>0</v>
      </c>
      <c r="BC181" s="49">
        <f t="shared" si="52"/>
        <v>0</v>
      </c>
      <c r="BD181" s="49">
        <f t="shared" si="53"/>
        <v>1</v>
      </c>
      <c r="BE181" s="49">
        <f t="shared" si="54"/>
        <v>0</v>
      </c>
      <c r="BF181" s="49">
        <f t="shared" si="55"/>
        <v>0</v>
      </c>
      <c r="BG181" s="49">
        <f t="shared" si="56"/>
        <v>0</v>
      </c>
      <c r="BH181" s="49">
        <f t="shared" si="57"/>
        <v>1</v>
      </c>
      <c r="BI181" s="49">
        <f t="shared" si="58"/>
        <v>0</v>
      </c>
      <c r="BJ181" s="49">
        <f t="shared" si="59"/>
        <v>0</v>
      </c>
      <c r="BK181" s="49">
        <f t="shared" si="60"/>
        <v>0</v>
      </c>
      <c r="BL181" s="49">
        <f t="shared" si="61"/>
        <v>1</v>
      </c>
      <c r="BM181" s="49">
        <f t="shared" si="62"/>
        <v>0</v>
      </c>
      <c r="BN181" s="49">
        <f t="shared" si="63"/>
        <v>0</v>
      </c>
      <c r="BO181" s="49">
        <f t="shared" si="64"/>
        <v>0</v>
      </c>
      <c r="BP181" s="49">
        <f t="shared" si="65"/>
        <v>0</v>
      </c>
      <c r="BQ181" s="49">
        <f t="shared" si="66"/>
        <v>1</v>
      </c>
      <c r="BR181" s="49">
        <f t="shared" si="67"/>
        <v>0</v>
      </c>
      <c r="BS181" s="49">
        <f t="shared" si="68"/>
        <v>0</v>
      </c>
      <c r="BT181" s="49">
        <f t="shared" si="69"/>
        <v>1</v>
      </c>
      <c r="BU181" s="49">
        <f t="shared" si="70"/>
        <v>0</v>
      </c>
      <c r="BV181" s="49">
        <f t="shared" si="71"/>
        <v>0</v>
      </c>
      <c r="BW181" s="49">
        <f t="shared" si="72"/>
        <v>0</v>
      </c>
    </row>
    <row r="182" spans="1:75" ht="35.1" customHeight="1" x14ac:dyDescent="0.3">
      <c r="A182" s="123" t="str">
        <f t="shared" si="137"/>
        <v>2팀</v>
      </c>
      <c r="B182" s="69">
        <f t="shared" si="138"/>
        <v>176</v>
      </c>
      <c r="C182" s="121" t="str">
        <f>IF(VLOOKUP($B182,'1. 현장별 인원현황'!$C:$J,2,0)=0,"",VLOOKUP($B182,'1. 현장별 인원현황'!$C:$J,2,0))</f>
        <v xml:space="preserve"> [2.금호건설] 대웅제약 마곡연구소 신축공사</v>
      </c>
      <c r="D182" s="74" t="str">
        <f>IF(VLOOKUP($B182,'1. 현장별 인원현황'!$C:$J,3,0)=0,"",VLOOKUP($B182,'1. 현장별 인원현황'!$C:$J,3,0))</f>
        <v>최재복</v>
      </c>
      <c r="E182" s="74" t="str">
        <f ca="1">IF(VLOOKUP($B182,'1. 현장별 인원현황'!$C:$J,4,0)=0,"",VLOOKUP($B182,'1. 현장별 인원현황'!$C:$J,4,0))</f>
        <v>63세</v>
      </c>
      <c r="F182" s="70" t="str">
        <f>IF(VLOOKUP($B182,'1. 현장별 인원현황'!$C:$J,7,0)=0,"",VLOOKUP($B182,'1. 현장별 인원현황'!$C:$J,7,0))</f>
        <v>기능공</v>
      </c>
      <c r="G182" s="72" t="str">
        <f>IF(VLOOKUP($B182,'1. 현장별 인원현황'!$C:$J,8,0)=0,"",VLOOKUP($B182,'1. 현장별 인원현황'!$C:$J,8,0))</f>
        <v>전공</v>
      </c>
      <c r="H182" s="67" t="s">
        <v>69</v>
      </c>
      <c r="I182" s="73"/>
      <c r="J182" s="73"/>
      <c r="K182" s="68"/>
      <c r="L182" s="67" t="s">
        <v>69</v>
      </c>
      <c r="M182" s="73"/>
      <c r="N182" s="73"/>
      <c r="O182" s="68"/>
      <c r="P182" s="67" t="s">
        <v>69</v>
      </c>
      <c r="Q182" s="73"/>
      <c r="R182" s="73"/>
      <c r="S182" s="68"/>
      <c r="T182" s="67" t="s">
        <v>69</v>
      </c>
      <c r="U182" s="73"/>
      <c r="V182" s="73"/>
      <c r="W182" s="68"/>
      <c r="X182" s="67" t="s">
        <v>69</v>
      </c>
      <c r="Y182" s="73"/>
      <c r="Z182" s="73"/>
      <c r="AA182" s="68"/>
      <c r="AB182" s="67" t="s">
        <v>69</v>
      </c>
      <c r="AC182" s="73"/>
      <c r="AD182" s="73"/>
      <c r="AE182" s="68"/>
      <c r="AF182" s="67" t="s">
        <v>69</v>
      </c>
      <c r="AG182" s="73"/>
      <c r="AH182" s="73"/>
      <c r="AI182" s="68"/>
      <c r="AJ182" s="67" t="s">
        <v>69</v>
      </c>
      <c r="AK182" s="73"/>
      <c r="AL182" s="73"/>
      <c r="AM182" s="68"/>
      <c r="AN182" s="67">
        <f t="shared" si="139"/>
        <v>100</v>
      </c>
      <c r="AO182" s="68" t="str">
        <f t="shared" si="140"/>
        <v>S</v>
      </c>
      <c r="AR182" s="49">
        <f t="shared" si="41"/>
        <v>1</v>
      </c>
      <c r="AS182" s="49">
        <f t="shared" si="42"/>
        <v>0</v>
      </c>
      <c r="AT182" s="49">
        <f t="shared" si="43"/>
        <v>0</v>
      </c>
      <c r="AU182" s="49">
        <f t="shared" si="44"/>
        <v>0</v>
      </c>
      <c r="AV182" s="49">
        <f t="shared" si="45"/>
        <v>1</v>
      </c>
      <c r="AW182" s="49">
        <f t="shared" si="46"/>
        <v>0</v>
      </c>
      <c r="AX182" s="49">
        <f t="shared" si="47"/>
        <v>0</v>
      </c>
      <c r="AY182" s="49">
        <f t="shared" si="48"/>
        <v>0</v>
      </c>
      <c r="AZ182" s="49">
        <f t="shared" si="49"/>
        <v>1</v>
      </c>
      <c r="BA182" s="49">
        <f t="shared" si="50"/>
        <v>0</v>
      </c>
      <c r="BB182" s="49">
        <f t="shared" si="51"/>
        <v>0</v>
      </c>
      <c r="BC182" s="49">
        <f t="shared" si="52"/>
        <v>0</v>
      </c>
      <c r="BD182" s="49">
        <f t="shared" si="53"/>
        <v>1</v>
      </c>
      <c r="BE182" s="49">
        <f t="shared" si="54"/>
        <v>0</v>
      </c>
      <c r="BF182" s="49">
        <f t="shared" si="55"/>
        <v>0</v>
      </c>
      <c r="BG182" s="49">
        <f t="shared" si="56"/>
        <v>0</v>
      </c>
      <c r="BH182" s="49">
        <f t="shared" si="57"/>
        <v>1</v>
      </c>
      <c r="BI182" s="49">
        <f t="shared" si="58"/>
        <v>0</v>
      </c>
      <c r="BJ182" s="49">
        <f t="shared" si="59"/>
        <v>0</v>
      </c>
      <c r="BK182" s="49">
        <f t="shared" si="60"/>
        <v>0</v>
      </c>
      <c r="BL182" s="49">
        <f t="shared" si="61"/>
        <v>1</v>
      </c>
      <c r="BM182" s="49">
        <f t="shared" si="62"/>
        <v>0</v>
      </c>
      <c r="BN182" s="49">
        <f t="shared" si="63"/>
        <v>0</v>
      </c>
      <c r="BO182" s="49">
        <f t="shared" si="64"/>
        <v>0</v>
      </c>
      <c r="BP182" s="49">
        <f t="shared" si="65"/>
        <v>1</v>
      </c>
      <c r="BQ182" s="49">
        <f t="shared" si="66"/>
        <v>0</v>
      </c>
      <c r="BR182" s="49">
        <f t="shared" si="67"/>
        <v>0</v>
      </c>
      <c r="BS182" s="49">
        <f t="shared" si="68"/>
        <v>0</v>
      </c>
      <c r="BT182" s="49">
        <f t="shared" si="69"/>
        <v>1</v>
      </c>
      <c r="BU182" s="49">
        <f t="shared" si="70"/>
        <v>0</v>
      </c>
      <c r="BV182" s="49">
        <f t="shared" si="71"/>
        <v>0</v>
      </c>
      <c r="BW182" s="49">
        <f t="shared" si="72"/>
        <v>0</v>
      </c>
    </row>
    <row r="183" spans="1:75" ht="35.1" customHeight="1" x14ac:dyDescent="0.3">
      <c r="A183" s="123" t="str">
        <f t="shared" si="137"/>
        <v>2팀</v>
      </c>
      <c r="B183" s="69">
        <f t="shared" si="138"/>
        <v>177</v>
      </c>
      <c r="C183" s="121" t="str">
        <f>IF(VLOOKUP($B183,'1. 현장별 인원현황'!$C:$J,2,0)=0,"",VLOOKUP($B183,'1. 현장별 인원현황'!$C:$J,2,0))</f>
        <v xml:space="preserve"> [2.금호건설] 대웅제약 마곡연구소 신축공사</v>
      </c>
      <c r="D183" s="74" t="str">
        <f>IF(VLOOKUP($B183,'1. 현장별 인원현황'!$C:$J,3,0)=0,"",VLOOKUP($B183,'1. 현장별 인원현황'!$C:$J,3,0))</f>
        <v>김찬희</v>
      </c>
      <c r="E183" s="74" t="str">
        <f ca="1">IF(VLOOKUP($B183,'1. 현장별 인원현황'!$C:$J,4,0)=0,"",VLOOKUP($B183,'1. 현장별 인원현황'!$C:$J,4,0))</f>
        <v>56세</v>
      </c>
      <c r="F183" s="70" t="str">
        <f>IF(VLOOKUP($B183,'1. 현장별 인원현황'!$C:$J,7,0)=0,"",VLOOKUP($B183,'1. 현장별 인원현황'!$C:$J,7,0))</f>
        <v>기능공</v>
      </c>
      <c r="G183" s="72" t="str">
        <f>IF(VLOOKUP($B183,'1. 현장별 인원현황'!$C:$J,8,0)=0,"",VLOOKUP($B183,'1. 현장별 인원현황'!$C:$J,8,0))</f>
        <v>전공</v>
      </c>
      <c r="H183" s="67" t="s">
        <v>69</v>
      </c>
      <c r="I183" s="73"/>
      <c r="J183" s="73"/>
      <c r="K183" s="68"/>
      <c r="L183" s="67" t="s">
        <v>69</v>
      </c>
      <c r="M183" s="73"/>
      <c r="N183" s="73"/>
      <c r="O183" s="68"/>
      <c r="P183" s="67" t="s">
        <v>69</v>
      </c>
      <c r="Q183" s="73"/>
      <c r="R183" s="73"/>
      <c r="S183" s="68"/>
      <c r="T183" s="67" t="s">
        <v>69</v>
      </c>
      <c r="U183" s="73"/>
      <c r="V183" s="73"/>
      <c r="W183" s="68"/>
      <c r="X183" s="67" t="s">
        <v>69</v>
      </c>
      <c r="Y183" s="73"/>
      <c r="Z183" s="73"/>
      <c r="AA183" s="68"/>
      <c r="AB183" s="67" t="s">
        <v>69</v>
      </c>
      <c r="AC183" s="73"/>
      <c r="AD183" s="73"/>
      <c r="AE183" s="68"/>
      <c r="AF183" s="67" t="s">
        <v>69</v>
      </c>
      <c r="AG183" s="73"/>
      <c r="AH183" s="73"/>
      <c r="AI183" s="68"/>
      <c r="AJ183" s="67" t="s">
        <v>69</v>
      </c>
      <c r="AK183" s="73"/>
      <c r="AL183" s="73"/>
      <c r="AM183" s="68"/>
      <c r="AN183" s="67">
        <f t="shared" si="139"/>
        <v>100</v>
      </c>
      <c r="AO183" s="68" t="str">
        <f t="shared" si="140"/>
        <v>S</v>
      </c>
      <c r="AR183" s="49">
        <f t="shared" si="41"/>
        <v>1</v>
      </c>
      <c r="AS183" s="49">
        <f t="shared" si="42"/>
        <v>0</v>
      </c>
      <c r="AT183" s="49">
        <f t="shared" si="43"/>
        <v>0</v>
      </c>
      <c r="AU183" s="49">
        <f t="shared" si="44"/>
        <v>0</v>
      </c>
      <c r="AV183" s="49">
        <f t="shared" si="45"/>
        <v>1</v>
      </c>
      <c r="AW183" s="49">
        <f t="shared" si="46"/>
        <v>0</v>
      </c>
      <c r="AX183" s="49">
        <f t="shared" si="47"/>
        <v>0</v>
      </c>
      <c r="AY183" s="49">
        <f t="shared" si="48"/>
        <v>0</v>
      </c>
      <c r="AZ183" s="49">
        <f t="shared" si="49"/>
        <v>1</v>
      </c>
      <c r="BA183" s="49">
        <f t="shared" si="50"/>
        <v>0</v>
      </c>
      <c r="BB183" s="49">
        <f t="shared" si="51"/>
        <v>0</v>
      </c>
      <c r="BC183" s="49">
        <f t="shared" si="52"/>
        <v>0</v>
      </c>
      <c r="BD183" s="49">
        <f t="shared" si="53"/>
        <v>1</v>
      </c>
      <c r="BE183" s="49">
        <f t="shared" si="54"/>
        <v>0</v>
      </c>
      <c r="BF183" s="49">
        <f t="shared" si="55"/>
        <v>0</v>
      </c>
      <c r="BG183" s="49">
        <f t="shared" si="56"/>
        <v>0</v>
      </c>
      <c r="BH183" s="49">
        <f t="shared" si="57"/>
        <v>1</v>
      </c>
      <c r="BI183" s="49">
        <f t="shared" si="58"/>
        <v>0</v>
      </c>
      <c r="BJ183" s="49">
        <f t="shared" si="59"/>
        <v>0</v>
      </c>
      <c r="BK183" s="49">
        <f t="shared" si="60"/>
        <v>0</v>
      </c>
      <c r="BL183" s="49">
        <f t="shared" si="61"/>
        <v>1</v>
      </c>
      <c r="BM183" s="49">
        <f t="shared" si="62"/>
        <v>0</v>
      </c>
      <c r="BN183" s="49">
        <f t="shared" si="63"/>
        <v>0</v>
      </c>
      <c r="BO183" s="49">
        <f t="shared" si="64"/>
        <v>0</v>
      </c>
      <c r="BP183" s="49">
        <f t="shared" si="65"/>
        <v>1</v>
      </c>
      <c r="BQ183" s="49">
        <f t="shared" si="66"/>
        <v>0</v>
      </c>
      <c r="BR183" s="49">
        <f t="shared" si="67"/>
        <v>0</v>
      </c>
      <c r="BS183" s="49">
        <f t="shared" si="68"/>
        <v>0</v>
      </c>
      <c r="BT183" s="49">
        <f t="shared" si="69"/>
        <v>1</v>
      </c>
      <c r="BU183" s="49">
        <f t="shared" si="70"/>
        <v>0</v>
      </c>
      <c r="BV183" s="49">
        <f t="shared" si="71"/>
        <v>0</v>
      </c>
      <c r="BW183" s="49">
        <f t="shared" si="72"/>
        <v>0</v>
      </c>
    </row>
    <row r="184" spans="1:75" ht="35.1" customHeight="1" x14ac:dyDescent="0.3">
      <c r="A184" s="123" t="str">
        <f t="shared" si="137"/>
        <v>2팀</v>
      </c>
      <c r="B184" s="69">
        <f t="shared" si="138"/>
        <v>178</v>
      </c>
      <c r="C184" s="121" t="str">
        <f>IF(VLOOKUP($B184,'1. 현장별 인원현황'!$C:$J,2,0)=0,"",VLOOKUP($B184,'1. 현장별 인원현황'!$C:$J,2,0))</f>
        <v xml:space="preserve"> [2.금호건설] 대웅제약 마곡연구소 신축공사</v>
      </c>
      <c r="D184" s="74" t="str">
        <f>IF(VLOOKUP($B184,'1. 현장별 인원현황'!$C:$J,3,0)=0,"",VLOOKUP($B184,'1. 현장별 인원현황'!$C:$J,3,0))</f>
        <v>서호원</v>
      </c>
      <c r="E184" s="74" t="str">
        <f ca="1">IF(VLOOKUP($B184,'1. 현장별 인원현황'!$C:$J,4,0)=0,"",VLOOKUP($B184,'1. 현장별 인원현황'!$C:$J,4,0))</f>
        <v>63세</v>
      </c>
      <c r="F184" s="70" t="str">
        <f>IF(VLOOKUP($B184,'1. 현장별 인원현황'!$C:$J,7,0)=0,"",VLOOKUP($B184,'1. 현장별 인원현황'!$C:$J,7,0))</f>
        <v>기능공</v>
      </c>
      <c r="G184" s="72" t="str">
        <f>IF(VLOOKUP($B184,'1. 현장별 인원현황'!$C:$J,8,0)=0,"",VLOOKUP($B184,'1. 현장별 인원현황'!$C:$J,8,0))</f>
        <v>전공</v>
      </c>
      <c r="H184" s="67" t="s">
        <v>69</v>
      </c>
      <c r="I184" s="73"/>
      <c r="J184" s="73"/>
      <c r="K184" s="68"/>
      <c r="L184" s="67" t="s">
        <v>69</v>
      </c>
      <c r="M184" s="73"/>
      <c r="N184" s="73"/>
      <c r="O184" s="68"/>
      <c r="P184" s="67" t="s">
        <v>69</v>
      </c>
      <c r="Q184" s="73"/>
      <c r="R184" s="73"/>
      <c r="S184" s="68"/>
      <c r="T184" s="67" t="s">
        <v>69</v>
      </c>
      <c r="U184" s="73"/>
      <c r="V184" s="73"/>
      <c r="W184" s="68"/>
      <c r="X184" s="67" t="s">
        <v>69</v>
      </c>
      <c r="Y184" s="73"/>
      <c r="Z184" s="73"/>
      <c r="AA184" s="68"/>
      <c r="AB184" s="67" t="s">
        <v>69</v>
      </c>
      <c r="AC184" s="73"/>
      <c r="AD184" s="73"/>
      <c r="AE184" s="68"/>
      <c r="AF184" s="67"/>
      <c r="AG184" s="73" t="s">
        <v>69</v>
      </c>
      <c r="AH184" s="73"/>
      <c r="AI184" s="68"/>
      <c r="AJ184" s="67" t="s">
        <v>69</v>
      </c>
      <c r="AK184" s="73"/>
      <c r="AL184" s="73"/>
      <c r="AM184" s="68"/>
      <c r="AN184" s="67">
        <f t="shared" si="139"/>
        <v>97</v>
      </c>
      <c r="AO184" s="68" t="str">
        <f t="shared" si="140"/>
        <v>S</v>
      </c>
      <c r="AR184" s="49">
        <f t="shared" si="41"/>
        <v>1</v>
      </c>
      <c r="AS184" s="49">
        <f t="shared" si="42"/>
        <v>0</v>
      </c>
      <c r="AT184" s="49">
        <f t="shared" si="43"/>
        <v>0</v>
      </c>
      <c r="AU184" s="49">
        <f t="shared" si="44"/>
        <v>0</v>
      </c>
      <c r="AV184" s="49">
        <f t="shared" si="45"/>
        <v>1</v>
      </c>
      <c r="AW184" s="49">
        <f t="shared" si="46"/>
        <v>0</v>
      </c>
      <c r="AX184" s="49">
        <f t="shared" si="47"/>
        <v>0</v>
      </c>
      <c r="AY184" s="49">
        <f t="shared" si="48"/>
        <v>0</v>
      </c>
      <c r="AZ184" s="49">
        <f t="shared" si="49"/>
        <v>1</v>
      </c>
      <c r="BA184" s="49">
        <f t="shared" si="50"/>
        <v>0</v>
      </c>
      <c r="BB184" s="49">
        <f t="shared" si="51"/>
        <v>0</v>
      </c>
      <c r="BC184" s="49">
        <f t="shared" si="52"/>
        <v>0</v>
      </c>
      <c r="BD184" s="49">
        <f t="shared" si="53"/>
        <v>1</v>
      </c>
      <c r="BE184" s="49">
        <f t="shared" si="54"/>
        <v>0</v>
      </c>
      <c r="BF184" s="49">
        <f t="shared" si="55"/>
        <v>0</v>
      </c>
      <c r="BG184" s="49">
        <f t="shared" si="56"/>
        <v>0</v>
      </c>
      <c r="BH184" s="49">
        <f t="shared" si="57"/>
        <v>1</v>
      </c>
      <c r="BI184" s="49">
        <f t="shared" si="58"/>
        <v>0</v>
      </c>
      <c r="BJ184" s="49">
        <f t="shared" si="59"/>
        <v>0</v>
      </c>
      <c r="BK184" s="49">
        <f t="shared" si="60"/>
        <v>0</v>
      </c>
      <c r="BL184" s="49">
        <f t="shared" si="61"/>
        <v>1</v>
      </c>
      <c r="BM184" s="49">
        <f t="shared" si="62"/>
        <v>0</v>
      </c>
      <c r="BN184" s="49">
        <f t="shared" si="63"/>
        <v>0</v>
      </c>
      <c r="BO184" s="49">
        <f t="shared" si="64"/>
        <v>0</v>
      </c>
      <c r="BP184" s="49">
        <f t="shared" si="65"/>
        <v>0</v>
      </c>
      <c r="BQ184" s="49">
        <f t="shared" si="66"/>
        <v>1</v>
      </c>
      <c r="BR184" s="49">
        <f t="shared" si="67"/>
        <v>0</v>
      </c>
      <c r="BS184" s="49">
        <f t="shared" si="68"/>
        <v>0</v>
      </c>
      <c r="BT184" s="49">
        <f t="shared" si="69"/>
        <v>1</v>
      </c>
      <c r="BU184" s="49">
        <f t="shared" si="70"/>
        <v>0</v>
      </c>
      <c r="BV184" s="49">
        <f t="shared" si="71"/>
        <v>0</v>
      </c>
      <c r="BW184" s="49">
        <f t="shared" si="72"/>
        <v>0</v>
      </c>
    </row>
    <row r="185" spans="1:75" ht="35.1" customHeight="1" x14ac:dyDescent="0.3">
      <c r="A185" s="123" t="str">
        <f t="shared" si="137"/>
        <v>2팀</v>
      </c>
      <c r="B185" s="69">
        <f t="shared" si="138"/>
        <v>179</v>
      </c>
      <c r="C185" s="121" t="str">
        <f>IF(VLOOKUP($B185,'1. 현장별 인원현황'!$C:$J,2,0)=0,"",VLOOKUP($B185,'1. 현장별 인원현황'!$C:$J,2,0))</f>
        <v xml:space="preserve"> [2.금호건설] 대웅제약 마곡연구소 신축공사</v>
      </c>
      <c r="D185" s="74" t="str">
        <f>IF(VLOOKUP($B185,'1. 현장별 인원현황'!$C:$J,3,0)=0,"",VLOOKUP($B185,'1. 현장별 인원현황'!$C:$J,3,0))</f>
        <v>성낙원</v>
      </c>
      <c r="E185" s="74" t="str">
        <f ca="1">IF(VLOOKUP($B185,'1. 현장별 인원현황'!$C:$J,4,0)=0,"",VLOOKUP($B185,'1. 현장별 인원현황'!$C:$J,4,0))</f>
        <v>63세</v>
      </c>
      <c r="F185" s="70" t="str">
        <f>IF(VLOOKUP($B185,'1. 현장별 인원현황'!$C:$J,7,0)=0,"",VLOOKUP($B185,'1. 현장별 인원현황'!$C:$J,7,0))</f>
        <v>기능공</v>
      </c>
      <c r="G185" s="72" t="str">
        <f>IF(VLOOKUP($B185,'1. 현장별 인원현황'!$C:$J,8,0)=0,"",VLOOKUP($B185,'1. 현장별 인원현황'!$C:$J,8,0))</f>
        <v>전공</v>
      </c>
      <c r="H185" s="67" t="s">
        <v>69</v>
      </c>
      <c r="I185" s="73"/>
      <c r="J185" s="73"/>
      <c r="K185" s="68"/>
      <c r="L185" s="67" t="s">
        <v>69</v>
      </c>
      <c r="M185" s="73"/>
      <c r="N185" s="73"/>
      <c r="O185" s="68"/>
      <c r="P185" s="67" t="s">
        <v>69</v>
      </c>
      <c r="Q185" s="73"/>
      <c r="R185" s="73"/>
      <c r="S185" s="68"/>
      <c r="T185" s="67" t="s">
        <v>69</v>
      </c>
      <c r="U185" s="73"/>
      <c r="V185" s="73"/>
      <c r="W185" s="68"/>
      <c r="X185" s="67" t="s">
        <v>69</v>
      </c>
      <c r="Y185" s="73"/>
      <c r="Z185" s="73"/>
      <c r="AA185" s="68"/>
      <c r="AB185" s="67" t="s">
        <v>69</v>
      </c>
      <c r="AC185" s="73"/>
      <c r="AD185" s="73"/>
      <c r="AE185" s="68"/>
      <c r="AF185" s="67" t="s">
        <v>69</v>
      </c>
      <c r="AG185" s="73"/>
      <c r="AH185" s="73"/>
      <c r="AI185" s="68"/>
      <c r="AJ185" s="67" t="s">
        <v>69</v>
      </c>
      <c r="AK185" s="73"/>
      <c r="AL185" s="73"/>
      <c r="AM185" s="68"/>
      <c r="AN185" s="67">
        <f t="shared" si="139"/>
        <v>100</v>
      </c>
      <c r="AO185" s="68" t="str">
        <f t="shared" si="140"/>
        <v>S</v>
      </c>
      <c r="AR185" s="49">
        <f t="shared" si="41"/>
        <v>1</v>
      </c>
      <c r="AS185" s="49">
        <f t="shared" si="42"/>
        <v>0</v>
      </c>
      <c r="AT185" s="49">
        <f t="shared" si="43"/>
        <v>0</v>
      </c>
      <c r="AU185" s="49">
        <f t="shared" si="44"/>
        <v>0</v>
      </c>
      <c r="AV185" s="49">
        <f t="shared" si="45"/>
        <v>1</v>
      </c>
      <c r="AW185" s="49">
        <f t="shared" si="46"/>
        <v>0</v>
      </c>
      <c r="AX185" s="49">
        <f t="shared" si="47"/>
        <v>0</v>
      </c>
      <c r="AY185" s="49">
        <f t="shared" si="48"/>
        <v>0</v>
      </c>
      <c r="AZ185" s="49">
        <f t="shared" si="49"/>
        <v>1</v>
      </c>
      <c r="BA185" s="49">
        <f t="shared" si="50"/>
        <v>0</v>
      </c>
      <c r="BB185" s="49">
        <f t="shared" si="51"/>
        <v>0</v>
      </c>
      <c r="BC185" s="49">
        <f t="shared" si="52"/>
        <v>0</v>
      </c>
      <c r="BD185" s="49">
        <f t="shared" si="53"/>
        <v>1</v>
      </c>
      <c r="BE185" s="49">
        <f t="shared" si="54"/>
        <v>0</v>
      </c>
      <c r="BF185" s="49">
        <f t="shared" si="55"/>
        <v>0</v>
      </c>
      <c r="BG185" s="49">
        <f t="shared" si="56"/>
        <v>0</v>
      </c>
      <c r="BH185" s="49">
        <f t="shared" si="57"/>
        <v>1</v>
      </c>
      <c r="BI185" s="49">
        <f t="shared" si="58"/>
        <v>0</v>
      </c>
      <c r="BJ185" s="49">
        <f t="shared" si="59"/>
        <v>0</v>
      </c>
      <c r="BK185" s="49">
        <f t="shared" si="60"/>
        <v>0</v>
      </c>
      <c r="BL185" s="49">
        <f t="shared" si="61"/>
        <v>1</v>
      </c>
      <c r="BM185" s="49">
        <f t="shared" si="62"/>
        <v>0</v>
      </c>
      <c r="BN185" s="49">
        <f t="shared" si="63"/>
        <v>0</v>
      </c>
      <c r="BO185" s="49">
        <f t="shared" si="64"/>
        <v>0</v>
      </c>
      <c r="BP185" s="49">
        <f t="shared" si="65"/>
        <v>1</v>
      </c>
      <c r="BQ185" s="49">
        <f t="shared" si="66"/>
        <v>0</v>
      </c>
      <c r="BR185" s="49">
        <f t="shared" si="67"/>
        <v>0</v>
      </c>
      <c r="BS185" s="49">
        <f t="shared" si="68"/>
        <v>0</v>
      </c>
      <c r="BT185" s="49">
        <f t="shared" si="69"/>
        <v>1</v>
      </c>
      <c r="BU185" s="49">
        <f t="shared" si="70"/>
        <v>0</v>
      </c>
      <c r="BV185" s="49">
        <f t="shared" si="71"/>
        <v>0</v>
      </c>
      <c r="BW185" s="49">
        <f t="shared" si="72"/>
        <v>0</v>
      </c>
    </row>
    <row r="186" spans="1:75" ht="35.1" customHeight="1" x14ac:dyDescent="0.3">
      <c r="A186" s="123" t="str">
        <f t="shared" si="137"/>
        <v>2팀</v>
      </c>
      <c r="B186" s="69">
        <f t="shared" si="138"/>
        <v>180</v>
      </c>
      <c r="C186" s="121" t="str">
        <f>IF(VLOOKUP($B186,'1. 현장별 인원현황'!$C:$J,2,0)=0,"",VLOOKUP($B186,'1. 현장별 인원현황'!$C:$J,2,0))</f>
        <v xml:space="preserve"> [2.금호건설] 대웅제약 마곡연구소 신축공사</v>
      </c>
      <c r="D186" s="74" t="str">
        <f>IF(VLOOKUP($B186,'1. 현장별 인원현황'!$C:$J,3,0)=0,"",VLOOKUP($B186,'1. 현장별 인원현황'!$C:$J,3,0))</f>
        <v>송형준</v>
      </c>
      <c r="E186" s="74" t="str">
        <f ca="1">IF(VLOOKUP($B186,'1. 현장별 인원현황'!$C:$J,4,0)=0,"",VLOOKUP($B186,'1. 현장별 인원현황'!$C:$J,4,0))</f>
        <v>64세</v>
      </c>
      <c r="F186" s="70" t="str">
        <f>IF(VLOOKUP($B186,'1. 현장별 인원현황'!$C:$J,7,0)=0,"",VLOOKUP($B186,'1. 현장별 인원현황'!$C:$J,7,0))</f>
        <v>기능공</v>
      </c>
      <c r="G186" s="72" t="str">
        <f>IF(VLOOKUP($B186,'1. 현장별 인원현황'!$C:$J,8,0)=0,"",VLOOKUP($B186,'1. 현장별 인원현황'!$C:$J,8,0))</f>
        <v>전공</v>
      </c>
      <c r="H186" s="67" t="s">
        <v>69</v>
      </c>
      <c r="I186" s="73"/>
      <c r="J186" s="73"/>
      <c r="K186" s="68"/>
      <c r="L186" s="67" t="s">
        <v>69</v>
      </c>
      <c r="M186" s="73"/>
      <c r="N186" s="73"/>
      <c r="O186" s="68"/>
      <c r="P186" s="67" t="s">
        <v>69</v>
      </c>
      <c r="Q186" s="73"/>
      <c r="R186" s="73"/>
      <c r="S186" s="68"/>
      <c r="T186" s="67" t="s">
        <v>69</v>
      </c>
      <c r="U186" s="73"/>
      <c r="V186" s="73"/>
      <c r="W186" s="68"/>
      <c r="X186" s="67" t="s">
        <v>69</v>
      </c>
      <c r="Y186" s="73"/>
      <c r="Z186" s="73"/>
      <c r="AA186" s="68"/>
      <c r="AB186" s="67" t="s">
        <v>69</v>
      </c>
      <c r="AC186" s="73"/>
      <c r="AD186" s="73"/>
      <c r="AE186" s="68"/>
      <c r="AF186" s="67"/>
      <c r="AG186" s="73" t="s">
        <v>69</v>
      </c>
      <c r="AH186" s="73"/>
      <c r="AI186" s="68"/>
      <c r="AJ186" s="67" t="s">
        <v>69</v>
      </c>
      <c r="AK186" s="73"/>
      <c r="AL186" s="73"/>
      <c r="AM186" s="68"/>
      <c r="AN186" s="67">
        <f t="shared" si="139"/>
        <v>97</v>
      </c>
      <c r="AO186" s="68" t="str">
        <f t="shared" si="140"/>
        <v>S</v>
      </c>
      <c r="AR186" s="49">
        <f t="shared" si="41"/>
        <v>1</v>
      </c>
      <c r="AS186" s="49">
        <f t="shared" si="42"/>
        <v>0</v>
      </c>
      <c r="AT186" s="49">
        <f t="shared" si="43"/>
        <v>0</v>
      </c>
      <c r="AU186" s="49">
        <f t="shared" si="44"/>
        <v>0</v>
      </c>
      <c r="AV186" s="49">
        <f t="shared" si="45"/>
        <v>1</v>
      </c>
      <c r="AW186" s="49">
        <f t="shared" si="46"/>
        <v>0</v>
      </c>
      <c r="AX186" s="49">
        <f t="shared" si="47"/>
        <v>0</v>
      </c>
      <c r="AY186" s="49">
        <f t="shared" si="48"/>
        <v>0</v>
      </c>
      <c r="AZ186" s="49">
        <f t="shared" si="49"/>
        <v>1</v>
      </c>
      <c r="BA186" s="49">
        <f t="shared" si="50"/>
        <v>0</v>
      </c>
      <c r="BB186" s="49">
        <f t="shared" si="51"/>
        <v>0</v>
      </c>
      <c r="BC186" s="49">
        <f t="shared" si="52"/>
        <v>0</v>
      </c>
      <c r="BD186" s="49">
        <f t="shared" si="53"/>
        <v>1</v>
      </c>
      <c r="BE186" s="49">
        <f t="shared" si="54"/>
        <v>0</v>
      </c>
      <c r="BF186" s="49">
        <f t="shared" si="55"/>
        <v>0</v>
      </c>
      <c r="BG186" s="49">
        <f t="shared" si="56"/>
        <v>0</v>
      </c>
      <c r="BH186" s="49">
        <f t="shared" si="57"/>
        <v>1</v>
      </c>
      <c r="BI186" s="49">
        <f t="shared" si="58"/>
        <v>0</v>
      </c>
      <c r="BJ186" s="49">
        <f t="shared" si="59"/>
        <v>0</v>
      </c>
      <c r="BK186" s="49">
        <f t="shared" si="60"/>
        <v>0</v>
      </c>
      <c r="BL186" s="49">
        <f t="shared" si="61"/>
        <v>1</v>
      </c>
      <c r="BM186" s="49">
        <f t="shared" si="62"/>
        <v>0</v>
      </c>
      <c r="BN186" s="49">
        <f t="shared" si="63"/>
        <v>0</v>
      </c>
      <c r="BO186" s="49">
        <f t="shared" si="64"/>
        <v>0</v>
      </c>
      <c r="BP186" s="49">
        <f t="shared" si="65"/>
        <v>0</v>
      </c>
      <c r="BQ186" s="49">
        <f t="shared" si="66"/>
        <v>1</v>
      </c>
      <c r="BR186" s="49">
        <f t="shared" si="67"/>
        <v>0</v>
      </c>
      <c r="BS186" s="49">
        <f t="shared" si="68"/>
        <v>0</v>
      </c>
      <c r="BT186" s="49">
        <f t="shared" si="69"/>
        <v>1</v>
      </c>
      <c r="BU186" s="49">
        <f t="shared" si="70"/>
        <v>0</v>
      </c>
      <c r="BV186" s="49">
        <f t="shared" si="71"/>
        <v>0</v>
      </c>
      <c r="BW186" s="49">
        <f t="shared" si="72"/>
        <v>0</v>
      </c>
    </row>
    <row r="187" spans="1:75" ht="35.1" customHeight="1" x14ac:dyDescent="0.3">
      <c r="A187" s="123" t="str">
        <f t="shared" si="137"/>
        <v>2팀</v>
      </c>
      <c r="B187" s="69">
        <f t="shared" si="138"/>
        <v>181</v>
      </c>
      <c r="C187" s="121" t="str">
        <f>IF(VLOOKUP($B187,'1. 현장별 인원현황'!$C:$J,2,0)=0,"",VLOOKUP($B187,'1. 현장별 인원현황'!$C:$J,2,0))</f>
        <v xml:space="preserve"> [2.금호건설] 대웅제약 마곡연구소 신축공사</v>
      </c>
      <c r="D187" s="74" t="str">
        <f>IF(VLOOKUP($B187,'1. 현장별 인원현황'!$C:$J,3,0)=0,"",VLOOKUP($B187,'1. 현장별 인원현황'!$C:$J,3,0))</f>
        <v>양영식</v>
      </c>
      <c r="E187" s="74" t="str">
        <f ca="1">IF(VLOOKUP($B187,'1. 현장별 인원현황'!$C:$J,4,0)=0,"",VLOOKUP($B187,'1. 현장별 인원현황'!$C:$J,4,0))</f>
        <v>66세</v>
      </c>
      <c r="F187" s="70" t="str">
        <f>IF(VLOOKUP($B187,'1. 현장별 인원현황'!$C:$J,7,0)=0,"",VLOOKUP($B187,'1. 현장별 인원현황'!$C:$J,7,0))</f>
        <v>기능공</v>
      </c>
      <c r="G187" s="72" t="str">
        <f>IF(VLOOKUP($B187,'1. 현장별 인원현황'!$C:$J,8,0)=0,"",VLOOKUP($B187,'1. 현장별 인원현황'!$C:$J,8,0))</f>
        <v>전공</v>
      </c>
      <c r="H187" s="67" t="s">
        <v>69</v>
      </c>
      <c r="I187" s="73"/>
      <c r="J187" s="73"/>
      <c r="K187" s="68"/>
      <c r="L187" s="67" t="s">
        <v>69</v>
      </c>
      <c r="M187" s="73"/>
      <c r="N187" s="73"/>
      <c r="O187" s="68"/>
      <c r="P187" s="67" t="s">
        <v>69</v>
      </c>
      <c r="Q187" s="73"/>
      <c r="R187" s="73"/>
      <c r="S187" s="68"/>
      <c r="T187" s="67" t="s">
        <v>69</v>
      </c>
      <c r="U187" s="73"/>
      <c r="V187" s="73"/>
      <c r="W187" s="68"/>
      <c r="X187" s="67" t="s">
        <v>69</v>
      </c>
      <c r="Y187" s="73"/>
      <c r="Z187" s="73"/>
      <c r="AA187" s="68"/>
      <c r="AB187" s="67" t="s">
        <v>69</v>
      </c>
      <c r="AC187" s="73"/>
      <c r="AD187" s="73"/>
      <c r="AE187" s="68"/>
      <c r="AF187" s="67"/>
      <c r="AG187" s="73" t="s">
        <v>69</v>
      </c>
      <c r="AH187" s="73"/>
      <c r="AI187" s="68"/>
      <c r="AJ187" s="67" t="s">
        <v>69</v>
      </c>
      <c r="AK187" s="73"/>
      <c r="AL187" s="73"/>
      <c r="AM187" s="68"/>
      <c r="AN187" s="67">
        <f t="shared" si="139"/>
        <v>97</v>
      </c>
      <c r="AO187" s="68" t="str">
        <f t="shared" si="140"/>
        <v>S</v>
      </c>
      <c r="AR187" s="49">
        <f t="shared" si="41"/>
        <v>1</v>
      </c>
      <c r="AS187" s="49">
        <f t="shared" si="42"/>
        <v>0</v>
      </c>
      <c r="AT187" s="49">
        <f t="shared" si="43"/>
        <v>0</v>
      </c>
      <c r="AU187" s="49">
        <f t="shared" si="44"/>
        <v>0</v>
      </c>
      <c r="AV187" s="49">
        <f t="shared" si="45"/>
        <v>1</v>
      </c>
      <c r="AW187" s="49">
        <f t="shared" si="46"/>
        <v>0</v>
      </c>
      <c r="AX187" s="49">
        <f t="shared" si="47"/>
        <v>0</v>
      </c>
      <c r="AY187" s="49">
        <f t="shared" si="48"/>
        <v>0</v>
      </c>
      <c r="AZ187" s="49">
        <f t="shared" si="49"/>
        <v>1</v>
      </c>
      <c r="BA187" s="49">
        <f t="shared" si="50"/>
        <v>0</v>
      </c>
      <c r="BB187" s="49">
        <f t="shared" si="51"/>
        <v>0</v>
      </c>
      <c r="BC187" s="49">
        <f t="shared" si="52"/>
        <v>0</v>
      </c>
      <c r="BD187" s="49">
        <f t="shared" si="53"/>
        <v>1</v>
      </c>
      <c r="BE187" s="49">
        <f t="shared" si="54"/>
        <v>0</v>
      </c>
      <c r="BF187" s="49">
        <f t="shared" si="55"/>
        <v>0</v>
      </c>
      <c r="BG187" s="49">
        <f t="shared" si="56"/>
        <v>0</v>
      </c>
      <c r="BH187" s="49">
        <f t="shared" si="57"/>
        <v>1</v>
      </c>
      <c r="BI187" s="49">
        <f t="shared" si="58"/>
        <v>0</v>
      </c>
      <c r="BJ187" s="49">
        <f t="shared" si="59"/>
        <v>0</v>
      </c>
      <c r="BK187" s="49">
        <f t="shared" si="60"/>
        <v>0</v>
      </c>
      <c r="BL187" s="49">
        <f t="shared" si="61"/>
        <v>1</v>
      </c>
      <c r="BM187" s="49">
        <f t="shared" si="62"/>
        <v>0</v>
      </c>
      <c r="BN187" s="49">
        <f t="shared" si="63"/>
        <v>0</v>
      </c>
      <c r="BO187" s="49">
        <f t="shared" si="64"/>
        <v>0</v>
      </c>
      <c r="BP187" s="49">
        <f t="shared" si="65"/>
        <v>0</v>
      </c>
      <c r="BQ187" s="49">
        <f t="shared" si="66"/>
        <v>1</v>
      </c>
      <c r="BR187" s="49">
        <f t="shared" si="67"/>
        <v>0</v>
      </c>
      <c r="BS187" s="49">
        <f t="shared" si="68"/>
        <v>0</v>
      </c>
      <c r="BT187" s="49">
        <f t="shared" si="69"/>
        <v>1</v>
      </c>
      <c r="BU187" s="49">
        <f t="shared" si="70"/>
        <v>0</v>
      </c>
      <c r="BV187" s="49">
        <f t="shared" si="71"/>
        <v>0</v>
      </c>
      <c r="BW187" s="49">
        <f t="shared" si="72"/>
        <v>0</v>
      </c>
    </row>
    <row r="188" spans="1:75" ht="35.1" customHeight="1" x14ac:dyDescent="0.3">
      <c r="A188" s="123" t="str">
        <f t="shared" si="137"/>
        <v>2팀</v>
      </c>
      <c r="B188" s="69">
        <f t="shared" si="138"/>
        <v>182</v>
      </c>
      <c r="C188" s="121" t="str">
        <f>IF(VLOOKUP($B188,'1. 현장별 인원현황'!$C:$J,2,0)=0,"",VLOOKUP($B188,'1. 현장별 인원현황'!$C:$J,2,0))</f>
        <v xml:space="preserve"> [2.금호건설] 대웅제약 마곡연구소 신축공사</v>
      </c>
      <c r="D188" s="74" t="str">
        <f>IF(VLOOKUP($B188,'1. 현장별 인원현황'!$C:$J,3,0)=0,"",VLOOKUP($B188,'1. 현장별 인원현황'!$C:$J,3,0))</f>
        <v>윤영의</v>
      </c>
      <c r="E188" s="74" t="str">
        <f ca="1">IF(VLOOKUP($B188,'1. 현장별 인원현황'!$C:$J,4,0)=0,"",VLOOKUP($B188,'1. 현장별 인원현황'!$C:$J,4,0))</f>
        <v>63세</v>
      </c>
      <c r="F188" s="70" t="str">
        <f>IF(VLOOKUP($B188,'1. 현장별 인원현황'!$C:$J,7,0)=0,"",VLOOKUP($B188,'1. 현장별 인원현황'!$C:$J,7,0))</f>
        <v>기능공</v>
      </c>
      <c r="G188" s="72" t="str">
        <f>IF(VLOOKUP($B188,'1. 현장별 인원현황'!$C:$J,8,0)=0,"",VLOOKUP($B188,'1. 현장별 인원현황'!$C:$J,8,0))</f>
        <v>전공</v>
      </c>
      <c r="H188" s="67" t="s">
        <v>69</v>
      </c>
      <c r="I188" s="73"/>
      <c r="J188" s="73"/>
      <c r="K188" s="68"/>
      <c r="L188" s="67" t="s">
        <v>69</v>
      </c>
      <c r="M188" s="73"/>
      <c r="N188" s="73"/>
      <c r="O188" s="68"/>
      <c r="P188" s="67" t="s">
        <v>69</v>
      </c>
      <c r="Q188" s="73"/>
      <c r="R188" s="73"/>
      <c r="S188" s="68"/>
      <c r="T188" s="67" t="s">
        <v>69</v>
      </c>
      <c r="U188" s="73"/>
      <c r="V188" s="73"/>
      <c r="W188" s="68"/>
      <c r="X188" s="67" t="s">
        <v>69</v>
      </c>
      <c r="Y188" s="73"/>
      <c r="Z188" s="73"/>
      <c r="AA188" s="68"/>
      <c r="AB188" s="67" t="s">
        <v>69</v>
      </c>
      <c r="AC188" s="73"/>
      <c r="AD188" s="73"/>
      <c r="AE188" s="68"/>
      <c r="AF188" s="67" t="s">
        <v>69</v>
      </c>
      <c r="AG188" s="73"/>
      <c r="AH188" s="73"/>
      <c r="AI188" s="68"/>
      <c r="AJ188" s="67" t="s">
        <v>69</v>
      </c>
      <c r="AK188" s="73"/>
      <c r="AL188" s="73"/>
      <c r="AM188" s="68"/>
      <c r="AN188" s="67">
        <f t="shared" si="139"/>
        <v>100</v>
      </c>
      <c r="AO188" s="68" t="str">
        <f t="shared" si="140"/>
        <v>S</v>
      </c>
      <c r="AR188" s="49">
        <f t="shared" si="41"/>
        <v>1</v>
      </c>
      <c r="AS188" s="49">
        <f t="shared" si="42"/>
        <v>0</v>
      </c>
      <c r="AT188" s="49">
        <f t="shared" si="43"/>
        <v>0</v>
      </c>
      <c r="AU188" s="49">
        <f t="shared" si="44"/>
        <v>0</v>
      </c>
      <c r="AV188" s="49">
        <f t="shared" si="45"/>
        <v>1</v>
      </c>
      <c r="AW188" s="49">
        <f t="shared" si="46"/>
        <v>0</v>
      </c>
      <c r="AX188" s="49">
        <f t="shared" si="47"/>
        <v>0</v>
      </c>
      <c r="AY188" s="49">
        <f t="shared" si="48"/>
        <v>0</v>
      </c>
      <c r="AZ188" s="49">
        <f t="shared" si="49"/>
        <v>1</v>
      </c>
      <c r="BA188" s="49">
        <f t="shared" si="50"/>
        <v>0</v>
      </c>
      <c r="BB188" s="49">
        <f t="shared" si="51"/>
        <v>0</v>
      </c>
      <c r="BC188" s="49">
        <f t="shared" si="52"/>
        <v>0</v>
      </c>
      <c r="BD188" s="49">
        <f t="shared" si="53"/>
        <v>1</v>
      </c>
      <c r="BE188" s="49">
        <f t="shared" si="54"/>
        <v>0</v>
      </c>
      <c r="BF188" s="49">
        <f t="shared" si="55"/>
        <v>0</v>
      </c>
      <c r="BG188" s="49">
        <f t="shared" si="56"/>
        <v>0</v>
      </c>
      <c r="BH188" s="49">
        <f t="shared" si="57"/>
        <v>1</v>
      </c>
      <c r="BI188" s="49">
        <f t="shared" si="58"/>
        <v>0</v>
      </c>
      <c r="BJ188" s="49">
        <f t="shared" si="59"/>
        <v>0</v>
      </c>
      <c r="BK188" s="49">
        <f t="shared" si="60"/>
        <v>0</v>
      </c>
      <c r="BL188" s="49">
        <f t="shared" si="61"/>
        <v>1</v>
      </c>
      <c r="BM188" s="49">
        <f t="shared" si="62"/>
        <v>0</v>
      </c>
      <c r="BN188" s="49">
        <f t="shared" si="63"/>
        <v>0</v>
      </c>
      <c r="BO188" s="49">
        <f t="shared" si="64"/>
        <v>0</v>
      </c>
      <c r="BP188" s="49">
        <f t="shared" si="65"/>
        <v>1</v>
      </c>
      <c r="BQ188" s="49">
        <f t="shared" si="66"/>
        <v>0</v>
      </c>
      <c r="BR188" s="49">
        <f t="shared" si="67"/>
        <v>0</v>
      </c>
      <c r="BS188" s="49">
        <f t="shared" si="68"/>
        <v>0</v>
      </c>
      <c r="BT188" s="49">
        <f t="shared" si="69"/>
        <v>1</v>
      </c>
      <c r="BU188" s="49">
        <f t="shared" si="70"/>
        <v>0</v>
      </c>
      <c r="BV188" s="49">
        <f t="shared" si="71"/>
        <v>0</v>
      </c>
      <c r="BW188" s="49">
        <f t="shared" si="72"/>
        <v>0</v>
      </c>
    </row>
    <row r="189" spans="1:75" ht="35.1" customHeight="1" x14ac:dyDescent="0.3">
      <c r="A189" s="123" t="str">
        <f t="shared" si="137"/>
        <v>2팀</v>
      </c>
      <c r="B189" s="69">
        <f t="shared" si="138"/>
        <v>183</v>
      </c>
      <c r="C189" s="121" t="str">
        <f>IF(VLOOKUP($B189,'1. 현장별 인원현황'!$C:$J,2,0)=0,"",VLOOKUP($B189,'1. 현장별 인원현황'!$C:$J,2,0))</f>
        <v xml:space="preserve"> [2.금호건설] 대웅제약 마곡연구소 신축공사</v>
      </c>
      <c r="D189" s="74" t="str">
        <f>IF(VLOOKUP($B189,'1. 현장별 인원현황'!$C:$J,3,0)=0,"",VLOOKUP($B189,'1. 현장별 인원현황'!$C:$J,3,0))</f>
        <v>이용철</v>
      </c>
      <c r="E189" s="74" t="str">
        <f ca="1">IF(VLOOKUP($B189,'1. 현장별 인원현황'!$C:$J,4,0)=0,"",VLOOKUP($B189,'1. 현장별 인원현황'!$C:$J,4,0))</f>
        <v>56세</v>
      </c>
      <c r="F189" s="70" t="str">
        <f>IF(VLOOKUP($B189,'1. 현장별 인원현황'!$C:$J,7,0)=0,"",VLOOKUP($B189,'1. 현장별 인원현황'!$C:$J,7,0))</f>
        <v>기능공</v>
      </c>
      <c r="G189" s="72" t="str">
        <f>IF(VLOOKUP($B189,'1. 현장별 인원현황'!$C:$J,8,0)=0,"",VLOOKUP($B189,'1. 현장별 인원현황'!$C:$J,8,0))</f>
        <v>전공</v>
      </c>
      <c r="H189" s="67" t="s">
        <v>69</v>
      </c>
      <c r="I189" s="73"/>
      <c r="J189" s="73"/>
      <c r="K189" s="68"/>
      <c r="L189" s="67" t="s">
        <v>69</v>
      </c>
      <c r="M189" s="73"/>
      <c r="N189" s="73"/>
      <c r="O189" s="68"/>
      <c r="P189" s="67" t="s">
        <v>69</v>
      </c>
      <c r="Q189" s="73"/>
      <c r="R189" s="73"/>
      <c r="S189" s="68"/>
      <c r="T189" s="67" t="s">
        <v>69</v>
      </c>
      <c r="U189" s="73"/>
      <c r="V189" s="73"/>
      <c r="W189" s="68"/>
      <c r="X189" s="67" t="s">
        <v>69</v>
      </c>
      <c r="Y189" s="73"/>
      <c r="Z189" s="73"/>
      <c r="AA189" s="68"/>
      <c r="AB189" s="67" t="s">
        <v>69</v>
      </c>
      <c r="AC189" s="73"/>
      <c r="AD189" s="73"/>
      <c r="AE189" s="68"/>
      <c r="AF189" s="67" t="s">
        <v>69</v>
      </c>
      <c r="AG189" s="73"/>
      <c r="AH189" s="73"/>
      <c r="AI189" s="68"/>
      <c r="AJ189" s="67" t="s">
        <v>69</v>
      </c>
      <c r="AK189" s="73"/>
      <c r="AL189" s="73"/>
      <c r="AM189" s="68"/>
      <c r="AN189" s="67">
        <f t="shared" si="139"/>
        <v>100</v>
      </c>
      <c r="AO189" s="68" t="str">
        <f t="shared" si="140"/>
        <v>S</v>
      </c>
      <c r="AR189" s="49">
        <f t="shared" si="41"/>
        <v>1</v>
      </c>
      <c r="AS189" s="49">
        <f t="shared" si="42"/>
        <v>0</v>
      </c>
      <c r="AT189" s="49">
        <f t="shared" si="43"/>
        <v>0</v>
      </c>
      <c r="AU189" s="49">
        <f t="shared" si="44"/>
        <v>0</v>
      </c>
      <c r="AV189" s="49">
        <f t="shared" si="45"/>
        <v>1</v>
      </c>
      <c r="AW189" s="49">
        <f t="shared" si="46"/>
        <v>0</v>
      </c>
      <c r="AX189" s="49">
        <f t="shared" si="47"/>
        <v>0</v>
      </c>
      <c r="AY189" s="49">
        <f t="shared" si="48"/>
        <v>0</v>
      </c>
      <c r="AZ189" s="49">
        <f t="shared" si="49"/>
        <v>1</v>
      </c>
      <c r="BA189" s="49">
        <f t="shared" si="50"/>
        <v>0</v>
      </c>
      <c r="BB189" s="49">
        <f t="shared" si="51"/>
        <v>0</v>
      </c>
      <c r="BC189" s="49">
        <f t="shared" si="52"/>
        <v>0</v>
      </c>
      <c r="BD189" s="49">
        <f t="shared" si="53"/>
        <v>1</v>
      </c>
      <c r="BE189" s="49">
        <f t="shared" si="54"/>
        <v>0</v>
      </c>
      <c r="BF189" s="49">
        <f t="shared" si="55"/>
        <v>0</v>
      </c>
      <c r="BG189" s="49">
        <f t="shared" si="56"/>
        <v>0</v>
      </c>
      <c r="BH189" s="49">
        <f t="shared" si="57"/>
        <v>1</v>
      </c>
      <c r="BI189" s="49">
        <f t="shared" si="58"/>
        <v>0</v>
      </c>
      <c r="BJ189" s="49">
        <f t="shared" si="59"/>
        <v>0</v>
      </c>
      <c r="BK189" s="49">
        <f t="shared" si="60"/>
        <v>0</v>
      </c>
      <c r="BL189" s="49">
        <f t="shared" si="61"/>
        <v>1</v>
      </c>
      <c r="BM189" s="49">
        <f t="shared" si="62"/>
        <v>0</v>
      </c>
      <c r="BN189" s="49">
        <f t="shared" si="63"/>
        <v>0</v>
      </c>
      <c r="BO189" s="49">
        <f t="shared" si="64"/>
        <v>0</v>
      </c>
      <c r="BP189" s="49">
        <f t="shared" si="65"/>
        <v>1</v>
      </c>
      <c r="BQ189" s="49">
        <f t="shared" si="66"/>
        <v>0</v>
      </c>
      <c r="BR189" s="49">
        <f t="shared" si="67"/>
        <v>0</v>
      </c>
      <c r="BS189" s="49">
        <f t="shared" si="68"/>
        <v>0</v>
      </c>
      <c r="BT189" s="49">
        <f t="shared" si="69"/>
        <v>1</v>
      </c>
      <c r="BU189" s="49">
        <f t="shared" si="70"/>
        <v>0</v>
      </c>
      <c r="BV189" s="49">
        <f t="shared" si="71"/>
        <v>0</v>
      </c>
      <c r="BW189" s="49">
        <f t="shared" si="72"/>
        <v>0</v>
      </c>
    </row>
    <row r="190" spans="1:75" ht="35.1" customHeight="1" x14ac:dyDescent="0.3">
      <c r="A190" s="123" t="str">
        <f t="shared" si="137"/>
        <v>2팀</v>
      </c>
      <c r="B190" s="69">
        <f t="shared" si="138"/>
        <v>184</v>
      </c>
      <c r="C190" s="121" t="str">
        <f>IF(VLOOKUP($B190,'1. 현장별 인원현황'!$C:$J,2,0)=0,"",VLOOKUP($B190,'1. 현장별 인원현황'!$C:$J,2,0))</f>
        <v xml:space="preserve"> [2.금호건설] 대웅제약 마곡연구소 신축공사</v>
      </c>
      <c r="D190" s="74" t="str">
        <f>IF(VLOOKUP($B190,'1. 현장별 인원현황'!$C:$J,3,0)=0,"",VLOOKUP($B190,'1. 현장별 인원현황'!$C:$J,3,0))</f>
        <v>정해승</v>
      </c>
      <c r="E190" s="74" t="str">
        <f ca="1">IF(VLOOKUP($B190,'1. 현장별 인원현황'!$C:$J,4,0)=0,"",VLOOKUP($B190,'1. 현장별 인원현황'!$C:$J,4,0))</f>
        <v>59세</v>
      </c>
      <c r="F190" s="70" t="str">
        <f>IF(VLOOKUP($B190,'1. 현장별 인원현황'!$C:$J,7,0)=0,"",VLOOKUP($B190,'1. 현장별 인원현황'!$C:$J,7,0))</f>
        <v>기능공</v>
      </c>
      <c r="G190" s="72" t="str">
        <f>IF(VLOOKUP($B190,'1. 현장별 인원현황'!$C:$J,8,0)=0,"",VLOOKUP($B190,'1. 현장별 인원현황'!$C:$J,8,0))</f>
        <v>전공</v>
      </c>
      <c r="H190" s="67" t="s">
        <v>69</v>
      </c>
      <c r="I190" s="73"/>
      <c r="J190" s="73"/>
      <c r="K190" s="68"/>
      <c r="L190" s="67" t="s">
        <v>69</v>
      </c>
      <c r="M190" s="73"/>
      <c r="N190" s="73"/>
      <c r="O190" s="68"/>
      <c r="P190" s="67" t="s">
        <v>69</v>
      </c>
      <c r="Q190" s="73"/>
      <c r="R190" s="73"/>
      <c r="S190" s="68"/>
      <c r="T190" s="67" t="s">
        <v>69</v>
      </c>
      <c r="U190" s="73"/>
      <c r="V190" s="73"/>
      <c r="W190" s="68"/>
      <c r="X190" s="67" t="s">
        <v>69</v>
      </c>
      <c r="Y190" s="73"/>
      <c r="Z190" s="73"/>
      <c r="AA190" s="68"/>
      <c r="AB190" s="67" t="s">
        <v>69</v>
      </c>
      <c r="AC190" s="73"/>
      <c r="AD190" s="73"/>
      <c r="AE190" s="68"/>
      <c r="AF190" s="67" t="s">
        <v>69</v>
      </c>
      <c r="AG190" s="73"/>
      <c r="AH190" s="73"/>
      <c r="AI190" s="68"/>
      <c r="AJ190" s="67" t="s">
        <v>69</v>
      </c>
      <c r="AK190" s="73"/>
      <c r="AL190" s="73"/>
      <c r="AM190" s="68"/>
      <c r="AN190" s="67">
        <f t="shared" si="139"/>
        <v>100</v>
      </c>
      <c r="AO190" s="68" t="str">
        <f t="shared" si="140"/>
        <v>S</v>
      </c>
      <c r="AR190" s="49">
        <f t="shared" si="41"/>
        <v>1</v>
      </c>
      <c r="AS190" s="49">
        <f t="shared" si="42"/>
        <v>0</v>
      </c>
      <c r="AT190" s="49">
        <f t="shared" si="43"/>
        <v>0</v>
      </c>
      <c r="AU190" s="49">
        <f t="shared" si="44"/>
        <v>0</v>
      </c>
      <c r="AV190" s="49">
        <f t="shared" si="45"/>
        <v>1</v>
      </c>
      <c r="AW190" s="49">
        <f t="shared" si="46"/>
        <v>0</v>
      </c>
      <c r="AX190" s="49">
        <f t="shared" si="47"/>
        <v>0</v>
      </c>
      <c r="AY190" s="49">
        <f t="shared" si="48"/>
        <v>0</v>
      </c>
      <c r="AZ190" s="49">
        <f t="shared" si="49"/>
        <v>1</v>
      </c>
      <c r="BA190" s="49">
        <f t="shared" si="50"/>
        <v>0</v>
      </c>
      <c r="BB190" s="49">
        <f t="shared" si="51"/>
        <v>0</v>
      </c>
      <c r="BC190" s="49">
        <f t="shared" si="52"/>
        <v>0</v>
      </c>
      <c r="BD190" s="49">
        <f t="shared" si="53"/>
        <v>1</v>
      </c>
      <c r="BE190" s="49">
        <f t="shared" si="54"/>
        <v>0</v>
      </c>
      <c r="BF190" s="49">
        <f t="shared" si="55"/>
        <v>0</v>
      </c>
      <c r="BG190" s="49">
        <f t="shared" si="56"/>
        <v>0</v>
      </c>
      <c r="BH190" s="49">
        <f t="shared" si="57"/>
        <v>1</v>
      </c>
      <c r="BI190" s="49">
        <f t="shared" si="58"/>
        <v>0</v>
      </c>
      <c r="BJ190" s="49">
        <f t="shared" si="59"/>
        <v>0</v>
      </c>
      <c r="BK190" s="49">
        <f t="shared" si="60"/>
        <v>0</v>
      </c>
      <c r="BL190" s="49">
        <f t="shared" si="61"/>
        <v>1</v>
      </c>
      <c r="BM190" s="49">
        <f t="shared" si="62"/>
        <v>0</v>
      </c>
      <c r="BN190" s="49">
        <f t="shared" si="63"/>
        <v>0</v>
      </c>
      <c r="BO190" s="49">
        <f t="shared" si="64"/>
        <v>0</v>
      </c>
      <c r="BP190" s="49">
        <f t="shared" si="65"/>
        <v>1</v>
      </c>
      <c r="BQ190" s="49">
        <f t="shared" si="66"/>
        <v>0</v>
      </c>
      <c r="BR190" s="49">
        <f t="shared" si="67"/>
        <v>0</v>
      </c>
      <c r="BS190" s="49">
        <f t="shared" si="68"/>
        <v>0</v>
      </c>
      <c r="BT190" s="49">
        <f t="shared" si="69"/>
        <v>1</v>
      </c>
      <c r="BU190" s="49">
        <f t="shared" si="70"/>
        <v>0</v>
      </c>
      <c r="BV190" s="49">
        <f t="shared" si="71"/>
        <v>0</v>
      </c>
      <c r="BW190" s="49">
        <f t="shared" si="72"/>
        <v>0</v>
      </c>
    </row>
    <row r="191" spans="1:75" ht="35.1" customHeight="1" x14ac:dyDescent="0.3">
      <c r="A191" s="123" t="str">
        <f t="shared" si="137"/>
        <v>2팀</v>
      </c>
      <c r="B191" s="69">
        <f t="shared" si="138"/>
        <v>185</v>
      </c>
      <c r="C191" s="121" t="str">
        <f>IF(VLOOKUP($B191,'1. 현장별 인원현황'!$C:$J,2,0)=0,"",VLOOKUP($B191,'1. 현장별 인원현황'!$C:$J,2,0))</f>
        <v xml:space="preserve"> [2.금호건설] 대웅제약 마곡연구소 신축공사</v>
      </c>
      <c r="D191" s="74" t="str">
        <f>IF(VLOOKUP($B191,'1. 현장별 인원현황'!$C:$J,3,0)=0,"",VLOOKUP($B191,'1. 현장별 인원현황'!$C:$J,3,0))</f>
        <v>반채문</v>
      </c>
      <c r="E191" s="74" t="str">
        <f ca="1">IF(VLOOKUP($B191,'1. 현장별 인원현황'!$C:$J,4,0)=0,"",VLOOKUP($B191,'1. 현장별 인원현황'!$C:$J,4,0))</f>
        <v>59세</v>
      </c>
      <c r="F191" s="70" t="str">
        <f>IF(VLOOKUP($B191,'1. 현장별 인원현황'!$C:$J,7,0)=0,"",VLOOKUP($B191,'1. 현장별 인원현황'!$C:$J,7,0))</f>
        <v>기능공</v>
      </c>
      <c r="G191" s="72" t="str">
        <f>IF(VLOOKUP($B191,'1. 현장별 인원현황'!$C:$J,8,0)=0,"",VLOOKUP($B191,'1. 현장별 인원현황'!$C:$J,8,0))</f>
        <v>전공</v>
      </c>
      <c r="H191" s="67" t="s">
        <v>69</v>
      </c>
      <c r="I191" s="73"/>
      <c r="J191" s="73"/>
      <c r="K191" s="68"/>
      <c r="L191" s="67" t="s">
        <v>69</v>
      </c>
      <c r="M191" s="73"/>
      <c r="N191" s="73"/>
      <c r="O191" s="68"/>
      <c r="P191" s="67" t="s">
        <v>69</v>
      </c>
      <c r="Q191" s="73"/>
      <c r="R191" s="73"/>
      <c r="S191" s="68"/>
      <c r="T191" s="67" t="s">
        <v>69</v>
      </c>
      <c r="U191" s="73"/>
      <c r="V191" s="73"/>
      <c r="W191" s="68"/>
      <c r="X191" s="67" t="s">
        <v>69</v>
      </c>
      <c r="Y191" s="73"/>
      <c r="Z191" s="73"/>
      <c r="AA191" s="68"/>
      <c r="AB191" s="67" t="s">
        <v>69</v>
      </c>
      <c r="AC191" s="73"/>
      <c r="AD191" s="73"/>
      <c r="AE191" s="68"/>
      <c r="AF191" s="67"/>
      <c r="AG191" s="73" t="s">
        <v>69</v>
      </c>
      <c r="AH191" s="73"/>
      <c r="AI191" s="68"/>
      <c r="AJ191" s="67" t="s">
        <v>69</v>
      </c>
      <c r="AK191" s="73"/>
      <c r="AL191" s="73"/>
      <c r="AM191" s="68"/>
      <c r="AN191" s="67">
        <f t="shared" si="139"/>
        <v>97</v>
      </c>
      <c r="AO191" s="68" t="str">
        <f t="shared" si="140"/>
        <v>S</v>
      </c>
      <c r="AR191" s="49">
        <f t="shared" si="41"/>
        <v>1</v>
      </c>
      <c r="AS191" s="49">
        <f t="shared" si="42"/>
        <v>0</v>
      </c>
      <c r="AT191" s="49">
        <f t="shared" si="43"/>
        <v>0</v>
      </c>
      <c r="AU191" s="49">
        <f t="shared" si="44"/>
        <v>0</v>
      </c>
      <c r="AV191" s="49">
        <f t="shared" si="45"/>
        <v>1</v>
      </c>
      <c r="AW191" s="49">
        <f t="shared" si="46"/>
        <v>0</v>
      </c>
      <c r="AX191" s="49">
        <f t="shared" si="47"/>
        <v>0</v>
      </c>
      <c r="AY191" s="49">
        <f t="shared" si="48"/>
        <v>0</v>
      </c>
      <c r="AZ191" s="49">
        <f t="shared" si="49"/>
        <v>1</v>
      </c>
      <c r="BA191" s="49">
        <f t="shared" si="50"/>
        <v>0</v>
      </c>
      <c r="BB191" s="49">
        <f t="shared" si="51"/>
        <v>0</v>
      </c>
      <c r="BC191" s="49">
        <f t="shared" si="52"/>
        <v>0</v>
      </c>
      <c r="BD191" s="49">
        <f t="shared" si="53"/>
        <v>1</v>
      </c>
      <c r="BE191" s="49">
        <f t="shared" si="54"/>
        <v>0</v>
      </c>
      <c r="BF191" s="49">
        <f t="shared" si="55"/>
        <v>0</v>
      </c>
      <c r="BG191" s="49">
        <f t="shared" si="56"/>
        <v>0</v>
      </c>
      <c r="BH191" s="49">
        <f t="shared" si="57"/>
        <v>1</v>
      </c>
      <c r="BI191" s="49">
        <f t="shared" si="58"/>
        <v>0</v>
      </c>
      <c r="BJ191" s="49">
        <f t="shared" si="59"/>
        <v>0</v>
      </c>
      <c r="BK191" s="49">
        <f t="shared" si="60"/>
        <v>0</v>
      </c>
      <c r="BL191" s="49">
        <f t="shared" si="61"/>
        <v>1</v>
      </c>
      <c r="BM191" s="49">
        <f t="shared" si="62"/>
        <v>0</v>
      </c>
      <c r="BN191" s="49">
        <f t="shared" si="63"/>
        <v>0</v>
      </c>
      <c r="BO191" s="49">
        <f t="shared" si="64"/>
        <v>0</v>
      </c>
      <c r="BP191" s="49">
        <f t="shared" si="65"/>
        <v>0</v>
      </c>
      <c r="BQ191" s="49">
        <f t="shared" si="66"/>
        <v>1</v>
      </c>
      <c r="BR191" s="49">
        <f t="shared" si="67"/>
        <v>0</v>
      </c>
      <c r="BS191" s="49">
        <f t="shared" si="68"/>
        <v>0</v>
      </c>
      <c r="BT191" s="49">
        <f t="shared" si="69"/>
        <v>1</v>
      </c>
      <c r="BU191" s="49">
        <f t="shared" si="70"/>
        <v>0</v>
      </c>
      <c r="BV191" s="49">
        <f t="shared" si="71"/>
        <v>0</v>
      </c>
      <c r="BW191" s="49">
        <f t="shared" si="72"/>
        <v>0</v>
      </c>
    </row>
    <row r="192" spans="1:75" ht="35.1" customHeight="1" x14ac:dyDescent="0.3">
      <c r="A192" s="123" t="str">
        <f t="shared" si="137"/>
        <v>2팀</v>
      </c>
      <c r="B192" s="69">
        <f t="shared" si="138"/>
        <v>186</v>
      </c>
      <c r="C192" s="121" t="str">
        <f>IF(VLOOKUP($B192,'1. 현장별 인원현황'!$C:$J,2,0)=0,"",VLOOKUP($B192,'1. 현장별 인원현황'!$C:$J,2,0))</f>
        <v xml:space="preserve"> [2.금호건설] 대웅제약 마곡연구소 신축공사</v>
      </c>
      <c r="D192" s="74" t="str">
        <f>IF(VLOOKUP($B192,'1. 현장별 인원현황'!$C:$J,3,0)=0,"",VLOOKUP($B192,'1. 현장별 인원현황'!$C:$J,3,0))</f>
        <v>이승재</v>
      </c>
      <c r="E192" s="74" t="str">
        <f ca="1">IF(VLOOKUP($B192,'1. 현장별 인원현황'!$C:$J,4,0)=0,"",VLOOKUP($B192,'1. 현장별 인원현황'!$C:$J,4,0))</f>
        <v>33세</v>
      </c>
      <c r="F192" s="70" t="str">
        <f>IF(VLOOKUP($B192,'1. 현장별 인원현황'!$C:$J,7,0)=0,"",VLOOKUP($B192,'1. 현장별 인원현황'!$C:$J,7,0))</f>
        <v>기능공</v>
      </c>
      <c r="G192" s="72" t="str">
        <f>IF(VLOOKUP($B192,'1. 현장별 인원현황'!$C:$J,8,0)=0,"",VLOOKUP($B192,'1. 현장별 인원현황'!$C:$J,8,0))</f>
        <v>조공</v>
      </c>
      <c r="H192" s="67" t="s">
        <v>69</v>
      </c>
      <c r="I192" s="73"/>
      <c r="J192" s="73"/>
      <c r="K192" s="68"/>
      <c r="L192" s="67" t="s">
        <v>69</v>
      </c>
      <c r="M192" s="73"/>
      <c r="N192" s="73"/>
      <c r="O192" s="68"/>
      <c r="P192" s="67" t="s">
        <v>69</v>
      </c>
      <c r="Q192" s="73"/>
      <c r="R192" s="73"/>
      <c r="S192" s="68"/>
      <c r="T192" s="67" t="s">
        <v>69</v>
      </c>
      <c r="U192" s="73"/>
      <c r="V192" s="73"/>
      <c r="W192" s="68"/>
      <c r="X192" s="67" t="s">
        <v>69</v>
      </c>
      <c r="Y192" s="73"/>
      <c r="Z192" s="73"/>
      <c r="AA192" s="68"/>
      <c r="AB192" s="67" t="s">
        <v>69</v>
      </c>
      <c r="AC192" s="73"/>
      <c r="AD192" s="73"/>
      <c r="AE192" s="68"/>
      <c r="AF192" s="67" t="s">
        <v>69</v>
      </c>
      <c r="AG192" s="73"/>
      <c r="AH192" s="73"/>
      <c r="AI192" s="68"/>
      <c r="AJ192" s="67" t="s">
        <v>69</v>
      </c>
      <c r="AK192" s="73"/>
      <c r="AL192" s="73"/>
      <c r="AM192" s="68"/>
      <c r="AN192" s="67">
        <f t="shared" si="139"/>
        <v>100</v>
      </c>
      <c r="AO192" s="68" t="str">
        <f t="shared" si="140"/>
        <v>S</v>
      </c>
      <c r="AR192" s="49">
        <f t="shared" si="41"/>
        <v>1</v>
      </c>
      <c r="AS192" s="49">
        <f t="shared" si="42"/>
        <v>0</v>
      </c>
      <c r="AT192" s="49">
        <f t="shared" si="43"/>
        <v>0</v>
      </c>
      <c r="AU192" s="49">
        <f t="shared" si="44"/>
        <v>0</v>
      </c>
      <c r="AV192" s="49">
        <f t="shared" si="45"/>
        <v>1</v>
      </c>
      <c r="AW192" s="49">
        <f t="shared" si="46"/>
        <v>0</v>
      </c>
      <c r="AX192" s="49">
        <f t="shared" si="47"/>
        <v>0</v>
      </c>
      <c r="AY192" s="49">
        <f t="shared" si="48"/>
        <v>0</v>
      </c>
      <c r="AZ192" s="49">
        <f t="shared" si="49"/>
        <v>1</v>
      </c>
      <c r="BA192" s="49">
        <f t="shared" si="50"/>
        <v>0</v>
      </c>
      <c r="BB192" s="49">
        <f t="shared" si="51"/>
        <v>0</v>
      </c>
      <c r="BC192" s="49">
        <f t="shared" si="52"/>
        <v>0</v>
      </c>
      <c r="BD192" s="49">
        <f t="shared" si="53"/>
        <v>1</v>
      </c>
      <c r="BE192" s="49">
        <f t="shared" si="54"/>
        <v>0</v>
      </c>
      <c r="BF192" s="49">
        <f t="shared" si="55"/>
        <v>0</v>
      </c>
      <c r="BG192" s="49">
        <f t="shared" si="56"/>
        <v>0</v>
      </c>
      <c r="BH192" s="49">
        <f t="shared" si="57"/>
        <v>1</v>
      </c>
      <c r="BI192" s="49">
        <f t="shared" si="58"/>
        <v>0</v>
      </c>
      <c r="BJ192" s="49">
        <f t="shared" si="59"/>
        <v>0</v>
      </c>
      <c r="BK192" s="49">
        <f t="shared" si="60"/>
        <v>0</v>
      </c>
      <c r="BL192" s="49">
        <f t="shared" si="61"/>
        <v>1</v>
      </c>
      <c r="BM192" s="49">
        <f t="shared" si="62"/>
        <v>0</v>
      </c>
      <c r="BN192" s="49">
        <f t="shared" si="63"/>
        <v>0</v>
      </c>
      <c r="BO192" s="49">
        <f t="shared" si="64"/>
        <v>0</v>
      </c>
      <c r="BP192" s="49">
        <f t="shared" si="65"/>
        <v>1</v>
      </c>
      <c r="BQ192" s="49">
        <f t="shared" si="66"/>
        <v>0</v>
      </c>
      <c r="BR192" s="49">
        <f t="shared" si="67"/>
        <v>0</v>
      </c>
      <c r="BS192" s="49">
        <f t="shared" si="68"/>
        <v>0</v>
      </c>
      <c r="BT192" s="49">
        <f t="shared" si="69"/>
        <v>1</v>
      </c>
      <c r="BU192" s="49">
        <f t="shared" si="70"/>
        <v>0</v>
      </c>
      <c r="BV192" s="49">
        <f t="shared" si="71"/>
        <v>0</v>
      </c>
      <c r="BW192" s="49">
        <f t="shared" si="72"/>
        <v>0</v>
      </c>
    </row>
    <row r="193" spans="1:75" ht="35.1" customHeight="1" x14ac:dyDescent="0.3">
      <c r="A193" s="123" t="str">
        <f t="shared" si="137"/>
        <v>2팀</v>
      </c>
      <c r="B193" s="69">
        <f t="shared" si="138"/>
        <v>187</v>
      </c>
      <c r="C193" s="121" t="str">
        <f>IF(VLOOKUP($B193,'1. 현장별 인원현황'!$C:$J,2,0)=0,"",VLOOKUP($B193,'1. 현장별 인원현황'!$C:$J,2,0))</f>
        <v xml:space="preserve"> [2.금호건설] 대웅제약 마곡연구소 신축공사</v>
      </c>
      <c r="D193" s="74" t="str">
        <f>IF(VLOOKUP($B193,'1. 현장별 인원현황'!$C:$J,3,0)=0,"",VLOOKUP($B193,'1. 현장별 인원현황'!$C:$J,3,0))</f>
        <v>박장순</v>
      </c>
      <c r="E193" s="74" t="str">
        <f ca="1">IF(VLOOKUP($B193,'1. 현장별 인원현황'!$C:$J,4,0)=0,"",VLOOKUP($B193,'1. 현장별 인원현황'!$C:$J,4,0))</f>
        <v>44세</v>
      </c>
      <c r="F193" s="70" t="str">
        <f>IF(VLOOKUP($B193,'1. 현장별 인원현황'!$C:$J,7,0)=0,"",VLOOKUP($B193,'1. 현장별 인원현황'!$C:$J,7,0))</f>
        <v>기능공</v>
      </c>
      <c r="G193" s="72" t="str">
        <f>IF(VLOOKUP($B193,'1. 현장별 인원현황'!$C:$J,8,0)=0,"",VLOOKUP($B193,'1. 현장별 인원현황'!$C:$J,8,0))</f>
        <v>조공</v>
      </c>
      <c r="H193" s="67" t="s">
        <v>69</v>
      </c>
      <c r="I193" s="73"/>
      <c r="J193" s="73"/>
      <c r="K193" s="68"/>
      <c r="L193" s="67" t="s">
        <v>69</v>
      </c>
      <c r="M193" s="73"/>
      <c r="N193" s="73"/>
      <c r="O193" s="68"/>
      <c r="P193" s="67" t="s">
        <v>69</v>
      </c>
      <c r="Q193" s="73"/>
      <c r="R193" s="73"/>
      <c r="S193" s="68"/>
      <c r="T193" s="67" t="s">
        <v>69</v>
      </c>
      <c r="U193" s="73"/>
      <c r="V193" s="73"/>
      <c r="W193" s="68"/>
      <c r="X193" s="67" t="s">
        <v>69</v>
      </c>
      <c r="Y193" s="73"/>
      <c r="Z193" s="73"/>
      <c r="AA193" s="68"/>
      <c r="AB193" s="67" t="s">
        <v>69</v>
      </c>
      <c r="AC193" s="73"/>
      <c r="AD193" s="73"/>
      <c r="AE193" s="68"/>
      <c r="AF193" s="67" t="s">
        <v>69</v>
      </c>
      <c r="AG193" s="73"/>
      <c r="AH193" s="73"/>
      <c r="AI193" s="68"/>
      <c r="AJ193" s="67" t="s">
        <v>69</v>
      </c>
      <c r="AK193" s="73"/>
      <c r="AL193" s="73"/>
      <c r="AM193" s="68"/>
      <c r="AN193" s="67">
        <f t="shared" si="139"/>
        <v>100</v>
      </c>
      <c r="AO193" s="68" t="str">
        <f t="shared" si="140"/>
        <v>S</v>
      </c>
      <c r="AR193" s="49">
        <f t="shared" si="41"/>
        <v>1</v>
      </c>
      <c r="AS193" s="49">
        <f t="shared" si="42"/>
        <v>0</v>
      </c>
      <c r="AT193" s="49">
        <f t="shared" si="43"/>
        <v>0</v>
      </c>
      <c r="AU193" s="49">
        <f t="shared" si="44"/>
        <v>0</v>
      </c>
      <c r="AV193" s="49">
        <f t="shared" si="45"/>
        <v>1</v>
      </c>
      <c r="AW193" s="49">
        <f t="shared" si="46"/>
        <v>0</v>
      </c>
      <c r="AX193" s="49">
        <f t="shared" si="47"/>
        <v>0</v>
      </c>
      <c r="AY193" s="49">
        <f t="shared" si="48"/>
        <v>0</v>
      </c>
      <c r="AZ193" s="49">
        <f t="shared" si="49"/>
        <v>1</v>
      </c>
      <c r="BA193" s="49">
        <f t="shared" si="50"/>
        <v>0</v>
      </c>
      <c r="BB193" s="49">
        <f t="shared" si="51"/>
        <v>0</v>
      </c>
      <c r="BC193" s="49">
        <f t="shared" si="52"/>
        <v>0</v>
      </c>
      <c r="BD193" s="49">
        <f t="shared" si="53"/>
        <v>1</v>
      </c>
      <c r="BE193" s="49">
        <f t="shared" si="54"/>
        <v>0</v>
      </c>
      <c r="BF193" s="49">
        <f t="shared" si="55"/>
        <v>0</v>
      </c>
      <c r="BG193" s="49">
        <f t="shared" si="56"/>
        <v>0</v>
      </c>
      <c r="BH193" s="49">
        <f t="shared" si="57"/>
        <v>1</v>
      </c>
      <c r="BI193" s="49">
        <f t="shared" si="58"/>
        <v>0</v>
      </c>
      <c r="BJ193" s="49">
        <f t="shared" si="59"/>
        <v>0</v>
      </c>
      <c r="BK193" s="49">
        <f t="shared" si="60"/>
        <v>0</v>
      </c>
      <c r="BL193" s="49">
        <f t="shared" si="61"/>
        <v>1</v>
      </c>
      <c r="BM193" s="49">
        <f t="shared" si="62"/>
        <v>0</v>
      </c>
      <c r="BN193" s="49">
        <f t="shared" si="63"/>
        <v>0</v>
      </c>
      <c r="BO193" s="49">
        <f t="shared" si="64"/>
        <v>0</v>
      </c>
      <c r="BP193" s="49">
        <f t="shared" si="65"/>
        <v>1</v>
      </c>
      <c r="BQ193" s="49">
        <f t="shared" si="66"/>
        <v>0</v>
      </c>
      <c r="BR193" s="49">
        <f t="shared" si="67"/>
        <v>0</v>
      </c>
      <c r="BS193" s="49">
        <f t="shared" si="68"/>
        <v>0</v>
      </c>
      <c r="BT193" s="49">
        <f t="shared" si="69"/>
        <v>1</v>
      </c>
      <c r="BU193" s="49">
        <f t="shared" si="70"/>
        <v>0</v>
      </c>
      <c r="BV193" s="49">
        <f t="shared" si="71"/>
        <v>0</v>
      </c>
      <c r="BW193" s="49">
        <f t="shared" si="72"/>
        <v>0</v>
      </c>
    </row>
    <row r="194" spans="1:75" ht="35.1" customHeight="1" x14ac:dyDescent="0.3">
      <c r="A194" s="123" t="str">
        <f t="shared" si="137"/>
        <v>2팀</v>
      </c>
      <c r="B194" s="69">
        <f t="shared" si="138"/>
        <v>188</v>
      </c>
      <c r="C194" s="121" t="str">
        <f>IF(VLOOKUP($B194,'1. 현장별 인원현황'!$C:$J,2,0)=0,"",VLOOKUP($B194,'1. 현장별 인원현황'!$C:$J,2,0))</f>
        <v xml:space="preserve"> [2.금호건설] 대웅제약 마곡연구소 신축공사</v>
      </c>
      <c r="D194" s="74" t="str">
        <f>IF(VLOOKUP($B194,'1. 현장별 인원현황'!$C:$J,3,0)=0,"",VLOOKUP($B194,'1. 현장별 인원현황'!$C:$J,3,0))</f>
        <v>김종석</v>
      </c>
      <c r="E194" s="74" t="str">
        <f ca="1">IF(VLOOKUP($B194,'1. 현장별 인원현황'!$C:$J,4,0)=0,"",VLOOKUP($B194,'1. 현장별 인원현황'!$C:$J,4,0))</f>
        <v>53세</v>
      </c>
      <c r="F194" s="70" t="str">
        <f>IF(VLOOKUP($B194,'1. 현장별 인원현황'!$C:$J,7,0)=0,"",VLOOKUP($B194,'1. 현장별 인원현황'!$C:$J,7,0))</f>
        <v>기능공</v>
      </c>
      <c r="G194" s="72" t="str">
        <f>IF(VLOOKUP($B194,'1. 현장별 인원현황'!$C:$J,8,0)=0,"",VLOOKUP($B194,'1. 현장별 인원현황'!$C:$J,8,0))</f>
        <v>전공</v>
      </c>
      <c r="H194" s="67" t="s">
        <v>69</v>
      </c>
      <c r="I194" s="73"/>
      <c r="J194" s="73"/>
      <c r="K194" s="68"/>
      <c r="L194" s="67"/>
      <c r="M194" s="73"/>
      <c r="N194" s="73" t="s">
        <v>69</v>
      </c>
      <c r="O194" s="68"/>
      <c r="P194" s="67" t="s">
        <v>69</v>
      </c>
      <c r="Q194" s="73"/>
      <c r="R194" s="73"/>
      <c r="S194" s="68"/>
      <c r="T194" s="67" t="s">
        <v>69</v>
      </c>
      <c r="U194" s="73"/>
      <c r="V194" s="73"/>
      <c r="W194" s="68"/>
      <c r="X194" s="67" t="s">
        <v>69</v>
      </c>
      <c r="Y194" s="73"/>
      <c r="Z194" s="73"/>
      <c r="AA194" s="68"/>
      <c r="AB194" s="67" t="s">
        <v>69</v>
      </c>
      <c r="AC194" s="73"/>
      <c r="AD194" s="73"/>
      <c r="AE194" s="68"/>
      <c r="AF194" s="67" t="s">
        <v>69</v>
      </c>
      <c r="AG194" s="73"/>
      <c r="AH194" s="73"/>
      <c r="AI194" s="68"/>
      <c r="AJ194" s="67" t="s">
        <v>69</v>
      </c>
      <c r="AK194" s="73"/>
      <c r="AL194" s="73"/>
      <c r="AM194" s="68"/>
      <c r="AN194" s="67">
        <f t="shared" si="139"/>
        <v>92</v>
      </c>
      <c r="AO194" s="68" t="str">
        <f t="shared" si="140"/>
        <v>S</v>
      </c>
      <c r="AR194" s="49">
        <f t="shared" si="41"/>
        <v>1</v>
      </c>
      <c r="AS194" s="49">
        <f t="shared" si="42"/>
        <v>0</v>
      </c>
      <c r="AT194" s="49">
        <f t="shared" si="43"/>
        <v>0</v>
      </c>
      <c r="AU194" s="49">
        <f t="shared" si="44"/>
        <v>0</v>
      </c>
      <c r="AV194" s="49">
        <f t="shared" si="45"/>
        <v>0</v>
      </c>
      <c r="AW194" s="49">
        <f t="shared" si="46"/>
        <v>0</v>
      </c>
      <c r="AX194" s="49">
        <f t="shared" si="47"/>
        <v>1</v>
      </c>
      <c r="AY194" s="49">
        <f t="shared" si="48"/>
        <v>0</v>
      </c>
      <c r="AZ194" s="49">
        <f t="shared" si="49"/>
        <v>1</v>
      </c>
      <c r="BA194" s="49">
        <f t="shared" si="50"/>
        <v>0</v>
      </c>
      <c r="BB194" s="49">
        <f t="shared" si="51"/>
        <v>0</v>
      </c>
      <c r="BC194" s="49">
        <f t="shared" si="52"/>
        <v>0</v>
      </c>
      <c r="BD194" s="49">
        <f t="shared" si="53"/>
        <v>1</v>
      </c>
      <c r="BE194" s="49">
        <f t="shared" si="54"/>
        <v>0</v>
      </c>
      <c r="BF194" s="49">
        <f t="shared" si="55"/>
        <v>0</v>
      </c>
      <c r="BG194" s="49">
        <f t="shared" si="56"/>
        <v>0</v>
      </c>
      <c r="BH194" s="49">
        <f t="shared" si="57"/>
        <v>1</v>
      </c>
      <c r="BI194" s="49">
        <f t="shared" si="58"/>
        <v>0</v>
      </c>
      <c r="BJ194" s="49">
        <f t="shared" si="59"/>
        <v>0</v>
      </c>
      <c r="BK194" s="49">
        <f t="shared" si="60"/>
        <v>0</v>
      </c>
      <c r="BL194" s="49">
        <f t="shared" si="61"/>
        <v>1</v>
      </c>
      <c r="BM194" s="49">
        <f t="shared" si="62"/>
        <v>0</v>
      </c>
      <c r="BN194" s="49">
        <f t="shared" si="63"/>
        <v>0</v>
      </c>
      <c r="BO194" s="49">
        <f t="shared" si="64"/>
        <v>0</v>
      </c>
      <c r="BP194" s="49">
        <f t="shared" si="65"/>
        <v>1</v>
      </c>
      <c r="BQ194" s="49">
        <f t="shared" si="66"/>
        <v>0</v>
      </c>
      <c r="BR194" s="49">
        <f t="shared" si="67"/>
        <v>0</v>
      </c>
      <c r="BS194" s="49">
        <f t="shared" si="68"/>
        <v>0</v>
      </c>
      <c r="BT194" s="49">
        <f t="shared" si="69"/>
        <v>1</v>
      </c>
      <c r="BU194" s="49">
        <f t="shared" si="70"/>
        <v>0</v>
      </c>
      <c r="BV194" s="49">
        <f t="shared" si="71"/>
        <v>0</v>
      </c>
      <c r="BW194" s="49">
        <f t="shared" si="72"/>
        <v>0</v>
      </c>
    </row>
    <row r="195" spans="1:75" ht="35.1" customHeight="1" x14ac:dyDescent="0.3">
      <c r="A195" s="123" t="str">
        <f t="shared" si="137"/>
        <v>2팀</v>
      </c>
      <c r="B195" s="69">
        <f t="shared" si="138"/>
        <v>189</v>
      </c>
      <c r="C195" s="121" t="str">
        <f>IF(VLOOKUP($B195,'1. 현장별 인원현황'!$C:$J,2,0)=0,"",VLOOKUP($B195,'1. 현장별 인원현황'!$C:$J,2,0))</f>
        <v xml:space="preserve"> [2.동부건설] 이천 안흥동 주상복합시설사업 전기공사</v>
      </c>
      <c r="D195" s="74" t="str">
        <f>IF(VLOOKUP($B195,'1. 현장별 인원현황'!$C:$J,3,0)=0,"",VLOOKUP($B195,'1. 현장별 인원현황'!$C:$J,3,0))</f>
        <v>김효순</v>
      </c>
      <c r="E195" s="74" t="str">
        <f ca="1">IF(VLOOKUP($B195,'1. 현장별 인원현황'!$C:$J,4,0)=0,"",VLOOKUP($B195,'1. 현장별 인원현황'!$C:$J,4,0))</f>
        <v>42세</v>
      </c>
      <c r="F195" s="70" t="str">
        <f>IF(VLOOKUP($B195,'1. 현장별 인원현황'!$C:$J,7,0)=0,"",VLOOKUP($B195,'1. 현장별 인원현황'!$C:$J,7,0))</f>
        <v>공무</v>
      </c>
      <c r="G195" s="72" t="str">
        <f>IF(VLOOKUP($B195,'1. 현장별 인원현황'!$C:$J,8,0)=0,"",VLOOKUP($B195,'1. 현장별 인원현황'!$C:$J,8,0))</f>
        <v>과장</v>
      </c>
      <c r="H195" s="67" t="s">
        <v>69</v>
      </c>
      <c r="I195" s="73"/>
      <c r="J195" s="73"/>
      <c r="K195" s="68"/>
      <c r="L195" s="67" t="s">
        <v>69</v>
      </c>
      <c r="M195" s="73"/>
      <c r="N195" s="73"/>
      <c r="O195" s="68"/>
      <c r="P195" s="67" t="s">
        <v>69</v>
      </c>
      <c r="Q195" s="73"/>
      <c r="R195" s="73"/>
      <c r="S195" s="68"/>
      <c r="T195" s="67" t="s">
        <v>69</v>
      </c>
      <c r="U195" s="73"/>
      <c r="V195" s="73"/>
      <c r="W195" s="68"/>
      <c r="X195" s="67" t="s">
        <v>69</v>
      </c>
      <c r="Y195" s="73"/>
      <c r="Z195" s="73"/>
      <c r="AA195" s="68"/>
      <c r="AB195" s="67" t="s">
        <v>69</v>
      </c>
      <c r="AC195" s="73"/>
      <c r="AD195" s="73"/>
      <c r="AE195" s="68"/>
      <c r="AF195" s="67" t="s">
        <v>69</v>
      </c>
      <c r="AG195" s="73"/>
      <c r="AH195" s="73"/>
      <c r="AI195" s="68"/>
      <c r="AJ195" s="67" t="s">
        <v>69</v>
      </c>
      <c r="AK195" s="73"/>
      <c r="AL195" s="73"/>
      <c r="AM195" s="68"/>
      <c r="AN195" s="67">
        <f t="shared" si="139"/>
        <v>100</v>
      </c>
      <c r="AO195" s="68" t="str">
        <f t="shared" si="140"/>
        <v>S</v>
      </c>
      <c r="AR195" s="49">
        <f t="shared" si="41"/>
        <v>1</v>
      </c>
      <c r="AS195" s="49">
        <f t="shared" si="42"/>
        <v>0</v>
      </c>
      <c r="AT195" s="49">
        <f t="shared" si="43"/>
        <v>0</v>
      </c>
      <c r="AU195" s="49">
        <f t="shared" si="44"/>
        <v>0</v>
      </c>
      <c r="AV195" s="49">
        <f t="shared" si="45"/>
        <v>1</v>
      </c>
      <c r="AW195" s="49">
        <f t="shared" si="46"/>
        <v>0</v>
      </c>
      <c r="AX195" s="49">
        <f t="shared" si="47"/>
        <v>0</v>
      </c>
      <c r="AY195" s="49">
        <f t="shared" si="48"/>
        <v>0</v>
      </c>
      <c r="AZ195" s="49">
        <f t="shared" si="49"/>
        <v>1</v>
      </c>
      <c r="BA195" s="49">
        <f t="shared" si="50"/>
        <v>0</v>
      </c>
      <c r="BB195" s="49">
        <f t="shared" si="51"/>
        <v>0</v>
      </c>
      <c r="BC195" s="49">
        <f t="shared" si="52"/>
        <v>0</v>
      </c>
      <c r="BD195" s="49">
        <f t="shared" si="53"/>
        <v>1</v>
      </c>
      <c r="BE195" s="49">
        <f t="shared" si="54"/>
        <v>0</v>
      </c>
      <c r="BF195" s="49">
        <f t="shared" si="55"/>
        <v>0</v>
      </c>
      <c r="BG195" s="49">
        <f t="shared" si="56"/>
        <v>0</v>
      </c>
      <c r="BH195" s="49">
        <f t="shared" si="57"/>
        <v>1</v>
      </c>
      <c r="BI195" s="49">
        <f t="shared" si="58"/>
        <v>0</v>
      </c>
      <c r="BJ195" s="49">
        <f t="shared" si="59"/>
        <v>0</v>
      </c>
      <c r="BK195" s="49">
        <f t="shared" si="60"/>
        <v>0</v>
      </c>
      <c r="BL195" s="49">
        <f t="shared" si="61"/>
        <v>1</v>
      </c>
      <c r="BM195" s="49">
        <f t="shared" si="62"/>
        <v>0</v>
      </c>
      <c r="BN195" s="49">
        <f t="shared" si="63"/>
        <v>0</v>
      </c>
      <c r="BO195" s="49">
        <f t="shared" si="64"/>
        <v>0</v>
      </c>
      <c r="BP195" s="49">
        <f t="shared" si="65"/>
        <v>1</v>
      </c>
      <c r="BQ195" s="49">
        <f t="shared" si="66"/>
        <v>0</v>
      </c>
      <c r="BR195" s="49">
        <f t="shared" si="67"/>
        <v>0</v>
      </c>
      <c r="BS195" s="49">
        <f t="shared" si="68"/>
        <v>0</v>
      </c>
      <c r="BT195" s="49">
        <f t="shared" si="69"/>
        <v>1</v>
      </c>
      <c r="BU195" s="49">
        <f t="shared" si="70"/>
        <v>0</v>
      </c>
      <c r="BV195" s="49">
        <f t="shared" si="71"/>
        <v>0</v>
      </c>
      <c r="BW195" s="49">
        <f t="shared" si="72"/>
        <v>0</v>
      </c>
    </row>
    <row r="196" spans="1:75" ht="35.1" customHeight="1" x14ac:dyDescent="0.3">
      <c r="A196" s="123" t="str">
        <f t="shared" si="137"/>
        <v>2팀</v>
      </c>
      <c r="B196" s="69">
        <f t="shared" si="138"/>
        <v>190</v>
      </c>
      <c r="C196" s="121" t="str">
        <f>IF(VLOOKUP($B196,'1. 현장별 인원현황'!$C:$J,2,0)=0,"",VLOOKUP($B196,'1. 현장별 인원현황'!$C:$J,2,0))</f>
        <v xml:space="preserve"> [2.동부건설] 이천 안흥동 주상복합시설사업 전기공사</v>
      </c>
      <c r="D196" s="74" t="str">
        <f>IF(VLOOKUP($B196,'1. 현장별 인원현황'!$C:$J,3,0)=0,"",VLOOKUP($B196,'1. 현장별 인원현황'!$C:$J,3,0))</f>
        <v>조원일</v>
      </c>
      <c r="E196" s="74" t="str">
        <f ca="1">IF(VLOOKUP($B196,'1. 현장별 인원현황'!$C:$J,4,0)=0,"",VLOOKUP($B196,'1. 현장별 인원현황'!$C:$J,4,0))</f>
        <v>46세</v>
      </c>
      <c r="F196" s="70" t="str">
        <f>IF(VLOOKUP($B196,'1. 현장별 인원현황'!$C:$J,7,0)=0,"",VLOOKUP($B196,'1. 현장별 인원현황'!$C:$J,7,0))</f>
        <v>기능공</v>
      </c>
      <c r="G196" s="72" t="str">
        <f>IF(VLOOKUP($B196,'1. 현장별 인원현황'!$C:$J,8,0)=0,"",VLOOKUP($B196,'1. 현장별 인원현황'!$C:$J,8,0))</f>
        <v>전공</v>
      </c>
      <c r="H196" s="67" t="s">
        <v>69</v>
      </c>
      <c r="I196" s="73"/>
      <c r="J196" s="73"/>
      <c r="K196" s="68"/>
      <c r="L196" s="67" t="s">
        <v>69</v>
      </c>
      <c r="M196" s="73"/>
      <c r="N196" s="73"/>
      <c r="O196" s="68"/>
      <c r="P196" s="67" t="s">
        <v>69</v>
      </c>
      <c r="Q196" s="73"/>
      <c r="R196" s="73"/>
      <c r="S196" s="68"/>
      <c r="T196" s="67" t="s">
        <v>69</v>
      </c>
      <c r="U196" s="73"/>
      <c r="V196" s="73"/>
      <c r="W196" s="68"/>
      <c r="X196" s="67" t="s">
        <v>69</v>
      </c>
      <c r="Y196" s="73"/>
      <c r="Z196" s="73"/>
      <c r="AA196" s="68"/>
      <c r="AB196" s="67" t="s">
        <v>69</v>
      </c>
      <c r="AC196" s="73"/>
      <c r="AD196" s="73"/>
      <c r="AE196" s="68"/>
      <c r="AF196" s="67" t="s">
        <v>69</v>
      </c>
      <c r="AG196" s="73"/>
      <c r="AH196" s="73"/>
      <c r="AI196" s="68"/>
      <c r="AJ196" s="67" t="s">
        <v>69</v>
      </c>
      <c r="AK196" s="73"/>
      <c r="AL196" s="73"/>
      <c r="AM196" s="68"/>
      <c r="AN196" s="67">
        <f t="shared" si="139"/>
        <v>100</v>
      </c>
      <c r="AO196" s="68" t="str">
        <f t="shared" si="140"/>
        <v>S</v>
      </c>
      <c r="AR196" s="49">
        <f t="shared" ref="AR196:AR211" si="173">IF(H196&gt;0,1,0)</f>
        <v>1</v>
      </c>
      <c r="AS196" s="49">
        <f t="shared" ref="AS196:AS211" si="174">IF(I196&gt;0,1,0)</f>
        <v>0</v>
      </c>
      <c r="AT196" s="49">
        <f t="shared" ref="AT196:AT211" si="175">IF(J196&gt;0,1,0)</f>
        <v>0</v>
      </c>
      <c r="AU196" s="49">
        <f t="shared" ref="AU196:AU211" si="176">IF(K196&gt;0,1,0)</f>
        <v>0</v>
      </c>
      <c r="AV196" s="49">
        <f t="shared" ref="AV196:AV211" si="177">IF(L196&gt;0,1,0)</f>
        <v>1</v>
      </c>
      <c r="AW196" s="49">
        <f t="shared" ref="AW196:AW211" si="178">IF(M196&gt;0,1,0)</f>
        <v>0</v>
      </c>
      <c r="AX196" s="49">
        <f t="shared" ref="AX196:AX211" si="179">IF(N196&gt;0,1,0)</f>
        <v>0</v>
      </c>
      <c r="AY196" s="49">
        <f t="shared" ref="AY196:AY211" si="180">IF(O196&gt;0,1,0)</f>
        <v>0</v>
      </c>
      <c r="AZ196" s="49">
        <f t="shared" ref="AZ196:AZ211" si="181">IF(P196&gt;0,1,0)</f>
        <v>1</v>
      </c>
      <c r="BA196" s="49">
        <f t="shared" ref="BA196:BA211" si="182">IF(Q196&gt;0,1,0)</f>
        <v>0</v>
      </c>
      <c r="BB196" s="49">
        <f t="shared" ref="BB196:BB211" si="183">IF(R196&gt;0,1,0)</f>
        <v>0</v>
      </c>
      <c r="BC196" s="49">
        <f t="shared" ref="BC196:BC211" si="184">IF(S196&gt;0,1,0)</f>
        <v>0</v>
      </c>
      <c r="BD196" s="49">
        <f t="shared" ref="BD196:BD211" si="185">IF(T196&gt;0,1,0)</f>
        <v>1</v>
      </c>
      <c r="BE196" s="49">
        <f t="shared" ref="BE196:BE211" si="186">IF(U196&gt;0,1,0)</f>
        <v>0</v>
      </c>
      <c r="BF196" s="49">
        <f t="shared" ref="BF196:BF211" si="187">IF(V196&gt;0,1,0)</f>
        <v>0</v>
      </c>
      <c r="BG196" s="49">
        <f t="shared" ref="BG196:BG211" si="188">IF(W196&gt;0,1,0)</f>
        <v>0</v>
      </c>
      <c r="BH196" s="49">
        <f t="shared" ref="BH196:BH211" si="189">IF(X196&gt;0,1,0)</f>
        <v>1</v>
      </c>
      <c r="BI196" s="49">
        <f t="shared" ref="BI196:BI211" si="190">IF(Y196&gt;0,1,0)</f>
        <v>0</v>
      </c>
      <c r="BJ196" s="49">
        <f t="shared" ref="BJ196:BJ211" si="191">IF(Z196&gt;0,1,0)</f>
        <v>0</v>
      </c>
      <c r="BK196" s="49">
        <f t="shared" ref="BK196:BK211" si="192">IF(AA196&gt;0,1,0)</f>
        <v>0</v>
      </c>
      <c r="BL196" s="49">
        <f t="shared" ref="BL196:BL211" si="193">IF(AB196&gt;0,1,0)</f>
        <v>1</v>
      </c>
      <c r="BM196" s="49">
        <f t="shared" ref="BM196:BM211" si="194">IF(AC196&gt;0,1,0)</f>
        <v>0</v>
      </c>
      <c r="BN196" s="49">
        <f t="shared" ref="BN196:BN211" si="195">IF(AD196&gt;0,1,0)</f>
        <v>0</v>
      </c>
      <c r="BO196" s="49">
        <f t="shared" ref="BO196:BO211" si="196">IF(AE196&gt;0,1,0)</f>
        <v>0</v>
      </c>
      <c r="BP196" s="49">
        <f t="shared" ref="BP196:BP211" si="197">IF(AF196&gt;0,1,0)</f>
        <v>1</v>
      </c>
      <c r="BQ196" s="49">
        <f t="shared" ref="BQ196:BQ211" si="198">IF(AG196&gt;0,1,0)</f>
        <v>0</v>
      </c>
      <c r="BR196" s="49">
        <f t="shared" ref="BR196:BR211" si="199">IF(AH196&gt;0,1,0)</f>
        <v>0</v>
      </c>
      <c r="BS196" s="49">
        <f t="shared" ref="BS196:BS211" si="200">IF(AI196&gt;0,1,0)</f>
        <v>0</v>
      </c>
      <c r="BT196" s="49">
        <f t="shared" ref="BT196:BT211" si="201">IF(AJ196&gt;0,1,0)</f>
        <v>1</v>
      </c>
      <c r="BU196" s="49">
        <f t="shared" ref="BU196:BU211" si="202">IF(AK196&gt;0,1,0)</f>
        <v>0</v>
      </c>
      <c r="BV196" s="49">
        <f t="shared" ref="BV196:BV211" si="203">IF(AL196&gt;0,1,0)</f>
        <v>0</v>
      </c>
      <c r="BW196" s="49">
        <f t="shared" ref="BW196:BW211" si="204">IF(AM196&gt;0,1,0)</f>
        <v>0</v>
      </c>
    </row>
    <row r="197" spans="1:75" ht="35.1" customHeight="1" x14ac:dyDescent="0.3">
      <c r="A197" s="123" t="str">
        <f t="shared" si="137"/>
        <v>2팀</v>
      </c>
      <c r="B197" s="69">
        <f t="shared" si="138"/>
        <v>191</v>
      </c>
      <c r="C197" s="121" t="str">
        <f>IF(VLOOKUP($B197,'1. 현장별 인원현황'!$C:$J,2,0)=0,"",VLOOKUP($B197,'1. 현장별 인원현황'!$C:$J,2,0))</f>
        <v xml:space="preserve"> [2.동양] 한국건강관리협회 인천지부 신청사 건립 신축공사</v>
      </c>
      <c r="D197" s="74" t="str">
        <f>IF(VLOOKUP($B197,'1. 현장별 인원현황'!$C:$J,3,0)=0,"",VLOOKUP($B197,'1. 현장별 인원현황'!$C:$J,3,0))</f>
        <v>강호신</v>
      </c>
      <c r="E197" s="74" t="str">
        <f ca="1">IF(VLOOKUP($B197,'1. 현장별 인원현황'!$C:$J,4,0)=0,"",VLOOKUP($B197,'1. 현장별 인원현황'!$C:$J,4,0))</f>
        <v>48세</v>
      </c>
      <c r="F197" s="70" t="str">
        <f>IF(VLOOKUP($B197,'1. 현장별 인원현황'!$C:$J,7,0)=0,"",VLOOKUP($B197,'1. 현장별 인원현황'!$C:$J,7,0))</f>
        <v>공사</v>
      </c>
      <c r="G197" s="72" t="str">
        <f>IF(VLOOKUP($B197,'1. 현장별 인원현황'!$C:$J,8,0)=0,"",VLOOKUP($B197,'1. 현장별 인원현황'!$C:$J,8,0))</f>
        <v>과장</v>
      </c>
      <c r="H197" s="67" t="s">
        <v>69</v>
      </c>
      <c r="I197" s="73"/>
      <c r="J197" s="73"/>
      <c r="K197" s="68"/>
      <c r="L197" s="67"/>
      <c r="M197" s="73"/>
      <c r="N197" s="73" t="s">
        <v>69</v>
      </c>
      <c r="O197" s="68"/>
      <c r="P197" s="67"/>
      <c r="Q197" s="73" t="s">
        <v>69</v>
      </c>
      <c r="R197" s="73"/>
      <c r="S197" s="68"/>
      <c r="T197" s="67"/>
      <c r="U197" s="73" t="s">
        <v>69</v>
      </c>
      <c r="V197" s="73"/>
      <c r="W197" s="68"/>
      <c r="X197" s="67" t="s">
        <v>69</v>
      </c>
      <c r="Y197" s="73"/>
      <c r="Z197" s="73"/>
      <c r="AA197" s="68"/>
      <c r="AB197" s="67"/>
      <c r="AC197" s="73" t="s">
        <v>69</v>
      </c>
      <c r="AD197" s="73"/>
      <c r="AE197" s="68"/>
      <c r="AF197" s="67"/>
      <c r="AG197" s="73" t="s">
        <v>69</v>
      </c>
      <c r="AH197" s="73"/>
      <c r="AI197" s="68"/>
      <c r="AJ197" s="67" t="s">
        <v>69</v>
      </c>
      <c r="AK197" s="73"/>
      <c r="AL197" s="73"/>
      <c r="AM197" s="68"/>
      <c r="AN197" s="67">
        <f t="shared" si="139"/>
        <v>79</v>
      </c>
      <c r="AO197" s="68" t="str">
        <f t="shared" si="140"/>
        <v>A</v>
      </c>
      <c r="AR197" s="49">
        <f t="shared" si="173"/>
        <v>1</v>
      </c>
      <c r="AS197" s="49">
        <f t="shared" si="174"/>
        <v>0</v>
      </c>
      <c r="AT197" s="49">
        <f t="shared" si="175"/>
        <v>0</v>
      </c>
      <c r="AU197" s="49">
        <f t="shared" si="176"/>
        <v>0</v>
      </c>
      <c r="AV197" s="49">
        <f t="shared" si="177"/>
        <v>0</v>
      </c>
      <c r="AW197" s="49">
        <f t="shared" si="178"/>
        <v>0</v>
      </c>
      <c r="AX197" s="49">
        <f t="shared" si="179"/>
        <v>1</v>
      </c>
      <c r="AY197" s="49">
        <f t="shared" si="180"/>
        <v>0</v>
      </c>
      <c r="AZ197" s="49">
        <f t="shared" si="181"/>
        <v>0</v>
      </c>
      <c r="BA197" s="49">
        <f t="shared" si="182"/>
        <v>1</v>
      </c>
      <c r="BB197" s="49">
        <f t="shared" si="183"/>
        <v>0</v>
      </c>
      <c r="BC197" s="49">
        <f t="shared" si="184"/>
        <v>0</v>
      </c>
      <c r="BD197" s="49">
        <f t="shared" si="185"/>
        <v>0</v>
      </c>
      <c r="BE197" s="49">
        <f t="shared" si="186"/>
        <v>1</v>
      </c>
      <c r="BF197" s="49">
        <f t="shared" si="187"/>
        <v>0</v>
      </c>
      <c r="BG197" s="49">
        <f t="shared" si="188"/>
        <v>0</v>
      </c>
      <c r="BH197" s="49">
        <f t="shared" si="189"/>
        <v>1</v>
      </c>
      <c r="BI197" s="49">
        <f t="shared" si="190"/>
        <v>0</v>
      </c>
      <c r="BJ197" s="49">
        <f t="shared" si="191"/>
        <v>0</v>
      </c>
      <c r="BK197" s="49">
        <f t="shared" si="192"/>
        <v>0</v>
      </c>
      <c r="BL197" s="49">
        <f t="shared" si="193"/>
        <v>0</v>
      </c>
      <c r="BM197" s="49">
        <f t="shared" si="194"/>
        <v>1</v>
      </c>
      <c r="BN197" s="49">
        <f t="shared" si="195"/>
        <v>0</v>
      </c>
      <c r="BO197" s="49">
        <f t="shared" si="196"/>
        <v>0</v>
      </c>
      <c r="BP197" s="49">
        <f t="shared" si="197"/>
        <v>0</v>
      </c>
      <c r="BQ197" s="49">
        <f t="shared" si="198"/>
        <v>1</v>
      </c>
      <c r="BR197" s="49">
        <f t="shared" si="199"/>
        <v>0</v>
      </c>
      <c r="BS197" s="49">
        <f t="shared" si="200"/>
        <v>0</v>
      </c>
      <c r="BT197" s="49">
        <f t="shared" si="201"/>
        <v>1</v>
      </c>
      <c r="BU197" s="49">
        <f t="shared" si="202"/>
        <v>0</v>
      </c>
      <c r="BV197" s="49">
        <f t="shared" si="203"/>
        <v>0</v>
      </c>
      <c r="BW197" s="49">
        <f t="shared" si="204"/>
        <v>0</v>
      </c>
    </row>
    <row r="198" spans="1:75" ht="35.1" customHeight="1" x14ac:dyDescent="0.3">
      <c r="A198" s="123" t="str">
        <f t="shared" si="137"/>
        <v>2팀</v>
      </c>
      <c r="B198" s="69">
        <f t="shared" si="138"/>
        <v>192</v>
      </c>
      <c r="C198" s="121" t="str">
        <f>IF(VLOOKUP($B198,'1. 현장별 인원현황'!$C:$J,2,0)=0,"",VLOOKUP($B198,'1. 현장별 인원현황'!$C:$J,2,0))</f>
        <v xml:space="preserve"> [2.동양] 한국건강관리협회 인천지부 신청사 건립 신축공사</v>
      </c>
      <c r="D198" s="74" t="str">
        <f>IF(VLOOKUP($B198,'1. 현장별 인원현황'!$C:$J,3,0)=0,"",VLOOKUP($B198,'1. 현장별 인원현황'!$C:$J,3,0))</f>
        <v>김동신</v>
      </c>
      <c r="E198" s="74" t="str">
        <f ca="1">IF(VLOOKUP($B198,'1. 현장별 인원현황'!$C:$J,4,0)=0,"",VLOOKUP($B198,'1. 현장별 인원현황'!$C:$J,4,0))</f>
        <v>60세</v>
      </c>
      <c r="F198" s="70" t="str">
        <f>IF(VLOOKUP($B198,'1. 현장별 인원현황'!$C:$J,7,0)=0,"",VLOOKUP($B198,'1. 현장별 인원현황'!$C:$J,7,0))</f>
        <v>공사</v>
      </c>
      <c r="G198" s="72" t="str">
        <f>IF(VLOOKUP($B198,'1. 현장별 인원현황'!$C:$J,8,0)=0,"",VLOOKUP($B198,'1. 현장별 인원현황'!$C:$J,8,0))</f>
        <v>과장</v>
      </c>
      <c r="H198" s="67" t="s">
        <v>69</v>
      </c>
      <c r="I198" s="73"/>
      <c r="J198" s="73"/>
      <c r="K198" s="68"/>
      <c r="L198" s="67"/>
      <c r="M198" s="73" t="s">
        <v>69</v>
      </c>
      <c r="N198" s="73"/>
      <c r="O198" s="68"/>
      <c r="P198" s="67"/>
      <c r="Q198" s="73" t="s">
        <v>69</v>
      </c>
      <c r="R198" s="73"/>
      <c r="S198" s="68"/>
      <c r="T198" s="67"/>
      <c r="U198" s="73" t="s">
        <v>69</v>
      </c>
      <c r="V198" s="73"/>
      <c r="W198" s="68"/>
      <c r="X198" s="67" t="s">
        <v>69</v>
      </c>
      <c r="Y198" s="73"/>
      <c r="Z198" s="73"/>
      <c r="AA198" s="68"/>
      <c r="AB198" s="67"/>
      <c r="AC198" s="73" t="s">
        <v>69</v>
      </c>
      <c r="AD198" s="73"/>
      <c r="AE198" s="68"/>
      <c r="AF198" s="67"/>
      <c r="AG198" s="73"/>
      <c r="AH198" s="73" t="s">
        <v>69</v>
      </c>
      <c r="AI198" s="68"/>
      <c r="AJ198" s="67" t="s">
        <v>69</v>
      </c>
      <c r="AK198" s="73"/>
      <c r="AL198" s="73"/>
      <c r="AM198" s="68"/>
      <c r="AN198" s="67">
        <f t="shared" si="139"/>
        <v>80</v>
      </c>
      <c r="AO198" s="68" t="str">
        <f t="shared" si="140"/>
        <v>A</v>
      </c>
      <c r="AR198" s="49">
        <f t="shared" si="173"/>
        <v>1</v>
      </c>
      <c r="AS198" s="49">
        <f t="shared" si="174"/>
        <v>0</v>
      </c>
      <c r="AT198" s="49">
        <f t="shared" si="175"/>
        <v>0</v>
      </c>
      <c r="AU198" s="49">
        <f t="shared" si="176"/>
        <v>0</v>
      </c>
      <c r="AV198" s="49">
        <f t="shared" si="177"/>
        <v>0</v>
      </c>
      <c r="AW198" s="49">
        <f t="shared" si="178"/>
        <v>1</v>
      </c>
      <c r="AX198" s="49">
        <f t="shared" si="179"/>
        <v>0</v>
      </c>
      <c r="AY198" s="49">
        <f t="shared" si="180"/>
        <v>0</v>
      </c>
      <c r="AZ198" s="49">
        <f t="shared" si="181"/>
        <v>0</v>
      </c>
      <c r="BA198" s="49">
        <f t="shared" si="182"/>
        <v>1</v>
      </c>
      <c r="BB198" s="49">
        <f t="shared" si="183"/>
        <v>0</v>
      </c>
      <c r="BC198" s="49">
        <f t="shared" si="184"/>
        <v>0</v>
      </c>
      <c r="BD198" s="49">
        <f t="shared" si="185"/>
        <v>0</v>
      </c>
      <c r="BE198" s="49">
        <f t="shared" si="186"/>
        <v>1</v>
      </c>
      <c r="BF198" s="49">
        <f t="shared" si="187"/>
        <v>0</v>
      </c>
      <c r="BG198" s="49">
        <f t="shared" si="188"/>
        <v>0</v>
      </c>
      <c r="BH198" s="49">
        <f t="shared" si="189"/>
        <v>1</v>
      </c>
      <c r="BI198" s="49">
        <f t="shared" si="190"/>
        <v>0</v>
      </c>
      <c r="BJ198" s="49">
        <f t="shared" si="191"/>
        <v>0</v>
      </c>
      <c r="BK198" s="49">
        <f t="shared" si="192"/>
        <v>0</v>
      </c>
      <c r="BL198" s="49">
        <f t="shared" si="193"/>
        <v>0</v>
      </c>
      <c r="BM198" s="49">
        <f t="shared" si="194"/>
        <v>1</v>
      </c>
      <c r="BN198" s="49">
        <f t="shared" si="195"/>
        <v>0</v>
      </c>
      <c r="BO198" s="49">
        <f t="shared" si="196"/>
        <v>0</v>
      </c>
      <c r="BP198" s="49">
        <f t="shared" si="197"/>
        <v>0</v>
      </c>
      <c r="BQ198" s="49">
        <f t="shared" si="198"/>
        <v>0</v>
      </c>
      <c r="BR198" s="49">
        <f t="shared" si="199"/>
        <v>1</v>
      </c>
      <c r="BS198" s="49">
        <f t="shared" si="200"/>
        <v>0</v>
      </c>
      <c r="BT198" s="49">
        <f t="shared" si="201"/>
        <v>1</v>
      </c>
      <c r="BU198" s="49">
        <f t="shared" si="202"/>
        <v>0</v>
      </c>
      <c r="BV198" s="49">
        <f t="shared" si="203"/>
        <v>0</v>
      </c>
      <c r="BW198" s="49">
        <f t="shared" si="204"/>
        <v>0</v>
      </c>
    </row>
    <row r="199" spans="1:75" ht="35.1" customHeight="1" x14ac:dyDescent="0.3">
      <c r="A199" s="123" t="str">
        <f t="shared" ref="A199:A262" si="205">MID(C199,3,1)&amp;"팀"</f>
        <v>2팀</v>
      </c>
      <c r="B199" s="69">
        <f t="shared" ref="B199:B262" si="206">ROW()-6</f>
        <v>193</v>
      </c>
      <c r="C199" s="121" t="str">
        <f>IF(VLOOKUP($B199,'1. 현장별 인원현황'!$C:$J,2,0)=0,"",VLOOKUP($B199,'1. 현장별 인원현황'!$C:$J,2,0))</f>
        <v xml:space="preserve"> [2.동양] 한국건강관리협회 인천지부 신청사 건립 신축공사</v>
      </c>
      <c r="D199" s="74" t="str">
        <f>IF(VLOOKUP($B199,'1. 현장별 인원현황'!$C:$J,3,0)=0,"",VLOOKUP($B199,'1. 현장별 인원현황'!$C:$J,3,0))</f>
        <v>김성훈</v>
      </c>
      <c r="E199" s="74" t="str">
        <f ca="1">IF(VLOOKUP($B199,'1. 현장별 인원현황'!$C:$J,4,0)=0,"",VLOOKUP($B199,'1. 현장별 인원현황'!$C:$J,4,0))</f>
        <v>67세</v>
      </c>
      <c r="F199" s="70" t="str">
        <f>IF(VLOOKUP($B199,'1. 현장별 인원현황'!$C:$J,7,0)=0,"",VLOOKUP($B199,'1. 현장별 인원현황'!$C:$J,7,0))</f>
        <v>공사</v>
      </c>
      <c r="G199" s="72" t="str">
        <f>IF(VLOOKUP($B199,'1. 현장별 인원현황'!$C:$J,8,0)=0,"",VLOOKUP($B199,'1. 현장별 인원현황'!$C:$J,8,0))</f>
        <v>차장</v>
      </c>
      <c r="H199" s="67" t="s">
        <v>69</v>
      </c>
      <c r="I199" s="73"/>
      <c r="J199" s="73"/>
      <c r="K199" s="68"/>
      <c r="L199" s="67"/>
      <c r="M199" s="73"/>
      <c r="N199" s="73" t="s">
        <v>69</v>
      </c>
      <c r="O199" s="68"/>
      <c r="P199" s="67" t="s">
        <v>69</v>
      </c>
      <c r="Q199" s="73"/>
      <c r="R199" s="73"/>
      <c r="S199" s="68"/>
      <c r="T199" s="67" t="s">
        <v>69</v>
      </c>
      <c r="U199" s="73"/>
      <c r="V199" s="73"/>
      <c r="W199" s="68"/>
      <c r="X199" s="67" t="s">
        <v>69</v>
      </c>
      <c r="Y199" s="73"/>
      <c r="Z199" s="73"/>
      <c r="AA199" s="68"/>
      <c r="AB199" s="67" t="s">
        <v>69</v>
      </c>
      <c r="AC199" s="73"/>
      <c r="AD199" s="73"/>
      <c r="AE199" s="68"/>
      <c r="AF199" s="67"/>
      <c r="AG199" s="73" t="s">
        <v>69</v>
      </c>
      <c r="AH199" s="73"/>
      <c r="AI199" s="68"/>
      <c r="AJ199" s="67" t="s">
        <v>69</v>
      </c>
      <c r="AK199" s="73"/>
      <c r="AL199" s="73"/>
      <c r="AM199" s="68"/>
      <c r="AN199" s="67">
        <f t="shared" ref="AN199:AN262" si="207">SUMPRODUCT($H$5:$AM$5,AR199:BW199)</f>
        <v>89</v>
      </c>
      <c r="AO199" s="68" t="str">
        <f t="shared" ref="AO199:AO262" si="208">IF(AN199&gt;85,"S",IF(AN199&gt;70,"A",IF(AN199&gt;50,"B",IF(AN199&gt;0,"C",""))))</f>
        <v>S</v>
      </c>
      <c r="AR199" s="49">
        <f t="shared" si="173"/>
        <v>1</v>
      </c>
      <c r="AS199" s="49">
        <f t="shared" si="174"/>
        <v>0</v>
      </c>
      <c r="AT199" s="49">
        <f t="shared" si="175"/>
        <v>0</v>
      </c>
      <c r="AU199" s="49">
        <f t="shared" si="176"/>
        <v>0</v>
      </c>
      <c r="AV199" s="49">
        <f t="shared" si="177"/>
        <v>0</v>
      </c>
      <c r="AW199" s="49">
        <f t="shared" si="178"/>
        <v>0</v>
      </c>
      <c r="AX199" s="49">
        <f t="shared" si="179"/>
        <v>1</v>
      </c>
      <c r="AY199" s="49">
        <f t="shared" si="180"/>
        <v>0</v>
      </c>
      <c r="AZ199" s="49">
        <f t="shared" si="181"/>
        <v>1</v>
      </c>
      <c r="BA199" s="49">
        <f t="shared" si="182"/>
        <v>0</v>
      </c>
      <c r="BB199" s="49">
        <f t="shared" si="183"/>
        <v>0</v>
      </c>
      <c r="BC199" s="49">
        <f t="shared" si="184"/>
        <v>0</v>
      </c>
      <c r="BD199" s="49">
        <f t="shared" si="185"/>
        <v>1</v>
      </c>
      <c r="BE199" s="49">
        <f t="shared" si="186"/>
        <v>0</v>
      </c>
      <c r="BF199" s="49">
        <f t="shared" si="187"/>
        <v>0</v>
      </c>
      <c r="BG199" s="49">
        <f t="shared" si="188"/>
        <v>0</v>
      </c>
      <c r="BH199" s="49">
        <f t="shared" si="189"/>
        <v>1</v>
      </c>
      <c r="BI199" s="49">
        <f t="shared" si="190"/>
        <v>0</v>
      </c>
      <c r="BJ199" s="49">
        <f t="shared" si="191"/>
        <v>0</v>
      </c>
      <c r="BK199" s="49">
        <f t="shared" si="192"/>
        <v>0</v>
      </c>
      <c r="BL199" s="49">
        <f t="shared" si="193"/>
        <v>1</v>
      </c>
      <c r="BM199" s="49">
        <f t="shared" si="194"/>
        <v>0</v>
      </c>
      <c r="BN199" s="49">
        <f t="shared" si="195"/>
        <v>0</v>
      </c>
      <c r="BO199" s="49">
        <f t="shared" si="196"/>
        <v>0</v>
      </c>
      <c r="BP199" s="49">
        <f t="shared" si="197"/>
        <v>0</v>
      </c>
      <c r="BQ199" s="49">
        <f t="shared" si="198"/>
        <v>1</v>
      </c>
      <c r="BR199" s="49">
        <f t="shared" si="199"/>
        <v>0</v>
      </c>
      <c r="BS199" s="49">
        <f t="shared" si="200"/>
        <v>0</v>
      </c>
      <c r="BT199" s="49">
        <f t="shared" si="201"/>
        <v>1</v>
      </c>
      <c r="BU199" s="49">
        <f t="shared" si="202"/>
        <v>0</v>
      </c>
      <c r="BV199" s="49">
        <f t="shared" si="203"/>
        <v>0</v>
      </c>
      <c r="BW199" s="49">
        <f t="shared" si="204"/>
        <v>0</v>
      </c>
    </row>
    <row r="200" spans="1:75" ht="35.1" customHeight="1" x14ac:dyDescent="0.3">
      <c r="A200" s="123" t="str">
        <f t="shared" si="205"/>
        <v>2팀</v>
      </c>
      <c r="B200" s="69">
        <f t="shared" si="206"/>
        <v>194</v>
      </c>
      <c r="C200" s="121" t="str">
        <f>IF(VLOOKUP($B200,'1. 현장별 인원현황'!$C:$J,2,0)=0,"",VLOOKUP($B200,'1. 현장별 인원현황'!$C:$J,2,0))</f>
        <v xml:space="preserve"> [2.동양] 한국건강관리협회 인천지부 신청사 건립 신축공사</v>
      </c>
      <c r="D200" s="74" t="str">
        <f>IF(VLOOKUP($B200,'1. 현장별 인원현황'!$C:$J,3,0)=0,"",VLOOKUP($B200,'1. 현장별 인원현황'!$C:$J,3,0))</f>
        <v>김은철</v>
      </c>
      <c r="E200" s="74" t="str">
        <f ca="1">IF(VLOOKUP($B200,'1. 현장별 인원현황'!$C:$J,4,0)=0,"",VLOOKUP($B200,'1. 현장별 인원현황'!$C:$J,4,0))</f>
        <v>55세</v>
      </c>
      <c r="F200" s="70" t="str">
        <f>IF(VLOOKUP($B200,'1. 현장별 인원현황'!$C:$J,7,0)=0,"",VLOOKUP($B200,'1. 현장별 인원현황'!$C:$J,7,0))</f>
        <v>공사</v>
      </c>
      <c r="G200" s="72" t="str">
        <f>IF(VLOOKUP($B200,'1. 현장별 인원현황'!$C:$J,8,0)=0,"",VLOOKUP($B200,'1. 현장별 인원현황'!$C:$J,8,0))</f>
        <v>차장</v>
      </c>
      <c r="H200" s="67" t="s">
        <v>69</v>
      </c>
      <c r="I200" s="73"/>
      <c r="J200" s="73"/>
      <c r="K200" s="68"/>
      <c r="L200" s="67"/>
      <c r="M200" s="73"/>
      <c r="N200" s="73" t="s">
        <v>69</v>
      </c>
      <c r="O200" s="68"/>
      <c r="P200" s="67" t="s">
        <v>69</v>
      </c>
      <c r="Q200" s="73"/>
      <c r="R200" s="73"/>
      <c r="S200" s="68"/>
      <c r="T200" s="67" t="s">
        <v>69</v>
      </c>
      <c r="U200" s="73"/>
      <c r="V200" s="73"/>
      <c r="W200" s="68"/>
      <c r="X200" s="67" t="s">
        <v>69</v>
      </c>
      <c r="Y200" s="73"/>
      <c r="Z200" s="73"/>
      <c r="AA200" s="68"/>
      <c r="AB200" s="67" t="s">
        <v>69</v>
      </c>
      <c r="AC200" s="73"/>
      <c r="AD200" s="73"/>
      <c r="AE200" s="68"/>
      <c r="AF200" s="67" t="s">
        <v>69</v>
      </c>
      <c r="AG200" s="73"/>
      <c r="AH200" s="73"/>
      <c r="AI200" s="68"/>
      <c r="AJ200" s="67" t="s">
        <v>69</v>
      </c>
      <c r="AK200" s="73"/>
      <c r="AL200" s="73"/>
      <c r="AM200" s="68"/>
      <c r="AN200" s="67">
        <f t="shared" si="207"/>
        <v>92</v>
      </c>
      <c r="AO200" s="68" t="str">
        <f t="shared" si="208"/>
        <v>S</v>
      </c>
      <c r="AR200" s="49">
        <f t="shared" si="173"/>
        <v>1</v>
      </c>
      <c r="AS200" s="49">
        <f t="shared" si="174"/>
        <v>0</v>
      </c>
      <c r="AT200" s="49">
        <f t="shared" si="175"/>
        <v>0</v>
      </c>
      <c r="AU200" s="49">
        <f t="shared" si="176"/>
        <v>0</v>
      </c>
      <c r="AV200" s="49">
        <f t="shared" si="177"/>
        <v>0</v>
      </c>
      <c r="AW200" s="49">
        <f t="shared" si="178"/>
        <v>0</v>
      </c>
      <c r="AX200" s="49">
        <f t="shared" si="179"/>
        <v>1</v>
      </c>
      <c r="AY200" s="49">
        <f t="shared" si="180"/>
        <v>0</v>
      </c>
      <c r="AZ200" s="49">
        <f t="shared" si="181"/>
        <v>1</v>
      </c>
      <c r="BA200" s="49">
        <f t="shared" si="182"/>
        <v>0</v>
      </c>
      <c r="BB200" s="49">
        <f t="shared" si="183"/>
        <v>0</v>
      </c>
      <c r="BC200" s="49">
        <f t="shared" si="184"/>
        <v>0</v>
      </c>
      <c r="BD200" s="49">
        <f t="shared" si="185"/>
        <v>1</v>
      </c>
      <c r="BE200" s="49">
        <f t="shared" si="186"/>
        <v>0</v>
      </c>
      <c r="BF200" s="49">
        <f t="shared" si="187"/>
        <v>0</v>
      </c>
      <c r="BG200" s="49">
        <f t="shared" si="188"/>
        <v>0</v>
      </c>
      <c r="BH200" s="49">
        <f t="shared" si="189"/>
        <v>1</v>
      </c>
      <c r="BI200" s="49">
        <f t="shared" si="190"/>
        <v>0</v>
      </c>
      <c r="BJ200" s="49">
        <f t="shared" si="191"/>
        <v>0</v>
      </c>
      <c r="BK200" s="49">
        <f t="shared" si="192"/>
        <v>0</v>
      </c>
      <c r="BL200" s="49">
        <f t="shared" si="193"/>
        <v>1</v>
      </c>
      <c r="BM200" s="49">
        <f t="shared" si="194"/>
        <v>0</v>
      </c>
      <c r="BN200" s="49">
        <f t="shared" si="195"/>
        <v>0</v>
      </c>
      <c r="BO200" s="49">
        <f t="shared" si="196"/>
        <v>0</v>
      </c>
      <c r="BP200" s="49">
        <f t="shared" si="197"/>
        <v>1</v>
      </c>
      <c r="BQ200" s="49">
        <f t="shared" si="198"/>
        <v>0</v>
      </c>
      <c r="BR200" s="49">
        <f t="shared" si="199"/>
        <v>0</v>
      </c>
      <c r="BS200" s="49">
        <f t="shared" si="200"/>
        <v>0</v>
      </c>
      <c r="BT200" s="49">
        <f t="shared" si="201"/>
        <v>1</v>
      </c>
      <c r="BU200" s="49">
        <f t="shared" si="202"/>
        <v>0</v>
      </c>
      <c r="BV200" s="49">
        <f t="shared" si="203"/>
        <v>0</v>
      </c>
      <c r="BW200" s="49">
        <f t="shared" si="204"/>
        <v>0</v>
      </c>
    </row>
    <row r="201" spans="1:75" ht="35.1" customHeight="1" x14ac:dyDescent="0.3">
      <c r="A201" s="123" t="str">
        <f t="shared" si="205"/>
        <v>2팀</v>
      </c>
      <c r="B201" s="69">
        <f t="shared" si="206"/>
        <v>195</v>
      </c>
      <c r="C201" s="121" t="str">
        <f>IF(VLOOKUP($B201,'1. 현장별 인원현황'!$C:$J,2,0)=0,"",VLOOKUP($B201,'1. 현장별 인원현황'!$C:$J,2,0))</f>
        <v xml:space="preserve"> [2.동양] 한국건강관리협회 인천지부 신청사 건립 신축공사</v>
      </c>
      <c r="D201" s="74" t="str">
        <f>IF(VLOOKUP($B201,'1. 현장별 인원현황'!$C:$J,3,0)=0,"",VLOOKUP($B201,'1. 현장별 인원현황'!$C:$J,3,0))</f>
        <v>김진우</v>
      </c>
      <c r="E201" s="74" t="str">
        <f ca="1">IF(VLOOKUP($B201,'1. 현장별 인원현황'!$C:$J,4,0)=0,"",VLOOKUP($B201,'1. 현장별 인원현황'!$C:$J,4,0))</f>
        <v>25세</v>
      </c>
      <c r="F201" s="70" t="str">
        <f>IF(VLOOKUP($B201,'1. 현장별 인원현황'!$C:$J,7,0)=0,"",VLOOKUP($B201,'1. 현장별 인원현황'!$C:$J,7,0))</f>
        <v>기능공</v>
      </c>
      <c r="G201" s="72" t="str">
        <f>IF(VLOOKUP($B201,'1. 현장별 인원현황'!$C:$J,8,0)=0,"",VLOOKUP($B201,'1. 현장별 인원현황'!$C:$J,8,0))</f>
        <v>전공</v>
      </c>
      <c r="H201" s="67" t="s">
        <v>69</v>
      </c>
      <c r="I201" s="73"/>
      <c r="J201" s="73"/>
      <c r="K201" s="68"/>
      <c r="L201" s="67"/>
      <c r="M201" s="73"/>
      <c r="N201" s="73" t="s">
        <v>69</v>
      </c>
      <c r="O201" s="68"/>
      <c r="P201" s="67" t="s">
        <v>69</v>
      </c>
      <c r="Q201" s="73"/>
      <c r="R201" s="73"/>
      <c r="S201" s="68"/>
      <c r="T201" s="67" t="s">
        <v>69</v>
      </c>
      <c r="U201" s="73"/>
      <c r="V201" s="73"/>
      <c r="W201" s="68"/>
      <c r="X201" s="67" t="s">
        <v>69</v>
      </c>
      <c r="Y201" s="73"/>
      <c r="Z201" s="73"/>
      <c r="AA201" s="68"/>
      <c r="AB201" s="67" t="s">
        <v>69</v>
      </c>
      <c r="AC201" s="73"/>
      <c r="AD201" s="73"/>
      <c r="AE201" s="68"/>
      <c r="AF201" s="67" t="s">
        <v>69</v>
      </c>
      <c r="AG201" s="73"/>
      <c r="AH201" s="73"/>
      <c r="AI201" s="68"/>
      <c r="AJ201" s="67" t="s">
        <v>69</v>
      </c>
      <c r="AK201" s="73"/>
      <c r="AL201" s="73"/>
      <c r="AM201" s="68"/>
      <c r="AN201" s="67">
        <f t="shared" si="207"/>
        <v>92</v>
      </c>
      <c r="AO201" s="68" t="str">
        <f t="shared" si="208"/>
        <v>S</v>
      </c>
      <c r="AR201" s="49">
        <f t="shared" si="173"/>
        <v>1</v>
      </c>
      <c r="AS201" s="49">
        <f t="shared" si="174"/>
        <v>0</v>
      </c>
      <c r="AT201" s="49">
        <f t="shared" si="175"/>
        <v>0</v>
      </c>
      <c r="AU201" s="49">
        <f t="shared" si="176"/>
        <v>0</v>
      </c>
      <c r="AV201" s="49">
        <f t="shared" si="177"/>
        <v>0</v>
      </c>
      <c r="AW201" s="49">
        <f t="shared" si="178"/>
        <v>0</v>
      </c>
      <c r="AX201" s="49">
        <f t="shared" si="179"/>
        <v>1</v>
      </c>
      <c r="AY201" s="49">
        <f t="shared" si="180"/>
        <v>0</v>
      </c>
      <c r="AZ201" s="49">
        <f t="shared" si="181"/>
        <v>1</v>
      </c>
      <c r="BA201" s="49">
        <f t="shared" si="182"/>
        <v>0</v>
      </c>
      <c r="BB201" s="49">
        <f t="shared" si="183"/>
        <v>0</v>
      </c>
      <c r="BC201" s="49">
        <f t="shared" si="184"/>
        <v>0</v>
      </c>
      <c r="BD201" s="49">
        <f t="shared" si="185"/>
        <v>1</v>
      </c>
      <c r="BE201" s="49">
        <f t="shared" si="186"/>
        <v>0</v>
      </c>
      <c r="BF201" s="49">
        <f t="shared" si="187"/>
        <v>0</v>
      </c>
      <c r="BG201" s="49">
        <f t="shared" si="188"/>
        <v>0</v>
      </c>
      <c r="BH201" s="49">
        <f t="shared" si="189"/>
        <v>1</v>
      </c>
      <c r="BI201" s="49">
        <f t="shared" si="190"/>
        <v>0</v>
      </c>
      <c r="BJ201" s="49">
        <f t="shared" si="191"/>
        <v>0</v>
      </c>
      <c r="BK201" s="49">
        <f t="shared" si="192"/>
        <v>0</v>
      </c>
      <c r="BL201" s="49">
        <f t="shared" si="193"/>
        <v>1</v>
      </c>
      <c r="BM201" s="49">
        <f t="shared" si="194"/>
        <v>0</v>
      </c>
      <c r="BN201" s="49">
        <f t="shared" si="195"/>
        <v>0</v>
      </c>
      <c r="BO201" s="49">
        <f t="shared" si="196"/>
        <v>0</v>
      </c>
      <c r="BP201" s="49">
        <f t="shared" si="197"/>
        <v>1</v>
      </c>
      <c r="BQ201" s="49">
        <f t="shared" si="198"/>
        <v>0</v>
      </c>
      <c r="BR201" s="49">
        <f t="shared" si="199"/>
        <v>0</v>
      </c>
      <c r="BS201" s="49">
        <f t="shared" si="200"/>
        <v>0</v>
      </c>
      <c r="BT201" s="49">
        <f t="shared" si="201"/>
        <v>1</v>
      </c>
      <c r="BU201" s="49">
        <f t="shared" si="202"/>
        <v>0</v>
      </c>
      <c r="BV201" s="49">
        <f t="shared" si="203"/>
        <v>0</v>
      </c>
      <c r="BW201" s="49">
        <f t="shared" si="204"/>
        <v>0</v>
      </c>
    </row>
    <row r="202" spans="1:75" ht="35.1" customHeight="1" x14ac:dyDescent="0.3">
      <c r="A202" s="123" t="str">
        <f t="shared" si="205"/>
        <v>2팀</v>
      </c>
      <c r="B202" s="69">
        <f t="shared" si="206"/>
        <v>196</v>
      </c>
      <c r="C202" s="121" t="str">
        <f>IF(VLOOKUP($B202,'1. 현장별 인원현황'!$C:$J,2,0)=0,"",VLOOKUP($B202,'1. 현장별 인원현황'!$C:$J,2,0))</f>
        <v xml:space="preserve"> [2.동양] 한국건강관리협회 인천지부 신청사 건립 신축공사</v>
      </c>
      <c r="D202" s="74" t="str">
        <f>IF(VLOOKUP($B202,'1. 현장별 인원현황'!$C:$J,3,0)=0,"",VLOOKUP($B202,'1. 현장별 인원현황'!$C:$J,3,0))</f>
        <v>박성찬</v>
      </c>
      <c r="E202" s="74" t="str">
        <f ca="1">IF(VLOOKUP($B202,'1. 현장별 인원현황'!$C:$J,4,0)=0,"",VLOOKUP($B202,'1. 현장별 인원현황'!$C:$J,4,0))</f>
        <v>53세</v>
      </c>
      <c r="F202" s="70" t="str">
        <f>IF(VLOOKUP($B202,'1. 현장별 인원현황'!$C:$J,7,0)=0,"",VLOOKUP($B202,'1. 현장별 인원현황'!$C:$J,7,0))</f>
        <v>기능공</v>
      </c>
      <c r="G202" s="72" t="str">
        <f>IF(VLOOKUP($B202,'1. 현장별 인원현황'!$C:$J,8,0)=0,"",VLOOKUP($B202,'1. 현장별 인원현황'!$C:$J,8,0))</f>
        <v>전공</v>
      </c>
      <c r="H202" s="67" t="s">
        <v>69</v>
      </c>
      <c r="I202" s="73"/>
      <c r="J202" s="73"/>
      <c r="K202" s="68"/>
      <c r="L202" s="67"/>
      <c r="M202" s="73"/>
      <c r="N202" s="73" t="s">
        <v>69</v>
      </c>
      <c r="O202" s="68"/>
      <c r="P202" s="67"/>
      <c r="Q202" s="73" t="s">
        <v>69</v>
      </c>
      <c r="R202" s="73"/>
      <c r="S202" s="68"/>
      <c r="T202" s="67"/>
      <c r="U202" s="73" t="s">
        <v>69</v>
      </c>
      <c r="V202" s="73"/>
      <c r="W202" s="68"/>
      <c r="X202" s="67" t="s">
        <v>69</v>
      </c>
      <c r="Y202" s="73"/>
      <c r="Z202" s="73"/>
      <c r="AA202" s="68"/>
      <c r="AB202" s="67"/>
      <c r="AC202" s="73" t="s">
        <v>69</v>
      </c>
      <c r="AD202" s="73"/>
      <c r="AE202" s="68"/>
      <c r="AF202" s="67"/>
      <c r="AG202" s="73" t="s">
        <v>69</v>
      </c>
      <c r="AH202" s="73"/>
      <c r="AI202" s="68"/>
      <c r="AJ202" s="67" t="s">
        <v>69</v>
      </c>
      <c r="AK202" s="73"/>
      <c r="AL202" s="73"/>
      <c r="AM202" s="68"/>
      <c r="AN202" s="67">
        <f t="shared" si="207"/>
        <v>79</v>
      </c>
      <c r="AO202" s="68" t="str">
        <f t="shared" si="208"/>
        <v>A</v>
      </c>
      <c r="AR202" s="49">
        <f t="shared" si="173"/>
        <v>1</v>
      </c>
      <c r="AS202" s="49">
        <f t="shared" si="174"/>
        <v>0</v>
      </c>
      <c r="AT202" s="49">
        <f t="shared" si="175"/>
        <v>0</v>
      </c>
      <c r="AU202" s="49">
        <f t="shared" si="176"/>
        <v>0</v>
      </c>
      <c r="AV202" s="49">
        <f t="shared" si="177"/>
        <v>0</v>
      </c>
      <c r="AW202" s="49">
        <f t="shared" si="178"/>
        <v>0</v>
      </c>
      <c r="AX202" s="49">
        <f t="shared" si="179"/>
        <v>1</v>
      </c>
      <c r="AY202" s="49">
        <f t="shared" si="180"/>
        <v>0</v>
      </c>
      <c r="AZ202" s="49">
        <f t="shared" si="181"/>
        <v>0</v>
      </c>
      <c r="BA202" s="49">
        <f t="shared" si="182"/>
        <v>1</v>
      </c>
      <c r="BB202" s="49">
        <f t="shared" si="183"/>
        <v>0</v>
      </c>
      <c r="BC202" s="49">
        <f t="shared" si="184"/>
        <v>0</v>
      </c>
      <c r="BD202" s="49">
        <f t="shared" si="185"/>
        <v>0</v>
      </c>
      <c r="BE202" s="49">
        <f t="shared" si="186"/>
        <v>1</v>
      </c>
      <c r="BF202" s="49">
        <f t="shared" si="187"/>
        <v>0</v>
      </c>
      <c r="BG202" s="49">
        <f t="shared" si="188"/>
        <v>0</v>
      </c>
      <c r="BH202" s="49">
        <f t="shared" si="189"/>
        <v>1</v>
      </c>
      <c r="BI202" s="49">
        <f t="shared" si="190"/>
        <v>0</v>
      </c>
      <c r="BJ202" s="49">
        <f t="shared" si="191"/>
        <v>0</v>
      </c>
      <c r="BK202" s="49">
        <f t="shared" si="192"/>
        <v>0</v>
      </c>
      <c r="BL202" s="49">
        <f t="shared" si="193"/>
        <v>0</v>
      </c>
      <c r="BM202" s="49">
        <f t="shared" si="194"/>
        <v>1</v>
      </c>
      <c r="BN202" s="49">
        <f t="shared" si="195"/>
        <v>0</v>
      </c>
      <c r="BO202" s="49">
        <f t="shared" si="196"/>
        <v>0</v>
      </c>
      <c r="BP202" s="49">
        <f t="shared" si="197"/>
        <v>0</v>
      </c>
      <c r="BQ202" s="49">
        <f t="shared" si="198"/>
        <v>1</v>
      </c>
      <c r="BR202" s="49">
        <f t="shared" si="199"/>
        <v>0</v>
      </c>
      <c r="BS202" s="49">
        <f t="shared" si="200"/>
        <v>0</v>
      </c>
      <c r="BT202" s="49">
        <f t="shared" si="201"/>
        <v>1</v>
      </c>
      <c r="BU202" s="49">
        <f t="shared" si="202"/>
        <v>0</v>
      </c>
      <c r="BV202" s="49">
        <f t="shared" si="203"/>
        <v>0</v>
      </c>
      <c r="BW202" s="49">
        <f t="shared" si="204"/>
        <v>0</v>
      </c>
    </row>
    <row r="203" spans="1:75" ht="35.1" customHeight="1" x14ac:dyDescent="0.3">
      <c r="A203" s="123" t="str">
        <f t="shared" si="205"/>
        <v>2팀</v>
      </c>
      <c r="B203" s="69">
        <f t="shared" si="206"/>
        <v>197</v>
      </c>
      <c r="C203" s="121" t="str">
        <f>IF(VLOOKUP($B203,'1. 현장별 인원현황'!$C:$J,2,0)=0,"",VLOOKUP($B203,'1. 현장별 인원현황'!$C:$J,2,0))</f>
        <v xml:space="preserve"> [2.동양] 한국건강관리협회 인천지부 신청사 건립 신축공사</v>
      </c>
      <c r="D203" s="74" t="str">
        <f>IF(VLOOKUP($B203,'1. 현장별 인원현황'!$C:$J,3,0)=0,"",VLOOKUP($B203,'1. 현장별 인원현황'!$C:$J,3,0))</f>
        <v>박재욱</v>
      </c>
      <c r="E203" s="74" t="str">
        <f ca="1">IF(VLOOKUP($B203,'1. 현장별 인원현황'!$C:$J,4,0)=0,"",VLOOKUP($B203,'1. 현장별 인원현황'!$C:$J,4,0))</f>
        <v>60세</v>
      </c>
      <c r="F203" s="70" t="str">
        <f>IF(VLOOKUP($B203,'1. 현장별 인원현황'!$C:$J,7,0)=0,"",VLOOKUP($B203,'1. 현장별 인원현황'!$C:$J,7,0))</f>
        <v>기능공</v>
      </c>
      <c r="G203" s="72" t="str">
        <f>IF(VLOOKUP($B203,'1. 현장별 인원현황'!$C:$J,8,0)=0,"",VLOOKUP($B203,'1. 현장별 인원현황'!$C:$J,8,0))</f>
        <v>전공</v>
      </c>
      <c r="H203" s="67" t="s">
        <v>69</v>
      </c>
      <c r="I203" s="73"/>
      <c r="J203" s="73"/>
      <c r="K203" s="68"/>
      <c r="L203" s="67"/>
      <c r="M203" s="73"/>
      <c r="N203" s="73" t="s">
        <v>69</v>
      </c>
      <c r="O203" s="68"/>
      <c r="P203" s="67"/>
      <c r="Q203" s="73" t="s">
        <v>69</v>
      </c>
      <c r="R203" s="73"/>
      <c r="S203" s="68"/>
      <c r="T203" s="67" t="s">
        <v>69</v>
      </c>
      <c r="U203" s="73"/>
      <c r="V203" s="73"/>
      <c r="W203" s="68"/>
      <c r="X203" s="67" t="s">
        <v>69</v>
      </c>
      <c r="Y203" s="73"/>
      <c r="Z203" s="73"/>
      <c r="AA203" s="68"/>
      <c r="AB203" s="67"/>
      <c r="AC203" s="73" t="s">
        <v>69</v>
      </c>
      <c r="AD203" s="73"/>
      <c r="AE203" s="68"/>
      <c r="AF203" s="67"/>
      <c r="AG203" s="73" t="s">
        <v>69</v>
      </c>
      <c r="AH203" s="73"/>
      <c r="AI203" s="68"/>
      <c r="AJ203" s="67" t="s">
        <v>69</v>
      </c>
      <c r="AK203" s="73"/>
      <c r="AL203" s="73"/>
      <c r="AM203" s="68"/>
      <c r="AN203" s="67">
        <f t="shared" si="207"/>
        <v>83</v>
      </c>
      <c r="AO203" s="68" t="str">
        <f t="shared" si="208"/>
        <v>A</v>
      </c>
      <c r="AR203" s="49">
        <f t="shared" si="173"/>
        <v>1</v>
      </c>
      <c r="AS203" s="49">
        <f t="shared" si="174"/>
        <v>0</v>
      </c>
      <c r="AT203" s="49">
        <f t="shared" si="175"/>
        <v>0</v>
      </c>
      <c r="AU203" s="49">
        <f t="shared" si="176"/>
        <v>0</v>
      </c>
      <c r="AV203" s="49">
        <f t="shared" si="177"/>
        <v>0</v>
      </c>
      <c r="AW203" s="49">
        <f t="shared" si="178"/>
        <v>0</v>
      </c>
      <c r="AX203" s="49">
        <f t="shared" si="179"/>
        <v>1</v>
      </c>
      <c r="AY203" s="49">
        <f t="shared" si="180"/>
        <v>0</v>
      </c>
      <c r="AZ203" s="49">
        <f t="shared" si="181"/>
        <v>0</v>
      </c>
      <c r="BA203" s="49">
        <f t="shared" si="182"/>
        <v>1</v>
      </c>
      <c r="BB203" s="49">
        <f t="shared" si="183"/>
        <v>0</v>
      </c>
      <c r="BC203" s="49">
        <f t="shared" si="184"/>
        <v>0</v>
      </c>
      <c r="BD203" s="49">
        <f t="shared" si="185"/>
        <v>1</v>
      </c>
      <c r="BE203" s="49">
        <f t="shared" si="186"/>
        <v>0</v>
      </c>
      <c r="BF203" s="49">
        <f t="shared" si="187"/>
        <v>0</v>
      </c>
      <c r="BG203" s="49">
        <f t="shared" si="188"/>
        <v>0</v>
      </c>
      <c r="BH203" s="49">
        <f t="shared" si="189"/>
        <v>1</v>
      </c>
      <c r="BI203" s="49">
        <f t="shared" si="190"/>
        <v>0</v>
      </c>
      <c r="BJ203" s="49">
        <f t="shared" si="191"/>
        <v>0</v>
      </c>
      <c r="BK203" s="49">
        <f t="shared" si="192"/>
        <v>0</v>
      </c>
      <c r="BL203" s="49">
        <f t="shared" si="193"/>
        <v>0</v>
      </c>
      <c r="BM203" s="49">
        <f t="shared" si="194"/>
        <v>1</v>
      </c>
      <c r="BN203" s="49">
        <f t="shared" si="195"/>
        <v>0</v>
      </c>
      <c r="BO203" s="49">
        <f t="shared" si="196"/>
        <v>0</v>
      </c>
      <c r="BP203" s="49">
        <f t="shared" si="197"/>
        <v>0</v>
      </c>
      <c r="BQ203" s="49">
        <f t="shared" si="198"/>
        <v>1</v>
      </c>
      <c r="BR203" s="49">
        <f t="shared" si="199"/>
        <v>0</v>
      </c>
      <c r="BS203" s="49">
        <f t="shared" si="200"/>
        <v>0</v>
      </c>
      <c r="BT203" s="49">
        <f t="shared" si="201"/>
        <v>1</v>
      </c>
      <c r="BU203" s="49">
        <f t="shared" si="202"/>
        <v>0</v>
      </c>
      <c r="BV203" s="49">
        <f t="shared" si="203"/>
        <v>0</v>
      </c>
      <c r="BW203" s="49">
        <f t="shared" si="204"/>
        <v>0</v>
      </c>
    </row>
    <row r="204" spans="1:75" ht="35.1" customHeight="1" x14ac:dyDescent="0.3">
      <c r="A204" s="123" t="str">
        <f t="shared" si="205"/>
        <v>2팀</v>
      </c>
      <c r="B204" s="69">
        <f t="shared" si="206"/>
        <v>198</v>
      </c>
      <c r="C204" s="121" t="str">
        <f>IF(VLOOKUP($B204,'1. 현장별 인원현황'!$C:$J,2,0)=0,"",VLOOKUP($B204,'1. 현장별 인원현황'!$C:$J,2,0))</f>
        <v xml:space="preserve"> [2.동양] 한국건강관리협회 인천지부 신청사 건립 신축공사</v>
      </c>
      <c r="D204" s="74" t="str">
        <f>IF(VLOOKUP($B204,'1. 현장별 인원현황'!$C:$J,3,0)=0,"",VLOOKUP($B204,'1. 현장별 인원현황'!$C:$J,3,0))</f>
        <v>서성필</v>
      </c>
      <c r="E204" s="74" t="str">
        <f ca="1">IF(VLOOKUP($B204,'1. 현장별 인원현황'!$C:$J,4,0)=0,"",VLOOKUP($B204,'1. 현장별 인원현황'!$C:$J,4,0))</f>
        <v>50세</v>
      </c>
      <c r="F204" s="70" t="str">
        <f>IF(VLOOKUP($B204,'1. 현장별 인원현황'!$C:$J,7,0)=0,"",VLOOKUP($B204,'1. 현장별 인원현황'!$C:$J,7,0))</f>
        <v>기능공</v>
      </c>
      <c r="G204" s="72" t="str">
        <f>IF(VLOOKUP($B204,'1. 현장별 인원현황'!$C:$J,8,0)=0,"",VLOOKUP($B204,'1. 현장별 인원현황'!$C:$J,8,0))</f>
        <v>전공</v>
      </c>
      <c r="H204" s="67" t="s">
        <v>69</v>
      </c>
      <c r="I204" s="73"/>
      <c r="J204" s="73"/>
      <c r="K204" s="68"/>
      <c r="L204" s="67"/>
      <c r="M204" s="73"/>
      <c r="N204" s="73" t="s">
        <v>69</v>
      </c>
      <c r="O204" s="68"/>
      <c r="P204" s="67" t="s">
        <v>69</v>
      </c>
      <c r="Q204" s="73"/>
      <c r="R204" s="73"/>
      <c r="S204" s="68"/>
      <c r="T204" s="67" t="s">
        <v>69</v>
      </c>
      <c r="U204" s="73"/>
      <c r="V204" s="73"/>
      <c r="W204" s="68"/>
      <c r="X204" s="67" t="s">
        <v>69</v>
      </c>
      <c r="Y204" s="73"/>
      <c r="Z204" s="73"/>
      <c r="AA204" s="68"/>
      <c r="AB204" s="67" t="s">
        <v>69</v>
      </c>
      <c r="AC204" s="73"/>
      <c r="AD204" s="73"/>
      <c r="AE204" s="68"/>
      <c r="AF204" s="67" t="s">
        <v>69</v>
      </c>
      <c r="AG204" s="73"/>
      <c r="AH204" s="73"/>
      <c r="AI204" s="68"/>
      <c r="AJ204" s="67" t="s">
        <v>69</v>
      </c>
      <c r="AK204" s="73"/>
      <c r="AL204" s="73"/>
      <c r="AM204" s="68"/>
      <c r="AN204" s="67">
        <f t="shared" si="207"/>
        <v>92</v>
      </c>
      <c r="AO204" s="68" t="str">
        <f t="shared" si="208"/>
        <v>S</v>
      </c>
      <c r="AR204" s="49">
        <f t="shared" si="173"/>
        <v>1</v>
      </c>
      <c r="AS204" s="49">
        <f t="shared" si="174"/>
        <v>0</v>
      </c>
      <c r="AT204" s="49">
        <f t="shared" si="175"/>
        <v>0</v>
      </c>
      <c r="AU204" s="49">
        <f t="shared" si="176"/>
        <v>0</v>
      </c>
      <c r="AV204" s="49">
        <f t="shared" si="177"/>
        <v>0</v>
      </c>
      <c r="AW204" s="49">
        <f t="shared" si="178"/>
        <v>0</v>
      </c>
      <c r="AX204" s="49">
        <f t="shared" si="179"/>
        <v>1</v>
      </c>
      <c r="AY204" s="49">
        <f t="shared" si="180"/>
        <v>0</v>
      </c>
      <c r="AZ204" s="49">
        <f t="shared" si="181"/>
        <v>1</v>
      </c>
      <c r="BA204" s="49">
        <f t="shared" si="182"/>
        <v>0</v>
      </c>
      <c r="BB204" s="49">
        <f t="shared" si="183"/>
        <v>0</v>
      </c>
      <c r="BC204" s="49">
        <f t="shared" si="184"/>
        <v>0</v>
      </c>
      <c r="BD204" s="49">
        <f t="shared" si="185"/>
        <v>1</v>
      </c>
      <c r="BE204" s="49">
        <f t="shared" si="186"/>
        <v>0</v>
      </c>
      <c r="BF204" s="49">
        <f t="shared" si="187"/>
        <v>0</v>
      </c>
      <c r="BG204" s="49">
        <f t="shared" si="188"/>
        <v>0</v>
      </c>
      <c r="BH204" s="49">
        <f t="shared" si="189"/>
        <v>1</v>
      </c>
      <c r="BI204" s="49">
        <f t="shared" si="190"/>
        <v>0</v>
      </c>
      <c r="BJ204" s="49">
        <f t="shared" si="191"/>
        <v>0</v>
      </c>
      <c r="BK204" s="49">
        <f t="shared" si="192"/>
        <v>0</v>
      </c>
      <c r="BL204" s="49">
        <f t="shared" si="193"/>
        <v>1</v>
      </c>
      <c r="BM204" s="49">
        <f t="shared" si="194"/>
        <v>0</v>
      </c>
      <c r="BN204" s="49">
        <f t="shared" si="195"/>
        <v>0</v>
      </c>
      <c r="BO204" s="49">
        <f t="shared" si="196"/>
        <v>0</v>
      </c>
      <c r="BP204" s="49">
        <f t="shared" si="197"/>
        <v>1</v>
      </c>
      <c r="BQ204" s="49">
        <f t="shared" si="198"/>
        <v>0</v>
      </c>
      <c r="BR204" s="49">
        <f t="shared" si="199"/>
        <v>0</v>
      </c>
      <c r="BS204" s="49">
        <f t="shared" si="200"/>
        <v>0</v>
      </c>
      <c r="BT204" s="49">
        <f t="shared" si="201"/>
        <v>1</v>
      </c>
      <c r="BU204" s="49">
        <f t="shared" si="202"/>
        <v>0</v>
      </c>
      <c r="BV204" s="49">
        <f t="shared" si="203"/>
        <v>0</v>
      </c>
      <c r="BW204" s="49">
        <f t="shared" si="204"/>
        <v>0</v>
      </c>
    </row>
    <row r="205" spans="1:75" ht="35.1" customHeight="1" x14ac:dyDescent="0.3">
      <c r="A205" s="123" t="str">
        <f t="shared" si="205"/>
        <v>2팀</v>
      </c>
      <c r="B205" s="69">
        <f t="shared" si="206"/>
        <v>199</v>
      </c>
      <c r="C205" s="121" t="str">
        <f>IF(VLOOKUP($B205,'1. 현장별 인원현황'!$C:$J,2,0)=0,"",VLOOKUP($B205,'1. 현장별 인원현황'!$C:$J,2,0))</f>
        <v xml:space="preserve"> [2.동양] 한국건강관리협회 인천지부 신청사 건립 신축공사</v>
      </c>
      <c r="D205" s="74" t="str">
        <f>IF(VLOOKUP($B205,'1. 현장별 인원현황'!$C:$J,3,0)=0,"",VLOOKUP($B205,'1. 현장별 인원현황'!$C:$J,3,0))</f>
        <v>이재형</v>
      </c>
      <c r="E205" s="74" t="str">
        <f ca="1">IF(VLOOKUP($B205,'1. 현장별 인원현황'!$C:$J,4,0)=0,"",VLOOKUP($B205,'1. 현장별 인원현황'!$C:$J,4,0))</f>
        <v>48세</v>
      </c>
      <c r="F205" s="70" t="str">
        <f>IF(VLOOKUP($B205,'1. 현장별 인원현황'!$C:$J,7,0)=0,"",VLOOKUP($B205,'1. 현장별 인원현황'!$C:$J,7,0))</f>
        <v>기능공</v>
      </c>
      <c r="G205" s="72" t="str">
        <f>IF(VLOOKUP($B205,'1. 현장별 인원현황'!$C:$J,8,0)=0,"",VLOOKUP($B205,'1. 현장별 인원현황'!$C:$J,8,0))</f>
        <v>조공</v>
      </c>
      <c r="H205" s="67" t="s">
        <v>69</v>
      </c>
      <c r="I205" s="73"/>
      <c r="J205" s="73"/>
      <c r="K205" s="68"/>
      <c r="L205" s="67"/>
      <c r="M205" s="73"/>
      <c r="N205" s="73" t="s">
        <v>69</v>
      </c>
      <c r="O205" s="68"/>
      <c r="P205" s="67"/>
      <c r="Q205" s="73" t="s">
        <v>69</v>
      </c>
      <c r="R205" s="73"/>
      <c r="S205" s="68"/>
      <c r="T205" s="67" t="s">
        <v>69</v>
      </c>
      <c r="U205" s="73"/>
      <c r="V205" s="73"/>
      <c r="W205" s="68"/>
      <c r="X205" s="67" t="s">
        <v>69</v>
      </c>
      <c r="Y205" s="73"/>
      <c r="Z205" s="73"/>
      <c r="AA205" s="68"/>
      <c r="AB205" s="67"/>
      <c r="AC205" s="73" t="s">
        <v>69</v>
      </c>
      <c r="AD205" s="73"/>
      <c r="AE205" s="68"/>
      <c r="AF205" s="67" t="s">
        <v>69</v>
      </c>
      <c r="AG205" s="73"/>
      <c r="AH205" s="73"/>
      <c r="AI205" s="68"/>
      <c r="AJ205" s="67" t="s">
        <v>69</v>
      </c>
      <c r="AK205" s="73"/>
      <c r="AL205" s="73"/>
      <c r="AM205" s="68"/>
      <c r="AN205" s="67">
        <f t="shared" si="207"/>
        <v>86</v>
      </c>
      <c r="AO205" s="68" t="str">
        <f t="shared" si="208"/>
        <v>S</v>
      </c>
      <c r="AR205" s="49">
        <f t="shared" si="173"/>
        <v>1</v>
      </c>
      <c r="AS205" s="49">
        <f t="shared" si="174"/>
        <v>0</v>
      </c>
      <c r="AT205" s="49">
        <f t="shared" si="175"/>
        <v>0</v>
      </c>
      <c r="AU205" s="49">
        <f t="shared" si="176"/>
        <v>0</v>
      </c>
      <c r="AV205" s="49">
        <f t="shared" si="177"/>
        <v>0</v>
      </c>
      <c r="AW205" s="49">
        <f t="shared" si="178"/>
        <v>0</v>
      </c>
      <c r="AX205" s="49">
        <f t="shared" si="179"/>
        <v>1</v>
      </c>
      <c r="AY205" s="49">
        <f t="shared" si="180"/>
        <v>0</v>
      </c>
      <c r="AZ205" s="49">
        <f t="shared" si="181"/>
        <v>0</v>
      </c>
      <c r="BA205" s="49">
        <f t="shared" si="182"/>
        <v>1</v>
      </c>
      <c r="BB205" s="49">
        <f t="shared" si="183"/>
        <v>0</v>
      </c>
      <c r="BC205" s="49">
        <f t="shared" si="184"/>
        <v>0</v>
      </c>
      <c r="BD205" s="49">
        <f t="shared" si="185"/>
        <v>1</v>
      </c>
      <c r="BE205" s="49">
        <f t="shared" si="186"/>
        <v>0</v>
      </c>
      <c r="BF205" s="49">
        <f t="shared" si="187"/>
        <v>0</v>
      </c>
      <c r="BG205" s="49">
        <f t="shared" si="188"/>
        <v>0</v>
      </c>
      <c r="BH205" s="49">
        <f t="shared" si="189"/>
        <v>1</v>
      </c>
      <c r="BI205" s="49">
        <f t="shared" si="190"/>
        <v>0</v>
      </c>
      <c r="BJ205" s="49">
        <f t="shared" si="191"/>
        <v>0</v>
      </c>
      <c r="BK205" s="49">
        <f t="shared" si="192"/>
        <v>0</v>
      </c>
      <c r="BL205" s="49">
        <f t="shared" si="193"/>
        <v>0</v>
      </c>
      <c r="BM205" s="49">
        <f t="shared" si="194"/>
        <v>1</v>
      </c>
      <c r="BN205" s="49">
        <f t="shared" si="195"/>
        <v>0</v>
      </c>
      <c r="BO205" s="49">
        <f t="shared" si="196"/>
        <v>0</v>
      </c>
      <c r="BP205" s="49">
        <f t="shared" si="197"/>
        <v>1</v>
      </c>
      <c r="BQ205" s="49">
        <f t="shared" si="198"/>
        <v>0</v>
      </c>
      <c r="BR205" s="49">
        <f t="shared" si="199"/>
        <v>0</v>
      </c>
      <c r="BS205" s="49">
        <f t="shared" si="200"/>
        <v>0</v>
      </c>
      <c r="BT205" s="49">
        <f t="shared" si="201"/>
        <v>1</v>
      </c>
      <c r="BU205" s="49">
        <f t="shared" si="202"/>
        <v>0</v>
      </c>
      <c r="BV205" s="49">
        <f t="shared" si="203"/>
        <v>0</v>
      </c>
      <c r="BW205" s="49">
        <f t="shared" si="204"/>
        <v>0</v>
      </c>
    </row>
    <row r="206" spans="1:75" ht="35.1" customHeight="1" x14ac:dyDescent="0.3">
      <c r="A206" s="123" t="str">
        <f t="shared" si="205"/>
        <v>2팀</v>
      </c>
      <c r="B206" s="69">
        <f t="shared" si="206"/>
        <v>200</v>
      </c>
      <c r="C206" s="121" t="str">
        <f>IF(VLOOKUP($B206,'1. 현장별 인원현황'!$C:$J,2,0)=0,"",VLOOKUP($B206,'1. 현장별 인원현황'!$C:$J,2,0))</f>
        <v xml:space="preserve"> [2.동양] 한국건강관리협회 인천지부 신청사 건립 신축공사</v>
      </c>
      <c r="D206" s="74" t="str">
        <f>IF(VLOOKUP($B206,'1. 현장별 인원현황'!$C:$J,3,0)=0,"",VLOOKUP($B206,'1. 현장별 인원현황'!$C:$J,3,0))</f>
        <v>장근직</v>
      </c>
      <c r="E206" s="74" t="str">
        <f ca="1">IF(VLOOKUP($B206,'1. 현장별 인원현황'!$C:$J,4,0)=0,"",VLOOKUP($B206,'1. 현장별 인원현황'!$C:$J,4,0))</f>
        <v>58세</v>
      </c>
      <c r="F206" s="70" t="str">
        <f>IF(VLOOKUP($B206,'1. 현장별 인원현황'!$C:$J,7,0)=0,"",VLOOKUP($B206,'1. 현장별 인원현황'!$C:$J,7,0))</f>
        <v>기능공</v>
      </c>
      <c r="G206" s="72" t="str">
        <f>IF(VLOOKUP($B206,'1. 현장별 인원현황'!$C:$J,8,0)=0,"",VLOOKUP($B206,'1. 현장별 인원현황'!$C:$J,8,0))</f>
        <v>전공</v>
      </c>
      <c r="H206" s="67" t="s">
        <v>69</v>
      </c>
      <c r="I206" s="73"/>
      <c r="J206" s="73"/>
      <c r="K206" s="68"/>
      <c r="L206" s="67"/>
      <c r="M206" s="73"/>
      <c r="N206" s="73" t="s">
        <v>69</v>
      </c>
      <c r="O206" s="68"/>
      <c r="P206" s="67" t="s">
        <v>69</v>
      </c>
      <c r="Q206" s="73"/>
      <c r="R206" s="73"/>
      <c r="S206" s="68"/>
      <c r="T206" s="67" t="s">
        <v>69</v>
      </c>
      <c r="U206" s="73"/>
      <c r="V206" s="73"/>
      <c r="W206" s="68"/>
      <c r="X206" s="67" t="s">
        <v>69</v>
      </c>
      <c r="Y206" s="73"/>
      <c r="Z206" s="73"/>
      <c r="AA206" s="68"/>
      <c r="AB206" s="67" t="s">
        <v>69</v>
      </c>
      <c r="AC206" s="73"/>
      <c r="AD206" s="73"/>
      <c r="AE206" s="68"/>
      <c r="AF206" s="67" t="s">
        <v>69</v>
      </c>
      <c r="AG206" s="73"/>
      <c r="AH206" s="73"/>
      <c r="AI206" s="68"/>
      <c r="AJ206" s="67" t="s">
        <v>69</v>
      </c>
      <c r="AK206" s="73"/>
      <c r="AL206" s="73"/>
      <c r="AM206" s="68"/>
      <c r="AN206" s="67">
        <f t="shared" si="207"/>
        <v>92</v>
      </c>
      <c r="AO206" s="68" t="str">
        <f t="shared" si="208"/>
        <v>S</v>
      </c>
      <c r="AR206" s="49">
        <f t="shared" si="173"/>
        <v>1</v>
      </c>
      <c r="AS206" s="49">
        <f t="shared" si="174"/>
        <v>0</v>
      </c>
      <c r="AT206" s="49">
        <f t="shared" si="175"/>
        <v>0</v>
      </c>
      <c r="AU206" s="49">
        <f t="shared" si="176"/>
        <v>0</v>
      </c>
      <c r="AV206" s="49">
        <f t="shared" si="177"/>
        <v>0</v>
      </c>
      <c r="AW206" s="49">
        <f t="shared" si="178"/>
        <v>0</v>
      </c>
      <c r="AX206" s="49">
        <f t="shared" si="179"/>
        <v>1</v>
      </c>
      <c r="AY206" s="49">
        <f t="shared" si="180"/>
        <v>0</v>
      </c>
      <c r="AZ206" s="49">
        <f t="shared" si="181"/>
        <v>1</v>
      </c>
      <c r="BA206" s="49">
        <f t="shared" si="182"/>
        <v>0</v>
      </c>
      <c r="BB206" s="49">
        <f t="shared" si="183"/>
        <v>0</v>
      </c>
      <c r="BC206" s="49">
        <f t="shared" si="184"/>
        <v>0</v>
      </c>
      <c r="BD206" s="49">
        <f t="shared" si="185"/>
        <v>1</v>
      </c>
      <c r="BE206" s="49">
        <f t="shared" si="186"/>
        <v>0</v>
      </c>
      <c r="BF206" s="49">
        <f t="shared" si="187"/>
        <v>0</v>
      </c>
      <c r="BG206" s="49">
        <f t="shared" si="188"/>
        <v>0</v>
      </c>
      <c r="BH206" s="49">
        <f t="shared" si="189"/>
        <v>1</v>
      </c>
      <c r="BI206" s="49">
        <f t="shared" si="190"/>
        <v>0</v>
      </c>
      <c r="BJ206" s="49">
        <f t="shared" si="191"/>
        <v>0</v>
      </c>
      <c r="BK206" s="49">
        <f t="shared" si="192"/>
        <v>0</v>
      </c>
      <c r="BL206" s="49">
        <f t="shared" si="193"/>
        <v>1</v>
      </c>
      <c r="BM206" s="49">
        <f t="shared" si="194"/>
        <v>0</v>
      </c>
      <c r="BN206" s="49">
        <f t="shared" si="195"/>
        <v>0</v>
      </c>
      <c r="BO206" s="49">
        <f t="shared" si="196"/>
        <v>0</v>
      </c>
      <c r="BP206" s="49">
        <f t="shared" si="197"/>
        <v>1</v>
      </c>
      <c r="BQ206" s="49">
        <f t="shared" si="198"/>
        <v>0</v>
      </c>
      <c r="BR206" s="49">
        <f t="shared" si="199"/>
        <v>0</v>
      </c>
      <c r="BS206" s="49">
        <f t="shared" si="200"/>
        <v>0</v>
      </c>
      <c r="BT206" s="49">
        <f t="shared" si="201"/>
        <v>1</v>
      </c>
      <c r="BU206" s="49">
        <f t="shared" si="202"/>
        <v>0</v>
      </c>
      <c r="BV206" s="49">
        <f t="shared" si="203"/>
        <v>0</v>
      </c>
      <c r="BW206" s="49">
        <f t="shared" si="204"/>
        <v>0</v>
      </c>
    </row>
    <row r="207" spans="1:75" ht="35.1" customHeight="1" x14ac:dyDescent="0.3">
      <c r="A207" s="123" t="str">
        <f t="shared" si="205"/>
        <v>2팀</v>
      </c>
      <c r="B207" s="69">
        <f t="shared" si="206"/>
        <v>201</v>
      </c>
      <c r="C207" s="121" t="str">
        <f>IF(VLOOKUP($B207,'1. 현장별 인원현황'!$C:$J,2,0)=0,"",VLOOKUP($B207,'1. 현장별 인원현황'!$C:$J,2,0))</f>
        <v xml:space="preserve"> [2.동양] 한국건강관리협회 인천지부 신청사 건립 신축공사</v>
      </c>
      <c r="D207" s="74" t="str">
        <f>IF(VLOOKUP($B207,'1. 현장별 인원현황'!$C:$J,3,0)=0,"",VLOOKUP($B207,'1. 현장별 인원현황'!$C:$J,3,0))</f>
        <v>조규평</v>
      </c>
      <c r="E207" s="74" t="str">
        <f ca="1">IF(VLOOKUP($B207,'1. 현장별 인원현황'!$C:$J,4,0)=0,"",VLOOKUP($B207,'1. 현장별 인원현황'!$C:$J,4,0))</f>
        <v>72세</v>
      </c>
      <c r="F207" s="70" t="str">
        <f>IF(VLOOKUP($B207,'1. 현장별 인원현황'!$C:$J,7,0)=0,"",VLOOKUP($B207,'1. 현장별 인원현황'!$C:$J,7,0))</f>
        <v>기능공</v>
      </c>
      <c r="G207" s="72" t="str">
        <f>IF(VLOOKUP($B207,'1. 현장별 인원현황'!$C:$J,8,0)=0,"",VLOOKUP($B207,'1. 현장별 인원현황'!$C:$J,8,0))</f>
        <v>조공</v>
      </c>
      <c r="H207" s="67" t="s">
        <v>69</v>
      </c>
      <c r="I207" s="73"/>
      <c r="J207" s="73"/>
      <c r="K207" s="68"/>
      <c r="L207" s="67"/>
      <c r="M207" s="73"/>
      <c r="N207" s="73" t="s">
        <v>69</v>
      </c>
      <c r="O207" s="68"/>
      <c r="P207" s="67" t="s">
        <v>69</v>
      </c>
      <c r="Q207" s="73"/>
      <c r="R207" s="73"/>
      <c r="S207" s="68"/>
      <c r="T207" s="67" t="s">
        <v>69</v>
      </c>
      <c r="U207" s="73"/>
      <c r="V207" s="73"/>
      <c r="W207" s="68"/>
      <c r="X207" s="67" t="s">
        <v>69</v>
      </c>
      <c r="Y207" s="73"/>
      <c r="Z207" s="73"/>
      <c r="AA207" s="68"/>
      <c r="AB207" s="67" t="s">
        <v>69</v>
      </c>
      <c r="AC207" s="73"/>
      <c r="AD207" s="73"/>
      <c r="AE207" s="68"/>
      <c r="AF207" s="67" t="s">
        <v>69</v>
      </c>
      <c r="AG207" s="73"/>
      <c r="AH207" s="73"/>
      <c r="AI207" s="68"/>
      <c r="AJ207" s="67" t="s">
        <v>69</v>
      </c>
      <c r="AK207" s="73"/>
      <c r="AL207" s="73"/>
      <c r="AM207" s="68"/>
      <c r="AN207" s="67">
        <f t="shared" si="207"/>
        <v>92</v>
      </c>
      <c r="AO207" s="68" t="str">
        <f t="shared" si="208"/>
        <v>S</v>
      </c>
      <c r="AR207" s="49">
        <f t="shared" si="173"/>
        <v>1</v>
      </c>
      <c r="AS207" s="49">
        <f t="shared" si="174"/>
        <v>0</v>
      </c>
      <c r="AT207" s="49">
        <f t="shared" si="175"/>
        <v>0</v>
      </c>
      <c r="AU207" s="49">
        <f t="shared" si="176"/>
        <v>0</v>
      </c>
      <c r="AV207" s="49">
        <f t="shared" si="177"/>
        <v>0</v>
      </c>
      <c r="AW207" s="49">
        <f t="shared" si="178"/>
        <v>0</v>
      </c>
      <c r="AX207" s="49">
        <f t="shared" si="179"/>
        <v>1</v>
      </c>
      <c r="AY207" s="49">
        <f t="shared" si="180"/>
        <v>0</v>
      </c>
      <c r="AZ207" s="49">
        <f t="shared" si="181"/>
        <v>1</v>
      </c>
      <c r="BA207" s="49">
        <f t="shared" si="182"/>
        <v>0</v>
      </c>
      <c r="BB207" s="49">
        <f t="shared" si="183"/>
        <v>0</v>
      </c>
      <c r="BC207" s="49">
        <f t="shared" si="184"/>
        <v>0</v>
      </c>
      <c r="BD207" s="49">
        <f t="shared" si="185"/>
        <v>1</v>
      </c>
      <c r="BE207" s="49">
        <f t="shared" si="186"/>
        <v>0</v>
      </c>
      <c r="BF207" s="49">
        <f t="shared" si="187"/>
        <v>0</v>
      </c>
      <c r="BG207" s="49">
        <f t="shared" si="188"/>
        <v>0</v>
      </c>
      <c r="BH207" s="49">
        <f t="shared" si="189"/>
        <v>1</v>
      </c>
      <c r="BI207" s="49">
        <f t="shared" si="190"/>
        <v>0</v>
      </c>
      <c r="BJ207" s="49">
        <f t="shared" si="191"/>
        <v>0</v>
      </c>
      <c r="BK207" s="49">
        <f t="shared" si="192"/>
        <v>0</v>
      </c>
      <c r="BL207" s="49">
        <f t="shared" si="193"/>
        <v>1</v>
      </c>
      <c r="BM207" s="49">
        <f t="shared" si="194"/>
        <v>0</v>
      </c>
      <c r="BN207" s="49">
        <f t="shared" si="195"/>
        <v>0</v>
      </c>
      <c r="BO207" s="49">
        <f t="shared" si="196"/>
        <v>0</v>
      </c>
      <c r="BP207" s="49">
        <f t="shared" si="197"/>
        <v>1</v>
      </c>
      <c r="BQ207" s="49">
        <f t="shared" si="198"/>
        <v>0</v>
      </c>
      <c r="BR207" s="49">
        <f t="shared" si="199"/>
        <v>0</v>
      </c>
      <c r="BS207" s="49">
        <f t="shared" si="200"/>
        <v>0</v>
      </c>
      <c r="BT207" s="49">
        <f t="shared" si="201"/>
        <v>1</v>
      </c>
      <c r="BU207" s="49">
        <f t="shared" si="202"/>
        <v>0</v>
      </c>
      <c r="BV207" s="49">
        <f t="shared" si="203"/>
        <v>0</v>
      </c>
      <c r="BW207" s="49">
        <f t="shared" si="204"/>
        <v>0</v>
      </c>
    </row>
    <row r="208" spans="1:75" ht="35.1" customHeight="1" x14ac:dyDescent="0.3">
      <c r="A208" s="123" t="str">
        <f t="shared" si="205"/>
        <v>2팀</v>
      </c>
      <c r="B208" s="69">
        <f t="shared" si="206"/>
        <v>202</v>
      </c>
      <c r="C208" s="121" t="str">
        <f>IF(VLOOKUP($B208,'1. 현장별 인원현황'!$C:$J,2,0)=0,"",VLOOKUP($B208,'1. 현장별 인원현황'!$C:$J,2,0))</f>
        <v xml:space="preserve"> [2.동양] 한국건강관리협회 인천지부 신청사 건립 신축공사</v>
      </c>
      <c r="D208" s="74" t="str">
        <f>IF(VLOOKUP($B208,'1. 현장별 인원현황'!$C:$J,3,0)=0,"",VLOOKUP($B208,'1. 현장별 인원현황'!$C:$J,3,0))</f>
        <v>조영삼</v>
      </c>
      <c r="E208" s="74" t="str">
        <f ca="1">IF(VLOOKUP($B208,'1. 현장별 인원현황'!$C:$J,4,0)=0,"",VLOOKUP($B208,'1. 현장별 인원현황'!$C:$J,4,0))</f>
        <v>57세</v>
      </c>
      <c r="F208" s="70" t="str">
        <f>IF(VLOOKUP($B208,'1. 현장별 인원현황'!$C:$J,7,0)=0,"",VLOOKUP($B208,'1. 현장별 인원현황'!$C:$J,7,0))</f>
        <v>기능공</v>
      </c>
      <c r="G208" s="72" t="str">
        <f>IF(VLOOKUP($B208,'1. 현장별 인원현황'!$C:$J,8,0)=0,"",VLOOKUP($B208,'1. 현장별 인원현황'!$C:$J,8,0))</f>
        <v>전공</v>
      </c>
      <c r="H208" s="67" t="s">
        <v>69</v>
      </c>
      <c r="I208" s="73"/>
      <c r="J208" s="73"/>
      <c r="K208" s="68"/>
      <c r="L208" s="67"/>
      <c r="M208" s="73"/>
      <c r="N208" s="73" t="s">
        <v>69</v>
      </c>
      <c r="O208" s="68"/>
      <c r="P208" s="67" t="s">
        <v>69</v>
      </c>
      <c r="Q208" s="73"/>
      <c r="R208" s="73"/>
      <c r="S208" s="68"/>
      <c r="T208" s="67" t="s">
        <v>69</v>
      </c>
      <c r="U208" s="73"/>
      <c r="V208" s="73"/>
      <c r="W208" s="68"/>
      <c r="X208" s="67" t="s">
        <v>69</v>
      </c>
      <c r="Y208" s="73"/>
      <c r="Z208" s="73"/>
      <c r="AA208" s="68"/>
      <c r="AB208" s="67" t="s">
        <v>69</v>
      </c>
      <c r="AC208" s="73"/>
      <c r="AD208" s="73"/>
      <c r="AE208" s="68"/>
      <c r="AF208" s="67" t="s">
        <v>69</v>
      </c>
      <c r="AG208" s="73"/>
      <c r="AH208" s="73"/>
      <c r="AI208" s="68"/>
      <c r="AJ208" s="67" t="s">
        <v>69</v>
      </c>
      <c r="AK208" s="73"/>
      <c r="AL208" s="73"/>
      <c r="AM208" s="68"/>
      <c r="AN208" s="67">
        <f t="shared" si="207"/>
        <v>92</v>
      </c>
      <c r="AO208" s="68" t="str">
        <f t="shared" si="208"/>
        <v>S</v>
      </c>
      <c r="AR208" s="49">
        <f t="shared" si="173"/>
        <v>1</v>
      </c>
      <c r="AS208" s="49">
        <f t="shared" si="174"/>
        <v>0</v>
      </c>
      <c r="AT208" s="49">
        <f t="shared" si="175"/>
        <v>0</v>
      </c>
      <c r="AU208" s="49">
        <f t="shared" si="176"/>
        <v>0</v>
      </c>
      <c r="AV208" s="49">
        <f t="shared" si="177"/>
        <v>0</v>
      </c>
      <c r="AW208" s="49">
        <f t="shared" si="178"/>
        <v>0</v>
      </c>
      <c r="AX208" s="49">
        <f t="shared" si="179"/>
        <v>1</v>
      </c>
      <c r="AY208" s="49">
        <f t="shared" si="180"/>
        <v>0</v>
      </c>
      <c r="AZ208" s="49">
        <f t="shared" si="181"/>
        <v>1</v>
      </c>
      <c r="BA208" s="49">
        <f t="shared" si="182"/>
        <v>0</v>
      </c>
      <c r="BB208" s="49">
        <f t="shared" si="183"/>
        <v>0</v>
      </c>
      <c r="BC208" s="49">
        <f t="shared" si="184"/>
        <v>0</v>
      </c>
      <c r="BD208" s="49">
        <f t="shared" si="185"/>
        <v>1</v>
      </c>
      <c r="BE208" s="49">
        <f t="shared" si="186"/>
        <v>0</v>
      </c>
      <c r="BF208" s="49">
        <f t="shared" si="187"/>
        <v>0</v>
      </c>
      <c r="BG208" s="49">
        <f t="shared" si="188"/>
        <v>0</v>
      </c>
      <c r="BH208" s="49">
        <f t="shared" si="189"/>
        <v>1</v>
      </c>
      <c r="BI208" s="49">
        <f t="shared" si="190"/>
        <v>0</v>
      </c>
      <c r="BJ208" s="49">
        <f t="shared" si="191"/>
        <v>0</v>
      </c>
      <c r="BK208" s="49">
        <f t="shared" si="192"/>
        <v>0</v>
      </c>
      <c r="BL208" s="49">
        <f t="shared" si="193"/>
        <v>1</v>
      </c>
      <c r="BM208" s="49">
        <f t="shared" si="194"/>
        <v>0</v>
      </c>
      <c r="BN208" s="49">
        <f t="shared" si="195"/>
        <v>0</v>
      </c>
      <c r="BO208" s="49">
        <f t="shared" si="196"/>
        <v>0</v>
      </c>
      <c r="BP208" s="49">
        <f t="shared" si="197"/>
        <v>1</v>
      </c>
      <c r="BQ208" s="49">
        <f t="shared" si="198"/>
        <v>0</v>
      </c>
      <c r="BR208" s="49">
        <f t="shared" si="199"/>
        <v>0</v>
      </c>
      <c r="BS208" s="49">
        <f t="shared" si="200"/>
        <v>0</v>
      </c>
      <c r="BT208" s="49">
        <f t="shared" si="201"/>
        <v>1</v>
      </c>
      <c r="BU208" s="49">
        <f t="shared" si="202"/>
        <v>0</v>
      </c>
      <c r="BV208" s="49">
        <f t="shared" si="203"/>
        <v>0</v>
      </c>
      <c r="BW208" s="49">
        <f t="shared" si="204"/>
        <v>0</v>
      </c>
    </row>
    <row r="209" spans="1:75" ht="35.1" customHeight="1" x14ac:dyDescent="0.3">
      <c r="A209" s="123" t="str">
        <f t="shared" si="205"/>
        <v>2팀</v>
      </c>
      <c r="B209" s="69">
        <f t="shared" si="206"/>
        <v>203</v>
      </c>
      <c r="C209" s="121" t="str">
        <f>IF(VLOOKUP($B209,'1. 현장별 인원현황'!$C:$J,2,0)=0,"",VLOOKUP($B209,'1. 현장별 인원현황'!$C:$J,2,0))</f>
        <v xml:space="preserve"> [2.동양] 한국건강관리협회 인천지부 신청사 건립 신축공사</v>
      </c>
      <c r="D209" s="74" t="str">
        <f>IF(VLOOKUP($B209,'1. 현장별 인원현황'!$C:$J,3,0)=0,"",VLOOKUP($B209,'1. 현장별 인원현황'!$C:$J,3,0))</f>
        <v>최소영</v>
      </c>
      <c r="E209" s="74" t="str">
        <f ca="1">IF(VLOOKUP($B209,'1. 현장별 인원현황'!$C:$J,4,0)=0,"",VLOOKUP($B209,'1. 현장별 인원현황'!$C:$J,4,0))</f>
        <v>28세</v>
      </c>
      <c r="F209" s="70" t="str">
        <f>IF(VLOOKUP($B209,'1. 현장별 인원현황'!$C:$J,7,0)=0,"",VLOOKUP($B209,'1. 현장별 인원현황'!$C:$J,7,0))</f>
        <v>공무</v>
      </c>
      <c r="G209" s="72" t="str">
        <f>IF(VLOOKUP($B209,'1. 현장별 인원현황'!$C:$J,8,0)=0,"",VLOOKUP($B209,'1. 현장별 인원현황'!$C:$J,8,0))</f>
        <v>대리</v>
      </c>
      <c r="H209" s="67" t="s">
        <v>69</v>
      </c>
      <c r="I209" s="73"/>
      <c r="J209" s="73"/>
      <c r="K209" s="68"/>
      <c r="L209" s="67"/>
      <c r="M209" s="73" t="s">
        <v>69</v>
      </c>
      <c r="N209" s="73"/>
      <c r="O209" s="68"/>
      <c r="P209" s="67" t="s">
        <v>69</v>
      </c>
      <c r="Q209" s="73"/>
      <c r="R209" s="73"/>
      <c r="S209" s="68"/>
      <c r="T209" s="67" t="s">
        <v>69</v>
      </c>
      <c r="U209" s="73"/>
      <c r="V209" s="73"/>
      <c r="W209" s="68"/>
      <c r="X209" s="67" t="s">
        <v>69</v>
      </c>
      <c r="Y209" s="73"/>
      <c r="Z209" s="73"/>
      <c r="AA209" s="68"/>
      <c r="AB209" s="67" t="s">
        <v>69</v>
      </c>
      <c r="AC209" s="73"/>
      <c r="AD209" s="73"/>
      <c r="AE209" s="68"/>
      <c r="AF209" s="67" t="s">
        <v>69</v>
      </c>
      <c r="AG209" s="73"/>
      <c r="AH209" s="73"/>
      <c r="AI209" s="68"/>
      <c r="AJ209" s="67" t="s">
        <v>69</v>
      </c>
      <c r="AK209" s="73"/>
      <c r="AL209" s="73"/>
      <c r="AM209" s="68"/>
      <c r="AN209" s="67">
        <f t="shared" si="207"/>
        <v>96</v>
      </c>
      <c r="AO209" s="68" t="str">
        <f t="shared" si="208"/>
        <v>S</v>
      </c>
      <c r="AR209" s="49">
        <f t="shared" si="173"/>
        <v>1</v>
      </c>
      <c r="AS209" s="49">
        <f t="shared" si="174"/>
        <v>0</v>
      </c>
      <c r="AT209" s="49">
        <f t="shared" si="175"/>
        <v>0</v>
      </c>
      <c r="AU209" s="49">
        <f t="shared" si="176"/>
        <v>0</v>
      </c>
      <c r="AV209" s="49">
        <f t="shared" si="177"/>
        <v>0</v>
      </c>
      <c r="AW209" s="49">
        <f t="shared" si="178"/>
        <v>1</v>
      </c>
      <c r="AX209" s="49">
        <f t="shared" si="179"/>
        <v>0</v>
      </c>
      <c r="AY209" s="49">
        <f t="shared" si="180"/>
        <v>0</v>
      </c>
      <c r="AZ209" s="49">
        <f t="shared" si="181"/>
        <v>1</v>
      </c>
      <c r="BA209" s="49">
        <f t="shared" si="182"/>
        <v>0</v>
      </c>
      <c r="BB209" s="49">
        <f t="shared" si="183"/>
        <v>0</v>
      </c>
      <c r="BC209" s="49">
        <f t="shared" si="184"/>
        <v>0</v>
      </c>
      <c r="BD209" s="49">
        <f t="shared" si="185"/>
        <v>1</v>
      </c>
      <c r="BE209" s="49">
        <f t="shared" si="186"/>
        <v>0</v>
      </c>
      <c r="BF209" s="49">
        <f t="shared" si="187"/>
        <v>0</v>
      </c>
      <c r="BG209" s="49">
        <f t="shared" si="188"/>
        <v>0</v>
      </c>
      <c r="BH209" s="49">
        <f t="shared" si="189"/>
        <v>1</v>
      </c>
      <c r="BI209" s="49">
        <f t="shared" si="190"/>
        <v>0</v>
      </c>
      <c r="BJ209" s="49">
        <f t="shared" si="191"/>
        <v>0</v>
      </c>
      <c r="BK209" s="49">
        <f t="shared" si="192"/>
        <v>0</v>
      </c>
      <c r="BL209" s="49">
        <f t="shared" si="193"/>
        <v>1</v>
      </c>
      <c r="BM209" s="49">
        <f t="shared" si="194"/>
        <v>0</v>
      </c>
      <c r="BN209" s="49">
        <f t="shared" si="195"/>
        <v>0</v>
      </c>
      <c r="BO209" s="49">
        <f t="shared" si="196"/>
        <v>0</v>
      </c>
      <c r="BP209" s="49">
        <f t="shared" si="197"/>
        <v>1</v>
      </c>
      <c r="BQ209" s="49">
        <f t="shared" si="198"/>
        <v>0</v>
      </c>
      <c r="BR209" s="49">
        <f t="shared" si="199"/>
        <v>0</v>
      </c>
      <c r="BS209" s="49">
        <f t="shared" si="200"/>
        <v>0</v>
      </c>
      <c r="BT209" s="49">
        <f t="shared" si="201"/>
        <v>1</v>
      </c>
      <c r="BU209" s="49">
        <f t="shared" si="202"/>
        <v>0</v>
      </c>
      <c r="BV209" s="49">
        <f t="shared" si="203"/>
        <v>0</v>
      </c>
      <c r="BW209" s="49">
        <f t="shared" si="204"/>
        <v>0</v>
      </c>
    </row>
    <row r="210" spans="1:75" ht="35.1" customHeight="1" x14ac:dyDescent="0.3">
      <c r="A210" s="123" t="str">
        <f t="shared" si="205"/>
        <v>2팀</v>
      </c>
      <c r="B210" s="69">
        <f t="shared" si="206"/>
        <v>204</v>
      </c>
      <c r="C210" s="121" t="str">
        <f>IF(VLOOKUP($B210,'1. 현장별 인원현황'!$C:$J,2,0)=0,"",VLOOKUP($B210,'1. 현장별 인원현황'!$C:$J,2,0))</f>
        <v xml:space="preserve"> [2.동양] 한국건강관리협회 인천지부 신청사 건립 신축공사</v>
      </c>
      <c r="D210" s="74" t="str">
        <f>IF(VLOOKUP($B210,'1. 현장별 인원현황'!$C:$J,3,0)=0,"",VLOOKUP($B210,'1. 현장별 인원현황'!$C:$J,3,0))</f>
        <v>최종상</v>
      </c>
      <c r="E210" s="74" t="str">
        <f ca="1">IF(VLOOKUP($B210,'1. 현장별 인원현황'!$C:$J,4,0)=0,"",VLOOKUP($B210,'1. 현장별 인원현황'!$C:$J,4,0))</f>
        <v>63세</v>
      </c>
      <c r="F210" s="70" t="str">
        <f>IF(VLOOKUP($B210,'1. 현장별 인원현황'!$C:$J,7,0)=0,"",VLOOKUP($B210,'1. 현장별 인원현황'!$C:$J,7,0))</f>
        <v>공사</v>
      </c>
      <c r="G210" s="72" t="str">
        <f>IF(VLOOKUP($B210,'1. 현장별 인원현황'!$C:$J,8,0)=0,"",VLOOKUP($B210,'1. 현장별 인원현황'!$C:$J,8,0))</f>
        <v>차장</v>
      </c>
      <c r="H210" s="67" t="s">
        <v>69</v>
      </c>
      <c r="I210" s="73"/>
      <c r="J210" s="73"/>
      <c r="K210" s="68"/>
      <c r="L210" s="67"/>
      <c r="M210" s="73" t="s">
        <v>69</v>
      </c>
      <c r="N210" s="73"/>
      <c r="O210" s="68"/>
      <c r="P210" s="67"/>
      <c r="Q210" s="73" t="s">
        <v>69</v>
      </c>
      <c r="R210" s="73"/>
      <c r="S210" s="68"/>
      <c r="T210" s="67" t="s">
        <v>69</v>
      </c>
      <c r="U210" s="73"/>
      <c r="V210" s="73"/>
      <c r="W210" s="68"/>
      <c r="X210" s="67" t="s">
        <v>69</v>
      </c>
      <c r="Y210" s="73"/>
      <c r="Z210" s="73"/>
      <c r="AA210" s="68"/>
      <c r="AB210" s="67" t="s">
        <v>69</v>
      </c>
      <c r="AC210" s="73"/>
      <c r="AD210" s="73"/>
      <c r="AE210" s="68"/>
      <c r="AF210" s="67" t="s">
        <v>69</v>
      </c>
      <c r="AG210" s="73"/>
      <c r="AH210" s="73"/>
      <c r="AI210" s="68"/>
      <c r="AJ210" s="67" t="s">
        <v>69</v>
      </c>
      <c r="AK210" s="73"/>
      <c r="AL210" s="73"/>
      <c r="AM210" s="68"/>
      <c r="AN210" s="67">
        <f t="shared" si="207"/>
        <v>92</v>
      </c>
      <c r="AO210" s="68" t="str">
        <f t="shared" si="208"/>
        <v>S</v>
      </c>
      <c r="AR210" s="49">
        <f t="shared" si="173"/>
        <v>1</v>
      </c>
      <c r="AS210" s="49">
        <f t="shared" si="174"/>
        <v>0</v>
      </c>
      <c r="AT210" s="49">
        <f t="shared" si="175"/>
        <v>0</v>
      </c>
      <c r="AU210" s="49">
        <f t="shared" si="176"/>
        <v>0</v>
      </c>
      <c r="AV210" s="49">
        <f t="shared" si="177"/>
        <v>0</v>
      </c>
      <c r="AW210" s="49">
        <f t="shared" si="178"/>
        <v>1</v>
      </c>
      <c r="AX210" s="49">
        <f t="shared" si="179"/>
        <v>0</v>
      </c>
      <c r="AY210" s="49">
        <f t="shared" si="180"/>
        <v>0</v>
      </c>
      <c r="AZ210" s="49">
        <f t="shared" si="181"/>
        <v>0</v>
      </c>
      <c r="BA210" s="49">
        <f t="shared" si="182"/>
        <v>1</v>
      </c>
      <c r="BB210" s="49">
        <f t="shared" si="183"/>
        <v>0</v>
      </c>
      <c r="BC210" s="49">
        <f t="shared" si="184"/>
        <v>0</v>
      </c>
      <c r="BD210" s="49">
        <f t="shared" si="185"/>
        <v>1</v>
      </c>
      <c r="BE210" s="49">
        <f t="shared" si="186"/>
        <v>0</v>
      </c>
      <c r="BF210" s="49">
        <f t="shared" si="187"/>
        <v>0</v>
      </c>
      <c r="BG210" s="49">
        <f t="shared" si="188"/>
        <v>0</v>
      </c>
      <c r="BH210" s="49">
        <f t="shared" si="189"/>
        <v>1</v>
      </c>
      <c r="BI210" s="49">
        <f t="shared" si="190"/>
        <v>0</v>
      </c>
      <c r="BJ210" s="49">
        <f t="shared" si="191"/>
        <v>0</v>
      </c>
      <c r="BK210" s="49">
        <f t="shared" si="192"/>
        <v>0</v>
      </c>
      <c r="BL210" s="49">
        <f t="shared" si="193"/>
        <v>1</v>
      </c>
      <c r="BM210" s="49">
        <f t="shared" si="194"/>
        <v>0</v>
      </c>
      <c r="BN210" s="49">
        <f t="shared" si="195"/>
        <v>0</v>
      </c>
      <c r="BO210" s="49">
        <f t="shared" si="196"/>
        <v>0</v>
      </c>
      <c r="BP210" s="49">
        <f t="shared" si="197"/>
        <v>1</v>
      </c>
      <c r="BQ210" s="49">
        <f t="shared" si="198"/>
        <v>0</v>
      </c>
      <c r="BR210" s="49">
        <f t="shared" si="199"/>
        <v>0</v>
      </c>
      <c r="BS210" s="49">
        <f t="shared" si="200"/>
        <v>0</v>
      </c>
      <c r="BT210" s="49">
        <f t="shared" si="201"/>
        <v>1</v>
      </c>
      <c r="BU210" s="49">
        <f t="shared" si="202"/>
        <v>0</v>
      </c>
      <c r="BV210" s="49">
        <f t="shared" si="203"/>
        <v>0</v>
      </c>
      <c r="BW210" s="49">
        <f t="shared" si="204"/>
        <v>0</v>
      </c>
    </row>
    <row r="211" spans="1:75" ht="35.1" customHeight="1" x14ac:dyDescent="0.3">
      <c r="A211" s="123" t="str">
        <f t="shared" si="205"/>
        <v>2팀</v>
      </c>
      <c r="B211" s="69">
        <f t="shared" si="206"/>
        <v>205</v>
      </c>
      <c r="C211" s="121" t="str">
        <f>IF(VLOOKUP($B211,'1. 현장별 인원현황'!$C:$J,2,0)=0,"",VLOOKUP($B211,'1. 현장별 인원현황'!$C:$J,2,0))</f>
        <v xml:space="preserve"> [2.서희건설] 평택화양센트럴 지역주택조합 아파트 신축공사</v>
      </c>
      <c r="D211" s="74" t="str">
        <f>IF(VLOOKUP($B211,'1. 현장별 인원현황'!$C:$J,3,0)=0,"",VLOOKUP($B211,'1. 현장별 인원현황'!$C:$J,3,0))</f>
        <v>박용범</v>
      </c>
      <c r="E211" s="74" t="str">
        <f ca="1">IF(VLOOKUP($B211,'1. 현장별 인원현황'!$C:$J,4,0)=0,"",VLOOKUP($B211,'1. 현장별 인원현황'!$C:$J,4,0))</f>
        <v>45세</v>
      </c>
      <c r="F211" s="70" t="str">
        <f>IF(VLOOKUP($B211,'1. 현장별 인원현황'!$C:$J,7,0)=0,"",VLOOKUP($B211,'1. 현장별 인원현황'!$C:$J,7,0))</f>
        <v>공무</v>
      </c>
      <c r="G211" s="72" t="str">
        <f>IF(VLOOKUP($B211,'1. 현장별 인원현황'!$C:$J,8,0)=0,"",VLOOKUP($B211,'1. 현장별 인원현황'!$C:$J,8,0))</f>
        <v>차장</v>
      </c>
      <c r="H211" s="67" t="s">
        <v>69</v>
      </c>
      <c r="I211" s="73"/>
      <c r="J211" s="73"/>
      <c r="K211" s="68"/>
      <c r="L211" s="67" t="s">
        <v>69</v>
      </c>
      <c r="M211" s="73"/>
      <c r="N211" s="73"/>
      <c r="O211" s="68"/>
      <c r="P211" s="67" t="s">
        <v>69</v>
      </c>
      <c r="Q211" s="73"/>
      <c r="R211" s="73"/>
      <c r="S211" s="68"/>
      <c r="T211" s="67" t="s">
        <v>69</v>
      </c>
      <c r="U211" s="73"/>
      <c r="V211" s="73"/>
      <c r="W211" s="68"/>
      <c r="X211" s="67" t="s">
        <v>69</v>
      </c>
      <c r="Y211" s="73"/>
      <c r="Z211" s="73"/>
      <c r="AA211" s="68"/>
      <c r="AB211" s="67" t="s">
        <v>69</v>
      </c>
      <c r="AC211" s="73"/>
      <c r="AD211" s="73"/>
      <c r="AE211" s="68"/>
      <c r="AF211" s="67"/>
      <c r="AG211" s="73" t="s">
        <v>69</v>
      </c>
      <c r="AH211" s="73"/>
      <c r="AI211" s="68"/>
      <c r="AJ211" s="67" t="s">
        <v>69</v>
      </c>
      <c r="AK211" s="73"/>
      <c r="AL211" s="73"/>
      <c r="AM211" s="68"/>
      <c r="AN211" s="67">
        <f t="shared" si="207"/>
        <v>97</v>
      </c>
      <c r="AO211" s="68" t="str">
        <f t="shared" si="208"/>
        <v>S</v>
      </c>
      <c r="AR211" s="49">
        <f t="shared" si="173"/>
        <v>1</v>
      </c>
      <c r="AS211" s="49">
        <f t="shared" si="174"/>
        <v>0</v>
      </c>
      <c r="AT211" s="49">
        <f t="shared" si="175"/>
        <v>0</v>
      </c>
      <c r="AU211" s="49">
        <f t="shared" si="176"/>
        <v>0</v>
      </c>
      <c r="AV211" s="49">
        <f t="shared" si="177"/>
        <v>1</v>
      </c>
      <c r="AW211" s="49">
        <f t="shared" si="178"/>
        <v>0</v>
      </c>
      <c r="AX211" s="49">
        <f t="shared" si="179"/>
        <v>0</v>
      </c>
      <c r="AY211" s="49">
        <f t="shared" si="180"/>
        <v>0</v>
      </c>
      <c r="AZ211" s="49">
        <f t="shared" si="181"/>
        <v>1</v>
      </c>
      <c r="BA211" s="49">
        <f t="shared" si="182"/>
        <v>0</v>
      </c>
      <c r="BB211" s="49">
        <f t="shared" si="183"/>
        <v>0</v>
      </c>
      <c r="BC211" s="49">
        <f t="shared" si="184"/>
        <v>0</v>
      </c>
      <c r="BD211" s="49">
        <f t="shared" si="185"/>
        <v>1</v>
      </c>
      <c r="BE211" s="49">
        <f t="shared" si="186"/>
        <v>0</v>
      </c>
      <c r="BF211" s="49">
        <f t="shared" si="187"/>
        <v>0</v>
      </c>
      <c r="BG211" s="49">
        <f t="shared" si="188"/>
        <v>0</v>
      </c>
      <c r="BH211" s="49">
        <f t="shared" si="189"/>
        <v>1</v>
      </c>
      <c r="BI211" s="49">
        <f t="shared" si="190"/>
        <v>0</v>
      </c>
      <c r="BJ211" s="49">
        <f t="shared" si="191"/>
        <v>0</v>
      </c>
      <c r="BK211" s="49">
        <f t="shared" si="192"/>
        <v>0</v>
      </c>
      <c r="BL211" s="49">
        <f t="shared" si="193"/>
        <v>1</v>
      </c>
      <c r="BM211" s="49">
        <f t="shared" si="194"/>
        <v>0</v>
      </c>
      <c r="BN211" s="49">
        <f t="shared" si="195"/>
        <v>0</v>
      </c>
      <c r="BO211" s="49">
        <f t="shared" si="196"/>
        <v>0</v>
      </c>
      <c r="BP211" s="49">
        <f t="shared" si="197"/>
        <v>0</v>
      </c>
      <c r="BQ211" s="49">
        <f t="shared" si="198"/>
        <v>1</v>
      </c>
      <c r="BR211" s="49">
        <f t="shared" si="199"/>
        <v>0</v>
      </c>
      <c r="BS211" s="49">
        <f t="shared" si="200"/>
        <v>0</v>
      </c>
      <c r="BT211" s="49">
        <f t="shared" si="201"/>
        <v>1</v>
      </c>
      <c r="BU211" s="49">
        <f t="shared" si="202"/>
        <v>0</v>
      </c>
      <c r="BV211" s="49">
        <f t="shared" si="203"/>
        <v>0</v>
      </c>
      <c r="BW211" s="49">
        <f t="shared" si="204"/>
        <v>0</v>
      </c>
    </row>
    <row r="212" spans="1:75" ht="35.1" customHeight="1" x14ac:dyDescent="0.3">
      <c r="A212" s="123" t="str">
        <f t="shared" si="205"/>
        <v>2팀</v>
      </c>
      <c r="B212" s="69">
        <f t="shared" si="206"/>
        <v>206</v>
      </c>
      <c r="C212" s="121" t="str">
        <f>IF(VLOOKUP($B212,'1. 현장별 인원현황'!$C:$J,2,0)=0,"",VLOOKUP($B212,'1. 현장별 인원현황'!$C:$J,2,0))</f>
        <v xml:space="preserve"> [2.서희건설] 평택화양센트럴 지역주택조합 아파트 신축공사</v>
      </c>
      <c r="D212" s="74" t="str">
        <f>IF(VLOOKUP($B212,'1. 현장별 인원현황'!$C:$J,3,0)=0,"",VLOOKUP($B212,'1. 현장별 인원현황'!$C:$J,3,0))</f>
        <v>김기섭</v>
      </c>
      <c r="E212" s="74" t="str">
        <f ca="1">IF(VLOOKUP($B212,'1. 현장별 인원현황'!$C:$J,4,0)=0,"",VLOOKUP($B212,'1. 현장별 인원현황'!$C:$J,4,0))</f>
        <v>60세</v>
      </c>
      <c r="F212" s="70" t="str">
        <f>IF(VLOOKUP($B212,'1. 현장별 인원현황'!$C:$J,7,0)=0,"",VLOOKUP($B212,'1. 현장별 인원현황'!$C:$J,7,0))</f>
        <v>공사</v>
      </c>
      <c r="G212" s="72" t="str">
        <f>IF(VLOOKUP($B212,'1. 현장별 인원현황'!$C:$J,8,0)=0,"",VLOOKUP($B212,'1. 현장별 인원현황'!$C:$J,8,0))</f>
        <v>차장</v>
      </c>
      <c r="H212" s="67" t="s">
        <v>69</v>
      </c>
      <c r="I212" s="73"/>
      <c r="J212" s="73"/>
      <c r="K212" s="68"/>
      <c r="L212" s="67" t="s">
        <v>69</v>
      </c>
      <c r="M212" s="73"/>
      <c r="N212" s="73"/>
      <c r="O212" s="68"/>
      <c r="P212" s="67" t="s">
        <v>69</v>
      </c>
      <c r="Q212" s="73"/>
      <c r="R212" s="73"/>
      <c r="S212" s="68"/>
      <c r="T212" s="67" t="s">
        <v>69</v>
      </c>
      <c r="U212" s="73"/>
      <c r="V212" s="73"/>
      <c r="W212" s="68"/>
      <c r="X212" s="67" t="s">
        <v>69</v>
      </c>
      <c r="Y212" s="73"/>
      <c r="Z212" s="73"/>
      <c r="AA212" s="68"/>
      <c r="AB212" s="67" t="s">
        <v>69</v>
      </c>
      <c r="AC212" s="73"/>
      <c r="AD212" s="73"/>
      <c r="AE212" s="68"/>
      <c r="AF212" s="67" t="s">
        <v>69</v>
      </c>
      <c r="AG212" s="73"/>
      <c r="AH212" s="73"/>
      <c r="AI212" s="68"/>
      <c r="AJ212" s="67" t="s">
        <v>69</v>
      </c>
      <c r="AK212" s="73"/>
      <c r="AL212" s="73"/>
      <c r="AM212" s="68"/>
      <c r="AN212" s="67">
        <f t="shared" si="207"/>
        <v>100</v>
      </c>
      <c r="AO212" s="68" t="str">
        <f t="shared" si="208"/>
        <v>S</v>
      </c>
      <c r="AR212" s="49">
        <f t="shared" si="41"/>
        <v>1</v>
      </c>
      <c r="AS212" s="49">
        <f t="shared" si="42"/>
        <v>0</v>
      </c>
      <c r="AT212" s="49">
        <f t="shared" si="43"/>
        <v>0</v>
      </c>
      <c r="AU212" s="49">
        <f t="shared" si="44"/>
        <v>0</v>
      </c>
      <c r="AV212" s="49">
        <f t="shared" si="45"/>
        <v>1</v>
      </c>
      <c r="AW212" s="49">
        <f t="shared" si="46"/>
        <v>0</v>
      </c>
      <c r="AX212" s="49">
        <f t="shared" si="47"/>
        <v>0</v>
      </c>
      <c r="AY212" s="49">
        <f t="shared" si="48"/>
        <v>0</v>
      </c>
      <c r="AZ212" s="49">
        <f t="shared" si="49"/>
        <v>1</v>
      </c>
      <c r="BA212" s="49">
        <f t="shared" si="50"/>
        <v>0</v>
      </c>
      <c r="BB212" s="49">
        <f t="shared" si="51"/>
        <v>0</v>
      </c>
      <c r="BC212" s="49">
        <f t="shared" si="52"/>
        <v>0</v>
      </c>
      <c r="BD212" s="49">
        <f t="shared" si="53"/>
        <v>1</v>
      </c>
      <c r="BE212" s="49">
        <f t="shared" si="54"/>
        <v>0</v>
      </c>
      <c r="BF212" s="49">
        <f t="shared" si="55"/>
        <v>0</v>
      </c>
      <c r="BG212" s="49">
        <f t="shared" si="56"/>
        <v>0</v>
      </c>
      <c r="BH212" s="49">
        <f t="shared" si="57"/>
        <v>1</v>
      </c>
      <c r="BI212" s="49">
        <f t="shared" si="58"/>
        <v>0</v>
      </c>
      <c r="BJ212" s="49">
        <f t="shared" si="59"/>
        <v>0</v>
      </c>
      <c r="BK212" s="49">
        <f t="shared" si="60"/>
        <v>0</v>
      </c>
      <c r="BL212" s="49">
        <f t="shared" si="61"/>
        <v>1</v>
      </c>
      <c r="BM212" s="49">
        <f t="shared" si="62"/>
        <v>0</v>
      </c>
      <c r="BN212" s="49">
        <f t="shared" si="63"/>
        <v>0</v>
      </c>
      <c r="BO212" s="49">
        <f t="shared" si="64"/>
        <v>0</v>
      </c>
      <c r="BP212" s="49">
        <f t="shared" si="65"/>
        <v>1</v>
      </c>
      <c r="BQ212" s="49">
        <f t="shared" si="66"/>
        <v>0</v>
      </c>
      <c r="BR212" s="49">
        <f t="shared" si="67"/>
        <v>0</v>
      </c>
      <c r="BS212" s="49">
        <f t="shared" si="68"/>
        <v>0</v>
      </c>
      <c r="BT212" s="49">
        <f t="shared" si="69"/>
        <v>1</v>
      </c>
      <c r="BU212" s="49">
        <f t="shared" si="70"/>
        <v>0</v>
      </c>
      <c r="BV212" s="49">
        <f t="shared" si="71"/>
        <v>0</v>
      </c>
      <c r="BW212" s="49">
        <f t="shared" si="72"/>
        <v>0</v>
      </c>
    </row>
    <row r="213" spans="1:75" ht="35.1" customHeight="1" x14ac:dyDescent="0.3">
      <c r="A213" s="123" t="str">
        <f t="shared" si="205"/>
        <v>2팀</v>
      </c>
      <c r="B213" s="69">
        <f t="shared" si="206"/>
        <v>207</v>
      </c>
      <c r="C213" s="121" t="str">
        <f>IF(VLOOKUP($B213,'1. 현장별 인원현황'!$C:$J,2,0)=0,"",VLOOKUP($B213,'1. 현장별 인원현황'!$C:$J,2,0))</f>
        <v xml:space="preserve"> [2.서희건설] 평택화양센트럴 지역주택조합 아파트 신축공사</v>
      </c>
      <c r="D213" s="74" t="str">
        <f>IF(VLOOKUP($B213,'1. 현장별 인원현황'!$C:$J,3,0)=0,"",VLOOKUP($B213,'1. 현장별 인원현황'!$C:$J,3,0))</f>
        <v>박상우</v>
      </c>
      <c r="E213" s="74" t="str">
        <f ca="1">IF(VLOOKUP($B213,'1. 현장별 인원현황'!$C:$J,4,0)=0,"",VLOOKUP($B213,'1. 현장별 인원현황'!$C:$J,4,0))</f>
        <v>32세</v>
      </c>
      <c r="F213" s="70" t="str">
        <f>IF(VLOOKUP($B213,'1. 현장별 인원현황'!$C:$J,7,0)=0,"",VLOOKUP($B213,'1. 현장별 인원현황'!$C:$J,7,0))</f>
        <v>기능공</v>
      </c>
      <c r="G213" s="72" t="str">
        <f>IF(VLOOKUP($B213,'1. 현장별 인원현황'!$C:$J,8,0)=0,"",VLOOKUP($B213,'1. 현장별 인원현황'!$C:$J,8,0))</f>
        <v>전공</v>
      </c>
      <c r="H213" s="67" t="s">
        <v>69</v>
      </c>
      <c r="I213" s="73"/>
      <c r="J213" s="73"/>
      <c r="K213" s="68"/>
      <c r="L213" s="67" t="s">
        <v>69</v>
      </c>
      <c r="M213" s="73"/>
      <c r="N213" s="73"/>
      <c r="O213" s="68"/>
      <c r="P213" s="67" t="s">
        <v>69</v>
      </c>
      <c r="Q213" s="73"/>
      <c r="R213" s="73"/>
      <c r="S213" s="68"/>
      <c r="T213" s="67" t="s">
        <v>69</v>
      </c>
      <c r="U213" s="73"/>
      <c r="V213" s="73"/>
      <c r="W213" s="68"/>
      <c r="X213" s="67" t="s">
        <v>69</v>
      </c>
      <c r="Y213" s="73"/>
      <c r="Z213" s="73"/>
      <c r="AA213" s="68"/>
      <c r="AB213" s="67" t="s">
        <v>69</v>
      </c>
      <c r="AC213" s="73"/>
      <c r="AD213" s="73"/>
      <c r="AE213" s="68"/>
      <c r="AF213" s="67"/>
      <c r="AG213" s="73" t="s">
        <v>69</v>
      </c>
      <c r="AH213" s="73"/>
      <c r="AI213" s="68"/>
      <c r="AJ213" s="67" t="s">
        <v>69</v>
      </c>
      <c r="AK213" s="73"/>
      <c r="AL213" s="73"/>
      <c r="AM213" s="68"/>
      <c r="AN213" s="67">
        <f t="shared" si="207"/>
        <v>97</v>
      </c>
      <c r="AO213" s="68" t="str">
        <f t="shared" si="208"/>
        <v>S</v>
      </c>
      <c r="AR213" s="49">
        <f t="shared" si="41"/>
        <v>1</v>
      </c>
      <c r="AS213" s="49">
        <f t="shared" si="42"/>
        <v>0</v>
      </c>
      <c r="AT213" s="49">
        <f t="shared" si="43"/>
        <v>0</v>
      </c>
      <c r="AU213" s="49">
        <f t="shared" si="44"/>
        <v>0</v>
      </c>
      <c r="AV213" s="49">
        <f t="shared" si="45"/>
        <v>1</v>
      </c>
      <c r="AW213" s="49">
        <f t="shared" si="46"/>
        <v>0</v>
      </c>
      <c r="AX213" s="49">
        <f t="shared" si="47"/>
        <v>0</v>
      </c>
      <c r="AY213" s="49">
        <f t="shared" si="48"/>
        <v>0</v>
      </c>
      <c r="AZ213" s="49">
        <f t="shared" si="49"/>
        <v>1</v>
      </c>
      <c r="BA213" s="49">
        <f t="shared" si="50"/>
        <v>0</v>
      </c>
      <c r="BB213" s="49">
        <f t="shared" si="51"/>
        <v>0</v>
      </c>
      <c r="BC213" s="49">
        <f t="shared" si="52"/>
        <v>0</v>
      </c>
      <c r="BD213" s="49">
        <f t="shared" si="53"/>
        <v>1</v>
      </c>
      <c r="BE213" s="49">
        <f t="shared" si="54"/>
        <v>0</v>
      </c>
      <c r="BF213" s="49">
        <f t="shared" si="55"/>
        <v>0</v>
      </c>
      <c r="BG213" s="49">
        <f t="shared" si="56"/>
        <v>0</v>
      </c>
      <c r="BH213" s="49">
        <f t="shared" si="57"/>
        <v>1</v>
      </c>
      <c r="BI213" s="49">
        <f t="shared" si="58"/>
        <v>0</v>
      </c>
      <c r="BJ213" s="49">
        <f t="shared" si="59"/>
        <v>0</v>
      </c>
      <c r="BK213" s="49">
        <f t="shared" si="60"/>
        <v>0</v>
      </c>
      <c r="BL213" s="49">
        <f t="shared" si="61"/>
        <v>1</v>
      </c>
      <c r="BM213" s="49">
        <f t="shared" si="62"/>
        <v>0</v>
      </c>
      <c r="BN213" s="49">
        <f t="shared" si="63"/>
        <v>0</v>
      </c>
      <c r="BO213" s="49">
        <f t="shared" si="64"/>
        <v>0</v>
      </c>
      <c r="BP213" s="49">
        <f t="shared" si="65"/>
        <v>0</v>
      </c>
      <c r="BQ213" s="49">
        <f t="shared" si="66"/>
        <v>1</v>
      </c>
      <c r="BR213" s="49">
        <f t="shared" si="67"/>
        <v>0</v>
      </c>
      <c r="BS213" s="49">
        <f t="shared" si="68"/>
        <v>0</v>
      </c>
      <c r="BT213" s="49">
        <f t="shared" si="69"/>
        <v>1</v>
      </c>
      <c r="BU213" s="49">
        <f t="shared" si="70"/>
        <v>0</v>
      </c>
      <c r="BV213" s="49">
        <f t="shared" si="71"/>
        <v>0</v>
      </c>
      <c r="BW213" s="49">
        <f t="shared" si="72"/>
        <v>0</v>
      </c>
    </row>
    <row r="214" spans="1:75" ht="35.1" customHeight="1" x14ac:dyDescent="0.3">
      <c r="A214" s="123" t="str">
        <f t="shared" si="205"/>
        <v>2팀</v>
      </c>
      <c r="B214" s="69">
        <f t="shared" si="206"/>
        <v>208</v>
      </c>
      <c r="C214" s="121" t="str">
        <f>IF(VLOOKUP($B214,'1. 현장별 인원현황'!$C:$J,2,0)=0,"",VLOOKUP($B214,'1. 현장별 인원현황'!$C:$J,2,0))</f>
        <v xml:space="preserve"> [2.서희건설] 평택화양센트럴 지역주택조합 아파트 신축공사</v>
      </c>
      <c r="D214" s="74" t="str">
        <f>IF(VLOOKUP($B214,'1. 현장별 인원현황'!$C:$J,3,0)=0,"",VLOOKUP($B214,'1. 현장별 인원현황'!$C:$J,3,0))</f>
        <v>한태석</v>
      </c>
      <c r="E214" s="74" t="str">
        <f ca="1">IF(VLOOKUP($B214,'1. 현장별 인원현황'!$C:$J,4,0)=0,"",VLOOKUP($B214,'1. 현장별 인원현황'!$C:$J,4,0))</f>
        <v>54세</v>
      </c>
      <c r="F214" s="70" t="str">
        <f>IF(VLOOKUP($B214,'1. 현장별 인원현황'!$C:$J,7,0)=0,"",VLOOKUP($B214,'1. 현장별 인원현황'!$C:$J,7,0))</f>
        <v>기능공</v>
      </c>
      <c r="G214" s="72" t="str">
        <f>IF(VLOOKUP($B214,'1. 현장별 인원현황'!$C:$J,8,0)=0,"",VLOOKUP($B214,'1. 현장별 인원현황'!$C:$J,8,0))</f>
        <v>전공</v>
      </c>
      <c r="H214" s="67" t="s">
        <v>69</v>
      </c>
      <c r="I214" s="73"/>
      <c r="J214" s="73"/>
      <c r="K214" s="68"/>
      <c r="L214" s="67" t="s">
        <v>69</v>
      </c>
      <c r="M214" s="73"/>
      <c r="N214" s="73"/>
      <c r="O214" s="68"/>
      <c r="P214" s="67" t="s">
        <v>69</v>
      </c>
      <c r="Q214" s="73"/>
      <c r="R214" s="73"/>
      <c r="S214" s="68"/>
      <c r="T214" s="67" t="s">
        <v>69</v>
      </c>
      <c r="U214" s="73"/>
      <c r="V214" s="73"/>
      <c r="W214" s="68"/>
      <c r="X214" s="67" t="s">
        <v>69</v>
      </c>
      <c r="Y214" s="73"/>
      <c r="Z214" s="73"/>
      <c r="AA214" s="68"/>
      <c r="AB214" s="67" t="s">
        <v>69</v>
      </c>
      <c r="AC214" s="73"/>
      <c r="AD214" s="73"/>
      <c r="AE214" s="68"/>
      <c r="AF214" s="67"/>
      <c r="AG214" s="73" t="s">
        <v>69</v>
      </c>
      <c r="AH214" s="73"/>
      <c r="AI214" s="68"/>
      <c r="AJ214" s="67" t="s">
        <v>69</v>
      </c>
      <c r="AK214" s="73"/>
      <c r="AL214" s="73"/>
      <c r="AM214" s="68"/>
      <c r="AN214" s="67">
        <f t="shared" si="207"/>
        <v>97</v>
      </c>
      <c r="AO214" s="68" t="str">
        <f t="shared" si="208"/>
        <v>S</v>
      </c>
      <c r="AR214" s="49">
        <f t="shared" si="41"/>
        <v>1</v>
      </c>
      <c r="AS214" s="49">
        <f t="shared" si="42"/>
        <v>0</v>
      </c>
      <c r="AT214" s="49">
        <f t="shared" si="43"/>
        <v>0</v>
      </c>
      <c r="AU214" s="49">
        <f t="shared" si="44"/>
        <v>0</v>
      </c>
      <c r="AV214" s="49">
        <f t="shared" si="45"/>
        <v>1</v>
      </c>
      <c r="AW214" s="49">
        <f t="shared" si="46"/>
        <v>0</v>
      </c>
      <c r="AX214" s="49">
        <f t="shared" si="47"/>
        <v>0</v>
      </c>
      <c r="AY214" s="49">
        <f t="shared" si="48"/>
        <v>0</v>
      </c>
      <c r="AZ214" s="49">
        <f t="shared" si="49"/>
        <v>1</v>
      </c>
      <c r="BA214" s="49">
        <f t="shared" si="50"/>
        <v>0</v>
      </c>
      <c r="BB214" s="49">
        <f t="shared" si="51"/>
        <v>0</v>
      </c>
      <c r="BC214" s="49">
        <f t="shared" si="52"/>
        <v>0</v>
      </c>
      <c r="BD214" s="49">
        <f t="shared" si="53"/>
        <v>1</v>
      </c>
      <c r="BE214" s="49">
        <f t="shared" si="54"/>
        <v>0</v>
      </c>
      <c r="BF214" s="49">
        <f t="shared" si="55"/>
        <v>0</v>
      </c>
      <c r="BG214" s="49">
        <f t="shared" si="56"/>
        <v>0</v>
      </c>
      <c r="BH214" s="49">
        <f t="shared" si="57"/>
        <v>1</v>
      </c>
      <c r="BI214" s="49">
        <f t="shared" si="58"/>
        <v>0</v>
      </c>
      <c r="BJ214" s="49">
        <f t="shared" si="59"/>
        <v>0</v>
      </c>
      <c r="BK214" s="49">
        <f t="shared" si="60"/>
        <v>0</v>
      </c>
      <c r="BL214" s="49">
        <f t="shared" si="61"/>
        <v>1</v>
      </c>
      <c r="BM214" s="49">
        <f t="shared" si="62"/>
        <v>0</v>
      </c>
      <c r="BN214" s="49">
        <f t="shared" si="63"/>
        <v>0</v>
      </c>
      <c r="BO214" s="49">
        <f t="shared" si="64"/>
        <v>0</v>
      </c>
      <c r="BP214" s="49">
        <f t="shared" si="65"/>
        <v>0</v>
      </c>
      <c r="BQ214" s="49">
        <f t="shared" si="66"/>
        <v>1</v>
      </c>
      <c r="BR214" s="49">
        <f t="shared" si="67"/>
        <v>0</v>
      </c>
      <c r="BS214" s="49">
        <f t="shared" si="68"/>
        <v>0</v>
      </c>
      <c r="BT214" s="49">
        <f t="shared" si="69"/>
        <v>1</v>
      </c>
      <c r="BU214" s="49">
        <f t="shared" si="70"/>
        <v>0</v>
      </c>
      <c r="BV214" s="49">
        <f t="shared" si="71"/>
        <v>0</v>
      </c>
      <c r="BW214" s="49">
        <f t="shared" si="72"/>
        <v>0</v>
      </c>
    </row>
    <row r="215" spans="1:75" ht="35.1" customHeight="1" x14ac:dyDescent="0.3">
      <c r="A215" s="123" t="str">
        <f t="shared" si="205"/>
        <v>2팀</v>
      </c>
      <c r="B215" s="69">
        <f t="shared" si="206"/>
        <v>209</v>
      </c>
      <c r="C215" s="121" t="str">
        <f>IF(VLOOKUP($B215,'1. 현장별 인원현황'!$C:$J,2,0)=0,"",VLOOKUP($B215,'1. 현장별 인원현황'!$C:$J,2,0))</f>
        <v xml:space="preserve"> [2.서희건설] 평택화양센트럴 지역주택조합 아파트 신축공사</v>
      </c>
      <c r="D215" s="74" t="str">
        <f>IF(VLOOKUP($B215,'1. 현장별 인원현황'!$C:$J,3,0)=0,"",VLOOKUP($B215,'1. 현장별 인원현황'!$C:$J,3,0))</f>
        <v>강태길</v>
      </c>
      <c r="E215" s="74" t="str">
        <f ca="1">IF(VLOOKUP($B215,'1. 현장별 인원현황'!$C:$J,4,0)=0,"",VLOOKUP($B215,'1. 현장별 인원현황'!$C:$J,4,0))</f>
        <v>32세</v>
      </c>
      <c r="F215" s="70" t="str">
        <f>IF(VLOOKUP($B215,'1. 현장별 인원현황'!$C:$J,7,0)=0,"",VLOOKUP($B215,'1. 현장별 인원현황'!$C:$J,7,0))</f>
        <v>기능공</v>
      </c>
      <c r="G215" s="72" t="str">
        <f>IF(VLOOKUP($B215,'1. 현장별 인원현황'!$C:$J,8,0)=0,"",VLOOKUP($B215,'1. 현장별 인원현황'!$C:$J,8,0))</f>
        <v>전공</v>
      </c>
      <c r="H215" s="67" t="s">
        <v>69</v>
      </c>
      <c r="I215" s="73"/>
      <c r="J215" s="73"/>
      <c r="K215" s="68"/>
      <c r="L215" s="67" t="s">
        <v>69</v>
      </c>
      <c r="M215" s="73"/>
      <c r="N215" s="73"/>
      <c r="O215" s="68"/>
      <c r="P215" s="67" t="s">
        <v>69</v>
      </c>
      <c r="Q215" s="73"/>
      <c r="R215" s="73"/>
      <c r="S215" s="68"/>
      <c r="T215" s="67" t="s">
        <v>69</v>
      </c>
      <c r="U215" s="73"/>
      <c r="V215" s="73"/>
      <c r="W215" s="68"/>
      <c r="X215" s="67" t="s">
        <v>69</v>
      </c>
      <c r="Y215" s="73"/>
      <c r="Z215" s="73"/>
      <c r="AA215" s="68"/>
      <c r="AB215" s="67" t="s">
        <v>69</v>
      </c>
      <c r="AC215" s="73"/>
      <c r="AD215" s="73"/>
      <c r="AE215" s="68"/>
      <c r="AF215" s="67" t="s">
        <v>69</v>
      </c>
      <c r="AG215" s="73"/>
      <c r="AH215" s="73"/>
      <c r="AI215" s="68"/>
      <c r="AJ215" s="67" t="s">
        <v>69</v>
      </c>
      <c r="AK215" s="73"/>
      <c r="AL215" s="73"/>
      <c r="AM215" s="68"/>
      <c r="AN215" s="67">
        <f t="shared" si="207"/>
        <v>100</v>
      </c>
      <c r="AO215" s="68" t="str">
        <f t="shared" si="208"/>
        <v>S</v>
      </c>
      <c r="AR215" s="49">
        <f t="shared" si="41"/>
        <v>1</v>
      </c>
      <c r="AS215" s="49">
        <f t="shared" si="42"/>
        <v>0</v>
      </c>
      <c r="AT215" s="49">
        <f t="shared" si="43"/>
        <v>0</v>
      </c>
      <c r="AU215" s="49">
        <f t="shared" si="44"/>
        <v>0</v>
      </c>
      <c r="AV215" s="49">
        <f t="shared" si="45"/>
        <v>1</v>
      </c>
      <c r="AW215" s="49">
        <f t="shared" si="46"/>
        <v>0</v>
      </c>
      <c r="AX215" s="49">
        <f t="shared" si="47"/>
        <v>0</v>
      </c>
      <c r="AY215" s="49">
        <f t="shared" si="48"/>
        <v>0</v>
      </c>
      <c r="AZ215" s="49">
        <f t="shared" si="49"/>
        <v>1</v>
      </c>
      <c r="BA215" s="49">
        <f t="shared" si="50"/>
        <v>0</v>
      </c>
      <c r="BB215" s="49">
        <f t="shared" si="51"/>
        <v>0</v>
      </c>
      <c r="BC215" s="49">
        <f t="shared" si="52"/>
        <v>0</v>
      </c>
      <c r="BD215" s="49">
        <f t="shared" si="53"/>
        <v>1</v>
      </c>
      <c r="BE215" s="49">
        <f t="shared" si="54"/>
        <v>0</v>
      </c>
      <c r="BF215" s="49">
        <f t="shared" si="55"/>
        <v>0</v>
      </c>
      <c r="BG215" s="49">
        <f t="shared" si="56"/>
        <v>0</v>
      </c>
      <c r="BH215" s="49">
        <f t="shared" si="57"/>
        <v>1</v>
      </c>
      <c r="BI215" s="49">
        <f t="shared" si="58"/>
        <v>0</v>
      </c>
      <c r="BJ215" s="49">
        <f t="shared" si="59"/>
        <v>0</v>
      </c>
      <c r="BK215" s="49">
        <f t="shared" si="60"/>
        <v>0</v>
      </c>
      <c r="BL215" s="49">
        <f t="shared" si="61"/>
        <v>1</v>
      </c>
      <c r="BM215" s="49">
        <f t="shared" si="62"/>
        <v>0</v>
      </c>
      <c r="BN215" s="49">
        <f t="shared" si="63"/>
        <v>0</v>
      </c>
      <c r="BO215" s="49">
        <f t="shared" si="64"/>
        <v>0</v>
      </c>
      <c r="BP215" s="49">
        <f t="shared" si="65"/>
        <v>1</v>
      </c>
      <c r="BQ215" s="49">
        <f t="shared" si="66"/>
        <v>0</v>
      </c>
      <c r="BR215" s="49">
        <f t="shared" si="67"/>
        <v>0</v>
      </c>
      <c r="BS215" s="49">
        <f t="shared" si="68"/>
        <v>0</v>
      </c>
      <c r="BT215" s="49">
        <f t="shared" si="69"/>
        <v>1</v>
      </c>
      <c r="BU215" s="49">
        <f t="shared" si="70"/>
        <v>0</v>
      </c>
      <c r="BV215" s="49">
        <f t="shared" si="71"/>
        <v>0</v>
      </c>
      <c r="BW215" s="49">
        <f t="shared" si="72"/>
        <v>0</v>
      </c>
    </row>
    <row r="216" spans="1:75" ht="35.1" customHeight="1" x14ac:dyDescent="0.3">
      <c r="A216" s="123" t="str">
        <f t="shared" si="205"/>
        <v>2팀</v>
      </c>
      <c r="B216" s="69">
        <f t="shared" si="206"/>
        <v>210</v>
      </c>
      <c r="C216" s="121" t="str">
        <f>IF(VLOOKUP($B216,'1. 현장별 인원현황'!$C:$J,2,0)=0,"",VLOOKUP($B216,'1. 현장별 인원현황'!$C:$J,2,0))</f>
        <v xml:space="preserve"> [2.신세계건설] 스타필드 청라 소방전기공사 2공구</v>
      </c>
      <c r="D216" s="74" t="str">
        <f>IF(VLOOKUP($B216,'1. 현장별 인원현황'!$C:$J,3,0)=0,"",VLOOKUP($B216,'1. 현장별 인원현황'!$C:$J,3,0))</f>
        <v>박기용</v>
      </c>
      <c r="E216" s="74" t="str">
        <f ca="1">IF(VLOOKUP($B216,'1. 현장별 인원현황'!$C:$J,4,0)=0,"",VLOOKUP($B216,'1. 현장별 인원현황'!$C:$J,4,0))</f>
        <v>52세</v>
      </c>
      <c r="F216" s="70" t="str">
        <f>IF(VLOOKUP($B216,'1. 현장별 인원현황'!$C:$J,7,0)=0,"",VLOOKUP($B216,'1. 현장별 인원현황'!$C:$J,7,0))</f>
        <v>공무</v>
      </c>
      <c r="G216" s="72" t="str">
        <f>IF(VLOOKUP($B216,'1. 현장별 인원현황'!$C:$J,8,0)=0,"",VLOOKUP($B216,'1. 현장별 인원현황'!$C:$J,8,0))</f>
        <v>부장</v>
      </c>
      <c r="H216" s="67" t="s">
        <v>69</v>
      </c>
      <c r="I216" s="73"/>
      <c r="J216" s="73"/>
      <c r="K216" s="68"/>
      <c r="L216" s="67"/>
      <c r="M216" s="73" t="s">
        <v>69</v>
      </c>
      <c r="N216" s="73"/>
      <c r="O216" s="68"/>
      <c r="P216" s="67" t="s">
        <v>69</v>
      </c>
      <c r="Q216" s="73"/>
      <c r="R216" s="73"/>
      <c r="S216" s="68"/>
      <c r="T216" s="67"/>
      <c r="U216" s="73" t="s">
        <v>69</v>
      </c>
      <c r="V216" s="73"/>
      <c r="W216" s="68"/>
      <c r="X216" s="67" t="s">
        <v>69</v>
      </c>
      <c r="Y216" s="73"/>
      <c r="Z216" s="73"/>
      <c r="AA216" s="68"/>
      <c r="AB216" s="67" t="s">
        <v>69</v>
      </c>
      <c r="AC216" s="73"/>
      <c r="AD216" s="73"/>
      <c r="AE216" s="68"/>
      <c r="AF216" s="67"/>
      <c r="AG216" s="73" t="s">
        <v>69</v>
      </c>
      <c r="AH216" s="73"/>
      <c r="AI216" s="68"/>
      <c r="AJ216" s="67" t="s">
        <v>69</v>
      </c>
      <c r="AK216" s="73"/>
      <c r="AL216" s="73"/>
      <c r="AM216" s="68"/>
      <c r="AN216" s="67">
        <f t="shared" si="207"/>
        <v>89</v>
      </c>
      <c r="AO216" s="68" t="str">
        <f t="shared" si="208"/>
        <v>S</v>
      </c>
      <c r="AR216" s="49">
        <f t="shared" si="41"/>
        <v>1</v>
      </c>
      <c r="AS216" s="49">
        <f t="shared" si="42"/>
        <v>0</v>
      </c>
      <c r="AT216" s="49">
        <f t="shared" si="43"/>
        <v>0</v>
      </c>
      <c r="AU216" s="49">
        <f t="shared" si="44"/>
        <v>0</v>
      </c>
      <c r="AV216" s="49">
        <f t="shared" si="45"/>
        <v>0</v>
      </c>
      <c r="AW216" s="49">
        <f t="shared" si="46"/>
        <v>1</v>
      </c>
      <c r="AX216" s="49">
        <f t="shared" si="47"/>
        <v>0</v>
      </c>
      <c r="AY216" s="49">
        <f t="shared" si="48"/>
        <v>0</v>
      </c>
      <c r="AZ216" s="49">
        <f t="shared" si="49"/>
        <v>1</v>
      </c>
      <c r="BA216" s="49">
        <f t="shared" si="50"/>
        <v>0</v>
      </c>
      <c r="BB216" s="49">
        <f t="shared" si="51"/>
        <v>0</v>
      </c>
      <c r="BC216" s="49">
        <f t="shared" si="52"/>
        <v>0</v>
      </c>
      <c r="BD216" s="49">
        <f t="shared" si="53"/>
        <v>0</v>
      </c>
      <c r="BE216" s="49">
        <f t="shared" si="54"/>
        <v>1</v>
      </c>
      <c r="BF216" s="49">
        <f t="shared" si="55"/>
        <v>0</v>
      </c>
      <c r="BG216" s="49">
        <f t="shared" si="56"/>
        <v>0</v>
      </c>
      <c r="BH216" s="49">
        <f t="shared" si="57"/>
        <v>1</v>
      </c>
      <c r="BI216" s="49">
        <f t="shared" si="58"/>
        <v>0</v>
      </c>
      <c r="BJ216" s="49">
        <f t="shared" si="59"/>
        <v>0</v>
      </c>
      <c r="BK216" s="49">
        <f t="shared" si="60"/>
        <v>0</v>
      </c>
      <c r="BL216" s="49">
        <f t="shared" si="61"/>
        <v>1</v>
      </c>
      <c r="BM216" s="49">
        <f t="shared" si="62"/>
        <v>0</v>
      </c>
      <c r="BN216" s="49">
        <f t="shared" si="63"/>
        <v>0</v>
      </c>
      <c r="BO216" s="49">
        <f t="shared" si="64"/>
        <v>0</v>
      </c>
      <c r="BP216" s="49">
        <f t="shared" si="65"/>
        <v>0</v>
      </c>
      <c r="BQ216" s="49">
        <f t="shared" si="66"/>
        <v>1</v>
      </c>
      <c r="BR216" s="49">
        <f t="shared" si="67"/>
        <v>0</v>
      </c>
      <c r="BS216" s="49">
        <f t="shared" si="68"/>
        <v>0</v>
      </c>
      <c r="BT216" s="49">
        <f t="shared" si="69"/>
        <v>1</v>
      </c>
      <c r="BU216" s="49">
        <f t="shared" si="70"/>
        <v>0</v>
      </c>
      <c r="BV216" s="49">
        <f t="shared" si="71"/>
        <v>0</v>
      </c>
      <c r="BW216" s="49">
        <f t="shared" si="72"/>
        <v>0</v>
      </c>
    </row>
    <row r="217" spans="1:75" ht="35.1" customHeight="1" x14ac:dyDescent="0.3">
      <c r="A217" s="123" t="str">
        <f t="shared" si="205"/>
        <v>2팀</v>
      </c>
      <c r="B217" s="69">
        <f t="shared" si="206"/>
        <v>211</v>
      </c>
      <c r="C217" s="121" t="str">
        <f>IF(VLOOKUP($B217,'1. 현장별 인원현황'!$C:$J,2,0)=0,"",VLOOKUP($B217,'1. 현장별 인원현황'!$C:$J,2,0))</f>
        <v xml:space="preserve"> [2.신세계건설] 스타필드 청라 소방전기공사 2공구</v>
      </c>
      <c r="D217" s="74" t="str">
        <f>IF(VLOOKUP($B217,'1. 현장별 인원현황'!$C:$J,3,0)=0,"",VLOOKUP($B217,'1. 현장별 인원현황'!$C:$J,3,0))</f>
        <v>이지태</v>
      </c>
      <c r="E217" s="74" t="str">
        <f ca="1">IF(VLOOKUP($B217,'1. 현장별 인원현황'!$C:$J,4,0)=0,"",VLOOKUP($B217,'1. 현장별 인원현황'!$C:$J,4,0))</f>
        <v>56세</v>
      </c>
      <c r="F217" s="70" t="str">
        <f>IF(VLOOKUP($B217,'1. 현장별 인원현황'!$C:$J,7,0)=0,"",VLOOKUP($B217,'1. 현장별 인원현황'!$C:$J,7,0))</f>
        <v>공사</v>
      </c>
      <c r="G217" s="72" t="str">
        <f>IF(VLOOKUP($B217,'1. 현장별 인원현황'!$C:$J,8,0)=0,"",VLOOKUP($B217,'1. 현장별 인원현황'!$C:$J,8,0))</f>
        <v>차장</v>
      </c>
      <c r="H217" s="67" t="s">
        <v>69</v>
      </c>
      <c r="I217" s="73"/>
      <c r="J217" s="73"/>
      <c r="K217" s="68"/>
      <c r="L217" s="67"/>
      <c r="M217" s="73" t="s">
        <v>69</v>
      </c>
      <c r="N217" s="73"/>
      <c r="O217" s="68"/>
      <c r="P217" s="67" t="s">
        <v>69</v>
      </c>
      <c r="Q217" s="73"/>
      <c r="R217" s="73"/>
      <c r="S217" s="68"/>
      <c r="T217" s="67"/>
      <c r="U217" s="73" t="s">
        <v>69</v>
      </c>
      <c r="V217" s="73"/>
      <c r="W217" s="68"/>
      <c r="X217" s="67" t="s">
        <v>69</v>
      </c>
      <c r="Y217" s="73"/>
      <c r="Z217" s="73"/>
      <c r="AA217" s="68"/>
      <c r="AB217" s="67" t="s">
        <v>69</v>
      </c>
      <c r="AC217" s="73"/>
      <c r="AD217" s="73"/>
      <c r="AE217" s="68"/>
      <c r="AF217" s="67" t="s">
        <v>69</v>
      </c>
      <c r="AG217" s="73"/>
      <c r="AH217" s="73"/>
      <c r="AI217" s="68"/>
      <c r="AJ217" s="67" t="s">
        <v>69</v>
      </c>
      <c r="AK217" s="73"/>
      <c r="AL217" s="73"/>
      <c r="AM217" s="68"/>
      <c r="AN217" s="67">
        <f t="shared" si="207"/>
        <v>92</v>
      </c>
      <c r="AO217" s="68" t="str">
        <f t="shared" si="208"/>
        <v>S</v>
      </c>
      <c r="AR217" s="49">
        <f t="shared" si="41"/>
        <v>1</v>
      </c>
      <c r="AS217" s="49">
        <f t="shared" si="42"/>
        <v>0</v>
      </c>
      <c r="AT217" s="49">
        <f t="shared" si="43"/>
        <v>0</v>
      </c>
      <c r="AU217" s="49">
        <f t="shared" si="44"/>
        <v>0</v>
      </c>
      <c r="AV217" s="49">
        <f t="shared" si="45"/>
        <v>0</v>
      </c>
      <c r="AW217" s="49">
        <f t="shared" si="46"/>
        <v>1</v>
      </c>
      <c r="AX217" s="49">
        <f t="shared" si="47"/>
        <v>0</v>
      </c>
      <c r="AY217" s="49">
        <f t="shared" si="48"/>
        <v>0</v>
      </c>
      <c r="AZ217" s="49">
        <f t="shared" si="49"/>
        <v>1</v>
      </c>
      <c r="BA217" s="49">
        <f t="shared" si="50"/>
        <v>0</v>
      </c>
      <c r="BB217" s="49">
        <f t="shared" si="51"/>
        <v>0</v>
      </c>
      <c r="BC217" s="49">
        <f t="shared" si="52"/>
        <v>0</v>
      </c>
      <c r="BD217" s="49">
        <f t="shared" si="53"/>
        <v>0</v>
      </c>
      <c r="BE217" s="49">
        <f t="shared" si="54"/>
        <v>1</v>
      </c>
      <c r="BF217" s="49">
        <f t="shared" si="55"/>
        <v>0</v>
      </c>
      <c r="BG217" s="49">
        <f t="shared" si="56"/>
        <v>0</v>
      </c>
      <c r="BH217" s="49">
        <f t="shared" si="57"/>
        <v>1</v>
      </c>
      <c r="BI217" s="49">
        <f t="shared" si="58"/>
        <v>0</v>
      </c>
      <c r="BJ217" s="49">
        <f t="shared" si="59"/>
        <v>0</v>
      </c>
      <c r="BK217" s="49">
        <f t="shared" si="60"/>
        <v>0</v>
      </c>
      <c r="BL217" s="49">
        <f t="shared" si="61"/>
        <v>1</v>
      </c>
      <c r="BM217" s="49">
        <f t="shared" si="62"/>
        <v>0</v>
      </c>
      <c r="BN217" s="49">
        <f t="shared" si="63"/>
        <v>0</v>
      </c>
      <c r="BO217" s="49">
        <f t="shared" si="64"/>
        <v>0</v>
      </c>
      <c r="BP217" s="49">
        <f t="shared" si="65"/>
        <v>1</v>
      </c>
      <c r="BQ217" s="49">
        <f t="shared" si="66"/>
        <v>0</v>
      </c>
      <c r="BR217" s="49">
        <f t="shared" si="67"/>
        <v>0</v>
      </c>
      <c r="BS217" s="49">
        <f t="shared" si="68"/>
        <v>0</v>
      </c>
      <c r="BT217" s="49">
        <f t="shared" si="69"/>
        <v>1</v>
      </c>
      <c r="BU217" s="49">
        <f t="shared" si="70"/>
        <v>0</v>
      </c>
      <c r="BV217" s="49">
        <f t="shared" si="71"/>
        <v>0</v>
      </c>
      <c r="BW217" s="49">
        <f t="shared" si="72"/>
        <v>0</v>
      </c>
    </row>
    <row r="218" spans="1:75" ht="35.1" customHeight="1" x14ac:dyDescent="0.3">
      <c r="A218" s="123" t="str">
        <f t="shared" si="205"/>
        <v>2팀</v>
      </c>
      <c r="B218" s="69">
        <f t="shared" si="206"/>
        <v>212</v>
      </c>
      <c r="C218" s="121" t="str">
        <f>IF(VLOOKUP($B218,'1. 현장별 인원현황'!$C:$J,2,0)=0,"",VLOOKUP($B218,'1. 현장별 인원현황'!$C:$J,2,0))</f>
        <v xml:space="preserve"> [2.신세계건설] 스타필드 청라 소방전기공사 2공구</v>
      </c>
      <c r="D218" s="74" t="str">
        <f>IF(VLOOKUP($B218,'1. 현장별 인원현황'!$C:$J,3,0)=0,"",VLOOKUP($B218,'1. 현장별 인원현황'!$C:$J,3,0))</f>
        <v>이주한</v>
      </c>
      <c r="E218" s="74" t="str">
        <f ca="1">IF(VLOOKUP($B218,'1. 현장별 인원현황'!$C:$J,4,0)=0,"",VLOOKUP($B218,'1. 현장별 인원현황'!$C:$J,4,0))</f>
        <v>44세</v>
      </c>
      <c r="F218" s="70" t="str">
        <f>IF(VLOOKUP($B218,'1. 현장별 인원현황'!$C:$J,7,0)=0,"",VLOOKUP($B218,'1. 현장별 인원현황'!$C:$J,7,0))</f>
        <v>공사</v>
      </c>
      <c r="G218" s="72" t="str">
        <f>IF(VLOOKUP($B218,'1. 현장별 인원현황'!$C:$J,8,0)=0,"",VLOOKUP($B218,'1. 현장별 인원현황'!$C:$J,8,0))</f>
        <v>과장</v>
      </c>
      <c r="H218" s="67" t="s">
        <v>69</v>
      </c>
      <c r="I218" s="73"/>
      <c r="J218" s="73"/>
      <c r="K218" s="68"/>
      <c r="L218" s="67"/>
      <c r="M218" s="73" t="s">
        <v>69</v>
      </c>
      <c r="N218" s="73"/>
      <c r="O218" s="68"/>
      <c r="P218" s="67" t="s">
        <v>69</v>
      </c>
      <c r="Q218" s="73"/>
      <c r="R218" s="73"/>
      <c r="S218" s="68"/>
      <c r="T218" s="67"/>
      <c r="U218" s="73" t="s">
        <v>69</v>
      </c>
      <c r="V218" s="73"/>
      <c r="W218" s="68"/>
      <c r="X218" s="67" t="s">
        <v>69</v>
      </c>
      <c r="Y218" s="73"/>
      <c r="Z218" s="73"/>
      <c r="AA218" s="68"/>
      <c r="AB218" s="67" t="s">
        <v>69</v>
      </c>
      <c r="AC218" s="73"/>
      <c r="AD218" s="73"/>
      <c r="AE218" s="68"/>
      <c r="AF218" s="67" t="s">
        <v>69</v>
      </c>
      <c r="AG218" s="73"/>
      <c r="AH218" s="73"/>
      <c r="AI218" s="68"/>
      <c r="AJ218" s="67" t="s">
        <v>69</v>
      </c>
      <c r="AK218" s="73"/>
      <c r="AL218" s="73"/>
      <c r="AM218" s="68"/>
      <c r="AN218" s="67">
        <f t="shared" si="207"/>
        <v>92</v>
      </c>
      <c r="AO218" s="68" t="str">
        <f t="shared" si="208"/>
        <v>S</v>
      </c>
      <c r="AR218" s="49">
        <f t="shared" si="41"/>
        <v>1</v>
      </c>
      <c r="AS218" s="49">
        <f t="shared" si="42"/>
        <v>0</v>
      </c>
      <c r="AT218" s="49">
        <f t="shared" si="43"/>
        <v>0</v>
      </c>
      <c r="AU218" s="49">
        <f t="shared" si="44"/>
        <v>0</v>
      </c>
      <c r="AV218" s="49">
        <f t="shared" si="45"/>
        <v>0</v>
      </c>
      <c r="AW218" s="49">
        <f t="shared" si="46"/>
        <v>1</v>
      </c>
      <c r="AX218" s="49">
        <f t="shared" si="47"/>
        <v>0</v>
      </c>
      <c r="AY218" s="49">
        <f t="shared" si="48"/>
        <v>0</v>
      </c>
      <c r="AZ218" s="49">
        <f t="shared" si="49"/>
        <v>1</v>
      </c>
      <c r="BA218" s="49">
        <f t="shared" si="50"/>
        <v>0</v>
      </c>
      <c r="BB218" s="49">
        <f t="shared" si="51"/>
        <v>0</v>
      </c>
      <c r="BC218" s="49">
        <f t="shared" si="52"/>
        <v>0</v>
      </c>
      <c r="BD218" s="49">
        <f t="shared" si="53"/>
        <v>0</v>
      </c>
      <c r="BE218" s="49">
        <f t="shared" si="54"/>
        <v>1</v>
      </c>
      <c r="BF218" s="49">
        <f t="shared" si="55"/>
        <v>0</v>
      </c>
      <c r="BG218" s="49">
        <f t="shared" si="56"/>
        <v>0</v>
      </c>
      <c r="BH218" s="49">
        <f t="shared" si="57"/>
        <v>1</v>
      </c>
      <c r="BI218" s="49">
        <f t="shared" si="58"/>
        <v>0</v>
      </c>
      <c r="BJ218" s="49">
        <f t="shared" si="59"/>
        <v>0</v>
      </c>
      <c r="BK218" s="49">
        <f t="shared" si="60"/>
        <v>0</v>
      </c>
      <c r="BL218" s="49">
        <f t="shared" si="61"/>
        <v>1</v>
      </c>
      <c r="BM218" s="49">
        <f t="shared" si="62"/>
        <v>0</v>
      </c>
      <c r="BN218" s="49">
        <f t="shared" si="63"/>
        <v>0</v>
      </c>
      <c r="BO218" s="49">
        <f t="shared" si="64"/>
        <v>0</v>
      </c>
      <c r="BP218" s="49">
        <f t="shared" si="65"/>
        <v>1</v>
      </c>
      <c r="BQ218" s="49">
        <f t="shared" si="66"/>
        <v>0</v>
      </c>
      <c r="BR218" s="49">
        <f t="shared" si="67"/>
        <v>0</v>
      </c>
      <c r="BS218" s="49">
        <f t="shared" si="68"/>
        <v>0</v>
      </c>
      <c r="BT218" s="49">
        <f t="shared" si="69"/>
        <v>1</v>
      </c>
      <c r="BU218" s="49">
        <f t="shared" si="70"/>
        <v>0</v>
      </c>
      <c r="BV218" s="49">
        <f t="shared" si="71"/>
        <v>0</v>
      </c>
      <c r="BW218" s="49">
        <f t="shared" si="72"/>
        <v>0</v>
      </c>
    </row>
    <row r="219" spans="1:75" ht="35.1" customHeight="1" x14ac:dyDescent="0.3">
      <c r="A219" s="123" t="str">
        <f t="shared" si="205"/>
        <v>2팀</v>
      </c>
      <c r="B219" s="69">
        <f t="shared" si="206"/>
        <v>213</v>
      </c>
      <c r="C219" s="121" t="str">
        <f>IF(VLOOKUP($B219,'1. 현장별 인원현황'!$C:$J,2,0)=0,"",VLOOKUP($B219,'1. 현장별 인원현황'!$C:$J,2,0))</f>
        <v xml:space="preserve"> [2.신세계건설] 스타필드 청라 소방전기공사 2공구</v>
      </c>
      <c r="D219" s="74" t="str">
        <f>IF(VLOOKUP($B219,'1. 현장별 인원현황'!$C:$J,3,0)=0,"",VLOOKUP($B219,'1. 현장별 인원현황'!$C:$J,3,0))</f>
        <v>이태준</v>
      </c>
      <c r="E219" s="74" t="str">
        <f ca="1">IF(VLOOKUP($B219,'1. 현장별 인원현황'!$C:$J,4,0)=0,"",VLOOKUP($B219,'1. 현장별 인원현황'!$C:$J,4,0))</f>
        <v>48세</v>
      </c>
      <c r="F219" s="70" t="str">
        <f>IF(VLOOKUP($B219,'1. 현장별 인원현황'!$C:$J,7,0)=0,"",VLOOKUP($B219,'1. 현장별 인원현황'!$C:$J,7,0))</f>
        <v>안전관리자</v>
      </c>
      <c r="G219" s="72" t="str">
        <f>IF(VLOOKUP($B219,'1. 현장별 인원현황'!$C:$J,8,0)=0,"",VLOOKUP($B219,'1. 현장별 인원현황'!$C:$J,8,0))</f>
        <v>차장</v>
      </c>
      <c r="H219" s="67" t="s">
        <v>69</v>
      </c>
      <c r="I219" s="73"/>
      <c r="J219" s="73"/>
      <c r="K219" s="68"/>
      <c r="L219" s="67"/>
      <c r="M219" s="73" t="s">
        <v>69</v>
      </c>
      <c r="N219" s="73"/>
      <c r="O219" s="68"/>
      <c r="P219" s="67" t="s">
        <v>69</v>
      </c>
      <c r="Q219" s="73"/>
      <c r="R219" s="73"/>
      <c r="S219" s="68"/>
      <c r="T219" s="67"/>
      <c r="U219" s="73" t="s">
        <v>69</v>
      </c>
      <c r="V219" s="73"/>
      <c r="W219" s="68"/>
      <c r="X219" s="67" t="s">
        <v>69</v>
      </c>
      <c r="Y219" s="73"/>
      <c r="Z219" s="73"/>
      <c r="AA219" s="68"/>
      <c r="AB219" s="67" t="s">
        <v>69</v>
      </c>
      <c r="AC219" s="73"/>
      <c r="AD219" s="73"/>
      <c r="AE219" s="68"/>
      <c r="AF219" s="67" t="s">
        <v>69</v>
      </c>
      <c r="AG219" s="73"/>
      <c r="AH219" s="73"/>
      <c r="AI219" s="68"/>
      <c r="AJ219" s="67" t="s">
        <v>69</v>
      </c>
      <c r="AK219" s="73"/>
      <c r="AL219" s="73"/>
      <c r="AM219" s="68"/>
      <c r="AN219" s="67">
        <f t="shared" si="207"/>
        <v>92</v>
      </c>
      <c r="AO219" s="68" t="str">
        <f t="shared" si="208"/>
        <v>S</v>
      </c>
      <c r="AR219" s="49">
        <f t="shared" si="41"/>
        <v>1</v>
      </c>
      <c r="AS219" s="49">
        <f t="shared" si="42"/>
        <v>0</v>
      </c>
      <c r="AT219" s="49">
        <f t="shared" si="43"/>
        <v>0</v>
      </c>
      <c r="AU219" s="49">
        <f t="shared" si="44"/>
        <v>0</v>
      </c>
      <c r="AV219" s="49">
        <f t="shared" si="45"/>
        <v>0</v>
      </c>
      <c r="AW219" s="49">
        <f t="shared" si="46"/>
        <v>1</v>
      </c>
      <c r="AX219" s="49">
        <f t="shared" si="47"/>
        <v>0</v>
      </c>
      <c r="AY219" s="49">
        <f t="shared" si="48"/>
        <v>0</v>
      </c>
      <c r="AZ219" s="49">
        <f t="shared" si="49"/>
        <v>1</v>
      </c>
      <c r="BA219" s="49">
        <f t="shared" si="50"/>
        <v>0</v>
      </c>
      <c r="BB219" s="49">
        <f t="shared" si="51"/>
        <v>0</v>
      </c>
      <c r="BC219" s="49">
        <f t="shared" si="52"/>
        <v>0</v>
      </c>
      <c r="BD219" s="49">
        <f t="shared" si="53"/>
        <v>0</v>
      </c>
      <c r="BE219" s="49">
        <f t="shared" si="54"/>
        <v>1</v>
      </c>
      <c r="BF219" s="49">
        <f t="shared" si="55"/>
        <v>0</v>
      </c>
      <c r="BG219" s="49">
        <f t="shared" si="56"/>
        <v>0</v>
      </c>
      <c r="BH219" s="49">
        <f t="shared" si="57"/>
        <v>1</v>
      </c>
      <c r="BI219" s="49">
        <f t="shared" si="58"/>
        <v>0</v>
      </c>
      <c r="BJ219" s="49">
        <f t="shared" si="59"/>
        <v>0</v>
      </c>
      <c r="BK219" s="49">
        <f t="shared" si="60"/>
        <v>0</v>
      </c>
      <c r="BL219" s="49">
        <f t="shared" si="61"/>
        <v>1</v>
      </c>
      <c r="BM219" s="49">
        <f t="shared" si="62"/>
        <v>0</v>
      </c>
      <c r="BN219" s="49">
        <f t="shared" si="63"/>
        <v>0</v>
      </c>
      <c r="BO219" s="49">
        <f t="shared" si="64"/>
        <v>0</v>
      </c>
      <c r="BP219" s="49">
        <f t="shared" si="65"/>
        <v>1</v>
      </c>
      <c r="BQ219" s="49">
        <f t="shared" si="66"/>
        <v>0</v>
      </c>
      <c r="BR219" s="49">
        <f t="shared" si="67"/>
        <v>0</v>
      </c>
      <c r="BS219" s="49">
        <f t="shared" si="68"/>
        <v>0</v>
      </c>
      <c r="BT219" s="49">
        <f t="shared" si="69"/>
        <v>1</v>
      </c>
      <c r="BU219" s="49">
        <f t="shared" si="70"/>
        <v>0</v>
      </c>
      <c r="BV219" s="49">
        <f t="shared" si="71"/>
        <v>0</v>
      </c>
      <c r="BW219" s="49">
        <f t="shared" si="72"/>
        <v>0</v>
      </c>
    </row>
    <row r="220" spans="1:75" ht="35.1" customHeight="1" x14ac:dyDescent="0.3">
      <c r="A220" s="123" t="str">
        <f t="shared" si="205"/>
        <v>2팀</v>
      </c>
      <c r="B220" s="69">
        <f t="shared" si="206"/>
        <v>214</v>
      </c>
      <c r="C220" s="121" t="str">
        <f>IF(VLOOKUP($B220,'1. 현장별 인원현황'!$C:$J,2,0)=0,"",VLOOKUP($B220,'1. 현장별 인원현황'!$C:$J,2,0))</f>
        <v xml:space="preserve"> [2.신세계건설] 스타필드 청라 소방전기공사 2공구</v>
      </c>
      <c r="D220" s="74" t="str">
        <f>IF(VLOOKUP($B220,'1. 현장별 인원현황'!$C:$J,3,0)=0,"",VLOOKUP($B220,'1. 현장별 인원현황'!$C:$J,3,0))</f>
        <v>류철선</v>
      </c>
      <c r="E220" s="74" t="str">
        <f ca="1">IF(VLOOKUP($B220,'1. 현장별 인원현황'!$C:$J,4,0)=0,"",VLOOKUP($B220,'1. 현장별 인원현황'!$C:$J,4,0))</f>
        <v>58세</v>
      </c>
      <c r="F220" s="70" t="str">
        <f>IF(VLOOKUP($B220,'1. 현장별 인원현황'!$C:$J,7,0)=0,"",VLOOKUP($B220,'1. 현장별 인원현황'!$C:$J,7,0))</f>
        <v>기능공</v>
      </c>
      <c r="G220" s="72" t="str">
        <f>IF(VLOOKUP($B220,'1. 현장별 인원현황'!$C:$J,8,0)=0,"",VLOOKUP($B220,'1. 현장별 인원현황'!$C:$J,8,0))</f>
        <v>전공</v>
      </c>
      <c r="H220" s="67" t="s">
        <v>69</v>
      </c>
      <c r="I220" s="73"/>
      <c r="J220" s="73"/>
      <c r="K220" s="68"/>
      <c r="L220" s="67"/>
      <c r="M220" s="73" t="s">
        <v>69</v>
      </c>
      <c r="N220" s="73"/>
      <c r="O220" s="68"/>
      <c r="P220" s="67" t="s">
        <v>69</v>
      </c>
      <c r="Q220" s="73"/>
      <c r="R220" s="73"/>
      <c r="S220" s="68"/>
      <c r="T220" s="67" t="s">
        <v>69</v>
      </c>
      <c r="U220" s="73"/>
      <c r="V220" s="73"/>
      <c r="W220" s="68"/>
      <c r="X220" s="67" t="s">
        <v>69</v>
      </c>
      <c r="Y220" s="73"/>
      <c r="Z220" s="73"/>
      <c r="AA220" s="68"/>
      <c r="AB220" s="67" t="s">
        <v>69</v>
      </c>
      <c r="AC220" s="73"/>
      <c r="AD220" s="73"/>
      <c r="AE220" s="68"/>
      <c r="AF220" s="67" t="s">
        <v>69</v>
      </c>
      <c r="AG220" s="73"/>
      <c r="AH220" s="73"/>
      <c r="AI220" s="68"/>
      <c r="AJ220" s="67" t="s">
        <v>69</v>
      </c>
      <c r="AK220" s="73"/>
      <c r="AL220" s="73"/>
      <c r="AM220" s="68"/>
      <c r="AN220" s="67">
        <f t="shared" si="207"/>
        <v>96</v>
      </c>
      <c r="AO220" s="68" t="str">
        <f t="shared" si="208"/>
        <v>S</v>
      </c>
      <c r="AR220" s="49">
        <f t="shared" si="41"/>
        <v>1</v>
      </c>
      <c r="AS220" s="49">
        <f t="shared" si="42"/>
        <v>0</v>
      </c>
      <c r="AT220" s="49">
        <f t="shared" si="43"/>
        <v>0</v>
      </c>
      <c r="AU220" s="49">
        <f t="shared" si="44"/>
        <v>0</v>
      </c>
      <c r="AV220" s="49">
        <f t="shared" si="45"/>
        <v>0</v>
      </c>
      <c r="AW220" s="49">
        <f t="shared" si="46"/>
        <v>1</v>
      </c>
      <c r="AX220" s="49">
        <f t="shared" si="47"/>
        <v>0</v>
      </c>
      <c r="AY220" s="49">
        <f t="shared" si="48"/>
        <v>0</v>
      </c>
      <c r="AZ220" s="49">
        <f t="shared" si="49"/>
        <v>1</v>
      </c>
      <c r="BA220" s="49">
        <f t="shared" si="50"/>
        <v>0</v>
      </c>
      <c r="BB220" s="49">
        <f t="shared" si="51"/>
        <v>0</v>
      </c>
      <c r="BC220" s="49">
        <f t="shared" si="52"/>
        <v>0</v>
      </c>
      <c r="BD220" s="49">
        <f t="shared" si="53"/>
        <v>1</v>
      </c>
      <c r="BE220" s="49">
        <f t="shared" si="54"/>
        <v>0</v>
      </c>
      <c r="BF220" s="49">
        <f t="shared" si="55"/>
        <v>0</v>
      </c>
      <c r="BG220" s="49">
        <f t="shared" si="56"/>
        <v>0</v>
      </c>
      <c r="BH220" s="49">
        <f t="shared" si="57"/>
        <v>1</v>
      </c>
      <c r="BI220" s="49">
        <f t="shared" si="58"/>
        <v>0</v>
      </c>
      <c r="BJ220" s="49">
        <f t="shared" si="59"/>
        <v>0</v>
      </c>
      <c r="BK220" s="49">
        <f t="shared" si="60"/>
        <v>0</v>
      </c>
      <c r="BL220" s="49">
        <f t="shared" si="61"/>
        <v>1</v>
      </c>
      <c r="BM220" s="49">
        <f t="shared" si="62"/>
        <v>0</v>
      </c>
      <c r="BN220" s="49">
        <f t="shared" si="63"/>
        <v>0</v>
      </c>
      <c r="BO220" s="49">
        <f t="shared" si="64"/>
        <v>0</v>
      </c>
      <c r="BP220" s="49">
        <f t="shared" si="65"/>
        <v>1</v>
      </c>
      <c r="BQ220" s="49">
        <f t="shared" si="66"/>
        <v>0</v>
      </c>
      <c r="BR220" s="49">
        <f t="shared" si="67"/>
        <v>0</v>
      </c>
      <c r="BS220" s="49">
        <f t="shared" si="68"/>
        <v>0</v>
      </c>
      <c r="BT220" s="49">
        <f t="shared" si="69"/>
        <v>1</v>
      </c>
      <c r="BU220" s="49">
        <f t="shared" si="70"/>
        <v>0</v>
      </c>
      <c r="BV220" s="49">
        <f t="shared" si="71"/>
        <v>0</v>
      </c>
      <c r="BW220" s="49">
        <f t="shared" si="72"/>
        <v>0</v>
      </c>
    </row>
    <row r="221" spans="1:75" ht="35.1" customHeight="1" x14ac:dyDescent="0.3">
      <c r="A221" s="123" t="str">
        <f t="shared" si="205"/>
        <v>2팀</v>
      </c>
      <c r="B221" s="69">
        <f t="shared" si="206"/>
        <v>215</v>
      </c>
      <c r="C221" s="121" t="str">
        <f>IF(VLOOKUP($B221,'1. 현장별 인원현황'!$C:$J,2,0)=0,"",VLOOKUP($B221,'1. 현장별 인원현황'!$C:$J,2,0))</f>
        <v xml:space="preserve"> [2.신세계건설] 스타필드 청라 소방전기공사 2공구</v>
      </c>
      <c r="D221" s="74" t="str">
        <f>IF(VLOOKUP($B221,'1. 현장별 인원현황'!$C:$J,3,0)=0,"",VLOOKUP($B221,'1. 현장별 인원현황'!$C:$J,3,0))</f>
        <v>홍진구</v>
      </c>
      <c r="E221" s="74" t="str">
        <f ca="1">IF(VLOOKUP($B221,'1. 현장별 인원현황'!$C:$J,4,0)=0,"",VLOOKUP($B221,'1. 현장별 인원현황'!$C:$J,4,0))</f>
        <v>44세</v>
      </c>
      <c r="F221" s="70" t="str">
        <f>IF(VLOOKUP($B221,'1. 현장별 인원현황'!$C:$J,7,0)=0,"",VLOOKUP($B221,'1. 현장별 인원현황'!$C:$J,7,0))</f>
        <v>기능공</v>
      </c>
      <c r="G221" s="72" t="str">
        <f>IF(VLOOKUP($B221,'1. 현장별 인원현황'!$C:$J,8,0)=0,"",VLOOKUP($B221,'1. 현장별 인원현황'!$C:$J,8,0))</f>
        <v>전공</v>
      </c>
      <c r="H221" s="67" t="s">
        <v>69</v>
      </c>
      <c r="I221" s="73"/>
      <c r="J221" s="73"/>
      <c r="K221" s="68"/>
      <c r="L221" s="67"/>
      <c r="M221" s="73" t="s">
        <v>69</v>
      </c>
      <c r="N221" s="73"/>
      <c r="O221" s="68"/>
      <c r="P221" s="67" t="s">
        <v>69</v>
      </c>
      <c r="Q221" s="73"/>
      <c r="R221" s="73"/>
      <c r="S221" s="68"/>
      <c r="T221" s="67"/>
      <c r="U221" s="73" t="s">
        <v>69</v>
      </c>
      <c r="V221" s="73"/>
      <c r="W221" s="68"/>
      <c r="X221" s="67" t="s">
        <v>69</v>
      </c>
      <c r="Y221" s="73"/>
      <c r="Z221" s="73"/>
      <c r="AA221" s="68"/>
      <c r="AB221" s="67" t="s">
        <v>69</v>
      </c>
      <c r="AC221" s="73"/>
      <c r="AD221" s="73"/>
      <c r="AE221" s="68"/>
      <c r="AF221" s="67" t="s">
        <v>69</v>
      </c>
      <c r="AG221" s="73"/>
      <c r="AH221" s="73"/>
      <c r="AI221" s="68"/>
      <c r="AJ221" s="67" t="s">
        <v>69</v>
      </c>
      <c r="AK221" s="73"/>
      <c r="AL221" s="73"/>
      <c r="AM221" s="68"/>
      <c r="AN221" s="67">
        <f t="shared" si="207"/>
        <v>92</v>
      </c>
      <c r="AO221" s="68" t="str">
        <f t="shared" si="208"/>
        <v>S</v>
      </c>
      <c r="AR221" s="49">
        <f t="shared" si="41"/>
        <v>1</v>
      </c>
      <c r="AS221" s="49">
        <f t="shared" si="42"/>
        <v>0</v>
      </c>
      <c r="AT221" s="49">
        <f t="shared" si="43"/>
        <v>0</v>
      </c>
      <c r="AU221" s="49">
        <f t="shared" si="44"/>
        <v>0</v>
      </c>
      <c r="AV221" s="49">
        <f t="shared" si="45"/>
        <v>0</v>
      </c>
      <c r="AW221" s="49">
        <f t="shared" si="46"/>
        <v>1</v>
      </c>
      <c r="AX221" s="49">
        <f t="shared" si="47"/>
        <v>0</v>
      </c>
      <c r="AY221" s="49">
        <f t="shared" si="48"/>
        <v>0</v>
      </c>
      <c r="AZ221" s="49">
        <f t="shared" si="49"/>
        <v>1</v>
      </c>
      <c r="BA221" s="49">
        <f t="shared" si="50"/>
        <v>0</v>
      </c>
      <c r="BB221" s="49">
        <f t="shared" si="51"/>
        <v>0</v>
      </c>
      <c r="BC221" s="49">
        <f t="shared" si="52"/>
        <v>0</v>
      </c>
      <c r="BD221" s="49">
        <f t="shared" si="53"/>
        <v>0</v>
      </c>
      <c r="BE221" s="49">
        <f t="shared" si="54"/>
        <v>1</v>
      </c>
      <c r="BF221" s="49">
        <f t="shared" si="55"/>
        <v>0</v>
      </c>
      <c r="BG221" s="49">
        <f t="shared" si="56"/>
        <v>0</v>
      </c>
      <c r="BH221" s="49">
        <f t="shared" si="57"/>
        <v>1</v>
      </c>
      <c r="BI221" s="49">
        <f t="shared" si="58"/>
        <v>0</v>
      </c>
      <c r="BJ221" s="49">
        <f t="shared" si="59"/>
        <v>0</v>
      </c>
      <c r="BK221" s="49">
        <f t="shared" si="60"/>
        <v>0</v>
      </c>
      <c r="BL221" s="49">
        <f t="shared" si="61"/>
        <v>1</v>
      </c>
      <c r="BM221" s="49">
        <f t="shared" si="62"/>
        <v>0</v>
      </c>
      <c r="BN221" s="49">
        <f t="shared" si="63"/>
        <v>0</v>
      </c>
      <c r="BO221" s="49">
        <f t="shared" si="64"/>
        <v>0</v>
      </c>
      <c r="BP221" s="49">
        <f t="shared" si="65"/>
        <v>1</v>
      </c>
      <c r="BQ221" s="49">
        <f t="shared" si="66"/>
        <v>0</v>
      </c>
      <c r="BR221" s="49">
        <f t="shared" si="67"/>
        <v>0</v>
      </c>
      <c r="BS221" s="49">
        <f t="shared" si="68"/>
        <v>0</v>
      </c>
      <c r="BT221" s="49">
        <f t="shared" si="69"/>
        <v>1</v>
      </c>
      <c r="BU221" s="49">
        <f t="shared" si="70"/>
        <v>0</v>
      </c>
      <c r="BV221" s="49">
        <f t="shared" si="71"/>
        <v>0</v>
      </c>
      <c r="BW221" s="49">
        <f t="shared" si="72"/>
        <v>0</v>
      </c>
    </row>
    <row r="222" spans="1:75" ht="35.1" customHeight="1" x14ac:dyDescent="0.3">
      <c r="A222" s="123" t="str">
        <f t="shared" si="205"/>
        <v>2팀</v>
      </c>
      <c r="B222" s="69">
        <f t="shared" si="206"/>
        <v>216</v>
      </c>
      <c r="C222" s="121" t="str">
        <f>IF(VLOOKUP($B222,'1. 현장별 인원현황'!$C:$J,2,0)=0,"",VLOOKUP($B222,'1. 현장별 인원현황'!$C:$J,2,0))</f>
        <v xml:space="preserve"> [2.신세계건설] 스타필드 청라 소방전기공사 2공구</v>
      </c>
      <c r="D222" s="74" t="str">
        <f>IF(VLOOKUP($B222,'1. 현장별 인원현황'!$C:$J,3,0)=0,"",VLOOKUP($B222,'1. 현장별 인원현황'!$C:$J,3,0))</f>
        <v>전금환</v>
      </c>
      <c r="E222" s="74" t="str">
        <f ca="1">IF(VLOOKUP($B222,'1. 현장별 인원현황'!$C:$J,4,0)=0,"",VLOOKUP($B222,'1. 현장별 인원현황'!$C:$J,4,0))</f>
        <v>36세</v>
      </c>
      <c r="F222" s="70" t="str">
        <f>IF(VLOOKUP($B222,'1. 현장별 인원현황'!$C:$J,7,0)=0,"",VLOOKUP($B222,'1. 현장별 인원현황'!$C:$J,7,0))</f>
        <v>기능공</v>
      </c>
      <c r="G222" s="72" t="str">
        <f>IF(VLOOKUP($B222,'1. 현장별 인원현황'!$C:$J,8,0)=0,"",VLOOKUP($B222,'1. 현장별 인원현황'!$C:$J,8,0))</f>
        <v>전공</v>
      </c>
      <c r="H222" s="67" t="s">
        <v>69</v>
      </c>
      <c r="I222" s="73"/>
      <c r="J222" s="73"/>
      <c r="K222" s="68"/>
      <c r="L222" s="67"/>
      <c r="M222" s="73" t="s">
        <v>69</v>
      </c>
      <c r="N222" s="73"/>
      <c r="O222" s="68"/>
      <c r="P222" s="67" t="s">
        <v>69</v>
      </c>
      <c r="Q222" s="73"/>
      <c r="R222" s="73"/>
      <c r="S222" s="68"/>
      <c r="T222" s="67"/>
      <c r="U222" s="73" t="s">
        <v>69</v>
      </c>
      <c r="V222" s="73"/>
      <c r="W222" s="68"/>
      <c r="X222" s="67" t="s">
        <v>69</v>
      </c>
      <c r="Y222" s="73"/>
      <c r="Z222" s="73"/>
      <c r="AA222" s="68"/>
      <c r="AB222" s="67" t="s">
        <v>69</v>
      </c>
      <c r="AC222" s="73"/>
      <c r="AD222" s="73"/>
      <c r="AE222" s="68"/>
      <c r="AF222" s="67" t="s">
        <v>69</v>
      </c>
      <c r="AG222" s="73"/>
      <c r="AH222" s="73"/>
      <c r="AI222" s="68"/>
      <c r="AJ222" s="67"/>
      <c r="AK222" s="73" t="s">
        <v>69</v>
      </c>
      <c r="AL222" s="73"/>
      <c r="AM222" s="68"/>
      <c r="AN222" s="67">
        <f t="shared" si="207"/>
        <v>89</v>
      </c>
      <c r="AO222" s="68" t="str">
        <f t="shared" si="208"/>
        <v>S</v>
      </c>
      <c r="AR222" s="49">
        <f t="shared" si="41"/>
        <v>1</v>
      </c>
      <c r="AS222" s="49">
        <f t="shared" si="42"/>
        <v>0</v>
      </c>
      <c r="AT222" s="49">
        <f t="shared" si="43"/>
        <v>0</v>
      </c>
      <c r="AU222" s="49">
        <f t="shared" si="44"/>
        <v>0</v>
      </c>
      <c r="AV222" s="49">
        <f t="shared" si="45"/>
        <v>0</v>
      </c>
      <c r="AW222" s="49">
        <f t="shared" si="46"/>
        <v>1</v>
      </c>
      <c r="AX222" s="49">
        <f t="shared" si="47"/>
        <v>0</v>
      </c>
      <c r="AY222" s="49">
        <f t="shared" si="48"/>
        <v>0</v>
      </c>
      <c r="AZ222" s="49">
        <f t="shared" si="49"/>
        <v>1</v>
      </c>
      <c r="BA222" s="49">
        <f t="shared" si="50"/>
        <v>0</v>
      </c>
      <c r="BB222" s="49">
        <f t="shared" si="51"/>
        <v>0</v>
      </c>
      <c r="BC222" s="49">
        <f t="shared" si="52"/>
        <v>0</v>
      </c>
      <c r="BD222" s="49">
        <f t="shared" si="53"/>
        <v>0</v>
      </c>
      <c r="BE222" s="49">
        <f t="shared" si="54"/>
        <v>1</v>
      </c>
      <c r="BF222" s="49">
        <f t="shared" si="55"/>
        <v>0</v>
      </c>
      <c r="BG222" s="49">
        <f t="shared" si="56"/>
        <v>0</v>
      </c>
      <c r="BH222" s="49">
        <f t="shared" si="57"/>
        <v>1</v>
      </c>
      <c r="BI222" s="49">
        <f t="shared" si="58"/>
        <v>0</v>
      </c>
      <c r="BJ222" s="49">
        <f t="shared" si="59"/>
        <v>0</v>
      </c>
      <c r="BK222" s="49">
        <f t="shared" si="60"/>
        <v>0</v>
      </c>
      <c r="BL222" s="49">
        <f t="shared" si="61"/>
        <v>1</v>
      </c>
      <c r="BM222" s="49">
        <f t="shared" si="62"/>
        <v>0</v>
      </c>
      <c r="BN222" s="49">
        <f t="shared" si="63"/>
        <v>0</v>
      </c>
      <c r="BO222" s="49">
        <f t="shared" si="64"/>
        <v>0</v>
      </c>
      <c r="BP222" s="49">
        <f t="shared" si="65"/>
        <v>1</v>
      </c>
      <c r="BQ222" s="49">
        <f t="shared" si="66"/>
        <v>0</v>
      </c>
      <c r="BR222" s="49">
        <f t="shared" si="67"/>
        <v>0</v>
      </c>
      <c r="BS222" s="49">
        <f t="shared" si="68"/>
        <v>0</v>
      </c>
      <c r="BT222" s="49">
        <f t="shared" si="69"/>
        <v>0</v>
      </c>
      <c r="BU222" s="49">
        <f t="shared" si="70"/>
        <v>1</v>
      </c>
      <c r="BV222" s="49">
        <f t="shared" si="71"/>
        <v>0</v>
      </c>
      <c r="BW222" s="49">
        <f t="shared" si="72"/>
        <v>0</v>
      </c>
    </row>
    <row r="223" spans="1:75" ht="35.1" customHeight="1" x14ac:dyDescent="0.3">
      <c r="A223" s="123" t="str">
        <f t="shared" si="205"/>
        <v>2팀</v>
      </c>
      <c r="B223" s="69">
        <f t="shared" si="206"/>
        <v>217</v>
      </c>
      <c r="C223" s="121" t="str">
        <f>IF(VLOOKUP($B223,'1. 현장별 인원현황'!$C:$J,2,0)=0,"",VLOOKUP($B223,'1. 현장별 인원현황'!$C:$J,2,0))</f>
        <v xml:space="preserve"> [2.신세계건설] 스타필드 청라 신축공사 전기공사</v>
      </c>
      <c r="D223" s="74" t="str">
        <f>IF(VLOOKUP($B223,'1. 현장별 인원현황'!$C:$J,3,0)=0,"",VLOOKUP($B223,'1. 현장별 인원현황'!$C:$J,3,0))</f>
        <v>문순태</v>
      </c>
      <c r="E223" s="74" t="str">
        <f ca="1">IF(VLOOKUP($B223,'1. 현장별 인원현황'!$C:$J,4,0)=0,"",VLOOKUP($B223,'1. 현장별 인원현황'!$C:$J,4,0))</f>
        <v>58세</v>
      </c>
      <c r="F223" s="70" t="str">
        <f>IF(VLOOKUP($B223,'1. 현장별 인원현황'!$C:$J,7,0)=0,"",VLOOKUP($B223,'1. 현장별 인원현황'!$C:$J,7,0))</f>
        <v>공사</v>
      </c>
      <c r="G223" s="72" t="str">
        <f>IF(VLOOKUP($B223,'1. 현장별 인원현황'!$C:$J,8,0)=0,"",VLOOKUP($B223,'1. 현장별 인원현황'!$C:$J,8,0))</f>
        <v>차장</v>
      </c>
      <c r="H223" s="67" t="s">
        <v>69</v>
      </c>
      <c r="I223" s="73"/>
      <c r="J223" s="73"/>
      <c r="K223" s="68"/>
      <c r="L223" s="67" t="s">
        <v>69</v>
      </c>
      <c r="M223" s="73"/>
      <c r="N223" s="73"/>
      <c r="O223" s="68"/>
      <c r="P223" s="67" t="s">
        <v>69</v>
      </c>
      <c r="Q223" s="73"/>
      <c r="R223" s="73"/>
      <c r="S223" s="68"/>
      <c r="T223" s="67"/>
      <c r="U223" s="73" t="s">
        <v>69</v>
      </c>
      <c r="V223" s="73"/>
      <c r="W223" s="68"/>
      <c r="X223" s="67" t="s">
        <v>69</v>
      </c>
      <c r="Y223" s="73"/>
      <c r="Z223" s="73"/>
      <c r="AA223" s="68"/>
      <c r="AB223" s="67" t="s">
        <v>69</v>
      </c>
      <c r="AC223" s="73"/>
      <c r="AD223" s="73"/>
      <c r="AE223" s="68"/>
      <c r="AF223" s="67" t="s">
        <v>69</v>
      </c>
      <c r="AG223" s="73"/>
      <c r="AH223" s="73"/>
      <c r="AI223" s="68"/>
      <c r="AJ223" s="67" t="s">
        <v>69</v>
      </c>
      <c r="AK223" s="73"/>
      <c r="AL223" s="73"/>
      <c r="AM223" s="68"/>
      <c r="AN223" s="67">
        <f t="shared" si="207"/>
        <v>96</v>
      </c>
      <c r="AO223" s="68" t="str">
        <f t="shared" si="208"/>
        <v>S</v>
      </c>
      <c r="AR223" s="49">
        <f t="shared" si="41"/>
        <v>1</v>
      </c>
      <c r="AS223" s="49">
        <f t="shared" si="42"/>
        <v>0</v>
      </c>
      <c r="AT223" s="49">
        <f t="shared" si="43"/>
        <v>0</v>
      </c>
      <c r="AU223" s="49">
        <f t="shared" si="44"/>
        <v>0</v>
      </c>
      <c r="AV223" s="49">
        <f t="shared" si="45"/>
        <v>1</v>
      </c>
      <c r="AW223" s="49">
        <f t="shared" si="46"/>
        <v>0</v>
      </c>
      <c r="AX223" s="49">
        <f t="shared" si="47"/>
        <v>0</v>
      </c>
      <c r="AY223" s="49">
        <f t="shared" si="48"/>
        <v>0</v>
      </c>
      <c r="AZ223" s="49">
        <f t="shared" si="49"/>
        <v>1</v>
      </c>
      <c r="BA223" s="49">
        <f t="shared" si="50"/>
        <v>0</v>
      </c>
      <c r="BB223" s="49">
        <f t="shared" si="51"/>
        <v>0</v>
      </c>
      <c r="BC223" s="49">
        <f t="shared" si="52"/>
        <v>0</v>
      </c>
      <c r="BD223" s="49">
        <f t="shared" si="53"/>
        <v>0</v>
      </c>
      <c r="BE223" s="49">
        <f t="shared" si="54"/>
        <v>1</v>
      </c>
      <c r="BF223" s="49">
        <f t="shared" si="55"/>
        <v>0</v>
      </c>
      <c r="BG223" s="49">
        <f t="shared" si="56"/>
        <v>0</v>
      </c>
      <c r="BH223" s="49">
        <f t="shared" si="57"/>
        <v>1</v>
      </c>
      <c r="BI223" s="49">
        <f t="shared" si="58"/>
        <v>0</v>
      </c>
      <c r="BJ223" s="49">
        <f t="shared" si="59"/>
        <v>0</v>
      </c>
      <c r="BK223" s="49">
        <f t="shared" si="60"/>
        <v>0</v>
      </c>
      <c r="BL223" s="49">
        <f t="shared" si="61"/>
        <v>1</v>
      </c>
      <c r="BM223" s="49">
        <f t="shared" si="62"/>
        <v>0</v>
      </c>
      <c r="BN223" s="49">
        <f t="shared" si="63"/>
        <v>0</v>
      </c>
      <c r="BO223" s="49">
        <f t="shared" si="64"/>
        <v>0</v>
      </c>
      <c r="BP223" s="49">
        <f t="shared" si="65"/>
        <v>1</v>
      </c>
      <c r="BQ223" s="49">
        <f t="shared" si="66"/>
        <v>0</v>
      </c>
      <c r="BR223" s="49">
        <f t="shared" si="67"/>
        <v>0</v>
      </c>
      <c r="BS223" s="49">
        <f t="shared" si="68"/>
        <v>0</v>
      </c>
      <c r="BT223" s="49">
        <f t="shared" si="69"/>
        <v>1</v>
      </c>
      <c r="BU223" s="49">
        <f t="shared" si="70"/>
        <v>0</v>
      </c>
      <c r="BV223" s="49">
        <f t="shared" si="71"/>
        <v>0</v>
      </c>
      <c r="BW223" s="49">
        <f t="shared" si="72"/>
        <v>0</v>
      </c>
    </row>
    <row r="224" spans="1:75" ht="35.1" customHeight="1" x14ac:dyDescent="0.3">
      <c r="A224" s="123" t="str">
        <f t="shared" si="205"/>
        <v>2팀</v>
      </c>
      <c r="B224" s="69">
        <f t="shared" si="206"/>
        <v>218</v>
      </c>
      <c r="C224" s="121" t="str">
        <f>IF(VLOOKUP($B224,'1. 현장별 인원현황'!$C:$J,2,0)=0,"",VLOOKUP($B224,'1. 현장별 인원현황'!$C:$J,2,0))</f>
        <v xml:space="preserve"> [2.신세계건설] 스타필드 청라 신축공사 전기공사</v>
      </c>
      <c r="D224" s="74" t="str">
        <f>IF(VLOOKUP($B224,'1. 현장별 인원현황'!$C:$J,3,0)=0,"",VLOOKUP($B224,'1. 현장별 인원현황'!$C:$J,3,0))</f>
        <v>최문철</v>
      </c>
      <c r="E224" s="74" t="str">
        <f ca="1">IF(VLOOKUP($B224,'1. 현장별 인원현황'!$C:$J,4,0)=0,"",VLOOKUP($B224,'1. 현장별 인원현황'!$C:$J,4,0))</f>
        <v>51세</v>
      </c>
      <c r="F224" s="70" t="str">
        <f>IF(VLOOKUP($B224,'1. 현장별 인원현황'!$C:$J,7,0)=0,"",VLOOKUP($B224,'1. 현장별 인원현황'!$C:$J,7,0))</f>
        <v>공사</v>
      </c>
      <c r="G224" s="72" t="str">
        <f>IF(VLOOKUP($B224,'1. 현장별 인원현황'!$C:$J,8,0)=0,"",VLOOKUP($B224,'1. 현장별 인원현황'!$C:$J,8,0))</f>
        <v>차장</v>
      </c>
      <c r="H224" s="67" t="s">
        <v>69</v>
      </c>
      <c r="I224" s="73"/>
      <c r="J224" s="73"/>
      <c r="K224" s="68"/>
      <c r="L224" s="67" t="s">
        <v>69</v>
      </c>
      <c r="M224" s="73"/>
      <c r="N224" s="73"/>
      <c r="O224" s="68"/>
      <c r="P224" s="67" t="s">
        <v>69</v>
      </c>
      <c r="Q224" s="73"/>
      <c r="R224" s="73"/>
      <c r="S224" s="68"/>
      <c r="T224" s="67"/>
      <c r="U224" s="73" t="s">
        <v>69</v>
      </c>
      <c r="V224" s="73"/>
      <c r="W224" s="68"/>
      <c r="X224" s="67" t="s">
        <v>69</v>
      </c>
      <c r="Y224" s="73"/>
      <c r="Z224" s="73"/>
      <c r="AA224" s="68"/>
      <c r="AB224" s="67" t="s">
        <v>69</v>
      </c>
      <c r="AC224" s="73"/>
      <c r="AD224" s="73"/>
      <c r="AE224" s="68"/>
      <c r="AF224" s="67"/>
      <c r="AG224" s="73" t="s">
        <v>69</v>
      </c>
      <c r="AH224" s="73"/>
      <c r="AI224" s="68"/>
      <c r="AJ224" s="67" t="s">
        <v>69</v>
      </c>
      <c r="AK224" s="73"/>
      <c r="AL224" s="73"/>
      <c r="AM224" s="68"/>
      <c r="AN224" s="67">
        <f t="shared" si="207"/>
        <v>93</v>
      </c>
      <c r="AO224" s="68" t="str">
        <f t="shared" si="208"/>
        <v>S</v>
      </c>
      <c r="AR224" s="49">
        <f t="shared" si="41"/>
        <v>1</v>
      </c>
      <c r="AS224" s="49">
        <f t="shared" si="42"/>
        <v>0</v>
      </c>
      <c r="AT224" s="49">
        <f t="shared" si="43"/>
        <v>0</v>
      </c>
      <c r="AU224" s="49">
        <f t="shared" si="44"/>
        <v>0</v>
      </c>
      <c r="AV224" s="49">
        <f t="shared" si="45"/>
        <v>1</v>
      </c>
      <c r="AW224" s="49">
        <f t="shared" si="46"/>
        <v>0</v>
      </c>
      <c r="AX224" s="49">
        <f t="shared" si="47"/>
        <v>0</v>
      </c>
      <c r="AY224" s="49">
        <f t="shared" si="48"/>
        <v>0</v>
      </c>
      <c r="AZ224" s="49">
        <f t="shared" si="49"/>
        <v>1</v>
      </c>
      <c r="BA224" s="49">
        <f t="shared" si="50"/>
        <v>0</v>
      </c>
      <c r="BB224" s="49">
        <f t="shared" si="51"/>
        <v>0</v>
      </c>
      <c r="BC224" s="49">
        <f t="shared" si="52"/>
        <v>0</v>
      </c>
      <c r="BD224" s="49">
        <f t="shared" si="53"/>
        <v>0</v>
      </c>
      <c r="BE224" s="49">
        <f t="shared" si="54"/>
        <v>1</v>
      </c>
      <c r="BF224" s="49">
        <f t="shared" si="55"/>
        <v>0</v>
      </c>
      <c r="BG224" s="49">
        <f t="shared" si="56"/>
        <v>0</v>
      </c>
      <c r="BH224" s="49">
        <f t="shared" si="57"/>
        <v>1</v>
      </c>
      <c r="BI224" s="49">
        <f t="shared" si="58"/>
        <v>0</v>
      </c>
      <c r="BJ224" s="49">
        <f t="shared" si="59"/>
        <v>0</v>
      </c>
      <c r="BK224" s="49">
        <f t="shared" si="60"/>
        <v>0</v>
      </c>
      <c r="BL224" s="49">
        <f t="shared" si="61"/>
        <v>1</v>
      </c>
      <c r="BM224" s="49">
        <f t="shared" si="62"/>
        <v>0</v>
      </c>
      <c r="BN224" s="49">
        <f t="shared" si="63"/>
        <v>0</v>
      </c>
      <c r="BO224" s="49">
        <f t="shared" si="64"/>
        <v>0</v>
      </c>
      <c r="BP224" s="49">
        <f t="shared" si="65"/>
        <v>0</v>
      </c>
      <c r="BQ224" s="49">
        <f t="shared" si="66"/>
        <v>1</v>
      </c>
      <c r="BR224" s="49">
        <f t="shared" si="67"/>
        <v>0</v>
      </c>
      <c r="BS224" s="49">
        <f t="shared" si="68"/>
        <v>0</v>
      </c>
      <c r="BT224" s="49">
        <f t="shared" si="69"/>
        <v>1</v>
      </c>
      <c r="BU224" s="49">
        <f t="shared" si="70"/>
        <v>0</v>
      </c>
      <c r="BV224" s="49">
        <f t="shared" si="71"/>
        <v>0</v>
      </c>
      <c r="BW224" s="49">
        <f t="shared" si="72"/>
        <v>0</v>
      </c>
    </row>
    <row r="225" spans="1:75" ht="35.1" customHeight="1" x14ac:dyDescent="0.3">
      <c r="A225" s="123" t="str">
        <f t="shared" si="205"/>
        <v>2팀</v>
      </c>
      <c r="B225" s="69">
        <f t="shared" si="206"/>
        <v>219</v>
      </c>
      <c r="C225" s="121" t="str">
        <f>IF(VLOOKUP($B225,'1. 현장별 인원현황'!$C:$J,2,0)=0,"",VLOOKUP($B225,'1. 현장별 인원현황'!$C:$J,2,0))</f>
        <v xml:space="preserve"> [2.신세계건설] 스타필드 청라 신축공사 전기공사</v>
      </c>
      <c r="D225" s="74" t="str">
        <f>IF(VLOOKUP($B225,'1. 현장별 인원현황'!$C:$J,3,0)=0,"",VLOOKUP($B225,'1. 현장별 인원현황'!$C:$J,3,0))</f>
        <v>김성우</v>
      </c>
      <c r="E225" s="74" t="str">
        <f ca="1">IF(VLOOKUP($B225,'1. 현장별 인원현황'!$C:$J,4,0)=0,"",VLOOKUP($B225,'1. 현장별 인원현황'!$C:$J,4,0))</f>
        <v>54세</v>
      </c>
      <c r="F225" s="70" t="str">
        <f>IF(VLOOKUP($B225,'1. 현장별 인원현황'!$C:$J,7,0)=0,"",VLOOKUP($B225,'1. 현장별 인원현황'!$C:$J,7,0))</f>
        <v>공무</v>
      </c>
      <c r="G225" s="72" t="str">
        <f>IF(VLOOKUP($B225,'1. 현장별 인원현황'!$C:$J,8,0)=0,"",VLOOKUP($B225,'1. 현장별 인원현황'!$C:$J,8,0))</f>
        <v>차장</v>
      </c>
      <c r="H225" s="67"/>
      <c r="I225" s="73" t="s">
        <v>69</v>
      </c>
      <c r="J225" s="73"/>
      <c r="K225" s="68"/>
      <c r="L225" s="67"/>
      <c r="M225" s="73" t="s">
        <v>69</v>
      </c>
      <c r="N225" s="73"/>
      <c r="O225" s="68"/>
      <c r="P225" s="67" t="s">
        <v>69</v>
      </c>
      <c r="Q225" s="73"/>
      <c r="R225" s="73"/>
      <c r="S225" s="68"/>
      <c r="T225" s="67"/>
      <c r="U225" s="73" t="s">
        <v>69</v>
      </c>
      <c r="V225" s="73"/>
      <c r="W225" s="68"/>
      <c r="X225" s="67" t="s">
        <v>69</v>
      </c>
      <c r="Y225" s="73"/>
      <c r="Z225" s="73"/>
      <c r="AA225" s="68"/>
      <c r="AB225" s="67" t="s">
        <v>69</v>
      </c>
      <c r="AC225" s="73"/>
      <c r="AD225" s="73"/>
      <c r="AE225" s="68"/>
      <c r="AF225" s="67"/>
      <c r="AG225" s="73"/>
      <c r="AH225" s="73" t="s">
        <v>69</v>
      </c>
      <c r="AI225" s="68"/>
      <c r="AJ225" s="67" t="s">
        <v>69</v>
      </c>
      <c r="AK225" s="73"/>
      <c r="AL225" s="73"/>
      <c r="AM225" s="68"/>
      <c r="AN225" s="67">
        <f t="shared" si="207"/>
        <v>82</v>
      </c>
      <c r="AO225" s="68" t="str">
        <f t="shared" si="208"/>
        <v>A</v>
      </c>
      <c r="AR225" s="49">
        <f t="shared" si="41"/>
        <v>0</v>
      </c>
      <c r="AS225" s="49">
        <f t="shared" si="42"/>
        <v>1</v>
      </c>
      <c r="AT225" s="49">
        <f t="shared" si="43"/>
        <v>0</v>
      </c>
      <c r="AU225" s="49">
        <f t="shared" si="44"/>
        <v>0</v>
      </c>
      <c r="AV225" s="49">
        <f t="shared" si="45"/>
        <v>0</v>
      </c>
      <c r="AW225" s="49">
        <f t="shared" si="46"/>
        <v>1</v>
      </c>
      <c r="AX225" s="49">
        <f t="shared" si="47"/>
        <v>0</v>
      </c>
      <c r="AY225" s="49">
        <f t="shared" si="48"/>
        <v>0</v>
      </c>
      <c r="AZ225" s="49">
        <f t="shared" si="49"/>
        <v>1</v>
      </c>
      <c r="BA225" s="49">
        <f t="shared" si="50"/>
        <v>0</v>
      </c>
      <c r="BB225" s="49">
        <f t="shared" si="51"/>
        <v>0</v>
      </c>
      <c r="BC225" s="49">
        <f t="shared" si="52"/>
        <v>0</v>
      </c>
      <c r="BD225" s="49">
        <f t="shared" si="53"/>
        <v>0</v>
      </c>
      <c r="BE225" s="49">
        <f t="shared" si="54"/>
        <v>1</v>
      </c>
      <c r="BF225" s="49">
        <f t="shared" si="55"/>
        <v>0</v>
      </c>
      <c r="BG225" s="49">
        <f t="shared" si="56"/>
        <v>0</v>
      </c>
      <c r="BH225" s="49">
        <f t="shared" si="57"/>
        <v>1</v>
      </c>
      <c r="BI225" s="49">
        <f t="shared" si="58"/>
        <v>0</v>
      </c>
      <c r="BJ225" s="49">
        <f t="shared" si="59"/>
        <v>0</v>
      </c>
      <c r="BK225" s="49">
        <f t="shared" si="60"/>
        <v>0</v>
      </c>
      <c r="BL225" s="49">
        <f t="shared" si="61"/>
        <v>1</v>
      </c>
      <c r="BM225" s="49">
        <f t="shared" si="62"/>
        <v>0</v>
      </c>
      <c r="BN225" s="49">
        <f t="shared" si="63"/>
        <v>0</v>
      </c>
      <c r="BO225" s="49">
        <f t="shared" si="64"/>
        <v>0</v>
      </c>
      <c r="BP225" s="49">
        <f t="shared" si="65"/>
        <v>0</v>
      </c>
      <c r="BQ225" s="49">
        <f t="shared" si="66"/>
        <v>0</v>
      </c>
      <c r="BR225" s="49">
        <f t="shared" si="67"/>
        <v>1</v>
      </c>
      <c r="BS225" s="49">
        <f t="shared" si="68"/>
        <v>0</v>
      </c>
      <c r="BT225" s="49">
        <f t="shared" si="69"/>
        <v>1</v>
      </c>
      <c r="BU225" s="49">
        <f t="shared" si="70"/>
        <v>0</v>
      </c>
      <c r="BV225" s="49">
        <f t="shared" si="71"/>
        <v>0</v>
      </c>
      <c r="BW225" s="49">
        <f t="shared" si="72"/>
        <v>0</v>
      </c>
    </row>
    <row r="226" spans="1:75" ht="35.1" customHeight="1" x14ac:dyDescent="0.3">
      <c r="A226" s="123" t="str">
        <f t="shared" si="205"/>
        <v>2팀</v>
      </c>
      <c r="B226" s="69">
        <f t="shared" si="206"/>
        <v>220</v>
      </c>
      <c r="C226" s="121" t="str">
        <f>IF(VLOOKUP($B226,'1. 현장별 인원현황'!$C:$J,2,0)=0,"",VLOOKUP($B226,'1. 현장별 인원현황'!$C:$J,2,0))</f>
        <v xml:space="preserve"> [2.신세계건설] 스타필드 청라 신축공사 전기공사</v>
      </c>
      <c r="D226" s="74" t="str">
        <f>IF(VLOOKUP($B226,'1. 현장별 인원현황'!$C:$J,3,0)=0,"",VLOOKUP($B226,'1. 현장별 인원현황'!$C:$J,3,0))</f>
        <v>박동욱</v>
      </c>
      <c r="E226" s="74" t="str">
        <f ca="1">IF(VLOOKUP($B226,'1. 현장별 인원현황'!$C:$J,4,0)=0,"",VLOOKUP($B226,'1. 현장별 인원현황'!$C:$J,4,0))</f>
        <v>55세</v>
      </c>
      <c r="F226" s="70" t="str">
        <f>IF(VLOOKUP($B226,'1. 현장별 인원현황'!$C:$J,7,0)=0,"",VLOOKUP($B226,'1. 현장별 인원현황'!$C:$J,7,0))</f>
        <v>공사</v>
      </c>
      <c r="G226" s="72" t="str">
        <f>IF(VLOOKUP($B226,'1. 현장별 인원현황'!$C:$J,8,0)=0,"",VLOOKUP($B226,'1. 현장별 인원현황'!$C:$J,8,0))</f>
        <v>차장</v>
      </c>
      <c r="H226" s="67"/>
      <c r="I226" s="73"/>
      <c r="J226" s="73" t="s">
        <v>69</v>
      </c>
      <c r="K226" s="68"/>
      <c r="L226" s="67"/>
      <c r="M226" s="73"/>
      <c r="N226" s="73" t="s">
        <v>69</v>
      </c>
      <c r="O226" s="68"/>
      <c r="P226" s="67" t="s">
        <v>69</v>
      </c>
      <c r="Q226" s="73"/>
      <c r="R226" s="73"/>
      <c r="S226" s="68"/>
      <c r="T226" s="67"/>
      <c r="U226" s="73" t="s">
        <v>69</v>
      </c>
      <c r="V226" s="73"/>
      <c r="W226" s="68"/>
      <c r="X226" s="67" t="s">
        <v>69</v>
      </c>
      <c r="Y226" s="73"/>
      <c r="Z226" s="73"/>
      <c r="AA226" s="68"/>
      <c r="AB226" s="67" t="s">
        <v>69</v>
      </c>
      <c r="AC226" s="73"/>
      <c r="AD226" s="73"/>
      <c r="AE226" s="68"/>
      <c r="AF226" s="67"/>
      <c r="AG226" s="73" t="s">
        <v>69</v>
      </c>
      <c r="AH226" s="73"/>
      <c r="AI226" s="68"/>
      <c r="AJ226" s="67" t="s">
        <v>69</v>
      </c>
      <c r="AK226" s="73"/>
      <c r="AL226" s="73"/>
      <c r="AM226" s="68"/>
      <c r="AN226" s="67">
        <f t="shared" si="207"/>
        <v>77</v>
      </c>
      <c r="AO226" s="68" t="str">
        <f t="shared" si="208"/>
        <v>A</v>
      </c>
      <c r="AR226" s="49">
        <f t="shared" si="41"/>
        <v>0</v>
      </c>
      <c r="AS226" s="49">
        <f t="shared" si="42"/>
        <v>0</v>
      </c>
      <c r="AT226" s="49">
        <f t="shared" si="43"/>
        <v>1</v>
      </c>
      <c r="AU226" s="49">
        <f t="shared" si="44"/>
        <v>0</v>
      </c>
      <c r="AV226" s="49">
        <f t="shared" si="45"/>
        <v>0</v>
      </c>
      <c r="AW226" s="49">
        <f t="shared" si="46"/>
        <v>0</v>
      </c>
      <c r="AX226" s="49">
        <f t="shared" si="47"/>
        <v>1</v>
      </c>
      <c r="AY226" s="49">
        <f t="shared" si="48"/>
        <v>0</v>
      </c>
      <c r="AZ226" s="49">
        <f t="shared" si="49"/>
        <v>1</v>
      </c>
      <c r="BA226" s="49">
        <f t="shared" si="50"/>
        <v>0</v>
      </c>
      <c r="BB226" s="49">
        <f t="shared" si="51"/>
        <v>0</v>
      </c>
      <c r="BC226" s="49">
        <f t="shared" si="52"/>
        <v>0</v>
      </c>
      <c r="BD226" s="49">
        <f t="shared" si="53"/>
        <v>0</v>
      </c>
      <c r="BE226" s="49">
        <f t="shared" si="54"/>
        <v>1</v>
      </c>
      <c r="BF226" s="49">
        <f t="shared" si="55"/>
        <v>0</v>
      </c>
      <c r="BG226" s="49">
        <f t="shared" si="56"/>
        <v>0</v>
      </c>
      <c r="BH226" s="49">
        <f t="shared" si="57"/>
        <v>1</v>
      </c>
      <c r="BI226" s="49">
        <f t="shared" si="58"/>
        <v>0</v>
      </c>
      <c r="BJ226" s="49">
        <f t="shared" si="59"/>
        <v>0</v>
      </c>
      <c r="BK226" s="49">
        <f t="shared" si="60"/>
        <v>0</v>
      </c>
      <c r="BL226" s="49">
        <f t="shared" si="61"/>
        <v>1</v>
      </c>
      <c r="BM226" s="49">
        <f t="shared" si="62"/>
        <v>0</v>
      </c>
      <c r="BN226" s="49">
        <f t="shared" si="63"/>
        <v>0</v>
      </c>
      <c r="BO226" s="49">
        <f t="shared" si="64"/>
        <v>0</v>
      </c>
      <c r="BP226" s="49">
        <f t="shared" si="65"/>
        <v>0</v>
      </c>
      <c r="BQ226" s="49">
        <f t="shared" si="66"/>
        <v>1</v>
      </c>
      <c r="BR226" s="49">
        <f t="shared" si="67"/>
        <v>0</v>
      </c>
      <c r="BS226" s="49">
        <f t="shared" si="68"/>
        <v>0</v>
      </c>
      <c r="BT226" s="49">
        <f t="shared" si="69"/>
        <v>1</v>
      </c>
      <c r="BU226" s="49">
        <f t="shared" si="70"/>
        <v>0</v>
      </c>
      <c r="BV226" s="49">
        <f t="shared" si="71"/>
        <v>0</v>
      </c>
      <c r="BW226" s="49">
        <f t="shared" si="72"/>
        <v>0</v>
      </c>
    </row>
    <row r="227" spans="1:75" ht="35.1" customHeight="1" x14ac:dyDescent="0.3">
      <c r="A227" s="123" t="str">
        <f t="shared" si="205"/>
        <v>2팀</v>
      </c>
      <c r="B227" s="69">
        <f t="shared" si="206"/>
        <v>221</v>
      </c>
      <c r="C227" s="121" t="str">
        <f>IF(VLOOKUP($B227,'1. 현장별 인원현황'!$C:$J,2,0)=0,"",VLOOKUP($B227,'1. 현장별 인원현황'!$C:$J,2,0))</f>
        <v xml:space="preserve"> [2.신세계건설] 스타필드 청라 신축공사 전기공사</v>
      </c>
      <c r="D227" s="74" t="str">
        <f>IF(VLOOKUP($B227,'1. 현장별 인원현황'!$C:$J,3,0)=0,"",VLOOKUP($B227,'1. 현장별 인원현황'!$C:$J,3,0))</f>
        <v>김대범</v>
      </c>
      <c r="E227" s="74" t="str">
        <f ca="1">IF(VLOOKUP($B227,'1. 현장별 인원현황'!$C:$J,4,0)=0,"",VLOOKUP($B227,'1. 현장별 인원현황'!$C:$J,4,0))</f>
        <v>47세</v>
      </c>
      <c r="F227" s="70" t="str">
        <f>IF(VLOOKUP($B227,'1. 현장별 인원현황'!$C:$J,7,0)=0,"",VLOOKUP($B227,'1. 현장별 인원현황'!$C:$J,7,0))</f>
        <v>안전관리자</v>
      </c>
      <c r="G227" s="72" t="str">
        <f>IF(VLOOKUP($B227,'1. 현장별 인원현황'!$C:$J,8,0)=0,"",VLOOKUP($B227,'1. 현장별 인원현황'!$C:$J,8,0))</f>
        <v>차장</v>
      </c>
      <c r="H227" s="67" t="s">
        <v>69</v>
      </c>
      <c r="I227" s="73"/>
      <c r="J227" s="73"/>
      <c r="K227" s="68"/>
      <c r="L227" s="67"/>
      <c r="M227" s="73" t="s">
        <v>69</v>
      </c>
      <c r="N227" s="73"/>
      <c r="O227" s="68"/>
      <c r="P227" s="67" t="s">
        <v>69</v>
      </c>
      <c r="Q227" s="73"/>
      <c r="R227" s="73"/>
      <c r="S227" s="68"/>
      <c r="T227" s="67"/>
      <c r="U227" s="73" t="s">
        <v>69</v>
      </c>
      <c r="V227" s="73"/>
      <c r="W227" s="68"/>
      <c r="X227" s="67" t="s">
        <v>69</v>
      </c>
      <c r="Y227" s="73"/>
      <c r="Z227" s="73"/>
      <c r="AA227" s="68"/>
      <c r="AB227" s="67" t="s">
        <v>69</v>
      </c>
      <c r="AC227" s="73"/>
      <c r="AD227" s="73"/>
      <c r="AE227" s="68"/>
      <c r="AF227" s="67"/>
      <c r="AG227" s="73" t="s">
        <v>69</v>
      </c>
      <c r="AH227" s="73"/>
      <c r="AI227" s="68"/>
      <c r="AJ227" s="67" t="s">
        <v>69</v>
      </c>
      <c r="AK227" s="73"/>
      <c r="AL227" s="73"/>
      <c r="AM227" s="68"/>
      <c r="AN227" s="67">
        <f t="shared" si="207"/>
        <v>89</v>
      </c>
      <c r="AO227" s="68" t="str">
        <f t="shared" si="208"/>
        <v>S</v>
      </c>
      <c r="AR227" s="49">
        <f t="shared" si="41"/>
        <v>1</v>
      </c>
      <c r="AS227" s="49">
        <f t="shared" si="42"/>
        <v>0</v>
      </c>
      <c r="AT227" s="49">
        <f t="shared" si="43"/>
        <v>0</v>
      </c>
      <c r="AU227" s="49">
        <f t="shared" si="44"/>
        <v>0</v>
      </c>
      <c r="AV227" s="49">
        <f t="shared" si="45"/>
        <v>0</v>
      </c>
      <c r="AW227" s="49">
        <f t="shared" si="46"/>
        <v>1</v>
      </c>
      <c r="AX227" s="49">
        <f t="shared" si="47"/>
        <v>0</v>
      </c>
      <c r="AY227" s="49">
        <f t="shared" si="48"/>
        <v>0</v>
      </c>
      <c r="AZ227" s="49">
        <f t="shared" si="49"/>
        <v>1</v>
      </c>
      <c r="BA227" s="49">
        <f t="shared" si="50"/>
        <v>0</v>
      </c>
      <c r="BB227" s="49">
        <f t="shared" si="51"/>
        <v>0</v>
      </c>
      <c r="BC227" s="49">
        <f t="shared" si="52"/>
        <v>0</v>
      </c>
      <c r="BD227" s="49">
        <f t="shared" si="53"/>
        <v>0</v>
      </c>
      <c r="BE227" s="49">
        <f t="shared" si="54"/>
        <v>1</v>
      </c>
      <c r="BF227" s="49">
        <f t="shared" si="55"/>
        <v>0</v>
      </c>
      <c r="BG227" s="49">
        <f t="shared" si="56"/>
        <v>0</v>
      </c>
      <c r="BH227" s="49">
        <f t="shared" si="57"/>
        <v>1</v>
      </c>
      <c r="BI227" s="49">
        <f t="shared" si="58"/>
        <v>0</v>
      </c>
      <c r="BJ227" s="49">
        <f t="shared" si="59"/>
        <v>0</v>
      </c>
      <c r="BK227" s="49">
        <f t="shared" si="60"/>
        <v>0</v>
      </c>
      <c r="BL227" s="49">
        <f t="shared" si="61"/>
        <v>1</v>
      </c>
      <c r="BM227" s="49">
        <f t="shared" si="62"/>
        <v>0</v>
      </c>
      <c r="BN227" s="49">
        <f t="shared" si="63"/>
        <v>0</v>
      </c>
      <c r="BO227" s="49">
        <f t="shared" si="64"/>
        <v>0</v>
      </c>
      <c r="BP227" s="49">
        <f t="shared" si="65"/>
        <v>0</v>
      </c>
      <c r="BQ227" s="49">
        <f t="shared" si="66"/>
        <v>1</v>
      </c>
      <c r="BR227" s="49">
        <f t="shared" si="67"/>
        <v>0</v>
      </c>
      <c r="BS227" s="49">
        <f t="shared" si="68"/>
        <v>0</v>
      </c>
      <c r="BT227" s="49">
        <f t="shared" si="69"/>
        <v>1</v>
      </c>
      <c r="BU227" s="49">
        <f t="shared" si="70"/>
        <v>0</v>
      </c>
      <c r="BV227" s="49">
        <f t="shared" si="71"/>
        <v>0</v>
      </c>
      <c r="BW227" s="49">
        <f t="shared" si="72"/>
        <v>0</v>
      </c>
    </row>
    <row r="228" spans="1:75" ht="35.1" customHeight="1" x14ac:dyDescent="0.3">
      <c r="A228" s="123" t="str">
        <f t="shared" si="205"/>
        <v>2팀</v>
      </c>
      <c r="B228" s="69">
        <f t="shared" si="206"/>
        <v>222</v>
      </c>
      <c r="C228" s="121" t="str">
        <f>IF(VLOOKUP($B228,'1. 현장별 인원현황'!$C:$J,2,0)=0,"",VLOOKUP($B228,'1. 현장별 인원현황'!$C:$J,2,0))</f>
        <v xml:space="preserve"> [2.신세계건설] 스타필드 청라 신축공사 전기공사</v>
      </c>
      <c r="D228" s="74" t="str">
        <f>IF(VLOOKUP($B228,'1. 현장별 인원현황'!$C:$J,3,0)=0,"",VLOOKUP($B228,'1. 현장별 인원현황'!$C:$J,3,0))</f>
        <v>김점수</v>
      </c>
      <c r="E228" s="74" t="str">
        <f ca="1">IF(VLOOKUP($B228,'1. 현장별 인원현황'!$C:$J,4,0)=0,"",VLOOKUP($B228,'1. 현장별 인원현황'!$C:$J,4,0))</f>
        <v>60세</v>
      </c>
      <c r="F228" s="70" t="str">
        <f>IF(VLOOKUP($B228,'1. 현장별 인원현황'!$C:$J,7,0)=0,"",VLOOKUP($B228,'1. 현장별 인원현황'!$C:$J,7,0))</f>
        <v>기능공</v>
      </c>
      <c r="G228" s="72" t="str">
        <f>IF(VLOOKUP($B228,'1. 현장별 인원현황'!$C:$J,8,0)=0,"",VLOOKUP($B228,'1. 현장별 인원현황'!$C:$J,8,0))</f>
        <v>전공</v>
      </c>
      <c r="H228" s="67" t="s">
        <v>69</v>
      </c>
      <c r="I228" s="73"/>
      <c r="J228" s="73"/>
      <c r="K228" s="68"/>
      <c r="L228" s="67"/>
      <c r="M228" s="73" t="s">
        <v>69</v>
      </c>
      <c r="N228" s="73"/>
      <c r="O228" s="68"/>
      <c r="P228" s="67" t="s">
        <v>69</v>
      </c>
      <c r="Q228" s="73"/>
      <c r="R228" s="73"/>
      <c r="S228" s="68"/>
      <c r="T228" s="67"/>
      <c r="U228" s="73" t="s">
        <v>69</v>
      </c>
      <c r="V228" s="73"/>
      <c r="W228" s="68"/>
      <c r="X228" s="67"/>
      <c r="Y228" s="73" t="s">
        <v>69</v>
      </c>
      <c r="Z228" s="73"/>
      <c r="AA228" s="68"/>
      <c r="AB228" s="67" t="s">
        <v>69</v>
      </c>
      <c r="AC228" s="73"/>
      <c r="AD228" s="73"/>
      <c r="AE228" s="68"/>
      <c r="AF228" s="67"/>
      <c r="AG228" s="73" t="s">
        <v>69</v>
      </c>
      <c r="AH228" s="73"/>
      <c r="AI228" s="68"/>
      <c r="AJ228" s="67" t="s">
        <v>69</v>
      </c>
      <c r="AK228" s="73"/>
      <c r="AL228" s="73"/>
      <c r="AM228" s="68"/>
      <c r="AN228" s="67">
        <f t="shared" si="207"/>
        <v>85</v>
      </c>
      <c r="AO228" s="68" t="str">
        <f t="shared" si="208"/>
        <v>A</v>
      </c>
      <c r="AR228" s="49">
        <f t="shared" ref="AR228:AR243" si="209">IF(H228&gt;0,1,0)</f>
        <v>1</v>
      </c>
      <c r="AS228" s="49">
        <f t="shared" ref="AS228:AS243" si="210">IF(I228&gt;0,1,0)</f>
        <v>0</v>
      </c>
      <c r="AT228" s="49">
        <f t="shared" ref="AT228:AT243" si="211">IF(J228&gt;0,1,0)</f>
        <v>0</v>
      </c>
      <c r="AU228" s="49">
        <f t="shared" ref="AU228:AU243" si="212">IF(K228&gt;0,1,0)</f>
        <v>0</v>
      </c>
      <c r="AV228" s="49">
        <f t="shared" ref="AV228:AV243" si="213">IF(L228&gt;0,1,0)</f>
        <v>0</v>
      </c>
      <c r="AW228" s="49">
        <f t="shared" ref="AW228:AW243" si="214">IF(M228&gt;0,1,0)</f>
        <v>1</v>
      </c>
      <c r="AX228" s="49">
        <f t="shared" ref="AX228:AX243" si="215">IF(N228&gt;0,1,0)</f>
        <v>0</v>
      </c>
      <c r="AY228" s="49">
        <f t="shared" ref="AY228:AY243" si="216">IF(O228&gt;0,1,0)</f>
        <v>0</v>
      </c>
      <c r="AZ228" s="49">
        <f t="shared" ref="AZ228:AZ243" si="217">IF(P228&gt;0,1,0)</f>
        <v>1</v>
      </c>
      <c r="BA228" s="49">
        <f t="shared" ref="BA228:BA243" si="218">IF(Q228&gt;0,1,0)</f>
        <v>0</v>
      </c>
      <c r="BB228" s="49">
        <f t="shared" ref="BB228:BB243" si="219">IF(R228&gt;0,1,0)</f>
        <v>0</v>
      </c>
      <c r="BC228" s="49">
        <f t="shared" ref="BC228:BC243" si="220">IF(S228&gt;0,1,0)</f>
        <v>0</v>
      </c>
      <c r="BD228" s="49">
        <f t="shared" ref="BD228:BD243" si="221">IF(T228&gt;0,1,0)</f>
        <v>0</v>
      </c>
      <c r="BE228" s="49">
        <f t="shared" ref="BE228:BE243" si="222">IF(U228&gt;0,1,0)</f>
        <v>1</v>
      </c>
      <c r="BF228" s="49">
        <f t="shared" ref="BF228:BF243" si="223">IF(V228&gt;0,1,0)</f>
        <v>0</v>
      </c>
      <c r="BG228" s="49">
        <f t="shared" ref="BG228:BG243" si="224">IF(W228&gt;0,1,0)</f>
        <v>0</v>
      </c>
      <c r="BH228" s="49">
        <f t="shared" ref="BH228:BH243" si="225">IF(X228&gt;0,1,0)</f>
        <v>0</v>
      </c>
      <c r="BI228" s="49">
        <f t="shared" ref="BI228:BI243" si="226">IF(Y228&gt;0,1,0)</f>
        <v>1</v>
      </c>
      <c r="BJ228" s="49">
        <f t="shared" ref="BJ228:BJ243" si="227">IF(Z228&gt;0,1,0)</f>
        <v>0</v>
      </c>
      <c r="BK228" s="49">
        <f t="shared" ref="BK228:BK243" si="228">IF(AA228&gt;0,1,0)</f>
        <v>0</v>
      </c>
      <c r="BL228" s="49">
        <f t="shared" ref="BL228:BL243" si="229">IF(AB228&gt;0,1,0)</f>
        <v>1</v>
      </c>
      <c r="BM228" s="49">
        <f t="shared" ref="BM228:BM243" si="230">IF(AC228&gt;0,1,0)</f>
        <v>0</v>
      </c>
      <c r="BN228" s="49">
        <f t="shared" ref="BN228:BN243" si="231">IF(AD228&gt;0,1,0)</f>
        <v>0</v>
      </c>
      <c r="BO228" s="49">
        <f t="shared" ref="BO228:BO243" si="232">IF(AE228&gt;0,1,0)</f>
        <v>0</v>
      </c>
      <c r="BP228" s="49">
        <f t="shared" ref="BP228:BP243" si="233">IF(AF228&gt;0,1,0)</f>
        <v>0</v>
      </c>
      <c r="BQ228" s="49">
        <f t="shared" ref="BQ228:BQ243" si="234">IF(AG228&gt;0,1,0)</f>
        <v>1</v>
      </c>
      <c r="BR228" s="49">
        <f t="shared" ref="BR228:BR243" si="235">IF(AH228&gt;0,1,0)</f>
        <v>0</v>
      </c>
      <c r="BS228" s="49">
        <f t="shared" ref="BS228:BS243" si="236">IF(AI228&gt;0,1,0)</f>
        <v>0</v>
      </c>
      <c r="BT228" s="49">
        <f t="shared" ref="BT228:BT243" si="237">IF(AJ228&gt;0,1,0)</f>
        <v>1</v>
      </c>
      <c r="BU228" s="49">
        <f t="shared" ref="BU228:BU243" si="238">IF(AK228&gt;0,1,0)</f>
        <v>0</v>
      </c>
      <c r="BV228" s="49">
        <f t="shared" ref="BV228:BV243" si="239">IF(AL228&gt;0,1,0)</f>
        <v>0</v>
      </c>
      <c r="BW228" s="49">
        <f t="shared" ref="BW228:BW243" si="240">IF(AM228&gt;0,1,0)</f>
        <v>0</v>
      </c>
    </row>
    <row r="229" spans="1:75" ht="35.1" customHeight="1" x14ac:dyDescent="0.3">
      <c r="A229" s="123" t="str">
        <f t="shared" si="205"/>
        <v>2팀</v>
      </c>
      <c r="B229" s="69">
        <f t="shared" si="206"/>
        <v>223</v>
      </c>
      <c r="C229" s="121" t="str">
        <f>IF(VLOOKUP($B229,'1. 현장별 인원현황'!$C:$J,2,0)=0,"",VLOOKUP($B229,'1. 현장별 인원현황'!$C:$J,2,0))</f>
        <v xml:space="preserve"> [2.신세계건설] 스타필드 청라 신축공사 전기공사</v>
      </c>
      <c r="D229" s="74" t="str">
        <f>IF(VLOOKUP($B229,'1. 현장별 인원현황'!$C:$J,3,0)=0,"",VLOOKUP($B229,'1. 현장별 인원현황'!$C:$J,3,0))</f>
        <v>최장윤</v>
      </c>
      <c r="E229" s="74" t="str">
        <f ca="1">IF(VLOOKUP($B229,'1. 현장별 인원현황'!$C:$J,4,0)=0,"",VLOOKUP($B229,'1. 현장별 인원현황'!$C:$J,4,0))</f>
        <v>50세</v>
      </c>
      <c r="F229" s="70" t="str">
        <f>IF(VLOOKUP($B229,'1. 현장별 인원현황'!$C:$J,7,0)=0,"",VLOOKUP($B229,'1. 현장별 인원현황'!$C:$J,7,0))</f>
        <v>기능공</v>
      </c>
      <c r="G229" s="72" t="str">
        <f>IF(VLOOKUP($B229,'1. 현장별 인원현황'!$C:$J,8,0)=0,"",VLOOKUP($B229,'1. 현장별 인원현황'!$C:$J,8,0))</f>
        <v>전공</v>
      </c>
      <c r="H229" s="67" t="s">
        <v>69</v>
      </c>
      <c r="I229" s="73"/>
      <c r="J229" s="73"/>
      <c r="K229" s="68"/>
      <c r="L229" s="67"/>
      <c r="M229" s="73" t="s">
        <v>69</v>
      </c>
      <c r="N229" s="73"/>
      <c r="O229" s="68"/>
      <c r="P229" s="67" t="s">
        <v>69</v>
      </c>
      <c r="Q229" s="73"/>
      <c r="R229" s="73"/>
      <c r="S229" s="68"/>
      <c r="T229" s="67"/>
      <c r="U229" s="73" t="s">
        <v>69</v>
      </c>
      <c r="V229" s="73"/>
      <c r="W229" s="68"/>
      <c r="X229" s="67"/>
      <c r="Y229" s="73" t="s">
        <v>69</v>
      </c>
      <c r="Z229" s="73"/>
      <c r="AA229" s="68"/>
      <c r="AB229" s="67" t="s">
        <v>69</v>
      </c>
      <c r="AC229" s="73"/>
      <c r="AD229" s="73"/>
      <c r="AE229" s="68"/>
      <c r="AF229" s="67"/>
      <c r="AG229" s="73" t="s">
        <v>69</v>
      </c>
      <c r="AH229" s="73"/>
      <c r="AI229" s="68"/>
      <c r="AJ229" s="67" t="s">
        <v>69</v>
      </c>
      <c r="AK229" s="73"/>
      <c r="AL229" s="73"/>
      <c r="AM229" s="68"/>
      <c r="AN229" s="67">
        <f t="shared" si="207"/>
        <v>85</v>
      </c>
      <c r="AO229" s="68" t="str">
        <f t="shared" si="208"/>
        <v>A</v>
      </c>
      <c r="AR229" s="49">
        <f t="shared" si="209"/>
        <v>1</v>
      </c>
      <c r="AS229" s="49">
        <f t="shared" si="210"/>
        <v>0</v>
      </c>
      <c r="AT229" s="49">
        <f t="shared" si="211"/>
        <v>0</v>
      </c>
      <c r="AU229" s="49">
        <f t="shared" si="212"/>
        <v>0</v>
      </c>
      <c r="AV229" s="49">
        <f t="shared" si="213"/>
        <v>0</v>
      </c>
      <c r="AW229" s="49">
        <f t="shared" si="214"/>
        <v>1</v>
      </c>
      <c r="AX229" s="49">
        <f t="shared" si="215"/>
        <v>0</v>
      </c>
      <c r="AY229" s="49">
        <f t="shared" si="216"/>
        <v>0</v>
      </c>
      <c r="AZ229" s="49">
        <f t="shared" si="217"/>
        <v>1</v>
      </c>
      <c r="BA229" s="49">
        <f t="shared" si="218"/>
        <v>0</v>
      </c>
      <c r="BB229" s="49">
        <f t="shared" si="219"/>
        <v>0</v>
      </c>
      <c r="BC229" s="49">
        <f t="shared" si="220"/>
        <v>0</v>
      </c>
      <c r="BD229" s="49">
        <f t="shared" si="221"/>
        <v>0</v>
      </c>
      <c r="BE229" s="49">
        <f t="shared" si="222"/>
        <v>1</v>
      </c>
      <c r="BF229" s="49">
        <f t="shared" si="223"/>
        <v>0</v>
      </c>
      <c r="BG229" s="49">
        <f t="shared" si="224"/>
        <v>0</v>
      </c>
      <c r="BH229" s="49">
        <f t="shared" si="225"/>
        <v>0</v>
      </c>
      <c r="BI229" s="49">
        <f t="shared" si="226"/>
        <v>1</v>
      </c>
      <c r="BJ229" s="49">
        <f t="shared" si="227"/>
        <v>0</v>
      </c>
      <c r="BK229" s="49">
        <f t="shared" si="228"/>
        <v>0</v>
      </c>
      <c r="BL229" s="49">
        <f t="shared" si="229"/>
        <v>1</v>
      </c>
      <c r="BM229" s="49">
        <f t="shared" si="230"/>
        <v>0</v>
      </c>
      <c r="BN229" s="49">
        <f t="shared" si="231"/>
        <v>0</v>
      </c>
      <c r="BO229" s="49">
        <f t="shared" si="232"/>
        <v>0</v>
      </c>
      <c r="BP229" s="49">
        <f t="shared" si="233"/>
        <v>0</v>
      </c>
      <c r="BQ229" s="49">
        <f t="shared" si="234"/>
        <v>1</v>
      </c>
      <c r="BR229" s="49">
        <f t="shared" si="235"/>
        <v>0</v>
      </c>
      <c r="BS229" s="49">
        <f t="shared" si="236"/>
        <v>0</v>
      </c>
      <c r="BT229" s="49">
        <f t="shared" si="237"/>
        <v>1</v>
      </c>
      <c r="BU229" s="49">
        <f t="shared" si="238"/>
        <v>0</v>
      </c>
      <c r="BV229" s="49">
        <f t="shared" si="239"/>
        <v>0</v>
      </c>
      <c r="BW229" s="49">
        <f t="shared" si="240"/>
        <v>0</v>
      </c>
    </row>
    <row r="230" spans="1:75" ht="35.1" customHeight="1" x14ac:dyDescent="0.3">
      <c r="A230" s="123" t="str">
        <f t="shared" si="205"/>
        <v>2팀</v>
      </c>
      <c r="B230" s="69">
        <f t="shared" si="206"/>
        <v>224</v>
      </c>
      <c r="C230" s="121" t="str">
        <f>IF(VLOOKUP($B230,'1. 현장별 인원현황'!$C:$J,2,0)=0,"",VLOOKUP($B230,'1. 현장별 인원현황'!$C:$J,2,0))</f>
        <v xml:space="preserve"> [2.신세계건설] 스타필드 청라 신축공사 전기공사</v>
      </c>
      <c r="D230" s="74" t="str">
        <f>IF(VLOOKUP($B230,'1. 현장별 인원현황'!$C:$J,3,0)=0,"",VLOOKUP($B230,'1. 현장별 인원현황'!$C:$J,3,0))</f>
        <v>강동길</v>
      </c>
      <c r="E230" s="74" t="str">
        <f ca="1">IF(VLOOKUP($B230,'1. 현장별 인원현황'!$C:$J,4,0)=0,"",VLOOKUP($B230,'1. 현장별 인원현황'!$C:$J,4,0))</f>
        <v>52세</v>
      </c>
      <c r="F230" s="70" t="str">
        <f>IF(VLOOKUP($B230,'1. 현장별 인원현황'!$C:$J,7,0)=0,"",VLOOKUP($B230,'1. 현장별 인원현황'!$C:$J,7,0))</f>
        <v>기능공</v>
      </c>
      <c r="G230" s="72" t="str">
        <f>IF(VLOOKUP($B230,'1. 현장별 인원현황'!$C:$J,8,0)=0,"",VLOOKUP($B230,'1. 현장별 인원현황'!$C:$J,8,0))</f>
        <v>전공</v>
      </c>
      <c r="H230" s="67" t="s">
        <v>69</v>
      </c>
      <c r="I230" s="73"/>
      <c r="J230" s="73"/>
      <c r="K230" s="68"/>
      <c r="L230" s="67"/>
      <c r="M230" s="73" t="s">
        <v>69</v>
      </c>
      <c r="N230" s="73"/>
      <c r="O230" s="68"/>
      <c r="P230" s="67" t="s">
        <v>69</v>
      </c>
      <c r="Q230" s="73"/>
      <c r="R230" s="73"/>
      <c r="S230" s="68"/>
      <c r="T230" s="67"/>
      <c r="U230" s="73" t="s">
        <v>69</v>
      </c>
      <c r="V230" s="73"/>
      <c r="W230" s="68"/>
      <c r="X230" s="67"/>
      <c r="Y230" s="73" t="s">
        <v>69</v>
      </c>
      <c r="Z230" s="73"/>
      <c r="AA230" s="68"/>
      <c r="AB230" s="67" t="s">
        <v>69</v>
      </c>
      <c r="AC230" s="73"/>
      <c r="AD230" s="73"/>
      <c r="AE230" s="68"/>
      <c r="AF230" s="67"/>
      <c r="AG230" s="73" t="s">
        <v>69</v>
      </c>
      <c r="AH230" s="73"/>
      <c r="AI230" s="68"/>
      <c r="AJ230" s="67" t="s">
        <v>69</v>
      </c>
      <c r="AK230" s="73"/>
      <c r="AL230" s="73"/>
      <c r="AM230" s="68"/>
      <c r="AN230" s="67">
        <f t="shared" si="207"/>
        <v>85</v>
      </c>
      <c r="AO230" s="68" t="str">
        <f t="shared" si="208"/>
        <v>A</v>
      </c>
      <c r="AR230" s="49">
        <f t="shared" si="209"/>
        <v>1</v>
      </c>
      <c r="AS230" s="49">
        <f t="shared" si="210"/>
        <v>0</v>
      </c>
      <c r="AT230" s="49">
        <f t="shared" si="211"/>
        <v>0</v>
      </c>
      <c r="AU230" s="49">
        <f t="shared" si="212"/>
        <v>0</v>
      </c>
      <c r="AV230" s="49">
        <f t="shared" si="213"/>
        <v>0</v>
      </c>
      <c r="AW230" s="49">
        <f t="shared" si="214"/>
        <v>1</v>
      </c>
      <c r="AX230" s="49">
        <f t="shared" si="215"/>
        <v>0</v>
      </c>
      <c r="AY230" s="49">
        <f t="shared" si="216"/>
        <v>0</v>
      </c>
      <c r="AZ230" s="49">
        <f t="shared" si="217"/>
        <v>1</v>
      </c>
      <c r="BA230" s="49">
        <f t="shared" si="218"/>
        <v>0</v>
      </c>
      <c r="BB230" s="49">
        <f t="shared" si="219"/>
        <v>0</v>
      </c>
      <c r="BC230" s="49">
        <f t="shared" si="220"/>
        <v>0</v>
      </c>
      <c r="BD230" s="49">
        <f t="shared" si="221"/>
        <v>0</v>
      </c>
      <c r="BE230" s="49">
        <f t="shared" si="222"/>
        <v>1</v>
      </c>
      <c r="BF230" s="49">
        <f t="shared" si="223"/>
        <v>0</v>
      </c>
      <c r="BG230" s="49">
        <f t="shared" si="224"/>
        <v>0</v>
      </c>
      <c r="BH230" s="49">
        <f t="shared" si="225"/>
        <v>0</v>
      </c>
      <c r="BI230" s="49">
        <f t="shared" si="226"/>
        <v>1</v>
      </c>
      <c r="BJ230" s="49">
        <f t="shared" si="227"/>
        <v>0</v>
      </c>
      <c r="BK230" s="49">
        <f t="shared" si="228"/>
        <v>0</v>
      </c>
      <c r="BL230" s="49">
        <f t="shared" si="229"/>
        <v>1</v>
      </c>
      <c r="BM230" s="49">
        <f t="shared" si="230"/>
        <v>0</v>
      </c>
      <c r="BN230" s="49">
        <f t="shared" si="231"/>
        <v>0</v>
      </c>
      <c r="BO230" s="49">
        <f t="shared" si="232"/>
        <v>0</v>
      </c>
      <c r="BP230" s="49">
        <f t="shared" si="233"/>
        <v>0</v>
      </c>
      <c r="BQ230" s="49">
        <f t="shared" si="234"/>
        <v>1</v>
      </c>
      <c r="BR230" s="49">
        <f t="shared" si="235"/>
        <v>0</v>
      </c>
      <c r="BS230" s="49">
        <f t="shared" si="236"/>
        <v>0</v>
      </c>
      <c r="BT230" s="49">
        <f t="shared" si="237"/>
        <v>1</v>
      </c>
      <c r="BU230" s="49">
        <f t="shared" si="238"/>
        <v>0</v>
      </c>
      <c r="BV230" s="49">
        <f t="shared" si="239"/>
        <v>0</v>
      </c>
      <c r="BW230" s="49">
        <f t="shared" si="240"/>
        <v>0</v>
      </c>
    </row>
    <row r="231" spans="1:75" ht="35.1" customHeight="1" x14ac:dyDescent="0.3">
      <c r="A231" s="123" t="str">
        <f t="shared" si="205"/>
        <v>2팀</v>
      </c>
      <c r="B231" s="69">
        <f t="shared" si="206"/>
        <v>225</v>
      </c>
      <c r="C231" s="121" t="str">
        <f>IF(VLOOKUP($B231,'1. 현장별 인원현황'!$C:$J,2,0)=0,"",VLOOKUP($B231,'1. 현장별 인원현황'!$C:$J,2,0))</f>
        <v xml:space="preserve"> [2.신세계건설] 스타필드 청라 신축공사 전기공사</v>
      </c>
      <c r="D231" s="74" t="str">
        <f>IF(VLOOKUP($B231,'1. 현장별 인원현황'!$C:$J,3,0)=0,"",VLOOKUP($B231,'1. 현장별 인원현황'!$C:$J,3,0))</f>
        <v>김태언</v>
      </c>
      <c r="E231" s="74" t="str">
        <f ca="1">IF(VLOOKUP($B231,'1. 현장별 인원현황'!$C:$J,4,0)=0,"",VLOOKUP($B231,'1. 현장별 인원현황'!$C:$J,4,0))</f>
        <v>58세</v>
      </c>
      <c r="F231" s="70" t="str">
        <f>IF(VLOOKUP($B231,'1. 현장별 인원현황'!$C:$J,7,0)=0,"",VLOOKUP($B231,'1. 현장별 인원현황'!$C:$J,7,0))</f>
        <v>기능공</v>
      </c>
      <c r="G231" s="72" t="str">
        <f>IF(VLOOKUP($B231,'1. 현장별 인원현황'!$C:$J,8,0)=0,"",VLOOKUP($B231,'1. 현장별 인원현황'!$C:$J,8,0))</f>
        <v>전공</v>
      </c>
      <c r="H231" s="67" t="s">
        <v>69</v>
      </c>
      <c r="I231" s="73"/>
      <c r="J231" s="73"/>
      <c r="K231" s="68"/>
      <c r="L231" s="67"/>
      <c r="M231" s="73" t="s">
        <v>69</v>
      </c>
      <c r="N231" s="73"/>
      <c r="O231" s="68"/>
      <c r="P231" s="67" t="s">
        <v>69</v>
      </c>
      <c r="Q231" s="73"/>
      <c r="R231" s="73"/>
      <c r="S231" s="68"/>
      <c r="T231" s="67"/>
      <c r="U231" s="73" t="s">
        <v>69</v>
      </c>
      <c r="V231" s="73"/>
      <c r="W231" s="68"/>
      <c r="X231" s="67"/>
      <c r="Y231" s="73" t="s">
        <v>69</v>
      </c>
      <c r="Z231" s="73"/>
      <c r="AA231" s="68"/>
      <c r="AB231" s="67" t="s">
        <v>69</v>
      </c>
      <c r="AC231" s="73"/>
      <c r="AD231" s="73"/>
      <c r="AE231" s="68"/>
      <c r="AF231" s="67"/>
      <c r="AG231" s="73" t="s">
        <v>69</v>
      </c>
      <c r="AH231" s="73"/>
      <c r="AI231" s="68"/>
      <c r="AJ231" s="67" t="s">
        <v>69</v>
      </c>
      <c r="AK231" s="73"/>
      <c r="AL231" s="73"/>
      <c r="AM231" s="68"/>
      <c r="AN231" s="67">
        <f t="shared" si="207"/>
        <v>85</v>
      </c>
      <c r="AO231" s="68" t="str">
        <f t="shared" si="208"/>
        <v>A</v>
      </c>
      <c r="AR231" s="49">
        <f t="shared" si="209"/>
        <v>1</v>
      </c>
      <c r="AS231" s="49">
        <f t="shared" si="210"/>
        <v>0</v>
      </c>
      <c r="AT231" s="49">
        <f t="shared" si="211"/>
        <v>0</v>
      </c>
      <c r="AU231" s="49">
        <f t="shared" si="212"/>
        <v>0</v>
      </c>
      <c r="AV231" s="49">
        <f t="shared" si="213"/>
        <v>0</v>
      </c>
      <c r="AW231" s="49">
        <f t="shared" si="214"/>
        <v>1</v>
      </c>
      <c r="AX231" s="49">
        <f t="shared" si="215"/>
        <v>0</v>
      </c>
      <c r="AY231" s="49">
        <f t="shared" si="216"/>
        <v>0</v>
      </c>
      <c r="AZ231" s="49">
        <f t="shared" si="217"/>
        <v>1</v>
      </c>
      <c r="BA231" s="49">
        <f t="shared" si="218"/>
        <v>0</v>
      </c>
      <c r="BB231" s="49">
        <f t="shared" si="219"/>
        <v>0</v>
      </c>
      <c r="BC231" s="49">
        <f t="shared" si="220"/>
        <v>0</v>
      </c>
      <c r="BD231" s="49">
        <f t="shared" si="221"/>
        <v>0</v>
      </c>
      <c r="BE231" s="49">
        <f t="shared" si="222"/>
        <v>1</v>
      </c>
      <c r="BF231" s="49">
        <f t="shared" si="223"/>
        <v>0</v>
      </c>
      <c r="BG231" s="49">
        <f t="shared" si="224"/>
        <v>0</v>
      </c>
      <c r="BH231" s="49">
        <f t="shared" si="225"/>
        <v>0</v>
      </c>
      <c r="BI231" s="49">
        <f t="shared" si="226"/>
        <v>1</v>
      </c>
      <c r="BJ231" s="49">
        <f t="shared" si="227"/>
        <v>0</v>
      </c>
      <c r="BK231" s="49">
        <f t="shared" si="228"/>
        <v>0</v>
      </c>
      <c r="BL231" s="49">
        <f t="shared" si="229"/>
        <v>1</v>
      </c>
      <c r="BM231" s="49">
        <f t="shared" si="230"/>
        <v>0</v>
      </c>
      <c r="BN231" s="49">
        <f t="shared" si="231"/>
        <v>0</v>
      </c>
      <c r="BO231" s="49">
        <f t="shared" si="232"/>
        <v>0</v>
      </c>
      <c r="BP231" s="49">
        <f t="shared" si="233"/>
        <v>0</v>
      </c>
      <c r="BQ231" s="49">
        <f t="shared" si="234"/>
        <v>1</v>
      </c>
      <c r="BR231" s="49">
        <f t="shared" si="235"/>
        <v>0</v>
      </c>
      <c r="BS231" s="49">
        <f t="shared" si="236"/>
        <v>0</v>
      </c>
      <c r="BT231" s="49">
        <f t="shared" si="237"/>
        <v>1</v>
      </c>
      <c r="BU231" s="49">
        <f t="shared" si="238"/>
        <v>0</v>
      </c>
      <c r="BV231" s="49">
        <f t="shared" si="239"/>
        <v>0</v>
      </c>
      <c r="BW231" s="49">
        <f t="shared" si="240"/>
        <v>0</v>
      </c>
    </row>
    <row r="232" spans="1:75" ht="35.1" customHeight="1" x14ac:dyDescent="0.3">
      <c r="A232" s="123" t="str">
        <f t="shared" si="205"/>
        <v>2팀</v>
      </c>
      <c r="B232" s="69">
        <f t="shared" si="206"/>
        <v>226</v>
      </c>
      <c r="C232" s="121" t="str">
        <f>IF(VLOOKUP($B232,'1. 현장별 인원현황'!$C:$J,2,0)=0,"",VLOOKUP($B232,'1. 현장별 인원현황'!$C:$J,2,0))</f>
        <v xml:space="preserve"> [2.신세계건설] 스타필드 청라 신축공사 전기공사</v>
      </c>
      <c r="D232" s="74" t="str">
        <f>IF(VLOOKUP($B232,'1. 현장별 인원현황'!$C:$J,3,0)=0,"",VLOOKUP($B232,'1. 현장별 인원현황'!$C:$J,3,0))</f>
        <v>성장현</v>
      </c>
      <c r="E232" s="74" t="str">
        <f ca="1">IF(VLOOKUP($B232,'1. 현장별 인원현황'!$C:$J,4,0)=0,"",VLOOKUP($B232,'1. 현장별 인원현황'!$C:$J,4,0))</f>
        <v>46세</v>
      </c>
      <c r="F232" s="70" t="str">
        <f>IF(VLOOKUP($B232,'1. 현장별 인원현황'!$C:$J,7,0)=0,"",VLOOKUP($B232,'1. 현장별 인원현황'!$C:$J,7,0))</f>
        <v>기능공</v>
      </c>
      <c r="G232" s="72" t="str">
        <f>IF(VLOOKUP($B232,'1. 현장별 인원현황'!$C:$J,8,0)=0,"",VLOOKUP($B232,'1. 현장별 인원현황'!$C:$J,8,0))</f>
        <v>전공</v>
      </c>
      <c r="H232" s="67" t="s">
        <v>69</v>
      </c>
      <c r="I232" s="73"/>
      <c r="J232" s="73"/>
      <c r="K232" s="68"/>
      <c r="L232" s="67"/>
      <c r="M232" s="73" t="s">
        <v>69</v>
      </c>
      <c r="N232" s="73"/>
      <c r="O232" s="68"/>
      <c r="P232" s="67" t="s">
        <v>69</v>
      </c>
      <c r="Q232" s="73"/>
      <c r="R232" s="73"/>
      <c r="S232" s="68"/>
      <c r="T232" s="67"/>
      <c r="U232" s="73" t="s">
        <v>69</v>
      </c>
      <c r="V232" s="73"/>
      <c r="W232" s="68"/>
      <c r="X232" s="67"/>
      <c r="Y232" s="73" t="s">
        <v>69</v>
      </c>
      <c r="Z232" s="73"/>
      <c r="AA232" s="68"/>
      <c r="AB232" s="67" t="s">
        <v>69</v>
      </c>
      <c r="AC232" s="73"/>
      <c r="AD232" s="73"/>
      <c r="AE232" s="68"/>
      <c r="AF232" s="67"/>
      <c r="AG232" s="73" t="s">
        <v>69</v>
      </c>
      <c r="AH232" s="73"/>
      <c r="AI232" s="68"/>
      <c r="AJ232" s="67" t="s">
        <v>69</v>
      </c>
      <c r="AK232" s="73"/>
      <c r="AL232" s="73"/>
      <c r="AM232" s="68"/>
      <c r="AN232" s="67">
        <f t="shared" si="207"/>
        <v>85</v>
      </c>
      <c r="AO232" s="68" t="str">
        <f t="shared" si="208"/>
        <v>A</v>
      </c>
      <c r="AR232" s="49">
        <f t="shared" si="209"/>
        <v>1</v>
      </c>
      <c r="AS232" s="49">
        <f t="shared" si="210"/>
        <v>0</v>
      </c>
      <c r="AT232" s="49">
        <f t="shared" si="211"/>
        <v>0</v>
      </c>
      <c r="AU232" s="49">
        <f t="shared" si="212"/>
        <v>0</v>
      </c>
      <c r="AV232" s="49">
        <f t="shared" si="213"/>
        <v>0</v>
      </c>
      <c r="AW232" s="49">
        <f t="shared" si="214"/>
        <v>1</v>
      </c>
      <c r="AX232" s="49">
        <f t="shared" si="215"/>
        <v>0</v>
      </c>
      <c r="AY232" s="49">
        <f t="shared" si="216"/>
        <v>0</v>
      </c>
      <c r="AZ232" s="49">
        <f t="shared" si="217"/>
        <v>1</v>
      </c>
      <c r="BA232" s="49">
        <f t="shared" si="218"/>
        <v>0</v>
      </c>
      <c r="BB232" s="49">
        <f t="shared" si="219"/>
        <v>0</v>
      </c>
      <c r="BC232" s="49">
        <f t="shared" si="220"/>
        <v>0</v>
      </c>
      <c r="BD232" s="49">
        <f t="shared" si="221"/>
        <v>0</v>
      </c>
      <c r="BE232" s="49">
        <f t="shared" si="222"/>
        <v>1</v>
      </c>
      <c r="BF232" s="49">
        <f t="shared" si="223"/>
        <v>0</v>
      </c>
      <c r="BG232" s="49">
        <f t="shared" si="224"/>
        <v>0</v>
      </c>
      <c r="BH232" s="49">
        <f t="shared" si="225"/>
        <v>0</v>
      </c>
      <c r="BI232" s="49">
        <f t="shared" si="226"/>
        <v>1</v>
      </c>
      <c r="BJ232" s="49">
        <f t="shared" si="227"/>
        <v>0</v>
      </c>
      <c r="BK232" s="49">
        <f t="shared" si="228"/>
        <v>0</v>
      </c>
      <c r="BL232" s="49">
        <f t="shared" si="229"/>
        <v>1</v>
      </c>
      <c r="BM232" s="49">
        <f t="shared" si="230"/>
        <v>0</v>
      </c>
      <c r="BN232" s="49">
        <f t="shared" si="231"/>
        <v>0</v>
      </c>
      <c r="BO232" s="49">
        <f t="shared" si="232"/>
        <v>0</v>
      </c>
      <c r="BP232" s="49">
        <f t="shared" si="233"/>
        <v>0</v>
      </c>
      <c r="BQ232" s="49">
        <f t="shared" si="234"/>
        <v>1</v>
      </c>
      <c r="BR232" s="49">
        <f t="shared" si="235"/>
        <v>0</v>
      </c>
      <c r="BS232" s="49">
        <f t="shared" si="236"/>
        <v>0</v>
      </c>
      <c r="BT232" s="49">
        <f t="shared" si="237"/>
        <v>1</v>
      </c>
      <c r="BU232" s="49">
        <f t="shared" si="238"/>
        <v>0</v>
      </c>
      <c r="BV232" s="49">
        <f t="shared" si="239"/>
        <v>0</v>
      </c>
      <c r="BW232" s="49">
        <f t="shared" si="240"/>
        <v>0</v>
      </c>
    </row>
    <row r="233" spans="1:75" ht="35.1" customHeight="1" x14ac:dyDescent="0.3">
      <c r="A233" s="123" t="str">
        <f t="shared" si="205"/>
        <v>2팀</v>
      </c>
      <c r="B233" s="69">
        <f t="shared" si="206"/>
        <v>227</v>
      </c>
      <c r="C233" s="121" t="str">
        <f>IF(VLOOKUP($B233,'1. 현장별 인원현황'!$C:$J,2,0)=0,"",VLOOKUP($B233,'1. 현장별 인원현황'!$C:$J,2,0))</f>
        <v xml:space="preserve"> [2.신세계건설] 스타필드 청라 신축공사 전기공사</v>
      </c>
      <c r="D233" s="74" t="str">
        <f>IF(VLOOKUP($B233,'1. 현장별 인원현황'!$C:$J,3,0)=0,"",VLOOKUP($B233,'1. 현장별 인원현황'!$C:$J,3,0))</f>
        <v>성용현</v>
      </c>
      <c r="E233" s="74" t="str">
        <f ca="1">IF(VLOOKUP($B233,'1. 현장별 인원현황'!$C:$J,4,0)=0,"",VLOOKUP($B233,'1. 현장별 인원현황'!$C:$J,4,0))</f>
        <v>49세</v>
      </c>
      <c r="F233" s="70" t="str">
        <f>IF(VLOOKUP($B233,'1. 현장별 인원현황'!$C:$J,7,0)=0,"",VLOOKUP($B233,'1. 현장별 인원현황'!$C:$J,7,0))</f>
        <v>기능공</v>
      </c>
      <c r="G233" s="72" t="str">
        <f>IF(VLOOKUP($B233,'1. 현장별 인원현황'!$C:$J,8,0)=0,"",VLOOKUP($B233,'1. 현장별 인원현황'!$C:$J,8,0))</f>
        <v>전공</v>
      </c>
      <c r="H233" s="67" t="s">
        <v>69</v>
      </c>
      <c r="I233" s="73"/>
      <c r="J233" s="73"/>
      <c r="K233" s="68"/>
      <c r="L233" s="67"/>
      <c r="M233" s="73" t="s">
        <v>69</v>
      </c>
      <c r="N233" s="73"/>
      <c r="O233" s="68"/>
      <c r="P233" s="67" t="s">
        <v>69</v>
      </c>
      <c r="Q233" s="73"/>
      <c r="R233" s="73"/>
      <c r="S233" s="68"/>
      <c r="T233" s="67"/>
      <c r="U233" s="73" t="s">
        <v>69</v>
      </c>
      <c r="V233" s="73"/>
      <c r="W233" s="68"/>
      <c r="X233" s="67"/>
      <c r="Y233" s="73" t="s">
        <v>69</v>
      </c>
      <c r="Z233" s="73"/>
      <c r="AA233" s="68"/>
      <c r="AB233" s="67" t="s">
        <v>69</v>
      </c>
      <c r="AC233" s="73"/>
      <c r="AD233" s="73"/>
      <c r="AE233" s="68"/>
      <c r="AF233" s="67"/>
      <c r="AG233" s="73" t="s">
        <v>69</v>
      </c>
      <c r="AH233" s="73"/>
      <c r="AI233" s="68"/>
      <c r="AJ233" s="67" t="s">
        <v>69</v>
      </c>
      <c r="AK233" s="73"/>
      <c r="AL233" s="73"/>
      <c r="AM233" s="68"/>
      <c r="AN233" s="67">
        <f t="shared" si="207"/>
        <v>85</v>
      </c>
      <c r="AO233" s="68" t="str">
        <f t="shared" si="208"/>
        <v>A</v>
      </c>
      <c r="AR233" s="49">
        <f t="shared" si="209"/>
        <v>1</v>
      </c>
      <c r="AS233" s="49">
        <f t="shared" si="210"/>
        <v>0</v>
      </c>
      <c r="AT233" s="49">
        <f t="shared" si="211"/>
        <v>0</v>
      </c>
      <c r="AU233" s="49">
        <f t="shared" si="212"/>
        <v>0</v>
      </c>
      <c r="AV233" s="49">
        <f t="shared" si="213"/>
        <v>0</v>
      </c>
      <c r="AW233" s="49">
        <f t="shared" si="214"/>
        <v>1</v>
      </c>
      <c r="AX233" s="49">
        <f t="shared" si="215"/>
        <v>0</v>
      </c>
      <c r="AY233" s="49">
        <f t="shared" si="216"/>
        <v>0</v>
      </c>
      <c r="AZ233" s="49">
        <f t="shared" si="217"/>
        <v>1</v>
      </c>
      <c r="BA233" s="49">
        <f t="shared" si="218"/>
        <v>0</v>
      </c>
      <c r="BB233" s="49">
        <f t="shared" si="219"/>
        <v>0</v>
      </c>
      <c r="BC233" s="49">
        <f t="shared" si="220"/>
        <v>0</v>
      </c>
      <c r="BD233" s="49">
        <f t="shared" si="221"/>
        <v>0</v>
      </c>
      <c r="BE233" s="49">
        <f t="shared" si="222"/>
        <v>1</v>
      </c>
      <c r="BF233" s="49">
        <f t="shared" si="223"/>
        <v>0</v>
      </c>
      <c r="BG233" s="49">
        <f t="shared" si="224"/>
        <v>0</v>
      </c>
      <c r="BH233" s="49">
        <f t="shared" si="225"/>
        <v>0</v>
      </c>
      <c r="BI233" s="49">
        <f t="shared" si="226"/>
        <v>1</v>
      </c>
      <c r="BJ233" s="49">
        <f t="shared" si="227"/>
        <v>0</v>
      </c>
      <c r="BK233" s="49">
        <f t="shared" si="228"/>
        <v>0</v>
      </c>
      <c r="BL233" s="49">
        <f t="shared" si="229"/>
        <v>1</v>
      </c>
      <c r="BM233" s="49">
        <f t="shared" si="230"/>
        <v>0</v>
      </c>
      <c r="BN233" s="49">
        <f t="shared" si="231"/>
        <v>0</v>
      </c>
      <c r="BO233" s="49">
        <f t="shared" si="232"/>
        <v>0</v>
      </c>
      <c r="BP233" s="49">
        <f t="shared" si="233"/>
        <v>0</v>
      </c>
      <c r="BQ233" s="49">
        <f t="shared" si="234"/>
        <v>1</v>
      </c>
      <c r="BR233" s="49">
        <f t="shared" si="235"/>
        <v>0</v>
      </c>
      <c r="BS233" s="49">
        <f t="shared" si="236"/>
        <v>0</v>
      </c>
      <c r="BT233" s="49">
        <f t="shared" si="237"/>
        <v>1</v>
      </c>
      <c r="BU233" s="49">
        <f t="shared" si="238"/>
        <v>0</v>
      </c>
      <c r="BV233" s="49">
        <f t="shared" si="239"/>
        <v>0</v>
      </c>
      <c r="BW233" s="49">
        <f t="shared" si="240"/>
        <v>0</v>
      </c>
    </row>
    <row r="234" spans="1:75" ht="35.1" customHeight="1" x14ac:dyDescent="0.3">
      <c r="A234" s="123" t="str">
        <f t="shared" si="205"/>
        <v>2팀</v>
      </c>
      <c r="B234" s="69">
        <f t="shared" si="206"/>
        <v>228</v>
      </c>
      <c r="C234" s="121" t="str">
        <f>IF(VLOOKUP($B234,'1. 현장별 인원현황'!$C:$J,2,0)=0,"",VLOOKUP($B234,'1. 현장별 인원현황'!$C:$J,2,0))</f>
        <v xml:space="preserve"> [2.신세계건설] 양주 옥정 물류센터 신축공사</v>
      </c>
      <c r="D234" s="74" t="str">
        <f>IF(VLOOKUP($B234,'1. 현장별 인원현황'!$C:$J,3,0)=0,"",VLOOKUP($B234,'1. 현장별 인원현황'!$C:$J,3,0))</f>
        <v>문지용</v>
      </c>
      <c r="E234" s="74" t="str">
        <f ca="1">IF(VLOOKUP($B234,'1. 현장별 인원현황'!$C:$J,4,0)=0,"",VLOOKUP($B234,'1. 현장별 인원현황'!$C:$J,4,0))</f>
        <v>44세</v>
      </c>
      <c r="F234" s="70" t="str">
        <f>IF(VLOOKUP($B234,'1. 현장별 인원현황'!$C:$J,7,0)=0,"",VLOOKUP($B234,'1. 현장별 인원현황'!$C:$J,7,0))</f>
        <v>공무</v>
      </c>
      <c r="G234" s="72" t="str">
        <f>IF(VLOOKUP($B234,'1. 현장별 인원현황'!$C:$J,8,0)=0,"",VLOOKUP($B234,'1. 현장별 인원현황'!$C:$J,8,0))</f>
        <v>차장</v>
      </c>
      <c r="H234" s="67" t="s">
        <v>69</v>
      </c>
      <c r="I234" s="73"/>
      <c r="J234" s="73"/>
      <c r="K234" s="68"/>
      <c r="L234" s="67" t="s">
        <v>69</v>
      </c>
      <c r="M234" s="73"/>
      <c r="N234" s="73"/>
      <c r="O234" s="68"/>
      <c r="P234" s="67" t="s">
        <v>69</v>
      </c>
      <c r="Q234" s="73"/>
      <c r="R234" s="73"/>
      <c r="S234" s="68"/>
      <c r="T234" s="67" t="s">
        <v>69</v>
      </c>
      <c r="U234" s="73"/>
      <c r="V234" s="73"/>
      <c r="W234" s="68"/>
      <c r="X234" s="67" t="s">
        <v>69</v>
      </c>
      <c r="Y234" s="73"/>
      <c r="Z234" s="73"/>
      <c r="AA234" s="68"/>
      <c r="AB234" s="67" t="s">
        <v>69</v>
      </c>
      <c r="AC234" s="73"/>
      <c r="AD234" s="73"/>
      <c r="AE234" s="68"/>
      <c r="AF234" s="67" t="s">
        <v>69</v>
      </c>
      <c r="AG234" s="73"/>
      <c r="AH234" s="73"/>
      <c r="AI234" s="68"/>
      <c r="AJ234" s="67" t="s">
        <v>69</v>
      </c>
      <c r="AK234" s="73"/>
      <c r="AL234" s="73"/>
      <c r="AM234" s="68"/>
      <c r="AN234" s="67">
        <f t="shared" si="207"/>
        <v>100</v>
      </c>
      <c r="AO234" s="68" t="str">
        <f t="shared" si="208"/>
        <v>S</v>
      </c>
      <c r="AR234" s="49">
        <f t="shared" si="209"/>
        <v>1</v>
      </c>
      <c r="AS234" s="49">
        <f t="shared" si="210"/>
        <v>0</v>
      </c>
      <c r="AT234" s="49">
        <f t="shared" si="211"/>
        <v>0</v>
      </c>
      <c r="AU234" s="49">
        <f t="shared" si="212"/>
        <v>0</v>
      </c>
      <c r="AV234" s="49">
        <f t="shared" si="213"/>
        <v>1</v>
      </c>
      <c r="AW234" s="49">
        <f t="shared" si="214"/>
        <v>0</v>
      </c>
      <c r="AX234" s="49">
        <f t="shared" si="215"/>
        <v>0</v>
      </c>
      <c r="AY234" s="49">
        <f t="shared" si="216"/>
        <v>0</v>
      </c>
      <c r="AZ234" s="49">
        <f t="shared" si="217"/>
        <v>1</v>
      </c>
      <c r="BA234" s="49">
        <f t="shared" si="218"/>
        <v>0</v>
      </c>
      <c r="BB234" s="49">
        <f t="shared" si="219"/>
        <v>0</v>
      </c>
      <c r="BC234" s="49">
        <f t="shared" si="220"/>
        <v>0</v>
      </c>
      <c r="BD234" s="49">
        <f t="shared" si="221"/>
        <v>1</v>
      </c>
      <c r="BE234" s="49">
        <f t="shared" si="222"/>
        <v>0</v>
      </c>
      <c r="BF234" s="49">
        <f t="shared" si="223"/>
        <v>0</v>
      </c>
      <c r="BG234" s="49">
        <f t="shared" si="224"/>
        <v>0</v>
      </c>
      <c r="BH234" s="49">
        <f t="shared" si="225"/>
        <v>1</v>
      </c>
      <c r="BI234" s="49">
        <f t="shared" si="226"/>
        <v>0</v>
      </c>
      <c r="BJ234" s="49">
        <f t="shared" si="227"/>
        <v>0</v>
      </c>
      <c r="BK234" s="49">
        <f t="shared" si="228"/>
        <v>0</v>
      </c>
      <c r="BL234" s="49">
        <f t="shared" si="229"/>
        <v>1</v>
      </c>
      <c r="BM234" s="49">
        <f t="shared" si="230"/>
        <v>0</v>
      </c>
      <c r="BN234" s="49">
        <f t="shared" si="231"/>
        <v>0</v>
      </c>
      <c r="BO234" s="49">
        <f t="shared" si="232"/>
        <v>0</v>
      </c>
      <c r="BP234" s="49">
        <f t="shared" si="233"/>
        <v>1</v>
      </c>
      <c r="BQ234" s="49">
        <f t="shared" si="234"/>
        <v>0</v>
      </c>
      <c r="BR234" s="49">
        <f t="shared" si="235"/>
        <v>0</v>
      </c>
      <c r="BS234" s="49">
        <f t="shared" si="236"/>
        <v>0</v>
      </c>
      <c r="BT234" s="49">
        <f t="shared" si="237"/>
        <v>1</v>
      </c>
      <c r="BU234" s="49">
        <f t="shared" si="238"/>
        <v>0</v>
      </c>
      <c r="BV234" s="49">
        <f t="shared" si="239"/>
        <v>0</v>
      </c>
      <c r="BW234" s="49">
        <f t="shared" si="240"/>
        <v>0</v>
      </c>
    </row>
    <row r="235" spans="1:75" ht="35.1" customHeight="1" x14ac:dyDescent="0.3">
      <c r="A235" s="123" t="str">
        <f t="shared" si="205"/>
        <v>2팀</v>
      </c>
      <c r="B235" s="69">
        <f t="shared" si="206"/>
        <v>229</v>
      </c>
      <c r="C235" s="121" t="str">
        <f>IF(VLOOKUP($B235,'1. 현장별 인원현황'!$C:$J,2,0)=0,"",VLOOKUP($B235,'1. 현장별 인원현황'!$C:$J,2,0))</f>
        <v xml:space="preserve"> [2.신세계건설] 양주 옥정 물류센터 신축공사</v>
      </c>
      <c r="D235" s="74" t="str">
        <f>IF(VLOOKUP($B235,'1. 현장별 인원현황'!$C:$J,3,0)=0,"",VLOOKUP($B235,'1. 현장별 인원현황'!$C:$J,3,0))</f>
        <v>최명남</v>
      </c>
      <c r="E235" s="74" t="str">
        <f ca="1">IF(VLOOKUP($B235,'1. 현장별 인원현황'!$C:$J,4,0)=0,"",VLOOKUP($B235,'1. 현장별 인원현황'!$C:$J,4,0))</f>
        <v>34세</v>
      </c>
      <c r="F235" s="70" t="str">
        <f>IF(VLOOKUP($B235,'1. 현장별 인원현황'!$C:$J,7,0)=0,"",VLOOKUP($B235,'1. 현장별 인원현황'!$C:$J,7,0))</f>
        <v>공무</v>
      </c>
      <c r="G235" s="72" t="str">
        <f>IF(VLOOKUP($B235,'1. 현장별 인원현황'!$C:$J,8,0)=0,"",VLOOKUP($B235,'1. 현장별 인원현황'!$C:$J,8,0))</f>
        <v>대리</v>
      </c>
      <c r="H235" s="67" t="s">
        <v>69</v>
      </c>
      <c r="I235" s="73"/>
      <c r="J235" s="73"/>
      <c r="K235" s="68"/>
      <c r="L235" s="67" t="s">
        <v>69</v>
      </c>
      <c r="M235" s="73"/>
      <c r="N235" s="73"/>
      <c r="O235" s="68"/>
      <c r="P235" s="67" t="s">
        <v>69</v>
      </c>
      <c r="Q235" s="73"/>
      <c r="R235" s="73"/>
      <c r="S235" s="68"/>
      <c r="T235" s="67" t="s">
        <v>69</v>
      </c>
      <c r="U235" s="73"/>
      <c r="V235" s="73"/>
      <c r="W235" s="68"/>
      <c r="X235" s="67" t="s">
        <v>69</v>
      </c>
      <c r="Y235" s="73"/>
      <c r="Z235" s="73"/>
      <c r="AA235" s="68"/>
      <c r="AB235" s="67" t="s">
        <v>69</v>
      </c>
      <c r="AC235" s="73"/>
      <c r="AD235" s="73"/>
      <c r="AE235" s="68"/>
      <c r="AF235" s="67" t="s">
        <v>69</v>
      </c>
      <c r="AG235" s="73"/>
      <c r="AH235" s="73"/>
      <c r="AI235" s="68"/>
      <c r="AJ235" s="67" t="s">
        <v>69</v>
      </c>
      <c r="AK235" s="73"/>
      <c r="AL235" s="73"/>
      <c r="AM235" s="68"/>
      <c r="AN235" s="67">
        <f t="shared" si="207"/>
        <v>100</v>
      </c>
      <c r="AO235" s="68" t="str">
        <f t="shared" si="208"/>
        <v>S</v>
      </c>
      <c r="AR235" s="49">
        <f t="shared" si="209"/>
        <v>1</v>
      </c>
      <c r="AS235" s="49">
        <f t="shared" si="210"/>
        <v>0</v>
      </c>
      <c r="AT235" s="49">
        <f t="shared" si="211"/>
        <v>0</v>
      </c>
      <c r="AU235" s="49">
        <f t="shared" si="212"/>
        <v>0</v>
      </c>
      <c r="AV235" s="49">
        <f t="shared" si="213"/>
        <v>1</v>
      </c>
      <c r="AW235" s="49">
        <f t="shared" si="214"/>
        <v>0</v>
      </c>
      <c r="AX235" s="49">
        <f t="shared" si="215"/>
        <v>0</v>
      </c>
      <c r="AY235" s="49">
        <f t="shared" si="216"/>
        <v>0</v>
      </c>
      <c r="AZ235" s="49">
        <f t="shared" si="217"/>
        <v>1</v>
      </c>
      <c r="BA235" s="49">
        <f t="shared" si="218"/>
        <v>0</v>
      </c>
      <c r="BB235" s="49">
        <f t="shared" si="219"/>
        <v>0</v>
      </c>
      <c r="BC235" s="49">
        <f t="shared" si="220"/>
        <v>0</v>
      </c>
      <c r="BD235" s="49">
        <f t="shared" si="221"/>
        <v>1</v>
      </c>
      <c r="BE235" s="49">
        <f t="shared" si="222"/>
        <v>0</v>
      </c>
      <c r="BF235" s="49">
        <f t="shared" si="223"/>
        <v>0</v>
      </c>
      <c r="BG235" s="49">
        <f t="shared" si="224"/>
        <v>0</v>
      </c>
      <c r="BH235" s="49">
        <f t="shared" si="225"/>
        <v>1</v>
      </c>
      <c r="BI235" s="49">
        <f t="shared" si="226"/>
        <v>0</v>
      </c>
      <c r="BJ235" s="49">
        <f t="shared" si="227"/>
        <v>0</v>
      </c>
      <c r="BK235" s="49">
        <f t="shared" si="228"/>
        <v>0</v>
      </c>
      <c r="BL235" s="49">
        <f t="shared" si="229"/>
        <v>1</v>
      </c>
      <c r="BM235" s="49">
        <f t="shared" si="230"/>
        <v>0</v>
      </c>
      <c r="BN235" s="49">
        <f t="shared" si="231"/>
        <v>0</v>
      </c>
      <c r="BO235" s="49">
        <f t="shared" si="232"/>
        <v>0</v>
      </c>
      <c r="BP235" s="49">
        <f t="shared" si="233"/>
        <v>1</v>
      </c>
      <c r="BQ235" s="49">
        <f t="shared" si="234"/>
        <v>0</v>
      </c>
      <c r="BR235" s="49">
        <f t="shared" si="235"/>
        <v>0</v>
      </c>
      <c r="BS235" s="49">
        <f t="shared" si="236"/>
        <v>0</v>
      </c>
      <c r="BT235" s="49">
        <f t="shared" si="237"/>
        <v>1</v>
      </c>
      <c r="BU235" s="49">
        <f t="shared" si="238"/>
        <v>0</v>
      </c>
      <c r="BV235" s="49">
        <f t="shared" si="239"/>
        <v>0</v>
      </c>
      <c r="BW235" s="49">
        <f t="shared" si="240"/>
        <v>0</v>
      </c>
    </row>
    <row r="236" spans="1:75" ht="35.1" customHeight="1" x14ac:dyDescent="0.3">
      <c r="A236" s="123" t="str">
        <f t="shared" si="205"/>
        <v>2팀</v>
      </c>
      <c r="B236" s="69">
        <f t="shared" si="206"/>
        <v>230</v>
      </c>
      <c r="C236" s="121" t="str">
        <f>IF(VLOOKUP($B236,'1. 현장별 인원현황'!$C:$J,2,0)=0,"",VLOOKUP($B236,'1. 현장별 인원현황'!$C:$J,2,0))</f>
        <v xml:space="preserve"> [2.신세계건설] 양주 옥정 물류센터 신축공사</v>
      </c>
      <c r="D236" s="74" t="str">
        <f>IF(VLOOKUP($B236,'1. 현장별 인원현황'!$C:$J,3,0)=0,"",VLOOKUP($B236,'1. 현장별 인원현황'!$C:$J,3,0))</f>
        <v>심봉학</v>
      </c>
      <c r="E236" s="74" t="str">
        <f ca="1">IF(VLOOKUP($B236,'1. 현장별 인원현황'!$C:$J,4,0)=0,"",VLOOKUP($B236,'1. 현장별 인원현황'!$C:$J,4,0))</f>
        <v>57세</v>
      </c>
      <c r="F236" s="70" t="str">
        <f>IF(VLOOKUP($B236,'1. 현장별 인원현황'!$C:$J,7,0)=0,"",VLOOKUP($B236,'1. 현장별 인원현황'!$C:$J,7,0))</f>
        <v>공사</v>
      </c>
      <c r="G236" s="72" t="str">
        <f>IF(VLOOKUP($B236,'1. 현장별 인원현황'!$C:$J,8,0)=0,"",VLOOKUP($B236,'1. 현장별 인원현황'!$C:$J,8,0))</f>
        <v>차장</v>
      </c>
      <c r="H236" s="67" t="s">
        <v>69</v>
      </c>
      <c r="I236" s="73"/>
      <c r="J236" s="73"/>
      <c r="K236" s="68"/>
      <c r="L236" s="67" t="s">
        <v>69</v>
      </c>
      <c r="M236" s="73"/>
      <c r="N236" s="73"/>
      <c r="O236" s="68"/>
      <c r="P236" s="67" t="s">
        <v>69</v>
      </c>
      <c r="Q236" s="73"/>
      <c r="R236" s="73"/>
      <c r="S236" s="68"/>
      <c r="T236" s="67" t="s">
        <v>69</v>
      </c>
      <c r="U236" s="73"/>
      <c r="V236" s="73"/>
      <c r="W236" s="68"/>
      <c r="X236" s="67" t="s">
        <v>69</v>
      </c>
      <c r="Y236" s="73"/>
      <c r="Z236" s="73"/>
      <c r="AA236" s="68"/>
      <c r="AB236" s="67" t="s">
        <v>69</v>
      </c>
      <c r="AC236" s="73"/>
      <c r="AD236" s="73"/>
      <c r="AE236" s="68"/>
      <c r="AF236" s="67" t="s">
        <v>69</v>
      </c>
      <c r="AG236" s="73"/>
      <c r="AH236" s="73"/>
      <c r="AI236" s="68"/>
      <c r="AJ236" s="67" t="s">
        <v>69</v>
      </c>
      <c r="AK236" s="73"/>
      <c r="AL236" s="73"/>
      <c r="AM236" s="68"/>
      <c r="AN236" s="67">
        <f t="shared" si="207"/>
        <v>100</v>
      </c>
      <c r="AO236" s="68" t="str">
        <f t="shared" si="208"/>
        <v>S</v>
      </c>
      <c r="AR236" s="49">
        <f t="shared" si="209"/>
        <v>1</v>
      </c>
      <c r="AS236" s="49">
        <f t="shared" si="210"/>
        <v>0</v>
      </c>
      <c r="AT236" s="49">
        <f t="shared" si="211"/>
        <v>0</v>
      </c>
      <c r="AU236" s="49">
        <f t="shared" si="212"/>
        <v>0</v>
      </c>
      <c r="AV236" s="49">
        <f t="shared" si="213"/>
        <v>1</v>
      </c>
      <c r="AW236" s="49">
        <f t="shared" si="214"/>
        <v>0</v>
      </c>
      <c r="AX236" s="49">
        <f t="shared" si="215"/>
        <v>0</v>
      </c>
      <c r="AY236" s="49">
        <f t="shared" si="216"/>
        <v>0</v>
      </c>
      <c r="AZ236" s="49">
        <f t="shared" si="217"/>
        <v>1</v>
      </c>
      <c r="BA236" s="49">
        <f t="shared" si="218"/>
        <v>0</v>
      </c>
      <c r="BB236" s="49">
        <f t="shared" si="219"/>
        <v>0</v>
      </c>
      <c r="BC236" s="49">
        <f t="shared" si="220"/>
        <v>0</v>
      </c>
      <c r="BD236" s="49">
        <f t="shared" si="221"/>
        <v>1</v>
      </c>
      <c r="BE236" s="49">
        <f t="shared" si="222"/>
        <v>0</v>
      </c>
      <c r="BF236" s="49">
        <f t="shared" si="223"/>
        <v>0</v>
      </c>
      <c r="BG236" s="49">
        <f t="shared" si="224"/>
        <v>0</v>
      </c>
      <c r="BH236" s="49">
        <f t="shared" si="225"/>
        <v>1</v>
      </c>
      <c r="BI236" s="49">
        <f t="shared" si="226"/>
        <v>0</v>
      </c>
      <c r="BJ236" s="49">
        <f t="shared" si="227"/>
        <v>0</v>
      </c>
      <c r="BK236" s="49">
        <f t="shared" si="228"/>
        <v>0</v>
      </c>
      <c r="BL236" s="49">
        <f t="shared" si="229"/>
        <v>1</v>
      </c>
      <c r="BM236" s="49">
        <f t="shared" si="230"/>
        <v>0</v>
      </c>
      <c r="BN236" s="49">
        <f t="shared" si="231"/>
        <v>0</v>
      </c>
      <c r="BO236" s="49">
        <f t="shared" si="232"/>
        <v>0</v>
      </c>
      <c r="BP236" s="49">
        <f t="shared" si="233"/>
        <v>1</v>
      </c>
      <c r="BQ236" s="49">
        <f t="shared" si="234"/>
        <v>0</v>
      </c>
      <c r="BR236" s="49">
        <f t="shared" si="235"/>
        <v>0</v>
      </c>
      <c r="BS236" s="49">
        <f t="shared" si="236"/>
        <v>0</v>
      </c>
      <c r="BT236" s="49">
        <f t="shared" si="237"/>
        <v>1</v>
      </c>
      <c r="BU236" s="49">
        <f t="shared" si="238"/>
        <v>0</v>
      </c>
      <c r="BV236" s="49">
        <f t="shared" si="239"/>
        <v>0</v>
      </c>
      <c r="BW236" s="49">
        <f t="shared" si="240"/>
        <v>0</v>
      </c>
    </row>
    <row r="237" spans="1:75" ht="35.1" customHeight="1" x14ac:dyDescent="0.3">
      <c r="A237" s="123" t="str">
        <f t="shared" si="205"/>
        <v>2팀</v>
      </c>
      <c r="B237" s="69">
        <f t="shared" si="206"/>
        <v>231</v>
      </c>
      <c r="C237" s="121" t="str">
        <f>IF(VLOOKUP($B237,'1. 현장별 인원현황'!$C:$J,2,0)=0,"",VLOOKUP($B237,'1. 현장별 인원현황'!$C:$J,2,0))</f>
        <v xml:space="preserve"> [2.신세계건설] 양주 옥정 물류센터 신축공사</v>
      </c>
      <c r="D237" s="74" t="str">
        <f>IF(VLOOKUP($B237,'1. 현장별 인원현황'!$C:$J,3,0)=0,"",VLOOKUP($B237,'1. 현장별 인원현황'!$C:$J,3,0))</f>
        <v>김순창</v>
      </c>
      <c r="E237" s="74" t="str">
        <f ca="1">IF(VLOOKUP($B237,'1. 현장별 인원현황'!$C:$J,4,0)=0,"",VLOOKUP($B237,'1. 현장별 인원현황'!$C:$J,4,0))</f>
        <v>42세</v>
      </c>
      <c r="F237" s="70" t="str">
        <f>IF(VLOOKUP($B237,'1. 현장별 인원현황'!$C:$J,7,0)=0,"",VLOOKUP($B237,'1. 현장별 인원현황'!$C:$J,7,0))</f>
        <v>기능공</v>
      </c>
      <c r="G237" s="72" t="str">
        <f>IF(VLOOKUP($B237,'1. 현장별 인원현황'!$C:$J,8,0)=0,"",VLOOKUP($B237,'1. 현장별 인원현황'!$C:$J,8,0))</f>
        <v>전공</v>
      </c>
      <c r="H237" s="67" t="s">
        <v>69</v>
      </c>
      <c r="I237" s="73"/>
      <c r="J237" s="73"/>
      <c r="K237" s="68"/>
      <c r="L237" s="67" t="s">
        <v>69</v>
      </c>
      <c r="M237" s="73"/>
      <c r="N237" s="73"/>
      <c r="O237" s="68"/>
      <c r="P237" s="67" t="s">
        <v>69</v>
      </c>
      <c r="Q237" s="73"/>
      <c r="R237" s="73"/>
      <c r="S237" s="68"/>
      <c r="T237" s="67" t="s">
        <v>69</v>
      </c>
      <c r="U237" s="73"/>
      <c r="V237" s="73"/>
      <c r="W237" s="68"/>
      <c r="X237" s="67" t="s">
        <v>69</v>
      </c>
      <c r="Y237" s="73"/>
      <c r="Z237" s="73"/>
      <c r="AA237" s="68"/>
      <c r="AB237" s="67" t="s">
        <v>69</v>
      </c>
      <c r="AC237" s="73"/>
      <c r="AD237" s="73"/>
      <c r="AE237" s="68"/>
      <c r="AF237" s="67" t="s">
        <v>69</v>
      </c>
      <c r="AG237" s="73"/>
      <c r="AH237" s="73"/>
      <c r="AI237" s="68"/>
      <c r="AJ237" s="67" t="s">
        <v>69</v>
      </c>
      <c r="AK237" s="73"/>
      <c r="AL237" s="73"/>
      <c r="AM237" s="68"/>
      <c r="AN237" s="67">
        <f t="shared" si="207"/>
        <v>100</v>
      </c>
      <c r="AO237" s="68" t="str">
        <f t="shared" si="208"/>
        <v>S</v>
      </c>
      <c r="AR237" s="49">
        <f t="shared" si="209"/>
        <v>1</v>
      </c>
      <c r="AS237" s="49">
        <f t="shared" si="210"/>
        <v>0</v>
      </c>
      <c r="AT237" s="49">
        <f t="shared" si="211"/>
        <v>0</v>
      </c>
      <c r="AU237" s="49">
        <f t="shared" si="212"/>
        <v>0</v>
      </c>
      <c r="AV237" s="49">
        <f t="shared" si="213"/>
        <v>1</v>
      </c>
      <c r="AW237" s="49">
        <f t="shared" si="214"/>
        <v>0</v>
      </c>
      <c r="AX237" s="49">
        <f t="shared" si="215"/>
        <v>0</v>
      </c>
      <c r="AY237" s="49">
        <f t="shared" si="216"/>
        <v>0</v>
      </c>
      <c r="AZ237" s="49">
        <f t="shared" si="217"/>
        <v>1</v>
      </c>
      <c r="BA237" s="49">
        <f t="shared" si="218"/>
        <v>0</v>
      </c>
      <c r="BB237" s="49">
        <f t="shared" si="219"/>
        <v>0</v>
      </c>
      <c r="BC237" s="49">
        <f t="shared" si="220"/>
        <v>0</v>
      </c>
      <c r="BD237" s="49">
        <f t="shared" si="221"/>
        <v>1</v>
      </c>
      <c r="BE237" s="49">
        <f t="shared" si="222"/>
        <v>0</v>
      </c>
      <c r="BF237" s="49">
        <f t="shared" si="223"/>
        <v>0</v>
      </c>
      <c r="BG237" s="49">
        <f t="shared" si="224"/>
        <v>0</v>
      </c>
      <c r="BH237" s="49">
        <f t="shared" si="225"/>
        <v>1</v>
      </c>
      <c r="BI237" s="49">
        <f t="shared" si="226"/>
        <v>0</v>
      </c>
      <c r="BJ237" s="49">
        <f t="shared" si="227"/>
        <v>0</v>
      </c>
      <c r="BK237" s="49">
        <f t="shared" si="228"/>
        <v>0</v>
      </c>
      <c r="BL237" s="49">
        <f t="shared" si="229"/>
        <v>1</v>
      </c>
      <c r="BM237" s="49">
        <f t="shared" si="230"/>
        <v>0</v>
      </c>
      <c r="BN237" s="49">
        <f t="shared" si="231"/>
        <v>0</v>
      </c>
      <c r="BO237" s="49">
        <f t="shared" si="232"/>
        <v>0</v>
      </c>
      <c r="BP237" s="49">
        <f t="shared" si="233"/>
        <v>1</v>
      </c>
      <c r="BQ237" s="49">
        <f t="shared" si="234"/>
        <v>0</v>
      </c>
      <c r="BR237" s="49">
        <f t="shared" si="235"/>
        <v>0</v>
      </c>
      <c r="BS237" s="49">
        <f t="shared" si="236"/>
        <v>0</v>
      </c>
      <c r="BT237" s="49">
        <f t="shared" si="237"/>
        <v>1</v>
      </c>
      <c r="BU237" s="49">
        <f t="shared" si="238"/>
        <v>0</v>
      </c>
      <c r="BV237" s="49">
        <f t="shared" si="239"/>
        <v>0</v>
      </c>
      <c r="BW237" s="49">
        <f t="shared" si="240"/>
        <v>0</v>
      </c>
    </row>
    <row r="238" spans="1:75" ht="35.1" customHeight="1" x14ac:dyDescent="0.3">
      <c r="A238" s="123" t="str">
        <f t="shared" si="205"/>
        <v>2팀</v>
      </c>
      <c r="B238" s="69">
        <f t="shared" si="206"/>
        <v>232</v>
      </c>
      <c r="C238" s="121" t="str">
        <f>IF(VLOOKUP($B238,'1. 현장별 인원현황'!$C:$J,2,0)=0,"",VLOOKUP($B238,'1. 현장별 인원현황'!$C:$J,2,0))</f>
        <v xml:space="preserve"> [2.신세계건설] 양주 옥정 물류센터 신축공사</v>
      </c>
      <c r="D238" s="74" t="str">
        <f>IF(VLOOKUP($B238,'1. 현장별 인원현황'!$C:$J,3,0)=0,"",VLOOKUP($B238,'1. 현장별 인원현황'!$C:$J,3,0))</f>
        <v>김은호</v>
      </c>
      <c r="E238" s="74" t="str">
        <f ca="1">IF(VLOOKUP($B238,'1. 현장별 인원현황'!$C:$J,4,0)=0,"",VLOOKUP($B238,'1. 현장별 인원현황'!$C:$J,4,0))</f>
        <v>56세</v>
      </c>
      <c r="F238" s="70" t="str">
        <f>IF(VLOOKUP($B238,'1. 현장별 인원현황'!$C:$J,7,0)=0,"",VLOOKUP($B238,'1. 현장별 인원현황'!$C:$J,7,0))</f>
        <v>기능공</v>
      </c>
      <c r="G238" s="72" t="str">
        <f>IF(VLOOKUP($B238,'1. 현장별 인원현황'!$C:$J,8,0)=0,"",VLOOKUP($B238,'1. 현장별 인원현황'!$C:$J,8,0))</f>
        <v>전공</v>
      </c>
      <c r="H238" s="67" t="s">
        <v>69</v>
      </c>
      <c r="I238" s="73"/>
      <c r="J238" s="73"/>
      <c r="K238" s="68"/>
      <c r="L238" s="67" t="s">
        <v>69</v>
      </c>
      <c r="M238" s="73"/>
      <c r="N238" s="73"/>
      <c r="O238" s="68"/>
      <c r="P238" s="67" t="s">
        <v>69</v>
      </c>
      <c r="Q238" s="73"/>
      <c r="R238" s="73"/>
      <c r="S238" s="68"/>
      <c r="T238" s="67" t="s">
        <v>69</v>
      </c>
      <c r="U238" s="73"/>
      <c r="V238" s="73"/>
      <c r="W238" s="68"/>
      <c r="X238" s="67" t="s">
        <v>69</v>
      </c>
      <c r="Y238" s="73"/>
      <c r="Z238" s="73"/>
      <c r="AA238" s="68"/>
      <c r="AB238" s="67" t="s">
        <v>69</v>
      </c>
      <c r="AC238" s="73"/>
      <c r="AD238" s="73"/>
      <c r="AE238" s="68"/>
      <c r="AF238" s="67" t="s">
        <v>69</v>
      </c>
      <c r="AG238" s="73"/>
      <c r="AH238" s="73"/>
      <c r="AI238" s="68"/>
      <c r="AJ238" s="67" t="s">
        <v>69</v>
      </c>
      <c r="AK238" s="73"/>
      <c r="AL238" s="73"/>
      <c r="AM238" s="68"/>
      <c r="AN238" s="67">
        <f t="shared" si="207"/>
        <v>100</v>
      </c>
      <c r="AO238" s="68" t="str">
        <f t="shared" si="208"/>
        <v>S</v>
      </c>
      <c r="AR238" s="49">
        <f t="shared" si="209"/>
        <v>1</v>
      </c>
      <c r="AS238" s="49">
        <f t="shared" si="210"/>
        <v>0</v>
      </c>
      <c r="AT238" s="49">
        <f t="shared" si="211"/>
        <v>0</v>
      </c>
      <c r="AU238" s="49">
        <f t="shared" si="212"/>
        <v>0</v>
      </c>
      <c r="AV238" s="49">
        <f t="shared" si="213"/>
        <v>1</v>
      </c>
      <c r="AW238" s="49">
        <f t="shared" si="214"/>
        <v>0</v>
      </c>
      <c r="AX238" s="49">
        <f t="shared" si="215"/>
        <v>0</v>
      </c>
      <c r="AY238" s="49">
        <f t="shared" si="216"/>
        <v>0</v>
      </c>
      <c r="AZ238" s="49">
        <f t="shared" si="217"/>
        <v>1</v>
      </c>
      <c r="BA238" s="49">
        <f t="shared" si="218"/>
        <v>0</v>
      </c>
      <c r="BB238" s="49">
        <f t="shared" si="219"/>
        <v>0</v>
      </c>
      <c r="BC238" s="49">
        <f t="shared" si="220"/>
        <v>0</v>
      </c>
      <c r="BD238" s="49">
        <f t="shared" si="221"/>
        <v>1</v>
      </c>
      <c r="BE238" s="49">
        <f t="shared" si="222"/>
        <v>0</v>
      </c>
      <c r="BF238" s="49">
        <f t="shared" si="223"/>
        <v>0</v>
      </c>
      <c r="BG238" s="49">
        <f t="shared" si="224"/>
        <v>0</v>
      </c>
      <c r="BH238" s="49">
        <f t="shared" si="225"/>
        <v>1</v>
      </c>
      <c r="BI238" s="49">
        <f t="shared" si="226"/>
        <v>0</v>
      </c>
      <c r="BJ238" s="49">
        <f t="shared" si="227"/>
        <v>0</v>
      </c>
      <c r="BK238" s="49">
        <f t="shared" si="228"/>
        <v>0</v>
      </c>
      <c r="BL238" s="49">
        <f t="shared" si="229"/>
        <v>1</v>
      </c>
      <c r="BM238" s="49">
        <f t="shared" si="230"/>
        <v>0</v>
      </c>
      <c r="BN238" s="49">
        <f t="shared" si="231"/>
        <v>0</v>
      </c>
      <c r="BO238" s="49">
        <f t="shared" si="232"/>
        <v>0</v>
      </c>
      <c r="BP238" s="49">
        <f t="shared" si="233"/>
        <v>1</v>
      </c>
      <c r="BQ238" s="49">
        <f t="shared" si="234"/>
        <v>0</v>
      </c>
      <c r="BR238" s="49">
        <f t="shared" si="235"/>
        <v>0</v>
      </c>
      <c r="BS238" s="49">
        <f t="shared" si="236"/>
        <v>0</v>
      </c>
      <c r="BT238" s="49">
        <f t="shared" si="237"/>
        <v>1</v>
      </c>
      <c r="BU238" s="49">
        <f t="shared" si="238"/>
        <v>0</v>
      </c>
      <c r="BV238" s="49">
        <f t="shared" si="239"/>
        <v>0</v>
      </c>
      <c r="BW238" s="49">
        <f t="shared" si="240"/>
        <v>0</v>
      </c>
    </row>
    <row r="239" spans="1:75" ht="35.1" customHeight="1" x14ac:dyDescent="0.3">
      <c r="A239" s="123" t="str">
        <f t="shared" si="205"/>
        <v>2팀</v>
      </c>
      <c r="B239" s="69">
        <f t="shared" si="206"/>
        <v>233</v>
      </c>
      <c r="C239" s="121" t="str">
        <f>IF(VLOOKUP($B239,'1. 현장별 인원현황'!$C:$J,2,0)=0,"",VLOOKUP($B239,'1. 현장별 인원현황'!$C:$J,2,0))</f>
        <v xml:space="preserve"> [2.신세계건설] 양주 옥정 물류센터 신축공사</v>
      </c>
      <c r="D239" s="74" t="str">
        <f>IF(VLOOKUP($B239,'1. 현장별 인원현황'!$C:$J,3,0)=0,"",VLOOKUP($B239,'1. 현장별 인원현황'!$C:$J,3,0))</f>
        <v>김종태</v>
      </c>
      <c r="E239" s="74" t="str">
        <f ca="1">IF(VLOOKUP($B239,'1. 현장별 인원현황'!$C:$J,4,0)=0,"",VLOOKUP($B239,'1. 현장별 인원현황'!$C:$J,4,0))</f>
        <v>61세</v>
      </c>
      <c r="F239" s="70" t="str">
        <f>IF(VLOOKUP($B239,'1. 현장별 인원현황'!$C:$J,7,0)=0,"",VLOOKUP($B239,'1. 현장별 인원현황'!$C:$J,7,0))</f>
        <v>기능공</v>
      </c>
      <c r="G239" s="72" t="str">
        <f>IF(VLOOKUP($B239,'1. 현장별 인원현황'!$C:$J,8,0)=0,"",VLOOKUP($B239,'1. 현장별 인원현황'!$C:$J,8,0))</f>
        <v>전공</v>
      </c>
      <c r="H239" s="67" t="s">
        <v>69</v>
      </c>
      <c r="I239" s="73"/>
      <c r="J239" s="73"/>
      <c r="K239" s="68"/>
      <c r="L239" s="67" t="s">
        <v>69</v>
      </c>
      <c r="M239" s="73"/>
      <c r="N239" s="73"/>
      <c r="O239" s="68"/>
      <c r="P239" s="67" t="s">
        <v>69</v>
      </c>
      <c r="Q239" s="73"/>
      <c r="R239" s="73"/>
      <c r="S239" s="68"/>
      <c r="T239" s="67" t="s">
        <v>69</v>
      </c>
      <c r="U239" s="73"/>
      <c r="V239" s="73"/>
      <c r="W239" s="68"/>
      <c r="X239" s="67" t="s">
        <v>69</v>
      </c>
      <c r="Y239" s="73"/>
      <c r="Z239" s="73"/>
      <c r="AA239" s="68"/>
      <c r="AB239" s="67" t="s">
        <v>69</v>
      </c>
      <c r="AC239" s="73"/>
      <c r="AD239" s="73"/>
      <c r="AE239" s="68"/>
      <c r="AF239" s="67" t="s">
        <v>69</v>
      </c>
      <c r="AG239" s="73"/>
      <c r="AH239" s="73"/>
      <c r="AI239" s="68"/>
      <c r="AJ239" s="67" t="s">
        <v>69</v>
      </c>
      <c r="AK239" s="73"/>
      <c r="AL239" s="73"/>
      <c r="AM239" s="68"/>
      <c r="AN239" s="67">
        <f t="shared" si="207"/>
        <v>100</v>
      </c>
      <c r="AO239" s="68" t="str">
        <f t="shared" si="208"/>
        <v>S</v>
      </c>
      <c r="AR239" s="49">
        <f t="shared" si="209"/>
        <v>1</v>
      </c>
      <c r="AS239" s="49">
        <f t="shared" si="210"/>
        <v>0</v>
      </c>
      <c r="AT239" s="49">
        <f t="shared" si="211"/>
        <v>0</v>
      </c>
      <c r="AU239" s="49">
        <f t="shared" si="212"/>
        <v>0</v>
      </c>
      <c r="AV239" s="49">
        <f t="shared" si="213"/>
        <v>1</v>
      </c>
      <c r="AW239" s="49">
        <f t="shared" si="214"/>
        <v>0</v>
      </c>
      <c r="AX239" s="49">
        <f t="shared" si="215"/>
        <v>0</v>
      </c>
      <c r="AY239" s="49">
        <f t="shared" si="216"/>
        <v>0</v>
      </c>
      <c r="AZ239" s="49">
        <f t="shared" si="217"/>
        <v>1</v>
      </c>
      <c r="BA239" s="49">
        <f t="shared" si="218"/>
        <v>0</v>
      </c>
      <c r="BB239" s="49">
        <f t="shared" si="219"/>
        <v>0</v>
      </c>
      <c r="BC239" s="49">
        <f t="shared" si="220"/>
        <v>0</v>
      </c>
      <c r="BD239" s="49">
        <f t="shared" si="221"/>
        <v>1</v>
      </c>
      <c r="BE239" s="49">
        <f t="shared" si="222"/>
        <v>0</v>
      </c>
      <c r="BF239" s="49">
        <f t="shared" si="223"/>
        <v>0</v>
      </c>
      <c r="BG239" s="49">
        <f t="shared" si="224"/>
        <v>0</v>
      </c>
      <c r="BH239" s="49">
        <f t="shared" si="225"/>
        <v>1</v>
      </c>
      <c r="BI239" s="49">
        <f t="shared" si="226"/>
        <v>0</v>
      </c>
      <c r="BJ239" s="49">
        <f t="shared" si="227"/>
        <v>0</v>
      </c>
      <c r="BK239" s="49">
        <f t="shared" si="228"/>
        <v>0</v>
      </c>
      <c r="BL239" s="49">
        <f t="shared" si="229"/>
        <v>1</v>
      </c>
      <c r="BM239" s="49">
        <f t="shared" si="230"/>
        <v>0</v>
      </c>
      <c r="BN239" s="49">
        <f t="shared" si="231"/>
        <v>0</v>
      </c>
      <c r="BO239" s="49">
        <f t="shared" si="232"/>
        <v>0</v>
      </c>
      <c r="BP239" s="49">
        <f t="shared" si="233"/>
        <v>1</v>
      </c>
      <c r="BQ239" s="49">
        <f t="shared" si="234"/>
        <v>0</v>
      </c>
      <c r="BR239" s="49">
        <f t="shared" si="235"/>
        <v>0</v>
      </c>
      <c r="BS239" s="49">
        <f t="shared" si="236"/>
        <v>0</v>
      </c>
      <c r="BT239" s="49">
        <f t="shared" si="237"/>
        <v>1</v>
      </c>
      <c r="BU239" s="49">
        <f t="shared" si="238"/>
        <v>0</v>
      </c>
      <c r="BV239" s="49">
        <f t="shared" si="239"/>
        <v>0</v>
      </c>
      <c r="BW239" s="49">
        <f t="shared" si="240"/>
        <v>0</v>
      </c>
    </row>
    <row r="240" spans="1:75" ht="35.1" customHeight="1" x14ac:dyDescent="0.3">
      <c r="A240" s="123" t="str">
        <f t="shared" si="205"/>
        <v>2팀</v>
      </c>
      <c r="B240" s="69">
        <f t="shared" si="206"/>
        <v>234</v>
      </c>
      <c r="C240" s="121" t="str">
        <f>IF(VLOOKUP($B240,'1. 현장별 인원현황'!$C:$J,2,0)=0,"",VLOOKUP($B240,'1. 현장별 인원현황'!$C:$J,2,0))</f>
        <v xml:space="preserve"> [2.신세계건설] 양주 옥정 물류센터 신축공사</v>
      </c>
      <c r="D240" s="74" t="str">
        <f>IF(VLOOKUP($B240,'1. 현장별 인원현황'!$C:$J,3,0)=0,"",VLOOKUP($B240,'1. 현장별 인원현황'!$C:$J,3,0))</f>
        <v>김태수</v>
      </c>
      <c r="E240" s="74" t="str">
        <f ca="1">IF(VLOOKUP($B240,'1. 현장별 인원현황'!$C:$J,4,0)=0,"",VLOOKUP($B240,'1. 현장별 인원현황'!$C:$J,4,0))</f>
        <v>65세</v>
      </c>
      <c r="F240" s="70" t="str">
        <f>IF(VLOOKUP($B240,'1. 현장별 인원현황'!$C:$J,7,0)=0,"",VLOOKUP($B240,'1. 현장별 인원현황'!$C:$J,7,0))</f>
        <v>기능공</v>
      </c>
      <c r="G240" s="72" t="str">
        <f>IF(VLOOKUP($B240,'1. 현장별 인원현황'!$C:$J,8,0)=0,"",VLOOKUP($B240,'1. 현장별 인원현황'!$C:$J,8,0))</f>
        <v>전공</v>
      </c>
      <c r="H240" s="67" t="s">
        <v>69</v>
      </c>
      <c r="I240" s="73"/>
      <c r="J240" s="73"/>
      <c r="K240" s="68"/>
      <c r="L240" s="67" t="s">
        <v>69</v>
      </c>
      <c r="M240" s="73"/>
      <c r="N240" s="73"/>
      <c r="O240" s="68"/>
      <c r="P240" s="67" t="s">
        <v>69</v>
      </c>
      <c r="Q240" s="73"/>
      <c r="R240" s="73"/>
      <c r="S240" s="68"/>
      <c r="T240" s="67" t="s">
        <v>69</v>
      </c>
      <c r="U240" s="73"/>
      <c r="V240" s="73"/>
      <c r="W240" s="68"/>
      <c r="X240" s="67" t="s">
        <v>69</v>
      </c>
      <c r="Y240" s="73"/>
      <c r="Z240" s="73"/>
      <c r="AA240" s="68"/>
      <c r="AB240" s="67" t="s">
        <v>69</v>
      </c>
      <c r="AC240" s="73"/>
      <c r="AD240" s="73"/>
      <c r="AE240" s="68"/>
      <c r="AF240" s="67" t="s">
        <v>69</v>
      </c>
      <c r="AG240" s="73"/>
      <c r="AH240" s="73"/>
      <c r="AI240" s="68"/>
      <c r="AJ240" s="67" t="s">
        <v>69</v>
      </c>
      <c r="AK240" s="73"/>
      <c r="AL240" s="73"/>
      <c r="AM240" s="68"/>
      <c r="AN240" s="67">
        <f t="shared" si="207"/>
        <v>100</v>
      </c>
      <c r="AO240" s="68" t="str">
        <f t="shared" si="208"/>
        <v>S</v>
      </c>
      <c r="AR240" s="49">
        <f t="shared" si="209"/>
        <v>1</v>
      </c>
      <c r="AS240" s="49">
        <f t="shared" si="210"/>
        <v>0</v>
      </c>
      <c r="AT240" s="49">
        <f t="shared" si="211"/>
        <v>0</v>
      </c>
      <c r="AU240" s="49">
        <f t="shared" si="212"/>
        <v>0</v>
      </c>
      <c r="AV240" s="49">
        <f t="shared" si="213"/>
        <v>1</v>
      </c>
      <c r="AW240" s="49">
        <f t="shared" si="214"/>
        <v>0</v>
      </c>
      <c r="AX240" s="49">
        <f t="shared" si="215"/>
        <v>0</v>
      </c>
      <c r="AY240" s="49">
        <f t="shared" si="216"/>
        <v>0</v>
      </c>
      <c r="AZ240" s="49">
        <f t="shared" si="217"/>
        <v>1</v>
      </c>
      <c r="BA240" s="49">
        <f t="shared" si="218"/>
        <v>0</v>
      </c>
      <c r="BB240" s="49">
        <f t="shared" si="219"/>
        <v>0</v>
      </c>
      <c r="BC240" s="49">
        <f t="shared" si="220"/>
        <v>0</v>
      </c>
      <c r="BD240" s="49">
        <f t="shared" si="221"/>
        <v>1</v>
      </c>
      <c r="BE240" s="49">
        <f t="shared" si="222"/>
        <v>0</v>
      </c>
      <c r="BF240" s="49">
        <f t="shared" si="223"/>
        <v>0</v>
      </c>
      <c r="BG240" s="49">
        <f t="shared" si="224"/>
        <v>0</v>
      </c>
      <c r="BH240" s="49">
        <f t="shared" si="225"/>
        <v>1</v>
      </c>
      <c r="BI240" s="49">
        <f t="shared" si="226"/>
        <v>0</v>
      </c>
      <c r="BJ240" s="49">
        <f t="shared" si="227"/>
        <v>0</v>
      </c>
      <c r="BK240" s="49">
        <f t="shared" si="228"/>
        <v>0</v>
      </c>
      <c r="BL240" s="49">
        <f t="shared" si="229"/>
        <v>1</v>
      </c>
      <c r="BM240" s="49">
        <f t="shared" si="230"/>
        <v>0</v>
      </c>
      <c r="BN240" s="49">
        <f t="shared" si="231"/>
        <v>0</v>
      </c>
      <c r="BO240" s="49">
        <f t="shared" si="232"/>
        <v>0</v>
      </c>
      <c r="BP240" s="49">
        <f t="shared" si="233"/>
        <v>1</v>
      </c>
      <c r="BQ240" s="49">
        <f t="shared" si="234"/>
        <v>0</v>
      </c>
      <c r="BR240" s="49">
        <f t="shared" si="235"/>
        <v>0</v>
      </c>
      <c r="BS240" s="49">
        <f t="shared" si="236"/>
        <v>0</v>
      </c>
      <c r="BT240" s="49">
        <f t="shared" si="237"/>
        <v>1</v>
      </c>
      <c r="BU240" s="49">
        <f t="shared" si="238"/>
        <v>0</v>
      </c>
      <c r="BV240" s="49">
        <f t="shared" si="239"/>
        <v>0</v>
      </c>
      <c r="BW240" s="49">
        <f t="shared" si="240"/>
        <v>0</v>
      </c>
    </row>
    <row r="241" spans="1:75" ht="35.1" customHeight="1" x14ac:dyDescent="0.3">
      <c r="A241" s="123" t="str">
        <f t="shared" si="205"/>
        <v>2팀</v>
      </c>
      <c r="B241" s="69">
        <f t="shared" si="206"/>
        <v>235</v>
      </c>
      <c r="C241" s="121" t="str">
        <f>IF(VLOOKUP($B241,'1. 현장별 인원현황'!$C:$J,2,0)=0,"",VLOOKUP($B241,'1. 현장별 인원현황'!$C:$J,2,0))</f>
        <v xml:space="preserve"> [2.신세계건설] 양주 옥정 물류센터 신축공사</v>
      </c>
      <c r="D241" s="74" t="str">
        <f>IF(VLOOKUP($B241,'1. 현장별 인원현황'!$C:$J,3,0)=0,"",VLOOKUP($B241,'1. 현장별 인원현황'!$C:$J,3,0))</f>
        <v>나성조</v>
      </c>
      <c r="E241" s="74" t="str">
        <f ca="1">IF(VLOOKUP($B241,'1. 현장별 인원현황'!$C:$J,4,0)=0,"",VLOOKUP($B241,'1. 현장별 인원현황'!$C:$J,4,0))</f>
        <v>52세</v>
      </c>
      <c r="F241" s="70" t="str">
        <f>IF(VLOOKUP($B241,'1. 현장별 인원현황'!$C:$J,7,0)=0,"",VLOOKUP($B241,'1. 현장별 인원현황'!$C:$J,7,0))</f>
        <v>기능공</v>
      </c>
      <c r="G241" s="72" t="str">
        <f>IF(VLOOKUP($B241,'1. 현장별 인원현황'!$C:$J,8,0)=0,"",VLOOKUP($B241,'1. 현장별 인원현황'!$C:$J,8,0))</f>
        <v>전공</v>
      </c>
      <c r="H241" s="67" t="s">
        <v>69</v>
      </c>
      <c r="I241" s="73"/>
      <c r="J241" s="73"/>
      <c r="K241" s="68"/>
      <c r="L241" s="67" t="s">
        <v>69</v>
      </c>
      <c r="M241" s="73"/>
      <c r="N241" s="73"/>
      <c r="O241" s="68"/>
      <c r="P241" s="67" t="s">
        <v>69</v>
      </c>
      <c r="Q241" s="73"/>
      <c r="R241" s="73"/>
      <c r="S241" s="68"/>
      <c r="T241" s="67" t="s">
        <v>69</v>
      </c>
      <c r="U241" s="73"/>
      <c r="V241" s="73"/>
      <c r="W241" s="68"/>
      <c r="X241" s="67" t="s">
        <v>69</v>
      </c>
      <c r="Y241" s="73"/>
      <c r="Z241" s="73"/>
      <c r="AA241" s="68"/>
      <c r="AB241" s="67" t="s">
        <v>69</v>
      </c>
      <c r="AC241" s="73"/>
      <c r="AD241" s="73"/>
      <c r="AE241" s="68"/>
      <c r="AF241" s="67" t="s">
        <v>69</v>
      </c>
      <c r="AG241" s="73"/>
      <c r="AH241" s="73"/>
      <c r="AI241" s="68"/>
      <c r="AJ241" s="67" t="s">
        <v>69</v>
      </c>
      <c r="AK241" s="73"/>
      <c r="AL241" s="73"/>
      <c r="AM241" s="68"/>
      <c r="AN241" s="67">
        <f t="shared" si="207"/>
        <v>100</v>
      </c>
      <c r="AO241" s="68" t="str">
        <f t="shared" si="208"/>
        <v>S</v>
      </c>
      <c r="AR241" s="49">
        <f t="shared" si="209"/>
        <v>1</v>
      </c>
      <c r="AS241" s="49">
        <f t="shared" si="210"/>
        <v>0</v>
      </c>
      <c r="AT241" s="49">
        <f t="shared" si="211"/>
        <v>0</v>
      </c>
      <c r="AU241" s="49">
        <f t="shared" si="212"/>
        <v>0</v>
      </c>
      <c r="AV241" s="49">
        <f t="shared" si="213"/>
        <v>1</v>
      </c>
      <c r="AW241" s="49">
        <f t="shared" si="214"/>
        <v>0</v>
      </c>
      <c r="AX241" s="49">
        <f t="shared" si="215"/>
        <v>0</v>
      </c>
      <c r="AY241" s="49">
        <f t="shared" si="216"/>
        <v>0</v>
      </c>
      <c r="AZ241" s="49">
        <f t="shared" si="217"/>
        <v>1</v>
      </c>
      <c r="BA241" s="49">
        <f t="shared" si="218"/>
        <v>0</v>
      </c>
      <c r="BB241" s="49">
        <f t="shared" si="219"/>
        <v>0</v>
      </c>
      <c r="BC241" s="49">
        <f t="shared" si="220"/>
        <v>0</v>
      </c>
      <c r="BD241" s="49">
        <f t="shared" si="221"/>
        <v>1</v>
      </c>
      <c r="BE241" s="49">
        <f t="shared" si="222"/>
        <v>0</v>
      </c>
      <c r="BF241" s="49">
        <f t="shared" si="223"/>
        <v>0</v>
      </c>
      <c r="BG241" s="49">
        <f t="shared" si="224"/>
        <v>0</v>
      </c>
      <c r="BH241" s="49">
        <f t="shared" si="225"/>
        <v>1</v>
      </c>
      <c r="BI241" s="49">
        <f t="shared" si="226"/>
        <v>0</v>
      </c>
      <c r="BJ241" s="49">
        <f t="shared" si="227"/>
        <v>0</v>
      </c>
      <c r="BK241" s="49">
        <f t="shared" si="228"/>
        <v>0</v>
      </c>
      <c r="BL241" s="49">
        <f t="shared" si="229"/>
        <v>1</v>
      </c>
      <c r="BM241" s="49">
        <f t="shared" si="230"/>
        <v>0</v>
      </c>
      <c r="BN241" s="49">
        <f t="shared" si="231"/>
        <v>0</v>
      </c>
      <c r="BO241" s="49">
        <f t="shared" si="232"/>
        <v>0</v>
      </c>
      <c r="BP241" s="49">
        <f t="shared" si="233"/>
        <v>1</v>
      </c>
      <c r="BQ241" s="49">
        <f t="shared" si="234"/>
        <v>0</v>
      </c>
      <c r="BR241" s="49">
        <f t="shared" si="235"/>
        <v>0</v>
      </c>
      <c r="BS241" s="49">
        <f t="shared" si="236"/>
        <v>0</v>
      </c>
      <c r="BT241" s="49">
        <f t="shared" si="237"/>
        <v>1</v>
      </c>
      <c r="BU241" s="49">
        <f t="shared" si="238"/>
        <v>0</v>
      </c>
      <c r="BV241" s="49">
        <f t="shared" si="239"/>
        <v>0</v>
      </c>
      <c r="BW241" s="49">
        <f t="shared" si="240"/>
        <v>0</v>
      </c>
    </row>
    <row r="242" spans="1:75" ht="35.1" customHeight="1" x14ac:dyDescent="0.3">
      <c r="A242" s="123" t="str">
        <f t="shared" si="205"/>
        <v>2팀</v>
      </c>
      <c r="B242" s="69">
        <f t="shared" si="206"/>
        <v>236</v>
      </c>
      <c r="C242" s="121" t="str">
        <f>IF(VLOOKUP($B242,'1. 현장별 인원현황'!$C:$J,2,0)=0,"",VLOOKUP($B242,'1. 현장별 인원현황'!$C:$J,2,0))</f>
        <v xml:space="preserve"> [2.신세계건설] 양주 옥정 물류센터 신축공사</v>
      </c>
      <c r="D242" s="74" t="str">
        <f>IF(VLOOKUP($B242,'1. 현장별 인원현황'!$C:$J,3,0)=0,"",VLOOKUP($B242,'1. 현장별 인원현황'!$C:$J,3,0))</f>
        <v>박억용</v>
      </c>
      <c r="E242" s="74" t="str">
        <f ca="1">IF(VLOOKUP($B242,'1. 현장별 인원현황'!$C:$J,4,0)=0,"",VLOOKUP($B242,'1. 현장별 인원현황'!$C:$J,4,0))</f>
        <v>66세</v>
      </c>
      <c r="F242" s="70" t="str">
        <f>IF(VLOOKUP($B242,'1. 현장별 인원현황'!$C:$J,7,0)=0,"",VLOOKUP($B242,'1. 현장별 인원현황'!$C:$J,7,0))</f>
        <v>기능공</v>
      </c>
      <c r="G242" s="72" t="str">
        <f>IF(VLOOKUP($B242,'1. 현장별 인원현황'!$C:$J,8,0)=0,"",VLOOKUP($B242,'1. 현장별 인원현황'!$C:$J,8,0))</f>
        <v>전공</v>
      </c>
      <c r="H242" s="67" t="s">
        <v>69</v>
      </c>
      <c r="I242" s="73"/>
      <c r="J242" s="73"/>
      <c r="K242" s="68"/>
      <c r="L242" s="67" t="s">
        <v>69</v>
      </c>
      <c r="M242" s="73"/>
      <c r="N242" s="73"/>
      <c r="O242" s="68"/>
      <c r="P242" s="67" t="s">
        <v>69</v>
      </c>
      <c r="Q242" s="73"/>
      <c r="R242" s="73"/>
      <c r="S242" s="68"/>
      <c r="T242" s="67" t="s">
        <v>69</v>
      </c>
      <c r="U242" s="73"/>
      <c r="V242" s="73"/>
      <c r="W242" s="68"/>
      <c r="X242" s="67" t="s">
        <v>69</v>
      </c>
      <c r="Y242" s="73"/>
      <c r="Z242" s="73"/>
      <c r="AA242" s="68"/>
      <c r="AB242" s="67" t="s">
        <v>69</v>
      </c>
      <c r="AC242" s="73"/>
      <c r="AD242" s="73"/>
      <c r="AE242" s="68"/>
      <c r="AF242" s="67" t="s">
        <v>69</v>
      </c>
      <c r="AG242" s="73"/>
      <c r="AH242" s="73"/>
      <c r="AI242" s="68"/>
      <c r="AJ242" s="67" t="s">
        <v>69</v>
      </c>
      <c r="AK242" s="73"/>
      <c r="AL242" s="73"/>
      <c r="AM242" s="68"/>
      <c r="AN242" s="67">
        <f t="shared" si="207"/>
        <v>100</v>
      </c>
      <c r="AO242" s="68" t="str">
        <f t="shared" si="208"/>
        <v>S</v>
      </c>
      <c r="AR242" s="49">
        <f t="shared" si="209"/>
        <v>1</v>
      </c>
      <c r="AS242" s="49">
        <f t="shared" si="210"/>
        <v>0</v>
      </c>
      <c r="AT242" s="49">
        <f t="shared" si="211"/>
        <v>0</v>
      </c>
      <c r="AU242" s="49">
        <f t="shared" si="212"/>
        <v>0</v>
      </c>
      <c r="AV242" s="49">
        <f t="shared" si="213"/>
        <v>1</v>
      </c>
      <c r="AW242" s="49">
        <f t="shared" si="214"/>
        <v>0</v>
      </c>
      <c r="AX242" s="49">
        <f t="shared" si="215"/>
        <v>0</v>
      </c>
      <c r="AY242" s="49">
        <f t="shared" si="216"/>
        <v>0</v>
      </c>
      <c r="AZ242" s="49">
        <f t="shared" si="217"/>
        <v>1</v>
      </c>
      <c r="BA242" s="49">
        <f t="shared" si="218"/>
        <v>0</v>
      </c>
      <c r="BB242" s="49">
        <f t="shared" si="219"/>
        <v>0</v>
      </c>
      <c r="BC242" s="49">
        <f t="shared" si="220"/>
        <v>0</v>
      </c>
      <c r="BD242" s="49">
        <f t="shared" si="221"/>
        <v>1</v>
      </c>
      <c r="BE242" s="49">
        <f t="shared" si="222"/>
        <v>0</v>
      </c>
      <c r="BF242" s="49">
        <f t="shared" si="223"/>
        <v>0</v>
      </c>
      <c r="BG242" s="49">
        <f t="shared" si="224"/>
        <v>0</v>
      </c>
      <c r="BH242" s="49">
        <f t="shared" si="225"/>
        <v>1</v>
      </c>
      <c r="BI242" s="49">
        <f t="shared" si="226"/>
        <v>0</v>
      </c>
      <c r="BJ242" s="49">
        <f t="shared" si="227"/>
        <v>0</v>
      </c>
      <c r="BK242" s="49">
        <f t="shared" si="228"/>
        <v>0</v>
      </c>
      <c r="BL242" s="49">
        <f t="shared" si="229"/>
        <v>1</v>
      </c>
      <c r="BM242" s="49">
        <f t="shared" si="230"/>
        <v>0</v>
      </c>
      <c r="BN242" s="49">
        <f t="shared" si="231"/>
        <v>0</v>
      </c>
      <c r="BO242" s="49">
        <f t="shared" si="232"/>
        <v>0</v>
      </c>
      <c r="BP242" s="49">
        <f t="shared" si="233"/>
        <v>1</v>
      </c>
      <c r="BQ242" s="49">
        <f t="shared" si="234"/>
        <v>0</v>
      </c>
      <c r="BR242" s="49">
        <f t="shared" si="235"/>
        <v>0</v>
      </c>
      <c r="BS242" s="49">
        <f t="shared" si="236"/>
        <v>0</v>
      </c>
      <c r="BT242" s="49">
        <f t="shared" si="237"/>
        <v>1</v>
      </c>
      <c r="BU242" s="49">
        <f t="shared" si="238"/>
        <v>0</v>
      </c>
      <c r="BV242" s="49">
        <f t="shared" si="239"/>
        <v>0</v>
      </c>
      <c r="BW242" s="49">
        <f t="shared" si="240"/>
        <v>0</v>
      </c>
    </row>
    <row r="243" spans="1:75" ht="35.1" customHeight="1" x14ac:dyDescent="0.3">
      <c r="A243" s="123" t="str">
        <f t="shared" si="205"/>
        <v>2팀</v>
      </c>
      <c r="B243" s="69">
        <f t="shared" si="206"/>
        <v>237</v>
      </c>
      <c r="C243" s="121" t="str">
        <f>IF(VLOOKUP($B243,'1. 현장별 인원현황'!$C:$J,2,0)=0,"",VLOOKUP($B243,'1. 현장별 인원현황'!$C:$J,2,0))</f>
        <v xml:space="preserve"> [2.신세계건설] 양주 옥정 물류센터 신축공사</v>
      </c>
      <c r="D243" s="74" t="str">
        <f>IF(VLOOKUP($B243,'1. 현장별 인원현황'!$C:$J,3,0)=0,"",VLOOKUP($B243,'1. 현장별 인원현황'!$C:$J,3,0))</f>
        <v>박재환</v>
      </c>
      <c r="E243" s="74" t="str">
        <f ca="1">IF(VLOOKUP($B243,'1. 현장별 인원현황'!$C:$J,4,0)=0,"",VLOOKUP($B243,'1. 현장별 인원현황'!$C:$J,4,0))</f>
        <v>51세</v>
      </c>
      <c r="F243" s="70" t="str">
        <f>IF(VLOOKUP($B243,'1. 현장별 인원현황'!$C:$J,7,0)=0,"",VLOOKUP($B243,'1. 현장별 인원현황'!$C:$J,7,0))</f>
        <v>기능공</v>
      </c>
      <c r="G243" s="72" t="str">
        <f>IF(VLOOKUP($B243,'1. 현장별 인원현황'!$C:$J,8,0)=0,"",VLOOKUP($B243,'1. 현장별 인원현황'!$C:$J,8,0))</f>
        <v>전공</v>
      </c>
      <c r="H243" s="67" t="s">
        <v>69</v>
      </c>
      <c r="I243" s="73"/>
      <c r="J243" s="73"/>
      <c r="K243" s="68"/>
      <c r="L243" s="67" t="s">
        <v>69</v>
      </c>
      <c r="M243" s="73"/>
      <c r="N243" s="73"/>
      <c r="O243" s="68"/>
      <c r="P243" s="67" t="s">
        <v>69</v>
      </c>
      <c r="Q243" s="73"/>
      <c r="R243" s="73"/>
      <c r="S243" s="68"/>
      <c r="T243" s="67" t="s">
        <v>69</v>
      </c>
      <c r="U243" s="73"/>
      <c r="V243" s="73"/>
      <c r="W243" s="68"/>
      <c r="X243" s="67" t="s">
        <v>69</v>
      </c>
      <c r="Y243" s="73"/>
      <c r="Z243" s="73"/>
      <c r="AA243" s="68"/>
      <c r="AB243" s="67" t="s">
        <v>69</v>
      </c>
      <c r="AC243" s="73"/>
      <c r="AD243" s="73"/>
      <c r="AE243" s="68"/>
      <c r="AF243" s="67" t="s">
        <v>69</v>
      </c>
      <c r="AG243" s="73"/>
      <c r="AH243" s="73"/>
      <c r="AI243" s="68"/>
      <c r="AJ243" s="67" t="s">
        <v>69</v>
      </c>
      <c r="AK243" s="73"/>
      <c r="AL243" s="73"/>
      <c r="AM243" s="68"/>
      <c r="AN243" s="67">
        <f t="shared" si="207"/>
        <v>100</v>
      </c>
      <c r="AO243" s="68" t="str">
        <f t="shared" si="208"/>
        <v>S</v>
      </c>
      <c r="AR243" s="49">
        <f t="shared" si="209"/>
        <v>1</v>
      </c>
      <c r="AS243" s="49">
        <f t="shared" si="210"/>
        <v>0</v>
      </c>
      <c r="AT243" s="49">
        <f t="shared" si="211"/>
        <v>0</v>
      </c>
      <c r="AU243" s="49">
        <f t="shared" si="212"/>
        <v>0</v>
      </c>
      <c r="AV243" s="49">
        <f t="shared" si="213"/>
        <v>1</v>
      </c>
      <c r="AW243" s="49">
        <f t="shared" si="214"/>
        <v>0</v>
      </c>
      <c r="AX243" s="49">
        <f t="shared" si="215"/>
        <v>0</v>
      </c>
      <c r="AY243" s="49">
        <f t="shared" si="216"/>
        <v>0</v>
      </c>
      <c r="AZ243" s="49">
        <f t="shared" si="217"/>
        <v>1</v>
      </c>
      <c r="BA243" s="49">
        <f t="shared" si="218"/>
        <v>0</v>
      </c>
      <c r="BB243" s="49">
        <f t="shared" si="219"/>
        <v>0</v>
      </c>
      <c r="BC243" s="49">
        <f t="shared" si="220"/>
        <v>0</v>
      </c>
      <c r="BD243" s="49">
        <f t="shared" si="221"/>
        <v>1</v>
      </c>
      <c r="BE243" s="49">
        <f t="shared" si="222"/>
        <v>0</v>
      </c>
      <c r="BF243" s="49">
        <f t="shared" si="223"/>
        <v>0</v>
      </c>
      <c r="BG243" s="49">
        <f t="shared" si="224"/>
        <v>0</v>
      </c>
      <c r="BH243" s="49">
        <f t="shared" si="225"/>
        <v>1</v>
      </c>
      <c r="BI243" s="49">
        <f t="shared" si="226"/>
        <v>0</v>
      </c>
      <c r="BJ243" s="49">
        <f t="shared" si="227"/>
        <v>0</v>
      </c>
      <c r="BK243" s="49">
        <f t="shared" si="228"/>
        <v>0</v>
      </c>
      <c r="BL243" s="49">
        <f t="shared" si="229"/>
        <v>1</v>
      </c>
      <c r="BM243" s="49">
        <f t="shared" si="230"/>
        <v>0</v>
      </c>
      <c r="BN243" s="49">
        <f t="shared" si="231"/>
        <v>0</v>
      </c>
      <c r="BO243" s="49">
        <f t="shared" si="232"/>
        <v>0</v>
      </c>
      <c r="BP243" s="49">
        <f t="shared" si="233"/>
        <v>1</v>
      </c>
      <c r="BQ243" s="49">
        <f t="shared" si="234"/>
        <v>0</v>
      </c>
      <c r="BR243" s="49">
        <f t="shared" si="235"/>
        <v>0</v>
      </c>
      <c r="BS243" s="49">
        <f t="shared" si="236"/>
        <v>0</v>
      </c>
      <c r="BT243" s="49">
        <f t="shared" si="237"/>
        <v>1</v>
      </c>
      <c r="BU243" s="49">
        <f t="shared" si="238"/>
        <v>0</v>
      </c>
      <c r="BV243" s="49">
        <f t="shared" si="239"/>
        <v>0</v>
      </c>
      <c r="BW243" s="49">
        <f t="shared" si="240"/>
        <v>0</v>
      </c>
    </row>
    <row r="244" spans="1:75" ht="35.1" customHeight="1" x14ac:dyDescent="0.3">
      <c r="A244" s="123" t="str">
        <f t="shared" si="205"/>
        <v>2팀</v>
      </c>
      <c r="B244" s="69">
        <f t="shared" si="206"/>
        <v>238</v>
      </c>
      <c r="C244" s="121" t="str">
        <f>IF(VLOOKUP($B244,'1. 현장별 인원현황'!$C:$J,2,0)=0,"",VLOOKUP($B244,'1. 현장별 인원현황'!$C:$J,2,0))</f>
        <v xml:space="preserve"> [2.신세계건설] 양주 옥정 물류센터 신축공사</v>
      </c>
      <c r="D244" s="74" t="str">
        <f>IF(VLOOKUP($B244,'1. 현장별 인원현황'!$C:$J,3,0)=0,"",VLOOKUP($B244,'1. 현장별 인원현황'!$C:$J,3,0))</f>
        <v>박진국</v>
      </c>
      <c r="E244" s="74" t="str">
        <f ca="1">IF(VLOOKUP($B244,'1. 현장별 인원현황'!$C:$J,4,0)=0,"",VLOOKUP($B244,'1. 현장별 인원현황'!$C:$J,4,0))</f>
        <v>52세</v>
      </c>
      <c r="F244" s="70" t="str">
        <f>IF(VLOOKUP($B244,'1. 현장별 인원현황'!$C:$J,7,0)=0,"",VLOOKUP($B244,'1. 현장별 인원현황'!$C:$J,7,0))</f>
        <v>기능공</v>
      </c>
      <c r="G244" s="72" t="str">
        <f>IF(VLOOKUP($B244,'1. 현장별 인원현황'!$C:$J,8,0)=0,"",VLOOKUP($B244,'1. 현장별 인원현황'!$C:$J,8,0))</f>
        <v>전공</v>
      </c>
      <c r="H244" s="67" t="s">
        <v>69</v>
      </c>
      <c r="I244" s="73"/>
      <c r="J244" s="73"/>
      <c r="K244" s="68"/>
      <c r="L244" s="67" t="s">
        <v>69</v>
      </c>
      <c r="M244" s="73"/>
      <c r="N244" s="73"/>
      <c r="O244" s="68"/>
      <c r="P244" s="67" t="s">
        <v>69</v>
      </c>
      <c r="Q244" s="73"/>
      <c r="R244" s="73"/>
      <c r="S244" s="68"/>
      <c r="T244" s="67" t="s">
        <v>69</v>
      </c>
      <c r="U244" s="73"/>
      <c r="V244" s="73"/>
      <c r="W244" s="68"/>
      <c r="X244" s="67" t="s">
        <v>69</v>
      </c>
      <c r="Y244" s="73"/>
      <c r="Z244" s="73"/>
      <c r="AA244" s="68"/>
      <c r="AB244" s="67" t="s">
        <v>69</v>
      </c>
      <c r="AC244" s="73"/>
      <c r="AD244" s="73"/>
      <c r="AE244" s="68"/>
      <c r="AF244" s="67" t="s">
        <v>69</v>
      </c>
      <c r="AG244" s="73"/>
      <c r="AH244" s="73"/>
      <c r="AI244" s="68"/>
      <c r="AJ244" s="67" t="s">
        <v>69</v>
      </c>
      <c r="AK244" s="73"/>
      <c r="AL244" s="73"/>
      <c r="AM244" s="68"/>
      <c r="AN244" s="67">
        <f t="shared" si="207"/>
        <v>100</v>
      </c>
      <c r="AO244" s="68" t="str">
        <f t="shared" si="208"/>
        <v>S</v>
      </c>
      <c r="AR244" s="49">
        <f t="shared" si="41"/>
        <v>1</v>
      </c>
      <c r="AS244" s="49">
        <f t="shared" si="42"/>
        <v>0</v>
      </c>
      <c r="AT244" s="49">
        <f t="shared" si="43"/>
        <v>0</v>
      </c>
      <c r="AU244" s="49">
        <f t="shared" si="44"/>
        <v>0</v>
      </c>
      <c r="AV244" s="49">
        <f t="shared" si="45"/>
        <v>1</v>
      </c>
      <c r="AW244" s="49">
        <f t="shared" si="46"/>
        <v>0</v>
      </c>
      <c r="AX244" s="49">
        <f t="shared" si="47"/>
        <v>0</v>
      </c>
      <c r="AY244" s="49">
        <f t="shared" si="48"/>
        <v>0</v>
      </c>
      <c r="AZ244" s="49">
        <f t="shared" si="49"/>
        <v>1</v>
      </c>
      <c r="BA244" s="49">
        <f t="shared" si="50"/>
        <v>0</v>
      </c>
      <c r="BB244" s="49">
        <f t="shared" si="51"/>
        <v>0</v>
      </c>
      <c r="BC244" s="49">
        <f t="shared" si="52"/>
        <v>0</v>
      </c>
      <c r="BD244" s="49">
        <f t="shared" si="53"/>
        <v>1</v>
      </c>
      <c r="BE244" s="49">
        <f t="shared" si="54"/>
        <v>0</v>
      </c>
      <c r="BF244" s="49">
        <f t="shared" si="55"/>
        <v>0</v>
      </c>
      <c r="BG244" s="49">
        <f t="shared" si="56"/>
        <v>0</v>
      </c>
      <c r="BH244" s="49">
        <f t="shared" si="57"/>
        <v>1</v>
      </c>
      <c r="BI244" s="49">
        <f t="shared" si="58"/>
        <v>0</v>
      </c>
      <c r="BJ244" s="49">
        <f t="shared" si="59"/>
        <v>0</v>
      </c>
      <c r="BK244" s="49">
        <f t="shared" si="60"/>
        <v>0</v>
      </c>
      <c r="BL244" s="49">
        <f t="shared" si="61"/>
        <v>1</v>
      </c>
      <c r="BM244" s="49">
        <f t="shared" si="62"/>
        <v>0</v>
      </c>
      <c r="BN244" s="49">
        <f t="shared" si="63"/>
        <v>0</v>
      </c>
      <c r="BO244" s="49">
        <f t="shared" si="64"/>
        <v>0</v>
      </c>
      <c r="BP244" s="49">
        <f t="shared" si="65"/>
        <v>1</v>
      </c>
      <c r="BQ244" s="49">
        <f t="shared" si="66"/>
        <v>0</v>
      </c>
      <c r="BR244" s="49">
        <f t="shared" si="67"/>
        <v>0</v>
      </c>
      <c r="BS244" s="49">
        <f t="shared" si="68"/>
        <v>0</v>
      </c>
      <c r="BT244" s="49">
        <f t="shared" si="69"/>
        <v>1</v>
      </c>
      <c r="BU244" s="49">
        <f t="shared" si="70"/>
        <v>0</v>
      </c>
      <c r="BV244" s="49">
        <f t="shared" si="71"/>
        <v>0</v>
      </c>
      <c r="BW244" s="49">
        <f t="shared" si="72"/>
        <v>0</v>
      </c>
    </row>
    <row r="245" spans="1:75" ht="35.1" customHeight="1" x14ac:dyDescent="0.3">
      <c r="A245" s="123" t="str">
        <f t="shared" si="205"/>
        <v>2팀</v>
      </c>
      <c r="B245" s="69">
        <f t="shared" si="206"/>
        <v>239</v>
      </c>
      <c r="C245" s="121" t="str">
        <f>IF(VLOOKUP($B245,'1. 현장별 인원현황'!$C:$J,2,0)=0,"",VLOOKUP($B245,'1. 현장별 인원현황'!$C:$J,2,0))</f>
        <v xml:space="preserve"> [2.신세계건설] 양주 옥정 물류센터 신축공사</v>
      </c>
      <c r="D245" s="74" t="str">
        <f>IF(VLOOKUP($B245,'1. 현장별 인원현황'!$C:$J,3,0)=0,"",VLOOKUP($B245,'1. 현장별 인원현황'!$C:$J,3,0))</f>
        <v>방현우</v>
      </c>
      <c r="E245" s="74" t="str">
        <f ca="1">IF(VLOOKUP($B245,'1. 현장별 인원현황'!$C:$J,4,0)=0,"",VLOOKUP($B245,'1. 현장별 인원현황'!$C:$J,4,0))</f>
        <v>30세</v>
      </c>
      <c r="F245" s="70" t="str">
        <f>IF(VLOOKUP($B245,'1. 현장별 인원현황'!$C:$J,7,0)=0,"",VLOOKUP($B245,'1. 현장별 인원현황'!$C:$J,7,0))</f>
        <v>기능공</v>
      </c>
      <c r="G245" s="72" t="str">
        <f>IF(VLOOKUP($B245,'1. 현장별 인원현황'!$C:$J,8,0)=0,"",VLOOKUP($B245,'1. 현장별 인원현황'!$C:$J,8,0))</f>
        <v>전공</v>
      </c>
      <c r="H245" s="67" t="s">
        <v>69</v>
      </c>
      <c r="I245" s="73"/>
      <c r="J245" s="73"/>
      <c r="K245" s="68"/>
      <c r="L245" s="67" t="s">
        <v>69</v>
      </c>
      <c r="M245" s="73"/>
      <c r="N245" s="73"/>
      <c r="O245" s="68"/>
      <c r="P245" s="67" t="s">
        <v>69</v>
      </c>
      <c r="Q245" s="73"/>
      <c r="R245" s="73"/>
      <c r="S245" s="68"/>
      <c r="T245" s="67" t="s">
        <v>69</v>
      </c>
      <c r="U245" s="73"/>
      <c r="V245" s="73"/>
      <c r="W245" s="68"/>
      <c r="X245" s="67" t="s">
        <v>69</v>
      </c>
      <c r="Y245" s="73"/>
      <c r="Z245" s="73"/>
      <c r="AA245" s="68"/>
      <c r="AB245" s="67" t="s">
        <v>69</v>
      </c>
      <c r="AC245" s="73"/>
      <c r="AD245" s="73"/>
      <c r="AE245" s="68"/>
      <c r="AF245" s="67" t="s">
        <v>69</v>
      </c>
      <c r="AG245" s="73"/>
      <c r="AH245" s="73"/>
      <c r="AI245" s="68"/>
      <c r="AJ245" s="67" t="s">
        <v>69</v>
      </c>
      <c r="AK245" s="73"/>
      <c r="AL245" s="73"/>
      <c r="AM245" s="68"/>
      <c r="AN245" s="67">
        <f t="shared" si="207"/>
        <v>100</v>
      </c>
      <c r="AO245" s="68" t="str">
        <f t="shared" si="208"/>
        <v>S</v>
      </c>
      <c r="AR245" s="49">
        <f t="shared" si="41"/>
        <v>1</v>
      </c>
      <c r="AS245" s="49">
        <f t="shared" si="42"/>
        <v>0</v>
      </c>
      <c r="AT245" s="49">
        <f t="shared" si="43"/>
        <v>0</v>
      </c>
      <c r="AU245" s="49">
        <f t="shared" si="44"/>
        <v>0</v>
      </c>
      <c r="AV245" s="49">
        <f t="shared" si="45"/>
        <v>1</v>
      </c>
      <c r="AW245" s="49">
        <f t="shared" si="46"/>
        <v>0</v>
      </c>
      <c r="AX245" s="49">
        <f t="shared" si="47"/>
        <v>0</v>
      </c>
      <c r="AY245" s="49">
        <f t="shared" si="48"/>
        <v>0</v>
      </c>
      <c r="AZ245" s="49">
        <f t="shared" si="49"/>
        <v>1</v>
      </c>
      <c r="BA245" s="49">
        <f t="shared" si="50"/>
        <v>0</v>
      </c>
      <c r="BB245" s="49">
        <f t="shared" si="51"/>
        <v>0</v>
      </c>
      <c r="BC245" s="49">
        <f t="shared" si="52"/>
        <v>0</v>
      </c>
      <c r="BD245" s="49">
        <f t="shared" si="53"/>
        <v>1</v>
      </c>
      <c r="BE245" s="49">
        <f t="shared" si="54"/>
        <v>0</v>
      </c>
      <c r="BF245" s="49">
        <f t="shared" si="55"/>
        <v>0</v>
      </c>
      <c r="BG245" s="49">
        <f t="shared" si="56"/>
        <v>0</v>
      </c>
      <c r="BH245" s="49">
        <f t="shared" si="57"/>
        <v>1</v>
      </c>
      <c r="BI245" s="49">
        <f t="shared" si="58"/>
        <v>0</v>
      </c>
      <c r="BJ245" s="49">
        <f t="shared" si="59"/>
        <v>0</v>
      </c>
      <c r="BK245" s="49">
        <f t="shared" si="60"/>
        <v>0</v>
      </c>
      <c r="BL245" s="49">
        <f t="shared" si="61"/>
        <v>1</v>
      </c>
      <c r="BM245" s="49">
        <f t="shared" si="62"/>
        <v>0</v>
      </c>
      <c r="BN245" s="49">
        <f t="shared" si="63"/>
        <v>0</v>
      </c>
      <c r="BO245" s="49">
        <f t="shared" si="64"/>
        <v>0</v>
      </c>
      <c r="BP245" s="49">
        <f t="shared" si="65"/>
        <v>1</v>
      </c>
      <c r="BQ245" s="49">
        <f t="shared" si="66"/>
        <v>0</v>
      </c>
      <c r="BR245" s="49">
        <f t="shared" si="67"/>
        <v>0</v>
      </c>
      <c r="BS245" s="49">
        <f t="shared" si="68"/>
        <v>0</v>
      </c>
      <c r="BT245" s="49">
        <f t="shared" si="69"/>
        <v>1</v>
      </c>
      <c r="BU245" s="49">
        <f t="shared" si="70"/>
        <v>0</v>
      </c>
      <c r="BV245" s="49">
        <f t="shared" si="71"/>
        <v>0</v>
      </c>
      <c r="BW245" s="49">
        <f t="shared" si="72"/>
        <v>0</v>
      </c>
    </row>
    <row r="246" spans="1:75" ht="35.1" customHeight="1" x14ac:dyDescent="0.3">
      <c r="A246" s="123" t="str">
        <f t="shared" si="205"/>
        <v>2팀</v>
      </c>
      <c r="B246" s="69">
        <f t="shared" si="206"/>
        <v>240</v>
      </c>
      <c r="C246" s="121" t="str">
        <f>IF(VLOOKUP($B246,'1. 현장별 인원현황'!$C:$J,2,0)=0,"",VLOOKUP($B246,'1. 현장별 인원현황'!$C:$J,2,0))</f>
        <v xml:space="preserve"> [2.신세계건설] 양주 옥정 물류센터 신축공사</v>
      </c>
      <c r="D246" s="74" t="str">
        <f>IF(VLOOKUP($B246,'1. 현장별 인원현황'!$C:$J,3,0)=0,"",VLOOKUP($B246,'1. 현장별 인원현황'!$C:$J,3,0))</f>
        <v>서동민</v>
      </c>
      <c r="E246" s="74" t="str">
        <f ca="1">IF(VLOOKUP($B246,'1. 현장별 인원현황'!$C:$J,4,0)=0,"",VLOOKUP($B246,'1. 현장별 인원현황'!$C:$J,4,0))</f>
        <v>53세</v>
      </c>
      <c r="F246" s="70" t="str">
        <f>IF(VLOOKUP($B246,'1. 현장별 인원현황'!$C:$J,7,0)=0,"",VLOOKUP($B246,'1. 현장별 인원현황'!$C:$J,7,0))</f>
        <v>기능공</v>
      </c>
      <c r="G246" s="72" t="str">
        <f>IF(VLOOKUP($B246,'1. 현장별 인원현황'!$C:$J,8,0)=0,"",VLOOKUP($B246,'1. 현장별 인원현황'!$C:$J,8,0))</f>
        <v>전공</v>
      </c>
      <c r="H246" s="67" t="s">
        <v>69</v>
      </c>
      <c r="I246" s="73"/>
      <c r="J246" s="73"/>
      <c r="K246" s="68"/>
      <c r="L246" s="67" t="s">
        <v>69</v>
      </c>
      <c r="M246" s="73"/>
      <c r="N246" s="73"/>
      <c r="O246" s="68"/>
      <c r="P246" s="67" t="s">
        <v>69</v>
      </c>
      <c r="Q246" s="73"/>
      <c r="R246" s="73"/>
      <c r="S246" s="68"/>
      <c r="T246" s="67" t="s">
        <v>69</v>
      </c>
      <c r="U246" s="73"/>
      <c r="V246" s="73"/>
      <c r="W246" s="68"/>
      <c r="X246" s="67" t="s">
        <v>69</v>
      </c>
      <c r="Y246" s="73"/>
      <c r="Z246" s="73"/>
      <c r="AA246" s="68"/>
      <c r="AB246" s="67" t="s">
        <v>69</v>
      </c>
      <c r="AC246" s="73"/>
      <c r="AD246" s="73"/>
      <c r="AE246" s="68"/>
      <c r="AF246" s="67" t="s">
        <v>69</v>
      </c>
      <c r="AG246" s="73"/>
      <c r="AH246" s="73"/>
      <c r="AI246" s="68"/>
      <c r="AJ246" s="67" t="s">
        <v>69</v>
      </c>
      <c r="AK246" s="73"/>
      <c r="AL246" s="73"/>
      <c r="AM246" s="68"/>
      <c r="AN246" s="67">
        <f t="shared" si="207"/>
        <v>100</v>
      </c>
      <c r="AO246" s="68" t="str">
        <f t="shared" si="208"/>
        <v>S</v>
      </c>
      <c r="AR246" s="49">
        <f t="shared" si="41"/>
        <v>1</v>
      </c>
      <c r="AS246" s="49">
        <f t="shared" si="42"/>
        <v>0</v>
      </c>
      <c r="AT246" s="49">
        <f t="shared" si="43"/>
        <v>0</v>
      </c>
      <c r="AU246" s="49">
        <f t="shared" si="44"/>
        <v>0</v>
      </c>
      <c r="AV246" s="49">
        <f t="shared" si="45"/>
        <v>1</v>
      </c>
      <c r="AW246" s="49">
        <f t="shared" si="46"/>
        <v>0</v>
      </c>
      <c r="AX246" s="49">
        <f t="shared" si="47"/>
        <v>0</v>
      </c>
      <c r="AY246" s="49">
        <f t="shared" si="48"/>
        <v>0</v>
      </c>
      <c r="AZ246" s="49">
        <f t="shared" si="49"/>
        <v>1</v>
      </c>
      <c r="BA246" s="49">
        <f t="shared" si="50"/>
        <v>0</v>
      </c>
      <c r="BB246" s="49">
        <f t="shared" si="51"/>
        <v>0</v>
      </c>
      <c r="BC246" s="49">
        <f t="shared" si="52"/>
        <v>0</v>
      </c>
      <c r="BD246" s="49">
        <f t="shared" si="53"/>
        <v>1</v>
      </c>
      <c r="BE246" s="49">
        <f t="shared" si="54"/>
        <v>0</v>
      </c>
      <c r="BF246" s="49">
        <f t="shared" si="55"/>
        <v>0</v>
      </c>
      <c r="BG246" s="49">
        <f t="shared" si="56"/>
        <v>0</v>
      </c>
      <c r="BH246" s="49">
        <f t="shared" si="57"/>
        <v>1</v>
      </c>
      <c r="BI246" s="49">
        <f t="shared" si="58"/>
        <v>0</v>
      </c>
      <c r="BJ246" s="49">
        <f t="shared" si="59"/>
        <v>0</v>
      </c>
      <c r="BK246" s="49">
        <f t="shared" si="60"/>
        <v>0</v>
      </c>
      <c r="BL246" s="49">
        <f t="shared" si="61"/>
        <v>1</v>
      </c>
      <c r="BM246" s="49">
        <f t="shared" si="62"/>
        <v>0</v>
      </c>
      <c r="BN246" s="49">
        <f t="shared" si="63"/>
        <v>0</v>
      </c>
      <c r="BO246" s="49">
        <f t="shared" si="64"/>
        <v>0</v>
      </c>
      <c r="BP246" s="49">
        <f t="shared" si="65"/>
        <v>1</v>
      </c>
      <c r="BQ246" s="49">
        <f t="shared" si="66"/>
        <v>0</v>
      </c>
      <c r="BR246" s="49">
        <f t="shared" si="67"/>
        <v>0</v>
      </c>
      <c r="BS246" s="49">
        <f t="shared" si="68"/>
        <v>0</v>
      </c>
      <c r="BT246" s="49">
        <f t="shared" si="69"/>
        <v>1</v>
      </c>
      <c r="BU246" s="49">
        <f t="shared" si="70"/>
        <v>0</v>
      </c>
      <c r="BV246" s="49">
        <f t="shared" si="71"/>
        <v>0</v>
      </c>
      <c r="BW246" s="49">
        <f t="shared" si="72"/>
        <v>0</v>
      </c>
    </row>
    <row r="247" spans="1:75" ht="35.1" customHeight="1" x14ac:dyDescent="0.3">
      <c r="A247" s="123" t="str">
        <f t="shared" si="205"/>
        <v>2팀</v>
      </c>
      <c r="B247" s="69">
        <f t="shared" si="206"/>
        <v>241</v>
      </c>
      <c r="C247" s="121" t="str">
        <f>IF(VLOOKUP($B247,'1. 현장별 인원현황'!$C:$J,2,0)=0,"",VLOOKUP($B247,'1. 현장별 인원현황'!$C:$J,2,0))</f>
        <v xml:space="preserve"> [2.신세계건설] 양주 옥정 물류센터 신축공사</v>
      </c>
      <c r="D247" s="74" t="str">
        <f>IF(VLOOKUP($B247,'1. 현장별 인원현황'!$C:$J,3,0)=0,"",VLOOKUP($B247,'1. 현장별 인원현황'!$C:$J,3,0))</f>
        <v>손인호</v>
      </c>
      <c r="E247" s="74" t="str">
        <f ca="1">IF(VLOOKUP($B247,'1. 현장별 인원현황'!$C:$J,4,0)=0,"",VLOOKUP($B247,'1. 현장별 인원현황'!$C:$J,4,0))</f>
        <v>54세</v>
      </c>
      <c r="F247" s="70" t="str">
        <f>IF(VLOOKUP($B247,'1. 현장별 인원현황'!$C:$J,7,0)=0,"",VLOOKUP($B247,'1. 현장별 인원현황'!$C:$J,7,0))</f>
        <v>기능공</v>
      </c>
      <c r="G247" s="72" t="str">
        <f>IF(VLOOKUP($B247,'1. 현장별 인원현황'!$C:$J,8,0)=0,"",VLOOKUP($B247,'1. 현장별 인원현황'!$C:$J,8,0))</f>
        <v>과장</v>
      </c>
      <c r="H247" s="67" t="s">
        <v>69</v>
      </c>
      <c r="I247" s="73"/>
      <c r="J247" s="73"/>
      <c r="K247" s="68"/>
      <c r="L247" s="67" t="s">
        <v>69</v>
      </c>
      <c r="M247" s="73"/>
      <c r="N247" s="73"/>
      <c r="O247" s="68"/>
      <c r="P247" s="67" t="s">
        <v>69</v>
      </c>
      <c r="Q247" s="73"/>
      <c r="R247" s="73"/>
      <c r="S247" s="68"/>
      <c r="T247" s="67" t="s">
        <v>69</v>
      </c>
      <c r="U247" s="73"/>
      <c r="V247" s="73"/>
      <c r="W247" s="68"/>
      <c r="X247" s="67" t="s">
        <v>69</v>
      </c>
      <c r="Y247" s="73"/>
      <c r="Z247" s="73"/>
      <c r="AA247" s="68"/>
      <c r="AB247" s="67" t="s">
        <v>69</v>
      </c>
      <c r="AC247" s="73"/>
      <c r="AD247" s="73"/>
      <c r="AE247" s="68"/>
      <c r="AF247" s="67" t="s">
        <v>69</v>
      </c>
      <c r="AG247" s="73"/>
      <c r="AH247" s="73"/>
      <c r="AI247" s="68"/>
      <c r="AJ247" s="67" t="s">
        <v>69</v>
      </c>
      <c r="AK247" s="73"/>
      <c r="AL247" s="73"/>
      <c r="AM247" s="68"/>
      <c r="AN247" s="67">
        <f t="shared" si="207"/>
        <v>100</v>
      </c>
      <c r="AO247" s="68" t="str">
        <f t="shared" si="208"/>
        <v>S</v>
      </c>
      <c r="AR247" s="49">
        <f t="shared" si="41"/>
        <v>1</v>
      </c>
      <c r="AS247" s="49">
        <f t="shared" si="42"/>
        <v>0</v>
      </c>
      <c r="AT247" s="49">
        <f t="shared" si="43"/>
        <v>0</v>
      </c>
      <c r="AU247" s="49">
        <f t="shared" si="44"/>
        <v>0</v>
      </c>
      <c r="AV247" s="49">
        <f t="shared" si="45"/>
        <v>1</v>
      </c>
      <c r="AW247" s="49">
        <f t="shared" si="46"/>
        <v>0</v>
      </c>
      <c r="AX247" s="49">
        <f t="shared" si="47"/>
        <v>0</v>
      </c>
      <c r="AY247" s="49">
        <f t="shared" si="48"/>
        <v>0</v>
      </c>
      <c r="AZ247" s="49">
        <f t="shared" si="49"/>
        <v>1</v>
      </c>
      <c r="BA247" s="49">
        <f t="shared" si="50"/>
        <v>0</v>
      </c>
      <c r="BB247" s="49">
        <f t="shared" si="51"/>
        <v>0</v>
      </c>
      <c r="BC247" s="49">
        <f t="shared" si="52"/>
        <v>0</v>
      </c>
      <c r="BD247" s="49">
        <f t="shared" si="53"/>
        <v>1</v>
      </c>
      <c r="BE247" s="49">
        <f t="shared" si="54"/>
        <v>0</v>
      </c>
      <c r="BF247" s="49">
        <f t="shared" si="55"/>
        <v>0</v>
      </c>
      <c r="BG247" s="49">
        <f t="shared" si="56"/>
        <v>0</v>
      </c>
      <c r="BH247" s="49">
        <f t="shared" si="57"/>
        <v>1</v>
      </c>
      <c r="BI247" s="49">
        <f t="shared" si="58"/>
        <v>0</v>
      </c>
      <c r="BJ247" s="49">
        <f t="shared" si="59"/>
        <v>0</v>
      </c>
      <c r="BK247" s="49">
        <f t="shared" si="60"/>
        <v>0</v>
      </c>
      <c r="BL247" s="49">
        <f t="shared" si="61"/>
        <v>1</v>
      </c>
      <c r="BM247" s="49">
        <f t="shared" si="62"/>
        <v>0</v>
      </c>
      <c r="BN247" s="49">
        <f t="shared" si="63"/>
        <v>0</v>
      </c>
      <c r="BO247" s="49">
        <f t="shared" si="64"/>
        <v>0</v>
      </c>
      <c r="BP247" s="49">
        <f t="shared" si="65"/>
        <v>1</v>
      </c>
      <c r="BQ247" s="49">
        <f t="shared" si="66"/>
        <v>0</v>
      </c>
      <c r="BR247" s="49">
        <f t="shared" si="67"/>
        <v>0</v>
      </c>
      <c r="BS247" s="49">
        <f t="shared" si="68"/>
        <v>0</v>
      </c>
      <c r="BT247" s="49">
        <f t="shared" si="69"/>
        <v>1</v>
      </c>
      <c r="BU247" s="49">
        <f t="shared" si="70"/>
        <v>0</v>
      </c>
      <c r="BV247" s="49">
        <f t="shared" si="71"/>
        <v>0</v>
      </c>
      <c r="BW247" s="49">
        <f t="shared" si="72"/>
        <v>0</v>
      </c>
    </row>
    <row r="248" spans="1:75" ht="35.1" customHeight="1" x14ac:dyDescent="0.3">
      <c r="A248" s="123" t="str">
        <f t="shared" si="205"/>
        <v>2팀</v>
      </c>
      <c r="B248" s="69">
        <f t="shared" si="206"/>
        <v>242</v>
      </c>
      <c r="C248" s="121" t="str">
        <f>IF(VLOOKUP($B248,'1. 현장별 인원현황'!$C:$J,2,0)=0,"",VLOOKUP($B248,'1. 현장별 인원현황'!$C:$J,2,0))</f>
        <v xml:space="preserve"> [2.신세계건설] 양주 옥정 물류센터 신축공사</v>
      </c>
      <c r="D248" s="74" t="str">
        <f>IF(VLOOKUP($B248,'1. 현장별 인원현황'!$C:$J,3,0)=0,"",VLOOKUP($B248,'1. 현장별 인원현황'!$C:$J,3,0))</f>
        <v>신대식</v>
      </c>
      <c r="E248" s="74" t="str">
        <f ca="1">IF(VLOOKUP($B248,'1. 현장별 인원현황'!$C:$J,4,0)=0,"",VLOOKUP($B248,'1. 현장별 인원현황'!$C:$J,4,0))</f>
        <v>62세</v>
      </c>
      <c r="F248" s="70" t="str">
        <f>IF(VLOOKUP($B248,'1. 현장별 인원현황'!$C:$J,7,0)=0,"",VLOOKUP($B248,'1. 현장별 인원현황'!$C:$J,7,0))</f>
        <v>기능공</v>
      </c>
      <c r="G248" s="72" t="str">
        <f>IF(VLOOKUP($B248,'1. 현장별 인원현황'!$C:$J,8,0)=0,"",VLOOKUP($B248,'1. 현장별 인원현황'!$C:$J,8,0))</f>
        <v>전공</v>
      </c>
      <c r="H248" s="67" t="s">
        <v>69</v>
      </c>
      <c r="I248" s="73"/>
      <c r="J248" s="73"/>
      <c r="K248" s="68"/>
      <c r="L248" s="67" t="s">
        <v>69</v>
      </c>
      <c r="M248" s="73"/>
      <c r="N248" s="73"/>
      <c r="O248" s="68"/>
      <c r="P248" s="67" t="s">
        <v>69</v>
      </c>
      <c r="Q248" s="73"/>
      <c r="R248" s="73"/>
      <c r="S248" s="68"/>
      <c r="T248" s="67" t="s">
        <v>69</v>
      </c>
      <c r="U248" s="73"/>
      <c r="V248" s="73"/>
      <c r="W248" s="68"/>
      <c r="X248" s="67" t="s">
        <v>69</v>
      </c>
      <c r="Y248" s="73"/>
      <c r="Z248" s="73"/>
      <c r="AA248" s="68"/>
      <c r="AB248" s="67" t="s">
        <v>69</v>
      </c>
      <c r="AC248" s="73"/>
      <c r="AD248" s="73"/>
      <c r="AE248" s="68"/>
      <c r="AF248" s="67" t="s">
        <v>69</v>
      </c>
      <c r="AG248" s="73"/>
      <c r="AH248" s="73"/>
      <c r="AI248" s="68"/>
      <c r="AJ248" s="67" t="s">
        <v>69</v>
      </c>
      <c r="AK248" s="73"/>
      <c r="AL248" s="73"/>
      <c r="AM248" s="68"/>
      <c r="AN248" s="67">
        <f t="shared" si="207"/>
        <v>100</v>
      </c>
      <c r="AO248" s="68" t="str">
        <f t="shared" si="208"/>
        <v>S</v>
      </c>
      <c r="AR248" s="49">
        <f t="shared" si="41"/>
        <v>1</v>
      </c>
      <c r="AS248" s="49">
        <f t="shared" si="42"/>
        <v>0</v>
      </c>
      <c r="AT248" s="49">
        <f t="shared" si="43"/>
        <v>0</v>
      </c>
      <c r="AU248" s="49">
        <f t="shared" si="44"/>
        <v>0</v>
      </c>
      <c r="AV248" s="49">
        <f t="shared" si="45"/>
        <v>1</v>
      </c>
      <c r="AW248" s="49">
        <f t="shared" si="46"/>
        <v>0</v>
      </c>
      <c r="AX248" s="49">
        <f t="shared" si="47"/>
        <v>0</v>
      </c>
      <c r="AY248" s="49">
        <f t="shared" si="48"/>
        <v>0</v>
      </c>
      <c r="AZ248" s="49">
        <f t="shared" si="49"/>
        <v>1</v>
      </c>
      <c r="BA248" s="49">
        <f t="shared" si="50"/>
        <v>0</v>
      </c>
      <c r="BB248" s="49">
        <f t="shared" si="51"/>
        <v>0</v>
      </c>
      <c r="BC248" s="49">
        <f t="shared" si="52"/>
        <v>0</v>
      </c>
      <c r="BD248" s="49">
        <f t="shared" si="53"/>
        <v>1</v>
      </c>
      <c r="BE248" s="49">
        <f t="shared" si="54"/>
        <v>0</v>
      </c>
      <c r="BF248" s="49">
        <f t="shared" si="55"/>
        <v>0</v>
      </c>
      <c r="BG248" s="49">
        <f t="shared" si="56"/>
        <v>0</v>
      </c>
      <c r="BH248" s="49">
        <f t="shared" si="57"/>
        <v>1</v>
      </c>
      <c r="BI248" s="49">
        <f t="shared" si="58"/>
        <v>0</v>
      </c>
      <c r="BJ248" s="49">
        <f t="shared" si="59"/>
        <v>0</v>
      </c>
      <c r="BK248" s="49">
        <f t="shared" si="60"/>
        <v>0</v>
      </c>
      <c r="BL248" s="49">
        <f t="shared" si="61"/>
        <v>1</v>
      </c>
      <c r="BM248" s="49">
        <f t="shared" si="62"/>
        <v>0</v>
      </c>
      <c r="BN248" s="49">
        <f t="shared" si="63"/>
        <v>0</v>
      </c>
      <c r="BO248" s="49">
        <f t="shared" si="64"/>
        <v>0</v>
      </c>
      <c r="BP248" s="49">
        <f t="shared" si="65"/>
        <v>1</v>
      </c>
      <c r="BQ248" s="49">
        <f t="shared" si="66"/>
        <v>0</v>
      </c>
      <c r="BR248" s="49">
        <f t="shared" si="67"/>
        <v>0</v>
      </c>
      <c r="BS248" s="49">
        <f t="shared" si="68"/>
        <v>0</v>
      </c>
      <c r="BT248" s="49">
        <f t="shared" si="69"/>
        <v>1</v>
      </c>
      <c r="BU248" s="49">
        <f t="shared" si="70"/>
        <v>0</v>
      </c>
      <c r="BV248" s="49">
        <f t="shared" si="71"/>
        <v>0</v>
      </c>
      <c r="BW248" s="49">
        <f t="shared" si="72"/>
        <v>0</v>
      </c>
    </row>
    <row r="249" spans="1:75" ht="35.1" customHeight="1" x14ac:dyDescent="0.3">
      <c r="A249" s="123" t="str">
        <f t="shared" si="205"/>
        <v>2팀</v>
      </c>
      <c r="B249" s="69">
        <f t="shared" si="206"/>
        <v>243</v>
      </c>
      <c r="C249" s="121" t="str">
        <f>IF(VLOOKUP($B249,'1. 현장별 인원현황'!$C:$J,2,0)=0,"",VLOOKUP($B249,'1. 현장별 인원현황'!$C:$J,2,0))</f>
        <v xml:space="preserve"> [2.신세계건설] 양주 옥정 물류센터 신축공사</v>
      </c>
      <c r="D249" s="74" t="str">
        <f>IF(VLOOKUP($B249,'1. 현장별 인원현황'!$C:$J,3,0)=0,"",VLOOKUP($B249,'1. 현장별 인원현황'!$C:$J,3,0))</f>
        <v>신효식</v>
      </c>
      <c r="E249" s="74" t="str">
        <f ca="1">IF(VLOOKUP($B249,'1. 현장별 인원현황'!$C:$J,4,0)=0,"",VLOOKUP($B249,'1. 현장별 인원현황'!$C:$J,4,0))</f>
        <v>53세</v>
      </c>
      <c r="F249" s="70" t="str">
        <f>IF(VLOOKUP($B249,'1. 현장별 인원현황'!$C:$J,7,0)=0,"",VLOOKUP($B249,'1. 현장별 인원현황'!$C:$J,7,0))</f>
        <v>기능공</v>
      </c>
      <c r="G249" s="72" t="str">
        <f>IF(VLOOKUP($B249,'1. 현장별 인원현황'!$C:$J,8,0)=0,"",VLOOKUP($B249,'1. 현장별 인원현황'!$C:$J,8,0))</f>
        <v>전공</v>
      </c>
      <c r="H249" s="67" t="s">
        <v>69</v>
      </c>
      <c r="I249" s="73"/>
      <c r="J249" s="73"/>
      <c r="K249" s="68"/>
      <c r="L249" s="67" t="s">
        <v>69</v>
      </c>
      <c r="M249" s="73"/>
      <c r="N249" s="73"/>
      <c r="O249" s="68"/>
      <c r="P249" s="67" t="s">
        <v>69</v>
      </c>
      <c r="Q249" s="73"/>
      <c r="R249" s="73"/>
      <c r="S249" s="68"/>
      <c r="T249" s="67" t="s">
        <v>69</v>
      </c>
      <c r="U249" s="73"/>
      <c r="V249" s="73"/>
      <c r="W249" s="68"/>
      <c r="X249" s="67" t="s">
        <v>69</v>
      </c>
      <c r="Y249" s="73"/>
      <c r="Z249" s="73"/>
      <c r="AA249" s="68"/>
      <c r="AB249" s="67" t="s">
        <v>69</v>
      </c>
      <c r="AC249" s="73"/>
      <c r="AD249" s="73"/>
      <c r="AE249" s="68"/>
      <c r="AF249" s="67" t="s">
        <v>69</v>
      </c>
      <c r="AG249" s="73"/>
      <c r="AH249" s="73"/>
      <c r="AI249" s="68"/>
      <c r="AJ249" s="67" t="s">
        <v>69</v>
      </c>
      <c r="AK249" s="73"/>
      <c r="AL249" s="73"/>
      <c r="AM249" s="68"/>
      <c r="AN249" s="67">
        <f t="shared" si="207"/>
        <v>100</v>
      </c>
      <c r="AO249" s="68" t="str">
        <f t="shared" si="208"/>
        <v>S</v>
      </c>
      <c r="AR249" s="49">
        <f t="shared" si="41"/>
        <v>1</v>
      </c>
      <c r="AS249" s="49">
        <f t="shared" si="42"/>
        <v>0</v>
      </c>
      <c r="AT249" s="49">
        <f t="shared" si="43"/>
        <v>0</v>
      </c>
      <c r="AU249" s="49">
        <f t="shared" si="44"/>
        <v>0</v>
      </c>
      <c r="AV249" s="49">
        <f t="shared" si="45"/>
        <v>1</v>
      </c>
      <c r="AW249" s="49">
        <f t="shared" si="46"/>
        <v>0</v>
      </c>
      <c r="AX249" s="49">
        <f t="shared" si="47"/>
        <v>0</v>
      </c>
      <c r="AY249" s="49">
        <f t="shared" si="48"/>
        <v>0</v>
      </c>
      <c r="AZ249" s="49">
        <f t="shared" si="49"/>
        <v>1</v>
      </c>
      <c r="BA249" s="49">
        <f t="shared" si="50"/>
        <v>0</v>
      </c>
      <c r="BB249" s="49">
        <f t="shared" si="51"/>
        <v>0</v>
      </c>
      <c r="BC249" s="49">
        <f t="shared" si="52"/>
        <v>0</v>
      </c>
      <c r="BD249" s="49">
        <f t="shared" si="53"/>
        <v>1</v>
      </c>
      <c r="BE249" s="49">
        <f t="shared" si="54"/>
        <v>0</v>
      </c>
      <c r="BF249" s="49">
        <f t="shared" si="55"/>
        <v>0</v>
      </c>
      <c r="BG249" s="49">
        <f t="shared" si="56"/>
        <v>0</v>
      </c>
      <c r="BH249" s="49">
        <f t="shared" si="57"/>
        <v>1</v>
      </c>
      <c r="BI249" s="49">
        <f t="shared" si="58"/>
        <v>0</v>
      </c>
      <c r="BJ249" s="49">
        <f t="shared" si="59"/>
        <v>0</v>
      </c>
      <c r="BK249" s="49">
        <f t="shared" si="60"/>
        <v>0</v>
      </c>
      <c r="BL249" s="49">
        <f t="shared" si="61"/>
        <v>1</v>
      </c>
      <c r="BM249" s="49">
        <f t="shared" si="62"/>
        <v>0</v>
      </c>
      <c r="BN249" s="49">
        <f t="shared" si="63"/>
        <v>0</v>
      </c>
      <c r="BO249" s="49">
        <f t="shared" si="64"/>
        <v>0</v>
      </c>
      <c r="BP249" s="49">
        <f t="shared" si="65"/>
        <v>1</v>
      </c>
      <c r="BQ249" s="49">
        <f t="shared" si="66"/>
        <v>0</v>
      </c>
      <c r="BR249" s="49">
        <f t="shared" si="67"/>
        <v>0</v>
      </c>
      <c r="BS249" s="49">
        <f t="shared" si="68"/>
        <v>0</v>
      </c>
      <c r="BT249" s="49">
        <f t="shared" si="69"/>
        <v>1</v>
      </c>
      <c r="BU249" s="49">
        <f t="shared" si="70"/>
        <v>0</v>
      </c>
      <c r="BV249" s="49">
        <f t="shared" si="71"/>
        <v>0</v>
      </c>
      <c r="BW249" s="49">
        <f t="shared" si="72"/>
        <v>0</v>
      </c>
    </row>
    <row r="250" spans="1:75" ht="35.1" customHeight="1" x14ac:dyDescent="0.3">
      <c r="A250" s="123" t="str">
        <f t="shared" si="205"/>
        <v>2팀</v>
      </c>
      <c r="B250" s="69">
        <f t="shared" si="206"/>
        <v>244</v>
      </c>
      <c r="C250" s="121" t="str">
        <f>IF(VLOOKUP($B250,'1. 현장별 인원현황'!$C:$J,2,0)=0,"",VLOOKUP($B250,'1. 현장별 인원현황'!$C:$J,2,0))</f>
        <v xml:space="preserve"> [2.신세계건설] 양주 옥정 물류센터 신축공사</v>
      </c>
      <c r="D250" s="74" t="str">
        <f>IF(VLOOKUP($B250,'1. 현장별 인원현황'!$C:$J,3,0)=0,"",VLOOKUP($B250,'1. 현장별 인원현황'!$C:$J,3,0))</f>
        <v>심경태</v>
      </c>
      <c r="E250" s="74" t="str">
        <f ca="1">IF(VLOOKUP($B250,'1. 현장별 인원현황'!$C:$J,4,0)=0,"",VLOOKUP($B250,'1. 현장별 인원현황'!$C:$J,4,0))</f>
        <v>56세</v>
      </c>
      <c r="F250" s="70" t="str">
        <f>IF(VLOOKUP($B250,'1. 현장별 인원현황'!$C:$J,7,0)=0,"",VLOOKUP($B250,'1. 현장별 인원현황'!$C:$J,7,0))</f>
        <v>기능공</v>
      </c>
      <c r="G250" s="72" t="str">
        <f>IF(VLOOKUP($B250,'1. 현장별 인원현황'!$C:$J,8,0)=0,"",VLOOKUP($B250,'1. 현장별 인원현황'!$C:$J,8,0))</f>
        <v>전공</v>
      </c>
      <c r="H250" s="67" t="s">
        <v>69</v>
      </c>
      <c r="I250" s="73"/>
      <c r="J250" s="73"/>
      <c r="K250" s="68"/>
      <c r="L250" s="67" t="s">
        <v>69</v>
      </c>
      <c r="M250" s="73"/>
      <c r="N250" s="73"/>
      <c r="O250" s="68"/>
      <c r="P250" s="67" t="s">
        <v>69</v>
      </c>
      <c r="Q250" s="73"/>
      <c r="R250" s="73"/>
      <c r="S250" s="68"/>
      <c r="T250" s="67" t="s">
        <v>69</v>
      </c>
      <c r="U250" s="73"/>
      <c r="V250" s="73"/>
      <c r="W250" s="68"/>
      <c r="X250" s="67" t="s">
        <v>69</v>
      </c>
      <c r="Y250" s="73"/>
      <c r="Z250" s="73"/>
      <c r="AA250" s="68"/>
      <c r="AB250" s="67" t="s">
        <v>69</v>
      </c>
      <c r="AC250" s="73"/>
      <c r="AD250" s="73"/>
      <c r="AE250" s="68"/>
      <c r="AF250" s="67" t="s">
        <v>69</v>
      </c>
      <c r="AG250" s="73"/>
      <c r="AH250" s="73"/>
      <c r="AI250" s="68"/>
      <c r="AJ250" s="67" t="s">
        <v>69</v>
      </c>
      <c r="AK250" s="73"/>
      <c r="AL250" s="73"/>
      <c r="AM250" s="68"/>
      <c r="AN250" s="67">
        <f t="shared" si="207"/>
        <v>100</v>
      </c>
      <c r="AO250" s="68" t="str">
        <f t="shared" si="208"/>
        <v>S</v>
      </c>
      <c r="AR250" s="49">
        <f t="shared" si="41"/>
        <v>1</v>
      </c>
      <c r="AS250" s="49">
        <f t="shared" si="42"/>
        <v>0</v>
      </c>
      <c r="AT250" s="49">
        <f t="shared" si="43"/>
        <v>0</v>
      </c>
      <c r="AU250" s="49">
        <f t="shared" si="44"/>
        <v>0</v>
      </c>
      <c r="AV250" s="49">
        <f t="shared" si="45"/>
        <v>1</v>
      </c>
      <c r="AW250" s="49">
        <f t="shared" si="46"/>
        <v>0</v>
      </c>
      <c r="AX250" s="49">
        <f t="shared" si="47"/>
        <v>0</v>
      </c>
      <c r="AY250" s="49">
        <f t="shared" si="48"/>
        <v>0</v>
      </c>
      <c r="AZ250" s="49">
        <f t="shared" si="49"/>
        <v>1</v>
      </c>
      <c r="BA250" s="49">
        <f t="shared" si="50"/>
        <v>0</v>
      </c>
      <c r="BB250" s="49">
        <f t="shared" si="51"/>
        <v>0</v>
      </c>
      <c r="BC250" s="49">
        <f t="shared" si="52"/>
        <v>0</v>
      </c>
      <c r="BD250" s="49">
        <f t="shared" si="53"/>
        <v>1</v>
      </c>
      <c r="BE250" s="49">
        <f t="shared" si="54"/>
        <v>0</v>
      </c>
      <c r="BF250" s="49">
        <f t="shared" si="55"/>
        <v>0</v>
      </c>
      <c r="BG250" s="49">
        <f t="shared" si="56"/>
        <v>0</v>
      </c>
      <c r="BH250" s="49">
        <f t="shared" si="57"/>
        <v>1</v>
      </c>
      <c r="BI250" s="49">
        <f t="shared" si="58"/>
        <v>0</v>
      </c>
      <c r="BJ250" s="49">
        <f t="shared" si="59"/>
        <v>0</v>
      </c>
      <c r="BK250" s="49">
        <f t="shared" si="60"/>
        <v>0</v>
      </c>
      <c r="BL250" s="49">
        <f t="shared" si="61"/>
        <v>1</v>
      </c>
      <c r="BM250" s="49">
        <f t="shared" si="62"/>
        <v>0</v>
      </c>
      <c r="BN250" s="49">
        <f t="shared" si="63"/>
        <v>0</v>
      </c>
      <c r="BO250" s="49">
        <f t="shared" si="64"/>
        <v>0</v>
      </c>
      <c r="BP250" s="49">
        <f t="shared" si="65"/>
        <v>1</v>
      </c>
      <c r="BQ250" s="49">
        <f t="shared" si="66"/>
        <v>0</v>
      </c>
      <c r="BR250" s="49">
        <f t="shared" si="67"/>
        <v>0</v>
      </c>
      <c r="BS250" s="49">
        <f t="shared" si="68"/>
        <v>0</v>
      </c>
      <c r="BT250" s="49">
        <f t="shared" si="69"/>
        <v>1</v>
      </c>
      <c r="BU250" s="49">
        <f t="shared" si="70"/>
        <v>0</v>
      </c>
      <c r="BV250" s="49">
        <f t="shared" si="71"/>
        <v>0</v>
      </c>
      <c r="BW250" s="49">
        <f t="shared" si="72"/>
        <v>0</v>
      </c>
    </row>
    <row r="251" spans="1:75" ht="35.1" customHeight="1" x14ac:dyDescent="0.3">
      <c r="A251" s="123" t="str">
        <f t="shared" si="205"/>
        <v>2팀</v>
      </c>
      <c r="B251" s="69">
        <f t="shared" si="206"/>
        <v>245</v>
      </c>
      <c r="C251" s="121" t="str">
        <f>IF(VLOOKUP($B251,'1. 현장별 인원현황'!$C:$J,2,0)=0,"",VLOOKUP($B251,'1. 현장별 인원현황'!$C:$J,2,0))</f>
        <v xml:space="preserve"> [2.신세계건설] 양주 옥정 물류센터 신축공사</v>
      </c>
      <c r="D251" s="74" t="str">
        <f>IF(VLOOKUP($B251,'1. 현장별 인원현황'!$C:$J,3,0)=0,"",VLOOKUP($B251,'1. 현장별 인원현황'!$C:$J,3,0))</f>
        <v>심충보</v>
      </c>
      <c r="E251" s="74" t="str">
        <f ca="1">IF(VLOOKUP($B251,'1. 현장별 인원현황'!$C:$J,4,0)=0,"",VLOOKUP($B251,'1. 현장별 인원현황'!$C:$J,4,0))</f>
        <v>51세</v>
      </c>
      <c r="F251" s="70" t="str">
        <f>IF(VLOOKUP($B251,'1. 현장별 인원현황'!$C:$J,7,0)=0,"",VLOOKUP($B251,'1. 현장별 인원현황'!$C:$J,7,0))</f>
        <v>기능공</v>
      </c>
      <c r="G251" s="72" t="str">
        <f>IF(VLOOKUP($B251,'1. 현장별 인원현황'!$C:$J,8,0)=0,"",VLOOKUP($B251,'1. 현장별 인원현황'!$C:$J,8,0))</f>
        <v>전공</v>
      </c>
      <c r="H251" s="67" t="s">
        <v>69</v>
      </c>
      <c r="I251" s="73"/>
      <c r="J251" s="73"/>
      <c r="K251" s="68"/>
      <c r="L251" s="67" t="s">
        <v>69</v>
      </c>
      <c r="M251" s="73"/>
      <c r="N251" s="73"/>
      <c r="O251" s="68"/>
      <c r="P251" s="67" t="s">
        <v>69</v>
      </c>
      <c r="Q251" s="73"/>
      <c r="R251" s="73"/>
      <c r="S251" s="68"/>
      <c r="T251" s="67" t="s">
        <v>69</v>
      </c>
      <c r="U251" s="73"/>
      <c r="V251" s="73"/>
      <c r="W251" s="68"/>
      <c r="X251" s="67" t="s">
        <v>69</v>
      </c>
      <c r="Y251" s="73"/>
      <c r="Z251" s="73"/>
      <c r="AA251" s="68"/>
      <c r="AB251" s="67" t="s">
        <v>69</v>
      </c>
      <c r="AC251" s="73"/>
      <c r="AD251" s="73"/>
      <c r="AE251" s="68"/>
      <c r="AF251" s="67" t="s">
        <v>69</v>
      </c>
      <c r="AG251" s="73"/>
      <c r="AH251" s="73"/>
      <c r="AI251" s="68"/>
      <c r="AJ251" s="67" t="s">
        <v>69</v>
      </c>
      <c r="AK251" s="73"/>
      <c r="AL251" s="73"/>
      <c r="AM251" s="68"/>
      <c r="AN251" s="67">
        <f t="shared" si="207"/>
        <v>100</v>
      </c>
      <c r="AO251" s="68" t="str">
        <f t="shared" si="208"/>
        <v>S</v>
      </c>
      <c r="AR251" s="49">
        <f t="shared" si="41"/>
        <v>1</v>
      </c>
      <c r="AS251" s="49">
        <f t="shared" si="42"/>
        <v>0</v>
      </c>
      <c r="AT251" s="49">
        <f t="shared" si="43"/>
        <v>0</v>
      </c>
      <c r="AU251" s="49">
        <f t="shared" si="44"/>
        <v>0</v>
      </c>
      <c r="AV251" s="49">
        <f t="shared" si="45"/>
        <v>1</v>
      </c>
      <c r="AW251" s="49">
        <f t="shared" si="46"/>
        <v>0</v>
      </c>
      <c r="AX251" s="49">
        <f t="shared" si="47"/>
        <v>0</v>
      </c>
      <c r="AY251" s="49">
        <f t="shared" si="48"/>
        <v>0</v>
      </c>
      <c r="AZ251" s="49">
        <f t="shared" si="49"/>
        <v>1</v>
      </c>
      <c r="BA251" s="49">
        <f t="shared" si="50"/>
        <v>0</v>
      </c>
      <c r="BB251" s="49">
        <f t="shared" si="51"/>
        <v>0</v>
      </c>
      <c r="BC251" s="49">
        <f t="shared" si="52"/>
        <v>0</v>
      </c>
      <c r="BD251" s="49">
        <f t="shared" si="53"/>
        <v>1</v>
      </c>
      <c r="BE251" s="49">
        <f t="shared" si="54"/>
        <v>0</v>
      </c>
      <c r="BF251" s="49">
        <f t="shared" si="55"/>
        <v>0</v>
      </c>
      <c r="BG251" s="49">
        <f t="shared" si="56"/>
        <v>0</v>
      </c>
      <c r="BH251" s="49">
        <f t="shared" si="57"/>
        <v>1</v>
      </c>
      <c r="BI251" s="49">
        <f t="shared" si="58"/>
        <v>0</v>
      </c>
      <c r="BJ251" s="49">
        <f t="shared" si="59"/>
        <v>0</v>
      </c>
      <c r="BK251" s="49">
        <f t="shared" si="60"/>
        <v>0</v>
      </c>
      <c r="BL251" s="49">
        <f t="shared" si="61"/>
        <v>1</v>
      </c>
      <c r="BM251" s="49">
        <f t="shared" si="62"/>
        <v>0</v>
      </c>
      <c r="BN251" s="49">
        <f t="shared" si="63"/>
        <v>0</v>
      </c>
      <c r="BO251" s="49">
        <f t="shared" si="64"/>
        <v>0</v>
      </c>
      <c r="BP251" s="49">
        <f t="shared" si="65"/>
        <v>1</v>
      </c>
      <c r="BQ251" s="49">
        <f t="shared" si="66"/>
        <v>0</v>
      </c>
      <c r="BR251" s="49">
        <f t="shared" si="67"/>
        <v>0</v>
      </c>
      <c r="BS251" s="49">
        <f t="shared" si="68"/>
        <v>0</v>
      </c>
      <c r="BT251" s="49">
        <f t="shared" si="69"/>
        <v>1</v>
      </c>
      <c r="BU251" s="49">
        <f t="shared" si="70"/>
        <v>0</v>
      </c>
      <c r="BV251" s="49">
        <f t="shared" si="71"/>
        <v>0</v>
      </c>
      <c r="BW251" s="49">
        <f t="shared" si="72"/>
        <v>0</v>
      </c>
    </row>
    <row r="252" spans="1:75" ht="35.1" customHeight="1" x14ac:dyDescent="0.3">
      <c r="A252" s="123" t="str">
        <f t="shared" si="205"/>
        <v>2팀</v>
      </c>
      <c r="B252" s="69">
        <f t="shared" si="206"/>
        <v>246</v>
      </c>
      <c r="C252" s="121" t="str">
        <f>IF(VLOOKUP($B252,'1. 현장별 인원현황'!$C:$J,2,0)=0,"",VLOOKUP($B252,'1. 현장별 인원현황'!$C:$J,2,0))</f>
        <v xml:space="preserve"> [2.신세계건설] 양주 옥정 물류센터 신축공사</v>
      </c>
      <c r="D252" s="74" t="str">
        <f>IF(VLOOKUP($B252,'1. 현장별 인원현황'!$C:$J,3,0)=0,"",VLOOKUP($B252,'1. 현장별 인원현황'!$C:$J,3,0))</f>
        <v>오강진</v>
      </c>
      <c r="E252" s="74" t="str">
        <f ca="1">IF(VLOOKUP($B252,'1. 현장별 인원현황'!$C:$J,4,0)=0,"",VLOOKUP($B252,'1. 현장별 인원현황'!$C:$J,4,0))</f>
        <v>60세</v>
      </c>
      <c r="F252" s="70" t="str">
        <f>IF(VLOOKUP($B252,'1. 현장별 인원현황'!$C:$J,7,0)=0,"",VLOOKUP($B252,'1. 현장별 인원현황'!$C:$J,7,0))</f>
        <v>기능공</v>
      </c>
      <c r="G252" s="72" t="str">
        <f>IF(VLOOKUP($B252,'1. 현장별 인원현황'!$C:$J,8,0)=0,"",VLOOKUP($B252,'1. 현장별 인원현황'!$C:$J,8,0))</f>
        <v>전공</v>
      </c>
      <c r="H252" s="67" t="s">
        <v>69</v>
      </c>
      <c r="I252" s="73"/>
      <c r="J252" s="73"/>
      <c r="K252" s="68"/>
      <c r="L252" s="67" t="s">
        <v>69</v>
      </c>
      <c r="M252" s="73"/>
      <c r="N252" s="73"/>
      <c r="O252" s="68"/>
      <c r="P252" s="67" t="s">
        <v>69</v>
      </c>
      <c r="Q252" s="73"/>
      <c r="R252" s="73"/>
      <c r="S252" s="68"/>
      <c r="T252" s="67" t="s">
        <v>69</v>
      </c>
      <c r="U252" s="73"/>
      <c r="V252" s="73"/>
      <c r="W252" s="68"/>
      <c r="X252" s="67" t="s">
        <v>69</v>
      </c>
      <c r="Y252" s="73"/>
      <c r="Z252" s="73"/>
      <c r="AA252" s="68"/>
      <c r="AB252" s="67" t="s">
        <v>69</v>
      </c>
      <c r="AC252" s="73"/>
      <c r="AD252" s="73"/>
      <c r="AE252" s="68"/>
      <c r="AF252" s="67" t="s">
        <v>69</v>
      </c>
      <c r="AG252" s="73"/>
      <c r="AH252" s="73"/>
      <c r="AI252" s="68"/>
      <c r="AJ252" s="67" t="s">
        <v>69</v>
      </c>
      <c r="AK252" s="73"/>
      <c r="AL252" s="73"/>
      <c r="AM252" s="68"/>
      <c r="AN252" s="67">
        <f t="shared" si="207"/>
        <v>100</v>
      </c>
      <c r="AO252" s="68" t="str">
        <f t="shared" si="208"/>
        <v>S</v>
      </c>
      <c r="AR252" s="49">
        <f t="shared" si="41"/>
        <v>1</v>
      </c>
      <c r="AS252" s="49">
        <f t="shared" si="42"/>
        <v>0</v>
      </c>
      <c r="AT252" s="49">
        <f t="shared" si="43"/>
        <v>0</v>
      </c>
      <c r="AU252" s="49">
        <f t="shared" si="44"/>
        <v>0</v>
      </c>
      <c r="AV252" s="49">
        <f t="shared" si="45"/>
        <v>1</v>
      </c>
      <c r="AW252" s="49">
        <f t="shared" si="46"/>
        <v>0</v>
      </c>
      <c r="AX252" s="49">
        <f t="shared" si="47"/>
        <v>0</v>
      </c>
      <c r="AY252" s="49">
        <f t="shared" si="48"/>
        <v>0</v>
      </c>
      <c r="AZ252" s="49">
        <f t="shared" si="49"/>
        <v>1</v>
      </c>
      <c r="BA252" s="49">
        <f t="shared" si="50"/>
        <v>0</v>
      </c>
      <c r="BB252" s="49">
        <f t="shared" si="51"/>
        <v>0</v>
      </c>
      <c r="BC252" s="49">
        <f t="shared" si="52"/>
        <v>0</v>
      </c>
      <c r="BD252" s="49">
        <f t="shared" si="53"/>
        <v>1</v>
      </c>
      <c r="BE252" s="49">
        <f t="shared" si="54"/>
        <v>0</v>
      </c>
      <c r="BF252" s="49">
        <f t="shared" si="55"/>
        <v>0</v>
      </c>
      <c r="BG252" s="49">
        <f t="shared" si="56"/>
        <v>0</v>
      </c>
      <c r="BH252" s="49">
        <f t="shared" si="57"/>
        <v>1</v>
      </c>
      <c r="BI252" s="49">
        <f t="shared" si="58"/>
        <v>0</v>
      </c>
      <c r="BJ252" s="49">
        <f t="shared" si="59"/>
        <v>0</v>
      </c>
      <c r="BK252" s="49">
        <f t="shared" si="60"/>
        <v>0</v>
      </c>
      <c r="BL252" s="49">
        <f t="shared" si="61"/>
        <v>1</v>
      </c>
      <c r="BM252" s="49">
        <f t="shared" si="62"/>
        <v>0</v>
      </c>
      <c r="BN252" s="49">
        <f t="shared" si="63"/>
        <v>0</v>
      </c>
      <c r="BO252" s="49">
        <f t="shared" si="64"/>
        <v>0</v>
      </c>
      <c r="BP252" s="49">
        <f t="shared" si="65"/>
        <v>1</v>
      </c>
      <c r="BQ252" s="49">
        <f t="shared" si="66"/>
        <v>0</v>
      </c>
      <c r="BR252" s="49">
        <f t="shared" si="67"/>
        <v>0</v>
      </c>
      <c r="BS252" s="49">
        <f t="shared" si="68"/>
        <v>0</v>
      </c>
      <c r="BT252" s="49">
        <f t="shared" si="69"/>
        <v>1</v>
      </c>
      <c r="BU252" s="49">
        <f t="shared" si="70"/>
        <v>0</v>
      </c>
      <c r="BV252" s="49">
        <f t="shared" si="71"/>
        <v>0</v>
      </c>
      <c r="BW252" s="49">
        <f t="shared" si="72"/>
        <v>0</v>
      </c>
    </row>
    <row r="253" spans="1:75" ht="35.1" customHeight="1" x14ac:dyDescent="0.3">
      <c r="A253" s="123" t="str">
        <f t="shared" si="205"/>
        <v>2팀</v>
      </c>
      <c r="B253" s="69">
        <f t="shared" si="206"/>
        <v>247</v>
      </c>
      <c r="C253" s="121" t="str">
        <f>IF(VLOOKUP($B253,'1. 현장별 인원현황'!$C:$J,2,0)=0,"",VLOOKUP($B253,'1. 현장별 인원현황'!$C:$J,2,0))</f>
        <v xml:space="preserve"> [2.신세계건설] 양주 옥정 물류센터 신축공사</v>
      </c>
      <c r="D253" s="74" t="str">
        <f>IF(VLOOKUP($B253,'1. 현장별 인원현황'!$C:$J,3,0)=0,"",VLOOKUP($B253,'1. 현장별 인원현황'!$C:$J,3,0))</f>
        <v>임춘만</v>
      </c>
      <c r="E253" s="74" t="str">
        <f ca="1">IF(VLOOKUP($B253,'1. 현장별 인원현황'!$C:$J,4,0)=0,"",VLOOKUP($B253,'1. 현장별 인원현황'!$C:$J,4,0))</f>
        <v>65세</v>
      </c>
      <c r="F253" s="70" t="str">
        <f>IF(VLOOKUP($B253,'1. 현장별 인원현황'!$C:$J,7,0)=0,"",VLOOKUP($B253,'1. 현장별 인원현황'!$C:$J,7,0))</f>
        <v>기능공</v>
      </c>
      <c r="G253" s="72" t="str">
        <f>IF(VLOOKUP($B253,'1. 현장별 인원현황'!$C:$J,8,0)=0,"",VLOOKUP($B253,'1. 현장별 인원현황'!$C:$J,8,0))</f>
        <v>전공</v>
      </c>
      <c r="H253" s="67" t="s">
        <v>69</v>
      </c>
      <c r="I253" s="73"/>
      <c r="J253" s="73"/>
      <c r="K253" s="68"/>
      <c r="L253" s="67" t="s">
        <v>69</v>
      </c>
      <c r="M253" s="73"/>
      <c r="N253" s="73"/>
      <c r="O253" s="68"/>
      <c r="P253" s="67" t="s">
        <v>69</v>
      </c>
      <c r="Q253" s="73"/>
      <c r="R253" s="73"/>
      <c r="S253" s="68"/>
      <c r="T253" s="67" t="s">
        <v>69</v>
      </c>
      <c r="U253" s="73"/>
      <c r="V253" s="73"/>
      <c r="W253" s="68"/>
      <c r="X253" s="67" t="s">
        <v>69</v>
      </c>
      <c r="Y253" s="73"/>
      <c r="Z253" s="73"/>
      <c r="AA253" s="68"/>
      <c r="AB253" s="67" t="s">
        <v>69</v>
      </c>
      <c r="AC253" s="73"/>
      <c r="AD253" s="73"/>
      <c r="AE253" s="68"/>
      <c r="AF253" s="67" t="s">
        <v>69</v>
      </c>
      <c r="AG253" s="73"/>
      <c r="AH253" s="73"/>
      <c r="AI253" s="68"/>
      <c r="AJ253" s="67" t="s">
        <v>69</v>
      </c>
      <c r="AK253" s="73"/>
      <c r="AL253" s="73"/>
      <c r="AM253" s="68"/>
      <c r="AN253" s="67">
        <f t="shared" si="207"/>
        <v>100</v>
      </c>
      <c r="AO253" s="68" t="str">
        <f t="shared" si="208"/>
        <v>S</v>
      </c>
      <c r="AR253" s="49">
        <f t="shared" si="41"/>
        <v>1</v>
      </c>
      <c r="AS253" s="49">
        <f t="shared" si="42"/>
        <v>0</v>
      </c>
      <c r="AT253" s="49">
        <f t="shared" si="43"/>
        <v>0</v>
      </c>
      <c r="AU253" s="49">
        <f t="shared" si="44"/>
        <v>0</v>
      </c>
      <c r="AV253" s="49">
        <f t="shared" si="45"/>
        <v>1</v>
      </c>
      <c r="AW253" s="49">
        <f t="shared" si="46"/>
        <v>0</v>
      </c>
      <c r="AX253" s="49">
        <f t="shared" si="47"/>
        <v>0</v>
      </c>
      <c r="AY253" s="49">
        <f t="shared" si="48"/>
        <v>0</v>
      </c>
      <c r="AZ253" s="49">
        <f t="shared" si="49"/>
        <v>1</v>
      </c>
      <c r="BA253" s="49">
        <f t="shared" si="50"/>
        <v>0</v>
      </c>
      <c r="BB253" s="49">
        <f t="shared" si="51"/>
        <v>0</v>
      </c>
      <c r="BC253" s="49">
        <f t="shared" si="52"/>
        <v>0</v>
      </c>
      <c r="BD253" s="49">
        <f t="shared" si="53"/>
        <v>1</v>
      </c>
      <c r="BE253" s="49">
        <f t="shared" si="54"/>
        <v>0</v>
      </c>
      <c r="BF253" s="49">
        <f t="shared" si="55"/>
        <v>0</v>
      </c>
      <c r="BG253" s="49">
        <f t="shared" si="56"/>
        <v>0</v>
      </c>
      <c r="BH253" s="49">
        <f t="shared" si="57"/>
        <v>1</v>
      </c>
      <c r="BI253" s="49">
        <f t="shared" si="58"/>
        <v>0</v>
      </c>
      <c r="BJ253" s="49">
        <f t="shared" si="59"/>
        <v>0</v>
      </c>
      <c r="BK253" s="49">
        <f t="shared" si="60"/>
        <v>0</v>
      </c>
      <c r="BL253" s="49">
        <f t="shared" si="61"/>
        <v>1</v>
      </c>
      <c r="BM253" s="49">
        <f t="shared" si="62"/>
        <v>0</v>
      </c>
      <c r="BN253" s="49">
        <f t="shared" si="63"/>
        <v>0</v>
      </c>
      <c r="BO253" s="49">
        <f t="shared" si="64"/>
        <v>0</v>
      </c>
      <c r="BP253" s="49">
        <f t="shared" si="65"/>
        <v>1</v>
      </c>
      <c r="BQ253" s="49">
        <f t="shared" si="66"/>
        <v>0</v>
      </c>
      <c r="BR253" s="49">
        <f t="shared" si="67"/>
        <v>0</v>
      </c>
      <c r="BS253" s="49">
        <f t="shared" si="68"/>
        <v>0</v>
      </c>
      <c r="BT253" s="49">
        <f t="shared" si="69"/>
        <v>1</v>
      </c>
      <c r="BU253" s="49">
        <f t="shared" si="70"/>
        <v>0</v>
      </c>
      <c r="BV253" s="49">
        <f t="shared" si="71"/>
        <v>0</v>
      </c>
      <c r="BW253" s="49">
        <f t="shared" si="72"/>
        <v>0</v>
      </c>
    </row>
    <row r="254" spans="1:75" ht="35.1" customHeight="1" x14ac:dyDescent="0.3">
      <c r="A254" s="123" t="str">
        <f t="shared" si="205"/>
        <v>2팀</v>
      </c>
      <c r="B254" s="69">
        <f t="shared" si="206"/>
        <v>248</v>
      </c>
      <c r="C254" s="121" t="str">
        <f>IF(VLOOKUP($B254,'1. 현장별 인원현황'!$C:$J,2,0)=0,"",VLOOKUP($B254,'1. 현장별 인원현황'!$C:$J,2,0))</f>
        <v xml:space="preserve"> [2.신세계건설] 양주 옥정 물류센터 신축공사</v>
      </c>
      <c r="D254" s="74" t="str">
        <f>IF(VLOOKUP($B254,'1. 현장별 인원현황'!$C:$J,3,0)=0,"",VLOOKUP($B254,'1. 현장별 인원현황'!$C:$J,3,0))</f>
        <v>황근상</v>
      </c>
      <c r="E254" s="74" t="str">
        <f ca="1">IF(VLOOKUP($B254,'1. 현장별 인원현황'!$C:$J,4,0)=0,"",VLOOKUP($B254,'1. 현장별 인원현황'!$C:$J,4,0))</f>
        <v>60세</v>
      </c>
      <c r="F254" s="70" t="str">
        <f>IF(VLOOKUP($B254,'1. 현장별 인원현황'!$C:$J,7,0)=0,"",VLOOKUP($B254,'1. 현장별 인원현황'!$C:$J,7,0))</f>
        <v>기능공</v>
      </c>
      <c r="G254" s="72" t="str">
        <f>IF(VLOOKUP($B254,'1. 현장별 인원현황'!$C:$J,8,0)=0,"",VLOOKUP($B254,'1. 현장별 인원현황'!$C:$J,8,0))</f>
        <v>전공</v>
      </c>
      <c r="H254" s="67" t="s">
        <v>69</v>
      </c>
      <c r="I254" s="73"/>
      <c r="J254" s="73"/>
      <c r="K254" s="68"/>
      <c r="L254" s="67" t="s">
        <v>69</v>
      </c>
      <c r="M254" s="73"/>
      <c r="N254" s="73"/>
      <c r="O254" s="68"/>
      <c r="P254" s="67" t="s">
        <v>69</v>
      </c>
      <c r="Q254" s="73"/>
      <c r="R254" s="73"/>
      <c r="S254" s="68"/>
      <c r="T254" s="67" t="s">
        <v>69</v>
      </c>
      <c r="U254" s="73"/>
      <c r="V254" s="73"/>
      <c r="W254" s="68"/>
      <c r="X254" s="67" t="s">
        <v>69</v>
      </c>
      <c r="Y254" s="73"/>
      <c r="Z254" s="73"/>
      <c r="AA254" s="68"/>
      <c r="AB254" s="67" t="s">
        <v>69</v>
      </c>
      <c r="AC254" s="73"/>
      <c r="AD254" s="73"/>
      <c r="AE254" s="68"/>
      <c r="AF254" s="67" t="s">
        <v>69</v>
      </c>
      <c r="AG254" s="73"/>
      <c r="AH254" s="73"/>
      <c r="AI254" s="68"/>
      <c r="AJ254" s="67" t="s">
        <v>69</v>
      </c>
      <c r="AK254" s="73"/>
      <c r="AL254" s="73"/>
      <c r="AM254" s="68"/>
      <c r="AN254" s="67">
        <f t="shared" si="207"/>
        <v>100</v>
      </c>
      <c r="AO254" s="68" t="str">
        <f t="shared" si="208"/>
        <v>S</v>
      </c>
      <c r="AR254" s="49">
        <f t="shared" si="41"/>
        <v>1</v>
      </c>
      <c r="AS254" s="49">
        <f t="shared" si="42"/>
        <v>0</v>
      </c>
      <c r="AT254" s="49">
        <f t="shared" si="43"/>
        <v>0</v>
      </c>
      <c r="AU254" s="49">
        <f t="shared" si="44"/>
        <v>0</v>
      </c>
      <c r="AV254" s="49">
        <f t="shared" si="45"/>
        <v>1</v>
      </c>
      <c r="AW254" s="49">
        <f t="shared" si="46"/>
        <v>0</v>
      </c>
      <c r="AX254" s="49">
        <f t="shared" si="47"/>
        <v>0</v>
      </c>
      <c r="AY254" s="49">
        <f t="shared" si="48"/>
        <v>0</v>
      </c>
      <c r="AZ254" s="49">
        <f t="shared" si="49"/>
        <v>1</v>
      </c>
      <c r="BA254" s="49">
        <f t="shared" si="50"/>
        <v>0</v>
      </c>
      <c r="BB254" s="49">
        <f t="shared" si="51"/>
        <v>0</v>
      </c>
      <c r="BC254" s="49">
        <f t="shared" si="52"/>
        <v>0</v>
      </c>
      <c r="BD254" s="49">
        <f t="shared" si="53"/>
        <v>1</v>
      </c>
      <c r="BE254" s="49">
        <f t="shared" si="54"/>
        <v>0</v>
      </c>
      <c r="BF254" s="49">
        <f t="shared" si="55"/>
        <v>0</v>
      </c>
      <c r="BG254" s="49">
        <f t="shared" si="56"/>
        <v>0</v>
      </c>
      <c r="BH254" s="49">
        <f t="shared" si="57"/>
        <v>1</v>
      </c>
      <c r="BI254" s="49">
        <f t="shared" si="58"/>
        <v>0</v>
      </c>
      <c r="BJ254" s="49">
        <f t="shared" si="59"/>
        <v>0</v>
      </c>
      <c r="BK254" s="49">
        <f t="shared" si="60"/>
        <v>0</v>
      </c>
      <c r="BL254" s="49">
        <f t="shared" si="61"/>
        <v>1</v>
      </c>
      <c r="BM254" s="49">
        <f t="shared" si="62"/>
        <v>0</v>
      </c>
      <c r="BN254" s="49">
        <f t="shared" si="63"/>
        <v>0</v>
      </c>
      <c r="BO254" s="49">
        <f t="shared" si="64"/>
        <v>0</v>
      </c>
      <c r="BP254" s="49">
        <f t="shared" si="65"/>
        <v>1</v>
      </c>
      <c r="BQ254" s="49">
        <f t="shared" si="66"/>
        <v>0</v>
      </c>
      <c r="BR254" s="49">
        <f t="shared" si="67"/>
        <v>0</v>
      </c>
      <c r="BS254" s="49">
        <f t="shared" si="68"/>
        <v>0</v>
      </c>
      <c r="BT254" s="49">
        <f t="shared" si="69"/>
        <v>1</v>
      </c>
      <c r="BU254" s="49">
        <f t="shared" si="70"/>
        <v>0</v>
      </c>
      <c r="BV254" s="49">
        <f t="shared" si="71"/>
        <v>0</v>
      </c>
      <c r="BW254" s="49">
        <f t="shared" si="72"/>
        <v>0</v>
      </c>
    </row>
    <row r="255" spans="1:75" ht="35.1" customHeight="1" x14ac:dyDescent="0.3">
      <c r="A255" s="123" t="str">
        <f t="shared" si="205"/>
        <v>2팀</v>
      </c>
      <c r="B255" s="69">
        <f t="shared" si="206"/>
        <v>249</v>
      </c>
      <c r="C255" s="121" t="str">
        <f>IF(VLOOKUP($B255,'1. 현장별 인원현황'!$C:$J,2,0)=0,"",VLOOKUP($B255,'1. 현장별 인원현황'!$C:$J,2,0))</f>
        <v xml:space="preserve"> [2.쌍용건설] 양주 삼숭 지역주택조합 일반전기공사</v>
      </c>
      <c r="D255" s="74" t="str">
        <f>IF(VLOOKUP($B255,'1. 현장별 인원현황'!$C:$J,3,0)=0,"",VLOOKUP($B255,'1. 현장별 인원현황'!$C:$J,3,0))</f>
        <v>안효관</v>
      </c>
      <c r="E255" s="74" t="str">
        <f ca="1">IF(VLOOKUP($B255,'1. 현장별 인원현황'!$C:$J,4,0)=0,"",VLOOKUP($B255,'1. 현장별 인원현황'!$C:$J,4,0))</f>
        <v>57세</v>
      </c>
      <c r="F255" s="70" t="str">
        <f>IF(VLOOKUP($B255,'1. 현장별 인원현황'!$C:$J,7,0)=0,"",VLOOKUP($B255,'1. 현장별 인원현황'!$C:$J,7,0))</f>
        <v>공무</v>
      </c>
      <c r="G255" s="72" t="str">
        <f>IF(VLOOKUP($B255,'1. 현장별 인원현황'!$C:$J,8,0)=0,"",VLOOKUP($B255,'1. 현장별 인원현황'!$C:$J,8,0))</f>
        <v>차장</v>
      </c>
      <c r="H255" s="67" t="s">
        <v>69</v>
      </c>
      <c r="I255" s="73"/>
      <c r="J255" s="73"/>
      <c r="K255" s="68"/>
      <c r="L255" s="67"/>
      <c r="M255" s="73" t="s">
        <v>69</v>
      </c>
      <c r="N255" s="73"/>
      <c r="O255" s="68"/>
      <c r="P255" s="67" t="s">
        <v>69</v>
      </c>
      <c r="Q255" s="73"/>
      <c r="R255" s="73"/>
      <c r="S255" s="68"/>
      <c r="T255" s="67" t="s">
        <v>69</v>
      </c>
      <c r="U255" s="73"/>
      <c r="V255" s="73"/>
      <c r="W255" s="68"/>
      <c r="X255" s="67" t="s">
        <v>69</v>
      </c>
      <c r="Y255" s="73"/>
      <c r="Z255" s="73"/>
      <c r="AA255" s="68"/>
      <c r="AB255" s="67" t="s">
        <v>69</v>
      </c>
      <c r="AC255" s="73"/>
      <c r="AD255" s="73"/>
      <c r="AE255" s="68"/>
      <c r="AF255" s="67" t="s">
        <v>69</v>
      </c>
      <c r="AG255" s="73"/>
      <c r="AH255" s="73"/>
      <c r="AI255" s="68"/>
      <c r="AJ255" s="67" t="s">
        <v>69</v>
      </c>
      <c r="AK255" s="73"/>
      <c r="AL255" s="73"/>
      <c r="AM255" s="68"/>
      <c r="AN255" s="67">
        <f t="shared" si="207"/>
        <v>96</v>
      </c>
      <c r="AO255" s="68" t="str">
        <f t="shared" si="208"/>
        <v>S</v>
      </c>
      <c r="AR255" s="49">
        <f t="shared" si="41"/>
        <v>1</v>
      </c>
      <c r="AS255" s="49">
        <f t="shared" si="42"/>
        <v>0</v>
      </c>
      <c r="AT255" s="49">
        <f t="shared" si="43"/>
        <v>0</v>
      </c>
      <c r="AU255" s="49">
        <f t="shared" si="44"/>
        <v>0</v>
      </c>
      <c r="AV255" s="49">
        <f t="shared" si="45"/>
        <v>0</v>
      </c>
      <c r="AW255" s="49">
        <f t="shared" si="46"/>
        <v>1</v>
      </c>
      <c r="AX255" s="49">
        <f t="shared" si="47"/>
        <v>0</v>
      </c>
      <c r="AY255" s="49">
        <f t="shared" si="48"/>
        <v>0</v>
      </c>
      <c r="AZ255" s="49">
        <f t="shared" si="49"/>
        <v>1</v>
      </c>
      <c r="BA255" s="49">
        <f t="shared" si="50"/>
        <v>0</v>
      </c>
      <c r="BB255" s="49">
        <f t="shared" si="51"/>
        <v>0</v>
      </c>
      <c r="BC255" s="49">
        <f t="shared" si="52"/>
        <v>0</v>
      </c>
      <c r="BD255" s="49">
        <f t="shared" si="53"/>
        <v>1</v>
      </c>
      <c r="BE255" s="49">
        <f t="shared" si="54"/>
        <v>0</v>
      </c>
      <c r="BF255" s="49">
        <f t="shared" si="55"/>
        <v>0</v>
      </c>
      <c r="BG255" s="49">
        <f t="shared" si="56"/>
        <v>0</v>
      </c>
      <c r="BH255" s="49">
        <f t="shared" si="57"/>
        <v>1</v>
      </c>
      <c r="BI255" s="49">
        <f t="shared" si="58"/>
        <v>0</v>
      </c>
      <c r="BJ255" s="49">
        <f t="shared" si="59"/>
        <v>0</v>
      </c>
      <c r="BK255" s="49">
        <f t="shared" si="60"/>
        <v>0</v>
      </c>
      <c r="BL255" s="49">
        <f t="shared" si="61"/>
        <v>1</v>
      </c>
      <c r="BM255" s="49">
        <f t="shared" si="62"/>
        <v>0</v>
      </c>
      <c r="BN255" s="49">
        <f t="shared" si="63"/>
        <v>0</v>
      </c>
      <c r="BO255" s="49">
        <f t="shared" si="64"/>
        <v>0</v>
      </c>
      <c r="BP255" s="49">
        <f t="shared" si="65"/>
        <v>1</v>
      </c>
      <c r="BQ255" s="49">
        <f t="shared" si="66"/>
        <v>0</v>
      </c>
      <c r="BR255" s="49">
        <f t="shared" si="67"/>
        <v>0</v>
      </c>
      <c r="BS255" s="49">
        <f t="shared" si="68"/>
        <v>0</v>
      </c>
      <c r="BT255" s="49">
        <f t="shared" si="69"/>
        <v>1</v>
      </c>
      <c r="BU255" s="49">
        <f t="shared" si="70"/>
        <v>0</v>
      </c>
      <c r="BV255" s="49">
        <f t="shared" si="71"/>
        <v>0</v>
      </c>
      <c r="BW255" s="49">
        <f t="shared" si="72"/>
        <v>0</v>
      </c>
    </row>
    <row r="256" spans="1:75" ht="35.1" customHeight="1" x14ac:dyDescent="0.3">
      <c r="A256" s="123" t="str">
        <f t="shared" si="205"/>
        <v>2팀</v>
      </c>
      <c r="B256" s="69">
        <f t="shared" si="206"/>
        <v>250</v>
      </c>
      <c r="C256" s="121" t="str">
        <f>IF(VLOOKUP($B256,'1. 현장별 인원현황'!$C:$J,2,0)=0,"",VLOOKUP($B256,'1. 현장별 인원현황'!$C:$J,2,0))</f>
        <v xml:space="preserve"> [2.쌍용건설] 양주 삼숭 지역주택조합 일반전기공사</v>
      </c>
      <c r="D256" s="74" t="str">
        <f>IF(VLOOKUP($B256,'1. 현장별 인원현황'!$C:$J,3,0)=0,"",VLOOKUP($B256,'1. 현장별 인원현황'!$C:$J,3,0))</f>
        <v>김학섭</v>
      </c>
      <c r="E256" s="74" t="str">
        <f ca="1">IF(VLOOKUP($B256,'1. 현장별 인원현황'!$C:$J,4,0)=0,"",VLOOKUP($B256,'1. 현장별 인원현황'!$C:$J,4,0))</f>
        <v>59세</v>
      </c>
      <c r="F256" s="70" t="str">
        <f>IF(VLOOKUP($B256,'1. 현장별 인원현황'!$C:$J,7,0)=0,"",VLOOKUP($B256,'1. 현장별 인원현황'!$C:$J,7,0))</f>
        <v>공사</v>
      </c>
      <c r="G256" s="72" t="str">
        <f>IF(VLOOKUP($B256,'1. 현장별 인원현황'!$C:$J,8,0)=0,"",VLOOKUP($B256,'1. 현장별 인원현황'!$C:$J,8,0))</f>
        <v>차장</v>
      </c>
      <c r="H256" s="67" t="s">
        <v>69</v>
      </c>
      <c r="I256" s="73"/>
      <c r="J256" s="73"/>
      <c r="K256" s="68"/>
      <c r="L256" s="67"/>
      <c r="M256" s="73" t="s">
        <v>69</v>
      </c>
      <c r="N256" s="73"/>
      <c r="O256" s="68"/>
      <c r="P256" s="67" t="s">
        <v>69</v>
      </c>
      <c r="Q256" s="73"/>
      <c r="R256" s="73"/>
      <c r="S256" s="68"/>
      <c r="T256" s="67" t="s">
        <v>69</v>
      </c>
      <c r="U256" s="73"/>
      <c r="V256" s="73"/>
      <c r="W256" s="68"/>
      <c r="X256" s="67" t="s">
        <v>69</v>
      </c>
      <c r="Y256" s="73"/>
      <c r="Z256" s="73"/>
      <c r="AA256" s="68"/>
      <c r="AB256" s="67" t="s">
        <v>69</v>
      </c>
      <c r="AC256" s="73"/>
      <c r="AD256" s="73"/>
      <c r="AE256" s="68"/>
      <c r="AF256" s="67" t="s">
        <v>69</v>
      </c>
      <c r="AG256" s="73"/>
      <c r="AH256" s="73"/>
      <c r="AI256" s="68"/>
      <c r="AJ256" s="67" t="s">
        <v>69</v>
      </c>
      <c r="AK256" s="73"/>
      <c r="AL256" s="73"/>
      <c r="AM256" s="68"/>
      <c r="AN256" s="67">
        <f t="shared" si="207"/>
        <v>96</v>
      </c>
      <c r="AO256" s="68" t="str">
        <f t="shared" si="208"/>
        <v>S</v>
      </c>
      <c r="AR256" s="49">
        <f t="shared" si="41"/>
        <v>1</v>
      </c>
      <c r="AS256" s="49">
        <f t="shared" si="42"/>
        <v>0</v>
      </c>
      <c r="AT256" s="49">
        <f t="shared" si="43"/>
        <v>0</v>
      </c>
      <c r="AU256" s="49">
        <f t="shared" si="44"/>
        <v>0</v>
      </c>
      <c r="AV256" s="49">
        <f t="shared" si="45"/>
        <v>0</v>
      </c>
      <c r="AW256" s="49">
        <f t="shared" si="46"/>
        <v>1</v>
      </c>
      <c r="AX256" s="49">
        <f t="shared" si="47"/>
        <v>0</v>
      </c>
      <c r="AY256" s="49">
        <f t="shared" si="48"/>
        <v>0</v>
      </c>
      <c r="AZ256" s="49">
        <f t="shared" si="49"/>
        <v>1</v>
      </c>
      <c r="BA256" s="49">
        <f t="shared" si="50"/>
        <v>0</v>
      </c>
      <c r="BB256" s="49">
        <f t="shared" si="51"/>
        <v>0</v>
      </c>
      <c r="BC256" s="49">
        <f t="shared" si="52"/>
        <v>0</v>
      </c>
      <c r="BD256" s="49">
        <f t="shared" si="53"/>
        <v>1</v>
      </c>
      <c r="BE256" s="49">
        <f t="shared" si="54"/>
        <v>0</v>
      </c>
      <c r="BF256" s="49">
        <f t="shared" si="55"/>
        <v>0</v>
      </c>
      <c r="BG256" s="49">
        <f t="shared" si="56"/>
        <v>0</v>
      </c>
      <c r="BH256" s="49">
        <f t="shared" si="57"/>
        <v>1</v>
      </c>
      <c r="BI256" s="49">
        <f t="shared" si="58"/>
        <v>0</v>
      </c>
      <c r="BJ256" s="49">
        <f t="shared" si="59"/>
        <v>0</v>
      </c>
      <c r="BK256" s="49">
        <f t="shared" si="60"/>
        <v>0</v>
      </c>
      <c r="BL256" s="49">
        <f t="shared" si="61"/>
        <v>1</v>
      </c>
      <c r="BM256" s="49">
        <f t="shared" si="62"/>
        <v>0</v>
      </c>
      <c r="BN256" s="49">
        <f t="shared" si="63"/>
        <v>0</v>
      </c>
      <c r="BO256" s="49">
        <f t="shared" si="64"/>
        <v>0</v>
      </c>
      <c r="BP256" s="49">
        <f t="shared" si="65"/>
        <v>1</v>
      </c>
      <c r="BQ256" s="49">
        <f t="shared" si="66"/>
        <v>0</v>
      </c>
      <c r="BR256" s="49">
        <f t="shared" si="67"/>
        <v>0</v>
      </c>
      <c r="BS256" s="49">
        <f t="shared" si="68"/>
        <v>0</v>
      </c>
      <c r="BT256" s="49">
        <f t="shared" si="69"/>
        <v>1</v>
      </c>
      <c r="BU256" s="49">
        <f t="shared" si="70"/>
        <v>0</v>
      </c>
      <c r="BV256" s="49">
        <f t="shared" si="71"/>
        <v>0</v>
      </c>
      <c r="BW256" s="49">
        <f t="shared" si="72"/>
        <v>0</v>
      </c>
    </row>
    <row r="257" spans="1:75" ht="35.1" customHeight="1" x14ac:dyDescent="0.3">
      <c r="A257" s="123" t="str">
        <f t="shared" si="205"/>
        <v>2팀</v>
      </c>
      <c r="B257" s="69">
        <f t="shared" si="206"/>
        <v>251</v>
      </c>
      <c r="C257" s="121" t="str">
        <f>IF(VLOOKUP($B257,'1. 현장별 인원현황'!$C:$J,2,0)=0,"",VLOOKUP($B257,'1. 현장별 인원현황'!$C:$J,2,0))</f>
        <v xml:space="preserve"> [2.쌍용건설] 양주 삼숭 지역주택조합 일반전기공사</v>
      </c>
      <c r="D257" s="74" t="str">
        <f>IF(VLOOKUP($B257,'1. 현장별 인원현황'!$C:$J,3,0)=0,"",VLOOKUP($B257,'1. 현장별 인원현황'!$C:$J,3,0))</f>
        <v>이영수</v>
      </c>
      <c r="E257" s="74" t="str">
        <f ca="1">IF(VLOOKUP($B257,'1. 현장별 인원현황'!$C:$J,4,0)=0,"",VLOOKUP($B257,'1. 현장별 인원현황'!$C:$J,4,0))</f>
        <v>60세</v>
      </c>
      <c r="F257" s="70" t="str">
        <f>IF(VLOOKUP($B257,'1. 현장별 인원현황'!$C:$J,7,0)=0,"",VLOOKUP($B257,'1. 현장별 인원현황'!$C:$J,7,0))</f>
        <v>기능공</v>
      </c>
      <c r="G257" s="72" t="str">
        <f>IF(VLOOKUP($B257,'1. 현장별 인원현황'!$C:$J,8,0)=0,"",VLOOKUP($B257,'1. 현장별 인원현황'!$C:$J,8,0))</f>
        <v>전공</v>
      </c>
      <c r="H257" s="67" t="s">
        <v>69</v>
      </c>
      <c r="I257" s="73"/>
      <c r="J257" s="73"/>
      <c r="K257" s="68"/>
      <c r="L257" s="67" t="s">
        <v>69</v>
      </c>
      <c r="M257" s="73"/>
      <c r="N257" s="73"/>
      <c r="O257" s="68"/>
      <c r="P257" s="67" t="s">
        <v>69</v>
      </c>
      <c r="Q257" s="73"/>
      <c r="R257" s="73"/>
      <c r="S257" s="68"/>
      <c r="T257" s="67" t="s">
        <v>69</v>
      </c>
      <c r="U257" s="73"/>
      <c r="V257" s="73"/>
      <c r="W257" s="68"/>
      <c r="X257" s="67" t="s">
        <v>69</v>
      </c>
      <c r="Y257" s="73"/>
      <c r="Z257" s="73"/>
      <c r="AA257" s="68"/>
      <c r="AB257" s="67" t="s">
        <v>69</v>
      </c>
      <c r="AC257" s="73"/>
      <c r="AD257" s="73"/>
      <c r="AE257" s="68"/>
      <c r="AF257" s="67" t="s">
        <v>69</v>
      </c>
      <c r="AG257" s="73"/>
      <c r="AH257" s="73"/>
      <c r="AI257" s="68"/>
      <c r="AJ257" s="67" t="s">
        <v>69</v>
      </c>
      <c r="AK257" s="73"/>
      <c r="AL257" s="73"/>
      <c r="AM257" s="68"/>
      <c r="AN257" s="67">
        <f t="shared" si="207"/>
        <v>100</v>
      </c>
      <c r="AO257" s="68" t="str">
        <f t="shared" si="208"/>
        <v>S</v>
      </c>
      <c r="AR257" s="49">
        <f t="shared" si="41"/>
        <v>1</v>
      </c>
      <c r="AS257" s="49">
        <f t="shared" si="42"/>
        <v>0</v>
      </c>
      <c r="AT257" s="49">
        <f t="shared" si="43"/>
        <v>0</v>
      </c>
      <c r="AU257" s="49">
        <f t="shared" si="44"/>
        <v>0</v>
      </c>
      <c r="AV257" s="49">
        <f t="shared" si="45"/>
        <v>1</v>
      </c>
      <c r="AW257" s="49">
        <f t="shared" si="46"/>
        <v>0</v>
      </c>
      <c r="AX257" s="49">
        <f t="shared" si="47"/>
        <v>0</v>
      </c>
      <c r="AY257" s="49">
        <f t="shared" si="48"/>
        <v>0</v>
      </c>
      <c r="AZ257" s="49">
        <f t="shared" si="49"/>
        <v>1</v>
      </c>
      <c r="BA257" s="49">
        <f t="shared" si="50"/>
        <v>0</v>
      </c>
      <c r="BB257" s="49">
        <f t="shared" si="51"/>
        <v>0</v>
      </c>
      <c r="BC257" s="49">
        <f t="shared" si="52"/>
        <v>0</v>
      </c>
      <c r="BD257" s="49">
        <f t="shared" si="53"/>
        <v>1</v>
      </c>
      <c r="BE257" s="49">
        <f t="shared" si="54"/>
        <v>0</v>
      </c>
      <c r="BF257" s="49">
        <f t="shared" si="55"/>
        <v>0</v>
      </c>
      <c r="BG257" s="49">
        <f t="shared" si="56"/>
        <v>0</v>
      </c>
      <c r="BH257" s="49">
        <f t="shared" si="57"/>
        <v>1</v>
      </c>
      <c r="BI257" s="49">
        <f t="shared" si="58"/>
        <v>0</v>
      </c>
      <c r="BJ257" s="49">
        <f t="shared" si="59"/>
        <v>0</v>
      </c>
      <c r="BK257" s="49">
        <f t="shared" si="60"/>
        <v>0</v>
      </c>
      <c r="BL257" s="49">
        <f t="shared" si="61"/>
        <v>1</v>
      </c>
      <c r="BM257" s="49">
        <f t="shared" si="62"/>
        <v>0</v>
      </c>
      <c r="BN257" s="49">
        <f t="shared" si="63"/>
        <v>0</v>
      </c>
      <c r="BO257" s="49">
        <f t="shared" si="64"/>
        <v>0</v>
      </c>
      <c r="BP257" s="49">
        <f t="shared" si="65"/>
        <v>1</v>
      </c>
      <c r="BQ257" s="49">
        <f t="shared" si="66"/>
        <v>0</v>
      </c>
      <c r="BR257" s="49">
        <f t="shared" si="67"/>
        <v>0</v>
      </c>
      <c r="BS257" s="49">
        <f t="shared" si="68"/>
        <v>0</v>
      </c>
      <c r="BT257" s="49">
        <f t="shared" si="69"/>
        <v>1</v>
      </c>
      <c r="BU257" s="49">
        <f t="shared" si="70"/>
        <v>0</v>
      </c>
      <c r="BV257" s="49">
        <f t="shared" si="71"/>
        <v>0</v>
      </c>
      <c r="BW257" s="49">
        <f t="shared" si="72"/>
        <v>0</v>
      </c>
    </row>
    <row r="258" spans="1:75" ht="35.1" customHeight="1" x14ac:dyDescent="0.3">
      <c r="A258" s="123" t="str">
        <f t="shared" si="205"/>
        <v>2팀</v>
      </c>
      <c r="B258" s="69">
        <f t="shared" si="206"/>
        <v>252</v>
      </c>
      <c r="C258" s="121" t="str">
        <f>IF(VLOOKUP($B258,'1. 현장별 인원현황'!$C:$J,2,0)=0,"",VLOOKUP($B258,'1. 현장별 인원현황'!$C:$J,2,0))</f>
        <v xml:space="preserve"> [2.쌍용건설] 양주 삼숭 지역주택조합 일반전기공사</v>
      </c>
      <c r="D258" s="74" t="str">
        <f>IF(VLOOKUP($B258,'1. 현장별 인원현황'!$C:$J,3,0)=0,"",VLOOKUP($B258,'1. 현장별 인원현황'!$C:$J,3,0))</f>
        <v>박송걸</v>
      </c>
      <c r="E258" s="74" t="str">
        <f ca="1">IF(VLOOKUP($B258,'1. 현장별 인원현황'!$C:$J,4,0)=0,"",VLOOKUP($B258,'1. 현장별 인원현황'!$C:$J,4,0))</f>
        <v>38세</v>
      </c>
      <c r="F258" s="70" t="str">
        <f>IF(VLOOKUP($B258,'1. 현장별 인원현황'!$C:$J,7,0)=0,"",VLOOKUP($B258,'1. 현장별 인원현황'!$C:$J,7,0))</f>
        <v>기능공</v>
      </c>
      <c r="G258" s="72" t="str">
        <f>IF(VLOOKUP($B258,'1. 현장별 인원현황'!$C:$J,8,0)=0,"",VLOOKUP($B258,'1. 현장별 인원현황'!$C:$J,8,0))</f>
        <v>조공</v>
      </c>
      <c r="H258" s="67" t="s">
        <v>69</v>
      </c>
      <c r="I258" s="73"/>
      <c r="J258" s="73"/>
      <c r="K258" s="68"/>
      <c r="L258" s="67"/>
      <c r="M258" s="73" t="s">
        <v>69</v>
      </c>
      <c r="N258" s="73"/>
      <c r="O258" s="68"/>
      <c r="P258" s="67" t="s">
        <v>69</v>
      </c>
      <c r="Q258" s="73"/>
      <c r="R258" s="73"/>
      <c r="S258" s="68"/>
      <c r="T258" s="67" t="s">
        <v>69</v>
      </c>
      <c r="U258" s="73"/>
      <c r="V258" s="73"/>
      <c r="W258" s="68"/>
      <c r="X258" s="67" t="s">
        <v>69</v>
      </c>
      <c r="Y258" s="73"/>
      <c r="Z258" s="73"/>
      <c r="AA258" s="68"/>
      <c r="AB258" s="67" t="s">
        <v>69</v>
      </c>
      <c r="AC258" s="73"/>
      <c r="AD258" s="73"/>
      <c r="AE258" s="68"/>
      <c r="AF258" s="67" t="s">
        <v>69</v>
      </c>
      <c r="AG258" s="73"/>
      <c r="AH258" s="73"/>
      <c r="AI258" s="68"/>
      <c r="AJ258" s="67" t="s">
        <v>69</v>
      </c>
      <c r="AK258" s="73"/>
      <c r="AL258" s="73"/>
      <c r="AM258" s="68"/>
      <c r="AN258" s="67">
        <f t="shared" si="207"/>
        <v>96</v>
      </c>
      <c r="AO258" s="68" t="str">
        <f t="shared" si="208"/>
        <v>S</v>
      </c>
      <c r="AR258" s="49">
        <f t="shared" si="41"/>
        <v>1</v>
      </c>
      <c r="AS258" s="49">
        <f t="shared" si="42"/>
        <v>0</v>
      </c>
      <c r="AT258" s="49">
        <f t="shared" si="43"/>
        <v>0</v>
      </c>
      <c r="AU258" s="49">
        <f t="shared" si="44"/>
        <v>0</v>
      </c>
      <c r="AV258" s="49">
        <f t="shared" si="45"/>
        <v>0</v>
      </c>
      <c r="AW258" s="49">
        <f t="shared" si="46"/>
        <v>1</v>
      </c>
      <c r="AX258" s="49">
        <f t="shared" si="47"/>
        <v>0</v>
      </c>
      <c r="AY258" s="49">
        <f t="shared" si="48"/>
        <v>0</v>
      </c>
      <c r="AZ258" s="49">
        <f t="shared" si="49"/>
        <v>1</v>
      </c>
      <c r="BA258" s="49">
        <f t="shared" si="50"/>
        <v>0</v>
      </c>
      <c r="BB258" s="49">
        <f t="shared" si="51"/>
        <v>0</v>
      </c>
      <c r="BC258" s="49">
        <f t="shared" si="52"/>
        <v>0</v>
      </c>
      <c r="BD258" s="49">
        <f t="shared" si="53"/>
        <v>1</v>
      </c>
      <c r="BE258" s="49">
        <f t="shared" si="54"/>
        <v>0</v>
      </c>
      <c r="BF258" s="49">
        <f t="shared" si="55"/>
        <v>0</v>
      </c>
      <c r="BG258" s="49">
        <f t="shared" si="56"/>
        <v>0</v>
      </c>
      <c r="BH258" s="49">
        <f t="shared" si="57"/>
        <v>1</v>
      </c>
      <c r="BI258" s="49">
        <f t="shared" si="58"/>
        <v>0</v>
      </c>
      <c r="BJ258" s="49">
        <f t="shared" si="59"/>
        <v>0</v>
      </c>
      <c r="BK258" s="49">
        <f t="shared" si="60"/>
        <v>0</v>
      </c>
      <c r="BL258" s="49">
        <f t="shared" si="61"/>
        <v>1</v>
      </c>
      <c r="BM258" s="49">
        <f t="shared" si="62"/>
        <v>0</v>
      </c>
      <c r="BN258" s="49">
        <f t="shared" si="63"/>
        <v>0</v>
      </c>
      <c r="BO258" s="49">
        <f t="shared" si="64"/>
        <v>0</v>
      </c>
      <c r="BP258" s="49">
        <f t="shared" si="65"/>
        <v>1</v>
      </c>
      <c r="BQ258" s="49">
        <f t="shared" si="66"/>
        <v>0</v>
      </c>
      <c r="BR258" s="49">
        <f t="shared" si="67"/>
        <v>0</v>
      </c>
      <c r="BS258" s="49">
        <f t="shared" si="68"/>
        <v>0</v>
      </c>
      <c r="BT258" s="49">
        <f t="shared" si="69"/>
        <v>1</v>
      </c>
      <c r="BU258" s="49">
        <f t="shared" si="70"/>
        <v>0</v>
      </c>
      <c r="BV258" s="49">
        <f t="shared" si="71"/>
        <v>0</v>
      </c>
      <c r="BW258" s="49">
        <f t="shared" si="72"/>
        <v>0</v>
      </c>
    </row>
    <row r="259" spans="1:75" ht="35.1" customHeight="1" x14ac:dyDescent="0.3">
      <c r="A259" s="123" t="str">
        <f t="shared" si="205"/>
        <v>2팀</v>
      </c>
      <c r="B259" s="69">
        <f t="shared" si="206"/>
        <v>253</v>
      </c>
      <c r="C259" s="121" t="str">
        <f>IF(VLOOKUP($B259,'1. 현장별 인원현황'!$C:$J,2,0)=0,"",VLOOKUP($B259,'1. 현장별 인원현황'!$C:$J,2,0))</f>
        <v xml:space="preserve"> [2.쌍용건설] 평택 가재지구 1블럭 공동주택 신축공사</v>
      </c>
      <c r="D259" s="74" t="str">
        <f>IF(VLOOKUP($B259,'1. 현장별 인원현황'!$C:$J,3,0)=0,"",VLOOKUP($B259,'1. 현장별 인원현황'!$C:$J,3,0))</f>
        <v>김현배</v>
      </c>
      <c r="E259" s="74" t="str">
        <f ca="1">IF(VLOOKUP($B259,'1. 현장별 인원현황'!$C:$J,4,0)=0,"",VLOOKUP($B259,'1. 현장별 인원현황'!$C:$J,4,0))</f>
        <v>49세</v>
      </c>
      <c r="F259" s="70" t="str">
        <f>IF(VLOOKUP($B259,'1. 현장별 인원현황'!$C:$J,7,0)=0,"",VLOOKUP($B259,'1. 현장별 인원현황'!$C:$J,7,0))</f>
        <v>공무</v>
      </c>
      <c r="G259" s="72" t="str">
        <f>IF(VLOOKUP($B259,'1. 현장별 인원현황'!$C:$J,8,0)=0,"",VLOOKUP($B259,'1. 현장별 인원현황'!$C:$J,8,0))</f>
        <v>차장</v>
      </c>
      <c r="H259" s="67" t="s">
        <v>69</v>
      </c>
      <c r="I259" s="73"/>
      <c r="J259" s="73"/>
      <c r="K259" s="68"/>
      <c r="L259" s="67" t="s">
        <v>69</v>
      </c>
      <c r="M259" s="73"/>
      <c r="N259" s="73"/>
      <c r="O259" s="68"/>
      <c r="P259" s="67" t="s">
        <v>69</v>
      </c>
      <c r="Q259" s="73"/>
      <c r="R259" s="73"/>
      <c r="S259" s="68"/>
      <c r="T259" s="67" t="s">
        <v>69</v>
      </c>
      <c r="U259" s="73"/>
      <c r="V259" s="73"/>
      <c r="W259" s="68"/>
      <c r="X259" s="67" t="s">
        <v>69</v>
      </c>
      <c r="Y259" s="73"/>
      <c r="Z259" s="73"/>
      <c r="AA259" s="68"/>
      <c r="AB259" s="67" t="s">
        <v>69</v>
      </c>
      <c r="AC259" s="73"/>
      <c r="AD259" s="73"/>
      <c r="AE259" s="68"/>
      <c r="AF259" s="67" t="s">
        <v>69</v>
      </c>
      <c r="AG259" s="73"/>
      <c r="AH259" s="73"/>
      <c r="AI259" s="68"/>
      <c r="AJ259" s="67" t="s">
        <v>69</v>
      </c>
      <c r="AK259" s="73"/>
      <c r="AL259" s="73"/>
      <c r="AM259" s="68"/>
      <c r="AN259" s="67">
        <f t="shared" si="207"/>
        <v>100</v>
      </c>
      <c r="AO259" s="68" t="str">
        <f t="shared" si="208"/>
        <v>S</v>
      </c>
      <c r="AR259" s="49">
        <f t="shared" si="41"/>
        <v>1</v>
      </c>
      <c r="AS259" s="49">
        <f t="shared" si="42"/>
        <v>0</v>
      </c>
      <c r="AT259" s="49">
        <f t="shared" si="43"/>
        <v>0</v>
      </c>
      <c r="AU259" s="49">
        <f t="shared" si="44"/>
        <v>0</v>
      </c>
      <c r="AV259" s="49">
        <f t="shared" si="45"/>
        <v>1</v>
      </c>
      <c r="AW259" s="49">
        <f t="shared" si="46"/>
        <v>0</v>
      </c>
      <c r="AX259" s="49">
        <f t="shared" si="47"/>
        <v>0</v>
      </c>
      <c r="AY259" s="49">
        <f t="shared" si="48"/>
        <v>0</v>
      </c>
      <c r="AZ259" s="49">
        <f t="shared" si="49"/>
        <v>1</v>
      </c>
      <c r="BA259" s="49">
        <f t="shared" si="50"/>
        <v>0</v>
      </c>
      <c r="BB259" s="49">
        <f t="shared" si="51"/>
        <v>0</v>
      </c>
      <c r="BC259" s="49">
        <f t="shared" si="52"/>
        <v>0</v>
      </c>
      <c r="BD259" s="49">
        <f t="shared" si="53"/>
        <v>1</v>
      </c>
      <c r="BE259" s="49">
        <f t="shared" si="54"/>
        <v>0</v>
      </c>
      <c r="BF259" s="49">
        <f t="shared" si="55"/>
        <v>0</v>
      </c>
      <c r="BG259" s="49">
        <f t="shared" si="56"/>
        <v>0</v>
      </c>
      <c r="BH259" s="49">
        <f t="shared" si="57"/>
        <v>1</v>
      </c>
      <c r="BI259" s="49">
        <f t="shared" si="58"/>
        <v>0</v>
      </c>
      <c r="BJ259" s="49">
        <f t="shared" si="59"/>
        <v>0</v>
      </c>
      <c r="BK259" s="49">
        <f t="shared" si="60"/>
        <v>0</v>
      </c>
      <c r="BL259" s="49">
        <f t="shared" si="61"/>
        <v>1</v>
      </c>
      <c r="BM259" s="49">
        <f t="shared" si="62"/>
        <v>0</v>
      </c>
      <c r="BN259" s="49">
        <f t="shared" si="63"/>
        <v>0</v>
      </c>
      <c r="BO259" s="49">
        <f t="shared" si="64"/>
        <v>0</v>
      </c>
      <c r="BP259" s="49">
        <f t="shared" si="65"/>
        <v>1</v>
      </c>
      <c r="BQ259" s="49">
        <f t="shared" si="66"/>
        <v>0</v>
      </c>
      <c r="BR259" s="49">
        <f t="shared" si="67"/>
        <v>0</v>
      </c>
      <c r="BS259" s="49">
        <f t="shared" si="68"/>
        <v>0</v>
      </c>
      <c r="BT259" s="49">
        <f t="shared" si="69"/>
        <v>1</v>
      </c>
      <c r="BU259" s="49">
        <f t="shared" si="70"/>
        <v>0</v>
      </c>
      <c r="BV259" s="49">
        <f t="shared" si="71"/>
        <v>0</v>
      </c>
      <c r="BW259" s="49">
        <f t="shared" si="72"/>
        <v>0</v>
      </c>
    </row>
    <row r="260" spans="1:75" ht="35.1" customHeight="1" x14ac:dyDescent="0.3">
      <c r="A260" s="123" t="str">
        <f t="shared" si="205"/>
        <v>2팀</v>
      </c>
      <c r="B260" s="69">
        <f t="shared" si="206"/>
        <v>254</v>
      </c>
      <c r="C260" s="121" t="str">
        <f>IF(VLOOKUP($B260,'1. 현장별 인원현황'!$C:$J,2,0)=0,"",VLOOKUP($B260,'1. 현장별 인원현황'!$C:$J,2,0))</f>
        <v xml:space="preserve"> [2.쌍용건설] 평택 가재지구 1블럭 공동주택 신축공사</v>
      </c>
      <c r="D260" s="74" t="str">
        <f>IF(VLOOKUP($B260,'1. 현장별 인원현황'!$C:$J,3,0)=0,"",VLOOKUP($B260,'1. 현장별 인원현황'!$C:$J,3,0))</f>
        <v>김영회</v>
      </c>
      <c r="E260" s="74" t="str">
        <f ca="1">IF(VLOOKUP($B260,'1. 현장별 인원현황'!$C:$J,4,0)=0,"",VLOOKUP($B260,'1. 현장별 인원현황'!$C:$J,4,0))</f>
        <v>56세</v>
      </c>
      <c r="F260" s="70" t="str">
        <f>IF(VLOOKUP($B260,'1. 현장별 인원현황'!$C:$J,7,0)=0,"",VLOOKUP($B260,'1. 현장별 인원현황'!$C:$J,7,0))</f>
        <v>공사</v>
      </c>
      <c r="G260" s="72" t="str">
        <f>IF(VLOOKUP($B260,'1. 현장별 인원현황'!$C:$J,8,0)=0,"",VLOOKUP($B260,'1. 현장별 인원현황'!$C:$J,8,0))</f>
        <v>차장</v>
      </c>
      <c r="H260" s="67" t="s">
        <v>69</v>
      </c>
      <c r="I260" s="73"/>
      <c r="J260" s="73"/>
      <c r="K260" s="68"/>
      <c r="L260" s="67" t="s">
        <v>69</v>
      </c>
      <c r="M260" s="73"/>
      <c r="N260" s="73"/>
      <c r="O260" s="68"/>
      <c r="P260" s="67" t="s">
        <v>69</v>
      </c>
      <c r="Q260" s="73"/>
      <c r="R260" s="73"/>
      <c r="S260" s="68"/>
      <c r="T260" s="67" t="s">
        <v>69</v>
      </c>
      <c r="U260" s="73"/>
      <c r="V260" s="73"/>
      <c r="W260" s="68"/>
      <c r="X260" s="67" t="s">
        <v>69</v>
      </c>
      <c r="Y260" s="73"/>
      <c r="Z260" s="73"/>
      <c r="AA260" s="68"/>
      <c r="AB260" s="67" t="s">
        <v>69</v>
      </c>
      <c r="AC260" s="73"/>
      <c r="AD260" s="73"/>
      <c r="AE260" s="68"/>
      <c r="AF260" s="67" t="s">
        <v>69</v>
      </c>
      <c r="AG260" s="73"/>
      <c r="AH260" s="73"/>
      <c r="AI260" s="68"/>
      <c r="AJ260" s="67" t="s">
        <v>69</v>
      </c>
      <c r="AK260" s="73"/>
      <c r="AL260" s="73"/>
      <c r="AM260" s="68"/>
      <c r="AN260" s="67">
        <f t="shared" si="207"/>
        <v>100</v>
      </c>
      <c r="AO260" s="68" t="str">
        <f t="shared" si="208"/>
        <v>S</v>
      </c>
      <c r="AR260" s="49">
        <f t="shared" ref="AR260:AR275" si="241">IF(H260&gt;0,1,0)</f>
        <v>1</v>
      </c>
      <c r="AS260" s="49">
        <f t="shared" ref="AS260:AS275" si="242">IF(I260&gt;0,1,0)</f>
        <v>0</v>
      </c>
      <c r="AT260" s="49">
        <f t="shared" ref="AT260:AT275" si="243">IF(J260&gt;0,1,0)</f>
        <v>0</v>
      </c>
      <c r="AU260" s="49">
        <f t="shared" ref="AU260:AU275" si="244">IF(K260&gt;0,1,0)</f>
        <v>0</v>
      </c>
      <c r="AV260" s="49">
        <f t="shared" ref="AV260:AV275" si="245">IF(L260&gt;0,1,0)</f>
        <v>1</v>
      </c>
      <c r="AW260" s="49">
        <f t="shared" ref="AW260:AW275" si="246">IF(M260&gt;0,1,0)</f>
        <v>0</v>
      </c>
      <c r="AX260" s="49">
        <f t="shared" ref="AX260:AX275" si="247">IF(N260&gt;0,1,0)</f>
        <v>0</v>
      </c>
      <c r="AY260" s="49">
        <f t="shared" ref="AY260:AY275" si="248">IF(O260&gt;0,1,0)</f>
        <v>0</v>
      </c>
      <c r="AZ260" s="49">
        <f t="shared" ref="AZ260:AZ275" si="249">IF(P260&gt;0,1,0)</f>
        <v>1</v>
      </c>
      <c r="BA260" s="49">
        <f t="shared" ref="BA260:BA275" si="250">IF(Q260&gt;0,1,0)</f>
        <v>0</v>
      </c>
      <c r="BB260" s="49">
        <f t="shared" ref="BB260:BB275" si="251">IF(R260&gt;0,1,0)</f>
        <v>0</v>
      </c>
      <c r="BC260" s="49">
        <f t="shared" ref="BC260:BC275" si="252">IF(S260&gt;0,1,0)</f>
        <v>0</v>
      </c>
      <c r="BD260" s="49">
        <f t="shared" ref="BD260:BD275" si="253">IF(T260&gt;0,1,0)</f>
        <v>1</v>
      </c>
      <c r="BE260" s="49">
        <f t="shared" ref="BE260:BE275" si="254">IF(U260&gt;0,1,0)</f>
        <v>0</v>
      </c>
      <c r="BF260" s="49">
        <f t="shared" ref="BF260:BF275" si="255">IF(V260&gt;0,1,0)</f>
        <v>0</v>
      </c>
      <c r="BG260" s="49">
        <f t="shared" ref="BG260:BG275" si="256">IF(W260&gt;0,1,0)</f>
        <v>0</v>
      </c>
      <c r="BH260" s="49">
        <f t="shared" ref="BH260:BH275" si="257">IF(X260&gt;0,1,0)</f>
        <v>1</v>
      </c>
      <c r="BI260" s="49">
        <f t="shared" ref="BI260:BI275" si="258">IF(Y260&gt;0,1,0)</f>
        <v>0</v>
      </c>
      <c r="BJ260" s="49">
        <f t="shared" ref="BJ260:BJ275" si="259">IF(Z260&gt;0,1,0)</f>
        <v>0</v>
      </c>
      <c r="BK260" s="49">
        <f t="shared" ref="BK260:BK275" si="260">IF(AA260&gt;0,1,0)</f>
        <v>0</v>
      </c>
      <c r="BL260" s="49">
        <f t="shared" ref="BL260:BL275" si="261">IF(AB260&gt;0,1,0)</f>
        <v>1</v>
      </c>
      <c r="BM260" s="49">
        <f t="shared" ref="BM260:BM275" si="262">IF(AC260&gt;0,1,0)</f>
        <v>0</v>
      </c>
      <c r="BN260" s="49">
        <f t="shared" ref="BN260:BN275" si="263">IF(AD260&gt;0,1,0)</f>
        <v>0</v>
      </c>
      <c r="BO260" s="49">
        <f t="shared" ref="BO260:BO275" si="264">IF(AE260&gt;0,1,0)</f>
        <v>0</v>
      </c>
      <c r="BP260" s="49">
        <f t="shared" ref="BP260:BP275" si="265">IF(AF260&gt;0,1,0)</f>
        <v>1</v>
      </c>
      <c r="BQ260" s="49">
        <f t="shared" ref="BQ260:BQ275" si="266">IF(AG260&gt;0,1,0)</f>
        <v>0</v>
      </c>
      <c r="BR260" s="49">
        <f t="shared" ref="BR260:BR275" si="267">IF(AH260&gt;0,1,0)</f>
        <v>0</v>
      </c>
      <c r="BS260" s="49">
        <f t="shared" ref="BS260:BS275" si="268">IF(AI260&gt;0,1,0)</f>
        <v>0</v>
      </c>
      <c r="BT260" s="49">
        <f t="shared" ref="BT260:BT275" si="269">IF(AJ260&gt;0,1,0)</f>
        <v>1</v>
      </c>
      <c r="BU260" s="49">
        <f t="shared" ref="BU260:BU275" si="270">IF(AK260&gt;0,1,0)</f>
        <v>0</v>
      </c>
      <c r="BV260" s="49">
        <f t="shared" ref="BV260:BV275" si="271">IF(AL260&gt;0,1,0)</f>
        <v>0</v>
      </c>
      <c r="BW260" s="49">
        <f t="shared" ref="BW260:BW275" si="272">IF(AM260&gt;0,1,0)</f>
        <v>0</v>
      </c>
    </row>
    <row r="261" spans="1:75" ht="35.1" customHeight="1" x14ac:dyDescent="0.3">
      <c r="A261" s="123" t="str">
        <f t="shared" si="205"/>
        <v>2팀</v>
      </c>
      <c r="B261" s="69">
        <f t="shared" si="206"/>
        <v>255</v>
      </c>
      <c r="C261" s="121" t="str">
        <f>IF(VLOOKUP($B261,'1. 현장별 인원현황'!$C:$J,2,0)=0,"",VLOOKUP($B261,'1. 현장별 인원현황'!$C:$J,2,0))</f>
        <v xml:space="preserve"> [2.쌍용건설] 평택 가재지구 1블럭 공동주택 신축공사</v>
      </c>
      <c r="D261" s="74" t="str">
        <f>IF(VLOOKUP($B261,'1. 현장별 인원현황'!$C:$J,3,0)=0,"",VLOOKUP($B261,'1. 현장별 인원현황'!$C:$J,3,0))</f>
        <v>김용철</v>
      </c>
      <c r="E261" s="74" t="str">
        <f ca="1">IF(VLOOKUP($B261,'1. 현장별 인원현황'!$C:$J,4,0)=0,"",VLOOKUP($B261,'1. 현장별 인원현황'!$C:$J,4,0))</f>
        <v>47세</v>
      </c>
      <c r="F261" s="70" t="str">
        <f>IF(VLOOKUP($B261,'1. 현장별 인원현황'!$C:$J,7,0)=0,"",VLOOKUP($B261,'1. 현장별 인원현황'!$C:$J,7,0))</f>
        <v>기능공</v>
      </c>
      <c r="G261" s="72" t="str">
        <f>IF(VLOOKUP($B261,'1. 현장별 인원현황'!$C:$J,8,0)=0,"",VLOOKUP($B261,'1. 현장별 인원현황'!$C:$J,8,0))</f>
        <v>전공</v>
      </c>
      <c r="H261" s="67" t="s">
        <v>69</v>
      </c>
      <c r="I261" s="73"/>
      <c r="J261" s="73"/>
      <c r="K261" s="68"/>
      <c r="L261" s="67" t="s">
        <v>69</v>
      </c>
      <c r="M261" s="73"/>
      <c r="N261" s="73"/>
      <c r="O261" s="68"/>
      <c r="P261" s="67" t="s">
        <v>69</v>
      </c>
      <c r="Q261" s="73"/>
      <c r="R261" s="73"/>
      <c r="S261" s="68"/>
      <c r="T261" s="67" t="s">
        <v>69</v>
      </c>
      <c r="U261" s="73"/>
      <c r="V261" s="73"/>
      <c r="W261" s="68"/>
      <c r="X261" s="67" t="s">
        <v>69</v>
      </c>
      <c r="Y261" s="73"/>
      <c r="Z261" s="73"/>
      <c r="AA261" s="68"/>
      <c r="AB261" s="67" t="s">
        <v>69</v>
      </c>
      <c r="AC261" s="73"/>
      <c r="AD261" s="73"/>
      <c r="AE261" s="68"/>
      <c r="AF261" s="67" t="s">
        <v>69</v>
      </c>
      <c r="AG261" s="73"/>
      <c r="AH261" s="73"/>
      <c r="AI261" s="68"/>
      <c r="AJ261" s="67" t="s">
        <v>69</v>
      </c>
      <c r="AK261" s="73"/>
      <c r="AL261" s="73"/>
      <c r="AM261" s="68"/>
      <c r="AN261" s="67">
        <f t="shared" si="207"/>
        <v>100</v>
      </c>
      <c r="AO261" s="68" t="str">
        <f t="shared" si="208"/>
        <v>S</v>
      </c>
      <c r="AR261" s="49">
        <f t="shared" si="241"/>
        <v>1</v>
      </c>
      <c r="AS261" s="49">
        <f t="shared" si="242"/>
        <v>0</v>
      </c>
      <c r="AT261" s="49">
        <f t="shared" si="243"/>
        <v>0</v>
      </c>
      <c r="AU261" s="49">
        <f t="shared" si="244"/>
        <v>0</v>
      </c>
      <c r="AV261" s="49">
        <f t="shared" si="245"/>
        <v>1</v>
      </c>
      <c r="AW261" s="49">
        <f t="shared" si="246"/>
        <v>0</v>
      </c>
      <c r="AX261" s="49">
        <f t="shared" si="247"/>
        <v>0</v>
      </c>
      <c r="AY261" s="49">
        <f t="shared" si="248"/>
        <v>0</v>
      </c>
      <c r="AZ261" s="49">
        <f t="shared" si="249"/>
        <v>1</v>
      </c>
      <c r="BA261" s="49">
        <f t="shared" si="250"/>
        <v>0</v>
      </c>
      <c r="BB261" s="49">
        <f t="shared" si="251"/>
        <v>0</v>
      </c>
      <c r="BC261" s="49">
        <f t="shared" si="252"/>
        <v>0</v>
      </c>
      <c r="BD261" s="49">
        <f t="shared" si="253"/>
        <v>1</v>
      </c>
      <c r="BE261" s="49">
        <f t="shared" si="254"/>
        <v>0</v>
      </c>
      <c r="BF261" s="49">
        <f t="shared" si="255"/>
        <v>0</v>
      </c>
      <c r="BG261" s="49">
        <f t="shared" si="256"/>
        <v>0</v>
      </c>
      <c r="BH261" s="49">
        <f t="shared" si="257"/>
        <v>1</v>
      </c>
      <c r="BI261" s="49">
        <f t="shared" si="258"/>
        <v>0</v>
      </c>
      <c r="BJ261" s="49">
        <f t="shared" si="259"/>
        <v>0</v>
      </c>
      <c r="BK261" s="49">
        <f t="shared" si="260"/>
        <v>0</v>
      </c>
      <c r="BL261" s="49">
        <f t="shared" si="261"/>
        <v>1</v>
      </c>
      <c r="BM261" s="49">
        <f t="shared" si="262"/>
        <v>0</v>
      </c>
      <c r="BN261" s="49">
        <f t="shared" si="263"/>
        <v>0</v>
      </c>
      <c r="BO261" s="49">
        <f t="shared" si="264"/>
        <v>0</v>
      </c>
      <c r="BP261" s="49">
        <f t="shared" si="265"/>
        <v>1</v>
      </c>
      <c r="BQ261" s="49">
        <f t="shared" si="266"/>
        <v>0</v>
      </c>
      <c r="BR261" s="49">
        <f t="shared" si="267"/>
        <v>0</v>
      </c>
      <c r="BS261" s="49">
        <f t="shared" si="268"/>
        <v>0</v>
      </c>
      <c r="BT261" s="49">
        <f t="shared" si="269"/>
        <v>1</v>
      </c>
      <c r="BU261" s="49">
        <f t="shared" si="270"/>
        <v>0</v>
      </c>
      <c r="BV261" s="49">
        <f t="shared" si="271"/>
        <v>0</v>
      </c>
      <c r="BW261" s="49">
        <f t="shared" si="272"/>
        <v>0</v>
      </c>
    </row>
    <row r="262" spans="1:75" ht="35.1" customHeight="1" x14ac:dyDescent="0.3">
      <c r="A262" s="123" t="str">
        <f t="shared" si="205"/>
        <v>2팀</v>
      </c>
      <c r="B262" s="69">
        <f t="shared" si="206"/>
        <v>256</v>
      </c>
      <c r="C262" s="121" t="str">
        <f>IF(VLOOKUP($B262,'1. 현장별 인원현황'!$C:$J,2,0)=0,"",VLOOKUP($B262,'1. 현장별 인원현황'!$C:$J,2,0))</f>
        <v xml:space="preserve"> [2.쌍용건설] 평택 가재지구 1블럭 공동주택 신축공사</v>
      </c>
      <c r="D262" s="74" t="str">
        <f>IF(VLOOKUP($B262,'1. 현장별 인원현황'!$C:$J,3,0)=0,"",VLOOKUP($B262,'1. 현장별 인원현황'!$C:$J,3,0))</f>
        <v>아크말</v>
      </c>
      <c r="E262" s="74" t="str">
        <f ca="1">IF(VLOOKUP($B262,'1. 현장별 인원현황'!$C:$J,4,0)=0,"",VLOOKUP($B262,'1. 현장별 인원현황'!$C:$J,4,0))</f>
        <v>40세</v>
      </c>
      <c r="F262" s="70" t="str">
        <f>IF(VLOOKUP($B262,'1. 현장별 인원현황'!$C:$J,7,0)=0,"",VLOOKUP($B262,'1. 현장별 인원현황'!$C:$J,7,0))</f>
        <v>기능공</v>
      </c>
      <c r="G262" s="72" t="str">
        <f>IF(VLOOKUP($B262,'1. 현장별 인원현황'!$C:$J,8,0)=0,"",VLOOKUP($B262,'1. 현장별 인원현황'!$C:$J,8,0))</f>
        <v>전공</v>
      </c>
      <c r="H262" s="67" t="s">
        <v>69</v>
      </c>
      <c r="I262" s="73"/>
      <c r="J262" s="73"/>
      <c r="K262" s="68"/>
      <c r="L262" s="67" t="s">
        <v>69</v>
      </c>
      <c r="M262" s="73"/>
      <c r="N262" s="73"/>
      <c r="O262" s="68"/>
      <c r="P262" s="67" t="s">
        <v>69</v>
      </c>
      <c r="Q262" s="73"/>
      <c r="R262" s="73"/>
      <c r="S262" s="68"/>
      <c r="T262" s="67" t="s">
        <v>69</v>
      </c>
      <c r="U262" s="73"/>
      <c r="V262" s="73"/>
      <c r="W262" s="68"/>
      <c r="X262" s="67" t="s">
        <v>69</v>
      </c>
      <c r="Y262" s="73"/>
      <c r="Z262" s="73"/>
      <c r="AA262" s="68"/>
      <c r="AB262" s="67" t="s">
        <v>69</v>
      </c>
      <c r="AC262" s="73"/>
      <c r="AD262" s="73"/>
      <c r="AE262" s="68"/>
      <c r="AF262" s="67" t="s">
        <v>69</v>
      </c>
      <c r="AG262" s="73"/>
      <c r="AH262" s="73"/>
      <c r="AI262" s="68"/>
      <c r="AJ262" s="67" t="s">
        <v>69</v>
      </c>
      <c r="AK262" s="73"/>
      <c r="AL262" s="73"/>
      <c r="AM262" s="68"/>
      <c r="AN262" s="67">
        <f t="shared" si="207"/>
        <v>100</v>
      </c>
      <c r="AO262" s="68" t="str">
        <f t="shared" si="208"/>
        <v>S</v>
      </c>
      <c r="AR262" s="49">
        <f t="shared" si="241"/>
        <v>1</v>
      </c>
      <c r="AS262" s="49">
        <f t="shared" si="242"/>
        <v>0</v>
      </c>
      <c r="AT262" s="49">
        <f t="shared" si="243"/>
        <v>0</v>
      </c>
      <c r="AU262" s="49">
        <f t="shared" si="244"/>
        <v>0</v>
      </c>
      <c r="AV262" s="49">
        <f t="shared" si="245"/>
        <v>1</v>
      </c>
      <c r="AW262" s="49">
        <f t="shared" si="246"/>
        <v>0</v>
      </c>
      <c r="AX262" s="49">
        <f t="shared" si="247"/>
        <v>0</v>
      </c>
      <c r="AY262" s="49">
        <f t="shared" si="248"/>
        <v>0</v>
      </c>
      <c r="AZ262" s="49">
        <f t="shared" si="249"/>
        <v>1</v>
      </c>
      <c r="BA262" s="49">
        <f t="shared" si="250"/>
        <v>0</v>
      </c>
      <c r="BB262" s="49">
        <f t="shared" si="251"/>
        <v>0</v>
      </c>
      <c r="BC262" s="49">
        <f t="shared" si="252"/>
        <v>0</v>
      </c>
      <c r="BD262" s="49">
        <f t="shared" si="253"/>
        <v>1</v>
      </c>
      <c r="BE262" s="49">
        <f t="shared" si="254"/>
        <v>0</v>
      </c>
      <c r="BF262" s="49">
        <f t="shared" si="255"/>
        <v>0</v>
      </c>
      <c r="BG262" s="49">
        <f t="shared" si="256"/>
        <v>0</v>
      </c>
      <c r="BH262" s="49">
        <f t="shared" si="257"/>
        <v>1</v>
      </c>
      <c r="BI262" s="49">
        <f t="shared" si="258"/>
        <v>0</v>
      </c>
      <c r="BJ262" s="49">
        <f t="shared" si="259"/>
        <v>0</v>
      </c>
      <c r="BK262" s="49">
        <f t="shared" si="260"/>
        <v>0</v>
      </c>
      <c r="BL262" s="49">
        <f t="shared" si="261"/>
        <v>1</v>
      </c>
      <c r="BM262" s="49">
        <f t="shared" si="262"/>
        <v>0</v>
      </c>
      <c r="BN262" s="49">
        <f t="shared" si="263"/>
        <v>0</v>
      </c>
      <c r="BO262" s="49">
        <f t="shared" si="264"/>
        <v>0</v>
      </c>
      <c r="BP262" s="49">
        <f t="shared" si="265"/>
        <v>1</v>
      </c>
      <c r="BQ262" s="49">
        <f t="shared" si="266"/>
        <v>0</v>
      </c>
      <c r="BR262" s="49">
        <f t="shared" si="267"/>
        <v>0</v>
      </c>
      <c r="BS262" s="49">
        <f t="shared" si="268"/>
        <v>0</v>
      </c>
      <c r="BT262" s="49">
        <f t="shared" si="269"/>
        <v>1</v>
      </c>
      <c r="BU262" s="49">
        <f t="shared" si="270"/>
        <v>0</v>
      </c>
      <c r="BV262" s="49">
        <f t="shared" si="271"/>
        <v>0</v>
      </c>
      <c r="BW262" s="49">
        <f t="shared" si="272"/>
        <v>0</v>
      </c>
    </row>
    <row r="263" spans="1:75" ht="35.1" customHeight="1" x14ac:dyDescent="0.3">
      <c r="A263" s="123" t="str">
        <f t="shared" ref="A263:A326" si="273">MID(C263,3,1)&amp;"팀"</f>
        <v>2팀</v>
      </c>
      <c r="B263" s="69">
        <f t="shared" ref="B263:B326" si="274">ROW()-6</f>
        <v>257</v>
      </c>
      <c r="C263" s="121" t="str">
        <f>IF(VLOOKUP($B263,'1. 현장별 인원현황'!$C:$J,2,0)=0,"",VLOOKUP($B263,'1. 현장별 인원현황'!$C:$J,2,0))</f>
        <v xml:space="preserve"> [2.쌍용건설] 평택 가재지구 1블럭 공동주택 신축공사</v>
      </c>
      <c r="D263" s="74" t="str">
        <f>IF(VLOOKUP($B263,'1. 현장별 인원현황'!$C:$J,3,0)=0,"",VLOOKUP($B263,'1. 현장별 인원현황'!$C:$J,3,0))</f>
        <v>양준호</v>
      </c>
      <c r="E263" s="74" t="str">
        <f ca="1">IF(VLOOKUP($B263,'1. 현장별 인원현황'!$C:$J,4,0)=0,"",VLOOKUP($B263,'1. 현장별 인원현황'!$C:$J,4,0))</f>
        <v>32세</v>
      </c>
      <c r="F263" s="70" t="str">
        <f>IF(VLOOKUP($B263,'1. 현장별 인원현황'!$C:$J,7,0)=0,"",VLOOKUP($B263,'1. 현장별 인원현황'!$C:$J,7,0))</f>
        <v>기능공</v>
      </c>
      <c r="G263" s="72" t="str">
        <f>IF(VLOOKUP($B263,'1. 현장별 인원현황'!$C:$J,8,0)=0,"",VLOOKUP($B263,'1. 현장별 인원현황'!$C:$J,8,0))</f>
        <v>전공</v>
      </c>
      <c r="H263" s="67" t="s">
        <v>69</v>
      </c>
      <c r="I263" s="73"/>
      <c r="J263" s="73"/>
      <c r="K263" s="68"/>
      <c r="L263" s="67" t="s">
        <v>69</v>
      </c>
      <c r="M263" s="73"/>
      <c r="N263" s="73"/>
      <c r="O263" s="68"/>
      <c r="P263" s="67" t="s">
        <v>69</v>
      </c>
      <c r="Q263" s="73"/>
      <c r="R263" s="73"/>
      <c r="S263" s="68"/>
      <c r="T263" s="67" t="s">
        <v>69</v>
      </c>
      <c r="U263" s="73"/>
      <c r="V263" s="73"/>
      <c r="W263" s="68"/>
      <c r="X263" s="67" t="s">
        <v>69</v>
      </c>
      <c r="Y263" s="73"/>
      <c r="Z263" s="73"/>
      <c r="AA263" s="68"/>
      <c r="AB263" s="67" t="s">
        <v>69</v>
      </c>
      <c r="AC263" s="73"/>
      <c r="AD263" s="73"/>
      <c r="AE263" s="68"/>
      <c r="AF263" s="67" t="s">
        <v>69</v>
      </c>
      <c r="AG263" s="73"/>
      <c r="AH263" s="73"/>
      <c r="AI263" s="68"/>
      <c r="AJ263" s="67" t="s">
        <v>69</v>
      </c>
      <c r="AK263" s="73"/>
      <c r="AL263" s="73"/>
      <c r="AM263" s="68"/>
      <c r="AN263" s="67">
        <f t="shared" ref="AN263:AN326" si="275">SUMPRODUCT($H$5:$AM$5,AR263:BW263)</f>
        <v>100</v>
      </c>
      <c r="AO263" s="68" t="str">
        <f t="shared" ref="AO263:AO326" si="276">IF(AN263&gt;85,"S",IF(AN263&gt;70,"A",IF(AN263&gt;50,"B",IF(AN263&gt;0,"C",""))))</f>
        <v>S</v>
      </c>
      <c r="AR263" s="49">
        <f t="shared" si="241"/>
        <v>1</v>
      </c>
      <c r="AS263" s="49">
        <f t="shared" si="242"/>
        <v>0</v>
      </c>
      <c r="AT263" s="49">
        <f t="shared" si="243"/>
        <v>0</v>
      </c>
      <c r="AU263" s="49">
        <f t="shared" si="244"/>
        <v>0</v>
      </c>
      <c r="AV263" s="49">
        <f t="shared" si="245"/>
        <v>1</v>
      </c>
      <c r="AW263" s="49">
        <f t="shared" si="246"/>
        <v>0</v>
      </c>
      <c r="AX263" s="49">
        <f t="shared" si="247"/>
        <v>0</v>
      </c>
      <c r="AY263" s="49">
        <f t="shared" si="248"/>
        <v>0</v>
      </c>
      <c r="AZ263" s="49">
        <f t="shared" si="249"/>
        <v>1</v>
      </c>
      <c r="BA263" s="49">
        <f t="shared" si="250"/>
        <v>0</v>
      </c>
      <c r="BB263" s="49">
        <f t="shared" si="251"/>
        <v>0</v>
      </c>
      <c r="BC263" s="49">
        <f t="shared" si="252"/>
        <v>0</v>
      </c>
      <c r="BD263" s="49">
        <f t="shared" si="253"/>
        <v>1</v>
      </c>
      <c r="BE263" s="49">
        <f t="shared" si="254"/>
        <v>0</v>
      </c>
      <c r="BF263" s="49">
        <f t="shared" si="255"/>
        <v>0</v>
      </c>
      <c r="BG263" s="49">
        <f t="shared" si="256"/>
        <v>0</v>
      </c>
      <c r="BH263" s="49">
        <f t="shared" si="257"/>
        <v>1</v>
      </c>
      <c r="BI263" s="49">
        <f t="shared" si="258"/>
        <v>0</v>
      </c>
      <c r="BJ263" s="49">
        <f t="shared" si="259"/>
        <v>0</v>
      </c>
      <c r="BK263" s="49">
        <f t="shared" si="260"/>
        <v>0</v>
      </c>
      <c r="BL263" s="49">
        <f t="shared" si="261"/>
        <v>1</v>
      </c>
      <c r="BM263" s="49">
        <f t="shared" si="262"/>
        <v>0</v>
      </c>
      <c r="BN263" s="49">
        <f t="shared" si="263"/>
        <v>0</v>
      </c>
      <c r="BO263" s="49">
        <f t="shared" si="264"/>
        <v>0</v>
      </c>
      <c r="BP263" s="49">
        <f t="shared" si="265"/>
        <v>1</v>
      </c>
      <c r="BQ263" s="49">
        <f t="shared" si="266"/>
        <v>0</v>
      </c>
      <c r="BR263" s="49">
        <f t="shared" si="267"/>
        <v>0</v>
      </c>
      <c r="BS263" s="49">
        <f t="shared" si="268"/>
        <v>0</v>
      </c>
      <c r="BT263" s="49">
        <f t="shared" si="269"/>
        <v>1</v>
      </c>
      <c r="BU263" s="49">
        <f t="shared" si="270"/>
        <v>0</v>
      </c>
      <c r="BV263" s="49">
        <f t="shared" si="271"/>
        <v>0</v>
      </c>
      <c r="BW263" s="49">
        <f t="shared" si="272"/>
        <v>0</v>
      </c>
    </row>
    <row r="264" spans="1:75" ht="35.1" customHeight="1" x14ac:dyDescent="0.3">
      <c r="A264" s="123" t="str">
        <f t="shared" si="273"/>
        <v>2팀</v>
      </c>
      <c r="B264" s="69">
        <f t="shared" si="274"/>
        <v>258</v>
      </c>
      <c r="C264" s="121" t="str">
        <f>IF(VLOOKUP($B264,'1. 현장별 인원현황'!$C:$J,2,0)=0,"",VLOOKUP($B264,'1. 현장별 인원현황'!$C:$J,2,0))</f>
        <v xml:space="preserve"> [2.쌍용건설] 평택 가재지구 1블럭 공동주택 신축공사</v>
      </c>
      <c r="D264" s="74" t="str">
        <f>IF(VLOOKUP($B264,'1. 현장별 인원현황'!$C:$J,3,0)=0,"",VLOOKUP($B264,'1. 현장별 인원현황'!$C:$J,3,0))</f>
        <v>김세해</v>
      </c>
      <c r="E264" s="74" t="str">
        <f ca="1">IF(VLOOKUP($B264,'1. 현장별 인원현황'!$C:$J,4,0)=0,"",VLOOKUP($B264,'1. 현장별 인원현황'!$C:$J,4,0))</f>
        <v>54세</v>
      </c>
      <c r="F264" s="70" t="str">
        <f>IF(VLOOKUP($B264,'1. 현장별 인원현황'!$C:$J,7,0)=0,"",VLOOKUP($B264,'1. 현장별 인원현황'!$C:$J,7,0))</f>
        <v>기능공</v>
      </c>
      <c r="G264" s="72" t="str">
        <f>IF(VLOOKUP($B264,'1. 현장별 인원현황'!$C:$J,8,0)=0,"",VLOOKUP($B264,'1. 현장별 인원현황'!$C:$J,8,0))</f>
        <v>전공</v>
      </c>
      <c r="H264" s="67" t="s">
        <v>69</v>
      </c>
      <c r="I264" s="73"/>
      <c r="J264" s="73"/>
      <c r="K264" s="68"/>
      <c r="L264" s="67" t="s">
        <v>69</v>
      </c>
      <c r="M264" s="73"/>
      <c r="N264" s="73"/>
      <c r="O264" s="68"/>
      <c r="P264" s="67" t="s">
        <v>69</v>
      </c>
      <c r="Q264" s="73"/>
      <c r="R264" s="73"/>
      <c r="S264" s="68"/>
      <c r="T264" s="67" t="s">
        <v>69</v>
      </c>
      <c r="U264" s="73"/>
      <c r="V264" s="73"/>
      <c r="W264" s="68"/>
      <c r="X264" s="67" t="s">
        <v>69</v>
      </c>
      <c r="Y264" s="73"/>
      <c r="Z264" s="73"/>
      <c r="AA264" s="68"/>
      <c r="AB264" s="67" t="s">
        <v>69</v>
      </c>
      <c r="AC264" s="73"/>
      <c r="AD264" s="73"/>
      <c r="AE264" s="68"/>
      <c r="AF264" s="67" t="s">
        <v>69</v>
      </c>
      <c r="AG264" s="73"/>
      <c r="AH264" s="73"/>
      <c r="AI264" s="68"/>
      <c r="AJ264" s="67" t="s">
        <v>69</v>
      </c>
      <c r="AK264" s="73"/>
      <c r="AL264" s="73"/>
      <c r="AM264" s="68"/>
      <c r="AN264" s="67">
        <f t="shared" si="275"/>
        <v>100</v>
      </c>
      <c r="AO264" s="68" t="str">
        <f t="shared" si="276"/>
        <v>S</v>
      </c>
      <c r="AR264" s="49">
        <f t="shared" si="241"/>
        <v>1</v>
      </c>
      <c r="AS264" s="49">
        <f t="shared" si="242"/>
        <v>0</v>
      </c>
      <c r="AT264" s="49">
        <f t="shared" si="243"/>
        <v>0</v>
      </c>
      <c r="AU264" s="49">
        <f t="shared" si="244"/>
        <v>0</v>
      </c>
      <c r="AV264" s="49">
        <f t="shared" si="245"/>
        <v>1</v>
      </c>
      <c r="AW264" s="49">
        <f t="shared" si="246"/>
        <v>0</v>
      </c>
      <c r="AX264" s="49">
        <f t="shared" si="247"/>
        <v>0</v>
      </c>
      <c r="AY264" s="49">
        <f t="shared" si="248"/>
        <v>0</v>
      </c>
      <c r="AZ264" s="49">
        <f t="shared" si="249"/>
        <v>1</v>
      </c>
      <c r="BA264" s="49">
        <f t="shared" si="250"/>
        <v>0</v>
      </c>
      <c r="BB264" s="49">
        <f t="shared" si="251"/>
        <v>0</v>
      </c>
      <c r="BC264" s="49">
        <f t="shared" si="252"/>
        <v>0</v>
      </c>
      <c r="BD264" s="49">
        <f t="shared" si="253"/>
        <v>1</v>
      </c>
      <c r="BE264" s="49">
        <f t="shared" si="254"/>
        <v>0</v>
      </c>
      <c r="BF264" s="49">
        <f t="shared" si="255"/>
        <v>0</v>
      </c>
      <c r="BG264" s="49">
        <f t="shared" si="256"/>
        <v>0</v>
      </c>
      <c r="BH264" s="49">
        <f t="shared" si="257"/>
        <v>1</v>
      </c>
      <c r="BI264" s="49">
        <f t="shared" si="258"/>
        <v>0</v>
      </c>
      <c r="BJ264" s="49">
        <f t="shared" si="259"/>
        <v>0</v>
      </c>
      <c r="BK264" s="49">
        <f t="shared" si="260"/>
        <v>0</v>
      </c>
      <c r="BL264" s="49">
        <f t="shared" si="261"/>
        <v>1</v>
      </c>
      <c r="BM264" s="49">
        <f t="shared" si="262"/>
        <v>0</v>
      </c>
      <c r="BN264" s="49">
        <f t="shared" si="263"/>
        <v>0</v>
      </c>
      <c r="BO264" s="49">
        <f t="shared" si="264"/>
        <v>0</v>
      </c>
      <c r="BP264" s="49">
        <f t="shared" si="265"/>
        <v>1</v>
      </c>
      <c r="BQ264" s="49">
        <f t="shared" si="266"/>
        <v>0</v>
      </c>
      <c r="BR264" s="49">
        <f t="shared" si="267"/>
        <v>0</v>
      </c>
      <c r="BS264" s="49">
        <f t="shared" si="268"/>
        <v>0</v>
      </c>
      <c r="BT264" s="49">
        <f t="shared" si="269"/>
        <v>1</v>
      </c>
      <c r="BU264" s="49">
        <f t="shared" si="270"/>
        <v>0</v>
      </c>
      <c r="BV264" s="49">
        <f t="shared" si="271"/>
        <v>0</v>
      </c>
      <c r="BW264" s="49">
        <f t="shared" si="272"/>
        <v>0</v>
      </c>
    </row>
    <row r="265" spans="1:75" ht="35.1" customHeight="1" x14ac:dyDescent="0.3">
      <c r="A265" s="123" t="str">
        <f t="shared" si="273"/>
        <v>2팀</v>
      </c>
      <c r="B265" s="69">
        <f t="shared" si="274"/>
        <v>259</v>
      </c>
      <c r="C265" s="121" t="str">
        <f>IF(VLOOKUP($B265,'1. 현장별 인원현황'!$C:$J,2,0)=0,"",VLOOKUP($B265,'1. 현장별 인원현황'!$C:$J,2,0))</f>
        <v xml:space="preserve"> [2.쌍용건설] 평택 가재지구 1블럭 공동주택 신축공사</v>
      </c>
      <c r="D265" s="74" t="str">
        <f>IF(VLOOKUP($B265,'1. 현장별 인원현황'!$C:$J,3,0)=0,"",VLOOKUP($B265,'1. 현장별 인원현황'!$C:$J,3,0))</f>
        <v>량춘연</v>
      </c>
      <c r="E265" s="74" t="str">
        <f ca="1">IF(VLOOKUP($B265,'1. 현장별 인원현황'!$C:$J,4,0)=0,"",VLOOKUP($B265,'1. 현장별 인원현황'!$C:$J,4,0))</f>
        <v>46세</v>
      </c>
      <c r="F265" s="70" t="str">
        <f>IF(VLOOKUP($B265,'1. 현장별 인원현황'!$C:$J,7,0)=0,"",VLOOKUP($B265,'1. 현장별 인원현황'!$C:$J,7,0))</f>
        <v>기능공</v>
      </c>
      <c r="G265" s="72" t="str">
        <f>IF(VLOOKUP($B265,'1. 현장별 인원현황'!$C:$J,8,0)=0,"",VLOOKUP($B265,'1. 현장별 인원현황'!$C:$J,8,0))</f>
        <v>전공</v>
      </c>
      <c r="H265" s="67" t="s">
        <v>69</v>
      </c>
      <c r="I265" s="73"/>
      <c r="J265" s="73"/>
      <c r="K265" s="68"/>
      <c r="L265" s="67" t="s">
        <v>69</v>
      </c>
      <c r="M265" s="73"/>
      <c r="N265" s="73"/>
      <c r="O265" s="68"/>
      <c r="P265" s="67" t="s">
        <v>69</v>
      </c>
      <c r="Q265" s="73"/>
      <c r="R265" s="73"/>
      <c r="S265" s="68"/>
      <c r="T265" s="67" t="s">
        <v>69</v>
      </c>
      <c r="U265" s="73"/>
      <c r="V265" s="73"/>
      <c r="W265" s="68"/>
      <c r="X265" s="67" t="s">
        <v>69</v>
      </c>
      <c r="Y265" s="73"/>
      <c r="Z265" s="73"/>
      <c r="AA265" s="68"/>
      <c r="AB265" s="67" t="s">
        <v>69</v>
      </c>
      <c r="AC265" s="73"/>
      <c r="AD265" s="73"/>
      <c r="AE265" s="68"/>
      <c r="AF265" s="67" t="s">
        <v>69</v>
      </c>
      <c r="AG265" s="73"/>
      <c r="AH265" s="73"/>
      <c r="AI265" s="68"/>
      <c r="AJ265" s="67" t="s">
        <v>69</v>
      </c>
      <c r="AK265" s="73"/>
      <c r="AL265" s="73"/>
      <c r="AM265" s="68"/>
      <c r="AN265" s="67">
        <f t="shared" si="275"/>
        <v>100</v>
      </c>
      <c r="AO265" s="68" t="str">
        <f t="shared" si="276"/>
        <v>S</v>
      </c>
      <c r="AR265" s="49">
        <f t="shared" si="241"/>
        <v>1</v>
      </c>
      <c r="AS265" s="49">
        <f t="shared" si="242"/>
        <v>0</v>
      </c>
      <c r="AT265" s="49">
        <f t="shared" si="243"/>
        <v>0</v>
      </c>
      <c r="AU265" s="49">
        <f t="shared" si="244"/>
        <v>0</v>
      </c>
      <c r="AV265" s="49">
        <f t="shared" si="245"/>
        <v>1</v>
      </c>
      <c r="AW265" s="49">
        <f t="shared" si="246"/>
        <v>0</v>
      </c>
      <c r="AX265" s="49">
        <f t="shared" si="247"/>
        <v>0</v>
      </c>
      <c r="AY265" s="49">
        <f t="shared" si="248"/>
        <v>0</v>
      </c>
      <c r="AZ265" s="49">
        <f t="shared" si="249"/>
        <v>1</v>
      </c>
      <c r="BA265" s="49">
        <f t="shared" si="250"/>
        <v>0</v>
      </c>
      <c r="BB265" s="49">
        <f t="shared" si="251"/>
        <v>0</v>
      </c>
      <c r="BC265" s="49">
        <f t="shared" si="252"/>
        <v>0</v>
      </c>
      <c r="BD265" s="49">
        <f t="shared" si="253"/>
        <v>1</v>
      </c>
      <c r="BE265" s="49">
        <f t="shared" si="254"/>
        <v>0</v>
      </c>
      <c r="BF265" s="49">
        <f t="shared" si="255"/>
        <v>0</v>
      </c>
      <c r="BG265" s="49">
        <f t="shared" si="256"/>
        <v>0</v>
      </c>
      <c r="BH265" s="49">
        <f t="shared" si="257"/>
        <v>1</v>
      </c>
      <c r="BI265" s="49">
        <f t="shared" si="258"/>
        <v>0</v>
      </c>
      <c r="BJ265" s="49">
        <f t="shared" si="259"/>
        <v>0</v>
      </c>
      <c r="BK265" s="49">
        <f t="shared" si="260"/>
        <v>0</v>
      </c>
      <c r="BL265" s="49">
        <f t="shared" si="261"/>
        <v>1</v>
      </c>
      <c r="BM265" s="49">
        <f t="shared" si="262"/>
        <v>0</v>
      </c>
      <c r="BN265" s="49">
        <f t="shared" si="263"/>
        <v>0</v>
      </c>
      <c r="BO265" s="49">
        <f t="shared" si="264"/>
        <v>0</v>
      </c>
      <c r="BP265" s="49">
        <f t="shared" si="265"/>
        <v>1</v>
      </c>
      <c r="BQ265" s="49">
        <f t="shared" si="266"/>
        <v>0</v>
      </c>
      <c r="BR265" s="49">
        <f t="shared" si="267"/>
        <v>0</v>
      </c>
      <c r="BS265" s="49">
        <f t="shared" si="268"/>
        <v>0</v>
      </c>
      <c r="BT265" s="49">
        <f t="shared" si="269"/>
        <v>1</v>
      </c>
      <c r="BU265" s="49">
        <f t="shared" si="270"/>
        <v>0</v>
      </c>
      <c r="BV265" s="49">
        <f t="shared" si="271"/>
        <v>0</v>
      </c>
      <c r="BW265" s="49">
        <f t="shared" si="272"/>
        <v>0</v>
      </c>
    </row>
    <row r="266" spans="1:75" ht="35.1" customHeight="1" x14ac:dyDescent="0.3">
      <c r="A266" s="123" t="str">
        <f t="shared" si="273"/>
        <v>2팀</v>
      </c>
      <c r="B266" s="69">
        <f t="shared" si="274"/>
        <v>260</v>
      </c>
      <c r="C266" s="121" t="str">
        <f>IF(VLOOKUP($B266,'1. 현장별 인원현황'!$C:$J,2,0)=0,"",VLOOKUP($B266,'1. 현장별 인원현황'!$C:$J,2,0))</f>
        <v xml:space="preserve"> [2.한라] 인천작전동 APT 신축공사</v>
      </c>
      <c r="D266" s="74" t="str">
        <f>IF(VLOOKUP($B266,'1. 현장별 인원현황'!$C:$J,3,0)=0,"",VLOOKUP($B266,'1. 현장별 인원현황'!$C:$J,3,0))</f>
        <v>김익배</v>
      </c>
      <c r="E266" s="74" t="str">
        <f ca="1">IF(VLOOKUP($B266,'1. 현장별 인원현황'!$C:$J,4,0)=0,"",VLOOKUP($B266,'1. 현장별 인원현황'!$C:$J,4,0))</f>
        <v>58세</v>
      </c>
      <c r="F266" s="70" t="str">
        <f>IF(VLOOKUP($B266,'1. 현장별 인원현황'!$C:$J,7,0)=0,"",VLOOKUP($B266,'1. 현장별 인원현황'!$C:$J,7,0))</f>
        <v>공무</v>
      </c>
      <c r="G266" s="72" t="str">
        <f>IF(VLOOKUP($B266,'1. 현장별 인원현황'!$C:$J,8,0)=0,"",VLOOKUP($B266,'1. 현장별 인원현황'!$C:$J,8,0))</f>
        <v>부장</v>
      </c>
      <c r="H266" s="67" t="s">
        <v>69</v>
      </c>
      <c r="I266" s="73"/>
      <c r="J266" s="73"/>
      <c r="K266" s="68"/>
      <c r="L266" s="67" t="s">
        <v>69</v>
      </c>
      <c r="M266" s="73"/>
      <c r="N266" s="73"/>
      <c r="O266" s="68"/>
      <c r="P266" s="67" t="s">
        <v>69</v>
      </c>
      <c r="Q266" s="73"/>
      <c r="R266" s="73"/>
      <c r="S266" s="68"/>
      <c r="T266" s="67"/>
      <c r="U266" s="73" t="s">
        <v>69</v>
      </c>
      <c r="V266" s="73"/>
      <c r="W266" s="68"/>
      <c r="X266" s="67" t="s">
        <v>69</v>
      </c>
      <c r="Y266" s="73"/>
      <c r="Z266" s="73"/>
      <c r="AA266" s="68"/>
      <c r="AB266" s="67" t="s">
        <v>69</v>
      </c>
      <c r="AC266" s="73"/>
      <c r="AD266" s="73"/>
      <c r="AE266" s="68"/>
      <c r="AF266" s="67"/>
      <c r="AG266" s="73" t="s">
        <v>69</v>
      </c>
      <c r="AH266" s="73"/>
      <c r="AI266" s="68"/>
      <c r="AJ266" s="67" t="s">
        <v>69</v>
      </c>
      <c r="AK266" s="73"/>
      <c r="AL266" s="73"/>
      <c r="AM266" s="68"/>
      <c r="AN266" s="67">
        <f t="shared" si="275"/>
        <v>93</v>
      </c>
      <c r="AO266" s="68" t="str">
        <f t="shared" si="276"/>
        <v>S</v>
      </c>
      <c r="AR266" s="49">
        <f t="shared" si="241"/>
        <v>1</v>
      </c>
      <c r="AS266" s="49">
        <f t="shared" si="242"/>
        <v>0</v>
      </c>
      <c r="AT266" s="49">
        <f t="shared" si="243"/>
        <v>0</v>
      </c>
      <c r="AU266" s="49">
        <f t="shared" si="244"/>
        <v>0</v>
      </c>
      <c r="AV266" s="49">
        <f t="shared" si="245"/>
        <v>1</v>
      </c>
      <c r="AW266" s="49">
        <f t="shared" si="246"/>
        <v>0</v>
      </c>
      <c r="AX266" s="49">
        <f t="shared" si="247"/>
        <v>0</v>
      </c>
      <c r="AY266" s="49">
        <f t="shared" si="248"/>
        <v>0</v>
      </c>
      <c r="AZ266" s="49">
        <f t="shared" si="249"/>
        <v>1</v>
      </c>
      <c r="BA266" s="49">
        <f t="shared" si="250"/>
        <v>0</v>
      </c>
      <c r="BB266" s="49">
        <f t="shared" si="251"/>
        <v>0</v>
      </c>
      <c r="BC266" s="49">
        <f t="shared" si="252"/>
        <v>0</v>
      </c>
      <c r="BD266" s="49">
        <f t="shared" si="253"/>
        <v>0</v>
      </c>
      <c r="BE266" s="49">
        <f t="shared" si="254"/>
        <v>1</v>
      </c>
      <c r="BF266" s="49">
        <f t="shared" si="255"/>
        <v>0</v>
      </c>
      <c r="BG266" s="49">
        <f t="shared" si="256"/>
        <v>0</v>
      </c>
      <c r="BH266" s="49">
        <f t="shared" si="257"/>
        <v>1</v>
      </c>
      <c r="BI266" s="49">
        <f t="shared" si="258"/>
        <v>0</v>
      </c>
      <c r="BJ266" s="49">
        <f t="shared" si="259"/>
        <v>0</v>
      </c>
      <c r="BK266" s="49">
        <f t="shared" si="260"/>
        <v>0</v>
      </c>
      <c r="BL266" s="49">
        <f t="shared" si="261"/>
        <v>1</v>
      </c>
      <c r="BM266" s="49">
        <f t="shared" si="262"/>
        <v>0</v>
      </c>
      <c r="BN266" s="49">
        <f t="shared" si="263"/>
        <v>0</v>
      </c>
      <c r="BO266" s="49">
        <f t="shared" si="264"/>
        <v>0</v>
      </c>
      <c r="BP266" s="49">
        <f t="shared" si="265"/>
        <v>0</v>
      </c>
      <c r="BQ266" s="49">
        <f t="shared" si="266"/>
        <v>1</v>
      </c>
      <c r="BR266" s="49">
        <f t="shared" si="267"/>
        <v>0</v>
      </c>
      <c r="BS266" s="49">
        <f t="shared" si="268"/>
        <v>0</v>
      </c>
      <c r="BT266" s="49">
        <f t="shared" si="269"/>
        <v>1</v>
      </c>
      <c r="BU266" s="49">
        <f t="shared" si="270"/>
        <v>0</v>
      </c>
      <c r="BV266" s="49">
        <f t="shared" si="271"/>
        <v>0</v>
      </c>
      <c r="BW266" s="49">
        <f t="shared" si="272"/>
        <v>0</v>
      </c>
    </row>
    <row r="267" spans="1:75" ht="35.1" customHeight="1" x14ac:dyDescent="0.3">
      <c r="A267" s="123" t="str">
        <f t="shared" si="273"/>
        <v>2팀</v>
      </c>
      <c r="B267" s="69">
        <f t="shared" si="274"/>
        <v>261</v>
      </c>
      <c r="C267" s="121" t="str">
        <f>IF(VLOOKUP($B267,'1. 현장별 인원현황'!$C:$J,2,0)=0,"",VLOOKUP($B267,'1. 현장별 인원현황'!$C:$J,2,0))</f>
        <v xml:space="preserve"> [2.한라] 인천작전동 APT 신축공사</v>
      </c>
      <c r="D267" s="74" t="str">
        <f>IF(VLOOKUP($B267,'1. 현장별 인원현황'!$C:$J,3,0)=0,"",VLOOKUP($B267,'1. 현장별 인원현황'!$C:$J,3,0))</f>
        <v>서혁준</v>
      </c>
      <c r="E267" s="74" t="str">
        <f ca="1">IF(VLOOKUP($B267,'1. 현장별 인원현황'!$C:$J,4,0)=0,"",VLOOKUP($B267,'1. 현장별 인원현황'!$C:$J,4,0))</f>
        <v>35세</v>
      </c>
      <c r="F267" s="70" t="str">
        <f>IF(VLOOKUP($B267,'1. 현장별 인원현황'!$C:$J,7,0)=0,"",VLOOKUP($B267,'1. 현장별 인원현황'!$C:$J,7,0))</f>
        <v>기능공</v>
      </c>
      <c r="G267" s="72" t="str">
        <f>IF(VLOOKUP($B267,'1. 현장별 인원현황'!$C:$J,8,0)=0,"",VLOOKUP($B267,'1. 현장별 인원현황'!$C:$J,8,0))</f>
        <v>전공</v>
      </c>
      <c r="H267" s="67" t="s">
        <v>69</v>
      </c>
      <c r="I267" s="73"/>
      <c r="J267" s="73"/>
      <c r="K267" s="68"/>
      <c r="L267" s="67" t="s">
        <v>69</v>
      </c>
      <c r="M267" s="73"/>
      <c r="N267" s="73"/>
      <c r="O267" s="68"/>
      <c r="P267" s="67" t="s">
        <v>69</v>
      </c>
      <c r="Q267" s="73"/>
      <c r="R267" s="73"/>
      <c r="S267" s="68"/>
      <c r="T267" s="67" t="s">
        <v>69</v>
      </c>
      <c r="U267" s="73"/>
      <c r="V267" s="73"/>
      <c r="W267" s="68"/>
      <c r="X267" s="67" t="s">
        <v>69</v>
      </c>
      <c r="Y267" s="73"/>
      <c r="Z267" s="73"/>
      <c r="AA267" s="68"/>
      <c r="AB267" s="67" t="s">
        <v>69</v>
      </c>
      <c r="AC267" s="73"/>
      <c r="AD267" s="73"/>
      <c r="AE267" s="68"/>
      <c r="AF267" s="67" t="s">
        <v>69</v>
      </c>
      <c r="AG267" s="73"/>
      <c r="AH267" s="73"/>
      <c r="AI267" s="68"/>
      <c r="AJ267" s="67"/>
      <c r="AK267" s="73" t="s">
        <v>69</v>
      </c>
      <c r="AL267" s="73"/>
      <c r="AM267" s="68"/>
      <c r="AN267" s="67">
        <f t="shared" si="275"/>
        <v>97</v>
      </c>
      <c r="AO267" s="68" t="str">
        <f t="shared" si="276"/>
        <v>S</v>
      </c>
      <c r="AR267" s="49">
        <f t="shared" si="241"/>
        <v>1</v>
      </c>
      <c r="AS267" s="49">
        <f t="shared" si="242"/>
        <v>0</v>
      </c>
      <c r="AT267" s="49">
        <f t="shared" si="243"/>
        <v>0</v>
      </c>
      <c r="AU267" s="49">
        <f t="shared" si="244"/>
        <v>0</v>
      </c>
      <c r="AV267" s="49">
        <f t="shared" si="245"/>
        <v>1</v>
      </c>
      <c r="AW267" s="49">
        <f t="shared" si="246"/>
        <v>0</v>
      </c>
      <c r="AX267" s="49">
        <f t="shared" si="247"/>
        <v>0</v>
      </c>
      <c r="AY267" s="49">
        <f t="shared" si="248"/>
        <v>0</v>
      </c>
      <c r="AZ267" s="49">
        <f t="shared" si="249"/>
        <v>1</v>
      </c>
      <c r="BA267" s="49">
        <f t="shared" si="250"/>
        <v>0</v>
      </c>
      <c r="BB267" s="49">
        <f t="shared" si="251"/>
        <v>0</v>
      </c>
      <c r="BC267" s="49">
        <f t="shared" si="252"/>
        <v>0</v>
      </c>
      <c r="BD267" s="49">
        <f t="shared" si="253"/>
        <v>1</v>
      </c>
      <c r="BE267" s="49">
        <f t="shared" si="254"/>
        <v>0</v>
      </c>
      <c r="BF267" s="49">
        <f t="shared" si="255"/>
        <v>0</v>
      </c>
      <c r="BG267" s="49">
        <f t="shared" si="256"/>
        <v>0</v>
      </c>
      <c r="BH267" s="49">
        <f t="shared" si="257"/>
        <v>1</v>
      </c>
      <c r="BI267" s="49">
        <f t="shared" si="258"/>
        <v>0</v>
      </c>
      <c r="BJ267" s="49">
        <f t="shared" si="259"/>
        <v>0</v>
      </c>
      <c r="BK267" s="49">
        <f t="shared" si="260"/>
        <v>0</v>
      </c>
      <c r="BL267" s="49">
        <f t="shared" si="261"/>
        <v>1</v>
      </c>
      <c r="BM267" s="49">
        <f t="shared" si="262"/>
        <v>0</v>
      </c>
      <c r="BN267" s="49">
        <f t="shared" si="263"/>
        <v>0</v>
      </c>
      <c r="BO267" s="49">
        <f t="shared" si="264"/>
        <v>0</v>
      </c>
      <c r="BP267" s="49">
        <f t="shared" si="265"/>
        <v>1</v>
      </c>
      <c r="BQ267" s="49">
        <f t="shared" si="266"/>
        <v>0</v>
      </c>
      <c r="BR267" s="49">
        <f t="shared" si="267"/>
        <v>0</v>
      </c>
      <c r="BS267" s="49">
        <f t="shared" si="268"/>
        <v>0</v>
      </c>
      <c r="BT267" s="49">
        <f t="shared" si="269"/>
        <v>0</v>
      </c>
      <c r="BU267" s="49">
        <f t="shared" si="270"/>
        <v>1</v>
      </c>
      <c r="BV267" s="49">
        <f t="shared" si="271"/>
        <v>0</v>
      </c>
      <c r="BW267" s="49">
        <f t="shared" si="272"/>
        <v>0</v>
      </c>
    </row>
    <row r="268" spans="1:75" ht="35.1" customHeight="1" x14ac:dyDescent="0.3">
      <c r="A268" s="123" t="str">
        <f t="shared" si="273"/>
        <v>2팀</v>
      </c>
      <c r="B268" s="69">
        <f t="shared" si="274"/>
        <v>262</v>
      </c>
      <c r="C268" s="121" t="str">
        <f>IF(VLOOKUP($B268,'1. 현장별 인원현황'!$C:$J,2,0)=0,"",VLOOKUP($B268,'1. 현장별 인원현황'!$C:$J,2,0))</f>
        <v xml:space="preserve"> [2.한양] 평택브레인시티8BL 공동주택 신축공사</v>
      </c>
      <c r="D268" s="74" t="str">
        <f>IF(VLOOKUP($B268,'1. 현장별 인원현황'!$C:$J,3,0)=0,"",VLOOKUP($B268,'1. 현장별 인원현황'!$C:$J,3,0))</f>
        <v>김춘식</v>
      </c>
      <c r="E268" s="74" t="str">
        <f ca="1">IF(VLOOKUP($B268,'1. 현장별 인원현황'!$C:$J,4,0)=0,"",VLOOKUP($B268,'1. 현장별 인원현황'!$C:$J,4,0))</f>
        <v>56세</v>
      </c>
      <c r="F268" s="70" t="str">
        <f>IF(VLOOKUP($B268,'1. 현장별 인원현황'!$C:$J,7,0)=0,"",VLOOKUP($B268,'1. 현장별 인원현황'!$C:$J,7,0))</f>
        <v>공사</v>
      </c>
      <c r="G268" s="72" t="str">
        <f>IF(VLOOKUP($B268,'1. 현장별 인원현황'!$C:$J,8,0)=0,"",VLOOKUP($B268,'1. 현장별 인원현황'!$C:$J,8,0))</f>
        <v>차장</v>
      </c>
      <c r="H268" s="67" t="s">
        <v>69</v>
      </c>
      <c r="I268" s="73"/>
      <c r="J268" s="73"/>
      <c r="K268" s="68"/>
      <c r="L268" s="67" t="s">
        <v>69</v>
      </c>
      <c r="M268" s="73"/>
      <c r="N268" s="73"/>
      <c r="O268" s="68"/>
      <c r="P268" s="67" t="s">
        <v>69</v>
      </c>
      <c r="Q268" s="73"/>
      <c r="R268" s="73"/>
      <c r="S268" s="68"/>
      <c r="T268" s="67" t="s">
        <v>69</v>
      </c>
      <c r="U268" s="73"/>
      <c r="V268" s="73"/>
      <c r="W268" s="68"/>
      <c r="X268" s="67" t="s">
        <v>69</v>
      </c>
      <c r="Y268" s="73"/>
      <c r="Z268" s="73"/>
      <c r="AA268" s="68"/>
      <c r="AB268" s="67" t="s">
        <v>69</v>
      </c>
      <c r="AC268" s="73"/>
      <c r="AD268" s="73"/>
      <c r="AE268" s="68"/>
      <c r="AF268" s="67" t="s">
        <v>69</v>
      </c>
      <c r="AG268" s="73"/>
      <c r="AH268" s="73"/>
      <c r="AI268" s="68"/>
      <c r="AJ268" s="67" t="s">
        <v>69</v>
      </c>
      <c r="AK268" s="73"/>
      <c r="AL268" s="73"/>
      <c r="AM268" s="68"/>
      <c r="AN268" s="67">
        <f t="shared" si="275"/>
        <v>100</v>
      </c>
      <c r="AO268" s="68" t="str">
        <f t="shared" si="276"/>
        <v>S</v>
      </c>
      <c r="AR268" s="49">
        <f t="shared" si="241"/>
        <v>1</v>
      </c>
      <c r="AS268" s="49">
        <f t="shared" si="242"/>
        <v>0</v>
      </c>
      <c r="AT268" s="49">
        <f t="shared" si="243"/>
        <v>0</v>
      </c>
      <c r="AU268" s="49">
        <f t="shared" si="244"/>
        <v>0</v>
      </c>
      <c r="AV268" s="49">
        <f t="shared" si="245"/>
        <v>1</v>
      </c>
      <c r="AW268" s="49">
        <f t="shared" si="246"/>
        <v>0</v>
      </c>
      <c r="AX268" s="49">
        <f t="shared" si="247"/>
        <v>0</v>
      </c>
      <c r="AY268" s="49">
        <f t="shared" si="248"/>
        <v>0</v>
      </c>
      <c r="AZ268" s="49">
        <f t="shared" si="249"/>
        <v>1</v>
      </c>
      <c r="BA268" s="49">
        <f t="shared" si="250"/>
        <v>0</v>
      </c>
      <c r="BB268" s="49">
        <f t="shared" si="251"/>
        <v>0</v>
      </c>
      <c r="BC268" s="49">
        <f t="shared" si="252"/>
        <v>0</v>
      </c>
      <c r="BD268" s="49">
        <f t="shared" si="253"/>
        <v>1</v>
      </c>
      <c r="BE268" s="49">
        <f t="shared" si="254"/>
        <v>0</v>
      </c>
      <c r="BF268" s="49">
        <f t="shared" si="255"/>
        <v>0</v>
      </c>
      <c r="BG268" s="49">
        <f t="shared" si="256"/>
        <v>0</v>
      </c>
      <c r="BH268" s="49">
        <f t="shared" si="257"/>
        <v>1</v>
      </c>
      <c r="BI268" s="49">
        <f t="shared" si="258"/>
        <v>0</v>
      </c>
      <c r="BJ268" s="49">
        <f t="shared" si="259"/>
        <v>0</v>
      </c>
      <c r="BK268" s="49">
        <f t="shared" si="260"/>
        <v>0</v>
      </c>
      <c r="BL268" s="49">
        <f t="shared" si="261"/>
        <v>1</v>
      </c>
      <c r="BM268" s="49">
        <f t="shared" si="262"/>
        <v>0</v>
      </c>
      <c r="BN268" s="49">
        <f t="shared" si="263"/>
        <v>0</v>
      </c>
      <c r="BO268" s="49">
        <f t="shared" si="264"/>
        <v>0</v>
      </c>
      <c r="BP268" s="49">
        <f t="shared" si="265"/>
        <v>1</v>
      </c>
      <c r="BQ268" s="49">
        <f t="shared" si="266"/>
        <v>0</v>
      </c>
      <c r="BR268" s="49">
        <f t="shared" si="267"/>
        <v>0</v>
      </c>
      <c r="BS268" s="49">
        <f t="shared" si="268"/>
        <v>0</v>
      </c>
      <c r="BT268" s="49">
        <f t="shared" si="269"/>
        <v>1</v>
      </c>
      <c r="BU268" s="49">
        <f t="shared" si="270"/>
        <v>0</v>
      </c>
      <c r="BV268" s="49">
        <f t="shared" si="271"/>
        <v>0</v>
      </c>
      <c r="BW268" s="49">
        <f t="shared" si="272"/>
        <v>0</v>
      </c>
    </row>
    <row r="269" spans="1:75" ht="35.1" customHeight="1" x14ac:dyDescent="0.3">
      <c r="A269" s="123" t="str">
        <f t="shared" si="273"/>
        <v>2팀</v>
      </c>
      <c r="B269" s="69">
        <f t="shared" si="274"/>
        <v>263</v>
      </c>
      <c r="C269" s="121" t="str">
        <f>IF(VLOOKUP($B269,'1. 현장별 인원현황'!$C:$J,2,0)=0,"",VLOOKUP($B269,'1. 현장별 인원현황'!$C:$J,2,0))</f>
        <v xml:space="preserve"> [2.한양] 평택브레인시티8BL 공동주택 신축공사</v>
      </c>
      <c r="D269" s="74" t="str">
        <f>IF(VLOOKUP($B269,'1. 현장별 인원현황'!$C:$J,3,0)=0,"",VLOOKUP($B269,'1. 현장별 인원현황'!$C:$J,3,0))</f>
        <v>김충석</v>
      </c>
      <c r="E269" s="74" t="str">
        <f ca="1">IF(VLOOKUP($B269,'1. 현장별 인원현황'!$C:$J,4,0)=0,"",VLOOKUP($B269,'1. 현장별 인원현황'!$C:$J,4,0))</f>
        <v>50세</v>
      </c>
      <c r="F269" s="70" t="str">
        <f>IF(VLOOKUP($B269,'1. 현장별 인원현황'!$C:$J,7,0)=0,"",VLOOKUP($B269,'1. 현장별 인원현황'!$C:$J,7,0))</f>
        <v>기능공</v>
      </c>
      <c r="G269" s="72" t="str">
        <f>IF(VLOOKUP($B269,'1. 현장별 인원현황'!$C:$J,8,0)=0,"",VLOOKUP($B269,'1. 현장별 인원현황'!$C:$J,8,0))</f>
        <v>전공</v>
      </c>
      <c r="H269" s="67" t="s">
        <v>69</v>
      </c>
      <c r="I269" s="73"/>
      <c r="J269" s="73"/>
      <c r="K269" s="68"/>
      <c r="L269" s="67" t="s">
        <v>69</v>
      </c>
      <c r="M269" s="73"/>
      <c r="N269" s="73"/>
      <c r="O269" s="68"/>
      <c r="P269" s="67" t="s">
        <v>69</v>
      </c>
      <c r="Q269" s="73"/>
      <c r="R269" s="73"/>
      <c r="S269" s="68"/>
      <c r="T269" s="67" t="s">
        <v>69</v>
      </c>
      <c r="U269" s="73"/>
      <c r="V269" s="73"/>
      <c r="W269" s="68"/>
      <c r="X269" s="67" t="s">
        <v>69</v>
      </c>
      <c r="Y269" s="73"/>
      <c r="Z269" s="73"/>
      <c r="AA269" s="68"/>
      <c r="AB269" s="67" t="s">
        <v>69</v>
      </c>
      <c r="AC269" s="73"/>
      <c r="AD269" s="73"/>
      <c r="AE269" s="68"/>
      <c r="AF269" s="67" t="s">
        <v>69</v>
      </c>
      <c r="AG269" s="73"/>
      <c r="AH269" s="73"/>
      <c r="AI269" s="68"/>
      <c r="AJ269" s="67" t="s">
        <v>69</v>
      </c>
      <c r="AK269" s="73"/>
      <c r="AL269" s="73"/>
      <c r="AM269" s="68"/>
      <c r="AN269" s="67">
        <f t="shared" si="275"/>
        <v>100</v>
      </c>
      <c r="AO269" s="68" t="str">
        <f t="shared" si="276"/>
        <v>S</v>
      </c>
      <c r="AR269" s="49">
        <f t="shared" si="241"/>
        <v>1</v>
      </c>
      <c r="AS269" s="49">
        <f t="shared" si="242"/>
        <v>0</v>
      </c>
      <c r="AT269" s="49">
        <f t="shared" si="243"/>
        <v>0</v>
      </c>
      <c r="AU269" s="49">
        <f t="shared" si="244"/>
        <v>0</v>
      </c>
      <c r="AV269" s="49">
        <f t="shared" si="245"/>
        <v>1</v>
      </c>
      <c r="AW269" s="49">
        <f t="shared" si="246"/>
        <v>0</v>
      </c>
      <c r="AX269" s="49">
        <f t="shared" si="247"/>
        <v>0</v>
      </c>
      <c r="AY269" s="49">
        <f t="shared" si="248"/>
        <v>0</v>
      </c>
      <c r="AZ269" s="49">
        <f t="shared" si="249"/>
        <v>1</v>
      </c>
      <c r="BA269" s="49">
        <f t="shared" si="250"/>
        <v>0</v>
      </c>
      <c r="BB269" s="49">
        <f t="shared" si="251"/>
        <v>0</v>
      </c>
      <c r="BC269" s="49">
        <f t="shared" si="252"/>
        <v>0</v>
      </c>
      <c r="BD269" s="49">
        <f t="shared" si="253"/>
        <v>1</v>
      </c>
      <c r="BE269" s="49">
        <f t="shared" si="254"/>
        <v>0</v>
      </c>
      <c r="BF269" s="49">
        <f t="shared" si="255"/>
        <v>0</v>
      </c>
      <c r="BG269" s="49">
        <f t="shared" si="256"/>
        <v>0</v>
      </c>
      <c r="BH269" s="49">
        <f t="shared" si="257"/>
        <v>1</v>
      </c>
      <c r="BI269" s="49">
        <f t="shared" si="258"/>
        <v>0</v>
      </c>
      <c r="BJ269" s="49">
        <f t="shared" si="259"/>
        <v>0</v>
      </c>
      <c r="BK269" s="49">
        <f t="shared" si="260"/>
        <v>0</v>
      </c>
      <c r="BL269" s="49">
        <f t="shared" si="261"/>
        <v>1</v>
      </c>
      <c r="BM269" s="49">
        <f t="shared" si="262"/>
        <v>0</v>
      </c>
      <c r="BN269" s="49">
        <f t="shared" si="263"/>
        <v>0</v>
      </c>
      <c r="BO269" s="49">
        <f t="shared" si="264"/>
        <v>0</v>
      </c>
      <c r="BP269" s="49">
        <f t="shared" si="265"/>
        <v>1</v>
      </c>
      <c r="BQ269" s="49">
        <f t="shared" si="266"/>
        <v>0</v>
      </c>
      <c r="BR269" s="49">
        <f t="shared" si="267"/>
        <v>0</v>
      </c>
      <c r="BS269" s="49">
        <f t="shared" si="268"/>
        <v>0</v>
      </c>
      <c r="BT269" s="49">
        <f t="shared" si="269"/>
        <v>1</v>
      </c>
      <c r="BU269" s="49">
        <f t="shared" si="270"/>
        <v>0</v>
      </c>
      <c r="BV269" s="49">
        <f t="shared" si="271"/>
        <v>0</v>
      </c>
      <c r="BW269" s="49">
        <f t="shared" si="272"/>
        <v>0</v>
      </c>
    </row>
    <row r="270" spans="1:75" ht="35.1" customHeight="1" x14ac:dyDescent="0.3">
      <c r="A270" s="123" t="str">
        <f t="shared" si="273"/>
        <v>2팀</v>
      </c>
      <c r="B270" s="69">
        <f t="shared" si="274"/>
        <v>264</v>
      </c>
      <c r="C270" s="121" t="str">
        <f>IF(VLOOKUP($B270,'1. 현장별 인원현황'!$C:$J,2,0)=0,"",VLOOKUP($B270,'1. 현장별 인원현황'!$C:$J,2,0))</f>
        <v xml:space="preserve"> [2.한양] 평택브레인시티8BL 공동주택 신축공사</v>
      </c>
      <c r="D270" s="74" t="str">
        <f>IF(VLOOKUP($B270,'1. 현장별 인원현황'!$C:$J,3,0)=0,"",VLOOKUP($B270,'1. 현장별 인원현황'!$C:$J,3,0))</f>
        <v>김학수</v>
      </c>
      <c r="E270" s="74" t="str">
        <f ca="1">IF(VLOOKUP($B270,'1. 현장별 인원현황'!$C:$J,4,0)=0,"",VLOOKUP($B270,'1. 현장별 인원현황'!$C:$J,4,0))</f>
        <v>46세</v>
      </c>
      <c r="F270" s="70" t="str">
        <f>IF(VLOOKUP($B270,'1. 현장별 인원현황'!$C:$J,7,0)=0,"",VLOOKUP($B270,'1. 현장별 인원현황'!$C:$J,7,0))</f>
        <v>기능공</v>
      </c>
      <c r="G270" s="72" t="str">
        <f>IF(VLOOKUP($B270,'1. 현장별 인원현황'!$C:$J,8,0)=0,"",VLOOKUP($B270,'1. 현장별 인원현황'!$C:$J,8,0))</f>
        <v>전공</v>
      </c>
      <c r="H270" s="67" t="s">
        <v>69</v>
      </c>
      <c r="I270" s="73"/>
      <c r="J270" s="73"/>
      <c r="K270" s="68"/>
      <c r="L270" s="67" t="s">
        <v>69</v>
      </c>
      <c r="M270" s="73"/>
      <c r="N270" s="73"/>
      <c r="O270" s="68"/>
      <c r="P270" s="67" t="s">
        <v>69</v>
      </c>
      <c r="Q270" s="73"/>
      <c r="R270" s="73"/>
      <c r="S270" s="68"/>
      <c r="T270" s="67" t="s">
        <v>69</v>
      </c>
      <c r="U270" s="73"/>
      <c r="V270" s="73"/>
      <c r="W270" s="68"/>
      <c r="X270" s="67" t="s">
        <v>69</v>
      </c>
      <c r="Y270" s="73"/>
      <c r="Z270" s="73"/>
      <c r="AA270" s="68"/>
      <c r="AB270" s="67" t="s">
        <v>69</v>
      </c>
      <c r="AC270" s="73"/>
      <c r="AD270" s="73"/>
      <c r="AE270" s="68"/>
      <c r="AF270" s="67" t="s">
        <v>69</v>
      </c>
      <c r="AG270" s="73"/>
      <c r="AH270" s="73"/>
      <c r="AI270" s="68"/>
      <c r="AJ270" s="67" t="s">
        <v>69</v>
      </c>
      <c r="AK270" s="73"/>
      <c r="AL270" s="73"/>
      <c r="AM270" s="68"/>
      <c r="AN270" s="67">
        <f t="shared" si="275"/>
        <v>100</v>
      </c>
      <c r="AO270" s="68" t="str">
        <f t="shared" si="276"/>
        <v>S</v>
      </c>
      <c r="AR270" s="49">
        <f t="shared" si="241"/>
        <v>1</v>
      </c>
      <c r="AS270" s="49">
        <f t="shared" si="242"/>
        <v>0</v>
      </c>
      <c r="AT270" s="49">
        <f t="shared" si="243"/>
        <v>0</v>
      </c>
      <c r="AU270" s="49">
        <f t="shared" si="244"/>
        <v>0</v>
      </c>
      <c r="AV270" s="49">
        <f t="shared" si="245"/>
        <v>1</v>
      </c>
      <c r="AW270" s="49">
        <f t="shared" si="246"/>
        <v>0</v>
      </c>
      <c r="AX270" s="49">
        <f t="shared" si="247"/>
        <v>0</v>
      </c>
      <c r="AY270" s="49">
        <f t="shared" si="248"/>
        <v>0</v>
      </c>
      <c r="AZ270" s="49">
        <f t="shared" si="249"/>
        <v>1</v>
      </c>
      <c r="BA270" s="49">
        <f t="shared" si="250"/>
        <v>0</v>
      </c>
      <c r="BB270" s="49">
        <f t="shared" si="251"/>
        <v>0</v>
      </c>
      <c r="BC270" s="49">
        <f t="shared" si="252"/>
        <v>0</v>
      </c>
      <c r="BD270" s="49">
        <f t="shared" si="253"/>
        <v>1</v>
      </c>
      <c r="BE270" s="49">
        <f t="shared" si="254"/>
        <v>0</v>
      </c>
      <c r="BF270" s="49">
        <f t="shared" si="255"/>
        <v>0</v>
      </c>
      <c r="BG270" s="49">
        <f t="shared" si="256"/>
        <v>0</v>
      </c>
      <c r="BH270" s="49">
        <f t="shared" si="257"/>
        <v>1</v>
      </c>
      <c r="BI270" s="49">
        <f t="shared" si="258"/>
        <v>0</v>
      </c>
      <c r="BJ270" s="49">
        <f t="shared" si="259"/>
        <v>0</v>
      </c>
      <c r="BK270" s="49">
        <f t="shared" si="260"/>
        <v>0</v>
      </c>
      <c r="BL270" s="49">
        <f t="shared" si="261"/>
        <v>1</v>
      </c>
      <c r="BM270" s="49">
        <f t="shared" si="262"/>
        <v>0</v>
      </c>
      <c r="BN270" s="49">
        <f t="shared" si="263"/>
        <v>0</v>
      </c>
      <c r="BO270" s="49">
        <f t="shared" si="264"/>
        <v>0</v>
      </c>
      <c r="BP270" s="49">
        <f t="shared" si="265"/>
        <v>1</v>
      </c>
      <c r="BQ270" s="49">
        <f t="shared" si="266"/>
        <v>0</v>
      </c>
      <c r="BR270" s="49">
        <f t="shared" si="267"/>
        <v>0</v>
      </c>
      <c r="BS270" s="49">
        <f t="shared" si="268"/>
        <v>0</v>
      </c>
      <c r="BT270" s="49">
        <f t="shared" si="269"/>
        <v>1</v>
      </c>
      <c r="BU270" s="49">
        <f t="shared" si="270"/>
        <v>0</v>
      </c>
      <c r="BV270" s="49">
        <f t="shared" si="271"/>
        <v>0</v>
      </c>
      <c r="BW270" s="49">
        <f t="shared" si="272"/>
        <v>0</v>
      </c>
    </row>
    <row r="271" spans="1:75" ht="35.1" customHeight="1" x14ac:dyDescent="0.3">
      <c r="A271" s="123" t="str">
        <f t="shared" si="273"/>
        <v>2팀</v>
      </c>
      <c r="B271" s="69">
        <f t="shared" si="274"/>
        <v>265</v>
      </c>
      <c r="C271" s="121" t="str">
        <f>IF(VLOOKUP($B271,'1. 현장별 인원현황'!$C:$J,2,0)=0,"",VLOOKUP($B271,'1. 현장별 인원현황'!$C:$J,2,0))</f>
        <v xml:space="preserve"> [2.한양] 평택브레인시티8BL 공동주택 신축공사</v>
      </c>
      <c r="D271" s="74" t="str">
        <f>IF(VLOOKUP($B271,'1. 현장별 인원현황'!$C:$J,3,0)=0,"",VLOOKUP($B271,'1. 현장별 인원현황'!$C:$J,3,0))</f>
        <v>이강운</v>
      </c>
      <c r="E271" s="74" t="str">
        <f ca="1">IF(VLOOKUP($B271,'1. 현장별 인원현황'!$C:$J,4,0)=0,"",VLOOKUP($B271,'1. 현장별 인원현황'!$C:$J,4,0))</f>
        <v>50세</v>
      </c>
      <c r="F271" s="70" t="str">
        <f>IF(VLOOKUP($B271,'1. 현장별 인원현황'!$C:$J,7,0)=0,"",VLOOKUP($B271,'1. 현장별 인원현황'!$C:$J,7,0))</f>
        <v>기능공</v>
      </c>
      <c r="G271" s="72" t="str">
        <f>IF(VLOOKUP($B271,'1. 현장별 인원현황'!$C:$J,8,0)=0,"",VLOOKUP($B271,'1. 현장별 인원현황'!$C:$J,8,0))</f>
        <v>전공</v>
      </c>
      <c r="H271" s="67" t="s">
        <v>69</v>
      </c>
      <c r="I271" s="73"/>
      <c r="J271" s="73"/>
      <c r="K271" s="68"/>
      <c r="L271" s="67" t="s">
        <v>69</v>
      </c>
      <c r="M271" s="73"/>
      <c r="N271" s="73"/>
      <c r="O271" s="68"/>
      <c r="P271" s="67" t="s">
        <v>69</v>
      </c>
      <c r="Q271" s="73"/>
      <c r="R271" s="73"/>
      <c r="S271" s="68"/>
      <c r="T271" s="67" t="s">
        <v>69</v>
      </c>
      <c r="U271" s="73"/>
      <c r="V271" s="73"/>
      <c r="W271" s="68"/>
      <c r="X271" s="67" t="s">
        <v>69</v>
      </c>
      <c r="Y271" s="73"/>
      <c r="Z271" s="73"/>
      <c r="AA271" s="68"/>
      <c r="AB271" s="67" t="s">
        <v>69</v>
      </c>
      <c r="AC271" s="73"/>
      <c r="AD271" s="73"/>
      <c r="AE271" s="68"/>
      <c r="AF271" s="67" t="s">
        <v>69</v>
      </c>
      <c r="AG271" s="73"/>
      <c r="AH271" s="73"/>
      <c r="AI271" s="68"/>
      <c r="AJ271" s="67" t="s">
        <v>69</v>
      </c>
      <c r="AK271" s="73"/>
      <c r="AL271" s="73"/>
      <c r="AM271" s="68"/>
      <c r="AN271" s="67">
        <f t="shared" si="275"/>
        <v>100</v>
      </c>
      <c r="AO271" s="68" t="str">
        <f t="shared" si="276"/>
        <v>S</v>
      </c>
      <c r="AR271" s="49">
        <f t="shared" si="241"/>
        <v>1</v>
      </c>
      <c r="AS271" s="49">
        <f t="shared" si="242"/>
        <v>0</v>
      </c>
      <c r="AT271" s="49">
        <f t="shared" si="243"/>
        <v>0</v>
      </c>
      <c r="AU271" s="49">
        <f t="shared" si="244"/>
        <v>0</v>
      </c>
      <c r="AV271" s="49">
        <f t="shared" si="245"/>
        <v>1</v>
      </c>
      <c r="AW271" s="49">
        <f t="shared" si="246"/>
        <v>0</v>
      </c>
      <c r="AX271" s="49">
        <f t="shared" si="247"/>
        <v>0</v>
      </c>
      <c r="AY271" s="49">
        <f t="shared" si="248"/>
        <v>0</v>
      </c>
      <c r="AZ271" s="49">
        <f t="shared" si="249"/>
        <v>1</v>
      </c>
      <c r="BA271" s="49">
        <f t="shared" si="250"/>
        <v>0</v>
      </c>
      <c r="BB271" s="49">
        <f t="shared" si="251"/>
        <v>0</v>
      </c>
      <c r="BC271" s="49">
        <f t="shared" si="252"/>
        <v>0</v>
      </c>
      <c r="BD271" s="49">
        <f t="shared" si="253"/>
        <v>1</v>
      </c>
      <c r="BE271" s="49">
        <f t="shared" si="254"/>
        <v>0</v>
      </c>
      <c r="BF271" s="49">
        <f t="shared" si="255"/>
        <v>0</v>
      </c>
      <c r="BG271" s="49">
        <f t="shared" si="256"/>
        <v>0</v>
      </c>
      <c r="BH271" s="49">
        <f t="shared" si="257"/>
        <v>1</v>
      </c>
      <c r="BI271" s="49">
        <f t="shared" si="258"/>
        <v>0</v>
      </c>
      <c r="BJ271" s="49">
        <f t="shared" si="259"/>
        <v>0</v>
      </c>
      <c r="BK271" s="49">
        <f t="shared" si="260"/>
        <v>0</v>
      </c>
      <c r="BL271" s="49">
        <f t="shared" si="261"/>
        <v>1</v>
      </c>
      <c r="BM271" s="49">
        <f t="shared" si="262"/>
        <v>0</v>
      </c>
      <c r="BN271" s="49">
        <f t="shared" si="263"/>
        <v>0</v>
      </c>
      <c r="BO271" s="49">
        <f t="shared" si="264"/>
        <v>0</v>
      </c>
      <c r="BP271" s="49">
        <f t="shared" si="265"/>
        <v>1</v>
      </c>
      <c r="BQ271" s="49">
        <f t="shared" si="266"/>
        <v>0</v>
      </c>
      <c r="BR271" s="49">
        <f t="shared" si="267"/>
        <v>0</v>
      </c>
      <c r="BS271" s="49">
        <f t="shared" si="268"/>
        <v>0</v>
      </c>
      <c r="BT271" s="49">
        <f t="shared" si="269"/>
        <v>1</v>
      </c>
      <c r="BU271" s="49">
        <f t="shared" si="270"/>
        <v>0</v>
      </c>
      <c r="BV271" s="49">
        <f t="shared" si="271"/>
        <v>0</v>
      </c>
      <c r="BW271" s="49">
        <f t="shared" si="272"/>
        <v>0</v>
      </c>
    </row>
    <row r="272" spans="1:75" ht="35.1" customHeight="1" x14ac:dyDescent="0.3">
      <c r="A272" s="123" t="str">
        <f t="shared" si="273"/>
        <v>2팀</v>
      </c>
      <c r="B272" s="69">
        <f t="shared" si="274"/>
        <v>266</v>
      </c>
      <c r="C272" s="121" t="str">
        <f>IF(VLOOKUP($B272,'1. 현장별 인원현황'!$C:$J,2,0)=0,"",VLOOKUP($B272,'1. 현장별 인원현황'!$C:$J,2,0))</f>
        <v xml:space="preserve"> [2.한양] 평택브레인시티8BL 공동주택 신축공사</v>
      </c>
      <c r="D272" s="74" t="str">
        <f>IF(VLOOKUP($B272,'1. 현장별 인원현황'!$C:$J,3,0)=0,"",VLOOKUP($B272,'1. 현장별 인원현황'!$C:$J,3,0))</f>
        <v>이상우</v>
      </c>
      <c r="E272" s="74" t="str">
        <f ca="1">IF(VLOOKUP($B272,'1. 현장별 인원현황'!$C:$J,4,0)=0,"",VLOOKUP($B272,'1. 현장별 인원현황'!$C:$J,4,0))</f>
        <v>36세</v>
      </c>
      <c r="F272" s="70" t="str">
        <f>IF(VLOOKUP($B272,'1. 현장별 인원현황'!$C:$J,7,0)=0,"",VLOOKUP($B272,'1. 현장별 인원현황'!$C:$J,7,0))</f>
        <v>기능공</v>
      </c>
      <c r="G272" s="72" t="str">
        <f>IF(VLOOKUP($B272,'1. 현장별 인원현황'!$C:$J,8,0)=0,"",VLOOKUP($B272,'1. 현장별 인원현황'!$C:$J,8,0))</f>
        <v>전공</v>
      </c>
      <c r="H272" s="67" t="s">
        <v>69</v>
      </c>
      <c r="I272" s="73"/>
      <c r="J272" s="73"/>
      <c r="K272" s="68"/>
      <c r="L272" s="67" t="s">
        <v>69</v>
      </c>
      <c r="M272" s="73"/>
      <c r="N272" s="73"/>
      <c r="O272" s="68"/>
      <c r="P272" s="67" t="s">
        <v>69</v>
      </c>
      <c r="Q272" s="73"/>
      <c r="R272" s="73"/>
      <c r="S272" s="68"/>
      <c r="T272" s="67" t="s">
        <v>69</v>
      </c>
      <c r="U272" s="73"/>
      <c r="V272" s="73"/>
      <c r="W272" s="68"/>
      <c r="X272" s="67" t="s">
        <v>69</v>
      </c>
      <c r="Y272" s="73"/>
      <c r="Z272" s="73"/>
      <c r="AA272" s="68"/>
      <c r="AB272" s="67" t="s">
        <v>69</v>
      </c>
      <c r="AC272" s="73"/>
      <c r="AD272" s="73"/>
      <c r="AE272" s="68"/>
      <c r="AF272" s="67" t="s">
        <v>69</v>
      </c>
      <c r="AG272" s="73"/>
      <c r="AH272" s="73"/>
      <c r="AI272" s="68"/>
      <c r="AJ272" s="67" t="s">
        <v>69</v>
      </c>
      <c r="AK272" s="73"/>
      <c r="AL272" s="73"/>
      <c r="AM272" s="68"/>
      <c r="AN272" s="67">
        <f t="shared" si="275"/>
        <v>100</v>
      </c>
      <c r="AO272" s="68" t="str">
        <f t="shared" si="276"/>
        <v>S</v>
      </c>
      <c r="AR272" s="49">
        <f t="shared" si="241"/>
        <v>1</v>
      </c>
      <c r="AS272" s="49">
        <f t="shared" si="242"/>
        <v>0</v>
      </c>
      <c r="AT272" s="49">
        <f t="shared" si="243"/>
        <v>0</v>
      </c>
      <c r="AU272" s="49">
        <f t="shared" si="244"/>
        <v>0</v>
      </c>
      <c r="AV272" s="49">
        <f t="shared" si="245"/>
        <v>1</v>
      </c>
      <c r="AW272" s="49">
        <f t="shared" si="246"/>
        <v>0</v>
      </c>
      <c r="AX272" s="49">
        <f t="shared" si="247"/>
        <v>0</v>
      </c>
      <c r="AY272" s="49">
        <f t="shared" si="248"/>
        <v>0</v>
      </c>
      <c r="AZ272" s="49">
        <f t="shared" si="249"/>
        <v>1</v>
      </c>
      <c r="BA272" s="49">
        <f t="shared" si="250"/>
        <v>0</v>
      </c>
      <c r="BB272" s="49">
        <f t="shared" si="251"/>
        <v>0</v>
      </c>
      <c r="BC272" s="49">
        <f t="shared" si="252"/>
        <v>0</v>
      </c>
      <c r="BD272" s="49">
        <f t="shared" si="253"/>
        <v>1</v>
      </c>
      <c r="BE272" s="49">
        <f t="shared" si="254"/>
        <v>0</v>
      </c>
      <c r="BF272" s="49">
        <f t="shared" si="255"/>
        <v>0</v>
      </c>
      <c r="BG272" s="49">
        <f t="shared" si="256"/>
        <v>0</v>
      </c>
      <c r="BH272" s="49">
        <f t="shared" si="257"/>
        <v>1</v>
      </c>
      <c r="BI272" s="49">
        <f t="shared" si="258"/>
        <v>0</v>
      </c>
      <c r="BJ272" s="49">
        <f t="shared" si="259"/>
        <v>0</v>
      </c>
      <c r="BK272" s="49">
        <f t="shared" si="260"/>
        <v>0</v>
      </c>
      <c r="BL272" s="49">
        <f t="shared" si="261"/>
        <v>1</v>
      </c>
      <c r="BM272" s="49">
        <f t="shared" si="262"/>
        <v>0</v>
      </c>
      <c r="BN272" s="49">
        <f t="shared" si="263"/>
        <v>0</v>
      </c>
      <c r="BO272" s="49">
        <f t="shared" si="264"/>
        <v>0</v>
      </c>
      <c r="BP272" s="49">
        <f t="shared" si="265"/>
        <v>1</v>
      </c>
      <c r="BQ272" s="49">
        <f t="shared" si="266"/>
        <v>0</v>
      </c>
      <c r="BR272" s="49">
        <f t="shared" si="267"/>
        <v>0</v>
      </c>
      <c r="BS272" s="49">
        <f t="shared" si="268"/>
        <v>0</v>
      </c>
      <c r="BT272" s="49">
        <f t="shared" si="269"/>
        <v>1</v>
      </c>
      <c r="BU272" s="49">
        <f t="shared" si="270"/>
        <v>0</v>
      </c>
      <c r="BV272" s="49">
        <f t="shared" si="271"/>
        <v>0</v>
      </c>
      <c r="BW272" s="49">
        <f t="shared" si="272"/>
        <v>0</v>
      </c>
    </row>
    <row r="273" spans="1:75" ht="35.1" customHeight="1" x14ac:dyDescent="0.3">
      <c r="A273" s="123" t="str">
        <f t="shared" si="273"/>
        <v>2팀</v>
      </c>
      <c r="B273" s="69">
        <f t="shared" si="274"/>
        <v>267</v>
      </c>
      <c r="C273" s="121" t="str">
        <f>IF(VLOOKUP($B273,'1. 현장별 인원현황'!$C:$J,2,0)=0,"",VLOOKUP($B273,'1. 현장별 인원현황'!$C:$J,2,0))</f>
        <v xml:space="preserve"> [2.한양] 평택브레인시티8BL 공동주택 신축공사</v>
      </c>
      <c r="D273" s="74" t="str">
        <f>IF(VLOOKUP($B273,'1. 현장별 인원현황'!$C:$J,3,0)=0,"",VLOOKUP($B273,'1. 현장별 인원현황'!$C:$J,3,0))</f>
        <v>허성준</v>
      </c>
      <c r="E273" s="74" t="str">
        <f ca="1">IF(VLOOKUP($B273,'1. 현장별 인원현황'!$C:$J,4,0)=0,"",VLOOKUP($B273,'1. 현장별 인원현황'!$C:$J,4,0))</f>
        <v>35세</v>
      </c>
      <c r="F273" s="70" t="str">
        <f>IF(VLOOKUP($B273,'1. 현장별 인원현황'!$C:$J,7,0)=0,"",VLOOKUP($B273,'1. 현장별 인원현황'!$C:$J,7,0))</f>
        <v>공무</v>
      </c>
      <c r="G273" s="72" t="str">
        <f>IF(VLOOKUP($B273,'1. 현장별 인원현황'!$C:$J,8,0)=0,"",VLOOKUP($B273,'1. 현장별 인원현황'!$C:$J,8,0))</f>
        <v>과장</v>
      </c>
      <c r="H273" s="67" t="s">
        <v>69</v>
      </c>
      <c r="I273" s="73"/>
      <c r="J273" s="73"/>
      <c r="K273" s="68"/>
      <c r="L273" s="67" t="s">
        <v>69</v>
      </c>
      <c r="M273" s="73"/>
      <c r="N273" s="73"/>
      <c r="O273" s="68"/>
      <c r="P273" s="67" t="s">
        <v>69</v>
      </c>
      <c r="Q273" s="73"/>
      <c r="R273" s="73"/>
      <c r="S273" s="68"/>
      <c r="T273" s="67" t="s">
        <v>69</v>
      </c>
      <c r="U273" s="73"/>
      <c r="V273" s="73"/>
      <c r="W273" s="68"/>
      <c r="X273" s="67" t="s">
        <v>69</v>
      </c>
      <c r="Y273" s="73"/>
      <c r="Z273" s="73"/>
      <c r="AA273" s="68"/>
      <c r="AB273" s="67" t="s">
        <v>69</v>
      </c>
      <c r="AC273" s="73"/>
      <c r="AD273" s="73"/>
      <c r="AE273" s="68"/>
      <c r="AF273" s="67" t="s">
        <v>69</v>
      </c>
      <c r="AG273" s="73"/>
      <c r="AH273" s="73"/>
      <c r="AI273" s="68"/>
      <c r="AJ273" s="67" t="s">
        <v>69</v>
      </c>
      <c r="AK273" s="73"/>
      <c r="AL273" s="73"/>
      <c r="AM273" s="68"/>
      <c r="AN273" s="67">
        <f t="shared" si="275"/>
        <v>100</v>
      </c>
      <c r="AO273" s="68" t="str">
        <f t="shared" si="276"/>
        <v>S</v>
      </c>
      <c r="AR273" s="49">
        <f t="shared" si="241"/>
        <v>1</v>
      </c>
      <c r="AS273" s="49">
        <f t="shared" si="242"/>
        <v>0</v>
      </c>
      <c r="AT273" s="49">
        <f t="shared" si="243"/>
        <v>0</v>
      </c>
      <c r="AU273" s="49">
        <f t="shared" si="244"/>
        <v>0</v>
      </c>
      <c r="AV273" s="49">
        <f t="shared" si="245"/>
        <v>1</v>
      </c>
      <c r="AW273" s="49">
        <f t="shared" si="246"/>
        <v>0</v>
      </c>
      <c r="AX273" s="49">
        <f t="shared" si="247"/>
        <v>0</v>
      </c>
      <c r="AY273" s="49">
        <f t="shared" si="248"/>
        <v>0</v>
      </c>
      <c r="AZ273" s="49">
        <f t="shared" si="249"/>
        <v>1</v>
      </c>
      <c r="BA273" s="49">
        <f t="shared" si="250"/>
        <v>0</v>
      </c>
      <c r="BB273" s="49">
        <f t="shared" si="251"/>
        <v>0</v>
      </c>
      <c r="BC273" s="49">
        <f t="shared" si="252"/>
        <v>0</v>
      </c>
      <c r="BD273" s="49">
        <f t="shared" si="253"/>
        <v>1</v>
      </c>
      <c r="BE273" s="49">
        <f t="shared" si="254"/>
        <v>0</v>
      </c>
      <c r="BF273" s="49">
        <f t="shared" si="255"/>
        <v>0</v>
      </c>
      <c r="BG273" s="49">
        <f t="shared" si="256"/>
        <v>0</v>
      </c>
      <c r="BH273" s="49">
        <f t="shared" si="257"/>
        <v>1</v>
      </c>
      <c r="BI273" s="49">
        <f t="shared" si="258"/>
        <v>0</v>
      </c>
      <c r="BJ273" s="49">
        <f t="shared" si="259"/>
        <v>0</v>
      </c>
      <c r="BK273" s="49">
        <f t="shared" si="260"/>
        <v>0</v>
      </c>
      <c r="BL273" s="49">
        <f t="shared" si="261"/>
        <v>1</v>
      </c>
      <c r="BM273" s="49">
        <f t="shared" si="262"/>
        <v>0</v>
      </c>
      <c r="BN273" s="49">
        <f t="shared" si="263"/>
        <v>0</v>
      </c>
      <c r="BO273" s="49">
        <f t="shared" si="264"/>
        <v>0</v>
      </c>
      <c r="BP273" s="49">
        <f t="shared" si="265"/>
        <v>1</v>
      </c>
      <c r="BQ273" s="49">
        <f t="shared" si="266"/>
        <v>0</v>
      </c>
      <c r="BR273" s="49">
        <f t="shared" si="267"/>
        <v>0</v>
      </c>
      <c r="BS273" s="49">
        <f t="shared" si="268"/>
        <v>0</v>
      </c>
      <c r="BT273" s="49">
        <f t="shared" si="269"/>
        <v>1</v>
      </c>
      <c r="BU273" s="49">
        <f t="shared" si="270"/>
        <v>0</v>
      </c>
      <c r="BV273" s="49">
        <f t="shared" si="271"/>
        <v>0</v>
      </c>
      <c r="BW273" s="49">
        <f t="shared" si="272"/>
        <v>0</v>
      </c>
    </row>
    <row r="274" spans="1:75" ht="35.1" customHeight="1" x14ac:dyDescent="0.3">
      <c r="A274" s="123" t="str">
        <f t="shared" si="273"/>
        <v>2팀</v>
      </c>
      <c r="B274" s="69">
        <f t="shared" si="274"/>
        <v>268</v>
      </c>
      <c r="C274" s="121" t="str">
        <f>IF(VLOOKUP($B274,'1. 현장별 인원현황'!$C:$J,2,0)=0,"",VLOOKUP($B274,'1. 현장별 인원현황'!$C:$J,2,0))</f>
        <v xml:space="preserve"> [2.한양] 평택브레인시티8BL 공동주택 신축공사</v>
      </c>
      <c r="D274" s="74" t="str">
        <f>IF(VLOOKUP($B274,'1. 현장별 인원현황'!$C:$J,3,0)=0,"",VLOOKUP($B274,'1. 현장별 인원현황'!$C:$J,3,0))</f>
        <v>이명훈</v>
      </c>
      <c r="E274" s="74" t="str">
        <f ca="1">IF(VLOOKUP($B274,'1. 현장별 인원현황'!$C:$J,4,0)=0,"",VLOOKUP($B274,'1. 현장별 인원현황'!$C:$J,4,0))</f>
        <v>34세</v>
      </c>
      <c r="F274" s="70" t="str">
        <f>IF(VLOOKUP($B274,'1. 현장별 인원현황'!$C:$J,7,0)=0,"",VLOOKUP($B274,'1. 현장별 인원현황'!$C:$J,7,0))</f>
        <v>공무</v>
      </c>
      <c r="G274" s="72" t="str">
        <f>IF(VLOOKUP($B274,'1. 현장별 인원현황'!$C:$J,8,0)=0,"",VLOOKUP($B274,'1. 현장별 인원현황'!$C:$J,8,0))</f>
        <v>대리</v>
      </c>
      <c r="H274" s="67" t="s">
        <v>69</v>
      </c>
      <c r="I274" s="73"/>
      <c r="J274" s="73"/>
      <c r="K274" s="68"/>
      <c r="L274" s="67" t="s">
        <v>69</v>
      </c>
      <c r="M274" s="73"/>
      <c r="N274" s="73"/>
      <c r="O274" s="68"/>
      <c r="P274" s="67" t="s">
        <v>69</v>
      </c>
      <c r="Q274" s="73"/>
      <c r="R274" s="73"/>
      <c r="S274" s="68"/>
      <c r="T274" s="67" t="s">
        <v>69</v>
      </c>
      <c r="U274" s="73"/>
      <c r="V274" s="73"/>
      <c r="W274" s="68"/>
      <c r="X274" s="67" t="s">
        <v>69</v>
      </c>
      <c r="Y274" s="73"/>
      <c r="Z274" s="73"/>
      <c r="AA274" s="68"/>
      <c r="AB274" s="67" t="s">
        <v>69</v>
      </c>
      <c r="AC274" s="73"/>
      <c r="AD274" s="73"/>
      <c r="AE274" s="68"/>
      <c r="AF274" s="67" t="s">
        <v>69</v>
      </c>
      <c r="AG274" s="73"/>
      <c r="AH274" s="73"/>
      <c r="AI274" s="68"/>
      <c r="AJ274" s="67" t="s">
        <v>69</v>
      </c>
      <c r="AK274" s="73"/>
      <c r="AL274" s="73"/>
      <c r="AM274" s="68"/>
      <c r="AN274" s="67">
        <f t="shared" si="275"/>
        <v>100</v>
      </c>
      <c r="AO274" s="68" t="str">
        <f t="shared" si="276"/>
        <v>S</v>
      </c>
      <c r="AR274" s="49">
        <f t="shared" si="241"/>
        <v>1</v>
      </c>
      <c r="AS274" s="49">
        <f t="shared" si="242"/>
        <v>0</v>
      </c>
      <c r="AT274" s="49">
        <f t="shared" si="243"/>
        <v>0</v>
      </c>
      <c r="AU274" s="49">
        <f t="shared" si="244"/>
        <v>0</v>
      </c>
      <c r="AV274" s="49">
        <f t="shared" si="245"/>
        <v>1</v>
      </c>
      <c r="AW274" s="49">
        <f t="shared" si="246"/>
        <v>0</v>
      </c>
      <c r="AX274" s="49">
        <f t="shared" si="247"/>
        <v>0</v>
      </c>
      <c r="AY274" s="49">
        <f t="shared" si="248"/>
        <v>0</v>
      </c>
      <c r="AZ274" s="49">
        <f t="shared" si="249"/>
        <v>1</v>
      </c>
      <c r="BA274" s="49">
        <f t="shared" si="250"/>
        <v>0</v>
      </c>
      <c r="BB274" s="49">
        <f t="shared" si="251"/>
        <v>0</v>
      </c>
      <c r="BC274" s="49">
        <f t="shared" si="252"/>
        <v>0</v>
      </c>
      <c r="BD274" s="49">
        <f t="shared" si="253"/>
        <v>1</v>
      </c>
      <c r="BE274" s="49">
        <f t="shared" si="254"/>
        <v>0</v>
      </c>
      <c r="BF274" s="49">
        <f t="shared" si="255"/>
        <v>0</v>
      </c>
      <c r="BG274" s="49">
        <f t="shared" si="256"/>
        <v>0</v>
      </c>
      <c r="BH274" s="49">
        <f t="shared" si="257"/>
        <v>1</v>
      </c>
      <c r="BI274" s="49">
        <f t="shared" si="258"/>
        <v>0</v>
      </c>
      <c r="BJ274" s="49">
        <f t="shared" si="259"/>
        <v>0</v>
      </c>
      <c r="BK274" s="49">
        <f t="shared" si="260"/>
        <v>0</v>
      </c>
      <c r="BL274" s="49">
        <f t="shared" si="261"/>
        <v>1</v>
      </c>
      <c r="BM274" s="49">
        <f t="shared" si="262"/>
        <v>0</v>
      </c>
      <c r="BN274" s="49">
        <f t="shared" si="263"/>
        <v>0</v>
      </c>
      <c r="BO274" s="49">
        <f t="shared" si="264"/>
        <v>0</v>
      </c>
      <c r="BP274" s="49">
        <f t="shared" si="265"/>
        <v>1</v>
      </c>
      <c r="BQ274" s="49">
        <f t="shared" si="266"/>
        <v>0</v>
      </c>
      <c r="BR274" s="49">
        <f t="shared" si="267"/>
        <v>0</v>
      </c>
      <c r="BS274" s="49">
        <f t="shared" si="268"/>
        <v>0</v>
      </c>
      <c r="BT274" s="49">
        <f t="shared" si="269"/>
        <v>1</v>
      </c>
      <c r="BU274" s="49">
        <f t="shared" si="270"/>
        <v>0</v>
      </c>
      <c r="BV274" s="49">
        <f t="shared" si="271"/>
        <v>0</v>
      </c>
      <c r="BW274" s="49">
        <f t="shared" si="272"/>
        <v>0</v>
      </c>
    </row>
    <row r="275" spans="1:75" ht="35.1" customHeight="1" x14ac:dyDescent="0.3">
      <c r="A275" s="123" t="str">
        <f t="shared" si="273"/>
        <v>2팀</v>
      </c>
      <c r="B275" s="69">
        <f t="shared" si="274"/>
        <v>269</v>
      </c>
      <c r="C275" s="121" t="str">
        <f>IF(VLOOKUP($B275,'1. 현장별 인원현황'!$C:$J,2,0)=0,"",VLOOKUP($B275,'1. 현장별 인원현황'!$C:$J,2,0))</f>
        <v xml:space="preserve"> [2.한화건설] 고잔연립9구역 재건축 전기,통신,소방공사</v>
      </c>
      <c r="D275" s="74" t="str">
        <f>IF(VLOOKUP($B275,'1. 현장별 인원현황'!$C:$J,3,0)=0,"",VLOOKUP($B275,'1. 현장별 인원현황'!$C:$J,3,0))</f>
        <v>한만재</v>
      </c>
      <c r="E275" s="74" t="str">
        <f ca="1">IF(VLOOKUP($B275,'1. 현장별 인원현황'!$C:$J,4,0)=0,"",VLOOKUP($B275,'1. 현장별 인원현황'!$C:$J,4,0))</f>
        <v>47세</v>
      </c>
      <c r="F275" s="70" t="str">
        <f>IF(VLOOKUP($B275,'1. 현장별 인원현황'!$C:$J,7,0)=0,"",VLOOKUP($B275,'1. 현장별 인원현황'!$C:$J,7,0))</f>
        <v>공무</v>
      </c>
      <c r="G275" s="72" t="str">
        <f>IF(VLOOKUP($B275,'1. 현장별 인원현황'!$C:$J,8,0)=0,"",VLOOKUP($B275,'1. 현장별 인원현황'!$C:$J,8,0))</f>
        <v>차장</v>
      </c>
      <c r="H275" s="67" t="s">
        <v>69</v>
      </c>
      <c r="I275" s="73"/>
      <c r="J275" s="73"/>
      <c r="K275" s="68"/>
      <c r="L275" s="67"/>
      <c r="M275" s="73" t="s">
        <v>69</v>
      </c>
      <c r="N275" s="73"/>
      <c r="O275" s="68"/>
      <c r="P275" s="67" t="s">
        <v>69</v>
      </c>
      <c r="Q275" s="73"/>
      <c r="R275" s="73"/>
      <c r="S275" s="68"/>
      <c r="T275" s="67" t="s">
        <v>69</v>
      </c>
      <c r="U275" s="73"/>
      <c r="V275" s="73"/>
      <c r="W275" s="68"/>
      <c r="X275" s="67" t="s">
        <v>69</v>
      </c>
      <c r="Y275" s="73"/>
      <c r="Z275" s="73"/>
      <c r="AA275" s="68"/>
      <c r="AB275" s="67" t="s">
        <v>69</v>
      </c>
      <c r="AC275" s="73"/>
      <c r="AD275" s="73"/>
      <c r="AE275" s="68"/>
      <c r="AF275" s="67"/>
      <c r="AG275" s="73" t="s">
        <v>69</v>
      </c>
      <c r="AH275" s="73"/>
      <c r="AI275" s="68"/>
      <c r="AJ275" s="67"/>
      <c r="AK275" s="73" t="s">
        <v>69</v>
      </c>
      <c r="AL275" s="73"/>
      <c r="AM275" s="68"/>
      <c r="AN275" s="67">
        <f t="shared" si="275"/>
        <v>90</v>
      </c>
      <c r="AO275" s="68" t="str">
        <f t="shared" si="276"/>
        <v>S</v>
      </c>
      <c r="AR275" s="49">
        <f t="shared" si="241"/>
        <v>1</v>
      </c>
      <c r="AS275" s="49">
        <f t="shared" si="242"/>
        <v>0</v>
      </c>
      <c r="AT275" s="49">
        <f t="shared" si="243"/>
        <v>0</v>
      </c>
      <c r="AU275" s="49">
        <f t="shared" si="244"/>
        <v>0</v>
      </c>
      <c r="AV275" s="49">
        <f t="shared" si="245"/>
        <v>0</v>
      </c>
      <c r="AW275" s="49">
        <f t="shared" si="246"/>
        <v>1</v>
      </c>
      <c r="AX275" s="49">
        <f t="shared" si="247"/>
        <v>0</v>
      </c>
      <c r="AY275" s="49">
        <f t="shared" si="248"/>
        <v>0</v>
      </c>
      <c r="AZ275" s="49">
        <f t="shared" si="249"/>
        <v>1</v>
      </c>
      <c r="BA275" s="49">
        <f t="shared" si="250"/>
        <v>0</v>
      </c>
      <c r="BB275" s="49">
        <f t="shared" si="251"/>
        <v>0</v>
      </c>
      <c r="BC275" s="49">
        <f t="shared" si="252"/>
        <v>0</v>
      </c>
      <c r="BD275" s="49">
        <f t="shared" si="253"/>
        <v>1</v>
      </c>
      <c r="BE275" s="49">
        <f t="shared" si="254"/>
        <v>0</v>
      </c>
      <c r="BF275" s="49">
        <f t="shared" si="255"/>
        <v>0</v>
      </c>
      <c r="BG275" s="49">
        <f t="shared" si="256"/>
        <v>0</v>
      </c>
      <c r="BH275" s="49">
        <f t="shared" si="257"/>
        <v>1</v>
      </c>
      <c r="BI275" s="49">
        <f t="shared" si="258"/>
        <v>0</v>
      </c>
      <c r="BJ275" s="49">
        <f t="shared" si="259"/>
        <v>0</v>
      </c>
      <c r="BK275" s="49">
        <f t="shared" si="260"/>
        <v>0</v>
      </c>
      <c r="BL275" s="49">
        <f t="shared" si="261"/>
        <v>1</v>
      </c>
      <c r="BM275" s="49">
        <f t="shared" si="262"/>
        <v>0</v>
      </c>
      <c r="BN275" s="49">
        <f t="shared" si="263"/>
        <v>0</v>
      </c>
      <c r="BO275" s="49">
        <f t="shared" si="264"/>
        <v>0</v>
      </c>
      <c r="BP275" s="49">
        <f t="shared" si="265"/>
        <v>0</v>
      </c>
      <c r="BQ275" s="49">
        <f t="shared" si="266"/>
        <v>1</v>
      </c>
      <c r="BR275" s="49">
        <f t="shared" si="267"/>
        <v>0</v>
      </c>
      <c r="BS275" s="49">
        <f t="shared" si="268"/>
        <v>0</v>
      </c>
      <c r="BT275" s="49">
        <f t="shared" si="269"/>
        <v>0</v>
      </c>
      <c r="BU275" s="49">
        <f t="shared" si="270"/>
        <v>1</v>
      </c>
      <c r="BV275" s="49">
        <f t="shared" si="271"/>
        <v>0</v>
      </c>
      <c r="BW275" s="49">
        <f t="shared" si="272"/>
        <v>0</v>
      </c>
    </row>
    <row r="276" spans="1:75" ht="35.1" customHeight="1" x14ac:dyDescent="0.3">
      <c r="A276" s="123" t="str">
        <f t="shared" si="273"/>
        <v>2팀</v>
      </c>
      <c r="B276" s="69">
        <f t="shared" si="274"/>
        <v>270</v>
      </c>
      <c r="C276" s="121" t="str">
        <f>IF(VLOOKUP($B276,'1. 현장별 인원현황'!$C:$J,2,0)=0,"",VLOOKUP($B276,'1. 현장별 인원현황'!$C:$J,2,0))</f>
        <v xml:space="preserve"> [2.한화건설] 고잔연립9구역 재건축 전기,통신,소방공사</v>
      </c>
      <c r="D276" s="74" t="str">
        <f>IF(VLOOKUP($B276,'1. 현장별 인원현황'!$C:$J,3,0)=0,"",VLOOKUP($B276,'1. 현장별 인원현황'!$C:$J,3,0))</f>
        <v>이경주</v>
      </c>
      <c r="E276" s="74" t="str">
        <f ca="1">IF(VLOOKUP($B276,'1. 현장별 인원현황'!$C:$J,4,0)=0,"",VLOOKUP($B276,'1. 현장별 인원현황'!$C:$J,4,0))</f>
        <v>54세</v>
      </c>
      <c r="F276" s="70" t="str">
        <f>IF(VLOOKUP($B276,'1. 현장별 인원현황'!$C:$J,7,0)=0,"",VLOOKUP($B276,'1. 현장별 인원현황'!$C:$J,7,0))</f>
        <v>공사</v>
      </c>
      <c r="G276" s="72" t="str">
        <f>IF(VLOOKUP($B276,'1. 현장별 인원현황'!$C:$J,8,0)=0,"",VLOOKUP($B276,'1. 현장별 인원현황'!$C:$J,8,0))</f>
        <v>차장</v>
      </c>
      <c r="H276" s="67" t="s">
        <v>69</v>
      </c>
      <c r="I276" s="73"/>
      <c r="J276" s="73"/>
      <c r="K276" s="68"/>
      <c r="L276" s="67"/>
      <c r="M276" s="73" t="s">
        <v>69</v>
      </c>
      <c r="N276" s="73"/>
      <c r="O276" s="68"/>
      <c r="P276" s="67" t="s">
        <v>69</v>
      </c>
      <c r="Q276" s="73"/>
      <c r="R276" s="73"/>
      <c r="S276" s="68"/>
      <c r="T276" s="67"/>
      <c r="U276" s="73" t="s">
        <v>69</v>
      </c>
      <c r="V276" s="73"/>
      <c r="W276" s="68"/>
      <c r="X276" s="67" t="s">
        <v>69</v>
      </c>
      <c r="Y276" s="73"/>
      <c r="Z276" s="73"/>
      <c r="AA276" s="68"/>
      <c r="AB276" s="67"/>
      <c r="AC276" s="73" t="s">
        <v>69</v>
      </c>
      <c r="AD276" s="73"/>
      <c r="AE276" s="68"/>
      <c r="AF276" s="67"/>
      <c r="AG276" s="73" t="s">
        <v>69</v>
      </c>
      <c r="AH276" s="73"/>
      <c r="AI276" s="68"/>
      <c r="AJ276" s="67"/>
      <c r="AK276" s="73" t="s">
        <v>69</v>
      </c>
      <c r="AL276" s="73"/>
      <c r="AM276" s="68"/>
      <c r="AN276" s="67">
        <f t="shared" si="275"/>
        <v>84</v>
      </c>
      <c r="AO276" s="68" t="str">
        <f t="shared" si="276"/>
        <v>A</v>
      </c>
      <c r="AR276" s="49">
        <f t="shared" si="41"/>
        <v>1</v>
      </c>
      <c r="AS276" s="49">
        <f t="shared" si="42"/>
        <v>0</v>
      </c>
      <c r="AT276" s="49">
        <f t="shared" si="43"/>
        <v>0</v>
      </c>
      <c r="AU276" s="49">
        <f t="shared" si="44"/>
        <v>0</v>
      </c>
      <c r="AV276" s="49">
        <f t="shared" si="45"/>
        <v>0</v>
      </c>
      <c r="AW276" s="49">
        <f t="shared" si="46"/>
        <v>1</v>
      </c>
      <c r="AX276" s="49">
        <f t="shared" si="47"/>
        <v>0</v>
      </c>
      <c r="AY276" s="49">
        <f t="shared" si="48"/>
        <v>0</v>
      </c>
      <c r="AZ276" s="49">
        <f t="shared" si="49"/>
        <v>1</v>
      </c>
      <c r="BA276" s="49">
        <f t="shared" si="50"/>
        <v>0</v>
      </c>
      <c r="BB276" s="49">
        <f t="shared" si="51"/>
        <v>0</v>
      </c>
      <c r="BC276" s="49">
        <f t="shared" si="52"/>
        <v>0</v>
      </c>
      <c r="BD276" s="49">
        <f t="shared" si="53"/>
        <v>0</v>
      </c>
      <c r="BE276" s="49">
        <f t="shared" si="54"/>
        <v>1</v>
      </c>
      <c r="BF276" s="49">
        <f t="shared" si="55"/>
        <v>0</v>
      </c>
      <c r="BG276" s="49">
        <f t="shared" si="56"/>
        <v>0</v>
      </c>
      <c r="BH276" s="49">
        <f t="shared" si="57"/>
        <v>1</v>
      </c>
      <c r="BI276" s="49">
        <f t="shared" si="58"/>
        <v>0</v>
      </c>
      <c r="BJ276" s="49">
        <f t="shared" si="59"/>
        <v>0</v>
      </c>
      <c r="BK276" s="49">
        <f t="shared" si="60"/>
        <v>0</v>
      </c>
      <c r="BL276" s="49">
        <f t="shared" si="61"/>
        <v>0</v>
      </c>
      <c r="BM276" s="49">
        <f t="shared" si="62"/>
        <v>1</v>
      </c>
      <c r="BN276" s="49">
        <f t="shared" si="63"/>
        <v>0</v>
      </c>
      <c r="BO276" s="49">
        <f t="shared" si="64"/>
        <v>0</v>
      </c>
      <c r="BP276" s="49">
        <f t="shared" si="65"/>
        <v>0</v>
      </c>
      <c r="BQ276" s="49">
        <f t="shared" si="66"/>
        <v>1</v>
      </c>
      <c r="BR276" s="49">
        <f t="shared" si="67"/>
        <v>0</v>
      </c>
      <c r="BS276" s="49">
        <f t="shared" si="68"/>
        <v>0</v>
      </c>
      <c r="BT276" s="49">
        <f t="shared" si="69"/>
        <v>0</v>
      </c>
      <c r="BU276" s="49">
        <f t="shared" si="70"/>
        <v>1</v>
      </c>
      <c r="BV276" s="49">
        <f t="shared" si="71"/>
        <v>0</v>
      </c>
      <c r="BW276" s="49">
        <f t="shared" si="72"/>
        <v>0</v>
      </c>
    </row>
    <row r="277" spans="1:75" ht="35.1" customHeight="1" x14ac:dyDescent="0.3">
      <c r="A277" s="123" t="str">
        <f t="shared" si="273"/>
        <v>2팀</v>
      </c>
      <c r="B277" s="69">
        <f t="shared" si="274"/>
        <v>271</v>
      </c>
      <c r="C277" s="121" t="str">
        <f>IF(VLOOKUP($B277,'1. 현장별 인원현황'!$C:$J,2,0)=0,"",VLOOKUP($B277,'1. 현장별 인원현황'!$C:$J,2,0))</f>
        <v xml:space="preserve"> [2.한화건설] 고잔연립9구역 재건축 전기,통신,소방공사</v>
      </c>
      <c r="D277" s="74" t="str">
        <f>IF(VLOOKUP($B277,'1. 현장별 인원현황'!$C:$J,3,0)=0,"",VLOOKUP($B277,'1. 현장별 인원현황'!$C:$J,3,0))</f>
        <v>최송춘</v>
      </c>
      <c r="E277" s="74" t="str">
        <f ca="1">IF(VLOOKUP($B277,'1. 현장별 인원현황'!$C:$J,4,0)=0,"",VLOOKUP($B277,'1. 현장별 인원현황'!$C:$J,4,0))</f>
        <v>48세</v>
      </c>
      <c r="F277" s="70" t="str">
        <f>IF(VLOOKUP($B277,'1. 현장별 인원현황'!$C:$J,7,0)=0,"",VLOOKUP($B277,'1. 현장별 인원현황'!$C:$J,7,0))</f>
        <v>공사</v>
      </c>
      <c r="G277" s="72" t="str">
        <f>IF(VLOOKUP($B277,'1. 현장별 인원현황'!$C:$J,8,0)=0,"",VLOOKUP($B277,'1. 현장별 인원현황'!$C:$J,8,0))</f>
        <v>과장</v>
      </c>
      <c r="H277" s="67" t="s">
        <v>69</v>
      </c>
      <c r="I277" s="73"/>
      <c r="J277" s="73"/>
      <c r="K277" s="68"/>
      <c r="L277" s="67"/>
      <c r="M277" s="73" t="s">
        <v>69</v>
      </c>
      <c r="N277" s="73"/>
      <c r="O277" s="68"/>
      <c r="P277" s="67" t="s">
        <v>69</v>
      </c>
      <c r="Q277" s="73"/>
      <c r="R277" s="73"/>
      <c r="S277" s="68"/>
      <c r="T277" s="67"/>
      <c r="U277" s="73" t="s">
        <v>69</v>
      </c>
      <c r="V277" s="73"/>
      <c r="W277" s="68"/>
      <c r="X277" s="67" t="s">
        <v>69</v>
      </c>
      <c r="Y277" s="73"/>
      <c r="Z277" s="73"/>
      <c r="AA277" s="68"/>
      <c r="AB277" s="67" t="s">
        <v>69</v>
      </c>
      <c r="AC277" s="73"/>
      <c r="AD277" s="73"/>
      <c r="AE277" s="68"/>
      <c r="AF277" s="67"/>
      <c r="AG277" s="73" t="s">
        <v>69</v>
      </c>
      <c r="AH277" s="73"/>
      <c r="AI277" s="68"/>
      <c r="AJ277" s="67"/>
      <c r="AK277" s="73" t="s">
        <v>69</v>
      </c>
      <c r="AL277" s="73"/>
      <c r="AM277" s="68"/>
      <c r="AN277" s="67">
        <f t="shared" si="275"/>
        <v>86</v>
      </c>
      <c r="AO277" s="68" t="str">
        <f t="shared" si="276"/>
        <v>S</v>
      </c>
      <c r="AR277" s="49">
        <f t="shared" si="41"/>
        <v>1</v>
      </c>
      <c r="AS277" s="49">
        <f t="shared" si="42"/>
        <v>0</v>
      </c>
      <c r="AT277" s="49">
        <f t="shared" si="43"/>
        <v>0</v>
      </c>
      <c r="AU277" s="49">
        <f t="shared" si="44"/>
        <v>0</v>
      </c>
      <c r="AV277" s="49">
        <f t="shared" si="45"/>
        <v>0</v>
      </c>
      <c r="AW277" s="49">
        <f t="shared" si="46"/>
        <v>1</v>
      </c>
      <c r="AX277" s="49">
        <f t="shared" si="47"/>
        <v>0</v>
      </c>
      <c r="AY277" s="49">
        <f t="shared" si="48"/>
        <v>0</v>
      </c>
      <c r="AZ277" s="49">
        <f t="shared" si="49"/>
        <v>1</v>
      </c>
      <c r="BA277" s="49">
        <f t="shared" si="50"/>
        <v>0</v>
      </c>
      <c r="BB277" s="49">
        <f t="shared" si="51"/>
        <v>0</v>
      </c>
      <c r="BC277" s="49">
        <f t="shared" si="52"/>
        <v>0</v>
      </c>
      <c r="BD277" s="49">
        <f t="shared" si="53"/>
        <v>0</v>
      </c>
      <c r="BE277" s="49">
        <f t="shared" si="54"/>
        <v>1</v>
      </c>
      <c r="BF277" s="49">
        <f t="shared" si="55"/>
        <v>0</v>
      </c>
      <c r="BG277" s="49">
        <f t="shared" si="56"/>
        <v>0</v>
      </c>
      <c r="BH277" s="49">
        <f t="shared" si="57"/>
        <v>1</v>
      </c>
      <c r="BI277" s="49">
        <f t="shared" si="58"/>
        <v>0</v>
      </c>
      <c r="BJ277" s="49">
        <f t="shared" si="59"/>
        <v>0</v>
      </c>
      <c r="BK277" s="49">
        <f t="shared" si="60"/>
        <v>0</v>
      </c>
      <c r="BL277" s="49">
        <f t="shared" si="61"/>
        <v>1</v>
      </c>
      <c r="BM277" s="49">
        <f t="shared" si="62"/>
        <v>0</v>
      </c>
      <c r="BN277" s="49">
        <f t="shared" si="63"/>
        <v>0</v>
      </c>
      <c r="BO277" s="49">
        <f t="shared" si="64"/>
        <v>0</v>
      </c>
      <c r="BP277" s="49">
        <f t="shared" si="65"/>
        <v>0</v>
      </c>
      <c r="BQ277" s="49">
        <f t="shared" si="66"/>
        <v>1</v>
      </c>
      <c r="BR277" s="49">
        <f t="shared" si="67"/>
        <v>0</v>
      </c>
      <c r="BS277" s="49">
        <f t="shared" si="68"/>
        <v>0</v>
      </c>
      <c r="BT277" s="49">
        <f t="shared" si="69"/>
        <v>0</v>
      </c>
      <c r="BU277" s="49">
        <f t="shared" si="70"/>
        <v>1</v>
      </c>
      <c r="BV277" s="49">
        <f t="shared" si="71"/>
        <v>0</v>
      </c>
      <c r="BW277" s="49">
        <f t="shared" si="72"/>
        <v>0</v>
      </c>
    </row>
    <row r="278" spans="1:75" ht="35.1" customHeight="1" x14ac:dyDescent="0.3">
      <c r="A278" s="123" t="str">
        <f t="shared" si="273"/>
        <v>2팀</v>
      </c>
      <c r="B278" s="69">
        <f t="shared" si="274"/>
        <v>272</v>
      </c>
      <c r="C278" s="121" t="str">
        <f>IF(VLOOKUP($B278,'1. 현장별 인원현황'!$C:$J,2,0)=0,"",VLOOKUP($B278,'1. 현장별 인원현황'!$C:$J,2,0))</f>
        <v xml:space="preserve"> [2.한화건설] 고잔연립9구역 재건축 전기,통신,소방공사</v>
      </c>
      <c r="D278" s="74" t="str">
        <f>IF(VLOOKUP($B278,'1. 현장별 인원현황'!$C:$J,3,0)=0,"",VLOOKUP($B278,'1. 현장별 인원현황'!$C:$J,3,0))</f>
        <v>이현주</v>
      </c>
      <c r="E278" s="74" t="str">
        <f ca="1">IF(VLOOKUP($B278,'1. 현장별 인원현황'!$C:$J,4,0)=0,"",VLOOKUP($B278,'1. 현장별 인원현황'!$C:$J,4,0))</f>
        <v>55세</v>
      </c>
      <c r="F278" s="70" t="str">
        <f>IF(VLOOKUP($B278,'1. 현장별 인원현황'!$C:$J,7,0)=0,"",VLOOKUP($B278,'1. 현장별 인원현황'!$C:$J,7,0))</f>
        <v>기능공</v>
      </c>
      <c r="G278" s="72" t="str">
        <f>IF(VLOOKUP($B278,'1. 현장별 인원현황'!$C:$J,8,0)=0,"",VLOOKUP($B278,'1. 현장별 인원현황'!$C:$J,8,0))</f>
        <v>전공</v>
      </c>
      <c r="H278" s="67" t="s">
        <v>69</v>
      </c>
      <c r="I278" s="73"/>
      <c r="J278" s="73"/>
      <c r="K278" s="68"/>
      <c r="L278" s="67"/>
      <c r="M278" s="73" t="s">
        <v>69</v>
      </c>
      <c r="N278" s="73"/>
      <c r="O278" s="68"/>
      <c r="P278" s="67" t="s">
        <v>69</v>
      </c>
      <c r="Q278" s="73"/>
      <c r="R278" s="73"/>
      <c r="S278" s="68"/>
      <c r="T278" s="67"/>
      <c r="U278" s="73" t="s">
        <v>69</v>
      </c>
      <c r="V278" s="73"/>
      <c r="W278" s="68"/>
      <c r="X278" s="67" t="s">
        <v>69</v>
      </c>
      <c r="Y278" s="73"/>
      <c r="Z278" s="73"/>
      <c r="AA278" s="68"/>
      <c r="AB278" s="67" t="s">
        <v>69</v>
      </c>
      <c r="AC278" s="73"/>
      <c r="AD278" s="73"/>
      <c r="AE278" s="68"/>
      <c r="AF278" s="67"/>
      <c r="AG278" s="73" t="s">
        <v>69</v>
      </c>
      <c r="AH278" s="73"/>
      <c r="AI278" s="68"/>
      <c r="AJ278" s="67"/>
      <c r="AK278" s="73" t="s">
        <v>69</v>
      </c>
      <c r="AL278" s="73"/>
      <c r="AM278" s="68"/>
      <c r="AN278" s="67">
        <f t="shared" si="275"/>
        <v>86</v>
      </c>
      <c r="AO278" s="68" t="str">
        <f t="shared" si="276"/>
        <v>S</v>
      </c>
      <c r="AR278" s="49">
        <f t="shared" si="41"/>
        <v>1</v>
      </c>
      <c r="AS278" s="49">
        <f t="shared" si="42"/>
        <v>0</v>
      </c>
      <c r="AT278" s="49">
        <f t="shared" si="43"/>
        <v>0</v>
      </c>
      <c r="AU278" s="49">
        <f t="shared" si="44"/>
        <v>0</v>
      </c>
      <c r="AV278" s="49">
        <f t="shared" si="45"/>
        <v>0</v>
      </c>
      <c r="AW278" s="49">
        <f t="shared" si="46"/>
        <v>1</v>
      </c>
      <c r="AX278" s="49">
        <f t="shared" si="47"/>
        <v>0</v>
      </c>
      <c r="AY278" s="49">
        <f t="shared" si="48"/>
        <v>0</v>
      </c>
      <c r="AZ278" s="49">
        <f t="shared" si="49"/>
        <v>1</v>
      </c>
      <c r="BA278" s="49">
        <f t="shared" si="50"/>
        <v>0</v>
      </c>
      <c r="BB278" s="49">
        <f t="shared" si="51"/>
        <v>0</v>
      </c>
      <c r="BC278" s="49">
        <f t="shared" si="52"/>
        <v>0</v>
      </c>
      <c r="BD278" s="49">
        <f t="shared" si="53"/>
        <v>0</v>
      </c>
      <c r="BE278" s="49">
        <f t="shared" si="54"/>
        <v>1</v>
      </c>
      <c r="BF278" s="49">
        <f t="shared" si="55"/>
        <v>0</v>
      </c>
      <c r="BG278" s="49">
        <f t="shared" si="56"/>
        <v>0</v>
      </c>
      <c r="BH278" s="49">
        <f t="shared" si="57"/>
        <v>1</v>
      </c>
      <c r="BI278" s="49">
        <f t="shared" si="58"/>
        <v>0</v>
      </c>
      <c r="BJ278" s="49">
        <f t="shared" si="59"/>
        <v>0</v>
      </c>
      <c r="BK278" s="49">
        <f t="shared" si="60"/>
        <v>0</v>
      </c>
      <c r="BL278" s="49">
        <f t="shared" si="61"/>
        <v>1</v>
      </c>
      <c r="BM278" s="49">
        <f t="shared" si="62"/>
        <v>0</v>
      </c>
      <c r="BN278" s="49">
        <f t="shared" si="63"/>
        <v>0</v>
      </c>
      <c r="BO278" s="49">
        <f t="shared" si="64"/>
        <v>0</v>
      </c>
      <c r="BP278" s="49">
        <f t="shared" si="65"/>
        <v>0</v>
      </c>
      <c r="BQ278" s="49">
        <f t="shared" si="66"/>
        <v>1</v>
      </c>
      <c r="BR278" s="49">
        <f t="shared" si="67"/>
        <v>0</v>
      </c>
      <c r="BS278" s="49">
        <f t="shared" si="68"/>
        <v>0</v>
      </c>
      <c r="BT278" s="49">
        <f t="shared" si="69"/>
        <v>0</v>
      </c>
      <c r="BU278" s="49">
        <f t="shared" si="70"/>
        <v>1</v>
      </c>
      <c r="BV278" s="49">
        <f t="shared" si="71"/>
        <v>0</v>
      </c>
      <c r="BW278" s="49">
        <f t="shared" si="72"/>
        <v>0</v>
      </c>
    </row>
    <row r="279" spans="1:75" ht="35.1" customHeight="1" x14ac:dyDescent="0.3">
      <c r="A279" s="123" t="str">
        <f t="shared" si="273"/>
        <v>2팀</v>
      </c>
      <c r="B279" s="69">
        <f t="shared" si="274"/>
        <v>273</v>
      </c>
      <c r="C279" s="121" t="str">
        <f>IF(VLOOKUP($B279,'1. 현장별 인원현황'!$C:$J,2,0)=0,"",VLOOKUP($B279,'1. 현장별 인원현황'!$C:$J,2,0))</f>
        <v xml:space="preserve"> [2.한화건설] 고잔연립9구역 재건축 전기,통신,소방공사</v>
      </c>
      <c r="D279" s="74" t="str">
        <f>IF(VLOOKUP($B279,'1. 현장별 인원현황'!$C:$J,3,0)=0,"",VLOOKUP($B279,'1. 현장별 인원현황'!$C:$J,3,0))</f>
        <v>허남우</v>
      </c>
      <c r="E279" s="74" t="str">
        <f ca="1">IF(VLOOKUP($B279,'1. 현장별 인원현황'!$C:$J,4,0)=0,"",VLOOKUP($B279,'1. 현장별 인원현황'!$C:$J,4,0))</f>
        <v>46세</v>
      </c>
      <c r="F279" s="70" t="str">
        <f>IF(VLOOKUP($B279,'1. 현장별 인원현황'!$C:$J,7,0)=0,"",VLOOKUP($B279,'1. 현장별 인원현황'!$C:$J,7,0))</f>
        <v>기능공</v>
      </c>
      <c r="G279" s="72" t="str">
        <f>IF(VLOOKUP($B279,'1. 현장별 인원현황'!$C:$J,8,0)=0,"",VLOOKUP($B279,'1. 현장별 인원현황'!$C:$J,8,0))</f>
        <v>전공</v>
      </c>
      <c r="H279" s="67" t="s">
        <v>69</v>
      </c>
      <c r="I279" s="73"/>
      <c r="J279" s="73"/>
      <c r="K279" s="68"/>
      <c r="L279" s="67"/>
      <c r="M279" s="73" t="s">
        <v>69</v>
      </c>
      <c r="N279" s="73"/>
      <c r="O279" s="68"/>
      <c r="P279" s="67" t="s">
        <v>69</v>
      </c>
      <c r="Q279" s="73"/>
      <c r="R279" s="73"/>
      <c r="S279" s="68"/>
      <c r="T279" s="67"/>
      <c r="U279" s="73" t="s">
        <v>69</v>
      </c>
      <c r="V279" s="73"/>
      <c r="W279" s="68"/>
      <c r="X279" s="67" t="s">
        <v>69</v>
      </c>
      <c r="Y279" s="73"/>
      <c r="Z279" s="73"/>
      <c r="AA279" s="68"/>
      <c r="AB279" s="67" t="s">
        <v>69</v>
      </c>
      <c r="AC279" s="73"/>
      <c r="AD279" s="73"/>
      <c r="AE279" s="68"/>
      <c r="AF279" s="67"/>
      <c r="AG279" s="73" t="s">
        <v>69</v>
      </c>
      <c r="AH279" s="73"/>
      <c r="AI279" s="68"/>
      <c r="AJ279" s="67"/>
      <c r="AK279" s="73" t="s">
        <v>69</v>
      </c>
      <c r="AL279" s="73"/>
      <c r="AM279" s="68"/>
      <c r="AN279" s="67">
        <f t="shared" si="275"/>
        <v>86</v>
      </c>
      <c r="AO279" s="68" t="str">
        <f t="shared" si="276"/>
        <v>S</v>
      </c>
      <c r="AR279" s="49">
        <f t="shared" si="41"/>
        <v>1</v>
      </c>
      <c r="AS279" s="49">
        <f t="shared" si="42"/>
        <v>0</v>
      </c>
      <c r="AT279" s="49">
        <f t="shared" si="43"/>
        <v>0</v>
      </c>
      <c r="AU279" s="49">
        <f t="shared" si="44"/>
        <v>0</v>
      </c>
      <c r="AV279" s="49">
        <f t="shared" si="45"/>
        <v>0</v>
      </c>
      <c r="AW279" s="49">
        <f t="shared" si="46"/>
        <v>1</v>
      </c>
      <c r="AX279" s="49">
        <f t="shared" si="47"/>
        <v>0</v>
      </c>
      <c r="AY279" s="49">
        <f t="shared" si="48"/>
        <v>0</v>
      </c>
      <c r="AZ279" s="49">
        <f t="shared" si="49"/>
        <v>1</v>
      </c>
      <c r="BA279" s="49">
        <f t="shared" si="50"/>
        <v>0</v>
      </c>
      <c r="BB279" s="49">
        <f t="shared" si="51"/>
        <v>0</v>
      </c>
      <c r="BC279" s="49">
        <f t="shared" si="52"/>
        <v>0</v>
      </c>
      <c r="BD279" s="49">
        <f t="shared" si="53"/>
        <v>0</v>
      </c>
      <c r="BE279" s="49">
        <f t="shared" si="54"/>
        <v>1</v>
      </c>
      <c r="BF279" s="49">
        <f t="shared" si="55"/>
        <v>0</v>
      </c>
      <c r="BG279" s="49">
        <f t="shared" si="56"/>
        <v>0</v>
      </c>
      <c r="BH279" s="49">
        <f t="shared" si="57"/>
        <v>1</v>
      </c>
      <c r="BI279" s="49">
        <f t="shared" si="58"/>
        <v>0</v>
      </c>
      <c r="BJ279" s="49">
        <f t="shared" si="59"/>
        <v>0</v>
      </c>
      <c r="BK279" s="49">
        <f t="shared" si="60"/>
        <v>0</v>
      </c>
      <c r="BL279" s="49">
        <f t="shared" si="61"/>
        <v>1</v>
      </c>
      <c r="BM279" s="49">
        <f t="shared" si="62"/>
        <v>0</v>
      </c>
      <c r="BN279" s="49">
        <f t="shared" si="63"/>
        <v>0</v>
      </c>
      <c r="BO279" s="49">
        <f t="shared" si="64"/>
        <v>0</v>
      </c>
      <c r="BP279" s="49">
        <f t="shared" si="65"/>
        <v>0</v>
      </c>
      <c r="BQ279" s="49">
        <f t="shared" si="66"/>
        <v>1</v>
      </c>
      <c r="BR279" s="49">
        <f t="shared" si="67"/>
        <v>0</v>
      </c>
      <c r="BS279" s="49">
        <f t="shared" si="68"/>
        <v>0</v>
      </c>
      <c r="BT279" s="49">
        <f t="shared" si="69"/>
        <v>0</v>
      </c>
      <c r="BU279" s="49">
        <f t="shared" si="70"/>
        <v>1</v>
      </c>
      <c r="BV279" s="49">
        <f t="shared" si="71"/>
        <v>0</v>
      </c>
      <c r="BW279" s="49">
        <f t="shared" si="72"/>
        <v>0</v>
      </c>
    </row>
    <row r="280" spans="1:75" ht="35.1" customHeight="1" x14ac:dyDescent="0.3">
      <c r="A280" s="123" t="str">
        <f t="shared" si="273"/>
        <v>2팀</v>
      </c>
      <c r="B280" s="69">
        <f t="shared" si="274"/>
        <v>274</v>
      </c>
      <c r="C280" s="121" t="str">
        <f>IF(VLOOKUP($B280,'1. 현장별 인원현황'!$C:$J,2,0)=0,"",VLOOKUP($B280,'1. 현장별 인원현황'!$C:$J,2,0))</f>
        <v xml:space="preserve"> [2.한화건설] 고잔연립9구역 재건축 전기,통신,소방공사</v>
      </c>
      <c r="D280" s="74" t="str">
        <f>IF(VLOOKUP($B280,'1. 현장별 인원현황'!$C:$J,3,0)=0,"",VLOOKUP($B280,'1. 현장별 인원현황'!$C:$J,3,0))</f>
        <v>최종인</v>
      </c>
      <c r="E280" s="74" t="str">
        <f ca="1">IF(VLOOKUP($B280,'1. 현장별 인원현황'!$C:$J,4,0)=0,"",VLOOKUP($B280,'1. 현장별 인원현황'!$C:$J,4,0))</f>
        <v>69세</v>
      </c>
      <c r="F280" s="70" t="str">
        <f>IF(VLOOKUP($B280,'1. 현장별 인원현황'!$C:$J,7,0)=0,"",VLOOKUP($B280,'1. 현장별 인원현황'!$C:$J,7,0))</f>
        <v>기능공</v>
      </c>
      <c r="G280" s="72" t="str">
        <f>IF(VLOOKUP($B280,'1. 현장별 인원현황'!$C:$J,8,0)=0,"",VLOOKUP($B280,'1. 현장별 인원현황'!$C:$J,8,0))</f>
        <v>전공</v>
      </c>
      <c r="H280" s="67" t="s">
        <v>69</v>
      </c>
      <c r="I280" s="73"/>
      <c r="J280" s="73"/>
      <c r="K280" s="68"/>
      <c r="L280" s="67"/>
      <c r="M280" s="73" t="s">
        <v>69</v>
      </c>
      <c r="N280" s="73"/>
      <c r="O280" s="68"/>
      <c r="P280" s="67" t="s">
        <v>69</v>
      </c>
      <c r="Q280" s="73"/>
      <c r="R280" s="73"/>
      <c r="S280" s="68"/>
      <c r="T280" s="67"/>
      <c r="U280" s="73" t="s">
        <v>69</v>
      </c>
      <c r="V280" s="73"/>
      <c r="W280" s="68"/>
      <c r="X280" s="67" t="s">
        <v>69</v>
      </c>
      <c r="Y280" s="73"/>
      <c r="Z280" s="73"/>
      <c r="AA280" s="68"/>
      <c r="AB280" s="67" t="s">
        <v>69</v>
      </c>
      <c r="AC280" s="73"/>
      <c r="AD280" s="73"/>
      <c r="AE280" s="68"/>
      <c r="AF280" s="67"/>
      <c r="AG280" s="73" t="s">
        <v>69</v>
      </c>
      <c r="AH280" s="73"/>
      <c r="AI280" s="68"/>
      <c r="AJ280" s="67"/>
      <c r="AK280" s="73" t="s">
        <v>69</v>
      </c>
      <c r="AL280" s="73"/>
      <c r="AM280" s="68"/>
      <c r="AN280" s="67">
        <f t="shared" si="275"/>
        <v>86</v>
      </c>
      <c r="AO280" s="68" t="str">
        <f t="shared" si="276"/>
        <v>S</v>
      </c>
      <c r="AR280" s="49">
        <f t="shared" si="41"/>
        <v>1</v>
      </c>
      <c r="AS280" s="49">
        <f t="shared" si="42"/>
        <v>0</v>
      </c>
      <c r="AT280" s="49">
        <f t="shared" si="43"/>
        <v>0</v>
      </c>
      <c r="AU280" s="49">
        <f t="shared" si="44"/>
        <v>0</v>
      </c>
      <c r="AV280" s="49">
        <f t="shared" si="45"/>
        <v>0</v>
      </c>
      <c r="AW280" s="49">
        <f t="shared" si="46"/>
        <v>1</v>
      </c>
      <c r="AX280" s="49">
        <f t="shared" si="47"/>
        <v>0</v>
      </c>
      <c r="AY280" s="49">
        <f t="shared" si="48"/>
        <v>0</v>
      </c>
      <c r="AZ280" s="49">
        <f t="shared" si="49"/>
        <v>1</v>
      </c>
      <c r="BA280" s="49">
        <f t="shared" si="50"/>
        <v>0</v>
      </c>
      <c r="BB280" s="49">
        <f t="shared" si="51"/>
        <v>0</v>
      </c>
      <c r="BC280" s="49">
        <f t="shared" si="52"/>
        <v>0</v>
      </c>
      <c r="BD280" s="49">
        <f t="shared" si="53"/>
        <v>0</v>
      </c>
      <c r="BE280" s="49">
        <f t="shared" si="54"/>
        <v>1</v>
      </c>
      <c r="BF280" s="49">
        <f t="shared" si="55"/>
        <v>0</v>
      </c>
      <c r="BG280" s="49">
        <f t="shared" si="56"/>
        <v>0</v>
      </c>
      <c r="BH280" s="49">
        <f t="shared" si="57"/>
        <v>1</v>
      </c>
      <c r="BI280" s="49">
        <f t="shared" si="58"/>
        <v>0</v>
      </c>
      <c r="BJ280" s="49">
        <f t="shared" si="59"/>
        <v>0</v>
      </c>
      <c r="BK280" s="49">
        <f t="shared" si="60"/>
        <v>0</v>
      </c>
      <c r="BL280" s="49">
        <f t="shared" si="61"/>
        <v>1</v>
      </c>
      <c r="BM280" s="49">
        <f t="shared" si="62"/>
        <v>0</v>
      </c>
      <c r="BN280" s="49">
        <f t="shared" si="63"/>
        <v>0</v>
      </c>
      <c r="BO280" s="49">
        <f t="shared" si="64"/>
        <v>0</v>
      </c>
      <c r="BP280" s="49">
        <f t="shared" si="65"/>
        <v>0</v>
      </c>
      <c r="BQ280" s="49">
        <f t="shared" si="66"/>
        <v>1</v>
      </c>
      <c r="BR280" s="49">
        <f t="shared" si="67"/>
        <v>0</v>
      </c>
      <c r="BS280" s="49">
        <f t="shared" si="68"/>
        <v>0</v>
      </c>
      <c r="BT280" s="49">
        <f t="shared" si="69"/>
        <v>0</v>
      </c>
      <c r="BU280" s="49">
        <f t="shared" si="70"/>
        <v>1</v>
      </c>
      <c r="BV280" s="49">
        <f t="shared" si="71"/>
        <v>0</v>
      </c>
      <c r="BW280" s="49">
        <f t="shared" si="72"/>
        <v>0</v>
      </c>
    </row>
    <row r="281" spans="1:75" ht="35.1" customHeight="1" x14ac:dyDescent="0.3">
      <c r="A281" s="123" t="str">
        <f t="shared" si="273"/>
        <v>2팀</v>
      </c>
      <c r="B281" s="69">
        <f t="shared" si="274"/>
        <v>275</v>
      </c>
      <c r="C281" s="121" t="str">
        <f>IF(VLOOKUP($B281,'1. 현장별 인원현황'!$C:$J,2,0)=0,"",VLOOKUP($B281,'1. 현장별 인원현황'!$C:$J,2,0))</f>
        <v xml:space="preserve"> [2.한화건설] 고잔연립9구역 재건축 전기,통신,소방공사</v>
      </c>
      <c r="D281" s="74" t="str">
        <f>IF(VLOOKUP($B281,'1. 현장별 인원현황'!$C:$J,3,0)=0,"",VLOOKUP($B281,'1. 현장별 인원현황'!$C:$J,3,0))</f>
        <v>이명덕</v>
      </c>
      <c r="E281" s="74" t="str">
        <f ca="1">IF(VLOOKUP($B281,'1. 현장별 인원현황'!$C:$J,4,0)=0,"",VLOOKUP($B281,'1. 현장별 인원현황'!$C:$J,4,0))</f>
        <v>39세</v>
      </c>
      <c r="F281" s="70" t="str">
        <f>IF(VLOOKUP($B281,'1. 현장별 인원현황'!$C:$J,7,0)=0,"",VLOOKUP($B281,'1. 현장별 인원현황'!$C:$J,7,0))</f>
        <v>기능공</v>
      </c>
      <c r="G281" s="72" t="str">
        <f>IF(VLOOKUP($B281,'1. 현장별 인원현황'!$C:$J,8,0)=0,"",VLOOKUP($B281,'1. 현장별 인원현황'!$C:$J,8,0))</f>
        <v>전공</v>
      </c>
      <c r="H281" s="67" t="s">
        <v>69</v>
      </c>
      <c r="I281" s="73"/>
      <c r="J281" s="73"/>
      <c r="K281" s="68"/>
      <c r="L281" s="67"/>
      <c r="M281" s="73" t="s">
        <v>69</v>
      </c>
      <c r="N281" s="73"/>
      <c r="O281" s="68"/>
      <c r="P281" s="67" t="s">
        <v>69</v>
      </c>
      <c r="Q281" s="73"/>
      <c r="R281" s="73"/>
      <c r="S281" s="68"/>
      <c r="T281" s="67"/>
      <c r="U281" s="73" t="s">
        <v>69</v>
      </c>
      <c r="V281" s="73"/>
      <c r="W281" s="68"/>
      <c r="X281" s="67"/>
      <c r="Y281" s="73" t="s">
        <v>69</v>
      </c>
      <c r="Z281" s="73"/>
      <c r="AA281" s="68"/>
      <c r="AB281" s="67"/>
      <c r="AC281" s="73" t="s">
        <v>69</v>
      </c>
      <c r="AD281" s="73"/>
      <c r="AE281" s="68"/>
      <c r="AF281" s="67"/>
      <c r="AG281" s="73" t="s">
        <v>69</v>
      </c>
      <c r="AH281" s="73"/>
      <c r="AI281" s="68"/>
      <c r="AJ281" s="67"/>
      <c r="AK281" s="73" t="s">
        <v>69</v>
      </c>
      <c r="AL281" s="73"/>
      <c r="AM281" s="68"/>
      <c r="AN281" s="67">
        <f t="shared" si="275"/>
        <v>80</v>
      </c>
      <c r="AO281" s="68" t="str">
        <f t="shared" si="276"/>
        <v>A</v>
      </c>
      <c r="AR281" s="49">
        <f t="shared" si="41"/>
        <v>1</v>
      </c>
      <c r="AS281" s="49">
        <f t="shared" si="42"/>
        <v>0</v>
      </c>
      <c r="AT281" s="49">
        <f t="shared" si="43"/>
        <v>0</v>
      </c>
      <c r="AU281" s="49">
        <f t="shared" si="44"/>
        <v>0</v>
      </c>
      <c r="AV281" s="49">
        <f t="shared" si="45"/>
        <v>0</v>
      </c>
      <c r="AW281" s="49">
        <f t="shared" si="46"/>
        <v>1</v>
      </c>
      <c r="AX281" s="49">
        <f t="shared" si="47"/>
        <v>0</v>
      </c>
      <c r="AY281" s="49">
        <f t="shared" si="48"/>
        <v>0</v>
      </c>
      <c r="AZ281" s="49">
        <f t="shared" si="49"/>
        <v>1</v>
      </c>
      <c r="BA281" s="49">
        <f t="shared" si="50"/>
        <v>0</v>
      </c>
      <c r="BB281" s="49">
        <f t="shared" si="51"/>
        <v>0</v>
      </c>
      <c r="BC281" s="49">
        <f t="shared" si="52"/>
        <v>0</v>
      </c>
      <c r="BD281" s="49">
        <f t="shared" si="53"/>
        <v>0</v>
      </c>
      <c r="BE281" s="49">
        <f t="shared" si="54"/>
        <v>1</v>
      </c>
      <c r="BF281" s="49">
        <f t="shared" si="55"/>
        <v>0</v>
      </c>
      <c r="BG281" s="49">
        <f t="shared" si="56"/>
        <v>0</v>
      </c>
      <c r="BH281" s="49">
        <f t="shared" si="57"/>
        <v>0</v>
      </c>
      <c r="BI281" s="49">
        <f t="shared" si="58"/>
        <v>1</v>
      </c>
      <c r="BJ281" s="49">
        <f t="shared" si="59"/>
        <v>0</v>
      </c>
      <c r="BK281" s="49">
        <f t="shared" si="60"/>
        <v>0</v>
      </c>
      <c r="BL281" s="49">
        <f t="shared" si="61"/>
        <v>0</v>
      </c>
      <c r="BM281" s="49">
        <f t="shared" si="62"/>
        <v>1</v>
      </c>
      <c r="BN281" s="49">
        <f t="shared" si="63"/>
        <v>0</v>
      </c>
      <c r="BO281" s="49">
        <f t="shared" si="64"/>
        <v>0</v>
      </c>
      <c r="BP281" s="49">
        <f t="shared" si="65"/>
        <v>0</v>
      </c>
      <c r="BQ281" s="49">
        <f t="shared" si="66"/>
        <v>1</v>
      </c>
      <c r="BR281" s="49">
        <f t="shared" si="67"/>
        <v>0</v>
      </c>
      <c r="BS281" s="49">
        <f t="shared" si="68"/>
        <v>0</v>
      </c>
      <c r="BT281" s="49">
        <f t="shared" si="69"/>
        <v>0</v>
      </c>
      <c r="BU281" s="49">
        <f t="shared" si="70"/>
        <v>1</v>
      </c>
      <c r="BV281" s="49">
        <f t="shared" si="71"/>
        <v>0</v>
      </c>
      <c r="BW281" s="49">
        <f t="shared" si="72"/>
        <v>0</v>
      </c>
    </row>
    <row r="282" spans="1:75" ht="35.1" customHeight="1" x14ac:dyDescent="0.3">
      <c r="A282" s="123" t="str">
        <f t="shared" si="273"/>
        <v>2팀</v>
      </c>
      <c r="B282" s="69">
        <f t="shared" si="274"/>
        <v>276</v>
      </c>
      <c r="C282" s="121" t="str">
        <f>IF(VLOOKUP($B282,'1. 현장별 인원현황'!$C:$J,2,0)=0,"",VLOOKUP($B282,'1. 현장별 인원현황'!$C:$J,2,0))</f>
        <v xml:space="preserve"> [2.한화건설] 고잔연립9구역 재건축 전기,통신,소방공사</v>
      </c>
      <c r="D282" s="74" t="str">
        <f>IF(VLOOKUP($B282,'1. 현장별 인원현황'!$C:$J,3,0)=0,"",VLOOKUP($B282,'1. 현장별 인원현황'!$C:$J,3,0))</f>
        <v>설명석</v>
      </c>
      <c r="E282" s="74" t="str">
        <f ca="1">IF(VLOOKUP($B282,'1. 현장별 인원현황'!$C:$J,4,0)=0,"",VLOOKUP($B282,'1. 현장별 인원현황'!$C:$J,4,0))</f>
        <v>30세</v>
      </c>
      <c r="F282" s="70" t="str">
        <f>IF(VLOOKUP($B282,'1. 현장별 인원현황'!$C:$J,7,0)=0,"",VLOOKUP($B282,'1. 현장별 인원현황'!$C:$J,7,0))</f>
        <v>기능공</v>
      </c>
      <c r="G282" s="72" t="str">
        <f>IF(VLOOKUP($B282,'1. 현장별 인원현황'!$C:$J,8,0)=0,"",VLOOKUP($B282,'1. 현장별 인원현황'!$C:$J,8,0))</f>
        <v>전공</v>
      </c>
      <c r="H282" s="67" t="s">
        <v>69</v>
      </c>
      <c r="I282" s="73"/>
      <c r="J282" s="73"/>
      <c r="K282" s="68"/>
      <c r="L282" s="67"/>
      <c r="M282" s="73" t="s">
        <v>69</v>
      </c>
      <c r="N282" s="73"/>
      <c r="O282" s="68"/>
      <c r="P282" s="67" t="s">
        <v>69</v>
      </c>
      <c r="Q282" s="73"/>
      <c r="R282" s="73"/>
      <c r="S282" s="68"/>
      <c r="T282" s="67"/>
      <c r="U282" s="73" t="s">
        <v>69</v>
      </c>
      <c r="V282" s="73"/>
      <c r="W282" s="68"/>
      <c r="X282" s="67" t="s">
        <v>69</v>
      </c>
      <c r="Y282" s="73"/>
      <c r="Z282" s="73"/>
      <c r="AA282" s="68"/>
      <c r="AB282" s="67" t="s">
        <v>69</v>
      </c>
      <c r="AC282" s="73"/>
      <c r="AD282" s="73"/>
      <c r="AE282" s="68"/>
      <c r="AF282" s="67"/>
      <c r="AG282" s="73" t="s">
        <v>69</v>
      </c>
      <c r="AH282" s="73"/>
      <c r="AI282" s="68"/>
      <c r="AJ282" s="67"/>
      <c r="AK282" s="73" t="s">
        <v>69</v>
      </c>
      <c r="AL282" s="73"/>
      <c r="AM282" s="68"/>
      <c r="AN282" s="67">
        <f t="shared" si="275"/>
        <v>86</v>
      </c>
      <c r="AO282" s="68" t="str">
        <f t="shared" si="276"/>
        <v>S</v>
      </c>
      <c r="AR282" s="49">
        <f t="shared" si="41"/>
        <v>1</v>
      </c>
      <c r="AS282" s="49">
        <f t="shared" si="42"/>
        <v>0</v>
      </c>
      <c r="AT282" s="49">
        <f t="shared" si="43"/>
        <v>0</v>
      </c>
      <c r="AU282" s="49">
        <f t="shared" si="44"/>
        <v>0</v>
      </c>
      <c r="AV282" s="49">
        <f t="shared" si="45"/>
        <v>0</v>
      </c>
      <c r="AW282" s="49">
        <f t="shared" si="46"/>
        <v>1</v>
      </c>
      <c r="AX282" s="49">
        <f t="shared" si="47"/>
        <v>0</v>
      </c>
      <c r="AY282" s="49">
        <f t="shared" si="48"/>
        <v>0</v>
      </c>
      <c r="AZ282" s="49">
        <f t="shared" si="49"/>
        <v>1</v>
      </c>
      <c r="BA282" s="49">
        <f t="shared" si="50"/>
        <v>0</v>
      </c>
      <c r="BB282" s="49">
        <f t="shared" si="51"/>
        <v>0</v>
      </c>
      <c r="BC282" s="49">
        <f t="shared" si="52"/>
        <v>0</v>
      </c>
      <c r="BD282" s="49">
        <f t="shared" si="53"/>
        <v>0</v>
      </c>
      <c r="BE282" s="49">
        <f t="shared" si="54"/>
        <v>1</v>
      </c>
      <c r="BF282" s="49">
        <f t="shared" si="55"/>
        <v>0</v>
      </c>
      <c r="BG282" s="49">
        <f t="shared" si="56"/>
        <v>0</v>
      </c>
      <c r="BH282" s="49">
        <f t="shared" si="57"/>
        <v>1</v>
      </c>
      <c r="BI282" s="49">
        <f t="shared" si="58"/>
        <v>0</v>
      </c>
      <c r="BJ282" s="49">
        <f t="shared" si="59"/>
        <v>0</v>
      </c>
      <c r="BK282" s="49">
        <f t="shared" si="60"/>
        <v>0</v>
      </c>
      <c r="BL282" s="49">
        <f t="shared" si="61"/>
        <v>1</v>
      </c>
      <c r="BM282" s="49">
        <f t="shared" si="62"/>
        <v>0</v>
      </c>
      <c r="BN282" s="49">
        <f t="shared" si="63"/>
        <v>0</v>
      </c>
      <c r="BO282" s="49">
        <f t="shared" si="64"/>
        <v>0</v>
      </c>
      <c r="BP282" s="49">
        <f t="shared" si="65"/>
        <v>0</v>
      </c>
      <c r="BQ282" s="49">
        <f t="shared" si="66"/>
        <v>1</v>
      </c>
      <c r="BR282" s="49">
        <f t="shared" si="67"/>
        <v>0</v>
      </c>
      <c r="BS282" s="49">
        <f t="shared" si="68"/>
        <v>0</v>
      </c>
      <c r="BT282" s="49">
        <f t="shared" si="69"/>
        <v>0</v>
      </c>
      <c r="BU282" s="49">
        <f t="shared" si="70"/>
        <v>1</v>
      </c>
      <c r="BV282" s="49">
        <f t="shared" si="71"/>
        <v>0</v>
      </c>
      <c r="BW282" s="49">
        <f t="shared" si="72"/>
        <v>0</v>
      </c>
    </row>
    <row r="283" spans="1:75" ht="35.1" customHeight="1" x14ac:dyDescent="0.3">
      <c r="A283" s="123" t="str">
        <f t="shared" si="273"/>
        <v>2팀</v>
      </c>
      <c r="B283" s="69">
        <f t="shared" si="274"/>
        <v>277</v>
      </c>
      <c r="C283" s="121" t="str">
        <f>IF(VLOOKUP($B283,'1. 현장별 인원현황'!$C:$J,2,0)=0,"",VLOOKUP($B283,'1. 현장별 인원현황'!$C:$J,2,0))</f>
        <v xml:space="preserve"> [2.한화건설] 원당1구역 재개발정비사업</v>
      </c>
      <c r="D283" s="74" t="str">
        <f>IF(VLOOKUP($B283,'1. 현장별 인원현황'!$C:$J,3,0)=0,"",VLOOKUP($B283,'1. 현장별 인원현황'!$C:$J,3,0))</f>
        <v>김희동</v>
      </c>
      <c r="E283" s="74" t="str">
        <f ca="1">IF(VLOOKUP($B283,'1. 현장별 인원현황'!$C:$J,4,0)=0,"",VLOOKUP($B283,'1. 현장별 인원현황'!$C:$J,4,0))</f>
        <v>42세</v>
      </c>
      <c r="F283" s="70" t="str">
        <f>IF(VLOOKUP($B283,'1. 현장별 인원현황'!$C:$J,7,0)=0,"",VLOOKUP($B283,'1. 현장별 인원현황'!$C:$J,7,0))</f>
        <v>공무</v>
      </c>
      <c r="G283" s="72" t="str">
        <f>IF(VLOOKUP($B283,'1. 현장별 인원현황'!$C:$J,8,0)=0,"",VLOOKUP($B283,'1. 현장별 인원현황'!$C:$J,8,0))</f>
        <v>차장</v>
      </c>
      <c r="H283" s="67"/>
      <c r="I283" s="73" t="s">
        <v>69</v>
      </c>
      <c r="J283" s="73"/>
      <c r="K283" s="68"/>
      <c r="L283" s="67"/>
      <c r="M283" s="73" t="s">
        <v>69</v>
      </c>
      <c r="N283" s="73"/>
      <c r="O283" s="68"/>
      <c r="P283" s="67"/>
      <c r="Q283" s="73" t="s">
        <v>69</v>
      </c>
      <c r="R283" s="73"/>
      <c r="S283" s="68"/>
      <c r="T283" s="67"/>
      <c r="U283" s="73" t="s">
        <v>69</v>
      </c>
      <c r="V283" s="73"/>
      <c r="W283" s="68"/>
      <c r="X283" s="67"/>
      <c r="Y283" s="73" t="s">
        <v>69</v>
      </c>
      <c r="Z283" s="73"/>
      <c r="AA283" s="68"/>
      <c r="AB283" s="67"/>
      <c r="AC283" s="73" t="s">
        <v>69</v>
      </c>
      <c r="AD283" s="73"/>
      <c r="AE283" s="68"/>
      <c r="AF283" s="67"/>
      <c r="AG283" s="73" t="s">
        <v>69</v>
      </c>
      <c r="AH283" s="73"/>
      <c r="AI283" s="68"/>
      <c r="AJ283" s="67"/>
      <c r="AK283" s="73" t="s">
        <v>69</v>
      </c>
      <c r="AL283" s="73"/>
      <c r="AM283" s="68"/>
      <c r="AN283" s="67">
        <f t="shared" si="275"/>
        <v>72</v>
      </c>
      <c r="AO283" s="68" t="str">
        <f t="shared" si="276"/>
        <v>A</v>
      </c>
      <c r="AR283" s="49">
        <f t="shared" si="41"/>
        <v>0</v>
      </c>
      <c r="AS283" s="49">
        <f t="shared" si="42"/>
        <v>1</v>
      </c>
      <c r="AT283" s="49">
        <f t="shared" si="43"/>
        <v>0</v>
      </c>
      <c r="AU283" s="49">
        <f t="shared" si="44"/>
        <v>0</v>
      </c>
      <c r="AV283" s="49">
        <f t="shared" si="45"/>
        <v>0</v>
      </c>
      <c r="AW283" s="49">
        <f t="shared" si="46"/>
        <v>1</v>
      </c>
      <c r="AX283" s="49">
        <f t="shared" si="47"/>
        <v>0</v>
      </c>
      <c r="AY283" s="49">
        <f t="shared" si="48"/>
        <v>0</v>
      </c>
      <c r="AZ283" s="49">
        <f t="shared" si="49"/>
        <v>0</v>
      </c>
      <c r="BA283" s="49">
        <f t="shared" si="50"/>
        <v>1</v>
      </c>
      <c r="BB283" s="49">
        <f t="shared" si="51"/>
        <v>0</v>
      </c>
      <c r="BC283" s="49">
        <f t="shared" si="52"/>
        <v>0</v>
      </c>
      <c r="BD283" s="49">
        <f t="shared" si="53"/>
        <v>0</v>
      </c>
      <c r="BE283" s="49">
        <f t="shared" si="54"/>
        <v>1</v>
      </c>
      <c r="BF283" s="49">
        <f t="shared" si="55"/>
        <v>0</v>
      </c>
      <c r="BG283" s="49">
        <f t="shared" si="56"/>
        <v>0</v>
      </c>
      <c r="BH283" s="49">
        <f t="shared" si="57"/>
        <v>0</v>
      </c>
      <c r="BI283" s="49">
        <f t="shared" si="58"/>
        <v>1</v>
      </c>
      <c r="BJ283" s="49">
        <f t="shared" si="59"/>
        <v>0</v>
      </c>
      <c r="BK283" s="49">
        <f t="shared" si="60"/>
        <v>0</v>
      </c>
      <c r="BL283" s="49">
        <f t="shared" si="61"/>
        <v>0</v>
      </c>
      <c r="BM283" s="49">
        <f t="shared" si="62"/>
        <v>1</v>
      </c>
      <c r="BN283" s="49">
        <f t="shared" si="63"/>
        <v>0</v>
      </c>
      <c r="BO283" s="49">
        <f t="shared" si="64"/>
        <v>0</v>
      </c>
      <c r="BP283" s="49">
        <f t="shared" si="65"/>
        <v>0</v>
      </c>
      <c r="BQ283" s="49">
        <f t="shared" si="66"/>
        <v>1</v>
      </c>
      <c r="BR283" s="49">
        <f t="shared" si="67"/>
        <v>0</v>
      </c>
      <c r="BS283" s="49">
        <f t="shared" si="68"/>
        <v>0</v>
      </c>
      <c r="BT283" s="49">
        <f t="shared" si="69"/>
        <v>0</v>
      </c>
      <c r="BU283" s="49">
        <f t="shared" si="70"/>
        <v>1</v>
      </c>
      <c r="BV283" s="49">
        <f t="shared" si="71"/>
        <v>0</v>
      </c>
      <c r="BW283" s="49">
        <f t="shared" si="72"/>
        <v>0</v>
      </c>
    </row>
    <row r="284" spans="1:75" ht="35.1" customHeight="1" x14ac:dyDescent="0.3">
      <c r="A284" s="123" t="str">
        <f t="shared" si="273"/>
        <v>2팀</v>
      </c>
      <c r="B284" s="69">
        <f t="shared" si="274"/>
        <v>278</v>
      </c>
      <c r="C284" s="121" t="str">
        <f>IF(VLOOKUP($B284,'1. 현장별 인원현황'!$C:$J,2,0)=0,"",VLOOKUP($B284,'1. 현장별 인원현황'!$C:$J,2,0))</f>
        <v xml:space="preserve"> [2.한화건설] 원당1구역 재개발정비사업</v>
      </c>
      <c r="D284" s="74" t="str">
        <f>IF(VLOOKUP($B284,'1. 현장별 인원현황'!$C:$J,3,0)=0,"",VLOOKUP($B284,'1. 현장별 인원현황'!$C:$J,3,0))</f>
        <v>김승식</v>
      </c>
      <c r="E284" s="74" t="str">
        <f ca="1">IF(VLOOKUP($B284,'1. 현장별 인원현황'!$C:$J,4,0)=0,"",VLOOKUP($B284,'1. 현장별 인원현황'!$C:$J,4,0))</f>
        <v>50세</v>
      </c>
      <c r="F284" s="70" t="str">
        <f>IF(VLOOKUP($B284,'1. 현장별 인원현황'!$C:$J,7,0)=0,"",VLOOKUP($B284,'1. 현장별 인원현황'!$C:$J,7,0))</f>
        <v>공사</v>
      </c>
      <c r="G284" s="72" t="str">
        <f>IF(VLOOKUP($B284,'1. 현장별 인원현황'!$C:$J,8,0)=0,"",VLOOKUP($B284,'1. 현장별 인원현황'!$C:$J,8,0))</f>
        <v>차장</v>
      </c>
      <c r="H284" s="67"/>
      <c r="I284" s="73" t="s">
        <v>69</v>
      </c>
      <c r="J284" s="73"/>
      <c r="K284" s="68"/>
      <c r="L284" s="67"/>
      <c r="M284" s="73" t="s">
        <v>69</v>
      </c>
      <c r="N284" s="73"/>
      <c r="O284" s="68"/>
      <c r="P284" s="67"/>
      <c r="Q284" s="73" t="s">
        <v>69</v>
      </c>
      <c r="R284" s="73"/>
      <c r="S284" s="68"/>
      <c r="T284" s="67"/>
      <c r="U284" s="73" t="s">
        <v>69</v>
      </c>
      <c r="V284" s="73"/>
      <c r="W284" s="68"/>
      <c r="X284" s="67"/>
      <c r="Y284" s="73" t="s">
        <v>69</v>
      </c>
      <c r="Z284" s="73"/>
      <c r="AA284" s="68"/>
      <c r="AB284" s="67"/>
      <c r="AC284" s="73" t="s">
        <v>69</v>
      </c>
      <c r="AD284" s="73"/>
      <c r="AE284" s="68"/>
      <c r="AF284" s="67"/>
      <c r="AG284" s="73" t="s">
        <v>69</v>
      </c>
      <c r="AH284" s="73"/>
      <c r="AI284" s="68"/>
      <c r="AJ284" s="67"/>
      <c r="AK284" s="73" t="s">
        <v>69</v>
      </c>
      <c r="AL284" s="73"/>
      <c r="AM284" s="68"/>
      <c r="AN284" s="67">
        <f t="shared" si="275"/>
        <v>72</v>
      </c>
      <c r="AO284" s="68" t="str">
        <f t="shared" si="276"/>
        <v>A</v>
      </c>
      <c r="AR284" s="49">
        <f t="shared" si="41"/>
        <v>0</v>
      </c>
      <c r="AS284" s="49">
        <f t="shared" si="42"/>
        <v>1</v>
      </c>
      <c r="AT284" s="49">
        <f t="shared" si="43"/>
        <v>0</v>
      </c>
      <c r="AU284" s="49">
        <f t="shared" si="44"/>
        <v>0</v>
      </c>
      <c r="AV284" s="49">
        <f t="shared" si="45"/>
        <v>0</v>
      </c>
      <c r="AW284" s="49">
        <f t="shared" si="46"/>
        <v>1</v>
      </c>
      <c r="AX284" s="49">
        <f t="shared" si="47"/>
        <v>0</v>
      </c>
      <c r="AY284" s="49">
        <f t="shared" si="48"/>
        <v>0</v>
      </c>
      <c r="AZ284" s="49">
        <f t="shared" si="49"/>
        <v>0</v>
      </c>
      <c r="BA284" s="49">
        <f t="shared" si="50"/>
        <v>1</v>
      </c>
      <c r="BB284" s="49">
        <f t="shared" si="51"/>
        <v>0</v>
      </c>
      <c r="BC284" s="49">
        <f t="shared" si="52"/>
        <v>0</v>
      </c>
      <c r="BD284" s="49">
        <f t="shared" si="53"/>
        <v>0</v>
      </c>
      <c r="BE284" s="49">
        <f t="shared" si="54"/>
        <v>1</v>
      </c>
      <c r="BF284" s="49">
        <f t="shared" si="55"/>
        <v>0</v>
      </c>
      <c r="BG284" s="49">
        <f t="shared" si="56"/>
        <v>0</v>
      </c>
      <c r="BH284" s="49">
        <f t="shared" si="57"/>
        <v>0</v>
      </c>
      <c r="BI284" s="49">
        <f t="shared" si="58"/>
        <v>1</v>
      </c>
      <c r="BJ284" s="49">
        <f t="shared" si="59"/>
        <v>0</v>
      </c>
      <c r="BK284" s="49">
        <f t="shared" si="60"/>
        <v>0</v>
      </c>
      <c r="BL284" s="49">
        <f t="shared" si="61"/>
        <v>0</v>
      </c>
      <c r="BM284" s="49">
        <f t="shared" si="62"/>
        <v>1</v>
      </c>
      <c r="BN284" s="49">
        <f t="shared" si="63"/>
        <v>0</v>
      </c>
      <c r="BO284" s="49">
        <f t="shared" si="64"/>
        <v>0</v>
      </c>
      <c r="BP284" s="49">
        <f t="shared" si="65"/>
        <v>0</v>
      </c>
      <c r="BQ284" s="49">
        <f t="shared" si="66"/>
        <v>1</v>
      </c>
      <c r="BR284" s="49">
        <f t="shared" si="67"/>
        <v>0</v>
      </c>
      <c r="BS284" s="49">
        <f t="shared" si="68"/>
        <v>0</v>
      </c>
      <c r="BT284" s="49">
        <f t="shared" si="69"/>
        <v>0</v>
      </c>
      <c r="BU284" s="49">
        <f t="shared" si="70"/>
        <v>1</v>
      </c>
      <c r="BV284" s="49">
        <f t="shared" si="71"/>
        <v>0</v>
      </c>
      <c r="BW284" s="49">
        <f t="shared" si="72"/>
        <v>0</v>
      </c>
    </row>
    <row r="285" spans="1:75" ht="35.1" customHeight="1" x14ac:dyDescent="0.3">
      <c r="A285" s="123" t="str">
        <f t="shared" si="273"/>
        <v>2팀</v>
      </c>
      <c r="B285" s="69">
        <f t="shared" si="274"/>
        <v>279</v>
      </c>
      <c r="C285" s="121" t="str">
        <f>IF(VLOOKUP($B285,'1. 현장별 인원현황'!$C:$J,2,0)=0,"",VLOOKUP($B285,'1. 현장별 인원현황'!$C:$J,2,0))</f>
        <v xml:space="preserve"> [2.한화건설] 원당1구역 재개발정비사업</v>
      </c>
      <c r="D285" s="74" t="str">
        <f>IF(VLOOKUP($B285,'1. 현장별 인원현황'!$C:$J,3,0)=0,"",VLOOKUP($B285,'1. 현장별 인원현황'!$C:$J,3,0))</f>
        <v>이현규</v>
      </c>
      <c r="E285" s="74" t="str">
        <f ca="1">IF(VLOOKUP($B285,'1. 현장별 인원현황'!$C:$J,4,0)=0,"",VLOOKUP($B285,'1. 현장별 인원현황'!$C:$J,4,0))</f>
        <v>52세</v>
      </c>
      <c r="F285" s="70" t="str">
        <f>IF(VLOOKUP($B285,'1. 현장별 인원현황'!$C:$J,7,0)=0,"",VLOOKUP($B285,'1. 현장별 인원현황'!$C:$J,7,0))</f>
        <v>기능공</v>
      </c>
      <c r="G285" s="72" t="str">
        <f>IF(VLOOKUP($B285,'1. 현장별 인원현황'!$C:$J,8,0)=0,"",VLOOKUP($B285,'1. 현장별 인원현황'!$C:$J,8,0))</f>
        <v>전공</v>
      </c>
      <c r="H285" s="67"/>
      <c r="I285" s="73" t="s">
        <v>69</v>
      </c>
      <c r="J285" s="73"/>
      <c r="K285" s="68"/>
      <c r="L285" s="67"/>
      <c r="M285" s="73" t="s">
        <v>69</v>
      </c>
      <c r="N285" s="73"/>
      <c r="O285" s="68"/>
      <c r="P285" s="67"/>
      <c r="Q285" s="73" t="s">
        <v>69</v>
      </c>
      <c r="R285" s="73"/>
      <c r="S285" s="68"/>
      <c r="T285" s="67"/>
      <c r="U285" s="73" t="s">
        <v>69</v>
      </c>
      <c r="V285" s="73"/>
      <c r="W285" s="68"/>
      <c r="X285" s="67"/>
      <c r="Y285" s="73" t="s">
        <v>69</v>
      </c>
      <c r="Z285" s="73"/>
      <c r="AA285" s="68"/>
      <c r="AB285" s="67"/>
      <c r="AC285" s="73" t="s">
        <v>69</v>
      </c>
      <c r="AD285" s="73"/>
      <c r="AE285" s="68"/>
      <c r="AF285" s="67"/>
      <c r="AG285" s="73" t="s">
        <v>69</v>
      </c>
      <c r="AH285" s="73"/>
      <c r="AI285" s="68"/>
      <c r="AJ285" s="67"/>
      <c r="AK285" s="73" t="s">
        <v>69</v>
      </c>
      <c r="AL285" s="73"/>
      <c r="AM285" s="68"/>
      <c r="AN285" s="67">
        <f t="shared" si="275"/>
        <v>72</v>
      </c>
      <c r="AO285" s="68" t="str">
        <f t="shared" si="276"/>
        <v>A</v>
      </c>
      <c r="AR285" s="49">
        <f t="shared" si="41"/>
        <v>0</v>
      </c>
      <c r="AS285" s="49">
        <f t="shared" si="42"/>
        <v>1</v>
      </c>
      <c r="AT285" s="49">
        <f t="shared" si="43"/>
        <v>0</v>
      </c>
      <c r="AU285" s="49">
        <f t="shared" si="44"/>
        <v>0</v>
      </c>
      <c r="AV285" s="49">
        <f t="shared" si="45"/>
        <v>0</v>
      </c>
      <c r="AW285" s="49">
        <f t="shared" si="46"/>
        <v>1</v>
      </c>
      <c r="AX285" s="49">
        <f t="shared" si="47"/>
        <v>0</v>
      </c>
      <c r="AY285" s="49">
        <f t="shared" si="48"/>
        <v>0</v>
      </c>
      <c r="AZ285" s="49">
        <f t="shared" si="49"/>
        <v>0</v>
      </c>
      <c r="BA285" s="49">
        <f t="shared" si="50"/>
        <v>1</v>
      </c>
      <c r="BB285" s="49">
        <f t="shared" si="51"/>
        <v>0</v>
      </c>
      <c r="BC285" s="49">
        <f t="shared" si="52"/>
        <v>0</v>
      </c>
      <c r="BD285" s="49">
        <f t="shared" si="53"/>
        <v>0</v>
      </c>
      <c r="BE285" s="49">
        <f t="shared" si="54"/>
        <v>1</v>
      </c>
      <c r="BF285" s="49">
        <f t="shared" si="55"/>
        <v>0</v>
      </c>
      <c r="BG285" s="49">
        <f t="shared" si="56"/>
        <v>0</v>
      </c>
      <c r="BH285" s="49">
        <f t="shared" si="57"/>
        <v>0</v>
      </c>
      <c r="BI285" s="49">
        <f t="shared" si="58"/>
        <v>1</v>
      </c>
      <c r="BJ285" s="49">
        <f t="shared" si="59"/>
        <v>0</v>
      </c>
      <c r="BK285" s="49">
        <f t="shared" si="60"/>
        <v>0</v>
      </c>
      <c r="BL285" s="49">
        <f t="shared" si="61"/>
        <v>0</v>
      </c>
      <c r="BM285" s="49">
        <f t="shared" si="62"/>
        <v>1</v>
      </c>
      <c r="BN285" s="49">
        <f t="shared" si="63"/>
        <v>0</v>
      </c>
      <c r="BO285" s="49">
        <f t="shared" si="64"/>
        <v>0</v>
      </c>
      <c r="BP285" s="49">
        <f t="shared" si="65"/>
        <v>0</v>
      </c>
      <c r="BQ285" s="49">
        <f t="shared" si="66"/>
        <v>1</v>
      </c>
      <c r="BR285" s="49">
        <f t="shared" si="67"/>
        <v>0</v>
      </c>
      <c r="BS285" s="49">
        <f t="shared" si="68"/>
        <v>0</v>
      </c>
      <c r="BT285" s="49">
        <f t="shared" si="69"/>
        <v>0</v>
      </c>
      <c r="BU285" s="49">
        <f t="shared" si="70"/>
        <v>1</v>
      </c>
      <c r="BV285" s="49">
        <f t="shared" si="71"/>
        <v>0</v>
      </c>
      <c r="BW285" s="49">
        <f t="shared" si="72"/>
        <v>0</v>
      </c>
    </row>
    <row r="286" spans="1:75" ht="35.1" customHeight="1" x14ac:dyDescent="0.3">
      <c r="A286" s="123" t="str">
        <f t="shared" si="273"/>
        <v>2팀</v>
      </c>
      <c r="B286" s="69">
        <f t="shared" si="274"/>
        <v>280</v>
      </c>
      <c r="C286" s="121" t="str">
        <f>IF(VLOOKUP($B286,'1. 현장별 인원현황'!$C:$J,2,0)=0,"",VLOOKUP($B286,'1. 현장별 인원현황'!$C:$J,2,0))</f>
        <v xml:space="preserve"> [2.한화건설] 원당1구역 재개발정비사업</v>
      </c>
      <c r="D286" s="74" t="str">
        <f>IF(VLOOKUP($B286,'1. 현장별 인원현황'!$C:$J,3,0)=0,"",VLOOKUP($B286,'1. 현장별 인원현황'!$C:$J,3,0))</f>
        <v>김정규</v>
      </c>
      <c r="E286" s="74" t="str">
        <f ca="1">IF(VLOOKUP($B286,'1. 현장별 인원현황'!$C:$J,4,0)=0,"",VLOOKUP($B286,'1. 현장별 인원현황'!$C:$J,4,0))</f>
        <v>35세</v>
      </c>
      <c r="F286" s="70" t="str">
        <f>IF(VLOOKUP($B286,'1. 현장별 인원현황'!$C:$J,7,0)=0,"",VLOOKUP($B286,'1. 현장별 인원현황'!$C:$J,7,0))</f>
        <v>기능공</v>
      </c>
      <c r="G286" s="72" t="str">
        <f>IF(VLOOKUP($B286,'1. 현장별 인원현황'!$C:$J,8,0)=0,"",VLOOKUP($B286,'1. 현장별 인원현황'!$C:$J,8,0))</f>
        <v>전공</v>
      </c>
      <c r="H286" s="67"/>
      <c r="I286" s="73" t="s">
        <v>69</v>
      </c>
      <c r="J286" s="73"/>
      <c r="K286" s="68"/>
      <c r="L286" s="67"/>
      <c r="M286" s="73" t="s">
        <v>69</v>
      </c>
      <c r="N286" s="73"/>
      <c r="O286" s="68"/>
      <c r="P286" s="67"/>
      <c r="Q286" s="73" t="s">
        <v>69</v>
      </c>
      <c r="R286" s="73"/>
      <c r="S286" s="68"/>
      <c r="T286" s="67"/>
      <c r="U286" s="73" t="s">
        <v>69</v>
      </c>
      <c r="V286" s="73"/>
      <c r="W286" s="68"/>
      <c r="X286" s="67"/>
      <c r="Y286" s="73" t="s">
        <v>69</v>
      </c>
      <c r="Z286" s="73"/>
      <c r="AA286" s="68"/>
      <c r="AB286" s="67"/>
      <c r="AC286" s="73" t="s">
        <v>69</v>
      </c>
      <c r="AD286" s="73"/>
      <c r="AE286" s="68"/>
      <c r="AF286" s="67"/>
      <c r="AG286" s="73" t="s">
        <v>69</v>
      </c>
      <c r="AH286" s="73"/>
      <c r="AI286" s="68"/>
      <c r="AJ286" s="67"/>
      <c r="AK286" s="73" t="s">
        <v>69</v>
      </c>
      <c r="AL286" s="73"/>
      <c r="AM286" s="68"/>
      <c r="AN286" s="67">
        <f t="shared" si="275"/>
        <v>72</v>
      </c>
      <c r="AO286" s="68" t="str">
        <f t="shared" si="276"/>
        <v>A</v>
      </c>
      <c r="AR286" s="49">
        <f t="shared" si="41"/>
        <v>0</v>
      </c>
      <c r="AS286" s="49">
        <f t="shared" si="42"/>
        <v>1</v>
      </c>
      <c r="AT286" s="49">
        <f t="shared" si="43"/>
        <v>0</v>
      </c>
      <c r="AU286" s="49">
        <f t="shared" si="44"/>
        <v>0</v>
      </c>
      <c r="AV286" s="49">
        <f t="shared" si="45"/>
        <v>0</v>
      </c>
      <c r="AW286" s="49">
        <f t="shared" si="46"/>
        <v>1</v>
      </c>
      <c r="AX286" s="49">
        <f t="shared" si="47"/>
        <v>0</v>
      </c>
      <c r="AY286" s="49">
        <f t="shared" si="48"/>
        <v>0</v>
      </c>
      <c r="AZ286" s="49">
        <f t="shared" si="49"/>
        <v>0</v>
      </c>
      <c r="BA286" s="49">
        <f t="shared" si="50"/>
        <v>1</v>
      </c>
      <c r="BB286" s="49">
        <f t="shared" si="51"/>
        <v>0</v>
      </c>
      <c r="BC286" s="49">
        <f t="shared" si="52"/>
        <v>0</v>
      </c>
      <c r="BD286" s="49">
        <f t="shared" si="53"/>
        <v>0</v>
      </c>
      <c r="BE286" s="49">
        <f t="shared" si="54"/>
        <v>1</v>
      </c>
      <c r="BF286" s="49">
        <f t="shared" si="55"/>
        <v>0</v>
      </c>
      <c r="BG286" s="49">
        <f t="shared" si="56"/>
        <v>0</v>
      </c>
      <c r="BH286" s="49">
        <f t="shared" si="57"/>
        <v>0</v>
      </c>
      <c r="BI286" s="49">
        <f t="shared" si="58"/>
        <v>1</v>
      </c>
      <c r="BJ286" s="49">
        <f t="shared" si="59"/>
        <v>0</v>
      </c>
      <c r="BK286" s="49">
        <f t="shared" si="60"/>
        <v>0</v>
      </c>
      <c r="BL286" s="49">
        <f t="shared" si="61"/>
        <v>0</v>
      </c>
      <c r="BM286" s="49">
        <f t="shared" si="62"/>
        <v>1</v>
      </c>
      <c r="BN286" s="49">
        <f t="shared" si="63"/>
        <v>0</v>
      </c>
      <c r="BO286" s="49">
        <f t="shared" si="64"/>
        <v>0</v>
      </c>
      <c r="BP286" s="49">
        <f t="shared" si="65"/>
        <v>0</v>
      </c>
      <c r="BQ286" s="49">
        <f t="shared" si="66"/>
        <v>1</v>
      </c>
      <c r="BR286" s="49">
        <f t="shared" si="67"/>
        <v>0</v>
      </c>
      <c r="BS286" s="49">
        <f t="shared" si="68"/>
        <v>0</v>
      </c>
      <c r="BT286" s="49">
        <f t="shared" si="69"/>
        <v>0</v>
      </c>
      <c r="BU286" s="49">
        <f t="shared" si="70"/>
        <v>1</v>
      </c>
      <c r="BV286" s="49">
        <f t="shared" si="71"/>
        <v>0</v>
      </c>
      <c r="BW286" s="49">
        <f t="shared" si="72"/>
        <v>0</v>
      </c>
    </row>
    <row r="287" spans="1:75" ht="35.1" customHeight="1" x14ac:dyDescent="0.3">
      <c r="A287" s="123" t="str">
        <f t="shared" si="273"/>
        <v>2팀</v>
      </c>
      <c r="B287" s="69">
        <f t="shared" si="274"/>
        <v>281</v>
      </c>
      <c r="C287" s="121" t="str">
        <f>IF(VLOOKUP($B287,'1. 현장별 인원현황'!$C:$J,2,0)=0,"",VLOOKUP($B287,'1. 현장별 인원현황'!$C:$J,2,0))</f>
        <v xml:space="preserve"> [2.한화건설] 원당1구역 재개발정비사업</v>
      </c>
      <c r="D287" s="74" t="str">
        <f>IF(VLOOKUP($B287,'1. 현장별 인원현황'!$C:$J,3,0)=0,"",VLOOKUP($B287,'1. 현장별 인원현황'!$C:$J,3,0))</f>
        <v>노홍래</v>
      </c>
      <c r="E287" s="74" t="str">
        <f ca="1">IF(VLOOKUP($B287,'1. 현장별 인원현황'!$C:$J,4,0)=0,"",VLOOKUP($B287,'1. 현장별 인원현황'!$C:$J,4,0))</f>
        <v>55세</v>
      </c>
      <c r="F287" s="70" t="str">
        <f>IF(VLOOKUP($B287,'1. 현장별 인원현황'!$C:$J,7,0)=0,"",VLOOKUP($B287,'1. 현장별 인원현황'!$C:$J,7,0))</f>
        <v>기능공</v>
      </c>
      <c r="G287" s="72" t="str">
        <f>IF(VLOOKUP($B287,'1. 현장별 인원현황'!$C:$J,8,0)=0,"",VLOOKUP($B287,'1. 현장별 인원현황'!$C:$J,8,0))</f>
        <v>전공</v>
      </c>
      <c r="H287" s="67"/>
      <c r="I287" s="73" t="s">
        <v>69</v>
      </c>
      <c r="J287" s="73"/>
      <c r="K287" s="68"/>
      <c r="L287" s="67"/>
      <c r="M287" s="73" t="s">
        <v>69</v>
      </c>
      <c r="N287" s="73"/>
      <c r="O287" s="68"/>
      <c r="P287" s="67"/>
      <c r="Q287" s="73" t="s">
        <v>69</v>
      </c>
      <c r="R287" s="73"/>
      <c r="S287" s="68"/>
      <c r="T287" s="67"/>
      <c r="U287" s="73" t="s">
        <v>69</v>
      </c>
      <c r="V287" s="73"/>
      <c r="W287" s="68"/>
      <c r="X287" s="67"/>
      <c r="Y287" s="73" t="s">
        <v>69</v>
      </c>
      <c r="Z287" s="73"/>
      <c r="AA287" s="68"/>
      <c r="AB287" s="67"/>
      <c r="AC287" s="73" t="s">
        <v>69</v>
      </c>
      <c r="AD287" s="73"/>
      <c r="AE287" s="68"/>
      <c r="AF287" s="67"/>
      <c r="AG287" s="73" t="s">
        <v>69</v>
      </c>
      <c r="AH287" s="73"/>
      <c r="AI287" s="68"/>
      <c r="AJ287" s="67"/>
      <c r="AK287" s="73" t="s">
        <v>69</v>
      </c>
      <c r="AL287" s="73"/>
      <c r="AM287" s="68"/>
      <c r="AN287" s="67">
        <f t="shared" si="275"/>
        <v>72</v>
      </c>
      <c r="AO287" s="68" t="str">
        <f t="shared" si="276"/>
        <v>A</v>
      </c>
      <c r="AR287" s="49">
        <f t="shared" si="41"/>
        <v>0</v>
      </c>
      <c r="AS287" s="49">
        <f t="shared" si="42"/>
        <v>1</v>
      </c>
      <c r="AT287" s="49">
        <f t="shared" si="43"/>
        <v>0</v>
      </c>
      <c r="AU287" s="49">
        <f t="shared" si="44"/>
        <v>0</v>
      </c>
      <c r="AV287" s="49">
        <f t="shared" si="45"/>
        <v>0</v>
      </c>
      <c r="AW287" s="49">
        <f t="shared" si="46"/>
        <v>1</v>
      </c>
      <c r="AX287" s="49">
        <f t="shared" si="47"/>
        <v>0</v>
      </c>
      <c r="AY287" s="49">
        <f t="shared" si="48"/>
        <v>0</v>
      </c>
      <c r="AZ287" s="49">
        <f t="shared" si="49"/>
        <v>0</v>
      </c>
      <c r="BA287" s="49">
        <f t="shared" si="50"/>
        <v>1</v>
      </c>
      <c r="BB287" s="49">
        <f t="shared" si="51"/>
        <v>0</v>
      </c>
      <c r="BC287" s="49">
        <f t="shared" si="52"/>
        <v>0</v>
      </c>
      <c r="BD287" s="49">
        <f t="shared" si="53"/>
        <v>0</v>
      </c>
      <c r="BE287" s="49">
        <f t="shared" si="54"/>
        <v>1</v>
      </c>
      <c r="BF287" s="49">
        <f t="shared" si="55"/>
        <v>0</v>
      </c>
      <c r="BG287" s="49">
        <f t="shared" si="56"/>
        <v>0</v>
      </c>
      <c r="BH287" s="49">
        <f t="shared" si="57"/>
        <v>0</v>
      </c>
      <c r="BI287" s="49">
        <f t="shared" si="58"/>
        <v>1</v>
      </c>
      <c r="BJ287" s="49">
        <f t="shared" si="59"/>
        <v>0</v>
      </c>
      <c r="BK287" s="49">
        <f t="shared" si="60"/>
        <v>0</v>
      </c>
      <c r="BL287" s="49">
        <f t="shared" si="61"/>
        <v>0</v>
      </c>
      <c r="BM287" s="49">
        <f t="shared" si="62"/>
        <v>1</v>
      </c>
      <c r="BN287" s="49">
        <f t="shared" si="63"/>
        <v>0</v>
      </c>
      <c r="BO287" s="49">
        <f t="shared" si="64"/>
        <v>0</v>
      </c>
      <c r="BP287" s="49">
        <f t="shared" si="65"/>
        <v>0</v>
      </c>
      <c r="BQ287" s="49">
        <f t="shared" si="66"/>
        <v>1</v>
      </c>
      <c r="BR287" s="49">
        <f t="shared" si="67"/>
        <v>0</v>
      </c>
      <c r="BS287" s="49">
        <f t="shared" si="68"/>
        <v>0</v>
      </c>
      <c r="BT287" s="49">
        <f t="shared" si="69"/>
        <v>0</v>
      </c>
      <c r="BU287" s="49">
        <f t="shared" si="70"/>
        <v>1</v>
      </c>
      <c r="BV287" s="49">
        <f t="shared" si="71"/>
        <v>0</v>
      </c>
      <c r="BW287" s="49">
        <f t="shared" si="72"/>
        <v>0</v>
      </c>
    </row>
    <row r="288" spans="1:75" ht="35.1" customHeight="1" x14ac:dyDescent="0.3">
      <c r="A288" s="123" t="str">
        <f t="shared" si="273"/>
        <v>2팀</v>
      </c>
      <c r="B288" s="69">
        <f t="shared" si="274"/>
        <v>282</v>
      </c>
      <c r="C288" s="121" t="str">
        <f>IF(VLOOKUP($B288,'1. 현장별 인원현황'!$C:$J,2,0)=0,"",VLOOKUP($B288,'1. 현장별 인원현황'!$C:$J,2,0))</f>
        <v xml:space="preserve"> [2.한화건설] 원당1구역 재개발정비사업</v>
      </c>
      <c r="D288" s="74" t="str">
        <f>IF(VLOOKUP($B288,'1. 현장별 인원현황'!$C:$J,3,0)=0,"",VLOOKUP($B288,'1. 현장별 인원현황'!$C:$J,3,0))</f>
        <v>이광승</v>
      </c>
      <c r="E288" s="74" t="str">
        <f ca="1">IF(VLOOKUP($B288,'1. 현장별 인원현황'!$C:$J,4,0)=0,"",VLOOKUP($B288,'1. 현장별 인원현황'!$C:$J,4,0))</f>
        <v>60세</v>
      </c>
      <c r="F288" s="70" t="str">
        <f>IF(VLOOKUP($B288,'1. 현장별 인원현황'!$C:$J,7,0)=0,"",VLOOKUP($B288,'1. 현장별 인원현황'!$C:$J,7,0))</f>
        <v>기능공</v>
      </c>
      <c r="G288" s="72" t="str">
        <f>IF(VLOOKUP($B288,'1. 현장별 인원현황'!$C:$J,8,0)=0,"",VLOOKUP($B288,'1. 현장별 인원현황'!$C:$J,8,0))</f>
        <v>전공</v>
      </c>
      <c r="H288" s="67"/>
      <c r="I288" s="73" t="s">
        <v>69</v>
      </c>
      <c r="J288" s="73"/>
      <c r="K288" s="68"/>
      <c r="L288" s="67"/>
      <c r="M288" s="73" t="s">
        <v>69</v>
      </c>
      <c r="N288" s="73"/>
      <c r="O288" s="68"/>
      <c r="P288" s="67"/>
      <c r="Q288" s="73" t="s">
        <v>69</v>
      </c>
      <c r="R288" s="73"/>
      <c r="S288" s="68"/>
      <c r="T288" s="67"/>
      <c r="U288" s="73" t="s">
        <v>69</v>
      </c>
      <c r="V288" s="73"/>
      <c r="W288" s="68"/>
      <c r="X288" s="67"/>
      <c r="Y288" s="73" t="s">
        <v>69</v>
      </c>
      <c r="Z288" s="73"/>
      <c r="AA288" s="68"/>
      <c r="AB288" s="67"/>
      <c r="AC288" s="73" t="s">
        <v>69</v>
      </c>
      <c r="AD288" s="73"/>
      <c r="AE288" s="68"/>
      <c r="AF288" s="67"/>
      <c r="AG288" s="73" t="s">
        <v>69</v>
      </c>
      <c r="AH288" s="73"/>
      <c r="AI288" s="68"/>
      <c r="AJ288" s="67"/>
      <c r="AK288" s="73" t="s">
        <v>69</v>
      </c>
      <c r="AL288" s="73"/>
      <c r="AM288" s="68"/>
      <c r="AN288" s="67">
        <f t="shared" si="275"/>
        <v>72</v>
      </c>
      <c r="AO288" s="68" t="str">
        <f t="shared" si="276"/>
        <v>A</v>
      </c>
      <c r="AR288" s="49">
        <f t="shared" si="41"/>
        <v>0</v>
      </c>
      <c r="AS288" s="49">
        <f t="shared" si="42"/>
        <v>1</v>
      </c>
      <c r="AT288" s="49">
        <f t="shared" si="43"/>
        <v>0</v>
      </c>
      <c r="AU288" s="49">
        <f t="shared" si="44"/>
        <v>0</v>
      </c>
      <c r="AV288" s="49">
        <f t="shared" si="45"/>
        <v>0</v>
      </c>
      <c r="AW288" s="49">
        <f t="shared" si="46"/>
        <v>1</v>
      </c>
      <c r="AX288" s="49">
        <f t="shared" si="47"/>
        <v>0</v>
      </c>
      <c r="AY288" s="49">
        <f t="shared" si="48"/>
        <v>0</v>
      </c>
      <c r="AZ288" s="49">
        <f t="shared" si="49"/>
        <v>0</v>
      </c>
      <c r="BA288" s="49">
        <f t="shared" si="50"/>
        <v>1</v>
      </c>
      <c r="BB288" s="49">
        <f t="shared" si="51"/>
        <v>0</v>
      </c>
      <c r="BC288" s="49">
        <f t="shared" si="52"/>
        <v>0</v>
      </c>
      <c r="BD288" s="49">
        <f t="shared" si="53"/>
        <v>0</v>
      </c>
      <c r="BE288" s="49">
        <f t="shared" si="54"/>
        <v>1</v>
      </c>
      <c r="BF288" s="49">
        <f t="shared" si="55"/>
        <v>0</v>
      </c>
      <c r="BG288" s="49">
        <f t="shared" si="56"/>
        <v>0</v>
      </c>
      <c r="BH288" s="49">
        <f t="shared" si="57"/>
        <v>0</v>
      </c>
      <c r="BI288" s="49">
        <f t="shared" si="58"/>
        <v>1</v>
      </c>
      <c r="BJ288" s="49">
        <f t="shared" si="59"/>
        <v>0</v>
      </c>
      <c r="BK288" s="49">
        <f t="shared" si="60"/>
        <v>0</v>
      </c>
      <c r="BL288" s="49">
        <f t="shared" si="61"/>
        <v>0</v>
      </c>
      <c r="BM288" s="49">
        <f t="shared" si="62"/>
        <v>1</v>
      </c>
      <c r="BN288" s="49">
        <f t="shared" si="63"/>
        <v>0</v>
      </c>
      <c r="BO288" s="49">
        <f t="shared" si="64"/>
        <v>0</v>
      </c>
      <c r="BP288" s="49">
        <f t="shared" si="65"/>
        <v>0</v>
      </c>
      <c r="BQ288" s="49">
        <f t="shared" si="66"/>
        <v>1</v>
      </c>
      <c r="BR288" s="49">
        <f t="shared" si="67"/>
        <v>0</v>
      </c>
      <c r="BS288" s="49">
        <f t="shared" si="68"/>
        <v>0</v>
      </c>
      <c r="BT288" s="49">
        <f t="shared" si="69"/>
        <v>0</v>
      </c>
      <c r="BU288" s="49">
        <f t="shared" si="70"/>
        <v>1</v>
      </c>
      <c r="BV288" s="49">
        <f t="shared" si="71"/>
        <v>0</v>
      </c>
      <c r="BW288" s="49">
        <f t="shared" si="72"/>
        <v>0</v>
      </c>
    </row>
    <row r="289" spans="1:75" ht="35.1" customHeight="1" x14ac:dyDescent="0.3">
      <c r="A289" s="123" t="str">
        <f t="shared" si="273"/>
        <v>2팀</v>
      </c>
      <c r="B289" s="69">
        <f t="shared" si="274"/>
        <v>283</v>
      </c>
      <c r="C289" s="121" t="str">
        <f>IF(VLOOKUP($B289,'1. 현장별 인원현황'!$C:$J,2,0)=0,"",VLOOKUP($B289,'1. 현장별 인원현황'!$C:$J,2,0))</f>
        <v xml:space="preserve"> [2.현대산업개발] 광명제4R구역 주택재개발정비사업 일반전기공사-1공구</v>
      </c>
      <c r="D289" s="74" t="str">
        <f>IF(VLOOKUP($B289,'1. 현장별 인원현황'!$C:$J,3,0)=0,"",VLOOKUP($B289,'1. 현장별 인원현황'!$C:$J,3,0))</f>
        <v>김인송</v>
      </c>
      <c r="E289" s="74" t="str">
        <f ca="1">IF(VLOOKUP($B289,'1. 현장별 인원현황'!$C:$J,4,0)=0,"",VLOOKUP($B289,'1. 현장별 인원현황'!$C:$J,4,0))</f>
        <v>38세</v>
      </c>
      <c r="F289" s="70" t="str">
        <f>IF(VLOOKUP($B289,'1. 현장별 인원현황'!$C:$J,7,0)=0,"",VLOOKUP($B289,'1. 현장별 인원현황'!$C:$J,7,0))</f>
        <v>공무</v>
      </c>
      <c r="G289" s="72" t="str">
        <f>IF(VLOOKUP($B289,'1. 현장별 인원현황'!$C:$J,8,0)=0,"",VLOOKUP($B289,'1. 현장별 인원현황'!$C:$J,8,0))</f>
        <v>과장</v>
      </c>
      <c r="H289" s="67" t="s">
        <v>69</v>
      </c>
      <c r="I289" s="73"/>
      <c r="J289" s="73"/>
      <c r="K289" s="68"/>
      <c r="L289" s="67" t="s">
        <v>69</v>
      </c>
      <c r="M289" s="73"/>
      <c r="N289" s="73"/>
      <c r="O289" s="68"/>
      <c r="P289" s="67" t="s">
        <v>69</v>
      </c>
      <c r="Q289" s="73"/>
      <c r="R289" s="73"/>
      <c r="S289" s="68"/>
      <c r="T289" s="67" t="s">
        <v>69</v>
      </c>
      <c r="U289" s="73"/>
      <c r="V289" s="73"/>
      <c r="W289" s="68"/>
      <c r="X289" s="67" t="s">
        <v>69</v>
      </c>
      <c r="Y289" s="73"/>
      <c r="Z289" s="73"/>
      <c r="AA289" s="68"/>
      <c r="AB289" s="67" t="s">
        <v>69</v>
      </c>
      <c r="AC289" s="73"/>
      <c r="AD289" s="73"/>
      <c r="AE289" s="68"/>
      <c r="AF289" s="67" t="s">
        <v>69</v>
      </c>
      <c r="AG289" s="73"/>
      <c r="AH289" s="73"/>
      <c r="AI289" s="68"/>
      <c r="AJ289" s="67" t="s">
        <v>69</v>
      </c>
      <c r="AK289" s="73"/>
      <c r="AL289" s="73"/>
      <c r="AM289" s="68"/>
      <c r="AN289" s="67">
        <f t="shared" si="275"/>
        <v>100</v>
      </c>
      <c r="AO289" s="68" t="str">
        <f t="shared" si="276"/>
        <v>S</v>
      </c>
      <c r="AR289" s="49">
        <f t="shared" si="41"/>
        <v>1</v>
      </c>
      <c r="AS289" s="49">
        <f t="shared" si="42"/>
        <v>0</v>
      </c>
      <c r="AT289" s="49">
        <f t="shared" si="43"/>
        <v>0</v>
      </c>
      <c r="AU289" s="49">
        <f t="shared" si="44"/>
        <v>0</v>
      </c>
      <c r="AV289" s="49">
        <f t="shared" si="45"/>
        <v>1</v>
      </c>
      <c r="AW289" s="49">
        <f t="shared" si="46"/>
        <v>0</v>
      </c>
      <c r="AX289" s="49">
        <f t="shared" si="47"/>
        <v>0</v>
      </c>
      <c r="AY289" s="49">
        <f t="shared" si="48"/>
        <v>0</v>
      </c>
      <c r="AZ289" s="49">
        <f t="shared" si="49"/>
        <v>1</v>
      </c>
      <c r="BA289" s="49">
        <f t="shared" si="50"/>
        <v>0</v>
      </c>
      <c r="BB289" s="49">
        <f t="shared" si="51"/>
        <v>0</v>
      </c>
      <c r="BC289" s="49">
        <f t="shared" si="52"/>
        <v>0</v>
      </c>
      <c r="BD289" s="49">
        <f t="shared" si="53"/>
        <v>1</v>
      </c>
      <c r="BE289" s="49">
        <f t="shared" si="54"/>
        <v>0</v>
      </c>
      <c r="BF289" s="49">
        <f t="shared" si="55"/>
        <v>0</v>
      </c>
      <c r="BG289" s="49">
        <f t="shared" si="56"/>
        <v>0</v>
      </c>
      <c r="BH289" s="49">
        <f t="shared" si="57"/>
        <v>1</v>
      </c>
      <c r="BI289" s="49">
        <f t="shared" si="58"/>
        <v>0</v>
      </c>
      <c r="BJ289" s="49">
        <f t="shared" si="59"/>
        <v>0</v>
      </c>
      <c r="BK289" s="49">
        <f t="shared" si="60"/>
        <v>0</v>
      </c>
      <c r="BL289" s="49">
        <f t="shared" si="61"/>
        <v>1</v>
      </c>
      <c r="BM289" s="49">
        <f t="shared" si="62"/>
        <v>0</v>
      </c>
      <c r="BN289" s="49">
        <f t="shared" si="63"/>
        <v>0</v>
      </c>
      <c r="BO289" s="49">
        <f t="shared" si="64"/>
        <v>0</v>
      </c>
      <c r="BP289" s="49">
        <f t="shared" si="65"/>
        <v>1</v>
      </c>
      <c r="BQ289" s="49">
        <f t="shared" si="66"/>
        <v>0</v>
      </c>
      <c r="BR289" s="49">
        <f t="shared" si="67"/>
        <v>0</v>
      </c>
      <c r="BS289" s="49">
        <f t="shared" si="68"/>
        <v>0</v>
      </c>
      <c r="BT289" s="49">
        <f t="shared" si="69"/>
        <v>1</v>
      </c>
      <c r="BU289" s="49">
        <f t="shared" si="70"/>
        <v>0</v>
      </c>
      <c r="BV289" s="49">
        <f t="shared" si="71"/>
        <v>0</v>
      </c>
      <c r="BW289" s="49">
        <f t="shared" si="72"/>
        <v>0</v>
      </c>
    </row>
    <row r="290" spans="1:75" ht="35.1" customHeight="1" x14ac:dyDescent="0.3">
      <c r="A290" s="123" t="str">
        <f t="shared" si="273"/>
        <v>2팀</v>
      </c>
      <c r="B290" s="69">
        <f t="shared" si="274"/>
        <v>284</v>
      </c>
      <c r="C290" s="121" t="str">
        <f>IF(VLOOKUP($B290,'1. 현장별 인원현황'!$C:$J,2,0)=0,"",VLOOKUP($B290,'1. 현장별 인원현황'!$C:$J,2,0))</f>
        <v xml:space="preserve"> [2.현대산업개발] 광명제4R구역 주택재개발정비사업 일반전기공사-1공구</v>
      </c>
      <c r="D290" s="74" t="str">
        <f>IF(VLOOKUP($B290,'1. 현장별 인원현황'!$C:$J,3,0)=0,"",VLOOKUP($B290,'1. 현장별 인원현황'!$C:$J,3,0))</f>
        <v>임채준</v>
      </c>
      <c r="E290" s="74" t="str">
        <f ca="1">IF(VLOOKUP($B290,'1. 현장별 인원현황'!$C:$J,4,0)=0,"",VLOOKUP($B290,'1. 현장별 인원현황'!$C:$J,4,0))</f>
        <v>53세</v>
      </c>
      <c r="F290" s="70" t="str">
        <f>IF(VLOOKUP($B290,'1. 현장별 인원현황'!$C:$J,7,0)=0,"",VLOOKUP($B290,'1. 현장별 인원현황'!$C:$J,7,0))</f>
        <v>공사</v>
      </c>
      <c r="G290" s="72" t="str">
        <f>IF(VLOOKUP($B290,'1. 현장별 인원현황'!$C:$J,8,0)=0,"",VLOOKUP($B290,'1. 현장별 인원현황'!$C:$J,8,0))</f>
        <v>차장</v>
      </c>
      <c r="H290" s="67" t="s">
        <v>69</v>
      </c>
      <c r="I290" s="73"/>
      <c r="J290" s="73"/>
      <c r="K290" s="68"/>
      <c r="L290" s="67" t="s">
        <v>69</v>
      </c>
      <c r="M290" s="73"/>
      <c r="N290" s="73"/>
      <c r="O290" s="68"/>
      <c r="P290" s="67" t="s">
        <v>69</v>
      </c>
      <c r="Q290" s="73"/>
      <c r="R290" s="73"/>
      <c r="S290" s="68"/>
      <c r="T290" s="67" t="s">
        <v>69</v>
      </c>
      <c r="U290" s="73"/>
      <c r="V290" s="73"/>
      <c r="W290" s="68"/>
      <c r="X290" s="67" t="s">
        <v>69</v>
      </c>
      <c r="Y290" s="73"/>
      <c r="Z290" s="73"/>
      <c r="AA290" s="68"/>
      <c r="AB290" s="67" t="s">
        <v>69</v>
      </c>
      <c r="AC290" s="73"/>
      <c r="AD290" s="73"/>
      <c r="AE290" s="68"/>
      <c r="AF290" s="67" t="s">
        <v>69</v>
      </c>
      <c r="AG290" s="73"/>
      <c r="AH290" s="73"/>
      <c r="AI290" s="68"/>
      <c r="AJ290" s="67" t="s">
        <v>69</v>
      </c>
      <c r="AK290" s="73"/>
      <c r="AL290" s="73"/>
      <c r="AM290" s="68"/>
      <c r="AN290" s="67">
        <f t="shared" si="275"/>
        <v>100</v>
      </c>
      <c r="AO290" s="68" t="str">
        <f t="shared" si="276"/>
        <v>S</v>
      </c>
      <c r="AR290" s="49">
        <f t="shared" si="41"/>
        <v>1</v>
      </c>
      <c r="AS290" s="49">
        <f t="shared" si="42"/>
        <v>0</v>
      </c>
      <c r="AT290" s="49">
        <f t="shared" si="43"/>
        <v>0</v>
      </c>
      <c r="AU290" s="49">
        <f t="shared" si="44"/>
        <v>0</v>
      </c>
      <c r="AV290" s="49">
        <f t="shared" si="45"/>
        <v>1</v>
      </c>
      <c r="AW290" s="49">
        <f t="shared" si="46"/>
        <v>0</v>
      </c>
      <c r="AX290" s="49">
        <f t="shared" si="47"/>
        <v>0</v>
      </c>
      <c r="AY290" s="49">
        <f t="shared" si="48"/>
        <v>0</v>
      </c>
      <c r="AZ290" s="49">
        <f t="shared" si="49"/>
        <v>1</v>
      </c>
      <c r="BA290" s="49">
        <f t="shared" si="50"/>
        <v>0</v>
      </c>
      <c r="BB290" s="49">
        <f t="shared" si="51"/>
        <v>0</v>
      </c>
      <c r="BC290" s="49">
        <f t="shared" si="52"/>
        <v>0</v>
      </c>
      <c r="BD290" s="49">
        <f t="shared" si="53"/>
        <v>1</v>
      </c>
      <c r="BE290" s="49">
        <f t="shared" si="54"/>
        <v>0</v>
      </c>
      <c r="BF290" s="49">
        <f t="shared" si="55"/>
        <v>0</v>
      </c>
      <c r="BG290" s="49">
        <f t="shared" si="56"/>
        <v>0</v>
      </c>
      <c r="BH290" s="49">
        <f t="shared" si="57"/>
        <v>1</v>
      </c>
      <c r="BI290" s="49">
        <f t="shared" si="58"/>
        <v>0</v>
      </c>
      <c r="BJ290" s="49">
        <f t="shared" si="59"/>
        <v>0</v>
      </c>
      <c r="BK290" s="49">
        <f t="shared" si="60"/>
        <v>0</v>
      </c>
      <c r="BL290" s="49">
        <f t="shared" si="61"/>
        <v>1</v>
      </c>
      <c r="BM290" s="49">
        <f t="shared" si="62"/>
        <v>0</v>
      </c>
      <c r="BN290" s="49">
        <f t="shared" si="63"/>
        <v>0</v>
      </c>
      <c r="BO290" s="49">
        <f t="shared" si="64"/>
        <v>0</v>
      </c>
      <c r="BP290" s="49">
        <f t="shared" si="65"/>
        <v>1</v>
      </c>
      <c r="BQ290" s="49">
        <f t="shared" si="66"/>
        <v>0</v>
      </c>
      <c r="BR290" s="49">
        <f t="shared" si="67"/>
        <v>0</v>
      </c>
      <c r="BS290" s="49">
        <f t="shared" si="68"/>
        <v>0</v>
      </c>
      <c r="BT290" s="49">
        <f t="shared" si="69"/>
        <v>1</v>
      </c>
      <c r="BU290" s="49">
        <f t="shared" si="70"/>
        <v>0</v>
      </c>
      <c r="BV290" s="49">
        <f t="shared" si="71"/>
        <v>0</v>
      </c>
      <c r="BW290" s="49">
        <f t="shared" si="72"/>
        <v>0</v>
      </c>
    </row>
    <row r="291" spans="1:75" ht="35.1" customHeight="1" x14ac:dyDescent="0.3">
      <c r="A291" s="123" t="str">
        <f t="shared" si="273"/>
        <v>2팀</v>
      </c>
      <c r="B291" s="69">
        <f t="shared" si="274"/>
        <v>285</v>
      </c>
      <c r="C291" s="121" t="str">
        <f>IF(VLOOKUP($B291,'1. 현장별 인원현황'!$C:$J,2,0)=0,"",VLOOKUP($B291,'1. 현장별 인원현황'!$C:$J,2,0))</f>
        <v xml:space="preserve"> [2.현대산업개발] 광명제4R구역 주택재개발정비사업 일반전기공사-1공구</v>
      </c>
      <c r="D291" s="74" t="str">
        <f>IF(VLOOKUP($B291,'1. 현장별 인원현황'!$C:$J,3,0)=0,"",VLOOKUP($B291,'1. 현장별 인원현황'!$C:$J,3,0))</f>
        <v>김광기</v>
      </c>
      <c r="E291" s="74" t="str">
        <f ca="1">IF(VLOOKUP($B291,'1. 현장별 인원현황'!$C:$J,4,0)=0,"",VLOOKUP($B291,'1. 현장별 인원현황'!$C:$J,4,0))</f>
        <v>48세</v>
      </c>
      <c r="F291" s="70" t="str">
        <f>IF(VLOOKUP($B291,'1. 현장별 인원현황'!$C:$J,7,0)=0,"",VLOOKUP($B291,'1. 현장별 인원현황'!$C:$J,7,0))</f>
        <v>기능공</v>
      </c>
      <c r="G291" s="72" t="str">
        <f>IF(VLOOKUP($B291,'1. 현장별 인원현황'!$C:$J,8,0)=0,"",VLOOKUP($B291,'1. 현장별 인원현황'!$C:$J,8,0))</f>
        <v>전공</v>
      </c>
      <c r="H291" s="67" t="s">
        <v>69</v>
      </c>
      <c r="I291" s="73"/>
      <c r="J291" s="73"/>
      <c r="K291" s="68"/>
      <c r="L291" s="67" t="s">
        <v>69</v>
      </c>
      <c r="M291" s="73"/>
      <c r="N291" s="73"/>
      <c r="O291" s="68"/>
      <c r="P291" s="67" t="s">
        <v>69</v>
      </c>
      <c r="Q291" s="73"/>
      <c r="R291" s="73"/>
      <c r="S291" s="68"/>
      <c r="T291" s="67" t="s">
        <v>69</v>
      </c>
      <c r="U291" s="73"/>
      <c r="V291" s="73"/>
      <c r="W291" s="68"/>
      <c r="X291" s="67" t="s">
        <v>69</v>
      </c>
      <c r="Y291" s="73"/>
      <c r="Z291" s="73"/>
      <c r="AA291" s="68"/>
      <c r="AB291" s="67" t="s">
        <v>69</v>
      </c>
      <c r="AC291" s="73"/>
      <c r="AD291" s="73"/>
      <c r="AE291" s="68"/>
      <c r="AF291" s="67" t="s">
        <v>69</v>
      </c>
      <c r="AG291" s="73"/>
      <c r="AH291" s="73"/>
      <c r="AI291" s="68"/>
      <c r="AJ291" s="67" t="s">
        <v>69</v>
      </c>
      <c r="AK291" s="73"/>
      <c r="AL291" s="73"/>
      <c r="AM291" s="68"/>
      <c r="AN291" s="67">
        <f t="shared" si="275"/>
        <v>100</v>
      </c>
      <c r="AO291" s="68" t="str">
        <f t="shared" si="276"/>
        <v>S</v>
      </c>
      <c r="AR291" s="49">
        <f t="shared" si="41"/>
        <v>1</v>
      </c>
      <c r="AS291" s="49">
        <f t="shared" si="42"/>
        <v>0</v>
      </c>
      <c r="AT291" s="49">
        <f t="shared" si="43"/>
        <v>0</v>
      </c>
      <c r="AU291" s="49">
        <f t="shared" si="44"/>
        <v>0</v>
      </c>
      <c r="AV291" s="49">
        <f t="shared" si="45"/>
        <v>1</v>
      </c>
      <c r="AW291" s="49">
        <f t="shared" si="46"/>
        <v>0</v>
      </c>
      <c r="AX291" s="49">
        <f t="shared" si="47"/>
        <v>0</v>
      </c>
      <c r="AY291" s="49">
        <f t="shared" si="48"/>
        <v>0</v>
      </c>
      <c r="AZ291" s="49">
        <f t="shared" si="49"/>
        <v>1</v>
      </c>
      <c r="BA291" s="49">
        <f t="shared" si="50"/>
        <v>0</v>
      </c>
      <c r="BB291" s="49">
        <f t="shared" si="51"/>
        <v>0</v>
      </c>
      <c r="BC291" s="49">
        <f t="shared" si="52"/>
        <v>0</v>
      </c>
      <c r="BD291" s="49">
        <f t="shared" si="53"/>
        <v>1</v>
      </c>
      <c r="BE291" s="49">
        <f t="shared" si="54"/>
        <v>0</v>
      </c>
      <c r="BF291" s="49">
        <f t="shared" si="55"/>
        <v>0</v>
      </c>
      <c r="BG291" s="49">
        <f t="shared" si="56"/>
        <v>0</v>
      </c>
      <c r="BH291" s="49">
        <f t="shared" si="57"/>
        <v>1</v>
      </c>
      <c r="BI291" s="49">
        <f t="shared" si="58"/>
        <v>0</v>
      </c>
      <c r="BJ291" s="49">
        <f t="shared" si="59"/>
        <v>0</v>
      </c>
      <c r="BK291" s="49">
        <f t="shared" si="60"/>
        <v>0</v>
      </c>
      <c r="BL291" s="49">
        <f t="shared" si="61"/>
        <v>1</v>
      </c>
      <c r="BM291" s="49">
        <f t="shared" si="62"/>
        <v>0</v>
      </c>
      <c r="BN291" s="49">
        <f t="shared" si="63"/>
        <v>0</v>
      </c>
      <c r="BO291" s="49">
        <f t="shared" si="64"/>
        <v>0</v>
      </c>
      <c r="BP291" s="49">
        <f t="shared" si="65"/>
        <v>1</v>
      </c>
      <c r="BQ291" s="49">
        <f t="shared" si="66"/>
        <v>0</v>
      </c>
      <c r="BR291" s="49">
        <f t="shared" si="67"/>
        <v>0</v>
      </c>
      <c r="BS291" s="49">
        <f t="shared" si="68"/>
        <v>0</v>
      </c>
      <c r="BT291" s="49">
        <f t="shared" si="69"/>
        <v>1</v>
      </c>
      <c r="BU291" s="49">
        <f t="shared" si="70"/>
        <v>0</v>
      </c>
      <c r="BV291" s="49">
        <f t="shared" si="71"/>
        <v>0</v>
      </c>
      <c r="BW291" s="49">
        <f t="shared" si="72"/>
        <v>0</v>
      </c>
    </row>
    <row r="292" spans="1:75" ht="35.1" customHeight="1" x14ac:dyDescent="0.3">
      <c r="A292" s="123" t="str">
        <f t="shared" si="273"/>
        <v>2팀</v>
      </c>
      <c r="B292" s="69">
        <f t="shared" si="274"/>
        <v>286</v>
      </c>
      <c r="C292" s="121" t="str">
        <f>IF(VLOOKUP($B292,'1. 현장별 인원현황'!$C:$J,2,0)=0,"",VLOOKUP($B292,'1. 현장별 인원현황'!$C:$J,2,0))</f>
        <v xml:space="preserve"> [2.현대산업개발] 광명제4R구역 주택재개발정비사업 일반전기공사-1공구</v>
      </c>
      <c r="D292" s="74" t="str">
        <f>IF(VLOOKUP($B292,'1. 현장별 인원현황'!$C:$J,3,0)=0,"",VLOOKUP($B292,'1. 현장별 인원현황'!$C:$J,3,0))</f>
        <v>임두섭</v>
      </c>
      <c r="E292" s="74" t="str">
        <f ca="1">IF(VLOOKUP($B292,'1. 현장별 인원현황'!$C:$J,4,0)=0,"",VLOOKUP($B292,'1. 현장별 인원현황'!$C:$J,4,0))</f>
        <v>44세</v>
      </c>
      <c r="F292" s="70" t="str">
        <f>IF(VLOOKUP($B292,'1. 현장별 인원현황'!$C:$J,7,0)=0,"",VLOOKUP($B292,'1. 현장별 인원현황'!$C:$J,7,0))</f>
        <v>기능공</v>
      </c>
      <c r="G292" s="72" t="str">
        <f>IF(VLOOKUP($B292,'1. 현장별 인원현황'!$C:$J,8,0)=0,"",VLOOKUP($B292,'1. 현장별 인원현황'!$C:$J,8,0))</f>
        <v>전공</v>
      </c>
      <c r="H292" s="67" t="s">
        <v>69</v>
      </c>
      <c r="I292" s="73"/>
      <c r="J292" s="73"/>
      <c r="K292" s="68"/>
      <c r="L292" s="67" t="s">
        <v>69</v>
      </c>
      <c r="M292" s="73"/>
      <c r="N292" s="73"/>
      <c r="O292" s="68"/>
      <c r="P292" s="67" t="s">
        <v>69</v>
      </c>
      <c r="Q292" s="73"/>
      <c r="R292" s="73"/>
      <c r="S292" s="68"/>
      <c r="T292" s="67" t="s">
        <v>69</v>
      </c>
      <c r="U292" s="73"/>
      <c r="V292" s="73"/>
      <c r="W292" s="68"/>
      <c r="X292" s="67" t="s">
        <v>69</v>
      </c>
      <c r="Y292" s="73"/>
      <c r="Z292" s="73"/>
      <c r="AA292" s="68"/>
      <c r="AB292" s="67" t="s">
        <v>69</v>
      </c>
      <c r="AC292" s="73"/>
      <c r="AD292" s="73"/>
      <c r="AE292" s="68"/>
      <c r="AF292" s="67" t="s">
        <v>69</v>
      </c>
      <c r="AG292" s="73"/>
      <c r="AH292" s="73"/>
      <c r="AI292" s="68"/>
      <c r="AJ292" s="67" t="s">
        <v>69</v>
      </c>
      <c r="AK292" s="73"/>
      <c r="AL292" s="73"/>
      <c r="AM292" s="68"/>
      <c r="AN292" s="67">
        <f t="shared" si="275"/>
        <v>100</v>
      </c>
      <c r="AO292" s="68" t="str">
        <f t="shared" si="276"/>
        <v>S</v>
      </c>
      <c r="AR292" s="49">
        <f t="shared" ref="AR292:AR307" si="277">IF(H292&gt;0,1,0)</f>
        <v>1</v>
      </c>
      <c r="AS292" s="49">
        <f t="shared" ref="AS292:AS307" si="278">IF(I292&gt;0,1,0)</f>
        <v>0</v>
      </c>
      <c r="AT292" s="49">
        <f t="shared" ref="AT292:AT307" si="279">IF(J292&gt;0,1,0)</f>
        <v>0</v>
      </c>
      <c r="AU292" s="49">
        <f t="shared" ref="AU292:AU307" si="280">IF(K292&gt;0,1,0)</f>
        <v>0</v>
      </c>
      <c r="AV292" s="49">
        <f t="shared" ref="AV292:AV307" si="281">IF(L292&gt;0,1,0)</f>
        <v>1</v>
      </c>
      <c r="AW292" s="49">
        <f t="shared" ref="AW292:AW307" si="282">IF(M292&gt;0,1,0)</f>
        <v>0</v>
      </c>
      <c r="AX292" s="49">
        <f t="shared" ref="AX292:AX307" si="283">IF(N292&gt;0,1,0)</f>
        <v>0</v>
      </c>
      <c r="AY292" s="49">
        <f t="shared" ref="AY292:AY307" si="284">IF(O292&gt;0,1,0)</f>
        <v>0</v>
      </c>
      <c r="AZ292" s="49">
        <f t="shared" ref="AZ292:AZ307" si="285">IF(P292&gt;0,1,0)</f>
        <v>1</v>
      </c>
      <c r="BA292" s="49">
        <f t="shared" ref="BA292:BA307" si="286">IF(Q292&gt;0,1,0)</f>
        <v>0</v>
      </c>
      <c r="BB292" s="49">
        <f t="shared" ref="BB292:BB307" si="287">IF(R292&gt;0,1,0)</f>
        <v>0</v>
      </c>
      <c r="BC292" s="49">
        <f t="shared" ref="BC292:BC307" si="288">IF(S292&gt;0,1,0)</f>
        <v>0</v>
      </c>
      <c r="BD292" s="49">
        <f t="shared" ref="BD292:BD307" si="289">IF(T292&gt;0,1,0)</f>
        <v>1</v>
      </c>
      <c r="BE292" s="49">
        <f t="shared" ref="BE292:BE307" si="290">IF(U292&gt;0,1,0)</f>
        <v>0</v>
      </c>
      <c r="BF292" s="49">
        <f t="shared" ref="BF292:BF307" si="291">IF(V292&gt;0,1,0)</f>
        <v>0</v>
      </c>
      <c r="BG292" s="49">
        <f t="shared" ref="BG292:BG307" si="292">IF(W292&gt;0,1,0)</f>
        <v>0</v>
      </c>
      <c r="BH292" s="49">
        <f t="shared" ref="BH292:BH307" si="293">IF(X292&gt;0,1,0)</f>
        <v>1</v>
      </c>
      <c r="BI292" s="49">
        <f t="shared" ref="BI292:BI307" si="294">IF(Y292&gt;0,1,0)</f>
        <v>0</v>
      </c>
      <c r="BJ292" s="49">
        <f t="shared" ref="BJ292:BJ307" si="295">IF(Z292&gt;0,1,0)</f>
        <v>0</v>
      </c>
      <c r="BK292" s="49">
        <f t="shared" ref="BK292:BK307" si="296">IF(AA292&gt;0,1,0)</f>
        <v>0</v>
      </c>
      <c r="BL292" s="49">
        <f t="shared" ref="BL292:BL307" si="297">IF(AB292&gt;0,1,0)</f>
        <v>1</v>
      </c>
      <c r="BM292" s="49">
        <f t="shared" ref="BM292:BM307" si="298">IF(AC292&gt;0,1,0)</f>
        <v>0</v>
      </c>
      <c r="BN292" s="49">
        <f t="shared" ref="BN292:BN307" si="299">IF(AD292&gt;0,1,0)</f>
        <v>0</v>
      </c>
      <c r="BO292" s="49">
        <f t="shared" ref="BO292:BO307" si="300">IF(AE292&gt;0,1,0)</f>
        <v>0</v>
      </c>
      <c r="BP292" s="49">
        <f t="shared" ref="BP292:BP307" si="301">IF(AF292&gt;0,1,0)</f>
        <v>1</v>
      </c>
      <c r="BQ292" s="49">
        <f t="shared" ref="BQ292:BQ307" si="302">IF(AG292&gt;0,1,0)</f>
        <v>0</v>
      </c>
      <c r="BR292" s="49">
        <f t="shared" ref="BR292:BR307" si="303">IF(AH292&gt;0,1,0)</f>
        <v>0</v>
      </c>
      <c r="BS292" s="49">
        <f t="shared" ref="BS292:BS307" si="304">IF(AI292&gt;0,1,0)</f>
        <v>0</v>
      </c>
      <c r="BT292" s="49">
        <f t="shared" ref="BT292:BT307" si="305">IF(AJ292&gt;0,1,0)</f>
        <v>1</v>
      </c>
      <c r="BU292" s="49">
        <f t="shared" ref="BU292:BU307" si="306">IF(AK292&gt;0,1,0)</f>
        <v>0</v>
      </c>
      <c r="BV292" s="49">
        <f t="shared" ref="BV292:BV307" si="307">IF(AL292&gt;0,1,0)</f>
        <v>0</v>
      </c>
      <c r="BW292" s="49">
        <f t="shared" ref="BW292:BW307" si="308">IF(AM292&gt;0,1,0)</f>
        <v>0</v>
      </c>
    </row>
    <row r="293" spans="1:75" ht="35.1" customHeight="1" x14ac:dyDescent="0.3">
      <c r="A293" s="123" t="str">
        <f t="shared" si="273"/>
        <v>2팀</v>
      </c>
      <c r="B293" s="69">
        <f t="shared" si="274"/>
        <v>287</v>
      </c>
      <c r="C293" s="121" t="str">
        <f>IF(VLOOKUP($B293,'1. 현장별 인원현황'!$C:$J,2,0)=0,"",VLOOKUP($B293,'1. 현장별 인원현황'!$C:$J,2,0))</f>
        <v xml:space="preserve"> [2.현대엔지니어링] 상도동 지역주택조합 주상복합 신축사업</v>
      </c>
      <c r="D293" s="74" t="str">
        <f>IF(VLOOKUP($B293,'1. 현장별 인원현황'!$C:$J,3,0)=0,"",VLOOKUP($B293,'1. 현장별 인원현황'!$C:$J,3,0))</f>
        <v>박달섭</v>
      </c>
      <c r="E293" s="74" t="str">
        <f ca="1">IF(VLOOKUP($B293,'1. 현장별 인원현황'!$C:$J,4,0)=0,"",VLOOKUP($B293,'1. 현장별 인원현황'!$C:$J,4,0))</f>
        <v>68세</v>
      </c>
      <c r="F293" s="70" t="str">
        <f>IF(VLOOKUP($B293,'1. 현장별 인원현황'!$C:$J,7,0)=0,"",VLOOKUP($B293,'1. 현장별 인원현황'!$C:$J,7,0))</f>
        <v>공무</v>
      </c>
      <c r="G293" s="72" t="str">
        <f>IF(VLOOKUP($B293,'1. 현장별 인원현황'!$C:$J,8,0)=0,"",VLOOKUP($B293,'1. 현장별 인원현황'!$C:$J,8,0))</f>
        <v>이사</v>
      </c>
      <c r="H293" s="67" t="s">
        <v>69</v>
      </c>
      <c r="I293" s="73"/>
      <c r="J293" s="73"/>
      <c r="K293" s="68"/>
      <c r="L293" s="67" t="s">
        <v>69</v>
      </c>
      <c r="M293" s="73"/>
      <c r="N293" s="73"/>
      <c r="O293" s="68"/>
      <c r="P293" s="67" t="s">
        <v>69</v>
      </c>
      <c r="Q293" s="73"/>
      <c r="R293" s="73"/>
      <c r="S293" s="68"/>
      <c r="T293" s="67" t="s">
        <v>69</v>
      </c>
      <c r="U293" s="73"/>
      <c r="V293" s="73"/>
      <c r="W293" s="68"/>
      <c r="X293" s="67" t="s">
        <v>69</v>
      </c>
      <c r="Y293" s="73"/>
      <c r="Z293" s="73"/>
      <c r="AA293" s="68"/>
      <c r="AB293" s="67" t="s">
        <v>69</v>
      </c>
      <c r="AC293" s="73"/>
      <c r="AD293" s="73"/>
      <c r="AE293" s="68"/>
      <c r="AF293" s="67" t="s">
        <v>69</v>
      </c>
      <c r="AG293" s="73"/>
      <c r="AH293" s="73"/>
      <c r="AI293" s="68"/>
      <c r="AJ293" s="67" t="s">
        <v>69</v>
      </c>
      <c r="AK293" s="73"/>
      <c r="AL293" s="73"/>
      <c r="AM293" s="68"/>
      <c r="AN293" s="67">
        <f t="shared" si="275"/>
        <v>100</v>
      </c>
      <c r="AO293" s="68" t="str">
        <f t="shared" si="276"/>
        <v>S</v>
      </c>
      <c r="AR293" s="49">
        <f t="shared" si="277"/>
        <v>1</v>
      </c>
      <c r="AS293" s="49">
        <f t="shared" si="278"/>
        <v>0</v>
      </c>
      <c r="AT293" s="49">
        <f t="shared" si="279"/>
        <v>0</v>
      </c>
      <c r="AU293" s="49">
        <f t="shared" si="280"/>
        <v>0</v>
      </c>
      <c r="AV293" s="49">
        <f t="shared" si="281"/>
        <v>1</v>
      </c>
      <c r="AW293" s="49">
        <f t="shared" si="282"/>
        <v>0</v>
      </c>
      <c r="AX293" s="49">
        <f t="shared" si="283"/>
        <v>0</v>
      </c>
      <c r="AY293" s="49">
        <f t="shared" si="284"/>
        <v>0</v>
      </c>
      <c r="AZ293" s="49">
        <f t="shared" si="285"/>
        <v>1</v>
      </c>
      <c r="BA293" s="49">
        <f t="shared" si="286"/>
        <v>0</v>
      </c>
      <c r="BB293" s="49">
        <f t="shared" si="287"/>
        <v>0</v>
      </c>
      <c r="BC293" s="49">
        <f t="shared" si="288"/>
        <v>0</v>
      </c>
      <c r="BD293" s="49">
        <f t="shared" si="289"/>
        <v>1</v>
      </c>
      <c r="BE293" s="49">
        <f t="shared" si="290"/>
        <v>0</v>
      </c>
      <c r="BF293" s="49">
        <f t="shared" si="291"/>
        <v>0</v>
      </c>
      <c r="BG293" s="49">
        <f t="shared" si="292"/>
        <v>0</v>
      </c>
      <c r="BH293" s="49">
        <f t="shared" si="293"/>
        <v>1</v>
      </c>
      <c r="BI293" s="49">
        <f t="shared" si="294"/>
        <v>0</v>
      </c>
      <c r="BJ293" s="49">
        <f t="shared" si="295"/>
        <v>0</v>
      </c>
      <c r="BK293" s="49">
        <f t="shared" si="296"/>
        <v>0</v>
      </c>
      <c r="BL293" s="49">
        <f t="shared" si="297"/>
        <v>1</v>
      </c>
      <c r="BM293" s="49">
        <f t="shared" si="298"/>
        <v>0</v>
      </c>
      <c r="BN293" s="49">
        <f t="shared" si="299"/>
        <v>0</v>
      </c>
      <c r="BO293" s="49">
        <f t="shared" si="300"/>
        <v>0</v>
      </c>
      <c r="BP293" s="49">
        <f t="shared" si="301"/>
        <v>1</v>
      </c>
      <c r="BQ293" s="49">
        <f t="shared" si="302"/>
        <v>0</v>
      </c>
      <c r="BR293" s="49">
        <f t="shared" si="303"/>
        <v>0</v>
      </c>
      <c r="BS293" s="49">
        <f t="shared" si="304"/>
        <v>0</v>
      </c>
      <c r="BT293" s="49">
        <f t="shared" si="305"/>
        <v>1</v>
      </c>
      <c r="BU293" s="49">
        <f t="shared" si="306"/>
        <v>0</v>
      </c>
      <c r="BV293" s="49">
        <f t="shared" si="307"/>
        <v>0</v>
      </c>
      <c r="BW293" s="49">
        <f t="shared" si="308"/>
        <v>0</v>
      </c>
    </row>
    <row r="294" spans="1:75" ht="35.1" customHeight="1" x14ac:dyDescent="0.3">
      <c r="A294" s="123" t="str">
        <f t="shared" si="273"/>
        <v>2팀</v>
      </c>
      <c r="B294" s="69">
        <f t="shared" si="274"/>
        <v>288</v>
      </c>
      <c r="C294" s="121" t="str">
        <f>IF(VLOOKUP($B294,'1. 현장별 인원현황'!$C:$J,2,0)=0,"",VLOOKUP($B294,'1. 현장별 인원현황'!$C:$J,2,0))</f>
        <v xml:space="preserve"> [2.현대엔지니어링] 상도동 지역주택조합 주상복합 신축사업</v>
      </c>
      <c r="D294" s="74" t="str">
        <f>IF(VLOOKUP($B294,'1. 현장별 인원현황'!$C:$J,3,0)=0,"",VLOOKUP($B294,'1. 현장별 인원현황'!$C:$J,3,0))</f>
        <v>노희순</v>
      </c>
      <c r="E294" s="74" t="str">
        <f ca="1">IF(VLOOKUP($B294,'1. 현장별 인원현황'!$C:$J,4,0)=0,"",VLOOKUP($B294,'1. 현장별 인원현황'!$C:$J,4,0))</f>
        <v>57세</v>
      </c>
      <c r="F294" s="70" t="str">
        <f>IF(VLOOKUP($B294,'1. 현장별 인원현황'!$C:$J,7,0)=0,"",VLOOKUP($B294,'1. 현장별 인원현황'!$C:$J,7,0))</f>
        <v>기능공</v>
      </c>
      <c r="G294" s="72" t="str">
        <f>IF(VLOOKUP($B294,'1. 현장별 인원현황'!$C:$J,8,0)=0,"",VLOOKUP($B294,'1. 현장별 인원현황'!$C:$J,8,0))</f>
        <v>전공</v>
      </c>
      <c r="H294" s="67" t="s">
        <v>69</v>
      </c>
      <c r="I294" s="73"/>
      <c r="J294" s="73"/>
      <c r="K294" s="68"/>
      <c r="L294" s="67" t="s">
        <v>69</v>
      </c>
      <c r="M294" s="73"/>
      <c r="N294" s="73"/>
      <c r="O294" s="68"/>
      <c r="P294" s="67" t="s">
        <v>69</v>
      </c>
      <c r="Q294" s="73"/>
      <c r="R294" s="73"/>
      <c r="S294" s="68"/>
      <c r="T294" s="67" t="s">
        <v>69</v>
      </c>
      <c r="U294" s="73"/>
      <c r="V294" s="73"/>
      <c r="W294" s="68"/>
      <c r="X294" s="67" t="s">
        <v>69</v>
      </c>
      <c r="Y294" s="73"/>
      <c r="Z294" s="73"/>
      <c r="AA294" s="68"/>
      <c r="AB294" s="67" t="s">
        <v>69</v>
      </c>
      <c r="AC294" s="73"/>
      <c r="AD294" s="73"/>
      <c r="AE294" s="68"/>
      <c r="AF294" s="67" t="s">
        <v>69</v>
      </c>
      <c r="AG294" s="73"/>
      <c r="AH294" s="73"/>
      <c r="AI294" s="68"/>
      <c r="AJ294" s="67" t="s">
        <v>69</v>
      </c>
      <c r="AK294" s="73"/>
      <c r="AL294" s="73"/>
      <c r="AM294" s="68"/>
      <c r="AN294" s="67">
        <f t="shared" si="275"/>
        <v>100</v>
      </c>
      <c r="AO294" s="68" t="str">
        <f t="shared" si="276"/>
        <v>S</v>
      </c>
      <c r="AR294" s="49">
        <f t="shared" si="277"/>
        <v>1</v>
      </c>
      <c r="AS294" s="49">
        <f t="shared" si="278"/>
        <v>0</v>
      </c>
      <c r="AT294" s="49">
        <f t="shared" si="279"/>
        <v>0</v>
      </c>
      <c r="AU294" s="49">
        <f t="shared" si="280"/>
        <v>0</v>
      </c>
      <c r="AV294" s="49">
        <f t="shared" si="281"/>
        <v>1</v>
      </c>
      <c r="AW294" s="49">
        <f t="shared" si="282"/>
        <v>0</v>
      </c>
      <c r="AX294" s="49">
        <f t="shared" si="283"/>
        <v>0</v>
      </c>
      <c r="AY294" s="49">
        <f t="shared" si="284"/>
        <v>0</v>
      </c>
      <c r="AZ294" s="49">
        <f t="shared" si="285"/>
        <v>1</v>
      </c>
      <c r="BA294" s="49">
        <f t="shared" si="286"/>
        <v>0</v>
      </c>
      <c r="BB294" s="49">
        <f t="shared" si="287"/>
        <v>0</v>
      </c>
      <c r="BC294" s="49">
        <f t="shared" si="288"/>
        <v>0</v>
      </c>
      <c r="BD294" s="49">
        <f t="shared" si="289"/>
        <v>1</v>
      </c>
      <c r="BE294" s="49">
        <f t="shared" si="290"/>
        <v>0</v>
      </c>
      <c r="BF294" s="49">
        <f t="shared" si="291"/>
        <v>0</v>
      </c>
      <c r="BG294" s="49">
        <f t="shared" si="292"/>
        <v>0</v>
      </c>
      <c r="BH294" s="49">
        <f t="shared" si="293"/>
        <v>1</v>
      </c>
      <c r="BI294" s="49">
        <f t="shared" si="294"/>
        <v>0</v>
      </c>
      <c r="BJ294" s="49">
        <f t="shared" si="295"/>
        <v>0</v>
      </c>
      <c r="BK294" s="49">
        <f t="shared" si="296"/>
        <v>0</v>
      </c>
      <c r="BL294" s="49">
        <f t="shared" si="297"/>
        <v>1</v>
      </c>
      <c r="BM294" s="49">
        <f t="shared" si="298"/>
        <v>0</v>
      </c>
      <c r="BN294" s="49">
        <f t="shared" si="299"/>
        <v>0</v>
      </c>
      <c r="BO294" s="49">
        <f t="shared" si="300"/>
        <v>0</v>
      </c>
      <c r="BP294" s="49">
        <f t="shared" si="301"/>
        <v>1</v>
      </c>
      <c r="BQ294" s="49">
        <f t="shared" si="302"/>
        <v>0</v>
      </c>
      <c r="BR294" s="49">
        <f t="shared" si="303"/>
        <v>0</v>
      </c>
      <c r="BS294" s="49">
        <f t="shared" si="304"/>
        <v>0</v>
      </c>
      <c r="BT294" s="49">
        <f t="shared" si="305"/>
        <v>1</v>
      </c>
      <c r="BU294" s="49">
        <f t="shared" si="306"/>
        <v>0</v>
      </c>
      <c r="BV294" s="49">
        <f t="shared" si="307"/>
        <v>0</v>
      </c>
      <c r="BW294" s="49">
        <f t="shared" si="308"/>
        <v>0</v>
      </c>
    </row>
    <row r="295" spans="1:75" ht="35.1" customHeight="1" x14ac:dyDescent="0.3">
      <c r="A295" s="123" t="str">
        <f t="shared" si="273"/>
        <v>2팀</v>
      </c>
      <c r="B295" s="69">
        <f t="shared" si="274"/>
        <v>289</v>
      </c>
      <c r="C295" s="121" t="str">
        <f>IF(VLOOKUP($B295,'1. 현장별 인원현황'!$C:$J,2,0)=0,"",VLOOKUP($B295,'1. 현장별 인원현황'!$C:$J,2,0))</f>
        <v xml:space="preserve"> [2.현대엔지니어링] 상도동 지역주택조합 주상복합 신축사업</v>
      </c>
      <c r="D295" s="74" t="str">
        <f>IF(VLOOKUP($B295,'1. 현장별 인원현황'!$C:$J,3,0)=0,"",VLOOKUP($B295,'1. 현장별 인원현황'!$C:$J,3,0))</f>
        <v>김순태</v>
      </c>
      <c r="E295" s="74" t="str">
        <f ca="1">IF(VLOOKUP($B295,'1. 현장별 인원현황'!$C:$J,4,0)=0,"",VLOOKUP($B295,'1. 현장별 인원현황'!$C:$J,4,0))</f>
        <v>56세</v>
      </c>
      <c r="F295" s="70" t="str">
        <f>IF(VLOOKUP($B295,'1. 현장별 인원현황'!$C:$J,7,0)=0,"",VLOOKUP($B295,'1. 현장별 인원현황'!$C:$J,7,0))</f>
        <v>기능공</v>
      </c>
      <c r="G295" s="72" t="str">
        <f>IF(VLOOKUP($B295,'1. 현장별 인원현황'!$C:$J,8,0)=0,"",VLOOKUP($B295,'1. 현장별 인원현황'!$C:$J,8,0))</f>
        <v>전공</v>
      </c>
      <c r="H295" s="67" t="s">
        <v>69</v>
      </c>
      <c r="I295" s="73"/>
      <c r="J295" s="73"/>
      <c r="K295" s="68"/>
      <c r="L295" s="67" t="s">
        <v>69</v>
      </c>
      <c r="M295" s="73"/>
      <c r="N295" s="73"/>
      <c r="O295" s="68"/>
      <c r="P295" s="67" t="s">
        <v>69</v>
      </c>
      <c r="Q295" s="73"/>
      <c r="R295" s="73"/>
      <c r="S295" s="68"/>
      <c r="T295" s="67" t="s">
        <v>69</v>
      </c>
      <c r="U295" s="73"/>
      <c r="V295" s="73"/>
      <c r="W295" s="68"/>
      <c r="X295" s="67" t="s">
        <v>69</v>
      </c>
      <c r="Y295" s="73"/>
      <c r="Z295" s="73"/>
      <c r="AA295" s="68"/>
      <c r="AB295" s="67" t="s">
        <v>69</v>
      </c>
      <c r="AC295" s="73"/>
      <c r="AD295" s="73"/>
      <c r="AE295" s="68"/>
      <c r="AF295" s="67" t="s">
        <v>69</v>
      </c>
      <c r="AG295" s="73"/>
      <c r="AH295" s="73"/>
      <c r="AI295" s="68"/>
      <c r="AJ295" s="67" t="s">
        <v>69</v>
      </c>
      <c r="AK295" s="73"/>
      <c r="AL295" s="73"/>
      <c r="AM295" s="68"/>
      <c r="AN295" s="67">
        <f t="shared" si="275"/>
        <v>100</v>
      </c>
      <c r="AO295" s="68" t="str">
        <f t="shared" si="276"/>
        <v>S</v>
      </c>
      <c r="AR295" s="49">
        <f t="shared" si="277"/>
        <v>1</v>
      </c>
      <c r="AS295" s="49">
        <f t="shared" si="278"/>
        <v>0</v>
      </c>
      <c r="AT295" s="49">
        <f t="shared" si="279"/>
        <v>0</v>
      </c>
      <c r="AU295" s="49">
        <f t="shared" si="280"/>
        <v>0</v>
      </c>
      <c r="AV295" s="49">
        <f t="shared" si="281"/>
        <v>1</v>
      </c>
      <c r="AW295" s="49">
        <f t="shared" si="282"/>
        <v>0</v>
      </c>
      <c r="AX295" s="49">
        <f t="shared" si="283"/>
        <v>0</v>
      </c>
      <c r="AY295" s="49">
        <f t="shared" si="284"/>
        <v>0</v>
      </c>
      <c r="AZ295" s="49">
        <f t="shared" si="285"/>
        <v>1</v>
      </c>
      <c r="BA295" s="49">
        <f t="shared" si="286"/>
        <v>0</v>
      </c>
      <c r="BB295" s="49">
        <f t="shared" si="287"/>
        <v>0</v>
      </c>
      <c r="BC295" s="49">
        <f t="shared" si="288"/>
        <v>0</v>
      </c>
      <c r="BD295" s="49">
        <f t="shared" si="289"/>
        <v>1</v>
      </c>
      <c r="BE295" s="49">
        <f t="shared" si="290"/>
        <v>0</v>
      </c>
      <c r="BF295" s="49">
        <f t="shared" si="291"/>
        <v>0</v>
      </c>
      <c r="BG295" s="49">
        <f t="shared" si="292"/>
        <v>0</v>
      </c>
      <c r="BH295" s="49">
        <f t="shared" si="293"/>
        <v>1</v>
      </c>
      <c r="BI295" s="49">
        <f t="shared" si="294"/>
        <v>0</v>
      </c>
      <c r="BJ295" s="49">
        <f t="shared" si="295"/>
        <v>0</v>
      </c>
      <c r="BK295" s="49">
        <f t="shared" si="296"/>
        <v>0</v>
      </c>
      <c r="BL295" s="49">
        <f t="shared" si="297"/>
        <v>1</v>
      </c>
      <c r="BM295" s="49">
        <f t="shared" si="298"/>
        <v>0</v>
      </c>
      <c r="BN295" s="49">
        <f t="shared" si="299"/>
        <v>0</v>
      </c>
      <c r="BO295" s="49">
        <f t="shared" si="300"/>
        <v>0</v>
      </c>
      <c r="BP295" s="49">
        <f t="shared" si="301"/>
        <v>1</v>
      </c>
      <c r="BQ295" s="49">
        <f t="shared" si="302"/>
        <v>0</v>
      </c>
      <c r="BR295" s="49">
        <f t="shared" si="303"/>
        <v>0</v>
      </c>
      <c r="BS295" s="49">
        <f t="shared" si="304"/>
        <v>0</v>
      </c>
      <c r="BT295" s="49">
        <f t="shared" si="305"/>
        <v>1</v>
      </c>
      <c r="BU295" s="49">
        <f t="shared" si="306"/>
        <v>0</v>
      </c>
      <c r="BV295" s="49">
        <f t="shared" si="307"/>
        <v>0</v>
      </c>
      <c r="BW295" s="49">
        <f t="shared" si="308"/>
        <v>0</v>
      </c>
    </row>
    <row r="296" spans="1:75" ht="35.1" customHeight="1" x14ac:dyDescent="0.3">
      <c r="A296" s="123" t="str">
        <f t="shared" si="273"/>
        <v>2팀</v>
      </c>
      <c r="B296" s="69">
        <f t="shared" si="274"/>
        <v>290</v>
      </c>
      <c r="C296" s="121" t="str">
        <f>IF(VLOOKUP($B296,'1. 현장별 인원현황'!$C:$J,2,0)=0,"",VLOOKUP($B296,'1. 현장별 인원현황'!$C:$J,2,0))</f>
        <v xml:space="preserve"> [2.현대엔지니어링] 상도동 지역주택조합 주상복합 신축사업</v>
      </c>
      <c r="D296" s="74" t="str">
        <f>IF(VLOOKUP($B296,'1. 현장별 인원현황'!$C:$J,3,0)=0,"",VLOOKUP($B296,'1. 현장별 인원현황'!$C:$J,3,0))</f>
        <v>한화석</v>
      </c>
      <c r="E296" s="74" t="str">
        <f ca="1">IF(VLOOKUP($B296,'1. 현장별 인원현황'!$C:$J,4,0)=0,"",VLOOKUP($B296,'1. 현장별 인원현황'!$C:$J,4,0))</f>
        <v>57세</v>
      </c>
      <c r="F296" s="70" t="str">
        <f>IF(VLOOKUP($B296,'1. 현장별 인원현황'!$C:$J,7,0)=0,"",VLOOKUP($B296,'1. 현장별 인원현황'!$C:$J,7,0))</f>
        <v>기능공</v>
      </c>
      <c r="G296" s="72" t="str">
        <f>IF(VLOOKUP($B296,'1. 현장별 인원현황'!$C:$J,8,0)=0,"",VLOOKUP($B296,'1. 현장별 인원현황'!$C:$J,8,0))</f>
        <v>전공</v>
      </c>
      <c r="H296" s="67" t="s">
        <v>69</v>
      </c>
      <c r="I296" s="73"/>
      <c r="J296" s="73"/>
      <c r="K296" s="68"/>
      <c r="L296" s="67" t="s">
        <v>69</v>
      </c>
      <c r="M296" s="73"/>
      <c r="N296" s="73"/>
      <c r="O296" s="68"/>
      <c r="P296" s="67" t="s">
        <v>69</v>
      </c>
      <c r="Q296" s="73"/>
      <c r="R296" s="73"/>
      <c r="S296" s="68"/>
      <c r="T296" s="67" t="s">
        <v>69</v>
      </c>
      <c r="U296" s="73"/>
      <c r="V296" s="73"/>
      <c r="W296" s="68"/>
      <c r="X296" s="67" t="s">
        <v>69</v>
      </c>
      <c r="Y296" s="73"/>
      <c r="Z296" s="73"/>
      <c r="AA296" s="68"/>
      <c r="AB296" s="67" t="s">
        <v>69</v>
      </c>
      <c r="AC296" s="73"/>
      <c r="AD296" s="73"/>
      <c r="AE296" s="68"/>
      <c r="AF296" s="67" t="s">
        <v>69</v>
      </c>
      <c r="AG296" s="73"/>
      <c r="AH296" s="73"/>
      <c r="AI296" s="68"/>
      <c r="AJ296" s="67" t="s">
        <v>69</v>
      </c>
      <c r="AK296" s="73"/>
      <c r="AL296" s="73"/>
      <c r="AM296" s="68"/>
      <c r="AN296" s="67">
        <f t="shared" si="275"/>
        <v>100</v>
      </c>
      <c r="AO296" s="68" t="str">
        <f t="shared" si="276"/>
        <v>S</v>
      </c>
      <c r="AR296" s="49">
        <f t="shared" si="277"/>
        <v>1</v>
      </c>
      <c r="AS296" s="49">
        <f t="shared" si="278"/>
        <v>0</v>
      </c>
      <c r="AT296" s="49">
        <f t="shared" si="279"/>
        <v>0</v>
      </c>
      <c r="AU296" s="49">
        <f t="shared" si="280"/>
        <v>0</v>
      </c>
      <c r="AV296" s="49">
        <f t="shared" si="281"/>
        <v>1</v>
      </c>
      <c r="AW296" s="49">
        <f t="shared" si="282"/>
        <v>0</v>
      </c>
      <c r="AX296" s="49">
        <f t="shared" si="283"/>
        <v>0</v>
      </c>
      <c r="AY296" s="49">
        <f t="shared" si="284"/>
        <v>0</v>
      </c>
      <c r="AZ296" s="49">
        <f t="shared" si="285"/>
        <v>1</v>
      </c>
      <c r="BA296" s="49">
        <f t="shared" si="286"/>
        <v>0</v>
      </c>
      <c r="BB296" s="49">
        <f t="shared" si="287"/>
        <v>0</v>
      </c>
      <c r="BC296" s="49">
        <f t="shared" si="288"/>
        <v>0</v>
      </c>
      <c r="BD296" s="49">
        <f t="shared" si="289"/>
        <v>1</v>
      </c>
      <c r="BE296" s="49">
        <f t="shared" si="290"/>
        <v>0</v>
      </c>
      <c r="BF296" s="49">
        <f t="shared" si="291"/>
        <v>0</v>
      </c>
      <c r="BG296" s="49">
        <f t="shared" si="292"/>
        <v>0</v>
      </c>
      <c r="BH296" s="49">
        <f t="shared" si="293"/>
        <v>1</v>
      </c>
      <c r="BI296" s="49">
        <f t="shared" si="294"/>
        <v>0</v>
      </c>
      <c r="BJ296" s="49">
        <f t="shared" si="295"/>
        <v>0</v>
      </c>
      <c r="BK296" s="49">
        <f t="shared" si="296"/>
        <v>0</v>
      </c>
      <c r="BL296" s="49">
        <f t="shared" si="297"/>
        <v>1</v>
      </c>
      <c r="BM296" s="49">
        <f t="shared" si="298"/>
        <v>0</v>
      </c>
      <c r="BN296" s="49">
        <f t="shared" si="299"/>
        <v>0</v>
      </c>
      <c r="BO296" s="49">
        <f t="shared" si="300"/>
        <v>0</v>
      </c>
      <c r="BP296" s="49">
        <f t="shared" si="301"/>
        <v>1</v>
      </c>
      <c r="BQ296" s="49">
        <f t="shared" si="302"/>
        <v>0</v>
      </c>
      <c r="BR296" s="49">
        <f t="shared" si="303"/>
        <v>0</v>
      </c>
      <c r="BS296" s="49">
        <f t="shared" si="304"/>
        <v>0</v>
      </c>
      <c r="BT296" s="49">
        <f t="shared" si="305"/>
        <v>1</v>
      </c>
      <c r="BU296" s="49">
        <f t="shared" si="306"/>
        <v>0</v>
      </c>
      <c r="BV296" s="49">
        <f t="shared" si="307"/>
        <v>0</v>
      </c>
      <c r="BW296" s="49">
        <f t="shared" si="308"/>
        <v>0</v>
      </c>
    </row>
    <row r="297" spans="1:75" ht="35.1" customHeight="1" x14ac:dyDescent="0.3">
      <c r="A297" s="123" t="str">
        <f t="shared" si="273"/>
        <v>2팀</v>
      </c>
      <c r="B297" s="69">
        <f t="shared" si="274"/>
        <v>291</v>
      </c>
      <c r="C297" s="121" t="str">
        <f>IF(VLOOKUP($B297,'1. 현장별 인원현황'!$C:$J,2,0)=0,"",VLOOKUP($B297,'1. 현장별 인원현황'!$C:$J,2,0))</f>
        <v xml:space="preserve"> [2.현대엔지니어링] 상도동 지역주택조합 주상복합 신축사업</v>
      </c>
      <c r="D297" s="74" t="str">
        <f>IF(VLOOKUP($B297,'1. 현장별 인원현황'!$C:$J,3,0)=0,"",VLOOKUP($B297,'1. 현장별 인원현황'!$C:$J,3,0))</f>
        <v>박명</v>
      </c>
      <c r="E297" s="74" t="str">
        <f ca="1">IF(VLOOKUP($B297,'1. 현장별 인원현황'!$C:$J,4,0)=0,"",VLOOKUP($B297,'1. 현장별 인원현황'!$C:$J,4,0))</f>
        <v>50세</v>
      </c>
      <c r="F297" s="70" t="str">
        <f>IF(VLOOKUP($B297,'1. 현장별 인원현황'!$C:$J,7,0)=0,"",VLOOKUP($B297,'1. 현장별 인원현황'!$C:$J,7,0))</f>
        <v>기능공</v>
      </c>
      <c r="G297" s="72" t="str">
        <f>IF(VLOOKUP($B297,'1. 현장별 인원현황'!$C:$J,8,0)=0,"",VLOOKUP($B297,'1. 현장별 인원현황'!$C:$J,8,0))</f>
        <v>전공</v>
      </c>
      <c r="H297" s="67" t="s">
        <v>69</v>
      </c>
      <c r="I297" s="73"/>
      <c r="J297" s="73"/>
      <c r="K297" s="68"/>
      <c r="L297" s="67" t="s">
        <v>69</v>
      </c>
      <c r="M297" s="73"/>
      <c r="N297" s="73"/>
      <c r="O297" s="68"/>
      <c r="P297" s="67" t="s">
        <v>69</v>
      </c>
      <c r="Q297" s="73"/>
      <c r="R297" s="73"/>
      <c r="S297" s="68"/>
      <c r="T297" s="67" t="s">
        <v>69</v>
      </c>
      <c r="U297" s="73"/>
      <c r="V297" s="73"/>
      <c r="W297" s="68"/>
      <c r="X297" s="67" t="s">
        <v>69</v>
      </c>
      <c r="Y297" s="73"/>
      <c r="Z297" s="73"/>
      <c r="AA297" s="68"/>
      <c r="AB297" s="67" t="s">
        <v>69</v>
      </c>
      <c r="AC297" s="73"/>
      <c r="AD297" s="73"/>
      <c r="AE297" s="68"/>
      <c r="AF297" s="67" t="s">
        <v>69</v>
      </c>
      <c r="AG297" s="73"/>
      <c r="AH297" s="73"/>
      <c r="AI297" s="68"/>
      <c r="AJ297" s="67" t="s">
        <v>69</v>
      </c>
      <c r="AK297" s="73"/>
      <c r="AL297" s="73"/>
      <c r="AM297" s="68"/>
      <c r="AN297" s="67">
        <f t="shared" si="275"/>
        <v>100</v>
      </c>
      <c r="AO297" s="68" t="str">
        <f t="shared" si="276"/>
        <v>S</v>
      </c>
      <c r="AR297" s="49">
        <f t="shared" si="277"/>
        <v>1</v>
      </c>
      <c r="AS297" s="49">
        <f t="shared" si="278"/>
        <v>0</v>
      </c>
      <c r="AT297" s="49">
        <f t="shared" si="279"/>
        <v>0</v>
      </c>
      <c r="AU297" s="49">
        <f t="shared" si="280"/>
        <v>0</v>
      </c>
      <c r="AV297" s="49">
        <f t="shared" si="281"/>
        <v>1</v>
      </c>
      <c r="AW297" s="49">
        <f t="shared" si="282"/>
        <v>0</v>
      </c>
      <c r="AX297" s="49">
        <f t="shared" si="283"/>
        <v>0</v>
      </c>
      <c r="AY297" s="49">
        <f t="shared" si="284"/>
        <v>0</v>
      </c>
      <c r="AZ297" s="49">
        <f t="shared" si="285"/>
        <v>1</v>
      </c>
      <c r="BA297" s="49">
        <f t="shared" si="286"/>
        <v>0</v>
      </c>
      <c r="BB297" s="49">
        <f t="shared" si="287"/>
        <v>0</v>
      </c>
      <c r="BC297" s="49">
        <f t="shared" si="288"/>
        <v>0</v>
      </c>
      <c r="BD297" s="49">
        <f t="shared" si="289"/>
        <v>1</v>
      </c>
      <c r="BE297" s="49">
        <f t="shared" si="290"/>
        <v>0</v>
      </c>
      <c r="BF297" s="49">
        <f t="shared" si="291"/>
        <v>0</v>
      </c>
      <c r="BG297" s="49">
        <f t="shared" si="292"/>
        <v>0</v>
      </c>
      <c r="BH297" s="49">
        <f t="shared" si="293"/>
        <v>1</v>
      </c>
      <c r="BI297" s="49">
        <f t="shared" si="294"/>
        <v>0</v>
      </c>
      <c r="BJ297" s="49">
        <f t="shared" si="295"/>
        <v>0</v>
      </c>
      <c r="BK297" s="49">
        <f t="shared" si="296"/>
        <v>0</v>
      </c>
      <c r="BL297" s="49">
        <f t="shared" si="297"/>
        <v>1</v>
      </c>
      <c r="BM297" s="49">
        <f t="shared" si="298"/>
        <v>0</v>
      </c>
      <c r="BN297" s="49">
        <f t="shared" si="299"/>
        <v>0</v>
      </c>
      <c r="BO297" s="49">
        <f t="shared" si="300"/>
        <v>0</v>
      </c>
      <c r="BP297" s="49">
        <f t="shared" si="301"/>
        <v>1</v>
      </c>
      <c r="BQ297" s="49">
        <f t="shared" si="302"/>
        <v>0</v>
      </c>
      <c r="BR297" s="49">
        <f t="shared" si="303"/>
        <v>0</v>
      </c>
      <c r="BS297" s="49">
        <f t="shared" si="304"/>
        <v>0</v>
      </c>
      <c r="BT297" s="49">
        <f t="shared" si="305"/>
        <v>1</v>
      </c>
      <c r="BU297" s="49">
        <f t="shared" si="306"/>
        <v>0</v>
      </c>
      <c r="BV297" s="49">
        <f t="shared" si="307"/>
        <v>0</v>
      </c>
      <c r="BW297" s="49">
        <f t="shared" si="308"/>
        <v>0</v>
      </c>
    </row>
    <row r="298" spans="1:75" ht="35.1" customHeight="1" x14ac:dyDescent="0.3">
      <c r="A298" s="123" t="str">
        <f t="shared" si="273"/>
        <v>2팀</v>
      </c>
      <c r="B298" s="69">
        <f t="shared" si="274"/>
        <v>292</v>
      </c>
      <c r="C298" s="121" t="str">
        <f>IF(VLOOKUP($B298,'1. 현장별 인원현황'!$C:$J,2,0)=0,"",VLOOKUP($B298,'1. 현장별 인원현황'!$C:$J,2,0))</f>
        <v xml:space="preserve"> [2.현대엔지니어링] 상도동 지역주택조합 주상복합 신축사업</v>
      </c>
      <c r="D298" s="74" t="str">
        <f>IF(VLOOKUP($B298,'1. 현장별 인원현황'!$C:$J,3,0)=0,"",VLOOKUP($B298,'1. 현장별 인원현황'!$C:$J,3,0))</f>
        <v>전석준</v>
      </c>
      <c r="E298" s="74" t="str">
        <f ca="1">IF(VLOOKUP($B298,'1. 현장별 인원현황'!$C:$J,4,0)=0,"",VLOOKUP($B298,'1. 현장별 인원현황'!$C:$J,4,0))</f>
        <v>62세</v>
      </c>
      <c r="F298" s="70" t="str">
        <f>IF(VLOOKUP($B298,'1. 현장별 인원현황'!$C:$J,7,0)=0,"",VLOOKUP($B298,'1. 현장별 인원현황'!$C:$J,7,0))</f>
        <v>기능공</v>
      </c>
      <c r="G298" s="72" t="str">
        <f>IF(VLOOKUP($B298,'1. 현장별 인원현황'!$C:$J,8,0)=0,"",VLOOKUP($B298,'1. 현장별 인원현황'!$C:$J,8,0))</f>
        <v>전공</v>
      </c>
      <c r="H298" s="67" t="s">
        <v>69</v>
      </c>
      <c r="I298" s="73"/>
      <c r="J298" s="73"/>
      <c r="K298" s="68"/>
      <c r="L298" s="67" t="s">
        <v>69</v>
      </c>
      <c r="M298" s="73"/>
      <c r="N298" s="73"/>
      <c r="O298" s="68"/>
      <c r="P298" s="67" t="s">
        <v>69</v>
      </c>
      <c r="Q298" s="73"/>
      <c r="R298" s="73"/>
      <c r="S298" s="68"/>
      <c r="T298" s="67" t="s">
        <v>69</v>
      </c>
      <c r="U298" s="73"/>
      <c r="V298" s="73"/>
      <c r="W298" s="68"/>
      <c r="X298" s="67" t="s">
        <v>69</v>
      </c>
      <c r="Y298" s="73"/>
      <c r="Z298" s="73"/>
      <c r="AA298" s="68"/>
      <c r="AB298" s="67" t="s">
        <v>69</v>
      </c>
      <c r="AC298" s="73"/>
      <c r="AD298" s="73"/>
      <c r="AE298" s="68"/>
      <c r="AF298" s="67" t="s">
        <v>69</v>
      </c>
      <c r="AG298" s="73"/>
      <c r="AH298" s="73"/>
      <c r="AI298" s="68"/>
      <c r="AJ298" s="67" t="s">
        <v>69</v>
      </c>
      <c r="AK298" s="73"/>
      <c r="AL298" s="73"/>
      <c r="AM298" s="68"/>
      <c r="AN298" s="67">
        <f t="shared" si="275"/>
        <v>100</v>
      </c>
      <c r="AO298" s="68" t="str">
        <f t="shared" si="276"/>
        <v>S</v>
      </c>
      <c r="AR298" s="49">
        <f t="shared" si="277"/>
        <v>1</v>
      </c>
      <c r="AS298" s="49">
        <f t="shared" si="278"/>
        <v>0</v>
      </c>
      <c r="AT298" s="49">
        <f t="shared" si="279"/>
        <v>0</v>
      </c>
      <c r="AU298" s="49">
        <f t="shared" si="280"/>
        <v>0</v>
      </c>
      <c r="AV298" s="49">
        <f t="shared" si="281"/>
        <v>1</v>
      </c>
      <c r="AW298" s="49">
        <f t="shared" si="282"/>
        <v>0</v>
      </c>
      <c r="AX298" s="49">
        <f t="shared" si="283"/>
        <v>0</v>
      </c>
      <c r="AY298" s="49">
        <f t="shared" si="284"/>
        <v>0</v>
      </c>
      <c r="AZ298" s="49">
        <f t="shared" si="285"/>
        <v>1</v>
      </c>
      <c r="BA298" s="49">
        <f t="shared" si="286"/>
        <v>0</v>
      </c>
      <c r="BB298" s="49">
        <f t="shared" si="287"/>
        <v>0</v>
      </c>
      <c r="BC298" s="49">
        <f t="shared" si="288"/>
        <v>0</v>
      </c>
      <c r="BD298" s="49">
        <f t="shared" si="289"/>
        <v>1</v>
      </c>
      <c r="BE298" s="49">
        <f t="shared" si="290"/>
        <v>0</v>
      </c>
      <c r="BF298" s="49">
        <f t="shared" si="291"/>
        <v>0</v>
      </c>
      <c r="BG298" s="49">
        <f t="shared" si="292"/>
        <v>0</v>
      </c>
      <c r="BH298" s="49">
        <f t="shared" si="293"/>
        <v>1</v>
      </c>
      <c r="BI298" s="49">
        <f t="shared" si="294"/>
        <v>0</v>
      </c>
      <c r="BJ298" s="49">
        <f t="shared" si="295"/>
        <v>0</v>
      </c>
      <c r="BK298" s="49">
        <f t="shared" si="296"/>
        <v>0</v>
      </c>
      <c r="BL298" s="49">
        <f t="shared" si="297"/>
        <v>1</v>
      </c>
      <c r="BM298" s="49">
        <f t="shared" si="298"/>
        <v>0</v>
      </c>
      <c r="BN298" s="49">
        <f t="shared" si="299"/>
        <v>0</v>
      </c>
      <c r="BO298" s="49">
        <f t="shared" si="300"/>
        <v>0</v>
      </c>
      <c r="BP298" s="49">
        <f t="shared" si="301"/>
        <v>1</v>
      </c>
      <c r="BQ298" s="49">
        <f t="shared" si="302"/>
        <v>0</v>
      </c>
      <c r="BR298" s="49">
        <f t="shared" si="303"/>
        <v>0</v>
      </c>
      <c r="BS298" s="49">
        <f t="shared" si="304"/>
        <v>0</v>
      </c>
      <c r="BT298" s="49">
        <f t="shared" si="305"/>
        <v>1</v>
      </c>
      <c r="BU298" s="49">
        <f t="shared" si="306"/>
        <v>0</v>
      </c>
      <c r="BV298" s="49">
        <f t="shared" si="307"/>
        <v>0</v>
      </c>
      <c r="BW298" s="49">
        <f t="shared" si="308"/>
        <v>0</v>
      </c>
    </row>
    <row r="299" spans="1:75" ht="35.1" customHeight="1" x14ac:dyDescent="0.3">
      <c r="A299" s="123" t="str">
        <f t="shared" si="273"/>
        <v>2팀</v>
      </c>
      <c r="B299" s="69">
        <f t="shared" si="274"/>
        <v>293</v>
      </c>
      <c r="C299" s="121" t="str">
        <f>IF(VLOOKUP($B299,'1. 현장별 인원현황'!$C:$J,2,0)=0,"",VLOOKUP($B299,'1. 현장별 인원현황'!$C:$J,2,0))</f>
        <v xml:space="preserve"> [2.현대엔지니어링] 상도동 지역주택조합 주상복합 신축사업</v>
      </c>
      <c r="D299" s="74" t="str">
        <f>IF(VLOOKUP($B299,'1. 현장별 인원현황'!$C:$J,3,0)=0,"",VLOOKUP($B299,'1. 현장별 인원현황'!$C:$J,3,0))</f>
        <v>정종섭</v>
      </c>
      <c r="E299" s="74" t="str">
        <f ca="1">IF(VLOOKUP($B299,'1. 현장별 인원현황'!$C:$J,4,0)=0,"",VLOOKUP($B299,'1. 현장별 인원현황'!$C:$J,4,0))</f>
        <v>57세</v>
      </c>
      <c r="F299" s="70" t="str">
        <f>IF(VLOOKUP($B299,'1. 현장별 인원현황'!$C:$J,7,0)=0,"",VLOOKUP($B299,'1. 현장별 인원현황'!$C:$J,7,0))</f>
        <v>기능공</v>
      </c>
      <c r="G299" s="72" t="str">
        <f>IF(VLOOKUP($B299,'1. 현장별 인원현황'!$C:$J,8,0)=0,"",VLOOKUP($B299,'1. 현장별 인원현황'!$C:$J,8,0))</f>
        <v>전공</v>
      </c>
      <c r="H299" s="67" t="s">
        <v>69</v>
      </c>
      <c r="I299" s="73"/>
      <c r="J299" s="73"/>
      <c r="K299" s="68"/>
      <c r="L299" s="67" t="s">
        <v>69</v>
      </c>
      <c r="M299" s="73"/>
      <c r="N299" s="73"/>
      <c r="O299" s="68"/>
      <c r="P299" s="67" t="s">
        <v>69</v>
      </c>
      <c r="Q299" s="73"/>
      <c r="R299" s="73"/>
      <c r="S299" s="68"/>
      <c r="T299" s="67" t="s">
        <v>69</v>
      </c>
      <c r="U299" s="73"/>
      <c r="V299" s="73"/>
      <c r="W299" s="68"/>
      <c r="X299" s="67" t="s">
        <v>69</v>
      </c>
      <c r="Y299" s="73"/>
      <c r="Z299" s="73"/>
      <c r="AA299" s="68"/>
      <c r="AB299" s="67" t="s">
        <v>69</v>
      </c>
      <c r="AC299" s="73"/>
      <c r="AD299" s="73"/>
      <c r="AE299" s="68"/>
      <c r="AF299" s="67" t="s">
        <v>69</v>
      </c>
      <c r="AG299" s="73"/>
      <c r="AH299" s="73"/>
      <c r="AI299" s="68"/>
      <c r="AJ299" s="67" t="s">
        <v>69</v>
      </c>
      <c r="AK299" s="73"/>
      <c r="AL299" s="73"/>
      <c r="AM299" s="68"/>
      <c r="AN299" s="67">
        <f t="shared" si="275"/>
        <v>100</v>
      </c>
      <c r="AO299" s="68" t="str">
        <f t="shared" si="276"/>
        <v>S</v>
      </c>
      <c r="AR299" s="49">
        <f t="shared" si="277"/>
        <v>1</v>
      </c>
      <c r="AS299" s="49">
        <f t="shared" si="278"/>
        <v>0</v>
      </c>
      <c r="AT299" s="49">
        <f t="shared" si="279"/>
        <v>0</v>
      </c>
      <c r="AU299" s="49">
        <f t="shared" si="280"/>
        <v>0</v>
      </c>
      <c r="AV299" s="49">
        <f t="shared" si="281"/>
        <v>1</v>
      </c>
      <c r="AW299" s="49">
        <f t="shared" si="282"/>
        <v>0</v>
      </c>
      <c r="AX299" s="49">
        <f t="shared" si="283"/>
        <v>0</v>
      </c>
      <c r="AY299" s="49">
        <f t="shared" si="284"/>
        <v>0</v>
      </c>
      <c r="AZ299" s="49">
        <f t="shared" si="285"/>
        <v>1</v>
      </c>
      <c r="BA299" s="49">
        <f t="shared" si="286"/>
        <v>0</v>
      </c>
      <c r="BB299" s="49">
        <f t="shared" si="287"/>
        <v>0</v>
      </c>
      <c r="BC299" s="49">
        <f t="shared" si="288"/>
        <v>0</v>
      </c>
      <c r="BD299" s="49">
        <f t="shared" si="289"/>
        <v>1</v>
      </c>
      <c r="BE299" s="49">
        <f t="shared" si="290"/>
        <v>0</v>
      </c>
      <c r="BF299" s="49">
        <f t="shared" si="291"/>
        <v>0</v>
      </c>
      <c r="BG299" s="49">
        <f t="shared" si="292"/>
        <v>0</v>
      </c>
      <c r="BH299" s="49">
        <f t="shared" si="293"/>
        <v>1</v>
      </c>
      <c r="BI299" s="49">
        <f t="shared" si="294"/>
        <v>0</v>
      </c>
      <c r="BJ299" s="49">
        <f t="shared" si="295"/>
        <v>0</v>
      </c>
      <c r="BK299" s="49">
        <f t="shared" si="296"/>
        <v>0</v>
      </c>
      <c r="BL299" s="49">
        <f t="shared" si="297"/>
        <v>1</v>
      </c>
      <c r="BM299" s="49">
        <f t="shared" si="298"/>
        <v>0</v>
      </c>
      <c r="BN299" s="49">
        <f t="shared" si="299"/>
        <v>0</v>
      </c>
      <c r="BO299" s="49">
        <f t="shared" si="300"/>
        <v>0</v>
      </c>
      <c r="BP299" s="49">
        <f t="shared" si="301"/>
        <v>1</v>
      </c>
      <c r="BQ299" s="49">
        <f t="shared" si="302"/>
        <v>0</v>
      </c>
      <c r="BR299" s="49">
        <f t="shared" si="303"/>
        <v>0</v>
      </c>
      <c r="BS299" s="49">
        <f t="shared" si="304"/>
        <v>0</v>
      </c>
      <c r="BT299" s="49">
        <f t="shared" si="305"/>
        <v>1</v>
      </c>
      <c r="BU299" s="49">
        <f t="shared" si="306"/>
        <v>0</v>
      </c>
      <c r="BV299" s="49">
        <f t="shared" si="307"/>
        <v>0</v>
      </c>
      <c r="BW299" s="49">
        <f t="shared" si="308"/>
        <v>0</v>
      </c>
    </row>
    <row r="300" spans="1:75" ht="35.1" customHeight="1" x14ac:dyDescent="0.3">
      <c r="A300" s="123" t="str">
        <f t="shared" si="273"/>
        <v>2팀</v>
      </c>
      <c r="B300" s="69">
        <f t="shared" si="274"/>
        <v>294</v>
      </c>
      <c r="C300" s="121" t="str">
        <f>IF(VLOOKUP($B300,'1. 현장별 인원현황'!$C:$J,2,0)=0,"",VLOOKUP($B300,'1. 현장별 인원현황'!$C:$J,2,0))</f>
        <v xml:space="preserve"> [2.현대엔지니어링] 상도동 지역주택조합 주상복합 신축사업</v>
      </c>
      <c r="D300" s="74" t="str">
        <f>IF(VLOOKUP($B300,'1. 현장별 인원현황'!$C:$J,3,0)=0,"",VLOOKUP($B300,'1. 현장별 인원현황'!$C:$J,3,0))</f>
        <v>권순영</v>
      </c>
      <c r="E300" s="74" t="str">
        <f ca="1">IF(VLOOKUP($B300,'1. 현장별 인원현황'!$C:$J,4,0)=0,"",VLOOKUP($B300,'1. 현장별 인원현황'!$C:$J,4,0))</f>
        <v>44세</v>
      </c>
      <c r="F300" s="70" t="str">
        <f>IF(VLOOKUP($B300,'1. 현장별 인원현황'!$C:$J,7,0)=0,"",VLOOKUP($B300,'1. 현장별 인원현황'!$C:$J,7,0))</f>
        <v>기능공</v>
      </c>
      <c r="G300" s="72" t="str">
        <f>IF(VLOOKUP($B300,'1. 현장별 인원현황'!$C:$J,8,0)=0,"",VLOOKUP($B300,'1. 현장별 인원현황'!$C:$J,8,0))</f>
        <v>전공</v>
      </c>
      <c r="H300" s="67" t="s">
        <v>69</v>
      </c>
      <c r="I300" s="73"/>
      <c r="J300" s="73"/>
      <c r="K300" s="68"/>
      <c r="L300" s="67" t="s">
        <v>69</v>
      </c>
      <c r="M300" s="73"/>
      <c r="N300" s="73"/>
      <c r="O300" s="68"/>
      <c r="P300" s="67" t="s">
        <v>69</v>
      </c>
      <c r="Q300" s="73"/>
      <c r="R300" s="73"/>
      <c r="S300" s="68"/>
      <c r="T300" s="67" t="s">
        <v>69</v>
      </c>
      <c r="U300" s="73"/>
      <c r="V300" s="73"/>
      <c r="W300" s="68"/>
      <c r="X300" s="67" t="s">
        <v>69</v>
      </c>
      <c r="Y300" s="73"/>
      <c r="Z300" s="73"/>
      <c r="AA300" s="68"/>
      <c r="AB300" s="67" t="s">
        <v>69</v>
      </c>
      <c r="AC300" s="73"/>
      <c r="AD300" s="73"/>
      <c r="AE300" s="68"/>
      <c r="AF300" s="67" t="s">
        <v>69</v>
      </c>
      <c r="AG300" s="73"/>
      <c r="AH300" s="73"/>
      <c r="AI300" s="68"/>
      <c r="AJ300" s="67" t="s">
        <v>69</v>
      </c>
      <c r="AK300" s="73"/>
      <c r="AL300" s="73"/>
      <c r="AM300" s="68"/>
      <c r="AN300" s="67">
        <f t="shared" si="275"/>
        <v>100</v>
      </c>
      <c r="AO300" s="68" t="str">
        <f t="shared" si="276"/>
        <v>S</v>
      </c>
      <c r="AR300" s="49">
        <f t="shared" si="277"/>
        <v>1</v>
      </c>
      <c r="AS300" s="49">
        <f t="shared" si="278"/>
        <v>0</v>
      </c>
      <c r="AT300" s="49">
        <f t="shared" si="279"/>
        <v>0</v>
      </c>
      <c r="AU300" s="49">
        <f t="shared" si="280"/>
        <v>0</v>
      </c>
      <c r="AV300" s="49">
        <f t="shared" si="281"/>
        <v>1</v>
      </c>
      <c r="AW300" s="49">
        <f t="shared" si="282"/>
        <v>0</v>
      </c>
      <c r="AX300" s="49">
        <f t="shared" si="283"/>
        <v>0</v>
      </c>
      <c r="AY300" s="49">
        <f t="shared" si="284"/>
        <v>0</v>
      </c>
      <c r="AZ300" s="49">
        <f t="shared" si="285"/>
        <v>1</v>
      </c>
      <c r="BA300" s="49">
        <f t="shared" si="286"/>
        <v>0</v>
      </c>
      <c r="BB300" s="49">
        <f t="shared" si="287"/>
        <v>0</v>
      </c>
      <c r="BC300" s="49">
        <f t="shared" si="288"/>
        <v>0</v>
      </c>
      <c r="BD300" s="49">
        <f t="shared" si="289"/>
        <v>1</v>
      </c>
      <c r="BE300" s="49">
        <f t="shared" si="290"/>
        <v>0</v>
      </c>
      <c r="BF300" s="49">
        <f t="shared" si="291"/>
        <v>0</v>
      </c>
      <c r="BG300" s="49">
        <f t="shared" si="292"/>
        <v>0</v>
      </c>
      <c r="BH300" s="49">
        <f t="shared" si="293"/>
        <v>1</v>
      </c>
      <c r="BI300" s="49">
        <f t="shared" si="294"/>
        <v>0</v>
      </c>
      <c r="BJ300" s="49">
        <f t="shared" si="295"/>
        <v>0</v>
      </c>
      <c r="BK300" s="49">
        <f t="shared" si="296"/>
        <v>0</v>
      </c>
      <c r="BL300" s="49">
        <f t="shared" si="297"/>
        <v>1</v>
      </c>
      <c r="BM300" s="49">
        <f t="shared" si="298"/>
        <v>0</v>
      </c>
      <c r="BN300" s="49">
        <f t="shared" si="299"/>
        <v>0</v>
      </c>
      <c r="BO300" s="49">
        <f t="shared" si="300"/>
        <v>0</v>
      </c>
      <c r="BP300" s="49">
        <f t="shared" si="301"/>
        <v>1</v>
      </c>
      <c r="BQ300" s="49">
        <f t="shared" si="302"/>
        <v>0</v>
      </c>
      <c r="BR300" s="49">
        <f t="shared" si="303"/>
        <v>0</v>
      </c>
      <c r="BS300" s="49">
        <f t="shared" si="304"/>
        <v>0</v>
      </c>
      <c r="BT300" s="49">
        <f t="shared" si="305"/>
        <v>1</v>
      </c>
      <c r="BU300" s="49">
        <f t="shared" si="306"/>
        <v>0</v>
      </c>
      <c r="BV300" s="49">
        <f t="shared" si="307"/>
        <v>0</v>
      </c>
      <c r="BW300" s="49">
        <f t="shared" si="308"/>
        <v>0</v>
      </c>
    </row>
    <row r="301" spans="1:75" ht="35.1" customHeight="1" x14ac:dyDescent="0.3">
      <c r="A301" s="123" t="str">
        <f t="shared" si="273"/>
        <v>3팀</v>
      </c>
      <c r="B301" s="69">
        <f t="shared" si="274"/>
        <v>295</v>
      </c>
      <c r="C301" s="121" t="str">
        <f>IF(VLOOKUP($B301,'1. 현장별 인원현황'!$C:$J,2,0)=0,"",VLOOKUP($B301,'1. 현장별 인원현황'!$C:$J,2,0))</f>
        <v xml:space="preserve"> [3.DL건설] 인천 검단신도시 AA29BL 공동주택 신축공사</v>
      </c>
      <c r="D301" s="74" t="str">
        <f>IF(VLOOKUP($B301,'1. 현장별 인원현황'!$C:$J,3,0)=0,"",VLOOKUP($B301,'1. 현장별 인원현황'!$C:$J,3,0))</f>
        <v>박상현</v>
      </c>
      <c r="E301" s="74" t="str">
        <f ca="1">IF(VLOOKUP($B301,'1. 현장별 인원현황'!$C:$J,4,0)=0,"",VLOOKUP($B301,'1. 현장별 인원현황'!$C:$J,4,0))</f>
        <v>32세</v>
      </c>
      <c r="F301" s="70" t="str">
        <f>IF(VLOOKUP($B301,'1. 현장별 인원현황'!$C:$J,7,0)=0,"",VLOOKUP($B301,'1. 현장별 인원현황'!$C:$J,7,0))</f>
        <v>공무</v>
      </c>
      <c r="G301" s="72" t="str">
        <f>IF(VLOOKUP($B301,'1. 현장별 인원현황'!$C:$J,8,0)=0,"",VLOOKUP($B301,'1. 현장별 인원현황'!$C:$J,8,0))</f>
        <v>대리</v>
      </c>
      <c r="H301" s="67" t="s">
        <v>69</v>
      </c>
      <c r="I301" s="73"/>
      <c r="J301" s="73"/>
      <c r="K301" s="68"/>
      <c r="L301" s="67"/>
      <c r="M301" s="73" t="s">
        <v>69</v>
      </c>
      <c r="N301" s="73"/>
      <c r="O301" s="68"/>
      <c r="P301" s="67" t="s">
        <v>69</v>
      </c>
      <c r="Q301" s="73"/>
      <c r="R301" s="73"/>
      <c r="S301" s="68"/>
      <c r="T301" s="67" t="s">
        <v>69</v>
      </c>
      <c r="U301" s="73"/>
      <c r="V301" s="73"/>
      <c r="W301" s="68"/>
      <c r="X301" s="67" t="s">
        <v>69</v>
      </c>
      <c r="Y301" s="73"/>
      <c r="Z301" s="73"/>
      <c r="AA301" s="68"/>
      <c r="AB301" s="67" t="s">
        <v>69</v>
      </c>
      <c r="AC301" s="73"/>
      <c r="AD301" s="73"/>
      <c r="AE301" s="68"/>
      <c r="AF301" s="67" t="s">
        <v>69</v>
      </c>
      <c r="AG301" s="73"/>
      <c r="AH301" s="73"/>
      <c r="AI301" s="68"/>
      <c r="AJ301" s="67" t="s">
        <v>69</v>
      </c>
      <c r="AK301" s="73"/>
      <c r="AL301" s="73"/>
      <c r="AM301" s="68"/>
      <c r="AN301" s="67">
        <f t="shared" si="275"/>
        <v>96</v>
      </c>
      <c r="AO301" s="68" t="str">
        <f t="shared" si="276"/>
        <v>S</v>
      </c>
      <c r="AR301" s="49">
        <f t="shared" si="277"/>
        <v>1</v>
      </c>
      <c r="AS301" s="49">
        <f t="shared" si="278"/>
        <v>0</v>
      </c>
      <c r="AT301" s="49">
        <f t="shared" si="279"/>
        <v>0</v>
      </c>
      <c r="AU301" s="49">
        <f t="shared" si="280"/>
        <v>0</v>
      </c>
      <c r="AV301" s="49">
        <f t="shared" si="281"/>
        <v>0</v>
      </c>
      <c r="AW301" s="49">
        <f t="shared" si="282"/>
        <v>1</v>
      </c>
      <c r="AX301" s="49">
        <f t="shared" si="283"/>
        <v>0</v>
      </c>
      <c r="AY301" s="49">
        <f t="shared" si="284"/>
        <v>0</v>
      </c>
      <c r="AZ301" s="49">
        <f t="shared" si="285"/>
        <v>1</v>
      </c>
      <c r="BA301" s="49">
        <f t="shared" si="286"/>
        <v>0</v>
      </c>
      <c r="BB301" s="49">
        <f t="shared" si="287"/>
        <v>0</v>
      </c>
      <c r="BC301" s="49">
        <f t="shared" si="288"/>
        <v>0</v>
      </c>
      <c r="BD301" s="49">
        <f t="shared" si="289"/>
        <v>1</v>
      </c>
      <c r="BE301" s="49">
        <f t="shared" si="290"/>
        <v>0</v>
      </c>
      <c r="BF301" s="49">
        <f t="shared" si="291"/>
        <v>0</v>
      </c>
      <c r="BG301" s="49">
        <f t="shared" si="292"/>
        <v>0</v>
      </c>
      <c r="BH301" s="49">
        <f t="shared" si="293"/>
        <v>1</v>
      </c>
      <c r="BI301" s="49">
        <f t="shared" si="294"/>
        <v>0</v>
      </c>
      <c r="BJ301" s="49">
        <f t="shared" si="295"/>
        <v>0</v>
      </c>
      <c r="BK301" s="49">
        <f t="shared" si="296"/>
        <v>0</v>
      </c>
      <c r="BL301" s="49">
        <f t="shared" si="297"/>
        <v>1</v>
      </c>
      <c r="BM301" s="49">
        <f t="shared" si="298"/>
        <v>0</v>
      </c>
      <c r="BN301" s="49">
        <f t="shared" si="299"/>
        <v>0</v>
      </c>
      <c r="BO301" s="49">
        <f t="shared" si="300"/>
        <v>0</v>
      </c>
      <c r="BP301" s="49">
        <f t="shared" si="301"/>
        <v>1</v>
      </c>
      <c r="BQ301" s="49">
        <f t="shared" si="302"/>
        <v>0</v>
      </c>
      <c r="BR301" s="49">
        <f t="shared" si="303"/>
        <v>0</v>
      </c>
      <c r="BS301" s="49">
        <f t="shared" si="304"/>
        <v>0</v>
      </c>
      <c r="BT301" s="49">
        <f t="shared" si="305"/>
        <v>1</v>
      </c>
      <c r="BU301" s="49">
        <f t="shared" si="306"/>
        <v>0</v>
      </c>
      <c r="BV301" s="49">
        <f t="shared" si="307"/>
        <v>0</v>
      </c>
      <c r="BW301" s="49">
        <f t="shared" si="308"/>
        <v>0</v>
      </c>
    </row>
    <row r="302" spans="1:75" ht="35.1" customHeight="1" x14ac:dyDescent="0.3">
      <c r="A302" s="123" t="str">
        <f t="shared" si="273"/>
        <v>3팀</v>
      </c>
      <c r="B302" s="69">
        <f t="shared" si="274"/>
        <v>296</v>
      </c>
      <c r="C302" s="121" t="str">
        <f>IF(VLOOKUP($B302,'1. 현장별 인원현황'!$C:$J,2,0)=0,"",VLOOKUP($B302,'1. 현장별 인원현황'!$C:$J,2,0))</f>
        <v xml:space="preserve"> [3.DL건설] 인천 검단신도시 AA29BL 공동주택 신축공사</v>
      </c>
      <c r="D302" s="74" t="str">
        <f>IF(VLOOKUP($B302,'1. 현장별 인원현황'!$C:$J,3,0)=0,"",VLOOKUP($B302,'1. 현장별 인원현황'!$C:$J,3,0))</f>
        <v>신종우</v>
      </c>
      <c r="E302" s="74" t="str">
        <f ca="1">IF(VLOOKUP($B302,'1. 현장별 인원현황'!$C:$J,4,0)=0,"",VLOOKUP($B302,'1. 현장별 인원현황'!$C:$J,4,0))</f>
        <v>53세</v>
      </c>
      <c r="F302" s="70" t="str">
        <f>IF(VLOOKUP($B302,'1. 현장별 인원현황'!$C:$J,7,0)=0,"",VLOOKUP($B302,'1. 현장별 인원현황'!$C:$J,7,0))</f>
        <v>공사</v>
      </c>
      <c r="G302" s="72" t="str">
        <f>IF(VLOOKUP($B302,'1. 현장별 인원현황'!$C:$J,8,0)=0,"",VLOOKUP($B302,'1. 현장별 인원현황'!$C:$J,8,0))</f>
        <v>차장</v>
      </c>
      <c r="H302" s="67" t="s">
        <v>69</v>
      </c>
      <c r="I302" s="73"/>
      <c r="J302" s="73"/>
      <c r="K302" s="68"/>
      <c r="L302" s="67"/>
      <c r="M302" s="73" t="s">
        <v>69</v>
      </c>
      <c r="N302" s="73"/>
      <c r="O302" s="68"/>
      <c r="P302" s="67" t="s">
        <v>69</v>
      </c>
      <c r="Q302" s="73"/>
      <c r="R302" s="73"/>
      <c r="S302" s="68"/>
      <c r="T302" s="67" t="s">
        <v>69</v>
      </c>
      <c r="U302" s="73"/>
      <c r="V302" s="73"/>
      <c r="W302" s="68"/>
      <c r="X302" s="67" t="s">
        <v>69</v>
      </c>
      <c r="Y302" s="73"/>
      <c r="Z302" s="73"/>
      <c r="AA302" s="68"/>
      <c r="AB302" s="67" t="s">
        <v>69</v>
      </c>
      <c r="AC302" s="73"/>
      <c r="AD302" s="73"/>
      <c r="AE302" s="68"/>
      <c r="AF302" s="67" t="s">
        <v>69</v>
      </c>
      <c r="AG302" s="73"/>
      <c r="AH302" s="73"/>
      <c r="AI302" s="68"/>
      <c r="AJ302" s="67" t="s">
        <v>69</v>
      </c>
      <c r="AK302" s="73"/>
      <c r="AL302" s="73"/>
      <c r="AM302" s="68"/>
      <c r="AN302" s="67">
        <f t="shared" si="275"/>
        <v>96</v>
      </c>
      <c r="AO302" s="68" t="str">
        <f t="shared" si="276"/>
        <v>S</v>
      </c>
      <c r="AR302" s="49">
        <f t="shared" si="277"/>
        <v>1</v>
      </c>
      <c r="AS302" s="49">
        <f t="shared" si="278"/>
        <v>0</v>
      </c>
      <c r="AT302" s="49">
        <f t="shared" si="279"/>
        <v>0</v>
      </c>
      <c r="AU302" s="49">
        <f t="shared" si="280"/>
        <v>0</v>
      </c>
      <c r="AV302" s="49">
        <f t="shared" si="281"/>
        <v>0</v>
      </c>
      <c r="AW302" s="49">
        <f t="shared" si="282"/>
        <v>1</v>
      </c>
      <c r="AX302" s="49">
        <f t="shared" si="283"/>
        <v>0</v>
      </c>
      <c r="AY302" s="49">
        <f t="shared" si="284"/>
        <v>0</v>
      </c>
      <c r="AZ302" s="49">
        <f t="shared" si="285"/>
        <v>1</v>
      </c>
      <c r="BA302" s="49">
        <f t="shared" si="286"/>
        <v>0</v>
      </c>
      <c r="BB302" s="49">
        <f t="shared" si="287"/>
        <v>0</v>
      </c>
      <c r="BC302" s="49">
        <f t="shared" si="288"/>
        <v>0</v>
      </c>
      <c r="BD302" s="49">
        <f t="shared" si="289"/>
        <v>1</v>
      </c>
      <c r="BE302" s="49">
        <f t="shared" si="290"/>
        <v>0</v>
      </c>
      <c r="BF302" s="49">
        <f t="shared" si="291"/>
        <v>0</v>
      </c>
      <c r="BG302" s="49">
        <f t="shared" si="292"/>
        <v>0</v>
      </c>
      <c r="BH302" s="49">
        <f t="shared" si="293"/>
        <v>1</v>
      </c>
      <c r="BI302" s="49">
        <f t="shared" si="294"/>
        <v>0</v>
      </c>
      <c r="BJ302" s="49">
        <f t="shared" si="295"/>
        <v>0</v>
      </c>
      <c r="BK302" s="49">
        <f t="shared" si="296"/>
        <v>0</v>
      </c>
      <c r="BL302" s="49">
        <f t="shared" si="297"/>
        <v>1</v>
      </c>
      <c r="BM302" s="49">
        <f t="shared" si="298"/>
        <v>0</v>
      </c>
      <c r="BN302" s="49">
        <f t="shared" si="299"/>
        <v>0</v>
      </c>
      <c r="BO302" s="49">
        <f t="shared" si="300"/>
        <v>0</v>
      </c>
      <c r="BP302" s="49">
        <f t="shared" si="301"/>
        <v>1</v>
      </c>
      <c r="BQ302" s="49">
        <f t="shared" si="302"/>
        <v>0</v>
      </c>
      <c r="BR302" s="49">
        <f t="shared" si="303"/>
        <v>0</v>
      </c>
      <c r="BS302" s="49">
        <f t="shared" si="304"/>
        <v>0</v>
      </c>
      <c r="BT302" s="49">
        <f t="shared" si="305"/>
        <v>1</v>
      </c>
      <c r="BU302" s="49">
        <f t="shared" si="306"/>
        <v>0</v>
      </c>
      <c r="BV302" s="49">
        <f t="shared" si="307"/>
        <v>0</v>
      </c>
      <c r="BW302" s="49">
        <f t="shared" si="308"/>
        <v>0</v>
      </c>
    </row>
    <row r="303" spans="1:75" ht="35.1" customHeight="1" x14ac:dyDescent="0.3">
      <c r="A303" s="123" t="str">
        <f t="shared" si="273"/>
        <v>3팀</v>
      </c>
      <c r="B303" s="69">
        <f t="shared" si="274"/>
        <v>297</v>
      </c>
      <c r="C303" s="121" t="str">
        <f>IF(VLOOKUP($B303,'1. 현장별 인원현황'!$C:$J,2,0)=0,"",VLOOKUP($B303,'1. 현장별 인원현황'!$C:$J,2,0))</f>
        <v xml:space="preserve"> [3.DL건설] 인천 검단신도시 AA29BL 공동주택 신축공사</v>
      </c>
      <c r="D303" s="74" t="str">
        <f>IF(VLOOKUP($B303,'1. 현장별 인원현황'!$C:$J,3,0)=0,"",VLOOKUP($B303,'1. 현장별 인원현황'!$C:$J,3,0))</f>
        <v>이건수</v>
      </c>
      <c r="E303" s="74" t="str">
        <f ca="1">IF(VLOOKUP($B303,'1. 현장별 인원현황'!$C:$J,4,0)=0,"",VLOOKUP($B303,'1. 현장별 인원현황'!$C:$J,4,0))</f>
        <v>34세</v>
      </c>
      <c r="F303" s="70" t="str">
        <f>IF(VLOOKUP($B303,'1. 현장별 인원현황'!$C:$J,7,0)=0,"",VLOOKUP($B303,'1. 현장별 인원현황'!$C:$J,7,0))</f>
        <v>기능공</v>
      </c>
      <c r="G303" s="72" t="str">
        <f>IF(VLOOKUP($B303,'1. 현장별 인원현황'!$C:$J,8,0)=0,"",VLOOKUP($B303,'1. 현장별 인원현황'!$C:$J,8,0))</f>
        <v>전공</v>
      </c>
      <c r="H303" s="67" t="s">
        <v>69</v>
      </c>
      <c r="I303" s="73"/>
      <c r="J303" s="73"/>
      <c r="K303" s="68"/>
      <c r="L303" s="67"/>
      <c r="M303" s="73" t="s">
        <v>69</v>
      </c>
      <c r="N303" s="73"/>
      <c r="O303" s="68"/>
      <c r="P303" s="67" t="s">
        <v>69</v>
      </c>
      <c r="Q303" s="73"/>
      <c r="R303" s="73"/>
      <c r="S303" s="68"/>
      <c r="T303" s="67" t="s">
        <v>69</v>
      </c>
      <c r="U303" s="73"/>
      <c r="V303" s="73"/>
      <c r="W303" s="68"/>
      <c r="X303" s="67" t="s">
        <v>69</v>
      </c>
      <c r="Y303" s="73"/>
      <c r="Z303" s="73"/>
      <c r="AA303" s="68"/>
      <c r="AB303" s="67" t="s">
        <v>69</v>
      </c>
      <c r="AC303" s="73"/>
      <c r="AD303" s="73"/>
      <c r="AE303" s="68"/>
      <c r="AF303" s="67" t="s">
        <v>69</v>
      </c>
      <c r="AG303" s="73"/>
      <c r="AH303" s="73"/>
      <c r="AI303" s="68"/>
      <c r="AJ303" s="67" t="s">
        <v>69</v>
      </c>
      <c r="AK303" s="73"/>
      <c r="AL303" s="73"/>
      <c r="AM303" s="68"/>
      <c r="AN303" s="67">
        <f t="shared" si="275"/>
        <v>96</v>
      </c>
      <c r="AO303" s="68" t="str">
        <f t="shared" si="276"/>
        <v>S</v>
      </c>
      <c r="AR303" s="49">
        <f t="shared" si="277"/>
        <v>1</v>
      </c>
      <c r="AS303" s="49">
        <f t="shared" si="278"/>
        <v>0</v>
      </c>
      <c r="AT303" s="49">
        <f t="shared" si="279"/>
        <v>0</v>
      </c>
      <c r="AU303" s="49">
        <f t="shared" si="280"/>
        <v>0</v>
      </c>
      <c r="AV303" s="49">
        <f t="shared" si="281"/>
        <v>0</v>
      </c>
      <c r="AW303" s="49">
        <f t="shared" si="282"/>
        <v>1</v>
      </c>
      <c r="AX303" s="49">
        <f t="shared" si="283"/>
        <v>0</v>
      </c>
      <c r="AY303" s="49">
        <f t="shared" si="284"/>
        <v>0</v>
      </c>
      <c r="AZ303" s="49">
        <f t="shared" si="285"/>
        <v>1</v>
      </c>
      <c r="BA303" s="49">
        <f t="shared" si="286"/>
        <v>0</v>
      </c>
      <c r="BB303" s="49">
        <f t="shared" si="287"/>
        <v>0</v>
      </c>
      <c r="BC303" s="49">
        <f t="shared" si="288"/>
        <v>0</v>
      </c>
      <c r="BD303" s="49">
        <f t="shared" si="289"/>
        <v>1</v>
      </c>
      <c r="BE303" s="49">
        <f t="shared" si="290"/>
        <v>0</v>
      </c>
      <c r="BF303" s="49">
        <f t="shared" si="291"/>
        <v>0</v>
      </c>
      <c r="BG303" s="49">
        <f t="shared" si="292"/>
        <v>0</v>
      </c>
      <c r="BH303" s="49">
        <f t="shared" si="293"/>
        <v>1</v>
      </c>
      <c r="BI303" s="49">
        <f t="shared" si="294"/>
        <v>0</v>
      </c>
      <c r="BJ303" s="49">
        <f t="shared" si="295"/>
        <v>0</v>
      </c>
      <c r="BK303" s="49">
        <f t="shared" si="296"/>
        <v>0</v>
      </c>
      <c r="BL303" s="49">
        <f t="shared" si="297"/>
        <v>1</v>
      </c>
      <c r="BM303" s="49">
        <f t="shared" si="298"/>
        <v>0</v>
      </c>
      <c r="BN303" s="49">
        <f t="shared" si="299"/>
        <v>0</v>
      </c>
      <c r="BO303" s="49">
        <f t="shared" si="300"/>
        <v>0</v>
      </c>
      <c r="BP303" s="49">
        <f t="shared" si="301"/>
        <v>1</v>
      </c>
      <c r="BQ303" s="49">
        <f t="shared" si="302"/>
        <v>0</v>
      </c>
      <c r="BR303" s="49">
        <f t="shared" si="303"/>
        <v>0</v>
      </c>
      <c r="BS303" s="49">
        <f t="shared" si="304"/>
        <v>0</v>
      </c>
      <c r="BT303" s="49">
        <f t="shared" si="305"/>
        <v>1</v>
      </c>
      <c r="BU303" s="49">
        <f t="shared" si="306"/>
        <v>0</v>
      </c>
      <c r="BV303" s="49">
        <f t="shared" si="307"/>
        <v>0</v>
      </c>
      <c r="BW303" s="49">
        <f t="shared" si="308"/>
        <v>0</v>
      </c>
    </row>
    <row r="304" spans="1:75" ht="35.1" customHeight="1" x14ac:dyDescent="0.3">
      <c r="A304" s="123" t="str">
        <f t="shared" si="273"/>
        <v>3팀</v>
      </c>
      <c r="B304" s="69">
        <f t="shared" si="274"/>
        <v>298</v>
      </c>
      <c r="C304" s="121" t="str">
        <f>IF(VLOOKUP($B304,'1. 현장별 인원현황'!$C:$J,2,0)=0,"",VLOOKUP($B304,'1. 현장별 인원현황'!$C:$J,2,0))</f>
        <v xml:space="preserve"> [3.DL건설] 인천 검단신도시 AA29BL 공동주택 신축공사</v>
      </c>
      <c r="D304" s="74" t="str">
        <f>IF(VLOOKUP($B304,'1. 현장별 인원현황'!$C:$J,3,0)=0,"",VLOOKUP($B304,'1. 현장별 인원현황'!$C:$J,3,0))</f>
        <v>한지용</v>
      </c>
      <c r="E304" s="74" t="str">
        <f ca="1">IF(VLOOKUP($B304,'1. 현장별 인원현황'!$C:$J,4,0)=0,"",VLOOKUP($B304,'1. 현장별 인원현황'!$C:$J,4,0))</f>
        <v>53세</v>
      </c>
      <c r="F304" s="70" t="str">
        <f>IF(VLOOKUP($B304,'1. 현장별 인원현황'!$C:$J,7,0)=0,"",VLOOKUP($B304,'1. 현장별 인원현황'!$C:$J,7,0))</f>
        <v>기능공</v>
      </c>
      <c r="G304" s="72" t="str">
        <f>IF(VLOOKUP($B304,'1. 현장별 인원현황'!$C:$J,8,0)=0,"",VLOOKUP($B304,'1. 현장별 인원현황'!$C:$J,8,0))</f>
        <v>전공</v>
      </c>
      <c r="H304" s="67" t="s">
        <v>69</v>
      </c>
      <c r="I304" s="73"/>
      <c r="J304" s="73"/>
      <c r="K304" s="68"/>
      <c r="L304" s="67"/>
      <c r="M304" s="73" t="s">
        <v>69</v>
      </c>
      <c r="N304" s="73"/>
      <c r="O304" s="68"/>
      <c r="P304" s="67" t="s">
        <v>69</v>
      </c>
      <c r="Q304" s="73"/>
      <c r="R304" s="73"/>
      <c r="S304" s="68"/>
      <c r="T304" s="67" t="s">
        <v>69</v>
      </c>
      <c r="U304" s="73"/>
      <c r="V304" s="73"/>
      <c r="W304" s="68"/>
      <c r="X304" s="67" t="s">
        <v>69</v>
      </c>
      <c r="Y304" s="73"/>
      <c r="Z304" s="73"/>
      <c r="AA304" s="68"/>
      <c r="AB304" s="67" t="s">
        <v>69</v>
      </c>
      <c r="AC304" s="73"/>
      <c r="AD304" s="73"/>
      <c r="AE304" s="68"/>
      <c r="AF304" s="67" t="s">
        <v>69</v>
      </c>
      <c r="AG304" s="73"/>
      <c r="AH304" s="73"/>
      <c r="AI304" s="68"/>
      <c r="AJ304" s="67" t="s">
        <v>69</v>
      </c>
      <c r="AK304" s="73"/>
      <c r="AL304" s="73"/>
      <c r="AM304" s="68"/>
      <c r="AN304" s="67">
        <f t="shared" si="275"/>
        <v>96</v>
      </c>
      <c r="AO304" s="68" t="str">
        <f t="shared" si="276"/>
        <v>S</v>
      </c>
      <c r="AR304" s="49">
        <f t="shared" si="277"/>
        <v>1</v>
      </c>
      <c r="AS304" s="49">
        <f t="shared" si="278"/>
        <v>0</v>
      </c>
      <c r="AT304" s="49">
        <f t="shared" si="279"/>
        <v>0</v>
      </c>
      <c r="AU304" s="49">
        <f t="shared" si="280"/>
        <v>0</v>
      </c>
      <c r="AV304" s="49">
        <f t="shared" si="281"/>
        <v>0</v>
      </c>
      <c r="AW304" s="49">
        <f t="shared" si="282"/>
        <v>1</v>
      </c>
      <c r="AX304" s="49">
        <f t="shared" si="283"/>
        <v>0</v>
      </c>
      <c r="AY304" s="49">
        <f t="shared" si="284"/>
        <v>0</v>
      </c>
      <c r="AZ304" s="49">
        <f t="shared" si="285"/>
        <v>1</v>
      </c>
      <c r="BA304" s="49">
        <f t="shared" si="286"/>
        <v>0</v>
      </c>
      <c r="BB304" s="49">
        <f t="shared" si="287"/>
        <v>0</v>
      </c>
      <c r="BC304" s="49">
        <f t="shared" si="288"/>
        <v>0</v>
      </c>
      <c r="BD304" s="49">
        <f t="shared" si="289"/>
        <v>1</v>
      </c>
      <c r="BE304" s="49">
        <f t="shared" si="290"/>
        <v>0</v>
      </c>
      <c r="BF304" s="49">
        <f t="shared" si="291"/>
        <v>0</v>
      </c>
      <c r="BG304" s="49">
        <f t="shared" si="292"/>
        <v>0</v>
      </c>
      <c r="BH304" s="49">
        <f t="shared" si="293"/>
        <v>1</v>
      </c>
      <c r="BI304" s="49">
        <f t="shared" si="294"/>
        <v>0</v>
      </c>
      <c r="BJ304" s="49">
        <f t="shared" si="295"/>
        <v>0</v>
      </c>
      <c r="BK304" s="49">
        <f t="shared" si="296"/>
        <v>0</v>
      </c>
      <c r="BL304" s="49">
        <f t="shared" si="297"/>
        <v>1</v>
      </c>
      <c r="BM304" s="49">
        <f t="shared" si="298"/>
        <v>0</v>
      </c>
      <c r="BN304" s="49">
        <f t="shared" si="299"/>
        <v>0</v>
      </c>
      <c r="BO304" s="49">
        <f t="shared" si="300"/>
        <v>0</v>
      </c>
      <c r="BP304" s="49">
        <f t="shared" si="301"/>
        <v>1</v>
      </c>
      <c r="BQ304" s="49">
        <f t="shared" si="302"/>
        <v>0</v>
      </c>
      <c r="BR304" s="49">
        <f t="shared" si="303"/>
        <v>0</v>
      </c>
      <c r="BS304" s="49">
        <f t="shared" si="304"/>
        <v>0</v>
      </c>
      <c r="BT304" s="49">
        <f t="shared" si="305"/>
        <v>1</v>
      </c>
      <c r="BU304" s="49">
        <f t="shared" si="306"/>
        <v>0</v>
      </c>
      <c r="BV304" s="49">
        <f t="shared" si="307"/>
        <v>0</v>
      </c>
      <c r="BW304" s="49">
        <f t="shared" si="308"/>
        <v>0</v>
      </c>
    </row>
    <row r="305" spans="1:75" ht="35.1" customHeight="1" x14ac:dyDescent="0.3">
      <c r="A305" s="123" t="str">
        <f t="shared" si="273"/>
        <v>3팀</v>
      </c>
      <c r="B305" s="69">
        <f t="shared" si="274"/>
        <v>299</v>
      </c>
      <c r="C305" s="121" t="str">
        <f>IF(VLOOKUP($B305,'1. 현장별 인원현황'!$C:$J,2,0)=0,"",VLOOKUP($B305,'1. 현장별 인원현황'!$C:$J,2,0))</f>
        <v xml:space="preserve"> [3.DL건설] 인천 검단신도시 AA29BL 공동주택 신축공사</v>
      </c>
      <c r="D305" s="74" t="str">
        <f>IF(VLOOKUP($B305,'1. 현장별 인원현황'!$C:$J,3,0)=0,"",VLOOKUP($B305,'1. 현장별 인원현황'!$C:$J,3,0))</f>
        <v>성희현</v>
      </c>
      <c r="E305" s="74" t="str">
        <f ca="1">IF(VLOOKUP($B305,'1. 현장별 인원현황'!$C:$J,4,0)=0,"",VLOOKUP($B305,'1. 현장별 인원현황'!$C:$J,4,0))</f>
        <v>56세</v>
      </c>
      <c r="F305" s="70" t="str">
        <f>IF(VLOOKUP($B305,'1. 현장별 인원현황'!$C:$J,7,0)=0,"",VLOOKUP($B305,'1. 현장별 인원현황'!$C:$J,7,0))</f>
        <v>기능공</v>
      </c>
      <c r="G305" s="72" t="str">
        <f>IF(VLOOKUP($B305,'1. 현장별 인원현황'!$C:$J,8,0)=0,"",VLOOKUP($B305,'1. 현장별 인원현황'!$C:$J,8,0))</f>
        <v>전공</v>
      </c>
      <c r="H305" s="67" t="s">
        <v>69</v>
      </c>
      <c r="I305" s="73"/>
      <c r="J305" s="73"/>
      <c r="K305" s="68"/>
      <c r="L305" s="67"/>
      <c r="M305" s="73" t="s">
        <v>69</v>
      </c>
      <c r="N305" s="73"/>
      <c r="O305" s="68"/>
      <c r="P305" s="67" t="s">
        <v>69</v>
      </c>
      <c r="Q305" s="73"/>
      <c r="R305" s="73"/>
      <c r="S305" s="68"/>
      <c r="T305" s="67" t="s">
        <v>69</v>
      </c>
      <c r="U305" s="73"/>
      <c r="V305" s="73"/>
      <c r="W305" s="68"/>
      <c r="X305" s="67" t="s">
        <v>69</v>
      </c>
      <c r="Y305" s="73"/>
      <c r="Z305" s="73"/>
      <c r="AA305" s="68"/>
      <c r="AB305" s="67" t="s">
        <v>69</v>
      </c>
      <c r="AC305" s="73"/>
      <c r="AD305" s="73"/>
      <c r="AE305" s="68"/>
      <c r="AF305" s="67" t="s">
        <v>69</v>
      </c>
      <c r="AG305" s="73"/>
      <c r="AH305" s="73"/>
      <c r="AI305" s="68"/>
      <c r="AJ305" s="67" t="s">
        <v>69</v>
      </c>
      <c r="AK305" s="73"/>
      <c r="AL305" s="73"/>
      <c r="AM305" s="68"/>
      <c r="AN305" s="67">
        <f t="shared" si="275"/>
        <v>96</v>
      </c>
      <c r="AO305" s="68" t="str">
        <f t="shared" si="276"/>
        <v>S</v>
      </c>
      <c r="AR305" s="49">
        <f t="shared" si="277"/>
        <v>1</v>
      </c>
      <c r="AS305" s="49">
        <f t="shared" si="278"/>
        <v>0</v>
      </c>
      <c r="AT305" s="49">
        <f t="shared" si="279"/>
        <v>0</v>
      </c>
      <c r="AU305" s="49">
        <f t="shared" si="280"/>
        <v>0</v>
      </c>
      <c r="AV305" s="49">
        <f t="shared" si="281"/>
        <v>0</v>
      </c>
      <c r="AW305" s="49">
        <f t="shared" si="282"/>
        <v>1</v>
      </c>
      <c r="AX305" s="49">
        <f t="shared" si="283"/>
        <v>0</v>
      </c>
      <c r="AY305" s="49">
        <f t="shared" si="284"/>
        <v>0</v>
      </c>
      <c r="AZ305" s="49">
        <f t="shared" si="285"/>
        <v>1</v>
      </c>
      <c r="BA305" s="49">
        <f t="shared" si="286"/>
        <v>0</v>
      </c>
      <c r="BB305" s="49">
        <f t="shared" si="287"/>
        <v>0</v>
      </c>
      <c r="BC305" s="49">
        <f t="shared" si="288"/>
        <v>0</v>
      </c>
      <c r="BD305" s="49">
        <f t="shared" si="289"/>
        <v>1</v>
      </c>
      <c r="BE305" s="49">
        <f t="shared" si="290"/>
        <v>0</v>
      </c>
      <c r="BF305" s="49">
        <f t="shared" si="291"/>
        <v>0</v>
      </c>
      <c r="BG305" s="49">
        <f t="shared" si="292"/>
        <v>0</v>
      </c>
      <c r="BH305" s="49">
        <f t="shared" si="293"/>
        <v>1</v>
      </c>
      <c r="BI305" s="49">
        <f t="shared" si="294"/>
        <v>0</v>
      </c>
      <c r="BJ305" s="49">
        <f t="shared" si="295"/>
        <v>0</v>
      </c>
      <c r="BK305" s="49">
        <f t="shared" si="296"/>
        <v>0</v>
      </c>
      <c r="BL305" s="49">
        <f t="shared" si="297"/>
        <v>1</v>
      </c>
      <c r="BM305" s="49">
        <f t="shared" si="298"/>
        <v>0</v>
      </c>
      <c r="BN305" s="49">
        <f t="shared" si="299"/>
        <v>0</v>
      </c>
      <c r="BO305" s="49">
        <f t="shared" si="300"/>
        <v>0</v>
      </c>
      <c r="BP305" s="49">
        <f t="shared" si="301"/>
        <v>1</v>
      </c>
      <c r="BQ305" s="49">
        <f t="shared" si="302"/>
        <v>0</v>
      </c>
      <c r="BR305" s="49">
        <f t="shared" si="303"/>
        <v>0</v>
      </c>
      <c r="BS305" s="49">
        <f t="shared" si="304"/>
        <v>0</v>
      </c>
      <c r="BT305" s="49">
        <f t="shared" si="305"/>
        <v>1</v>
      </c>
      <c r="BU305" s="49">
        <f t="shared" si="306"/>
        <v>0</v>
      </c>
      <c r="BV305" s="49">
        <f t="shared" si="307"/>
        <v>0</v>
      </c>
      <c r="BW305" s="49">
        <f t="shared" si="308"/>
        <v>0</v>
      </c>
    </row>
    <row r="306" spans="1:75" ht="35.1" customHeight="1" x14ac:dyDescent="0.3">
      <c r="A306" s="123" t="str">
        <f t="shared" si="273"/>
        <v>3팀</v>
      </c>
      <c r="B306" s="69">
        <f t="shared" si="274"/>
        <v>300</v>
      </c>
      <c r="C306" s="121" t="str">
        <f>IF(VLOOKUP($B306,'1. 현장별 인원현황'!$C:$J,2,0)=0,"",VLOOKUP($B306,'1. 현장별 인원현황'!$C:$J,2,0))</f>
        <v xml:space="preserve"> [3.DL건설] 인천 검단신도시 AA29BL 공동주택 신축공사</v>
      </c>
      <c r="D306" s="74" t="str">
        <f>IF(VLOOKUP($B306,'1. 현장별 인원현황'!$C:$J,3,0)=0,"",VLOOKUP($B306,'1. 현장별 인원현황'!$C:$J,3,0))</f>
        <v>김수응</v>
      </c>
      <c r="E306" s="74" t="str">
        <f ca="1">IF(VLOOKUP($B306,'1. 현장별 인원현황'!$C:$J,4,0)=0,"",VLOOKUP($B306,'1. 현장별 인원현황'!$C:$J,4,0))</f>
        <v>34세</v>
      </c>
      <c r="F306" s="70" t="str">
        <f>IF(VLOOKUP($B306,'1. 현장별 인원현황'!$C:$J,7,0)=0,"",VLOOKUP($B306,'1. 현장별 인원현황'!$C:$J,7,0))</f>
        <v>기능공</v>
      </c>
      <c r="G306" s="72" t="str">
        <f>IF(VLOOKUP($B306,'1. 현장별 인원현황'!$C:$J,8,0)=0,"",VLOOKUP($B306,'1. 현장별 인원현황'!$C:$J,8,0))</f>
        <v>조공</v>
      </c>
      <c r="H306" s="67" t="s">
        <v>69</v>
      </c>
      <c r="I306" s="73"/>
      <c r="J306" s="73"/>
      <c r="K306" s="68"/>
      <c r="L306" s="67"/>
      <c r="M306" s="73" t="s">
        <v>69</v>
      </c>
      <c r="N306" s="73"/>
      <c r="O306" s="68"/>
      <c r="P306" s="67" t="s">
        <v>69</v>
      </c>
      <c r="Q306" s="73"/>
      <c r="R306" s="73"/>
      <c r="S306" s="68"/>
      <c r="T306" s="67" t="s">
        <v>69</v>
      </c>
      <c r="U306" s="73"/>
      <c r="V306" s="73"/>
      <c r="W306" s="68"/>
      <c r="X306" s="67" t="s">
        <v>69</v>
      </c>
      <c r="Y306" s="73"/>
      <c r="Z306" s="73"/>
      <c r="AA306" s="68"/>
      <c r="AB306" s="67" t="s">
        <v>69</v>
      </c>
      <c r="AC306" s="73"/>
      <c r="AD306" s="73"/>
      <c r="AE306" s="68"/>
      <c r="AF306" s="67" t="s">
        <v>69</v>
      </c>
      <c r="AG306" s="73"/>
      <c r="AH306" s="73"/>
      <c r="AI306" s="68"/>
      <c r="AJ306" s="67" t="s">
        <v>69</v>
      </c>
      <c r="AK306" s="73"/>
      <c r="AL306" s="73"/>
      <c r="AM306" s="68"/>
      <c r="AN306" s="67">
        <f t="shared" si="275"/>
        <v>96</v>
      </c>
      <c r="AO306" s="68" t="str">
        <f t="shared" si="276"/>
        <v>S</v>
      </c>
      <c r="AR306" s="49">
        <f t="shared" si="277"/>
        <v>1</v>
      </c>
      <c r="AS306" s="49">
        <f t="shared" si="278"/>
        <v>0</v>
      </c>
      <c r="AT306" s="49">
        <f t="shared" si="279"/>
        <v>0</v>
      </c>
      <c r="AU306" s="49">
        <f t="shared" si="280"/>
        <v>0</v>
      </c>
      <c r="AV306" s="49">
        <f t="shared" si="281"/>
        <v>0</v>
      </c>
      <c r="AW306" s="49">
        <f t="shared" si="282"/>
        <v>1</v>
      </c>
      <c r="AX306" s="49">
        <f t="shared" si="283"/>
        <v>0</v>
      </c>
      <c r="AY306" s="49">
        <f t="shared" si="284"/>
        <v>0</v>
      </c>
      <c r="AZ306" s="49">
        <f t="shared" si="285"/>
        <v>1</v>
      </c>
      <c r="BA306" s="49">
        <f t="shared" si="286"/>
        <v>0</v>
      </c>
      <c r="BB306" s="49">
        <f t="shared" si="287"/>
        <v>0</v>
      </c>
      <c r="BC306" s="49">
        <f t="shared" si="288"/>
        <v>0</v>
      </c>
      <c r="BD306" s="49">
        <f t="shared" si="289"/>
        <v>1</v>
      </c>
      <c r="BE306" s="49">
        <f t="shared" si="290"/>
        <v>0</v>
      </c>
      <c r="BF306" s="49">
        <f t="shared" si="291"/>
        <v>0</v>
      </c>
      <c r="BG306" s="49">
        <f t="shared" si="292"/>
        <v>0</v>
      </c>
      <c r="BH306" s="49">
        <f t="shared" si="293"/>
        <v>1</v>
      </c>
      <c r="BI306" s="49">
        <f t="shared" si="294"/>
        <v>0</v>
      </c>
      <c r="BJ306" s="49">
        <f t="shared" si="295"/>
        <v>0</v>
      </c>
      <c r="BK306" s="49">
        <f t="shared" si="296"/>
        <v>0</v>
      </c>
      <c r="BL306" s="49">
        <f t="shared" si="297"/>
        <v>1</v>
      </c>
      <c r="BM306" s="49">
        <f t="shared" si="298"/>
        <v>0</v>
      </c>
      <c r="BN306" s="49">
        <f t="shared" si="299"/>
        <v>0</v>
      </c>
      <c r="BO306" s="49">
        <f t="shared" si="300"/>
        <v>0</v>
      </c>
      <c r="BP306" s="49">
        <f t="shared" si="301"/>
        <v>1</v>
      </c>
      <c r="BQ306" s="49">
        <f t="shared" si="302"/>
        <v>0</v>
      </c>
      <c r="BR306" s="49">
        <f t="shared" si="303"/>
        <v>0</v>
      </c>
      <c r="BS306" s="49">
        <f t="shared" si="304"/>
        <v>0</v>
      </c>
      <c r="BT306" s="49">
        <f t="shared" si="305"/>
        <v>1</v>
      </c>
      <c r="BU306" s="49">
        <f t="shared" si="306"/>
        <v>0</v>
      </c>
      <c r="BV306" s="49">
        <f t="shared" si="307"/>
        <v>0</v>
      </c>
      <c r="BW306" s="49">
        <f t="shared" si="308"/>
        <v>0</v>
      </c>
    </row>
    <row r="307" spans="1:75" ht="35.1" customHeight="1" x14ac:dyDescent="0.3">
      <c r="A307" s="123" t="str">
        <f t="shared" si="273"/>
        <v>3팀</v>
      </c>
      <c r="B307" s="69">
        <f t="shared" si="274"/>
        <v>301</v>
      </c>
      <c r="C307" s="121" t="str">
        <f>IF(VLOOKUP($B307,'1. 현장별 인원현황'!$C:$J,2,0)=0,"",VLOOKUP($B307,'1. 현장별 인원현황'!$C:$J,2,0))</f>
        <v xml:space="preserve"> [3.DL건설] 인천 검단신도시 AA29BL 공동주택 신축공사</v>
      </c>
      <c r="D307" s="74" t="str">
        <f>IF(VLOOKUP($B307,'1. 현장별 인원현황'!$C:$J,3,0)=0,"",VLOOKUP($B307,'1. 현장별 인원현황'!$C:$J,3,0))</f>
        <v>김태환</v>
      </c>
      <c r="E307" s="74" t="str">
        <f ca="1">IF(VLOOKUP($B307,'1. 현장별 인원현황'!$C:$J,4,0)=0,"",VLOOKUP($B307,'1. 현장별 인원현황'!$C:$J,4,0))</f>
        <v>62세</v>
      </c>
      <c r="F307" s="70" t="str">
        <f>IF(VLOOKUP($B307,'1. 현장별 인원현황'!$C:$J,7,0)=0,"",VLOOKUP($B307,'1. 현장별 인원현황'!$C:$J,7,0))</f>
        <v>기능공</v>
      </c>
      <c r="G307" s="72" t="str">
        <f>IF(VLOOKUP($B307,'1. 현장별 인원현황'!$C:$J,8,0)=0,"",VLOOKUP($B307,'1. 현장별 인원현황'!$C:$J,8,0))</f>
        <v>전공</v>
      </c>
      <c r="H307" s="67" t="s">
        <v>69</v>
      </c>
      <c r="I307" s="73"/>
      <c r="J307" s="73"/>
      <c r="K307" s="68"/>
      <c r="L307" s="67"/>
      <c r="M307" s="73" t="s">
        <v>69</v>
      </c>
      <c r="N307" s="73"/>
      <c r="O307" s="68"/>
      <c r="P307" s="67" t="s">
        <v>69</v>
      </c>
      <c r="Q307" s="73"/>
      <c r="R307" s="73"/>
      <c r="S307" s="68"/>
      <c r="T307" s="67" t="s">
        <v>69</v>
      </c>
      <c r="U307" s="73"/>
      <c r="V307" s="73"/>
      <c r="W307" s="68"/>
      <c r="X307" s="67" t="s">
        <v>69</v>
      </c>
      <c r="Y307" s="73"/>
      <c r="Z307" s="73"/>
      <c r="AA307" s="68"/>
      <c r="AB307" s="67" t="s">
        <v>69</v>
      </c>
      <c r="AC307" s="73"/>
      <c r="AD307" s="73"/>
      <c r="AE307" s="68"/>
      <c r="AF307" s="67" t="s">
        <v>69</v>
      </c>
      <c r="AG307" s="73"/>
      <c r="AH307" s="73"/>
      <c r="AI307" s="68"/>
      <c r="AJ307" s="67" t="s">
        <v>69</v>
      </c>
      <c r="AK307" s="73"/>
      <c r="AL307" s="73"/>
      <c r="AM307" s="68"/>
      <c r="AN307" s="67">
        <f t="shared" si="275"/>
        <v>96</v>
      </c>
      <c r="AO307" s="68" t="str">
        <f t="shared" si="276"/>
        <v>S</v>
      </c>
      <c r="AR307" s="49">
        <f t="shared" si="277"/>
        <v>1</v>
      </c>
      <c r="AS307" s="49">
        <f t="shared" si="278"/>
        <v>0</v>
      </c>
      <c r="AT307" s="49">
        <f t="shared" si="279"/>
        <v>0</v>
      </c>
      <c r="AU307" s="49">
        <f t="shared" si="280"/>
        <v>0</v>
      </c>
      <c r="AV307" s="49">
        <f t="shared" si="281"/>
        <v>0</v>
      </c>
      <c r="AW307" s="49">
        <f t="shared" si="282"/>
        <v>1</v>
      </c>
      <c r="AX307" s="49">
        <f t="shared" si="283"/>
        <v>0</v>
      </c>
      <c r="AY307" s="49">
        <f t="shared" si="284"/>
        <v>0</v>
      </c>
      <c r="AZ307" s="49">
        <f t="shared" si="285"/>
        <v>1</v>
      </c>
      <c r="BA307" s="49">
        <f t="shared" si="286"/>
        <v>0</v>
      </c>
      <c r="BB307" s="49">
        <f t="shared" si="287"/>
        <v>0</v>
      </c>
      <c r="BC307" s="49">
        <f t="shared" si="288"/>
        <v>0</v>
      </c>
      <c r="BD307" s="49">
        <f t="shared" si="289"/>
        <v>1</v>
      </c>
      <c r="BE307" s="49">
        <f t="shared" si="290"/>
        <v>0</v>
      </c>
      <c r="BF307" s="49">
        <f t="shared" si="291"/>
        <v>0</v>
      </c>
      <c r="BG307" s="49">
        <f t="shared" si="292"/>
        <v>0</v>
      </c>
      <c r="BH307" s="49">
        <f t="shared" si="293"/>
        <v>1</v>
      </c>
      <c r="BI307" s="49">
        <f t="shared" si="294"/>
        <v>0</v>
      </c>
      <c r="BJ307" s="49">
        <f t="shared" si="295"/>
        <v>0</v>
      </c>
      <c r="BK307" s="49">
        <f t="shared" si="296"/>
        <v>0</v>
      </c>
      <c r="BL307" s="49">
        <f t="shared" si="297"/>
        <v>1</v>
      </c>
      <c r="BM307" s="49">
        <f t="shared" si="298"/>
        <v>0</v>
      </c>
      <c r="BN307" s="49">
        <f t="shared" si="299"/>
        <v>0</v>
      </c>
      <c r="BO307" s="49">
        <f t="shared" si="300"/>
        <v>0</v>
      </c>
      <c r="BP307" s="49">
        <f t="shared" si="301"/>
        <v>1</v>
      </c>
      <c r="BQ307" s="49">
        <f t="shared" si="302"/>
        <v>0</v>
      </c>
      <c r="BR307" s="49">
        <f t="shared" si="303"/>
        <v>0</v>
      </c>
      <c r="BS307" s="49">
        <f t="shared" si="304"/>
        <v>0</v>
      </c>
      <c r="BT307" s="49">
        <f t="shared" si="305"/>
        <v>1</v>
      </c>
      <c r="BU307" s="49">
        <f t="shared" si="306"/>
        <v>0</v>
      </c>
      <c r="BV307" s="49">
        <f t="shared" si="307"/>
        <v>0</v>
      </c>
      <c r="BW307" s="49">
        <f t="shared" si="308"/>
        <v>0</v>
      </c>
    </row>
    <row r="308" spans="1:75" ht="35.1" customHeight="1" x14ac:dyDescent="0.3">
      <c r="A308" s="123" t="str">
        <f t="shared" si="273"/>
        <v>3팀</v>
      </c>
      <c r="B308" s="69">
        <f t="shared" si="274"/>
        <v>302</v>
      </c>
      <c r="C308" s="121" t="str">
        <f>IF(VLOOKUP($B308,'1. 현장별 인원현황'!$C:$J,2,0)=0,"",VLOOKUP($B308,'1. 현장별 인원현황'!$C:$J,2,0))</f>
        <v xml:space="preserve"> [3.DL건설] 인천 검단신도시 AA29BL 공동주택 신축공사</v>
      </c>
      <c r="D308" s="74" t="str">
        <f>IF(VLOOKUP($B308,'1. 현장별 인원현황'!$C:$J,3,0)=0,"",VLOOKUP($B308,'1. 현장별 인원현황'!$C:$J,3,0))</f>
        <v>이중석</v>
      </c>
      <c r="E308" s="74" t="str">
        <f ca="1">IF(VLOOKUP($B308,'1. 현장별 인원현황'!$C:$J,4,0)=0,"",VLOOKUP($B308,'1. 현장별 인원현황'!$C:$J,4,0))</f>
        <v>60세</v>
      </c>
      <c r="F308" s="70" t="str">
        <f>IF(VLOOKUP($B308,'1. 현장별 인원현황'!$C:$J,7,0)=0,"",VLOOKUP($B308,'1. 현장별 인원현황'!$C:$J,7,0))</f>
        <v>기능공</v>
      </c>
      <c r="G308" s="72" t="str">
        <f>IF(VLOOKUP($B308,'1. 현장별 인원현황'!$C:$J,8,0)=0,"",VLOOKUP($B308,'1. 현장별 인원현황'!$C:$J,8,0))</f>
        <v>전공</v>
      </c>
      <c r="H308" s="67" t="s">
        <v>69</v>
      </c>
      <c r="I308" s="73"/>
      <c r="J308" s="73"/>
      <c r="K308" s="68"/>
      <c r="L308" s="67"/>
      <c r="M308" s="73" t="s">
        <v>69</v>
      </c>
      <c r="N308" s="73"/>
      <c r="O308" s="68"/>
      <c r="P308" s="67" t="s">
        <v>69</v>
      </c>
      <c r="Q308" s="73"/>
      <c r="R308" s="73"/>
      <c r="S308" s="68"/>
      <c r="T308" s="67" t="s">
        <v>69</v>
      </c>
      <c r="U308" s="73"/>
      <c r="V308" s="73"/>
      <c r="W308" s="68"/>
      <c r="X308" s="67" t="s">
        <v>69</v>
      </c>
      <c r="Y308" s="73"/>
      <c r="Z308" s="73"/>
      <c r="AA308" s="68"/>
      <c r="AB308" s="67" t="s">
        <v>69</v>
      </c>
      <c r="AC308" s="73"/>
      <c r="AD308" s="73"/>
      <c r="AE308" s="68"/>
      <c r="AF308" s="67" t="s">
        <v>69</v>
      </c>
      <c r="AG308" s="73"/>
      <c r="AH308" s="73"/>
      <c r="AI308" s="68"/>
      <c r="AJ308" s="67" t="s">
        <v>69</v>
      </c>
      <c r="AK308" s="73"/>
      <c r="AL308" s="73"/>
      <c r="AM308" s="68"/>
      <c r="AN308" s="67">
        <f t="shared" si="275"/>
        <v>96</v>
      </c>
      <c r="AO308" s="68" t="str">
        <f t="shared" si="276"/>
        <v>S</v>
      </c>
      <c r="AR308" s="49">
        <f t="shared" si="41"/>
        <v>1</v>
      </c>
      <c r="AS308" s="49">
        <f t="shared" si="42"/>
        <v>0</v>
      </c>
      <c r="AT308" s="49">
        <f t="shared" si="43"/>
        <v>0</v>
      </c>
      <c r="AU308" s="49">
        <f t="shared" si="44"/>
        <v>0</v>
      </c>
      <c r="AV308" s="49">
        <f t="shared" si="45"/>
        <v>0</v>
      </c>
      <c r="AW308" s="49">
        <f t="shared" si="46"/>
        <v>1</v>
      </c>
      <c r="AX308" s="49">
        <f t="shared" si="47"/>
        <v>0</v>
      </c>
      <c r="AY308" s="49">
        <f t="shared" si="48"/>
        <v>0</v>
      </c>
      <c r="AZ308" s="49">
        <f t="shared" si="49"/>
        <v>1</v>
      </c>
      <c r="BA308" s="49">
        <f t="shared" si="50"/>
        <v>0</v>
      </c>
      <c r="BB308" s="49">
        <f t="shared" si="51"/>
        <v>0</v>
      </c>
      <c r="BC308" s="49">
        <f t="shared" si="52"/>
        <v>0</v>
      </c>
      <c r="BD308" s="49">
        <f t="shared" si="53"/>
        <v>1</v>
      </c>
      <c r="BE308" s="49">
        <f t="shared" si="54"/>
        <v>0</v>
      </c>
      <c r="BF308" s="49">
        <f t="shared" si="55"/>
        <v>0</v>
      </c>
      <c r="BG308" s="49">
        <f t="shared" si="56"/>
        <v>0</v>
      </c>
      <c r="BH308" s="49">
        <f t="shared" si="57"/>
        <v>1</v>
      </c>
      <c r="BI308" s="49">
        <f t="shared" si="58"/>
        <v>0</v>
      </c>
      <c r="BJ308" s="49">
        <f t="shared" si="59"/>
        <v>0</v>
      </c>
      <c r="BK308" s="49">
        <f t="shared" si="60"/>
        <v>0</v>
      </c>
      <c r="BL308" s="49">
        <f t="shared" si="61"/>
        <v>1</v>
      </c>
      <c r="BM308" s="49">
        <f t="shared" si="62"/>
        <v>0</v>
      </c>
      <c r="BN308" s="49">
        <f t="shared" si="63"/>
        <v>0</v>
      </c>
      <c r="BO308" s="49">
        <f t="shared" si="64"/>
        <v>0</v>
      </c>
      <c r="BP308" s="49">
        <f t="shared" si="65"/>
        <v>1</v>
      </c>
      <c r="BQ308" s="49">
        <f t="shared" si="66"/>
        <v>0</v>
      </c>
      <c r="BR308" s="49">
        <f t="shared" si="67"/>
        <v>0</v>
      </c>
      <c r="BS308" s="49">
        <f t="shared" si="68"/>
        <v>0</v>
      </c>
      <c r="BT308" s="49">
        <f t="shared" si="69"/>
        <v>1</v>
      </c>
      <c r="BU308" s="49">
        <f t="shared" si="70"/>
        <v>0</v>
      </c>
      <c r="BV308" s="49">
        <f t="shared" si="71"/>
        <v>0</v>
      </c>
      <c r="BW308" s="49">
        <f t="shared" si="72"/>
        <v>0</v>
      </c>
    </row>
    <row r="309" spans="1:75" ht="35.1" customHeight="1" x14ac:dyDescent="0.3">
      <c r="A309" s="123" t="str">
        <f t="shared" si="273"/>
        <v>3팀</v>
      </c>
      <c r="B309" s="69">
        <f t="shared" si="274"/>
        <v>303</v>
      </c>
      <c r="C309" s="121" t="str">
        <f>IF(VLOOKUP($B309,'1. 현장별 인원현황'!$C:$J,2,0)=0,"",VLOOKUP($B309,'1. 현장별 인원현황'!$C:$J,2,0))</f>
        <v xml:space="preserve"> [3.DL건설] 인천 검단신도시 AA29BL 공동주택 신축공사</v>
      </c>
      <c r="D309" s="74" t="str">
        <f>IF(VLOOKUP($B309,'1. 현장별 인원현황'!$C:$J,3,0)=0,"",VLOOKUP($B309,'1. 현장별 인원현황'!$C:$J,3,0))</f>
        <v>장덕근</v>
      </c>
      <c r="E309" s="74" t="str">
        <f ca="1">IF(VLOOKUP($B309,'1. 현장별 인원현황'!$C:$J,4,0)=0,"",VLOOKUP($B309,'1. 현장별 인원현황'!$C:$J,4,0))</f>
        <v>59세</v>
      </c>
      <c r="F309" s="70" t="str">
        <f>IF(VLOOKUP($B309,'1. 현장별 인원현황'!$C:$J,7,0)=0,"",VLOOKUP($B309,'1. 현장별 인원현황'!$C:$J,7,0))</f>
        <v>기능공</v>
      </c>
      <c r="G309" s="72" t="str">
        <f>IF(VLOOKUP($B309,'1. 현장별 인원현황'!$C:$J,8,0)=0,"",VLOOKUP($B309,'1. 현장별 인원현황'!$C:$J,8,0))</f>
        <v>전공</v>
      </c>
      <c r="H309" s="67" t="s">
        <v>69</v>
      </c>
      <c r="I309" s="73"/>
      <c r="J309" s="73"/>
      <c r="K309" s="68"/>
      <c r="L309" s="67"/>
      <c r="M309" s="73" t="s">
        <v>69</v>
      </c>
      <c r="N309" s="73"/>
      <c r="O309" s="68"/>
      <c r="P309" s="67" t="s">
        <v>69</v>
      </c>
      <c r="Q309" s="73"/>
      <c r="R309" s="73"/>
      <c r="S309" s="68"/>
      <c r="T309" s="67" t="s">
        <v>69</v>
      </c>
      <c r="U309" s="73"/>
      <c r="V309" s="73"/>
      <c r="W309" s="68"/>
      <c r="X309" s="67" t="s">
        <v>69</v>
      </c>
      <c r="Y309" s="73"/>
      <c r="Z309" s="73"/>
      <c r="AA309" s="68"/>
      <c r="AB309" s="67" t="s">
        <v>69</v>
      </c>
      <c r="AC309" s="73"/>
      <c r="AD309" s="73"/>
      <c r="AE309" s="68"/>
      <c r="AF309" s="67" t="s">
        <v>69</v>
      </c>
      <c r="AG309" s="73"/>
      <c r="AH309" s="73"/>
      <c r="AI309" s="68"/>
      <c r="AJ309" s="67" t="s">
        <v>69</v>
      </c>
      <c r="AK309" s="73"/>
      <c r="AL309" s="73"/>
      <c r="AM309" s="68"/>
      <c r="AN309" s="67">
        <f t="shared" si="275"/>
        <v>96</v>
      </c>
      <c r="AO309" s="68" t="str">
        <f t="shared" si="276"/>
        <v>S</v>
      </c>
      <c r="AR309" s="49">
        <f t="shared" si="41"/>
        <v>1</v>
      </c>
      <c r="AS309" s="49">
        <f t="shared" si="42"/>
        <v>0</v>
      </c>
      <c r="AT309" s="49">
        <f t="shared" si="43"/>
        <v>0</v>
      </c>
      <c r="AU309" s="49">
        <f t="shared" si="44"/>
        <v>0</v>
      </c>
      <c r="AV309" s="49">
        <f t="shared" si="45"/>
        <v>0</v>
      </c>
      <c r="AW309" s="49">
        <f t="shared" si="46"/>
        <v>1</v>
      </c>
      <c r="AX309" s="49">
        <f t="shared" si="47"/>
        <v>0</v>
      </c>
      <c r="AY309" s="49">
        <f t="shared" si="48"/>
        <v>0</v>
      </c>
      <c r="AZ309" s="49">
        <f t="shared" si="49"/>
        <v>1</v>
      </c>
      <c r="BA309" s="49">
        <f t="shared" si="50"/>
        <v>0</v>
      </c>
      <c r="BB309" s="49">
        <f t="shared" si="51"/>
        <v>0</v>
      </c>
      <c r="BC309" s="49">
        <f t="shared" si="52"/>
        <v>0</v>
      </c>
      <c r="BD309" s="49">
        <f t="shared" si="53"/>
        <v>1</v>
      </c>
      <c r="BE309" s="49">
        <f t="shared" si="54"/>
        <v>0</v>
      </c>
      <c r="BF309" s="49">
        <f t="shared" si="55"/>
        <v>0</v>
      </c>
      <c r="BG309" s="49">
        <f t="shared" si="56"/>
        <v>0</v>
      </c>
      <c r="BH309" s="49">
        <f t="shared" si="57"/>
        <v>1</v>
      </c>
      <c r="BI309" s="49">
        <f t="shared" si="58"/>
        <v>0</v>
      </c>
      <c r="BJ309" s="49">
        <f t="shared" si="59"/>
        <v>0</v>
      </c>
      <c r="BK309" s="49">
        <f t="shared" si="60"/>
        <v>0</v>
      </c>
      <c r="BL309" s="49">
        <f t="shared" si="61"/>
        <v>1</v>
      </c>
      <c r="BM309" s="49">
        <f t="shared" si="62"/>
        <v>0</v>
      </c>
      <c r="BN309" s="49">
        <f t="shared" si="63"/>
        <v>0</v>
      </c>
      <c r="BO309" s="49">
        <f t="shared" si="64"/>
        <v>0</v>
      </c>
      <c r="BP309" s="49">
        <f t="shared" si="65"/>
        <v>1</v>
      </c>
      <c r="BQ309" s="49">
        <f t="shared" si="66"/>
        <v>0</v>
      </c>
      <c r="BR309" s="49">
        <f t="shared" si="67"/>
        <v>0</v>
      </c>
      <c r="BS309" s="49">
        <f t="shared" si="68"/>
        <v>0</v>
      </c>
      <c r="BT309" s="49">
        <f t="shared" si="69"/>
        <v>1</v>
      </c>
      <c r="BU309" s="49">
        <f t="shared" si="70"/>
        <v>0</v>
      </c>
      <c r="BV309" s="49">
        <f t="shared" si="71"/>
        <v>0</v>
      </c>
      <c r="BW309" s="49">
        <f t="shared" si="72"/>
        <v>0</v>
      </c>
    </row>
    <row r="310" spans="1:75" ht="35.1" customHeight="1" x14ac:dyDescent="0.3">
      <c r="A310" s="123" t="str">
        <f t="shared" si="273"/>
        <v>3팀</v>
      </c>
      <c r="B310" s="69">
        <f t="shared" si="274"/>
        <v>304</v>
      </c>
      <c r="C310" s="121" t="str">
        <f>IF(VLOOKUP($B310,'1. 현장별 인원현황'!$C:$J,2,0)=0,"",VLOOKUP($B310,'1. 현장별 인원현황'!$C:$J,2,0))</f>
        <v xml:space="preserve"> [3.DL건설] 인천 검단신도시 AA29BL 공동주택 신축공사</v>
      </c>
      <c r="D310" s="74" t="str">
        <f>IF(VLOOKUP($B310,'1. 현장별 인원현황'!$C:$J,3,0)=0,"",VLOOKUP($B310,'1. 현장별 인원현황'!$C:$J,3,0))</f>
        <v>김태진</v>
      </c>
      <c r="E310" s="74" t="str">
        <f ca="1">IF(VLOOKUP($B310,'1. 현장별 인원현황'!$C:$J,4,0)=0,"",VLOOKUP($B310,'1. 현장별 인원현황'!$C:$J,4,0))</f>
        <v>48세</v>
      </c>
      <c r="F310" s="70" t="str">
        <f>IF(VLOOKUP($B310,'1. 현장별 인원현황'!$C:$J,7,0)=0,"",VLOOKUP($B310,'1. 현장별 인원현황'!$C:$J,7,0))</f>
        <v>기능공</v>
      </c>
      <c r="G310" s="72" t="str">
        <f>IF(VLOOKUP($B310,'1. 현장별 인원현황'!$C:$J,8,0)=0,"",VLOOKUP($B310,'1. 현장별 인원현황'!$C:$J,8,0))</f>
        <v>전공</v>
      </c>
      <c r="H310" s="67" t="s">
        <v>69</v>
      </c>
      <c r="I310" s="73"/>
      <c r="J310" s="73"/>
      <c r="K310" s="68"/>
      <c r="L310" s="67"/>
      <c r="M310" s="73" t="s">
        <v>69</v>
      </c>
      <c r="N310" s="73"/>
      <c r="O310" s="68"/>
      <c r="P310" s="67" t="s">
        <v>69</v>
      </c>
      <c r="Q310" s="73"/>
      <c r="R310" s="73"/>
      <c r="S310" s="68"/>
      <c r="T310" s="67" t="s">
        <v>69</v>
      </c>
      <c r="U310" s="73"/>
      <c r="V310" s="73"/>
      <c r="W310" s="68"/>
      <c r="X310" s="67" t="s">
        <v>69</v>
      </c>
      <c r="Y310" s="73"/>
      <c r="Z310" s="73"/>
      <c r="AA310" s="68"/>
      <c r="AB310" s="67" t="s">
        <v>69</v>
      </c>
      <c r="AC310" s="73"/>
      <c r="AD310" s="73"/>
      <c r="AE310" s="68"/>
      <c r="AF310" s="67" t="s">
        <v>69</v>
      </c>
      <c r="AG310" s="73"/>
      <c r="AH310" s="73"/>
      <c r="AI310" s="68"/>
      <c r="AJ310" s="67" t="s">
        <v>69</v>
      </c>
      <c r="AK310" s="73"/>
      <c r="AL310" s="73"/>
      <c r="AM310" s="68"/>
      <c r="AN310" s="67">
        <f t="shared" si="275"/>
        <v>96</v>
      </c>
      <c r="AO310" s="68" t="str">
        <f t="shared" si="276"/>
        <v>S</v>
      </c>
      <c r="AR310" s="49">
        <f t="shared" si="41"/>
        <v>1</v>
      </c>
      <c r="AS310" s="49">
        <f t="shared" si="42"/>
        <v>0</v>
      </c>
      <c r="AT310" s="49">
        <f t="shared" si="43"/>
        <v>0</v>
      </c>
      <c r="AU310" s="49">
        <f t="shared" si="44"/>
        <v>0</v>
      </c>
      <c r="AV310" s="49">
        <f t="shared" si="45"/>
        <v>0</v>
      </c>
      <c r="AW310" s="49">
        <f t="shared" si="46"/>
        <v>1</v>
      </c>
      <c r="AX310" s="49">
        <f t="shared" si="47"/>
        <v>0</v>
      </c>
      <c r="AY310" s="49">
        <f t="shared" si="48"/>
        <v>0</v>
      </c>
      <c r="AZ310" s="49">
        <f t="shared" si="49"/>
        <v>1</v>
      </c>
      <c r="BA310" s="49">
        <f t="shared" si="50"/>
        <v>0</v>
      </c>
      <c r="BB310" s="49">
        <f t="shared" si="51"/>
        <v>0</v>
      </c>
      <c r="BC310" s="49">
        <f t="shared" si="52"/>
        <v>0</v>
      </c>
      <c r="BD310" s="49">
        <f t="shared" si="53"/>
        <v>1</v>
      </c>
      <c r="BE310" s="49">
        <f t="shared" si="54"/>
        <v>0</v>
      </c>
      <c r="BF310" s="49">
        <f t="shared" si="55"/>
        <v>0</v>
      </c>
      <c r="BG310" s="49">
        <f t="shared" si="56"/>
        <v>0</v>
      </c>
      <c r="BH310" s="49">
        <f t="shared" si="57"/>
        <v>1</v>
      </c>
      <c r="BI310" s="49">
        <f t="shared" si="58"/>
        <v>0</v>
      </c>
      <c r="BJ310" s="49">
        <f t="shared" si="59"/>
        <v>0</v>
      </c>
      <c r="BK310" s="49">
        <f t="shared" si="60"/>
        <v>0</v>
      </c>
      <c r="BL310" s="49">
        <f t="shared" si="61"/>
        <v>1</v>
      </c>
      <c r="BM310" s="49">
        <f t="shared" si="62"/>
        <v>0</v>
      </c>
      <c r="BN310" s="49">
        <f t="shared" si="63"/>
        <v>0</v>
      </c>
      <c r="BO310" s="49">
        <f t="shared" si="64"/>
        <v>0</v>
      </c>
      <c r="BP310" s="49">
        <f t="shared" si="65"/>
        <v>1</v>
      </c>
      <c r="BQ310" s="49">
        <f t="shared" si="66"/>
        <v>0</v>
      </c>
      <c r="BR310" s="49">
        <f t="shared" si="67"/>
        <v>0</v>
      </c>
      <c r="BS310" s="49">
        <f t="shared" si="68"/>
        <v>0</v>
      </c>
      <c r="BT310" s="49">
        <f t="shared" si="69"/>
        <v>1</v>
      </c>
      <c r="BU310" s="49">
        <f t="shared" si="70"/>
        <v>0</v>
      </c>
      <c r="BV310" s="49">
        <f t="shared" si="71"/>
        <v>0</v>
      </c>
      <c r="BW310" s="49">
        <f t="shared" si="72"/>
        <v>0</v>
      </c>
    </row>
    <row r="311" spans="1:75" ht="35.1" customHeight="1" x14ac:dyDescent="0.3">
      <c r="A311" s="123" t="str">
        <f t="shared" si="273"/>
        <v>3팀</v>
      </c>
      <c r="B311" s="69">
        <f t="shared" si="274"/>
        <v>305</v>
      </c>
      <c r="C311" s="121" t="str">
        <f>IF(VLOOKUP($B311,'1. 현장별 인원현황'!$C:$J,2,0)=0,"",VLOOKUP($B311,'1. 현장별 인원현황'!$C:$J,2,0))</f>
        <v xml:space="preserve"> [3.DL건설] 인천 검단신도시 AA29BL 공동주택 신축공사</v>
      </c>
      <c r="D311" s="74" t="str">
        <f>IF(VLOOKUP($B311,'1. 현장별 인원현황'!$C:$J,3,0)=0,"",VLOOKUP($B311,'1. 현장별 인원현황'!$C:$J,3,0))</f>
        <v>정희성</v>
      </c>
      <c r="E311" s="74" t="str">
        <f ca="1">IF(VLOOKUP($B311,'1. 현장별 인원현황'!$C:$J,4,0)=0,"",VLOOKUP($B311,'1. 현장별 인원현황'!$C:$J,4,0))</f>
        <v>48세</v>
      </c>
      <c r="F311" s="70" t="str">
        <f>IF(VLOOKUP($B311,'1. 현장별 인원현황'!$C:$J,7,0)=0,"",VLOOKUP($B311,'1. 현장별 인원현황'!$C:$J,7,0))</f>
        <v>기능공</v>
      </c>
      <c r="G311" s="72" t="str">
        <f>IF(VLOOKUP($B311,'1. 현장별 인원현황'!$C:$J,8,0)=0,"",VLOOKUP($B311,'1. 현장별 인원현황'!$C:$J,8,0))</f>
        <v>전공</v>
      </c>
      <c r="H311" s="67" t="s">
        <v>69</v>
      </c>
      <c r="I311" s="73"/>
      <c r="J311" s="73"/>
      <c r="K311" s="68"/>
      <c r="L311" s="67"/>
      <c r="M311" s="73" t="s">
        <v>69</v>
      </c>
      <c r="N311" s="73"/>
      <c r="O311" s="68"/>
      <c r="P311" s="67" t="s">
        <v>69</v>
      </c>
      <c r="Q311" s="73"/>
      <c r="R311" s="73"/>
      <c r="S311" s="68"/>
      <c r="T311" s="67" t="s">
        <v>69</v>
      </c>
      <c r="U311" s="73"/>
      <c r="V311" s="73"/>
      <c r="W311" s="68"/>
      <c r="X311" s="67" t="s">
        <v>69</v>
      </c>
      <c r="Y311" s="73"/>
      <c r="Z311" s="73"/>
      <c r="AA311" s="68"/>
      <c r="AB311" s="67" t="s">
        <v>69</v>
      </c>
      <c r="AC311" s="73"/>
      <c r="AD311" s="73"/>
      <c r="AE311" s="68"/>
      <c r="AF311" s="67" t="s">
        <v>69</v>
      </c>
      <c r="AG311" s="73"/>
      <c r="AH311" s="73"/>
      <c r="AI311" s="68"/>
      <c r="AJ311" s="67" t="s">
        <v>69</v>
      </c>
      <c r="AK311" s="73"/>
      <c r="AL311" s="73"/>
      <c r="AM311" s="68"/>
      <c r="AN311" s="67">
        <f t="shared" si="275"/>
        <v>96</v>
      </c>
      <c r="AO311" s="68" t="str">
        <f t="shared" si="276"/>
        <v>S</v>
      </c>
      <c r="AR311" s="49">
        <f t="shared" si="41"/>
        <v>1</v>
      </c>
      <c r="AS311" s="49">
        <f t="shared" si="42"/>
        <v>0</v>
      </c>
      <c r="AT311" s="49">
        <f t="shared" si="43"/>
        <v>0</v>
      </c>
      <c r="AU311" s="49">
        <f t="shared" si="44"/>
        <v>0</v>
      </c>
      <c r="AV311" s="49">
        <f t="shared" si="45"/>
        <v>0</v>
      </c>
      <c r="AW311" s="49">
        <f t="shared" si="46"/>
        <v>1</v>
      </c>
      <c r="AX311" s="49">
        <f t="shared" si="47"/>
        <v>0</v>
      </c>
      <c r="AY311" s="49">
        <f t="shared" si="48"/>
        <v>0</v>
      </c>
      <c r="AZ311" s="49">
        <f t="shared" si="49"/>
        <v>1</v>
      </c>
      <c r="BA311" s="49">
        <f t="shared" si="50"/>
        <v>0</v>
      </c>
      <c r="BB311" s="49">
        <f t="shared" si="51"/>
        <v>0</v>
      </c>
      <c r="BC311" s="49">
        <f t="shared" si="52"/>
        <v>0</v>
      </c>
      <c r="BD311" s="49">
        <f t="shared" si="53"/>
        <v>1</v>
      </c>
      <c r="BE311" s="49">
        <f t="shared" si="54"/>
        <v>0</v>
      </c>
      <c r="BF311" s="49">
        <f t="shared" si="55"/>
        <v>0</v>
      </c>
      <c r="BG311" s="49">
        <f t="shared" si="56"/>
        <v>0</v>
      </c>
      <c r="BH311" s="49">
        <f t="shared" si="57"/>
        <v>1</v>
      </c>
      <c r="BI311" s="49">
        <f t="shared" si="58"/>
        <v>0</v>
      </c>
      <c r="BJ311" s="49">
        <f t="shared" si="59"/>
        <v>0</v>
      </c>
      <c r="BK311" s="49">
        <f t="shared" si="60"/>
        <v>0</v>
      </c>
      <c r="BL311" s="49">
        <f t="shared" si="61"/>
        <v>1</v>
      </c>
      <c r="BM311" s="49">
        <f t="shared" si="62"/>
        <v>0</v>
      </c>
      <c r="BN311" s="49">
        <f t="shared" si="63"/>
        <v>0</v>
      </c>
      <c r="BO311" s="49">
        <f t="shared" si="64"/>
        <v>0</v>
      </c>
      <c r="BP311" s="49">
        <f t="shared" si="65"/>
        <v>1</v>
      </c>
      <c r="BQ311" s="49">
        <f t="shared" si="66"/>
        <v>0</v>
      </c>
      <c r="BR311" s="49">
        <f t="shared" si="67"/>
        <v>0</v>
      </c>
      <c r="BS311" s="49">
        <f t="shared" si="68"/>
        <v>0</v>
      </c>
      <c r="BT311" s="49">
        <f t="shared" si="69"/>
        <v>1</v>
      </c>
      <c r="BU311" s="49">
        <f t="shared" si="70"/>
        <v>0</v>
      </c>
      <c r="BV311" s="49">
        <f t="shared" si="71"/>
        <v>0</v>
      </c>
      <c r="BW311" s="49">
        <f t="shared" si="72"/>
        <v>0</v>
      </c>
    </row>
    <row r="312" spans="1:75" ht="35.1" customHeight="1" x14ac:dyDescent="0.3">
      <c r="A312" s="123" t="str">
        <f t="shared" si="273"/>
        <v>3팀</v>
      </c>
      <c r="B312" s="69">
        <f t="shared" si="274"/>
        <v>306</v>
      </c>
      <c r="C312" s="121" t="str">
        <f>IF(VLOOKUP($B312,'1. 현장별 인원현황'!$C:$J,2,0)=0,"",VLOOKUP($B312,'1. 현장별 인원현황'!$C:$J,2,0))</f>
        <v xml:space="preserve"> [3.DL건설] 인천 검단신도시 AA29BL 공동주택 신축공사</v>
      </c>
      <c r="D312" s="74" t="str">
        <f>IF(VLOOKUP($B312,'1. 현장별 인원현황'!$C:$J,3,0)=0,"",VLOOKUP($B312,'1. 현장별 인원현황'!$C:$J,3,0))</f>
        <v>연창언</v>
      </c>
      <c r="E312" s="74" t="str">
        <f ca="1">IF(VLOOKUP($B312,'1. 현장별 인원현황'!$C:$J,4,0)=0,"",VLOOKUP($B312,'1. 현장별 인원현황'!$C:$J,4,0))</f>
        <v>35세</v>
      </c>
      <c r="F312" s="70" t="str">
        <f>IF(VLOOKUP($B312,'1. 현장별 인원현황'!$C:$J,7,0)=0,"",VLOOKUP($B312,'1. 현장별 인원현황'!$C:$J,7,0))</f>
        <v>기능공</v>
      </c>
      <c r="G312" s="72" t="str">
        <f>IF(VLOOKUP($B312,'1. 현장별 인원현황'!$C:$J,8,0)=0,"",VLOOKUP($B312,'1. 현장별 인원현황'!$C:$J,8,0))</f>
        <v>전공</v>
      </c>
      <c r="H312" s="67" t="s">
        <v>69</v>
      </c>
      <c r="I312" s="73"/>
      <c r="J312" s="73"/>
      <c r="K312" s="68"/>
      <c r="L312" s="67"/>
      <c r="M312" s="73" t="s">
        <v>69</v>
      </c>
      <c r="N312" s="73"/>
      <c r="O312" s="68"/>
      <c r="P312" s="67" t="s">
        <v>69</v>
      </c>
      <c r="Q312" s="73"/>
      <c r="R312" s="73"/>
      <c r="S312" s="68"/>
      <c r="T312" s="67" t="s">
        <v>69</v>
      </c>
      <c r="U312" s="73"/>
      <c r="V312" s="73"/>
      <c r="W312" s="68"/>
      <c r="X312" s="67" t="s">
        <v>69</v>
      </c>
      <c r="Y312" s="73"/>
      <c r="Z312" s="73"/>
      <c r="AA312" s="68"/>
      <c r="AB312" s="67" t="s">
        <v>69</v>
      </c>
      <c r="AC312" s="73"/>
      <c r="AD312" s="73"/>
      <c r="AE312" s="68"/>
      <c r="AF312" s="67" t="s">
        <v>69</v>
      </c>
      <c r="AG312" s="73"/>
      <c r="AH312" s="73"/>
      <c r="AI312" s="68"/>
      <c r="AJ312" s="67" t="s">
        <v>69</v>
      </c>
      <c r="AK312" s="73"/>
      <c r="AL312" s="73"/>
      <c r="AM312" s="68"/>
      <c r="AN312" s="67">
        <f t="shared" si="275"/>
        <v>96</v>
      </c>
      <c r="AO312" s="68" t="str">
        <f t="shared" si="276"/>
        <v>S</v>
      </c>
      <c r="AR312" s="49">
        <f t="shared" si="41"/>
        <v>1</v>
      </c>
      <c r="AS312" s="49">
        <f t="shared" si="42"/>
        <v>0</v>
      </c>
      <c r="AT312" s="49">
        <f t="shared" si="43"/>
        <v>0</v>
      </c>
      <c r="AU312" s="49">
        <f t="shared" si="44"/>
        <v>0</v>
      </c>
      <c r="AV312" s="49">
        <f t="shared" si="45"/>
        <v>0</v>
      </c>
      <c r="AW312" s="49">
        <f t="shared" si="46"/>
        <v>1</v>
      </c>
      <c r="AX312" s="49">
        <f t="shared" si="47"/>
        <v>0</v>
      </c>
      <c r="AY312" s="49">
        <f t="shared" si="48"/>
        <v>0</v>
      </c>
      <c r="AZ312" s="49">
        <f t="shared" si="49"/>
        <v>1</v>
      </c>
      <c r="BA312" s="49">
        <f t="shared" si="50"/>
        <v>0</v>
      </c>
      <c r="BB312" s="49">
        <f t="shared" si="51"/>
        <v>0</v>
      </c>
      <c r="BC312" s="49">
        <f t="shared" si="52"/>
        <v>0</v>
      </c>
      <c r="BD312" s="49">
        <f t="shared" si="53"/>
        <v>1</v>
      </c>
      <c r="BE312" s="49">
        <f t="shared" si="54"/>
        <v>0</v>
      </c>
      <c r="BF312" s="49">
        <f t="shared" si="55"/>
        <v>0</v>
      </c>
      <c r="BG312" s="49">
        <f t="shared" si="56"/>
        <v>0</v>
      </c>
      <c r="BH312" s="49">
        <f t="shared" si="57"/>
        <v>1</v>
      </c>
      <c r="BI312" s="49">
        <f t="shared" si="58"/>
        <v>0</v>
      </c>
      <c r="BJ312" s="49">
        <f t="shared" si="59"/>
        <v>0</v>
      </c>
      <c r="BK312" s="49">
        <f t="shared" si="60"/>
        <v>0</v>
      </c>
      <c r="BL312" s="49">
        <f t="shared" si="61"/>
        <v>1</v>
      </c>
      <c r="BM312" s="49">
        <f t="shared" si="62"/>
        <v>0</v>
      </c>
      <c r="BN312" s="49">
        <f t="shared" si="63"/>
        <v>0</v>
      </c>
      <c r="BO312" s="49">
        <f t="shared" si="64"/>
        <v>0</v>
      </c>
      <c r="BP312" s="49">
        <f t="shared" si="65"/>
        <v>1</v>
      </c>
      <c r="BQ312" s="49">
        <f t="shared" si="66"/>
        <v>0</v>
      </c>
      <c r="BR312" s="49">
        <f t="shared" si="67"/>
        <v>0</v>
      </c>
      <c r="BS312" s="49">
        <f t="shared" si="68"/>
        <v>0</v>
      </c>
      <c r="BT312" s="49">
        <f t="shared" si="69"/>
        <v>1</v>
      </c>
      <c r="BU312" s="49">
        <f t="shared" si="70"/>
        <v>0</v>
      </c>
      <c r="BV312" s="49">
        <f t="shared" si="71"/>
        <v>0</v>
      </c>
      <c r="BW312" s="49">
        <f t="shared" si="72"/>
        <v>0</v>
      </c>
    </row>
    <row r="313" spans="1:75" ht="35.1" customHeight="1" x14ac:dyDescent="0.3">
      <c r="A313" s="123" t="str">
        <f t="shared" si="273"/>
        <v>3팀</v>
      </c>
      <c r="B313" s="69">
        <f t="shared" si="274"/>
        <v>307</v>
      </c>
      <c r="C313" s="121" t="str">
        <f>IF(VLOOKUP($B313,'1. 현장별 인원현황'!$C:$J,2,0)=0,"",VLOOKUP($B313,'1. 현장별 인원현황'!$C:$J,2,0))</f>
        <v xml:space="preserve"> [3.DL건설] 인천 검단신도시 AA29BL 공동주택 신축공사</v>
      </c>
      <c r="D313" s="74" t="str">
        <f>IF(VLOOKUP($B313,'1. 현장별 인원현황'!$C:$J,3,0)=0,"",VLOOKUP($B313,'1. 현장별 인원현황'!$C:$J,3,0))</f>
        <v>오승우</v>
      </c>
      <c r="E313" s="74" t="str">
        <f ca="1">IF(VLOOKUP($B313,'1. 현장별 인원현황'!$C:$J,4,0)=0,"",VLOOKUP($B313,'1. 현장별 인원현황'!$C:$J,4,0))</f>
        <v>47세</v>
      </c>
      <c r="F313" s="70" t="str">
        <f>IF(VLOOKUP($B313,'1. 현장별 인원현황'!$C:$J,7,0)=0,"",VLOOKUP($B313,'1. 현장별 인원현황'!$C:$J,7,0))</f>
        <v>기능공</v>
      </c>
      <c r="G313" s="72" t="str">
        <f>IF(VLOOKUP($B313,'1. 현장별 인원현황'!$C:$J,8,0)=0,"",VLOOKUP($B313,'1. 현장별 인원현황'!$C:$J,8,0))</f>
        <v>전공</v>
      </c>
      <c r="H313" s="67" t="s">
        <v>69</v>
      </c>
      <c r="I313" s="73"/>
      <c r="J313" s="73"/>
      <c r="K313" s="68"/>
      <c r="L313" s="67"/>
      <c r="M313" s="73" t="s">
        <v>69</v>
      </c>
      <c r="N313" s="73"/>
      <c r="O313" s="68"/>
      <c r="P313" s="67" t="s">
        <v>69</v>
      </c>
      <c r="Q313" s="73"/>
      <c r="R313" s="73"/>
      <c r="S313" s="68"/>
      <c r="T313" s="67" t="s">
        <v>69</v>
      </c>
      <c r="U313" s="73"/>
      <c r="V313" s="73"/>
      <c r="W313" s="68"/>
      <c r="X313" s="67" t="s">
        <v>69</v>
      </c>
      <c r="Y313" s="73"/>
      <c r="Z313" s="73"/>
      <c r="AA313" s="68"/>
      <c r="AB313" s="67" t="s">
        <v>69</v>
      </c>
      <c r="AC313" s="73"/>
      <c r="AD313" s="73"/>
      <c r="AE313" s="68"/>
      <c r="AF313" s="67" t="s">
        <v>69</v>
      </c>
      <c r="AG313" s="73"/>
      <c r="AH313" s="73"/>
      <c r="AI313" s="68"/>
      <c r="AJ313" s="67" t="s">
        <v>69</v>
      </c>
      <c r="AK313" s="73"/>
      <c r="AL313" s="73"/>
      <c r="AM313" s="68"/>
      <c r="AN313" s="67">
        <f t="shared" si="275"/>
        <v>96</v>
      </c>
      <c r="AO313" s="68" t="str">
        <f t="shared" si="276"/>
        <v>S</v>
      </c>
      <c r="AR313" s="49">
        <f t="shared" si="41"/>
        <v>1</v>
      </c>
      <c r="AS313" s="49">
        <f t="shared" si="42"/>
        <v>0</v>
      </c>
      <c r="AT313" s="49">
        <f t="shared" si="43"/>
        <v>0</v>
      </c>
      <c r="AU313" s="49">
        <f t="shared" si="44"/>
        <v>0</v>
      </c>
      <c r="AV313" s="49">
        <f t="shared" si="45"/>
        <v>0</v>
      </c>
      <c r="AW313" s="49">
        <f t="shared" si="46"/>
        <v>1</v>
      </c>
      <c r="AX313" s="49">
        <f t="shared" si="47"/>
        <v>0</v>
      </c>
      <c r="AY313" s="49">
        <f t="shared" si="48"/>
        <v>0</v>
      </c>
      <c r="AZ313" s="49">
        <f t="shared" si="49"/>
        <v>1</v>
      </c>
      <c r="BA313" s="49">
        <f t="shared" si="50"/>
        <v>0</v>
      </c>
      <c r="BB313" s="49">
        <f t="shared" si="51"/>
        <v>0</v>
      </c>
      <c r="BC313" s="49">
        <f t="shared" si="52"/>
        <v>0</v>
      </c>
      <c r="BD313" s="49">
        <f t="shared" si="53"/>
        <v>1</v>
      </c>
      <c r="BE313" s="49">
        <f t="shared" si="54"/>
        <v>0</v>
      </c>
      <c r="BF313" s="49">
        <f t="shared" si="55"/>
        <v>0</v>
      </c>
      <c r="BG313" s="49">
        <f t="shared" si="56"/>
        <v>0</v>
      </c>
      <c r="BH313" s="49">
        <f t="shared" si="57"/>
        <v>1</v>
      </c>
      <c r="BI313" s="49">
        <f t="shared" si="58"/>
        <v>0</v>
      </c>
      <c r="BJ313" s="49">
        <f t="shared" si="59"/>
        <v>0</v>
      </c>
      <c r="BK313" s="49">
        <f t="shared" si="60"/>
        <v>0</v>
      </c>
      <c r="BL313" s="49">
        <f t="shared" si="61"/>
        <v>1</v>
      </c>
      <c r="BM313" s="49">
        <f t="shared" si="62"/>
        <v>0</v>
      </c>
      <c r="BN313" s="49">
        <f t="shared" si="63"/>
        <v>0</v>
      </c>
      <c r="BO313" s="49">
        <f t="shared" si="64"/>
        <v>0</v>
      </c>
      <c r="BP313" s="49">
        <f t="shared" si="65"/>
        <v>1</v>
      </c>
      <c r="BQ313" s="49">
        <f t="shared" si="66"/>
        <v>0</v>
      </c>
      <c r="BR313" s="49">
        <f t="shared" si="67"/>
        <v>0</v>
      </c>
      <c r="BS313" s="49">
        <f t="shared" si="68"/>
        <v>0</v>
      </c>
      <c r="BT313" s="49">
        <f t="shared" si="69"/>
        <v>1</v>
      </c>
      <c r="BU313" s="49">
        <f t="shared" si="70"/>
        <v>0</v>
      </c>
      <c r="BV313" s="49">
        <f t="shared" si="71"/>
        <v>0</v>
      </c>
      <c r="BW313" s="49">
        <f t="shared" si="72"/>
        <v>0</v>
      </c>
    </row>
    <row r="314" spans="1:75" ht="35.1" customHeight="1" x14ac:dyDescent="0.3">
      <c r="A314" s="123" t="str">
        <f t="shared" si="273"/>
        <v>3팀</v>
      </c>
      <c r="B314" s="69">
        <f t="shared" si="274"/>
        <v>308</v>
      </c>
      <c r="C314" s="121" t="str">
        <f>IF(VLOOKUP($B314,'1. 현장별 인원현황'!$C:$J,2,0)=0,"",VLOOKUP($B314,'1. 현장별 인원현황'!$C:$J,2,0))</f>
        <v xml:space="preserve"> [3.DL건설] 인천 검단신도시 AA29BL 공동주택 신축공사</v>
      </c>
      <c r="D314" s="74" t="str">
        <f>IF(VLOOKUP($B314,'1. 현장별 인원현황'!$C:$J,3,0)=0,"",VLOOKUP($B314,'1. 현장별 인원현황'!$C:$J,3,0))</f>
        <v>김명섭</v>
      </c>
      <c r="E314" s="74" t="str">
        <f ca="1">IF(VLOOKUP($B314,'1. 현장별 인원현황'!$C:$J,4,0)=0,"",VLOOKUP($B314,'1. 현장별 인원현황'!$C:$J,4,0))</f>
        <v>39세</v>
      </c>
      <c r="F314" s="70" t="str">
        <f>IF(VLOOKUP($B314,'1. 현장별 인원현황'!$C:$J,7,0)=0,"",VLOOKUP($B314,'1. 현장별 인원현황'!$C:$J,7,0))</f>
        <v>기능공</v>
      </c>
      <c r="G314" s="72" t="str">
        <f>IF(VLOOKUP($B314,'1. 현장별 인원현황'!$C:$J,8,0)=0,"",VLOOKUP($B314,'1. 현장별 인원현황'!$C:$J,8,0))</f>
        <v>전공</v>
      </c>
      <c r="H314" s="67" t="s">
        <v>69</v>
      </c>
      <c r="I314" s="73"/>
      <c r="J314" s="73"/>
      <c r="K314" s="68"/>
      <c r="L314" s="67"/>
      <c r="M314" s="73" t="s">
        <v>69</v>
      </c>
      <c r="N314" s="73"/>
      <c r="O314" s="68"/>
      <c r="P314" s="67" t="s">
        <v>69</v>
      </c>
      <c r="Q314" s="73"/>
      <c r="R314" s="73"/>
      <c r="S314" s="68"/>
      <c r="T314" s="67" t="s">
        <v>69</v>
      </c>
      <c r="U314" s="73"/>
      <c r="V314" s="73"/>
      <c r="W314" s="68"/>
      <c r="X314" s="67" t="s">
        <v>69</v>
      </c>
      <c r="Y314" s="73"/>
      <c r="Z314" s="73"/>
      <c r="AA314" s="68"/>
      <c r="AB314" s="67" t="s">
        <v>69</v>
      </c>
      <c r="AC314" s="73"/>
      <c r="AD314" s="73"/>
      <c r="AE314" s="68"/>
      <c r="AF314" s="67" t="s">
        <v>69</v>
      </c>
      <c r="AG314" s="73"/>
      <c r="AH314" s="73"/>
      <c r="AI314" s="68"/>
      <c r="AJ314" s="67" t="s">
        <v>69</v>
      </c>
      <c r="AK314" s="73"/>
      <c r="AL314" s="73"/>
      <c r="AM314" s="68"/>
      <c r="AN314" s="67">
        <f t="shared" si="275"/>
        <v>96</v>
      </c>
      <c r="AO314" s="68" t="str">
        <f t="shared" si="276"/>
        <v>S</v>
      </c>
      <c r="AR314" s="49">
        <f t="shared" si="41"/>
        <v>1</v>
      </c>
      <c r="AS314" s="49">
        <f t="shared" si="42"/>
        <v>0</v>
      </c>
      <c r="AT314" s="49">
        <f t="shared" si="43"/>
        <v>0</v>
      </c>
      <c r="AU314" s="49">
        <f t="shared" si="44"/>
        <v>0</v>
      </c>
      <c r="AV314" s="49">
        <f t="shared" si="45"/>
        <v>0</v>
      </c>
      <c r="AW314" s="49">
        <f t="shared" si="46"/>
        <v>1</v>
      </c>
      <c r="AX314" s="49">
        <f t="shared" si="47"/>
        <v>0</v>
      </c>
      <c r="AY314" s="49">
        <f t="shared" si="48"/>
        <v>0</v>
      </c>
      <c r="AZ314" s="49">
        <f t="shared" si="49"/>
        <v>1</v>
      </c>
      <c r="BA314" s="49">
        <f t="shared" si="50"/>
        <v>0</v>
      </c>
      <c r="BB314" s="49">
        <f t="shared" si="51"/>
        <v>0</v>
      </c>
      <c r="BC314" s="49">
        <f t="shared" si="52"/>
        <v>0</v>
      </c>
      <c r="BD314" s="49">
        <f t="shared" si="53"/>
        <v>1</v>
      </c>
      <c r="BE314" s="49">
        <f t="shared" si="54"/>
        <v>0</v>
      </c>
      <c r="BF314" s="49">
        <f t="shared" si="55"/>
        <v>0</v>
      </c>
      <c r="BG314" s="49">
        <f t="shared" si="56"/>
        <v>0</v>
      </c>
      <c r="BH314" s="49">
        <f t="shared" si="57"/>
        <v>1</v>
      </c>
      <c r="BI314" s="49">
        <f t="shared" si="58"/>
        <v>0</v>
      </c>
      <c r="BJ314" s="49">
        <f t="shared" si="59"/>
        <v>0</v>
      </c>
      <c r="BK314" s="49">
        <f t="shared" si="60"/>
        <v>0</v>
      </c>
      <c r="BL314" s="49">
        <f t="shared" si="61"/>
        <v>1</v>
      </c>
      <c r="BM314" s="49">
        <f t="shared" si="62"/>
        <v>0</v>
      </c>
      <c r="BN314" s="49">
        <f t="shared" si="63"/>
        <v>0</v>
      </c>
      <c r="BO314" s="49">
        <f t="shared" si="64"/>
        <v>0</v>
      </c>
      <c r="BP314" s="49">
        <f t="shared" si="65"/>
        <v>1</v>
      </c>
      <c r="BQ314" s="49">
        <f t="shared" si="66"/>
        <v>0</v>
      </c>
      <c r="BR314" s="49">
        <f t="shared" si="67"/>
        <v>0</v>
      </c>
      <c r="BS314" s="49">
        <f t="shared" si="68"/>
        <v>0</v>
      </c>
      <c r="BT314" s="49">
        <f t="shared" si="69"/>
        <v>1</v>
      </c>
      <c r="BU314" s="49">
        <f t="shared" si="70"/>
        <v>0</v>
      </c>
      <c r="BV314" s="49">
        <f t="shared" si="71"/>
        <v>0</v>
      </c>
      <c r="BW314" s="49">
        <f t="shared" si="72"/>
        <v>0</v>
      </c>
    </row>
    <row r="315" spans="1:75" ht="35.1" customHeight="1" x14ac:dyDescent="0.3">
      <c r="A315" s="123" t="str">
        <f t="shared" si="273"/>
        <v>3팀</v>
      </c>
      <c r="B315" s="69">
        <f t="shared" si="274"/>
        <v>309</v>
      </c>
      <c r="C315" s="121" t="str">
        <f>IF(VLOOKUP($B315,'1. 현장별 인원현황'!$C:$J,2,0)=0,"",VLOOKUP($B315,'1. 현장별 인원현황'!$C:$J,2,0))</f>
        <v xml:space="preserve"> [3.DL건설] 인천 검단신도시 AA29BL 공동주택 신축공사</v>
      </c>
      <c r="D315" s="74" t="str">
        <f>IF(VLOOKUP($B315,'1. 현장별 인원현황'!$C:$J,3,0)=0,"",VLOOKUP($B315,'1. 현장별 인원현황'!$C:$J,3,0))</f>
        <v>최광욱</v>
      </c>
      <c r="E315" s="74" t="str">
        <f ca="1">IF(VLOOKUP($B315,'1. 현장별 인원현황'!$C:$J,4,0)=0,"",VLOOKUP($B315,'1. 현장별 인원현황'!$C:$J,4,0))</f>
        <v>57세</v>
      </c>
      <c r="F315" s="70" t="str">
        <f>IF(VLOOKUP($B315,'1. 현장별 인원현황'!$C:$J,7,0)=0,"",VLOOKUP($B315,'1. 현장별 인원현황'!$C:$J,7,0))</f>
        <v>기능공</v>
      </c>
      <c r="G315" s="72" t="str">
        <f>IF(VLOOKUP($B315,'1. 현장별 인원현황'!$C:$J,8,0)=0,"",VLOOKUP($B315,'1. 현장별 인원현황'!$C:$J,8,0))</f>
        <v>전공</v>
      </c>
      <c r="H315" s="67" t="s">
        <v>69</v>
      </c>
      <c r="I315" s="73"/>
      <c r="J315" s="73"/>
      <c r="K315" s="68"/>
      <c r="L315" s="67"/>
      <c r="M315" s="73" t="s">
        <v>69</v>
      </c>
      <c r="N315" s="73"/>
      <c r="O315" s="68"/>
      <c r="P315" s="67" t="s">
        <v>69</v>
      </c>
      <c r="Q315" s="73"/>
      <c r="R315" s="73"/>
      <c r="S315" s="68"/>
      <c r="T315" s="67" t="s">
        <v>69</v>
      </c>
      <c r="U315" s="73"/>
      <c r="V315" s="73"/>
      <c r="W315" s="68"/>
      <c r="X315" s="67" t="s">
        <v>69</v>
      </c>
      <c r="Y315" s="73"/>
      <c r="Z315" s="73"/>
      <c r="AA315" s="68"/>
      <c r="AB315" s="67" t="s">
        <v>69</v>
      </c>
      <c r="AC315" s="73"/>
      <c r="AD315" s="73"/>
      <c r="AE315" s="68"/>
      <c r="AF315" s="67" t="s">
        <v>69</v>
      </c>
      <c r="AG315" s="73"/>
      <c r="AH315" s="73"/>
      <c r="AI315" s="68"/>
      <c r="AJ315" s="67" t="s">
        <v>69</v>
      </c>
      <c r="AK315" s="73"/>
      <c r="AL315" s="73"/>
      <c r="AM315" s="68"/>
      <c r="AN315" s="67">
        <f t="shared" si="275"/>
        <v>96</v>
      </c>
      <c r="AO315" s="68" t="str">
        <f t="shared" si="276"/>
        <v>S</v>
      </c>
      <c r="AR315" s="49">
        <f t="shared" si="41"/>
        <v>1</v>
      </c>
      <c r="AS315" s="49">
        <f t="shared" si="42"/>
        <v>0</v>
      </c>
      <c r="AT315" s="49">
        <f t="shared" si="43"/>
        <v>0</v>
      </c>
      <c r="AU315" s="49">
        <f t="shared" si="44"/>
        <v>0</v>
      </c>
      <c r="AV315" s="49">
        <f t="shared" si="45"/>
        <v>0</v>
      </c>
      <c r="AW315" s="49">
        <f t="shared" si="46"/>
        <v>1</v>
      </c>
      <c r="AX315" s="49">
        <f t="shared" si="47"/>
        <v>0</v>
      </c>
      <c r="AY315" s="49">
        <f t="shared" si="48"/>
        <v>0</v>
      </c>
      <c r="AZ315" s="49">
        <f t="shared" si="49"/>
        <v>1</v>
      </c>
      <c r="BA315" s="49">
        <f t="shared" si="50"/>
        <v>0</v>
      </c>
      <c r="BB315" s="49">
        <f t="shared" si="51"/>
        <v>0</v>
      </c>
      <c r="BC315" s="49">
        <f t="shared" si="52"/>
        <v>0</v>
      </c>
      <c r="BD315" s="49">
        <f t="shared" si="53"/>
        <v>1</v>
      </c>
      <c r="BE315" s="49">
        <f t="shared" si="54"/>
        <v>0</v>
      </c>
      <c r="BF315" s="49">
        <f t="shared" si="55"/>
        <v>0</v>
      </c>
      <c r="BG315" s="49">
        <f t="shared" si="56"/>
        <v>0</v>
      </c>
      <c r="BH315" s="49">
        <f t="shared" si="57"/>
        <v>1</v>
      </c>
      <c r="BI315" s="49">
        <f t="shared" si="58"/>
        <v>0</v>
      </c>
      <c r="BJ315" s="49">
        <f t="shared" si="59"/>
        <v>0</v>
      </c>
      <c r="BK315" s="49">
        <f t="shared" si="60"/>
        <v>0</v>
      </c>
      <c r="BL315" s="49">
        <f t="shared" si="61"/>
        <v>1</v>
      </c>
      <c r="BM315" s="49">
        <f t="shared" si="62"/>
        <v>0</v>
      </c>
      <c r="BN315" s="49">
        <f t="shared" si="63"/>
        <v>0</v>
      </c>
      <c r="BO315" s="49">
        <f t="shared" si="64"/>
        <v>0</v>
      </c>
      <c r="BP315" s="49">
        <f t="shared" si="65"/>
        <v>1</v>
      </c>
      <c r="BQ315" s="49">
        <f t="shared" si="66"/>
        <v>0</v>
      </c>
      <c r="BR315" s="49">
        <f t="shared" si="67"/>
        <v>0</v>
      </c>
      <c r="BS315" s="49">
        <f t="shared" si="68"/>
        <v>0</v>
      </c>
      <c r="BT315" s="49">
        <f t="shared" si="69"/>
        <v>1</v>
      </c>
      <c r="BU315" s="49">
        <f t="shared" si="70"/>
        <v>0</v>
      </c>
      <c r="BV315" s="49">
        <f t="shared" si="71"/>
        <v>0</v>
      </c>
      <c r="BW315" s="49">
        <f t="shared" si="72"/>
        <v>0</v>
      </c>
    </row>
    <row r="316" spans="1:75" ht="35.1" customHeight="1" x14ac:dyDescent="0.3">
      <c r="A316" s="123" t="str">
        <f t="shared" si="273"/>
        <v>3팀</v>
      </c>
      <c r="B316" s="69">
        <f t="shared" si="274"/>
        <v>310</v>
      </c>
      <c r="C316" s="121" t="str">
        <f>IF(VLOOKUP($B316,'1. 현장별 인원현황'!$C:$J,2,0)=0,"",VLOOKUP($B316,'1. 현장별 인원현황'!$C:$J,2,0))</f>
        <v xml:space="preserve"> [3.DL건설] 인천 검단신도시 AA29BL 공동주택 신축공사</v>
      </c>
      <c r="D316" s="74" t="str">
        <f>IF(VLOOKUP($B316,'1. 현장별 인원현황'!$C:$J,3,0)=0,"",VLOOKUP($B316,'1. 현장별 인원현황'!$C:$J,3,0))</f>
        <v>박성규</v>
      </c>
      <c r="E316" s="74" t="str">
        <f ca="1">IF(VLOOKUP($B316,'1. 현장별 인원현황'!$C:$J,4,0)=0,"",VLOOKUP($B316,'1. 현장별 인원현황'!$C:$J,4,0))</f>
        <v>51세</v>
      </c>
      <c r="F316" s="70" t="str">
        <f>IF(VLOOKUP($B316,'1. 현장별 인원현황'!$C:$J,7,0)=0,"",VLOOKUP($B316,'1. 현장별 인원현황'!$C:$J,7,0))</f>
        <v>기능공</v>
      </c>
      <c r="G316" s="72" t="str">
        <f>IF(VLOOKUP($B316,'1. 현장별 인원현황'!$C:$J,8,0)=0,"",VLOOKUP($B316,'1. 현장별 인원현황'!$C:$J,8,0))</f>
        <v>전공</v>
      </c>
      <c r="H316" s="67" t="s">
        <v>69</v>
      </c>
      <c r="I316" s="73"/>
      <c r="J316" s="73"/>
      <c r="K316" s="68"/>
      <c r="L316" s="67"/>
      <c r="M316" s="73" t="s">
        <v>69</v>
      </c>
      <c r="N316" s="73"/>
      <c r="O316" s="68"/>
      <c r="P316" s="67" t="s">
        <v>69</v>
      </c>
      <c r="Q316" s="73"/>
      <c r="R316" s="73"/>
      <c r="S316" s="68"/>
      <c r="T316" s="67" t="s">
        <v>69</v>
      </c>
      <c r="U316" s="73"/>
      <c r="V316" s="73"/>
      <c r="W316" s="68"/>
      <c r="X316" s="67" t="s">
        <v>69</v>
      </c>
      <c r="Y316" s="73"/>
      <c r="Z316" s="73"/>
      <c r="AA316" s="68"/>
      <c r="AB316" s="67" t="s">
        <v>69</v>
      </c>
      <c r="AC316" s="73"/>
      <c r="AD316" s="73"/>
      <c r="AE316" s="68"/>
      <c r="AF316" s="67" t="s">
        <v>69</v>
      </c>
      <c r="AG316" s="73"/>
      <c r="AH316" s="73"/>
      <c r="AI316" s="68"/>
      <c r="AJ316" s="67" t="s">
        <v>69</v>
      </c>
      <c r="AK316" s="73"/>
      <c r="AL316" s="73"/>
      <c r="AM316" s="68"/>
      <c r="AN316" s="67">
        <f t="shared" si="275"/>
        <v>96</v>
      </c>
      <c r="AO316" s="68" t="str">
        <f t="shared" si="276"/>
        <v>S</v>
      </c>
      <c r="AR316" s="49">
        <f t="shared" si="41"/>
        <v>1</v>
      </c>
      <c r="AS316" s="49">
        <f t="shared" si="42"/>
        <v>0</v>
      </c>
      <c r="AT316" s="49">
        <f t="shared" si="43"/>
        <v>0</v>
      </c>
      <c r="AU316" s="49">
        <f t="shared" si="44"/>
        <v>0</v>
      </c>
      <c r="AV316" s="49">
        <f t="shared" si="45"/>
        <v>0</v>
      </c>
      <c r="AW316" s="49">
        <f t="shared" si="46"/>
        <v>1</v>
      </c>
      <c r="AX316" s="49">
        <f t="shared" si="47"/>
        <v>0</v>
      </c>
      <c r="AY316" s="49">
        <f t="shared" si="48"/>
        <v>0</v>
      </c>
      <c r="AZ316" s="49">
        <f t="shared" si="49"/>
        <v>1</v>
      </c>
      <c r="BA316" s="49">
        <f t="shared" si="50"/>
        <v>0</v>
      </c>
      <c r="BB316" s="49">
        <f t="shared" si="51"/>
        <v>0</v>
      </c>
      <c r="BC316" s="49">
        <f t="shared" si="52"/>
        <v>0</v>
      </c>
      <c r="BD316" s="49">
        <f t="shared" si="53"/>
        <v>1</v>
      </c>
      <c r="BE316" s="49">
        <f t="shared" si="54"/>
        <v>0</v>
      </c>
      <c r="BF316" s="49">
        <f t="shared" si="55"/>
        <v>0</v>
      </c>
      <c r="BG316" s="49">
        <f t="shared" si="56"/>
        <v>0</v>
      </c>
      <c r="BH316" s="49">
        <f t="shared" si="57"/>
        <v>1</v>
      </c>
      <c r="BI316" s="49">
        <f t="shared" si="58"/>
        <v>0</v>
      </c>
      <c r="BJ316" s="49">
        <f t="shared" si="59"/>
        <v>0</v>
      </c>
      <c r="BK316" s="49">
        <f t="shared" si="60"/>
        <v>0</v>
      </c>
      <c r="BL316" s="49">
        <f t="shared" si="61"/>
        <v>1</v>
      </c>
      <c r="BM316" s="49">
        <f t="shared" si="62"/>
        <v>0</v>
      </c>
      <c r="BN316" s="49">
        <f t="shared" si="63"/>
        <v>0</v>
      </c>
      <c r="BO316" s="49">
        <f t="shared" si="64"/>
        <v>0</v>
      </c>
      <c r="BP316" s="49">
        <f t="shared" si="65"/>
        <v>1</v>
      </c>
      <c r="BQ316" s="49">
        <f t="shared" si="66"/>
        <v>0</v>
      </c>
      <c r="BR316" s="49">
        <f t="shared" si="67"/>
        <v>0</v>
      </c>
      <c r="BS316" s="49">
        <f t="shared" si="68"/>
        <v>0</v>
      </c>
      <c r="BT316" s="49">
        <f t="shared" si="69"/>
        <v>1</v>
      </c>
      <c r="BU316" s="49">
        <f t="shared" si="70"/>
        <v>0</v>
      </c>
      <c r="BV316" s="49">
        <f t="shared" si="71"/>
        <v>0</v>
      </c>
      <c r="BW316" s="49">
        <f t="shared" si="72"/>
        <v>0</v>
      </c>
    </row>
    <row r="317" spans="1:75" ht="35.1" customHeight="1" x14ac:dyDescent="0.3">
      <c r="A317" s="123" t="str">
        <f t="shared" si="273"/>
        <v>3팀</v>
      </c>
      <c r="B317" s="69">
        <f t="shared" si="274"/>
        <v>311</v>
      </c>
      <c r="C317" s="121" t="str">
        <f>IF(VLOOKUP($B317,'1. 현장별 인원현황'!$C:$J,2,0)=0,"",VLOOKUP($B317,'1. 현장별 인원현황'!$C:$J,2,0))</f>
        <v xml:space="preserve"> [3.DL건설] 인천 검단신도시 AA29BL 공동주택 신축공사</v>
      </c>
      <c r="D317" s="74" t="str">
        <f>IF(VLOOKUP($B317,'1. 현장별 인원현황'!$C:$J,3,0)=0,"",VLOOKUP($B317,'1. 현장별 인원현황'!$C:$J,3,0))</f>
        <v>박성구</v>
      </c>
      <c r="E317" s="74" t="str">
        <f ca="1">IF(VLOOKUP($B317,'1. 현장별 인원현황'!$C:$J,4,0)=0,"",VLOOKUP($B317,'1. 현장별 인원현황'!$C:$J,4,0))</f>
        <v>43세</v>
      </c>
      <c r="F317" s="70" t="str">
        <f>IF(VLOOKUP($B317,'1. 현장별 인원현황'!$C:$J,7,0)=0,"",VLOOKUP($B317,'1. 현장별 인원현황'!$C:$J,7,0))</f>
        <v>기능공</v>
      </c>
      <c r="G317" s="72" t="str">
        <f>IF(VLOOKUP($B317,'1. 현장별 인원현황'!$C:$J,8,0)=0,"",VLOOKUP($B317,'1. 현장별 인원현황'!$C:$J,8,0))</f>
        <v>전공</v>
      </c>
      <c r="H317" s="67" t="s">
        <v>69</v>
      </c>
      <c r="I317" s="73"/>
      <c r="J317" s="73"/>
      <c r="K317" s="68"/>
      <c r="L317" s="67"/>
      <c r="M317" s="73" t="s">
        <v>69</v>
      </c>
      <c r="N317" s="73"/>
      <c r="O317" s="68"/>
      <c r="P317" s="67" t="s">
        <v>69</v>
      </c>
      <c r="Q317" s="73"/>
      <c r="R317" s="73"/>
      <c r="S317" s="68"/>
      <c r="T317" s="67" t="s">
        <v>69</v>
      </c>
      <c r="U317" s="73"/>
      <c r="V317" s="73"/>
      <c r="W317" s="68"/>
      <c r="X317" s="67" t="s">
        <v>69</v>
      </c>
      <c r="Y317" s="73"/>
      <c r="Z317" s="73"/>
      <c r="AA317" s="68"/>
      <c r="AB317" s="67" t="s">
        <v>69</v>
      </c>
      <c r="AC317" s="73"/>
      <c r="AD317" s="73"/>
      <c r="AE317" s="68"/>
      <c r="AF317" s="67" t="s">
        <v>69</v>
      </c>
      <c r="AG317" s="73"/>
      <c r="AH317" s="73"/>
      <c r="AI317" s="68"/>
      <c r="AJ317" s="67" t="s">
        <v>69</v>
      </c>
      <c r="AK317" s="73"/>
      <c r="AL317" s="73"/>
      <c r="AM317" s="68"/>
      <c r="AN317" s="67">
        <f t="shared" si="275"/>
        <v>96</v>
      </c>
      <c r="AO317" s="68" t="str">
        <f t="shared" si="276"/>
        <v>S</v>
      </c>
      <c r="AR317" s="49">
        <f t="shared" si="41"/>
        <v>1</v>
      </c>
      <c r="AS317" s="49">
        <f t="shared" si="42"/>
        <v>0</v>
      </c>
      <c r="AT317" s="49">
        <f t="shared" si="43"/>
        <v>0</v>
      </c>
      <c r="AU317" s="49">
        <f t="shared" si="44"/>
        <v>0</v>
      </c>
      <c r="AV317" s="49">
        <f t="shared" si="45"/>
        <v>0</v>
      </c>
      <c r="AW317" s="49">
        <f t="shared" si="46"/>
        <v>1</v>
      </c>
      <c r="AX317" s="49">
        <f t="shared" si="47"/>
        <v>0</v>
      </c>
      <c r="AY317" s="49">
        <f t="shared" si="48"/>
        <v>0</v>
      </c>
      <c r="AZ317" s="49">
        <f t="shared" si="49"/>
        <v>1</v>
      </c>
      <c r="BA317" s="49">
        <f t="shared" si="50"/>
        <v>0</v>
      </c>
      <c r="BB317" s="49">
        <f t="shared" si="51"/>
        <v>0</v>
      </c>
      <c r="BC317" s="49">
        <f t="shared" si="52"/>
        <v>0</v>
      </c>
      <c r="BD317" s="49">
        <f t="shared" si="53"/>
        <v>1</v>
      </c>
      <c r="BE317" s="49">
        <f t="shared" si="54"/>
        <v>0</v>
      </c>
      <c r="BF317" s="49">
        <f t="shared" si="55"/>
        <v>0</v>
      </c>
      <c r="BG317" s="49">
        <f t="shared" si="56"/>
        <v>0</v>
      </c>
      <c r="BH317" s="49">
        <f t="shared" si="57"/>
        <v>1</v>
      </c>
      <c r="BI317" s="49">
        <f t="shared" si="58"/>
        <v>0</v>
      </c>
      <c r="BJ317" s="49">
        <f t="shared" si="59"/>
        <v>0</v>
      </c>
      <c r="BK317" s="49">
        <f t="shared" si="60"/>
        <v>0</v>
      </c>
      <c r="BL317" s="49">
        <f t="shared" si="61"/>
        <v>1</v>
      </c>
      <c r="BM317" s="49">
        <f t="shared" si="62"/>
        <v>0</v>
      </c>
      <c r="BN317" s="49">
        <f t="shared" si="63"/>
        <v>0</v>
      </c>
      <c r="BO317" s="49">
        <f t="shared" si="64"/>
        <v>0</v>
      </c>
      <c r="BP317" s="49">
        <f t="shared" si="65"/>
        <v>1</v>
      </c>
      <c r="BQ317" s="49">
        <f t="shared" si="66"/>
        <v>0</v>
      </c>
      <c r="BR317" s="49">
        <f t="shared" si="67"/>
        <v>0</v>
      </c>
      <c r="BS317" s="49">
        <f t="shared" si="68"/>
        <v>0</v>
      </c>
      <c r="BT317" s="49">
        <f t="shared" si="69"/>
        <v>1</v>
      </c>
      <c r="BU317" s="49">
        <f t="shared" si="70"/>
        <v>0</v>
      </c>
      <c r="BV317" s="49">
        <f t="shared" si="71"/>
        <v>0</v>
      </c>
      <c r="BW317" s="49">
        <f t="shared" si="72"/>
        <v>0</v>
      </c>
    </row>
    <row r="318" spans="1:75" ht="35.1" customHeight="1" x14ac:dyDescent="0.3">
      <c r="A318" s="123" t="str">
        <f t="shared" si="273"/>
        <v>3팀</v>
      </c>
      <c r="B318" s="69">
        <f t="shared" si="274"/>
        <v>312</v>
      </c>
      <c r="C318" s="121" t="str">
        <f>IF(VLOOKUP($B318,'1. 현장별 인원현황'!$C:$J,2,0)=0,"",VLOOKUP($B318,'1. 현장별 인원현황'!$C:$J,2,0))</f>
        <v xml:space="preserve"> [3.쿠팡] CHA6 FC(천안) Ph2 전기공사</v>
      </c>
      <c r="D318" s="74" t="str">
        <f>IF(VLOOKUP($B318,'1. 현장별 인원현황'!$C:$J,3,0)=0,"",VLOOKUP($B318,'1. 현장별 인원현황'!$C:$J,3,0))</f>
        <v>이서원</v>
      </c>
      <c r="E318" s="74" t="str">
        <f ca="1">IF(VLOOKUP($B318,'1. 현장별 인원현황'!$C:$J,4,0)=0,"",VLOOKUP($B318,'1. 현장별 인원현황'!$C:$J,4,0))</f>
        <v>34세</v>
      </c>
      <c r="F318" s="70" t="str">
        <f>IF(VLOOKUP($B318,'1. 현장별 인원현황'!$C:$J,7,0)=0,"",VLOOKUP($B318,'1. 현장별 인원현황'!$C:$J,7,0))</f>
        <v>공무</v>
      </c>
      <c r="G318" s="72" t="str">
        <f>IF(VLOOKUP($B318,'1. 현장별 인원현황'!$C:$J,8,0)=0,"",VLOOKUP($B318,'1. 현장별 인원현황'!$C:$J,8,0))</f>
        <v>대리</v>
      </c>
      <c r="H318" s="67" t="s">
        <v>69</v>
      </c>
      <c r="I318" s="73"/>
      <c r="J318" s="73"/>
      <c r="K318" s="68"/>
      <c r="L318" s="67"/>
      <c r="M318" s="73" t="s">
        <v>69</v>
      </c>
      <c r="N318" s="73"/>
      <c r="O318" s="68"/>
      <c r="P318" s="67" t="s">
        <v>69</v>
      </c>
      <c r="Q318" s="73"/>
      <c r="R318" s="73"/>
      <c r="S318" s="68"/>
      <c r="T318" s="67"/>
      <c r="U318" s="73" t="s">
        <v>69</v>
      </c>
      <c r="V318" s="73"/>
      <c r="W318" s="68"/>
      <c r="X318" s="67" t="s">
        <v>69</v>
      </c>
      <c r="Y318" s="73"/>
      <c r="Z318" s="73"/>
      <c r="AA318" s="68"/>
      <c r="AB318" s="67" t="s">
        <v>69</v>
      </c>
      <c r="AC318" s="73"/>
      <c r="AD318" s="73"/>
      <c r="AE318" s="68"/>
      <c r="AF318" s="67" t="s">
        <v>69</v>
      </c>
      <c r="AG318" s="73"/>
      <c r="AH318" s="73"/>
      <c r="AI318" s="68"/>
      <c r="AJ318" s="67" t="s">
        <v>69</v>
      </c>
      <c r="AK318" s="73"/>
      <c r="AL318" s="73"/>
      <c r="AM318" s="68"/>
      <c r="AN318" s="67">
        <f t="shared" si="275"/>
        <v>92</v>
      </c>
      <c r="AO318" s="68" t="str">
        <f t="shared" si="276"/>
        <v>S</v>
      </c>
      <c r="AR318" s="49">
        <f t="shared" si="41"/>
        <v>1</v>
      </c>
      <c r="AS318" s="49">
        <f t="shared" si="42"/>
        <v>0</v>
      </c>
      <c r="AT318" s="49">
        <f t="shared" si="43"/>
        <v>0</v>
      </c>
      <c r="AU318" s="49">
        <f t="shared" si="44"/>
        <v>0</v>
      </c>
      <c r="AV318" s="49">
        <f t="shared" si="45"/>
        <v>0</v>
      </c>
      <c r="AW318" s="49">
        <f t="shared" si="46"/>
        <v>1</v>
      </c>
      <c r="AX318" s="49">
        <f t="shared" si="47"/>
        <v>0</v>
      </c>
      <c r="AY318" s="49">
        <f t="shared" si="48"/>
        <v>0</v>
      </c>
      <c r="AZ318" s="49">
        <f t="shared" si="49"/>
        <v>1</v>
      </c>
      <c r="BA318" s="49">
        <f t="shared" si="50"/>
        <v>0</v>
      </c>
      <c r="BB318" s="49">
        <f t="shared" si="51"/>
        <v>0</v>
      </c>
      <c r="BC318" s="49">
        <f t="shared" si="52"/>
        <v>0</v>
      </c>
      <c r="BD318" s="49">
        <f t="shared" si="53"/>
        <v>0</v>
      </c>
      <c r="BE318" s="49">
        <f t="shared" si="54"/>
        <v>1</v>
      </c>
      <c r="BF318" s="49">
        <f t="shared" si="55"/>
        <v>0</v>
      </c>
      <c r="BG318" s="49">
        <f t="shared" si="56"/>
        <v>0</v>
      </c>
      <c r="BH318" s="49">
        <f t="shared" si="57"/>
        <v>1</v>
      </c>
      <c r="BI318" s="49">
        <f t="shared" si="58"/>
        <v>0</v>
      </c>
      <c r="BJ318" s="49">
        <f t="shared" si="59"/>
        <v>0</v>
      </c>
      <c r="BK318" s="49">
        <f t="shared" si="60"/>
        <v>0</v>
      </c>
      <c r="BL318" s="49">
        <f t="shared" si="61"/>
        <v>1</v>
      </c>
      <c r="BM318" s="49">
        <f t="shared" si="62"/>
        <v>0</v>
      </c>
      <c r="BN318" s="49">
        <f t="shared" si="63"/>
        <v>0</v>
      </c>
      <c r="BO318" s="49">
        <f t="shared" si="64"/>
        <v>0</v>
      </c>
      <c r="BP318" s="49">
        <f t="shared" si="65"/>
        <v>1</v>
      </c>
      <c r="BQ318" s="49">
        <f t="shared" si="66"/>
        <v>0</v>
      </c>
      <c r="BR318" s="49">
        <f t="shared" si="67"/>
        <v>0</v>
      </c>
      <c r="BS318" s="49">
        <f t="shared" si="68"/>
        <v>0</v>
      </c>
      <c r="BT318" s="49">
        <f t="shared" si="69"/>
        <v>1</v>
      </c>
      <c r="BU318" s="49">
        <f t="shared" si="70"/>
        <v>0</v>
      </c>
      <c r="BV318" s="49">
        <f t="shared" si="71"/>
        <v>0</v>
      </c>
      <c r="BW318" s="49">
        <f t="shared" si="72"/>
        <v>0</v>
      </c>
    </row>
    <row r="319" spans="1:75" ht="35.1" customHeight="1" x14ac:dyDescent="0.3">
      <c r="A319" s="123" t="str">
        <f t="shared" si="273"/>
        <v>3팀</v>
      </c>
      <c r="B319" s="69">
        <f t="shared" si="274"/>
        <v>313</v>
      </c>
      <c r="C319" s="121" t="str">
        <f>IF(VLOOKUP($B319,'1. 현장별 인원현황'!$C:$J,2,0)=0,"",VLOOKUP($B319,'1. 현장별 인원현황'!$C:$J,2,0))</f>
        <v xml:space="preserve"> [3.쿠팡] CHA6 FC(천안) Ph2 전기공사</v>
      </c>
      <c r="D319" s="74" t="str">
        <f>IF(VLOOKUP($B319,'1. 현장별 인원현황'!$C:$J,3,0)=0,"",VLOOKUP($B319,'1. 현장별 인원현황'!$C:$J,3,0))</f>
        <v>김진호</v>
      </c>
      <c r="E319" s="74" t="str">
        <f ca="1">IF(VLOOKUP($B319,'1. 현장별 인원현황'!$C:$J,4,0)=0,"",VLOOKUP($B319,'1. 현장별 인원현황'!$C:$J,4,0))</f>
        <v>39세</v>
      </c>
      <c r="F319" s="70" t="str">
        <f>IF(VLOOKUP($B319,'1. 현장별 인원현황'!$C:$J,7,0)=0,"",VLOOKUP($B319,'1. 현장별 인원현황'!$C:$J,7,0))</f>
        <v>안전관리자</v>
      </c>
      <c r="G319" s="72" t="str">
        <f>IF(VLOOKUP($B319,'1. 현장별 인원현황'!$C:$J,8,0)=0,"",VLOOKUP($B319,'1. 현장별 인원현황'!$C:$J,8,0))</f>
        <v>과장</v>
      </c>
      <c r="H319" s="67" t="s">
        <v>69</v>
      </c>
      <c r="I319" s="73"/>
      <c r="J319" s="73"/>
      <c r="K319" s="68"/>
      <c r="L319" s="67" t="s">
        <v>69</v>
      </c>
      <c r="M319" s="73"/>
      <c r="N319" s="73"/>
      <c r="O319" s="68"/>
      <c r="P319" s="67" t="s">
        <v>69</v>
      </c>
      <c r="Q319" s="73"/>
      <c r="R319" s="73"/>
      <c r="S319" s="68"/>
      <c r="T319" s="67"/>
      <c r="U319" s="73" t="s">
        <v>69</v>
      </c>
      <c r="V319" s="73"/>
      <c r="W319" s="68"/>
      <c r="X319" s="67" t="s">
        <v>69</v>
      </c>
      <c r="Y319" s="73"/>
      <c r="Z319" s="73"/>
      <c r="AA319" s="68"/>
      <c r="AB319" s="67" t="s">
        <v>69</v>
      </c>
      <c r="AC319" s="73"/>
      <c r="AD319" s="73"/>
      <c r="AE319" s="68"/>
      <c r="AF319" s="67"/>
      <c r="AG319" s="73" t="s">
        <v>69</v>
      </c>
      <c r="AH319" s="73"/>
      <c r="AI319" s="68"/>
      <c r="AJ319" s="67" t="s">
        <v>69</v>
      </c>
      <c r="AK319" s="73"/>
      <c r="AL319" s="73"/>
      <c r="AM319" s="68"/>
      <c r="AN319" s="67">
        <f t="shared" si="275"/>
        <v>93</v>
      </c>
      <c r="AO319" s="68" t="str">
        <f t="shared" si="276"/>
        <v>S</v>
      </c>
      <c r="AR319" s="49">
        <f t="shared" si="41"/>
        <v>1</v>
      </c>
      <c r="AS319" s="49">
        <f t="shared" si="42"/>
        <v>0</v>
      </c>
      <c r="AT319" s="49">
        <f t="shared" si="43"/>
        <v>0</v>
      </c>
      <c r="AU319" s="49">
        <f t="shared" si="44"/>
        <v>0</v>
      </c>
      <c r="AV319" s="49">
        <f t="shared" si="45"/>
        <v>1</v>
      </c>
      <c r="AW319" s="49">
        <f t="shared" si="46"/>
        <v>0</v>
      </c>
      <c r="AX319" s="49">
        <f t="shared" si="47"/>
        <v>0</v>
      </c>
      <c r="AY319" s="49">
        <f t="shared" si="48"/>
        <v>0</v>
      </c>
      <c r="AZ319" s="49">
        <f t="shared" si="49"/>
        <v>1</v>
      </c>
      <c r="BA319" s="49">
        <f t="shared" si="50"/>
        <v>0</v>
      </c>
      <c r="BB319" s="49">
        <f t="shared" si="51"/>
        <v>0</v>
      </c>
      <c r="BC319" s="49">
        <f t="shared" si="52"/>
        <v>0</v>
      </c>
      <c r="BD319" s="49">
        <f t="shared" si="53"/>
        <v>0</v>
      </c>
      <c r="BE319" s="49">
        <f t="shared" si="54"/>
        <v>1</v>
      </c>
      <c r="BF319" s="49">
        <f t="shared" si="55"/>
        <v>0</v>
      </c>
      <c r="BG319" s="49">
        <f t="shared" si="56"/>
        <v>0</v>
      </c>
      <c r="BH319" s="49">
        <f t="shared" si="57"/>
        <v>1</v>
      </c>
      <c r="BI319" s="49">
        <f t="shared" si="58"/>
        <v>0</v>
      </c>
      <c r="BJ319" s="49">
        <f t="shared" si="59"/>
        <v>0</v>
      </c>
      <c r="BK319" s="49">
        <f t="shared" si="60"/>
        <v>0</v>
      </c>
      <c r="BL319" s="49">
        <f t="shared" si="61"/>
        <v>1</v>
      </c>
      <c r="BM319" s="49">
        <f t="shared" si="62"/>
        <v>0</v>
      </c>
      <c r="BN319" s="49">
        <f t="shared" si="63"/>
        <v>0</v>
      </c>
      <c r="BO319" s="49">
        <f t="shared" si="64"/>
        <v>0</v>
      </c>
      <c r="BP319" s="49">
        <f t="shared" si="65"/>
        <v>0</v>
      </c>
      <c r="BQ319" s="49">
        <f t="shared" si="66"/>
        <v>1</v>
      </c>
      <c r="BR319" s="49">
        <f t="shared" si="67"/>
        <v>0</v>
      </c>
      <c r="BS319" s="49">
        <f t="shared" si="68"/>
        <v>0</v>
      </c>
      <c r="BT319" s="49">
        <f t="shared" si="69"/>
        <v>1</v>
      </c>
      <c r="BU319" s="49">
        <f t="shared" si="70"/>
        <v>0</v>
      </c>
      <c r="BV319" s="49">
        <f t="shared" si="71"/>
        <v>0</v>
      </c>
      <c r="BW319" s="49">
        <f t="shared" si="72"/>
        <v>0</v>
      </c>
    </row>
    <row r="320" spans="1:75" ht="35.1" customHeight="1" x14ac:dyDescent="0.3">
      <c r="A320" s="123" t="str">
        <f t="shared" si="273"/>
        <v>3팀</v>
      </c>
      <c r="B320" s="69">
        <f t="shared" si="274"/>
        <v>314</v>
      </c>
      <c r="C320" s="121" t="str">
        <f>IF(VLOOKUP($B320,'1. 현장별 인원현황'!$C:$J,2,0)=0,"",VLOOKUP($B320,'1. 현장별 인원현황'!$C:$J,2,0))</f>
        <v xml:space="preserve"> [3.쿠팡] CHA6 FC(천안) Ph2 전기공사</v>
      </c>
      <c r="D320" s="74" t="str">
        <f>IF(VLOOKUP($B320,'1. 현장별 인원현황'!$C:$J,3,0)=0,"",VLOOKUP($B320,'1. 현장별 인원현황'!$C:$J,3,0))</f>
        <v>이대형</v>
      </c>
      <c r="E320" s="74" t="str">
        <f ca="1">IF(VLOOKUP($B320,'1. 현장별 인원현황'!$C:$J,4,0)=0,"",VLOOKUP($B320,'1. 현장별 인원현황'!$C:$J,4,0))</f>
        <v>37세</v>
      </c>
      <c r="F320" s="70" t="str">
        <f>IF(VLOOKUP($B320,'1. 현장별 인원현황'!$C:$J,7,0)=0,"",VLOOKUP($B320,'1. 현장별 인원현황'!$C:$J,7,0))</f>
        <v>기능공</v>
      </c>
      <c r="G320" s="72" t="str">
        <f>IF(VLOOKUP($B320,'1. 현장별 인원현황'!$C:$J,8,0)=0,"",VLOOKUP($B320,'1. 현장별 인원현황'!$C:$J,8,0))</f>
        <v>전공</v>
      </c>
      <c r="H320" s="67" t="s">
        <v>69</v>
      </c>
      <c r="I320" s="73"/>
      <c r="J320" s="73"/>
      <c r="K320" s="68"/>
      <c r="L320" s="67"/>
      <c r="M320" s="73" t="s">
        <v>69</v>
      </c>
      <c r="N320" s="73"/>
      <c r="O320" s="68"/>
      <c r="P320" s="67" t="s">
        <v>69</v>
      </c>
      <c r="Q320" s="73"/>
      <c r="R320" s="73"/>
      <c r="S320" s="68"/>
      <c r="T320" s="67" t="s">
        <v>69</v>
      </c>
      <c r="U320" s="73"/>
      <c r="V320" s="73"/>
      <c r="W320" s="68"/>
      <c r="X320" s="67" t="s">
        <v>69</v>
      </c>
      <c r="Y320" s="73"/>
      <c r="Z320" s="73"/>
      <c r="AA320" s="68"/>
      <c r="AB320" s="67" t="s">
        <v>69</v>
      </c>
      <c r="AC320" s="73"/>
      <c r="AD320" s="73"/>
      <c r="AE320" s="68"/>
      <c r="AF320" s="67"/>
      <c r="AG320" s="73" t="s">
        <v>69</v>
      </c>
      <c r="AH320" s="73"/>
      <c r="AI320" s="68"/>
      <c r="AJ320" s="67" t="s">
        <v>69</v>
      </c>
      <c r="AK320" s="73"/>
      <c r="AL320" s="73"/>
      <c r="AM320" s="68"/>
      <c r="AN320" s="67">
        <f t="shared" si="275"/>
        <v>93</v>
      </c>
      <c r="AO320" s="68" t="str">
        <f t="shared" si="276"/>
        <v>S</v>
      </c>
      <c r="AR320" s="49">
        <f t="shared" si="41"/>
        <v>1</v>
      </c>
      <c r="AS320" s="49">
        <f t="shared" si="42"/>
        <v>0</v>
      </c>
      <c r="AT320" s="49">
        <f t="shared" si="43"/>
        <v>0</v>
      </c>
      <c r="AU320" s="49">
        <f t="shared" si="44"/>
        <v>0</v>
      </c>
      <c r="AV320" s="49">
        <f t="shared" si="45"/>
        <v>0</v>
      </c>
      <c r="AW320" s="49">
        <f t="shared" si="46"/>
        <v>1</v>
      </c>
      <c r="AX320" s="49">
        <f t="shared" si="47"/>
        <v>0</v>
      </c>
      <c r="AY320" s="49">
        <f t="shared" si="48"/>
        <v>0</v>
      </c>
      <c r="AZ320" s="49">
        <f t="shared" si="49"/>
        <v>1</v>
      </c>
      <c r="BA320" s="49">
        <f t="shared" si="50"/>
        <v>0</v>
      </c>
      <c r="BB320" s="49">
        <f t="shared" si="51"/>
        <v>0</v>
      </c>
      <c r="BC320" s="49">
        <f t="shared" si="52"/>
        <v>0</v>
      </c>
      <c r="BD320" s="49">
        <f t="shared" si="53"/>
        <v>1</v>
      </c>
      <c r="BE320" s="49">
        <f t="shared" si="54"/>
        <v>0</v>
      </c>
      <c r="BF320" s="49">
        <f t="shared" si="55"/>
        <v>0</v>
      </c>
      <c r="BG320" s="49">
        <f t="shared" si="56"/>
        <v>0</v>
      </c>
      <c r="BH320" s="49">
        <f t="shared" si="57"/>
        <v>1</v>
      </c>
      <c r="BI320" s="49">
        <f t="shared" si="58"/>
        <v>0</v>
      </c>
      <c r="BJ320" s="49">
        <f t="shared" si="59"/>
        <v>0</v>
      </c>
      <c r="BK320" s="49">
        <f t="shared" si="60"/>
        <v>0</v>
      </c>
      <c r="BL320" s="49">
        <f t="shared" si="61"/>
        <v>1</v>
      </c>
      <c r="BM320" s="49">
        <f t="shared" si="62"/>
        <v>0</v>
      </c>
      <c r="BN320" s="49">
        <f t="shared" si="63"/>
        <v>0</v>
      </c>
      <c r="BO320" s="49">
        <f t="shared" si="64"/>
        <v>0</v>
      </c>
      <c r="BP320" s="49">
        <f t="shared" si="65"/>
        <v>0</v>
      </c>
      <c r="BQ320" s="49">
        <f t="shared" si="66"/>
        <v>1</v>
      </c>
      <c r="BR320" s="49">
        <f t="shared" si="67"/>
        <v>0</v>
      </c>
      <c r="BS320" s="49">
        <f t="shared" si="68"/>
        <v>0</v>
      </c>
      <c r="BT320" s="49">
        <f t="shared" si="69"/>
        <v>1</v>
      </c>
      <c r="BU320" s="49">
        <f t="shared" si="70"/>
        <v>0</v>
      </c>
      <c r="BV320" s="49">
        <f t="shared" si="71"/>
        <v>0</v>
      </c>
      <c r="BW320" s="49">
        <f t="shared" si="72"/>
        <v>0</v>
      </c>
    </row>
    <row r="321" spans="1:75" ht="35.1" customHeight="1" x14ac:dyDescent="0.3">
      <c r="A321" s="123" t="str">
        <f t="shared" si="273"/>
        <v>3팀</v>
      </c>
      <c r="B321" s="69">
        <f t="shared" si="274"/>
        <v>315</v>
      </c>
      <c r="C321" s="121" t="str">
        <f>IF(VLOOKUP($B321,'1. 현장별 인원현황'!$C:$J,2,0)=0,"",VLOOKUP($B321,'1. 현장별 인원현황'!$C:$J,2,0))</f>
        <v xml:space="preserve"> [3.쿠팡] CHA6 FC(천안) Ph2 전기공사</v>
      </c>
      <c r="D321" s="74" t="str">
        <f>IF(VLOOKUP($B321,'1. 현장별 인원현황'!$C:$J,3,0)=0,"",VLOOKUP($B321,'1. 현장별 인원현황'!$C:$J,3,0))</f>
        <v>장진혁</v>
      </c>
      <c r="E321" s="74" t="str">
        <f ca="1">IF(VLOOKUP($B321,'1. 현장별 인원현황'!$C:$J,4,0)=0,"",VLOOKUP($B321,'1. 현장별 인원현황'!$C:$J,4,0))</f>
        <v>61세</v>
      </c>
      <c r="F321" s="70" t="str">
        <f>IF(VLOOKUP($B321,'1. 현장별 인원현황'!$C:$J,7,0)=0,"",VLOOKUP($B321,'1. 현장별 인원현황'!$C:$J,7,0))</f>
        <v>기능공</v>
      </c>
      <c r="G321" s="72" t="str">
        <f>IF(VLOOKUP($B321,'1. 현장별 인원현황'!$C:$J,8,0)=0,"",VLOOKUP($B321,'1. 현장별 인원현황'!$C:$J,8,0))</f>
        <v>전공</v>
      </c>
      <c r="H321" s="67" t="s">
        <v>69</v>
      </c>
      <c r="I321" s="73"/>
      <c r="J321" s="73"/>
      <c r="K321" s="68"/>
      <c r="L321" s="67"/>
      <c r="M321" s="73" t="s">
        <v>69</v>
      </c>
      <c r="N321" s="73"/>
      <c r="O321" s="68"/>
      <c r="P321" s="67" t="s">
        <v>69</v>
      </c>
      <c r="Q321" s="73"/>
      <c r="R321" s="73"/>
      <c r="S321" s="68"/>
      <c r="T321" s="67"/>
      <c r="U321" s="73" t="s">
        <v>69</v>
      </c>
      <c r="V321" s="73"/>
      <c r="W321" s="68"/>
      <c r="X321" s="67" t="s">
        <v>69</v>
      </c>
      <c r="Y321" s="73"/>
      <c r="Z321" s="73"/>
      <c r="AA321" s="68"/>
      <c r="AB321" s="67" t="s">
        <v>69</v>
      </c>
      <c r="AC321" s="73"/>
      <c r="AD321" s="73"/>
      <c r="AE321" s="68"/>
      <c r="AF321" s="67" t="s">
        <v>69</v>
      </c>
      <c r="AG321" s="73"/>
      <c r="AH321" s="73"/>
      <c r="AI321" s="68"/>
      <c r="AJ321" s="67" t="s">
        <v>69</v>
      </c>
      <c r="AK321" s="73"/>
      <c r="AL321" s="73"/>
      <c r="AM321" s="68"/>
      <c r="AN321" s="67">
        <f t="shared" si="275"/>
        <v>92</v>
      </c>
      <c r="AO321" s="68" t="str">
        <f t="shared" si="276"/>
        <v>S</v>
      </c>
      <c r="AR321" s="49">
        <f t="shared" si="41"/>
        <v>1</v>
      </c>
      <c r="AS321" s="49">
        <f t="shared" si="42"/>
        <v>0</v>
      </c>
      <c r="AT321" s="49">
        <f t="shared" si="43"/>
        <v>0</v>
      </c>
      <c r="AU321" s="49">
        <f t="shared" si="44"/>
        <v>0</v>
      </c>
      <c r="AV321" s="49">
        <f t="shared" si="45"/>
        <v>0</v>
      </c>
      <c r="AW321" s="49">
        <f t="shared" si="46"/>
        <v>1</v>
      </c>
      <c r="AX321" s="49">
        <f t="shared" si="47"/>
        <v>0</v>
      </c>
      <c r="AY321" s="49">
        <f t="shared" si="48"/>
        <v>0</v>
      </c>
      <c r="AZ321" s="49">
        <f t="shared" si="49"/>
        <v>1</v>
      </c>
      <c r="BA321" s="49">
        <f t="shared" si="50"/>
        <v>0</v>
      </c>
      <c r="BB321" s="49">
        <f t="shared" si="51"/>
        <v>0</v>
      </c>
      <c r="BC321" s="49">
        <f t="shared" si="52"/>
        <v>0</v>
      </c>
      <c r="BD321" s="49">
        <f t="shared" si="53"/>
        <v>0</v>
      </c>
      <c r="BE321" s="49">
        <f t="shared" si="54"/>
        <v>1</v>
      </c>
      <c r="BF321" s="49">
        <f t="shared" si="55"/>
        <v>0</v>
      </c>
      <c r="BG321" s="49">
        <f t="shared" si="56"/>
        <v>0</v>
      </c>
      <c r="BH321" s="49">
        <f t="shared" si="57"/>
        <v>1</v>
      </c>
      <c r="BI321" s="49">
        <f t="shared" si="58"/>
        <v>0</v>
      </c>
      <c r="BJ321" s="49">
        <f t="shared" si="59"/>
        <v>0</v>
      </c>
      <c r="BK321" s="49">
        <f t="shared" si="60"/>
        <v>0</v>
      </c>
      <c r="BL321" s="49">
        <f t="shared" si="61"/>
        <v>1</v>
      </c>
      <c r="BM321" s="49">
        <f t="shared" si="62"/>
        <v>0</v>
      </c>
      <c r="BN321" s="49">
        <f t="shared" si="63"/>
        <v>0</v>
      </c>
      <c r="BO321" s="49">
        <f t="shared" si="64"/>
        <v>0</v>
      </c>
      <c r="BP321" s="49">
        <f t="shared" si="65"/>
        <v>1</v>
      </c>
      <c r="BQ321" s="49">
        <f t="shared" si="66"/>
        <v>0</v>
      </c>
      <c r="BR321" s="49">
        <f t="shared" si="67"/>
        <v>0</v>
      </c>
      <c r="BS321" s="49">
        <f t="shared" si="68"/>
        <v>0</v>
      </c>
      <c r="BT321" s="49">
        <f t="shared" si="69"/>
        <v>1</v>
      </c>
      <c r="BU321" s="49">
        <f t="shared" si="70"/>
        <v>0</v>
      </c>
      <c r="BV321" s="49">
        <f t="shared" si="71"/>
        <v>0</v>
      </c>
      <c r="BW321" s="49">
        <f t="shared" si="72"/>
        <v>0</v>
      </c>
    </row>
    <row r="322" spans="1:75" ht="35.1" customHeight="1" x14ac:dyDescent="0.3">
      <c r="A322" s="123" t="str">
        <f t="shared" si="273"/>
        <v>3팀</v>
      </c>
      <c r="B322" s="69">
        <f t="shared" si="274"/>
        <v>316</v>
      </c>
      <c r="C322" s="121" t="str">
        <f>IF(VLOOKUP($B322,'1. 현장별 인원현황'!$C:$J,2,0)=0,"",VLOOKUP($B322,'1. 현장별 인원현황'!$C:$J,2,0))</f>
        <v xml:space="preserve"> [3.쿠팡] CHA6 FC(천안) Ph2 전기공사</v>
      </c>
      <c r="D322" s="74" t="str">
        <f>IF(VLOOKUP($B322,'1. 현장별 인원현황'!$C:$J,3,0)=0,"",VLOOKUP($B322,'1. 현장별 인원현황'!$C:$J,3,0))</f>
        <v>강경진</v>
      </c>
      <c r="E322" s="74" t="str">
        <f ca="1">IF(VLOOKUP($B322,'1. 현장별 인원현황'!$C:$J,4,0)=0,"",VLOOKUP($B322,'1. 현장별 인원현황'!$C:$J,4,0))</f>
        <v>55세</v>
      </c>
      <c r="F322" s="70" t="str">
        <f>IF(VLOOKUP($B322,'1. 현장별 인원현황'!$C:$J,7,0)=0,"",VLOOKUP($B322,'1. 현장별 인원현황'!$C:$J,7,0))</f>
        <v>기능공</v>
      </c>
      <c r="G322" s="72" t="str">
        <f>IF(VLOOKUP($B322,'1. 현장별 인원현황'!$C:$J,8,0)=0,"",VLOOKUP($B322,'1. 현장별 인원현황'!$C:$J,8,0))</f>
        <v>전공</v>
      </c>
      <c r="H322" s="67" t="s">
        <v>69</v>
      </c>
      <c r="I322" s="73"/>
      <c r="J322" s="73"/>
      <c r="K322" s="68"/>
      <c r="L322" s="67"/>
      <c r="M322" s="73" t="s">
        <v>69</v>
      </c>
      <c r="N322" s="73"/>
      <c r="O322" s="68"/>
      <c r="P322" s="67" t="s">
        <v>69</v>
      </c>
      <c r="Q322" s="73"/>
      <c r="R322" s="73"/>
      <c r="S322" s="68"/>
      <c r="T322" s="67" t="s">
        <v>69</v>
      </c>
      <c r="U322" s="73"/>
      <c r="V322" s="73"/>
      <c r="W322" s="68"/>
      <c r="X322" s="67" t="s">
        <v>69</v>
      </c>
      <c r="Y322" s="73"/>
      <c r="Z322" s="73"/>
      <c r="AA322" s="68"/>
      <c r="AB322" s="67" t="s">
        <v>69</v>
      </c>
      <c r="AC322" s="73"/>
      <c r="AD322" s="73"/>
      <c r="AE322" s="68"/>
      <c r="AF322" s="67"/>
      <c r="AG322" s="73" t="s">
        <v>69</v>
      </c>
      <c r="AH322" s="73"/>
      <c r="AI322" s="68"/>
      <c r="AJ322" s="67" t="s">
        <v>69</v>
      </c>
      <c r="AK322" s="73"/>
      <c r="AL322" s="73"/>
      <c r="AM322" s="68"/>
      <c r="AN322" s="67">
        <f t="shared" si="275"/>
        <v>93</v>
      </c>
      <c r="AO322" s="68" t="str">
        <f t="shared" si="276"/>
        <v>S</v>
      </c>
      <c r="AR322" s="49">
        <f t="shared" si="41"/>
        <v>1</v>
      </c>
      <c r="AS322" s="49">
        <f t="shared" si="42"/>
        <v>0</v>
      </c>
      <c r="AT322" s="49">
        <f t="shared" si="43"/>
        <v>0</v>
      </c>
      <c r="AU322" s="49">
        <f t="shared" si="44"/>
        <v>0</v>
      </c>
      <c r="AV322" s="49">
        <f t="shared" si="45"/>
        <v>0</v>
      </c>
      <c r="AW322" s="49">
        <f t="shared" si="46"/>
        <v>1</v>
      </c>
      <c r="AX322" s="49">
        <f t="shared" si="47"/>
        <v>0</v>
      </c>
      <c r="AY322" s="49">
        <f t="shared" si="48"/>
        <v>0</v>
      </c>
      <c r="AZ322" s="49">
        <f t="shared" si="49"/>
        <v>1</v>
      </c>
      <c r="BA322" s="49">
        <f t="shared" si="50"/>
        <v>0</v>
      </c>
      <c r="BB322" s="49">
        <f t="shared" si="51"/>
        <v>0</v>
      </c>
      <c r="BC322" s="49">
        <f t="shared" si="52"/>
        <v>0</v>
      </c>
      <c r="BD322" s="49">
        <f t="shared" si="53"/>
        <v>1</v>
      </c>
      <c r="BE322" s="49">
        <f t="shared" si="54"/>
        <v>0</v>
      </c>
      <c r="BF322" s="49">
        <f t="shared" si="55"/>
        <v>0</v>
      </c>
      <c r="BG322" s="49">
        <f t="shared" si="56"/>
        <v>0</v>
      </c>
      <c r="BH322" s="49">
        <f t="shared" si="57"/>
        <v>1</v>
      </c>
      <c r="BI322" s="49">
        <f t="shared" si="58"/>
        <v>0</v>
      </c>
      <c r="BJ322" s="49">
        <f t="shared" si="59"/>
        <v>0</v>
      </c>
      <c r="BK322" s="49">
        <f t="shared" si="60"/>
        <v>0</v>
      </c>
      <c r="BL322" s="49">
        <f t="shared" si="61"/>
        <v>1</v>
      </c>
      <c r="BM322" s="49">
        <f t="shared" si="62"/>
        <v>0</v>
      </c>
      <c r="BN322" s="49">
        <f t="shared" si="63"/>
        <v>0</v>
      </c>
      <c r="BO322" s="49">
        <f t="shared" si="64"/>
        <v>0</v>
      </c>
      <c r="BP322" s="49">
        <f t="shared" si="65"/>
        <v>0</v>
      </c>
      <c r="BQ322" s="49">
        <f t="shared" si="66"/>
        <v>1</v>
      </c>
      <c r="BR322" s="49">
        <f t="shared" si="67"/>
        <v>0</v>
      </c>
      <c r="BS322" s="49">
        <f t="shared" si="68"/>
        <v>0</v>
      </c>
      <c r="BT322" s="49">
        <f t="shared" si="69"/>
        <v>1</v>
      </c>
      <c r="BU322" s="49">
        <f t="shared" si="70"/>
        <v>0</v>
      </c>
      <c r="BV322" s="49">
        <f t="shared" si="71"/>
        <v>0</v>
      </c>
      <c r="BW322" s="49">
        <f t="shared" si="72"/>
        <v>0</v>
      </c>
    </row>
    <row r="323" spans="1:75" ht="35.1" customHeight="1" x14ac:dyDescent="0.3">
      <c r="A323" s="123" t="str">
        <f t="shared" si="273"/>
        <v>3팀</v>
      </c>
      <c r="B323" s="69">
        <f t="shared" si="274"/>
        <v>317</v>
      </c>
      <c r="C323" s="121" t="str">
        <f>IF(VLOOKUP($B323,'1. 현장별 인원현황'!$C:$J,2,0)=0,"",VLOOKUP($B323,'1. 현장별 인원현황'!$C:$J,2,0))</f>
        <v xml:space="preserve"> [3.쿠팡] CHA6 FC(천안) Ph2 전기공사</v>
      </c>
      <c r="D323" s="74" t="str">
        <f>IF(VLOOKUP($B323,'1. 현장별 인원현황'!$C:$J,3,0)=0,"",VLOOKUP($B323,'1. 현장별 인원현황'!$C:$J,3,0))</f>
        <v>김경훈</v>
      </c>
      <c r="E323" s="74" t="str">
        <f ca="1">IF(VLOOKUP($B323,'1. 현장별 인원현황'!$C:$J,4,0)=0,"",VLOOKUP($B323,'1. 현장별 인원현황'!$C:$J,4,0))</f>
        <v>56세</v>
      </c>
      <c r="F323" s="70" t="str">
        <f>IF(VLOOKUP($B323,'1. 현장별 인원현황'!$C:$J,7,0)=0,"",VLOOKUP($B323,'1. 현장별 인원현황'!$C:$J,7,0))</f>
        <v>기능공</v>
      </c>
      <c r="G323" s="72" t="str">
        <f>IF(VLOOKUP($B323,'1. 현장별 인원현황'!$C:$J,8,0)=0,"",VLOOKUP($B323,'1. 현장별 인원현황'!$C:$J,8,0))</f>
        <v>전공</v>
      </c>
      <c r="H323" s="67" t="s">
        <v>69</v>
      </c>
      <c r="I323" s="73"/>
      <c r="J323" s="73"/>
      <c r="K323" s="68"/>
      <c r="L323" s="67"/>
      <c r="M323" s="73" t="s">
        <v>69</v>
      </c>
      <c r="N323" s="73"/>
      <c r="O323" s="68"/>
      <c r="P323" s="67" t="s">
        <v>69</v>
      </c>
      <c r="Q323" s="73"/>
      <c r="R323" s="73"/>
      <c r="S323" s="68"/>
      <c r="T323" s="67"/>
      <c r="U323" s="73" t="s">
        <v>69</v>
      </c>
      <c r="V323" s="73"/>
      <c r="W323" s="68"/>
      <c r="X323" s="67" t="s">
        <v>69</v>
      </c>
      <c r="Y323" s="73"/>
      <c r="Z323" s="73"/>
      <c r="AA323" s="68"/>
      <c r="AB323" s="67" t="s">
        <v>69</v>
      </c>
      <c r="AC323" s="73"/>
      <c r="AD323" s="73"/>
      <c r="AE323" s="68"/>
      <c r="AF323" s="67" t="s">
        <v>69</v>
      </c>
      <c r="AG323" s="73"/>
      <c r="AH323" s="73"/>
      <c r="AI323" s="68"/>
      <c r="AJ323" s="67" t="s">
        <v>69</v>
      </c>
      <c r="AK323" s="73"/>
      <c r="AL323" s="73"/>
      <c r="AM323" s="68"/>
      <c r="AN323" s="67">
        <f t="shared" si="275"/>
        <v>92</v>
      </c>
      <c r="AO323" s="68" t="str">
        <f t="shared" si="276"/>
        <v>S</v>
      </c>
      <c r="AR323" s="49">
        <f t="shared" si="41"/>
        <v>1</v>
      </c>
      <c r="AS323" s="49">
        <f t="shared" si="42"/>
        <v>0</v>
      </c>
      <c r="AT323" s="49">
        <f t="shared" si="43"/>
        <v>0</v>
      </c>
      <c r="AU323" s="49">
        <f t="shared" si="44"/>
        <v>0</v>
      </c>
      <c r="AV323" s="49">
        <f t="shared" si="45"/>
        <v>0</v>
      </c>
      <c r="AW323" s="49">
        <f t="shared" si="46"/>
        <v>1</v>
      </c>
      <c r="AX323" s="49">
        <f t="shared" si="47"/>
        <v>0</v>
      </c>
      <c r="AY323" s="49">
        <f t="shared" si="48"/>
        <v>0</v>
      </c>
      <c r="AZ323" s="49">
        <f t="shared" si="49"/>
        <v>1</v>
      </c>
      <c r="BA323" s="49">
        <f t="shared" si="50"/>
        <v>0</v>
      </c>
      <c r="BB323" s="49">
        <f t="shared" si="51"/>
        <v>0</v>
      </c>
      <c r="BC323" s="49">
        <f t="shared" si="52"/>
        <v>0</v>
      </c>
      <c r="BD323" s="49">
        <f t="shared" si="53"/>
        <v>0</v>
      </c>
      <c r="BE323" s="49">
        <f t="shared" si="54"/>
        <v>1</v>
      </c>
      <c r="BF323" s="49">
        <f t="shared" si="55"/>
        <v>0</v>
      </c>
      <c r="BG323" s="49">
        <f t="shared" si="56"/>
        <v>0</v>
      </c>
      <c r="BH323" s="49">
        <f t="shared" si="57"/>
        <v>1</v>
      </c>
      <c r="BI323" s="49">
        <f t="shared" si="58"/>
        <v>0</v>
      </c>
      <c r="BJ323" s="49">
        <f t="shared" si="59"/>
        <v>0</v>
      </c>
      <c r="BK323" s="49">
        <f t="shared" si="60"/>
        <v>0</v>
      </c>
      <c r="BL323" s="49">
        <f t="shared" si="61"/>
        <v>1</v>
      </c>
      <c r="BM323" s="49">
        <f t="shared" si="62"/>
        <v>0</v>
      </c>
      <c r="BN323" s="49">
        <f t="shared" si="63"/>
        <v>0</v>
      </c>
      <c r="BO323" s="49">
        <f t="shared" si="64"/>
        <v>0</v>
      </c>
      <c r="BP323" s="49">
        <f t="shared" si="65"/>
        <v>1</v>
      </c>
      <c r="BQ323" s="49">
        <f t="shared" si="66"/>
        <v>0</v>
      </c>
      <c r="BR323" s="49">
        <f t="shared" si="67"/>
        <v>0</v>
      </c>
      <c r="BS323" s="49">
        <f t="shared" si="68"/>
        <v>0</v>
      </c>
      <c r="BT323" s="49">
        <f t="shared" si="69"/>
        <v>1</v>
      </c>
      <c r="BU323" s="49">
        <f t="shared" si="70"/>
        <v>0</v>
      </c>
      <c r="BV323" s="49">
        <f t="shared" si="71"/>
        <v>0</v>
      </c>
      <c r="BW323" s="49">
        <f t="shared" si="72"/>
        <v>0</v>
      </c>
    </row>
    <row r="324" spans="1:75" ht="35.1" customHeight="1" x14ac:dyDescent="0.3">
      <c r="A324" s="123" t="str">
        <f t="shared" si="273"/>
        <v>3팀</v>
      </c>
      <c r="B324" s="69">
        <f t="shared" si="274"/>
        <v>318</v>
      </c>
      <c r="C324" s="121" t="str">
        <f>IF(VLOOKUP($B324,'1. 현장별 인원현황'!$C:$J,2,0)=0,"",VLOOKUP($B324,'1. 현장별 인원현황'!$C:$J,2,0))</f>
        <v xml:space="preserve"> [3.쿠팡] CHA6 FC(천안) Ph2 전기공사</v>
      </c>
      <c r="D324" s="74" t="str">
        <f>IF(VLOOKUP($B324,'1. 현장별 인원현황'!$C:$J,3,0)=0,"",VLOOKUP($B324,'1. 현장별 인원현황'!$C:$J,3,0))</f>
        <v>박승섭</v>
      </c>
      <c r="E324" s="74" t="str">
        <f ca="1">IF(VLOOKUP($B324,'1. 현장별 인원현황'!$C:$J,4,0)=0,"",VLOOKUP($B324,'1. 현장별 인원현황'!$C:$J,4,0))</f>
        <v>52세</v>
      </c>
      <c r="F324" s="70" t="str">
        <f>IF(VLOOKUP($B324,'1. 현장별 인원현황'!$C:$J,7,0)=0,"",VLOOKUP($B324,'1. 현장별 인원현황'!$C:$J,7,0))</f>
        <v>기능공</v>
      </c>
      <c r="G324" s="72" t="str">
        <f>IF(VLOOKUP($B324,'1. 현장별 인원현황'!$C:$J,8,0)=0,"",VLOOKUP($B324,'1. 현장별 인원현황'!$C:$J,8,0))</f>
        <v>전공</v>
      </c>
      <c r="H324" s="67" t="s">
        <v>69</v>
      </c>
      <c r="I324" s="73"/>
      <c r="J324" s="73"/>
      <c r="K324" s="68"/>
      <c r="L324" s="67"/>
      <c r="M324" s="73" t="s">
        <v>69</v>
      </c>
      <c r="N324" s="73"/>
      <c r="O324" s="68"/>
      <c r="P324" s="67" t="s">
        <v>69</v>
      </c>
      <c r="Q324" s="73"/>
      <c r="R324" s="73"/>
      <c r="S324" s="68"/>
      <c r="T324" s="67" t="s">
        <v>69</v>
      </c>
      <c r="U324" s="73"/>
      <c r="V324" s="73"/>
      <c r="W324" s="68"/>
      <c r="X324" s="67" t="s">
        <v>69</v>
      </c>
      <c r="Y324" s="73"/>
      <c r="Z324" s="73"/>
      <c r="AA324" s="68"/>
      <c r="AB324" s="67" t="s">
        <v>69</v>
      </c>
      <c r="AC324" s="73"/>
      <c r="AD324" s="73"/>
      <c r="AE324" s="68"/>
      <c r="AF324" s="67"/>
      <c r="AG324" s="73" t="s">
        <v>69</v>
      </c>
      <c r="AH324" s="73"/>
      <c r="AI324" s="68"/>
      <c r="AJ324" s="67" t="s">
        <v>69</v>
      </c>
      <c r="AK324" s="73"/>
      <c r="AL324" s="73"/>
      <c r="AM324" s="68"/>
      <c r="AN324" s="67">
        <f t="shared" si="275"/>
        <v>93</v>
      </c>
      <c r="AO324" s="68" t="str">
        <f t="shared" si="276"/>
        <v>S</v>
      </c>
      <c r="AR324" s="49">
        <f t="shared" ref="AR324:AR339" si="309">IF(H324&gt;0,1,0)</f>
        <v>1</v>
      </c>
      <c r="AS324" s="49">
        <f t="shared" ref="AS324:AS339" si="310">IF(I324&gt;0,1,0)</f>
        <v>0</v>
      </c>
      <c r="AT324" s="49">
        <f t="shared" ref="AT324:AT339" si="311">IF(J324&gt;0,1,0)</f>
        <v>0</v>
      </c>
      <c r="AU324" s="49">
        <f t="shared" ref="AU324:AU339" si="312">IF(K324&gt;0,1,0)</f>
        <v>0</v>
      </c>
      <c r="AV324" s="49">
        <f t="shared" ref="AV324:AV339" si="313">IF(L324&gt;0,1,0)</f>
        <v>0</v>
      </c>
      <c r="AW324" s="49">
        <f t="shared" ref="AW324:AW339" si="314">IF(M324&gt;0,1,0)</f>
        <v>1</v>
      </c>
      <c r="AX324" s="49">
        <f t="shared" ref="AX324:AX339" si="315">IF(N324&gt;0,1,0)</f>
        <v>0</v>
      </c>
      <c r="AY324" s="49">
        <f t="shared" ref="AY324:AY339" si="316">IF(O324&gt;0,1,0)</f>
        <v>0</v>
      </c>
      <c r="AZ324" s="49">
        <f t="shared" ref="AZ324:AZ339" si="317">IF(P324&gt;0,1,0)</f>
        <v>1</v>
      </c>
      <c r="BA324" s="49">
        <f t="shared" ref="BA324:BA339" si="318">IF(Q324&gt;0,1,0)</f>
        <v>0</v>
      </c>
      <c r="BB324" s="49">
        <f t="shared" ref="BB324:BB339" si="319">IF(R324&gt;0,1,0)</f>
        <v>0</v>
      </c>
      <c r="BC324" s="49">
        <f t="shared" ref="BC324:BC339" si="320">IF(S324&gt;0,1,0)</f>
        <v>0</v>
      </c>
      <c r="BD324" s="49">
        <f t="shared" ref="BD324:BD339" si="321">IF(T324&gt;0,1,0)</f>
        <v>1</v>
      </c>
      <c r="BE324" s="49">
        <f t="shared" ref="BE324:BE339" si="322">IF(U324&gt;0,1,0)</f>
        <v>0</v>
      </c>
      <c r="BF324" s="49">
        <f t="shared" ref="BF324:BF339" si="323">IF(V324&gt;0,1,0)</f>
        <v>0</v>
      </c>
      <c r="BG324" s="49">
        <f t="shared" ref="BG324:BG339" si="324">IF(W324&gt;0,1,0)</f>
        <v>0</v>
      </c>
      <c r="BH324" s="49">
        <f t="shared" ref="BH324:BH339" si="325">IF(X324&gt;0,1,0)</f>
        <v>1</v>
      </c>
      <c r="BI324" s="49">
        <f t="shared" ref="BI324:BI339" si="326">IF(Y324&gt;0,1,0)</f>
        <v>0</v>
      </c>
      <c r="BJ324" s="49">
        <f t="shared" ref="BJ324:BJ339" si="327">IF(Z324&gt;0,1,0)</f>
        <v>0</v>
      </c>
      <c r="BK324" s="49">
        <f t="shared" ref="BK324:BK339" si="328">IF(AA324&gt;0,1,0)</f>
        <v>0</v>
      </c>
      <c r="BL324" s="49">
        <f t="shared" ref="BL324:BL339" si="329">IF(AB324&gt;0,1,0)</f>
        <v>1</v>
      </c>
      <c r="BM324" s="49">
        <f t="shared" ref="BM324:BM339" si="330">IF(AC324&gt;0,1,0)</f>
        <v>0</v>
      </c>
      <c r="BN324" s="49">
        <f t="shared" ref="BN324:BN339" si="331">IF(AD324&gt;0,1,0)</f>
        <v>0</v>
      </c>
      <c r="BO324" s="49">
        <f t="shared" ref="BO324:BO339" si="332">IF(AE324&gt;0,1,0)</f>
        <v>0</v>
      </c>
      <c r="BP324" s="49">
        <f t="shared" ref="BP324:BP339" si="333">IF(AF324&gt;0,1,0)</f>
        <v>0</v>
      </c>
      <c r="BQ324" s="49">
        <f t="shared" ref="BQ324:BQ339" si="334">IF(AG324&gt;0,1,0)</f>
        <v>1</v>
      </c>
      <c r="BR324" s="49">
        <f t="shared" ref="BR324:BR339" si="335">IF(AH324&gt;0,1,0)</f>
        <v>0</v>
      </c>
      <c r="BS324" s="49">
        <f t="shared" ref="BS324:BS339" si="336">IF(AI324&gt;0,1,0)</f>
        <v>0</v>
      </c>
      <c r="BT324" s="49">
        <f t="shared" ref="BT324:BT339" si="337">IF(AJ324&gt;0,1,0)</f>
        <v>1</v>
      </c>
      <c r="BU324" s="49">
        <f t="shared" ref="BU324:BU339" si="338">IF(AK324&gt;0,1,0)</f>
        <v>0</v>
      </c>
      <c r="BV324" s="49">
        <f t="shared" ref="BV324:BV339" si="339">IF(AL324&gt;0,1,0)</f>
        <v>0</v>
      </c>
      <c r="BW324" s="49">
        <f t="shared" ref="BW324:BW339" si="340">IF(AM324&gt;0,1,0)</f>
        <v>0</v>
      </c>
    </row>
    <row r="325" spans="1:75" ht="35.1" customHeight="1" x14ac:dyDescent="0.3">
      <c r="A325" s="123" t="str">
        <f t="shared" si="273"/>
        <v>3팀</v>
      </c>
      <c r="B325" s="69">
        <f t="shared" si="274"/>
        <v>319</v>
      </c>
      <c r="C325" s="121" t="str">
        <f>IF(VLOOKUP($B325,'1. 현장별 인원현황'!$C:$J,2,0)=0,"",VLOOKUP($B325,'1. 현장별 인원현황'!$C:$J,2,0))</f>
        <v xml:space="preserve"> [3.쿠팡] CHA6 FC(천안) Ph2 전기공사</v>
      </c>
      <c r="D325" s="74" t="str">
        <f>IF(VLOOKUP($B325,'1. 현장별 인원현황'!$C:$J,3,0)=0,"",VLOOKUP($B325,'1. 현장별 인원현황'!$C:$J,3,0))</f>
        <v>전성균</v>
      </c>
      <c r="E325" s="74" t="str">
        <f ca="1">IF(VLOOKUP($B325,'1. 현장별 인원현황'!$C:$J,4,0)=0,"",VLOOKUP($B325,'1. 현장별 인원현황'!$C:$J,4,0))</f>
        <v>58세</v>
      </c>
      <c r="F325" s="70" t="str">
        <f>IF(VLOOKUP($B325,'1. 현장별 인원현황'!$C:$J,7,0)=0,"",VLOOKUP($B325,'1. 현장별 인원현황'!$C:$J,7,0))</f>
        <v>기능공</v>
      </c>
      <c r="G325" s="72" t="str">
        <f>IF(VLOOKUP($B325,'1. 현장별 인원현황'!$C:$J,8,0)=0,"",VLOOKUP($B325,'1. 현장별 인원현황'!$C:$J,8,0))</f>
        <v>전공</v>
      </c>
      <c r="H325" s="67" t="s">
        <v>69</v>
      </c>
      <c r="I325" s="73"/>
      <c r="J325" s="73"/>
      <c r="K325" s="68"/>
      <c r="L325" s="67"/>
      <c r="M325" s="73" t="s">
        <v>69</v>
      </c>
      <c r="N325" s="73"/>
      <c r="O325" s="68"/>
      <c r="P325" s="67" t="s">
        <v>69</v>
      </c>
      <c r="Q325" s="73"/>
      <c r="R325" s="73"/>
      <c r="S325" s="68"/>
      <c r="T325" s="67" t="s">
        <v>69</v>
      </c>
      <c r="U325" s="73"/>
      <c r="V325" s="73"/>
      <c r="W325" s="68"/>
      <c r="X325" s="67" t="s">
        <v>69</v>
      </c>
      <c r="Y325" s="73"/>
      <c r="Z325" s="73"/>
      <c r="AA325" s="68"/>
      <c r="AB325" s="67" t="s">
        <v>69</v>
      </c>
      <c r="AC325" s="73"/>
      <c r="AD325" s="73"/>
      <c r="AE325" s="68"/>
      <c r="AF325" s="67"/>
      <c r="AG325" s="73" t="s">
        <v>69</v>
      </c>
      <c r="AH325" s="73"/>
      <c r="AI325" s="68"/>
      <c r="AJ325" s="67" t="s">
        <v>69</v>
      </c>
      <c r="AK325" s="73"/>
      <c r="AL325" s="73"/>
      <c r="AM325" s="68"/>
      <c r="AN325" s="67">
        <f t="shared" si="275"/>
        <v>93</v>
      </c>
      <c r="AO325" s="68" t="str">
        <f t="shared" si="276"/>
        <v>S</v>
      </c>
      <c r="AR325" s="49">
        <f t="shared" si="309"/>
        <v>1</v>
      </c>
      <c r="AS325" s="49">
        <f t="shared" si="310"/>
        <v>0</v>
      </c>
      <c r="AT325" s="49">
        <f t="shared" si="311"/>
        <v>0</v>
      </c>
      <c r="AU325" s="49">
        <f t="shared" si="312"/>
        <v>0</v>
      </c>
      <c r="AV325" s="49">
        <f t="shared" si="313"/>
        <v>0</v>
      </c>
      <c r="AW325" s="49">
        <f t="shared" si="314"/>
        <v>1</v>
      </c>
      <c r="AX325" s="49">
        <f t="shared" si="315"/>
        <v>0</v>
      </c>
      <c r="AY325" s="49">
        <f t="shared" si="316"/>
        <v>0</v>
      </c>
      <c r="AZ325" s="49">
        <f t="shared" si="317"/>
        <v>1</v>
      </c>
      <c r="BA325" s="49">
        <f t="shared" si="318"/>
        <v>0</v>
      </c>
      <c r="BB325" s="49">
        <f t="shared" si="319"/>
        <v>0</v>
      </c>
      <c r="BC325" s="49">
        <f t="shared" si="320"/>
        <v>0</v>
      </c>
      <c r="BD325" s="49">
        <f t="shared" si="321"/>
        <v>1</v>
      </c>
      <c r="BE325" s="49">
        <f t="shared" si="322"/>
        <v>0</v>
      </c>
      <c r="BF325" s="49">
        <f t="shared" si="323"/>
        <v>0</v>
      </c>
      <c r="BG325" s="49">
        <f t="shared" si="324"/>
        <v>0</v>
      </c>
      <c r="BH325" s="49">
        <f t="shared" si="325"/>
        <v>1</v>
      </c>
      <c r="BI325" s="49">
        <f t="shared" si="326"/>
        <v>0</v>
      </c>
      <c r="BJ325" s="49">
        <f t="shared" si="327"/>
        <v>0</v>
      </c>
      <c r="BK325" s="49">
        <f t="shared" si="328"/>
        <v>0</v>
      </c>
      <c r="BL325" s="49">
        <f t="shared" si="329"/>
        <v>1</v>
      </c>
      <c r="BM325" s="49">
        <f t="shared" si="330"/>
        <v>0</v>
      </c>
      <c r="BN325" s="49">
        <f t="shared" si="331"/>
        <v>0</v>
      </c>
      <c r="BO325" s="49">
        <f t="shared" si="332"/>
        <v>0</v>
      </c>
      <c r="BP325" s="49">
        <f t="shared" si="333"/>
        <v>0</v>
      </c>
      <c r="BQ325" s="49">
        <f t="shared" si="334"/>
        <v>1</v>
      </c>
      <c r="BR325" s="49">
        <f t="shared" si="335"/>
        <v>0</v>
      </c>
      <c r="BS325" s="49">
        <f t="shared" si="336"/>
        <v>0</v>
      </c>
      <c r="BT325" s="49">
        <f t="shared" si="337"/>
        <v>1</v>
      </c>
      <c r="BU325" s="49">
        <f t="shared" si="338"/>
        <v>0</v>
      </c>
      <c r="BV325" s="49">
        <f t="shared" si="339"/>
        <v>0</v>
      </c>
      <c r="BW325" s="49">
        <f t="shared" si="340"/>
        <v>0</v>
      </c>
    </row>
    <row r="326" spans="1:75" ht="35.1" customHeight="1" x14ac:dyDescent="0.3">
      <c r="A326" s="123" t="str">
        <f t="shared" si="273"/>
        <v>3팀</v>
      </c>
      <c r="B326" s="69">
        <f t="shared" si="274"/>
        <v>320</v>
      </c>
      <c r="C326" s="121" t="str">
        <f>IF(VLOOKUP($B326,'1. 현장별 인원현황'!$C:$J,2,0)=0,"",VLOOKUP($B326,'1. 현장별 인원현황'!$C:$J,2,0))</f>
        <v xml:space="preserve"> [3.쿠팡] CHA6 FC(천안) Ph2 전기공사</v>
      </c>
      <c r="D326" s="74" t="str">
        <f>IF(VLOOKUP($B326,'1. 현장별 인원현황'!$C:$J,3,0)=0,"",VLOOKUP($B326,'1. 현장별 인원현황'!$C:$J,3,0))</f>
        <v>강준</v>
      </c>
      <c r="E326" s="74" t="str">
        <f ca="1">IF(VLOOKUP($B326,'1. 현장별 인원현황'!$C:$J,4,0)=0,"",VLOOKUP($B326,'1. 현장별 인원현황'!$C:$J,4,0))</f>
        <v>25세</v>
      </c>
      <c r="F326" s="70" t="str">
        <f>IF(VLOOKUP($B326,'1. 현장별 인원현황'!$C:$J,7,0)=0,"",VLOOKUP($B326,'1. 현장별 인원현황'!$C:$J,7,0))</f>
        <v>기능공</v>
      </c>
      <c r="G326" s="72" t="str">
        <f>IF(VLOOKUP($B326,'1. 현장별 인원현황'!$C:$J,8,0)=0,"",VLOOKUP($B326,'1. 현장별 인원현황'!$C:$J,8,0))</f>
        <v>전공</v>
      </c>
      <c r="H326" s="67" t="s">
        <v>69</v>
      </c>
      <c r="I326" s="73"/>
      <c r="J326" s="73"/>
      <c r="K326" s="68"/>
      <c r="L326" s="67"/>
      <c r="M326" s="73" t="s">
        <v>69</v>
      </c>
      <c r="N326" s="73"/>
      <c r="O326" s="68"/>
      <c r="P326" s="67" t="s">
        <v>69</v>
      </c>
      <c r="Q326" s="73"/>
      <c r="R326" s="73"/>
      <c r="S326" s="68"/>
      <c r="T326" s="67"/>
      <c r="U326" s="73" t="s">
        <v>69</v>
      </c>
      <c r="V326" s="73"/>
      <c r="W326" s="68"/>
      <c r="X326" s="67" t="s">
        <v>69</v>
      </c>
      <c r="Y326" s="73"/>
      <c r="Z326" s="73"/>
      <c r="AA326" s="68"/>
      <c r="AB326" s="67" t="s">
        <v>69</v>
      </c>
      <c r="AC326" s="73"/>
      <c r="AD326" s="73"/>
      <c r="AE326" s="68"/>
      <c r="AF326" s="67" t="s">
        <v>69</v>
      </c>
      <c r="AG326" s="73"/>
      <c r="AH326" s="73"/>
      <c r="AI326" s="68"/>
      <c r="AJ326" s="67" t="s">
        <v>69</v>
      </c>
      <c r="AK326" s="73"/>
      <c r="AL326" s="73"/>
      <c r="AM326" s="68"/>
      <c r="AN326" s="67">
        <f t="shared" si="275"/>
        <v>92</v>
      </c>
      <c r="AO326" s="68" t="str">
        <f t="shared" si="276"/>
        <v>S</v>
      </c>
      <c r="AR326" s="49">
        <f t="shared" si="309"/>
        <v>1</v>
      </c>
      <c r="AS326" s="49">
        <f t="shared" si="310"/>
        <v>0</v>
      </c>
      <c r="AT326" s="49">
        <f t="shared" si="311"/>
        <v>0</v>
      </c>
      <c r="AU326" s="49">
        <f t="shared" si="312"/>
        <v>0</v>
      </c>
      <c r="AV326" s="49">
        <f t="shared" si="313"/>
        <v>0</v>
      </c>
      <c r="AW326" s="49">
        <f t="shared" si="314"/>
        <v>1</v>
      </c>
      <c r="AX326" s="49">
        <f t="shared" si="315"/>
        <v>0</v>
      </c>
      <c r="AY326" s="49">
        <f t="shared" si="316"/>
        <v>0</v>
      </c>
      <c r="AZ326" s="49">
        <f t="shared" si="317"/>
        <v>1</v>
      </c>
      <c r="BA326" s="49">
        <f t="shared" si="318"/>
        <v>0</v>
      </c>
      <c r="BB326" s="49">
        <f t="shared" si="319"/>
        <v>0</v>
      </c>
      <c r="BC326" s="49">
        <f t="shared" si="320"/>
        <v>0</v>
      </c>
      <c r="BD326" s="49">
        <f t="shared" si="321"/>
        <v>0</v>
      </c>
      <c r="BE326" s="49">
        <f t="shared" si="322"/>
        <v>1</v>
      </c>
      <c r="BF326" s="49">
        <f t="shared" si="323"/>
        <v>0</v>
      </c>
      <c r="BG326" s="49">
        <f t="shared" si="324"/>
        <v>0</v>
      </c>
      <c r="BH326" s="49">
        <f t="shared" si="325"/>
        <v>1</v>
      </c>
      <c r="BI326" s="49">
        <f t="shared" si="326"/>
        <v>0</v>
      </c>
      <c r="BJ326" s="49">
        <f t="shared" si="327"/>
        <v>0</v>
      </c>
      <c r="BK326" s="49">
        <f t="shared" si="328"/>
        <v>0</v>
      </c>
      <c r="BL326" s="49">
        <f t="shared" si="329"/>
        <v>1</v>
      </c>
      <c r="BM326" s="49">
        <f t="shared" si="330"/>
        <v>0</v>
      </c>
      <c r="BN326" s="49">
        <f t="shared" si="331"/>
        <v>0</v>
      </c>
      <c r="BO326" s="49">
        <f t="shared" si="332"/>
        <v>0</v>
      </c>
      <c r="BP326" s="49">
        <f t="shared" si="333"/>
        <v>1</v>
      </c>
      <c r="BQ326" s="49">
        <f t="shared" si="334"/>
        <v>0</v>
      </c>
      <c r="BR326" s="49">
        <f t="shared" si="335"/>
        <v>0</v>
      </c>
      <c r="BS326" s="49">
        <f t="shared" si="336"/>
        <v>0</v>
      </c>
      <c r="BT326" s="49">
        <f t="shared" si="337"/>
        <v>1</v>
      </c>
      <c r="BU326" s="49">
        <f t="shared" si="338"/>
        <v>0</v>
      </c>
      <c r="BV326" s="49">
        <f t="shared" si="339"/>
        <v>0</v>
      </c>
      <c r="BW326" s="49">
        <f t="shared" si="340"/>
        <v>0</v>
      </c>
    </row>
    <row r="327" spans="1:75" ht="35.1" customHeight="1" x14ac:dyDescent="0.3">
      <c r="A327" s="123" t="str">
        <f t="shared" ref="A327:A390" si="341">MID(C327,3,1)&amp;"팀"</f>
        <v>3팀</v>
      </c>
      <c r="B327" s="69">
        <f t="shared" ref="B327:B390" si="342">ROW()-6</f>
        <v>321</v>
      </c>
      <c r="C327" s="121" t="str">
        <f>IF(VLOOKUP($B327,'1. 현장별 인원현황'!$C:$J,2,0)=0,"",VLOOKUP($B327,'1. 현장별 인원현황'!$C:$J,2,0))</f>
        <v xml:space="preserve"> [3.쿠팡] CHA6 FC(천안) Ph2 전기공사</v>
      </c>
      <c r="D327" s="74" t="str">
        <f>IF(VLOOKUP($B327,'1. 현장별 인원현황'!$C:$J,3,0)=0,"",VLOOKUP($B327,'1. 현장별 인원현황'!$C:$J,3,0))</f>
        <v>황순기</v>
      </c>
      <c r="E327" s="74" t="str">
        <f ca="1">IF(VLOOKUP($B327,'1. 현장별 인원현황'!$C:$J,4,0)=0,"",VLOOKUP($B327,'1. 현장별 인원현황'!$C:$J,4,0))</f>
        <v>51세</v>
      </c>
      <c r="F327" s="70" t="str">
        <f>IF(VLOOKUP($B327,'1. 현장별 인원현황'!$C:$J,7,0)=0,"",VLOOKUP($B327,'1. 현장별 인원현황'!$C:$J,7,0))</f>
        <v>기능공</v>
      </c>
      <c r="G327" s="72" t="str">
        <f>IF(VLOOKUP($B327,'1. 현장별 인원현황'!$C:$J,8,0)=0,"",VLOOKUP($B327,'1. 현장별 인원현황'!$C:$J,8,0))</f>
        <v>전공</v>
      </c>
      <c r="H327" s="67" t="s">
        <v>69</v>
      </c>
      <c r="I327" s="73"/>
      <c r="J327" s="73"/>
      <c r="K327" s="68"/>
      <c r="L327" s="67"/>
      <c r="M327" s="73" t="s">
        <v>69</v>
      </c>
      <c r="N327" s="73"/>
      <c r="O327" s="68"/>
      <c r="P327" s="67" t="s">
        <v>69</v>
      </c>
      <c r="Q327" s="73"/>
      <c r="R327" s="73"/>
      <c r="S327" s="68"/>
      <c r="T327" s="67" t="s">
        <v>69</v>
      </c>
      <c r="U327" s="73"/>
      <c r="V327" s="73"/>
      <c r="W327" s="68"/>
      <c r="X327" s="67" t="s">
        <v>69</v>
      </c>
      <c r="Y327" s="73"/>
      <c r="Z327" s="73"/>
      <c r="AA327" s="68"/>
      <c r="AB327" s="67" t="s">
        <v>69</v>
      </c>
      <c r="AC327" s="73"/>
      <c r="AD327" s="73"/>
      <c r="AE327" s="68"/>
      <c r="AF327" s="67"/>
      <c r="AG327" s="73" t="s">
        <v>69</v>
      </c>
      <c r="AH327" s="73"/>
      <c r="AI327" s="68"/>
      <c r="AJ327" s="67" t="s">
        <v>69</v>
      </c>
      <c r="AK327" s="73"/>
      <c r="AL327" s="73"/>
      <c r="AM327" s="68"/>
      <c r="AN327" s="67">
        <f t="shared" ref="AN327:AN390" si="343">SUMPRODUCT($H$5:$AM$5,AR327:BW327)</f>
        <v>93</v>
      </c>
      <c r="AO327" s="68" t="str">
        <f t="shared" ref="AO327:AO390" si="344">IF(AN327&gt;85,"S",IF(AN327&gt;70,"A",IF(AN327&gt;50,"B",IF(AN327&gt;0,"C",""))))</f>
        <v>S</v>
      </c>
      <c r="AR327" s="49">
        <f t="shared" si="309"/>
        <v>1</v>
      </c>
      <c r="AS327" s="49">
        <f t="shared" si="310"/>
        <v>0</v>
      </c>
      <c r="AT327" s="49">
        <f t="shared" si="311"/>
        <v>0</v>
      </c>
      <c r="AU327" s="49">
        <f t="shared" si="312"/>
        <v>0</v>
      </c>
      <c r="AV327" s="49">
        <f t="shared" si="313"/>
        <v>0</v>
      </c>
      <c r="AW327" s="49">
        <f t="shared" si="314"/>
        <v>1</v>
      </c>
      <c r="AX327" s="49">
        <f t="shared" si="315"/>
        <v>0</v>
      </c>
      <c r="AY327" s="49">
        <f t="shared" si="316"/>
        <v>0</v>
      </c>
      <c r="AZ327" s="49">
        <f t="shared" si="317"/>
        <v>1</v>
      </c>
      <c r="BA327" s="49">
        <f t="shared" si="318"/>
        <v>0</v>
      </c>
      <c r="BB327" s="49">
        <f t="shared" si="319"/>
        <v>0</v>
      </c>
      <c r="BC327" s="49">
        <f t="shared" si="320"/>
        <v>0</v>
      </c>
      <c r="BD327" s="49">
        <f t="shared" si="321"/>
        <v>1</v>
      </c>
      <c r="BE327" s="49">
        <f t="shared" si="322"/>
        <v>0</v>
      </c>
      <c r="BF327" s="49">
        <f t="shared" si="323"/>
        <v>0</v>
      </c>
      <c r="BG327" s="49">
        <f t="shared" si="324"/>
        <v>0</v>
      </c>
      <c r="BH327" s="49">
        <f t="shared" si="325"/>
        <v>1</v>
      </c>
      <c r="BI327" s="49">
        <f t="shared" si="326"/>
        <v>0</v>
      </c>
      <c r="BJ327" s="49">
        <f t="shared" si="327"/>
        <v>0</v>
      </c>
      <c r="BK327" s="49">
        <f t="shared" si="328"/>
        <v>0</v>
      </c>
      <c r="BL327" s="49">
        <f t="shared" si="329"/>
        <v>1</v>
      </c>
      <c r="BM327" s="49">
        <f t="shared" si="330"/>
        <v>0</v>
      </c>
      <c r="BN327" s="49">
        <f t="shared" si="331"/>
        <v>0</v>
      </c>
      <c r="BO327" s="49">
        <f t="shared" si="332"/>
        <v>0</v>
      </c>
      <c r="BP327" s="49">
        <f t="shared" si="333"/>
        <v>0</v>
      </c>
      <c r="BQ327" s="49">
        <f t="shared" si="334"/>
        <v>1</v>
      </c>
      <c r="BR327" s="49">
        <f t="shared" si="335"/>
        <v>0</v>
      </c>
      <c r="BS327" s="49">
        <f t="shared" si="336"/>
        <v>0</v>
      </c>
      <c r="BT327" s="49">
        <f t="shared" si="337"/>
        <v>1</v>
      </c>
      <c r="BU327" s="49">
        <f t="shared" si="338"/>
        <v>0</v>
      </c>
      <c r="BV327" s="49">
        <f t="shared" si="339"/>
        <v>0</v>
      </c>
      <c r="BW327" s="49">
        <f t="shared" si="340"/>
        <v>0</v>
      </c>
    </row>
    <row r="328" spans="1:75" ht="35.1" customHeight="1" x14ac:dyDescent="0.3">
      <c r="A328" s="123" t="str">
        <f t="shared" si="341"/>
        <v>3팀</v>
      </c>
      <c r="B328" s="69">
        <f t="shared" si="342"/>
        <v>322</v>
      </c>
      <c r="C328" s="121" t="str">
        <f>IF(VLOOKUP($B328,'1. 현장별 인원현황'!$C:$J,2,0)=0,"",VLOOKUP($B328,'1. 현장별 인원현황'!$C:$J,2,0))</f>
        <v xml:space="preserve"> [3.쿠팡] DAE3,7,8 FC(대구) Ph2 전기공사</v>
      </c>
      <c r="D328" s="74" t="str">
        <f>IF(VLOOKUP($B328,'1. 현장별 인원현황'!$C:$J,3,0)=0,"",VLOOKUP($B328,'1. 현장별 인원현황'!$C:$J,3,0))</f>
        <v>김영산</v>
      </c>
      <c r="E328" s="74" t="str">
        <f ca="1">IF(VLOOKUP($B328,'1. 현장별 인원현황'!$C:$J,4,0)=0,"",VLOOKUP($B328,'1. 현장별 인원현황'!$C:$J,4,0))</f>
        <v>42세</v>
      </c>
      <c r="F328" s="70" t="str">
        <f>IF(VLOOKUP($B328,'1. 현장별 인원현황'!$C:$J,7,0)=0,"",VLOOKUP($B328,'1. 현장별 인원현황'!$C:$J,7,0))</f>
        <v>공무</v>
      </c>
      <c r="G328" s="72" t="str">
        <f>IF(VLOOKUP($B328,'1. 현장별 인원현황'!$C:$J,8,0)=0,"",VLOOKUP($B328,'1. 현장별 인원현황'!$C:$J,8,0))</f>
        <v>과장</v>
      </c>
      <c r="H328" s="67" t="s">
        <v>69</v>
      </c>
      <c r="I328" s="73"/>
      <c r="J328" s="73"/>
      <c r="K328" s="68"/>
      <c r="L328" s="67"/>
      <c r="M328" s="73" t="s">
        <v>69</v>
      </c>
      <c r="N328" s="73"/>
      <c r="O328" s="68"/>
      <c r="P328" s="67" t="s">
        <v>69</v>
      </c>
      <c r="Q328" s="73"/>
      <c r="R328" s="73"/>
      <c r="S328" s="68"/>
      <c r="T328" s="67"/>
      <c r="U328" s="73" t="s">
        <v>69</v>
      </c>
      <c r="V328" s="73"/>
      <c r="W328" s="68"/>
      <c r="X328" s="67" t="s">
        <v>69</v>
      </c>
      <c r="Y328" s="73"/>
      <c r="Z328" s="73"/>
      <c r="AA328" s="68"/>
      <c r="AB328" s="67" t="s">
        <v>69</v>
      </c>
      <c r="AC328" s="73"/>
      <c r="AD328" s="73"/>
      <c r="AE328" s="68"/>
      <c r="AF328" s="67"/>
      <c r="AG328" s="73" t="s">
        <v>69</v>
      </c>
      <c r="AH328" s="73"/>
      <c r="AI328" s="68"/>
      <c r="AJ328" s="67"/>
      <c r="AK328" s="73" t="s">
        <v>69</v>
      </c>
      <c r="AL328" s="73"/>
      <c r="AM328" s="68"/>
      <c r="AN328" s="67">
        <f t="shared" si="343"/>
        <v>86</v>
      </c>
      <c r="AO328" s="68" t="str">
        <f t="shared" si="344"/>
        <v>S</v>
      </c>
      <c r="AR328" s="49">
        <f t="shared" si="309"/>
        <v>1</v>
      </c>
      <c r="AS328" s="49">
        <f t="shared" si="310"/>
        <v>0</v>
      </c>
      <c r="AT328" s="49">
        <f t="shared" si="311"/>
        <v>0</v>
      </c>
      <c r="AU328" s="49">
        <f t="shared" si="312"/>
        <v>0</v>
      </c>
      <c r="AV328" s="49">
        <f t="shared" si="313"/>
        <v>0</v>
      </c>
      <c r="AW328" s="49">
        <f t="shared" si="314"/>
        <v>1</v>
      </c>
      <c r="AX328" s="49">
        <f t="shared" si="315"/>
        <v>0</v>
      </c>
      <c r="AY328" s="49">
        <f t="shared" si="316"/>
        <v>0</v>
      </c>
      <c r="AZ328" s="49">
        <f t="shared" si="317"/>
        <v>1</v>
      </c>
      <c r="BA328" s="49">
        <f t="shared" si="318"/>
        <v>0</v>
      </c>
      <c r="BB328" s="49">
        <f t="shared" si="319"/>
        <v>0</v>
      </c>
      <c r="BC328" s="49">
        <f t="shared" si="320"/>
        <v>0</v>
      </c>
      <c r="BD328" s="49">
        <f t="shared" si="321"/>
        <v>0</v>
      </c>
      <c r="BE328" s="49">
        <f t="shared" si="322"/>
        <v>1</v>
      </c>
      <c r="BF328" s="49">
        <f t="shared" si="323"/>
        <v>0</v>
      </c>
      <c r="BG328" s="49">
        <f t="shared" si="324"/>
        <v>0</v>
      </c>
      <c r="BH328" s="49">
        <f t="shared" si="325"/>
        <v>1</v>
      </c>
      <c r="BI328" s="49">
        <f t="shared" si="326"/>
        <v>0</v>
      </c>
      <c r="BJ328" s="49">
        <f t="shared" si="327"/>
        <v>0</v>
      </c>
      <c r="BK328" s="49">
        <f t="shared" si="328"/>
        <v>0</v>
      </c>
      <c r="BL328" s="49">
        <f t="shared" si="329"/>
        <v>1</v>
      </c>
      <c r="BM328" s="49">
        <f t="shared" si="330"/>
        <v>0</v>
      </c>
      <c r="BN328" s="49">
        <f t="shared" si="331"/>
        <v>0</v>
      </c>
      <c r="BO328" s="49">
        <f t="shared" si="332"/>
        <v>0</v>
      </c>
      <c r="BP328" s="49">
        <f t="shared" si="333"/>
        <v>0</v>
      </c>
      <c r="BQ328" s="49">
        <f t="shared" si="334"/>
        <v>1</v>
      </c>
      <c r="BR328" s="49">
        <f t="shared" si="335"/>
        <v>0</v>
      </c>
      <c r="BS328" s="49">
        <f t="shared" si="336"/>
        <v>0</v>
      </c>
      <c r="BT328" s="49">
        <f t="shared" si="337"/>
        <v>0</v>
      </c>
      <c r="BU328" s="49">
        <f t="shared" si="338"/>
        <v>1</v>
      </c>
      <c r="BV328" s="49">
        <f t="shared" si="339"/>
        <v>0</v>
      </c>
      <c r="BW328" s="49">
        <f t="shared" si="340"/>
        <v>0</v>
      </c>
    </row>
    <row r="329" spans="1:75" ht="35.1" customHeight="1" x14ac:dyDescent="0.3">
      <c r="A329" s="123" t="str">
        <f t="shared" si="341"/>
        <v>3팀</v>
      </c>
      <c r="B329" s="69">
        <f t="shared" si="342"/>
        <v>323</v>
      </c>
      <c r="C329" s="121" t="str">
        <f>IF(VLOOKUP($B329,'1. 현장별 인원현황'!$C:$J,2,0)=0,"",VLOOKUP($B329,'1. 현장별 인원현황'!$C:$J,2,0))</f>
        <v xml:space="preserve"> [3.쿠팡] DAE3,7,8 FC(대구) Ph2 전기공사</v>
      </c>
      <c r="D329" s="74" t="str">
        <f>IF(VLOOKUP($B329,'1. 현장별 인원현황'!$C:$J,3,0)=0,"",VLOOKUP($B329,'1. 현장별 인원현황'!$C:$J,3,0))</f>
        <v>오석원</v>
      </c>
      <c r="E329" s="74" t="str">
        <f ca="1">IF(VLOOKUP($B329,'1. 현장별 인원현황'!$C:$J,4,0)=0,"",VLOOKUP($B329,'1. 현장별 인원현황'!$C:$J,4,0))</f>
        <v>52세</v>
      </c>
      <c r="F329" s="70" t="str">
        <f>IF(VLOOKUP($B329,'1. 현장별 인원현황'!$C:$J,7,0)=0,"",VLOOKUP($B329,'1. 현장별 인원현황'!$C:$J,7,0))</f>
        <v>안전관리자</v>
      </c>
      <c r="G329" s="72" t="str">
        <f>IF(VLOOKUP($B329,'1. 현장별 인원현황'!$C:$J,8,0)=0,"",VLOOKUP($B329,'1. 현장별 인원현황'!$C:$J,8,0))</f>
        <v>부장</v>
      </c>
      <c r="H329" s="67" t="s">
        <v>69</v>
      </c>
      <c r="I329" s="73"/>
      <c r="J329" s="73"/>
      <c r="K329" s="68"/>
      <c r="L329" s="67"/>
      <c r="M329" s="73" t="s">
        <v>69</v>
      </c>
      <c r="N329" s="73"/>
      <c r="O329" s="68"/>
      <c r="P329" s="67" t="s">
        <v>69</v>
      </c>
      <c r="Q329" s="73"/>
      <c r="R329" s="73"/>
      <c r="S329" s="68"/>
      <c r="T329" s="67"/>
      <c r="U329" s="73" t="s">
        <v>69</v>
      </c>
      <c r="V329" s="73"/>
      <c r="W329" s="68"/>
      <c r="X329" s="67" t="s">
        <v>69</v>
      </c>
      <c r="Y329" s="73"/>
      <c r="Z329" s="73"/>
      <c r="AA329" s="68"/>
      <c r="AB329" s="67" t="s">
        <v>69</v>
      </c>
      <c r="AC329" s="73"/>
      <c r="AD329" s="73"/>
      <c r="AE329" s="68"/>
      <c r="AF329" s="67" t="s">
        <v>69</v>
      </c>
      <c r="AG329" s="73"/>
      <c r="AH329" s="73"/>
      <c r="AI329" s="68"/>
      <c r="AJ329" s="67"/>
      <c r="AK329" s="73" t="s">
        <v>69</v>
      </c>
      <c r="AL329" s="73"/>
      <c r="AM329" s="68"/>
      <c r="AN329" s="67">
        <f t="shared" si="343"/>
        <v>89</v>
      </c>
      <c r="AO329" s="68" t="str">
        <f t="shared" si="344"/>
        <v>S</v>
      </c>
      <c r="AR329" s="49">
        <f t="shared" si="309"/>
        <v>1</v>
      </c>
      <c r="AS329" s="49">
        <f t="shared" si="310"/>
        <v>0</v>
      </c>
      <c r="AT329" s="49">
        <f t="shared" si="311"/>
        <v>0</v>
      </c>
      <c r="AU329" s="49">
        <f t="shared" si="312"/>
        <v>0</v>
      </c>
      <c r="AV329" s="49">
        <f t="shared" si="313"/>
        <v>0</v>
      </c>
      <c r="AW329" s="49">
        <f t="shared" si="314"/>
        <v>1</v>
      </c>
      <c r="AX329" s="49">
        <f t="shared" si="315"/>
        <v>0</v>
      </c>
      <c r="AY329" s="49">
        <f t="shared" si="316"/>
        <v>0</v>
      </c>
      <c r="AZ329" s="49">
        <f t="shared" si="317"/>
        <v>1</v>
      </c>
      <c r="BA329" s="49">
        <f t="shared" si="318"/>
        <v>0</v>
      </c>
      <c r="BB329" s="49">
        <f t="shared" si="319"/>
        <v>0</v>
      </c>
      <c r="BC329" s="49">
        <f t="shared" si="320"/>
        <v>0</v>
      </c>
      <c r="BD329" s="49">
        <f t="shared" si="321"/>
        <v>0</v>
      </c>
      <c r="BE329" s="49">
        <f t="shared" si="322"/>
        <v>1</v>
      </c>
      <c r="BF329" s="49">
        <f t="shared" si="323"/>
        <v>0</v>
      </c>
      <c r="BG329" s="49">
        <f t="shared" si="324"/>
        <v>0</v>
      </c>
      <c r="BH329" s="49">
        <f t="shared" si="325"/>
        <v>1</v>
      </c>
      <c r="BI329" s="49">
        <f t="shared" si="326"/>
        <v>0</v>
      </c>
      <c r="BJ329" s="49">
        <f t="shared" si="327"/>
        <v>0</v>
      </c>
      <c r="BK329" s="49">
        <f t="shared" si="328"/>
        <v>0</v>
      </c>
      <c r="BL329" s="49">
        <f t="shared" si="329"/>
        <v>1</v>
      </c>
      <c r="BM329" s="49">
        <f t="shared" si="330"/>
        <v>0</v>
      </c>
      <c r="BN329" s="49">
        <f t="shared" si="331"/>
        <v>0</v>
      </c>
      <c r="BO329" s="49">
        <f t="shared" si="332"/>
        <v>0</v>
      </c>
      <c r="BP329" s="49">
        <f t="shared" si="333"/>
        <v>1</v>
      </c>
      <c r="BQ329" s="49">
        <f t="shared" si="334"/>
        <v>0</v>
      </c>
      <c r="BR329" s="49">
        <f t="shared" si="335"/>
        <v>0</v>
      </c>
      <c r="BS329" s="49">
        <f t="shared" si="336"/>
        <v>0</v>
      </c>
      <c r="BT329" s="49">
        <f t="shared" si="337"/>
        <v>0</v>
      </c>
      <c r="BU329" s="49">
        <f t="shared" si="338"/>
        <v>1</v>
      </c>
      <c r="BV329" s="49">
        <f t="shared" si="339"/>
        <v>0</v>
      </c>
      <c r="BW329" s="49">
        <f t="shared" si="340"/>
        <v>0</v>
      </c>
    </row>
    <row r="330" spans="1:75" ht="35.1" customHeight="1" x14ac:dyDescent="0.3">
      <c r="A330" s="123" t="str">
        <f t="shared" si="341"/>
        <v>3팀</v>
      </c>
      <c r="B330" s="69">
        <f t="shared" si="342"/>
        <v>324</v>
      </c>
      <c r="C330" s="121" t="str">
        <f>IF(VLOOKUP($B330,'1. 현장별 인원현황'!$C:$J,2,0)=0,"",VLOOKUP($B330,'1. 현장별 인원현황'!$C:$J,2,0))</f>
        <v xml:space="preserve"> [3.쿠팡] DAE3,7,8 FC(대구) Ph2 전기공사</v>
      </c>
      <c r="D330" s="74" t="str">
        <f>IF(VLOOKUP($B330,'1. 현장별 인원현황'!$C:$J,3,0)=0,"",VLOOKUP($B330,'1. 현장별 인원현황'!$C:$J,3,0))</f>
        <v>권운선</v>
      </c>
      <c r="E330" s="74" t="str">
        <f ca="1">IF(VLOOKUP($B330,'1. 현장별 인원현황'!$C:$J,4,0)=0,"",VLOOKUP($B330,'1. 현장별 인원현황'!$C:$J,4,0))</f>
        <v>49세</v>
      </c>
      <c r="F330" s="70" t="str">
        <f>IF(VLOOKUP($B330,'1. 현장별 인원현황'!$C:$J,7,0)=0,"",VLOOKUP($B330,'1. 현장별 인원현황'!$C:$J,7,0))</f>
        <v>안전관리자</v>
      </c>
      <c r="G330" s="72" t="str">
        <f>IF(VLOOKUP($B330,'1. 현장별 인원현황'!$C:$J,8,0)=0,"",VLOOKUP($B330,'1. 현장별 인원현황'!$C:$J,8,0))</f>
        <v>대리</v>
      </c>
      <c r="H330" s="67" t="s">
        <v>69</v>
      </c>
      <c r="I330" s="73"/>
      <c r="J330" s="73"/>
      <c r="K330" s="68"/>
      <c r="L330" s="67"/>
      <c r="M330" s="73" t="s">
        <v>69</v>
      </c>
      <c r="N330" s="73"/>
      <c r="O330" s="68"/>
      <c r="P330" s="67" t="s">
        <v>69</v>
      </c>
      <c r="Q330" s="73"/>
      <c r="R330" s="73"/>
      <c r="S330" s="68"/>
      <c r="T330" s="67"/>
      <c r="U330" s="73" t="s">
        <v>69</v>
      </c>
      <c r="V330" s="73"/>
      <c r="W330" s="68"/>
      <c r="X330" s="67" t="s">
        <v>69</v>
      </c>
      <c r="Y330" s="73"/>
      <c r="Z330" s="73"/>
      <c r="AA330" s="68"/>
      <c r="AB330" s="67" t="s">
        <v>69</v>
      </c>
      <c r="AC330" s="73"/>
      <c r="AD330" s="73"/>
      <c r="AE330" s="68"/>
      <c r="AF330" s="67" t="s">
        <v>69</v>
      </c>
      <c r="AG330" s="73"/>
      <c r="AH330" s="73"/>
      <c r="AI330" s="68"/>
      <c r="AJ330" s="67"/>
      <c r="AK330" s="73" t="s">
        <v>69</v>
      </c>
      <c r="AL330" s="73"/>
      <c r="AM330" s="68"/>
      <c r="AN330" s="67">
        <f t="shared" si="343"/>
        <v>89</v>
      </c>
      <c r="AO330" s="68" t="str">
        <f t="shared" si="344"/>
        <v>S</v>
      </c>
      <c r="AR330" s="49">
        <f t="shared" si="309"/>
        <v>1</v>
      </c>
      <c r="AS330" s="49">
        <f t="shared" si="310"/>
        <v>0</v>
      </c>
      <c r="AT330" s="49">
        <f t="shared" si="311"/>
        <v>0</v>
      </c>
      <c r="AU330" s="49">
        <f t="shared" si="312"/>
        <v>0</v>
      </c>
      <c r="AV330" s="49">
        <f t="shared" si="313"/>
        <v>0</v>
      </c>
      <c r="AW330" s="49">
        <f t="shared" si="314"/>
        <v>1</v>
      </c>
      <c r="AX330" s="49">
        <f t="shared" si="315"/>
        <v>0</v>
      </c>
      <c r="AY330" s="49">
        <f t="shared" si="316"/>
        <v>0</v>
      </c>
      <c r="AZ330" s="49">
        <f t="shared" si="317"/>
        <v>1</v>
      </c>
      <c r="BA330" s="49">
        <f t="shared" si="318"/>
        <v>0</v>
      </c>
      <c r="BB330" s="49">
        <f t="shared" si="319"/>
        <v>0</v>
      </c>
      <c r="BC330" s="49">
        <f t="shared" si="320"/>
        <v>0</v>
      </c>
      <c r="BD330" s="49">
        <f t="shared" si="321"/>
        <v>0</v>
      </c>
      <c r="BE330" s="49">
        <f t="shared" si="322"/>
        <v>1</v>
      </c>
      <c r="BF330" s="49">
        <f t="shared" si="323"/>
        <v>0</v>
      </c>
      <c r="BG330" s="49">
        <f t="shared" si="324"/>
        <v>0</v>
      </c>
      <c r="BH330" s="49">
        <f t="shared" si="325"/>
        <v>1</v>
      </c>
      <c r="BI330" s="49">
        <f t="shared" si="326"/>
        <v>0</v>
      </c>
      <c r="BJ330" s="49">
        <f t="shared" si="327"/>
        <v>0</v>
      </c>
      <c r="BK330" s="49">
        <f t="shared" si="328"/>
        <v>0</v>
      </c>
      <c r="BL330" s="49">
        <f t="shared" si="329"/>
        <v>1</v>
      </c>
      <c r="BM330" s="49">
        <f t="shared" si="330"/>
        <v>0</v>
      </c>
      <c r="BN330" s="49">
        <f t="shared" si="331"/>
        <v>0</v>
      </c>
      <c r="BO330" s="49">
        <f t="shared" si="332"/>
        <v>0</v>
      </c>
      <c r="BP330" s="49">
        <f t="shared" si="333"/>
        <v>1</v>
      </c>
      <c r="BQ330" s="49">
        <f t="shared" si="334"/>
        <v>0</v>
      </c>
      <c r="BR330" s="49">
        <f t="shared" si="335"/>
        <v>0</v>
      </c>
      <c r="BS330" s="49">
        <f t="shared" si="336"/>
        <v>0</v>
      </c>
      <c r="BT330" s="49">
        <f t="shared" si="337"/>
        <v>0</v>
      </c>
      <c r="BU330" s="49">
        <f t="shared" si="338"/>
        <v>1</v>
      </c>
      <c r="BV330" s="49">
        <f t="shared" si="339"/>
        <v>0</v>
      </c>
      <c r="BW330" s="49">
        <f t="shared" si="340"/>
        <v>0</v>
      </c>
    </row>
    <row r="331" spans="1:75" ht="35.1" customHeight="1" x14ac:dyDescent="0.3">
      <c r="A331" s="123" t="str">
        <f t="shared" si="341"/>
        <v>3팀</v>
      </c>
      <c r="B331" s="69">
        <f t="shared" si="342"/>
        <v>325</v>
      </c>
      <c r="C331" s="121" t="str">
        <f>IF(VLOOKUP($B331,'1. 현장별 인원현황'!$C:$J,2,0)=0,"",VLOOKUP($B331,'1. 현장별 인원현황'!$C:$J,2,0))</f>
        <v xml:space="preserve"> [3.쿠팡] DAE3,7,8 FC(대구) Ph2 전기공사</v>
      </c>
      <c r="D331" s="74" t="str">
        <f>IF(VLOOKUP($B331,'1. 현장별 인원현황'!$C:$J,3,0)=0,"",VLOOKUP($B331,'1. 현장별 인원현황'!$C:$J,3,0))</f>
        <v>최형길</v>
      </c>
      <c r="E331" s="74" t="str">
        <f ca="1">IF(VLOOKUP($B331,'1. 현장별 인원현황'!$C:$J,4,0)=0,"",VLOOKUP($B331,'1. 현장별 인원현황'!$C:$J,4,0))</f>
        <v>61세</v>
      </c>
      <c r="F331" s="70" t="str">
        <f>IF(VLOOKUP($B331,'1. 현장별 인원현황'!$C:$J,7,0)=0,"",VLOOKUP($B331,'1. 현장별 인원현황'!$C:$J,7,0))</f>
        <v>공사</v>
      </c>
      <c r="G331" s="72" t="str">
        <f>IF(VLOOKUP($B331,'1. 현장별 인원현황'!$C:$J,8,0)=0,"",VLOOKUP($B331,'1. 현장별 인원현황'!$C:$J,8,0))</f>
        <v>차장</v>
      </c>
      <c r="H331" s="67" t="s">
        <v>69</v>
      </c>
      <c r="I331" s="73"/>
      <c r="J331" s="73"/>
      <c r="K331" s="68"/>
      <c r="L331" s="67"/>
      <c r="M331" s="73" t="s">
        <v>69</v>
      </c>
      <c r="N331" s="73"/>
      <c r="O331" s="68"/>
      <c r="P331" s="67" t="s">
        <v>69</v>
      </c>
      <c r="Q331" s="73"/>
      <c r="R331" s="73"/>
      <c r="S331" s="68"/>
      <c r="T331" s="67"/>
      <c r="U331" s="73" t="s">
        <v>69</v>
      </c>
      <c r="V331" s="73"/>
      <c r="W331" s="68"/>
      <c r="X331" s="67" t="s">
        <v>69</v>
      </c>
      <c r="Y331" s="73"/>
      <c r="Z331" s="73"/>
      <c r="AA331" s="68"/>
      <c r="AB331" s="67" t="s">
        <v>69</v>
      </c>
      <c r="AC331" s="73"/>
      <c r="AD331" s="73"/>
      <c r="AE331" s="68"/>
      <c r="AF331" s="67" t="s">
        <v>69</v>
      </c>
      <c r="AG331" s="73"/>
      <c r="AH331" s="73"/>
      <c r="AI331" s="68"/>
      <c r="AJ331" s="67"/>
      <c r="AK331" s="73" t="s">
        <v>69</v>
      </c>
      <c r="AL331" s="73"/>
      <c r="AM331" s="68"/>
      <c r="AN331" s="67">
        <f t="shared" si="343"/>
        <v>89</v>
      </c>
      <c r="AO331" s="68" t="str">
        <f t="shared" si="344"/>
        <v>S</v>
      </c>
      <c r="AR331" s="49">
        <f t="shared" si="309"/>
        <v>1</v>
      </c>
      <c r="AS331" s="49">
        <f t="shared" si="310"/>
        <v>0</v>
      </c>
      <c r="AT331" s="49">
        <f t="shared" si="311"/>
        <v>0</v>
      </c>
      <c r="AU331" s="49">
        <f t="shared" si="312"/>
        <v>0</v>
      </c>
      <c r="AV331" s="49">
        <f t="shared" si="313"/>
        <v>0</v>
      </c>
      <c r="AW331" s="49">
        <f t="shared" si="314"/>
        <v>1</v>
      </c>
      <c r="AX331" s="49">
        <f t="shared" si="315"/>
        <v>0</v>
      </c>
      <c r="AY331" s="49">
        <f t="shared" si="316"/>
        <v>0</v>
      </c>
      <c r="AZ331" s="49">
        <f t="shared" si="317"/>
        <v>1</v>
      </c>
      <c r="BA331" s="49">
        <f t="shared" si="318"/>
        <v>0</v>
      </c>
      <c r="BB331" s="49">
        <f t="shared" si="319"/>
        <v>0</v>
      </c>
      <c r="BC331" s="49">
        <f t="shared" si="320"/>
        <v>0</v>
      </c>
      <c r="BD331" s="49">
        <f t="shared" si="321"/>
        <v>0</v>
      </c>
      <c r="BE331" s="49">
        <f t="shared" si="322"/>
        <v>1</v>
      </c>
      <c r="BF331" s="49">
        <f t="shared" si="323"/>
        <v>0</v>
      </c>
      <c r="BG331" s="49">
        <f t="shared" si="324"/>
        <v>0</v>
      </c>
      <c r="BH331" s="49">
        <f t="shared" si="325"/>
        <v>1</v>
      </c>
      <c r="BI331" s="49">
        <f t="shared" si="326"/>
        <v>0</v>
      </c>
      <c r="BJ331" s="49">
        <f t="shared" si="327"/>
        <v>0</v>
      </c>
      <c r="BK331" s="49">
        <f t="shared" si="328"/>
        <v>0</v>
      </c>
      <c r="BL331" s="49">
        <f t="shared" si="329"/>
        <v>1</v>
      </c>
      <c r="BM331" s="49">
        <f t="shared" si="330"/>
        <v>0</v>
      </c>
      <c r="BN331" s="49">
        <f t="shared" si="331"/>
        <v>0</v>
      </c>
      <c r="BO331" s="49">
        <f t="shared" si="332"/>
        <v>0</v>
      </c>
      <c r="BP331" s="49">
        <f t="shared" si="333"/>
        <v>1</v>
      </c>
      <c r="BQ331" s="49">
        <f t="shared" si="334"/>
        <v>0</v>
      </c>
      <c r="BR331" s="49">
        <f t="shared" si="335"/>
        <v>0</v>
      </c>
      <c r="BS331" s="49">
        <f t="shared" si="336"/>
        <v>0</v>
      </c>
      <c r="BT331" s="49">
        <f t="shared" si="337"/>
        <v>0</v>
      </c>
      <c r="BU331" s="49">
        <f t="shared" si="338"/>
        <v>1</v>
      </c>
      <c r="BV331" s="49">
        <f t="shared" si="339"/>
        <v>0</v>
      </c>
      <c r="BW331" s="49">
        <f t="shared" si="340"/>
        <v>0</v>
      </c>
    </row>
    <row r="332" spans="1:75" ht="35.1" customHeight="1" x14ac:dyDescent="0.3">
      <c r="A332" s="123" t="str">
        <f t="shared" si="341"/>
        <v>3팀</v>
      </c>
      <c r="B332" s="69">
        <f t="shared" si="342"/>
        <v>326</v>
      </c>
      <c r="C332" s="121" t="str">
        <f>IF(VLOOKUP($B332,'1. 현장별 인원현황'!$C:$J,2,0)=0,"",VLOOKUP($B332,'1. 현장별 인원현황'!$C:$J,2,0))</f>
        <v xml:space="preserve"> [3.쿠팡] DAE3,7,8 FC(대구) Ph2 전기공사</v>
      </c>
      <c r="D332" s="74" t="str">
        <f>IF(VLOOKUP($B332,'1. 현장별 인원현황'!$C:$J,3,0)=0,"",VLOOKUP($B332,'1. 현장별 인원현황'!$C:$J,3,0))</f>
        <v>송철옥</v>
      </c>
      <c r="E332" s="74" t="str">
        <f ca="1">IF(VLOOKUP($B332,'1. 현장별 인원현황'!$C:$J,4,0)=0,"",VLOOKUP($B332,'1. 현장별 인원현황'!$C:$J,4,0))</f>
        <v>62세</v>
      </c>
      <c r="F332" s="70" t="str">
        <f>IF(VLOOKUP($B332,'1. 현장별 인원현황'!$C:$J,7,0)=0,"",VLOOKUP($B332,'1. 현장별 인원현황'!$C:$J,7,0))</f>
        <v>공사</v>
      </c>
      <c r="G332" s="72" t="str">
        <f>IF(VLOOKUP($B332,'1. 현장별 인원현황'!$C:$J,8,0)=0,"",VLOOKUP($B332,'1. 현장별 인원현황'!$C:$J,8,0))</f>
        <v>차장</v>
      </c>
      <c r="H332" s="67" t="s">
        <v>69</v>
      </c>
      <c r="I332" s="73"/>
      <c r="J332" s="73"/>
      <c r="K332" s="68"/>
      <c r="L332" s="67"/>
      <c r="M332" s="73" t="s">
        <v>69</v>
      </c>
      <c r="N332" s="73"/>
      <c r="O332" s="68"/>
      <c r="P332" s="67" t="s">
        <v>69</v>
      </c>
      <c r="Q332" s="73"/>
      <c r="R332" s="73"/>
      <c r="S332" s="68"/>
      <c r="T332" s="67"/>
      <c r="U332" s="73" t="s">
        <v>69</v>
      </c>
      <c r="V332" s="73"/>
      <c r="W332" s="68"/>
      <c r="X332" s="67" t="s">
        <v>69</v>
      </c>
      <c r="Y332" s="73"/>
      <c r="Z332" s="73"/>
      <c r="AA332" s="68"/>
      <c r="AB332" s="67" t="s">
        <v>69</v>
      </c>
      <c r="AC332" s="73"/>
      <c r="AD332" s="73"/>
      <c r="AE332" s="68"/>
      <c r="AF332" s="67" t="s">
        <v>69</v>
      </c>
      <c r="AG332" s="73"/>
      <c r="AH332" s="73"/>
      <c r="AI332" s="68"/>
      <c r="AJ332" s="67"/>
      <c r="AK332" s="73" t="s">
        <v>69</v>
      </c>
      <c r="AL332" s="73"/>
      <c r="AM332" s="68"/>
      <c r="AN332" s="67">
        <f t="shared" si="343"/>
        <v>89</v>
      </c>
      <c r="AO332" s="68" t="str">
        <f t="shared" si="344"/>
        <v>S</v>
      </c>
      <c r="AR332" s="49">
        <f t="shared" si="309"/>
        <v>1</v>
      </c>
      <c r="AS332" s="49">
        <f t="shared" si="310"/>
        <v>0</v>
      </c>
      <c r="AT332" s="49">
        <f t="shared" si="311"/>
        <v>0</v>
      </c>
      <c r="AU332" s="49">
        <f t="shared" si="312"/>
        <v>0</v>
      </c>
      <c r="AV332" s="49">
        <f t="shared" si="313"/>
        <v>0</v>
      </c>
      <c r="AW332" s="49">
        <f t="shared" si="314"/>
        <v>1</v>
      </c>
      <c r="AX332" s="49">
        <f t="shared" si="315"/>
        <v>0</v>
      </c>
      <c r="AY332" s="49">
        <f t="shared" si="316"/>
        <v>0</v>
      </c>
      <c r="AZ332" s="49">
        <f t="shared" si="317"/>
        <v>1</v>
      </c>
      <c r="BA332" s="49">
        <f t="shared" si="318"/>
        <v>0</v>
      </c>
      <c r="BB332" s="49">
        <f t="shared" si="319"/>
        <v>0</v>
      </c>
      <c r="BC332" s="49">
        <f t="shared" si="320"/>
        <v>0</v>
      </c>
      <c r="BD332" s="49">
        <f t="shared" si="321"/>
        <v>0</v>
      </c>
      <c r="BE332" s="49">
        <f t="shared" si="322"/>
        <v>1</v>
      </c>
      <c r="BF332" s="49">
        <f t="shared" si="323"/>
        <v>0</v>
      </c>
      <c r="BG332" s="49">
        <f t="shared" si="324"/>
        <v>0</v>
      </c>
      <c r="BH332" s="49">
        <f t="shared" si="325"/>
        <v>1</v>
      </c>
      <c r="BI332" s="49">
        <f t="shared" si="326"/>
        <v>0</v>
      </c>
      <c r="BJ332" s="49">
        <f t="shared" si="327"/>
        <v>0</v>
      </c>
      <c r="BK332" s="49">
        <f t="shared" si="328"/>
        <v>0</v>
      </c>
      <c r="BL332" s="49">
        <f t="shared" si="329"/>
        <v>1</v>
      </c>
      <c r="BM332" s="49">
        <f t="shared" si="330"/>
        <v>0</v>
      </c>
      <c r="BN332" s="49">
        <f t="shared" si="331"/>
        <v>0</v>
      </c>
      <c r="BO332" s="49">
        <f t="shared" si="332"/>
        <v>0</v>
      </c>
      <c r="BP332" s="49">
        <f t="shared" si="333"/>
        <v>1</v>
      </c>
      <c r="BQ332" s="49">
        <f t="shared" si="334"/>
        <v>0</v>
      </c>
      <c r="BR332" s="49">
        <f t="shared" si="335"/>
        <v>0</v>
      </c>
      <c r="BS332" s="49">
        <f t="shared" si="336"/>
        <v>0</v>
      </c>
      <c r="BT332" s="49">
        <f t="shared" si="337"/>
        <v>0</v>
      </c>
      <c r="BU332" s="49">
        <f t="shared" si="338"/>
        <v>1</v>
      </c>
      <c r="BV332" s="49">
        <f t="shared" si="339"/>
        <v>0</v>
      </c>
      <c r="BW332" s="49">
        <f t="shared" si="340"/>
        <v>0</v>
      </c>
    </row>
    <row r="333" spans="1:75" ht="35.1" customHeight="1" x14ac:dyDescent="0.3">
      <c r="A333" s="123" t="str">
        <f t="shared" si="341"/>
        <v>3팀</v>
      </c>
      <c r="B333" s="69">
        <f t="shared" si="342"/>
        <v>327</v>
      </c>
      <c r="C333" s="121" t="str">
        <f>IF(VLOOKUP($B333,'1. 현장별 인원현황'!$C:$J,2,0)=0,"",VLOOKUP($B333,'1. 현장별 인원현황'!$C:$J,2,0))</f>
        <v xml:space="preserve"> [3.쿠팡] DAE3,7,8 FC(대구) Ph2 전기공사</v>
      </c>
      <c r="D333" s="74" t="str">
        <f>IF(VLOOKUP($B333,'1. 현장별 인원현황'!$C:$J,3,0)=0,"",VLOOKUP($B333,'1. 현장별 인원현황'!$C:$J,3,0))</f>
        <v>강양규</v>
      </c>
      <c r="E333" s="74" t="str">
        <f ca="1">IF(VLOOKUP($B333,'1. 현장별 인원현황'!$C:$J,4,0)=0,"",VLOOKUP($B333,'1. 현장별 인원현황'!$C:$J,4,0))</f>
        <v>56세</v>
      </c>
      <c r="F333" s="70" t="str">
        <f>IF(VLOOKUP($B333,'1. 현장별 인원현황'!$C:$J,7,0)=0,"",VLOOKUP($B333,'1. 현장별 인원현황'!$C:$J,7,0))</f>
        <v>기능공</v>
      </c>
      <c r="G333" s="72" t="str">
        <f>IF(VLOOKUP($B333,'1. 현장별 인원현황'!$C:$J,8,0)=0,"",VLOOKUP($B333,'1. 현장별 인원현황'!$C:$J,8,0))</f>
        <v>전공</v>
      </c>
      <c r="H333" s="67"/>
      <c r="I333" s="73"/>
      <c r="J333" s="73"/>
      <c r="K333" s="68"/>
      <c r="L333" s="67"/>
      <c r="M333" s="73"/>
      <c r="N333" s="73"/>
      <c r="O333" s="68"/>
      <c r="P333" s="67"/>
      <c r="Q333" s="73" t="s">
        <v>69</v>
      </c>
      <c r="R333" s="73"/>
      <c r="S333" s="68"/>
      <c r="T333" s="67"/>
      <c r="U333" s="73" t="s">
        <v>69</v>
      </c>
      <c r="V333" s="73"/>
      <c r="W333" s="68"/>
      <c r="X333" s="67" t="s">
        <v>69</v>
      </c>
      <c r="Y333" s="73"/>
      <c r="Z333" s="73"/>
      <c r="AA333" s="68"/>
      <c r="AB333" s="67" t="s">
        <v>69</v>
      </c>
      <c r="AC333" s="73"/>
      <c r="AD333" s="73"/>
      <c r="AE333" s="68"/>
      <c r="AF333" s="67"/>
      <c r="AG333" s="73" t="s">
        <v>69</v>
      </c>
      <c r="AH333" s="73"/>
      <c r="AI333" s="68"/>
      <c r="AJ333" s="67"/>
      <c r="AK333" s="73" t="s">
        <v>69</v>
      </c>
      <c r="AL333" s="73"/>
      <c r="AM333" s="68"/>
      <c r="AN333" s="67">
        <f t="shared" si="343"/>
        <v>56</v>
      </c>
      <c r="AO333" s="68" t="str">
        <f t="shared" si="344"/>
        <v>B</v>
      </c>
      <c r="AR333" s="49">
        <f t="shared" si="309"/>
        <v>0</v>
      </c>
      <c r="AS333" s="49">
        <f t="shared" si="310"/>
        <v>0</v>
      </c>
      <c r="AT333" s="49">
        <f t="shared" si="311"/>
        <v>0</v>
      </c>
      <c r="AU333" s="49">
        <f t="shared" si="312"/>
        <v>0</v>
      </c>
      <c r="AV333" s="49">
        <f t="shared" si="313"/>
        <v>0</v>
      </c>
      <c r="AW333" s="49">
        <f t="shared" si="314"/>
        <v>0</v>
      </c>
      <c r="AX333" s="49">
        <f t="shared" si="315"/>
        <v>0</v>
      </c>
      <c r="AY333" s="49">
        <f t="shared" si="316"/>
        <v>0</v>
      </c>
      <c r="AZ333" s="49">
        <f t="shared" si="317"/>
        <v>0</v>
      </c>
      <c r="BA333" s="49">
        <f t="shared" si="318"/>
        <v>1</v>
      </c>
      <c r="BB333" s="49">
        <f t="shared" si="319"/>
        <v>0</v>
      </c>
      <c r="BC333" s="49">
        <f t="shared" si="320"/>
        <v>0</v>
      </c>
      <c r="BD333" s="49">
        <f t="shared" si="321"/>
        <v>0</v>
      </c>
      <c r="BE333" s="49">
        <f t="shared" si="322"/>
        <v>1</v>
      </c>
      <c r="BF333" s="49">
        <f t="shared" si="323"/>
        <v>0</v>
      </c>
      <c r="BG333" s="49">
        <f t="shared" si="324"/>
        <v>0</v>
      </c>
      <c r="BH333" s="49">
        <f t="shared" si="325"/>
        <v>1</v>
      </c>
      <c r="BI333" s="49">
        <f t="shared" si="326"/>
        <v>0</v>
      </c>
      <c r="BJ333" s="49">
        <f t="shared" si="327"/>
        <v>0</v>
      </c>
      <c r="BK333" s="49">
        <f t="shared" si="328"/>
        <v>0</v>
      </c>
      <c r="BL333" s="49">
        <f t="shared" si="329"/>
        <v>1</v>
      </c>
      <c r="BM333" s="49">
        <f t="shared" si="330"/>
        <v>0</v>
      </c>
      <c r="BN333" s="49">
        <f t="shared" si="331"/>
        <v>0</v>
      </c>
      <c r="BO333" s="49">
        <f t="shared" si="332"/>
        <v>0</v>
      </c>
      <c r="BP333" s="49">
        <f t="shared" si="333"/>
        <v>0</v>
      </c>
      <c r="BQ333" s="49">
        <f t="shared" si="334"/>
        <v>1</v>
      </c>
      <c r="BR333" s="49">
        <f t="shared" si="335"/>
        <v>0</v>
      </c>
      <c r="BS333" s="49">
        <f t="shared" si="336"/>
        <v>0</v>
      </c>
      <c r="BT333" s="49">
        <f t="shared" si="337"/>
        <v>0</v>
      </c>
      <c r="BU333" s="49">
        <f t="shared" si="338"/>
        <v>1</v>
      </c>
      <c r="BV333" s="49">
        <f t="shared" si="339"/>
        <v>0</v>
      </c>
      <c r="BW333" s="49">
        <f t="shared" si="340"/>
        <v>0</v>
      </c>
    </row>
    <row r="334" spans="1:75" ht="35.1" customHeight="1" x14ac:dyDescent="0.3">
      <c r="A334" s="123" t="str">
        <f t="shared" si="341"/>
        <v>3팀</v>
      </c>
      <c r="B334" s="69">
        <f t="shared" si="342"/>
        <v>328</v>
      </c>
      <c r="C334" s="121" t="str">
        <f>IF(VLOOKUP($B334,'1. 현장별 인원현황'!$C:$J,2,0)=0,"",VLOOKUP($B334,'1. 현장별 인원현황'!$C:$J,2,0))</f>
        <v xml:space="preserve"> [3.쿠팡] DAE3,7,8 FC(대구) Ph2 전기공사</v>
      </c>
      <c r="D334" s="74" t="str">
        <f>IF(VLOOKUP($B334,'1. 현장별 인원현황'!$C:$J,3,0)=0,"",VLOOKUP($B334,'1. 현장별 인원현황'!$C:$J,3,0))</f>
        <v>김대훈</v>
      </c>
      <c r="E334" s="74" t="str">
        <f ca="1">IF(VLOOKUP($B334,'1. 현장별 인원현황'!$C:$J,4,0)=0,"",VLOOKUP($B334,'1. 현장별 인원현황'!$C:$J,4,0))</f>
        <v>28세</v>
      </c>
      <c r="F334" s="70" t="str">
        <f>IF(VLOOKUP($B334,'1. 현장별 인원현황'!$C:$J,7,0)=0,"",VLOOKUP($B334,'1. 현장별 인원현황'!$C:$J,7,0))</f>
        <v>기능공</v>
      </c>
      <c r="G334" s="72" t="str">
        <f>IF(VLOOKUP($B334,'1. 현장별 인원현황'!$C:$J,8,0)=0,"",VLOOKUP($B334,'1. 현장별 인원현황'!$C:$J,8,0))</f>
        <v>조공</v>
      </c>
      <c r="H334" s="67"/>
      <c r="I334" s="73"/>
      <c r="J334" s="73"/>
      <c r="K334" s="68"/>
      <c r="L334" s="67"/>
      <c r="M334" s="73"/>
      <c r="N334" s="73"/>
      <c r="O334" s="68"/>
      <c r="P334" s="67"/>
      <c r="Q334" s="73" t="s">
        <v>69</v>
      </c>
      <c r="R334" s="73"/>
      <c r="S334" s="68"/>
      <c r="T334" s="67"/>
      <c r="U334" s="73" t="s">
        <v>69</v>
      </c>
      <c r="V334" s="73"/>
      <c r="W334" s="68"/>
      <c r="X334" s="67" t="s">
        <v>69</v>
      </c>
      <c r="Y334" s="73"/>
      <c r="Z334" s="73"/>
      <c r="AA334" s="68"/>
      <c r="AB334" s="67" t="s">
        <v>69</v>
      </c>
      <c r="AC334" s="73"/>
      <c r="AD334" s="73"/>
      <c r="AE334" s="68"/>
      <c r="AF334" s="67"/>
      <c r="AG334" s="73" t="s">
        <v>69</v>
      </c>
      <c r="AH334" s="73"/>
      <c r="AI334" s="68"/>
      <c r="AJ334" s="67"/>
      <c r="AK334" s="73" t="s">
        <v>69</v>
      </c>
      <c r="AL334" s="73"/>
      <c r="AM334" s="68"/>
      <c r="AN334" s="67">
        <f t="shared" si="343"/>
        <v>56</v>
      </c>
      <c r="AO334" s="68" t="str">
        <f t="shared" si="344"/>
        <v>B</v>
      </c>
      <c r="AR334" s="49">
        <f t="shared" si="309"/>
        <v>0</v>
      </c>
      <c r="AS334" s="49">
        <f t="shared" si="310"/>
        <v>0</v>
      </c>
      <c r="AT334" s="49">
        <f t="shared" si="311"/>
        <v>0</v>
      </c>
      <c r="AU334" s="49">
        <f t="shared" si="312"/>
        <v>0</v>
      </c>
      <c r="AV334" s="49">
        <f t="shared" si="313"/>
        <v>0</v>
      </c>
      <c r="AW334" s="49">
        <f t="shared" si="314"/>
        <v>0</v>
      </c>
      <c r="AX334" s="49">
        <f t="shared" si="315"/>
        <v>0</v>
      </c>
      <c r="AY334" s="49">
        <f t="shared" si="316"/>
        <v>0</v>
      </c>
      <c r="AZ334" s="49">
        <f t="shared" si="317"/>
        <v>0</v>
      </c>
      <c r="BA334" s="49">
        <f t="shared" si="318"/>
        <v>1</v>
      </c>
      <c r="BB334" s="49">
        <f t="shared" si="319"/>
        <v>0</v>
      </c>
      <c r="BC334" s="49">
        <f t="shared" si="320"/>
        <v>0</v>
      </c>
      <c r="BD334" s="49">
        <f t="shared" si="321"/>
        <v>0</v>
      </c>
      <c r="BE334" s="49">
        <f t="shared" si="322"/>
        <v>1</v>
      </c>
      <c r="BF334" s="49">
        <f t="shared" si="323"/>
        <v>0</v>
      </c>
      <c r="BG334" s="49">
        <f t="shared" si="324"/>
        <v>0</v>
      </c>
      <c r="BH334" s="49">
        <f t="shared" si="325"/>
        <v>1</v>
      </c>
      <c r="BI334" s="49">
        <f t="shared" si="326"/>
        <v>0</v>
      </c>
      <c r="BJ334" s="49">
        <f t="shared" si="327"/>
        <v>0</v>
      </c>
      <c r="BK334" s="49">
        <f t="shared" si="328"/>
        <v>0</v>
      </c>
      <c r="BL334" s="49">
        <f t="shared" si="329"/>
        <v>1</v>
      </c>
      <c r="BM334" s="49">
        <f t="shared" si="330"/>
        <v>0</v>
      </c>
      <c r="BN334" s="49">
        <f t="shared" si="331"/>
        <v>0</v>
      </c>
      <c r="BO334" s="49">
        <f t="shared" si="332"/>
        <v>0</v>
      </c>
      <c r="BP334" s="49">
        <f t="shared" si="333"/>
        <v>0</v>
      </c>
      <c r="BQ334" s="49">
        <f t="shared" si="334"/>
        <v>1</v>
      </c>
      <c r="BR334" s="49">
        <f t="shared" si="335"/>
        <v>0</v>
      </c>
      <c r="BS334" s="49">
        <f t="shared" si="336"/>
        <v>0</v>
      </c>
      <c r="BT334" s="49">
        <f t="shared" si="337"/>
        <v>0</v>
      </c>
      <c r="BU334" s="49">
        <f t="shared" si="338"/>
        <v>1</v>
      </c>
      <c r="BV334" s="49">
        <f t="shared" si="339"/>
        <v>0</v>
      </c>
      <c r="BW334" s="49">
        <f t="shared" si="340"/>
        <v>0</v>
      </c>
    </row>
    <row r="335" spans="1:75" ht="35.1" customHeight="1" x14ac:dyDescent="0.3">
      <c r="A335" s="123" t="str">
        <f t="shared" si="341"/>
        <v>3팀</v>
      </c>
      <c r="B335" s="69">
        <f t="shared" si="342"/>
        <v>329</v>
      </c>
      <c r="C335" s="121" t="str">
        <f>IF(VLOOKUP($B335,'1. 현장별 인원현황'!$C:$J,2,0)=0,"",VLOOKUP($B335,'1. 현장별 인원현황'!$C:$J,2,0))</f>
        <v xml:space="preserve"> [3.쿠팡] DAE3,7,8 FC(대구) Ph2 전기공사</v>
      </c>
      <c r="D335" s="74" t="str">
        <f>IF(VLOOKUP($B335,'1. 현장별 인원현황'!$C:$J,3,0)=0,"",VLOOKUP($B335,'1. 현장별 인원현황'!$C:$J,3,0))</f>
        <v>김동우</v>
      </c>
      <c r="E335" s="74" t="str">
        <f ca="1">IF(VLOOKUP($B335,'1. 현장별 인원현황'!$C:$J,4,0)=0,"",VLOOKUP($B335,'1. 현장별 인원현황'!$C:$J,4,0))</f>
        <v>30세</v>
      </c>
      <c r="F335" s="70" t="str">
        <f>IF(VLOOKUP($B335,'1. 현장별 인원현황'!$C:$J,7,0)=0,"",VLOOKUP($B335,'1. 현장별 인원현황'!$C:$J,7,0))</f>
        <v>기능공</v>
      </c>
      <c r="G335" s="72" t="str">
        <f>IF(VLOOKUP($B335,'1. 현장별 인원현황'!$C:$J,8,0)=0,"",VLOOKUP($B335,'1. 현장별 인원현황'!$C:$J,8,0))</f>
        <v>조공</v>
      </c>
      <c r="H335" s="67"/>
      <c r="I335" s="73"/>
      <c r="J335" s="73"/>
      <c r="K335" s="68"/>
      <c r="L335" s="67"/>
      <c r="M335" s="73"/>
      <c r="N335" s="73"/>
      <c r="O335" s="68"/>
      <c r="P335" s="67"/>
      <c r="Q335" s="73" t="s">
        <v>69</v>
      </c>
      <c r="R335" s="73"/>
      <c r="S335" s="68"/>
      <c r="T335" s="67"/>
      <c r="U335" s="73" t="s">
        <v>69</v>
      </c>
      <c r="V335" s="73"/>
      <c r="W335" s="68"/>
      <c r="X335" s="67" t="s">
        <v>69</v>
      </c>
      <c r="Y335" s="73"/>
      <c r="Z335" s="73"/>
      <c r="AA335" s="68"/>
      <c r="AB335" s="67" t="s">
        <v>69</v>
      </c>
      <c r="AC335" s="73"/>
      <c r="AD335" s="73"/>
      <c r="AE335" s="68"/>
      <c r="AF335" s="67"/>
      <c r="AG335" s="73" t="s">
        <v>69</v>
      </c>
      <c r="AH335" s="73"/>
      <c r="AI335" s="68"/>
      <c r="AJ335" s="67"/>
      <c r="AK335" s="73" t="s">
        <v>69</v>
      </c>
      <c r="AL335" s="73"/>
      <c r="AM335" s="68"/>
      <c r="AN335" s="67">
        <f t="shared" si="343"/>
        <v>56</v>
      </c>
      <c r="AO335" s="68" t="str">
        <f t="shared" si="344"/>
        <v>B</v>
      </c>
      <c r="AR335" s="49">
        <f t="shared" si="309"/>
        <v>0</v>
      </c>
      <c r="AS335" s="49">
        <f t="shared" si="310"/>
        <v>0</v>
      </c>
      <c r="AT335" s="49">
        <f t="shared" si="311"/>
        <v>0</v>
      </c>
      <c r="AU335" s="49">
        <f t="shared" si="312"/>
        <v>0</v>
      </c>
      <c r="AV335" s="49">
        <f t="shared" si="313"/>
        <v>0</v>
      </c>
      <c r="AW335" s="49">
        <f t="shared" si="314"/>
        <v>0</v>
      </c>
      <c r="AX335" s="49">
        <f t="shared" si="315"/>
        <v>0</v>
      </c>
      <c r="AY335" s="49">
        <f t="shared" si="316"/>
        <v>0</v>
      </c>
      <c r="AZ335" s="49">
        <f t="shared" si="317"/>
        <v>0</v>
      </c>
      <c r="BA335" s="49">
        <f t="shared" si="318"/>
        <v>1</v>
      </c>
      <c r="BB335" s="49">
        <f t="shared" si="319"/>
        <v>0</v>
      </c>
      <c r="BC335" s="49">
        <f t="shared" si="320"/>
        <v>0</v>
      </c>
      <c r="BD335" s="49">
        <f t="shared" si="321"/>
        <v>0</v>
      </c>
      <c r="BE335" s="49">
        <f t="shared" si="322"/>
        <v>1</v>
      </c>
      <c r="BF335" s="49">
        <f t="shared" si="323"/>
        <v>0</v>
      </c>
      <c r="BG335" s="49">
        <f t="shared" si="324"/>
        <v>0</v>
      </c>
      <c r="BH335" s="49">
        <f t="shared" si="325"/>
        <v>1</v>
      </c>
      <c r="BI335" s="49">
        <f t="shared" si="326"/>
        <v>0</v>
      </c>
      <c r="BJ335" s="49">
        <f t="shared" si="327"/>
        <v>0</v>
      </c>
      <c r="BK335" s="49">
        <f t="shared" si="328"/>
        <v>0</v>
      </c>
      <c r="BL335" s="49">
        <f t="shared" si="329"/>
        <v>1</v>
      </c>
      <c r="BM335" s="49">
        <f t="shared" si="330"/>
        <v>0</v>
      </c>
      <c r="BN335" s="49">
        <f t="shared" si="331"/>
        <v>0</v>
      </c>
      <c r="BO335" s="49">
        <f t="shared" si="332"/>
        <v>0</v>
      </c>
      <c r="BP335" s="49">
        <f t="shared" si="333"/>
        <v>0</v>
      </c>
      <c r="BQ335" s="49">
        <f t="shared" si="334"/>
        <v>1</v>
      </c>
      <c r="BR335" s="49">
        <f t="shared" si="335"/>
        <v>0</v>
      </c>
      <c r="BS335" s="49">
        <f t="shared" si="336"/>
        <v>0</v>
      </c>
      <c r="BT335" s="49">
        <f t="shared" si="337"/>
        <v>0</v>
      </c>
      <c r="BU335" s="49">
        <f t="shared" si="338"/>
        <v>1</v>
      </c>
      <c r="BV335" s="49">
        <f t="shared" si="339"/>
        <v>0</v>
      </c>
      <c r="BW335" s="49">
        <f t="shared" si="340"/>
        <v>0</v>
      </c>
    </row>
    <row r="336" spans="1:75" ht="35.1" customHeight="1" x14ac:dyDescent="0.3">
      <c r="A336" s="123" t="str">
        <f t="shared" si="341"/>
        <v>3팀</v>
      </c>
      <c r="B336" s="69">
        <f t="shared" si="342"/>
        <v>330</v>
      </c>
      <c r="C336" s="121" t="str">
        <f>IF(VLOOKUP($B336,'1. 현장별 인원현황'!$C:$J,2,0)=0,"",VLOOKUP($B336,'1. 현장별 인원현황'!$C:$J,2,0))</f>
        <v xml:space="preserve"> [3.쿠팡] DAE3,7,8 FC(대구) Ph2 전기공사</v>
      </c>
      <c r="D336" s="74" t="str">
        <f>IF(VLOOKUP($B336,'1. 현장별 인원현황'!$C:$J,3,0)=0,"",VLOOKUP($B336,'1. 현장별 인원현황'!$C:$J,3,0))</f>
        <v>김종수</v>
      </c>
      <c r="E336" s="74" t="str">
        <f ca="1">IF(VLOOKUP($B336,'1. 현장별 인원현황'!$C:$J,4,0)=0,"",VLOOKUP($B336,'1. 현장별 인원현황'!$C:$J,4,0))</f>
        <v>61세</v>
      </c>
      <c r="F336" s="70" t="str">
        <f>IF(VLOOKUP($B336,'1. 현장별 인원현황'!$C:$J,7,0)=0,"",VLOOKUP($B336,'1. 현장별 인원현황'!$C:$J,7,0))</f>
        <v>기능공</v>
      </c>
      <c r="G336" s="72" t="str">
        <f>IF(VLOOKUP($B336,'1. 현장별 인원현황'!$C:$J,8,0)=0,"",VLOOKUP($B336,'1. 현장별 인원현황'!$C:$J,8,0))</f>
        <v>전공</v>
      </c>
      <c r="H336" s="67"/>
      <c r="I336" s="73"/>
      <c r="J336" s="73"/>
      <c r="K336" s="68"/>
      <c r="L336" s="67"/>
      <c r="M336" s="73"/>
      <c r="N336" s="73"/>
      <c r="O336" s="68"/>
      <c r="P336" s="67"/>
      <c r="Q336" s="73" t="s">
        <v>69</v>
      </c>
      <c r="R336" s="73"/>
      <c r="S336" s="68"/>
      <c r="T336" s="67"/>
      <c r="U336" s="73"/>
      <c r="V336" s="73" t="s">
        <v>69</v>
      </c>
      <c r="W336" s="68"/>
      <c r="X336" s="67" t="s">
        <v>69</v>
      </c>
      <c r="Y336" s="73"/>
      <c r="Z336" s="73"/>
      <c r="AA336" s="68"/>
      <c r="AB336" s="67" t="s">
        <v>69</v>
      </c>
      <c r="AC336" s="73"/>
      <c r="AD336" s="73"/>
      <c r="AE336" s="68"/>
      <c r="AF336" s="67"/>
      <c r="AG336" s="73" t="s">
        <v>69</v>
      </c>
      <c r="AH336" s="73"/>
      <c r="AI336" s="68"/>
      <c r="AJ336" s="67"/>
      <c r="AK336" s="73" t="s">
        <v>69</v>
      </c>
      <c r="AL336" s="73"/>
      <c r="AM336" s="68"/>
      <c r="AN336" s="67">
        <f t="shared" si="343"/>
        <v>52</v>
      </c>
      <c r="AO336" s="68" t="str">
        <f t="shared" si="344"/>
        <v>B</v>
      </c>
      <c r="AR336" s="49">
        <f t="shared" si="309"/>
        <v>0</v>
      </c>
      <c r="AS336" s="49">
        <f t="shared" si="310"/>
        <v>0</v>
      </c>
      <c r="AT336" s="49">
        <f t="shared" si="311"/>
        <v>0</v>
      </c>
      <c r="AU336" s="49">
        <f t="shared" si="312"/>
        <v>0</v>
      </c>
      <c r="AV336" s="49">
        <f t="shared" si="313"/>
        <v>0</v>
      </c>
      <c r="AW336" s="49">
        <f t="shared" si="314"/>
        <v>0</v>
      </c>
      <c r="AX336" s="49">
        <f t="shared" si="315"/>
        <v>0</v>
      </c>
      <c r="AY336" s="49">
        <f t="shared" si="316"/>
        <v>0</v>
      </c>
      <c r="AZ336" s="49">
        <f t="shared" si="317"/>
        <v>0</v>
      </c>
      <c r="BA336" s="49">
        <f t="shared" si="318"/>
        <v>1</v>
      </c>
      <c r="BB336" s="49">
        <f t="shared" si="319"/>
        <v>0</v>
      </c>
      <c r="BC336" s="49">
        <f t="shared" si="320"/>
        <v>0</v>
      </c>
      <c r="BD336" s="49">
        <f t="shared" si="321"/>
        <v>0</v>
      </c>
      <c r="BE336" s="49">
        <f t="shared" si="322"/>
        <v>0</v>
      </c>
      <c r="BF336" s="49">
        <f t="shared" si="323"/>
        <v>1</v>
      </c>
      <c r="BG336" s="49">
        <f t="shared" si="324"/>
        <v>0</v>
      </c>
      <c r="BH336" s="49">
        <f t="shared" si="325"/>
        <v>1</v>
      </c>
      <c r="BI336" s="49">
        <f t="shared" si="326"/>
        <v>0</v>
      </c>
      <c r="BJ336" s="49">
        <f t="shared" si="327"/>
        <v>0</v>
      </c>
      <c r="BK336" s="49">
        <f t="shared" si="328"/>
        <v>0</v>
      </c>
      <c r="BL336" s="49">
        <f t="shared" si="329"/>
        <v>1</v>
      </c>
      <c r="BM336" s="49">
        <f t="shared" si="330"/>
        <v>0</v>
      </c>
      <c r="BN336" s="49">
        <f t="shared" si="331"/>
        <v>0</v>
      </c>
      <c r="BO336" s="49">
        <f t="shared" si="332"/>
        <v>0</v>
      </c>
      <c r="BP336" s="49">
        <f t="shared" si="333"/>
        <v>0</v>
      </c>
      <c r="BQ336" s="49">
        <f t="shared" si="334"/>
        <v>1</v>
      </c>
      <c r="BR336" s="49">
        <f t="shared" si="335"/>
        <v>0</v>
      </c>
      <c r="BS336" s="49">
        <f t="shared" si="336"/>
        <v>0</v>
      </c>
      <c r="BT336" s="49">
        <f t="shared" si="337"/>
        <v>0</v>
      </c>
      <c r="BU336" s="49">
        <f t="shared" si="338"/>
        <v>1</v>
      </c>
      <c r="BV336" s="49">
        <f t="shared" si="339"/>
        <v>0</v>
      </c>
      <c r="BW336" s="49">
        <f t="shared" si="340"/>
        <v>0</v>
      </c>
    </row>
    <row r="337" spans="1:75" ht="35.1" customHeight="1" x14ac:dyDescent="0.3">
      <c r="A337" s="123" t="str">
        <f t="shared" si="341"/>
        <v>3팀</v>
      </c>
      <c r="B337" s="69">
        <f t="shared" si="342"/>
        <v>331</v>
      </c>
      <c r="C337" s="121" t="str">
        <f>IF(VLOOKUP($B337,'1. 현장별 인원현황'!$C:$J,2,0)=0,"",VLOOKUP($B337,'1. 현장별 인원현황'!$C:$J,2,0))</f>
        <v xml:space="preserve"> [3.쿠팡] DAE3,7,8 FC(대구) Ph2 전기공사</v>
      </c>
      <c r="D337" s="74" t="str">
        <f>IF(VLOOKUP($B337,'1. 현장별 인원현황'!$C:$J,3,0)=0,"",VLOOKUP($B337,'1. 현장별 인원현황'!$C:$J,3,0))</f>
        <v>김진원</v>
      </c>
      <c r="E337" s="74" t="str">
        <f ca="1">IF(VLOOKUP($B337,'1. 현장별 인원현황'!$C:$J,4,0)=0,"",VLOOKUP($B337,'1. 현장별 인원현황'!$C:$J,4,0))</f>
        <v>61세</v>
      </c>
      <c r="F337" s="70" t="str">
        <f>IF(VLOOKUP($B337,'1. 현장별 인원현황'!$C:$J,7,0)=0,"",VLOOKUP($B337,'1. 현장별 인원현황'!$C:$J,7,0))</f>
        <v>기능공</v>
      </c>
      <c r="G337" s="72" t="str">
        <f>IF(VLOOKUP($B337,'1. 현장별 인원현황'!$C:$J,8,0)=0,"",VLOOKUP($B337,'1. 현장별 인원현황'!$C:$J,8,0))</f>
        <v>전공</v>
      </c>
      <c r="H337" s="67"/>
      <c r="I337" s="73"/>
      <c r="J337" s="73"/>
      <c r="K337" s="68"/>
      <c r="L337" s="67"/>
      <c r="M337" s="73"/>
      <c r="N337" s="73"/>
      <c r="O337" s="68"/>
      <c r="P337" s="67"/>
      <c r="Q337" s="73" t="s">
        <v>69</v>
      </c>
      <c r="R337" s="73"/>
      <c r="S337" s="68"/>
      <c r="T337" s="67"/>
      <c r="U337" s="73"/>
      <c r="V337" s="73" t="s">
        <v>69</v>
      </c>
      <c r="W337" s="68"/>
      <c r="X337" s="67" t="s">
        <v>69</v>
      </c>
      <c r="Y337" s="73"/>
      <c r="Z337" s="73"/>
      <c r="AA337" s="68"/>
      <c r="AB337" s="67" t="s">
        <v>69</v>
      </c>
      <c r="AC337" s="73"/>
      <c r="AD337" s="73"/>
      <c r="AE337" s="68"/>
      <c r="AF337" s="67"/>
      <c r="AG337" s="73" t="s">
        <v>69</v>
      </c>
      <c r="AH337" s="73"/>
      <c r="AI337" s="68"/>
      <c r="AJ337" s="67"/>
      <c r="AK337" s="73" t="s">
        <v>69</v>
      </c>
      <c r="AL337" s="73"/>
      <c r="AM337" s="68"/>
      <c r="AN337" s="67">
        <f t="shared" si="343"/>
        <v>52</v>
      </c>
      <c r="AO337" s="68" t="str">
        <f t="shared" si="344"/>
        <v>B</v>
      </c>
      <c r="AR337" s="49">
        <f t="shared" si="309"/>
        <v>0</v>
      </c>
      <c r="AS337" s="49">
        <f t="shared" si="310"/>
        <v>0</v>
      </c>
      <c r="AT337" s="49">
        <f t="shared" si="311"/>
        <v>0</v>
      </c>
      <c r="AU337" s="49">
        <f t="shared" si="312"/>
        <v>0</v>
      </c>
      <c r="AV337" s="49">
        <f t="shared" si="313"/>
        <v>0</v>
      </c>
      <c r="AW337" s="49">
        <f t="shared" si="314"/>
        <v>0</v>
      </c>
      <c r="AX337" s="49">
        <f t="shared" si="315"/>
        <v>0</v>
      </c>
      <c r="AY337" s="49">
        <f t="shared" si="316"/>
        <v>0</v>
      </c>
      <c r="AZ337" s="49">
        <f t="shared" si="317"/>
        <v>0</v>
      </c>
      <c r="BA337" s="49">
        <f t="shared" si="318"/>
        <v>1</v>
      </c>
      <c r="BB337" s="49">
        <f t="shared" si="319"/>
        <v>0</v>
      </c>
      <c r="BC337" s="49">
        <f t="shared" si="320"/>
        <v>0</v>
      </c>
      <c r="BD337" s="49">
        <f t="shared" si="321"/>
        <v>0</v>
      </c>
      <c r="BE337" s="49">
        <f t="shared" si="322"/>
        <v>0</v>
      </c>
      <c r="BF337" s="49">
        <f t="shared" si="323"/>
        <v>1</v>
      </c>
      <c r="BG337" s="49">
        <f t="shared" si="324"/>
        <v>0</v>
      </c>
      <c r="BH337" s="49">
        <f t="shared" si="325"/>
        <v>1</v>
      </c>
      <c r="BI337" s="49">
        <f t="shared" si="326"/>
        <v>0</v>
      </c>
      <c r="BJ337" s="49">
        <f t="shared" si="327"/>
        <v>0</v>
      </c>
      <c r="BK337" s="49">
        <f t="shared" si="328"/>
        <v>0</v>
      </c>
      <c r="BL337" s="49">
        <f t="shared" si="329"/>
        <v>1</v>
      </c>
      <c r="BM337" s="49">
        <f t="shared" si="330"/>
        <v>0</v>
      </c>
      <c r="BN337" s="49">
        <f t="shared" si="331"/>
        <v>0</v>
      </c>
      <c r="BO337" s="49">
        <f t="shared" si="332"/>
        <v>0</v>
      </c>
      <c r="BP337" s="49">
        <f t="shared" si="333"/>
        <v>0</v>
      </c>
      <c r="BQ337" s="49">
        <f t="shared" si="334"/>
        <v>1</v>
      </c>
      <c r="BR337" s="49">
        <f t="shared" si="335"/>
        <v>0</v>
      </c>
      <c r="BS337" s="49">
        <f t="shared" si="336"/>
        <v>0</v>
      </c>
      <c r="BT337" s="49">
        <f t="shared" si="337"/>
        <v>0</v>
      </c>
      <c r="BU337" s="49">
        <f t="shared" si="338"/>
        <v>1</v>
      </c>
      <c r="BV337" s="49">
        <f t="shared" si="339"/>
        <v>0</v>
      </c>
      <c r="BW337" s="49">
        <f t="shared" si="340"/>
        <v>0</v>
      </c>
    </row>
    <row r="338" spans="1:75" ht="35.1" customHeight="1" x14ac:dyDescent="0.3">
      <c r="A338" s="123" t="str">
        <f t="shared" si="341"/>
        <v>3팀</v>
      </c>
      <c r="B338" s="69">
        <f t="shared" si="342"/>
        <v>332</v>
      </c>
      <c r="C338" s="121" t="str">
        <f>IF(VLOOKUP($B338,'1. 현장별 인원현황'!$C:$J,2,0)=0,"",VLOOKUP($B338,'1. 현장별 인원현황'!$C:$J,2,0))</f>
        <v xml:space="preserve"> [3.쿠팡] DAE3,7,8 FC(대구) Ph2 전기공사</v>
      </c>
      <c r="D338" s="74" t="str">
        <f>IF(VLOOKUP($B338,'1. 현장별 인원현황'!$C:$J,3,0)=0,"",VLOOKUP($B338,'1. 현장별 인원현황'!$C:$J,3,0))</f>
        <v>문영후</v>
      </c>
      <c r="E338" s="74" t="str">
        <f ca="1">IF(VLOOKUP($B338,'1. 현장별 인원현황'!$C:$J,4,0)=0,"",VLOOKUP($B338,'1. 현장별 인원현황'!$C:$J,4,0))</f>
        <v>41세</v>
      </c>
      <c r="F338" s="70" t="str">
        <f>IF(VLOOKUP($B338,'1. 현장별 인원현황'!$C:$J,7,0)=0,"",VLOOKUP($B338,'1. 현장별 인원현황'!$C:$J,7,0))</f>
        <v>기능공</v>
      </c>
      <c r="G338" s="72" t="str">
        <f>IF(VLOOKUP($B338,'1. 현장별 인원현황'!$C:$J,8,0)=0,"",VLOOKUP($B338,'1. 현장별 인원현황'!$C:$J,8,0))</f>
        <v>전공</v>
      </c>
      <c r="H338" s="67"/>
      <c r="I338" s="73" t="s">
        <v>69</v>
      </c>
      <c r="J338" s="73"/>
      <c r="K338" s="68"/>
      <c r="L338" s="67"/>
      <c r="M338" s="73" t="s">
        <v>69</v>
      </c>
      <c r="N338" s="73"/>
      <c r="O338" s="68"/>
      <c r="P338" s="67" t="s">
        <v>69</v>
      </c>
      <c r="Q338" s="73"/>
      <c r="R338" s="73"/>
      <c r="S338" s="68"/>
      <c r="T338" s="67" t="s">
        <v>69</v>
      </c>
      <c r="U338" s="73"/>
      <c r="V338" s="73"/>
      <c r="W338" s="68"/>
      <c r="X338" s="67" t="s">
        <v>69</v>
      </c>
      <c r="Y338" s="73"/>
      <c r="Z338" s="73"/>
      <c r="AA338" s="68"/>
      <c r="AB338" s="67" t="s">
        <v>69</v>
      </c>
      <c r="AC338" s="73"/>
      <c r="AD338" s="73"/>
      <c r="AE338" s="68"/>
      <c r="AF338" s="67" t="s">
        <v>69</v>
      </c>
      <c r="AG338" s="73"/>
      <c r="AH338" s="73"/>
      <c r="AI338" s="68"/>
      <c r="AJ338" s="67"/>
      <c r="AK338" s="73" t="s">
        <v>69</v>
      </c>
      <c r="AL338" s="73"/>
      <c r="AM338" s="68"/>
      <c r="AN338" s="67">
        <f t="shared" si="343"/>
        <v>89</v>
      </c>
      <c r="AO338" s="68" t="str">
        <f t="shared" si="344"/>
        <v>S</v>
      </c>
      <c r="AR338" s="49">
        <f t="shared" si="309"/>
        <v>0</v>
      </c>
      <c r="AS338" s="49">
        <f t="shared" si="310"/>
        <v>1</v>
      </c>
      <c r="AT338" s="49">
        <f t="shared" si="311"/>
        <v>0</v>
      </c>
      <c r="AU338" s="49">
        <f t="shared" si="312"/>
        <v>0</v>
      </c>
      <c r="AV338" s="49">
        <f t="shared" si="313"/>
        <v>0</v>
      </c>
      <c r="AW338" s="49">
        <f t="shared" si="314"/>
        <v>1</v>
      </c>
      <c r="AX338" s="49">
        <f t="shared" si="315"/>
        <v>0</v>
      </c>
      <c r="AY338" s="49">
        <f t="shared" si="316"/>
        <v>0</v>
      </c>
      <c r="AZ338" s="49">
        <f t="shared" si="317"/>
        <v>1</v>
      </c>
      <c r="BA338" s="49">
        <f t="shared" si="318"/>
        <v>0</v>
      </c>
      <c r="BB338" s="49">
        <f t="shared" si="319"/>
        <v>0</v>
      </c>
      <c r="BC338" s="49">
        <f t="shared" si="320"/>
        <v>0</v>
      </c>
      <c r="BD338" s="49">
        <f t="shared" si="321"/>
        <v>1</v>
      </c>
      <c r="BE338" s="49">
        <f t="shared" si="322"/>
        <v>0</v>
      </c>
      <c r="BF338" s="49">
        <f t="shared" si="323"/>
        <v>0</v>
      </c>
      <c r="BG338" s="49">
        <f t="shared" si="324"/>
        <v>0</v>
      </c>
      <c r="BH338" s="49">
        <f t="shared" si="325"/>
        <v>1</v>
      </c>
      <c r="BI338" s="49">
        <f t="shared" si="326"/>
        <v>0</v>
      </c>
      <c r="BJ338" s="49">
        <f t="shared" si="327"/>
        <v>0</v>
      </c>
      <c r="BK338" s="49">
        <f t="shared" si="328"/>
        <v>0</v>
      </c>
      <c r="BL338" s="49">
        <f t="shared" si="329"/>
        <v>1</v>
      </c>
      <c r="BM338" s="49">
        <f t="shared" si="330"/>
        <v>0</v>
      </c>
      <c r="BN338" s="49">
        <f t="shared" si="331"/>
        <v>0</v>
      </c>
      <c r="BO338" s="49">
        <f t="shared" si="332"/>
        <v>0</v>
      </c>
      <c r="BP338" s="49">
        <f t="shared" si="333"/>
        <v>1</v>
      </c>
      <c r="BQ338" s="49">
        <f t="shared" si="334"/>
        <v>0</v>
      </c>
      <c r="BR338" s="49">
        <f t="shared" si="335"/>
        <v>0</v>
      </c>
      <c r="BS338" s="49">
        <f t="shared" si="336"/>
        <v>0</v>
      </c>
      <c r="BT338" s="49">
        <f t="shared" si="337"/>
        <v>0</v>
      </c>
      <c r="BU338" s="49">
        <f t="shared" si="338"/>
        <v>1</v>
      </c>
      <c r="BV338" s="49">
        <f t="shared" si="339"/>
        <v>0</v>
      </c>
      <c r="BW338" s="49">
        <f t="shared" si="340"/>
        <v>0</v>
      </c>
    </row>
    <row r="339" spans="1:75" ht="35.1" customHeight="1" x14ac:dyDescent="0.3">
      <c r="A339" s="123" t="str">
        <f t="shared" si="341"/>
        <v>3팀</v>
      </c>
      <c r="B339" s="69">
        <f t="shared" si="342"/>
        <v>333</v>
      </c>
      <c r="C339" s="121" t="str">
        <f>IF(VLOOKUP($B339,'1. 현장별 인원현황'!$C:$J,2,0)=0,"",VLOOKUP($B339,'1. 현장별 인원현황'!$C:$J,2,0))</f>
        <v xml:space="preserve"> [3.쿠팡] DAE3,7,8 FC(대구) Ph2 전기공사</v>
      </c>
      <c r="D339" s="74" t="str">
        <f>IF(VLOOKUP($B339,'1. 현장별 인원현황'!$C:$J,3,0)=0,"",VLOOKUP($B339,'1. 현장별 인원현황'!$C:$J,3,0))</f>
        <v>문영훈</v>
      </c>
      <c r="E339" s="74" t="str">
        <f ca="1">IF(VLOOKUP($B339,'1. 현장별 인원현황'!$C:$J,4,0)=0,"",VLOOKUP($B339,'1. 현장별 인원현황'!$C:$J,4,0))</f>
        <v>43세</v>
      </c>
      <c r="F339" s="70" t="str">
        <f>IF(VLOOKUP($B339,'1. 현장별 인원현황'!$C:$J,7,0)=0,"",VLOOKUP($B339,'1. 현장별 인원현황'!$C:$J,7,0))</f>
        <v>기능공</v>
      </c>
      <c r="G339" s="72" t="str">
        <f>IF(VLOOKUP($B339,'1. 현장별 인원현황'!$C:$J,8,0)=0,"",VLOOKUP($B339,'1. 현장별 인원현황'!$C:$J,8,0))</f>
        <v>전공</v>
      </c>
      <c r="H339" s="67" t="s">
        <v>69</v>
      </c>
      <c r="I339" s="73"/>
      <c r="J339" s="73"/>
      <c r="K339" s="68"/>
      <c r="L339" s="67"/>
      <c r="M339" s="73" t="s">
        <v>69</v>
      </c>
      <c r="N339" s="73"/>
      <c r="O339" s="68"/>
      <c r="P339" s="67" t="s">
        <v>69</v>
      </c>
      <c r="Q339" s="73"/>
      <c r="R339" s="73"/>
      <c r="S339" s="68"/>
      <c r="T339" s="67" t="s">
        <v>69</v>
      </c>
      <c r="U339" s="73"/>
      <c r="V339" s="73"/>
      <c r="W339" s="68"/>
      <c r="X339" s="67" t="s">
        <v>69</v>
      </c>
      <c r="Y339" s="73"/>
      <c r="Z339" s="73"/>
      <c r="AA339" s="68"/>
      <c r="AB339" s="67" t="s">
        <v>69</v>
      </c>
      <c r="AC339" s="73"/>
      <c r="AD339" s="73"/>
      <c r="AE339" s="68"/>
      <c r="AF339" s="67" t="s">
        <v>69</v>
      </c>
      <c r="AG339" s="73"/>
      <c r="AH339" s="73"/>
      <c r="AI339" s="68"/>
      <c r="AJ339" s="67"/>
      <c r="AK339" s="73" t="s">
        <v>69</v>
      </c>
      <c r="AL339" s="73"/>
      <c r="AM339" s="68"/>
      <c r="AN339" s="67">
        <f t="shared" si="343"/>
        <v>93</v>
      </c>
      <c r="AO339" s="68" t="str">
        <f t="shared" si="344"/>
        <v>S</v>
      </c>
      <c r="AR339" s="49">
        <f t="shared" si="309"/>
        <v>1</v>
      </c>
      <c r="AS339" s="49">
        <f t="shared" si="310"/>
        <v>0</v>
      </c>
      <c r="AT339" s="49">
        <f t="shared" si="311"/>
        <v>0</v>
      </c>
      <c r="AU339" s="49">
        <f t="shared" si="312"/>
        <v>0</v>
      </c>
      <c r="AV339" s="49">
        <f t="shared" si="313"/>
        <v>0</v>
      </c>
      <c r="AW339" s="49">
        <f t="shared" si="314"/>
        <v>1</v>
      </c>
      <c r="AX339" s="49">
        <f t="shared" si="315"/>
        <v>0</v>
      </c>
      <c r="AY339" s="49">
        <f t="shared" si="316"/>
        <v>0</v>
      </c>
      <c r="AZ339" s="49">
        <f t="shared" si="317"/>
        <v>1</v>
      </c>
      <c r="BA339" s="49">
        <f t="shared" si="318"/>
        <v>0</v>
      </c>
      <c r="BB339" s="49">
        <f t="shared" si="319"/>
        <v>0</v>
      </c>
      <c r="BC339" s="49">
        <f t="shared" si="320"/>
        <v>0</v>
      </c>
      <c r="BD339" s="49">
        <f t="shared" si="321"/>
        <v>1</v>
      </c>
      <c r="BE339" s="49">
        <f t="shared" si="322"/>
        <v>0</v>
      </c>
      <c r="BF339" s="49">
        <f t="shared" si="323"/>
        <v>0</v>
      </c>
      <c r="BG339" s="49">
        <f t="shared" si="324"/>
        <v>0</v>
      </c>
      <c r="BH339" s="49">
        <f t="shared" si="325"/>
        <v>1</v>
      </c>
      <c r="BI339" s="49">
        <f t="shared" si="326"/>
        <v>0</v>
      </c>
      <c r="BJ339" s="49">
        <f t="shared" si="327"/>
        <v>0</v>
      </c>
      <c r="BK339" s="49">
        <f t="shared" si="328"/>
        <v>0</v>
      </c>
      <c r="BL339" s="49">
        <f t="shared" si="329"/>
        <v>1</v>
      </c>
      <c r="BM339" s="49">
        <f t="shared" si="330"/>
        <v>0</v>
      </c>
      <c r="BN339" s="49">
        <f t="shared" si="331"/>
        <v>0</v>
      </c>
      <c r="BO339" s="49">
        <f t="shared" si="332"/>
        <v>0</v>
      </c>
      <c r="BP339" s="49">
        <f t="shared" si="333"/>
        <v>1</v>
      </c>
      <c r="BQ339" s="49">
        <f t="shared" si="334"/>
        <v>0</v>
      </c>
      <c r="BR339" s="49">
        <f t="shared" si="335"/>
        <v>0</v>
      </c>
      <c r="BS339" s="49">
        <f t="shared" si="336"/>
        <v>0</v>
      </c>
      <c r="BT339" s="49">
        <f t="shared" si="337"/>
        <v>0</v>
      </c>
      <c r="BU339" s="49">
        <f t="shared" si="338"/>
        <v>1</v>
      </c>
      <c r="BV339" s="49">
        <f t="shared" si="339"/>
        <v>0</v>
      </c>
      <c r="BW339" s="49">
        <f t="shared" si="340"/>
        <v>0</v>
      </c>
    </row>
    <row r="340" spans="1:75" ht="35.1" customHeight="1" x14ac:dyDescent="0.3">
      <c r="A340" s="123" t="str">
        <f t="shared" si="341"/>
        <v>3팀</v>
      </c>
      <c r="B340" s="69">
        <f t="shared" si="342"/>
        <v>334</v>
      </c>
      <c r="C340" s="121" t="str">
        <f>IF(VLOOKUP($B340,'1. 현장별 인원현황'!$C:$J,2,0)=0,"",VLOOKUP($B340,'1. 현장별 인원현황'!$C:$J,2,0))</f>
        <v xml:space="preserve"> [3.쿠팡] DAE3,7,8 FC(대구) Ph2 전기공사</v>
      </c>
      <c r="D340" s="74" t="str">
        <f>IF(VLOOKUP($B340,'1. 현장별 인원현황'!$C:$J,3,0)=0,"",VLOOKUP($B340,'1. 현장별 인원현황'!$C:$J,3,0))</f>
        <v>박근형</v>
      </c>
      <c r="E340" s="74" t="str">
        <f ca="1">IF(VLOOKUP($B340,'1. 현장별 인원현황'!$C:$J,4,0)=0,"",VLOOKUP($B340,'1. 현장별 인원현황'!$C:$J,4,0))</f>
        <v>41세</v>
      </c>
      <c r="F340" s="70" t="str">
        <f>IF(VLOOKUP($B340,'1. 현장별 인원현황'!$C:$J,7,0)=0,"",VLOOKUP($B340,'1. 현장별 인원현황'!$C:$J,7,0))</f>
        <v>기능공</v>
      </c>
      <c r="G340" s="72" t="str">
        <f>IF(VLOOKUP($B340,'1. 현장별 인원현황'!$C:$J,8,0)=0,"",VLOOKUP($B340,'1. 현장별 인원현황'!$C:$J,8,0))</f>
        <v>조공</v>
      </c>
      <c r="H340" s="67"/>
      <c r="I340" s="73" t="s">
        <v>69</v>
      </c>
      <c r="J340" s="73"/>
      <c r="K340" s="68"/>
      <c r="L340" s="67"/>
      <c r="M340" s="73" t="s">
        <v>69</v>
      </c>
      <c r="N340" s="73"/>
      <c r="O340" s="68"/>
      <c r="P340" s="67" t="s">
        <v>69</v>
      </c>
      <c r="Q340" s="73"/>
      <c r="R340" s="73"/>
      <c r="S340" s="68"/>
      <c r="T340" s="67"/>
      <c r="U340" s="73" t="s">
        <v>69</v>
      </c>
      <c r="V340" s="73"/>
      <c r="W340" s="68"/>
      <c r="X340" s="67" t="s">
        <v>69</v>
      </c>
      <c r="Y340" s="73"/>
      <c r="Z340" s="73"/>
      <c r="AA340" s="68"/>
      <c r="AB340" s="67" t="s">
        <v>69</v>
      </c>
      <c r="AC340" s="73"/>
      <c r="AD340" s="73"/>
      <c r="AE340" s="68"/>
      <c r="AF340" s="67"/>
      <c r="AG340" s="73" t="s">
        <v>69</v>
      </c>
      <c r="AH340" s="73"/>
      <c r="AI340" s="68"/>
      <c r="AJ340" s="67"/>
      <c r="AK340" s="73" t="s">
        <v>69</v>
      </c>
      <c r="AL340" s="73"/>
      <c r="AM340" s="68"/>
      <c r="AN340" s="67">
        <f t="shared" si="343"/>
        <v>82</v>
      </c>
      <c r="AO340" s="68" t="str">
        <f t="shared" si="344"/>
        <v>A</v>
      </c>
      <c r="AR340" s="49">
        <f t="shared" si="41"/>
        <v>0</v>
      </c>
      <c r="AS340" s="49">
        <f t="shared" si="42"/>
        <v>1</v>
      </c>
      <c r="AT340" s="49">
        <f t="shared" si="43"/>
        <v>0</v>
      </c>
      <c r="AU340" s="49">
        <f t="shared" si="44"/>
        <v>0</v>
      </c>
      <c r="AV340" s="49">
        <f t="shared" si="45"/>
        <v>0</v>
      </c>
      <c r="AW340" s="49">
        <f t="shared" si="46"/>
        <v>1</v>
      </c>
      <c r="AX340" s="49">
        <f t="shared" si="47"/>
        <v>0</v>
      </c>
      <c r="AY340" s="49">
        <f t="shared" si="48"/>
        <v>0</v>
      </c>
      <c r="AZ340" s="49">
        <f t="shared" si="49"/>
        <v>1</v>
      </c>
      <c r="BA340" s="49">
        <f t="shared" si="50"/>
        <v>0</v>
      </c>
      <c r="BB340" s="49">
        <f t="shared" si="51"/>
        <v>0</v>
      </c>
      <c r="BC340" s="49">
        <f t="shared" si="52"/>
        <v>0</v>
      </c>
      <c r="BD340" s="49">
        <f t="shared" si="53"/>
        <v>0</v>
      </c>
      <c r="BE340" s="49">
        <f t="shared" si="54"/>
        <v>1</v>
      </c>
      <c r="BF340" s="49">
        <f t="shared" si="55"/>
        <v>0</v>
      </c>
      <c r="BG340" s="49">
        <f t="shared" si="56"/>
        <v>0</v>
      </c>
      <c r="BH340" s="49">
        <f t="shared" si="57"/>
        <v>1</v>
      </c>
      <c r="BI340" s="49">
        <f t="shared" si="58"/>
        <v>0</v>
      </c>
      <c r="BJ340" s="49">
        <f t="shared" si="59"/>
        <v>0</v>
      </c>
      <c r="BK340" s="49">
        <f t="shared" si="60"/>
        <v>0</v>
      </c>
      <c r="BL340" s="49">
        <f t="shared" si="61"/>
        <v>1</v>
      </c>
      <c r="BM340" s="49">
        <f t="shared" si="62"/>
        <v>0</v>
      </c>
      <c r="BN340" s="49">
        <f t="shared" si="63"/>
        <v>0</v>
      </c>
      <c r="BO340" s="49">
        <f t="shared" si="64"/>
        <v>0</v>
      </c>
      <c r="BP340" s="49">
        <f t="shared" si="65"/>
        <v>0</v>
      </c>
      <c r="BQ340" s="49">
        <f t="shared" si="66"/>
        <v>1</v>
      </c>
      <c r="BR340" s="49">
        <f t="shared" si="67"/>
        <v>0</v>
      </c>
      <c r="BS340" s="49">
        <f t="shared" si="68"/>
        <v>0</v>
      </c>
      <c r="BT340" s="49">
        <f t="shared" si="69"/>
        <v>0</v>
      </c>
      <c r="BU340" s="49">
        <f t="shared" si="70"/>
        <v>1</v>
      </c>
      <c r="BV340" s="49">
        <f t="shared" si="71"/>
        <v>0</v>
      </c>
      <c r="BW340" s="49">
        <f t="shared" si="72"/>
        <v>0</v>
      </c>
    </row>
    <row r="341" spans="1:75" ht="35.1" customHeight="1" x14ac:dyDescent="0.3">
      <c r="A341" s="123" t="str">
        <f t="shared" si="341"/>
        <v>3팀</v>
      </c>
      <c r="B341" s="69">
        <f t="shared" si="342"/>
        <v>335</v>
      </c>
      <c r="C341" s="121" t="str">
        <f>IF(VLOOKUP($B341,'1. 현장별 인원현황'!$C:$J,2,0)=0,"",VLOOKUP($B341,'1. 현장별 인원현황'!$C:$J,2,0))</f>
        <v xml:space="preserve"> [3.쿠팡] DAE3,7,8 FC(대구) Ph2 전기공사</v>
      </c>
      <c r="D341" s="74" t="str">
        <f>IF(VLOOKUP($B341,'1. 현장별 인원현황'!$C:$J,3,0)=0,"",VLOOKUP($B341,'1. 현장별 인원현황'!$C:$J,3,0))</f>
        <v>박진용</v>
      </c>
      <c r="E341" s="74" t="str">
        <f ca="1">IF(VLOOKUP($B341,'1. 현장별 인원현황'!$C:$J,4,0)=0,"",VLOOKUP($B341,'1. 현장별 인원현황'!$C:$J,4,0))</f>
        <v>31세</v>
      </c>
      <c r="F341" s="70" t="str">
        <f>IF(VLOOKUP($B341,'1. 현장별 인원현황'!$C:$J,7,0)=0,"",VLOOKUP($B341,'1. 현장별 인원현황'!$C:$J,7,0))</f>
        <v>기능공</v>
      </c>
      <c r="G341" s="72" t="str">
        <f>IF(VLOOKUP($B341,'1. 현장별 인원현황'!$C:$J,8,0)=0,"",VLOOKUP($B341,'1. 현장별 인원현황'!$C:$J,8,0))</f>
        <v>전공</v>
      </c>
      <c r="H341" s="67"/>
      <c r="I341" s="73"/>
      <c r="J341" s="73"/>
      <c r="K341" s="68"/>
      <c r="L341" s="67"/>
      <c r="M341" s="73"/>
      <c r="N341" s="73"/>
      <c r="O341" s="68"/>
      <c r="P341" s="67"/>
      <c r="Q341" s="73" t="s">
        <v>69</v>
      </c>
      <c r="R341" s="73"/>
      <c r="S341" s="68"/>
      <c r="T341" s="67"/>
      <c r="U341" s="73" t="s">
        <v>69</v>
      </c>
      <c r="V341" s="73"/>
      <c r="W341" s="68"/>
      <c r="X341" s="67" t="s">
        <v>69</v>
      </c>
      <c r="Y341" s="73"/>
      <c r="Z341" s="73"/>
      <c r="AA341" s="68"/>
      <c r="AB341" s="67" t="s">
        <v>69</v>
      </c>
      <c r="AC341" s="73"/>
      <c r="AD341" s="73"/>
      <c r="AE341" s="68"/>
      <c r="AF341" s="67"/>
      <c r="AG341" s="73" t="s">
        <v>69</v>
      </c>
      <c r="AH341" s="73"/>
      <c r="AI341" s="68"/>
      <c r="AJ341" s="67"/>
      <c r="AK341" s="73" t="s">
        <v>69</v>
      </c>
      <c r="AL341" s="73"/>
      <c r="AM341" s="68"/>
      <c r="AN341" s="67">
        <f t="shared" si="343"/>
        <v>56</v>
      </c>
      <c r="AO341" s="68" t="str">
        <f t="shared" si="344"/>
        <v>B</v>
      </c>
      <c r="AR341" s="49">
        <f t="shared" si="41"/>
        <v>0</v>
      </c>
      <c r="AS341" s="49">
        <f t="shared" si="42"/>
        <v>0</v>
      </c>
      <c r="AT341" s="49">
        <f t="shared" si="43"/>
        <v>0</v>
      </c>
      <c r="AU341" s="49">
        <f t="shared" si="44"/>
        <v>0</v>
      </c>
      <c r="AV341" s="49">
        <f t="shared" si="45"/>
        <v>0</v>
      </c>
      <c r="AW341" s="49">
        <f t="shared" si="46"/>
        <v>0</v>
      </c>
      <c r="AX341" s="49">
        <f t="shared" si="47"/>
        <v>0</v>
      </c>
      <c r="AY341" s="49">
        <f t="shared" si="48"/>
        <v>0</v>
      </c>
      <c r="AZ341" s="49">
        <f t="shared" si="49"/>
        <v>0</v>
      </c>
      <c r="BA341" s="49">
        <f t="shared" si="50"/>
        <v>1</v>
      </c>
      <c r="BB341" s="49">
        <f t="shared" si="51"/>
        <v>0</v>
      </c>
      <c r="BC341" s="49">
        <f t="shared" si="52"/>
        <v>0</v>
      </c>
      <c r="BD341" s="49">
        <f t="shared" si="53"/>
        <v>0</v>
      </c>
      <c r="BE341" s="49">
        <f t="shared" si="54"/>
        <v>1</v>
      </c>
      <c r="BF341" s="49">
        <f t="shared" si="55"/>
        <v>0</v>
      </c>
      <c r="BG341" s="49">
        <f t="shared" si="56"/>
        <v>0</v>
      </c>
      <c r="BH341" s="49">
        <f t="shared" si="57"/>
        <v>1</v>
      </c>
      <c r="BI341" s="49">
        <f t="shared" si="58"/>
        <v>0</v>
      </c>
      <c r="BJ341" s="49">
        <f t="shared" si="59"/>
        <v>0</v>
      </c>
      <c r="BK341" s="49">
        <f t="shared" si="60"/>
        <v>0</v>
      </c>
      <c r="BL341" s="49">
        <f t="shared" si="61"/>
        <v>1</v>
      </c>
      <c r="BM341" s="49">
        <f t="shared" si="62"/>
        <v>0</v>
      </c>
      <c r="BN341" s="49">
        <f t="shared" si="63"/>
        <v>0</v>
      </c>
      <c r="BO341" s="49">
        <f t="shared" si="64"/>
        <v>0</v>
      </c>
      <c r="BP341" s="49">
        <f t="shared" si="65"/>
        <v>0</v>
      </c>
      <c r="BQ341" s="49">
        <f t="shared" si="66"/>
        <v>1</v>
      </c>
      <c r="BR341" s="49">
        <f t="shared" si="67"/>
        <v>0</v>
      </c>
      <c r="BS341" s="49">
        <f t="shared" si="68"/>
        <v>0</v>
      </c>
      <c r="BT341" s="49">
        <f t="shared" si="69"/>
        <v>0</v>
      </c>
      <c r="BU341" s="49">
        <f t="shared" si="70"/>
        <v>1</v>
      </c>
      <c r="BV341" s="49">
        <f t="shared" si="71"/>
        <v>0</v>
      </c>
      <c r="BW341" s="49">
        <f t="shared" si="72"/>
        <v>0</v>
      </c>
    </row>
    <row r="342" spans="1:75" ht="35.1" customHeight="1" x14ac:dyDescent="0.3">
      <c r="A342" s="123" t="str">
        <f t="shared" si="341"/>
        <v>3팀</v>
      </c>
      <c r="B342" s="69">
        <f t="shared" si="342"/>
        <v>336</v>
      </c>
      <c r="C342" s="121" t="str">
        <f>IF(VLOOKUP($B342,'1. 현장별 인원현황'!$C:$J,2,0)=0,"",VLOOKUP($B342,'1. 현장별 인원현황'!$C:$J,2,0))</f>
        <v xml:space="preserve"> [3.쿠팡] DAE3,7,8 FC(대구) Ph2 전기공사</v>
      </c>
      <c r="D342" s="74" t="str">
        <f>IF(VLOOKUP($B342,'1. 현장별 인원현황'!$C:$J,3,0)=0,"",VLOOKUP($B342,'1. 현장별 인원현황'!$C:$J,3,0))</f>
        <v>방현태</v>
      </c>
      <c r="E342" s="74" t="str">
        <f ca="1">IF(VLOOKUP($B342,'1. 현장별 인원현황'!$C:$J,4,0)=0,"",VLOOKUP($B342,'1. 현장별 인원현황'!$C:$J,4,0))</f>
        <v>45세</v>
      </c>
      <c r="F342" s="70" t="str">
        <f>IF(VLOOKUP($B342,'1. 현장별 인원현황'!$C:$J,7,0)=0,"",VLOOKUP($B342,'1. 현장별 인원현황'!$C:$J,7,0))</f>
        <v>기능공</v>
      </c>
      <c r="G342" s="72" t="str">
        <f>IF(VLOOKUP($B342,'1. 현장별 인원현황'!$C:$J,8,0)=0,"",VLOOKUP($B342,'1. 현장별 인원현황'!$C:$J,8,0))</f>
        <v>전공</v>
      </c>
      <c r="H342" s="67"/>
      <c r="I342" s="73" t="s">
        <v>69</v>
      </c>
      <c r="J342" s="73"/>
      <c r="K342" s="68"/>
      <c r="L342" s="67"/>
      <c r="M342" s="73" t="s">
        <v>69</v>
      </c>
      <c r="N342" s="73"/>
      <c r="O342" s="68"/>
      <c r="P342" s="67" t="s">
        <v>69</v>
      </c>
      <c r="Q342" s="73"/>
      <c r="R342" s="73"/>
      <c r="S342" s="68"/>
      <c r="T342" s="67"/>
      <c r="U342" s="73" t="s">
        <v>69</v>
      </c>
      <c r="V342" s="73"/>
      <c r="W342" s="68"/>
      <c r="X342" s="67" t="s">
        <v>69</v>
      </c>
      <c r="Y342" s="73"/>
      <c r="Z342" s="73"/>
      <c r="AA342" s="68"/>
      <c r="AB342" s="67" t="s">
        <v>69</v>
      </c>
      <c r="AC342" s="73"/>
      <c r="AD342" s="73"/>
      <c r="AE342" s="68"/>
      <c r="AF342" s="67"/>
      <c r="AG342" s="73" t="s">
        <v>69</v>
      </c>
      <c r="AH342" s="73"/>
      <c r="AI342" s="68"/>
      <c r="AJ342" s="67"/>
      <c r="AK342" s="73" t="s">
        <v>69</v>
      </c>
      <c r="AL342" s="73"/>
      <c r="AM342" s="68"/>
      <c r="AN342" s="67">
        <f t="shared" si="343"/>
        <v>82</v>
      </c>
      <c r="AO342" s="68" t="str">
        <f t="shared" si="344"/>
        <v>A</v>
      </c>
      <c r="AR342" s="49">
        <f t="shared" si="41"/>
        <v>0</v>
      </c>
      <c r="AS342" s="49">
        <f t="shared" si="42"/>
        <v>1</v>
      </c>
      <c r="AT342" s="49">
        <f t="shared" si="43"/>
        <v>0</v>
      </c>
      <c r="AU342" s="49">
        <f t="shared" si="44"/>
        <v>0</v>
      </c>
      <c r="AV342" s="49">
        <f t="shared" si="45"/>
        <v>0</v>
      </c>
      <c r="AW342" s="49">
        <f t="shared" si="46"/>
        <v>1</v>
      </c>
      <c r="AX342" s="49">
        <f t="shared" si="47"/>
        <v>0</v>
      </c>
      <c r="AY342" s="49">
        <f t="shared" si="48"/>
        <v>0</v>
      </c>
      <c r="AZ342" s="49">
        <f t="shared" si="49"/>
        <v>1</v>
      </c>
      <c r="BA342" s="49">
        <f t="shared" si="50"/>
        <v>0</v>
      </c>
      <c r="BB342" s="49">
        <f t="shared" si="51"/>
        <v>0</v>
      </c>
      <c r="BC342" s="49">
        <f t="shared" si="52"/>
        <v>0</v>
      </c>
      <c r="BD342" s="49">
        <f t="shared" si="53"/>
        <v>0</v>
      </c>
      <c r="BE342" s="49">
        <f t="shared" si="54"/>
        <v>1</v>
      </c>
      <c r="BF342" s="49">
        <f t="shared" si="55"/>
        <v>0</v>
      </c>
      <c r="BG342" s="49">
        <f t="shared" si="56"/>
        <v>0</v>
      </c>
      <c r="BH342" s="49">
        <f t="shared" si="57"/>
        <v>1</v>
      </c>
      <c r="BI342" s="49">
        <f t="shared" si="58"/>
        <v>0</v>
      </c>
      <c r="BJ342" s="49">
        <f t="shared" si="59"/>
        <v>0</v>
      </c>
      <c r="BK342" s="49">
        <f t="shared" si="60"/>
        <v>0</v>
      </c>
      <c r="BL342" s="49">
        <f t="shared" si="61"/>
        <v>1</v>
      </c>
      <c r="BM342" s="49">
        <f t="shared" si="62"/>
        <v>0</v>
      </c>
      <c r="BN342" s="49">
        <f t="shared" si="63"/>
        <v>0</v>
      </c>
      <c r="BO342" s="49">
        <f t="shared" si="64"/>
        <v>0</v>
      </c>
      <c r="BP342" s="49">
        <f t="shared" si="65"/>
        <v>0</v>
      </c>
      <c r="BQ342" s="49">
        <f t="shared" si="66"/>
        <v>1</v>
      </c>
      <c r="BR342" s="49">
        <f t="shared" si="67"/>
        <v>0</v>
      </c>
      <c r="BS342" s="49">
        <f t="shared" si="68"/>
        <v>0</v>
      </c>
      <c r="BT342" s="49">
        <f t="shared" si="69"/>
        <v>0</v>
      </c>
      <c r="BU342" s="49">
        <f t="shared" si="70"/>
        <v>1</v>
      </c>
      <c r="BV342" s="49">
        <f t="shared" si="71"/>
        <v>0</v>
      </c>
      <c r="BW342" s="49">
        <f t="shared" si="72"/>
        <v>0</v>
      </c>
    </row>
    <row r="343" spans="1:75" ht="35.1" customHeight="1" x14ac:dyDescent="0.3">
      <c r="A343" s="123" t="str">
        <f t="shared" si="341"/>
        <v>3팀</v>
      </c>
      <c r="B343" s="69">
        <f t="shared" si="342"/>
        <v>337</v>
      </c>
      <c r="C343" s="121" t="str">
        <f>IF(VLOOKUP($B343,'1. 현장별 인원현황'!$C:$J,2,0)=0,"",VLOOKUP($B343,'1. 현장별 인원현황'!$C:$J,2,0))</f>
        <v xml:space="preserve"> [3.쿠팡] DAE3,7,8 FC(대구) Ph2 전기공사</v>
      </c>
      <c r="D343" s="74" t="str">
        <f>IF(VLOOKUP($B343,'1. 현장별 인원현황'!$C:$J,3,0)=0,"",VLOOKUP($B343,'1. 현장별 인원현황'!$C:$J,3,0))</f>
        <v>오정호</v>
      </c>
      <c r="E343" s="74" t="str">
        <f ca="1">IF(VLOOKUP($B343,'1. 현장별 인원현황'!$C:$J,4,0)=0,"",VLOOKUP($B343,'1. 현장별 인원현황'!$C:$J,4,0))</f>
        <v>47세</v>
      </c>
      <c r="F343" s="70" t="str">
        <f>IF(VLOOKUP($B343,'1. 현장별 인원현황'!$C:$J,7,0)=0,"",VLOOKUP($B343,'1. 현장별 인원현황'!$C:$J,7,0))</f>
        <v>기능공</v>
      </c>
      <c r="G343" s="72" t="str">
        <f>IF(VLOOKUP($B343,'1. 현장별 인원현황'!$C:$J,8,0)=0,"",VLOOKUP($B343,'1. 현장별 인원현황'!$C:$J,8,0))</f>
        <v>전공</v>
      </c>
      <c r="H343" s="67"/>
      <c r="I343" s="73" t="s">
        <v>69</v>
      </c>
      <c r="J343" s="73"/>
      <c r="K343" s="68"/>
      <c r="L343" s="67"/>
      <c r="M343" s="73" t="s">
        <v>69</v>
      </c>
      <c r="N343" s="73"/>
      <c r="O343" s="68"/>
      <c r="P343" s="67" t="s">
        <v>69</v>
      </c>
      <c r="Q343" s="73"/>
      <c r="R343" s="73"/>
      <c r="S343" s="68"/>
      <c r="T343" s="67"/>
      <c r="U343" s="73" t="s">
        <v>69</v>
      </c>
      <c r="V343" s="73"/>
      <c r="W343" s="68"/>
      <c r="X343" s="67" t="s">
        <v>69</v>
      </c>
      <c r="Y343" s="73"/>
      <c r="Z343" s="73"/>
      <c r="AA343" s="68"/>
      <c r="AB343" s="67" t="s">
        <v>69</v>
      </c>
      <c r="AC343" s="73"/>
      <c r="AD343" s="73"/>
      <c r="AE343" s="68"/>
      <c r="AF343" s="67"/>
      <c r="AG343" s="73" t="s">
        <v>69</v>
      </c>
      <c r="AH343" s="73"/>
      <c r="AI343" s="68"/>
      <c r="AJ343" s="67"/>
      <c r="AK343" s="73" t="s">
        <v>69</v>
      </c>
      <c r="AL343" s="73"/>
      <c r="AM343" s="68"/>
      <c r="AN343" s="67">
        <f t="shared" si="343"/>
        <v>82</v>
      </c>
      <c r="AO343" s="68" t="str">
        <f t="shared" si="344"/>
        <v>A</v>
      </c>
      <c r="AR343" s="49">
        <f t="shared" si="41"/>
        <v>0</v>
      </c>
      <c r="AS343" s="49">
        <f t="shared" si="42"/>
        <v>1</v>
      </c>
      <c r="AT343" s="49">
        <f t="shared" si="43"/>
        <v>0</v>
      </c>
      <c r="AU343" s="49">
        <f t="shared" si="44"/>
        <v>0</v>
      </c>
      <c r="AV343" s="49">
        <f t="shared" si="45"/>
        <v>0</v>
      </c>
      <c r="AW343" s="49">
        <f t="shared" si="46"/>
        <v>1</v>
      </c>
      <c r="AX343" s="49">
        <f t="shared" si="47"/>
        <v>0</v>
      </c>
      <c r="AY343" s="49">
        <f t="shared" si="48"/>
        <v>0</v>
      </c>
      <c r="AZ343" s="49">
        <f t="shared" si="49"/>
        <v>1</v>
      </c>
      <c r="BA343" s="49">
        <f t="shared" si="50"/>
        <v>0</v>
      </c>
      <c r="BB343" s="49">
        <f t="shared" si="51"/>
        <v>0</v>
      </c>
      <c r="BC343" s="49">
        <f t="shared" si="52"/>
        <v>0</v>
      </c>
      <c r="BD343" s="49">
        <f t="shared" si="53"/>
        <v>0</v>
      </c>
      <c r="BE343" s="49">
        <f t="shared" si="54"/>
        <v>1</v>
      </c>
      <c r="BF343" s="49">
        <f t="shared" si="55"/>
        <v>0</v>
      </c>
      <c r="BG343" s="49">
        <f t="shared" si="56"/>
        <v>0</v>
      </c>
      <c r="BH343" s="49">
        <f t="shared" si="57"/>
        <v>1</v>
      </c>
      <c r="BI343" s="49">
        <f t="shared" si="58"/>
        <v>0</v>
      </c>
      <c r="BJ343" s="49">
        <f t="shared" si="59"/>
        <v>0</v>
      </c>
      <c r="BK343" s="49">
        <f t="shared" si="60"/>
        <v>0</v>
      </c>
      <c r="BL343" s="49">
        <f t="shared" si="61"/>
        <v>1</v>
      </c>
      <c r="BM343" s="49">
        <f t="shared" si="62"/>
        <v>0</v>
      </c>
      <c r="BN343" s="49">
        <f t="shared" si="63"/>
        <v>0</v>
      </c>
      <c r="BO343" s="49">
        <f t="shared" si="64"/>
        <v>0</v>
      </c>
      <c r="BP343" s="49">
        <f t="shared" si="65"/>
        <v>0</v>
      </c>
      <c r="BQ343" s="49">
        <f t="shared" si="66"/>
        <v>1</v>
      </c>
      <c r="BR343" s="49">
        <f t="shared" si="67"/>
        <v>0</v>
      </c>
      <c r="BS343" s="49">
        <f t="shared" si="68"/>
        <v>0</v>
      </c>
      <c r="BT343" s="49">
        <f t="shared" si="69"/>
        <v>0</v>
      </c>
      <c r="BU343" s="49">
        <f t="shared" si="70"/>
        <v>1</v>
      </c>
      <c r="BV343" s="49">
        <f t="shared" si="71"/>
        <v>0</v>
      </c>
      <c r="BW343" s="49">
        <f t="shared" si="72"/>
        <v>0</v>
      </c>
    </row>
    <row r="344" spans="1:75" ht="35.1" customHeight="1" x14ac:dyDescent="0.3">
      <c r="A344" s="123" t="str">
        <f t="shared" si="341"/>
        <v>3팀</v>
      </c>
      <c r="B344" s="69">
        <f t="shared" si="342"/>
        <v>338</v>
      </c>
      <c r="C344" s="121" t="str">
        <f>IF(VLOOKUP($B344,'1. 현장별 인원현황'!$C:$J,2,0)=0,"",VLOOKUP($B344,'1. 현장별 인원현황'!$C:$J,2,0))</f>
        <v xml:space="preserve"> [3.쿠팡] DAE3,7,8 FC(대구) Ph2 전기공사</v>
      </c>
      <c r="D344" s="74" t="str">
        <f>IF(VLOOKUP($B344,'1. 현장별 인원현황'!$C:$J,3,0)=0,"",VLOOKUP($B344,'1. 현장별 인원현황'!$C:$J,3,0))</f>
        <v>우승범</v>
      </c>
      <c r="E344" s="74" t="str">
        <f ca="1">IF(VLOOKUP($B344,'1. 현장별 인원현황'!$C:$J,4,0)=0,"",VLOOKUP($B344,'1. 현장별 인원현황'!$C:$J,4,0))</f>
        <v>46세</v>
      </c>
      <c r="F344" s="70" t="str">
        <f>IF(VLOOKUP($B344,'1. 현장별 인원현황'!$C:$J,7,0)=0,"",VLOOKUP($B344,'1. 현장별 인원현황'!$C:$J,7,0))</f>
        <v>기능공</v>
      </c>
      <c r="G344" s="72" t="str">
        <f>IF(VLOOKUP($B344,'1. 현장별 인원현황'!$C:$J,8,0)=0,"",VLOOKUP($B344,'1. 현장별 인원현황'!$C:$J,8,0))</f>
        <v>전공</v>
      </c>
      <c r="H344" s="67"/>
      <c r="I344" s="73" t="s">
        <v>69</v>
      </c>
      <c r="J344" s="73"/>
      <c r="K344" s="68"/>
      <c r="L344" s="67"/>
      <c r="M344" s="73" t="s">
        <v>69</v>
      </c>
      <c r="N344" s="73"/>
      <c r="O344" s="68"/>
      <c r="P344" s="67" t="s">
        <v>69</v>
      </c>
      <c r="Q344" s="73"/>
      <c r="R344" s="73"/>
      <c r="S344" s="68"/>
      <c r="T344" s="67"/>
      <c r="U344" s="73" t="s">
        <v>69</v>
      </c>
      <c r="V344" s="73"/>
      <c r="W344" s="68"/>
      <c r="X344" s="67" t="s">
        <v>69</v>
      </c>
      <c r="Y344" s="73"/>
      <c r="Z344" s="73"/>
      <c r="AA344" s="68"/>
      <c r="AB344" s="67" t="s">
        <v>69</v>
      </c>
      <c r="AC344" s="73"/>
      <c r="AD344" s="73"/>
      <c r="AE344" s="68"/>
      <c r="AF344" s="67" t="s">
        <v>69</v>
      </c>
      <c r="AG344" s="73"/>
      <c r="AH344" s="73"/>
      <c r="AI344" s="68"/>
      <c r="AJ344" s="67"/>
      <c r="AK344" s="73" t="s">
        <v>69</v>
      </c>
      <c r="AL344" s="73"/>
      <c r="AM344" s="68"/>
      <c r="AN344" s="67">
        <f t="shared" si="343"/>
        <v>85</v>
      </c>
      <c r="AO344" s="68" t="str">
        <f t="shared" si="344"/>
        <v>A</v>
      </c>
      <c r="AR344" s="49">
        <f t="shared" si="41"/>
        <v>0</v>
      </c>
      <c r="AS344" s="49">
        <f t="shared" si="42"/>
        <v>1</v>
      </c>
      <c r="AT344" s="49">
        <f t="shared" si="43"/>
        <v>0</v>
      </c>
      <c r="AU344" s="49">
        <f t="shared" si="44"/>
        <v>0</v>
      </c>
      <c r="AV344" s="49">
        <f t="shared" si="45"/>
        <v>0</v>
      </c>
      <c r="AW344" s="49">
        <f t="shared" si="46"/>
        <v>1</v>
      </c>
      <c r="AX344" s="49">
        <f t="shared" si="47"/>
        <v>0</v>
      </c>
      <c r="AY344" s="49">
        <f t="shared" si="48"/>
        <v>0</v>
      </c>
      <c r="AZ344" s="49">
        <f t="shared" si="49"/>
        <v>1</v>
      </c>
      <c r="BA344" s="49">
        <f t="shared" si="50"/>
        <v>0</v>
      </c>
      <c r="BB344" s="49">
        <f t="shared" si="51"/>
        <v>0</v>
      </c>
      <c r="BC344" s="49">
        <f t="shared" si="52"/>
        <v>0</v>
      </c>
      <c r="BD344" s="49">
        <f t="shared" si="53"/>
        <v>0</v>
      </c>
      <c r="BE344" s="49">
        <f t="shared" si="54"/>
        <v>1</v>
      </c>
      <c r="BF344" s="49">
        <f t="shared" si="55"/>
        <v>0</v>
      </c>
      <c r="BG344" s="49">
        <f t="shared" si="56"/>
        <v>0</v>
      </c>
      <c r="BH344" s="49">
        <f t="shared" si="57"/>
        <v>1</v>
      </c>
      <c r="BI344" s="49">
        <f t="shared" si="58"/>
        <v>0</v>
      </c>
      <c r="BJ344" s="49">
        <f t="shared" si="59"/>
        <v>0</v>
      </c>
      <c r="BK344" s="49">
        <f t="shared" si="60"/>
        <v>0</v>
      </c>
      <c r="BL344" s="49">
        <f t="shared" si="61"/>
        <v>1</v>
      </c>
      <c r="BM344" s="49">
        <f t="shared" si="62"/>
        <v>0</v>
      </c>
      <c r="BN344" s="49">
        <f t="shared" si="63"/>
        <v>0</v>
      </c>
      <c r="BO344" s="49">
        <f t="shared" si="64"/>
        <v>0</v>
      </c>
      <c r="BP344" s="49">
        <f t="shared" si="65"/>
        <v>1</v>
      </c>
      <c r="BQ344" s="49">
        <f t="shared" si="66"/>
        <v>0</v>
      </c>
      <c r="BR344" s="49">
        <f t="shared" si="67"/>
        <v>0</v>
      </c>
      <c r="BS344" s="49">
        <f t="shared" si="68"/>
        <v>0</v>
      </c>
      <c r="BT344" s="49">
        <f t="shared" si="69"/>
        <v>0</v>
      </c>
      <c r="BU344" s="49">
        <f t="shared" si="70"/>
        <v>1</v>
      </c>
      <c r="BV344" s="49">
        <f t="shared" si="71"/>
        <v>0</v>
      </c>
      <c r="BW344" s="49">
        <f t="shared" si="72"/>
        <v>0</v>
      </c>
    </row>
    <row r="345" spans="1:75" ht="35.1" customHeight="1" x14ac:dyDescent="0.3">
      <c r="A345" s="123" t="str">
        <f t="shared" si="341"/>
        <v>3팀</v>
      </c>
      <c r="B345" s="169">
        <f t="shared" si="342"/>
        <v>339</v>
      </c>
      <c r="C345" s="170" t="str">
        <f>IF(VLOOKUP($B345,'1. 현장별 인원현황'!$C:$J,2,0)=0,"",VLOOKUP($B345,'1. 현장별 인원현황'!$C:$J,2,0))</f>
        <v xml:space="preserve"> [3.쿠팡] DAE3,7,8 FC(대구) Ph2 전기공사</v>
      </c>
      <c r="D345" s="171" t="str">
        <f>IF(VLOOKUP($B345,'1. 현장별 인원현황'!$C:$J,3,0)=0,"",VLOOKUP($B345,'1. 현장별 인원현황'!$C:$J,3,0))</f>
        <v>유대룡</v>
      </c>
      <c r="E345" s="171" t="str">
        <f ca="1">IF(VLOOKUP($B345,'1. 현장별 인원현황'!$C:$J,4,0)=0,"",VLOOKUP($B345,'1. 현장별 인원현황'!$C:$J,4,0))</f>
        <v>52세</v>
      </c>
      <c r="F345" s="172" t="str">
        <f>IF(VLOOKUP($B345,'1. 현장별 인원현황'!$C:$J,7,0)=0,"",VLOOKUP($B345,'1. 현장별 인원현황'!$C:$J,7,0))</f>
        <v>기능공</v>
      </c>
      <c r="G345" s="173" t="str">
        <f>IF(VLOOKUP($B345,'1. 현장별 인원현황'!$C:$J,8,0)=0,"",VLOOKUP($B345,'1. 현장별 인원현황'!$C:$J,8,0))</f>
        <v>전공</v>
      </c>
      <c r="H345" s="169"/>
      <c r="I345" s="137" t="s">
        <v>3435</v>
      </c>
      <c r="J345" s="172"/>
      <c r="K345" s="173"/>
      <c r="L345" s="169"/>
      <c r="M345" s="137" t="s">
        <v>3435</v>
      </c>
      <c r="N345" s="172"/>
      <c r="O345" s="173"/>
      <c r="P345" s="169"/>
      <c r="Q345" s="137" t="s">
        <v>69</v>
      </c>
      <c r="R345" s="172"/>
      <c r="S345" s="173"/>
      <c r="T345" s="169"/>
      <c r="U345" s="137" t="s">
        <v>3435</v>
      </c>
      <c r="V345" s="172"/>
      <c r="W345" s="173"/>
      <c r="X345" s="136" t="s">
        <v>69</v>
      </c>
      <c r="Y345" s="172"/>
      <c r="Z345" s="172"/>
      <c r="AA345" s="173"/>
      <c r="AB345" s="136" t="s">
        <v>69</v>
      </c>
      <c r="AC345" s="172"/>
      <c r="AD345" s="172"/>
      <c r="AE345" s="173"/>
      <c r="AF345" s="169"/>
      <c r="AG345" s="137" t="s">
        <v>69</v>
      </c>
      <c r="AH345" s="172"/>
      <c r="AI345" s="173"/>
      <c r="AJ345" s="169"/>
      <c r="AK345" s="137" t="s">
        <v>69</v>
      </c>
      <c r="AL345" s="172"/>
      <c r="AM345" s="173"/>
      <c r="AN345" s="169">
        <f t="shared" si="343"/>
        <v>78</v>
      </c>
      <c r="AO345" s="173" t="str">
        <f t="shared" si="344"/>
        <v>A</v>
      </c>
      <c r="AR345" s="49">
        <f t="shared" si="41"/>
        <v>0</v>
      </c>
      <c r="AS345" s="49">
        <f t="shared" si="42"/>
        <v>1</v>
      </c>
      <c r="AT345" s="49">
        <f t="shared" si="43"/>
        <v>0</v>
      </c>
      <c r="AU345" s="49">
        <f t="shared" si="44"/>
        <v>0</v>
      </c>
      <c r="AV345" s="49">
        <f t="shared" si="45"/>
        <v>0</v>
      </c>
      <c r="AW345" s="49">
        <f t="shared" si="46"/>
        <v>1</v>
      </c>
      <c r="AX345" s="49">
        <f t="shared" si="47"/>
        <v>0</v>
      </c>
      <c r="AY345" s="49">
        <f t="shared" si="48"/>
        <v>0</v>
      </c>
      <c r="AZ345" s="49">
        <f t="shared" si="49"/>
        <v>0</v>
      </c>
      <c r="BA345" s="49">
        <f t="shared" si="50"/>
        <v>1</v>
      </c>
      <c r="BB345" s="49">
        <f t="shared" si="51"/>
        <v>0</v>
      </c>
      <c r="BC345" s="49">
        <f t="shared" si="52"/>
        <v>0</v>
      </c>
      <c r="BD345" s="49">
        <f t="shared" si="53"/>
        <v>0</v>
      </c>
      <c r="BE345" s="49">
        <f t="shared" si="54"/>
        <v>1</v>
      </c>
      <c r="BF345" s="49">
        <f t="shared" si="55"/>
        <v>0</v>
      </c>
      <c r="BG345" s="49">
        <f t="shared" si="56"/>
        <v>0</v>
      </c>
      <c r="BH345" s="49">
        <f t="shared" si="57"/>
        <v>1</v>
      </c>
      <c r="BI345" s="49">
        <f t="shared" si="58"/>
        <v>0</v>
      </c>
      <c r="BJ345" s="49">
        <f t="shared" si="59"/>
        <v>0</v>
      </c>
      <c r="BK345" s="49">
        <f t="shared" si="60"/>
        <v>0</v>
      </c>
      <c r="BL345" s="49">
        <f t="shared" si="61"/>
        <v>1</v>
      </c>
      <c r="BM345" s="49">
        <f t="shared" si="62"/>
        <v>0</v>
      </c>
      <c r="BN345" s="49">
        <f t="shared" si="63"/>
        <v>0</v>
      </c>
      <c r="BO345" s="49">
        <f t="shared" si="64"/>
        <v>0</v>
      </c>
      <c r="BP345" s="49">
        <f t="shared" si="65"/>
        <v>0</v>
      </c>
      <c r="BQ345" s="49">
        <f t="shared" si="66"/>
        <v>1</v>
      </c>
      <c r="BR345" s="49">
        <f t="shared" si="67"/>
        <v>0</v>
      </c>
      <c r="BS345" s="49">
        <f t="shared" si="68"/>
        <v>0</v>
      </c>
      <c r="BT345" s="49">
        <f t="shared" si="69"/>
        <v>0</v>
      </c>
      <c r="BU345" s="49">
        <f t="shared" si="70"/>
        <v>1</v>
      </c>
      <c r="BV345" s="49">
        <f t="shared" si="71"/>
        <v>0</v>
      </c>
      <c r="BW345" s="49">
        <f t="shared" si="72"/>
        <v>0</v>
      </c>
    </row>
    <row r="346" spans="1:75" ht="35.1" customHeight="1" x14ac:dyDescent="0.3">
      <c r="A346" s="123" t="str">
        <f t="shared" si="341"/>
        <v>3팀</v>
      </c>
      <c r="B346" s="169">
        <f t="shared" si="342"/>
        <v>340</v>
      </c>
      <c r="C346" s="170" t="str">
        <f>IF(VLOOKUP($B346,'1. 현장별 인원현황'!$C:$J,2,0)=0,"",VLOOKUP($B346,'1. 현장별 인원현황'!$C:$J,2,0))</f>
        <v xml:space="preserve"> [3.쿠팡] DAE3,7,8 FC(대구) Ph2 전기공사</v>
      </c>
      <c r="D346" s="171" t="str">
        <f>IF(VLOOKUP($B346,'1. 현장별 인원현황'!$C:$J,3,0)=0,"",VLOOKUP($B346,'1. 현장별 인원현황'!$C:$J,3,0))</f>
        <v>유정열</v>
      </c>
      <c r="E346" s="171" t="str">
        <f ca="1">IF(VLOOKUP($B346,'1. 현장별 인원현황'!$C:$J,4,0)=0,"",VLOOKUP($B346,'1. 현장별 인원현황'!$C:$J,4,0))</f>
        <v>54세</v>
      </c>
      <c r="F346" s="172" t="str">
        <f>IF(VLOOKUP($B346,'1. 현장별 인원현황'!$C:$J,7,0)=0,"",VLOOKUP($B346,'1. 현장별 인원현황'!$C:$J,7,0))</f>
        <v>기능공</v>
      </c>
      <c r="G346" s="173" t="str">
        <f>IF(VLOOKUP($B346,'1. 현장별 인원현황'!$C:$J,8,0)=0,"",VLOOKUP($B346,'1. 현장별 인원현황'!$C:$J,8,0))</f>
        <v>전공</v>
      </c>
      <c r="H346" s="169"/>
      <c r="I346" s="137" t="s">
        <v>3435</v>
      </c>
      <c r="J346" s="172"/>
      <c r="K346" s="173"/>
      <c r="L346" s="169"/>
      <c r="M346" s="137" t="s">
        <v>3435</v>
      </c>
      <c r="N346" s="172"/>
      <c r="O346" s="173"/>
      <c r="P346" s="169"/>
      <c r="Q346" s="137" t="s">
        <v>69</v>
      </c>
      <c r="R346" s="172"/>
      <c r="S346" s="173"/>
      <c r="T346" s="169"/>
      <c r="U346" s="137" t="s">
        <v>3435</v>
      </c>
      <c r="V346" s="172"/>
      <c r="W346" s="173"/>
      <c r="X346" s="136" t="s">
        <v>69</v>
      </c>
      <c r="Y346" s="172"/>
      <c r="Z346" s="172"/>
      <c r="AA346" s="173"/>
      <c r="AB346" s="136" t="s">
        <v>69</v>
      </c>
      <c r="AC346" s="172"/>
      <c r="AD346" s="172"/>
      <c r="AE346" s="173"/>
      <c r="AF346" s="169"/>
      <c r="AG346" s="137" t="s">
        <v>69</v>
      </c>
      <c r="AH346" s="172"/>
      <c r="AI346" s="173"/>
      <c r="AJ346" s="169"/>
      <c r="AK346" s="137" t="s">
        <v>69</v>
      </c>
      <c r="AL346" s="172"/>
      <c r="AM346" s="173"/>
      <c r="AN346" s="169">
        <f t="shared" si="343"/>
        <v>78</v>
      </c>
      <c r="AO346" s="173" t="str">
        <f t="shared" si="344"/>
        <v>A</v>
      </c>
      <c r="AR346" s="49">
        <f t="shared" si="41"/>
        <v>0</v>
      </c>
      <c r="AS346" s="49">
        <f t="shared" si="42"/>
        <v>1</v>
      </c>
      <c r="AT346" s="49">
        <f t="shared" si="43"/>
        <v>0</v>
      </c>
      <c r="AU346" s="49">
        <f t="shared" si="44"/>
        <v>0</v>
      </c>
      <c r="AV346" s="49">
        <f t="shared" si="45"/>
        <v>0</v>
      </c>
      <c r="AW346" s="49">
        <f t="shared" si="46"/>
        <v>1</v>
      </c>
      <c r="AX346" s="49">
        <f t="shared" si="47"/>
        <v>0</v>
      </c>
      <c r="AY346" s="49">
        <f t="shared" si="48"/>
        <v>0</v>
      </c>
      <c r="AZ346" s="49">
        <f t="shared" si="49"/>
        <v>0</v>
      </c>
      <c r="BA346" s="49">
        <f t="shared" si="50"/>
        <v>1</v>
      </c>
      <c r="BB346" s="49">
        <f t="shared" si="51"/>
        <v>0</v>
      </c>
      <c r="BC346" s="49">
        <f t="shared" si="52"/>
        <v>0</v>
      </c>
      <c r="BD346" s="49">
        <f t="shared" si="53"/>
        <v>0</v>
      </c>
      <c r="BE346" s="49">
        <f t="shared" si="54"/>
        <v>1</v>
      </c>
      <c r="BF346" s="49">
        <f t="shared" si="55"/>
        <v>0</v>
      </c>
      <c r="BG346" s="49">
        <f t="shared" si="56"/>
        <v>0</v>
      </c>
      <c r="BH346" s="49">
        <f t="shared" si="57"/>
        <v>1</v>
      </c>
      <c r="BI346" s="49">
        <f t="shared" si="58"/>
        <v>0</v>
      </c>
      <c r="BJ346" s="49">
        <f t="shared" si="59"/>
        <v>0</v>
      </c>
      <c r="BK346" s="49">
        <f t="shared" si="60"/>
        <v>0</v>
      </c>
      <c r="BL346" s="49">
        <f t="shared" si="61"/>
        <v>1</v>
      </c>
      <c r="BM346" s="49">
        <f t="shared" si="62"/>
        <v>0</v>
      </c>
      <c r="BN346" s="49">
        <f t="shared" si="63"/>
        <v>0</v>
      </c>
      <c r="BO346" s="49">
        <f t="shared" si="64"/>
        <v>0</v>
      </c>
      <c r="BP346" s="49">
        <f t="shared" si="65"/>
        <v>0</v>
      </c>
      <c r="BQ346" s="49">
        <f t="shared" si="66"/>
        <v>1</v>
      </c>
      <c r="BR346" s="49">
        <f t="shared" si="67"/>
        <v>0</v>
      </c>
      <c r="BS346" s="49">
        <f t="shared" si="68"/>
        <v>0</v>
      </c>
      <c r="BT346" s="49">
        <f t="shared" si="69"/>
        <v>0</v>
      </c>
      <c r="BU346" s="49">
        <f t="shared" si="70"/>
        <v>1</v>
      </c>
      <c r="BV346" s="49">
        <f t="shared" si="71"/>
        <v>0</v>
      </c>
      <c r="BW346" s="49">
        <f t="shared" si="72"/>
        <v>0</v>
      </c>
    </row>
    <row r="347" spans="1:75" ht="35.1" customHeight="1" x14ac:dyDescent="0.3">
      <c r="A347" s="123" t="str">
        <f t="shared" si="341"/>
        <v>3팀</v>
      </c>
      <c r="B347" s="69">
        <f t="shared" si="342"/>
        <v>341</v>
      </c>
      <c r="C347" s="121" t="str">
        <f>IF(VLOOKUP($B347,'1. 현장별 인원현황'!$C:$J,2,0)=0,"",VLOOKUP($B347,'1. 현장별 인원현황'!$C:$J,2,0))</f>
        <v xml:space="preserve"> [3.쿠팡] DAE3,7,8 FC(대구) Ph2 전기공사</v>
      </c>
      <c r="D347" s="74" t="str">
        <f>IF(VLOOKUP($B347,'1. 현장별 인원현황'!$C:$J,3,0)=0,"",VLOOKUP($B347,'1. 현장별 인원현황'!$C:$J,3,0))</f>
        <v>이정안</v>
      </c>
      <c r="E347" s="74" t="str">
        <f ca="1">IF(VLOOKUP($B347,'1. 현장별 인원현황'!$C:$J,4,0)=0,"",VLOOKUP($B347,'1. 현장별 인원현황'!$C:$J,4,0))</f>
        <v>44세</v>
      </c>
      <c r="F347" s="70" t="str">
        <f>IF(VLOOKUP($B347,'1. 현장별 인원현황'!$C:$J,7,0)=0,"",VLOOKUP($B347,'1. 현장별 인원현황'!$C:$J,7,0))</f>
        <v>기능공</v>
      </c>
      <c r="G347" s="72" t="str">
        <f>IF(VLOOKUP($B347,'1. 현장별 인원현황'!$C:$J,8,0)=0,"",VLOOKUP($B347,'1. 현장별 인원현황'!$C:$J,8,0))</f>
        <v>전공</v>
      </c>
      <c r="H347" s="67"/>
      <c r="I347" s="73" t="s">
        <v>69</v>
      </c>
      <c r="J347" s="73"/>
      <c r="K347" s="68"/>
      <c r="L347" s="67"/>
      <c r="M347" s="73" t="s">
        <v>69</v>
      </c>
      <c r="N347" s="73"/>
      <c r="O347" s="68"/>
      <c r="P347" s="67" t="s">
        <v>69</v>
      </c>
      <c r="Q347" s="73"/>
      <c r="R347" s="73"/>
      <c r="S347" s="68"/>
      <c r="T347" s="67"/>
      <c r="U347" s="73" t="s">
        <v>69</v>
      </c>
      <c r="V347" s="73"/>
      <c r="W347" s="68"/>
      <c r="X347" s="67" t="s">
        <v>69</v>
      </c>
      <c r="Y347" s="73"/>
      <c r="Z347" s="73"/>
      <c r="AA347" s="68"/>
      <c r="AB347" s="67" t="s">
        <v>69</v>
      </c>
      <c r="AC347" s="73"/>
      <c r="AD347" s="73"/>
      <c r="AE347" s="68"/>
      <c r="AF347" s="67"/>
      <c r="AG347" s="73" t="s">
        <v>69</v>
      </c>
      <c r="AH347" s="73"/>
      <c r="AI347" s="68"/>
      <c r="AJ347" s="67"/>
      <c r="AK347" s="73" t="s">
        <v>69</v>
      </c>
      <c r="AL347" s="73"/>
      <c r="AM347" s="68"/>
      <c r="AN347" s="67">
        <f t="shared" si="343"/>
        <v>82</v>
      </c>
      <c r="AO347" s="68" t="str">
        <f t="shared" si="344"/>
        <v>A</v>
      </c>
      <c r="AR347" s="49">
        <f t="shared" si="41"/>
        <v>0</v>
      </c>
      <c r="AS347" s="49">
        <f t="shared" si="42"/>
        <v>1</v>
      </c>
      <c r="AT347" s="49">
        <f t="shared" si="43"/>
        <v>0</v>
      </c>
      <c r="AU347" s="49">
        <f t="shared" si="44"/>
        <v>0</v>
      </c>
      <c r="AV347" s="49">
        <f t="shared" si="45"/>
        <v>0</v>
      </c>
      <c r="AW347" s="49">
        <f t="shared" si="46"/>
        <v>1</v>
      </c>
      <c r="AX347" s="49">
        <f t="shared" si="47"/>
        <v>0</v>
      </c>
      <c r="AY347" s="49">
        <f t="shared" si="48"/>
        <v>0</v>
      </c>
      <c r="AZ347" s="49">
        <f t="shared" si="49"/>
        <v>1</v>
      </c>
      <c r="BA347" s="49">
        <f t="shared" si="50"/>
        <v>0</v>
      </c>
      <c r="BB347" s="49">
        <f t="shared" si="51"/>
        <v>0</v>
      </c>
      <c r="BC347" s="49">
        <f t="shared" si="52"/>
        <v>0</v>
      </c>
      <c r="BD347" s="49">
        <f t="shared" si="53"/>
        <v>0</v>
      </c>
      <c r="BE347" s="49">
        <f t="shared" si="54"/>
        <v>1</v>
      </c>
      <c r="BF347" s="49">
        <f t="shared" si="55"/>
        <v>0</v>
      </c>
      <c r="BG347" s="49">
        <f t="shared" si="56"/>
        <v>0</v>
      </c>
      <c r="BH347" s="49">
        <f t="shared" si="57"/>
        <v>1</v>
      </c>
      <c r="BI347" s="49">
        <f t="shared" si="58"/>
        <v>0</v>
      </c>
      <c r="BJ347" s="49">
        <f t="shared" si="59"/>
        <v>0</v>
      </c>
      <c r="BK347" s="49">
        <f t="shared" si="60"/>
        <v>0</v>
      </c>
      <c r="BL347" s="49">
        <f t="shared" si="61"/>
        <v>1</v>
      </c>
      <c r="BM347" s="49">
        <f t="shared" si="62"/>
        <v>0</v>
      </c>
      <c r="BN347" s="49">
        <f t="shared" si="63"/>
        <v>0</v>
      </c>
      <c r="BO347" s="49">
        <f t="shared" si="64"/>
        <v>0</v>
      </c>
      <c r="BP347" s="49">
        <f t="shared" si="65"/>
        <v>0</v>
      </c>
      <c r="BQ347" s="49">
        <f t="shared" si="66"/>
        <v>1</v>
      </c>
      <c r="BR347" s="49">
        <f t="shared" si="67"/>
        <v>0</v>
      </c>
      <c r="BS347" s="49">
        <f t="shared" si="68"/>
        <v>0</v>
      </c>
      <c r="BT347" s="49">
        <f t="shared" si="69"/>
        <v>0</v>
      </c>
      <c r="BU347" s="49">
        <f t="shared" si="70"/>
        <v>1</v>
      </c>
      <c r="BV347" s="49">
        <f t="shared" si="71"/>
        <v>0</v>
      </c>
      <c r="BW347" s="49">
        <f t="shared" si="72"/>
        <v>0</v>
      </c>
    </row>
    <row r="348" spans="1:75" ht="35.1" customHeight="1" x14ac:dyDescent="0.3">
      <c r="A348" s="123" t="str">
        <f t="shared" si="341"/>
        <v>3팀</v>
      </c>
      <c r="B348" s="69">
        <f t="shared" si="342"/>
        <v>342</v>
      </c>
      <c r="C348" s="121" t="str">
        <f>IF(VLOOKUP($B348,'1. 현장별 인원현황'!$C:$J,2,0)=0,"",VLOOKUP($B348,'1. 현장별 인원현황'!$C:$J,2,0))</f>
        <v xml:space="preserve"> [3.쿠팡] DAE3,7,8 FC(대구) Ph2 전기공사</v>
      </c>
      <c r="D348" s="74" t="str">
        <f>IF(VLOOKUP($B348,'1. 현장별 인원현황'!$C:$J,3,0)=0,"",VLOOKUP($B348,'1. 현장별 인원현황'!$C:$J,3,0))</f>
        <v>조정민</v>
      </c>
      <c r="E348" s="74" t="str">
        <f ca="1">IF(VLOOKUP($B348,'1. 현장별 인원현황'!$C:$J,4,0)=0,"",VLOOKUP($B348,'1. 현장별 인원현황'!$C:$J,4,0))</f>
        <v>36세</v>
      </c>
      <c r="F348" s="70" t="str">
        <f>IF(VLOOKUP($B348,'1. 현장별 인원현황'!$C:$J,7,0)=0,"",VLOOKUP($B348,'1. 현장별 인원현황'!$C:$J,7,0))</f>
        <v>기능공</v>
      </c>
      <c r="G348" s="72" t="str">
        <f>IF(VLOOKUP($B348,'1. 현장별 인원현황'!$C:$J,8,0)=0,"",VLOOKUP($B348,'1. 현장별 인원현황'!$C:$J,8,0))</f>
        <v>조공</v>
      </c>
      <c r="H348" s="67"/>
      <c r="I348" s="73" t="s">
        <v>69</v>
      </c>
      <c r="J348" s="73"/>
      <c r="K348" s="68"/>
      <c r="L348" s="67"/>
      <c r="M348" s="73" t="s">
        <v>69</v>
      </c>
      <c r="N348" s="73"/>
      <c r="O348" s="68"/>
      <c r="P348" s="67" t="s">
        <v>69</v>
      </c>
      <c r="Q348" s="73"/>
      <c r="R348" s="73"/>
      <c r="S348" s="68"/>
      <c r="T348" s="67"/>
      <c r="U348" s="73" t="s">
        <v>69</v>
      </c>
      <c r="V348" s="73"/>
      <c r="W348" s="68"/>
      <c r="X348" s="67" t="s">
        <v>69</v>
      </c>
      <c r="Y348" s="73"/>
      <c r="Z348" s="73"/>
      <c r="AA348" s="68"/>
      <c r="AB348" s="67" t="s">
        <v>69</v>
      </c>
      <c r="AC348" s="73"/>
      <c r="AD348" s="73"/>
      <c r="AE348" s="68"/>
      <c r="AF348" s="67"/>
      <c r="AG348" s="73" t="s">
        <v>69</v>
      </c>
      <c r="AH348" s="73"/>
      <c r="AI348" s="68"/>
      <c r="AJ348" s="67"/>
      <c r="AK348" s="73" t="s">
        <v>69</v>
      </c>
      <c r="AL348" s="73"/>
      <c r="AM348" s="68"/>
      <c r="AN348" s="67">
        <f t="shared" si="343"/>
        <v>82</v>
      </c>
      <c r="AO348" s="68" t="str">
        <f t="shared" si="344"/>
        <v>A</v>
      </c>
      <c r="AR348" s="49">
        <f t="shared" si="41"/>
        <v>0</v>
      </c>
      <c r="AS348" s="49">
        <f t="shared" si="42"/>
        <v>1</v>
      </c>
      <c r="AT348" s="49">
        <f t="shared" si="43"/>
        <v>0</v>
      </c>
      <c r="AU348" s="49">
        <f t="shared" si="44"/>
        <v>0</v>
      </c>
      <c r="AV348" s="49">
        <f t="shared" si="45"/>
        <v>0</v>
      </c>
      <c r="AW348" s="49">
        <f t="shared" si="46"/>
        <v>1</v>
      </c>
      <c r="AX348" s="49">
        <f t="shared" si="47"/>
        <v>0</v>
      </c>
      <c r="AY348" s="49">
        <f t="shared" si="48"/>
        <v>0</v>
      </c>
      <c r="AZ348" s="49">
        <f t="shared" si="49"/>
        <v>1</v>
      </c>
      <c r="BA348" s="49">
        <f t="shared" si="50"/>
        <v>0</v>
      </c>
      <c r="BB348" s="49">
        <f t="shared" si="51"/>
        <v>0</v>
      </c>
      <c r="BC348" s="49">
        <f t="shared" si="52"/>
        <v>0</v>
      </c>
      <c r="BD348" s="49">
        <f t="shared" si="53"/>
        <v>0</v>
      </c>
      <c r="BE348" s="49">
        <f t="shared" si="54"/>
        <v>1</v>
      </c>
      <c r="BF348" s="49">
        <f t="shared" si="55"/>
        <v>0</v>
      </c>
      <c r="BG348" s="49">
        <f t="shared" si="56"/>
        <v>0</v>
      </c>
      <c r="BH348" s="49">
        <f t="shared" si="57"/>
        <v>1</v>
      </c>
      <c r="BI348" s="49">
        <f t="shared" si="58"/>
        <v>0</v>
      </c>
      <c r="BJ348" s="49">
        <f t="shared" si="59"/>
        <v>0</v>
      </c>
      <c r="BK348" s="49">
        <f t="shared" si="60"/>
        <v>0</v>
      </c>
      <c r="BL348" s="49">
        <f t="shared" si="61"/>
        <v>1</v>
      </c>
      <c r="BM348" s="49">
        <f t="shared" si="62"/>
        <v>0</v>
      </c>
      <c r="BN348" s="49">
        <f t="shared" si="63"/>
        <v>0</v>
      </c>
      <c r="BO348" s="49">
        <f t="shared" si="64"/>
        <v>0</v>
      </c>
      <c r="BP348" s="49">
        <f t="shared" si="65"/>
        <v>0</v>
      </c>
      <c r="BQ348" s="49">
        <f t="shared" si="66"/>
        <v>1</v>
      </c>
      <c r="BR348" s="49">
        <f t="shared" si="67"/>
        <v>0</v>
      </c>
      <c r="BS348" s="49">
        <f t="shared" si="68"/>
        <v>0</v>
      </c>
      <c r="BT348" s="49">
        <f t="shared" si="69"/>
        <v>0</v>
      </c>
      <c r="BU348" s="49">
        <f t="shared" si="70"/>
        <v>1</v>
      </c>
      <c r="BV348" s="49">
        <f t="shared" si="71"/>
        <v>0</v>
      </c>
      <c r="BW348" s="49">
        <f t="shared" si="72"/>
        <v>0</v>
      </c>
    </row>
    <row r="349" spans="1:75" ht="35.1" customHeight="1" x14ac:dyDescent="0.3">
      <c r="A349" s="123" t="str">
        <f t="shared" si="341"/>
        <v>3팀</v>
      </c>
      <c r="B349" s="69">
        <f t="shared" si="342"/>
        <v>343</v>
      </c>
      <c r="C349" s="121" t="str">
        <f>IF(VLOOKUP($B349,'1. 현장별 인원현황'!$C:$J,2,0)=0,"",VLOOKUP($B349,'1. 현장별 인원현황'!$C:$J,2,0))</f>
        <v xml:space="preserve"> [3.쿠팡] DAE3,7,8 FC(대구) Ph2 전기공사</v>
      </c>
      <c r="D349" s="74" t="str">
        <f>IF(VLOOKUP($B349,'1. 현장별 인원현황'!$C:$J,3,0)=0,"",VLOOKUP($B349,'1. 현장별 인원현황'!$C:$J,3,0))</f>
        <v>허태승</v>
      </c>
      <c r="E349" s="74" t="str">
        <f ca="1">IF(VLOOKUP($B349,'1. 현장별 인원현황'!$C:$J,4,0)=0,"",VLOOKUP($B349,'1. 현장별 인원현황'!$C:$J,4,0))</f>
        <v>55세</v>
      </c>
      <c r="F349" s="70" t="str">
        <f>IF(VLOOKUP($B349,'1. 현장별 인원현황'!$C:$J,7,0)=0,"",VLOOKUP($B349,'1. 현장별 인원현황'!$C:$J,7,0))</f>
        <v>기능공</v>
      </c>
      <c r="G349" s="72" t="str">
        <f>IF(VLOOKUP($B349,'1. 현장별 인원현황'!$C:$J,8,0)=0,"",VLOOKUP($B349,'1. 현장별 인원현황'!$C:$J,8,0))</f>
        <v>조공</v>
      </c>
      <c r="H349" s="67"/>
      <c r="I349" s="73" t="s">
        <v>69</v>
      </c>
      <c r="J349" s="73"/>
      <c r="K349" s="68"/>
      <c r="L349" s="67"/>
      <c r="M349" s="73" t="s">
        <v>69</v>
      </c>
      <c r="N349" s="73"/>
      <c r="O349" s="68"/>
      <c r="P349" s="67" t="s">
        <v>69</v>
      </c>
      <c r="Q349" s="73"/>
      <c r="R349" s="73"/>
      <c r="S349" s="68"/>
      <c r="T349" s="67" t="s">
        <v>69</v>
      </c>
      <c r="U349" s="73"/>
      <c r="V349" s="73"/>
      <c r="W349" s="68"/>
      <c r="X349" s="67" t="s">
        <v>69</v>
      </c>
      <c r="Y349" s="73"/>
      <c r="Z349" s="73"/>
      <c r="AA349" s="68"/>
      <c r="AB349" s="67" t="s">
        <v>69</v>
      </c>
      <c r="AC349" s="73"/>
      <c r="AD349" s="73"/>
      <c r="AE349" s="68"/>
      <c r="AF349" s="67" t="s">
        <v>69</v>
      </c>
      <c r="AG349" s="73"/>
      <c r="AH349" s="73"/>
      <c r="AI349" s="68"/>
      <c r="AJ349" s="67"/>
      <c r="AK349" s="73" t="s">
        <v>69</v>
      </c>
      <c r="AL349" s="73"/>
      <c r="AM349" s="68"/>
      <c r="AN349" s="67">
        <f t="shared" si="343"/>
        <v>89</v>
      </c>
      <c r="AO349" s="68" t="str">
        <f t="shared" si="344"/>
        <v>S</v>
      </c>
      <c r="AR349" s="49">
        <f t="shared" si="41"/>
        <v>0</v>
      </c>
      <c r="AS349" s="49">
        <f t="shared" si="42"/>
        <v>1</v>
      </c>
      <c r="AT349" s="49">
        <f t="shared" si="43"/>
        <v>0</v>
      </c>
      <c r="AU349" s="49">
        <f t="shared" si="44"/>
        <v>0</v>
      </c>
      <c r="AV349" s="49">
        <f t="shared" si="45"/>
        <v>0</v>
      </c>
      <c r="AW349" s="49">
        <f t="shared" si="46"/>
        <v>1</v>
      </c>
      <c r="AX349" s="49">
        <f t="shared" si="47"/>
        <v>0</v>
      </c>
      <c r="AY349" s="49">
        <f t="shared" si="48"/>
        <v>0</v>
      </c>
      <c r="AZ349" s="49">
        <f t="shared" si="49"/>
        <v>1</v>
      </c>
      <c r="BA349" s="49">
        <f t="shared" si="50"/>
        <v>0</v>
      </c>
      <c r="BB349" s="49">
        <f t="shared" si="51"/>
        <v>0</v>
      </c>
      <c r="BC349" s="49">
        <f t="shared" si="52"/>
        <v>0</v>
      </c>
      <c r="BD349" s="49">
        <f t="shared" si="53"/>
        <v>1</v>
      </c>
      <c r="BE349" s="49">
        <f t="shared" si="54"/>
        <v>0</v>
      </c>
      <c r="BF349" s="49">
        <f t="shared" si="55"/>
        <v>0</v>
      </c>
      <c r="BG349" s="49">
        <f t="shared" si="56"/>
        <v>0</v>
      </c>
      <c r="BH349" s="49">
        <f t="shared" si="57"/>
        <v>1</v>
      </c>
      <c r="BI349" s="49">
        <f t="shared" si="58"/>
        <v>0</v>
      </c>
      <c r="BJ349" s="49">
        <f t="shared" si="59"/>
        <v>0</v>
      </c>
      <c r="BK349" s="49">
        <f t="shared" si="60"/>
        <v>0</v>
      </c>
      <c r="BL349" s="49">
        <f t="shared" si="61"/>
        <v>1</v>
      </c>
      <c r="BM349" s="49">
        <f t="shared" si="62"/>
        <v>0</v>
      </c>
      <c r="BN349" s="49">
        <f t="shared" si="63"/>
        <v>0</v>
      </c>
      <c r="BO349" s="49">
        <f t="shared" si="64"/>
        <v>0</v>
      </c>
      <c r="BP349" s="49">
        <f t="shared" si="65"/>
        <v>1</v>
      </c>
      <c r="BQ349" s="49">
        <f t="shared" si="66"/>
        <v>0</v>
      </c>
      <c r="BR349" s="49">
        <f t="shared" si="67"/>
        <v>0</v>
      </c>
      <c r="BS349" s="49">
        <f t="shared" si="68"/>
        <v>0</v>
      </c>
      <c r="BT349" s="49">
        <f t="shared" si="69"/>
        <v>0</v>
      </c>
      <c r="BU349" s="49">
        <f t="shared" si="70"/>
        <v>1</v>
      </c>
      <c r="BV349" s="49">
        <f t="shared" si="71"/>
        <v>0</v>
      </c>
      <c r="BW349" s="49">
        <f t="shared" si="72"/>
        <v>0</v>
      </c>
    </row>
    <row r="350" spans="1:75" ht="35.1" customHeight="1" x14ac:dyDescent="0.3">
      <c r="A350" s="123" t="str">
        <f t="shared" si="341"/>
        <v>3팀</v>
      </c>
      <c r="B350" s="69">
        <f t="shared" si="342"/>
        <v>344</v>
      </c>
      <c r="C350" s="121" t="str">
        <f>IF(VLOOKUP($B350,'1. 현장별 인원현황'!$C:$J,2,0)=0,"",VLOOKUP($B350,'1. 현장별 인원현황'!$C:$J,2,0))</f>
        <v xml:space="preserve"> [3.쿠팡] GYS 2FC(경산) 전기공사</v>
      </c>
      <c r="D350" s="74" t="str">
        <f>IF(VLOOKUP($B350,'1. 현장별 인원현황'!$C:$J,3,0)=0,"",VLOOKUP($B350,'1. 현장별 인원현황'!$C:$J,3,0))</f>
        <v>김민수</v>
      </c>
      <c r="E350" s="74" t="str">
        <f ca="1">IF(VLOOKUP($B350,'1. 현장별 인원현황'!$C:$J,4,0)=0,"",VLOOKUP($B350,'1. 현장별 인원현황'!$C:$J,4,0))</f>
        <v>47세</v>
      </c>
      <c r="F350" s="70" t="str">
        <f>IF(VLOOKUP($B350,'1. 현장별 인원현황'!$C:$J,7,0)=0,"",VLOOKUP($B350,'1. 현장별 인원현황'!$C:$J,7,0))</f>
        <v>공무</v>
      </c>
      <c r="G350" s="72" t="str">
        <f>IF(VLOOKUP($B350,'1. 현장별 인원현황'!$C:$J,8,0)=0,"",VLOOKUP($B350,'1. 현장별 인원현황'!$C:$J,8,0))</f>
        <v>차장</v>
      </c>
      <c r="H350" s="67" t="s">
        <v>69</v>
      </c>
      <c r="I350" s="73"/>
      <c r="J350" s="73"/>
      <c r="K350" s="68"/>
      <c r="L350" s="67" t="s">
        <v>69</v>
      </c>
      <c r="M350" s="73"/>
      <c r="N350" s="73"/>
      <c r="O350" s="68"/>
      <c r="P350" s="67" t="s">
        <v>69</v>
      </c>
      <c r="Q350" s="73"/>
      <c r="R350" s="73"/>
      <c r="S350" s="68"/>
      <c r="T350" s="67" t="s">
        <v>69</v>
      </c>
      <c r="U350" s="73"/>
      <c r="V350" s="73"/>
      <c r="W350" s="68"/>
      <c r="X350" s="67" t="s">
        <v>69</v>
      </c>
      <c r="Y350" s="73"/>
      <c r="Z350" s="73"/>
      <c r="AA350" s="68"/>
      <c r="AB350" s="67" t="s">
        <v>69</v>
      </c>
      <c r="AC350" s="73"/>
      <c r="AD350" s="73"/>
      <c r="AE350" s="68"/>
      <c r="AF350" s="67" t="s">
        <v>69</v>
      </c>
      <c r="AG350" s="73"/>
      <c r="AH350" s="73"/>
      <c r="AI350" s="68"/>
      <c r="AJ350" s="67" t="s">
        <v>69</v>
      </c>
      <c r="AK350" s="73"/>
      <c r="AL350" s="73"/>
      <c r="AM350" s="68"/>
      <c r="AN350" s="67">
        <f t="shared" si="343"/>
        <v>100</v>
      </c>
      <c r="AO350" s="68" t="str">
        <f t="shared" si="344"/>
        <v>S</v>
      </c>
      <c r="AR350" s="49">
        <f t="shared" si="41"/>
        <v>1</v>
      </c>
      <c r="AS350" s="49">
        <f t="shared" si="42"/>
        <v>0</v>
      </c>
      <c r="AT350" s="49">
        <f t="shared" si="43"/>
        <v>0</v>
      </c>
      <c r="AU350" s="49">
        <f t="shared" si="44"/>
        <v>0</v>
      </c>
      <c r="AV350" s="49">
        <f t="shared" si="45"/>
        <v>1</v>
      </c>
      <c r="AW350" s="49">
        <f t="shared" si="46"/>
        <v>0</v>
      </c>
      <c r="AX350" s="49">
        <f t="shared" si="47"/>
        <v>0</v>
      </c>
      <c r="AY350" s="49">
        <f t="shared" si="48"/>
        <v>0</v>
      </c>
      <c r="AZ350" s="49">
        <f t="shared" si="49"/>
        <v>1</v>
      </c>
      <c r="BA350" s="49">
        <f t="shared" si="50"/>
        <v>0</v>
      </c>
      <c r="BB350" s="49">
        <f t="shared" si="51"/>
        <v>0</v>
      </c>
      <c r="BC350" s="49">
        <f t="shared" si="52"/>
        <v>0</v>
      </c>
      <c r="BD350" s="49">
        <f t="shared" si="53"/>
        <v>1</v>
      </c>
      <c r="BE350" s="49">
        <f t="shared" si="54"/>
        <v>0</v>
      </c>
      <c r="BF350" s="49">
        <f t="shared" si="55"/>
        <v>0</v>
      </c>
      <c r="BG350" s="49">
        <f t="shared" si="56"/>
        <v>0</v>
      </c>
      <c r="BH350" s="49">
        <f t="shared" si="57"/>
        <v>1</v>
      </c>
      <c r="BI350" s="49">
        <f t="shared" si="58"/>
        <v>0</v>
      </c>
      <c r="BJ350" s="49">
        <f t="shared" si="59"/>
        <v>0</v>
      </c>
      <c r="BK350" s="49">
        <f t="shared" si="60"/>
        <v>0</v>
      </c>
      <c r="BL350" s="49">
        <f t="shared" si="61"/>
        <v>1</v>
      </c>
      <c r="BM350" s="49">
        <f t="shared" si="62"/>
        <v>0</v>
      </c>
      <c r="BN350" s="49">
        <f t="shared" si="63"/>
        <v>0</v>
      </c>
      <c r="BO350" s="49">
        <f t="shared" si="64"/>
        <v>0</v>
      </c>
      <c r="BP350" s="49">
        <f t="shared" si="65"/>
        <v>1</v>
      </c>
      <c r="BQ350" s="49">
        <f t="shared" si="66"/>
        <v>0</v>
      </c>
      <c r="BR350" s="49">
        <f t="shared" si="67"/>
        <v>0</v>
      </c>
      <c r="BS350" s="49">
        <f t="shared" si="68"/>
        <v>0</v>
      </c>
      <c r="BT350" s="49">
        <f t="shared" si="69"/>
        <v>1</v>
      </c>
      <c r="BU350" s="49">
        <f t="shared" si="70"/>
        <v>0</v>
      </c>
      <c r="BV350" s="49">
        <f t="shared" si="71"/>
        <v>0</v>
      </c>
      <c r="BW350" s="49">
        <f t="shared" si="72"/>
        <v>0</v>
      </c>
    </row>
    <row r="351" spans="1:75" ht="35.1" customHeight="1" x14ac:dyDescent="0.3">
      <c r="A351" s="123" t="str">
        <f t="shared" si="341"/>
        <v>3팀</v>
      </c>
      <c r="B351" s="69">
        <f t="shared" si="342"/>
        <v>345</v>
      </c>
      <c r="C351" s="121" t="str">
        <f>IF(VLOOKUP($B351,'1. 현장별 인원현황'!$C:$J,2,0)=0,"",VLOOKUP($B351,'1. 현장별 인원현황'!$C:$J,2,0))</f>
        <v xml:space="preserve"> [3.쿠팡] GYS 2FC(경산) 전기공사</v>
      </c>
      <c r="D351" s="74" t="str">
        <f>IF(VLOOKUP($B351,'1. 현장별 인원현황'!$C:$J,3,0)=0,"",VLOOKUP($B351,'1. 현장별 인원현황'!$C:$J,3,0))</f>
        <v>이이재</v>
      </c>
      <c r="E351" s="74" t="str">
        <f ca="1">IF(VLOOKUP($B351,'1. 현장별 인원현황'!$C:$J,4,0)=0,"",VLOOKUP($B351,'1. 현장별 인원현황'!$C:$J,4,0))</f>
        <v>64세</v>
      </c>
      <c r="F351" s="70" t="str">
        <f>IF(VLOOKUP($B351,'1. 현장별 인원현황'!$C:$J,7,0)=0,"",VLOOKUP($B351,'1. 현장별 인원현황'!$C:$J,7,0))</f>
        <v>공사</v>
      </c>
      <c r="G351" s="72" t="str">
        <f>IF(VLOOKUP($B351,'1. 현장별 인원현황'!$C:$J,8,0)=0,"",VLOOKUP($B351,'1. 현장별 인원현황'!$C:$J,8,0))</f>
        <v>차장</v>
      </c>
      <c r="H351" s="67" t="s">
        <v>69</v>
      </c>
      <c r="I351" s="73"/>
      <c r="J351" s="73"/>
      <c r="K351" s="68"/>
      <c r="L351" s="67" t="s">
        <v>69</v>
      </c>
      <c r="M351" s="73"/>
      <c r="N351" s="73"/>
      <c r="O351" s="68"/>
      <c r="P351" s="67" t="s">
        <v>69</v>
      </c>
      <c r="Q351" s="73"/>
      <c r="R351" s="73"/>
      <c r="S351" s="68"/>
      <c r="T351" s="67" t="s">
        <v>69</v>
      </c>
      <c r="U351" s="73"/>
      <c r="V351" s="73"/>
      <c r="W351" s="68"/>
      <c r="X351" s="67" t="s">
        <v>69</v>
      </c>
      <c r="Y351" s="73"/>
      <c r="Z351" s="73"/>
      <c r="AA351" s="68"/>
      <c r="AB351" s="67" t="s">
        <v>69</v>
      </c>
      <c r="AC351" s="73"/>
      <c r="AD351" s="73"/>
      <c r="AE351" s="68"/>
      <c r="AF351" s="67" t="s">
        <v>69</v>
      </c>
      <c r="AG351" s="73"/>
      <c r="AH351" s="73"/>
      <c r="AI351" s="68"/>
      <c r="AJ351" s="67" t="s">
        <v>69</v>
      </c>
      <c r="AK351" s="73"/>
      <c r="AL351" s="73"/>
      <c r="AM351" s="68"/>
      <c r="AN351" s="67">
        <f t="shared" si="343"/>
        <v>100</v>
      </c>
      <c r="AO351" s="68" t="str">
        <f t="shared" si="344"/>
        <v>S</v>
      </c>
      <c r="AR351" s="49">
        <f t="shared" si="41"/>
        <v>1</v>
      </c>
      <c r="AS351" s="49">
        <f t="shared" si="42"/>
        <v>0</v>
      </c>
      <c r="AT351" s="49">
        <f t="shared" si="43"/>
        <v>0</v>
      </c>
      <c r="AU351" s="49">
        <f t="shared" si="44"/>
        <v>0</v>
      </c>
      <c r="AV351" s="49">
        <f t="shared" si="45"/>
        <v>1</v>
      </c>
      <c r="AW351" s="49">
        <f t="shared" si="46"/>
        <v>0</v>
      </c>
      <c r="AX351" s="49">
        <f t="shared" si="47"/>
        <v>0</v>
      </c>
      <c r="AY351" s="49">
        <f t="shared" si="48"/>
        <v>0</v>
      </c>
      <c r="AZ351" s="49">
        <f t="shared" si="49"/>
        <v>1</v>
      </c>
      <c r="BA351" s="49">
        <f t="shared" si="50"/>
        <v>0</v>
      </c>
      <c r="BB351" s="49">
        <f t="shared" si="51"/>
        <v>0</v>
      </c>
      <c r="BC351" s="49">
        <f t="shared" si="52"/>
        <v>0</v>
      </c>
      <c r="BD351" s="49">
        <f t="shared" si="53"/>
        <v>1</v>
      </c>
      <c r="BE351" s="49">
        <f t="shared" si="54"/>
        <v>0</v>
      </c>
      <c r="BF351" s="49">
        <f t="shared" si="55"/>
        <v>0</v>
      </c>
      <c r="BG351" s="49">
        <f t="shared" si="56"/>
        <v>0</v>
      </c>
      <c r="BH351" s="49">
        <f t="shared" si="57"/>
        <v>1</v>
      </c>
      <c r="BI351" s="49">
        <f t="shared" si="58"/>
        <v>0</v>
      </c>
      <c r="BJ351" s="49">
        <f t="shared" si="59"/>
        <v>0</v>
      </c>
      <c r="BK351" s="49">
        <f t="shared" si="60"/>
        <v>0</v>
      </c>
      <c r="BL351" s="49">
        <f t="shared" si="61"/>
        <v>1</v>
      </c>
      <c r="BM351" s="49">
        <f t="shared" si="62"/>
        <v>0</v>
      </c>
      <c r="BN351" s="49">
        <f t="shared" si="63"/>
        <v>0</v>
      </c>
      <c r="BO351" s="49">
        <f t="shared" si="64"/>
        <v>0</v>
      </c>
      <c r="BP351" s="49">
        <f t="shared" si="65"/>
        <v>1</v>
      </c>
      <c r="BQ351" s="49">
        <f t="shared" si="66"/>
        <v>0</v>
      </c>
      <c r="BR351" s="49">
        <f t="shared" si="67"/>
        <v>0</v>
      </c>
      <c r="BS351" s="49">
        <f t="shared" si="68"/>
        <v>0</v>
      </c>
      <c r="BT351" s="49">
        <f t="shared" si="69"/>
        <v>1</v>
      </c>
      <c r="BU351" s="49">
        <f t="shared" si="70"/>
        <v>0</v>
      </c>
      <c r="BV351" s="49">
        <f t="shared" si="71"/>
        <v>0</v>
      </c>
      <c r="BW351" s="49">
        <f t="shared" si="72"/>
        <v>0</v>
      </c>
    </row>
    <row r="352" spans="1:75" ht="35.1" customHeight="1" x14ac:dyDescent="0.3">
      <c r="A352" s="123" t="str">
        <f t="shared" si="341"/>
        <v>3팀</v>
      </c>
      <c r="B352" s="69">
        <f t="shared" si="342"/>
        <v>346</v>
      </c>
      <c r="C352" s="121" t="str">
        <f>IF(VLOOKUP($B352,'1. 현장별 인원현황'!$C:$J,2,0)=0,"",VLOOKUP($B352,'1. 현장별 인원현황'!$C:$J,2,0))</f>
        <v xml:space="preserve"> [3.쿠팡] GYS 2FC(경산) 전기공사</v>
      </c>
      <c r="D352" s="74" t="str">
        <f>IF(VLOOKUP($B352,'1. 현장별 인원현황'!$C:$J,3,0)=0,"",VLOOKUP($B352,'1. 현장별 인원현황'!$C:$J,3,0))</f>
        <v>고영일</v>
      </c>
      <c r="E352" s="74" t="str">
        <f ca="1">IF(VLOOKUP($B352,'1. 현장별 인원현황'!$C:$J,4,0)=0,"",VLOOKUP($B352,'1. 현장별 인원현황'!$C:$J,4,0))</f>
        <v>56세</v>
      </c>
      <c r="F352" s="70" t="str">
        <f>IF(VLOOKUP($B352,'1. 현장별 인원현황'!$C:$J,7,0)=0,"",VLOOKUP($B352,'1. 현장별 인원현황'!$C:$J,7,0))</f>
        <v>기능공</v>
      </c>
      <c r="G352" s="72" t="str">
        <f>IF(VLOOKUP($B352,'1. 현장별 인원현황'!$C:$J,8,0)=0,"",VLOOKUP($B352,'1. 현장별 인원현황'!$C:$J,8,0))</f>
        <v>전공</v>
      </c>
      <c r="H352" s="67" t="s">
        <v>69</v>
      </c>
      <c r="I352" s="73"/>
      <c r="J352" s="73"/>
      <c r="K352" s="68"/>
      <c r="L352" s="67" t="s">
        <v>69</v>
      </c>
      <c r="M352" s="73"/>
      <c r="N352" s="73"/>
      <c r="O352" s="68"/>
      <c r="P352" s="67" t="s">
        <v>69</v>
      </c>
      <c r="Q352" s="73"/>
      <c r="R352" s="73"/>
      <c r="S352" s="68"/>
      <c r="T352" s="67" t="s">
        <v>69</v>
      </c>
      <c r="U352" s="73"/>
      <c r="V352" s="73"/>
      <c r="W352" s="68"/>
      <c r="X352" s="67" t="s">
        <v>69</v>
      </c>
      <c r="Y352" s="73"/>
      <c r="Z352" s="73"/>
      <c r="AA352" s="68"/>
      <c r="AB352" s="67" t="s">
        <v>69</v>
      </c>
      <c r="AC352" s="73"/>
      <c r="AD352" s="73"/>
      <c r="AE352" s="68"/>
      <c r="AF352" s="67" t="s">
        <v>69</v>
      </c>
      <c r="AG352" s="73"/>
      <c r="AH352" s="73"/>
      <c r="AI352" s="68"/>
      <c r="AJ352" s="67" t="s">
        <v>69</v>
      </c>
      <c r="AK352" s="73"/>
      <c r="AL352" s="73"/>
      <c r="AM352" s="68"/>
      <c r="AN352" s="67">
        <f t="shared" si="343"/>
        <v>100</v>
      </c>
      <c r="AO352" s="68" t="str">
        <f t="shared" si="344"/>
        <v>S</v>
      </c>
      <c r="AR352" s="49">
        <f t="shared" si="41"/>
        <v>1</v>
      </c>
      <c r="AS352" s="49">
        <f t="shared" si="42"/>
        <v>0</v>
      </c>
      <c r="AT352" s="49">
        <f t="shared" si="43"/>
        <v>0</v>
      </c>
      <c r="AU352" s="49">
        <f t="shared" si="44"/>
        <v>0</v>
      </c>
      <c r="AV352" s="49">
        <f t="shared" si="45"/>
        <v>1</v>
      </c>
      <c r="AW352" s="49">
        <f t="shared" si="46"/>
        <v>0</v>
      </c>
      <c r="AX352" s="49">
        <f t="shared" si="47"/>
        <v>0</v>
      </c>
      <c r="AY352" s="49">
        <f t="shared" si="48"/>
        <v>0</v>
      </c>
      <c r="AZ352" s="49">
        <f t="shared" si="49"/>
        <v>1</v>
      </c>
      <c r="BA352" s="49">
        <f t="shared" si="50"/>
        <v>0</v>
      </c>
      <c r="BB352" s="49">
        <f t="shared" si="51"/>
        <v>0</v>
      </c>
      <c r="BC352" s="49">
        <f t="shared" si="52"/>
        <v>0</v>
      </c>
      <c r="BD352" s="49">
        <f t="shared" si="53"/>
        <v>1</v>
      </c>
      <c r="BE352" s="49">
        <f t="shared" si="54"/>
        <v>0</v>
      </c>
      <c r="BF352" s="49">
        <f t="shared" si="55"/>
        <v>0</v>
      </c>
      <c r="BG352" s="49">
        <f t="shared" si="56"/>
        <v>0</v>
      </c>
      <c r="BH352" s="49">
        <f t="shared" si="57"/>
        <v>1</v>
      </c>
      <c r="BI352" s="49">
        <f t="shared" si="58"/>
        <v>0</v>
      </c>
      <c r="BJ352" s="49">
        <f t="shared" si="59"/>
        <v>0</v>
      </c>
      <c r="BK352" s="49">
        <f t="shared" si="60"/>
        <v>0</v>
      </c>
      <c r="BL352" s="49">
        <f t="shared" si="61"/>
        <v>1</v>
      </c>
      <c r="BM352" s="49">
        <f t="shared" si="62"/>
        <v>0</v>
      </c>
      <c r="BN352" s="49">
        <f t="shared" si="63"/>
        <v>0</v>
      </c>
      <c r="BO352" s="49">
        <f t="shared" si="64"/>
        <v>0</v>
      </c>
      <c r="BP352" s="49">
        <f t="shared" si="65"/>
        <v>1</v>
      </c>
      <c r="BQ352" s="49">
        <f t="shared" si="66"/>
        <v>0</v>
      </c>
      <c r="BR352" s="49">
        <f t="shared" si="67"/>
        <v>0</v>
      </c>
      <c r="BS352" s="49">
        <f t="shared" si="68"/>
        <v>0</v>
      </c>
      <c r="BT352" s="49">
        <f t="shared" si="69"/>
        <v>1</v>
      </c>
      <c r="BU352" s="49">
        <f t="shared" si="70"/>
        <v>0</v>
      </c>
      <c r="BV352" s="49">
        <f t="shared" si="71"/>
        <v>0</v>
      </c>
      <c r="BW352" s="49">
        <f t="shared" si="72"/>
        <v>0</v>
      </c>
    </row>
    <row r="353" spans="1:75" ht="35.1" customHeight="1" x14ac:dyDescent="0.3">
      <c r="A353" s="123" t="str">
        <f t="shared" si="341"/>
        <v>3팀</v>
      </c>
      <c r="B353" s="69">
        <f t="shared" si="342"/>
        <v>347</v>
      </c>
      <c r="C353" s="121" t="str">
        <f>IF(VLOOKUP($B353,'1. 현장별 인원현황'!$C:$J,2,0)=0,"",VLOOKUP($B353,'1. 현장별 인원현황'!$C:$J,2,0))</f>
        <v xml:space="preserve"> [3.쿠팡] GYS 2FC(경산) 전기공사</v>
      </c>
      <c r="D353" s="74" t="str">
        <f>IF(VLOOKUP($B353,'1. 현장별 인원현황'!$C:$J,3,0)=0,"",VLOOKUP($B353,'1. 현장별 인원현황'!$C:$J,3,0))</f>
        <v>김선권</v>
      </c>
      <c r="E353" s="74" t="str">
        <f ca="1">IF(VLOOKUP($B353,'1. 현장별 인원현황'!$C:$J,4,0)=0,"",VLOOKUP($B353,'1. 현장별 인원현황'!$C:$J,4,0))</f>
        <v>56세</v>
      </c>
      <c r="F353" s="70" t="str">
        <f>IF(VLOOKUP($B353,'1. 현장별 인원현황'!$C:$J,7,0)=0,"",VLOOKUP($B353,'1. 현장별 인원현황'!$C:$J,7,0))</f>
        <v>기능공</v>
      </c>
      <c r="G353" s="72" t="str">
        <f>IF(VLOOKUP($B353,'1. 현장별 인원현황'!$C:$J,8,0)=0,"",VLOOKUP($B353,'1. 현장별 인원현황'!$C:$J,8,0))</f>
        <v>전공</v>
      </c>
      <c r="H353" s="67" t="s">
        <v>69</v>
      </c>
      <c r="I353" s="73"/>
      <c r="J353" s="73"/>
      <c r="K353" s="68"/>
      <c r="L353" s="67" t="s">
        <v>69</v>
      </c>
      <c r="M353" s="73"/>
      <c r="N353" s="73"/>
      <c r="O353" s="68"/>
      <c r="P353" s="67" t="s">
        <v>69</v>
      </c>
      <c r="Q353" s="73"/>
      <c r="R353" s="73"/>
      <c r="S353" s="68"/>
      <c r="T353" s="67" t="s">
        <v>69</v>
      </c>
      <c r="U353" s="73"/>
      <c r="V353" s="73"/>
      <c r="W353" s="68"/>
      <c r="X353" s="67" t="s">
        <v>69</v>
      </c>
      <c r="Y353" s="73"/>
      <c r="Z353" s="73"/>
      <c r="AA353" s="68"/>
      <c r="AB353" s="67" t="s">
        <v>69</v>
      </c>
      <c r="AC353" s="73"/>
      <c r="AD353" s="73"/>
      <c r="AE353" s="68"/>
      <c r="AF353" s="67" t="s">
        <v>69</v>
      </c>
      <c r="AG353" s="73"/>
      <c r="AH353" s="73"/>
      <c r="AI353" s="68"/>
      <c r="AJ353" s="67" t="s">
        <v>69</v>
      </c>
      <c r="AK353" s="73"/>
      <c r="AL353" s="73"/>
      <c r="AM353" s="68"/>
      <c r="AN353" s="67">
        <f t="shared" si="343"/>
        <v>100</v>
      </c>
      <c r="AO353" s="68" t="str">
        <f t="shared" si="344"/>
        <v>S</v>
      </c>
      <c r="AR353" s="49">
        <f t="shared" si="41"/>
        <v>1</v>
      </c>
      <c r="AS353" s="49">
        <f t="shared" si="42"/>
        <v>0</v>
      </c>
      <c r="AT353" s="49">
        <f t="shared" si="43"/>
        <v>0</v>
      </c>
      <c r="AU353" s="49">
        <f t="shared" si="44"/>
        <v>0</v>
      </c>
      <c r="AV353" s="49">
        <f t="shared" si="45"/>
        <v>1</v>
      </c>
      <c r="AW353" s="49">
        <f t="shared" si="46"/>
        <v>0</v>
      </c>
      <c r="AX353" s="49">
        <f t="shared" si="47"/>
        <v>0</v>
      </c>
      <c r="AY353" s="49">
        <f t="shared" si="48"/>
        <v>0</v>
      </c>
      <c r="AZ353" s="49">
        <f t="shared" si="49"/>
        <v>1</v>
      </c>
      <c r="BA353" s="49">
        <f t="shared" si="50"/>
        <v>0</v>
      </c>
      <c r="BB353" s="49">
        <f t="shared" si="51"/>
        <v>0</v>
      </c>
      <c r="BC353" s="49">
        <f t="shared" si="52"/>
        <v>0</v>
      </c>
      <c r="BD353" s="49">
        <f t="shared" si="53"/>
        <v>1</v>
      </c>
      <c r="BE353" s="49">
        <f t="shared" si="54"/>
        <v>0</v>
      </c>
      <c r="BF353" s="49">
        <f t="shared" si="55"/>
        <v>0</v>
      </c>
      <c r="BG353" s="49">
        <f t="shared" si="56"/>
        <v>0</v>
      </c>
      <c r="BH353" s="49">
        <f t="shared" si="57"/>
        <v>1</v>
      </c>
      <c r="BI353" s="49">
        <f t="shared" si="58"/>
        <v>0</v>
      </c>
      <c r="BJ353" s="49">
        <f t="shared" si="59"/>
        <v>0</v>
      </c>
      <c r="BK353" s="49">
        <f t="shared" si="60"/>
        <v>0</v>
      </c>
      <c r="BL353" s="49">
        <f t="shared" si="61"/>
        <v>1</v>
      </c>
      <c r="BM353" s="49">
        <f t="shared" si="62"/>
        <v>0</v>
      </c>
      <c r="BN353" s="49">
        <f t="shared" si="63"/>
        <v>0</v>
      </c>
      <c r="BO353" s="49">
        <f t="shared" si="64"/>
        <v>0</v>
      </c>
      <c r="BP353" s="49">
        <f t="shared" si="65"/>
        <v>1</v>
      </c>
      <c r="BQ353" s="49">
        <f t="shared" si="66"/>
        <v>0</v>
      </c>
      <c r="BR353" s="49">
        <f t="shared" si="67"/>
        <v>0</v>
      </c>
      <c r="BS353" s="49">
        <f t="shared" si="68"/>
        <v>0</v>
      </c>
      <c r="BT353" s="49">
        <f t="shared" si="69"/>
        <v>1</v>
      </c>
      <c r="BU353" s="49">
        <f t="shared" si="70"/>
        <v>0</v>
      </c>
      <c r="BV353" s="49">
        <f t="shared" si="71"/>
        <v>0</v>
      </c>
      <c r="BW353" s="49">
        <f t="shared" si="72"/>
        <v>0</v>
      </c>
    </row>
    <row r="354" spans="1:75" ht="35.1" customHeight="1" x14ac:dyDescent="0.3">
      <c r="A354" s="123" t="str">
        <f t="shared" si="341"/>
        <v>3팀</v>
      </c>
      <c r="B354" s="69">
        <f t="shared" si="342"/>
        <v>348</v>
      </c>
      <c r="C354" s="121" t="str">
        <f>IF(VLOOKUP($B354,'1. 현장별 인원현황'!$C:$J,2,0)=0,"",VLOOKUP($B354,'1. 현장별 인원현황'!$C:$J,2,0))</f>
        <v xml:space="preserve"> [3.쿠팡] GYS 2FC(경산) 전기공사</v>
      </c>
      <c r="D354" s="74" t="str">
        <f>IF(VLOOKUP($B354,'1. 현장별 인원현황'!$C:$J,3,0)=0,"",VLOOKUP($B354,'1. 현장별 인원현황'!$C:$J,3,0))</f>
        <v>김용백</v>
      </c>
      <c r="E354" s="74" t="str">
        <f ca="1">IF(VLOOKUP($B354,'1. 현장별 인원현황'!$C:$J,4,0)=0,"",VLOOKUP($B354,'1. 현장별 인원현황'!$C:$J,4,0))</f>
        <v>65세</v>
      </c>
      <c r="F354" s="70" t="str">
        <f>IF(VLOOKUP($B354,'1. 현장별 인원현황'!$C:$J,7,0)=0,"",VLOOKUP($B354,'1. 현장별 인원현황'!$C:$J,7,0))</f>
        <v>기능공</v>
      </c>
      <c r="G354" s="72" t="str">
        <f>IF(VLOOKUP($B354,'1. 현장별 인원현황'!$C:$J,8,0)=0,"",VLOOKUP($B354,'1. 현장별 인원현황'!$C:$J,8,0))</f>
        <v>전공</v>
      </c>
      <c r="H354" s="67" t="s">
        <v>69</v>
      </c>
      <c r="I354" s="73"/>
      <c r="J354" s="73"/>
      <c r="K354" s="68"/>
      <c r="L354" s="67" t="s">
        <v>69</v>
      </c>
      <c r="M354" s="73"/>
      <c r="N354" s="73"/>
      <c r="O354" s="68"/>
      <c r="P354" s="67" t="s">
        <v>69</v>
      </c>
      <c r="Q354" s="73"/>
      <c r="R354" s="73"/>
      <c r="S354" s="68"/>
      <c r="T354" s="67" t="s">
        <v>69</v>
      </c>
      <c r="U354" s="73"/>
      <c r="V354" s="73"/>
      <c r="W354" s="68"/>
      <c r="X354" s="67" t="s">
        <v>69</v>
      </c>
      <c r="Y354" s="73"/>
      <c r="Z354" s="73"/>
      <c r="AA354" s="68"/>
      <c r="AB354" s="67" t="s">
        <v>69</v>
      </c>
      <c r="AC354" s="73"/>
      <c r="AD354" s="73"/>
      <c r="AE354" s="68"/>
      <c r="AF354" s="67" t="s">
        <v>69</v>
      </c>
      <c r="AG354" s="73"/>
      <c r="AH354" s="73"/>
      <c r="AI354" s="68"/>
      <c r="AJ354" s="67" t="s">
        <v>69</v>
      </c>
      <c r="AK354" s="73"/>
      <c r="AL354" s="73"/>
      <c r="AM354" s="68"/>
      <c r="AN354" s="67">
        <f t="shared" si="343"/>
        <v>100</v>
      </c>
      <c r="AO354" s="68" t="str">
        <f t="shared" si="344"/>
        <v>S</v>
      </c>
      <c r="AR354" s="49">
        <f t="shared" si="41"/>
        <v>1</v>
      </c>
      <c r="AS354" s="49">
        <f t="shared" si="42"/>
        <v>0</v>
      </c>
      <c r="AT354" s="49">
        <f t="shared" si="43"/>
        <v>0</v>
      </c>
      <c r="AU354" s="49">
        <f t="shared" si="44"/>
        <v>0</v>
      </c>
      <c r="AV354" s="49">
        <f t="shared" si="45"/>
        <v>1</v>
      </c>
      <c r="AW354" s="49">
        <f t="shared" si="46"/>
        <v>0</v>
      </c>
      <c r="AX354" s="49">
        <f t="shared" si="47"/>
        <v>0</v>
      </c>
      <c r="AY354" s="49">
        <f t="shared" si="48"/>
        <v>0</v>
      </c>
      <c r="AZ354" s="49">
        <f t="shared" si="49"/>
        <v>1</v>
      </c>
      <c r="BA354" s="49">
        <f t="shared" si="50"/>
        <v>0</v>
      </c>
      <c r="BB354" s="49">
        <f t="shared" si="51"/>
        <v>0</v>
      </c>
      <c r="BC354" s="49">
        <f t="shared" si="52"/>
        <v>0</v>
      </c>
      <c r="BD354" s="49">
        <f t="shared" si="53"/>
        <v>1</v>
      </c>
      <c r="BE354" s="49">
        <f t="shared" si="54"/>
        <v>0</v>
      </c>
      <c r="BF354" s="49">
        <f t="shared" si="55"/>
        <v>0</v>
      </c>
      <c r="BG354" s="49">
        <f t="shared" si="56"/>
        <v>0</v>
      </c>
      <c r="BH354" s="49">
        <f t="shared" si="57"/>
        <v>1</v>
      </c>
      <c r="BI354" s="49">
        <f t="shared" si="58"/>
        <v>0</v>
      </c>
      <c r="BJ354" s="49">
        <f t="shared" si="59"/>
        <v>0</v>
      </c>
      <c r="BK354" s="49">
        <f t="shared" si="60"/>
        <v>0</v>
      </c>
      <c r="BL354" s="49">
        <f t="shared" si="61"/>
        <v>1</v>
      </c>
      <c r="BM354" s="49">
        <f t="shared" si="62"/>
        <v>0</v>
      </c>
      <c r="BN354" s="49">
        <f t="shared" si="63"/>
        <v>0</v>
      </c>
      <c r="BO354" s="49">
        <f t="shared" si="64"/>
        <v>0</v>
      </c>
      <c r="BP354" s="49">
        <f t="shared" si="65"/>
        <v>1</v>
      </c>
      <c r="BQ354" s="49">
        <f t="shared" si="66"/>
        <v>0</v>
      </c>
      <c r="BR354" s="49">
        <f t="shared" si="67"/>
        <v>0</v>
      </c>
      <c r="BS354" s="49">
        <f t="shared" si="68"/>
        <v>0</v>
      </c>
      <c r="BT354" s="49">
        <f t="shared" si="69"/>
        <v>1</v>
      </c>
      <c r="BU354" s="49">
        <f t="shared" si="70"/>
        <v>0</v>
      </c>
      <c r="BV354" s="49">
        <f t="shared" si="71"/>
        <v>0</v>
      </c>
      <c r="BW354" s="49">
        <f t="shared" si="72"/>
        <v>0</v>
      </c>
    </row>
    <row r="355" spans="1:75" ht="35.1" customHeight="1" x14ac:dyDescent="0.3">
      <c r="A355" s="123" t="str">
        <f t="shared" si="341"/>
        <v>3팀</v>
      </c>
      <c r="B355" s="69">
        <f t="shared" si="342"/>
        <v>349</v>
      </c>
      <c r="C355" s="121" t="str">
        <f>IF(VLOOKUP($B355,'1. 현장별 인원현황'!$C:$J,2,0)=0,"",VLOOKUP($B355,'1. 현장별 인원현황'!$C:$J,2,0))</f>
        <v xml:space="preserve"> [3.쿠팡] GYS 2FC(경산) 전기공사</v>
      </c>
      <c r="D355" s="74" t="str">
        <f>IF(VLOOKUP($B355,'1. 현장별 인원현황'!$C:$J,3,0)=0,"",VLOOKUP($B355,'1. 현장별 인원현황'!$C:$J,3,0))</f>
        <v>김지훈</v>
      </c>
      <c r="E355" s="74" t="str">
        <f ca="1">IF(VLOOKUP($B355,'1. 현장별 인원현황'!$C:$J,4,0)=0,"",VLOOKUP($B355,'1. 현장별 인원현황'!$C:$J,4,0))</f>
        <v>41세</v>
      </c>
      <c r="F355" s="70" t="str">
        <f>IF(VLOOKUP($B355,'1. 현장별 인원현황'!$C:$J,7,0)=0,"",VLOOKUP($B355,'1. 현장별 인원현황'!$C:$J,7,0))</f>
        <v>기능공</v>
      </c>
      <c r="G355" s="72" t="str">
        <f>IF(VLOOKUP($B355,'1. 현장별 인원현황'!$C:$J,8,0)=0,"",VLOOKUP($B355,'1. 현장별 인원현황'!$C:$J,8,0))</f>
        <v>전공</v>
      </c>
      <c r="H355" s="67" t="s">
        <v>69</v>
      </c>
      <c r="I355" s="73"/>
      <c r="J355" s="73"/>
      <c r="K355" s="68"/>
      <c r="L355" s="67" t="s">
        <v>69</v>
      </c>
      <c r="M355" s="73"/>
      <c r="N355" s="73"/>
      <c r="O355" s="68"/>
      <c r="P355" s="67" t="s">
        <v>69</v>
      </c>
      <c r="Q355" s="73"/>
      <c r="R355" s="73"/>
      <c r="S355" s="68"/>
      <c r="T355" s="67" t="s">
        <v>69</v>
      </c>
      <c r="U355" s="73"/>
      <c r="V355" s="73"/>
      <c r="W355" s="68"/>
      <c r="X355" s="67" t="s">
        <v>69</v>
      </c>
      <c r="Y355" s="73"/>
      <c r="Z355" s="73"/>
      <c r="AA355" s="68"/>
      <c r="AB355" s="67" t="s">
        <v>69</v>
      </c>
      <c r="AC355" s="73"/>
      <c r="AD355" s="73"/>
      <c r="AE355" s="68"/>
      <c r="AF355" s="67" t="s">
        <v>69</v>
      </c>
      <c r="AG355" s="73"/>
      <c r="AH355" s="73"/>
      <c r="AI355" s="68"/>
      <c r="AJ355" s="67" t="s">
        <v>69</v>
      </c>
      <c r="AK355" s="73"/>
      <c r="AL355" s="73"/>
      <c r="AM355" s="68"/>
      <c r="AN355" s="67">
        <f t="shared" si="343"/>
        <v>100</v>
      </c>
      <c r="AO355" s="68" t="str">
        <f t="shared" si="344"/>
        <v>S</v>
      </c>
      <c r="AR355" s="49">
        <f t="shared" si="41"/>
        <v>1</v>
      </c>
      <c r="AS355" s="49">
        <f t="shared" si="42"/>
        <v>0</v>
      </c>
      <c r="AT355" s="49">
        <f t="shared" si="43"/>
        <v>0</v>
      </c>
      <c r="AU355" s="49">
        <f t="shared" si="44"/>
        <v>0</v>
      </c>
      <c r="AV355" s="49">
        <f t="shared" si="45"/>
        <v>1</v>
      </c>
      <c r="AW355" s="49">
        <f t="shared" si="46"/>
        <v>0</v>
      </c>
      <c r="AX355" s="49">
        <f t="shared" si="47"/>
        <v>0</v>
      </c>
      <c r="AY355" s="49">
        <f t="shared" si="48"/>
        <v>0</v>
      </c>
      <c r="AZ355" s="49">
        <f t="shared" si="49"/>
        <v>1</v>
      </c>
      <c r="BA355" s="49">
        <f t="shared" si="50"/>
        <v>0</v>
      </c>
      <c r="BB355" s="49">
        <f t="shared" si="51"/>
        <v>0</v>
      </c>
      <c r="BC355" s="49">
        <f t="shared" si="52"/>
        <v>0</v>
      </c>
      <c r="BD355" s="49">
        <f t="shared" si="53"/>
        <v>1</v>
      </c>
      <c r="BE355" s="49">
        <f t="shared" si="54"/>
        <v>0</v>
      </c>
      <c r="BF355" s="49">
        <f t="shared" si="55"/>
        <v>0</v>
      </c>
      <c r="BG355" s="49">
        <f t="shared" si="56"/>
        <v>0</v>
      </c>
      <c r="BH355" s="49">
        <f t="shared" si="57"/>
        <v>1</v>
      </c>
      <c r="BI355" s="49">
        <f t="shared" si="58"/>
        <v>0</v>
      </c>
      <c r="BJ355" s="49">
        <f t="shared" si="59"/>
        <v>0</v>
      </c>
      <c r="BK355" s="49">
        <f t="shared" si="60"/>
        <v>0</v>
      </c>
      <c r="BL355" s="49">
        <f t="shared" si="61"/>
        <v>1</v>
      </c>
      <c r="BM355" s="49">
        <f t="shared" si="62"/>
        <v>0</v>
      </c>
      <c r="BN355" s="49">
        <f t="shared" si="63"/>
        <v>0</v>
      </c>
      <c r="BO355" s="49">
        <f t="shared" si="64"/>
        <v>0</v>
      </c>
      <c r="BP355" s="49">
        <f t="shared" si="65"/>
        <v>1</v>
      </c>
      <c r="BQ355" s="49">
        <f t="shared" si="66"/>
        <v>0</v>
      </c>
      <c r="BR355" s="49">
        <f t="shared" si="67"/>
        <v>0</v>
      </c>
      <c r="BS355" s="49">
        <f t="shared" si="68"/>
        <v>0</v>
      </c>
      <c r="BT355" s="49">
        <f t="shared" si="69"/>
        <v>1</v>
      </c>
      <c r="BU355" s="49">
        <f t="shared" si="70"/>
        <v>0</v>
      </c>
      <c r="BV355" s="49">
        <f t="shared" si="71"/>
        <v>0</v>
      </c>
      <c r="BW355" s="49">
        <f t="shared" si="72"/>
        <v>0</v>
      </c>
    </row>
    <row r="356" spans="1:75" ht="35.1" customHeight="1" x14ac:dyDescent="0.3">
      <c r="A356" s="123" t="str">
        <f t="shared" si="341"/>
        <v>3팀</v>
      </c>
      <c r="B356" s="69">
        <f t="shared" si="342"/>
        <v>350</v>
      </c>
      <c r="C356" s="121" t="str">
        <f>IF(VLOOKUP($B356,'1. 현장별 인원현황'!$C:$J,2,0)=0,"",VLOOKUP($B356,'1. 현장별 인원현황'!$C:$J,2,0))</f>
        <v xml:space="preserve"> [3.쿠팡] GYS 2FC(경산) 전기공사</v>
      </c>
      <c r="D356" s="74" t="str">
        <f>IF(VLOOKUP($B356,'1. 현장별 인원현황'!$C:$J,3,0)=0,"",VLOOKUP($B356,'1. 현장별 인원현황'!$C:$J,3,0))</f>
        <v>박노진</v>
      </c>
      <c r="E356" s="74" t="str">
        <f ca="1">IF(VLOOKUP($B356,'1. 현장별 인원현황'!$C:$J,4,0)=0,"",VLOOKUP($B356,'1. 현장별 인원현황'!$C:$J,4,0))</f>
        <v>55세</v>
      </c>
      <c r="F356" s="70" t="str">
        <f>IF(VLOOKUP($B356,'1. 현장별 인원현황'!$C:$J,7,0)=0,"",VLOOKUP($B356,'1. 현장별 인원현황'!$C:$J,7,0))</f>
        <v>기능공</v>
      </c>
      <c r="G356" s="72" t="str">
        <f>IF(VLOOKUP($B356,'1. 현장별 인원현황'!$C:$J,8,0)=0,"",VLOOKUP($B356,'1. 현장별 인원현황'!$C:$J,8,0))</f>
        <v>전공</v>
      </c>
      <c r="H356" s="67" t="s">
        <v>69</v>
      </c>
      <c r="I356" s="73"/>
      <c r="J356" s="73"/>
      <c r="K356" s="68"/>
      <c r="L356" s="67" t="s">
        <v>69</v>
      </c>
      <c r="M356" s="73"/>
      <c r="N356" s="73"/>
      <c r="O356" s="68"/>
      <c r="P356" s="67" t="s">
        <v>69</v>
      </c>
      <c r="Q356" s="73"/>
      <c r="R356" s="73"/>
      <c r="S356" s="68"/>
      <c r="T356" s="67" t="s">
        <v>69</v>
      </c>
      <c r="U356" s="73"/>
      <c r="V356" s="73"/>
      <c r="W356" s="68"/>
      <c r="X356" s="67" t="s">
        <v>69</v>
      </c>
      <c r="Y356" s="73"/>
      <c r="Z356" s="73"/>
      <c r="AA356" s="68"/>
      <c r="AB356" s="67" t="s">
        <v>69</v>
      </c>
      <c r="AC356" s="73"/>
      <c r="AD356" s="73"/>
      <c r="AE356" s="68"/>
      <c r="AF356" s="67" t="s">
        <v>69</v>
      </c>
      <c r="AG356" s="73"/>
      <c r="AH356" s="73"/>
      <c r="AI356" s="68"/>
      <c r="AJ356" s="67" t="s">
        <v>69</v>
      </c>
      <c r="AK356" s="73"/>
      <c r="AL356" s="73"/>
      <c r="AM356" s="68"/>
      <c r="AN356" s="67">
        <f t="shared" si="343"/>
        <v>100</v>
      </c>
      <c r="AO356" s="68" t="str">
        <f t="shared" si="344"/>
        <v>S</v>
      </c>
      <c r="AR356" s="49">
        <f t="shared" ref="AR356:AR371" si="345">IF(H356&gt;0,1,0)</f>
        <v>1</v>
      </c>
      <c r="AS356" s="49">
        <f t="shared" ref="AS356:AS371" si="346">IF(I356&gt;0,1,0)</f>
        <v>0</v>
      </c>
      <c r="AT356" s="49">
        <f t="shared" ref="AT356:AT371" si="347">IF(J356&gt;0,1,0)</f>
        <v>0</v>
      </c>
      <c r="AU356" s="49">
        <f t="shared" ref="AU356:AU371" si="348">IF(K356&gt;0,1,0)</f>
        <v>0</v>
      </c>
      <c r="AV356" s="49">
        <f t="shared" ref="AV356:AV371" si="349">IF(L356&gt;0,1,0)</f>
        <v>1</v>
      </c>
      <c r="AW356" s="49">
        <f t="shared" ref="AW356:AW371" si="350">IF(M356&gt;0,1,0)</f>
        <v>0</v>
      </c>
      <c r="AX356" s="49">
        <f t="shared" ref="AX356:AX371" si="351">IF(N356&gt;0,1,0)</f>
        <v>0</v>
      </c>
      <c r="AY356" s="49">
        <f t="shared" ref="AY356:AY371" si="352">IF(O356&gt;0,1,0)</f>
        <v>0</v>
      </c>
      <c r="AZ356" s="49">
        <f t="shared" ref="AZ356:AZ371" si="353">IF(P356&gt;0,1,0)</f>
        <v>1</v>
      </c>
      <c r="BA356" s="49">
        <f t="shared" ref="BA356:BA371" si="354">IF(Q356&gt;0,1,0)</f>
        <v>0</v>
      </c>
      <c r="BB356" s="49">
        <f t="shared" ref="BB356:BB371" si="355">IF(R356&gt;0,1,0)</f>
        <v>0</v>
      </c>
      <c r="BC356" s="49">
        <f t="shared" ref="BC356:BC371" si="356">IF(S356&gt;0,1,0)</f>
        <v>0</v>
      </c>
      <c r="BD356" s="49">
        <f t="shared" ref="BD356:BD371" si="357">IF(T356&gt;0,1,0)</f>
        <v>1</v>
      </c>
      <c r="BE356" s="49">
        <f t="shared" ref="BE356:BE371" si="358">IF(U356&gt;0,1,0)</f>
        <v>0</v>
      </c>
      <c r="BF356" s="49">
        <f t="shared" ref="BF356:BF371" si="359">IF(V356&gt;0,1,0)</f>
        <v>0</v>
      </c>
      <c r="BG356" s="49">
        <f t="shared" ref="BG356:BG371" si="360">IF(W356&gt;0,1,0)</f>
        <v>0</v>
      </c>
      <c r="BH356" s="49">
        <f t="shared" ref="BH356:BH371" si="361">IF(X356&gt;0,1,0)</f>
        <v>1</v>
      </c>
      <c r="BI356" s="49">
        <f t="shared" ref="BI356:BI371" si="362">IF(Y356&gt;0,1,0)</f>
        <v>0</v>
      </c>
      <c r="BJ356" s="49">
        <f t="shared" ref="BJ356:BJ371" si="363">IF(Z356&gt;0,1,0)</f>
        <v>0</v>
      </c>
      <c r="BK356" s="49">
        <f t="shared" ref="BK356:BK371" si="364">IF(AA356&gt;0,1,0)</f>
        <v>0</v>
      </c>
      <c r="BL356" s="49">
        <f t="shared" ref="BL356:BL371" si="365">IF(AB356&gt;0,1,0)</f>
        <v>1</v>
      </c>
      <c r="BM356" s="49">
        <f t="shared" ref="BM356:BM371" si="366">IF(AC356&gt;0,1,0)</f>
        <v>0</v>
      </c>
      <c r="BN356" s="49">
        <f t="shared" ref="BN356:BN371" si="367">IF(AD356&gt;0,1,0)</f>
        <v>0</v>
      </c>
      <c r="BO356" s="49">
        <f t="shared" ref="BO356:BO371" si="368">IF(AE356&gt;0,1,0)</f>
        <v>0</v>
      </c>
      <c r="BP356" s="49">
        <f t="shared" ref="BP356:BP371" si="369">IF(AF356&gt;0,1,0)</f>
        <v>1</v>
      </c>
      <c r="BQ356" s="49">
        <f t="shared" ref="BQ356:BQ371" si="370">IF(AG356&gt;0,1,0)</f>
        <v>0</v>
      </c>
      <c r="BR356" s="49">
        <f t="shared" ref="BR356:BR371" si="371">IF(AH356&gt;0,1,0)</f>
        <v>0</v>
      </c>
      <c r="BS356" s="49">
        <f t="shared" ref="BS356:BS371" si="372">IF(AI356&gt;0,1,0)</f>
        <v>0</v>
      </c>
      <c r="BT356" s="49">
        <f t="shared" ref="BT356:BT371" si="373">IF(AJ356&gt;0,1,0)</f>
        <v>1</v>
      </c>
      <c r="BU356" s="49">
        <f t="shared" ref="BU356:BU371" si="374">IF(AK356&gt;0,1,0)</f>
        <v>0</v>
      </c>
      <c r="BV356" s="49">
        <f t="shared" ref="BV356:BV371" si="375">IF(AL356&gt;0,1,0)</f>
        <v>0</v>
      </c>
      <c r="BW356" s="49">
        <f t="shared" ref="BW356:BW371" si="376">IF(AM356&gt;0,1,0)</f>
        <v>0</v>
      </c>
    </row>
    <row r="357" spans="1:75" ht="35.1" customHeight="1" x14ac:dyDescent="0.3">
      <c r="A357" s="123" t="str">
        <f t="shared" si="341"/>
        <v>3팀</v>
      </c>
      <c r="B357" s="69">
        <f t="shared" si="342"/>
        <v>351</v>
      </c>
      <c r="C357" s="121" t="str">
        <f>IF(VLOOKUP($B357,'1. 현장별 인원현황'!$C:$J,2,0)=0,"",VLOOKUP($B357,'1. 현장별 인원현황'!$C:$J,2,0))</f>
        <v xml:space="preserve"> [3.쿠팡] GYS 2FC(경산) 전기공사</v>
      </c>
      <c r="D357" s="74" t="str">
        <f>IF(VLOOKUP($B357,'1. 현장별 인원현황'!$C:$J,3,0)=0,"",VLOOKUP($B357,'1. 현장별 인원현황'!$C:$J,3,0))</f>
        <v>이창훈</v>
      </c>
      <c r="E357" s="74" t="str">
        <f ca="1">IF(VLOOKUP($B357,'1. 현장별 인원현황'!$C:$J,4,0)=0,"",VLOOKUP($B357,'1. 현장별 인원현황'!$C:$J,4,0))</f>
        <v>60세</v>
      </c>
      <c r="F357" s="70" t="str">
        <f>IF(VLOOKUP($B357,'1. 현장별 인원현황'!$C:$J,7,0)=0,"",VLOOKUP($B357,'1. 현장별 인원현황'!$C:$J,7,0))</f>
        <v>기능공</v>
      </c>
      <c r="G357" s="72" t="str">
        <f>IF(VLOOKUP($B357,'1. 현장별 인원현황'!$C:$J,8,0)=0,"",VLOOKUP($B357,'1. 현장별 인원현황'!$C:$J,8,0))</f>
        <v>전공</v>
      </c>
      <c r="H357" s="67" t="s">
        <v>69</v>
      </c>
      <c r="I357" s="73"/>
      <c r="J357" s="73"/>
      <c r="K357" s="68"/>
      <c r="L357" s="67" t="s">
        <v>69</v>
      </c>
      <c r="M357" s="73"/>
      <c r="N357" s="73"/>
      <c r="O357" s="68"/>
      <c r="P357" s="67" t="s">
        <v>69</v>
      </c>
      <c r="Q357" s="73"/>
      <c r="R357" s="73"/>
      <c r="S357" s="68"/>
      <c r="T357" s="67" t="s">
        <v>69</v>
      </c>
      <c r="U357" s="73"/>
      <c r="V357" s="73"/>
      <c r="W357" s="68"/>
      <c r="X357" s="67" t="s">
        <v>69</v>
      </c>
      <c r="Y357" s="73"/>
      <c r="Z357" s="73"/>
      <c r="AA357" s="68"/>
      <c r="AB357" s="67" t="s">
        <v>69</v>
      </c>
      <c r="AC357" s="73"/>
      <c r="AD357" s="73"/>
      <c r="AE357" s="68"/>
      <c r="AF357" s="67" t="s">
        <v>69</v>
      </c>
      <c r="AG357" s="73"/>
      <c r="AH357" s="73"/>
      <c r="AI357" s="68"/>
      <c r="AJ357" s="67" t="s">
        <v>69</v>
      </c>
      <c r="AK357" s="73"/>
      <c r="AL357" s="73"/>
      <c r="AM357" s="68"/>
      <c r="AN357" s="67">
        <f t="shared" si="343"/>
        <v>100</v>
      </c>
      <c r="AO357" s="68" t="str">
        <f t="shared" si="344"/>
        <v>S</v>
      </c>
      <c r="AR357" s="49">
        <f t="shared" si="345"/>
        <v>1</v>
      </c>
      <c r="AS357" s="49">
        <f t="shared" si="346"/>
        <v>0</v>
      </c>
      <c r="AT357" s="49">
        <f t="shared" si="347"/>
        <v>0</v>
      </c>
      <c r="AU357" s="49">
        <f t="shared" si="348"/>
        <v>0</v>
      </c>
      <c r="AV357" s="49">
        <f t="shared" si="349"/>
        <v>1</v>
      </c>
      <c r="AW357" s="49">
        <f t="shared" si="350"/>
        <v>0</v>
      </c>
      <c r="AX357" s="49">
        <f t="shared" si="351"/>
        <v>0</v>
      </c>
      <c r="AY357" s="49">
        <f t="shared" si="352"/>
        <v>0</v>
      </c>
      <c r="AZ357" s="49">
        <f t="shared" si="353"/>
        <v>1</v>
      </c>
      <c r="BA357" s="49">
        <f t="shared" si="354"/>
        <v>0</v>
      </c>
      <c r="BB357" s="49">
        <f t="shared" si="355"/>
        <v>0</v>
      </c>
      <c r="BC357" s="49">
        <f t="shared" si="356"/>
        <v>0</v>
      </c>
      <c r="BD357" s="49">
        <f t="shared" si="357"/>
        <v>1</v>
      </c>
      <c r="BE357" s="49">
        <f t="shared" si="358"/>
        <v>0</v>
      </c>
      <c r="BF357" s="49">
        <f t="shared" si="359"/>
        <v>0</v>
      </c>
      <c r="BG357" s="49">
        <f t="shared" si="360"/>
        <v>0</v>
      </c>
      <c r="BH357" s="49">
        <f t="shared" si="361"/>
        <v>1</v>
      </c>
      <c r="BI357" s="49">
        <f t="shared" si="362"/>
        <v>0</v>
      </c>
      <c r="BJ357" s="49">
        <f t="shared" si="363"/>
        <v>0</v>
      </c>
      <c r="BK357" s="49">
        <f t="shared" si="364"/>
        <v>0</v>
      </c>
      <c r="BL357" s="49">
        <f t="shared" si="365"/>
        <v>1</v>
      </c>
      <c r="BM357" s="49">
        <f t="shared" si="366"/>
        <v>0</v>
      </c>
      <c r="BN357" s="49">
        <f t="shared" si="367"/>
        <v>0</v>
      </c>
      <c r="BO357" s="49">
        <f t="shared" si="368"/>
        <v>0</v>
      </c>
      <c r="BP357" s="49">
        <f t="shared" si="369"/>
        <v>1</v>
      </c>
      <c r="BQ357" s="49">
        <f t="shared" si="370"/>
        <v>0</v>
      </c>
      <c r="BR357" s="49">
        <f t="shared" si="371"/>
        <v>0</v>
      </c>
      <c r="BS357" s="49">
        <f t="shared" si="372"/>
        <v>0</v>
      </c>
      <c r="BT357" s="49">
        <f t="shared" si="373"/>
        <v>1</v>
      </c>
      <c r="BU357" s="49">
        <f t="shared" si="374"/>
        <v>0</v>
      </c>
      <c r="BV357" s="49">
        <f t="shared" si="375"/>
        <v>0</v>
      </c>
      <c r="BW357" s="49">
        <f t="shared" si="376"/>
        <v>0</v>
      </c>
    </row>
    <row r="358" spans="1:75" ht="35.1" customHeight="1" x14ac:dyDescent="0.3">
      <c r="A358" s="123" t="str">
        <f t="shared" si="341"/>
        <v>3팀</v>
      </c>
      <c r="B358" s="69">
        <f t="shared" si="342"/>
        <v>352</v>
      </c>
      <c r="C358" s="121" t="str">
        <f>IF(VLOOKUP($B358,'1. 현장별 인원현황'!$C:$J,2,0)=0,"",VLOOKUP($B358,'1. 현장별 인원현황'!$C:$J,2,0))</f>
        <v xml:space="preserve"> [3.쿠팡] GYS 2FC(경산) 전기공사</v>
      </c>
      <c r="D358" s="74" t="str">
        <f>IF(VLOOKUP($B358,'1. 현장별 인원현황'!$C:$J,3,0)=0,"",VLOOKUP($B358,'1. 현장별 인원현황'!$C:$J,3,0))</f>
        <v>이호연</v>
      </c>
      <c r="E358" s="74" t="str">
        <f ca="1">IF(VLOOKUP($B358,'1. 현장별 인원현황'!$C:$J,4,0)=0,"",VLOOKUP($B358,'1. 현장별 인원현황'!$C:$J,4,0))</f>
        <v>50세</v>
      </c>
      <c r="F358" s="70" t="str">
        <f>IF(VLOOKUP($B358,'1. 현장별 인원현황'!$C:$J,7,0)=0,"",VLOOKUP($B358,'1. 현장별 인원현황'!$C:$J,7,0))</f>
        <v>기능공</v>
      </c>
      <c r="G358" s="72" t="str">
        <f>IF(VLOOKUP($B358,'1. 현장별 인원현황'!$C:$J,8,0)=0,"",VLOOKUP($B358,'1. 현장별 인원현황'!$C:$J,8,0))</f>
        <v>전공</v>
      </c>
      <c r="H358" s="67" t="s">
        <v>69</v>
      </c>
      <c r="I358" s="73"/>
      <c r="J358" s="73"/>
      <c r="K358" s="68"/>
      <c r="L358" s="67" t="s">
        <v>69</v>
      </c>
      <c r="M358" s="73"/>
      <c r="N358" s="73"/>
      <c r="O358" s="68"/>
      <c r="P358" s="67" t="s">
        <v>69</v>
      </c>
      <c r="Q358" s="73"/>
      <c r="R358" s="73"/>
      <c r="S358" s="68"/>
      <c r="T358" s="67" t="s">
        <v>69</v>
      </c>
      <c r="U358" s="73"/>
      <c r="V358" s="73"/>
      <c r="W358" s="68"/>
      <c r="X358" s="67" t="s">
        <v>69</v>
      </c>
      <c r="Y358" s="73"/>
      <c r="Z358" s="73"/>
      <c r="AA358" s="68"/>
      <c r="AB358" s="67" t="s">
        <v>69</v>
      </c>
      <c r="AC358" s="73"/>
      <c r="AD358" s="73"/>
      <c r="AE358" s="68"/>
      <c r="AF358" s="67" t="s">
        <v>69</v>
      </c>
      <c r="AG358" s="73"/>
      <c r="AH358" s="73"/>
      <c r="AI358" s="68"/>
      <c r="AJ358" s="67" t="s">
        <v>69</v>
      </c>
      <c r="AK358" s="73"/>
      <c r="AL358" s="73"/>
      <c r="AM358" s="68"/>
      <c r="AN358" s="67">
        <f t="shared" si="343"/>
        <v>100</v>
      </c>
      <c r="AO358" s="68" t="str">
        <f t="shared" si="344"/>
        <v>S</v>
      </c>
      <c r="AR358" s="49">
        <f t="shared" si="345"/>
        <v>1</v>
      </c>
      <c r="AS358" s="49">
        <f t="shared" si="346"/>
        <v>0</v>
      </c>
      <c r="AT358" s="49">
        <f t="shared" si="347"/>
        <v>0</v>
      </c>
      <c r="AU358" s="49">
        <f t="shared" si="348"/>
        <v>0</v>
      </c>
      <c r="AV358" s="49">
        <f t="shared" si="349"/>
        <v>1</v>
      </c>
      <c r="AW358" s="49">
        <f t="shared" si="350"/>
        <v>0</v>
      </c>
      <c r="AX358" s="49">
        <f t="shared" si="351"/>
        <v>0</v>
      </c>
      <c r="AY358" s="49">
        <f t="shared" si="352"/>
        <v>0</v>
      </c>
      <c r="AZ358" s="49">
        <f t="shared" si="353"/>
        <v>1</v>
      </c>
      <c r="BA358" s="49">
        <f t="shared" si="354"/>
        <v>0</v>
      </c>
      <c r="BB358" s="49">
        <f t="shared" si="355"/>
        <v>0</v>
      </c>
      <c r="BC358" s="49">
        <f t="shared" si="356"/>
        <v>0</v>
      </c>
      <c r="BD358" s="49">
        <f t="shared" si="357"/>
        <v>1</v>
      </c>
      <c r="BE358" s="49">
        <f t="shared" si="358"/>
        <v>0</v>
      </c>
      <c r="BF358" s="49">
        <f t="shared" si="359"/>
        <v>0</v>
      </c>
      <c r="BG358" s="49">
        <f t="shared" si="360"/>
        <v>0</v>
      </c>
      <c r="BH358" s="49">
        <f t="shared" si="361"/>
        <v>1</v>
      </c>
      <c r="BI358" s="49">
        <f t="shared" si="362"/>
        <v>0</v>
      </c>
      <c r="BJ358" s="49">
        <f t="shared" si="363"/>
        <v>0</v>
      </c>
      <c r="BK358" s="49">
        <f t="shared" si="364"/>
        <v>0</v>
      </c>
      <c r="BL358" s="49">
        <f t="shared" si="365"/>
        <v>1</v>
      </c>
      <c r="BM358" s="49">
        <f t="shared" si="366"/>
        <v>0</v>
      </c>
      <c r="BN358" s="49">
        <f t="shared" si="367"/>
        <v>0</v>
      </c>
      <c r="BO358" s="49">
        <f t="shared" si="368"/>
        <v>0</v>
      </c>
      <c r="BP358" s="49">
        <f t="shared" si="369"/>
        <v>1</v>
      </c>
      <c r="BQ358" s="49">
        <f t="shared" si="370"/>
        <v>0</v>
      </c>
      <c r="BR358" s="49">
        <f t="shared" si="371"/>
        <v>0</v>
      </c>
      <c r="BS358" s="49">
        <f t="shared" si="372"/>
        <v>0</v>
      </c>
      <c r="BT358" s="49">
        <f t="shared" si="373"/>
        <v>1</v>
      </c>
      <c r="BU358" s="49">
        <f t="shared" si="374"/>
        <v>0</v>
      </c>
      <c r="BV358" s="49">
        <f t="shared" si="375"/>
        <v>0</v>
      </c>
      <c r="BW358" s="49">
        <f t="shared" si="376"/>
        <v>0</v>
      </c>
    </row>
    <row r="359" spans="1:75" ht="35.1" customHeight="1" x14ac:dyDescent="0.3">
      <c r="A359" s="123" t="str">
        <f t="shared" si="341"/>
        <v>3팀</v>
      </c>
      <c r="B359" s="69">
        <f t="shared" si="342"/>
        <v>353</v>
      </c>
      <c r="C359" s="121" t="str">
        <f>IF(VLOOKUP($B359,'1. 현장별 인원현황'!$C:$J,2,0)=0,"",VLOOKUP($B359,'1. 현장별 인원현황'!$C:$J,2,0))</f>
        <v xml:space="preserve"> [3.쿠팡] GYS 2FC(경산) 전기공사</v>
      </c>
      <c r="D359" s="74" t="str">
        <f>IF(VLOOKUP($B359,'1. 현장별 인원현황'!$C:$J,3,0)=0,"",VLOOKUP($B359,'1. 현장별 인원현황'!$C:$J,3,0))</f>
        <v>조용현</v>
      </c>
      <c r="E359" s="74" t="str">
        <f ca="1">IF(VLOOKUP($B359,'1. 현장별 인원현황'!$C:$J,4,0)=0,"",VLOOKUP($B359,'1. 현장별 인원현황'!$C:$J,4,0))</f>
        <v>39세</v>
      </c>
      <c r="F359" s="70" t="str">
        <f>IF(VLOOKUP($B359,'1. 현장별 인원현황'!$C:$J,7,0)=0,"",VLOOKUP($B359,'1. 현장별 인원현황'!$C:$J,7,0))</f>
        <v>기능공</v>
      </c>
      <c r="G359" s="72" t="str">
        <f>IF(VLOOKUP($B359,'1. 현장별 인원현황'!$C:$J,8,0)=0,"",VLOOKUP($B359,'1. 현장별 인원현황'!$C:$J,8,0))</f>
        <v>전공</v>
      </c>
      <c r="H359" s="67" t="s">
        <v>69</v>
      </c>
      <c r="I359" s="73"/>
      <c r="J359" s="73"/>
      <c r="K359" s="68"/>
      <c r="L359" s="67" t="s">
        <v>69</v>
      </c>
      <c r="M359" s="73"/>
      <c r="N359" s="73"/>
      <c r="O359" s="68"/>
      <c r="P359" s="67" t="s">
        <v>69</v>
      </c>
      <c r="Q359" s="73"/>
      <c r="R359" s="73"/>
      <c r="S359" s="68"/>
      <c r="T359" s="67" t="s">
        <v>69</v>
      </c>
      <c r="U359" s="73"/>
      <c r="V359" s="73"/>
      <c r="W359" s="68"/>
      <c r="X359" s="67" t="s">
        <v>69</v>
      </c>
      <c r="Y359" s="73"/>
      <c r="Z359" s="73"/>
      <c r="AA359" s="68"/>
      <c r="AB359" s="67" t="s">
        <v>69</v>
      </c>
      <c r="AC359" s="73"/>
      <c r="AD359" s="73"/>
      <c r="AE359" s="68"/>
      <c r="AF359" s="67" t="s">
        <v>69</v>
      </c>
      <c r="AG359" s="73"/>
      <c r="AH359" s="73"/>
      <c r="AI359" s="68"/>
      <c r="AJ359" s="67" t="s">
        <v>69</v>
      </c>
      <c r="AK359" s="73"/>
      <c r="AL359" s="73"/>
      <c r="AM359" s="68"/>
      <c r="AN359" s="67">
        <f t="shared" si="343"/>
        <v>100</v>
      </c>
      <c r="AO359" s="68" t="str">
        <f t="shared" si="344"/>
        <v>S</v>
      </c>
      <c r="AR359" s="49">
        <f t="shared" si="345"/>
        <v>1</v>
      </c>
      <c r="AS359" s="49">
        <f t="shared" si="346"/>
        <v>0</v>
      </c>
      <c r="AT359" s="49">
        <f t="shared" si="347"/>
        <v>0</v>
      </c>
      <c r="AU359" s="49">
        <f t="shared" si="348"/>
        <v>0</v>
      </c>
      <c r="AV359" s="49">
        <f t="shared" si="349"/>
        <v>1</v>
      </c>
      <c r="AW359" s="49">
        <f t="shared" si="350"/>
        <v>0</v>
      </c>
      <c r="AX359" s="49">
        <f t="shared" si="351"/>
        <v>0</v>
      </c>
      <c r="AY359" s="49">
        <f t="shared" si="352"/>
        <v>0</v>
      </c>
      <c r="AZ359" s="49">
        <f t="shared" si="353"/>
        <v>1</v>
      </c>
      <c r="BA359" s="49">
        <f t="shared" si="354"/>
        <v>0</v>
      </c>
      <c r="BB359" s="49">
        <f t="shared" si="355"/>
        <v>0</v>
      </c>
      <c r="BC359" s="49">
        <f t="shared" si="356"/>
        <v>0</v>
      </c>
      <c r="BD359" s="49">
        <f t="shared" si="357"/>
        <v>1</v>
      </c>
      <c r="BE359" s="49">
        <f t="shared" si="358"/>
        <v>0</v>
      </c>
      <c r="BF359" s="49">
        <f t="shared" si="359"/>
        <v>0</v>
      </c>
      <c r="BG359" s="49">
        <f t="shared" si="360"/>
        <v>0</v>
      </c>
      <c r="BH359" s="49">
        <f t="shared" si="361"/>
        <v>1</v>
      </c>
      <c r="BI359" s="49">
        <f t="shared" si="362"/>
        <v>0</v>
      </c>
      <c r="BJ359" s="49">
        <f t="shared" si="363"/>
        <v>0</v>
      </c>
      <c r="BK359" s="49">
        <f t="shared" si="364"/>
        <v>0</v>
      </c>
      <c r="BL359" s="49">
        <f t="shared" si="365"/>
        <v>1</v>
      </c>
      <c r="BM359" s="49">
        <f t="shared" si="366"/>
        <v>0</v>
      </c>
      <c r="BN359" s="49">
        <f t="shared" si="367"/>
        <v>0</v>
      </c>
      <c r="BO359" s="49">
        <f t="shared" si="368"/>
        <v>0</v>
      </c>
      <c r="BP359" s="49">
        <f t="shared" si="369"/>
        <v>1</v>
      </c>
      <c r="BQ359" s="49">
        <f t="shared" si="370"/>
        <v>0</v>
      </c>
      <c r="BR359" s="49">
        <f t="shared" si="371"/>
        <v>0</v>
      </c>
      <c r="BS359" s="49">
        <f t="shared" si="372"/>
        <v>0</v>
      </c>
      <c r="BT359" s="49">
        <f t="shared" si="373"/>
        <v>1</v>
      </c>
      <c r="BU359" s="49">
        <f t="shared" si="374"/>
        <v>0</v>
      </c>
      <c r="BV359" s="49">
        <f t="shared" si="375"/>
        <v>0</v>
      </c>
      <c r="BW359" s="49">
        <f t="shared" si="376"/>
        <v>0</v>
      </c>
    </row>
    <row r="360" spans="1:75" ht="35.1" customHeight="1" x14ac:dyDescent="0.3">
      <c r="A360" s="123" t="str">
        <f t="shared" si="341"/>
        <v>3팀</v>
      </c>
      <c r="B360" s="69">
        <f t="shared" si="342"/>
        <v>354</v>
      </c>
      <c r="C360" s="121" t="str">
        <f>IF(VLOOKUP($B360,'1. 현장별 인원현황'!$C:$J,2,0)=0,"",VLOOKUP($B360,'1. 현장별 인원현황'!$C:$J,2,0))</f>
        <v xml:space="preserve"> [3.쿠팡] GYS 2FC(경산) 전기공사</v>
      </c>
      <c r="D360" s="74" t="str">
        <f>IF(VLOOKUP($B360,'1. 현장별 인원현황'!$C:$J,3,0)=0,"",VLOOKUP($B360,'1. 현장별 인원현황'!$C:$J,3,0))</f>
        <v>한성귀</v>
      </c>
      <c r="E360" s="74" t="str">
        <f ca="1">IF(VLOOKUP($B360,'1. 현장별 인원현황'!$C:$J,4,0)=0,"",VLOOKUP($B360,'1. 현장별 인원현황'!$C:$J,4,0))</f>
        <v>57세</v>
      </c>
      <c r="F360" s="70" t="str">
        <f>IF(VLOOKUP($B360,'1. 현장별 인원현황'!$C:$J,7,0)=0,"",VLOOKUP($B360,'1. 현장별 인원현황'!$C:$J,7,0))</f>
        <v>기능공</v>
      </c>
      <c r="G360" s="72" t="str">
        <f>IF(VLOOKUP($B360,'1. 현장별 인원현황'!$C:$J,8,0)=0,"",VLOOKUP($B360,'1. 현장별 인원현황'!$C:$J,8,0))</f>
        <v>전공</v>
      </c>
      <c r="H360" s="67" t="s">
        <v>69</v>
      </c>
      <c r="I360" s="73"/>
      <c r="J360" s="73"/>
      <c r="K360" s="68"/>
      <c r="L360" s="67" t="s">
        <v>69</v>
      </c>
      <c r="M360" s="73"/>
      <c r="N360" s="73"/>
      <c r="O360" s="68"/>
      <c r="P360" s="67" t="s">
        <v>69</v>
      </c>
      <c r="Q360" s="73"/>
      <c r="R360" s="73"/>
      <c r="S360" s="68"/>
      <c r="T360" s="67" t="s">
        <v>69</v>
      </c>
      <c r="U360" s="73"/>
      <c r="V360" s="73"/>
      <c r="W360" s="68"/>
      <c r="X360" s="67" t="s">
        <v>69</v>
      </c>
      <c r="Y360" s="73"/>
      <c r="Z360" s="73"/>
      <c r="AA360" s="68"/>
      <c r="AB360" s="67" t="s">
        <v>69</v>
      </c>
      <c r="AC360" s="73"/>
      <c r="AD360" s="73"/>
      <c r="AE360" s="68"/>
      <c r="AF360" s="67" t="s">
        <v>69</v>
      </c>
      <c r="AG360" s="73"/>
      <c r="AH360" s="73"/>
      <c r="AI360" s="68"/>
      <c r="AJ360" s="67" t="s">
        <v>69</v>
      </c>
      <c r="AK360" s="73"/>
      <c r="AL360" s="73"/>
      <c r="AM360" s="68"/>
      <c r="AN360" s="67">
        <f t="shared" si="343"/>
        <v>100</v>
      </c>
      <c r="AO360" s="68" t="str">
        <f t="shared" si="344"/>
        <v>S</v>
      </c>
      <c r="AR360" s="49">
        <f t="shared" si="345"/>
        <v>1</v>
      </c>
      <c r="AS360" s="49">
        <f t="shared" si="346"/>
        <v>0</v>
      </c>
      <c r="AT360" s="49">
        <f t="shared" si="347"/>
        <v>0</v>
      </c>
      <c r="AU360" s="49">
        <f t="shared" si="348"/>
        <v>0</v>
      </c>
      <c r="AV360" s="49">
        <f t="shared" si="349"/>
        <v>1</v>
      </c>
      <c r="AW360" s="49">
        <f t="shared" si="350"/>
        <v>0</v>
      </c>
      <c r="AX360" s="49">
        <f t="shared" si="351"/>
        <v>0</v>
      </c>
      <c r="AY360" s="49">
        <f t="shared" si="352"/>
        <v>0</v>
      </c>
      <c r="AZ360" s="49">
        <f t="shared" si="353"/>
        <v>1</v>
      </c>
      <c r="BA360" s="49">
        <f t="shared" si="354"/>
        <v>0</v>
      </c>
      <c r="BB360" s="49">
        <f t="shared" si="355"/>
        <v>0</v>
      </c>
      <c r="BC360" s="49">
        <f t="shared" si="356"/>
        <v>0</v>
      </c>
      <c r="BD360" s="49">
        <f t="shared" si="357"/>
        <v>1</v>
      </c>
      <c r="BE360" s="49">
        <f t="shared" si="358"/>
        <v>0</v>
      </c>
      <c r="BF360" s="49">
        <f t="shared" si="359"/>
        <v>0</v>
      </c>
      <c r="BG360" s="49">
        <f t="shared" si="360"/>
        <v>0</v>
      </c>
      <c r="BH360" s="49">
        <f t="shared" si="361"/>
        <v>1</v>
      </c>
      <c r="BI360" s="49">
        <f t="shared" si="362"/>
        <v>0</v>
      </c>
      <c r="BJ360" s="49">
        <f t="shared" si="363"/>
        <v>0</v>
      </c>
      <c r="BK360" s="49">
        <f t="shared" si="364"/>
        <v>0</v>
      </c>
      <c r="BL360" s="49">
        <f t="shared" si="365"/>
        <v>1</v>
      </c>
      <c r="BM360" s="49">
        <f t="shared" si="366"/>
        <v>0</v>
      </c>
      <c r="BN360" s="49">
        <f t="shared" si="367"/>
        <v>0</v>
      </c>
      <c r="BO360" s="49">
        <f t="shared" si="368"/>
        <v>0</v>
      </c>
      <c r="BP360" s="49">
        <f t="shared" si="369"/>
        <v>1</v>
      </c>
      <c r="BQ360" s="49">
        <f t="shared" si="370"/>
        <v>0</v>
      </c>
      <c r="BR360" s="49">
        <f t="shared" si="371"/>
        <v>0</v>
      </c>
      <c r="BS360" s="49">
        <f t="shared" si="372"/>
        <v>0</v>
      </c>
      <c r="BT360" s="49">
        <f t="shared" si="373"/>
        <v>1</v>
      </c>
      <c r="BU360" s="49">
        <f t="shared" si="374"/>
        <v>0</v>
      </c>
      <c r="BV360" s="49">
        <f t="shared" si="375"/>
        <v>0</v>
      </c>
      <c r="BW360" s="49">
        <f t="shared" si="376"/>
        <v>0</v>
      </c>
    </row>
    <row r="361" spans="1:75" ht="35.1" customHeight="1" x14ac:dyDescent="0.3">
      <c r="A361" s="123" t="str">
        <f t="shared" si="341"/>
        <v>3팀</v>
      </c>
      <c r="B361" s="69">
        <f t="shared" si="342"/>
        <v>355</v>
      </c>
      <c r="C361" s="121" t="str">
        <f>IF(VLOOKUP($B361,'1. 현장별 인원현황'!$C:$J,2,0)=0,"",VLOOKUP($B361,'1. 현장별 인원현황'!$C:$J,2,0))</f>
        <v xml:space="preserve"> [3.쿠팡] GYS 2FC(경산) 전기공사</v>
      </c>
      <c r="D361" s="74" t="str">
        <f>IF(VLOOKUP($B361,'1. 현장별 인원현황'!$C:$J,3,0)=0,"",VLOOKUP($B361,'1. 현장별 인원현황'!$C:$J,3,0))</f>
        <v>김동완</v>
      </c>
      <c r="E361" s="74" t="str">
        <f ca="1">IF(VLOOKUP($B361,'1. 현장별 인원현황'!$C:$J,4,0)=0,"",VLOOKUP($B361,'1. 현장별 인원현황'!$C:$J,4,0))</f>
        <v>64세</v>
      </c>
      <c r="F361" s="70" t="str">
        <f>IF(VLOOKUP($B361,'1. 현장별 인원현황'!$C:$J,7,0)=0,"",VLOOKUP($B361,'1. 현장별 인원현황'!$C:$J,7,0))</f>
        <v>기능공</v>
      </c>
      <c r="G361" s="72" t="str">
        <f>IF(VLOOKUP($B361,'1. 현장별 인원현황'!$C:$J,8,0)=0,"",VLOOKUP($B361,'1. 현장별 인원현황'!$C:$J,8,0))</f>
        <v>전공</v>
      </c>
      <c r="H361" s="67" t="s">
        <v>69</v>
      </c>
      <c r="I361" s="73"/>
      <c r="J361" s="73"/>
      <c r="K361" s="68"/>
      <c r="L361" s="67" t="s">
        <v>69</v>
      </c>
      <c r="M361" s="73"/>
      <c r="N361" s="73"/>
      <c r="O361" s="68"/>
      <c r="P361" s="67" t="s">
        <v>69</v>
      </c>
      <c r="Q361" s="73"/>
      <c r="R361" s="73"/>
      <c r="S361" s="68"/>
      <c r="T361" s="67" t="s">
        <v>69</v>
      </c>
      <c r="U361" s="73"/>
      <c r="V361" s="73"/>
      <c r="W361" s="68"/>
      <c r="X361" s="67" t="s">
        <v>69</v>
      </c>
      <c r="Y361" s="73"/>
      <c r="Z361" s="73"/>
      <c r="AA361" s="68"/>
      <c r="AB361" s="67" t="s">
        <v>69</v>
      </c>
      <c r="AC361" s="73"/>
      <c r="AD361" s="73"/>
      <c r="AE361" s="68"/>
      <c r="AF361" s="67" t="s">
        <v>69</v>
      </c>
      <c r="AG361" s="73"/>
      <c r="AH361" s="73"/>
      <c r="AI361" s="68"/>
      <c r="AJ361" s="67" t="s">
        <v>69</v>
      </c>
      <c r="AK361" s="73"/>
      <c r="AL361" s="73"/>
      <c r="AM361" s="68"/>
      <c r="AN361" s="67">
        <f t="shared" si="343"/>
        <v>100</v>
      </c>
      <c r="AO361" s="68" t="str">
        <f t="shared" si="344"/>
        <v>S</v>
      </c>
      <c r="AR361" s="49">
        <f t="shared" si="345"/>
        <v>1</v>
      </c>
      <c r="AS361" s="49">
        <f t="shared" si="346"/>
        <v>0</v>
      </c>
      <c r="AT361" s="49">
        <f t="shared" si="347"/>
        <v>0</v>
      </c>
      <c r="AU361" s="49">
        <f t="shared" si="348"/>
        <v>0</v>
      </c>
      <c r="AV361" s="49">
        <f t="shared" si="349"/>
        <v>1</v>
      </c>
      <c r="AW361" s="49">
        <f t="shared" si="350"/>
        <v>0</v>
      </c>
      <c r="AX361" s="49">
        <f t="shared" si="351"/>
        <v>0</v>
      </c>
      <c r="AY361" s="49">
        <f t="shared" si="352"/>
        <v>0</v>
      </c>
      <c r="AZ361" s="49">
        <f t="shared" si="353"/>
        <v>1</v>
      </c>
      <c r="BA361" s="49">
        <f t="shared" si="354"/>
        <v>0</v>
      </c>
      <c r="BB361" s="49">
        <f t="shared" si="355"/>
        <v>0</v>
      </c>
      <c r="BC361" s="49">
        <f t="shared" si="356"/>
        <v>0</v>
      </c>
      <c r="BD361" s="49">
        <f t="shared" si="357"/>
        <v>1</v>
      </c>
      <c r="BE361" s="49">
        <f t="shared" si="358"/>
        <v>0</v>
      </c>
      <c r="BF361" s="49">
        <f t="shared" si="359"/>
        <v>0</v>
      </c>
      <c r="BG361" s="49">
        <f t="shared" si="360"/>
        <v>0</v>
      </c>
      <c r="BH361" s="49">
        <f t="shared" si="361"/>
        <v>1</v>
      </c>
      <c r="BI361" s="49">
        <f t="shared" si="362"/>
        <v>0</v>
      </c>
      <c r="BJ361" s="49">
        <f t="shared" si="363"/>
        <v>0</v>
      </c>
      <c r="BK361" s="49">
        <f t="shared" si="364"/>
        <v>0</v>
      </c>
      <c r="BL361" s="49">
        <f t="shared" si="365"/>
        <v>1</v>
      </c>
      <c r="BM361" s="49">
        <f t="shared" si="366"/>
        <v>0</v>
      </c>
      <c r="BN361" s="49">
        <f t="shared" si="367"/>
        <v>0</v>
      </c>
      <c r="BO361" s="49">
        <f t="shared" si="368"/>
        <v>0</v>
      </c>
      <c r="BP361" s="49">
        <f t="shared" si="369"/>
        <v>1</v>
      </c>
      <c r="BQ361" s="49">
        <f t="shared" si="370"/>
        <v>0</v>
      </c>
      <c r="BR361" s="49">
        <f t="shared" si="371"/>
        <v>0</v>
      </c>
      <c r="BS361" s="49">
        <f t="shared" si="372"/>
        <v>0</v>
      </c>
      <c r="BT361" s="49">
        <f t="shared" si="373"/>
        <v>1</v>
      </c>
      <c r="BU361" s="49">
        <f t="shared" si="374"/>
        <v>0</v>
      </c>
      <c r="BV361" s="49">
        <f t="shared" si="375"/>
        <v>0</v>
      </c>
      <c r="BW361" s="49">
        <f t="shared" si="376"/>
        <v>0</v>
      </c>
    </row>
    <row r="362" spans="1:75" ht="35.1" customHeight="1" x14ac:dyDescent="0.3">
      <c r="A362" s="123" t="str">
        <f t="shared" si="341"/>
        <v>3팀</v>
      </c>
      <c r="B362" s="69">
        <f t="shared" si="342"/>
        <v>356</v>
      </c>
      <c r="C362" s="121" t="str">
        <f>IF(VLOOKUP($B362,'1. 현장별 인원현황'!$C:$J,2,0)=0,"",VLOOKUP($B362,'1. 현장별 인원현황'!$C:$J,2,0))</f>
        <v xml:space="preserve"> [3.쿠팡] GYS 2FC(경산) 전기공사</v>
      </c>
      <c r="D362" s="74" t="str">
        <f>IF(VLOOKUP($B362,'1. 현장별 인원현황'!$C:$J,3,0)=0,"",VLOOKUP($B362,'1. 현장별 인원현황'!$C:$J,3,0))</f>
        <v>권태현</v>
      </c>
      <c r="E362" s="74" t="str">
        <f ca="1">IF(VLOOKUP($B362,'1. 현장별 인원현황'!$C:$J,4,0)=0,"",VLOOKUP($B362,'1. 현장별 인원현황'!$C:$J,4,0))</f>
        <v>61세</v>
      </c>
      <c r="F362" s="70" t="str">
        <f>IF(VLOOKUP($B362,'1. 현장별 인원현황'!$C:$J,7,0)=0,"",VLOOKUP($B362,'1. 현장별 인원현황'!$C:$J,7,0))</f>
        <v>기능공</v>
      </c>
      <c r="G362" s="72" t="str">
        <f>IF(VLOOKUP($B362,'1. 현장별 인원현황'!$C:$J,8,0)=0,"",VLOOKUP($B362,'1. 현장별 인원현황'!$C:$J,8,0))</f>
        <v>전공</v>
      </c>
      <c r="H362" s="67" t="s">
        <v>69</v>
      </c>
      <c r="I362" s="73"/>
      <c r="J362" s="73"/>
      <c r="K362" s="68"/>
      <c r="L362" s="67" t="s">
        <v>69</v>
      </c>
      <c r="M362" s="73"/>
      <c r="N362" s="73"/>
      <c r="O362" s="68"/>
      <c r="P362" s="67" t="s">
        <v>69</v>
      </c>
      <c r="Q362" s="73"/>
      <c r="R362" s="73"/>
      <c r="S362" s="68"/>
      <c r="T362" s="67" t="s">
        <v>69</v>
      </c>
      <c r="U362" s="73"/>
      <c r="V362" s="73"/>
      <c r="W362" s="68"/>
      <c r="X362" s="67" t="s">
        <v>69</v>
      </c>
      <c r="Y362" s="73"/>
      <c r="Z362" s="73"/>
      <c r="AA362" s="68"/>
      <c r="AB362" s="67" t="s">
        <v>69</v>
      </c>
      <c r="AC362" s="73"/>
      <c r="AD362" s="73"/>
      <c r="AE362" s="68"/>
      <c r="AF362" s="67" t="s">
        <v>69</v>
      </c>
      <c r="AG362" s="73"/>
      <c r="AH362" s="73"/>
      <c r="AI362" s="68"/>
      <c r="AJ362" s="67" t="s">
        <v>69</v>
      </c>
      <c r="AK362" s="73"/>
      <c r="AL362" s="73"/>
      <c r="AM362" s="68"/>
      <c r="AN362" s="67">
        <f t="shared" si="343"/>
        <v>100</v>
      </c>
      <c r="AO362" s="68" t="str">
        <f t="shared" si="344"/>
        <v>S</v>
      </c>
      <c r="AR362" s="49">
        <f t="shared" si="345"/>
        <v>1</v>
      </c>
      <c r="AS362" s="49">
        <f t="shared" si="346"/>
        <v>0</v>
      </c>
      <c r="AT362" s="49">
        <f t="shared" si="347"/>
        <v>0</v>
      </c>
      <c r="AU362" s="49">
        <f t="shared" si="348"/>
        <v>0</v>
      </c>
      <c r="AV362" s="49">
        <f t="shared" si="349"/>
        <v>1</v>
      </c>
      <c r="AW362" s="49">
        <f t="shared" si="350"/>
        <v>0</v>
      </c>
      <c r="AX362" s="49">
        <f t="shared" si="351"/>
        <v>0</v>
      </c>
      <c r="AY362" s="49">
        <f t="shared" si="352"/>
        <v>0</v>
      </c>
      <c r="AZ362" s="49">
        <f t="shared" si="353"/>
        <v>1</v>
      </c>
      <c r="BA362" s="49">
        <f t="shared" si="354"/>
        <v>0</v>
      </c>
      <c r="BB362" s="49">
        <f t="shared" si="355"/>
        <v>0</v>
      </c>
      <c r="BC362" s="49">
        <f t="shared" si="356"/>
        <v>0</v>
      </c>
      <c r="BD362" s="49">
        <f t="shared" si="357"/>
        <v>1</v>
      </c>
      <c r="BE362" s="49">
        <f t="shared" si="358"/>
        <v>0</v>
      </c>
      <c r="BF362" s="49">
        <f t="shared" si="359"/>
        <v>0</v>
      </c>
      <c r="BG362" s="49">
        <f t="shared" si="360"/>
        <v>0</v>
      </c>
      <c r="BH362" s="49">
        <f t="shared" si="361"/>
        <v>1</v>
      </c>
      <c r="BI362" s="49">
        <f t="shared" si="362"/>
        <v>0</v>
      </c>
      <c r="BJ362" s="49">
        <f t="shared" si="363"/>
        <v>0</v>
      </c>
      <c r="BK362" s="49">
        <f t="shared" si="364"/>
        <v>0</v>
      </c>
      <c r="BL362" s="49">
        <f t="shared" si="365"/>
        <v>1</v>
      </c>
      <c r="BM362" s="49">
        <f t="shared" si="366"/>
        <v>0</v>
      </c>
      <c r="BN362" s="49">
        <f t="shared" si="367"/>
        <v>0</v>
      </c>
      <c r="BO362" s="49">
        <f t="shared" si="368"/>
        <v>0</v>
      </c>
      <c r="BP362" s="49">
        <f t="shared" si="369"/>
        <v>1</v>
      </c>
      <c r="BQ362" s="49">
        <f t="shared" si="370"/>
        <v>0</v>
      </c>
      <c r="BR362" s="49">
        <f t="shared" si="371"/>
        <v>0</v>
      </c>
      <c r="BS362" s="49">
        <f t="shared" si="372"/>
        <v>0</v>
      </c>
      <c r="BT362" s="49">
        <f t="shared" si="373"/>
        <v>1</v>
      </c>
      <c r="BU362" s="49">
        <f t="shared" si="374"/>
        <v>0</v>
      </c>
      <c r="BV362" s="49">
        <f t="shared" si="375"/>
        <v>0</v>
      </c>
      <c r="BW362" s="49">
        <f t="shared" si="376"/>
        <v>0</v>
      </c>
    </row>
    <row r="363" spans="1:75" ht="35.1" customHeight="1" x14ac:dyDescent="0.3">
      <c r="A363" s="123" t="str">
        <f t="shared" si="341"/>
        <v>3팀</v>
      </c>
      <c r="B363" s="69">
        <f t="shared" si="342"/>
        <v>357</v>
      </c>
      <c r="C363" s="121" t="str">
        <f>IF(VLOOKUP($B363,'1. 현장별 인원현황'!$C:$J,2,0)=0,"",VLOOKUP($B363,'1. 현장별 인원현황'!$C:$J,2,0))</f>
        <v xml:space="preserve"> [3.쿠팡] INC 26,28,36FC(인천) HVAC 전원공사</v>
      </c>
      <c r="D363" s="74" t="str">
        <f>IF(VLOOKUP($B363,'1. 현장별 인원현황'!$C:$J,3,0)=0,"",VLOOKUP($B363,'1. 현장별 인원현황'!$C:$J,3,0))</f>
        <v>김태승</v>
      </c>
      <c r="E363" s="74" t="str">
        <f ca="1">IF(VLOOKUP($B363,'1. 현장별 인원현황'!$C:$J,4,0)=0,"",VLOOKUP($B363,'1. 현장별 인원현황'!$C:$J,4,0))</f>
        <v>30세</v>
      </c>
      <c r="F363" s="70" t="str">
        <f>IF(VLOOKUP($B363,'1. 현장별 인원현황'!$C:$J,7,0)=0,"",VLOOKUP($B363,'1. 현장별 인원현황'!$C:$J,7,0))</f>
        <v>공무</v>
      </c>
      <c r="G363" s="72" t="str">
        <f>IF(VLOOKUP($B363,'1. 현장별 인원현황'!$C:$J,8,0)=0,"",VLOOKUP($B363,'1. 현장별 인원현황'!$C:$J,8,0))</f>
        <v>대리</v>
      </c>
      <c r="H363" s="67" t="s">
        <v>69</v>
      </c>
      <c r="I363" s="73"/>
      <c r="J363" s="73"/>
      <c r="K363" s="68"/>
      <c r="L363" s="67" t="s">
        <v>69</v>
      </c>
      <c r="M363" s="73"/>
      <c r="N363" s="73"/>
      <c r="O363" s="68"/>
      <c r="P363" s="67" t="s">
        <v>69</v>
      </c>
      <c r="Q363" s="73"/>
      <c r="R363" s="73"/>
      <c r="S363" s="68"/>
      <c r="T363" s="67" t="s">
        <v>69</v>
      </c>
      <c r="U363" s="73"/>
      <c r="V363" s="73"/>
      <c r="W363" s="68"/>
      <c r="X363" s="67" t="s">
        <v>69</v>
      </c>
      <c r="Y363" s="73"/>
      <c r="Z363" s="73"/>
      <c r="AA363" s="68"/>
      <c r="AB363" s="67" t="s">
        <v>69</v>
      </c>
      <c r="AC363" s="73"/>
      <c r="AD363" s="73"/>
      <c r="AE363" s="68"/>
      <c r="AF363" s="67" t="s">
        <v>69</v>
      </c>
      <c r="AG363" s="73"/>
      <c r="AH363" s="73"/>
      <c r="AI363" s="68"/>
      <c r="AJ363" s="67" t="s">
        <v>69</v>
      </c>
      <c r="AK363" s="73"/>
      <c r="AL363" s="73"/>
      <c r="AM363" s="68"/>
      <c r="AN363" s="67">
        <f t="shared" si="343"/>
        <v>100</v>
      </c>
      <c r="AO363" s="68" t="str">
        <f t="shared" si="344"/>
        <v>S</v>
      </c>
      <c r="AR363" s="49">
        <f t="shared" si="345"/>
        <v>1</v>
      </c>
      <c r="AS363" s="49">
        <f t="shared" si="346"/>
        <v>0</v>
      </c>
      <c r="AT363" s="49">
        <f t="shared" si="347"/>
        <v>0</v>
      </c>
      <c r="AU363" s="49">
        <f t="shared" si="348"/>
        <v>0</v>
      </c>
      <c r="AV363" s="49">
        <f t="shared" si="349"/>
        <v>1</v>
      </c>
      <c r="AW363" s="49">
        <f t="shared" si="350"/>
        <v>0</v>
      </c>
      <c r="AX363" s="49">
        <f t="shared" si="351"/>
        <v>0</v>
      </c>
      <c r="AY363" s="49">
        <f t="shared" si="352"/>
        <v>0</v>
      </c>
      <c r="AZ363" s="49">
        <f t="shared" si="353"/>
        <v>1</v>
      </c>
      <c r="BA363" s="49">
        <f t="shared" si="354"/>
        <v>0</v>
      </c>
      <c r="BB363" s="49">
        <f t="shared" si="355"/>
        <v>0</v>
      </c>
      <c r="BC363" s="49">
        <f t="shared" si="356"/>
        <v>0</v>
      </c>
      <c r="BD363" s="49">
        <f t="shared" si="357"/>
        <v>1</v>
      </c>
      <c r="BE363" s="49">
        <f t="shared" si="358"/>
        <v>0</v>
      </c>
      <c r="BF363" s="49">
        <f t="shared" si="359"/>
        <v>0</v>
      </c>
      <c r="BG363" s="49">
        <f t="shared" si="360"/>
        <v>0</v>
      </c>
      <c r="BH363" s="49">
        <f t="shared" si="361"/>
        <v>1</v>
      </c>
      <c r="BI363" s="49">
        <f t="shared" si="362"/>
        <v>0</v>
      </c>
      <c r="BJ363" s="49">
        <f t="shared" si="363"/>
        <v>0</v>
      </c>
      <c r="BK363" s="49">
        <f t="shared" si="364"/>
        <v>0</v>
      </c>
      <c r="BL363" s="49">
        <f t="shared" si="365"/>
        <v>1</v>
      </c>
      <c r="BM363" s="49">
        <f t="shared" si="366"/>
        <v>0</v>
      </c>
      <c r="BN363" s="49">
        <f t="shared" si="367"/>
        <v>0</v>
      </c>
      <c r="BO363" s="49">
        <f t="shared" si="368"/>
        <v>0</v>
      </c>
      <c r="BP363" s="49">
        <f t="shared" si="369"/>
        <v>1</v>
      </c>
      <c r="BQ363" s="49">
        <f t="shared" si="370"/>
        <v>0</v>
      </c>
      <c r="BR363" s="49">
        <f t="shared" si="371"/>
        <v>0</v>
      </c>
      <c r="BS363" s="49">
        <f t="shared" si="372"/>
        <v>0</v>
      </c>
      <c r="BT363" s="49">
        <f t="shared" si="373"/>
        <v>1</v>
      </c>
      <c r="BU363" s="49">
        <f t="shared" si="374"/>
        <v>0</v>
      </c>
      <c r="BV363" s="49">
        <f t="shared" si="375"/>
        <v>0</v>
      </c>
      <c r="BW363" s="49">
        <f t="shared" si="376"/>
        <v>0</v>
      </c>
    </row>
    <row r="364" spans="1:75" ht="35.1" customHeight="1" x14ac:dyDescent="0.3">
      <c r="A364" s="123" t="str">
        <f t="shared" si="341"/>
        <v>3팀</v>
      </c>
      <c r="B364" s="69">
        <f t="shared" si="342"/>
        <v>358</v>
      </c>
      <c r="C364" s="121" t="str">
        <f>IF(VLOOKUP($B364,'1. 현장별 인원현황'!$C:$J,2,0)=0,"",VLOOKUP($B364,'1. 현장별 인원현황'!$C:$J,2,0))</f>
        <v xml:space="preserve"> [3.쿠팡] INC 26,28,36FC(인천) HVAC 전원공사</v>
      </c>
      <c r="D364" s="74" t="str">
        <f>IF(VLOOKUP($B364,'1. 현장별 인원현황'!$C:$J,3,0)=0,"",VLOOKUP($B364,'1. 현장별 인원현황'!$C:$J,3,0))</f>
        <v>유재한</v>
      </c>
      <c r="E364" s="74" t="str">
        <f ca="1">IF(VLOOKUP($B364,'1. 현장별 인원현황'!$C:$J,4,0)=0,"",VLOOKUP($B364,'1. 현장별 인원현황'!$C:$J,4,0))</f>
        <v>31세</v>
      </c>
      <c r="F364" s="70" t="str">
        <f>IF(VLOOKUP($B364,'1. 현장별 인원현황'!$C:$J,7,0)=0,"",VLOOKUP($B364,'1. 현장별 인원현황'!$C:$J,7,0))</f>
        <v>기능공</v>
      </c>
      <c r="G364" s="72" t="str">
        <f>IF(VLOOKUP($B364,'1. 현장별 인원현황'!$C:$J,8,0)=0,"",VLOOKUP($B364,'1. 현장별 인원현황'!$C:$J,8,0))</f>
        <v>전공</v>
      </c>
      <c r="H364" s="67" t="s">
        <v>69</v>
      </c>
      <c r="I364" s="73"/>
      <c r="J364" s="73"/>
      <c r="K364" s="68"/>
      <c r="L364" s="67" t="s">
        <v>69</v>
      </c>
      <c r="M364" s="73"/>
      <c r="N364" s="73"/>
      <c r="O364" s="68"/>
      <c r="P364" s="67" t="s">
        <v>69</v>
      </c>
      <c r="Q364" s="73"/>
      <c r="R364" s="73"/>
      <c r="S364" s="68"/>
      <c r="T364" s="67" t="s">
        <v>69</v>
      </c>
      <c r="U364" s="73"/>
      <c r="V364" s="73"/>
      <c r="W364" s="68"/>
      <c r="X364" s="67" t="s">
        <v>69</v>
      </c>
      <c r="Y364" s="73"/>
      <c r="Z364" s="73"/>
      <c r="AA364" s="68"/>
      <c r="AB364" s="67" t="s">
        <v>69</v>
      </c>
      <c r="AC364" s="73"/>
      <c r="AD364" s="73"/>
      <c r="AE364" s="68"/>
      <c r="AF364" s="67" t="s">
        <v>69</v>
      </c>
      <c r="AG364" s="73"/>
      <c r="AH364" s="73"/>
      <c r="AI364" s="68"/>
      <c r="AJ364" s="67" t="s">
        <v>69</v>
      </c>
      <c r="AK364" s="73"/>
      <c r="AL364" s="73"/>
      <c r="AM364" s="68"/>
      <c r="AN364" s="67">
        <f t="shared" si="343"/>
        <v>100</v>
      </c>
      <c r="AO364" s="68" t="str">
        <f t="shared" si="344"/>
        <v>S</v>
      </c>
      <c r="AR364" s="49">
        <f t="shared" si="345"/>
        <v>1</v>
      </c>
      <c r="AS364" s="49">
        <f t="shared" si="346"/>
        <v>0</v>
      </c>
      <c r="AT364" s="49">
        <f t="shared" si="347"/>
        <v>0</v>
      </c>
      <c r="AU364" s="49">
        <f t="shared" si="348"/>
        <v>0</v>
      </c>
      <c r="AV364" s="49">
        <f t="shared" si="349"/>
        <v>1</v>
      </c>
      <c r="AW364" s="49">
        <f t="shared" si="350"/>
        <v>0</v>
      </c>
      <c r="AX364" s="49">
        <f t="shared" si="351"/>
        <v>0</v>
      </c>
      <c r="AY364" s="49">
        <f t="shared" si="352"/>
        <v>0</v>
      </c>
      <c r="AZ364" s="49">
        <f t="shared" si="353"/>
        <v>1</v>
      </c>
      <c r="BA364" s="49">
        <f t="shared" si="354"/>
        <v>0</v>
      </c>
      <c r="BB364" s="49">
        <f t="shared" si="355"/>
        <v>0</v>
      </c>
      <c r="BC364" s="49">
        <f t="shared" si="356"/>
        <v>0</v>
      </c>
      <c r="BD364" s="49">
        <f t="shared" si="357"/>
        <v>1</v>
      </c>
      <c r="BE364" s="49">
        <f t="shared" si="358"/>
        <v>0</v>
      </c>
      <c r="BF364" s="49">
        <f t="shared" si="359"/>
        <v>0</v>
      </c>
      <c r="BG364" s="49">
        <f t="shared" si="360"/>
        <v>0</v>
      </c>
      <c r="BH364" s="49">
        <f t="shared" si="361"/>
        <v>1</v>
      </c>
      <c r="BI364" s="49">
        <f t="shared" si="362"/>
        <v>0</v>
      </c>
      <c r="BJ364" s="49">
        <f t="shared" si="363"/>
        <v>0</v>
      </c>
      <c r="BK364" s="49">
        <f t="shared" si="364"/>
        <v>0</v>
      </c>
      <c r="BL364" s="49">
        <f t="shared" si="365"/>
        <v>1</v>
      </c>
      <c r="BM364" s="49">
        <f t="shared" si="366"/>
        <v>0</v>
      </c>
      <c r="BN364" s="49">
        <f t="shared" si="367"/>
        <v>0</v>
      </c>
      <c r="BO364" s="49">
        <f t="shared" si="368"/>
        <v>0</v>
      </c>
      <c r="BP364" s="49">
        <f t="shared" si="369"/>
        <v>1</v>
      </c>
      <c r="BQ364" s="49">
        <f t="shared" si="370"/>
        <v>0</v>
      </c>
      <c r="BR364" s="49">
        <f t="shared" si="371"/>
        <v>0</v>
      </c>
      <c r="BS364" s="49">
        <f t="shared" si="372"/>
        <v>0</v>
      </c>
      <c r="BT364" s="49">
        <f t="shared" si="373"/>
        <v>1</v>
      </c>
      <c r="BU364" s="49">
        <f t="shared" si="374"/>
        <v>0</v>
      </c>
      <c r="BV364" s="49">
        <f t="shared" si="375"/>
        <v>0</v>
      </c>
      <c r="BW364" s="49">
        <f t="shared" si="376"/>
        <v>0</v>
      </c>
    </row>
    <row r="365" spans="1:75" ht="35.1" customHeight="1" x14ac:dyDescent="0.3">
      <c r="A365" s="123" t="str">
        <f t="shared" si="341"/>
        <v>3팀</v>
      </c>
      <c r="B365" s="69">
        <f t="shared" si="342"/>
        <v>359</v>
      </c>
      <c r="C365" s="121" t="str">
        <f>IF(VLOOKUP($B365,'1. 현장별 인원현황'!$C:$J,2,0)=0,"",VLOOKUP($B365,'1. 현장별 인원현황'!$C:$J,2,0))</f>
        <v xml:space="preserve"> [3.쿠팡] INC 26,28,36FC(인천) HVAC 전원공사</v>
      </c>
      <c r="D365" s="74" t="str">
        <f>IF(VLOOKUP($B365,'1. 현장별 인원현황'!$C:$J,3,0)=0,"",VLOOKUP($B365,'1. 현장별 인원현황'!$C:$J,3,0))</f>
        <v>허용환</v>
      </c>
      <c r="E365" s="74" t="str">
        <f ca="1">IF(VLOOKUP($B365,'1. 현장별 인원현황'!$C:$J,4,0)=0,"",VLOOKUP($B365,'1. 현장별 인원현황'!$C:$J,4,0))</f>
        <v>35세</v>
      </c>
      <c r="F365" s="70" t="str">
        <f>IF(VLOOKUP($B365,'1. 현장별 인원현황'!$C:$J,7,0)=0,"",VLOOKUP($B365,'1. 현장별 인원현황'!$C:$J,7,0))</f>
        <v>기능공</v>
      </c>
      <c r="G365" s="72" t="str">
        <f>IF(VLOOKUP($B365,'1. 현장별 인원현황'!$C:$J,8,0)=0,"",VLOOKUP($B365,'1. 현장별 인원현황'!$C:$J,8,0))</f>
        <v>전공</v>
      </c>
      <c r="H365" s="67" t="s">
        <v>69</v>
      </c>
      <c r="I365" s="73"/>
      <c r="J365" s="73"/>
      <c r="K365" s="68"/>
      <c r="L365" s="67" t="s">
        <v>69</v>
      </c>
      <c r="M365" s="73"/>
      <c r="N365" s="73"/>
      <c r="O365" s="68"/>
      <c r="P365" s="67" t="s">
        <v>69</v>
      </c>
      <c r="Q365" s="73"/>
      <c r="R365" s="73"/>
      <c r="S365" s="68"/>
      <c r="T365" s="67" t="s">
        <v>69</v>
      </c>
      <c r="U365" s="73"/>
      <c r="V365" s="73"/>
      <c r="W365" s="68"/>
      <c r="X365" s="67" t="s">
        <v>69</v>
      </c>
      <c r="Y365" s="73"/>
      <c r="Z365" s="73"/>
      <c r="AA365" s="68"/>
      <c r="AB365" s="67" t="s">
        <v>69</v>
      </c>
      <c r="AC365" s="73"/>
      <c r="AD365" s="73"/>
      <c r="AE365" s="68"/>
      <c r="AF365" s="67" t="s">
        <v>69</v>
      </c>
      <c r="AG365" s="73"/>
      <c r="AH365" s="73"/>
      <c r="AI365" s="68"/>
      <c r="AJ365" s="67" t="s">
        <v>69</v>
      </c>
      <c r="AK365" s="73"/>
      <c r="AL365" s="73"/>
      <c r="AM365" s="68"/>
      <c r="AN365" s="67">
        <f t="shared" si="343"/>
        <v>100</v>
      </c>
      <c r="AO365" s="68" t="str">
        <f t="shared" si="344"/>
        <v>S</v>
      </c>
      <c r="AR365" s="49">
        <f t="shared" si="345"/>
        <v>1</v>
      </c>
      <c r="AS365" s="49">
        <f t="shared" si="346"/>
        <v>0</v>
      </c>
      <c r="AT365" s="49">
        <f t="shared" si="347"/>
        <v>0</v>
      </c>
      <c r="AU365" s="49">
        <f t="shared" si="348"/>
        <v>0</v>
      </c>
      <c r="AV365" s="49">
        <f t="shared" si="349"/>
        <v>1</v>
      </c>
      <c r="AW365" s="49">
        <f t="shared" si="350"/>
        <v>0</v>
      </c>
      <c r="AX365" s="49">
        <f t="shared" si="351"/>
        <v>0</v>
      </c>
      <c r="AY365" s="49">
        <f t="shared" si="352"/>
        <v>0</v>
      </c>
      <c r="AZ365" s="49">
        <f t="shared" si="353"/>
        <v>1</v>
      </c>
      <c r="BA365" s="49">
        <f t="shared" si="354"/>
        <v>0</v>
      </c>
      <c r="BB365" s="49">
        <f t="shared" si="355"/>
        <v>0</v>
      </c>
      <c r="BC365" s="49">
        <f t="shared" si="356"/>
        <v>0</v>
      </c>
      <c r="BD365" s="49">
        <f t="shared" si="357"/>
        <v>1</v>
      </c>
      <c r="BE365" s="49">
        <f t="shared" si="358"/>
        <v>0</v>
      </c>
      <c r="BF365" s="49">
        <f t="shared" si="359"/>
        <v>0</v>
      </c>
      <c r="BG365" s="49">
        <f t="shared" si="360"/>
        <v>0</v>
      </c>
      <c r="BH365" s="49">
        <f t="shared" si="361"/>
        <v>1</v>
      </c>
      <c r="BI365" s="49">
        <f t="shared" si="362"/>
        <v>0</v>
      </c>
      <c r="BJ365" s="49">
        <f t="shared" si="363"/>
        <v>0</v>
      </c>
      <c r="BK365" s="49">
        <f t="shared" si="364"/>
        <v>0</v>
      </c>
      <c r="BL365" s="49">
        <f t="shared" si="365"/>
        <v>1</v>
      </c>
      <c r="BM365" s="49">
        <f t="shared" si="366"/>
        <v>0</v>
      </c>
      <c r="BN365" s="49">
        <f t="shared" si="367"/>
        <v>0</v>
      </c>
      <c r="BO365" s="49">
        <f t="shared" si="368"/>
        <v>0</v>
      </c>
      <c r="BP365" s="49">
        <f t="shared" si="369"/>
        <v>1</v>
      </c>
      <c r="BQ365" s="49">
        <f t="shared" si="370"/>
        <v>0</v>
      </c>
      <c r="BR365" s="49">
        <f t="shared" si="371"/>
        <v>0</v>
      </c>
      <c r="BS365" s="49">
        <f t="shared" si="372"/>
        <v>0</v>
      </c>
      <c r="BT365" s="49">
        <f t="shared" si="373"/>
        <v>1</v>
      </c>
      <c r="BU365" s="49">
        <f t="shared" si="374"/>
        <v>0</v>
      </c>
      <c r="BV365" s="49">
        <f t="shared" si="375"/>
        <v>0</v>
      </c>
      <c r="BW365" s="49">
        <f t="shared" si="376"/>
        <v>0</v>
      </c>
    </row>
    <row r="366" spans="1:75" ht="35.1" customHeight="1" x14ac:dyDescent="0.3">
      <c r="A366" s="123" t="str">
        <f t="shared" si="341"/>
        <v>3팀</v>
      </c>
      <c r="B366" s="69">
        <f t="shared" si="342"/>
        <v>360</v>
      </c>
      <c r="C366" s="121" t="str">
        <f>IF(VLOOKUP($B366,'1. 현장별 인원현황'!$C:$J,2,0)=0,"",VLOOKUP($B366,'1. 현장별 인원현황'!$C:$J,2,0))</f>
        <v xml:space="preserve"> [3.쿠팡] INC 26,28,36FC(인천) HVAC 전원공사</v>
      </c>
      <c r="D366" s="74" t="str">
        <f>IF(VLOOKUP($B366,'1. 현장별 인원현황'!$C:$J,3,0)=0,"",VLOOKUP($B366,'1. 현장별 인원현황'!$C:$J,3,0))</f>
        <v>임규문</v>
      </c>
      <c r="E366" s="74" t="str">
        <f ca="1">IF(VLOOKUP($B366,'1. 현장별 인원현황'!$C:$J,4,0)=0,"",VLOOKUP($B366,'1. 현장별 인원현황'!$C:$J,4,0))</f>
        <v>46세</v>
      </c>
      <c r="F366" s="70" t="str">
        <f>IF(VLOOKUP($B366,'1. 현장별 인원현황'!$C:$J,7,0)=0,"",VLOOKUP($B366,'1. 현장별 인원현황'!$C:$J,7,0))</f>
        <v>기능공</v>
      </c>
      <c r="G366" s="72" t="str">
        <f>IF(VLOOKUP($B366,'1. 현장별 인원현황'!$C:$J,8,0)=0,"",VLOOKUP($B366,'1. 현장별 인원현황'!$C:$J,8,0))</f>
        <v>전공</v>
      </c>
      <c r="H366" s="67" t="s">
        <v>69</v>
      </c>
      <c r="I366" s="73"/>
      <c r="J366" s="73"/>
      <c r="K366" s="68"/>
      <c r="L366" s="67" t="s">
        <v>69</v>
      </c>
      <c r="M366" s="73"/>
      <c r="N366" s="73"/>
      <c r="O366" s="68"/>
      <c r="P366" s="67" t="s">
        <v>69</v>
      </c>
      <c r="Q366" s="73"/>
      <c r="R366" s="73"/>
      <c r="S366" s="68"/>
      <c r="T366" s="67" t="s">
        <v>69</v>
      </c>
      <c r="U366" s="73"/>
      <c r="V366" s="73"/>
      <c r="W366" s="68"/>
      <c r="X366" s="67" t="s">
        <v>69</v>
      </c>
      <c r="Y366" s="73"/>
      <c r="Z366" s="73"/>
      <c r="AA366" s="68"/>
      <c r="AB366" s="67" t="s">
        <v>69</v>
      </c>
      <c r="AC366" s="73"/>
      <c r="AD366" s="73"/>
      <c r="AE366" s="68"/>
      <c r="AF366" s="67" t="s">
        <v>69</v>
      </c>
      <c r="AG366" s="73"/>
      <c r="AH366" s="73"/>
      <c r="AI366" s="68"/>
      <c r="AJ366" s="67" t="s">
        <v>69</v>
      </c>
      <c r="AK366" s="73"/>
      <c r="AL366" s="73"/>
      <c r="AM366" s="68"/>
      <c r="AN366" s="67">
        <f t="shared" si="343"/>
        <v>100</v>
      </c>
      <c r="AO366" s="68" t="str">
        <f t="shared" si="344"/>
        <v>S</v>
      </c>
      <c r="AR366" s="49">
        <f t="shared" si="345"/>
        <v>1</v>
      </c>
      <c r="AS366" s="49">
        <f t="shared" si="346"/>
        <v>0</v>
      </c>
      <c r="AT366" s="49">
        <f t="shared" si="347"/>
        <v>0</v>
      </c>
      <c r="AU366" s="49">
        <f t="shared" si="348"/>
        <v>0</v>
      </c>
      <c r="AV366" s="49">
        <f t="shared" si="349"/>
        <v>1</v>
      </c>
      <c r="AW366" s="49">
        <f t="shared" si="350"/>
        <v>0</v>
      </c>
      <c r="AX366" s="49">
        <f t="shared" si="351"/>
        <v>0</v>
      </c>
      <c r="AY366" s="49">
        <f t="shared" si="352"/>
        <v>0</v>
      </c>
      <c r="AZ366" s="49">
        <f t="shared" si="353"/>
        <v>1</v>
      </c>
      <c r="BA366" s="49">
        <f t="shared" si="354"/>
        <v>0</v>
      </c>
      <c r="BB366" s="49">
        <f t="shared" si="355"/>
        <v>0</v>
      </c>
      <c r="BC366" s="49">
        <f t="shared" si="356"/>
        <v>0</v>
      </c>
      <c r="BD366" s="49">
        <f t="shared" si="357"/>
        <v>1</v>
      </c>
      <c r="BE366" s="49">
        <f t="shared" si="358"/>
        <v>0</v>
      </c>
      <c r="BF366" s="49">
        <f t="shared" si="359"/>
        <v>0</v>
      </c>
      <c r="BG366" s="49">
        <f t="shared" si="360"/>
        <v>0</v>
      </c>
      <c r="BH366" s="49">
        <f t="shared" si="361"/>
        <v>1</v>
      </c>
      <c r="BI366" s="49">
        <f t="shared" si="362"/>
        <v>0</v>
      </c>
      <c r="BJ366" s="49">
        <f t="shared" si="363"/>
        <v>0</v>
      </c>
      <c r="BK366" s="49">
        <f t="shared" si="364"/>
        <v>0</v>
      </c>
      <c r="BL366" s="49">
        <f t="shared" si="365"/>
        <v>1</v>
      </c>
      <c r="BM366" s="49">
        <f t="shared" si="366"/>
        <v>0</v>
      </c>
      <c r="BN366" s="49">
        <f t="shared" si="367"/>
        <v>0</v>
      </c>
      <c r="BO366" s="49">
        <f t="shared" si="368"/>
        <v>0</v>
      </c>
      <c r="BP366" s="49">
        <f t="shared" si="369"/>
        <v>1</v>
      </c>
      <c r="BQ366" s="49">
        <f t="shared" si="370"/>
        <v>0</v>
      </c>
      <c r="BR366" s="49">
        <f t="shared" si="371"/>
        <v>0</v>
      </c>
      <c r="BS366" s="49">
        <f t="shared" si="372"/>
        <v>0</v>
      </c>
      <c r="BT366" s="49">
        <f t="shared" si="373"/>
        <v>1</v>
      </c>
      <c r="BU366" s="49">
        <f t="shared" si="374"/>
        <v>0</v>
      </c>
      <c r="BV366" s="49">
        <f t="shared" si="375"/>
        <v>0</v>
      </c>
      <c r="BW366" s="49">
        <f t="shared" si="376"/>
        <v>0</v>
      </c>
    </row>
    <row r="367" spans="1:75" ht="35.1" customHeight="1" x14ac:dyDescent="0.3">
      <c r="A367" s="123" t="str">
        <f t="shared" si="341"/>
        <v>3팀</v>
      </c>
      <c r="B367" s="69">
        <f t="shared" si="342"/>
        <v>361</v>
      </c>
      <c r="C367" s="121" t="str">
        <f>IF(VLOOKUP($B367,'1. 현장별 인원현황'!$C:$J,2,0)=0,"",VLOOKUP($B367,'1. 현장별 인원현황'!$C:$J,2,0))</f>
        <v xml:space="preserve"> [3.쿠팡] INC 26,28,36FC(인천) HVAC 전원공사</v>
      </c>
      <c r="D367" s="74" t="str">
        <f>IF(VLOOKUP($B367,'1. 현장별 인원현황'!$C:$J,3,0)=0,"",VLOOKUP($B367,'1. 현장별 인원현황'!$C:$J,3,0))</f>
        <v>이정훈</v>
      </c>
      <c r="E367" s="74" t="str">
        <f ca="1">IF(VLOOKUP($B367,'1. 현장별 인원현황'!$C:$J,4,0)=0,"",VLOOKUP($B367,'1. 현장별 인원현황'!$C:$J,4,0))</f>
        <v>27세</v>
      </c>
      <c r="F367" s="70" t="str">
        <f>IF(VLOOKUP($B367,'1. 현장별 인원현황'!$C:$J,7,0)=0,"",VLOOKUP($B367,'1. 현장별 인원현황'!$C:$J,7,0))</f>
        <v>기능공</v>
      </c>
      <c r="G367" s="72" t="str">
        <f>IF(VLOOKUP($B367,'1. 현장별 인원현황'!$C:$J,8,0)=0,"",VLOOKUP($B367,'1. 현장별 인원현황'!$C:$J,8,0))</f>
        <v>전공</v>
      </c>
      <c r="H367" s="67" t="s">
        <v>69</v>
      </c>
      <c r="I367" s="73"/>
      <c r="J367" s="73"/>
      <c r="K367" s="68"/>
      <c r="L367" s="67" t="s">
        <v>69</v>
      </c>
      <c r="M367" s="73"/>
      <c r="N367" s="73"/>
      <c r="O367" s="68"/>
      <c r="P367" s="67" t="s">
        <v>69</v>
      </c>
      <c r="Q367" s="73"/>
      <c r="R367" s="73"/>
      <c r="S367" s="68"/>
      <c r="T367" s="67" t="s">
        <v>69</v>
      </c>
      <c r="U367" s="73"/>
      <c r="V367" s="73"/>
      <c r="W367" s="68"/>
      <c r="X367" s="67" t="s">
        <v>69</v>
      </c>
      <c r="Y367" s="73"/>
      <c r="Z367" s="73"/>
      <c r="AA367" s="68"/>
      <c r="AB367" s="67" t="s">
        <v>69</v>
      </c>
      <c r="AC367" s="73"/>
      <c r="AD367" s="73"/>
      <c r="AE367" s="68"/>
      <c r="AF367" s="67" t="s">
        <v>69</v>
      </c>
      <c r="AG367" s="73"/>
      <c r="AH367" s="73"/>
      <c r="AI367" s="68"/>
      <c r="AJ367" s="67" t="s">
        <v>69</v>
      </c>
      <c r="AK367" s="73"/>
      <c r="AL367" s="73"/>
      <c r="AM367" s="68"/>
      <c r="AN367" s="67">
        <f t="shared" si="343"/>
        <v>100</v>
      </c>
      <c r="AO367" s="68" t="str">
        <f t="shared" si="344"/>
        <v>S</v>
      </c>
      <c r="AR367" s="49">
        <f t="shared" si="345"/>
        <v>1</v>
      </c>
      <c r="AS367" s="49">
        <f t="shared" si="346"/>
        <v>0</v>
      </c>
      <c r="AT367" s="49">
        <f t="shared" si="347"/>
        <v>0</v>
      </c>
      <c r="AU367" s="49">
        <f t="shared" si="348"/>
        <v>0</v>
      </c>
      <c r="AV367" s="49">
        <f t="shared" si="349"/>
        <v>1</v>
      </c>
      <c r="AW367" s="49">
        <f t="shared" si="350"/>
        <v>0</v>
      </c>
      <c r="AX367" s="49">
        <f t="shared" si="351"/>
        <v>0</v>
      </c>
      <c r="AY367" s="49">
        <f t="shared" si="352"/>
        <v>0</v>
      </c>
      <c r="AZ367" s="49">
        <f t="shared" si="353"/>
        <v>1</v>
      </c>
      <c r="BA367" s="49">
        <f t="shared" si="354"/>
        <v>0</v>
      </c>
      <c r="BB367" s="49">
        <f t="shared" si="355"/>
        <v>0</v>
      </c>
      <c r="BC367" s="49">
        <f t="shared" si="356"/>
        <v>0</v>
      </c>
      <c r="BD367" s="49">
        <f t="shared" si="357"/>
        <v>1</v>
      </c>
      <c r="BE367" s="49">
        <f t="shared" si="358"/>
        <v>0</v>
      </c>
      <c r="BF367" s="49">
        <f t="shared" si="359"/>
        <v>0</v>
      </c>
      <c r="BG367" s="49">
        <f t="shared" si="360"/>
        <v>0</v>
      </c>
      <c r="BH367" s="49">
        <f t="shared" si="361"/>
        <v>1</v>
      </c>
      <c r="BI367" s="49">
        <f t="shared" si="362"/>
        <v>0</v>
      </c>
      <c r="BJ367" s="49">
        <f t="shared" si="363"/>
        <v>0</v>
      </c>
      <c r="BK367" s="49">
        <f t="shared" si="364"/>
        <v>0</v>
      </c>
      <c r="BL367" s="49">
        <f t="shared" si="365"/>
        <v>1</v>
      </c>
      <c r="BM367" s="49">
        <f t="shared" si="366"/>
        <v>0</v>
      </c>
      <c r="BN367" s="49">
        <f t="shared" si="367"/>
        <v>0</v>
      </c>
      <c r="BO367" s="49">
        <f t="shared" si="368"/>
        <v>0</v>
      </c>
      <c r="BP367" s="49">
        <f t="shared" si="369"/>
        <v>1</v>
      </c>
      <c r="BQ367" s="49">
        <f t="shared" si="370"/>
        <v>0</v>
      </c>
      <c r="BR367" s="49">
        <f t="shared" si="371"/>
        <v>0</v>
      </c>
      <c r="BS367" s="49">
        <f t="shared" si="372"/>
        <v>0</v>
      </c>
      <c r="BT367" s="49">
        <f t="shared" si="373"/>
        <v>1</v>
      </c>
      <c r="BU367" s="49">
        <f t="shared" si="374"/>
        <v>0</v>
      </c>
      <c r="BV367" s="49">
        <f t="shared" si="375"/>
        <v>0</v>
      </c>
      <c r="BW367" s="49">
        <f t="shared" si="376"/>
        <v>0</v>
      </c>
    </row>
    <row r="368" spans="1:75" ht="35.1" customHeight="1" x14ac:dyDescent="0.3">
      <c r="A368" s="123" t="str">
        <f t="shared" si="341"/>
        <v>3팀</v>
      </c>
      <c r="B368" s="69">
        <f t="shared" si="342"/>
        <v>362</v>
      </c>
      <c r="C368" s="121" t="str">
        <f>IF(VLOOKUP($B368,'1. 현장별 인원현황'!$C:$J,2,0)=0,"",VLOOKUP($B368,'1. 현장별 인원현황'!$C:$J,2,0))</f>
        <v xml:space="preserve"> [3.쿠팡] INC 45FC(인천) 전기공사</v>
      </c>
      <c r="D368" s="74" t="str">
        <f>IF(VLOOKUP($B368,'1. 현장별 인원현황'!$C:$J,3,0)=0,"",VLOOKUP($B368,'1. 현장별 인원현황'!$C:$J,3,0))</f>
        <v>유형석</v>
      </c>
      <c r="E368" s="74" t="str">
        <f ca="1">IF(VLOOKUP($B368,'1. 현장별 인원현황'!$C:$J,4,0)=0,"",VLOOKUP($B368,'1. 현장별 인원현황'!$C:$J,4,0))</f>
        <v>34세</v>
      </c>
      <c r="F368" s="70" t="str">
        <f>IF(VLOOKUP($B368,'1. 현장별 인원현황'!$C:$J,7,0)=0,"",VLOOKUP($B368,'1. 현장별 인원현황'!$C:$J,7,0))</f>
        <v>공무</v>
      </c>
      <c r="G368" s="72" t="str">
        <f>IF(VLOOKUP($B368,'1. 현장별 인원현황'!$C:$J,8,0)=0,"",VLOOKUP($B368,'1. 현장별 인원현황'!$C:$J,8,0))</f>
        <v>차장</v>
      </c>
      <c r="H368" s="67" t="s">
        <v>69</v>
      </c>
      <c r="I368" s="73"/>
      <c r="J368" s="73"/>
      <c r="K368" s="68"/>
      <c r="L368" s="67"/>
      <c r="M368" s="73" t="s">
        <v>69</v>
      </c>
      <c r="N368" s="73"/>
      <c r="O368" s="68"/>
      <c r="P368" s="67" t="s">
        <v>69</v>
      </c>
      <c r="Q368" s="73"/>
      <c r="R368" s="73"/>
      <c r="S368" s="68"/>
      <c r="T368" s="67" t="s">
        <v>69</v>
      </c>
      <c r="U368" s="73"/>
      <c r="V368" s="73"/>
      <c r="W368" s="68"/>
      <c r="X368" s="67" t="s">
        <v>69</v>
      </c>
      <c r="Y368" s="73"/>
      <c r="Z368" s="73"/>
      <c r="AA368" s="68"/>
      <c r="AB368" s="67" t="s">
        <v>69</v>
      </c>
      <c r="AC368" s="73"/>
      <c r="AD368" s="73"/>
      <c r="AE368" s="68"/>
      <c r="AF368" s="67" t="s">
        <v>69</v>
      </c>
      <c r="AG368" s="73"/>
      <c r="AH368" s="73"/>
      <c r="AI368" s="68"/>
      <c r="AJ368" s="67" t="s">
        <v>69</v>
      </c>
      <c r="AK368" s="73"/>
      <c r="AL368" s="73"/>
      <c r="AM368" s="68"/>
      <c r="AN368" s="67">
        <f t="shared" si="343"/>
        <v>96</v>
      </c>
      <c r="AO368" s="68" t="str">
        <f t="shared" si="344"/>
        <v>S</v>
      </c>
      <c r="AR368" s="49">
        <f t="shared" si="345"/>
        <v>1</v>
      </c>
      <c r="AS368" s="49">
        <f t="shared" si="346"/>
        <v>0</v>
      </c>
      <c r="AT368" s="49">
        <f t="shared" si="347"/>
        <v>0</v>
      </c>
      <c r="AU368" s="49">
        <f t="shared" si="348"/>
        <v>0</v>
      </c>
      <c r="AV368" s="49">
        <f t="shared" si="349"/>
        <v>0</v>
      </c>
      <c r="AW368" s="49">
        <f t="shared" si="350"/>
        <v>1</v>
      </c>
      <c r="AX368" s="49">
        <f t="shared" si="351"/>
        <v>0</v>
      </c>
      <c r="AY368" s="49">
        <f t="shared" si="352"/>
        <v>0</v>
      </c>
      <c r="AZ368" s="49">
        <f t="shared" si="353"/>
        <v>1</v>
      </c>
      <c r="BA368" s="49">
        <f t="shared" si="354"/>
        <v>0</v>
      </c>
      <c r="BB368" s="49">
        <f t="shared" si="355"/>
        <v>0</v>
      </c>
      <c r="BC368" s="49">
        <f t="shared" si="356"/>
        <v>0</v>
      </c>
      <c r="BD368" s="49">
        <f t="shared" si="357"/>
        <v>1</v>
      </c>
      <c r="BE368" s="49">
        <f t="shared" si="358"/>
        <v>0</v>
      </c>
      <c r="BF368" s="49">
        <f t="shared" si="359"/>
        <v>0</v>
      </c>
      <c r="BG368" s="49">
        <f t="shared" si="360"/>
        <v>0</v>
      </c>
      <c r="BH368" s="49">
        <f t="shared" si="361"/>
        <v>1</v>
      </c>
      <c r="BI368" s="49">
        <f t="shared" si="362"/>
        <v>0</v>
      </c>
      <c r="BJ368" s="49">
        <f t="shared" si="363"/>
        <v>0</v>
      </c>
      <c r="BK368" s="49">
        <f t="shared" si="364"/>
        <v>0</v>
      </c>
      <c r="BL368" s="49">
        <f t="shared" si="365"/>
        <v>1</v>
      </c>
      <c r="BM368" s="49">
        <f t="shared" si="366"/>
        <v>0</v>
      </c>
      <c r="BN368" s="49">
        <f t="shared" si="367"/>
        <v>0</v>
      </c>
      <c r="BO368" s="49">
        <f t="shared" si="368"/>
        <v>0</v>
      </c>
      <c r="BP368" s="49">
        <f t="shared" si="369"/>
        <v>1</v>
      </c>
      <c r="BQ368" s="49">
        <f t="shared" si="370"/>
        <v>0</v>
      </c>
      <c r="BR368" s="49">
        <f t="shared" si="371"/>
        <v>0</v>
      </c>
      <c r="BS368" s="49">
        <f t="shared" si="372"/>
        <v>0</v>
      </c>
      <c r="BT368" s="49">
        <f t="shared" si="373"/>
        <v>1</v>
      </c>
      <c r="BU368" s="49">
        <f t="shared" si="374"/>
        <v>0</v>
      </c>
      <c r="BV368" s="49">
        <f t="shared" si="375"/>
        <v>0</v>
      </c>
      <c r="BW368" s="49">
        <f t="shared" si="376"/>
        <v>0</v>
      </c>
    </row>
    <row r="369" spans="1:75" ht="35.1" customHeight="1" x14ac:dyDescent="0.3">
      <c r="A369" s="123" t="str">
        <f t="shared" si="341"/>
        <v>3팀</v>
      </c>
      <c r="B369" s="69">
        <f t="shared" si="342"/>
        <v>363</v>
      </c>
      <c r="C369" s="121" t="str">
        <f>IF(VLOOKUP($B369,'1. 현장별 인원현황'!$C:$J,2,0)=0,"",VLOOKUP($B369,'1. 현장별 인원현황'!$C:$J,2,0))</f>
        <v xml:space="preserve"> [3.쿠팡] INC 45FC(인천) 전기공사</v>
      </c>
      <c r="D369" s="74" t="str">
        <f>IF(VLOOKUP($B369,'1. 현장별 인원현황'!$C:$J,3,0)=0,"",VLOOKUP($B369,'1. 현장별 인원현황'!$C:$J,3,0))</f>
        <v>이지현</v>
      </c>
      <c r="E369" s="74" t="str">
        <f ca="1">IF(VLOOKUP($B369,'1. 현장별 인원현황'!$C:$J,4,0)=0,"",VLOOKUP($B369,'1. 현장별 인원현황'!$C:$J,4,0))</f>
        <v>45세</v>
      </c>
      <c r="F369" s="70" t="str">
        <f>IF(VLOOKUP($B369,'1. 현장별 인원현황'!$C:$J,7,0)=0,"",VLOOKUP($B369,'1. 현장별 인원현황'!$C:$J,7,0))</f>
        <v>공무</v>
      </c>
      <c r="G369" s="72" t="str">
        <f>IF(VLOOKUP($B369,'1. 현장별 인원현황'!$C:$J,8,0)=0,"",VLOOKUP($B369,'1. 현장별 인원현황'!$C:$J,8,0))</f>
        <v>과장</v>
      </c>
      <c r="H369" s="67" t="s">
        <v>69</v>
      </c>
      <c r="I369" s="73"/>
      <c r="J369" s="73"/>
      <c r="K369" s="68"/>
      <c r="L369" s="67"/>
      <c r="M369" s="73" t="s">
        <v>69</v>
      </c>
      <c r="N369" s="73"/>
      <c r="O369" s="68"/>
      <c r="P369" s="67" t="s">
        <v>69</v>
      </c>
      <c r="Q369" s="73"/>
      <c r="R369" s="73"/>
      <c r="S369" s="68"/>
      <c r="T369" s="67" t="s">
        <v>69</v>
      </c>
      <c r="U369" s="73"/>
      <c r="V369" s="73"/>
      <c r="W369" s="68"/>
      <c r="X369" s="67" t="s">
        <v>69</v>
      </c>
      <c r="Y369" s="73"/>
      <c r="Z369" s="73"/>
      <c r="AA369" s="68"/>
      <c r="AB369" s="67" t="s">
        <v>69</v>
      </c>
      <c r="AC369" s="73"/>
      <c r="AD369" s="73"/>
      <c r="AE369" s="68"/>
      <c r="AF369" s="67" t="s">
        <v>69</v>
      </c>
      <c r="AG369" s="73"/>
      <c r="AH369" s="73"/>
      <c r="AI369" s="68"/>
      <c r="AJ369" s="67" t="s">
        <v>69</v>
      </c>
      <c r="AK369" s="73"/>
      <c r="AL369" s="73"/>
      <c r="AM369" s="68"/>
      <c r="AN369" s="67">
        <f t="shared" si="343"/>
        <v>96</v>
      </c>
      <c r="AO369" s="68" t="str">
        <f t="shared" si="344"/>
        <v>S</v>
      </c>
      <c r="AR369" s="49">
        <f t="shared" si="345"/>
        <v>1</v>
      </c>
      <c r="AS369" s="49">
        <f t="shared" si="346"/>
        <v>0</v>
      </c>
      <c r="AT369" s="49">
        <f t="shared" si="347"/>
        <v>0</v>
      </c>
      <c r="AU369" s="49">
        <f t="shared" si="348"/>
        <v>0</v>
      </c>
      <c r="AV369" s="49">
        <f t="shared" si="349"/>
        <v>0</v>
      </c>
      <c r="AW369" s="49">
        <f t="shared" si="350"/>
        <v>1</v>
      </c>
      <c r="AX369" s="49">
        <f t="shared" si="351"/>
        <v>0</v>
      </c>
      <c r="AY369" s="49">
        <f t="shared" si="352"/>
        <v>0</v>
      </c>
      <c r="AZ369" s="49">
        <f t="shared" si="353"/>
        <v>1</v>
      </c>
      <c r="BA369" s="49">
        <f t="shared" si="354"/>
        <v>0</v>
      </c>
      <c r="BB369" s="49">
        <f t="shared" si="355"/>
        <v>0</v>
      </c>
      <c r="BC369" s="49">
        <f t="shared" si="356"/>
        <v>0</v>
      </c>
      <c r="BD369" s="49">
        <f t="shared" si="357"/>
        <v>1</v>
      </c>
      <c r="BE369" s="49">
        <f t="shared" si="358"/>
        <v>0</v>
      </c>
      <c r="BF369" s="49">
        <f t="shared" si="359"/>
        <v>0</v>
      </c>
      <c r="BG369" s="49">
        <f t="shared" si="360"/>
        <v>0</v>
      </c>
      <c r="BH369" s="49">
        <f t="shared" si="361"/>
        <v>1</v>
      </c>
      <c r="BI369" s="49">
        <f t="shared" si="362"/>
        <v>0</v>
      </c>
      <c r="BJ369" s="49">
        <f t="shared" si="363"/>
        <v>0</v>
      </c>
      <c r="BK369" s="49">
        <f t="shared" si="364"/>
        <v>0</v>
      </c>
      <c r="BL369" s="49">
        <f t="shared" si="365"/>
        <v>1</v>
      </c>
      <c r="BM369" s="49">
        <f t="shared" si="366"/>
        <v>0</v>
      </c>
      <c r="BN369" s="49">
        <f t="shared" si="367"/>
        <v>0</v>
      </c>
      <c r="BO369" s="49">
        <f t="shared" si="368"/>
        <v>0</v>
      </c>
      <c r="BP369" s="49">
        <f t="shared" si="369"/>
        <v>1</v>
      </c>
      <c r="BQ369" s="49">
        <f t="shared" si="370"/>
        <v>0</v>
      </c>
      <c r="BR369" s="49">
        <f t="shared" si="371"/>
        <v>0</v>
      </c>
      <c r="BS369" s="49">
        <f t="shared" si="372"/>
        <v>0</v>
      </c>
      <c r="BT369" s="49">
        <f t="shared" si="373"/>
        <v>1</v>
      </c>
      <c r="BU369" s="49">
        <f t="shared" si="374"/>
        <v>0</v>
      </c>
      <c r="BV369" s="49">
        <f t="shared" si="375"/>
        <v>0</v>
      </c>
      <c r="BW369" s="49">
        <f t="shared" si="376"/>
        <v>0</v>
      </c>
    </row>
    <row r="370" spans="1:75" ht="35.1" customHeight="1" x14ac:dyDescent="0.3">
      <c r="A370" s="123" t="str">
        <f t="shared" si="341"/>
        <v>3팀</v>
      </c>
      <c r="B370" s="69">
        <f t="shared" si="342"/>
        <v>364</v>
      </c>
      <c r="C370" s="121" t="str">
        <f>IF(VLOOKUP($B370,'1. 현장별 인원현황'!$C:$J,2,0)=0,"",VLOOKUP($B370,'1. 현장별 인원현황'!$C:$J,2,0))</f>
        <v xml:space="preserve"> [3.쿠팡] INC 45FC(인천) 전기공사</v>
      </c>
      <c r="D370" s="74" t="str">
        <f>IF(VLOOKUP($B370,'1. 현장별 인원현황'!$C:$J,3,0)=0,"",VLOOKUP($B370,'1. 현장별 인원현황'!$C:$J,3,0))</f>
        <v>이규선</v>
      </c>
      <c r="E370" s="74" t="str">
        <f ca="1">IF(VLOOKUP($B370,'1. 현장별 인원현황'!$C:$J,4,0)=0,"",VLOOKUP($B370,'1. 현장별 인원현황'!$C:$J,4,0))</f>
        <v>42세</v>
      </c>
      <c r="F370" s="70" t="str">
        <f>IF(VLOOKUP($B370,'1. 현장별 인원현황'!$C:$J,7,0)=0,"",VLOOKUP($B370,'1. 현장별 인원현황'!$C:$J,7,0))</f>
        <v>공사</v>
      </c>
      <c r="G370" s="72" t="str">
        <f>IF(VLOOKUP($B370,'1. 현장별 인원현황'!$C:$J,8,0)=0,"",VLOOKUP($B370,'1. 현장별 인원현황'!$C:$J,8,0))</f>
        <v>대리</v>
      </c>
      <c r="H370" s="67" t="s">
        <v>69</v>
      </c>
      <c r="I370" s="73"/>
      <c r="J370" s="73"/>
      <c r="K370" s="68"/>
      <c r="L370" s="67"/>
      <c r="M370" s="73" t="s">
        <v>69</v>
      </c>
      <c r="N370" s="73"/>
      <c r="O370" s="68"/>
      <c r="P370" s="67" t="s">
        <v>69</v>
      </c>
      <c r="Q370" s="73"/>
      <c r="R370" s="73"/>
      <c r="S370" s="68"/>
      <c r="T370" s="67" t="s">
        <v>69</v>
      </c>
      <c r="U370" s="73"/>
      <c r="V370" s="73"/>
      <c r="W370" s="68"/>
      <c r="X370" s="67" t="s">
        <v>69</v>
      </c>
      <c r="Y370" s="73"/>
      <c r="Z370" s="73"/>
      <c r="AA370" s="68"/>
      <c r="AB370" s="67" t="s">
        <v>69</v>
      </c>
      <c r="AC370" s="73"/>
      <c r="AD370" s="73"/>
      <c r="AE370" s="68"/>
      <c r="AF370" s="67" t="s">
        <v>69</v>
      </c>
      <c r="AG370" s="73"/>
      <c r="AH370" s="73"/>
      <c r="AI370" s="68"/>
      <c r="AJ370" s="67" t="s">
        <v>69</v>
      </c>
      <c r="AK370" s="73"/>
      <c r="AL370" s="73"/>
      <c r="AM370" s="68"/>
      <c r="AN370" s="67">
        <f t="shared" si="343"/>
        <v>96</v>
      </c>
      <c r="AO370" s="68" t="str">
        <f t="shared" si="344"/>
        <v>S</v>
      </c>
      <c r="AR370" s="49">
        <f t="shared" si="345"/>
        <v>1</v>
      </c>
      <c r="AS370" s="49">
        <f t="shared" si="346"/>
        <v>0</v>
      </c>
      <c r="AT370" s="49">
        <f t="shared" si="347"/>
        <v>0</v>
      </c>
      <c r="AU370" s="49">
        <f t="shared" si="348"/>
        <v>0</v>
      </c>
      <c r="AV370" s="49">
        <f t="shared" si="349"/>
        <v>0</v>
      </c>
      <c r="AW370" s="49">
        <f t="shared" si="350"/>
        <v>1</v>
      </c>
      <c r="AX370" s="49">
        <f t="shared" si="351"/>
        <v>0</v>
      </c>
      <c r="AY370" s="49">
        <f t="shared" si="352"/>
        <v>0</v>
      </c>
      <c r="AZ370" s="49">
        <f t="shared" si="353"/>
        <v>1</v>
      </c>
      <c r="BA370" s="49">
        <f t="shared" si="354"/>
        <v>0</v>
      </c>
      <c r="BB370" s="49">
        <f t="shared" si="355"/>
        <v>0</v>
      </c>
      <c r="BC370" s="49">
        <f t="shared" si="356"/>
        <v>0</v>
      </c>
      <c r="BD370" s="49">
        <f t="shared" si="357"/>
        <v>1</v>
      </c>
      <c r="BE370" s="49">
        <f t="shared" si="358"/>
        <v>0</v>
      </c>
      <c r="BF370" s="49">
        <f t="shared" si="359"/>
        <v>0</v>
      </c>
      <c r="BG370" s="49">
        <f t="shared" si="360"/>
        <v>0</v>
      </c>
      <c r="BH370" s="49">
        <f t="shared" si="361"/>
        <v>1</v>
      </c>
      <c r="BI370" s="49">
        <f t="shared" si="362"/>
        <v>0</v>
      </c>
      <c r="BJ370" s="49">
        <f t="shared" si="363"/>
        <v>0</v>
      </c>
      <c r="BK370" s="49">
        <f t="shared" si="364"/>
        <v>0</v>
      </c>
      <c r="BL370" s="49">
        <f t="shared" si="365"/>
        <v>1</v>
      </c>
      <c r="BM370" s="49">
        <f t="shared" si="366"/>
        <v>0</v>
      </c>
      <c r="BN370" s="49">
        <f t="shared" si="367"/>
        <v>0</v>
      </c>
      <c r="BO370" s="49">
        <f t="shared" si="368"/>
        <v>0</v>
      </c>
      <c r="BP370" s="49">
        <f t="shared" si="369"/>
        <v>1</v>
      </c>
      <c r="BQ370" s="49">
        <f t="shared" si="370"/>
        <v>0</v>
      </c>
      <c r="BR370" s="49">
        <f t="shared" si="371"/>
        <v>0</v>
      </c>
      <c r="BS370" s="49">
        <f t="shared" si="372"/>
        <v>0</v>
      </c>
      <c r="BT370" s="49">
        <f t="shared" si="373"/>
        <v>1</v>
      </c>
      <c r="BU370" s="49">
        <f t="shared" si="374"/>
        <v>0</v>
      </c>
      <c r="BV370" s="49">
        <f t="shared" si="375"/>
        <v>0</v>
      </c>
      <c r="BW370" s="49">
        <f t="shared" si="376"/>
        <v>0</v>
      </c>
    </row>
    <row r="371" spans="1:75" ht="35.1" customHeight="1" x14ac:dyDescent="0.3">
      <c r="A371" s="123" t="str">
        <f t="shared" si="341"/>
        <v>3팀</v>
      </c>
      <c r="B371" s="69">
        <f t="shared" si="342"/>
        <v>365</v>
      </c>
      <c r="C371" s="121" t="str">
        <f>IF(VLOOKUP($B371,'1. 현장별 인원현황'!$C:$J,2,0)=0,"",VLOOKUP($B371,'1. 현장별 인원현황'!$C:$J,2,0))</f>
        <v xml:space="preserve"> [3.쿠팡] INC 45FC(인천) 전기공사</v>
      </c>
      <c r="D371" s="74" t="str">
        <f>IF(VLOOKUP($B371,'1. 현장별 인원현황'!$C:$J,3,0)=0,"",VLOOKUP($B371,'1. 현장별 인원현황'!$C:$J,3,0))</f>
        <v>김경훈</v>
      </c>
      <c r="E371" s="74" t="str">
        <f ca="1">IF(VLOOKUP($B371,'1. 현장별 인원현황'!$C:$J,4,0)=0,"",VLOOKUP($B371,'1. 현장별 인원현황'!$C:$J,4,0))</f>
        <v>39세</v>
      </c>
      <c r="F371" s="70" t="str">
        <f>IF(VLOOKUP($B371,'1. 현장별 인원현황'!$C:$J,7,0)=0,"",VLOOKUP($B371,'1. 현장별 인원현황'!$C:$J,7,0))</f>
        <v>안전관리자</v>
      </c>
      <c r="G371" s="72" t="str">
        <f>IF(VLOOKUP($B371,'1. 현장별 인원현황'!$C:$J,8,0)=0,"",VLOOKUP($B371,'1. 현장별 인원현황'!$C:$J,8,0))</f>
        <v>과장</v>
      </c>
      <c r="H371" s="67" t="s">
        <v>69</v>
      </c>
      <c r="I371" s="73"/>
      <c r="J371" s="73"/>
      <c r="K371" s="68"/>
      <c r="L371" s="67" t="s">
        <v>69</v>
      </c>
      <c r="M371" s="73"/>
      <c r="N371" s="73"/>
      <c r="O371" s="68"/>
      <c r="P371" s="67" t="s">
        <v>69</v>
      </c>
      <c r="Q371" s="73"/>
      <c r="R371" s="73"/>
      <c r="S371" s="68"/>
      <c r="T371" s="67" t="s">
        <v>69</v>
      </c>
      <c r="U371" s="73"/>
      <c r="V371" s="73"/>
      <c r="W371" s="68"/>
      <c r="X371" s="67" t="s">
        <v>69</v>
      </c>
      <c r="Y371" s="73"/>
      <c r="Z371" s="73"/>
      <c r="AA371" s="68"/>
      <c r="AB371" s="67" t="s">
        <v>69</v>
      </c>
      <c r="AC371" s="73"/>
      <c r="AD371" s="73"/>
      <c r="AE371" s="68"/>
      <c r="AF371" s="67" t="s">
        <v>69</v>
      </c>
      <c r="AG371" s="73"/>
      <c r="AH371" s="73"/>
      <c r="AI371" s="68"/>
      <c r="AJ371" s="67" t="s">
        <v>69</v>
      </c>
      <c r="AK371" s="73"/>
      <c r="AL371" s="73"/>
      <c r="AM371" s="68"/>
      <c r="AN371" s="67">
        <f t="shared" si="343"/>
        <v>100</v>
      </c>
      <c r="AO371" s="68" t="str">
        <f t="shared" si="344"/>
        <v>S</v>
      </c>
      <c r="AR371" s="49">
        <f t="shared" si="345"/>
        <v>1</v>
      </c>
      <c r="AS371" s="49">
        <f t="shared" si="346"/>
        <v>0</v>
      </c>
      <c r="AT371" s="49">
        <f t="shared" si="347"/>
        <v>0</v>
      </c>
      <c r="AU371" s="49">
        <f t="shared" si="348"/>
        <v>0</v>
      </c>
      <c r="AV371" s="49">
        <f t="shared" si="349"/>
        <v>1</v>
      </c>
      <c r="AW371" s="49">
        <f t="shared" si="350"/>
        <v>0</v>
      </c>
      <c r="AX371" s="49">
        <f t="shared" si="351"/>
        <v>0</v>
      </c>
      <c r="AY371" s="49">
        <f t="shared" si="352"/>
        <v>0</v>
      </c>
      <c r="AZ371" s="49">
        <f t="shared" si="353"/>
        <v>1</v>
      </c>
      <c r="BA371" s="49">
        <f t="shared" si="354"/>
        <v>0</v>
      </c>
      <c r="BB371" s="49">
        <f t="shared" si="355"/>
        <v>0</v>
      </c>
      <c r="BC371" s="49">
        <f t="shared" si="356"/>
        <v>0</v>
      </c>
      <c r="BD371" s="49">
        <f t="shared" si="357"/>
        <v>1</v>
      </c>
      <c r="BE371" s="49">
        <f t="shared" si="358"/>
        <v>0</v>
      </c>
      <c r="BF371" s="49">
        <f t="shared" si="359"/>
        <v>0</v>
      </c>
      <c r="BG371" s="49">
        <f t="shared" si="360"/>
        <v>0</v>
      </c>
      <c r="BH371" s="49">
        <f t="shared" si="361"/>
        <v>1</v>
      </c>
      <c r="BI371" s="49">
        <f t="shared" si="362"/>
        <v>0</v>
      </c>
      <c r="BJ371" s="49">
        <f t="shared" si="363"/>
        <v>0</v>
      </c>
      <c r="BK371" s="49">
        <f t="shared" si="364"/>
        <v>0</v>
      </c>
      <c r="BL371" s="49">
        <f t="shared" si="365"/>
        <v>1</v>
      </c>
      <c r="BM371" s="49">
        <f t="shared" si="366"/>
        <v>0</v>
      </c>
      <c r="BN371" s="49">
        <f t="shared" si="367"/>
        <v>0</v>
      </c>
      <c r="BO371" s="49">
        <f t="shared" si="368"/>
        <v>0</v>
      </c>
      <c r="BP371" s="49">
        <f t="shared" si="369"/>
        <v>1</v>
      </c>
      <c r="BQ371" s="49">
        <f t="shared" si="370"/>
        <v>0</v>
      </c>
      <c r="BR371" s="49">
        <f t="shared" si="371"/>
        <v>0</v>
      </c>
      <c r="BS371" s="49">
        <f t="shared" si="372"/>
        <v>0</v>
      </c>
      <c r="BT371" s="49">
        <f t="shared" si="373"/>
        <v>1</v>
      </c>
      <c r="BU371" s="49">
        <f t="shared" si="374"/>
        <v>0</v>
      </c>
      <c r="BV371" s="49">
        <f t="shared" si="375"/>
        <v>0</v>
      </c>
      <c r="BW371" s="49">
        <f t="shared" si="376"/>
        <v>0</v>
      </c>
    </row>
    <row r="372" spans="1:75" ht="35.1" customHeight="1" x14ac:dyDescent="0.3">
      <c r="A372" s="123" t="str">
        <f t="shared" si="341"/>
        <v>3팀</v>
      </c>
      <c r="B372" s="69">
        <f t="shared" si="342"/>
        <v>366</v>
      </c>
      <c r="C372" s="121" t="str">
        <f>IF(VLOOKUP($B372,'1. 현장별 인원현황'!$C:$J,2,0)=0,"",VLOOKUP($B372,'1. 현장별 인원현황'!$C:$J,2,0))</f>
        <v xml:space="preserve"> [3.쿠팡] INC 45FC(인천) 전기공사</v>
      </c>
      <c r="D372" s="74" t="str">
        <f>IF(VLOOKUP($B372,'1. 현장별 인원현황'!$C:$J,3,0)=0,"",VLOOKUP($B372,'1. 현장별 인원현황'!$C:$J,3,0))</f>
        <v>조승호</v>
      </c>
      <c r="E372" s="74" t="str">
        <f ca="1">IF(VLOOKUP($B372,'1. 현장별 인원현황'!$C:$J,4,0)=0,"",VLOOKUP($B372,'1. 현장별 인원현황'!$C:$J,4,0))</f>
        <v>60세</v>
      </c>
      <c r="F372" s="70" t="str">
        <f>IF(VLOOKUP($B372,'1. 현장별 인원현황'!$C:$J,7,0)=0,"",VLOOKUP($B372,'1. 현장별 인원현황'!$C:$J,7,0))</f>
        <v>공사</v>
      </c>
      <c r="G372" s="72" t="str">
        <f>IF(VLOOKUP($B372,'1. 현장별 인원현황'!$C:$J,8,0)=0,"",VLOOKUP($B372,'1. 현장별 인원현황'!$C:$J,8,0))</f>
        <v>차장</v>
      </c>
      <c r="H372" s="67" t="s">
        <v>69</v>
      </c>
      <c r="I372" s="73"/>
      <c r="J372" s="73"/>
      <c r="K372" s="68"/>
      <c r="L372" s="67"/>
      <c r="M372" s="73" t="s">
        <v>69</v>
      </c>
      <c r="N372" s="73"/>
      <c r="O372" s="68"/>
      <c r="P372" s="67" t="s">
        <v>69</v>
      </c>
      <c r="Q372" s="73"/>
      <c r="R372" s="73"/>
      <c r="S372" s="68"/>
      <c r="T372" s="67" t="s">
        <v>69</v>
      </c>
      <c r="U372" s="73"/>
      <c r="V372" s="73"/>
      <c r="W372" s="68"/>
      <c r="X372" s="67" t="s">
        <v>69</v>
      </c>
      <c r="Y372" s="73"/>
      <c r="Z372" s="73"/>
      <c r="AA372" s="68"/>
      <c r="AB372" s="67" t="s">
        <v>69</v>
      </c>
      <c r="AC372" s="73"/>
      <c r="AD372" s="73"/>
      <c r="AE372" s="68"/>
      <c r="AF372" s="67" t="s">
        <v>69</v>
      </c>
      <c r="AG372" s="73"/>
      <c r="AH372" s="73"/>
      <c r="AI372" s="68"/>
      <c r="AJ372" s="67" t="s">
        <v>69</v>
      </c>
      <c r="AK372" s="73"/>
      <c r="AL372" s="73"/>
      <c r="AM372" s="68"/>
      <c r="AN372" s="67">
        <f t="shared" si="343"/>
        <v>96</v>
      </c>
      <c r="AO372" s="68" t="str">
        <f t="shared" si="344"/>
        <v>S</v>
      </c>
      <c r="AR372" s="49">
        <f t="shared" si="41"/>
        <v>1</v>
      </c>
      <c r="AS372" s="49">
        <f t="shared" si="42"/>
        <v>0</v>
      </c>
      <c r="AT372" s="49">
        <f t="shared" si="43"/>
        <v>0</v>
      </c>
      <c r="AU372" s="49">
        <f t="shared" si="44"/>
        <v>0</v>
      </c>
      <c r="AV372" s="49">
        <f t="shared" si="45"/>
        <v>0</v>
      </c>
      <c r="AW372" s="49">
        <f t="shared" si="46"/>
        <v>1</v>
      </c>
      <c r="AX372" s="49">
        <f t="shared" si="47"/>
        <v>0</v>
      </c>
      <c r="AY372" s="49">
        <f t="shared" si="48"/>
        <v>0</v>
      </c>
      <c r="AZ372" s="49">
        <f t="shared" si="49"/>
        <v>1</v>
      </c>
      <c r="BA372" s="49">
        <f t="shared" si="50"/>
        <v>0</v>
      </c>
      <c r="BB372" s="49">
        <f t="shared" si="51"/>
        <v>0</v>
      </c>
      <c r="BC372" s="49">
        <f t="shared" si="52"/>
        <v>0</v>
      </c>
      <c r="BD372" s="49">
        <f t="shared" si="53"/>
        <v>1</v>
      </c>
      <c r="BE372" s="49">
        <f t="shared" si="54"/>
        <v>0</v>
      </c>
      <c r="BF372" s="49">
        <f t="shared" si="55"/>
        <v>0</v>
      </c>
      <c r="BG372" s="49">
        <f t="shared" si="56"/>
        <v>0</v>
      </c>
      <c r="BH372" s="49">
        <f t="shared" si="57"/>
        <v>1</v>
      </c>
      <c r="BI372" s="49">
        <f t="shared" si="58"/>
        <v>0</v>
      </c>
      <c r="BJ372" s="49">
        <f t="shared" si="59"/>
        <v>0</v>
      </c>
      <c r="BK372" s="49">
        <f t="shared" si="60"/>
        <v>0</v>
      </c>
      <c r="BL372" s="49">
        <f t="shared" si="61"/>
        <v>1</v>
      </c>
      <c r="BM372" s="49">
        <f t="shared" si="62"/>
        <v>0</v>
      </c>
      <c r="BN372" s="49">
        <f t="shared" si="63"/>
        <v>0</v>
      </c>
      <c r="BO372" s="49">
        <f t="shared" si="64"/>
        <v>0</v>
      </c>
      <c r="BP372" s="49">
        <f t="shared" si="65"/>
        <v>1</v>
      </c>
      <c r="BQ372" s="49">
        <f t="shared" si="66"/>
        <v>0</v>
      </c>
      <c r="BR372" s="49">
        <f t="shared" si="67"/>
        <v>0</v>
      </c>
      <c r="BS372" s="49">
        <f t="shared" si="68"/>
        <v>0</v>
      </c>
      <c r="BT372" s="49">
        <f t="shared" si="69"/>
        <v>1</v>
      </c>
      <c r="BU372" s="49">
        <f t="shared" si="70"/>
        <v>0</v>
      </c>
      <c r="BV372" s="49">
        <f t="shared" si="71"/>
        <v>0</v>
      </c>
      <c r="BW372" s="49">
        <f t="shared" si="72"/>
        <v>0</v>
      </c>
    </row>
    <row r="373" spans="1:75" ht="35.1" customHeight="1" x14ac:dyDescent="0.3">
      <c r="A373" s="123" t="str">
        <f t="shared" si="341"/>
        <v>3팀</v>
      </c>
      <c r="B373" s="69">
        <f t="shared" si="342"/>
        <v>367</v>
      </c>
      <c r="C373" s="121" t="str">
        <f>IF(VLOOKUP($B373,'1. 현장별 인원현황'!$C:$J,2,0)=0,"",VLOOKUP($B373,'1. 현장별 인원현황'!$C:$J,2,0))</f>
        <v xml:space="preserve"> [3.쿠팡] INC 45FC(인천) 전기공사</v>
      </c>
      <c r="D373" s="74" t="str">
        <f>IF(VLOOKUP($B373,'1. 현장별 인원현황'!$C:$J,3,0)=0,"",VLOOKUP($B373,'1. 현장별 인원현황'!$C:$J,3,0))</f>
        <v>최종구</v>
      </c>
      <c r="E373" s="74" t="str">
        <f ca="1">IF(VLOOKUP($B373,'1. 현장별 인원현황'!$C:$J,4,0)=0,"",VLOOKUP($B373,'1. 현장별 인원현황'!$C:$J,4,0))</f>
        <v>52세</v>
      </c>
      <c r="F373" s="70" t="str">
        <f>IF(VLOOKUP($B373,'1. 현장별 인원현황'!$C:$J,7,0)=0,"",VLOOKUP($B373,'1. 현장별 인원현황'!$C:$J,7,0))</f>
        <v>기능공</v>
      </c>
      <c r="G373" s="72" t="str">
        <f>IF(VLOOKUP($B373,'1. 현장별 인원현황'!$C:$J,8,0)=0,"",VLOOKUP($B373,'1. 현장별 인원현황'!$C:$J,8,0))</f>
        <v>전공</v>
      </c>
      <c r="H373" s="67" t="s">
        <v>69</v>
      </c>
      <c r="I373" s="73"/>
      <c r="J373" s="73"/>
      <c r="K373" s="68"/>
      <c r="L373" s="67"/>
      <c r="M373" s="73" t="s">
        <v>69</v>
      </c>
      <c r="N373" s="73"/>
      <c r="O373" s="68"/>
      <c r="P373" s="67" t="s">
        <v>69</v>
      </c>
      <c r="Q373" s="73"/>
      <c r="R373" s="73"/>
      <c r="S373" s="68"/>
      <c r="T373" s="67" t="s">
        <v>69</v>
      </c>
      <c r="U373" s="73"/>
      <c r="V373" s="73"/>
      <c r="W373" s="68"/>
      <c r="X373" s="67" t="s">
        <v>69</v>
      </c>
      <c r="Y373" s="73"/>
      <c r="Z373" s="73"/>
      <c r="AA373" s="68"/>
      <c r="AB373" s="67" t="s">
        <v>69</v>
      </c>
      <c r="AC373" s="73"/>
      <c r="AD373" s="73"/>
      <c r="AE373" s="68"/>
      <c r="AF373" s="67" t="s">
        <v>69</v>
      </c>
      <c r="AG373" s="73"/>
      <c r="AH373" s="73"/>
      <c r="AI373" s="68"/>
      <c r="AJ373" s="67" t="s">
        <v>69</v>
      </c>
      <c r="AK373" s="73"/>
      <c r="AL373" s="73"/>
      <c r="AM373" s="68"/>
      <c r="AN373" s="67">
        <f t="shared" si="343"/>
        <v>96</v>
      </c>
      <c r="AO373" s="68" t="str">
        <f t="shared" si="344"/>
        <v>S</v>
      </c>
      <c r="AR373" s="49">
        <f t="shared" si="41"/>
        <v>1</v>
      </c>
      <c r="AS373" s="49">
        <f t="shared" si="42"/>
        <v>0</v>
      </c>
      <c r="AT373" s="49">
        <f t="shared" si="43"/>
        <v>0</v>
      </c>
      <c r="AU373" s="49">
        <f t="shared" si="44"/>
        <v>0</v>
      </c>
      <c r="AV373" s="49">
        <f t="shared" si="45"/>
        <v>0</v>
      </c>
      <c r="AW373" s="49">
        <f t="shared" si="46"/>
        <v>1</v>
      </c>
      <c r="AX373" s="49">
        <f t="shared" si="47"/>
        <v>0</v>
      </c>
      <c r="AY373" s="49">
        <f t="shared" si="48"/>
        <v>0</v>
      </c>
      <c r="AZ373" s="49">
        <f t="shared" si="49"/>
        <v>1</v>
      </c>
      <c r="BA373" s="49">
        <f t="shared" si="50"/>
        <v>0</v>
      </c>
      <c r="BB373" s="49">
        <f t="shared" si="51"/>
        <v>0</v>
      </c>
      <c r="BC373" s="49">
        <f t="shared" si="52"/>
        <v>0</v>
      </c>
      <c r="BD373" s="49">
        <f t="shared" si="53"/>
        <v>1</v>
      </c>
      <c r="BE373" s="49">
        <f t="shared" si="54"/>
        <v>0</v>
      </c>
      <c r="BF373" s="49">
        <f t="shared" si="55"/>
        <v>0</v>
      </c>
      <c r="BG373" s="49">
        <f t="shared" si="56"/>
        <v>0</v>
      </c>
      <c r="BH373" s="49">
        <f t="shared" si="57"/>
        <v>1</v>
      </c>
      <c r="BI373" s="49">
        <f t="shared" si="58"/>
        <v>0</v>
      </c>
      <c r="BJ373" s="49">
        <f t="shared" si="59"/>
        <v>0</v>
      </c>
      <c r="BK373" s="49">
        <f t="shared" si="60"/>
        <v>0</v>
      </c>
      <c r="BL373" s="49">
        <f t="shared" si="61"/>
        <v>1</v>
      </c>
      <c r="BM373" s="49">
        <f t="shared" si="62"/>
        <v>0</v>
      </c>
      <c r="BN373" s="49">
        <f t="shared" si="63"/>
        <v>0</v>
      </c>
      <c r="BO373" s="49">
        <f t="shared" si="64"/>
        <v>0</v>
      </c>
      <c r="BP373" s="49">
        <f t="shared" si="65"/>
        <v>1</v>
      </c>
      <c r="BQ373" s="49">
        <f t="shared" si="66"/>
        <v>0</v>
      </c>
      <c r="BR373" s="49">
        <f t="shared" si="67"/>
        <v>0</v>
      </c>
      <c r="BS373" s="49">
        <f t="shared" si="68"/>
        <v>0</v>
      </c>
      <c r="BT373" s="49">
        <f t="shared" si="69"/>
        <v>1</v>
      </c>
      <c r="BU373" s="49">
        <f t="shared" si="70"/>
        <v>0</v>
      </c>
      <c r="BV373" s="49">
        <f t="shared" si="71"/>
        <v>0</v>
      </c>
      <c r="BW373" s="49">
        <f t="shared" si="72"/>
        <v>0</v>
      </c>
    </row>
    <row r="374" spans="1:75" ht="35.1" customHeight="1" x14ac:dyDescent="0.3">
      <c r="A374" s="123" t="str">
        <f t="shared" si="341"/>
        <v>3팀</v>
      </c>
      <c r="B374" s="69">
        <f t="shared" si="342"/>
        <v>368</v>
      </c>
      <c r="C374" s="121" t="str">
        <f>IF(VLOOKUP($B374,'1. 현장별 인원현황'!$C:$J,2,0)=0,"",VLOOKUP($B374,'1. 현장별 인원현황'!$C:$J,2,0))</f>
        <v xml:space="preserve"> [3.쿠팡] INC 45FC(인천) 전기공사</v>
      </c>
      <c r="D374" s="74" t="str">
        <f>IF(VLOOKUP($B374,'1. 현장별 인원현황'!$C:$J,3,0)=0,"",VLOOKUP($B374,'1. 현장별 인원현황'!$C:$J,3,0))</f>
        <v>김승규</v>
      </c>
      <c r="E374" s="74" t="str">
        <f ca="1">IF(VLOOKUP($B374,'1. 현장별 인원현황'!$C:$J,4,0)=0,"",VLOOKUP($B374,'1. 현장별 인원현황'!$C:$J,4,0))</f>
        <v>54세</v>
      </c>
      <c r="F374" s="70" t="str">
        <f>IF(VLOOKUP($B374,'1. 현장별 인원현황'!$C:$J,7,0)=0,"",VLOOKUP($B374,'1. 현장별 인원현황'!$C:$J,7,0))</f>
        <v>기능공</v>
      </c>
      <c r="G374" s="72" t="str">
        <f>IF(VLOOKUP($B374,'1. 현장별 인원현황'!$C:$J,8,0)=0,"",VLOOKUP($B374,'1. 현장별 인원현황'!$C:$J,8,0))</f>
        <v>전공</v>
      </c>
      <c r="H374" s="67" t="s">
        <v>69</v>
      </c>
      <c r="I374" s="73"/>
      <c r="J374" s="73"/>
      <c r="K374" s="68"/>
      <c r="L374" s="67" t="s">
        <v>69</v>
      </c>
      <c r="M374" s="73"/>
      <c r="N374" s="73"/>
      <c r="O374" s="68"/>
      <c r="P374" s="67" t="s">
        <v>69</v>
      </c>
      <c r="Q374" s="73"/>
      <c r="R374" s="73"/>
      <c r="S374" s="68"/>
      <c r="T374" s="67" t="s">
        <v>69</v>
      </c>
      <c r="U374" s="73"/>
      <c r="V374" s="73"/>
      <c r="W374" s="68"/>
      <c r="X374" s="67" t="s">
        <v>69</v>
      </c>
      <c r="Y374" s="73"/>
      <c r="Z374" s="73"/>
      <c r="AA374" s="68"/>
      <c r="AB374" s="67" t="s">
        <v>69</v>
      </c>
      <c r="AC374" s="73"/>
      <c r="AD374" s="73"/>
      <c r="AE374" s="68"/>
      <c r="AF374" s="67" t="s">
        <v>69</v>
      </c>
      <c r="AG374" s="73"/>
      <c r="AH374" s="73"/>
      <c r="AI374" s="68"/>
      <c r="AJ374" s="67" t="s">
        <v>69</v>
      </c>
      <c r="AK374" s="73"/>
      <c r="AL374" s="73"/>
      <c r="AM374" s="68"/>
      <c r="AN374" s="67">
        <f t="shared" si="343"/>
        <v>100</v>
      </c>
      <c r="AO374" s="68" t="str">
        <f t="shared" si="344"/>
        <v>S</v>
      </c>
      <c r="AR374" s="49">
        <f t="shared" si="41"/>
        <v>1</v>
      </c>
      <c r="AS374" s="49">
        <f t="shared" si="42"/>
        <v>0</v>
      </c>
      <c r="AT374" s="49">
        <f t="shared" si="43"/>
        <v>0</v>
      </c>
      <c r="AU374" s="49">
        <f t="shared" si="44"/>
        <v>0</v>
      </c>
      <c r="AV374" s="49">
        <f t="shared" si="45"/>
        <v>1</v>
      </c>
      <c r="AW374" s="49">
        <f t="shared" si="46"/>
        <v>0</v>
      </c>
      <c r="AX374" s="49">
        <f t="shared" si="47"/>
        <v>0</v>
      </c>
      <c r="AY374" s="49">
        <f t="shared" si="48"/>
        <v>0</v>
      </c>
      <c r="AZ374" s="49">
        <f t="shared" si="49"/>
        <v>1</v>
      </c>
      <c r="BA374" s="49">
        <f t="shared" si="50"/>
        <v>0</v>
      </c>
      <c r="BB374" s="49">
        <f t="shared" si="51"/>
        <v>0</v>
      </c>
      <c r="BC374" s="49">
        <f t="shared" si="52"/>
        <v>0</v>
      </c>
      <c r="BD374" s="49">
        <f t="shared" si="53"/>
        <v>1</v>
      </c>
      <c r="BE374" s="49">
        <f t="shared" si="54"/>
        <v>0</v>
      </c>
      <c r="BF374" s="49">
        <f t="shared" si="55"/>
        <v>0</v>
      </c>
      <c r="BG374" s="49">
        <f t="shared" si="56"/>
        <v>0</v>
      </c>
      <c r="BH374" s="49">
        <f t="shared" si="57"/>
        <v>1</v>
      </c>
      <c r="BI374" s="49">
        <f t="shared" si="58"/>
        <v>0</v>
      </c>
      <c r="BJ374" s="49">
        <f t="shared" si="59"/>
        <v>0</v>
      </c>
      <c r="BK374" s="49">
        <f t="shared" si="60"/>
        <v>0</v>
      </c>
      <c r="BL374" s="49">
        <f t="shared" si="61"/>
        <v>1</v>
      </c>
      <c r="BM374" s="49">
        <f t="shared" si="62"/>
        <v>0</v>
      </c>
      <c r="BN374" s="49">
        <f t="shared" si="63"/>
        <v>0</v>
      </c>
      <c r="BO374" s="49">
        <f t="shared" si="64"/>
        <v>0</v>
      </c>
      <c r="BP374" s="49">
        <f t="shared" si="65"/>
        <v>1</v>
      </c>
      <c r="BQ374" s="49">
        <f t="shared" si="66"/>
        <v>0</v>
      </c>
      <c r="BR374" s="49">
        <f t="shared" si="67"/>
        <v>0</v>
      </c>
      <c r="BS374" s="49">
        <f t="shared" si="68"/>
        <v>0</v>
      </c>
      <c r="BT374" s="49">
        <f t="shared" si="69"/>
        <v>1</v>
      </c>
      <c r="BU374" s="49">
        <f t="shared" si="70"/>
        <v>0</v>
      </c>
      <c r="BV374" s="49">
        <f t="shared" si="71"/>
        <v>0</v>
      </c>
      <c r="BW374" s="49">
        <f t="shared" si="72"/>
        <v>0</v>
      </c>
    </row>
    <row r="375" spans="1:75" ht="35.1" customHeight="1" x14ac:dyDescent="0.3">
      <c r="A375" s="123" t="str">
        <f t="shared" si="341"/>
        <v>3팀</v>
      </c>
      <c r="B375" s="69">
        <f t="shared" si="342"/>
        <v>369</v>
      </c>
      <c r="C375" s="121" t="str">
        <f>IF(VLOOKUP($B375,'1. 현장별 인원현황'!$C:$J,2,0)=0,"",VLOOKUP($B375,'1. 현장별 인원현황'!$C:$J,2,0))</f>
        <v xml:space="preserve"> [3.쿠팡] INC 45FC(인천) 전기공사</v>
      </c>
      <c r="D375" s="74" t="str">
        <f>IF(VLOOKUP($B375,'1. 현장별 인원현황'!$C:$J,3,0)=0,"",VLOOKUP($B375,'1. 현장별 인원현황'!$C:$J,3,0))</f>
        <v>이재빈</v>
      </c>
      <c r="E375" s="74" t="str">
        <f ca="1">IF(VLOOKUP($B375,'1. 현장별 인원현황'!$C:$J,4,0)=0,"",VLOOKUP($B375,'1. 현장별 인원현황'!$C:$J,4,0))</f>
        <v>34세</v>
      </c>
      <c r="F375" s="70" t="str">
        <f>IF(VLOOKUP($B375,'1. 현장별 인원현황'!$C:$J,7,0)=0,"",VLOOKUP($B375,'1. 현장별 인원현황'!$C:$J,7,0))</f>
        <v>기능공</v>
      </c>
      <c r="G375" s="72" t="str">
        <f>IF(VLOOKUP($B375,'1. 현장별 인원현황'!$C:$J,8,0)=0,"",VLOOKUP($B375,'1. 현장별 인원현황'!$C:$J,8,0))</f>
        <v>전공</v>
      </c>
      <c r="H375" s="67" t="s">
        <v>69</v>
      </c>
      <c r="I375" s="73"/>
      <c r="J375" s="73"/>
      <c r="K375" s="68"/>
      <c r="L375" s="67" t="s">
        <v>69</v>
      </c>
      <c r="M375" s="73"/>
      <c r="N375" s="73"/>
      <c r="O375" s="68"/>
      <c r="P375" s="67" t="s">
        <v>69</v>
      </c>
      <c r="Q375" s="73"/>
      <c r="R375" s="73"/>
      <c r="S375" s="68"/>
      <c r="T375" s="67" t="s">
        <v>69</v>
      </c>
      <c r="U375" s="73"/>
      <c r="V375" s="73"/>
      <c r="W375" s="68"/>
      <c r="X375" s="67" t="s">
        <v>69</v>
      </c>
      <c r="Y375" s="73"/>
      <c r="Z375" s="73"/>
      <c r="AA375" s="68"/>
      <c r="AB375" s="67" t="s">
        <v>69</v>
      </c>
      <c r="AC375" s="73"/>
      <c r="AD375" s="73"/>
      <c r="AE375" s="68"/>
      <c r="AF375" s="67" t="s">
        <v>69</v>
      </c>
      <c r="AG375" s="73"/>
      <c r="AH375" s="73"/>
      <c r="AI375" s="68"/>
      <c r="AJ375" s="67" t="s">
        <v>69</v>
      </c>
      <c r="AK375" s="73"/>
      <c r="AL375" s="73"/>
      <c r="AM375" s="68"/>
      <c r="AN375" s="67">
        <f t="shared" si="343"/>
        <v>100</v>
      </c>
      <c r="AO375" s="68" t="str">
        <f t="shared" si="344"/>
        <v>S</v>
      </c>
      <c r="AR375" s="49">
        <f t="shared" si="41"/>
        <v>1</v>
      </c>
      <c r="AS375" s="49">
        <f t="shared" si="42"/>
        <v>0</v>
      </c>
      <c r="AT375" s="49">
        <f t="shared" si="43"/>
        <v>0</v>
      </c>
      <c r="AU375" s="49">
        <f t="shared" si="44"/>
        <v>0</v>
      </c>
      <c r="AV375" s="49">
        <f t="shared" si="45"/>
        <v>1</v>
      </c>
      <c r="AW375" s="49">
        <f t="shared" si="46"/>
        <v>0</v>
      </c>
      <c r="AX375" s="49">
        <f t="shared" si="47"/>
        <v>0</v>
      </c>
      <c r="AY375" s="49">
        <f t="shared" si="48"/>
        <v>0</v>
      </c>
      <c r="AZ375" s="49">
        <f t="shared" si="49"/>
        <v>1</v>
      </c>
      <c r="BA375" s="49">
        <f t="shared" si="50"/>
        <v>0</v>
      </c>
      <c r="BB375" s="49">
        <f t="shared" si="51"/>
        <v>0</v>
      </c>
      <c r="BC375" s="49">
        <f t="shared" si="52"/>
        <v>0</v>
      </c>
      <c r="BD375" s="49">
        <f t="shared" si="53"/>
        <v>1</v>
      </c>
      <c r="BE375" s="49">
        <f t="shared" si="54"/>
        <v>0</v>
      </c>
      <c r="BF375" s="49">
        <f t="shared" si="55"/>
        <v>0</v>
      </c>
      <c r="BG375" s="49">
        <f t="shared" si="56"/>
        <v>0</v>
      </c>
      <c r="BH375" s="49">
        <f t="shared" si="57"/>
        <v>1</v>
      </c>
      <c r="BI375" s="49">
        <f t="shared" si="58"/>
        <v>0</v>
      </c>
      <c r="BJ375" s="49">
        <f t="shared" si="59"/>
        <v>0</v>
      </c>
      <c r="BK375" s="49">
        <f t="shared" si="60"/>
        <v>0</v>
      </c>
      <c r="BL375" s="49">
        <f t="shared" si="61"/>
        <v>1</v>
      </c>
      <c r="BM375" s="49">
        <f t="shared" si="62"/>
        <v>0</v>
      </c>
      <c r="BN375" s="49">
        <f t="shared" si="63"/>
        <v>0</v>
      </c>
      <c r="BO375" s="49">
        <f t="shared" si="64"/>
        <v>0</v>
      </c>
      <c r="BP375" s="49">
        <f t="shared" si="65"/>
        <v>1</v>
      </c>
      <c r="BQ375" s="49">
        <f t="shared" si="66"/>
        <v>0</v>
      </c>
      <c r="BR375" s="49">
        <f t="shared" si="67"/>
        <v>0</v>
      </c>
      <c r="BS375" s="49">
        <f t="shared" si="68"/>
        <v>0</v>
      </c>
      <c r="BT375" s="49">
        <f t="shared" si="69"/>
        <v>1</v>
      </c>
      <c r="BU375" s="49">
        <f t="shared" si="70"/>
        <v>0</v>
      </c>
      <c r="BV375" s="49">
        <f t="shared" si="71"/>
        <v>0</v>
      </c>
      <c r="BW375" s="49">
        <f t="shared" si="72"/>
        <v>0</v>
      </c>
    </row>
    <row r="376" spans="1:75" ht="35.1" customHeight="1" x14ac:dyDescent="0.3">
      <c r="A376" s="123" t="str">
        <f t="shared" si="341"/>
        <v>3팀</v>
      </c>
      <c r="B376" s="69">
        <f t="shared" si="342"/>
        <v>370</v>
      </c>
      <c r="C376" s="121" t="str">
        <f>IF(VLOOKUP($B376,'1. 현장별 인원현황'!$C:$J,2,0)=0,"",VLOOKUP($B376,'1. 현장별 인원현황'!$C:$J,2,0))</f>
        <v xml:space="preserve"> [3.쿠팡] INC 45FC(인천) 전기공사</v>
      </c>
      <c r="D376" s="74" t="str">
        <f>IF(VLOOKUP($B376,'1. 현장별 인원현황'!$C:$J,3,0)=0,"",VLOOKUP($B376,'1. 현장별 인원현황'!$C:$J,3,0))</f>
        <v>문진수</v>
      </c>
      <c r="E376" s="74" t="str">
        <f ca="1">IF(VLOOKUP($B376,'1. 현장별 인원현황'!$C:$J,4,0)=0,"",VLOOKUP($B376,'1. 현장별 인원현황'!$C:$J,4,0))</f>
        <v>29세</v>
      </c>
      <c r="F376" s="70" t="str">
        <f>IF(VLOOKUP($B376,'1. 현장별 인원현황'!$C:$J,7,0)=0,"",VLOOKUP($B376,'1. 현장별 인원현황'!$C:$J,7,0))</f>
        <v>기능공</v>
      </c>
      <c r="G376" s="72" t="str">
        <f>IF(VLOOKUP($B376,'1. 현장별 인원현황'!$C:$J,8,0)=0,"",VLOOKUP($B376,'1. 현장별 인원현황'!$C:$J,8,0))</f>
        <v>전공</v>
      </c>
      <c r="H376" s="67" t="s">
        <v>69</v>
      </c>
      <c r="I376" s="73"/>
      <c r="J376" s="73"/>
      <c r="K376" s="68"/>
      <c r="L376" s="67"/>
      <c r="M376" s="73" t="s">
        <v>69</v>
      </c>
      <c r="N376" s="73"/>
      <c r="O376" s="68"/>
      <c r="P376" s="67" t="s">
        <v>69</v>
      </c>
      <c r="Q376" s="73"/>
      <c r="R376" s="73"/>
      <c r="S376" s="68"/>
      <c r="T376" s="67" t="s">
        <v>69</v>
      </c>
      <c r="U376" s="73"/>
      <c r="V376" s="73"/>
      <c r="W376" s="68"/>
      <c r="X376" s="67" t="s">
        <v>69</v>
      </c>
      <c r="Y376" s="73"/>
      <c r="Z376" s="73"/>
      <c r="AA376" s="68"/>
      <c r="AB376" s="67" t="s">
        <v>69</v>
      </c>
      <c r="AC376" s="73"/>
      <c r="AD376" s="73"/>
      <c r="AE376" s="68"/>
      <c r="AF376" s="67" t="s">
        <v>69</v>
      </c>
      <c r="AG376" s="73"/>
      <c r="AH376" s="73"/>
      <c r="AI376" s="68"/>
      <c r="AJ376" s="67" t="s">
        <v>69</v>
      </c>
      <c r="AK376" s="73"/>
      <c r="AL376" s="73"/>
      <c r="AM376" s="68"/>
      <c r="AN376" s="67">
        <f t="shared" si="343"/>
        <v>96</v>
      </c>
      <c r="AO376" s="68" t="str">
        <f t="shared" si="344"/>
        <v>S</v>
      </c>
      <c r="AR376" s="49">
        <f t="shared" si="41"/>
        <v>1</v>
      </c>
      <c r="AS376" s="49">
        <f t="shared" si="42"/>
        <v>0</v>
      </c>
      <c r="AT376" s="49">
        <f t="shared" si="43"/>
        <v>0</v>
      </c>
      <c r="AU376" s="49">
        <f t="shared" si="44"/>
        <v>0</v>
      </c>
      <c r="AV376" s="49">
        <f t="shared" si="45"/>
        <v>0</v>
      </c>
      <c r="AW376" s="49">
        <f t="shared" si="46"/>
        <v>1</v>
      </c>
      <c r="AX376" s="49">
        <f t="shared" si="47"/>
        <v>0</v>
      </c>
      <c r="AY376" s="49">
        <f t="shared" si="48"/>
        <v>0</v>
      </c>
      <c r="AZ376" s="49">
        <f t="shared" si="49"/>
        <v>1</v>
      </c>
      <c r="BA376" s="49">
        <f t="shared" si="50"/>
        <v>0</v>
      </c>
      <c r="BB376" s="49">
        <f t="shared" si="51"/>
        <v>0</v>
      </c>
      <c r="BC376" s="49">
        <f t="shared" si="52"/>
        <v>0</v>
      </c>
      <c r="BD376" s="49">
        <f t="shared" si="53"/>
        <v>1</v>
      </c>
      <c r="BE376" s="49">
        <f t="shared" si="54"/>
        <v>0</v>
      </c>
      <c r="BF376" s="49">
        <f t="shared" si="55"/>
        <v>0</v>
      </c>
      <c r="BG376" s="49">
        <f t="shared" si="56"/>
        <v>0</v>
      </c>
      <c r="BH376" s="49">
        <f t="shared" si="57"/>
        <v>1</v>
      </c>
      <c r="BI376" s="49">
        <f t="shared" si="58"/>
        <v>0</v>
      </c>
      <c r="BJ376" s="49">
        <f t="shared" si="59"/>
        <v>0</v>
      </c>
      <c r="BK376" s="49">
        <f t="shared" si="60"/>
        <v>0</v>
      </c>
      <c r="BL376" s="49">
        <f t="shared" si="61"/>
        <v>1</v>
      </c>
      <c r="BM376" s="49">
        <f t="shared" si="62"/>
        <v>0</v>
      </c>
      <c r="BN376" s="49">
        <f t="shared" si="63"/>
        <v>0</v>
      </c>
      <c r="BO376" s="49">
        <f t="shared" si="64"/>
        <v>0</v>
      </c>
      <c r="BP376" s="49">
        <f t="shared" si="65"/>
        <v>1</v>
      </c>
      <c r="BQ376" s="49">
        <f t="shared" si="66"/>
        <v>0</v>
      </c>
      <c r="BR376" s="49">
        <f t="shared" si="67"/>
        <v>0</v>
      </c>
      <c r="BS376" s="49">
        <f t="shared" si="68"/>
        <v>0</v>
      </c>
      <c r="BT376" s="49">
        <f t="shared" si="69"/>
        <v>1</v>
      </c>
      <c r="BU376" s="49">
        <f t="shared" si="70"/>
        <v>0</v>
      </c>
      <c r="BV376" s="49">
        <f t="shared" si="71"/>
        <v>0</v>
      </c>
      <c r="BW376" s="49">
        <f t="shared" si="72"/>
        <v>0</v>
      </c>
    </row>
    <row r="377" spans="1:75" ht="35.1" customHeight="1" x14ac:dyDescent="0.3">
      <c r="A377" s="123" t="str">
        <f t="shared" si="341"/>
        <v>3팀</v>
      </c>
      <c r="B377" s="69">
        <f t="shared" si="342"/>
        <v>371</v>
      </c>
      <c r="C377" s="121" t="str">
        <f>IF(VLOOKUP($B377,'1. 현장별 인원현황'!$C:$J,2,0)=0,"",VLOOKUP($B377,'1. 현장별 인원현황'!$C:$J,2,0))</f>
        <v xml:space="preserve"> [3.쿠팡] INC 45FC(인천) 전기공사</v>
      </c>
      <c r="D377" s="74" t="str">
        <f>IF(VLOOKUP($B377,'1. 현장별 인원현황'!$C:$J,3,0)=0,"",VLOOKUP($B377,'1. 현장별 인원현황'!$C:$J,3,0))</f>
        <v>박정환</v>
      </c>
      <c r="E377" s="74" t="str">
        <f ca="1">IF(VLOOKUP($B377,'1. 현장별 인원현황'!$C:$J,4,0)=0,"",VLOOKUP($B377,'1. 현장별 인원현황'!$C:$J,4,0))</f>
        <v>25세</v>
      </c>
      <c r="F377" s="70" t="str">
        <f>IF(VLOOKUP($B377,'1. 현장별 인원현황'!$C:$J,7,0)=0,"",VLOOKUP($B377,'1. 현장별 인원현황'!$C:$J,7,0))</f>
        <v>기능공</v>
      </c>
      <c r="G377" s="72" t="str">
        <f>IF(VLOOKUP($B377,'1. 현장별 인원현황'!$C:$J,8,0)=0,"",VLOOKUP($B377,'1. 현장별 인원현황'!$C:$J,8,0))</f>
        <v>전공</v>
      </c>
      <c r="H377" s="67" t="s">
        <v>69</v>
      </c>
      <c r="I377" s="73"/>
      <c r="J377" s="73"/>
      <c r="K377" s="68"/>
      <c r="L377" s="67"/>
      <c r="M377" s="73" t="s">
        <v>69</v>
      </c>
      <c r="N377" s="73"/>
      <c r="O377" s="68"/>
      <c r="P377" s="67" t="s">
        <v>69</v>
      </c>
      <c r="Q377" s="73"/>
      <c r="R377" s="73"/>
      <c r="S377" s="68"/>
      <c r="T377" s="67" t="s">
        <v>69</v>
      </c>
      <c r="U377" s="73"/>
      <c r="V377" s="73"/>
      <c r="W377" s="68"/>
      <c r="X377" s="67" t="s">
        <v>69</v>
      </c>
      <c r="Y377" s="73"/>
      <c r="Z377" s="73"/>
      <c r="AA377" s="68"/>
      <c r="AB377" s="67" t="s">
        <v>69</v>
      </c>
      <c r="AC377" s="73"/>
      <c r="AD377" s="73"/>
      <c r="AE377" s="68"/>
      <c r="AF377" s="67" t="s">
        <v>69</v>
      </c>
      <c r="AG377" s="73"/>
      <c r="AH377" s="73"/>
      <c r="AI377" s="68"/>
      <c r="AJ377" s="67" t="s">
        <v>69</v>
      </c>
      <c r="AK377" s="73"/>
      <c r="AL377" s="73"/>
      <c r="AM377" s="68"/>
      <c r="AN377" s="67">
        <f t="shared" si="343"/>
        <v>96</v>
      </c>
      <c r="AO377" s="68" t="str">
        <f t="shared" si="344"/>
        <v>S</v>
      </c>
      <c r="AR377" s="49">
        <f t="shared" si="41"/>
        <v>1</v>
      </c>
      <c r="AS377" s="49">
        <f t="shared" si="42"/>
        <v>0</v>
      </c>
      <c r="AT377" s="49">
        <f t="shared" si="43"/>
        <v>0</v>
      </c>
      <c r="AU377" s="49">
        <f t="shared" si="44"/>
        <v>0</v>
      </c>
      <c r="AV377" s="49">
        <f t="shared" si="45"/>
        <v>0</v>
      </c>
      <c r="AW377" s="49">
        <f t="shared" si="46"/>
        <v>1</v>
      </c>
      <c r="AX377" s="49">
        <f t="shared" si="47"/>
        <v>0</v>
      </c>
      <c r="AY377" s="49">
        <f t="shared" si="48"/>
        <v>0</v>
      </c>
      <c r="AZ377" s="49">
        <f t="shared" si="49"/>
        <v>1</v>
      </c>
      <c r="BA377" s="49">
        <f t="shared" si="50"/>
        <v>0</v>
      </c>
      <c r="BB377" s="49">
        <f t="shared" si="51"/>
        <v>0</v>
      </c>
      <c r="BC377" s="49">
        <f t="shared" si="52"/>
        <v>0</v>
      </c>
      <c r="BD377" s="49">
        <f t="shared" si="53"/>
        <v>1</v>
      </c>
      <c r="BE377" s="49">
        <f t="shared" si="54"/>
        <v>0</v>
      </c>
      <c r="BF377" s="49">
        <f t="shared" si="55"/>
        <v>0</v>
      </c>
      <c r="BG377" s="49">
        <f t="shared" si="56"/>
        <v>0</v>
      </c>
      <c r="BH377" s="49">
        <f t="shared" si="57"/>
        <v>1</v>
      </c>
      <c r="BI377" s="49">
        <f t="shared" si="58"/>
        <v>0</v>
      </c>
      <c r="BJ377" s="49">
        <f t="shared" si="59"/>
        <v>0</v>
      </c>
      <c r="BK377" s="49">
        <f t="shared" si="60"/>
        <v>0</v>
      </c>
      <c r="BL377" s="49">
        <f t="shared" si="61"/>
        <v>1</v>
      </c>
      <c r="BM377" s="49">
        <f t="shared" si="62"/>
        <v>0</v>
      </c>
      <c r="BN377" s="49">
        <f t="shared" si="63"/>
        <v>0</v>
      </c>
      <c r="BO377" s="49">
        <f t="shared" si="64"/>
        <v>0</v>
      </c>
      <c r="BP377" s="49">
        <f t="shared" si="65"/>
        <v>1</v>
      </c>
      <c r="BQ377" s="49">
        <f t="shared" si="66"/>
        <v>0</v>
      </c>
      <c r="BR377" s="49">
        <f t="shared" si="67"/>
        <v>0</v>
      </c>
      <c r="BS377" s="49">
        <f t="shared" si="68"/>
        <v>0</v>
      </c>
      <c r="BT377" s="49">
        <f t="shared" si="69"/>
        <v>1</v>
      </c>
      <c r="BU377" s="49">
        <f t="shared" si="70"/>
        <v>0</v>
      </c>
      <c r="BV377" s="49">
        <f t="shared" si="71"/>
        <v>0</v>
      </c>
      <c r="BW377" s="49">
        <f t="shared" si="72"/>
        <v>0</v>
      </c>
    </row>
    <row r="378" spans="1:75" ht="35.1" customHeight="1" x14ac:dyDescent="0.3">
      <c r="A378" s="123" t="str">
        <f t="shared" si="341"/>
        <v>3팀</v>
      </c>
      <c r="B378" s="69">
        <f t="shared" si="342"/>
        <v>372</v>
      </c>
      <c r="C378" s="121" t="str">
        <f>IF(VLOOKUP($B378,'1. 현장별 인원현황'!$C:$J,2,0)=0,"",VLOOKUP($B378,'1. 현장별 인원현황'!$C:$J,2,0))</f>
        <v xml:space="preserve"> [3.쿠팡] INC 45FC(인천) 전기공사</v>
      </c>
      <c r="D378" s="74" t="str">
        <f>IF(VLOOKUP($B378,'1. 현장별 인원현황'!$C:$J,3,0)=0,"",VLOOKUP($B378,'1. 현장별 인원현황'!$C:$J,3,0))</f>
        <v>이경범</v>
      </c>
      <c r="E378" s="74" t="str">
        <f ca="1">IF(VLOOKUP($B378,'1. 현장별 인원현황'!$C:$J,4,0)=0,"",VLOOKUP($B378,'1. 현장별 인원현황'!$C:$J,4,0))</f>
        <v>27세</v>
      </c>
      <c r="F378" s="70" t="str">
        <f>IF(VLOOKUP($B378,'1. 현장별 인원현황'!$C:$J,7,0)=0,"",VLOOKUP($B378,'1. 현장별 인원현황'!$C:$J,7,0))</f>
        <v>기능공</v>
      </c>
      <c r="G378" s="72" t="str">
        <f>IF(VLOOKUP($B378,'1. 현장별 인원현황'!$C:$J,8,0)=0,"",VLOOKUP($B378,'1. 현장별 인원현황'!$C:$J,8,0))</f>
        <v>조공</v>
      </c>
      <c r="H378" s="67" t="s">
        <v>69</v>
      </c>
      <c r="I378" s="73"/>
      <c r="J378" s="73"/>
      <c r="K378" s="68"/>
      <c r="L378" s="67"/>
      <c r="M378" s="73" t="s">
        <v>69</v>
      </c>
      <c r="N378" s="73"/>
      <c r="O378" s="68"/>
      <c r="P378" s="67" t="s">
        <v>69</v>
      </c>
      <c r="Q378" s="73"/>
      <c r="R378" s="73"/>
      <c r="S378" s="68"/>
      <c r="T378" s="67" t="s">
        <v>69</v>
      </c>
      <c r="U378" s="73"/>
      <c r="V378" s="73"/>
      <c r="W378" s="68"/>
      <c r="X378" s="67" t="s">
        <v>69</v>
      </c>
      <c r="Y378" s="73"/>
      <c r="Z378" s="73"/>
      <c r="AA378" s="68"/>
      <c r="AB378" s="67" t="s">
        <v>69</v>
      </c>
      <c r="AC378" s="73"/>
      <c r="AD378" s="73"/>
      <c r="AE378" s="68"/>
      <c r="AF378" s="67" t="s">
        <v>69</v>
      </c>
      <c r="AG378" s="73"/>
      <c r="AH378" s="73"/>
      <c r="AI378" s="68"/>
      <c r="AJ378" s="67" t="s">
        <v>69</v>
      </c>
      <c r="AK378" s="73"/>
      <c r="AL378" s="73"/>
      <c r="AM378" s="68"/>
      <c r="AN378" s="67">
        <f t="shared" si="343"/>
        <v>96</v>
      </c>
      <c r="AO378" s="68" t="str">
        <f t="shared" si="344"/>
        <v>S</v>
      </c>
      <c r="AR378" s="49">
        <f t="shared" si="41"/>
        <v>1</v>
      </c>
      <c r="AS378" s="49">
        <f t="shared" si="42"/>
        <v>0</v>
      </c>
      <c r="AT378" s="49">
        <f t="shared" si="43"/>
        <v>0</v>
      </c>
      <c r="AU378" s="49">
        <f t="shared" si="44"/>
        <v>0</v>
      </c>
      <c r="AV378" s="49">
        <f t="shared" si="45"/>
        <v>0</v>
      </c>
      <c r="AW378" s="49">
        <f t="shared" si="46"/>
        <v>1</v>
      </c>
      <c r="AX378" s="49">
        <f t="shared" si="47"/>
        <v>0</v>
      </c>
      <c r="AY378" s="49">
        <f t="shared" si="48"/>
        <v>0</v>
      </c>
      <c r="AZ378" s="49">
        <f t="shared" si="49"/>
        <v>1</v>
      </c>
      <c r="BA378" s="49">
        <f t="shared" si="50"/>
        <v>0</v>
      </c>
      <c r="BB378" s="49">
        <f t="shared" si="51"/>
        <v>0</v>
      </c>
      <c r="BC378" s="49">
        <f t="shared" si="52"/>
        <v>0</v>
      </c>
      <c r="BD378" s="49">
        <f t="shared" si="53"/>
        <v>1</v>
      </c>
      <c r="BE378" s="49">
        <f t="shared" si="54"/>
        <v>0</v>
      </c>
      <c r="BF378" s="49">
        <f t="shared" si="55"/>
        <v>0</v>
      </c>
      <c r="BG378" s="49">
        <f t="shared" si="56"/>
        <v>0</v>
      </c>
      <c r="BH378" s="49">
        <f t="shared" si="57"/>
        <v>1</v>
      </c>
      <c r="BI378" s="49">
        <f t="shared" si="58"/>
        <v>0</v>
      </c>
      <c r="BJ378" s="49">
        <f t="shared" si="59"/>
        <v>0</v>
      </c>
      <c r="BK378" s="49">
        <f t="shared" si="60"/>
        <v>0</v>
      </c>
      <c r="BL378" s="49">
        <f t="shared" si="61"/>
        <v>1</v>
      </c>
      <c r="BM378" s="49">
        <f t="shared" si="62"/>
        <v>0</v>
      </c>
      <c r="BN378" s="49">
        <f t="shared" si="63"/>
        <v>0</v>
      </c>
      <c r="BO378" s="49">
        <f t="shared" si="64"/>
        <v>0</v>
      </c>
      <c r="BP378" s="49">
        <f t="shared" si="65"/>
        <v>1</v>
      </c>
      <c r="BQ378" s="49">
        <f t="shared" si="66"/>
        <v>0</v>
      </c>
      <c r="BR378" s="49">
        <f t="shared" si="67"/>
        <v>0</v>
      </c>
      <c r="BS378" s="49">
        <f t="shared" si="68"/>
        <v>0</v>
      </c>
      <c r="BT378" s="49">
        <f t="shared" si="69"/>
        <v>1</v>
      </c>
      <c r="BU378" s="49">
        <f t="shared" si="70"/>
        <v>0</v>
      </c>
      <c r="BV378" s="49">
        <f t="shared" si="71"/>
        <v>0</v>
      </c>
      <c r="BW378" s="49">
        <f t="shared" si="72"/>
        <v>0</v>
      </c>
    </row>
    <row r="379" spans="1:75" ht="35.1" customHeight="1" x14ac:dyDescent="0.3">
      <c r="A379" s="123" t="str">
        <f t="shared" si="341"/>
        <v>3팀</v>
      </c>
      <c r="B379" s="69">
        <f t="shared" si="342"/>
        <v>373</v>
      </c>
      <c r="C379" s="121" t="str">
        <f>IF(VLOOKUP($B379,'1. 현장별 인원현황'!$C:$J,2,0)=0,"",VLOOKUP($B379,'1. 현장별 인원현황'!$C:$J,2,0))</f>
        <v xml:space="preserve"> [3.쿠팡] INC 45FC(인천) 전기공사</v>
      </c>
      <c r="D379" s="74" t="str">
        <f>IF(VLOOKUP($B379,'1. 현장별 인원현황'!$C:$J,3,0)=0,"",VLOOKUP($B379,'1. 현장별 인원현황'!$C:$J,3,0))</f>
        <v>이영훈</v>
      </c>
      <c r="E379" s="74" t="str">
        <f ca="1">IF(VLOOKUP($B379,'1. 현장별 인원현황'!$C:$J,4,0)=0,"",VLOOKUP($B379,'1. 현장별 인원현황'!$C:$J,4,0))</f>
        <v>47세</v>
      </c>
      <c r="F379" s="70" t="str">
        <f>IF(VLOOKUP($B379,'1. 현장별 인원현황'!$C:$J,7,0)=0,"",VLOOKUP($B379,'1. 현장별 인원현황'!$C:$J,7,0))</f>
        <v>기능공</v>
      </c>
      <c r="G379" s="72" t="str">
        <f>IF(VLOOKUP($B379,'1. 현장별 인원현황'!$C:$J,8,0)=0,"",VLOOKUP($B379,'1. 현장별 인원현황'!$C:$J,8,0))</f>
        <v>전공</v>
      </c>
      <c r="H379" s="67" t="s">
        <v>69</v>
      </c>
      <c r="I379" s="73"/>
      <c r="J379" s="73"/>
      <c r="K379" s="68"/>
      <c r="L379" s="67" t="s">
        <v>69</v>
      </c>
      <c r="M379" s="73"/>
      <c r="N379" s="73"/>
      <c r="O379" s="68"/>
      <c r="P379" s="67" t="s">
        <v>69</v>
      </c>
      <c r="Q379" s="73"/>
      <c r="R379" s="73"/>
      <c r="S379" s="68"/>
      <c r="T379" s="67" t="s">
        <v>69</v>
      </c>
      <c r="U379" s="73"/>
      <c r="V379" s="73"/>
      <c r="W379" s="68"/>
      <c r="X379" s="67" t="s">
        <v>69</v>
      </c>
      <c r="Y379" s="73"/>
      <c r="Z379" s="73"/>
      <c r="AA379" s="68"/>
      <c r="AB379" s="67" t="s">
        <v>69</v>
      </c>
      <c r="AC379" s="73"/>
      <c r="AD379" s="73"/>
      <c r="AE379" s="68"/>
      <c r="AF379" s="67" t="s">
        <v>69</v>
      </c>
      <c r="AG379" s="73"/>
      <c r="AH379" s="73"/>
      <c r="AI379" s="68"/>
      <c r="AJ379" s="67" t="s">
        <v>69</v>
      </c>
      <c r="AK379" s="73"/>
      <c r="AL379" s="73"/>
      <c r="AM379" s="68"/>
      <c r="AN379" s="67">
        <f t="shared" si="343"/>
        <v>100</v>
      </c>
      <c r="AO379" s="68" t="str">
        <f t="shared" si="344"/>
        <v>S</v>
      </c>
      <c r="AR379" s="49">
        <f t="shared" si="41"/>
        <v>1</v>
      </c>
      <c r="AS379" s="49">
        <f t="shared" si="42"/>
        <v>0</v>
      </c>
      <c r="AT379" s="49">
        <f t="shared" si="43"/>
        <v>0</v>
      </c>
      <c r="AU379" s="49">
        <f t="shared" si="44"/>
        <v>0</v>
      </c>
      <c r="AV379" s="49">
        <f t="shared" si="45"/>
        <v>1</v>
      </c>
      <c r="AW379" s="49">
        <f t="shared" si="46"/>
        <v>0</v>
      </c>
      <c r="AX379" s="49">
        <f t="shared" si="47"/>
        <v>0</v>
      </c>
      <c r="AY379" s="49">
        <f t="shared" si="48"/>
        <v>0</v>
      </c>
      <c r="AZ379" s="49">
        <f t="shared" si="49"/>
        <v>1</v>
      </c>
      <c r="BA379" s="49">
        <f t="shared" si="50"/>
        <v>0</v>
      </c>
      <c r="BB379" s="49">
        <f t="shared" si="51"/>
        <v>0</v>
      </c>
      <c r="BC379" s="49">
        <f t="shared" si="52"/>
        <v>0</v>
      </c>
      <c r="BD379" s="49">
        <f t="shared" si="53"/>
        <v>1</v>
      </c>
      <c r="BE379" s="49">
        <f t="shared" si="54"/>
        <v>0</v>
      </c>
      <c r="BF379" s="49">
        <f t="shared" si="55"/>
        <v>0</v>
      </c>
      <c r="BG379" s="49">
        <f t="shared" si="56"/>
        <v>0</v>
      </c>
      <c r="BH379" s="49">
        <f t="shared" si="57"/>
        <v>1</v>
      </c>
      <c r="BI379" s="49">
        <f t="shared" si="58"/>
        <v>0</v>
      </c>
      <c r="BJ379" s="49">
        <f t="shared" si="59"/>
        <v>0</v>
      </c>
      <c r="BK379" s="49">
        <f t="shared" si="60"/>
        <v>0</v>
      </c>
      <c r="BL379" s="49">
        <f t="shared" si="61"/>
        <v>1</v>
      </c>
      <c r="BM379" s="49">
        <f t="shared" si="62"/>
        <v>0</v>
      </c>
      <c r="BN379" s="49">
        <f t="shared" si="63"/>
        <v>0</v>
      </c>
      <c r="BO379" s="49">
        <f t="shared" si="64"/>
        <v>0</v>
      </c>
      <c r="BP379" s="49">
        <f t="shared" si="65"/>
        <v>1</v>
      </c>
      <c r="BQ379" s="49">
        <f t="shared" si="66"/>
        <v>0</v>
      </c>
      <c r="BR379" s="49">
        <f t="shared" si="67"/>
        <v>0</v>
      </c>
      <c r="BS379" s="49">
        <f t="shared" si="68"/>
        <v>0</v>
      </c>
      <c r="BT379" s="49">
        <f t="shared" si="69"/>
        <v>1</v>
      </c>
      <c r="BU379" s="49">
        <f t="shared" si="70"/>
        <v>0</v>
      </c>
      <c r="BV379" s="49">
        <f t="shared" si="71"/>
        <v>0</v>
      </c>
      <c r="BW379" s="49">
        <f t="shared" si="72"/>
        <v>0</v>
      </c>
    </row>
    <row r="380" spans="1:75" ht="35.1" customHeight="1" x14ac:dyDescent="0.3">
      <c r="A380" s="123" t="str">
        <f t="shared" si="341"/>
        <v>3팀</v>
      </c>
      <c r="B380" s="69">
        <f t="shared" si="342"/>
        <v>374</v>
      </c>
      <c r="C380" s="121" t="str">
        <f>IF(VLOOKUP($B380,'1. 현장별 인원현황'!$C:$J,2,0)=0,"",VLOOKUP($B380,'1. 현장별 인원현황'!$C:$J,2,0))</f>
        <v xml:space="preserve"> [3.쿠팡] INC 45FC(인천) 전기공사</v>
      </c>
      <c r="D380" s="74" t="str">
        <f>IF(VLOOKUP($B380,'1. 현장별 인원현황'!$C:$J,3,0)=0,"",VLOOKUP($B380,'1. 현장별 인원현황'!$C:$J,3,0))</f>
        <v>홍동구</v>
      </c>
      <c r="E380" s="74" t="str">
        <f ca="1">IF(VLOOKUP($B380,'1. 현장별 인원현황'!$C:$J,4,0)=0,"",VLOOKUP($B380,'1. 현장별 인원현황'!$C:$J,4,0))</f>
        <v>34세</v>
      </c>
      <c r="F380" s="70" t="str">
        <f>IF(VLOOKUP($B380,'1. 현장별 인원현황'!$C:$J,7,0)=0,"",VLOOKUP($B380,'1. 현장별 인원현황'!$C:$J,7,0))</f>
        <v>기능공</v>
      </c>
      <c r="G380" s="72" t="str">
        <f>IF(VLOOKUP($B380,'1. 현장별 인원현황'!$C:$J,8,0)=0,"",VLOOKUP($B380,'1. 현장별 인원현황'!$C:$J,8,0))</f>
        <v>조공</v>
      </c>
      <c r="H380" s="67" t="s">
        <v>69</v>
      </c>
      <c r="I380" s="73"/>
      <c r="J380" s="73"/>
      <c r="K380" s="68"/>
      <c r="L380" s="67"/>
      <c r="M380" s="73" t="s">
        <v>69</v>
      </c>
      <c r="N380" s="73"/>
      <c r="O380" s="68"/>
      <c r="P380" s="67" t="s">
        <v>69</v>
      </c>
      <c r="Q380" s="73"/>
      <c r="R380" s="73"/>
      <c r="S380" s="68"/>
      <c r="T380" s="67" t="s">
        <v>69</v>
      </c>
      <c r="U380" s="73"/>
      <c r="V380" s="73"/>
      <c r="W380" s="68"/>
      <c r="X380" s="67" t="s">
        <v>69</v>
      </c>
      <c r="Y380" s="73"/>
      <c r="Z380" s="73"/>
      <c r="AA380" s="68"/>
      <c r="AB380" s="67" t="s">
        <v>69</v>
      </c>
      <c r="AC380" s="73"/>
      <c r="AD380" s="73"/>
      <c r="AE380" s="68"/>
      <c r="AF380" s="67" t="s">
        <v>69</v>
      </c>
      <c r="AG380" s="73"/>
      <c r="AH380" s="73"/>
      <c r="AI380" s="68"/>
      <c r="AJ380" s="67" t="s">
        <v>69</v>
      </c>
      <c r="AK380" s="73"/>
      <c r="AL380" s="73"/>
      <c r="AM380" s="68"/>
      <c r="AN380" s="67">
        <f t="shared" si="343"/>
        <v>96</v>
      </c>
      <c r="AO380" s="68" t="str">
        <f t="shared" si="344"/>
        <v>S</v>
      </c>
      <c r="AR380" s="49">
        <f t="shared" si="41"/>
        <v>1</v>
      </c>
      <c r="AS380" s="49">
        <f t="shared" si="42"/>
        <v>0</v>
      </c>
      <c r="AT380" s="49">
        <f t="shared" si="43"/>
        <v>0</v>
      </c>
      <c r="AU380" s="49">
        <f t="shared" si="44"/>
        <v>0</v>
      </c>
      <c r="AV380" s="49">
        <f t="shared" si="45"/>
        <v>0</v>
      </c>
      <c r="AW380" s="49">
        <f t="shared" si="46"/>
        <v>1</v>
      </c>
      <c r="AX380" s="49">
        <f t="shared" si="47"/>
        <v>0</v>
      </c>
      <c r="AY380" s="49">
        <f t="shared" si="48"/>
        <v>0</v>
      </c>
      <c r="AZ380" s="49">
        <f t="shared" si="49"/>
        <v>1</v>
      </c>
      <c r="BA380" s="49">
        <f t="shared" si="50"/>
        <v>0</v>
      </c>
      <c r="BB380" s="49">
        <f t="shared" si="51"/>
        <v>0</v>
      </c>
      <c r="BC380" s="49">
        <f t="shared" si="52"/>
        <v>0</v>
      </c>
      <c r="BD380" s="49">
        <f t="shared" si="53"/>
        <v>1</v>
      </c>
      <c r="BE380" s="49">
        <f t="shared" si="54"/>
        <v>0</v>
      </c>
      <c r="BF380" s="49">
        <f t="shared" si="55"/>
        <v>0</v>
      </c>
      <c r="BG380" s="49">
        <f t="shared" si="56"/>
        <v>0</v>
      </c>
      <c r="BH380" s="49">
        <f t="shared" si="57"/>
        <v>1</v>
      </c>
      <c r="BI380" s="49">
        <f t="shared" si="58"/>
        <v>0</v>
      </c>
      <c r="BJ380" s="49">
        <f t="shared" si="59"/>
        <v>0</v>
      </c>
      <c r="BK380" s="49">
        <f t="shared" si="60"/>
        <v>0</v>
      </c>
      <c r="BL380" s="49">
        <f t="shared" si="61"/>
        <v>1</v>
      </c>
      <c r="BM380" s="49">
        <f t="shared" si="62"/>
        <v>0</v>
      </c>
      <c r="BN380" s="49">
        <f t="shared" si="63"/>
        <v>0</v>
      </c>
      <c r="BO380" s="49">
        <f t="shared" si="64"/>
        <v>0</v>
      </c>
      <c r="BP380" s="49">
        <f t="shared" si="65"/>
        <v>1</v>
      </c>
      <c r="BQ380" s="49">
        <f t="shared" si="66"/>
        <v>0</v>
      </c>
      <c r="BR380" s="49">
        <f t="shared" si="67"/>
        <v>0</v>
      </c>
      <c r="BS380" s="49">
        <f t="shared" si="68"/>
        <v>0</v>
      </c>
      <c r="BT380" s="49">
        <f t="shared" si="69"/>
        <v>1</v>
      </c>
      <c r="BU380" s="49">
        <f t="shared" si="70"/>
        <v>0</v>
      </c>
      <c r="BV380" s="49">
        <f t="shared" si="71"/>
        <v>0</v>
      </c>
      <c r="BW380" s="49">
        <f t="shared" si="72"/>
        <v>0</v>
      </c>
    </row>
    <row r="381" spans="1:75" ht="35.1" customHeight="1" x14ac:dyDescent="0.3">
      <c r="A381" s="123" t="str">
        <f t="shared" si="341"/>
        <v>3팀</v>
      </c>
      <c r="B381" s="69">
        <f t="shared" si="342"/>
        <v>375</v>
      </c>
      <c r="C381" s="121" t="str">
        <f>IF(VLOOKUP($B381,'1. 현장별 인원현황'!$C:$J,2,0)=0,"",VLOOKUP($B381,'1. 현장별 인원현황'!$C:$J,2,0))</f>
        <v xml:space="preserve"> [3.쿠팡] INC 45FC(인천) 전기공사</v>
      </c>
      <c r="D381" s="74" t="str">
        <f>IF(VLOOKUP($B381,'1. 현장별 인원현황'!$C:$J,3,0)=0,"",VLOOKUP($B381,'1. 현장별 인원현황'!$C:$J,3,0))</f>
        <v>김이레</v>
      </c>
      <c r="E381" s="74" t="str">
        <f ca="1">IF(VLOOKUP($B381,'1. 현장별 인원현황'!$C:$J,4,0)=0,"",VLOOKUP($B381,'1. 현장별 인원현황'!$C:$J,4,0))</f>
        <v>30세</v>
      </c>
      <c r="F381" s="70" t="str">
        <f>IF(VLOOKUP($B381,'1. 현장별 인원현황'!$C:$J,7,0)=0,"",VLOOKUP($B381,'1. 현장별 인원현황'!$C:$J,7,0))</f>
        <v>기능공</v>
      </c>
      <c r="G381" s="72" t="str">
        <f>IF(VLOOKUP($B381,'1. 현장별 인원현황'!$C:$J,8,0)=0,"",VLOOKUP($B381,'1. 현장별 인원현황'!$C:$J,8,0))</f>
        <v>전공</v>
      </c>
      <c r="H381" s="67" t="s">
        <v>69</v>
      </c>
      <c r="I381" s="73"/>
      <c r="J381" s="73"/>
      <c r="K381" s="68"/>
      <c r="L381" s="67" t="s">
        <v>69</v>
      </c>
      <c r="M381" s="73"/>
      <c r="N381" s="73"/>
      <c r="O381" s="68"/>
      <c r="P381" s="67" t="s">
        <v>69</v>
      </c>
      <c r="Q381" s="73"/>
      <c r="R381" s="73"/>
      <c r="S381" s="68"/>
      <c r="T381" s="67" t="s">
        <v>69</v>
      </c>
      <c r="U381" s="73"/>
      <c r="V381" s="73"/>
      <c r="W381" s="68"/>
      <c r="X381" s="67" t="s">
        <v>69</v>
      </c>
      <c r="Y381" s="73"/>
      <c r="Z381" s="73"/>
      <c r="AA381" s="68"/>
      <c r="AB381" s="67" t="s">
        <v>69</v>
      </c>
      <c r="AC381" s="73"/>
      <c r="AD381" s="73"/>
      <c r="AE381" s="68"/>
      <c r="AF381" s="67" t="s">
        <v>69</v>
      </c>
      <c r="AG381" s="73"/>
      <c r="AH381" s="73"/>
      <c r="AI381" s="68"/>
      <c r="AJ381" s="67" t="s">
        <v>69</v>
      </c>
      <c r="AK381" s="73"/>
      <c r="AL381" s="73"/>
      <c r="AM381" s="68"/>
      <c r="AN381" s="67">
        <f t="shared" si="343"/>
        <v>100</v>
      </c>
      <c r="AO381" s="68" t="str">
        <f t="shared" si="344"/>
        <v>S</v>
      </c>
      <c r="AR381" s="49">
        <f t="shared" si="41"/>
        <v>1</v>
      </c>
      <c r="AS381" s="49">
        <f t="shared" si="42"/>
        <v>0</v>
      </c>
      <c r="AT381" s="49">
        <f t="shared" si="43"/>
        <v>0</v>
      </c>
      <c r="AU381" s="49">
        <f t="shared" si="44"/>
        <v>0</v>
      </c>
      <c r="AV381" s="49">
        <f t="shared" si="45"/>
        <v>1</v>
      </c>
      <c r="AW381" s="49">
        <f t="shared" si="46"/>
        <v>0</v>
      </c>
      <c r="AX381" s="49">
        <f t="shared" si="47"/>
        <v>0</v>
      </c>
      <c r="AY381" s="49">
        <f t="shared" si="48"/>
        <v>0</v>
      </c>
      <c r="AZ381" s="49">
        <f t="shared" si="49"/>
        <v>1</v>
      </c>
      <c r="BA381" s="49">
        <f t="shared" si="50"/>
        <v>0</v>
      </c>
      <c r="BB381" s="49">
        <f t="shared" si="51"/>
        <v>0</v>
      </c>
      <c r="BC381" s="49">
        <f t="shared" si="52"/>
        <v>0</v>
      </c>
      <c r="BD381" s="49">
        <f t="shared" si="53"/>
        <v>1</v>
      </c>
      <c r="BE381" s="49">
        <f t="shared" si="54"/>
        <v>0</v>
      </c>
      <c r="BF381" s="49">
        <f t="shared" si="55"/>
        <v>0</v>
      </c>
      <c r="BG381" s="49">
        <f t="shared" si="56"/>
        <v>0</v>
      </c>
      <c r="BH381" s="49">
        <f t="shared" si="57"/>
        <v>1</v>
      </c>
      <c r="BI381" s="49">
        <f t="shared" si="58"/>
        <v>0</v>
      </c>
      <c r="BJ381" s="49">
        <f t="shared" si="59"/>
        <v>0</v>
      </c>
      <c r="BK381" s="49">
        <f t="shared" si="60"/>
        <v>0</v>
      </c>
      <c r="BL381" s="49">
        <f t="shared" si="61"/>
        <v>1</v>
      </c>
      <c r="BM381" s="49">
        <f t="shared" si="62"/>
        <v>0</v>
      </c>
      <c r="BN381" s="49">
        <f t="shared" si="63"/>
        <v>0</v>
      </c>
      <c r="BO381" s="49">
        <f t="shared" si="64"/>
        <v>0</v>
      </c>
      <c r="BP381" s="49">
        <f t="shared" si="65"/>
        <v>1</v>
      </c>
      <c r="BQ381" s="49">
        <f t="shared" si="66"/>
        <v>0</v>
      </c>
      <c r="BR381" s="49">
        <f t="shared" si="67"/>
        <v>0</v>
      </c>
      <c r="BS381" s="49">
        <f t="shared" si="68"/>
        <v>0</v>
      </c>
      <c r="BT381" s="49">
        <f t="shared" si="69"/>
        <v>1</v>
      </c>
      <c r="BU381" s="49">
        <f t="shared" si="70"/>
        <v>0</v>
      </c>
      <c r="BV381" s="49">
        <f t="shared" si="71"/>
        <v>0</v>
      </c>
      <c r="BW381" s="49">
        <f t="shared" si="72"/>
        <v>0</v>
      </c>
    </row>
    <row r="382" spans="1:75" ht="35.1" customHeight="1" x14ac:dyDescent="0.3">
      <c r="A382" s="123" t="str">
        <f t="shared" si="341"/>
        <v>4팀</v>
      </c>
      <c r="B382" s="69">
        <f t="shared" si="342"/>
        <v>376</v>
      </c>
      <c r="C382" s="121" t="str">
        <f>IF(VLOOKUP($B382,'1. 현장별 인원현황'!$C:$J,2,0)=0,"",VLOOKUP($B382,'1. 현장별 인원현황'!$C:$J,2,0))</f>
        <v xml:space="preserve"> [4.롯데CM] 롯데백화점 노원점 리뉴얼 공사</v>
      </c>
      <c r="D382" s="74" t="str">
        <f>IF(VLOOKUP($B382,'1. 현장별 인원현황'!$C:$J,3,0)=0,"",VLOOKUP($B382,'1. 현장별 인원현황'!$C:$J,3,0))</f>
        <v>백승일</v>
      </c>
      <c r="E382" s="74" t="str">
        <f ca="1">IF(VLOOKUP($B382,'1. 현장별 인원현황'!$C:$J,4,0)=0,"",VLOOKUP($B382,'1. 현장별 인원현황'!$C:$J,4,0))</f>
        <v>32세</v>
      </c>
      <c r="F382" s="70" t="str">
        <f>IF(VLOOKUP($B382,'1. 현장별 인원현황'!$C:$J,7,0)=0,"",VLOOKUP($B382,'1. 현장별 인원현황'!$C:$J,7,0))</f>
        <v>공무</v>
      </c>
      <c r="G382" s="72" t="str">
        <f>IF(VLOOKUP($B382,'1. 현장별 인원현황'!$C:$J,8,0)=0,"",VLOOKUP($B382,'1. 현장별 인원현황'!$C:$J,8,0))</f>
        <v>대리</v>
      </c>
      <c r="H382" s="67" t="s">
        <v>69</v>
      </c>
      <c r="I382" s="73"/>
      <c r="J382" s="73"/>
      <c r="K382" s="68"/>
      <c r="L382" s="67"/>
      <c r="M382" s="73" t="s">
        <v>69</v>
      </c>
      <c r="N382" s="73"/>
      <c r="O382" s="68"/>
      <c r="P382" s="67" t="s">
        <v>69</v>
      </c>
      <c r="Q382" s="73"/>
      <c r="R382" s="73"/>
      <c r="S382" s="68"/>
      <c r="T382" s="67"/>
      <c r="U382" s="73" t="s">
        <v>69</v>
      </c>
      <c r="V382" s="73"/>
      <c r="W382" s="68"/>
      <c r="X382" s="67" t="s">
        <v>69</v>
      </c>
      <c r="Y382" s="73"/>
      <c r="Z382" s="73"/>
      <c r="AA382" s="68"/>
      <c r="AB382" s="67" t="s">
        <v>69</v>
      </c>
      <c r="AC382" s="73"/>
      <c r="AD382" s="73"/>
      <c r="AE382" s="68"/>
      <c r="AF382" s="67" t="s">
        <v>69</v>
      </c>
      <c r="AG382" s="73"/>
      <c r="AH382" s="73"/>
      <c r="AI382" s="68"/>
      <c r="AJ382" s="67" t="s">
        <v>69</v>
      </c>
      <c r="AK382" s="73"/>
      <c r="AL382" s="73"/>
      <c r="AM382" s="68"/>
      <c r="AN382" s="67">
        <f t="shared" si="343"/>
        <v>92</v>
      </c>
      <c r="AO382" s="68" t="str">
        <f t="shared" si="344"/>
        <v>S</v>
      </c>
      <c r="AR382" s="49">
        <f t="shared" si="41"/>
        <v>1</v>
      </c>
      <c r="AS382" s="49">
        <f t="shared" si="42"/>
        <v>0</v>
      </c>
      <c r="AT382" s="49">
        <f t="shared" si="43"/>
        <v>0</v>
      </c>
      <c r="AU382" s="49">
        <f t="shared" si="44"/>
        <v>0</v>
      </c>
      <c r="AV382" s="49">
        <f t="shared" si="45"/>
        <v>0</v>
      </c>
      <c r="AW382" s="49">
        <f t="shared" si="46"/>
        <v>1</v>
      </c>
      <c r="AX382" s="49">
        <f t="shared" si="47"/>
        <v>0</v>
      </c>
      <c r="AY382" s="49">
        <f t="shared" si="48"/>
        <v>0</v>
      </c>
      <c r="AZ382" s="49">
        <f t="shared" si="49"/>
        <v>1</v>
      </c>
      <c r="BA382" s="49">
        <f t="shared" si="50"/>
        <v>0</v>
      </c>
      <c r="BB382" s="49">
        <f t="shared" si="51"/>
        <v>0</v>
      </c>
      <c r="BC382" s="49">
        <f t="shared" si="52"/>
        <v>0</v>
      </c>
      <c r="BD382" s="49">
        <f t="shared" si="53"/>
        <v>0</v>
      </c>
      <c r="BE382" s="49">
        <f t="shared" si="54"/>
        <v>1</v>
      </c>
      <c r="BF382" s="49">
        <f t="shared" si="55"/>
        <v>0</v>
      </c>
      <c r="BG382" s="49">
        <f t="shared" si="56"/>
        <v>0</v>
      </c>
      <c r="BH382" s="49">
        <f t="shared" si="57"/>
        <v>1</v>
      </c>
      <c r="BI382" s="49">
        <f t="shared" si="58"/>
        <v>0</v>
      </c>
      <c r="BJ382" s="49">
        <f t="shared" si="59"/>
        <v>0</v>
      </c>
      <c r="BK382" s="49">
        <f t="shared" si="60"/>
        <v>0</v>
      </c>
      <c r="BL382" s="49">
        <f t="shared" si="61"/>
        <v>1</v>
      </c>
      <c r="BM382" s="49">
        <f t="shared" si="62"/>
        <v>0</v>
      </c>
      <c r="BN382" s="49">
        <f t="shared" si="63"/>
        <v>0</v>
      </c>
      <c r="BO382" s="49">
        <f t="shared" si="64"/>
        <v>0</v>
      </c>
      <c r="BP382" s="49">
        <f t="shared" si="65"/>
        <v>1</v>
      </c>
      <c r="BQ382" s="49">
        <f t="shared" si="66"/>
        <v>0</v>
      </c>
      <c r="BR382" s="49">
        <f t="shared" si="67"/>
        <v>0</v>
      </c>
      <c r="BS382" s="49">
        <f t="shared" si="68"/>
        <v>0</v>
      </c>
      <c r="BT382" s="49">
        <f t="shared" si="69"/>
        <v>1</v>
      </c>
      <c r="BU382" s="49">
        <f t="shared" si="70"/>
        <v>0</v>
      </c>
      <c r="BV382" s="49">
        <f t="shared" si="71"/>
        <v>0</v>
      </c>
      <c r="BW382" s="49">
        <f t="shared" si="72"/>
        <v>0</v>
      </c>
    </row>
    <row r="383" spans="1:75" ht="35.1" customHeight="1" x14ac:dyDescent="0.3">
      <c r="A383" s="123" t="str">
        <f t="shared" si="341"/>
        <v>4팀</v>
      </c>
      <c r="B383" s="69">
        <f t="shared" si="342"/>
        <v>377</v>
      </c>
      <c r="C383" s="121" t="str">
        <f>IF(VLOOKUP($B383,'1. 현장별 인원현황'!$C:$J,2,0)=0,"",VLOOKUP($B383,'1. 현장별 인원현황'!$C:$J,2,0))</f>
        <v xml:space="preserve"> [4.롯데CM] 롯데백화점 노원점 리뉴얼 공사</v>
      </c>
      <c r="D383" s="74" t="str">
        <f>IF(VLOOKUP($B383,'1. 현장별 인원현황'!$C:$J,3,0)=0,"",VLOOKUP($B383,'1. 현장별 인원현황'!$C:$J,3,0))</f>
        <v>이병삼</v>
      </c>
      <c r="E383" s="74" t="str">
        <f ca="1">IF(VLOOKUP($B383,'1. 현장별 인원현황'!$C:$J,4,0)=0,"",VLOOKUP($B383,'1. 현장별 인원현황'!$C:$J,4,0))</f>
        <v>61세</v>
      </c>
      <c r="F383" s="70" t="str">
        <f>IF(VLOOKUP($B383,'1. 현장별 인원현황'!$C:$J,7,0)=0,"",VLOOKUP($B383,'1. 현장별 인원현황'!$C:$J,7,0))</f>
        <v>공무</v>
      </c>
      <c r="G383" s="72" t="str">
        <f>IF(VLOOKUP($B383,'1. 현장별 인원현황'!$C:$J,8,0)=0,"",VLOOKUP($B383,'1. 현장별 인원현황'!$C:$J,8,0))</f>
        <v>부장</v>
      </c>
      <c r="H383" s="67"/>
      <c r="I383" s="73" t="s">
        <v>69</v>
      </c>
      <c r="J383" s="73"/>
      <c r="K383" s="68"/>
      <c r="L383" s="67"/>
      <c r="M383" s="73" t="s">
        <v>69</v>
      </c>
      <c r="N383" s="73"/>
      <c r="O383" s="68"/>
      <c r="P383" s="67" t="s">
        <v>69</v>
      </c>
      <c r="Q383" s="73"/>
      <c r="R383" s="73"/>
      <c r="S383" s="68"/>
      <c r="T383" s="67"/>
      <c r="U383" s="73" t="s">
        <v>69</v>
      </c>
      <c r="V383" s="73"/>
      <c r="W383" s="68"/>
      <c r="X383" s="67" t="s">
        <v>69</v>
      </c>
      <c r="Y383" s="73"/>
      <c r="Z383" s="73"/>
      <c r="AA383" s="68"/>
      <c r="AB383" s="67" t="s">
        <v>69</v>
      </c>
      <c r="AC383" s="73"/>
      <c r="AD383" s="73"/>
      <c r="AE383" s="68"/>
      <c r="AF383" s="67" t="s">
        <v>69</v>
      </c>
      <c r="AG383" s="73"/>
      <c r="AH383" s="73"/>
      <c r="AI383" s="68"/>
      <c r="AJ383" s="67" t="s">
        <v>69</v>
      </c>
      <c r="AK383" s="73"/>
      <c r="AL383" s="73"/>
      <c r="AM383" s="68"/>
      <c r="AN383" s="67">
        <f t="shared" si="343"/>
        <v>88</v>
      </c>
      <c r="AO383" s="68" t="str">
        <f t="shared" si="344"/>
        <v>S</v>
      </c>
      <c r="AR383" s="49">
        <f t="shared" si="41"/>
        <v>0</v>
      </c>
      <c r="AS383" s="49">
        <f t="shared" si="42"/>
        <v>1</v>
      </c>
      <c r="AT383" s="49">
        <f t="shared" si="43"/>
        <v>0</v>
      </c>
      <c r="AU383" s="49">
        <f t="shared" si="44"/>
        <v>0</v>
      </c>
      <c r="AV383" s="49">
        <f t="shared" si="45"/>
        <v>0</v>
      </c>
      <c r="AW383" s="49">
        <f t="shared" si="46"/>
        <v>1</v>
      </c>
      <c r="AX383" s="49">
        <f t="shared" si="47"/>
        <v>0</v>
      </c>
      <c r="AY383" s="49">
        <f t="shared" si="48"/>
        <v>0</v>
      </c>
      <c r="AZ383" s="49">
        <f t="shared" si="49"/>
        <v>1</v>
      </c>
      <c r="BA383" s="49">
        <f t="shared" si="50"/>
        <v>0</v>
      </c>
      <c r="BB383" s="49">
        <f t="shared" si="51"/>
        <v>0</v>
      </c>
      <c r="BC383" s="49">
        <f t="shared" si="52"/>
        <v>0</v>
      </c>
      <c r="BD383" s="49">
        <f t="shared" si="53"/>
        <v>0</v>
      </c>
      <c r="BE383" s="49">
        <f t="shared" si="54"/>
        <v>1</v>
      </c>
      <c r="BF383" s="49">
        <f t="shared" si="55"/>
        <v>0</v>
      </c>
      <c r="BG383" s="49">
        <f t="shared" si="56"/>
        <v>0</v>
      </c>
      <c r="BH383" s="49">
        <f t="shared" si="57"/>
        <v>1</v>
      </c>
      <c r="BI383" s="49">
        <f t="shared" si="58"/>
        <v>0</v>
      </c>
      <c r="BJ383" s="49">
        <f t="shared" si="59"/>
        <v>0</v>
      </c>
      <c r="BK383" s="49">
        <f t="shared" si="60"/>
        <v>0</v>
      </c>
      <c r="BL383" s="49">
        <f t="shared" si="61"/>
        <v>1</v>
      </c>
      <c r="BM383" s="49">
        <f t="shared" si="62"/>
        <v>0</v>
      </c>
      <c r="BN383" s="49">
        <f t="shared" si="63"/>
        <v>0</v>
      </c>
      <c r="BO383" s="49">
        <f t="shared" si="64"/>
        <v>0</v>
      </c>
      <c r="BP383" s="49">
        <f t="shared" si="65"/>
        <v>1</v>
      </c>
      <c r="BQ383" s="49">
        <f t="shared" si="66"/>
        <v>0</v>
      </c>
      <c r="BR383" s="49">
        <f t="shared" si="67"/>
        <v>0</v>
      </c>
      <c r="BS383" s="49">
        <f t="shared" si="68"/>
        <v>0</v>
      </c>
      <c r="BT383" s="49">
        <f t="shared" si="69"/>
        <v>1</v>
      </c>
      <c r="BU383" s="49">
        <f t="shared" si="70"/>
        <v>0</v>
      </c>
      <c r="BV383" s="49">
        <f t="shared" si="71"/>
        <v>0</v>
      </c>
      <c r="BW383" s="49">
        <f t="shared" si="72"/>
        <v>0</v>
      </c>
    </row>
    <row r="384" spans="1:75" ht="35.1" customHeight="1" x14ac:dyDescent="0.3">
      <c r="A384" s="123" t="str">
        <f t="shared" si="341"/>
        <v>4팀</v>
      </c>
      <c r="B384" s="69">
        <f t="shared" si="342"/>
        <v>378</v>
      </c>
      <c r="C384" s="121" t="str">
        <f>IF(VLOOKUP($B384,'1. 현장별 인원현황'!$C:$J,2,0)=0,"",VLOOKUP($B384,'1. 현장별 인원현황'!$C:$J,2,0))</f>
        <v xml:space="preserve"> [4.롯데CM] 롯데백화점 노원점 리뉴얼 공사</v>
      </c>
      <c r="D384" s="74" t="str">
        <f>IF(VLOOKUP($B384,'1. 현장별 인원현황'!$C:$J,3,0)=0,"",VLOOKUP($B384,'1. 현장별 인원현황'!$C:$J,3,0))</f>
        <v>이상규</v>
      </c>
      <c r="E384" s="74" t="str">
        <f ca="1">IF(VLOOKUP($B384,'1. 현장별 인원현황'!$C:$J,4,0)=0,"",VLOOKUP($B384,'1. 현장별 인원현황'!$C:$J,4,0))</f>
        <v>55세</v>
      </c>
      <c r="F384" s="70" t="str">
        <f>IF(VLOOKUP($B384,'1. 현장별 인원현황'!$C:$J,7,0)=0,"",VLOOKUP($B384,'1. 현장별 인원현황'!$C:$J,7,0))</f>
        <v>공사</v>
      </c>
      <c r="G384" s="72" t="str">
        <f>IF(VLOOKUP($B384,'1. 현장별 인원현황'!$C:$J,8,0)=0,"",VLOOKUP($B384,'1. 현장별 인원현황'!$C:$J,8,0))</f>
        <v>차장</v>
      </c>
      <c r="H384" s="67" t="s">
        <v>69</v>
      </c>
      <c r="I384" s="73"/>
      <c r="J384" s="73"/>
      <c r="K384" s="68"/>
      <c r="L384" s="67" t="s">
        <v>69</v>
      </c>
      <c r="M384" s="73"/>
      <c r="N384" s="73"/>
      <c r="O384" s="68"/>
      <c r="P384" s="67" t="s">
        <v>69</v>
      </c>
      <c r="Q384" s="73"/>
      <c r="R384" s="73"/>
      <c r="S384" s="68"/>
      <c r="T384" s="67" t="s">
        <v>69</v>
      </c>
      <c r="U384" s="73"/>
      <c r="V384" s="73"/>
      <c r="W384" s="68"/>
      <c r="X384" s="67" t="s">
        <v>69</v>
      </c>
      <c r="Y384" s="73"/>
      <c r="Z384" s="73"/>
      <c r="AA384" s="68"/>
      <c r="AB384" s="67" t="s">
        <v>69</v>
      </c>
      <c r="AC384" s="73"/>
      <c r="AD384" s="73"/>
      <c r="AE384" s="68"/>
      <c r="AF384" s="67" t="s">
        <v>69</v>
      </c>
      <c r="AG384" s="73"/>
      <c r="AH384" s="73"/>
      <c r="AI384" s="68"/>
      <c r="AJ384" s="67" t="s">
        <v>69</v>
      </c>
      <c r="AK384" s="73"/>
      <c r="AL384" s="73"/>
      <c r="AM384" s="68"/>
      <c r="AN384" s="67">
        <f t="shared" si="343"/>
        <v>100</v>
      </c>
      <c r="AO384" s="68" t="str">
        <f t="shared" si="344"/>
        <v>S</v>
      </c>
      <c r="AR384" s="49">
        <f t="shared" si="41"/>
        <v>1</v>
      </c>
      <c r="AS384" s="49">
        <f t="shared" si="42"/>
        <v>0</v>
      </c>
      <c r="AT384" s="49">
        <f t="shared" si="43"/>
        <v>0</v>
      </c>
      <c r="AU384" s="49">
        <f t="shared" si="44"/>
        <v>0</v>
      </c>
      <c r="AV384" s="49">
        <f t="shared" si="45"/>
        <v>1</v>
      </c>
      <c r="AW384" s="49">
        <f t="shared" si="46"/>
        <v>0</v>
      </c>
      <c r="AX384" s="49">
        <f t="shared" si="47"/>
        <v>0</v>
      </c>
      <c r="AY384" s="49">
        <f t="shared" si="48"/>
        <v>0</v>
      </c>
      <c r="AZ384" s="49">
        <f t="shared" si="49"/>
        <v>1</v>
      </c>
      <c r="BA384" s="49">
        <f t="shared" si="50"/>
        <v>0</v>
      </c>
      <c r="BB384" s="49">
        <f t="shared" si="51"/>
        <v>0</v>
      </c>
      <c r="BC384" s="49">
        <f t="shared" si="52"/>
        <v>0</v>
      </c>
      <c r="BD384" s="49">
        <f t="shared" si="53"/>
        <v>1</v>
      </c>
      <c r="BE384" s="49">
        <f t="shared" si="54"/>
        <v>0</v>
      </c>
      <c r="BF384" s="49">
        <f t="shared" si="55"/>
        <v>0</v>
      </c>
      <c r="BG384" s="49">
        <f t="shared" si="56"/>
        <v>0</v>
      </c>
      <c r="BH384" s="49">
        <f t="shared" si="57"/>
        <v>1</v>
      </c>
      <c r="BI384" s="49">
        <f t="shared" si="58"/>
        <v>0</v>
      </c>
      <c r="BJ384" s="49">
        <f t="shared" si="59"/>
        <v>0</v>
      </c>
      <c r="BK384" s="49">
        <f t="shared" si="60"/>
        <v>0</v>
      </c>
      <c r="BL384" s="49">
        <f t="shared" si="61"/>
        <v>1</v>
      </c>
      <c r="BM384" s="49">
        <f t="shared" si="62"/>
        <v>0</v>
      </c>
      <c r="BN384" s="49">
        <f t="shared" si="63"/>
        <v>0</v>
      </c>
      <c r="BO384" s="49">
        <f t="shared" si="64"/>
        <v>0</v>
      </c>
      <c r="BP384" s="49">
        <f t="shared" si="65"/>
        <v>1</v>
      </c>
      <c r="BQ384" s="49">
        <f t="shared" si="66"/>
        <v>0</v>
      </c>
      <c r="BR384" s="49">
        <f t="shared" si="67"/>
        <v>0</v>
      </c>
      <c r="BS384" s="49">
        <f t="shared" si="68"/>
        <v>0</v>
      </c>
      <c r="BT384" s="49">
        <f t="shared" si="69"/>
        <v>1</v>
      </c>
      <c r="BU384" s="49">
        <f t="shared" si="70"/>
        <v>0</v>
      </c>
      <c r="BV384" s="49">
        <f t="shared" si="71"/>
        <v>0</v>
      </c>
      <c r="BW384" s="49">
        <f t="shared" si="72"/>
        <v>0</v>
      </c>
    </row>
    <row r="385" spans="1:75" ht="35.1" customHeight="1" x14ac:dyDescent="0.3">
      <c r="A385" s="123" t="str">
        <f t="shared" si="341"/>
        <v>4팀</v>
      </c>
      <c r="B385" s="69">
        <f t="shared" si="342"/>
        <v>379</v>
      </c>
      <c r="C385" s="121" t="str">
        <f>IF(VLOOKUP($B385,'1. 현장별 인원현황'!$C:$J,2,0)=0,"",VLOOKUP($B385,'1. 현장별 인원현황'!$C:$J,2,0))</f>
        <v xml:space="preserve"> [4.롯데CM] 롯데백화점 노원점 리뉴얼 공사</v>
      </c>
      <c r="D385" s="74" t="str">
        <f>IF(VLOOKUP($B385,'1. 현장별 인원현황'!$C:$J,3,0)=0,"",VLOOKUP($B385,'1. 현장별 인원현황'!$C:$J,3,0))</f>
        <v>김수민</v>
      </c>
      <c r="E385" s="74" t="str">
        <f ca="1">IF(VLOOKUP($B385,'1. 현장별 인원현황'!$C:$J,4,0)=0,"",VLOOKUP($B385,'1. 현장별 인원현황'!$C:$J,4,0))</f>
        <v>28세</v>
      </c>
      <c r="F385" s="70" t="str">
        <f>IF(VLOOKUP($B385,'1. 현장별 인원현황'!$C:$J,7,0)=0,"",VLOOKUP($B385,'1. 현장별 인원현황'!$C:$J,7,0))</f>
        <v>기능공</v>
      </c>
      <c r="G385" s="72" t="str">
        <f>IF(VLOOKUP($B385,'1. 현장별 인원현황'!$C:$J,8,0)=0,"",VLOOKUP($B385,'1. 현장별 인원현황'!$C:$J,8,0))</f>
        <v>전공</v>
      </c>
      <c r="H385" s="67" t="s">
        <v>69</v>
      </c>
      <c r="I385" s="73"/>
      <c r="J385" s="73"/>
      <c r="K385" s="68"/>
      <c r="L385" s="67" t="s">
        <v>69</v>
      </c>
      <c r="M385" s="73"/>
      <c r="N385" s="73"/>
      <c r="O385" s="68"/>
      <c r="P385" s="67" t="s">
        <v>69</v>
      </c>
      <c r="Q385" s="73"/>
      <c r="R385" s="73"/>
      <c r="S385" s="68"/>
      <c r="T385" s="67" t="s">
        <v>69</v>
      </c>
      <c r="U385" s="73"/>
      <c r="V385" s="73"/>
      <c r="W385" s="68"/>
      <c r="X385" s="67" t="s">
        <v>69</v>
      </c>
      <c r="Y385" s="73"/>
      <c r="Z385" s="73"/>
      <c r="AA385" s="68"/>
      <c r="AB385" s="67" t="s">
        <v>69</v>
      </c>
      <c r="AC385" s="73"/>
      <c r="AD385" s="73"/>
      <c r="AE385" s="68"/>
      <c r="AF385" s="67" t="s">
        <v>69</v>
      </c>
      <c r="AG385" s="73"/>
      <c r="AH385" s="73"/>
      <c r="AI385" s="68"/>
      <c r="AJ385" s="67" t="s">
        <v>69</v>
      </c>
      <c r="AK385" s="73"/>
      <c r="AL385" s="73"/>
      <c r="AM385" s="68"/>
      <c r="AN385" s="67">
        <f t="shared" si="343"/>
        <v>100</v>
      </c>
      <c r="AO385" s="68" t="str">
        <f t="shared" si="344"/>
        <v>S</v>
      </c>
      <c r="AR385" s="49">
        <f t="shared" si="41"/>
        <v>1</v>
      </c>
      <c r="AS385" s="49">
        <f t="shared" si="42"/>
        <v>0</v>
      </c>
      <c r="AT385" s="49">
        <f t="shared" si="43"/>
        <v>0</v>
      </c>
      <c r="AU385" s="49">
        <f t="shared" si="44"/>
        <v>0</v>
      </c>
      <c r="AV385" s="49">
        <f t="shared" si="45"/>
        <v>1</v>
      </c>
      <c r="AW385" s="49">
        <f t="shared" si="46"/>
        <v>0</v>
      </c>
      <c r="AX385" s="49">
        <f t="shared" si="47"/>
        <v>0</v>
      </c>
      <c r="AY385" s="49">
        <f t="shared" si="48"/>
        <v>0</v>
      </c>
      <c r="AZ385" s="49">
        <f t="shared" si="49"/>
        <v>1</v>
      </c>
      <c r="BA385" s="49">
        <f t="shared" si="50"/>
        <v>0</v>
      </c>
      <c r="BB385" s="49">
        <f t="shared" si="51"/>
        <v>0</v>
      </c>
      <c r="BC385" s="49">
        <f t="shared" si="52"/>
        <v>0</v>
      </c>
      <c r="BD385" s="49">
        <f t="shared" si="53"/>
        <v>1</v>
      </c>
      <c r="BE385" s="49">
        <f t="shared" si="54"/>
        <v>0</v>
      </c>
      <c r="BF385" s="49">
        <f t="shared" si="55"/>
        <v>0</v>
      </c>
      <c r="BG385" s="49">
        <f t="shared" si="56"/>
        <v>0</v>
      </c>
      <c r="BH385" s="49">
        <f t="shared" si="57"/>
        <v>1</v>
      </c>
      <c r="BI385" s="49">
        <f t="shared" si="58"/>
        <v>0</v>
      </c>
      <c r="BJ385" s="49">
        <f t="shared" si="59"/>
        <v>0</v>
      </c>
      <c r="BK385" s="49">
        <f t="shared" si="60"/>
        <v>0</v>
      </c>
      <c r="BL385" s="49">
        <f t="shared" si="61"/>
        <v>1</v>
      </c>
      <c r="BM385" s="49">
        <f t="shared" si="62"/>
        <v>0</v>
      </c>
      <c r="BN385" s="49">
        <f t="shared" si="63"/>
        <v>0</v>
      </c>
      <c r="BO385" s="49">
        <f t="shared" si="64"/>
        <v>0</v>
      </c>
      <c r="BP385" s="49">
        <f t="shared" si="65"/>
        <v>1</v>
      </c>
      <c r="BQ385" s="49">
        <f t="shared" si="66"/>
        <v>0</v>
      </c>
      <c r="BR385" s="49">
        <f t="shared" si="67"/>
        <v>0</v>
      </c>
      <c r="BS385" s="49">
        <f t="shared" si="68"/>
        <v>0</v>
      </c>
      <c r="BT385" s="49">
        <f t="shared" si="69"/>
        <v>1</v>
      </c>
      <c r="BU385" s="49">
        <f t="shared" si="70"/>
        <v>0</v>
      </c>
      <c r="BV385" s="49">
        <f t="shared" si="71"/>
        <v>0</v>
      </c>
      <c r="BW385" s="49">
        <f t="shared" si="72"/>
        <v>0</v>
      </c>
    </row>
    <row r="386" spans="1:75" ht="35.1" customHeight="1" x14ac:dyDescent="0.3">
      <c r="A386" s="123" t="str">
        <f t="shared" si="341"/>
        <v>4팀</v>
      </c>
      <c r="B386" s="69">
        <f t="shared" si="342"/>
        <v>380</v>
      </c>
      <c r="C386" s="121" t="str">
        <f>IF(VLOOKUP($B386,'1. 현장별 인원현황'!$C:$J,2,0)=0,"",VLOOKUP($B386,'1. 현장별 인원현황'!$C:$J,2,0))</f>
        <v xml:space="preserve"> [4.롯데CM] 롯데백화점 노원점 리뉴얼 공사</v>
      </c>
      <c r="D386" s="74" t="str">
        <f>IF(VLOOKUP($B386,'1. 현장별 인원현황'!$C:$J,3,0)=0,"",VLOOKUP($B386,'1. 현장별 인원현황'!$C:$J,3,0))</f>
        <v>김중기</v>
      </c>
      <c r="E386" s="74" t="str">
        <f ca="1">IF(VLOOKUP($B386,'1. 현장별 인원현황'!$C:$J,4,0)=0,"",VLOOKUP($B386,'1. 현장별 인원현황'!$C:$J,4,0))</f>
        <v>58세</v>
      </c>
      <c r="F386" s="70" t="str">
        <f>IF(VLOOKUP($B386,'1. 현장별 인원현황'!$C:$J,7,0)=0,"",VLOOKUP($B386,'1. 현장별 인원현황'!$C:$J,7,0))</f>
        <v>기능공</v>
      </c>
      <c r="G386" s="72" t="str">
        <f>IF(VLOOKUP($B386,'1. 현장별 인원현황'!$C:$J,8,0)=0,"",VLOOKUP($B386,'1. 현장별 인원현황'!$C:$J,8,0))</f>
        <v>전공</v>
      </c>
      <c r="H386" s="67" t="s">
        <v>69</v>
      </c>
      <c r="I386" s="73"/>
      <c r="J386" s="73"/>
      <c r="K386" s="68"/>
      <c r="L386" s="67"/>
      <c r="M386" s="73" t="s">
        <v>69</v>
      </c>
      <c r="N386" s="73"/>
      <c r="O386" s="68"/>
      <c r="P386" s="67" t="s">
        <v>69</v>
      </c>
      <c r="Q386" s="73"/>
      <c r="R386" s="73"/>
      <c r="S386" s="68"/>
      <c r="T386" s="67"/>
      <c r="U386" s="73" t="s">
        <v>69</v>
      </c>
      <c r="V386" s="73"/>
      <c r="W386" s="68"/>
      <c r="X386" s="67" t="s">
        <v>69</v>
      </c>
      <c r="Y386" s="73"/>
      <c r="Z386" s="73"/>
      <c r="AA386" s="68"/>
      <c r="AB386" s="67" t="s">
        <v>69</v>
      </c>
      <c r="AC386" s="73"/>
      <c r="AD386" s="73"/>
      <c r="AE386" s="68"/>
      <c r="AF386" s="67" t="s">
        <v>69</v>
      </c>
      <c r="AG386" s="73"/>
      <c r="AH386" s="73"/>
      <c r="AI386" s="68"/>
      <c r="AJ386" s="67" t="s">
        <v>69</v>
      </c>
      <c r="AK386" s="73"/>
      <c r="AL386" s="73"/>
      <c r="AM386" s="68"/>
      <c r="AN386" s="67">
        <f t="shared" si="343"/>
        <v>92</v>
      </c>
      <c r="AO386" s="68" t="str">
        <f t="shared" si="344"/>
        <v>S</v>
      </c>
      <c r="AR386" s="49">
        <f t="shared" si="41"/>
        <v>1</v>
      </c>
      <c r="AS386" s="49">
        <f t="shared" si="42"/>
        <v>0</v>
      </c>
      <c r="AT386" s="49">
        <f t="shared" si="43"/>
        <v>0</v>
      </c>
      <c r="AU386" s="49">
        <f t="shared" si="44"/>
        <v>0</v>
      </c>
      <c r="AV386" s="49">
        <f t="shared" si="45"/>
        <v>0</v>
      </c>
      <c r="AW386" s="49">
        <f t="shared" si="46"/>
        <v>1</v>
      </c>
      <c r="AX386" s="49">
        <f t="shared" si="47"/>
        <v>0</v>
      </c>
      <c r="AY386" s="49">
        <f t="shared" si="48"/>
        <v>0</v>
      </c>
      <c r="AZ386" s="49">
        <f t="shared" si="49"/>
        <v>1</v>
      </c>
      <c r="BA386" s="49">
        <f t="shared" si="50"/>
        <v>0</v>
      </c>
      <c r="BB386" s="49">
        <f t="shared" si="51"/>
        <v>0</v>
      </c>
      <c r="BC386" s="49">
        <f t="shared" si="52"/>
        <v>0</v>
      </c>
      <c r="BD386" s="49">
        <f t="shared" si="53"/>
        <v>0</v>
      </c>
      <c r="BE386" s="49">
        <f t="shared" si="54"/>
        <v>1</v>
      </c>
      <c r="BF386" s="49">
        <f t="shared" si="55"/>
        <v>0</v>
      </c>
      <c r="BG386" s="49">
        <f t="shared" si="56"/>
        <v>0</v>
      </c>
      <c r="BH386" s="49">
        <f t="shared" si="57"/>
        <v>1</v>
      </c>
      <c r="BI386" s="49">
        <f t="shared" si="58"/>
        <v>0</v>
      </c>
      <c r="BJ386" s="49">
        <f t="shared" si="59"/>
        <v>0</v>
      </c>
      <c r="BK386" s="49">
        <f t="shared" si="60"/>
        <v>0</v>
      </c>
      <c r="BL386" s="49">
        <f t="shared" si="61"/>
        <v>1</v>
      </c>
      <c r="BM386" s="49">
        <f t="shared" si="62"/>
        <v>0</v>
      </c>
      <c r="BN386" s="49">
        <f t="shared" si="63"/>
        <v>0</v>
      </c>
      <c r="BO386" s="49">
        <f t="shared" si="64"/>
        <v>0</v>
      </c>
      <c r="BP386" s="49">
        <f t="shared" si="65"/>
        <v>1</v>
      </c>
      <c r="BQ386" s="49">
        <f t="shared" si="66"/>
        <v>0</v>
      </c>
      <c r="BR386" s="49">
        <f t="shared" si="67"/>
        <v>0</v>
      </c>
      <c r="BS386" s="49">
        <f t="shared" si="68"/>
        <v>0</v>
      </c>
      <c r="BT386" s="49">
        <f t="shared" si="69"/>
        <v>1</v>
      </c>
      <c r="BU386" s="49">
        <f t="shared" si="70"/>
        <v>0</v>
      </c>
      <c r="BV386" s="49">
        <f t="shared" si="71"/>
        <v>0</v>
      </c>
      <c r="BW386" s="49">
        <f t="shared" si="72"/>
        <v>0</v>
      </c>
    </row>
    <row r="387" spans="1:75" ht="35.1" customHeight="1" x14ac:dyDescent="0.3">
      <c r="A387" s="123" t="str">
        <f t="shared" si="341"/>
        <v>4팀</v>
      </c>
      <c r="B387" s="69">
        <f t="shared" si="342"/>
        <v>381</v>
      </c>
      <c r="C387" s="121" t="str">
        <f>IF(VLOOKUP($B387,'1. 현장별 인원현황'!$C:$J,2,0)=0,"",VLOOKUP($B387,'1. 현장별 인원현황'!$C:$J,2,0))</f>
        <v xml:space="preserve"> [4.롯데CM] 롯데백화점 노원점 리뉴얼 공사</v>
      </c>
      <c r="D387" s="74" t="str">
        <f>IF(VLOOKUP($B387,'1. 현장별 인원현황'!$C:$J,3,0)=0,"",VLOOKUP($B387,'1. 현장별 인원현황'!$C:$J,3,0))</f>
        <v>손영일</v>
      </c>
      <c r="E387" s="74" t="str">
        <f ca="1">IF(VLOOKUP($B387,'1. 현장별 인원현황'!$C:$J,4,0)=0,"",VLOOKUP($B387,'1. 현장별 인원현황'!$C:$J,4,0))</f>
        <v>53세</v>
      </c>
      <c r="F387" s="70" t="str">
        <f>IF(VLOOKUP($B387,'1. 현장별 인원현황'!$C:$J,7,0)=0,"",VLOOKUP($B387,'1. 현장별 인원현황'!$C:$J,7,0))</f>
        <v>기능공</v>
      </c>
      <c r="G387" s="72" t="str">
        <f>IF(VLOOKUP($B387,'1. 현장별 인원현황'!$C:$J,8,0)=0,"",VLOOKUP($B387,'1. 현장별 인원현황'!$C:$J,8,0))</f>
        <v>전공</v>
      </c>
      <c r="H387" s="67" t="s">
        <v>69</v>
      </c>
      <c r="I387" s="73"/>
      <c r="J387" s="73"/>
      <c r="K387" s="68"/>
      <c r="L387" s="67"/>
      <c r="M387" s="73" t="s">
        <v>69</v>
      </c>
      <c r="N387" s="73"/>
      <c r="O387" s="68"/>
      <c r="P387" s="67" t="s">
        <v>69</v>
      </c>
      <c r="Q387" s="73"/>
      <c r="R387" s="73"/>
      <c r="S387" s="68"/>
      <c r="T387" s="67" t="s">
        <v>69</v>
      </c>
      <c r="U387" s="73"/>
      <c r="V387" s="73"/>
      <c r="W387" s="68"/>
      <c r="X387" s="67" t="s">
        <v>69</v>
      </c>
      <c r="Y387" s="73"/>
      <c r="Z387" s="73"/>
      <c r="AA387" s="68"/>
      <c r="AB387" s="67" t="s">
        <v>69</v>
      </c>
      <c r="AC387" s="73"/>
      <c r="AD387" s="73"/>
      <c r="AE387" s="68"/>
      <c r="AF387" s="67" t="s">
        <v>69</v>
      </c>
      <c r="AG387" s="73"/>
      <c r="AH387" s="73"/>
      <c r="AI387" s="68"/>
      <c r="AJ387" s="67" t="s">
        <v>69</v>
      </c>
      <c r="AK387" s="73"/>
      <c r="AL387" s="73"/>
      <c r="AM387" s="68"/>
      <c r="AN387" s="67">
        <f t="shared" si="343"/>
        <v>96</v>
      </c>
      <c r="AO387" s="68" t="str">
        <f t="shared" si="344"/>
        <v>S</v>
      </c>
      <c r="AR387" s="49">
        <f t="shared" si="41"/>
        <v>1</v>
      </c>
      <c r="AS387" s="49">
        <f t="shared" si="42"/>
        <v>0</v>
      </c>
      <c r="AT387" s="49">
        <f t="shared" si="43"/>
        <v>0</v>
      </c>
      <c r="AU387" s="49">
        <f t="shared" si="44"/>
        <v>0</v>
      </c>
      <c r="AV387" s="49">
        <f t="shared" si="45"/>
        <v>0</v>
      </c>
      <c r="AW387" s="49">
        <f t="shared" si="46"/>
        <v>1</v>
      </c>
      <c r="AX387" s="49">
        <f t="shared" si="47"/>
        <v>0</v>
      </c>
      <c r="AY387" s="49">
        <f t="shared" si="48"/>
        <v>0</v>
      </c>
      <c r="AZ387" s="49">
        <f t="shared" si="49"/>
        <v>1</v>
      </c>
      <c r="BA387" s="49">
        <f t="shared" si="50"/>
        <v>0</v>
      </c>
      <c r="BB387" s="49">
        <f t="shared" si="51"/>
        <v>0</v>
      </c>
      <c r="BC387" s="49">
        <f t="shared" si="52"/>
        <v>0</v>
      </c>
      <c r="BD387" s="49">
        <f t="shared" si="53"/>
        <v>1</v>
      </c>
      <c r="BE387" s="49">
        <f t="shared" si="54"/>
        <v>0</v>
      </c>
      <c r="BF387" s="49">
        <f t="shared" si="55"/>
        <v>0</v>
      </c>
      <c r="BG387" s="49">
        <f t="shared" si="56"/>
        <v>0</v>
      </c>
      <c r="BH387" s="49">
        <f t="shared" si="57"/>
        <v>1</v>
      </c>
      <c r="BI387" s="49">
        <f t="shared" si="58"/>
        <v>0</v>
      </c>
      <c r="BJ387" s="49">
        <f t="shared" si="59"/>
        <v>0</v>
      </c>
      <c r="BK387" s="49">
        <f t="shared" si="60"/>
        <v>0</v>
      </c>
      <c r="BL387" s="49">
        <f t="shared" si="61"/>
        <v>1</v>
      </c>
      <c r="BM387" s="49">
        <f t="shared" si="62"/>
        <v>0</v>
      </c>
      <c r="BN387" s="49">
        <f t="shared" si="63"/>
        <v>0</v>
      </c>
      <c r="BO387" s="49">
        <f t="shared" si="64"/>
        <v>0</v>
      </c>
      <c r="BP387" s="49">
        <f t="shared" si="65"/>
        <v>1</v>
      </c>
      <c r="BQ387" s="49">
        <f t="shared" si="66"/>
        <v>0</v>
      </c>
      <c r="BR387" s="49">
        <f t="shared" si="67"/>
        <v>0</v>
      </c>
      <c r="BS387" s="49">
        <f t="shared" si="68"/>
        <v>0</v>
      </c>
      <c r="BT387" s="49">
        <f t="shared" si="69"/>
        <v>1</v>
      </c>
      <c r="BU387" s="49">
        <f t="shared" si="70"/>
        <v>0</v>
      </c>
      <c r="BV387" s="49">
        <f t="shared" si="71"/>
        <v>0</v>
      </c>
      <c r="BW387" s="49">
        <f t="shared" si="72"/>
        <v>0</v>
      </c>
    </row>
    <row r="388" spans="1:75" ht="35.1" customHeight="1" x14ac:dyDescent="0.3">
      <c r="A388" s="123" t="str">
        <f t="shared" si="341"/>
        <v>4팀</v>
      </c>
      <c r="B388" s="69">
        <f t="shared" si="342"/>
        <v>382</v>
      </c>
      <c r="C388" s="121" t="str">
        <f>IF(VLOOKUP($B388,'1. 현장별 인원현황'!$C:$J,2,0)=0,"",VLOOKUP($B388,'1. 현장별 인원현황'!$C:$J,2,0))</f>
        <v xml:space="preserve"> [4.롯데CM] 롯데백화점 노원점 리뉴얼 공사</v>
      </c>
      <c r="D388" s="74" t="str">
        <f>IF(VLOOKUP($B388,'1. 현장별 인원현황'!$C:$J,3,0)=0,"",VLOOKUP($B388,'1. 현장별 인원현황'!$C:$J,3,0))</f>
        <v>안윤성</v>
      </c>
      <c r="E388" s="74" t="str">
        <f ca="1">IF(VLOOKUP($B388,'1. 현장별 인원현황'!$C:$J,4,0)=0,"",VLOOKUP($B388,'1. 현장별 인원현황'!$C:$J,4,0))</f>
        <v>55세</v>
      </c>
      <c r="F388" s="70" t="str">
        <f>IF(VLOOKUP($B388,'1. 현장별 인원현황'!$C:$J,7,0)=0,"",VLOOKUP($B388,'1. 현장별 인원현황'!$C:$J,7,0))</f>
        <v>기능공</v>
      </c>
      <c r="G388" s="72" t="str">
        <f>IF(VLOOKUP($B388,'1. 현장별 인원현황'!$C:$J,8,0)=0,"",VLOOKUP($B388,'1. 현장별 인원현황'!$C:$J,8,0))</f>
        <v>전공</v>
      </c>
      <c r="H388" s="67" t="s">
        <v>69</v>
      </c>
      <c r="I388" s="73"/>
      <c r="J388" s="73"/>
      <c r="K388" s="68"/>
      <c r="L388" s="67"/>
      <c r="M388" s="73" t="s">
        <v>69</v>
      </c>
      <c r="N388" s="73"/>
      <c r="O388" s="68"/>
      <c r="P388" s="67" t="s">
        <v>69</v>
      </c>
      <c r="Q388" s="73"/>
      <c r="R388" s="73"/>
      <c r="S388" s="68"/>
      <c r="T388" s="67" t="s">
        <v>69</v>
      </c>
      <c r="U388" s="73"/>
      <c r="V388" s="73"/>
      <c r="W388" s="68"/>
      <c r="X388" s="67" t="s">
        <v>69</v>
      </c>
      <c r="Y388" s="73"/>
      <c r="Z388" s="73"/>
      <c r="AA388" s="68"/>
      <c r="AB388" s="67" t="s">
        <v>69</v>
      </c>
      <c r="AC388" s="73"/>
      <c r="AD388" s="73"/>
      <c r="AE388" s="68"/>
      <c r="AF388" s="67" t="s">
        <v>69</v>
      </c>
      <c r="AG388" s="73"/>
      <c r="AH388" s="73"/>
      <c r="AI388" s="68"/>
      <c r="AJ388" s="67" t="s">
        <v>69</v>
      </c>
      <c r="AK388" s="73"/>
      <c r="AL388" s="73"/>
      <c r="AM388" s="68"/>
      <c r="AN388" s="67">
        <f t="shared" si="343"/>
        <v>96</v>
      </c>
      <c r="AO388" s="68" t="str">
        <f t="shared" si="344"/>
        <v>S</v>
      </c>
      <c r="AR388" s="49">
        <f t="shared" ref="AR388:AR403" si="377">IF(H388&gt;0,1,0)</f>
        <v>1</v>
      </c>
      <c r="AS388" s="49">
        <f t="shared" ref="AS388:AS403" si="378">IF(I388&gt;0,1,0)</f>
        <v>0</v>
      </c>
      <c r="AT388" s="49">
        <f t="shared" ref="AT388:AT403" si="379">IF(J388&gt;0,1,0)</f>
        <v>0</v>
      </c>
      <c r="AU388" s="49">
        <f t="shared" ref="AU388:AU403" si="380">IF(K388&gt;0,1,0)</f>
        <v>0</v>
      </c>
      <c r="AV388" s="49">
        <f t="shared" ref="AV388:AV403" si="381">IF(L388&gt;0,1,0)</f>
        <v>0</v>
      </c>
      <c r="AW388" s="49">
        <f t="shared" ref="AW388:AW403" si="382">IF(M388&gt;0,1,0)</f>
        <v>1</v>
      </c>
      <c r="AX388" s="49">
        <f t="shared" ref="AX388:AX403" si="383">IF(N388&gt;0,1,0)</f>
        <v>0</v>
      </c>
      <c r="AY388" s="49">
        <f t="shared" ref="AY388:AY403" si="384">IF(O388&gt;0,1,0)</f>
        <v>0</v>
      </c>
      <c r="AZ388" s="49">
        <f t="shared" ref="AZ388:AZ403" si="385">IF(P388&gt;0,1,0)</f>
        <v>1</v>
      </c>
      <c r="BA388" s="49">
        <f t="shared" ref="BA388:BA403" si="386">IF(Q388&gt;0,1,0)</f>
        <v>0</v>
      </c>
      <c r="BB388" s="49">
        <f t="shared" ref="BB388:BB403" si="387">IF(R388&gt;0,1,0)</f>
        <v>0</v>
      </c>
      <c r="BC388" s="49">
        <f t="shared" ref="BC388:BC403" si="388">IF(S388&gt;0,1,0)</f>
        <v>0</v>
      </c>
      <c r="BD388" s="49">
        <f t="shared" ref="BD388:BD403" si="389">IF(T388&gt;0,1,0)</f>
        <v>1</v>
      </c>
      <c r="BE388" s="49">
        <f t="shared" ref="BE388:BE403" si="390">IF(U388&gt;0,1,0)</f>
        <v>0</v>
      </c>
      <c r="BF388" s="49">
        <f t="shared" ref="BF388:BF403" si="391">IF(V388&gt;0,1,0)</f>
        <v>0</v>
      </c>
      <c r="BG388" s="49">
        <f t="shared" ref="BG388:BG403" si="392">IF(W388&gt;0,1,0)</f>
        <v>0</v>
      </c>
      <c r="BH388" s="49">
        <f t="shared" ref="BH388:BH403" si="393">IF(X388&gt;0,1,0)</f>
        <v>1</v>
      </c>
      <c r="BI388" s="49">
        <f t="shared" ref="BI388:BI403" si="394">IF(Y388&gt;0,1,0)</f>
        <v>0</v>
      </c>
      <c r="BJ388" s="49">
        <f t="shared" ref="BJ388:BJ403" si="395">IF(Z388&gt;0,1,0)</f>
        <v>0</v>
      </c>
      <c r="BK388" s="49">
        <f t="shared" ref="BK388:BK403" si="396">IF(AA388&gt;0,1,0)</f>
        <v>0</v>
      </c>
      <c r="BL388" s="49">
        <f t="shared" ref="BL388:BL403" si="397">IF(AB388&gt;0,1,0)</f>
        <v>1</v>
      </c>
      <c r="BM388" s="49">
        <f t="shared" ref="BM388:BM403" si="398">IF(AC388&gt;0,1,0)</f>
        <v>0</v>
      </c>
      <c r="BN388" s="49">
        <f t="shared" ref="BN388:BN403" si="399">IF(AD388&gt;0,1,0)</f>
        <v>0</v>
      </c>
      <c r="BO388" s="49">
        <f t="shared" ref="BO388:BO403" si="400">IF(AE388&gt;0,1,0)</f>
        <v>0</v>
      </c>
      <c r="BP388" s="49">
        <f t="shared" ref="BP388:BP403" si="401">IF(AF388&gt;0,1,0)</f>
        <v>1</v>
      </c>
      <c r="BQ388" s="49">
        <f t="shared" ref="BQ388:BQ403" si="402">IF(AG388&gt;0,1,0)</f>
        <v>0</v>
      </c>
      <c r="BR388" s="49">
        <f t="shared" ref="BR388:BR403" si="403">IF(AH388&gt;0,1,0)</f>
        <v>0</v>
      </c>
      <c r="BS388" s="49">
        <f t="shared" ref="BS388:BS403" si="404">IF(AI388&gt;0,1,0)</f>
        <v>0</v>
      </c>
      <c r="BT388" s="49">
        <f t="shared" ref="BT388:BT403" si="405">IF(AJ388&gt;0,1,0)</f>
        <v>1</v>
      </c>
      <c r="BU388" s="49">
        <f t="shared" ref="BU388:BU403" si="406">IF(AK388&gt;0,1,0)</f>
        <v>0</v>
      </c>
      <c r="BV388" s="49">
        <f t="shared" ref="BV388:BV403" si="407">IF(AL388&gt;0,1,0)</f>
        <v>0</v>
      </c>
      <c r="BW388" s="49">
        <f t="shared" ref="BW388:BW403" si="408">IF(AM388&gt;0,1,0)</f>
        <v>0</v>
      </c>
    </row>
    <row r="389" spans="1:75" ht="35.1" customHeight="1" x14ac:dyDescent="0.3">
      <c r="A389" s="123" t="str">
        <f t="shared" si="341"/>
        <v>4팀</v>
      </c>
      <c r="B389" s="69">
        <f t="shared" si="342"/>
        <v>383</v>
      </c>
      <c r="C389" s="121" t="str">
        <f>IF(VLOOKUP($B389,'1. 현장별 인원현황'!$C:$J,2,0)=0,"",VLOOKUP($B389,'1. 현장별 인원현황'!$C:$J,2,0))</f>
        <v xml:space="preserve"> [4.롯데CM] 롯데백화점 노원점 리뉴얼 공사</v>
      </c>
      <c r="D389" s="74" t="str">
        <f>IF(VLOOKUP($B389,'1. 현장별 인원현황'!$C:$J,3,0)=0,"",VLOOKUP($B389,'1. 현장별 인원현황'!$C:$J,3,0))</f>
        <v>유태우</v>
      </c>
      <c r="E389" s="74" t="str">
        <f ca="1">IF(VLOOKUP($B389,'1. 현장별 인원현황'!$C:$J,4,0)=0,"",VLOOKUP($B389,'1. 현장별 인원현황'!$C:$J,4,0))</f>
        <v>30세</v>
      </c>
      <c r="F389" s="70" t="str">
        <f>IF(VLOOKUP($B389,'1. 현장별 인원현황'!$C:$J,7,0)=0,"",VLOOKUP($B389,'1. 현장별 인원현황'!$C:$J,7,0))</f>
        <v>기능공</v>
      </c>
      <c r="G389" s="72" t="str">
        <f>IF(VLOOKUP($B389,'1. 현장별 인원현황'!$C:$J,8,0)=0,"",VLOOKUP($B389,'1. 현장별 인원현황'!$C:$J,8,0))</f>
        <v>전공</v>
      </c>
      <c r="H389" s="67" t="s">
        <v>69</v>
      </c>
      <c r="I389" s="73"/>
      <c r="J389" s="73"/>
      <c r="K389" s="68"/>
      <c r="L389" s="67" t="s">
        <v>69</v>
      </c>
      <c r="M389" s="73"/>
      <c r="N389" s="73"/>
      <c r="O389" s="68"/>
      <c r="P389" s="67" t="s">
        <v>69</v>
      </c>
      <c r="Q389" s="73"/>
      <c r="R389" s="73"/>
      <c r="S389" s="68"/>
      <c r="T389" s="67"/>
      <c r="U389" s="73" t="s">
        <v>69</v>
      </c>
      <c r="V389" s="73"/>
      <c r="W389" s="68"/>
      <c r="X389" s="67" t="s">
        <v>69</v>
      </c>
      <c r="Y389" s="73"/>
      <c r="Z389" s="73"/>
      <c r="AA389" s="68"/>
      <c r="AB389" s="67" t="s">
        <v>69</v>
      </c>
      <c r="AC389" s="73"/>
      <c r="AD389" s="73"/>
      <c r="AE389" s="68"/>
      <c r="AF389" s="67" t="s">
        <v>69</v>
      </c>
      <c r="AG389" s="73"/>
      <c r="AH389" s="73"/>
      <c r="AI389" s="68"/>
      <c r="AJ389" s="67" t="s">
        <v>69</v>
      </c>
      <c r="AK389" s="73"/>
      <c r="AL389" s="73"/>
      <c r="AM389" s="68"/>
      <c r="AN389" s="67">
        <f t="shared" si="343"/>
        <v>96</v>
      </c>
      <c r="AO389" s="68" t="str">
        <f t="shared" si="344"/>
        <v>S</v>
      </c>
      <c r="AR389" s="49">
        <f t="shared" si="377"/>
        <v>1</v>
      </c>
      <c r="AS389" s="49">
        <f t="shared" si="378"/>
        <v>0</v>
      </c>
      <c r="AT389" s="49">
        <f t="shared" si="379"/>
        <v>0</v>
      </c>
      <c r="AU389" s="49">
        <f t="shared" si="380"/>
        <v>0</v>
      </c>
      <c r="AV389" s="49">
        <f t="shared" si="381"/>
        <v>1</v>
      </c>
      <c r="AW389" s="49">
        <f t="shared" si="382"/>
        <v>0</v>
      </c>
      <c r="AX389" s="49">
        <f t="shared" si="383"/>
        <v>0</v>
      </c>
      <c r="AY389" s="49">
        <f t="shared" si="384"/>
        <v>0</v>
      </c>
      <c r="AZ389" s="49">
        <f t="shared" si="385"/>
        <v>1</v>
      </c>
      <c r="BA389" s="49">
        <f t="shared" si="386"/>
        <v>0</v>
      </c>
      <c r="BB389" s="49">
        <f t="shared" si="387"/>
        <v>0</v>
      </c>
      <c r="BC389" s="49">
        <f t="shared" si="388"/>
        <v>0</v>
      </c>
      <c r="BD389" s="49">
        <f t="shared" si="389"/>
        <v>0</v>
      </c>
      <c r="BE389" s="49">
        <f t="shared" si="390"/>
        <v>1</v>
      </c>
      <c r="BF389" s="49">
        <f t="shared" si="391"/>
        <v>0</v>
      </c>
      <c r="BG389" s="49">
        <f t="shared" si="392"/>
        <v>0</v>
      </c>
      <c r="BH389" s="49">
        <f t="shared" si="393"/>
        <v>1</v>
      </c>
      <c r="BI389" s="49">
        <f t="shared" si="394"/>
        <v>0</v>
      </c>
      <c r="BJ389" s="49">
        <f t="shared" si="395"/>
        <v>0</v>
      </c>
      <c r="BK389" s="49">
        <f t="shared" si="396"/>
        <v>0</v>
      </c>
      <c r="BL389" s="49">
        <f t="shared" si="397"/>
        <v>1</v>
      </c>
      <c r="BM389" s="49">
        <f t="shared" si="398"/>
        <v>0</v>
      </c>
      <c r="BN389" s="49">
        <f t="shared" si="399"/>
        <v>0</v>
      </c>
      <c r="BO389" s="49">
        <f t="shared" si="400"/>
        <v>0</v>
      </c>
      <c r="BP389" s="49">
        <f t="shared" si="401"/>
        <v>1</v>
      </c>
      <c r="BQ389" s="49">
        <f t="shared" si="402"/>
        <v>0</v>
      </c>
      <c r="BR389" s="49">
        <f t="shared" si="403"/>
        <v>0</v>
      </c>
      <c r="BS389" s="49">
        <f t="shared" si="404"/>
        <v>0</v>
      </c>
      <c r="BT389" s="49">
        <f t="shared" si="405"/>
        <v>1</v>
      </c>
      <c r="BU389" s="49">
        <f t="shared" si="406"/>
        <v>0</v>
      </c>
      <c r="BV389" s="49">
        <f t="shared" si="407"/>
        <v>0</v>
      </c>
      <c r="BW389" s="49">
        <f t="shared" si="408"/>
        <v>0</v>
      </c>
    </row>
    <row r="390" spans="1:75" ht="35.1" customHeight="1" x14ac:dyDescent="0.3">
      <c r="A390" s="123" t="str">
        <f t="shared" si="341"/>
        <v>4팀</v>
      </c>
      <c r="B390" s="69">
        <f t="shared" si="342"/>
        <v>384</v>
      </c>
      <c r="C390" s="121" t="str">
        <f>IF(VLOOKUP($B390,'1. 현장별 인원현황'!$C:$J,2,0)=0,"",VLOOKUP($B390,'1. 현장별 인원현황'!$C:$J,2,0))</f>
        <v xml:space="preserve"> [4.롯데CM] 롯데백화점 노원점 리뉴얼 공사</v>
      </c>
      <c r="D390" s="74" t="str">
        <f>IF(VLOOKUP($B390,'1. 현장별 인원현황'!$C:$J,3,0)=0,"",VLOOKUP($B390,'1. 현장별 인원현황'!$C:$J,3,0))</f>
        <v>전홍석</v>
      </c>
      <c r="E390" s="74" t="str">
        <f ca="1">IF(VLOOKUP($B390,'1. 현장별 인원현황'!$C:$J,4,0)=0,"",VLOOKUP($B390,'1. 현장별 인원현황'!$C:$J,4,0))</f>
        <v>47세</v>
      </c>
      <c r="F390" s="70" t="str">
        <f>IF(VLOOKUP($B390,'1. 현장별 인원현황'!$C:$J,7,0)=0,"",VLOOKUP($B390,'1. 현장별 인원현황'!$C:$J,7,0))</f>
        <v>기능공</v>
      </c>
      <c r="G390" s="72" t="str">
        <f>IF(VLOOKUP($B390,'1. 현장별 인원현황'!$C:$J,8,0)=0,"",VLOOKUP($B390,'1. 현장별 인원현황'!$C:$J,8,0))</f>
        <v>전공</v>
      </c>
      <c r="H390" s="67" t="s">
        <v>69</v>
      </c>
      <c r="I390" s="73"/>
      <c r="J390" s="73"/>
      <c r="K390" s="68"/>
      <c r="L390" s="67"/>
      <c r="M390" s="73" t="s">
        <v>69</v>
      </c>
      <c r="N390" s="73"/>
      <c r="O390" s="68"/>
      <c r="P390" s="67" t="s">
        <v>69</v>
      </c>
      <c r="Q390" s="73"/>
      <c r="R390" s="73"/>
      <c r="S390" s="68"/>
      <c r="T390" s="67"/>
      <c r="U390" s="73" t="s">
        <v>69</v>
      </c>
      <c r="V390" s="73"/>
      <c r="W390" s="68"/>
      <c r="X390" s="67" t="s">
        <v>69</v>
      </c>
      <c r="Y390" s="73"/>
      <c r="Z390" s="73"/>
      <c r="AA390" s="68"/>
      <c r="AB390" s="67" t="s">
        <v>69</v>
      </c>
      <c r="AC390" s="73"/>
      <c r="AD390" s="73"/>
      <c r="AE390" s="68"/>
      <c r="AF390" s="67" t="s">
        <v>69</v>
      </c>
      <c r="AG390" s="73"/>
      <c r="AH390" s="73"/>
      <c r="AI390" s="68"/>
      <c r="AJ390" s="67" t="s">
        <v>69</v>
      </c>
      <c r="AK390" s="73"/>
      <c r="AL390" s="73"/>
      <c r="AM390" s="68"/>
      <c r="AN390" s="67">
        <f t="shared" si="343"/>
        <v>92</v>
      </c>
      <c r="AO390" s="68" t="str">
        <f t="shared" si="344"/>
        <v>S</v>
      </c>
      <c r="AR390" s="49">
        <f t="shared" si="377"/>
        <v>1</v>
      </c>
      <c r="AS390" s="49">
        <f t="shared" si="378"/>
        <v>0</v>
      </c>
      <c r="AT390" s="49">
        <f t="shared" si="379"/>
        <v>0</v>
      </c>
      <c r="AU390" s="49">
        <f t="shared" si="380"/>
        <v>0</v>
      </c>
      <c r="AV390" s="49">
        <f t="shared" si="381"/>
        <v>0</v>
      </c>
      <c r="AW390" s="49">
        <f t="shared" si="382"/>
        <v>1</v>
      </c>
      <c r="AX390" s="49">
        <f t="shared" si="383"/>
        <v>0</v>
      </c>
      <c r="AY390" s="49">
        <f t="shared" si="384"/>
        <v>0</v>
      </c>
      <c r="AZ390" s="49">
        <f t="shared" si="385"/>
        <v>1</v>
      </c>
      <c r="BA390" s="49">
        <f t="shared" si="386"/>
        <v>0</v>
      </c>
      <c r="BB390" s="49">
        <f t="shared" si="387"/>
        <v>0</v>
      </c>
      <c r="BC390" s="49">
        <f t="shared" si="388"/>
        <v>0</v>
      </c>
      <c r="BD390" s="49">
        <f t="shared" si="389"/>
        <v>0</v>
      </c>
      <c r="BE390" s="49">
        <f t="shared" si="390"/>
        <v>1</v>
      </c>
      <c r="BF390" s="49">
        <f t="shared" si="391"/>
        <v>0</v>
      </c>
      <c r="BG390" s="49">
        <f t="shared" si="392"/>
        <v>0</v>
      </c>
      <c r="BH390" s="49">
        <f t="shared" si="393"/>
        <v>1</v>
      </c>
      <c r="BI390" s="49">
        <f t="shared" si="394"/>
        <v>0</v>
      </c>
      <c r="BJ390" s="49">
        <f t="shared" si="395"/>
        <v>0</v>
      </c>
      <c r="BK390" s="49">
        <f t="shared" si="396"/>
        <v>0</v>
      </c>
      <c r="BL390" s="49">
        <f t="shared" si="397"/>
        <v>1</v>
      </c>
      <c r="BM390" s="49">
        <f t="shared" si="398"/>
        <v>0</v>
      </c>
      <c r="BN390" s="49">
        <f t="shared" si="399"/>
        <v>0</v>
      </c>
      <c r="BO390" s="49">
        <f t="shared" si="400"/>
        <v>0</v>
      </c>
      <c r="BP390" s="49">
        <f t="shared" si="401"/>
        <v>1</v>
      </c>
      <c r="BQ390" s="49">
        <f t="shared" si="402"/>
        <v>0</v>
      </c>
      <c r="BR390" s="49">
        <f t="shared" si="403"/>
        <v>0</v>
      </c>
      <c r="BS390" s="49">
        <f t="shared" si="404"/>
        <v>0</v>
      </c>
      <c r="BT390" s="49">
        <f t="shared" si="405"/>
        <v>1</v>
      </c>
      <c r="BU390" s="49">
        <f t="shared" si="406"/>
        <v>0</v>
      </c>
      <c r="BV390" s="49">
        <f t="shared" si="407"/>
        <v>0</v>
      </c>
      <c r="BW390" s="49">
        <f t="shared" si="408"/>
        <v>0</v>
      </c>
    </row>
    <row r="391" spans="1:75" ht="35.1" customHeight="1" x14ac:dyDescent="0.3">
      <c r="A391" s="123" t="str">
        <f t="shared" ref="A391:A454" si="409">MID(C391,3,1)&amp;"팀"</f>
        <v>4팀</v>
      </c>
      <c r="B391" s="69">
        <f t="shared" ref="B391:B454" si="410">ROW()-6</f>
        <v>385</v>
      </c>
      <c r="C391" s="121" t="str">
        <f>IF(VLOOKUP($B391,'1. 현장별 인원현황'!$C:$J,2,0)=0,"",VLOOKUP($B391,'1. 현장별 인원현황'!$C:$J,2,0))</f>
        <v xml:space="preserve"> [4.롯데CM] 롯데백화점 노원점 리뉴얼 공사</v>
      </c>
      <c r="D391" s="74" t="str">
        <f>IF(VLOOKUP($B391,'1. 현장별 인원현황'!$C:$J,3,0)=0,"",VLOOKUP($B391,'1. 현장별 인원현황'!$C:$J,3,0))</f>
        <v>김권일</v>
      </c>
      <c r="E391" s="74" t="str">
        <f ca="1">IF(VLOOKUP($B391,'1. 현장별 인원현황'!$C:$J,4,0)=0,"",VLOOKUP($B391,'1. 현장별 인원현황'!$C:$J,4,0))</f>
        <v>49세</v>
      </c>
      <c r="F391" s="70" t="str">
        <f>IF(VLOOKUP($B391,'1. 현장별 인원현황'!$C:$J,7,0)=0,"",VLOOKUP($B391,'1. 현장별 인원현황'!$C:$J,7,0))</f>
        <v>기능공</v>
      </c>
      <c r="G391" s="72" t="str">
        <f>IF(VLOOKUP($B391,'1. 현장별 인원현황'!$C:$J,8,0)=0,"",VLOOKUP($B391,'1. 현장별 인원현황'!$C:$J,8,0))</f>
        <v>전공</v>
      </c>
      <c r="H391" s="67" t="s">
        <v>69</v>
      </c>
      <c r="I391" s="73"/>
      <c r="J391" s="73"/>
      <c r="K391" s="68"/>
      <c r="L391" s="67"/>
      <c r="M391" s="73" t="s">
        <v>69</v>
      </c>
      <c r="N391" s="73"/>
      <c r="O391" s="68"/>
      <c r="P391" s="67" t="s">
        <v>69</v>
      </c>
      <c r="Q391" s="73"/>
      <c r="R391" s="73"/>
      <c r="S391" s="68"/>
      <c r="T391" s="67"/>
      <c r="U391" s="73" t="s">
        <v>69</v>
      </c>
      <c r="V391" s="73"/>
      <c r="W391" s="68"/>
      <c r="X391" s="67" t="s">
        <v>69</v>
      </c>
      <c r="Y391" s="73"/>
      <c r="Z391" s="73"/>
      <c r="AA391" s="68"/>
      <c r="AB391" s="67" t="s">
        <v>69</v>
      </c>
      <c r="AC391" s="73"/>
      <c r="AD391" s="73"/>
      <c r="AE391" s="68"/>
      <c r="AF391" s="67" t="s">
        <v>69</v>
      </c>
      <c r="AG391" s="73"/>
      <c r="AH391" s="73"/>
      <c r="AI391" s="68"/>
      <c r="AJ391" s="67" t="s">
        <v>69</v>
      </c>
      <c r="AK391" s="73"/>
      <c r="AL391" s="73"/>
      <c r="AM391" s="68"/>
      <c r="AN391" s="67">
        <f t="shared" ref="AN391:AN454" si="411">SUMPRODUCT($H$5:$AM$5,AR391:BW391)</f>
        <v>92</v>
      </c>
      <c r="AO391" s="68" t="str">
        <f t="shared" ref="AO391:AO454" si="412">IF(AN391&gt;85,"S",IF(AN391&gt;70,"A",IF(AN391&gt;50,"B",IF(AN391&gt;0,"C",""))))</f>
        <v>S</v>
      </c>
      <c r="AR391" s="49">
        <f t="shared" si="377"/>
        <v>1</v>
      </c>
      <c r="AS391" s="49">
        <f t="shared" si="378"/>
        <v>0</v>
      </c>
      <c r="AT391" s="49">
        <f t="shared" si="379"/>
        <v>0</v>
      </c>
      <c r="AU391" s="49">
        <f t="shared" si="380"/>
        <v>0</v>
      </c>
      <c r="AV391" s="49">
        <f t="shared" si="381"/>
        <v>0</v>
      </c>
      <c r="AW391" s="49">
        <f t="shared" si="382"/>
        <v>1</v>
      </c>
      <c r="AX391" s="49">
        <f t="shared" si="383"/>
        <v>0</v>
      </c>
      <c r="AY391" s="49">
        <f t="shared" si="384"/>
        <v>0</v>
      </c>
      <c r="AZ391" s="49">
        <f t="shared" si="385"/>
        <v>1</v>
      </c>
      <c r="BA391" s="49">
        <f t="shared" si="386"/>
        <v>0</v>
      </c>
      <c r="BB391" s="49">
        <f t="shared" si="387"/>
        <v>0</v>
      </c>
      <c r="BC391" s="49">
        <f t="shared" si="388"/>
        <v>0</v>
      </c>
      <c r="BD391" s="49">
        <f t="shared" si="389"/>
        <v>0</v>
      </c>
      <c r="BE391" s="49">
        <f t="shared" si="390"/>
        <v>1</v>
      </c>
      <c r="BF391" s="49">
        <f t="shared" si="391"/>
        <v>0</v>
      </c>
      <c r="BG391" s="49">
        <f t="shared" si="392"/>
        <v>0</v>
      </c>
      <c r="BH391" s="49">
        <f t="shared" si="393"/>
        <v>1</v>
      </c>
      <c r="BI391" s="49">
        <f t="shared" si="394"/>
        <v>0</v>
      </c>
      <c r="BJ391" s="49">
        <f t="shared" si="395"/>
        <v>0</v>
      </c>
      <c r="BK391" s="49">
        <f t="shared" si="396"/>
        <v>0</v>
      </c>
      <c r="BL391" s="49">
        <f t="shared" si="397"/>
        <v>1</v>
      </c>
      <c r="BM391" s="49">
        <f t="shared" si="398"/>
        <v>0</v>
      </c>
      <c r="BN391" s="49">
        <f t="shared" si="399"/>
        <v>0</v>
      </c>
      <c r="BO391" s="49">
        <f t="shared" si="400"/>
        <v>0</v>
      </c>
      <c r="BP391" s="49">
        <f t="shared" si="401"/>
        <v>1</v>
      </c>
      <c r="BQ391" s="49">
        <f t="shared" si="402"/>
        <v>0</v>
      </c>
      <c r="BR391" s="49">
        <f t="shared" si="403"/>
        <v>0</v>
      </c>
      <c r="BS391" s="49">
        <f t="shared" si="404"/>
        <v>0</v>
      </c>
      <c r="BT391" s="49">
        <f t="shared" si="405"/>
        <v>1</v>
      </c>
      <c r="BU391" s="49">
        <f t="shared" si="406"/>
        <v>0</v>
      </c>
      <c r="BV391" s="49">
        <f t="shared" si="407"/>
        <v>0</v>
      </c>
      <c r="BW391" s="49">
        <f t="shared" si="408"/>
        <v>0</v>
      </c>
    </row>
    <row r="392" spans="1:75" ht="35.1" customHeight="1" x14ac:dyDescent="0.3">
      <c r="A392" s="123" t="str">
        <f t="shared" si="409"/>
        <v>4팀</v>
      </c>
      <c r="B392" s="69">
        <f t="shared" si="410"/>
        <v>386</v>
      </c>
      <c r="C392" s="121" t="str">
        <f>IF(VLOOKUP($B392,'1. 현장별 인원현황'!$C:$J,2,0)=0,"",VLOOKUP($B392,'1. 현장별 인원현황'!$C:$J,2,0))</f>
        <v xml:space="preserve"> [4.롯데CM] 롯데백화점 노원점 리뉴얼 공사</v>
      </c>
      <c r="D392" s="74" t="str">
        <f>IF(VLOOKUP($B392,'1. 현장별 인원현황'!$C:$J,3,0)=0,"",VLOOKUP($B392,'1. 현장별 인원현황'!$C:$J,3,0))</f>
        <v>김기용</v>
      </c>
      <c r="E392" s="74" t="str">
        <f ca="1">IF(VLOOKUP($B392,'1. 현장별 인원현황'!$C:$J,4,0)=0,"",VLOOKUP($B392,'1. 현장별 인원현황'!$C:$J,4,0))</f>
        <v>48세</v>
      </c>
      <c r="F392" s="70" t="str">
        <f>IF(VLOOKUP($B392,'1. 현장별 인원현황'!$C:$J,7,0)=0,"",VLOOKUP($B392,'1. 현장별 인원현황'!$C:$J,7,0))</f>
        <v>기능공</v>
      </c>
      <c r="G392" s="72" t="str">
        <f>IF(VLOOKUP($B392,'1. 현장별 인원현황'!$C:$J,8,0)=0,"",VLOOKUP($B392,'1. 현장별 인원현황'!$C:$J,8,0))</f>
        <v>전공</v>
      </c>
      <c r="H392" s="67" t="s">
        <v>69</v>
      </c>
      <c r="I392" s="73"/>
      <c r="J392" s="73"/>
      <c r="K392" s="68"/>
      <c r="L392" s="67"/>
      <c r="M392" s="73" t="s">
        <v>69</v>
      </c>
      <c r="N392" s="73"/>
      <c r="O392" s="68"/>
      <c r="P392" s="67" t="s">
        <v>69</v>
      </c>
      <c r="Q392" s="73"/>
      <c r="R392" s="73"/>
      <c r="S392" s="68"/>
      <c r="T392" s="67" t="s">
        <v>69</v>
      </c>
      <c r="U392" s="73"/>
      <c r="V392" s="73"/>
      <c r="W392" s="68"/>
      <c r="X392" s="67" t="s">
        <v>69</v>
      </c>
      <c r="Y392" s="73"/>
      <c r="Z392" s="73"/>
      <c r="AA392" s="68"/>
      <c r="AB392" s="67" t="s">
        <v>69</v>
      </c>
      <c r="AC392" s="73"/>
      <c r="AD392" s="73"/>
      <c r="AE392" s="68"/>
      <c r="AF392" s="67"/>
      <c r="AG392" s="73" t="s">
        <v>69</v>
      </c>
      <c r="AH392" s="73"/>
      <c r="AI392" s="68"/>
      <c r="AJ392" s="67" t="s">
        <v>69</v>
      </c>
      <c r="AK392" s="73"/>
      <c r="AL392" s="73"/>
      <c r="AM392" s="68"/>
      <c r="AN392" s="67">
        <f t="shared" si="411"/>
        <v>93</v>
      </c>
      <c r="AO392" s="68" t="str">
        <f t="shared" si="412"/>
        <v>S</v>
      </c>
      <c r="AR392" s="49">
        <f t="shared" si="377"/>
        <v>1</v>
      </c>
      <c r="AS392" s="49">
        <f t="shared" si="378"/>
        <v>0</v>
      </c>
      <c r="AT392" s="49">
        <f t="shared" si="379"/>
        <v>0</v>
      </c>
      <c r="AU392" s="49">
        <f t="shared" si="380"/>
        <v>0</v>
      </c>
      <c r="AV392" s="49">
        <f t="shared" si="381"/>
        <v>0</v>
      </c>
      <c r="AW392" s="49">
        <f t="shared" si="382"/>
        <v>1</v>
      </c>
      <c r="AX392" s="49">
        <f t="shared" si="383"/>
        <v>0</v>
      </c>
      <c r="AY392" s="49">
        <f t="shared" si="384"/>
        <v>0</v>
      </c>
      <c r="AZ392" s="49">
        <f t="shared" si="385"/>
        <v>1</v>
      </c>
      <c r="BA392" s="49">
        <f t="shared" si="386"/>
        <v>0</v>
      </c>
      <c r="BB392" s="49">
        <f t="shared" si="387"/>
        <v>0</v>
      </c>
      <c r="BC392" s="49">
        <f t="shared" si="388"/>
        <v>0</v>
      </c>
      <c r="BD392" s="49">
        <f t="shared" si="389"/>
        <v>1</v>
      </c>
      <c r="BE392" s="49">
        <f t="shared" si="390"/>
        <v>0</v>
      </c>
      <c r="BF392" s="49">
        <f t="shared" si="391"/>
        <v>0</v>
      </c>
      <c r="BG392" s="49">
        <f t="shared" si="392"/>
        <v>0</v>
      </c>
      <c r="BH392" s="49">
        <f t="shared" si="393"/>
        <v>1</v>
      </c>
      <c r="BI392" s="49">
        <f t="shared" si="394"/>
        <v>0</v>
      </c>
      <c r="BJ392" s="49">
        <f t="shared" si="395"/>
        <v>0</v>
      </c>
      <c r="BK392" s="49">
        <f t="shared" si="396"/>
        <v>0</v>
      </c>
      <c r="BL392" s="49">
        <f t="shared" si="397"/>
        <v>1</v>
      </c>
      <c r="BM392" s="49">
        <f t="shared" si="398"/>
        <v>0</v>
      </c>
      <c r="BN392" s="49">
        <f t="shared" si="399"/>
        <v>0</v>
      </c>
      <c r="BO392" s="49">
        <f t="shared" si="400"/>
        <v>0</v>
      </c>
      <c r="BP392" s="49">
        <f t="shared" si="401"/>
        <v>0</v>
      </c>
      <c r="BQ392" s="49">
        <f t="shared" si="402"/>
        <v>1</v>
      </c>
      <c r="BR392" s="49">
        <f t="shared" si="403"/>
        <v>0</v>
      </c>
      <c r="BS392" s="49">
        <f t="shared" si="404"/>
        <v>0</v>
      </c>
      <c r="BT392" s="49">
        <f t="shared" si="405"/>
        <v>1</v>
      </c>
      <c r="BU392" s="49">
        <f t="shared" si="406"/>
        <v>0</v>
      </c>
      <c r="BV392" s="49">
        <f t="shared" si="407"/>
        <v>0</v>
      </c>
      <c r="BW392" s="49">
        <f t="shared" si="408"/>
        <v>0</v>
      </c>
    </row>
    <row r="393" spans="1:75" ht="35.1" customHeight="1" x14ac:dyDescent="0.3">
      <c r="A393" s="123" t="str">
        <f t="shared" si="409"/>
        <v>4팀</v>
      </c>
      <c r="B393" s="69">
        <f t="shared" si="410"/>
        <v>387</v>
      </c>
      <c r="C393" s="121" t="str">
        <f>IF(VLOOKUP($B393,'1. 현장별 인원현황'!$C:$J,2,0)=0,"",VLOOKUP($B393,'1. 현장별 인원현황'!$C:$J,2,0))</f>
        <v xml:space="preserve"> [4.롯데CM] 롯데백화점 노원점 리뉴얼 공사</v>
      </c>
      <c r="D393" s="74" t="str">
        <f>IF(VLOOKUP($B393,'1. 현장별 인원현황'!$C:$J,3,0)=0,"",VLOOKUP($B393,'1. 현장별 인원현황'!$C:$J,3,0))</f>
        <v>김용복</v>
      </c>
      <c r="E393" s="74" t="str">
        <f ca="1">IF(VLOOKUP($B393,'1. 현장별 인원현황'!$C:$J,4,0)=0,"",VLOOKUP($B393,'1. 현장별 인원현황'!$C:$J,4,0))</f>
        <v>62세</v>
      </c>
      <c r="F393" s="70" t="str">
        <f>IF(VLOOKUP($B393,'1. 현장별 인원현황'!$C:$J,7,0)=0,"",VLOOKUP($B393,'1. 현장별 인원현황'!$C:$J,7,0))</f>
        <v>기능공</v>
      </c>
      <c r="G393" s="72" t="str">
        <f>IF(VLOOKUP($B393,'1. 현장별 인원현황'!$C:$J,8,0)=0,"",VLOOKUP($B393,'1. 현장별 인원현황'!$C:$J,8,0))</f>
        <v>전공</v>
      </c>
      <c r="H393" s="67" t="s">
        <v>69</v>
      </c>
      <c r="I393" s="73"/>
      <c r="J393" s="73"/>
      <c r="K393" s="68"/>
      <c r="L393" s="67"/>
      <c r="M393" s="73" t="s">
        <v>69</v>
      </c>
      <c r="N393" s="73"/>
      <c r="O393" s="68"/>
      <c r="P393" s="67" t="s">
        <v>69</v>
      </c>
      <c r="Q393" s="73"/>
      <c r="R393" s="73"/>
      <c r="S393" s="68"/>
      <c r="T393" s="67" t="s">
        <v>69</v>
      </c>
      <c r="U393" s="73"/>
      <c r="V393" s="73"/>
      <c r="W393" s="68"/>
      <c r="X393" s="67" t="s">
        <v>69</v>
      </c>
      <c r="Y393" s="73"/>
      <c r="Z393" s="73"/>
      <c r="AA393" s="68"/>
      <c r="AB393" s="67" t="s">
        <v>69</v>
      </c>
      <c r="AC393" s="73"/>
      <c r="AD393" s="73"/>
      <c r="AE393" s="68"/>
      <c r="AF393" s="67" t="s">
        <v>69</v>
      </c>
      <c r="AG393" s="73"/>
      <c r="AH393" s="73"/>
      <c r="AI393" s="68"/>
      <c r="AJ393" s="67" t="s">
        <v>69</v>
      </c>
      <c r="AK393" s="73"/>
      <c r="AL393" s="73"/>
      <c r="AM393" s="68"/>
      <c r="AN393" s="67">
        <f t="shared" si="411"/>
        <v>96</v>
      </c>
      <c r="AO393" s="68" t="str">
        <f t="shared" si="412"/>
        <v>S</v>
      </c>
      <c r="AR393" s="49">
        <f t="shared" si="377"/>
        <v>1</v>
      </c>
      <c r="AS393" s="49">
        <f t="shared" si="378"/>
        <v>0</v>
      </c>
      <c r="AT393" s="49">
        <f t="shared" si="379"/>
        <v>0</v>
      </c>
      <c r="AU393" s="49">
        <f t="shared" si="380"/>
        <v>0</v>
      </c>
      <c r="AV393" s="49">
        <f t="shared" si="381"/>
        <v>0</v>
      </c>
      <c r="AW393" s="49">
        <f t="shared" si="382"/>
        <v>1</v>
      </c>
      <c r="AX393" s="49">
        <f t="shared" si="383"/>
        <v>0</v>
      </c>
      <c r="AY393" s="49">
        <f t="shared" si="384"/>
        <v>0</v>
      </c>
      <c r="AZ393" s="49">
        <f t="shared" si="385"/>
        <v>1</v>
      </c>
      <c r="BA393" s="49">
        <f t="shared" si="386"/>
        <v>0</v>
      </c>
      <c r="BB393" s="49">
        <f t="shared" si="387"/>
        <v>0</v>
      </c>
      <c r="BC393" s="49">
        <f t="shared" si="388"/>
        <v>0</v>
      </c>
      <c r="BD393" s="49">
        <f t="shared" si="389"/>
        <v>1</v>
      </c>
      <c r="BE393" s="49">
        <f t="shared" si="390"/>
        <v>0</v>
      </c>
      <c r="BF393" s="49">
        <f t="shared" si="391"/>
        <v>0</v>
      </c>
      <c r="BG393" s="49">
        <f t="shared" si="392"/>
        <v>0</v>
      </c>
      <c r="BH393" s="49">
        <f t="shared" si="393"/>
        <v>1</v>
      </c>
      <c r="BI393" s="49">
        <f t="shared" si="394"/>
        <v>0</v>
      </c>
      <c r="BJ393" s="49">
        <f t="shared" si="395"/>
        <v>0</v>
      </c>
      <c r="BK393" s="49">
        <f t="shared" si="396"/>
        <v>0</v>
      </c>
      <c r="BL393" s="49">
        <f t="shared" si="397"/>
        <v>1</v>
      </c>
      <c r="BM393" s="49">
        <f t="shared" si="398"/>
        <v>0</v>
      </c>
      <c r="BN393" s="49">
        <f t="shared" si="399"/>
        <v>0</v>
      </c>
      <c r="BO393" s="49">
        <f t="shared" si="400"/>
        <v>0</v>
      </c>
      <c r="BP393" s="49">
        <f t="shared" si="401"/>
        <v>1</v>
      </c>
      <c r="BQ393" s="49">
        <f t="shared" si="402"/>
        <v>0</v>
      </c>
      <c r="BR393" s="49">
        <f t="shared" si="403"/>
        <v>0</v>
      </c>
      <c r="BS393" s="49">
        <f t="shared" si="404"/>
        <v>0</v>
      </c>
      <c r="BT393" s="49">
        <f t="shared" si="405"/>
        <v>1</v>
      </c>
      <c r="BU393" s="49">
        <f t="shared" si="406"/>
        <v>0</v>
      </c>
      <c r="BV393" s="49">
        <f t="shared" si="407"/>
        <v>0</v>
      </c>
      <c r="BW393" s="49">
        <f t="shared" si="408"/>
        <v>0</v>
      </c>
    </row>
    <row r="394" spans="1:75" ht="35.1" customHeight="1" x14ac:dyDescent="0.3">
      <c r="A394" s="123" t="str">
        <f t="shared" si="409"/>
        <v>4팀</v>
      </c>
      <c r="B394" s="69">
        <f t="shared" si="410"/>
        <v>388</v>
      </c>
      <c r="C394" s="121" t="str">
        <f>IF(VLOOKUP($B394,'1. 현장별 인원현황'!$C:$J,2,0)=0,"",VLOOKUP($B394,'1. 현장별 인원현황'!$C:$J,2,0))</f>
        <v xml:space="preserve"> [4.롯데CM] 롯데백화점 노원점 리뉴얼 공사</v>
      </c>
      <c r="D394" s="74" t="str">
        <f>IF(VLOOKUP($B394,'1. 현장별 인원현황'!$C:$J,3,0)=0,"",VLOOKUP($B394,'1. 현장별 인원현황'!$C:$J,3,0))</f>
        <v>김재효</v>
      </c>
      <c r="E394" s="74" t="str">
        <f ca="1">IF(VLOOKUP($B394,'1. 현장별 인원현황'!$C:$J,4,0)=0,"",VLOOKUP($B394,'1. 현장별 인원현황'!$C:$J,4,0))</f>
        <v>41세</v>
      </c>
      <c r="F394" s="70" t="str">
        <f>IF(VLOOKUP($B394,'1. 현장별 인원현황'!$C:$J,7,0)=0,"",VLOOKUP($B394,'1. 현장별 인원현황'!$C:$J,7,0))</f>
        <v>기능공</v>
      </c>
      <c r="G394" s="72" t="str">
        <f>IF(VLOOKUP($B394,'1. 현장별 인원현황'!$C:$J,8,0)=0,"",VLOOKUP($B394,'1. 현장별 인원현황'!$C:$J,8,0))</f>
        <v>전공</v>
      </c>
      <c r="H394" s="67" t="s">
        <v>69</v>
      </c>
      <c r="I394" s="73"/>
      <c r="J394" s="73"/>
      <c r="K394" s="68"/>
      <c r="L394" s="67"/>
      <c r="M394" s="73" t="s">
        <v>69</v>
      </c>
      <c r="N394" s="73"/>
      <c r="O394" s="68"/>
      <c r="P394" s="67" t="s">
        <v>69</v>
      </c>
      <c r="Q394" s="73"/>
      <c r="R394" s="73"/>
      <c r="S394" s="68"/>
      <c r="T394" s="67" t="s">
        <v>69</v>
      </c>
      <c r="U394" s="73"/>
      <c r="V394" s="73"/>
      <c r="W394" s="68"/>
      <c r="X394" s="67" t="s">
        <v>69</v>
      </c>
      <c r="Y394" s="73"/>
      <c r="Z394" s="73"/>
      <c r="AA394" s="68"/>
      <c r="AB394" s="67" t="s">
        <v>69</v>
      </c>
      <c r="AC394" s="73"/>
      <c r="AD394" s="73"/>
      <c r="AE394" s="68"/>
      <c r="AF394" s="67" t="s">
        <v>69</v>
      </c>
      <c r="AG394" s="73"/>
      <c r="AH394" s="73"/>
      <c r="AI394" s="68"/>
      <c r="AJ394" s="67" t="s">
        <v>69</v>
      </c>
      <c r="AK394" s="73"/>
      <c r="AL394" s="73"/>
      <c r="AM394" s="68"/>
      <c r="AN394" s="67">
        <f t="shared" si="411"/>
        <v>96</v>
      </c>
      <c r="AO394" s="68" t="str">
        <f t="shared" si="412"/>
        <v>S</v>
      </c>
      <c r="AR394" s="49">
        <f t="shared" si="377"/>
        <v>1</v>
      </c>
      <c r="AS394" s="49">
        <f t="shared" si="378"/>
        <v>0</v>
      </c>
      <c r="AT394" s="49">
        <f t="shared" si="379"/>
        <v>0</v>
      </c>
      <c r="AU394" s="49">
        <f t="shared" si="380"/>
        <v>0</v>
      </c>
      <c r="AV394" s="49">
        <f t="shared" si="381"/>
        <v>0</v>
      </c>
      <c r="AW394" s="49">
        <f t="shared" si="382"/>
        <v>1</v>
      </c>
      <c r="AX394" s="49">
        <f t="shared" si="383"/>
        <v>0</v>
      </c>
      <c r="AY394" s="49">
        <f t="shared" si="384"/>
        <v>0</v>
      </c>
      <c r="AZ394" s="49">
        <f t="shared" si="385"/>
        <v>1</v>
      </c>
      <c r="BA394" s="49">
        <f t="shared" si="386"/>
        <v>0</v>
      </c>
      <c r="BB394" s="49">
        <f t="shared" si="387"/>
        <v>0</v>
      </c>
      <c r="BC394" s="49">
        <f t="shared" si="388"/>
        <v>0</v>
      </c>
      <c r="BD394" s="49">
        <f t="shared" si="389"/>
        <v>1</v>
      </c>
      <c r="BE394" s="49">
        <f t="shared" si="390"/>
        <v>0</v>
      </c>
      <c r="BF394" s="49">
        <f t="shared" si="391"/>
        <v>0</v>
      </c>
      <c r="BG394" s="49">
        <f t="shared" si="392"/>
        <v>0</v>
      </c>
      <c r="BH394" s="49">
        <f t="shared" si="393"/>
        <v>1</v>
      </c>
      <c r="BI394" s="49">
        <f t="shared" si="394"/>
        <v>0</v>
      </c>
      <c r="BJ394" s="49">
        <f t="shared" si="395"/>
        <v>0</v>
      </c>
      <c r="BK394" s="49">
        <f t="shared" si="396"/>
        <v>0</v>
      </c>
      <c r="BL394" s="49">
        <f t="shared" si="397"/>
        <v>1</v>
      </c>
      <c r="BM394" s="49">
        <f t="shared" si="398"/>
        <v>0</v>
      </c>
      <c r="BN394" s="49">
        <f t="shared" si="399"/>
        <v>0</v>
      </c>
      <c r="BO394" s="49">
        <f t="shared" si="400"/>
        <v>0</v>
      </c>
      <c r="BP394" s="49">
        <f t="shared" si="401"/>
        <v>1</v>
      </c>
      <c r="BQ394" s="49">
        <f t="shared" si="402"/>
        <v>0</v>
      </c>
      <c r="BR394" s="49">
        <f t="shared" si="403"/>
        <v>0</v>
      </c>
      <c r="BS394" s="49">
        <f t="shared" si="404"/>
        <v>0</v>
      </c>
      <c r="BT394" s="49">
        <f t="shared" si="405"/>
        <v>1</v>
      </c>
      <c r="BU394" s="49">
        <f t="shared" si="406"/>
        <v>0</v>
      </c>
      <c r="BV394" s="49">
        <f t="shared" si="407"/>
        <v>0</v>
      </c>
      <c r="BW394" s="49">
        <f t="shared" si="408"/>
        <v>0</v>
      </c>
    </row>
    <row r="395" spans="1:75" ht="35.1" customHeight="1" x14ac:dyDescent="0.3">
      <c r="A395" s="123" t="str">
        <f t="shared" si="409"/>
        <v>4팀</v>
      </c>
      <c r="B395" s="69">
        <f t="shared" si="410"/>
        <v>389</v>
      </c>
      <c r="C395" s="121" t="str">
        <f>IF(VLOOKUP($B395,'1. 현장별 인원현황'!$C:$J,2,0)=0,"",VLOOKUP($B395,'1. 현장별 인원현황'!$C:$J,2,0))</f>
        <v xml:space="preserve"> [4.롯데CM] 롯데백화점 노원점 리뉴얼 공사</v>
      </c>
      <c r="D395" s="74" t="str">
        <f>IF(VLOOKUP($B395,'1. 현장별 인원현황'!$C:$J,3,0)=0,"",VLOOKUP($B395,'1. 현장별 인원현황'!$C:$J,3,0))</f>
        <v>나광현</v>
      </c>
      <c r="E395" s="74" t="str">
        <f ca="1">IF(VLOOKUP($B395,'1. 현장별 인원현황'!$C:$J,4,0)=0,"",VLOOKUP($B395,'1. 현장별 인원현황'!$C:$J,4,0))</f>
        <v>52세</v>
      </c>
      <c r="F395" s="70" t="str">
        <f>IF(VLOOKUP($B395,'1. 현장별 인원현황'!$C:$J,7,0)=0,"",VLOOKUP($B395,'1. 현장별 인원현황'!$C:$J,7,0))</f>
        <v>기능공</v>
      </c>
      <c r="G395" s="72" t="str">
        <f>IF(VLOOKUP($B395,'1. 현장별 인원현황'!$C:$J,8,0)=0,"",VLOOKUP($B395,'1. 현장별 인원현황'!$C:$J,8,0))</f>
        <v>전공</v>
      </c>
      <c r="H395" s="67" t="s">
        <v>69</v>
      </c>
      <c r="I395" s="73"/>
      <c r="J395" s="73"/>
      <c r="K395" s="68"/>
      <c r="L395" s="67"/>
      <c r="M395" s="73" t="s">
        <v>69</v>
      </c>
      <c r="N395" s="73"/>
      <c r="O395" s="68"/>
      <c r="P395" s="67" t="s">
        <v>69</v>
      </c>
      <c r="Q395" s="73"/>
      <c r="R395" s="73"/>
      <c r="S395" s="68"/>
      <c r="T395" s="67"/>
      <c r="U395" s="73" t="s">
        <v>69</v>
      </c>
      <c r="V395" s="73"/>
      <c r="W395" s="68"/>
      <c r="X395" s="67" t="s">
        <v>69</v>
      </c>
      <c r="Y395" s="73"/>
      <c r="Z395" s="73"/>
      <c r="AA395" s="68"/>
      <c r="AB395" s="67" t="s">
        <v>69</v>
      </c>
      <c r="AC395" s="73"/>
      <c r="AD395" s="73"/>
      <c r="AE395" s="68"/>
      <c r="AF395" s="67" t="s">
        <v>69</v>
      </c>
      <c r="AG395" s="73"/>
      <c r="AH395" s="73"/>
      <c r="AI395" s="68"/>
      <c r="AJ395" s="67" t="s">
        <v>69</v>
      </c>
      <c r="AK395" s="73"/>
      <c r="AL395" s="73"/>
      <c r="AM395" s="68"/>
      <c r="AN395" s="67">
        <f t="shared" si="411"/>
        <v>92</v>
      </c>
      <c r="AO395" s="68" t="str">
        <f t="shared" si="412"/>
        <v>S</v>
      </c>
      <c r="AR395" s="49">
        <f t="shared" si="377"/>
        <v>1</v>
      </c>
      <c r="AS395" s="49">
        <f t="shared" si="378"/>
        <v>0</v>
      </c>
      <c r="AT395" s="49">
        <f t="shared" si="379"/>
        <v>0</v>
      </c>
      <c r="AU395" s="49">
        <f t="shared" si="380"/>
        <v>0</v>
      </c>
      <c r="AV395" s="49">
        <f t="shared" si="381"/>
        <v>0</v>
      </c>
      <c r="AW395" s="49">
        <f t="shared" si="382"/>
        <v>1</v>
      </c>
      <c r="AX395" s="49">
        <f t="shared" si="383"/>
        <v>0</v>
      </c>
      <c r="AY395" s="49">
        <f t="shared" si="384"/>
        <v>0</v>
      </c>
      <c r="AZ395" s="49">
        <f t="shared" si="385"/>
        <v>1</v>
      </c>
      <c r="BA395" s="49">
        <f t="shared" si="386"/>
        <v>0</v>
      </c>
      <c r="BB395" s="49">
        <f t="shared" si="387"/>
        <v>0</v>
      </c>
      <c r="BC395" s="49">
        <f t="shared" si="388"/>
        <v>0</v>
      </c>
      <c r="BD395" s="49">
        <f t="shared" si="389"/>
        <v>0</v>
      </c>
      <c r="BE395" s="49">
        <f t="shared" si="390"/>
        <v>1</v>
      </c>
      <c r="BF395" s="49">
        <f t="shared" si="391"/>
        <v>0</v>
      </c>
      <c r="BG395" s="49">
        <f t="shared" si="392"/>
        <v>0</v>
      </c>
      <c r="BH395" s="49">
        <f t="shared" si="393"/>
        <v>1</v>
      </c>
      <c r="BI395" s="49">
        <f t="shared" si="394"/>
        <v>0</v>
      </c>
      <c r="BJ395" s="49">
        <f t="shared" si="395"/>
        <v>0</v>
      </c>
      <c r="BK395" s="49">
        <f t="shared" si="396"/>
        <v>0</v>
      </c>
      <c r="BL395" s="49">
        <f t="shared" si="397"/>
        <v>1</v>
      </c>
      <c r="BM395" s="49">
        <f t="shared" si="398"/>
        <v>0</v>
      </c>
      <c r="BN395" s="49">
        <f t="shared" si="399"/>
        <v>0</v>
      </c>
      <c r="BO395" s="49">
        <f t="shared" si="400"/>
        <v>0</v>
      </c>
      <c r="BP395" s="49">
        <f t="shared" si="401"/>
        <v>1</v>
      </c>
      <c r="BQ395" s="49">
        <f t="shared" si="402"/>
        <v>0</v>
      </c>
      <c r="BR395" s="49">
        <f t="shared" si="403"/>
        <v>0</v>
      </c>
      <c r="BS395" s="49">
        <f t="shared" si="404"/>
        <v>0</v>
      </c>
      <c r="BT395" s="49">
        <f t="shared" si="405"/>
        <v>1</v>
      </c>
      <c r="BU395" s="49">
        <f t="shared" si="406"/>
        <v>0</v>
      </c>
      <c r="BV395" s="49">
        <f t="shared" si="407"/>
        <v>0</v>
      </c>
      <c r="BW395" s="49">
        <f t="shared" si="408"/>
        <v>0</v>
      </c>
    </row>
    <row r="396" spans="1:75" ht="35.1" customHeight="1" x14ac:dyDescent="0.3">
      <c r="A396" s="123" t="str">
        <f t="shared" si="409"/>
        <v>4팀</v>
      </c>
      <c r="B396" s="69">
        <f t="shared" si="410"/>
        <v>390</v>
      </c>
      <c r="C396" s="121" t="str">
        <f>IF(VLOOKUP($B396,'1. 현장별 인원현황'!$C:$J,2,0)=0,"",VLOOKUP($B396,'1. 현장별 인원현황'!$C:$J,2,0))</f>
        <v xml:space="preserve"> [4.롯데CM] 롯데백화점 노원점 리뉴얼 공사</v>
      </c>
      <c r="D396" s="74" t="str">
        <f>IF(VLOOKUP($B396,'1. 현장별 인원현황'!$C:$J,3,0)=0,"",VLOOKUP($B396,'1. 현장별 인원현황'!$C:$J,3,0))</f>
        <v>류대우</v>
      </c>
      <c r="E396" s="74" t="str">
        <f ca="1">IF(VLOOKUP($B396,'1. 현장별 인원현황'!$C:$J,4,0)=0,"",VLOOKUP($B396,'1. 현장별 인원현황'!$C:$J,4,0))</f>
        <v>56세</v>
      </c>
      <c r="F396" s="70" t="str">
        <f>IF(VLOOKUP($B396,'1. 현장별 인원현황'!$C:$J,7,0)=0,"",VLOOKUP($B396,'1. 현장별 인원현황'!$C:$J,7,0))</f>
        <v>기능공</v>
      </c>
      <c r="G396" s="72" t="str">
        <f>IF(VLOOKUP($B396,'1. 현장별 인원현황'!$C:$J,8,0)=0,"",VLOOKUP($B396,'1. 현장별 인원현황'!$C:$J,8,0))</f>
        <v>전공</v>
      </c>
      <c r="H396" s="67" t="s">
        <v>69</v>
      </c>
      <c r="I396" s="73"/>
      <c r="J396" s="73"/>
      <c r="K396" s="68"/>
      <c r="L396" s="67"/>
      <c r="M396" s="73" t="s">
        <v>69</v>
      </c>
      <c r="N396" s="73"/>
      <c r="O396" s="68"/>
      <c r="P396" s="67" t="s">
        <v>69</v>
      </c>
      <c r="Q396" s="73"/>
      <c r="R396" s="73"/>
      <c r="S396" s="68"/>
      <c r="T396" s="67" t="s">
        <v>69</v>
      </c>
      <c r="U396" s="73"/>
      <c r="V396" s="73"/>
      <c r="W396" s="68"/>
      <c r="X396" s="67" t="s">
        <v>69</v>
      </c>
      <c r="Y396" s="73"/>
      <c r="Z396" s="73"/>
      <c r="AA396" s="68"/>
      <c r="AB396" s="67" t="s">
        <v>69</v>
      </c>
      <c r="AC396" s="73"/>
      <c r="AD396" s="73"/>
      <c r="AE396" s="68"/>
      <c r="AF396" s="67"/>
      <c r="AG396" s="73" t="s">
        <v>69</v>
      </c>
      <c r="AH396" s="73"/>
      <c r="AI396" s="68"/>
      <c r="AJ396" s="67" t="s">
        <v>69</v>
      </c>
      <c r="AK396" s="73"/>
      <c r="AL396" s="73"/>
      <c r="AM396" s="68"/>
      <c r="AN396" s="67">
        <f t="shared" si="411"/>
        <v>93</v>
      </c>
      <c r="AO396" s="68" t="str">
        <f t="shared" si="412"/>
        <v>S</v>
      </c>
      <c r="AR396" s="49">
        <f t="shared" si="377"/>
        <v>1</v>
      </c>
      <c r="AS396" s="49">
        <f t="shared" si="378"/>
        <v>0</v>
      </c>
      <c r="AT396" s="49">
        <f t="shared" si="379"/>
        <v>0</v>
      </c>
      <c r="AU396" s="49">
        <f t="shared" si="380"/>
        <v>0</v>
      </c>
      <c r="AV396" s="49">
        <f t="shared" si="381"/>
        <v>0</v>
      </c>
      <c r="AW396" s="49">
        <f t="shared" si="382"/>
        <v>1</v>
      </c>
      <c r="AX396" s="49">
        <f t="shared" si="383"/>
        <v>0</v>
      </c>
      <c r="AY396" s="49">
        <f t="shared" si="384"/>
        <v>0</v>
      </c>
      <c r="AZ396" s="49">
        <f t="shared" si="385"/>
        <v>1</v>
      </c>
      <c r="BA396" s="49">
        <f t="shared" si="386"/>
        <v>0</v>
      </c>
      <c r="BB396" s="49">
        <f t="shared" si="387"/>
        <v>0</v>
      </c>
      <c r="BC396" s="49">
        <f t="shared" si="388"/>
        <v>0</v>
      </c>
      <c r="BD396" s="49">
        <f t="shared" si="389"/>
        <v>1</v>
      </c>
      <c r="BE396" s="49">
        <f t="shared" si="390"/>
        <v>0</v>
      </c>
      <c r="BF396" s="49">
        <f t="shared" si="391"/>
        <v>0</v>
      </c>
      <c r="BG396" s="49">
        <f t="shared" si="392"/>
        <v>0</v>
      </c>
      <c r="BH396" s="49">
        <f t="shared" si="393"/>
        <v>1</v>
      </c>
      <c r="BI396" s="49">
        <f t="shared" si="394"/>
        <v>0</v>
      </c>
      <c r="BJ396" s="49">
        <f t="shared" si="395"/>
        <v>0</v>
      </c>
      <c r="BK396" s="49">
        <f t="shared" si="396"/>
        <v>0</v>
      </c>
      <c r="BL396" s="49">
        <f t="shared" si="397"/>
        <v>1</v>
      </c>
      <c r="BM396" s="49">
        <f t="shared" si="398"/>
        <v>0</v>
      </c>
      <c r="BN396" s="49">
        <f t="shared" si="399"/>
        <v>0</v>
      </c>
      <c r="BO396" s="49">
        <f t="shared" si="400"/>
        <v>0</v>
      </c>
      <c r="BP396" s="49">
        <f t="shared" si="401"/>
        <v>0</v>
      </c>
      <c r="BQ396" s="49">
        <f t="shared" si="402"/>
        <v>1</v>
      </c>
      <c r="BR396" s="49">
        <f t="shared" si="403"/>
        <v>0</v>
      </c>
      <c r="BS396" s="49">
        <f t="shared" si="404"/>
        <v>0</v>
      </c>
      <c r="BT396" s="49">
        <f t="shared" si="405"/>
        <v>1</v>
      </c>
      <c r="BU396" s="49">
        <f t="shared" si="406"/>
        <v>0</v>
      </c>
      <c r="BV396" s="49">
        <f t="shared" si="407"/>
        <v>0</v>
      </c>
      <c r="BW396" s="49">
        <f t="shared" si="408"/>
        <v>0</v>
      </c>
    </row>
    <row r="397" spans="1:75" ht="35.1" customHeight="1" x14ac:dyDescent="0.3">
      <c r="A397" s="123" t="str">
        <f t="shared" si="409"/>
        <v>4팀</v>
      </c>
      <c r="B397" s="69">
        <f t="shared" si="410"/>
        <v>391</v>
      </c>
      <c r="C397" s="121" t="str">
        <f>IF(VLOOKUP($B397,'1. 현장별 인원현황'!$C:$J,2,0)=0,"",VLOOKUP($B397,'1. 현장별 인원현황'!$C:$J,2,0))</f>
        <v xml:space="preserve"> [4.롯데CM] 롯데백화점 노원점 리뉴얼 공사</v>
      </c>
      <c r="D397" s="74" t="str">
        <f>IF(VLOOKUP($B397,'1. 현장별 인원현황'!$C:$J,3,0)=0,"",VLOOKUP($B397,'1. 현장별 인원현황'!$C:$J,3,0))</f>
        <v>민경후</v>
      </c>
      <c r="E397" s="74" t="str">
        <f ca="1">IF(VLOOKUP($B397,'1. 현장별 인원현황'!$C:$J,4,0)=0,"",VLOOKUP($B397,'1. 현장별 인원현황'!$C:$J,4,0))</f>
        <v>52세</v>
      </c>
      <c r="F397" s="70" t="str">
        <f>IF(VLOOKUP($B397,'1. 현장별 인원현황'!$C:$J,7,0)=0,"",VLOOKUP($B397,'1. 현장별 인원현황'!$C:$J,7,0))</f>
        <v>기능공</v>
      </c>
      <c r="G397" s="72" t="str">
        <f>IF(VLOOKUP($B397,'1. 현장별 인원현황'!$C:$J,8,0)=0,"",VLOOKUP($B397,'1. 현장별 인원현황'!$C:$J,8,0))</f>
        <v>전공</v>
      </c>
      <c r="H397" s="67" t="s">
        <v>69</v>
      </c>
      <c r="I397" s="73"/>
      <c r="J397" s="73"/>
      <c r="K397" s="68"/>
      <c r="L397" s="67" t="s">
        <v>69</v>
      </c>
      <c r="M397" s="73"/>
      <c r="N397" s="73"/>
      <c r="O397" s="68"/>
      <c r="P397" s="67" t="s">
        <v>69</v>
      </c>
      <c r="Q397" s="73"/>
      <c r="R397" s="73"/>
      <c r="S397" s="68"/>
      <c r="T397" s="67" t="s">
        <v>69</v>
      </c>
      <c r="U397" s="73"/>
      <c r="V397" s="73"/>
      <c r="W397" s="68"/>
      <c r="X397" s="67" t="s">
        <v>69</v>
      </c>
      <c r="Y397" s="73"/>
      <c r="Z397" s="73"/>
      <c r="AA397" s="68"/>
      <c r="AB397" s="67" t="s">
        <v>69</v>
      </c>
      <c r="AC397" s="73"/>
      <c r="AD397" s="73"/>
      <c r="AE397" s="68"/>
      <c r="AF397" s="67" t="s">
        <v>69</v>
      </c>
      <c r="AG397" s="73"/>
      <c r="AH397" s="73"/>
      <c r="AI397" s="68"/>
      <c r="AJ397" s="67" t="s">
        <v>69</v>
      </c>
      <c r="AK397" s="73"/>
      <c r="AL397" s="73"/>
      <c r="AM397" s="68"/>
      <c r="AN397" s="67">
        <f t="shared" si="411"/>
        <v>100</v>
      </c>
      <c r="AO397" s="68" t="str">
        <f t="shared" si="412"/>
        <v>S</v>
      </c>
      <c r="AR397" s="49">
        <f t="shared" si="377"/>
        <v>1</v>
      </c>
      <c r="AS397" s="49">
        <f t="shared" si="378"/>
        <v>0</v>
      </c>
      <c r="AT397" s="49">
        <f t="shared" si="379"/>
        <v>0</v>
      </c>
      <c r="AU397" s="49">
        <f t="shared" si="380"/>
        <v>0</v>
      </c>
      <c r="AV397" s="49">
        <f t="shared" si="381"/>
        <v>1</v>
      </c>
      <c r="AW397" s="49">
        <f t="shared" si="382"/>
        <v>0</v>
      </c>
      <c r="AX397" s="49">
        <f t="shared" si="383"/>
        <v>0</v>
      </c>
      <c r="AY397" s="49">
        <f t="shared" si="384"/>
        <v>0</v>
      </c>
      <c r="AZ397" s="49">
        <f t="shared" si="385"/>
        <v>1</v>
      </c>
      <c r="BA397" s="49">
        <f t="shared" si="386"/>
        <v>0</v>
      </c>
      <c r="BB397" s="49">
        <f t="shared" si="387"/>
        <v>0</v>
      </c>
      <c r="BC397" s="49">
        <f t="shared" si="388"/>
        <v>0</v>
      </c>
      <c r="BD397" s="49">
        <f t="shared" si="389"/>
        <v>1</v>
      </c>
      <c r="BE397" s="49">
        <f t="shared" si="390"/>
        <v>0</v>
      </c>
      <c r="BF397" s="49">
        <f t="shared" si="391"/>
        <v>0</v>
      </c>
      <c r="BG397" s="49">
        <f t="shared" si="392"/>
        <v>0</v>
      </c>
      <c r="BH397" s="49">
        <f t="shared" si="393"/>
        <v>1</v>
      </c>
      <c r="BI397" s="49">
        <f t="shared" si="394"/>
        <v>0</v>
      </c>
      <c r="BJ397" s="49">
        <f t="shared" si="395"/>
        <v>0</v>
      </c>
      <c r="BK397" s="49">
        <f t="shared" si="396"/>
        <v>0</v>
      </c>
      <c r="BL397" s="49">
        <f t="shared" si="397"/>
        <v>1</v>
      </c>
      <c r="BM397" s="49">
        <f t="shared" si="398"/>
        <v>0</v>
      </c>
      <c r="BN397" s="49">
        <f t="shared" si="399"/>
        <v>0</v>
      </c>
      <c r="BO397" s="49">
        <f t="shared" si="400"/>
        <v>0</v>
      </c>
      <c r="BP397" s="49">
        <f t="shared" si="401"/>
        <v>1</v>
      </c>
      <c r="BQ397" s="49">
        <f t="shared" si="402"/>
        <v>0</v>
      </c>
      <c r="BR397" s="49">
        <f t="shared" si="403"/>
        <v>0</v>
      </c>
      <c r="BS397" s="49">
        <f t="shared" si="404"/>
        <v>0</v>
      </c>
      <c r="BT397" s="49">
        <f t="shared" si="405"/>
        <v>1</v>
      </c>
      <c r="BU397" s="49">
        <f t="shared" si="406"/>
        <v>0</v>
      </c>
      <c r="BV397" s="49">
        <f t="shared" si="407"/>
        <v>0</v>
      </c>
      <c r="BW397" s="49">
        <f t="shared" si="408"/>
        <v>0</v>
      </c>
    </row>
    <row r="398" spans="1:75" ht="35.1" customHeight="1" x14ac:dyDescent="0.3">
      <c r="A398" s="123" t="str">
        <f t="shared" si="409"/>
        <v>4팀</v>
      </c>
      <c r="B398" s="69">
        <f t="shared" si="410"/>
        <v>392</v>
      </c>
      <c r="C398" s="121" t="str">
        <f>IF(VLOOKUP($B398,'1. 현장별 인원현황'!$C:$J,2,0)=0,"",VLOOKUP($B398,'1. 현장별 인원현황'!$C:$J,2,0))</f>
        <v xml:space="preserve"> [4.롯데CM] 롯데백화점 노원점 리뉴얼 공사</v>
      </c>
      <c r="D398" s="74" t="str">
        <f>IF(VLOOKUP($B398,'1. 현장별 인원현황'!$C:$J,3,0)=0,"",VLOOKUP($B398,'1. 현장별 인원현황'!$C:$J,3,0))</f>
        <v>박용건</v>
      </c>
      <c r="E398" s="74" t="str">
        <f ca="1">IF(VLOOKUP($B398,'1. 현장별 인원현황'!$C:$J,4,0)=0,"",VLOOKUP($B398,'1. 현장별 인원현황'!$C:$J,4,0))</f>
        <v>49세</v>
      </c>
      <c r="F398" s="70" t="str">
        <f>IF(VLOOKUP($B398,'1. 현장별 인원현황'!$C:$J,7,0)=0,"",VLOOKUP($B398,'1. 현장별 인원현황'!$C:$J,7,0))</f>
        <v>기능공</v>
      </c>
      <c r="G398" s="72" t="str">
        <f>IF(VLOOKUP($B398,'1. 현장별 인원현황'!$C:$J,8,0)=0,"",VLOOKUP($B398,'1. 현장별 인원현황'!$C:$J,8,0))</f>
        <v>전공</v>
      </c>
      <c r="H398" s="67" t="s">
        <v>69</v>
      </c>
      <c r="I398" s="73"/>
      <c r="J398" s="73"/>
      <c r="K398" s="68"/>
      <c r="L398" s="67" t="s">
        <v>69</v>
      </c>
      <c r="M398" s="73"/>
      <c r="N398" s="73"/>
      <c r="O398" s="68"/>
      <c r="P398" s="67" t="s">
        <v>69</v>
      </c>
      <c r="Q398" s="73"/>
      <c r="R398" s="73"/>
      <c r="S398" s="68"/>
      <c r="T398" s="67" t="s">
        <v>69</v>
      </c>
      <c r="U398" s="73"/>
      <c r="V398" s="73"/>
      <c r="W398" s="68"/>
      <c r="X398" s="67" t="s">
        <v>69</v>
      </c>
      <c r="Y398" s="73"/>
      <c r="Z398" s="73"/>
      <c r="AA398" s="68"/>
      <c r="AB398" s="67" t="s">
        <v>69</v>
      </c>
      <c r="AC398" s="73"/>
      <c r="AD398" s="73"/>
      <c r="AE398" s="68"/>
      <c r="AF398" s="67" t="s">
        <v>69</v>
      </c>
      <c r="AG398" s="73"/>
      <c r="AH398" s="73"/>
      <c r="AI398" s="68"/>
      <c r="AJ398" s="67" t="s">
        <v>69</v>
      </c>
      <c r="AK398" s="73"/>
      <c r="AL398" s="73"/>
      <c r="AM398" s="68"/>
      <c r="AN398" s="67">
        <f t="shared" si="411"/>
        <v>100</v>
      </c>
      <c r="AO398" s="68" t="str">
        <f t="shared" si="412"/>
        <v>S</v>
      </c>
      <c r="AR398" s="49">
        <f t="shared" si="377"/>
        <v>1</v>
      </c>
      <c r="AS398" s="49">
        <f t="shared" si="378"/>
        <v>0</v>
      </c>
      <c r="AT398" s="49">
        <f t="shared" si="379"/>
        <v>0</v>
      </c>
      <c r="AU398" s="49">
        <f t="shared" si="380"/>
        <v>0</v>
      </c>
      <c r="AV398" s="49">
        <f t="shared" si="381"/>
        <v>1</v>
      </c>
      <c r="AW398" s="49">
        <f t="shared" si="382"/>
        <v>0</v>
      </c>
      <c r="AX398" s="49">
        <f t="shared" si="383"/>
        <v>0</v>
      </c>
      <c r="AY398" s="49">
        <f t="shared" si="384"/>
        <v>0</v>
      </c>
      <c r="AZ398" s="49">
        <f t="shared" si="385"/>
        <v>1</v>
      </c>
      <c r="BA398" s="49">
        <f t="shared" si="386"/>
        <v>0</v>
      </c>
      <c r="BB398" s="49">
        <f t="shared" si="387"/>
        <v>0</v>
      </c>
      <c r="BC398" s="49">
        <f t="shared" si="388"/>
        <v>0</v>
      </c>
      <c r="BD398" s="49">
        <f t="shared" si="389"/>
        <v>1</v>
      </c>
      <c r="BE398" s="49">
        <f t="shared" si="390"/>
        <v>0</v>
      </c>
      <c r="BF398" s="49">
        <f t="shared" si="391"/>
        <v>0</v>
      </c>
      <c r="BG398" s="49">
        <f t="shared" si="392"/>
        <v>0</v>
      </c>
      <c r="BH398" s="49">
        <f t="shared" si="393"/>
        <v>1</v>
      </c>
      <c r="BI398" s="49">
        <f t="shared" si="394"/>
        <v>0</v>
      </c>
      <c r="BJ398" s="49">
        <f t="shared" si="395"/>
        <v>0</v>
      </c>
      <c r="BK398" s="49">
        <f t="shared" si="396"/>
        <v>0</v>
      </c>
      <c r="BL398" s="49">
        <f t="shared" si="397"/>
        <v>1</v>
      </c>
      <c r="BM398" s="49">
        <f t="shared" si="398"/>
        <v>0</v>
      </c>
      <c r="BN398" s="49">
        <f t="shared" si="399"/>
        <v>0</v>
      </c>
      <c r="BO398" s="49">
        <f t="shared" si="400"/>
        <v>0</v>
      </c>
      <c r="BP398" s="49">
        <f t="shared" si="401"/>
        <v>1</v>
      </c>
      <c r="BQ398" s="49">
        <f t="shared" si="402"/>
        <v>0</v>
      </c>
      <c r="BR398" s="49">
        <f t="shared" si="403"/>
        <v>0</v>
      </c>
      <c r="BS398" s="49">
        <f t="shared" si="404"/>
        <v>0</v>
      </c>
      <c r="BT398" s="49">
        <f t="shared" si="405"/>
        <v>1</v>
      </c>
      <c r="BU398" s="49">
        <f t="shared" si="406"/>
        <v>0</v>
      </c>
      <c r="BV398" s="49">
        <f t="shared" si="407"/>
        <v>0</v>
      </c>
      <c r="BW398" s="49">
        <f t="shared" si="408"/>
        <v>0</v>
      </c>
    </row>
    <row r="399" spans="1:75" ht="35.1" customHeight="1" x14ac:dyDescent="0.3">
      <c r="A399" s="123" t="str">
        <f t="shared" si="409"/>
        <v>4팀</v>
      </c>
      <c r="B399" s="69">
        <f t="shared" si="410"/>
        <v>393</v>
      </c>
      <c r="C399" s="121" t="str">
        <f>IF(VLOOKUP($B399,'1. 현장별 인원현황'!$C:$J,2,0)=0,"",VLOOKUP($B399,'1. 현장별 인원현황'!$C:$J,2,0))</f>
        <v xml:space="preserve"> [4.롯데CM] 롯데백화점 노원점 리뉴얼 공사</v>
      </c>
      <c r="D399" s="74" t="str">
        <f>IF(VLOOKUP($B399,'1. 현장별 인원현황'!$C:$J,3,0)=0,"",VLOOKUP($B399,'1. 현장별 인원현황'!$C:$J,3,0))</f>
        <v>배규남</v>
      </c>
      <c r="E399" s="74" t="str">
        <f ca="1">IF(VLOOKUP($B399,'1. 현장별 인원현황'!$C:$J,4,0)=0,"",VLOOKUP($B399,'1. 현장별 인원현황'!$C:$J,4,0))</f>
        <v>62세</v>
      </c>
      <c r="F399" s="70" t="str">
        <f>IF(VLOOKUP($B399,'1. 현장별 인원현황'!$C:$J,7,0)=0,"",VLOOKUP($B399,'1. 현장별 인원현황'!$C:$J,7,0))</f>
        <v>기능공</v>
      </c>
      <c r="G399" s="72" t="str">
        <f>IF(VLOOKUP($B399,'1. 현장별 인원현황'!$C:$J,8,0)=0,"",VLOOKUP($B399,'1. 현장별 인원현황'!$C:$J,8,0))</f>
        <v>전공</v>
      </c>
      <c r="H399" s="67" t="s">
        <v>69</v>
      </c>
      <c r="I399" s="73"/>
      <c r="J399" s="73"/>
      <c r="K399" s="68"/>
      <c r="L399" s="67"/>
      <c r="M399" s="73" t="s">
        <v>69</v>
      </c>
      <c r="N399" s="73"/>
      <c r="O399" s="68"/>
      <c r="P399" s="67" t="s">
        <v>69</v>
      </c>
      <c r="Q399" s="73"/>
      <c r="R399" s="73"/>
      <c r="S399" s="68"/>
      <c r="T399" s="67" t="s">
        <v>69</v>
      </c>
      <c r="U399" s="73"/>
      <c r="V399" s="73"/>
      <c r="W399" s="68"/>
      <c r="X399" s="67" t="s">
        <v>69</v>
      </c>
      <c r="Y399" s="73"/>
      <c r="Z399" s="73"/>
      <c r="AA399" s="68"/>
      <c r="AB399" s="67" t="s">
        <v>69</v>
      </c>
      <c r="AC399" s="73"/>
      <c r="AD399" s="73"/>
      <c r="AE399" s="68"/>
      <c r="AF399" s="67"/>
      <c r="AG399" s="73" t="s">
        <v>69</v>
      </c>
      <c r="AH399" s="73"/>
      <c r="AI399" s="68"/>
      <c r="AJ399" s="67" t="s">
        <v>69</v>
      </c>
      <c r="AK399" s="73"/>
      <c r="AL399" s="73"/>
      <c r="AM399" s="68"/>
      <c r="AN399" s="67">
        <f t="shared" si="411"/>
        <v>93</v>
      </c>
      <c r="AO399" s="68" t="str">
        <f t="shared" si="412"/>
        <v>S</v>
      </c>
      <c r="AR399" s="49">
        <f t="shared" si="377"/>
        <v>1</v>
      </c>
      <c r="AS399" s="49">
        <f t="shared" si="378"/>
        <v>0</v>
      </c>
      <c r="AT399" s="49">
        <f t="shared" si="379"/>
        <v>0</v>
      </c>
      <c r="AU399" s="49">
        <f t="shared" si="380"/>
        <v>0</v>
      </c>
      <c r="AV399" s="49">
        <f t="shared" si="381"/>
        <v>0</v>
      </c>
      <c r="AW399" s="49">
        <f t="shared" si="382"/>
        <v>1</v>
      </c>
      <c r="AX399" s="49">
        <f t="shared" si="383"/>
        <v>0</v>
      </c>
      <c r="AY399" s="49">
        <f t="shared" si="384"/>
        <v>0</v>
      </c>
      <c r="AZ399" s="49">
        <f t="shared" si="385"/>
        <v>1</v>
      </c>
      <c r="BA399" s="49">
        <f t="shared" si="386"/>
        <v>0</v>
      </c>
      <c r="BB399" s="49">
        <f t="shared" si="387"/>
        <v>0</v>
      </c>
      <c r="BC399" s="49">
        <f t="shared" si="388"/>
        <v>0</v>
      </c>
      <c r="BD399" s="49">
        <f t="shared" si="389"/>
        <v>1</v>
      </c>
      <c r="BE399" s="49">
        <f t="shared" si="390"/>
        <v>0</v>
      </c>
      <c r="BF399" s="49">
        <f t="shared" si="391"/>
        <v>0</v>
      </c>
      <c r="BG399" s="49">
        <f t="shared" si="392"/>
        <v>0</v>
      </c>
      <c r="BH399" s="49">
        <f t="shared" si="393"/>
        <v>1</v>
      </c>
      <c r="BI399" s="49">
        <f t="shared" si="394"/>
        <v>0</v>
      </c>
      <c r="BJ399" s="49">
        <f t="shared" si="395"/>
        <v>0</v>
      </c>
      <c r="BK399" s="49">
        <f t="shared" si="396"/>
        <v>0</v>
      </c>
      <c r="BL399" s="49">
        <f t="shared" si="397"/>
        <v>1</v>
      </c>
      <c r="BM399" s="49">
        <f t="shared" si="398"/>
        <v>0</v>
      </c>
      <c r="BN399" s="49">
        <f t="shared" si="399"/>
        <v>0</v>
      </c>
      <c r="BO399" s="49">
        <f t="shared" si="400"/>
        <v>0</v>
      </c>
      <c r="BP399" s="49">
        <f t="shared" si="401"/>
        <v>0</v>
      </c>
      <c r="BQ399" s="49">
        <f t="shared" si="402"/>
        <v>1</v>
      </c>
      <c r="BR399" s="49">
        <f t="shared" si="403"/>
        <v>0</v>
      </c>
      <c r="BS399" s="49">
        <f t="shared" si="404"/>
        <v>0</v>
      </c>
      <c r="BT399" s="49">
        <f t="shared" si="405"/>
        <v>1</v>
      </c>
      <c r="BU399" s="49">
        <f t="shared" si="406"/>
        <v>0</v>
      </c>
      <c r="BV399" s="49">
        <f t="shared" si="407"/>
        <v>0</v>
      </c>
      <c r="BW399" s="49">
        <f t="shared" si="408"/>
        <v>0</v>
      </c>
    </row>
    <row r="400" spans="1:75" ht="35.1" customHeight="1" x14ac:dyDescent="0.3">
      <c r="A400" s="123" t="str">
        <f t="shared" si="409"/>
        <v>4팀</v>
      </c>
      <c r="B400" s="69">
        <f t="shared" si="410"/>
        <v>394</v>
      </c>
      <c r="C400" s="121" t="str">
        <f>IF(VLOOKUP($B400,'1. 현장별 인원현황'!$C:$J,2,0)=0,"",VLOOKUP($B400,'1. 현장별 인원현황'!$C:$J,2,0))</f>
        <v xml:space="preserve"> [4.롯데CM] 롯데백화점 노원점 리뉴얼 공사</v>
      </c>
      <c r="D400" s="74" t="str">
        <f>IF(VLOOKUP($B400,'1. 현장별 인원현황'!$C:$J,3,0)=0,"",VLOOKUP($B400,'1. 현장별 인원현황'!$C:$J,3,0))</f>
        <v>백순찬</v>
      </c>
      <c r="E400" s="74" t="str">
        <f ca="1">IF(VLOOKUP($B400,'1. 현장별 인원현황'!$C:$J,4,0)=0,"",VLOOKUP($B400,'1. 현장별 인원현황'!$C:$J,4,0))</f>
        <v>46세</v>
      </c>
      <c r="F400" s="70" t="str">
        <f>IF(VLOOKUP($B400,'1. 현장별 인원현황'!$C:$J,7,0)=0,"",VLOOKUP($B400,'1. 현장별 인원현황'!$C:$J,7,0))</f>
        <v>기능공</v>
      </c>
      <c r="G400" s="72" t="str">
        <f>IF(VLOOKUP($B400,'1. 현장별 인원현황'!$C:$J,8,0)=0,"",VLOOKUP($B400,'1. 현장별 인원현황'!$C:$J,8,0))</f>
        <v>전공</v>
      </c>
      <c r="H400" s="67" t="s">
        <v>69</v>
      </c>
      <c r="I400" s="73"/>
      <c r="J400" s="73"/>
      <c r="K400" s="68"/>
      <c r="L400" s="67"/>
      <c r="M400" s="73" t="s">
        <v>69</v>
      </c>
      <c r="N400" s="73"/>
      <c r="O400" s="68"/>
      <c r="P400" s="67" t="s">
        <v>69</v>
      </c>
      <c r="Q400" s="73"/>
      <c r="R400" s="73"/>
      <c r="S400" s="68"/>
      <c r="T400" s="67" t="s">
        <v>69</v>
      </c>
      <c r="U400" s="73"/>
      <c r="V400" s="73"/>
      <c r="W400" s="68"/>
      <c r="X400" s="67" t="s">
        <v>69</v>
      </c>
      <c r="Y400" s="73"/>
      <c r="Z400" s="73"/>
      <c r="AA400" s="68"/>
      <c r="AB400" s="67" t="s">
        <v>69</v>
      </c>
      <c r="AC400" s="73"/>
      <c r="AD400" s="73"/>
      <c r="AE400" s="68"/>
      <c r="AF400" s="67" t="s">
        <v>69</v>
      </c>
      <c r="AG400" s="73"/>
      <c r="AH400" s="73"/>
      <c r="AI400" s="68"/>
      <c r="AJ400" s="67" t="s">
        <v>69</v>
      </c>
      <c r="AK400" s="73"/>
      <c r="AL400" s="73"/>
      <c r="AM400" s="68"/>
      <c r="AN400" s="67">
        <f t="shared" si="411"/>
        <v>96</v>
      </c>
      <c r="AO400" s="68" t="str">
        <f t="shared" si="412"/>
        <v>S</v>
      </c>
      <c r="AR400" s="49">
        <f t="shared" si="377"/>
        <v>1</v>
      </c>
      <c r="AS400" s="49">
        <f t="shared" si="378"/>
        <v>0</v>
      </c>
      <c r="AT400" s="49">
        <f t="shared" si="379"/>
        <v>0</v>
      </c>
      <c r="AU400" s="49">
        <f t="shared" si="380"/>
        <v>0</v>
      </c>
      <c r="AV400" s="49">
        <f t="shared" si="381"/>
        <v>0</v>
      </c>
      <c r="AW400" s="49">
        <f t="shared" si="382"/>
        <v>1</v>
      </c>
      <c r="AX400" s="49">
        <f t="shared" si="383"/>
        <v>0</v>
      </c>
      <c r="AY400" s="49">
        <f t="shared" si="384"/>
        <v>0</v>
      </c>
      <c r="AZ400" s="49">
        <f t="shared" si="385"/>
        <v>1</v>
      </c>
      <c r="BA400" s="49">
        <f t="shared" si="386"/>
        <v>0</v>
      </c>
      <c r="BB400" s="49">
        <f t="shared" si="387"/>
        <v>0</v>
      </c>
      <c r="BC400" s="49">
        <f t="shared" si="388"/>
        <v>0</v>
      </c>
      <c r="BD400" s="49">
        <f t="shared" si="389"/>
        <v>1</v>
      </c>
      <c r="BE400" s="49">
        <f t="shared" si="390"/>
        <v>0</v>
      </c>
      <c r="BF400" s="49">
        <f t="shared" si="391"/>
        <v>0</v>
      </c>
      <c r="BG400" s="49">
        <f t="shared" si="392"/>
        <v>0</v>
      </c>
      <c r="BH400" s="49">
        <f t="shared" si="393"/>
        <v>1</v>
      </c>
      <c r="BI400" s="49">
        <f t="shared" si="394"/>
        <v>0</v>
      </c>
      <c r="BJ400" s="49">
        <f t="shared" si="395"/>
        <v>0</v>
      </c>
      <c r="BK400" s="49">
        <f t="shared" si="396"/>
        <v>0</v>
      </c>
      <c r="BL400" s="49">
        <f t="shared" si="397"/>
        <v>1</v>
      </c>
      <c r="BM400" s="49">
        <f t="shared" si="398"/>
        <v>0</v>
      </c>
      <c r="BN400" s="49">
        <f t="shared" si="399"/>
        <v>0</v>
      </c>
      <c r="BO400" s="49">
        <f t="shared" si="400"/>
        <v>0</v>
      </c>
      <c r="BP400" s="49">
        <f t="shared" si="401"/>
        <v>1</v>
      </c>
      <c r="BQ400" s="49">
        <f t="shared" si="402"/>
        <v>0</v>
      </c>
      <c r="BR400" s="49">
        <f t="shared" si="403"/>
        <v>0</v>
      </c>
      <c r="BS400" s="49">
        <f t="shared" si="404"/>
        <v>0</v>
      </c>
      <c r="BT400" s="49">
        <f t="shared" si="405"/>
        <v>1</v>
      </c>
      <c r="BU400" s="49">
        <f t="shared" si="406"/>
        <v>0</v>
      </c>
      <c r="BV400" s="49">
        <f t="shared" si="407"/>
        <v>0</v>
      </c>
      <c r="BW400" s="49">
        <f t="shared" si="408"/>
        <v>0</v>
      </c>
    </row>
    <row r="401" spans="1:75" ht="35.1" customHeight="1" x14ac:dyDescent="0.3">
      <c r="A401" s="123" t="str">
        <f t="shared" si="409"/>
        <v>4팀</v>
      </c>
      <c r="B401" s="69">
        <f t="shared" si="410"/>
        <v>395</v>
      </c>
      <c r="C401" s="121" t="str">
        <f>IF(VLOOKUP($B401,'1. 현장별 인원현황'!$C:$J,2,0)=0,"",VLOOKUP($B401,'1. 현장별 인원현황'!$C:$J,2,0))</f>
        <v xml:space="preserve"> [4.롯데CM] 롯데백화점 노원점 리뉴얼 공사</v>
      </c>
      <c r="D401" s="74" t="str">
        <f>IF(VLOOKUP($B401,'1. 현장별 인원현황'!$C:$J,3,0)=0,"",VLOOKUP($B401,'1. 현장별 인원현황'!$C:$J,3,0))</f>
        <v>연명흠</v>
      </c>
      <c r="E401" s="74" t="str">
        <f ca="1">IF(VLOOKUP($B401,'1. 현장별 인원현황'!$C:$J,4,0)=0,"",VLOOKUP($B401,'1. 현장별 인원현황'!$C:$J,4,0))</f>
        <v>60세</v>
      </c>
      <c r="F401" s="70" t="str">
        <f>IF(VLOOKUP($B401,'1. 현장별 인원현황'!$C:$J,7,0)=0,"",VLOOKUP($B401,'1. 현장별 인원현황'!$C:$J,7,0))</f>
        <v>기능공</v>
      </c>
      <c r="G401" s="72" t="str">
        <f>IF(VLOOKUP($B401,'1. 현장별 인원현황'!$C:$J,8,0)=0,"",VLOOKUP($B401,'1. 현장별 인원현황'!$C:$J,8,0))</f>
        <v>전공</v>
      </c>
      <c r="H401" s="67" t="s">
        <v>69</v>
      </c>
      <c r="I401" s="73"/>
      <c r="J401" s="73"/>
      <c r="K401" s="68"/>
      <c r="L401" s="67" t="s">
        <v>69</v>
      </c>
      <c r="M401" s="73"/>
      <c r="N401" s="73"/>
      <c r="O401" s="68"/>
      <c r="P401" s="67" t="s">
        <v>69</v>
      </c>
      <c r="Q401" s="73"/>
      <c r="R401" s="73"/>
      <c r="S401" s="68"/>
      <c r="T401" s="67" t="s">
        <v>69</v>
      </c>
      <c r="U401" s="73"/>
      <c r="V401" s="73"/>
      <c r="W401" s="68"/>
      <c r="X401" s="67" t="s">
        <v>69</v>
      </c>
      <c r="Y401" s="73"/>
      <c r="Z401" s="73"/>
      <c r="AA401" s="68"/>
      <c r="AB401" s="67" t="s">
        <v>69</v>
      </c>
      <c r="AC401" s="73"/>
      <c r="AD401" s="73"/>
      <c r="AE401" s="68"/>
      <c r="AF401" s="67" t="s">
        <v>69</v>
      </c>
      <c r="AG401" s="73"/>
      <c r="AH401" s="73"/>
      <c r="AI401" s="68"/>
      <c r="AJ401" s="67" t="s">
        <v>69</v>
      </c>
      <c r="AK401" s="73"/>
      <c r="AL401" s="73"/>
      <c r="AM401" s="68"/>
      <c r="AN401" s="67">
        <f t="shared" si="411"/>
        <v>100</v>
      </c>
      <c r="AO401" s="68" t="str">
        <f t="shared" si="412"/>
        <v>S</v>
      </c>
      <c r="AR401" s="49">
        <f t="shared" si="377"/>
        <v>1</v>
      </c>
      <c r="AS401" s="49">
        <f t="shared" si="378"/>
        <v>0</v>
      </c>
      <c r="AT401" s="49">
        <f t="shared" si="379"/>
        <v>0</v>
      </c>
      <c r="AU401" s="49">
        <f t="shared" si="380"/>
        <v>0</v>
      </c>
      <c r="AV401" s="49">
        <f t="shared" si="381"/>
        <v>1</v>
      </c>
      <c r="AW401" s="49">
        <f t="shared" si="382"/>
        <v>0</v>
      </c>
      <c r="AX401" s="49">
        <f t="shared" si="383"/>
        <v>0</v>
      </c>
      <c r="AY401" s="49">
        <f t="shared" si="384"/>
        <v>0</v>
      </c>
      <c r="AZ401" s="49">
        <f t="shared" si="385"/>
        <v>1</v>
      </c>
      <c r="BA401" s="49">
        <f t="shared" si="386"/>
        <v>0</v>
      </c>
      <c r="BB401" s="49">
        <f t="shared" si="387"/>
        <v>0</v>
      </c>
      <c r="BC401" s="49">
        <f t="shared" si="388"/>
        <v>0</v>
      </c>
      <c r="BD401" s="49">
        <f t="shared" si="389"/>
        <v>1</v>
      </c>
      <c r="BE401" s="49">
        <f t="shared" si="390"/>
        <v>0</v>
      </c>
      <c r="BF401" s="49">
        <f t="shared" si="391"/>
        <v>0</v>
      </c>
      <c r="BG401" s="49">
        <f t="shared" si="392"/>
        <v>0</v>
      </c>
      <c r="BH401" s="49">
        <f t="shared" si="393"/>
        <v>1</v>
      </c>
      <c r="BI401" s="49">
        <f t="shared" si="394"/>
        <v>0</v>
      </c>
      <c r="BJ401" s="49">
        <f t="shared" si="395"/>
        <v>0</v>
      </c>
      <c r="BK401" s="49">
        <f t="shared" si="396"/>
        <v>0</v>
      </c>
      <c r="BL401" s="49">
        <f t="shared" si="397"/>
        <v>1</v>
      </c>
      <c r="BM401" s="49">
        <f t="shared" si="398"/>
        <v>0</v>
      </c>
      <c r="BN401" s="49">
        <f t="shared" si="399"/>
        <v>0</v>
      </c>
      <c r="BO401" s="49">
        <f t="shared" si="400"/>
        <v>0</v>
      </c>
      <c r="BP401" s="49">
        <f t="shared" si="401"/>
        <v>1</v>
      </c>
      <c r="BQ401" s="49">
        <f t="shared" si="402"/>
        <v>0</v>
      </c>
      <c r="BR401" s="49">
        <f t="shared" si="403"/>
        <v>0</v>
      </c>
      <c r="BS401" s="49">
        <f t="shared" si="404"/>
        <v>0</v>
      </c>
      <c r="BT401" s="49">
        <f t="shared" si="405"/>
        <v>1</v>
      </c>
      <c r="BU401" s="49">
        <f t="shared" si="406"/>
        <v>0</v>
      </c>
      <c r="BV401" s="49">
        <f t="shared" si="407"/>
        <v>0</v>
      </c>
      <c r="BW401" s="49">
        <f t="shared" si="408"/>
        <v>0</v>
      </c>
    </row>
    <row r="402" spans="1:75" ht="35.1" customHeight="1" x14ac:dyDescent="0.3">
      <c r="A402" s="123" t="str">
        <f t="shared" si="409"/>
        <v>4팀</v>
      </c>
      <c r="B402" s="69">
        <f t="shared" si="410"/>
        <v>396</v>
      </c>
      <c r="C402" s="121" t="str">
        <f>IF(VLOOKUP($B402,'1. 현장별 인원현황'!$C:$J,2,0)=0,"",VLOOKUP($B402,'1. 현장별 인원현황'!$C:$J,2,0))</f>
        <v xml:space="preserve"> [4.롯데CM] 롯데백화점 노원점 리뉴얼 공사</v>
      </c>
      <c r="D402" s="74" t="str">
        <f>IF(VLOOKUP($B402,'1. 현장별 인원현황'!$C:$J,3,0)=0,"",VLOOKUP($B402,'1. 현장별 인원현황'!$C:$J,3,0))</f>
        <v>우상근</v>
      </c>
      <c r="E402" s="74" t="str">
        <f ca="1">IF(VLOOKUP($B402,'1. 현장별 인원현황'!$C:$J,4,0)=0,"",VLOOKUP($B402,'1. 현장별 인원현황'!$C:$J,4,0))</f>
        <v>56세</v>
      </c>
      <c r="F402" s="70" t="str">
        <f>IF(VLOOKUP($B402,'1. 현장별 인원현황'!$C:$J,7,0)=0,"",VLOOKUP($B402,'1. 현장별 인원현황'!$C:$J,7,0))</f>
        <v>기능공</v>
      </c>
      <c r="G402" s="72" t="str">
        <f>IF(VLOOKUP($B402,'1. 현장별 인원현황'!$C:$J,8,0)=0,"",VLOOKUP($B402,'1. 현장별 인원현황'!$C:$J,8,0))</f>
        <v>전공</v>
      </c>
      <c r="H402" s="67" t="s">
        <v>69</v>
      </c>
      <c r="I402" s="73"/>
      <c r="J402" s="73"/>
      <c r="K402" s="68"/>
      <c r="L402" s="67"/>
      <c r="M402" s="73" t="s">
        <v>69</v>
      </c>
      <c r="N402" s="73"/>
      <c r="O402" s="68"/>
      <c r="P402" s="67" t="s">
        <v>69</v>
      </c>
      <c r="Q402" s="73"/>
      <c r="R402" s="73"/>
      <c r="S402" s="68"/>
      <c r="T402" s="67"/>
      <c r="U402" s="73" t="s">
        <v>69</v>
      </c>
      <c r="V402" s="73"/>
      <c r="W402" s="68"/>
      <c r="X402" s="67" t="s">
        <v>69</v>
      </c>
      <c r="Y402" s="73"/>
      <c r="Z402" s="73"/>
      <c r="AA402" s="68"/>
      <c r="AB402" s="67" t="s">
        <v>69</v>
      </c>
      <c r="AC402" s="73"/>
      <c r="AD402" s="73"/>
      <c r="AE402" s="68"/>
      <c r="AF402" s="67" t="s">
        <v>69</v>
      </c>
      <c r="AG402" s="73"/>
      <c r="AH402" s="73"/>
      <c r="AI402" s="68"/>
      <c r="AJ402" s="67" t="s">
        <v>69</v>
      </c>
      <c r="AK402" s="73"/>
      <c r="AL402" s="73"/>
      <c r="AM402" s="68"/>
      <c r="AN402" s="67">
        <f t="shared" si="411"/>
        <v>92</v>
      </c>
      <c r="AO402" s="68" t="str">
        <f t="shared" si="412"/>
        <v>S</v>
      </c>
      <c r="AR402" s="49">
        <f t="shared" si="377"/>
        <v>1</v>
      </c>
      <c r="AS402" s="49">
        <f t="shared" si="378"/>
        <v>0</v>
      </c>
      <c r="AT402" s="49">
        <f t="shared" si="379"/>
        <v>0</v>
      </c>
      <c r="AU402" s="49">
        <f t="shared" si="380"/>
        <v>0</v>
      </c>
      <c r="AV402" s="49">
        <f t="shared" si="381"/>
        <v>0</v>
      </c>
      <c r="AW402" s="49">
        <f t="shared" si="382"/>
        <v>1</v>
      </c>
      <c r="AX402" s="49">
        <f t="shared" si="383"/>
        <v>0</v>
      </c>
      <c r="AY402" s="49">
        <f t="shared" si="384"/>
        <v>0</v>
      </c>
      <c r="AZ402" s="49">
        <f t="shared" si="385"/>
        <v>1</v>
      </c>
      <c r="BA402" s="49">
        <f t="shared" si="386"/>
        <v>0</v>
      </c>
      <c r="BB402" s="49">
        <f t="shared" si="387"/>
        <v>0</v>
      </c>
      <c r="BC402" s="49">
        <f t="shared" si="388"/>
        <v>0</v>
      </c>
      <c r="BD402" s="49">
        <f t="shared" si="389"/>
        <v>0</v>
      </c>
      <c r="BE402" s="49">
        <f t="shared" si="390"/>
        <v>1</v>
      </c>
      <c r="BF402" s="49">
        <f t="shared" si="391"/>
        <v>0</v>
      </c>
      <c r="BG402" s="49">
        <f t="shared" si="392"/>
        <v>0</v>
      </c>
      <c r="BH402" s="49">
        <f t="shared" si="393"/>
        <v>1</v>
      </c>
      <c r="BI402" s="49">
        <f t="shared" si="394"/>
        <v>0</v>
      </c>
      <c r="BJ402" s="49">
        <f t="shared" si="395"/>
        <v>0</v>
      </c>
      <c r="BK402" s="49">
        <f t="shared" si="396"/>
        <v>0</v>
      </c>
      <c r="BL402" s="49">
        <f t="shared" si="397"/>
        <v>1</v>
      </c>
      <c r="BM402" s="49">
        <f t="shared" si="398"/>
        <v>0</v>
      </c>
      <c r="BN402" s="49">
        <f t="shared" si="399"/>
        <v>0</v>
      </c>
      <c r="BO402" s="49">
        <f t="shared" si="400"/>
        <v>0</v>
      </c>
      <c r="BP402" s="49">
        <f t="shared" si="401"/>
        <v>1</v>
      </c>
      <c r="BQ402" s="49">
        <f t="shared" si="402"/>
        <v>0</v>
      </c>
      <c r="BR402" s="49">
        <f t="shared" si="403"/>
        <v>0</v>
      </c>
      <c r="BS402" s="49">
        <f t="shared" si="404"/>
        <v>0</v>
      </c>
      <c r="BT402" s="49">
        <f t="shared" si="405"/>
        <v>1</v>
      </c>
      <c r="BU402" s="49">
        <f t="shared" si="406"/>
        <v>0</v>
      </c>
      <c r="BV402" s="49">
        <f t="shared" si="407"/>
        <v>0</v>
      </c>
      <c r="BW402" s="49">
        <f t="shared" si="408"/>
        <v>0</v>
      </c>
    </row>
    <row r="403" spans="1:75" ht="35.1" customHeight="1" x14ac:dyDescent="0.3">
      <c r="A403" s="123" t="str">
        <f t="shared" si="409"/>
        <v>4팀</v>
      </c>
      <c r="B403" s="69">
        <f t="shared" si="410"/>
        <v>397</v>
      </c>
      <c r="C403" s="121" t="str">
        <f>IF(VLOOKUP($B403,'1. 현장별 인원현황'!$C:$J,2,0)=0,"",VLOOKUP($B403,'1. 현장별 인원현황'!$C:$J,2,0))</f>
        <v xml:space="preserve"> [4.롯데CM] 롯데백화점 노원점 리뉴얼 공사</v>
      </c>
      <c r="D403" s="74" t="str">
        <f>IF(VLOOKUP($B403,'1. 현장별 인원현황'!$C:$J,3,0)=0,"",VLOOKUP($B403,'1. 현장별 인원현황'!$C:$J,3,0))</f>
        <v>유경술</v>
      </c>
      <c r="E403" s="74" t="str">
        <f ca="1">IF(VLOOKUP($B403,'1. 현장별 인원현황'!$C:$J,4,0)=0,"",VLOOKUP($B403,'1. 현장별 인원현황'!$C:$J,4,0))</f>
        <v>56세</v>
      </c>
      <c r="F403" s="70" t="str">
        <f>IF(VLOOKUP($B403,'1. 현장별 인원현황'!$C:$J,7,0)=0,"",VLOOKUP($B403,'1. 현장별 인원현황'!$C:$J,7,0))</f>
        <v>기능공</v>
      </c>
      <c r="G403" s="72" t="str">
        <f>IF(VLOOKUP($B403,'1. 현장별 인원현황'!$C:$J,8,0)=0,"",VLOOKUP($B403,'1. 현장별 인원현황'!$C:$J,8,0))</f>
        <v>전공</v>
      </c>
      <c r="H403" s="67" t="s">
        <v>69</v>
      </c>
      <c r="I403" s="73"/>
      <c r="J403" s="73"/>
      <c r="K403" s="68"/>
      <c r="L403" s="67"/>
      <c r="M403" s="73" t="s">
        <v>69</v>
      </c>
      <c r="N403" s="73"/>
      <c r="O403" s="68"/>
      <c r="P403" s="67" t="s">
        <v>69</v>
      </c>
      <c r="Q403" s="73"/>
      <c r="R403" s="73"/>
      <c r="S403" s="68"/>
      <c r="T403" s="67"/>
      <c r="U403" s="73" t="s">
        <v>69</v>
      </c>
      <c r="V403" s="73"/>
      <c r="W403" s="68"/>
      <c r="X403" s="67" t="s">
        <v>69</v>
      </c>
      <c r="Y403" s="73"/>
      <c r="Z403" s="73"/>
      <c r="AA403" s="68"/>
      <c r="AB403" s="67" t="s">
        <v>69</v>
      </c>
      <c r="AC403" s="73"/>
      <c r="AD403" s="73"/>
      <c r="AE403" s="68"/>
      <c r="AF403" s="67" t="s">
        <v>69</v>
      </c>
      <c r="AG403" s="73"/>
      <c r="AH403" s="73"/>
      <c r="AI403" s="68"/>
      <c r="AJ403" s="67" t="s">
        <v>69</v>
      </c>
      <c r="AK403" s="73"/>
      <c r="AL403" s="73"/>
      <c r="AM403" s="68"/>
      <c r="AN403" s="67">
        <f t="shared" si="411"/>
        <v>92</v>
      </c>
      <c r="AO403" s="68" t="str">
        <f t="shared" si="412"/>
        <v>S</v>
      </c>
      <c r="AR403" s="49">
        <f t="shared" si="377"/>
        <v>1</v>
      </c>
      <c r="AS403" s="49">
        <f t="shared" si="378"/>
        <v>0</v>
      </c>
      <c r="AT403" s="49">
        <f t="shared" si="379"/>
        <v>0</v>
      </c>
      <c r="AU403" s="49">
        <f t="shared" si="380"/>
        <v>0</v>
      </c>
      <c r="AV403" s="49">
        <f t="shared" si="381"/>
        <v>0</v>
      </c>
      <c r="AW403" s="49">
        <f t="shared" si="382"/>
        <v>1</v>
      </c>
      <c r="AX403" s="49">
        <f t="shared" si="383"/>
        <v>0</v>
      </c>
      <c r="AY403" s="49">
        <f t="shared" si="384"/>
        <v>0</v>
      </c>
      <c r="AZ403" s="49">
        <f t="shared" si="385"/>
        <v>1</v>
      </c>
      <c r="BA403" s="49">
        <f t="shared" si="386"/>
        <v>0</v>
      </c>
      <c r="BB403" s="49">
        <f t="shared" si="387"/>
        <v>0</v>
      </c>
      <c r="BC403" s="49">
        <f t="shared" si="388"/>
        <v>0</v>
      </c>
      <c r="BD403" s="49">
        <f t="shared" si="389"/>
        <v>0</v>
      </c>
      <c r="BE403" s="49">
        <f t="shared" si="390"/>
        <v>1</v>
      </c>
      <c r="BF403" s="49">
        <f t="shared" si="391"/>
        <v>0</v>
      </c>
      <c r="BG403" s="49">
        <f t="shared" si="392"/>
        <v>0</v>
      </c>
      <c r="BH403" s="49">
        <f t="shared" si="393"/>
        <v>1</v>
      </c>
      <c r="BI403" s="49">
        <f t="shared" si="394"/>
        <v>0</v>
      </c>
      <c r="BJ403" s="49">
        <f t="shared" si="395"/>
        <v>0</v>
      </c>
      <c r="BK403" s="49">
        <f t="shared" si="396"/>
        <v>0</v>
      </c>
      <c r="BL403" s="49">
        <f t="shared" si="397"/>
        <v>1</v>
      </c>
      <c r="BM403" s="49">
        <f t="shared" si="398"/>
        <v>0</v>
      </c>
      <c r="BN403" s="49">
        <f t="shared" si="399"/>
        <v>0</v>
      </c>
      <c r="BO403" s="49">
        <f t="shared" si="400"/>
        <v>0</v>
      </c>
      <c r="BP403" s="49">
        <f t="shared" si="401"/>
        <v>1</v>
      </c>
      <c r="BQ403" s="49">
        <f t="shared" si="402"/>
        <v>0</v>
      </c>
      <c r="BR403" s="49">
        <f t="shared" si="403"/>
        <v>0</v>
      </c>
      <c r="BS403" s="49">
        <f t="shared" si="404"/>
        <v>0</v>
      </c>
      <c r="BT403" s="49">
        <f t="shared" si="405"/>
        <v>1</v>
      </c>
      <c r="BU403" s="49">
        <f t="shared" si="406"/>
        <v>0</v>
      </c>
      <c r="BV403" s="49">
        <f t="shared" si="407"/>
        <v>0</v>
      </c>
      <c r="BW403" s="49">
        <f t="shared" si="408"/>
        <v>0</v>
      </c>
    </row>
    <row r="404" spans="1:75" ht="35.1" customHeight="1" x14ac:dyDescent="0.3">
      <c r="A404" s="123" t="str">
        <f t="shared" si="409"/>
        <v>4팀</v>
      </c>
      <c r="B404" s="69">
        <f t="shared" si="410"/>
        <v>398</v>
      </c>
      <c r="C404" s="121" t="str">
        <f>IF(VLOOKUP($B404,'1. 현장별 인원현황'!$C:$J,2,0)=0,"",VLOOKUP($B404,'1. 현장별 인원현황'!$C:$J,2,0))</f>
        <v xml:space="preserve"> [4.롯데CM] 롯데백화점 노원점 리뉴얼 공사</v>
      </c>
      <c r="D404" s="74" t="str">
        <f>IF(VLOOKUP($B404,'1. 현장별 인원현황'!$C:$J,3,0)=0,"",VLOOKUP($B404,'1. 현장별 인원현황'!$C:$J,3,0))</f>
        <v>유철훈</v>
      </c>
      <c r="E404" s="74" t="str">
        <f ca="1">IF(VLOOKUP($B404,'1. 현장별 인원현황'!$C:$J,4,0)=0,"",VLOOKUP($B404,'1. 현장별 인원현황'!$C:$J,4,0))</f>
        <v>55세</v>
      </c>
      <c r="F404" s="70" t="str">
        <f>IF(VLOOKUP($B404,'1. 현장별 인원현황'!$C:$J,7,0)=0,"",VLOOKUP($B404,'1. 현장별 인원현황'!$C:$J,7,0))</f>
        <v>기능공</v>
      </c>
      <c r="G404" s="72" t="str">
        <f>IF(VLOOKUP($B404,'1. 현장별 인원현황'!$C:$J,8,0)=0,"",VLOOKUP($B404,'1. 현장별 인원현황'!$C:$J,8,0))</f>
        <v>전공</v>
      </c>
      <c r="H404" s="67" t="s">
        <v>69</v>
      </c>
      <c r="I404" s="73"/>
      <c r="J404" s="73"/>
      <c r="K404" s="68"/>
      <c r="L404" s="67"/>
      <c r="M404" s="73" t="s">
        <v>69</v>
      </c>
      <c r="N404" s="73"/>
      <c r="O404" s="68"/>
      <c r="P404" s="67" t="s">
        <v>69</v>
      </c>
      <c r="Q404" s="73"/>
      <c r="R404" s="73"/>
      <c r="S404" s="68"/>
      <c r="T404" s="67" t="s">
        <v>69</v>
      </c>
      <c r="U404" s="73"/>
      <c r="V404" s="73"/>
      <c r="W404" s="68"/>
      <c r="X404" s="67" t="s">
        <v>69</v>
      </c>
      <c r="Y404" s="73"/>
      <c r="Z404" s="73"/>
      <c r="AA404" s="68"/>
      <c r="AB404" s="67" t="s">
        <v>69</v>
      </c>
      <c r="AC404" s="73"/>
      <c r="AD404" s="73"/>
      <c r="AE404" s="68"/>
      <c r="AF404" s="67" t="s">
        <v>69</v>
      </c>
      <c r="AG404" s="73"/>
      <c r="AH404" s="73"/>
      <c r="AI404" s="68"/>
      <c r="AJ404" s="67" t="s">
        <v>69</v>
      </c>
      <c r="AK404" s="73"/>
      <c r="AL404" s="73"/>
      <c r="AM404" s="68"/>
      <c r="AN404" s="67">
        <f t="shared" si="411"/>
        <v>96</v>
      </c>
      <c r="AO404" s="68" t="str">
        <f t="shared" si="412"/>
        <v>S</v>
      </c>
      <c r="AR404" s="49">
        <f t="shared" si="41"/>
        <v>1</v>
      </c>
      <c r="AS404" s="49">
        <f t="shared" si="42"/>
        <v>0</v>
      </c>
      <c r="AT404" s="49">
        <f t="shared" si="43"/>
        <v>0</v>
      </c>
      <c r="AU404" s="49">
        <f t="shared" si="44"/>
        <v>0</v>
      </c>
      <c r="AV404" s="49">
        <f t="shared" si="45"/>
        <v>0</v>
      </c>
      <c r="AW404" s="49">
        <f t="shared" si="46"/>
        <v>1</v>
      </c>
      <c r="AX404" s="49">
        <f t="shared" si="47"/>
        <v>0</v>
      </c>
      <c r="AY404" s="49">
        <f t="shared" si="48"/>
        <v>0</v>
      </c>
      <c r="AZ404" s="49">
        <f t="shared" si="49"/>
        <v>1</v>
      </c>
      <c r="BA404" s="49">
        <f t="shared" si="50"/>
        <v>0</v>
      </c>
      <c r="BB404" s="49">
        <f t="shared" si="51"/>
        <v>0</v>
      </c>
      <c r="BC404" s="49">
        <f t="shared" si="52"/>
        <v>0</v>
      </c>
      <c r="BD404" s="49">
        <f t="shared" si="53"/>
        <v>1</v>
      </c>
      <c r="BE404" s="49">
        <f t="shared" si="54"/>
        <v>0</v>
      </c>
      <c r="BF404" s="49">
        <f t="shared" si="55"/>
        <v>0</v>
      </c>
      <c r="BG404" s="49">
        <f t="shared" si="56"/>
        <v>0</v>
      </c>
      <c r="BH404" s="49">
        <f t="shared" si="57"/>
        <v>1</v>
      </c>
      <c r="BI404" s="49">
        <f t="shared" si="58"/>
        <v>0</v>
      </c>
      <c r="BJ404" s="49">
        <f t="shared" si="59"/>
        <v>0</v>
      </c>
      <c r="BK404" s="49">
        <f t="shared" si="60"/>
        <v>0</v>
      </c>
      <c r="BL404" s="49">
        <f t="shared" si="61"/>
        <v>1</v>
      </c>
      <c r="BM404" s="49">
        <f t="shared" si="62"/>
        <v>0</v>
      </c>
      <c r="BN404" s="49">
        <f t="shared" si="63"/>
        <v>0</v>
      </c>
      <c r="BO404" s="49">
        <f t="shared" si="64"/>
        <v>0</v>
      </c>
      <c r="BP404" s="49">
        <f t="shared" si="65"/>
        <v>1</v>
      </c>
      <c r="BQ404" s="49">
        <f t="shared" si="66"/>
        <v>0</v>
      </c>
      <c r="BR404" s="49">
        <f t="shared" si="67"/>
        <v>0</v>
      </c>
      <c r="BS404" s="49">
        <f t="shared" si="68"/>
        <v>0</v>
      </c>
      <c r="BT404" s="49">
        <f t="shared" si="69"/>
        <v>1</v>
      </c>
      <c r="BU404" s="49">
        <f t="shared" si="70"/>
        <v>0</v>
      </c>
      <c r="BV404" s="49">
        <f t="shared" si="71"/>
        <v>0</v>
      </c>
      <c r="BW404" s="49">
        <f t="shared" si="72"/>
        <v>0</v>
      </c>
    </row>
    <row r="405" spans="1:75" ht="35.1" customHeight="1" x14ac:dyDescent="0.3">
      <c r="A405" s="123" t="str">
        <f t="shared" si="409"/>
        <v>4팀</v>
      </c>
      <c r="B405" s="69">
        <f t="shared" si="410"/>
        <v>399</v>
      </c>
      <c r="C405" s="121" t="str">
        <f>IF(VLOOKUP($B405,'1. 현장별 인원현황'!$C:$J,2,0)=0,"",VLOOKUP($B405,'1. 현장별 인원현황'!$C:$J,2,0))</f>
        <v xml:space="preserve"> [4.롯데CM] 롯데백화점 노원점 리뉴얼 공사</v>
      </c>
      <c r="D405" s="74" t="str">
        <f>IF(VLOOKUP($B405,'1. 현장별 인원현황'!$C:$J,3,0)=0,"",VLOOKUP($B405,'1. 현장별 인원현황'!$C:$J,3,0))</f>
        <v>이지형</v>
      </c>
      <c r="E405" s="74" t="str">
        <f ca="1">IF(VLOOKUP($B405,'1. 현장별 인원현황'!$C:$J,4,0)=0,"",VLOOKUP($B405,'1. 현장별 인원현황'!$C:$J,4,0))</f>
        <v>32세</v>
      </c>
      <c r="F405" s="70" t="str">
        <f>IF(VLOOKUP($B405,'1. 현장별 인원현황'!$C:$J,7,0)=0,"",VLOOKUP($B405,'1. 현장별 인원현황'!$C:$J,7,0))</f>
        <v>기능공</v>
      </c>
      <c r="G405" s="72" t="str">
        <f>IF(VLOOKUP($B405,'1. 현장별 인원현황'!$C:$J,8,0)=0,"",VLOOKUP($B405,'1. 현장별 인원현황'!$C:$J,8,0))</f>
        <v>전공</v>
      </c>
      <c r="H405" s="67" t="s">
        <v>69</v>
      </c>
      <c r="I405" s="73"/>
      <c r="J405" s="73"/>
      <c r="K405" s="68"/>
      <c r="L405" s="67" t="s">
        <v>69</v>
      </c>
      <c r="M405" s="73"/>
      <c r="N405" s="73"/>
      <c r="O405" s="68"/>
      <c r="P405" s="67" t="s">
        <v>69</v>
      </c>
      <c r="Q405" s="73"/>
      <c r="R405" s="73"/>
      <c r="S405" s="68"/>
      <c r="T405" s="67"/>
      <c r="U405" s="73" t="s">
        <v>69</v>
      </c>
      <c r="V405" s="73"/>
      <c r="W405" s="68"/>
      <c r="X405" s="67" t="s">
        <v>69</v>
      </c>
      <c r="Y405" s="73"/>
      <c r="Z405" s="73"/>
      <c r="AA405" s="68"/>
      <c r="AB405" s="67" t="s">
        <v>69</v>
      </c>
      <c r="AC405" s="73"/>
      <c r="AD405" s="73"/>
      <c r="AE405" s="68"/>
      <c r="AF405" s="67"/>
      <c r="AG405" s="73" t="s">
        <v>69</v>
      </c>
      <c r="AH405" s="73"/>
      <c r="AI405" s="68"/>
      <c r="AJ405" s="67" t="s">
        <v>69</v>
      </c>
      <c r="AK405" s="73"/>
      <c r="AL405" s="73"/>
      <c r="AM405" s="68"/>
      <c r="AN405" s="67">
        <f t="shared" si="411"/>
        <v>93</v>
      </c>
      <c r="AO405" s="68" t="str">
        <f t="shared" si="412"/>
        <v>S</v>
      </c>
      <c r="AR405" s="49">
        <f t="shared" si="41"/>
        <v>1</v>
      </c>
      <c r="AS405" s="49">
        <f t="shared" si="42"/>
        <v>0</v>
      </c>
      <c r="AT405" s="49">
        <f t="shared" si="43"/>
        <v>0</v>
      </c>
      <c r="AU405" s="49">
        <f t="shared" si="44"/>
        <v>0</v>
      </c>
      <c r="AV405" s="49">
        <f t="shared" si="45"/>
        <v>1</v>
      </c>
      <c r="AW405" s="49">
        <f t="shared" si="46"/>
        <v>0</v>
      </c>
      <c r="AX405" s="49">
        <f t="shared" si="47"/>
        <v>0</v>
      </c>
      <c r="AY405" s="49">
        <f t="shared" si="48"/>
        <v>0</v>
      </c>
      <c r="AZ405" s="49">
        <f t="shared" si="49"/>
        <v>1</v>
      </c>
      <c r="BA405" s="49">
        <f t="shared" si="50"/>
        <v>0</v>
      </c>
      <c r="BB405" s="49">
        <f t="shared" si="51"/>
        <v>0</v>
      </c>
      <c r="BC405" s="49">
        <f t="shared" si="52"/>
        <v>0</v>
      </c>
      <c r="BD405" s="49">
        <f t="shared" si="53"/>
        <v>0</v>
      </c>
      <c r="BE405" s="49">
        <f t="shared" si="54"/>
        <v>1</v>
      </c>
      <c r="BF405" s="49">
        <f t="shared" si="55"/>
        <v>0</v>
      </c>
      <c r="BG405" s="49">
        <f t="shared" si="56"/>
        <v>0</v>
      </c>
      <c r="BH405" s="49">
        <f t="shared" si="57"/>
        <v>1</v>
      </c>
      <c r="BI405" s="49">
        <f t="shared" si="58"/>
        <v>0</v>
      </c>
      <c r="BJ405" s="49">
        <f t="shared" si="59"/>
        <v>0</v>
      </c>
      <c r="BK405" s="49">
        <f t="shared" si="60"/>
        <v>0</v>
      </c>
      <c r="BL405" s="49">
        <f t="shared" si="61"/>
        <v>1</v>
      </c>
      <c r="BM405" s="49">
        <f t="shared" si="62"/>
        <v>0</v>
      </c>
      <c r="BN405" s="49">
        <f t="shared" si="63"/>
        <v>0</v>
      </c>
      <c r="BO405" s="49">
        <f t="shared" si="64"/>
        <v>0</v>
      </c>
      <c r="BP405" s="49">
        <f t="shared" si="65"/>
        <v>0</v>
      </c>
      <c r="BQ405" s="49">
        <f t="shared" si="66"/>
        <v>1</v>
      </c>
      <c r="BR405" s="49">
        <f t="shared" si="67"/>
        <v>0</v>
      </c>
      <c r="BS405" s="49">
        <f t="shared" si="68"/>
        <v>0</v>
      </c>
      <c r="BT405" s="49">
        <f t="shared" si="69"/>
        <v>1</v>
      </c>
      <c r="BU405" s="49">
        <f t="shared" si="70"/>
        <v>0</v>
      </c>
      <c r="BV405" s="49">
        <f t="shared" si="71"/>
        <v>0</v>
      </c>
      <c r="BW405" s="49">
        <f t="shared" si="72"/>
        <v>0</v>
      </c>
    </row>
    <row r="406" spans="1:75" ht="35.1" customHeight="1" x14ac:dyDescent="0.3">
      <c r="A406" s="123" t="str">
        <f t="shared" si="409"/>
        <v>4팀</v>
      </c>
      <c r="B406" s="69">
        <f t="shared" si="410"/>
        <v>400</v>
      </c>
      <c r="C406" s="121" t="str">
        <f>IF(VLOOKUP($B406,'1. 현장별 인원현황'!$C:$J,2,0)=0,"",VLOOKUP($B406,'1. 현장별 인원현황'!$C:$J,2,0))</f>
        <v xml:space="preserve"> [4.롯데CM] 롯데백화점 노원점 리뉴얼 공사</v>
      </c>
      <c r="D406" s="74" t="str">
        <f>IF(VLOOKUP($B406,'1. 현장별 인원현황'!$C:$J,3,0)=0,"",VLOOKUP($B406,'1. 현장별 인원현황'!$C:$J,3,0))</f>
        <v>이현석</v>
      </c>
      <c r="E406" s="74" t="str">
        <f ca="1">IF(VLOOKUP($B406,'1. 현장별 인원현황'!$C:$J,4,0)=0,"",VLOOKUP($B406,'1. 현장별 인원현황'!$C:$J,4,0))</f>
        <v>50세</v>
      </c>
      <c r="F406" s="70" t="str">
        <f>IF(VLOOKUP($B406,'1. 현장별 인원현황'!$C:$J,7,0)=0,"",VLOOKUP($B406,'1. 현장별 인원현황'!$C:$J,7,0))</f>
        <v>기능공</v>
      </c>
      <c r="G406" s="72" t="str">
        <f>IF(VLOOKUP($B406,'1. 현장별 인원현황'!$C:$J,8,0)=0,"",VLOOKUP($B406,'1. 현장별 인원현황'!$C:$J,8,0))</f>
        <v>전공</v>
      </c>
      <c r="H406" s="67" t="s">
        <v>69</v>
      </c>
      <c r="I406" s="73"/>
      <c r="J406" s="73"/>
      <c r="K406" s="68"/>
      <c r="L406" s="67"/>
      <c r="M406" s="73" t="s">
        <v>69</v>
      </c>
      <c r="N406" s="73"/>
      <c r="O406" s="68"/>
      <c r="P406" s="67" t="s">
        <v>69</v>
      </c>
      <c r="Q406" s="73"/>
      <c r="R406" s="73"/>
      <c r="S406" s="68"/>
      <c r="T406" s="67" t="s">
        <v>69</v>
      </c>
      <c r="U406" s="73"/>
      <c r="V406" s="73"/>
      <c r="W406" s="68"/>
      <c r="X406" s="67" t="s">
        <v>69</v>
      </c>
      <c r="Y406" s="73"/>
      <c r="Z406" s="73"/>
      <c r="AA406" s="68"/>
      <c r="AB406" s="67" t="s">
        <v>69</v>
      </c>
      <c r="AC406" s="73"/>
      <c r="AD406" s="73"/>
      <c r="AE406" s="68"/>
      <c r="AF406" s="67"/>
      <c r="AG406" s="73" t="s">
        <v>69</v>
      </c>
      <c r="AH406" s="73"/>
      <c r="AI406" s="68"/>
      <c r="AJ406" s="67" t="s">
        <v>69</v>
      </c>
      <c r="AK406" s="73"/>
      <c r="AL406" s="73"/>
      <c r="AM406" s="68"/>
      <c r="AN406" s="67">
        <f t="shared" si="411"/>
        <v>93</v>
      </c>
      <c r="AO406" s="68" t="str">
        <f t="shared" si="412"/>
        <v>S</v>
      </c>
      <c r="AR406" s="49">
        <f t="shared" si="41"/>
        <v>1</v>
      </c>
      <c r="AS406" s="49">
        <f t="shared" si="42"/>
        <v>0</v>
      </c>
      <c r="AT406" s="49">
        <f t="shared" si="43"/>
        <v>0</v>
      </c>
      <c r="AU406" s="49">
        <f t="shared" si="44"/>
        <v>0</v>
      </c>
      <c r="AV406" s="49">
        <f t="shared" si="45"/>
        <v>0</v>
      </c>
      <c r="AW406" s="49">
        <f t="shared" si="46"/>
        <v>1</v>
      </c>
      <c r="AX406" s="49">
        <f t="shared" si="47"/>
        <v>0</v>
      </c>
      <c r="AY406" s="49">
        <f t="shared" si="48"/>
        <v>0</v>
      </c>
      <c r="AZ406" s="49">
        <f t="shared" si="49"/>
        <v>1</v>
      </c>
      <c r="BA406" s="49">
        <f t="shared" si="50"/>
        <v>0</v>
      </c>
      <c r="BB406" s="49">
        <f t="shared" si="51"/>
        <v>0</v>
      </c>
      <c r="BC406" s="49">
        <f t="shared" si="52"/>
        <v>0</v>
      </c>
      <c r="BD406" s="49">
        <f t="shared" si="53"/>
        <v>1</v>
      </c>
      <c r="BE406" s="49">
        <f t="shared" si="54"/>
        <v>0</v>
      </c>
      <c r="BF406" s="49">
        <f t="shared" si="55"/>
        <v>0</v>
      </c>
      <c r="BG406" s="49">
        <f t="shared" si="56"/>
        <v>0</v>
      </c>
      <c r="BH406" s="49">
        <f t="shared" si="57"/>
        <v>1</v>
      </c>
      <c r="BI406" s="49">
        <f t="shared" si="58"/>
        <v>0</v>
      </c>
      <c r="BJ406" s="49">
        <f t="shared" si="59"/>
        <v>0</v>
      </c>
      <c r="BK406" s="49">
        <f t="shared" si="60"/>
        <v>0</v>
      </c>
      <c r="BL406" s="49">
        <f t="shared" si="61"/>
        <v>1</v>
      </c>
      <c r="BM406" s="49">
        <f t="shared" si="62"/>
        <v>0</v>
      </c>
      <c r="BN406" s="49">
        <f t="shared" si="63"/>
        <v>0</v>
      </c>
      <c r="BO406" s="49">
        <f t="shared" si="64"/>
        <v>0</v>
      </c>
      <c r="BP406" s="49">
        <f t="shared" si="65"/>
        <v>0</v>
      </c>
      <c r="BQ406" s="49">
        <f t="shared" si="66"/>
        <v>1</v>
      </c>
      <c r="BR406" s="49">
        <f t="shared" si="67"/>
        <v>0</v>
      </c>
      <c r="BS406" s="49">
        <f t="shared" si="68"/>
        <v>0</v>
      </c>
      <c r="BT406" s="49">
        <f t="shared" si="69"/>
        <v>1</v>
      </c>
      <c r="BU406" s="49">
        <f t="shared" si="70"/>
        <v>0</v>
      </c>
      <c r="BV406" s="49">
        <f t="shared" si="71"/>
        <v>0</v>
      </c>
      <c r="BW406" s="49">
        <f t="shared" si="72"/>
        <v>0</v>
      </c>
    </row>
    <row r="407" spans="1:75" ht="35.1" customHeight="1" x14ac:dyDescent="0.3">
      <c r="A407" s="123" t="str">
        <f t="shared" si="409"/>
        <v>4팀</v>
      </c>
      <c r="B407" s="69">
        <f t="shared" si="410"/>
        <v>401</v>
      </c>
      <c r="C407" s="121" t="str">
        <f>IF(VLOOKUP($B407,'1. 현장별 인원현황'!$C:$J,2,0)=0,"",VLOOKUP($B407,'1. 현장별 인원현황'!$C:$J,2,0))</f>
        <v xml:space="preserve"> [4.롯데CM] 롯데백화점 노원점 리뉴얼 공사</v>
      </c>
      <c r="D407" s="74" t="str">
        <f>IF(VLOOKUP($B407,'1. 현장별 인원현황'!$C:$J,3,0)=0,"",VLOOKUP($B407,'1. 현장별 인원현황'!$C:$J,3,0))</f>
        <v>전용철</v>
      </c>
      <c r="E407" s="74" t="str">
        <f ca="1">IF(VLOOKUP($B407,'1. 현장별 인원현황'!$C:$J,4,0)=0,"",VLOOKUP($B407,'1. 현장별 인원현황'!$C:$J,4,0))</f>
        <v>47세</v>
      </c>
      <c r="F407" s="70" t="str">
        <f>IF(VLOOKUP($B407,'1. 현장별 인원현황'!$C:$J,7,0)=0,"",VLOOKUP($B407,'1. 현장별 인원현황'!$C:$J,7,0))</f>
        <v>기능공</v>
      </c>
      <c r="G407" s="72" t="str">
        <f>IF(VLOOKUP($B407,'1. 현장별 인원현황'!$C:$J,8,0)=0,"",VLOOKUP($B407,'1. 현장별 인원현황'!$C:$J,8,0))</f>
        <v>전공</v>
      </c>
      <c r="H407" s="67" t="s">
        <v>69</v>
      </c>
      <c r="I407" s="73"/>
      <c r="J407" s="73"/>
      <c r="K407" s="68"/>
      <c r="L407" s="67"/>
      <c r="M407" s="73" t="s">
        <v>69</v>
      </c>
      <c r="N407" s="73"/>
      <c r="O407" s="68"/>
      <c r="P407" s="67" t="s">
        <v>69</v>
      </c>
      <c r="Q407" s="73"/>
      <c r="R407" s="73"/>
      <c r="S407" s="68"/>
      <c r="T407" s="67"/>
      <c r="U407" s="73" t="s">
        <v>69</v>
      </c>
      <c r="V407" s="73"/>
      <c r="W407" s="68"/>
      <c r="X407" s="67" t="s">
        <v>69</v>
      </c>
      <c r="Y407" s="73"/>
      <c r="Z407" s="73"/>
      <c r="AA407" s="68"/>
      <c r="AB407" s="67" t="s">
        <v>69</v>
      </c>
      <c r="AC407" s="73"/>
      <c r="AD407" s="73"/>
      <c r="AE407" s="68"/>
      <c r="AF407" s="67" t="s">
        <v>69</v>
      </c>
      <c r="AG407" s="73"/>
      <c r="AH407" s="73"/>
      <c r="AI407" s="68"/>
      <c r="AJ407" s="67" t="s">
        <v>69</v>
      </c>
      <c r="AK407" s="73"/>
      <c r="AL407" s="73"/>
      <c r="AM407" s="68"/>
      <c r="AN407" s="67">
        <f t="shared" si="411"/>
        <v>92</v>
      </c>
      <c r="AO407" s="68" t="str">
        <f t="shared" si="412"/>
        <v>S</v>
      </c>
      <c r="AR407" s="49">
        <f t="shared" si="41"/>
        <v>1</v>
      </c>
      <c r="AS407" s="49">
        <f t="shared" si="42"/>
        <v>0</v>
      </c>
      <c r="AT407" s="49">
        <f t="shared" si="43"/>
        <v>0</v>
      </c>
      <c r="AU407" s="49">
        <f t="shared" si="44"/>
        <v>0</v>
      </c>
      <c r="AV407" s="49">
        <f t="shared" si="45"/>
        <v>0</v>
      </c>
      <c r="AW407" s="49">
        <f t="shared" si="46"/>
        <v>1</v>
      </c>
      <c r="AX407" s="49">
        <f t="shared" si="47"/>
        <v>0</v>
      </c>
      <c r="AY407" s="49">
        <f t="shared" si="48"/>
        <v>0</v>
      </c>
      <c r="AZ407" s="49">
        <f t="shared" si="49"/>
        <v>1</v>
      </c>
      <c r="BA407" s="49">
        <f t="shared" si="50"/>
        <v>0</v>
      </c>
      <c r="BB407" s="49">
        <f t="shared" si="51"/>
        <v>0</v>
      </c>
      <c r="BC407" s="49">
        <f t="shared" si="52"/>
        <v>0</v>
      </c>
      <c r="BD407" s="49">
        <f t="shared" si="53"/>
        <v>0</v>
      </c>
      <c r="BE407" s="49">
        <f t="shared" si="54"/>
        <v>1</v>
      </c>
      <c r="BF407" s="49">
        <f t="shared" si="55"/>
        <v>0</v>
      </c>
      <c r="BG407" s="49">
        <f t="shared" si="56"/>
        <v>0</v>
      </c>
      <c r="BH407" s="49">
        <f t="shared" si="57"/>
        <v>1</v>
      </c>
      <c r="BI407" s="49">
        <f t="shared" si="58"/>
        <v>0</v>
      </c>
      <c r="BJ407" s="49">
        <f t="shared" si="59"/>
        <v>0</v>
      </c>
      <c r="BK407" s="49">
        <f t="shared" si="60"/>
        <v>0</v>
      </c>
      <c r="BL407" s="49">
        <f t="shared" si="61"/>
        <v>1</v>
      </c>
      <c r="BM407" s="49">
        <f t="shared" si="62"/>
        <v>0</v>
      </c>
      <c r="BN407" s="49">
        <f t="shared" si="63"/>
        <v>0</v>
      </c>
      <c r="BO407" s="49">
        <f t="shared" si="64"/>
        <v>0</v>
      </c>
      <c r="BP407" s="49">
        <f t="shared" si="65"/>
        <v>1</v>
      </c>
      <c r="BQ407" s="49">
        <f t="shared" si="66"/>
        <v>0</v>
      </c>
      <c r="BR407" s="49">
        <f t="shared" si="67"/>
        <v>0</v>
      </c>
      <c r="BS407" s="49">
        <f t="shared" si="68"/>
        <v>0</v>
      </c>
      <c r="BT407" s="49">
        <f t="shared" si="69"/>
        <v>1</v>
      </c>
      <c r="BU407" s="49">
        <f t="shared" si="70"/>
        <v>0</v>
      </c>
      <c r="BV407" s="49">
        <f t="shared" si="71"/>
        <v>0</v>
      </c>
      <c r="BW407" s="49">
        <f t="shared" si="72"/>
        <v>0</v>
      </c>
    </row>
    <row r="408" spans="1:75" ht="35.1" customHeight="1" x14ac:dyDescent="0.3">
      <c r="A408" s="123" t="str">
        <f t="shared" si="409"/>
        <v>4팀</v>
      </c>
      <c r="B408" s="69">
        <f t="shared" si="410"/>
        <v>402</v>
      </c>
      <c r="C408" s="121" t="str">
        <f>IF(VLOOKUP($B408,'1. 현장별 인원현황'!$C:$J,2,0)=0,"",VLOOKUP($B408,'1. 현장별 인원현황'!$C:$J,2,0))</f>
        <v xml:space="preserve"> [4.롯데CM] 롯데백화점 노원점 리뉴얼 공사</v>
      </c>
      <c r="D408" s="74" t="str">
        <f>IF(VLOOKUP($B408,'1. 현장별 인원현황'!$C:$J,3,0)=0,"",VLOOKUP($B408,'1. 현장별 인원현황'!$C:$J,3,0))</f>
        <v>정태규</v>
      </c>
      <c r="E408" s="74" t="str">
        <f ca="1">IF(VLOOKUP($B408,'1. 현장별 인원현황'!$C:$J,4,0)=0,"",VLOOKUP($B408,'1. 현장별 인원현황'!$C:$J,4,0))</f>
        <v>51세</v>
      </c>
      <c r="F408" s="70" t="str">
        <f>IF(VLOOKUP($B408,'1. 현장별 인원현황'!$C:$J,7,0)=0,"",VLOOKUP($B408,'1. 현장별 인원현황'!$C:$J,7,0))</f>
        <v>기능공</v>
      </c>
      <c r="G408" s="72" t="str">
        <f>IF(VLOOKUP($B408,'1. 현장별 인원현황'!$C:$J,8,0)=0,"",VLOOKUP($B408,'1. 현장별 인원현황'!$C:$J,8,0))</f>
        <v>전공</v>
      </c>
      <c r="H408" s="67" t="s">
        <v>69</v>
      </c>
      <c r="I408" s="73"/>
      <c r="J408" s="73"/>
      <c r="K408" s="68"/>
      <c r="L408" s="67"/>
      <c r="M408" s="73" t="s">
        <v>69</v>
      </c>
      <c r="N408" s="73"/>
      <c r="O408" s="68"/>
      <c r="P408" s="67" t="s">
        <v>69</v>
      </c>
      <c r="Q408" s="73"/>
      <c r="R408" s="73"/>
      <c r="S408" s="68"/>
      <c r="T408" s="67" t="s">
        <v>69</v>
      </c>
      <c r="U408" s="73"/>
      <c r="V408" s="73"/>
      <c r="W408" s="68"/>
      <c r="X408" s="67" t="s">
        <v>69</v>
      </c>
      <c r="Y408" s="73"/>
      <c r="Z408" s="73"/>
      <c r="AA408" s="68"/>
      <c r="AB408" s="67" t="s">
        <v>69</v>
      </c>
      <c r="AC408" s="73"/>
      <c r="AD408" s="73"/>
      <c r="AE408" s="68"/>
      <c r="AF408" s="67" t="s">
        <v>69</v>
      </c>
      <c r="AG408" s="73"/>
      <c r="AH408" s="73"/>
      <c r="AI408" s="68"/>
      <c r="AJ408" s="67" t="s">
        <v>69</v>
      </c>
      <c r="AK408" s="73"/>
      <c r="AL408" s="73"/>
      <c r="AM408" s="68"/>
      <c r="AN408" s="67">
        <f t="shared" si="411"/>
        <v>96</v>
      </c>
      <c r="AO408" s="68" t="str">
        <f t="shared" si="412"/>
        <v>S</v>
      </c>
      <c r="AR408" s="49">
        <f t="shared" si="41"/>
        <v>1</v>
      </c>
      <c r="AS408" s="49">
        <f t="shared" si="42"/>
        <v>0</v>
      </c>
      <c r="AT408" s="49">
        <f t="shared" si="43"/>
        <v>0</v>
      </c>
      <c r="AU408" s="49">
        <f t="shared" si="44"/>
        <v>0</v>
      </c>
      <c r="AV408" s="49">
        <f t="shared" si="45"/>
        <v>0</v>
      </c>
      <c r="AW408" s="49">
        <f t="shared" si="46"/>
        <v>1</v>
      </c>
      <c r="AX408" s="49">
        <f t="shared" si="47"/>
        <v>0</v>
      </c>
      <c r="AY408" s="49">
        <f t="shared" si="48"/>
        <v>0</v>
      </c>
      <c r="AZ408" s="49">
        <f t="shared" si="49"/>
        <v>1</v>
      </c>
      <c r="BA408" s="49">
        <f t="shared" si="50"/>
        <v>0</v>
      </c>
      <c r="BB408" s="49">
        <f t="shared" si="51"/>
        <v>0</v>
      </c>
      <c r="BC408" s="49">
        <f t="shared" si="52"/>
        <v>0</v>
      </c>
      <c r="BD408" s="49">
        <f t="shared" si="53"/>
        <v>1</v>
      </c>
      <c r="BE408" s="49">
        <f t="shared" si="54"/>
        <v>0</v>
      </c>
      <c r="BF408" s="49">
        <f t="shared" si="55"/>
        <v>0</v>
      </c>
      <c r="BG408" s="49">
        <f t="shared" si="56"/>
        <v>0</v>
      </c>
      <c r="BH408" s="49">
        <f t="shared" si="57"/>
        <v>1</v>
      </c>
      <c r="BI408" s="49">
        <f t="shared" si="58"/>
        <v>0</v>
      </c>
      <c r="BJ408" s="49">
        <f t="shared" si="59"/>
        <v>0</v>
      </c>
      <c r="BK408" s="49">
        <f t="shared" si="60"/>
        <v>0</v>
      </c>
      <c r="BL408" s="49">
        <f t="shared" si="61"/>
        <v>1</v>
      </c>
      <c r="BM408" s="49">
        <f t="shared" si="62"/>
        <v>0</v>
      </c>
      <c r="BN408" s="49">
        <f t="shared" si="63"/>
        <v>0</v>
      </c>
      <c r="BO408" s="49">
        <f t="shared" si="64"/>
        <v>0</v>
      </c>
      <c r="BP408" s="49">
        <f t="shared" si="65"/>
        <v>1</v>
      </c>
      <c r="BQ408" s="49">
        <f t="shared" si="66"/>
        <v>0</v>
      </c>
      <c r="BR408" s="49">
        <f t="shared" si="67"/>
        <v>0</v>
      </c>
      <c r="BS408" s="49">
        <f t="shared" si="68"/>
        <v>0</v>
      </c>
      <c r="BT408" s="49">
        <f t="shared" si="69"/>
        <v>1</v>
      </c>
      <c r="BU408" s="49">
        <f t="shared" si="70"/>
        <v>0</v>
      </c>
      <c r="BV408" s="49">
        <f t="shared" si="71"/>
        <v>0</v>
      </c>
      <c r="BW408" s="49">
        <f t="shared" si="72"/>
        <v>0</v>
      </c>
    </row>
    <row r="409" spans="1:75" ht="35.1" customHeight="1" x14ac:dyDescent="0.3">
      <c r="A409" s="123" t="str">
        <f t="shared" si="409"/>
        <v>4팀</v>
      </c>
      <c r="B409" s="69">
        <f t="shared" si="410"/>
        <v>403</v>
      </c>
      <c r="C409" s="121" t="str">
        <f>IF(VLOOKUP($B409,'1. 현장별 인원현황'!$C:$J,2,0)=0,"",VLOOKUP($B409,'1. 현장별 인원현황'!$C:$J,2,0))</f>
        <v xml:space="preserve"> [4.롯데CM] 롯데백화점 노원점 리뉴얼 공사</v>
      </c>
      <c r="D409" s="74" t="str">
        <f>IF(VLOOKUP($B409,'1. 현장별 인원현황'!$C:$J,3,0)=0,"",VLOOKUP($B409,'1. 현장별 인원현황'!$C:$J,3,0))</f>
        <v>최원환</v>
      </c>
      <c r="E409" s="74" t="str">
        <f ca="1">IF(VLOOKUP($B409,'1. 현장별 인원현황'!$C:$J,4,0)=0,"",VLOOKUP($B409,'1. 현장별 인원현황'!$C:$J,4,0))</f>
        <v>49세</v>
      </c>
      <c r="F409" s="70" t="str">
        <f>IF(VLOOKUP($B409,'1. 현장별 인원현황'!$C:$J,7,0)=0,"",VLOOKUP($B409,'1. 현장별 인원현황'!$C:$J,7,0))</f>
        <v>기능공</v>
      </c>
      <c r="G409" s="72" t="str">
        <f>IF(VLOOKUP($B409,'1. 현장별 인원현황'!$C:$J,8,0)=0,"",VLOOKUP($B409,'1. 현장별 인원현황'!$C:$J,8,0))</f>
        <v>전공</v>
      </c>
      <c r="H409" s="67" t="s">
        <v>69</v>
      </c>
      <c r="I409" s="73"/>
      <c r="J409" s="73"/>
      <c r="K409" s="68"/>
      <c r="L409" s="67"/>
      <c r="M409" s="73" t="s">
        <v>69</v>
      </c>
      <c r="N409" s="73"/>
      <c r="O409" s="68"/>
      <c r="P409" s="67" t="s">
        <v>69</v>
      </c>
      <c r="Q409" s="73"/>
      <c r="R409" s="73"/>
      <c r="S409" s="68"/>
      <c r="T409" s="67" t="s">
        <v>69</v>
      </c>
      <c r="U409" s="73"/>
      <c r="V409" s="73"/>
      <c r="W409" s="68"/>
      <c r="X409" s="67" t="s">
        <v>69</v>
      </c>
      <c r="Y409" s="73"/>
      <c r="Z409" s="73"/>
      <c r="AA409" s="68"/>
      <c r="AB409" s="67" t="s">
        <v>69</v>
      </c>
      <c r="AC409" s="73"/>
      <c r="AD409" s="73"/>
      <c r="AE409" s="68"/>
      <c r="AF409" s="67" t="s">
        <v>69</v>
      </c>
      <c r="AG409" s="73"/>
      <c r="AH409" s="73"/>
      <c r="AI409" s="68"/>
      <c r="AJ409" s="67" t="s">
        <v>69</v>
      </c>
      <c r="AK409" s="73"/>
      <c r="AL409" s="73"/>
      <c r="AM409" s="68"/>
      <c r="AN409" s="67">
        <f t="shared" si="411"/>
        <v>96</v>
      </c>
      <c r="AO409" s="68" t="str">
        <f t="shared" si="412"/>
        <v>S</v>
      </c>
      <c r="AR409" s="49">
        <f t="shared" si="41"/>
        <v>1</v>
      </c>
      <c r="AS409" s="49">
        <f t="shared" si="42"/>
        <v>0</v>
      </c>
      <c r="AT409" s="49">
        <f t="shared" si="43"/>
        <v>0</v>
      </c>
      <c r="AU409" s="49">
        <f t="shared" si="44"/>
        <v>0</v>
      </c>
      <c r="AV409" s="49">
        <f t="shared" si="45"/>
        <v>0</v>
      </c>
      <c r="AW409" s="49">
        <f t="shared" si="46"/>
        <v>1</v>
      </c>
      <c r="AX409" s="49">
        <f t="shared" si="47"/>
        <v>0</v>
      </c>
      <c r="AY409" s="49">
        <f t="shared" si="48"/>
        <v>0</v>
      </c>
      <c r="AZ409" s="49">
        <f t="shared" si="49"/>
        <v>1</v>
      </c>
      <c r="BA409" s="49">
        <f t="shared" si="50"/>
        <v>0</v>
      </c>
      <c r="BB409" s="49">
        <f t="shared" si="51"/>
        <v>0</v>
      </c>
      <c r="BC409" s="49">
        <f t="shared" si="52"/>
        <v>0</v>
      </c>
      <c r="BD409" s="49">
        <f t="shared" si="53"/>
        <v>1</v>
      </c>
      <c r="BE409" s="49">
        <f t="shared" si="54"/>
        <v>0</v>
      </c>
      <c r="BF409" s="49">
        <f t="shared" si="55"/>
        <v>0</v>
      </c>
      <c r="BG409" s="49">
        <f t="shared" si="56"/>
        <v>0</v>
      </c>
      <c r="BH409" s="49">
        <f t="shared" si="57"/>
        <v>1</v>
      </c>
      <c r="BI409" s="49">
        <f t="shared" si="58"/>
        <v>0</v>
      </c>
      <c r="BJ409" s="49">
        <f t="shared" si="59"/>
        <v>0</v>
      </c>
      <c r="BK409" s="49">
        <f t="shared" si="60"/>
        <v>0</v>
      </c>
      <c r="BL409" s="49">
        <f t="shared" si="61"/>
        <v>1</v>
      </c>
      <c r="BM409" s="49">
        <f t="shared" si="62"/>
        <v>0</v>
      </c>
      <c r="BN409" s="49">
        <f t="shared" si="63"/>
        <v>0</v>
      </c>
      <c r="BO409" s="49">
        <f t="shared" si="64"/>
        <v>0</v>
      </c>
      <c r="BP409" s="49">
        <f t="shared" si="65"/>
        <v>1</v>
      </c>
      <c r="BQ409" s="49">
        <f t="shared" si="66"/>
        <v>0</v>
      </c>
      <c r="BR409" s="49">
        <f t="shared" si="67"/>
        <v>0</v>
      </c>
      <c r="BS409" s="49">
        <f t="shared" si="68"/>
        <v>0</v>
      </c>
      <c r="BT409" s="49">
        <f t="shared" si="69"/>
        <v>1</v>
      </c>
      <c r="BU409" s="49">
        <f t="shared" si="70"/>
        <v>0</v>
      </c>
      <c r="BV409" s="49">
        <f t="shared" si="71"/>
        <v>0</v>
      </c>
      <c r="BW409" s="49">
        <f t="shared" si="72"/>
        <v>0</v>
      </c>
    </row>
    <row r="410" spans="1:75" ht="35.1" customHeight="1" x14ac:dyDescent="0.3">
      <c r="A410" s="123" t="str">
        <f t="shared" si="409"/>
        <v>4팀</v>
      </c>
      <c r="B410" s="69">
        <f t="shared" si="410"/>
        <v>404</v>
      </c>
      <c r="C410" s="121" t="str">
        <f>IF(VLOOKUP($B410,'1. 현장별 인원현황'!$C:$J,2,0)=0,"",VLOOKUP($B410,'1. 현장별 인원현황'!$C:$J,2,0))</f>
        <v xml:space="preserve"> [4.롯데건설] 검단신도시 101 역세권 공모사업(C9-1BL, C9-2BL)</v>
      </c>
      <c r="D410" s="74" t="str">
        <f>IF(VLOOKUP($B410,'1. 현장별 인원현황'!$C:$J,3,0)=0,"",VLOOKUP($B410,'1. 현장별 인원현황'!$C:$J,3,0))</f>
        <v>송성훈</v>
      </c>
      <c r="E410" s="74" t="str">
        <f ca="1">IF(VLOOKUP($B410,'1. 현장별 인원현황'!$C:$J,4,0)=0,"",VLOOKUP($B410,'1. 현장별 인원현황'!$C:$J,4,0))</f>
        <v>35세</v>
      </c>
      <c r="F410" s="70" t="str">
        <f>IF(VLOOKUP($B410,'1. 현장별 인원현황'!$C:$J,7,0)=0,"",VLOOKUP($B410,'1. 현장별 인원현황'!$C:$J,7,0))</f>
        <v>공무</v>
      </c>
      <c r="G410" s="72" t="str">
        <f>IF(VLOOKUP($B410,'1. 현장별 인원현황'!$C:$J,8,0)=0,"",VLOOKUP($B410,'1. 현장별 인원현황'!$C:$J,8,0))</f>
        <v>과장</v>
      </c>
      <c r="H410" s="67" t="s">
        <v>69</v>
      </c>
      <c r="I410" s="73"/>
      <c r="J410" s="73"/>
      <c r="K410" s="68"/>
      <c r="L410" s="67" t="s">
        <v>69</v>
      </c>
      <c r="M410" s="73"/>
      <c r="N410" s="73"/>
      <c r="O410" s="68"/>
      <c r="P410" s="67" t="s">
        <v>69</v>
      </c>
      <c r="Q410" s="73"/>
      <c r="R410" s="73"/>
      <c r="S410" s="68"/>
      <c r="T410" s="67" t="s">
        <v>69</v>
      </c>
      <c r="U410" s="73"/>
      <c r="V410" s="73"/>
      <c r="W410" s="68"/>
      <c r="X410" s="67" t="s">
        <v>69</v>
      </c>
      <c r="Y410" s="73"/>
      <c r="Z410" s="73"/>
      <c r="AA410" s="68"/>
      <c r="AB410" s="67" t="s">
        <v>69</v>
      </c>
      <c r="AC410" s="73"/>
      <c r="AD410" s="73"/>
      <c r="AE410" s="68"/>
      <c r="AF410" s="67" t="s">
        <v>69</v>
      </c>
      <c r="AG410" s="73"/>
      <c r="AH410" s="73"/>
      <c r="AI410" s="68"/>
      <c r="AJ410" s="67" t="s">
        <v>69</v>
      </c>
      <c r="AK410" s="73"/>
      <c r="AL410" s="73"/>
      <c r="AM410" s="68"/>
      <c r="AN410" s="67">
        <f t="shared" si="411"/>
        <v>100</v>
      </c>
      <c r="AO410" s="68" t="str">
        <f t="shared" si="412"/>
        <v>S</v>
      </c>
      <c r="AR410" s="49">
        <f t="shared" si="41"/>
        <v>1</v>
      </c>
      <c r="AS410" s="49">
        <f t="shared" si="42"/>
        <v>0</v>
      </c>
      <c r="AT410" s="49">
        <f t="shared" si="43"/>
        <v>0</v>
      </c>
      <c r="AU410" s="49">
        <f t="shared" si="44"/>
        <v>0</v>
      </c>
      <c r="AV410" s="49">
        <f t="shared" si="45"/>
        <v>1</v>
      </c>
      <c r="AW410" s="49">
        <f t="shared" si="46"/>
        <v>0</v>
      </c>
      <c r="AX410" s="49">
        <f t="shared" si="47"/>
        <v>0</v>
      </c>
      <c r="AY410" s="49">
        <f t="shared" si="48"/>
        <v>0</v>
      </c>
      <c r="AZ410" s="49">
        <f t="shared" si="49"/>
        <v>1</v>
      </c>
      <c r="BA410" s="49">
        <f t="shared" si="50"/>
        <v>0</v>
      </c>
      <c r="BB410" s="49">
        <f t="shared" si="51"/>
        <v>0</v>
      </c>
      <c r="BC410" s="49">
        <f t="shared" si="52"/>
        <v>0</v>
      </c>
      <c r="BD410" s="49">
        <f t="shared" si="53"/>
        <v>1</v>
      </c>
      <c r="BE410" s="49">
        <f t="shared" si="54"/>
        <v>0</v>
      </c>
      <c r="BF410" s="49">
        <f t="shared" si="55"/>
        <v>0</v>
      </c>
      <c r="BG410" s="49">
        <f t="shared" si="56"/>
        <v>0</v>
      </c>
      <c r="BH410" s="49">
        <f t="shared" si="57"/>
        <v>1</v>
      </c>
      <c r="BI410" s="49">
        <f t="shared" si="58"/>
        <v>0</v>
      </c>
      <c r="BJ410" s="49">
        <f t="shared" si="59"/>
        <v>0</v>
      </c>
      <c r="BK410" s="49">
        <f t="shared" si="60"/>
        <v>0</v>
      </c>
      <c r="BL410" s="49">
        <f t="shared" si="61"/>
        <v>1</v>
      </c>
      <c r="BM410" s="49">
        <f t="shared" si="62"/>
        <v>0</v>
      </c>
      <c r="BN410" s="49">
        <f t="shared" si="63"/>
        <v>0</v>
      </c>
      <c r="BO410" s="49">
        <f t="shared" si="64"/>
        <v>0</v>
      </c>
      <c r="BP410" s="49">
        <f t="shared" si="65"/>
        <v>1</v>
      </c>
      <c r="BQ410" s="49">
        <f t="shared" si="66"/>
        <v>0</v>
      </c>
      <c r="BR410" s="49">
        <f t="shared" si="67"/>
        <v>0</v>
      </c>
      <c r="BS410" s="49">
        <f t="shared" si="68"/>
        <v>0</v>
      </c>
      <c r="BT410" s="49">
        <f t="shared" si="69"/>
        <v>1</v>
      </c>
      <c r="BU410" s="49">
        <f t="shared" si="70"/>
        <v>0</v>
      </c>
      <c r="BV410" s="49">
        <f t="shared" si="71"/>
        <v>0</v>
      </c>
      <c r="BW410" s="49">
        <f t="shared" si="72"/>
        <v>0</v>
      </c>
    </row>
    <row r="411" spans="1:75" ht="35.1" customHeight="1" x14ac:dyDescent="0.3">
      <c r="A411" s="123" t="str">
        <f t="shared" si="409"/>
        <v>4팀</v>
      </c>
      <c r="B411" s="69">
        <f t="shared" si="410"/>
        <v>405</v>
      </c>
      <c r="C411" s="121" t="str">
        <f>IF(VLOOKUP($B411,'1. 현장별 인원현황'!$C:$J,2,0)=0,"",VLOOKUP($B411,'1. 현장별 인원현황'!$C:$J,2,0))</f>
        <v xml:space="preserve"> [4.롯데건설] 검단신도시 101 역세권 공모사업(C9-1BL, C9-2BL)</v>
      </c>
      <c r="D411" s="74" t="str">
        <f>IF(VLOOKUP($B411,'1. 현장별 인원현황'!$C:$J,3,0)=0,"",VLOOKUP($B411,'1. 현장별 인원현황'!$C:$J,3,0))</f>
        <v>송철완</v>
      </c>
      <c r="E411" s="74" t="str">
        <f ca="1">IF(VLOOKUP($B411,'1. 현장별 인원현황'!$C:$J,4,0)=0,"",VLOOKUP($B411,'1. 현장별 인원현황'!$C:$J,4,0))</f>
        <v>29세</v>
      </c>
      <c r="F411" s="70" t="str">
        <f>IF(VLOOKUP($B411,'1. 현장별 인원현황'!$C:$J,7,0)=0,"",VLOOKUP($B411,'1. 현장별 인원현황'!$C:$J,7,0))</f>
        <v>안전관리자</v>
      </c>
      <c r="G411" s="72" t="str">
        <f>IF(VLOOKUP($B411,'1. 현장별 인원현황'!$C:$J,8,0)=0,"",VLOOKUP($B411,'1. 현장별 인원현황'!$C:$J,8,0))</f>
        <v>기사</v>
      </c>
      <c r="H411" s="67" t="s">
        <v>69</v>
      </c>
      <c r="I411" s="73"/>
      <c r="J411" s="73"/>
      <c r="K411" s="68"/>
      <c r="L411" s="67" t="s">
        <v>69</v>
      </c>
      <c r="M411" s="73"/>
      <c r="N411" s="73"/>
      <c r="O411" s="68"/>
      <c r="P411" s="67" t="s">
        <v>69</v>
      </c>
      <c r="Q411" s="73"/>
      <c r="R411" s="73"/>
      <c r="S411" s="68"/>
      <c r="T411" s="67" t="s">
        <v>69</v>
      </c>
      <c r="U411" s="73"/>
      <c r="V411" s="73"/>
      <c r="W411" s="68"/>
      <c r="X411" s="67" t="s">
        <v>69</v>
      </c>
      <c r="Y411" s="73"/>
      <c r="Z411" s="73"/>
      <c r="AA411" s="68"/>
      <c r="AB411" s="67" t="s">
        <v>69</v>
      </c>
      <c r="AC411" s="73"/>
      <c r="AD411" s="73"/>
      <c r="AE411" s="68"/>
      <c r="AF411" s="67" t="s">
        <v>69</v>
      </c>
      <c r="AG411" s="73"/>
      <c r="AH411" s="73"/>
      <c r="AI411" s="68"/>
      <c r="AJ411" s="67" t="s">
        <v>69</v>
      </c>
      <c r="AK411" s="73"/>
      <c r="AL411" s="73"/>
      <c r="AM411" s="68"/>
      <c r="AN411" s="67">
        <f t="shared" si="411"/>
        <v>100</v>
      </c>
      <c r="AO411" s="68" t="str">
        <f t="shared" si="412"/>
        <v>S</v>
      </c>
      <c r="AR411" s="49">
        <f t="shared" si="41"/>
        <v>1</v>
      </c>
      <c r="AS411" s="49">
        <f t="shared" si="42"/>
        <v>0</v>
      </c>
      <c r="AT411" s="49">
        <f t="shared" si="43"/>
        <v>0</v>
      </c>
      <c r="AU411" s="49">
        <f t="shared" si="44"/>
        <v>0</v>
      </c>
      <c r="AV411" s="49">
        <f t="shared" si="45"/>
        <v>1</v>
      </c>
      <c r="AW411" s="49">
        <f t="shared" si="46"/>
        <v>0</v>
      </c>
      <c r="AX411" s="49">
        <f t="shared" si="47"/>
        <v>0</v>
      </c>
      <c r="AY411" s="49">
        <f t="shared" si="48"/>
        <v>0</v>
      </c>
      <c r="AZ411" s="49">
        <f t="shared" si="49"/>
        <v>1</v>
      </c>
      <c r="BA411" s="49">
        <f t="shared" si="50"/>
        <v>0</v>
      </c>
      <c r="BB411" s="49">
        <f t="shared" si="51"/>
        <v>0</v>
      </c>
      <c r="BC411" s="49">
        <f t="shared" si="52"/>
        <v>0</v>
      </c>
      <c r="BD411" s="49">
        <f t="shared" si="53"/>
        <v>1</v>
      </c>
      <c r="BE411" s="49">
        <f t="shared" si="54"/>
        <v>0</v>
      </c>
      <c r="BF411" s="49">
        <f t="shared" si="55"/>
        <v>0</v>
      </c>
      <c r="BG411" s="49">
        <f t="shared" si="56"/>
        <v>0</v>
      </c>
      <c r="BH411" s="49">
        <f t="shared" si="57"/>
        <v>1</v>
      </c>
      <c r="BI411" s="49">
        <f t="shared" si="58"/>
        <v>0</v>
      </c>
      <c r="BJ411" s="49">
        <f t="shared" si="59"/>
        <v>0</v>
      </c>
      <c r="BK411" s="49">
        <f t="shared" si="60"/>
        <v>0</v>
      </c>
      <c r="BL411" s="49">
        <f t="shared" si="61"/>
        <v>1</v>
      </c>
      <c r="BM411" s="49">
        <f t="shared" si="62"/>
        <v>0</v>
      </c>
      <c r="BN411" s="49">
        <f t="shared" si="63"/>
        <v>0</v>
      </c>
      <c r="BO411" s="49">
        <f t="shared" si="64"/>
        <v>0</v>
      </c>
      <c r="BP411" s="49">
        <f t="shared" si="65"/>
        <v>1</v>
      </c>
      <c r="BQ411" s="49">
        <f t="shared" si="66"/>
        <v>0</v>
      </c>
      <c r="BR411" s="49">
        <f t="shared" si="67"/>
        <v>0</v>
      </c>
      <c r="BS411" s="49">
        <f t="shared" si="68"/>
        <v>0</v>
      </c>
      <c r="BT411" s="49">
        <f t="shared" si="69"/>
        <v>1</v>
      </c>
      <c r="BU411" s="49">
        <f t="shared" si="70"/>
        <v>0</v>
      </c>
      <c r="BV411" s="49">
        <f t="shared" si="71"/>
        <v>0</v>
      </c>
      <c r="BW411" s="49">
        <f t="shared" si="72"/>
        <v>0</v>
      </c>
    </row>
    <row r="412" spans="1:75" ht="35.1" customHeight="1" x14ac:dyDescent="0.3">
      <c r="A412" s="123" t="str">
        <f t="shared" si="409"/>
        <v>4팀</v>
      </c>
      <c r="B412" s="69">
        <f t="shared" si="410"/>
        <v>406</v>
      </c>
      <c r="C412" s="121" t="str">
        <f>IF(VLOOKUP($B412,'1. 현장별 인원현황'!$C:$J,2,0)=0,"",VLOOKUP($B412,'1. 현장별 인원현황'!$C:$J,2,0))</f>
        <v xml:space="preserve"> [4.롯데건설] 검단신도시 101 역세권 공모사업(C9-1BL, C9-2BL)</v>
      </c>
      <c r="D412" s="74" t="str">
        <f>IF(VLOOKUP($B412,'1. 현장별 인원현황'!$C:$J,3,0)=0,"",VLOOKUP($B412,'1. 현장별 인원현황'!$C:$J,3,0))</f>
        <v>이종남</v>
      </c>
      <c r="E412" s="74" t="str">
        <f ca="1">IF(VLOOKUP($B412,'1. 현장별 인원현황'!$C:$J,4,0)=0,"",VLOOKUP($B412,'1. 현장별 인원현황'!$C:$J,4,0))</f>
        <v>56세</v>
      </c>
      <c r="F412" s="70" t="str">
        <f>IF(VLOOKUP($B412,'1. 현장별 인원현황'!$C:$J,7,0)=0,"",VLOOKUP($B412,'1. 현장별 인원현황'!$C:$J,7,0))</f>
        <v>공사</v>
      </c>
      <c r="G412" s="72" t="str">
        <f>IF(VLOOKUP($B412,'1. 현장별 인원현황'!$C:$J,8,0)=0,"",VLOOKUP($B412,'1. 현장별 인원현황'!$C:$J,8,0))</f>
        <v>차장</v>
      </c>
      <c r="H412" s="67" t="s">
        <v>69</v>
      </c>
      <c r="I412" s="73"/>
      <c r="J412" s="73"/>
      <c r="K412" s="68"/>
      <c r="L412" s="67" t="s">
        <v>69</v>
      </c>
      <c r="M412" s="73"/>
      <c r="N412" s="73"/>
      <c r="O412" s="68"/>
      <c r="P412" s="67" t="s">
        <v>69</v>
      </c>
      <c r="Q412" s="73"/>
      <c r="R412" s="73"/>
      <c r="S412" s="68"/>
      <c r="T412" s="67" t="s">
        <v>69</v>
      </c>
      <c r="U412" s="73"/>
      <c r="V412" s="73"/>
      <c r="W412" s="68"/>
      <c r="X412" s="67" t="s">
        <v>69</v>
      </c>
      <c r="Y412" s="73"/>
      <c r="Z412" s="73"/>
      <c r="AA412" s="68"/>
      <c r="AB412" s="67" t="s">
        <v>69</v>
      </c>
      <c r="AC412" s="73"/>
      <c r="AD412" s="73"/>
      <c r="AE412" s="68"/>
      <c r="AF412" s="67" t="s">
        <v>69</v>
      </c>
      <c r="AG412" s="73"/>
      <c r="AH412" s="73"/>
      <c r="AI412" s="68"/>
      <c r="AJ412" s="67" t="s">
        <v>69</v>
      </c>
      <c r="AK412" s="73"/>
      <c r="AL412" s="73"/>
      <c r="AM412" s="68"/>
      <c r="AN412" s="67">
        <f t="shared" si="411"/>
        <v>100</v>
      </c>
      <c r="AO412" s="68" t="str">
        <f t="shared" si="412"/>
        <v>S</v>
      </c>
      <c r="AR412" s="49">
        <f t="shared" si="41"/>
        <v>1</v>
      </c>
      <c r="AS412" s="49">
        <f t="shared" si="42"/>
        <v>0</v>
      </c>
      <c r="AT412" s="49">
        <f t="shared" si="43"/>
        <v>0</v>
      </c>
      <c r="AU412" s="49">
        <f t="shared" si="44"/>
        <v>0</v>
      </c>
      <c r="AV412" s="49">
        <f t="shared" si="45"/>
        <v>1</v>
      </c>
      <c r="AW412" s="49">
        <f t="shared" si="46"/>
        <v>0</v>
      </c>
      <c r="AX412" s="49">
        <f t="shared" si="47"/>
        <v>0</v>
      </c>
      <c r="AY412" s="49">
        <f t="shared" si="48"/>
        <v>0</v>
      </c>
      <c r="AZ412" s="49">
        <f t="shared" si="49"/>
        <v>1</v>
      </c>
      <c r="BA412" s="49">
        <f t="shared" si="50"/>
        <v>0</v>
      </c>
      <c r="BB412" s="49">
        <f t="shared" si="51"/>
        <v>0</v>
      </c>
      <c r="BC412" s="49">
        <f t="shared" si="52"/>
        <v>0</v>
      </c>
      <c r="BD412" s="49">
        <f t="shared" si="53"/>
        <v>1</v>
      </c>
      <c r="BE412" s="49">
        <f t="shared" si="54"/>
        <v>0</v>
      </c>
      <c r="BF412" s="49">
        <f t="shared" si="55"/>
        <v>0</v>
      </c>
      <c r="BG412" s="49">
        <f t="shared" si="56"/>
        <v>0</v>
      </c>
      <c r="BH412" s="49">
        <f t="shared" si="57"/>
        <v>1</v>
      </c>
      <c r="BI412" s="49">
        <f t="shared" si="58"/>
        <v>0</v>
      </c>
      <c r="BJ412" s="49">
        <f t="shared" si="59"/>
        <v>0</v>
      </c>
      <c r="BK412" s="49">
        <f t="shared" si="60"/>
        <v>0</v>
      </c>
      <c r="BL412" s="49">
        <f t="shared" si="61"/>
        <v>1</v>
      </c>
      <c r="BM412" s="49">
        <f t="shared" si="62"/>
        <v>0</v>
      </c>
      <c r="BN412" s="49">
        <f t="shared" si="63"/>
        <v>0</v>
      </c>
      <c r="BO412" s="49">
        <f t="shared" si="64"/>
        <v>0</v>
      </c>
      <c r="BP412" s="49">
        <f t="shared" si="65"/>
        <v>1</v>
      </c>
      <c r="BQ412" s="49">
        <f t="shared" si="66"/>
        <v>0</v>
      </c>
      <c r="BR412" s="49">
        <f t="shared" si="67"/>
        <v>0</v>
      </c>
      <c r="BS412" s="49">
        <f t="shared" si="68"/>
        <v>0</v>
      </c>
      <c r="BT412" s="49">
        <f t="shared" si="69"/>
        <v>1</v>
      </c>
      <c r="BU412" s="49">
        <f t="shared" si="70"/>
        <v>0</v>
      </c>
      <c r="BV412" s="49">
        <f t="shared" si="71"/>
        <v>0</v>
      </c>
      <c r="BW412" s="49">
        <f t="shared" si="72"/>
        <v>0</v>
      </c>
    </row>
    <row r="413" spans="1:75" ht="35.1" customHeight="1" x14ac:dyDescent="0.3">
      <c r="A413" s="123" t="str">
        <f t="shared" si="409"/>
        <v>4팀</v>
      </c>
      <c r="B413" s="69">
        <f t="shared" si="410"/>
        <v>407</v>
      </c>
      <c r="C413" s="121" t="str">
        <f>IF(VLOOKUP($B413,'1. 현장별 인원현황'!$C:$J,2,0)=0,"",VLOOKUP($B413,'1. 현장별 인원현황'!$C:$J,2,0))</f>
        <v xml:space="preserve"> [4.롯데건설] 검단신도시 101 역세권 공모사업(C9-1BL, C9-2BL)</v>
      </c>
      <c r="D413" s="74" t="str">
        <f>IF(VLOOKUP($B413,'1. 현장별 인원현황'!$C:$J,3,0)=0,"",VLOOKUP($B413,'1. 현장별 인원현황'!$C:$J,3,0))</f>
        <v>강한규</v>
      </c>
      <c r="E413" s="74" t="str">
        <f ca="1">IF(VLOOKUP($B413,'1. 현장별 인원현황'!$C:$J,4,0)=0,"",VLOOKUP($B413,'1. 현장별 인원현황'!$C:$J,4,0))</f>
        <v>57세</v>
      </c>
      <c r="F413" s="70" t="str">
        <f>IF(VLOOKUP($B413,'1. 현장별 인원현황'!$C:$J,7,0)=0,"",VLOOKUP($B413,'1. 현장별 인원현황'!$C:$J,7,0))</f>
        <v>공사</v>
      </c>
      <c r="G413" s="72" t="str">
        <f>IF(VLOOKUP($B413,'1. 현장별 인원현황'!$C:$J,8,0)=0,"",VLOOKUP($B413,'1. 현장별 인원현황'!$C:$J,8,0))</f>
        <v>차장</v>
      </c>
      <c r="H413" s="67" t="s">
        <v>69</v>
      </c>
      <c r="I413" s="73"/>
      <c r="J413" s="73"/>
      <c r="K413" s="68"/>
      <c r="L413" s="67" t="s">
        <v>69</v>
      </c>
      <c r="M413" s="73"/>
      <c r="N413" s="73"/>
      <c r="O413" s="68"/>
      <c r="P413" s="67" t="s">
        <v>69</v>
      </c>
      <c r="Q413" s="73"/>
      <c r="R413" s="73"/>
      <c r="S413" s="68"/>
      <c r="T413" s="67" t="s">
        <v>69</v>
      </c>
      <c r="U413" s="73"/>
      <c r="V413" s="73"/>
      <c r="W413" s="68"/>
      <c r="X413" s="67" t="s">
        <v>69</v>
      </c>
      <c r="Y413" s="73"/>
      <c r="Z413" s="73"/>
      <c r="AA413" s="68"/>
      <c r="AB413" s="67" t="s">
        <v>69</v>
      </c>
      <c r="AC413" s="73"/>
      <c r="AD413" s="73"/>
      <c r="AE413" s="68"/>
      <c r="AF413" s="67" t="s">
        <v>69</v>
      </c>
      <c r="AG413" s="73"/>
      <c r="AH413" s="73"/>
      <c r="AI413" s="68"/>
      <c r="AJ413" s="67" t="s">
        <v>69</v>
      </c>
      <c r="AK413" s="73"/>
      <c r="AL413" s="73"/>
      <c r="AM413" s="68"/>
      <c r="AN413" s="67">
        <f t="shared" si="411"/>
        <v>100</v>
      </c>
      <c r="AO413" s="68" t="str">
        <f t="shared" si="412"/>
        <v>S</v>
      </c>
      <c r="AR413" s="49">
        <f t="shared" si="41"/>
        <v>1</v>
      </c>
      <c r="AS413" s="49">
        <f t="shared" si="42"/>
        <v>0</v>
      </c>
      <c r="AT413" s="49">
        <f t="shared" si="43"/>
        <v>0</v>
      </c>
      <c r="AU413" s="49">
        <f t="shared" si="44"/>
        <v>0</v>
      </c>
      <c r="AV413" s="49">
        <f t="shared" si="45"/>
        <v>1</v>
      </c>
      <c r="AW413" s="49">
        <f t="shared" si="46"/>
        <v>0</v>
      </c>
      <c r="AX413" s="49">
        <f t="shared" si="47"/>
        <v>0</v>
      </c>
      <c r="AY413" s="49">
        <f t="shared" si="48"/>
        <v>0</v>
      </c>
      <c r="AZ413" s="49">
        <f t="shared" si="49"/>
        <v>1</v>
      </c>
      <c r="BA413" s="49">
        <f t="shared" si="50"/>
        <v>0</v>
      </c>
      <c r="BB413" s="49">
        <f t="shared" si="51"/>
        <v>0</v>
      </c>
      <c r="BC413" s="49">
        <f t="shared" si="52"/>
        <v>0</v>
      </c>
      <c r="BD413" s="49">
        <f t="shared" si="53"/>
        <v>1</v>
      </c>
      <c r="BE413" s="49">
        <f t="shared" si="54"/>
        <v>0</v>
      </c>
      <c r="BF413" s="49">
        <f t="shared" si="55"/>
        <v>0</v>
      </c>
      <c r="BG413" s="49">
        <f t="shared" si="56"/>
        <v>0</v>
      </c>
      <c r="BH413" s="49">
        <f t="shared" si="57"/>
        <v>1</v>
      </c>
      <c r="BI413" s="49">
        <f t="shared" si="58"/>
        <v>0</v>
      </c>
      <c r="BJ413" s="49">
        <f t="shared" si="59"/>
        <v>0</v>
      </c>
      <c r="BK413" s="49">
        <f t="shared" si="60"/>
        <v>0</v>
      </c>
      <c r="BL413" s="49">
        <f t="shared" si="61"/>
        <v>1</v>
      </c>
      <c r="BM413" s="49">
        <f t="shared" si="62"/>
        <v>0</v>
      </c>
      <c r="BN413" s="49">
        <f t="shared" si="63"/>
        <v>0</v>
      </c>
      <c r="BO413" s="49">
        <f t="shared" si="64"/>
        <v>0</v>
      </c>
      <c r="BP413" s="49">
        <f t="shared" si="65"/>
        <v>1</v>
      </c>
      <c r="BQ413" s="49">
        <f t="shared" si="66"/>
        <v>0</v>
      </c>
      <c r="BR413" s="49">
        <f t="shared" si="67"/>
        <v>0</v>
      </c>
      <c r="BS413" s="49">
        <f t="shared" si="68"/>
        <v>0</v>
      </c>
      <c r="BT413" s="49">
        <f t="shared" si="69"/>
        <v>1</v>
      </c>
      <c r="BU413" s="49">
        <f t="shared" si="70"/>
        <v>0</v>
      </c>
      <c r="BV413" s="49">
        <f t="shared" si="71"/>
        <v>0</v>
      </c>
      <c r="BW413" s="49">
        <f t="shared" si="72"/>
        <v>0</v>
      </c>
    </row>
    <row r="414" spans="1:75" ht="35.1" customHeight="1" x14ac:dyDescent="0.3">
      <c r="A414" s="123" t="str">
        <f t="shared" si="409"/>
        <v>4팀</v>
      </c>
      <c r="B414" s="69">
        <f t="shared" si="410"/>
        <v>408</v>
      </c>
      <c r="C414" s="121" t="str">
        <f>IF(VLOOKUP($B414,'1. 현장별 인원현황'!$C:$J,2,0)=0,"",VLOOKUP($B414,'1. 현장별 인원현황'!$C:$J,2,0))</f>
        <v xml:space="preserve"> [4.롯데건설] 검단신도시 101 역세권 공모사업(C9-1BL, C9-2BL)</v>
      </c>
      <c r="D414" s="74" t="str">
        <f>IF(VLOOKUP($B414,'1. 현장별 인원현황'!$C:$J,3,0)=0,"",VLOOKUP($B414,'1. 현장별 인원현황'!$C:$J,3,0))</f>
        <v>김철</v>
      </c>
      <c r="E414" s="74" t="str">
        <f ca="1">IF(VLOOKUP($B414,'1. 현장별 인원현황'!$C:$J,4,0)=0,"",VLOOKUP($B414,'1. 현장별 인원현황'!$C:$J,4,0))</f>
        <v>45세</v>
      </c>
      <c r="F414" s="70" t="str">
        <f>IF(VLOOKUP($B414,'1. 현장별 인원현황'!$C:$J,7,0)=0,"",VLOOKUP($B414,'1. 현장별 인원현황'!$C:$J,7,0))</f>
        <v>기능공</v>
      </c>
      <c r="G414" s="72" t="str">
        <f>IF(VLOOKUP($B414,'1. 현장별 인원현황'!$C:$J,8,0)=0,"",VLOOKUP($B414,'1. 현장별 인원현황'!$C:$J,8,0))</f>
        <v>전공</v>
      </c>
      <c r="H414" s="67" t="s">
        <v>69</v>
      </c>
      <c r="I414" s="73"/>
      <c r="J414" s="73"/>
      <c r="K414" s="68"/>
      <c r="L414" s="67" t="s">
        <v>69</v>
      </c>
      <c r="M414" s="73"/>
      <c r="N414" s="73"/>
      <c r="O414" s="68"/>
      <c r="P414" s="67" t="s">
        <v>69</v>
      </c>
      <c r="Q414" s="73"/>
      <c r="R414" s="73"/>
      <c r="S414" s="68"/>
      <c r="T414" s="67" t="s">
        <v>69</v>
      </c>
      <c r="U414" s="73"/>
      <c r="V414" s="73"/>
      <c r="W414" s="68"/>
      <c r="X414" s="67" t="s">
        <v>69</v>
      </c>
      <c r="Y414" s="73"/>
      <c r="Z414" s="73"/>
      <c r="AA414" s="68"/>
      <c r="AB414" s="67" t="s">
        <v>69</v>
      </c>
      <c r="AC414" s="73"/>
      <c r="AD414" s="73"/>
      <c r="AE414" s="68"/>
      <c r="AF414" s="67" t="s">
        <v>69</v>
      </c>
      <c r="AG414" s="73"/>
      <c r="AH414" s="73"/>
      <c r="AI414" s="68"/>
      <c r="AJ414" s="67" t="s">
        <v>69</v>
      </c>
      <c r="AK414" s="73"/>
      <c r="AL414" s="73"/>
      <c r="AM414" s="68"/>
      <c r="AN414" s="67">
        <f t="shared" si="411"/>
        <v>100</v>
      </c>
      <c r="AO414" s="68" t="str">
        <f t="shared" si="412"/>
        <v>S</v>
      </c>
      <c r="AR414" s="49">
        <f t="shared" si="41"/>
        <v>1</v>
      </c>
      <c r="AS414" s="49">
        <f t="shared" si="42"/>
        <v>0</v>
      </c>
      <c r="AT414" s="49">
        <f t="shared" si="43"/>
        <v>0</v>
      </c>
      <c r="AU414" s="49">
        <f t="shared" si="44"/>
        <v>0</v>
      </c>
      <c r="AV414" s="49">
        <f t="shared" si="45"/>
        <v>1</v>
      </c>
      <c r="AW414" s="49">
        <f t="shared" si="46"/>
        <v>0</v>
      </c>
      <c r="AX414" s="49">
        <f t="shared" si="47"/>
        <v>0</v>
      </c>
      <c r="AY414" s="49">
        <f t="shared" si="48"/>
        <v>0</v>
      </c>
      <c r="AZ414" s="49">
        <f t="shared" si="49"/>
        <v>1</v>
      </c>
      <c r="BA414" s="49">
        <f t="shared" si="50"/>
        <v>0</v>
      </c>
      <c r="BB414" s="49">
        <f t="shared" si="51"/>
        <v>0</v>
      </c>
      <c r="BC414" s="49">
        <f t="shared" si="52"/>
        <v>0</v>
      </c>
      <c r="BD414" s="49">
        <f t="shared" si="53"/>
        <v>1</v>
      </c>
      <c r="BE414" s="49">
        <f t="shared" si="54"/>
        <v>0</v>
      </c>
      <c r="BF414" s="49">
        <f t="shared" si="55"/>
        <v>0</v>
      </c>
      <c r="BG414" s="49">
        <f t="shared" si="56"/>
        <v>0</v>
      </c>
      <c r="BH414" s="49">
        <f t="shared" si="57"/>
        <v>1</v>
      </c>
      <c r="BI414" s="49">
        <f t="shared" si="58"/>
        <v>0</v>
      </c>
      <c r="BJ414" s="49">
        <f t="shared" si="59"/>
        <v>0</v>
      </c>
      <c r="BK414" s="49">
        <f t="shared" si="60"/>
        <v>0</v>
      </c>
      <c r="BL414" s="49">
        <f t="shared" si="61"/>
        <v>1</v>
      </c>
      <c r="BM414" s="49">
        <f t="shared" si="62"/>
        <v>0</v>
      </c>
      <c r="BN414" s="49">
        <f t="shared" si="63"/>
        <v>0</v>
      </c>
      <c r="BO414" s="49">
        <f t="shared" si="64"/>
        <v>0</v>
      </c>
      <c r="BP414" s="49">
        <f t="shared" si="65"/>
        <v>1</v>
      </c>
      <c r="BQ414" s="49">
        <f t="shared" si="66"/>
        <v>0</v>
      </c>
      <c r="BR414" s="49">
        <f t="shared" si="67"/>
        <v>0</v>
      </c>
      <c r="BS414" s="49">
        <f t="shared" si="68"/>
        <v>0</v>
      </c>
      <c r="BT414" s="49">
        <f t="shared" si="69"/>
        <v>1</v>
      </c>
      <c r="BU414" s="49">
        <f t="shared" si="70"/>
        <v>0</v>
      </c>
      <c r="BV414" s="49">
        <f t="shared" si="71"/>
        <v>0</v>
      </c>
      <c r="BW414" s="49">
        <f t="shared" si="72"/>
        <v>0</v>
      </c>
    </row>
    <row r="415" spans="1:75" ht="35.1" customHeight="1" x14ac:dyDescent="0.3">
      <c r="A415" s="123" t="str">
        <f t="shared" si="409"/>
        <v>4팀</v>
      </c>
      <c r="B415" s="69">
        <f t="shared" si="410"/>
        <v>409</v>
      </c>
      <c r="C415" s="121" t="str">
        <f>IF(VLOOKUP($B415,'1. 현장별 인원현황'!$C:$J,2,0)=0,"",VLOOKUP($B415,'1. 현장별 인원현황'!$C:$J,2,0))</f>
        <v xml:space="preserve"> [4.롯데건설] 검단신도시 101 역세권 공모사업(C9-1BL, C9-2BL)</v>
      </c>
      <c r="D415" s="74" t="str">
        <f>IF(VLOOKUP($B415,'1. 현장별 인원현황'!$C:$J,3,0)=0,"",VLOOKUP($B415,'1. 현장별 인원현황'!$C:$J,3,0))</f>
        <v>전봉준</v>
      </c>
      <c r="E415" s="74" t="str">
        <f ca="1">IF(VLOOKUP($B415,'1. 현장별 인원현황'!$C:$J,4,0)=0,"",VLOOKUP($B415,'1. 현장별 인원현황'!$C:$J,4,0))</f>
        <v>46세</v>
      </c>
      <c r="F415" s="70" t="str">
        <f>IF(VLOOKUP($B415,'1. 현장별 인원현황'!$C:$J,7,0)=0,"",VLOOKUP($B415,'1. 현장별 인원현황'!$C:$J,7,0))</f>
        <v>기능공</v>
      </c>
      <c r="G415" s="72" t="str">
        <f>IF(VLOOKUP($B415,'1. 현장별 인원현황'!$C:$J,8,0)=0,"",VLOOKUP($B415,'1. 현장별 인원현황'!$C:$J,8,0))</f>
        <v>전공</v>
      </c>
      <c r="H415" s="67" t="s">
        <v>69</v>
      </c>
      <c r="I415" s="73"/>
      <c r="J415" s="73"/>
      <c r="K415" s="68"/>
      <c r="L415" s="67" t="s">
        <v>69</v>
      </c>
      <c r="M415" s="73"/>
      <c r="N415" s="73"/>
      <c r="O415" s="68"/>
      <c r="P415" s="67" t="s">
        <v>69</v>
      </c>
      <c r="Q415" s="73"/>
      <c r="R415" s="73"/>
      <c r="S415" s="68"/>
      <c r="T415" s="67" t="s">
        <v>69</v>
      </c>
      <c r="U415" s="73"/>
      <c r="V415" s="73"/>
      <c r="W415" s="68"/>
      <c r="X415" s="67" t="s">
        <v>69</v>
      </c>
      <c r="Y415" s="73"/>
      <c r="Z415" s="73"/>
      <c r="AA415" s="68"/>
      <c r="AB415" s="67" t="s">
        <v>69</v>
      </c>
      <c r="AC415" s="73"/>
      <c r="AD415" s="73"/>
      <c r="AE415" s="68"/>
      <c r="AF415" s="67" t="s">
        <v>69</v>
      </c>
      <c r="AG415" s="73"/>
      <c r="AH415" s="73"/>
      <c r="AI415" s="68"/>
      <c r="AJ415" s="67" t="s">
        <v>69</v>
      </c>
      <c r="AK415" s="73"/>
      <c r="AL415" s="73"/>
      <c r="AM415" s="68"/>
      <c r="AN415" s="67">
        <f t="shared" si="411"/>
        <v>100</v>
      </c>
      <c r="AO415" s="68" t="str">
        <f t="shared" si="412"/>
        <v>S</v>
      </c>
      <c r="AR415" s="49">
        <f t="shared" si="41"/>
        <v>1</v>
      </c>
      <c r="AS415" s="49">
        <f t="shared" si="42"/>
        <v>0</v>
      </c>
      <c r="AT415" s="49">
        <f t="shared" si="43"/>
        <v>0</v>
      </c>
      <c r="AU415" s="49">
        <f t="shared" si="44"/>
        <v>0</v>
      </c>
      <c r="AV415" s="49">
        <f t="shared" si="45"/>
        <v>1</v>
      </c>
      <c r="AW415" s="49">
        <f t="shared" si="46"/>
        <v>0</v>
      </c>
      <c r="AX415" s="49">
        <f t="shared" si="47"/>
        <v>0</v>
      </c>
      <c r="AY415" s="49">
        <f t="shared" si="48"/>
        <v>0</v>
      </c>
      <c r="AZ415" s="49">
        <f t="shared" si="49"/>
        <v>1</v>
      </c>
      <c r="BA415" s="49">
        <f t="shared" si="50"/>
        <v>0</v>
      </c>
      <c r="BB415" s="49">
        <f t="shared" si="51"/>
        <v>0</v>
      </c>
      <c r="BC415" s="49">
        <f t="shared" si="52"/>
        <v>0</v>
      </c>
      <c r="BD415" s="49">
        <f t="shared" si="53"/>
        <v>1</v>
      </c>
      <c r="BE415" s="49">
        <f t="shared" si="54"/>
        <v>0</v>
      </c>
      <c r="BF415" s="49">
        <f t="shared" si="55"/>
        <v>0</v>
      </c>
      <c r="BG415" s="49">
        <f t="shared" si="56"/>
        <v>0</v>
      </c>
      <c r="BH415" s="49">
        <f t="shared" si="57"/>
        <v>1</v>
      </c>
      <c r="BI415" s="49">
        <f t="shared" si="58"/>
        <v>0</v>
      </c>
      <c r="BJ415" s="49">
        <f t="shared" si="59"/>
        <v>0</v>
      </c>
      <c r="BK415" s="49">
        <f t="shared" si="60"/>
        <v>0</v>
      </c>
      <c r="BL415" s="49">
        <f t="shared" si="61"/>
        <v>1</v>
      </c>
      <c r="BM415" s="49">
        <f t="shared" si="62"/>
        <v>0</v>
      </c>
      <c r="BN415" s="49">
        <f t="shared" si="63"/>
        <v>0</v>
      </c>
      <c r="BO415" s="49">
        <f t="shared" si="64"/>
        <v>0</v>
      </c>
      <c r="BP415" s="49">
        <f t="shared" si="65"/>
        <v>1</v>
      </c>
      <c r="BQ415" s="49">
        <f t="shared" si="66"/>
        <v>0</v>
      </c>
      <c r="BR415" s="49">
        <f t="shared" si="67"/>
        <v>0</v>
      </c>
      <c r="BS415" s="49">
        <f t="shared" si="68"/>
        <v>0</v>
      </c>
      <c r="BT415" s="49">
        <f t="shared" si="69"/>
        <v>1</v>
      </c>
      <c r="BU415" s="49">
        <f t="shared" si="70"/>
        <v>0</v>
      </c>
      <c r="BV415" s="49">
        <f t="shared" si="71"/>
        <v>0</v>
      </c>
      <c r="BW415" s="49">
        <f t="shared" si="72"/>
        <v>0</v>
      </c>
    </row>
    <row r="416" spans="1:75" ht="35.1" customHeight="1" x14ac:dyDescent="0.3">
      <c r="A416" s="123" t="str">
        <f t="shared" si="409"/>
        <v>4팀</v>
      </c>
      <c r="B416" s="69">
        <f t="shared" si="410"/>
        <v>410</v>
      </c>
      <c r="C416" s="121" t="str">
        <f>IF(VLOOKUP($B416,'1. 현장별 인원현황'!$C:$J,2,0)=0,"",VLOOKUP($B416,'1. 현장별 인원현황'!$C:$J,2,0))</f>
        <v xml:space="preserve"> [4.롯데건설] 검단신도시 101 역세권 공모사업(C9-1BL, C9-2BL)</v>
      </c>
      <c r="D416" s="74" t="str">
        <f>IF(VLOOKUP($B416,'1. 현장별 인원현황'!$C:$J,3,0)=0,"",VLOOKUP($B416,'1. 현장별 인원현황'!$C:$J,3,0))</f>
        <v>정승협</v>
      </c>
      <c r="E416" s="74" t="str">
        <f ca="1">IF(VLOOKUP($B416,'1. 현장별 인원현황'!$C:$J,4,0)=0,"",VLOOKUP($B416,'1. 현장별 인원현황'!$C:$J,4,0))</f>
        <v>48세</v>
      </c>
      <c r="F416" s="70" t="str">
        <f>IF(VLOOKUP($B416,'1. 현장별 인원현황'!$C:$J,7,0)=0,"",VLOOKUP($B416,'1. 현장별 인원현황'!$C:$J,7,0))</f>
        <v>기능공</v>
      </c>
      <c r="G416" s="72" t="str">
        <f>IF(VLOOKUP($B416,'1. 현장별 인원현황'!$C:$J,8,0)=0,"",VLOOKUP($B416,'1. 현장별 인원현황'!$C:$J,8,0))</f>
        <v>전공</v>
      </c>
      <c r="H416" s="67" t="s">
        <v>69</v>
      </c>
      <c r="I416" s="73"/>
      <c r="J416" s="73"/>
      <c r="K416" s="68"/>
      <c r="L416" s="67" t="s">
        <v>69</v>
      </c>
      <c r="M416" s="73"/>
      <c r="N416" s="73"/>
      <c r="O416" s="68"/>
      <c r="P416" s="67" t="s">
        <v>69</v>
      </c>
      <c r="Q416" s="73"/>
      <c r="R416" s="73"/>
      <c r="S416" s="68"/>
      <c r="T416" s="67" t="s">
        <v>69</v>
      </c>
      <c r="U416" s="73"/>
      <c r="V416" s="73"/>
      <c r="W416" s="68"/>
      <c r="X416" s="67" t="s">
        <v>69</v>
      </c>
      <c r="Y416" s="73"/>
      <c r="Z416" s="73"/>
      <c r="AA416" s="68"/>
      <c r="AB416" s="67" t="s">
        <v>69</v>
      </c>
      <c r="AC416" s="73"/>
      <c r="AD416" s="73"/>
      <c r="AE416" s="68"/>
      <c r="AF416" s="67" t="s">
        <v>69</v>
      </c>
      <c r="AG416" s="73"/>
      <c r="AH416" s="73"/>
      <c r="AI416" s="68"/>
      <c r="AJ416" s="67" t="s">
        <v>69</v>
      </c>
      <c r="AK416" s="73"/>
      <c r="AL416" s="73"/>
      <c r="AM416" s="68"/>
      <c r="AN416" s="67">
        <f t="shared" si="411"/>
        <v>100</v>
      </c>
      <c r="AO416" s="68" t="str">
        <f t="shared" si="412"/>
        <v>S</v>
      </c>
      <c r="AR416" s="49">
        <f t="shared" si="41"/>
        <v>1</v>
      </c>
      <c r="AS416" s="49">
        <f t="shared" si="42"/>
        <v>0</v>
      </c>
      <c r="AT416" s="49">
        <f t="shared" si="43"/>
        <v>0</v>
      </c>
      <c r="AU416" s="49">
        <f t="shared" si="44"/>
        <v>0</v>
      </c>
      <c r="AV416" s="49">
        <f t="shared" si="45"/>
        <v>1</v>
      </c>
      <c r="AW416" s="49">
        <f t="shared" si="46"/>
        <v>0</v>
      </c>
      <c r="AX416" s="49">
        <f t="shared" si="47"/>
        <v>0</v>
      </c>
      <c r="AY416" s="49">
        <f t="shared" si="48"/>
        <v>0</v>
      </c>
      <c r="AZ416" s="49">
        <f t="shared" si="49"/>
        <v>1</v>
      </c>
      <c r="BA416" s="49">
        <f t="shared" si="50"/>
        <v>0</v>
      </c>
      <c r="BB416" s="49">
        <f t="shared" si="51"/>
        <v>0</v>
      </c>
      <c r="BC416" s="49">
        <f t="shared" si="52"/>
        <v>0</v>
      </c>
      <c r="BD416" s="49">
        <f t="shared" si="53"/>
        <v>1</v>
      </c>
      <c r="BE416" s="49">
        <f t="shared" si="54"/>
        <v>0</v>
      </c>
      <c r="BF416" s="49">
        <f t="shared" si="55"/>
        <v>0</v>
      </c>
      <c r="BG416" s="49">
        <f t="shared" si="56"/>
        <v>0</v>
      </c>
      <c r="BH416" s="49">
        <f t="shared" si="57"/>
        <v>1</v>
      </c>
      <c r="BI416" s="49">
        <f t="shared" si="58"/>
        <v>0</v>
      </c>
      <c r="BJ416" s="49">
        <f t="shared" si="59"/>
        <v>0</v>
      </c>
      <c r="BK416" s="49">
        <f t="shared" si="60"/>
        <v>0</v>
      </c>
      <c r="BL416" s="49">
        <f t="shared" si="61"/>
        <v>1</v>
      </c>
      <c r="BM416" s="49">
        <f t="shared" si="62"/>
        <v>0</v>
      </c>
      <c r="BN416" s="49">
        <f t="shared" si="63"/>
        <v>0</v>
      </c>
      <c r="BO416" s="49">
        <f t="shared" si="64"/>
        <v>0</v>
      </c>
      <c r="BP416" s="49">
        <f t="shared" si="65"/>
        <v>1</v>
      </c>
      <c r="BQ416" s="49">
        <f t="shared" si="66"/>
        <v>0</v>
      </c>
      <c r="BR416" s="49">
        <f t="shared" si="67"/>
        <v>0</v>
      </c>
      <c r="BS416" s="49">
        <f t="shared" si="68"/>
        <v>0</v>
      </c>
      <c r="BT416" s="49">
        <f t="shared" si="69"/>
        <v>1</v>
      </c>
      <c r="BU416" s="49">
        <f t="shared" si="70"/>
        <v>0</v>
      </c>
      <c r="BV416" s="49">
        <f t="shared" si="71"/>
        <v>0</v>
      </c>
      <c r="BW416" s="49">
        <f t="shared" si="72"/>
        <v>0</v>
      </c>
    </row>
    <row r="417" spans="1:75" ht="35.1" customHeight="1" x14ac:dyDescent="0.3">
      <c r="A417" s="123" t="str">
        <f t="shared" si="409"/>
        <v>4팀</v>
      </c>
      <c r="B417" s="69">
        <f t="shared" si="410"/>
        <v>411</v>
      </c>
      <c r="C417" s="121" t="str">
        <f>IF(VLOOKUP($B417,'1. 현장별 인원현황'!$C:$J,2,0)=0,"",VLOOKUP($B417,'1. 현장별 인원현황'!$C:$J,2,0))</f>
        <v xml:space="preserve"> [4.롯데건설] 검단신도시 101 역세권 공모사업(C9-1BL, C9-2BL)</v>
      </c>
      <c r="D417" s="74" t="str">
        <f>IF(VLOOKUP($B417,'1. 현장별 인원현황'!$C:$J,3,0)=0,"",VLOOKUP($B417,'1. 현장별 인원현황'!$C:$J,3,0))</f>
        <v>이준철</v>
      </c>
      <c r="E417" s="74" t="str">
        <f ca="1">IF(VLOOKUP($B417,'1. 현장별 인원현황'!$C:$J,4,0)=0,"",VLOOKUP($B417,'1. 현장별 인원현황'!$C:$J,4,0))</f>
        <v>30세</v>
      </c>
      <c r="F417" s="70" t="str">
        <f>IF(VLOOKUP($B417,'1. 현장별 인원현황'!$C:$J,7,0)=0,"",VLOOKUP($B417,'1. 현장별 인원현황'!$C:$J,7,0))</f>
        <v>기능공</v>
      </c>
      <c r="G417" s="72" t="str">
        <f>IF(VLOOKUP($B417,'1. 현장별 인원현황'!$C:$J,8,0)=0,"",VLOOKUP($B417,'1. 현장별 인원현황'!$C:$J,8,0))</f>
        <v>조공</v>
      </c>
      <c r="H417" s="67" t="s">
        <v>69</v>
      </c>
      <c r="I417" s="73"/>
      <c r="J417" s="73"/>
      <c r="K417" s="68"/>
      <c r="L417" s="67" t="s">
        <v>69</v>
      </c>
      <c r="M417" s="73"/>
      <c r="N417" s="73"/>
      <c r="O417" s="68"/>
      <c r="P417" s="67" t="s">
        <v>69</v>
      </c>
      <c r="Q417" s="73"/>
      <c r="R417" s="73"/>
      <c r="S417" s="68"/>
      <c r="T417" s="67" t="s">
        <v>69</v>
      </c>
      <c r="U417" s="73"/>
      <c r="V417" s="73"/>
      <c r="W417" s="68"/>
      <c r="X417" s="67" t="s">
        <v>69</v>
      </c>
      <c r="Y417" s="73"/>
      <c r="Z417" s="73"/>
      <c r="AA417" s="68"/>
      <c r="AB417" s="67" t="s">
        <v>69</v>
      </c>
      <c r="AC417" s="73"/>
      <c r="AD417" s="73"/>
      <c r="AE417" s="68"/>
      <c r="AF417" s="67" t="s">
        <v>69</v>
      </c>
      <c r="AG417" s="73"/>
      <c r="AH417" s="73"/>
      <c r="AI417" s="68"/>
      <c r="AJ417" s="67" t="s">
        <v>69</v>
      </c>
      <c r="AK417" s="73"/>
      <c r="AL417" s="73"/>
      <c r="AM417" s="68"/>
      <c r="AN417" s="67">
        <f t="shared" si="411"/>
        <v>100</v>
      </c>
      <c r="AO417" s="68" t="str">
        <f t="shared" si="412"/>
        <v>S</v>
      </c>
      <c r="AR417" s="49">
        <f t="shared" si="41"/>
        <v>1</v>
      </c>
      <c r="AS417" s="49">
        <f t="shared" si="42"/>
        <v>0</v>
      </c>
      <c r="AT417" s="49">
        <f t="shared" si="43"/>
        <v>0</v>
      </c>
      <c r="AU417" s="49">
        <f t="shared" si="44"/>
        <v>0</v>
      </c>
      <c r="AV417" s="49">
        <f t="shared" si="45"/>
        <v>1</v>
      </c>
      <c r="AW417" s="49">
        <f t="shared" si="46"/>
        <v>0</v>
      </c>
      <c r="AX417" s="49">
        <f t="shared" si="47"/>
        <v>0</v>
      </c>
      <c r="AY417" s="49">
        <f t="shared" si="48"/>
        <v>0</v>
      </c>
      <c r="AZ417" s="49">
        <f t="shared" si="49"/>
        <v>1</v>
      </c>
      <c r="BA417" s="49">
        <f t="shared" si="50"/>
        <v>0</v>
      </c>
      <c r="BB417" s="49">
        <f t="shared" si="51"/>
        <v>0</v>
      </c>
      <c r="BC417" s="49">
        <f t="shared" si="52"/>
        <v>0</v>
      </c>
      <c r="BD417" s="49">
        <f t="shared" si="53"/>
        <v>1</v>
      </c>
      <c r="BE417" s="49">
        <f t="shared" si="54"/>
        <v>0</v>
      </c>
      <c r="BF417" s="49">
        <f t="shared" si="55"/>
        <v>0</v>
      </c>
      <c r="BG417" s="49">
        <f t="shared" si="56"/>
        <v>0</v>
      </c>
      <c r="BH417" s="49">
        <f t="shared" si="57"/>
        <v>1</v>
      </c>
      <c r="BI417" s="49">
        <f t="shared" si="58"/>
        <v>0</v>
      </c>
      <c r="BJ417" s="49">
        <f t="shared" si="59"/>
        <v>0</v>
      </c>
      <c r="BK417" s="49">
        <f t="shared" si="60"/>
        <v>0</v>
      </c>
      <c r="BL417" s="49">
        <f t="shared" si="61"/>
        <v>1</v>
      </c>
      <c r="BM417" s="49">
        <f t="shared" si="62"/>
        <v>0</v>
      </c>
      <c r="BN417" s="49">
        <f t="shared" si="63"/>
        <v>0</v>
      </c>
      <c r="BO417" s="49">
        <f t="shared" si="64"/>
        <v>0</v>
      </c>
      <c r="BP417" s="49">
        <f t="shared" si="65"/>
        <v>1</v>
      </c>
      <c r="BQ417" s="49">
        <f t="shared" si="66"/>
        <v>0</v>
      </c>
      <c r="BR417" s="49">
        <f t="shared" si="67"/>
        <v>0</v>
      </c>
      <c r="BS417" s="49">
        <f t="shared" si="68"/>
        <v>0</v>
      </c>
      <c r="BT417" s="49">
        <f t="shared" si="69"/>
        <v>1</v>
      </c>
      <c r="BU417" s="49">
        <f t="shared" si="70"/>
        <v>0</v>
      </c>
      <c r="BV417" s="49">
        <f t="shared" si="71"/>
        <v>0</v>
      </c>
      <c r="BW417" s="49">
        <f t="shared" si="72"/>
        <v>0</v>
      </c>
    </row>
    <row r="418" spans="1:75" ht="35.1" customHeight="1" x14ac:dyDescent="0.3">
      <c r="A418" s="123" t="str">
        <f t="shared" si="409"/>
        <v>4팀</v>
      </c>
      <c r="B418" s="69">
        <f t="shared" si="410"/>
        <v>412</v>
      </c>
      <c r="C418" s="121" t="str">
        <f>IF(VLOOKUP($B418,'1. 현장별 인원현황'!$C:$J,2,0)=0,"",VLOOKUP($B418,'1. 현장별 인원현황'!$C:$J,2,0))</f>
        <v xml:space="preserve"> [4.롯데건설] 검단신도시 101 역세권 공모사업(C9-1BL, C9-2BL)</v>
      </c>
      <c r="D418" s="74" t="str">
        <f>IF(VLOOKUP($B418,'1. 현장별 인원현황'!$C:$J,3,0)=0,"",VLOOKUP($B418,'1. 현장별 인원현황'!$C:$J,3,0))</f>
        <v>김환태</v>
      </c>
      <c r="E418" s="74" t="str">
        <f ca="1">IF(VLOOKUP($B418,'1. 현장별 인원현황'!$C:$J,4,0)=0,"",VLOOKUP($B418,'1. 현장별 인원현황'!$C:$J,4,0))</f>
        <v>31세</v>
      </c>
      <c r="F418" s="70" t="str">
        <f>IF(VLOOKUP($B418,'1. 현장별 인원현황'!$C:$J,7,0)=0,"",VLOOKUP($B418,'1. 현장별 인원현황'!$C:$J,7,0))</f>
        <v>기능공</v>
      </c>
      <c r="G418" s="72" t="str">
        <f>IF(VLOOKUP($B418,'1. 현장별 인원현황'!$C:$J,8,0)=0,"",VLOOKUP($B418,'1. 현장별 인원현황'!$C:$J,8,0))</f>
        <v>조공</v>
      </c>
      <c r="H418" s="67" t="s">
        <v>69</v>
      </c>
      <c r="I418" s="73"/>
      <c r="J418" s="73"/>
      <c r="K418" s="68"/>
      <c r="L418" s="67" t="s">
        <v>69</v>
      </c>
      <c r="M418" s="73"/>
      <c r="N418" s="73"/>
      <c r="O418" s="68"/>
      <c r="P418" s="67" t="s">
        <v>69</v>
      </c>
      <c r="Q418" s="73"/>
      <c r="R418" s="73"/>
      <c r="S418" s="68"/>
      <c r="T418" s="67" t="s">
        <v>69</v>
      </c>
      <c r="U418" s="73"/>
      <c r="V418" s="73"/>
      <c r="W418" s="68"/>
      <c r="X418" s="67" t="s">
        <v>69</v>
      </c>
      <c r="Y418" s="73"/>
      <c r="Z418" s="73"/>
      <c r="AA418" s="68"/>
      <c r="AB418" s="67" t="s">
        <v>69</v>
      </c>
      <c r="AC418" s="73"/>
      <c r="AD418" s="73"/>
      <c r="AE418" s="68"/>
      <c r="AF418" s="67" t="s">
        <v>69</v>
      </c>
      <c r="AG418" s="73"/>
      <c r="AH418" s="73"/>
      <c r="AI418" s="68"/>
      <c r="AJ418" s="67" t="s">
        <v>69</v>
      </c>
      <c r="AK418" s="73"/>
      <c r="AL418" s="73"/>
      <c r="AM418" s="68"/>
      <c r="AN418" s="67">
        <f t="shared" si="411"/>
        <v>100</v>
      </c>
      <c r="AO418" s="68" t="str">
        <f t="shared" si="412"/>
        <v>S</v>
      </c>
      <c r="AR418" s="49">
        <f t="shared" si="41"/>
        <v>1</v>
      </c>
      <c r="AS418" s="49">
        <f t="shared" si="42"/>
        <v>0</v>
      </c>
      <c r="AT418" s="49">
        <f t="shared" si="43"/>
        <v>0</v>
      </c>
      <c r="AU418" s="49">
        <f t="shared" si="44"/>
        <v>0</v>
      </c>
      <c r="AV418" s="49">
        <f t="shared" si="45"/>
        <v>1</v>
      </c>
      <c r="AW418" s="49">
        <f t="shared" si="46"/>
        <v>0</v>
      </c>
      <c r="AX418" s="49">
        <f t="shared" si="47"/>
        <v>0</v>
      </c>
      <c r="AY418" s="49">
        <f t="shared" si="48"/>
        <v>0</v>
      </c>
      <c r="AZ418" s="49">
        <f t="shared" si="49"/>
        <v>1</v>
      </c>
      <c r="BA418" s="49">
        <f t="shared" si="50"/>
        <v>0</v>
      </c>
      <c r="BB418" s="49">
        <f t="shared" si="51"/>
        <v>0</v>
      </c>
      <c r="BC418" s="49">
        <f t="shared" si="52"/>
        <v>0</v>
      </c>
      <c r="BD418" s="49">
        <f t="shared" si="53"/>
        <v>1</v>
      </c>
      <c r="BE418" s="49">
        <f t="shared" si="54"/>
        <v>0</v>
      </c>
      <c r="BF418" s="49">
        <f t="shared" si="55"/>
        <v>0</v>
      </c>
      <c r="BG418" s="49">
        <f t="shared" si="56"/>
        <v>0</v>
      </c>
      <c r="BH418" s="49">
        <f t="shared" si="57"/>
        <v>1</v>
      </c>
      <c r="BI418" s="49">
        <f t="shared" si="58"/>
        <v>0</v>
      </c>
      <c r="BJ418" s="49">
        <f t="shared" si="59"/>
        <v>0</v>
      </c>
      <c r="BK418" s="49">
        <f t="shared" si="60"/>
        <v>0</v>
      </c>
      <c r="BL418" s="49">
        <f t="shared" si="61"/>
        <v>1</v>
      </c>
      <c r="BM418" s="49">
        <f t="shared" si="62"/>
        <v>0</v>
      </c>
      <c r="BN418" s="49">
        <f t="shared" si="63"/>
        <v>0</v>
      </c>
      <c r="BO418" s="49">
        <f t="shared" si="64"/>
        <v>0</v>
      </c>
      <c r="BP418" s="49">
        <f t="shared" si="65"/>
        <v>1</v>
      </c>
      <c r="BQ418" s="49">
        <f t="shared" si="66"/>
        <v>0</v>
      </c>
      <c r="BR418" s="49">
        <f t="shared" si="67"/>
        <v>0</v>
      </c>
      <c r="BS418" s="49">
        <f t="shared" si="68"/>
        <v>0</v>
      </c>
      <c r="BT418" s="49">
        <f t="shared" si="69"/>
        <v>1</v>
      </c>
      <c r="BU418" s="49">
        <f t="shared" si="70"/>
        <v>0</v>
      </c>
      <c r="BV418" s="49">
        <f t="shared" si="71"/>
        <v>0</v>
      </c>
      <c r="BW418" s="49">
        <f t="shared" si="72"/>
        <v>0</v>
      </c>
    </row>
    <row r="419" spans="1:75" ht="35.1" customHeight="1" x14ac:dyDescent="0.3">
      <c r="A419" s="123" t="str">
        <f t="shared" si="409"/>
        <v>4팀</v>
      </c>
      <c r="B419" s="69">
        <f t="shared" si="410"/>
        <v>413</v>
      </c>
      <c r="C419" s="121" t="str">
        <f>IF(VLOOKUP($B419,'1. 현장별 인원현황'!$C:$J,2,0)=0,"",VLOOKUP($B419,'1. 현장별 인원현황'!$C:$J,2,0))</f>
        <v xml:space="preserve"> [4.롯데건설] 검단신도시 101 역세권 공모사업(C9-1BL, C9-2BL)</v>
      </c>
      <c r="D419" s="74" t="str">
        <f>IF(VLOOKUP($B419,'1. 현장별 인원현황'!$C:$J,3,0)=0,"",VLOOKUP($B419,'1. 현장별 인원현황'!$C:$J,3,0))</f>
        <v>원기영</v>
      </c>
      <c r="E419" s="74" t="str">
        <f ca="1">IF(VLOOKUP($B419,'1. 현장별 인원현황'!$C:$J,4,0)=0,"",VLOOKUP($B419,'1. 현장별 인원현황'!$C:$J,4,0))</f>
        <v>50세</v>
      </c>
      <c r="F419" s="70" t="str">
        <f>IF(VLOOKUP($B419,'1. 현장별 인원현황'!$C:$J,7,0)=0,"",VLOOKUP($B419,'1. 현장별 인원현황'!$C:$J,7,0))</f>
        <v>기능공</v>
      </c>
      <c r="G419" s="72" t="str">
        <f>IF(VLOOKUP($B419,'1. 현장별 인원현황'!$C:$J,8,0)=0,"",VLOOKUP($B419,'1. 현장별 인원현황'!$C:$J,8,0))</f>
        <v>전공</v>
      </c>
      <c r="H419" s="67" t="s">
        <v>69</v>
      </c>
      <c r="I419" s="73"/>
      <c r="J419" s="73"/>
      <c r="K419" s="68"/>
      <c r="L419" s="67" t="s">
        <v>69</v>
      </c>
      <c r="M419" s="73"/>
      <c r="N419" s="73"/>
      <c r="O419" s="68"/>
      <c r="P419" s="67" t="s">
        <v>69</v>
      </c>
      <c r="Q419" s="73"/>
      <c r="R419" s="73"/>
      <c r="S419" s="68"/>
      <c r="T419" s="67" t="s">
        <v>69</v>
      </c>
      <c r="U419" s="73"/>
      <c r="V419" s="73"/>
      <c r="W419" s="68"/>
      <c r="X419" s="67" t="s">
        <v>69</v>
      </c>
      <c r="Y419" s="73"/>
      <c r="Z419" s="73"/>
      <c r="AA419" s="68"/>
      <c r="AB419" s="67" t="s">
        <v>69</v>
      </c>
      <c r="AC419" s="73"/>
      <c r="AD419" s="73"/>
      <c r="AE419" s="68"/>
      <c r="AF419" s="67" t="s">
        <v>69</v>
      </c>
      <c r="AG419" s="73"/>
      <c r="AH419" s="73"/>
      <c r="AI419" s="68"/>
      <c r="AJ419" s="67" t="s">
        <v>69</v>
      </c>
      <c r="AK419" s="73"/>
      <c r="AL419" s="73"/>
      <c r="AM419" s="68"/>
      <c r="AN419" s="67">
        <f t="shared" si="411"/>
        <v>100</v>
      </c>
      <c r="AO419" s="68" t="str">
        <f t="shared" si="412"/>
        <v>S</v>
      </c>
      <c r="AR419" s="49">
        <f t="shared" si="41"/>
        <v>1</v>
      </c>
      <c r="AS419" s="49">
        <f t="shared" si="42"/>
        <v>0</v>
      </c>
      <c r="AT419" s="49">
        <f t="shared" si="43"/>
        <v>0</v>
      </c>
      <c r="AU419" s="49">
        <f t="shared" si="44"/>
        <v>0</v>
      </c>
      <c r="AV419" s="49">
        <f t="shared" si="45"/>
        <v>1</v>
      </c>
      <c r="AW419" s="49">
        <f t="shared" si="46"/>
        <v>0</v>
      </c>
      <c r="AX419" s="49">
        <f t="shared" si="47"/>
        <v>0</v>
      </c>
      <c r="AY419" s="49">
        <f t="shared" si="48"/>
        <v>0</v>
      </c>
      <c r="AZ419" s="49">
        <f t="shared" si="49"/>
        <v>1</v>
      </c>
      <c r="BA419" s="49">
        <f t="shared" si="50"/>
        <v>0</v>
      </c>
      <c r="BB419" s="49">
        <f t="shared" si="51"/>
        <v>0</v>
      </c>
      <c r="BC419" s="49">
        <f t="shared" si="52"/>
        <v>0</v>
      </c>
      <c r="BD419" s="49">
        <f t="shared" si="53"/>
        <v>1</v>
      </c>
      <c r="BE419" s="49">
        <f t="shared" si="54"/>
        <v>0</v>
      </c>
      <c r="BF419" s="49">
        <f t="shared" si="55"/>
        <v>0</v>
      </c>
      <c r="BG419" s="49">
        <f t="shared" si="56"/>
        <v>0</v>
      </c>
      <c r="BH419" s="49">
        <f t="shared" si="57"/>
        <v>1</v>
      </c>
      <c r="BI419" s="49">
        <f t="shared" si="58"/>
        <v>0</v>
      </c>
      <c r="BJ419" s="49">
        <f t="shared" si="59"/>
        <v>0</v>
      </c>
      <c r="BK419" s="49">
        <f t="shared" si="60"/>
        <v>0</v>
      </c>
      <c r="BL419" s="49">
        <f t="shared" si="61"/>
        <v>1</v>
      </c>
      <c r="BM419" s="49">
        <f t="shared" si="62"/>
        <v>0</v>
      </c>
      <c r="BN419" s="49">
        <f t="shared" si="63"/>
        <v>0</v>
      </c>
      <c r="BO419" s="49">
        <f t="shared" si="64"/>
        <v>0</v>
      </c>
      <c r="BP419" s="49">
        <f t="shared" si="65"/>
        <v>1</v>
      </c>
      <c r="BQ419" s="49">
        <f t="shared" si="66"/>
        <v>0</v>
      </c>
      <c r="BR419" s="49">
        <f t="shared" si="67"/>
        <v>0</v>
      </c>
      <c r="BS419" s="49">
        <f t="shared" si="68"/>
        <v>0</v>
      </c>
      <c r="BT419" s="49">
        <f t="shared" si="69"/>
        <v>1</v>
      </c>
      <c r="BU419" s="49">
        <f t="shared" si="70"/>
        <v>0</v>
      </c>
      <c r="BV419" s="49">
        <f t="shared" si="71"/>
        <v>0</v>
      </c>
      <c r="BW419" s="49">
        <f t="shared" si="72"/>
        <v>0</v>
      </c>
    </row>
    <row r="420" spans="1:75" ht="35.1" customHeight="1" x14ac:dyDescent="0.3">
      <c r="A420" s="123" t="str">
        <f t="shared" si="409"/>
        <v>4팀</v>
      </c>
      <c r="B420" s="69">
        <f t="shared" si="410"/>
        <v>414</v>
      </c>
      <c r="C420" s="121" t="str">
        <f>IF(VLOOKUP($B420,'1. 현장별 인원현황'!$C:$J,2,0)=0,"",VLOOKUP($B420,'1. 현장별 인원현황'!$C:$J,2,0))</f>
        <v xml:space="preserve"> [4.롯데건설] 검단신도시 101 역세권 공모사업(C9-1BL, C9-2BL)</v>
      </c>
      <c r="D420" s="74" t="str">
        <f>IF(VLOOKUP($B420,'1. 현장별 인원현황'!$C:$J,3,0)=0,"",VLOOKUP($B420,'1. 현장별 인원현황'!$C:$J,3,0))</f>
        <v>권주</v>
      </c>
      <c r="E420" s="74" t="str">
        <f ca="1">IF(VLOOKUP($B420,'1. 현장별 인원현황'!$C:$J,4,0)=0,"",VLOOKUP($B420,'1. 현장별 인원현황'!$C:$J,4,0))</f>
        <v>40세</v>
      </c>
      <c r="F420" s="70" t="str">
        <f>IF(VLOOKUP($B420,'1. 현장별 인원현황'!$C:$J,7,0)=0,"",VLOOKUP($B420,'1. 현장별 인원현황'!$C:$J,7,0))</f>
        <v>기능공</v>
      </c>
      <c r="G420" s="72" t="str">
        <f>IF(VLOOKUP($B420,'1. 현장별 인원현황'!$C:$J,8,0)=0,"",VLOOKUP($B420,'1. 현장별 인원현황'!$C:$J,8,0))</f>
        <v>조공</v>
      </c>
      <c r="H420" s="67" t="s">
        <v>69</v>
      </c>
      <c r="I420" s="73"/>
      <c r="J420" s="73"/>
      <c r="K420" s="68"/>
      <c r="L420" s="67" t="s">
        <v>69</v>
      </c>
      <c r="M420" s="73"/>
      <c r="N420" s="73"/>
      <c r="O420" s="68"/>
      <c r="P420" s="67" t="s">
        <v>69</v>
      </c>
      <c r="Q420" s="73"/>
      <c r="R420" s="73"/>
      <c r="S420" s="68"/>
      <c r="T420" s="67" t="s">
        <v>69</v>
      </c>
      <c r="U420" s="73"/>
      <c r="V420" s="73"/>
      <c r="W420" s="68"/>
      <c r="X420" s="67" t="s">
        <v>69</v>
      </c>
      <c r="Y420" s="73"/>
      <c r="Z420" s="73"/>
      <c r="AA420" s="68"/>
      <c r="AB420" s="67" t="s">
        <v>69</v>
      </c>
      <c r="AC420" s="73"/>
      <c r="AD420" s="73"/>
      <c r="AE420" s="68"/>
      <c r="AF420" s="67" t="s">
        <v>69</v>
      </c>
      <c r="AG420" s="73"/>
      <c r="AH420" s="73"/>
      <c r="AI420" s="68"/>
      <c r="AJ420" s="67" t="s">
        <v>69</v>
      </c>
      <c r="AK420" s="73"/>
      <c r="AL420" s="73"/>
      <c r="AM420" s="68"/>
      <c r="AN420" s="67">
        <f t="shared" si="411"/>
        <v>100</v>
      </c>
      <c r="AO420" s="68" t="str">
        <f t="shared" si="412"/>
        <v>S</v>
      </c>
      <c r="AR420" s="49">
        <f t="shared" ref="AR420:AR435" si="413">IF(H420&gt;0,1,0)</f>
        <v>1</v>
      </c>
      <c r="AS420" s="49">
        <f t="shared" ref="AS420:AS435" si="414">IF(I420&gt;0,1,0)</f>
        <v>0</v>
      </c>
      <c r="AT420" s="49">
        <f t="shared" ref="AT420:AT435" si="415">IF(J420&gt;0,1,0)</f>
        <v>0</v>
      </c>
      <c r="AU420" s="49">
        <f t="shared" ref="AU420:AU435" si="416">IF(K420&gt;0,1,0)</f>
        <v>0</v>
      </c>
      <c r="AV420" s="49">
        <f t="shared" ref="AV420:AV435" si="417">IF(L420&gt;0,1,0)</f>
        <v>1</v>
      </c>
      <c r="AW420" s="49">
        <f t="shared" ref="AW420:AW435" si="418">IF(M420&gt;0,1,0)</f>
        <v>0</v>
      </c>
      <c r="AX420" s="49">
        <f t="shared" ref="AX420:AX435" si="419">IF(N420&gt;0,1,0)</f>
        <v>0</v>
      </c>
      <c r="AY420" s="49">
        <f t="shared" ref="AY420:AY435" si="420">IF(O420&gt;0,1,0)</f>
        <v>0</v>
      </c>
      <c r="AZ420" s="49">
        <f t="shared" ref="AZ420:AZ435" si="421">IF(P420&gt;0,1,0)</f>
        <v>1</v>
      </c>
      <c r="BA420" s="49">
        <f t="shared" ref="BA420:BA435" si="422">IF(Q420&gt;0,1,0)</f>
        <v>0</v>
      </c>
      <c r="BB420" s="49">
        <f t="shared" ref="BB420:BB435" si="423">IF(R420&gt;0,1,0)</f>
        <v>0</v>
      </c>
      <c r="BC420" s="49">
        <f t="shared" ref="BC420:BC435" si="424">IF(S420&gt;0,1,0)</f>
        <v>0</v>
      </c>
      <c r="BD420" s="49">
        <f t="shared" ref="BD420:BD435" si="425">IF(T420&gt;0,1,0)</f>
        <v>1</v>
      </c>
      <c r="BE420" s="49">
        <f t="shared" ref="BE420:BE435" si="426">IF(U420&gt;0,1,0)</f>
        <v>0</v>
      </c>
      <c r="BF420" s="49">
        <f t="shared" ref="BF420:BF435" si="427">IF(V420&gt;0,1,0)</f>
        <v>0</v>
      </c>
      <c r="BG420" s="49">
        <f t="shared" ref="BG420:BG435" si="428">IF(W420&gt;0,1,0)</f>
        <v>0</v>
      </c>
      <c r="BH420" s="49">
        <f t="shared" ref="BH420:BH435" si="429">IF(X420&gt;0,1,0)</f>
        <v>1</v>
      </c>
      <c r="BI420" s="49">
        <f t="shared" ref="BI420:BI435" si="430">IF(Y420&gt;0,1,0)</f>
        <v>0</v>
      </c>
      <c r="BJ420" s="49">
        <f t="shared" ref="BJ420:BJ435" si="431">IF(Z420&gt;0,1,0)</f>
        <v>0</v>
      </c>
      <c r="BK420" s="49">
        <f t="shared" ref="BK420:BK435" si="432">IF(AA420&gt;0,1,0)</f>
        <v>0</v>
      </c>
      <c r="BL420" s="49">
        <f t="shared" ref="BL420:BL435" si="433">IF(AB420&gt;0,1,0)</f>
        <v>1</v>
      </c>
      <c r="BM420" s="49">
        <f t="shared" ref="BM420:BM435" si="434">IF(AC420&gt;0,1,0)</f>
        <v>0</v>
      </c>
      <c r="BN420" s="49">
        <f t="shared" ref="BN420:BN435" si="435">IF(AD420&gt;0,1,0)</f>
        <v>0</v>
      </c>
      <c r="BO420" s="49">
        <f t="shared" ref="BO420:BO435" si="436">IF(AE420&gt;0,1,0)</f>
        <v>0</v>
      </c>
      <c r="BP420" s="49">
        <f t="shared" ref="BP420:BP435" si="437">IF(AF420&gt;0,1,0)</f>
        <v>1</v>
      </c>
      <c r="BQ420" s="49">
        <f t="shared" ref="BQ420:BQ435" si="438">IF(AG420&gt;0,1,0)</f>
        <v>0</v>
      </c>
      <c r="BR420" s="49">
        <f t="shared" ref="BR420:BR435" si="439">IF(AH420&gt;0,1,0)</f>
        <v>0</v>
      </c>
      <c r="BS420" s="49">
        <f t="shared" ref="BS420:BS435" si="440">IF(AI420&gt;0,1,0)</f>
        <v>0</v>
      </c>
      <c r="BT420" s="49">
        <f t="shared" ref="BT420:BT435" si="441">IF(AJ420&gt;0,1,0)</f>
        <v>1</v>
      </c>
      <c r="BU420" s="49">
        <f t="shared" ref="BU420:BU435" si="442">IF(AK420&gt;0,1,0)</f>
        <v>0</v>
      </c>
      <c r="BV420" s="49">
        <f t="shared" ref="BV420:BV435" si="443">IF(AL420&gt;0,1,0)</f>
        <v>0</v>
      </c>
      <c r="BW420" s="49">
        <f t="shared" ref="BW420:BW435" si="444">IF(AM420&gt;0,1,0)</f>
        <v>0</v>
      </c>
    </row>
    <row r="421" spans="1:75" ht="35.1" customHeight="1" x14ac:dyDescent="0.3">
      <c r="A421" s="123" t="str">
        <f t="shared" si="409"/>
        <v>4팀</v>
      </c>
      <c r="B421" s="69">
        <f t="shared" si="410"/>
        <v>415</v>
      </c>
      <c r="C421" s="121" t="str">
        <f>IF(VLOOKUP($B421,'1. 현장별 인원현황'!$C:$J,2,0)=0,"",VLOOKUP($B421,'1. 현장별 인원현황'!$C:$J,2,0))</f>
        <v xml:space="preserve"> [4.롯데건설] 검단신도시 101 역세권 공모사업(C9-1BL, C9-2BL)</v>
      </c>
      <c r="D421" s="74" t="str">
        <f>IF(VLOOKUP($B421,'1. 현장별 인원현황'!$C:$J,3,0)=0,"",VLOOKUP($B421,'1. 현장별 인원현황'!$C:$J,3,0))</f>
        <v>신재호</v>
      </c>
      <c r="E421" s="74" t="str">
        <f ca="1">IF(VLOOKUP($B421,'1. 현장별 인원현황'!$C:$J,4,0)=0,"",VLOOKUP($B421,'1. 현장별 인원현황'!$C:$J,4,0))</f>
        <v>59세</v>
      </c>
      <c r="F421" s="70" t="str">
        <f>IF(VLOOKUP($B421,'1. 현장별 인원현황'!$C:$J,7,0)=0,"",VLOOKUP($B421,'1. 현장별 인원현황'!$C:$J,7,0))</f>
        <v>기능공</v>
      </c>
      <c r="G421" s="72" t="str">
        <f>IF(VLOOKUP($B421,'1. 현장별 인원현황'!$C:$J,8,0)=0,"",VLOOKUP($B421,'1. 현장별 인원현황'!$C:$J,8,0))</f>
        <v>전공</v>
      </c>
      <c r="H421" s="67" t="s">
        <v>69</v>
      </c>
      <c r="I421" s="73"/>
      <c r="J421" s="73"/>
      <c r="K421" s="68"/>
      <c r="L421" s="67" t="s">
        <v>69</v>
      </c>
      <c r="M421" s="73"/>
      <c r="N421" s="73"/>
      <c r="O421" s="68"/>
      <c r="P421" s="67" t="s">
        <v>69</v>
      </c>
      <c r="Q421" s="73"/>
      <c r="R421" s="73"/>
      <c r="S421" s="68"/>
      <c r="T421" s="67" t="s">
        <v>69</v>
      </c>
      <c r="U421" s="73"/>
      <c r="V421" s="73"/>
      <c r="W421" s="68"/>
      <c r="X421" s="67" t="s">
        <v>69</v>
      </c>
      <c r="Y421" s="73"/>
      <c r="Z421" s="73"/>
      <c r="AA421" s="68"/>
      <c r="AB421" s="67" t="s">
        <v>69</v>
      </c>
      <c r="AC421" s="73"/>
      <c r="AD421" s="73"/>
      <c r="AE421" s="68"/>
      <c r="AF421" s="67" t="s">
        <v>69</v>
      </c>
      <c r="AG421" s="73"/>
      <c r="AH421" s="73"/>
      <c r="AI421" s="68"/>
      <c r="AJ421" s="67" t="s">
        <v>69</v>
      </c>
      <c r="AK421" s="73"/>
      <c r="AL421" s="73"/>
      <c r="AM421" s="68"/>
      <c r="AN421" s="67">
        <f t="shared" si="411"/>
        <v>100</v>
      </c>
      <c r="AO421" s="68" t="str">
        <f t="shared" si="412"/>
        <v>S</v>
      </c>
      <c r="AR421" s="49">
        <f t="shared" si="413"/>
        <v>1</v>
      </c>
      <c r="AS421" s="49">
        <f t="shared" si="414"/>
        <v>0</v>
      </c>
      <c r="AT421" s="49">
        <f t="shared" si="415"/>
        <v>0</v>
      </c>
      <c r="AU421" s="49">
        <f t="shared" si="416"/>
        <v>0</v>
      </c>
      <c r="AV421" s="49">
        <f t="shared" si="417"/>
        <v>1</v>
      </c>
      <c r="AW421" s="49">
        <f t="shared" si="418"/>
        <v>0</v>
      </c>
      <c r="AX421" s="49">
        <f t="shared" si="419"/>
        <v>0</v>
      </c>
      <c r="AY421" s="49">
        <f t="shared" si="420"/>
        <v>0</v>
      </c>
      <c r="AZ421" s="49">
        <f t="shared" si="421"/>
        <v>1</v>
      </c>
      <c r="BA421" s="49">
        <f t="shared" si="422"/>
        <v>0</v>
      </c>
      <c r="BB421" s="49">
        <f t="shared" si="423"/>
        <v>0</v>
      </c>
      <c r="BC421" s="49">
        <f t="shared" si="424"/>
        <v>0</v>
      </c>
      <c r="BD421" s="49">
        <f t="shared" si="425"/>
        <v>1</v>
      </c>
      <c r="BE421" s="49">
        <f t="shared" si="426"/>
        <v>0</v>
      </c>
      <c r="BF421" s="49">
        <f t="shared" si="427"/>
        <v>0</v>
      </c>
      <c r="BG421" s="49">
        <f t="shared" si="428"/>
        <v>0</v>
      </c>
      <c r="BH421" s="49">
        <f t="shared" si="429"/>
        <v>1</v>
      </c>
      <c r="BI421" s="49">
        <f t="shared" si="430"/>
        <v>0</v>
      </c>
      <c r="BJ421" s="49">
        <f t="shared" si="431"/>
        <v>0</v>
      </c>
      <c r="BK421" s="49">
        <f t="shared" si="432"/>
        <v>0</v>
      </c>
      <c r="BL421" s="49">
        <f t="shared" si="433"/>
        <v>1</v>
      </c>
      <c r="BM421" s="49">
        <f t="shared" si="434"/>
        <v>0</v>
      </c>
      <c r="BN421" s="49">
        <f t="shared" si="435"/>
        <v>0</v>
      </c>
      <c r="BO421" s="49">
        <f t="shared" si="436"/>
        <v>0</v>
      </c>
      <c r="BP421" s="49">
        <f t="shared" si="437"/>
        <v>1</v>
      </c>
      <c r="BQ421" s="49">
        <f t="shared" si="438"/>
        <v>0</v>
      </c>
      <c r="BR421" s="49">
        <f t="shared" si="439"/>
        <v>0</v>
      </c>
      <c r="BS421" s="49">
        <f t="shared" si="440"/>
        <v>0</v>
      </c>
      <c r="BT421" s="49">
        <f t="shared" si="441"/>
        <v>1</v>
      </c>
      <c r="BU421" s="49">
        <f t="shared" si="442"/>
        <v>0</v>
      </c>
      <c r="BV421" s="49">
        <f t="shared" si="443"/>
        <v>0</v>
      </c>
      <c r="BW421" s="49">
        <f t="shared" si="444"/>
        <v>0</v>
      </c>
    </row>
    <row r="422" spans="1:75" ht="35.1" customHeight="1" x14ac:dyDescent="0.3">
      <c r="A422" s="123" t="str">
        <f t="shared" si="409"/>
        <v>4팀</v>
      </c>
      <c r="B422" s="69">
        <f t="shared" si="410"/>
        <v>416</v>
      </c>
      <c r="C422" s="121" t="str">
        <f>IF(VLOOKUP($B422,'1. 현장별 인원현황'!$C:$J,2,0)=0,"",VLOOKUP($B422,'1. 현장별 인원현황'!$C:$J,2,0))</f>
        <v xml:space="preserve"> [4.롯데건설] 검단신도시 101 역세권 공모사업(C9-1BL, C9-2BL)</v>
      </c>
      <c r="D422" s="74" t="str">
        <f>IF(VLOOKUP($B422,'1. 현장별 인원현황'!$C:$J,3,0)=0,"",VLOOKUP($B422,'1. 현장별 인원현황'!$C:$J,3,0))</f>
        <v>이홍천</v>
      </c>
      <c r="E422" s="74" t="str">
        <f ca="1">IF(VLOOKUP($B422,'1. 현장별 인원현황'!$C:$J,4,0)=0,"",VLOOKUP($B422,'1. 현장별 인원현황'!$C:$J,4,0))</f>
        <v>56세</v>
      </c>
      <c r="F422" s="70" t="str">
        <f>IF(VLOOKUP($B422,'1. 현장별 인원현황'!$C:$J,7,0)=0,"",VLOOKUP($B422,'1. 현장별 인원현황'!$C:$J,7,0))</f>
        <v>기능공</v>
      </c>
      <c r="G422" s="72" t="str">
        <f>IF(VLOOKUP($B422,'1. 현장별 인원현황'!$C:$J,8,0)=0,"",VLOOKUP($B422,'1. 현장별 인원현황'!$C:$J,8,0))</f>
        <v>전공</v>
      </c>
      <c r="H422" s="67" t="s">
        <v>69</v>
      </c>
      <c r="I422" s="73"/>
      <c r="J422" s="73"/>
      <c r="K422" s="68"/>
      <c r="L422" s="67" t="s">
        <v>69</v>
      </c>
      <c r="M422" s="73"/>
      <c r="N422" s="73"/>
      <c r="O422" s="68"/>
      <c r="P422" s="67" t="s">
        <v>69</v>
      </c>
      <c r="Q422" s="73"/>
      <c r="R422" s="73"/>
      <c r="S422" s="68"/>
      <c r="T422" s="67" t="s">
        <v>69</v>
      </c>
      <c r="U422" s="73"/>
      <c r="V422" s="73"/>
      <c r="W422" s="68"/>
      <c r="X422" s="67" t="s">
        <v>69</v>
      </c>
      <c r="Y422" s="73"/>
      <c r="Z422" s="73"/>
      <c r="AA422" s="68"/>
      <c r="AB422" s="67" t="s">
        <v>69</v>
      </c>
      <c r="AC422" s="73"/>
      <c r="AD422" s="73"/>
      <c r="AE422" s="68"/>
      <c r="AF422" s="67" t="s">
        <v>69</v>
      </c>
      <c r="AG422" s="73"/>
      <c r="AH422" s="73"/>
      <c r="AI422" s="68"/>
      <c r="AJ422" s="67" t="s">
        <v>69</v>
      </c>
      <c r="AK422" s="73"/>
      <c r="AL422" s="73"/>
      <c r="AM422" s="68"/>
      <c r="AN422" s="67">
        <f t="shared" si="411"/>
        <v>100</v>
      </c>
      <c r="AO422" s="68" t="str">
        <f t="shared" si="412"/>
        <v>S</v>
      </c>
      <c r="AR422" s="49">
        <f t="shared" si="413"/>
        <v>1</v>
      </c>
      <c r="AS422" s="49">
        <f t="shared" si="414"/>
        <v>0</v>
      </c>
      <c r="AT422" s="49">
        <f t="shared" si="415"/>
        <v>0</v>
      </c>
      <c r="AU422" s="49">
        <f t="shared" si="416"/>
        <v>0</v>
      </c>
      <c r="AV422" s="49">
        <f t="shared" si="417"/>
        <v>1</v>
      </c>
      <c r="AW422" s="49">
        <f t="shared" si="418"/>
        <v>0</v>
      </c>
      <c r="AX422" s="49">
        <f t="shared" si="419"/>
        <v>0</v>
      </c>
      <c r="AY422" s="49">
        <f t="shared" si="420"/>
        <v>0</v>
      </c>
      <c r="AZ422" s="49">
        <f t="shared" si="421"/>
        <v>1</v>
      </c>
      <c r="BA422" s="49">
        <f t="shared" si="422"/>
        <v>0</v>
      </c>
      <c r="BB422" s="49">
        <f t="shared" si="423"/>
        <v>0</v>
      </c>
      <c r="BC422" s="49">
        <f t="shared" si="424"/>
        <v>0</v>
      </c>
      <c r="BD422" s="49">
        <f t="shared" si="425"/>
        <v>1</v>
      </c>
      <c r="BE422" s="49">
        <f t="shared" si="426"/>
        <v>0</v>
      </c>
      <c r="BF422" s="49">
        <f t="shared" si="427"/>
        <v>0</v>
      </c>
      <c r="BG422" s="49">
        <f t="shared" si="428"/>
        <v>0</v>
      </c>
      <c r="BH422" s="49">
        <f t="shared" si="429"/>
        <v>1</v>
      </c>
      <c r="BI422" s="49">
        <f t="shared" si="430"/>
        <v>0</v>
      </c>
      <c r="BJ422" s="49">
        <f t="shared" si="431"/>
        <v>0</v>
      </c>
      <c r="BK422" s="49">
        <f t="shared" si="432"/>
        <v>0</v>
      </c>
      <c r="BL422" s="49">
        <f t="shared" si="433"/>
        <v>1</v>
      </c>
      <c r="BM422" s="49">
        <f t="shared" si="434"/>
        <v>0</v>
      </c>
      <c r="BN422" s="49">
        <f t="shared" si="435"/>
        <v>0</v>
      </c>
      <c r="BO422" s="49">
        <f t="shared" si="436"/>
        <v>0</v>
      </c>
      <c r="BP422" s="49">
        <f t="shared" si="437"/>
        <v>1</v>
      </c>
      <c r="BQ422" s="49">
        <f t="shared" si="438"/>
        <v>0</v>
      </c>
      <c r="BR422" s="49">
        <f t="shared" si="439"/>
        <v>0</v>
      </c>
      <c r="BS422" s="49">
        <f t="shared" si="440"/>
        <v>0</v>
      </c>
      <c r="BT422" s="49">
        <f t="shared" si="441"/>
        <v>1</v>
      </c>
      <c r="BU422" s="49">
        <f t="shared" si="442"/>
        <v>0</v>
      </c>
      <c r="BV422" s="49">
        <f t="shared" si="443"/>
        <v>0</v>
      </c>
      <c r="BW422" s="49">
        <f t="shared" si="444"/>
        <v>0</v>
      </c>
    </row>
    <row r="423" spans="1:75" ht="35.1" customHeight="1" x14ac:dyDescent="0.3">
      <c r="A423" s="123" t="str">
        <f t="shared" si="409"/>
        <v>4팀</v>
      </c>
      <c r="B423" s="69">
        <f t="shared" si="410"/>
        <v>417</v>
      </c>
      <c r="C423" s="121" t="str">
        <f>IF(VLOOKUP($B423,'1. 현장별 인원현황'!$C:$J,2,0)=0,"",VLOOKUP($B423,'1. 현장별 인원현황'!$C:$J,2,0))</f>
        <v xml:space="preserve"> [4.롯데건설] 구리 인창C구역 주택재개발정비사업 중 일반전기공사</v>
      </c>
      <c r="D423" s="74" t="str">
        <f>IF(VLOOKUP($B423,'1. 현장별 인원현황'!$C:$J,3,0)=0,"",VLOOKUP($B423,'1. 현장별 인원현황'!$C:$J,3,0))</f>
        <v>정지훈</v>
      </c>
      <c r="E423" s="74" t="str">
        <f ca="1">IF(VLOOKUP($B423,'1. 현장별 인원현황'!$C:$J,4,0)=0,"",VLOOKUP($B423,'1. 현장별 인원현황'!$C:$J,4,0))</f>
        <v>39세</v>
      </c>
      <c r="F423" s="70" t="str">
        <f>IF(VLOOKUP($B423,'1. 현장별 인원현황'!$C:$J,7,0)=0,"",VLOOKUP($B423,'1. 현장별 인원현황'!$C:$J,7,0))</f>
        <v>공무</v>
      </c>
      <c r="G423" s="72" t="str">
        <f>IF(VLOOKUP($B423,'1. 현장별 인원현황'!$C:$J,8,0)=0,"",VLOOKUP($B423,'1. 현장별 인원현황'!$C:$J,8,0))</f>
        <v>과장</v>
      </c>
      <c r="H423" s="67" t="s">
        <v>69</v>
      </c>
      <c r="I423" s="73"/>
      <c r="J423" s="73"/>
      <c r="K423" s="68"/>
      <c r="L423" s="67" t="s">
        <v>69</v>
      </c>
      <c r="M423" s="73"/>
      <c r="N423" s="73"/>
      <c r="O423" s="68"/>
      <c r="P423" s="67" t="s">
        <v>69</v>
      </c>
      <c r="Q423" s="73"/>
      <c r="R423" s="73"/>
      <c r="S423" s="68"/>
      <c r="T423" s="67"/>
      <c r="U423" s="73" t="s">
        <v>69</v>
      </c>
      <c r="V423" s="73"/>
      <c r="W423" s="68"/>
      <c r="X423" s="67" t="s">
        <v>69</v>
      </c>
      <c r="Y423" s="73"/>
      <c r="Z423" s="73"/>
      <c r="AA423" s="68"/>
      <c r="AB423" s="67" t="s">
        <v>69</v>
      </c>
      <c r="AC423" s="73"/>
      <c r="AD423" s="73"/>
      <c r="AE423" s="68"/>
      <c r="AF423" s="67" t="s">
        <v>69</v>
      </c>
      <c r="AG423" s="73"/>
      <c r="AH423" s="73"/>
      <c r="AI423" s="68"/>
      <c r="AJ423" s="67" t="s">
        <v>69</v>
      </c>
      <c r="AK423" s="73"/>
      <c r="AL423" s="73"/>
      <c r="AM423" s="68"/>
      <c r="AN423" s="67">
        <f t="shared" si="411"/>
        <v>96</v>
      </c>
      <c r="AO423" s="68" t="str">
        <f t="shared" si="412"/>
        <v>S</v>
      </c>
      <c r="AR423" s="49">
        <f t="shared" si="413"/>
        <v>1</v>
      </c>
      <c r="AS423" s="49">
        <f t="shared" si="414"/>
        <v>0</v>
      </c>
      <c r="AT423" s="49">
        <f t="shared" si="415"/>
        <v>0</v>
      </c>
      <c r="AU423" s="49">
        <f t="shared" si="416"/>
        <v>0</v>
      </c>
      <c r="AV423" s="49">
        <f t="shared" si="417"/>
        <v>1</v>
      </c>
      <c r="AW423" s="49">
        <f t="shared" si="418"/>
        <v>0</v>
      </c>
      <c r="AX423" s="49">
        <f t="shared" si="419"/>
        <v>0</v>
      </c>
      <c r="AY423" s="49">
        <f t="shared" si="420"/>
        <v>0</v>
      </c>
      <c r="AZ423" s="49">
        <f t="shared" si="421"/>
        <v>1</v>
      </c>
      <c r="BA423" s="49">
        <f t="shared" si="422"/>
        <v>0</v>
      </c>
      <c r="BB423" s="49">
        <f t="shared" si="423"/>
        <v>0</v>
      </c>
      <c r="BC423" s="49">
        <f t="shared" si="424"/>
        <v>0</v>
      </c>
      <c r="BD423" s="49">
        <f t="shared" si="425"/>
        <v>0</v>
      </c>
      <c r="BE423" s="49">
        <f t="shared" si="426"/>
        <v>1</v>
      </c>
      <c r="BF423" s="49">
        <f t="shared" si="427"/>
        <v>0</v>
      </c>
      <c r="BG423" s="49">
        <f t="shared" si="428"/>
        <v>0</v>
      </c>
      <c r="BH423" s="49">
        <f t="shared" si="429"/>
        <v>1</v>
      </c>
      <c r="BI423" s="49">
        <f t="shared" si="430"/>
        <v>0</v>
      </c>
      <c r="BJ423" s="49">
        <f t="shared" si="431"/>
        <v>0</v>
      </c>
      <c r="BK423" s="49">
        <f t="shared" si="432"/>
        <v>0</v>
      </c>
      <c r="BL423" s="49">
        <f t="shared" si="433"/>
        <v>1</v>
      </c>
      <c r="BM423" s="49">
        <f t="shared" si="434"/>
        <v>0</v>
      </c>
      <c r="BN423" s="49">
        <f t="shared" si="435"/>
        <v>0</v>
      </c>
      <c r="BO423" s="49">
        <f t="shared" si="436"/>
        <v>0</v>
      </c>
      <c r="BP423" s="49">
        <f t="shared" si="437"/>
        <v>1</v>
      </c>
      <c r="BQ423" s="49">
        <f t="shared" si="438"/>
        <v>0</v>
      </c>
      <c r="BR423" s="49">
        <f t="shared" si="439"/>
        <v>0</v>
      </c>
      <c r="BS423" s="49">
        <f t="shared" si="440"/>
        <v>0</v>
      </c>
      <c r="BT423" s="49">
        <f t="shared" si="441"/>
        <v>1</v>
      </c>
      <c r="BU423" s="49">
        <f t="shared" si="442"/>
        <v>0</v>
      </c>
      <c r="BV423" s="49">
        <f t="shared" si="443"/>
        <v>0</v>
      </c>
      <c r="BW423" s="49">
        <f t="shared" si="444"/>
        <v>0</v>
      </c>
    </row>
    <row r="424" spans="1:75" ht="35.1" customHeight="1" x14ac:dyDescent="0.3">
      <c r="A424" s="123" t="str">
        <f t="shared" si="409"/>
        <v>4팀</v>
      </c>
      <c r="B424" s="69">
        <f t="shared" si="410"/>
        <v>418</v>
      </c>
      <c r="C424" s="121" t="str">
        <f>IF(VLOOKUP($B424,'1. 현장별 인원현황'!$C:$J,2,0)=0,"",VLOOKUP($B424,'1. 현장별 인원현황'!$C:$J,2,0))</f>
        <v xml:space="preserve"> [4.롯데건설] 구리 인창C구역 주택재개발정비사업 중 일반전기공사</v>
      </c>
      <c r="D424" s="74" t="str">
        <f>IF(VLOOKUP($B424,'1. 현장별 인원현황'!$C:$J,3,0)=0,"",VLOOKUP($B424,'1. 현장별 인원현황'!$C:$J,3,0))</f>
        <v>박유진</v>
      </c>
      <c r="E424" s="74" t="str">
        <f ca="1">IF(VLOOKUP($B424,'1. 현장별 인원현황'!$C:$J,4,0)=0,"",VLOOKUP($B424,'1. 현장별 인원현황'!$C:$J,4,0))</f>
        <v>65세</v>
      </c>
      <c r="F424" s="70" t="str">
        <f>IF(VLOOKUP($B424,'1. 현장별 인원현황'!$C:$J,7,0)=0,"",VLOOKUP($B424,'1. 현장별 인원현황'!$C:$J,7,0))</f>
        <v>공사</v>
      </c>
      <c r="G424" s="72" t="str">
        <f>IF(VLOOKUP($B424,'1. 현장별 인원현황'!$C:$J,8,0)=0,"",VLOOKUP($B424,'1. 현장별 인원현황'!$C:$J,8,0))</f>
        <v>차장</v>
      </c>
      <c r="H424" s="67" t="s">
        <v>69</v>
      </c>
      <c r="I424" s="73"/>
      <c r="J424" s="73"/>
      <c r="K424" s="68"/>
      <c r="L424" s="67" t="s">
        <v>69</v>
      </c>
      <c r="M424" s="73"/>
      <c r="N424" s="73"/>
      <c r="O424" s="68"/>
      <c r="P424" s="67" t="s">
        <v>69</v>
      </c>
      <c r="Q424" s="73"/>
      <c r="R424" s="73"/>
      <c r="S424" s="68"/>
      <c r="T424" s="67" t="s">
        <v>69</v>
      </c>
      <c r="U424" s="73"/>
      <c r="V424" s="73"/>
      <c r="W424" s="68"/>
      <c r="X424" s="67" t="s">
        <v>69</v>
      </c>
      <c r="Y424" s="73"/>
      <c r="Z424" s="73"/>
      <c r="AA424" s="68"/>
      <c r="AB424" s="67" t="s">
        <v>69</v>
      </c>
      <c r="AC424" s="73"/>
      <c r="AD424" s="73"/>
      <c r="AE424" s="68"/>
      <c r="AF424" s="67"/>
      <c r="AG424" s="73" t="s">
        <v>69</v>
      </c>
      <c r="AH424" s="73"/>
      <c r="AI424" s="68"/>
      <c r="AJ424" s="67"/>
      <c r="AK424" s="73" t="s">
        <v>69</v>
      </c>
      <c r="AL424" s="73"/>
      <c r="AM424" s="68"/>
      <c r="AN424" s="67">
        <f t="shared" si="411"/>
        <v>94</v>
      </c>
      <c r="AO424" s="68" t="str">
        <f t="shared" si="412"/>
        <v>S</v>
      </c>
      <c r="AR424" s="49">
        <f t="shared" si="413"/>
        <v>1</v>
      </c>
      <c r="AS424" s="49">
        <f t="shared" si="414"/>
        <v>0</v>
      </c>
      <c r="AT424" s="49">
        <f t="shared" si="415"/>
        <v>0</v>
      </c>
      <c r="AU424" s="49">
        <f t="shared" si="416"/>
        <v>0</v>
      </c>
      <c r="AV424" s="49">
        <f t="shared" si="417"/>
        <v>1</v>
      </c>
      <c r="AW424" s="49">
        <f t="shared" si="418"/>
        <v>0</v>
      </c>
      <c r="AX424" s="49">
        <f t="shared" si="419"/>
        <v>0</v>
      </c>
      <c r="AY424" s="49">
        <f t="shared" si="420"/>
        <v>0</v>
      </c>
      <c r="AZ424" s="49">
        <f t="shared" si="421"/>
        <v>1</v>
      </c>
      <c r="BA424" s="49">
        <f t="shared" si="422"/>
        <v>0</v>
      </c>
      <c r="BB424" s="49">
        <f t="shared" si="423"/>
        <v>0</v>
      </c>
      <c r="BC424" s="49">
        <f t="shared" si="424"/>
        <v>0</v>
      </c>
      <c r="BD424" s="49">
        <f t="shared" si="425"/>
        <v>1</v>
      </c>
      <c r="BE424" s="49">
        <f t="shared" si="426"/>
        <v>0</v>
      </c>
      <c r="BF424" s="49">
        <f t="shared" si="427"/>
        <v>0</v>
      </c>
      <c r="BG424" s="49">
        <f t="shared" si="428"/>
        <v>0</v>
      </c>
      <c r="BH424" s="49">
        <f t="shared" si="429"/>
        <v>1</v>
      </c>
      <c r="BI424" s="49">
        <f t="shared" si="430"/>
        <v>0</v>
      </c>
      <c r="BJ424" s="49">
        <f t="shared" si="431"/>
        <v>0</v>
      </c>
      <c r="BK424" s="49">
        <f t="shared" si="432"/>
        <v>0</v>
      </c>
      <c r="BL424" s="49">
        <f t="shared" si="433"/>
        <v>1</v>
      </c>
      <c r="BM424" s="49">
        <f t="shared" si="434"/>
        <v>0</v>
      </c>
      <c r="BN424" s="49">
        <f t="shared" si="435"/>
        <v>0</v>
      </c>
      <c r="BO424" s="49">
        <f t="shared" si="436"/>
        <v>0</v>
      </c>
      <c r="BP424" s="49">
        <f t="shared" si="437"/>
        <v>0</v>
      </c>
      <c r="BQ424" s="49">
        <f t="shared" si="438"/>
        <v>1</v>
      </c>
      <c r="BR424" s="49">
        <f t="shared" si="439"/>
        <v>0</v>
      </c>
      <c r="BS424" s="49">
        <f t="shared" si="440"/>
        <v>0</v>
      </c>
      <c r="BT424" s="49">
        <f t="shared" si="441"/>
        <v>0</v>
      </c>
      <c r="BU424" s="49">
        <f t="shared" si="442"/>
        <v>1</v>
      </c>
      <c r="BV424" s="49">
        <f t="shared" si="443"/>
        <v>0</v>
      </c>
      <c r="BW424" s="49">
        <f t="shared" si="444"/>
        <v>0</v>
      </c>
    </row>
    <row r="425" spans="1:75" ht="35.1" customHeight="1" x14ac:dyDescent="0.3">
      <c r="A425" s="123" t="str">
        <f t="shared" si="409"/>
        <v>4팀</v>
      </c>
      <c r="B425" s="69">
        <f t="shared" si="410"/>
        <v>419</v>
      </c>
      <c r="C425" s="121" t="str">
        <f>IF(VLOOKUP($B425,'1. 현장별 인원현황'!$C:$J,2,0)=0,"",VLOOKUP($B425,'1. 현장별 인원현황'!$C:$J,2,0))</f>
        <v xml:space="preserve"> [4.롯데건설] 구리 인창C구역 주택재개발정비사업 중 일반전기공사</v>
      </c>
      <c r="D425" s="74" t="str">
        <f>IF(VLOOKUP($B425,'1. 현장별 인원현황'!$C:$J,3,0)=0,"",VLOOKUP($B425,'1. 현장별 인원현황'!$C:$J,3,0))</f>
        <v>천혁수</v>
      </c>
      <c r="E425" s="74" t="str">
        <f ca="1">IF(VLOOKUP($B425,'1. 현장별 인원현황'!$C:$J,4,0)=0,"",VLOOKUP($B425,'1. 현장별 인원현황'!$C:$J,4,0))</f>
        <v>53세</v>
      </c>
      <c r="F425" s="70" t="str">
        <f>IF(VLOOKUP($B425,'1. 현장별 인원현황'!$C:$J,7,0)=0,"",VLOOKUP($B425,'1. 현장별 인원현황'!$C:$J,7,0))</f>
        <v>공사</v>
      </c>
      <c r="G425" s="72" t="str">
        <f>IF(VLOOKUP($B425,'1. 현장별 인원현황'!$C:$J,8,0)=0,"",VLOOKUP($B425,'1. 현장별 인원현황'!$C:$J,8,0))</f>
        <v>차장</v>
      </c>
      <c r="H425" s="67" t="s">
        <v>69</v>
      </c>
      <c r="I425" s="73"/>
      <c r="J425" s="73"/>
      <c r="K425" s="68"/>
      <c r="L425" s="67" t="s">
        <v>69</v>
      </c>
      <c r="M425" s="73"/>
      <c r="N425" s="73"/>
      <c r="O425" s="68"/>
      <c r="P425" s="67" t="s">
        <v>69</v>
      </c>
      <c r="Q425" s="73"/>
      <c r="R425" s="73"/>
      <c r="S425" s="68"/>
      <c r="T425" s="67" t="s">
        <v>69</v>
      </c>
      <c r="U425" s="73"/>
      <c r="V425" s="73"/>
      <c r="W425" s="68"/>
      <c r="X425" s="67" t="s">
        <v>69</v>
      </c>
      <c r="Y425" s="73"/>
      <c r="Z425" s="73"/>
      <c r="AA425" s="68"/>
      <c r="AB425" s="67" t="s">
        <v>69</v>
      </c>
      <c r="AC425" s="73"/>
      <c r="AD425" s="73"/>
      <c r="AE425" s="68"/>
      <c r="AF425" s="67" t="s">
        <v>69</v>
      </c>
      <c r="AG425" s="73"/>
      <c r="AH425" s="73"/>
      <c r="AI425" s="68"/>
      <c r="AJ425" s="67" t="s">
        <v>69</v>
      </c>
      <c r="AK425" s="73"/>
      <c r="AL425" s="73"/>
      <c r="AM425" s="68"/>
      <c r="AN425" s="67">
        <f t="shared" si="411"/>
        <v>100</v>
      </c>
      <c r="AO425" s="68" t="str">
        <f t="shared" si="412"/>
        <v>S</v>
      </c>
      <c r="AR425" s="49">
        <f t="shared" si="413"/>
        <v>1</v>
      </c>
      <c r="AS425" s="49">
        <f t="shared" si="414"/>
        <v>0</v>
      </c>
      <c r="AT425" s="49">
        <f t="shared" si="415"/>
        <v>0</v>
      </c>
      <c r="AU425" s="49">
        <f t="shared" si="416"/>
        <v>0</v>
      </c>
      <c r="AV425" s="49">
        <f t="shared" si="417"/>
        <v>1</v>
      </c>
      <c r="AW425" s="49">
        <f t="shared" si="418"/>
        <v>0</v>
      </c>
      <c r="AX425" s="49">
        <f t="shared" si="419"/>
        <v>0</v>
      </c>
      <c r="AY425" s="49">
        <f t="shared" si="420"/>
        <v>0</v>
      </c>
      <c r="AZ425" s="49">
        <f t="shared" si="421"/>
        <v>1</v>
      </c>
      <c r="BA425" s="49">
        <f t="shared" si="422"/>
        <v>0</v>
      </c>
      <c r="BB425" s="49">
        <f t="shared" si="423"/>
        <v>0</v>
      </c>
      <c r="BC425" s="49">
        <f t="shared" si="424"/>
        <v>0</v>
      </c>
      <c r="BD425" s="49">
        <f t="shared" si="425"/>
        <v>1</v>
      </c>
      <c r="BE425" s="49">
        <f t="shared" si="426"/>
        <v>0</v>
      </c>
      <c r="BF425" s="49">
        <f t="shared" si="427"/>
        <v>0</v>
      </c>
      <c r="BG425" s="49">
        <f t="shared" si="428"/>
        <v>0</v>
      </c>
      <c r="BH425" s="49">
        <f t="shared" si="429"/>
        <v>1</v>
      </c>
      <c r="BI425" s="49">
        <f t="shared" si="430"/>
        <v>0</v>
      </c>
      <c r="BJ425" s="49">
        <f t="shared" si="431"/>
        <v>0</v>
      </c>
      <c r="BK425" s="49">
        <f t="shared" si="432"/>
        <v>0</v>
      </c>
      <c r="BL425" s="49">
        <f t="shared" si="433"/>
        <v>1</v>
      </c>
      <c r="BM425" s="49">
        <f t="shared" si="434"/>
        <v>0</v>
      </c>
      <c r="BN425" s="49">
        <f t="shared" si="435"/>
        <v>0</v>
      </c>
      <c r="BO425" s="49">
        <f t="shared" si="436"/>
        <v>0</v>
      </c>
      <c r="BP425" s="49">
        <f t="shared" si="437"/>
        <v>1</v>
      </c>
      <c r="BQ425" s="49">
        <f t="shared" si="438"/>
        <v>0</v>
      </c>
      <c r="BR425" s="49">
        <f t="shared" si="439"/>
        <v>0</v>
      </c>
      <c r="BS425" s="49">
        <f t="shared" si="440"/>
        <v>0</v>
      </c>
      <c r="BT425" s="49">
        <f t="shared" si="441"/>
        <v>1</v>
      </c>
      <c r="BU425" s="49">
        <f t="shared" si="442"/>
        <v>0</v>
      </c>
      <c r="BV425" s="49">
        <f t="shared" si="443"/>
        <v>0</v>
      </c>
      <c r="BW425" s="49">
        <f t="shared" si="444"/>
        <v>0</v>
      </c>
    </row>
    <row r="426" spans="1:75" ht="35.1" customHeight="1" x14ac:dyDescent="0.3">
      <c r="A426" s="123" t="str">
        <f t="shared" si="409"/>
        <v>4팀</v>
      </c>
      <c r="B426" s="69">
        <f t="shared" si="410"/>
        <v>420</v>
      </c>
      <c r="C426" s="121" t="str">
        <f>IF(VLOOKUP($B426,'1. 현장별 인원현황'!$C:$J,2,0)=0,"",VLOOKUP($B426,'1. 현장별 인원현황'!$C:$J,2,0))</f>
        <v xml:space="preserve"> [4.롯데건설] 구리 인창C구역 주택재개발정비사업 중 일반전기공사</v>
      </c>
      <c r="D426" s="74" t="str">
        <f>IF(VLOOKUP($B426,'1. 현장별 인원현황'!$C:$J,3,0)=0,"",VLOOKUP($B426,'1. 현장별 인원현황'!$C:$J,3,0))</f>
        <v>이윤재</v>
      </c>
      <c r="E426" s="74" t="str">
        <f ca="1">IF(VLOOKUP($B426,'1. 현장별 인원현황'!$C:$J,4,0)=0,"",VLOOKUP($B426,'1. 현장별 인원현황'!$C:$J,4,0))</f>
        <v>63세</v>
      </c>
      <c r="F426" s="70" t="str">
        <f>IF(VLOOKUP($B426,'1. 현장별 인원현황'!$C:$J,7,0)=0,"",VLOOKUP($B426,'1. 현장별 인원현황'!$C:$J,7,0))</f>
        <v>공사</v>
      </c>
      <c r="G426" s="72" t="str">
        <f>IF(VLOOKUP($B426,'1. 현장별 인원현황'!$C:$J,8,0)=0,"",VLOOKUP($B426,'1. 현장별 인원현황'!$C:$J,8,0))</f>
        <v>차장</v>
      </c>
      <c r="H426" s="67" t="s">
        <v>69</v>
      </c>
      <c r="I426" s="73"/>
      <c r="J426" s="73"/>
      <c r="K426" s="68"/>
      <c r="L426" s="67" t="s">
        <v>69</v>
      </c>
      <c r="M426" s="73"/>
      <c r="N426" s="73"/>
      <c r="O426" s="68"/>
      <c r="P426" s="67" t="s">
        <v>69</v>
      </c>
      <c r="Q426" s="73"/>
      <c r="R426" s="73"/>
      <c r="S426" s="68"/>
      <c r="T426" s="67" t="s">
        <v>69</v>
      </c>
      <c r="U426" s="73"/>
      <c r="V426" s="73"/>
      <c r="W426" s="68"/>
      <c r="X426" s="67" t="s">
        <v>69</v>
      </c>
      <c r="Y426" s="73"/>
      <c r="Z426" s="73"/>
      <c r="AA426" s="68"/>
      <c r="AB426" s="67" t="s">
        <v>69</v>
      </c>
      <c r="AC426" s="73"/>
      <c r="AD426" s="73"/>
      <c r="AE426" s="68"/>
      <c r="AF426" s="67" t="s">
        <v>69</v>
      </c>
      <c r="AG426" s="73"/>
      <c r="AH426" s="73"/>
      <c r="AI426" s="68"/>
      <c r="AJ426" s="67" t="s">
        <v>69</v>
      </c>
      <c r="AK426" s="73"/>
      <c r="AL426" s="73"/>
      <c r="AM426" s="68"/>
      <c r="AN426" s="67">
        <f t="shared" si="411"/>
        <v>100</v>
      </c>
      <c r="AO426" s="68" t="str">
        <f t="shared" si="412"/>
        <v>S</v>
      </c>
      <c r="AR426" s="49">
        <f t="shared" si="413"/>
        <v>1</v>
      </c>
      <c r="AS426" s="49">
        <f t="shared" si="414"/>
        <v>0</v>
      </c>
      <c r="AT426" s="49">
        <f t="shared" si="415"/>
        <v>0</v>
      </c>
      <c r="AU426" s="49">
        <f t="shared" si="416"/>
        <v>0</v>
      </c>
      <c r="AV426" s="49">
        <f t="shared" si="417"/>
        <v>1</v>
      </c>
      <c r="AW426" s="49">
        <f t="shared" si="418"/>
        <v>0</v>
      </c>
      <c r="AX426" s="49">
        <f t="shared" si="419"/>
        <v>0</v>
      </c>
      <c r="AY426" s="49">
        <f t="shared" si="420"/>
        <v>0</v>
      </c>
      <c r="AZ426" s="49">
        <f t="shared" si="421"/>
        <v>1</v>
      </c>
      <c r="BA426" s="49">
        <f t="shared" si="422"/>
        <v>0</v>
      </c>
      <c r="BB426" s="49">
        <f t="shared" si="423"/>
        <v>0</v>
      </c>
      <c r="BC426" s="49">
        <f t="shared" si="424"/>
        <v>0</v>
      </c>
      <c r="BD426" s="49">
        <f t="shared" si="425"/>
        <v>1</v>
      </c>
      <c r="BE426" s="49">
        <f t="shared" si="426"/>
        <v>0</v>
      </c>
      <c r="BF426" s="49">
        <f t="shared" si="427"/>
        <v>0</v>
      </c>
      <c r="BG426" s="49">
        <f t="shared" si="428"/>
        <v>0</v>
      </c>
      <c r="BH426" s="49">
        <f t="shared" si="429"/>
        <v>1</v>
      </c>
      <c r="BI426" s="49">
        <f t="shared" si="430"/>
        <v>0</v>
      </c>
      <c r="BJ426" s="49">
        <f t="shared" si="431"/>
        <v>0</v>
      </c>
      <c r="BK426" s="49">
        <f t="shared" si="432"/>
        <v>0</v>
      </c>
      <c r="BL426" s="49">
        <f t="shared" si="433"/>
        <v>1</v>
      </c>
      <c r="BM426" s="49">
        <f t="shared" si="434"/>
        <v>0</v>
      </c>
      <c r="BN426" s="49">
        <f t="shared" si="435"/>
        <v>0</v>
      </c>
      <c r="BO426" s="49">
        <f t="shared" si="436"/>
        <v>0</v>
      </c>
      <c r="BP426" s="49">
        <f t="shared" si="437"/>
        <v>1</v>
      </c>
      <c r="BQ426" s="49">
        <f t="shared" si="438"/>
        <v>0</v>
      </c>
      <c r="BR426" s="49">
        <f t="shared" si="439"/>
        <v>0</v>
      </c>
      <c r="BS426" s="49">
        <f t="shared" si="440"/>
        <v>0</v>
      </c>
      <c r="BT426" s="49">
        <f t="shared" si="441"/>
        <v>1</v>
      </c>
      <c r="BU426" s="49">
        <f t="shared" si="442"/>
        <v>0</v>
      </c>
      <c r="BV426" s="49">
        <f t="shared" si="443"/>
        <v>0</v>
      </c>
      <c r="BW426" s="49">
        <f t="shared" si="444"/>
        <v>0</v>
      </c>
    </row>
    <row r="427" spans="1:75" ht="35.1" customHeight="1" x14ac:dyDescent="0.3">
      <c r="A427" s="123" t="str">
        <f t="shared" si="409"/>
        <v>4팀</v>
      </c>
      <c r="B427" s="69">
        <f t="shared" si="410"/>
        <v>421</v>
      </c>
      <c r="C427" s="121" t="str">
        <f>IF(VLOOKUP($B427,'1. 현장별 인원현황'!$C:$J,2,0)=0,"",VLOOKUP($B427,'1. 현장별 인원현황'!$C:$J,2,0))</f>
        <v xml:space="preserve"> [4.롯데건설] 구리 인창C구역 주택재개발정비사업 중 일반전기공사</v>
      </c>
      <c r="D427" s="74" t="str">
        <f>IF(VLOOKUP($B427,'1. 현장별 인원현황'!$C:$J,3,0)=0,"",VLOOKUP($B427,'1. 현장별 인원현황'!$C:$J,3,0))</f>
        <v>고상인</v>
      </c>
      <c r="E427" s="74" t="str">
        <f ca="1">IF(VLOOKUP($B427,'1. 현장별 인원현황'!$C:$J,4,0)=0,"",VLOOKUP($B427,'1. 현장별 인원현황'!$C:$J,4,0))</f>
        <v>62세</v>
      </c>
      <c r="F427" s="70" t="str">
        <f>IF(VLOOKUP($B427,'1. 현장별 인원현황'!$C:$J,7,0)=0,"",VLOOKUP($B427,'1. 현장별 인원현황'!$C:$J,7,0))</f>
        <v>기능공</v>
      </c>
      <c r="G427" s="72" t="str">
        <f>IF(VLOOKUP($B427,'1. 현장별 인원현황'!$C:$J,8,0)=0,"",VLOOKUP($B427,'1. 현장별 인원현황'!$C:$J,8,0))</f>
        <v>전공</v>
      </c>
      <c r="H427" s="67" t="s">
        <v>69</v>
      </c>
      <c r="I427" s="73"/>
      <c r="J427" s="73"/>
      <c r="K427" s="68"/>
      <c r="L427" s="67"/>
      <c r="M427" s="73" t="s">
        <v>69</v>
      </c>
      <c r="N427" s="73"/>
      <c r="O427" s="68"/>
      <c r="P427" s="67" t="s">
        <v>69</v>
      </c>
      <c r="Q427" s="73"/>
      <c r="R427" s="73"/>
      <c r="S427" s="68"/>
      <c r="T427" s="67"/>
      <c r="U427" s="73" t="s">
        <v>69</v>
      </c>
      <c r="V427" s="73"/>
      <c r="W427" s="68"/>
      <c r="X427" s="67" t="s">
        <v>69</v>
      </c>
      <c r="Y427" s="73"/>
      <c r="Z427" s="73"/>
      <c r="AA427" s="68"/>
      <c r="AB427" s="67" t="s">
        <v>69</v>
      </c>
      <c r="AC427" s="73"/>
      <c r="AD427" s="73"/>
      <c r="AE427" s="68"/>
      <c r="AF427" s="67"/>
      <c r="AG427" s="73" t="s">
        <v>69</v>
      </c>
      <c r="AH427" s="73"/>
      <c r="AI427" s="68"/>
      <c r="AJ427" s="67" t="s">
        <v>69</v>
      </c>
      <c r="AK427" s="73"/>
      <c r="AL427" s="73"/>
      <c r="AM427" s="68"/>
      <c r="AN427" s="67">
        <f t="shared" si="411"/>
        <v>89</v>
      </c>
      <c r="AO427" s="68" t="str">
        <f t="shared" si="412"/>
        <v>S</v>
      </c>
      <c r="AR427" s="49">
        <f t="shared" si="413"/>
        <v>1</v>
      </c>
      <c r="AS427" s="49">
        <f t="shared" si="414"/>
        <v>0</v>
      </c>
      <c r="AT427" s="49">
        <f t="shared" si="415"/>
        <v>0</v>
      </c>
      <c r="AU427" s="49">
        <f t="shared" si="416"/>
        <v>0</v>
      </c>
      <c r="AV427" s="49">
        <f t="shared" si="417"/>
        <v>0</v>
      </c>
      <c r="AW427" s="49">
        <f t="shared" si="418"/>
        <v>1</v>
      </c>
      <c r="AX427" s="49">
        <f t="shared" si="419"/>
        <v>0</v>
      </c>
      <c r="AY427" s="49">
        <f t="shared" si="420"/>
        <v>0</v>
      </c>
      <c r="AZ427" s="49">
        <f t="shared" si="421"/>
        <v>1</v>
      </c>
      <c r="BA427" s="49">
        <f t="shared" si="422"/>
        <v>0</v>
      </c>
      <c r="BB427" s="49">
        <f t="shared" si="423"/>
        <v>0</v>
      </c>
      <c r="BC427" s="49">
        <f t="shared" si="424"/>
        <v>0</v>
      </c>
      <c r="BD427" s="49">
        <f t="shared" si="425"/>
        <v>0</v>
      </c>
      <c r="BE427" s="49">
        <f t="shared" si="426"/>
        <v>1</v>
      </c>
      <c r="BF427" s="49">
        <f t="shared" si="427"/>
        <v>0</v>
      </c>
      <c r="BG427" s="49">
        <f t="shared" si="428"/>
        <v>0</v>
      </c>
      <c r="BH427" s="49">
        <f t="shared" si="429"/>
        <v>1</v>
      </c>
      <c r="BI427" s="49">
        <f t="shared" si="430"/>
        <v>0</v>
      </c>
      <c r="BJ427" s="49">
        <f t="shared" si="431"/>
        <v>0</v>
      </c>
      <c r="BK427" s="49">
        <f t="shared" si="432"/>
        <v>0</v>
      </c>
      <c r="BL427" s="49">
        <f t="shared" si="433"/>
        <v>1</v>
      </c>
      <c r="BM427" s="49">
        <f t="shared" si="434"/>
        <v>0</v>
      </c>
      <c r="BN427" s="49">
        <f t="shared" si="435"/>
        <v>0</v>
      </c>
      <c r="BO427" s="49">
        <f t="shared" si="436"/>
        <v>0</v>
      </c>
      <c r="BP427" s="49">
        <f t="shared" si="437"/>
        <v>0</v>
      </c>
      <c r="BQ427" s="49">
        <f t="shared" si="438"/>
        <v>1</v>
      </c>
      <c r="BR427" s="49">
        <f t="shared" si="439"/>
        <v>0</v>
      </c>
      <c r="BS427" s="49">
        <f t="shared" si="440"/>
        <v>0</v>
      </c>
      <c r="BT427" s="49">
        <f t="shared" si="441"/>
        <v>1</v>
      </c>
      <c r="BU427" s="49">
        <f t="shared" si="442"/>
        <v>0</v>
      </c>
      <c r="BV427" s="49">
        <f t="shared" si="443"/>
        <v>0</v>
      </c>
      <c r="BW427" s="49">
        <f t="shared" si="444"/>
        <v>0</v>
      </c>
    </row>
    <row r="428" spans="1:75" ht="35.1" customHeight="1" x14ac:dyDescent="0.3">
      <c r="A428" s="123" t="str">
        <f t="shared" si="409"/>
        <v>4팀</v>
      </c>
      <c r="B428" s="69">
        <f t="shared" si="410"/>
        <v>422</v>
      </c>
      <c r="C428" s="121" t="str">
        <f>IF(VLOOKUP($B428,'1. 현장별 인원현황'!$C:$J,2,0)=0,"",VLOOKUP($B428,'1. 현장별 인원현황'!$C:$J,2,0))</f>
        <v xml:space="preserve"> [4.롯데건설] 구리 인창C구역 주택재개발정비사업 중 일반전기공사</v>
      </c>
      <c r="D428" s="74" t="str">
        <f>IF(VLOOKUP($B428,'1. 현장별 인원현황'!$C:$J,3,0)=0,"",VLOOKUP($B428,'1. 현장별 인원현황'!$C:$J,3,0))</f>
        <v>고용석</v>
      </c>
      <c r="E428" s="74" t="str">
        <f ca="1">IF(VLOOKUP($B428,'1. 현장별 인원현황'!$C:$J,4,0)=0,"",VLOOKUP($B428,'1. 현장별 인원현황'!$C:$J,4,0))</f>
        <v>40세</v>
      </c>
      <c r="F428" s="70" t="str">
        <f>IF(VLOOKUP($B428,'1. 현장별 인원현황'!$C:$J,7,0)=0,"",VLOOKUP($B428,'1. 현장별 인원현황'!$C:$J,7,0))</f>
        <v>기능공</v>
      </c>
      <c r="G428" s="72" t="str">
        <f>IF(VLOOKUP($B428,'1. 현장별 인원현황'!$C:$J,8,0)=0,"",VLOOKUP($B428,'1. 현장별 인원현황'!$C:$J,8,0))</f>
        <v>전공</v>
      </c>
      <c r="H428" s="67" t="s">
        <v>69</v>
      </c>
      <c r="I428" s="73"/>
      <c r="J428" s="73"/>
      <c r="K428" s="68"/>
      <c r="L428" s="67" t="s">
        <v>69</v>
      </c>
      <c r="M428" s="73"/>
      <c r="N428" s="73"/>
      <c r="O428" s="68"/>
      <c r="P428" s="67" t="s">
        <v>69</v>
      </c>
      <c r="Q428" s="73"/>
      <c r="R428" s="73"/>
      <c r="S428" s="68"/>
      <c r="T428" s="67"/>
      <c r="U428" s="73" t="s">
        <v>69</v>
      </c>
      <c r="V428" s="73"/>
      <c r="W428" s="68"/>
      <c r="X428" s="67" t="s">
        <v>69</v>
      </c>
      <c r="Y428" s="73"/>
      <c r="Z428" s="73"/>
      <c r="AA428" s="68"/>
      <c r="AB428" s="67" t="s">
        <v>69</v>
      </c>
      <c r="AC428" s="73"/>
      <c r="AD428" s="73"/>
      <c r="AE428" s="68"/>
      <c r="AF428" s="67"/>
      <c r="AG428" s="73" t="s">
        <v>69</v>
      </c>
      <c r="AH428" s="73"/>
      <c r="AI428" s="68"/>
      <c r="AJ428" s="67" t="s">
        <v>69</v>
      </c>
      <c r="AK428" s="73"/>
      <c r="AL428" s="73"/>
      <c r="AM428" s="68"/>
      <c r="AN428" s="67">
        <f t="shared" si="411"/>
        <v>93</v>
      </c>
      <c r="AO428" s="68" t="str">
        <f t="shared" si="412"/>
        <v>S</v>
      </c>
      <c r="AR428" s="49">
        <f t="shared" si="413"/>
        <v>1</v>
      </c>
      <c r="AS428" s="49">
        <f t="shared" si="414"/>
        <v>0</v>
      </c>
      <c r="AT428" s="49">
        <f t="shared" si="415"/>
        <v>0</v>
      </c>
      <c r="AU428" s="49">
        <f t="shared" si="416"/>
        <v>0</v>
      </c>
      <c r="AV428" s="49">
        <f t="shared" si="417"/>
        <v>1</v>
      </c>
      <c r="AW428" s="49">
        <f t="shared" si="418"/>
        <v>0</v>
      </c>
      <c r="AX428" s="49">
        <f t="shared" si="419"/>
        <v>0</v>
      </c>
      <c r="AY428" s="49">
        <f t="shared" si="420"/>
        <v>0</v>
      </c>
      <c r="AZ428" s="49">
        <f t="shared" si="421"/>
        <v>1</v>
      </c>
      <c r="BA428" s="49">
        <f t="shared" si="422"/>
        <v>0</v>
      </c>
      <c r="BB428" s="49">
        <f t="shared" si="423"/>
        <v>0</v>
      </c>
      <c r="BC428" s="49">
        <f t="shared" si="424"/>
        <v>0</v>
      </c>
      <c r="BD428" s="49">
        <f t="shared" si="425"/>
        <v>0</v>
      </c>
      <c r="BE428" s="49">
        <f t="shared" si="426"/>
        <v>1</v>
      </c>
      <c r="BF428" s="49">
        <f t="shared" si="427"/>
        <v>0</v>
      </c>
      <c r="BG428" s="49">
        <f t="shared" si="428"/>
        <v>0</v>
      </c>
      <c r="BH428" s="49">
        <f t="shared" si="429"/>
        <v>1</v>
      </c>
      <c r="BI428" s="49">
        <f t="shared" si="430"/>
        <v>0</v>
      </c>
      <c r="BJ428" s="49">
        <f t="shared" si="431"/>
        <v>0</v>
      </c>
      <c r="BK428" s="49">
        <f t="shared" si="432"/>
        <v>0</v>
      </c>
      <c r="BL428" s="49">
        <f t="shared" si="433"/>
        <v>1</v>
      </c>
      <c r="BM428" s="49">
        <f t="shared" si="434"/>
        <v>0</v>
      </c>
      <c r="BN428" s="49">
        <f t="shared" si="435"/>
        <v>0</v>
      </c>
      <c r="BO428" s="49">
        <f t="shared" si="436"/>
        <v>0</v>
      </c>
      <c r="BP428" s="49">
        <f t="shared" si="437"/>
        <v>0</v>
      </c>
      <c r="BQ428" s="49">
        <f t="shared" si="438"/>
        <v>1</v>
      </c>
      <c r="BR428" s="49">
        <f t="shared" si="439"/>
        <v>0</v>
      </c>
      <c r="BS428" s="49">
        <f t="shared" si="440"/>
        <v>0</v>
      </c>
      <c r="BT428" s="49">
        <f t="shared" si="441"/>
        <v>1</v>
      </c>
      <c r="BU428" s="49">
        <f t="shared" si="442"/>
        <v>0</v>
      </c>
      <c r="BV428" s="49">
        <f t="shared" si="443"/>
        <v>0</v>
      </c>
      <c r="BW428" s="49">
        <f t="shared" si="444"/>
        <v>0</v>
      </c>
    </row>
    <row r="429" spans="1:75" ht="35.1" customHeight="1" x14ac:dyDescent="0.3">
      <c r="A429" s="123" t="str">
        <f t="shared" si="409"/>
        <v>4팀</v>
      </c>
      <c r="B429" s="69">
        <f t="shared" si="410"/>
        <v>423</v>
      </c>
      <c r="C429" s="121" t="str">
        <f>IF(VLOOKUP($B429,'1. 현장별 인원현황'!$C:$J,2,0)=0,"",VLOOKUP($B429,'1. 현장별 인원현황'!$C:$J,2,0))</f>
        <v xml:space="preserve"> [4.롯데건설] 구리 인창C구역 주택재개발정비사업 중 일반전기공사</v>
      </c>
      <c r="D429" s="74" t="str">
        <f>IF(VLOOKUP($B429,'1. 현장별 인원현황'!$C:$J,3,0)=0,"",VLOOKUP($B429,'1. 현장별 인원현황'!$C:$J,3,0))</f>
        <v>박수봉</v>
      </c>
      <c r="E429" s="74" t="str">
        <f ca="1">IF(VLOOKUP($B429,'1. 현장별 인원현황'!$C:$J,4,0)=0,"",VLOOKUP($B429,'1. 현장별 인원현황'!$C:$J,4,0))</f>
        <v>38세</v>
      </c>
      <c r="F429" s="70" t="str">
        <f>IF(VLOOKUP($B429,'1. 현장별 인원현황'!$C:$J,7,0)=0,"",VLOOKUP($B429,'1. 현장별 인원현황'!$C:$J,7,0))</f>
        <v>기능공</v>
      </c>
      <c r="G429" s="72" t="str">
        <f>IF(VLOOKUP($B429,'1. 현장별 인원현황'!$C:$J,8,0)=0,"",VLOOKUP($B429,'1. 현장별 인원현황'!$C:$J,8,0))</f>
        <v>전공</v>
      </c>
      <c r="H429" s="67"/>
      <c r="I429" s="73" t="s">
        <v>69</v>
      </c>
      <c r="J429" s="73"/>
      <c r="K429" s="68"/>
      <c r="L429" s="67"/>
      <c r="M429" s="73" t="s">
        <v>69</v>
      </c>
      <c r="N429" s="73"/>
      <c r="O429" s="68"/>
      <c r="P429" s="67" t="s">
        <v>69</v>
      </c>
      <c r="Q429" s="73"/>
      <c r="R429" s="73"/>
      <c r="S429" s="68"/>
      <c r="T429" s="67"/>
      <c r="U429" s="73" t="s">
        <v>69</v>
      </c>
      <c r="V429" s="73"/>
      <c r="W429" s="68"/>
      <c r="X429" s="67" t="s">
        <v>69</v>
      </c>
      <c r="Y429" s="73"/>
      <c r="Z429" s="73"/>
      <c r="AA429" s="68"/>
      <c r="AB429" s="67" t="s">
        <v>69</v>
      </c>
      <c r="AC429" s="73"/>
      <c r="AD429" s="73"/>
      <c r="AE429" s="68"/>
      <c r="AF429" s="67"/>
      <c r="AG429" s="73" t="s">
        <v>69</v>
      </c>
      <c r="AH429" s="73"/>
      <c r="AI429" s="68"/>
      <c r="AJ429" s="67" t="s">
        <v>69</v>
      </c>
      <c r="AK429" s="73"/>
      <c r="AL429" s="73"/>
      <c r="AM429" s="68"/>
      <c r="AN429" s="67">
        <f t="shared" si="411"/>
        <v>85</v>
      </c>
      <c r="AO429" s="68" t="str">
        <f t="shared" si="412"/>
        <v>A</v>
      </c>
      <c r="AR429" s="49">
        <f t="shared" si="413"/>
        <v>0</v>
      </c>
      <c r="AS429" s="49">
        <f t="shared" si="414"/>
        <v>1</v>
      </c>
      <c r="AT429" s="49">
        <f t="shared" si="415"/>
        <v>0</v>
      </c>
      <c r="AU429" s="49">
        <f t="shared" si="416"/>
        <v>0</v>
      </c>
      <c r="AV429" s="49">
        <f t="shared" si="417"/>
        <v>0</v>
      </c>
      <c r="AW429" s="49">
        <f t="shared" si="418"/>
        <v>1</v>
      </c>
      <c r="AX429" s="49">
        <f t="shared" si="419"/>
        <v>0</v>
      </c>
      <c r="AY429" s="49">
        <f t="shared" si="420"/>
        <v>0</v>
      </c>
      <c r="AZ429" s="49">
        <f t="shared" si="421"/>
        <v>1</v>
      </c>
      <c r="BA429" s="49">
        <f t="shared" si="422"/>
        <v>0</v>
      </c>
      <c r="BB429" s="49">
        <f t="shared" si="423"/>
        <v>0</v>
      </c>
      <c r="BC429" s="49">
        <f t="shared" si="424"/>
        <v>0</v>
      </c>
      <c r="BD429" s="49">
        <f t="shared" si="425"/>
        <v>0</v>
      </c>
      <c r="BE429" s="49">
        <f t="shared" si="426"/>
        <v>1</v>
      </c>
      <c r="BF429" s="49">
        <f t="shared" si="427"/>
        <v>0</v>
      </c>
      <c r="BG429" s="49">
        <f t="shared" si="428"/>
        <v>0</v>
      </c>
      <c r="BH429" s="49">
        <f t="shared" si="429"/>
        <v>1</v>
      </c>
      <c r="BI429" s="49">
        <f t="shared" si="430"/>
        <v>0</v>
      </c>
      <c r="BJ429" s="49">
        <f t="shared" si="431"/>
        <v>0</v>
      </c>
      <c r="BK429" s="49">
        <f t="shared" si="432"/>
        <v>0</v>
      </c>
      <c r="BL429" s="49">
        <f t="shared" si="433"/>
        <v>1</v>
      </c>
      <c r="BM429" s="49">
        <f t="shared" si="434"/>
        <v>0</v>
      </c>
      <c r="BN429" s="49">
        <f t="shared" si="435"/>
        <v>0</v>
      </c>
      <c r="BO429" s="49">
        <f t="shared" si="436"/>
        <v>0</v>
      </c>
      <c r="BP429" s="49">
        <f t="shared" si="437"/>
        <v>0</v>
      </c>
      <c r="BQ429" s="49">
        <f t="shared" si="438"/>
        <v>1</v>
      </c>
      <c r="BR429" s="49">
        <f t="shared" si="439"/>
        <v>0</v>
      </c>
      <c r="BS429" s="49">
        <f t="shared" si="440"/>
        <v>0</v>
      </c>
      <c r="BT429" s="49">
        <f t="shared" si="441"/>
        <v>1</v>
      </c>
      <c r="BU429" s="49">
        <f t="shared" si="442"/>
        <v>0</v>
      </c>
      <c r="BV429" s="49">
        <f t="shared" si="443"/>
        <v>0</v>
      </c>
      <c r="BW429" s="49">
        <f t="shared" si="444"/>
        <v>0</v>
      </c>
    </row>
    <row r="430" spans="1:75" ht="35.1" customHeight="1" x14ac:dyDescent="0.3">
      <c r="A430" s="123" t="str">
        <f t="shared" si="409"/>
        <v>4팀</v>
      </c>
      <c r="B430" s="69">
        <f t="shared" si="410"/>
        <v>424</v>
      </c>
      <c r="C430" s="121" t="str">
        <f>IF(VLOOKUP($B430,'1. 현장별 인원현황'!$C:$J,2,0)=0,"",VLOOKUP($B430,'1. 현장별 인원현황'!$C:$J,2,0))</f>
        <v xml:space="preserve"> [4.롯데건설] 구리 인창C구역 주택재개발정비사업 중 일반전기공사</v>
      </c>
      <c r="D430" s="74" t="str">
        <f>IF(VLOOKUP($B430,'1. 현장별 인원현황'!$C:$J,3,0)=0,"",VLOOKUP($B430,'1. 현장별 인원현황'!$C:$J,3,0))</f>
        <v>윤호</v>
      </c>
      <c r="E430" s="74" t="str">
        <f ca="1">IF(VLOOKUP($B430,'1. 현장별 인원현황'!$C:$J,4,0)=0,"",VLOOKUP($B430,'1. 현장별 인원현황'!$C:$J,4,0))</f>
        <v>62세</v>
      </c>
      <c r="F430" s="70" t="str">
        <f>IF(VLOOKUP($B430,'1. 현장별 인원현황'!$C:$J,7,0)=0,"",VLOOKUP($B430,'1. 현장별 인원현황'!$C:$J,7,0))</f>
        <v>기능공</v>
      </c>
      <c r="G430" s="72" t="str">
        <f>IF(VLOOKUP($B430,'1. 현장별 인원현황'!$C:$J,8,0)=0,"",VLOOKUP($B430,'1. 현장별 인원현황'!$C:$J,8,0))</f>
        <v>전공</v>
      </c>
      <c r="H430" s="67" t="s">
        <v>69</v>
      </c>
      <c r="I430" s="73"/>
      <c r="J430" s="73"/>
      <c r="K430" s="68"/>
      <c r="L430" s="67" t="s">
        <v>69</v>
      </c>
      <c r="M430" s="73"/>
      <c r="N430" s="73"/>
      <c r="O430" s="68"/>
      <c r="P430" s="67" t="s">
        <v>69</v>
      </c>
      <c r="Q430" s="73"/>
      <c r="R430" s="73"/>
      <c r="S430" s="68"/>
      <c r="T430" s="67"/>
      <c r="U430" s="73" t="s">
        <v>69</v>
      </c>
      <c r="V430" s="73"/>
      <c r="W430" s="68"/>
      <c r="X430" s="67" t="s">
        <v>69</v>
      </c>
      <c r="Y430" s="73"/>
      <c r="Z430" s="73"/>
      <c r="AA430" s="68"/>
      <c r="AB430" s="67" t="s">
        <v>69</v>
      </c>
      <c r="AC430" s="73"/>
      <c r="AD430" s="73"/>
      <c r="AE430" s="68"/>
      <c r="AF430" s="67"/>
      <c r="AG430" s="73" t="s">
        <v>69</v>
      </c>
      <c r="AH430" s="73"/>
      <c r="AI430" s="68"/>
      <c r="AJ430" s="67" t="s">
        <v>69</v>
      </c>
      <c r="AK430" s="73"/>
      <c r="AL430" s="73"/>
      <c r="AM430" s="68"/>
      <c r="AN430" s="67">
        <f t="shared" si="411"/>
        <v>93</v>
      </c>
      <c r="AO430" s="68" t="str">
        <f t="shared" si="412"/>
        <v>S</v>
      </c>
      <c r="AR430" s="49">
        <f t="shared" si="413"/>
        <v>1</v>
      </c>
      <c r="AS430" s="49">
        <f t="shared" si="414"/>
        <v>0</v>
      </c>
      <c r="AT430" s="49">
        <f t="shared" si="415"/>
        <v>0</v>
      </c>
      <c r="AU430" s="49">
        <f t="shared" si="416"/>
        <v>0</v>
      </c>
      <c r="AV430" s="49">
        <f t="shared" si="417"/>
        <v>1</v>
      </c>
      <c r="AW430" s="49">
        <f t="shared" si="418"/>
        <v>0</v>
      </c>
      <c r="AX430" s="49">
        <f t="shared" si="419"/>
        <v>0</v>
      </c>
      <c r="AY430" s="49">
        <f t="shared" si="420"/>
        <v>0</v>
      </c>
      <c r="AZ430" s="49">
        <f t="shared" si="421"/>
        <v>1</v>
      </c>
      <c r="BA430" s="49">
        <f t="shared" si="422"/>
        <v>0</v>
      </c>
      <c r="BB430" s="49">
        <f t="shared" si="423"/>
        <v>0</v>
      </c>
      <c r="BC430" s="49">
        <f t="shared" si="424"/>
        <v>0</v>
      </c>
      <c r="BD430" s="49">
        <f t="shared" si="425"/>
        <v>0</v>
      </c>
      <c r="BE430" s="49">
        <f t="shared" si="426"/>
        <v>1</v>
      </c>
      <c r="BF430" s="49">
        <f t="shared" si="427"/>
        <v>0</v>
      </c>
      <c r="BG430" s="49">
        <f t="shared" si="428"/>
        <v>0</v>
      </c>
      <c r="BH430" s="49">
        <f t="shared" si="429"/>
        <v>1</v>
      </c>
      <c r="BI430" s="49">
        <f t="shared" si="430"/>
        <v>0</v>
      </c>
      <c r="BJ430" s="49">
        <f t="shared" si="431"/>
        <v>0</v>
      </c>
      <c r="BK430" s="49">
        <f t="shared" si="432"/>
        <v>0</v>
      </c>
      <c r="BL430" s="49">
        <f t="shared" si="433"/>
        <v>1</v>
      </c>
      <c r="BM430" s="49">
        <f t="shared" si="434"/>
        <v>0</v>
      </c>
      <c r="BN430" s="49">
        <f t="shared" si="435"/>
        <v>0</v>
      </c>
      <c r="BO430" s="49">
        <f t="shared" si="436"/>
        <v>0</v>
      </c>
      <c r="BP430" s="49">
        <f t="shared" si="437"/>
        <v>0</v>
      </c>
      <c r="BQ430" s="49">
        <f t="shared" si="438"/>
        <v>1</v>
      </c>
      <c r="BR430" s="49">
        <f t="shared" si="439"/>
        <v>0</v>
      </c>
      <c r="BS430" s="49">
        <f t="shared" si="440"/>
        <v>0</v>
      </c>
      <c r="BT430" s="49">
        <f t="shared" si="441"/>
        <v>1</v>
      </c>
      <c r="BU430" s="49">
        <f t="shared" si="442"/>
        <v>0</v>
      </c>
      <c r="BV430" s="49">
        <f t="shared" si="443"/>
        <v>0</v>
      </c>
      <c r="BW430" s="49">
        <f t="shared" si="444"/>
        <v>0</v>
      </c>
    </row>
    <row r="431" spans="1:75" ht="35.1" customHeight="1" x14ac:dyDescent="0.3">
      <c r="A431" s="123" t="str">
        <f t="shared" si="409"/>
        <v>4팀</v>
      </c>
      <c r="B431" s="69">
        <f t="shared" si="410"/>
        <v>425</v>
      </c>
      <c r="C431" s="121" t="str">
        <f>IF(VLOOKUP($B431,'1. 현장별 인원현황'!$C:$J,2,0)=0,"",VLOOKUP($B431,'1. 현장별 인원현황'!$C:$J,2,0))</f>
        <v xml:space="preserve"> [4.롯데건설] 구리 인창C구역 주택재개발정비사업 중 일반전기공사</v>
      </c>
      <c r="D431" s="74" t="str">
        <f>IF(VLOOKUP($B431,'1. 현장별 인원현황'!$C:$J,3,0)=0,"",VLOOKUP($B431,'1. 현장별 인원현황'!$C:$J,3,0))</f>
        <v>정해균</v>
      </c>
      <c r="E431" s="74" t="str">
        <f ca="1">IF(VLOOKUP($B431,'1. 현장별 인원현황'!$C:$J,4,0)=0,"",VLOOKUP($B431,'1. 현장별 인원현황'!$C:$J,4,0))</f>
        <v>51세</v>
      </c>
      <c r="F431" s="70" t="str">
        <f>IF(VLOOKUP($B431,'1. 현장별 인원현황'!$C:$J,7,0)=0,"",VLOOKUP($B431,'1. 현장별 인원현황'!$C:$J,7,0))</f>
        <v>기능공</v>
      </c>
      <c r="G431" s="72" t="str">
        <f>IF(VLOOKUP($B431,'1. 현장별 인원현황'!$C:$J,8,0)=0,"",VLOOKUP($B431,'1. 현장별 인원현황'!$C:$J,8,0))</f>
        <v>전공</v>
      </c>
      <c r="H431" s="67" t="s">
        <v>69</v>
      </c>
      <c r="I431" s="73"/>
      <c r="J431" s="73"/>
      <c r="K431" s="68"/>
      <c r="L431" s="67"/>
      <c r="M431" s="73" t="s">
        <v>69</v>
      </c>
      <c r="N431" s="73"/>
      <c r="O431" s="68"/>
      <c r="P431" s="67" t="s">
        <v>69</v>
      </c>
      <c r="Q431" s="73"/>
      <c r="R431" s="73"/>
      <c r="S431" s="68"/>
      <c r="T431" s="67"/>
      <c r="U431" s="73" t="s">
        <v>69</v>
      </c>
      <c r="V431" s="73"/>
      <c r="W431" s="68"/>
      <c r="X431" s="67" t="s">
        <v>69</v>
      </c>
      <c r="Y431" s="73"/>
      <c r="Z431" s="73"/>
      <c r="AA431" s="68"/>
      <c r="AB431" s="67" t="s">
        <v>69</v>
      </c>
      <c r="AC431" s="73"/>
      <c r="AD431" s="73"/>
      <c r="AE431" s="68"/>
      <c r="AF431" s="67"/>
      <c r="AG431" s="73" t="s">
        <v>69</v>
      </c>
      <c r="AH431" s="73"/>
      <c r="AI431" s="68"/>
      <c r="AJ431" s="67" t="s">
        <v>69</v>
      </c>
      <c r="AK431" s="73"/>
      <c r="AL431" s="73"/>
      <c r="AM431" s="68"/>
      <c r="AN431" s="67">
        <f t="shared" si="411"/>
        <v>89</v>
      </c>
      <c r="AO431" s="68" t="str">
        <f t="shared" si="412"/>
        <v>S</v>
      </c>
      <c r="AR431" s="49">
        <f t="shared" si="413"/>
        <v>1</v>
      </c>
      <c r="AS431" s="49">
        <f t="shared" si="414"/>
        <v>0</v>
      </c>
      <c r="AT431" s="49">
        <f t="shared" si="415"/>
        <v>0</v>
      </c>
      <c r="AU431" s="49">
        <f t="shared" si="416"/>
        <v>0</v>
      </c>
      <c r="AV431" s="49">
        <f t="shared" si="417"/>
        <v>0</v>
      </c>
      <c r="AW431" s="49">
        <f t="shared" si="418"/>
        <v>1</v>
      </c>
      <c r="AX431" s="49">
        <f t="shared" si="419"/>
        <v>0</v>
      </c>
      <c r="AY431" s="49">
        <f t="shared" si="420"/>
        <v>0</v>
      </c>
      <c r="AZ431" s="49">
        <f t="shared" si="421"/>
        <v>1</v>
      </c>
      <c r="BA431" s="49">
        <f t="shared" si="422"/>
        <v>0</v>
      </c>
      <c r="BB431" s="49">
        <f t="shared" si="423"/>
        <v>0</v>
      </c>
      <c r="BC431" s="49">
        <f t="shared" si="424"/>
        <v>0</v>
      </c>
      <c r="BD431" s="49">
        <f t="shared" si="425"/>
        <v>0</v>
      </c>
      <c r="BE431" s="49">
        <f t="shared" si="426"/>
        <v>1</v>
      </c>
      <c r="BF431" s="49">
        <f t="shared" si="427"/>
        <v>0</v>
      </c>
      <c r="BG431" s="49">
        <f t="shared" si="428"/>
        <v>0</v>
      </c>
      <c r="BH431" s="49">
        <f t="shared" si="429"/>
        <v>1</v>
      </c>
      <c r="BI431" s="49">
        <f t="shared" si="430"/>
        <v>0</v>
      </c>
      <c r="BJ431" s="49">
        <f t="shared" si="431"/>
        <v>0</v>
      </c>
      <c r="BK431" s="49">
        <f t="shared" si="432"/>
        <v>0</v>
      </c>
      <c r="BL431" s="49">
        <f t="shared" si="433"/>
        <v>1</v>
      </c>
      <c r="BM431" s="49">
        <f t="shared" si="434"/>
        <v>0</v>
      </c>
      <c r="BN431" s="49">
        <f t="shared" si="435"/>
        <v>0</v>
      </c>
      <c r="BO431" s="49">
        <f t="shared" si="436"/>
        <v>0</v>
      </c>
      <c r="BP431" s="49">
        <f t="shared" si="437"/>
        <v>0</v>
      </c>
      <c r="BQ431" s="49">
        <f t="shared" si="438"/>
        <v>1</v>
      </c>
      <c r="BR431" s="49">
        <f t="shared" si="439"/>
        <v>0</v>
      </c>
      <c r="BS431" s="49">
        <f t="shared" si="440"/>
        <v>0</v>
      </c>
      <c r="BT431" s="49">
        <f t="shared" si="441"/>
        <v>1</v>
      </c>
      <c r="BU431" s="49">
        <f t="shared" si="442"/>
        <v>0</v>
      </c>
      <c r="BV431" s="49">
        <f t="shared" si="443"/>
        <v>0</v>
      </c>
      <c r="BW431" s="49">
        <f t="shared" si="444"/>
        <v>0</v>
      </c>
    </row>
    <row r="432" spans="1:75" ht="35.1" customHeight="1" x14ac:dyDescent="0.3">
      <c r="A432" s="123" t="str">
        <f t="shared" si="409"/>
        <v>4팀</v>
      </c>
      <c r="B432" s="69">
        <f t="shared" si="410"/>
        <v>426</v>
      </c>
      <c r="C432" s="121" t="str">
        <f>IF(VLOOKUP($B432,'1. 현장별 인원현황'!$C:$J,2,0)=0,"",VLOOKUP($B432,'1. 현장별 인원현황'!$C:$J,2,0))</f>
        <v xml:space="preserve"> [4.롯데건설] 구리 인창C구역 주택재개발정비사업 중 일반전기공사</v>
      </c>
      <c r="D432" s="74" t="str">
        <f>IF(VLOOKUP($B432,'1. 현장별 인원현황'!$C:$J,3,0)=0,"",VLOOKUP($B432,'1. 현장별 인원현황'!$C:$J,3,0))</f>
        <v>최해영</v>
      </c>
      <c r="E432" s="74" t="str">
        <f ca="1">IF(VLOOKUP($B432,'1. 현장별 인원현황'!$C:$J,4,0)=0,"",VLOOKUP($B432,'1. 현장별 인원현황'!$C:$J,4,0))</f>
        <v>60세</v>
      </c>
      <c r="F432" s="70" t="str">
        <f>IF(VLOOKUP($B432,'1. 현장별 인원현황'!$C:$J,7,0)=0,"",VLOOKUP($B432,'1. 현장별 인원현황'!$C:$J,7,0))</f>
        <v>기능공</v>
      </c>
      <c r="G432" s="72" t="str">
        <f>IF(VLOOKUP($B432,'1. 현장별 인원현황'!$C:$J,8,0)=0,"",VLOOKUP($B432,'1. 현장별 인원현황'!$C:$J,8,0))</f>
        <v>전공</v>
      </c>
      <c r="H432" s="67" t="s">
        <v>69</v>
      </c>
      <c r="I432" s="73"/>
      <c r="J432" s="73"/>
      <c r="K432" s="68"/>
      <c r="L432" s="67"/>
      <c r="M432" s="73" t="s">
        <v>69</v>
      </c>
      <c r="N432" s="73"/>
      <c r="O432" s="68"/>
      <c r="P432" s="67" t="s">
        <v>69</v>
      </c>
      <c r="Q432" s="73"/>
      <c r="R432" s="73"/>
      <c r="S432" s="68"/>
      <c r="T432" s="67"/>
      <c r="U432" s="73" t="s">
        <v>69</v>
      </c>
      <c r="V432" s="73"/>
      <c r="W432" s="68"/>
      <c r="X432" s="67" t="s">
        <v>69</v>
      </c>
      <c r="Y432" s="73"/>
      <c r="Z432" s="73"/>
      <c r="AA432" s="68"/>
      <c r="AB432" s="67" t="s">
        <v>69</v>
      </c>
      <c r="AC432" s="73"/>
      <c r="AD432" s="73"/>
      <c r="AE432" s="68"/>
      <c r="AF432" s="67"/>
      <c r="AG432" s="73" t="s">
        <v>69</v>
      </c>
      <c r="AH432" s="73"/>
      <c r="AI432" s="68"/>
      <c r="AJ432" s="67" t="s">
        <v>69</v>
      </c>
      <c r="AK432" s="73"/>
      <c r="AL432" s="73"/>
      <c r="AM432" s="68"/>
      <c r="AN432" s="67">
        <f t="shared" si="411"/>
        <v>89</v>
      </c>
      <c r="AO432" s="68" t="str">
        <f t="shared" si="412"/>
        <v>S</v>
      </c>
      <c r="AR432" s="49">
        <f t="shared" si="413"/>
        <v>1</v>
      </c>
      <c r="AS432" s="49">
        <f t="shared" si="414"/>
        <v>0</v>
      </c>
      <c r="AT432" s="49">
        <f t="shared" si="415"/>
        <v>0</v>
      </c>
      <c r="AU432" s="49">
        <f t="shared" si="416"/>
        <v>0</v>
      </c>
      <c r="AV432" s="49">
        <f t="shared" si="417"/>
        <v>0</v>
      </c>
      <c r="AW432" s="49">
        <f t="shared" si="418"/>
        <v>1</v>
      </c>
      <c r="AX432" s="49">
        <f t="shared" si="419"/>
        <v>0</v>
      </c>
      <c r="AY432" s="49">
        <f t="shared" si="420"/>
        <v>0</v>
      </c>
      <c r="AZ432" s="49">
        <f t="shared" si="421"/>
        <v>1</v>
      </c>
      <c r="BA432" s="49">
        <f t="shared" si="422"/>
        <v>0</v>
      </c>
      <c r="BB432" s="49">
        <f t="shared" si="423"/>
        <v>0</v>
      </c>
      <c r="BC432" s="49">
        <f t="shared" si="424"/>
        <v>0</v>
      </c>
      <c r="BD432" s="49">
        <f t="shared" si="425"/>
        <v>0</v>
      </c>
      <c r="BE432" s="49">
        <f t="shared" si="426"/>
        <v>1</v>
      </c>
      <c r="BF432" s="49">
        <f t="shared" si="427"/>
        <v>0</v>
      </c>
      <c r="BG432" s="49">
        <f t="shared" si="428"/>
        <v>0</v>
      </c>
      <c r="BH432" s="49">
        <f t="shared" si="429"/>
        <v>1</v>
      </c>
      <c r="BI432" s="49">
        <f t="shared" si="430"/>
        <v>0</v>
      </c>
      <c r="BJ432" s="49">
        <f t="shared" si="431"/>
        <v>0</v>
      </c>
      <c r="BK432" s="49">
        <f t="shared" si="432"/>
        <v>0</v>
      </c>
      <c r="BL432" s="49">
        <f t="shared" si="433"/>
        <v>1</v>
      </c>
      <c r="BM432" s="49">
        <f t="shared" si="434"/>
        <v>0</v>
      </c>
      <c r="BN432" s="49">
        <f t="shared" si="435"/>
        <v>0</v>
      </c>
      <c r="BO432" s="49">
        <f t="shared" si="436"/>
        <v>0</v>
      </c>
      <c r="BP432" s="49">
        <f t="shared" si="437"/>
        <v>0</v>
      </c>
      <c r="BQ432" s="49">
        <f t="shared" si="438"/>
        <v>1</v>
      </c>
      <c r="BR432" s="49">
        <f t="shared" si="439"/>
        <v>0</v>
      </c>
      <c r="BS432" s="49">
        <f t="shared" si="440"/>
        <v>0</v>
      </c>
      <c r="BT432" s="49">
        <f t="shared" si="441"/>
        <v>1</v>
      </c>
      <c r="BU432" s="49">
        <f t="shared" si="442"/>
        <v>0</v>
      </c>
      <c r="BV432" s="49">
        <f t="shared" si="443"/>
        <v>0</v>
      </c>
      <c r="BW432" s="49">
        <f t="shared" si="444"/>
        <v>0</v>
      </c>
    </row>
    <row r="433" spans="1:75" ht="35.1" customHeight="1" x14ac:dyDescent="0.3">
      <c r="A433" s="123" t="str">
        <f t="shared" si="409"/>
        <v>4팀</v>
      </c>
      <c r="B433" s="69">
        <f t="shared" si="410"/>
        <v>427</v>
      </c>
      <c r="C433" s="121" t="str">
        <f>IF(VLOOKUP($B433,'1. 현장별 인원현황'!$C:$J,2,0)=0,"",VLOOKUP($B433,'1. 현장별 인원현황'!$C:$J,2,0))</f>
        <v xml:space="preserve"> [4.롯데건설] 롯데바이오로직스 Project PROVIDENCE</v>
      </c>
      <c r="D433" s="74" t="str">
        <f>IF(VLOOKUP($B433,'1. 현장별 인원현황'!$C:$J,3,0)=0,"",VLOOKUP($B433,'1. 현장별 인원현황'!$C:$J,3,0))</f>
        <v>성시선</v>
      </c>
      <c r="E433" s="74" t="str">
        <f ca="1">IF(VLOOKUP($B433,'1. 현장별 인원현황'!$C:$J,4,0)=0,"",VLOOKUP($B433,'1. 현장별 인원현황'!$C:$J,4,0))</f>
        <v>54세</v>
      </c>
      <c r="F433" s="70" t="str">
        <f>IF(VLOOKUP($B433,'1. 현장별 인원현황'!$C:$J,7,0)=0,"",VLOOKUP($B433,'1. 현장별 인원현황'!$C:$J,7,0))</f>
        <v>공사</v>
      </c>
      <c r="G433" s="72" t="str">
        <f>IF(VLOOKUP($B433,'1. 현장별 인원현황'!$C:$J,8,0)=0,"",VLOOKUP($B433,'1. 현장별 인원현황'!$C:$J,8,0))</f>
        <v>차장</v>
      </c>
      <c r="H433" s="67" t="s">
        <v>69</v>
      </c>
      <c r="I433" s="73"/>
      <c r="J433" s="73"/>
      <c r="K433" s="68"/>
      <c r="L433" s="67"/>
      <c r="M433" s="73"/>
      <c r="N433" s="73" t="s">
        <v>69</v>
      </c>
      <c r="O433" s="68"/>
      <c r="P433" s="67" t="s">
        <v>69</v>
      </c>
      <c r="Q433" s="73"/>
      <c r="R433" s="73"/>
      <c r="S433" s="68"/>
      <c r="T433" s="67"/>
      <c r="U433" s="73" t="s">
        <v>69</v>
      </c>
      <c r="V433" s="73"/>
      <c r="W433" s="68"/>
      <c r="X433" s="67" t="s">
        <v>69</v>
      </c>
      <c r="Y433" s="73"/>
      <c r="Z433" s="73"/>
      <c r="AA433" s="68"/>
      <c r="AB433" s="67" t="s">
        <v>69</v>
      </c>
      <c r="AC433" s="73"/>
      <c r="AD433" s="73"/>
      <c r="AE433" s="68"/>
      <c r="AF433" s="67" t="s">
        <v>69</v>
      </c>
      <c r="AG433" s="73"/>
      <c r="AH433" s="73"/>
      <c r="AI433" s="68"/>
      <c r="AJ433" s="67" t="s">
        <v>69</v>
      </c>
      <c r="AK433" s="73"/>
      <c r="AL433" s="73"/>
      <c r="AM433" s="68"/>
      <c r="AN433" s="67">
        <f t="shared" si="411"/>
        <v>88</v>
      </c>
      <c r="AO433" s="68" t="str">
        <f t="shared" si="412"/>
        <v>S</v>
      </c>
      <c r="AR433" s="49">
        <f t="shared" si="413"/>
        <v>1</v>
      </c>
      <c r="AS433" s="49">
        <f t="shared" si="414"/>
        <v>0</v>
      </c>
      <c r="AT433" s="49">
        <f t="shared" si="415"/>
        <v>0</v>
      </c>
      <c r="AU433" s="49">
        <f t="shared" si="416"/>
        <v>0</v>
      </c>
      <c r="AV433" s="49">
        <f t="shared" si="417"/>
        <v>0</v>
      </c>
      <c r="AW433" s="49">
        <f t="shared" si="418"/>
        <v>0</v>
      </c>
      <c r="AX433" s="49">
        <f t="shared" si="419"/>
        <v>1</v>
      </c>
      <c r="AY433" s="49">
        <f t="shared" si="420"/>
        <v>0</v>
      </c>
      <c r="AZ433" s="49">
        <f t="shared" si="421"/>
        <v>1</v>
      </c>
      <c r="BA433" s="49">
        <f t="shared" si="422"/>
        <v>0</v>
      </c>
      <c r="BB433" s="49">
        <f t="shared" si="423"/>
        <v>0</v>
      </c>
      <c r="BC433" s="49">
        <f t="shared" si="424"/>
        <v>0</v>
      </c>
      <c r="BD433" s="49">
        <f t="shared" si="425"/>
        <v>0</v>
      </c>
      <c r="BE433" s="49">
        <f t="shared" si="426"/>
        <v>1</v>
      </c>
      <c r="BF433" s="49">
        <f t="shared" si="427"/>
        <v>0</v>
      </c>
      <c r="BG433" s="49">
        <f t="shared" si="428"/>
        <v>0</v>
      </c>
      <c r="BH433" s="49">
        <f t="shared" si="429"/>
        <v>1</v>
      </c>
      <c r="BI433" s="49">
        <f t="shared" si="430"/>
        <v>0</v>
      </c>
      <c r="BJ433" s="49">
        <f t="shared" si="431"/>
        <v>0</v>
      </c>
      <c r="BK433" s="49">
        <f t="shared" si="432"/>
        <v>0</v>
      </c>
      <c r="BL433" s="49">
        <f t="shared" si="433"/>
        <v>1</v>
      </c>
      <c r="BM433" s="49">
        <f t="shared" si="434"/>
        <v>0</v>
      </c>
      <c r="BN433" s="49">
        <f t="shared" si="435"/>
        <v>0</v>
      </c>
      <c r="BO433" s="49">
        <f t="shared" si="436"/>
        <v>0</v>
      </c>
      <c r="BP433" s="49">
        <f t="shared" si="437"/>
        <v>1</v>
      </c>
      <c r="BQ433" s="49">
        <f t="shared" si="438"/>
        <v>0</v>
      </c>
      <c r="BR433" s="49">
        <f t="shared" si="439"/>
        <v>0</v>
      </c>
      <c r="BS433" s="49">
        <f t="shared" si="440"/>
        <v>0</v>
      </c>
      <c r="BT433" s="49">
        <f t="shared" si="441"/>
        <v>1</v>
      </c>
      <c r="BU433" s="49">
        <f t="shared" si="442"/>
        <v>0</v>
      </c>
      <c r="BV433" s="49">
        <f t="shared" si="443"/>
        <v>0</v>
      </c>
      <c r="BW433" s="49">
        <f t="shared" si="444"/>
        <v>0</v>
      </c>
    </row>
    <row r="434" spans="1:75" ht="35.1" customHeight="1" x14ac:dyDescent="0.3">
      <c r="A434" s="123" t="str">
        <f t="shared" si="409"/>
        <v>4팀</v>
      </c>
      <c r="B434" s="69">
        <f t="shared" si="410"/>
        <v>428</v>
      </c>
      <c r="C434" s="121" t="str">
        <f>IF(VLOOKUP($B434,'1. 현장별 인원현황'!$C:$J,2,0)=0,"",VLOOKUP($B434,'1. 현장별 인원현황'!$C:$J,2,0))</f>
        <v xml:space="preserve"> [4.롯데건설] 롯데바이오로직스 Project PROVIDENCE</v>
      </c>
      <c r="D434" s="74" t="str">
        <f>IF(VLOOKUP($B434,'1. 현장별 인원현황'!$C:$J,3,0)=0,"",VLOOKUP($B434,'1. 현장별 인원현황'!$C:$J,3,0))</f>
        <v>곽은철</v>
      </c>
      <c r="E434" s="74" t="str">
        <f ca="1">IF(VLOOKUP($B434,'1. 현장별 인원현황'!$C:$J,4,0)=0,"",VLOOKUP($B434,'1. 현장별 인원현황'!$C:$J,4,0))</f>
        <v>41세</v>
      </c>
      <c r="F434" s="70" t="str">
        <f>IF(VLOOKUP($B434,'1. 현장별 인원현황'!$C:$J,7,0)=0,"",VLOOKUP($B434,'1. 현장별 인원현황'!$C:$J,7,0))</f>
        <v>공무</v>
      </c>
      <c r="G434" s="72" t="str">
        <f>IF(VLOOKUP($B434,'1. 현장별 인원현황'!$C:$J,8,0)=0,"",VLOOKUP($B434,'1. 현장별 인원현황'!$C:$J,8,0))</f>
        <v>부장</v>
      </c>
      <c r="H434" s="67" t="s">
        <v>69</v>
      </c>
      <c r="I434" s="73"/>
      <c r="J434" s="73"/>
      <c r="K434" s="68"/>
      <c r="L434" s="67"/>
      <c r="M434" s="73"/>
      <c r="N434" s="73" t="s">
        <v>69</v>
      </c>
      <c r="O434" s="68"/>
      <c r="P434" s="67" t="s">
        <v>69</v>
      </c>
      <c r="Q434" s="73"/>
      <c r="R434" s="73"/>
      <c r="S434" s="68"/>
      <c r="T434" s="67"/>
      <c r="U434" s="73" t="s">
        <v>69</v>
      </c>
      <c r="V434" s="73"/>
      <c r="W434" s="68"/>
      <c r="X434" s="67" t="s">
        <v>69</v>
      </c>
      <c r="Y434" s="73"/>
      <c r="Z434" s="73"/>
      <c r="AA434" s="68"/>
      <c r="AB434" s="67" t="s">
        <v>69</v>
      </c>
      <c r="AC434" s="73"/>
      <c r="AD434" s="73"/>
      <c r="AE434" s="68"/>
      <c r="AF434" s="67" t="s">
        <v>69</v>
      </c>
      <c r="AG434" s="73"/>
      <c r="AH434" s="73"/>
      <c r="AI434" s="68"/>
      <c r="AJ434" s="67" t="s">
        <v>69</v>
      </c>
      <c r="AK434" s="73"/>
      <c r="AL434" s="73"/>
      <c r="AM434" s="68"/>
      <c r="AN434" s="67">
        <f t="shared" si="411"/>
        <v>88</v>
      </c>
      <c r="AO434" s="68" t="str">
        <f t="shared" si="412"/>
        <v>S</v>
      </c>
      <c r="AR434" s="49">
        <f t="shared" si="413"/>
        <v>1</v>
      </c>
      <c r="AS434" s="49">
        <f t="shared" si="414"/>
        <v>0</v>
      </c>
      <c r="AT434" s="49">
        <f t="shared" si="415"/>
        <v>0</v>
      </c>
      <c r="AU434" s="49">
        <f t="shared" si="416"/>
        <v>0</v>
      </c>
      <c r="AV434" s="49">
        <f t="shared" si="417"/>
        <v>0</v>
      </c>
      <c r="AW434" s="49">
        <f t="shared" si="418"/>
        <v>0</v>
      </c>
      <c r="AX434" s="49">
        <f t="shared" si="419"/>
        <v>1</v>
      </c>
      <c r="AY434" s="49">
        <f t="shared" si="420"/>
        <v>0</v>
      </c>
      <c r="AZ434" s="49">
        <f t="shared" si="421"/>
        <v>1</v>
      </c>
      <c r="BA434" s="49">
        <f t="shared" si="422"/>
        <v>0</v>
      </c>
      <c r="BB434" s="49">
        <f t="shared" si="423"/>
        <v>0</v>
      </c>
      <c r="BC434" s="49">
        <f t="shared" si="424"/>
        <v>0</v>
      </c>
      <c r="BD434" s="49">
        <f t="shared" si="425"/>
        <v>0</v>
      </c>
      <c r="BE434" s="49">
        <f t="shared" si="426"/>
        <v>1</v>
      </c>
      <c r="BF434" s="49">
        <f t="shared" si="427"/>
        <v>0</v>
      </c>
      <c r="BG434" s="49">
        <f t="shared" si="428"/>
        <v>0</v>
      </c>
      <c r="BH434" s="49">
        <f t="shared" si="429"/>
        <v>1</v>
      </c>
      <c r="BI434" s="49">
        <f t="shared" si="430"/>
        <v>0</v>
      </c>
      <c r="BJ434" s="49">
        <f t="shared" si="431"/>
        <v>0</v>
      </c>
      <c r="BK434" s="49">
        <f t="shared" si="432"/>
        <v>0</v>
      </c>
      <c r="BL434" s="49">
        <f t="shared" si="433"/>
        <v>1</v>
      </c>
      <c r="BM434" s="49">
        <f t="shared" si="434"/>
        <v>0</v>
      </c>
      <c r="BN434" s="49">
        <f t="shared" si="435"/>
        <v>0</v>
      </c>
      <c r="BO434" s="49">
        <f t="shared" si="436"/>
        <v>0</v>
      </c>
      <c r="BP434" s="49">
        <f t="shared" si="437"/>
        <v>1</v>
      </c>
      <c r="BQ434" s="49">
        <f t="shared" si="438"/>
        <v>0</v>
      </c>
      <c r="BR434" s="49">
        <f t="shared" si="439"/>
        <v>0</v>
      </c>
      <c r="BS434" s="49">
        <f t="shared" si="440"/>
        <v>0</v>
      </c>
      <c r="BT434" s="49">
        <f t="shared" si="441"/>
        <v>1</v>
      </c>
      <c r="BU434" s="49">
        <f t="shared" si="442"/>
        <v>0</v>
      </c>
      <c r="BV434" s="49">
        <f t="shared" si="443"/>
        <v>0</v>
      </c>
      <c r="BW434" s="49">
        <f t="shared" si="444"/>
        <v>0</v>
      </c>
    </row>
    <row r="435" spans="1:75" ht="35.1" customHeight="1" x14ac:dyDescent="0.3">
      <c r="A435" s="123" t="str">
        <f t="shared" si="409"/>
        <v>4팀</v>
      </c>
      <c r="B435" s="69">
        <f t="shared" si="410"/>
        <v>429</v>
      </c>
      <c r="C435" s="121" t="str">
        <f>IF(VLOOKUP($B435,'1. 현장별 인원현황'!$C:$J,2,0)=0,"",VLOOKUP($B435,'1. 현장별 인원현황'!$C:$J,2,0))</f>
        <v xml:space="preserve"> [4.롯데건설] 롯데바이오로직스 Project PROVIDENCE</v>
      </c>
      <c r="D435" s="74" t="str">
        <f>IF(VLOOKUP($B435,'1. 현장별 인원현황'!$C:$J,3,0)=0,"",VLOOKUP($B435,'1. 현장별 인원현황'!$C:$J,3,0))</f>
        <v>김찬호</v>
      </c>
      <c r="E435" s="74" t="str">
        <f ca="1">IF(VLOOKUP($B435,'1. 현장별 인원현황'!$C:$J,4,0)=0,"",VLOOKUP($B435,'1. 현장별 인원현황'!$C:$J,4,0))</f>
        <v>50세</v>
      </c>
      <c r="F435" s="70" t="str">
        <f>IF(VLOOKUP($B435,'1. 현장별 인원현황'!$C:$J,7,0)=0,"",VLOOKUP($B435,'1. 현장별 인원현황'!$C:$J,7,0))</f>
        <v>공사</v>
      </c>
      <c r="G435" s="72" t="str">
        <f>IF(VLOOKUP($B435,'1. 현장별 인원현황'!$C:$J,8,0)=0,"",VLOOKUP($B435,'1. 현장별 인원현황'!$C:$J,8,0))</f>
        <v>차장</v>
      </c>
      <c r="H435" s="67" t="s">
        <v>69</v>
      </c>
      <c r="I435" s="73"/>
      <c r="J435" s="73"/>
      <c r="K435" s="68"/>
      <c r="L435" s="67"/>
      <c r="M435" s="73"/>
      <c r="N435" s="73" t="s">
        <v>69</v>
      </c>
      <c r="O435" s="68"/>
      <c r="P435" s="67" t="s">
        <v>69</v>
      </c>
      <c r="Q435" s="73"/>
      <c r="R435" s="73"/>
      <c r="S435" s="68"/>
      <c r="T435" s="67"/>
      <c r="U435" s="73" t="s">
        <v>69</v>
      </c>
      <c r="V435" s="73"/>
      <c r="W435" s="68"/>
      <c r="X435" s="67" t="s">
        <v>69</v>
      </c>
      <c r="Y435" s="73"/>
      <c r="Z435" s="73"/>
      <c r="AA435" s="68"/>
      <c r="AB435" s="67" t="s">
        <v>69</v>
      </c>
      <c r="AC435" s="73"/>
      <c r="AD435" s="73"/>
      <c r="AE435" s="68"/>
      <c r="AF435" s="67" t="s">
        <v>69</v>
      </c>
      <c r="AG435" s="73"/>
      <c r="AH435" s="73"/>
      <c r="AI435" s="68"/>
      <c r="AJ435" s="67" t="s">
        <v>69</v>
      </c>
      <c r="AK435" s="73"/>
      <c r="AL435" s="73"/>
      <c r="AM435" s="68"/>
      <c r="AN435" s="67">
        <f t="shared" si="411"/>
        <v>88</v>
      </c>
      <c r="AO435" s="68" t="str">
        <f t="shared" si="412"/>
        <v>S</v>
      </c>
      <c r="AR435" s="49">
        <f t="shared" si="413"/>
        <v>1</v>
      </c>
      <c r="AS435" s="49">
        <f t="shared" si="414"/>
        <v>0</v>
      </c>
      <c r="AT435" s="49">
        <f t="shared" si="415"/>
        <v>0</v>
      </c>
      <c r="AU435" s="49">
        <f t="shared" si="416"/>
        <v>0</v>
      </c>
      <c r="AV435" s="49">
        <f t="shared" si="417"/>
        <v>0</v>
      </c>
      <c r="AW435" s="49">
        <f t="shared" si="418"/>
        <v>0</v>
      </c>
      <c r="AX435" s="49">
        <f t="shared" si="419"/>
        <v>1</v>
      </c>
      <c r="AY435" s="49">
        <f t="shared" si="420"/>
        <v>0</v>
      </c>
      <c r="AZ435" s="49">
        <f t="shared" si="421"/>
        <v>1</v>
      </c>
      <c r="BA435" s="49">
        <f t="shared" si="422"/>
        <v>0</v>
      </c>
      <c r="BB435" s="49">
        <f t="shared" si="423"/>
        <v>0</v>
      </c>
      <c r="BC435" s="49">
        <f t="shared" si="424"/>
        <v>0</v>
      </c>
      <c r="BD435" s="49">
        <f t="shared" si="425"/>
        <v>0</v>
      </c>
      <c r="BE435" s="49">
        <f t="shared" si="426"/>
        <v>1</v>
      </c>
      <c r="BF435" s="49">
        <f t="shared" si="427"/>
        <v>0</v>
      </c>
      <c r="BG435" s="49">
        <f t="shared" si="428"/>
        <v>0</v>
      </c>
      <c r="BH435" s="49">
        <f t="shared" si="429"/>
        <v>1</v>
      </c>
      <c r="BI435" s="49">
        <f t="shared" si="430"/>
        <v>0</v>
      </c>
      <c r="BJ435" s="49">
        <f t="shared" si="431"/>
        <v>0</v>
      </c>
      <c r="BK435" s="49">
        <f t="shared" si="432"/>
        <v>0</v>
      </c>
      <c r="BL435" s="49">
        <f t="shared" si="433"/>
        <v>1</v>
      </c>
      <c r="BM435" s="49">
        <f t="shared" si="434"/>
        <v>0</v>
      </c>
      <c r="BN435" s="49">
        <f t="shared" si="435"/>
        <v>0</v>
      </c>
      <c r="BO435" s="49">
        <f t="shared" si="436"/>
        <v>0</v>
      </c>
      <c r="BP435" s="49">
        <f t="shared" si="437"/>
        <v>1</v>
      </c>
      <c r="BQ435" s="49">
        <f t="shared" si="438"/>
        <v>0</v>
      </c>
      <c r="BR435" s="49">
        <f t="shared" si="439"/>
        <v>0</v>
      </c>
      <c r="BS435" s="49">
        <f t="shared" si="440"/>
        <v>0</v>
      </c>
      <c r="BT435" s="49">
        <f t="shared" si="441"/>
        <v>1</v>
      </c>
      <c r="BU435" s="49">
        <f t="shared" si="442"/>
        <v>0</v>
      </c>
      <c r="BV435" s="49">
        <f t="shared" si="443"/>
        <v>0</v>
      </c>
      <c r="BW435" s="49">
        <f t="shared" si="444"/>
        <v>0</v>
      </c>
    </row>
    <row r="436" spans="1:75" ht="35.1" customHeight="1" x14ac:dyDescent="0.3">
      <c r="A436" s="123" t="str">
        <f t="shared" si="409"/>
        <v>4팀</v>
      </c>
      <c r="B436" s="69">
        <f t="shared" si="410"/>
        <v>430</v>
      </c>
      <c r="C436" s="121" t="str">
        <f>IF(VLOOKUP($B436,'1. 현장별 인원현황'!$C:$J,2,0)=0,"",VLOOKUP($B436,'1. 현장별 인원현황'!$C:$J,2,0))</f>
        <v xml:space="preserve"> [4.롯데건설] 롯데바이오로직스 Project PROVIDENCE</v>
      </c>
      <c r="D436" s="74" t="str">
        <f>IF(VLOOKUP($B436,'1. 현장별 인원현황'!$C:$J,3,0)=0,"",VLOOKUP($B436,'1. 현장별 인원현황'!$C:$J,3,0))</f>
        <v>박성구</v>
      </c>
      <c r="E436" s="74" t="str">
        <f ca="1">IF(VLOOKUP($B436,'1. 현장별 인원현황'!$C:$J,4,0)=0,"",VLOOKUP($B436,'1. 현장별 인원현황'!$C:$J,4,0))</f>
        <v>53세</v>
      </c>
      <c r="F436" s="70" t="str">
        <f>IF(VLOOKUP($B436,'1. 현장별 인원현황'!$C:$J,7,0)=0,"",VLOOKUP($B436,'1. 현장별 인원현황'!$C:$J,7,0))</f>
        <v>공사</v>
      </c>
      <c r="G436" s="72" t="str">
        <f>IF(VLOOKUP($B436,'1. 현장별 인원현황'!$C:$J,8,0)=0,"",VLOOKUP($B436,'1. 현장별 인원현황'!$C:$J,8,0))</f>
        <v>차장</v>
      </c>
      <c r="H436" s="67" t="s">
        <v>69</v>
      </c>
      <c r="I436" s="73"/>
      <c r="J436" s="73"/>
      <c r="K436" s="68"/>
      <c r="L436" s="67"/>
      <c r="M436" s="73"/>
      <c r="N436" s="73" t="s">
        <v>69</v>
      </c>
      <c r="O436" s="68"/>
      <c r="P436" s="67" t="s">
        <v>69</v>
      </c>
      <c r="Q436" s="73"/>
      <c r="R436" s="73"/>
      <c r="S436" s="68"/>
      <c r="T436" s="67"/>
      <c r="U436" s="73" t="s">
        <v>69</v>
      </c>
      <c r="V436" s="73"/>
      <c r="W436" s="68"/>
      <c r="X436" s="67" t="s">
        <v>69</v>
      </c>
      <c r="Y436" s="73"/>
      <c r="Z436" s="73"/>
      <c r="AA436" s="68"/>
      <c r="AB436" s="67" t="s">
        <v>69</v>
      </c>
      <c r="AC436" s="73"/>
      <c r="AD436" s="73"/>
      <c r="AE436" s="68"/>
      <c r="AF436" s="67" t="s">
        <v>69</v>
      </c>
      <c r="AG436" s="73"/>
      <c r="AH436" s="73"/>
      <c r="AI436" s="68"/>
      <c r="AJ436" s="67" t="s">
        <v>69</v>
      </c>
      <c r="AK436" s="73"/>
      <c r="AL436" s="73"/>
      <c r="AM436" s="68"/>
      <c r="AN436" s="67">
        <f t="shared" si="411"/>
        <v>88</v>
      </c>
      <c r="AO436" s="68" t="str">
        <f t="shared" si="412"/>
        <v>S</v>
      </c>
      <c r="AR436" s="49">
        <f t="shared" si="41"/>
        <v>1</v>
      </c>
      <c r="AS436" s="49">
        <f t="shared" si="42"/>
        <v>0</v>
      </c>
      <c r="AT436" s="49">
        <f t="shared" si="43"/>
        <v>0</v>
      </c>
      <c r="AU436" s="49">
        <f t="shared" si="44"/>
        <v>0</v>
      </c>
      <c r="AV436" s="49">
        <f t="shared" si="45"/>
        <v>0</v>
      </c>
      <c r="AW436" s="49">
        <f t="shared" si="46"/>
        <v>0</v>
      </c>
      <c r="AX436" s="49">
        <f t="shared" si="47"/>
        <v>1</v>
      </c>
      <c r="AY436" s="49">
        <f t="shared" si="48"/>
        <v>0</v>
      </c>
      <c r="AZ436" s="49">
        <f t="shared" si="49"/>
        <v>1</v>
      </c>
      <c r="BA436" s="49">
        <f t="shared" si="50"/>
        <v>0</v>
      </c>
      <c r="BB436" s="49">
        <f t="shared" si="51"/>
        <v>0</v>
      </c>
      <c r="BC436" s="49">
        <f t="shared" si="52"/>
        <v>0</v>
      </c>
      <c r="BD436" s="49">
        <f t="shared" si="53"/>
        <v>0</v>
      </c>
      <c r="BE436" s="49">
        <f t="shared" si="54"/>
        <v>1</v>
      </c>
      <c r="BF436" s="49">
        <f t="shared" si="55"/>
        <v>0</v>
      </c>
      <c r="BG436" s="49">
        <f t="shared" si="56"/>
        <v>0</v>
      </c>
      <c r="BH436" s="49">
        <f t="shared" si="57"/>
        <v>1</v>
      </c>
      <c r="BI436" s="49">
        <f t="shared" si="58"/>
        <v>0</v>
      </c>
      <c r="BJ436" s="49">
        <f t="shared" si="59"/>
        <v>0</v>
      </c>
      <c r="BK436" s="49">
        <f t="shared" si="60"/>
        <v>0</v>
      </c>
      <c r="BL436" s="49">
        <f t="shared" si="61"/>
        <v>1</v>
      </c>
      <c r="BM436" s="49">
        <f t="shared" si="62"/>
        <v>0</v>
      </c>
      <c r="BN436" s="49">
        <f t="shared" si="63"/>
        <v>0</v>
      </c>
      <c r="BO436" s="49">
        <f t="shared" si="64"/>
        <v>0</v>
      </c>
      <c r="BP436" s="49">
        <f t="shared" si="65"/>
        <v>1</v>
      </c>
      <c r="BQ436" s="49">
        <f t="shared" si="66"/>
        <v>0</v>
      </c>
      <c r="BR436" s="49">
        <f t="shared" si="67"/>
        <v>0</v>
      </c>
      <c r="BS436" s="49">
        <f t="shared" si="68"/>
        <v>0</v>
      </c>
      <c r="BT436" s="49">
        <f t="shared" si="69"/>
        <v>1</v>
      </c>
      <c r="BU436" s="49">
        <f t="shared" si="70"/>
        <v>0</v>
      </c>
      <c r="BV436" s="49">
        <f t="shared" si="71"/>
        <v>0</v>
      </c>
      <c r="BW436" s="49">
        <f t="shared" si="72"/>
        <v>0</v>
      </c>
    </row>
    <row r="437" spans="1:75" ht="35.1" customHeight="1" x14ac:dyDescent="0.3">
      <c r="A437" s="123" t="str">
        <f t="shared" si="409"/>
        <v>4팀</v>
      </c>
      <c r="B437" s="69">
        <f t="shared" si="410"/>
        <v>431</v>
      </c>
      <c r="C437" s="121" t="str">
        <f>IF(VLOOKUP($B437,'1. 현장별 인원현황'!$C:$J,2,0)=0,"",VLOOKUP($B437,'1. 현장별 인원현황'!$C:$J,2,0))</f>
        <v xml:space="preserve"> [4.롯데건설] 롯데바이오로직스 Project PROVIDENCE</v>
      </c>
      <c r="D437" s="74" t="str">
        <f>IF(VLOOKUP($B437,'1. 현장별 인원현황'!$C:$J,3,0)=0,"",VLOOKUP($B437,'1. 현장별 인원현황'!$C:$J,3,0))</f>
        <v>한형석</v>
      </c>
      <c r="E437" s="74" t="str">
        <f ca="1">IF(VLOOKUP($B437,'1. 현장별 인원현황'!$C:$J,4,0)=0,"",VLOOKUP($B437,'1. 현장별 인원현황'!$C:$J,4,0))</f>
        <v>61세</v>
      </c>
      <c r="F437" s="70" t="str">
        <f>IF(VLOOKUP($B437,'1. 현장별 인원현황'!$C:$J,7,0)=0,"",VLOOKUP($B437,'1. 현장별 인원현황'!$C:$J,7,0))</f>
        <v>공사</v>
      </c>
      <c r="G437" s="72" t="str">
        <f>IF(VLOOKUP($B437,'1. 현장별 인원현황'!$C:$J,8,0)=0,"",VLOOKUP($B437,'1. 현장별 인원현황'!$C:$J,8,0))</f>
        <v>차장</v>
      </c>
      <c r="H437" s="67" t="s">
        <v>69</v>
      </c>
      <c r="I437" s="73"/>
      <c r="J437" s="73"/>
      <c r="K437" s="68"/>
      <c r="L437" s="67"/>
      <c r="M437" s="73"/>
      <c r="N437" s="73" t="s">
        <v>69</v>
      </c>
      <c r="O437" s="68"/>
      <c r="P437" s="67" t="s">
        <v>69</v>
      </c>
      <c r="Q437" s="73"/>
      <c r="R437" s="73"/>
      <c r="S437" s="68"/>
      <c r="T437" s="67"/>
      <c r="U437" s="73" t="s">
        <v>69</v>
      </c>
      <c r="V437" s="73"/>
      <c r="W437" s="68"/>
      <c r="X437" s="67" t="s">
        <v>69</v>
      </c>
      <c r="Y437" s="73"/>
      <c r="Z437" s="73"/>
      <c r="AA437" s="68"/>
      <c r="AB437" s="67" t="s">
        <v>69</v>
      </c>
      <c r="AC437" s="73"/>
      <c r="AD437" s="73"/>
      <c r="AE437" s="68"/>
      <c r="AF437" s="67" t="s">
        <v>69</v>
      </c>
      <c r="AG437" s="73"/>
      <c r="AH437" s="73"/>
      <c r="AI437" s="68"/>
      <c r="AJ437" s="67" t="s">
        <v>69</v>
      </c>
      <c r="AK437" s="73"/>
      <c r="AL437" s="73"/>
      <c r="AM437" s="68"/>
      <c r="AN437" s="67">
        <f t="shared" si="411"/>
        <v>88</v>
      </c>
      <c r="AO437" s="68" t="str">
        <f t="shared" si="412"/>
        <v>S</v>
      </c>
      <c r="AR437" s="49">
        <f t="shared" si="41"/>
        <v>1</v>
      </c>
      <c r="AS437" s="49">
        <f t="shared" si="42"/>
        <v>0</v>
      </c>
      <c r="AT437" s="49">
        <f t="shared" si="43"/>
        <v>0</v>
      </c>
      <c r="AU437" s="49">
        <f t="shared" si="44"/>
        <v>0</v>
      </c>
      <c r="AV437" s="49">
        <f t="shared" si="45"/>
        <v>0</v>
      </c>
      <c r="AW437" s="49">
        <f t="shared" si="46"/>
        <v>0</v>
      </c>
      <c r="AX437" s="49">
        <f t="shared" si="47"/>
        <v>1</v>
      </c>
      <c r="AY437" s="49">
        <f t="shared" si="48"/>
        <v>0</v>
      </c>
      <c r="AZ437" s="49">
        <f t="shared" si="49"/>
        <v>1</v>
      </c>
      <c r="BA437" s="49">
        <f t="shared" si="50"/>
        <v>0</v>
      </c>
      <c r="BB437" s="49">
        <f t="shared" si="51"/>
        <v>0</v>
      </c>
      <c r="BC437" s="49">
        <f t="shared" si="52"/>
        <v>0</v>
      </c>
      <c r="BD437" s="49">
        <f t="shared" si="53"/>
        <v>0</v>
      </c>
      <c r="BE437" s="49">
        <f t="shared" si="54"/>
        <v>1</v>
      </c>
      <c r="BF437" s="49">
        <f t="shared" si="55"/>
        <v>0</v>
      </c>
      <c r="BG437" s="49">
        <f t="shared" si="56"/>
        <v>0</v>
      </c>
      <c r="BH437" s="49">
        <f t="shared" si="57"/>
        <v>1</v>
      </c>
      <c r="BI437" s="49">
        <f t="shared" si="58"/>
        <v>0</v>
      </c>
      <c r="BJ437" s="49">
        <f t="shared" si="59"/>
        <v>0</v>
      </c>
      <c r="BK437" s="49">
        <f t="shared" si="60"/>
        <v>0</v>
      </c>
      <c r="BL437" s="49">
        <f t="shared" si="61"/>
        <v>1</v>
      </c>
      <c r="BM437" s="49">
        <f t="shared" si="62"/>
        <v>0</v>
      </c>
      <c r="BN437" s="49">
        <f t="shared" si="63"/>
        <v>0</v>
      </c>
      <c r="BO437" s="49">
        <f t="shared" si="64"/>
        <v>0</v>
      </c>
      <c r="BP437" s="49">
        <f t="shared" si="65"/>
        <v>1</v>
      </c>
      <c r="BQ437" s="49">
        <f t="shared" si="66"/>
        <v>0</v>
      </c>
      <c r="BR437" s="49">
        <f t="shared" si="67"/>
        <v>0</v>
      </c>
      <c r="BS437" s="49">
        <f t="shared" si="68"/>
        <v>0</v>
      </c>
      <c r="BT437" s="49">
        <f t="shared" si="69"/>
        <v>1</v>
      </c>
      <c r="BU437" s="49">
        <f t="shared" si="70"/>
        <v>0</v>
      </c>
      <c r="BV437" s="49">
        <f t="shared" si="71"/>
        <v>0</v>
      </c>
      <c r="BW437" s="49">
        <f t="shared" si="72"/>
        <v>0</v>
      </c>
    </row>
    <row r="438" spans="1:75" ht="35.1" customHeight="1" x14ac:dyDescent="0.3">
      <c r="A438" s="123" t="str">
        <f t="shared" si="409"/>
        <v>4팀</v>
      </c>
      <c r="B438" s="69">
        <f t="shared" si="410"/>
        <v>432</v>
      </c>
      <c r="C438" s="121" t="str">
        <f>IF(VLOOKUP($B438,'1. 현장별 인원현황'!$C:$J,2,0)=0,"",VLOOKUP($B438,'1. 현장별 인원현황'!$C:$J,2,0))</f>
        <v xml:space="preserve"> [4.롯데건설] 롯데바이오로직스 Project PROVIDENCE</v>
      </c>
      <c r="D438" s="74" t="str">
        <f>IF(VLOOKUP($B438,'1. 현장별 인원현황'!$C:$J,3,0)=0,"",VLOOKUP($B438,'1. 현장별 인원현황'!$C:$J,3,0))</f>
        <v>주지원</v>
      </c>
      <c r="E438" s="74" t="str">
        <f ca="1">IF(VLOOKUP($B438,'1. 현장별 인원현황'!$C:$J,4,0)=0,"",VLOOKUP($B438,'1. 현장별 인원현황'!$C:$J,4,0))</f>
        <v>31세</v>
      </c>
      <c r="F438" s="70" t="str">
        <f>IF(VLOOKUP($B438,'1. 현장별 인원현황'!$C:$J,7,0)=0,"",VLOOKUP($B438,'1. 현장별 인원현황'!$C:$J,7,0))</f>
        <v>공사</v>
      </c>
      <c r="G438" s="72" t="str">
        <f>IF(VLOOKUP($B438,'1. 현장별 인원현황'!$C:$J,8,0)=0,"",VLOOKUP($B438,'1. 현장별 인원현황'!$C:$J,8,0))</f>
        <v>과장</v>
      </c>
      <c r="H438" s="67" t="s">
        <v>69</v>
      </c>
      <c r="I438" s="73"/>
      <c r="J438" s="73"/>
      <c r="K438" s="68"/>
      <c r="L438" s="67"/>
      <c r="M438" s="73"/>
      <c r="N438" s="73" t="s">
        <v>69</v>
      </c>
      <c r="O438" s="68"/>
      <c r="P438" s="67" t="s">
        <v>69</v>
      </c>
      <c r="Q438" s="73"/>
      <c r="R438" s="73"/>
      <c r="S438" s="68"/>
      <c r="T438" s="67"/>
      <c r="U438" s="73" t="s">
        <v>69</v>
      </c>
      <c r="V438" s="73"/>
      <c r="W438" s="68"/>
      <c r="X438" s="67" t="s">
        <v>69</v>
      </c>
      <c r="Y438" s="73"/>
      <c r="Z438" s="73"/>
      <c r="AA438" s="68"/>
      <c r="AB438" s="67" t="s">
        <v>69</v>
      </c>
      <c r="AC438" s="73"/>
      <c r="AD438" s="73"/>
      <c r="AE438" s="68"/>
      <c r="AF438" s="67" t="s">
        <v>69</v>
      </c>
      <c r="AG438" s="73"/>
      <c r="AH438" s="73"/>
      <c r="AI438" s="68"/>
      <c r="AJ438" s="67" t="s">
        <v>69</v>
      </c>
      <c r="AK438" s="73"/>
      <c r="AL438" s="73"/>
      <c r="AM438" s="68"/>
      <c r="AN438" s="67">
        <f t="shared" si="411"/>
        <v>88</v>
      </c>
      <c r="AO438" s="68" t="str">
        <f t="shared" si="412"/>
        <v>S</v>
      </c>
      <c r="AR438" s="49">
        <f t="shared" si="41"/>
        <v>1</v>
      </c>
      <c r="AS438" s="49">
        <f t="shared" si="42"/>
        <v>0</v>
      </c>
      <c r="AT438" s="49">
        <f t="shared" si="43"/>
        <v>0</v>
      </c>
      <c r="AU438" s="49">
        <f t="shared" si="44"/>
        <v>0</v>
      </c>
      <c r="AV438" s="49">
        <f t="shared" si="45"/>
        <v>0</v>
      </c>
      <c r="AW438" s="49">
        <f t="shared" si="46"/>
        <v>0</v>
      </c>
      <c r="AX438" s="49">
        <f t="shared" si="47"/>
        <v>1</v>
      </c>
      <c r="AY438" s="49">
        <f t="shared" si="48"/>
        <v>0</v>
      </c>
      <c r="AZ438" s="49">
        <f t="shared" si="49"/>
        <v>1</v>
      </c>
      <c r="BA438" s="49">
        <f t="shared" si="50"/>
        <v>0</v>
      </c>
      <c r="BB438" s="49">
        <f t="shared" si="51"/>
        <v>0</v>
      </c>
      <c r="BC438" s="49">
        <f t="shared" si="52"/>
        <v>0</v>
      </c>
      <c r="BD438" s="49">
        <f t="shared" si="53"/>
        <v>0</v>
      </c>
      <c r="BE438" s="49">
        <f t="shared" si="54"/>
        <v>1</v>
      </c>
      <c r="BF438" s="49">
        <f t="shared" si="55"/>
        <v>0</v>
      </c>
      <c r="BG438" s="49">
        <f t="shared" si="56"/>
        <v>0</v>
      </c>
      <c r="BH438" s="49">
        <f t="shared" si="57"/>
        <v>1</v>
      </c>
      <c r="BI438" s="49">
        <f t="shared" si="58"/>
        <v>0</v>
      </c>
      <c r="BJ438" s="49">
        <f t="shared" si="59"/>
        <v>0</v>
      </c>
      <c r="BK438" s="49">
        <f t="shared" si="60"/>
        <v>0</v>
      </c>
      <c r="BL438" s="49">
        <f t="shared" si="61"/>
        <v>1</v>
      </c>
      <c r="BM438" s="49">
        <f t="shared" si="62"/>
        <v>0</v>
      </c>
      <c r="BN438" s="49">
        <f t="shared" si="63"/>
        <v>0</v>
      </c>
      <c r="BO438" s="49">
        <f t="shared" si="64"/>
        <v>0</v>
      </c>
      <c r="BP438" s="49">
        <f t="shared" si="65"/>
        <v>1</v>
      </c>
      <c r="BQ438" s="49">
        <f t="shared" si="66"/>
        <v>0</v>
      </c>
      <c r="BR438" s="49">
        <f t="shared" si="67"/>
        <v>0</v>
      </c>
      <c r="BS438" s="49">
        <f t="shared" si="68"/>
        <v>0</v>
      </c>
      <c r="BT438" s="49">
        <f t="shared" si="69"/>
        <v>1</v>
      </c>
      <c r="BU438" s="49">
        <f t="shared" si="70"/>
        <v>0</v>
      </c>
      <c r="BV438" s="49">
        <f t="shared" si="71"/>
        <v>0</v>
      </c>
      <c r="BW438" s="49">
        <f t="shared" si="72"/>
        <v>0</v>
      </c>
    </row>
    <row r="439" spans="1:75" ht="35.1" customHeight="1" x14ac:dyDescent="0.3">
      <c r="A439" s="123" t="str">
        <f t="shared" si="409"/>
        <v>4팀</v>
      </c>
      <c r="B439" s="69">
        <f t="shared" si="410"/>
        <v>433</v>
      </c>
      <c r="C439" s="121" t="str">
        <f>IF(VLOOKUP($B439,'1. 현장별 인원현황'!$C:$J,2,0)=0,"",VLOOKUP($B439,'1. 현장별 인원현황'!$C:$J,2,0))</f>
        <v xml:space="preserve"> [4.롯데건설] 롯데바이오로직스 Project PROVIDENCE</v>
      </c>
      <c r="D439" s="74" t="str">
        <f>IF(VLOOKUP($B439,'1. 현장별 인원현황'!$C:$J,3,0)=0,"",VLOOKUP($B439,'1. 현장별 인원현황'!$C:$J,3,0))</f>
        <v>김민섭</v>
      </c>
      <c r="E439" s="74" t="str">
        <f ca="1">IF(VLOOKUP($B439,'1. 현장별 인원현황'!$C:$J,4,0)=0,"",VLOOKUP($B439,'1. 현장별 인원현황'!$C:$J,4,0))</f>
        <v>27세</v>
      </c>
      <c r="F439" s="70" t="str">
        <f>IF(VLOOKUP($B439,'1. 현장별 인원현황'!$C:$J,7,0)=0,"",VLOOKUP($B439,'1. 현장별 인원현황'!$C:$J,7,0))</f>
        <v>공무</v>
      </c>
      <c r="G439" s="72" t="str">
        <f>IF(VLOOKUP($B439,'1. 현장별 인원현황'!$C:$J,8,0)=0,"",VLOOKUP($B439,'1. 현장별 인원현황'!$C:$J,8,0))</f>
        <v>대리</v>
      </c>
      <c r="H439" s="67" t="s">
        <v>69</v>
      </c>
      <c r="I439" s="73"/>
      <c r="J439" s="73"/>
      <c r="K439" s="68"/>
      <c r="L439" s="67"/>
      <c r="M439" s="73"/>
      <c r="N439" s="73" t="s">
        <v>69</v>
      </c>
      <c r="O439" s="68"/>
      <c r="P439" s="67" t="s">
        <v>69</v>
      </c>
      <c r="Q439" s="73"/>
      <c r="R439" s="73"/>
      <c r="S439" s="68"/>
      <c r="T439" s="67"/>
      <c r="U439" s="73" t="s">
        <v>69</v>
      </c>
      <c r="V439" s="73"/>
      <c r="W439" s="68"/>
      <c r="X439" s="67" t="s">
        <v>69</v>
      </c>
      <c r="Y439" s="73"/>
      <c r="Z439" s="73"/>
      <c r="AA439" s="68"/>
      <c r="AB439" s="67" t="s">
        <v>69</v>
      </c>
      <c r="AC439" s="73"/>
      <c r="AD439" s="73"/>
      <c r="AE439" s="68"/>
      <c r="AF439" s="67" t="s">
        <v>69</v>
      </c>
      <c r="AG439" s="73"/>
      <c r="AH439" s="73"/>
      <c r="AI439" s="68"/>
      <c r="AJ439" s="67" t="s">
        <v>69</v>
      </c>
      <c r="AK439" s="73"/>
      <c r="AL439" s="73"/>
      <c r="AM439" s="68"/>
      <c r="AN439" s="67">
        <f t="shared" si="411"/>
        <v>88</v>
      </c>
      <c r="AO439" s="68" t="str">
        <f t="shared" si="412"/>
        <v>S</v>
      </c>
      <c r="AR439" s="49">
        <f t="shared" si="41"/>
        <v>1</v>
      </c>
      <c r="AS439" s="49">
        <f t="shared" si="42"/>
        <v>0</v>
      </c>
      <c r="AT439" s="49">
        <f t="shared" si="43"/>
        <v>0</v>
      </c>
      <c r="AU439" s="49">
        <f t="shared" si="44"/>
        <v>0</v>
      </c>
      <c r="AV439" s="49">
        <f t="shared" si="45"/>
        <v>0</v>
      </c>
      <c r="AW439" s="49">
        <f t="shared" si="46"/>
        <v>0</v>
      </c>
      <c r="AX439" s="49">
        <f t="shared" si="47"/>
        <v>1</v>
      </c>
      <c r="AY439" s="49">
        <f t="shared" si="48"/>
        <v>0</v>
      </c>
      <c r="AZ439" s="49">
        <f t="shared" si="49"/>
        <v>1</v>
      </c>
      <c r="BA439" s="49">
        <f t="shared" si="50"/>
        <v>0</v>
      </c>
      <c r="BB439" s="49">
        <f t="shared" si="51"/>
        <v>0</v>
      </c>
      <c r="BC439" s="49">
        <f t="shared" si="52"/>
        <v>0</v>
      </c>
      <c r="BD439" s="49">
        <f t="shared" si="53"/>
        <v>0</v>
      </c>
      <c r="BE439" s="49">
        <f t="shared" si="54"/>
        <v>1</v>
      </c>
      <c r="BF439" s="49">
        <f t="shared" si="55"/>
        <v>0</v>
      </c>
      <c r="BG439" s="49">
        <f t="shared" si="56"/>
        <v>0</v>
      </c>
      <c r="BH439" s="49">
        <f t="shared" si="57"/>
        <v>1</v>
      </c>
      <c r="BI439" s="49">
        <f t="shared" si="58"/>
        <v>0</v>
      </c>
      <c r="BJ439" s="49">
        <f t="shared" si="59"/>
        <v>0</v>
      </c>
      <c r="BK439" s="49">
        <f t="shared" si="60"/>
        <v>0</v>
      </c>
      <c r="BL439" s="49">
        <f t="shared" si="61"/>
        <v>1</v>
      </c>
      <c r="BM439" s="49">
        <f t="shared" si="62"/>
        <v>0</v>
      </c>
      <c r="BN439" s="49">
        <f t="shared" si="63"/>
        <v>0</v>
      </c>
      <c r="BO439" s="49">
        <f t="shared" si="64"/>
        <v>0</v>
      </c>
      <c r="BP439" s="49">
        <f t="shared" si="65"/>
        <v>1</v>
      </c>
      <c r="BQ439" s="49">
        <f t="shared" si="66"/>
        <v>0</v>
      </c>
      <c r="BR439" s="49">
        <f t="shared" si="67"/>
        <v>0</v>
      </c>
      <c r="BS439" s="49">
        <f t="shared" si="68"/>
        <v>0</v>
      </c>
      <c r="BT439" s="49">
        <f t="shared" si="69"/>
        <v>1</v>
      </c>
      <c r="BU439" s="49">
        <f t="shared" si="70"/>
        <v>0</v>
      </c>
      <c r="BV439" s="49">
        <f t="shared" si="71"/>
        <v>0</v>
      </c>
      <c r="BW439" s="49">
        <f t="shared" si="72"/>
        <v>0</v>
      </c>
    </row>
    <row r="440" spans="1:75" ht="35.1" customHeight="1" x14ac:dyDescent="0.3">
      <c r="A440" s="123" t="str">
        <f t="shared" si="409"/>
        <v>4팀</v>
      </c>
      <c r="B440" s="69">
        <f t="shared" si="410"/>
        <v>434</v>
      </c>
      <c r="C440" s="121" t="str">
        <f>IF(VLOOKUP($B440,'1. 현장별 인원현황'!$C:$J,2,0)=0,"",VLOOKUP($B440,'1. 현장별 인원현황'!$C:$J,2,0))</f>
        <v xml:space="preserve"> [4.롯데건설] 롯데바이오로직스 Project PROVIDENCE</v>
      </c>
      <c r="D440" s="74" t="str">
        <f>IF(VLOOKUP($B440,'1. 현장별 인원현황'!$C:$J,3,0)=0,"",VLOOKUP($B440,'1. 현장별 인원현황'!$C:$J,3,0))</f>
        <v>김건우</v>
      </c>
      <c r="E440" s="74" t="str">
        <f ca="1">IF(VLOOKUP($B440,'1. 현장별 인원현황'!$C:$J,4,0)=0,"",VLOOKUP($B440,'1. 현장별 인원현황'!$C:$J,4,0))</f>
        <v>25세</v>
      </c>
      <c r="F440" s="70" t="str">
        <f>IF(VLOOKUP($B440,'1. 현장별 인원현황'!$C:$J,7,0)=0,"",VLOOKUP($B440,'1. 현장별 인원현황'!$C:$J,7,0))</f>
        <v>공무</v>
      </c>
      <c r="G440" s="72" t="str">
        <f>IF(VLOOKUP($B440,'1. 현장별 인원현황'!$C:$J,8,0)=0,"",VLOOKUP($B440,'1. 현장별 인원현황'!$C:$J,8,0))</f>
        <v>대리</v>
      </c>
      <c r="H440" s="67" t="s">
        <v>69</v>
      </c>
      <c r="I440" s="73"/>
      <c r="J440" s="73"/>
      <c r="K440" s="68"/>
      <c r="L440" s="67"/>
      <c r="M440" s="73"/>
      <c r="N440" s="73" t="s">
        <v>69</v>
      </c>
      <c r="O440" s="68"/>
      <c r="P440" s="67" t="s">
        <v>69</v>
      </c>
      <c r="Q440" s="73"/>
      <c r="R440" s="73"/>
      <c r="S440" s="68"/>
      <c r="T440" s="67"/>
      <c r="U440" s="73" t="s">
        <v>69</v>
      </c>
      <c r="V440" s="73"/>
      <c r="W440" s="68"/>
      <c r="X440" s="67" t="s">
        <v>69</v>
      </c>
      <c r="Y440" s="73"/>
      <c r="Z440" s="73"/>
      <c r="AA440" s="68"/>
      <c r="AB440" s="67" t="s">
        <v>69</v>
      </c>
      <c r="AC440" s="73"/>
      <c r="AD440" s="73"/>
      <c r="AE440" s="68"/>
      <c r="AF440" s="67" t="s">
        <v>69</v>
      </c>
      <c r="AG440" s="73"/>
      <c r="AH440" s="73"/>
      <c r="AI440" s="68"/>
      <c r="AJ440" s="67" t="s">
        <v>69</v>
      </c>
      <c r="AK440" s="73"/>
      <c r="AL440" s="73"/>
      <c r="AM440" s="68"/>
      <c r="AN440" s="67">
        <f t="shared" si="411"/>
        <v>88</v>
      </c>
      <c r="AO440" s="68" t="str">
        <f t="shared" si="412"/>
        <v>S</v>
      </c>
      <c r="AR440" s="49">
        <f t="shared" si="41"/>
        <v>1</v>
      </c>
      <c r="AS440" s="49">
        <f t="shared" si="42"/>
        <v>0</v>
      </c>
      <c r="AT440" s="49">
        <f t="shared" si="43"/>
        <v>0</v>
      </c>
      <c r="AU440" s="49">
        <f t="shared" si="44"/>
        <v>0</v>
      </c>
      <c r="AV440" s="49">
        <f t="shared" si="45"/>
        <v>0</v>
      </c>
      <c r="AW440" s="49">
        <f t="shared" si="46"/>
        <v>0</v>
      </c>
      <c r="AX440" s="49">
        <f t="shared" si="47"/>
        <v>1</v>
      </c>
      <c r="AY440" s="49">
        <f t="shared" si="48"/>
        <v>0</v>
      </c>
      <c r="AZ440" s="49">
        <f t="shared" si="49"/>
        <v>1</v>
      </c>
      <c r="BA440" s="49">
        <f t="shared" si="50"/>
        <v>0</v>
      </c>
      <c r="BB440" s="49">
        <f t="shared" si="51"/>
        <v>0</v>
      </c>
      <c r="BC440" s="49">
        <f t="shared" si="52"/>
        <v>0</v>
      </c>
      <c r="BD440" s="49">
        <f t="shared" si="53"/>
        <v>0</v>
      </c>
      <c r="BE440" s="49">
        <f t="shared" si="54"/>
        <v>1</v>
      </c>
      <c r="BF440" s="49">
        <f t="shared" si="55"/>
        <v>0</v>
      </c>
      <c r="BG440" s="49">
        <f t="shared" si="56"/>
        <v>0</v>
      </c>
      <c r="BH440" s="49">
        <f t="shared" si="57"/>
        <v>1</v>
      </c>
      <c r="BI440" s="49">
        <f t="shared" si="58"/>
        <v>0</v>
      </c>
      <c r="BJ440" s="49">
        <f t="shared" si="59"/>
        <v>0</v>
      </c>
      <c r="BK440" s="49">
        <f t="shared" si="60"/>
        <v>0</v>
      </c>
      <c r="BL440" s="49">
        <f t="shared" si="61"/>
        <v>1</v>
      </c>
      <c r="BM440" s="49">
        <f t="shared" si="62"/>
        <v>0</v>
      </c>
      <c r="BN440" s="49">
        <f t="shared" si="63"/>
        <v>0</v>
      </c>
      <c r="BO440" s="49">
        <f t="shared" si="64"/>
        <v>0</v>
      </c>
      <c r="BP440" s="49">
        <f t="shared" si="65"/>
        <v>1</v>
      </c>
      <c r="BQ440" s="49">
        <f t="shared" si="66"/>
        <v>0</v>
      </c>
      <c r="BR440" s="49">
        <f t="shared" si="67"/>
        <v>0</v>
      </c>
      <c r="BS440" s="49">
        <f t="shared" si="68"/>
        <v>0</v>
      </c>
      <c r="BT440" s="49">
        <f t="shared" si="69"/>
        <v>1</v>
      </c>
      <c r="BU440" s="49">
        <f t="shared" si="70"/>
        <v>0</v>
      </c>
      <c r="BV440" s="49">
        <f t="shared" si="71"/>
        <v>0</v>
      </c>
      <c r="BW440" s="49">
        <f t="shared" si="72"/>
        <v>0</v>
      </c>
    </row>
    <row r="441" spans="1:75" ht="35.1" customHeight="1" x14ac:dyDescent="0.3">
      <c r="A441" s="123" t="str">
        <f t="shared" si="409"/>
        <v>4팀</v>
      </c>
      <c r="B441" s="69">
        <f t="shared" si="410"/>
        <v>435</v>
      </c>
      <c r="C441" s="121" t="str">
        <f>IF(VLOOKUP($B441,'1. 현장별 인원현황'!$C:$J,2,0)=0,"",VLOOKUP($B441,'1. 현장별 인원현황'!$C:$J,2,0))</f>
        <v xml:space="preserve"> [4.롯데건설] 롯데바이오로직스 Project PROVIDENCE</v>
      </c>
      <c r="D441" s="74" t="str">
        <f>IF(VLOOKUP($B441,'1. 현장별 인원현황'!$C:$J,3,0)=0,"",VLOOKUP($B441,'1. 현장별 인원현황'!$C:$J,3,0))</f>
        <v>권정인</v>
      </c>
      <c r="E441" s="74" t="str">
        <f ca="1">IF(VLOOKUP($B441,'1. 현장별 인원현황'!$C:$J,4,0)=0,"",VLOOKUP($B441,'1. 현장별 인원현황'!$C:$J,4,0))</f>
        <v>51세</v>
      </c>
      <c r="F441" s="70" t="str">
        <f>IF(VLOOKUP($B441,'1. 현장별 인원현황'!$C:$J,7,0)=0,"",VLOOKUP($B441,'1. 현장별 인원현황'!$C:$J,7,0))</f>
        <v>안전관리자</v>
      </c>
      <c r="G441" s="72" t="str">
        <f>IF(VLOOKUP($B441,'1. 현장별 인원현황'!$C:$J,8,0)=0,"",VLOOKUP($B441,'1. 현장별 인원현황'!$C:$J,8,0))</f>
        <v>과장</v>
      </c>
      <c r="H441" s="67" t="s">
        <v>69</v>
      </c>
      <c r="I441" s="73"/>
      <c r="J441" s="73"/>
      <c r="K441" s="68"/>
      <c r="L441" s="67" t="s">
        <v>69</v>
      </c>
      <c r="M441" s="73"/>
      <c r="N441" s="73"/>
      <c r="O441" s="68"/>
      <c r="P441" s="67" t="s">
        <v>69</v>
      </c>
      <c r="Q441" s="73"/>
      <c r="R441" s="73"/>
      <c r="S441" s="68"/>
      <c r="T441" s="67"/>
      <c r="U441" s="73" t="s">
        <v>69</v>
      </c>
      <c r="V441" s="73"/>
      <c r="W441" s="68"/>
      <c r="X441" s="67" t="s">
        <v>69</v>
      </c>
      <c r="Y441" s="73"/>
      <c r="Z441" s="73"/>
      <c r="AA441" s="68"/>
      <c r="AB441" s="67" t="s">
        <v>69</v>
      </c>
      <c r="AC441" s="73"/>
      <c r="AD441" s="73"/>
      <c r="AE441" s="68"/>
      <c r="AF441" s="67" t="s">
        <v>69</v>
      </c>
      <c r="AG441" s="73"/>
      <c r="AH441" s="73"/>
      <c r="AI441" s="68"/>
      <c r="AJ441" s="67" t="s">
        <v>69</v>
      </c>
      <c r="AK441" s="73"/>
      <c r="AL441" s="73"/>
      <c r="AM441" s="68"/>
      <c r="AN441" s="67">
        <f t="shared" si="411"/>
        <v>96</v>
      </c>
      <c r="AO441" s="68" t="str">
        <f t="shared" si="412"/>
        <v>S</v>
      </c>
      <c r="AR441" s="49">
        <f t="shared" si="41"/>
        <v>1</v>
      </c>
      <c r="AS441" s="49">
        <f t="shared" si="42"/>
        <v>0</v>
      </c>
      <c r="AT441" s="49">
        <f t="shared" si="43"/>
        <v>0</v>
      </c>
      <c r="AU441" s="49">
        <f t="shared" si="44"/>
        <v>0</v>
      </c>
      <c r="AV441" s="49">
        <f t="shared" si="45"/>
        <v>1</v>
      </c>
      <c r="AW441" s="49">
        <f t="shared" si="46"/>
        <v>0</v>
      </c>
      <c r="AX441" s="49">
        <f t="shared" si="47"/>
        <v>0</v>
      </c>
      <c r="AY441" s="49">
        <f t="shared" si="48"/>
        <v>0</v>
      </c>
      <c r="AZ441" s="49">
        <f t="shared" si="49"/>
        <v>1</v>
      </c>
      <c r="BA441" s="49">
        <f t="shared" si="50"/>
        <v>0</v>
      </c>
      <c r="BB441" s="49">
        <f t="shared" si="51"/>
        <v>0</v>
      </c>
      <c r="BC441" s="49">
        <f t="shared" si="52"/>
        <v>0</v>
      </c>
      <c r="BD441" s="49">
        <f t="shared" si="53"/>
        <v>0</v>
      </c>
      <c r="BE441" s="49">
        <f t="shared" si="54"/>
        <v>1</v>
      </c>
      <c r="BF441" s="49">
        <f t="shared" si="55"/>
        <v>0</v>
      </c>
      <c r="BG441" s="49">
        <f t="shared" si="56"/>
        <v>0</v>
      </c>
      <c r="BH441" s="49">
        <f t="shared" si="57"/>
        <v>1</v>
      </c>
      <c r="BI441" s="49">
        <f t="shared" si="58"/>
        <v>0</v>
      </c>
      <c r="BJ441" s="49">
        <f t="shared" si="59"/>
        <v>0</v>
      </c>
      <c r="BK441" s="49">
        <f t="shared" si="60"/>
        <v>0</v>
      </c>
      <c r="BL441" s="49">
        <f t="shared" si="61"/>
        <v>1</v>
      </c>
      <c r="BM441" s="49">
        <f t="shared" si="62"/>
        <v>0</v>
      </c>
      <c r="BN441" s="49">
        <f t="shared" si="63"/>
        <v>0</v>
      </c>
      <c r="BO441" s="49">
        <f t="shared" si="64"/>
        <v>0</v>
      </c>
      <c r="BP441" s="49">
        <f t="shared" si="65"/>
        <v>1</v>
      </c>
      <c r="BQ441" s="49">
        <f t="shared" si="66"/>
        <v>0</v>
      </c>
      <c r="BR441" s="49">
        <f t="shared" si="67"/>
        <v>0</v>
      </c>
      <c r="BS441" s="49">
        <f t="shared" si="68"/>
        <v>0</v>
      </c>
      <c r="BT441" s="49">
        <f t="shared" si="69"/>
        <v>1</v>
      </c>
      <c r="BU441" s="49">
        <f t="shared" si="70"/>
        <v>0</v>
      </c>
      <c r="BV441" s="49">
        <f t="shared" si="71"/>
        <v>0</v>
      </c>
      <c r="BW441" s="49">
        <f t="shared" si="72"/>
        <v>0</v>
      </c>
    </row>
    <row r="442" spans="1:75" ht="35.1" customHeight="1" x14ac:dyDescent="0.3">
      <c r="A442" s="123" t="str">
        <f t="shared" si="409"/>
        <v>4팀</v>
      </c>
      <c r="B442" s="69">
        <f t="shared" si="410"/>
        <v>436</v>
      </c>
      <c r="C442" s="121" t="str">
        <f>IF(VLOOKUP($B442,'1. 현장별 인원현황'!$C:$J,2,0)=0,"",VLOOKUP($B442,'1. 현장별 인원현황'!$C:$J,2,0))</f>
        <v xml:space="preserve"> [4.롯데건설] 롯데바이오로직스 Project PROVIDENCE</v>
      </c>
      <c r="D442" s="74" t="str">
        <f>IF(VLOOKUP($B442,'1. 현장별 인원현황'!$C:$J,3,0)=0,"",VLOOKUP($B442,'1. 현장별 인원현황'!$C:$J,3,0))</f>
        <v>조호준</v>
      </c>
      <c r="E442" s="74" t="str">
        <f ca="1">IF(VLOOKUP($B442,'1. 현장별 인원현황'!$C:$J,4,0)=0,"",VLOOKUP($B442,'1. 현장별 인원현황'!$C:$J,4,0))</f>
        <v>32세</v>
      </c>
      <c r="F442" s="70" t="str">
        <f>IF(VLOOKUP($B442,'1. 현장별 인원현황'!$C:$J,7,0)=0,"",VLOOKUP($B442,'1. 현장별 인원현황'!$C:$J,7,0))</f>
        <v>안전관리자</v>
      </c>
      <c r="G442" s="72" t="str">
        <f>IF(VLOOKUP($B442,'1. 현장별 인원현황'!$C:$J,8,0)=0,"",VLOOKUP($B442,'1. 현장별 인원현황'!$C:$J,8,0))</f>
        <v>과장</v>
      </c>
      <c r="H442" s="67" t="s">
        <v>69</v>
      </c>
      <c r="I442" s="73"/>
      <c r="J442" s="73"/>
      <c r="K442" s="68"/>
      <c r="L442" s="67"/>
      <c r="M442" s="73"/>
      <c r="N442" s="73" t="s">
        <v>69</v>
      </c>
      <c r="O442" s="68"/>
      <c r="P442" s="67" t="s">
        <v>69</v>
      </c>
      <c r="Q442" s="73"/>
      <c r="R442" s="73"/>
      <c r="S442" s="68"/>
      <c r="T442" s="67"/>
      <c r="U442" s="73" t="s">
        <v>69</v>
      </c>
      <c r="V442" s="73"/>
      <c r="W442" s="68"/>
      <c r="X442" s="67" t="s">
        <v>69</v>
      </c>
      <c r="Y442" s="73"/>
      <c r="Z442" s="73"/>
      <c r="AA442" s="68"/>
      <c r="AB442" s="67" t="s">
        <v>69</v>
      </c>
      <c r="AC442" s="73"/>
      <c r="AD442" s="73"/>
      <c r="AE442" s="68"/>
      <c r="AF442" s="67" t="s">
        <v>69</v>
      </c>
      <c r="AG442" s="73"/>
      <c r="AH442" s="73"/>
      <c r="AI442" s="68"/>
      <c r="AJ442" s="67" t="s">
        <v>69</v>
      </c>
      <c r="AK442" s="73"/>
      <c r="AL442" s="73"/>
      <c r="AM442" s="68"/>
      <c r="AN442" s="67">
        <f t="shared" si="411"/>
        <v>88</v>
      </c>
      <c r="AO442" s="68" t="str">
        <f t="shared" si="412"/>
        <v>S</v>
      </c>
      <c r="AR442" s="49">
        <f t="shared" si="41"/>
        <v>1</v>
      </c>
      <c r="AS442" s="49">
        <f t="shared" si="42"/>
        <v>0</v>
      </c>
      <c r="AT442" s="49">
        <f t="shared" si="43"/>
        <v>0</v>
      </c>
      <c r="AU442" s="49">
        <f t="shared" si="44"/>
        <v>0</v>
      </c>
      <c r="AV442" s="49">
        <f t="shared" si="45"/>
        <v>0</v>
      </c>
      <c r="AW442" s="49">
        <f t="shared" si="46"/>
        <v>0</v>
      </c>
      <c r="AX442" s="49">
        <f t="shared" si="47"/>
        <v>1</v>
      </c>
      <c r="AY442" s="49">
        <f t="shared" si="48"/>
        <v>0</v>
      </c>
      <c r="AZ442" s="49">
        <f t="shared" si="49"/>
        <v>1</v>
      </c>
      <c r="BA442" s="49">
        <f t="shared" si="50"/>
        <v>0</v>
      </c>
      <c r="BB442" s="49">
        <f t="shared" si="51"/>
        <v>0</v>
      </c>
      <c r="BC442" s="49">
        <f t="shared" si="52"/>
        <v>0</v>
      </c>
      <c r="BD442" s="49">
        <f t="shared" si="53"/>
        <v>0</v>
      </c>
      <c r="BE442" s="49">
        <f t="shared" si="54"/>
        <v>1</v>
      </c>
      <c r="BF442" s="49">
        <f t="shared" si="55"/>
        <v>0</v>
      </c>
      <c r="BG442" s="49">
        <f t="shared" si="56"/>
        <v>0</v>
      </c>
      <c r="BH442" s="49">
        <f t="shared" si="57"/>
        <v>1</v>
      </c>
      <c r="BI442" s="49">
        <f t="shared" si="58"/>
        <v>0</v>
      </c>
      <c r="BJ442" s="49">
        <f t="shared" si="59"/>
        <v>0</v>
      </c>
      <c r="BK442" s="49">
        <f t="shared" si="60"/>
        <v>0</v>
      </c>
      <c r="BL442" s="49">
        <f t="shared" si="61"/>
        <v>1</v>
      </c>
      <c r="BM442" s="49">
        <f t="shared" si="62"/>
        <v>0</v>
      </c>
      <c r="BN442" s="49">
        <f t="shared" si="63"/>
        <v>0</v>
      </c>
      <c r="BO442" s="49">
        <f t="shared" si="64"/>
        <v>0</v>
      </c>
      <c r="BP442" s="49">
        <f t="shared" si="65"/>
        <v>1</v>
      </c>
      <c r="BQ442" s="49">
        <f t="shared" si="66"/>
        <v>0</v>
      </c>
      <c r="BR442" s="49">
        <f t="shared" si="67"/>
        <v>0</v>
      </c>
      <c r="BS442" s="49">
        <f t="shared" si="68"/>
        <v>0</v>
      </c>
      <c r="BT442" s="49">
        <f t="shared" si="69"/>
        <v>1</v>
      </c>
      <c r="BU442" s="49">
        <f t="shared" si="70"/>
        <v>0</v>
      </c>
      <c r="BV442" s="49">
        <f t="shared" si="71"/>
        <v>0</v>
      </c>
      <c r="BW442" s="49">
        <f t="shared" si="72"/>
        <v>0</v>
      </c>
    </row>
    <row r="443" spans="1:75" ht="35.1" customHeight="1" x14ac:dyDescent="0.3">
      <c r="A443" s="123" t="str">
        <f t="shared" si="409"/>
        <v>4팀</v>
      </c>
      <c r="B443" s="69">
        <f t="shared" si="410"/>
        <v>437</v>
      </c>
      <c r="C443" s="121" t="str">
        <f>IF(VLOOKUP($B443,'1. 현장별 인원현황'!$C:$J,2,0)=0,"",VLOOKUP($B443,'1. 현장별 인원현황'!$C:$J,2,0))</f>
        <v xml:space="preserve"> [4.롯데건설] 롯데바이오로직스 Project PROVIDENCE</v>
      </c>
      <c r="D443" s="74" t="str">
        <f>IF(VLOOKUP($B443,'1. 현장별 인원현황'!$C:$J,3,0)=0,"",VLOOKUP($B443,'1. 현장별 인원현황'!$C:$J,3,0))</f>
        <v>조민성</v>
      </c>
      <c r="E443" s="74" t="str">
        <f ca="1">IF(VLOOKUP($B443,'1. 현장별 인원현황'!$C:$J,4,0)=0,"",VLOOKUP($B443,'1. 현장별 인원현황'!$C:$J,4,0))</f>
        <v>28세</v>
      </c>
      <c r="F443" s="70" t="str">
        <f>IF(VLOOKUP($B443,'1. 현장별 인원현황'!$C:$J,7,0)=0,"",VLOOKUP($B443,'1. 현장별 인원현황'!$C:$J,7,0))</f>
        <v>안전관리자</v>
      </c>
      <c r="G443" s="72" t="str">
        <f>IF(VLOOKUP($B443,'1. 현장별 인원현황'!$C:$J,8,0)=0,"",VLOOKUP($B443,'1. 현장별 인원현황'!$C:$J,8,0))</f>
        <v>대리</v>
      </c>
      <c r="H443" s="67" t="s">
        <v>69</v>
      </c>
      <c r="I443" s="73"/>
      <c r="J443" s="73"/>
      <c r="K443" s="68"/>
      <c r="L443" s="67"/>
      <c r="M443" s="73"/>
      <c r="N443" s="73" t="s">
        <v>69</v>
      </c>
      <c r="O443" s="68"/>
      <c r="P443" s="67" t="s">
        <v>69</v>
      </c>
      <c r="Q443" s="73"/>
      <c r="R443" s="73"/>
      <c r="S443" s="68"/>
      <c r="T443" s="67"/>
      <c r="U443" s="73" t="s">
        <v>69</v>
      </c>
      <c r="V443" s="73"/>
      <c r="W443" s="68"/>
      <c r="X443" s="67" t="s">
        <v>69</v>
      </c>
      <c r="Y443" s="73"/>
      <c r="Z443" s="73"/>
      <c r="AA443" s="68"/>
      <c r="AB443" s="67" t="s">
        <v>69</v>
      </c>
      <c r="AC443" s="73"/>
      <c r="AD443" s="73"/>
      <c r="AE443" s="68"/>
      <c r="AF443" s="67" t="s">
        <v>69</v>
      </c>
      <c r="AG443" s="73"/>
      <c r="AH443" s="73"/>
      <c r="AI443" s="68"/>
      <c r="AJ443" s="67" t="s">
        <v>69</v>
      </c>
      <c r="AK443" s="73"/>
      <c r="AL443" s="73"/>
      <c r="AM443" s="68"/>
      <c r="AN443" s="67">
        <f t="shared" si="411"/>
        <v>88</v>
      </c>
      <c r="AO443" s="68" t="str">
        <f t="shared" si="412"/>
        <v>S</v>
      </c>
      <c r="AR443" s="49">
        <f t="shared" si="41"/>
        <v>1</v>
      </c>
      <c r="AS443" s="49">
        <f t="shared" si="42"/>
        <v>0</v>
      </c>
      <c r="AT443" s="49">
        <f t="shared" si="43"/>
        <v>0</v>
      </c>
      <c r="AU443" s="49">
        <f t="shared" si="44"/>
        <v>0</v>
      </c>
      <c r="AV443" s="49">
        <f t="shared" si="45"/>
        <v>0</v>
      </c>
      <c r="AW443" s="49">
        <f t="shared" si="46"/>
        <v>0</v>
      </c>
      <c r="AX443" s="49">
        <f t="shared" si="47"/>
        <v>1</v>
      </c>
      <c r="AY443" s="49">
        <f t="shared" si="48"/>
        <v>0</v>
      </c>
      <c r="AZ443" s="49">
        <f t="shared" si="49"/>
        <v>1</v>
      </c>
      <c r="BA443" s="49">
        <f t="shared" si="50"/>
        <v>0</v>
      </c>
      <c r="BB443" s="49">
        <f t="shared" si="51"/>
        <v>0</v>
      </c>
      <c r="BC443" s="49">
        <f t="shared" si="52"/>
        <v>0</v>
      </c>
      <c r="BD443" s="49">
        <f t="shared" si="53"/>
        <v>0</v>
      </c>
      <c r="BE443" s="49">
        <f t="shared" si="54"/>
        <v>1</v>
      </c>
      <c r="BF443" s="49">
        <f t="shared" si="55"/>
        <v>0</v>
      </c>
      <c r="BG443" s="49">
        <f t="shared" si="56"/>
        <v>0</v>
      </c>
      <c r="BH443" s="49">
        <f t="shared" si="57"/>
        <v>1</v>
      </c>
      <c r="BI443" s="49">
        <f t="shared" si="58"/>
        <v>0</v>
      </c>
      <c r="BJ443" s="49">
        <f t="shared" si="59"/>
        <v>0</v>
      </c>
      <c r="BK443" s="49">
        <f t="shared" si="60"/>
        <v>0</v>
      </c>
      <c r="BL443" s="49">
        <f t="shared" si="61"/>
        <v>1</v>
      </c>
      <c r="BM443" s="49">
        <f t="shared" si="62"/>
        <v>0</v>
      </c>
      <c r="BN443" s="49">
        <f t="shared" si="63"/>
        <v>0</v>
      </c>
      <c r="BO443" s="49">
        <f t="shared" si="64"/>
        <v>0</v>
      </c>
      <c r="BP443" s="49">
        <f t="shared" si="65"/>
        <v>1</v>
      </c>
      <c r="BQ443" s="49">
        <f t="shared" si="66"/>
        <v>0</v>
      </c>
      <c r="BR443" s="49">
        <f t="shared" si="67"/>
        <v>0</v>
      </c>
      <c r="BS443" s="49">
        <f t="shared" si="68"/>
        <v>0</v>
      </c>
      <c r="BT443" s="49">
        <f t="shared" si="69"/>
        <v>1</v>
      </c>
      <c r="BU443" s="49">
        <f t="shared" si="70"/>
        <v>0</v>
      </c>
      <c r="BV443" s="49">
        <f t="shared" si="71"/>
        <v>0</v>
      </c>
      <c r="BW443" s="49">
        <f t="shared" si="72"/>
        <v>0</v>
      </c>
    </row>
    <row r="444" spans="1:75" ht="35.1" customHeight="1" x14ac:dyDescent="0.3">
      <c r="A444" s="123" t="str">
        <f t="shared" si="409"/>
        <v>4팀</v>
      </c>
      <c r="B444" s="69">
        <f t="shared" si="410"/>
        <v>438</v>
      </c>
      <c r="C444" s="121" t="str">
        <f>IF(VLOOKUP($B444,'1. 현장별 인원현황'!$C:$J,2,0)=0,"",VLOOKUP($B444,'1. 현장별 인원현황'!$C:$J,2,0))</f>
        <v xml:space="preserve"> [4.롯데건설] 롯데바이오로직스 Project PROVIDENCE</v>
      </c>
      <c r="D444" s="74" t="str">
        <f>IF(VLOOKUP($B444,'1. 현장별 인원현황'!$C:$J,3,0)=0,"",VLOOKUP($B444,'1. 현장별 인원현황'!$C:$J,3,0))</f>
        <v>김철호</v>
      </c>
      <c r="E444" s="74" t="str">
        <f ca="1">IF(VLOOKUP($B444,'1. 현장별 인원현황'!$C:$J,4,0)=0,"",VLOOKUP($B444,'1. 현장별 인원현황'!$C:$J,4,0))</f>
        <v>57세</v>
      </c>
      <c r="F444" s="70" t="str">
        <f>IF(VLOOKUP($B444,'1. 현장별 인원현황'!$C:$J,7,0)=0,"",VLOOKUP($B444,'1. 현장별 인원현황'!$C:$J,7,0))</f>
        <v>기능공</v>
      </c>
      <c r="G444" s="72" t="str">
        <f>IF(VLOOKUP($B444,'1. 현장별 인원현황'!$C:$J,8,0)=0,"",VLOOKUP($B444,'1. 현장별 인원현황'!$C:$J,8,0))</f>
        <v>전공</v>
      </c>
      <c r="H444" s="67" t="s">
        <v>69</v>
      </c>
      <c r="I444" s="73"/>
      <c r="J444" s="73"/>
      <c r="K444" s="68"/>
      <c r="L444" s="67"/>
      <c r="M444" s="73"/>
      <c r="N444" s="73" t="s">
        <v>69</v>
      </c>
      <c r="O444" s="68"/>
      <c r="P444" s="67" t="s">
        <v>69</v>
      </c>
      <c r="Q444" s="73"/>
      <c r="R444" s="73"/>
      <c r="S444" s="68"/>
      <c r="T444" s="67"/>
      <c r="U444" s="73" t="s">
        <v>69</v>
      </c>
      <c r="V444" s="73"/>
      <c r="W444" s="68"/>
      <c r="X444" s="67" t="s">
        <v>69</v>
      </c>
      <c r="Y444" s="73"/>
      <c r="Z444" s="73"/>
      <c r="AA444" s="68"/>
      <c r="AB444" s="67" t="s">
        <v>69</v>
      </c>
      <c r="AC444" s="73"/>
      <c r="AD444" s="73"/>
      <c r="AE444" s="68"/>
      <c r="AF444" s="67" t="s">
        <v>69</v>
      </c>
      <c r="AG444" s="73"/>
      <c r="AH444" s="73"/>
      <c r="AI444" s="68"/>
      <c r="AJ444" s="67"/>
      <c r="AK444" s="73" t="s">
        <v>69</v>
      </c>
      <c r="AL444" s="73"/>
      <c r="AM444" s="68"/>
      <c r="AN444" s="67">
        <f t="shared" si="411"/>
        <v>85</v>
      </c>
      <c r="AO444" s="68" t="str">
        <f t="shared" si="412"/>
        <v>A</v>
      </c>
      <c r="AR444" s="49">
        <f t="shared" si="41"/>
        <v>1</v>
      </c>
      <c r="AS444" s="49">
        <f t="shared" si="42"/>
        <v>0</v>
      </c>
      <c r="AT444" s="49">
        <f t="shared" si="43"/>
        <v>0</v>
      </c>
      <c r="AU444" s="49">
        <f t="shared" si="44"/>
        <v>0</v>
      </c>
      <c r="AV444" s="49">
        <f t="shared" si="45"/>
        <v>0</v>
      </c>
      <c r="AW444" s="49">
        <f t="shared" si="46"/>
        <v>0</v>
      </c>
      <c r="AX444" s="49">
        <f t="shared" si="47"/>
        <v>1</v>
      </c>
      <c r="AY444" s="49">
        <f t="shared" si="48"/>
        <v>0</v>
      </c>
      <c r="AZ444" s="49">
        <f t="shared" si="49"/>
        <v>1</v>
      </c>
      <c r="BA444" s="49">
        <f t="shared" si="50"/>
        <v>0</v>
      </c>
      <c r="BB444" s="49">
        <f t="shared" si="51"/>
        <v>0</v>
      </c>
      <c r="BC444" s="49">
        <f t="shared" si="52"/>
        <v>0</v>
      </c>
      <c r="BD444" s="49">
        <f t="shared" si="53"/>
        <v>0</v>
      </c>
      <c r="BE444" s="49">
        <f t="shared" si="54"/>
        <v>1</v>
      </c>
      <c r="BF444" s="49">
        <f t="shared" si="55"/>
        <v>0</v>
      </c>
      <c r="BG444" s="49">
        <f t="shared" si="56"/>
        <v>0</v>
      </c>
      <c r="BH444" s="49">
        <f t="shared" si="57"/>
        <v>1</v>
      </c>
      <c r="BI444" s="49">
        <f t="shared" si="58"/>
        <v>0</v>
      </c>
      <c r="BJ444" s="49">
        <f t="shared" si="59"/>
        <v>0</v>
      </c>
      <c r="BK444" s="49">
        <f t="shared" si="60"/>
        <v>0</v>
      </c>
      <c r="BL444" s="49">
        <f t="shared" si="61"/>
        <v>1</v>
      </c>
      <c r="BM444" s="49">
        <f t="shared" si="62"/>
        <v>0</v>
      </c>
      <c r="BN444" s="49">
        <f t="shared" si="63"/>
        <v>0</v>
      </c>
      <c r="BO444" s="49">
        <f t="shared" si="64"/>
        <v>0</v>
      </c>
      <c r="BP444" s="49">
        <f t="shared" si="65"/>
        <v>1</v>
      </c>
      <c r="BQ444" s="49">
        <f t="shared" si="66"/>
        <v>0</v>
      </c>
      <c r="BR444" s="49">
        <f t="shared" si="67"/>
        <v>0</v>
      </c>
      <c r="BS444" s="49">
        <f t="shared" si="68"/>
        <v>0</v>
      </c>
      <c r="BT444" s="49">
        <f t="shared" si="69"/>
        <v>0</v>
      </c>
      <c r="BU444" s="49">
        <f t="shared" si="70"/>
        <v>1</v>
      </c>
      <c r="BV444" s="49">
        <f t="shared" si="71"/>
        <v>0</v>
      </c>
      <c r="BW444" s="49">
        <f t="shared" si="72"/>
        <v>0</v>
      </c>
    </row>
    <row r="445" spans="1:75" ht="35.1" customHeight="1" x14ac:dyDescent="0.3">
      <c r="A445" s="123" t="str">
        <f t="shared" si="409"/>
        <v>4팀</v>
      </c>
      <c r="B445" s="69">
        <f t="shared" si="410"/>
        <v>439</v>
      </c>
      <c r="C445" s="121" t="str">
        <f>IF(VLOOKUP($B445,'1. 현장별 인원현황'!$C:$J,2,0)=0,"",VLOOKUP($B445,'1. 현장별 인원현황'!$C:$J,2,0))</f>
        <v xml:space="preserve"> [4.롯데건설] 롯데바이오로직스 Project PROVIDENCE</v>
      </c>
      <c r="D445" s="74" t="str">
        <f>IF(VLOOKUP($B445,'1. 현장별 인원현황'!$C:$J,3,0)=0,"",VLOOKUP($B445,'1. 현장별 인원현황'!$C:$J,3,0))</f>
        <v>김영식</v>
      </c>
      <c r="E445" s="74" t="str">
        <f ca="1">IF(VLOOKUP($B445,'1. 현장별 인원현황'!$C:$J,4,0)=0,"",VLOOKUP($B445,'1. 현장별 인원현황'!$C:$J,4,0))</f>
        <v>49세</v>
      </c>
      <c r="F445" s="70" t="str">
        <f>IF(VLOOKUP($B445,'1. 현장별 인원현황'!$C:$J,7,0)=0,"",VLOOKUP($B445,'1. 현장별 인원현황'!$C:$J,7,0))</f>
        <v>기능공</v>
      </c>
      <c r="G445" s="72" t="str">
        <f>IF(VLOOKUP($B445,'1. 현장별 인원현황'!$C:$J,8,0)=0,"",VLOOKUP($B445,'1. 현장별 인원현황'!$C:$J,8,0))</f>
        <v>전공</v>
      </c>
      <c r="H445" s="67" t="s">
        <v>69</v>
      </c>
      <c r="I445" s="73"/>
      <c r="J445" s="73"/>
      <c r="K445" s="68"/>
      <c r="L445" s="67"/>
      <c r="M445" s="73"/>
      <c r="N445" s="73" t="s">
        <v>69</v>
      </c>
      <c r="O445" s="68"/>
      <c r="P445" s="67" t="s">
        <v>69</v>
      </c>
      <c r="Q445" s="73"/>
      <c r="R445" s="73"/>
      <c r="S445" s="68"/>
      <c r="T445" s="67"/>
      <c r="U445" s="73" t="s">
        <v>69</v>
      </c>
      <c r="V445" s="73"/>
      <c r="W445" s="68"/>
      <c r="X445" s="67" t="s">
        <v>69</v>
      </c>
      <c r="Y445" s="73"/>
      <c r="Z445" s="73"/>
      <c r="AA445" s="68"/>
      <c r="AB445" s="67" t="s">
        <v>69</v>
      </c>
      <c r="AC445" s="73"/>
      <c r="AD445" s="73"/>
      <c r="AE445" s="68"/>
      <c r="AF445" s="67" t="s">
        <v>69</v>
      </c>
      <c r="AG445" s="73"/>
      <c r="AH445" s="73"/>
      <c r="AI445" s="68"/>
      <c r="AJ445" s="67" t="s">
        <v>69</v>
      </c>
      <c r="AK445" s="73"/>
      <c r="AL445" s="73"/>
      <c r="AM445" s="68"/>
      <c r="AN445" s="67">
        <f t="shared" si="411"/>
        <v>88</v>
      </c>
      <c r="AO445" s="68" t="str">
        <f t="shared" si="412"/>
        <v>S</v>
      </c>
      <c r="AR445" s="49">
        <f t="shared" si="41"/>
        <v>1</v>
      </c>
      <c r="AS445" s="49">
        <f t="shared" si="42"/>
        <v>0</v>
      </c>
      <c r="AT445" s="49">
        <f t="shared" si="43"/>
        <v>0</v>
      </c>
      <c r="AU445" s="49">
        <f t="shared" si="44"/>
        <v>0</v>
      </c>
      <c r="AV445" s="49">
        <f t="shared" si="45"/>
        <v>0</v>
      </c>
      <c r="AW445" s="49">
        <f t="shared" si="46"/>
        <v>0</v>
      </c>
      <c r="AX445" s="49">
        <f t="shared" si="47"/>
        <v>1</v>
      </c>
      <c r="AY445" s="49">
        <f t="shared" si="48"/>
        <v>0</v>
      </c>
      <c r="AZ445" s="49">
        <f t="shared" si="49"/>
        <v>1</v>
      </c>
      <c r="BA445" s="49">
        <f t="shared" si="50"/>
        <v>0</v>
      </c>
      <c r="BB445" s="49">
        <f t="shared" si="51"/>
        <v>0</v>
      </c>
      <c r="BC445" s="49">
        <f t="shared" si="52"/>
        <v>0</v>
      </c>
      <c r="BD445" s="49">
        <f t="shared" si="53"/>
        <v>0</v>
      </c>
      <c r="BE445" s="49">
        <f t="shared" si="54"/>
        <v>1</v>
      </c>
      <c r="BF445" s="49">
        <f t="shared" si="55"/>
        <v>0</v>
      </c>
      <c r="BG445" s="49">
        <f t="shared" si="56"/>
        <v>0</v>
      </c>
      <c r="BH445" s="49">
        <f t="shared" si="57"/>
        <v>1</v>
      </c>
      <c r="BI445" s="49">
        <f t="shared" si="58"/>
        <v>0</v>
      </c>
      <c r="BJ445" s="49">
        <f t="shared" si="59"/>
        <v>0</v>
      </c>
      <c r="BK445" s="49">
        <f t="shared" si="60"/>
        <v>0</v>
      </c>
      <c r="BL445" s="49">
        <f t="shared" si="61"/>
        <v>1</v>
      </c>
      <c r="BM445" s="49">
        <f t="shared" si="62"/>
        <v>0</v>
      </c>
      <c r="BN445" s="49">
        <f t="shared" si="63"/>
        <v>0</v>
      </c>
      <c r="BO445" s="49">
        <f t="shared" si="64"/>
        <v>0</v>
      </c>
      <c r="BP445" s="49">
        <f t="shared" si="65"/>
        <v>1</v>
      </c>
      <c r="BQ445" s="49">
        <f t="shared" si="66"/>
        <v>0</v>
      </c>
      <c r="BR445" s="49">
        <f t="shared" si="67"/>
        <v>0</v>
      </c>
      <c r="BS445" s="49">
        <f t="shared" si="68"/>
        <v>0</v>
      </c>
      <c r="BT445" s="49">
        <f t="shared" si="69"/>
        <v>1</v>
      </c>
      <c r="BU445" s="49">
        <f t="shared" si="70"/>
        <v>0</v>
      </c>
      <c r="BV445" s="49">
        <f t="shared" si="71"/>
        <v>0</v>
      </c>
      <c r="BW445" s="49">
        <f t="shared" si="72"/>
        <v>0</v>
      </c>
    </row>
    <row r="446" spans="1:75" ht="35.1" customHeight="1" x14ac:dyDescent="0.3">
      <c r="A446" s="123" t="str">
        <f t="shared" si="409"/>
        <v>4팀</v>
      </c>
      <c r="B446" s="69">
        <f t="shared" si="410"/>
        <v>440</v>
      </c>
      <c r="C446" s="121" t="str">
        <f>IF(VLOOKUP($B446,'1. 현장별 인원현황'!$C:$J,2,0)=0,"",VLOOKUP($B446,'1. 현장별 인원현황'!$C:$J,2,0))</f>
        <v xml:space="preserve"> [4.롯데건설] 롯데바이오로직스 Project PROVIDENCE</v>
      </c>
      <c r="D446" s="74" t="str">
        <f>IF(VLOOKUP($B446,'1. 현장별 인원현황'!$C:$J,3,0)=0,"",VLOOKUP($B446,'1. 현장별 인원현황'!$C:$J,3,0))</f>
        <v>김도현</v>
      </c>
      <c r="E446" s="74" t="str">
        <f ca="1">IF(VLOOKUP($B446,'1. 현장별 인원현황'!$C:$J,4,0)=0,"",VLOOKUP($B446,'1. 현장별 인원현황'!$C:$J,4,0))</f>
        <v>27세</v>
      </c>
      <c r="F446" s="70" t="str">
        <f>IF(VLOOKUP($B446,'1. 현장별 인원현황'!$C:$J,7,0)=0,"",VLOOKUP($B446,'1. 현장별 인원현황'!$C:$J,7,0))</f>
        <v>기능공</v>
      </c>
      <c r="G446" s="72" t="str">
        <f>IF(VLOOKUP($B446,'1. 현장별 인원현황'!$C:$J,8,0)=0,"",VLOOKUP($B446,'1. 현장별 인원현황'!$C:$J,8,0))</f>
        <v>조공</v>
      </c>
      <c r="H446" s="67" t="s">
        <v>69</v>
      </c>
      <c r="I446" s="73"/>
      <c r="J446" s="73"/>
      <c r="K446" s="68"/>
      <c r="L446" s="67"/>
      <c r="M446" s="73"/>
      <c r="N446" s="73" t="s">
        <v>69</v>
      </c>
      <c r="O446" s="68"/>
      <c r="P446" s="67" t="s">
        <v>69</v>
      </c>
      <c r="Q446" s="73"/>
      <c r="R446" s="73"/>
      <c r="S446" s="68"/>
      <c r="T446" s="67"/>
      <c r="U446" s="73" t="s">
        <v>69</v>
      </c>
      <c r="V446" s="73"/>
      <c r="W446" s="68"/>
      <c r="X446" s="67" t="s">
        <v>69</v>
      </c>
      <c r="Y446" s="73"/>
      <c r="Z446" s="73"/>
      <c r="AA446" s="68"/>
      <c r="AB446" s="67" t="s">
        <v>69</v>
      </c>
      <c r="AC446" s="73"/>
      <c r="AD446" s="73"/>
      <c r="AE446" s="68"/>
      <c r="AF446" s="67" t="s">
        <v>69</v>
      </c>
      <c r="AG446" s="73"/>
      <c r="AH446" s="73"/>
      <c r="AI446" s="68"/>
      <c r="AJ446" s="67" t="s">
        <v>69</v>
      </c>
      <c r="AK446" s="73"/>
      <c r="AL446" s="73"/>
      <c r="AM446" s="68"/>
      <c r="AN446" s="67">
        <f t="shared" si="411"/>
        <v>88</v>
      </c>
      <c r="AO446" s="68" t="str">
        <f t="shared" si="412"/>
        <v>S</v>
      </c>
      <c r="AR446" s="49">
        <f t="shared" si="41"/>
        <v>1</v>
      </c>
      <c r="AS446" s="49">
        <f t="shared" si="42"/>
        <v>0</v>
      </c>
      <c r="AT446" s="49">
        <f t="shared" si="43"/>
        <v>0</v>
      </c>
      <c r="AU446" s="49">
        <f t="shared" si="44"/>
        <v>0</v>
      </c>
      <c r="AV446" s="49">
        <f t="shared" si="45"/>
        <v>0</v>
      </c>
      <c r="AW446" s="49">
        <f t="shared" si="46"/>
        <v>0</v>
      </c>
      <c r="AX446" s="49">
        <f t="shared" si="47"/>
        <v>1</v>
      </c>
      <c r="AY446" s="49">
        <f t="shared" si="48"/>
        <v>0</v>
      </c>
      <c r="AZ446" s="49">
        <f t="shared" si="49"/>
        <v>1</v>
      </c>
      <c r="BA446" s="49">
        <f t="shared" si="50"/>
        <v>0</v>
      </c>
      <c r="BB446" s="49">
        <f t="shared" si="51"/>
        <v>0</v>
      </c>
      <c r="BC446" s="49">
        <f t="shared" si="52"/>
        <v>0</v>
      </c>
      <c r="BD446" s="49">
        <f t="shared" si="53"/>
        <v>0</v>
      </c>
      <c r="BE446" s="49">
        <f t="shared" si="54"/>
        <v>1</v>
      </c>
      <c r="BF446" s="49">
        <f t="shared" si="55"/>
        <v>0</v>
      </c>
      <c r="BG446" s="49">
        <f t="shared" si="56"/>
        <v>0</v>
      </c>
      <c r="BH446" s="49">
        <f t="shared" si="57"/>
        <v>1</v>
      </c>
      <c r="BI446" s="49">
        <f t="shared" si="58"/>
        <v>0</v>
      </c>
      <c r="BJ446" s="49">
        <f t="shared" si="59"/>
        <v>0</v>
      </c>
      <c r="BK446" s="49">
        <f t="shared" si="60"/>
        <v>0</v>
      </c>
      <c r="BL446" s="49">
        <f t="shared" si="61"/>
        <v>1</v>
      </c>
      <c r="BM446" s="49">
        <f t="shared" si="62"/>
        <v>0</v>
      </c>
      <c r="BN446" s="49">
        <f t="shared" si="63"/>
        <v>0</v>
      </c>
      <c r="BO446" s="49">
        <f t="shared" si="64"/>
        <v>0</v>
      </c>
      <c r="BP446" s="49">
        <f t="shared" si="65"/>
        <v>1</v>
      </c>
      <c r="BQ446" s="49">
        <f t="shared" si="66"/>
        <v>0</v>
      </c>
      <c r="BR446" s="49">
        <f t="shared" si="67"/>
        <v>0</v>
      </c>
      <c r="BS446" s="49">
        <f t="shared" si="68"/>
        <v>0</v>
      </c>
      <c r="BT446" s="49">
        <f t="shared" si="69"/>
        <v>1</v>
      </c>
      <c r="BU446" s="49">
        <f t="shared" si="70"/>
        <v>0</v>
      </c>
      <c r="BV446" s="49">
        <f t="shared" si="71"/>
        <v>0</v>
      </c>
      <c r="BW446" s="49">
        <f t="shared" si="72"/>
        <v>0</v>
      </c>
    </row>
    <row r="447" spans="1:75" ht="35.1" customHeight="1" x14ac:dyDescent="0.3">
      <c r="A447" s="123" t="str">
        <f t="shared" si="409"/>
        <v>4팀</v>
      </c>
      <c r="B447" s="69">
        <f t="shared" si="410"/>
        <v>441</v>
      </c>
      <c r="C447" s="121" t="str">
        <f>IF(VLOOKUP($B447,'1. 현장별 인원현황'!$C:$J,2,0)=0,"",VLOOKUP($B447,'1. 현장별 인원현황'!$C:$J,2,0))</f>
        <v xml:space="preserve"> [4.롯데건설] 롯데바이오로직스 Project PROVIDENCE</v>
      </c>
      <c r="D447" s="74" t="str">
        <f>IF(VLOOKUP($B447,'1. 현장별 인원현황'!$C:$J,3,0)=0,"",VLOOKUP($B447,'1. 현장별 인원현황'!$C:$J,3,0))</f>
        <v>류종욱</v>
      </c>
      <c r="E447" s="74" t="str">
        <f ca="1">IF(VLOOKUP($B447,'1. 현장별 인원현황'!$C:$J,4,0)=0,"",VLOOKUP($B447,'1. 현장별 인원현황'!$C:$J,4,0))</f>
        <v>33세</v>
      </c>
      <c r="F447" s="70" t="str">
        <f>IF(VLOOKUP($B447,'1. 현장별 인원현황'!$C:$J,7,0)=0,"",VLOOKUP($B447,'1. 현장별 인원현황'!$C:$J,7,0))</f>
        <v>기능공</v>
      </c>
      <c r="G447" s="72" t="str">
        <f>IF(VLOOKUP($B447,'1. 현장별 인원현황'!$C:$J,8,0)=0,"",VLOOKUP($B447,'1. 현장별 인원현황'!$C:$J,8,0))</f>
        <v>전공</v>
      </c>
      <c r="H447" s="67" t="s">
        <v>69</v>
      </c>
      <c r="I447" s="73"/>
      <c r="J447" s="73"/>
      <c r="K447" s="68"/>
      <c r="L447" s="67"/>
      <c r="M447" s="73"/>
      <c r="N447" s="73" t="s">
        <v>69</v>
      </c>
      <c r="O447" s="68"/>
      <c r="P447" s="67" t="s">
        <v>69</v>
      </c>
      <c r="Q447" s="73"/>
      <c r="R447" s="73"/>
      <c r="S447" s="68"/>
      <c r="T447" s="67"/>
      <c r="U447" s="73" t="s">
        <v>69</v>
      </c>
      <c r="V447" s="73"/>
      <c r="W447" s="68"/>
      <c r="X447" s="67" t="s">
        <v>69</v>
      </c>
      <c r="Y447" s="73"/>
      <c r="Z447" s="73"/>
      <c r="AA447" s="68"/>
      <c r="AB447" s="67" t="s">
        <v>69</v>
      </c>
      <c r="AC447" s="73"/>
      <c r="AD447" s="73"/>
      <c r="AE447" s="68"/>
      <c r="AF447" s="67" t="s">
        <v>69</v>
      </c>
      <c r="AG447" s="73"/>
      <c r="AH447" s="73"/>
      <c r="AI447" s="68"/>
      <c r="AJ447" s="67" t="s">
        <v>69</v>
      </c>
      <c r="AK447" s="73"/>
      <c r="AL447" s="73"/>
      <c r="AM447" s="68"/>
      <c r="AN447" s="67">
        <f t="shared" si="411"/>
        <v>88</v>
      </c>
      <c r="AO447" s="68" t="str">
        <f t="shared" si="412"/>
        <v>S</v>
      </c>
      <c r="AR447" s="49">
        <f t="shared" si="41"/>
        <v>1</v>
      </c>
      <c r="AS447" s="49">
        <f t="shared" si="42"/>
        <v>0</v>
      </c>
      <c r="AT447" s="49">
        <f t="shared" si="43"/>
        <v>0</v>
      </c>
      <c r="AU447" s="49">
        <f t="shared" si="44"/>
        <v>0</v>
      </c>
      <c r="AV447" s="49">
        <f t="shared" si="45"/>
        <v>0</v>
      </c>
      <c r="AW447" s="49">
        <f t="shared" si="46"/>
        <v>0</v>
      </c>
      <c r="AX447" s="49">
        <f t="shared" si="47"/>
        <v>1</v>
      </c>
      <c r="AY447" s="49">
        <f t="shared" si="48"/>
        <v>0</v>
      </c>
      <c r="AZ447" s="49">
        <f t="shared" si="49"/>
        <v>1</v>
      </c>
      <c r="BA447" s="49">
        <f t="shared" si="50"/>
        <v>0</v>
      </c>
      <c r="BB447" s="49">
        <f t="shared" si="51"/>
        <v>0</v>
      </c>
      <c r="BC447" s="49">
        <f t="shared" si="52"/>
        <v>0</v>
      </c>
      <c r="BD447" s="49">
        <f t="shared" si="53"/>
        <v>0</v>
      </c>
      <c r="BE447" s="49">
        <f t="shared" si="54"/>
        <v>1</v>
      </c>
      <c r="BF447" s="49">
        <f t="shared" si="55"/>
        <v>0</v>
      </c>
      <c r="BG447" s="49">
        <f t="shared" si="56"/>
        <v>0</v>
      </c>
      <c r="BH447" s="49">
        <f t="shared" si="57"/>
        <v>1</v>
      </c>
      <c r="BI447" s="49">
        <f t="shared" si="58"/>
        <v>0</v>
      </c>
      <c r="BJ447" s="49">
        <f t="shared" si="59"/>
        <v>0</v>
      </c>
      <c r="BK447" s="49">
        <f t="shared" si="60"/>
        <v>0</v>
      </c>
      <c r="BL447" s="49">
        <f t="shared" si="61"/>
        <v>1</v>
      </c>
      <c r="BM447" s="49">
        <f t="shared" si="62"/>
        <v>0</v>
      </c>
      <c r="BN447" s="49">
        <f t="shared" si="63"/>
        <v>0</v>
      </c>
      <c r="BO447" s="49">
        <f t="shared" si="64"/>
        <v>0</v>
      </c>
      <c r="BP447" s="49">
        <f t="shared" si="65"/>
        <v>1</v>
      </c>
      <c r="BQ447" s="49">
        <f t="shared" si="66"/>
        <v>0</v>
      </c>
      <c r="BR447" s="49">
        <f t="shared" si="67"/>
        <v>0</v>
      </c>
      <c r="BS447" s="49">
        <f t="shared" si="68"/>
        <v>0</v>
      </c>
      <c r="BT447" s="49">
        <f t="shared" si="69"/>
        <v>1</v>
      </c>
      <c r="BU447" s="49">
        <f t="shared" si="70"/>
        <v>0</v>
      </c>
      <c r="BV447" s="49">
        <f t="shared" si="71"/>
        <v>0</v>
      </c>
      <c r="BW447" s="49">
        <f t="shared" si="72"/>
        <v>0</v>
      </c>
    </row>
    <row r="448" spans="1:75" ht="35.1" customHeight="1" x14ac:dyDescent="0.3">
      <c r="A448" s="123" t="str">
        <f t="shared" si="409"/>
        <v>4팀</v>
      </c>
      <c r="B448" s="69">
        <f t="shared" si="410"/>
        <v>442</v>
      </c>
      <c r="C448" s="121" t="str">
        <f>IF(VLOOKUP($B448,'1. 현장별 인원현황'!$C:$J,2,0)=0,"",VLOOKUP($B448,'1. 현장별 인원현황'!$C:$J,2,0))</f>
        <v xml:space="preserve"> [4.롯데건설] 롯데바이오로직스 Project PROVIDENCE</v>
      </c>
      <c r="D448" s="74" t="str">
        <f>IF(VLOOKUP($B448,'1. 현장별 인원현황'!$C:$J,3,0)=0,"",VLOOKUP($B448,'1. 현장별 인원현황'!$C:$J,3,0))</f>
        <v>이금성</v>
      </c>
      <c r="E448" s="74" t="str">
        <f ca="1">IF(VLOOKUP($B448,'1. 현장별 인원현황'!$C:$J,4,0)=0,"",VLOOKUP($B448,'1. 현장별 인원현황'!$C:$J,4,0))</f>
        <v>29세</v>
      </c>
      <c r="F448" s="70" t="str">
        <f>IF(VLOOKUP($B448,'1. 현장별 인원현황'!$C:$J,7,0)=0,"",VLOOKUP($B448,'1. 현장별 인원현황'!$C:$J,7,0))</f>
        <v>기능공</v>
      </c>
      <c r="G448" s="72" t="str">
        <f>IF(VLOOKUP($B448,'1. 현장별 인원현황'!$C:$J,8,0)=0,"",VLOOKUP($B448,'1. 현장별 인원현황'!$C:$J,8,0))</f>
        <v>전공</v>
      </c>
      <c r="H448" s="67" t="s">
        <v>69</v>
      </c>
      <c r="I448" s="73"/>
      <c r="J448" s="73"/>
      <c r="K448" s="68"/>
      <c r="L448" s="67"/>
      <c r="M448" s="73"/>
      <c r="N448" s="73" t="s">
        <v>69</v>
      </c>
      <c r="O448" s="68"/>
      <c r="P448" s="67" t="s">
        <v>69</v>
      </c>
      <c r="Q448" s="73"/>
      <c r="R448" s="73"/>
      <c r="S448" s="68"/>
      <c r="T448" s="67"/>
      <c r="U448" s="73" t="s">
        <v>69</v>
      </c>
      <c r="V448" s="73"/>
      <c r="W448" s="68"/>
      <c r="X448" s="67" t="s">
        <v>69</v>
      </c>
      <c r="Y448" s="73"/>
      <c r="Z448" s="73"/>
      <c r="AA448" s="68"/>
      <c r="AB448" s="67" t="s">
        <v>69</v>
      </c>
      <c r="AC448" s="73"/>
      <c r="AD448" s="73"/>
      <c r="AE448" s="68"/>
      <c r="AF448" s="67" t="s">
        <v>69</v>
      </c>
      <c r="AG448" s="73"/>
      <c r="AH448" s="73"/>
      <c r="AI448" s="68"/>
      <c r="AJ448" s="67" t="s">
        <v>69</v>
      </c>
      <c r="AK448" s="73"/>
      <c r="AL448" s="73"/>
      <c r="AM448" s="68"/>
      <c r="AN448" s="67">
        <f t="shared" si="411"/>
        <v>88</v>
      </c>
      <c r="AO448" s="68" t="str">
        <f t="shared" si="412"/>
        <v>S</v>
      </c>
      <c r="AR448" s="49">
        <f t="shared" si="41"/>
        <v>1</v>
      </c>
      <c r="AS448" s="49">
        <f t="shared" si="42"/>
        <v>0</v>
      </c>
      <c r="AT448" s="49">
        <f t="shared" si="43"/>
        <v>0</v>
      </c>
      <c r="AU448" s="49">
        <f t="shared" si="44"/>
        <v>0</v>
      </c>
      <c r="AV448" s="49">
        <f t="shared" si="45"/>
        <v>0</v>
      </c>
      <c r="AW448" s="49">
        <f t="shared" si="46"/>
        <v>0</v>
      </c>
      <c r="AX448" s="49">
        <f t="shared" si="47"/>
        <v>1</v>
      </c>
      <c r="AY448" s="49">
        <f t="shared" si="48"/>
        <v>0</v>
      </c>
      <c r="AZ448" s="49">
        <f t="shared" si="49"/>
        <v>1</v>
      </c>
      <c r="BA448" s="49">
        <f t="shared" si="50"/>
        <v>0</v>
      </c>
      <c r="BB448" s="49">
        <f t="shared" si="51"/>
        <v>0</v>
      </c>
      <c r="BC448" s="49">
        <f t="shared" si="52"/>
        <v>0</v>
      </c>
      <c r="BD448" s="49">
        <f t="shared" si="53"/>
        <v>0</v>
      </c>
      <c r="BE448" s="49">
        <f t="shared" si="54"/>
        <v>1</v>
      </c>
      <c r="BF448" s="49">
        <f t="shared" si="55"/>
        <v>0</v>
      </c>
      <c r="BG448" s="49">
        <f t="shared" si="56"/>
        <v>0</v>
      </c>
      <c r="BH448" s="49">
        <f t="shared" si="57"/>
        <v>1</v>
      </c>
      <c r="BI448" s="49">
        <f t="shared" si="58"/>
        <v>0</v>
      </c>
      <c r="BJ448" s="49">
        <f t="shared" si="59"/>
        <v>0</v>
      </c>
      <c r="BK448" s="49">
        <f t="shared" si="60"/>
        <v>0</v>
      </c>
      <c r="BL448" s="49">
        <f t="shared" si="61"/>
        <v>1</v>
      </c>
      <c r="BM448" s="49">
        <f t="shared" si="62"/>
        <v>0</v>
      </c>
      <c r="BN448" s="49">
        <f t="shared" si="63"/>
        <v>0</v>
      </c>
      <c r="BO448" s="49">
        <f t="shared" si="64"/>
        <v>0</v>
      </c>
      <c r="BP448" s="49">
        <f t="shared" si="65"/>
        <v>1</v>
      </c>
      <c r="BQ448" s="49">
        <f t="shared" si="66"/>
        <v>0</v>
      </c>
      <c r="BR448" s="49">
        <f t="shared" si="67"/>
        <v>0</v>
      </c>
      <c r="BS448" s="49">
        <f t="shared" si="68"/>
        <v>0</v>
      </c>
      <c r="BT448" s="49">
        <f t="shared" si="69"/>
        <v>1</v>
      </c>
      <c r="BU448" s="49">
        <f t="shared" si="70"/>
        <v>0</v>
      </c>
      <c r="BV448" s="49">
        <f t="shared" si="71"/>
        <v>0</v>
      </c>
      <c r="BW448" s="49">
        <f t="shared" si="72"/>
        <v>0</v>
      </c>
    </row>
    <row r="449" spans="1:75" ht="35.1" customHeight="1" x14ac:dyDescent="0.3">
      <c r="A449" s="123" t="str">
        <f t="shared" si="409"/>
        <v>4팀</v>
      </c>
      <c r="B449" s="69">
        <f t="shared" si="410"/>
        <v>443</v>
      </c>
      <c r="C449" s="121" t="str">
        <f>IF(VLOOKUP($B449,'1. 현장별 인원현황'!$C:$J,2,0)=0,"",VLOOKUP($B449,'1. 현장별 인원현황'!$C:$J,2,0))</f>
        <v xml:space="preserve"> [4.롯데건설] 롯데바이오로직스 Project PROVIDENCE</v>
      </c>
      <c r="D449" s="74" t="str">
        <f>IF(VLOOKUP($B449,'1. 현장별 인원현황'!$C:$J,3,0)=0,"",VLOOKUP($B449,'1. 현장별 인원현황'!$C:$J,3,0))</f>
        <v>전지성</v>
      </c>
      <c r="E449" s="74" t="str">
        <f ca="1">IF(VLOOKUP($B449,'1. 현장별 인원현황'!$C:$J,4,0)=0,"",VLOOKUP($B449,'1. 현장별 인원현황'!$C:$J,4,0))</f>
        <v>27세</v>
      </c>
      <c r="F449" s="70" t="str">
        <f>IF(VLOOKUP($B449,'1. 현장별 인원현황'!$C:$J,7,0)=0,"",VLOOKUP($B449,'1. 현장별 인원현황'!$C:$J,7,0))</f>
        <v>기능공</v>
      </c>
      <c r="G449" s="72" t="str">
        <f>IF(VLOOKUP($B449,'1. 현장별 인원현황'!$C:$J,8,0)=0,"",VLOOKUP($B449,'1. 현장별 인원현황'!$C:$J,8,0))</f>
        <v>전공</v>
      </c>
      <c r="H449" s="67" t="s">
        <v>69</v>
      </c>
      <c r="I449" s="73"/>
      <c r="J449" s="73"/>
      <c r="K449" s="68"/>
      <c r="L449" s="67"/>
      <c r="M449" s="73"/>
      <c r="N449" s="73" t="s">
        <v>69</v>
      </c>
      <c r="O449" s="68"/>
      <c r="P449" s="67" t="s">
        <v>69</v>
      </c>
      <c r="Q449" s="73"/>
      <c r="R449" s="73"/>
      <c r="S449" s="68"/>
      <c r="T449" s="67"/>
      <c r="U449" s="73" t="s">
        <v>69</v>
      </c>
      <c r="V449" s="73"/>
      <c r="W449" s="68"/>
      <c r="X449" s="67" t="s">
        <v>69</v>
      </c>
      <c r="Y449" s="73"/>
      <c r="Z449" s="73"/>
      <c r="AA449" s="68"/>
      <c r="AB449" s="67" t="s">
        <v>69</v>
      </c>
      <c r="AC449" s="73"/>
      <c r="AD449" s="73"/>
      <c r="AE449" s="68"/>
      <c r="AF449" s="67" t="s">
        <v>69</v>
      </c>
      <c r="AG449" s="73"/>
      <c r="AH449" s="73"/>
      <c r="AI449" s="68"/>
      <c r="AJ449" s="67" t="s">
        <v>69</v>
      </c>
      <c r="AK449" s="73"/>
      <c r="AL449" s="73"/>
      <c r="AM449" s="68"/>
      <c r="AN449" s="67">
        <f t="shared" si="411"/>
        <v>88</v>
      </c>
      <c r="AO449" s="68" t="str">
        <f t="shared" si="412"/>
        <v>S</v>
      </c>
      <c r="AR449" s="49">
        <f t="shared" si="41"/>
        <v>1</v>
      </c>
      <c r="AS449" s="49">
        <f t="shared" si="42"/>
        <v>0</v>
      </c>
      <c r="AT449" s="49">
        <f t="shared" si="43"/>
        <v>0</v>
      </c>
      <c r="AU449" s="49">
        <f t="shared" si="44"/>
        <v>0</v>
      </c>
      <c r="AV449" s="49">
        <f t="shared" si="45"/>
        <v>0</v>
      </c>
      <c r="AW449" s="49">
        <f t="shared" si="46"/>
        <v>0</v>
      </c>
      <c r="AX449" s="49">
        <f t="shared" si="47"/>
        <v>1</v>
      </c>
      <c r="AY449" s="49">
        <f t="shared" si="48"/>
        <v>0</v>
      </c>
      <c r="AZ449" s="49">
        <f t="shared" si="49"/>
        <v>1</v>
      </c>
      <c r="BA449" s="49">
        <f t="shared" si="50"/>
        <v>0</v>
      </c>
      <c r="BB449" s="49">
        <f t="shared" si="51"/>
        <v>0</v>
      </c>
      <c r="BC449" s="49">
        <f t="shared" si="52"/>
        <v>0</v>
      </c>
      <c r="BD449" s="49">
        <f t="shared" si="53"/>
        <v>0</v>
      </c>
      <c r="BE449" s="49">
        <f t="shared" si="54"/>
        <v>1</v>
      </c>
      <c r="BF449" s="49">
        <f t="shared" si="55"/>
        <v>0</v>
      </c>
      <c r="BG449" s="49">
        <f t="shared" si="56"/>
        <v>0</v>
      </c>
      <c r="BH449" s="49">
        <f t="shared" si="57"/>
        <v>1</v>
      </c>
      <c r="BI449" s="49">
        <f t="shared" si="58"/>
        <v>0</v>
      </c>
      <c r="BJ449" s="49">
        <f t="shared" si="59"/>
        <v>0</v>
      </c>
      <c r="BK449" s="49">
        <f t="shared" si="60"/>
        <v>0</v>
      </c>
      <c r="BL449" s="49">
        <f t="shared" si="61"/>
        <v>1</v>
      </c>
      <c r="BM449" s="49">
        <f t="shared" si="62"/>
        <v>0</v>
      </c>
      <c r="BN449" s="49">
        <f t="shared" si="63"/>
        <v>0</v>
      </c>
      <c r="BO449" s="49">
        <f t="shared" si="64"/>
        <v>0</v>
      </c>
      <c r="BP449" s="49">
        <f t="shared" si="65"/>
        <v>1</v>
      </c>
      <c r="BQ449" s="49">
        <f t="shared" si="66"/>
        <v>0</v>
      </c>
      <c r="BR449" s="49">
        <f t="shared" si="67"/>
        <v>0</v>
      </c>
      <c r="BS449" s="49">
        <f t="shared" si="68"/>
        <v>0</v>
      </c>
      <c r="BT449" s="49">
        <f t="shared" si="69"/>
        <v>1</v>
      </c>
      <c r="BU449" s="49">
        <f t="shared" si="70"/>
        <v>0</v>
      </c>
      <c r="BV449" s="49">
        <f t="shared" si="71"/>
        <v>0</v>
      </c>
      <c r="BW449" s="49">
        <f t="shared" si="72"/>
        <v>0</v>
      </c>
    </row>
    <row r="450" spans="1:75" ht="35.1" customHeight="1" x14ac:dyDescent="0.3">
      <c r="A450" s="123" t="str">
        <f t="shared" si="409"/>
        <v>4팀</v>
      </c>
      <c r="B450" s="69">
        <f t="shared" si="410"/>
        <v>444</v>
      </c>
      <c r="C450" s="121" t="str">
        <f>IF(VLOOKUP($B450,'1. 현장별 인원현황'!$C:$J,2,0)=0,"",VLOOKUP($B450,'1. 현장별 인원현황'!$C:$J,2,0))</f>
        <v xml:space="preserve"> [4.롯데건설] 롯데바이오로직스 Project PROVIDENCE</v>
      </c>
      <c r="D450" s="74" t="str">
        <f>IF(VLOOKUP($B450,'1. 현장별 인원현황'!$C:$J,3,0)=0,"",VLOOKUP($B450,'1. 현장별 인원현황'!$C:$J,3,0))</f>
        <v>조세윤</v>
      </c>
      <c r="E450" s="74" t="str">
        <f ca="1">IF(VLOOKUP($B450,'1. 현장별 인원현황'!$C:$J,4,0)=0,"",VLOOKUP($B450,'1. 현장별 인원현황'!$C:$J,4,0))</f>
        <v>27세</v>
      </c>
      <c r="F450" s="70" t="str">
        <f>IF(VLOOKUP($B450,'1. 현장별 인원현황'!$C:$J,7,0)=0,"",VLOOKUP($B450,'1. 현장별 인원현황'!$C:$J,7,0))</f>
        <v>기능공</v>
      </c>
      <c r="G450" s="72" t="str">
        <f>IF(VLOOKUP($B450,'1. 현장별 인원현황'!$C:$J,8,0)=0,"",VLOOKUP($B450,'1. 현장별 인원현황'!$C:$J,8,0))</f>
        <v>전공</v>
      </c>
      <c r="H450" s="67" t="s">
        <v>69</v>
      </c>
      <c r="I450" s="73"/>
      <c r="J450" s="73"/>
      <c r="K450" s="68"/>
      <c r="L450" s="67"/>
      <c r="M450" s="73"/>
      <c r="N450" s="73" t="s">
        <v>69</v>
      </c>
      <c r="O450" s="68"/>
      <c r="P450" s="67" t="s">
        <v>69</v>
      </c>
      <c r="Q450" s="73"/>
      <c r="R450" s="73"/>
      <c r="S450" s="68"/>
      <c r="T450" s="67"/>
      <c r="U450" s="73" t="s">
        <v>69</v>
      </c>
      <c r="V450" s="73"/>
      <c r="W450" s="68"/>
      <c r="X450" s="67" t="s">
        <v>69</v>
      </c>
      <c r="Y450" s="73"/>
      <c r="Z450" s="73"/>
      <c r="AA450" s="68"/>
      <c r="AB450" s="67" t="s">
        <v>69</v>
      </c>
      <c r="AC450" s="73"/>
      <c r="AD450" s="73"/>
      <c r="AE450" s="68"/>
      <c r="AF450" s="67" t="s">
        <v>69</v>
      </c>
      <c r="AG450" s="73"/>
      <c r="AH450" s="73"/>
      <c r="AI450" s="68"/>
      <c r="AJ450" s="67" t="s">
        <v>69</v>
      </c>
      <c r="AK450" s="73"/>
      <c r="AL450" s="73"/>
      <c r="AM450" s="68"/>
      <c r="AN450" s="67">
        <f t="shared" si="411"/>
        <v>88</v>
      </c>
      <c r="AO450" s="68" t="str">
        <f t="shared" si="412"/>
        <v>S</v>
      </c>
      <c r="AR450" s="49">
        <f t="shared" si="41"/>
        <v>1</v>
      </c>
      <c r="AS450" s="49">
        <f t="shared" si="42"/>
        <v>0</v>
      </c>
      <c r="AT450" s="49">
        <f t="shared" si="43"/>
        <v>0</v>
      </c>
      <c r="AU450" s="49">
        <f t="shared" si="44"/>
        <v>0</v>
      </c>
      <c r="AV450" s="49">
        <f t="shared" si="45"/>
        <v>0</v>
      </c>
      <c r="AW450" s="49">
        <f t="shared" si="46"/>
        <v>0</v>
      </c>
      <c r="AX450" s="49">
        <f t="shared" si="47"/>
        <v>1</v>
      </c>
      <c r="AY450" s="49">
        <f t="shared" si="48"/>
        <v>0</v>
      </c>
      <c r="AZ450" s="49">
        <f t="shared" si="49"/>
        <v>1</v>
      </c>
      <c r="BA450" s="49">
        <f t="shared" si="50"/>
        <v>0</v>
      </c>
      <c r="BB450" s="49">
        <f t="shared" si="51"/>
        <v>0</v>
      </c>
      <c r="BC450" s="49">
        <f t="shared" si="52"/>
        <v>0</v>
      </c>
      <c r="BD450" s="49">
        <f t="shared" si="53"/>
        <v>0</v>
      </c>
      <c r="BE450" s="49">
        <f t="shared" si="54"/>
        <v>1</v>
      </c>
      <c r="BF450" s="49">
        <f t="shared" si="55"/>
        <v>0</v>
      </c>
      <c r="BG450" s="49">
        <f t="shared" si="56"/>
        <v>0</v>
      </c>
      <c r="BH450" s="49">
        <f t="shared" si="57"/>
        <v>1</v>
      </c>
      <c r="BI450" s="49">
        <f t="shared" si="58"/>
        <v>0</v>
      </c>
      <c r="BJ450" s="49">
        <f t="shared" si="59"/>
        <v>0</v>
      </c>
      <c r="BK450" s="49">
        <f t="shared" si="60"/>
        <v>0</v>
      </c>
      <c r="BL450" s="49">
        <f t="shared" si="61"/>
        <v>1</v>
      </c>
      <c r="BM450" s="49">
        <f t="shared" si="62"/>
        <v>0</v>
      </c>
      <c r="BN450" s="49">
        <f t="shared" si="63"/>
        <v>0</v>
      </c>
      <c r="BO450" s="49">
        <f t="shared" si="64"/>
        <v>0</v>
      </c>
      <c r="BP450" s="49">
        <f t="shared" si="65"/>
        <v>1</v>
      </c>
      <c r="BQ450" s="49">
        <f t="shared" si="66"/>
        <v>0</v>
      </c>
      <c r="BR450" s="49">
        <f t="shared" si="67"/>
        <v>0</v>
      </c>
      <c r="BS450" s="49">
        <f t="shared" si="68"/>
        <v>0</v>
      </c>
      <c r="BT450" s="49">
        <f t="shared" si="69"/>
        <v>1</v>
      </c>
      <c r="BU450" s="49">
        <f t="shared" si="70"/>
        <v>0</v>
      </c>
      <c r="BV450" s="49">
        <f t="shared" si="71"/>
        <v>0</v>
      </c>
      <c r="BW450" s="49">
        <f t="shared" si="72"/>
        <v>0</v>
      </c>
    </row>
    <row r="451" spans="1:75" ht="35.1" customHeight="1" x14ac:dyDescent="0.3">
      <c r="A451" s="123" t="str">
        <f t="shared" si="409"/>
        <v>4팀</v>
      </c>
      <c r="B451" s="69">
        <f t="shared" si="410"/>
        <v>445</v>
      </c>
      <c r="C451" s="121" t="str">
        <f>IF(VLOOKUP($B451,'1. 현장별 인원현황'!$C:$J,2,0)=0,"",VLOOKUP($B451,'1. 현장별 인원현황'!$C:$J,2,0))</f>
        <v xml:space="preserve"> [4.롯데건설] 롯데바이오로직스 Project PROVIDENCE</v>
      </c>
      <c r="D451" s="74" t="str">
        <f>IF(VLOOKUP($B451,'1. 현장별 인원현황'!$C:$J,3,0)=0,"",VLOOKUP($B451,'1. 현장별 인원현황'!$C:$J,3,0))</f>
        <v>김종구</v>
      </c>
      <c r="E451" s="74" t="str">
        <f ca="1">IF(VLOOKUP($B451,'1. 현장별 인원현황'!$C:$J,4,0)=0,"",VLOOKUP($B451,'1. 현장별 인원현황'!$C:$J,4,0))</f>
        <v>35세</v>
      </c>
      <c r="F451" s="70" t="str">
        <f>IF(VLOOKUP($B451,'1. 현장별 인원현황'!$C:$J,7,0)=0,"",VLOOKUP($B451,'1. 현장별 인원현황'!$C:$J,7,0))</f>
        <v>기능공</v>
      </c>
      <c r="G451" s="72" t="str">
        <f>IF(VLOOKUP($B451,'1. 현장별 인원현황'!$C:$J,8,0)=0,"",VLOOKUP($B451,'1. 현장별 인원현황'!$C:$J,8,0))</f>
        <v>전공</v>
      </c>
      <c r="H451" s="67" t="s">
        <v>69</v>
      </c>
      <c r="I451" s="73"/>
      <c r="J451" s="73"/>
      <c r="K451" s="68"/>
      <c r="L451" s="67"/>
      <c r="M451" s="73"/>
      <c r="N451" s="73" t="s">
        <v>69</v>
      </c>
      <c r="O451" s="68"/>
      <c r="P451" s="67" t="s">
        <v>69</v>
      </c>
      <c r="Q451" s="73"/>
      <c r="R451" s="73"/>
      <c r="S451" s="68"/>
      <c r="T451" s="67"/>
      <c r="U451" s="73" t="s">
        <v>69</v>
      </c>
      <c r="V451" s="73"/>
      <c r="W451" s="68"/>
      <c r="X451" s="67" t="s">
        <v>69</v>
      </c>
      <c r="Y451" s="73"/>
      <c r="Z451" s="73"/>
      <c r="AA451" s="68"/>
      <c r="AB451" s="67" t="s">
        <v>69</v>
      </c>
      <c r="AC451" s="73"/>
      <c r="AD451" s="73"/>
      <c r="AE451" s="68"/>
      <c r="AF451" s="67" t="s">
        <v>69</v>
      </c>
      <c r="AG451" s="73"/>
      <c r="AH451" s="73"/>
      <c r="AI451" s="68"/>
      <c r="AJ451" s="67" t="s">
        <v>69</v>
      </c>
      <c r="AK451" s="73"/>
      <c r="AL451" s="73"/>
      <c r="AM451" s="68"/>
      <c r="AN451" s="67">
        <f t="shared" si="411"/>
        <v>88</v>
      </c>
      <c r="AO451" s="68" t="str">
        <f t="shared" si="412"/>
        <v>S</v>
      </c>
      <c r="AR451" s="49">
        <f t="shared" si="41"/>
        <v>1</v>
      </c>
      <c r="AS451" s="49">
        <f t="shared" si="42"/>
        <v>0</v>
      </c>
      <c r="AT451" s="49">
        <f t="shared" si="43"/>
        <v>0</v>
      </c>
      <c r="AU451" s="49">
        <f t="shared" si="44"/>
        <v>0</v>
      </c>
      <c r="AV451" s="49">
        <f t="shared" si="45"/>
        <v>0</v>
      </c>
      <c r="AW451" s="49">
        <f t="shared" si="46"/>
        <v>0</v>
      </c>
      <c r="AX451" s="49">
        <f t="shared" si="47"/>
        <v>1</v>
      </c>
      <c r="AY451" s="49">
        <f t="shared" si="48"/>
        <v>0</v>
      </c>
      <c r="AZ451" s="49">
        <f t="shared" si="49"/>
        <v>1</v>
      </c>
      <c r="BA451" s="49">
        <f t="shared" si="50"/>
        <v>0</v>
      </c>
      <c r="BB451" s="49">
        <f t="shared" si="51"/>
        <v>0</v>
      </c>
      <c r="BC451" s="49">
        <f t="shared" si="52"/>
        <v>0</v>
      </c>
      <c r="BD451" s="49">
        <f t="shared" si="53"/>
        <v>0</v>
      </c>
      <c r="BE451" s="49">
        <f t="shared" si="54"/>
        <v>1</v>
      </c>
      <c r="BF451" s="49">
        <f t="shared" si="55"/>
        <v>0</v>
      </c>
      <c r="BG451" s="49">
        <f t="shared" si="56"/>
        <v>0</v>
      </c>
      <c r="BH451" s="49">
        <f t="shared" si="57"/>
        <v>1</v>
      </c>
      <c r="BI451" s="49">
        <f t="shared" si="58"/>
        <v>0</v>
      </c>
      <c r="BJ451" s="49">
        <f t="shared" si="59"/>
        <v>0</v>
      </c>
      <c r="BK451" s="49">
        <f t="shared" si="60"/>
        <v>0</v>
      </c>
      <c r="BL451" s="49">
        <f t="shared" si="61"/>
        <v>1</v>
      </c>
      <c r="BM451" s="49">
        <f t="shared" si="62"/>
        <v>0</v>
      </c>
      <c r="BN451" s="49">
        <f t="shared" si="63"/>
        <v>0</v>
      </c>
      <c r="BO451" s="49">
        <f t="shared" si="64"/>
        <v>0</v>
      </c>
      <c r="BP451" s="49">
        <f t="shared" si="65"/>
        <v>1</v>
      </c>
      <c r="BQ451" s="49">
        <f t="shared" si="66"/>
        <v>0</v>
      </c>
      <c r="BR451" s="49">
        <f t="shared" si="67"/>
        <v>0</v>
      </c>
      <c r="BS451" s="49">
        <f t="shared" si="68"/>
        <v>0</v>
      </c>
      <c r="BT451" s="49">
        <f t="shared" si="69"/>
        <v>1</v>
      </c>
      <c r="BU451" s="49">
        <f t="shared" si="70"/>
        <v>0</v>
      </c>
      <c r="BV451" s="49">
        <f t="shared" si="71"/>
        <v>0</v>
      </c>
      <c r="BW451" s="49">
        <f t="shared" si="72"/>
        <v>0</v>
      </c>
    </row>
    <row r="452" spans="1:75" ht="35.1" customHeight="1" x14ac:dyDescent="0.3">
      <c r="A452" s="123" t="str">
        <f t="shared" si="409"/>
        <v>4팀</v>
      </c>
      <c r="B452" s="69">
        <f t="shared" si="410"/>
        <v>446</v>
      </c>
      <c r="C452" s="121" t="str">
        <f>IF(VLOOKUP($B452,'1. 현장별 인원현황'!$C:$J,2,0)=0,"",VLOOKUP($B452,'1. 현장별 인원현황'!$C:$J,2,0))</f>
        <v xml:space="preserve"> [4.롯데건설] 롯데바이오로직스 Project PROVIDENCE</v>
      </c>
      <c r="D452" s="74" t="str">
        <f>IF(VLOOKUP($B452,'1. 현장별 인원현황'!$C:$J,3,0)=0,"",VLOOKUP($B452,'1. 현장별 인원현황'!$C:$J,3,0))</f>
        <v>김민재</v>
      </c>
      <c r="E452" s="74" t="str">
        <f ca="1">IF(VLOOKUP($B452,'1. 현장별 인원현황'!$C:$J,4,0)=0,"",VLOOKUP($B452,'1. 현장별 인원현황'!$C:$J,4,0))</f>
        <v>27세</v>
      </c>
      <c r="F452" s="70" t="str">
        <f>IF(VLOOKUP($B452,'1. 현장별 인원현황'!$C:$J,7,0)=0,"",VLOOKUP($B452,'1. 현장별 인원현황'!$C:$J,7,0))</f>
        <v>기능공</v>
      </c>
      <c r="G452" s="72" t="str">
        <f>IF(VLOOKUP($B452,'1. 현장별 인원현황'!$C:$J,8,0)=0,"",VLOOKUP($B452,'1. 현장별 인원현황'!$C:$J,8,0))</f>
        <v>전공</v>
      </c>
      <c r="H452" s="67" t="s">
        <v>69</v>
      </c>
      <c r="I452" s="73"/>
      <c r="J452" s="73"/>
      <c r="K452" s="68"/>
      <c r="L452" s="67"/>
      <c r="M452" s="73"/>
      <c r="N452" s="73" t="s">
        <v>69</v>
      </c>
      <c r="O452" s="68"/>
      <c r="P452" s="67" t="s">
        <v>69</v>
      </c>
      <c r="Q452" s="73"/>
      <c r="R452" s="73"/>
      <c r="S452" s="68"/>
      <c r="T452" s="67"/>
      <c r="U452" s="73" t="s">
        <v>69</v>
      </c>
      <c r="V452" s="73"/>
      <c r="W452" s="68"/>
      <c r="X452" s="67" t="s">
        <v>69</v>
      </c>
      <c r="Y452" s="73"/>
      <c r="Z452" s="73"/>
      <c r="AA452" s="68"/>
      <c r="AB452" s="67" t="s">
        <v>69</v>
      </c>
      <c r="AC452" s="73"/>
      <c r="AD452" s="73"/>
      <c r="AE452" s="68"/>
      <c r="AF452" s="67" t="s">
        <v>69</v>
      </c>
      <c r="AG452" s="73"/>
      <c r="AH452" s="73"/>
      <c r="AI452" s="68"/>
      <c r="AJ452" s="67" t="s">
        <v>69</v>
      </c>
      <c r="AK452" s="73"/>
      <c r="AL452" s="73"/>
      <c r="AM452" s="68"/>
      <c r="AN452" s="67">
        <f t="shared" si="411"/>
        <v>88</v>
      </c>
      <c r="AO452" s="68" t="str">
        <f t="shared" si="412"/>
        <v>S</v>
      </c>
      <c r="AR452" s="49">
        <f t="shared" ref="AR452:AR467" si="445">IF(H452&gt;0,1,0)</f>
        <v>1</v>
      </c>
      <c r="AS452" s="49">
        <f t="shared" ref="AS452:AS467" si="446">IF(I452&gt;0,1,0)</f>
        <v>0</v>
      </c>
      <c r="AT452" s="49">
        <f t="shared" ref="AT452:AT467" si="447">IF(J452&gt;0,1,0)</f>
        <v>0</v>
      </c>
      <c r="AU452" s="49">
        <f t="shared" ref="AU452:AU467" si="448">IF(K452&gt;0,1,0)</f>
        <v>0</v>
      </c>
      <c r="AV452" s="49">
        <f t="shared" ref="AV452:AV467" si="449">IF(L452&gt;0,1,0)</f>
        <v>0</v>
      </c>
      <c r="AW452" s="49">
        <f t="shared" ref="AW452:AW467" si="450">IF(M452&gt;0,1,0)</f>
        <v>0</v>
      </c>
      <c r="AX452" s="49">
        <f t="shared" ref="AX452:AX467" si="451">IF(N452&gt;0,1,0)</f>
        <v>1</v>
      </c>
      <c r="AY452" s="49">
        <f t="shared" ref="AY452:AY467" si="452">IF(O452&gt;0,1,0)</f>
        <v>0</v>
      </c>
      <c r="AZ452" s="49">
        <f t="shared" ref="AZ452:AZ467" si="453">IF(P452&gt;0,1,0)</f>
        <v>1</v>
      </c>
      <c r="BA452" s="49">
        <f t="shared" ref="BA452:BA467" si="454">IF(Q452&gt;0,1,0)</f>
        <v>0</v>
      </c>
      <c r="BB452" s="49">
        <f t="shared" ref="BB452:BB467" si="455">IF(R452&gt;0,1,0)</f>
        <v>0</v>
      </c>
      <c r="BC452" s="49">
        <f t="shared" ref="BC452:BC467" si="456">IF(S452&gt;0,1,0)</f>
        <v>0</v>
      </c>
      <c r="BD452" s="49">
        <f t="shared" ref="BD452:BD467" si="457">IF(T452&gt;0,1,0)</f>
        <v>0</v>
      </c>
      <c r="BE452" s="49">
        <f t="shared" ref="BE452:BE467" si="458">IF(U452&gt;0,1,0)</f>
        <v>1</v>
      </c>
      <c r="BF452" s="49">
        <f t="shared" ref="BF452:BF467" si="459">IF(V452&gt;0,1,0)</f>
        <v>0</v>
      </c>
      <c r="BG452" s="49">
        <f t="shared" ref="BG452:BG467" si="460">IF(W452&gt;0,1,0)</f>
        <v>0</v>
      </c>
      <c r="BH452" s="49">
        <f t="shared" ref="BH452:BH467" si="461">IF(X452&gt;0,1,0)</f>
        <v>1</v>
      </c>
      <c r="BI452" s="49">
        <f t="shared" ref="BI452:BI467" si="462">IF(Y452&gt;0,1,0)</f>
        <v>0</v>
      </c>
      <c r="BJ452" s="49">
        <f t="shared" ref="BJ452:BJ467" si="463">IF(Z452&gt;0,1,0)</f>
        <v>0</v>
      </c>
      <c r="BK452" s="49">
        <f t="shared" ref="BK452:BK467" si="464">IF(AA452&gt;0,1,0)</f>
        <v>0</v>
      </c>
      <c r="BL452" s="49">
        <f t="shared" ref="BL452:BL467" si="465">IF(AB452&gt;0,1,0)</f>
        <v>1</v>
      </c>
      <c r="BM452" s="49">
        <f t="shared" ref="BM452:BM467" si="466">IF(AC452&gt;0,1,0)</f>
        <v>0</v>
      </c>
      <c r="BN452" s="49">
        <f t="shared" ref="BN452:BN467" si="467">IF(AD452&gt;0,1,0)</f>
        <v>0</v>
      </c>
      <c r="BO452" s="49">
        <f t="shared" ref="BO452:BO467" si="468">IF(AE452&gt;0,1,0)</f>
        <v>0</v>
      </c>
      <c r="BP452" s="49">
        <f t="shared" ref="BP452:BP467" si="469">IF(AF452&gt;0,1,0)</f>
        <v>1</v>
      </c>
      <c r="BQ452" s="49">
        <f t="shared" ref="BQ452:BQ467" si="470">IF(AG452&gt;0,1,0)</f>
        <v>0</v>
      </c>
      <c r="BR452" s="49">
        <f t="shared" ref="BR452:BR467" si="471">IF(AH452&gt;0,1,0)</f>
        <v>0</v>
      </c>
      <c r="BS452" s="49">
        <f t="shared" ref="BS452:BS467" si="472">IF(AI452&gt;0,1,0)</f>
        <v>0</v>
      </c>
      <c r="BT452" s="49">
        <f t="shared" ref="BT452:BT467" si="473">IF(AJ452&gt;0,1,0)</f>
        <v>1</v>
      </c>
      <c r="BU452" s="49">
        <f t="shared" ref="BU452:BU467" si="474">IF(AK452&gt;0,1,0)</f>
        <v>0</v>
      </c>
      <c r="BV452" s="49">
        <f t="shared" ref="BV452:BV467" si="475">IF(AL452&gt;0,1,0)</f>
        <v>0</v>
      </c>
      <c r="BW452" s="49">
        <f t="shared" ref="BW452:BW467" si="476">IF(AM452&gt;0,1,0)</f>
        <v>0</v>
      </c>
    </row>
    <row r="453" spans="1:75" ht="35.1" customHeight="1" x14ac:dyDescent="0.3">
      <c r="A453" s="123" t="str">
        <f t="shared" si="409"/>
        <v>4팀</v>
      </c>
      <c r="B453" s="69">
        <f t="shared" si="410"/>
        <v>447</v>
      </c>
      <c r="C453" s="121" t="str">
        <f>IF(VLOOKUP($B453,'1. 현장별 인원현황'!$C:$J,2,0)=0,"",VLOOKUP($B453,'1. 현장별 인원현황'!$C:$J,2,0))</f>
        <v xml:space="preserve"> [4.롯데건설] 롯데바이오로직스 Project PROVIDENCE</v>
      </c>
      <c r="D453" s="74" t="str">
        <f>IF(VLOOKUP($B453,'1. 현장별 인원현황'!$C:$J,3,0)=0,"",VLOOKUP($B453,'1. 현장별 인원현황'!$C:$J,3,0))</f>
        <v>김민철</v>
      </c>
      <c r="E453" s="74" t="str">
        <f ca="1">IF(VLOOKUP($B453,'1. 현장별 인원현황'!$C:$J,4,0)=0,"",VLOOKUP($B453,'1. 현장별 인원현황'!$C:$J,4,0))</f>
        <v>36세</v>
      </c>
      <c r="F453" s="70" t="str">
        <f>IF(VLOOKUP($B453,'1. 현장별 인원현황'!$C:$J,7,0)=0,"",VLOOKUP($B453,'1. 현장별 인원현황'!$C:$J,7,0))</f>
        <v>기능공</v>
      </c>
      <c r="G453" s="72" t="str">
        <f>IF(VLOOKUP($B453,'1. 현장별 인원현황'!$C:$J,8,0)=0,"",VLOOKUP($B453,'1. 현장별 인원현황'!$C:$J,8,0))</f>
        <v>전공</v>
      </c>
      <c r="H453" s="67" t="s">
        <v>69</v>
      </c>
      <c r="I453" s="73"/>
      <c r="J453" s="73"/>
      <c r="K453" s="68"/>
      <c r="L453" s="67"/>
      <c r="M453" s="73"/>
      <c r="N453" s="73" t="s">
        <v>69</v>
      </c>
      <c r="O453" s="68"/>
      <c r="P453" s="67" t="s">
        <v>69</v>
      </c>
      <c r="Q453" s="73"/>
      <c r="R453" s="73"/>
      <c r="S453" s="68"/>
      <c r="T453" s="67"/>
      <c r="U453" s="73" t="s">
        <v>69</v>
      </c>
      <c r="V453" s="73"/>
      <c r="W453" s="68"/>
      <c r="X453" s="67" t="s">
        <v>69</v>
      </c>
      <c r="Y453" s="73"/>
      <c r="Z453" s="73"/>
      <c r="AA453" s="68"/>
      <c r="AB453" s="67" t="s">
        <v>69</v>
      </c>
      <c r="AC453" s="73"/>
      <c r="AD453" s="73"/>
      <c r="AE453" s="68"/>
      <c r="AF453" s="67" t="s">
        <v>69</v>
      </c>
      <c r="AG453" s="73"/>
      <c r="AH453" s="73"/>
      <c r="AI453" s="68"/>
      <c r="AJ453" s="67" t="s">
        <v>69</v>
      </c>
      <c r="AK453" s="73"/>
      <c r="AL453" s="73"/>
      <c r="AM453" s="68"/>
      <c r="AN453" s="67">
        <f t="shared" si="411"/>
        <v>88</v>
      </c>
      <c r="AO453" s="68" t="str">
        <f t="shared" si="412"/>
        <v>S</v>
      </c>
      <c r="AR453" s="49">
        <f t="shared" si="445"/>
        <v>1</v>
      </c>
      <c r="AS453" s="49">
        <f t="shared" si="446"/>
        <v>0</v>
      </c>
      <c r="AT453" s="49">
        <f t="shared" si="447"/>
        <v>0</v>
      </c>
      <c r="AU453" s="49">
        <f t="shared" si="448"/>
        <v>0</v>
      </c>
      <c r="AV453" s="49">
        <f t="shared" si="449"/>
        <v>0</v>
      </c>
      <c r="AW453" s="49">
        <f t="shared" si="450"/>
        <v>0</v>
      </c>
      <c r="AX453" s="49">
        <f t="shared" si="451"/>
        <v>1</v>
      </c>
      <c r="AY453" s="49">
        <f t="shared" si="452"/>
        <v>0</v>
      </c>
      <c r="AZ453" s="49">
        <f t="shared" si="453"/>
        <v>1</v>
      </c>
      <c r="BA453" s="49">
        <f t="shared" si="454"/>
        <v>0</v>
      </c>
      <c r="BB453" s="49">
        <f t="shared" si="455"/>
        <v>0</v>
      </c>
      <c r="BC453" s="49">
        <f t="shared" si="456"/>
        <v>0</v>
      </c>
      <c r="BD453" s="49">
        <f t="shared" si="457"/>
        <v>0</v>
      </c>
      <c r="BE453" s="49">
        <f t="shared" si="458"/>
        <v>1</v>
      </c>
      <c r="BF453" s="49">
        <f t="shared" si="459"/>
        <v>0</v>
      </c>
      <c r="BG453" s="49">
        <f t="shared" si="460"/>
        <v>0</v>
      </c>
      <c r="BH453" s="49">
        <f t="shared" si="461"/>
        <v>1</v>
      </c>
      <c r="BI453" s="49">
        <f t="shared" si="462"/>
        <v>0</v>
      </c>
      <c r="BJ453" s="49">
        <f t="shared" si="463"/>
        <v>0</v>
      </c>
      <c r="BK453" s="49">
        <f t="shared" si="464"/>
        <v>0</v>
      </c>
      <c r="BL453" s="49">
        <f t="shared" si="465"/>
        <v>1</v>
      </c>
      <c r="BM453" s="49">
        <f t="shared" si="466"/>
        <v>0</v>
      </c>
      <c r="BN453" s="49">
        <f t="shared" si="467"/>
        <v>0</v>
      </c>
      <c r="BO453" s="49">
        <f t="shared" si="468"/>
        <v>0</v>
      </c>
      <c r="BP453" s="49">
        <f t="shared" si="469"/>
        <v>1</v>
      </c>
      <c r="BQ453" s="49">
        <f t="shared" si="470"/>
        <v>0</v>
      </c>
      <c r="BR453" s="49">
        <f t="shared" si="471"/>
        <v>0</v>
      </c>
      <c r="BS453" s="49">
        <f t="shared" si="472"/>
        <v>0</v>
      </c>
      <c r="BT453" s="49">
        <f t="shared" si="473"/>
        <v>1</v>
      </c>
      <c r="BU453" s="49">
        <f t="shared" si="474"/>
        <v>0</v>
      </c>
      <c r="BV453" s="49">
        <f t="shared" si="475"/>
        <v>0</v>
      </c>
      <c r="BW453" s="49">
        <f t="shared" si="476"/>
        <v>0</v>
      </c>
    </row>
    <row r="454" spans="1:75" ht="35.1" customHeight="1" x14ac:dyDescent="0.3">
      <c r="A454" s="123" t="str">
        <f t="shared" si="409"/>
        <v>4팀</v>
      </c>
      <c r="B454" s="69">
        <f t="shared" si="410"/>
        <v>448</v>
      </c>
      <c r="C454" s="121" t="str">
        <f>IF(VLOOKUP($B454,'1. 현장별 인원현황'!$C:$J,2,0)=0,"",VLOOKUP($B454,'1. 현장별 인원현황'!$C:$J,2,0))</f>
        <v xml:space="preserve"> [4.롯데건설] 롯데바이오로직스 Project PROVIDENCE</v>
      </c>
      <c r="D454" s="74" t="str">
        <f>IF(VLOOKUP($B454,'1. 현장별 인원현황'!$C:$J,3,0)=0,"",VLOOKUP($B454,'1. 현장별 인원현황'!$C:$J,3,0))</f>
        <v>김우민</v>
      </c>
      <c r="E454" s="74" t="str">
        <f ca="1">IF(VLOOKUP($B454,'1. 현장별 인원현황'!$C:$J,4,0)=0,"",VLOOKUP($B454,'1. 현장별 인원현황'!$C:$J,4,0))</f>
        <v>35세</v>
      </c>
      <c r="F454" s="70" t="str">
        <f>IF(VLOOKUP($B454,'1. 현장별 인원현황'!$C:$J,7,0)=0,"",VLOOKUP($B454,'1. 현장별 인원현황'!$C:$J,7,0))</f>
        <v>기능공</v>
      </c>
      <c r="G454" s="72" t="str">
        <f>IF(VLOOKUP($B454,'1. 현장별 인원현황'!$C:$J,8,0)=0,"",VLOOKUP($B454,'1. 현장별 인원현황'!$C:$J,8,0))</f>
        <v>전공</v>
      </c>
      <c r="H454" s="67" t="s">
        <v>69</v>
      </c>
      <c r="I454" s="73"/>
      <c r="J454" s="73"/>
      <c r="K454" s="68"/>
      <c r="L454" s="67" t="s">
        <v>69</v>
      </c>
      <c r="M454" s="73"/>
      <c r="N454" s="73"/>
      <c r="O454" s="68"/>
      <c r="P454" s="67" t="s">
        <v>69</v>
      </c>
      <c r="Q454" s="73"/>
      <c r="R454" s="73"/>
      <c r="S454" s="68"/>
      <c r="T454" s="67"/>
      <c r="U454" s="73" t="s">
        <v>69</v>
      </c>
      <c r="V454" s="73"/>
      <c r="W454" s="68"/>
      <c r="X454" s="67" t="s">
        <v>69</v>
      </c>
      <c r="Y454" s="73"/>
      <c r="Z454" s="73"/>
      <c r="AA454" s="68"/>
      <c r="AB454" s="67" t="s">
        <v>69</v>
      </c>
      <c r="AC454" s="73"/>
      <c r="AD454" s="73"/>
      <c r="AE454" s="68"/>
      <c r="AF454" s="67" t="s">
        <v>69</v>
      </c>
      <c r="AG454" s="73"/>
      <c r="AH454" s="73"/>
      <c r="AI454" s="68"/>
      <c r="AJ454" s="67" t="s">
        <v>69</v>
      </c>
      <c r="AK454" s="73"/>
      <c r="AL454" s="73"/>
      <c r="AM454" s="68"/>
      <c r="AN454" s="67">
        <f t="shared" si="411"/>
        <v>96</v>
      </c>
      <c r="AO454" s="68" t="str">
        <f t="shared" si="412"/>
        <v>S</v>
      </c>
      <c r="AR454" s="49">
        <f t="shared" si="445"/>
        <v>1</v>
      </c>
      <c r="AS454" s="49">
        <f t="shared" si="446"/>
        <v>0</v>
      </c>
      <c r="AT454" s="49">
        <f t="shared" si="447"/>
        <v>0</v>
      </c>
      <c r="AU454" s="49">
        <f t="shared" si="448"/>
        <v>0</v>
      </c>
      <c r="AV454" s="49">
        <f t="shared" si="449"/>
        <v>1</v>
      </c>
      <c r="AW454" s="49">
        <f t="shared" si="450"/>
        <v>0</v>
      </c>
      <c r="AX454" s="49">
        <f t="shared" si="451"/>
        <v>0</v>
      </c>
      <c r="AY454" s="49">
        <f t="shared" si="452"/>
        <v>0</v>
      </c>
      <c r="AZ454" s="49">
        <f t="shared" si="453"/>
        <v>1</v>
      </c>
      <c r="BA454" s="49">
        <f t="shared" si="454"/>
        <v>0</v>
      </c>
      <c r="BB454" s="49">
        <f t="shared" si="455"/>
        <v>0</v>
      </c>
      <c r="BC454" s="49">
        <f t="shared" si="456"/>
        <v>0</v>
      </c>
      <c r="BD454" s="49">
        <f t="shared" si="457"/>
        <v>0</v>
      </c>
      <c r="BE454" s="49">
        <f t="shared" si="458"/>
        <v>1</v>
      </c>
      <c r="BF454" s="49">
        <f t="shared" si="459"/>
        <v>0</v>
      </c>
      <c r="BG454" s="49">
        <f t="shared" si="460"/>
        <v>0</v>
      </c>
      <c r="BH454" s="49">
        <f t="shared" si="461"/>
        <v>1</v>
      </c>
      <c r="BI454" s="49">
        <f t="shared" si="462"/>
        <v>0</v>
      </c>
      <c r="BJ454" s="49">
        <f t="shared" si="463"/>
        <v>0</v>
      </c>
      <c r="BK454" s="49">
        <f t="shared" si="464"/>
        <v>0</v>
      </c>
      <c r="BL454" s="49">
        <f t="shared" si="465"/>
        <v>1</v>
      </c>
      <c r="BM454" s="49">
        <f t="shared" si="466"/>
        <v>0</v>
      </c>
      <c r="BN454" s="49">
        <f t="shared" si="467"/>
        <v>0</v>
      </c>
      <c r="BO454" s="49">
        <f t="shared" si="468"/>
        <v>0</v>
      </c>
      <c r="BP454" s="49">
        <f t="shared" si="469"/>
        <v>1</v>
      </c>
      <c r="BQ454" s="49">
        <f t="shared" si="470"/>
        <v>0</v>
      </c>
      <c r="BR454" s="49">
        <f t="shared" si="471"/>
        <v>0</v>
      </c>
      <c r="BS454" s="49">
        <f t="shared" si="472"/>
        <v>0</v>
      </c>
      <c r="BT454" s="49">
        <f t="shared" si="473"/>
        <v>1</v>
      </c>
      <c r="BU454" s="49">
        <f t="shared" si="474"/>
        <v>0</v>
      </c>
      <c r="BV454" s="49">
        <f t="shared" si="475"/>
        <v>0</v>
      </c>
      <c r="BW454" s="49">
        <f t="shared" si="476"/>
        <v>0</v>
      </c>
    </row>
    <row r="455" spans="1:75" ht="35.1" customHeight="1" x14ac:dyDescent="0.3">
      <c r="A455" s="123" t="str">
        <f t="shared" ref="A455:A518" si="477">MID(C455,3,1)&amp;"팀"</f>
        <v>4팀</v>
      </c>
      <c r="B455" s="69">
        <f t="shared" ref="B455:B518" si="478">ROW()-6</f>
        <v>449</v>
      </c>
      <c r="C455" s="121" t="str">
        <f>IF(VLOOKUP($B455,'1. 현장별 인원현황'!$C:$J,2,0)=0,"",VLOOKUP($B455,'1. 현장별 인원현황'!$C:$J,2,0))</f>
        <v xml:space="preserve"> [4.롯데건설] 롯데바이오로직스 Project PROVIDENCE</v>
      </c>
      <c r="D455" s="74" t="str">
        <f>IF(VLOOKUP($B455,'1. 현장별 인원현황'!$C:$J,3,0)=0,"",VLOOKUP($B455,'1. 현장별 인원현황'!$C:$J,3,0))</f>
        <v>이웅진</v>
      </c>
      <c r="E455" s="74" t="str">
        <f ca="1">IF(VLOOKUP($B455,'1. 현장별 인원현황'!$C:$J,4,0)=0,"",VLOOKUP($B455,'1. 현장별 인원현황'!$C:$J,4,0))</f>
        <v>52세</v>
      </c>
      <c r="F455" s="70" t="str">
        <f>IF(VLOOKUP($B455,'1. 현장별 인원현황'!$C:$J,7,0)=0,"",VLOOKUP($B455,'1. 현장별 인원현황'!$C:$J,7,0))</f>
        <v>기능공</v>
      </c>
      <c r="G455" s="72" t="str">
        <f>IF(VLOOKUP($B455,'1. 현장별 인원현황'!$C:$J,8,0)=0,"",VLOOKUP($B455,'1. 현장별 인원현황'!$C:$J,8,0))</f>
        <v>전공</v>
      </c>
      <c r="H455" s="67" t="s">
        <v>69</v>
      </c>
      <c r="I455" s="73"/>
      <c r="J455" s="73"/>
      <c r="K455" s="68"/>
      <c r="L455" s="67"/>
      <c r="M455" s="73"/>
      <c r="N455" s="73" t="s">
        <v>69</v>
      </c>
      <c r="O455" s="68"/>
      <c r="P455" s="67" t="s">
        <v>69</v>
      </c>
      <c r="Q455" s="73"/>
      <c r="R455" s="73"/>
      <c r="S455" s="68"/>
      <c r="T455" s="67"/>
      <c r="U455" s="73" t="s">
        <v>69</v>
      </c>
      <c r="V455" s="73"/>
      <c r="W455" s="68"/>
      <c r="X455" s="67" t="s">
        <v>69</v>
      </c>
      <c r="Y455" s="73"/>
      <c r="Z455" s="73"/>
      <c r="AA455" s="68"/>
      <c r="AB455" s="67" t="s">
        <v>69</v>
      </c>
      <c r="AC455" s="73"/>
      <c r="AD455" s="73"/>
      <c r="AE455" s="68"/>
      <c r="AF455" s="67" t="s">
        <v>69</v>
      </c>
      <c r="AG455" s="73"/>
      <c r="AH455" s="73"/>
      <c r="AI455" s="68"/>
      <c r="AJ455" s="67" t="s">
        <v>69</v>
      </c>
      <c r="AK455" s="73"/>
      <c r="AL455" s="73"/>
      <c r="AM455" s="68"/>
      <c r="AN455" s="67">
        <f t="shared" ref="AN455:AN518" si="479">SUMPRODUCT($H$5:$AM$5,AR455:BW455)</f>
        <v>88</v>
      </c>
      <c r="AO455" s="68" t="str">
        <f t="shared" ref="AO455:AO518" si="480">IF(AN455&gt;85,"S",IF(AN455&gt;70,"A",IF(AN455&gt;50,"B",IF(AN455&gt;0,"C",""))))</f>
        <v>S</v>
      </c>
      <c r="AR455" s="49">
        <f t="shared" si="445"/>
        <v>1</v>
      </c>
      <c r="AS455" s="49">
        <f t="shared" si="446"/>
        <v>0</v>
      </c>
      <c r="AT455" s="49">
        <f t="shared" si="447"/>
        <v>0</v>
      </c>
      <c r="AU455" s="49">
        <f t="shared" si="448"/>
        <v>0</v>
      </c>
      <c r="AV455" s="49">
        <f t="shared" si="449"/>
        <v>0</v>
      </c>
      <c r="AW455" s="49">
        <f t="shared" si="450"/>
        <v>0</v>
      </c>
      <c r="AX455" s="49">
        <f t="shared" si="451"/>
        <v>1</v>
      </c>
      <c r="AY455" s="49">
        <f t="shared" si="452"/>
        <v>0</v>
      </c>
      <c r="AZ455" s="49">
        <f t="shared" si="453"/>
        <v>1</v>
      </c>
      <c r="BA455" s="49">
        <f t="shared" si="454"/>
        <v>0</v>
      </c>
      <c r="BB455" s="49">
        <f t="shared" si="455"/>
        <v>0</v>
      </c>
      <c r="BC455" s="49">
        <f t="shared" si="456"/>
        <v>0</v>
      </c>
      <c r="BD455" s="49">
        <f t="shared" si="457"/>
        <v>0</v>
      </c>
      <c r="BE455" s="49">
        <f t="shared" si="458"/>
        <v>1</v>
      </c>
      <c r="BF455" s="49">
        <f t="shared" si="459"/>
        <v>0</v>
      </c>
      <c r="BG455" s="49">
        <f t="shared" si="460"/>
        <v>0</v>
      </c>
      <c r="BH455" s="49">
        <f t="shared" si="461"/>
        <v>1</v>
      </c>
      <c r="BI455" s="49">
        <f t="shared" si="462"/>
        <v>0</v>
      </c>
      <c r="BJ455" s="49">
        <f t="shared" si="463"/>
        <v>0</v>
      </c>
      <c r="BK455" s="49">
        <f t="shared" si="464"/>
        <v>0</v>
      </c>
      <c r="BL455" s="49">
        <f t="shared" si="465"/>
        <v>1</v>
      </c>
      <c r="BM455" s="49">
        <f t="shared" si="466"/>
        <v>0</v>
      </c>
      <c r="BN455" s="49">
        <f t="shared" si="467"/>
        <v>0</v>
      </c>
      <c r="BO455" s="49">
        <f t="shared" si="468"/>
        <v>0</v>
      </c>
      <c r="BP455" s="49">
        <f t="shared" si="469"/>
        <v>1</v>
      </c>
      <c r="BQ455" s="49">
        <f t="shared" si="470"/>
        <v>0</v>
      </c>
      <c r="BR455" s="49">
        <f t="shared" si="471"/>
        <v>0</v>
      </c>
      <c r="BS455" s="49">
        <f t="shared" si="472"/>
        <v>0</v>
      </c>
      <c r="BT455" s="49">
        <f t="shared" si="473"/>
        <v>1</v>
      </c>
      <c r="BU455" s="49">
        <f t="shared" si="474"/>
        <v>0</v>
      </c>
      <c r="BV455" s="49">
        <f t="shared" si="475"/>
        <v>0</v>
      </c>
      <c r="BW455" s="49">
        <f t="shared" si="476"/>
        <v>0</v>
      </c>
    </row>
    <row r="456" spans="1:75" ht="35.1" customHeight="1" x14ac:dyDescent="0.3">
      <c r="A456" s="123" t="str">
        <f t="shared" si="477"/>
        <v>4팀</v>
      </c>
      <c r="B456" s="69">
        <f t="shared" si="478"/>
        <v>450</v>
      </c>
      <c r="C456" s="121" t="str">
        <f>IF(VLOOKUP($B456,'1. 현장별 인원현황'!$C:$J,2,0)=0,"",VLOOKUP($B456,'1. 현장별 인원현황'!$C:$J,2,0))</f>
        <v xml:space="preserve"> [4.롯데건설] 롯데바이오로직스 Project PROVIDENCE</v>
      </c>
      <c r="D456" s="74" t="str">
        <f>IF(VLOOKUP($B456,'1. 현장별 인원현황'!$C:$J,3,0)=0,"",VLOOKUP($B456,'1. 현장별 인원현황'!$C:$J,3,0))</f>
        <v>이웅현</v>
      </c>
      <c r="E456" s="74" t="str">
        <f ca="1">IF(VLOOKUP($B456,'1. 현장별 인원현황'!$C:$J,4,0)=0,"",VLOOKUP($B456,'1. 현장별 인원현황'!$C:$J,4,0))</f>
        <v>54세</v>
      </c>
      <c r="F456" s="70" t="str">
        <f>IF(VLOOKUP($B456,'1. 현장별 인원현황'!$C:$J,7,0)=0,"",VLOOKUP($B456,'1. 현장별 인원현황'!$C:$J,7,0))</f>
        <v>기능공</v>
      </c>
      <c r="G456" s="72" t="str">
        <f>IF(VLOOKUP($B456,'1. 현장별 인원현황'!$C:$J,8,0)=0,"",VLOOKUP($B456,'1. 현장별 인원현황'!$C:$J,8,0))</f>
        <v>전공</v>
      </c>
      <c r="H456" s="67" t="s">
        <v>69</v>
      </c>
      <c r="I456" s="73"/>
      <c r="J456" s="73"/>
      <c r="K456" s="68"/>
      <c r="L456" s="67"/>
      <c r="M456" s="73"/>
      <c r="N456" s="73" t="s">
        <v>69</v>
      </c>
      <c r="O456" s="68"/>
      <c r="P456" s="67" t="s">
        <v>69</v>
      </c>
      <c r="Q456" s="73"/>
      <c r="R456" s="73"/>
      <c r="S456" s="68"/>
      <c r="T456" s="67"/>
      <c r="U456" s="73" t="s">
        <v>69</v>
      </c>
      <c r="V456" s="73"/>
      <c r="W456" s="68"/>
      <c r="X456" s="67" t="s">
        <v>69</v>
      </c>
      <c r="Y456" s="73"/>
      <c r="Z456" s="73"/>
      <c r="AA456" s="68"/>
      <c r="AB456" s="67" t="s">
        <v>69</v>
      </c>
      <c r="AC456" s="73"/>
      <c r="AD456" s="73"/>
      <c r="AE456" s="68"/>
      <c r="AF456" s="67" t="s">
        <v>69</v>
      </c>
      <c r="AG456" s="73"/>
      <c r="AH456" s="73"/>
      <c r="AI456" s="68"/>
      <c r="AJ456" s="67" t="s">
        <v>69</v>
      </c>
      <c r="AK456" s="73"/>
      <c r="AL456" s="73"/>
      <c r="AM456" s="68"/>
      <c r="AN456" s="67">
        <f t="shared" si="479"/>
        <v>88</v>
      </c>
      <c r="AO456" s="68" t="str">
        <f t="shared" si="480"/>
        <v>S</v>
      </c>
      <c r="AR456" s="49">
        <f t="shared" si="445"/>
        <v>1</v>
      </c>
      <c r="AS456" s="49">
        <f t="shared" si="446"/>
        <v>0</v>
      </c>
      <c r="AT456" s="49">
        <f t="shared" si="447"/>
        <v>0</v>
      </c>
      <c r="AU456" s="49">
        <f t="shared" si="448"/>
        <v>0</v>
      </c>
      <c r="AV456" s="49">
        <f t="shared" si="449"/>
        <v>0</v>
      </c>
      <c r="AW456" s="49">
        <f t="shared" si="450"/>
        <v>0</v>
      </c>
      <c r="AX456" s="49">
        <f t="shared" si="451"/>
        <v>1</v>
      </c>
      <c r="AY456" s="49">
        <f t="shared" si="452"/>
        <v>0</v>
      </c>
      <c r="AZ456" s="49">
        <f t="shared" si="453"/>
        <v>1</v>
      </c>
      <c r="BA456" s="49">
        <f t="shared" si="454"/>
        <v>0</v>
      </c>
      <c r="BB456" s="49">
        <f t="shared" si="455"/>
        <v>0</v>
      </c>
      <c r="BC456" s="49">
        <f t="shared" si="456"/>
        <v>0</v>
      </c>
      <c r="BD456" s="49">
        <f t="shared" si="457"/>
        <v>0</v>
      </c>
      <c r="BE456" s="49">
        <f t="shared" si="458"/>
        <v>1</v>
      </c>
      <c r="BF456" s="49">
        <f t="shared" si="459"/>
        <v>0</v>
      </c>
      <c r="BG456" s="49">
        <f t="shared" si="460"/>
        <v>0</v>
      </c>
      <c r="BH456" s="49">
        <f t="shared" si="461"/>
        <v>1</v>
      </c>
      <c r="BI456" s="49">
        <f t="shared" si="462"/>
        <v>0</v>
      </c>
      <c r="BJ456" s="49">
        <f t="shared" si="463"/>
        <v>0</v>
      </c>
      <c r="BK456" s="49">
        <f t="shared" si="464"/>
        <v>0</v>
      </c>
      <c r="BL456" s="49">
        <f t="shared" si="465"/>
        <v>1</v>
      </c>
      <c r="BM456" s="49">
        <f t="shared" si="466"/>
        <v>0</v>
      </c>
      <c r="BN456" s="49">
        <f t="shared" si="467"/>
        <v>0</v>
      </c>
      <c r="BO456" s="49">
        <f t="shared" si="468"/>
        <v>0</v>
      </c>
      <c r="BP456" s="49">
        <f t="shared" si="469"/>
        <v>1</v>
      </c>
      <c r="BQ456" s="49">
        <f t="shared" si="470"/>
        <v>0</v>
      </c>
      <c r="BR456" s="49">
        <f t="shared" si="471"/>
        <v>0</v>
      </c>
      <c r="BS456" s="49">
        <f t="shared" si="472"/>
        <v>0</v>
      </c>
      <c r="BT456" s="49">
        <f t="shared" si="473"/>
        <v>1</v>
      </c>
      <c r="BU456" s="49">
        <f t="shared" si="474"/>
        <v>0</v>
      </c>
      <c r="BV456" s="49">
        <f t="shared" si="475"/>
        <v>0</v>
      </c>
      <c r="BW456" s="49">
        <f t="shared" si="476"/>
        <v>0</v>
      </c>
    </row>
    <row r="457" spans="1:75" ht="35.1" customHeight="1" x14ac:dyDescent="0.3">
      <c r="A457" s="123" t="str">
        <f t="shared" si="477"/>
        <v>4팀</v>
      </c>
      <c r="B457" s="69">
        <f t="shared" si="478"/>
        <v>451</v>
      </c>
      <c r="C457" s="121" t="str">
        <f>IF(VLOOKUP($B457,'1. 현장별 인원현황'!$C:$J,2,0)=0,"",VLOOKUP($B457,'1. 현장별 인원현황'!$C:$J,2,0))</f>
        <v xml:space="preserve"> [4.롯데건설] 롯데바이오로직스 Project PROVIDENCE</v>
      </c>
      <c r="D457" s="74" t="str">
        <f>IF(VLOOKUP($B457,'1. 현장별 인원현황'!$C:$J,3,0)=0,"",VLOOKUP($B457,'1. 현장별 인원현황'!$C:$J,3,0))</f>
        <v>이은성</v>
      </c>
      <c r="E457" s="74" t="str">
        <f ca="1">IF(VLOOKUP($B457,'1. 현장별 인원현황'!$C:$J,4,0)=0,"",VLOOKUP($B457,'1. 현장별 인원현황'!$C:$J,4,0))</f>
        <v>32세</v>
      </c>
      <c r="F457" s="70" t="str">
        <f>IF(VLOOKUP($B457,'1. 현장별 인원현황'!$C:$J,7,0)=0,"",VLOOKUP($B457,'1. 현장별 인원현황'!$C:$J,7,0))</f>
        <v>기능공</v>
      </c>
      <c r="G457" s="72" t="str">
        <f>IF(VLOOKUP($B457,'1. 현장별 인원현황'!$C:$J,8,0)=0,"",VLOOKUP($B457,'1. 현장별 인원현황'!$C:$J,8,0))</f>
        <v>전공</v>
      </c>
      <c r="H457" s="67" t="s">
        <v>69</v>
      </c>
      <c r="I457" s="73"/>
      <c r="J457" s="73"/>
      <c r="K457" s="68"/>
      <c r="L457" s="67"/>
      <c r="M457" s="73"/>
      <c r="N457" s="73" t="s">
        <v>69</v>
      </c>
      <c r="O457" s="68"/>
      <c r="P457" s="67" t="s">
        <v>69</v>
      </c>
      <c r="Q457" s="73"/>
      <c r="R457" s="73"/>
      <c r="S457" s="68"/>
      <c r="T457" s="67"/>
      <c r="U457" s="73" t="s">
        <v>69</v>
      </c>
      <c r="V457" s="73"/>
      <c r="W457" s="68"/>
      <c r="X457" s="67" t="s">
        <v>69</v>
      </c>
      <c r="Y457" s="73"/>
      <c r="Z457" s="73"/>
      <c r="AA457" s="68"/>
      <c r="AB457" s="67" t="s">
        <v>69</v>
      </c>
      <c r="AC457" s="73"/>
      <c r="AD457" s="73"/>
      <c r="AE457" s="68"/>
      <c r="AF457" s="67" t="s">
        <v>69</v>
      </c>
      <c r="AG457" s="73"/>
      <c r="AH457" s="73"/>
      <c r="AI457" s="68"/>
      <c r="AJ457" s="67" t="s">
        <v>69</v>
      </c>
      <c r="AK457" s="73"/>
      <c r="AL457" s="73"/>
      <c r="AM457" s="68"/>
      <c r="AN457" s="67">
        <f t="shared" si="479"/>
        <v>88</v>
      </c>
      <c r="AO457" s="68" t="str">
        <f t="shared" si="480"/>
        <v>S</v>
      </c>
      <c r="AR457" s="49">
        <f t="shared" si="445"/>
        <v>1</v>
      </c>
      <c r="AS457" s="49">
        <f t="shared" si="446"/>
        <v>0</v>
      </c>
      <c r="AT457" s="49">
        <f t="shared" si="447"/>
        <v>0</v>
      </c>
      <c r="AU457" s="49">
        <f t="shared" si="448"/>
        <v>0</v>
      </c>
      <c r="AV457" s="49">
        <f t="shared" si="449"/>
        <v>0</v>
      </c>
      <c r="AW457" s="49">
        <f t="shared" si="450"/>
        <v>0</v>
      </c>
      <c r="AX457" s="49">
        <f t="shared" si="451"/>
        <v>1</v>
      </c>
      <c r="AY457" s="49">
        <f t="shared" si="452"/>
        <v>0</v>
      </c>
      <c r="AZ457" s="49">
        <f t="shared" si="453"/>
        <v>1</v>
      </c>
      <c r="BA457" s="49">
        <f t="shared" si="454"/>
        <v>0</v>
      </c>
      <c r="BB457" s="49">
        <f t="shared" si="455"/>
        <v>0</v>
      </c>
      <c r="BC457" s="49">
        <f t="shared" si="456"/>
        <v>0</v>
      </c>
      <c r="BD457" s="49">
        <f t="shared" si="457"/>
        <v>0</v>
      </c>
      <c r="BE457" s="49">
        <f t="shared" si="458"/>
        <v>1</v>
      </c>
      <c r="BF457" s="49">
        <f t="shared" si="459"/>
        <v>0</v>
      </c>
      <c r="BG457" s="49">
        <f t="shared" si="460"/>
        <v>0</v>
      </c>
      <c r="BH457" s="49">
        <f t="shared" si="461"/>
        <v>1</v>
      </c>
      <c r="BI457" s="49">
        <f t="shared" si="462"/>
        <v>0</v>
      </c>
      <c r="BJ457" s="49">
        <f t="shared" si="463"/>
        <v>0</v>
      </c>
      <c r="BK457" s="49">
        <f t="shared" si="464"/>
        <v>0</v>
      </c>
      <c r="BL457" s="49">
        <f t="shared" si="465"/>
        <v>1</v>
      </c>
      <c r="BM457" s="49">
        <f t="shared" si="466"/>
        <v>0</v>
      </c>
      <c r="BN457" s="49">
        <f t="shared" si="467"/>
        <v>0</v>
      </c>
      <c r="BO457" s="49">
        <f t="shared" si="468"/>
        <v>0</v>
      </c>
      <c r="BP457" s="49">
        <f t="shared" si="469"/>
        <v>1</v>
      </c>
      <c r="BQ457" s="49">
        <f t="shared" si="470"/>
        <v>0</v>
      </c>
      <c r="BR457" s="49">
        <f t="shared" si="471"/>
        <v>0</v>
      </c>
      <c r="BS457" s="49">
        <f t="shared" si="472"/>
        <v>0</v>
      </c>
      <c r="BT457" s="49">
        <f t="shared" si="473"/>
        <v>1</v>
      </c>
      <c r="BU457" s="49">
        <f t="shared" si="474"/>
        <v>0</v>
      </c>
      <c r="BV457" s="49">
        <f t="shared" si="475"/>
        <v>0</v>
      </c>
      <c r="BW457" s="49">
        <f t="shared" si="476"/>
        <v>0</v>
      </c>
    </row>
    <row r="458" spans="1:75" ht="35.1" customHeight="1" x14ac:dyDescent="0.3">
      <c r="A458" s="123" t="str">
        <f t="shared" si="477"/>
        <v>4팀</v>
      </c>
      <c r="B458" s="69">
        <f t="shared" si="478"/>
        <v>452</v>
      </c>
      <c r="C458" s="121" t="str">
        <f>IF(VLOOKUP($B458,'1. 현장별 인원현황'!$C:$J,2,0)=0,"",VLOOKUP($B458,'1. 현장별 인원현황'!$C:$J,2,0))</f>
        <v xml:space="preserve"> [4.롯데건설] 롯데바이오로직스 Project PROVIDENCE</v>
      </c>
      <c r="D458" s="74" t="str">
        <f>IF(VLOOKUP($B458,'1. 현장별 인원현황'!$C:$J,3,0)=0,"",VLOOKUP($B458,'1. 현장별 인원현황'!$C:$J,3,0))</f>
        <v>이재경</v>
      </c>
      <c r="E458" s="74" t="str">
        <f ca="1">IF(VLOOKUP($B458,'1. 현장별 인원현황'!$C:$J,4,0)=0,"",VLOOKUP($B458,'1. 현장별 인원현황'!$C:$J,4,0))</f>
        <v>48세</v>
      </c>
      <c r="F458" s="70" t="str">
        <f>IF(VLOOKUP($B458,'1. 현장별 인원현황'!$C:$J,7,0)=0,"",VLOOKUP($B458,'1. 현장별 인원현황'!$C:$J,7,0))</f>
        <v>기능공</v>
      </c>
      <c r="G458" s="72" t="str">
        <f>IF(VLOOKUP($B458,'1. 현장별 인원현황'!$C:$J,8,0)=0,"",VLOOKUP($B458,'1. 현장별 인원현황'!$C:$J,8,0))</f>
        <v>전공</v>
      </c>
      <c r="H458" s="67" t="s">
        <v>69</v>
      </c>
      <c r="I458" s="73"/>
      <c r="J458" s="73"/>
      <c r="K458" s="68"/>
      <c r="L458" s="67"/>
      <c r="M458" s="73"/>
      <c r="N458" s="73" t="s">
        <v>69</v>
      </c>
      <c r="O458" s="68"/>
      <c r="P458" s="67" t="s">
        <v>69</v>
      </c>
      <c r="Q458" s="73"/>
      <c r="R458" s="73"/>
      <c r="S458" s="68"/>
      <c r="T458" s="67"/>
      <c r="U458" s="73" t="s">
        <v>69</v>
      </c>
      <c r="V458" s="73"/>
      <c r="W458" s="68"/>
      <c r="X458" s="67" t="s">
        <v>69</v>
      </c>
      <c r="Y458" s="73"/>
      <c r="Z458" s="73"/>
      <c r="AA458" s="68"/>
      <c r="AB458" s="67" t="s">
        <v>69</v>
      </c>
      <c r="AC458" s="73"/>
      <c r="AD458" s="73"/>
      <c r="AE458" s="68"/>
      <c r="AF458" s="67" t="s">
        <v>69</v>
      </c>
      <c r="AG458" s="73"/>
      <c r="AH458" s="73"/>
      <c r="AI458" s="68"/>
      <c r="AJ458" s="67" t="s">
        <v>69</v>
      </c>
      <c r="AK458" s="73"/>
      <c r="AL458" s="73"/>
      <c r="AM458" s="68"/>
      <c r="AN458" s="67">
        <f t="shared" si="479"/>
        <v>88</v>
      </c>
      <c r="AO458" s="68" t="str">
        <f t="shared" si="480"/>
        <v>S</v>
      </c>
      <c r="AR458" s="49">
        <f t="shared" si="445"/>
        <v>1</v>
      </c>
      <c r="AS458" s="49">
        <f t="shared" si="446"/>
        <v>0</v>
      </c>
      <c r="AT458" s="49">
        <f t="shared" si="447"/>
        <v>0</v>
      </c>
      <c r="AU458" s="49">
        <f t="shared" si="448"/>
        <v>0</v>
      </c>
      <c r="AV458" s="49">
        <f t="shared" si="449"/>
        <v>0</v>
      </c>
      <c r="AW458" s="49">
        <f t="shared" si="450"/>
        <v>0</v>
      </c>
      <c r="AX458" s="49">
        <f t="shared" si="451"/>
        <v>1</v>
      </c>
      <c r="AY458" s="49">
        <f t="shared" si="452"/>
        <v>0</v>
      </c>
      <c r="AZ458" s="49">
        <f t="shared" si="453"/>
        <v>1</v>
      </c>
      <c r="BA458" s="49">
        <f t="shared" si="454"/>
        <v>0</v>
      </c>
      <c r="BB458" s="49">
        <f t="shared" si="455"/>
        <v>0</v>
      </c>
      <c r="BC458" s="49">
        <f t="shared" si="456"/>
        <v>0</v>
      </c>
      <c r="BD458" s="49">
        <f t="shared" si="457"/>
        <v>0</v>
      </c>
      <c r="BE458" s="49">
        <f t="shared" si="458"/>
        <v>1</v>
      </c>
      <c r="BF458" s="49">
        <f t="shared" si="459"/>
        <v>0</v>
      </c>
      <c r="BG458" s="49">
        <f t="shared" si="460"/>
        <v>0</v>
      </c>
      <c r="BH458" s="49">
        <f t="shared" si="461"/>
        <v>1</v>
      </c>
      <c r="BI458" s="49">
        <f t="shared" si="462"/>
        <v>0</v>
      </c>
      <c r="BJ458" s="49">
        <f t="shared" si="463"/>
        <v>0</v>
      </c>
      <c r="BK458" s="49">
        <f t="shared" si="464"/>
        <v>0</v>
      </c>
      <c r="BL458" s="49">
        <f t="shared" si="465"/>
        <v>1</v>
      </c>
      <c r="BM458" s="49">
        <f t="shared" si="466"/>
        <v>0</v>
      </c>
      <c r="BN458" s="49">
        <f t="shared" si="467"/>
        <v>0</v>
      </c>
      <c r="BO458" s="49">
        <f t="shared" si="468"/>
        <v>0</v>
      </c>
      <c r="BP458" s="49">
        <f t="shared" si="469"/>
        <v>1</v>
      </c>
      <c r="BQ458" s="49">
        <f t="shared" si="470"/>
        <v>0</v>
      </c>
      <c r="BR458" s="49">
        <f t="shared" si="471"/>
        <v>0</v>
      </c>
      <c r="BS458" s="49">
        <f t="shared" si="472"/>
        <v>0</v>
      </c>
      <c r="BT458" s="49">
        <f t="shared" si="473"/>
        <v>1</v>
      </c>
      <c r="BU458" s="49">
        <f t="shared" si="474"/>
        <v>0</v>
      </c>
      <c r="BV458" s="49">
        <f t="shared" si="475"/>
        <v>0</v>
      </c>
      <c r="BW458" s="49">
        <f t="shared" si="476"/>
        <v>0</v>
      </c>
    </row>
    <row r="459" spans="1:75" ht="35.1" customHeight="1" x14ac:dyDescent="0.3">
      <c r="A459" s="123" t="str">
        <f t="shared" si="477"/>
        <v>4팀</v>
      </c>
      <c r="B459" s="69">
        <f t="shared" si="478"/>
        <v>453</v>
      </c>
      <c r="C459" s="121" t="str">
        <f>IF(VLOOKUP($B459,'1. 현장별 인원현황'!$C:$J,2,0)=0,"",VLOOKUP($B459,'1. 현장별 인원현황'!$C:$J,2,0))</f>
        <v xml:space="preserve"> [4.롯데건설] 롯데바이오로직스 Project PROVIDENCE</v>
      </c>
      <c r="D459" s="74" t="str">
        <f>IF(VLOOKUP($B459,'1. 현장별 인원현황'!$C:$J,3,0)=0,"",VLOOKUP($B459,'1. 현장별 인원현황'!$C:$J,3,0))</f>
        <v>박재일</v>
      </c>
      <c r="E459" s="74" t="str">
        <f ca="1">IF(VLOOKUP($B459,'1. 현장별 인원현황'!$C:$J,4,0)=0,"",VLOOKUP($B459,'1. 현장별 인원현황'!$C:$J,4,0))</f>
        <v>53세</v>
      </c>
      <c r="F459" s="70" t="str">
        <f>IF(VLOOKUP($B459,'1. 현장별 인원현황'!$C:$J,7,0)=0,"",VLOOKUP($B459,'1. 현장별 인원현황'!$C:$J,7,0))</f>
        <v>기능공</v>
      </c>
      <c r="G459" s="72" t="str">
        <f>IF(VLOOKUP($B459,'1. 현장별 인원현황'!$C:$J,8,0)=0,"",VLOOKUP($B459,'1. 현장별 인원현황'!$C:$J,8,0))</f>
        <v>전공</v>
      </c>
      <c r="H459" s="67" t="s">
        <v>69</v>
      </c>
      <c r="I459" s="73"/>
      <c r="J459" s="73"/>
      <c r="K459" s="68"/>
      <c r="L459" s="67"/>
      <c r="M459" s="73"/>
      <c r="N459" s="73" t="s">
        <v>69</v>
      </c>
      <c r="O459" s="68"/>
      <c r="P459" s="67" t="s">
        <v>69</v>
      </c>
      <c r="Q459" s="73"/>
      <c r="R459" s="73"/>
      <c r="S459" s="68"/>
      <c r="T459" s="67"/>
      <c r="U459" s="73" t="s">
        <v>69</v>
      </c>
      <c r="V459" s="73"/>
      <c r="W459" s="68"/>
      <c r="X459" s="67" t="s">
        <v>69</v>
      </c>
      <c r="Y459" s="73"/>
      <c r="Z459" s="73"/>
      <c r="AA459" s="68"/>
      <c r="AB459" s="67" t="s">
        <v>69</v>
      </c>
      <c r="AC459" s="73"/>
      <c r="AD459" s="73"/>
      <c r="AE459" s="68"/>
      <c r="AF459" s="67" t="s">
        <v>69</v>
      </c>
      <c r="AG459" s="73"/>
      <c r="AH459" s="73"/>
      <c r="AI459" s="68"/>
      <c r="AJ459" s="67" t="s">
        <v>69</v>
      </c>
      <c r="AK459" s="73"/>
      <c r="AL459" s="73"/>
      <c r="AM459" s="68"/>
      <c r="AN459" s="67">
        <f t="shared" si="479"/>
        <v>88</v>
      </c>
      <c r="AO459" s="68" t="str">
        <f t="shared" si="480"/>
        <v>S</v>
      </c>
      <c r="AR459" s="49">
        <f t="shared" si="445"/>
        <v>1</v>
      </c>
      <c r="AS459" s="49">
        <f t="shared" si="446"/>
        <v>0</v>
      </c>
      <c r="AT459" s="49">
        <f t="shared" si="447"/>
        <v>0</v>
      </c>
      <c r="AU459" s="49">
        <f t="shared" si="448"/>
        <v>0</v>
      </c>
      <c r="AV459" s="49">
        <f t="shared" si="449"/>
        <v>0</v>
      </c>
      <c r="AW459" s="49">
        <f t="shared" si="450"/>
        <v>0</v>
      </c>
      <c r="AX459" s="49">
        <f t="shared" si="451"/>
        <v>1</v>
      </c>
      <c r="AY459" s="49">
        <f t="shared" si="452"/>
        <v>0</v>
      </c>
      <c r="AZ459" s="49">
        <f t="shared" si="453"/>
        <v>1</v>
      </c>
      <c r="BA459" s="49">
        <f t="shared" si="454"/>
        <v>0</v>
      </c>
      <c r="BB459" s="49">
        <f t="shared" si="455"/>
        <v>0</v>
      </c>
      <c r="BC459" s="49">
        <f t="shared" si="456"/>
        <v>0</v>
      </c>
      <c r="BD459" s="49">
        <f t="shared" si="457"/>
        <v>0</v>
      </c>
      <c r="BE459" s="49">
        <f t="shared" si="458"/>
        <v>1</v>
      </c>
      <c r="BF459" s="49">
        <f t="shared" si="459"/>
        <v>0</v>
      </c>
      <c r="BG459" s="49">
        <f t="shared" si="460"/>
        <v>0</v>
      </c>
      <c r="BH459" s="49">
        <f t="shared" si="461"/>
        <v>1</v>
      </c>
      <c r="BI459" s="49">
        <f t="shared" si="462"/>
        <v>0</v>
      </c>
      <c r="BJ459" s="49">
        <f t="shared" si="463"/>
        <v>0</v>
      </c>
      <c r="BK459" s="49">
        <f t="shared" si="464"/>
        <v>0</v>
      </c>
      <c r="BL459" s="49">
        <f t="shared" si="465"/>
        <v>1</v>
      </c>
      <c r="BM459" s="49">
        <f t="shared" si="466"/>
        <v>0</v>
      </c>
      <c r="BN459" s="49">
        <f t="shared" si="467"/>
        <v>0</v>
      </c>
      <c r="BO459" s="49">
        <f t="shared" si="468"/>
        <v>0</v>
      </c>
      <c r="BP459" s="49">
        <f t="shared" si="469"/>
        <v>1</v>
      </c>
      <c r="BQ459" s="49">
        <f t="shared" si="470"/>
        <v>0</v>
      </c>
      <c r="BR459" s="49">
        <f t="shared" si="471"/>
        <v>0</v>
      </c>
      <c r="BS459" s="49">
        <f t="shared" si="472"/>
        <v>0</v>
      </c>
      <c r="BT459" s="49">
        <f t="shared" si="473"/>
        <v>1</v>
      </c>
      <c r="BU459" s="49">
        <f t="shared" si="474"/>
        <v>0</v>
      </c>
      <c r="BV459" s="49">
        <f t="shared" si="475"/>
        <v>0</v>
      </c>
      <c r="BW459" s="49">
        <f t="shared" si="476"/>
        <v>0</v>
      </c>
    </row>
    <row r="460" spans="1:75" ht="35.1" customHeight="1" x14ac:dyDescent="0.3">
      <c r="A460" s="123" t="str">
        <f t="shared" si="477"/>
        <v>4팀</v>
      </c>
      <c r="B460" s="69">
        <f t="shared" si="478"/>
        <v>454</v>
      </c>
      <c r="C460" s="121" t="str">
        <f>IF(VLOOKUP($B460,'1. 현장별 인원현황'!$C:$J,2,0)=0,"",VLOOKUP($B460,'1. 현장별 인원현황'!$C:$J,2,0))</f>
        <v xml:space="preserve"> [4.롯데건설] 롯데바이오로직스 Project PROVIDENCE</v>
      </c>
      <c r="D460" s="74" t="str">
        <f>IF(VLOOKUP($B460,'1. 현장별 인원현황'!$C:$J,3,0)=0,"",VLOOKUP($B460,'1. 현장별 인원현황'!$C:$J,3,0))</f>
        <v>곽원호</v>
      </c>
      <c r="E460" s="74" t="str">
        <f ca="1">IF(VLOOKUP($B460,'1. 현장별 인원현황'!$C:$J,4,0)=0,"",VLOOKUP($B460,'1. 현장별 인원현황'!$C:$J,4,0))</f>
        <v>54세</v>
      </c>
      <c r="F460" s="70" t="str">
        <f>IF(VLOOKUP($B460,'1. 현장별 인원현황'!$C:$J,7,0)=0,"",VLOOKUP($B460,'1. 현장별 인원현황'!$C:$J,7,0))</f>
        <v>기능공</v>
      </c>
      <c r="G460" s="72" t="str">
        <f>IF(VLOOKUP($B460,'1. 현장별 인원현황'!$C:$J,8,0)=0,"",VLOOKUP($B460,'1. 현장별 인원현황'!$C:$J,8,0))</f>
        <v>전공</v>
      </c>
      <c r="H460" s="67" t="s">
        <v>69</v>
      </c>
      <c r="I460" s="73"/>
      <c r="J460" s="73"/>
      <c r="K460" s="68"/>
      <c r="L460" s="67"/>
      <c r="M460" s="73"/>
      <c r="N460" s="73" t="s">
        <v>69</v>
      </c>
      <c r="O460" s="68"/>
      <c r="P460" s="67" t="s">
        <v>69</v>
      </c>
      <c r="Q460" s="73"/>
      <c r="R460" s="73"/>
      <c r="S460" s="68"/>
      <c r="T460" s="67"/>
      <c r="U460" s="73" t="s">
        <v>69</v>
      </c>
      <c r="V460" s="73"/>
      <c r="W460" s="68"/>
      <c r="X460" s="67" t="s">
        <v>69</v>
      </c>
      <c r="Y460" s="73"/>
      <c r="Z460" s="73"/>
      <c r="AA460" s="68"/>
      <c r="AB460" s="67" t="s">
        <v>69</v>
      </c>
      <c r="AC460" s="73"/>
      <c r="AD460" s="73"/>
      <c r="AE460" s="68"/>
      <c r="AF460" s="67" t="s">
        <v>69</v>
      </c>
      <c r="AG460" s="73"/>
      <c r="AH460" s="73"/>
      <c r="AI460" s="68"/>
      <c r="AJ460" s="67" t="s">
        <v>69</v>
      </c>
      <c r="AK460" s="73"/>
      <c r="AL460" s="73"/>
      <c r="AM460" s="68"/>
      <c r="AN460" s="67">
        <f t="shared" si="479"/>
        <v>88</v>
      </c>
      <c r="AO460" s="68" t="str">
        <f t="shared" si="480"/>
        <v>S</v>
      </c>
      <c r="AR460" s="49">
        <f t="shared" si="445"/>
        <v>1</v>
      </c>
      <c r="AS460" s="49">
        <f t="shared" si="446"/>
        <v>0</v>
      </c>
      <c r="AT460" s="49">
        <f t="shared" si="447"/>
        <v>0</v>
      </c>
      <c r="AU460" s="49">
        <f t="shared" si="448"/>
        <v>0</v>
      </c>
      <c r="AV460" s="49">
        <f t="shared" si="449"/>
        <v>0</v>
      </c>
      <c r="AW460" s="49">
        <f t="shared" si="450"/>
        <v>0</v>
      </c>
      <c r="AX460" s="49">
        <f t="shared" si="451"/>
        <v>1</v>
      </c>
      <c r="AY460" s="49">
        <f t="shared" si="452"/>
        <v>0</v>
      </c>
      <c r="AZ460" s="49">
        <f t="shared" si="453"/>
        <v>1</v>
      </c>
      <c r="BA460" s="49">
        <f t="shared" si="454"/>
        <v>0</v>
      </c>
      <c r="BB460" s="49">
        <f t="shared" si="455"/>
        <v>0</v>
      </c>
      <c r="BC460" s="49">
        <f t="shared" si="456"/>
        <v>0</v>
      </c>
      <c r="BD460" s="49">
        <f t="shared" si="457"/>
        <v>0</v>
      </c>
      <c r="BE460" s="49">
        <f t="shared" si="458"/>
        <v>1</v>
      </c>
      <c r="BF460" s="49">
        <f t="shared" si="459"/>
        <v>0</v>
      </c>
      <c r="BG460" s="49">
        <f t="shared" si="460"/>
        <v>0</v>
      </c>
      <c r="BH460" s="49">
        <f t="shared" si="461"/>
        <v>1</v>
      </c>
      <c r="BI460" s="49">
        <f t="shared" si="462"/>
        <v>0</v>
      </c>
      <c r="BJ460" s="49">
        <f t="shared" si="463"/>
        <v>0</v>
      </c>
      <c r="BK460" s="49">
        <f t="shared" si="464"/>
        <v>0</v>
      </c>
      <c r="BL460" s="49">
        <f t="shared" si="465"/>
        <v>1</v>
      </c>
      <c r="BM460" s="49">
        <f t="shared" si="466"/>
        <v>0</v>
      </c>
      <c r="BN460" s="49">
        <f t="shared" si="467"/>
        <v>0</v>
      </c>
      <c r="BO460" s="49">
        <f t="shared" si="468"/>
        <v>0</v>
      </c>
      <c r="BP460" s="49">
        <f t="shared" si="469"/>
        <v>1</v>
      </c>
      <c r="BQ460" s="49">
        <f t="shared" si="470"/>
        <v>0</v>
      </c>
      <c r="BR460" s="49">
        <f t="shared" si="471"/>
        <v>0</v>
      </c>
      <c r="BS460" s="49">
        <f t="shared" si="472"/>
        <v>0</v>
      </c>
      <c r="BT460" s="49">
        <f t="shared" si="473"/>
        <v>1</v>
      </c>
      <c r="BU460" s="49">
        <f t="shared" si="474"/>
        <v>0</v>
      </c>
      <c r="BV460" s="49">
        <f t="shared" si="475"/>
        <v>0</v>
      </c>
      <c r="BW460" s="49">
        <f t="shared" si="476"/>
        <v>0</v>
      </c>
    </row>
    <row r="461" spans="1:75" ht="35.1" customHeight="1" x14ac:dyDescent="0.3">
      <c r="A461" s="123" t="str">
        <f t="shared" si="477"/>
        <v>4팀</v>
      </c>
      <c r="B461" s="69">
        <f t="shared" si="478"/>
        <v>455</v>
      </c>
      <c r="C461" s="121" t="str">
        <f>IF(VLOOKUP($B461,'1. 현장별 인원현황'!$C:$J,2,0)=0,"",VLOOKUP($B461,'1. 현장별 인원현황'!$C:$J,2,0))</f>
        <v xml:space="preserve"> [4.롯데건설] 롯데바이오로직스 Project PROVIDENCE</v>
      </c>
      <c r="D461" s="74" t="str">
        <f>IF(VLOOKUP($B461,'1. 현장별 인원현황'!$C:$J,3,0)=0,"",VLOOKUP($B461,'1. 현장별 인원현황'!$C:$J,3,0))</f>
        <v>김성민</v>
      </c>
      <c r="E461" s="74" t="str">
        <f ca="1">IF(VLOOKUP($B461,'1. 현장별 인원현황'!$C:$J,4,0)=0,"",VLOOKUP($B461,'1. 현장별 인원현황'!$C:$J,4,0))</f>
        <v>39세</v>
      </c>
      <c r="F461" s="70" t="str">
        <f>IF(VLOOKUP($B461,'1. 현장별 인원현황'!$C:$J,7,0)=0,"",VLOOKUP($B461,'1. 현장별 인원현황'!$C:$J,7,0))</f>
        <v>기능공</v>
      </c>
      <c r="G461" s="72" t="str">
        <f>IF(VLOOKUP($B461,'1. 현장별 인원현황'!$C:$J,8,0)=0,"",VLOOKUP($B461,'1. 현장별 인원현황'!$C:$J,8,0))</f>
        <v>전공</v>
      </c>
      <c r="H461" s="67" t="s">
        <v>69</v>
      </c>
      <c r="I461" s="73"/>
      <c r="J461" s="73"/>
      <c r="K461" s="68"/>
      <c r="L461" s="67"/>
      <c r="M461" s="73"/>
      <c r="N461" s="73" t="s">
        <v>69</v>
      </c>
      <c r="O461" s="68"/>
      <c r="P461" s="67" t="s">
        <v>69</v>
      </c>
      <c r="Q461" s="73"/>
      <c r="R461" s="73"/>
      <c r="S461" s="68"/>
      <c r="T461" s="67"/>
      <c r="U461" s="73" t="s">
        <v>69</v>
      </c>
      <c r="V461" s="73"/>
      <c r="W461" s="68"/>
      <c r="X461" s="67" t="s">
        <v>69</v>
      </c>
      <c r="Y461" s="73"/>
      <c r="Z461" s="73"/>
      <c r="AA461" s="68"/>
      <c r="AB461" s="67" t="s">
        <v>69</v>
      </c>
      <c r="AC461" s="73"/>
      <c r="AD461" s="73"/>
      <c r="AE461" s="68"/>
      <c r="AF461" s="67" t="s">
        <v>69</v>
      </c>
      <c r="AG461" s="73"/>
      <c r="AH461" s="73"/>
      <c r="AI461" s="68"/>
      <c r="AJ461" s="67" t="s">
        <v>69</v>
      </c>
      <c r="AK461" s="73"/>
      <c r="AL461" s="73"/>
      <c r="AM461" s="68"/>
      <c r="AN461" s="67">
        <f t="shared" si="479"/>
        <v>88</v>
      </c>
      <c r="AO461" s="68" t="str">
        <f t="shared" si="480"/>
        <v>S</v>
      </c>
      <c r="AR461" s="49">
        <f t="shared" si="445"/>
        <v>1</v>
      </c>
      <c r="AS461" s="49">
        <f t="shared" si="446"/>
        <v>0</v>
      </c>
      <c r="AT461" s="49">
        <f t="shared" si="447"/>
        <v>0</v>
      </c>
      <c r="AU461" s="49">
        <f t="shared" si="448"/>
        <v>0</v>
      </c>
      <c r="AV461" s="49">
        <f t="shared" si="449"/>
        <v>0</v>
      </c>
      <c r="AW461" s="49">
        <f t="shared" si="450"/>
        <v>0</v>
      </c>
      <c r="AX461" s="49">
        <f t="shared" si="451"/>
        <v>1</v>
      </c>
      <c r="AY461" s="49">
        <f t="shared" si="452"/>
        <v>0</v>
      </c>
      <c r="AZ461" s="49">
        <f t="shared" si="453"/>
        <v>1</v>
      </c>
      <c r="BA461" s="49">
        <f t="shared" si="454"/>
        <v>0</v>
      </c>
      <c r="BB461" s="49">
        <f t="shared" si="455"/>
        <v>0</v>
      </c>
      <c r="BC461" s="49">
        <f t="shared" si="456"/>
        <v>0</v>
      </c>
      <c r="BD461" s="49">
        <f t="shared" si="457"/>
        <v>0</v>
      </c>
      <c r="BE461" s="49">
        <f t="shared" si="458"/>
        <v>1</v>
      </c>
      <c r="BF461" s="49">
        <f t="shared" si="459"/>
        <v>0</v>
      </c>
      <c r="BG461" s="49">
        <f t="shared" si="460"/>
        <v>0</v>
      </c>
      <c r="BH461" s="49">
        <f t="shared" si="461"/>
        <v>1</v>
      </c>
      <c r="BI461" s="49">
        <f t="shared" si="462"/>
        <v>0</v>
      </c>
      <c r="BJ461" s="49">
        <f t="shared" si="463"/>
        <v>0</v>
      </c>
      <c r="BK461" s="49">
        <f t="shared" si="464"/>
        <v>0</v>
      </c>
      <c r="BL461" s="49">
        <f t="shared" si="465"/>
        <v>1</v>
      </c>
      <c r="BM461" s="49">
        <f t="shared" si="466"/>
        <v>0</v>
      </c>
      <c r="BN461" s="49">
        <f t="shared" si="467"/>
        <v>0</v>
      </c>
      <c r="BO461" s="49">
        <f t="shared" si="468"/>
        <v>0</v>
      </c>
      <c r="BP461" s="49">
        <f t="shared" si="469"/>
        <v>1</v>
      </c>
      <c r="BQ461" s="49">
        <f t="shared" si="470"/>
        <v>0</v>
      </c>
      <c r="BR461" s="49">
        <f t="shared" si="471"/>
        <v>0</v>
      </c>
      <c r="BS461" s="49">
        <f t="shared" si="472"/>
        <v>0</v>
      </c>
      <c r="BT461" s="49">
        <f t="shared" si="473"/>
        <v>1</v>
      </c>
      <c r="BU461" s="49">
        <f t="shared" si="474"/>
        <v>0</v>
      </c>
      <c r="BV461" s="49">
        <f t="shared" si="475"/>
        <v>0</v>
      </c>
      <c r="BW461" s="49">
        <f t="shared" si="476"/>
        <v>0</v>
      </c>
    </row>
    <row r="462" spans="1:75" ht="35.1" customHeight="1" x14ac:dyDescent="0.3">
      <c r="A462" s="123" t="str">
        <f t="shared" si="477"/>
        <v>4팀</v>
      </c>
      <c r="B462" s="69">
        <f t="shared" si="478"/>
        <v>456</v>
      </c>
      <c r="C462" s="121" t="str">
        <f>IF(VLOOKUP($B462,'1. 현장별 인원현황'!$C:$J,2,0)=0,"",VLOOKUP($B462,'1. 현장별 인원현황'!$C:$J,2,0))</f>
        <v xml:space="preserve"> [4.롯데건설] 롯데바이오로직스 Project PROVIDENCE</v>
      </c>
      <c r="D462" s="74" t="str">
        <f>IF(VLOOKUP($B462,'1. 현장별 인원현황'!$C:$J,3,0)=0,"",VLOOKUP($B462,'1. 현장별 인원현황'!$C:$J,3,0))</f>
        <v>안동현</v>
      </c>
      <c r="E462" s="74" t="str">
        <f ca="1">IF(VLOOKUP($B462,'1. 현장별 인원현황'!$C:$J,4,0)=0,"",VLOOKUP($B462,'1. 현장별 인원현황'!$C:$J,4,0))</f>
        <v>34세</v>
      </c>
      <c r="F462" s="70" t="str">
        <f>IF(VLOOKUP($B462,'1. 현장별 인원현황'!$C:$J,7,0)=0,"",VLOOKUP($B462,'1. 현장별 인원현황'!$C:$J,7,0))</f>
        <v>기능공</v>
      </c>
      <c r="G462" s="72" t="str">
        <f>IF(VLOOKUP($B462,'1. 현장별 인원현황'!$C:$J,8,0)=0,"",VLOOKUP($B462,'1. 현장별 인원현황'!$C:$J,8,0))</f>
        <v>전공</v>
      </c>
      <c r="H462" s="67" t="s">
        <v>69</v>
      </c>
      <c r="I462" s="73"/>
      <c r="J462" s="73"/>
      <c r="K462" s="68"/>
      <c r="L462" s="67"/>
      <c r="M462" s="73"/>
      <c r="N462" s="73" t="s">
        <v>69</v>
      </c>
      <c r="O462" s="68"/>
      <c r="P462" s="67" t="s">
        <v>69</v>
      </c>
      <c r="Q462" s="73"/>
      <c r="R462" s="73"/>
      <c r="S462" s="68"/>
      <c r="T462" s="67"/>
      <c r="U462" s="73" t="s">
        <v>69</v>
      </c>
      <c r="V462" s="73"/>
      <c r="W462" s="68"/>
      <c r="X462" s="67" t="s">
        <v>69</v>
      </c>
      <c r="Y462" s="73"/>
      <c r="Z462" s="73"/>
      <c r="AA462" s="68"/>
      <c r="AB462" s="67" t="s">
        <v>69</v>
      </c>
      <c r="AC462" s="73"/>
      <c r="AD462" s="73"/>
      <c r="AE462" s="68"/>
      <c r="AF462" s="67" t="s">
        <v>69</v>
      </c>
      <c r="AG462" s="73"/>
      <c r="AH462" s="73"/>
      <c r="AI462" s="68"/>
      <c r="AJ462" s="67" t="s">
        <v>69</v>
      </c>
      <c r="AK462" s="73"/>
      <c r="AL462" s="73"/>
      <c r="AM462" s="68"/>
      <c r="AN462" s="67">
        <f t="shared" si="479"/>
        <v>88</v>
      </c>
      <c r="AO462" s="68" t="str">
        <f t="shared" si="480"/>
        <v>S</v>
      </c>
      <c r="AR462" s="49">
        <f t="shared" si="445"/>
        <v>1</v>
      </c>
      <c r="AS462" s="49">
        <f t="shared" si="446"/>
        <v>0</v>
      </c>
      <c r="AT462" s="49">
        <f t="shared" si="447"/>
        <v>0</v>
      </c>
      <c r="AU462" s="49">
        <f t="shared" si="448"/>
        <v>0</v>
      </c>
      <c r="AV462" s="49">
        <f t="shared" si="449"/>
        <v>0</v>
      </c>
      <c r="AW462" s="49">
        <f t="shared" si="450"/>
        <v>0</v>
      </c>
      <c r="AX462" s="49">
        <f t="shared" si="451"/>
        <v>1</v>
      </c>
      <c r="AY462" s="49">
        <f t="shared" si="452"/>
        <v>0</v>
      </c>
      <c r="AZ462" s="49">
        <f t="shared" si="453"/>
        <v>1</v>
      </c>
      <c r="BA462" s="49">
        <f t="shared" si="454"/>
        <v>0</v>
      </c>
      <c r="BB462" s="49">
        <f t="shared" si="455"/>
        <v>0</v>
      </c>
      <c r="BC462" s="49">
        <f t="shared" si="456"/>
        <v>0</v>
      </c>
      <c r="BD462" s="49">
        <f t="shared" si="457"/>
        <v>0</v>
      </c>
      <c r="BE462" s="49">
        <f t="shared" si="458"/>
        <v>1</v>
      </c>
      <c r="BF462" s="49">
        <f t="shared" si="459"/>
        <v>0</v>
      </c>
      <c r="BG462" s="49">
        <f t="shared" si="460"/>
        <v>0</v>
      </c>
      <c r="BH462" s="49">
        <f t="shared" si="461"/>
        <v>1</v>
      </c>
      <c r="BI462" s="49">
        <f t="shared" si="462"/>
        <v>0</v>
      </c>
      <c r="BJ462" s="49">
        <f t="shared" si="463"/>
        <v>0</v>
      </c>
      <c r="BK462" s="49">
        <f t="shared" si="464"/>
        <v>0</v>
      </c>
      <c r="BL462" s="49">
        <f t="shared" si="465"/>
        <v>1</v>
      </c>
      <c r="BM462" s="49">
        <f t="shared" si="466"/>
        <v>0</v>
      </c>
      <c r="BN462" s="49">
        <f t="shared" si="467"/>
        <v>0</v>
      </c>
      <c r="BO462" s="49">
        <f t="shared" si="468"/>
        <v>0</v>
      </c>
      <c r="BP462" s="49">
        <f t="shared" si="469"/>
        <v>1</v>
      </c>
      <c r="BQ462" s="49">
        <f t="shared" si="470"/>
        <v>0</v>
      </c>
      <c r="BR462" s="49">
        <f t="shared" si="471"/>
        <v>0</v>
      </c>
      <c r="BS462" s="49">
        <f t="shared" si="472"/>
        <v>0</v>
      </c>
      <c r="BT462" s="49">
        <f t="shared" si="473"/>
        <v>1</v>
      </c>
      <c r="BU462" s="49">
        <f t="shared" si="474"/>
        <v>0</v>
      </c>
      <c r="BV462" s="49">
        <f t="shared" si="475"/>
        <v>0</v>
      </c>
      <c r="BW462" s="49">
        <f t="shared" si="476"/>
        <v>0</v>
      </c>
    </row>
    <row r="463" spans="1:75" ht="35.1" customHeight="1" x14ac:dyDescent="0.3">
      <c r="A463" s="123" t="str">
        <f t="shared" si="477"/>
        <v>4팀</v>
      </c>
      <c r="B463" s="69">
        <f t="shared" si="478"/>
        <v>457</v>
      </c>
      <c r="C463" s="121" t="str">
        <f>IF(VLOOKUP($B463,'1. 현장별 인원현황'!$C:$J,2,0)=0,"",VLOOKUP($B463,'1. 현장별 인원현황'!$C:$J,2,0))</f>
        <v xml:space="preserve"> [4.롯데건설] 롯데바이오로직스 Project PROVIDENCE</v>
      </c>
      <c r="D463" s="74" t="str">
        <f>IF(VLOOKUP($B463,'1. 현장별 인원현황'!$C:$J,3,0)=0,"",VLOOKUP($B463,'1. 현장별 인원현황'!$C:$J,3,0))</f>
        <v>조연규</v>
      </c>
      <c r="E463" s="74" t="str">
        <f ca="1">IF(VLOOKUP($B463,'1. 현장별 인원현황'!$C:$J,4,0)=0,"",VLOOKUP($B463,'1. 현장별 인원현황'!$C:$J,4,0))</f>
        <v>29세</v>
      </c>
      <c r="F463" s="70" t="str">
        <f>IF(VLOOKUP($B463,'1. 현장별 인원현황'!$C:$J,7,0)=0,"",VLOOKUP($B463,'1. 현장별 인원현황'!$C:$J,7,0))</f>
        <v>기능공</v>
      </c>
      <c r="G463" s="72" t="str">
        <f>IF(VLOOKUP($B463,'1. 현장별 인원현황'!$C:$J,8,0)=0,"",VLOOKUP($B463,'1. 현장별 인원현황'!$C:$J,8,0))</f>
        <v>전공</v>
      </c>
      <c r="H463" s="67" t="s">
        <v>69</v>
      </c>
      <c r="I463" s="73"/>
      <c r="J463" s="73"/>
      <c r="K463" s="68"/>
      <c r="L463" s="67"/>
      <c r="M463" s="73"/>
      <c r="N463" s="73" t="s">
        <v>69</v>
      </c>
      <c r="O463" s="68"/>
      <c r="P463" s="67" t="s">
        <v>69</v>
      </c>
      <c r="Q463" s="73"/>
      <c r="R463" s="73"/>
      <c r="S463" s="68"/>
      <c r="T463" s="67"/>
      <c r="U463" s="73" t="s">
        <v>69</v>
      </c>
      <c r="V463" s="73"/>
      <c r="W463" s="68"/>
      <c r="X463" s="67" t="s">
        <v>69</v>
      </c>
      <c r="Y463" s="73"/>
      <c r="Z463" s="73"/>
      <c r="AA463" s="68"/>
      <c r="AB463" s="67" t="s">
        <v>69</v>
      </c>
      <c r="AC463" s="73"/>
      <c r="AD463" s="73"/>
      <c r="AE463" s="68"/>
      <c r="AF463" s="67" t="s">
        <v>69</v>
      </c>
      <c r="AG463" s="73"/>
      <c r="AH463" s="73"/>
      <c r="AI463" s="68"/>
      <c r="AJ463" s="67" t="s">
        <v>69</v>
      </c>
      <c r="AK463" s="73"/>
      <c r="AL463" s="73"/>
      <c r="AM463" s="68"/>
      <c r="AN463" s="67">
        <f t="shared" si="479"/>
        <v>88</v>
      </c>
      <c r="AO463" s="68" t="str">
        <f t="shared" si="480"/>
        <v>S</v>
      </c>
      <c r="AR463" s="49">
        <f t="shared" si="445"/>
        <v>1</v>
      </c>
      <c r="AS463" s="49">
        <f t="shared" si="446"/>
        <v>0</v>
      </c>
      <c r="AT463" s="49">
        <f t="shared" si="447"/>
        <v>0</v>
      </c>
      <c r="AU463" s="49">
        <f t="shared" si="448"/>
        <v>0</v>
      </c>
      <c r="AV463" s="49">
        <f t="shared" si="449"/>
        <v>0</v>
      </c>
      <c r="AW463" s="49">
        <f t="shared" si="450"/>
        <v>0</v>
      </c>
      <c r="AX463" s="49">
        <f t="shared" si="451"/>
        <v>1</v>
      </c>
      <c r="AY463" s="49">
        <f t="shared" si="452"/>
        <v>0</v>
      </c>
      <c r="AZ463" s="49">
        <f t="shared" si="453"/>
        <v>1</v>
      </c>
      <c r="BA463" s="49">
        <f t="shared" si="454"/>
        <v>0</v>
      </c>
      <c r="BB463" s="49">
        <f t="shared" si="455"/>
        <v>0</v>
      </c>
      <c r="BC463" s="49">
        <f t="shared" si="456"/>
        <v>0</v>
      </c>
      <c r="BD463" s="49">
        <f t="shared" si="457"/>
        <v>0</v>
      </c>
      <c r="BE463" s="49">
        <f t="shared" si="458"/>
        <v>1</v>
      </c>
      <c r="BF463" s="49">
        <f t="shared" si="459"/>
        <v>0</v>
      </c>
      <c r="BG463" s="49">
        <f t="shared" si="460"/>
        <v>0</v>
      </c>
      <c r="BH463" s="49">
        <f t="shared" si="461"/>
        <v>1</v>
      </c>
      <c r="BI463" s="49">
        <f t="shared" si="462"/>
        <v>0</v>
      </c>
      <c r="BJ463" s="49">
        <f t="shared" si="463"/>
        <v>0</v>
      </c>
      <c r="BK463" s="49">
        <f t="shared" si="464"/>
        <v>0</v>
      </c>
      <c r="BL463" s="49">
        <f t="shared" si="465"/>
        <v>1</v>
      </c>
      <c r="BM463" s="49">
        <f t="shared" si="466"/>
        <v>0</v>
      </c>
      <c r="BN463" s="49">
        <f t="shared" si="467"/>
        <v>0</v>
      </c>
      <c r="BO463" s="49">
        <f t="shared" si="468"/>
        <v>0</v>
      </c>
      <c r="BP463" s="49">
        <f t="shared" si="469"/>
        <v>1</v>
      </c>
      <c r="BQ463" s="49">
        <f t="shared" si="470"/>
        <v>0</v>
      </c>
      <c r="BR463" s="49">
        <f t="shared" si="471"/>
        <v>0</v>
      </c>
      <c r="BS463" s="49">
        <f t="shared" si="472"/>
        <v>0</v>
      </c>
      <c r="BT463" s="49">
        <f t="shared" si="473"/>
        <v>1</v>
      </c>
      <c r="BU463" s="49">
        <f t="shared" si="474"/>
        <v>0</v>
      </c>
      <c r="BV463" s="49">
        <f t="shared" si="475"/>
        <v>0</v>
      </c>
      <c r="BW463" s="49">
        <f t="shared" si="476"/>
        <v>0</v>
      </c>
    </row>
    <row r="464" spans="1:75" ht="35.1" customHeight="1" x14ac:dyDescent="0.3">
      <c r="A464" s="123" t="str">
        <f t="shared" si="477"/>
        <v>4팀</v>
      </c>
      <c r="B464" s="69">
        <f t="shared" si="478"/>
        <v>458</v>
      </c>
      <c r="C464" s="121" t="str">
        <f>IF(VLOOKUP($B464,'1. 현장별 인원현황'!$C:$J,2,0)=0,"",VLOOKUP($B464,'1. 현장별 인원현황'!$C:$J,2,0))</f>
        <v xml:space="preserve"> [4.롯데건설] 롯데바이오로직스 Project PROVIDENCE</v>
      </c>
      <c r="D464" s="74" t="str">
        <f>IF(VLOOKUP($B464,'1. 현장별 인원현황'!$C:$J,3,0)=0,"",VLOOKUP($B464,'1. 현장별 인원현황'!$C:$J,3,0))</f>
        <v>조이현</v>
      </c>
      <c r="E464" s="74" t="str">
        <f ca="1">IF(VLOOKUP($B464,'1. 현장별 인원현황'!$C:$J,4,0)=0,"",VLOOKUP($B464,'1. 현장별 인원현황'!$C:$J,4,0))</f>
        <v>36세</v>
      </c>
      <c r="F464" s="70" t="str">
        <f>IF(VLOOKUP($B464,'1. 현장별 인원현황'!$C:$J,7,0)=0,"",VLOOKUP($B464,'1. 현장별 인원현황'!$C:$J,7,0))</f>
        <v>기능공</v>
      </c>
      <c r="G464" s="72" t="str">
        <f>IF(VLOOKUP($B464,'1. 현장별 인원현황'!$C:$J,8,0)=0,"",VLOOKUP($B464,'1. 현장별 인원현황'!$C:$J,8,0))</f>
        <v>전공</v>
      </c>
      <c r="H464" s="67" t="s">
        <v>69</v>
      </c>
      <c r="I464" s="73"/>
      <c r="J464" s="73"/>
      <c r="K464" s="68"/>
      <c r="L464" s="67"/>
      <c r="M464" s="73"/>
      <c r="N464" s="73" t="s">
        <v>69</v>
      </c>
      <c r="O464" s="68"/>
      <c r="P464" s="67" t="s">
        <v>69</v>
      </c>
      <c r="Q464" s="73"/>
      <c r="R464" s="73"/>
      <c r="S464" s="68"/>
      <c r="T464" s="67"/>
      <c r="U464" s="73" t="s">
        <v>69</v>
      </c>
      <c r="V464" s="73"/>
      <c r="W464" s="68"/>
      <c r="X464" s="67" t="s">
        <v>69</v>
      </c>
      <c r="Y464" s="73"/>
      <c r="Z464" s="73"/>
      <c r="AA464" s="68"/>
      <c r="AB464" s="67" t="s">
        <v>69</v>
      </c>
      <c r="AC464" s="73"/>
      <c r="AD464" s="73"/>
      <c r="AE464" s="68"/>
      <c r="AF464" s="67" t="s">
        <v>69</v>
      </c>
      <c r="AG464" s="73"/>
      <c r="AH464" s="73"/>
      <c r="AI464" s="68"/>
      <c r="AJ464" s="67" t="s">
        <v>69</v>
      </c>
      <c r="AK464" s="73"/>
      <c r="AL464" s="73"/>
      <c r="AM464" s="68"/>
      <c r="AN464" s="67">
        <f t="shared" si="479"/>
        <v>88</v>
      </c>
      <c r="AO464" s="68" t="str">
        <f t="shared" si="480"/>
        <v>S</v>
      </c>
      <c r="AR464" s="49">
        <f t="shared" si="445"/>
        <v>1</v>
      </c>
      <c r="AS464" s="49">
        <f t="shared" si="446"/>
        <v>0</v>
      </c>
      <c r="AT464" s="49">
        <f t="shared" si="447"/>
        <v>0</v>
      </c>
      <c r="AU464" s="49">
        <f t="shared" si="448"/>
        <v>0</v>
      </c>
      <c r="AV464" s="49">
        <f t="shared" si="449"/>
        <v>0</v>
      </c>
      <c r="AW464" s="49">
        <f t="shared" si="450"/>
        <v>0</v>
      </c>
      <c r="AX464" s="49">
        <f t="shared" si="451"/>
        <v>1</v>
      </c>
      <c r="AY464" s="49">
        <f t="shared" si="452"/>
        <v>0</v>
      </c>
      <c r="AZ464" s="49">
        <f t="shared" si="453"/>
        <v>1</v>
      </c>
      <c r="BA464" s="49">
        <f t="shared" si="454"/>
        <v>0</v>
      </c>
      <c r="BB464" s="49">
        <f t="shared" si="455"/>
        <v>0</v>
      </c>
      <c r="BC464" s="49">
        <f t="shared" si="456"/>
        <v>0</v>
      </c>
      <c r="BD464" s="49">
        <f t="shared" si="457"/>
        <v>0</v>
      </c>
      <c r="BE464" s="49">
        <f t="shared" si="458"/>
        <v>1</v>
      </c>
      <c r="BF464" s="49">
        <f t="shared" si="459"/>
        <v>0</v>
      </c>
      <c r="BG464" s="49">
        <f t="shared" si="460"/>
        <v>0</v>
      </c>
      <c r="BH464" s="49">
        <f t="shared" si="461"/>
        <v>1</v>
      </c>
      <c r="BI464" s="49">
        <f t="shared" si="462"/>
        <v>0</v>
      </c>
      <c r="BJ464" s="49">
        <f t="shared" si="463"/>
        <v>0</v>
      </c>
      <c r="BK464" s="49">
        <f t="shared" si="464"/>
        <v>0</v>
      </c>
      <c r="BL464" s="49">
        <f t="shared" si="465"/>
        <v>1</v>
      </c>
      <c r="BM464" s="49">
        <f t="shared" si="466"/>
        <v>0</v>
      </c>
      <c r="BN464" s="49">
        <f t="shared" si="467"/>
        <v>0</v>
      </c>
      <c r="BO464" s="49">
        <f t="shared" si="468"/>
        <v>0</v>
      </c>
      <c r="BP464" s="49">
        <f t="shared" si="469"/>
        <v>1</v>
      </c>
      <c r="BQ464" s="49">
        <f t="shared" si="470"/>
        <v>0</v>
      </c>
      <c r="BR464" s="49">
        <f t="shared" si="471"/>
        <v>0</v>
      </c>
      <c r="BS464" s="49">
        <f t="shared" si="472"/>
        <v>0</v>
      </c>
      <c r="BT464" s="49">
        <f t="shared" si="473"/>
        <v>1</v>
      </c>
      <c r="BU464" s="49">
        <f t="shared" si="474"/>
        <v>0</v>
      </c>
      <c r="BV464" s="49">
        <f t="shared" si="475"/>
        <v>0</v>
      </c>
      <c r="BW464" s="49">
        <f t="shared" si="476"/>
        <v>0</v>
      </c>
    </row>
    <row r="465" spans="1:75" ht="35.1" customHeight="1" x14ac:dyDescent="0.3">
      <c r="A465" s="123" t="str">
        <f t="shared" si="477"/>
        <v>4팀</v>
      </c>
      <c r="B465" s="69">
        <f t="shared" si="478"/>
        <v>459</v>
      </c>
      <c r="C465" s="121" t="str">
        <f>IF(VLOOKUP($B465,'1. 현장별 인원현황'!$C:$J,2,0)=0,"",VLOOKUP($B465,'1. 현장별 인원현황'!$C:$J,2,0))</f>
        <v xml:space="preserve"> [4.롯데건설] 롯데바이오로직스 Project PROVIDENCE</v>
      </c>
      <c r="D465" s="74" t="str">
        <f>IF(VLOOKUP($B465,'1. 현장별 인원현황'!$C:$J,3,0)=0,"",VLOOKUP($B465,'1. 현장별 인원현황'!$C:$J,3,0))</f>
        <v>신주연</v>
      </c>
      <c r="E465" s="74" t="str">
        <f ca="1">IF(VLOOKUP($B465,'1. 현장별 인원현황'!$C:$J,4,0)=0,"",VLOOKUP($B465,'1. 현장별 인원현황'!$C:$J,4,0))</f>
        <v>58세</v>
      </c>
      <c r="F465" s="70" t="str">
        <f>IF(VLOOKUP($B465,'1. 현장별 인원현황'!$C:$J,7,0)=0,"",VLOOKUP($B465,'1. 현장별 인원현황'!$C:$J,7,0))</f>
        <v>기능공</v>
      </c>
      <c r="G465" s="72" t="str">
        <f>IF(VLOOKUP($B465,'1. 현장별 인원현황'!$C:$J,8,0)=0,"",VLOOKUP($B465,'1. 현장별 인원현황'!$C:$J,8,0))</f>
        <v>전공</v>
      </c>
      <c r="H465" s="67" t="s">
        <v>69</v>
      </c>
      <c r="I465" s="73"/>
      <c r="J465" s="73"/>
      <c r="K465" s="68"/>
      <c r="L465" s="67"/>
      <c r="M465" s="73"/>
      <c r="N465" s="73" t="s">
        <v>69</v>
      </c>
      <c r="O465" s="68"/>
      <c r="P465" s="67" t="s">
        <v>69</v>
      </c>
      <c r="Q465" s="73"/>
      <c r="R465" s="73"/>
      <c r="S465" s="68"/>
      <c r="T465" s="67"/>
      <c r="U465" s="73" t="s">
        <v>69</v>
      </c>
      <c r="V465" s="73"/>
      <c r="W465" s="68"/>
      <c r="X465" s="67" t="s">
        <v>69</v>
      </c>
      <c r="Y465" s="73"/>
      <c r="Z465" s="73"/>
      <c r="AA465" s="68"/>
      <c r="AB465" s="67" t="s">
        <v>69</v>
      </c>
      <c r="AC465" s="73"/>
      <c r="AD465" s="73"/>
      <c r="AE465" s="68"/>
      <c r="AF465" s="67" t="s">
        <v>69</v>
      </c>
      <c r="AG465" s="73"/>
      <c r="AH465" s="73"/>
      <c r="AI465" s="68"/>
      <c r="AJ465" s="67" t="s">
        <v>69</v>
      </c>
      <c r="AK465" s="73"/>
      <c r="AL465" s="73"/>
      <c r="AM465" s="68"/>
      <c r="AN465" s="67">
        <f t="shared" si="479"/>
        <v>88</v>
      </c>
      <c r="AO465" s="68" t="str">
        <f t="shared" si="480"/>
        <v>S</v>
      </c>
      <c r="AR465" s="49">
        <f t="shared" si="445"/>
        <v>1</v>
      </c>
      <c r="AS465" s="49">
        <f t="shared" si="446"/>
        <v>0</v>
      </c>
      <c r="AT465" s="49">
        <f t="shared" si="447"/>
        <v>0</v>
      </c>
      <c r="AU465" s="49">
        <f t="shared" si="448"/>
        <v>0</v>
      </c>
      <c r="AV465" s="49">
        <f t="shared" si="449"/>
        <v>0</v>
      </c>
      <c r="AW465" s="49">
        <f t="shared" si="450"/>
        <v>0</v>
      </c>
      <c r="AX465" s="49">
        <f t="shared" si="451"/>
        <v>1</v>
      </c>
      <c r="AY465" s="49">
        <f t="shared" si="452"/>
        <v>0</v>
      </c>
      <c r="AZ465" s="49">
        <f t="shared" si="453"/>
        <v>1</v>
      </c>
      <c r="BA465" s="49">
        <f t="shared" si="454"/>
        <v>0</v>
      </c>
      <c r="BB465" s="49">
        <f t="shared" si="455"/>
        <v>0</v>
      </c>
      <c r="BC465" s="49">
        <f t="shared" si="456"/>
        <v>0</v>
      </c>
      <c r="BD465" s="49">
        <f t="shared" si="457"/>
        <v>0</v>
      </c>
      <c r="BE465" s="49">
        <f t="shared" si="458"/>
        <v>1</v>
      </c>
      <c r="BF465" s="49">
        <f t="shared" si="459"/>
        <v>0</v>
      </c>
      <c r="BG465" s="49">
        <f t="shared" si="460"/>
        <v>0</v>
      </c>
      <c r="BH465" s="49">
        <f t="shared" si="461"/>
        <v>1</v>
      </c>
      <c r="BI465" s="49">
        <f t="shared" si="462"/>
        <v>0</v>
      </c>
      <c r="BJ465" s="49">
        <f t="shared" si="463"/>
        <v>0</v>
      </c>
      <c r="BK465" s="49">
        <f t="shared" si="464"/>
        <v>0</v>
      </c>
      <c r="BL465" s="49">
        <f t="shared" si="465"/>
        <v>1</v>
      </c>
      <c r="BM465" s="49">
        <f t="shared" si="466"/>
        <v>0</v>
      </c>
      <c r="BN465" s="49">
        <f t="shared" si="467"/>
        <v>0</v>
      </c>
      <c r="BO465" s="49">
        <f t="shared" si="468"/>
        <v>0</v>
      </c>
      <c r="BP465" s="49">
        <f t="shared" si="469"/>
        <v>1</v>
      </c>
      <c r="BQ465" s="49">
        <f t="shared" si="470"/>
        <v>0</v>
      </c>
      <c r="BR465" s="49">
        <f t="shared" si="471"/>
        <v>0</v>
      </c>
      <c r="BS465" s="49">
        <f t="shared" si="472"/>
        <v>0</v>
      </c>
      <c r="BT465" s="49">
        <f t="shared" si="473"/>
        <v>1</v>
      </c>
      <c r="BU465" s="49">
        <f t="shared" si="474"/>
        <v>0</v>
      </c>
      <c r="BV465" s="49">
        <f t="shared" si="475"/>
        <v>0</v>
      </c>
      <c r="BW465" s="49">
        <f t="shared" si="476"/>
        <v>0</v>
      </c>
    </row>
    <row r="466" spans="1:75" ht="35.1" customHeight="1" x14ac:dyDescent="0.3">
      <c r="A466" s="123" t="str">
        <f t="shared" si="477"/>
        <v>4팀</v>
      </c>
      <c r="B466" s="69">
        <f t="shared" si="478"/>
        <v>460</v>
      </c>
      <c r="C466" s="121" t="str">
        <f>IF(VLOOKUP($B466,'1. 현장별 인원현황'!$C:$J,2,0)=0,"",VLOOKUP($B466,'1. 현장별 인원현황'!$C:$J,2,0))</f>
        <v xml:space="preserve"> [4.롯데건설] 롯데바이오로직스 Project PROVIDENCE</v>
      </c>
      <c r="D466" s="74" t="str">
        <f>IF(VLOOKUP($B466,'1. 현장별 인원현황'!$C:$J,3,0)=0,"",VLOOKUP($B466,'1. 현장별 인원현황'!$C:$J,3,0))</f>
        <v>전진영</v>
      </c>
      <c r="E466" s="74" t="str">
        <f ca="1">IF(VLOOKUP($B466,'1. 현장별 인원현황'!$C:$J,4,0)=0,"",VLOOKUP($B466,'1. 현장별 인원현황'!$C:$J,4,0))</f>
        <v>43세</v>
      </c>
      <c r="F466" s="70" t="str">
        <f>IF(VLOOKUP($B466,'1. 현장별 인원현황'!$C:$J,7,0)=0,"",VLOOKUP($B466,'1. 현장별 인원현황'!$C:$J,7,0))</f>
        <v>기능공</v>
      </c>
      <c r="G466" s="72" t="str">
        <f>IF(VLOOKUP($B466,'1. 현장별 인원현황'!$C:$J,8,0)=0,"",VLOOKUP($B466,'1. 현장별 인원현황'!$C:$J,8,0))</f>
        <v>전공</v>
      </c>
      <c r="H466" s="67" t="s">
        <v>69</v>
      </c>
      <c r="I466" s="73"/>
      <c r="J466" s="73"/>
      <c r="K466" s="68"/>
      <c r="L466" s="67"/>
      <c r="M466" s="73"/>
      <c r="N466" s="73" t="s">
        <v>69</v>
      </c>
      <c r="O466" s="68"/>
      <c r="P466" s="67" t="s">
        <v>69</v>
      </c>
      <c r="Q466" s="73"/>
      <c r="R466" s="73"/>
      <c r="S466" s="68"/>
      <c r="T466" s="67"/>
      <c r="U466" s="73" t="s">
        <v>69</v>
      </c>
      <c r="V466" s="73"/>
      <c r="W466" s="68"/>
      <c r="X466" s="67" t="s">
        <v>69</v>
      </c>
      <c r="Y466" s="73"/>
      <c r="Z466" s="73"/>
      <c r="AA466" s="68"/>
      <c r="AB466" s="67" t="s">
        <v>69</v>
      </c>
      <c r="AC466" s="73"/>
      <c r="AD466" s="73"/>
      <c r="AE466" s="68"/>
      <c r="AF466" s="67" t="s">
        <v>69</v>
      </c>
      <c r="AG466" s="73"/>
      <c r="AH466" s="73"/>
      <c r="AI466" s="68"/>
      <c r="AJ466" s="67" t="s">
        <v>69</v>
      </c>
      <c r="AK466" s="73"/>
      <c r="AL466" s="73"/>
      <c r="AM466" s="68"/>
      <c r="AN466" s="67">
        <f t="shared" si="479"/>
        <v>88</v>
      </c>
      <c r="AO466" s="68" t="str">
        <f t="shared" si="480"/>
        <v>S</v>
      </c>
      <c r="AR466" s="49">
        <f t="shared" si="445"/>
        <v>1</v>
      </c>
      <c r="AS466" s="49">
        <f t="shared" si="446"/>
        <v>0</v>
      </c>
      <c r="AT466" s="49">
        <f t="shared" si="447"/>
        <v>0</v>
      </c>
      <c r="AU466" s="49">
        <f t="shared" si="448"/>
        <v>0</v>
      </c>
      <c r="AV466" s="49">
        <f t="shared" si="449"/>
        <v>0</v>
      </c>
      <c r="AW466" s="49">
        <f t="shared" si="450"/>
        <v>0</v>
      </c>
      <c r="AX466" s="49">
        <f t="shared" si="451"/>
        <v>1</v>
      </c>
      <c r="AY466" s="49">
        <f t="shared" si="452"/>
        <v>0</v>
      </c>
      <c r="AZ466" s="49">
        <f t="shared" si="453"/>
        <v>1</v>
      </c>
      <c r="BA466" s="49">
        <f t="shared" si="454"/>
        <v>0</v>
      </c>
      <c r="BB466" s="49">
        <f t="shared" si="455"/>
        <v>0</v>
      </c>
      <c r="BC466" s="49">
        <f t="shared" si="456"/>
        <v>0</v>
      </c>
      <c r="BD466" s="49">
        <f t="shared" si="457"/>
        <v>0</v>
      </c>
      <c r="BE466" s="49">
        <f t="shared" si="458"/>
        <v>1</v>
      </c>
      <c r="BF466" s="49">
        <f t="shared" si="459"/>
        <v>0</v>
      </c>
      <c r="BG466" s="49">
        <f t="shared" si="460"/>
        <v>0</v>
      </c>
      <c r="BH466" s="49">
        <f t="shared" si="461"/>
        <v>1</v>
      </c>
      <c r="BI466" s="49">
        <f t="shared" si="462"/>
        <v>0</v>
      </c>
      <c r="BJ466" s="49">
        <f t="shared" si="463"/>
        <v>0</v>
      </c>
      <c r="BK466" s="49">
        <f t="shared" si="464"/>
        <v>0</v>
      </c>
      <c r="BL466" s="49">
        <f t="shared" si="465"/>
        <v>1</v>
      </c>
      <c r="BM466" s="49">
        <f t="shared" si="466"/>
        <v>0</v>
      </c>
      <c r="BN466" s="49">
        <f t="shared" si="467"/>
        <v>0</v>
      </c>
      <c r="BO466" s="49">
        <f t="shared" si="468"/>
        <v>0</v>
      </c>
      <c r="BP466" s="49">
        <f t="shared" si="469"/>
        <v>1</v>
      </c>
      <c r="BQ466" s="49">
        <f t="shared" si="470"/>
        <v>0</v>
      </c>
      <c r="BR466" s="49">
        <f t="shared" si="471"/>
        <v>0</v>
      </c>
      <c r="BS466" s="49">
        <f t="shared" si="472"/>
        <v>0</v>
      </c>
      <c r="BT466" s="49">
        <f t="shared" si="473"/>
        <v>1</v>
      </c>
      <c r="BU466" s="49">
        <f t="shared" si="474"/>
        <v>0</v>
      </c>
      <c r="BV466" s="49">
        <f t="shared" si="475"/>
        <v>0</v>
      </c>
      <c r="BW466" s="49">
        <f t="shared" si="476"/>
        <v>0</v>
      </c>
    </row>
    <row r="467" spans="1:75" ht="35.1" customHeight="1" x14ac:dyDescent="0.3">
      <c r="A467" s="123" t="str">
        <f t="shared" si="477"/>
        <v>4팀</v>
      </c>
      <c r="B467" s="69">
        <f t="shared" si="478"/>
        <v>461</v>
      </c>
      <c r="C467" s="121" t="str">
        <f>IF(VLOOKUP($B467,'1. 현장별 인원현황'!$C:$J,2,0)=0,"",VLOOKUP($B467,'1. 현장별 인원현황'!$C:$J,2,0))</f>
        <v xml:space="preserve"> [4.롯데건설] 롯데바이오로직스 Project PROVIDENCE</v>
      </c>
      <c r="D467" s="74" t="str">
        <f>IF(VLOOKUP($B467,'1. 현장별 인원현황'!$C:$J,3,0)=0,"",VLOOKUP($B467,'1. 현장별 인원현황'!$C:$J,3,0))</f>
        <v>조성계</v>
      </c>
      <c r="E467" s="74" t="str">
        <f ca="1">IF(VLOOKUP($B467,'1. 현장별 인원현황'!$C:$J,4,0)=0,"",VLOOKUP($B467,'1. 현장별 인원현황'!$C:$J,4,0))</f>
        <v>58세</v>
      </c>
      <c r="F467" s="70" t="str">
        <f>IF(VLOOKUP($B467,'1. 현장별 인원현황'!$C:$J,7,0)=0,"",VLOOKUP($B467,'1. 현장별 인원현황'!$C:$J,7,0))</f>
        <v>기능공</v>
      </c>
      <c r="G467" s="72" t="str">
        <f>IF(VLOOKUP($B467,'1. 현장별 인원현황'!$C:$J,8,0)=0,"",VLOOKUP($B467,'1. 현장별 인원현황'!$C:$J,8,0))</f>
        <v>전공</v>
      </c>
      <c r="H467" s="67" t="s">
        <v>69</v>
      </c>
      <c r="I467" s="73"/>
      <c r="J467" s="73"/>
      <c r="K467" s="68"/>
      <c r="L467" s="67"/>
      <c r="M467" s="73"/>
      <c r="N467" s="73" t="s">
        <v>69</v>
      </c>
      <c r="O467" s="68"/>
      <c r="P467" s="67" t="s">
        <v>69</v>
      </c>
      <c r="Q467" s="73"/>
      <c r="R467" s="73"/>
      <c r="S467" s="68"/>
      <c r="T467" s="67"/>
      <c r="U467" s="73" t="s">
        <v>69</v>
      </c>
      <c r="V467" s="73"/>
      <c r="W467" s="68"/>
      <c r="X467" s="67" t="s">
        <v>69</v>
      </c>
      <c r="Y467" s="73"/>
      <c r="Z467" s="73"/>
      <c r="AA467" s="68"/>
      <c r="AB467" s="67" t="s">
        <v>69</v>
      </c>
      <c r="AC467" s="73"/>
      <c r="AD467" s="73"/>
      <c r="AE467" s="68"/>
      <c r="AF467" s="67" t="s">
        <v>69</v>
      </c>
      <c r="AG467" s="73"/>
      <c r="AH467" s="73"/>
      <c r="AI467" s="68"/>
      <c r="AJ467" s="67"/>
      <c r="AK467" s="73" t="s">
        <v>69</v>
      </c>
      <c r="AL467" s="73"/>
      <c r="AM467" s="68"/>
      <c r="AN467" s="67">
        <f t="shared" si="479"/>
        <v>85</v>
      </c>
      <c r="AO467" s="68" t="str">
        <f t="shared" si="480"/>
        <v>A</v>
      </c>
      <c r="AR467" s="49">
        <f t="shared" si="445"/>
        <v>1</v>
      </c>
      <c r="AS467" s="49">
        <f t="shared" si="446"/>
        <v>0</v>
      </c>
      <c r="AT467" s="49">
        <f t="shared" si="447"/>
        <v>0</v>
      </c>
      <c r="AU467" s="49">
        <f t="shared" si="448"/>
        <v>0</v>
      </c>
      <c r="AV467" s="49">
        <f t="shared" si="449"/>
        <v>0</v>
      </c>
      <c r="AW467" s="49">
        <f t="shared" si="450"/>
        <v>0</v>
      </c>
      <c r="AX467" s="49">
        <f t="shared" si="451"/>
        <v>1</v>
      </c>
      <c r="AY467" s="49">
        <f t="shared" si="452"/>
        <v>0</v>
      </c>
      <c r="AZ467" s="49">
        <f t="shared" si="453"/>
        <v>1</v>
      </c>
      <c r="BA467" s="49">
        <f t="shared" si="454"/>
        <v>0</v>
      </c>
      <c r="BB467" s="49">
        <f t="shared" si="455"/>
        <v>0</v>
      </c>
      <c r="BC467" s="49">
        <f t="shared" si="456"/>
        <v>0</v>
      </c>
      <c r="BD467" s="49">
        <f t="shared" si="457"/>
        <v>0</v>
      </c>
      <c r="BE467" s="49">
        <f t="shared" si="458"/>
        <v>1</v>
      </c>
      <c r="BF467" s="49">
        <f t="shared" si="459"/>
        <v>0</v>
      </c>
      <c r="BG467" s="49">
        <f t="shared" si="460"/>
        <v>0</v>
      </c>
      <c r="BH467" s="49">
        <f t="shared" si="461"/>
        <v>1</v>
      </c>
      <c r="BI467" s="49">
        <f t="shared" si="462"/>
        <v>0</v>
      </c>
      <c r="BJ467" s="49">
        <f t="shared" si="463"/>
        <v>0</v>
      </c>
      <c r="BK467" s="49">
        <f t="shared" si="464"/>
        <v>0</v>
      </c>
      <c r="BL467" s="49">
        <f t="shared" si="465"/>
        <v>1</v>
      </c>
      <c r="BM467" s="49">
        <f t="shared" si="466"/>
        <v>0</v>
      </c>
      <c r="BN467" s="49">
        <f t="shared" si="467"/>
        <v>0</v>
      </c>
      <c r="BO467" s="49">
        <f t="shared" si="468"/>
        <v>0</v>
      </c>
      <c r="BP467" s="49">
        <f t="shared" si="469"/>
        <v>1</v>
      </c>
      <c r="BQ467" s="49">
        <f t="shared" si="470"/>
        <v>0</v>
      </c>
      <c r="BR467" s="49">
        <f t="shared" si="471"/>
        <v>0</v>
      </c>
      <c r="BS467" s="49">
        <f t="shared" si="472"/>
        <v>0</v>
      </c>
      <c r="BT467" s="49">
        <f t="shared" si="473"/>
        <v>0</v>
      </c>
      <c r="BU467" s="49">
        <f t="shared" si="474"/>
        <v>1</v>
      </c>
      <c r="BV467" s="49">
        <f t="shared" si="475"/>
        <v>0</v>
      </c>
      <c r="BW467" s="49">
        <f t="shared" si="476"/>
        <v>0</v>
      </c>
    </row>
    <row r="468" spans="1:75" ht="35.1" customHeight="1" x14ac:dyDescent="0.3">
      <c r="A468" s="123" t="str">
        <f t="shared" si="477"/>
        <v>4팀</v>
      </c>
      <c r="B468" s="69">
        <f t="shared" si="478"/>
        <v>462</v>
      </c>
      <c r="C468" s="121" t="str">
        <f>IF(VLOOKUP($B468,'1. 현장별 인원현황'!$C:$J,2,0)=0,"",VLOOKUP($B468,'1. 현장별 인원현황'!$C:$J,2,0))</f>
        <v xml:space="preserve"> [4.롯데건설] 롯데바이오로직스 Project PROVIDENCE</v>
      </c>
      <c r="D468" s="74" t="str">
        <f>IF(VLOOKUP($B468,'1. 현장별 인원현황'!$C:$J,3,0)=0,"",VLOOKUP($B468,'1. 현장별 인원현황'!$C:$J,3,0))</f>
        <v>한종익</v>
      </c>
      <c r="E468" s="74" t="str">
        <f ca="1">IF(VLOOKUP($B468,'1. 현장별 인원현황'!$C:$J,4,0)=0,"",VLOOKUP($B468,'1. 현장별 인원현황'!$C:$J,4,0))</f>
        <v>45세</v>
      </c>
      <c r="F468" s="70" t="str">
        <f>IF(VLOOKUP($B468,'1. 현장별 인원현황'!$C:$J,7,0)=0,"",VLOOKUP($B468,'1. 현장별 인원현황'!$C:$J,7,0))</f>
        <v>기능공</v>
      </c>
      <c r="G468" s="72" t="str">
        <f>IF(VLOOKUP($B468,'1. 현장별 인원현황'!$C:$J,8,0)=0,"",VLOOKUP($B468,'1. 현장별 인원현황'!$C:$J,8,0))</f>
        <v>전공</v>
      </c>
      <c r="H468" s="67" t="s">
        <v>69</v>
      </c>
      <c r="I468" s="73"/>
      <c r="J468" s="73"/>
      <c r="K468" s="68"/>
      <c r="L468" s="67"/>
      <c r="M468" s="73"/>
      <c r="N468" s="73" t="s">
        <v>69</v>
      </c>
      <c r="O468" s="68"/>
      <c r="P468" s="67" t="s">
        <v>69</v>
      </c>
      <c r="Q468" s="73"/>
      <c r="R468" s="73"/>
      <c r="S468" s="68"/>
      <c r="T468" s="67"/>
      <c r="U468" s="73" t="s">
        <v>69</v>
      </c>
      <c r="V468" s="73"/>
      <c r="W468" s="68"/>
      <c r="X468" s="67" t="s">
        <v>69</v>
      </c>
      <c r="Y468" s="73"/>
      <c r="Z468" s="73"/>
      <c r="AA468" s="68"/>
      <c r="AB468" s="67" t="s">
        <v>69</v>
      </c>
      <c r="AC468" s="73"/>
      <c r="AD468" s="73"/>
      <c r="AE468" s="68"/>
      <c r="AF468" s="67" t="s">
        <v>69</v>
      </c>
      <c r="AG468" s="73"/>
      <c r="AH468" s="73"/>
      <c r="AI468" s="68"/>
      <c r="AJ468" s="67" t="s">
        <v>69</v>
      </c>
      <c r="AK468" s="73"/>
      <c r="AL468" s="73"/>
      <c r="AM468" s="68"/>
      <c r="AN468" s="67">
        <f t="shared" si="479"/>
        <v>88</v>
      </c>
      <c r="AO468" s="68" t="str">
        <f t="shared" si="480"/>
        <v>S</v>
      </c>
      <c r="AR468" s="49">
        <f t="shared" si="41"/>
        <v>1</v>
      </c>
      <c r="AS468" s="49">
        <f t="shared" si="42"/>
        <v>0</v>
      </c>
      <c r="AT468" s="49">
        <f t="shared" si="43"/>
        <v>0</v>
      </c>
      <c r="AU468" s="49">
        <f t="shared" si="44"/>
        <v>0</v>
      </c>
      <c r="AV468" s="49">
        <f t="shared" si="45"/>
        <v>0</v>
      </c>
      <c r="AW468" s="49">
        <f t="shared" si="46"/>
        <v>0</v>
      </c>
      <c r="AX468" s="49">
        <f t="shared" si="47"/>
        <v>1</v>
      </c>
      <c r="AY468" s="49">
        <f t="shared" si="48"/>
        <v>0</v>
      </c>
      <c r="AZ468" s="49">
        <f t="shared" si="49"/>
        <v>1</v>
      </c>
      <c r="BA468" s="49">
        <f t="shared" si="50"/>
        <v>0</v>
      </c>
      <c r="BB468" s="49">
        <f t="shared" si="51"/>
        <v>0</v>
      </c>
      <c r="BC468" s="49">
        <f t="shared" si="52"/>
        <v>0</v>
      </c>
      <c r="BD468" s="49">
        <f t="shared" si="53"/>
        <v>0</v>
      </c>
      <c r="BE468" s="49">
        <f t="shared" si="54"/>
        <v>1</v>
      </c>
      <c r="BF468" s="49">
        <f t="shared" si="55"/>
        <v>0</v>
      </c>
      <c r="BG468" s="49">
        <f t="shared" si="56"/>
        <v>0</v>
      </c>
      <c r="BH468" s="49">
        <f t="shared" si="57"/>
        <v>1</v>
      </c>
      <c r="BI468" s="49">
        <f t="shared" si="58"/>
        <v>0</v>
      </c>
      <c r="BJ468" s="49">
        <f t="shared" si="59"/>
        <v>0</v>
      </c>
      <c r="BK468" s="49">
        <f t="shared" si="60"/>
        <v>0</v>
      </c>
      <c r="BL468" s="49">
        <f t="shared" si="61"/>
        <v>1</v>
      </c>
      <c r="BM468" s="49">
        <f t="shared" si="62"/>
        <v>0</v>
      </c>
      <c r="BN468" s="49">
        <f t="shared" si="63"/>
        <v>0</v>
      </c>
      <c r="BO468" s="49">
        <f t="shared" si="64"/>
        <v>0</v>
      </c>
      <c r="BP468" s="49">
        <f t="shared" si="65"/>
        <v>1</v>
      </c>
      <c r="BQ468" s="49">
        <f t="shared" si="66"/>
        <v>0</v>
      </c>
      <c r="BR468" s="49">
        <f t="shared" si="67"/>
        <v>0</v>
      </c>
      <c r="BS468" s="49">
        <f t="shared" si="68"/>
        <v>0</v>
      </c>
      <c r="BT468" s="49">
        <f t="shared" si="69"/>
        <v>1</v>
      </c>
      <c r="BU468" s="49">
        <f t="shared" si="70"/>
        <v>0</v>
      </c>
      <c r="BV468" s="49">
        <f t="shared" si="71"/>
        <v>0</v>
      </c>
      <c r="BW468" s="49">
        <f t="shared" si="72"/>
        <v>0</v>
      </c>
    </row>
    <row r="469" spans="1:75" ht="35.1" customHeight="1" x14ac:dyDescent="0.3">
      <c r="A469" s="123" t="str">
        <f t="shared" si="477"/>
        <v>4팀</v>
      </c>
      <c r="B469" s="69">
        <f t="shared" si="478"/>
        <v>463</v>
      </c>
      <c r="C469" s="121" t="str">
        <f>IF(VLOOKUP($B469,'1. 현장별 인원현황'!$C:$J,2,0)=0,"",VLOOKUP($B469,'1. 현장별 인원현황'!$C:$J,2,0))</f>
        <v xml:space="preserve"> [4.롯데건설] 롯데바이오로직스 Project PROVIDENCE</v>
      </c>
      <c r="D469" s="74" t="str">
        <f>IF(VLOOKUP($B469,'1. 현장별 인원현황'!$C:$J,3,0)=0,"",VLOOKUP($B469,'1. 현장별 인원현황'!$C:$J,3,0))</f>
        <v>홍현석</v>
      </c>
      <c r="E469" s="74" t="str">
        <f ca="1">IF(VLOOKUP($B469,'1. 현장별 인원현황'!$C:$J,4,0)=0,"",VLOOKUP($B469,'1. 현장별 인원현황'!$C:$J,4,0))</f>
        <v>35세</v>
      </c>
      <c r="F469" s="70" t="str">
        <f>IF(VLOOKUP($B469,'1. 현장별 인원현황'!$C:$J,7,0)=0,"",VLOOKUP($B469,'1. 현장별 인원현황'!$C:$J,7,0))</f>
        <v>기능공</v>
      </c>
      <c r="G469" s="72" t="str">
        <f>IF(VLOOKUP($B469,'1. 현장별 인원현황'!$C:$J,8,0)=0,"",VLOOKUP($B469,'1. 현장별 인원현황'!$C:$J,8,0))</f>
        <v>전공</v>
      </c>
      <c r="H469" s="67" t="s">
        <v>69</v>
      </c>
      <c r="I469" s="73"/>
      <c r="J469" s="73"/>
      <c r="K469" s="68"/>
      <c r="L469" s="67"/>
      <c r="M469" s="73"/>
      <c r="N469" s="73" t="s">
        <v>69</v>
      </c>
      <c r="O469" s="68"/>
      <c r="P469" s="67" t="s">
        <v>69</v>
      </c>
      <c r="Q469" s="73"/>
      <c r="R469" s="73"/>
      <c r="S469" s="68"/>
      <c r="T469" s="67"/>
      <c r="U469" s="73" t="s">
        <v>69</v>
      </c>
      <c r="V469" s="73"/>
      <c r="W469" s="68"/>
      <c r="X469" s="67" t="s">
        <v>69</v>
      </c>
      <c r="Y469" s="73"/>
      <c r="Z469" s="73"/>
      <c r="AA469" s="68"/>
      <c r="AB469" s="67" t="s">
        <v>69</v>
      </c>
      <c r="AC469" s="73"/>
      <c r="AD469" s="73"/>
      <c r="AE469" s="68"/>
      <c r="AF469" s="67" t="s">
        <v>69</v>
      </c>
      <c r="AG469" s="73"/>
      <c r="AH469" s="73"/>
      <c r="AI469" s="68"/>
      <c r="AJ469" s="67" t="s">
        <v>69</v>
      </c>
      <c r="AK469" s="73"/>
      <c r="AL469" s="73"/>
      <c r="AM469" s="68"/>
      <c r="AN469" s="67">
        <f t="shared" si="479"/>
        <v>88</v>
      </c>
      <c r="AO469" s="68" t="str">
        <f t="shared" si="480"/>
        <v>S</v>
      </c>
      <c r="AR469" s="49">
        <f t="shared" si="41"/>
        <v>1</v>
      </c>
      <c r="AS469" s="49">
        <f t="shared" si="42"/>
        <v>0</v>
      </c>
      <c r="AT469" s="49">
        <f t="shared" si="43"/>
        <v>0</v>
      </c>
      <c r="AU469" s="49">
        <f t="shared" si="44"/>
        <v>0</v>
      </c>
      <c r="AV469" s="49">
        <f t="shared" si="45"/>
        <v>0</v>
      </c>
      <c r="AW469" s="49">
        <f t="shared" si="46"/>
        <v>0</v>
      </c>
      <c r="AX469" s="49">
        <f t="shared" si="47"/>
        <v>1</v>
      </c>
      <c r="AY469" s="49">
        <f t="shared" si="48"/>
        <v>0</v>
      </c>
      <c r="AZ469" s="49">
        <f t="shared" si="49"/>
        <v>1</v>
      </c>
      <c r="BA469" s="49">
        <f t="shared" si="50"/>
        <v>0</v>
      </c>
      <c r="BB469" s="49">
        <f t="shared" si="51"/>
        <v>0</v>
      </c>
      <c r="BC469" s="49">
        <f t="shared" si="52"/>
        <v>0</v>
      </c>
      <c r="BD469" s="49">
        <f t="shared" si="53"/>
        <v>0</v>
      </c>
      <c r="BE469" s="49">
        <f t="shared" si="54"/>
        <v>1</v>
      </c>
      <c r="BF469" s="49">
        <f t="shared" si="55"/>
        <v>0</v>
      </c>
      <c r="BG469" s="49">
        <f t="shared" si="56"/>
        <v>0</v>
      </c>
      <c r="BH469" s="49">
        <f t="shared" si="57"/>
        <v>1</v>
      </c>
      <c r="BI469" s="49">
        <f t="shared" si="58"/>
        <v>0</v>
      </c>
      <c r="BJ469" s="49">
        <f t="shared" si="59"/>
        <v>0</v>
      </c>
      <c r="BK469" s="49">
        <f t="shared" si="60"/>
        <v>0</v>
      </c>
      <c r="BL469" s="49">
        <f t="shared" si="61"/>
        <v>1</v>
      </c>
      <c r="BM469" s="49">
        <f t="shared" si="62"/>
        <v>0</v>
      </c>
      <c r="BN469" s="49">
        <f t="shared" si="63"/>
        <v>0</v>
      </c>
      <c r="BO469" s="49">
        <f t="shared" si="64"/>
        <v>0</v>
      </c>
      <c r="BP469" s="49">
        <f t="shared" si="65"/>
        <v>1</v>
      </c>
      <c r="BQ469" s="49">
        <f t="shared" si="66"/>
        <v>0</v>
      </c>
      <c r="BR469" s="49">
        <f t="shared" si="67"/>
        <v>0</v>
      </c>
      <c r="BS469" s="49">
        <f t="shared" si="68"/>
        <v>0</v>
      </c>
      <c r="BT469" s="49">
        <f t="shared" si="69"/>
        <v>1</v>
      </c>
      <c r="BU469" s="49">
        <f t="shared" si="70"/>
        <v>0</v>
      </c>
      <c r="BV469" s="49">
        <f t="shared" si="71"/>
        <v>0</v>
      </c>
      <c r="BW469" s="49">
        <f t="shared" si="72"/>
        <v>0</v>
      </c>
    </row>
    <row r="470" spans="1:75" ht="35.1" customHeight="1" x14ac:dyDescent="0.3">
      <c r="A470" s="123" t="str">
        <f t="shared" si="477"/>
        <v>4팀</v>
      </c>
      <c r="B470" s="69">
        <f t="shared" si="478"/>
        <v>464</v>
      </c>
      <c r="C470" s="121" t="str">
        <f>IF(VLOOKUP($B470,'1. 현장별 인원현황'!$C:$J,2,0)=0,"",VLOOKUP($B470,'1. 현장별 인원현황'!$C:$J,2,0))</f>
        <v xml:space="preserve"> [4.롯데건설] 롯데바이오로직스 Project PROVIDENCE</v>
      </c>
      <c r="D470" s="74" t="str">
        <f>IF(VLOOKUP($B470,'1. 현장별 인원현황'!$C:$J,3,0)=0,"",VLOOKUP($B470,'1. 현장별 인원현황'!$C:$J,3,0))</f>
        <v>황동엽</v>
      </c>
      <c r="E470" s="74" t="str">
        <f ca="1">IF(VLOOKUP($B470,'1. 현장별 인원현황'!$C:$J,4,0)=0,"",VLOOKUP($B470,'1. 현장별 인원현황'!$C:$J,4,0))</f>
        <v>31세</v>
      </c>
      <c r="F470" s="70" t="str">
        <f>IF(VLOOKUP($B470,'1. 현장별 인원현황'!$C:$J,7,0)=0,"",VLOOKUP($B470,'1. 현장별 인원현황'!$C:$J,7,0))</f>
        <v>기능공</v>
      </c>
      <c r="G470" s="72" t="str">
        <f>IF(VLOOKUP($B470,'1. 현장별 인원현황'!$C:$J,8,0)=0,"",VLOOKUP($B470,'1. 현장별 인원현황'!$C:$J,8,0))</f>
        <v>전공</v>
      </c>
      <c r="H470" s="67" t="s">
        <v>69</v>
      </c>
      <c r="I470" s="73"/>
      <c r="J470" s="73"/>
      <c r="K470" s="68"/>
      <c r="L470" s="67"/>
      <c r="M470" s="73"/>
      <c r="N470" s="73" t="s">
        <v>69</v>
      </c>
      <c r="O470" s="68"/>
      <c r="P470" s="67" t="s">
        <v>69</v>
      </c>
      <c r="Q470" s="73"/>
      <c r="R470" s="73"/>
      <c r="S470" s="68"/>
      <c r="T470" s="67"/>
      <c r="U470" s="73" t="s">
        <v>69</v>
      </c>
      <c r="V470" s="73"/>
      <c r="W470" s="68"/>
      <c r="X470" s="67" t="s">
        <v>69</v>
      </c>
      <c r="Y470" s="73"/>
      <c r="Z470" s="73"/>
      <c r="AA470" s="68"/>
      <c r="AB470" s="67" t="s">
        <v>69</v>
      </c>
      <c r="AC470" s="73"/>
      <c r="AD470" s="73"/>
      <c r="AE470" s="68"/>
      <c r="AF470" s="67" t="s">
        <v>69</v>
      </c>
      <c r="AG470" s="73"/>
      <c r="AH470" s="73"/>
      <c r="AI470" s="68"/>
      <c r="AJ470" s="67" t="s">
        <v>69</v>
      </c>
      <c r="AK470" s="73"/>
      <c r="AL470" s="73"/>
      <c r="AM470" s="68"/>
      <c r="AN470" s="67">
        <f t="shared" si="479"/>
        <v>88</v>
      </c>
      <c r="AO470" s="68" t="str">
        <f t="shared" si="480"/>
        <v>S</v>
      </c>
      <c r="AR470" s="49">
        <f t="shared" si="41"/>
        <v>1</v>
      </c>
      <c r="AS470" s="49">
        <f t="shared" si="42"/>
        <v>0</v>
      </c>
      <c r="AT470" s="49">
        <f t="shared" si="43"/>
        <v>0</v>
      </c>
      <c r="AU470" s="49">
        <f t="shared" si="44"/>
        <v>0</v>
      </c>
      <c r="AV470" s="49">
        <f t="shared" si="45"/>
        <v>0</v>
      </c>
      <c r="AW470" s="49">
        <f t="shared" si="46"/>
        <v>0</v>
      </c>
      <c r="AX470" s="49">
        <f t="shared" si="47"/>
        <v>1</v>
      </c>
      <c r="AY470" s="49">
        <f t="shared" si="48"/>
        <v>0</v>
      </c>
      <c r="AZ470" s="49">
        <f t="shared" si="49"/>
        <v>1</v>
      </c>
      <c r="BA470" s="49">
        <f t="shared" si="50"/>
        <v>0</v>
      </c>
      <c r="BB470" s="49">
        <f t="shared" si="51"/>
        <v>0</v>
      </c>
      <c r="BC470" s="49">
        <f t="shared" si="52"/>
        <v>0</v>
      </c>
      <c r="BD470" s="49">
        <f t="shared" si="53"/>
        <v>0</v>
      </c>
      <c r="BE470" s="49">
        <f t="shared" si="54"/>
        <v>1</v>
      </c>
      <c r="BF470" s="49">
        <f t="shared" si="55"/>
        <v>0</v>
      </c>
      <c r="BG470" s="49">
        <f t="shared" si="56"/>
        <v>0</v>
      </c>
      <c r="BH470" s="49">
        <f t="shared" si="57"/>
        <v>1</v>
      </c>
      <c r="BI470" s="49">
        <f t="shared" si="58"/>
        <v>0</v>
      </c>
      <c r="BJ470" s="49">
        <f t="shared" si="59"/>
        <v>0</v>
      </c>
      <c r="BK470" s="49">
        <f t="shared" si="60"/>
        <v>0</v>
      </c>
      <c r="BL470" s="49">
        <f t="shared" si="61"/>
        <v>1</v>
      </c>
      <c r="BM470" s="49">
        <f t="shared" si="62"/>
        <v>0</v>
      </c>
      <c r="BN470" s="49">
        <f t="shared" si="63"/>
        <v>0</v>
      </c>
      <c r="BO470" s="49">
        <f t="shared" si="64"/>
        <v>0</v>
      </c>
      <c r="BP470" s="49">
        <f t="shared" si="65"/>
        <v>1</v>
      </c>
      <c r="BQ470" s="49">
        <f t="shared" si="66"/>
        <v>0</v>
      </c>
      <c r="BR470" s="49">
        <f t="shared" si="67"/>
        <v>0</v>
      </c>
      <c r="BS470" s="49">
        <f t="shared" si="68"/>
        <v>0</v>
      </c>
      <c r="BT470" s="49">
        <f t="shared" si="69"/>
        <v>1</v>
      </c>
      <c r="BU470" s="49">
        <f t="shared" si="70"/>
        <v>0</v>
      </c>
      <c r="BV470" s="49">
        <f t="shared" si="71"/>
        <v>0</v>
      </c>
      <c r="BW470" s="49">
        <f t="shared" si="72"/>
        <v>0</v>
      </c>
    </row>
    <row r="471" spans="1:75" ht="35.1" customHeight="1" x14ac:dyDescent="0.3">
      <c r="A471" s="123" t="str">
        <f t="shared" si="477"/>
        <v>4팀</v>
      </c>
      <c r="B471" s="69">
        <f t="shared" si="478"/>
        <v>465</v>
      </c>
      <c r="C471" s="121" t="str">
        <f>IF(VLOOKUP($B471,'1. 현장별 인원현황'!$C:$J,2,0)=0,"",VLOOKUP($B471,'1. 현장별 인원현황'!$C:$J,2,0))</f>
        <v xml:space="preserve"> [4.롯데건설] 롯데바이오로직스 Project PROVIDENCE</v>
      </c>
      <c r="D471" s="74" t="str">
        <f>IF(VLOOKUP($B471,'1. 현장별 인원현황'!$C:$J,3,0)=0,"",VLOOKUP($B471,'1. 현장별 인원현황'!$C:$J,3,0))</f>
        <v>황병준</v>
      </c>
      <c r="E471" s="74" t="str">
        <f ca="1">IF(VLOOKUP($B471,'1. 현장별 인원현황'!$C:$J,4,0)=0,"",VLOOKUP($B471,'1. 현장별 인원현황'!$C:$J,4,0))</f>
        <v>29세</v>
      </c>
      <c r="F471" s="70" t="str">
        <f>IF(VLOOKUP($B471,'1. 현장별 인원현황'!$C:$J,7,0)=0,"",VLOOKUP($B471,'1. 현장별 인원현황'!$C:$J,7,0))</f>
        <v>기능공</v>
      </c>
      <c r="G471" s="72" t="str">
        <f>IF(VLOOKUP($B471,'1. 현장별 인원현황'!$C:$J,8,0)=0,"",VLOOKUP($B471,'1. 현장별 인원현황'!$C:$J,8,0))</f>
        <v>전공</v>
      </c>
      <c r="H471" s="67" t="s">
        <v>69</v>
      </c>
      <c r="I471" s="73"/>
      <c r="J471" s="73"/>
      <c r="K471" s="68"/>
      <c r="L471" s="67"/>
      <c r="M471" s="73"/>
      <c r="N471" s="73" t="s">
        <v>69</v>
      </c>
      <c r="O471" s="68"/>
      <c r="P471" s="67" t="s">
        <v>69</v>
      </c>
      <c r="Q471" s="73"/>
      <c r="R471" s="73"/>
      <c r="S471" s="68"/>
      <c r="T471" s="67"/>
      <c r="U471" s="73" t="s">
        <v>69</v>
      </c>
      <c r="V471" s="73"/>
      <c r="W471" s="68"/>
      <c r="X471" s="67" t="s">
        <v>69</v>
      </c>
      <c r="Y471" s="73"/>
      <c r="Z471" s="73"/>
      <c r="AA471" s="68"/>
      <c r="AB471" s="67" t="s">
        <v>69</v>
      </c>
      <c r="AC471" s="73"/>
      <c r="AD471" s="73"/>
      <c r="AE471" s="68"/>
      <c r="AF471" s="67" t="s">
        <v>69</v>
      </c>
      <c r="AG471" s="73"/>
      <c r="AH471" s="73"/>
      <c r="AI471" s="68"/>
      <c r="AJ471" s="67" t="s">
        <v>69</v>
      </c>
      <c r="AK471" s="73"/>
      <c r="AL471" s="73"/>
      <c r="AM471" s="68"/>
      <c r="AN471" s="67">
        <f t="shared" si="479"/>
        <v>88</v>
      </c>
      <c r="AO471" s="68" t="str">
        <f t="shared" si="480"/>
        <v>S</v>
      </c>
      <c r="AR471" s="49">
        <f t="shared" si="41"/>
        <v>1</v>
      </c>
      <c r="AS471" s="49">
        <f t="shared" si="42"/>
        <v>0</v>
      </c>
      <c r="AT471" s="49">
        <f t="shared" si="43"/>
        <v>0</v>
      </c>
      <c r="AU471" s="49">
        <f t="shared" si="44"/>
        <v>0</v>
      </c>
      <c r="AV471" s="49">
        <f t="shared" si="45"/>
        <v>0</v>
      </c>
      <c r="AW471" s="49">
        <f t="shared" si="46"/>
        <v>0</v>
      </c>
      <c r="AX471" s="49">
        <f t="shared" si="47"/>
        <v>1</v>
      </c>
      <c r="AY471" s="49">
        <f t="shared" si="48"/>
        <v>0</v>
      </c>
      <c r="AZ471" s="49">
        <f t="shared" si="49"/>
        <v>1</v>
      </c>
      <c r="BA471" s="49">
        <f t="shared" si="50"/>
        <v>0</v>
      </c>
      <c r="BB471" s="49">
        <f t="shared" si="51"/>
        <v>0</v>
      </c>
      <c r="BC471" s="49">
        <f t="shared" si="52"/>
        <v>0</v>
      </c>
      <c r="BD471" s="49">
        <f t="shared" si="53"/>
        <v>0</v>
      </c>
      <c r="BE471" s="49">
        <f t="shared" si="54"/>
        <v>1</v>
      </c>
      <c r="BF471" s="49">
        <f t="shared" si="55"/>
        <v>0</v>
      </c>
      <c r="BG471" s="49">
        <f t="shared" si="56"/>
        <v>0</v>
      </c>
      <c r="BH471" s="49">
        <f t="shared" si="57"/>
        <v>1</v>
      </c>
      <c r="BI471" s="49">
        <f t="shared" si="58"/>
        <v>0</v>
      </c>
      <c r="BJ471" s="49">
        <f t="shared" si="59"/>
        <v>0</v>
      </c>
      <c r="BK471" s="49">
        <f t="shared" si="60"/>
        <v>0</v>
      </c>
      <c r="BL471" s="49">
        <f t="shared" si="61"/>
        <v>1</v>
      </c>
      <c r="BM471" s="49">
        <f t="shared" si="62"/>
        <v>0</v>
      </c>
      <c r="BN471" s="49">
        <f t="shared" si="63"/>
        <v>0</v>
      </c>
      <c r="BO471" s="49">
        <f t="shared" si="64"/>
        <v>0</v>
      </c>
      <c r="BP471" s="49">
        <f t="shared" si="65"/>
        <v>1</v>
      </c>
      <c r="BQ471" s="49">
        <f t="shared" si="66"/>
        <v>0</v>
      </c>
      <c r="BR471" s="49">
        <f t="shared" si="67"/>
        <v>0</v>
      </c>
      <c r="BS471" s="49">
        <f t="shared" si="68"/>
        <v>0</v>
      </c>
      <c r="BT471" s="49">
        <f t="shared" si="69"/>
        <v>1</v>
      </c>
      <c r="BU471" s="49">
        <f t="shared" si="70"/>
        <v>0</v>
      </c>
      <c r="BV471" s="49">
        <f t="shared" si="71"/>
        <v>0</v>
      </c>
      <c r="BW471" s="49">
        <f t="shared" si="72"/>
        <v>0</v>
      </c>
    </row>
    <row r="472" spans="1:75" ht="35.1" customHeight="1" x14ac:dyDescent="0.3">
      <c r="A472" s="123" t="str">
        <f t="shared" si="477"/>
        <v>4팀</v>
      </c>
      <c r="B472" s="69">
        <f t="shared" si="478"/>
        <v>466</v>
      </c>
      <c r="C472" s="121" t="str">
        <f>IF(VLOOKUP($B472,'1. 현장별 인원현황'!$C:$J,2,0)=0,"",VLOOKUP($B472,'1. 현장별 인원현황'!$C:$J,2,0))</f>
        <v xml:space="preserve"> [4.롯데건설] 롯데바이오로직스 Project PROVIDENCE</v>
      </c>
      <c r="D472" s="74" t="str">
        <f>IF(VLOOKUP($B472,'1. 현장별 인원현황'!$C:$J,3,0)=0,"",VLOOKUP($B472,'1. 현장별 인원현황'!$C:$J,3,0))</f>
        <v>김경신</v>
      </c>
      <c r="E472" s="74" t="str">
        <f ca="1">IF(VLOOKUP($B472,'1. 현장별 인원현황'!$C:$J,4,0)=0,"",VLOOKUP($B472,'1. 현장별 인원현황'!$C:$J,4,0))</f>
        <v>30세</v>
      </c>
      <c r="F472" s="70" t="str">
        <f>IF(VLOOKUP($B472,'1. 현장별 인원현황'!$C:$J,7,0)=0,"",VLOOKUP($B472,'1. 현장별 인원현황'!$C:$J,7,0))</f>
        <v>기능공</v>
      </c>
      <c r="G472" s="72" t="str">
        <f>IF(VLOOKUP($B472,'1. 현장별 인원현황'!$C:$J,8,0)=0,"",VLOOKUP($B472,'1. 현장별 인원현황'!$C:$J,8,0))</f>
        <v>전공</v>
      </c>
      <c r="H472" s="67" t="s">
        <v>69</v>
      </c>
      <c r="I472" s="73"/>
      <c r="J472" s="73"/>
      <c r="K472" s="68"/>
      <c r="L472" s="67"/>
      <c r="M472" s="73"/>
      <c r="N472" s="73" t="s">
        <v>69</v>
      </c>
      <c r="O472" s="68"/>
      <c r="P472" s="67" t="s">
        <v>69</v>
      </c>
      <c r="Q472" s="73"/>
      <c r="R472" s="73"/>
      <c r="S472" s="68"/>
      <c r="T472" s="67"/>
      <c r="U472" s="73" t="s">
        <v>69</v>
      </c>
      <c r="V472" s="73"/>
      <c r="W472" s="68"/>
      <c r="X472" s="67" t="s">
        <v>69</v>
      </c>
      <c r="Y472" s="73"/>
      <c r="Z472" s="73"/>
      <c r="AA472" s="68"/>
      <c r="AB472" s="67" t="s">
        <v>69</v>
      </c>
      <c r="AC472" s="73"/>
      <c r="AD472" s="73"/>
      <c r="AE472" s="68"/>
      <c r="AF472" s="67" t="s">
        <v>69</v>
      </c>
      <c r="AG472" s="73"/>
      <c r="AH472" s="73"/>
      <c r="AI472" s="68"/>
      <c r="AJ472" s="67" t="s">
        <v>69</v>
      </c>
      <c r="AK472" s="73"/>
      <c r="AL472" s="73"/>
      <c r="AM472" s="68"/>
      <c r="AN472" s="67">
        <f t="shared" si="479"/>
        <v>88</v>
      </c>
      <c r="AO472" s="68" t="str">
        <f t="shared" si="480"/>
        <v>S</v>
      </c>
      <c r="AR472" s="49">
        <f t="shared" si="41"/>
        <v>1</v>
      </c>
      <c r="AS472" s="49">
        <f t="shared" si="42"/>
        <v>0</v>
      </c>
      <c r="AT472" s="49">
        <f t="shared" si="43"/>
        <v>0</v>
      </c>
      <c r="AU472" s="49">
        <f t="shared" si="44"/>
        <v>0</v>
      </c>
      <c r="AV472" s="49">
        <f t="shared" si="45"/>
        <v>0</v>
      </c>
      <c r="AW472" s="49">
        <f t="shared" si="46"/>
        <v>0</v>
      </c>
      <c r="AX472" s="49">
        <f t="shared" si="47"/>
        <v>1</v>
      </c>
      <c r="AY472" s="49">
        <f t="shared" si="48"/>
        <v>0</v>
      </c>
      <c r="AZ472" s="49">
        <f t="shared" si="49"/>
        <v>1</v>
      </c>
      <c r="BA472" s="49">
        <f t="shared" si="50"/>
        <v>0</v>
      </c>
      <c r="BB472" s="49">
        <f t="shared" si="51"/>
        <v>0</v>
      </c>
      <c r="BC472" s="49">
        <f t="shared" si="52"/>
        <v>0</v>
      </c>
      <c r="BD472" s="49">
        <f t="shared" si="53"/>
        <v>0</v>
      </c>
      <c r="BE472" s="49">
        <f t="shared" si="54"/>
        <v>1</v>
      </c>
      <c r="BF472" s="49">
        <f t="shared" si="55"/>
        <v>0</v>
      </c>
      <c r="BG472" s="49">
        <f t="shared" si="56"/>
        <v>0</v>
      </c>
      <c r="BH472" s="49">
        <f t="shared" si="57"/>
        <v>1</v>
      </c>
      <c r="BI472" s="49">
        <f t="shared" si="58"/>
        <v>0</v>
      </c>
      <c r="BJ472" s="49">
        <f t="shared" si="59"/>
        <v>0</v>
      </c>
      <c r="BK472" s="49">
        <f t="shared" si="60"/>
        <v>0</v>
      </c>
      <c r="BL472" s="49">
        <f t="shared" si="61"/>
        <v>1</v>
      </c>
      <c r="BM472" s="49">
        <f t="shared" si="62"/>
        <v>0</v>
      </c>
      <c r="BN472" s="49">
        <f t="shared" si="63"/>
        <v>0</v>
      </c>
      <c r="BO472" s="49">
        <f t="shared" si="64"/>
        <v>0</v>
      </c>
      <c r="BP472" s="49">
        <f t="shared" si="65"/>
        <v>1</v>
      </c>
      <c r="BQ472" s="49">
        <f t="shared" si="66"/>
        <v>0</v>
      </c>
      <c r="BR472" s="49">
        <f t="shared" si="67"/>
        <v>0</v>
      </c>
      <c r="BS472" s="49">
        <f t="shared" si="68"/>
        <v>0</v>
      </c>
      <c r="BT472" s="49">
        <f t="shared" si="69"/>
        <v>1</v>
      </c>
      <c r="BU472" s="49">
        <f t="shared" si="70"/>
        <v>0</v>
      </c>
      <c r="BV472" s="49">
        <f t="shared" si="71"/>
        <v>0</v>
      </c>
      <c r="BW472" s="49">
        <f t="shared" si="72"/>
        <v>0</v>
      </c>
    </row>
    <row r="473" spans="1:75" ht="35.1" customHeight="1" x14ac:dyDescent="0.3">
      <c r="A473" s="123" t="str">
        <f t="shared" si="477"/>
        <v>4팀</v>
      </c>
      <c r="B473" s="69">
        <f t="shared" si="478"/>
        <v>467</v>
      </c>
      <c r="C473" s="121" t="str">
        <f>IF(VLOOKUP($B473,'1. 현장별 인원현황'!$C:$J,2,0)=0,"",VLOOKUP($B473,'1. 현장별 인원현황'!$C:$J,2,0))</f>
        <v xml:space="preserve"> [4.롯데건설] 롯데바이오로직스 Project PROVIDENCE</v>
      </c>
      <c r="D473" s="74" t="str">
        <f>IF(VLOOKUP($B473,'1. 현장별 인원현황'!$C:$J,3,0)=0,"",VLOOKUP($B473,'1. 현장별 인원현황'!$C:$J,3,0))</f>
        <v>김정훈</v>
      </c>
      <c r="E473" s="74" t="str">
        <f ca="1">IF(VLOOKUP($B473,'1. 현장별 인원현황'!$C:$J,4,0)=0,"",VLOOKUP($B473,'1. 현장별 인원현황'!$C:$J,4,0))</f>
        <v>55세</v>
      </c>
      <c r="F473" s="70" t="str">
        <f>IF(VLOOKUP($B473,'1. 현장별 인원현황'!$C:$J,7,0)=0,"",VLOOKUP($B473,'1. 현장별 인원현황'!$C:$J,7,0))</f>
        <v>기능공</v>
      </c>
      <c r="G473" s="72" t="str">
        <f>IF(VLOOKUP($B473,'1. 현장별 인원현황'!$C:$J,8,0)=0,"",VLOOKUP($B473,'1. 현장별 인원현황'!$C:$J,8,0))</f>
        <v>전공</v>
      </c>
      <c r="H473" s="67" t="s">
        <v>69</v>
      </c>
      <c r="I473" s="73"/>
      <c r="J473" s="73"/>
      <c r="K473" s="68"/>
      <c r="L473" s="67"/>
      <c r="M473" s="73"/>
      <c r="N473" s="73" t="s">
        <v>69</v>
      </c>
      <c r="O473" s="68"/>
      <c r="P473" s="67" t="s">
        <v>69</v>
      </c>
      <c r="Q473" s="73"/>
      <c r="R473" s="73"/>
      <c r="S473" s="68"/>
      <c r="T473" s="67"/>
      <c r="U473" s="73" t="s">
        <v>69</v>
      </c>
      <c r="V473" s="73"/>
      <c r="W473" s="68"/>
      <c r="X473" s="67" t="s">
        <v>69</v>
      </c>
      <c r="Y473" s="73"/>
      <c r="Z473" s="73"/>
      <c r="AA473" s="68"/>
      <c r="AB473" s="67" t="s">
        <v>69</v>
      </c>
      <c r="AC473" s="73"/>
      <c r="AD473" s="73"/>
      <c r="AE473" s="68"/>
      <c r="AF473" s="67" t="s">
        <v>69</v>
      </c>
      <c r="AG473" s="73"/>
      <c r="AH473" s="73"/>
      <c r="AI473" s="68"/>
      <c r="AJ473" s="67" t="s">
        <v>69</v>
      </c>
      <c r="AK473" s="73"/>
      <c r="AL473" s="73"/>
      <c r="AM473" s="68"/>
      <c r="AN473" s="67">
        <f t="shared" si="479"/>
        <v>88</v>
      </c>
      <c r="AO473" s="68" t="str">
        <f t="shared" si="480"/>
        <v>S</v>
      </c>
      <c r="AR473" s="49">
        <f t="shared" si="41"/>
        <v>1</v>
      </c>
      <c r="AS473" s="49">
        <f t="shared" si="42"/>
        <v>0</v>
      </c>
      <c r="AT473" s="49">
        <f t="shared" si="43"/>
        <v>0</v>
      </c>
      <c r="AU473" s="49">
        <f t="shared" si="44"/>
        <v>0</v>
      </c>
      <c r="AV473" s="49">
        <f t="shared" si="45"/>
        <v>0</v>
      </c>
      <c r="AW473" s="49">
        <f t="shared" si="46"/>
        <v>0</v>
      </c>
      <c r="AX473" s="49">
        <f t="shared" si="47"/>
        <v>1</v>
      </c>
      <c r="AY473" s="49">
        <f t="shared" si="48"/>
        <v>0</v>
      </c>
      <c r="AZ473" s="49">
        <f t="shared" si="49"/>
        <v>1</v>
      </c>
      <c r="BA473" s="49">
        <f t="shared" si="50"/>
        <v>0</v>
      </c>
      <c r="BB473" s="49">
        <f t="shared" si="51"/>
        <v>0</v>
      </c>
      <c r="BC473" s="49">
        <f t="shared" si="52"/>
        <v>0</v>
      </c>
      <c r="BD473" s="49">
        <f t="shared" si="53"/>
        <v>0</v>
      </c>
      <c r="BE473" s="49">
        <f t="shared" si="54"/>
        <v>1</v>
      </c>
      <c r="BF473" s="49">
        <f t="shared" si="55"/>
        <v>0</v>
      </c>
      <c r="BG473" s="49">
        <f t="shared" si="56"/>
        <v>0</v>
      </c>
      <c r="BH473" s="49">
        <f t="shared" si="57"/>
        <v>1</v>
      </c>
      <c r="BI473" s="49">
        <f t="shared" si="58"/>
        <v>0</v>
      </c>
      <c r="BJ473" s="49">
        <f t="shared" si="59"/>
        <v>0</v>
      </c>
      <c r="BK473" s="49">
        <f t="shared" si="60"/>
        <v>0</v>
      </c>
      <c r="BL473" s="49">
        <f t="shared" si="61"/>
        <v>1</v>
      </c>
      <c r="BM473" s="49">
        <f t="shared" si="62"/>
        <v>0</v>
      </c>
      <c r="BN473" s="49">
        <f t="shared" si="63"/>
        <v>0</v>
      </c>
      <c r="BO473" s="49">
        <f t="shared" si="64"/>
        <v>0</v>
      </c>
      <c r="BP473" s="49">
        <f t="shared" si="65"/>
        <v>1</v>
      </c>
      <c r="BQ473" s="49">
        <f t="shared" si="66"/>
        <v>0</v>
      </c>
      <c r="BR473" s="49">
        <f t="shared" si="67"/>
        <v>0</v>
      </c>
      <c r="BS473" s="49">
        <f t="shared" si="68"/>
        <v>0</v>
      </c>
      <c r="BT473" s="49">
        <f t="shared" si="69"/>
        <v>1</v>
      </c>
      <c r="BU473" s="49">
        <f t="shared" si="70"/>
        <v>0</v>
      </c>
      <c r="BV473" s="49">
        <f t="shared" si="71"/>
        <v>0</v>
      </c>
      <c r="BW473" s="49">
        <f t="shared" si="72"/>
        <v>0</v>
      </c>
    </row>
    <row r="474" spans="1:75" ht="35.1" customHeight="1" x14ac:dyDescent="0.3">
      <c r="A474" s="123" t="str">
        <f t="shared" si="477"/>
        <v>4팀</v>
      </c>
      <c r="B474" s="69">
        <f t="shared" si="478"/>
        <v>468</v>
      </c>
      <c r="C474" s="121" t="str">
        <f>IF(VLOOKUP($B474,'1. 현장별 인원현황'!$C:$J,2,0)=0,"",VLOOKUP($B474,'1. 현장별 인원현황'!$C:$J,2,0))</f>
        <v xml:space="preserve"> [4.롯데건설] 롯데바이오로직스 Project PROVIDENCE</v>
      </c>
      <c r="D474" s="74" t="str">
        <f>IF(VLOOKUP($B474,'1. 현장별 인원현황'!$C:$J,3,0)=0,"",VLOOKUP($B474,'1. 현장별 인원현황'!$C:$J,3,0))</f>
        <v>김지우</v>
      </c>
      <c r="E474" s="74" t="str">
        <f ca="1">IF(VLOOKUP($B474,'1. 현장별 인원현황'!$C:$J,4,0)=0,"",VLOOKUP($B474,'1. 현장별 인원현황'!$C:$J,4,0))</f>
        <v>26세</v>
      </c>
      <c r="F474" s="70" t="str">
        <f>IF(VLOOKUP($B474,'1. 현장별 인원현황'!$C:$J,7,0)=0,"",VLOOKUP($B474,'1. 현장별 인원현황'!$C:$J,7,0))</f>
        <v>기능공</v>
      </c>
      <c r="G474" s="72" t="str">
        <f>IF(VLOOKUP($B474,'1. 현장별 인원현황'!$C:$J,8,0)=0,"",VLOOKUP($B474,'1. 현장별 인원현황'!$C:$J,8,0))</f>
        <v>전공</v>
      </c>
      <c r="H474" s="67" t="s">
        <v>69</v>
      </c>
      <c r="I474" s="73"/>
      <c r="J474" s="73"/>
      <c r="K474" s="68"/>
      <c r="L474" s="67"/>
      <c r="M474" s="73"/>
      <c r="N474" s="73" t="s">
        <v>69</v>
      </c>
      <c r="O474" s="68"/>
      <c r="P474" s="67" t="s">
        <v>69</v>
      </c>
      <c r="Q474" s="73"/>
      <c r="R474" s="73"/>
      <c r="S474" s="68"/>
      <c r="T474" s="67"/>
      <c r="U474" s="73" t="s">
        <v>69</v>
      </c>
      <c r="V474" s="73"/>
      <c r="W474" s="68"/>
      <c r="X474" s="67" t="s">
        <v>69</v>
      </c>
      <c r="Y474" s="73"/>
      <c r="Z474" s="73"/>
      <c r="AA474" s="68"/>
      <c r="AB474" s="67" t="s">
        <v>69</v>
      </c>
      <c r="AC474" s="73"/>
      <c r="AD474" s="73"/>
      <c r="AE474" s="68"/>
      <c r="AF474" s="67" t="s">
        <v>69</v>
      </c>
      <c r="AG474" s="73"/>
      <c r="AH474" s="73"/>
      <c r="AI474" s="68"/>
      <c r="AJ474" s="67" t="s">
        <v>69</v>
      </c>
      <c r="AK474" s="73"/>
      <c r="AL474" s="73"/>
      <c r="AM474" s="68"/>
      <c r="AN474" s="67">
        <f t="shared" si="479"/>
        <v>88</v>
      </c>
      <c r="AO474" s="68" t="str">
        <f t="shared" si="480"/>
        <v>S</v>
      </c>
      <c r="AR474" s="49">
        <f t="shared" si="41"/>
        <v>1</v>
      </c>
      <c r="AS474" s="49">
        <f t="shared" si="42"/>
        <v>0</v>
      </c>
      <c r="AT474" s="49">
        <f t="shared" si="43"/>
        <v>0</v>
      </c>
      <c r="AU474" s="49">
        <f t="shared" si="44"/>
        <v>0</v>
      </c>
      <c r="AV474" s="49">
        <f t="shared" si="45"/>
        <v>0</v>
      </c>
      <c r="AW474" s="49">
        <f t="shared" si="46"/>
        <v>0</v>
      </c>
      <c r="AX474" s="49">
        <f t="shared" si="47"/>
        <v>1</v>
      </c>
      <c r="AY474" s="49">
        <f t="shared" si="48"/>
        <v>0</v>
      </c>
      <c r="AZ474" s="49">
        <f t="shared" si="49"/>
        <v>1</v>
      </c>
      <c r="BA474" s="49">
        <f t="shared" si="50"/>
        <v>0</v>
      </c>
      <c r="BB474" s="49">
        <f t="shared" si="51"/>
        <v>0</v>
      </c>
      <c r="BC474" s="49">
        <f t="shared" si="52"/>
        <v>0</v>
      </c>
      <c r="BD474" s="49">
        <f t="shared" si="53"/>
        <v>0</v>
      </c>
      <c r="BE474" s="49">
        <f t="shared" si="54"/>
        <v>1</v>
      </c>
      <c r="BF474" s="49">
        <f t="shared" si="55"/>
        <v>0</v>
      </c>
      <c r="BG474" s="49">
        <f t="shared" si="56"/>
        <v>0</v>
      </c>
      <c r="BH474" s="49">
        <f t="shared" si="57"/>
        <v>1</v>
      </c>
      <c r="BI474" s="49">
        <f t="shared" si="58"/>
        <v>0</v>
      </c>
      <c r="BJ474" s="49">
        <f t="shared" si="59"/>
        <v>0</v>
      </c>
      <c r="BK474" s="49">
        <f t="shared" si="60"/>
        <v>0</v>
      </c>
      <c r="BL474" s="49">
        <f t="shared" si="61"/>
        <v>1</v>
      </c>
      <c r="BM474" s="49">
        <f t="shared" si="62"/>
        <v>0</v>
      </c>
      <c r="BN474" s="49">
        <f t="shared" si="63"/>
        <v>0</v>
      </c>
      <c r="BO474" s="49">
        <f t="shared" si="64"/>
        <v>0</v>
      </c>
      <c r="BP474" s="49">
        <f t="shared" si="65"/>
        <v>1</v>
      </c>
      <c r="BQ474" s="49">
        <f t="shared" si="66"/>
        <v>0</v>
      </c>
      <c r="BR474" s="49">
        <f t="shared" si="67"/>
        <v>0</v>
      </c>
      <c r="BS474" s="49">
        <f t="shared" si="68"/>
        <v>0</v>
      </c>
      <c r="BT474" s="49">
        <f t="shared" si="69"/>
        <v>1</v>
      </c>
      <c r="BU474" s="49">
        <f t="shared" si="70"/>
        <v>0</v>
      </c>
      <c r="BV474" s="49">
        <f t="shared" si="71"/>
        <v>0</v>
      </c>
      <c r="BW474" s="49">
        <f t="shared" si="72"/>
        <v>0</v>
      </c>
    </row>
    <row r="475" spans="1:75" ht="35.1" customHeight="1" x14ac:dyDescent="0.3">
      <c r="A475" s="123" t="str">
        <f t="shared" si="477"/>
        <v>4팀</v>
      </c>
      <c r="B475" s="69">
        <f t="shared" si="478"/>
        <v>469</v>
      </c>
      <c r="C475" s="121" t="str">
        <f>IF(VLOOKUP($B475,'1. 현장별 인원현황'!$C:$J,2,0)=0,"",VLOOKUP($B475,'1. 현장별 인원현황'!$C:$J,2,0))</f>
        <v xml:space="preserve"> [4.롯데건설] 롯데바이오로직스 Project PROVIDENCE</v>
      </c>
      <c r="D475" s="74" t="str">
        <f>IF(VLOOKUP($B475,'1. 현장별 인원현황'!$C:$J,3,0)=0,"",VLOOKUP($B475,'1. 현장별 인원현황'!$C:$J,3,0))</f>
        <v>박예하</v>
      </c>
      <c r="E475" s="74" t="str">
        <f ca="1">IF(VLOOKUP($B475,'1. 현장별 인원현황'!$C:$J,4,0)=0,"",VLOOKUP($B475,'1. 현장별 인원현황'!$C:$J,4,0))</f>
        <v>57세</v>
      </c>
      <c r="F475" s="70" t="str">
        <f>IF(VLOOKUP($B475,'1. 현장별 인원현황'!$C:$J,7,0)=0,"",VLOOKUP($B475,'1. 현장별 인원현황'!$C:$J,7,0))</f>
        <v>기능공</v>
      </c>
      <c r="G475" s="72" t="str">
        <f>IF(VLOOKUP($B475,'1. 현장별 인원현황'!$C:$J,8,0)=0,"",VLOOKUP($B475,'1. 현장별 인원현황'!$C:$J,8,0))</f>
        <v>전공</v>
      </c>
      <c r="H475" s="67" t="s">
        <v>69</v>
      </c>
      <c r="I475" s="73"/>
      <c r="J475" s="73"/>
      <c r="K475" s="68"/>
      <c r="L475" s="67"/>
      <c r="M475" s="73"/>
      <c r="N475" s="73" t="s">
        <v>69</v>
      </c>
      <c r="O475" s="68"/>
      <c r="P475" s="67" t="s">
        <v>69</v>
      </c>
      <c r="Q475" s="73"/>
      <c r="R475" s="73"/>
      <c r="S475" s="68"/>
      <c r="T475" s="67"/>
      <c r="U475" s="73" t="s">
        <v>69</v>
      </c>
      <c r="V475" s="73"/>
      <c r="W475" s="68"/>
      <c r="X475" s="67" t="s">
        <v>69</v>
      </c>
      <c r="Y475" s="73"/>
      <c r="Z475" s="73"/>
      <c r="AA475" s="68"/>
      <c r="AB475" s="67" t="s">
        <v>69</v>
      </c>
      <c r="AC475" s="73"/>
      <c r="AD475" s="73"/>
      <c r="AE475" s="68"/>
      <c r="AF475" s="67" t="s">
        <v>69</v>
      </c>
      <c r="AG475" s="73"/>
      <c r="AH475" s="73"/>
      <c r="AI475" s="68"/>
      <c r="AJ475" s="67" t="s">
        <v>69</v>
      </c>
      <c r="AK475" s="73"/>
      <c r="AL475" s="73"/>
      <c r="AM475" s="68"/>
      <c r="AN475" s="67">
        <f t="shared" si="479"/>
        <v>88</v>
      </c>
      <c r="AO475" s="68" t="str">
        <f t="shared" si="480"/>
        <v>S</v>
      </c>
      <c r="AR475" s="49">
        <f t="shared" si="41"/>
        <v>1</v>
      </c>
      <c r="AS475" s="49">
        <f t="shared" si="42"/>
        <v>0</v>
      </c>
      <c r="AT475" s="49">
        <f t="shared" si="43"/>
        <v>0</v>
      </c>
      <c r="AU475" s="49">
        <f t="shared" si="44"/>
        <v>0</v>
      </c>
      <c r="AV475" s="49">
        <f t="shared" si="45"/>
        <v>0</v>
      </c>
      <c r="AW475" s="49">
        <f t="shared" si="46"/>
        <v>0</v>
      </c>
      <c r="AX475" s="49">
        <f t="shared" si="47"/>
        <v>1</v>
      </c>
      <c r="AY475" s="49">
        <f t="shared" si="48"/>
        <v>0</v>
      </c>
      <c r="AZ475" s="49">
        <f t="shared" si="49"/>
        <v>1</v>
      </c>
      <c r="BA475" s="49">
        <f t="shared" si="50"/>
        <v>0</v>
      </c>
      <c r="BB475" s="49">
        <f t="shared" si="51"/>
        <v>0</v>
      </c>
      <c r="BC475" s="49">
        <f t="shared" si="52"/>
        <v>0</v>
      </c>
      <c r="BD475" s="49">
        <f t="shared" si="53"/>
        <v>0</v>
      </c>
      <c r="BE475" s="49">
        <f t="shared" si="54"/>
        <v>1</v>
      </c>
      <c r="BF475" s="49">
        <f t="shared" si="55"/>
        <v>0</v>
      </c>
      <c r="BG475" s="49">
        <f t="shared" si="56"/>
        <v>0</v>
      </c>
      <c r="BH475" s="49">
        <f t="shared" si="57"/>
        <v>1</v>
      </c>
      <c r="BI475" s="49">
        <f t="shared" si="58"/>
        <v>0</v>
      </c>
      <c r="BJ475" s="49">
        <f t="shared" si="59"/>
        <v>0</v>
      </c>
      <c r="BK475" s="49">
        <f t="shared" si="60"/>
        <v>0</v>
      </c>
      <c r="BL475" s="49">
        <f t="shared" si="61"/>
        <v>1</v>
      </c>
      <c r="BM475" s="49">
        <f t="shared" si="62"/>
        <v>0</v>
      </c>
      <c r="BN475" s="49">
        <f t="shared" si="63"/>
        <v>0</v>
      </c>
      <c r="BO475" s="49">
        <f t="shared" si="64"/>
        <v>0</v>
      </c>
      <c r="BP475" s="49">
        <f t="shared" si="65"/>
        <v>1</v>
      </c>
      <c r="BQ475" s="49">
        <f t="shared" si="66"/>
        <v>0</v>
      </c>
      <c r="BR475" s="49">
        <f t="shared" si="67"/>
        <v>0</v>
      </c>
      <c r="BS475" s="49">
        <f t="shared" si="68"/>
        <v>0</v>
      </c>
      <c r="BT475" s="49">
        <f t="shared" si="69"/>
        <v>1</v>
      </c>
      <c r="BU475" s="49">
        <f t="shared" si="70"/>
        <v>0</v>
      </c>
      <c r="BV475" s="49">
        <f t="shared" si="71"/>
        <v>0</v>
      </c>
      <c r="BW475" s="49">
        <f t="shared" si="72"/>
        <v>0</v>
      </c>
    </row>
    <row r="476" spans="1:75" ht="35.1" customHeight="1" x14ac:dyDescent="0.3">
      <c r="A476" s="123" t="str">
        <f t="shared" si="477"/>
        <v>4팀</v>
      </c>
      <c r="B476" s="69">
        <f t="shared" si="478"/>
        <v>470</v>
      </c>
      <c r="C476" s="121" t="str">
        <f>IF(VLOOKUP($B476,'1. 현장별 인원현황'!$C:$J,2,0)=0,"",VLOOKUP($B476,'1. 현장별 인원현황'!$C:$J,2,0))</f>
        <v xml:space="preserve"> [4.롯데건설] 롯데바이오로직스 Project PROVIDENCE</v>
      </c>
      <c r="D476" s="74" t="str">
        <f>IF(VLOOKUP($B476,'1. 현장별 인원현황'!$C:$J,3,0)=0,"",VLOOKUP($B476,'1. 현장별 인원현황'!$C:$J,3,0))</f>
        <v>성민호</v>
      </c>
      <c r="E476" s="74" t="str">
        <f ca="1">IF(VLOOKUP($B476,'1. 현장별 인원현황'!$C:$J,4,0)=0,"",VLOOKUP($B476,'1. 현장별 인원현황'!$C:$J,4,0))</f>
        <v>44세</v>
      </c>
      <c r="F476" s="70" t="str">
        <f>IF(VLOOKUP($B476,'1. 현장별 인원현황'!$C:$J,7,0)=0,"",VLOOKUP($B476,'1. 현장별 인원현황'!$C:$J,7,0))</f>
        <v>기능공</v>
      </c>
      <c r="G476" s="72" t="str">
        <f>IF(VLOOKUP($B476,'1. 현장별 인원현황'!$C:$J,8,0)=0,"",VLOOKUP($B476,'1. 현장별 인원현황'!$C:$J,8,0))</f>
        <v>전공</v>
      </c>
      <c r="H476" s="67" t="s">
        <v>69</v>
      </c>
      <c r="I476" s="73"/>
      <c r="J476" s="73"/>
      <c r="K476" s="68"/>
      <c r="L476" s="67"/>
      <c r="M476" s="73"/>
      <c r="N476" s="73" t="s">
        <v>69</v>
      </c>
      <c r="O476" s="68"/>
      <c r="P476" s="67" t="s">
        <v>69</v>
      </c>
      <c r="Q476" s="73"/>
      <c r="R476" s="73"/>
      <c r="S476" s="68"/>
      <c r="T476" s="67"/>
      <c r="U476" s="73" t="s">
        <v>69</v>
      </c>
      <c r="V476" s="73"/>
      <c r="W476" s="68"/>
      <c r="X476" s="67" t="s">
        <v>69</v>
      </c>
      <c r="Y476" s="73"/>
      <c r="Z476" s="73"/>
      <c r="AA476" s="68"/>
      <c r="AB476" s="67" t="s">
        <v>69</v>
      </c>
      <c r="AC476" s="73"/>
      <c r="AD476" s="73"/>
      <c r="AE476" s="68"/>
      <c r="AF476" s="67" t="s">
        <v>69</v>
      </c>
      <c r="AG476" s="73"/>
      <c r="AH476" s="73"/>
      <c r="AI476" s="68"/>
      <c r="AJ476" s="67" t="s">
        <v>69</v>
      </c>
      <c r="AK476" s="73"/>
      <c r="AL476" s="73"/>
      <c r="AM476" s="68"/>
      <c r="AN476" s="67">
        <f t="shared" si="479"/>
        <v>88</v>
      </c>
      <c r="AO476" s="68" t="str">
        <f t="shared" si="480"/>
        <v>S</v>
      </c>
      <c r="AR476" s="49">
        <f t="shared" si="41"/>
        <v>1</v>
      </c>
      <c r="AS476" s="49">
        <f t="shared" si="42"/>
        <v>0</v>
      </c>
      <c r="AT476" s="49">
        <f t="shared" si="43"/>
        <v>0</v>
      </c>
      <c r="AU476" s="49">
        <f t="shared" si="44"/>
        <v>0</v>
      </c>
      <c r="AV476" s="49">
        <f t="shared" si="45"/>
        <v>0</v>
      </c>
      <c r="AW476" s="49">
        <f t="shared" si="46"/>
        <v>0</v>
      </c>
      <c r="AX476" s="49">
        <f t="shared" si="47"/>
        <v>1</v>
      </c>
      <c r="AY476" s="49">
        <f t="shared" si="48"/>
        <v>0</v>
      </c>
      <c r="AZ476" s="49">
        <f t="shared" si="49"/>
        <v>1</v>
      </c>
      <c r="BA476" s="49">
        <f t="shared" si="50"/>
        <v>0</v>
      </c>
      <c r="BB476" s="49">
        <f t="shared" si="51"/>
        <v>0</v>
      </c>
      <c r="BC476" s="49">
        <f t="shared" si="52"/>
        <v>0</v>
      </c>
      <c r="BD476" s="49">
        <f t="shared" si="53"/>
        <v>0</v>
      </c>
      <c r="BE476" s="49">
        <f t="shared" si="54"/>
        <v>1</v>
      </c>
      <c r="BF476" s="49">
        <f t="shared" si="55"/>
        <v>0</v>
      </c>
      <c r="BG476" s="49">
        <f t="shared" si="56"/>
        <v>0</v>
      </c>
      <c r="BH476" s="49">
        <f t="shared" si="57"/>
        <v>1</v>
      </c>
      <c r="BI476" s="49">
        <f t="shared" si="58"/>
        <v>0</v>
      </c>
      <c r="BJ476" s="49">
        <f t="shared" si="59"/>
        <v>0</v>
      </c>
      <c r="BK476" s="49">
        <f t="shared" si="60"/>
        <v>0</v>
      </c>
      <c r="BL476" s="49">
        <f t="shared" si="61"/>
        <v>1</v>
      </c>
      <c r="BM476" s="49">
        <f t="shared" si="62"/>
        <v>0</v>
      </c>
      <c r="BN476" s="49">
        <f t="shared" si="63"/>
        <v>0</v>
      </c>
      <c r="BO476" s="49">
        <f t="shared" si="64"/>
        <v>0</v>
      </c>
      <c r="BP476" s="49">
        <f t="shared" si="65"/>
        <v>1</v>
      </c>
      <c r="BQ476" s="49">
        <f t="shared" si="66"/>
        <v>0</v>
      </c>
      <c r="BR476" s="49">
        <f t="shared" si="67"/>
        <v>0</v>
      </c>
      <c r="BS476" s="49">
        <f t="shared" si="68"/>
        <v>0</v>
      </c>
      <c r="BT476" s="49">
        <f t="shared" si="69"/>
        <v>1</v>
      </c>
      <c r="BU476" s="49">
        <f t="shared" si="70"/>
        <v>0</v>
      </c>
      <c r="BV476" s="49">
        <f t="shared" si="71"/>
        <v>0</v>
      </c>
      <c r="BW476" s="49">
        <f t="shared" si="72"/>
        <v>0</v>
      </c>
    </row>
    <row r="477" spans="1:75" ht="35.1" customHeight="1" x14ac:dyDescent="0.3">
      <c r="A477" s="123" t="str">
        <f t="shared" si="477"/>
        <v>4팀</v>
      </c>
      <c r="B477" s="69">
        <f t="shared" si="478"/>
        <v>471</v>
      </c>
      <c r="C477" s="121" t="str">
        <f>IF(VLOOKUP($B477,'1. 현장별 인원현황'!$C:$J,2,0)=0,"",VLOOKUP($B477,'1. 현장별 인원현황'!$C:$J,2,0))</f>
        <v xml:space="preserve"> [4.롯데건설] 롯데바이오로직스 Project PROVIDENCE</v>
      </c>
      <c r="D477" s="74" t="str">
        <f>IF(VLOOKUP($B477,'1. 현장별 인원현황'!$C:$J,3,0)=0,"",VLOOKUP($B477,'1. 현장별 인원현황'!$C:$J,3,0))</f>
        <v>안상영</v>
      </c>
      <c r="E477" s="74" t="str">
        <f ca="1">IF(VLOOKUP($B477,'1. 현장별 인원현황'!$C:$J,4,0)=0,"",VLOOKUP($B477,'1. 현장별 인원현황'!$C:$J,4,0))</f>
        <v>29세</v>
      </c>
      <c r="F477" s="70" t="str">
        <f>IF(VLOOKUP($B477,'1. 현장별 인원현황'!$C:$J,7,0)=0,"",VLOOKUP($B477,'1. 현장별 인원현황'!$C:$J,7,0))</f>
        <v>기능공</v>
      </c>
      <c r="G477" s="72" t="str">
        <f>IF(VLOOKUP($B477,'1. 현장별 인원현황'!$C:$J,8,0)=0,"",VLOOKUP($B477,'1. 현장별 인원현황'!$C:$J,8,0))</f>
        <v>전공</v>
      </c>
      <c r="H477" s="67" t="s">
        <v>69</v>
      </c>
      <c r="I477" s="73"/>
      <c r="J477" s="73"/>
      <c r="K477" s="68"/>
      <c r="L477" s="67"/>
      <c r="M477" s="73"/>
      <c r="N477" s="73" t="s">
        <v>69</v>
      </c>
      <c r="O477" s="68"/>
      <c r="P477" s="67" t="s">
        <v>69</v>
      </c>
      <c r="Q477" s="73"/>
      <c r="R477" s="73"/>
      <c r="S477" s="68"/>
      <c r="T477" s="67"/>
      <c r="U477" s="73" t="s">
        <v>69</v>
      </c>
      <c r="V477" s="73"/>
      <c r="W477" s="68"/>
      <c r="X477" s="67" t="s">
        <v>69</v>
      </c>
      <c r="Y477" s="73"/>
      <c r="Z477" s="73"/>
      <c r="AA477" s="68"/>
      <c r="AB477" s="67" t="s">
        <v>69</v>
      </c>
      <c r="AC477" s="73"/>
      <c r="AD477" s="73"/>
      <c r="AE477" s="68"/>
      <c r="AF477" s="67" t="s">
        <v>69</v>
      </c>
      <c r="AG477" s="73"/>
      <c r="AH477" s="73"/>
      <c r="AI477" s="68"/>
      <c r="AJ477" s="67" t="s">
        <v>69</v>
      </c>
      <c r="AK477" s="73"/>
      <c r="AL477" s="73"/>
      <c r="AM477" s="68"/>
      <c r="AN477" s="67">
        <f t="shared" si="479"/>
        <v>88</v>
      </c>
      <c r="AO477" s="68" t="str">
        <f t="shared" si="480"/>
        <v>S</v>
      </c>
      <c r="AR477" s="49">
        <f t="shared" si="41"/>
        <v>1</v>
      </c>
      <c r="AS477" s="49">
        <f t="shared" si="42"/>
        <v>0</v>
      </c>
      <c r="AT477" s="49">
        <f t="shared" si="43"/>
        <v>0</v>
      </c>
      <c r="AU477" s="49">
        <f t="shared" si="44"/>
        <v>0</v>
      </c>
      <c r="AV477" s="49">
        <f t="shared" si="45"/>
        <v>0</v>
      </c>
      <c r="AW477" s="49">
        <f t="shared" si="46"/>
        <v>0</v>
      </c>
      <c r="AX477" s="49">
        <f t="shared" si="47"/>
        <v>1</v>
      </c>
      <c r="AY477" s="49">
        <f t="shared" si="48"/>
        <v>0</v>
      </c>
      <c r="AZ477" s="49">
        <f t="shared" si="49"/>
        <v>1</v>
      </c>
      <c r="BA477" s="49">
        <f t="shared" si="50"/>
        <v>0</v>
      </c>
      <c r="BB477" s="49">
        <f t="shared" si="51"/>
        <v>0</v>
      </c>
      <c r="BC477" s="49">
        <f t="shared" si="52"/>
        <v>0</v>
      </c>
      <c r="BD477" s="49">
        <f t="shared" si="53"/>
        <v>0</v>
      </c>
      <c r="BE477" s="49">
        <f t="shared" si="54"/>
        <v>1</v>
      </c>
      <c r="BF477" s="49">
        <f t="shared" si="55"/>
        <v>0</v>
      </c>
      <c r="BG477" s="49">
        <f t="shared" si="56"/>
        <v>0</v>
      </c>
      <c r="BH477" s="49">
        <f t="shared" si="57"/>
        <v>1</v>
      </c>
      <c r="BI477" s="49">
        <f t="shared" si="58"/>
        <v>0</v>
      </c>
      <c r="BJ477" s="49">
        <f t="shared" si="59"/>
        <v>0</v>
      </c>
      <c r="BK477" s="49">
        <f t="shared" si="60"/>
        <v>0</v>
      </c>
      <c r="BL477" s="49">
        <f t="shared" si="61"/>
        <v>1</v>
      </c>
      <c r="BM477" s="49">
        <f t="shared" si="62"/>
        <v>0</v>
      </c>
      <c r="BN477" s="49">
        <f t="shared" si="63"/>
        <v>0</v>
      </c>
      <c r="BO477" s="49">
        <f t="shared" si="64"/>
        <v>0</v>
      </c>
      <c r="BP477" s="49">
        <f t="shared" si="65"/>
        <v>1</v>
      </c>
      <c r="BQ477" s="49">
        <f t="shared" si="66"/>
        <v>0</v>
      </c>
      <c r="BR477" s="49">
        <f t="shared" si="67"/>
        <v>0</v>
      </c>
      <c r="BS477" s="49">
        <f t="shared" si="68"/>
        <v>0</v>
      </c>
      <c r="BT477" s="49">
        <f t="shared" si="69"/>
        <v>1</v>
      </c>
      <c r="BU477" s="49">
        <f t="shared" si="70"/>
        <v>0</v>
      </c>
      <c r="BV477" s="49">
        <f t="shared" si="71"/>
        <v>0</v>
      </c>
      <c r="BW477" s="49">
        <f t="shared" si="72"/>
        <v>0</v>
      </c>
    </row>
    <row r="478" spans="1:75" ht="35.1" customHeight="1" x14ac:dyDescent="0.3">
      <c r="A478" s="123" t="str">
        <f t="shared" si="477"/>
        <v>4팀</v>
      </c>
      <c r="B478" s="69">
        <f t="shared" si="478"/>
        <v>472</v>
      </c>
      <c r="C478" s="121" t="str">
        <f>IF(VLOOKUP($B478,'1. 현장별 인원현황'!$C:$J,2,0)=0,"",VLOOKUP($B478,'1. 현장별 인원현황'!$C:$J,2,0))</f>
        <v xml:space="preserve"> [4.롯데건설] 롯데바이오로직스 Project PROVIDENCE</v>
      </c>
      <c r="D478" s="74" t="str">
        <f>IF(VLOOKUP($B478,'1. 현장별 인원현황'!$C:$J,3,0)=0,"",VLOOKUP($B478,'1. 현장별 인원현황'!$C:$J,3,0))</f>
        <v>양재훈</v>
      </c>
      <c r="E478" s="74" t="str">
        <f ca="1">IF(VLOOKUP($B478,'1. 현장별 인원현황'!$C:$J,4,0)=0,"",VLOOKUP($B478,'1. 현장별 인원현황'!$C:$J,4,0))</f>
        <v>29세</v>
      </c>
      <c r="F478" s="70" t="str">
        <f>IF(VLOOKUP($B478,'1. 현장별 인원현황'!$C:$J,7,0)=0,"",VLOOKUP($B478,'1. 현장별 인원현황'!$C:$J,7,0))</f>
        <v>기능공</v>
      </c>
      <c r="G478" s="72" t="str">
        <f>IF(VLOOKUP($B478,'1. 현장별 인원현황'!$C:$J,8,0)=0,"",VLOOKUP($B478,'1. 현장별 인원현황'!$C:$J,8,0))</f>
        <v>전공</v>
      </c>
      <c r="H478" s="67" t="s">
        <v>69</v>
      </c>
      <c r="I478" s="73"/>
      <c r="J478" s="73"/>
      <c r="K478" s="68"/>
      <c r="L478" s="67"/>
      <c r="M478" s="73"/>
      <c r="N478" s="73" t="s">
        <v>69</v>
      </c>
      <c r="O478" s="68"/>
      <c r="P478" s="67" t="s">
        <v>69</v>
      </c>
      <c r="Q478" s="73"/>
      <c r="R478" s="73"/>
      <c r="S478" s="68"/>
      <c r="T478" s="67"/>
      <c r="U478" s="73" t="s">
        <v>69</v>
      </c>
      <c r="V478" s="73"/>
      <c r="W478" s="68"/>
      <c r="X478" s="67" t="s">
        <v>69</v>
      </c>
      <c r="Y478" s="73"/>
      <c r="Z478" s="73"/>
      <c r="AA478" s="68"/>
      <c r="AB478" s="67" t="s">
        <v>69</v>
      </c>
      <c r="AC478" s="73"/>
      <c r="AD478" s="73"/>
      <c r="AE478" s="68"/>
      <c r="AF478" s="67" t="s">
        <v>69</v>
      </c>
      <c r="AG478" s="73"/>
      <c r="AH478" s="73"/>
      <c r="AI478" s="68"/>
      <c r="AJ478" s="67" t="s">
        <v>69</v>
      </c>
      <c r="AK478" s="73"/>
      <c r="AL478" s="73"/>
      <c r="AM478" s="68"/>
      <c r="AN478" s="67">
        <f t="shared" si="479"/>
        <v>88</v>
      </c>
      <c r="AO478" s="68" t="str">
        <f t="shared" si="480"/>
        <v>S</v>
      </c>
      <c r="AR478" s="49">
        <f t="shared" si="41"/>
        <v>1</v>
      </c>
      <c r="AS478" s="49">
        <f t="shared" si="42"/>
        <v>0</v>
      </c>
      <c r="AT478" s="49">
        <f t="shared" si="43"/>
        <v>0</v>
      </c>
      <c r="AU478" s="49">
        <f t="shared" si="44"/>
        <v>0</v>
      </c>
      <c r="AV478" s="49">
        <f t="shared" si="45"/>
        <v>0</v>
      </c>
      <c r="AW478" s="49">
        <f t="shared" si="46"/>
        <v>0</v>
      </c>
      <c r="AX478" s="49">
        <f t="shared" si="47"/>
        <v>1</v>
      </c>
      <c r="AY478" s="49">
        <f t="shared" si="48"/>
        <v>0</v>
      </c>
      <c r="AZ478" s="49">
        <f t="shared" si="49"/>
        <v>1</v>
      </c>
      <c r="BA478" s="49">
        <f t="shared" si="50"/>
        <v>0</v>
      </c>
      <c r="BB478" s="49">
        <f t="shared" si="51"/>
        <v>0</v>
      </c>
      <c r="BC478" s="49">
        <f t="shared" si="52"/>
        <v>0</v>
      </c>
      <c r="BD478" s="49">
        <f t="shared" si="53"/>
        <v>0</v>
      </c>
      <c r="BE478" s="49">
        <f t="shared" si="54"/>
        <v>1</v>
      </c>
      <c r="BF478" s="49">
        <f t="shared" si="55"/>
        <v>0</v>
      </c>
      <c r="BG478" s="49">
        <f t="shared" si="56"/>
        <v>0</v>
      </c>
      <c r="BH478" s="49">
        <f t="shared" si="57"/>
        <v>1</v>
      </c>
      <c r="BI478" s="49">
        <f t="shared" si="58"/>
        <v>0</v>
      </c>
      <c r="BJ478" s="49">
        <f t="shared" si="59"/>
        <v>0</v>
      </c>
      <c r="BK478" s="49">
        <f t="shared" si="60"/>
        <v>0</v>
      </c>
      <c r="BL478" s="49">
        <f t="shared" si="61"/>
        <v>1</v>
      </c>
      <c r="BM478" s="49">
        <f t="shared" si="62"/>
        <v>0</v>
      </c>
      <c r="BN478" s="49">
        <f t="shared" si="63"/>
        <v>0</v>
      </c>
      <c r="BO478" s="49">
        <f t="shared" si="64"/>
        <v>0</v>
      </c>
      <c r="BP478" s="49">
        <f t="shared" si="65"/>
        <v>1</v>
      </c>
      <c r="BQ478" s="49">
        <f t="shared" si="66"/>
        <v>0</v>
      </c>
      <c r="BR478" s="49">
        <f t="shared" si="67"/>
        <v>0</v>
      </c>
      <c r="BS478" s="49">
        <f t="shared" si="68"/>
        <v>0</v>
      </c>
      <c r="BT478" s="49">
        <f t="shared" si="69"/>
        <v>1</v>
      </c>
      <c r="BU478" s="49">
        <f t="shared" si="70"/>
        <v>0</v>
      </c>
      <c r="BV478" s="49">
        <f t="shared" si="71"/>
        <v>0</v>
      </c>
      <c r="BW478" s="49">
        <f t="shared" si="72"/>
        <v>0</v>
      </c>
    </row>
    <row r="479" spans="1:75" ht="35.1" customHeight="1" x14ac:dyDescent="0.3">
      <c r="A479" s="123" t="str">
        <f t="shared" si="477"/>
        <v>4팀</v>
      </c>
      <c r="B479" s="69">
        <f t="shared" si="478"/>
        <v>473</v>
      </c>
      <c r="C479" s="121" t="str">
        <f>IF(VLOOKUP($B479,'1. 현장별 인원현황'!$C:$J,2,0)=0,"",VLOOKUP($B479,'1. 현장별 인원현황'!$C:$J,2,0))</f>
        <v xml:space="preserve"> [4.롯데건설] 롯데바이오로직스 Project PROVIDENCE</v>
      </c>
      <c r="D479" s="74" t="str">
        <f>IF(VLOOKUP($B479,'1. 현장별 인원현황'!$C:$J,3,0)=0,"",VLOOKUP($B479,'1. 현장별 인원현황'!$C:$J,3,0))</f>
        <v>이동현</v>
      </c>
      <c r="E479" s="74" t="str">
        <f ca="1">IF(VLOOKUP($B479,'1. 현장별 인원현황'!$C:$J,4,0)=0,"",VLOOKUP($B479,'1. 현장별 인원현황'!$C:$J,4,0))</f>
        <v>29세</v>
      </c>
      <c r="F479" s="70" t="str">
        <f>IF(VLOOKUP($B479,'1. 현장별 인원현황'!$C:$J,7,0)=0,"",VLOOKUP($B479,'1. 현장별 인원현황'!$C:$J,7,0))</f>
        <v>기능공</v>
      </c>
      <c r="G479" s="72" t="str">
        <f>IF(VLOOKUP($B479,'1. 현장별 인원현황'!$C:$J,8,0)=0,"",VLOOKUP($B479,'1. 현장별 인원현황'!$C:$J,8,0))</f>
        <v>전공</v>
      </c>
      <c r="H479" s="67" t="s">
        <v>69</v>
      </c>
      <c r="I479" s="73"/>
      <c r="J479" s="73"/>
      <c r="K479" s="68"/>
      <c r="L479" s="67"/>
      <c r="M479" s="73"/>
      <c r="N479" s="73" t="s">
        <v>69</v>
      </c>
      <c r="O479" s="68"/>
      <c r="P479" s="67" t="s">
        <v>69</v>
      </c>
      <c r="Q479" s="73"/>
      <c r="R479" s="73"/>
      <c r="S479" s="68"/>
      <c r="T479" s="67"/>
      <c r="U479" s="73" t="s">
        <v>69</v>
      </c>
      <c r="V479" s="73"/>
      <c r="W479" s="68"/>
      <c r="X479" s="67" t="s">
        <v>69</v>
      </c>
      <c r="Y479" s="73"/>
      <c r="Z479" s="73"/>
      <c r="AA479" s="68"/>
      <c r="AB479" s="67" t="s">
        <v>69</v>
      </c>
      <c r="AC479" s="73"/>
      <c r="AD479" s="73"/>
      <c r="AE479" s="68"/>
      <c r="AF479" s="67" t="s">
        <v>69</v>
      </c>
      <c r="AG479" s="73"/>
      <c r="AH479" s="73"/>
      <c r="AI479" s="68"/>
      <c r="AJ479" s="67" t="s">
        <v>69</v>
      </c>
      <c r="AK479" s="73"/>
      <c r="AL479" s="73"/>
      <c r="AM479" s="68"/>
      <c r="AN479" s="67">
        <f t="shared" si="479"/>
        <v>88</v>
      </c>
      <c r="AO479" s="68" t="str">
        <f t="shared" si="480"/>
        <v>S</v>
      </c>
      <c r="AR479" s="49">
        <f t="shared" si="41"/>
        <v>1</v>
      </c>
      <c r="AS479" s="49">
        <f t="shared" si="42"/>
        <v>0</v>
      </c>
      <c r="AT479" s="49">
        <f t="shared" si="43"/>
        <v>0</v>
      </c>
      <c r="AU479" s="49">
        <f t="shared" si="44"/>
        <v>0</v>
      </c>
      <c r="AV479" s="49">
        <f t="shared" si="45"/>
        <v>0</v>
      </c>
      <c r="AW479" s="49">
        <f t="shared" si="46"/>
        <v>0</v>
      </c>
      <c r="AX479" s="49">
        <f t="shared" si="47"/>
        <v>1</v>
      </c>
      <c r="AY479" s="49">
        <f t="shared" si="48"/>
        <v>0</v>
      </c>
      <c r="AZ479" s="49">
        <f t="shared" si="49"/>
        <v>1</v>
      </c>
      <c r="BA479" s="49">
        <f t="shared" si="50"/>
        <v>0</v>
      </c>
      <c r="BB479" s="49">
        <f t="shared" si="51"/>
        <v>0</v>
      </c>
      <c r="BC479" s="49">
        <f t="shared" si="52"/>
        <v>0</v>
      </c>
      <c r="BD479" s="49">
        <f t="shared" si="53"/>
        <v>0</v>
      </c>
      <c r="BE479" s="49">
        <f t="shared" si="54"/>
        <v>1</v>
      </c>
      <c r="BF479" s="49">
        <f t="shared" si="55"/>
        <v>0</v>
      </c>
      <c r="BG479" s="49">
        <f t="shared" si="56"/>
        <v>0</v>
      </c>
      <c r="BH479" s="49">
        <f t="shared" si="57"/>
        <v>1</v>
      </c>
      <c r="BI479" s="49">
        <f t="shared" si="58"/>
        <v>0</v>
      </c>
      <c r="BJ479" s="49">
        <f t="shared" si="59"/>
        <v>0</v>
      </c>
      <c r="BK479" s="49">
        <f t="shared" si="60"/>
        <v>0</v>
      </c>
      <c r="BL479" s="49">
        <f t="shared" si="61"/>
        <v>1</v>
      </c>
      <c r="BM479" s="49">
        <f t="shared" si="62"/>
        <v>0</v>
      </c>
      <c r="BN479" s="49">
        <f t="shared" si="63"/>
        <v>0</v>
      </c>
      <c r="BO479" s="49">
        <f t="shared" si="64"/>
        <v>0</v>
      </c>
      <c r="BP479" s="49">
        <f t="shared" si="65"/>
        <v>1</v>
      </c>
      <c r="BQ479" s="49">
        <f t="shared" si="66"/>
        <v>0</v>
      </c>
      <c r="BR479" s="49">
        <f t="shared" si="67"/>
        <v>0</v>
      </c>
      <c r="BS479" s="49">
        <f t="shared" si="68"/>
        <v>0</v>
      </c>
      <c r="BT479" s="49">
        <f t="shared" si="69"/>
        <v>1</v>
      </c>
      <c r="BU479" s="49">
        <f t="shared" si="70"/>
        <v>0</v>
      </c>
      <c r="BV479" s="49">
        <f t="shared" si="71"/>
        <v>0</v>
      </c>
      <c r="BW479" s="49">
        <f t="shared" si="72"/>
        <v>0</v>
      </c>
    </row>
    <row r="480" spans="1:75" ht="35.1" customHeight="1" x14ac:dyDescent="0.3">
      <c r="A480" s="123" t="str">
        <f t="shared" si="477"/>
        <v>4팀</v>
      </c>
      <c r="B480" s="69">
        <f t="shared" si="478"/>
        <v>474</v>
      </c>
      <c r="C480" s="121" t="str">
        <f>IF(VLOOKUP($B480,'1. 현장별 인원현황'!$C:$J,2,0)=0,"",VLOOKUP($B480,'1. 현장별 인원현황'!$C:$J,2,0))</f>
        <v xml:space="preserve"> [4.롯데건설] 롯데바이오로직스 Project PROVIDENCE</v>
      </c>
      <c r="D480" s="74" t="str">
        <f>IF(VLOOKUP($B480,'1. 현장별 인원현황'!$C:$J,3,0)=0,"",VLOOKUP($B480,'1. 현장별 인원현황'!$C:$J,3,0))</f>
        <v>조상현</v>
      </c>
      <c r="E480" s="74" t="str">
        <f ca="1">IF(VLOOKUP($B480,'1. 현장별 인원현황'!$C:$J,4,0)=0,"",VLOOKUP($B480,'1. 현장별 인원현황'!$C:$J,4,0))</f>
        <v>52세</v>
      </c>
      <c r="F480" s="70" t="str">
        <f>IF(VLOOKUP($B480,'1. 현장별 인원현황'!$C:$J,7,0)=0,"",VLOOKUP($B480,'1. 현장별 인원현황'!$C:$J,7,0))</f>
        <v>기능공</v>
      </c>
      <c r="G480" s="72" t="str">
        <f>IF(VLOOKUP($B480,'1. 현장별 인원현황'!$C:$J,8,0)=0,"",VLOOKUP($B480,'1. 현장별 인원현황'!$C:$J,8,0))</f>
        <v>전공</v>
      </c>
      <c r="H480" s="67" t="s">
        <v>69</v>
      </c>
      <c r="I480" s="73"/>
      <c r="J480" s="73"/>
      <c r="K480" s="68"/>
      <c r="L480" s="67"/>
      <c r="M480" s="73"/>
      <c r="N480" s="73" t="s">
        <v>69</v>
      </c>
      <c r="O480" s="68"/>
      <c r="P480" s="67" t="s">
        <v>69</v>
      </c>
      <c r="Q480" s="73"/>
      <c r="R480" s="73"/>
      <c r="S480" s="68"/>
      <c r="T480" s="67"/>
      <c r="U480" s="73" t="s">
        <v>69</v>
      </c>
      <c r="V480" s="73"/>
      <c r="W480" s="68"/>
      <c r="X480" s="67" t="s">
        <v>69</v>
      </c>
      <c r="Y480" s="73"/>
      <c r="Z480" s="73"/>
      <c r="AA480" s="68"/>
      <c r="AB480" s="67" t="s">
        <v>69</v>
      </c>
      <c r="AC480" s="73"/>
      <c r="AD480" s="73"/>
      <c r="AE480" s="68"/>
      <c r="AF480" s="67" t="s">
        <v>69</v>
      </c>
      <c r="AG480" s="73"/>
      <c r="AH480" s="73"/>
      <c r="AI480" s="68"/>
      <c r="AJ480" s="67" t="s">
        <v>69</v>
      </c>
      <c r="AK480" s="73"/>
      <c r="AL480" s="73"/>
      <c r="AM480" s="68"/>
      <c r="AN480" s="67">
        <f t="shared" si="479"/>
        <v>88</v>
      </c>
      <c r="AO480" s="68" t="str">
        <f t="shared" si="480"/>
        <v>S</v>
      </c>
      <c r="AR480" s="49">
        <f t="shared" si="41"/>
        <v>1</v>
      </c>
      <c r="AS480" s="49">
        <f t="shared" si="42"/>
        <v>0</v>
      </c>
      <c r="AT480" s="49">
        <f t="shared" si="43"/>
        <v>0</v>
      </c>
      <c r="AU480" s="49">
        <f t="shared" si="44"/>
        <v>0</v>
      </c>
      <c r="AV480" s="49">
        <f t="shared" si="45"/>
        <v>0</v>
      </c>
      <c r="AW480" s="49">
        <f t="shared" si="46"/>
        <v>0</v>
      </c>
      <c r="AX480" s="49">
        <f t="shared" si="47"/>
        <v>1</v>
      </c>
      <c r="AY480" s="49">
        <f t="shared" si="48"/>
        <v>0</v>
      </c>
      <c r="AZ480" s="49">
        <f t="shared" si="49"/>
        <v>1</v>
      </c>
      <c r="BA480" s="49">
        <f t="shared" si="50"/>
        <v>0</v>
      </c>
      <c r="BB480" s="49">
        <f t="shared" si="51"/>
        <v>0</v>
      </c>
      <c r="BC480" s="49">
        <f t="shared" si="52"/>
        <v>0</v>
      </c>
      <c r="BD480" s="49">
        <f t="shared" si="53"/>
        <v>0</v>
      </c>
      <c r="BE480" s="49">
        <f t="shared" si="54"/>
        <v>1</v>
      </c>
      <c r="BF480" s="49">
        <f t="shared" si="55"/>
        <v>0</v>
      </c>
      <c r="BG480" s="49">
        <f t="shared" si="56"/>
        <v>0</v>
      </c>
      <c r="BH480" s="49">
        <f t="shared" si="57"/>
        <v>1</v>
      </c>
      <c r="BI480" s="49">
        <f t="shared" si="58"/>
        <v>0</v>
      </c>
      <c r="BJ480" s="49">
        <f t="shared" si="59"/>
        <v>0</v>
      </c>
      <c r="BK480" s="49">
        <f t="shared" si="60"/>
        <v>0</v>
      </c>
      <c r="BL480" s="49">
        <f t="shared" si="61"/>
        <v>1</v>
      </c>
      <c r="BM480" s="49">
        <f t="shared" si="62"/>
        <v>0</v>
      </c>
      <c r="BN480" s="49">
        <f t="shared" si="63"/>
        <v>0</v>
      </c>
      <c r="BO480" s="49">
        <f t="shared" si="64"/>
        <v>0</v>
      </c>
      <c r="BP480" s="49">
        <f t="shared" si="65"/>
        <v>1</v>
      </c>
      <c r="BQ480" s="49">
        <f t="shared" si="66"/>
        <v>0</v>
      </c>
      <c r="BR480" s="49">
        <f t="shared" si="67"/>
        <v>0</v>
      </c>
      <c r="BS480" s="49">
        <f t="shared" si="68"/>
        <v>0</v>
      </c>
      <c r="BT480" s="49">
        <f t="shared" si="69"/>
        <v>1</v>
      </c>
      <c r="BU480" s="49">
        <f t="shared" si="70"/>
        <v>0</v>
      </c>
      <c r="BV480" s="49">
        <f t="shared" si="71"/>
        <v>0</v>
      </c>
      <c r="BW480" s="49">
        <f t="shared" si="72"/>
        <v>0</v>
      </c>
    </row>
    <row r="481" spans="1:75" ht="35.1" customHeight="1" x14ac:dyDescent="0.3">
      <c r="A481" s="123" t="str">
        <f t="shared" si="477"/>
        <v>4팀</v>
      </c>
      <c r="B481" s="69">
        <f t="shared" si="478"/>
        <v>475</v>
      </c>
      <c r="C481" s="121" t="str">
        <f>IF(VLOOKUP($B481,'1. 현장별 인원현황'!$C:$J,2,0)=0,"",VLOOKUP($B481,'1. 현장별 인원현황'!$C:$J,2,0))</f>
        <v xml:space="preserve"> [4.롯데건설] 롯데바이오로직스 Project PROVIDENCE</v>
      </c>
      <c r="D481" s="74" t="str">
        <f>IF(VLOOKUP($B481,'1. 현장별 인원현황'!$C:$J,3,0)=0,"",VLOOKUP($B481,'1. 현장별 인원현황'!$C:$J,3,0))</f>
        <v>권순철</v>
      </c>
      <c r="E481" s="74" t="str">
        <f ca="1">IF(VLOOKUP($B481,'1. 현장별 인원현황'!$C:$J,4,0)=0,"",VLOOKUP($B481,'1. 현장별 인원현황'!$C:$J,4,0))</f>
        <v>38세</v>
      </c>
      <c r="F481" s="70" t="str">
        <f>IF(VLOOKUP($B481,'1. 현장별 인원현황'!$C:$J,7,0)=0,"",VLOOKUP($B481,'1. 현장별 인원현황'!$C:$J,7,0))</f>
        <v>기능공</v>
      </c>
      <c r="G481" s="72" t="str">
        <f>IF(VLOOKUP($B481,'1. 현장별 인원현황'!$C:$J,8,0)=0,"",VLOOKUP($B481,'1. 현장별 인원현황'!$C:$J,8,0))</f>
        <v>전공</v>
      </c>
      <c r="H481" s="67" t="s">
        <v>69</v>
      </c>
      <c r="I481" s="73"/>
      <c r="J481" s="73"/>
      <c r="K481" s="68"/>
      <c r="L481" s="67"/>
      <c r="M481" s="73"/>
      <c r="N481" s="73" t="s">
        <v>69</v>
      </c>
      <c r="O481" s="68"/>
      <c r="P481" s="67" t="s">
        <v>69</v>
      </c>
      <c r="Q481" s="73"/>
      <c r="R481" s="73"/>
      <c r="S481" s="68"/>
      <c r="T481" s="67"/>
      <c r="U481" s="73" t="s">
        <v>69</v>
      </c>
      <c r="V481" s="73"/>
      <c r="W481" s="68"/>
      <c r="X481" s="67" t="s">
        <v>69</v>
      </c>
      <c r="Y481" s="73"/>
      <c r="Z481" s="73"/>
      <c r="AA481" s="68"/>
      <c r="AB481" s="67" t="s">
        <v>69</v>
      </c>
      <c r="AC481" s="73"/>
      <c r="AD481" s="73"/>
      <c r="AE481" s="68"/>
      <c r="AF481" s="67" t="s">
        <v>69</v>
      </c>
      <c r="AG481" s="73"/>
      <c r="AH481" s="73"/>
      <c r="AI481" s="68"/>
      <c r="AJ481" s="67" t="s">
        <v>69</v>
      </c>
      <c r="AK481" s="73"/>
      <c r="AL481" s="73"/>
      <c r="AM481" s="68"/>
      <c r="AN481" s="67">
        <f t="shared" si="479"/>
        <v>88</v>
      </c>
      <c r="AO481" s="68" t="str">
        <f t="shared" si="480"/>
        <v>S</v>
      </c>
      <c r="AR481" s="49">
        <f t="shared" si="41"/>
        <v>1</v>
      </c>
      <c r="AS481" s="49">
        <f t="shared" si="42"/>
        <v>0</v>
      </c>
      <c r="AT481" s="49">
        <f t="shared" si="43"/>
        <v>0</v>
      </c>
      <c r="AU481" s="49">
        <f t="shared" si="44"/>
        <v>0</v>
      </c>
      <c r="AV481" s="49">
        <f t="shared" si="45"/>
        <v>0</v>
      </c>
      <c r="AW481" s="49">
        <f t="shared" si="46"/>
        <v>0</v>
      </c>
      <c r="AX481" s="49">
        <f t="shared" si="47"/>
        <v>1</v>
      </c>
      <c r="AY481" s="49">
        <f t="shared" si="48"/>
        <v>0</v>
      </c>
      <c r="AZ481" s="49">
        <f t="shared" si="49"/>
        <v>1</v>
      </c>
      <c r="BA481" s="49">
        <f t="shared" si="50"/>
        <v>0</v>
      </c>
      <c r="BB481" s="49">
        <f t="shared" si="51"/>
        <v>0</v>
      </c>
      <c r="BC481" s="49">
        <f t="shared" si="52"/>
        <v>0</v>
      </c>
      <c r="BD481" s="49">
        <f t="shared" si="53"/>
        <v>0</v>
      </c>
      <c r="BE481" s="49">
        <f t="shared" si="54"/>
        <v>1</v>
      </c>
      <c r="BF481" s="49">
        <f t="shared" si="55"/>
        <v>0</v>
      </c>
      <c r="BG481" s="49">
        <f t="shared" si="56"/>
        <v>0</v>
      </c>
      <c r="BH481" s="49">
        <f t="shared" si="57"/>
        <v>1</v>
      </c>
      <c r="BI481" s="49">
        <f t="shared" si="58"/>
        <v>0</v>
      </c>
      <c r="BJ481" s="49">
        <f t="shared" si="59"/>
        <v>0</v>
      </c>
      <c r="BK481" s="49">
        <f t="shared" si="60"/>
        <v>0</v>
      </c>
      <c r="BL481" s="49">
        <f t="shared" si="61"/>
        <v>1</v>
      </c>
      <c r="BM481" s="49">
        <f t="shared" si="62"/>
        <v>0</v>
      </c>
      <c r="BN481" s="49">
        <f t="shared" si="63"/>
        <v>0</v>
      </c>
      <c r="BO481" s="49">
        <f t="shared" si="64"/>
        <v>0</v>
      </c>
      <c r="BP481" s="49">
        <f t="shared" si="65"/>
        <v>1</v>
      </c>
      <c r="BQ481" s="49">
        <f t="shared" si="66"/>
        <v>0</v>
      </c>
      <c r="BR481" s="49">
        <f t="shared" si="67"/>
        <v>0</v>
      </c>
      <c r="BS481" s="49">
        <f t="shared" si="68"/>
        <v>0</v>
      </c>
      <c r="BT481" s="49">
        <f t="shared" si="69"/>
        <v>1</v>
      </c>
      <c r="BU481" s="49">
        <f t="shared" si="70"/>
        <v>0</v>
      </c>
      <c r="BV481" s="49">
        <f t="shared" si="71"/>
        <v>0</v>
      </c>
      <c r="BW481" s="49">
        <f t="shared" si="72"/>
        <v>0</v>
      </c>
    </row>
    <row r="482" spans="1:75" ht="35.1" customHeight="1" x14ac:dyDescent="0.3">
      <c r="A482" s="123" t="str">
        <f t="shared" si="477"/>
        <v>4팀</v>
      </c>
      <c r="B482" s="69">
        <f t="shared" si="478"/>
        <v>476</v>
      </c>
      <c r="C482" s="121" t="str">
        <f>IF(VLOOKUP($B482,'1. 현장별 인원현황'!$C:$J,2,0)=0,"",VLOOKUP($B482,'1. 현장별 인원현황'!$C:$J,2,0))</f>
        <v xml:space="preserve"> [4.롯데건설] 롯데바이오로직스 Project PROVIDENCE</v>
      </c>
      <c r="D482" s="74" t="str">
        <f>IF(VLOOKUP($B482,'1. 현장별 인원현황'!$C:$J,3,0)=0,"",VLOOKUP($B482,'1. 현장별 인원현황'!$C:$J,3,0))</f>
        <v>김민형</v>
      </c>
      <c r="E482" s="74" t="str">
        <f ca="1">IF(VLOOKUP($B482,'1. 현장별 인원현황'!$C:$J,4,0)=0,"",VLOOKUP($B482,'1. 현장별 인원현황'!$C:$J,4,0))</f>
        <v>40세</v>
      </c>
      <c r="F482" s="70" t="str">
        <f>IF(VLOOKUP($B482,'1. 현장별 인원현황'!$C:$J,7,0)=0,"",VLOOKUP($B482,'1. 현장별 인원현황'!$C:$J,7,0))</f>
        <v>기능공</v>
      </c>
      <c r="G482" s="72" t="str">
        <f>IF(VLOOKUP($B482,'1. 현장별 인원현황'!$C:$J,8,0)=0,"",VLOOKUP($B482,'1. 현장별 인원현황'!$C:$J,8,0))</f>
        <v>전공</v>
      </c>
      <c r="H482" s="67" t="s">
        <v>69</v>
      </c>
      <c r="I482" s="73"/>
      <c r="J482" s="73"/>
      <c r="K482" s="68"/>
      <c r="L482" s="67"/>
      <c r="M482" s="73"/>
      <c r="N482" s="73" t="s">
        <v>69</v>
      </c>
      <c r="O482" s="68"/>
      <c r="P482" s="67" t="s">
        <v>69</v>
      </c>
      <c r="Q482" s="73"/>
      <c r="R482" s="73"/>
      <c r="S482" s="68"/>
      <c r="T482" s="67"/>
      <c r="U482" s="73" t="s">
        <v>69</v>
      </c>
      <c r="V482" s="73"/>
      <c r="W482" s="68"/>
      <c r="X482" s="67" t="s">
        <v>69</v>
      </c>
      <c r="Y482" s="73"/>
      <c r="Z482" s="73"/>
      <c r="AA482" s="68"/>
      <c r="AB482" s="67" t="s">
        <v>69</v>
      </c>
      <c r="AC482" s="73"/>
      <c r="AD482" s="73"/>
      <c r="AE482" s="68"/>
      <c r="AF482" s="67" t="s">
        <v>69</v>
      </c>
      <c r="AG482" s="73"/>
      <c r="AH482" s="73"/>
      <c r="AI482" s="68"/>
      <c r="AJ482" s="67" t="s">
        <v>69</v>
      </c>
      <c r="AK482" s="73"/>
      <c r="AL482" s="73"/>
      <c r="AM482" s="68"/>
      <c r="AN482" s="67">
        <f t="shared" si="479"/>
        <v>88</v>
      </c>
      <c r="AO482" s="68" t="str">
        <f t="shared" si="480"/>
        <v>S</v>
      </c>
      <c r="AR482" s="49">
        <f t="shared" si="41"/>
        <v>1</v>
      </c>
      <c r="AS482" s="49">
        <f t="shared" si="42"/>
        <v>0</v>
      </c>
      <c r="AT482" s="49">
        <f t="shared" si="43"/>
        <v>0</v>
      </c>
      <c r="AU482" s="49">
        <f t="shared" si="44"/>
        <v>0</v>
      </c>
      <c r="AV482" s="49">
        <f t="shared" si="45"/>
        <v>0</v>
      </c>
      <c r="AW482" s="49">
        <f t="shared" si="46"/>
        <v>0</v>
      </c>
      <c r="AX482" s="49">
        <f t="shared" si="47"/>
        <v>1</v>
      </c>
      <c r="AY482" s="49">
        <f t="shared" si="48"/>
        <v>0</v>
      </c>
      <c r="AZ482" s="49">
        <f t="shared" si="49"/>
        <v>1</v>
      </c>
      <c r="BA482" s="49">
        <f t="shared" si="50"/>
        <v>0</v>
      </c>
      <c r="BB482" s="49">
        <f t="shared" si="51"/>
        <v>0</v>
      </c>
      <c r="BC482" s="49">
        <f t="shared" si="52"/>
        <v>0</v>
      </c>
      <c r="BD482" s="49">
        <f t="shared" si="53"/>
        <v>0</v>
      </c>
      <c r="BE482" s="49">
        <f t="shared" si="54"/>
        <v>1</v>
      </c>
      <c r="BF482" s="49">
        <f t="shared" si="55"/>
        <v>0</v>
      </c>
      <c r="BG482" s="49">
        <f t="shared" si="56"/>
        <v>0</v>
      </c>
      <c r="BH482" s="49">
        <f t="shared" si="57"/>
        <v>1</v>
      </c>
      <c r="BI482" s="49">
        <f t="shared" si="58"/>
        <v>0</v>
      </c>
      <c r="BJ482" s="49">
        <f t="shared" si="59"/>
        <v>0</v>
      </c>
      <c r="BK482" s="49">
        <f t="shared" si="60"/>
        <v>0</v>
      </c>
      <c r="BL482" s="49">
        <f t="shared" si="61"/>
        <v>1</v>
      </c>
      <c r="BM482" s="49">
        <f t="shared" si="62"/>
        <v>0</v>
      </c>
      <c r="BN482" s="49">
        <f t="shared" si="63"/>
        <v>0</v>
      </c>
      <c r="BO482" s="49">
        <f t="shared" si="64"/>
        <v>0</v>
      </c>
      <c r="BP482" s="49">
        <f t="shared" si="65"/>
        <v>1</v>
      </c>
      <c r="BQ482" s="49">
        <f t="shared" si="66"/>
        <v>0</v>
      </c>
      <c r="BR482" s="49">
        <f t="shared" si="67"/>
        <v>0</v>
      </c>
      <c r="BS482" s="49">
        <f t="shared" si="68"/>
        <v>0</v>
      </c>
      <c r="BT482" s="49">
        <f t="shared" si="69"/>
        <v>1</v>
      </c>
      <c r="BU482" s="49">
        <f t="shared" si="70"/>
        <v>0</v>
      </c>
      <c r="BV482" s="49">
        <f t="shared" si="71"/>
        <v>0</v>
      </c>
      <c r="BW482" s="49">
        <f t="shared" si="72"/>
        <v>0</v>
      </c>
    </row>
    <row r="483" spans="1:75" ht="35.1" customHeight="1" x14ac:dyDescent="0.3">
      <c r="A483" s="123" t="str">
        <f t="shared" si="477"/>
        <v>4팀</v>
      </c>
      <c r="B483" s="69">
        <f t="shared" si="478"/>
        <v>477</v>
      </c>
      <c r="C483" s="121" t="str">
        <f>IF(VLOOKUP($B483,'1. 현장별 인원현황'!$C:$J,2,0)=0,"",VLOOKUP($B483,'1. 현장별 인원현황'!$C:$J,2,0))</f>
        <v xml:space="preserve"> [4.롯데건설] 롯데바이오로직스 Project PROVIDENCE</v>
      </c>
      <c r="D483" s="74" t="str">
        <f>IF(VLOOKUP($B483,'1. 현장별 인원현황'!$C:$J,3,0)=0,"",VLOOKUP($B483,'1. 현장별 인원현황'!$C:$J,3,0))</f>
        <v>박운기</v>
      </c>
      <c r="E483" s="74" t="str">
        <f ca="1">IF(VLOOKUP($B483,'1. 현장별 인원현황'!$C:$J,4,0)=0,"",VLOOKUP($B483,'1. 현장별 인원현황'!$C:$J,4,0))</f>
        <v>38세</v>
      </c>
      <c r="F483" s="70" t="str">
        <f>IF(VLOOKUP($B483,'1. 현장별 인원현황'!$C:$J,7,0)=0,"",VLOOKUP($B483,'1. 현장별 인원현황'!$C:$J,7,0))</f>
        <v>기능공</v>
      </c>
      <c r="G483" s="72" t="str">
        <f>IF(VLOOKUP($B483,'1. 현장별 인원현황'!$C:$J,8,0)=0,"",VLOOKUP($B483,'1. 현장별 인원현황'!$C:$J,8,0))</f>
        <v>전공</v>
      </c>
      <c r="H483" s="67" t="s">
        <v>69</v>
      </c>
      <c r="I483" s="73"/>
      <c r="J483" s="73"/>
      <c r="K483" s="68"/>
      <c r="L483" s="67"/>
      <c r="M483" s="73"/>
      <c r="N483" s="73" t="s">
        <v>69</v>
      </c>
      <c r="O483" s="68"/>
      <c r="P483" s="67" t="s">
        <v>69</v>
      </c>
      <c r="Q483" s="73"/>
      <c r="R483" s="73"/>
      <c r="S483" s="68"/>
      <c r="T483" s="67"/>
      <c r="U483" s="73" t="s">
        <v>69</v>
      </c>
      <c r="V483" s="73"/>
      <c r="W483" s="68"/>
      <c r="X483" s="67" t="s">
        <v>69</v>
      </c>
      <c r="Y483" s="73"/>
      <c r="Z483" s="73"/>
      <c r="AA483" s="68"/>
      <c r="AB483" s="67" t="s">
        <v>69</v>
      </c>
      <c r="AC483" s="73"/>
      <c r="AD483" s="73"/>
      <c r="AE483" s="68"/>
      <c r="AF483" s="67" t="s">
        <v>69</v>
      </c>
      <c r="AG483" s="73"/>
      <c r="AH483" s="73"/>
      <c r="AI483" s="68"/>
      <c r="AJ483" s="67" t="s">
        <v>69</v>
      </c>
      <c r="AK483" s="73"/>
      <c r="AL483" s="73"/>
      <c r="AM483" s="68"/>
      <c r="AN483" s="67">
        <f t="shared" si="479"/>
        <v>88</v>
      </c>
      <c r="AO483" s="68" t="str">
        <f t="shared" si="480"/>
        <v>S</v>
      </c>
      <c r="AR483" s="49">
        <f t="shared" si="41"/>
        <v>1</v>
      </c>
      <c r="AS483" s="49">
        <f t="shared" si="42"/>
        <v>0</v>
      </c>
      <c r="AT483" s="49">
        <f t="shared" si="43"/>
        <v>0</v>
      </c>
      <c r="AU483" s="49">
        <f t="shared" si="44"/>
        <v>0</v>
      </c>
      <c r="AV483" s="49">
        <f t="shared" si="45"/>
        <v>0</v>
      </c>
      <c r="AW483" s="49">
        <f t="shared" si="46"/>
        <v>0</v>
      </c>
      <c r="AX483" s="49">
        <f t="shared" si="47"/>
        <v>1</v>
      </c>
      <c r="AY483" s="49">
        <f t="shared" si="48"/>
        <v>0</v>
      </c>
      <c r="AZ483" s="49">
        <f t="shared" si="49"/>
        <v>1</v>
      </c>
      <c r="BA483" s="49">
        <f t="shared" si="50"/>
        <v>0</v>
      </c>
      <c r="BB483" s="49">
        <f t="shared" si="51"/>
        <v>0</v>
      </c>
      <c r="BC483" s="49">
        <f t="shared" si="52"/>
        <v>0</v>
      </c>
      <c r="BD483" s="49">
        <f t="shared" si="53"/>
        <v>0</v>
      </c>
      <c r="BE483" s="49">
        <f t="shared" si="54"/>
        <v>1</v>
      </c>
      <c r="BF483" s="49">
        <f t="shared" si="55"/>
        <v>0</v>
      </c>
      <c r="BG483" s="49">
        <f t="shared" si="56"/>
        <v>0</v>
      </c>
      <c r="BH483" s="49">
        <f t="shared" si="57"/>
        <v>1</v>
      </c>
      <c r="BI483" s="49">
        <f t="shared" si="58"/>
        <v>0</v>
      </c>
      <c r="BJ483" s="49">
        <f t="shared" si="59"/>
        <v>0</v>
      </c>
      <c r="BK483" s="49">
        <f t="shared" si="60"/>
        <v>0</v>
      </c>
      <c r="BL483" s="49">
        <f t="shared" si="61"/>
        <v>1</v>
      </c>
      <c r="BM483" s="49">
        <f t="shared" si="62"/>
        <v>0</v>
      </c>
      <c r="BN483" s="49">
        <f t="shared" si="63"/>
        <v>0</v>
      </c>
      <c r="BO483" s="49">
        <f t="shared" si="64"/>
        <v>0</v>
      </c>
      <c r="BP483" s="49">
        <f t="shared" si="65"/>
        <v>1</v>
      </c>
      <c r="BQ483" s="49">
        <f t="shared" si="66"/>
        <v>0</v>
      </c>
      <c r="BR483" s="49">
        <f t="shared" si="67"/>
        <v>0</v>
      </c>
      <c r="BS483" s="49">
        <f t="shared" si="68"/>
        <v>0</v>
      </c>
      <c r="BT483" s="49">
        <f t="shared" si="69"/>
        <v>1</v>
      </c>
      <c r="BU483" s="49">
        <f t="shared" si="70"/>
        <v>0</v>
      </c>
      <c r="BV483" s="49">
        <f t="shared" si="71"/>
        <v>0</v>
      </c>
      <c r="BW483" s="49">
        <f t="shared" si="72"/>
        <v>0</v>
      </c>
    </row>
    <row r="484" spans="1:75" ht="35.1" customHeight="1" x14ac:dyDescent="0.3">
      <c r="A484" s="123" t="str">
        <f t="shared" si="477"/>
        <v>4팀</v>
      </c>
      <c r="B484" s="69">
        <f t="shared" si="478"/>
        <v>478</v>
      </c>
      <c r="C484" s="121" t="str">
        <f>IF(VLOOKUP($B484,'1. 현장별 인원현황'!$C:$J,2,0)=0,"",VLOOKUP($B484,'1. 현장별 인원현황'!$C:$J,2,0))</f>
        <v xml:space="preserve"> [4.롯데건설] 롯데바이오로직스 Project PROVIDENCE</v>
      </c>
      <c r="D484" s="74" t="str">
        <f>IF(VLOOKUP($B484,'1. 현장별 인원현황'!$C:$J,3,0)=0,"",VLOOKUP($B484,'1. 현장별 인원현황'!$C:$J,3,0))</f>
        <v>임현철</v>
      </c>
      <c r="E484" s="74" t="str">
        <f ca="1">IF(VLOOKUP($B484,'1. 현장별 인원현황'!$C:$J,4,0)=0,"",VLOOKUP($B484,'1. 현장별 인원현황'!$C:$J,4,0))</f>
        <v>46세</v>
      </c>
      <c r="F484" s="70" t="str">
        <f>IF(VLOOKUP($B484,'1. 현장별 인원현황'!$C:$J,7,0)=0,"",VLOOKUP($B484,'1. 현장별 인원현황'!$C:$J,7,0))</f>
        <v>기능공</v>
      </c>
      <c r="G484" s="72" t="str">
        <f>IF(VLOOKUP($B484,'1. 현장별 인원현황'!$C:$J,8,0)=0,"",VLOOKUP($B484,'1. 현장별 인원현황'!$C:$J,8,0))</f>
        <v>전공</v>
      </c>
      <c r="H484" s="67" t="s">
        <v>69</v>
      </c>
      <c r="I484" s="73"/>
      <c r="J484" s="73"/>
      <c r="K484" s="68"/>
      <c r="L484" s="67"/>
      <c r="M484" s="73"/>
      <c r="N484" s="73" t="s">
        <v>69</v>
      </c>
      <c r="O484" s="68"/>
      <c r="P484" s="67" t="s">
        <v>69</v>
      </c>
      <c r="Q484" s="73"/>
      <c r="R484" s="73"/>
      <c r="S484" s="68"/>
      <c r="T484" s="67"/>
      <c r="U484" s="73" t="s">
        <v>69</v>
      </c>
      <c r="V484" s="73"/>
      <c r="W484" s="68"/>
      <c r="X484" s="67" t="s">
        <v>69</v>
      </c>
      <c r="Y484" s="73"/>
      <c r="Z484" s="73"/>
      <c r="AA484" s="68"/>
      <c r="AB484" s="67" t="s">
        <v>69</v>
      </c>
      <c r="AC484" s="73"/>
      <c r="AD484" s="73"/>
      <c r="AE484" s="68"/>
      <c r="AF484" s="67" t="s">
        <v>69</v>
      </c>
      <c r="AG484" s="73"/>
      <c r="AH484" s="73"/>
      <c r="AI484" s="68"/>
      <c r="AJ484" s="67" t="s">
        <v>69</v>
      </c>
      <c r="AK484" s="73"/>
      <c r="AL484" s="73"/>
      <c r="AM484" s="68"/>
      <c r="AN484" s="67">
        <f t="shared" si="479"/>
        <v>88</v>
      </c>
      <c r="AO484" s="68" t="str">
        <f t="shared" si="480"/>
        <v>S</v>
      </c>
      <c r="AR484" s="49">
        <f t="shared" ref="AR484:AR499" si="481">IF(H484&gt;0,1,0)</f>
        <v>1</v>
      </c>
      <c r="AS484" s="49">
        <f t="shared" ref="AS484:AS499" si="482">IF(I484&gt;0,1,0)</f>
        <v>0</v>
      </c>
      <c r="AT484" s="49">
        <f t="shared" ref="AT484:AT499" si="483">IF(J484&gt;0,1,0)</f>
        <v>0</v>
      </c>
      <c r="AU484" s="49">
        <f t="shared" ref="AU484:AU499" si="484">IF(K484&gt;0,1,0)</f>
        <v>0</v>
      </c>
      <c r="AV484" s="49">
        <f t="shared" ref="AV484:AV499" si="485">IF(L484&gt;0,1,0)</f>
        <v>0</v>
      </c>
      <c r="AW484" s="49">
        <f t="shared" ref="AW484:AW499" si="486">IF(M484&gt;0,1,0)</f>
        <v>0</v>
      </c>
      <c r="AX484" s="49">
        <f t="shared" ref="AX484:AX499" si="487">IF(N484&gt;0,1,0)</f>
        <v>1</v>
      </c>
      <c r="AY484" s="49">
        <f t="shared" ref="AY484:AY499" si="488">IF(O484&gt;0,1,0)</f>
        <v>0</v>
      </c>
      <c r="AZ484" s="49">
        <f t="shared" ref="AZ484:AZ499" si="489">IF(P484&gt;0,1,0)</f>
        <v>1</v>
      </c>
      <c r="BA484" s="49">
        <f t="shared" ref="BA484:BA499" si="490">IF(Q484&gt;0,1,0)</f>
        <v>0</v>
      </c>
      <c r="BB484" s="49">
        <f t="shared" ref="BB484:BB499" si="491">IF(R484&gt;0,1,0)</f>
        <v>0</v>
      </c>
      <c r="BC484" s="49">
        <f t="shared" ref="BC484:BC499" si="492">IF(S484&gt;0,1,0)</f>
        <v>0</v>
      </c>
      <c r="BD484" s="49">
        <f t="shared" ref="BD484:BD499" si="493">IF(T484&gt;0,1,0)</f>
        <v>0</v>
      </c>
      <c r="BE484" s="49">
        <f t="shared" ref="BE484:BE499" si="494">IF(U484&gt;0,1,0)</f>
        <v>1</v>
      </c>
      <c r="BF484" s="49">
        <f t="shared" ref="BF484:BF499" si="495">IF(V484&gt;0,1,0)</f>
        <v>0</v>
      </c>
      <c r="BG484" s="49">
        <f t="shared" ref="BG484:BG499" si="496">IF(W484&gt;0,1,0)</f>
        <v>0</v>
      </c>
      <c r="BH484" s="49">
        <f t="shared" ref="BH484:BH499" si="497">IF(X484&gt;0,1,0)</f>
        <v>1</v>
      </c>
      <c r="BI484" s="49">
        <f t="shared" ref="BI484:BI499" si="498">IF(Y484&gt;0,1,0)</f>
        <v>0</v>
      </c>
      <c r="BJ484" s="49">
        <f t="shared" ref="BJ484:BJ499" si="499">IF(Z484&gt;0,1,0)</f>
        <v>0</v>
      </c>
      <c r="BK484" s="49">
        <f t="shared" ref="BK484:BK499" si="500">IF(AA484&gt;0,1,0)</f>
        <v>0</v>
      </c>
      <c r="BL484" s="49">
        <f t="shared" ref="BL484:BL499" si="501">IF(AB484&gt;0,1,0)</f>
        <v>1</v>
      </c>
      <c r="BM484" s="49">
        <f t="shared" ref="BM484:BM499" si="502">IF(AC484&gt;0,1,0)</f>
        <v>0</v>
      </c>
      <c r="BN484" s="49">
        <f t="shared" ref="BN484:BN499" si="503">IF(AD484&gt;0,1,0)</f>
        <v>0</v>
      </c>
      <c r="BO484" s="49">
        <f t="shared" ref="BO484:BO499" si="504">IF(AE484&gt;0,1,0)</f>
        <v>0</v>
      </c>
      <c r="BP484" s="49">
        <f t="shared" ref="BP484:BP499" si="505">IF(AF484&gt;0,1,0)</f>
        <v>1</v>
      </c>
      <c r="BQ484" s="49">
        <f t="shared" ref="BQ484:BQ499" si="506">IF(AG484&gt;0,1,0)</f>
        <v>0</v>
      </c>
      <c r="BR484" s="49">
        <f t="shared" ref="BR484:BR499" si="507">IF(AH484&gt;0,1,0)</f>
        <v>0</v>
      </c>
      <c r="BS484" s="49">
        <f t="shared" ref="BS484:BS499" si="508">IF(AI484&gt;0,1,0)</f>
        <v>0</v>
      </c>
      <c r="BT484" s="49">
        <f t="shared" ref="BT484:BT499" si="509">IF(AJ484&gt;0,1,0)</f>
        <v>1</v>
      </c>
      <c r="BU484" s="49">
        <f t="shared" ref="BU484:BU499" si="510">IF(AK484&gt;0,1,0)</f>
        <v>0</v>
      </c>
      <c r="BV484" s="49">
        <f t="shared" ref="BV484:BV499" si="511">IF(AL484&gt;0,1,0)</f>
        <v>0</v>
      </c>
      <c r="BW484" s="49">
        <f t="shared" ref="BW484:BW499" si="512">IF(AM484&gt;0,1,0)</f>
        <v>0</v>
      </c>
    </row>
    <row r="485" spans="1:75" ht="35.1" customHeight="1" x14ac:dyDescent="0.3">
      <c r="A485" s="123" t="str">
        <f t="shared" si="477"/>
        <v>4팀</v>
      </c>
      <c r="B485" s="69">
        <f t="shared" si="478"/>
        <v>479</v>
      </c>
      <c r="C485" s="121" t="str">
        <f>IF(VLOOKUP($B485,'1. 현장별 인원현황'!$C:$J,2,0)=0,"",VLOOKUP($B485,'1. 현장별 인원현황'!$C:$J,2,0))</f>
        <v xml:space="preserve"> [4.롯데건설] 롯데바이오로직스 Project PROVIDENCE</v>
      </c>
      <c r="D485" s="74" t="str">
        <f>IF(VLOOKUP($B485,'1. 현장별 인원현황'!$C:$J,3,0)=0,"",VLOOKUP($B485,'1. 현장별 인원현황'!$C:$J,3,0))</f>
        <v>정현철</v>
      </c>
      <c r="E485" s="74" t="str">
        <f ca="1">IF(VLOOKUP($B485,'1. 현장별 인원현황'!$C:$J,4,0)=0,"",VLOOKUP($B485,'1. 현장별 인원현황'!$C:$J,4,0))</f>
        <v>33세</v>
      </c>
      <c r="F485" s="70" t="str">
        <f>IF(VLOOKUP($B485,'1. 현장별 인원현황'!$C:$J,7,0)=0,"",VLOOKUP($B485,'1. 현장별 인원현황'!$C:$J,7,0))</f>
        <v>기능공</v>
      </c>
      <c r="G485" s="72" t="str">
        <f>IF(VLOOKUP($B485,'1. 현장별 인원현황'!$C:$J,8,0)=0,"",VLOOKUP($B485,'1. 현장별 인원현황'!$C:$J,8,0))</f>
        <v>전공</v>
      </c>
      <c r="H485" s="67" t="s">
        <v>69</v>
      </c>
      <c r="I485" s="73"/>
      <c r="J485" s="73"/>
      <c r="K485" s="68"/>
      <c r="L485" s="67"/>
      <c r="M485" s="73"/>
      <c r="N485" s="73" t="s">
        <v>69</v>
      </c>
      <c r="O485" s="68"/>
      <c r="P485" s="67" t="s">
        <v>69</v>
      </c>
      <c r="Q485" s="73"/>
      <c r="R485" s="73"/>
      <c r="S485" s="68"/>
      <c r="T485" s="67"/>
      <c r="U485" s="73" t="s">
        <v>69</v>
      </c>
      <c r="V485" s="73"/>
      <c r="W485" s="68"/>
      <c r="X485" s="67" t="s">
        <v>69</v>
      </c>
      <c r="Y485" s="73"/>
      <c r="Z485" s="73"/>
      <c r="AA485" s="68"/>
      <c r="AB485" s="67" t="s">
        <v>69</v>
      </c>
      <c r="AC485" s="73"/>
      <c r="AD485" s="73"/>
      <c r="AE485" s="68"/>
      <c r="AF485" s="67" t="s">
        <v>69</v>
      </c>
      <c r="AG485" s="73"/>
      <c r="AH485" s="73"/>
      <c r="AI485" s="68"/>
      <c r="AJ485" s="67" t="s">
        <v>69</v>
      </c>
      <c r="AK485" s="73"/>
      <c r="AL485" s="73"/>
      <c r="AM485" s="68"/>
      <c r="AN485" s="67">
        <f t="shared" si="479"/>
        <v>88</v>
      </c>
      <c r="AO485" s="68" t="str">
        <f t="shared" si="480"/>
        <v>S</v>
      </c>
      <c r="AR485" s="49">
        <f t="shared" si="481"/>
        <v>1</v>
      </c>
      <c r="AS485" s="49">
        <f t="shared" si="482"/>
        <v>0</v>
      </c>
      <c r="AT485" s="49">
        <f t="shared" si="483"/>
        <v>0</v>
      </c>
      <c r="AU485" s="49">
        <f t="shared" si="484"/>
        <v>0</v>
      </c>
      <c r="AV485" s="49">
        <f t="shared" si="485"/>
        <v>0</v>
      </c>
      <c r="AW485" s="49">
        <f t="shared" si="486"/>
        <v>0</v>
      </c>
      <c r="AX485" s="49">
        <f t="shared" si="487"/>
        <v>1</v>
      </c>
      <c r="AY485" s="49">
        <f t="shared" si="488"/>
        <v>0</v>
      </c>
      <c r="AZ485" s="49">
        <f t="shared" si="489"/>
        <v>1</v>
      </c>
      <c r="BA485" s="49">
        <f t="shared" si="490"/>
        <v>0</v>
      </c>
      <c r="BB485" s="49">
        <f t="shared" si="491"/>
        <v>0</v>
      </c>
      <c r="BC485" s="49">
        <f t="shared" si="492"/>
        <v>0</v>
      </c>
      <c r="BD485" s="49">
        <f t="shared" si="493"/>
        <v>0</v>
      </c>
      <c r="BE485" s="49">
        <f t="shared" si="494"/>
        <v>1</v>
      </c>
      <c r="BF485" s="49">
        <f t="shared" si="495"/>
        <v>0</v>
      </c>
      <c r="BG485" s="49">
        <f t="shared" si="496"/>
        <v>0</v>
      </c>
      <c r="BH485" s="49">
        <f t="shared" si="497"/>
        <v>1</v>
      </c>
      <c r="BI485" s="49">
        <f t="shared" si="498"/>
        <v>0</v>
      </c>
      <c r="BJ485" s="49">
        <f t="shared" si="499"/>
        <v>0</v>
      </c>
      <c r="BK485" s="49">
        <f t="shared" si="500"/>
        <v>0</v>
      </c>
      <c r="BL485" s="49">
        <f t="shared" si="501"/>
        <v>1</v>
      </c>
      <c r="BM485" s="49">
        <f t="shared" si="502"/>
        <v>0</v>
      </c>
      <c r="BN485" s="49">
        <f t="shared" si="503"/>
        <v>0</v>
      </c>
      <c r="BO485" s="49">
        <f t="shared" si="504"/>
        <v>0</v>
      </c>
      <c r="BP485" s="49">
        <f t="shared" si="505"/>
        <v>1</v>
      </c>
      <c r="BQ485" s="49">
        <f t="shared" si="506"/>
        <v>0</v>
      </c>
      <c r="BR485" s="49">
        <f t="shared" si="507"/>
        <v>0</v>
      </c>
      <c r="BS485" s="49">
        <f t="shared" si="508"/>
        <v>0</v>
      </c>
      <c r="BT485" s="49">
        <f t="shared" si="509"/>
        <v>1</v>
      </c>
      <c r="BU485" s="49">
        <f t="shared" si="510"/>
        <v>0</v>
      </c>
      <c r="BV485" s="49">
        <f t="shared" si="511"/>
        <v>0</v>
      </c>
      <c r="BW485" s="49">
        <f t="shared" si="512"/>
        <v>0</v>
      </c>
    </row>
    <row r="486" spans="1:75" ht="35.1" customHeight="1" x14ac:dyDescent="0.3">
      <c r="A486" s="123" t="str">
        <f t="shared" si="477"/>
        <v>4팀</v>
      </c>
      <c r="B486" s="69">
        <f t="shared" si="478"/>
        <v>480</v>
      </c>
      <c r="C486" s="121" t="str">
        <f>IF(VLOOKUP($B486,'1. 현장별 인원현황'!$C:$J,2,0)=0,"",VLOOKUP($B486,'1. 현장별 인원현황'!$C:$J,2,0))</f>
        <v xml:space="preserve"> [4.롯데건설] 롯데바이오로직스 Project PROVIDENCE</v>
      </c>
      <c r="D486" s="74" t="str">
        <f>IF(VLOOKUP($B486,'1. 현장별 인원현황'!$C:$J,3,0)=0,"",VLOOKUP($B486,'1. 현장별 인원현황'!$C:$J,3,0))</f>
        <v>최석민</v>
      </c>
      <c r="E486" s="74" t="str">
        <f ca="1">IF(VLOOKUP($B486,'1. 현장별 인원현황'!$C:$J,4,0)=0,"",VLOOKUP($B486,'1. 현장별 인원현황'!$C:$J,4,0))</f>
        <v>49세</v>
      </c>
      <c r="F486" s="70" t="str">
        <f>IF(VLOOKUP($B486,'1. 현장별 인원현황'!$C:$J,7,0)=0,"",VLOOKUP($B486,'1. 현장별 인원현황'!$C:$J,7,0))</f>
        <v>기능공</v>
      </c>
      <c r="G486" s="72" t="str">
        <f>IF(VLOOKUP($B486,'1. 현장별 인원현황'!$C:$J,8,0)=0,"",VLOOKUP($B486,'1. 현장별 인원현황'!$C:$J,8,0))</f>
        <v>전공</v>
      </c>
      <c r="H486" s="67" t="s">
        <v>69</v>
      </c>
      <c r="I486" s="73"/>
      <c r="J486" s="73"/>
      <c r="K486" s="68"/>
      <c r="L486" s="67"/>
      <c r="M486" s="73"/>
      <c r="N486" s="73" t="s">
        <v>69</v>
      </c>
      <c r="O486" s="68"/>
      <c r="P486" s="67" t="s">
        <v>69</v>
      </c>
      <c r="Q486" s="73"/>
      <c r="R486" s="73"/>
      <c r="S486" s="68"/>
      <c r="T486" s="67"/>
      <c r="U486" s="73" t="s">
        <v>69</v>
      </c>
      <c r="V486" s="73"/>
      <c r="W486" s="68"/>
      <c r="X486" s="67" t="s">
        <v>69</v>
      </c>
      <c r="Y486" s="73"/>
      <c r="Z486" s="73"/>
      <c r="AA486" s="68"/>
      <c r="AB486" s="67" t="s">
        <v>69</v>
      </c>
      <c r="AC486" s="73"/>
      <c r="AD486" s="73"/>
      <c r="AE486" s="68"/>
      <c r="AF486" s="67" t="s">
        <v>69</v>
      </c>
      <c r="AG486" s="73"/>
      <c r="AH486" s="73"/>
      <c r="AI486" s="68"/>
      <c r="AJ486" s="67" t="s">
        <v>69</v>
      </c>
      <c r="AK486" s="73"/>
      <c r="AL486" s="73"/>
      <c r="AM486" s="68"/>
      <c r="AN486" s="67">
        <f t="shared" si="479"/>
        <v>88</v>
      </c>
      <c r="AO486" s="68" t="str">
        <f t="shared" si="480"/>
        <v>S</v>
      </c>
      <c r="AR486" s="49">
        <f t="shared" si="481"/>
        <v>1</v>
      </c>
      <c r="AS486" s="49">
        <f t="shared" si="482"/>
        <v>0</v>
      </c>
      <c r="AT486" s="49">
        <f t="shared" si="483"/>
        <v>0</v>
      </c>
      <c r="AU486" s="49">
        <f t="shared" si="484"/>
        <v>0</v>
      </c>
      <c r="AV486" s="49">
        <f t="shared" si="485"/>
        <v>0</v>
      </c>
      <c r="AW486" s="49">
        <f t="shared" si="486"/>
        <v>0</v>
      </c>
      <c r="AX486" s="49">
        <f t="shared" si="487"/>
        <v>1</v>
      </c>
      <c r="AY486" s="49">
        <f t="shared" si="488"/>
        <v>0</v>
      </c>
      <c r="AZ486" s="49">
        <f t="shared" si="489"/>
        <v>1</v>
      </c>
      <c r="BA486" s="49">
        <f t="shared" si="490"/>
        <v>0</v>
      </c>
      <c r="BB486" s="49">
        <f t="shared" si="491"/>
        <v>0</v>
      </c>
      <c r="BC486" s="49">
        <f t="shared" si="492"/>
        <v>0</v>
      </c>
      <c r="BD486" s="49">
        <f t="shared" si="493"/>
        <v>0</v>
      </c>
      <c r="BE486" s="49">
        <f t="shared" si="494"/>
        <v>1</v>
      </c>
      <c r="BF486" s="49">
        <f t="shared" si="495"/>
        <v>0</v>
      </c>
      <c r="BG486" s="49">
        <f t="shared" si="496"/>
        <v>0</v>
      </c>
      <c r="BH486" s="49">
        <f t="shared" si="497"/>
        <v>1</v>
      </c>
      <c r="BI486" s="49">
        <f t="shared" si="498"/>
        <v>0</v>
      </c>
      <c r="BJ486" s="49">
        <f t="shared" si="499"/>
        <v>0</v>
      </c>
      <c r="BK486" s="49">
        <f t="shared" si="500"/>
        <v>0</v>
      </c>
      <c r="BL486" s="49">
        <f t="shared" si="501"/>
        <v>1</v>
      </c>
      <c r="BM486" s="49">
        <f t="shared" si="502"/>
        <v>0</v>
      </c>
      <c r="BN486" s="49">
        <f t="shared" si="503"/>
        <v>0</v>
      </c>
      <c r="BO486" s="49">
        <f t="shared" si="504"/>
        <v>0</v>
      </c>
      <c r="BP486" s="49">
        <f t="shared" si="505"/>
        <v>1</v>
      </c>
      <c r="BQ486" s="49">
        <f t="shared" si="506"/>
        <v>0</v>
      </c>
      <c r="BR486" s="49">
        <f t="shared" si="507"/>
        <v>0</v>
      </c>
      <c r="BS486" s="49">
        <f t="shared" si="508"/>
        <v>0</v>
      </c>
      <c r="BT486" s="49">
        <f t="shared" si="509"/>
        <v>1</v>
      </c>
      <c r="BU486" s="49">
        <f t="shared" si="510"/>
        <v>0</v>
      </c>
      <c r="BV486" s="49">
        <f t="shared" si="511"/>
        <v>0</v>
      </c>
      <c r="BW486" s="49">
        <f t="shared" si="512"/>
        <v>0</v>
      </c>
    </row>
    <row r="487" spans="1:75" ht="35.1" customHeight="1" x14ac:dyDescent="0.3">
      <c r="A487" s="123" t="str">
        <f t="shared" si="477"/>
        <v>4팀</v>
      </c>
      <c r="B487" s="69">
        <f t="shared" si="478"/>
        <v>481</v>
      </c>
      <c r="C487" s="121" t="str">
        <f>IF(VLOOKUP($B487,'1. 현장별 인원현황'!$C:$J,2,0)=0,"",VLOOKUP($B487,'1. 현장별 인원현황'!$C:$J,2,0))</f>
        <v xml:space="preserve"> [4.롯데건설] 롯데바이오로직스 Project PROVIDENCE</v>
      </c>
      <c r="D487" s="74" t="str">
        <f>IF(VLOOKUP($B487,'1. 현장별 인원현황'!$C:$J,3,0)=0,"",VLOOKUP($B487,'1. 현장별 인원현황'!$C:$J,3,0))</f>
        <v>강진석</v>
      </c>
      <c r="E487" s="74" t="str">
        <f ca="1">IF(VLOOKUP($B487,'1. 현장별 인원현황'!$C:$J,4,0)=0,"",VLOOKUP($B487,'1. 현장별 인원현황'!$C:$J,4,0))</f>
        <v>40세</v>
      </c>
      <c r="F487" s="70" t="str">
        <f>IF(VLOOKUP($B487,'1. 현장별 인원현황'!$C:$J,7,0)=0,"",VLOOKUP($B487,'1. 현장별 인원현황'!$C:$J,7,0))</f>
        <v>기능공</v>
      </c>
      <c r="G487" s="72" t="str">
        <f>IF(VLOOKUP($B487,'1. 현장별 인원현황'!$C:$J,8,0)=0,"",VLOOKUP($B487,'1. 현장별 인원현황'!$C:$J,8,0))</f>
        <v>전공</v>
      </c>
      <c r="H487" s="67" t="s">
        <v>69</v>
      </c>
      <c r="I487" s="73"/>
      <c r="J487" s="73"/>
      <c r="K487" s="68"/>
      <c r="L487" s="67"/>
      <c r="M487" s="73"/>
      <c r="N487" s="73" t="s">
        <v>69</v>
      </c>
      <c r="O487" s="68"/>
      <c r="P487" s="67" t="s">
        <v>69</v>
      </c>
      <c r="Q487" s="73"/>
      <c r="R487" s="73"/>
      <c r="S487" s="68"/>
      <c r="T487" s="67"/>
      <c r="U487" s="73" t="s">
        <v>69</v>
      </c>
      <c r="V487" s="73"/>
      <c r="W487" s="68"/>
      <c r="X487" s="67" t="s">
        <v>69</v>
      </c>
      <c r="Y487" s="73"/>
      <c r="Z487" s="73"/>
      <c r="AA487" s="68"/>
      <c r="AB487" s="67" t="s">
        <v>69</v>
      </c>
      <c r="AC487" s="73"/>
      <c r="AD487" s="73"/>
      <c r="AE487" s="68"/>
      <c r="AF487" s="67" t="s">
        <v>69</v>
      </c>
      <c r="AG487" s="73"/>
      <c r="AH487" s="73"/>
      <c r="AI487" s="68"/>
      <c r="AJ487" s="67" t="s">
        <v>69</v>
      </c>
      <c r="AK487" s="73"/>
      <c r="AL487" s="73"/>
      <c r="AM487" s="68"/>
      <c r="AN487" s="67">
        <f t="shared" si="479"/>
        <v>88</v>
      </c>
      <c r="AO487" s="68" t="str">
        <f t="shared" si="480"/>
        <v>S</v>
      </c>
      <c r="AR487" s="49">
        <f t="shared" si="481"/>
        <v>1</v>
      </c>
      <c r="AS487" s="49">
        <f t="shared" si="482"/>
        <v>0</v>
      </c>
      <c r="AT487" s="49">
        <f t="shared" si="483"/>
        <v>0</v>
      </c>
      <c r="AU487" s="49">
        <f t="shared" si="484"/>
        <v>0</v>
      </c>
      <c r="AV487" s="49">
        <f t="shared" si="485"/>
        <v>0</v>
      </c>
      <c r="AW487" s="49">
        <f t="shared" si="486"/>
        <v>0</v>
      </c>
      <c r="AX487" s="49">
        <f t="shared" si="487"/>
        <v>1</v>
      </c>
      <c r="AY487" s="49">
        <f t="shared" si="488"/>
        <v>0</v>
      </c>
      <c r="AZ487" s="49">
        <f t="shared" si="489"/>
        <v>1</v>
      </c>
      <c r="BA487" s="49">
        <f t="shared" si="490"/>
        <v>0</v>
      </c>
      <c r="BB487" s="49">
        <f t="shared" si="491"/>
        <v>0</v>
      </c>
      <c r="BC487" s="49">
        <f t="shared" si="492"/>
        <v>0</v>
      </c>
      <c r="BD487" s="49">
        <f t="shared" si="493"/>
        <v>0</v>
      </c>
      <c r="BE487" s="49">
        <f t="shared" si="494"/>
        <v>1</v>
      </c>
      <c r="BF487" s="49">
        <f t="shared" si="495"/>
        <v>0</v>
      </c>
      <c r="BG487" s="49">
        <f t="shared" si="496"/>
        <v>0</v>
      </c>
      <c r="BH487" s="49">
        <f t="shared" si="497"/>
        <v>1</v>
      </c>
      <c r="BI487" s="49">
        <f t="shared" si="498"/>
        <v>0</v>
      </c>
      <c r="BJ487" s="49">
        <f t="shared" si="499"/>
        <v>0</v>
      </c>
      <c r="BK487" s="49">
        <f t="shared" si="500"/>
        <v>0</v>
      </c>
      <c r="BL487" s="49">
        <f t="shared" si="501"/>
        <v>1</v>
      </c>
      <c r="BM487" s="49">
        <f t="shared" si="502"/>
        <v>0</v>
      </c>
      <c r="BN487" s="49">
        <f t="shared" si="503"/>
        <v>0</v>
      </c>
      <c r="BO487" s="49">
        <f t="shared" si="504"/>
        <v>0</v>
      </c>
      <c r="BP487" s="49">
        <f t="shared" si="505"/>
        <v>1</v>
      </c>
      <c r="BQ487" s="49">
        <f t="shared" si="506"/>
        <v>0</v>
      </c>
      <c r="BR487" s="49">
        <f t="shared" si="507"/>
        <v>0</v>
      </c>
      <c r="BS487" s="49">
        <f t="shared" si="508"/>
        <v>0</v>
      </c>
      <c r="BT487" s="49">
        <f t="shared" si="509"/>
        <v>1</v>
      </c>
      <c r="BU487" s="49">
        <f t="shared" si="510"/>
        <v>0</v>
      </c>
      <c r="BV487" s="49">
        <f t="shared" si="511"/>
        <v>0</v>
      </c>
      <c r="BW487" s="49">
        <f t="shared" si="512"/>
        <v>0</v>
      </c>
    </row>
    <row r="488" spans="1:75" ht="35.1" customHeight="1" x14ac:dyDescent="0.3">
      <c r="A488" s="123" t="str">
        <f t="shared" si="477"/>
        <v>4팀</v>
      </c>
      <c r="B488" s="69">
        <f t="shared" si="478"/>
        <v>482</v>
      </c>
      <c r="C488" s="121" t="str">
        <f>IF(VLOOKUP($B488,'1. 현장별 인원현황'!$C:$J,2,0)=0,"",VLOOKUP($B488,'1. 현장별 인원현황'!$C:$J,2,0))</f>
        <v xml:space="preserve"> [4.롯데건설] 롯데바이오로직스 Project PROVIDENCE</v>
      </c>
      <c r="D488" s="74" t="str">
        <f>IF(VLOOKUP($B488,'1. 현장별 인원현황'!$C:$J,3,0)=0,"",VLOOKUP($B488,'1. 현장별 인원현황'!$C:$J,3,0))</f>
        <v>구인기</v>
      </c>
      <c r="E488" s="74" t="str">
        <f ca="1">IF(VLOOKUP($B488,'1. 현장별 인원현황'!$C:$J,4,0)=0,"",VLOOKUP($B488,'1. 현장별 인원현황'!$C:$J,4,0))</f>
        <v>51세</v>
      </c>
      <c r="F488" s="70" t="str">
        <f>IF(VLOOKUP($B488,'1. 현장별 인원현황'!$C:$J,7,0)=0,"",VLOOKUP($B488,'1. 현장별 인원현황'!$C:$J,7,0))</f>
        <v>기능공</v>
      </c>
      <c r="G488" s="72" t="str">
        <f>IF(VLOOKUP($B488,'1. 현장별 인원현황'!$C:$J,8,0)=0,"",VLOOKUP($B488,'1. 현장별 인원현황'!$C:$J,8,0))</f>
        <v>전공</v>
      </c>
      <c r="H488" s="67" t="s">
        <v>69</v>
      </c>
      <c r="I488" s="73"/>
      <c r="J488" s="73"/>
      <c r="K488" s="68"/>
      <c r="L488" s="67"/>
      <c r="M488" s="73"/>
      <c r="N488" s="73" t="s">
        <v>69</v>
      </c>
      <c r="O488" s="68"/>
      <c r="P488" s="67" t="s">
        <v>69</v>
      </c>
      <c r="Q488" s="73"/>
      <c r="R488" s="73"/>
      <c r="S488" s="68"/>
      <c r="T488" s="67"/>
      <c r="U488" s="73" t="s">
        <v>69</v>
      </c>
      <c r="V488" s="73"/>
      <c r="W488" s="68"/>
      <c r="X488" s="67" t="s">
        <v>69</v>
      </c>
      <c r="Y488" s="73"/>
      <c r="Z488" s="73"/>
      <c r="AA488" s="68"/>
      <c r="AB488" s="67" t="s">
        <v>69</v>
      </c>
      <c r="AC488" s="73"/>
      <c r="AD488" s="73"/>
      <c r="AE488" s="68"/>
      <c r="AF488" s="67" t="s">
        <v>69</v>
      </c>
      <c r="AG488" s="73"/>
      <c r="AH488" s="73"/>
      <c r="AI488" s="68"/>
      <c r="AJ488" s="67" t="s">
        <v>69</v>
      </c>
      <c r="AK488" s="73"/>
      <c r="AL488" s="73"/>
      <c r="AM488" s="68"/>
      <c r="AN488" s="67">
        <f t="shared" si="479"/>
        <v>88</v>
      </c>
      <c r="AO488" s="68" t="str">
        <f t="shared" si="480"/>
        <v>S</v>
      </c>
      <c r="AR488" s="49">
        <f t="shared" si="481"/>
        <v>1</v>
      </c>
      <c r="AS488" s="49">
        <f t="shared" si="482"/>
        <v>0</v>
      </c>
      <c r="AT488" s="49">
        <f t="shared" si="483"/>
        <v>0</v>
      </c>
      <c r="AU488" s="49">
        <f t="shared" si="484"/>
        <v>0</v>
      </c>
      <c r="AV488" s="49">
        <f t="shared" si="485"/>
        <v>0</v>
      </c>
      <c r="AW488" s="49">
        <f t="shared" si="486"/>
        <v>0</v>
      </c>
      <c r="AX488" s="49">
        <f t="shared" si="487"/>
        <v>1</v>
      </c>
      <c r="AY488" s="49">
        <f t="shared" si="488"/>
        <v>0</v>
      </c>
      <c r="AZ488" s="49">
        <f t="shared" si="489"/>
        <v>1</v>
      </c>
      <c r="BA488" s="49">
        <f t="shared" si="490"/>
        <v>0</v>
      </c>
      <c r="BB488" s="49">
        <f t="shared" si="491"/>
        <v>0</v>
      </c>
      <c r="BC488" s="49">
        <f t="shared" si="492"/>
        <v>0</v>
      </c>
      <c r="BD488" s="49">
        <f t="shared" si="493"/>
        <v>0</v>
      </c>
      <c r="BE488" s="49">
        <f t="shared" si="494"/>
        <v>1</v>
      </c>
      <c r="BF488" s="49">
        <f t="shared" si="495"/>
        <v>0</v>
      </c>
      <c r="BG488" s="49">
        <f t="shared" si="496"/>
        <v>0</v>
      </c>
      <c r="BH488" s="49">
        <f t="shared" si="497"/>
        <v>1</v>
      </c>
      <c r="BI488" s="49">
        <f t="shared" si="498"/>
        <v>0</v>
      </c>
      <c r="BJ488" s="49">
        <f t="shared" si="499"/>
        <v>0</v>
      </c>
      <c r="BK488" s="49">
        <f t="shared" si="500"/>
        <v>0</v>
      </c>
      <c r="BL488" s="49">
        <f t="shared" si="501"/>
        <v>1</v>
      </c>
      <c r="BM488" s="49">
        <f t="shared" si="502"/>
        <v>0</v>
      </c>
      <c r="BN488" s="49">
        <f t="shared" si="503"/>
        <v>0</v>
      </c>
      <c r="BO488" s="49">
        <f t="shared" si="504"/>
        <v>0</v>
      </c>
      <c r="BP488" s="49">
        <f t="shared" si="505"/>
        <v>1</v>
      </c>
      <c r="BQ488" s="49">
        <f t="shared" si="506"/>
        <v>0</v>
      </c>
      <c r="BR488" s="49">
        <f t="shared" si="507"/>
        <v>0</v>
      </c>
      <c r="BS488" s="49">
        <f t="shared" si="508"/>
        <v>0</v>
      </c>
      <c r="BT488" s="49">
        <f t="shared" si="509"/>
        <v>1</v>
      </c>
      <c r="BU488" s="49">
        <f t="shared" si="510"/>
        <v>0</v>
      </c>
      <c r="BV488" s="49">
        <f t="shared" si="511"/>
        <v>0</v>
      </c>
      <c r="BW488" s="49">
        <f t="shared" si="512"/>
        <v>0</v>
      </c>
    </row>
    <row r="489" spans="1:75" ht="35.1" customHeight="1" x14ac:dyDescent="0.3">
      <c r="A489" s="123" t="str">
        <f t="shared" si="477"/>
        <v>4팀</v>
      </c>
      <c r="B489" s="69">
        <f t="shared" si="478"/>
        <v>483</v>
      </c>
      <c r="C489" s="121" t="str">
        <f>IF(VLOOKUP($B489,'1. 현장별 인원현황'!$C:$J,2,0)=0,"",VLOOKUP($B489,'1. 현장별 인원현황'!$C:$J,2,0))</f>
        <v xml:space="preserve"> [4.롯데건설] 롯데바이오로직스 Project PROVIDENCE</v>
      </c>
      <c r="D489" s="74" t="str">
        <f>IF(VLOOKUP($B489,'1. 현장별 인원현황'!$C:$J,3,0)=0,"",VLOOKUP($B489,'1. 현장별 인원현황'!$C:$J,3,0))</f>
        <v>손지수</v>
      </c>
      <c r="E489" s="74" t="str">
        <f ca="1">IF(VLOOKUP($B489,'1. 현장별 인원현황'!$C:$J,4,0)=0,"",VLOOKUP($B489,'1. 현장별 인원현황'!$C:$J,4,0))</f>
        <v>31세</v>
      </c>
      <c r="F489" s="70" t="str">
        <f>IF(VLOOKUP($B489,'1. 현장별 인원현황'!$C:$J,7,0)=0,"",VLOOKUP($B489,'1. 현장별 인원현황'!$C:$J,7,0))</f>
        <v>기능공</v>
      </c>
      <c r="G489" s="72" t="str">
        <f>IF(VLOOKUP($B489,'1. 현장별 인원현황'!$C:$J,8,0)=0,"",VLOOKUP($B489,'1. 현장별 인원현황'!$C:$J,8,0))</f>
        <v>전공</v>
      </c>
      <c r="H489" s="67" t="s">
        <v>69</v>
      </c>
      <c r="I489" s="73"/>
      <c r="J489" s="73"/>
      <c r="K489" s="68"/>
      <c r="L489" s="67"/>
      <c r="M489" s="73"/>
      <c r="N489" s="73" t="s">
        <v>69</v>
      </c>
      <c r="O489" s="68"/>
      <c r="P489" s="67" t="s">
        <v>69</v>
      </c>
      <c r="Q489" s="73"/>
      <c r="R489" s="73"/>
      <c r="S489" s="68"/>
      <c r="T489" s="67"/>
      <c r="U489" s="73" t="s">
        <v>69</v>
      </c>
      <c r="V489" s="73"/>
      <c r="W489" s="68"/>
      <c r="X489" s="67" t="s">
        <v>69</v>
      </c>
      <c r="Y489" s="73"/>
      <c r="Z489" s="73"/>
      <c r="AA489" s="68"/>
      <c r="AB489" s="67" t="s">
        <v>69</v>
      </c>
      <c r="AC489" s="73"/>
      <c r="AD489" s="73"/>
      <c r="AE489" s="68"/>
      <c r="AF489" s="67" t="s">
        <v>69</v>
      </c>
      <c r="AG489" s="73"/>
      <c r="AH489" s="73"/>
      <c r="AI489" s="68"/>
      <c r="AJ489" s="67" t="s">
        <v>69</v>
      </c>
      <c r="AK489" s="73"/>
      <c r="AL489" s="73"/>
      <c r="AM489" s="68"/>
      <c r="AN489" s="67">
        <f t="shared" si="479"/>
        <v>88</v>
      </c>
      <c r="AO489" s="68" t="str">
        <f t="shared" si="480"/>
        <v>S</v>
      </c>
      <c r="AR489" s="49">
        <f t="shared" si="481"/>
        <v>1</v>
      </c>
      <c r="AS489" s="49">
        <f t="shared" si="482"/>
        <v>0</v>
      </c>
      <c r="AT489" s="49">
        <f t="shared" si="483"/>
        <v>0</v>
      </c>
      <c r="AU489" s="49">
        <f t="shared" si="484"/>
        <v>0</v>
      </c>
      <c r="AV489" s="49">
        <f t="shared" si="485"/>
        <v>0</v>
      </c>
      <c r="AW489" s="49">
        <f t="shared" si="486"/>
        <v>0</v>
      </c>
      <c r="AX489" s="49">
        <f t="shared" si="487"/>
        <v>1</v>
      </c>
      <c r="AY489" s="49">
        <f t="shared" si="488"/>
        <v>0</v>
      </c>
      <c r="AZ489" s="49">
        <f t="shared" si="489"/>
        <v>1</v>
      </c>
      <c r="BA489" s="49">
        <f t="shared" si="490"/>
        <v>0</v>
      </c>
      <c r="BB489" s="49">
        <f t="shared" si="491"/>
        <v>0</v>
      </c>
      <c r="BC489" s="49">
        <f t="shared" si="492"/>
        <v>0</v>
      </c>
      <c r="BD489" s="49">
        <f t="shared" si="493"/>
        <v>0</v>
      </c>
      <c r="BE489" s="49">
        <f t="shared" si="494"/>
        <v>1</v>
      </c>
      <c r="BF489" s="49">
        <f t="shared" si="495"/>
        <v>0</v>
      </c>
      <c r="BG489" s="49">
        <f t="shared" si="496"/>
        <v>0</v>
      </c>
      <c r="BH489" s="49">
        <f t="shared" si="497"/>
        <v>1</v>
      </c>
      <c r="BI489" s="49">
        <f t="shared" si="498"/>
        <v>0</v>
      </c>
      <c r="BJ489" s="49">
        <f t="shared" si="499"/>
        <v>0</v>
      </c>
      <c r="BK489" s="49">
        <f t="shared" si="500"/>
        <v>0</v>
      </c>
      <c r="BL489" s="49">
        <f t="shared" si="501"/>
        <v>1</v>
      </c>
      <c r="BM489" s="49">
        <f t="shared" si="502"/>
        <v>0</v>
      </c>
      <c r="BN489" s="49">
        <f t="shared" si="503"/>
        <v>0</v>
      </c>
      <c r="BO489" s="49">
        <f t="shared" si="504"/>
        <v>0</v>
      </c>
      <c r="BP489" s="49">
        <f t="shared" si="505"/>
        <v>1</v>
      </c>
      <c r="BQ489" s="49">
        <f t="shared" si="506"/>
        <v>0</v>
      </c>
      <c r="BR489" s="49">
        <f t="shared" si="507"/>
        <v>0</v>
      </c>
      <c r="BS489" s="49">
        <f t="shared" si="508"/>
        <v>0</v>
      </c>
      <c r="BT489" s="49">
        <f t="shared" si="509"/>
        <v>1</v>
      </c>
      <c r="BU489" s="49">
        <f t="shared" si="510"/>
        <v>0</v>
      </c>
      <c r="BV489" s="49">
        <f t="shared" si="511"/>
        <v>0</v>
      </c>
      <c r="BW489" s="49">
        <f t="shared" si="512"/>
        <v>0</v>
      </c>
    </row>
    <row r="490" spans="1:75" ht="35.1" customHeight="1" x14ac:dyDescent="0.3">
      <c r="A490" s="123" t="str">
        <f t="shared" si="477"/>
        <v>4팀</v>
      </c>
      <c r="B490" s="69">
        <f t="shared" si="478"/>
        <v>484</v>
      </c>
      <c r="C490" s="121" t="str">
        <f>IF(VLOOKUP($B490,'1. 현장별 인원현황'!$C:$J,2,0)=0,"",VLOOKUP($B490,'1. 현장별 인원현황'!$C:$J,2,0))</f>
        <v xml:space="preserve"> [4.롯데건설] 롯데바이오로직스 Project PROVIDENCE</v>
      </c>
      <c r="D490" s="74" t="str">
        <f>IF(VLOOKUP($B490,'1. 현장별 인원현황'!$C:$J,3,0)=0,"",VLOOKUP($B490,'1. 현장별 인원현황'!$C:$J,3,0))</f>
        <v>정승일</v>
      </c>
      <c r="E490" s="74" t="str">
        <f ca="1">IF(VLOOKUP($B490,'1. 현장별 인원현황'!$C:$J,4,0)=0,"",VLOOKUP($B490,'1. 현장별 인원현황'!$C:$J,4,0))</f>
        <v>29세</v>
      </c>
      <c r="F490" s="70" t="str">
        <f>IF(VLOOKUP($B490,'1. 현장별 인원현황'!$C:$J,7,0)=0,"",VLOOKUP($B490,'1. 현장별 인원현황'!$C:$J,7,0))</f>
        <v>기능공</v>
      </c>
      <c r="G490" s="72" t="str">
        <f>IF(VLOOKUP($B490,'1. 현장별 인원현황'!$C:$J,8,0)=0,"",VLOOKUP($B490,'1. 현장별 인원현황'!$C:$J,8,0))</f>
        <v>전공</v>
      </c>
      <c r="H490" s="67" t="s">
        <v>69</v>
      </c>
      <c r="I490" s="73"/>
      <c r="J490" s="73"/>
      <c r="K490" s="68"/>
      <c r="L490" s="67"/>
      <c r="M490" s="73"/>
      <c r="N490" s="73" t="s">
        <v>69</v>
      </c>
      <c r="O490" s="68"/>
      <c r="P490" s="67" t="s">
        <v>69</v>
      </c>
      <c r="Q490" s="73"/>
      <c r="R490" s="73"/>
      <c r="S490" s="68"/>
      <c r="T490" s="67"/>
      <c r="U490" s="73" t="s">
        <v>69</v>
      </c>
      <c r="V490" s="73"/>
      <c r="W490" s="68"/>
      <c r="X490" s="67" t="s">
        <v>69</v>
      </c>
      <c r="Y490" s="73"/>
      <c r="Z490" s="73"/>
      <c r="AA490" s="68"/>
      <c r="AB490" s="67" t="s">
        <v>69</v>
      </c>
      <c r="AC490" s="73"/>
      <c r="AD490" s="73"/>
      <c r="AE490" s="68"/>
      <c r="AF490" s="67" t="s">
        <v>69</v>
      </c>
      <c r="AG490" s="73"/>
      <c r="AH490" s="73"/>
      <c r="AI490" s="68"/>
      <c r="AJ490" s="67" t="s">
        <v>69</v>
      </c>
      <c r="AK490" s="73"/>
      <c r="AL490" s="73"/>
      <c r="AM490" s="68"/>
      <c r="AN490" s="67">
        <f t="shared" si="479"/>
        <v>88</v>
      </c>
      <c r="AO490" s="68" t="str">
        <f t="shared" si="480"/>
        <v>S</v>
      </c>
      <c r="AR490" s="49">
        <f t="shared" si="481"/>
        <v>1</v>
      </c>
      <c r="AS490" s="49">
        <f t="shared" si="482"/>
        <v>0</v>
      </c>
      <c r="AT490" s="49">
        <f t="shared" si="483"/>
        <v>0</v>
      </c>
      <c r="AU490" s="49">
        <f t="shared" si="484"/>
        <v>0</v>
      </c>
      <c r="AV490" s="49">
        <f t="shared" si="485"/>
        <v>0</v>
      </c>
      <c r="AW490" s="49">
        <f t="shared" si="486"/>
        <v>0</v>
      </c>
      <c r="AX490" s="49">
        <f t="shared" si="487"/>
        <v>1</v>
      </c>
      <c r="AY490" s="49">
        <f t="shared" si="488"/>
        <v>0</v>
      </c>
      <c r="AZ490" s="49">
        <f t="shared" si="489"/>
        <v>1</v>
      </c>
      <c r="BA490" s="49">
        <f t="shared" si="490"/>
        <v>0</v>
      </c>
      <c r="BB490" s="49">
        <f t="shared" si="491"/>
        <v>0</v>
      </c>
      <c r="BC490" s="49">
        <f t="shared" si="492"/>
        <v>0</v>
      </c>
      <c r="BD490" s="49">
        <f t="shared" si="493"/>
        <v>0</v>
      </c>
      <c r="BE490" s="49">
        <f t="shared" si="494"/>
        <v>1</v>
      </c>
      <c r="BF490" s="49">
        <f t="shared" si="495"/>
        <v>0</v>
      </c>
      <c r="BG490" s="49">
        <f t="shared" si="496"/>
        <v>0</v>
      </c>
      <c r="BH490" s="49">
        <f t="shared" si="497"/>
        <v>1</v>
      </c>
      <c r="BI490" s="49">
        <f t="shared" si="498"/>
        <v>0</v>
      </c>
      <c r="BJ490" s="49">
        <f t="shared" si="499"/>
        <v>0</v>
      </c>
      <c r="BK490" s="49">
        <f t="shared" si="500"/>
        <v>0</v>
      </c>
      <c r="BL490" s="49">
        <f t="shared" si="501"/>
        <v>1</v>
      </c>
      <c r="BM490" s="49">
        <f t="shared" si="502"/>
        <v>0</v>
      </c>
      <c r="BN490" s="49">
        <f t="shared" si="503"/>
        <v>0</v>
      </c>
      <c r="BO490" s="49">
        <f t="shared" si="504"/>
        <v>0</v>
      </c>
      <c r="BP490" s="49">
        <f t="shared" si="505"/>
        <v>1</v>
      </c>
      <c r="BQ490" s="49">
        <f t="shared" si="506"/>
        <v>0</v>
      </c>
      <c r="BR490" s="49">
        <f t="shared" si="507"/>
        <v>0</v>
      </c>
      <c r="BS490" s="49">
        <f t="shared" si="508"/>
        <v>0</v>
      </c>
      <c r="BT490" s="49">
        <f t="shared" si="509"/>
        <v>1</v>
      </c>
      <c r="BU490" s="49">
        <f t="shared" si="510"/>
        <v>0</v>
      </c>
      <c r="BV490" s="49">
        <f t="shared" si="511"/>
        <v>0</v>
      </c>
      <c r="BW490" s="49">
        <f t="shared" si="512"/>
        <v>0</v>
      </c>
    </row>
    <row r="491" spans="1:75" ht="35.1" customHeight="1" x14ac:dyDescent="0.3">
      <c r="A491" s="123" t="str">
        <f t="shared" si="477"/>
        <v>4팀</v>
      </c>
      <c r="B491" s="69">
        <f t="shared" si="478"/>
        <v>485</v>
      </c>
      <c r="C491" s="121" t="str">
        <f>IF(VLOOKUP($B491,'1. 현장별 인원현황'!$C:$J,2,0)=0,"",VLOOKUP($B491,'1. 현장별 인원현황'!$C:$J,2,0))</f>
        <v xml:space="preserve"> [4.롯데건설] 롯데바이오로직스 Project PROVIDENCE</v>
      </c>
      <c r="D491" s="74" t="str">
        <f>IF(VLOOKUP($B491,'1. 현장별 인원현황'!$C:$J,3,0)=0,"",VLOOKUP($B491,'1. 현장별 인원현황'!$C:$J,3,0))</f>
        <v>정준호</v>
      </c>
      <c r="E491" s="74" t="str">
        <f ca="1">IF(VLOOKUP($B491,'1. 현장별 인원현황'!$C:$J,4,0)=0,"",VLOOKUP($B491,'1. 현장별 인원현황'!$C:$J,4,0))</f>
        <v>53세</v>
      </c>
      <c r="F491" s="70" t="str">
        <f>IF(VLOOKUP($B491,'1. 현장별 인원현황'!$C:$J,7,0)=0,"",VLOOKUP($B491,'1. 현장별 인원현황'!$C:$J,7,0))</f>
        <v>기능공</v>
      </c>
      <c r="G491" s="72" t="str">
        <f>IF(VLOOKUP($B491,'1. 현장별 인원현황'!$C:$J,8,0)=0,"",VLOOKUP($B491,'1. 현장별 인원현황'!$C:$J,8,0))</f>
        <v>전공</v>
      </c>
      <c r="H491" s="67" t="s">
        <v>69</v>
      </c>
      <c r="I491" s="73"/>
      <c r="J491" s="73"/>
      <c r="K491" s="68"/>
      <c r="L491" s="67"/>
      <c r="M491" s="73"/>
      <c r="N491" s="73" t="s">
        <v>69</v>
      </c>
      <c r="O491" s="68"/>
      <c r="P491" s="67" t="s">
        <v>69</v>
      </c>
      <c r="Q491" s="73"/>
      <c r="R491" s="73"/>
      <c r="S491" s="68"/>
      <c r="T491" s="67"/>
      <c r="U491" s="73" t="s">
        <v>69</v>
      </c>
      <c r="V491" s="73"/>
      <c r="W491" s="68"/>
      <c r="X491" s="67" t="s">
        <v>69</v>
      </c>
      <c r="Y491" s="73"/>
      <c r="Z491" s="73"/>
      <c r="AA491" s="68"/>
      <c r="AB491" s="67" t="s">
        <v>69</v>
      </c>
      <c r="AC491" s="73"/>
      <c r="AD491" s="73"/>
      <c r="AE491" s="68"/>
      <c r="AF491" s="67" t="s">
        <v>69</v>
      </c>
      <c r="AG491" s="73"/>
      <c r="AH491" s="73"/>
      <c r="AI491" s="68"/>
      <c r="AJ491" s="67" t="s">
        <v>69</v>
      </c>
      <c r="AK491" s="73"/>
      <c r="AL491" s="73"/>
      <c r="AM491" s="68"/>
      <c r="AN491" s="67">
        <f t="shared" si="479"/>
        <v>88</v>
      </c>
      <c r="AO491" s="68" t="str">
        <f t="shared" si="480"/>
        <v>S</v>
      </c>
      <c r="AR491" s="49">
        <f t="shared" si="481"/>
        <v>1</v>
      </c>
      <c r="AS491" s="49">
        <f t="shared" si="482"/>
        <v>0</v>
      </c>
      <c r="AT491" s="49">
        <f t="shared" si="483"/>
        <v>0</v>
      </c>
      <c r="AU491" s="49">
        <f t="shared" si="484"/>
        <v>0</v>
      </c>
      <c r="AV491" s="49">
        <f t="shared" si="485"/>
        <v>0</v>
      </c>
      <c r="AW491" s="49">
        <f t="shared" si="486"/>
        <v>0</v>
      </c>
      <c r="AX491" s="49">
        <f t="shared" si="487"/>
        <v>1</v>
      </c>
      <c r="AY491" s="49">
        <f t="shared" si="488"/>
        <v>0</v>
      </c>
      <c r="AZ491" s="49">
        <f t="shared" si="489"/>
        <v>1</v>
      </c>
      <c r="BA491" s="49">
        <f t="shared" si="490"/>
        <v>0</v>
      </c>
      <c r="BB491" s="49">
        <f t="shared" si="491"/>
        <v>0</v>
      </c>
      <c r="BC491" s="49">
        <f t="shared" si="492"/>
        <v>0</v>
      </c>
      <c r="BD491" s="49">
        <f t="shared" si="493"/>
        <v>0</v>
      </c>
      <c r="BE491" s="49">
        <f t="shared" si="494"/>
        <v>1</v>
      </c>
      <c r="BF491" s="49">
        <f t="shared" si="495"/>
        <v>0</v>
      </c>
      <c r="BG491" s="49">
        <f t="shared" si="496"/>
        <v>0</v>
      </c>
      <c r="BH491" s="49">
        <f t="shared" si="497"/>
        <v>1</v>
      </c>
      <c r="BI491" s="49">
        <f t="shared" si="498"/>
        <v>0</v>
      </c>
      <c r="BJ491" s="49">
        <f t="shared" si="499"/>
        <v>0</v>
      </c>
      <c r="BK491" s="49">
        <f t="shared" si="500"/>
        <v>0</v>
      </c>
      <c r="BL491" s="49">
        <f t="shared" si="501"/>
        <v>1</v>
      </c>
      <c r="BM491" s="49">
        <f t="shared" si="502"/>
        <v>0</v>
      </c>
      <c r="BN491" s="49">
        <f t="shared" si="503"/>
        <v>0</v>
      </c>
      <c r="BO491" s="49">
        <f t="shared" si="504"/>
        <v>0</v>
      </c>
      <c r="BP491" s="49">
        <f t="shared" si="505"/>
        <v>1</v>
      </c>
      <c r="BQ491" s="49">
        <f t="shared" si="506"/>
        <v>0</v>
      </c>
      <c r="BR491" s="49">
        <f t="shared" si="507"/>
        <v>0</v>
      </c>
      <c r="BS491" s="49">
        <f t="shared" si="508"/>
        <v>0</v>
      </c>
      <c r="BT491" s="49">
        <f t="shared" si="509"/>
        <v>1</v>
      </c>
      <c r="BU491" s="49">
        <f t="shared" si="510"/>
        <v>0</v>
      </c>
      <c r="BV491" s="49">
        <f t="shared" si="511"/>
        <v>0</v>
      </c>
      <c r="BW491" s="49">
        <f t="shared" si="512"/>
        <v>0</v>
      </c>
    </row>
    <row r="492" spans="1:75" ht="35.1" customHeight="1" x14ac:dyDescent="0.3">
      <c r="A492" s="123" t="str">
        <f t="shared" si="477"/>
        <v>4팀</v>
      </c>
      <c r="B492" s="69">
        <f t="shared" si="478"/>
        <v>486</v>
      </c>
      <c r="C492" s="121" t="str">
        <f>IF(VLOOKUP($B492,'1. 현장별 인원현황'!$C:$J,2,0)=0,"",VLOOKUP($B492,'1. 현장별 인원현황'!$C:$J,2,0))</f>
        <v xml:space="preserve"> [4.롯데건설] 롯데바이오로직스 Project PROVIDENCE</v>
      </c>
      <c r="D492" s="74" t="str">
        <f>IF(VLOOKUP($B492,'1. 현장별 인원현황'!$C:$J,3,0)=0,"",VLOOKUP($B492,'1. 현장별 인원현황'!$C:$J,3,0))</f>
        <v>정현범</v>
      </c>
      <c r="E492" s="74" t="str">
        <f ca="1">IF(VLOOKUP($B492,'1. 현장별 인원현황'!$C:$J,4,0)=0,"",VLOOKUP($B492,'1. 현장별 인원현황'!$C:$J,4,0))</f>
        <v>36세</v>
      </c>
      <c r="F492" s="70" t="str">
        <f>IF(VLOOKUP($B492,'1. 현장별 인원현황'!$C:$J,7,0)=0,"",VLOOKUP($B492,'1. 현장별 인원현황'!$C:$J,7,0))</f>
        <v>기능공</v>
      </c>
      <c r="G492" s="72" t="str">
        <f>IF(VLOOKUP($B492,'1. 현장별 인원현황'!$C:$J,8,0)=0,"",VLOOKUP($B492,'1. 현장별 인원현황'!$C:$J,8,0))</f>
        <v>전공</v>
      </c>
      <c r="H492" s="67" t="s">
        <v>69</v>
      </c>
      <c r="I492" s="73"/>
      <c r="J492" s="73"/>
      <c r="K492" s="68"/>
      <c r="L492" s="67"/>
      <c r="M492" s="73"/>
      <c r="N492" s="73" t="s">
        <v>69</v>
      </c>
      <c r="O492" s="68"/>
      <c r="P492" s="67" t="s">
        <v>69</v>
      </c>
      <c r="Q492" s="73"/>
      <c r="R492" s="73"/>
      <c r="S492" s="68"/>
      <c r="T492" s="67"/>
      <c r="U492" s="73" t="s">
        <v>69</v>
      </c>
      <c r="V492" s="73"/>
      <c r="W492" s="68"/>
      <c r="X492" s="67" t="s">
        <v>69</v>
      </c>
      <c r="Y492" s="73"/>
      <c r="Z492" s="73"/>
      <c r="AA492" s="68"/>
      <c r="AB492" s="67" t="s">
        <v>69</v>
      </c>
      <c r="AC492" s="73"/>
      <c r="AD492" s="73"/>
      <c r="AE492" s="68"/>
      <c r="AF492" s="67" t="s">
        <v>69</v>
      </c>
      <c r="AG492" s="73"/>
      <c r="AH492" s="73"/>
      <c r="AI492" s="68"/>
      <c r="AJ492" s="67" t="s">
        <v>69</v>
      </c>
      <c r="AK492" s="73"/>
      <c r="AL492" s="73"/>
      <c r="AM492" s="68"/>
      <c r="AN492" s="67">
        <f t="shared" si="479"/>
        <v>88</v>
      </c>
      <c r="AO492" s="68" t="str">
        <f t="shared" si="480"/>
        <v>S</v>
      </c>
      <c r="AR492" s="49">
        <f t="shared" si="481"/>
        <v>1</v>
      </c>
      <c r="AS492" s="49">
        <f t="shared" si="482"/>
        <v>0</v>
      </c>
      <c r="AT492" s="49">
        <f t="shared" si="483"/>
        <v>0</v>
      </c>
      <c r="AU492" s="49">
        <f t="shared" si="484"/>
        <v>0</v>
      </c>
      <c r="AV492" s="49">
        <f t="shared" si="485"/>
        <v>0</v>
      </c>
      <c r="AW492" s="49">
        <f t="shared" si="486"/>
        <v>0</v>
      </c>
      <c r="AX492" s="49">
        <f t="shared" si="487"/>
        <v>1</v>
      </c>
      <c r="AY492" s="49">
        <f t="shared" si="488"/>
        <v>0</v>
      </c>
      <c r="AZ492" s="49">
        <f t="shared" si="489"/>
        <v>1</v>
      </c>
      <c r="BA492" s="49">
        <f t="shared" si="490"/>
        <v>0</v>
      </c>
      <c r="BB492" s="49">
        <f t="shared" si="491"/>
        <v>0</v>
      </c>
      <c r="BC492" s="49">
        <f t="shared" si="492"/>
        <v>0</v>
      </c>
      <c r="BD492" s="49">
        <f t="shared" si="493"/>
        <v>0</v>
      </c>
      <c r="BE492" s="49">
        <f t="shared" si="494"/>
        <v>1</v>
      </c>
      <c r="BF492" s="49">
        <f t="shared" si="495"/>
        <v>0</v>
      </c>
      <c r="BG492" s="49">
        <f t="shared" si="496"/>
        <v>0</v>
      </c>
      <c r="BH492" s="49">
        <f t="shared" si="497"/>
        <v>1</v>
      </c>
      <c r="BI492" s="49">
        <f t="shared" si="498"/>
        <v>0</v>
      </c>
      <c r="BJ492" s="49">
        <f t="shared" si="499"/>
        <v>0</v>
      </c>
      <c r="BK492" s="49">
        <f t="shared" si="500"/>
        <v>0</v>
      </c>
      <c r="BL492" s="49">
        <f t="shared" si="501"/>
        <v>1</v>
      </c>
      <c r="BM492" s="49">
        <f t="shared" si="502"/>
        <v>0</v>
      </c>
      <c r="BN492" s="49">
        <f t="shared" si="503"/>
        <v>0</v>
      </c>
      <c r="BO492" s="49">
        <f t="shared" si="504"/>
        <v>0</v>
      </c>
      <c r="BP492" s="49">
        <f t="shared" si="505"/>
        <v>1</v>
      </c>
      <c r="BQ492" s="49">
        <f t="shared" si="506"/>
        <v>0</v>
      </c>
      <c r="BR492" s="49">
        <f t="shared" si="507"/>
        <v>0</v>
      </c>
      <c r="BS492" s="49">
        <f t="shared" si="508"/>
        <v>0</v>
      </c>
      <c r="BT492" s="49">
        <f t="shared" si="509"/>
        <v>1</v>
      </c>
      <c r="BU492" s="49">
        <f t="shared" si="510"/>
        <v>0</v>
      </c>
      <c r="BV492" s="49">
        <f t="shared" si="511"/>
        <v>0</v>
      </c>
      <c r="BW492" s="49">
        <f t="shared" si="512"/>
        <v>0</v>
      </c>
    </row>
    <row r="493" spans="1:75" ht="35.1" customHeight="1" x14ac:dyDescent="0.3">
      <c r="A493" s="123" t="str">
        <f t="shared" si="477"/>
        <v>4팀</v>
      </c>
      <c r="B493" s="69">
        <f t="shared" si="478"/>
        <v>487</v>
      </c>
      <c r="C493" s="121" t="str">
        <f>IF(VLOOKUP($B493,'1. 현장별 인원현황'!$C:$J,2,0)=0,"",VLOOKUP($B493,'1. 현장별 인원현황'!$C:$J,2,0))</f>
        <v xml:space="preserve"> [4.롯데건설] 롯데바이오로직스 Project PROVIDENCE</v>
      </c>
      <c r="D493" s="74" t="str">
        <f>IF(VLOOKUP($B493,'1. 현장별 인원현황'!$C:$J,3,0)=0,"",VLOOKUP($B493,'1. 현장별 인원현황'!$C:$J,3,0))</f>
        <v>최희선</v>
      </c>
      <c r="E493" s="74" t="str">
        <f ca="1">IF(VLOOKUP($B493,'1. 현장별 인원현황'!$C:$J,4,0)=0,"",VLOOKUP($B493,'1. 현장별 인원현황'!$C:$J,4,0))</f>
        <v>55세</v>
      </c>
      <c r="F493" s="70" t="str">
        <f>IF(VLOOKUP($B493,'1. 현장별 인원현황'!$C:$J,7,0)=0,"",VLOOKUP($B493,'1. 현장별 인원현황'!$C:$J,7,0))</f>
        <v>기능공</v>
      </c>
      <c r="G493" s="72" t="str">
        <f>IF(VLOOKUP($B493,'1. 현장별 인원현황'!$C:$J,8,0)=0,"",VLOOKUP($B493,'1. 현장별 인원현황'!$C:$J,8,0))</f>
        <v>전공</v>
      </c>
      <c r="H493" s="67" t="s">
        <v>69</v>
      </c>
      <c r="I493" s="73"/>
      <c r="J493" s="73"/>
      <c r="K493" s="68"/>
      <c r="L493" s="67"/>
      <c r="M493" s="73"/>
      <c r="N493" s="73" t="s">
        <v>69</v>
      </c>
      <c r="O493" s="68"/>
      <c r="P493" s="67" t="s">
        <v>69</v>
      </c>
      <c r="Q493" s="73"/>
      <c r="R493" s="73"/>
      <c r="S493" s="68"/>
      <c r="T493" s="67"/>
      <c r="U493" s="73" t="s">
        <v>69</v>
      </c>
      <c r="V493" s="73"/>
      <c r="W493" s="68"/>
      <c r="X493" s="67" t="s">
        <v>69</v>
      </c>
      <c r="Y493" s="73"/>
      <c r="Z493" s="73"/>
      <c r="AA493" s="68"/>
      <c r="AB493" s="67" t="s">
        <v>69</v>
      </c>
      <c r="AC493" s="73"/>
      <c r="AD493" s="73"/>
      <c r="AE493" s="68"/>
      <c r="AF493" s="67" t="s">
        <v>69</v>
      </c>
      <c r="AG493" s="73"/>
      <c r="AH493" s="73"/>
      <c r="AI493" s="68"/>
      <c r="AJ493" s="67" t="s">
        <v>69</v>
      </c>
      <c r="AK493" s="73"/>
      <c r="AL493" s="73"/>
      <c r="AM493" s="68"/>
      <c r="AN493" s="67">
        <f t="shared" si="479"/>
        <v>88</v>
      </c>
      <c r="AO493" s="68" t="str">
        <f t="shared" si="480"/>
        <v>S</v>
      </c>
      <c r="AR493" s="49">
        <f t="shared" si="481"/>
        <v>1</v>
      </c>
      <c r="AS493" s="49">
        <f t="shared" si="482"/>
        <v>0</v>
      </c>
      <c r="AT493" s="49">
        <f t="shared" si="483"/>
        <v>0</v>
      </c>
      <c r="AU493" s="49">
        <f t="shared" si="484"/>
        <v>0</v>
      </c>
      <c r="AV493" s="49">
        <f t="shared" si="485"/>
        <v>0</v>
      </c>
      <c r="AW493" s="49">
        <f t="shared" si="486"/>
        <v>0</v>
      </c>
      <c r="AX493" s="49">
        <f t="shared" si="487"/>
        <v>1</v>
      </c>
      <c r="AY493" s="49">
        <f t="shared" si="488"/>
        <v>0</v>
      </c>
      <c r="AZ493" s="49">
        <f t="shared" si="489"/>
        <v>1</v>
      </c>
      <c r="BA493" s="49">
        <f t="shared" si="490"/>
        <v>0</v>
      </c>
      <c r="BB493" s="49">
        <f t="shared" si="491"/>
        <v>0</v>
      </c>
      <c r="BC493" s="49">
        <f t="shared" si="492"/>
        <v>0</v>
      </c>
      <c r="BD493" s="49">
        <f t="shared" si="493"/>
        <v>0</v>
      </c>
      <c r="BE493" s="49">
        <f t="shared" si="494"/>
        <v>1</v>
      </c>
      <c r="BF493" s="49">
        <f t="shared" si="495"/>
        <v>0</v>
      </c>
      <c r="BG493" s="49">
        <f t="shared" si="496"/>
        <v>0</v>
      </c>
      <c r="BH493" s="49">
        <f t="shared" si="497"/>
        <v>1</v>
      </c>
      <c r="BI493" s="49">
        <f t="shared" si="498"/>
        <v>0</v>
      </c>
      <c r="BJ493" s="49">
        <f t="shared" si="499"/>
        <v>0</v>
      </c>
      <c r="BK493" s="49">
        <f t="shared" si="500"/>
        <v>0</v>
      </c>
      <c r="BL493" s="49">
        <f t="shared" si="501"/>
        <v>1</v>
      </c>
      <c r="BM493" s="49">
        <f t="shared" si="502"/>
        <v>0</v>
      </c>
      <c r="BN493" s="49">
        <f t="shared" si="503"/>
        <v>0</v>
      </c>
      <c r="BO493" s="49">
        <f t="shared" si="504"/>
        <v>0</v>
      </c>
      <c r="BP493" s="49">
        <f t="shared" si="505"/>
        <v>1</v>
      </c>
      <c r="BQ493" s="49">
        <f t="shared" si="506"/>
        <v>0</v>
      </c>
      <c r="BR493" s="49">
        <f t="shared" si="507"/>
        <v>0</v>
      </c>
      <c r="BS493" s="49">
        <f t="shared" si="508"/>
        <v>0</v>
      </c>
      <c r="BT493" s="49">
        <f t="shared" si="509"/>
        <v>1</v>
      </c>
      <c r="BU493" s="49">
        <f t="shared" si="510"/>
        <v>0</v>
      </c>
      <c r="BV493" s="49">
        <f t="shared" si="511"/>
        <v>0</v>
      </c>
      <c r="BW493" s="49">
        <f t="shared" si="512"/>
        <v>0</v>
      </c>
    </row>
    <row r="494" spans="1:75" ht="35.1" customHeight="1" x14ac:dyDescent="0.3">
      <c r="A494" s="123" t="str">
        <f t="shared" si="477"/>
        <v>4팀</v>
      </c>
      <c r="B494" s="69">
        <f t="shared" si="478"/>
        <v>488</v>
      </c>
      <c r="C494" s="121" t="str">
        <f>IF(VLOOKUP($B494,'1. 현장별 인원현황'!$C:$J,2,0)=0,"",VLOOKUP($B494,'1. 현장별 인원현황'!$C:$J,2,0))</f>
        <v xml:space="preserve"> [4.롯데건설] 롯데바이오로직스 Project PROVIDENCE</v>
      </c>
      <c r="D494" s="74" t="str">
        <f>IF(VLOOKUP($B494,'1. 현장별 인원현황'!$C:$J,3,0)=0,"",VLOOKUP($B494,'1. 현장별 인원현황'!$C:$J,3,0))</f>
        <v>허재원</v>
      </c>
      <c r="E494" s="74" t="str">
        <f ca="1">IF(VLOOKUP($B494,'1. 현장별 인원현황'!$C:$J,4,0)=0,"",VLOOKUP($B494,'1. 현장별 인원현황'!$C:$J,4,0))</f>
        <v>55세</v>
      </c>
      <c r="F494" s="70" t="str">
        <f>IF(VLOOKUP($B494,'1. 현장별 인원현황'!$C:$J,7,0)=0,"",VLOOKUP($B494,'1. 현장별 인원현황'!$C:$J,7,0))</f>
        <v>기능공</v>
      </c>
      <c r="G494" s="72" t="str">
        <f>IF(VLOOKUP($B494,'1. 현장별 인원현황'!$C:$J,8,0)=0,"",VLOOKUP($B494,'1. 현장별 인원현황'!$C:$J,8,0))</f>
        <v>전공</v>
      </c>
      <c r="H494" s="67" t="s">
        <v>69</v>
      </c>
      <c r="I494" s="73"/>
      <c r="J494" s="73"/>
      <c r="K494" s="68"/>
      <c r="L494" s="67"/>
      <c r="M494" s="73"/>
      <c r="N494" s="73" t="s">
        <v>69</v>
      </c>
      <c r="O494" s="68"/>
      <c r="P494" s="67" t="s">
        <v>69</v>
      </c>
      <c r="Q494" s="73"/>
      <c r="R494" s="73"/>
      <c r="S494" s="68"/>
      <c r="T494" s="67"/>
      <c r="U494" s="73" t="s">
        <v>69</v>
      </c>
      <c r="V494" s="73"/>
      <c r="W494" s="68"/>
      <c r="X494" s="67" t="s">
        <v>69</v>
      </c>
      <c r="Y494" s="73"/>
      <c r="Z494" s="73"/>
      <c r="AA494" s="68"/>
      <c r="AB494" s="67" t="s">
        <v>69</v>
      </c>
      <c r="AC494" s="73"/>
      <c r="AD494" s="73"/>
      <c r="AE494" s="68"/>
      <c r="AF494" s="67" t="s">
        <v>69</v>
      </c>
      <c r="AG494" s="73"/>
      <c r="AH494" s="73"/>
      <c r="AI494" s="68"/>
      <c r="AJ494" s="67" t="s">
        <v>69</v>
      </c>
      <c r="AK494" s="73"/>
      <c r="AL494" s="73"/>
      <c r="AM494" s="68"/>
      <c r="AN494" s="67">
        <f t="shared" si="479"/>
        <v>88</v>
      </c>
      <c r="AO494" s="68" t="str">
        <f t="shared" si="480"/>
        <v>S</v>
      </c>
      <c r="AR494" s="49">
        <f t="shared" si="481"/>
        <v>1</v>
      </c>
      <c r="AS494" s="49">
        <f t="shared" si="482"/>
        <v>0</v>
      </c>
      <c r="AT494" s="49">
        <f t="shared" si="483"/>
        <v>0</v>
      </c>
      <c r="AU494" s="49">
        <f t="shared" si="484"/>
        <v>0</v>
      </c>
      <c r="AV494" s="49">
        <f t="shared" si="485"/>
        <v>0</v>
      </c>
      <c r="AW494" s="49">
        <f t="shared" si="486"/>
        <v>0</v>
      </c>
      <c r="AX494" s="49">
        <f t="shared" si="487"/>
        <v>1</v>
      </c>
      <c r="AY494" s="49">
        <f t="shared" si="488"/>
        <v>0</v>
      </c>
      <c r="AZ494" s="49">
        <f t="shared" si="489"/>
        <v>1</v>
      </c>
      <c r="BA494" s="49">
        <f t="shared" si="490"/>
        <v>0</v>
      </c>
      <c r="BB494" s="49">
        <f t="shared" si="491"/>
        <v>0</v>
      </c>
      <c r="BC494" s="49">
        <f t="shared" si="492"/>
        <v>0</v>
      </c>
      <c r="BD494" s="49">
        <f t="shared" si="493"/>
        <v>0</v>
      </c>
      <c r="BE494" s="49">
        <f t="shared" si="494"/>
        <v>1</v>
      </c>
      <c r="BF494" s="49">
        <f t="shared" si="495"/>
        <v>0</v>
      </c>
      <c r="BG494" s="49">
        <f t="shared" si="496"/>
        <v>0</v>
      </c>
      <c r="BH494" s="49">
        <f t="shared" si="497"/>
        <v>1</v>
      </c>
      <c r="BI494" s="49">
        <f t="shared" si="498"/>
        <v>0</v>
      </c>
      <c r="BJ494" s="49">
        <f t="shared" si="499"/>
        <v>0</v>
      </c>
      <c r="BK494" s="49">
        <f t="shared" si="500"/>
        <v>0</v>
      </c>
      <c r="BL494" s="49">
        <f t="shared" si="501"/>
        <v>1</v>
      </c>
      <c r="BM494" s="49">
        <f t="shared" si="502"/>
        <v>0</v>
      </c>
      <c r="BN494" s="49">
        <f t="shared" si="503"/>
        <v>0</v>
      </c>
      <c r="BO494" s="49">
        <f t="shared" si="504"/>
        <v>0</v>
      </c>
      <c r="BP494" s="49">
        <f t="shared" si="505"/>
        <v>1</v>
      </c>
      <c r="BQ494" s="49">
        <f t="shared" si="506"/>
        <v>0</v>
      </c>
      <c r="BR494" s="49">
        <f t="shared" si="507"/>
        <v>0</v>
      </c>
      <c r="BS494" s="49">
        <f t="shared" si="508"/>
        <v>0</v>
      </c>
      <c r="BT494" s="49">
        <f t="shared" si="509"/>
        <v>1</v>
      </c>
      <c r="BU494" s="49">
        <f t="shared" si="510"/>
        <v>0</v>
      </c>
      <c r="BV494" s="49">
        <f t="shared" si="511"/>
        <v>0</v>
      </c>
      <c r="BW494" s="49">
        <f t="shared" si="512"/>
        <v>0</v>
      </c>
    </row>
    <row r="495" spans="1:75" ht="35.1" customHeight="1" x14ac:dyDescent="0.3">
      <c r="A495" s="123" t="str">
        <f t="shared" si="477"/>
        <v>4팀</v>
      </c>
      <c r="B495" s="69">
        <f t="shared" si="478"/>
        <v>489</v>
      </c>
      <c r="C495" s="121" t="str">
        <f>IF(VLOOKUP($B495,'1. 현장별 인원현황'!$C:$J,2,0)=0,"",VLOOKUP($B495,'1. 현장별 인원현황'!$C:$J,2,0))</f>
        <v xml:space="preserve"> [4.롯데건설] 롯데바이오로직스 Project PROVIDENCE</v>
      </c>
      <c r="D495" s="74" t="str">
        <f>IF(VLOOKUP($B495,'1. 현장별 인원현황'!$C:$J,3,0)=0,"",VLOOKUP($B495,'1. 현장별 인원현황'!$C:$J,3,0))</f>
        <v>최은석</v>
      </c>
      <c r="E495" s="74" t="str">
        <f ca="1">IF(VLOOKUP($B495,'1. 현장별 인원현황'!$C:$J,4,0)=0,"",VLOOKUP($B495,'1. 현장별 인원현황'!$C:$J,4,0))</f>
        <v>57세</v>
      </c>
      <c r="F495" s="70" t="str">
        <f>IF(VLOOKUP($B495,'1. 현장별 인원현황'!$C:$J,7,0)=0,"",VLOOKUP($B495,'1. 현장별 인원현황'!$C:$J,7,0))</f>
        <v>기능공</v>
      </c>
      <c r="G495" s="72" t="str">
        <f>IF(VLOOKUP($B495,'1. 현장별 인원현황'!$C:$J,8,0)=0,"",VLOOKUP($B495,'1. 현장별 인원현황'!$C:$J,8,0))</f>
        <v>전공</v>
      </c>
      <c r="H495" s="67" t="s">
        <v>69</v>
      </c>
      <c r="I495" s="73"/>
      <c r="J495" s="73"/>
      <c r="K495" s="68"/>
      <c r="L495" s="67"/>
      <c r="M495" s="73"/>
      <c r="N495" s="73" t="s">
        <v>69</v>
      </c>
      <c r="O495" s="68"/>
      <c r="P495" s="67" t="s">
        <v>69</v>
      </c>
      <c r="Q495" s="73"/>
      <c r="R495" s="73"/>
      <c r="S495" s="68"/>
      <c r="T495" s="67"/>
      <c r="U495" s="73" t="s">
        <v>69</v>
      </c>
      <c r="V495" s="73"/>
      <c r="W495" s="68"/>
      <c r="X495" s="67" t="s">
        <v>69</v>
      </c>
      <c r="Y495" s="73"/>
      <c r="Z495" s="73"/>
      <c r="AA495" s="68"/>
      <c r="AB495" s="67" t="s">
        <v>69</v>
      </c>
      <c r="AC495" s="73"/>
      <c r="AD495" s="73"/>
      <c r="AE495" s="68"/>
      <c r="AF495" s="67" t="s">
        <v>69</v>
      </c>
      <c r="AG495" s="73"/>
      <c r="AH495" s="73"/>
      <c r="AI495" s="68"/>
      <c r="AJ495" s="67" t="s">
        <v>69</v>
      </c>
      <c r="AK495" s="73"/>
      <c r="AL495" s="73"/>
      <c r="AM495" s="68"/>
      <c r="AN495" s="67">
        <f t="shared" si="479"/>
        <v>88</v>
      </c>
      <c r="AO495" s="68" t="str">
        <f t="shared" si="480"/>
        <v>S</v>
      </c>
      <c r="AR495" s="49">
        <f t="shared" si="481"/>
        <v>1</v>
      </c>
      <c r="AS495" s="49">
        <f t="shared" si="482"/>
        <v>0</v>
      </c>
      <c r="AT495" s="49">
        <f t="shared" si="483"/>
        <v>0</v>
      </c>
      <c r="AU495" s="49">
        <f t="shared" si="484"/>
        <v>0</v>
      </c>
      <c r="AV495" s="49">
        <f t="shared" si="485"/>
        <v>0</v>
      </c>
      <c r="AW495" s="49">
        <f t="shared" si="486"/>
        <v>0</v>
      </c>
      <c r="AX495" s="49">
        <f t="shared" si="487"/>
        <v>1</v>
      </c>
      <c r="AY495" s="49">
        <f t="shared" si="488"/>
        <v>0</v>
      </c>
      <c r="AZ495" s="49">
        <f t="shared" si="489"/>
        <v>1</v>
      </c>
      <c r="BA495" s="49">
        <f t="shared" si="490"/>
        <v>0</v>
      </c>
      <c r="BB495" s="49">
        <f t="shared" si="491"/>
        <v>0</v>
      </c>
      <c r="BC495" s="49">
        <f t="shared" si="492"/>
        <v>0</v>
      </c>
      <c r="BD495" s="49">
        <f t="shared" si="493"/>
        <v>0</v>
      </c>
      <c r="BE495" s="49">
        <f t="shared" si="494"/>
        <v>1</v>
      </c>
      <c r="BF495" s="49">
        <f t="shared" si="495"/>
        <v>0</v>
      </c>
      <c r="BG495" s="49">
        <f t="shared" si="496"/>
        <v>0</v>
      </c>
      <c r="BH495" s="49">
        <f t="shared" si="497"/>
        <v>1</v>
      </c>
      <c r="BI495" s="49">
        <f t="shared" si="498"/>
        <v>0</v>
      </c>
      <c r="BJ495" s="49">
        <f t="shared" si="499"/>
        <v>0</v>
      </c>
      <c r="BK495" s="49">
        <f t="shared" si="500"/>
        <v>0</v>
      </c>
      <c r="BL495" s="49">
        <f t="shared" si="501"/>
        <v>1</v>
      </c>
      <c r="BM495" s="49">
        <f t="shared" si="502"/>
        <v>0</v>
      </c>
      <c r="BN495" s="49">
        <f t="shared" si="503"/>
        <v>0</v>
      </c>
      <c r="BO495" s="49">
        <f t="shared" si="504"/>
        <v>0</v>
      </c>
      <c r="BP495" s="49">
        <f t="shared" si="505"/>
        <v>1</v>
      </c>
      <c r="BQ495" s="49">
        <f t="shared" si="506"/>
        <v>0</v>
      </c>
      <c r="BR495" s="49">
        <f t="shared" si="507"/>
        <v>0</v>
      </c>
      <c r="BS495" s="49">
        <f t="shared" si="508"/>
        <v>0</v>
      </c>
      <c r="BT495" s="49">
        <f t="shared" si="509"/>
        <v>1</v>
      </c>
      <c r="BU495" s="49">
        <f t="shared" si="510"/>
        <v>0</v>
      </c>
      <c r="BV495" s="49">
        <f t="shared" si="511"/>
        <v>0</v>
      </c>
      <c r="BW495" s="49">
        <f t="shared" si="512"/>
        <v>0</v>
      </c>
    </row>
    <row r="496" spans="1:75" ht="35.1" customHeight="1" x14ac:dyDescent="0.3">
      <c r="A496" s="123" t="str">
        <f t="shared" si="477"/>
        <v>4팀</v>
      </c>
      <c r="B496" s="69">
        <f t="shared" si="478"/>
        <v>490</v>
      </c>
      <c r="C496" s="121" t="str">
        <f>IF(VLOOKUP($B496,'1. 현장별 인원현황'!$C:$J,2,0)=0,"",VLOOKUP($B496,'1. 현장별 인원현황'!$C:$J,2,0))</f>
        <v xml:space="preserve"> [4.롯데건설] 롯데바이오로직스 Project PROVIDENCE</v>
      </c>
      <c r="D496" s="74" t="str">
        <f>IF(VLOOKUP($B496,'1. 현장별 인원현황'!$C:$J,3,0)=0,"",VLOOKUP($B496,'1. 현장별 인원현황'!$C:$J,3,0))</f>
        <v>나석주</v>
      </c>
      <c r="E496" s="74" t="str">
        <f ca="1">IF(VLOOKUP($B496,'1. 현장별 인원현황'!$C:$J,4,0)=0,"",VLOOKUP($B496,'1. 현장별 인원현황'!$C:$J,4,0))</f>
        <v>53세</v>
      </c>
      <c r="F496" s="70" t="str">
        <f>IF(VLOOKUP($B496,'1. 현장별 인원현황'!$C:$J,7,0)=0,"",VLOOKUP($B496,'1. 현장별 인원현황'!$C:$J,7,0))</f>
        <v>기능공</v>
      </c>
      <c r="G496" s="72" t="str">
        <f>IF(VLOOKUP($B496,'1. 현장별 인원현황'!$C:$J,8,0)=0,"",VLOOKUP($B496,'1. 현장별 인원현황'!$C:$J,8,0))</f>
        <v>전공</v>
      </c>
      <c r="H496" s="67" t="s">
        <v>69</v>
      </c>
      <c r="I496" s="73"/>
      <c r="J496" s="73"/>
      <c r="K496" s="68"/>
      <c r="L496" s="67"/>
      <c r="M496" s="73"/>
      <c r="N496" s="73" t="s">
        <v>69</v>
      </c>
      <c r="O496" s="68"/>
      <c r="P496" s="67" t="s">
        <v>69</v>
      </c>
      <c r="Q496" s="73"/>
      <c r="R496" s="73"/>
      <c r="S496" s="68"/>
      <c r="T496" s="67"/>
      <c r="U496" s="73" t="s">
        <v>69</v>
      </c>
      <c r="V496" s="73"/>
      <c r="W496" s="68"/>
      <c r="X496" s="67" t="s">
        <v>69</v>
      </c>
      <c r="Y496" s="73"/>
      <c r="Z496" s="73"/>
      <c r="AA496" s="68"/>
      <c r="AB496" s="67" t="s">
        <v>69</v>
      </c>
      <c r="AC496" s="73"/>
      <c r="AD496" s="73"/>
      <c r="AE496" s="68"/>
      <c r="AF496" s="67" t="s">
        <v>69</v>
      </c>
      <c r="AG496" s="73"/>
      <c r="AH496" s="73"/>
      <c r="AI496" s="68"/>
      <c r="AJ496" s="67"/>
      <c r="AK496" s="73" t="s">
        <v>69</v>
      </c>
      <c r="AL496" s="73"/>
      <c r="AM496" s="68"/>
      <c r="AN496" s="67">
        <f t="shared" si="479"/>
        <v>85</v>
      </c>
      <c r="AO496" s="68" t="str">
        <f t="shared" si="480"/>
        <v>A</v>
      </c>
      <c r="AR496" s="49">
        <f t="shared" si="481"/>
        <v>1</v>
      </c>
      <c r="AS496" s="49">
        <f t="shared" si="482"/>
        <v>0</v>
      </c>
      <c r="AT496" s="49">
        <f t="shared" si="483"/>
        <v>0</v>
      </c>
      <c r="AU496" s="49">
        <f t="shared" si="484"/>
        <v>0</v>
      </c>
      <c r="AV496" s="49">
        <f t="shared" si="485"/>
        <v>0</v>
      </c>
      <c r="AW496" s="49">
        <f t="shared" si="486"/>
        <v>0</v>
      </c>
      <c r="AX496" s="49">
        <f t="shared" si="487"/>
        <v>1</v>
      </c>
      <c r="AY496" s="49">
        <f t="shared" si="488"/>
        <v>0</v>
      </c>
      <c r="AZ496" s="49">
        <f t="shared" si="489"/>
        <v>1</v>
      </c>
      <c r="BA496" s="49">
        <f t="shared" si="490"/>
        <v>0</v>
      </c>
      <c r="BB496" s="49">
        <f t="shared" si="491"/>
        <v>0</v>
      </c>
      <c r="BC496" s="49">
        <f t="shared" si="492"/>
        <v>0</v>
      </c>
      <c r="BD496" s="49">
        <f t="shared" si="493"/>
        <v>0</v>
      </c>
      <c r="BE496" s="49">
        <f t="shared" si="494"/>
        <v>1</v>
      </c>
      <c r="BF496" s="49">
        <f t="shared" si="495"/>
        <v>0</v>
      </c>
      <c r="BG496" s="49">
        <f t="shared" si="496"/>
        <v>0</v>
      </c>
      <c r="BH496" s="49">
        <f t="shared" si="497"/>
        <v>1</v>
      </c>
      <c r="BI496" s="49">
        <f t="shared" si="498"/>
        <v>0</v>
      </c>
      <c r="BJ496" s="49">
        <f t="shared" si="499"/>
        <v>0</v>
      </c>
      <c r="BK496" s="49">
        <f t="shared" si="500"/>
        <v>0</v>
      </c>
      <c r="BL496" s="49">
        <f t="shared" si="501"/>
        <v>1</v>
      </c>
      <c r="BM496" s="49">
        <f t="shared" si="502"/>
        <v>0</v>
      </c>
      <c r="BN496" s="49">
        <f t="shared" si="503"/>
        <v>0</v>
      </c>
      <c r="BO496" s="49">
        <f t="shared" si="504"/>
        <v>0</v>
      </c>
      <c r="BP496" s="49">
        <f t="shared" si="505"/>
        <v>1</v>
      </c>
      <c r="BQ496" s="49">
        <f t="shared" si="506"/>
        <v>0</v>
      </c>
      <c r="BR496" s="49">
        <f t="shared" si="507"/>
        <v>0</v>
      </c>
      <c r="BS496" s="49">
        <f t="shared" si="508"/>
        <v>0</v>
      </c>
      <c r="BT496" s="49">
        <f t="shared" si="509"/>
        <v>0</v>
      </c>
      <c r="BU496" s="49">
        <f t="shared" si="510"/>
        <v>1</v>
      </c>
      <c r="BV496" s="49">
        <f t="shared" si="511"/>
        <v>0</v>
      </c>
      <c r="BW496" s="49">
        <f t="shared" si="512"/>
        <v>0</v>
      </c>
    </row>
    <row r="497" spans="1:75" ht="35.1" customHeight="1" x14ac:dyDescent="0.3">
      <c r="A497" s="123" t="str">
        <f t="shared" si="477"/>
        <v>4팀</v>
      </c>
      <c r="B497" s="69">
        <f t="shared" si="478"/>
        <v>491</v>
      </c>
      <c r="C497" s="121" t="str">
        <f>IF(VLOOKUP($B497,'1. 현장별 인원현황'!$C:$J,2,0)=0,"",VLOOKUP($B497,'1. 현장별 인원현황'!$C:$J,2,0))</f>
        <v xml:space="preserve"> [4.롯데건설] 롯데바이오로직스 Project PROVIDENCE</v>
      </c>
      <c r="D497" s="74" t="str">
        <f>IF(VLOOKUP($B497,'1. 현장별 인원현황'!$C:$J,3,0)=0,"",VLOOKUP($B497,'1. 현장별 인원현황'!$C:$J,3,0))</f>
        <v>박준석</v>
      </c>
      <c r="E497" s="74" t="str">
        <f ca="1">IF(VLOOKUP($B497,'1. 현장별 인원현황'!$C:$J,4,0)=0,"",VLOOKUP($B497,'1. 현장별 인원현황'!$C:$J,4,0))</f>
        <v>42세</v>
      </c>
      <c r="F497" s="70" t="str">
        <f>IF(VLOOKUP($B497,'1. 현장별 인원현황'!$C:$J,7,0)=0,"",VLOOKUP($B497,'1. 현장별 인원현황'!$C:$J,7,0))</f>
        <v>기능공</v>
      </c>
      <c r="G497" s="72" t="str">
        <f>IF(VLOOKUP($B497,'1. 현장별 인원현황'!$C:$J,8,0)=0,"",VLOOKUP($B497,'1. 현장별 인원현황'!$C:$J,8,0))</f>
        <v>전공</v>
      </c>
      <c r="H497" s="67" t="s">
        <v>69</v>
      </c>
      <c r="I497" s="73"/>
      <c r="J497" s="73"/>
      <c r="K497" s="68"/>
      <c r="L497" s="67"/>
      <c r="M497" s="73"/>
      <c r="N497" s="73" t="s">
        <v>69</v>
      </c>
      <c r="O497" s="68"/>
      <c r="P497" s="67" t="s">
        <v>69</v>
      </c>
      <c r="Q497" s="73"/>
      <c r="R497" s="73"/>
      <c r="S497" s="68"/>
      <c r="T497" s="67"/>
      <c r="U497" s="73" t="s">
        <v>69</v>
      </c>
      <c r="V497" s="73"/>
      <c r="W497" s="68"/>
      <c r="X497" s="67" t="s">
        <v>69</v>
      </c>
      <c r="Y497" s="73"/>
      <c r="Z497" s="73"/>
      <c r="AA497" s="68"/>
      <c r="AB497" s="67" t="s">
        <v>69</v>
      </c>
      <c r="AC497" s="73"/>
      <c r="AD497" s="73"/>
      <c r="AE497" s="68"/>
      <c r="AF497" s="67" t="s">
        <v>69</v>
      </c>
      <c r="AG497" s="73"/>
      <c r="AH497" s="73"/>
      <c r="AI497" s="68"/>
      <c r="AJ497" s="67"/>
      <c r="AK497" s="73" t="s">
        <v>69</v>
      </c>
      <c r="AL497" s="73"/>
      <c r="AM497" s="68"/>
      <c r="AN497" s="67">
        <f t="shared" si="479"/>
        <v>85</v>
      </c>
      <c r="AO497" s="68" t="str">
        <f t="shared" si="480"/>
        <v>A</v>
      </c>
      <c r="AR497" s="49">
        <f t="shared" si="481"/>
        <v>1</v>
      </c>
      <c r="AS497" s="49">
        <f t="shared" si="482"/>
        <v>0</v>
      </c>
      <c r="AT497" s="49">
        <f t="shared" si="483"/>
        <v>0</v>
      </c>
      <c r="AU497" s="49">
        <f t="shared" si="484"/>
        <v>0</v>
      </c>
      <c r="AV497" s="49">
        <f t="shared" si="485"/>
        <v>0</v>
      </c>
      <c r="AW497" s="49">
        <f t="shared" si="486"/>
        <v>0</v>
      </c>
      <c r="AX497" s="49">
        <f t="shared" si="487"/>
        <v>1</v>
      </c>
      <c r="AY497" s="49">
        <f t="shared" si="488"/>
        <v>0</v>
      </c>
      <c r="AZ497" s="49">
        <f t="shared" si="489"/>
        <v>1</v>
      </c>
      <c r="BA497" s="49">
        <f t="shared" si="490"/>
        <v>0</v>
      </c>
      <c r="BB497" s="49">
        <f t="shared" si="491"/>
        <v>0</v>
      </c>
      <c r="BC497" s="49">
        <f t="shared" si="492"/>
        <v>0</v>
      </c>
      <c r="BD497" s="49">
        <f t="shared" si="493"/>
        <v>0</v>
      </c>
      <c r="BE497" s="49">
        <f t="shared" si="494"/>
        <v>1</v>
      </c>
      <c r="BF497" s="49">
        <f t="shared" si="495"/>
        <v>0</v>
      </c>
      <c r="BG497" s="49">
        <f t="shared" si="496"/>
        <v>0</v>
      </c>
      <c r="BH497" s="49">
        <f t="shared" si="497"/>
        <v>1</v>
      </c>
      <c r="BI497" s="49">
        <f t="shared" si="498"/>
        <v>0</v>
      </c>
      <c r="BJ497" s="49">
        <f t="shared" si="499"/>
        <v>0</v>
      </c>
      <c r="BK497" s="49">
        <f t="shared" si="500"/>
        <v>0</v>
      </c>
      <c r="BL497" s="49">
        <f t="shared" si="501"/>
        <v>1</v>
      </c>
      <c r="BM497" s="49">
        <f t="shared" si="502"/>
        <v>0</v>
      </c>
      <c r="BN497" s="49">
        <f t="shared" si="503"/>
        <v>0</v>
      </c>
      <c r="BO497" s="49">
        <f t="shared" si="504"/>
        <v>0</v>
      </c>
      <c r="BP497" s="49">
        <f t="shared" si="505"/>
        <v>1</v>
      </c>
      <c r="BQ497" s="49">
        <f t="shared" si="506"/>
        <v>0</v>
      </c>
      <c r="BR497" s="49">
        <f t="shared" si="507"/>
        <v>0</v>
      </c>
      <c r="BS497" s="49">
        <f t="shared" si="508"/>
        <v>0</v>
      </c>
      <c r="BT497" s="49">
        <f t="shared" si="509"/>
        <v>0</v>
      </c>
      <c r="BU497" s="49">
        <f t="shared" si="510"/>
        <v>1</v>
      </c>
      <c r="BV497" s="49">
        <f t="shared" si="511"/>
        <v>0</v>
      </c>
      <c r="BW497" s="49">
        <f t="shared" si="512"/>
        <v>0</v>
      </c>
    </row>
    <row r="498" spans="1:75" ht="35.1" customHeight="1" x14ac:dyDescent="0.3">
      <c r="A498" s="123" t="str">
        <f t="shared" si="477"/>
        <v>4팀</v>
      </c>
      <c r="B498" s="69">
        <f t="shared" si="478"/>
        <v>492</v>
      </c>
      <c r="C498" s="121" t="str">
        <f>IF(VLOOKUP($B498,'1. 현장별 인원현황'!$C:$J,2,0)=0,"",VLOOKUP($B498,'1. 현장별 인원현황'!$C:$J,2,0))</f>
        <v xml:space="preserve"> [4.롯데건설] 롯데바이오로직스 Project PROVIDENCE</v>
      </c>
      <c r="D498" s="74" t="str">
        <f>IF(VLOOKUP($B498,'1. 현장별 인원현황'!$C:$J,3,0)=0,"",VLOOKUP($B498,'1. 현장별 인원현황'!$C:$J,3,0))</f>
        <v>배기준</v>
      </c>
      <c r="E498" s="74" t="str">
        <f ca="1">IF(VLOOKUP($B498,'1. 현장별 인원현황'!$C:$J,4,0)=0,"",VLOOKUP($B498,'1. 현장별 인원현황'!$C:$J,4,0))</f>
        <v>31세</v>
      </c>
      <c r="F498" s="70" t="str">
        <f>IF(VLOOKUP($B498,'1. 현장별 인원현황'!$C:$J,7,0)=0,"",VLOOKUP($B498,'1. 현장별 인원현황'!$C:$J,7,0))</f>
        <v>기능공</v>
      </c>
      <c r="G498" s="72" t="str">
        <f>IF(VLOOKUP($B498,'1. 현장별 인원현황'!$C:$J,8,0)=0,"",VLOOKUP($B498,'1. 현장별 인원현황'!$C:$J,8,0))</f>
        <v>전공</v>
      </c>
      <c r="H498" s="67" t="s">
        <v>69</v>
      </c>
      <c r="I498" s="73"/>
      <c r="J498" s="73"/>
      <c r="K498" s="68"/>
      <c r="L498" s="67"/>
      <c r="M498" s="73"/>
      <c r="N498" s="73" t="s">
        <v>69</v>
      </c>
      <c r="O498" s="68"/>
      <c r="P498" s="67" t="s">
        <v>69</v>
      </c>
      <c r="Q498" s="73"/>
      <c r="R498" s="73"/>
      <c r="S498" s="68"/>
      <c r="T498" s="67"/>
      <c r="U498" s="73" t="s">
        <v>69</v>
      </c>
      <c r="V498" s="73"/>
      <c r="W498" s="68"/>
      <c r="X498" s="67" t="s">
        <v>69</v>
      </c>
      <c r="Y498" s="73"/>
      <c r="Z498" s="73"/>
      <c r="AA498" s="68"/>
      <c r="AB498" s="67" t="s">
        <v>69</v>
      </c>
      <c r="AC498" s="73"/>
      <c r="AD498" s="73"/>
      <c r="AE498" s="68"/>
      <c r="AF498" s="67" t="s">
        <v>69</v>
      </c>
      <c r="AG498" s="73"/>
      <c r="AH498" s="73"/>
      <c r="AI498" s="68"/>
      <c r="AJ498" s="67"/>
      <c r="AK498" s="73" t="s">
        <v>69</v>
      </c>
      <c r="AL498" s="73"/>
      <c r="AM498" s="68"/>
      <c r="AN498" s="67">
        <f t="shared" si="479"/>
        <v>85</v>
      </c>
      <c r="AO498" s="68" t="str">
        <f t="shared" si="480"/>
        <v>A</v>
      </c>
      <c r="AR498" s="49">
        <f t="shared" si="481"/>
        <v>1</v>
      </c>
      <c r="AS498" s="49">
        <f t="shared" si="482"/>
        <v>0</v>
      </c>
      <c r="AT498" s="49">
        <f t="shared" si="483"/>
        <v>0</v>
      </c>
      <c r="AU498" s="49">
        <f t="shared" si="484"/>
        <v>0</v>
      </c>
      <c r="AV498" s="49">
        <f t="shared" si="485"/>
        <v>0</v>
      </c>
      <c r="AW498" s="49">
        <f t="shared" si="486"/>
        <v>0</v>
      </c>
      <c r="AX498" s="49">
        <f t="shared" si="487"/>
        <v>1</v>
      </c>
      <c r="AY498" s="49">
        <f t="shared" si="488"/>
        <v>0</v>
      </c>
      <c r="AZ498" s="49">
        <f t="shared" si="489"/>
        <v>1</v>
      </c>
      <c r="BA498" s="49">
        <f t="shared" si="490"/>
        <v>0</v>
      </c>
      <c r="BB498" s="49">
        <f t="shared" si="491"/>
        <v>0</v>
      </c>
      <c r="BC498" s="49">
        <f t="shared" si="492"/>
        <v>0</v>
      </c>
      <c r="BD498" s="49">
        <f t="shared" si="493"/>
        <v>0</v>
      </c>
      <c r="BE498" s="49">
        <f t="shared" si="494"/>
        <v>1</v>
      </c>
      <c r="BF498" s="49">
        <f t="shared" si="495"/>
        <v>0</v>
      </c>
      <c r="BG498" s="49">
        <f t="shared" si="496"/>
        <v>0</v>
      </c>
      <c r="BH498" s="49">
        <f t="shared" si="497"/>
        <v>1</v>
      </c>
      <c r="BI498" s="49">
        <f t="shared" si="498"/>
        <v>0</v>
      </c>
      <c r="BJ498" s="49">
        <f t="shared" si="499"/>
        <v>0</v>
      </c>
      <c r="BK498" s="49">
        <f t="shared" si="500"/>
        <v>0</v>
      </c>
      <c r="BL498" s="49">
        <f t="shared" si="501"/>
        <v>1</v>
      </c>
      <c r="BM498" s="49">
        <f t="shared" si="502"/>
        <v>0</v>
      </c>
      <c r="BN498" s="49">
        <f t="shared" si="503"/>
        <v>0</v>
      </c>
      <c r="BO498" s="49">
        <f t="shared" si="504"/>
        <v>0</v>
      </c>
      <c r="BP498" s="49">
        <f t="shared" si="505"/>
        <v>1</v>
      </c>
      <c r="BQ498" s="49">
        <f t="shared" si="506"/>
        <v>0</v>
      </c>
      <c r="BR498" s="49">
        <f t="shared" si="507"/>
        <v>0</v>
      </c>
      <c r="BS498" s="49">
        <f t="shared" si="508"/>
        <v>0</v>
      </c>
      <c r="BT498" s="49">
        <f t="shared" si="509"/>
        <v>0</v>
      </c>
      <c r="BU498" s="49">
        <f t="shared" si="510"/>
        <v>1</v>
      </c>
      <c r="BV498" s="49">
        <f t="shared" si="511"/>
        <v>0</v>
      </c>
      <c r="BW498" s="49">
        <f t="shared" si="512"/>
        <v>0</v>
      </c>
    </row>
    <row r="499" spans="1:75" ht="35.1" customHeight="1" x14ac:dyDescent="0.3">
      <c r="A499" s="123" t="str">
        <f t="shared" si="477"/>
        <v>4팀</v>
      </c>
      <c r="B499" s="69">
        <f t="shared" si="478"/>
        <v>493</v>
      </c>
      <c r="C499" s="121" t="str">
        <f>IF(VLOOKUP($B499,'1. 현장별 인원현황'!$C:$J,2,0)=0,"",VLOOKUP($B499,'1. 현장별 인원현황'!$C:$J,2,0))</f>
        <v xml:space="preserve"> [4.롯데건설] 롯데바이오로직스 Project PROVIDENCE</v>
      </c>
      <c r="D499" s="74" t="str">
        <f>IF(VLOOKUP($B499,'1. 현장별 인원현황'!$C:$J,3,0)=0,"",VLOOKUP($B499,'1. 현장별 인원현황'!$C:$J,3,0))</f>
        <v>백승욱</v>
      </c>
      <c r="E499" s="74" t="str">
        <f ca="1">IF(VLOOKUP($B499,'1. 현장별 인원현황'!$C:$J,4,0)=0,"",VLOOKUP($B499,'1. 현장별 인원현황'!$C:$J,4,0))</f>
        <v>39세</v>
      </c>
      <c r="F499" s="70" t="str">
        <f>IF(VLOOKUP($B499,'1. 현장별 인원현황'!$C:$J,7,0)=0,"",VLOOKUP($B499,'1. 현장별 인원현황'!$C:$J,7,0))</f>
        <v>기능공</v>
      </c>
      <c r="G499" s="72" t="str">
        <f>IF(VLOOKUP($B499,'1. 현장별 인원현황'!$C:$J,8,0)=0,"",VLOOKUP($B499,'1. 현장별 인원현황'!$C:$J,8,0))</f>
        <v>전공</v>
      </c>
      <c r="H499" s="67" t="s">
        <v>69</v>
      </c>
      <c r="I499" s="73"/>
      <c r="J499" s="73"/>
      <c r="K499" s="68"/>
      <c r="L499" s="67"/>
      <c r="M499" s="73"/>
      <c r="N499" s="73" t="s">
        <v>69</v>
      </c>
      <c r="O499" s="68"/>
      <c r="P499" s="67" t="s">
        <v>69</v>
      </c>
      <c r="Q499" s="73"/>
      <c r="R499" s="73"/>
      <c r="S499" s="68"/>
      <c r="T499" s="67"/>
      <c r="U499" s="73" t="s">
        <v>69</v>
      </c>
      <c r="V499" s="73"/>
      <c r="W499" s="68"/>
      <c r="X499" s="67" t="s">
        <v>69</v>
      </c>
      <c r="Y499" s="73"/>
      <c r="Z499" s="73"/>
      <c r="AA499" s="68"/>
      <c r="AB499" s="67" t="s">
        <v>69</v>
      </c>
      <c r="AC499" s="73"/>
      <c r="AD499" s="73"/>
      <c r="AE499" s="68"/>
      <c r="AF499" s="67" t="s">
        <v>69</v>
      </c>
      <c r="AG499" s="73"/>
      <c r="AH499" s="73"/>
      <c r="AI499" s="68"/>
      <c r="AJ499" s="67" t="s">
        <v>69</v>
      </c>
      <c r="AK499" s="73"/>
      <c r="AL499" s="73"/>
      <c r="AM499" s="68"/>
      <c r="AN499" s="67">
        <f t="shared" si="479"/>
        <v>88</v>
      </c>
      <c r="AO499" s="68" t="str">
        <f t="shared" si="480"/>
        <v>S</v>
      </c>
      <c r="AR499" s="49">
        <f t="shared" si="481"/>
        <v>1</v>
      </c>
      <c r="AS499" s="49">
        <f t="shared" si="482"/>
        <v>0</v>
      </c>
      <c r="AT499" s="49">
        <f t="shared" si="483"/>
        <v>0</v>
      </c>
      <c r="AU499" s="49">
        <f t="shared" si="484"/>
        <v>0</v>
      </c>
      <c r="AV499" s="49">
        <f t="shared" si="485"/>
        <v>0</v>
      </c>
      <c r="AW499" s="49">
        <f t="shared" si="486"/>
        <v>0</v>
      </c>
      <c r="AX499" s="49">
        <f t="shared" si="487"/>
        <v>1</v>
      </c>
      <c r="AY499" s="49">
        <f t="shared" si="488"/>
        <v>0</v>
      </c>
      <c r="AZ499" s="49">
        <f t="shared" si="489"/>
        <v>1</v>
      </c>
      <c r="BA499" s="49">
        <f t="shared" si="490"/>
        <v>0</v>
      </c>
      <c r="BB499" s="49">
        <f t="shared" si="491"/>
        <v>0</v>
      </c>
      <c r="BC499" s="49">
        <f t="shared" si="492"/>
        <v>0</v>
      </c>
      <c r="BD499" s="49">
        <f t="shared" si="493"/>
        <v>0</v>
      </c>
      <c r="BE499" s="49">
        <f t="shared" si="494"/>
        <v>1</v>
      </c>
      <c r="BF499" s="49">
        <f t="shared" si="495"/>
        <v>0</v>
      </c>
      <c r="BG499" s="49">
        <f t="shared" si="496"/>
        <v>0</v>
      </c>
      <c r="BH499" s="49">
        <f t="shared" si="497"/>
        <v>1</v>
      </c>
      <c r="BI499" s="49">
        <f t="shared" si="498"/>
        <v>0</v>
      </c>
      <c r="BJ499" s="49">
        <f t="shared" si="499"/>
        <v>0</v>
      </c>
      <c r="BK499" s="49">
        <f t="shared" si="500"/>
        <v>0</v>
      </c>
      <c r="BL499" s="49">
        <f t="shared" si="501"/>
        <v>1</v>
      </c>
      <c r="BM499" s="49">
        <f t="shared" si="502"/>
        <v>0</v>
      </c>
      <c r="BN499" s="49">
        <f t="shared" si="503"/>
        <v>0</v>
      </c>
      <c r="BO499" s="49">
        <f t="shared" si="504"/>
        <v>0</v>
      </c>
      <c r="BP499" s="49">
        <f t="shared" si="505"/>
        <v>1</v>
      </c>
      <c r="BQ499" s="49">
        <f t="shared" si="506"/>
        <v>0</v>
      </c>
      <c r="BR499" s="49">
        <f t="shared" si="507"/>
        <v>0</v>
      </c>
      <c r="BS499" s="49">
        <f t="shared" si="508"/>
        <v>0</v>
      </c>
      <c r="BT499" s="49">
        <f t="shared" si="509"/>
        <v>1</v>
      </c>
      <c r="BU499" s="49">
        <f t="shared" si="510"/>
        <v>0</v>
      </c>
      <c r="BV499" s="49">
        <f t="shared" si="511"/>
        <v>0</v>
      </c>
      <c r="BW499" s="49">
        <f t="shared" si="512"/>
        <v>0</v>
      </c>
    </row>
    <row r="500" spans="1:75" ht="35.1" customHeight="1" x14ac:dyDescent="0.3">
      <c r="A500" s="123" t="str">
        <f t="shared" si="477"/>
        <v>4팀</v>
      </c>
      <c r="B500" s="69">
        <f t="shared" si="478"/>
        <v>494</v>
      </c>
      <c r="C500" s="121" t="str">
        <f>IF(VLOOKUP($B500,'1. 현장별 인원현황'!$C:$J,2,0)=0,"",VLOOKUP($B500,'1. 현장별 인원현황'!$C:$J,2,0))</f>
        <v xml:space="preserve"> [4.롯데건설] 롯데바이오로직스 Project PROVIDENCE</v>
      </c>
      <c r="D500" s="74" t="str">
        <f>IF(VLOOKUP($B500,'1. 현장별 인원현황'!$C:$J,3,0)=0,"",VLOOKUP($B500,'1. 현장별 인원현황'!$C:$J,3,0))</f>
        <v>석덕수</v>
      </c>
      <c r="E500" s="74" t="str">
        <f ca="1">IF(VLOOKUP($B500,'1. 현장별 인원현황'!$C:$J,4,0)=0,"",VLOOKUP($B500,'1. 현장별 인원현황'!$C:$J,4,0))</f>
        <v>31세</v>
      </c>
      <c r="F500" s="70" t="str">
        <f>IF(VLOOKUP($B500,'1. 현장별 인원현황'!$C:$J,7,0)=0,"",VLOOKUP($B500,'1. 현장별 인원현황'!$C:$J,7,0))</f>
        <v>기능공</v>
      </c>
      <c r="G500" s="72" t="str">
        <f>IF(VLOOKUP($B500,'1. 현장별 인원현황'!$C:$J,8,0)=0,"",VLOOKUP($B500,'1. 현장별 인원현황'!$C:$J,8,0))</f>
        <v>전공</v>
      </c>
      <c r="H500" s="67" t="s">
        <v>69</v>
      </c>
      <c r="I500" s="73"/>
      <c r="J500" s="73"/>
      <c r="K500" s="68"/>
      <c r="L500" s="67"/>
      <c r="M500" s="73"/>
      <c r="N500" s="73" t="s">
        <v>69</v>
      </c>
      <c r="O500" s="68"/>
      <c r="P500" s="67" t="s">
        <v>69</v>
      </c>
      <c r="Q500" s="73"/>
      <c r="R500" s="73"/>
      <c r="S500" s="68"/>
      <c r="T500" s="67"/>
      <c r="U500" s="73" t="s">
        <v>69</v>
      </c>
      <c r="V500" s="73"/>
      <c r="W500" s="68"/>
      <c r="X500" s="67" t="s">
        <v>69</v>
      </c>
      <c r="Y500" s="73"/>
      <c r="Z500" s="73"/>
      <c r="AA500" s="68"/>
      <c r="AB500" s="67" t="s">
        <v>69</v>
      </c>
      <c r="AC500" s="73"/>
      <c r="AD500" s="73"/>
      <c r="AE500" s="68"/>
      <c r="AF500" s="67" t="s">
        <v>69</v>
      </c>
      <c r="AG500" s="73"/>
      <c r="AH500" s="73"/>
      <c r="AI500" s="68"/>
      <c r="AJ500" s="67"/>
      <c r="AK500" s="73" t="s">
        <v>69</v>
      </c>
      <c r="AL500" s="73"/>
      <c r="AM500" s="68"/>
      <c r="AN500" s="67">
        <f t="shared" si="479"/>
        <v>85</v>
      </c>
      <c r="AO500" s="68" t="str">
        <f t="shared" si="480"/>
        <v>A</v>
      </c>
      <c r="AR500" s="49">
        <f t="shared" si="41"/>
        <v>1</v>
      </c>
      <c r="AS500" s="49">
        <f t="shared" si="42"/>
        <v>0</v>
      </c>
      <c r="AT500" s="49">
        <f t="shared" si="43"/>
        <v>0</v>
      </c>
      <c r="AU500" s="49">
        <f t="shared" si="44"/>
        <v>0</v>
      </c>
      <c r="AV500" s="49">
        <f t="shared" si="45"/>
        <v>0</v>
      </c>
      <c r="AW500" s="49">
        <f t="shared" si="46"/>
        <v>0</v>
      </c>
      <c r="AX500" s="49">
        <f t="shared" si="47"/>
        <v>1</v>
      </c>
      <c r="AY500" s="49">
        <f t="shared" si="48"/>
        <v>0</v>
      </c>
      <c r="AZ500" s="49">
        <f t="shared" si="49"/>
        <v>1</v>
      </c>
      <c r="BA500" s="49">
        <f t="shared" si="50"/>
        <v>0</v>
      </c>
      <c r="BB500" s="49">
        <f t="shared" si="51"/>
        <v>0</v>
      </c>
      <c r="BC500" s="49">
        <f t="shared" si="52"/>
        <v>0</v>
      </c>
      <c r="BD500" s="49">
        <f t="shared" si="53"/>
        <v>0</v>
      </c>
      <c r="BE500" s="49">
        <f t="shared" si="54"/>
        <v>1</v>
      </c>
      <c r="BF500" s="49">
        <f t="shared" si="55"/>
        <v>0</v>
      </c>
      <c r="BG500" s="49">
        <f t="shared" si="56"/>
        <v>0</v>
      </c>
      <c r="BH500" s="49">
        <f t="shared" si="57"/>
        <v>1</v>
      </c>
      <c r="BI500" s="49">
        <f t="shared" si="58"/>
        <v>0</v>
      </c>
      <c r="BJ500" s="49">
        <f t="shared" si="59"/>
        <v>0</v>
      </c>
      <c r="BK500" s="49">
        <f t="shared" si="60"/>
        <v>0</v>
      </c>
      <c r="BL500" s="49">
        <f t="shared" si="61"/>
        <v>1</v>
      </c>
      <c r="BM500" s="49">
        <f t="shared" si="62"/>
        <v>0</v>
      </c>
      <c r="BN500" s="49">
        <f t="shared" si="63"/>
        <v>0</v>
      </c>
      <c r="BO500" s="49">
        <f t="shared" si="64"/>
        <v>0</v>
      </c>
      <c r="BP500" s="49">
        <f t="shared" si="65"/>
        <v>1</v>
      </c>
      <c r="BQ500" s="49">
        <f t="shared" si="66"/>
        <v>0</v>
      </c>
      <c r="BR500" s="49">
        <f t="shared" si="67"/>
        <v>0</v>
      </c>
      <c r="BS500" s="49">
        <f t="shared" si="68"/>
        <v>0</v>
      </c>
      <c r="BT500" s="49">
        <f t="shared" si="69"/>
        <v>0</v>
      </c>
      <c r="BU500" s="49">
        <f t="shared" si="70"/>
        <v>1</v>
      </c>
      <c r="BV500" s="49">
        <f t="shared" si="71"/>
        <v>0</v>
      </c>
      <c r="BW500" s="49">
        <f t="shared" si="72"/>
        <v>0</v>
      </c>
    </row>
    <row r="501" spans="1:75" ht="35.1" customHeight="1" x14ac:dyDescent="0.3">
      <c r="A501" s="123" t="str">
        <f t="shared" si="477"/>
        <v>4팀</v>
      </c>
      <c r="B501" s="69">
        <f t="shared" si="478"/>
        <v>495</v>
      </c>
      <c r="C501" s="121" t="str">
        <f>IF(VLOOKUP($B501,'1. 현장별 인원현황'!$C:$J,2,0)=0,"",VLOOKUP($B501,'1. 현장별 인원현황'!$C:$J,2,0))</f>
        <v xml:space="preserve"> [4.롯데건설] 롯데바이오로직스 Project PROVIDENCE</v>
      </c>
      <c r="D501" s="74" t="str">
        <f>IF(VLOOKUP($B501,'1. 현장별 인원현황'!$C:$J,3,0)=0,"",VLOOKUP($B501,'1. 현장별 인원현황'!$C:$J,3,0))</f>
        <v>유승묵</v>
      </c>
      <c r="E501" s="74" t="str">
        <f ca="1">IF(VLOOKUP($B501,'1. 현장별 인원현황'!$C:$J,4,0)=0,"",VLOOKUP($B501,'1. 현장별 인원현황'!$C:$J,4,0))</f>
        <v>38세</v>
      </c>
      <c r="F501" s="70" t="str">
        <f>IF(VLOOKUP($B501,'1. 현장별 인원현황'!$C:$J,7,0)=0,"",VLOOKUP($B501,'1. 현장별 인원현황'!$C:$J,7,0))</f>
        <v>기능공</v>
      </c>
      <c r="G501" s="72" t="str">
        <f>IF(VLOOKUP($B501,'1. 현장별 인원현황'!$C:$J,8,0)=0,"",VLOOKUP($B501,'1. 현장별 인원현황'!$C:$J,8,0))</f>
        <v>전공</v>
      </c>
      <c r="H501" s="67" t="s">
        <v>69</v>
      </c>
      <c r="I501" s="73"/>
      <c r="J501" s="73"/>
      <c r="K501" s="68"/>
      <c r="L501" s="67"/>
      <c r="M501" s="73"/>
      <c r="N501" s="73" t="s">
        <v>69</v>
      </c>
      <c r="O501" s="68"/>
      <c r="P501" s="67" t="s">
        <v>69</v>
      </c>
      <c r="Q501" s="73"/>
      <c r="R501" s="73"/>
      <c r="S501" s="68"/>
      <c r="T501" s="67"/>
      <c r="U501" s="73" t="s">
        <v>69</v>
      </c>
      <c r="V501" s="73"/>
      <c r="W501" s="68"/>
      <c r="X501" s="67" t="s">
        <v>69</v>
      </c>
      <c r="Y501" s="73"/>
      <c r="Z501" s="73"/>
      <c r="AA501" s="68"/>
      <c r="AB501" s="67" t="s">
        <v>69</v>
      </c>
      <c r="AC501" s="73"/>
      <c r="AD501" s="73"/>
      <c r="AE501" s="68"/>
      <c r="AF501" s="67" t="s">
        <v>69</v>
      </c>
      <c r="AG501" s="73"/>
      <c r="AH501" s="73"/>
      <c r="AI501" s="68"/>
      <c r="AJ501" s="67" t="s">
        <v>69</v>
      </c>
      <c r="AK501" s="73"/>
      <c r="AL501" s="73"/>
      <c r="AM501" s="68"/>
      <c r="AN501" s="67">
        <f t="shared" si="479"/>
        <v>88</v>
      </c>
      <c r="AO501" s="68" t="str">
        <f t="shared" si="480"/>
        <v>S</v>
      </c>
      <c r="AR501" s="49">
        <f t="shared" ref="AR501:AR617" si="513">IF(H501&gt;0,1,0)</f>
        <v>1</v>
      </c>
      <c r="AS501" s="49">
        <f t="shared" ref="AS501:AS617" si="514">IF(I501&gt;0,1,0)</f>
        <v>0</v>
      </c>
      <c r="AT501" s="49">
        <f t="shared" ref="AT501:AT617" si="515">IF(J501&gt;0,1,0)</f>
        <v>0</v>
      </c>
      <c r="AU501" s="49">
        <f t="shared" ref="AU501:AU617" si="516">IF(K501&gt;0,1,0)</f>
        <v>0</v>
      </c>
      <c r="AV501" s="49">
        <f t="shared" ref="AV501:AV617" si="517">IF(L501&gt;0,1,0)</f>
        <v>0</v>
      </c>
      <c r="AW501" s="49">
        <f t="shared" ref="AW501:AW617" si="518">IF(M501&gt;0,1,0)</f>
        <v>0</v>
      </c>
      <c r="AX501" s="49">
        <f t="shared" ref="AX501:AX617" si="519">IF(N501&gt;0,1,0)</f>
        <v>1</v>
      </c>
      <c r="AY501" s="49">
        <f t="shared" ref="AY501:AY617" si="520">IF(O501&gt;0,1,0)</f>
        <v>0</v>
      </c>
      <c r="AZ501" s="49">
        <f t="shared" ref="AZ501:AZ617" si="521">IF(P501&gt;0,1,0)</f>
        <v>1</v>
      </c>
      <c r="BA501" s="49">
        <f t="shared" ref="BA501:BA617" si="522">IF(Q501&gt;0,1,0)</f>
        <v>0</v>
      </c>
      <c r="BB501" s="49">
        <f t="shared" ref="BB501:BB617" si="523">IF(R501&gt;0,1,0)</f>
        <v>0</v>
      </c>
      <c r="BC501" s="49">
        <f t="shared" ref="BC501:BC617" si="524">IF(S501&gt;0,1,0)</f>
        <v>0</v>
      </c>
      <c r="BD501" s="49">
        <f t="shared" ref="BD501:BD617" si="525">IF(T501&gt;0,1,0)</f>
        <v>0</v>
      </c>
      <c r="BE501" s="49">
        <f t="shared" ref="BE501:BE617" si="526">IF(U501&gt;0,1,0)</f>
        <v>1</v>
      </c>
      <c r="BF501" s="49">
        <f t="shared" ref="BF501:BF617" si="527">IF(V501&gt;0,1,0)</f>
        <v>0</v>
      </c>
      <c r="BG501" s="49">
        <f t="shared" ref="BG501:BG617" si="528">IF(W501&gt;0,1,0)</f>
        <v>0</v>
      </c>
      <c r="BH501" s="49">
        <f t="shared" ref="BH501:BH617" si="529">IF(X501&gt;0,1,0)</f>
        <v>1</v>
      </c>
      <c r="BI501" s="49">
        <f t="shared" ref="BI501:BI617" si="530">IF(Y501&gt;0,1,0)</f>
        <v>0</v>
      </c>
      <c r="BJ501" s="49">
        <f t="shared" ref="BJ501:BJ617" si="531">IF(Z501&gt;0,1,0)</f>
        <v>0</v>
      </c>
      <c r="BK501" s="49">
        <f t="shared" ref="BK501:BK617" si="532">IF(AA501&gt;0,1,0)</f>
        <v>0</v>
      </c>
      <c r="BL501" s="49">
        <f t="shared" ref="BL501:BL617" si="533">IF(AB501&gt;0,1,0)</f>
        <v>1</v>
      </c>
      <c r="BM501" s="49">
        <f t="shared" ref="BM501:BM617" si="534">IF(AC501&gt;0,1,0)</f>
        <v>0</v>
      </c>
      <c r="BN501" s="49">
        <f t="shared" ref="BN501:BN617" si="535">IF(AD501&gt;0,1,0)</f>
        <v>0</v>
      </c>
      <c r="BO501" s="49">
        <f t="shared" ref="BO501:BO617" si="536">IF(AE501&gt;0,1,0)</f>
        <v>0</v>
      </c>
      <c r="BP501" s="49">
        <f t="shared" ref="BP501:BP617" si="537">IF(AF501&gt;0,1,0)</f>
        <v>1</v>
      </c>
      <c r="BQ501" s="49">
        <f t="shared" ref="BQ501:BQ617" si="538">IF(AG501&gt;0,1,0)</f>
        <v>0</v>
      </c>
      <c r="BR501" s="49">
        <f t="shared" ref="BR501:BR617" si="539">IF(AH501&gt;0,1,0)</f>
        <v>0</v>
      </c>
      <c r="BS501" s="49">
        <f t="shared" ref="BS501:BS617" si="540">IF(AI501&gt;0,1,0)</f>
        <v>0</v>
      </c>
      <c r="BT501" s="49">
        <f t="shared" ref="BT501:BT617" si="541">IF(AJ501&gt;0,1,0)</f>
        <v>1</v>
      </c>
      <c r="BU501" s="49">
        <f t="shared" ref="BU501:BU617" si="542">IF(AK501&gt;0,1,0)</f>
        <v>0</v>
      </c>
      <c r="BV501" s="49">
        <f t="shared" ref="BV501:BV617" si="543">IF(AL501&gt;0,1,0)</f>
        <v>0</v>
      </c>
      <c r="BW501" s="49">
        <f t="shared" ref="BW501:BW617" si="544">IF(AM501&gt;0,1,0)</f>
        <v>0</v>
      </c>
    </row>
    <row r="502" spans="1:75" ht="35.1" customHeight="1" x14ac:dyDescent="0.3">
      <c r="A502" s="123" t="str">
        <f t="shared" si="477"/>
        <v>4팀</v>
      </c>
      <c r="B502" s="69">
        <f t="shared" si="478"/>
        <v>496</v>
      </c>
      <c r="C502" s="121" t="str">
        <f>IF(VLOOKUP($B502,'1. 현장별 인원현황'!$C:$J,2,0)=0,"",VLOOKUP($B502,'1. 현장별 인원현황'!$C:$J,2,0))</f>
        <v xml:space="preserve"> [4.롯데건설] 롯데바이오로직스 Project PROVIDENCE</v>
      </c>
      <c r="D502" s="74" t="str">
        <f>IF(VLOOKUP($B502,'1. 현장별 인원현황'!$C:$J,3,0)=0,"",VLOOKUP($B502,'1. 현장별 인원현황'!$C:$J,3,0))</f>
        <v>정사석</v>
      </c>
      <c r="E502" s="74" t="str">
        <f ca="1">IF(VLOOKUP($B502,'1. 현장별 인원현황'!$C:$J,4,0)=0,"",VLOOKUP($B502,'1. 현장별 인원현황'!$C:$J,4,0))</f>
        <v>54세</v>
      </c>
      <c r="F502" s="70" t="str">
        <f>IF(VLOOKUP($B502,'1. 현장별 인원현황'!$C:$J,7,0)=0,"",VLOOKUP($B502,'1. 현장별 인원현황'!$C:$J,7,0))</f>
        <v>기능공</v>
      </c>
      <c r="G502" s="72" t="str">
        <f>IF(VLOOKUP($B502,'1. 현장별 인원현황'!$C:$J,8,0)=0,"",VLOOKUP($B502,'1. 현장별 인원현황'!$C:$J,8,0))</f>
        <v>전공</v>
      </c>
      <c r="H502" s="67" t="s">
        <v>69</v>
      </c>
      <c r="I502" s="73"/>
      <c r="J502" s="73"/>
      <c r="K502" s="68"/>
      <c r="L502" s="67"/>
      <c r="M502" s="73"/>
      <c r="N502" s="73" t="s">
        <v>69</v>
      </c>
      <c r="O502" s="68"/>
      <c r="P502" s="67" t="s">
        <v>69</v>
      </c>
      <c r="Q502" s="73"/>
      <c r="R502" s="73"/>
      <c r="S502" s="68"/>
      <c r="T502" s="67"/>
      <c r="U502" s="73" t="s">
        <v>69</v>
      </c>
      <c r="V502" s="73"/>
      <c r="W502" s="68"/>
      <c r="X502" s="67" t="s">
        <v>69</v>
      </c>
      <c r="Y502" s="73"/>
      <c r="Z502" s="73"/>
      <c r="AA502" s="68"/>
      <c r="AB502" s="67" t="s">
        <v>69</v>
      </c>
      <c r="AC502" s="73"/>
      <c r="AD502" s="73"/>
      <c r="AE502" s="68"/>
      <c r="AF502" s="67" t="s">
        <v>69</v>
      </c>
      <c r="AG502" s="73"/>
      <c r="AH502" s="73"/>
      <c r="AI502" s="68"/>
      <c r="AJ502" s="67" t="s">
        <v>69</v>
      </c>
      <c r="AK502" s="73"/>
      <c r="AL502" s="73"/>
      <c r="AM502" s="68"/>
      <c r="AN502" s="67">
        <f t="shared" si="479"/>
        <v>88</v>
      </c>
      <c r="AO502" s="68" t="str">
        <f t="shared" si="480"/>
        <v>S</v>
      </c>
      <c r="AR502" s="49">
        <f t="shared" si="513"/>
        <v>1</v>
      </c>
      <c r="AS502" s="49">
        <f t="shared" si="514"/>
        <v>0</v>
      </c>
      <c r="AT502" s="49">
        <f t="shared" si="515"/>
        <v>0</v>
      </c>
      <c r="AU502" s="49">
        <f t="shared" si="516"/>
        <v>0</v>
      </c>
      <c r="AV502" s="49">
        <f t="shared" si="517"/>
        <v>0</v>
      </c>
      <c r="AW502" s="49">
        <f t="shared" si="518"/>
        <v>0</v>
      </c>
      <c r="AX502" s="49">
        <f t="shared" si="519"/>
        <v>1</v>
      </c>
      <c r="AY502" s="49">
        <f t="shared" si="520"/>
        <v>0</v>
      </c>
      <c r="AZ502" s="49">
        <f t="shared" si="521"/>
        <v>1</v>
      </c>
      <c r="BA502" s="49">
        <f t="shared" si="522"/>
        <v>0</v>
      </c>
      <c r="BB502" s="49">
        <f t="shared" si="523"/>
        <v>0</v>
      </c>
      <c r="BC502" s="49">
        <f t="shared" si="524"/>
        <v>0</v>
      </c>
      <c r="BD502" s="49">
        <f t="shared" si="525"/>
        <v>0</v>
      </c>
      <c r="BE502" s="49">
        <f t="shared" si="526"/>
        <v>1</v>
      </c>
      <c r="BF502" s="49">
        <f t="shared" si="527"/>
        <v>0</v>
      </c>
      <c r="BG502" s="49">
        <f t="shared" si="528"/>
        <v>0</v>
      </c>
      <c r="BH502" s="49">
        <f t="shared" si="529"/>
        <v>1</v>
      </c>
      <c r="BI502" s="49">
        <f t="shared" si="530"/>
        <v>0</v>
      </c>
      <c r="BJ502" s="49">
        <f t="shared" si="531"/>
        <v>0</v>
      </c>
      <c r="BK502" s="49">
        <f t="shared" si="532"/>
        <v>0</v>
      </c>
      <c r="BL502" s="49">
        <f t="shared" si="533"/>
        <v>1</v>
      </c>
      <c r="BM502" s="49">
        <f t="shared" si="534"/>
        <v>0</v>
      </c>
      <c r="BN502" s="49">
        <f t="shared" si="535"/>
        <v>0</v>
      </c>
      <c r="BO502" s="49">
        <f t="shared" si="536"/>
        <v>0</v>
      </c>
      <c r="BP502" s="49">
        <f t="shared" si="537"/>
        <v>1</v>
      </c>
      <c r="BQ502" s="49">
        <f t="shared" si="538"/>
        <v>0</v>
      </c>
      <c r="BR502" s="49">
        <f t="shared" si="539"/>
        <v>0</v>
      </c>
      <c r="BS502" s="49">
        <f t="shared" si="540"/>
        <v>0</v>
      </c>
      <c r="BT502" s="49">
        <f t="shared" si="541"/>
        <v>1</v>
      </c>
      <c r="BU502" s="49">
        <f t="shared" si="542"/>
        <v>0</v>
      </c>
      <c r="BV502" s="49">
        <f t="shared" si="543"/>
        <v>0</v>
      </c>
      <c r="BW502" s="49">
        <f t="shared" si="544"/>
        <v>0</v>
      </c>
    </row>
    <row r="503" spans="1:75" ht="35.1" customHeight="1" x14ac:dyDescent="0.3">
      <c r="A503" s="123" t="str">
        <f t="shared" si="477"/>
        <v>4팀</v>
      </c>
      <c r="B503" s="69">
        <f t="shared" si="478"/>
        <v>497</v>
      </c>
      <c r="C503" s="121" t="str">
        <f>IF(VLOOKUP($B503,'1. 현장별 인원현황'!$C:$J,2,0)=0,"",VLOOKUP($B503,'1. 현장별 인원현황'!$C:$J,2,0))</f>
        <v xml:space="preserve"> [4.롯데건설] 롯데바이오로직스 Project PROVIDENCE</v>
      </c>
      <c r="D503" s="74" t="str">
        <f>IF(VLOOKUP($B503,'1. 현장별 인원현황'!$C:$J,3,0)=0,"",VLOOKUP($B503,'1. 현장별 인원현황'!$C:$J,3,0))</f>
        <v>최문정</v>
      </c>
      <c r="E503" s="74" t="str">
        <f ca="1">IF(VLOOKUP($B503,'1. 현장별 인원현황'!$C:$J,4,0)=0,"",VLOOKUP($B503,'1. 현장별 인원현황'!$C:$J,4,0))</f>
        <v>31세</v>
      </c>
      <c r="F503" s="70" t="str">
        <f>IF(VLOOKUP($B503,'1. 현장별 인원현황'!$C:$J,7,0)=0,"",VLOOKUP($B503,'1. 현장별 인원현황'!$C:$J,7,0))</f>
        <v>기능공</v>
      </c>
      <c r="G503" s="72" t="str">
        <f>IF(VLOOKUP($B503,'1. 현장별 인원현황'!$C:$J,8,0)=0,"",VLOOKUP($B503,'1. 현장별 인원현황'!$C:$J,8,0))</f>
        <v>전공</v>
      </c>
      <c r="H503" s="67" t="s">
        <v>69</v>
      </c>
      <c r="I503" s="73"/>
      <c r="J503" s="73"/>
      <c r="K503" s="68"/>
      <c r="L503" s="67"/>
      <c r="M503" s="73"/>
      <c r="N503" s="73" t="s">
        <v>69</v>
      </c>
      <c r="O503" s="68"/>
      <c r="P503" s="67" t="s">
        <v>69</v>
      </c>
      <c r="Q503" s="73"/>
      <c r="R503" s="73"/>
      <c r="S503" s="68"/>
      <c r="T503" s="67"/>
      <c r="U503" s="73" t="s">
        <v>69</v>
      </c>
      <c r="V503" s="73"/>
      <c r="W503" s="68"/>
      <c r="X503" s="67" t="s">
        <v>69</v>
      </c>
      <c r="Y503" s="73"/>
      <c r="Z503" s="73"/>
      <c r="AA503" s="68"/>
      <c r="AB503" s="67" t="s">
        <v>69</v>
      </c>
      <c r="AC503" s="73"/>
      <c r="AD503" s="73"/>
      <c r="AE503" s="68"/>
      <c r="AF503" s="67" t="s">
        <v>69</v>
      </c>
      <c r="AG503" s="73"/>
      <c r="AH503" s="73"/>
      <c r="AI503" s="68"/>
      <c r="AJ503" s="67" t="s">
        <v>69</v>
      </c>
      <c r="AK503" s="73"/>
      <c r="AL503" s="73"/>
      <c r="AM503" s="68"/>
      <c r="AN503" s="67">
        <f t="shared" si="479"/>
        <v>88</v>
      </c>
      <c r="AO503" s="68" t="str">
        <f t="shared" si="480"/>
        <v>S</v>
      </c>
      <c r="AR503" s="49">
        <f t="shared" si="513"/>
        <v>1</v>
      </c>
      <c r="AS503" s="49">
        <f t="shared" si="514"/>
        <v>0</v>
      </c>
      <c r="AT503" s="49">
        <f t="shared" si="515"/>
        <v>0</v>
      </c>
      <c r="AU503" s="49">
        <f t="shared" si="516"/>
        <v>0</v>
      </c>
      <c r="AV503" s="49">
        <f t="shared" si="517"/>
        <v>0</v>
      </c>
      <c r="AW503" s="49">
        <f t="shared" si="518"/>
        <v>0</v>
      </c>
      <c r="AX503" s="49">
        <f t="shared" si="519"/>
        <v>1</v>
      </c>
      <c r="AY503" s="49">
        <f t="shared" si="520"/>
        <v>0</v>
      </c>
      <c r="AZ503" s="49">
        <f t="shared" si="521"/>
        <v>1</v>
      </c>
      <c r="BA503" s="49">
        <f t="shared" si="522"/>
        <v>0</v>
      </c>
      <c r="BB503" s="49">
        <f t="shared" si="523"/>
        <v>0</v>
      </c>
      <c r="BC503" s="49">
        <f t="shared" si="524"/>
        <v>0</v>
      </c>
      <c r="BD503" s="49">
        <f t="shared" si="525"/>
        <v>0</v>
      </c>
      <c r="BE503" s="49">
        <f t="shared" si="526"/>
        <v>1</v>
      </c>
      <c r="BF503" s="49">
        <f t="shared" si="527"/>
        <v>0</v>
      </c>
      <c r="BG503" s="49">
        <f t="shared" si="528"/>
        <v>0</v>
      </c>
      <c r="BH503" s="49">
        <f t="shared" si="529"/>
        <v>1</v>
      </c>
      <c r="BI503" s="49">
        <f t="shared" si="530"/>
        <v>0</v>
      </c>
      <c r="BJ503" s="49">
        <f t="shared" si="531"/>
        <v>0</v>
      </c>
      <c r="BK503" s="49">
        <f t="shared" si="532"/>
        <v>0</v>
      </c>
      <c r="BL503" s="49">
        <f t="shared" si="533"/>
        <v>1</v>
      </c>
      <c r="BM503" s="49">
        <f t="shared" si="534"/>
        <v>0</v>
      </c>
      <c r="BN503" s="49">
        <f t="shared" si="535"/>
        <v>0</v>
      </c>
      <c r="BO503" s="49">
        <f t="shared" si="536"/>
        <v>0</v>
      </c>
      <c r="BP503" s="49">
        <f t="shared" si="537"/>
        <v>1</v>
      </c>
      <c r="BQ503" s="49">
        <f t="shared" si="538"/>
        <v>0</v>
      </c>
      <c r="BR503" s="49">
        <f t="shared" si="539"/>
        <v>0</v>
      </c>
      <c r="BS503" s="49">
        <f t="shared" si="540"/>
        <v>0</v>
      </c>
      <c r="BT503" s="49">
        <f t="shared" si="541"/>
        <v>1</v>
      </c>
      <c r="BU503" s="49">
        <f t="shared" si="542"/>
        <v>0</v>
      </c>
      <c r="BV503" s="49">
        <f t="shared" si="543"/>
        <v>0</v>
      </c>
      <c r="BW503" s="49">
        <f t="shared" si="544"/>
        <v>0</v>
      </c>
    </row>
    <row r="504" spans="1:75" ht="35.1" customHeight="1" x14ac:dyDescent="0.3">
      <c r="A504" s="123" t="str">
        <f t="shared" si="477"/>
        <v>4팀</v>
      </c>
      <c r="B504" s="69">
        <f t="shared" si="478"/>
        <v>498</v>
      </c>
      <c r="C504" s="121" t="str">
        <f>IF(VLOOKUP($B504,'1. 현장별 인원현황'!$C:$J,2,0)=0,"",VLOOKUP($B504,'1. 현장별 인원현황'!$C:$J,2,0))</f>
        <v xml:space="preserve"> [4.롯데건설] 롯데바이오로직스 Project PROVIDENCE</v>
      </c>
      <c r="D504" s="74" t="str">
        <f>IF(VLOOKUP($B504,'1. 현장별 인원현황'!$C:$J,3,0)=0,"",VLOOKUP($B504,'1. 현장별 인원현황'!$C:$J,3,0))</f>
        <v>최태선</v>
      </c>
      <c r="E504" s="74" t="str">
        <f ca="1">IF(VLOOKUP($B504,'1. 현장별 인원현황'!$C:$J,4,0)=0,"",VLOOKUP($B504,'1. 현장별 인원현황'!$C:$J,4,0))</f>
        <v>43세</v>
      </c>
      <c r="F504" s="70" t="str">
        <f>IF(VLOOKUP($B504,'1. 현장별 인원현황'!$C:$J,7,0)=0,"",VLOOKUP($B504,'1. 현장별 인원현황'!$C:$J,7,0))</f>
        <v>기능공</v>
      </c>
      <c r="G504" s="72" t="str">
        <f>IF(VLOOKUP($B504,'1. 현장별 인원현황'!$C:$J,8,0)=0,"",VLOOKUP($B504,'1. 현장별 인원현황'!$C:$J,8,0))</f>
        <v>전공</v>
      </c>
      <c r="H504" s="67" t="s">
        <v>69</v>
      </c>
      <c r="I504" s="73"/>
      <c r="J504" s="73"/>
      <c r="K504" s="68"/>
      <c r="L504" s="67"/>
      <c r="M504" s="73"/>
      <c r="N504" s="73" t="s">
        <v>69</v>
      </c>
      <c r="O504" s="68"/>
      <c r="P504" s="67" t="s">
        <v>69</v>
      </c>
      <c r="Q504" s="73"/>
      <c r="R504" s="73"/>
      <c r="S504" s="68"/>
      <c r="T504" s="67"/>
      <c r="U504" s="73" t="s">
        <v>69</v>
      </c>
      <c r="V504" s="73"/>
      <c r="W504" s="68"/>
      <c r="X504" s="67" t="s">
        <v>69</v>
      </c>
      <c r="Y504" s="73"/>
      <c r="Z504" s="73"/>
      <c r="AA504" s="68"/>
      <c r="AB504" s="67" t="s">
        <v>69</v>
      </c>
      <c r="AC504" s="73"/>
      <c r="AD504" s="73"/>
      <c r="AE504" s="68"/>
      <c r="AF504" s="67" t="s">
        <v>69</v>
      </c>
      <c r="AG504" s="73"/>
      <c r="AH504" s="73"/>
      <c r="AI504" s="68"/>
      <c r="AJ504" s="67" t="s">
        <v>69</v>
      </c>
      <c r="AK504" s="73"/>
      <c r="AL504" s="73"/>
      <c r="AM504" s="68"/>
      <c r="AN504" s="67">
        <f t="shared" si="479"/>
        <v>88</v>
      </c>
      <c r="AO504" s="68" t="str">
        <f t="shared" si="480"/>
        <v>S</v>
      </c>
      <c r="AR504" s="49">
        <f t="shared" si="513"/>
        <v>1</v>
      </c>
      <c r="AS504" s="49">
        <f t="shared" si="514"/>
        <v>0</v>
      </c>
      <c r="AT504" s="49">
        <f t="shared" si="515"/>
        <v>0</v>
      </c>
      <c r="AU504" s="49">
        <f t="shared" si="516"/>
        <v>0</v>
      </c>
      <c r="AV504" s="49">
        <f t="shared" si="517"/>
        <v>0</v>
      </c>
      <c r="AW504" s="49">
        <f t="shared" si="518"/>
        <v>0</v>
      </c>
      <c r="AX504" s="49">
        <f t="shared" si="519"/>
        <v>1</v>
      </c>
      <c r="AY504" s="49">
        <f t="shared" si="520"/>
        <v>0</v>
      </c>
      <c r="AZ504" s="49">
        <f t="shared" si="521"/>
        <v>1</v>
      </c>
      <c r="BA504" s="49">
        <f t="shared" si="522"/>
        <v>0</v>
      </c>
      <c r="BB504" s="49">
        <f t="shared" si="523"/>
        <v>0</v>
      </c>
      <c r="BC504" s="49">
        <f t="shared" si="524"/>
        <v>0</v>
      </c>
      <c r="BD504" s="49">
        <f t="shared" si="525"/>
        <v>0</v>
      </c>
      <c r="BE504" s="49">
        <f t="shared" si="526"/>
        <v>1</v>
      </c>
      <c r="BF504" s="49">
        <f t="shared" si="527"/>
        <v>0</v>
      </c>
      <c r="BG504" s="49">
        <f t="shared" si="528"/>
        <v>0</v>
      </c>
      <c r="BH504" s="49">
        <f t="shared" si="529"/>
        <v>1</v>
      </c>
      <c r="BI504" s="49">
        <f t="shared" si="530"/>
        <v>0</v>
      </c>
      <c r="BJ504" s="49">
        <f t="shared" si="531"/>
        <v>0</v>
      </c>
      <c r="BK504" s="49">
        <f t="shared" si="532"/>
        <v>0</v>
      </c>
      <c r="BL504" s="49">
        <f t="shared" si="533"/>
        <v>1</v>
      </c>
      <c r="BM504" s="49">
        <f t="shared" si="534"/>
        <v>0</v>
      </c>
      <c r="BN504" s="49">
        <f t="shared" si="535"/>
        <v>0</v>
      </c>
      <c r="BO504" s="49">
        <f t="shared" si="536"/>
        <v>0</v>
      </c>
      <c r="BP504" s="49">
        <f t="shared" si="537"/>
        <v>1</v>
      </c>
      <c r="BQ504" s="49">
        <f t="shared" si="538"/>
        <v>0</v>
      </c>
      <c r="BR504" s="49">
        <f t="shared" si="539"/>
        <v>0</v>
      </c>
      <c r="BS504" s="49">
        <f t="shared" si="540"/>
        <v>0</v>
      </c>
      <c r="BT504" s="49">
        <f t="shared" si="541"/>
        <v>1</v>
      </c>
      <c r="BU504" s="49">
        <f t="shared" si="542"/>
        <v>0</v>
      </c>
      <c r="BV504" s="49">
        <f t="shared" si="543"/>
        <v>0</v>
      </c>
      <c r="BW504" s="49">
        <f t="shared" si="544"/>
        <v>0</v>
      </c>
    </row>
    <row r="505" spans="1:75" ht="35.1" customHeight="1" x14ac:dyDescent="0.3">
      <c r="A505" s="123" t="str">
        <f t="shared" si="477"/>
        <v>4팀</v>
      </c>
      <c r="B505" s="69">
        <f t="shared" si="478"/>
        <v>499</v>
      </c>
      <c r="C505" s="121" t="str">
        <f>IF(VLOOKUP($B505,'1. 현장별 인원현황'!$C:$J,2,0)=0,"",VLOOKUP($B505,'1. 현장별 인원현황'!$C:$J,2,0))</f>
        <v xml:space="preserve"> [4.롯데건설] 롯데바이오로직스 Project PROVIDENCE</v>
      </c>
      <c r="D505" s="74" t="str">
        <f>IF(VLOOKUP($B505,'1. 현장별 인원현황'!$C:$J,3,0)=0,"",VLOOKUP($B505,'1. 현장별 인원현황'!$C:$J,3,0))</f>
        <v>정남수</v>
      </c>
      <c r="E505" s="74" t="str">
        <f ca="1">IF(VLOOKUP($B505,'1. 현장별 인원현황'!$C:$J,4,0)=0,"",VLOOKUP($B505,'1. 현장별 인원현황'!$C:$J,4,0))</f>
        <v>25세</v>
      </c>
      <c r="F505" s="70" t="str">
        <f>IF(VLOOKUP($B505,'1. 현장별 인원현황'!$C:$J,7,0)=0,"",VLOOKUP($B505,'1. 현장별 인원현황'!$C:$J,7,0))</f>
        <v>기능공</v>
      </c>
      <c r="G505" s="72" t="str">
        <f>IF(VLOOKUP($B505,'1. 현장별 인원현황'!$C:$J,8,0)=0,"",VLOOKUP($B505,'1. 현장별 인원현황'!$C:$J,8,0))</f>
        <v>전공</v>
      </c>
      <c r="H505" s="67" t="s">
        <v>69</v>
      </c>
      <c r="I505" s="73"/>
      <c r="J505" s="73"/>
      <c r="K505" s="68"/>
      <c r="L505" s="67"/>
      <c r="M505" s="73"/>
      <c r="N505" s="73" t="s">
        <v>69</v>
      </c>
      <c r="O505" s="68"/>
      <c r="P505" s="67" t="s">
        <v>69</v>
      </c>
      <c r="Q505" s="73"/>
      <c r="R505" s="73"/>
      <c r="S505" s="68"/>
      <c r="T505" s="67"/>
      <c r="U505" s="73" t="s">
        <v>69</v>
      </c>
      <c r="V505" s="73"/>
      <c r="W505" s="68"/>
      <c r="X505" s="67" t="s">
        <v>69</v>
      </c>
      <c r="Y505" s="73"/>
      <c r="Z505" s="73"/>
      <c r="AA505" s="68"/>
      <c r="AB505" s="67" t="s">
        <v>69</v>
      </c>
      <c r="AC505" s="73"/>
      <c r="AD505" s="73"/>
      <c r="AE505" s="68"/>
      <c r="AF505" s="67" t="s">
        <v>69</v>
      </c>
      <c r="AG505" s="73"/>
      <c r="AH505" s="73"/>
      <c r="AI505" s="68"/>
      <c r="AJ505" s="67" t="s">
        <v>69</v>
      </c>
      <c r="AK505" s="73"/>
      <c r="AL505" s="73"/>
      <c r="AM505" s="68"/>
      <c r="AN505" s="67">
        <f t="shared" si="479"/>
        <v>88</v>
      </c>
      <c r="AO505" s="68" t="str">
        <f t="shared" si="480"/>
        <v>S</v>
      </c>
      <c r="AR505" s="49">
        <f t="shared" si="513"/>
        <v>1</v>
      </c>
      <c r="AS505" s="49">
        <f t="shared" si="514"/>
        <v>0</v>
      </c>
      <c r="AT505" s="49">
        <f t="shared" si="515"/>
        <v>0</v>
      </c>
      <c r="AU505" s="49">
        <f t="shared" si="516"/>
        <v>0</v>
      </c>
      <c r="AV505" s="49">
        <f t="shared" si="517"/>
        <v>0</v>
      </c>
      <c r="AW505" s="49">
        <f t="shared" si="518"/>
        <v>0</v>
      </c>
      <c r="AX505" s="49">
        <f t="shared" si="519"/>
        <v>1</v>
      </c>
      <c r="AY505" s="49">
        <f t="shared" si="520"/>
        <v>0</v>
      </c>
      <c r="AZ505" s="49">
        <f t="shared" si="521"/>
        <v>1</v>
      </c>
      <c r="BA505" s="49">
        <f t="shared" si="522"/>
        <v>0</v>
      </c>
      <c r="BB505" s="49">
        <f t="shared" si="523"/>
        <v>0</v>
      </c>
      <c r="BC505" s="49">
        <f t="shared" si="524"/>
        <v>0</v>
      </c>
      <c r="BD505" s="49">
        <f t="shared" si="525"/>
        <v>0</v>
      </c>
      <c r="BE505" s="49">
        <f t="shared" si="526"/>
        <v>1</v>
      </c>
      <c r="BF505" s="49">
        <f t="shared" si="527"/>
        <v>0</v>
      </c>
      <c r="BG505" s="49">
        <f t="shared" si="528"/>
        <v>0</v>
      </c>
      <c r="BH505" s="49">
        <f t="shared" si="529"/>
        <v>1</v>
      </c>
      <c r="BI505" s="49">
        <f t="shared" si="530"/>
        <v>0</v>
      </c>
      <c r="BJ505" s="49">
        <f t="shared" si="531"/>
        <v>0</v>
      </c>
      <c r="BK505" s="49">
        <f t="shared" si="532"/>
        <v>0</v>
      </c>
      <c r="BL505" s="49">
        <f t="shared" si="533"/>
        <v>1</v>
      </c>
      <c r="BM505" s="49">
        <f t="shared" si="534"/>
        <v>0</v>
      </c>
      <c r="BN505" s="49">
        <f t="shared" si="535"/>
        <v>0</v>
      </c>
      <c r="BO505" s="49">
        <f t="shared" si="536"/>
        <v>0</v>
      </c>
      <c r="BP505" s="49">
        <f t="shared" si="537"/>
        <v>1</v>
      </c>
      <c r="BQ505" s="49">
        <f t="shared" si="538"/>
        <v>0</v>
      </c>
      <c r="BR505" s="49">
        <f t="shared" si="539"/>
        <v>0</v>
      </c>
      <c r="BS505" s="49">
        <f t="shared" si="540"/>
        <v>0</v>
      </c>
      <c r="BT505" s="49">
        <f t="shared" si="541"/>
        <v>1</v>
      </c>
      <c r="BU505" s="49">
        <f t="shared" si="542"/>
        <v>0</v>
      </c>
      <c r="BV505" s="49">
        <f t="shared" si="543"/>
        <v>0</v>
      </c>
      <c r="BW505" s="49">
        <f t="shared" si="544"/>
        <v>0</v>
      </c>
    </row>
    <row r="506" spans="1:75" ht="35.1" customHeight="1" x14ac:dyDescent="0.3">
      <c r="A506" s="123" t="str">
        <f t="shared" si="477"/>
        <v>4팀</v>
      </c>
      <c r="B506" s="69">
        <f t="shared" si="478"/>
        <v>500</v>
      </c>
      <c r="C506" s="121" t="str">
        <f>IF(VLOOKUP($B506,'1. 현장별 인원현황'!$C:$J,2,0)=0,"",VLOOKUP($B506,'1. 현장별 인원현황'!$C:$J,2,0))</f>
        <v xml:space="preserve"> [4.롯데건설] 롯데바이오로직스 Project PROVIDENCE</v>
      </c>
      <c r="D506" s="74" t="str">
        <f>IF(VLOOKUP($B506,'1. 현장별 인원현황'!$C:$J,3,0)=0,"",VLOOKUP($B506,'1. 현장별 인원현황'!$C:$J,3,0))</f>
        <v>김현철</v>
      </c>
      <c r="E506" s="74" t="str">
        <f ca="1">IF(VLOOKUP($B506,'1. 현장별 인원현황'!$C:$J,4,0)=0,"",VLOOKUP($B506,'1. 현장별 인원현황'!$C:$J,4,0))</f>
        <v>51세</v>
      </c>
      <c r="F506" s="70" t="str">
        <f>IF(VLOOKUP($B506,'1. 현장별 인원현황'!$C:$J,7,0)=0,"",VLOOKUP($B506,'1. 현장별 인원현황'!$C:$J,7,0))</f>
        <v>기능공</v>
      </c>
      <c r="G506" s="72" t="str">
        <f>IF(VLOOKUP($B506,'1. 현장별 인원현황'!$C:$J,8,0)=0,"",VLOOKUP($B506,'1. 현장별 인원현황'!$C:$J,8,0))</f>
        <v>전공</v>
      </c>
      <c r="H506" s="67" t="s">
        <v>69</v>
      </c>
      <c r="I506" s="73"/>
      <c r="J506" s="73"/>
      <c r="K506" s="68"/>
      <c r="L506" s="67"/>
      <c r="M506" s="73"/>
      <c r="N506" s="73" t="s">
        <v>69</v>
      </c>
      <c r="O506" s="68"/>
      <c r="P506" s="67" t="s">
        <v>69</v>
      </c>
      <c r="Q506" s="73"/>
      <c r="R506" s="73"/>
      <c r="S506" s="68"/>
      <c r="T506" s="67"/>
      <c r="U506" s="73" t="s">
        <v>69</v>
      </c>
      <c r="V506" s="73"/>
      <c r="W506" s="68"/>
      <c r="X506" s="67" t="s">
        <v>69</v>
      </c>
      <c r="Y506" s="73"/>
      <c r="Z506" s="73"/>
      <c r="AA506" s="68"/>
      <c r="AB506" s="67" t="s">
        <v>69</v>
      </c>
      <c r="AC506" s="73"/>
      <c r="AD506" s="73"/>
      <c r="AE506" s="68"/>
      <c r="AF506" s="67" t="s">
        <v>69</v>
      </c>
      <c r="AG506" s="73"/>
      <c r="AH506" s="73"/>
      <c r="AI506" s="68"/>
      <c r="AJ506" s="67" t="s">
        <v>69</v>
      </c>
      <c r="AK506" s="73"/>
      <c r="AL506" s="73"/>
      <c r="AM506" s="68"/>
      <c r="AN506" s="67">
        <f t="shared" si="479"/>
        <v>88</v>
      </c>
      <c r="AO506" s="68" t="str">
        <f t="shared" si="480"/>
        <v>S</v>
      </c>
      <c r="AR506" s="49">
        <f t="shared" si="513"/>
        <v>1</v>
      </c>
      <c r="AS506" s="49">
        <f t="shared" si="514"/>
        <v>0</v>
      </c>
      <c r="AT506" s="49">
        <f t="shared" si="515"/>
        <v>0</v>
      </c>
      <c r="AU506" s="49">
        <f t="shared" si="516"/>
        <v>0</v>
      </c>
      <c r="AV506" s="49">
        <f t="shared" si="517"/>
        <v>0</v>
      </c>
      <c r="AW506" s="49">
        <f t="shared" si="518"/>
        <v>0</v>
      </c>
      <c r="AX506" s="49">
        <f t="shared" si="519"/>
        <v>1</v>
      </c>
      <c r="AY506" s="49">
        <f t="shared" si="520"/>
        <v>0</v>
      </c>
      <c r="AZ506" s="49">
        <f t="shared" si="521"/>
        <v>1</v>
      </c>
      <c r="BA506" s="49">
        <f t="shared" si="522"/>
        <v>0</v>
      </c>
      <c r="BB506" s="49">
        <f t="shared" si="523"/>
        <v>0</v>
      </c>
      <c r="BC506" s="49">
        <f t="shared" si="524"/>
        <v>0</v>
      </c>
      <c r="BD506" s="49">
        <f t="shared" si="525"/>
        <v>0</v>
      </c>
      <c r="BE506" s="49">
        <f t="shared" si="526"/>
        <v>1</v>
      </c>
      <c r="BF506" s="49">
        <f t="shared" si="527"/>
        <v>0</v>
      </c>
      <c r="BG506" s="49">
        <f t="shared" si="528"/>
        <v>0</v>
      </c>
      <c r="BH506" s="49">
        <f t="shared" si="529"/>
        <v>1</v>
      </c>
      <c r="BI506" s="49">
        <f t="shared" si="530"/>
        <v>0</v>
      </c>
      <c r="BJ506" s="49">
        <f t="shared" si="531"/>
        <v>0</v>
      </c>
      <c r="BK506" s="49">
        <f t="shared" si="532"/>
        <v>0</v>
      </c>
      <c r="BL506" s="49">
        <f t="shared" si="533"/>
        <v>1</v>
      </c>
      <c r="BM506" s="49">
        <f t="shared" si="534"/>
        <v>0</v>
      </c>
      <c r="BN506" s="49">
        <f t="shared" si="535"/>
        <v>0</v>
      </c>
      <c r="BO506" s="49">
        <f t="shared" si="536"/>
        <v>0</v>
      </c>
      <c r="BP506" s="49">
        <f t="shared" si="537"/>
        <v>1</v>
      </c>
      <c r="BQ506" s="49">
        <f t="shared" si="538"/>
        <v>0</v>
      </c>
      <c r="BR506" s="49">
        <f t="shared" si="539"/>
        <v>0</v>
      </c>
      <c r="BS506" s="49">
        <f t="shared" si="540"/>
        <v>0</v>
      </c>
      <c r="BT506" s="49">
        <f t="shared" si="541"/>
        <v>1</v>
      </c>
      <c r="BU506" s="49">
        <f t="shared" si="542"/>
        <v>0</v>
      </c>
      <c r="BV506" s="49">
        <f t="shared" si="543"/>
        <v>0</v>
      </c>
      <c r="BW506" s="49">
        <f t="shared" si="544"/>
        <v>0</v>
      </c>
    </row>
    <row r="507" spans="1:75" ht="35.1" customHeight="1" x14ac:dyDescent="0.3">
      <c r="A507" s="123" t="str">
        <f t="shared" si="477"/>
        <v>4팀</v>
      </c>
      <c r="B507" s="69">
        <f t="shared" si="478"/>
        <v>501</v>
      </c>
      <c r="C507" s="121" t="str">
        <f>IF(VLOOKUP($B507,'1. 현장별 인원현황'!$C:$J,2,0)=0,"",VLOOKUP($B507,'1. 현장별 인원현황'!$C:$J,2,0))</f>
        <v xml:space="preserve"> [4.롯데건설] 롯데바이오로직스 Project PROVIDENCE</v>
      </c>
      <c r="D507" s="74" t="str">
        <f>IF(VLOOKUP($B507,'1. 현장별 인원현황'!$C:$J,3,0)=0,"",VLOOKUP($B507,'1. 현장별 인원현황'!$C:$J,3,0))</f>
        <v>오성진</v>
      </c>
      <c r="E507" s="74" t="str">
        <f ca="1">IF(VLOOKUP($B507,'1. 현장별 인원현황'!$C:$J,4,0)=0,"",VLOOKUP($B507,'1. 현장별 인원현황'!$C:$J,4,0))</f>
        <v>35세</v>
      </c>
      <c r="F507" s="70" t="str">
        <f>IF(VLOOKUP($B507,'1. 현장별 인원현황'!$C:$J,7,0)=0,"",VLOOKUP($B507,'1. 현장별 인원현황'!$C:$J,7,0))</f>
        <v>기능공</v>
      </c>
      <c r="G507" s="72" t="str">
        <f>IF(VLOOKUP($B507,'1. 현장별 인원현황'!$C:$J,8,0)=0,"",VLOOKUP($B507,'1. 현장별 인원현황'!$C:$J,8,0))</f>
        <v>전공</v>
      </c>
      <c r="H507" s="67" t="s">
        <v>69</v>
      </c>
      <c r="I507" s="73"/>
      <c r="J507" s="73"/>
      <c r="K507" s="68"/>
      <c r="L507" s="67"/>
      <c r="M507" s="73"/>
      <c r="N507" s="73" t="s">
        <v>69</v>
      </c>
      <c r="O507" s="68"/>
      <c r="P507" s="67" t="s">
        <v>69</v>
      </c>
      <c r="Q507" s="73"/>
      <c r="R507" s="73"/>
      <c r="S507" s="68"/>
      <c r="T507" s="67"/>
      <c r="U507" s="73" t="s">
        <v>69</v>
      </c>
      <c r="V507" s="73"/>
      <c r="W507" s="68"/>
      <c r="X507" s="67" t="s">
        <v>69</v>
      </c>
      <c r="Y507" s="73"/>
      <c r="Z507" s="73"/>
      <c r="AA507" s="68"/>
      <c r="AB507" s="67" t="s">
        <v>69</v>
      </c>
      <c r="AC507" s="73"/>
      <c r="AD507" s="73"/>
      <c r="AE507" s="68"/>
      <c r="AF507" s="67" t="s">
        <v>69</v>
      </c>
      <c r="AG507" s="73"/>
      <c r="AH507" s="73"/>
      <c r="AI507" s="68"/>
      <c r="AJ507" s="67" t="s">
        <v>69</v>
      </c>
      <c r="AK507" s="73"/>
      <c r="AL507" s="73"/>
      <c r="AM507" s="68"/>
      <c r="AN507" s="67">
        <f t="shared" si="479"/>
        <v>88</v>
      </c>
      <c r="AO507" s="68" t="str">
        <f t="shared" si="480"/>
        <v>S</v>
      </c>
      <c r="AR507" s="49">
        <f t="shared" si="513"/>
        <v>1</v>
      </c>
      <c r="AS507" s="49">
        <f t="shared" si="514"/>
        <v>0</v>
      </c>
      <c r="AT507" s="49">
        <f t="shared" si="515"/>
        <v>0</v>
      </c>
      <c r="AU507" s="49">
        <f t="shared" si="516"/>
        <v>0</v>
      </c>
      <c r="AV507" s="49">
        <f t="shared" si="517"/>
        <v>0</v>
      </c>
      <c r="AW507" s="49">
        <f t="shared" si="518"/>
        <v>0</v>
      </c>
      <c r="AX507" s="49">
        <f t="shared" si="519"/>
        <v>1</v>
      </c>
      <c r="AY507" s="49">
        <f t="shared" si="520"/>
        <v>0</v>
      </c>
      <c r="AZ507" s="49">
        <f t="shared" si="521"/>
        <v>1</v>
      </c>
      <c r="BA507" s="49">
        <f t="shared" si="522"/>
        <v>0</v>
      </c>
      <c r="BB507" s="49">
        <f t="shared" si="523"/>
        <v>0</v>
      </c>
      <c r="BC507" s="49">
        <f t="shared" si="524"/>
        <v>0</v>
      </c>
      <c r="BD507" s="49">
        <f t="shared" si="525"/>
        <v>0</v>
      </c>
      <c r="BE507" s="49">
        <f t="shared" si="526"/>
        <v>1</v>
      </c>
      <c r="BF507" s="49">
        <f t="shared" si="527"/>
        <v>0</v>
      </c>
      <c r="BG507" s="49">
        <f t="shared" si="528"/>
        <v>0</v>
      </c>
      <c r="BH507" s="49">
        <f t="shared" si="529"/>
        <v>1</v>
      </c>
      <c r="BI507" s="49">
        <f t="shared" si="530"/>
        <v>0</v>
      </c>
      <c r="BJ507" s="49">
        <f t="shared" si="531"/>
        <v>0</v>
      </c>
      <c r="BK507" s="49">
        <f t="shared" si="532"/>
        <v>0</v>
      </c>
      <c r="BL507" s="49">
        <f t="shared" si="533"/>
        <v>1</v>
      </c>
      <c r="BM507" s="49">
        <f t="shared" si="534"/>
        <v>0</v>
      </c>
      <c r="BN507" s="49">
        <f t="shared" si="535"/>
        <v>0</v>
      </c>
      <c r="BO507" s="49">
        <f t="shared" si="536"/>
        <v>0</v>
      </c>
      <c r="BP507" s="49">
        <f t="shared" si="537"/>
        <v>1</v>
      </c>
      <c r="BQ507" s="49">
        <f t="shared" si="538"/>
        <v>0</v>
      </c>
      <c r="BR507" s="49">
        <f t="shared" si="539"/>
        <v>0</v>
      </c>
      <c r="BS507" s="49">
        <f t="shared" si="540"/>
        <v>0</v>
      </c>
      <c r="BT507" s="49">
        <f t="shared" si="541"/>
        <v>1</v>
      </c>
      <c r="BU507" s="49">
        <f t="shared" si="542"/>
        <v>0</v>
      </c>
      <c r="BV507" s="49">
        <f t="shared" si="543"/>
        <v>0</v>
      </c>
      <c r="BW507" s="49">
        <f t="shared" si="544"/>
        <v>0</v>
      </c>
    </row>
    <row r="508" spans="1:75" ht="35.1" customHeight="1" x14ac:dyDescent="0.3">
      <c r="A508" s="123" t="str">
        <f t="shared" si="477"/>
        <v>4팀</v>
      </c>
      <c r="B508" s="69">
        <f t="shared" si="478"/>
        <v>502</v>
      </c>
      <c r="C508" s="121" t="str">
        <f>IF(VLOOKUP($B508,'1. 현장별 인원현황'!$C:$J,2,0)=0,"",VLOOKUP($B508,'1. 현장별 인원현황'!$C:$J,2,0))</f>
        <v xml:space="preserve"> [4.롯데건설] 롯데바이오로직스 Project PROVIDENCE</v>
      </c>
      <c r="D508" s="74" t="str">
        <f>IF(VLOOKUP($B508,'1. 현장별 인원현황'!$C:$J,3,0)=0,"",VLOOKUP($B508,'1. 현장별 인원현황'!$C:$J,3,0))</f>
        <v>손철규</v>
      </c>
      <c r="E508" s="74" t="str">
        <f ca="1">IF(VLOOKUP($B508,'1. 현장별 인원현황'!$C:$J,4,0)=0,"",VLOOKUP($B508,'1. 현장별 인원현황'!$C:$J,4,0))</f>
        <v>56세</v>
      </c>
      <c r="F508" s="70" t="str">
        <f>IF(VLOOKUP($B508,'1. 현장별 인원현황'!$C:$J,7,0)=0,"",VLOOKUP($B508,'1. 현장별 인원현황'!$C:$J,7,0))</f>
        <v>기능공</v>
      </c>
      <c r="G508" s="72" t="str">
        <f>IF(VLOOKUP($B508,'1. 현장별 인원현황'!$C:$J,8,0)=0,"",VLOOKUP($B508,'1. 현장별 인원현황'!$C:$J,8,0))</f>
        <v>전공</v>
      </c>
      <c r="H508" s="67" t="s">
        <v>69</v>
      </c>
      <c r="I508" s="73"/>
      <c r="J508" s="73"/>
      <c r="K508" s="68"/>
      <c r="L508" s="67"/>
      <c r="M508" s="73"/>
      <c r="N508" s="73" t="s">
        <v>69</v>
      </c>
      <c r="O508" s="68"/>
      <c r="P508" s="67" t="s">
        <v>69</v>
      </c>
      <c r="Q508" s="73"/>
      <c r="R508" s="73"/>
      <c r="S508" s="68"/>
      <c r="T508" s="67"/>
      <c r="U508" s="73" t="s">
        <v>69</v>
      </c>
      <c r="V508" s="73"/>
      <c r="W508" s="68"/>
      <c r="X508" s="67" t="s">
        <v>69</v>
      </c>
      <c r="Y508" s="73"/>
      <c r="Z508" s="73"/>
      <c r="AA508" s="68"/>
      <c r="AB508" s="67" t="s">
        <v>69</v>
      </c>
      <c r="AC508" s="73"/>
      <c r="AD508" s="73"/>
      <c r="AE508" s="68"/>
      <c r="AF508" s="67" t="s">
        <v>69</v>
      </c>
      <c r="AG508" s="73"/>
      <c r="AH508" s="73"/>
      <c r="AI508" s="68"/>
      <c r="AJ508" s="67" t="s">
        <v>69</v>
      </c>
      <c r="AK508" s="73"/>
      <c r="AL508" s="73"/>
      <c r="AM508" s="68"/>
      <c r="AN508" s="67">
        <f t="shared" si="479"/>
        <v>88</v>
      </c>
      <c r="AO508" s="68" t="str">
        <f t="shared" si="480"/>
        <v>S</v>
      </c>
      <c r="AR508" s="49">
        <f t="shared" si="513"/>
        <v>1</v>
      </c>
      <c r="AS508" s="49">
        <f t="shared" si="514"/>
        <v>0</v>
      </c>
      <c r="AT508" s="49">
        <f t="shared" si="515"/>
        <v>0</v>
      </c>
      <c r="AU508" s="49">
        <f t="shared" si="516"/>
        <v>0</v>
      </c>
      <c r="AV508" s="49">
        <f t="shared" si="517"/>
        <v>0</v>
      </c>
      <c r="AW508" s="49">
        <f t="shared" si="518"/>
        <v>0</v>
      </c>
      <c r="AX508" s="49">
        <f t="shared" si="519"/>
        <v>1</v>
      </c>
      <c r="AY508" s="49">
        <f t="shared" si="520"/>
        <v>0</v>
      </c>
      <c r="AZ508" s="49">
        <f t="shared" si="521"/>
        <v>1</v>
      </c>
      <c r="BA508" s="49">
        <f t="shared" si="522"/>
        <v>0</v>
      </c>
      <c r="BB508" s="49">
        <f t="shared" si="523"/>
        <v>0</v>
      </c>
      <c r="BC508" s="49">
        <f t="shared" si="524"/>
        <v>0</v>
      </c>
      <c r="BD508" s="49">
        <f t="shared" si="525"/>
        <v>0</v>
      </c>
      <c r="BE508" s="49">
        <f t="shared" si="526"/>
        <v>1</v>
      </c>
      <c r="BF508" s="49">
        <f t="shared" si="527"/>
        <v>0</v>
      </c>
      <c r="BG508" s="49">
        <f t="shared" si="528"/>
        <v>0</v>
      </c>
      <c r="BH508" s="49">
        <f t="shared" si="529"/>
        <v>1</v>
      </c>
      <c r="BI508" s="49">
        <f t="shared" si="530"/>
        <v>0</v>
      </c>
      <c r="BJ508" s="49">
        <f t="shared" si="531"/>
        <v>0</v>
      </c>
      <c r="BK508" s="49">
        <f t="shared" si="532"/>
        <v>0</v>
      </c>
      <c r="BL508" s="49">
        <f t="shared" si="533"/>
        <v>1</v>
      </c>
      <c r="BM508" s="49">
        <f t="shared" si="534"/>
        <v>0</v>
      </c>
      <c r="BN508" s="49">
        <f t="shared" si="535"/>
        <v>0</v>
      </c>
      <c r="BO508" s="49">
        <f t="shared" si="536"/>
        <v>0</v>
      </c>
      <c r="BP508" s="49">
        <f t="shared" si="537"/>
        <v>1</v>
      </c>
      <c r="BQ508" s="49">
        <f t="shared" si="538"/>
        <v>0</v>
      </c>
      <c r="BR508" s="49">
        <f t="shared" si="539"/>
        <v>0</v>
      </c>
      <c r="BS508" s="49">
        <f t="shared" si="540"/>
        <v>0</v>
      </c>
      <c r="BT508" s="49">
        <f t="shared" si="541"/>
        <v>1</v>
      </c>
      <c r="BU508" s="49">
        <f t="shared" si="542"/>
        <v>0</v>
      </c>
      <c r="BV508" s="49">
        <f t="shared" si="543"/>
        <v>0</v>
      </c>
      <c r="BW508" s="49">
        <f t="shared" si="544"/>
        <v>0</v>
      </c>
    </row>
    <row r="509" spans="1:75" ht="35.1" customHeight="1" x14ac:dyDescent="0.3">
      <c r="A509" s="123" t="str">
        <f t="shared" si="477"/>
        <v>4팀</v>
      </c>
      <c r="B509" s="69">
        <f t="shared" si="478"/>
        <v>503</v>
      </c>
      <c r="C509" s="121" t="str">
        <f>IF(VLOOKUP($B509,'1. 현장별 인원현황'!$C:$J,2,0)=0,"",VLOOKUP($B509,'1. 현장별 인원현황'!$C:$J,2,0))</f>
        <v xml:space="preserve"> [4.롯데건설] 롯데바이오로직스 Project PROVIDENCE</v>
      </c>
      <c r="D509" s="74" t="str">
        <f>IF(VLOOKUP($B509,'1. 현장별 인원현황'!$C:$J,3,0)=0,"",VLOOKUP($B509,'1. 현장별 인원현황'!$C:$J,3,0))</f>
        <v>안종광</v>
      </c>
      <c r="E509" s="74" t="str">
        <f ca="1">IF(VLOOKUP($B509,'1. 현장별 인원현황'!$C:$J,4,0)=0,"",VLOOKUP($B509,'1. 현장별 인원현황'!$C:$J,4,0))</f>
        <v>52세</v>
      </c>
      <c r="F509" s="70" t="str">
        <f>IF(VLOOKUP($B509,'1. 현장별 인원현황'!$C:$J,7,0)=0,"",VLOOKUP($B509,'1. 현장별 인원현황'!$C:$J,7,0))</f>
        <v>기능공</v>
      </c>
      <c r="G509" s="72" t="str">
        <f>IF(VLOOKUP($B509,'1. 현장별 인원현황'!$C:$J,8,0)=0,"",VLOOKUP($B509,'1. 현장별 인원현황'!$C:$J,8,0))</f>
        <v>전공</v>
      </c>
      <c r="H509" s="67" t="s">
        <v>69</v>
      </c>
      <c r="I509" s="73"/>
      <c r="J509" s="73"/>
      <c r="K509" s="68"/>
      <c r="L509" s="67"/>
      <c r="M509" s="73"/>
      <c r="N509" s="73" t="s">
        <v>69</v>
      </c>
      <c r="O509" s="68"/>
      <c r="P509" s="67" t="s">
        <v>69</v>
      </c>
      <c r="Q509" s="73"/>
      <c r="R509" s="73"/>
      <c r="S509" s="68"/>
      <c r="T509" s="67"/>
      <c r="U509" s="73" t="s">
        <v>69</v>
      </c>
      <c r="V509" s="73"/>
      <c r="W509" s="68"/>
      <c r="X509" s="67" t="s">
        <v>69</v>
      </c>
      <c r="Y509" s="73"/>
      <c r="Z509" s="73"/>
      <c r="AA509" s="68"/>
      <c r="AB509" s="67" t="s">
        <v>69</v>
      </c>
      <c r="AC509" s="73"/>
      <c r="AD509" s="73"/>
      <c r="AE509" s="68"/>
      <c r="AF509" s="67" t="s">
        <v>69</v>
      </c>
      <c r="AG509" s="73"/>
      <c r="AH509" s="73"/>
      <c r="AI509" s="68"/>
      <c r="AJ509" s="67" t="s">
        <v>69</v>
      </c>
      <c r="AK509" s="73"/>
      <c r="AL509" s="73"/>
      <c r="AM509" s="68"/>
      <c r="AN509" s="67">
        <f t="shared" si="479"/>
        <v>88</v>
      </c>
      <c r="AO509" s="68" t="str">
        <f t="shared" si="480"/>
        <v>S</v>
      </c>
      <c r="AR509" s="49">
        <f t="shared" si="513"/>
        <v>1</v>
      </c>
      <c r="AS509" s="49">
        <f t="shared" si="514"/>
        <v>0</v>
      </c>
      <c r="AT509" s="49">
        <f t="shared" si="515"/>
        <v>0</v>
      </c>
      <c r="AU509" s="49">
        <f t="shared" si="516"/>
        <v>0</v>
      </c>
      <c r="AV509" s="49">
        <f t="shared" si="517"/>
        <v>0</v>
      </c>
      <c r="AW509" s="49">
        <f t="shared" si="518"/>
        <v>0</v>
      </c>
      <c r="AX509" s="49">
        <f t="shared" si="519"/>
        <v>1</v>
      </c>
      <c r="AY509" s="49">
        <f t="shared" si="520"/>
        <v>0</v>
      </c>
      <c r="AZ509" s="49">
        <f t="shared" si="521"/>
        <v>1</v>
      </c>
      <c r="BA509" s="49">
        <f t="shared" si="522"/>
        <v>0</v>
      </c>
      <c r="BB509" s="49">
        <f t="shared" si="523"/>
        <v>0</v>
      </c>
      <c r="BC509" s="49">
        <f t="shared" si="524"/>
        <v>0</v>
      </c>
      <c r="BD509" s="49">
        <f t="shared" si="525"/>
        <v>0</v>
      </c>
      <c r="BE509" s="49">
        <f t="shared" si="526"/>
        <v>1</v>
      </c>
      <c r="BF509" s="49">
        <f t="shared" si="527"/>
        <v>0</v>
      </c>
      <c r="BG509" s="49">
        <f t="shared" si="528"/>
        <v>0</v>
      </c>
      <c r="BH509" s="49">
        <f t="shared" si="529"/>
        <v>1</v>
      </c>
      <c r="BI509" s="49">
        <f t="shared" si="530"/>
        <v>0</v>
      </c>
      <c r="BJ509" s="49">
        <f t="shared" si="531"/>
        <v>0</v>
      </c>
      <c r="BK509" s="49">
        <f t="shared" si="532"/>
        <v>0</v>
      </c>
      <c r="BL509" s="49">
        <f t="shared" si="533"/>
        <v>1</v>
      </c>
      <c r="BM509" s="49">
        <f t="shared" si="534"/>
        <v>0</v>
      </c>
      <c r="BN509" s="49">
        <f t="shared" si="535"/>
        <v>0</v>
      </c>
      <c r="BO509" s="49">
        <f t="shared" si="536"/>
        <v>0</v>
      </c>
      <c r="BP509" s="49">
        <f t="shared" si="537"/>
        <v>1</v>
      </c>
      <c r="BQ509" s="49">
        <f t="shared" si="538"/>
        <v>0</v>
      </c>
      <c r="BR509" s="49">
        <f t="shared" si="539"/>
        <v>0</v>
      </c>
      <c r="BS509" s="49">
        <f t="shared" si="540"/>
        <v>0</v>
      </c>
      <c r="BT509" s="49">
        <f t="shared" si="541"/>
        <v>1</v>
      </c>
      <c r="BU509" s="49">
        <f t="shared" si="542"/>
        <v>0</v>
      </c>
      <c r="BV509" s="49">
        <f t="shared" si="543"/>
        <v>0</v>
      </c>
      <c r="BW509" s="49">
        <f t="shared" si="544"/>
        <v>0</v>
      </c>
    </row>
    <row r="510" spans="1:75" ht="35.1" customHeight="1" x14ac:dyDescent="0.3">
      <c r="A510" s="123" t="str">
        <f t="shared" si="477"/>
        <v>4팀</v>
      </c>
      <c r="B510" s="69">
        <f t="shared" si="478"/>
        <v>504</v>
      </c>
      <c r="C510" s="121" t="str">
        <f>IF(VLOOKUP($B510,'1. 현장별 인원현황'!$C:$J,2,0)=0,"",VLOOKUP($B510,'1. 현장별 인원현황'!$C:$J,2,0))</f>
        <v xml:space="preserve"> [4.롯데건설] 롯데바이오로직스 Project PROVIDENCE</v>
      </c>
      <c r="D510" s="74" t="str">
        <f>IF(VLOOKUP($B510,'1. 현장별 인원현황'!$C:$J,3,0)=0,"",VLOOKUP($B510,'1. 현장별 인원현황'!$C:$J,3,0))</f>
        <v>이수복</v>
      </c>
      <c r="E510" s="74" t="str">
        <f ca="1">IF(VLOOKUP($B510,'1. 현장별 인원현황'!$C:$J,4,0)=0,"",VLOOKUP($B510,'1. 현장별 인원현황'!$C:$J,4,0))</f>
        <v>40세</v>
      </c>
      <c r="F510" s="70" t="str">
        <f>IF(VLOOKUP($B510,'1. 현장별 인원현황'!$C:$J,7,0)=0,"",VLOOKUP($B510,'1. 현장별 인원현황'!$C:$J,7,0))</f>
        <v>기능공</v>
      </c>
      <c r="G510" s="72" t="str">
        <f>IF(VLOOKUP($B510,'1. 현장별 인원현황'!$C:$J,8,0)=0,"",VLOOKUP($B510,'1. 현장별 인원현황'!$C:$J,8,0))</f>
        <v>전공</v>
      </c>
      <c r="H510" s="67" t="s">
        <v>69</v>
      </c>
      <c r="I510" s="73"/>
      <c r="J510" s="73"/>
      <c r="K510" s="68"/>
      <c r="L510" s="67"/>
      <c r="M510" s="73"/>
      <c r="N510" s="73" t="s">
        <v>69</v>
      </c>
      <c r="O510" s="68"/>
      <c r="P510" s="67" t="s">
        <v>69</v>
      </c>
      <c r="Q510" s="73"/>
      <c r="R510" s="73"/>
      <c r="S510" s="68"/>
      <c r="T510" s="67"/>
      <c r="U510" s="73" t="s">
        <v>69</v>
      </c>
      <c r="V510" s="73"/>
      <c r="W510" s="68"/>
      <c r="X510" s="67" t="s">
        <v>69</v>
      </c>
      <c r="Y510" s="73"/>
      <c r="Z510" s="73"/>
      <c r="AA510" s="68"/>
      <c r="AB510" s="67" t="s">
        <v>69</v>
      </c>
      <c r="AC510" s="73"/>
      <c r="AD510" s="73"/>
      <c r="AE510" s="68"/>
      <c r="AF510" s="67" t="s">
        <v>69</v>
      </c>
      <c r="AG510" s="73"/>
      <c r="AH510" s="73"/>
      <c r="AI510" s="68"/>
      <c r="AJ510" s="67" t="s">
        <v>69</v>
      </c>
      <c r="AK510" s="73"/>
      <c r="AL510" s="73"/>
      <c r="AM510" s="68"/>
      <c r="AN510" s="67">
        <f t="shared" si="479"/>
        <v>88</v>
      </c>
      <c r="AO510" s="68" t="str">
        <f t="shared" si="480"/>
        <v>S</v>
      </c>
      <c r="AR510" s="49">
        <f t="shared" si="513"/>
        <v>1</v>
      </c>
      <c r="AS510" s="49">
        <f t="shared" si="514"/>
        <v>0</v>
      </c>
      <c r="AT510" s="49">
        <f t="shared" si="515"/>
        <v>0</v>
      </c>
      <c r="AU510" s="49">
        <f t="shared" si="516"/>
        <v>0</v>
      </c>
      <c r="AV510" s="49">
        <f t="shared" si="517"/>
        <v>0</v>
      </c>
      <c r="AW510" s="49">
        <f t="shared" si="518"/>
        <v>0</v>
      </c>
      <c r="AX510" s="49">
        <f t="shared" si="519"/>
        <v>1</v>
      </c>
      <c r="AY510" s="49">
        <f t="shared" si="520"/>
        <v>0</v>
      </c>
      <c r="AZ510" s="49">
        <f t="shared" si="521"/>
        <v>1</v>
      </c>
      <c r="BA510" s="49">
        <f t="shared" si="522"/>
        <v>0</v>
      </c>
      <c r="BB510" s="49">
        <f t="shared" si="523"/>
        <v>0</v>
      </c>
      <c r="BC510" s="49">
        <f t="shared" si="524"/>
        <v>0</v>
      </c>
      <c r="BD510" s="49">
        <f t="shared" si="525"/>
        <v>0</v>
      </c>
      <c r="BE510" s="49">
        <f t="shared" si="526"/>
        <v>1</v>
      </c>
      <c r="BF510" s="49">
        <f t="shared" si="527"/>
        <v>0</v>
      </c>
      <c r="BG510" s="49">
        <f t="shared" si="528"/>
        <v>0</v>
      </c>
      <c r="BH510" s="49">
        <f t="shared" si="529"/>
        <v>1</v>
      </c>
      <c r="BI510" s="49">
        <f t="shared" si="530"/>
        <v>0</v>
      </c>
      <c r="BJ510" s="49">
        <f t="shared" si="531"/>
        <v>0</v>
      </c>
      <c r="BK510" s="49">
        <f t="shared" si="532"/>
        <v>0</v>
      </c>
      <c r="BL510" s="49">
        <f t="shared" si="533"/>
        <v>1</v>
      </c>
      <c r="BM510" s="49">
        <f t="shared" si="534"/>
        <v>0</v>
      </c>
      <c r="BN510" s="49">
        <f t="shared" si="535"/>
        <v>0</v>
      </c>
      <c r="BO510" s="49">
        <f t="shared" si="536"/>
        <v>0</v>
      </c>
      <c r="BP510" s="49">
        <f t="shared" si="537"/>
        <v>1</v>
      </c>
      <c r="BQ510" s="49">
        <f t="shared" si="538"/>
        <v>0</v>
      </c>
      <c r="BR510" s="49">
        <f t="shared" si="539"/>
        <v>0</v>
      </c>
      <c r="BS510" s="49">
        <f t="shared" si="540"/>
        <v>0</v>
      </c>
      <c r="BT510" s="49">
        <f t="shared" si="541"/>
        <v>1</v>
      </c>
      <c r="BU510" s="49">
        <f t="shared" si="542"/>
        <v>0</v>
      </c>
      <c r="BV510" s="49">
        <f t="shared" si="543"/>
        <v>0</v>
      </c>
      <c r="BW510" s="49">
        <f t="shared" si="544"/>
        <v>0</v>
      </c>
    </row>
    <row r="511" spans="1:75" ht="35.1" customHeight="1" x14ac:dyDescent="0.3">
      <c r="A511" s="123" t="str">
        <f t="shared" si="477"/>
        <v>4팀</v>
      </c>
      <c r="B511" s="69">
        <f t="shared" si="478"/>
        <v>505</v>
      </c>
      <c r="C511" s="121" t="str">
        <f>IF(VLOOKUP($B511,'1. 현장별 인원현황'!$C:$J,2,0)=0,"",VLOOKUP($B511,'1. 현장별 인원현황'!$C:$J,2,0))</f>
        <v xml:space="preserve"> [4.롯데건설] 롯데바이오로직스 Project PROVIDENCE</v>
      </c>
      <c r="D511" s="74" t="str">
        <f>IF(VLOOKUP($B511,'1. 현장별 인원현황'!$C:$J,3,0)=0,"",VLOOKUP($B511,'1. 현장별 인원현황'!$C:$J,3,0))</f>
        <v>이일훈</v>
      </c>
      <c r="E511" s="74" t="str">
        <f ca="1">IF(VLOOKUP($B511,'1. 현장별 인원현황'!$C:$J,4,0)=0,"",VLOOKUP($B511,'1. 현장별 인원현황'!$C:$J,4,0))</f>
        <v>52세</v>
      </c>
      <c r="F511" s="70" t="str">
        <f>IF(VLOOKUP($B511,'1. 현장별 인원현황'!$C:$J,7,0)=0,"",VLOOKUP($B511,'1. 현장별 인원현황'!$C:$J,7,0))</f>
        <v>기능공</v>
      </c>
      <c r="G511" s="72" t="str">
        <f>IF(VLOOKUP($B511,'1. 현장별 인원현황'!$C:$J,8,0)=0,"",VLOOKUP($B511,'1. 현장별 인원현황'!$C:$J,8,0))</f>
        <v>전공</v>
      </c>
      <c r="H511" s="67" t="s">
        <v>69</v>
      </c>
      <c r="I511" s="73"/>
      <c r="J511" s="73"/>
      <c r="K511" s="68"/>
      <c r="L511" s="67"/>
      <c r="M511" s="73"/>
      <c r="N511" s="73" t="s">
        <v>69</v>
      </c>
      <c r="O511" s="68"/>
      <c r="P511" s="67" t="s">
        <v>69</v>
      </c>
      <c r="Q511" s="73"/>
      <c r="R511" s="73"/>
      <c r="S511" s="68"/>
      <c r="T511" s="67"/>
      <c r="U511" s="73" t="s">
        <v>69</v>
      </c>
      <c r="V511" s="73"/>
      <c r="W511" s="68"/>
      <c r="X511" s="67" t="s">
        <v>69</v>
      </c>
      <c r="Y511" s="73"/>
      <c r="Z511" s="73"/>
      <c r="AA511" s="68"/>
      <c r="AB511" s="67" t="s">
        <v>69</v>
      </c>
      <c r="AC511" s="73"/>
      <c r="AD511" s="73"/>
      <c r="AE511" s="68"/>
      <c r="AF511" s="67" t="s">
        <v>69</v>
      </c>
      <c r="AG511" s="73"/>
      <c r="AH511" s="73"/>
      <c r="AI511" s="68"/>
      <c r="AJ511" s="67" t="s">
        <v>69</v>
      </c>
      <c r="AK511" s="73"/>
      <c r="AL511" s="73"/>
      <c r="AM511" s="68"/>
      <c r="AN511" s="67">
        <f t="shared" si="479"/>
        <v>88</v>
      </c>
      <c r="AO511" s="68" t="str">
        <f t="shared" si="480"/>
        <v>S</v>
      </c>
      <c r="AR511" s="49">
        <f t="shared" si="513"/>
        <v>1</v>
      </c>
      <c r="AS511" s="49">
        <f t="shared" si="514"/>
        <v>0</v>
      </c>
      <c r="AT511" s="49">
        <f t="shared" si="515"/>
        <v>0</v>
      </c>
      <c r="AU511" s="49">
        <f t="shared" si="516"/>
        <v>0</v>
      </c>
      <c r="AV511" s="49">
        <f t="shared" si="517"/>
        <v>0</v>
      </c>
      <c r="AW511" s="49">
        <f t="shared" si="518"/>
        <v>0</v>
      </c>
      <c r="AX511" s="49">
        <f t="shared" si="519"/>
        <v>1</v>
      </c>
      <c r="AY511" s="49">
        <f t="shared" si="520"/>
        <v>0</v>
      </c>
      <c r="AZ511" s="49">
        <f t="shared" si="521"/>
        <v>1</v>
      </c>
      <c r="BA511" s="49">
        <f t="shared" si="522"/>
        <v>0</v>
      </c>
      <c r="BB511" s="49">
        <f t="shared" si="523"/>
        <v>0</v>
      </c>
      <c r="BC511" s="49">
        <f t="shared" si="524"/>
        <v>0</v>
      </c>
      <c r="BD511" s="49">
        <f t="shared" si="525"/>
        <v>0</v>
      </c>
      <c r="BE511" s="49">
        <f t="shared" si="526"/>
        <v>1</v>
      </c>
      <c r="BF511" s="49">
        <f t="shared" si="527"/>
        <v>0</v>
      </c>
      <c r="BG511" s="49">
        <f t="shared" si="528"/>
        <v>0</v>
      </c>
      <c r="BH511" s="49">
        <f t="shared" si="529"/>
        <v>1</v>
      </c>
      <c r="BI511" s="49">
        <f t="shared" si="530"/>
        <v>0</v>
      </c>
      <c r="BJ511" s="49">
        <f t="shared" si="531"/>
        <v>0</v>
      </c>
      <c r="BK511" s="49">
        <f t="shared" si="532"/>
        <v>0</v>
      </c>
      <c r="BL511" s="49">
        <f t="shared" si="533"/>
        <v>1</v>
      </c>
      <c r="BM511" s="49">
        <f t="shared" si="534"/>
        <v>0</v>
      </c>
      <c r="BN511" s="49">
        <f t="shared" si="535"/>
        <v>0</v>
      </c>
      <c r="BO511" s="49">
        <f t="shared" si="536"/>
        <v>0</v>
      </c>
      <c r="BP511" s="49">
        <f t="shared" si="537"/>
        <v>1</v>
      </c>
      <c r="BQ511" s="49">
        <f t="shared" si="538"/>
        <v>0</v>
      </c>
      <c r="BR511" s="49">
        <f t="shared" si="539"/>
        <v>0</v>
      </c>
      <c r="BS511" s="49">
        <f t="shared" si="540"/>
        <v>0</v>
      </c>
      <c r="BT511" s="49">
        <f t="shared" si="541"/>
        <v>1</v>
      </c>
      <c r="BU511" s="49">
        <f t="shared" si="542"/>
        <v>0</v>
      </c>
      <c r="BV511" s="49">
        <f t="shared" si="543"/>
        <v>0</v>
      </c>
      <c r="BW511" s="49">
        <f t="shared" si="544"/>
        <v>0</v>
      </c>
    </row>
    <row r="512" spans="1:75" ht="35.1" customHeight="1" x14ac:dyDescent="0.3">
      <c r="A512" s="123" t="str">
        <f t="shared" si="477"/>
        <v>4팀</v>
      </c>
      <c r="B512" s="69">
        <f t="shared" si="478"/>
        <v>506</v>
      </c>
      <c r="C512" s="121" t="str">
        <f>IF(VLOOKUP($B512,'1. 현장별 인원현황'!$C:$J,2,0)=0,"",VLOOKUP($B512,'1. 현장별 인원현황'!$C:$J,2,0))</f>
        <v xml:space="preserve"> [4.롯데건설] 롯데바이오로직스 Project PROVIDENCE</v>
      </c>
      <c r="D512" s="74" t="str">
        <f>IF(VLOOKUP($B512,'1. 현장별 인원현황'!$C:$J,3,0)=0,"",VLOOKUP($B512,'1. 현장별 인원현황'!$C:$J,3,0))</f>
        <v>임동환</v>
      </c>
      <c r="E512" s="74" t="str">
        <f ca="1">IF(VLOOKUP($B512,'1. 현장별 인원현황'!$C:$J,4,0)=0,"",VLOOKUP($B512,'1. 현장별 인원현황'!$C:$J,4,0))</f>
        <v>49세</v>
      </c>
      <c r="F512" s="70" t="str">
        <f>IF(VLOOKUP($B512,'1. 현장별 인원현황'!$C:$J,7,0)=0,"",VLOOKUP($B512,'1. 현장별 인원현황'!$C:$J,7,0))</f>
        <v>기능공</v>
      </c>
      <c r="G512" s="72" t="str">
        <f>IF(VLOOKUP($B512,'1. 현장별 인원현황'!$C:$J,8,0)=0,"",VLOOKUP($B512,'1. 현장별 인원현황'!$C:$J,8,0))</f>
        <v>전공</v>
      </c>
      <c r="H512" s="67" t="s">
        <v>69</v>
      </c>
      <c r="I512" s="73"/>
      <c r="J512" s="73"/>
      <c r="K512" s="68"/>
      <c r="L512" s="67"/>
      <c r="M512" s="73"/>
      <c r="N512" s="73" t="s">
        <v>69</v>
      </c>
      <c r="O512" s="68"/>
      <c r="P512" s="67" t="s">
        <v>69</v>
      </c>
      <c r="Q512" s="73"/>
      <c r="R512" s="73"/>
      <c r="S512" s="68"/>
      <c r="T512" s="67"/>
      <c r="U512" s="73" t="s">
        <v>69</v>
      </c>
      <c r="V512" s="73"/>
      <c r="W512" s="68"/>
      <c r="X512" s="67" t="s">
        <v>69</v>
      </c>
      <c r="Y512" s="73"/>
      <c r="Z512" s="73"/>
      <c r="AA512" s="68"/>
      <c r="AB512" s="67" t="s">
        <v>69</v>
      </c>
      <c r="AC512" s="73"/>
      <c r="AD512" s="73"/>
      <c r="AE512" s="68"/>
      <c r="AF512" s="67" t="s">
        <v>69</v>
      </c>
      <c r="AG512" s="73"/>
      <c r="AH512" s="73"/>
      <c r="AI512" s="68"/>
      <c r="AJ512" s="67" t="s">
        <v>69</v>
      </c>
      <c r="AK512" s="73"/>
      <c r="AL512" s="73"/>
      <c r="AM512" s="68"/>
      <c r="AN512" s="67">
        <f t="shared" si="479"/>
        <v>88</v>
      </c>
      <c r="AO512" s="68" t="str">
        <f t="shared" si="480"/>
        <v>S</v>
      </c>
      <c r="AR512" s="49">
        <f t="shared" si="513"/>
        <v>1</v>
      </c>
      <c r="AS512" s="49">
        <f t="shared" si="514"/>
        <v>0</v>
      </c>
      <c r="AT512" s="49">
        <f t="shared" si="515"/>
        <v>0</v>
      </c>
      <c r="AU512" s="49">
        <f t="shared" si="516"/>
        <v>0</v>
      </c>
      <c r="AV512" s="49">
        <f t="shared" si="517"/>
        <v>0</v>
      </c>
      <c r="AW512" s="49">
        <f t="shared" si="518"/>
        <v>0</v>
      </c>
      <c r="AX512" s="49">
        <f t="shared" si="519"/>
        <v>1</v>
      </c>
      <c r="AY512" s="49">
        <f t="shared" si="520"/>
        <v>0</v>
      </c>
      <c r="AZ512" s="49">
        <f t="shared" si="521"/>
        <v>1</v>
      </c>
      <c r="BA512" s="49">
        <f t="shared" si="522"/>
        <v>0</v>
      </c>
      <c r="BB512" s="49">
        <f t="shared" si="523"/>
        <v>0</v>
      </c>
      <c r="BC512" s="49">
        <f t="shared" si="524"/>
        <v>0</v>
      </c>
      <c r="BD512" s="49">
        <f t="shared" si="525"/>
        <v>0</v>
      </c>
      <c r="BE512" s="49">
        <f t="shared" si="526"/>
        <v>1</v>
      </c>
      <c r="BF512" s="49">
        <f t="shared" si="527"/>
        <v>0</v>
      </c>
      <c r="BG512" s="49">
        <f t="shared" si="528"/>
        <v>0</v>
      </c>
      <c r="BH512" s="49">
        <f t="shared" si="529"/>
        <v>1</v>
      </c>
      <c r="BI512" s="49">
        <f t="shared" si="530"/>
        <v>0</v>
      </c>
      <c r="BJ512" s="49">
        <f t="shared" si="531"/>
        <v>0</v>
      </c>
      <c r="BK512" s="49">
        <f t="shared" si="532"/>
        <v>0</v>
      </c>
      <c r="BL512" s="49">
        <f t="shared" si="533"/>
        <v>1</v>
      </c>
      <c r="BM512" s="49">
        <f t="shared" si="534"/>
        <v>0</v>
      </c>
      <c r="BN512" s="49">
        <f t="shared" si="535"/>
        <v>0</v>
      </c>
      <c r="BO512" s="49">
        <f t="shared" si="536"/>
        <v>0</v>
      </c>
      <c r="BP512" s="49">
        <f t="shared" si="537"/>
        <v>1</v>
      </c>
      <c r="BQ512" s="49">
        <f t="shared" si="538"/>
        <v>0</v>
      </c>
      <c r="BR512" s="49">
        <f t="shared" si="539"/>
        <v>0</v>
      </c>
      <c r="BS512" s="49">
        <f t="shared" si="540"/>
        <v>0</v>
      </c>
      <c r="BT512" s="49">
        <f t="shared" si="541"/>
        <v>1</v>
      </c>
      <c r="BU512" s="49">
        <f t="shared" si="542"/>
        <v>0</v>
      </c>
      <c r="BV512" s="49">
        <f t="shared" si="543"/>
        <v>0</v>
      </c>
      <c r="BW512" s="49">
        <f t="shared" si="544"/>
        <v>0</v>
      </c>
    </row>
    <row r="513" spans="1:75" ht="35.1" customHeight="1" x14ac:dyDescent="0.3">
      <c r="A513" s="123" t="str">
        <f t="shared" si="477"/>
        <v>4팀</v>
      </c>
      <c r="B513" s="69">
        <f t="shared" si="478"/>
        <v>507</v>
      </c>
      <c r="C513" s="121" t="str">
        <f>IF(VLOOKUP($B513,'1. 현장별 인원현황'!$C:$J,2,0)=0,"",VLOOKUP($B513,'1. 현장별 인원현황'!$C:$J,2,0))</f>
        <v xml:space="preserve"> [4.롯데건설] 롯데바이오로직스 Project PROVIDENCE</v>
      </c>
      <c r="D513" s="74" t="str">
        <f>IF(VLOOKUP($B513,'1. 현장별 인원현황'!$C:$J,3,0)=0,"",VLOOKUP($B513,'1. 현장별 인원현황'!$C:$J,3,0))</f>
        <v>지광구</v>
      </c>
      <c r="E513" s="74" t="str">
        <f ca="1">IF(VLOOKUP($B513,'1. 현장별 인원현황'!$C:$J,4,0)=0,"",VLOOKUP($B513,'1. 현장별 인원현황'!$C:$J,4,0))</f>
        <v>58세</v>
      </c>
      <c r="F513" s="70" t="str">
        <f>IF(VLOOKUP($B513,'1. 현장별 인원현황'!$C:$J,7,0)=0,"",VLOOKUP($B513,'1. 현장별 인원현황'!$C:$J,7,0))</f>
        <v>기능공</v>
      </c>
      <c r="G513" s="72" t="str">
        <f>IF(VLOOKUP($B513,'1. 현장별 인원현황'!$C:$J,8,0)=0,"",VLOOKUP($B513,'1. 현장별 인원현황'!$C:$J,8,0))</f>
        <v>전공</v>
      </c>
      <c r="H513" s="67" t="s">
        <v>69</v>
      </c>
      <c r="I513" s="73"/>
      <c r="J513" s="73"/>
      <c r="K513" s="68"/>
      <c r="L513" s="67"/>
      <c r="M513" s="73"/>
      <c r="N513" s="73" t="s">
        <v>69</v>
      </c>
      <c r="O513" s="68"/>
      <c r="P513" s="67" t="s">
        <v>69</v>
      </c>
      <c r="Q513" s="73"/>
      <c r="R513" s="73"/>
      <c r="S513" s="68"/>
      <c r="T513" s="67"/>
      <c r="U513" s="73" t="s">
        <v>69</v>
      </c>
      <c r="V513" s="73"/>
      <c r="W513" s="68"/>
      <c r="X513" s="67" t="s">
        <v>69</v>
      </c>
      <c r="Y513" s="73"/>
      <c r="Z513" s="73"/>
      <c r="AA513" s="68"/>
      <c r="AB513" s="67" t="s">
        <v>69</v>
      </c>
      <c r="AC513" s="73"/>
      <c r="AD513" s="73"/>
      <c r="AE513" s="68"/>
      <c r="AF513" s="67" t="s">
        <v>69</v>
      </c>
      <c r="AG513" s="73"/>
      <c r="AH513" s="73"/>
      <c r="AI513" s="68"/>
      <c r="AJ513" s="67" t="s">
        <v>69</v>
      </c>
      <c r="AK513" s="73"/>
      <c r="AL513" s="73"/>
      <c r="AM513" s="68"/>
      <c r="AN513" s="67">
        <f t="shared" si="479"/>
        <v>88</v>
      </c>
      <c r="AO513" s="68" t="str">
        <f t="shared" si="480"/>
        <v>S</v>
      </c>
      <c r="AR513" s="49">
        <f t="shared" si="513"/>
        <v>1</v>
      </c>
      <c r="AS513" s="49">
        <f t="shared" si="514"/>
        <v>0</v>
      </c>
      <c r="AT513" s="49">
        <f t="shared" si="515"/>
        <v>0</v>
      </c>
      <c r="AU513" s="49">
        <f t="shared" si="516"/>
        <v>0</v>
      </c>
      <c r="AV513" s="49">
        <f t="shared" si="517"/>
        <v>0</v>
      </c>
      <c r="AW513" s="49">
        <f t="shared" si="518"/>
        <v>0</v>
      </c>
      <c r="AX513" s="49">
        <f t="shared" si="519"/>
        <v>1</v>
      </c>
      <c r="AY513" s="49">
        <f t="shared" si="520"/>
        <v>0</v>
      </c>
      <c r="AZ513" s="49">
        <f t="shared" si="521"/>
        <v>1</v>
      </c>
      <c r="BA513" s="49">
        <f t="shared" si="522"/>
        <v>0</v>
      </c>
      <c r="BB513" s="49">
        <f t="shared" si="523"/>
        <v>0</v>
      </c>
      <c r="BC513" s="49">
        <f t="shared" si="524"/>
        <v>0</v>
      </c>
      <c r="BD513" s="49">
        <f t="shared" si="525"/>
        <v>0</v>
      </c>
      <c r="BE513" s="49">
        <f t="shared" si="526"/>
        <v>1</v>
      </c>
      <c r="BF513" s="49">
        <f t="shared" si="527"/>
        <v>0</v>
      </c>
      <c r="BG513" s="49">
        <f t="shared" si="528"/>
        <v>0</v>
      </c>
      <c r="BH513" s="49">
        <f t="shared" si="529"/>
        <v>1</v>
      </c>
      <c r="BI513" s="49">
        <f t="shared" si="530"/>
        <v>0</v>
      </c>
      <c r="BJ513" s="49">
        <f t="shared" si="531"/>
        <v>0</v>
      </c>
      <c r="BK513" s="49">
        <f t="shared" si="532"/>
        <v>0</v>
      </c>
      <c r="BL513" s="49">
        <f t="shared" si="533"/>
        <v>1</v>
      </c>
      <c r="BM513" s="49">
        <f t="shared" si="534"/>
        <v>0</v>
      </c>
      <c r="BN513" s="49">
        <f t="shared" si="535"/>
        <v>0</v>
      </c>
      <c r="BO513" s="49">
        <f t="shared" si="536"/>
        <v>0</v>
      </c>
      <c r="BP513" s="49">
        <f t="shared" si="537"/>
        <v>1</v>
      </c>
      <c r="BQ513" s="49">
        <f t="shared" si="538"/>
        <v>0</v>
      </c>
      <c r="BR513" s="49">
        <f t="shared" si="539"/>
        <v>0</v>
      </c>
      <c r="BS513" s="49">
        <f t="shared" si="540"/>
        <v>0</v>
      </c>
      <c r="BT513" s="49">
        <f t="shared" si="541"/>
        <v>1</v>
      </c>
      <c r="BU513" s="49">
        <f t="shared" si="542"/>
        <v>0</v>
      </c>
      <c r="BV513" s="49">
        <f t="shared" si="543"/>
        <v>0</v>
      </c>
      <c r="BW513" s="49">
        <f t="shared" si="544"/>
        <v>0</v>
      </c>
    </row>
    <row r="514" spans="1:75" ht="35.1" customHeight="1" x14ac:dyDescent="0.3">
      <c r="A514" s="123" t="str">
        <f t="shared" si="477"/>
        <v>4팀</v>
      </c>
      <c r="B514" s="69">
        <f t="shared" si="478"/>
        <v>508</v>
      </c>
      <c r="C514" s="121" t="str">
        <f>IF(VLOOKUP($B514,'1. 현장별 인원현황'!$C:$J,2,0)=0,"",VLOOKUP($B514,'1. 현장별 인원현황'!$C:$J,2,0))</f>
        <v xml:space="preserve"> [4.롯데건설] 롯데바이오로직스 Project PROVIDENCE</v>
      </c>
      <c r="D514" s="74" t="str">
        <f>IF(VLOOKUP($B514,'1. 현장별 인원현황'!$C:$J,3,0)=0,"",VLOOKUP($B514,'1. 현장별 인원현황'!$C:$J,3,0))</f>
        <v>한정훈</v>
      </c>
      <c r="E514" s="74" t="str">
        <f ca="1">IF(VLOOKUP($B514,'1. 현장별 인원현황'!$C:$J,4,0)=0,"",VLOOKUP($B514,'1. 현장별 인원현황'!$C:$J,4,0))</f>
        <v>54세</v>
      </c>
      <c r="F514" s="70" t="str">
        <f>IF(VLOOKUP($B514,'1. 현장별 인원현황'!$C:$J,7,0)=0,"",VLOOKUP($B514,'1. 현장별 인원현황'!$C:$J,7,0))</f>
        <v>기능공</v>
      </c>
      <c r="G514" s="72" t="str">
        <f>IF(VLOOKUP($B514,'1. 현장별 인원현황'!$C:$J,8,0)=0,"",VLOOKUP($B514,'1. 현장별 인원현황'!$C:$J,8,0))</f>
        <v>전공</v>
      </c>
      <c r="H514" s="67" t="s">
        <v>69</v>
      </c>
      <c r="I514" s="73"/>
      <c r="J514" s="73"/>
      <c r="K514" s="68"/>
      <c r="L514" s="67"/>
      <c r="M514" s="73"/>
      <c r="N514" s="73" t="s">
        <v>69</v>
      </c>
      <c r="O514" s="68"/>
      <c r="P514" s="67" t="s">
        <v>69</v>
      </c>
      <c r="Q514" s="73"/>
      <c r="R514" s="73"/>
      <c r="S514" s="68"/>
      <c r="T514" s="67"/>
      <c r="U514" s="73" t="s">
        <v>69</v>
      </c>
      <c r="V514" s="73"/>
      <c r="W514" s="68"/>
      <c r="X514" s="67" t="s">
        <v>69</v>
      </c>
      <c r="Y514" s="73"/>
      <c r="Z514" s="73"/>
      <c r="AA514" s="68"/>
      <c r="AB514" s="67" t="s">
        <v>69</v>
      </c>
      <c r="AC514" s="73"/>
      <c r="AD514" s="73"/>
      <c r="AE514" s="68"/>
      <c r="AF514" s="67" t="s">
        <v>69</v>
      </c>
      <c r="AG514" s="73"/>
      <c r="AH514" s="73"/>
      <c r="AI514" s="68"/>
      <c r="AJ514" s="67" t="s">
        <v>69</v>
      </c>
      <c r="AK514" s="73"/>
      <c r="AL514" s="73"/>
      <c r="AM514" s="68"/>
      <c r="AN514" s="67">
        <f t="shared" si="479"/>
        <v>88</v>
      </c>
      <c r="AO514" s="68" t="str">
        <f t="shared" si="480"/>
        <v>S</v>
      </c>
      <c r="AR514" s="49">
        <f t="shared" si="513"/>
        <v>1</v>
      </c>
      <c r="AS514" s="49">
        <f t="shared" si="514"/>
        <v>0</v>
      </c>
      <c r="AT514" s="49">
        <f t="shared" si="515"/>
        <v>0</v>
      </c>
      <c r="AU514" s="49">
        <f t="shared" si="516"/>
        <v>0</v>
      </c>
      <c r="AV514" s="49">
        <f t="shared" si="517"/>
        <v>0</v>
      </c>
      <c r="AW514" s="49">
        <f t="shared" si="518"/>
        <v>0</v>
      </c>
      <c r="AX514" s="49">
        <f t="shared" si="519"/>
        <v>1</v>
      </c>
      <c r="AY514" s="49">
        <f t="shared" si="520"/>
        <v>0</v>
      </c>
      <c r="AZ514" s="49">
        <f t="shared" si="521"/>
        <v>1</v>
      </c>
      <c r="BA514" s="49">
        <f t="shared" si="522"/>
        <v>0</v>
      </c>
      <c r="BB514" s="49">
        <f t="shared" si="523"/>
        <v>0</v>
      </c>
      <c r="BC514" s="49">
        <f t="shared" si="524"/>
        <v>0</v>
      </c>
      <c r="BD514" s="49">
        <f t="shared" si="525"/>
        <v>0</v>
      </c>
      <c r="BE514" s="49">
        <f t="shared" si="526"/>
        <v>1</v>
      </c>
      <c r="BF514" s="49">
        <f t="shared" si="527"/>
        <v>0</v>
      </c>
      <c r="BG514" s="49">
        <f t="shared" si="528"/>
        <v>0</v>
      </c>
      <c r="BH514" s="49">
        <f t="shared" si="529"/>
        <v>1</v>
      </c>
      <c r="BI514" s="49">
        <f t="shared" si="530"/>
        <v>0</v>
      </c>
      <c r="BJ514" s="49">
        <f t="shared" si="531"/>
        <v>0</v>
      </c>
      <c r="BK514" s="49">
        <f t="shared" si="532"/>
        <v>0</v>
      </c>
      <c r="BL514" s="49">
        <f t="shared" si="533"/>
        <v>1</v>
      </c>
      <c r="BM514" s="49">
        <f t="shared" si="534"/>
        <v>0</v>
      </c>
      <c r="BN514" s="49">
        <f t="shared" si="535"/>
        <v>0</v>
      </c>
      <c r="BO514" s="49">
        <f t="shared" si="536"/>
        <v>0</v>
      </c>
      <c r="BP514" s="49">
        <f t="shared" si="537"/>
        <v>1</v>
      </c>
      <c r="BQ514" s="49">
        <f t="shared" si="538"/>
        <v>0</v>
      </c>
      <c r="BR514" s="49">
        <f t="shared" si="539"/>
        <v>0</v>
      </c>
      <c r="BS514" s="49">
        <f t="shared" si="540"/>
        <v>0</v>
      </c>
      <c r="BT514" s="49">
        <f t="shared" si="541"/>
        <v>1</v>
      </c>
      <c r="BU514" s="49">
        <f t="shared" si="542"/>
        <v>0</v>
      </c>
      <c r="BV514" s="49">
        <f t="shared" si="543"/>
        <v>0</v>
      </c>
      <c r="BW514" s="49">
        <f t="shared" si="544"/>
        <v>0</v>
      </c>
    </row>
    <row r="515" spans="1:75" ht="35.1" customHeight="1" x14ac:dyDescent="0.3">
      <c r="A515" s="123" t="str">
        <f t="shared" si="477"/>
        <v>4팀</v>
      </c>
      <c r="B515" s="69">
        <f t="shared" si="478"/>
        <v>509</v>
      </c>
      <c r="C515" s="121" t="str">
        <f>IF(VLOOKUP($B515,'1. 현장별 인원현황'!$C:$J,2,0)=0,"",VLOOKUP($B515,'1. 현장별 인원현황'!$C:$J,2,0))</f>
        <v xml:space="preserve"> [4.롯데건설] 롯데바이오로직스 Project PROVIDENCE</v>
      </c>
      <c r="D515" s="74" t="str">
        <f>IF(VLOOKUP($B515,'1. 현장별 인원현황'!$C:$J,3,0)=0,"",VLOOKUP($B515,'1. 현장별 인원현황'!$C:$J,3,0))</f>
        <v>신동훈</v>
      </c>
      <c r="E515" s="74" t="str">
        <f ca="1">IF(VLOOKUP($B515,'1. 현장별 인원현황'!$C:$J,4,0)=0,"",VLOOKUP($B515,'1. 현장별 인원현황'!$C:$J,4,0))</f>
        <v>47세</v>
      </c>
      <c r="F515" s="70" t="str">
        <f>IF(VLOOKUP($B515,'1. 현장별 인원현황'!$C:$J,7,0)=0,"",VLOOKUP($B515,'1. 현장별 인원현황'!$C:$J,7,0))</f>
        <v>기능공</v>
      </c>
      <c r="G515" s="72" t="str">
        <f>IF(VLOOKUP($B515,'1. 현장별 인원현황'!$C:$J,8,0)=0,"",VLOOKUP($B515,'1. 현장별 인원현황'!$C:$J,8,0))</f>
        <v>전공</v>
      </c>
      <c r="H515" s="67" t="s">
        <v>69</v>
      </c>
      <c r="I515" s="73"/>
      <c r="J515" s="73"/>
      <c r="K515" s="68"/>
      <c r="L515" s="67"/>
      <c r="M515" s="73"/>
      <c r="N515" s="73" t="s">
        <v>69</v>
      </c>
      <c r="O515" s="68"/>
      <c r="P515" s="67" t="s">
        <v>69</v>
      </c>
      <c r="Q515" s="73"/>
      <c r="R515" s="73"/>
      <c r="S515" s="68"/>
      <c r="T515" s="67"/>
      <c r="U515" s="73" t="s">
        <v>69</v>
      </c>
      <c r="V515" s="73"/>
      <c r="W515" s="68"/>
      <c r="X515" s="67" t="s">
        <v>69</v>
      </c>
      <c r="Y515" s="73"/>
      <c r="Z515" s="73"/>
      <c r="AA515" s="68"/>
      <c r="AB515" s="67" t="s">
        <v>69</v>
      </c>
      <c r="AC515" s="73"/>
      <c r="AD515" s="73"/>
      <c r="AE515" s="68"/>
      <c r="AF515" s="67" t="s">
        <v>69</v>
      </c>
      <c r="AG515" s="73"/>
      <c r="AH515" s="73"/>
      <c r="AI515" s="68"/>
      <c r="AJ515" s="67" t="s">
        <v>69</v>
      </c>
      <c r="AK515" s="73"/>
      <c r="AL515" s="73"/>
      <c r="AM515" s="68"/>
      <c r="AN515" s="67">
        <f t="shared" si="479"/>
        <v>88</v>
      </c>
      <c r="AO515" s="68" t="str">
        <f t="shared" si="480"/>
        <v>S</v>
      </c>
      <c r="AR515" s="49">
        <f t="shared" si="513"/>
        <v>1</v>
      </c>
      <c r="AS515" s="49">
        <f t="shared" si="514"/>
        <v>0</v>
      </c>
      <c r="AT515" s="49">
        <f t="shared" si="515"/>
        <v>0</v>
      </c>
      <c r="AU515" s="49">
        <f t="shared" si="516"/>
        <v>0</v>
      </c>
      <c r="AV515" s="49">
        <f t="shared" si="517"/>
        <v>0</v>
      </c>
      <c r="AW515" s="49">
        <f t="shared" si="518"/>
        <v>0</v>
      </c>
      <c r="AX515" s="49">
        <f t="shared" si="519"/>
        <v>1</v>
      </c>
      <c r="AY515" s="49">
        <f t="shared" si="520"/>
        <v>0</v>
      </c>
      <c r="AZ515" s="49">
        <f t="shared" si="521"/>
        <v>1</v>
      </c>
      <c r="BA515" s="49">
        <f t="shared" si="522"/>
        <v>0</v>
      </c>
      <c r="BB515" s="49">
        <f t="shared" si="523"/>
        <v>0</v>
      </c>
      <c r="BC515" s="49">
        <f t="shared" si="524"/>
        <v>0</v>
      </c>
      <c r="BD515" s="49">
        <f t="shared" si="525"/>
        <v>0</v>
      </c>
      <c r="BE515" s="49">
        <f t="shared" si="526"/>
        <v>1</v>
      </c>
      <c r="BF515" s="49">
        <f t="shared" si="527"/>
        <v>0</v>
      </c>
      <c r="BG515" s="49">
        <f t="shared" si="528"/>
        <v>0</v>
      </c>
      <c r="BH515" s="49">
        <f t="shared" si="529"/>
        <v>1</v>
      </c>
      <c r="BI515" s="49">
        <f t="shared" si="530"/>
        <v>0</v>
      </c>
      <c r="BJ515" s="49">
        <f t="shared" si="531"/>
        <v>0</v>
      </c>
      <c r="BK515" s="49">
        <f t="shared" si="532"/>
        <v>0</v>
      </c>
      <c r="BL515" s="49">
        <f t="shared" si="533"/>
        <v>1</v>
      </c>
      <c r="BM515" s="49">
        <f t="shared" si="534"/>
        <v>0</v>
      </c>
      <c r="BN515" s="49">
        <f t="shared" si="535"/>
        <v>0</v>
      </c>
      <c r="BO515" s="49">
        <f t="shared" si="536"/>
        <v>0</v>
      </c>
      <c r="BP515" s="49">
        <f t="shared" si="537"/>
        <v>1</v>
      </c>
      <c r="BQ515" s="49">
        <f t="shared" si="538"/>
        <v>0</v>
      </c>
      <c r="BR515" s="49">
        <f t="shared" si="539"/>
        <v>0</v>
      </c>
      <c r="BS515" s="49">
        <f t="shared" si="540"/>
        <v>0</v>
      </c>
      <c r="BT515" s="49">
        <f t="shared" si="541"/>
        <v>1</v>
      </c>
      <c r="BU515" s="49">
        <f t="shared" si="542"/>
        <v>0</v>
      </c>
      <c r="BV515" s="49">
        <f t="shared" si="543"/>
        <v>0</v>
      </c>
      <c r="BW515" s="49">
        <f t="shared" si="544"/>
        <v>0</v>
      </c>
    </row>
    <row r="516" spans="1:75" ht="35.1" customHeight="1" x14ac:dyDescent="0.3">
      <c r="A516" s="123" t="str">
        <f t="shared" si="477"/>
        <v>4팀</v>
      </c>
      <c r="B516" s="69">
        <f t="shared" si="478"/>
        <v>510</v>
      </c>
      <c r="C516" s="121" t="str">
        <f>IF(VLOOKUP($B516,'1. 현장별 인원현황'!$C:$J,2,0)=0,"",VLOOKUP($B516,'1. 현장별 인원현황'!$C:$J,2,0))</f>
        <v xml:space="preserve"> [4.롯데건설] 롯데바이오로직스 Project PROVIDENCE</v>
      </c>
      <c r="D516" s="74" t="str">
        <f>IF(VLOOKUP($B516,'1. 현장별 인원현황'!$C:$J,3,0)=0,"",VLOOKUP($B516,'1. 현장별 인원현황'!$C:$J,3,0))</f>
        <v>김태형</v>
      </c>
      <c r="E516" s="74" t="str">
        <f ca="1">IF(VLOOKUP($B516,'1. 현장별 인원현황'!$C:$J,4,0)=0,"",VLOOKUP($B516,'1. 현장별 인원현황'!$C:$J,4,0))</f>
        <v>42세</v>
      </c>
      <c r="F516" s="70" t="str">
        <f>IF(VLOOKUP($B516,'1. 현장별 인원현황'!$C:$J,7,0)=0,"",VLOOKUP($B516,'1. 현장별 인원현황'!$C:$J,7,0))</f>
        <v>기능공</v>
      </c>
      <c r="G516" s="72" t="str">
        <f>IF(VLOOKUP($B516,'1. 현장별 인원현황'!$C:$J,8,0)=0,"",VLOOKUP($B516,'1. 현장별 인원현황'!$C:$J,8,0))</f>
        <v>전공</v>
      </c>
      <c r="H516" s="67" t="s">
        <v>69</v>
      </c>
      <c r="I516" s="73"/>
      <c r="J516" s="73"/>
      <c r="K516" s="68"/>
      <c r="L516" s="67"/>
      <c r="M516" s="73"/>
      <c r="N516" s="73" t="s">
        <v>69</v>
      </c>
      <c r="O516" s="68"/>
      <c r="P516" s="67" t="s">
        <v>69</v>
      </c>
      <c r="Q516" s="73"/>
      <c r="R516" s="73"/>
      <c r="S516" s="68"/>
      <c r="T516" s="67"/>
      <c r="U516" s="73" t="s">
        <v>69</v>
      </c>
      <c r="V516" s="73"/>
      <c r="W516" s="68"/>
      <c r="X516" s="67" t="s">
        <v>69</v>
      </c>
      <c r="Y516" s="73"/>
      <c r="Z516" s="73"/>
      <c r="AA516" s="68"/>
      <c r="AB516" s="67" t="s">
        <v>69</v>
      </c>
      <c r="AC516" s="73"/>
      <c r="AD516" s="73"/>
      <c r="AE516" s="68"/>
      <c r="AF516" s="67" t="s">
        <v>69</v>
      </c>
      <c r="AG516" s="73"/>
      <c r="AH516" s="73"/>
      <c r="AI516" s="68"/>
      <c r="AJ516" s="67"/>
      <c r="AK516" s="73" t="s">
        <v>69</v>
      </c>
      <c r="AL516" s="73"/>
      <c r="AM516" s="68"/>
      <c r="AN516" s="67">
        <f t="shared" si="479"/>
        <v>85</v>
      </c>
      <c r="AO516" s="68" t="str">
        <f t="shared" si="480"/>
        <v>A</v>
      </c>
      <c r="AR516" s="49">
        <f t="shared" si="513"/>
        <v>1</v>
      </c>
      <c r="AS516" s="49">
        <f t="shared" si="514"/>
        <v>0</v>
      </c>
      <c r="AT516" s="49">
        <f t="shared" si="515"/>
        <v>0</v>
      </c>
      <c r="AU516" s="49">
        <f t="shared" si="516"/>
        <v>0</v>
      </c>
      <c r="AV516" s="49">
        <f t="shared" si="517"/>
        <v>0</v>
      </c>
      <c r="AW516" s="49">
        <f t="shared" si="518"/>
        <v>0</v>
      </c>
      <c r="AX516" s="49">
        <f t="shared" si="519"/>
        <v>1</v>
      </c>
      <c r="AY516" s="49">
        <f t="shared" si="520"/>
        <v>0</v>
      </c>
      <c r="AZ516" s="49">
        <f t="shared" si="521"/>
        <v>1</v>
      </c>
      <c r="BA516" s="49">
        <f t="shared" si="522"/>
        <v>0</v>
      </c>
      <c r="BB516" s="49">
        <f t="shared" si="523"/>
        <v>0</v>
      </c>
      <c r="BC516" s="49">
        <f t="shared" si="524"/>
        <v>0</v>
      </c>
      <c r="BD516" s="49">
        <f t="shared" si="525"/>
        <v>0</v>
      </c>
      <c r="BE516" s="49">
        <f t="shared" si="526"/>
        <v>1</v>
      </c>
      <c r="BF516" s="49">
        <f t="shared" si="527"/>
        <v>0</v>
      </c>
      <c r="BG516" s="49">
        <f t="shared" si="528"/>
        <v>0</v>
      </c>
      <c r="BH516" s="49">
        <f t="shared" si="529"/>
        <v>1</v>
      </c>
      <c r="BI516" s="49">
        <f t="shared" si="530"/>
        <v>0</v>
      </c>
      <c r="BJ516" s="49">
        <f t="shared" si="531"/>
        <v>0</v>
      </c>
      <c r="BK516" s="49">
        <f t="shared" si="532"/>
        <v>0</v>
      </c>
      <c r="BL516" s="49">
        <f t="shared" si="533"/>
        <v>1</v>
      </c>
      <c r="BM516" s="49">
        <f t="shared" si="534"/>
        <v>0</v>
      </c>
      <c r="BN516" s="49">
        <f t="shared" si="535"/>
        <v>0</v>
      </c>
      <c r="BO516" s="49">
        <f t="shared" si="536"/>
        <v>0</v>
      </c>
      <c r="BP516" s="49">
        <f t="shared" si="537"/>
        <v>1</v>
      </c>
      <c r="BQ516" s="49">
        <f t="shared" si="538"/>
        <v>0</v>
      </c>
      <c r="BR516" s="49">
        <f t="shared" si="539"/>
        <v>0</v>
      </c>
      <c r="BS516" s="49">
        <f t="shared" si="540"/>
        <v>0</v>
      </c>
      <c r="BT516" s="49">
        <f t="shared" si="541"/>
        <v>0</v>
      </c>
      <c r="BU516" s="49">
        <f t="shared" si="542"/>
        <v>1</v>
      </c>
      <c r="BV516" s="49">
        <f t="shared" si="543"/>
        <v>0</v>
      </c>
      <c r="BW516" s="49">
        <f t="shared" si="544"/>
        <v>0</v>
      </c>
    </row>
    <row r="517" spans="1:75" ht="35.1" customHeight="1" x14ac:dyDescent="0.3">
      <c r="A517" s="123" t="str">
        <f t="shared" si="477"/>
        <v>4팀</v>
      </c>
      <c r="B517" s="69">
        <f t="shared" si="478"/>
        <v>511</v>
      </c>
      <c r="C517" s="121" t="str">
        <f>IF(VLOOKUP($B517,'1. 현장별 인원현황'!$C:$J,2,0)=0,"",VLOOKUP($B517,'1. 현장별 인원현황'!$C:$J,2,0))</f>
        <v xml:space="preserve"> [4.롯데건설] 롯데바이오로직스 Project PROVIDENCE</v>
      </c>
      <c r="D517" s="74" t="str">
        <f>IF(VLOOKUP($B517,'1. 현장별 인원현황'!$C:$J,3,0)=0,"",VLOOKUP($B517,'1. 현장별 인원현황'!$C:$J,3,0))</f>
        <v>서준혁</v>
      </c>
      <c r="E517" s="74" t="str">
        <f ca="1">IF(VLOOKUP($B517,'1. 현장별 인원현황'!$C:$J,4,0)=0,"",VLOOKUP($B517,'1. 현장별 인원현황'!$C:$J,4,0))</f>
        <v>26세</v>
      </c>
      <c r="F517" s="70" t="str">
        <f>IF(VLOOKUP($B517,'1. 현장별 인원현황'!$C:$J,7,0)=0,"",VLOOKUP($B517,'1. 현장별 인원현황'!$C:$J,7,0))</f>
        <v>기능공</v>
      </c>
      <c r="G517" s="72" t="str">
        <f>IF(VLOOKUP($B517,'1. 현장별 인원현황'!$C:$J,8,0)=0,"",VLOOKUP($B517,'1. 현장별 인원현황'!$C:$J,8,0))</f>
        <v>전공</v>
      </c>
      <c r="H517" s="67" t="s">
        <v>69</v>
      </c>
      <c r="I517" s="73"/>
      <c r="J517" s="73"/>
      <c r="K517" s="68"/>
      <c r="L517" s="67"/>
      <c r="M517" s="73"/>
      <c r="N517" s="73" t="s">
        <v>69</v>
      </c>
      <c r="O517" s="68"/>
      <c r="P517" s="67" t="s">
        <v>69</v>
      </c>
      <c r="Q517" s="73"/>
      <c r="R517" s="73"/>
      <c r="S517" s="68"/>
      <c r="T517" s="67"/>
      <c r="U517" s="73" t="s">
        <v>69</v>
      </c>
      <c r="V517" s="73"/>
      <c r="W517" s="68"/>
      <c r="X517" s="67" t="s">
        <v>69</v>
      </c>
      <c r="Y517" s="73"/>
      <c r="Z517" s="73"/>
      <c r="AA517" s="68"/>
      <c r="AB517" s="67" t="s">
        <v>69</v>
      </c>
      <c r="AC517" s="73"/>
      <c r="AD517" s="73"/>
      <c r="AE517" s="68"/>
      <c r="AF517" s="67" t="s">
        <v>69</v>
      </c>
      <c r="AG517" s="73"/>
      <c r="AH517" s="73"/>
      <c r="AI517" s="68"/>
      <c r="AJ517" s="67"/>
      <c r="AK517" s="73" t="s">
        <v>69</v>
      </c>
      <c r="AL517" s="73"/>
      <c r="AM517" s="68"/>
      <c r="AN517" s="67">
        <f t="shared" si="479"/>
        <v>85</v>
      </c>
      <c r="AO517" s="68" t="str">
        <f t="shared" si="480"/>
        <v>A</v>
      </c>
      <c r="AR517" s="49">
        <f t="shared" si="513"/>
        <v>1</v>
      </c>
      <c r="AS517" s="49">
        <f t="shared" si="514"/>
        <v>0</v>
      </c>
      <c r="AT517" s="49">
        <f t="shared" si="515"/>
        <v>0</v>
      </c>
      <c r="AU517" s="49">
        <f t="shared" si="516"/>
        <v>0</v>
      </c>
      <c r="AV517" s="49">
        <f t="shared" si="517"/>
        <v>0</v>
      </c>
      <c r="AW517" s="49">
        <f t="shared" si="518"/>
        <v>0</v>
      </c>
      <c r="AX517" s="49">
        <f t="shared" si="519"/>
        <v>1</v>
      </c>
      <c r="AY517" s="49">
        <f t="shared" si="520"/>
        <v>0</v>
      </c>
      <c r="AZ517" s="49">
        <f t="shared" si="521"/>
        <v>1</v>
      </c>
      <c r="BA517" s="49">
        <f t="shared" si="522"/>
        <v>0</v>
      </c>
      <c r="BB517" s="49">
        <f t="shared" si="523"/>
        <v>0</v>
      </c>
      <c r="BC517" s="49">
        <f t="shared" si="524"/>
        <v>0</v>
      </c>
      <c r="BD517" s="49">
        <f t="shared" si="525"/>
        <v>0</v>
      </c>
      <c r="BE517" s="49">
        <f t="shared" si="526"/>
        <v>1</v>
      </c>
      <c r="BF517" s="49">
        <f t="shared" si="527"/>
        <v>0</v>
      </c>
      <c r="BG517" s="49">
        <f t="shared" si="528"/>
        <v>0</v>
      </c>
      <c r="BH517" s="49">
        <f t="shared" si="529"/>
        <v>1</v>
      </c>
      <c r="BI517" s="49">
        <f t="shared" si="530"/>
        <v>0</v>
      </c>
      <c r="BJ517" s="49">
        <f t="shared" si="531"/>
        <v>0</v>
      </c>
      <c r="BK517" s="49">
        <f t="shared" si="532"/>
        <v>0</v>
      </c>
      <c r="BL517" s="49">
        <f t="shared" si="533"/>
        <v>1</v>
      </c>
      <c r="BM517" s="49">
        <f t="shared" si="534"/>
        <v>0</v>
      </c>
      <c r="BN517" s="49">
        <f t="shared" si="535"/>
        <v>0</v>
      </c>
      <c r="BO517" s="49">
        <f t="shared" si="536"/>
        <v>0</v>
      </c>
      <c r="BP517" s="49">
        <f t="shared" si="537"/>
        <v>1</v>
      </c>
      <c r="BQ517" s="49">
        <f t="shared" si="538"/>
        <v>0</v>
      </c>
      <c r="BR517" s="49">
        <f t="shared" si="539"/>
        <v>0</v>
      </c>
      <c r="BS517" s="49">
        <f t="shared" si="540"/>
        <v>0</v>
      </c>
      <c r="BT517" s="49">
        <f t="shared" si="541"/>
        <v>0</v>
      </c>
      <c r="BU517" s="49">
        <f t="shared" si="542"/>
        <v>1</v>
      </c>
      <c r="BV517" s="49">
        <f t="shared" si="543"/>
        <v>0</v>
      </c>
      <c r="BW517" s="49">
        <f t="shared" si="544"/>
        <v>0</v>
      </c>
    </row>
    <row r="518" spans="1:75" ht="35.1" customHeight="1" x14ac:dyDescent="0.3">
      <c r="A518" s="123" t="str">
        <f t="shared" si="477"/>
        <v>4팀</v>
      </c>
      <c r="B518" s="69">
        <f t="shared" si="478"/>
        <v>512</v>
      </c>
      <c r="C518" s="121" t="str">
        <f>IF(VLOOKUP($B518,'1. 현장별 인원현황'!$C:$J,2,0)=0,"",VLOOKUP($B518,'1. 현장별 인원현황'!$C:$J,2,0))</f>
        <v xml:space="preserve"> [4.롯데건설] 롯데바이오로직스 Project PROVIDENCE</v>
      </c>
      <c r="D518" s="74" t="str">
        <f>IF(VLOOKUP($B518,'1. 현장별 인원현황'!$C:$J,3,0)=0,"",VLOOKUP($B518,'1. 현장별 인원현황'!$C:$J,3,0))</f>
        <v>신준영</v>
      </c>
      <c r="E518" s="74" t="str">
        <f ca="1">IF(VLOOKUP($B518,'1. 현장별 인원현황'!$C:$J,4,0)=0,"",VLOOKUP($B518,'1. 현장별 인원현황'!$C:$J,4,0))</f>
        <v>42세</v>
      </c>
      <c r="F518" s="70" t="str">
        <f>IF(VLOOKUP($B518,'1. 현장별 인원현황'!$C:$J,7,0)=0,"",VLOOKUP($B518,'1. 현장별 인원현황'!$C:$J,7,0))</f>
        <v>기능공</v>
      </c>
      <c r="G518" s="72" t="str">
        <f>IF(VLOOKUP($B518,'1. 현장별 인원현황'!$C:$J,8,0)=0,"",VLOOKUP($B518,'1. 현장별 인원현황'!$C:$J,8,0))</f>
        <v>전공</v>
      </c>
      <c r="H518" s="67" t="s">
        <v>69</v>
      </c>
      <c r="I518" s="73"/>
      <c r="J518" s="73"/>
      <c r="K518" s="68"/>
      <c r="L518" s="67"/>
      <c r="M518" s="73"/>
      <c r="N518" s="73" t="s">
        <v>69</v>
      </c>
      <c r="O518" s="68"/>
      <c r="P518" s="67" t="s">
        <v>69</v>
      </c>
      <c r="Q518" s="73"/>
      <c r="R518" s="73"/>
      <c r="S518" s="68"/>
      <c r="T518" s="67"/>
      <c r="U518" s="73" t="s">
        <v>69</v>
      </c>
      <c r="V518" s="73"/>
      <c r="W518" s="68"/>
      <c r="X518" s="67" t="s">
        <v>69</v>
      </c>
      <c r="Y518" s="73"/>
      <c r="Z518" s="73"/>
      <c r="AA518" s="68"/>
      <c r="AB518" s="67" t="s">
        <v>69</v>
      </c>
      <c r="AC518" s="73"/>
      <c r="AD518" s="73"/>
      <c r="AE518" s="68"/>
      <c r="AF518" s="67" t="s">
        <v>69</v>
      </c>
      <c r="AG518" s="73"/>
      <c r="AH518" s="73"/>
      <c r="AI518" s="68"/>
      <c r="AJ518" s="67" t="s">
        <v>69</v>
      </c>
      <c r="AK518" s="73"/>
      <c r="AL518" s="73"/>
      <c r="AM518" s="68"/>
      <c r="AN518" s="67">
        <f t="shared" si="479"/>
        <v>88</v>
      </c>
      <c r="AO518" s="68" t="str">
        <f t="shared" si="480"/>
        <v>S</v>
      </c>
      <c r="AR518" s="49">
        <f t="shared" si="513"/>
        <v>1</v>
      </c>
      <c r="AS518" s="49">
        <f t="shared" si="514"/>
        <v>0</v>
      </c>
      <c r="AT518" s="49">
        <f t="shared" si="515"/>
        <v>0</v>
      </c>
      <c r="AU518" s="49">
        <f t="shared" si="516"/>
        <v>0</v>
      </c>
      <c r="AV518" s="49">
        <f t="shared" si="517"/>
        <v>0</v>
      </c>
      <c r="AW518" s="49">
        <f t="shared" si="518"/>
        <v>0</v>
      </c>
      <c r="AX518" s="49">
        <f t="shared" si="519"/>
        <v>1</v>
      </c>
      <c r="AY518" s="49">
        <f t="shared" si="520"/>
        <v>0</v>
      </c>
      <c r="AZ518" s="49">
        <f t="shared" si="521"/>
        <v>1</v>
      </c>
      <c r="BA518" s="49">
        <f t="shared" si="522"/>
        <v>0</v>
      </c>
      <c r="BB518" s="49">
        <f t="shared" si="523"/>
        <v>0</v>
      </c>
      <c r="BC518" s="49">
        <f t="shared" si="524"/>
        <v>0</v>
      </c>
      <c r="BD518" s="49">
        <f t="shared" si="525"/>
        <v>0</v>
      </c>
      <c r="BE518" s="49">
        <f t="shared" si="526"/>
        <v>1</v>
      </c>
      <c r="BF518" s="49">
        <f t="shared" si="527"/>
        <v>0</v>
      </c>
      <c r="BG518" s="49">
        <f t="shared" si="528"/>
        <v>0</v>
      </c>
      <c r="BH518" s="49">
        <f t="shared" si="529"/>
        <v>1</v>
      </c>
      <c r="BI518" s="49">
        <f t="shared" si="530"/>
        <v>0</v>
      </c>
      <c r="BJ518" s="49">
        <f t="shared" si="531"/>
        <v>0</v>
      </c>
      <c r="BK518" s="49">
        <f t="shared" si="532"/>
        <v>0</v>
      </c>
      <c r="BL518" s="49">
        <f t="shared" si="533"/>
        <v>1</v>
      </c>
      <c r="BM518" s="49">
        <f t="shared" si="534"/>
        <v>0</v>
      </c>
      <c r="BN518" s="49">
        <f t="shared" si="535"/>
        <v>0</v>
      </c>
      <c r="BO518" s="49">
        <f t="shared" si="536"/>
        <v>0</v>
      </c>
      <c r="BP518" s="49">
        <f t="shared" si="537"/>
        <v>1</v>
      </c>
      <c r="BQ518" s="49">
        <f t="shared" si="538"/>
        <v>0</v>
      </c>
      <c r="BR518" s="49">
        <f t="shared" si="539"/>
        <v>0</v>
      </c>
      <c r="BS518" s="49">
        <f t="shared" si="540"/>
        <v>0</v>
      </c>
      <c r="BT518" s="49">
        <f t="shared" si="541"/>
        <v>1</v>
      </c>
      <c r="BU518" s="49">
        <f t="shared" si="542"/>
        <v>0</v>
      </c>
      <c r="BV518" s="49">
        <f t="shared" si="543"/>
        <v>0</v>
      </c>
      <c r="BW518" s="49">
        <f t="shared" si="544"/>
        <v>0</v>
      </c>
    </row>
    <row r="519" spans="1:75" ht="35.1" customHeight="1" x14ac:dyDescent="0.3">
      <c r="A519" s="123" t="str">
        <f t="shared" ref="A519:A582" si="545">MID(C519,3,1)&amp;"팀"</f>
        <v>4팀</v>
      </c>
      <c r="B519" s="69">
        <f t="shared" ref="B519:B582" si="546">ROW()-6</f>
        <v>513</v>
      </c>
      <c r="C519" s="121" t="str">
        <f>IF(VLOOKUP($B519,'1. 현장별 인원현황'!$C:$J,2,0)=0,"",VLOOKUP($B519,'1. 현장별 인원현황'!$C:$J,2,0))</f>
        <v xml:space="preserve"> [4.롯데건설] 롯데바이오로직스 Project PROVIDENCE</v>
      </c>
      <c r="D519" s="74" t="str">
        <f>IF(VLOOKUP($B519,'1. 현장별 인원현황'!$C:$J,3,0)=0,"",VLOOKUP($B519,'1. 현장별 인원현황'!$C:$J,3,0))</f>
        <v>전인수</v>
      </c>
      <c r="E519" s="74" t="str">
        <f ca="1">IF(VLOOKUP($B519,'1. 현장별 인원현황'!$C:$J,4,0)=0,"",VLOOKUP($B519,'1. 현장별 인원현황'!$C:$J,4,0))</f>
        <v>28세</v>
      </c>
      <c r="F519" s="70" t="str">
        <f>IF(VLOOKUP($B519,'1. 현장별 인원현황'!$C:$J,7,0)=0,"",VLOOKUP($B519,'1. 현장별 인원현황'!$C:$J,7,0))</f>
        <v>기능공</v>
      </c>
      <c r="G519" s="72" t="str">
        <f>IF(VLOOKUP($B519,'1. 현장별 인원현황'!$C:$J,8,0)=0,"",VLOOKUP($B519,'1. 현장별 인원현황'!$C:$J,8,0))</f>
        <v>전공</v>
      </c>
      <c r="H519" s="67" t="s">
        <v>69</v>
      </c>
      <c r="I519" s="73"/>
      <c r="J519" s="73"/>
      <c r="K519" s="68"/>
      <c r="L519" s="67"/>
      <c r="M519" s="73"/>
      <c r="N519" s="73" t="s">
        <v>69</v>
      </c>
      <c r="O519" s="68"/>
      <c r="P519" s="67" t="s">
        <v>69</v>
      </c>
      <c r="Q519" s="73"/>
      <c r="R519" s="73"/>
      <c r="S519" s="68"/>
      <c r="T519" s="67"/>
      <c r="U519" s="73" t="s">
        <v>69</v>
      </c>
      <c r="V519" s="73"/>
      <c r="W519" s="68"/>
      <c r="X519" s="67" t="s">
        <v>69</v>
      </c>
      <c r="Y519" s="73"/>
      <c r="Z519" s="73"/>
      <c r="AA519" s="68"/>
      <c r="AB519" s="67" t="s">
        <v>69</v>
      </c>
      <c r="AC519" s="73"/>
      <c r="AD519" s="73"/>
      <c r="AE519" s="68"/>
      <c r="AF519" s="67" t="s">
        <v>69</v>
      </c>
      <c r="AG519" s="73"/>
      <c r="AH519" s="73"/>
      <c r="AI519" s="68"/>
      <c r="AJ519" s="67" t="s">
        <v>69</v>
      </c>
      <c r="AK519" s="73"/>
      <c r="AL519" s="73"/>
      <c r="AM519" s="68"/>
      <c r="AN519" s="67">
        <f t="shared" ref="AN519:AN582" si="547">SUMPRODUCT($H$5:$AM$5,AR519:BW519)</f>
        <v>88</v>
      </c>
      <c r="AO519" s="68" t="str">
        <f t="shared" ref="AO519:AO582" si="548">IF(AN519&gt;85,"S",IF(AN519&gt;70,"A",IF(AN519&gt;50,"B",IF(AN519&gt;0,"C",""))))</f>
        <v>S</v>
      </c>
      <c r="AR519" s="49">
        <f t="shared" si="513"/>
        <v>1</v>
      </c>
      <c r="AS519" s="49">
        <f t="shared" si="514"/>
        <v>0</v>
      </c>
      <c r="AT519" s="49">
        <f t="shared" si="515"/>
        <v>0</v>
      </c>
      <c r="AU519" s="49">
        <f t="shared" si="516"/>
        <v>0</v>
      </c>
      <c r="AV519" s="49">
        <f t="shared" si="517"/>
        <v>0</v>
      </c>
      <c r="AW519" s="49">
        <f t="shared" si="518"/>
        <v>0</v>
      </c>
      <c r="AX519" s="49">
        <f t="shared" si="519"/>
        <v>1</v>
      </c>
      <c r="AY519" s="49">
        <f t="shared" si="520"/>
        <v>0</v>
      </c>
      <c r="AZ519" s="49">
        <f t="shared" si="521"/>
        <v>1</v>
      </c>
      <c r="BA519" s="49">
        <f t="shared" si="522"/>
        <v>0</v>
      </c>
      <c r="BB519" s="49">
        <f t="shared" si="523"/>
        <v>0</v>
      </c>
      <c r="BC519" s="49">
        <f t="shared" si="524"/>
        <v>0</v>
      </c>
      <c r="BD519" s="49">
        <f t="shared" si="525"/>
        <v>0</v>
      </c>
      <c r="BE519" s="49">
        <f t="shared" si="526"/>
        <v>1</v>
      </c>
      <c r="BF519" s="49">
        <f t="shared" si="527"/>
        <v>0</v>
      </c>
      <c r="BG519" s="49">
        <f t="shared" si="528"/>
        <v>0</v>
      </c>
      <c r="BH519" s="49">
        <f t="shared" si="529"/>
        <v>1</v>
      </c>
      <c r="BI519" s="49">
        <f t="shared" si="530"/>
        <v>0</v>
      </c>
      <c r="BJ519" s="49">
        <f t="shared" si="531"/>
        <v>0</v>
      </c>
      <c r="BK519" s="49">
        <f t="shared" si="532"/>
        <v>0</v>
      </c>
      <c r="BL519" s="49">
        <f t="shared" si="533"/>
        <v>1</v>
      </c>
      <c r="BM519" s="49">
        <f t="shared" si="534"/>
        <v>0</v>
      </c>
      <c r="BN519" s="49">
        <f t="shared" si="535"/>
        <v>0</v>
      </c>
      <c r="BO519" s="49">
        <f t="shared" si="536"/>
        <v>0</v>
      </c>
      <c r="BP519" s="49">
        <f t="shared" si="537"/>
        <v>1</v>
      </c>
      <c r="BQ519" s="49">
        <f t="shared" si="538"/>
        <v>0</v>
      </c>
      <c r="BR519" s="49">
        <f t="shared" si="539"/>
        <v>0</v>
      </c>
      <c r="BS519" s="49">
        <f t="shared" si="540"/>
        <v>0</v>
      </c>
      <c r="BT519" s="49">
        <f t="shared" si="541"/>
        <v>1</v>
      </c>
      <c r="BU519" s="49">
        <f t="shared" si="542"/>
        <v>0</v>
      </c>
      <c r="BV519" s="49">
        <f t="shared" si="543"/>
        <v>0</v>
      </c>
      <c r="BW519" s="49">
        <f t="shared" si="544"/>
        <v>0</v>
      </c>
    </row>
    <row r="520" spans="1:75" ht="35.1" customHeight="1" x14ac:dyDescent="0.3">
      <c r="A520" s="123" t="str">
        <f t="shared" si="545"/>
        <v>4팀</v>
      </c>
      <c r="B520" s="69">
        <f t="shared" si="546"/>
        <v>514</v>
      </c>
      <c r="C520" s="121" t="str">
        <f>IF(VLOOKUP($B520,'1. 현장별 인원현황'!$C:$J,2,0)=0,"",VLOOKUP($B520,'1. 현장별 인원현황'!$C:$J,2,0))</f>
        <v xml:space="preserve"> [4.롯데건설] 롯데바이오로직스 Project PROVIDENCE</v>
      </c>
      <c r="D520" s="74" t="str">
        <f>IF(VLOOKUP($B520,'1. 현장별 인원현황'!$C:$J,3,0)=0,"",VLOOKUP($B520,'1. 현장별 인원현황'!$C:$J,3,0))</f>
        <v>유정수</v>
      </c>
      <c r="E520" s="74" t="str">
        <f ca="1">IF(VLOOKUP($B520,'1. 현장별 인원현황'!$C:$J,4,0)=0,"",VLOOKUP($B520,'1. 현장별 인원현황'!$C:$J,4,0))</f>
        <v>61세</v>
      </c>
      <c r="F520" s="70" t="str">
        <f>IF(VLOOKUP($B520,'1. 현장별 인원현황'!$C:$J,7,0)=0,"",VLOOKUP($B520,'1. 현장별 인원현황'!$C:$J,7,0))</f>
        <v>기능공</v>
      </c>
      <c r="G520" s="72" t="str">
        <f>IF(VLOOKUP($B520,'1. 현장별 인원현황'!$C:$J,8,0)=0,"",VLOOKUP($B520,'1. 현장별 인원현황'!$C:$J,8,0))</f>
        <v>전공</v>
      </c>
      <c r="H520" s="67" t="s">
        <v>69</v>
      </c>
      <c r="I520" s="73"/>
      <c r="J520" s="73"/>
      <c r="K520" s="68"/>
      <c r="L520" s="67"/>
      <c r="M520" s="73"/>
      <c r="N520" s="73" t="s">
        <v>69</v>
      </c>
      <c r="O520" s="68"/>
      <c r="P520" s="67" t="s">
        <v>69</v>
      </c>
      <c r="Q520" s="73"/>
      <c r="R520" s="73"/>
      <c r="S520" s="68"/>
      <c r="T520" s="67"/>
      <c r="U520" s="73" t="s">
        <v>69</v>
      </c>
      <c r="V520" s="73"/>
      <c r="W520" s="68"/>
      <c r="X520" s="67" t="s">
        <v>69</v>
      </c>
      <c r="Y520" s="73"/>
      <c r="Z520" s="73"/>
      <c r="AA520" s="68"/>
      <c r="AB520" s="67" t="s">
        <v>69</v>
      </c>
      <c r="AC520" s="73"/>
      <c r="AD520" s="73"/>
      <c r="AE520" s="68"/>
      <c r="AF520" s="67" t="s">
        <v>69</v>
      </c>
      <c r="AG520" s="73"/>
      <c r="AH520" s="73"/>
      <c r="AI520" s="68"/>
      <c r="AJ520" s="67" t="s">
        <v>69</v>
      </c>
      <c r="AK520" s="73"/>
      <c r="AL520" s="73"/>
      <c r="AM520" s="68"/>
      <c r="AN520" s="67">
        <f t="shared" si="547"/>
        <v>88</v>
      </c>
      <c r="AO520" s="68" t="str">
        <f t="shared" si="548"/>
        <v>S</v>
      </c>
      <c r="AR520" s="49">
        <f t="shared" si="513"/>
        <v>1</v>
      </c>
      <c r="AS520" s="49">
        <f t="shared" si="514"/>
        <v>0</v>
      </c>
      <c r="AT520" s="49">
        <f t="shared" si="515"/>
        <v>0</v>
      </c>
      <c r="AU520" s="49">
        <f t="shared" si="516"/>
        <v>0</v>
      </c>
      <c r="AV520" s="49">
        <f t="shared" si="517"/>
        <v>0</v>
      </c>
      <c r="AW520" s="49">
        <f t="shared" si="518"/>
        <v>0</v>
      </c>
      <c r="AX520" s="49">
        <f t="shared" si="519"/>
        <v>1</v>
      </c>
      <c r="AY520" s="49">
        <f t="shared" si="520"/>
        <v>0</v>
      </c>
      <c r="AZ520" s="49">
        <f t="shared" si="521"/>
        <v>1</v>
      </c>
      <c r="BA520" s="49">
        <f t="shared" si="522"/>
        <v>0</v>
      </c>
      <c r="BB520" s="49">
        <f t="shared" si="523"/>
        <v>0</v>
      </c>
      <c r="BC520" s="49">
        <f t="shared" si="524"/>
        <v>0</v>
      </c>
      <c r="BD520" s="49">
        <f t="shared" si="525"/>
        <v>0</v>
      </c>
      <c r="BE520" s="49">
        <f t="shared" si="526"/>
        <v>1</v>
      </c>
      <c r="BF520" s="49">
        <f t="shared" si="527"/>
        <v>0</v>
      </c>
      <c r="BG520" s="49">
        <f t="shared" si="528"/>
        <v>0</v>
      </c>
      <c r="BH520" s="49">
        <f t="shared" si="529"/>
        <v>1</v>
      </c>
      <c r="BI520" s="49">
        <f t="shared" si="530"/>
        <v>0</v>
      </c>
      <c r="BJ520" s="49">
        <f t="shared" si="531"/>
        <v>0</v>
      </c>
      <c r="BK520" s="49">
        <f t="shared" si="532"/>
        <v>0</v>
      </c>
      <c r="BL520" s="49">
        <f t="shared" si="533"/>
        <v>1</v>
      </c>
      <c r="BM520" s="49">
        <f t="shared" si="534"/>
        <v>0</v>
      </c>
      <c r="BN520" s="49">
        <f t="shared" si="535"/>
        <v>0</v>
      </c>
      <c r="BO520" s="49">
        <f t="shared" si="536"/>
        <v>0</v>
      </c>
      <c r="BP520" s="49">
        <f t="shared" si="537"/>
        <v>1</v>
      </c>
      <c r="BQ520" s="49">
        <f t="shared" si="538"/>
        <v>0</v>
      </c>
      <c r="BR520" s="49">
        <f t="shared" si="539"/>
        <v>0</v>
      </c>
      <c r="BS520" s="49">
        <f t="shared" si="540"/>
        <v>0</v>
      </c>
      <c r="BT520" s="49">
        <f t="shared" si="541"/>
        <v>1</v>
      </c>
      <c r="BU520" s="49">
        <f t="shared" si="542"/>
        <v>0</v>
      </c>
      <c r="BV520" s="49">
        <f t="shared" si="543"/>
        <v>0</v>
      </c>
      <c r="BW520" s="49">
        <f t="shared" si="544"/>
        <v>0</v>
      </c>
    </row>
    <row r="521" spans="1:75" ht="35.1" customHeight="1" x14ac:dyDescent="0.3">
      <c r="A521" s="123" t="str">
        <f t="shared" si="545"/>
        <v>4팀</v>
      </c>
      <c r="B521" s="69">
        <f t="shared" si="546"/>
        <v>515</v>
      </c>
      <c r="C521" s="121" t="str">
        <f>IF(VLOOKUP($B521,'1. 현장별 인원현황'!$C:$J,2,0)=0,"",VLOOKUP($B521,'1. 현장별 인원현황'!$C:$J,2,0))</f>
        <v xml:space="preserve"> [4.롯데건설] 롯데바이오로직스 Project PROVIDENCE</v>
      </c>
      <c r="D521" s="74" t="str">
        <f>IF(VLOOKUP($B521,'1. 현장별 인원현황'!$C:$J,3,0)=0,"",VLOOKUP($B521,'1. 현장별 인원현황'!$C:$J,3,0))</f>
        <v>유성호</v>
      </c>
      <c r="E521" s="74" t="str">
        <f ca="1">IF(VLOOKUP($B521,'1. 현장별 인원현황'!$C:$J,4,0)=0,"",VLOOKUP($B521,'1. 현장별 인원현황'!$C:$J,4,0))</f>
        <v>35세</v>
      </c>
      <c r="F521" s="70" t="str">
        <f>IF(VLOOKUP($B521,'1. 현장별 인원현황'!$C:$J,7,0)=0,"",VLOOKUP($B521,'1. 현장별 인원현황'!$C:$J,7,0))</f>
        <v>기능공</v>
      </c>
      <c r="G521" s="72" t="str">
        <f>IF(VLOOKUP($B521,'1. 현장별 인원현황'!$C:$J,8,0)=0,"",VLOOKUP($B521,'1. 현장별 인원현황'!$C:$J,8,0))</f>
        <v>전공</v>
      </c>
      <c r="H521" s="67" t="s">
        <v>69</v>
      </c>
      <c r="I521" s="73"/>
      <c r="J521" s="73"/>
      <c r="K521" s="68"/>
      <c r="L521" s="67"/>
      <c r="M521" s="73"/>
      <c r="N521" s="73" t="s">
        <v>69</v>
      </c>
      <c r="O521" s="68"/>
      <c r="P521" s="67" t="s">
        <v>69</v>
      </c>
      <c r="Q521" s="73"/>
      <c r="R521" s="73"/>
      <c r="S521" s="68"/>
      <c r="T521" s="67"/>
      <c r="U521" s="73" t="s">
        <v>69</v>
      </c>
      <c r="V521" s="73"/>
      <c r="W521" s="68"/>
      <c r="X521" s="67" t="s">
        <v>69</v>
      </c>
      <c r="Y521" s="73"/>
      <c r="Z521" s="73"/>
      <c r="AA521" s="68"/>
      <c r="AB521" s="67" t="s">
        <v>69</v>
      </c>
      <c r="AC521" s="73"/>
      <c r="AD521" s="73"/>
      <c r="AE521" s="68"/>
      <c r="AF521" s="67" t="s">
        <v>69</v>
      </c>
      <c r="AG521" s="73"/>
      <c r="AH521" s="73"/>
      <c r="AI521" s="68"/>
      <c r="AJ521" s="67"/>
      <c r="AK521" s="73" t="s">
        <v>69</v>
      </c>
      <c r="AL521" s="73"/>
      <c r="AM521" s="68"/>
      <c r="AN521" s="67">
        <f t="shared" si="547"/>
        <v>85</v>
      </c>
      <c r="AO521" s="68" t="str">
        <f t="shared" si="548"/>
        <v>A</v>
      </c>
      <c r="AR521" s="49">
        <f t="shared" si="513"/>
        <v>1</v>
      </c>
      <c r="AS521" s="49">
        <f t="shared" si="514"/>
        <v>0</v>
      </c>
      <c r="AT521" s="49">
        <f t="shared" si="515"/>
        <v>0</v>
      </c>
      <c r="AU521" s="49">
        <f t="shared" si="516"/>
        <v>0</v>
      </c>
      <c r="AV521" s="49">
        <f t="shared" si="517"/>
        <v>0</v>
      </c>
      <c r="AW521" s="49">
        <f t="shared" si="518"/>
        <v>0</v>
      </c>
      <c r="AX521" s="49">
        <f t="shared" si="519"/>
        <v>1</v>
      </c>
      <c r="AY521" s="49">
        <f t="shared" si="520"/>
        <v>0</v>
      </c>
      <c r="AZ521" s="49">
        <f t="shared" si="521"/>
        <v>1</v>
      </c>
      <c r="BA521" s="49">
        <f t="shared" si="522"/>
        <v>0</v>
      </c>
      <c r="BB521" s="49">
        <f t="shared" si="523"/>
        <v>0</v>
      </c>
      <c r="BC521" s="49">
        <f t="shared" si="524"/>
        <v>0</v>
      </c>
      <c r="BD521" s="49">
        <f t="shared" si="525"/>
        <v>0</v>
      </c>
      <c r="BE521" s="49">
        <f t="shared" si="526"/>
        <v>1</v>
      </c>
      <c r="BF521" s="49">
        <f t="shared" si="527"/>
        <v>0</v>
      </c>
      <c r="BG521" s="49">
        <f t="shared" si="528"/>
        <v>0</v>
      </c>
      <c r="BH521" s="49">
        <f t="shared" si="529"/>
        <v>1</v>
      </c>
      <c r="BI521" s="49">
        <f t="shared" si="530"/>
        <v>0</v>
      </c>
      <c r="BJ521" s="49">
        <f t="shared" si="531"/>
        <v>0</v>
      </c>
      <c r="BK521" s="49">
        <f t="shared" si="532"/>
        <v>0</v>
      </c>
      <c r="BL521" s="49">
        <f t="shared" si="533"/>
        <v>1</v>
      </c>
      <c r="BM521" s="49">
        <f t="shared" si="534"/>
        <v>0</v>
      </c>
      <c r="BN521" s="49">
        <f t="shared" si="535"/>
        <v>0</v>
      </c>
      <c r="BO521" s="49">
        <f t="shared" si="536"/>
        <v>0</v>
      </c>
      <c r="BP521" s="49">
        <f t="shared" si="537"/>
        <v>1</v>
      </c>
      <c r="BQ521" s="49">
        <f t="shared" si="538"/>
        <v>0</v>
      </c>
      <c r="BR521" s="49">
        <f t="shared" si="539"/>
        <v>0</v>
      </c>
      <c r="BS521" s="49">
        <f t="shared" si="540"/>
        <v>0</v>
      </c>
      <c r="BT521" s="49">
        <f t="shared" si="541"/>
        <v>0</v>
      </c>
      <c r="BU521" s="49">
        <f t="shared" si="542"/>
        <v>1</v>
      </c>
      <c r="BV521" s="49">
        <f t="shared" si="543"/>
        <v>0</v>
      </c>
      <c r="BW521" s="49">
        <f t="shared" si="544"/>
        <v>0</v>
      </c>
    </row>
    <row r="522" spans="1:75" ht="35.1" customHeight="1" x14ac:dyDescent="0.3">
      <c r="A522" s="123" t="str">
        <f t="shared" si="545"/>
        <v>4팀</v>
      </c>
      <c r="B522" s="69">
        <f t="shared" si="546"/>
        <v>516</v>
      </c>
      <c r="C522" s="121" t="str">
        <f>IF(VLOOKUP($B522,'1. 현장별 인원현황'!$C:$J,2,0)=0,"",VLOOKUP($B522,'1. 현장별 인원현황'!$C:$J,2,0))</f>
        <v xml:space="preserve"> [4.롯데건설] 롯데바이오로직스 Project PROVIDENCE</v>
      </c>
      <c r="D522" s="74" t="str">
        <f>IF(VLOOKUP($B522,'1. 현장별 인원현황'!$C:$J,3,0)=0,"",VLOOKUP($B522,'1. 현장별 인원현황'!$C:$J,3,0))</f>
        <v>박종우</v>
      </c>
      <c r="E522" s="74" t="str">
        <f ca="1">IF(VLOOKUP($B522,'1. 현장별 인원현황'!$C:$J,4,0)=0,"",VLOOKUP($B522,'1. 현장별 인원현황'!$C:$J,4,0))</f>
        <v>59세</v>
      </c>
      <c r="F522" s="70" t="str">
        <f>IF(VLOOKUP($B522,'1. 현장별 인원현황'!$C:$J,7,0)=0,"",VLOOKUP($B522,'1. 현장별 인원현황'!$C:$J,7,0))</f>
        <v>기능공</v>
      </c>
      <c r="G522" s="72" t="str">
        <f>IF(VLOOKUP($B522,'1. 현장별 인원현황'!$C:$J,8,0)=0,"",VLOOKUP($B522,'1. 현장별 인원현황'!$C:$J,8,0))</f>
        <v>전공</v>
      </c>
      <c r="H522" s="67" t="s">
        <v>69</v>
      </c>
      <c r="I522" s="73"/>
      <c r="J522" s="73"/>
      <c r="K522" s="68"/>
      <c r="L522" s="67"/>
      <c r="M522" s="73"/>
      <c r="N522" s="73" t="s">
        <v>69</v>
      </c>
      <c r="O522" s="68"/>
      <c r="P522" s="67" t="s">
        <v>69</v>
      </c>
      <c r="Q522" s="73"/>
      <c r="R522" s="73"/>
      <c r="S522" s="68"/>
      <c r="T522" s="67"/>
      <c r="U522" s="73" t="s">
        <v>69</v>
      </c>
      <c r="V522" s="73"/>
      <c r="W522" s="68"/>
      <c r="X522" s="67" t="s">
        <v>69</v>
      </c>
      <c r="Y522" s="73"/>
      <c r="Z522" s="73"/>
      <c r="AA522" s="68"/>
      <c r="AB522" s="67" t="s">
        <v>69</v>
      </c>
      <c r="AC522" s="73"/>
      <c r="AD522" s="73"/>
      <c r="AE522" s="68"/>
      <c r="AF522" s="67" t="s">
        <v>69</v>
      </c>
      <c r="AG522" s="73"/>
      <c r="AH522" s="73"/>
      <c r="AI522" s="68"/>
      <c r="AJ522" s="67" t="s">
        <v>69</v>
      </c>
      <c r="AK522" s="73"/>
      <c r="AL522" s="73"/>
      <c r="AM522" s="68"/>
      <c r="AN522" s="67">
        <f t="shared" si="547"/>
        <v>88</v>
      </c>
      <c r="AO522" s="68" t="str">
        <f t="shared" si="548"/>
        <v>S</v>
      </c>
      <c r="AR522" s="49">
        <f t="shared" si="513"/>
        <v>1</v>
      </c>
      <c r="AS522" s="49">
        <f t="shared" si="514"/>
        <v>0</v>
      </c>
      <c r="AT522" s="49">
        <f t="shared" si="515"/>
        <v>0</v>
      </c>
      <c r="AU522" s="49">
        <f t="shared" si="516"/>
        <v>0</v>
      </c>
      <c r="AV522" s="49">
        <f t="shared" si="517"/>
        <v>0</v>
      </c>
      <c r="AW522" s="49">
        <f t="shared" si="518"/>
        <v>0</v>
      </c>
      <c r="AX522" s="49">
        <f t="shared" si="519"/>
        <v>1</v>
      </c>
      <c r="AY522" s="49">
        <f t="shared" si="520"/>
        <v>0</v>
      </c>
      <c r="AZ522" s="49">
        <f t="shared" si="521"/>
        <v>1</v>
      </c>
      <c r="BA522" s="49">
        <f t="shared" si="522"/>
        <v>0</v>
      </c>
      <c r="BB522" s="49">
        <f t="shared" si="523"/>
        <v>0</v>
      </c>
      <c r="BC522" s="49">
        <f t="shared" si="524"/>
        <v>0</v>
      </c>
      <c r="BD522" s="49">
        <f t="shared" si="525"/>
        <v>0</v>
      </c>
      <c r="BE522" s="49">
        <f t="shared" si="526"/>
        <v>1</v>
      </c>
      <c r="BF522" s="49">
        <f t="shared" si="527"/>
        <v>0</v>
      </c>
      <c r="BG522" s="49">
        <f t="shared" si="528"/>
        <v>0</v>
      </c>
      <c r="BH522" s="49">
        <f t="shared" si="529"/>
        <v>1</v>
      </c>
      <c r="BI522" s="49">
        <f t="shared" si="530"/>
        <v>0</v>
      </c>
      <c r="BJ522" s="49">
        <f t="shared" si="531"/>
        <v>0</v>
      </c>
      <c r="BK522" s="49">
        <f t="shared" si="532"/>
        <v>0</v>
      </c>
      <c r="BL522" s="49">
        <f t="shared" si="533"/>
        <v>1</v>
      </c>
      <c r="BM522" s="49">
        <f t="shared" si="534"/>
        <v>0</v>
      </c>
      <c r="BN522" s="49">
        <f t="shared" si="535"/>
        <v>0</v>
      </c>
      <c r="BO522" s="49">
        <f t="shared" si="536"/>
        <v>0</v>
      </c>
      <c r="BP522" s="49">
        <f t="shared" si="537"/>
        <v>1</v>
      </c>
      <c r="BQ522" s="49">
        <f t="shared" si="538"/>
        <v>0</v>
      </c>
      <c r="BR522" s="49">
        <f t="shared" si="539"/>
        <v>0</v>
      </c>
      <c r="BS522" s="49">
        <f t="shared" si="540"/>
        <v>0</v>
      </c>
      <c r="BT522" s="49">
        <f t="shared" si="541"/>
        <v>1</v>
      </c>
      <c r="BU522" s="49">
        <f t="shared" si="542"/>
        <v>0</v>
      </c>
      <c r="BV522" s="49">
        <f t="shared" si="543"/>
        <v>0</v>
      </c>
      <c r="BW522" s="49">
        <f t="shared" si="544"/>
        <v>0</v>
      </c>
    </row>
    <row r="523" spans="1:75" ht="35.1" customHeight="1" x14ac:dyDescent="0.3">
      <c r="A523" s="123" t="str">
        <f t="shared" si="545"/>
        <v>4팀</v>
      </c>
      <c r="B523" s="69">
        <f t="shared" si="546"/>
        <v>517</v>
      </c>
      <c r="C523" s="121" t="str">
        <f>IF(VLOOKUP($B523,'1. 현장별 인원현황'!$C:$J,2,0)=0,"",VLOOKUP($B523,'1. 현장별 인원현황'!$C:$J,2,0))</f>
        <v xml:space="preserve"> [4.롯데건설] 롯데바이오로직스 Project PROVIDENCE</v>
      </c>
      <c r="D523" s="74" t="str">
        <f>IF(VLOOKUP($B523,'1. 현장별 인원현황'!$C:$J,3,0)=0,"",VLOOKUP($B523,'1. 현장별 인원현황'!$C:$J,3,0))</f>
        <v>김명휘</v>
      </c>
      <c r="E523" s="74" t="str">
        <f ca="1">IF(VLOOKUP($B523,'1. 현장별 인원현황'!$C:$J,4,0)=0,"",VLOOKUP($B523,'1. 현장별 인원현황'!$C:$J,4,0))</f>
        <v>41세</v>
      </c>
      <c r="F523" s="70" t="str">
        <f>IF(VLOOKUP($B523,'1. 현장별 인원현황'!$C:$J,7,0)=0,"",VLOOKUP($B523,'1. 현장별 인원현황'!$C:$J,7,0))</f>
        <v>기능공</v>
      </c>
      <c r="G523" s="72" t="str">
        <f>IF(VLOOKUP($B523,'1. 현장별 인원현황'!$C:$J,8,0)=0,"",VLOOKUP($B523,'1. 현장별 인원현황'!$C:$J,8,0))</f>
        <v>전공</v>
      </c>
      <c r="H523" s="67" t="s">
        <v>69</v>
      </c>
      <c r="I523" s="73"/>
      <c r="J523" s="73"/>
      <c r="K523" s="68"/>
      <c r="L523" s="67"/>
      <c r="M523" s="73"/>
      <c r="N523" s="73" t="s">
        <v>69</v>
      </c>
      <c r="O523" s="68"/>
      <c r="P523" s="67" t="s">
        <v>69</v>
      </c>
      <c r="Q523" s="73"/>
      <c r="R523" s="73"/>
      <c r="S523" s="68"/>
      <c r="T523" s="67"/>
      <c r="U523" s="73" t="s">
        <v>69</v>
      </c>
      <c r="V523" s="73"/>
      <c r="W523" s="68"/>
      <c r="X523" s="67" t="s">
        <v>69</v>
      </c>
      <c r="Y523" s="73"/>
      <c r="Z523" s="73"/>
      <c r="AA523" s="68"/>
      <c r="AB523" s="67" t="s">
        <v>69</v>
      </c>
      <c r="AC523" s="73"/>
      <c r="AD523" s="73"/>
      <c r="AE523" s="68"/>
      <c r="AF523" s="67" t="s">
        <v>69</v>
      </c>
      <c r="AG523" s="73"/>
      <c r="AH523" s="73"/>
      <c r="AI523" s="68"/>
      <c r="AJ523" s="67" t="s">
        <v>69</v>
      </c>
      <c r="AK523" s="73"/>
      <c r="AL523" s="73"/>
      <c r="AM523" s="68"/>
      <c r="AN523" s="67">
        <f t="shared" si="547"/>
        <v>88</v>
      </c>
      <c r="AO523" s="68" t="str">
        <f t="shared" si="548"/>
        <v>S</v>
      </c>
      <c r="AR523" s="49">
        <f t="shared" si="513"/>
        <v>1</v>
      </c>
      <c r="AS523" s="49">
        <f t="shared" si="514"/>
        <v>0</v>
      </c>
      <c r="AT523" s="49">
        <f t="shared" si="515"/>
        <v>0</v>
      </c>
      <c r="AU523" s="49">
        <f t="shared" si="516"/>
        <v>0</v>
      </c>
      <c r="AV523" s="49">
        <f t="shared" si="517"/>
        <v>0</v>
      </c>
      <c r="AW523" s="49">
        <f t="shared" si="518"/>
        <v>0</v>
      </c>
      <c r="AX523" s="49">
        <f t="shared" si="519"/>
        <v>1</v>
      </c>
      <c r="AY523" s="49">
        <f t="shared" si="520"/>
        <v>0</v>
      </c>
      <c r="AZ523" s="49">
        <f t="shared" si="521"/>
        <v>1</v>
      </c>
      <c r="BA523" s="49">
        <f t="shared" si="522"/>
        <v>0</v>
      </c>
      <c r="BB523" s="49">
        <f t="shared" si="523"/>
        <v>0</v>
      </c>
      <c r="BC523" s="49">
        <f t="shared" si="524"/>
        <v>0</v>
      </c>
      <c r="BD523" s="49">
        <f t="shared" si="525"/>
        <v>0</v>
      </c>
      <c r="BE523" s="49">
        <f t="shared" si="526"/>
        <v>1</v>
      </c>
      <c r="BF523" s="49">
        <f t="shared" si="527"/>
        <v>0</v>
      </c>
      <c r="BG523" s="49">
        <f t="shared" si="528"/>
        <v>0</v>
      </c>
      <c r="BH523" s="49">
        <f t="shared" si="529"/>
        <v>1</v>
      </c>
      <c r="BI523" s="49">
        <f t="shared" si="530"/>
        <v>0</v>
      </c>
      <c r="BJ523" s="49">
        <f t="shared" si="531"/>
        <v>0</v>
      </c>
      <c r="BK523" s="49">
        <f t="shared" si="532"/>
        <v>0</v>
      </c>
      <c r="BL523" s="49">
        <f t="shared" si="533"/>
        <v>1</v>
      </c>
      <c r="BM523" s="49">
        <f t="shared" si="534"/>
        <v>0</v>
      </c>
      <c r="BN523" s="49">
        <f t="shared" si="535"/>
        <v>0</v>
      </c>
      <c r="BO523" s="49">
        <f t="shared" si="536"/>
        <v>0</v>
      </c>
      <c r="BP523" s="49">
        <f t="shared" si="537"/>
        <v>1</v>
      </c>
      <c r="BQ523" s="49">
        <f t="shared" si="538"/>
        <v>0</v>
      </c>
      <c r="BR523" s="49">
        <f t="shared" si="539"/>
        <v>0</v>
      </c>
      <c r="BS523" s="49">
        <f t="shared" si="540"/>
        <v>0</v>
      </c>
      <c r="BT523" s="49">
        <f t="shared" si="541"/>
        <v>1</v>
      </c>
      <c r="BU523" s="49">
        <f t="shared" si="542"/>
        <v>0</v>
      </c>
      <c r="BV523" s="49">
        <f t="shared" si="543"/>
        <v>0</v>
      </c>
      <c r="BW523" s="49">
        <f t="shared" si="544"/>
        <v>0</v>
      </c>
    </row>
    <row r="524" spans="1:75" ht="35.1" customHeight="1" x14ac:dyDescent="0.3">
      <c r="A524" s="123" t="str">
        <f t="shared" si="545"/>
        <v>4팀</v>
      </c>
      <c r="B524" s="69">
        <f t="shared" si="546"/>
        <v>518</v>
      </c>
      <c r="C524" s="121" t="str">
        <f>IF(VLOOKUP($B524,'1. 현장별 인원현황'!$C:$J,2,0)=0,"",VLOOKUP($B524,'1. 현장별 인원현황'!$C:$J,2,0))</f>
        <v xml:space="preserve"> [4.롯데건설] 롯데바이오로직스 Project PROVIDENCE</v>
      </c>
      <c r="D524" s="74" t="str">
        <f>IF(VLOOKUP($B524,'1. 현장별 인원현황'!$C:$J,3,0)=0,"",VLOOKUP($B524,'1. 현장별 인원현황'!$C:$J,3,0))</f>
        <v>박인순</v>
      </c>
      <c r="E524" s="74" t="str">
        <f ca="1">IF(VLOOKUP($B524,'1. 현장별 인원현황'!$C:$J,4,0)=0,"",VLOOKUP($B524,'1. 현장별 인원현황'!$C:$J,4,0))</f>
        <v>25세</v>
      </c>
      <c r="F524" s="70" t="str">
        <f>IF(VLOOKUP($B524,'1. 현장별 인원현황'!$C:$J,7,0)=0,"",VLOOKUP($B524,'1. 현장별 인원현황'!$C:$J,7,0))</f>
        <v>기능공</v>
      </c>
      <c r="G524" s="72" t="str">
        <f>IF(VLOOKUP($B524,'1. 현장별 인원현황'!$C:$J,8,0)=0,"",VLOOKUP($B524,'1. 현장별 인원현황'!$C:$J,8,0))</f>
        <v>전공</v>
      </c>
      <c r="H524" s="67" t="s">
        <v>69</v>
      </c>
      <c r="I524" s="73"/>
      <c r="J524" s="73"/>
      <c r="K524" s="68"/>
      <c r="L524" s="67"/>
      <c r="M524" s="73"/>
      <c r="N524" s="73" t="s">
        <v>69</v>
      </c>
      <c r="O524" s="68"/>
      <c r="P524" s="67" t="s">
        <v>69</v>
      </c>
      <c r="Q524" s="73"/>
      <c r="R524" s="73"/>
      <c r="S524" s="68"/>
      <c r="T524" s="67"/>
      <c r="U524" s="73" t="s">
        <v>69</v>
      </c>
      <c r="V524" s="73"/>
      <c r="W524" s="68"/>
      <c r="X524" s="67" t="s">
        <v>69</v>
      </c>
      <c r="Y524" s="73"/>
      <c r="Z524" s="73"/>
      <c r="AA524" s="68"/>
      <c r="AB524" s="67" t="s">
        <v>69</v>
      </c>
      <c r="AC524" s="73"/>
      <c r="AD524" s="73"/>
      <c r="AE524" s="68"/>
      <c r="AF524" s="67" t="s">
        <v>69</v>
      </c>
      <c r="AG524" s="73"/>
      <c r="AH524" s="73"/>
      <c r="AI524" s="68"/>
      <c r="AJ524" s="67" t="s">
        <v>69</v>
      </c>
      <c r="AK524" s="73"/>
      <c r="AL524" s="73"/>
      <c r="AM524" s="68"/>
      <c r="AN524" s="67">
        <f t="shared" si="547"/>
        <v>88</v>
      </c>
      <c r="AO524" s="68" t="str">
        <f t="shared" si="548"/>
        <v>S</v>
      </c>
      <c r="AR524" s="49">
        <f t="shared" si="513"/>
        <v>1</v>
      </c>
      <c r="AS524" s="49">
        <f t="shared" si="514"/>
        <v>0</v>
      </c>
      <c r="AT524" s="49">
        <f t="shared" si="515"/>
        <v>0</v>
      </c>
      <c r="AU524" s="49">
        <f t="shared" si="516"/>
        <v>0</v>
      </c>
      <c r="AV524" s="49">
        <f t="shared" si="517"/>
        <v>0</v>
      </c>
      <c r="AW524" s="49">
        <f t="shared" si="518"/>
        <v>0</v>
      </c>
      <c r="AX524" s="49">
        <f t="shared" si="519"/>
        <v>1</v>
      </c>
      <c r="AY524" s="49">
        <f t="shared" si="520"/>
        <v>0</v>
      </c>
      <c r="AZ524" s="49">
        <f t="shared" si="521"/>
        <v>1</v>
      </c>
      <c r="BA524" s="49">
        <f t="shared" si="522"/>
        <v>0</v>
      </c>
      <c r="BB524" s="49">
        <f t="shared" si="523"/>
        <v>0</v>
      </c>
      <c r="BC524" s="49">
        <f t="shared" si="524"/>
        <v>0</v>
      </c>
      <c r="BD524" s="49">
        <f t="shared" si="525"/>
        <v>0</v>
      </c>
      <c r="BE524" s="49">
        <f t="shared" si="526"/>
        <v>1</v>
      </c>
      <c r="BF524" s="49">
        <f t="shared" si="527"/>
        <v>0</v>
      </c>
      <c r="BG524" s="49">
        <f t="shared" si="528"/>
        <v>0</v>
      </c>
      <c r="BH524" s="49">
        <f t="shared" si="529"/>
        <v>1</v>
      </c>
      <c r="BI524" s="49">
        <f t="shared" si="530"/>
        <v>0</v>
      </c>
      <c r="BJ524" s="49">
        <f t="shared" si="531"/>
        <v>0</v>
      </c>
      <c r="BK524" s="49">
        <f t="shared" si="532"/>
        <v>0</v>
      </c>
      <c r="BL524" s="49">
        <f t="shared" si="533"/>
        <v>1</v>
      </c>
      <c r="BM524" s="49">
        <f t="shared" si="534"/>
        <v>0</v>
      </c>
      <c r="BN524" s="49">
        <f t="shared" si="535"/>
        <v>0</v>
      </c>
      <c r="BO524" s="49">
        <f t="shared" si="536"/>
        <v>0</v>
      </c>
      <c r="BP524" s="49">
        <f t="shared" si="537"/>
        <v>1</v>
      </c>
      <c r="BQ524" s="49">
        <f t="shared" si="538"/>
        <v>0</v>
      </c>
      <c r="BR524" s="49">
        <f t="shared" si="539"/>
        <v>0</v>
      </c>
      <c r="BS524" s="49">
        <f t="shared" si="540"/>
        <v>0</v>
      </c>
      <c r="BT524" s="49">
        <f t="shared" si="541"/>
        <v>1</v>
      </c>
      <c r="BU524" s="49">
        <f t="shared" si="542"/>
        <v>0</v>
      </c>
      <c r="BV524" s="49">
        <f t="shared" si="543"/>
        <v>0</v>
      </c>
      <c r="BW524" s="49">
        <f t="shared" si="544"/>
        <v>0</v>
      </c>
    </row>
    <row r="525" spans="1:75" ht="35.1" customHeight="1" x14ac:dyDescent="0.3">
      <c r="A525" s="123" t="str">
        <f t="shared" si="545"/>
        <v>4팀</v>
      </c>
      <c r="B525" s="69">
        <f t="shared" si="546"/>
        <v>519</v>
      </c>
      <c r="C525" s="121" t="str">
        <f>IF(VLOOKUP($B525,'1. 현장별 인원현황'!$C:$J,2,0)=0,"",VLOOKUP($B525,'1. 현장별 인원현황'!$C:$J,2,0))</f>
        <v xml:space="preserve"> [4.롯데건설] 롯데바이오로직스 Project PROVIDENCE</v>
      </c>
      <c r="D525" s="74" t="str">
        <f>IF(VLOOKUP($B525,'1. 현장별 인원현황'!$C:$J,3,0)=0,"",VLOOKUP($B525,'1. 현장별 인원현황'!$C:$J,3,0))</f>
        <v>박종규</v>
      </c>
      <c r="E525" s="74" t="str">
        <f ca="1">IF(VLOOKUP($B525,'1. 현장별 인원현황'!$C:$J,4,0)=0,"",VLOOKUP($B525,'1. 현장별 인원현황'!$C:$J,4,0))</f>
        <v>40세</v>
      </c>
      <c r="F525" s="70" t="str">
        <f>IF(VLOOKUP($B525,'1. 현장별 인원현황'!$C:$J,7,0)=0,"",VLOOKUP($B525,'1. 현장별 인원현황'!$C:$J,7,0))</f>
        <v>기능공</v>
      </c>
      <c r="G525" s="72" t="str">
        <f>IF(VLOOKUP($B525,'1. 현장별 인원현황'!$C:$J,8,0)=0,"",VLOOKUP($B525,'1. 현장별 인원현황'!$C:$J,8,0))</f>
        <v>전공</v>
      </c>
      <c r="H525" s="67" t="s">
        <v>69</v>
      </c>
      <c r="I525" s="73"/>
      <c r="J525" s="73"/>
      <c r="K525" s="68"/>
      <c r="L525" s="67"/>
      <c r="M525" s="73"/>
      <c r="N525" s="73" t="s">
        <v>69</v>
      </c>
      <c r="O525" s="68"/>
      <c r="P525" s="67" t="s">
        <v>69</v>
      </c>
      <c r="Q525" s="73"/>
      <c r="R525" s="73"/>
      <c r="S525" s="68"/>
      <c r="T525" s="67"/>
      <c r="U525" s="73" t="s">
        <v>69</v>
      </c>
      <c r="V525" s="73"/>
      <c r="W525" s="68"/>
      <c r="X525" s="67" t="s">
        <v>69</v>
      </c>
      <c r="Y525" s="73"/>
      <c r="Z525" s="73"/>
      <c r="AA525" s="68"/>
      <c r="AB525" s="67" t="s">
        <v>69</v>
      </c>
      <c r="AC525" s="73"/>
      <c r="AD525" s="73"/>
      <c r="AE525" s="68"/>
      <c r="AF525" s="67" t="s">
        <v>69</v>
      </c>
      <c r="AG525" s="73"/>
      <c r="AH525" s="73"/>
      <c r="AI525" s="68"/>
      <c r="AJ525" s="67" t="s">
        <v>69</v>
      </c>
      <c r="AK525" s="73"/>
      <c r="AL525" s="73"/>
      <c r="AM525" s="68"/>
      <c r="AN525" s="67">
        <f t="shared" si="547"/>
        <v>88</v>
      </c>
      <c r="AO525" s="68" t="str">
        <f t="shared" si="548"/>
        <v>S</v>
      </c>
      <c r="AR525" s="49">
        <f t="shared" si="513"/>
        <v>1</v>
      </c>
      <c r="AS525" s="49">
        <f t="shared" si="514"/>
        <v>0</v>
      </c>
      <c r="AT525" s="49">
        <f t="shared" si="515"/>
        <v>0</v>
      </c>
      <c r="AU525" s="49">
        <f t="shared" si="516"/>
        <v>0</v>
      </c>
      <c r="AV525" s="49">
        <f t="shared" si="517"/>
        <v>0</v>
      </c>
      <c r="AW525" s="49">
        <f t="shared" si="518"/>
        <v>0</v>
      </c>
      <c r="AX525" s="49">
        <f t="shared" si="519"/>
        <v>1</v>
      </c>
      <c r="AY525" s="49">
        <f t="shared" si="520"/>
        <v>0</v>
      </c>
      <c r="AZ525" s="49">
        <f t="shared" si="521"/>
        <v>1</v>
      </c>
      <c r="BA525" s="49">
        <f t="shared" si="522"/>
        <v>0</v>
      </c>
      <c r="BB525" s="49">
        <f t="shared" si="523"/>
        <v>0</v>
      </c>
      <c r="BC525" s="49">
        <f t="shared" si="524"/>
        <v>0</v>
      </c>
      <c r="BD525" s="49">
        <f t="shared" si="525"/>
        <v>0</v>
      </c>
      <c r="BE525" s="49">
        <f t="shared" si="526"/>
        <v>1</v>
      </c>
      <c r="BF525" s="49">
        <f t="shared" si="527"/>
        <v>0</v>
      </c>
      <c r="BG525" s="49">
        <f t="shared" si="528"/>
        <v>0</v>
      </c>
      <c r="BH525" s="49">
        <f t="shared" si="529"/>
        <v>1</v>
      </c>
      <c r="BI525" s="49">
        <f t="shared" si="530"/>
        <v>0</v>
      </c>
      <c r="BJ525" s="49">
        <f t="shared" si="531"/>
        <v>0</v>
      </c>
      <c r="BK525" s="49">
        <f t="shared" si="532"/>
        <v>0</v>
      </c>
      <c r="BL525" s="49">
        <f t="shared" si="533"/>
        <v>1</v>
      </c>
      <c r="BM525" s="49">
        <f t="shared" si="534"/>
        <v>0</v>
      </c>
      <c r="BN525" s="49">
        <f t="shared" si="535"/>
        <v>0</v>
      </c>
      <c r="BO525" s="49">
        <f t="shared" si="536"/>
        <v>0</v>
      </c>
      <c r="BP525" s="49">
        <f t="shared" si="537"/>
        <v>1</v>
      </c>
      <c r="BQ525" s="49">
        <f t="shared" si="538"/>
        <v>0</v>
      </c>
      <c r="BR525" s="49">
        <f t="shared" si="539"/>
        <v>0</v>
      </c>
      <c r="BS525" s="49">
        <f t="shared" si="540"/>
        <v>0</v>
      </c>
      <c r="BT525" s="49">
        <f t="shared" si="541"/>
        <v>1</v>
      </c>
      <c r="BU525" s="49">
        <f t="shared" si="542"/>
        <v>0</v>
      </c>
      <c r="BV525" s="49">
        <f t="shared" si="543"/>
        <v>0</v>
      </c>
      <c r="BW525" s="49">
        <f t="shared" si="544"/>
        <v>0</v>
      </c>
    </row>
    <row r="526" spans="1:75" ht="35.1" customHeight="1" x14ac:dyDescent="0.3">
      <c r="A526" s="123" t="str">
        <f t="shared" si="545"/>
        <v>4팀</v>
      </c>
      <c r="B526" s="69">
        <f t="shared" si="546"/>
        <v>520</v>
      </c>
      <c r="C526" s="121" t="str">
        <f>IF(VLOOKUP($B526,'1. 현장별 인원현황'!$C:$J,2,0)=0,"",VLOOKUP($B526,'1. 현장별 인원현황'!$C:$J,2,0))</f>
        <v xml:space="preserve"> [4.롯데건설] 롯데바이오로직스 Project PROVIDENCE</v>
      </c>
      <c r="D526" s="74" t="str">
        <f>IF(VLOOKUP($B526,'1. 현장별 인원현황'!$C:$J,3,0)=0,"",VLOOKUP($B526,'1. 현장별 인원현황'!$C:$J,3,0))</f>
        <v>이승현</v>
      </c>
      <c r="E526" s="74" t="str">
        <f ca="1">IF(VLOOKUP($B526,'1. 현장별 인원현황'!$C:$J,4,0)=0,"",VLOOKUP($B526,'1. 현장별 인원현황'!$C:$J,4,0))</f>
        <v>39세</v>
      </c>
      <c r="F526" s="70" t="str">
        <f>IF(VLOOKUP($B526,'1. 현장별 인원현황'!$C:$J,7,0)=0,"",VLOOKUP($B526,'1. 현장별 인원현황'!$C:$J,7,0))</f>
        <v>기능공</v>
      </c>
      <c r="G526" s="72" t="str">
        <f>IF(VLOOKUP($B526,'1. 현장별 인원현황'!$C:$J,8,0)=0,"",VLOOKUP($B526,'1. 현장별 인원현황'!$C:$J,8,0))</f>
        <v>전공</v>
      </c>
      <c r="H526" s="67" t="s">
        <v>69</v>
      </c>
      <c r="I526" s="73"/>
      <c r="J526" s="73"/>
      <c r="K526" s="68"/>
      <c r="L526" s="67"/>
      <c r="M526" s="73"/>
      <c r="N526" s="73" t="s">
        <v>69</v>
      </c>
      <c r="O526" s="68"/>
      <c r="P526" s="67" t="s">
        <v>69</v>
      </c>
      <c r="Q526" s="73"/>
      <c r="R526" s="73"/>
      <c r="S526" s="68"/>
      <c r="T526" s="67"/>
      <c r="U526" s="73" t="s">
        <v>69</v>
      </c>
      <c r="V526" s="73"/>
      <c r="W526" s="68"/>
      <c r="X526" s="67" t="s">
        <v>69</v>
      </c>
      <c r="Y526" s="73"/>
      <c r="Z526" s="73"/>
      <c r="AA526" s="68"/>
      <c r="AB526" s="67" t="s">
        <v>69</v>
      </c>
      <c r="AC526" s="73"/>
      <c r="AD526" s="73"/>
      <c r="AE526" s="68"/>
      <c r="AF526" s="67" t="s">
        <v>69</v>
      </c>
      <c r="AG526" s="73"/>
      <c r="AH526" s="73"/>
      <c r="AI526" s="68"/>
      <c r="AJ526" s="67" t="s">
        <v>69</v>
      </c>
      <c r="AK526" s="73"/>
      <c r="AL526" s="73"/>
      <c r="AM526" s="68"/>
      <c r="AN526" s="67">
        <f t="shared" si="547"/>
        <v>88</v>
      </c>
      <c r="AO526" s="68" t="str">
        <f t="shared" si="548"/>
        <v>S</v>
      </c>
      <c r="AR526" s="49">
        <f t="shared" si="513"/>
        <v>1</v>
      </c>
      <c r="AS526" s="49">
        <f t="shared" si="514"/>
        <v>0</v>
      </c>
      <c r="AT526" s="49">
        <f t="shared" si="515"/>
        <v>0</v>
      </c>
      <c r="AU526" s="49">
        <f t="shared" si="516"/>
        <v>0</v>
      </c>
      <c r="AV526" s="49">
        <f t="shared" si="517"/>
        <v>0</v>
      </c>
      <c r="AW526" s="49">
        <f t="shared" si="518"/>
        <v>0</v>
      </c>
      <c r="AX526" s="49">
        <f t="shared" si="519"/>
        <v>1</v>
      </c>
      <c r="AY526" s="49">
        <f t="shared" si="520"/>
        <v>0</v>
      </c>
      <c r="AZ526" s="49">
        <f t="shared" si="521"/>
        <v>1</v>
      </c>
      <c r="BA526" s="49">
        <f t="shared" si="522"/>
        <v>0</v>
      </c>
      <c r="BB526" s="49">
        <f t="shared" si="523"/>
        <v>0</v>
      </c>
      <c r="BC526" s="49">
        <f t="shared" si="524"/>
        <v>0</v>
      </c>
      <c r="BD526" s="49">
        <f t="shared" si="525"/>
        <v>0</v>
      </c>
      <c r="BE526" s="49">
        <f t="shared" si="526"/>
        <v>1</v>
      </c>
      <c r="BF526" s="49">
        <f t="shared" si="527"/>
        <v>0</v>
      </c>
      <c r="BG526" s="49">
        <f t="shared" si="528"/>
        <v>0</v>
      </c>
      <c r="BH526" s="49">
        <f t="shared" si="529"/>
        <v>1</v>
      </c>
      <c r="BI526" s="49">
        <f t="shared" si="530"/>
        <v>0</v>
      </c>
      <c r="BJ526" s="49">
        <f t="shared" si="531"/>
        <v>0</v>
      </c>
      <c r="BK526" s="49">
        <f t="shared" si="532"/>
        <v>0</v>
      </c>
      <c r="BL526" s="49">
        <f t="shared" si="533"/>
        <v>1</v>
      </c>
      <c r="BM526" s="49">
        <f t="shared" si="534"/>
        <v>0</v>
      </c>
      <c r="BN526" s="49">
        <f t="shared" si="535"/>
        <v>0</v>
      </c>
      <c r="BO526" s="49">
        <f t="shared" si="536"/>
        <v>0</v>
      </c>
      <c r="BP526" s="49">
        <f t="shared" si="537"/>
        <v>1</v>
      </c>
      <c r="BQ526" s="49">
        <f t="shared" si="538"/>
        <v>0</v>
      </c>
      <c r="BR526" s="49">
        <f t="shared" si="539"/>
        <v>0</v>
      </c>
      <c r="BS526" s="49">
        <f t="shared" si="540"/>
        <v>0</v>
      </c>
      <c r="BT526" s="49">
        <f t="shared" si="541"/>
        <v>1</v>
      </c>
      <c r="BU526" s="49">
        <f t="shared" si="542"/>
        <v>0</v>
      </c>
      <c r="BV526" s="49">
        <f t="shared" si="543"/>
        <v>0</v>
      </c>
      <c r="BW526" s="49">
        <f t="shared" si="544"/>
        <v>0</v>
      </c>
    </row>
    <row r="527" spans="1:75" ht="35.1" customHeight="1" x14ac:dyDescent="0.3">
      <c r="A527" s="123" t="str">
        <f t="shared" si="545"/>
        <v>4팀</v>
      </c>
      <c r="B527" s="69">
        <f t="shared" si="546"/>
        <v>521</v>
      </c>
      <c r="C527" s="121" t="str">
        <f>IF(VLOOKUP($B527,'1. 현장별 인원현황'!$C:$J,2,0)=0,"",VLOOKUP($B527,'1. 현장별 인원현황'!$C:$J,2,0))</f>
        <v xml:space="preserve"> [4.롯데건설] 롯데바이오로직스 Project PROVIDENCE</v>
      </c>
      <c r="D527" s="74" t="str">
        <f>IF(VLOOKUP($B527,'1. 현장별 인원현황'!$C:$J,3,0)=0,"",VLOOKUP($B527,'1. 현장별 인원현황'!$C:$J,3,0))</f>
        <v>임태양</v>
      </c>
      <c r="E527" s="74" t="str">
        <f ca="1">IF(VLOOKUP($B527,'1. 현장별 인원현황'!$C:$J,4,0)=0,"",VLOOKUP($B527,'1. 현장별 인원현황'!$C:$J,4,0))</f>
        <v>30세</v>
      </c>
      <c r="F527" s="70" t="str">
        <f>IF(VLOOKUP($B527,'1. 현장별 인원현황'!$C:$J,7,0)=0,"",VLOOKUP($B527,'1. 현장별 인원현황'!$C:$J,7,0))</f>
        <v>기능공</v>
      </c>
      <c r="G527" s="72" t="str">
        <f>IF(VLOOKUP($B527,'1. 현장별 인원현황'!$C:$J,8,0)=0,"",VLOOKUP($B527,'1. 현장별 인원현황'!$C:$J,8,0))</f>
        <v>전공</v>
      </c>
      <c r="H527" s="67" t="s">
        <v>69</v>
      </c>
      <c r="I527" s="73"/>
      <c r="J527" s="73"/>
      <c r="K527" s="68"/>
      <c r="L527" s="67"/>
      <c r="M527" s="73"/>
      <c r="N527" s="73" t="s">
        <v>69</v>
      </c>
      <c r="O527" s="68"/>
      <c r="P527" s="67" t="s">
        <v>69</v>
      </c>
      <c r="Q527" s="73"/>
      <c r="R527" s="73"/>
      <c r="S527" s="68"/>
      <c r="T527" s="67"/>
      <c r="U527" s="73" t="s">
        <v>69</v>
      </c>
      <c r="V527" s="73"/>
      <c r="W527" s="68"/>
      <c r="X527" s="67" t="s">
        <v>69</v>
      </c>
      <c r="Y527" s="73"/>
      <c r="Z527" s="73"/>
      <c r="AA527" s="68"/>
      <c r="AB527" s="67" t="s">
        <v>69</v>
      </c>
      <c r="AC527" s="73"/>
      <c r="AD527" s="73"/>
      <c r="AE527" s="68"/>
      <c r="AF527" s="67" t="s">
        <v>69</v>
      </c>
      <c r="AG527" s="73"/>
      <c r="AH527" s="73"/>
      <c r="AI527" s="68"/>
      <c r="AJ527" s="67" t="s">
        <v>69</v>
      </c>
      <c r="AK527" s="73"/>
      <c r="AL527" s="73"/>
      <c r="AM527" s="68"/>
      <c r="AN527" s="67">
        <f t="shared" si="547"/>
        <v>88</v>
      </c>
      <c r="AO527" s="68" t="str">
        <f t="shared" si="548"/>
        <v>S</v>
      </c>
      <c r="AR527" s="49">
        <f t="shared" si="513"/>
        <v>1</v>
      </c>
      <c r="AS527" s="49">
        <f t="shared" si="514"/>
        <v>0</v>
      </c>
      <c r="AT527" s="49">
        <f t="shared" si="515"/>
        <v>0</v>
      </c>
      <c r="AU527" s="49">
        <f t="shared" si="516"/>
        <v>0</v>
      </c>
      <c r="AV527" s="49">
        <f t="shared" si="517"/>
        <v>0</v>
      </c>
      <c r="AW527" s="49">
        <f t="shared" si="518"/>
        <v>0</v>
      </c>
      <c r="AX527" s="49">
        <f t="shared" si="519"/>
        <v>1</v>
      </c>
      <c r="AY527" s="49">
        <f t="shared" si="520"/>
        <v>0</v>
      </c>
      <c r="AZ527" s="49">
        <f t="shared" si="521"/>
        <v>1</v>
      </c>
      <c r="BA527" s="49">
        <f t="shared" si="522"/>
        <v>0</v>
      </c>
      <c r="BB527" s="49">
        <f t="shared" si="523"/>
        <v>0</v>
      </c>
      <c r="BC527" s="49">
        <f t="shared" si="524"/>
        <v>0</v>
      </c>
      <c r="BD527" s="49">
        <f t="shared" si="525"/>
        <v>0</v>
      </c>
      <c r="BE527" s="49">
        <f t="shared" si="526"/>
        <v>1</v>
      </c>
      <c r="BF527" s="49">
        <f t="shared" si="527"/>
        <v>0</v>
      </c>
      <c r="BG527" s="49">
        <f t="shared" si="528"/>
        <v>0</v>
      </c>
      <c r="BH527" s="49">
        <f t="shared" si="529"/>
        <v>1</v>
      </c>
      <c r="BI527" s="49">
        <f t="shared" si="530"/>
        <v>0</v>
      </c>
      <c r="BJ527" s="49">
        <f t="shared" si="531"/>
        <v>0</v>
      </c>
      <c r="BK527" s="49">
        <f t="shared" si="532"/>
        <v>0</v>
      </c>
      <c r="BL527" s="49">
        <f t="shared" si="533"/>
        <v>1</v>
      </c>
      <c r="BM527" s="49">
        <f t="shared" si="534"/>
        <v>0</v>
      </c>
      <c r="BN527" s="49">
        <f t="shared" si="535"/>
        <v>0</v>
      </c>
      <c r="BO527" s="49">
        <f t="shared" si="536"/>
        <v>0</v>
      </c>
      <c r="BP527" s="49">
        <f t="shared" si="537"/>
        <v>1</v>
      </c>
      <c r="BQ527" s="49">
        <f t="shared" si="538"/>
        <v>0</v>
      </c>
      <c r="BR527" s="49">
        <f t="shared" si="539"/>
        <v>0</v>
      </c>
      <c r="BS527" s="49">
        <f t="shared" si="540"/>
        <v>0</v>
      </c>
      <c r="BT527" s="49">
        <f t="shared" si="541"/>
        <v>1</v>
      </c>
      <c r="BU527" s="49">
        <f t="shared" si="542"/>
        <v>0</v>
      </c>
      <c r="BV527" s="49">
        <f t="shared" si="543"/>
        <v>0</v>
      </c>
      <c r="BW527" s="49">
        <f t="shared" si="544"/>
        <v>0</v>
      </c>
    </row>
    <row r="528" spans="1:75" ht="35.1" customHeight="1" x14ac:dyDescent="0.3">
      <c r="A528" s="123" t="str">
        <f t="shared" si="545"/>
        <v>4팀</v>
      </c>
      <c r="B528" s="69">
        <f t="shared" si="546"/>
        <v>522</v>
      </c>
      <c r="C528" s="121" t="str">
        <f>IF(VLOOKUP($B528,'1. 현장별 인원현황'!$C:$J,2,0)=0,"",VLOOKUP($B528,'1. 현장별 인원현황'!$C:$J,2,0))</f>
        <v xml:space="preserve"> [4.롯데건설] 롯데바이오로직스 Project PROVIDENCE</v>
      </c>
      <c r="D528" s="74" t="str">
        <f>IF(VLOOKUP($B528,'1. 현장별 인원현황'!$C:$J,3,0)=0,"",VLOOKUP($B528,'1. 현장별 인원현황'!$C:$J,3,0))</f>
        <v>이견우</v>
      </c>
      <c r="E528" s="74" t="str">
        <f ca="1">IF(VLOOKUP($B528,'1. 현장별 인원현황'!$C:$J,4,0)=0,"",VLOOKUP($B528,'1. 현장별 인원현황'!$C:$J,4,0))</f>
        <v>53세</v>
      </c>
      <c r="F528" s="70" t="str">
        <f>IF(VLOOKUP($B528,'1. 현장별 인원현황'!$C:$J,7,0)=0,"",VLOOKUP($B528,'1. 현장별 인원현황'!$C:$J,7,0))</f>
        <v>기능공</v>
      </c>
      <c r="G528" s="72" t="str">
        <f>IF(VLOOKUP($B528,'1. 현장별 인원현황'!$C:$J,8,0)=0,"",VLOOKUP($B528,'1. 현장별 인원현황'!$C:$J,8,0))</f>
        <v>전공</v>
      </c>
      <c r="H528" s="67" t="s">
        <v>69</v>
      </c>
      <c r="I528" s="73"/>
      <c r="J528" s="73"/>
      <c r="K528" s="68"/>
      <c r="L528" s="67"/>
      <c r="M528" s="73"/>
      <c r="N528" s="73" t="s">
        <v>69</v>
      </c>
      <c r="O528" s="68"/>
      <c r="P528" s="67" t="s">
        <v>69</v>
      </c>
      <c r="Q528" s="73"/>
      <c r="R528" s="73"/>
      <c r="S528" s="68"/>
      <c r="T528" s="67"/>
      <c r="U528" s="73" t="s">
        <v>69</v>
      </c>
      <c r="V528" s="73"/>
      <c r="W528" s="68"/>
      <c r="X528" s="67" t="s">
        <v>69</v>
      </c>
      <c r="Y528" s="73"/>
      <c r="Z528" s="73"/>
      <c r="AA528" s="68"/>
      <c r="AB528" s="67" t="s">
        <v>69</v>
      </c>
      <c r="AC528" s="73"/>
      <c r="AD528" s="73"/>
      <c r="AE528" s="68"/>
      <c r="AF528" s="67" t="s">
        <v>69</v>
      </c>
      <c r="AG528" s="73"/>
      <c r="AH528" s="73"/>
      <c r="AI528" s="68"/>
      <c r="AJ528" s="67" t="s">
        <v>69</v>
      </c>
      <c r="AK528" s="73"/>
      <c r="AL528" s="73"/>
      <c r="AM528" s="68"/>
      <c r="AN528" s="67">
        <f t="shared" si="547"/>
        <v>88</v>
      </c>
      <c r="AO528" s="68" t="str">
        <f t="shared" si="548"/>
        <v>S</v>
      </c>
      <c r="AR528" s="49">
        <f t="shared" si="513"/>
        <v>1</v>
      </c>
      <c r="AS528" s="49">
        <f t="shared" si="514"/>
        <v>0</v>
      </c>
      <c r="AT528" s="49">
        <f t="shared" si="515"/>
        <v>0</v>
      </c>
      <c r="AU528" s="49">
        <f t="shared" si="516"/>
        <v>0</v>
      </c>
      <c r="AV528" s="49">
        <f t="shared" si="517"/>
        <v>0</v>
      </c>
      <c r="AW528" s="49">
        <f t="shared" si="518"/>
        <v>0</v>
      </c>
      <c r="AX528" s="49">
        <f t="shared" si="519"/>
        <v>1</v>
      </c>
      <c r="AY528" s="49">
        <f t="shared" si="520"/>
        <v>0</v>
      </c>
      <c r="AZ528" s="49">
        <f t="shared" si="521"/>
        <v>1</v>
      </c>
      <c r="BA528" s="49">
        <f t="shared" si="522"/>
        <v>0</v>
      </c>
      <c r="BB528" s="49">
        <f t="shared" si="523"/>
        <v>0</v>
      </c>
      <c r="BC528" s="49">
        <f t="shared" si="524"/>
        <v>0</v>
      </c>
      <c r="BD528" s="49">
        <f t="shared" si="525"/>
        <v>0</v>
      </c>
      <c r="BE528" s="49">
        <f t="shared" si="526"/>
        <v>1</v>
      </c>
      <c r="BF528" s="49">
        <f t="shared" si="527"/>
        <v>0</v>
      </c>
      <c r="BG528" s="49">
        <f t="shared" si="528"/>
        <v>0</v>
      </c>
      <c r="BH528" s="49">
        <f t="shared" si="529"/>
        <v>1</v>
      </c>
      <c r="BI528" s="49">
        <f t="shared" si="530"/>
        <v>0</v>
      </c>
      <c r="BJ528" s="49">
        <f t="shared" si="531"/>
        <v>0</v>
      </c>
      <c r="BK528" s="49">
        <f t="shared" si="532"/>
        <v>0</v>
      </c>
      <c r="BL528" s="49">
        <f t="shared" si="533"/>
        <v>1</v>
      </c>
      <c r="BM528" s="49">
        <f t="shared" si="534"/>
        <v>0</v>
      </c>
      <c r="BN528" s="49">
        <f t="shared" si="535"/>
        <v>0</v>
      </c>
      <c r="BO528" s="49">
        <f t="shared" si="536"/>
        <v>0</v>
      </c>
      <c r="BP528" s="49">
        <f t="shared" si="537"/>
        <v>1</v>
      </c>
      <c r="BQ528" s="49">
        <f t="shared" si="538"/>
        <v>0</v>
      </c>
      <c r="BR528" s="49">
        <f t="shared" si="539"/>
        <v>0</v>
      </c>
      <c r="BS528" s="49">
        <f t="shared" si="540"/>
        <v>0</v>
      </c>
      <c r="BT528" s="49">
        <f t="shared" si="541"/>
        <v>1</v>
      </c>
      <c r="BU528" s="49">
        <f t="shared" si="542"/>
        <v>0</v>
      </c>
      <c r="BV528" s="49">
        <f t="shared" si="543"/>
        <v>0</v>
      </c>
      <c r="BW528" s="49">
        <f t="shared" si="544"/>
        <v>0</v>
      </c>
    </row>
    <row r="529" spans="1:75" ht="35.1" customHeight="1" x14ac:dyDescent="0.3">
      <c r="A529" s="123" t="str">
        <f t="shared" si="545"/>
        <v>4팀</v>
      </c>
      <c r="B529" s="69">
        <f t="shared" si="546"/>
        <v>523</v>
      </c>
      <c r="C529" s="121" t="str">
        <f>IF(VLOOKUP($B529,'1. 현장별 인원현황'!$C:$J,2,0)=0,"",VLOOKUP($B529,'1. 현장별 인원현황'!$C:$J,2,0))</f>
        <v xml:space="preserve"> [4.롯데건설] 롯데바이오로직스 Project PROVIDENCE</v>
      </c>
      <c r="D529" s="74" t="str">
        <f>IF(VLOOKUP($B529,'1. 현장별 인원현황'!$C:$J,3,0)=0,"",VLOOKUP($B529,'1. 현장별 인원현황'!$C:$J,3,0))</f>
        <v>김한샘</v>
      </c>
      <c r="E529" s="74" t="str">
        <f ca="1">IF(VLOOKUP($B529,'1. 현장별 인원현황'!$C:$J,4,0)=0,"",VLOOKUP($B529,'1. 현장별 인원현황'!$C:$J,4,0))</f>
        <v>42세</v>
      </c>
      <c r="F529" s="70" t="str">
        <f>IF(VLOOKUP($B529,'1. 현장별 인원현황'!$C:$J,7,0)=0,"",VLOOKUP($B529,'1. 현장별 인원현황'!$C:$J,7,0))</f>
        <v>기능공</v>
      </c>
      <c r="G529" s="72" t="str">
        <f>IF(VLOOKUP($B529,'1. 현장별 인원현황'!$C:$J,8,0)=0,"",VLOOKUP($B529,'1. 현장별 인원현황'!$C:$J,8,0))</f>
        <v>전공</v>
      </c>
      <c r="H529" s="67" t="s">
        <v>69</v>
      </c>
      <c r="I529" s="73"/>
      <c r="J529" s="73"/>
      <c r="K529" s="68"/>
      <c r="L529" s="67"/>
      <c r="M529" s="73"/>
      <c r="N529" s="73" t="s">
        <v>69</v>
      </c>
      <c r="O529" s="68"/>
      <c r="P529" s="67" t="s">
        <v>69</v>
      </c>
      <c r="Q529" s="73"/>
      <c r="R529" s="73"/>
      <c r="S529" s="68"/>
      <c r="T529" s="67"/>
      <c r="U529" s="73" t="s">
        <v>69</v>
      </c>
      <c r="V529" s="73"/>
      <c r="W529" s="68"/>
      <c r="X529" s="67" t="s">
        <v>69</v>
      </c>
      <c r="Y529" s="73"/>
      <c r="Z529" s="73"/>
      <c r="AA529" s="68"/>
      <c r="AB529" s="67" t="s">
        <v>69</v>
      </c>
      <c r="AC529" s="73"/>
      <c r="AD529" s="73"/>
      <c r="AE529" s="68"/>
      <c r="AF529" s="67" t="s">
        <v>69</v>
      </c>
      <c r="AG529" s="73"/>
      <c r="AH529" s="73"/>
      <c r="AI529" s="68"/>
      <c r="AJ529" s="67" t="s">
        <v>69</v>
      </c>
      <c r="AK529" s="73"/>
      <c r="AL529" s="73"/>
      <c r="AM529" s="68"/>
      <c r="AN529" s="67">
        <f t="shared" si="547"/>
        <v>88</v>
      </c>
      <c r="AO529" s="68" t="str">
        <f t="shared" si="548"/>
        <v>S</v>
      </c>
      <c r="AR529" s="49">
        <f t="shared" si="513"/>
        <v>1</v>
      </c>
      <c r="AS529" s="49">
        <f t="shared" si="514"/>
        <v>0</v>
      </c>
      <c r="AT529" s="49">
        <f t="shared" si="515"/>
        <v>0</v>
      </c>
      <c r="AU529" s="49">
        <f t="shared" si="516"/>
        <v>0</v>
      </c>
      <c r="AV529" s="49">
        <f t="shared" si="517"/>
        <v>0</v>
      </c>
      <c r="AW529" s="49">
        <f t="shared" si="518"/>
        <v>0</v>
      </c>
      <c r="AX529" s="49">
        <f t="shared" si="519"/>
        <v>1</v>
      </c>
      <c r="AY529" s="49">
        <f t="shared" si="520"/>
        <v>0</v>
      </c>
      <c r="AZ529" s="49">
        <f t="shared" si="521"/>
        <v>1</v>
      </c>
      <c r="BA529" s="49">
        <f t="shared" si="522"/>
        <v>0</v>
      </c>
      <c r="BB529" s="49">
        <f t="shared" si="523"/>
        <v>0</v>
      </c>
      <c r="BC529" s="49">
        <f t="shared" si="524"/>
        <v>0</v>
      </c>
      <c r="BD529" s="49">
        <f t="shared" si="525"/>
        <v>0</v>
      </c>
      <c r="BE529" s="49">
        <f t="shared" si="526"/>
        <v>1</v>
      </c>
      <c r="BF529" s="49">
        <f t="shared" si="527"/>
        <v>0</v>
      </c>
      <c r="BG529" s="49">
        <f t="shared" si="528"/>
        <v>0</v>
      </c>
      <c r="BH529" s="49">
        <f t="shared" si="529"/>
        <v>1</v>
      </c>
      <c r="BI529" s="49">
        <f t="shared" si="530"/>
        <v>0</v>
      </c>
      <c r="BJ529" s="49">
        <f t="shared" si="531"/>
        <v>0</v>
      </c>
      <c r="BK529" s="49">
        <f t="shared" si="532"/>
        <v>0</v>
      </c>
      <c r="BL529" s="49">
        <f t="shared" si="533"/>
        <v>1</v>
      </c>
      <c r="BM529" s="49">
        <f t="shared" si="534"/>
        <v>0</v>
      </c>
      <c r="BN529" s="49">
        <f t="shared" si="535"/>
        <v>0</v>
      </c>
      <c r="BO529" s="49">
        <f t="shared" si="536"/>
        <v>0</v>
      </c>
      <c r="BP529" s="49">
        <f t="shared" si="537"/>
        <v>1</v>
      </c>
      <c r="BQ529" s="49">
        <f t="shared" si="538"/>
        <v>0</v>
      </c>
      <c r="BR529" s="49">
        <f t="shared" si="539"/>
        <v>0</v>
      </c>
      <c r="BS529" s="49">
        <f t="shared" si="540"/>
        <v>0</v>
      </c>
      <c r="BT529" s="49">
        <f t="shared" si="541"/>
        <v>1</v>
      </c>
      <c r="BU529" s="49">
        <f t="shared" si="542"/>
        <v>0</v>
      </c>
      <c r="BV529" s="49">
        <f t="shared" si="543"/>
        <v>0</v>
      </c>
      <c r="BW529" s="49">
        <f t="shared" si="544"/>
        <v>0</v>
      </c>
    </row>
    <row r="530" spans="1:75" ht="35.1" customHeight="1" x14ac:dyDescent="0.3">
      <c r="A530" s="123" t="str">
        <f t="shared" si="545"/>
        <v>4팀</v>
      </c>
      <c r="B530" s="69">
        <f t="shared" si="546"/>
        <v>524</v>
      </c>
      <c r="C530" s="121" t="str">
        <f>IF(VLOOKUP($B530,'1. 현장별 인원현황'!$C:$J,2,0)=0,"",VLOOKUP($B530,'1. 현장별 인원현황'!$C:$J,2,0))</f>
        <v xml:space="preserve"> [4.롯데건설] 롯데바이오로직스 Project PROVIDENCE</v>
      </c>
      <c r="D530" s="74" t="str">
        <f>IF(VLOOKUP($B530,'1. 현장별 인원현황'!$C:$J,3,0)=0,"",VLOOKUP($B530,'1. 현장별 인원현황'!$C:$J,3,0))</f>
        <v>박상준</v>
      </c>
      <c r="E530" s="74" t="str">
        <f ca="1">IF(VLOOKUP($B530,'1. 현장별 인원현황'!$C:$J,4,0)=0,"",VLOOKUP($B530,'1. 현장별 인원현황'!$C:$J,4,0))</f>
        <v>53세</v>
      </c>
      <c r="F530" s="70" t="str">
        <f>IF(VLOOKUP($B530,'1. 현장별 인원현황'!$C:$J,7,0)=0,"",VLOOKUP($B530,'1. 현장별 인원현황'!$C:$J,7,0))</f>
        <v>기능공</v>
      </c>
      <c r="G530" s="72" t="str">
        <f>IF(VLOOKUP($B530,'1. 현장별 인원현황'!$C:$J,8,0)=0,"",VLOOKUP($B530,'1. 현장별 인원현황'!$C:$J,8,0))</f>
        <v>전공</v>
      </c>
      <c r="H530" s="67" t="s">
        <v>69</v>
      </c>
      <c r="I530" s="73"/>
      <c r="J530" s="73"/>
      <c r="K530" s="68"/>
      <c r="L530" s="67"/>
      <c r="M530" s="73"/>
      <c r="N530" s="73" t="s">
        <v>69</v>
      </c>
      <c r="O530" s="68"/>
      <c r="P530" s="67" t="s">
        <v>69</v>
      </c>
      <c r="Q530" s="73"/>
      <c r="R530" s="73"/>
      <c r="S530" s="68"/>
      <c r="T530" s="67"/>
      <c r="U530" s="73" t="s">
        <v>69</v>
      </c>
      <c r="V530" s="73"/>
      <c r="W530" s="68"/>
      <c r="X530" s="67" t="s">
        <v>69</v>
      </c>
      <c r="Y530" s="73"/>
      <c r="Z530" s="73"/>
      <c r="AA530" s="68"/>
      <c r="AB530" s="67" t="s">
        <v>69</v>
      </c>
      <c r="AC530" s="73"/>
      <c r="AD530" s="73"/>
      <c r="AE530" s="68"/>
      <c r="AF530" s="67" t="s">
        <v>69</v>
      </c>
      <c r="AG530" s="73"/>
      <c r="AH530" s="73"/>
      <c r="AI530" s="68"/>
      <c r="AJ530" s="67" t="s">
        <v>69</v>
      </c>
      <c r="AK530" s="73"/>
      <c r="AL530" s="73"/>
      <c r="AM530" s="68"/>
      <c r="AN530" s="67">
        <f t="shared" si="547"/>
        <v>88</v>
      </c>
      <c r="AO530" s="68" t="str">
        <f t="shared" si="548"/>
        <v>S</v>
      </c>
      <c r="AR530" s="49">
        <f t="shared" si="513"/>
        <v>1</v>
      </c>
      <c r="AS530" s="49">
        <f t="shared" si="514"/>
        <v>0</v>
      </c>
      <c r="AT530" s="49">
        <f t="shared" si="515"/>
        <v>0</v>
      </c>
      <c r="AU530" s="49">
        <f t="shared" si="516"/>
        <v>0</v>
      </c>
      <c r="AV530" s="49">
        <f t="shared" si="517"/>
        <v>0</v>
      </c>
      <c r="AW530" s="49">
        <f t="shared" si="518"/>
        <v>0</v>
      </c>
      <c r="AX530" s="49">
        <f t="shared" si="519"/>
        <v>1</v>
      </c>
      <c r="AY530" s="49">
        <f t="shared" si="520"/>
        <v>0</v>
      </c>
      <c r="AZ530" s="49">
        <f t="shared" si="521"/>
        <v>1</v>
      </c>
      <c r="BA530" s="49">
        <f t="shared" si="522"/>
        <v>0</v>
      </c>
      <c r="BB530" s="49">
        <f t="shared" si="523"/>
        <v>0</v>
      </c>
      <c r="BC530" s="49">
        <f t="shared" si="524"/>
        <v>0</v>
      </c>
      <c r="BD530" s="49">
        <f t="shared" si="525"/>
        <v>0</v>
      </c>
      <c r="BE530" s="49">
        <f t="shared" si="526"/>
        <v>1</v>
      </c>
      <c r="BF530" s="49">
        <f t="shared" si="527"/>
        <v>0</v>
      </c>
      <c r="BG530" s="49">
        <f t="shared" si="528"/>
        <v>0</v>
      </c>
      <c r="BH530" s="49">
        <f t="shared" si="529"/>
        <v>1</v>
      </c>
      <c r="BI530" s="49">
        <f t="shared" si="530"/>
        <v>0</v>
      </c>
      <c r="BJ530" s="49">
        <f t="shared" si="531"/>
        <v>0</v>
      </c>
      <c r="BK530" s="49">
        <f t="shared" si="532"/>
        <v>0</v>
      </c>
      <c r="BL530" s="49">
        <f t="shared" si="533"/>
        <v>1</v>
      </c>
      <c r="BM530" s="49">
        <f t="shared" si="534"/>
        <v>0</v>
      </c>
      <c r="BN530" s="49">
        <f t="shared" si="535"/>
        <v>0</v>
      </c>
      <c r="BO530" s="49">
        <f t="shared" si="536"/>
        <v>0</v>
      </c>
      <c r="BP530" s="49">
        <f t="shared" si="537"/>
        <v>1</v>
      </c>
      <c r="BQ530" s="49">
        <f t="shared" si="538"/>
        <v>0</v>
      </c>
      <c r="BR530" s="49">
        <f t="shared" si="539"/>
        <v>0</v>
      </c>
      <c r="BS530" s="49">
        <f t="shared" si="540"/>
        <v>0</v>
      </c>
      <c r="BT530" s="49">
        <f t="shared" si="541"/>
        <v>1</v>
      </c>
      <c r="BU530" s="49">
        <f t="shared" si="542"/>
        <v>0</v>
      </c>
      <c r="BV530" s="49">
        <f t="shared" si="543"/>
        <v>0</v>
      </c>
      <c r="BW530" s="49">
        <f t="shared" si="544"/>
        <v>0</v>
      </c>
    </row>
    <row r="531" spans="1:75" ht="35.1" customHeight="1" x14ac:dyDescent="0.3">
      <c r="A531" s="123" t="str">
        <f t="shared" si="545"/>
        <v>4팀</v>
      </c>
      <c r="B531" s="69">
        <f t="shared" si="546"/>
        <v>525</v>
      </c>
      <c r="C531" s="121" t="str">
        <f>IF(VLOOKUP($B531,'1. 현장별 인원현황'!$C:$J,2,0)=0,"",VLOOKUP($B531,'1. 현장별 인원현황'!$C:$J,2,0))</f>
        <v xml:space="preserve"> [4.롯데건설] 롯데바이오로직스 Project PROVIDENCE</v>
      </c>
      <c r="D531" s="74" t="str">
        <f>IF(VLOOKUP($B531,'1. 현장별 인원현황'!$C:$J,3,0)=0,"",VLOOKUP($B531,'1. 현장별 인원현황'!$C:$J,3,0))</f>
        <v>이상협</v>
      </c>
      <c r="E531" s="74" t="str">
        <f ca="1">IF(VLOOKUP($B531,'1. 현장별 인원현황'!$C:$J,4,0)=0,"",VLOOKUP($B531,'1. 현장별 인원현황'!$C:$J,4,0))</f>
        <v>23세</v>
      </c>
      <c r="F531" s="70" t="str">
        <f>IF(VLOOKUP($B531,'1. 현장별 인원현황'!$C:$J,7,0)=0,"",VLOOKUP($B531,'1. 현장별 인원현황'!$C:$J,7,0))</f>
        <v>기능공</v>
      </c>
      <c r="G531" s="72" t="str">
        <f>IF(VLOOKUP($B531,'1. 현장별 인원현황'!$C:$J,8,0)=0,"",VLOOKUP($B531,'1. 현장별 인원현황'!$C:$J,8,0))</f>
        <v>전공</v>
      </c>
      <c r="H531" s="67" t="s">
        <v>69</v>
      </c>
      <c r="I531" s="73"/>
      <c r="J531" s="73"/>
      <c r="K531" s="68"/>
      <c r="L531" s="67"/>
      <c r="M531" s="73"/>
      <c r="N531" s="73" t="s">
        <v>69</v>
      </c>
      <c r="O531" s="68"/>
      <c r="P531" s="67" t="s">
        <v>69</v>
      </c>
      <c r="Q531" s="73"/>
      <c r="R531" s="73"/>
      <c r="S531" s="68"/>
      <c r="T531" s="67"/>
      <c r="U531" s="73" t="s">
        <v>69</v>
      </c>
      <c r="V531" s="73"/>
      <c r="W531" s="68"/>
      <c r="X531" s="67" t="s">
        <v>69</v>
      </c>
      <c r="Y531" s="73"/>
      <c r="Z531" s="73"/>
      <c r="AA531" s="68"/>
      <c r="AB531" s="67" t="s">
        <v>69</v>
      </c>
      <c r="AC531" s="73"/>
      <c r="AD531" s="73"/>
      <c r="AE531" s="68"/>
      <c r="AF531" s="67" t="s">
        <v>69</v>
      </c>
      <c r="AG531" s="73"/>
      <c r="AH531" s="73"/>
      <c r="AI531" s="68"/>
      <c r="AJ531" s="67" t="s">
        <v>69</v>
      </c>
      <c r="AK531" s="73"/>
      <c r="AL531" s="73"/>
      <c r="AM531" s="68"/>
      <c r="AN531" s="67">
        <f t="shared" si="547"/>
        <v>88</v>
      </c>
      <c r="AO531" s="68" t="str">
        <f t="shared" si="548"/>
        <v>S</v>
      </c>
      <c r="AR531" s="49">
        <f t="shared" si="513"/>
        <v>1</v>
      </c>
      <c r="AS531" s="49">
        <f t="shared" si="514"/>
        <v>0</v>
      </c>
      <c r="AT531" s="49">
        <f t="shared" si="515"/>
        <v>0</v>
      </c>
      <c r="AU531" s="49">
        <f t="shared" si="516"/>
        <v>0</v>
      </c>
      <c r="AV531" s="49">
        <f t="shared" si="517"/>
        <v>0</v>
      </c>
      <c r="AW531" s="49">
        <f t="shared" si="518"/>
        <v>0</v>
      </c>
      <c r="AX531" s="49">
        <f t="shared" si="519"/>
        <v>1</v>
      </c>
      <c r="AY531" s="49">
        <f t="shared" si="520"/>
        <v>0</v>
      </c>
      <c r="AZ531" s="49">
        <f t="shared" si="521"/>
        <v>1</v>
      </c>
      <c r="BA531" s="49">
        <f t="shared" si="522"/>
        <v>0</v>
      </c>
      <c r="BB531" s="49">
        <f t="shared" si="523"/>
        <v>0</v>
      </c>
      <c r="BC531" s="49">
        <f t="shared" si="524"/>
        <v>0</v>
      </c>
      <c r="BD531" s="49">
        <f t="shared" si="525"/>
        <v>0</v>
      </c>
      <c r="BE531" s="49">
        <f t="shared" si="526"/>
        <v>1</v>
      </c>
      <c r="BF531" s="49">
        <f t="shared" si="527"/>
        <v>0</v>
      </c>
      <c r="BG531" s="49">
        <f t="shared" si="528"/>
        <v>0</v>
      </c>
      <c r="BH531" s="49">
        <f t="shared" si="529"/>
        <v>1</v>
      </c>
      <c r="BI531" s="49">
        <f t="shared" si="530"/>
        <v>0</v>
      </c>
      <c r="BJ531" s="49">
        <f t="shared" si="531"/>
        <v>0</v>
      </c>
      <c r="BK531" s="49">
        <f t="shared" si="532"/>
        <v>0</v>
      </c>
      <c r="BL531" s="49">
        <f t="shared" si="533"/>
        <v>1</v>
      </c>
      <c r="BM531" s="49">
        <f t="shared" si="534"/>
        <v>0</v>
      </c>
      <c r="BN531" s="49">
        <f t="shared" si="535"/>
        <v>0</v>
      </c>
      <c r="BO531" s="49">
        <f t="shared" si="536"/>
        <v>0</v>
      </c>
      <c r="BP531" s="49">
        <f t="shared" si="537"/>
        <v>1</v>
      </c>
      <c r="BQ531" s="49">
        <f t="shared" si="538"/>
        <v>0</v>
      </c>
      <c r="BR531" s="49">
        <f t="shared" si="539"/>
        <v>0</v>
      </c>
      <c r="BS531" s="49">
        <f t="shared" si="540"/>
        <v>0</v>
      </c>
      <c r="BT531" s="49">
        <f t="shared" si="541"/>
        <v>1</v>
      </c>
      <c r="BU531" s="49">
        <f t="shared" si="542"/>
        <v>0</v>
      </c>
      <c r="BV531" s="49">
        <f t="shared" si="543"/>
        <v>0</v>
      </c>
      <c r="BW531" s="49">
        <f t="shared" si="544"/>
        <v>0</v>
      </c>
    </row>
    <row r="532" spans="1:75" ht="35.1" customHeight="1" x14ac:dyDescent="0.3">
      <c r="A532" s="123" t="str">
        <f t="shared" si="545"/>
        <v>4팀</v>
      </c>
      <c r="B532" s="69">
        <f t="shared" si="546"/>
        <v>526</v>
      </c>
      <c r="C532" s="121" t="str">
        <f>IF(VLOOKUP($B532,'1. 현장별 인원현황'!$C:$J,2,0)=0,"",VLOOKUP($B532,'1. 현장별 인원현황'!$C:$J,2,0))</f>
        <v xml:space="preserve"> [4.롯데건설] 롯데바이오로직스 Project PROVIDENCE</v>
      </c>
      <c r="D532" s="74" t="str">
        <f>IF(VLOOKUP($B532,'1. 현장별 인원현황'!$C:$J,3,0)=0,"",VLOOKUP($B532,'1. 현장별 인원현황'!$C:$J,3,0))</f>
        <v>이효원</v>
      </c>
      <c r="E532" s="74" t="str">
        <f ca="1">IF(VLOOKUP($B532,'1. 현장별 인원현황'!$C:$J,4,0)=0,"",VLOOKUP($B532,'1. 현장별 인원현황'!$C:$J,4,0))</f>
        <v>51세</v>
      </c>
      <c r="F532" s="70" t="str">
        <f>IF(VLOOKUP($B532,'1. 현장별 인원현황'!$C:$J,7,0)=0,"",VLOOKUP($B532,'1. 현장별 인원현황'!$C:$J,7,0))</f>
        <v>기능공</v>
      </c>
      <c r="G532" s="72" t="str">
        <f>IF(VLOOKUP($B532,'1. 현장별 인원현황'!$C:$J,8,0)=0,"",VLOOKUP($B532,'1. 현장별 인원현황'!$C:$J,8,0))</f>
        <v>전공</v>
      </c>
      <c r="H532" s="67" t="s">
        <v>69</v>
      </c>
      <c r="I532" s="73"/>
      <c r="J532" s="73"/>
      <c r="K532" s="68"/>
      <c r="L532" s="67"/>
      <c r="M532" s="73"/>
      <c r="N532" s="73" t="s">
        <v>69</v>
      </c>
      <c r="O532" s="68"/>
      <c r="P532" s="67" t="s">
        <v>69</v>
      </c>
      <c r="Q532" s="73"/>
      <c r="R532" s="73"/>
      <c r="S532" s="68"/>
      <c r="T532" s="67"/>
      <c r="U532" s="73" t="s">
        <v>69</v>
      </c>
      <c r="V532" s="73"/>
      <c r="W532" s="68"/>
      <c r="X532" s="67" t="s">
        <v>69</v>
      </c>
      <c r="Y532" s="73"/>
      <c r="Z532" s="73"/>
      <c r="AA532" s="68"/>
      <c r="AB532" s="67" t="s">
        <v>69</v>
      </c>
      <c r="AC532" s="73"/>
      <c r="AD532" s="73"/>
      <c r="AE532" s="68"/>
      <c r="AF532" s="67" t="s">
        <v>69</v>
      </c>
      <c r="AG532" s="73"/>
      <c r="AH532" s="73"/>
      <c r="AI532" s="68"/>
      <c r="AJ532" s="67" t="s">
        <v>69</v>
      </c>
      <c r="AK532" s="73"/>
      <c r="AL532" s="73"/>
      <c r="AM532" s="68"/>
      <c r="AN532" s="67">
        <f t="shared" si="547"/>
        <v>88</v>
      </c>
      <c r="AO532" s="68" t="str">
        <f t="shared" si="548"/>
        <v>S</v>
      </c>
      <c r="AR532" s="49">
        <f t="shared" si="513"/>
        <v>1</v>
      </c>
      <c r="AS532" s="49">
        <f t="shared" si="514"/>
        <v>0</v>
      </c>
      <c r="AT532" s="49">
        <f t="shared" si="515"/>
        <v>0</v>
      </c>
      <c r="AU532" s="49">
        <f t="shared" si="516"/>
        <v>0</v>
      </c>
      <c r="AV532" s="49">
        <f t="shared" si="517"/>
        <v>0</v>
      </c>
      <c r="AW532" s="49">
        <f t="shared" si="518"/>
        <v>0</v>
      </c>
      <c r="AX532" s="49">
        <f t="shared" si="519"/>
        <v>1</v>
      </c>
      <c r="AY532" s="49">
        <f t="shared" si="520"/>
        <v>0</v>
      </c>
      <c r="AZ532" s="49">
        <f t="shared" si="521"/>
        <v>1</v>
      </c>
      <c r="BA532" s="49">
        <f t="shared" si="522"/>
        <v>0</v>
      </c>
      <c r="BB532" s="49">
        <f t="shared" si="523"/>
        <v>0</v>
      </c>
      <c r="BC532" s="49">
        <f t="shared" si="524"/>
        <v>0</v>
      </c>
      <c r="BD532" s="49">
        <f t="shared" si="525"/>
        <v>0</v>
      </c>
      <c r="BE532" s="49">
        <f t="shared" si="526"/>
        <v>1</v>
      </c>
      <c r="BF532" s="49">
        <f t="shared" si="527"/>
        <v>0</v>
      </c>
      <c r="BG532" s="49">
        <f t="shared" si="528"/>
        <v>0</v>
      </c>
      <c r="BH532" s="49">
        <f t="shared" si="529"/>
        <v>1</v>
      </c>
      <c r="BI532" s="49">
        <f t="shared" si="530"/>
        <v>0</v>
      </c>
      <c r="BJ532" s="49">
        <f t="shared" si="531"/>
        <v>0</v>
      </c>
      <c r="BK532" s="49">
        <f t="shared" si="532"/>
        <v>0</v>
      </c>
      <c r="BL532" s="49">
        <f t="shared" si="533"/>
        <v>1</v>
      </c>
      <c r="BM532" s="49">
        <f t="shared" si="534"/>
        <v>0</v>
      </c>
      <c r="BN532" s="49">
        <f t="shared" si="535"/>
        <v>0</v>
      </c>
      <c r="BO532" s="49">
        <f t="shared" si="536"/>
        <v>0</v>
      </c>
      <c r="BP532" s="49">
        <f t="shared" si="537"/>
        <v>1</v>
      </c>
      <c r="BQ532" s="49">
        <f t="shared" si="538"/>
        <v>0</v>
      </c>
      <c r="BR532" s="49">
        <f t="shared" si="539"/>
        <v>0</v>
      </c>
      <c r="BS532" s="49">
        <f t="shared" si="540"/>
        <v>0</v>
      </c>
      <c r="BT532" s="49">
        <f t="shared" si="541"/>
        <v>1</v>
      </c>
      <c r="BU532" s="49">
        <f t="shared" si="542"/>
        <v>0</v>
      </c>
      <c r="BV532" s="49">
        <f t="shared" si="543"/>
        <v>0</v>
      </c>
      <c r="BW532" s="49">
        <f t="shared" si="544"/>
        <v>0</v>
      </c>
    </row>
    <row r="533" spans="1:75" ht="35.1" customHeight="1" x14ac:dyDescent="0.3">
      <c r="A533" s="123" t="str">
        <f t="shared" si="545"/>
        <v>4팀</v>
      </c>
      <c r="B533" s="69">
        <f t="shared" si="546"/>
        <v>527</v>
      </c>
      <c r="C533" s="121" t="str">
        <f>IF(VLOOKUP($B533,'1. 현장별 인원현황'!$C:$J,2,0)=0,"",VLOOKUP($B533,'1. 현장별 인원현황'!$C:$J,2,0))</f>
        <v xml:space="preserve"> [4.롯데건설] 롯데바이오로직스 Project PROVIDENCE</v>
      </c>
      <c r="D533" s="74" t="str">
        <f>IF(VLOOKUP($B533,'1. 현장별 인원현황'!$C:$J,3,0)=0,"",VLOOKUP($B533,'1. 현장별 인원현황'!$C:$J,3,0))</f>
        <v>오영택</v>
      </c>
      <c r="E533" s="74" t="str">
        <f ca="1">IF(VLOOKUP($B533,'1. 현장별 인원현황'!$C:$J,4,0)=0,"",VLOOKUP($B533,'1. 현장별 인원현황'!$C:$J,4,0))</f>
        <v>42세</v>
      </c>
      <c r="F533" s="70" t="str">
        <f>IF(VLOOKUP($B533,'1. 현장별 인원현황'!$C:$J,7,0)=0,"",VLOOKUP($B533,'1. 현장별 인원현황'!$C:$J,7,0))</f>
        <v>기능공</v>
      </c>
      <c r="G533" s="72" t="str">
        <f>IF(VLOOKUP($B533,'1. 현장별 인원현황'!$C:$J,8,0)=0,"",VLOOKUP($B533,'1. 현장별 인원현황'!$C:$J,8,0))</f>
        <v>전공</v>
      </c>
      <c r="H533" s="67" t="s">
        <v>69</v>
      </c>
      <c r="I533" s="73"/>
      <c r="J533" s="73"/>
      <c r="K533" s="68"/>
      <c r="L533" s="67"/>
      <c r="M533" s="73"/>
      <c r="N533" s="73" t="s">
        <v>69</v>
      </c>
      <c r="O533" s="68"/>
      <c r="P533" s="67" t="s">
        <v>69</v>
      </c>
      <c r="Q533" s="73"/>
      <c r="R533" s="73"/>
      <c r="S533" s="68"/>
      <c r="T533" s="67"/>
      <c r="U533" s="73" t="s">
        <v>69</v>
      </c>
      <c r="V533" s="73"/>
      <c r="W533" s="68"/>
      <c r="X533" s="67" t="s">
        <v>69</v>
      </c>
      <c r="Y533" s="73"/>
      <c r="Z533" s="73"/>
      <c r="AA533" s="68"/>
      <c r="AB533" s="67" t="s">
        <v>69</v>
      </c>
      <c r="AC533" s="73"/>
      <c r="AD533" s="73"/>
      <c r="AE533" s="68"/>
      <c r="AF533" s="67" t="s">
        <v>69</v>
      </c>
      <c r="AG533" s="73"/>
      <c r="AH533" s="73"/>
      <c r="AI533" s="68"/>
      <c r="AJ533" s="67" t="s">
        <v>69</v>
      </c>
      <c r="AK533" s="73"/>
      <c r="AL533" s="73"/>
      <c r="AM533" s="68"/>
      <c r="AN533" s="67">
        <f t="shared" si="547"/>
        <v>88</v>
      </c>
      <c r="AO533" s="68" t="str">
        <f t="shared" si="548"/>
        <v>S</v>
      </c>
      <c r="AR533" s="49">
        <f t="shared" si="513"/>
        <v>1</v>
      </c>
      <c r="AS533" s="49">
        <f t="shared" si="514"/>
        <v>0</v>
      </c>
      <c r="AT533" s="49">
        <f t="shared" si="515"/>
        <v>0</v>
      </c>
      <c r="AU533" s="49">
        <f t="shared" si="516"/>
        <v>0</v>
      </c>
      <c r="AV533" s="49">
        <f t="shared" si="517"/>
        <v>0</v>
      </c>
      <c r="AW533" s="49">
        <f t="shared" si="518"/>
        <v>0</v>
      </c>
      <c r="AX533" s="49">
        <f t="shared" si="519"/>
        <v>1</v>
      </c>
      <c r="AY533" s="49">
        <f t="shared" si="520"/>
        <v>0</v>
      </c>
      <c r="AZ533" s="49">
        <f t="shared" si="521"/>
        <v>1</v>
      </c>
      <c r="BA533" s="49">
        <f t="shared" si="522"/>
        <v>0</v>
      </c>
      <c r="BB533" s="49">
        <f t="shared" si="523"/>
        <v>0</v>
      </c>
      <c r="BC533" s="49">
        <f t="shared" si="524"/>
        <v>0</v>
      </c>
      <c r="BD533" s="49">
        <f t="shared" si="525"/>
        <v>0</v>
      </c>
      <c r="BE533" s="49">
        <f t="shared" si="526"/>
        <v>1</v>
      </c>
      <c r="BF533" s="49">
        <f t="shared" si="527"/>
        <v>0</v>
      </c>
      <c r="BG533" s="49">
        <f t="shared" si="528"/>
        <v>0</v>
      </c>
      <c r="BH533" s="49">
        <f t="shared" si="529"/>
        <v>1</v>
      </c>
      <c r="BI533" s="49">
        <f t="shared" si="530"/>
        <v>0</v>
      </c>
      <c r="BJ533" s="49">
        <f t="shared" si="531"/>
        <v>0</v>
      </c>
      <c r="BK533" s="49">
        <f t="shared" si="532"/>
        <v>0</v>
      </c>
      <c r="BL533" s="49">
        <f t="shared" si="533"/>
        <v>1</v>
      </c>
      <c r="BM533" s="49">
        <f t="shared" si="534"/>
        <v>0</v>
      </c>
      <c r="BN533" s="49">
        <f t="shared" si="535"/>
        <v>0</v>
      </c>
      <c r="BO533" s="49">
        <f t="shared" si="536"/>
        <v>0</v>
      </c>
      <c r="BP533" s="49">
        <f t="shared" si="537"/>
        <v>1</v>
      </c>
      <c r="BQ533" s="49">
        <f t="shared" si="538"/>
        <v>0</v>
      </c>
      <c r="BR533" s="49">
        <f t="shared" si="539"/>
        <v>0</v>
      </c>
      <c r="BS533" s="49">
        <f t="shared" si="540"/>
        <v>0</v>
      </c>
      <c r="BT533" s="49">
        <f t="shared" si="541"/>
        <v>1</v>
      </c>
      <c r="BU533" s="49">
        <f t="shared" si="542"/>
        <v>0</v>
      </c>
      <c r="BV533" s="49">
        <f t="shared" si="543"/>
        <v>0</v>
      </c>
      <c r="BW533" s="49">
        <f t="shared" si="544"/>
        <v>0</v>
      </c>
    </row>
    <row r="534" spans="1:75" ht="35.1" customHeight="1" x14ac:dyDescent="0.3">
      <c r="A534" s="123" t="str">
        <f t="shared" si="545"/>
        <v>4팀</v>
      </c>
      <c r="B534" s="69">
        <f t="shared" si="546"/>
        <v>528</v>
      </c>
      <c r="C534" s="121" t="str">
        <f>IF(VLOOKUP($B534,'1. 현장별 인원현황'!$C:$J,2,0)=0,"",VLOOKUP($B534,'1. 현장별 인원현황'!$C:$J,2,0))</f>
        <v xml:space="preserve"> [4.롯데건설] 롯데바이오로직스 Project PROVIDENCE</v>
      </c>
      <c r="D534" s="74" t="str">
        <f>IF(VLOOKUP($B534,'1. 현장별 인원현황'!$C:$J,3,0)=0,"",VLOOKUP($B534,'1. 현장별 인원현황'!$C:$J,3,0))</f>
        <v>강민석</v>
      </c>
      <c r="E534" s="74" t="str">
        <f ca="1">IF(VLOOKUP($B534,'1. 현장별 인원현황'!$C:$J,4,0)=0,"",VLOOKUP($B534,'1. 현장별 인원현황'!$C:$J,4,0))</f>
        <v>58세</v>
      </c>
      <c r="F534" s="70" t="str">
        <f>IF(VLOOKUP($B534,'1. 현장별 인원현황'!$C:$J,7,0)=0,"",VLOOKUP($B534,'1. 현장별 인원현황'!$C:$J,7,0))</f>
        <v>기능공</v>
      </c>
      <c r="G534" s="72" t="str">
        <f>IF(VLOOKUP($B534,'1. 현장별 인원현황'!$C:$J,8,0)=0,"",VLOOKUP($B534,'1. 현장별 인원현황'!$C:$J,8,0))</f>
        <v>전공</v>
      </c>
      <c r="H534" s="67" t="s">
        <v>69</v>
      </c>
      <c r="I534" s="73"/>
      <c r="J534" s="73"/>
      <c r="K534" s="68"/>
      <c r="L534" s="67"/>
      <c r="M534" s="73"/>
      <c r="N534" s="73" t="s">
        <v>69</v>
      </c>
      <c r="O534" s="68"/>
      <c r="P534" s="67" t="s">
        <v>69</v>
      </c>
      <c r="Q534" s="73"/>
      <c r="R534" s="73"/>
      <c r="S534" s="68"/>
      <c r="T534" s="67"/>
      <c r="U534" s="73" t="s">
        <v>69</v>
      </c>
      <c r="V534" s="73"/>
      <c r="W534" s="68"/>
      <c r="X534" s="67" t="s">
        <v>69</v>
      </c>
      <c r="Y534" s="73"/>
      <c r="Z534" s="73"/>
      <c r="AA534" s="68"/>
      <c r="AB534" s="67" t="s">
        <v>69</v>
      </c>
      <c r="AC534" s="73"/>
      <c r="AD534" s="73"/>
      <c r="AE534" s="68"/>
      <c r="AF534" s="67" t="s">
        <v>69</v>
      </c>
      <c r="AG534" s="73"/>
      <c r="AH534" s="73"/>
      <c r="AI534" s="68"/>
      <c r="AJ534" s="67" t="s">
        <v>69</v>
      </c>
      <c r="AK534" s="73"/>
      <c r="AL534" s="73"/>
      <c r="AM534" s="68"/>
      <c r="AN534" s="67">
        <f t="shared" si="547"/>
        <v>88</v>
      </c>
      <c r="AO534" s="68" t="str">
        <f t="shared" si="548"/>
        <v>S</v>
      </c>
      <c r="AR534" s="49">
        <f t="shared" si="513"/>
        <v>1</v>
      </c>
      <c r="AS534" s="49">
        <f t="shared" si="514"/>
        <v>0</v>
      </c>
      <c r="AT534" s="49">
        <f t="shared" si="515"/>
        <v>0</v>
      </c>
      <c r="AU534" s="49">
        <f t="shared" si="516"/>
        <v>0</v>
      </c>
      <c r="AV534" s="49">
        <f t="shared" si="517"/>
        <v>0</v>
      </c>
      <c r="AW534" s="49">
        <f t="shared" si="518"/>
        <v>0</v>
      </c>
      <c r="AX534" s="49">
        <f t="shared" si="519"/>
        <v>1</v>
      </c>
      <c r="AY534" s="49">
        <f t="shared" si="520"/>
        <v>0</v>
      </c>
      <c r="AZ534" s="49">
        <f t="shared" si="521"/>
        <v>1</v>
      </c>
      <c r="BA534" s="49">
        <f t="shared" si="522"/>
        <v>0</v>
      </c>
      <c r="BB534" s="49">
        <f t="shared" si="523"/>
        <v>0</v>
      </c>
      <c r="BC534" s="49">
        <f t="shared" si="524"/>
        <v>0</v>
      </c>
      <c r="BD534" s="49">
        <f t="shared" si="525"/>
        <v>0</v>
      </c>
      <c r="BE534" s="49">
        <f t="shared" si="526"/>
        <v>1</v>
      </c>
      <c r="BF534" s="49">
        <f t="shared" si="527"/>
        <v>0</v>
      </c>
      <c r="BG534" s="49">
        <f t="shared" si="528"/>
        <v>0</v>
      </c>
      <c r="BH534" s="49">
        <f t="shared" si="529"/>
        <v>1</v>
      </c>
      <c r="BI534" s="49">
        <f t="shared" si="530"/>
        <v>0</v>
      </c>
      <c r="BJ534" s="49">
        <f t="shared" si="531"/>
        <v>0</v>
      </c>
      <c r="BK534" s="49">
        <f t="shared" si="532"/>
        <v>0</v>
      </c>
      <c r="BL534" s="49">
        <f t="shared" si="533"/>
        <v>1</v>
      </c>
      <c r="BM534" s="49">
        <f t="shared" si="534"/>
        <v>0</v>
      </c>
      <c r="BN534" s="49">
        <f t="shared" si="535"/>
        <v>0</v>
      </c>
      <c r="BO534" s="49">
        <f t="shared" si="536"/>
        <v>0</v>
      </c>
      <c r="BP534" s="49">
        <f t="shared" si="537"/>
        <v>1</v>
      </c>
      <c r="BQ534" s="49">
        <f t="shared" si="538"/>
        <v>0</v>
      </c>
      <c r="BR534" s="49">
        <f t="shared" si="539"/>
        <v>0</v>
      </c>
      <c r="BS534" s="49">
        <f t="shared" si="540"/>
        <v>0</v>
      </c>
      <c r="BT534" s="49">
        <f t="shared" si="541"/>
        <v>1</v>
      </c>
      <c r="BU534" s="49">
        <f t="shared" si="542"/>
        <v>0</v>
      </c>
      <c r="BV534" s="49">
        <f t="shared" si="543"/>
        <v>0</v>
      </c>
      <c r="BW534" s="49">
        <f t="shared" si="544"/>
        <v>0</v>
      </c>
    </row>
    <row r="535" spans="1:75" ht="35.1" customHeight="1" x14ac:dyDescent="0.3">
      <c r="A535" s="123" t="str">
        <f t="shared" si="545"/>
        <v>4팀</v>
      </c>
      <c r="B535" s="69">
        <f t="shared" si="546"/>
        <v>529</v>
      </c>
      <c r="C535" s="121" t="str">
        <f>IF(VLOOKUP($B535,'1. 현장별 인원현황'!$C:$J,2,0)=0,"",VLOOKUP($B535,'1. 현장별 인원현황'!$C:$J,2,0))</f>
        <v xml:space="preserve"> [4.롯데건설] 롯데바이오로직스 Project PROVIDENCE</v>
      </c>
      <c r="D535" s="74" t="str">
        <f>IF(VLOOKUP($B535,'1. 현장별 인원현황'!$C:$J,3,0)=0,"",VLOOKUP($B535,'1. 현장별 인원현황'!$C:$J,3,0))</f>
        <v>박홍주</v>
      </c>
      <c r="E535" s="74" t="str">
        <f ca="1">IF(VLOOKUP($B535,'1. 현장별 인원현황'!$C:$J,4,0)=0,"",VLOOKUP($B535,'1. 현장별 인원현황'!$C:$J,4,0))</f>
        <v>59세</v>
      </c>
      <c r="F535" s="70" t="str">
        <f>IF(VLOOKUP($B535,'1. 현장별 인원현황'!$C:$J,7,0)=0,"",VLOOKUP($B535,'1. 현장별 인원현황'!$C:$J,7,0))</f>
        <v>기능공</v>
      </c>
      <c r="G535" s="72" t="str">
        <f>IF(VLOOKUP($B535,'1. 현장별 인원현황'!$C:$J,8,0)=0,"",VLOOKUP($B535,'1. 현장별 인원현황'!$C:$J,8,0))</f>
        <v>전공</v>
      </c>
      <c r="H535" s="67" t="s">
        <v>69</v>
      </c>
      <c r="I535" s="73"/>
      <c r="J535" s="73"/>
      <c r="K535" s="68"/>
      <c r="L535" s="67"/>
      <c r="M535" s="73"/>
      <c r="N535" s="73" t="s">
        <v>69</v>
      </c>
      <c r="O535" s="68"/>
      <c r="P535" s="67" t="s">
        <v>69</v>
      </c>
      <c r="Q535" s="73"/>
      <c r="R535" s="73"/>
      <c r="S535" s="68"/>
      <c r="T535" s="67"/>
      <c r="U535" s="73" t="s">
        <v>69</v>
      </c>
      <c r="V535" s="73"/>
      <c r="W535" s="68"/>
      <c r="X535" s="67" t="s">
        <v>69</v>
      </c>
      <c r="Y535" s="73"/>
      <c r="Z535" s="73"/>
      <c r="AA535" s="68"/>
      <c r="AB535" s="67" t="s">
        <v>69</v>
      </c>
      <c r="AC535" s="73"/>
      <c r="AD535" s="73"/>
      <c r="AE535" s="68"/>
      <c r="AF535" s="67" t="s">
        <v>69</v>
      </c>
      <c r="AG535" s="73"/>
      <c r="AH535" s="73"/>
      <c r="AI535" s="68"/>
      <c r="AJ535" s="67" t="s">
        <v>69</v>
      </c>
      <c r="AK535" s="73"/>
      <c r="AL535" s="73"/>
      <c r="AM535" s="68"/>
      <c r="AN535" s="67">
        <f t="shared" si="547"/>
        <v>88</v>
      </c>
      <c r="AO535" s="68" t="str">
        <f t="shared" si="548"/>
        <v>S</v>
      </c>
      <c r="AR535" s="49">
        <f t="shared" si="513"/>
        <v>1</v>
      </c>
      <c r="AS535" s="49">
        <f t="shared" si="514"/>
        <v>0</v>
      </c>
      <c r="AT535" s="49">
        <f t="shared" si="515"/>
        <v>0</v>
      </c>
      <c r="AU535" s="49">
        <f t="shared" si="516"/>
        <v>0</v>
      </c>
      <c r="AV535" s="49">
        <f t="shared" si="517"/>
        <v>0</v>
      </c>
      <c r="AW535" s="49">
        <f t="shared" si="518"/>
        <v>0</v>
      </c>
      <c r="AX535" s="49">
        <f t="shared" si="519"/>
        <v>1</v>
      </c>
      <c r="AY535" s="49">
        <f t="shared" si="520"/>
        <v>0</v>
      </c>
      <c r="AZ535" s="49">
        <f t="shared" si="521"/>
        <v>1</v>
      </c>
      <c r="BA535" s="49">
        <f t="shared" si="522"/>
        <v>0</v>
      </c>
      <c r="BB535" s="49">
        <f t="shared" si="523"/>
        <v>0</v>
      </c>
      <c r="BC535" s="49">
        <f t="shared" si="524"/>
        <v>0</v>
      </c>
      <c r="BD535" s="49">
        <f t="shared" si="525"/>
        <v>0</v>
      </c>
      <c r="BE535" s="49">
        <f t="shared" si="526"/>
        <v>1</v>
      </c>
      <c r="BF535" s="49">
        <f t="shared" si="527"/>
        <v>0</v>
      </c>
      <c r="BG535" s="49">
        <f t="shared" si="528"/>
        <v>0</v>
      </c>
      <c r="BH535" s="49">
        <f t="shared" si="529"/>
        <v>1</v>
      </c>
      <c r="BI535" s="49">
        <f t="shared" si="530"/>
        <v>0</v>
      </c>
      <c r="BJ535" s="49">
        <f t="shared" si="531"/>
        <v>0</v>
      </c>
      <c r="BK535" s="49">
        <f t="shared" si="532"/>
        <v>0</v>
      </c>
      <c r="BL535" s="49">
        <f t="shared" si="533"/>
        <v>1</v>
      </c>
      <c r="BM535" s="49">
        <f t="shared" si="534"/>
        <v>0</v>
      </c>
      <c r="BN535" s="49">
        <f t="shared" si="535"/>
        <v>0</v>
      </c>
      <c r="BO535" s="49">
        <f t="shared" si="536"/>
        <v>0</v>
      </c>
      <c r="BP535" s="49">
        <f t="shared" si="537"/>
        <v>1</v>
      </c>
      <c r="BQ535" s="49">
        <f t="shared" si="538"/>
        <v>0</v>
      </c>
      <c r="BR535" s="49">
        <f t="shared" si="539"/>
        <v>0</v>
      </c>
      <c r="BS535" s="49">
        <f t="shared" si="540"/>
        <v>0</v>
      </c>
      <c r="BT535" s="49">
        <f t="shared" si="541"/>
        <v>1</v>
      </c>
      <c r="BU535" s="49">
        <f t="shared" si="542"/>
        <v>0</v>
      </c>
      <c r="BV535" s="49">
        <f t="shared" si="543"/>
        <v>0</v>
      </c>
      <c r="BW535" s="49">
        <f t="shared" si="544"/>
        <v>0</v>
      </c>
    </row>
    <row r="536" spans="1:75" ht="35.1" customHeight="1" x14ac:dyDescent="0.3">
      <c r="A536" s="123" t="str">
        <f t="shared" si="545"/>
        <v>4팀</v>
      </c>
      <c r="B536" s="69">
        <f t="shared" si="546"/>
        <v>530</v>
      </c>
      <c r="C536" s="121" t="str">
        <f>IF(VLOOKUP($B536,'1. 현장별 인원현황'!$C:$J,2,0)=0,"",VLOOKUP($B536,'1. 현장별 인원현황'!$C:$J,2,0))</f>
        <v xml:space="preserve"> [4.롯데건설] 롯데바이오로직스 Project PROVIDENCE</v>
      </c>
      <c r="D536" s="74" t="str">
        <f>IF(VLOOKUP($B536,'1. 현장별 인원현황'!$C:$J,3,0)=0,"",VLOOKUP($B536,'1. 현장별 인원현황'!$C:$J,3,0))</f>
        <v>이창준</v>
      </c>
      <c r="E536" s="74" t="str">
        <f ca="1">IF(VLOOKUP($B536,'1. 현장별 인원현황'!$C:$J,4,0)=0,"",VLOOKUP($B536,'1. 현장별 인원현황'!$C:$J,4,0))</f>
        <v>48세</v>
      </c>
      <c r="F536" s="70" t="str">
        <f>IF(VLOOKUP($B536,'1. 현장별 인원현황'!$C:$J,7,0)=0,"",VLOOKUP($B536,'1. 현장별 인원현황'!$C:$J,7,0))</f>
        <v>기능공</v>
      </c>
      <c r="G536" s="72" t="str">
        <f>IF(VLOOKUP($B536,'1. 현장별 인원현황'!$C:$J,8,0)=0,"",VLOOKUP($B536,'1. 현장별 인원현황'!$C:$J,8,0))</f>
        <v>전공</v>
      </c>
      <c r="H536" s="67" t="s">
        <v>69</v>
      </c>
      <c r="I536" s="73"/>
      <c r="J536" s="73"/>
      <c r="K536" s="68"/>
      <c r="L536" s="67"/>
      <c r="M536" s="73"/>
      <c r="N536" s="73" t="s">
        <v>69</v>
      </c>
      <c r="O536" s="68"/>
      <c r="P536" s="67" t="s">
        <v>69</v>
      </c>
      <c r="Q536" s="73"/>
      <c r="R536" s="73"/>
      <c r="S536" s="68"/>
      <c r="T536" s="67"/>
      <c r="U536" s="73" t="s">
        <v>69</v>
      </c>
      <c r="V536" s="73"/>
      <c r="W536" s="68"/>
      <c r="X536" s="67" t="s">
        <v>69</v>
      </c>
      <c r="Y536" s="73"/>
      <c r="Z536" s="73"/>
      <c r="AA536" s="68"/>
      <c r="AB536" s="67" t="s">
        <v>69</v>
      </c>
      <c r="AC536" s="73"/>
      <c r="AD536" s="73"/>
      <c r="AE536" s="68"/>
      <c r="AF536" s="67" t="s">
        <v>69</v>
      </c>
      <c r="AG536" s="73"/>
      <c r="AH536" s="73"/>
      <c r="AI536" s="68"/>
      <c r="AJ536" s="67" t="s">
        <v>69</v>
      </c>
      <c r="AK536" s="73"/>
      <c r="AL536" s="73"/>
      <c r="AM536" s="68"/>
      <c r="AN536" s="67">
        <f t="shared" si="547"/>
        <v>88</v>
      </c>
      <c r="AO536" s="68" t="str">
        <f t="shared" si="548"/>
        <v>S</v>
      </c>
      <c r="AR536" s="49">
        <f t="shared" si="513"/>
        <v>1</v>
      </c>
      <c r="AS536" s="49">
        <f t="shared" si="514"/>
        <v>0</v>
      </c>
      <c r="AT536" s="49">
        <f t="shared" si="515"/>
        <v>0</v>
      </c>
      <c r="AU536" s="49">
        <f t="shared" si="516"/>
        <v>0</v>
      </c>
      <c r="AV536" s="49">
        <f t="shared" si="517"/>
        <v>0</v>
      </c>
      <c r="AW536" s="49">
        <f t="shared" si="518"/>
        <v>0</v>
      </c>
      <c r="AX536" s="49">
        <f t="shared" si="519"/>
        <v>1</v>
      </c>
      <c r="AY536" s="49">
        <f t="shared" si="520"/>
        <v>0</v>
      </c>
      <c r="AZ536" s="49">
        <f t="shared" si="521"/>
        <v>1</v>
      </c>
      <c r="BA536" s="49">
        <f t="shared" si="522"/>
        <v>0</v>
      </c>
      <c r="BB536" s="49">
        <f t="shared" si="523"/>
        <v>0</v>
      </c>
      <c r="BC536" s="49">
        <f t="shared" si="524"/>
        <v>0</v>
      </c>
      <c r="BD536" s="49">
        <f t="shared" si="525"/>
        <v>0</v>
      </c>
      <c r="BE536" s="49">
        <f t="shared" si="526"/>
        <v>1</v>
      </c>
      <c r="BF536" s="49">
        <f t="shared" si="527"/>
        <v>0</v>
      </c>
      <c r="BG536" s="49">
        <f t="shared" si="528"/>
        <v>0</v>
      </c>
      <c r="BH536" s="49">
        <f t="shared" si="529"/>
        <v>1</v>
      </c>
      <c r="BI536" s="49">
        <f t="shared" si="530"/>
        <v>0</v>
      </c>
      <c r="BJ536" s="49">
        <f t="shared" si="531"/>
        <v>0</v>
      </c>
      <c r="BK536" s="49">
        <f t="shared" si="532"/>
        <v>0</v>
      </c>
      <c r="BL536" s="49">
        <f t="shared" si="533"/>
        <v>1</v>
      </c>
      <c r="BM536" s="49">
        <f t="shared" si="534"/>
        <v>0</v>
      </c>
      <c r="BN536" s="49">
        <f t="shared" si="535"/>
        <v>0</v>
      </c>
      <c r="BO536" s="49">
        <f t="shared" si="536"/>
        <v>0</v>
      </c>
      <c r="BP536" s="49">
        <f t="shared" si="537"/>
        <v>1</v>
      </c>
      <c r="BQ536" s="49">
        <f t="shared" si="538"/>
        <v>0</v>
      </c>
      <c r="BR536" s="49">
        <f t="shared" si="539"/>
        <v>0</v>
      </c>
      <c r="BS536" s="49">
        <f t="shared" si="540"/>
        <v>0</v>
      </c>
      <c r="BT536" s="49">
        <f t="shared" si="541"/>
        <v>1</v>
      </c>
      <c r="BU536" s="49">
        <f t="shared" si="542"/>
        <v>0</v>
      </c>
      <c r="BV536" s="49">
        <f t="shared" si="543"/>
        <v>0</v>
      </c>
      <c r="BW536" s="49">
        <f t="shared" si="544"/>
        <v>0</v>
      </c>
    </row>
    <row r="537" spans="1:75" ht="35.1" customHeight="1" x14ac:dyDescent="0.3">
      <c r="A537" s="123" t="str">
        <f t="shared" si="545"/>
        <v>4팀</v>
      </c>
      <c r="B537" s="69">
        <f t="shared" si="546"/>
        <v>531</v>
      </c>
      <c r="C537" s="121" t="str">
        <f>IF(VLOOKUP($B537,'1. 현장별 인원현황'!$C:$J,2,0)=0,"",VLOOKUP($B537,'1. 현장별 인원현황'!$C:$J,2,0))</f>
        <v xml:space="preserve"> [4.롯데건설] 인천 효성지구 도시개발사업 공동주택 3BL</v>
      </c>
      <c r="D537" s="74" t="str">
        <f>IF(VLOOKUP($B537,'1. 현장별 인원현황'!$C:$J,3,0)=0,"",VLOOKUP($B537,'1. 현장별 인원현황'!$C:$J,3,0))</f>
        <v>이민우</v>
      </c>
      <c r="E537" s="74" t="str">
        <f ca="1">IF(VLOOKUP($B537,'1. 현장별 인원현황'!$C:$J,4,0)=0,"",VLOOKUP($B537,'1. 현장별 인원현황'!$C:$J,4,0))</f>
        <v>53세</v>
      </c>
      <c r="F537" s="70" t="str">
        <f>IF(VLOOKUP($B537,'1. 현장별 인원현황'!$C:$J,7,0)=0,"",VLOOKUP($B537,'1. 현장별 인원현황'!$C:$J,7,0))</f>
        <v>공무</v>
      </c>
      <c r="G537" s="72" t="str">
        <f>IF(VLOOKUP($B537,'1. 현장별 인원현황'!$C:$J,8,0)=0,"",VLOOKUP($B537,'1. 현장별 인원현황'!$C:$J,8,0))</f>
        <v>차장</v>
      </c>
      <c r="H537" s="67" t="s">
        <v>69</v>
      </c>
      <c r="I537" s="73"/>
      <c r="J537" s="73"/>
      <c r="K537" s="68"/>
      <c r="L537" s="67" t="s">
        <v>69</v>
      </c>
      <c r="M537" s="73"/>
      <c r="N537" s="73"/>
      <c r="O537" s="68"/>
      <c r="P537" s="67" t="s">
        <v>69</v>
      </c>
      <c r="Q537" s="73"/>
      <c r="R537" s="73"/>
      <c r="S537" s="68"/>
      <c r="T537" s="67" t="s">
        <v>69</v>
      </c>
      <c r="U537" s="73"/>
      <c r="V537" s="73"/>
      <c r="W537" s="68"/>
      <c r="X537" s="67" t="s">
        <v>69</v>
      </c>
      <c r="Y537" s="73"/>
      <c r="Z537" s="73"/>
      <c r="AA537" s="68"/>
      <c r="AB537" s="67" t="s">
        <v>69</v>
      </c>
      <c r="AC537" s="73"/>
      <c r="AD537" s="73"/>
      <c r="AE537" s="68"/>
      <c r="AF537" s="67" t="s">
        <v>69</v>
      </c>
      <c r="AG537" s="73"/>
      <c r="AH537" s="73"/>
      <c r="AI537" s="68"/>
      <c r="AJ537" s="67" t="s">
        <v>69</v>
      </c>
      <c r="AK537" s="73"/>
      <c r="AL537" s="73"/>
      <c r="AM537" s="68"/>
      <c r="AN537" s="67">
        <f t="shared" si="547"/>
        <v>100</v>
      </c>
      <c r="AO537" s="68" t="str">
        <f t="shared" si="548"/>
        <v>S</v>
      </c>
      <c r="AR537" s="49">
        <f t="shared" si="513"/>
        <v>1</v>
      </c>
      <c r="AS537" s="49">
        <f t="shared" si="514"/>
        <v>0</v>
      </c>
      <c r="AT537" s="49">
        <f t="shared" si="515"/>
        <v>0</v>
      </c>
      <c r="AU537" s="49">
        <f t="shared" si="516"/>
        <v>0</v>
      </c>
      <c r="AV537" s="49">
        <f t="shared" si="517"/>
        <v>1</v>
      </c>
      <c r="AW537" s="49">
        <f t="shared" si="518"/>
        <v>0</v>
      </c>
      <c r="AX537" s="49">
        <f t="shared" si="519"/>
        <v>0</v>
      </c>
      <c r="AY537" s="49">
        <f t="shared" si="520"/>
        <v>0</v>
      </c>
      <c r="AZ537" s="49">
        <f t="shared" si="521"/>
        <v>1</v>
      </c>
      <c r="BA537" s="49">
        <f t="shared" si="522"/>
        <v>0</v>
      </c>
      <c r="BB537" s="49">
        <f t="shared" si="523"/>
        <v>0</v>
      </c>
      <c r="BC537" s="49">
        <f t="shared" si="524"/>
        <v>0</v>
      </c>
      <c r="BD537" s="49">
        <f t="shared" si="525"/>
        <v>1</v>
      </c>
      <c r="BE537" s="49">
        <f t="shared" si="526"/>
        <v>0</v>
      </c>
      <c r="BF537" s="49">
        <f t="shared" si="527"/>
        <v>0</v>
      </c>
      <c r="BG537" s="49">
        <f t="shared" si="528"/>
        <v>0</v>
      </c>
      <c r="BH537" s="49">
        <f t="shared" si="529"/>
        <v>1</v>
      </c>
      <c r="BI537" s="49">
        <f t="shared" si="530"/>
        <v>0</v>
      </c>
      <c r="BJ537" s="49">
        <f t="shared" si="531"/>
        <v>0</v>
      </c>
      <c r="BK537" s="49">
        <f t="shared" si="532"/>
        <v>0</v>
      </c>
      <c r="BL537" s="49">
        <f t="shared" si="533"/>
        <v>1</v>
      </c>
      <c r="BM537" s="49">
        <f t="shared" si="534"/>
        <v>0</v>
      </c>
      <c r="BN537" s="49">
        <f t="shared" si="535"/>
        <v>0</v>
      </c>
      <c r="BO537" s="49">
        <f t="shared" si="536"/>
        <v>0</v>
      </c>
      <c r="BP537" s="49">
        <f t="shared" si="537"/>
        <v>1</v>
      </c>
      <c r="BQ537" s="49">
        <f t="shared" si="538"/>
        <v>0</v>
      </c>
      <c r="BR537" s="49">
        <f t="shared" si="539"/>
        <v>0</v>
      </c>
      <c r="BS537" s="49">
        <f t="shared" si="540"/>
        <v>0</v>
      </c>
      <c r="BT537" s="49">
        <f t="shared" si="541"/>
        <v>1</v>
      </c>
      <c r="BU537" s="49">
        <f t="shared" si="542"/>
        <v>0</v>
      </c>
      <c r="BV537" s="49">
        <f t="shared" si="543"/>
        <v>0</v>
      </c>
      <c r="BW537" s="49">
        <f t="shared" si="544"/>
        <v>0</v>
      </c>
    </row>
    <row r="538" spans="1:75" ht="35.1" customHeight="1" x14ac:dyDescent="0.3">
      <c r="A538" s="123" t="str">
        <f t="shared" si="545"/>
        <v>4팀</v>
      </c>
      <c r="B538" s="69">
        <f t="shared" si="546"/>
        <v>532</v>
      </c>
      <c r="C538" s="121" t="str">
        <f>IF(VLOOKUP($B538,'1. 현장별 인원현황'!$C:$J,2,0)=0,"",VLOOKUP($B538,'1. 현장별 인원현황'!$C:$J,2,0))</f>
        <v xml:space="preserve"> [4.롯데건설] 인천 효성지구 도시개발사업 공동주택 3BL</v>
      </c>
      <c r="D538" s="74" t="str">
        <f>IF(VLOOKUP($B538,'1. 현장별 인원현황'!$C:$J,3,0)=0,"",VLOOKUP($B538,'1. 현장별 인원현황'!$C:$J,3,0))</f>
        <v>양찬호</v>
      </c>
      <c r="E538" s="74" t="str">
        <f ca="1">IF(VLOOKUP($B538,'1. 현장별 인원현황'!$C:$J,4,0)=0,"",VLOOKUP($B538,'1. 현장별 인원현황'!$C:$J,4,0))</f>
        <v>26세</v>
      </c>
      <c r="F538" s="70" t="str">
        <f>IF(VLOOKUP($B538,'1. 현장별 인원현황'!$C:$J,7,0)=0,"",VLOOKUP($B538,'1. 현장별 인원현황'!$C:$J,7,0))</f>
        <v>공무</v>
      </c>
      <c r="G538" s="72" t="str">
        <f>IF(VLOOKUP($B538,'1. 현장별 인원현황'!$C:$J,8,0)=0,"",VLOOKUP($B538,'1. 현장별 인원현황'!$C:$J,8,0))</f>
        <v>대리</v>
      </c>
      <c r="H538" s="67" t="s">
        <v>69</v>
      </c>
      <c r="I538" s="73"/>
      <c r="J538" s="73"/>
      <c r="K538" s="68"/>
      <c r="L538" s="67" t="s">
        <v>69</v>
      </c>
      <c r="M538" s="73"/>
      <c r="N538" s="73"/>
      <c r="O538" s="68"/>
      <c r="P538" s="67" t="s">
        <v>69</v>
      </c>
      <c r="Q538" s="73"/>
      <c r="R538" s="73"/>
      <c r="S538" s="68"/>
      <c r="T538" s="67" t="s">
        <v>69</v>
      </c>
      <c r="U538" s="73"/>
      <c r="V538" s="73"/>
      <c r="W538" s="68"/>
      <c r="X538" s="67" t="s">
        <v>69</v>
      </c>
      <c r="Y538" s="73"/>
      <c r="Z538" s="73"/>
      <c r="AA538" s="68"/>
      <c r="AB538" s="67" t="s">
        <v>69</v>
      </c>
      <c r="AC538" s="73"/>
      <c r="AD538" s="73"/>
      <c r="AE538" s="68"/>
      <c r="AF538" s="67" t="s">
        <v>69</v>
      </c>
      <c r="AG538" s="73"/>
      <c r="AH538" s="73"/>
      <c r="AI538" s="68"/>
      <c r="AJ538" s="67" t="s">
        <v>69</v>
      </c>
      <c r="AK538" s="73"/>
      <c r="AL538" s="73"/>
      <c r="AM538" s="68"/>
      <c r="AN538" s="67">
        <f t="shared" si="547"/>
        <v>100</v>
      </c>
      <c r="AO538" s="68" t="str">
        <f t="shared" si="548"/>
        <v>S</v>
      </c>
      <c r="AR538" s="49">
        <f t="shared" si="513"/>
        <v>1</v>
      </c>
      <c r="AS538" s="49">
        <f t="shared" si="514"/>
        <v>0</v>
      </c>
      <c r="AT538" s="49">
        <f t="shared" si="515"/>
        <v>0</v>
      </c>
      <c r="AU538" s="49">
        <f t="shared" si="516"/>
        <v>0</v>
      </c>
      <c r="AV538" s="49">
        <f t="shared" si="517"/>
        <v>1</v>
      </c>
      <c r="AW538" s="49">
        <f t="shared" si="518"/>
        <v>0</v>
      </c>
      <c r="AX538" s="49">
        <f t="shared" si="519"/>
        <v>0</v>
      </c>
      <c r="AY538" s="49">
        <f t="shared" si="520"/>
        <v>0</v>
      </c>
      <c r="AZ538" s="49">
        <f t="shared" si="521"/>
        <v>1</v>
      </c>
      <c r="BA538" s="49">
        <f t="shared" si="522"/>
        <v>0</v>
      </c>
      <c r="BB538" s="49">
        <f t="shared" si="523"/>
        <v>0</v>
      </c>
      <c r="BC538" s="49">
        <f t="shared" si="524"/>
        <v>0</v>
      </c>
      <c r="BD538" s="49">
        <f t="shared" si="525"/>
        <v>1</v>
      </c>
      <c r="BE538" s="49">
        <f t="shared" si="526"/>
        <v>0</v>
      </c>
      <c r="BF538" s="49">
        <f t="shared" si="527"/>
        <v>0</v>
      </c>
      <c r="BG538" s="49">
        <f t="shared" si="528"/>
        <v>0</v>
      </c>
      <c r="BH538" s="49">
        <f t="shared" si="529"/>
        <v>1</v>
      </c>
      <c r="BI538" s="49">
        <f t="shared" si="530"/>
        <v>0</v>
      </c>
      <c r="BJ538" s="49">
        <f t="shared" si="531"/>
        <v>0</v>
      </c>
      <c r="BK538" s="49">
        <f t="shared" si="532"/>
        <v>0</v>
      </c>
      <c r="BL538" s="49">
        <f t="shared" si="533"/>
        <v>1</v>
      </c>
      <c r="BM538" s="49">
        <f t="shared" si="534"/>
        <v>0</v>
      </c>
      <c r="BN538" s="49">
        <f t="shared" si="535"/>
        <v>0</v>
      </c>
      <c r="BO538" s="49">
        <f t="shared" si="536"/>
        <v>0</v>
      </c>
      <c r="BP538" s="49">
        <f t="shared" si="537"/>
        <v>1</v>
      </c>
      <c r="BQ538" s="49">
        <f t="shared" si="538"/>
        <v>0</v>
      </c>
      <c r="BR538" s="49">
        <f t="shared" si="539"/>
        <v>0</v>
      </c>
      <c r="BS538" s="49">
        <f t="shared" si="540"/>
        <v>0</v>
      </c>
      <c r="BT538" s="49">
        <f t="shared" si="541"/>
        <v>1</v>
      </c>
      <c r="BU538" s="49">
        <f t="shared" si="542"/>
        <v>0</v>
      </c>
      <c r="BV538" s="49">
        <f t="shared" si="543"/>
        <v>0</v>
      </c>
      <c r="BW538" s="49">
        <f t="shared" si="544"/>
        <v>0</v>
      </c>
    </row>
    <row r="539" spans="1:75" ht="35.1" customHeight="1" x14ac:dyDescent="0.3">
      <c r="A539" s="123" t="str">
        <f t="shared" si="545"/>
        <v>4팀</v>
      </c>
      <c r="B539" s="69">
        <f t="shared" si="546"/>
        <v>533</v>
      </c>
      <c r="C539" s="121" t="str">
        <f>IF(VLOOKUP($B539,'1. 현장별 인원현황'!$C:$J,2,0)=0,"",VLOOKUP($B539,'1. 현장별 인원현황'!$C:$J,2,0))</f>
        <v xml:space="preserve"> [4.롯데건설] 인천 효성지구 도시개발사업 공동주택 3BL</v>
      </c>
      <c r="D539" s="74" t="str">
        <f>IF(VLOOKUP($B539,'1. 현장별 인원현황'!$C:$J,3,0)=0,"",VLOOKUP($B539,'1. 현장별 인원현황'!$C:$J,3,0))</f>
        <v>이선노</v>
      </c>
      <c r="E539" s="74" t="str">
        <f ca="1">IF(VLOOKUP($B539,'1. 현장별 인원현황'!$C:$J,4,0)=0,"",VLOOKUP($B539,'1. 현장별 인원현황'!$C:$J,4,0))</f>
        <v>62세</v>
      </c>
      <c r="F539" s="70" t="str">
        <f>IF(VLOOKUP($B539,'1. 현장별 인원현황'!$C:$J,7,0)=0,"",VLOOKUP($B539,'1. 현장별 인원현황'!$C:$J,7,0))</f>
        <v>공사</v>
      </c>
      <c r="G539" s="72" t="str">
        <f>IF(VLOOKUP($B539,'1. 현장별 인원현황'!$C:$J,8,0)=0,"",VLOOKUP($B539,'1. 현장별 인원현황'!$C:$J,8,0))</f>
        <v>차장</v>
      </c>
      <c r="H539" s="67" t="s">
        <v>69</v>
      </c>
      <c r="I539" s="73"/>
      <c r="J539" s="73"/>
      <c r="K539" s="68"/>
      <c r="L539" s="67" t="s">
        <v>69</v>
      </c>
      <c r="M539" s="73"/>
      <c r="N539" s="73"/>
      <c r="O539" s="68"/>
      <c r="P539" s="67" t="s">
        <v>69</v>
      </c>
      <c r="Q539" s="73"/>
      <c r="R539" s="73"/>
      <c r="S539" s="68"/>
      <c r="T539" s="67" t="s">
        <v>69</v>
      </c>
      <c r="U539" s="73"/>
      <c r="V539" s="73"/>
      <c r="W539" s="68"/>
      <c r="X539" s="67" t="s">
        <v>69</v>
      </c>
      <c r="Y539" s="73"/>
      <c r="Z539" s="73"/>
      <c r="AA539" s="68"/>
      <c r="AB539" s="67" t="s">
        <v>69</v>
      </c>
      <c r="AC539" s="73"/>
      <c r="AD539" s="73"/>
      <c r="AE539" s="68"/>
      <c r="AF539" s="67" t="s">
        <v>69</v>
      </c>
      <c r="AG539" s="73"/>
      <c r="AH539" s="73"/>
      <c r="AI539" s="68"/>
      <c r="AJ539" s="67" t="s">
        <v>69</v>
      </c>
      <c r="AK539" s="73"/>
      <c r="AL539" s="73"/>
      <c r="AM539" s="68"/>
      <c r="AN539" s="67">
        <f t="shared" si="547"/>
        <v>100</v>
      </c>
      <c r="AO539" s="68" t="str">
        <f t="shared" si="548"/>
        <v>S</v>
      </c>
      <c r="AR539" s="49">
        <f t="shared" si="513"/>
        <v>1</v>
      </c>
      <c r="AS539" s="49">
        <f t="shared" si="514"/>
        <v>0</v>
      </c>
      <c r="AT539" s="49">
        <f t="shared" si="515"/>
        <v>0</v>
      </c>
      <c r="AU539" s="49">
        <f t="shared" si="516"/>
        <v>0</v>
      </c>
      <c r="AV539" s="49">
        <f t="shared" si="517"/>
        <v>1</v>
      </c>
      <c r="AW539" s="49">
        <f t="shared" si="518"/>
        <v>0</v>
      </c>
      <c r="AX539" s="49">
        <f t="shared" si="519"/>
        <v>0</v>
      </c>
      <c r="AY539" s="49">
        <f t="shared" si="520"/>
        <v>0</v>
      </c>
      <c r="AZ539" s="49">
        <f t="shared" si="521"/>
        <v>1</v>
      </c>
      <c r="BA539" s="49">
        <f t="shared" si="522"/>
        <v>0</v>
      </c>
      <c r="BB539" s="49">
        <f t="shared" si="523"/>
        <v>0</v>
      </c>
      <c r="BC539" s="49">
        <f t="shared" si="524"/>
        <v>0</v>
      </c>
      <c r="BD539" s="49">
        <f t="shared" si="525"/>
        <v>1</v>
      </c>
      <c r="BE539" s="49">
        <f t="shared" si="526"/>
        <v>0</v>
      </c>
      <c r="BF539" s="49">
        <f t="shared" si="527"/>
        <v>0</v>
      </c>
      <c r="BG539" s="49">
        <f t="shared" si="528"/>
        <v>0</v>
      </c>
      <c r="BH539" s="49">
        <f t="shared" si="529"/>
        <v>1</v>
      </c>
      <c r="BI539" s="49">
        <f t="shared" si="530"/>
        <v>0</v>
      </c>
      <c r="BJ539" s="49">
        <f t="shared" si="531"/>
        <v>0</v>
      </c>
      <c r="BK539" s="49">
        <f t="shared" si="532"/>
        <v>0</v>
      </c>
      <c r="BL539" s="49">
        <f t="shared" si="533"/>
        <v>1</v>
      </c>
      <c r="BM539" s="49">
        <f t="shared" si="534"/>
        <v>0</v>
      </c>
      <c r="BN539" s="49">
        <f t="shared" si="535"/>
        <v>0</v>
      </c>
      <c r="BO539" s="49">
        <f t="shared" si="536"/>
        <v>0</v>
      </c>
      <c r="BP539" s="49">
        <f t="shared" si="537"/>
        <v>1</v>
      </c>
      <c r="BQ539" s="49">
        <f t="shared" si="538"/>
        <v>0</v>
      </c>
      <c r="BR539" s="49">
        <f t="shared" si="539"/>
        <v>0</v>
      </c>
      <c r="BS539" s="49">
        <f t="shared" si="540"/>
        <v>0</v>
      </c>
      <c r="BT539" s="49">
        <f t="shared" si="541"/>
        <v>1</v>
      </c>
      <c r="BU539" s="49">
        <f t="shared" si="542"/>
        <v>0</v>
      </c>
      <c r="BV539" s="49">
        <f t="shared" si="543"/>
        <v>0</v>
      </c>
      <c r="BW539" s="49">
        <f t="shared" si="544"/>
        <v>0</v>
      </c>
    </row>
    <row r="540" spans="1:75" ht="35.1" customHeight="1" x14ac:dyDescent="0.3">
      <c r="A540" s="123" t="str">
        <f t="shared" si="545"/>
        <v>4팀</v>
      </c>
      <c r="B540" s="69">
        <f t="shared" si="546"/>
        <v>534</v>
      </c>
      <c r="C540" s="121" t="str">
        <f>IF(VLOOKUP($B540,'1. 현장별 인원현황'!$C:$J,2,0)=0,"",VLOOKUP($B540,'1. 현장별 인원현황'!$C:$J,2,0))</f>
        <v xml:space="preserve"> [4.롯데건설] 인천 효성지구 도시개발사업 공동주택 3BL</v>
      </c>
      <c r="D540" s="74" t="str">
        <f>IF(VLOOKUP($B540,'1. 현장별 인원현황'!$C:$J,3,0)=0,"",VLOOKUP($B540,'1. 현장별 인원현황'!$C:$J,3,0))</f>
        <v>이진권</v>
      </c>
      <c r="E540" s="74" t="str">
        <f ca="1">IF(VLOOKUP($B540,'1. 현장별 인원현황'!$C:$J,4,0)=0,"",VLOOKUP($B540,'1. 현장별 인원현황'!$C:$J,4,0))</f>
        <v>62세</v>
      </c>
      <c r="F540" s="70" t="str">
        <f>IF(VLOOKUP($B540,'1. 현장별 인원현황'!$C:$J,7,0)=0,"",VLOOKUP($B540,'1. 현장별 인원현황'!$C:$J,7,0))</f>
        <v>공사</v>
      </c>
      <c r="G540" s="72" t="str">
        <f>IF(VLOOKUP($B540,'1. 현장별 인원현황'!$C:$J,8,0)=0,"",VLOOKUP($B540,'1. 현장별 인원현황'!$C:$J,8,0))</f>
        <v>과장</v>
      </c>
      <c r="H540" s="67" t="s">
        <v>69</v>
      </c>
      <c r="I540" s="73"/>
      <c r="J540" s="73"/>
      <c r="K540" s="68"/>
      <c r="L540" s="67" t="s">
        <v>69</v>
      </c>
      <c r="M540" s="73"/>
      <c r="N540" s="73"/>
      <c r="O540" s="68"/>
      <c r="P540" s="67" t="s">
        <v>69</v>
      </c>
      <c r="Q540" s="73"/>
      <c r="R540" s="73"/>
      <c r="S540" s="68"/>
      <c r="T540" s="67" t="s">
        <v>69</v>
      </c>
      <c r="U540" s="73"/>
      <c r="V540" s="73"/>
      <c r="W540" s="68"/>
      <c r="X540" s="67" t="s">
        <v>69</v>
      </c>
      <c r="Y540" s="73"/>
      <c r="Z540" s="73"/>
      <c r="AA540" s="68"/>
      <c r="AB540" s="67" t="s">
        <v>69</v>
      </c>
      <c r="AC540" s="73"/>
      <c r="AD540" s="73"/>
      <c r="AE540" s="68"/>
      <c r="AF540" s="67" t="s">
        <v>69</v>
      </c>
      <c r="AG540" s="73"/>
      <c r="AH540" s="73"/>
      <c r="AI540" s="68"/>
      <c r="AJ540" s="67" t="s">
        <v>69</v>
      </c>
      <c r="AK540" s="73"/>
      <c r="AL540" s="73"/>
      <c r="AM540" s="68"/>
      <c r="AN540" s="67">
        <f t="shared" si="547"/>
        <v>100</v>
      </c>
      <c r="AO540" s="68" t="str">
        <f t="shared" si="548"/>
        <v>S</v>
      </c>
      <c r="AR540" s="49">
        <f t="shared" si="513"/>
        <v>1</v>
      </c>
      <c r="AS540" s="49">
        <f t="shared" si="514"/>
        <v>0</v>
      </c>
      <c r="AT540" s="49">
        <f t="shared" si="515"/>
        <v>0</v>
      </c>
      <c r="AU540" s="49">
        <f t="shared" si="516"/>
        <v>0</v>
      </c>
      <c r="AV540" s="49">
        <f t="shared" si="517"/>
        <v>1</v>
      </c>
      <c r="AW540" s="49">
        <f t="shared" si="518"/>
        <v>0</v>
      </c>
      <c r="AX540" s="49">
        <f t="shared" si="519"/>
        <v>0</v>
      </c>
      <c r="AY540" s="49">
        <f t="shared" si="520"/>
        <v>0</v>
      </c>
      <c r="AZ540" s="49">
        <f t="shared" si="521"/>
        <v>1</v>
      </c>
      <c r="BA540" s="49">
        <f t="shared" si="522"/>
        <v>0</v>
      </c>
      <c r="BB540" s="49">
        <f t="shared" si="523"/>
        <v>0</v>
      </c>
      <c r="BC540" s="49">
        <f t="shared" si="524"/>
        <v>0</v>
      </c>
      <c r="BD540" s="49">
        <f t="shared" si="525"/>
        <v>1</v>
      </c>
      <c r="BE540" s="49">
        <f t="shared" si="526"/>
        <v>0</v>
      </c>
      <c r="BF540" s="49">
        <f t="shared" si="527"/>
        <v>0</v>
      </c>
      <c r="BG540" s="49">
        <f t="shared" si="528"/>
        <v>0</v>
      </c>
      <c r="BH540" s="49">
        <f t="shared" si="529"/>
        <v>1</v>
      </c>
      <c r="BI540" s="49">
        <f t="shared" si="530"/>
        <v>0</v>
      </c>
      <c r="BJ540" s="49">
        <f t="shared" si="531"/>
        <v>0</v>
      </c>
      <c r="BK540" s="49">
        <f t="shared" si="532"/>
        <v>0</v>
      </c>
      <c r="BL540" s="49">
        <f t="shared" si="533"/>
        <v>1</v>
      </c>
      <c r="BM540" s="49">
        <f t="shared" si="534"/>
        <v>0</v>
      </c>
      <c r="BN540" s="49">
        <f t="shared" si="535"/>
        <v>0</v>
      </c>
      <c r="BO540" s="49">
        <f t="shared" si="536"/>
        <v>0</v>
      </c>
      <c r="BP540" s="49">
        <f t="shared" si="537"/>
        <v>1</v>
      </c>
      <c r="BQ540" s="49">
        <f t="shared" si="538"/>
        <v>0</v>
      </c>
      <c r="BR540" s="49">
        <f t="shared" si="539"/>
        <v>0</v>
      </c>
      <c r="BS540" s="49">
        <f t="shared" si="540"/>
        <v>0</v>
      </c>
      <c r="BT540" s="49">
        <f t="shared" si="541"/>
        <v>1</v>
      </c>
      <c r="BU540" s="49">
        <f t="shared" si="542"/>
        <v>0</v>
      </c>
      <c r="BV540" s="49">
        <f t="shared" si="543"/>
        <v>0</v>
      </c>
      <c r="BW540" s="49">
        <f t="shared" si="544"/>
        <v>0</v>
      </c>
    </row>
    <row r="541" spans="1:75" ht="35.1" customHeight="1" x14ac:dyDescent="0.3">
      <c r="A541" s="123" t="str">
        <f t="shared" si="545"/>
        <v>4팀</v>
      </c>
      <c r="B541" s="69">
        <f t="shared" si="546"/>
        <v>535</v>
      </c>
      <c r="C541" s="121" t="str">
        <f>IF(VLOOKUP($B541,'1. 현장별 인원현황'!$C:$J,2,0)=0,"",VLOOKUP($B541,'1. 현장별 인원현황'!$C:$J,2,0))</f>
        <v xml:space="preserve"> [4.롯데건설] 인천 효성지구 도시개발사업 공동주택 3BL</v>
      </c>
      <c r="D541" s="74" t="str">
        <f>IF(VLOOKUP($B541,'1. 현장별 인원현황'!$C:$J,3,0)=0,"",VLOOKUP($B541,'1. 현장별 인원현황'!$C:$J,3,0))</f>
        <v>정종석</v>
      </c>
      <c r="E541" s="74" t="str">
        <f ca="1">IF(VLOOKUP($B541,'1. 현장별 인원현황'!$C:$J,4,0)=0,"",VLOOKUP($B541,'1. 현장별 인원현황'!$C:$J,4,0))</f>
        <v>66세</v>
      </c>
      <c r="F541" s="70" t="str">
        <f>IF(VLOOKUP($B541,'1. 현장별 인원현황'!$C:$J,7,0)=0,"",VLOOKUP($B541,'1. 현장별 인원현황'!$C:$J,7,0))</f>
        <v>기능공</v>
      </c>
      <c r="G541" s="72" t="str">
        <f>IF(VLOOKUP($B541,'1. 현장별 인원현황'!$C:$J,8,0)=0,"",VLOOKUP($B541,'1. 현장별 인원현황'!$C:$J,8,0))</f>
        <v>전공</v>
      </c>
      <c r="H541" s="67" t="s">
        <v>69</v>
      </c>
      <c r="I541" s="73"/>
      <c r="J541" s="73"/>
      <c r="K541" s="68"/>
      <c r="L541" s="67" t="s">
        <v>69</v>
      </c>
      <c r="M541" s="73"/>
      <c r="N541" s="73"/>
      <c r="O541" s="68"/>
      <c r="P541" s="67" t="s">
        <v>69</v>
      </c>
      <c r="Q541" s="73"/>
      <c r="R541" s="73"/>
      <c r="S541" s="68"/>
      <c r="T541" s="67" t="s">
        <v>69</v>
      </c>
      <c r="U541" s="73"/>
      <c r="V541" s="73"/>
      <c r="W541" s="68"/>
      <c r="X541" s="67" t="s">
        <v>69</v>
      </c>
      <c r="Y541" s="73"/>
      <c r="Z541" s="73"/>
      <c r="AA541" s="68"/>
      <c r="AB541" s="67" t="s">
        <v>69</v>
      </c>
      <c r="AC541" s="73"/>
      <c r="AD541" s="73"/>
      <c r="AE541" s="68"/>
      <c r="AF541" s="67" t="s">
        <v>69</v>
      </c>
      <c r="AG541" s="73"/>
      <c r="AH541" s="73"/>
      <c r="AI541" s="68"/>
      <c r="AJ541" s="67" t="s">
        <v>69</v>
      </c>
      <c r="AK541" s="73"/>
      <c r="AL541" s="73"/>
      <c r="AM541" s="68"/>
      <c r="AN541" s="67">
        <f t="shared" si="547"/>
        <v>100</v>
      </c>
      <c r="AO541" s="68" t="str">
        <f t="shared" si="548"/>
        <v>S</v>
      </c>
      <c r="AR541" s="49">
        <f t="shared" si="513"/>
        <v>1</v>
      </c>
      <c r="AS541" s="49">
        <f t="shared" si="514"/>
        <v>0</v>
      </c>
      <c r="AT541" s="49">
        <f t="shared" si="515"/>
        <v>0</v>
      </c>
      <c r="AU541" s="49">
        <f t="shared" si="516"/>
        <v>0</v>
      </c>
      <c r="AV541" s="49">
        <f t="shared" si="517"/>
        <v>1</v>
      </c>
      <c r="AW541" s="49">
        <f t="shared" si="518"/>
        <v>0</v>
      </c>
      <c r="AX541" s="49">
        <f t="shared" si="519"/>
        <v>0</v>
      </c>
      <c r="AY541" s="49">
        <f t="shared" si="520"/>
        <v>0</v>
      </c>
      <c r="AZ541" s="49">
        <f t="shared" si="521"/>
        <v>1</v>
      </c>
      <c r="BA541" s="49">
        <f t="shared" si="522"/>
        <v>0</v>
      </c>
      <c r="BB541" s="49">
        <f t="shared" si="523"/>
        <v>0</v>
      </c>
      <c r="BC541" s="49">
        <f t="shared" si="524"/>
        <v>0</v>
      </c>
      <c r="BD541" s="49">
        <f t="shared" si="525"/>
        <v>1</v>
      </c>
      <c r="BE541" s="49">
        <f t="shared" si="526"/>
        <v>0</v>
      </c>
      <c r="BF541" s="49">
        <f t="shared" si="527"/>
        <v>0</v>
      </c>
      <c r="BG541" s="49">
        <f t="shared" si="528"/>
        <v>0</v>
      </c>
      <c r="BH541" s="49">
        <f t="shared" si="529"/>
        <v>1</v>
      </c>
      <c r="BI541" s="49">
        <f t="shared" si="530"/>
        <v>0</v>
      </c>
      <c r="BJ541" s="49">
        <f t="shared" si="531"/>
        <v>0</v>
      </c>
      <c r="BK541" s="49">
        <f t="shared" si="532"/>
        <v>0</v>
      </c>
      <c r="BL541" s="49">
        <f t="shared" si="533"/>
        <v>1</v>
      </c>
      <c r="BM541" s="49">
        <f t="shared" si="534"/>
        <v>0</v>
      </c>
      <c r="BN541" s="49">
        <f t="shared" si="535"/>
        <v>0</v>
      </c>
      <c r="BO541" s="49">
        <f t="shared" si="536"/>
        <v>0</v>
      </c>
      <c r="BP541" s="49">
        <f t="shared" si="537"/>
        <v>1</v>
      </c>
      <c r="BQ541" s="49">
        <f t="shared" si="538"/>
        <v>0</v>
      </c>
      <c r="BR541" s="49">
        <f t="shared" si="539"/>
        <v>0</v>
      </c>
      <c r="BS541" s="49">
        <f t="shared" si="540"/>
        <v>0</v>
      </c>
      <c r="BT541" s="49">
        <f t="shared" si="541"/>
        <v>1</v>
      </c>
      <c r="BU541" s="49">
        <f t="shared" si="542"/>
        <v>0</v>
      </c>
      <c r="BV541" s="49">
        <f t="shared" si="543"/>
        <v>0</v>
      </c>
      <c r="BW541" s="49">
        <f t="shared" si="544"/>
        <v>0</v>
      </c>
    </row>
    <row r="542" spans="1:75" ht="35.1" customHeight="1" x14ac:dyDescent="0.3">
      <c r="A542" s="123" t="str">
        <f t="shared" si="545"/>
        <v>4팀</v>
      </c>
      <c r="B542" s="69">
        <f t="shared" si="546"/>
        <v>536</v>
      </c>
      <c r="C542" s="121" t="str">
        <f>IF(VLOOKUP($B542,'1. 현장별 인원현황'!$C:$J,2,0)=0,"",VLOOKUP($B542,'1. 현장별 인원현황'!$C:$J,2,0))</f>
        <v xml:space="preserve"> [4.롯데건설] 인천 효성지구 도시개발사업 공동주택 3BL</v>
      </c>
      <c r="D542" s="74" t="str">
        <f>IF(VLOOKUP($B542,'1. 현장별 인원현황'!$C:$J,3,0)=0,"",VLOOKUP($B542,'1. 현장별 인원현황'!$C:$J,3,0))</f>
        <v>유찬목</v>
      </c>
      <c r="E542" s="74" t="str">
        <f ca="1">IF(VLOOKUP($B542,'1. 현장별 인원현황'!$C:$J,4,0)=0,"",VLOOKUP($B542,'1. 현장별 인원현황'!$C:$J,4,0))</f>
        <v>52세</v>
      </c>
      <c r="F542" s="70" t="str">
        <f>IF(VLOOKUP($B542,'1. 현장별 인원현황'!$C:$J,7,0)=0,"",VLOOKUP($B542,'1. 현장별 인원현황'!$C:$J,7,0))</f>
        <v>기능공</v>
      </c>
      <c r="G542" s="72" t="str">
        <f>IF(VLOOKUP($B542,'1. 현장별 인원현황'!$C:$J,8,0)=0,"",VLOOKUP($B542,'1. 현장별 인원현황'!$C:$J,8,0))</f>
        <v>전공</v>
      </c>
      <c r="H542" s="67" t="s">
        <v>69</v>
      </c>
      <c r="I542" s="73"/>
      <c r="J542" s="73"/>
      <c r="K542" s="68"/>
      <c r="L542" s="67" t="s">
        <v>69</v>
      </c>
      <c r="M542" s="73"/>
      <c r="N542" s="73"/>
      <c r="O542" s="68"/>
      <c r="P542" s="67" t="s">
        <v>69</v>
      </c>
      <c r="Q542" s="73"/>
      <c r="R542" s="73"/>
      <c r="S542" s="68"/>
      <c r="T542" s="67" t="s">
        <v>69</v>
      </c>
      <c r="U542" s="73"/>
      <c r="V542" s="73"/>
      <c r="W542" s="68"/>
      <c r="X542" s="67" t="s">
        <v>69</v>
      </c>
      <c r="Y542" s="73"/>
      <c r="Z542" s="73"/>
      <c r="AA542" s="68"/>
      <c r="AB542" s="67" t="s">
        <v>69</v>
      </c>
      <c r="AC542" s="73"/>
      <c r="AD542" s="73"/>
      <c r="AE542" s="68"/>
      <c r="AF542" s="67" t="s">
        <v>69</v>
      </c>
      <c r="AG542" s="73"/>
      <c r="AH542" s="73"/>
      <c r="AI542" s="68"/>
      <c r="AJ542" s="67" t="s">
        <v>69</v>
      </c>
      <c r="AK542" s="73"/>
      <c r="AL542" s="73"/>
      <c r="AM542" s="68"/>
      <c r="AN542" s="67">
        <f t="shared" si="547"/>
        <v>100</v>
      </c>
      <c r="AO542" s="68" t="str">
        <f t="shared" si="548"/>
        <v>S</v>
      </c>
      <c r="AR542" s="49">
        <f t="shared" si="513"/>
        <v>1</v>
      </c>
      <c r="AS542" s="49">
        <f t="shared" si="514"/>
        <v>0</v>
      </c>
      <c r="AT542" s="49">
        <f t="shared" si="515"/>
        <v>0</v>
      </c>
      <c r="AU542" s="49">
        <f t="shared" si="516"/>
        <v>0</v>
      </c>
      <c r="AV542" s="49">
        <f t="shared" si="517"/>
        <v>1</v>
      </c>
      <c r="AW542" s="49">
        <f t="shared" si="518"/>
        <v>0</v>
      </c>
      <c r="AX542" s="49">
        <f t="shared" si="519"/>
        <v>0</v>
      </c>
      <c r="AY542" s="49">
        <f t="shared" si="520"/>
        <v>0</v>
      </c>
      <c r="AZ542" s="49">
        <f t="shared" si="521"/>
        <v>1</v>
      </c>
      <c r="BA542" s="49">
        <f t="shared" si="522"/>
        <v>0</v>
      </c>
      <c r="BB542" s="49">
        <f t="shared" si="523"/>
        <v>0</v>
      </c>
      <c r="BC542" s="49">
        <f t="shared" si="524"/>
        <v>0</v>
      </c>
      <c r="BD542" s="49">
        <f t="shared" si="525"/>
        <v>1</v>
      </c>
      <c r="BE542" s="49">
        <f t="shared" si="526"/>
        <v>0</v>
      </c>
      <c r="BF542" s="49">
        <f t="shared" si="527"/>
        <v>0</v>
      </c>
      <c r="BG542" s="49">
        <f t="shared" si="528"/>
        <v>0</v>
      </c>
      <c r="BH542" s="49">
        <f t="shared" si="529"/>
        <v>1</v>
      </c>
      <c r="BI542" s="49">
        <f t="shared" si="530"/>
        <v>0</v>
      </c>
      <c r="BJ542" s="49">
        <f t="shared" si="531"/>
        <v>0</v>
      </c>
      <c r="BK542" s="49">
        <f t="shared" si="532"/>
        <v>0</v>
      </c>
      <c r="BL542" s="49">
        <f t="shared" si="533"/>
        <v>1</v>
      </c>
      <c r="BM542" s="49">
        <f t="shared" si="534"/>
        <v>0</v>
      </c>
      <c r="BN542" s="49">
        <f t="shared" si="535"/>
        <v>0</v>
      </c>
      <c r="BO542" s="49">
        <f t="shared" si="536"/>
        <v>0</v>
      </c>
      <c r="BP542" s="49">
        <f t="shared" si="537"/>
        <v>1</v>
      </c>
      <c r="BQ542" s="49">
        <f t="shared" si="538"/>
        <v>0</v>
      </c>
      <c r="BR542" s="49">
        <f t="shared" si="539"/>
        <v>0</v>
      </c>
      <c r="BS542" s="49">
        <f t="shared" si="540"/>
        <v>0</v>
      </c>
      <c r="BT542" s="49">
        <f t="shared" si="541"/>
        <v>1</v>
      </c>
      <c r="BU542" s="49">
        <f t="shared" si="542"/>
        <v>0</v>
      </c>
      <c r="BV542" s="49">
        <f t="shared" si="543"/>
        <v>0</v>
      </c>
      <c r="BW542" s="49">
        <f t="shared" si="544"/>
        <v>0</v>
      </c>
    </row>
    <row r="543" spans="1:75" ht="35.1" customHeight="1" x14ac:dyDescent="0.3">
      <c r="A543" s="123" t="str">
        <f t="shared" si="545"/>
        <v>4팀</v>
      </c>
      <c r="B543" s="69">
        <f t="shared" si="546"/>
        <v>537</v>
      </c>
      <c r="C543" s="121" t="str">
        <f>IF(VLOOKUP($B543,'1. 현장별 인원현황'!$C:$J,2,0)=0,"",VLOOKUP($B543,'1. 현장별 인원현황'!$C:$J,2,0))</f>
        <v xml:space="preserve"> [4.롯데건설] 인천 효성지구 도시개발사업 공동주택 3BL</v>
      </c>
      <c r="D543" s="74" t="str">
        <f>IF(VLOOKUP($B543,'1. 현장별 인원현황'!$C:$J,3,0)=0,"",VLOOKUP($B543,'1. 현장별 인원현황'!$C:$J,3,0))</f>
        <v>김기태</v>
      </c>
      <c r="E543" s="74" t="str">
        <f ca="1">IF(VLOOKUP($B543,'1. 현장별 인원현황'!$C:$J,4,0)=0,"",VLOOKUP($B543,'1. 현장별 인원현황'!$C:$J,4,0))</f>
        <v>51세</v>
      </c>
      <c r="F543" s="70" t="str">
        <f>IF(VLOOKUP($B543,'1. 현장별 인원현황'!$C:$J,7,0)=0,"",VLOOKUP($B543,'1. 현장별 인원현황'!$C:$J,7,0))</f>
        <v>기능공</v>
      </c>
      <c r="G543" s="72" t="str">
        <f>IF(VLOOKUP($B543,'1. 현장별 인원현황'!$C:$J,8,0)=0,"",VLOOKUP($B543,'1. 현장별 인원현황'!$C:$J,8,0))</f>
        <v>전공</v>
      </c>
      <c r="H543" s="67" t="s">
        <v>69</v>
      </c>
      <c r="I543" s="73"/>
      <c r="J543" s="73"/>
      <c r="K543" s="68"/>
      <c r="L543" s="67" t="s">
        <v>69</v>
      </c>
      <c r="M543" s="73"/>
      <c r="N543" s="73"/>
      <c r="O543" s="68"/>
      <c r="P543" s="67" t="s">
        <v>69</v>
      </c>
      <c r="Q543" s="73"/>
      <c r="R543" s="73"/>
      <c r="S543" s="68"/>
      <c r="T543" s="67" t="s">
        <v>69</v>
      </c>
      <c r="U543" s="73"/>
      <c r="V543" s="73"/>
      <c r="W543" s="68"/>
      <c r="X543" s="67" t="s">
        <v>69</v>
      </c>
      <c r="Y543" s="73"/>
      <c r="Z543" s="73"/>
      <c r="AA543" s="68"/>
      <c r="AB543" s="67" t="s">
        <v>69</v>
      </c>
      <c r="AC543" s="73"/>
      <c r="AD543" s="73"/>
      <c r="AE543" s="68"/>
      <c r="AF543" s="67" t="s">
        <v>69</v>
      </c>
      <c r="AG543" s="73"/>
      <c r="AH543" s="73"/>
      <c r="AI543" s="68"/>
      <c r="AJ543" s="67" t="s">
        <v>69</v>
      </c>
      <c r="AK543" s="73"/>
      <c r="AL543" s="73"/>
      <c r="AM543" s="68"/>
      <c r="AN543" s="67">
        <f t="shared" si="547"/>
        <v>100</v>
      </c>
      <c r="AO543" s="68" t="str">
        <f t="shared" si="548"/>
        <v>S</v>
      </c>
      <c r="AR543" s="49">
        <f t="shared" si="513"/>
        <v>1</v>
      </c>
      <c r="AS543" s="49">
        <f t="shared" si="514"/>
        <v>0</v>
      </c>
      <c r="AT543" s="49">
        <f t="shared" si="515"/>
        <v>0</v>
      </c>
      <c r="AU543" s="49">
        <f t="shared" si="516"/>
        <v>0</v>
      </c>
      <c r="AV543" s="49">
        <f t="shared" si="517"/>
        <v>1</v>
      </c>
      <c r="AW543" s="49">
        <f t="shared" si="518"/>
        <v>0</v>
      </c>
      <c r="AX543" s="49">
        <f t="shared" si="519"/>
        <v>0</v>
      </c>
      <c r="AY543" s="49">
        <f t="shared" si="520"/>
        <v>0</v>
      </c>
      <c r="AZ543" s="49">
        <f t="shared" si="521"/>
        <v>1</v>
      </c>
      <c r="BA543" s="49">
        <f t="shared" si="522"/>
        <v>0</v>
      </c>
      <c r="BB543" s="49">
        <f t="shared" si="523"/>
        <v>0</v>
      </c>
      <c r="BC543" s="49">
        <f t="shared" si="524"/>
        <v>0</v>
      </c>
      <c r="BD543" s="49">
        <f t="shared" si="525"/>
        <v>1</v>
      </c>
      <c r="BE543" s="49">
        <f t="shared" si="526"/>
        <v>0</v>
      </c>
      <c r="BF543" s="49">
        <f t="shared" si="527"/>
        <v>0</v>
      </c>
      <c r="BG543" s="49">
        <f t="shared" si="528"/>
        <v>0</v>
      </c>
      <c r="BH543" s="49">
        <f t="shared" si="529"/>
        <v>1</v>
      </c>
      <c r="BI543" s="49">
        <f t="shared" si="530"/>
        <v>0</v>
      </c>
      <c r="BJ543" s="49">
        <f t="shared" si="531"/>
        <v>0</v>
      </c>
      <c r="BK543" s="49">
        <f t="shared" si="532"/>
        <v>0</v>
      </c>
      <c r="BL543" s="49">
        <f t="shared" si="533"/>
        <v>1</v>
      </c>
      <c r="BM543" s="49">
        <f t="shared" si="534"/>
        <v>0</v>
      </c>
      <c r="BN543" s="49">
        <f t="shared" si="535"/>
        <v>0</v>
      </c>
      <c r="BO543" s="49">
        <f t="shared" si="536"/>
        <v>0</v>
      </c>
      <c r="BP543" s="49">
        <f t="shared" si="537"/>
        <v>1</v>
      </c>
      <c r="BQ543" s="49">
        <f t="shared" si="538"/>
        <v>0</v>
      </c>
      <c r="BR543" s="49">
        <f t="shared" si="539"/>
        <v>0</v>
      </c>
      <c r="BS543" s="49">
        <f t="shared" si="540"/>
        <v>0</v>
      </c>
      <c r="BT543" s="49">
        <f t="shared" si="541"/>
        <v>1</v>
      </c>
      <c r="BU543" s="49">
        <f t="shared" si="542"/>
        <v>0</v>
      </c>
      <c r="BV543" s="49">
        <f t="shared" si="543"/>
        <v>0</v>
      </c>
      <c r="BW543" s="49">
        <f t="shared" si="544"/>
        <v>0</v>
      </c>
    </row>
    <row r="544" spans="1:75" ht="35.1" customHeight="1" x14ac:dyDescent="0.3">
      <c r="A544" s="123" t="str">
        <f t="shared" si="545"/>
        <v>4팀</v>
      </c>
      <c r="B544" s="69">
        <f t="shared" si="546"/>
        <v>538</v>
      </c>
      <c r="C544" s="121" t="str">
        <f>IF(VLOOKUP($B544,'1. 현장별 인원현황'!$C:$J,2,0)=0,"",VLOOKUP($B544,'1. 현장별 인원현황'!$C:$J,2,0))</f>
        <v xml:space="preserve"> [4.롯데건설] 인천 효성지구 도시개발사업 공동주택 3BL</v>
      </c>
      <c r="D544" s="74" t="str">
        <f>IF(VLOOKUP($B544,'1. 현장별 인원현황'!$C:$J,3,0)=0,"",VLOOKUP($B544,'1. 현장별 인원현황'!$C:$J,3,0))</f>
        <v>김정제</v>
      </c>
      <c r="E544" s="74" t="str">
        <f ca="1">IF(VLOOKUP($B544,'1. 현장별 인원현황'!$C:$J,4,0)=0,"",VLOOKUP($B544,'1. 현장별 인원현황'!$C:$J,4,0))</f>
        <v>51세</v>
      </c>
      <c r="F544" s="70" t="str">
        <f>IF(VLOOKUP($B544,'1. 현장별 인원현황'!$C:$J,7,0)=0,"",VLOOKUP($B544,'1. 현장별 인원현황'!$C:$J,7,0))</f>
        <v>기능공</v>
      </c>
      <c r="G544" s="72" t="str">
        <f>IF(VLOOKUP($B544,'1. 현장별 인원현황'!$C:$J,8,0)=0,"",VLOOKUP($B544,'1. 현장별 인원현황'!$C:$J,8,0))</f>
        <v>전공</v>
      </c>
      <c r="H544" s="67" t="s">
        <v>69</v>
      </c>
      <c r="I544" s="73"/>
      <c r="J544" s="73"/>
      <c r="K544" s="68"/>
      <c r="L544" s="67" t="s">
        <v>69</v>
      </c>
      <c r="M544" s="73"/>
      <c r="N544" s="73"/>
      <c r="O544" s="68"/>
      <c r="P544" s="67" t="s">
        <v>69</v>
      </c>
      <c r="Q544" s="73"/>
      <c r="R544" s="73"/>
      <c r="S544" s="68"/>
      <c r="T544" s="67" t="s">
        <v>69</v>
      </c>
      <c r="U544" s="73"/>
      <c r="V544" s="73"/>
      <c r="W544" s="68"/>
      <c r="X544" s="67" t="s">
        <v>69</v>
      </c>
      <c r="Y544" s="73"/>
      <c r="Z544" s="73"/>
      <c r="AA544" s="68"/>
      <c r="AB544" s="67" t="s">
        <v>69</v>
      </c>
      <c r="AC544" s="73"/>
      <c r="AD544" s="73"/>
      <c r="AE544" s="68"/>
      <c r="AF544" s="67" t="s">
        <v>69</v>
      </c>
      <c r="AG544" s="73"/>
      <c r="AH544" s="73"/>
      <c r="AI544" s="68"/>
      <c r="AJ544" s="67" t="s">
        <v>69</v>
      </c>
      <c r="AK544" s="73"/>
      <c r="AL544" s="73"/>
      <c r="AM544" s="68"/>
      <c r="AN544" s="67">
        <f t="shared" si="547"/>
        <v>100</v>
      </c>
      <c r="AO544" s="68" t="str">
        <f t="shared" si="548"/>
        <v>S</v>
      </c>
      <c r="AR544" s="49">
        <f t="shared" si="513"/>
        <v>1</v>
      </c>
      <c r="AS544" s="49">
        <f t="shared" si="514"/>
        <v>0</v>
      </c>
      <c r="AT544" s="49">
        <f t="shared" si="515"/>
        <v>0</v>
      </c>
      <c r="AU544" s="49">
        <f t="shared" si="516"/>
        <v>0</v>
      </c>
      <c r="AV544" s="49">
        <f t="shared" si="517"/>
        <v>1</v>
      </c>
      <c r="AW544" s="49">
        <f t="shared" si="518"/>
        <v>0</v>
      </c>
      <c r="AX544" s="49">
        <f t="shared" si="519"/>
        <v>0</v>
      </c>
      <c r="AY544" s="49">
        <f t="shared" si="520"/>
        <v>0</v>
      </c>
      <c r="AZ544" s="49">
        <f t="shared" si="521"/>
        <v>1</v>
      </c>
      <c r="BA544" s="49">
        <f t="shared" si="522"/>
        <v>0</v>
      </c>
      <c r="BB544" s="49">
        <f t="shared" si="523"/>
        <v>0</v>
      </c>
      <c r="BC544" s="49">
        <f t="shared" si="524"/>
        <v>0</v>
      </c>
      <c r="BD544" s="49">
        <f t="shared" si="525"/>
        <v>1</v>
      </c>
      <c r="BE544" s="49">
        <f t="shared" si="526"/>
        <v>0</v>
      </c>
      <c r="BF544" s="49">
        <f t="shared" si="527"/>
        <v>0</v>
      </c>
      <c r="BG544" s="49">
        <f t="shared" si="528"/>
        <v>0</v>
      </c>
      <c r="BH544" s="49">
        <f t="shared" si="529"/>
        <v>1</v>
      </c>
      <c r="BI544" s="49">
        <f t="shared" si="530"/>
        <v>0</v>
      </c>
      <c r="BJ544" s="49">
        <f t="shared" si="531"/>
        <v>0</v>
      </c>
      <c r="BK544" s="49">
        <f t="shared" si="532"/>
        <v>0</v>
      </c>
      <c r="BL544" s="49">
        <f t="shared" si="533"/>
        <v>1</v>
      </c>
      <c r="BM544" s="49">
        <f t="shared" si="534"/>
        <v>0</v>
      </c>
      <c r="BN544" s="49">
        <f t="shared" si="535"/>
        <v>0</v>
      </c>
      <c r="BO544" s="49">
        <f t="shared" si="536"/>
        <v>0</v>
      </c>
      <c r="BP544" s="49">
        <f t="shared" si="537"/>
        <v>1</v>
      </c>
      <c r="BQ544" s="49">
        <f t="shared" si="538"/>
        <v>0</v>
      </c>
      <c r="BR544" s="49">
        <f t="shared" si="539"/>
        <v>0</v>
      </c>
      <c r="BS544" s="49">
        <f t="shared" si="540"/>
        <v>0</v>
      </c>
      <c r="BT544" s="49">
        <f t="shared" si="541"/>
        <v>1</v>
      </c>
      <c r="BU544" s="49">
        <f t="shared" si="542"/>
        <v>0</v>
      </c>
      <c r="BV544" s="49">
        <f t="shared" si="543"/>
        <v>0</v>
      </c>
      <c r="BW544" s="49">
        <f t="shared" si="544"/>
        <v>0</v>
      </c>
    </row>
    <row r="545" spans="1:75" ht="35.1" customHeight="1" x14ac:dyDescent="0.3">
      <c r="A545" s="123" t="str">
        <f t="shared" si="545"/>
        <v>4팀</v>
      </c>
      <c r="B545" s="69">
        <f t="shared" si="546"/>
        <v>539</v>
      </c>
      <c r="C545" s="121" t="str">
        <f>IF(VLOOKUP($B545,'1. 현장별 인원현황'!$C:$J,2,0)=0,"",VLOOKUP($B545,'1. 현장별 인원현황'!$C:$J,2,0))</f>
        <v xml:space="preserve"> [4.롯데건설] 인천 효성지구 도시개발사업 공동주택 3BL</v>
      </c>
      <c r="D545" s="74" t="str">
        <f>IF(VLOOKUP($B545,'1. 현장별 인원현황'!$C:$J,3,0)=0,"",VLOOKUP($B545,'1. 현장별 인원현황'!$C:$J,3,0))</f>
        <v>김영일</v>
      </c>
      <c r="E545" s="74" t="str">
        <f ca="1">IF(VLOOKUP($B545,'1. 현장별 인원현황'!$C:$J,4,0)=0,"",VLOOKUP($B545,'1. 현장별 인원현황'!$C:$J,4,0))</f>
        <v>47세</v>
      </c>
      <c r="F545" s="70" t="str">
        <f>IF(VLOOKUP($B545,'1. 현장별 인원현황'!$C:$J,7,0)=0,"",VLOOKUP($B545,'1. 현장별 인원현황'!$C:$J,7,0))</f>
        <v>기능공</v>
      </c>
      <c r="G545" s="72" t="str">
        <f>IF(VLOOKUP($B545,'1. 현장별 인원현황'!$C:$J,8,0)=0,"",VLOOKUP($B545,'1. 현장별 인원현황'!$C:$J,8,0))</f>
        <v>조공</v>
      </c>
      <c r="H545" s="67" t="s">
        <v>69</v>
      </c>
      <c r="I545" s="73"/>
      <c r="J545" s="73"/>
      <c r="K545" s="68"/>
      <c r="L545" s="67" t="s">
        <v>69</v>
      </c>
      <c r="M545" s="73"/>
      <c r="N545" s="73"/>
      <c r="O545" s="68"/>
      <c r="P545" s="67" t="s">
        <v>69</v>
      </c>
      <c r="Q545" s="73"/>
      <c r="R545" s="73"/>
      <c r="S545" s="68"/>
      <c r="T545" s="67" t="s">
        <v>69</v>
      </c>
      <c r="U545" s="73"/>
      <c r="V545" s="73"/>
      <c r="W545" s="68"/>
      <c r="X545" s="67" t="s">
        <v>69</v>
      </c>
      <c r="Y545" s="73"/>
      <c r="Z545" s="73"/>
      <c r="AA545" s="68"/>
      <c r="AB545" s="67" t="s">
        <v>69</v>
      </c>
      <c r="AC545" s="73"/>
      <c r="AD545" s="73"/>
      <c r="AE545" s="68"/>
      <c r="AF545" s="67" t="s">
        <v>69</v>
      </c>
      <c r="AG545" s="73"/>
      <c r="AH545" s="73"/>
      <c r="AI545" s="68"/>
      <c r="AJ545" s="67" t="s">
        <v>69</v>
      </c>
      <c r="AK545" s="73"/>
      <c r="AL545" s="73"/>
      <c r="AM545" s="68"/>
      <c r="AN545" s="67">
        <f t="shared" si="547"/>
        <v>100</v>
      </c>
      <c r="AO545" s="68" t="str">
        <f t="shared" si="548"/>
        <v>S</v>
      </c>
      <c r="AR545" s="49">
        <f t="shared" si="513"/>
        <v>1</v>
      </c>
      <c r="AS545" s="49">
        <f t="shared" si="514"/>
        <v>0</v>
      </c>
      <c r="AT545" s="49">
        <f t="shared" si="515"/>
        <v>0</v>
      </c>
      <c r="AU545" s="49">
        <f t="shared" si="516"/>
        <v>0</v>
      </c>
      <c r="AV545" s="49">
        <f t="shared" si="517"/>
        <v>1</v>
      </c>
      <c r="AW545" s="49">
        <f t="shared" si="518"/>
        <v>0</v>
      </c>
      <c r="AX545" s="49">
        <f t="shared" si="519"/>
        <v>0</v>
      </c>
      <c r="AY545" s="49">
        <f t="shared" si="520"/>
        <v>0</v>
      </c>
      <c r="AZ545" s="49">
        <f t="shared" si="521"/>
        <v>1</v>
      </c>
      <c r="BA545" s="49">
        <f t="shared" si="522"/>
        <v>0</v>
      </c>
      <c r="BB545" s="49">
        <f t="shared" si="523"/>
        <v>0</v>
      </c>
      <c r="BC545" s="49">
        <f t="shared" si="524"/>
        <v>0</v>
      </c>
      <c r="BD545" s="49">
        <f t="shared" si="525"/>
        <v>1</v>
      </c>
      <c r="BE545" s="49">
        <f t="shared" si="526"/>
        <v>0</v>
      </c>
      <c r="BF545" s="49">
        <f t="shared" si="527"/>
        <v>0</v>
      </c>
      <c r="BG545" s="49">
        <f t="shared" si="528"/>
        <v>0</v>
      </c>
      <c r="BH545" s="49">
        <f t="shared" si="529"/>
        <v>1</v>
      </c>
      <c r="BI545" s="49">
        <f t="shared" si="530"/>
        <v>0</v>
      </c>
      <c r="BJ545" s="49">
        <f t="shared" si="531"/>
        <v>0</v>
      </c>
      <c r="BK545" s="49">
        <f t="shared" si="532"/>
        <v>0</v>
      </c>
      <c r="BL545" s="49">
        <f t="shared" si="533"/>
        <v>1</v>
      </c>
      <c r="BM545" s="49">
        <f t="shared" si="534"/>
        <v>0</v>
      </c>
      <c r="BN545" s="49">
        <f t="shared" si="535"/>
        <v>0</v>
      </c>
      <c r="BO545" s="49">
        <f t="shared" si="536"/>
        <v>0</v>
      </c>
      <c r="BP545" s="49">
        <f t="shared" si="537"/>
        <v>1</v>
      </c>
      <c r="BQ545" s="49">
        <f t="shared" si="538"/>
        <v>0</v>
      </c>
      <c r="BR545" s="49">
        <f t="shared" si="539"/>
        <v>0</v>
      </c>
      <c r="BS545" s="49">
        <f t="shared" si="540"/>
        <v>0</v>
      </c>
      <c r="BT545" s="49">
        <f t="shared" si="541"/>
        <v>1</v>
      </c>
      <c r="BU545" s="49">
        <f t="shared" si="542"/>
        <v>0</v>
      </c>
      <c r="BV545" s="49">
        <f t="shared" si="543"/>
        <v>0</v>
      </c>
      <c r="BW545" s="49">
        <f t="shared" si="544"/>
        <v>0</v>
      </c>
    </row>
    <row r="546" spans="1:75" ht="35.1" customHeight="1" x14ac:dyDescent="0.3">
      <c r="A546" s="123" t="str">
        <f t="shared" si="545"/>
        <v>4팀</v>
      </c>
      <c r="B546" s="69">
        <f t="shared" si="546"/>
        <v>540</v>
      </c>
      <c r="C546" s="121" t="str">
        <f>IF(VLOOKUP($B546,'1. 현장별 인원현황'!$C:$J,2,0)=0,"",VLOOKUP($B546,'1. 현장별 인원현황'!$C:$J,2,0))</f>
        <v xml:space="preserve"> [4.롯데건설] 인천 효성지구 도시개발사업 공동주택 3BL</v>
      </c>
      <c r="D546" s="74" t="str">
        <f>IF(VLOOKUP($B546,'1. 현장별 인원현황'!$C:$J,3,0)=0,"",VLOOKUP($B546,'1. 현장별 인원현황'!$C:$J,3,0))</f>
        <v>황영기</v>
      </c>
      <c r="E546" s="74" t="str">
        <f ca="1">IF(VLOOKUP($B546,'1. 현장별 인원현황'!$C:$J,4,0)=0,"",VLOOKUP($B546,'1. 현장별 인원현황'!$C:$J,4,0))</f>
        <v>55세</v>
      </c>
      <c r="F546" s="70" t="str">
        <f>IF(VLOOKUP($B546,'1. 현장별 인원현황'!$C:$J,7,0)=0,"",VLOOKUP($B546,'1. 현장별 인원현황'!$C:$J,7,0))</f>
        <v>기능공</v>
      </c>
      <c r="G546" s="72" t="str">
        <f>IF(VLOOKUP($B546,'1. 현장별 인원현황'!$C:$J,8,0)=0,"",VLOOKUP($B546,'1. 현장별 인원현황'!$C:$J,8,0))</f>
        <v>조공</v>
      </c>
      <c r="H546" s="67" t="s">
        <v>69</v>
      </c>
      <c r="I546" s="73"/>
      <c r="J546" s="73"/>
      <c r="K546" s="68"/>
      <c r="L546" s="67" t="s">
        <v>69</v>
      </c>
      <c r="M546" s="73"/>
      <c r="N546" s="73"/>
      <c r="O546" s="68"/>
      <c r="P546" s="67" t="s">
        <v>69</v>
      </c>
      <c r="Q546" s="73"/>
      <c r="R546" s="73"/>
      <c r="S546" s="68"/>
      <c r="T546" s="67" t="s">
        <v>69</v>
      </c>
      <c r="U546" s="73"/>
      <c r="V546" s="73"/>
      <c r="W546" s="68"/>
      <c r="X546" s="67" t="s">
        <v>69</v>
      </c>
      <c r="Y546" s="73"/>
      <c r="Z546" s="73"/>
      <c r="AA546" s="68"/>
      <c r="AB546" s="67" t="s">
        <v>69</v>
      </c>
      <c r="AC546" s="73"/>
      <c r="AD546" s="73"/>
      <c r="AE546" s="68"/>
      <c r="AF546" s="67" t="s">
        <v>69</v>
      </c>
      <c r="AG546" s="73"/>
      <c r="AH546" s="73"/>
      <c r="AI546" s="68"/>
      <c r="AJ546" s="67" t="s">
        <v>69</v>
      </c>
      <c r="AK546" s="73"/>
      <c r="AL546" s="73"/>
      <c r="AM546" s="68"/>
      <c r="AN546" s="67">
        <f t="shared" si="547"/>
        <v>100</v>
      </c>
      <c r="AO546" s="68" t="str">
        <f t="shared" si="548"/>
        <v>S</v>
      </c>
      <c r="AR546" s="49">
        <f t="shared" si="513"/>
        <v>1</v>
      </c>
      <c r="AS546" s="49">
        <f t="shared" si="514"/>
        <v>0</v>
      </c>
      <c r="AT546" s="49">
        <f t="shared" si="515"/>
        <v>0</v>
      </c>
      <c r="AU546" s="49">
        <f t="shared" si="516"/>
        <v>0</v>
      </c>
      <c r="AV546" s="49">
        <f t="shared" si="517"/>
        <v>1</v>
      </c>
      <c r="AW546" s="49">
        <f t="shared" si="518"/>
        <v>0</v>
      </c>
      <c r="AX546" s="49">
        <f t="shared" si="519"/>
        <v>0</v>
      </c>
      <c r="AY546" s="49">
        <f t="shared" si="520"/>
        <v>0</v>
      </c>
      <c r="AZ546" s="49">
        <f t="shared" si="521"/>
        <v>1</v>
      </c>
      <c r="BA546" s="49">
        <f t="shared" si="522"/>
        <v>0</v>
      </c>
      <c r="BB546" s="49">
        <f t="shared" si="523"/>
        <v>0</v>
      </c>
      <c r="BC546" s="49">
        <f t="shared" si="524"/>
        <v>0</v>
      </c>
      <c r="BD546" s="49">
        <f t="shared" si="525"/>
        <v>1</v>
      </c>
      <c r="BE546" s="49">
        <f t="shared" si="526"/>
        <v>0</v>
      </c>
      <c r="BF546" s="49">
        <f t="shared" si="527"/>
        <v>0</v>
      </c>
      <c r="BG546" s="49">
        <f t="shared" si="528"/>
        <v>0</v>
      </c>
      <c r="BH546" s="49">
        <f t="shared" si="529"/>
        <v>1</v>
      </c>
      <c r="BI546" s="49">
        <f t="shared" si="530"/>
        <v>0</v>
      </c>
      <c r="BJ546" s="49">
        <f t="shared" si="531"/>
        <v>0</v>
      </c>
      <c r="BK546" s="49">
        <f t="shared" si="532"/>
        <v>0</v>
      </c>
      <c r="BL546" s="49">
        <f t="shared" si="533"/>
        <v>1</v>
      </c>
      <c r="BM546" s="49">
        <f t="shared" si="534"/>
        <v>0</v>
      </c>
      <c r="BN546" s="49">
        <f t="shared" si="535"/>
        <v>0</v>
      </c>
      <c r="BO546" s="49">
        <f t="shared" si="536"/>
        <v>0</v>
      </c>
      <c r="BP546" s="49">
        <f t="shared" si="537"/>
        <v>1</v>
      </c>
      <c r="BQ546" s="49">
        <f t="shared" si="538"/>
        <v>0</v>
      </c>
      <c r="BR546" s="49">
        <f t="shared" si="539"/>
        <v>0</v>
      </c>
      <c r="BS546" s="49">
        <f t="shared" si="540"/>
        <v>0</v>
      </c>
      <c r="BT546" s="49">
        <f t="shared" si="541"/>
        <v>1</v>
      </c>
      <c r="BU546" s="49">
        <f t="shared" si="542"/>
        <v>0</v>
      </c>
      <c r="BV546" s="49">
        <f t="shared" si="543"/>
        <v>0</v>
      </c>
      <c r="BW546" s="49">
        <f t="shared" si="544"/>
        <v>0</v>
      </c>
    </row>
    <row r="547" spans="1:75" ht="35.1" customHeight="1" x14ac:dyDescent="0.3">
      <c r="A547" s="123" t="str">
        <f t="shared" si="545"/>
        <v>4팀</v>
      </c>
      <c r="B547" s="69">
        <f t="shared" si="546"/>
        <v>541</v>
      </c>
      <c r="C547" s="121" t="str">
        <f>IF(VLOOKUP($B547,'1. 현장별 인원현황'!$C:$J,2,0)=0,"",VLOOKUP($B547,'1. 현장별 인원현황'!$C:$J,2,0))</f>
        <v xml:space="preserve"> [4.롯데건설] 인천 효성지구 도시개발사업 공동주택 3BL</v>
      </c>
      <c r="D547" s="74" t="str">
        <f>IF(VLOOKUP($B547,'1. 현장별 인원현황'!$C:$J,3,0)=0,"",VLOOKUP($B547,'1. 현장별 인원현황'!$C:$J,3,0))</f>
        <v>김인화</v>
      </c>
      <c r="E547" s="74" t="str">
        <f ca="1">IF(VLOOKUP($B547,'1. 현장별 인원현황'!$C:$J,4,0)=0,"",VLOOKUP($B547,'1. 현장별 인원현황'!$C:$J,4,0))</f>
        <v>57세</v>
      </c>
      <c r="F547" s="70" t="str">
        <f>IF(VLOOKUP($B547,'1. 현장별 인원현황'!$C:$J,7,0)=0,"",VLOOKUP($B547,'1. 현장별 인원현황'!$C:$J,7,0))</f>
        <v>기능공</v>
      </c>
      <c r="G547" s="72" t="str">
        <f>IF(VLOOKUP($B547,'1. 현장별 인원현황'!$C:$J,8,0)=0,"",VLOOKUP($B547,'1. 현장별 인원현황'!$C:$J,8,0))</f>
        <v>조공</v>
      </c>
      <c r="H547" s="67" t="s">
        <v>69</v>
      </c>
      <c r="I547" s="73"/>
      <c r="J547" s="73"/>
      <c r="K547" s="68"/>
      <c r="L547" s="67" t="s">
        <v>69</v>
      </c>
      <c r="M547" s="73"/>
      <c r="N547" s="73"/>
      <c r="O547" s="68"/>
      <c r="P547" s="67" t="s">
        <v>69</v>
      </c>
      <c r="Q547" s="73"/>
      <c r="R547" s="73"/>
      <c r="S547" s="68"/>
      <c r="T547" s="67" t="s">
        <v>69</v>
      </c>
      <c r="U547" s="73"/>
      <c r="V547" s="73"/>
      <c r="W547" s="68"/>
      <c r="X547" s="67" t="s">
        <v>69</v>
      </c>
      <c r="Y547" s="73"/>
      <c r="Z547" s="73"/>
      <c r="AA547" s="68"/>
      <c r="AB547" s="67" t="s">
        <v>69</v>
      </c>
      <c r="AC547" s="73"/>
      <c r="AD547" s="73"/>
      <c r="AE547" s="68"/>
      <c r="AF547" s="67" t="s">
        <v>69</v>
      </c>
      <c r="AG547" s="73"/>
      <c r="AH547" s="73"/>
      <c r="AI547" s="68"/>
      <c r="AJ547" s="67" t="s">
        <v>69</v>
      </c>
      <c r="AK547" s="73"/>
      <c r="AL547" s="73"/>
      <c r="AM547" s="68"/>
      <c r="AN547" s="67">
        <f t="shared" si="547"/>
        <v>100</v>
      </c>
      <c r="AO547" s="68" t="str">
        <f t="shared" si="548"/>
        <v>S</v>
      </c>
      <c r="AR547" s="49">
        <f t="shared" si="513"/>
        <v>1</v>
      </c>
      <c r="AS547" s="49">
        <f t="shared" si="514"/>
        <v>0</v>
      </c>
      <c r="AT547" s="49">
        <f t="shared" si="515"/>
        <v>0</v>
      </c>
      <c r="AU547" s="49">
        <f t="shared" si="516"/>
        <v>0</v>
      </c>
      <c r="AV547" s="49">
        <f t="shared" si="517"/>
        <v>1</v>
      </c>
      <c r="AW547" s="49">
        <f t="shared" si="518"/>
        <v>0</v>
      </c>
      <c r="AX547" s="49">
        <f t="shared" si="519"/>
        <v>0</v>
      </c>
      <c r="AY547" s="49">
        <f t="shared" si="520"/>
        <v>0</v>
      </c>
      <c r="AZ547" s="49">
        <f t="shared" si="521"/>
        <v>1</v>
      </c>
      <c r="BA547" s="49">
        <f t="shared" si="522"/>
        <v>0</v>
      </c>
      <c r="BB547" s="49">
        <f t="shared" si="523"/>
        <v>0</v>
      </c>
      <c r="BC547" s="49">
        <f t="shared" si="524"/>
        <v>0</v>
      </c>
      <c r="BD547" s="49">
        <f t="shared" si="525"/>
        <v>1</v>
      </c>
      <c r="BE547" s="49">
        <f t="shared" si="526"/>
        <v>0</v>
      </c>
      <c r="BF547" s="49">
        <f t="shared" si="527"/>
        <v>0</v>
      </c>
      <c r="BG547" s="49">
        <f t="shared" si="528"/>
        <v>0</v>
      </c>
      <c r="BH547" s="49">
        <f t="shared" si="529"/>
        <v>1</v>
      </c>
      <c r="BI547" s="49">
        <f t="shared" si="530"/>
        <v>0</v>
      </c>
      <c r="BJ547" s="49">
        <f t="shared" si="531"/>
        <v>0</v>
      </c>
      <c r="BK547" s="49">
        <f t="shared" si="532"/>
        <v>0</v>
      </c>
      <c r="BL547" s="49">
        <f t="shared" si="533"/>
        <v>1</v>
      </c>
      <c r="BM547" s="49">
        <f t="shared" si="534"/>
        <v>0</v>
      </c>
      <c r="BN547" s="49">
        <f t="shared" si="535"/>
        <v>0</v>
      </c>
      <c r="BO547" s="49">
        <f t="shared" si="536"/>
        <v>0</v>
      </c>
      <c r="BP547" s="49">
        <f t="shared" si="537"/>
        <v>1</v>
      </c>
      <c r="BQ547" s="49">
        <f t="shared" si="538"/>
        <v>0</v>
      </c>
      <c r="BR547" s="49">
        <f t="shared" si="539"/>
        <v>0</v>
      </c>
      <c r="BS547" s="49">
        <f t="shared" si="540"/>
        <v>0</v>
      </c>
      <c r="BT547" s="49">
        <f t="shared" si="541"/>
        <v>1</v>
      </c>
      <c r="BU547" s="49">
        <f t="shared" si="542"/>
        <v>0</v>
      </c>
      <c r="BV547" s="49">
        <f t="shared" si="543"/>
        <v>0</v>
      </c>
      <c r="BW547" s="49">
        <f t="shared" si="544"/>
        <v>0</v>
      </c>
    </row>
    <row r="548" spans="1:75" ht="35.1" customHeight="1" x14ac:dyDescent="0.3">
      <c r="A548" s="123" t="str">
        <f t="shared" si="545"/>
        <v>5팀</v>
      </c>
      <c r="B548" s="69">
        <f t="shared" si="546"/>
        <v>542</v>
      </c>
      <c r="C548" s="121" t="str">
        <f>IF(VLOOKUP($B548,'1. 현장별 인원현황'!$C:$J,2,0)=0,"",VLOOKUP($B548,'1. 현장별 인원현황'!$C:$J,2,0))</f>
        <v xml:space="preserve"> [5.SG신성건설] 판교 SG세계물산 사옥 신축공사</v>
      </c>
      <c r="D548" s="74" t="str">
        <f>IF(VLOOKUP($B548,'1. 현장별 인원현황'!$C:$J,3,0)=0,"",VLOOKUP($B548,'1. 현장별 인원현황'!$C:$J,3,0))</f>
        <v>염병근</v>
      </c>
      <c r="E548" s="74" t="str">
        <f ca="1">IF(VLOOKUP($B548,'1. 현장별 인원현황'!$C:$J,4,0)=0,"",VLOOKUP($B548,'1. 현장별 인원현황'!$C:$J,4,0))</f>
        <v>56세</v>
      </c>
      <c r="F548" s="70" t="str">
        <f>IF(VLOOKUP($B548,'1. 현장별 인원현황'!$C:$J,7,0)=0,"",VLOOKUP($B548,'1. 현장별 인원현황'!$C:$J,7,0))</f>
        <v>공사</v>
      </c>
      <c r="G548" s="72" t="str">
        <f>IF(VLOOKUP($B548,'1. 현장별 인원현황'!$C:$J,8,0)=0,"",VLOOKUP($B548,'1. 현장별 인원현황'!$C:$J,8,0))</f>
        <v>차장</v>
      </c>
      <c r="H548" s="67" t="s">
        <v>69</v>
      </c>
      <c r="I548" s="73"/>
      <c r="J548" s="73"/>
      <c r="K548" s="68"/>
      <c r="L548" s="67"/>
      <c r="M548" s="73" t="s">
        <v>69</v>
      </c>
      <c r="N548" s="73"/>
      <c r="O548" s="68"/>
      <c r="P548" s="67" t="s">
        <v>69</v>
      </c>
      <c r="Q548" s="73"/>
      <c r="R548" s="73"/>
      <c r="S548" s="68"/>
      <c r="T548" s="67"/>
      <c r="U548" s="73" t="s">
        <v>69</v>
      </c>
      <c r="V548" s="73"/>
      <c r="W548" s="68"/>
      <c r="X548" s="67" t="s">
        <v>69</v>
      </c>
      <c r="Y548" s="73"/>
      <c r="Z548" s="73"/>
      <c r="AA548" s="68"/>
      <c r="AB548" s="67" t="s">
        <v>69</v>
      </c>
      <c r="AC548" s="73"/>
      <c r="AD548" s="73"/>
      <c r="AE548" s="68"/>
      <c r="AF548" s="67"/>
      <c r="AG548" s="73" t="s">
        <v>69</v>
      </c>
      <c r="AH548" s="73"/>
      <c r="AI548" s="68"/>
      <c r="AJ548" s="67" t="s">
        <v>69</v>
      </c>
      <c r="AK548" s="73"/>
      <c r="AL548" s="73"/>
      <c r="AM548" s="68"/>
      <c r="AN548" s="67">
        <f t="shared" si="547"/>
        <v>89</v>
      </c>
      <c r="AO548" s="68" t="str">
        <f t="shared" si="548"/>
        <v>S</v>
      </c>
      <c r="AR548" s="49">
        <f t="shared" si="513"/>
        <v>1</v>
      </c>
      <c r="AS548" s="49">
        <f t="shared" si="514"/>
        <v>0</v>
      </c>
      <c r="AT548" s="49">
        <f t="shared" si="515"/>
        <v>0</v>
      </c>
      <c r="AU548" s="49">
        <f t="shared" si="516"/>
        <v>0</v>
      </c>
      <c r="AV548" s="49">
        <f t="shared" si="517"/>
        <v>0</v>
      </c>
      <c r="AW548" s="49">
        <f t="shared" si="518"/>
        <v>1</v>
      </c>
      <c r="AX548" s="49">
        <f t="shared" si="519"/>
        <v>0</v>
      </c>
      <c r="AY548" s="49">
        <f t="shared" si="520"/>
        <v>0</v>
      </c>
      <c r="AZ548" s="49">
        <f t="shared" si="521"/>
        <v>1</v>
      </c>
      <c r="BA548" s="49">
        <f t="shared" si="522"/>
        <v>0</v>
      </c>
      <c r="BB548" s="49">
        <f t="shared" si="523"/>
        <v>0</v>
      </c>
      <c r="BC548" s="49">
        <f t="shared" si="524"/>
        <v>0</v>
      </c>
      <c r="BD548" s="49">
        <f t="shared" si="525"/>
        <v>0</v>
      </c>
      <c r="BE548" s="49">
        <f t="shared" si="526"/>
        <v>1</v>
      </c>
      <c r="BF548" s="49">
        <f t="shared" si="527"/>
        <v>0</v>
      </c>
      <c r="BG548" s="49">
        <f t="shared" si="528"/>
        <v>0</v>
      </c>
      <c r="BH548" s="49">
        <f t="shared" si="529"/>
        <v>1</v>
      </c>
      <c r="BI548" s="49">
        <f t="shared" si="530"/>
        <v>0</v>
      </c>
      <c r="BJ548" s="49">
        <f t="shared" si="531"/>
        <v>0</v>
      </c>
      <c r="BK548" s="49">
        <f t="shared" si="532"/>
        <v>0</v>
      </c>
      <c r="BL548" s="49">
        <f t="shared" si="533"/>
        <v>1</v>
      </c>
      <c r="BM548" s="49">
        <f t="shared" si="534"/>
        <v>0</v>
      </c>
      <c r="BN548" s="49">
        <f t="shared" si="535"/>
        <v>0</v>
      </c>
      <c r="BO548" s="49">
        <f t="shared" si="536"/>
        <v>0</v>
      </c>
      <c r="BP548" s="49">
        <f t="shared" si="537"/>
        <v>0</v>
      </c>
      <c r="BQ548" s="49">
        <f t="shared" si="538"/>
        <v>1</v>
      </c>
      <c r="BR548" s="49">
        <f t="shared" si="539"/>
        <v>0</v>
      </c>
      <c r="BS548" s="49">
        <f t="shared" si="540"/>
        <v>0</v>
      </c>
      <c r="BT548" s="49">
        <f t="shared" si="541"/>
        <v>1</v>
      </c>
      <c r="BU548" s="49">
        <f t="shared" si="542"/>
        <v>0</v>
      </c>
      <c r="BV548" s="49">
        <f t="shared" si="543"/>
        <v>0</v>
      </c>
      <c r="BW548" s="49">
        <f t="shared" si="544"/>
        <v>0</v>
      </c>
    </row>
    <row r="549" spans="1:75" ht="35.1" customHeight="1" x14ac:dyDescent="0.3">
      <c r="A549" s="123" t="str">
        <f t="shared" si="545"/>
        <v>5팀</v>
      </c>
      <c r="B549" s="69">
        <f t="shared" si="546"/>
        <v>543</v>
      </c>
      <c r="C549" s="121" t="str">
        <f>IF(VLOOKUP($B549,'1. 현장별 인원현황'!$C:$J,2,0)=0,"",VLOOKUP($B549,'1. 현장별 인원현황'!$C:$J,2,0))</f>
        <v xml:space="preserve"> [5.SG신성건설] 판교 SG세계물산 사옥 신축공사</v>
      </c>
      <c r="D549" s="74" t="str">
        <f>IF(VLOOKUP($B549,'1. 현장별 인원현황'!$C:$J,3,0)=0,"",VLOOKUP($B549,'1. 현장별 인원현황'!$C:$J,3,0))</f>
        <v>이수진</v>
      </c>
      <c r="E549" s="74" t="str">
        <f ca="1">IF(VLOOKUP($B549,'1. 현장별 인원현황'!$C:$J,4,0)=0,"",VLOOKUP($B549,'1. 현장별 인원현황'!$C:$J,4,0))</f>
        <v>32세</v>
      </c>
      <c r="F549" s="70" t="str">
        <f>IF(VLOOKUP($B549,'1. 현장별 인원현황'!$C:$J,7,0)=0,"",VLOOKUP($B549,'1. 현장별 인원현황'!$C:$J,7,0))</f>
        <v>공무</v>
      </c>
      <c r="G549" s="72" t="str">
        <f>IF(VLOOKUP($B549,'1. 현장별 인원현황'!$C:$J,8,0)=0,"",VLOOKUP($B549,'1. 현장별 인원현황'!$C:$J,8,0))</f>
        <v>대리</v>
      </c>
      <c r="H549" s="67" t="s">
        <v>69</v>
      </c>
      <c r="I549" s="73"/>
      <c r="J549" s="73"/>
      <c r="K549" s="68"/>
      <c r="L549" s="67"/>
      <c r="M549" s="73" t="s">
        <v>69</v>
      </c>
      <c r="N549" s="73"/>
      <c r="O549" s="68"/>
      <c r="P549" s="67" t="s">
        <v>69</v>
      </c>
      <c r="Q549" s="73"/>
      <c r="R549" s="73"/>
      <c r="S549" s="68"/>
      <c r="T549" s="67"/>
      <c r="U549" s="73" t="s">
        <v>69</v>
      </c>
      <c r="V549" s="73"/>
      <c r="W549" s="68"/>
      <c r="X549" s="67" t="s">
        <v>69</v>
      </c>
      <c r="Y549" s="73"/>
      <c r="Z549" s="73"/>
      <c r="AA549" s="68"/>
      <c r="AB549" s="67"/>
      <c r="AC549" s="73" t="s">
        <v>69</v>
      </c>
      <c r="AD549" s="73"/>
      <c r="AE549" s="68"/>
      <c r="AF549" s="67"/>
      <c r="AG549" s="73" t="s">
        <v>69</v>
      </c>
      <c r="AH549" s="73"/>
      <c r="AI549" s="68"/>
      <c r="AJ549" s="67" t="s">
        <v>69</v>
      </c>
      <c r="AK549" s="73"/>
      <c r="AL549" s="73"/>
      <c r="AM549" s="68"/>
      <c r="AN549" s="67">
        <f t="shared" si="547"/>
        <v>87</v>
      </c>
      <c r="AO549" s="68" t="str">
        <f t="shared" si="548"/>
        <v>S</v>
      </c>
      <c r="AR549" s="49">
        <f t="shared" si="513"/>
        <v>1</v>
      </c>
      <c r="AS549" s="49">
        <f t="shared" si="514"/>
        <v>0</v>
      </c>
      <c r="AT549" s="49">
        <f t="shared" si="515"/>
        <v>0</v>
      </c>
      <c r="AU549" s="49">
        <f t="shared" si="516"/>
        <v>0</v>
      </c>
      <c r="AV549" s="49">
        <f t="shared" si="517"/>
        <v>0</v>
      </c>
      <c r="AW549" s="49">
        <f t="shared" si="518"/>
        <v>1</v>
      </c>
      <c r="AX549" s="49">
        <f t="shared" si="519"/>
        <v>0</v>
      </c>
      <c r="AY549" s="49">
        <f t="shared" si="520"/>
        <v>0</v>
      </c>
      <c r="AZ549" s="49">
        <f t="shared" si="521"/>
        <v>1</v>
      </c>
      <c r="BA549" s="49">
        <f t="shared" si="522"/>
        <v>0</v>
      </c>
      <c r="BB549" s="49">
        <f t="shared" si="523"/>
        <v>0</v>
      </c>
      <c r="BC549" s="49">
        <f t="shared" si="524"/>
        <v>0</v>
      </c>
      <c r="BD549" s="49">
        <f t="shared" si="525"/>
        <v>0</v>
      </c>
      <c r="BE549" s="49">
        <f t="shared" si="526"/>
        <v>1</v>
      </c>
      <c r="BF549" s="49">
        <f t="shared" si="527"/>
        <v>0</v>
      </c>
      <c r="BG549" s="49">
        <f t="shared" si="528"/>
        <v>0</v>
      </c>
      <c r="BH549" s="49">
        <f t="shared" si="529"/>
        <v>1</v>
      </c>
      <c r="BI549" s="49">
        <f t="shared" si="530"/>
        <v>0</v>
      </c>
      <c r="BJ549" s="49">
        <f t="shared" si="531"/>
        <v>0</v>
      </c>
      <c r="BK549" s="49">
        <f t="shared" si="532"/>
        <v>0</v>
      </c>
      <c r="BL549" s="49">
        <f t="shared" si="533"/>
        <v>0</v>
      </c>
      <c r="BM549" s="49">
        <f t="shared" si="534"/>
        <v>1</v>
      </c>
      <c r="BN549" s="49">
        <f t="shared" si="535"/>
        <v>0</v>
      </c>
      <c r="BO549" s="49">
        <f t="shared" si="536"/>
        <v>0</v>
      </c>
      <c r="BP549" s="49">
        <f t="shared" si="537"/>
        <v>0</v>
      </c>
      <c r="BQ549" s="49">
        <f t="shared" si="538"/>
        <v>1</v>
      </c>
      <c r="BR549" s="49">
        <f t="shared" si="539"/>
        <v>0</v>
      </c>
      <c r="BS549" s="49">
        <f t="shared" si="540"/>
        <v>0</v>
      </c>
      <c r="BT549" s="49">
        <f t="shared" si="541"/>
        <v>1</v>
      </c>
      <c r="BU549" s="49">
        <f t="shared" si="542"/>
        <v>0</v>
      </c>
      <c r="BV549" s="49">
        <f t="shared" si="543"/>
        <v>0</v>
      </c>
      <c r="BW549" s="49">
        <f t="shared" si="544"/>
        <v>0</v>
      </c>
    </row>
    <row r="550" spans="1:75" ht="35.1" customHeight="1" x14ac:dyDescent="0.3">
      <c r="A550" s="123" t="str">
        <f t="shared" si="545"/>
        <v>5팀</v>
      </c>
      <c r="B550" s="69">
        <f t="shared" si="546"/>
        <v>544</v>
      </c>
      <c r="C550" s="121" t="str">
        <f>IF(VLOOKUP($B550,'1. 현장별 인원현황'!$C:$J,2,0)=0,"",VLOOKUP($B550,'1. 현장별 인원현황'!$C:$J,2,0))</f>
        <v xml:space="preserve"> [5.SG신성건설] 판교 SG세계물산 사옥 신축공사</v>
      </c>
      <c r="D550" s="74" t="str">
        <f>IF(VLOOKUP($B550,'1. 현장별 인원현황'!$C:$J,3,0)=0,"",VLOOKUP($B550,'1. 현장별 인원현황'!$C:$J,3,0))</f>
        <v>유병일</v>
      </c>
      <c r="E550" s="74" t="str">
        <f ca="1">IF(VLOOKUP($B550,'1. 현장별 인원현황'!$C:$J,4,0)=0,"",VLOOKUP($B550,'1. 현장별 인원현황'!$C:$J,4,0))</f>
        <v>54세</v>
      </c>
      <c r="F550" s="70" t="str">
        <f>IF(VLOOKUP($B550,'1. 현장별 인원현황'!$C:$J,7,0)=0,"",VLOOKUP($B550,'1. 현장별 인원현황'!$C:$J,7,0))</f>
        <v>기능공</v>
      </c>
      <c r="G550" s="72" t="str">
        <f>IF(VLOOKUP($B550,'1. 현장별 인원현황'!$C:$J,8,0)=0,"",VLOOKUP($B550,'1. 현장별 인원현황'!$C:$J,8,0))</f>
        <v>전공</v>
      </c>
      <c r="H550" s="67" t="s">
        <v>69</v>
      </c>
      <c r="I550" s="73"/>
      <c r="J550" s="73"/>
      <c r="K550" s="68"/>
      <c r="L550" s="67"/>
      <c r="M550" s="73" t="s">
        <v>69</v>
      </c>
      <c r="N550" s="73"/>
      <c r="O550" s="68"/>
      <c r="P550" s="67" t="s">
        <v>69</v>
      </c>
      <c r="Q550" s="73"/>
      <c r="R550" s="73"/>
      <c r="S550" s="68"/>
      <c r="T550" s="67" t="s">
        <v>69</v>
      </c>
      <c r="U550" s="73"/>
      <c r="V550" s="73"/>
      <c r="W550" s="68"/>
      <c r="X550" s="67" t="s">
        <v>69</v>
      </c>
      <c r="Y550" s="73"/>
      <c r="Z550" s="73"/>
      <c r="AA550" s="68"/>
      <c r="AB550" s="67" t="s">
        <v>69</v>
      </c>
      <c r="AC550" s="73"/>
      <c r="AD550" s="73"/>
      <c r="AE550" s="68"/>
      <c r="AF550" s="67" t="s">
        <v>69</v>
      </c>
      <c r="AG550" s="73"/>
      <c r="AH550" s="73"/>
      <c r="AI550" s="68"/>
      <c r="AJ550" s="67" t="s">
        <v>69</v>
      </c>
      <c r="AK550" s="73"/>
      <c r="AL550" s="73"/>
      <c r="AM550" s="68"/>
      <c r="AN550" s="67">
        <f t="shared" si="547"/>
        <v>96</v>
      </c>
      <c r="AO550" s="68" t="str">
        <f t="shared" si="548"/>
        <v>S</v>
      </c>
      <c r="AR550" s="49">
        <f t="shared" si="513"/>
        <v>1</v>
      </c>
      <c r="AS550" s="49">
        <f t="shared" si="514"/>
        <v>0</v>
      </c>
      <c r="AT550" s="49">
        <f t="shared" si="515"/>
        <v>0</v>
      </c>
      <c r="AU550" s="49">
        <f t="shared" si="516"/>
        <v>0</v>
      </c>
      <c r="AV550" s="49">
        <f t="shared" si="517"/>
        <v>0</v>
      </c>
      <c r="AW550" s="49">
        <f t="shared" si="518"/>
        <v>1</v>
      </c>
      <c r="AX550" s="49">
        <f t="shared" si="519"/>
        <v>0</v>
      </c>
      <c r="AY550" s="49">
        <f t="shared" si="520"/>
        <v>0</v>
      </c>
      <c r="AZ550" s="49">
        <f t="shared" si="521"/>
        <v>1</v>
      </c>
      <c r="BA550" s="49">
        <f t="shared" si="522"/>
        <v>0</v>
      </c>
      <c r="BB550" s="49">
        <f t="shared" si="523"/>
        <v>0</v>
      </c>
      <c r="BC550" s="49">
        <f t="shared" si="524"/>
        <v>0</v>
      </c>
      <c r="BD550" s="49">
        <f t="shared" si="525"/>
        <v>1</v>
      </c>
      <c r="BE550" s="49">
        <f t="shared" si="526"/>
        <v>0</v>
      </c>
      <c r="BF550" s="49">
        <f t="shared" si="527"/>
        <v>0</v>
      </c>
      <c r="BG550" s="49">
        <f t="shared" si="528"/>
        <v>0</v>
      </c>
      <c r="BH550" s="49">
        <f t="shared" si="529"/>
        <v>1</v>
      </c>
      <c r="BI550" s="49">
        <f t="shared" si="530"/>
        <v>0</v>
      </c>
      <c r="BJ550" s="49">
        <f t="shared" si="531"/>
        <v>0</v>
      </c>
      <c r="BK550" s="49">
        <f t="shared" si="532"/>
        <v>0</v>
      </c>
      <c r="BL550" s="49">
        <f t="shared" si="533"/>
        <v>1</v>
      </c>
      <c r="BM550" s="49">
        <f t="shared" si="534"/>
        <v>0</v>
      </c>
      <c r="BN550" s="49">
        <f t="shared" si="535"/>
        <v>0</v>
      </c>
      <c r="BO550" s="49">
        <f t="shared" si="536"/>
        <v>0</v>
      </c>
      <c r="BP550" s="49">
        <f t="shared" si="537"/>
        <v>1</v>
      </c>
      <c r="BQ550" s="49">
        <f t="shared" si="538"/>
        <v>0</v>
      </c>
      <c r="BR550" s="49">
        <f t="shared" si="539"/>
        <v>0</v>
      </c>
      <c r="BS550" s="49">
        <f t="shared" si="540"/>
        <v>0</v>
      </c>
      <c r="BT550" s="49">
        <f t="shared" si="541"/>
        <v>1</v>
      </c>
      <c r="BU550" s="49">
        <f t="shared" si="542"/>
        <v>0</v>
      </c>
      <c r="BV550" s="49">
        <f t="shared" si="543"/>
        <v>0</v>
      </c>
      <c r="BW550" s="49">
        <f t="shared" si="544"/>
        <v>0</v>
      </c>
    </row>
    <row r="551" spans="1:75" ht="35.1" customHeight="1" x14ac:dyDescent="0.3">
      <c r="A551" s="123" t="str">
        <f t="shared" si="545"/>
        <v>5팀</v>
      </c>
      <c r="B551" s="69">
        <f t="shared" si="546"/>
        <v>545</v>
      </c>
      <c r="C551" s="121" t="str">
        <f>IF(VLOOKUP($B551,'1. 현장별 인원현황'!$C:$J,2,0)=0,"",VLOOKUP($B551,'1. 현장별 인원현황'!$C:$J,2,0))</f>
        <v xml:space="preserve"> [5.SG신성건설] 판교 SG세계물산 사옥 신축공사</v>
      </c>
      <c r="D551" s="74" t="str">
        <f>IF(VLOOKUP($B551,'1. 현장별 인원현황'!$C:$J,3,0)=0,"",VLOOKUP($B551,'1. 현장별 인원현황'!$C:$J,3,0))</f>
        <v>박재용</v>
      </c>
      <c r="E551" s="74" t="str">
        <f ca="1">IF(VLOOKUP($B551,'1. 현장별 인원현황'!$C:$J,4,0)=0,"",VLOOKUP($B551,'1. 현장별 인원현황'!$C:$J,4,0))</f>
        <v>53세</v>
      </c>
      <c r="F551" s="70" t="str">
        <f>IF(VLOOKUP($B551,'1. 현장별 인원현황'!$C:$J,7,0)=0,"",VLOOKUP($B551,'1. 현장별 인원현황'!$C:$J,7,0))</f>
        <v>기능공</v>
      </c>
      <c r="G551" s="72" t="str">
        <f>IF(VLOOKUP($B551,'1. 현장별 인원현황'!$C:$J,8,0)=0,"",VLOOKUP($B551,'1. 현장별 인원현황'!$C:$J,8,0))</f>
        <v>전공</v>
      </c>
      <c r="H551" s="67" t="s">
        <v>69</v>
      </c>
      <c r="I551" s="73"/>
      <c r="J551" s="73"/>
      <c r="K551" s="68"/>
      <c r="L551" s="67"/>
      <c r="M551" s="73" t="s">
        <v>69</v>
      </c>
      <c r="N551" s="73"/>
      <c r="O551" s="68"/>
      <c r="P551" s="67" t="s">
        <v>69</v>
      </c>
      <c r="Q551" s="73"/>
      <c r="R551" s="73"/>
      <c r="S551" s="68"/>
      <c r="T551" s="67"/>
      <c r="U551" s="73" t="s">
        <v>69</v>
      </c>
      <c r="V551" s="73"/>
      <c r="W551" s="68"/>
      <c r="X551" s="67" t="s">
        <v>69</v>
      </c>
      <c r="Y551" s="73"/>
      <c r="Z551" s="73"/>
      <c r="AA551" s="68"/>
      <c r="AB551" s="67"/>
      <c r="AC551" s="73" t="s">
        <v>69</v>
      </c>
      <c r="AD551" s="73"/>
      <c r="AE551" s="68"/>
      <c r="AF551" s="67"/>
      <c r="AG551" s="73" t="s">
        <v>69</v>
      </c>
      <c r="AH551" s="73"/>
      <c r="AI551" s="68"/>
      <c r="AJ551" s="67" t="s">
        <v>69</v>
      </c>
      <c r="AK551" s="73"/>
      <c r="AL551" s="73"/>
      <c r="AM551" s="68"/>
      <c r="AN551" s="67">
        <f t="shared" si="547"/>
        <v>87</v>
      </c>
      <c r="AO551" s="68" t="str">
        <f t="shared" si="548"/>
        <v>S</v>
      </c>
      <c r="AR551" s="49">
        <f t="shared" si="513"/>
        <v>1</v>
      </c>
      <c r="AS551" s="49">
        <f t="shared" si="514"/>
        <v>0</v>
      </c>
      <c r="AT551" s="49">
        <f t="shared" si="515"/>
        <v>0</v>
      </c>
      <c r="AU551" s="49">
        <f t="shared" si="516"/>
        <v>0</v>
      </c>
      <c r="AV551" s="49">
        <f t="shared" si="517"/>
        <v>0</v>
      </c>
      <c r="AW551" s="49">
        <f t="shared" si="518"/>
        <v>1</v>
      </c>
      <c r="AX551" s="49">
        <f t="shared" si="519"/>
        <v>0</v>
      </c>
      <c r="AY551" s="49">
        <f t="shared" si="520"/>
        <v>0</v>
      </c>
      <c r="AZ551" s="49">
        <f t="shared" si="521"/>
        <v>1</v>
      </c>
      <c r="BA551" s="49">
        <f t="shared" si="522"/>
        <v>0</v>
      </c>
      <c r="BB551" s="49">
        <f t="shared" si="523"/>
        <v>0</v>
      </c>
      <c r="BC551" s="49">
        <f t="shared" si="524"/>
        <v>0</v>
      </c>
      <c r="BD551" s="49">
        <f t="shared" si="525"/>
        <v>0</v>
      </c>
      <c r="BE551" s="49">
        <f t="shared" si="526"/>
        <v>1</v>
      </c>
      <c r="BF551" s="49">
        <f t="shared" si="527"/>
        <v>0</v>
      </c>
      <c r="BG551" s="49">
        <f t="shared" si="528"/>
        <v>0</v>
      </c>
      <c r="BH551" s="49">
        <f t="shared" si="529"/>
        <v>1</v>
      </c>
      <c r="BI551" s="49">
        <f t="shared" si="530"/>
        <v>0</v>
      </c>
      <c r="BJ551" s="49">
        <f t="shared" si="531"/>
        <v>0</v>
      </c>
      <c r="BK551" s="49">
        <f t="shared" si="532"/>
        <v>0</v>
      </c>
      <c r="BL551" s="49">
        <f t="shared" si="533"/>
        <v>0</v>
      </c>
      <c r="BM551" s="49">
        <f t="shared" si="534"/>
        <v>1</v>
      </c>
      <c r="BN551" s="49">
        <f t="shared" si="535"/>
        <v>0</v>
      </c>
      <c r="BO551" s="49">
        <f t="shared" si="536"/>
        <v>0</v>
      </c>
      <c r="BP551" s="49">
        <f t="shared" si="537"/>
        <v>0</v>
      </c>
      <c r="BQ551" s="49">
        <f t="shared" si="538"/>
        <v>1</v>
      </c>
      <c r="BR551" s="49">
        <f t="shared" si="539"/>
        <v>0</v>
      </c>
      <c r="BS551" s="49">
        <f t="shared" si="540"/>
        <v>0</v>
      </c>
      <c r="BT551" s="49">
        <f t="shared" si="541"/>
        <v>1</v>
      </c>
      <c r="BU551" s="49">
        <f t="shared" si="542"/>
        <v>0</v>
      </c>
      <c r="BV551" s="49">
        <f t="shared" si="543"/>
        <v>0</v>
      </c>
      <c r="BW551" s="49">
        <f t="shared" si="544"/>
        <v>0</v>
      </c>
    </row>
    <row r="552" spans="1:75" ht="35.1" customHeight="1" x14ac:dyDescent="0.3">
      <c r="A552" s="123" t="str">
        <f t="shared" si="545"/>
        <v>5팀</v>
      </c>
      <c r="B552" s="69">
        <f t="shared" si="546"/>
        <v>546</v>
      </c>
      <c r="C552" s="121" t="str">
        <f>IF(VLOOKUP($B552,'1. 현장별 인원현황'!$C:$J,2,0)=0,"",VLOOKUP($B552,'1. 현장별 인원현황'!$C:$J,2,0))</f>
        <v xml:space="preserve"> [5.SG신성건설] 판교 SG세계물산 사옥 신축공사</v>
      </c>
      <c r="D552" s="74" t="str">
        <f>IF(VLOOKUP($B552,'1. 현장별 인원현황'!$C:$J,3,0)=0,"",VLOOKUP($B552,'1. 현장별 인원현황'!$C:$J,3,0))</f>
        <v>김 철</v>
      </c>
      <c r="E552" s="74" t="str">
        <f ca="1">IF(VLOOKUP($B552,'1. 현장별 인원현황'!$C:$J,4,0)=0,"",VLOOKUP($B552,'1. 현장별 인원현황'!$C:$J,4,0))</f>
        <v>52세</v>
      </c>
      <c r="F552" s="70" t="str">
        <f>IF(VLOOKUP($B552,'1. 현장별 인원현황'!$C:$J,7,0)=0,"",VLOOKUP($B552,'1. 현장별 인원현황'!$C:$J,7,0))</f>
        <v>기능공</v>
      </c>
      <c r="G552" s="72" t="str">
        <f>IF(VLOOKUP($B552,'1. 현장별 인원현황'!$C:$J,8,0)=0,"",VLOOKUP($B552,'1. 현장별 인원현황'!$C:$J,8,0))</f>
        <v>전공</v>
      </c>
      <c r="H552" s="67" t="s">
        <v>69</v>
      </c>
      <c r="I552" s="73"/>
      <c r="J552" s="73"/>
      <c r="K552" s="68"/>
      <c r="L552" s="67"/>
      <c r="M552" s="73" t="s">
        <v>69</v>
      </c>
      <c r="N552" s="73"/>
      <c r="O552" s="68"/>
      <c r="P552" s="67" t="s">
        <v>69</v>
      </c>
      <c r="Q552" s="73"/>
      <c r="R552" s="73"/>
      <c r="S552" s="68"/>
      <c r="T552" s="67"/>
      <c r="U552" s="73" t="s">
        <v>69</v>
      </c>
      <c r="V552" s="73"/>
      <c r="W552" s="68"/>
      <c r="X552" s="67" t="s">
        <v>69</v>
      </c>
      <c r="Y552" s="73"/>
      <c r="Z552" s="73"/>
      <c r="AA552" s="68"/>
      <c r="AB552" s="67" t="s">
        <v>69</v>
      </c>
      <c r="AC552" s="73"/>
      <c r="AD552" s="73"/>
      <c r="AE552" s="68"/>
      <c r="AF552" s="67"/>
      <c r="AG552" s="73" t="s">
        <v>69</v>
      </c>
      <c r="AH552" s="73"/>
      <c r="AI552" s="68"/>
      <c r="AJ552" s="67"/>
      <c r="AK552" s="73" t="s">
        <v>69</v>
      </c>
      <c r="AL552" s="73"/>
      <c r="AM552" s="68"/>
      <c r="AN552" s="67">
        <f t="shared" si="547"/>
        <v>86</v>
      </c>
      <c r="AO552" s="68" t="str">
        <f t="shared" si="548"/>
        <v>S</v>
      </c>
      <c r="AR552" s="49">
        <f t="shared" si="513"/>
        <v>1</v>
      </c>
      <c r="AS552" s="49">
        <f t="shared" si="514"/>
        <v>0</v>
      </c>
      <c r="AT552" s="49">
        <f t="shared" si="515"/>
        <v>0</v>
      </c>
      <c r="AU552" s="49">
        <f t="shared" si="516"/>
        <v>0</v>
      </c>
      <c r="AV552" s="49">
        <f t="shared" si="517"/>
        <v>0</v>
      </c>
      <c r="AW552" s="49">
        <f t="shared" si="518"/>
        <v>1</v>
      </c>
      <c r="AX552" s="49">
        <f t="shared" si="519"/>
        <v>0</v>
      </c>
      <c r="AY552" s="49">
        <f t="shared" si="520"/>
        <v>0</v>
      </c>
      <c r="AZ552" s="49">
        <f t="shared" si="521"/>
        <v>1</v>
      </c>
      <c r="BA552" s="49">
        <f t="shared" si="522"/>
        <v>0</v>
      </c>
      <c r="BB552" s="49">
        <f t="shared" si="523"/>
        <v>0</v>
      </c>
      <c r="BC552" s="49">
        <f t="shared" si="524"/>
        <v>0</v>
      </c>
      <c r="BD552" s="49">
        <f t="shared" si="525"/>
        <v>0</v>
      </c>
      <c r="BE552" s="49">
        <f t="shared" si="526"/>
        <v>1</v>
      </c>
      <c r="BF552" s="49">
        <f t="shared" si="527"/>
        <v>0</v>
      </c>
      <c r="BG552" s="49">
        <f t="shared" si="528"/>
        <v>0</v>
      </c>
      <c r="BH552" s="49">
        <f t="shared" si="529"/>
        <v>1</v>
      </c>
      <c r="BI552" s="49">
        <f t="shared" si="530"/>
        <v>0</v>
      </c>
      <c r="BJ552" s="49">
        <f t="shared" si="531"/>
        <v>0</v>
      </c>
      <c r="BK552" s="49">
        <f t="shared" si="532"/>
        <v>0</v>
      </c>
      <c r="BL552" s="49">
        <f t="shared" si="533"/>
        <v>1</v>
      </c>
      <c r="BM552" s="49">
        <f t="shared" si="534"/>
        <v>0</v>
      </c>
      <c r="BN552" s="49">
        <f t="shared" si="535"/>
        <v>0</v>
      </c>
      <c r="BO552" s="49">
        <f t="shared" si="536"/>
        <v>0</v>
      </c>
      <c r="BP552" s="49">
        <f t="shared" si="537"/>
        <v>0</v>
      </c>
      <c r="BQ552" s="49">
        <f t="shared" si="538"/>
        <v>1</v>
      </c>
      <c r="BR552" s="49">
        <f t="shared" si="539"/>
        <v>0</v>
      </c>
      <c r="BS552" s="49">
        <f t="shared" si="540"/>
        <v>0</v>
      </c>
      <c r="BT552" s="49">
        <f t="shared" si="541"/>
        <v>0</v>
      </c>
      <c r="BU552" s="49">
        <f t="shared" si="542"/>
        <v>1</v>
      </c>
      <c r="BV552" s="49">
        <f t="shared" si="543"/>
        <v>0</v>
      </c>
      <c r="BW552" s="49">
        <f t="shared" si="544"/>
        <v>0</v>
      </c>
    </row>
    <row r="553" spans="1:75" ht="35.1" customHeight="1" x14ac:dyDescent="0.3">
      <c r="A553" s="123" t="str">
        <f t="shared" si="545"/>
        <v>5팀</v>
      </c>
      <c r="B553" s="69">
        <f t="shared" si="546"/>
        <v>547</v>
      </c>
      <c r="C553" s="121" t="str">
        <f>IF(VLOOKUP($B553,'1. 현장별 인원현황'!$C:$J,2,0)=0,"",VLOOKUP($B553,'1. 현장별 인원현황'!$C:$J,2,0))</f>
        <v xml:space="preserve"> [5.대광건영] 양주회천 A12 대광로제비앙 아파트 신축공사</v>
      </c>
      <c r="D553" s="74" t="str">
        <f>IF(VLOOKUP($B553,'1. 현장별 인원현황'!$C:$J,3,0)=0,"",VLOOKUP($B553,'1. 현장별 인원현황'!$C:$J,3,0))</f>
        <v>홍주선</v>
      </c>
      <c r="E553" s="74" t="str">
        <f ca="1">IF(VLOOKUP($B553,'1. 현장별 인원현황'!$C:$J,4,0)=0,"",VLOOKUP($B553,'1. 현장별 인원현황'!$C:$J,4,0))</f>
        <v>44세</v>
      </c>
      <c r="F553" s="70" t="str">
        <f>IF(VLOOKUP($B553,'1. 현장별 인원현황'!$C:$J,7,0)=0,"",VLOOKUP($B553,'1. 현장별 인원현황'!$C:$J,7,0))</f>
        <v>공무</v>
      </c>
      <c r="G553" s="72" t="str">
        <f>IF(VLOOKUP($B553,'1. 현장별 인원현황'!$C:$J,8,0)=0,"",VLOOKUP($B553,'1. 현장별 인원현황'!$C:$J,8,0))</f>
        <v>차장</v>
      </c>
      <c r="H553" s="67" t="s">
        <v>69</v>
      </c>
      <c r="I553" s="73"/>
      <c r="J553" s="73"/>
      <c r="K553" s="68"/>
      <c r="L553" s="67"/>
      <c r="M553" s="73" t="s">
        <v>69</v>
      </c>
      <c r="N553" s="73"/>
      <c r="O553" s="68"/>
      <c r="P553" s="67" t="s">
        <v>69</v>
      </c>
      <c r="Q553" s="73"/>
      <c r="R553" s="73"/>
      <c r="S553" s="68"/>
      <c r="T553" s="67"/>
      <c r="U553" s="73" t="s">
        <v>69</v>
      </c>
      <c r="V553" s="73"/>
      <c r="W553" s="68"/>
      <c r="X553" s="67" t="s">
        <v>69</v>
      </c>
      <c r="Y553" s="73"/>
      <c r="Z553" s="73"/>
      <c r="AA553" s="68"/>
      <c r="AB553" s="67"/>
      <c r="AC553" s="73" t="s">
        <v>69</v>
      </c>
      <c r="AD553" s="73"/>
      <c r="AE553" s="68"/>
      <c r="AF553" s="67"/>
      <c r="AG553" s="73" t="s">
        <v>69</v>
      </c>
      <c r="AH553" s="73"/>
      <c r="AI553" s="68"/>
      <c r="AJ553" s="67" t="s">
        <v>69</v>
      </c>
      <c r="AK553" s="73"/>
      <c r="AL553" s="73"/>
      <c r="AM553" s="68"/>
      <c r="AN553" s="67">
        <f t="shared" si="547"/>
        <v>87</v>
      </c>
      <c r="AO553" s="68" t="str">
        <f t="shared" si="548"/>
        <v>S</v>
      </c>
      <c r="AR553" s="49">
        <f t="shared" si="513"/>
        <v>1</v>
      </c>
      <c r="AS553" s="49">
        <f t="shared" si="514"/>
        <v>0</v>
      </c>
      <c r="AT553" s="49">
        <f t="shared" si="515"/>
        <v>0</v>
      </c>
      <c r="AU553" s="49">
        <f t="shared" si="516"/>
        <v>0</v>
      </c>
      <c r="AV553" s="49">
        <f t="shared" si="517"/>
        <v>0</v>
      </c>
      <c r="AW553" s="49">
        <f t="shared" si="518"/>
        <v>1</v>
      </c>
      <c r="AX553" s="49">
        <f t="shared" si="519"/>
        <v>0</v>
      </c>
      <c r="AY553" s="49">
        <f t="shared" si="520"/>
        <v>0</v>
      </c>
      <c r="AZ553" s="49">
        <f t="shared" si="521"/>
        <v>1</v>
      </c>
      <c r="BA553" s="49">
        <f t="shared" si="522"/>
        <v>0</v>
      </c>
      <c r="BB553" s="49">
        <f t="shared" si="523"/>
        <v>0</v>
      </c>
      <c r="BC553" s="49">
        <f t="shared" si="524"/>
        <v>0</v>
      </c>
      <c r="BD553" s="49">
        <f t="shared" si="525"/>
        <v>0</v>
      </c>
      <c r="BE553" s="49">
        <f t="shared" si="526"/>
        <v>1</v>
      </c>
      <c r="BF553" s="49">
        <f t="shared" si="527"/>
        <v>0</v>
      </c>
      <c r="BG553" s="49">
        <f t="shared" si="528"/>
        <v>0</v>
      </c>
      <c r="BH553" s="49">
        <f t="shared" si="529"/>
        <v>1</v>
      </c>
      <c r="BI553" s="49">
        <f t="shared" si="530"/>
        <v>0</v>
      </c>
      <c r="BJ553" s="49">
        <f t="shared" si="531"/>
        <v>0</v>
      </c>
      <c r="BK553" s="49">
        <f t="shared" si="532"/>
        <v>0</v>
      </c>
      <c r="BL553" s="49">
        <f t="shared" si="533"/>
        <v>0</v>
      </c>
      <c r="BM553" s="49">
        <f t="shared" si="534"/>
        <v>1</v>
      </c>
      <c r="BN553" s="49">
        <f t="shared" si="535"/>
        <v>0</v>
      </c>
      <c r="BO553" s="49">
        <f t="shared" si="536"/>
        <v>0</v>
      </c>
      <c r="BP553" s="49">
        <f t="shared" si="537"/>
        <v>0</v>
      </c>
      <c r="BQ553" s="49">
        <f t="shared" si="538"/>
        <v>1</v>
      </c>
      <c r="BR553" s="49">
        <f t="shared" si="539"/>
        <v>0</v>
      </c>
      <c r="BS553" s="49">
        <f t="shared" si="540"/>
        <v>0</v>
      </c>
      <c r="BT553" s="49">
        <f t="shared" si="541"/>
        <v>1</v>
      </c>
      <c r="BU553" s="49">
        <f t="shared" si="542"/>
        <v>0</v>
      </c>
      <c r="BV553" s="49">
        <f t="shared" si="543"/>
        <v>0</v>
      </c>
      <c r="BW553" s="49">
        <f t="shared" si="544"/>
        <v>0</v>
      </c>
    </row>
    <row r="554" spans="1:75" ht="35.1" customHeight="1" x14ac:dyDescent="0.3">
      <c r="A554" s="123" t="str">
        <f t="shared" si="545"/>
        <v>5팀</v>
      </c>
      <c r="B554" s="69">
        <f t="shared" si="546"/>
        <v>548</v>
      </c>
      <c r="C554" s="121" t="str">
        <f>IF(VLOOKUP($B554,'1. 현장별 인원현황'!$C:$J,2,0)=0,"",VLOOKUP($B554,'1. 현장별 인원현황'!$C:$J,2,0))</f>
        <v xml:space="preserve"> [5.대광건영] 양주회천 A12 대광로제비앙 아파트 신축공사</v>
      </c>
      <c r="D554" s="74" t="str">
        <f>IF(VLOOKUP($B554,'1. 현장별 인원현황'!$C:$J,3,0)=0,"",VLOOKUP($B554,'1. 현장별 인원현황'!$C:$J,3,0))</f>
        <v>유상현</v>
      </c>
      <c r="E554" s="74" t="str">
        <f ca="1">IF(VLOOKUP($B554,'1. 현장별 인원현황'!$C:$J,4,0)=0,"",VLOOKUP($B554,'1. 현장별 인원현황'!$C:$J,4,0))</f>
        <v>45세</v>
      </c>
      <c r="F554" s="70" t="str">
        <f>IF(VLOOKUP($B554,'1. 현장별 인원현황'!$C:$J,7,0)=0,"",VLOOKUP($B554,'1. 현장별 인원현황'!$C:$J,7,0))</f>
        <v>공사</v>
      </c>
      <c r="G554" s="72" t="str">
        <f>IF(VLOOKUP($B554,'1. 현장별 인원현황'!$C:$J,8,0)=0,"",VLOOKUP($B554,'1. 현장별 인원현황'!$C:$J,8,0))</f>
        <v>차장</v>
      </c>
      <c r="H554" s="67" t="s">
        <v>69</v>
      </c>
      <c r="I554" s="73"/>
      <c r="J554" s="73"/>
      <c r="K554" s="68"/>
      <c r="L554" s="67"/>
      <c r="M554" s="73" t="s">
        <v>69</v>
      </c>
      <c r="N554" s="73"/>
      <c r="O554" s="68"/>
      <c r="P554" s="67" t="s">
        <v>69</v>
      </c>
      <c r="Q554" s="73"/>
      <c r="R554" s="73"/>
      <c r="S554" s="68"/>
      <c r="T554" s="67"/>
      <c r="U554" s="73" t="s">
        <v>69</v>
      </c>
      <c r="V554" s="73"/>
      <c r="W554" s="68"/>
      <c r="X554" s="67" t="s">
        <v>69</v>
      </c>
      <c r="Y554" s="73"/>
      <c r="Z554" s="73"/>
      <c r="AA554" s="68"/>
      <c r="AB554" s="67"/>
      <c r="AC554" s="73" t="s">
        <v>69</v>
      </c>
      <c r="AD554" s="73"/>
      <c r="AE554" s="68"/>
      <c r="AF554" s="67"/>
      <c r="AG554" s="73" t="s">
        <v>69</v>
      </c>
      <c r="AH554" s="73"/>
      <c r="AI554" s="68"/>
      <c r="AJ554" s="67" t="s">
        <v>69</v>
      </c>
      <c r="AK554" s="73"/>
      <c r="AL554" s="73"/>
      <c r="AM554" s="68"/>
      <c r="AN554" s="67">
        <f t="shared" si="547"/>
        <v>87</v>
      </c>
      <c r="AO554" s="68" t="str">
        <f t="shared" si="548"/>
        <v>S</v>
      </c>
      <c r="AR554" s="49">
        <f t="shared" si="513"/>
        <v>1</v>
      </c>
      <c r="AS554" s="49">
        <f t="shared" si="514"/>
        <v>0</v>
      </c>
      <c r="AT554" s="49">
        <f t="shared" si="515"/>
        <v>0</v>
      </c>
      <c r="AU554" s="49">
        <f t="shared" si="516"/>
        <v>0</v>
      </c>
      <c r="AV554" s="49">
        <f t="shared" si="517"/>
        <v>0</v>
      </c>
      <c r="AW554" s="49">
        <f t="shared" si="518"/>
        <v>1</v>
      </c>
      <c r="AX554" s="49">
        <f t="shared" si="519"/>
        <v>0</v>
      </c>
      <c r="AY554" s="49">
        <f t="shared" si="520"/>
        <v>0</v>
      </c>
      <c r="AZ554" s="49">
        <f t="shared" si="521"/>
        <v>1</v>
      </c>
      <c r="BA554" s="49">
        <f t="shared" si="522"/>
        <v>0</v>
      </c>
      <c r="BB554" s="49">
        <f t="shared" si="523"/>
        <v>0</v>
      </c>
      <c r="BC554" s="49">
        <f t="shared" si="524"/>
        <v>0</v>
      </c>
      <c r="BD554" s="49">
        <f t="shared" si="525"/>
        <v>0</v>
      </c>
      <c r="BE554" s="49">
        <f t="shared" si="526"/>
        <v>1</v>
      </c>
      <c r="BF554" s="49">
        <f t="shared" si="527"/>
        <v>0</v>
      </c>
      <c r="BG554" s="49">
        <f t="shared" si="528"/>
        <v>0</v>
      </c>
      <c r="BH554" s="49">
        <f t="shared" si="529"/>
        <v>1</v>
      </c>
      <c r="BI554" s="49">
        <f t="shared" si="530"/>
        <v>0</v>
      </c>
      <c r="BJ554" s="49">
        <f t="shared" si="531"/>
        <v>0</v>
      </c>
      <c r="BK554" s="49">
        <f t="shared" si="532"/>
        <v>0</v>
      </c>
      <c r="BL554" s="49">
        <f t="shared" si="533"/>
        <v>0</v>
      </c>
      <c r="BM554" s="49">
        <f t="shared" si="534"/>
        <v>1</v>
      </c>
      <c r="BN554" s="49">
        <f t="shared" si="535"/>
        <v>0</v>
      </c>
      <c r="BO554" s="49">
        <f t="shared" si="536"/>
        <v>0</v>
      </c>
      <c r="BP554" s="49">
        <f t="shared" si="537"/>
        <v>0</v>
      </c>
      <c r="BQ554" s="49">
        <f t="shared" si="538"/>
        <v>1</v>
      </c>
      <c r="BR554" s="49">
        <f t="shared" si="539"/>
        <v>0</v>
      </c>
      <c r="BS554" s="49">
        <f t="shared" si="540"/>
        <v>0</v>
      </c>
      <c r="BT554" s="49">
        <f t="shared" si="541"/>
        <v>1</v>
      </c>
      <c r="BU554" s="49">
        <f t="shared" si="542"/>
        <v>0</v>
      </c>
      <c r="BV554" s="49">
        <f t="shared" si="543"/>
        <v>0</v>
      </c>
      <c r="BW554" s="49">
        <f t="shared" si="544"/>
        <v>0</v>
      </c>
    </row>
    <row r="555" spans="1:75" ht="35.1" customHeight="1" x14ac:dyDescent="0.3">
      <c r="A555" s="123" t="str">
        <f t="shared" si="545"/>
        <v>5팀</v>
      </c>
      <c r="B555" s="69">
        <f t="shared" si="546"/>
        <v>549</v>
      </c>
      <c r="C555" s="121" t="str">
        <f>IF(VLOOKUP($B555,'1. 현장별 인원현황'!$C:$J,2,0)=0,"",VLOOKUP($B555,'1. 현장별 인원현황'!$C:$J,2,0))</f>
        <v xml:space="preserve"> [5.대광건영] 양주회천 A12 대광로제비앙 아파트 신축공사</v>
      </c>
      <c r="D555" s="74" t="str">
        <f>IF(VLOOKUP($B555,'1. 현장별 인원현황'!$C:$J,3,0)=0,"",VLOOKUP($B555,'1. 현장별 인원현황'!$C:$J,3,0))</f>
        <v>이상혁</v>
      </c>
      <c r="E555" s="74" t="str">
        <f ca="1">IF(VLOOKUP($B555,'1. 현장별 인원현황'!$C:$J,4,0)=0,"",VLOOKUP($B555,'1. 현장별 인원현황'!$C:$J,4,0))</f>
        <v>45세</v>
      </c>
      <c r="F555" s="70" t="str">
        <f>IF(VLOOKUP($B555,'1. 현장별 인원현황'!$C:$J,7,0)=0,"",VLOOKUP($B555,'1. 현장별 인원현황'!$C:$J,7,0))</f>
        <v>기능공</v>
      </c>
      <c r="G555" s="72" t="str">
        <f>IF(VLOOKUP($B555,'1. 현장별 인원현황'!$C:$J,8,0)=0,"",VLOOKUP($B555,'1. 현장별 인원현황'!$C:$J,8,0))</f>
        <v>조공</v>
      </c>
      <c r="H555" s="67" t="s">
        <v>69</v>
      </c>
      <c r="I555" s="73"/>
      <c r="J555" s="73"/>
      <c r="K555" s="68"/>
      <c r="L555" s="67" t="s">
        <v>69</v>
      </c>
      <c r="M555" s="73"/>
      <c r="N555" s="73"/>
      <c r="O555" s="68"/>
      <c r="P555" s="67" t="s">
        <v>69</v>
      </c>
      <c r="Q555" s="73"/>
      <c r="R555" s="73"/>
      <c r="S555" s="68"/>
      <c r="T555" s="67" t="s">
        <v>69</v>
      </c>
      <c r="U555" s="73"/>
      <c r="V555" s="73"/>
      <c r="W555" s="68"/>
      <c r="X555" s="67" t="s">
        <v>69</v>
      </c>
      <c r="Y555" s="73"/>
      <c r="Z555" s="73"/>
      <c r="AA555" s="68"/>
      <c r="AB555" s="67" t="s">
        <v>69</v>
      </c>
      <c r="AC555" s="73"/>
      <c r="AD555" s="73"/>
      <c r="AE555" s="68"/>
      <c r="AF555" s="67" t="s">
        <v>69</v>
      </c>
      <c r="AG555" s="73"/>
      <c r="AH555" s="73"/>
      <c r="AI555" s="68"/>
      <c r="AJ555" s="67" t="s">
        <v>69</v>
      </c>
      <c r="AK555" s="73"/>
      <c r="AL555" s="73"/>
      <c r="AM555" s="68"/>
      <c r="AN555" s="67">
        <f t="shared" si="547"/>
        <v>100</v>
      </c>
      <c r="AO555" s="68" t="str">
        <f t="shared" si="548"/>
        <v>S</v>
      </c>
      <c r="AR555" s="49">
        <f t="shared" si="513"/>
        <v>1</v>
      </c>
      <c r="AS555" s="49">
        <f t="shared" si="514"/>
        <v>0</v>
      </c>
      <c r="AT555" s="49">
        <f t="shared" si="515"/>
        <v>0</v>
      </c>
      <c r="AU555" s="49">
        <f t="shared" si="516"/>
        <v>0</v>
      </c>
      <c r="AV555" s="49">
        <f t="shared" si="517"/>
        <v>1</v>
      </c>
      <c r="AW555" s="49">
        <f t="shared" si="518"/>
        <v>0</v>
      </c>
      <c r="AX555" s="49">
        <f t="shared" si="519"/>
        <v>0</v>
      </c>
      <c r="AY555" s="49">
        <f t="shared" si="520"/>
        <v>0</v>
      </c>
      <c r="AZ555" s="49">
        <f t="shared" si="521"/>
        <v>1</v>
      </c>
      <c r="BA555" s="49">
        <f t="shared" si="522"/>
        <v>0</v>
      </c>
      <c r="BB555" s="49">
        <f t="shared" si="523"/>
        <v>0</v>
      </c>
      <c r="BC555" s="49">
        <f t="shared" si="524"/>
        <v>0</v>
      </c>
      <c r="BD555" s="49">
        <f t="shared" si="525"/>
        <v>1</v>
      </c>
      <c r="BE555" s="49">
        <f t="shared" si="526"/>
        <v>0</v>
      </c>
      <c r="BF555" s="49">
        <f t="shared" si="527"/>
        <v>0</v>
      </c>
      <c r="BG555" s="49">
        <f t="shared" si="528"/>
        <v>0</v>
      </c>
      <c r="BH555" s="49">
        <f t="shared" si="529"/>
        <v>1</v>
      </c>
      <c r="BI555" s="49">
        <f t="shared" si="530"/>
        <v>0</v>
      </c>
      <c r="BJ555" s="49">
        <f t="shared" si="531"/>
        <v>0</v>
      </c>
      <c r="BK555" s="49">
        <f t="shared" si="532"/>
        <v>0</v>
      </c>
      <c r="BL555" s="49">
        <f t="shared" si="533"/>
        <v>1</v>
      </c>
      <c r="BM555" s="49">
        <f t="shared" si="534"/>
        <v>0</v>
      </c>
      <c r="BN555" s="49">
        <f t="shared" si="535"/>
        <v>0</v>
      </c>
      <c r="BO555" s="49">
        <f t="shared" si="536"/>
        <v>0</v>
      </c>
      <c r="BP555" s="49">
        <f t="shared" si="537"/>
        <v>1</v>
      </c>
      <c r="BQ555" s="49">
        <f t="shared" si="538"/>
        <v>0</v>
      </c>
      <c r="BR555" s="49">
        <f t="shared" si="539"/>
        <v>0</v>
      </c>
      <c r="BS555" s="49">
        <f t="shared" si="540"/>
        <v>0</v>
      </c>
      <c r="BT555" s="49">
        <f t="shared" si="541"/>
        <v>1</v>
      </c>
      <c r="BU555" s="49">
        <f t="shared" si="542"/>
        <v>0</v>
      </c>
      <c r="BV555" s="49">
        <f t="shared" si="543"/>
        <v>0</v>
      </c>
      <c r="BW555" s="49">
        <f t="shared" si="544"/>
        <v>0</v>
      </c>
    </row>
    <row r="556" spans="1:75" ht="35.1" customHeight="1" x14ac:dyDescent="0.3">
      <c r="A556" s="123" t="str">
        <f t="shared" si="545"/>
        <v>5팀</v>
      </c>
      <c r="B556" s="69">
        <f t="shared" si="546"/>
        <v>550</v>
      </c>
      <c r="C556" s="121" t="str">
        <f>IF(VLOOKUP($B556,'1. 현장별 인원현황'!$C:$J,2,0)=0,"",VLOOKUP($B556,'1. 현장별 인원현황'!$C:$J,2,0))</f>
        <v xml:space="preserve"> [5.대광건영] 양주회천 A12 대광로제비앙 아파트 신축공사</v>
      </c>
      <c r="D556" s="74" t="str">
        <f>IF(VLOOKUP($B556,'1. 현장별 인원현황'!$C:$J,3,0)=0,"",VLOOKUP($B556,'1. 현장별 인원현황'!$C:$J,3,0))</f>
        <v>김종원</v>
      </c>
      <c r="E556" s="74" t="str">
        <f ca="1">IF(VLOOKUP($B556,'1. 현장별 인원현황'!$C:$J,4,0)=0,"",VLOOKUP($B556,'1. 현장별 인원현황'!$C:$J,4,0))</f>
        <v>46세</v>
      </c>
      <c r="F556" s="70" t="str">
        <f>IF(VLOOKUP($B556,'1. 현장별 인원현황'!$C:$J,7,0)=0,"",VLOOKUP($B556,'1. 현장별 인원현황'!$C:$J,7,0))</f>
        <v>기능공</v>
      </c>
      <c r="G556" s="72" t="str">
        <f>IF(VLOOKUP($B556,'1. 현장별 인원현황'!$C:$J,8,0)=0,"",VLOOKUP($B556,'1. 현장별 인원현황'!$C:$J,8,0))</f>
        <v>전공</v>
      </c>
      <c r="H556" s="67" t="s">
        <v>69</v>
      </c>
      <c r="I556" s="73"/>
      <c r="J556" s="73"/>
      <c r="K556" s="68"/>
      <c r="L556" s="67" t="s">
        <v>69</v>
      </c>
      <c r="M556" s="73"/>
      <c r="N556" s="73"/>
      <c r="O556" s="68"/>
      <c r="P556" s="67" t="s">
        <v>69</v>
      </c>
      <c r="Q556" s="73"/>
      <c r="R556" s="73"/>
      <c r="S556" s="68"/>
      <c r="T556" s="67" t="s">
        <v>69</v>
      </c>
      <c r="U556" s="73"/>
      <c r="V556" s="73"/>
      <c r="W556" s="68"/>
      <c r="X556" s="67" t="s">
        <v>69</v>
      </c>
      <c r="Y556" s="73"/>
      <c r="Z556" s="73"/>
      <c r="AA556" s="68"/>
      <c r="AB556" s="67" t="s">
        <v>69</v>
      </c>
      <c r="AC556" s="73"/>
      <c r="AD556" s="73"/>
      <c r="AE556" s="68"/>
      <c r="AF556" s="67" t="s">
        <v>69</v>
      </c>
      <c r="AG556" s="73"/>
      <c r="AH556" s="73"/>
      <c r="AI556" s="68"/>
      <c r="AJ556" s="67" t="s">
        <v>69</v>
      </c>
      <c r="AK556" s="73"/>
      <c r="AL556" s="73"/>
      <c r="AM556" s="68"/>
      <c r="AN556" s="67">
        <f t="shared" si="547"/>
        <v>100</v>
      </c>
      <c r="AO556" s="68" t="str">
        <f t="shared" si="548"/>
        <v>S</v>
      </c>
      <c r="AR556" s="49">
        <f t="shared" si="513"/>
        <v>1</v>
      </c>
      <c r="AS556" s="49">
        <f t="shared" si="514"/>
        <v>0</v>
      </c>
      <c r="AT556" s="49">
        <f t="shared" si="515"/>
        <v>0</v>
      </c>
      <c r="AU556" s="49">
        <f t="shared" si="516"/>
        <v>0</v>
      </c>
      <c r="AV556" s="49">
        <f t="shared" si="517"/>
        <v>1</v>
      </c>
      <c r="AW556" s="49">
        <f t="shared" si="518"/>
        <v>0</v>
      </c>
      <c r="AX556" s="49">
        <f t="shared" si="519"/>
        <v>0</v>
      </c>
      <c r="AY556" s="49">
        <f t="shared" si="520"/>
        <v>0</v>
      </c>
      <c r="AZ556" s="49">
        <f t="shared" si="521"/>
        <v>1</v>
      </c>
      <c r="BA556" s="49">
        <f t="shared" si="522"/>
        <v>0</v>
      </c>
      <c r="BB556" s="49">
        <f t="shared" si="523"/>
        <v>0</v>
      </c>
      <c r="BC556" s="49">
        <f t="shared" si="524"/>
        <v>0</v>
      </c>
      <c r="BD556" s="49">
        <f t="shared" si="525"/>
        <v>1</v>
      </c>
      <c r="BE556" s="49">
        <f t="shared" si="526"/>
        <v>0</v>
      </c>
      <c r="BF556" s="49">
        <f t="shared" si="527"/>
        <v>0</v>
      </c>
      <c r="BG556" s="49">
        <f t="shared" si="528"/>
        <v>0</v>
      </c>
      <c r="BH556" s="49">
        <f t="shared" si="529"/>
        <v>1</v>
      </c>
      <c r="BI556" s="49">
        <f t="shared" si="530"/>
        <v>0</v>
      </c>
      <c r="BJ556" s="49">
        <f t="shared" si="531"/>
        <v>0</v>
      </c>
      <c r="BK556" s="49">
        <f t="shared" si="532"/>
        <v>0</v>
      </c>
      <c r="BL556" s="49">
        <f t="shared" si="533"/>
        <v>1</v>
      </c>
      <c r="BM556" s="49">
        <f t="shared" si="534"/>
        <v>0</v>
      </c>
      <c r="BN556" s="49">
        <f t="shared" si="535"/>
        <v>0</v>
      </c>
      <c r="BO556" s="49">
        <f t="shared" si="536"/>
        <v>0</v>
      </c>
      <c r="BP556" s="49">
        <f t="shared" si="537"/>
        <v>1</v>
      </c>
      <c r="BQ556" s="49">
        <f t="shared" si="538"/>
        <v>0</v>
      </c>
      <c r="BR556" s="49">
        <f t="shared" si="539"/>
        <v>0</v>
      </c>
      <c r="BS556" s="49">
        <f t="shared" si="540"/>
        <v>0</v>
      </c>
      <c r="BT556" s="49">
        <f t="shared" si="541"/>
        <v>1</v>
      </c>
      <c r="BU556" s="49">
        <f t="shared" si="542"/>
        <v>0</v>
      </c>
      <c r="BV556" s="49">
        <f t="shared" si="543"/>
        <v>0</v>
      </c>
      <c r="BW556" s="49">
        <f t="shared" si="544"/>
        <v>0</v>
      </c>
    </row>
    <row r="557" spans="1:75" ht="35.1" customHeight="1" x14ac:dyDescent="0.3">
      <c r="A557" s="123" t="str">
        <f t="shared" si="545"/>
        <v>5팀</v>
      </c>
      <c r="B557" s="69">
        <f t="shared" si="546"/>
        <v>551</v>
      </c>
      <c r="C557" s="121" t="str">
        <f>IF(VLOOKUP($B557,'1. 현장별 인원현황'!$C:$J,2,0)=0,"",VLOOKUP($B557,'1. 현장별 인원현황'!$C:$J,2,0))</f>
        <v xml:space="preserve"> [5.대광건영] 양주회천 A12 대광로제비앙 아파트 신축공사</v>
      </c>
      <c r="D557" s="74" t="str">
        <f>IF(VLOOKUP($B557,'1. 현장별 인원현황'!$C:$J,3,0)=0,"",VLOOKUP($B557,'1. 현장별 인원현황'!$C:$J,3,0))</f>
        <v>박신영</v>
      </c>
      <c r="E557" s="74" t="str">
        <f ca="1">IF(VLOOKUP($B557,'1. 현장별 인원현황'!$C:$J,4,0)=0,"",VLOOKUP($B557,'1. 현장별 인원현황'!$C:$J,4,0))</f>
        <v>45세</v>
      </c>
      <c r="F557" s="70" t="str">
        <f>IF(VLOOKUP($B557,'1. 현장별 인원현황'!$C:$J,7,0)=0,"",VLOOKUP($B557,'1. 현장별 인원현황'!$C:$J,7,0))</f>
        <v>기능공</v>
      </c>
      <c r="G557" s="72" t="str">
        <f>IF(VLOOKUP($B557,'1. 현장별 인원현황'!$C:$J,8,0)=0,"",VLOOKUP($B557,'1. 현장별 인원현황'!$C:$J,8,0))</f>
        <v>조공</v>
      </c>
      <c r="H557" s="67" t="s">
        <v>69</v>
      </c>
      <c r="I557" s="73"/>
      <c r="J557" s="73"/>
      <c r="K557" s="68"/>
      <c r="L557" s="67" t="s">
        <v>69</v>
      </c>
      <c r="M557" s="73"/>
      <c r="N557" s="73"/>
      <c r="O557" s="68"/>
      <c r="P557" s="67" t="s">
        <v>69</v>
      </c>
      <c r="Q557" s="73"/>
      <c r="R557" s="73"/>
      <c r="S557" s="68"/>
      <c r="T557" s="67" t="s">
        <v>69</v>
      </c>
      <c r="U557" s="73"/>
      <c r="V557" s="73"/>
      <c r="W557" s="68"/>
      <c r="X557" s="67" t="s">
        <v>69</v>
      </c>
      <c r="Y557" s="73"/>
      <c r="Z557" s="73"/>
      <c r="AA557" s="68"/>
      <c r="AB557" s="67"/>
      <c r="AC557" s="73" t="s">
        <v>69</v>
      </c>
      <c r="AD557" s="73"/>
      <c r="AE557" s="68"/>
      <c r="AF557" s="67" t="s">
        <v>69</v>
      </c>
      <c r="AG557" s="73"/>
      <c r="AH557" s="73"/>
      <c r="AI557" s="68"/>
      <c r="AJ557" s="67" t="s">
        <v>69</v>
      </c>
      <c r="AK557" s="73"/>
      <c r="AL557" s="73"/>
      <c r="AM557" s="68"/>
      <c r="AN557" s="67">
        <f t="shared" si="547"/>
        <v>98</v>
      </c>
      <c r="AO557" s="68" t="str">
        <f t="shared" si="548"/>
        <v>S</v>
      </c>
      <c r="AR557" s="49">
        <f t="shared" si="513"/>
        <v>1</v>
      </c>
      <c r="AS557" s="49">
        <f t="shared" si="514"/>
        <v>0</v>
      </c>
      <c r="AT557" s="49">
        <f t="shared" si="515"/>
        <v>0</v>
      </c>
      <c r="AU557" s="49">
        <f t="shared" si="516"/>
        <v>0</v>
      </c>
      <c r="AV557" s="49">
        <f t="shared" si="517"/>
        <v>1</v>
      </c>
      <c r="AW557" s="49">
        <f t="shared" si="518"/>
        <v>0</v>
      </c>
      <c r="AX557" s="49">
        <f t="shared" si="519"/>
        <v>0</v>
      </c>
      <c r="AY557" s="49">
        <f t="shared" si="520"/>
        <v>0</v>
      </c>
      <c r="AZ557" s="49">
        <f t="shared" si="521"/>
        <v>1</v>
      </c>
      <c r="BA557" s="49">
        <f t="shared" si="522"/>
        <v>0</v>
      </c>
      <c r="BB557" s="49">
        <f t="shared" si="523"/>
        <v>0</v>
      </c>
      <c r="BC557" s="49">
        <f t="shared" si="524"/>
        <v>0</v>
      </c>
      <c r="BD557" s="49">
        <f t="shared" si="525"/>
        <v>1</v>
      </c>
      <c r="BE557" s="49">
        <f t="shared" si="526"/>
        <v>0</v>
      </c>
      <c r="BF557" s="49">
        <f t="shared" si="527"/>
        <v>0</v>
      </c>
      <c r="BG557" s="49">
        <f t="shared" si="528"/>
        <v>0</v>
      </c>
      <c r="BH557" s="49">
        <f t="shared" si="529"/>
        <v>1</v>
      </c>
      <c r="BI557" s="49">
        <f t="shared" si="530"/>
        <v>0</v>
      </c>
      <c r="BJ557" s="49">
        <f t="shared" si="531"/>
        <v>0</v>
      </c>
      <c r="BK557" s="49">
        <f t="shared" si="532"/>
        <v>0</v>
      </c>
      <c r="BL557" s="49">
        <f t="shared" si="533"/>
        <v>0</v>
      </c>
      <c r="BM557" s="49">
        <f t="shared" si="534"/>
        <v>1</v>
      </c>
      <c r="BN557" s="49">
        <f t="shared" si="535"/>
        <v>0</v>
      </c>
      <c r="BO557" s="49">
        <f t="shared" si="536"/>
        <v>0</v>
      </c>
      <c r="BP557" s="49">
        <f t="shared" si="537"/>
        <v>1</v>
      </c>
      <c r="BQ557" s="49">
        <f t="shared" si="538"/>
        <v>0</v>
      </c>
      <c r="BR557" s="49">
        <f t="shared" si="539"/>
        <v>0</v>
      </c>
      <c r="BS557" s="49">
        <f t="shared" si="540"/>
        <v>0</v>
      </c>
      <c r="BT557" s="49">
        <f t="shared" si="541"/>
        <v>1</v>
      </c>
      <c r="BU557" s="49">
        <f t="shared" si="542"/>
        <v>0</v>
      </c>
      <c r="BV557" s="49">
        <f t="shared" si="543"/>
        <v>0</v>
      </c>
      <c r="BW557" s="49">
        <f t="shared" si="544"/>
        <v>0</v>
      </c>
    </row>
    <row r="558" spans="1:75" ht="35.1" customHeight="1" x14ac:dyDescent="0.3">
      <c r="A558" s="123" t="str">
        <f t="shared" si="545"/>
        <v>5팀</v>
      </c>
      <c r="B558" s="69">
        <f t="shared" si="546"/>
        <v>552</v>
      </c>
      <c r="C558" s="121" t="str">
        <f>IF(VLOOKUP($B558,'1. 현장별 인원현황'!$C:$J,2,0)=0,"",VLOOKUP($B558,'1. 현장별 인원현황'!$C:$J,2,0))</f>
        <v xml:space="preserve"> [5.대광건영] 양주회천 A12 대광로제비앙 아파트 신축공사</v>
      </c>
      <c r="D558" s="74" t="str">
        <f>IF(VLOOKUP($B558,'1. 현장별 인원현황'!$C:$J,3,0)=0,"",VLOOKUP($B558,'1. 현장별 인원현황'!$C:$J,3,0))</f>
        <v>채희정</v>
      </c>
      <c r="E558" s="74" t="str">
        <f ca="1">IF(VLOOKUP($B558,'1. 현장별 인원현황'!$C:$J,4,0)=0,"",VLOOKUP($B558,'1. 현장별 인원현황'!$C:$J,4,0))</f>
        <v>64세</v>
      </c>
      <c r="F558" s="70" t="str">
        <f>IF(VLOOKUP($B558,'1. 현장별 인원현황'!$C:$J,7,0)=0,"",VLOOKUP($B558,'1. 현장별 인원현황'!$C:$J,7,0))</f>
        <v>기능공</v>
      </c>
      <c r="G558" s="72" t="str">
        <f>IF(VLOOKUP($B558,'1. 현장별 인원현황'!$C:$J,8,0)=0,"",VLOOKUP($B558,'1. 현장별 인원현황'!$C:$J,8,0))</f>
        <v>전공</v>
      </c>
      <c r="H558" s="67" t="s">
        <v>69</v>
      </c>
      <c r="I558" s="73"/>
      <c r="J558" s="73"/>
      <c r="K558" s="68"/>
      <c r="L558" s="67" t="s">
        <v>69</v>
      </c>
      <c r="M558" s="73"/>
      <c r="N558" s="73"/>
      <c r="O558" s="68"/>
      <c r="P558" s="67" t="s">
        <v>69</v>
      </c>
      <c r="Q558" s="73"/>
      <c r="R558" s="73"/>
      <c r="S558" s="68"/>
      <c r="T558" s="67" t="s">
        <v>69</v>
      </c>
      <c r="U558" s="73"/>
      <c r="V558" s="73"/>
      <c r="W558" s="68"/>
      <c r="X558" s="67" t="s">
        <v>69</v>
      </c>
      <c r="Y558" s="73"/>
      <c r="Z558" s="73"/>
      <c r="AA558" s="68"/>
      <c r="AB558" s="67" t="s">
        <v>69</v>
      </c>
      <c r="AC558" s="73"/>
      <c r="AD558" s="73"/>
      <c r="AE558" s="68"/>
      <c r="AF558" s="67" t="s">
        <v>69</v>
      </c>
      <c r="AG558" s="73"/>
      <c r="AH558" s="73"/>
      <c r="AI558" s="68"/>
      <c r="AJ558" s="67" t="s">
        <v>69</v>
      </c>
      <c r="AK558" s="73"/>
      <c r="AL558" s="73"/>
      <c r="AM558" s="68"/>
      <c r="AN558" s="67">
        <f t="shared" si="547"/>
        <v>100</v>
      </c>
      <c r="AO558" s="68" t="str">
        <f t="shared" si="548"/>
        <v>S</v>
      </c>
      <c r="AR558" s="49">
        <f t="shared" si="513"/>
        <v>1</v>
      </c>
      <c r="AS558" s="49">
        <f t="shared" si="514"/>
        <v>0</v>
      </c>
      <c r="AT558" s="49">
        <f t="shared" si="515"/>
        <v>0</v>
      </c>
      <c r="AU558" s="49">
        <f t="shared" si="516"/>
        <v>0</v>
      </c>
      <c r="AV558" s="49">
        <f t="shared" si="517"/>
        <v>1</v>
      </c>
      <c r="AW558" s="49">
        <f t="shared" si="518"/>
        <v>0</v>
      </c>
      <c r="AX558" s="49">
        <f t="shared" si="519"/>
        <v>0</v>
      </c>
      <c r="AY558" s="49">
        <f t="shared" si="520"/>
        <v>0</v>
      </c>
      <c r="AZ558" s="49">
        <f t="shared" si="521"/>
        <v>1</v>
      </c>
      <c r="BA558" s="49">
        <f t="shared" si="522"/>
        <v>0</v>
      </c>
      <c r="BB558" s="49">
        <f t="shared" si="523"/>
        <v>0</v>
      </c>
      <c r="BC558" s="49">
        <f t="shared" si="524"/>
        <v>0</v>
      </c>
      <c r="BD558" s="49">
        <f t="shared" si="525"/>
        <v>1</v>
      </c>
      <c r="BE558" s="49">
        <f t="shared" si="526"/>
        <v>0</v>
      </c>
      <c r="BF558" s="49">
        <f t="shared" si="527"/>
        <v>0</v>
      </c>
      <c r="BG558" s="49">
        <f t="shared" si="528"/>
        <v>0</v>
      </c>
      <c r="BH558" s="49">
        <f t="shared" si="529"/>
        <v>1</v>
      </c>
      <c r="BI558" s="49">
        <f t="shared" si="530"/>
        <v>0</v>
      </c>
      <c r="BJ558" s="49">
        <f t="shared" si="531"/>
        <v>0</v>
      </c>
      <c r="BK558" s="49">
        <f t="shared" si="532"/>
        <v>0</v>
      </c>
      <c r="BL558" s="49">
        <f t="shared" si="533"/>
        <v>1</v>
      </c>
      <c r="BM558" s="49">
        <f t="shared" si="534"/>
        <v>0</v>
      </c>
      <c r="BN558" s="49">
        <f t="shared" si="535"/>
        <v>0</v>
      </c>
      <c r="BO558" s="49">
        <f t="shared" si="536"/>
        <v>0</v>
      </c>
      <c r="BP558" s="49">
        <f t="shared" si="537"/>
        <v>1</v>
      </c>
      <c r="BQ558" s="49">
        <f t="shared" si="538"/>
        <v>0</v>
      </c>
      <c r="BR558" s="49">
        <f t="shared" si="539"/>
        <v>0</v>
      </c>
      <c r="BS558" s="49">
        <f t="shared" si="540"/>
        <v>0</v>
      </c>
      <c r="BT558" s="49">
        <f t="shared" si="541"/>
        <v>1</v>
      </c>
      <c r="BU558" s="49">
        <f t="shared" si="542"/>
        <v>0</v>
      </c>
      <c r="BV558" s="49">
        <f t="shared" si="543"/>
        <v>0</v>
      </c>
      <c r="BW558" s="49">
        <f t="shared" si="544"/>
        <v>0</v>
      </c>
    </row>
    <row r="559" spans="1:75" ht="35.1" customHeight="1" x14ac:dyDescent="0.3">
      <c r="A559" s="123" t="str">
        <f t="shared" si="545"/>
        <v>5팀</v>
      </c>
      <c r="B559" s="69">
        <f t="shared" si="546"/>
        <v>553</v>
      </c>
      <c r="C559" s="121" t="str">
        <f>IF(VLOOKUP($B559,'1. 현장별 인원현황'!$C:$J,2,0)=0,"",VLOOKUP($B559,'1. 현장별 인원현황'!$C:$J,2,0))</f>
        <v xml:space="preserve"> [5.대광건영] 양주회천 A12 대광로제비앙 아파트 신축공사</v>
      </c>
      <c r="D559" s="74" t="str">
        <f>IF(VLOOKUP($B559,'1. 현장별 인원현황'!$C:$J,3,0)=0,"",VLOOKUP($B559,'1. 현장별 인원현황'!$C:$J,3,0))</f>
        <v>이재환</v>
      </c>
      <c r="E559" s="74" t="str">
        <f ca="1">IF(VLOOKUP($B559,'1. 현장별 인원현황'!$C:$J,4,0)=0,"",VLOOKUP($B559,'1. 현장별 인원현황'!$C:$J,4,0))</f>
        <v>31세</v>
      </c>
      <c r="F559" s="70" t="str">
        <f>IF(VLOOKUP($B559,'1. 현장별 인원현황'!$C:$J,7,0)=0,"",VLOOKUP($B559,'1. 현장별 인원현황'!$C:$J,7,0))</f>
        <v>기능공</v>
      </c>
      <c r="G559" s="72" t="str">
        <f>IF(VLOOKUP($B559,'1. 현장별 인원현황'!$C:$J,8,0)=0,"",VLOOKUP($B559,'1. 현장별 인원현황'!$C:$J,8,0))</f>
        <v>조공</v>
      </c>
      <c r="H559" s="67" t="s">
        <v>69</v>
      </c>
      <c r="I559" s="73"/>
      <c r="J559" s="73"/>
      <c r="K559" s="68"/>
      <c r="L559" s="67" t="s">
        <v>69</v>
      </c>
      <c r="M559" s="73"/>
      <c r="N559" s="73"/>
      <c r="O559" s="68"/>
      <c r="P559" s="67" t="s">
        <v>69</v>
      </c>
      <c r="Q559" s="73"/>
      <c r="R559" s="73"/>
      <c r="S559" s="68"/>
      <c r="T559" s="67" t="s">
        <v>69</v>
      </c>
      <c r="U559" s="73"/>
      <c r="V559" s="73"/>
      <c r="W559" s="68"/>
      <c r="X559" s="67" t="s">
        <v>69</v>
      </c>
      <c r="Y559" s="73"/>
      <c r="Z559" s="73"/>
      <c r="AA559" s="68"/>
      <c r="AB559" s="67"/>
      <c r="AC559" s="73" t="s">
        <v>69</v>
      </c>
      <c r="AD559" s="73"/>
      <c r="AE559" s="68"/>
      <c r="AF559" s="67" t="s">
        <v>69</v>
      </c>
      <c r="AG559" s="73"/>
      <c r="AH559" s="73"/>
      <c r="AI559" s="68"/>
      <c r="AJ559" s="67" t="s">
        <v>69</v>
      </c>
      <c r="AK559" s="73"/>
      <c r="AL559" s="73"/>
      <c r="AM559" s="68"/>
      <c r="AN559" s="67">
        <f t="shared" si="547"/>
        <v>98</v>
      </c>
      <c r="AO559" s="68" t="str">
        <f t="shared" si="548"/>
        <v>S</v>
      </c>
      <c r="AR559" s="49">
        <f t="shared" si="513"/>
        <v>1</v>
      </c>
      <c r="AS559" s="49">
        <f t="shared" si="514"/>
        <v>0</v>
      </c>
      <c r="AT559" s="49">
        <f t="shared" si="515"/>
        <v>0</v>
      </c>
      <c r="AU559" s="49">
        <f t="shared" si="516"/>
        <v>0</v>
      </c>
      <c r="AV559" s="49">
        <f t="shared" si="517"/>
        <v>1</v>
      </c>
      <c r="AW559" s="49">
        <f t="shared" si="518"/>
        <v>0</v>
      </c>
      <c r="AX559" s="49">
        <f t="shared" si="519"/>
        <v>0</v>
      </c>
      <c r="AY559" s="49">
        <f t="shared" si="520"/>
        <v>0</v>
      </c>
      <c r="AZ559" s="49">
        <f t="shared" si="521"/>
        <v>1</v>
      </c>
      <c r="BA559" s="49">
        <f t="shared" si="522"/>
        <v>0</v>
      </c>
      <c r="BB559" s="49">
        <f t="shared" si="523"/>
        <v>0</v>
      </c>
      <c r="BC559" s="49">
        <f t="shared" si="524"/>
        <v>0</v>
      </c>
      <c r="BD559" s="49">
        <f t="shared" si="525"/>
        <v>1</v>
      </c>
      <c r="BE559" s="49">
        <f t="shared" si="526"/>
        <v>0</v>
      </c>
      <c r="BF559" s="49">
        <f t="shared" si="527"/>
        <v>0</v>
      </c>
      <c r="BG559" s="49">
        <f t="shared" si="528"/>
        <v>0</v>
      </c>
      <c r="BH559" s="49">
        <f t="shared" si="529"/>
        <v>1</v>
      </c>
      <c r="BI559" s="49">
        <f t="shared" si="530"/>
        <v>0</v>
      </c>
      <c r="BJ559" s="49">
        <f t="shared" si="531"/>
        <v>0</v>
      </c>
      <c r="BK559" s="49">
        <f t="shared" si="532"/>
        <v>0</v>
      </c>
      <c r="BL559" s="49">
        <f t="shared" si="533"/>
        <v>0</v>
      </c>
      <c r="BM559" s="49">
        <f t="shared" si="534"/>
        <v>1</v>
      </c>
      <c r="BN559" s="49">
        <f t="shared" si="535"/>
        <v>0</v>
      </c>
      <c r="BO559" s="49">
        <f t="shared" si="536"/>
        <v>0</v>
      </c>
      <c r="BP559" s="49">
        <f t="shared" si="537"/>
        <v>1</v>
      </c>
      <c r="BQ559" s="49">
        <f t="shared" si="538"/>
        <v>0</v>
      </c>
      <c r="BR559" s="49">
        <f t="shared" si="539"/>
        <v>0</v>
      </c>
      <c r="BS559" s="49">
        <f t="shared" si="540"/>
        <v>0</v>
      </c>
      <c r="BT559" s="49">
        <f t="shared" si="541"/>
        <v>1</v>
      </c>
      <c r="BU559" s="49">
        <f t="shared" si="542"/>
        <v>0</v>
      </c>
      <c r="BV559" s="49">
        <f t="shared" si="543"/>
        <v>0</v>
      </c>
      <c r="BW559" s="49">
        <f t="shared" si="544"/>
        <v>0</v>
      </c>
    </row>
    <row r="560" spans="1:75" ht="35.1" customHeight="1" x14ac:dyDescent="0.3">
      <c r="A560" s="123" t="str">
        <f t="shared" si="545"/>
        <v>5팀</v>
      </c>
      <c r="B560" s="69">
        <f t="shared" si="546"/>
        <v>554</v>
      </c>
      <c r="C560" s="121" t="str">
        <f>IF(VLOOKUP($B560,'1. 현장별 인원현황'!$C:$J,2,0)=0,"",VLOOKUP($B560,'1. 현장별 인원현황'!$C:$J,2,0))</f>
        <v xml:space="preserve"> [5.대광로제비앙] 평택 브레인시티 (가칭)도일1초등학교 신축공사</v>
      </c>
      <c r="D560" s="74" t="str">
        <f>IF(VLOOKUP($B560,'1. 현장별 인원현황'!$C:$J,3,0)=0,"",VLOOKUP($B560,'1. 현장별 인원현황'!$C:$J,3,0))</f>
        <v>모정욱</v>
      </c>
      <c r="E560" s="74" t="str">
        <f ca="1">IF(VLOOKUP($B560,'1. 현장별 인원현황'!$C:$J,4,0)=0,"",VLOOKUP($B560,'1. 현장별 인원현황'!$C:$J,4,0))</f>
        <v>34세</v>
      </c>
      <c r="F560" s="70" t="str">
        <f>IF(VLOOKUP($B560,'1. 현장별 인원현황'!$C:$J,7,0)=0,"",VLOOKUP($B560,'1. 현장별 인원현황'!$C:$J,7,0))</f>
        <v>공무</v>
      </c>
      <c r="G560" s="72" t="str">
        <f>IF(VLOOKUP($B560,'1. 현장별 인원현황'!$C:$J,8,0)=0,"",VLOOKUP($B560,'1. 현장별 인원현황'!$C:$J,8,0))</f>
        <v>기사</v>
      </c>
      <c r="H560" s="67" t="s">
        <v>69</v>
      </c>
      <c r="I560" s="73"/>
      <c r="J560" s="73"/>
      <c r="K560" s="68"/>
      <c r="L560" s="67" t="s">
        <v>69</v>
      </c>
      <c r="M560" s="73"/>
      <c r="N560" s="73"/>
      <c r="O560" s="68"/>
      <c r="P560" s="67"/>
      <c r="Q560" s="73" t="s">
        <v>69</v>
      </c>
      <c r="R560" s="73"/>
      <c r="S560" s="68"/>
      <c r="T560" s="67" t="s">
        <v>69</v>
      </c>
      <c r="U560" s="73"/>
      <c r="V560" s="73"/>
      <c r="W560" s="68"/>
      <c r="X560" s="67" t="s">
        <v>69</v>
      </c>
      <c r="Y560" s="73"/>
      <c r="Z560" s="73"/>
      <c r="AA560" s="68"/>
      <c r="AB560" s="67"/>
      <c r="AC560" s="73" t="s">
        <v>69</v>
      </c>
      <c r="AD560" s="73"/>
      <c r="AE560" s="68"/>
      <c r="AF560" s="67"/>
      <c r="AG560" s="73" t="s">
        <v>69</v>
      </c>
      <c r="AH560" s="73"/>
      <c r="AI560" s="68"/>
      <c r="AJ560" s="67" t="s">
        <v>69</v>
      </c>
      <c r="AK560" s="73"/>
      <c r="AL560" s="73"/>
      <c r="AM560" s="68"/>
      <c r="AN560" s="67">
        <f t="shared" si="547"/>
        <v>91</v>
      </c>
      <c r="AO560" s="68" t="str">
        <f t="shared" si="548"/>
        <v>S</v>
      </c>
      <c r="AR560" s="49">
        <f t="shared" si="513"/>
        <v>1</v>
      </c>
      <c r="AS560" s="49">
        <f t="shared" si="514"/>
        <v>0</v>
      </c>
      <c r="AT560" s="49">
        <f t="shared" si="515"/>
        <v>0</v>
      </c>
      <c r="AU560" s="49">
        <f t="shared" si="516"/>
        <v>0</v>
      </c>
      <c r="AV560" s="49">
        <f t="shared" si="517"/>
        <v>1</v>
      </c>
      <c r="AW560" s="49">
        <f t="shared" si="518"/>
        <v>0</v>
      </c>
      <c r="AX560" s="49">
        <f t="shared" si="519"/>
        <v>0</v>
      </c>
      <c r="AY560" s="49">
        <f t="shared" si="520"/>
        <v>0</v>
      </c>
      <c r="AZ560" s="49">
        <f t="shared" si="521"/>
        <v>0</v>
      </c>
      <c r="BA560" s="49">
        <f t="shared" si="522"/>
        <v>1</v>
      </c>
      <c r="BB560" s="49">
        <f t="shared" si="523"/>
        <v>0</v>
      </c>
      <c r="BC560" s="49">
        <f t="shared" si="524"/>
        <v>0</v>
      </c>
      <c r="BD560" s="49">
        <f t="shared" si="525"/>
        <v>1</v>
      </c>
      <c r="BE560" s="49">
        <f t="shared" si="526"/>
        <v>0</v>
      </c>
      <c r="BF560" s="49">
        <f t="shared" si="527"/>
        <v>0</v>
      </c>
      <c r="BG560" s="49">
        <f t="shared" si="528"/>
        <v>0</v>
      </c>
      <c r="BH560" s="49">
        <f t="shared" si="529"/>
        <v>1</v>
      </c>
      <c r="BI560" s="49">
        <f t="shared" si="530"/>
        <v>0</v>
      </c>
      <c r="BJ560" s="49">
        <f t="shared" si="531"/>
        <v>0</v>
      </c>
      <c r="BK560" s="49">
        <f t="shared" si="532"/>
        <v>0</v>
      </c>
      <c r="BL560" s="49">
        <f t="shared" si="533"/>
        <v>0</v>
      </c>
      <c r="BM560" s="49">
        <f t="shared" si="534"/>
        <v>1</v>
      </c>
      <c r="BN560" s="49">
        <f t="shared" si="535"/>
        <v>0</v>
      </c>
      <c r="BO560" s="49">
        <f t="shared" si="536"/>
        <v>0</v>
      </c>
      <c r="BP560" s="49">
        <f t="shared" si="537"/>
        <v>0</v>
      </c>
      <c r="BQ560" s="49">
        <f t="shared" si="538"/>
        <v>1</v>
      </c>
      <c r="BR560" s="49">
        <f t="shared" si="539"/>
        <v>0</v>
      </c>
      <c r="BS560" s="49">
        <f t="shared" si="540"/>
        <v>0</v>
      </c>
      <c r="BT560" s="49">
        <f t="shared" si="541"/>
        <v>1</v>
      </c>
      <c r="BU560" s="49">
        <f t="shared" si="542"/>
        <v>0</v>
      </c>
      <c r="BV560" s="49">
        <f t="shared" si="543"/>
        <v>0</v>
      </c>
      <c r="BW560" s="49">
        <f t="shared" si="544"/>
        <v>0</v>
      </c>
    </row>
    <row r="561" spans="1:75" ht="35.1" customHeight="1" x14ac:dyDescent="0.3">
      <c r="A561" s="123" t="str">
        <f t="shared" si="545"/>
        <v>5팀</v>
      </c>
      <c r="B561" s="69">
        <f t="shared" si="546"/>
        <v>555</v>
      </c>
      <c r="C561" s="121" t="str">
        <f>IF(VLOOKUP($B561,'1. 현장별 인원현황'!$C:$J,2,0)=0,"",VLOOKUP($B561,'1. 현장별 인원현황'!$C:$J,2,0))</f>
        <v xml:space="preserve"> [5.대광로제비앙] 평택 브레인시티 (가칭)도일1초등학교 신축공사</v>
      </c>
      <c r="D561" s="74" t="str">
        <f>IF(VLOOKUP($B561,'1. 현장별 인원현황'!$C:$J,3,0)=0,"",VLOOKUP($B561,'1. 현장별 인원현황'!$C:$J,3,0))</f>
        <v>강민석</v>
      </c>
      <c r="E561" s="74" t="str">
        <f ca="1">IF(VLOOKUP($B561,'1. 현장별 인원현황'!$C:$J,4,0)=0,"",VLOOKUP($B561,'1. 현장별 인원현황'!$C:$J,4,0))</f>
        <v>52세</v>
      </c>
      <c r="F561" s="70" t="str">
        <f>IF(VLOOKUP($B561,'1. 현장별 인원현황'!$C:$J,7,0)=0,"",VLOOKUP($B561,'1. 현장별 인원현황'!$C:$J,7,0))</f>
        <v>공사</v>
      </c>
      <c r="G561" s="72" t="str">
        <f>IF(VLOOKUP($B561,'1. 현장별 인원현황'!$C:$J,8,0)=0,"",VLOOKUP($B561,'1. 현장별 인원현황'!$C:$J,8,0))</f>
        <v>차장</v>
      </c>
      <c r="H561" s="67"/>
      <c r="I561" s="73" t="s">
        <v>69</v>
      </c>
      <c r="J561" s="73"/>
      <c r="K561" s="68"/>
      <c r="L561" s="67"/>
      <c r="M561" s="73"/>
      <c r="N561" s="73" t="s">
        <v>69</v>
      </c>
      <c r="O561" s="68"/>
      <c r="P561" s="67"/>
      <c r="Q561" s="73" t="s">
        <v>69</v>
      </c>
      <c r="R561" s="73"/>
      <c r="S561" s="68"/>
      <c r="T561" s="67" t="s">
        <v>69</v>
      </c>
      <c r="U561" s="73"/>
      <c r="V561" s="73"/>
      <c r="W561" s="68"/>
      <c r="X561" s="67"/>
      <c r="Y561" s="73"/>
      <c r="Z561" s="73" t="s">
        <v>69</v>
      </c>
      <c r="AA561" s="68"/>
      <c r="AB561" s="67" t="s">
        <v>69</v>
      </c>
      <c r="AC561" s="73"/>
      <c r="AD561" s="73"/>
      <c r="AE561" s="68"/>
      <c r="AF561" s="67"/>
      <c r="AG561" s="73"/>
      <c r="AH561" s="73" t="s">
        <v>69</v>
      </c>
      <c r="AI561" s="68"/>
      <c r="AJ561" s="67" t="s">
        <v>69</v>
      </c>
      <c r="AK561" s="73"/>
      <c r="AL561" s="73"/>
      <c r="AM561" s="68"/>
      <c r="AN561" s="67">
        <f t="shared" si="547"/>
        <v>70</v>
      </c>
      <c r="AO561" s="68" t="str">
        <f t="shared" si="548"/>
        <v>B</v>
      </c>
      <c r="AR561" s="49">
        <f t="shared" si="513"/>
        <v>0</v>
      </c>
      <c r="AS561" s="49">
        <f t="shared" si="514"/>
        <v>1</v>
      </c>
      <c r="AT561" s="49">
        <f t="shared" si="515"/>
        <v>0</v>
      </c>
      <c r="AU561" s="49">
        <f t="shared" si="516"/>
        <v>0</v>
      </c>
      <c r="AV561" s="49">
        <f t="shared" si="517"/>
        <v>0</v>
      </c>
      <c r="AW561" s="49">
        <f t="shared" si="518"/>
        <v>0</v>
      </c>
      <c r="AX561" s="49">
        <f t="shared" si="519"/>
        <v>1</v>
      </c>
      <c r="AY561" s="49">
        <f t="shared" si="520"/>
        <v>0</v>
      </c>
      <c r="AZ561" s="49">
        <f t="shared" si="521"/>
        <v>0</v>
      </c>
      <c r="BA561" s="49">
        <f t="shared" si="522"/>
        <v>1</v>
      </c>
      <c r="BB561" s="49">
        <f t="shared" si="523"/>
        <v>0</v>
      </c>
      <c r="BC561" s="49">
        <f t="shared" si="524"/>
        <v>0</v>
      </c>
      <c r="BD561" s="49">
        <f t="shared" si="525"/>
        <v>1</v>
      </c>
      <c r="BE561" s="49">
        <f t="shared" si="526"/>
        <v>0</v>
      </c>
      <c r="BF561" s="49">
        <f t="shared" si="527"/>
        <v>0</v>
      </c>
      <c r="BG561" s="49">
        <f t="shared" si="528"/>
        <v>0</v>
      </c>
      <c r="BH561" s="49">
        <f t="shared" si="529"/>
        <v>0</v>
      </c>
      <c r="BI561" s="49">
        <f t="shared" si="530"/>
        <v>0</v>
      </c>
      <c r="BJ561" s="49">
        <f t="shared" si="531"/>
        <v>1</v>
      </c>
      <c r="BK561" s="49">
        <f t="shared" si="532"/>
        <v>0</v>
      </c>
      <c r="BL561" s="49">
        <f t="shared" si="533"/>
        <v>1</v>
      </c>
      <c r="BM561" s="49">
        <f t="shared" si="534"/>
        <v>0</v>
      </c>
      <c r="BN561" s="49">
        <f t="shared" si="535"/>
        <v>0</v>
      </c>
      <c r="BO561" s="49">
        <f t="shared" si="536"/>
        <v>0</v>
      </c>
      <c r="BP561" s="49">
        <f t="shared" si="537"/>
        <v>0</v>
      </c>
      <c r="BQ561" s="49">
        <f t="shared" si="538"/>
        <v>0</v>
      </c>
      <c r="BR561" s="49">
        <f t="shared" si="539"/>
        <v>1</v>
      </c>
      <c r="BS561" s="49">
        <f t="shared" si="540"/>
        <v>0</v>
      </c>
      <c r="BT561" s="49">
        <f t="shared" si="541"/>
        <v>1</v>
      </c>
      <c r="BU561" s="49">
        <f t="shared" si="542"/>
        <v>0</v>
      </c>
      <c r="BV561" s="49">
        <f t="shared" si="543"/>
        <v>0</v>
      </c>
      <c r="BW561" s="49">
        <f t="shared" si="544"/>
        <v>0</v>
      </c>
    </row>
    <row r="562" spans="1:75" ht="35.1" customHeight="1" x14ac:dyDescent="0.3">
      <c r="A562" s="123" t="str">
        <f t="shared" si="545"/>
        <v>5팀</v>
      </c>
      <c r="B562" s="69">
        <f t="shared" si="546"/>
        <v>556</v>
      </c>
      <c r="C562" s="121" t="str">
        <f>IF(VLOOKUP($B562,'1. 현장별 인원현황'!$C:$J,2,0)=0,"",VLOOKUP($B562,'1. 현장별 인원현황'!$C:$J,2,0))</f>
        <v xml:space="preserve"> [5.대광로제비앙] 평택 브레인시티 (가칭)도일1초등학교 신축공사</v>
      </c>
      <c r="D562" s="74" t="str">
        <f>IF(VLOOKUP($B562,'1. 현장별 인원현황'!$C:$J,3,0)=0,"",VLOOKUP($B562,'1. 현장별 인원현황'!$C:$J,3,0))</f>
        <v>김영효</v>
      </c>
      <c r="E562" s="74" t="str">
        <f ca="1">IF(VLOOKUP($B562,'1. 현장별 인원현황'!$C:$J,4,0)=0,"",VLOOKUP($B562,'1. 현장별 인원현황'!$C:$J,4,0))</f>
        <v>57세</v>
      </c>
      <c r="F562" s="70" t="str">
        <f>IF(VLOOKUP($B562,'1. 현장별 인원현황'!$C:$J,7,0)=0,"",VLOOKUP($B562,'1. 현장별 인원현황'!$C:$J,7,0))</f>
        <v>공사</v>
      </c>
      <c r="G562" s="72" t="str">
        <f>IF(VLOOKUP($B562,'1. 현장별 인원현황'!$C:$J,8,0)=0,"",VLOOKUP($B562,'1. 현장별 인원현황'!$C:$J,8,0))</f>
        <v>차장</v>
      </c>
      <c r="H562" s="67" t="s">
        <v>69</v>
      </c>
      <c r="I562" s="73"/>
      <c r="J562" s="73"/>
      <c r="K562" s="68"/>
      <c r="L562" s="67"/>
      <c r="M562" s="73" t="s">
        <v>69</v>
      </c>
      <c r="N562" s="73"/>
      <c r="O562" s="68"/>
      <c r="P562" s="67"/>
      <c r="Q562" s="73" t="s">
        <v>69</v>
      </c>
      <c r="R562" s="73"/>
      <c r="S562" s="68"/>
      <c r="T562" s="67" t="s">
        <v>69</v>
      </c>
      <c r="U562" s="73"/>
      <c r="V562" s="73"/>
      <c r="W562" s="68"/>
      <c r="X562" s="67"/>
      <c r="Y562" s="73" t="s">
        <v>69</v>
      </c>
      <c r="Z562" s="73"/>
      <c r="AA562" s="68"/>
      <c r="AB562" s="67"/>
      <c r="AC562" s="73"/>
      <c r="AD562" s="73" t="s">
        <v>69</v>
      </c>
      <c r="AE562" s="68"/>
      <c r="AF562" s="67"/>
      <c r="AG562" s="73" t="s">
        <v>69</v>
      </c>
      <c r="AH562" s="73"/>
      <c r="AI562" s="68"/>
      <c r="AJ562" s="67" t="s">
        <v>69</v>
      </c>
      <c r="AK562" s="73"/>
      <c r="AL562" s="73"/>
      <c r="AM562" s="68"/>
      <c r="AN562" s="67">
        <f t="shared" si="547"/>
        <v>82</v>
      </c>
      <c r="AO562" s="68" t="str">
        <f t="shared" si="548"/>
        <v>A</v>
      </c>
      <c r="AR562" s="49">
        <f t="shared" si="513"/>
        <v>1</v>
      </c>
      <c r="AS562" s="49">
        <f t="shared" si="514"/>
        <v>0</v>
      </c>
      <c r="AT562" s="49">
        <f t="shared" si="515"/>
        <v>0</v>
      </c>
      <c r="AU562" s="49">
        <f t="shared" si="516"/>
        <v>0</v>
      </c>
      <c r="AV562" s="49">
        <f t="shared" si="517"/>
        <v>0</v>
      </c>
      <c r="AW562" s="49">
        <f t="shared" si="518"/>
        <v>1</v>
      </c>
      <c r="AX562" s="49">
        <f t="shared" si="519"/>
        <v>0</v>
      </c>
      <c r="AY562" s="49">
        <f t="shared" si="520"/>
        <v>0</v>
      </c>
      <c r="AZ562" s="49">
        <f t="shared" si="521"/>
        <v>0</v>
      </c>
      <c r="BA562" s="49">
        <f t="shared" si="522"/>
        <v>1</v>
      </c>
      <c r="BB562" s="49">
        <f t="shared" si="523"/>
        <v>0</v>
      </c>
      <c r="BC562" s="49">
        <f t="shared" si="524"/>
        <v>0</v>
      </c>
      <c r="BD562" s="49">
        <f t="shared" si="525"/>
        <v>1</v>
      </c>
      <c r="BE562" s="49">
        <f t="shared" si="526"/>
        <v>0</v>
      </c>
      <c r="BF562" s="49">
        <f t="shared" si="527"/>
        <v>0</v>
      </c>
      <c r="BG562" s="49">
        <f t="shared" si="528"/>
        <v>0</v>
      </c>
      <c r="BH562" s="49">
        <f t="shared" si="529"/>
        <v>0</v>
      </c>
      <c r="BI562" s="49">
        <f t="shared" si="530"/>
        <v>1</v>
      </c>
      <c r="BJ562" s="49">
        <f t="shared" si="531"/>
        <v>0</v>
      </c>
      <c r="BK562" s="49">
        <f t="shared" si="532"/>
        <v>0</v>
      </c>
      <c r="BL562" s="49">
        <f t="shared" si="533"/>
        <v>0</v>
      </c>
      <c r="BM562" s="49">
        <f t="shared" si="534"/>
        <v>0</v>
      </c>
      <c r="BN562" s="49">
        <f t="shared" si="535"/>
        <v>1</v>
      </c>
      <c r="BO562" s="49">
        <f t="shared" si="536"/>
        <v>0</v>
      </c>
      <c r="BP562" s="49">
        <f t="shared" si="537"/>
        <v>0</v>
      </c>
      <c r="BQ562" s="49">
        <f t="shared" si="538"/>
        <v>1</v>
      </c>
      <c r="BR562" s="49">
        <f t="shared" si="539"/>
        <v>0</v>
      </c>
      <c r="BS562" s="49">
        <f t="shared" si="540"/>
        <v>0</v>
      </c>
      <c r="BT562" s="49">
        <f t="shared" si="541"/>
        <v>1</v>
      </c>
      <c r="BU562" s="49">
        <f t="shared" si="542"/>
        <v>0</v>
      </c>
      <c r="BV562" s="49">
        <f t="shared" si="543"/>
        <v>0</v>
      </c>
      <c r="BW562" s="49">
        <f t="shared" si="544"/>
        <v>0</v>
      </c>
    </row>
    <row r="563" spans="1:75" ht="35.1" customHeight="1" x14ac:dyDescent="0.3">
      <c r="A563" s="123" t="str">
        <f t="shared" si="545"/>
        <v>5팀</v>
      </c>
      <c r="B563" s="69">
        <f t="shared" si="546"/>
        <v>557</v>
      </c>
      <c r="C563" s="121" t="str">
        <f>IF(VLOOKUP($B563,'1. 현장별 인원현황'!$C:$J,2,0)=0,"",VLOOKUP($B563,'1. 현장별 인원현황'!$C:$J,2,0))</f>
        <v xml:space="preserve"> [5.대광로제비앙] 평택 브레인시티 (가칭)도일1초등학교 신축공사</v>
      </c>
      <c r="D563" s="74" t="str">
        <f>IF(VLOOKUP($B563,'1. 현장별 인원현황'!$C:$J,3,0)=0,"",VLOOKUP($B563,'1. 현장별 인원현황'!$C:$J,3,0))</f>
        <v>박재호</v>
      </c>
      <c r="E563" s="74" t="str">
        <f ca="1">IF(VLOOKUP($B563,'1. 현장별 인원현황'!$C:$J,4,0)=0,"",VLOOKUP($B563,'1. 현장별 인원현황'!$C:$J,4,0))</f>
        <v>38세</v>
      </c>
      <c r="F563" s="70" t="str">
        <f>IF(VLOOKUP($B563,'1. 현장별 인원현황'!$C:$J,7,0)=0,"",VLOOKUP($B563,'1. 현장별 인원현황'!$C:$J,7,0))</f>
        <v>기능공</v>
      </c>
      <c r="G563" s="72" t="str">
        <f>IF(VLOOKUP($B563,'1. 현장별 인원현황'!$C:$J,8,0)=0,"",VLOOKUP($B563,'1. 현장별 인원현황'!$C:$J,8,0))</f>
        <v>전공</v>
      </c>
      <c r="H563" s="67" t="s">
        <v>69</v>
      </c>
      <c r="I563" s="73"/>
      <c r="J563" s="73"/>
      <c r="K563" s="68"/>
      <c r="L563" s="67"/>
      <c r="M563" s="73" t="s">
        <v>69</v>
      </c>
      <c r="N563" s="73"/>
      <c r="O563" s="68"/>
      <c r="P563" s="67"/>
      <c r="Q563" s="73" t="s">
        <v>69</v>
      </c>
      <c r="R563" s="73"/>
      <c r="S563" s="68"/>
      <c r="T563" s="67" t="s">
        <v>69</v>
      </c>
      <c r="U563" s="73"/>
      <c r="V563" s="73"/>
      <c r="W563" s="68"/>
      <c r="X563" s="67"/>
      <c r="Y563" s="73"/>
      <c r="Z563" s="73" t="s">
        <v>69</v>
      </c>
      <c r="AA563" s="68"/>
      <c r="AB563" s="67" t="s">
        <v>69</v>
      </c>
      <c r="AC563" s="73"/>
      <c r="AD563" s="73"/>
      <c r="AE563" s="68"/>
      <c r="AF563" s="67"/>
      <c r="AG563" s="73" t="s">
        <v>69</v>
      </c>
      <c r="AH563" s="73"/>
      <c r="AI563" s="68"/>
      <c r="AJ563" s="67" t="s">
        <v>69</v>
      </c>
      <c r="AK563" s="73"/>
      <c r="AL563" s="73"/>
      <c r="AM563" s="68"/>
      <c r="AN563" s="67">
        <f t="shared" si="547"/>
        <v>81</v>
      </c>
      <c r="AO563" s="68" t="str">
        <f t="shared" si="548"/>
        <v>A</v>
      </c>
      <c r="AR563" s="49">
        <f t="shared" si="513"/>
        <v>1</v>
      </c>
      <c r="AS563" s="49">
        <f t="shared" si="514"/>
        <v>0</v>
      </c>
      <c r="AT563" s="49">
        <f t="shared" si="515"/>
        <v>0</v>
      </c>
      <c r="AU563" s="49">
        <f t="shared" si="516"/>
        <v>0</v>
      </c>
      <c r="AV563" s="49">
        <f t="shared" si="517"/>
        <v>0</v>
      </c>
      <c r="AW563" s="49">
        <f t="shared" si="518"/>
        <v>1</v>
      </c>
      <c r="AX563" s="49">
        <f t="shared" si="519"/>
        <v>0</v>
      </c>
      <c r="AY563" s="49">
        <f t="shared" si="520"/>
        <v>0</v>
      </c>
      <c r="AZ563" s="49">
        <f t="shared" si="521"/>
        <v>0</v>
      </c>
      <c r="BA563" s="49">
        <f t="shared" si="522"/>
        <v>1</v>
      </c>
      <c r="BB563" s="49">
        <f t="shared" si="523"/>
        <v>0</v>
      </c>
      <c r="BC563" s="49">
        <f t="shared" si="524"/>
        <v>0</v>
      </c>
      <c r="BD563" s="49">
        <f t="shared" si="525"/>
        <v>1</v>
      </c>
      <c r="BE563" s="49">
        <f t="shared" si="526"/>
        <v>0</v>
      </c>
      <c r="BF563" s="49">
        <f t="shared" si="527"/>
        <v>0</v>
      </c>
      <c r="BG563" s="49">
        <f t="shared" si="528"/>
        <v>0</v>
      </c>
      <c r="BH563" s="49">
        <f t="shared" si="529"/>
        <v>0</v>
      </c>
      <c r="BI563" s="49">
        <f t="shared" si="530"/>
        <v>0</v>
      </c>
      <c r="BJ563" s="49">
        <f t="shared" si="531"/>
        <v>1</v>
      </c>
      <c r="BK563" s="49">
        <f t="shared" si="532"/>
        <v>0</v>
      </c>
      <c r="BL563" s="49">
        <f t="shared" si="533"/>
        <v>1</v>
      </c>
      <c r="BM563" s="49">
        <f t="shared" si="534"/>
        <v>0</v>
      </c>
      <c r="BN563" s="49">
        <f t="shared" si="535"/>
        <v>0</v>
      </c>
      <c r="BO563" s="49">
        <f t="shared" si="536"/>
        <v>0</v>
      </c>
      <c r="BP563" s="49">
        <f t="shared" si="537"/>
        <v>0</v>
      </c>
      <c r="BQ563" s="49">
        <f t="shared" si="538"/>
        <v>1</v>
      </c>
      <c r="BR563" s="49">
        <f t="shared" si="539"/>
        <v>0</v>
      </c>
      <c r="BS563" s="49">
        <f t="shared" si="540"/>
        <v>0</v>
      </c>
      <c r="BT563" s="49">
        <f t="shared" si="541"/>
        <v>1</v>
      </c>
      <c r="BU563" s="49">
        <f t="shared" si="542"/>
        <v>0</v>
      </c>
      <c r="BV563" s="49">
        <f t="shared" si="543"/>
        <v>0</v>
      </c>
      <c r="BW563" s="49">
        <f t="shared" si="544"/>
        <v>0</v>
      </c>
    </row>
    <row r="564" spans="1:75" ht="35.1" customHeight="1" x14ac:dyDescent="0.3">
      <c r="A564" s="123" t="str">
        <f t="shared" si="545"/>
        <v>5팀</v>
      </c>
      <c r="B564" s="69">
        <f t="shared" si="546"/>
        <v>558</v>
      </c>
      <c r="C564" s="121" t="str">
        <f>IF(VLOOKUP($B564,'1. 현장별 인원현황'!$C:$J,2,0)=0,"",VLOOKUP($B564,'1. 현장별 인원현황'!$C:$J,2,0))</f>
        <v xml:space="preserve"> [5.대광로제비앙] 평택 브레인시티 (가칭)도일1초등학교 신축공사</v>
      </c>
      <c r="D564" s="74" t="str">
        <f>IF(VLOOKUP($B564,'1. 현장별 인원현황'!$C:$J,3,0)=0,"",VLOOKUP($B564,'1. 현장별 인원현황'!$C:$J,3,0))</f>
        <v>방신형</v>
      </c>
      <c r="E564" s="74" t="str">
        <f ca="1">IF(VLOOKUP($B564,'1. 현장별 인원현황'!$C:$J,4,0)=0,"",VLOOKUP($B564,'1. 현장별 인원현황'!$C:$J,4,0))</f>
        <v>42세</v>
      </c>
      <c r="F564" s="70" t="str">
        <f>IF(VLOOKUP($B564,'1. 현장별 인원현황'!$C:$J,7,0)=0,"",VLOOKUP($B564,'1. 현장별 인원현황'!$C:$J,7,0))</f>
        <v>기능공</v>
      </c>
      <c r="G564" s="72" t="str">
        <f>IF(VLOOKUP($B564,'1. 현장별 인원현황'!$C:$J,8,0)=0,"",VLOOKUP($B564,'1. 현장별 인원현황'!$C:$J,8,0))</f>
        <v>전공</v>
      </c>
      <c r="H564" s="67" t="s">
        <v>69</v>
      </c>
      <c r="I564" s="73"/>
      <c r="J564" s="73"/>
      <c r="K564" s="68"/>
      <c r="L564" s="67"/>
      <c r="M564" s="73" t="s">
        <v>69</v>
      </c>
      <c r="N564" s="73"/>
      <c r="O564" s="68"/>
      <c r="P564" s="67"/>
      <c r="Q564" s="73" t="s">
        <v>69</v>
      </c>
      <c r="R564" s="73"/>
      <c r="S564" s="68"/>
      <c r="T564" s="67"/>
      <c r="U564" s="73" t="s">
        <v>69</v>
      </c>
      <c r="V564" s="73"/>
      <c r="W564" s="68"/>
      <c r="X564" s="67"/>
      <c r="Y564" s="73"/>
      <c r="Z564" s="73" t="s">
        <v>69</v>
      </c>
      <c r="AA564" s="68"/>
      <c r="AB564" s="67" t="s">
        <v>69</v>
      </c>
      <c r="AC564" s="73"/>
      <c r="AD564" s="73"/>
      <c r="AE564" s="68"/>
      <c r="AF564" s="67"/>
      <c r="AG564" s="73" t="s">
        <v>69</v>
      </c>
      <c r="AH564" s="73"/>
      <c r="AI564" s="68"/>
      <c r="AJ564" s="67"/>
      <c r="AK564" s="73" t="s">
        <v>69</v>
      </c>
      <c r="AL564" s="73"/>
      <c r="AM564" s="68"/>
      <c r="AN564" s="67">
        <f t="shared" si="547"/>
        <v>74</v>
      </c>
      <c r="AO564" s="68" t="str">
        <f t="shared" si="548"/>
        <v>A</v>
      </c>
      <c r="AR564" s="49">
        <f t="shared" si="513"/>
        <v>1</v>
      </c>
      <c r="AS564" s="49">
        <f t="shared" si="514"/>
        <v>0</v>
      </c>
      <c r="AT564" s="49">
        <f t="shared" si="515"/>
        <v>0</v>
      </c>
      <c r="AU564" s="49">
        <f t="shared" si="516"/>
        <v>0</v>
      </c>
      <c r="AV564" s="49">
        <f t="shared" si="517"/>
        <v>0</v>
      </c>
      <c r="AW564" s="49">
        <f t="shared" si="518"/>
        <v>1</v>
      </c>
      <c r="AX564" s="49">
        <f t="shared" si="519"/>
        <v>0</v>
      </c>
      <c r="AY564" s="49">
        <f t="shared" si="520"/>
        <v>0</v>
      </c>
      <c r="AZ564" s="49">
        <f t="shared" si="521"/>
        <v>0</v>
      </c>
      <c r="BA564" s="49">
        <f t="shared" si="522"/>
        <v>1</v>
      </c>
      <c r="BB564" s="49">
        <f t="shared" si="523"/>
        <v>0</v>
      </c>
      <c r="BC564" s="49">
        <f t="shared" si="524"/>
        <v>0</v>
      </c>
      <c r="BD564" s="49">
        <f t="shared" si="525"/>
        <v>0</v>
      </c>
      <c r="BE564" s="49">
        <f t="shared" si="526"/>
        <v>1</v>
      </c>
      <c r="BF564" s="49">
        <f t="shared" si="527"/>
        <v>0</v>
      </c>
      <c r="BG564" s="49">
        <f t="shared" si="528"/>
        <v>0</v>
      </c>
      <c r="BH564" s="49">
        <f t="shared" si="529"/>
        <v>0</v>
      </c>
      <c r="BI564" s="49">
        <f t="shared" si="530"/>
        <v>0</v>
      </c>
      <c r="BJ564" s="49">
        <f t="shared" si="531"/>
        <v>1</v>
      </c>
      <c r="BK564" s="49">
        <f t="shared" si="532"/>
        <v>0</v>
      </c>
      <c r="BL564" s="49">
        <f t="shared" si="533"/>
        <v>1</v>
      </c>
      <c r="BM564" s="49">
        <f t="shared" si="534"/>
        <v>0</v>
      </c>
      <c r="BN564" s="49">
        <f t="shared" si="535"/>
        <v>0</v>
      </c>
      <c r="BO564" s="49">
        <f t="shared" si="536"/>
        <v>0</v>
      </c>
      <c r="BP564" s="49">
        <f t="shared" si="537"/>
        <v>0</v>
      </c>
      <c r="BQ564" s="49">
        <f t="shared" si="538"/>
        <v>1</v>
      </c>
      <c r="BR564" s="49">
        <f t="shared" si="539"/>
        <v>0</v>
      </c>
      <c r="BS564" s="49">
        <f t="shared" si="540"/>
        <v>0</v>
      </c>
      <c r="BT564" s="49">
        <f t="shared" si="541"/>
        <v>0</v>
      </c>
      <c r="BU564" s="49">
        <f t="shared" si="542"/>
        <v>1</v>
      </c>
      <c r="BV564" s="49">
        <f t="shared" si="543"/>
        <v>0</v>
      </c>
      <c r="BW564" s="49">
        <f t="shared" si="544"/>
        <v>0</v>
      </c>
    </row>
    <row r="565" spans="1:75" ht="35.1" customHeight="1" x14ac:dyDescent="0.3">
      <c r="A565" s="123" t="str">
        <f t="shared" si="545"/>
        <v>5팀</v>
      </c>
      <c r="B565" s="69">
        <f t="shared" si="546"/>
        <v>559</v>
      </c>
      <c r="C565" s="121" t="str">
        <f>IF(VLOOKUP($B565,'1. 현장별 인원현황'!$C:$J,2,0)=0,"",VLOOKUP($B565,'1. 현장별 인원현황'!$C:$J,2,0))</f>
        <v xml:space="preserve"> [5.대광로제비앙] 평택 브레인시티 2블럭</v>
      </c>
      <c r="D565" s="74" t="str">
        <f>IF(VLOOKUP($B565,'1. 현장별 인원현황'!$C:$J,3,0)=0,"",VLOOKUP($B565,'1. 현장별 인원현황'!$C:$J,3,0))</f>
        <v>황경식</v>
      </c>
      <c r="E565" s="74" t="str">
        <f ca="1">IF(VLOOKUP($B565,'1. 현장별 인원현황'!$C:$J,4,0)=0,"",VLOOKUP($B565,'1. 현장별 인원현황'!$C:$J,4,0))</f>
        <v>33세</v>
      </c>
      <c r="F565" s="70" t="str">
        <f>IF(VLOOKUP($B565,'1. 현장별 인원현황'!$C:$J,7,0)=0,"",VLOOKUP($B565,'1. 현장별 인원현황'!$C:$J,7,0))</f>
        <v>공무</v>
      </c>
      <c r="G565" s="72" t="str">
        <f>IF(VLOOKUP($B565,'1. 현장별 인원현황'!$C:$J,8,0)=0,"",VLOOKUP($B565,'1. 현장별 인원현황'!$C:$J,8,0))</f>
        <v>과장</v>
      </c>
      <c r="H565" s="67" t="s">
        <v>69</v>
      </c>
      <c r="I565" s="73"/>
      <c r="J565" s="73"/>
      <c r="K565" s="68"/>
      <c r="L565" s="67"/>
      <c r="M565" s="73" t="s">
        <v>69</v>
      </c>
      <c r="N565" s="73"/>
      <c r="O565" s="68"/>
      <c r="P565" s="67"/>
      <c r="Q565" s="73" t="s">
        <v>69</v>
      </c>
      <c r="R565" s="73"/>
      <c r="S565" s="68"/>
      <c r="T565" s="67"/>
      <c r="U565" s="73"/>
      <c r="V565" s="73" t="s">
        <v>69</v>
      </c>
      <c r="W565" s="68"/>
      <c r="X565" s="67"/>
      <c r="Y565" s="73"/>
      <c r="Z565" s="73" t="s">
        <v>69</v>
      </c>
      <c r="AA565" s="68"/>
      <c r="AB565" s="67" t="s">
        <v>69</v>
      </c>
      <c r="AC565" s="73"/>
      <c r="AD565" s="73"/>
      <c r="AE565" s="68"/>
      <c r="AF565" s="67"/>
      <c r="AG565" s="73" t="s">
        <v>69</v>
      </c>
      <c r="AH565" s="73"/>
      <c r="AI565" s="68"/>
      <c r="AJ565" s="67" t="s">
        <v>69</v>
      </c>
      <c r="AK565" s="73"/>
      <c r="AL565" s="73"/>
      <c r="AM565" s="68"/>
      <c r="AN565" s="67">
        <f t="shared" si="547"/>
        <v>73</v>
      </c>
      <c r="AO565" s="68" t="str">
        <f t="shared" si="548"/>
        <v>A</v>
      </c>
      <c r="AR565" s="49">
        <f t="shared" si="513"/>
        <v>1</v>
      </c>
      <c r="AS565" s="49">
        <f t="shared" si="514"/>
        <v>0</v>
      </c>
      <c r="AT565" s="49">
        <f t="shared" si="515"/>
        <v>0</v>
      </c>
      <c r="AU565" s="49">
        <f t="shared" si="516"/>
        <v>0</v>
      </c>
      <c r="AV565" s="49">
        <f t="shared" si="517"/>
        <v>0</v>
      </c>
      <c r="AW565" s="49">
        <f t="shared" si="518"/>
        <v>1</v>
      </c>
      <c r="AX565" s="49">
        <f t="shared" si="519"/>
        <v>0</v>
      </c>
      <c r="AY565" s="49">
        <f t="shared" si="520"/>
        <v>0</v>
      </c>
      <c r="AZ565" s="49">
        <f t="shared" si="521"/>
        <v>0</v>
      </c>
      <c r="BA565" s="49">
        <f t="shared" si="522"/>
        <v>1</v>
      </c>
      <c r="BB565" s="49">
        <f t="shared" si="523"/>
        <v>0</v>
      </c>
      <c r="BC565" s="49">
        <f t="shared" si="524"/>
        <v>0</v>
      </c>
      <c r="BD565" s="49">
        <f t="shared" si="525"/>
        <v>0</v>
      </c>
      <c r="BE565" s="49">
        <f t="shared" si="526"/>
        <v>0</v>
      </c>
      <c r="BF565" s="49">
        <f t="shared" si="527"/>
        <v>1</v>
      </c>
      <c r="BG565" s="49">
        <f t="shared" si="528"/>
        <v>0</v>
      </c>
      <c r="BH565" s="49">
        <f t="shared" si="529"/>
        <v>0</v>
      </c>
      <c r="BI565" s="49">
        <f t="shared" si="530"/>
        <v>0</v>
      </c>
      <c r="BJ565" s="49">
        <f t="shared" si="531"/>
        <v>1</v>
      </c>
      <c r="BK565" s="49">
        <f t="shared" si="532"/>
        <v>0</v>
      </c>
      <c r="BL565" s="49">
        <f t="shared" si="533"/>
        <v>1</v>
      </c>
      <c r="BM565" s="49">
        <f t="shared" si="534"/>
        <v>0</v>
      </c>
      <c r="BN565" s="49">
        <f t="shared" si="535"/>
        <v>0</v>
      </c>
      <c r="BO565" s="49">
        <f t="shared" si="536"/>
        <v>0</v>
      </c>
      <c r="BP565" s="49">
        <f t="shared" si="537"/>
        <v>0</v>
      </c>
      <c r="BQ565" s="49">
        <f t="shared" si="538"/>
        <v>1</v>
      </c>
      <c r="BR565" s="49">
        <f t="shared" si="539"/>
        <v>0</v>
      </c>
      <c r="BS565" s="49">
        <f t="shared" si="540"/>
        <v>0</v>
      </c>
      <c r="BT565" s="49">
        <f t="shared" si="541"/>
        <v>1</v>
      </c>
      <c r="BU565" s="49">
        <f t="shared" si="542"/>
        <v>0</v>
      </c>
      <c r="BV565" s="49">
        <f t="shared" si="543"/>
        <v>0</v>
      </c>
      <c r="BW565" s="49">
        <f t="shared" si="544"/>
        <v>0</v>
      </c>
    </row>
    <row r="566" spans="1:75" ht="35.1" customHeight="1" x14ac:dyDescent="0.3">
      <c r="A566" s="123" t="str">
        <f t="shared" si="545"/>
        <v>5팀</v>
      </c>
      <c r="B566" s="69">
        <f t="shared" si="546"/>
        <v>560</v>
      </c>
      <c r="C566" s="121" t="str">
        <f>IF(VLOOKUP($B566,'1. 현장별 인원현황'!$C:$J,2,0)=0,"",VLOOKUP($B566,'1. 현장별 인원현황'!$C:$J,2,0))</f>
        <v xml:space="preserve"> [5.대광로제비앙] 평택 브레인시티 2블럭</v>
      </c>
      <c r="D566" s="74" t="str">
        <f>IF(VLOOKUP($B566,'1. 현장별 인원현황'!$C:$J,3,0)=0,"",VLOOKUP($B566,'1. 현장별 인원현황'!$C:$J,3,0))</f>
        <v>김세연</v>
      </c>
      <c r="E566" s="74" t="str">
        <f ca="1">IF(VLOOKUP($B566,'1. 현장별 인원현황'!$C:$J,4,0)=0,"",VLOOKUP($B566,'1. 현장별 인원현황'!$C:$J,4,0))</f>
        <v>46세</v>
      </c>
      <c r="F566" s="70" t="str">
        <f>IF(VLOOKUP($B566,'1. 현장별 인원현황'!$C:$J,7,0)=0,"",VLOOKUP($B566,'1. 현장별 인원현황'!$C:$J,7,0))</f>
        <v>공무</v>
      </c>
      <c r="G566" s="72" t="str">
        <f>IF(VLOOKUP($B566,'1. 현장별 인원현황'!$C:$J,8,0)=0,"",VLOOKUP($B566,'1. 현장별 인원현황'!$C:$J,8,0))</f>
        <v>대리</v>
      </c>
      <c r="H566" s="67" t="s">
        <v>69</v>
      </c>
      <c r="I566" s="73"/>
      <c r="J566" s="73"/>
      <c r="K566" s="68"/>
      <c r="L566" s="67" t="s">
        <v>69</v>
      </c>
      <c r="M566" s="73"/>
      <c r="N566" s="73"/>
      <c r="O566" s="68"/>
      <c r="P566" s="67"/>
      <c r="Q566" s="73" t="s">
        <v>69</v>
      </c>
      <c r="R566" s="73"/>
      <c r="S566" s="68"/>
      <c r="T566" s="67" t="s">
        <v>69</v>
      </c>
      <c r="U566" s="73"/>
      <c r="V566" s="73"/>
      <c r="W566" s="68"/>
      <c r="X566" s="67"/>
      <c r="Y566" s="73" t="s">
        <v>69</v>
      </c>
      <c r="Z566" s="73"/>
      <c r="AA566" s="68"/>
      <c r="AB566" s="67" t="s">
        <v>69</v>
      </c>
      <c r="AC566" s="73"/>
      <c r="AD566" s="73"/>
      <c r="AE566" s="68"/>
      <c r="AF566" s="67"/>
      <c r="AG566" s="73" t="s">
        <v>69</v>
      </c>
      <c r="AH566" s="73"/>
      <c r="AI566" s="68"/>
      <c r="AJ566" s="67" t="s">
        <v>69</v>
      </c>
      <c r="AK566" s="73"/>
      <c r="AL566" s="73"/>
      <c r="AM566" s="68"/>
      <c r="AN566" s="67">
        <f t="shared" si="547"/>
        <v>89</v>
      </c>
      <c r="AO566" s="68" t="str">
        <f t="shared" si="548"/>
        <v>S</v>
      </c>
      <c r="AR566" s="49">
        <f t="shared" ref="AR566:AR616" si="549">IF(H566&gt;0,1,0)</f>
        <v>1</v>
      </c>
      <c r="AS566" s="49">
        <f t="shared" ref="AS566:AS616" si="550">IF(I566&gt;0,1,0)</f>
        <v>0</v>
      </c>
      <c r="AT566" s="49">
        <f t="shared" ref="AT566:AT616" si="551">IF(J566&gt;0,1,0)</f>
        <v>0</v>
      </c>
      <c r="AU566" s="49">
        <f t="shared" ref="AU566:AU616" si="552">IF(K566&gt;0,1,0)</f>
        <v>0</v>
      </c>
      <c r="AV566" s="49">
        <f t="shared" ref="AV566:AV616" si="553">IF(L566&gt;0,1,0)</f>
        <v>1</v>
      </c>
      <c r="AW566" s="49">
        <f t="shared" ref="AW566:AW616" si="554">IF(M566&gt;0,1,0)</f>
        <v>0</v>
      </c>
      <c r="AX566" s="49">
        <f t="shared" ref="AX566:AX616" si="555">IF(N566&gt;0,1,0)</f>
        <v>0</v>
      </c>
      <c r="AY566" s="49">
        <f t="shared" ref="AY566:AY616" si="556">IF(O566&gt;0,1,0)</f>
        <v>0</v>
      </c>
      <c r="AZ566" s="49">
        <f t="shared" ref="AZ566:AZ616" si="557">IF(P566&gt;0,1,0)</f>
        <v>0</v>
      </c>
      <c r="BA566" s="49">
        <f t="shared" ref="BA566:BA616" si="558">IF(Q566&gt;0,1,0)</f>
        <v>1</v>
      </c>
      <c r="BB566" s="49">
        <f t="shared" ref="BB566:BB616" si="559">IF(R566&gt;0,1,0)</f>
        <v>0</v>
      </c>
      <c r="BC566" s="49">
        <f t="shared" ref="BC566:BC616" si="560">IF(S566&gt;0,1,0)</f>
        <v>0</v>
      </c>
      <c r="BD566" s="49">
        <f t="shared" ref="BD566:BD616" si="561">IF(T566&gt;0,1,0)</f>
        <v>1</v>
      </c>
      <c r="BE566" s="49">
        <f t="shared" ref="BE566:BE616" si="562">IF(U566&gt;0,1,0)</f>
        <v>0</v>
      </c>
      <c r="BF566" s="49">
        <f t="shared" ref="BF566:BF616" si="563">IF(V566&gt;0,1,0)</f>
        <v>0</v>
      </c>
      <c r="BG566" s="49">
        <f t="shared" ref="BG566:BG616" si="564">IF(W566&gt;0,1,0)</f>
        <v>0</v>
      </c>
      <c r="BH566" s="49">
        <f t="shared" ref="BH566:BH616" si="565">IF(X566&gt;0,1,0)</f>
        <v>0</v>
      </c>
      <c r="BI566" s="49">
        <f t="shared" ref="BI566:BI616" si="566">IF(Y566&gt;0,1,0)</f>
        <v>1</v>
      </c>
      <c r="BJ566" s="49">
        <f t="shared" ref="BJ566:BJ616" si="567">IF(Z566&gt;0,1,0)</f>
        <v>0</v>
      </c>
      <c r="BK566" s="49">
        <f t="shared" ref="BK566:BK616" si="568">IF(AA566&gt;0,1,0)</f>
        <v>0</v>
      </c>
      <c r="BL566" s="49">
        <f t="shared" ref="BL566:BL616" si="569">IF(AB566&gt;0,1,0)</f>
        <v>1</v>
      </c>
      <c r="BM566" s="49">
        <f t="shared" ref="BM566:BM616" si="570">IF(AC566&gt;0,1,0)</f>
        <v>0</v>
      </c>
      <c r="BN566" s="49">
        <f t="shared" ref="BN566:BN616" si="571">IF(AD566&gt;0,1,0)</f>
        <v>0</v>
      </c>
      <c r="BO566" s="49">
        <f t="shared" ref="BO566:BO616" si="572">IF(AE566&gt;0,1,0)</f>
        <v>0</v>
      </c>
      <c r="BP566" s="49">
        <f t="shared" ref="BP566:BP616" si="573">IF(AF566&gt;0,1,0)</f>
        <v>0</v>
      </c>
      <c r="BQ566" s="49">
        <f t="shared" ref="BQ566:BQ616" si="574">IF(AG566&gt;0,1,0)</f>
        <v>1</v>
      </c>
      <c r="BR566" s="49">
        <f t="shared" ref="BR566:BR616" si="575">IF(AH566&gt;0,1,0)</f>
        <v>0</v>
      </c>
      <c r="BS566" s="49">
        <f t="shared" ref="BS566:BS616" si="576">IF(AI566&gt;0,1,0)</f>
        <v>0</v>
      </c>
      <c r="BT566" s="49">
        <f t="shared" ref="BT566:BT616" si="577">IF(AJ566&gt;0,1,0)</f>
        <v>1</v>
      </c>
      <c r="BU566" s="49">
        <f t="shared" ref="BU566:BU616" si="578">IF(AK566&gt;0,1,0)</f>
        <v>0</v>
      </c>
      <c r="BV566" s="49">
        <f t="shared" ref="BV566:BV616" si="579">IF(AL566&gt;0,1,0)</f>
        <v>0</v>
      </c>
      <c r="BW566" s="49">
        <f t="shared" ref="BW566:BW616" si="580">IF(AM566&gt;0,1,0)</f>
        <v>0</v>
      </c>
    </row>
    <row r="567" spans="1:75" ht="35.1" customHeight="1" x14ac:dyDescent="0.3">
      <c r="A567" s="123" t="str">
        <f t="shared" si="545"/>
        <v>5팀</v>
      </c>
      <c r="B567" s="69">
        <f t="shared" si="546"/>
        <v>561</v>
      </c>
      <c r="C567" s="121" t="str">
        <f>IF(VLOOKUP($B567,'1. 현장별 인원현황'!$C:$J,2,0)=0,"",VLOOKUP($B567,'1. 현장별 인원현황'!$C:$J,2,0))</f>
        <v xml:space="preserve"> [5.대광로제비앙] 평택 브레인시티 2블럭</v>
      </c>
      <c r="D567" s="74" t="str">
        <f>IF(VLOOKUP($B567,'1. 현장별 인원현황'!$C:$J,3,0)=0,"",VLOOKUP($B567,'1. 현장별 인원현황'!$C:$J,3,0))</f>
        <v>황대희</v>
      </c>
      <c r="E567" s="74" t="str">
        <f ca="1">IF(VLOOKUP($B567,'1. 현장별 인원현황'!$C:$J,4,0)=0,"",VLOOKUP($B567,'1. 현장별 인원현황'!$C:$J,4,0))</f>
        <v>47세</v>
      </c>
      <c r="F567" s="70" t="str">
        <f>IF(VLOOKUP($B567,'1. 현장별 인원현황'!$C:$J,7,0)=0,"",VLOOKUP($B567,'1. 현장별 인원현황'!$C:$J,7,0))</f>
        <v>공사</v>
      </c>
      <c r="G567" s="72" t="str">
        <f>IF(VLOOKUP($B567,'1. 현장별 인원현황'!$C:$J,8,0)=0,"",VLOOKUP($B567,'1. 현장별 인원현황'!$C:$J,8,0))</f>
        <v>차장</v>
      </c>
      <c r="H567" s="67"/>
      <c r="I567" s="73" t="s">
        <v>69</v>
      </c>
      <c r="J567" s="73"/>
      <c r="K567" s="68"/>
      <c r="L567" s="67"/>
      <c r="M567" s="73" t="s">
        <v>69</v>
      </c>
      <c r="N567" s="73"/>
      <c r="O567" s="68"/>
      <c r="P567" s="67"/>
      <c r="Q567" s="73" t="s">
        <v>69</v>
      </c>
      <c r="R567" s="73"/>
      <c r="S567" s="68"/>
      <c r="T567" s="67"/>
      <c r="U567" s="73" t="s">
        <v>69</v>
      </c>
      <c r="V567" s="73"/>
      <c r="W567" s="68"/>
      <c r="X567" s="67"/>
      <c r="Y567" s="73" t="s">
        <v>69</v>
      </c>
      <c r="Z567" s="73"/>
      <c r="AA567" s="68"/>
      <c r="AB567" s="67"/>
      <c r="AC567" s="73" t="s">
        <v>69</v>
      </c>
      <c r="AD567" s="73"/>
      <c r="AE567" s="68"/>
      <c r="AF567" s="67"/>
      <c r="AG567" s="73" t="s">
        <v>69</v>
      </c>
      <c r="AH567" s="73"/>
      <c r="AI567" s="68"/>
      <c r="AJ567" s="67"/>
      <c r="AK567" s="73" t="s">
        <v>69</v>
      </c>
      <c r="AL567" s="73"/>
      <c r="AM567" s="68"/>
      <c r="AN567" s="67">
        <f t="shared" si="547"/>
        <v>72</v>
      </c>
      <c r="AO567" s="68" t="str">
        <f t="shared" si="548"/>
        <v>A</v>
      </c>
      <c r="AR567" s="49">
        <f t="shared" si="549"/>
        <v>0</v>
      </c>
      <c r="AS567" s="49">
        <f t="shared" si="550"/>
        <v>1</v>
      </c>
      <c r="AT567" s="49">
        <f t="shared" si="551"/>
        <v>0</v>
      </c>
      <c r="AU567" s="49">
        <f t="shared" si="552"/>
        <v>0</v>
      </c>
      <c r="AV567" s="49">
        <f t="shared" si="553"/>
        <v>0</v>
      </c>
      <c r="AW567" s="49">
        <f t="shared" si="554"/>
        <v>1</v>
      </c>
      <c r="AX567" s="49">
        <f t="shared" si="555"/>
        <v>0</v>
      </c>
      <c r="AY567" s="49">
        <f t="shared" si="556"/>
        <v>0</v>
      </c>
      <c r="AZ567" s="49">
        <f t="shared" si="557"/>
        <v>0</v>
      </c>
      <c r="BA567" s="49">
        <f t="shared" si="558"/>
        <v>1</v>
      </c>
      <c r="BB567" s="49">
        <f t="shared" si="559"/>
        <v>0</v>
      </c>
      <c r="BC567" s="49">
        <f t="shared" si="560"/>
        <v>0</v>
      </c>
      <c r="BD567" s="49">
        <f t="shared" si="561"/>
        <v>0</v>
      </c>
      <c r="BE567" s="49">
        <f t="shared" si="562"/>
        <v>1</v>
      </c>
      <c r="BF567" s="49">
        <f t="shared" si="563"/>
        <v>0</v>
      </c>
      <c r="BG567" s="49">
        <f t="shared" si="564"/>
        <v>0</v>
      </c>
      <c r="BH567" s="49">
        <f t="shared" si="565"/>
        <v>0</v>
      </c>
      <c r="BI567" s="49">
        <f t="shared" si="566"/>
        <v>1</v>
      </c>
      <c r="BJ567" s="49">
        <f t="shared" si="567"/>
        <v>0</v>
      </c>
      <c r="BK567" s="49">
        <f t="shared" si="568"/>
        <v>0</v>
      </c>
      <c r="BL567" s="49">
        <f t="shared" si="569"/>
        <v>0</v>
      </c>
      <c r="BM567" s="49">
        <f t="shared" si="570"/>
        <v>1</v>
      </c>
      <c r="BN567" s="49">
        <f t="shared" si="571"/>
        <v>0</v>
      </c>
      <c r="BO567" s="49">
        <f t="shared" si="572"/>
        <v>0</v>
      </c>
      <c r="BP567" s="49">
        <f t="shared" si="573"/>
        <v>0</v>
      </c>
      <c r="BQ567" s="49">
        <f t="shared" si="574"/>
        <v>1</v>
      </c>
      <c r="BR567" s="49">
        <f t="shared" si="575"/>
        <v>0</v>
      </c>
      <c r="BS567" s="49">
        <f t="shared" si="576"/>
        <v>0</v>
      </c>
      <c r="BT567" s="49">
        <f t="shared" si="577"/>
        <v>0</v>
      </c>
      <c r="BU567" s="49">
        <f t="shared" si="578"/>
        <v>1</v>
      </c>
      <c r="BV567" s="49">
        <f t="shared" si="579"/>
        <v>0</v>
      </c>
      <c r="BW567" s="49">
        <f t="shared" si="580"/>
        <v>0</v>
      </c>
    </row>
    <row r="568" spans="1:75" ht="35.1" customHeight="1" x14ac:dyDescent="0.3">
      <c r="A568" s="123" t="str">
        <f t="shared" si="545"/>
        <v>5팀</v>
      </c>
      <c r="B568" s="69">
        <f t="shared" si="546"/>
        <v>562</v>
      </c>
      <c r="C568" s="121" t="str">
        <f>IF(VLOOKUP($B568,'1. 현장별 인원현황'!$C:$J,2,0)=0,"",VLOOKUP($B568,'1. 현장별 인원현황'!$C:$J,2,0))</f>
        <v xml:space="preserve"> [5.대광로제비앙] 평택 브레인시티 2블럭</v>
      </c>
      <c r="D568" s="74" t="str">
        <f>IF(VLOOKUP($B568,'1. 현장별 인원현황'!$C:$J,3,0)=0,"",VLOOKUP($B568,'1. 현장별 인원현황'!$C:$J,3,0))</f>
        <v>조동현</v>
      </c>
      <c r="E568" s="74" t="str">
        <f ca="1">IF(VLOOKUP($B568,'1. 현장별 인원현황'!$C:$J,4,0)=0,"",VLOOKUP($B568,'1. 현장별 인원현황'!$C:$J,4,0))</f>
        <v>60세</v>
      </c>
      <c r="F568" s="70" t="str">
        <f>IF(VLOOKUP($B568,'1. 현장별 인원현황'!$C:$J,7,0)=0,"",VLOOKUP($B568,'1. 현장별 인원현황'!$C:$J,7,0))</f>
        <v>기능공</v>
      </c>
      <c r="G568" s="72" t="str">
        <f>IF(VLOOKUP($B568,'1. 현장별 인원현황'!$C:$J,8,0)=0,"",VLOOKUP($B568,'1. 현장별 인원현황'!$C:$J,8,0))</f>
        <v>전공</v>
      </c>
      <c r="H568" s="67"/>
      <c r="I568" s="73" t="s">
        <v>69</v>
      </c>
      <c r="J568" s="73"/>
      <c r="K568" s="68"/>
      <c r="L568" s="67"/>
      <c r="M568" s="73" t="s">
        <v>69</v>
      </c>
      <c r="N568" s="73"/>
      <c r="O568" s="68"/>
      <c r="P568" s="67"/>
      <c r="Q568" s="73" t="s">
        <v>69</v>
      </c>
      <c r="R568" s="73"/>
      <c r="S568" s="68"/>
      <c r="T568" s="67"/>
      <c r="U568" s="73" t="s">
        <v>69</v>
      </c>
      <c r="V568" s="73"/>
      <c r="W568" s="68"/>
      <c r="X568" s="67"/>
      <c r="Y568" s="73" t="s">
        <v>69</v>
      </c>
      <c r="Z568" s="73"/>
      <c r="AA568" s="68"/>
      <c r="AB568" s="67"/>
      <c r="AC568" s="73" t="s">
        <v>69</v>
      </c>
      <c r="AD568" s="73"/>
      <c r="AE568" s="68"/>
      <c r="AF568" s="67"/>
      <c r="AG568" s="73" t="s">
        <v>69</v>
      </c>
      <c r="AH568" s="73"/>
      <c r="AI568" s="68"/>
      <c r="AJ568" s="67"/>
      <c r="AK568" s="73" t="s">
        <v>69</v>
      </c>
      <c r="AL568" s="73"/>
      <c r="AM568" s="68"/>
      <c r="AN568" s="67">
        <f t="shared" si="547"/>
        <v>72</v>
      </c>
      <c r="AO568" s="68" t="str">
        <f t="shared" si="548"/>
        <v>A</v>
      </c>
      <c r="AR568" s="49">
        <f t="shared" si="549"/>
        <v>0</v>
      </c>
      <c r="AS568" s="49">
        <f t="shared" si="550"/>
        <v>1</v>
      </c>
      <c r="AT568" s="49">
        <f t="shared" si="551"/>
        <v>0</v>
      </c>
      <c r="AU568" s="49">
        <f t="shared" si="552"/>
        <v>0</v>
      </c>
      <c r="AV568" s="49">
        <f t="shared" si="553"/>
        <v>0</v>
      </c>
      <c r="AW568" s="49">
        <f t="shared" si="554"/>
        <v>1</v>
      </c>
      <c r="AX568" s="49">
        <f t="shared" si="555"/>
        <v>0</v>
      </c>
      <c r="AY568" s="49">
        <f t="shared" si="556"/>
        <v>0</v>
      </c>
      <c r="AZ568" s="49">
        <f t="shared" si="557"/>
        <v>0</v>
      </c>
      <c r="BA568" s="49">
        <f t="shared" si="558"/>
        <v>1</v>
      </c>
      <c r="BB568" s="49">
        <f t="shared" si="559"/>
        <v>0</v>
      </c>
      <c r="BC568" s="49">
        <f t="shared" si="560"/>
        <v>0</v>
      </c>
      <c r="BD568" s="49">
        <f t="shared" si="561"/>
        <v>0</v>
      </c>
      <c r="BE568" s="49">
        <f t="shared" si="562"/>
        <v>1</v>
      </c>
      <c r="BF568" s="49">
        <f t="shared" si="563"/>
        <v>0</v>
      </c>
      <c r="BG568" s="49">
        <f t="shared" si="564"/>
        <v>0</v>
      </c>
      <c r="BH568" s="49">
        <f t="shared" si="565"/>
        <v>0</v>
      </c>
      <c r="BI568" s="49">
        <f t="shared" si="566"/>
        <v>1</v>
      </c>
      <c r="BJ568" s="49">
        <f t="shared" si="567"/>
        <v>0</v>
      </c>
      <c r="BK568" s="49">
        <f t="shared" si="568"/>
        <v>0</v>
      </c>
      <c r="BL568" s="49">
        <f t="shared" si="569"/>
        <v>0</v>
      </c>
      <c r="BM568" s="49">
        <f t="shared" si="570"/>
        <v>1</v>
      </c>
      <c r="BN568" s="49">
        <f t="shared" si="571"/>
        <v>0</v>
      </c>
      <c r="BO568" s="49">
        <f t="shared" si="572"/>
        <v>0</v>
      </c>
      <c r="BP568" s="49">
        <f t="shared" si="573"/>
        <v>0</v>
      </c>
      <c r="BQ568" s="49">
        <f t="shared" si="574"/>
        <v>1</v>
      </c>
      <c r="BR568" s="49">
        <f t="shared" si="575"/>
        <v>0</v>
      </c>
      <c r="BS568" s="49">
        <f t="shared" si="576"/>
        <v>0</v>
      </c>
      <c r="BT568" s="49">
        <f t="shared" si="577"/>
        <v>0</v>
      </c>
      <c r="BU568" s="49">
        <f t="shared" si="578"/>
        <v>1</v>
      </c>
      <c r="BV568" s="49">
        <f t="shared" si="579"/>
        <v>0</v>
      </c>
      <c r="BW568" s="49">
        <f t="shared" si="580"/>
        <v>0</v>
      </c>
    </row>
    <row r="569" spans="1:75" ht="35.1" customHeight="1" x14ac:dyDescent="0.3">
      <c r="A569" s="123" t="str">
        <f t="shared" si="545"/>
        <v>5팀</v>
      </c>
      <c r="B569" s="69">
        <f t="shared" si="546"/>
        <v>563</v>
      </c>
      <c r="C569" s="121" t="str">
        <f>IF(VLOOKUP($B569,'1. 현장별 인원현황'!$C:$J,2,0)=0,"",VLOOKUP($B569,'1. 현장별 인원현황'!$C:$J,2,0))</f>
        <v xml:space="preserve"> [5.대광로제비앙] 평택 브레인시티 2블럭</v>
      </c>
      <c r="D569" s="74" t="str">
        <f>IF(VLOOKUP($B569,'1. 현장별 인원현황'!$C:$J,3,0)=0,"",VLOOKUP($B569,'1. 현장별 인원현황'!$C:$J,3,0))</f>
        <v>김용관</v>
      </c>
      <c r="E569" s="74" t="str">
        <f ca="1">IF(VLOOKUP($B569,'1. 현장별 인원현황'!$C:$J,4,0)=0,"",VLOOKUP($B569,'1. 현장별 인원현황'!$C:$J,4,0))</f>
        <v>44세</v>
      </c>
      <c r="F569" s="70" t="str">
        <f>IF(VLOOKUP($B569,'1. 현장별 인원현황'!$C:$J,7,0)=0,"",VLOOKUP($B569,'1. 현장별 인원현황'!$C:$J,7,0))</f>
        <v>기능공</v>
      </c>
      <c r="G569" s="72" t="str">
        <f>IF(VLOOKUP($B569,'1. 현장별 인원현황'!$C:$J,8,0)=0,"",VLOOKUP($B569,'1. 현장별 인원현황'!$C:$J,8,0))</f>
        <v>전공</v>
      </c>
      <c r="H569" s="67"/>
      <c r="I569" s="73" t="s">
        <v>69</v>
      </c>
      <c r="J569" s="73"/>
      <c r="K569" s="68"/>
      <c r="L569" s="67"/>
      <c r="M569" s="73" t="s">
        <v>69</v>
      </c>
      <c r="N569" s="73"/>
      <c r="O569" s="68"/>
      <c r="P569" s="67"/>
      <c r="Q569" s="73" t="s">
        <v>69</v>
      </c>
      <c r="R569" s="73"/>
      <c r="S569" s="68"/>
      <c r="T569" s="67"/>
      <c r="U569" s="73" t="s">
        <v>69</v>
      </c>
      <c r="V569" s="73"/>
      <c r="W569" s="68"/>
      <c r="X569" s="67"/>
      <c r="Y569" s="73" t="s">
        <v>69</v>
      </c>
      <c r="Z569" s="73"/>
      <c r="AA569" s="68"/>
      <c r="AB569" s="67"/>
      <c r="AC569" s="73" t="s">
        <v>69</v>
      </c>
      <c r="AD569" s="73"/>
      <c r="AE569" s="68"/>
      <c r="AF569" s="67"/>
      <c r="AG569" s="73" t="s">
        <v>69</v>
      </c>
      <c r="AH569" s="73"/>
      <c r="AI569" s="68"/>
      <c r="AJ569" s="67"/>
      <c r="AK569" s="73" t="s">
        <v>69</v>
      </c>
      <c r="AL569" s="73"/>
      <c r="AM569" s="68"/>
      <c r="AN569" s="67">
        <f t="shared" si="547"/>
        <v>72</v>
      </c>
      <c r="AO569" s="68" t="str">
        <f t="shared" si="548"/>
        <v>A</v>
      </c>
      <c r="AR569" s="49">
        <f t="shared" si="549"/>
        <v>0</v>
      </c>
      <c r="AS569" s="49">
        <f t="shared" si="550"/>
        <v>1</v>
      </c>
      <c r="AT569" s="49">
        <f t="shared" si="551"/>
        <v>0</v>
      </c>
      <c r="AU569" s="49">
        <f t="shared" si="552"/>
        <v>0</v>
      </c>
      <c r="AV569" s="49">
        <f t="shared" si="553"/>
        <v>0</v>
      </c>
      <c r="AW569" s="49">
        <f t="shared" si="554"/>
        <v>1</v>
      </c>
      <c r="AX569" s="49">
        <f t="shared" si="555"/>
        <v>0</v>
      </c>
      <c r="AY569" s="49">
        <f t="shared" si="556"/>
        <v>0</v>
      </c>
      <c r="AZ569" s="49">
        <f t="shared" si="557"/>
        <v>0</v>
      </c>
      <c r="BA569" s="49">
        <f t="shared" si="558"/>
        <v>1</v>
      </c>
      <c r="BB569" s="49">
        <f t="shared" si="559"/>
        <v>0</v>
      </c>
      <c r="BC569" s="49">
        <f t="shared" si="560"/>
        <v>0</v>
      </c>
      <c r="BD569" s="49">
        <f t="shared" si="561"/>
        <v>0</v>
      </c>
      <c r="BE569" s="49">
        <f t="shared" si="562"/>
        <v>1</v>
      </c>
      <c r="BF569" s="49">
        <f t="shared" si="563"/>
        <v>0</v>
      </c>
      <c r="BG569" s="49">
        <f t="shared" si="564"/>
        <v>0</v>
      </c>
      <c r="BH569" s="49">
        <f t="shared" si="565"/>
        <v>0</v>
      </c>
      <c r="BI569" s="49">
        <f t="shared" si="566"/>
        <v>1</v>
      </c>
      <c r="BJ569" s="49">
        <f t="shared" si="567"/>
        <v>0</v>
      </c>
      <c r="BK569" s="49">
        <f t="shared" si="568"/>
        <v>0</v>
      </c>
      <c r="BL569" s="49">
        <f t="shared" si="569"/>
        <v>0</v>
      </c>
      <c r="BM569" s="49">
        <f t="shared" si="570"/>
        <v>1</v>
      </c>
      <c r="BN569" s="49">
        <f t="shared" si="571"/>
        <v>0</v>
      </c>
      <c r="BO569" s="49">
        <f t="shared" si="572"/>
        <v>0</v>
      </c>
      <c r="BP569" s="49">
        <f t="shared" si="573"/>
        <v>0</v>
      </c>
      <c r="BQ569" s="49">
        <f t="shared" si="574"/>
        <v>1</v>
      </c>
      <c r="BR569" s="49">
        <f t="shared" si="575"/>
        <v>0</v>
      </c>
      <c r="BS569" s="49">
        <f t="shared" si="576"/>
        <v>0</v>
      </c>
      <c r="BT569" s="49">
        <f t="shared" si="577"/>
        <v>0</v>
      </c>
      <c r="BU569" s="49">
        <f t="shared" si="578"/>
        <v>1</v>
      </c>
      <c r="BV569" s="49">
        <f t="shared" si="579"/>
        <v>0</v>
      </c>
      <c r="BW569" s="49">
        <f t="shared" si="580"/>
        <v>0</v>
      </c>
    </row>
    <row r="570" spans="1:75" ht="35.1" customHeight="1" x14ac:dyDescent="0.3">
      <c r="A570" s="123" t="str">
        <f t="shared" si="545"/>
        <v>5팀</v>
      </c>
      <c r="B570" s="69">
        <f t="shared" si="546"/>
        <v>564</v>
      </c>
      <c r="C570" s="121" t="str">
        <f>IF(VLOOKUP($B570,'1. 현장별 인원현황'!$C:$J,2,0)=0,"",VLOOKUP($B570,'1. 현장별 인원현황'!$C:$J,2,0))</f>
        <v xml:space="preserve"> [5.대광로제비앙] 평택 브레인시티 2블럭</v>
      </c>
      <c r="D570" s="74" t="str">
        <f>IF(VLOOKUP($B570,'1. 현장별 인원현황'!$C:$J,3,0)=0,"",VLOOKUP($B570,'1. 현장별 인원현황'!$C:$J,3,0))</f>
        <v>송석빈</v>
      </c>
      <c r="E570" s="74" t="str">
        <f ca="1">IF(VLOOKUP($B570,'1. 현장별 인원현황'!$C:$J,4,0)=0,"",VLOOKUP($B570,'1. 현장별 인원현황'!$C:$J,4,0))</f>
        <v>34세</v>
      </c>
      <c r="F570" s="70" t="str">
        <f>IF(VLOOKUP($B570,'1. 현장별 인원현황'!$C:$J,7,0)=0,"",VLOOKUP($B570,'1. 현장별 인원현황'!$C:$J,7,0))</f>
        <v>기능공</v>
      </c>
      <c r="G570" s="72" t="str">
        <f>IF(VLOOKUP($B570,'1. 현장별 인원현황'!$C:$J,8,0)=0,"",VLOOKUP($B570,'1. 현장별 인원현황'!$C:$J,8,0))</f>
        <v>전공</v>
      </c>
      <c r="H570" s="67"/>
      <c r="I570" s="73" t="s">
        <v>69</v>
      </c>
      <c r="J570" s="73"/>
      <c r="K570" s="68"/>
      <c r="L570" s="67"/>
      <c r="M570" s="73" t="s">
        <v>69</v>
      </c>
      <c r="N570" s="73"/>
      <c r="O570" s="68"/>
      <c r="P570" s="67"/>
      <c r="Q570" s="73" t="s">
        <v>69</v>
      </c>
      <c r="R570" s="73"/>
      <c r="S570" s="68"/>
      <c r="T570" s="67"/>
      <c r="U570" s="73" t="s">
        <v>69</v>
      </c>
      <c r="V570" s="73"/>
      <c r="W570" s="68"/>
      <c r="X570" s="67"/>
      <c r="Y570" s="73" t="s">
        <v>69</v>
      </c>
      <c r="Z570" s="73"/>
      <c r="AA570" s="68"/>
      <c r="AB570" s="67"/>
      <c r="AC570" s="73" t="s">
        <v>69</v>
      </c>
      <c r="AD570" s="73"/>
      <c r="AE570" s="68"/>
      <c r="AF570" s="67"/>
      <c r="AG570" s="73" t="s">
        <v>69</v>
      </c>
      <c r="AH570" s="73"/>
      <c r="AI570" s="68"/>
      <c r="AJ570" s="67"/>
      <c r="AK570" s="73" t="s">
        <v>69</v>
      </c>
      <c r="AL570" s="73"/>
      <c r="AM570" s="68"/>
      <c r="AN570" s="67">
        <f t="shared" si="547"/>
        <v>72</v>
      </c>
      <c r="AO570" s="68" t="str">
        <f t="shared" si="548"/>
        <v>A</v>
      </c>
      <c r="AR570" s="49">
        <f t="shared" si="549"/>
        <v>0</v>
      </c>
      <c r="AS570" s="49">
        <f t="shared" si="550"/>
        <v>1</v>
      </c>
      <c r="AT570" s="49">
        <f t="shared" si="551"/>
        <v>0</v>
      </c>
      <c r="AU570" s="49">
        <f t="shared" si="552"/>
        <v>0</v>
      </c>
      <c r="AV570" s="49">
        <f t="shared" si="553"/>
        <v>0</v>
      </c>
      <c r="AW570" s="49">
        <f t="shared" si="554"/>
        <v>1</v>
      </c>
      <c r="AX570" s="49">
        <f t="shared" si="555"/>
        <v>0</v>
      </c>
      <c r="AY570" s="49">
        <f t="shared" si="556"/>
        <v>0</v>
      </c>
      <c r="AZ570" s="49">
        <f t="shared" si="557"/>
        <v>0</v>
      </c>
      <c r="BA570" s="49">
        <f t="shared" si="558"/>
        <v>1</v>
      </c>
      <c r="BB570" s="49">
        <f t="shared" si="559"/>
        <v>0</v>
      </c>
      <c r="BC570" s="49">
        <f t="shared" si="560"/>
        <v>0</v>
      </c>
      <c r="BD570" s="49">
        <f t="shared" si="561"/>
        <v>0</v>
      </c>
      <c r="BE570" s="49">
        <f t="shared" si="562"/>
        <v>1</v>
      </c>
      <c r="BF570" s="49">
        <f t="shared" si="563"/>
        <v>0</v>
      </c>
      <c r="BG570" s="49">
        <f t="shared" si="564"/>
        <v>0</v>
      </c>
      <c r="BH570" s="49">
        <f t="shared" si="565"/>
        <v>0</v>
      </c>
      <c r="BI570" s="49">
        <f t="shared" si="566"/>
        <v>1</v>
      </c>
      <c r="BJ570" s="49">
        <f t="shared" si="567"/>
        <v>0</v>
      </c>
      <c r="BK570" s="49">
        <f t="shared" si="568"/>
        <v>0</v>
      </c>
      <c r="BL570" s="49">
        <f t="shared" si="569"/>
        <v>0</v>
      </c>
      <c r="BM570" s="49">
        <f t="shared" si="570"/>
        <v>1</v>
      </c>
      <c r="BN570" s="49">
        <f t="shared" si="571"/>
        <v>0</v>
      </c>
      <c r="BO570" s="49">
        <f t="shared" si="572"/>
        <v>0</v>
      </c>
      <c r="BP570" s="49">
        <f t="shared" si="573"/>
        <v>0</v>
      </c>
      <c r="BQ570" s="49">
        <f t="shared" si="574"/>
        <v>1</v>
      </c>
      <c r="BR570" s="49">
        <f t="shared" si="575"/>
        <v>0</v>
      </c>
      <c r="BS570" s="49">
        <f t="shared" si="576"/>
        <v>0</v>
      </c>
      <c r="BT570" s="49">
        <f t="shared" si="577"/>
        <v>0</v>
      </c>
      <c r="BU570" s="49">
        <f t="shared" si="578"/>
        <v>1</v>
      </c>
      <c r="BV570" s="49">
        <f t="shared" si="579"/>
        <v>0</v>
      </c>
      <c r="BW570" s="49">
        <f t="shared" si="580"/>
        <v>0</v>
      </c>
    </row>
    <row r="571" spans="1:75" ht="35.1" customHeight="1" x14ac:dyDescent="0.3">
      <c r="A571" s="123" t="str">
        <f t="shared" si="545"/>
        <v>5팀</v>
      </c>
      <c r="B571" s="69">
        <f t="shared" si="546"/>
        <v>565</v>
      </c>
      <c r="C571" s="121" t="str">
        <f>IF(VLOOKUP($B571,'1. 현장별 인원현황'!$C:$J,2,0)=0,"",VLOOKUP($B571,'1. 현장별 인원현황'!$C:$J,2,0))</f>
        <v xml:space="preserve"> [5.대광로제비앙] 평택 브레인시티 2블럭</v>
      </c>
      <c r="D571" s="74" t="str">
        <f>IF(VLOOKUP($B571,'1. 현장별 인원현황'!$C:$J,3,0)=0,"",VLOOKUP($B571,'1. 현장별 인원현황'!$C:$J,3,0))</f>
        <v>김태연</v>
      </c>
      <c r="E571" s="74" t="str">
        <f ca="1">IF(VLOOKUP($B571,'1. 현장별 인원현황'!$C:$J,4,0)=0,"",VLOOKUP($B571,'1. 현장별 인원현황'!$C:$J,4,0))</f>
        <v>32세</v>
      </c>
      <c r="F571" s="70" t="str">
        <f>IF(VLOOKUP($B571,'1. 현장별 인원현황'!$C:$J,7,0)=0,"",VLOOKUP($B571,'1. 현장별 인원현황'!$C:$J,7,0))</f>
        <v>기능공</v>
      </c>
      <c r="G571" s="72" t="str">
        <f>IF(VLOOKUP($B571,'1. 현장별 인원현황'!$C:$J,8,0)=0,"",VLOOKUP($B571,'1. 현장별 인원현황'!$C:$J,8,0))</f>
        <v>전공</v>
      </c>
      <c r="H571" s="67"/>
      <c r="I571" s="73" t="s">
        <v>69</v>
      </c>
      <c r="J571" s="73"/>
      <c r="K571" s="68"/>
      <c r="L571" s="67"/>
      <c r="M571" s="73" t="s">
        <v>69</v>
      </c>
      <c r="N571" s="73"/>
      <c r="O571" s="68"/>
      <c r="P571" s="67"/>
      <c r="Q571" s="73" t="s">
        <v>69</v>
      </c>
      <c r="R571" s="73"/>
      <c r="S571" s="68"/>
      <c r="T571" s="67"/>
      <c r="U571" s="73" t="s">
        <v>69</v>
      </c>
      <c r="V571" s="73"/>
      <c r="W571" s="68"/>
      <c r="X571" s="67"/>
      <c r="Y571" s="73" t="s">
        <v>69</v>
      </c>
      <c r="Z571" s="73"/>
      <c r="AA571" s="68"/>
      <c r="AB571" s="67"/>
      <c r="AC571" s="73" t="s">
        <v>69</v>
      </c>
      <c r="AD571" s="73"/>
      <c r="AE571" s="68"/>
      <c r="AF571" s="67"/>
      <c r="AG571" s="73" t="s">
        <v>69</v>
      </c>
      <c r="AH571" s="73"/>
      <c r="AI571" s="68"/>
      <c r="AJ571" s="67"/>
      <c r="AK571" s="73" t="s">
        <v>69</v>
      </c>
      <c r="AL571" s="73"/>
      <c r="AM571" s="68"/>
      <c r="AN571" s="67">
        <f t="shared" si="547"/>
        <v>72</v>
      </c>
      <c r="AO571" s="68" t="str">
        <f t="shared" si="548"/>
        <v>A</v>
      </c>
      <c r="AR571" s="49">
        <f t="shared" si="549"/>
        <v>0</v>
      </c>
      <c r="AS571" s="49">
        <f t="shared" si="550"/>
        <v>1</v>
      </c>
      <c r="AT571" s="49">
        <f t="shared" si="551"/>
        <v>0</v>
      </c>
      <c r="AU571" s="49">
        <f t="shared" si="552"/>
        <v>0</v>
      </c>
      <c r="AV571" s="49">
        <f t="shared" si="553"/>
        <v>0</v>
      </c>
      <c r="AW571" s="49">
        <f t="shared" si="554"/>
        <v>1</v>
      </c>
      <c r="AX571" s="49">
        <f t="shared" si="555"/>
        <v>0</v>
      </c>
      <c r="AY571" s="49">
        <f t="shared" si="556"/>
        <v>0</v>
      </c>
      <c r="AZ571" s="49">
        <f t="shared" si="557"/>
        <v>0</v>
      </c>
      <c r="BA571" s="49">
        <f t="shared" si="558"/>
        <v>1</v>
      </c>
      <c r="BB571" s="49">
        <f t="shared" si="559"/>
        <v>0</v>
      </c>
      <c r="BC571" s="49">
        <f t="shared" si="560"/>
        <v>0</v>
      </c>
      <c r="BD571" s="49">
        <f t="shared" si="561"/>
        <v>0</v>
      </c>
      <c r="BE571" s="49">
        <f t="shared" si="562"/>
        <v>1</v>
      </c>
      <c r="BF571" s="49">
        <f t="shared" si="563"/>
        <v>0</v>
      </c>
      <c r="BG571" s="49">
        <f t="shared" si="564"/>
        <v>0</v>
      </c>
      <c r="BH571" s="49">
        <f t="shared" si="565"/>
        <v>0</v>
      </c>
      <c r="BI571" s="49">
        <f t="shared" si="566"/>
        <v>1</v>
      </c>
      <c r="BJ571" s="49">
        <f t="shared" si="567"/>
        <v>0</v>
      </c>
      <c r="BK571" s="49">
        <f t="shared" si="568"/>
        <v>0</v>
      </c>
      <c r="BL571" s="49">
        <f t="shared" si="569"/>
        <v>0</v>
      </c>
      <c r="BM571" s="49">
        <f t="shared" si="570"/>
        <v>1</v>
      </c>
      <c r="BN571" s="49">
        <f t="shared" si="571"/>
        <v>0</v>
      </c>
      <c r="BO571" s="49">
        <f t="shared" si="572"/>
        <v>0</v>
      </c>
      <c r="BP571" s="49">
        <f t="shared" si="573"/>
        <v>0</v>
      </c>
      <c r="BQ571" s="49">
        <f t="shared" si="574"/>
        <v>1</v>
      </c>
      <c r="BR571" s="49">
        <f t="shared" si="575"/>
        <v>0</v>
      </c>
      <c r="BS571" s="49">
        <f t="shared" si="576"/>
        <v>0</v>
      </c>
      <c r="BT571" s="49">
        <f t="shared" si="577"/>
        <v>0</v>
      </c>
      <c r="BU571" s="49">
        <f t="shared" si="578"/>
        <v>1</v>
      </c>
      <c r="BV571" s="49">
        <f t="shared" si="579"/>
        <v>0</v>
      </c>
      <c r="BW571" s="49">
        <f t="shared" si="580"/>
        <v>0</v>
      </c>
    </row>
    <row r="572" spans="1:75" ht="35.1" customHeight="1" x14ac:dyDescent="0.3">
      <c r="A572" s="123" t="str">
        <f t="shared" si="545"/>
        <v>5팀</v>
      </c>
      <c r="B572" s="69">
        <f t="shared" si="546"/>
        <v>566</v>
      </c>
      <c r="C572" s="121" t="str">
        <f>IF(VLOOKUP($B572,'1. 현장별 인원현황'!$C:$J,2,0)=0,"",VLOOKUP($B572,'1. 현장별 인원현황'!$C:$J,2,0))</f>
        <v xml:space="preserve"> [5.대광로제비앙] 평택 브레인시티 2블럭</v>
      </c>
      <c r="D572" s="74" t="str">
        <f>IF(VLOOKUP($B572,'1. 현장별 인원현황'!$C:$J,3,0)=0,"",VLOOKUP($B572,'1. 현장별 인원현황'!$C:$J,3,0))</f>
        <v>김동필</v>
      </c>
      <c r="E572" s="74" t="str">
        <f ca="1">IF(VLOOKUP($B572,'1. 현장별 인원현황'!$C:$J,4,0)=0,"",VLOOKUP($B572,'1. 현장별 인원현황'!$C:$J,4,0))</f>
        <v>55세</v>
      </c>
      <c r="F572" s="70" t="str">
        <f>IF(VLOOKUP($B572,'1. 현장별 인원현황'!$C:$J,7,0)=0,"",VLOOKUP($B572,'1. 현장별 인원현황'!$C:$J,7,0))</f>
        <v>기능공</v>
      </c>
      <c r="G572" s="72" t="str">
        <f>IF(VLOOKUP($B572,'1. 현장별 인원현황'!$C:$J,8,0)=0,"",VLOOKUP($B572,'1. 현장별 인원현황'!$C:$J,8,0))</f>
        <v>전공</v>
      </c>
      <c r="H572" s="67" t="s">
        <v>69</v>
      </c>
      <c r="I572" s="73"/>
      <c r="J572" s="73"/>
      <c r="K572" s="68"/>
      <c r="L572" s="67" t="s">
        <v>69</v>
      </c>
      <c r="M572" s="73"/>
      <c r="N572" s="73"/>
      <c r="O572" s="68"/>
      <c r="P572" s="67" t="s">
        <v>69</v>
      </c>
      <c r="Q572" s="73"/>
      <c r="R572" s="73"/>
      <c r="S572" s="68"/>
      <c r="T572" s="67" t="s">
        <v>69</v>
      </c>
      <c r="U572" s="73"/>
      <c r="V572" s="73"/>
      <c r="W572" s="68"/>
      <c r="X572" s="67" t="s">
        <v>69</v>
      </c>
      <c r="Y572" s="73"/>
      <c r="Z572" s="73"/>
      <c r="AA572" s="68"/>
      <c r="AB572" s="67" t="s">
        <v>69</v>
      </c>
      <c r="AC572" s="73"/>
      <c r="AD572" s="73"/>
      <c r="AE572" s="68"/>
      <c r="AF572" s="67" t="s">
        <v>69</v>
      </c>
      <c r="AG572" s="73"/>
      <c r="AH572" s="73"/>
      <c r="AI572" s="68"/>
      <c r="AJ572" s="67" t="s">
        <v>69</v>
      </c>
      <c r="AK572" s="73"/>
      <c r="AL572" s="73"/>
      <c r="AM572" s="68"/>
      <c r="AN572" s="67">
        <f t="shared" si="547"/>
        <v>100</v>
      </c>
      <c r="AO572" s="68" t="str">
        <f t="shared" si="548"/>
        <v>S</v>
      </c>
      <c r="AR572" s="49">
        <f t="shared" si="549"/>
        <v>1</v>
      </c>
      <c r="AS572" s="49">
        <f t="shared" si="550"/>
        <v>0</v>
      </c>
      <c r="AT572" s="49">
        <f t="shared" si="551"/>
        <v>0</v>
      </c>
      <c r="AU572" s="49">
        <f t="shared" si="552"/>
        <v>0</v>
      </c>
      <c r="AV572" s="49">
        <f t="shared" si="553"/>
        <v>1</v>
      </c>
      <c r="AW572" s="49">
        <f t="shared" si="554"/>
        <v>0</v>
      </c>
      <c r="AX572" s="49">
        <f t="shared" si="555"/>
        <v>0</v>
      </c>
      <c r="AY572" s="49">
        <f t="shared" si="556"/>
        <v>0</v>
      </c>
      <c r="AZ572" s="49">
        <f t="shared" si="557"/>
        <v>1</v>
      </c>
      <c r="BA572" s="49">
        <f t="shared" si="558"/>
        <v>0</v>
      </c>
      <c r="BB572" s="49">
        <f t="shared" si="559"/>
        <v>0</v>
      </c>
      <c r="BC572" s="49">
        <f t="shared" si="560"/>
        <v>0</v>
      </c>
      <c r="BD572" s="49">
        <f t="shared" si="561"/>
        <v>1</v>
      </c>
      <c r="BE572" s="49">
        <f t="shared" si="562"/>
        <v>0</v>
      </c>
      <c r="BF572" s="49">
        <f t="shared" si="563"/>
        <v>0</v>
      </c>
      <c r="BG572" s="49">
        <f t="shared" si="564"/>
        <v>0</v>
      </c>
      <c r="BH572" s="49">
        <f t="shared" si="565"/>
        <v>1</v>
      </c>
      <c r="BI572" s="49">
        <f t="shared" si="566"/>
        <v>0</v>
      </c>
      <c r="BJ572" s="49">
        <f t="shared" si="567"/>
        <v>0</v>
      </c>
      <c r="BK572" s="49">
        <f t="shared" si="568"/>
        <v>0</v>
      </c>
      <c r="BL572" s="49">
        <f t="shared" si="569"/>
        <v>1</v>
      </c>
      <c r="BM572" s="49">
        <f t="shared" si="570"/>
        <v>0</v>
      </c>
      <c r="BN572" s="49">
        <f t="shared" si="571"/>
        <v>0</v>
      </c>
      <c r="BO572" s="49">
        <f t="shared" si="572"/>
        <v>0</v>
      </c>
      <c r="BP572" s="49">
        <f t="shared" si="573"/>
        <v>1</v>
      </c>
      <c r="BQ572" s="49">
        <f t="shared" si="574"/>
        <v>0</v>
      </c>
      <c r="BR572" s="49">
        <f t="shared" si="575"/>
        <v>0</v>
      </c>
      <c r="BS572" s="49">
        <f t="shared" si="576"/>
        <v>0</v>
      </c>
      <c r="BT572" s="49">
        <f t="shared" si="577"/>
        <v>1</v>
      </c>
      <c r="BU572" s="49">
        <f t="shared" si="578"/>
        <v>0</v>
      </c>
      <c r="BV572" s="49">
        <f t="shared" si="579"/>
        <v>0</v>
      </c>
      <c r="BW572" s="49">
        <f t="shared" si="580"/>
        <v>0</v>
      </c>
    </row>
    <row r="573" spans="1:75" ht="35.1" customHeight="1" x14ac:dyDescent="0.3">
      <c r="A573" s="123" t="str">
        <f t="shared" si="545"/>
        <v>5팀</v>
      </c>
      <c r="B573" s="69">
        <f t="shared" si="546"/>
        <v>567</v>
      </c>
      <c r="C573" s="121" t="str">
        <f>IF(VLOOKUP($B573,'1. 현장별 인원현황'!$C:$J,2,0)=0,"",VLOOKUP($B573,'1. 현장별 인원현황'!$C:$J,2,0))</f>
        <v xml:space="preserve"> [5.대광로제비앙] 평택 브레인시티 2블럭</v>
      </c>
      <c r="D573" s="74" t="str">
        <f>IF(VLOOKUP($B573,'1. 현장별 인원현황'!$C:$J,3,0)=0,"",VLOOKUP($B573,'1. 현장별 인원현황'!$C:$J,3,0))</f>
        <v>고민승</v>
      </c>
      <c r="E573" s="74" t="str">
        <f ca="1">IF(VLOOKUP($B573,'1. 현장별 인원현황'!$C:$J,4,0)=0,"",VLOOKUP($B573,'1. 현장별 인원현황'!$C:$J,4,0))</f>
        <v>42세</v>
      </c>
      <c r="F573" s="70" t="str">
        <f>IF(VLOOKUP($B573,'1. 현장별 인원현황'!$C:$J,7,0)=0,"",VLOOKUP($B573,'1. 현장별 인원현황'!$C:$J,7,0))</f>
        <v>기능공</v>
      </c>
      <c r="G573" s="72" t="str">
        <f>IF(VLOOKUP($B573,'1. 현장별 인원현황'!$C:$J,8,0)=0,"",VLOOKUP($B573,'1. 현장별 인원현황'!$C:$J,8,0))</f>
        <v>조공</v>
      </c>
      <c r="H573" s="67" t="s">
        <v>69</v>
      </c>
      <c r="I573" s="73"/>
      <c r="J573" s="73"/>
      <c r="K573" s="68"/>
      <c r="L573" s="67" t="s">
        <v>69</v>
      </c>
      <c r="M573" s="73"/>
      <c r="N573" s="73"/>
      <c r="O573" s="68"/>
      <c r="P573" s="67" t="s">
        <v>69</v>
      </c>
      <c r="Q573" s="73"/>
      <c r="R573" s="73"/>
      <c r="S573" s="68"/>
      <c r="T573" s="67" t="s">
        <v>69</v>
      </c>
      <c r="U573" s="73"/>
      <c r="V573" s="73"/>
      <c r="W573" s="68"/>
      <c r="X573" s="67" t="s">
        <v>69</v>
      </c>
      <c r="Y573" s="73"/>
      <c r="Z573" s="73"/>
      <c r="AA573" s="68"/>
      <c r="AB573" s="67" t="s">
        <v>69</v>
      </c>
      <c r="AC573" s="73"/>
      <c r="AD573" s="73"/>
      <c r="AE573" s="68"/>
      <c r="AF573" s="67" t="s">
        <v>69</v>
      </c>
      <c r="AG573" s="73"/>
      <c r="AH573" s="73"/>
      <c r="AI573" s="68"/>
      <c r="AJ573" s="67" t="s">
        <v>69</v>
      </c>
      <c r="AK573" s="73"/>
      <c r="AL573" s="73"/>
      <c r="AM573" s="68"/>
      <c r="AN573" s="67">
        <f t="shared" si="547"/>
        <v>100</v>
      </c>
      <c r="AO573" s="68" t="str">
        <f t="shared" si="548"/>
        <v>S</v>
      </c>
      <c r="AR573" s="49">
        <f t="shared" si="549"/>
        <v>1</v>
      </c>
      <c r="AS573" s="49">
        <f t="shared" si="550"/>
        <v>0</v>
      </c>
      <c r="AT573" s="49">
        <f t="shared" si="551"/>
        <v>0</v>
      </c>
      <c r="AU573" s="49">
        <f t="shared" si="552"/>
        <v>0</v>
      </c>
      <c r="AV573" s="49">
        <f t="shared" si="553"/>
        <v>1</v>
      </c>
      <c r="AW573" s="49">
        <f t="shared" si="554"/>
        <v>0</v>
      </c>
      <c r="AX573" s="49">
        <f t="shared" si="555"/>
        <v>0</v>
      </c>
      <c r="AY573" s="49">
        <f t="shared" si="556"/>
        <v>0</v>
      </c>
      <c r="AZ573" s="49">
        <f t="shared" si="557"/>
        <v>1</v>
      </c>
      <c r="BA573" s="49">
        <f t="shared" si="558"/>
        <v>0</v>
      </c>
      <c r="BB573" s="49">
        <f t="shared" si="559"/>
        <v>0</v>
      </c>
      <c r="BC573" s="49">
        <f t="shared" si="560"/>
        <v>0</v>
      </c>
      <c r="BD573" s="49">
        <f t="shared" si="561"/>
        <v>1</v>
      </c>
      <c r="BE573" s="49">
        <f t="shared" si="562"/>
        <v>0</v>
      </c>
      <c r="BF573" s="49">
        <f t="shared" si="563"/>
        <v>0</v>
      </c>
      <c r="BG573" s="49">
        <f t="shared" si="564"/>
        <v>0</v>
      </c>
      <c r="BH573" s="49">
        <f t="shared" si="565"/>
        <v>1</v>
      </c>
      <c r="BI573" s="49">
        <f t="shared" si="566"/>
        <v>0</v>
      </c>
      <c r="BJ573" s="49">
        <f t="shared" si="567"/>
        <v>0</v>
      </c>
      <c r="BK573" s="49">
        <f t="shared" si="568"/>
        <v>0</v>
      </c>
      <c r="BL573" s="49">
        <f t="shared" si="569"/>
        <v>1</v>
      </c>
      <c r="BM573" s="49">
        <f t="shared" si="570"/>
        <v>0</v>
      </c>
      <c r="BN573" s="49">
        <f t="shared" si="571"/>
        <v>0</v>
      </c>
      <c r="BO573" s="49">
        <f t="shared" si="572"/>
        <v>0</v>
      </c>
      <c r="BP573" s="49">
        <f t="shared" si="573"/>
        <v>1</v>
      </c>
      <c r="BQ573" s="49">
        <f t="shared" si="574"/>
        <v>0</v>
      </c>
      <c r="BR573" s="49">
        <f t="shared" si="575"/>
        <v>0</v>
      </c>
      <c r="BS573" s="49">
        <f t="shared" si="576"/>
        <v>0</v>
      </c>
      <c r="BT573" s="49">
        <f t="shared" si="577"/>
        <v>1</v>
      </c>
      <c r="BU573" s="49">
        <f t="shared" si="578"/>
        <v>0</v>
      </c>
      <c r="BV573" s="49">
        <f t="shared" si="579"/>
        <v>0</v>
      </c>
      <c r="BW573" s="49">
        <f t="shared" si="580"/>
        <v>0</v>
      </c>
    </row>
    <row r="574" spans="1:75" ht="35.1" customHeight="1" x14ac:dyDescent="0.3">
      <c r="A574" s="123" t="str">
        <f t="shared" si="545"/>
        <v>5팀</v>
      </c>
      <c r="B574" s="69">
        <f t="shared" si="546"/>
        <v>568</v>
      </c>
      <c r="C574" s="121" t="str">
        <f>IF(VLOOKUP($B574,'1. 현장별 인원현황'!$C:$J,2,0)=0,"",VLOOKUP($B574,'1. 현장별 인원현황'!$C:$J,2,0))</f>
        <v xml:space="preserve"> [5.대보건설] 등촌동 청년주택 신축공사</v>
      </c>
      <c r="D574" s="74" t="str">
        <f>IF(VLOOKUP($B574,'1. 현장별 인원현황'!$C:$J,3,0)=0,"",VLOOKUP($B574,'1. 현장별 인원현황'!$C:$J,3,0))</f>
        <v>김동주</v>
      </c>
      <c r="E574" s="74" t="str">
        <f ca="1">IF(VLOOKUP($B574,'1. 현장별 인원현황'!$C:$J,4,0)=0,"",VLOOKUP($B574,'1. 현장별 인원현황'!$C:$J,4,0))</f>
        <v>23세</v>
      </c>
      <c r="F574" s="70" t="str">
        <f>IF(VLOOKUP($B574,'1. 현장별 인원현황'!$C:$J,7,0)=0,"",VLOOKUP($B574,'1. 현장별 인원현황'!$C:$J,7,0))</f>
        <v>공무</v>
      </c>
      <c r="G574" s="72" t="str">
        <f>IF(VLOOKUP($B574,'1. 현장별 인원현황'!$C:$J,8,0)=0,"",VLOOKUP($B574,'1. 현장별 인원현황'!$C:$J,8,0))</f>
        <v>대리</v>
      </c>
      <c r="H574" s="67" t="s">
        <v>69</v>
      </c>
      <c r="I574" s="73"/>
      <c r="J574" s="73"/>
      <c r="K574" s="68"/>
      <c r="L574" s="67" t="s">
        <v>69</v>
      </c>
      <c r="M574" s="73"/>
      <c r="N574" s="73"/>
      <c r="O574" s="68"/>
      <c r="P574" s="67" t="s">
        <v>69</v>
      </c>
      <c r="Q574" s="73"/>
      <c r="R574" s="73"/>
      <c r="S574" s="68"/>
      <c r="T574" s="67" t="s">
        <v>69</v>
      </c>
      <c r="U574" s="73"/>
      <c r="V574" s="73"/>
      <c r="W574" s="68"/>
      <c r="X574" s="67" t="s">
        <v>69</v>
      </c>
      <c r="Y574" s="73"/>
      <c r="Z574" s="73"/>
      <c r="AA574" s="68"/>
      <c r="AB574" s="67" t="s">
        <v>69</v>
      </c>
      <c r="AC574" s="73"/>
      <c r="AD574" s="73"/>
      <c r="AE574" s="68"/>
      <c r="AF574" s="67" t="s">
        <v>69</v>
      </c>
      <c r="AG574" s="73"/>
      <c r="AH574" s="73"/>
      <c r="AI574" s="68"/>
      <c r="AJ574" s="67" t="s">
        <v>69</v>
      </c>
      <c r="AK574" s="73"/>
      <c r="AL574" s="73"/>
      <c r="AM574" s="68"/>
      <c r="AN574" s="67">
        <f t="shared" si="547"/>
        <v>100</v>
      </c>
      <c r="AO574" s="68" t="str">
        <f t="shared" si="548"/>
        <v>S</v>
      </c>
      <c r="AR574" s="49">
        <f t="shared" si="549"/>
        <v>1</v>
      </c>
      <c r="AS574" s="49">
        <f t="shared" si="550"/>
        <v>0</v>
      </c>
      <c r="AT574" s="49">
        <f t="shared" si="551"/>
        <v>0</v>
      </c>
      <c r="AU574" s="49">
        <f t="shared" si="552"/>
        <v>0</v>
      </c>
      <c r="AV574" s="49">
        <f t="shared" si="553"/>
        <v>1</v>
      </c>
      <c r="AW574" s="49">
        <f t="shared" si="554"/>
        <v>0</v>
      </c>
      <c r="AX574" s="49">
        <f t="shared" si="555"/>
        <v>0</v>
      </c>
      <c r="AY574" s="49">
        <f t="shared" si="556"/>
        <v>0</v>
      </c>
      <c r="AZ574" s="49">
        <f t="shared" si="557"/>
        <v>1</v>
      </c>
      <c r="BA574" s="49">
        <f t="shared" si="558"/>
        <v>0</v>
      </c>
      <c r="BB574" s="49">
        <f t="shared" si="559"/>
        <v>0</v>
      </c>
      <c r="BC574" s="49">
        <f t="shared" si="560"/>
        <v>0</v>
      </c>
      <c r="BD574" s="49">
        <f t="shared" si="561"/>
        <v>1</v>
      </c>
      <c r="BE574" s="49">
        <f t="shared" si="562"/>
        <v>0</v>
      </c>
      <c r="BF574" s="49">
        <f t="shared" si="563"/>
        <v>0</v>
      </c>
      <c r="BG574" s="49">
        <f t="shared" si="564"/>
        <v>0</v>
      </c>
      <c r="BH574" s="49">
        <f t="shared" si="565"/>
        <v>1</v>
      </c>
      <c r="BI574" s="49">
        <f t="shared" si="566"/>
        <v>0</v>
      </c>
      <c r="BJ574" s="49">
        <f t="shared" si="567"/>
        <v>0</v>
      </c>
      <c r="BK574" s="49">
        <f t="shared" si="568"/>
        <v>0</v>
      </c>
      <c r="BL574" s="49">
        <f t="shared" si="569"/>
        <v>1</v>
      </c>
      <c r="BM574" s="49">
        <f t="shared" si="570"/>
        <v>0</v>
      </c>
      <c r="BN574" s="49">
        <f t="shared" si="571"/>
        <v>0</v>
      </c>
      <c r="BO574" s="49">
        <f t="shared" si="572"/>
        <v>0</v>
      </c>
      <c r="BP574" s="49">
        <f t="shared" si="573"/>
        <v>1</v>
      </c>
      <c r="BQ574" s="49">
        <f t="shared" si="574"/>
        <v>0</v>
      </c>
      <c r="BR574" s="49">
        <f t="shared" si="575"/>
        <v>0</v>
      </c>
      <c r="BS574" s="49">
        <f t="shared" si="576"/>
        <v>0</v>
      </c>
      <c r="BT574" s="49">
        <f t="shared" si="577"/>
        <v>1</v>
      </c>
      <c r="BU574" s="49">
        <f t="shared" si="578"/>
        <v>0</v>
      </c>
      <c r="BV574" s="49">
        <f t="shared" si="579"/>
        <v>0</v>
      </c>
      <c r="BW574" s="49">
        <f t="shared" si="580"/>
        <v>0</v>
      </c>
    </row>
    <row r="575" spans="1:75" ht="35.1" customHeight="1" x14ac:dyDescent="0.3">
      <c r="A575" s="123" t="str">
        <f t="shared" si="545"/>
        <v>5팀</v>
      </c>
      <c r="B575" s="69">
        <f t="shared" si="546"/>
        <v>569</v>
      </c>
      <c r="C575" s="121" t="str">
        <f>IF(VLOOKUP($B575,'1. 현장별 인원현황'!$C:$J,2,0)=0,"",VLOOKUP($B575,'1. 현장별 인원현황'!$C:$J,2,0))</f>
        <v xml:space="preserve"> [5.대보건설] 등촌동 청년주택 신축공사</v>
      </c>
      <c r="D575" s="74" t="str">
        <f>IF(VLOOKUP($B575,'1. 현장별 인원현황'!$C:$J,3,0)=0,"",VLOOKUP($B575,'1. 현장별 인원현황'!$C:$J,3,0))</f>
        <v>서인기</v>
      </c>
      <c r="E575" s="74" t="str">
        <f ca="1">IF(VLOOKUP($B575,'1. 현장별 인원현황'!$C:$J,4,0)=0,"",VLOOKUP($B575,'1. 현장별 인원현황'!$C:$J,4,0))</f>
        <v>52세</v>
      </c>
      <c r="F575" s="70" t="str">
        <f>IF(VLOOKUP($B575,'1. 현장별 인원현황'!$C:$J,7,0)=0,"",VLOOKUP($B575,'1. 현장별 인원현황'!$C:$J,7,0))</f>
        <v>공사</v>
      </c>
      <c r="G575" s="72" t="str">
        <f>IF(VLOOKUP($B575,'1. 현장별 인원현황'!$C:$J,8,0)=0,"",VLOOKUP($B575,'1. 현장별 인원현황'!$C:$J,8,0))</f>
        <v>전공</v>
      </c>
      <c r="H575" s="67" t="s">
        <v>69</v>
      </c>
      <c r="I575" s="73"/>
      <c r="J575" s="73"/>
      <c r="K575" s="68"/>
      <c r="L575" s="67" t="s">
        <v>69</v>
      </c>
      <c r="M575" s="73"/>
      <c r="N575" s="73"/>
      <c r="O575" s="68"/>
      <c r="P575" s="67" t="s">
        <v>69</v>
      </c>
      <c r="Q575" s="73"/>
      <c r="R575" s="73"/>
      <c r="S575" s="68"/>
      <c r="T575" s="67" t="s">
        <v>69</v>
      </c>
      <c r="U575" s="73"/>
      <c r="V575" s="73"/>
      <c r="W575" s="68"/>
      <c r="X575" s="67" t="s">
        <v>69</v>
      </c>
      <c r="Y575" s="73"/>
      <c r="Z575" s="73"/>
      <c r="AA575" s="68"/>
      <c r="AB575" s="67" t="s">
        <v>69</v>
      </c>
      <c r="AC575" s="73"/>
      <c r="AD575" s="73"/>
      <c r="AE575" s="68"/>
      <c r="AF575" s="67" t="s">
        <v>69</v>
      </c>
      <c r="AG575" s="73"/>
      <c r="AH575" s="73"/>
      <c r="AI575" s="68"/>
      <c r="AJ575" s="67" t="s">
        <v>69</v>
      </c>
      <c r="AK575" s="73"/>
      <c r="AL575" s="73"/>
      <c r="AM575" s="68"/>
      <c r="AN575" s="67">
        <f t="shared" si="547"/>
        <v>100</v>
      </c>
      <c r="AO575" s="68" t="str">
        <f t="shared" si="548"/>
        <v>S</v>
      </c>
      <c r="AR575" s="49">
        <f t="shared" si="549"/>
        <v>1</v>
      </c>
      <c r="AS575" s="49">
        <f t="shared" si="550"/>
        <v>0</v>
      </c>
      <c r="AT575" s="49">
        <f t="shared" si="551"/>
        <v>0</v>
      </c>
      <c r="AU575" s="49">
        <f t="shared" si="552"/>
        <v>0</v>
      </c>
      <c r="AV575" s="49">
        <f t="shared" si="553"/>
        <v>1</v>
      </c>
      <c r="AW575" s="49">
        <f t="shared" si="554"/>
        <v>0</v>
      </c>
      <c r="AX575" s="49">
        <f t="shared" si="555"/>
        <v>0</v>
      </c>
      <c r="AY575" s="49">
        <f t="shared" si="556"/>
        <v>0</v>
      </c>
      <c r="AZ575" s="49">
        <f t="shared" si="557"/>
        <v>1</v>
      </c>
      <c r="BA575" s="49">
        <f t="shared" si="558"/>
        <v>0</v>
      </c>
      <c r="BB575" s="49">
        <f t="shared" si="559"/>
        <v>0</v>
      </c>
      <c r="BC575" s="49">
        <f t="shared" si="560"/>
        <v>0</v>
      </c>
      <c r="BD575" s="49">
        <f t="shared" si="561"/>
        <v>1</v>
      </c>
      <c r="BE575" s="49">
        <f t="shared" si="562"/>
        <v>0</v>
      </c>
      <c r="BF575" s="49">
        <f t="shared" si="563"/>
        <v>0</v>
      </c>
      <c r="BG575" s="49">
        <f t="shared" si="564"/>
        <v>0</v>
      </c>
      <c r="BH575" s="49">
        <f t="shared" si="565"/>
        <v>1</v>
      </c>
      <c r="BI575" s="49">
        <f t="shared" si="566"/>
        <v>0</v>
      </c>
      <c r="BJ575" s="49">
        <f t="shared" si="567"/>
        <v>0</v>
      </c>
      <c r="BK575" s="49">
        <f t="shared" si="568"/>
        <v>0</v>
      </c>
      <c r="BL575" s="49">
        <f t="shared" si="569"/>
        <v>1</v>
      </c>
      <c r="BM575" s="49">
        <f t="shared" si="570"/>
        <v>0</v>
      </c>
      <c r="BN575" s="49">
        <f t="shared" si="571"/>
        <v>0</v>
      </c>
      <c r="BO575" s="49">
        <f t="shared" si="572"/>
        <v>0</v>
      </c>
      <c r="BP575" s="49">
        <f t="shared" si="573"/>
        <v>1</v>
      </c>
      <c r="BQ575" s="49">
        <f t="shared" si="574"/>
        <v>0</v>
      </c>
      <c r="BR575" s="49">
        <f t="shared" si="575"/>
        <v>0</v>
      </c>
      <c r="BS575" s="49">
        <f t="shared" si="576"/>
        <v>0</v>
      </c>
      <c r="BT575" s="49">
        <f t="shared" si="577"/>
        <v>1</v>
      </c>
      <c r="BU575" s="49">
        <f t="shared" si="578"/>
        <v>0</v>
      </c>
      <c r="BV575" s="49">
        <f t="shared" si="579"/>
        <v>0</v>
      </c>
      <c r="BW575" s="49">
        <f t="shared" si="580"/>
        <v>0</v>
      </c>
    </row>
    <row r="576" spans="1:75" ht="35.1" customHeight="1" x14ac:dyDescent="0.3">
      <c r="A576" s="123" t="str">
        <f t="shared" si="545"/>
        <v>5팀</v>
      </c>
      <c r="B576" s="69">
        <f t="shared" si="546"/>
        <v>570</v>
      </c>
      <c r="C576" s="121" t="str">
        <f>IF(VLOOKUP($B576,'1. 현장별 인원현황'!$C:$J,2,0)=0,"",VLOOKUP($B576,'1. 현장별 인원현황'!$C:$J,2,0))</f>
        <v xml:space="preserve"> [5.대보건설] 등촌동 청년주택 신축공사</v>
      </c>
      <c r="D576" s="74" t="str">
        <f>IF(VLOOKUP($B576,'1. 현장별 인원현황'!$C:$J,3,0)=0,"",VLOOKUP($B576,'1. 현장별 인원현황'!$C:$J,3,0))</f>
        <v>김대권</v>
      </c>
      <c r="E576" s="74" t="str">
        <f ca="1">IF(VLOOKUP($B576,'1. 현장별 인원현황'!$C:$J,4,0)=0,"",VLOOKUP($B576,'1. 현장별 인원현황'!$C:$J,4,0))</f>
        <v>65세</v>
      </c>
      <c r="F576" s="70" t="str">
        <f>IF(VLOOKUP($B576,'1. 현장별 인원현황'!$C:$J,7,0)=0,"",VLOOKUP($B576,'1. 현장별 인원현황'!$C:$J,7,0))</f>
        <v>기능공</v>
      </c>
      <c r="G576" s="72" t="str">
        <f>IF(VLOOKUP($B576,'1. 현장별 인원현황'!$C:$J,8,0)=0,"",VLOOKUP($B576,'1. 현장별 인원현황'!$C:$J,8,0))</f>
        <v>전공</v>
      </c>
      <c r="H576" s="67" t="s">
        <v>69</v>
      </c>
      <c r="I576" s="73"/>
      <c r="J576" s="73"/>
      <c r="K576" s="68"/>
      <c r="L576" s="67" t="s">
        <v>69</v>
      </c>
      <c r="M576" s="73"/>
      <c r="N576" s="73"/>
      <c r="O576" s="68"/>
      <c r="P576" s="67" t="s">
        <v>69</v>
      </c>
      <c r="Q576" s="73"/>
      <c r="R576" s="73"/>
      <c r="S576" s="68"/>
      <c r="T576" s="67" t="s">
        <v>69</v>
      </c>
      <c r="U576" s="73"/>
      <c r="V576" s="73"/>
      <c r="W576" s="68"/>
      <c r="X576" s="67" t="s">
        <v>69</v>
      </c>
      <c r="Y576" s="73"/>
      <c r="Z576" s="73"/>
      <c r="AA576" s="68"/>
      <c r="AB576" s="67" t="s">
        <v>69</v>
      </c>
      <c r="AC576" s="73"/>
      <c r="AD576" s="73"/>
      <c r="AE576" s="68"/>
      <c r="AF576" s="67" t="s">
        <v>69</v>
      </c>
      <c r="AG576" s="73"/>
      <c r="AH576" s="73"/>
      <c r="AI576" s="68"/>
      <c r="AJ576" s="67" t="s">
        <v>69</v>
      </c>
      <c r="AK576" s="73"/>
      <c r="AL576" s="73"/>
      <c r="AM576" s="68"/>
      <c r="AN576" s="67">
        <f t="shared" si="547"/>
        <v>100</v>
      </c>
      <c r="AO576" s="68" t="str">
        <f t="shared" si="548"/>
        <v>S</v>
      </c>
      <c r="AR576" s="49">
        <f t="shared" si="549"/>
        <v>1</v>
      </c>
      <c r="AS576" s="49">
        <f t="shared" si="550"/>
        <v>0</v>
      </c>
      <c r="AT576" s="49">
        <f t="shared" si="551"/>
        <v>0</v>
      </c>
      <c r="AU576" s="49">
        <f t="shared" si="552"/>
        <v>0</v>
      </c>
      <c r="AV576" s="49">
        <f t="shared" si="553"/>
        <v>1</v>
      </c>
      <c r="AW576" s="49">
        <f t="shared" si="554"/>
        <v>0</v>
      </c>
      <c r="AX576" s="49">
        <f t="shared" si="555"/>
        <v>0</v>
      </c>
      <c r="AY576" s="49">
        <f t="shared" si="556"/>
        <v>0</v>
      </c>
      <c r="AZ576" s="49">
        <f t="shared" si="557"/>
        <v>1</v>
      </c>
      <c r="BA576" s="49">
        <f t="shared" si="558"/>
        <v>0</v>
      </c>
      <c r="BB576" s="49">
        <f t="shared" si="559"/>
        <v>0</v>
      </c>
      <c r="BC576" s="49">
        <f t="shared" si="560"/>
        <v>0</v>
      </c>
      <c r="BD576" s="49">
        <f t="shared" si="561"/>
        <v>1</v>
      </c>
      <c r="BE576" s="49">
        <f t="shared" si="562"/>
        <v>0</v>
      </c>
      <c r="BF576" s="49">
        <f t="shared" si="563"/>
        <v>0</v>
      </c>
      <c r="BG576" s="49">
        <f t="shared" si="564"/>
        <v>0</v>
      </c>
      <c r="BH576" s="49">
        <f t="shared" si="565"/>
        <v>1</v>
      </c>
      <c r="BI576" s="49">
        <f t="shared" si="566"/>
        <v>0</v>
      </c>
      <c r="BJ576" s="49">
        <f t="shared" si="567"/>
        <v>0</v>
      </c>
      <c r="BK576" s="49">
        <f t="shared" si="568"/>
        <v>0</v>
      </c>
      <c r="BL576" s="49">
        <f t="shared" si="569"/>
        <v>1</v>
      </c>
      <c r="BM576" s="49">
        <f t="shared" si="570"/>
        <v>0</v>
      </c>
      <c r="BN576" s="49">
        <f t="shared" si="571"/>
        <v>0</v>
      </c>
      <c r="BO576" s="49">
        <f t="shared" si="572"/>
        <v>0</v>
      </c>
      <c r="BP576" s="49">
        <f t="shared" si="573"/>
        <v>1</v>
      </c>
      <c r="BQ576" s="49">
        <f t="shared" si="574"/>
        <v>0</v>
      </c>
      <c r="BR576" s="49">
        <f t="shared" si="575"/>
        <v>0</v>
      </c>
      <c r="BS576" s="49">
        <f t="shared" si="576"/>
        <v>0</v>
      </c>
      <c r="BT576" s="49">
        <f t="shared" si="577"/>
        <v>1</v>
      </c>
      <c r="BU576" s="49">
        <f t="shared" si="578"/>
        <v>0</v>
      </c>
      <c r="BV576" s="49">
        <f t="shared" si="579"/>
        <v>0</v>
      </c>
      <c r="BW576" s="49">
        <f t="shared" si="580"/>
        <v>0</v>
      </c>
    </row>
    <row r="577" spans="1:75" ht="35.1" customHeight="1" x14ac:dyDescent="0.3">
      <c r="A577" s="123" t="str">
        <f t="shared" si="545"/>
        <v>5팀</v>
      </c>
      <c r="B577" s="69">
        <f t="shared" si="546"/>
        <v>571</v>
      </c>
      <c r="C577" s="121" t="str">
        <f>IF(VLOOKUP($B577,'1. 현장별 인원현황'!$C:$J,2,0)=0,"",VLOOKUP($B577,'1. 현장별 인원현황'!$C:$J,2,0))</f>
        <v xml:space="preserve"> [5.대보건설] 등촌동 청년주택 신축공사</v>
      </c>
      <c r="D577" s="74" t="str">
        <f>IF(VLOOKUP($B577,'1. 현장별 인원현황'!$C:$J,3,0)=0,"",VLOOKUP($B577,'1. 현장별 인원현황'!$C:$J,3,0))</f>
        <v>이제영</v>
      </c>
      <c r="E577" s="74" t="str">
        <f ca="1">IF(VLOOKUP($B577,'1. 현장별 인원현황'!$C:$J,4,0)=0,"",VLOOKUP($B577,'1. 현장별 인원현황'!$C:$J,4,0))</f>
        <v>45세</v>
      </c>
      <c r="F577" s="70" t="str">
        <f>IF(VLOOKUP($B577,'1. 현장별 인원현황'!$C:$J,7,0)=0,"",VLOOKUP($B577,'1. 현장별 인원현황'!$C:$J,7,0))</f>
        <v>기능공</v>
      </c>
      <c r="G577" s="72" t="str">
        <f>IF(VLOOKUP($B577,'1. 현장별 인원현황'!$C:$J,8,0)=0,"",VLOOKUP($B577,'1. 현장별 인원현황'!$C:$J,8,0))</f>
        <v>전공</v>
      </c>
      <c r="H577" s="67" t="s">
        <v>69</v>
      </c>
      <c r="I577" s="73"/>
      <c r="J577" s="73"/>
      <c r="K577" s="68"/>
      <c r="L577" s="67" t="s">
        <v>69</v>
      </c>
      <c r="M577" s="73"/>
      <c r="N577" s="73"/>
      <c r="O577" s="68"/>
      <c r="P577" s="67" t="s">
        <v>69</v>
      </c>
      <c r="Q577" s="73"/>
      <c r="R577" s="73"/>
      <c r="S577" s="68"/>
      <c r="T577" s="67" t="s">
        <v>69</v>
      </c>
      <c r="U577" s="73"/>
      <c r="V577" s="73"/>
      <c r="W577" s="68"/>
      <c r="X577" s="67" t="s">
        <v>69</v>
      </c>
      <c r="Y577" s="73"/>
      <c r="Z577" s="73"/>
      <c r="AA577" s="68"/>
      <c r="AB577" s="67" t="s">
        <v>69</v>
      </c>
      <c r="AC577" s="73"/>
      <c r="AD577" s="73"/>
      <c r="AE577" s="68"/>
      <c r="AF577" s="67" t="s">
        <v>69</v>
      </c>
      <c r="AG577" s="73"/>
      <c r="AH577" s="73"/>
      <c r="AI577" s="68"/>
      <c r="AJ577" s="67" t="s">
        <v>69</v>
      </c>
      <c r="AK577" s="73"/>
      <c r="AL577" s="73"/>
      <c r="AM577" s="68"/>
      <c r="AN577" s="67">
        <f t="shared" si="547"/>
        <v>100</v>
      </c>
      <c r="AO577" s="68" t="str">
        <f t="shared" si="548"/>
        <v>S</v>
      </c>
      <c r="AR577" s="49">
        <f t="shared" si="549"/>
        <v>1</v>
      </c>
      <c r="AS577" s="49">
        <f t="shared" si="550"/>
        <v>0</v>
      </c>
      <c r="AT577" s="49">
        <f t="shared" si="551"/>
        <v>0</v>
      </c>
      <c r="AU577" s="49">
        <f t="shared" si="552"/>
        <v>0</v>
      </c>
      <c r="AV577" s="49">
        <f t="shared" si="553"/>
        <v>1</v>
      </c>
      <c r="AW577" s="49">
        <f t="shared" si="554"/>
        <v>0</v>
      </c>
      <c r="AX577" s="49">
        <f t="shared" si="555"/>
        <v>0</v>
      </c>
      <c r="AY577" s="49">
        <f t="shared" si="556"/>
        <v>0</v>
      </c>
      <c r="AZ577" s="49">
        <f t="shared" si="557"/>
        <v>1</v>
      </c>
      <c r="BA577" s="49">
        <f t="shared" si="558"/>
        <v>0</v>
      </c>
      <c r="BB577" s="49">
        <f t="shared" si="559"/>
        <v>0</v>
      </c>
      <c r="BC577" s="49">
        <f t="shared" si="560"/>
        <v>0</v>
      </c>
      <c r="BD577" s="49">
        <f t="shared" si="561"/>
        <v>1</v>
      </c>
      <c r="BE577" s="49">
        <f t="shared" si="562"/>
        <v>0</v>
      </c>
      <c r="BF577" s="49">
        <f t="shared" si="563"/>
        <v>0</v>
      </c>
      <c r="BG577" s="49">
        <f t="shared" si="564"/>
        <v>0</v>
      </c>
      <c r="BH577" s="49">
        <f t="shared" si="565"/>
        <v>1</v>
      </c>
      <c r="BI577" s="49">
        <f t="shared" si="566"/>
        <v>0</v>
      </c>
      <c r="BJ577" s="49">
        <f t="shared" si="567"/>
        <v>0</v>
      </c>
      <c r="BK577" s="49">
        <f t="shared" si="568"/>
        <v>0</v>
      </c>
      <c r="BL577" s="49">
        <f t="shared" si="569"/>
        <v>1</v>
      </c>
      <c r="BM577" s="49">
        <f t="shared" si="570"/>
        <v>0</v>
      </c>
      <c r="BN577" s="49">
        <f t="shared" si="571"/>
        <v>0</v>
      </c>
      <c r="BO577" s="49">
        <f t="shared" si="572"/>
        <v>0</v>
      </c>
      <c r="BP577" s="49">
        <f t="shared" si="573"/>
        <v>1</v>
      </c>
      <c r="BQ577" s="49">
        <f t="shared" si="574"/>
        <v>0</v>
      </c>
      <c r="BR577" s="49">
        <f t="shared" si="575"/>
        <v>0</v>
      </c>
      <c r="BS577" s="49">
        <f t="shared" si="576"/>
        <v>0</v>
      </c>
      <c r="BT577" s="49">
        <f t="shared" si="577"/>
        <v>1</v>
      </c>
      <c r="BU577" s="49">
        <f t="shared" si="578"/>
        <v>0</v>
      </c>
      <c r="BV577" s="49">
        <f t="shared" si="579"/>
        <v>0</v>
      </c>
      <c r="BW577" s="49">
        <f t="shared" si="580"/>
        <v>0</v>
      </c>
    </row>
    <row r="578" spans="1:75" ht="35.1" customHeight="1" x14ac:dyDescent="0.3">
      <c r="A578" s="123" t="str">
        <f t="shared" si="545"/>
        <v>5팀</v>
      </c>
      <c r="B578" s="69">
        <f t="shared" si="546"/>
        <v>572</v>
      </c>
      <c r="C578" s="121" t="str">
        <f>IF(VLOOKUP($B578,'1. 현장별 인원현황'!$C:$J,2,0)=0,"",VLOOKUP($B578,'1. 현장별 인원현황'!$C:$J,2,0))</f>
        <v xml:space="preserve"> [5.대보건설] 등촌동 청년주택 신축공사</v>
      </c>
      <c r="D578" s="74" t="str">
        <f>IF(VLOOKUP($B578,'1. 현장별 인원현황'!$C:$J,3,0)=0,"",VLOOKUP($B578,'1. 현장별 인원현황'!$C:$J,3,0))</f>
        <v>이봉환</v>
      </c>
      <c r="E578" s="74" t="str">
        <f ca="1">IF(VLOOKUP($B578,'1. 현장별 인원현황'!$C:$J,4,0)=0,"",VLOOKUP($B578,'1. 현장별 인원현황'!$C:$J,4,0))</f>
        <v>57세</v>
      </c>
      <c r="F578" s="70" t="str">
        <f>IF(VLOOKUP($B578,'1. 현장별 인원현황'!$C:$J,7,0)=0,"",VLOOKUP($B578,'1. 현장별 인원현황'!$C:$J,7,0))</f>
        <v>기능공</v>
      </c>
      <c r="G578" s="72" t="str">
        <f>IF(VLOOKUP($B578,'1. 현장별 인원현황'!$C:$J,8,0)=0,"",VLOOKUP($B578,'1. 현장별 인원현황'!$C:$J,8,0))</f>
        <v>전공</v>
      </c>
      <c r="H578" s="67" t="s">
        <v>69</v>
      </c>
      <c r="I578" s="73"/>
      <c r="J578" s="73"/>
      <c r="K578" s="68"/>
      <c r="L578" s="67" t="s">
        <v>69</v>
      </c>
      <c r="M578" s="73"/>
      <c r="N578" s="73"/>
      <c r="O578" s="68"/>
      <c r="P578" s="67" t="s">
        <v>69</v>
      </c>
      <c r="Q578" s="73"/>
      <c r="R578" s="73"/>
      <c r="S578" s="68"/>
      <c r="T578" s="67" t="s">
        <v>69</v>
      </c>
      <c r="U578" s="73"/>
      <c r="V578" s="73"/>
      <c r="W578" s="68"/>
      <c r="X578" s="67" t="s">
        <v>69</v>
      </c>
      <c r="Y578" s="73"/>
      <c r="Z578" s="73"/>
      <c r="AA578" s="68"/>
      <c r="AB578" s="67" t="s">
        <v>69</v>
      </c>
      <c r="AC578" s="73"/>
      <c r="AD578" s="73"/>
      <c r="AE578" s="68"/>
      <c r="AF578" s="67" t="s">
        <v>69</v>
      </c>
      <c r="AG578" s="73"/>
      <c r="AH578" s="73"/>
      <c r="AI578" s="68"/>
      <c r="AJ578" s="67" t="s">
        <v>69</v>
      </c>
      <c r="AK578" s="73"/>
      <c r="AL578" s="73"/>
      <c r="AM578" s="68"/>
      <c r="AN578" s="67">
        <f t="shared" si="547"/>
        <v>100</v>
      </c>
      <c r="AO578" s="68" t="str">
        <f t="shared" si="548"/>
        <v>S</v>
      </c>
      <c r="AR578" s="49">
        <f t="shared" si="549"/>
        <v>1</v>
      </c>
      <c r="AS578" s="49">
        <f t="shared" si="550"/>
        <v>0</v>
      </c>
      <c r="AT578" s="49">
        <f t="shared" si="551"/>
        <v>0</v>
      </c>
      <c r="AU578" s="49">
        <f t="shared" si="552"/>
        <v>0</v>
      </c>
      <c r="AV578" s="49">
        <f t="shared" si="553"/>
        <v>1</v>
      </c>
      <c r="AW578" s="49">
        <f t="shared" si="554"/>
        <v>0</v>
      </c>
      <c r="AX578" s="49">
        <f t="shared" si="555"/>
        <v>0</v>
      </c>
      <c r="AY578" s="49">
        <f t="shared" si="556"/>
        <v>0</v>
      </c>
      <c r="AZ578" s="49">
        <f t="shared" si="557"/>
        <v>1</v>
      </c>
      <c r="BA578" s="49">
        <f t="shared" si="558"/>
        <v>0</v>
      </c>
      <c r="BB578" s="49">
        <f t="shared" si="559"/>
        <v>0</v>
      </c>
      <c r="BC578" s="49">
        <f t="shared" si="560"/>
        <v>0</v>
      </c>
      <c r="BD578" s="49">
        <f t="shared" si="561"/>
        <v>1</v>
      </c>
      <c r="BE578" s="49">
        <f t="shared" si="562"/>
        <v>0</v>
      </c>
      <c r="BF578" s="49">
        <f t="shared" si="563"/>
        <v>0</v>
      </c>
      <c r="BG578" s="49">
        <f t="shared" si="564"/>
        <v>0</v>
      </c>
      <c r="BH578" s="49">
        <f t="shared" si="565"/>
        <v>1</v>
      </c>
      <c r="BI578" s="49">
        <f t="shared" si="566"/>
        <v>0</v>
      </c>
      <c r="BJ578" s="49">
        <f t="shared" si="567"/>
        <v>0</v>
      </c>
      <c r="BK578" s="49">
        <f t="shared" si="568"/>
        <v>0</v>
      </c>
      <c r="BL578" s="49">
        <f t="shared" si="569"/>
        <v>1</v>
      </c>
      <c r="BM578" s="49">
        <f t="shared" si="570"/>
        <v>0</v>
      </c>
      <c r="BN578" s="49">
        <f t="shared" si="571"/>
        <v>0</v>
      </c>
      <c r="BO578" s="49">
        <f t="shared" si="572"/>
        <v>0</v>
      </c>
      <c r="BP578" s="49">
        <f t="shared" si="573"/>
        <v>1</v>
      </c>
      <c r="BQ578" s="49">
        <f t="shared" si="574"/>
        <v>0</v>
      </c>
      <c r="BR578" s="49">
        <f t="shared" si="575"/>
        <v>0</v>
      </c>
      <c r="BS578" s="49">
        <f t="shared" si="576"/>
        <v>0</v>
      </c>
      <c r="BT578" s="49">
        <f t="shared" si="577"/>
        <v>1</v>
      </c>
      <c r="BU578" s="49">
        <f t="shared" si="578"/>
        <v>0</v>
      </c>
      <c r="BV578" s="49">
        <f t="shared" si="579"/>
        <v>0</v>
      </c>
      <c r="BW578" s="49">
        <f t="shared" si="580"/>
        <v>0</v>
      </c>
    </row>
    <row r="579" spans="1:75" ht="35.1" customHeight="1" x14ac:dyDescent="0.3">
      <c r="A579" s="123" t="str">
        <f t="shared" si="545"/>
        <v>5팀</v>
      </c>
      <c r="B579" s="69">
        <f t="shared" si="546"/>
        <v>573</v>
      </c>
      <c r="C579" s="121" t="str">
        <f>IF(VLOOKUP($B579,'1. 현장별 인원현황'!$C:$J,2,0)=0,"",VLOOKUP($B579,'1. 현장별 인원현황'!$C:$J,2,0))</f>
        <v xml:space="preserve"> [5.롯데건설] 마곡사옥 르웨스트 시티 D동 8-11층 이전공사</v>
      </c>
      <c r="D579" s="74" t="str">
        <f>IF(VLOOKUP($B579,'1. 현장별 인원현황'!$C:$J,3,0)=0,"",VLOOKUP($B579,'1. 현장별 인원현황'!$C:$J,3,0))</f>
        <v>이재복</v>
      </c>
      <c r="E579" s="74" t="str">
        <f ca="1">IF(VLOOKUP($B579,'1. 현장별 인원현황'!$C:$J,4,0)=0,"",VLOOKUP($B579,'1. 현장별 인원현황'!$C:$J,4,0))</f>
        <v>60세</v>
      </c>
      <c r="F579" s="70" t="str">
        <f>IF(VLOOKUP($B579,'1. 현장별 인원현황'!$C:$J,7,0)=0,"",VLOOKUP($B579,'1. 현장별 인원현황'!$C:$J,7,0))</f>
        <v>공사</v>
      </c>
      <c r="G579" s="72" t="str">
        <f>IF(VLOOKUP($B579,'1. 현장별 인원현황'!$C:$J,8,0)=0,"",VLOOKUP($B579,'1. 현장별 인원현황'!$C:$J,8,0))</f>
        <v>차장</v>
      </c>
      <c r="H579" s="67" t="s">
        <v>69</v>
      </c>
      <c r="I579" s="73"/>
      <c r="J579" s="73"/>
      <c r="K579" s="68"/>
      <c r="L579" s="67" t="s">
        <v>69</v>
      </c>
      <c r="M579" s="73"/>
      <c r="N579" s="73"/>
      <c r="O579" s="68"/>
      <c r="P579" s="67" t="s">
        <v>69</v>
      </c>
      <c r="Q579" s="73"/>
      <c r="R579" s="73"/>
      <c r="S579" s="68"/>
      <c r="T579" s="67" t="s">
        <v>69</v>
      </c>
      <c r="U579" s="73"/>
      <c r="V579" s="73"/>
      <c r="W579" s="68"/>
      <c r="X579" s="67" t="s">
        <v>69</v>
      </c>
      <c r="Y579" s="73"/>
      <c r="Z579" s="73"/>
      <c r="AA579" s="68"/>
      <c r="AB579" s="67" t="s">
        <v>69</v>
      </c>
      <c r="AC579" s="73"/>
      <c r="AD579" s="73"/>
      <c r="AE579" s="68"/>
      <c r="AF579" s="67" t="s">
        <v>69</v>
      </c>
      <c r="AG579" s="73"/>
      <c r="AH579" s="73"/>
      <c r="AI579" s="68"/>
      <c r="AJ579" s="67" t="s">
        <v>69</v>
      </c>
      <c r="AK579" s="73"/>
      <c r="AL579" s="73"/>
      <c r="AM579" s="68"/>
      <c r="AN579" s="67">
        <f t="shared" si="547"/>
        <v>100</v>
      </c>
      <c r="AO579" s="68" t="str">
        <f t="shared" si="548"/>
        <v>S</v>
      </c>
      <c r="AR579" s="49">
        <f t="shared" si="549"/>
        <v>1</v>
      </c>
      <c r="AS579" s="49">
        <f t="shared" si="550"/>
        <v>0</v>
      </c>
      <c r="AT579" s="49">
        <f t="shared" si="551"/>
        <v>0</v>
      </c>
      <c r="AU579" s="49">
        <f t="shared" si="552"/>
        <v>0</v>
      </c>
      <c r="AV579" s="49">
        <f t="shared" si="553"/>
        <v>1</v>
      </c>
      <c r="AW579" s="49">
        <f t="shared" si="554"/>
        <v>0</v>
      </c>
      <c r="AX579" s="49">
        <f t="shared" si="555"/>
        <v>0</v>
      </c>
      <c r="AY579" s="49">
        <f t="shared" si="556"/>
        <v>0</v>
      </c>
      <c r="AZ579" s="49">
        <f t="shared" si="557"/>
        <v>1</v>
      </c>
      <c r="BA579" s="49">
        <f t="shared" si="558"/>
        <v>0</v>
      </c>
      <c r="BB579" s="49">
        <f t="shared" si="559"/>
        <v>0</v>
      </c>
      <c r="BC579" s="49">
        <f t="shared" si="560"/>
        <v>0</v>
      </c>
      <c r="BD579" s="49">
        <f t="shared" si="561"/>
        <v>1</v>
      </c>
      <c r="BE579" s="49">
        <f t="shared" si="562"/>
        <v>0</v>
      </c>
      <c r="BF579" s="49">
        <f t="shared" si="563"/>
        <v>0</v>
      </c>
      <c r="BG579" s="49">
        <f t="shared" si="564"/>
        <v>0</v>
      </c>
      <c r="BH579" s="49">
        <f t="shared" si="565"/>
        <v>1</v>
      </c>
      <c r="BI579" s="49">
        <f t="shared" si="566"/>
        <v>0</v>
      </c>
      <c r="BJ579" s="49">
        <f t="shared" si="567"/>
        <v>0</v>
      </c>
      <c r="BK579" s="49">
        <f t="shared" si="568"/>
        <v>0</v>
      </c>
      <c r="BL579" s="49">
        <f t="shared" si="569"/>
        <v>1</v>
      </c>
      <c r="BM579" s="49">
        <f t="shared" si="570"/>
        <v>0</v>
      </c>
      <c r="BN579" s="49">
        <f t="shared" si="571"/>
        <v>0</v>
      </c>
      <c r="BO579" s="49">
        <f t="shared" si="572"/>
        <v>0</v>
      </c>
      <c r="BP579" s="49">
        <f t="shared" si="573"/>
        <v>1</v>
      </c>
      <c r="BQ579" s="49">
        <f t="shared" si="574"/>
        <v>0</v>
      </c>
      <c r="BR579" s="49">
        <f t="shared" si="575"/>
        <v>0</v>
      </c>
      <c r="BS579" s="49">
        <f t="shared" si="576"/>
        <v>0</v>
      </c>
      <c r="BT579" s="49">
        <f t="shared" si="577"/>
        <v>1</v>
      </c>
      <c r="BU579" s="49">
        <f t="shared" si="578"/>
        <v>0</v>
      </c>
      <c r="BV579" s="49">
        <f t="shared" si="579"/>
        <v>0</v>
      </c>
      <c r="BW579" s="49">
        <f t="shared" si="580"/>
        <v>0</v>
      </c>
    </row>
    <row r="580" spans="1:75" ht="35.1" customHeight="1" x14ac:dyDescent="0.3">
      <c r="A580" s="123" t="str">
        <f t="shared" si="545"/>
        <v>5팀</v>
      </c>
      <c r="B580" s="69">
        <f t="shared" si="546"/>
        <v>574</v>
      </c>
      <c r="C580" s="121" t="str">
        <f>IF(VLOOKUP($B580,'1. 현장별 인원현황'!$C:$J,2,0)=0,"",VLOOKUP($B580,'1. 현장별 인원현황'!$C:$J,2,0))</f>
        <v xml:space="preserve"> [5.롯데건설] 마곡사옥 르웨스트 시티 D동 8-11층 이전공사</v>
      </c>
      <c r="D580" s="74" t="str">
        <f>IF(VLOOKUP($B580,'1. 현장별 인원현황'!$C:$J,3,0)=0,"",VLOOKUP($B580,'1. 현장별 인원현황'!$C:$J,3,0))</f>
        <v>김주철</v>
      </c>
      <c r="E580" s="74" t="str">
        <f ca="1">IF(VLOOKUP($B580,'1. 현장별 인원현황'!$C:$J,4,0)=0,"",VLOOKUP($B580,'1. 현장별 인원현황'!$C:$J,4,0))</f>
        <v>48세</v>
      </c>
      <c r="F580" s="70" t="str">
        <f>IF(VLOOKUP($B580,'1. 현장별 인원현황'!$C:$J,7,0)=0,"",VLOOKUP($B580,'1. 현장별 인원현황'!$C:$J,7,0))</f>
        <v>공무</v>
      </c>
      <c r="G580" s="72" t="str">
        <f>IF(VLOOKUP($B580,'1. 현장별 인원현황'!$C:$J,8,0)=0,"",VLOOKUP($B580,'1. 현장별 인원현황'!$C:$J,8,0))</f>
        <v>차장</v>
      </c>
      <c r="H580" s="67" t="s">
        <v>69</v>
      </c>
      <c r="I580" s="73"/>
      <c r="J580" s="73"/>
      <c r="K580" s="68"/>
      <c r="L580" s="67" t="s">
        <v>69</v>
      </c>
      <c r="M580" s="73"/>
      <c r="N580" s="73"/>
      <c r="O580" s="68"/>
      <c r="P580" s="67" t="s">
        <v>69</v>
      </c>
      <c r="Q580" s="73"/>
      <c r="R580" s="73"/>
      <c r="S580" s="68"/>
      <c r="T580" s="67" t="s">
        <v>69</v>
      </c>
      <c r="U580" s="73"/>
      <c r="V580" s="73"/>
      <c r="W580" s="68"/>
      <c r="X580" s="67" t="s">
        <v>69</v>
      </c>
      <c r="Y580" s="73"/>
      <c r="Z580" s="73"/>
      <c r="AA580" s="68"/>
      <c r="AB580" s="67" t="s">
        <v>69</v>
      </c>
      <c r="AC580" s="73"/>
      <c r="AD580" s="73"/>
      <c r="AE580" s="68"/>
      <c r="AF580" s="67" t="s">
        <v>69</v>
      </c>
      <c r="AG580" s="73"/>
      <c r="AH580" s="73"/>
      <c r="AI580" s="68"/>
      <c r="AJ580" s="67" t="s">
        <v>69</v>
      </c>
      <c r="AK580" s="73"/>
      <c r="AL580" s="73"/>
      <c r="AM580" s="68"/>
      <c r="AN580" s="67">
        <f t="shared" si="547"/>
        <v>100</v>
      </c>
      <c r="AO580" s="68" t="str">
        <f t="shared" si="548"/>
        <v>S</v>
      </c>
      <c r="AR580" s="49">
        <f t="shared" si="549"/>
        <v>1</v>
      </c>
      <c r="AS580" s="49">
        <f t="shared" si="550"/>
        <v>0</v>
      </c>
      <c r="AT580" s="49">
        <f t="shared" si="551"/>
        <v>0</v>
      </c>
      <c r="AU580" s="49">
        <f t="shared" si="552"/>
        <v>0</v>
      </c>
      <c r="AV580" s="49">
        <f t="shared" si="553"/>
        <v>1</v>
      </c>
      <c r="AW580" s="49">
        <f t="shared" si="554"/>
        <v>0</v>
      </c>
      <c r="AX580" s="49">
        <f t="shared" si="555"/>
        <v>0</v>
      </c>
      <c r="AY580" s="49">
        <f t="shared" si="556"/>
        <v>0</v>
      </c>
      <c r="AZ580" s="49">
        <f t="shared" si="557"/>
        <v>1</v>
      </c>
      <c r="BA580" s="49">
        <f t="shared" si="558"/>
        <v>0</v>
      </c>
      <c r="BB580" s="49">
        <f t="shared" si="559"/>
        <v>0</v>
      </c>
      <c r="BC580" s="49">
        <f t="shared" si="560"/>
        <v>0</v>
      </c>
      <c r="BD580" s="49">
        <f t="shared" si="561"/>
        <v>1</v>
      </c>
      <c r="BE580" s="49">
        <f t="shared" si="562"/>
        <v>0</v>
      </c>
      <c r="BF580" s="49">
        <f t="shared" si="563"/>
        <v>0</v>
      </c>
      <c r="BG580" s="49">
        <f t="shared" si="564"/>
        <v>0</v>
      </c>
      <c r="BH580" s="49">
        <f t="shared" si="565"/>
        <v>1</v>
      </c>
      <c r="BI580" s="49">
        <f t="shared" si="566"/>
        <v>0</v>
      </c>
      <c r="BJ580" s="49">
        <f t="shared" si="567"/>
        <v>0</v>
      </c>
      <c r="BK580" s="49">
        <f t="shared" si="568"/>
        <v>0</v>
      </c>
      <c r="BL580" s="49">
        <f t="shared" si="569"/>
        <v>1</v>
      </c>
      <c r="BM580" s="49">
        <f t="shared" si="570"/>
        <v>0</v>
      </c>
      <c r="BN580" s="49">
        <f t="shared" si="571"/>
        <v>0</v>
      </c>
      <c r="BO580" s="49">
        <f t="shared" si="572"/>
        <v>0</v>
      </c>
      <c r="BP580" s="49">
        <f t="shared" si="573"/>
        <v>1</v>
      </c>
      <c r="BQ580" s="49">
        <f t="shared" si="574"/>
        <v>0</v>
      </c>
      <c r="BR580" s="49">
        <f t="shared" si="575"/>
        <v>0</v>
      </c>
      <c r="BS580" s="49">
        <f t="shared" si="576"/>
        <v>0</v>
      </c>
      <c r="BT580" s="49">
        <f t="shared" si="577"/>
        <v>1</v>
      </c>
      <c r="BU580" s="49">
        <f t="shared" si="578"/>
        <v>0</v>
      </c>
      <c r="BV580" s="49">
        <f t="shared" si="579"/>
        <v>0</v>
      </c>
      <c r="BW580" s="49">
        <f t="shared" si="580"/>
        <v>0</v>
      </c>
    </row>
    <row r="581" spans="1:75" ht="35.1" customHeight="1" x14ac:dyDescent="0.3">
      <c r="A581" s="123" t="str">
        <f t="shared" si="545"/>
        <v>5팀</v>
      </c>
      <c r="B581" s="69">
        <f t="shared" si="546"/>
        <v>575</v>
      </c>
      <c r="C581" s="121" t="str">
        <f>IF(VLOOKUP($B581,'1. 현장별 인원현황'!$C:$J,2,0)=0,"",VLOOKUP($B581,'1. 현장별 인원현황'!$C:$J,2,0))</f>
        <v xml:space="preserve"> [5.롯데건설] 마곡사옥 르웨스트 시티 D동 8-11층 이전공사</v>
      </c>
      <c r="D581" s="74" t="str">
        <f>IF(VLOOKUP($B581,'1. 현장별 인원현황'!$C:$J,3,0)=0,"",VLOOKUP($B581,'1. 현장별 인원현황'!$C:$J,3,0))</f>
        <v>이상훈</v>
      </c>
      <c r="E581" s="74" t="str">
        <f ca="1">IF(VLOOKUP($B581,'1. 현장별 인원현황'!$C:$J,4,0)=0,"",VLOOKUP($B581,'1. 현장별 인원현황'!$C:$J,4,0))</f>
        <v>67세</v>
      </c>
      <c r="F581" s="70" t="str">
        <f>IF(VLOOKUP($B581,'1. 현장별 인원현황'!$C:$J,7,0)=0,"",VLOOKUP($B581,'1. 현장별 인원현황'!$C:$J,7,0))</f>
        <v>기능공</v>
      </c>
      <c r="G581" s="72" t="str">
        <f>IF(VLOOKUP($B581,'1. 현장별 인원현황'!$C:$J,8,0)=0,"",VLOOKUP($B581,'1. 현장별 인원현황'!$C:$J,8,0))</f>
        <v>전공</v>
      </c>
      <c r="H581" s="67" t="s">
        <v>69</v>
      </c>
      <c r="I581" s="73"/>
      <c r="J581" s="73"/>
      <c r="K581" s="68"/>
      <c r="L581" s="67" t="s">
        <v>69</v>
      </c>
      <c r="M581" s="73"/>
      <c r="N581" s="73"/>
      <c r="O581" s="68"/>
      <c r="P581" s="67" t="s">
        <v>69</v>
      </c>
      <c r="Q581" s="73"/>
      <c r="R581" s="73"/>
      <c r="S581" s="68"/>
      <c r="T581" s="67" t="s">
        <v>69</v>
      </c>
      <c r="U581" s="73"/>
      <c r="V581" s="73"/>
      <c r="W581" s="68"/>
      <c r="X581" s="67" t="s">
        <v>69</v>
      </c>
      <c r="Y581" s="73"/>
      <c r="Z581" s="73"/>
      <c r="AA581" s="68"/>
      <c r="AB581" s="67" t="s">
        <v>69</v>
      </c>
      <c r="AC581" s="73"/>
      <c r="AD581" s="73"/>
      <c r="AE581" s="68"/>
      <c r="AF581" s="67" t="s">
        <v>69</v>
      </c>
      <c r="AG581" s="73"/>
      <c r="AH581" s="73"/>
      <c r="AI581" s="68"/>
      <c r="AJ581" s="67" t="s">
        <v>69</v>
      </c>
      <c r="AK581" s="73"/>
      <c r="AL581" s="73"/>
      <c r="AM581" s="68"/>
      <c r="AN581" s="67">
        <f t="shared" si="547"/>
        <v>100</v>
      </c>
      <c r="AO581" s="68" t="str">
        <f t="shared" si="548"/>
        <v>S</v>
      </c>
      <c r="AR581" s="49">
        <f t="shared" si="549"/>
        <v>1</v>
      </c>
      <c r="AS581" s="49">
        <f t="shared" si="550"/>
        <v>0</v>
      </c>
      <c r="AT581" s="49">
        <f t="shared" si="551"/>
        <v>0</v>
      </c>
      <c r="AU581" s="49">
        <f t="shared" si="552"/>
        <v>0</v>
      </c>
      <c r="AV581" s="49">
        <f t="shared" si="553"/>
        <v>1</v>
      </c>
      <c r="AW581" s="49">
        <f t="shared" si="554"/>
        <v>0</v>
      </c>
      <c r="AX581" s="49">
        <f t="shared" si="555"/>
        <v>0</v>
      </c>
      <c r="AY581" s="49">
        <f t="shared" si="556"/>
        <v>0</v>
      </c>
      <c r="AZ581" s="49">
        <f t="shared" si="557"/>
        <v>1</v>
      </c>
      <c r="BA581" s="49">
        <f t="shared" si="558"/>
        <v>0</v>
      </c>
      <c r="BB581" s="49">
        <f t="shared" si="559"/>
        <v>0</v>
      </c>
      <c r="BC581" s="49">
        <f t="shared" si="560"/>
        <v>0</v>
      </c>
      <c r="BD581" s="49">
        <f t="shared" si="561"/>
        <v>1</v>
      </c>
      <c r="BE581" s="49">
        <f t="shared" si="562"/>
        <v>0</v>
      </c>
      <c r="BF581" s="49">
        <f t="shared" si="563"/>
        <v>0</v>
      </c>
      <c r="BG581" s="49">
        <f t="shared" si="564"/>
        <v>0</v>
      </c>
      <c r="BH581" s="49">
        <f t="shared" si="565"/>
        <v>1</v>
      </c>
      <c r="BI581" s="49">
        <f t="shared" si="566"/>
        <v>0</v>
      </c>
      <c r="BJ581" s="49">
        <f t="shared" si="567"/>
        <v>0</v>
      </c>
      <c r="BK581" s="49">
        <f t="shared" si="568"/>
        <v>0</v>
      </c>
      <c r="BL581" s="49">
        <f t="shared" si="569"/>
        <v>1</v>
      </c>
      <c r="BM581" s="49">
        <f t="shared" si="570"/>
        <v>0</v>
      </c>
      <c r="BN581" s="49">
        <f t="shared" si="571"/>
        <v>0</v>
      </c>
      <c r="BO581" s="49">
        <f t="shared" si="572"/>
        <v>0</v>
      </c>
      <c r="BP581" s="49">
        <f t="shared" si="573"/>
        <v>1</v>
      </c>
      <c r="BQ581" s="49">
        <f t="shared" si="574"/>
        <v>0</v>
      </c>
      <c r="BR581" s="49">
        <f t="shared" si="575"/>
        <v>0</v>
      </c>
      <c r="BS581" s="49">
        <f t="shared" si="576"/>
        <v>0</v>
      </c>
      <c r="BT581" s="49">
        <f t="shared" si="577"/>
        <v>1</v>
      </c>
      <c r="BU581" s="49">
        <f t="shared" si="578"/>
        <v>0</v>
      </c>
      <c r="BV581" s="49">
        <f t="shared" si="579"/>
        <v>0</v>
      </c>
      <c r="BW581" s="49">
        <f t="shared" si="580"/>
        <v>0</v>
      </c>
    </row>
    <row r="582" spans="1:75" ht="35.1" customHeight="1" x14ac:dyDescent="0.3">
      <c r="A582" s="123" t="str">
        <f t="shared" si="545"/>
        <v>5팀</v>
      </c>
      <c r="B582" s="69">
        <f t="shared" si="546"/>
        <v>576</v>
      </c>
      <c r="C582" s="121" t="str">
        <f>IF(VLOOKUP($B582,'1. 현장별 인원현황'!$C:$J,2,0)=0,"",VLOOKUP($B582,'1. 현장별 인원현황'!$C:$J,2,0))</f>
        <v xml:space="preserve"> [5.롯데건설] 마곡사옥 르웨스트 시티 D동 8-11층 이전공사</v>
      </c>
      <c r="D582" s="74" t="str">
        <f>IF(VLOOKUP($B582,'1. 현장별 인원현황'!$C:$J,3,0)=0,"",VLOOKUP($B582,'1. 현장별 인원현황'!$C:$J,3,0))</f>
        <v>이재곤</v>
      </c>
      <c r="E582" s="74" t="str">
        <f ca="1">IF(VLOOKUP($B582,'1. 현장별 인원현황'!$C:$J,4,0)=0,"",VLOOKUP($B582,'1. 현장별 인원현황'!$C:$J,4,0))</f>
        <v>59세</v>
      </c>
      <c r="F582" s="70" t="str">
        <f>IF(VLOOKUP($B582,'1. 현장별 인원현황'!$C:$J,7,0)=0,"",VLOOKUP($B582,'1. 현장별 인원현황'!$C:$J,7,0))</f>
        <v>기능공</v>
      </c>
      <c r="G582" s="72" t="str">
        <f>IF(VLOOKUP($B582,'1. 현장별 인원현황'!$C:$J,8,0)=0,"",VLOOKUP($B582,'1. 현장별 인원현황'!$C:$J,8,0))</f>
        <v>전공</v>
      </c>
      <c r="H582" s="67" t="s">
        <v>69</v>
      </c>
      <c r="I582" s="73"/>
      <c r="J582" s="73"/>
      <c r="K582" s="68"/>
      <c r="L582" s="67" t="s">
        <v>69</v>
      </c>
      <c r="M582" s="73"/>
      <c r="N582" s="73"/>
      <c r="O582" s="68"/>
      <c r="P582" s="67" t="s">
        <v>69</v>
      </c>
      <c r="Q582" s="73"/>
      <c r="R582" s="73"/>
      <c r="S582" s="68"/>
      <c r="T582" s="67" t="s">
        <v>69</v>
      </c>
      <c r="U582" s="73"/>
      <c r="V582" s="73"/>
      <c r="W582" s="68"/>
      <c r="X582" s="67" t="s">
        <v>69</v>
      </c>
      <c r="Y582" s="73"/>
      <c r="Z582" s="73"/>
      <c r="AA582" s="68"/>
      <c r="AB582" s="67" t="s">
        <v>69</v>
      </c>
      <c r="AC582" s="73"/>
      <c r="AD582" s="73"/>
      <c r="AE582" s="68"/>
      <c r="AF582" s="67" t="s">
        <v>69</v>
      </c>
      <c r="AG582" s="73"/>
      <c r="AH582" s="73"/>
      <c r="AI582" s="68"/>
      <c r="AJ582" s="67" t="s">
        <v>69</v>
      </c>
      <c r="AK582" s="73"/>
      <c r="AL582" s="73"/>
      <c r="AM582" s="68"/>
      <c r="AN582" s="67">
        <f t="shared" si="547"/>
        <v>100</v>
      </c>
      <c r="AO582" s="68" t="str">
        <f t="shared" si="548"/>
        <v>S</v>
      </c>
      <c r="AR582" s="49">
        <f t="shared" si="549"/>
        <v>1</v>
      </c>
      <c r="AS582" s="49">
        <f t="shared" si="550"/>
        <v>0</v>
      </c>
      <c r="AT582" s="49">
        <f t="shared" si="551"/>
        <v>0</v>
      </c>
      <c r="AU582" s="49">
        <f t="shared" si="552"/>
        <v>0</v>
      </c>
      <c r="AV582" s="49">
        <f t="shared" si="553"/>
        <v>1</v>
      </c>
      <c r="AW582" s="49">
        <f t="shared" si="554"/>
        <v>0</v>
      </c>
      <c r="AX582" s="49">
        <f t="shared" si="555"/>
        <v>0</v>
      </c>
      <c r="AY582" s="49">
        <f t="shared" si="556"/>
        <v>0</v>
      </c>
      <c r="AZ582" s="49">
        <f t="shared" si="557"/>
        <v>1</v>
      </c>
      <c r="BA582" s="49">
        <f t="shared" si="558"/>
        <v>0</v>
      </c>
      <c r="BB582" s="49">
        <f t="shared" si="559"/>
        <v>0</v>
      </c>
      <c r="BC582" s="49">
        <f t="shared" si="560"/>
        <v>0</v>
      </c>
      <c r="BD582" s="49">
        <f t="shared" si="561"/>
        <v>1</v>
      </c>
      <c r="BE582" s="49">
        <f t="shared" si="562"/>
        <v>0</v>
      </c>
      <c r="BF582" s="49">
        <f t="shared" si="563"/>
        <v>0</v>
      </c>
      <c r="BG582" s="49">
        <f t="shared" si="564"/>
        <v>0</v>
      </c>
      <c r="BH582" s="49">
        <f t="shared" si="565"/>
        <v>1</v>
      </c>
      <c r="BI582" s="49">
        <f t="shared" si="566"/>
        <v>0</v>
      </c>
      <c r="BJ582" s="49">
        <f t="shared" si="567"/>
        <v>0</v>
      </c>
      <c r="BK582" s="49">
        <f t="shared" si="568"/>
        <v>0</v>
      </c>
      <c r="BL582" s="49">
        <f t="shared" si="569"/>
        <v>1</v>
      </c>
      <c r="BM582" s="49">
        <f t="shared" si="570"/>
        <v>0</v>
      </c>
      <c r="BN582" s="49">
        <f t="shared" si="571"/>
        <v>0</v>
      </c>
      <c r="BO582" s="49">
        <f t="shared" si="572"/>
        <v>0</v>
      </c>
      <c r="BP582" s="49">
        <f t="shared" si="573"/>
        <v>1</v>
      </c>
      <c r="BQ582" s="49">
        <f t="shared" si="574"/>
        <v>0</v>
      </c>
      <c r="BR582" s="49">
        <f t="shared" si="575"/>
        <v>0</v>
      </c>
      <c r="BS582" s="49">
        <f t="shared" si="576"/>
        <v>0</v>
      </c>
      <c r="BT582" s="49">
        <f t="shared" si="577"/>
        <v>1</v>
      </c>
      <c r="BU582" s="49">
        <f t="shared" si="578"/>
        <v>0</v>
      </c>
      <c r="BV582" s="49">
        <f t="shared" si="579"/>
        <v>0</v>
      </c>
      <c r="BW582" s="49">
        <f t="shared" si="580"/>
        <v>0</v>
      </c>
    </row>
    <row r="583" spans="1:75" ht="35.1" customHeight="1" x14ac:dyDescent="0.3">
      <c r="A583" s="123" t="str">
        <f t="shared" ref="A583:A644" si="581">MID(C583,3,1)&amp;"팀"</f>
        <v>5팀</v>
      </c>
      <c r="B583" s="69">
        <f t="shared" ref="B583:B617" si="582">ROW()-6</f>
        <v>577</v>
      </c>
      <c r="C583" s="121" t="str">
        <f>IF(VLOOKUP($B583,'1. 현장별 인원현황'!$C:$J,2,0)=0,"",VLOOKUP($B583,'1. 현장별 인원현황'!$C:$J,2,0))</f>
        <v xml:space="preserve"> [5.롯데건설] 마곡사옥 르웨스트 시티 D동 8-11층 이전공사</v>
      </c>
      <c r="D583" s="74" t="str">
        <f>IF(VLOOKUP($B583,'1. 현장별 인원현황'!$C:$J,3,0)=0,"",VLOOKUP($B583,'1. 현장별 인원현황'!$C:$J,3,0))</f>
        <v>조기성</v>
      </c>
      <c r="E583" s="74" t="str">
        <f ca="1">IF(VLOOKUP($B583,'1. 현장별 인원현황'!$C:$J,4,0)=0,"",VLOOKUP($B583,'1. 현장별 인원현황'!$C:$J,4,0))</f>
        <v>62세</v>
      </c>
      <c r="F583" s="70" t="str">
        <f>IF(VLOOKUP($B583,'1. 현장별 인원현황'!$C:$J,7,0)=0,"",VLOOKUP($B583,'1. 현장별 인원현황'!$C:$J,7,0))</f>
        <v>기능공</v>
      </c>
      <c r="G583" s="72" t="str">
        <f>IF(VLOOKUP($B583,'1. 현장별 인원현황'!$C:$J,8,0)=0,"",VLOOKUP($B583,'1. 현장별 인원현황'!$C:$J,8,0))</f>
        <v>전공</v>
      </c>
      <c r="H583" s="67" t="s">
        <v>69</v>
      </c>
      <c r="I583" s="73"/>
      <c r="J583" s="73"/>
      <c r="K583" s="68"/>
      <c r="L583" s="67" t="s">
        <v>69</v>
      </c>
      <c r="M583" s="73"/>
      <c r="N583" s="73"/>
      <c r="O583" s="68"/>
      <c r="P583" s="67" t="s">
        <v>69</v>
      </c>
      <c r="Q583" s="73"/>
      <c r="R583" s="73"/>
      <c r="S583" s="68"/>
      <c r="T583" s="67" t="s">
        <v>69</v>
      </c>
      <c r="U583" s="73"/>
      <c r="V583" s="73"/>
      <c r="W583" s="68"/>
      <c r="X583" s="67" t="s">
        <v>69</v>
      </c>
      <c r="Y583" s="73"/>
      <c r="Z583" s="73"/>
      <c r="AA583" s="68"/>
      <c r="AB583" s="67" t="s">
        <v>69</v>
      </c>
      <c r="AC583" s="73"/>
      <c r="AD583" s="73"/>
      <c r="AE583" s="68"/>
      <c r="AF583" s="67" t="s">
        <v>69</v>
      </c>
      <c r="AG583" s="73"/>
      <c r="AH583" s="73"/>
      <c r="AI583" s="68"/>
      <c r="AJ583" s="67" t="s">
        <v>69</v>
      </c>
      <c r="AK583" s="73"/>
      <c r="AL583" s="73"/>
      <c r="AM583" s="68"/>
      <c r="AN583" s="67">
        <f t="shared" ref="AN583:AN617" si="583">SUMPRODUCT($H$5:$AM$5,AR583:BW583)</f>
        <v>100</v>
      </c>
      <c r="AO583" s="68" t="str">
        <f t="shared" ref="AO583:AO617" si="584">IF(AN583&gt;85,"S",IF(AN583&gt;70,"A",IF(AN583&gt;50,"B",IF(AN583&gt;0,"C",""))))</f>
        <v>S</v>
      </c>
      <c r="AR583" s="49">
        <f t="shared" si="549"/>
        <v>1</v>
      </c>
      <c r="AS583" s="49">
        <f t="shared" si="550"/>
        <v>0</v>
      </c>
      <c r="AT583" s="49">
        <f t="shared" si="551"/>
        <v>0</v>
      </c>
      <c r="AU583" s="49">
        <f t="shared" si="552"/>
        <v>0</v>
      </c>
      <c r="AV583" s="49">
        <f t="shared" si="553"/>
        <v>1</v>
      </c>
      <c r="AW583" s="49">
        <f t="shared" si="554"/>
        <v>0</v>
      </c>
      <c r="AX583" s="49">
        <f t="shared" si="555"/>
        <v>0</v>
      </c>
      <c r="AY583" s="49">
        <f t="shared" si="556"/>
        <v>0</v>
      </c>
      <c r="AZ583" s="49">
        <f t="shared" si="557"/>
        <v>1</v>
      </c>
      <c r="BA583" s="49">
        <f t="shared" si="558"/>
        <v>0</v>
      </c>
      <c r="BB583" s="49">
        <f t="shared" si="559"/>
        <v>0</v>
      </c>
      <c r="BC583" s="49">
        <f t="shared" si="560"/>
        <v>0</v>
      </c>
      <c r="BD583" s="49">
        <f t="shared" si="561"/>
        <v>1</v>
      </c>
      <c r="BE583" s="49">
        <f t="shared" si="562"/>
        <v>0</v>
      </c>
      <c r="BF583" s="49">
        <f t="shared" si="563"/>
        <v>0</v>
      </c>
      <c r="BG583" s="49">
        <f t="shared" si="564"/>
        <v>0</v>
      </c>
      <c r="BH583" s="49">
        <f t="shared" si="565"/>
        <v>1</v>
      </c>
      <c r="BI583" s="49">
        <f t="shared" si="566"/>
        <v>0</v>
      </c>
      <c r="BJ583" s="49">
        <f t="shared" si="567"/>
        <v>0</v>
      </c>
      <c r="BK583" s="49">
        <f t="shared" si="568"/>
        <v>0</v>
      </c>
      <c r="BL583" s="49">
        <f t="shared" si="569"/>
        <v>1</v>
      </c>
      <c r="BM583" s="49">
        <f t="shared" si="570"/>
        <v>0</v>
      </c>
      <c r="BN583" s="49">
        <f t="shared" si="571"/>
        <v>0</v>
      </c>
      <c r="BO583" s="49">
        <f t="shared" si="572"/>
        <v>0</v>
      </c>
      <c r="BP583" s="49">
        <f t="shared" si="573"/>
        <v>1</v>
      </c>
      <c r="BQ583" s="49">
        <f t="shared" si="574"/>
        <v>0</v>
      </c>
      <c r="BR583" s="49">
        <f t="shared" si="575"/>
        <v>0</v>
      </c>
      <c r="BS583" s="49">
        <f t="shared" si="576"/>
        <v>0</v>
      </c>
      <c r="BT583" s="49">
        <f t="shared" si="577"/>
        <v>1</v>
      </c>
      <c r="BU583" s="49">
        <f t="shared" si="578"/>
        <v>0</v>
      </c>
      <c r="BV583" s="49">
        <f t="shared" si="579"/>
        <v>0</v>
      </c>
      <c r="BW583" s="49">
        <f t="shared" si="580"/>
        <v>0</v>
      </c>
    </row>
    <row r="584" spans="1:75" ht="35.1" customHeight="1" x14ac:dyDescent="0.3">
      <c r="A584" s="123" t="str">
        <f t="shared" si="581"/>
        <v>5팀</v>
      </c>
      <c r="B584" s="69">
        <f t="shared" si="582"/>
        <v>578</v>
      </c>
      <c r="C584" s="121" t="str">
        <f>IF(VLOOKUP($B584,'1. 현장별 인원현황'!$C:$J,2,0)=0,"",VLOOKUP($B584,'1. 현장별 인원현황'!$C:$J,2,0))</f>
        <v xml:space="preserve"> [5.롯데건설] 마곡사옥 르웨스트 시티 D동 8-11층 이전공사</v>
      </c>
      <c r="D584" s="74" t="str">
        <f>IF(VLOOKUP($B584,'1. 현장별 인원현황'!$C:$J,3,0)=0,"",VLOOKUP($B584,'1. 현장별 인원현황'!$C:$J,3,0))</f>
        <v>이동우</v>
      </c>
      <c r="E584" s="74" t="str">
        <f ca="1">IF(VLOOKUP($B584,'1. 현장별 인원현황'!$C:$J,4,0)=0,"",VLOOKUP($B584,'1. 현장별 인원현황'!$C:$J,4,0))</f>
        <v>66세</v>
      </c>
      <c r="F584" s="70" t="str">
        <f>IF(VLOOKUP($B584,'1. 현장별 인원현황'!$C:$J,7,0)=0,"",VLOOKUP($B584,'1. 현장별 인원현황'!$C:$J,7,0))</f>
        <v>기능공</v>
      </c>
      <c r="G584" s="72" t="str">
        <f>IF(VLOOKUP($B584,'1. 현장별 인원현황'!$C:$J,8,0)=0,"",VLOOKUP($B584,'1. 현장별 인원현황'!$C:$J,8,0))</f>
        <v>전공</v>
      </c>
      <c r="H584" s="67" t="s">
        <v>69</v>
      </c>
      <c r="I584" s="73"/>
      <c r="J584" s="73"/>
      <c r="K584" s="68"/>
      <c r="L584" s="67" t="s">
        <v>69</v>
      </c>
      <c r="M584" s="73"/>
      <c r="N584" s="73"/>
      <c r="O584" s="68"/>
      <c r="P584" s="67" t="s">
        <v>69</v>
      </c>
      <c r="Q584" s="73"/>
      <c r="R584" s="73"/>
      <c r="S584" s="68"/>
      <c r="T584" s="67" t="s">
        <v>69</v>
      </c>
      <c r="U584" s="73"/>
      <c r="V584" s="73"/>
      <c r="W584" s="68"/>
      <c r="X584" s="67" t="s">
        <v>69</v>
      </c>
      <c r="Y584" s="73"/>
      <c r="Z584" s="73"/>
      <c r="AA584" s="68"/>
      <c r="AB584" s="67" t="s">
        <v>69</v>
      </c>
      <c r="AC584" s="73"/>
      <c r="AD584" s="73"/>
      <c r="AE584" s="68"/>
      <c r="AF584" s="67" t="s">
        <v>69</v>
      </c>
      <c r="AG584" s="73"/>
      <c r="AH584" s="73"/>
      <c r="AI584" s="68"/>
      <c r="AJ584" s="67" t="s">
        <v>69</v>
      </c>
      <c r="AK584" s="73"/>
      <c r="AL584" s="73"/>
      <c r="AM584" s="68"/>
      <c r="AN584" s="67">
        <f t="shared" si="583"/>
        <v>100</v>
      </c>
      <c r="AO584" s="68" t="str">
        <f t="shared" si="584"/>
        <v>S</v>
      </c>
      <c r="AR584" s="49">
        <f t="shared" si="549"/>
        <v>1</v>
      </c>
      <c r="AS584" s="49">
        <f t="shared" si="550"/>
        <v>0</v>
      </c>
      <c r="AT584" s="49">
        <f t="shared" si="551"/>
        <v>0</v>
      </c>
      <c r="AU584" s="49">
        <f t="shared" si="552"/>
        <v>0</v>
      </c>
      <c r="AV584" s="49">
        <f t="shared" si="553"/>
        <v>1</v>
      </c>
      <c r="AW584" s="49">
        <f t="shared" si="554"/>
        <v>0</v>
      </c>
      <c r="AX584" s="49">
        <f t="shared" si="555"/>
        <v>0</v>
      </c>
      <c r="AY584" s="49">
        <f t="shared" si="556"/>
        <v>0</v>
      </c>
      <c r="AZ584" s="49">
        <f t="shared" si="557"/>
        <v>1</v>
      </c>
      <c r="BA584" s="49">
        <f t="shared" si="558"/>
        <v>0</v>
      </c>
      <c r="BB584" s="49">
        <f t="shared" si="559"/>
        <v>0</v>
      </c>
      <c r="BC584" s="49">
        <f t="shared" si="560"/>
        <v>0</v>
      </c>
      <c r="BD584" s="49">
        <f t="shared" si="561"/>
        <v>1</v>
      </c>
      <c r="BE584" s="49">
        <f t="shared" si="562"/>
        <v>0</v>
      </c>
      <c r="BF584" s="49">
        <f t="shared" si="563"/>
        <v>0</v>
      </c>
      <c r="BG584" s="49">
        <f t="shared" si="564"/>
        <v>0</v>
      </c>
      <c r="BH584" s="49">
        <f t="shared" si="565"/>
        <v>1</v>
      </c>
      <c r="BI584" s="49">
        <f t="shared" si="566"/>
        <v>0</v>
      </c>
      <c r="BJ584" s="49">
        <f t="shared" si="567"/>
        <v>0</v>
      </c>
      <c r="BK584" s="49">
        <f t="shared" si="568"/>
        <v>0</v>
      </c>
      <c r="BL584" s="49">
        <f t="shared" si="569"/>
        <v>1</v>
      </c>
      <c r="BM584" s="49">
        <f t="shared" si="570"/>
        <v>0</v>
      </c>
      <c r="BN584" s="49">
        <f t="shared" si="571"/>
        <v>0</v>
      </c>
      <c r="BO584" s="49">
        <f t="shared" si="572"/>
        <v>0</v>
      </c>
      <c r="BP584" s="49">
        <f t="shared" si="573"/>
        <v>1</v>
      </c>
      <c r="BQ584" s="49">
        <f t="shared" si="574"/>
        <v>0</v>
      </c>
      <c r="BR584" s="49">
        <f t="shared" si="575"/>
        <v>0</v>
      </c>
      <c r="BS584" s="49">
        <f t="shared" si="576"/>
        <v>0</v>
      </c>
      <c r="BT584" s="49">
        <f t="shared" si="577"/>
        <v>1</v>
      </c>
      <c r="BU584" s="49">
        <f t="shared" si="578"/>
        <v>0</v>
      </c>
      <c r="BV584" s="49">
        <f t="shared" si="579"/>
        <v>0</v>
      </c>
      <c r="BW584" s="49">
        <f t="shared" si="580"/>
        <v>0</v>
      </c>
    </row>
    <row r="585" spans="1:75" ht="35.1" customHeight="1" x14ac:dyDescent="0.3">
      <c r="A585" s="123" t="str">
        <f t="shared" si="581"/>
        <v>5팀</v>
      </c>
      <c r="B585" s="69">
        <f t="shared" si="582"/>
        <v>579</v>
      </c>
      <c r="C585" s="121" t="str">
        <f>IF(VLOOKUP($B585,'1. 현장별 인원현황'!$C:$J,2,0)=0,"",VLOOKUP($B585,'1. 현장별 인원현황'!$C:$J,2,0))</f>
        <v xml:space="preserve"> [5.롯데건설] 마곡사옥 르웨스트 시티 D동 8-11층 이전공사</v>
      </c>
      <c r="D585" s="74" t="str">
        <f>IF(VLOOKUP($B585,'1. 현장별 인원현황'!$C:$J,3,0)=0,"",VLOOKUP($B585,'1. 현장별 인원현황'!$C:$J,3,0))</f>
        <v>김완수</v>
      </c>
      <c r="E585" s="74" t="str">
        <f ca="1">IF(VLOOKUP($B585,'1. 현장별 인원현황'!$C:$J,4,0)=0,"",VLOOKUP($B585,'1. 현장별 인원현황'!$C:$J,4,0))</f>
        <v>67세</v>
      </c>
      <c r="F585" s="70" t="str">
        <f>IF(VLOOKUP($B585,'1. 현장별 인원현황'!$C:$J,7,0)=0,"",VLOOKUP($B585,'1. 현장별 인원현황'!$C:$J,7,0))</f>
        <v>기능공</v>
      </c>
      <c r="G585" s="72" t="str">
        <f>IF(VLOOKUP($B585,'1. 현장별 인원현황'!$C:$J,8,0)=0,"",VLOOKUP($B585,'1. 현장별 인원현황'!$C:$J,8,0))</f>
        <v>전공</v>
      </c>
      <c r="H585" s="67" t="s">
        <v>69</v>
      </c>
      <c r="I585" s="73"/>
      <c r="J585" s="73"/>
      <c r="K585" s="68"/>
      <c r="L585" s="67" t="s">
        <v>69</v>
      </c>
      <c r="M585" s="73"/>
      <c r="N585" s="73"/>
      <c r="O585" s="68"/>
      <c r="P585" s="67" t="s">
        <v>69</v>
      </c>
      <c r="Q585" s="73"/>
      <c r="R585" s="73"/>
      <c r="S585" s="68"/>
      <c r="T585" s="67" t="s">
        <v>69</v>
      </c>
      <c r="U585" s="73"/>
      <c r="V585" s="73"/>
      <c r="W585" s="68"/>
      <c r="X585" s="67" t="s">
        <v>69</v>
      </c>
      <c r="Y585" s="73"/>
      <c r="Z585" s="73"/>
      <c r="AA585" s="68"/>
      <c r="AB585" s="67" t="s">
        <v>69</v>
      </c>
      <c r="AC585" s="73"/>
      <c r="AD585" s="73"/>
      <c r="AE585" s="68"/>
      <c r="AF585" s="67" t="s">
        <v>69</v>
      </c>
      <c r="AG585" s="73"/>
      <c r="AH585" s="73"/>
      <c r="AI585" s="68"/>
      <c r="AJ585" s="67" t="s">
        <v>69</v>
      </c>
      <c r="AK585" s="73"/>
      <c r="AL585" s="73"/>
      <c r="AM585" s="68"/>
      <c r="AN585" s="67">
        <f t="shared" si="583"/>
        <v>100</v>
      </c>
      <c r="AO585" s="68" t="str">
        <f t="shared" si="584"/>
        <v>S</v>
      </c>
      <c r="AR585" s="49">
        <f t="shared" si="549"/>
        <v>1</v>
      </c>
      <c r="AS585" s="49">
        <f t="shared" si="550"/>
        <v>0</v>
      </c>
      <c r="AT585" s="49">
        <f t="shared" si="551"/>
        <v>0</v>
      </c>
      <c r="AU585" s="49">
        <f t="shared" si="552"/>
        <v>0</v>
      </c>
      <c r="AV585" s="49">
        <f t="shared" si="553"/>
        <v>1</v>
      </c>
      <c r="AW585" s="49">
        <f t="shared" si="554"/>
        <v>0</v>
      </c>
      <c r="AX585" s="49">
        <f t="shared" si="555"/>
        <v>0</v>
      </c>
      <c r="AY585" s="49">
        <f t="shared" si="556"/>
        <v>0</v>
      </c>
      <c r="AZ585" s="49">
        <f t="shared" si="557"/>
        <v>1</v>
      </c>
      <c r="BA585" s="49">
        <f t="shared" si="558"/>
        <v>0</v>
      </c>
      <c r="BB585" s="49">
        <f t="shared" si="559"/>
        <v>0</v>
      </c>
      <c r="BC585" s="49">
        <f t="shared" si="560"/>
        <v>0</v>
      </c>
      <c r="BD585" s="49">
        <f t="shared" si="561"/>
        <v>1</v>
      </c>
      <c r="BE585" s="49">
        <f t="shared" si="562"/>
        <v>0</v>
      </c>
      <c r="BF585" s="49">
        <f t="shared" si="563"/>
        <v>0</v>
      </c>
      <c r="BG585" s="49">
        <f t="shared" si="564"/>
        <v>0</v>
      </c>
      <c r="BH585" s="49">
        <f t="shared" si="565"/>
        <v>1</v>
      </c>
      <c r="BI585" s="49">
        <f t="shared" si="566"/>
        <v>0</v>
      </c>
      <c r="BJ585" s="49">
        <f t="shared" si="567"/>
        <v>0</v>
      </c>
      <c r="BK585" s="49">
        <f t="shared" si="568"/>
        <v>0</v>
      </c>
      <c r="BL585" s="49">
        <f t="shared" si="569"/>
        <v>1</v>
      </c>
      <c r="BM585" s="49">
        <f t="shared" si="570"/>
        <v>0</v>
      </c>
      <c r="BN585" s="49">
        <f t="shared" si="571"/>
        <v>0</v>
      </c>
      <c r="BO585" s="49">
        <f t="shared" si="572"/>
        <v>0</v>
      </c>
      <c r="BP585" s="49">
        <f t="shared" si="573"/>
        <v>1</v>
      </c>
      <c r="BQ585" s="49">
        <f t="shared" si="574"/>
        <v>0</v>
      </c>
      <c r="BR585" s="49">
        <f t="shared" si="575"/>
        <v>0</v>
      </c>
      <c r="BS585" s="49">
        <f t="shared" si="576"/>
        <v>0</v>
      </c>
      <c r="BT585" s="49">
        <f t="shared" si="577"/>
        <v>1</v>
      </c>
      <c r="BU585" s="49">
        <f t="shared" si="578"/>
        <v>0</v>
      </c>
      <c r="BV585" s="49">
        <f t="shared" si="579"/>
        <v>0</v>
      </c>
      <c r="BW585" s="49">
        <f t="shared" si="580"/>
        <v>0</v>
      </c>
    </row>
    <row r="586" spans="1:75" ht="35.1" customHeight="1" x14ac:dyDescent="0.3">
      <c r="A586" s="123" t="str">
        <f t="shared" si="581"/>
        <v>5팀</v>
      </c>
      <c r="B586" s="69">
        <f t="shared" si="582"/>
        <v>580</v>
      </c>
      <c r="C586" s="121" t="str">
        <f>IF(VLOOKUP($B586,'1. 현장별 인원현황'!$C:$J,2,0)=0,"",VLOOKUP($B586,'1. 현장별 인원현황'!$C:$J,2,0))</f>
        <v xml:space="preserve"> [5.한국교직원공제회] The-K 제주호텔 리모델링 공사</v>
      </c>
      <c r="D586" s="74" t="str">
        <f>IF(VLOOKUP($B586,'1. 현장별 인원현황'!$C:$J,3,0)=0,"",VLOOKUP($B586,'1. 현장별 인원현황'!$C:$J,3,0))</f>
        <v>송인현</v>
      </c>
      <c r="E586" s="74" t="str">
        <f ca="1">IF(VLOOKUP($B586,'1. 현장별 인원현황'!$C:$J,4,0)=0,"",VLOOKUP($B586,'1. 현장별 인원현황'!$C:$J,4,0))</f>
        <v>55세</v>
      </c>
      <c r="F586" s="70" t="str">
        <f>IF(VLOOKUP($B586,'1. 현장별 인원현황'!$C:$J,7,0)=0,"",VLOOKUP($B586,'1. 현장별 인원현황'!$C:$J,7,0))</f>
        <v>공무</v>
      </c>
      <c r="G586" s="72" t="str">
        <f>IF(VLOOKUP($B586,'1. 현장별 인원현황'!$C:$J,8,0)=0,"",VLOOKUP($B586,'1. 현장별 인원현황'!$C:$J,8,0))</f>
        <v>차장</v>
      </c>
      <c r="H586" s="67" t="s">
        <v>69</v>
      </c>
      <c r="I586" s="73"/>
      <c r="J586" s="73"/>
      <c r="K586" s="68"/>
      <c r="L586" s="67"/>
      <c r="M586" s="73" t="s">
        <v>69</v>
      </c>
      <c r="N586" s="73"/>
      <c r="O586" s="68"/>
      <c r="P586" s="67" t="s">
        <v>69</v>
      </c>
      <c r="Q586" s="73"/>
      <c r="R586" s="73"/>
      <c r="S586" s="68"/>
      <c r="T586" s="67" t="s">
        <v>69</v>
      </c>
      <c r="U586" s="73"/>
      <c r="V586" s="73"/>
      <c r="W586" s="68"/>
      <c r="X586" s="67" t="s">
        <v>69</v>
      </c>
      <c r="Y586" s="73"/>
      <c r="Z586" s="73"/>
      <c r="AA586" s="68"/>
      <c r="AB586" s="67" t="s">
        <v>69</v>
      </c>
      <c r="AC586" s="73"/>
      <c r="AD586" s="73"/>
      <c r="AE586" s="68"/>
      <c r="AF586" s="67" t="s">
        <v>69</v>
      </c>
      <c r="AG586" s="73"/>
      <c r="AH586" s="73"/>
      <c r="AI586" s="68"/>
      <c r="AJ586" s="67" t="s">
        <v>69</v>
      </c>
      <c r="AK586" s="73"/>
      <c r="AL586" s="73"/>
      <c r="AM586" s="68"/>
      <c r="AN586" s="67">
        <f t="shared" si="583"/>
        <v>96</v>
      </c>
      <c r="AO586" s="68" t="str">
        <f t="shared" si="584"/>
        <v>S</v>
      </c>
      <c r="AR586" s="49">
        <f t="shared" si="549"/>
        <v>1</v>
      </c>
      <c r="AS586" s="49">
        <f t="shared" si="550"/>
        <v>0</v>
      </c>
      <c r="AT586" s="49">
        <f t="shared" si="551"/>
        <v>0</v>
      </c>
      <c r="AU586" s="49">
        <f t="shared" si="552"/>
        <v>0</v>
      </c>
      <c r="AV586" s="49">
        <f t="shared" si="553"/>
        <v>0</v>
      </c>
      <c r="AW586" s="49">
        <f t="shared" si="554"/>
        <v>1</v>
      </c>
      <c r="AX586" s="49">
        <f t="shared" si="555"/>
        <v>0</v>
      </c>
      <c r="AY586" s="49">
        <f t="shared" si="556"/>
        <v>0</v>
      </c>
      <c r="AZ586" s="49">
        <f t="shared" si="557"/>
        <v>1</v>
      </c>
      <c r="BA586" s="49">
        <f t="shared" si="558"/>
        <v>0</v>
      </c>
      <c r="BB586" s="49">
        <f t="shared" si="559"/>
        <v>0</v>
      </c>
      <c r="BC586" s="49">
        <f t="shared" si="560"/>
        <v>0</v>
      </c>
      <c r="BD586" s="49">
        <f t="shared" si="561"/>
        <v>1</v>
      </c>
      <c r="BE586" s="49">
        <f t="shared" si="562"/>
        <v>0</v>
      </c>
      <c r="BF586" s="49">
        <f t="shared" si="563"/>
        <v>0</v>
      </c>
      <c r="BG586" s="49">
        <f t="shared" si="564"/>
        <v>0</v>
      </c>
      <c r="BH586" s="49">
        <f t="shared" si="565"/>
        <v>1</v>
      </c>
      <c r="BI586" s="49">
        <f t="shared" si="566"/>
        <v>0</v>
      </c>
      <c r="BJ586" s="49">
        <f t="shared" si="567"/>
        <v>0</v>
      </c>
      <c r="BK586" s="49">
        <f t="shared" si="568"/>
        <v>0</v>
      </c>
      <c r="BL586" s="49">
        <f t="shared" si="569"/>
        <v>1</v>
      </c>
      <c r="BM586" s="49">
        <f t="shared" si="570"/>
        <v>0</v>
      </c>
      <c r="BN586" s="49">
        <f t="shared" si="571"/>
        <v>0</v>
      </c>
      <c r="BO586" s="49">
        <f t="shared" si="572"/>
        <v>0</v>
      </c>
      <c r="BP586" s="49">
        <f t="shared" si="573"/>
        <v>1</v>
      </c>
      <c r="BQ586" s="49">
        <f t="shared" si="574"/>
        <v>0</v>
      </c>
      <c r="BR586" s="49">
        <f t="shared" si="575"/>
        <v>0</v>
      </c>
      <c r="BS586" s="49">
        <f t="shared" si="576"/>
        <v>0</v>
      </c>
      <c r="BT586" s="49">
        <f t="shared" si="577"/>
        <v>1</v>
      </c>
      <c r="BU586" s="49">
        <f t="shared" si="578"/>
        <v>0</v>
      </c>
      <c r="BV586" s="49">
        <f t="shared" si="579"/>
        <v>0</v>
      </c>
      <c r="BW586" s="49">
        <f t="shared" si="580"/>
        <v>0</v>
      </c>
    </row>
    <row r="587" spans="1:75" ht="35.1" customHeight="1" x14ac:dyDescent="0.3">
      <c r="A587" s="123" t="str">
        <f t="shared" si="581"/>
        <v>5팀</v>
      </c>
      <c r="B587" s="69">
        <f t="shared" si="582"/>
        <v>581</v>
      </c>
      <c r="C587" s="121" t="str">
        <f>IF(VLOOKUP($B587,'1. 현장별 인원현황'!$C:$J,2,0)=0,"",VLOOKUP($B587,'1. 현장별 인원현황'!$C:$J,2,0))</f>
        <v xml:space="preserve"> [5.한국교직원공제회] The-K 제주호텔 리모델링 공사</v>
      </c>
      <c r="D587" s="74" t="str">
        <f>IF(VLOOKUP($B587,'1. 현장별 인원현황'!$C:$J,3,0)=0,"",VLOOKUP($B587,'1. 현장별 인원현황'!$C:$J,3,0))</f>
        <v>이창원</v>
      </c>
      <c r="E587" s="74" t="str">
        <f ca="1">IF(VLOOKUP($B587,'1. 현장별 인원현황'!$C:$J,4,0)=0,"",VLOOKUP($B587,'1. 현장별 인원현황'!$C:$J,4,0))</f>
        <v>29세</v>
      </c>
      <c r="F587" s="70" t="str">
        <f>IF(VLOOKUP($B587,'1. 현장별 인원현황'!$C:$J,7,0)=0,"",VLOOKUP($B587,'1. 현장별 인원현황'!$C:$J,7,0))</f>
        <v>안전관리자</v>
      </c>
      <c r="G587" s="72" t="str">
        <f>IF(VLOOKUP($B587,'1. 현장별 인원현황'!$C:$J,8,0)=0,"",VLOOKUP($B587,'1. 현장별 인원현황'!$C:$J,8,0))</f>
        <v>대리</v>
      </c>
      <c r="H587" s="67" t="s">
        <v>69</v>
      </c>
      <c r="I587" s="73"/>
      <c r="J587" s="73"/>
      <c r="K587" s="68"/>
      <c r="L587" s="67"/>
      <c r="M587" s="73" t="s">
        <v>69</v>
      </c>
      <c r="N587" s="73"/>
      <c r="O587" s="68"/>
      <c r="P587" s="67" t="s">
        <v>69</v>
      </c>
      <c r="Q587" s="73"/>
      <c r="R587" s="73"/>
      <c r="S587" s="68"/>
      <c r="T587" s="67" t="s">
        <v>69</v>
      </c>
      <c r="U587" s="73"/>
      <c r="V587" s="73"/>
      <c r="W587" s="68"/>
      <c r="X587" s="67" t="s">
        <v>69</v>
      </c>
      <c r="Y587" s="73"/>
      <c r="Z587" s="73"/>
      <c r="AA587" s="68"/>
      <c r="AB587" s="67" t="s">
        <v>69</v>
      </c>
      <c r="AC587" s="73"/>
      <c r="AD587" s="73"/>
      <c r="AE587" s="68"/>
      <c r="AF587" s="67" t="s">
        <v>69</v>
      </c>
      <c r="AG587" s="73"/>
      <c r="AH587" s="73"/>
      <c r="AI587" s="68"/>
      <c r="AJ587" s="67" t="s">
        <v>69</v>
      </c>
      <c r="AK587" s="73"/>
      <c r="AL587" s="73"/>
      <c r="AM587" s="68"/>
      <c r="AN587" s="67">
        <f t="shared" si="583"/>
        <v>96</v>
      </c>
      <c r="AO587" s="68" t="str">
        <f t="shared" si="584"/>
        <v>S</v>
      </c>
      <c r="AR587" s="49">
        <f t="shared" si="549"/>
        <v>1</v>
      </c>
      <c r="AS587" s="49">
        <f t="shared" si="550"/>
        <v>0</v>
      </c>
      <c r="AT587" s="49">
        <f t="shared" si="551"/>
        <v>0</v>
      </c>
      <c r="AU587" s="49">
        <f t="shared" si="552"/>
        <v>0</v>
      </c>
      <c r="AV587" s="49">
        <f t="shared" si="553"/>
        <v>0</v>
      </c>
      <c r="AW587" s="49">
        <f t="shared" si="554"/>
        <v>1</v>
      </c>
      <c r="AX587" s="49">
        <f t="shared" si="555"/>
        <v>0</v>
      </c>
      <c r="AY587" s="49">
        <f t="shared" si="556"/>
        <v>0</v>
      </c>
      <c r="AZ587" s="49">
        <f t="shared" si="557"/>
        <v>1</v>
      </c>
      <c r="BA587" s="49">
        <f t="shared" si="558"/>
        <v>0</v>
      </c>
      <c r="BB587" s="49">
        <f t="shared" si="559"/>
        <v>0</v>
      </c>
      <c r="BC587" s="49">
        <f t="shared" si="560"/>
        <v>0</v>
      </c>
      <c r="BD587" s="49">
        <f t="shared" si="561"/>
        <v>1</v>
      </c>
      <c r="BE587" s="49">
        <f t="shared" si="562"/>
        <v>0</v>
      </c>
      <c r="BF587" s="49">
        <f t="shared" si="563"/>
        <v>0</v>
      </c>
      <c r="BG587" s="49">
        <f t="shared" si="564"/>
        <v>0</v>
      </c>
      <c r="BH587" s="49">
        <f t="shared" si="565"/>
        <v>1</v>
      </c>
      <c r="BI587" s="49">
        <f t="shared" si="566"/>
        <v>0</v>
      </c>
      <c r="BJ587" s="49">
        <f t="shared" si="567"/>
        <v>0</v>
      </c>
      <c r="BK587" s="49">
        <f t="shared" si="568"/>
        <v>0</v>
      </c>
      <c r="BL587" s="49">
        <f t="shared" si="569"/>
        <v>1</v>
      </c>
      <c r="BM587" s="49">
        <f t="shared" si="570"/>
        <v>0</v>
      </c>
      <c r="BN587" s="49">
        <f t="shared" si="571"/>
        <v>0</v>
      </c>
      <c r="BO587" s="49">
        <f t="shared" si="572"/>
        <v>0</v>
      </c>
      <c r="BP587" s="49">
        <f t="shared" si="573"/>
        <v>1</v>
      </c>
      <c r="BQ587" s="49">
        <f t="shared" si="574"/>
        <v>0</v>
      </c>
      <c r="BR587" s="49">
        <f t="shared" si="575"/>
        <v>0</v>
      </c>
      <c r="BS587" s="49">
        <f t="shared" si="576"/>
        <v>0</v>
      </c>
      <c r="BT587" s="49">
        <f t="shared" si="577"/>
        <v>1</v>
      </c>
      <c r="BU587" s="49">
        <f t="shared" si="578"/>
        <v>0</v>
      </c>
      <c r="BV587" s="49">
        <f t="shared" si="579"/>
        <v>0</v>
      </c>
      <c r="BW587" s="49">
        <f t="shared" si="580"/>
        <v>0</v>
      </c>
    </row>
    <row r="588" spans="1:75" ht="35.1" customHeight="1" x14ac:dyDescent="0.3">
      <c r="A588" s="123" t="str">
        <f t="shared" si="581"/>
        <v>5팀</v>
      </c>
      <c r="B588" s="69">
        <f t="shared" si="582"/>
        <v>582</v>
      </c>
      <c r="C588" s="121" t="str">
        <f>IF(VLOOKUP($B588,'1. 현장별 인원현황'!$C:$J,2,0)=0,"",VLOOKUP($B588,'1. 현장별 인원현황'!$C:$J,2,0))</f>
        <v xml:space="preserve"> [5.한국교직원공제회] The-K 제주호텔 리모델링 공사</v>
      </c>
      <c r="D588" s="74" t="str">
        <f>IF(VLOOKUP($B588,'1. 현장별 인원현황'!$C:$J,3,0)=0,"",VLOOKUP($B588,'1. 현장별 인원현황'!$C:$J,3,0))</f>
        <v>명노원</v>
      </c>
      <c r="E588" s="74" t="str">
        <f ca="1">IF(VLOOKUP($B588,'1. 현장별 인원현황'!$C:$J,4,0)=0,"",VLOOKUP($B588,'1. 현장별 인원현황'!$C:$J,4,0))</f>
        <v>46세</v>
      </c>
      <c r="F588" s="70" t="str">
        <f>IF(VLOOKUP($B588,'1. 현장별 인원현황'!$C:$J,7,0)=0,"",VLOOKUP($B588,'1. 현장별 인원현황'!$C:$J,7,0))</f>
        <v>공사</v>
      </c>
      <c r="G588" s="72" t="str">
        <f>IF(VLOOKUP($B588,'1. 현장별 인원현황'!$C:$J,8,0)=0,"",VLOOKUP($B588,'1. 현장별 인원현황'!$C:$J,8,0))</f>
        <v>차장</v>
      </c>
      <c r="H588" s="67" t="s">
        <v>69</v>
      </c>
      <c r="I588" s="73"/>
      <c r="J588" s="73"/>
      <c r="K588" s="68"/>
      <c r="L588" s="67"/>
      <c r="M588" s="73" t="s">
        <v>69</v>
      </c>
      <c r="N588" s="73"/>
      <c r="O588" s="68"/>
      <c r="P588" s="67" t="s">
        <v>69</v>
      </c>
      <c r="Q588" s="73"/>
      <c r="R588" s="73"/>
      <c r="S588" s="68"/>
      <c r="T588" s="67" t="s">
        <v>69</v>
      </c>
      <c r="U588" s="73"/>
      <c r="V588" s="73"/>
      <c r="W588" s="68"/>
      <c r="X588" s="67" t="s">
        <v>69</v>
      </c>
      <c r="Y588" s="73"/>
      <c r="Z588" s="73"/>
      <c r="AA588" s="68"/>
      <c r="AB588" s="67" t="s">
        <v>69</v>
      </c>
      <c r="AC588" s="73"/>
      <c r="AD588" s="73"/>
      <c r="AE588" s="68"/>
      <c r="AF588" s="67" t="s">
        <v>69</v>
      </c>
      <c r="AG588" s="73"/>
      <c r="AH588" s="73"/>
      <c r="AI588" s="68"/>
      <c r="AJ588" s="67" t="s">
        <v>69</v>
      </c>
      <c r="AK588" s="73"/>
      <c r="AL588" s="73"/>
      <c r="AM588" s="68"/>
      <c r="AN588" s="67">
        <f t="shared" si="583"/>
        <v>96</v>
      </c>
      <c r="AO588" s="68" t="str">
        <f t="shared" si="584"/>
        <v>S</v>
      </c>
      <c r="AR588" s="49">
        <f t="shared" si="549"/>
        <v>1</v>
      </c>
      <c r="AS588" s="49">
        <f t="shared" si="550"/>
        <v>0</v>
      </c>
      <c r="AT588" s="49">
        <f t="shared" si="551"/>
        <v>0</v>
      </c>
      <c r="AU588" s="49">
        <f t="shared" si="552"/>
        <v>0</v>
      </c>
      <c r="AV588" s="49">
        <f t="shared" si="553"/>
        <v>0</v>
      </c>
      <c r="AW588" s="49">
        <f t="shared" si="554"/>
        <v>1</v>
      </c>
      <c r="AX588" s="49">
        <f t="shared" si="555"/>
        <v>0</v>
      </c>
      <c r="AY588" s="49">
        <f t="shared" si="556"/>
        <v>0</v>
      </c>
      <c r="AZ588" s="49">
        <f t="shared" si="557"/>
        <v>1</v>
      </c>
      <c r="BA588" s="49">
        <f t="shared" si="558"/>
        <v>0</v>
      </c>
      <c r="BB588" s="49">
        <f t="shared" si="559"/>
        <v>0</v>
      </c>
      <c r="BC588" s="49">
        <f t="shared" si="560"/>
        <v>0</v>
      </c>
      <c r="BD588" s="49">
        <f t="shared" si="561"/>
        <v>1</v>
      </c>
      <c r="BE588" s="49">
        <f t="shared" si="562"/>
        <v>0</v>
      </c>
      <c r="BF588" s="49">
        <f t="shared" si="563"/>
        <v>0</v>
      </c>
      <c r="BG588" s="49">
        <f t="shared" si="564"/>
        <v>0</v>
      </c>
      <c r="BH588" s="49">
        <f t="shared" si="565"/>
        <v>1</v>
      </c>
      <c r="BI588" s="49">
        <f t="shared" si="566"/>
        <v>0</v>
      </c>
      <c r="BJ588" s="49">
        <f t="shared" si="567"/>
        <v>0</v>
      </c>
      <c r="BK588" s="49">
        <f t="shared" si="568"/>
        <v>0</v>
      </c>
      <c r="BL588" s="49">
        <f t="shared" si="569"/>
        <v>1</v>
      </c>
      <c r="BM588" s="49">
        <f t="shared" si="570"/>
        <v>0</v>
      </c>
      <c r="BN588" s="49">
        <f t="shared" si="571"/>
        <v>0</v>
      </c>
      <c r="BO588" s="49">
        <f t="shared" si="572"/>
        <v>0</v>
      </c>
      <c r="BP588" s="49">
        <f t="shared" si="573"/>
        <v>1</v>
      </c>
      <c r="BQ588" s="49">
        <f t="shared" si="574"/>
        <v>0</v>
      </c>
      <c r="BR588" s="49">
        <f t="shared" si="575"/>
        <v>0</v>
      </c>
      <c r="BS588" s="49">
        <f t="shared" si="576"/>
        <v>0</v>
      </c>
      <c r="BT588" s="49">
        <f t="shared" si="577"/>
        <v>1</v>
      </c>
      <c r="BU588" s="49">
        <f t="shared" si="578"/>
        <v>0</v>
      </c>
      <c r="BV588" s="49">
        <f t="shared" si="579"/>
        <v>0</v>
      </c>
      <c r="BW588" s="49">
        <f t="shared" si="580"/>
        <v>0</v>
      </c>
    </row>
    <row r="589" spans="1:75" ht="35.1" customHeight="1" x14ac:dyDescent="0.3">
      <c r="A589" s="123" t="str">
        <f t="shared" si="581"/>
        <v>5팀</v>
      </c>
      <c r="B589" s="69">
        <f t="shared" si="582"/>
        <v>583</v>
      </c>
      <c r="C589" s="121" t="str">
        <f>IF(VLOOKUP($B589,'1. 현장별 인원현황'!$C:$J,2,0)=0,"",VLOOKUP($B589,'1. 현장별 인원현황'!$C:$J,2,0))</f>
        <v xml:space="preserve"> [5.한국교직원공제회] The-K 제주호텔 리모델링 공사</v>
      </c>
      <c r="D589" s="74" t="str">
        <f>IF(VLOOKUP($B589,'1. 현장별 인원현황'!$C:$J,3,0)=0,"",VLOOKUP($B589,'1. 현장별 인원현황'!$C:$J,3,0))</f>
        <v>이  경</v>
      </c>
      <c r="E589" s="74" t="str">
        <f ca="1">IF(VLOOKUP($B589,'1. 현장별 인원현황'!$C:$J,4,0)=0,"",VLOOKUP($B589,'1. 현장별 인원현황'!$C:$J,4,0))</f>
        <v>65세</v>
      </c>
      <c r="F589" s="70" t="str">
        <f>IF(VLOOKUP($B589,'1. 현장별 인원현황'!$C:$J,7,0)=0,"",VLOOKUP($B589,'1. 현장별 인원현황'!$C:$J,7,0))</f>
        <v>기능공</v>
      </c>
      <c r="G589" s="72" t="str">
        <f>IF(VLOOKUP($B589,'1. 현장별 인원현황'!$C:$J,8,0)=0,"",VLOOKUP($B589,'1. 현장별 인원현황'!$C:$J,8,0))</f>
        <v>전공</v>
      </c>
      <c r="H589" s="67" t="s">
        <v>69</v>
      </c>
      <c r="I589" s="73"/>
      <c r="J589" s="73"/>
      <c r="K589" s="68"/>
      <c r="L589" s="67"/>
      <c r="M589" s="73" t="s">
        <v>69</v>
      </c>
      <c r="N589" s="73"/>
      <c r="O589" s="68"/>
      <c r="P589" s="67" t="s">
        <v>69</v>
      </c>
      <c r="Q589" s="73"/>
      <c r="R589" s="73"/>
      <c r="S589" s="68"/>
      <c r="T589" s="67" t="s">
        <v>69</v>
      </c>
      <c r="U589" s="73"/>
      <c r="V589" s="73"/>
      <c r="W589" s="68"/>
      <c r="X589" s="67" t="s">
        <v>69</v>
      </c>
      <c r="Y589" s="73"/>
      <c r="Z589" s="73"/>
      <c r="AA589" s="68"/>
      <c r="AB589" s="67" t="s">
        <v>69</v>
      </c>
      <c r="AC589" s="73"/>
      <c r="AD589" s="73"/>
      <c r="AE589" s="68"/>
      <c r="AF589" s="67" t="s">
        <v>69</v>
      </c>
      <c r="AG589" s="73"/>
      <c r="AH589" s="73"/>
      <c r="AI589" s="68"/>
      <c r="AJ589" s="67" t="s">
        <v>69</v>
      </c>
      <c r="AK589" s="73"/>
      <c r="AL589" s="73"/>
      <c r="AM589" s="68"/>
      <c r="AN589" s="67">
        <f t="shared" si="583"/>
        <v>96</v>
      </c>
      <c r="AO589" s="68" t="str">
        <f t="shared" si="584"/>
        <v>S</v>
      </c>
      <c r="AR589" s="49">
        <f t="shared" si="549"/>
        <v>1</v>
      </c>
      <c r="AS589" s="49">
        <f t="shared" si="550"/>
        <v>0</v>
      </c>
      <c r="AT589" s="49">
        <f t="shared" si="551"/>
        <v>0</v>
      </c>
      <c r="AU589" s="49">
        <f t="shared" si="552"/>
        <v>0</v>
      </c>
      <c r="AV589" s="49">
        <f t="shared" si="553"/>
        <v>0</v>
      </c>
      <c r="AW589" s="49">
        <f t="shared" si="554"/>
        <v>1</v>
      </c>
      <c r="AX589" s="49">
        <f t="shared" si="555"/>
        <v>0</v>
      </c>
      <c r="AY589" s="49">
        <f t="shared" si="556"/>
        <v>0</v>
      </c>
      <c r="AZ589" s="49">
        <f t="shared" si="557"/>
        <v>1</v>
      </c>
      <c r="BA589" s="49">
        <f t="shared" si="558"/>
        <v>0</v>
      </c>
      <c r="BB589" s="49">
        <f t="shared" si="559"/>
        <v>0</v>
      </c>
      <c r="BC589" s="49">
        <f t="shared" si="560"/>
        <v>0</v>
      </c>
      <c r="BD589" s="49">
        <f t="shared" si="561"/>
        <v>1</v>
      </c>
      <c r="BE589" s="49">
        <f t="shared" si="562"/>
        <v>0</v>
      </c>
      <c r="BF589" s="49">
        <f t="shared" si="563"/>
        <v>0</v>
      </c>
      <c r="BG589" s="49">
        <f t="shared" si="564"/>
        <v>0</v>
      </c>
      <c r="BH589" s="49">
        <f t="shared" si="565"/>
        <v>1</v>
      </c>
      <c r="BI589" s="49">
        <f t="shared" si="566"/>
        <v>0</v>
      </c>
      <c r="BJ589" s="49">
        <f t="shared" si="567"/>
        <v>0</v>
      </c>
      <c r="BK589" s="49">
        <f t="shared" si="568"/>
        <v>0</v>
      </c>
      <c r="BL589" s="49">
        <f t="shared" si="569"/>
        <v>1</v>
      </c>
      <c r="BM589" s="49">
        <f t="shared" si="570"/>
        <v>0</v>
      </c>
      <c r="BN589" s="49">
        <f t="shared" si="571"/>
        <v>0</v>
      </c>
      <c r="BO589" s="49">
        <f t="shared" si="572"/>
        <v>0</v>
      </c>
      <c r="BP589" s="49">
        <f t="shared" si="573"/>
        <v>1</v>
      </c>
      <c r="BQ589" s="49">
        <f t="shared" si="574"/>
        <v>0</v>
      </c>
      <c r="BR589" s="49">
        <f t="shared" si="575"/>
        <v>0</v>
      </c>
      <c r="BS589" s="49">
        <f t="shared" si="576"/>
        <v>0</v>
      </c>
      <c r="BT589" s="49">
        <f t="shared" si="577"/>
        <v>1</v>
      </c>
      <c r="BU589" s="49">
        <f t="shared" si="578"/>
        <v>0</v>
      </c>
      <c r="BV589" s="49">
        <f t="shared" si="579"/>
        <v>0</v>
      </c>
      <c r="BW589" s="49">
        <f t="shared" si="580"/>
        <v>0</v>
      </c>
    </row>
    <row r="590" spans="1:75" ht="35.1" customHeight="1" x14ac:dyDescent="0.3">
      <c r="A590" s="123" t="str">
        <f t="shared" si="581"/>
        <v>5팀</v>
      </c>
      <c r="B590" s="69">
        <f t="shared" si="582"/>
        <v>584</v>
      </c>
      <c r="C590" s="121" t="str">
        <f>IF(VLOOKUP($B590,'1. 현장별 인원현황'!$C:$J,2,0)=0,"",VLOOKUP($B590,'1. 현장별 인원현황'!$C:$J,2,0))</f>
        <v xml:space="preserve"> [5.한국교직원공제회] The-K 제주호텔 리모델링 공사</v>
      </c>
      <c r="D590" s="74" t="str">
        <f>IF(VLOOKUP($B590,'1. 현장별 인원현황'!$C:$J,3,0)=0,"",VLOOKUP($B590,'1. 현장별 인원현황'!$C:$J,3,0))</f>
        <v>이창래</v>
      </c>
      <c r="E590" s="74" t="str">
        <f ca="1">IF(VLOOKUP($B590,'1. 현장별 인원현황'!$C:$J,4,0)=0,"",VLOOKUP($B590,'1. 현장별 인원현황'!$C:$J,4,0))</f>
        <v>45세</v>
      </c>
      <c r="F590" s="70" t="str">
        <f>IF(VLOOKUP($B590,'1. 현장별 인원현황'!$C:$J,7,0)=0,"",VLOOKUP($B590,'1. 현장별 인원현황'!$C:$J,7,0))</f>
        <v>기능공</v>
      </c>
      <c r="G590" s="72" t="str">
        <f>IF(VLOOKUP($B590,'1. 현장별 인원현황'!$C:$J,8,0)=0,"",VLOOKUP($B590,'1. 현장별 인원현황'!$C:$J,8,0))</f>
        <v>전공</v>
      </c>
      <c r="H590" s="67" t="s">
        <v>69</v>
      </c>
      <c r="I590" s="73"/>
      <c r="J590" s="73"/>
      <c r="K590" s="68"/>
      <c r="L590" s="67"/>
      <c r="M590" s="73" t="s">
        <v>69</v>
      </c>
      <c r="N590" s="73"/>
      <c r="O590" s="68"/>
      <c r="P590" s="67" t="s">
        <v>69</v>
      </c>
      <c r="Q590" s="73"/>
      <c r="R590" s="73"/>
      <c r="S590" s="68"/>
      <c r="T590" s="67"/>
      <c r="U590" s="73" t="s">
        <v>69</v>
      </c>
      <c r="V590" s="73"/>
      <c r="W590" s="68"/>
      <c r="X590" s="67" t="s">
        <v>69</v>
      </c>
      <c r="Y590" s="73"/>
      <c r="Z590" s="73"/>
      <c r="AA590" s="68"/>
      <c r="AB590" s="67" t="s">
        <v>69</v>
      </c>
      <c r="AC590" s="73"/>
      <c r="AD590" s="73"/>
      <c r="AE590" s="68"/>
      <c r="AF590" s="67" t="s">
        <v>69</v>
      </c>
      <c r="AG590" s="73"/>
      <c r="AH590" s="73"/>
      <c r="AI590" s="68"/>
      <c r="AJ590" s="67" t="s">
        <v>69</v>
      </c>
      <c r="AK590" s="73"/>
      <c r="AL590" s="73"/>
      <c r="AM590" s="68"/>
      <c r="AN590" s="67">
        <f t="shared" si="583"/>
        <v>92</v>
      </c>
      <c r="AO590" s="68" t="str">
        <f t="shared" si="584"/>
        <v>S</v>
      </c>
      <c r="AR590" s="49">
        <f t="shared" si="549"/>
        <v>1</v>
      </c>
      <c r="AS590" s="49">
        <f t="shared" si="550"/>
        <v>0</v>
      </c>
      <c r="AT590" s="49">
        <f t="shared" si="551"/>
        <v>0</v>
      </c>
      <c r="AU590" s="49">
        <f t="shared" si="552"/>
        <v>0</v>
      </c>
      <c r="AV590" s="49">
        <f t="shared" si="553"/>
        <v>0</v>
      </c>
      <c r="AW590" s="49">
        <f t="shared" si="554"/>
        <v>1</v>
      </c>
      <c r="AX590" s="49">
        <f t="shared" si="555"/>
        <v>0</v>
      </c>
      <c r="AY590" s="49">
        <f t="shared" si="556"/>
        <v>0</v>
      </c>
      <c r="AZ590" s="49">
        <f t="shared" si="557"/>
        <v>1</v>
      </c>
      <c r="BA590" s="49">
        <f t="shared" si="558"/>
        <v>0</v>
      </c>
      <c r="BB590" s="49">
        <f t="shared" si="559"/>
        <v>0</v>
      </c>
      <c r="BC590" s="49">
        <f t="shared" si="560"/>
        <v>0</v>
      </c>
      <c r="BD590" s="49">
        <f t="shared" si="561"/>
        <v>0</v>
      </c>
      <c r="BE590" s="49">
        <f t="shared" si="562"/>
        <v>1</v>
      </c>
      <c r="BF590" s="49">
        <f t="shared" si="563"/>
        <v>0</v>
      </c>
      <c r="BG590" s="49">
        <f t="shared" si="564"/>
        <v>0</v>
      </c>
      <c r="BH590" s="49">
        <f t="shared" si="565"/>
        <v>1</v>
      </c>
      <c r="BI590" s="49">
        <f t="shared" si="566"/>
        <v>0</v>
      </c>
      <c r="BJ590" s="49">
        <f t="shared" si="567"/>
        <v>0</v>
      </c>
      <c r="BK590" s="49">
        <f t="shared" si="568"/>
        <v>0</v>
      </c>
      <c r="BL590" s="49">
        <f t="shared" si="569"/>
        <v>1</v>
      </c>
      <c r="BM590" s="49">
        <f t="shared" si="570"/>
        <v>0</v>
      </c>
      <c r="BN590" s="49">
        <f t="shared" si="571"/>
        <v>0</v>
      </c>
      <c r="BO590" s="49">
        <f t="shared" si="572"/>
        <v>0</v>
      </c>
      <c r="BP590" s="49">
        <f t="shared" si="573"/>
        <v>1</v>
      </c>
      <c r="BQ590" s="49">
        <f t="shared" si="574"/>
        <v>0</v>
      </c>
      <c r="BR590" s="49">
        <f t="shared" si="575"/>
        <v>0</v>
      </c>
      <c r="BS590" s="49">
        <f t="shared" si="576"/>
        <v>0</v>
      </c>
      <c r="BT590" s="49">
        <f t="shared" si="577"/>
        <v>1</v>
      </c>
      <c r="BU590" s="49">
        <f t="shared" si="578"/>
        <v>0</v>
      </c>
      <c r="BV590" s="49">
        <f t="shared" si="579"/>
        <v>0</v>
      </c>
      <c r="BW590" s="49">
        <f t="shared" si="580"/>
        <v>0</v>
      </c>
    </row>
    <row r="591" spans="1:75" ht="35.1" customHeight="1" x14ac:dyDescent="0.3">
      <c r="A591" s="123" t="str">
        <f t="shared" si="581"/>
        <v>5팀</v>
      </c>
      <c r="B591" s="69">
        <f t="shared" si="582"/>
        <v>585</v>
      </c>
      <c r="C591" s="121" t="str">
        <f>IF(VLOOKUP($B591,'1. 현장별 인원현황'!$C:$J,2,0)=0,"",VLOOKUP($B591,'1. 현장별 인원현황'!$C:$J,2,0))</f>
        <v xml:space="preserve"> [5.한국교직원공제회] The-K 제주호텔 리모델링 공사</v>
      </c>
      <c r="D591" s="74" t="str">
        <f>IF(VLOOKUP($B591,'1. 현장별 인원현황'!$C:$J,3,0)=0,"",VLOOKUP($B591,'1. 현장별 인원현황'!$C:$J,3,0))</f>
        <v>김진범</v>
      </c>
      <c r="E591" s="74" t="str">
        <f ca="1">IF(VLOOKUP($B591,'1. 현장별 인원현황'!$C:$J,4,0)=0,"",VLOOKUP($B591,'1. 현장별 인원현황'!$C:$J,4,0))</f>
        <v>60세</v>
      </c>
      <c r="F591" s="70" t="str">
        <f>IF(VLOOKUP($B591,'1. 현장별 인원현황'!$C:$J,7,0)=0,"",VLOOKUP($B591,'1. 현장별 인원현황'!$C:$J,7,0))</f>
        <v>기능공</v>
      </c>
      <c r="G591" s="72" t="str">
        <f>IF(VLOOKUP($B591,'1. 현장별 인원현황'!$C:$J,8,0)=0,"",VLOOKUP($B591,'1. 현장별 인원현황'!$C:$J,8,0))</f>
        <v>전공</v>
      </c>
      <c r="H591" s="67"/>
      <c r="I591" s="73" t="s">
        <v>69</v>
      </c>
      <c r="J591" s="73"/>
      <c r="K591" s="68"/>
      <c r="L591" s="67"/>
      <c r="M591" s="73" t="s">
        <v>69</v>
      </c>
      <c r="N591" s="73"/>
      <c r="O591" s="68"/>
      <c r="P591" s="67" t="s">
        <v>69</v>
      </c>
      <c r="Q591" s="73"/>
      <c r="R591" s="73"/>
      <c r="S591" s="68"/>
      <c r="T591" s="67"/>
      <c r="U591" s="73" t="s">
        <v>69</v>
      </c>
      <c r="V591" s="73"/>
      <c r="W591" s="68"/>
      <c r="X591" s="67" t="s">
        <v>69</v>
      </c>
      <c r="Y591" s="73"/>
      <c r="Z591" s="73"/>
      <c r="AA591" s="68"/>
      <c r="AB591" s="67" t="s">
        <v>69</v>
      </c>
      <c r="AC591" s="73"/>
      <c r="AD591" s="73"/>
      <c r="AE591" s="68"/>
      <c r="AF591" s="67" t="s">
        <v>69</v>
      </c>
      <c r="AG591" s="73"/>
      <c r="AH591" s="73"/>
      <c r="AI591" s="68"/>
      <c r="AJ591" s="67" t="s">
        <v>69</v>
      </c>
      <c r="AK591" s="73"/>
      <c r="AL591" s="73"/>
      <c r="AM591" s="68"/>
      <c r="AN591" s="67">
        <f t="shared" si="583"/>
        <v>88</v>
      </c>
      <c r="AO591" s="68" t="str">
        <f t="shared" si="584"/>
        <v>S</v>
      </c>
      <c r="AR591" s="49">
        <f t="shared" si="549"/>
        <v>0</v>
      </c>
      <c r="AS591" s="49">
        <f t="shared" si="550"/>
        <v>1</v>
      </c>
      <c r="AT591" s="49">
        <f t="shared" si="551"/>
        <v>0</v>
      </c>
      <c r="AU591" s="49">
        <f t="shared" si="552"/>
        <v>0</v>
      </c>
      <c r="AV591" s="49">
        <f t="shared" si="553"/>
        <v>0</v>
      </c>
      <c r="AW591" s="49">
        <f t="shared" si="554"/>
        <v>1</v>
      </c>
      <c r="AX591" s="49">
        <f t="shared" si="555"/>
        <v>0</v>
      </c>
      <c r="AY591" s="49">
        <f t="shared" si="556"/>
        <v>0</v>
      </c>
      <c r="AZ591" s="49">
        <f t="shared" si="557"/>
        <v>1</v>
      </c>
      <c r="BA591" s="49">
        <f t="shared" si="558"/>
        <v>0</v>
      </c>
      <c r="BB591" s="49">
        <f t="shared" si="559"/>
        <v>0</v>
      </c>
      <c r="BC591" s="49">
        <f t="shared" si="560"/>
        <v>0</v>
      </c>
      <c r="BD591" s="49">
        <f t="shared" si="561"/>
        <v>0</v>
      </c>
      <c r="BE591" s="49">
        <f t="shared" si="562"/>
        <v>1</v>
      </c>
      <c r="BF591" s="49">
        <f t="shared" si="563"/>
        <v>0</v>
      </c>
      <c r="BG591" s="49">
        <f t="shared" si="564"/>
        <v>0</v>
      </c>
      <c r="BH591" s="49">
        <f t="shared" si="565"/>
        <v>1</v>
      </c>
      <c r="BI591" s="49">
        <f t="shared" si="566"/>
        <v>0</v>
      </c>
      <c r="BJ591" s="49">
        <f t="shared" si="567"/>
        <v>0</v>
      </c>
      <c r="BK591" s="49">
        <f t="shared" si="568"/>
        <v>0</v>
      </c>
      <c r="BL591" s="49">
        <f t="shared" si="569"/>
        <v>1</v>
      </c>
      <c r="BM591" s="49">
        <f t="shared" si="570"/>
        <v>0</v>
      </c>
      <c r="BN591" s="49">
        <f t="shared" si="571"/>
        <v>0</v>
      </c>
      <c r="BO591" s="49">
        <f t="shared" si="572"/>
        <v>0</v>
      </c>
      <c r="BP591" s="49">
        <f t="shared" si="573"/>
        <v>1</v>
      </c>
      <c r="BQ591" s="49">
        <f t="shared" si="574"/>
        <v>0</v>
      </c>
      <c r="BR591" s="49">
        <f t="shared" si="575"/>
        <v>0</v>
      </c>
      <c r="BS591" s="49">
        <f t="shared" si="576"/>
        <v>0</v>
      </c>
      <c r="BT591" s="49">
        <f t="shared" si="577"/>
        <v>1</v>
      </c>
      <c r="BU591" s="49">
        <f t="shared" si="578"/>
        <v>0</v>
      </c>
      <c r="BV591" s="49">
        <f t="shared" si="579"/>
        <v>0</v>
      </c>
      <c r="BW591" s="49">
        <f t="shared" si="580"/>
        <v>0</v>
      </c>
    </row>
    <row r="592" spans="1:75" ht="35.1" customHeight="1" x14ac:dyDescent="0.3">
      <c r="A592" s="123" t="str">
        <f t="shared" si="581"/>
        <v>5팀</v>
      </c>
      <c r="B592" s="69">
        <f t="shared" si="582"/>
        <v>586</v>
      </c>
      <c r="C592" s="121" t="str">
        <f>IF(VLOOKUP($B592,'1. 현장별 인원현황'!$C:$J,2,0)=0,"",VLOOKUP($B592,'1. 현장별 인원현황'!$C:$J,2,0))</f>
        <v xml:space="preserve"> [5.한국교직원공제회] The-K 제주호텔 리모델링 공사</v>
      </c>
      <c r="D592" s="74" t="str">
        <f>IF(VLOOKUP($B592,'1. 현장별 인원현황'!$C:$J,3,0)=0,"",VLOOKUP($B592,'1. 현장별 인원현황'!$C:$J,3,0))</f>
        <v>지주현</v>
      </c>
      <c r="E592" s="74" t="str">
        <f ca="1">IF(VLOOKUP($B592,'1. 현장별 인원현황'!$C:$J,4,0)=0,"",VLOOKUP($B592,'1. 현장별 인원현황'!$C:$J,4,0))</f>
        <v>23세</v>
      </c>
      <c r="F592" s="70" t="str">
        <f>IF(VLOOKUP($B592,'1. 현장별 인원현황'!$C:$J,7,0)=0,"",VLOOKUP($B592,'1. 현장별 인원현황'!$C:$J,7,0))</f>
        <v>기능공</v>
      </c>
      <c r="G592" s="72" t="str">
        <f>IF(VLOOKUP($B592,'1. 현장별 인원현황'!$C:$J,8,0)=0,"",VLOOKUP($B592,'1. 현장별 인원현황'!$C:$J,8,0))</f>
        <v>전공</v>
      </c>
      <c r="H592" s="67"/>
      <c r="I592" s="73" t="s">
        <v>69</v>
      </c>
      <c r="J592" s="73"/>
      <c r="K592" s="68"/>
      <c r="L592" s="67"/>
      <c r="M592" s="73" t="s">
        <v>69</v>
      </c>
      <c r="N592" s="73"/>
      <c r="O592" s="68"/>
      <c r="P592" s="67"/>
      <c r="Q592" s="73" t="s">
        <v>69</v>
      </c>
      <c r="R592" s="73"/>
      <c r="S592" s="68"/>
      <c r="T592" s="67"/>
      <c r="U592" s="73" t="s">
        <v>69</v>
      </c>
      <c r="V592" s="73"/>
      <c r="W592" s="68"/>
      <c r="X592" s="67"/>
      <c r="Y592" s="73" t="s">
        <v>69</v>
      </c>
      <c r="Z592" s="73"/>
      <c r="AA592" s="68"/>
      <c r="AB592" s="67"/>
      <c r="AC592" s="73"/>
      <c r="AD592" s="73" t="s">
        <v>69</v>
      </c>
      <c r="AE592" s="68"/>
      <c r="AF592" s="67"/>
      <c r="AG592" s="73" t="s">
        <v>69</v>
      </c>
      <c r="AH592" s="73"/>
      <c r="AI592" s="68"/>
      <c r="AJ592" s="67"/>
      <c r="AK592" s="73" t="s">
        <v>69</v>
      </c>
      <c r="AL592" s="73"/>
      <c r="AM592" s="68"/>
      <c r="AN592" s="67">
        <f t="shared" si="583"/>
        <v>71</v>
      </c>
      <c r="AO592" s="68" t="str">
        <f t="shared" si="584"/>
        <v>A</v>
      </c>
      <c r="AR592" s="49">
        <f t="shared" si="549"/>
        <v>0</v>
      </c>
      <c r="AS592" s="49">
        <f t="shared" si="550"/>
        <v>1</v>
      </c>
      <c r="AT592" s="49">
        <f t="shared" si="551"/>
        <v>0</v>
      </c>
      <c r="AU592" s="49">
        <f t="shared" si="552"/>
        <v>0</v>
      </c>
      <c r="AV592" s="49">
        <f t="shared" si="553"/>
        <v>0</v>
      </c>
      <c r="AW592" s="49">
        <f t="shared" si="554"/>
        <v>1</v>
      </c>
      <c r="AX592" s="49">
        <f t="shared" si="555"/>
        <v>0</v>
      </c>
      <c r="AY592" s="49">
        <f t="shared" si="556"/>
        <v>0</v>
      </c>
      <c r="AZ592" s="49">
        <f t="shared" si="557"/>
        <v>0</v>
      </c>
      <c r="BA592" s="49">
        <f t="shared" si="558"/>
        <v>1</v>
      </c>
      <c r="BB592" s="49">
        <f t="shared" si="559"/>
        <v>0</v>
      </c>
      <c r="BC592" s="49">
        <f t="shared" si="560"/>
        <v>0</v>
      </c>
      <c r="BD592" s="49">
        <f t="shared" si="561"/>
        <v>0</v>
      </c>
      <c r="BE592" s="49">
        <f t="shared" si="562"/>
        <v>1</v>
      </c>
      <c r="BF592" s="49">
        <f t="shared" si="563"/>
        <v>0</v>
      </c>
      <c r="BG592" s="49">
        <f t="shared" si="564"/>
        <v>0</v>
      </c>
      <c r="BH592" s="49">
        <f t="shared" si="565"/>
        <v>0</v>
      </c>
      <c r="BI592" s="49">
        <f t="shared" si="566"/>
        <v>1</v>
      </c>
      <c r="BJ592" s="49">
        <f t="shared" si="567"/>
        <v>0</v>
      </c>
      <c r="BK592" s="49">
        <f t="shared" si="568"/>
        <v>0</v>
      </c>
      <c r="BL592" s="49">
        <f t="shared" si="569"/>
        <v>0</v>
      </c>
      <c r="BM592" s="49">
        <f t="shared" si="570"/>
        <v>0</v>
      </c>
      <c r="BN592" s="49">
        <f t="shared" si="571"/>
        <v>1</v>
      </c>
      <c r="BO592" s="49">
        <f t="shared" si="572"/>
        <v>0</v>
      </c>
      <c r="BP592" s="49">
        <f t="shared" si="573"/>
        <v>0</v>
      </c>
      <c r="BQ592" s="49">
        <f t="shared" si="574"/>
        <v>1</v>
      </c>
      <c r="BR592" s="49">
        <f t="shared" si="575"/>
        <v>0</v>
      </c>
      <c r="BS592" s="49">
        <f t="shared" si="576"/>
        <v>0</v>
      </c>
      <c r="BT592" s="49">
        <f t="shared" si="577"/>
        <v>0</v>
      </c>
      <c r="BU592" s="49">
        <f t="shared" si="578"/>
        <v>1</v>
      </c>
      <c r="BV592" s="49">
        <f t="shared" si="579"/>
        <v>0</v>
      </c>
      <c r="BW592" s="49">
        <f t="shared" si="580"/>
        <v>0</v>
      </c>
    </row>
    <row r="593" spans="1:75" ht="35.1" customHeight="1" x14ac:dyDescent="0.3">
      <c r="A593" s="123" t="str">
        <f t="shared" si="581"/>
        <v>5팀</v>
      </c>
      <c r="B593" s="69">
        <f t="shared" si="582"/>
        <v>587</v>
      </c>
      <c r="C593" s="121" t="str">
        <f>IF(VLOOKUP($B593,'1. 현장별 인원현황'!$C:$J,2,0)=0,"",VLOOKUP($B593,'1. 현장별 인원현황'!$C:$J,2,0))</f>
        <v xml:space="preserve"> [5.한국교직원공제회] The-K 제주호텔 리모델링 공사</v>
      </c>
      <c r="D593" s="74" t="str">
        <f>IF(VLOOKUP($B593,'1. 현장별 인원현황'!$C:$J,3,0)=0,"",VLOOKUP($B593,'1. 현장별 인원현황'!$C:$J,3,0))</f>
        <v>강종우</v>
      </c>
      <c r="E593" s="74" t="str">
        <f ca="1">IF(VLOOKUP($B593,'1. 현장별 인원현황'!$C:$J,4,0)=0,"",VLOOKUP($B593,'1. 현장별 인원현황'!$C:$J,4,0))</f>
        <v>48세</v>
      </c>
      <c r="F593" s="70" t="str">
        <f>IF(VLOOKUP($B593,'1. 현장별 인원현황'!$C:$J,7,0)=0,"",VLOOKUP($B593,'1. 현장별 인원현황'!$C:$J,7,0))</f>
        <v>기능공</v>
      </c>
      <c r="G593" s="72" t="str">
        <f>IF(VLOOKUP($B593,'1. 현장별 인원현황'!$C:$J,8,0)=0,"",VLOOKUP($B593,'1. 현장별 인원현황'!$C:$J,8,0))</f>
        <v>전공</v>
      </c>
      <c r="H593" s="67"/>
      <c r="I593" s="73" t="s">
        <v>69</v>
      </c>
      <c r="J593" s="73"/>
      <c r="K593" s="68"/>
      <c r="L593" s="67"/>
      <c r="M593" s="73" t="s">
        <v>69</v>
      </c>
      <c r="N593" s="73"/>
      <c r="O593" s="68"/>
      <c r="P593" s="67"/>
      <c r="Q593" s="73" t="s">
        <v>69</v>
      </c>
      <c r="R593" s="73"/>
      <c r="S593" s="68"/>
      <c r="T593" s="67"/>
      <c r="U593" s="73" t="s">
        <v>69</v>
      </c>
      <c r="V593" s="73"/>
      <c r="W593" s="68"/>
      <c r="X593" s="67"/>
      <c r="Y593" s="73" t="s">
        <v>69</v>
      </c>
      <c r="Z593" s="73"/>
      <c r="AA593" s="68"/>
      <c r="AB593" s="67"/>
      <c r="AC593" s="73"/>
      <c r="AD593" s="73" t="s">
        <v>69</v>
      </c>
      <c r="AE593" s="68"/>
      <c r="AF593" s="67"/>
      <c r="AG593" s="73" t="s">
        <v>69</v>
      </c>
      <c r="AH593" s="73"/>
      <c r="AI593" s="68"/>
      <c r="AJ593" s="67"/>
      <c r="AK593" s="73" t="s">
        <v>69</v>
      </c>
      <c r="AL593" s="73"/>
      <c r="AM593" s="68"/>
      <c r="AN593" s="67">
        <f t="shared" si="583"/>
        <v>71</v>
      </c>
      <c r="AO593" s="68" t="str">
        <f t="shared" si="584"/>
        <v>A</v>
      </c>
      <c r="AR593" s="49">
        <f t="shared" si="549"/>
        <v>0</v>
      </c>
      <c r="AS593" s="49">
        <f t="shared" si="550"/>
        <v>1</v>
      </c>
      <c r="AT593" s="49">
        <f t="shared" si="551"/>
        <v>0</v>
      </c>
      <c r="AU593" s="49">
        <f t="shared" si="552"/>
        <v>0</v>
      </c>
      <c r="AV593" s="49">
        <f t="shared" si="553"/>
        <v>0</v>
      </c>
      <c r="AW593" s="49">
        <f t="shared" si="554"/>
        <v>1</v>
      </c>
      <c r="AX593" s="49">
        <f t="shared" si="555"/>
        <v>0</v>
      </c>
      <c r="AY593" s="49">
        <f t="shared" si="556"/>
        <v>0</v>
      </c>
      <c r="AZ593" s="49">
        <f t="shared" si="557"/>
        <v>0</v>
      </c>
      <c r="BA593" s="49">
        <f t="shared" si="558"/>
        <v>1</v>
      </c>
      <c r="BB593" s="49">
        <f t="shared" si="559"/>
        <v>0</v>
      </c>
      <c r="BC593" s="49">
        <f t="shared" si="560"/>
        <v>0</v>
      </c>
      <c r="BD593" s="49">
        <f t="shared" si="561"/>
        <v>0</v>
      </c>
      <c r="BE593" s="49">
        <f t="shared" si="562"/>
        <v>1</v>
      </c>
      <c r="BF593" s="49">
        <f t="shared" si="563"/>
        <v>0</v>
      </c>
      <c r="BG593" s="49">
        <f t="shared" si="564"/>
        <v>0</v>
      </c>
      <c r="BH593" s="49">
        <f t="shared" si="565"/>
        <v>0</v>
      </c>
      <c r="BI593" s="49">
        <f t="shared" si="566"/>
        <v>1</v>
      </c>
      <c r="BJ593" s="49">
        <f t="shared" si="567"/>
        <v>0</v>
      </c>
      <c r="BK593" s="49">
        <f t="shared" si="568"/>
        <v>0</v>
      </c>
      <c r="BL593" s="49">
        <f t="shared" si="569"/>
        <v>0</v>
      </c>
      <c r="BM593" s="49">
        <f t="shared" si="570"/>
        <v>0</v>
      </c>
      <c r="BN593" s="49">
        <f t="shared" si="571"/>
        <v>1</v>
      </c>
      <c r="BO593" s="49">
        <f t="shared" si="572"/>
        <v>0</v>
      </c>
      <c r="BP593" s="49">
        <f t="shared" si="573"/>
        <v>0</v>
      </c>
      <c r="BQ593" s="49">
        <f t="shared" si="574"/>
        <v>1</v>
      </c>
      <c r="BR593" s="49">
        <f t="shared" si="575"/>
        <v>0</v>
      </c>
      <c r="BS593" s="49">
        <f t="shared" si="576"/>
        <v>0</v>
      </c>
      <c r="BT593" s="49">
        <f t="shared" si="577"/>
        <v>0</v>
      </c>
      <c r="BU593" s="49">
        <f t="shared" si="578"/>
        <v>1</v>
      </c>
      <c r="BV593" s="49">
        <f t="shared" si="579"/>
        <v>0</v>
      </c>
      <c r="BW593" s="49">
        <f t="shared" si="580"/>
        <v>0</v>
      </c>
    </row>
    <row r="594" spans="1:75" ht="35.1" customHeight="1" x14ac:dyDescent="0.3">
      <c r="A594" s="123" t="str">
        <f t="shared" si="581"/>
        <v>5팀</v>
      </c>
      <c r="B594" s="69">
        <f t="shared" si="582"/>
        <v>588</v>
      </c>
      <c r="C594" s="121" t="str">
        <f>IF(VLOOKUP($B594,'1. 현장별 인원현황'!$C:$J,2,0)=0,"",VLOOKUP($B594,'1. 현장별 인원현황'!$C:$J,2,0))</f>
        <v xml:space="preserve"> [5.한국교직원공제회] The-K 제주호텔 리모델링 공사</v>
      </c>
      <c r="D594" s="74" t="str">
        <f>IF(VLOOKUP($B594,'1. 현장별 인원현황'!$C:$J,3,0)=0,"",VLOOKUP($B594,'1. 현장별 인원현황'!$C:$J,3,0))</f>
        <v>강민우</v>
      </c>
      <c r="E594" s="74" t="str">
        <f ca="1">IF(VLOOKUP($B594,'1. 현장별 인원현황'!$C:$J,4,0)=0,"",VLOOKUP($B594,'1. 현장별 인원현황'!$C:$J,4,0))</f>
        <v>44세</v>
      </c>
      <c r="F594" s="70" t="str">
        <f>IF(VLOOKUP($B594,'1. 현장별 인원현황'!$C:$J,7,0)=0,"",VLOOKUP($B594,'1. 현장별 인원현황'!$C:$J,7,0))</f>
        <v>기능공</v>
      </c>
      <c r="G594" s="72" t="str">
        <f>IF(VLOOKUP($B594,'1. 현장별 인원현황'!$C:$J,8,0)=0,"",VLOOKUP($B594,'1. 현장별 인원현황'!$C:$J,8,0))</f>
        <v>전공</v>
      </c>
      <c r="H594" s="67"/>
      <c r="I594" s="73" t="s">
        <v>69</v>
      </c>
      <c r="J594" s="73"/>
      <c r="K594" s="68"/>
      <c r="L594" s="67"/>
      <c r="M594" s="73" t="s">
        <v>69</v>
      </c>
      <c r="N594" s="73"/>
      <c r="O594" s="68"/>
      <c r="P594" s="67"/>
      <c r="Q594" s="73" t="s">
        <v>69</v>
      </c>
      <c r="R594" s="73"/>
      <c r="S594" s="68"/>
      <c r="T594" s="67"/>
      <c r="U594" s="73" t="s">
        <v>69</v>
      </c>
      <c r="V594" s="73"/>
      <c r="W594" s="68"/>
      <c r="X594" s="67"/>
      <c r="Y594" s="73" t="s">
        <v>69</v>
      </c>
      <c r="Z594" s="73"/>
      <c r="AA594" s="68"/>
      <c r="AB594" s="67"/>
      <c r="AC594" s="73"/>
      <c r="AD594" s="73" t="s">
        <v>69</v>
      </c>
      <c r="AE594" s="68"/>
      <c r="AF594" s="67"/>
      <c r="AG594" s="73" t="s">
        <v>69</v>
      </c>
      <c r="AH594" s="73"/>
      <c r="AI594" s="68"/>
      <c r="AJ594" s="67"/>
      <c r="AK594" s="73" t="s">
        <v>69</v>
      </c>
      <c r="AL594" s="73"/>
      <c r="AM594" s="68"/>
      <c r="AN594" s="67">
        <f t="shared" si="583"/>
        <v>71</v>
      </c>
      <c r="AO594" s="68" t="str">
        <f t="shared" si="584"/>
        <v>A</v>
      </c>
      <c r="AR594" s="49">
        <f t="shared" si="549"/>
        <v>0</v>
      </c>
      <c r="AS594" s="49">
        <f t="shared" si="550"/>
        <v>1</v>
      </c>
      <c r="AT594" s="49">
        <f t="shared" si="551"/>
        <v>0</v>
      </c>
      <c r="AU594" s="49">
        <f t="shared" si="552"/>
        <v>0</v>
      </c>
      <c r="AV594" s="49">
        <f t="shared" si="553"/>
        <v>0</v>
      </c>
      <c r="AW594" s="49">
        <f t="shared" si="554"/>
        <v>1</v>
      </c>
      <c r="AX594" s="49">
        <f t="shared" si="555"/>
        <v>0</v>
      </c>
      <c r="AY594" s="49">
        <f t="shared" si="556"/>
        <v>0</v>
      </c>
      <c r="AZ594" s="49">
        <f t="shared" si="557"/>
        <v>0</v>
      </c>
      <c r="BA594" s="49">
        <f t="shared" si="558"/>
        <v>1</v>
      </c>
      <c r="BB594" s="49">
        <f t="shared" si="559"/>
        <v>0</v>
      </c>
      <c r="BC594" s="49">
        <f t="shared" si="560"/>
        <v>0</v>
      </c>
      <c r="BD594" s="49">
        <f t="shared" si="561"/>
        <v>0</v>
      </c>
      <c r="BE594" s="49">
        <f t="shared" si="562"/>
        <v>1</v>
      </c>
      <c r="BF594" s="49">
        <f t="shared" si="563"/>
        <v>0</v>
      </c>
      <c r="BG594" s="49">
        <f t="shared" si="564"/>
        <v>0</v>
      </c>
      <c r="BH594" s="49">
        <f t="shared" si="565"/>
        <v>0</v>
      </c>
      <c r="BI594" s="49">
        <f t="shared" si="566"/>
        <v>1</v>
      </c>
      <c r="BJ594" s="49">
        <f t="shared" si="567"/>
        <v>0</v>
      </c>
      <c r="BK594" s="49">
        <f t="shared" si="568"/>
        <v>0</v>
      </c>
      <c r="BL594" s="49">
        <f t="shared" si="569"/>
        <v>0</v>
      </c>
      <c r="BM594" s="49">
        <f t="shared" si="570"/>
        <v>0</v>
      </c>
      <c r="BN594" s="49">
        <f t="shared" si="571"/>
        <v>1</v>
      </c>
      <c r="BO594" s="49">
        <f t="shared" si="572"/>
        <v>0</v>
      </c>
      <c r="BP594" s="49">
        <f t="shared" si="573"/>
        <v>0</v>
      </c>
      <c r="BQ594" s="49">
        <f t="shared" si="574"/>
        <v>1</v>
      </c>
      <c r="BR594" s="49">
        <f t="shared" si="575"/>
        <v>0</v>
      </c>
      <c r="BS594" s="49">
        <f t="shared" si="576"/>
        <v>0</v>
      </c>
      <c r="BT594" s="49">
        <f t="shared" si="577"/>
        <v>0</v>
      </c>
      <c r="BU594" s="49">
        <f t="shared" si="578"/>
        <v>1</v>
      </c>
      <c r="BV594" s="49">
        <f t="shared" si="579"/>
        <v>0</v>
      </c>
      <c r="BW594" s="49">
        <f t="shared" si="580"/>
        <v>0</v>
      </c>
    </row>
    <row r="595" spans="1:75" ht="35.1" customHeight="1" x14ac:dyDescent="0.3">
      <c r="A595" s="123" t="str">
        <f t="shared" si="581"/>
        <v>5팀</v>
      </c>
      <c r="B595" s="69">
        <f t="shared" si="582"/>
        <v>589</v>
      </c>
      <c r="C595" s="121" t="str">
        <f>IF(VLOOKUP($B595,'1. 현장별 인원현황'!$C:$J,2,0)=0,"",VLOOKUP($B595,'1. 현장별 인원현황'!$C:$J,2,0))</f>
        <v xml:space="preserve"> [5.한국교직원공제회] The-K 제주호텔 리모델링 공사</v>
      </c>
      <c r="D595" s="74" t="str">
        <f>IF(VLOOKUP($B595,'1. 현장별 인원현황'!$C:$J,3,0)=0,"",VLOOKUP($B595,'1. 현장별 인원현황'!$C:$J,3,0))</f>
        <v>이정대</v>
      </c>
      <c r="E595" s="74" t="str">
        <f ca="1">IF(VLOOKUP($B595,'1. 현장별 인원현황'!$C:$J,4,0)=0,"",VLOOKUP($B595,'1. 현장별 인원현황'!$C:$J,4,0))</f>
        <v>45세</v>
      </c>
      <c r="F595" s="70" t="str">
        <f>IF(VLOOKUP($B595,'1. 현장별 인원현황'!$C:$J,7,0)=0,"",VLOOKUP($B595,'1. 현장별 인원현황'!$C:$J,7,0))</f>
        <v>기능공</v>
      </c>
      <c r="G595" s="72" t="str">
        <f>IF(VLOOKUP($B595,'1. 현장별 인원현황'!$C:$J,8,0)=0,"",VLOOKUP($B595,'1. 현장별 인원현황'!$C:$J,8,0))</f>
        <v>전공</v>
      </c>
      <c r="H595" s="67" t="s">
        <v>69</v>
      </c>
      <c r="I595" s="73"/>
      <c r="J595" s="73"/>
      <c r="K595" s="68"/>
      <c r="L595" s="67"/>
      <c r="M595" s="73" t="s">
        <v>69</v>
      </c>
      <c r="N595" s="73"/>
      <c r="O595" s="68"/>
      <c r="P595" s="67" t="s">
        <v>69</v>
      </c>
      <c r="Q595" s="73"/>
      <c r="R595" s="73"/>
      <c r="S595" s="68"/>
      <c r="T595" s="67"/>
      <c r="U595" s="73" t="s">
        <v>69</v>
      </c>
      <c r="V595" s="73"/>
      <c r="W595" s="68"/>
      <c r="X595" s="67" t="s">
        <v>69</v>
      </c>
      <c r="Y595" s="73"/>
      <c r="Z595" s="73"/>
      <c r="AA595" s="68"/>
      <c r="AB595" s="67" t="s">
        <v>69</v>
      </c>
      <c r="AC595" s="73"/>
      <c r="AD595" s="73"/>
      <c r="AE595" s="68"/>
      <c r="AF595" s="67"/>
      <c r="AG595" s="73" t="s">
        <v>69</v>
      </c>
      <c r="AH595" s="73"/>
      <c r="AI595" s="68"/>
      <c r="AJ595" s="67" t="s">
        <v>69</v>
      </c>
      <c r="AK595" s="73"/>
      <c r="AL595" s="73"/>
      <c r="AM595" s="68"/>
      <c r="AN595" s="67">
        <f t="shared" si="583"/>
        <v>89</v>
      </c>
      <c r="AO595" s="68" t="str">
        <f t="shared" si="584"/>
        <v>S</v>
      </c>
      <c r="AR595" s="49">
        <f t="shared" si="549"/>
        <v>1</v>
      </c>
      <c r="AS595" s="49">
        <f t="shared" si="550"/>
        <v>0</v>
      </c>
      <c r="AT595" s="49">
        <f t="shared" si="551"/>
        <v>0</v>
      </c>
      <c r="AU595" s="49">
        <f t="shared" si="552"/>
        <v>0</v>
      </c>
      <c r="AV595" s="49">
        <f t="shared" si="553"/>
        <v>0</v>
      </c>
      <c r="AW595" s="49">
        <f t="shared" si="554"/>
        <v>1</v>
      </c>
      <c r="AX595" s="49">
        <f t="shared" si="555"/>
        <v>0</v>
      </c>
      <c r="AY595" s="49">
        <f t="shared" si="556"/>
        <v>0</v>
      </c>
      <c r="AZ595" s="49">
        <f t="shared" si="557"/>
        <v>1</v>
      </c>
      <c r="BA595" s="49">
        <f t="shared" si="558"/>
        <v>0</v>
      </c>
      <c r="BB595" s="49">
        <f t="shared" si="559"/>
        <v>0</v>
      </c>
      <c r="BC595" s="49">
        <f t="shared" si="560"/>
        <v>0</v>
      </c>
      <c r="BD595" s="49">
        <f t="shared" si="561"/>
        <v>0</v>
      </c>
      <c r="BE595" s="49">
        <f t="shared" si="562"/>
        <v>1</v>
      </c>
      <c r="BF595" s="49">
        <f t="shared" si="563"/>
        <v>0</v>
      </c>
      <c r="BG595" s="49">
        <f t="shared" si="564"/>
        <v>0</v>
      </c>
      <c r="BH595" s="49">
        <f t="shared" si="565"/>
        <v>1</v>
      </c>
      <c r="BI595" s="49">
        <f t="shared" si="566"/>
        <v>0</v>
      </c>
      <c r="BJ595" s="49">
        <f t="shared" si="567"/>
        <v>0</v>
      </c>
      <c r="BK595" s="49">
        <f t="shared" si="568"/>
        <v>0</v>
      </c>
      <c r="BL595" s="49">
        <f t="shared" si="569"/>
        <v>1</v>
      </c>
      <c r="BM595" s="49">
        <f t="shared" si="570"/>
        <v>0</v>
      </c>
      <c r="BN595" s="49">
        <f t="shared" si="571"/>
        <v>0</v>
      </c>
      <c r="BO595" s="49">
        <f t="shared" si="572"/>
        <v>0</v>
      </c>
      <c r="BP595" s="49">
        <f t="shared" si="573"/>
        <v>0</v>
      </c>
      <c r="BQ595" s="49">
        <f t="shared" si="574"/>
        <v>1</v>
      </c>
      <c r="BR595" s="49">
        <f t="shared" si="575"/>
        <v>0</v>
      </c>
      <c r="BS595" s="49">
        <f t="shared" si="576"/>
        <v>0</v>
      </c>
      <c r="BT595" s="49">
        <f t="shared" si="577"/>
        <v>1</v>
      </c>
      <c r="BU595" s="49">
        <f t="shared" si="578"/>
        <v>0</v>
      </c>
      <c r="BV595" s="49">
        <f t="shared" si="579"/>
        <v>0</v>
      </c>
      <c r="BW595" s="49">
        <f t="shared" si="580"/>
        <v>0</v>
      </c>
    </row>
    <row r="596" spans="1:75" ht="35.1" customHeight="1" x14ac:dyDescent="0.3">
      <c r="A596" s="123" t="str">
        <f t="shared" si="581"/>
        <v>5팀</v>
      </c>
      <c r="B596" s="69">
        <f t="shared" si="582"/>
        <v>590</v>
      </c>
      <c r="C596" s="121" t="str">
        <f>IF(VLOOKUP($B596,'1. 현장별 인원현황'!$C:$J,2,0)=0,"",VLOOKUP($B596,'1. 현장별 인원현황'!$C:$J,2,0))</f>
        <v xml:space="preserve"> [5.한국교직원공제회] The-K 제주호텔 리모델링 공사</v>
      </c>
      <c r="D596" s="74" t="str">
        <f>IF(VLOOKUP($B596,'1. 현장별 인원현황'!$C:$J,3,0)=0,"",VLOOKUP($B596,'1. 현장별 인원현황'!$C:$J,3,0))</f>
        <v>임성봉</v>
      </c>
      <c r="E596" s="74" t="str">
        <f ca="1">IF(VLOOKUP($B596,'1. 현장별 인원현황'!$C:$J,4,0)=0,"",VLOOKUP($B596,'1. 현장별 인원현황'!$C:$J,4,0))</f>
        <v>53세</v>
      </c>
      <c r="F596" s="70" t="str">
        <f>IF(VLOOKUP($B596,'1. 현장별 인원현황'!$C:$J,7,0)=0,"",VLOOKUP($B596,'1. 현장별 인원현황'!$C:$J,7,0))</f>
        <v>기능공</v>
      </c>
      <c r="G596" s="72" t="str">
        <f>IF(VLOOKUP($B596,'1. 현장별 인원현황'!$C:$J,8,0)=0,"",VLOOKUP($B596,'1. 현장별 인원현황'!$C:$J,8,0))</f>
        <v>전공</v>
      </c>
      <c r="H596" s="67" t="s">
        <v>69</v>
      </c>
      <c r="I596" s="73"/>
      <c r="J596" s="73"/>
      <c r="K596" s="68"/>
      <c r="L596" s="67"/>
      <c r="M596" s="73" t="s">
        <v>69</v>
      </c>
      <c r="N596" s="73"/>
      <c r="O596" s="68"/>
      <c r="P596" s="67" t="s">
        <v>69</v>
      </c>
      <c r="Q596" s="73"/>
      <c r="R596" s="73"/>
      <c r="S596" s="68"/>
      <c r="T596" s="67"/>
      <c r="U596" s="73" t="s">
        <v>69</v>
      </c>
      <c r="V596" s="73"/>
      <c r="W596" s="68"/>
      <c r="X596" s="67" t="s">
        <v>69</v>
      </c>
      <c r="Y596" s="73"/>
      <c r="Z596" s="73"/>
      <c r="AA596" s="68"/>
      <c r="AB596" s="67" t="s">
        <v>69</v>
      </c>
      <c r="AC596" s="73"/>
      <c r="AD596" s="73"/>
      <c r="AE596" s="68"/>
      <c r="AF596" s="67"/>
      <c r="AG596" s="73" t="s">
        <v>69</v>
      </c>
      <c r="AH596" s="73"/>
      <c r="AI596" s="68"/>
      <c r="AJ596" s="67" t="s">
        <v>69</v>
      </c>
      <c r="AK596" s="73"/>
      <c r="AL596" s="73"/>
      <c r="AM596" s="68"/>
      <c r="AN596" s="67">
        <f t="shared" si="583"/>
        <v>89</v>
      </c>
      <c r="AO596" s="68" t="str">
        <f t="shared" si="584"/>
        <v>S</v>
      </c>
      <c r="AR596" s="49">
        <f t="shared" si="549"/>
        <v>1</v>
      </c>
      <c r="AS596" s="49">
        <f t="shared" si="550"/>
        <v>0</v>
      </c>
      <c r="AT596" s="49">
        <f t="shared" si="551"/>
        <v>0</v>
      </c>
      <c r="AU596" s="49">
        <f t="shared" si="552"/>
        <v>0</v>
      </c>
      <c r="AV596" s="49">
        <f t="shared" si="553"/>
        <v>0</v>
      </c>
      <c r="AW596" s="49">
        <f t="shared" si="554"/>
        <v>1</v>
      </c>
      <c r="AX596" s="49">
        <f t="shared" si="555"/>
        <v>0</v>
      </c>
      <c r="AY596" s="49">
        <f t="shared" si="556"/>
        <v>0</v>
      </c>
      <c r="AZ596" s="49">
        <f t="shared" si="557"/>
        <v>1</v>
      </c>
      <c r="BA596" s="49">
        <f t="shared" si="558"/>
        <v>0</v>
      </c>
      <c r="BB596" s="49">
        <f t="shared" si="559"/>
        <v>0</v>
      </c>
      <c r="BC596" s="49">
        <f t="shared" si="560"/>
        <v>0</v>
      </c>
      <c r="BD596" s="49">
        <f t="shared" si="561"/>
        <v>0</v>
      </c>
      <c r="BE596" s="49">
        <f t="shared" si="562"/>
        <v>1</v>
      </c>
      <c r="BF596" s="49">
        <f t="shared" si="563"/>
        <v>0</v>
      </c>
      <c r="BG596" s="49">
        <f t="shared" si="564"/>
        <v>0</v>
      </c>
      <c r="BH596" s="49">
        <f t="shared" si="565"/>
        <v>1</v>
      </c>
      <c r="BI596" s="49">
        <f t="shared" si="566"/>
        <v>0</v>
      </c>
      <c r="BJ596" s="49">
        <f t="shared" si="567"/>
        <v>0</v>
      </c>
      <c r="BK596" s="49">
        <f t="shared" si="568"/>
        <v>0</v>
      </c>
      <c r="BL596" s="49">
        <f t="shared" si="569"/>
        <v>1</v>
      </c>
      <c r="BM596" s="49">
        <f t="shared" si="570"/>
        <v>0</v>
      </c>
      <c r="BN596" s="49">
        <f t="shared" si="571"/>
        <v>0</v>
      </c>
      <c r="BO596" s="49">
        <f t="shared" si="572"/>
        <v>0</v>
      </c>
      <c r="BP596" s="49">
        <f t="shared" si="573"/>
        <v>0</v>
      </c>
      <c r="BQ596" s="49">
        <f t="shared" si="574"/>
        <v>1</v>
      </c>
      <c r="BR596" s="49">
        <f t="shared" si="575"/>
        <v>0</v>
      </c>
      <c r="BS596" s="49">
        <f t="shared" si="576"/>
        <v>0</v>
      </c>
      <c r="BT596" s="49">
        <f t="shared" si="577"/>
        <v>1</v>
      </c>
      <c r="BU596" s="49">
        <f t="shared" si="578"/>
        <v>0</v>
      </c>
      <c r="BV596" s="49">
        <f t="shared" si="579"/>
        <v>0</v>
      </c>
      <c r="BW596" s="49">
        <f t="shared" si="580"/>
        <v>0</v>
      </c>
    </row>
    <row r="597" spans="1:75" ht="35.1" customHeight="1" x14ac:dyDescent="0.3">
      <c r="A597" s="123" t="str">
        <f t="shared" si="581"/>
        <v>5팀</v>
      </c>
      <c r="B597" s="69">
        <f t="shared" si="582"/>
        <v>591</v>
      </c>
      <c r="C597" s="121" t="str">
        <f>IF(VLOOKUP($B597,'1. 현장별 인원현황'!$C:$J,2,0)=0,"",VLOOKUP($B597,'1. 현장별 인원현황'!$C:$J,2,0))</f>
        <v xml:space="preserve"> [5.한국교직원공제회] The-K 제주호텔 리모델링 공사</v>
      </c>
      <c r="D597" s="74" t="str">
        <f>IF(VLOOKUP($B597,'1. 현장별 인원현황'!$C:$J,3,0)=0,"",VLOOKUP($B597,'1. 현장별 인원현황'!$C:$J,3,0))</f>
        <v>송경천</v>
      </c>
      <c r="E597" s="74" t="str">
        <f ca="1">IF(VLOOKUP($B597,'1. 현장별 인원현황'!$C:$J,4,0)=0,"",VLOOKUP($B597,'1. 현장별 인원현황'!$C:$J,4,0))</f>
        <v>45세</v>
      </c>
      <c r="F597" s="70" t="str">
        <f>IF(VLOOKUP($B597,'1. 현장별 인원현황'!$C:$J,7,0)=0,"",VLOOKUP($B597,'1. 현장별 인원현황'!$C:$J,7,0))</f>
        <v>기능공</v>
      </c>
      <c r="G597" s="72" t="str">
        <f>IF(VLOOKUP($B597,'1. 현장별 인원현황'!$C:$J,8,0)=0,"",VLOOKUP($B597,'1. 현장별 인원현황'!$C:$J,8,0))</f>
        <v>전공</v>
      </c>
      <c r="H597" s="67" t="s">
        <v>69</v>
      </c>
      <c r="I597" s="73"/>
      <c r="J597" s="73"/>
      <c r="K597" s="68"/>
      <c r="L597" s="67"/>
      <c r="M597" s="73" t="s">
        <v>69</v>
      </c>
      <c r="N597" s="73"/>
      <c r="O597" s="68"/>
      <c r="P597" s="67" t="s">
        <v>69</v>
      </c>
      <c r="Q597" s="73"/>
      <c r="R597" s="73"/>
      <c r="S597" s="68"/>
      <c r="T597" s="67"/>
      <c r="U597" s="73" t="s">
        <v>69</v>
      </c>
      <c r="V597" s="73"/>
      <c r="W597" s="68"/>
      <c r="X597" s="67" t="s">
        <v>69</v>
      </c>
      <c r="Y597" s="73"/>
      <c r="Z597" s="73"/>
      <c r="AA597" s="68"/>
      <c r="AB597" s="67" t="s">
        <v>69</v>
      </c>
      <c r="AC597" s="73"/>
      <c r="AD597" s="73"/>
      <c r="AE597" s="68"/>
      <c r="AF597" s="67"/>
      <c r="AG597" s="73" t="s">
        <v>69</v>
      </c>
      <c r="AH597" s="73"/>
      <c r="AI597" s="68"/>
      <c r="AJ597" s="67" t="s">
        <v>69</v>
      </c>
      <c r="AK597" s="73"/>
      <c r="AL597" s="73"/>
      <c r="AM597" s="68"/>
      <c r="AN597" s="67">
        <f t="shared" si="583"/>
        <v>89</v>
      </c>
      <c r="AO597" s="68" t="str">
        <f t="shared" si="584"/>
        <v>S</v>
      </c>
      <c r="AR597" s="49">
        <f t="shared" si="549"/>
        <v>1</v>
      </c>
      <c r="AS597" s="49">
        <f t="shared" si="550"/>
        <v>0</v>
      </c>
      <c r="AT597" s="49">
        <f t="shared" si="551"/>
        <v>0</v>
      </c>
      <c r="AU597" s="49">
        <f t="shared" si="552"/>
        <v>0</v>
      </c>
      <c r="AV597" s="49">
        <f t="shared" si="553"/>
        <v>0</v>
      </c>
      <c r="AW597" s="49">
        <f t="shared" si="554"/>
        <v>1</v>
      </c>
      <c r="AX597" s="49">
        <f t="shared" si="555"/>
        <v>0</v>
      </c>
      <c r="AY597" s="49">
        <f t="shared" si="556"/>
        <v>0</v>
      </c>
      <c r="AZ597" s="49">
        <f t="shared" si="557"/>
        <v>1</v>
      </c>
      <c r="BA597" s="49">
        <f t="shared" si="558"/>
        <v>0</v>
      </c>
      <c r="BB597" s="49">
        <f t="shared" si="559"/>
        <v>0</v>
      </c>
      <c r="BC597" s="49">
        <f t="shared" si="560"/>
        <v>0</v>
      </c>
      <c r="BD597" s="49">
        <f t="shared" si="561"/>
        <v>0</v>
      </c>
      <c r="BE597" s="49">
        <f t="shared" si="562"/>
        <v>1</v>
      </c>
      <c r="BF597" s="49">
        <f t="shared" si="563"/>
        <v>0</v>
      </c>
      <c r="BG597" s="49">
        <f t="shared" si="564"/>
        <v>0</v>
      </c>
      <c r="BH597" s="49">
        <f t="shared" si="565"/>
        <v>1</v>
      </c>
      <c r="BI597" s="49">
        <f t="shared" si="566"/>
        <v>0</v>
      </c>
      <c r="BJ597" s="49">
        <f t="shared" si="567"/>
        <v>0</v>
      </c>
      <c r="BK597" s="49">
        <f t="shared" si="568"/>
        <v>0</v>
      </c>
      <c r="BL597" s="49">
        <f t="shared" si="569"/>
        <v>1</v>
      </c>
      <c r="BM597" s="49">
        <f t="shared" si="570"/>
        <v>0</v>
      </c>
      <c r="BN597" s="49">
        <f t="shared" si="571"/>
        <v>0</v>
      </c>
      <c r="BO597" s="49">
        <f t="shared" si="572"/>
        <v>0</v>
      </c>
      <c r="BP597" s="49">
        <f t="shared" si="573"/>
        <v>0</v>
      </c>
      <c r="BQ597" s="49">
        <f t="shared" si="574"/>
        <v>1</v>
      </c>
      <c r="BR597" s="49">
        <f t="shared" si="575"/>
        <v>0</v>
      </c>
      <c r="BS597" s="49">
        <f t="shared" si="576"/>
        <v>0</v>
      </c>
      <c r="BT597" s="49">
        <f t="shared" si="577"/>
        <v>1</v>
      </c>
      <c r="BU597" s="49">
        <f t="shared" si="578"/>
        <v>0</v>
      </c>
      <c r="BV597" s="49">
        <f t="shared" si="579"/>
        <v>0</v>
      </c>
      <c r="BW597" s="49">
        <f t="shared" si="580"/>
        <v>0</v>
      </c>
    </row>
    <row r="598" spans="1:75" ht="35.1" customHeight="1" x14ac:dyDescent="0.3">
      <c r="A598" s="123" t="str">
        <f t="shared" si="581"/>
        <v>5팀</v>
      </c>
      <c r="B598" s="69">
        <f t="shared" si="582"/>
        <v>592</v>
      </c>
      <c r="C598" s="121" t="str">
        <f>IF(VLOOKUP($B598,'1. 현장별 인원현황'!$C:$J,2,0)=0,"",VLOOKUP($B598,'1. 현장별 인원현황'!$C:$J,2,0))</f>
        <v xml:space="preserve"> [5.한국교직원공제회] The-K 제주호텔 리모델링 공사</v>
      </c>
      <c r="D598" s="74" t="str">
        <f>IF(VLOOKUP($B598,'1. 현장별 인원현황'!$C:$J,3,0)=0,"",VLOOKUP($B598,'1. 현장별 인원현황'!$C:$J,3,0))</f>
        <v>한창훈</v>
      </c>
      <c r="E598" s="74" t="str">
        <f ca="1">IF(VLOOKUP($B598,'1. 현장별 인원현황'!$C:$J,4,0)=0,"",VLOOKUP($B598,'1. 현장별 인원현황'!$C:$J,4,0))</f>
        <v>53세</v>
      </c>
      <c r="F598" s="70" t="str">
        <f>IF(VLOOKUP($B598,'1. 현장별 인원현황'!$C:$J,7,0)=0,"",VLOOKUP($B598,'1. 현장별 인원현황'!$C:$J,7,0))</f>
        <v>기능공</v>
      </c>
      <c r="G598" s="72" t="str">
        <f>IF(VLOOKUP($B598,'1. 현장별 인원현황'!$C:$J,8,0)=0,"",VLOOKUP($B598,'1. 현장별 인원현황'!$C:$J,8,0))</f>
        <v>전공</v>
      </c>
      <c r="H598" s="67"/>
      <c r="I598" s="73" t="s">
        <v>69</v>
      </c>
      <c r="J598" s="73"/>
      <c r="K598" s="68"/>
      <c r="L598" s="67"/>
      <c r="M598" s="73" t="s">
        <v>69</v>
      </c>
      <c r="N598" s="73"/>
      <c r="O598" s="68"/>
      <c r="P598" s="67"/>
      <c r="Q598" s="73" t="s">
        <v>69</v>
      </c>
      <c r="R598" s="73"/>
      <c r="S598" s="68"/>
      <c r="T598" s="67"/>
      <c r="U598" s="73" t="s">
        <v>69</v>
      </c>
      <c r="V598" s="73"/>
      <c r="W598" s="68"/>
      <c r="X598" s="67"/>
      <c r="Y598" s="73" t="s">
        <v>69</v>
      </c>
      <c r="Z598" s="73"/>
      <c r="AA598" s="68"/>
      <c r="AB598" s="67"/>
      <c r="AC598" s="73"/>
      <c r="AD598" s="73" t="s">
        <v>69</v>
      </c>
      <c r="AE598" s="68"/>
      <c r="AF598" s="67"/>
      <c r="AG598" s="73" t="s">
        <v>69</v>
      </c>
      <c r="AH598" s="73"/>
      <c r="AI598" s="68"/>
      <c r="AJ598" s="67"/>
      <c r="AK598" s="73" t="s">
        <v>69</v>
      </c>
      <c r="AL598" s="73"/>
      <c r="AM598" s="68"/>
      <c r="AN598" s="67">
        <f t="shared" si="583"/>
        <v>71</v>
      </c>
      <c r="AO598" s="68" t="str">
        <f t="shared" si="584"/>
        <v>A</v>
      </c>
      <c r="AR598" s="49">
        <f t="shared" si="549"/>
        <v>0</v>
      </c>
      <c r="AS598" s="49">
        <f t="shared" si="550"/>
        <v>1</v>
      </c>
      <c r="AT598" s="49">
        <f t="shared" si="551"/>
        <v>0</v>
      </c>
      <c r="AU598" s="49">
        <f t="shared" si="552"/>
        <v>0</v>
      </c>
      <c r="AV598" s="49">
        <f t="shared" si="553"/>
        <v>0</v>
      </c>
      <c r="AW598" s="49">
        <f t="shared" si="554"/>
        <v>1</v>
      </c>
      <c r="AX598" s="49">
        <f t="shared" si="555"/>
        <v>0</v>
      </c>
      <c r="AY598" s="49">
        <f t="shared" si="556"/>
        <v>0</v>
      </c>
      <c r="AZ598" s="49">
        <f t="shared" si="557"/>
        <v>0</v>
      </c>
      <c r="BA598" s="49">
        <f t="shared" si="558"/>
        <v>1</v>
      </c>
      <c r="BB598" s="49">
        <f t="shared" si="559"/>
        <v>0</v>
      </c>
      <c r="BC598" s="49">
        <f t="shared" si="560"/>
        <v>0</v>
      </c>
      <c r="BD598" s="49">
        <f t="shared" si="561"/>
        <v>0</v>
      </c>
      <c r="BE598" s="49">
        <f t="shared" si="562"/>
        <v>1</v>
      </c>
      <c r="BF598" s="49">
        <f t="shared" si="563"/>
        <v>0</v>
      </c>
      <c r="BG598" s="49">
        <f t="shared" si="564"/>
        <v>0</v>
      </c>
      <c r="BH598" s="49">
        <f t="shared" si="565"/>
        <v>0</v>
      </c>
      <c r="BI598" s="49">
        <f t="shared" si="566"/>
        <v>1</v>
      </c>
      <c r="BJ598" s="49">
        <f t="shared" si="567"/>
        <v>0</v>
      </c>
      <c r="BK598" s="49">
        <f t="shared" si="568"/>
        <v>0</v>
      </c>
      <c r="BL598" s="49">
        <f t="shared" si="569"/>
        <v>0</v>
      </c>
      <c r="BM598" s="49">
        <f t="shared" si="570"/>
        <v>0</v>
      </c>
      <c r="BN598" s="49">
        <f t="shared" si="571"/>
        <v>1</v>
      </c>
      <c r="BO598" s="49">
        <f t="shared" si="572"/>
        <v>0</v>
      </c>
      <c r="BP598" s="49">
        <f t="shared" si="573"/>
        <v>0</v>
      </c>
      <c r="BQ598" s="49">
        <f t="shared" si="574"/>
        <v>1</v>
      </c>
      <c r="BR598" s="49">
        <f t="shared" si="575"/>
        <v>0</v>
      </c>
      <c r="BS598" s="49">
        <f t="shared" si="576"/>
        <v>0</v>
      </c>
      <c r="BT598" s="49">
        <f t="shared" si="577"/>
        <v>0</v>
      </c>
      <c r="BU598" s="49">
        <f t="shared" si="578"/>
        <v>1</v>
      </c>
      <c r="BV598" s="49">
        <f t="shared" si="579"/>
        <v>0</v>
      </c>
      <c r="BW598" s="49">
        <f t="shared" si="580"/>
        <v>0</v>
      </c>
    </row>
    <row r="599" spans="1:75" ht="35.1" customHeight="1" x14ac:dyDescent="0.3">
      <c r="A599" s="123" t="str">
        <f t="shared" si="581"/>
        <v>5팀</v>
      </c>
      <c r="B599" s="69">
        <f t="shared" si="582"/>
        <v>593</v>
      </c>
      <c r="C599" s="121" t="str">
        <f>IF(VLOOKUP($B599,'1. 현장별 인원현황'!$C:$J,2,0)=0,"",VLOOKUP($B599,'1. 현장별 인원현황'!$C:$J,2,0))</f>
        <v xml:space="preserve"> [5.한국교직원공제회] The-K 제주호텔 리모델링 공사</v>
      </c>
      <c r="D599" s="74" t="str">
        <f>IF(VLOOKUP($B599,'1. 현장별 인원현황'!$C:$J,3,0)=0,"",VLOOKUP($B599,'1. 현장별 인원현황'!$C:$J,3,0))</f>
        <v>양승욱</v>
      </c>
      <c r="E599" s="74" t="str">
        <f ca="1">IF(VLOOKUP($B599,'1. 현장별 인원현황'!$C:$J,4,0)=0,"",VLOOKUP($B599,'1. 현장별 인원현황'!$C:$J,4,0))</f>
        <v>54세</v>
      </c>
      <c r="F599" s="70" t="str">
        <f>IF(VLOOKUP($B599,'1. 현장별 인원현황'!$C:$J,7,0)=0,"",VLOOKUP($B599,'1. 현장별 인원현황'!$C:$J,7,0))</f>
        <v>기능공</v>
      </c>
      <c r="G599" s="72" t="str">
        <f>IF(VLOOKUP($B599,'1. 현장별 인원현황'!$C:$J,8,0)=0,"",VLOOKUP($B599,'1. 현장별 인원현황'!$C:$J,8,0))</f>
        <v>전공</v>
      </c>
      <c r="H599" s="67"/>
      <c r="I599" s="73" t="s">
        <v>69</v>
      </c>
      <c r="J599" s="73"/>
      <c r="K599" s="68"/>
      <c r="L599" s="67"/>
      <c r="M599" s="73" t="s">
        <v>69</v>
      </c>
      <c r="N599" s="73"/>
      <c r="O599" s="68"/>
      <c r="P599" s="67"/>
      <c r="Q599" s="73" t="s">
        <v>69</v>
      </c>
      <c r="R599" s="73"/>
      <c r="S599" s="68"/>
      <c r="T599" s="67"/>
      <c r="U599" s="73" t="s">
        <v>69</v>
      </c>
      <c r="V599" s="73"/>
      <c r="W599" s="68"/>
      <c r="X599" s="67"/>
      <c r="Y599" s="73" t="s">
        <v>69</v>
      </c>
      <c r="Z599" s="73"/>
      <c r="AA599" s="68"/>
      <c r="AB599" s="67"/>
      <c r="AC599" s="73"/>
      <c r="AD599" s="73" t="s">
        <v>69</v>
      </c>
      <c r="AE599" s="68"/>
      <c r="AF599" s="67"/>
      <c r="AG599" s="73" t="s">
        <v>69</v>
      </c>
      <c r="AH599" s="73"/>
      <c r="AI599" s="68"/>
      <c r="AJ599" s="67"/>
      <c r="AK599" s="73" t="s">
        <v>69</v>
      </c>
      <c r="AL599" s="73"/>
      <c r="AM599" s="68"/>
      <c r="AN599" s="67">
        <f t="shared" si="583"/>
        <v>71</v>
      </c>
      <c r="AO599" s="68" t="str">
        <f t="shared" si="584"/>
        <v>A</v>
      </c>
      <c r="AR599" s="49">
        <f t="shared" si="549"/>
        <v>0</v>
      </c>
      <c r="AS599" s="49">
        <f t="shared" si="550"/>
        <v>1</v>
      </c>
      <c r="AT599" s="49">
        <f t="shared" si="551"/>
        <v>0</v>
      </c>
      <c r="AU599" s="49">
        <f t="shared" si="552"/>
        <v>0</v>
      </c>
      <c r="AV599" s="49">
        <f t="shared" si="553"/>
        <v>0</v>
      </c>
      <c r="AW599" s="49">
        <f t="shared" si="554"/>
        <v>1</v>
      </c>
      <c r="AX599" s="49">
        <f t="shared" si="555"/>
        <v>0</v>
      </c>
      <c r="AY599" s="49">
        <f t="shared" si="556"/>
        <v>0</v>
      </c>
      <c r="AZ599" s="49">
        <f t="shared" si="557"/>
        <v>0</v>
      </c>
      <c r="BA599" s="49">
        <f t="shared" si="558"/>
        <v>1</v>
      </c>
      <c r="BB599" s="49">
        <f t="shared" si="559"/>
        <v>0</v>
      </c>
      <c r="BC599" s="49">
        <f t="shared" si="560"/>
        <v>0</v>
      </c>
      <c r="BD599" s="49">
        <f t="shared" si="561"/>
        <v>0</v>
      </c>
      <c r="BE599" s="49">
        <f t="shared" si="562"/>
        <v>1</v>
      </c>
      <c r="BF599" s="49">
        <f t="shared" si="563"/>
        <v>0</v>
      </c>
      <c r="BG599" s="49">
        <f t="shared" si="564"/>
        <v>0</v>
      </c>
      <c r="BH599" s="49">
        <f t="shared" si="565"/>
        <v>0</v>
      </c>
      <c r="BI599" s="49">
        <f t="shared" si="566"/>
        <v>1</v>
      </c>
      <c r="BJ599" s="49">
        <f t="shared" si="567"/>
        <v>0</v>
      </c>
      <c r="BK599" s="49">
        <f t="shared" si="568"/>
        <v>0</v>
      </c>
      <c r="BL599" s="49">
        <f t="shared" si="569"/>
        <v>0</v>
      </c>
      <c r="BM599" s="49">
        <f t="shared" si="570"/>
        <v>0</v>
      </c>
      <c r="BN599" s="49">
        <f t="shared" si="571"/>
        <v>1</v>
      </c>
      <c r="BO599" s="49">
        <f t="shared" si="572"/>
        <v>0</v>
      </c>
      <c r="BP599" s="49">
        <f t="shared" si="573"/>
        <v>0</v>
      </c>
      <c r="BQ599" s="49">
        <f t="shared" si="574"/>
        <v>1</v>
      </c>
      <c r="BR599" s="49">
        <f t="shared" si="575"/>
        <v>0</v>
      </c>
      <c r="BS599" s="49">
        <f t="shared" si="576"/>
        <v>0</v>
      </c>
      <c r="BT599" s="49">
        <f t="shared" si="577"/>
        <v>0</v>
      </c>
      <c r="BU599" s="49">
        <f t="shared" si="578"/>
        <v>1</v>
      </c>
      <c r="BV599" s="49">
        <f t="shared" si="579"/>
        <v>0</v>
      </c>
      <c r="BW599" s="49">
        <f t="shared" si="580"/>
        <v>0</v>
      </c>
    </row>
    <row r="600" spans="1:75" ht="35.1" customHeight="1" x14ac:dyDescent="0.3">
      <c r="A600" s="123" t="str">
        <f t="shared" si="581"/>
        <v>5팀</v>
      </c>
      <c r="B600" s="69">
        <f t="shared" si="582"/>
        <v>594</v>
      </c>
      <c r="C600" s="121" t="str">
        <f>IF(VLOOKUP($B600,'1. 현장별 인원현황'!$C:$J,2,0)=0,"",VLOOKUP($B600,'1. 현장별 인원현황'!$C:$J,2,0))</f>
        <v xml:space="preserve"> [5.한국교직원공제회] The-K 제주호텔 리모델링 공사</v>
      </c>
      <c r="D600" s="74" t="str">
        <f>IF(VLOOKUP($B600,'1. 현장별 인원현황'!$C:$J,3,0)=0,"",VLOOKUP($B600,'1. 현장별 인원현황'!$C:$J,3,0))</f>
        <v>양재성</v>
      </c>
      <c r="E600" s="74" t="str">
        <f ca="1">IF(VLOOKUP($B600,'1. 현장별 인원현황'!$C:$J,4,0)=0,"",VLOOKUP($B600,'1. 현장별 인원현황'!$C:$J,4,0))</f>
        <v>52세</v>
      </c>
      <c r="F600" s="70" t="str">
        <f>IF(VLOOKUP($B600,'1. 현장별 인원현황'!$C:$J,7,0)=0,"",VLOOKUP($B600,'1. 현장별 인원현황'!$C:$J,7,0))</f>
        <v>기능공</v>
      </c>
      <c r="G600" s="72" t="str">
        <f>IF(VLOOKUP($B600,'1. 현장별 인원현황'!$C:$J,8,0)=0,"",VLOOKUP($B600,'1. 현장별 인원현황'!$C:$J,8,0))</f>
        <v>전공</v>
      </c>
      <c r="H600" s="67" t="s">
        <v>69</v>
      </c>
      <c r="I600" s="73"/>
      <c r="J600" s="73"/>
      <c r="K600" s="68"/>
      <c r="L600" s="67"/>
      <c r="M600" s="73" t="s">
        <v>69</v>
      </c>
      <c r="N600" s="73"/>
      <c r="O600" s="68"/>
      <c r="P600" s="67"/>
      <c r="Q600" s="73" t="s">
        <v>69</v>
      </c>
      <c r="R600" s="73"/>
      <c r="S600" s="68"/>
      <c r="T600" s="67"/>
      <c r="U600" s="73"/>
      <c r="V600" s="73" t="s">
        <v>69</v>
      </c>
      <c r="W600" s="68"/>
      <c r="X600" s="67"/>
      <c r="Y600" s="73" t="s">
        <v>69</v>
      </c>
      <c r="Z600" s="73"/>
      <c r="AA600" s="68"/>
      <c r="AB600" s="67" t="s">
        <v>69</v>
      </c>
      <c r="AC600" s="73"/>
      <c r="AD600" s="73"/>
      <c r="AE600" s="68"/>
      <c r="AF600" s="67"/>
      <c r="AG600" s="73" t="s">
        <v>69</v>
      </c>
      <c r="AH600" s="73"/>
      <c r="AI600" s="68"/>
      <c r="AJ600" s="67" t="s">
        <v>69</v>
      </c>
      <c r="AK600" s="73"/>
      <c r="AL600" s="73"/>
      <c r="AM600" s="68"/>
      <c r="AN600" s="67">
        <f t="shared" si="583"/>
        <v>77</v>
      </c>
      <c r="AO600" s="68" t="str">
        <f t="shared" si="584"/>
        <v>A</v>
      </c>
      <c r="AR600" s="49">
        <f t="shared" si="549"/>
        <v>1</v>
      </c>
      <c r="AS600" s="49">
        <f t="shared" si="550"/>
        <v>0</v>
      </c>
      <c r="AT600" s="49">
        <f t="shared" si="551"/>
        <v>0</v>
      </c>
      <c r="AU600" s="49">
        <f t="shared" si="552"/>
        <v>0</v>
      </c>
      <c r="AV600" s="49">
        <f t="shared" si="553"/>
        <v>0</v>
      </c>
      <c r="AW600" s="49">
        <f t="shared" si="554"/>
        <v>1</v>
      </c>
      <c r="AX600" s="49">
        <f t="shared" si="555"/>
        <v>0</v>
      </c>
      <c r="AY600" s="49">
        <f t="shared" si="556"/>
        <v>0</v>
      </c>
      <c r="AZ600" s="49">
        <f t="shared" si="557"/>
        <v>0</v>
      </c>
      <c r="BA600" s="49">
        <f t="shared" si="558"/>
        <v>1</v>
      </c>
      <c r="BB600" s="49">
        <f t="shared" si="559"/>
        <v>0</v>
      </c>
      <c r="BC600" s="49">
        <f t="shared" si="560"/>
        <v>0</v>
      </c>
      <c r="BD600" s="49">
        <f t="shared" si="561"/>
        <v>0</v>
      </c>
      <c r="BE600" s="49">
        <f t="shared" si="562"/>
        <v>0</v>
      </c>
      <c r="BF600" s="49">
        <f t="shared" si="563"/>
        <v>1</v>
      </c>
      <c r="BG600" s="49">
        <f t="shared" si="564"/>
        <v>0</v>
      </c>
      <c r="BH600" s="49">
        <f t="shared" si="565"/>
        <v>0</v>
      </c>
      <c r="BI600" s="49">
        <f t="shared" si="566"/>
        <v>1</v>
      </c>
      <c r="BJ600" s="49">
        <f t="shared" si="567"/>
        <v>0</v>
      </c>
      <c r="BK600" s="49">
        <f t="shared" si="568"/>
        <v>0</v>
      </c>
      <c r="BL600" s="49">
        <f t="shared" si="569"/>
        <v>1</v>
      </c>
      <c r="BM600" s="49">
        <f t="shared" si="570"/>
        <v>0</v>
      </c>
      <c r="BN600" s="49">
        <f t="shared" si="571"/>
        <v>0</v>
      </c>
      <c r="BO600" s="49">
        <f t="shared" si="572"/>
        <v>0</v>
      </c>
      <c r="BP600" s="49">
        <f t="shared" si="573"/>
        <v>0</v>
      </c>
      <c r="BQ600" s="49">
        <f t="shared" si="574"/>
        <v>1</v>
      </c>
      <c r="BR600" s="49">
        <f t="shared" si="575"/>
        <v>0</v>
      </c>
      <c r="BS600" s="49">
        <f t="shared" si="576"/>
        <v>0</v>
      </c>
      <c r="BT600" s="49">
        <f t="shared" si="577"/>
        <v>1</v>
      </c>
      <c r="BU600" s="49">
        <f t="shared" si="578"/>
        <v>0</v>
      </c>
      <c r="BV600" s="49">
        <f t="shared" si="579"/>
        <v>0</v>
      </c>
      <c r="BW600" s="49">
        <f t="shared" si="580"/>
        <v>0</v>
      </c>
    </row>
    <row r="601" spans="1:75" ht="35.1" customHeight="1" x14ac:dyDescent="0.3">
      <c r="A601" s="123" t="str">
        <f t="shared" si="581"/>
        <v>5팀</v>
      </c>
      <c r="B601" s="69">
        <f t="shared" si="582"/>
        <v>595</v>
      </c>
      <c r="C601" s="121" t="str">
        <f>IF(VLOOKUP($B601,'1. 현장별 인원현황'!$C:$J,2,0)=0,"",VLOOKUP($B601,'1. 현장별 인원현황'!$C:$J,2,0))</f>
        <v xml:space="preserve"> [5.한국교직원공제회] The-K 제주호텔 리모델링 공사</v>
      </c>
      <c r="D601" s="74" t="str">
        <f>IF(VLOOKUP($B601,'1. 현장별 인원현황'!$C:$J,3,0)=0,"",VLOOKUP($B601,'1. 현장별 인원현황'!$C:$J,3,0))</f>
        <v>이정민</v>
      </c>
      <c r="E601" s="74" t="str">
        <f ca="1">IF(VLOOKUP($B601,'1. 현장별 인원현황'!$C:$J,4,0)=0,"",VLOOKUP($B601,'1. 현장별 인원현황'!$C:$J,4,0))</f>
        <v>43세</v>
      </c>
      <c r="F601" s="70" t="str">
        <f>IF(VLOOKUP($B601,'1. 현장별 인원현황'!$C:$J,7,0)=0,"",VLOOKUP($B601,'1. 현장별 인원현황'!$C:$J,7,0))</f>
        <v>기능공</v>
      </c>
      <c r="G601" s="72" t="str">
        <f>IF(VLOOKUP($B601,'1. 현장별 인원현황'!$C:$J,8,0)=0,"",VLOOKUP($B601,'1. 현장별 인원현황'!$C:$J,8,0))</f>
        <v>전공</v>
      </c>
      <c r="H601" s="67" t="s">
        <v>69</v>
      </c>
      <c r="I601" s="73"/>
      <c r="J601" s="73"/>
      <c r="K601" s="68"/>
      <c r="L601" s="67"/>
      <c r="M601" s="73" t="s">
        <v>69</v>
      </c>
      <c r="N601" s="73"/>
      <c r="O601" s="68"/>
      <c r="P601" s="67"/>
      <c r="Q601" s="73" t="s">
        <v>69</v>
      </c>
      <c r="R601" s="73"/>
      <c r="S601" s="68"/>
      <c r="T601" s="67"/>
      <c r="U601" s="73"/>
      <c r="V601" s="73" t="s">
        <v>69</v>
      </c>
      <c r="W601" s="68"/>
      <c r="X601" s="67"/>
      <c r="Y601" s="73" t="s">
        <v>69</v>
      </c>
      <c r="Z601" s="73"/>
      <c r="AA601" s="68"/>
      <c r="AB601" s="67" t="s">
        <v>69</v>
      </c>
      <c r="AC601" s="73"/>
      <c r="AD601" s="73"/>
      <c r="AE601" s="68"/>
      <c r="AF601" s="67"/>
      <c r="AG601" s="73" t="s">
        <v>69</v>
      </c>
      <c r="AH601" s="73"/>
      <c r="AI601" s="68"/>
      <c r="AJ601" s="67" t="s">
        <v>69</v>
      </c>
      <c r="AK601" s="73"/>
      <c r="AL601" s="73"/>
      <c r="AM601" s="68"/>
      <c r="AN601" s="67">
        <f t="shared" si="583"/>
        <v>77</v>
      </c>
      <c r="AO601" s="68" t="str">
        <f t="shared" si="584"/>
        <v>A</v>
      </c>
      <c r="AR601" s="49">
        <f t="shared" si="549"/>
        <v>1</v>
      </c>
      <c r="AS601" s="49">
        <f t="shared" si="550"/>
        <v>0</v>
      </c>
      <c r="AT601" s="49">
        <f t="shared" si="551"/>
        <v>0</v>
      </c>
      <c r="AU601" s="49">
        <f t="shared" si="552"/>
        <v>0</v>
      </c>
      <c r="AV601" s="49">
        <f t="shared" si="553"/>
        <v>0</v>
      </c>
      <c r="AW601" s="49">
        <f t="shared" si="554"/>
        <v>1</v>
      </c>
      <c r="AX601" s="49">
        <f t="shared" si="555"/>
        <v>0</v>
      </c>
      <c r="AY601" s="49">
        <f t="shared" si="556"/>
        <v>0</v>
      </c>
      <c r="AZ601" s="49">
        <f t="shared" si="557"/>
        <v>0</v>
      </c>
      <c r="BA601" s="49">
        <f t="shared" si="558"/>
        <v>1</v>
      </c>
      <c r="BB601" s="49">
        <f t="shared" si="559"/>
        <v>0</v>
      </c>
      <c r="BC601" s="49">
        <f t="shared" si="560"/>
        <v>0</v>
      </c>
      <c r="BD601" s="49">
        <f t="shared" si="561"/>
        <v>0</v>
      </c>
      <c r="BE601" s="49">
        <f t="shared" si="562"/>
        <v>0</v>
      </c>
      <c r="BF601" s="49">
        <f t="shared" si="563"/>
        <v>1</v>
      </c>
      <c r="BG601" s="49">
        <f t="shared" si="564"/>
        <v>0</v>
      </c>
      <c r="BH601" s="49">
        <f t="shared" si="565"/>
        <v>0</v>
      </c>
      <c r="BI601" s="49">
        <f t="shared" si="566"/>
        <v>1</v>
      </c>
      <c r="BJ601" s="49">
        <f t="shared" si="567"/>
        <v>0</v>
      </c>
      <c r="BK601" s="49">
        <f t="shared" si="568"/>
        <v>0</v>
      </c>
      <c r="BL601" s="49">
        <f t="shared" si="569"/>
        <v>1</v>
      </c>
      <c r="BM601" s="49">
        <f t="shared" si="570"/>
        <v>0</v>
      </c>
      <c r="BN601" s="49">
        <f t="shared" si="571"/>
        <v>0</v>
      </c>
      <c r="BO601" s="49">
        <f t="shared" si="572"/>
        <v>0</v>
      </c>
      <c r="BP601" s="49">
        <f t="shared" si="573"/>
        <v>0</v>
      </c>
      <c r="BQ601" s="49">
        <f t="shared" si="574"/>
        <v>1</v>
      </c>
      <c r="BR601" s="49">
        <f t="shared" si="575"/>
        <v>0</v>
      </c>
      <c r="BS601" s="49">
        <f t="shared" si="576"/>
        <v>0</v>
      </c>
      <c r="BT601" s="49">
        <f t="shared" si="577"/>
        <v>1</v>
      </c>
      <c r="BU601" s="49">
        <f t="shared" si="578"/>
        <v>0</v>
      </c>
      <c r="BV601" s="49">
        <f t="shared" si="579"/>
        <v>0</v>
      </c>
      <c r="BW601" s="49">
        <f t="shared" si="580"/>
        <v>0</v>
      </c>
    </row>
    <row r="602" spans="1:75" ht="35.1" customHeight="1" x14ac:dyDescent="0.3">
      <c r="A602" s="123" t="str">
        <f t="shared" si="581"/>
        <v>5팀</v>
      </c>
      <c r="B602" s="69">
        <f t="shared" si="582"/>
        <v>596</v>
      </c>
      <c r="C602" s="121" t="str">
        <f>IF(VLOOKUP($B602,'1. 현장별 인원현황'!$C:$J,2,0)=0,"",VLOOKUP($B602,'1. 현장별 인원현황'!$C:$J,2,0))</f>
        <v xml:space="preserve"> [5.한국교직원공제회] The-K 제주호텔 리모델링 공사</v>
      </c>
      <c r="D602" s="74" t="str">
        <f>IF(VLOOKUP($B602,'1. 현장별 인원현황'!$C:$J,3,0)=0,"",VLOOKUP($B602,'1. 현장별 인원현황'!$C:$J,3,0))</f>
        <v>권성훈</v>
      </c>
      <c r="E602" s="74" t="str">
        <f ca="1">IF(VLOOKUP($B602,'1. 현장별 인원현황'!$C:$J,4,0)=0,"",VLOOKUP($B602,'1. 현장별 인원현황'!$C:$J,4,0))</f>
        <v>47세</v>
      </c>
      <c r="F602" s="70" t="str">
        <f>IF(VLOOKUP($B602,'1. 현장별 인원현황'!$C:$J,7,0)=0,"",VLOOKUP($B602,'1. 현장별 인원현황'!$C:$J,7,0))</f>
        <v>기능공</v>
      </c>
      <c r="G602" s="72" t="str">
        <f>IF(VLOOKUP($B602,'1. 현장별 인원현황'!$C:$J,8,0)=0,"",VLOOKUP($B602,'1. 현장별 인원현황'!$C:$J,8,0))</f>
        <v>전공</v>
      </c>
      <c r="H602" s="67" t="s">
        <v>69</v>
      </c>
      <c r="I602" s="73"/>
      <c r="J602" s="73"/>
      <c r="K602" s="68"/>
      <c r="L602" s="67"/>
      <c r="M602" s="73" t="s">
        <v>69</v>
      </c>
      <c r="N602" s="73"/>
      <c r="O602" s="68"/>
      <c r="P602" s="67"/>
      <c r="Q602" s="73" t="s">
        <v>69</v>
      </c>
      <c r="R602" s="73"/>
      <c r="S602" s="68"/>
      <c r="T602" s="67" t="s">
        <v>69</v>
      </c>
      <c r="U602" s="73"/>
      <c r="V602" s="73"/>
      <c r="W602" s="68"/>
      <c r="X602" s="67" t="s">
        <v>69</v>
      </c>
      <c r="Y602" s="73"/>
      <c r="Z602" s="73"/>
      <c r="AA602" s="68"/>
      <c r="AB602" s="67" t="s">
        <v>69</v>
      </c>
      <c r="AC602" s="73"/>
      <c r="AD602" s="73"/>
      <c r="AE602" s="68"/>
      <c r="AF602" s="67"/>
      <c r="AG602" s="73" t="s">
        <v>69</v>
      </c>
      <c r="AH602" s="73"/>
      <c r="AI602" s="68"/>
      <c r="AJ602" s="67" t="s">
        <v>69</v>
      </c>
      <c r="AK602" s="73"/>
      <c r="AL602" s="73"/>
      <c r="AM602" s="68"/>
      <c r="AN602" s="67">
        <f t="shared" si="583"/>
        <v>89</v>
      </c>
      <c r="AO602" s="68" t="str">
        <f t="shared" si="584"/>
        <v>S</v>
      </c>
      <c r="AR602" s="49">
        <f t="shared" si="549"/>
        <v>1</v>
      </c>
      <c r="AS602" s="49">
        <f t="shared" si="550"/>
        <v>0</v>
      </c>
      <c r="AT602" s="49">
        <f t="shared" si="551"/>
        <v>0</v>
      </c>
      <c r="AU602" s="49">
        <f t="shared" si="552"/>
        <v>0</v>
      </c>
      <c r="AV602" s="49">
        <f t="shared" si="553"/>
        <v>0</v>
      </c>
      <c r="AW602" s="49">
        <f t="shared" si="554"/>
        <v>1</v>
      </c>
      <c r="AX602" s="49">
        <f t="shared" si="555"/>
        <v>0</v>
      </c>
      <c r="AY602" s="49">
        <f t="shared" si="556"/>
        <v>0</v>
      </c>
      <c r="AZ602" s="49">
        <f t="shared" si="557"/>
        <v>0</v>
      </c>
      <c r="BA602" s="49">
        <f t="shared" si="558"/>
        <v>1</v>
      </c>
      <c r="BB602" s="49">
        <f t="shared" si="559"/>
        <v>0</v>
      </c>
      <c r="BC602" s="49">
        <f t="shared" si="560"/>
        <v>0</v>
      </c>
      <c r="BD602" s="49">
        <f t="shared" si="561"/>
        <v>1</v>
      </c>
      <c r="BE602" s="49">
        <f t="shared" si="562"/>
        <v>0</v>
      </c>
      <c r="BF602" s="49">
        <f t="shared" si="563"/>
        <v>0</v>
      </c>
      <c r="BG602" s="49">
        <f t="shared" si="564"/>
        <v>0</v>
      </c>
      <c r="BH602" s="49">
        <f t="shared" si="565"/>
        <v>1</v>
      </c>
      <c r="BI602" s="49">
        <f t="shared" si="566"/>
        <v>0</v>
      </c>
      <c r="BJ602" s="49">
        <f t="shared" si="567"/>
        <v>0</v>
      </c>
      <c r="BK602" s="49">
        <f t="shared" si="568"/>
        <v>0</v>
      </c>
      <c r="BL602" s="49">
        <f t="shared" si="569"/>
        <v>1</v>
      </c>
      <c r="BM602" s="49">
        <f t="shared" si="570"/>
        <v>0</v>
      </c>
      <c r="BN602" s="49">
        <f t="shared" si="571"/>
        <v>0</v>
      </c>
      <c r="BO602" s="49">
        <f t="shared" si="572"/>
        <v>0</v>
      </c>
      <c r="BP602" s="49">
        <f t="shared" si="573"/>
        <v>0</v>
      </c>
      <c r="BQ602" s="49">
        <f t="shared" si="574"/>
        <v>1</v>
      </c>
      <c r="BR602" s="49">
        <f t="shared" si="575"/>
        <v>0</v>
      </c>
      <c r="BS602" s="49">
        <f t="shared" si="576"/>
        <v>0</v>
      </c>
      <c r="BT602" s="49">
        <f t="shared" si="577"/>
        <v>1</v>
      </c>
      <c r="BU602" s="49">
        <f t="shared" si="578"/>
        <v>0</v>
      </c>
      <c r="BV602" s="49">
        <f t="shared" si="579"/>
        <v>0</v>
      </c>
      <c r="BW602" s="49">
        <f t="shared" si="580"/>
        <v>0</v>
      </c>
    </row>
    <row r="603" spans="1:75" ht="35.1" customHeight="1" x14ac:dyDescent="0.3">
      <c r="A603" s="123" t="str">
        <f t="shared" si="581"/>
        <v>5팀</v>
      </c>
      <c r="B603" s="69">
        <f t="shared" si="582"/>
        <v>597</v>
      </c>
      <c r="C603" s="121" t="str">
        <f>IF(VLOOKUP($B603,'1. 현장별 인원현황'!$C:$J,2,0)=0,"",VLOOKUP($B603,'1. 현장별 인원현황'!$C:$J,2,0))</f>
        <v xml:space="preserve"> [5.한국교직원공제회] The-K 제주호텔 리모델링 공사</v>
      </c>
      <c r="D603" s="74" t="str">
        <f>IF(VLOOKUP($B603,'1. 현장별 인원현황'!$C:$J,3,0)=0,"",VLOOKUP($B603,'1. 현장별 인원현황'!$C:$J,3,0))</f>
        <v>강태원</v>
      </c>
      <c r="E603" s="74" t="str">
        <f ca="1">IF(VLOOKUP($B603,'1. 현장별 인원현황'!$C:$J,4,0)=0,"",VLOOKUP($B603,'1. 현장별 인원현황'!$C:$J,4,0))</f>
        <v>44세</v>
      </c>
      <c r="F603" s="70" t="str">
        <f>IF(VLOOKUP($B603,'1. 현장별 인원현황'!$C:$J,7,0)=0,"",VLOOKUP($B603,'1. 현장별 인원현황'!$C:$J,7,0))</f>
        <v>기능공</v>
      </c>
      <c r="G603" s="72" t="str">
        <f>IF(VLOOKUP($B603,'1. 현장별 인원현황'!$C:$J,8,0)=0,"",VLOOKUP($B603,'1. 현장별 인원현황'!$C:$J,8,0))</f>
        <v>전공</v>
      </c>
      <c r="H603" s="67" t="s">
        <v>69</v>
      </c>
      <c r="I603" s="73"/>
      <c r="J603" s="73"/>
      <c r="K603" s="68"/>
      <c r="L603" s="67"/>
      <c r="M603" s="73" t="s">
        <v>69</v>
      </c>
      <c r="N603" s="73"/>
      <c r="O603" s="68"/>
      <c r="P603" s="67"/>
      <c r="Q603" s="73" t="s">
        <v>69</v>
      </c>
      <c r="R603" s="73"/>
      <c r="S603" s="68"/>
      <c r="T603" s="67"/>
      <c r="U603" s="73"/>
      <c r="V603" s="73" t="s">
        <v>69</v>
      </c>
      <c r="W603" s="68"/>
      <c r="X603" s="67"/>
      <c r="Y603" s="73" t="s">
        <v>69</v>
      </c>
      <c r="Z603" s="73"/>
      <c r="AA603" s="68"/>
      <c r="AB603" s="67" t="s">
        <v>69</v>
      </c>
      <c r="AC603" s="73"/>
      <c r="AD603" s="73"/>
      <c r="AE603" s="68"/>
      <c r="AF603" s="67"/>
      <c r="AG603" s="73" t="s">
        <v>69</v>
      </c>
      <c r="AH603" s="73"/>
      <c r="AI603" s="68"/>
      <c r="AJ603" s="67" t="s">
        <v>69</v>
      </c>
      <c r="AK603" s="73"/>
      <c r="AL603" s="73"/>
      <c r="AM603" s="68"/>
      <c r="AN603" s="67">
        <f t="shared" si="583"/>
        <v>77</v>
      </c>
      <c r="AO603" s="68" t="str">
        <f t="shared" si="584"/>
        <v>A</v>
      </c>
      <c r="AR603" s="49">
        <f t="shared" si="549"/>
        <v>1</v>
      </c>
      <c r="AS603" s="49">
        <f t="shared" si="550"/>
        <v>0</v>
      </c>
      <c r="AT603" s="49">
        <f t="shared" si="551"/>
        <v>0</v>
      </c>
      <c r="AU603" s="49">
        <f t="shared" si="552"/>
        <v>0</v>
      </c>
      <c r="AV603" s="49">
        <f t="shared" si="553"/>
        <v>0</v>
      </c>
      <c r="AW603" s="49">
        <f t="shared" si="554"/>
        <v>1</v>
      </c>
      <c r="AX603" s="49">
        <f t="shared" si="555"/>
        <v>0</v>
      </c>
      <c r="AY603" s="49">
        <f t="shared" si="556"/>
        <v>0</v>
      </c>
      <c r="AZ603" s="49">
        <f t="shared" si="557"/>
        <v>0</v>
      </c>
      <c r="BA603" s="49">
        <f t="shared" si="558"/>
        <v>1</v>
      </c>
      <c r="BB603" s="49">
        <f t="shared" si="559"/>
        <v>0</v>
      </c>
      <c r="BC603" s="49">
        <f t="shared" si="560"/>
        <v>0</v>
      </c>
      <c r="BD603" s="49">
        <f t="shared" si="561"/>
        <v>0</v>
      </c>
      <c r="BE603" s="49">
        <f t="shared" si="562"/>
        <v>0</v>
      </c>
      <c r="BF603" s="49">
        <f t="shared" si="563"/>
        <v>1</v>
      </c>
      <c r="BG603" s="49">
        <f t="shared" si="564"/>
        <v>0</v>
      </c>
      <c r="BH603" s="49">
        <f t="shared" si="565"/>
        <v>0</v>
      </c>
      <c r="BI603" s="49">
        <f t="shared" si="566"/>
        <v>1</v>
      </c>
      <c r="BJ603" s="49">
        <f t="shared" si="567"/>
        <v>0</v>
      </c>
      <c r="BK603" s="49">
        <f t="shared" si="568"/>
        <v>0</v>
      </c>
      <c r="BL603" s="49">
        <f t="shared" si="569"/>
        <v>1</v>
      </c>
      <c r="BM603" s="49">
        <f t="shared" si="570"/>
        <v>0</v>
      </c>
      <c r="BN603" s="49">
        <f t="shared" si="571"/>
        <v>0</v>
      </c>
      <c r="BO603" s="49">
        <f t="shared" si="572"/>
        <v>0</v>
      </c>
      <c r="BP603" s="49">
        <f t="shared" si="573"/>
        <v>0</v>
      </c>
      <c r="BQ603" s="49">
        <f t="shared" si="574"/>
        <v>1</v>
      </c>
      <c r="BR603" s="49">
        <f t="shared" si="575"/>
        <v>0</v>
      </c>
      <c r="BS603" s="49">
        <f t="shared" si="576"/>
        <v>0</v>
      </c>
      <c r="BT603" s="49">
        <f t="shared" si="577"/>
        <v>1</v>
      </c>
      <c r="BU603" s="49">
        <f t="shared" si="578"/>
        <v>0</v>
      </c>
      <c r="BV603" s="49">
        <f t="shared" si="579"/>
        <v>0</v>
      </c>
      <c r="BW603" s="49">
        <f t="shared" si="580"/>
        <v>0</v>
      </c>
    </row>
    <row r="604" spans="1:75" ht="35.1" customHeight="1" x14ac:dyDescent="0.3">
      <c r="A604" s="123" t="str">
        <f t="shared" si="581"/>
        <v>5팀</v>
      </c>
      <c r="B604" s="69">
        <f t="shared" si="582"/>
        <v>598</v>
      </c>
      <c r="C604" s="121" t="str">
        <f>IF(VLOOKUP($B604,'1. 현장별 인원현황'!$C:$J,2,0)=0,"",VLOOKUP($B604,'1. 현장별 인원현황'!$C:$J,2,0))</f>
        <v xml:space="preserve"> [5.한국교직원공제회] The-K 제주호텔 리모델링 공사</v>
      </c>
      <c r="D604" s="74" t="str">
        <f>IF(VLOOKUP($B604,'1. 현장별 인원현황'!$C:$J,3,0)=0,"",VLOOKUP($B604,'1. 현장별 인원현황'!$C:$J,3,0))</f>
        <v>윤성모</v>
      </c>
      <c r="E604" s="74" t="str">
        <f ca="1">IF(VLOOKUP($B604,'1. 현장별 인원현황'!$C:$J,4,0)=0,"",VLOOKUP($B604,'1. 현장별 인원현황'!$C:$J,4,0))</f>
        <v>49세</v>
      </c>
      <c r="F604" s="70" t="str">
        <f>IF(VLOOKUP($B604,'1. 현장별 인원현황'!$C:$J,7,0)=0,"",VLOOKUP($B604,'1. 현장별 인원현황'!$C:$J,7,0))</f>
        <v>기능공</v>
      </c>
      <c r="G604" s="72" t="str">
        <f>IF(VLOOKUP($B604,'1. 현장별 인원현황'!$C:$J,8,0)=0,"",VLOOKUP($B604,'1. 현장별 인원현황'!$C:$J,8,0))</f>
        <v>전공</v>
      </c>
      <c r="H604" s="67" t="s">
        <v>69</v>
      </c>
      <c r="I604" s="73"/>
      <c r="J604" s="73"/>
      <c r="K604" s="68"/>
      <c r="L604" s="67"/>
      <c r="M604" s="73" t="s">
        <v>69</v>
      </c>
      <c r="N604" s="73"/>
      <c r="O604" s="68"/>
      <c r="P604" s="67"/>
      <c r="Q604" s="73" t="s">
        <v>69</v>
      </c>
      <c r="R604" s="73"/>
      <c r="S604" s="68"/>
      <c r="T604" s="67"/>
      <c r="U604" s="73"/>
      <c r="V604" s="73" t="s">
        <v>69</v>
      </c>
      <c r="W604" s="68"/>
      <c r="X604" s="67"/>
      <c r="Y604" s="73" t="s">
        <v>69</v>
      </c>
      <c r="Z604" s="73"/>
      <c r="AA604" s="68"/>
      <c r="AB604" s="67" t="s">
        <v>69</v>
      </c>
      <c r="AC604" s="73"/>
      <c r="AD604" s="73"/>
      <c r="AE604" s="68"/>
      <c r="AF604" s="67"/>
      <c r="AG604" s="73" t="s">
        <v>69</v>
      </c>
      <c r="AH604" s="73"/>
      <c r="AI604" s="68"/>
      <c r="AJ604" s="67" t="s">
        <v>69</v>
      </c>
      <c r="AK604" s="73"/>
      <c r="AL604" s="73"/>
      <c r="AM604" s="68"/>
      <c r="AN604" s="67">
        <f t="shared" si="583"/>
        <v>77</v>
      </c>
      <c r="AO604" s="68" t="str">
        <f t="shared" si="584"/>
        <v>A</v>
      </c>
      <c r="AR604" s="49">
        <f t="shared" si="549"/>
        <v>1</v>
      </c>
      <c r="AS604" s="49">
        <f t="shared" si="550"/>
        <v>0</v>
      </c>
      <c r="AT604" s="49">
        <f t="shared" si="551"/>
        <v>0</v>
      </c>
      <c r="AU604" s="49">
        <f t="shared" si="552"/>
        <v>0</v>
      </c>
      <c r="AV604" s="49">
        <f t="shared" si="553"/>
        <v>0</v>
      </c>
      <c r="AW604" s="49">
        <f t="shared" si="554"/>
        <v>1</v>
      </c>
      <c r="AX604" s="49">
        <f t="shared" si="555"/>
        <v>0</v>
      </c>
      <c r="AY604" s="49">
        <f t="shared" si="556"/>
        <v>0</v>
      </c>
      <c r="AZ604" s="49">
        <f t="shared" si="557"/>
        <v>0</v>
      </c>
      <c r="BA604" s="49">
        <f t="shared" si="558"/>
        <v>1</v>
      </c>
      <c r="BB604" s="49">
        <f t="shared" si="559"/>
        <v>0</v>
      </c>
      <c r="BC604" s="49">
        <f t="shared" si="560"/>
        <v>0</v>
      </c>
      <c r="BD604" s="49">
        <f t="shared" si="561"/>
        <v>0</v>
      </c>
      <c r="BE604" s="49">
        <f t="shared" si="562"/>
        <v>0</v>
      </c>
      <c r="BF604" s="49">
        <f t="shared" si="563"/>
        <v>1</v>
      </c>
      <c r="BG604" s="49">
        <f t="shared" si="564"/>
        <v>0</v>
      </c>
      <c r="BH604" s="49">
        <f t="shared" si="565"/>
        <v>0</v>
      </c>
      <c r="BI604" s="49">
        <f t="shared" si="566"/>
        <v>1</v>
      </c>
      <c r="BJ604" s="49">
        <f t="shared" si="567"/>
        <v>0</v>
      </c>
      <c r="BK604" s="49">
        <f t="shared" si="568"/>
        <v>0</v>
      </c>
      <c r="BL604" s="49">
        <f t="shared" si="569"/>
        <v>1</v>
      </c>
      <c r="BM604" s="49">
        <f t="shared" si="570"/>
        <v>0</v>
      </c>
      <c r="BN604" s="49">
        <f t="shared" si="571"/>
        <v>0</v>
      </c>
      <c r="BO604" s="49">
        <f t="shared" si="572"/>
        <v>0</v>
      </c>
      <c r="BP604" s="49">
        <f t="shared" si="573"/>
        <v>0</v>
      </c>
      <c r="BQ604" s="49">
        <f t="shared" si="574"/>
        <v>1</v>
      </c>
      <c r="BR604" s="49">
        <f t="shared" si="575"/>
        <v>0</v>
      </c>
      <c r="BS604" s="49">
        <f t="shared" si="576"/>
        <v>0</v>
      </c>
      <c r="BT604" s="49">
        <f t="shared" si="577"/>
        <v>1</v>
      </c>
      <c r="BU604" s="49">
        <f t="shared" si="578"/>
        <v>0</v>
      </c>
      <c r="BV604" s="49">
        <f t="shared" si="579"/>
        <v>0</v>
      </c>
      <c r="BW604" s="49">
        <f t="shared" si="580"/>
        <v>0</v>
      </c>
    </row>
    <row r="605" spans="1:75" ht="35.1" customHeight="1" x14ac:dyDescent="0.3">
      <c r="A605" s="123" t="str">
        <f t="shared" si="581"/>
        <v>5팀</v>
      </c>
      <c r="B605" s="69">
        <f t="shared" si="582"/>
        <v>599</v>
      </c>
      <c r="C605" s="121" t="str">
        <f>IF(VLOOKUP($B605,'1. 현장별 인원현황'!$C:$J,2,0)=0,"",VLOOKUP($B605,'1. 현장별 인원현황'!$C:$J,2,0))</f>
        <v xml:space="preserve"> [5.한국교직원공제회] The-K 제주호텔 리모델링 공사</v>
      </c>
      <c r="D605" s="74" t="str">
        <f>IF(VLOOKUP($B605,'1. 현장별 인원현황'!$C:$J,3,0)=0,"",VLOOKUP($B605,'1. 현장별 인원현황'!$C:$J,3,0))</f>
        <v>김상혁</v>
      </c>
      <c r="E605" s="74" t="str">
        <f ca="1">IF(VLOOKUP($B605,'1. 현장별 인원현황'!$C:$J,4,0)=0,"",VLOOKUP($B605,'1. 현장별 인원현황'!$C:$J,4,0))</f>
        <v>37세</v>
      </c>
      <c r="F605" s="70" t="str">
        <f>IF(VLOOKUP($B605,'1. 현장별 인원현황'!$C:$J,7,0)=0,"",VLOOKUP($B605,'1. 현장별 인원현황'!$C:$J,7,0))</f>
        <v>기능공</v>
      </c>
      <c r="G605" s="72" t="str">
        <f>IF(VLOOKUP($B605,'1. 현장별 인원현황'!$C:$J,8,0)=0,"",VLOOKUP($B605,'1. 현장별 인원현황'!$C:$J,8,0))</f>
        <v>전공</v>
      </c>
      <c r="H605" s="67" t="s">
        <v>69</v>
      </c>
      <c r="I605" s="73"/>
      <c r="J605" s="73"/>
      <c r="K605" s="68"/>
      <c r="L605" s="67"/>
      <c r="M605" s="73" t="s">
        <v>69</v>
      </c>
      <c r="N605" s="73"/>
      <c r="O605" s="68"/>
      <c r="P605" s="67"/>
      <c r="Q605" s="73" t="s">
        <v>69</v>
      </c>
      <c r="R605" s="73"/>
      <c r="S605" s="68"/>
      <c r="T605" s="67"/>
      <c r="U605" s="73"/>
      <c r="V605" s="73" t="s">
        <v>69</v>
      </c>
      <c r="W605" s="68"/>
      <c r="X605" s="67"/>
      <c r="Y605" s="73" t="s">
        <v>69</v>
      </c>
      <c r="Z605" s="73"/>
      <c r="AA605" s="68"/>
      <c r="AB605" s="67" t="s">
        <v>69</v>
      </c>
      <c r="AC605" s="73"/>
      <c r="AD605" s="73"/>
      <c r="AE605" s="68"/>
      <c r="AF605" s="67"/>
      <c r="AG605" s="73" t="s">
        <v>69</v>
      </c>
      <c r="AH605" s="73"/>
      <c r="AI605" s="68"/>
      <c r="AJ605" s="67" t="s">
        <v>69</v>
      </c>
      <c r="AK605" s="73"/>
      <c r="AL605" s="73"/>
      <c r="AM605" s="68"/>
      <c r="AN605" s="67">
        <f t="shared" si="583"/>
        <v>77</v>
      </c>
      <c r="AO605" s="68" t="str">
        <f t="shared" si="584"/>
        <v>A</v>
      </c>
      <c r="AR605" s="49">
        <f t="shared" si="549"/>
        <v>1</v>
      </c>
      <c r="AS605" s="49">
        <f t="shared" si="550"/>
        <v>0</v>
      </c>
      <c r="AT605" s="49">
        <f t="shared" si="551"/>
        <v>0</v>
      </c>
      <c r="AU605" s="49">
        <f t="shared" si="552"/>
        <v>0</v>
      </c>
      <c r="AV605" s="49">
        <f t="shared" si="553"/>
        <v>0</v>
      </c>
      <c r="AW605" s="49">
        <f t="shared" si="554"/>
        <v>1</v>
      </c>
      <c r="AX605" s="49">
        <f t="shared" si="555"/>
        <v>0</v>
      </c>
      <c r="AY605" s="49">
        <f t="shared" si="556"/>
        <v>0</v>
      </c>
      <c r="AZ605" s="49">
        <f t="shared" si="557"/>
        <v>0</v>
      </c>
      <c r="BA605" s="49">
        <f t="shared" si="558"/>
        <v>1</v>
      </c>
      <c r="BB605" s="49">
        <f t="shared" si="559"/>
        <v>0</v>
      </c>
      <c r="BC605" s="49">
        <f t="shared" si="560"/>
        <v>0</v>
      </c>
      <c r="BD605" s="49">
        <f t="shared" si="561"/>
        <v>0</v>
      </c>
      <c r="BE605" s="49">
        <f t="shared" si="562"/>
        <v>0</v>
      </c>
      <c r="BF605" s="49">
        <f t="shared" si="563"/>
        <v>1</v>
      </c>
      <c r="BG605" s="49">
        <f t="shared" si="564"/>
        <v>0</v>
      </c>
      <c r="BH605" s="49">
        <f t="shared" si="565"/>
        <v>0</v>
      </c>
      <c r="BI605" s="49">
        <f t="shared" si="566"/>
        <v>1</v>
      </c>
      <c r="BJ605" s="49">
        <f t="shared" si="567"/>
        <v>0</v>
      </c>
      <c r="BK605" s="49">
        <f t="shared" si="568"/>
        <v>0</v>
      </c>
      <c r="BL605" s="49">
        <f t="shared" si="569"/>
        <v>1</v>
      </c>
      <c r="BM605" s="49">
        <f t="shared" si="570"/>
        <v>0</v>
      </c>
      <c r="BN605" s="49">
        <f t="shared" si="571"/>
        <v>0</v>
      </c>
      <c r="BO605" s="49">
        <f t="shared" si="572"/>
        <v>0</v>
      </c>
      <c r="BP605" s="49">
        <f t="shared" si="573"/>
        <v>0</v>
      </c>
      <c r="BQ605" s="49">
        <f t="shared" si="574"/>
        <v>1</v>
      </c>
      <c r="BR605" s="49">
        <f t="shared" si="575"/>
        <v>0</v>
      </c>
      <c r="BS605" s="49">
        <f t="shared" si="576"/>
        <v>0</v>
      </c>
      <c r="BT605" s="49">
        <f t="shared" si="577"/>
        <v>1</v>
      </c>
      <c r="BU605" s="49">
        <f t="shared" si="578"/>
        <v>0</v>
      </c>
      <c r="BV605" s="49">
        <f t="shared" si="579"/>
        <v>0</v>
      </c>
      <c r="BW605" s="49">
        <f t="shared" si="580"/>
        <v>0</v>
      </c>
    </row>
    <row r="606" spans="1:75" ht="35.1" customHeight="1" x14ac:dyDescent="0.3">
      <c r="A606" s="123" t="str">
        <f t="shared" si="581"/>
        <v>5팀</v>
      </c>
      <c r="B606" s="69">
        <f t="shared" si="582"/>
        <v>600</v>
      </c>
      <c r="C606" s="121" t="str">
        <f>IF(VLOOKUP($B606,'1. 현장별 인원현황'!$C:$J,2,0)=0,"",VLOOKUP($B606,'1. 현장별 인원현황'!$C:$J,2,0))</f>
        <v xml:space="preserve"> [5.한국교직원공제회] The-K 제주호텔 리모델링 공사</v>
      </c>
      <c r="D606" s="74" t="str">
        <f>IF(VLOOKUP($B606,'1. 현장별 인원현황'!$C:$J,3,0)=0,"",VLOOKUP($B606,'1. 현장별 인원현황'!$C:$J,3,0))</f>
        <v>신학민</v>
      </c>
      <c r="E606" s="74" t="str">
        <f ca="1">IF(VLOOKUP($B606,'1. 현장별 인원현황'!$C:$J,4,0)=0,"",VLOOKUP($B606,'1. 현장별 인원현황'!$C:$J,4,0))</f>
        <v>47세</v>
      </c>
      <c r="F606" s="70" t="str">
        <f>IF(VLOOKUP($B606,'1. 현장별 인원현황'!$C:$J,7,0)=0,"",VLOOKUP($B606,'1. 현장별 인원현황'!$C:$J,7,0))</f>
        <v>기능공</v>
      </c>
      <c r="G606" s="72" t="str">
        <f>IF(VLOOKUP($B606,'1. 현장별 인원현황'!$C:$J,8,0)=0,"",VLOOKUP($B606,'1. 현장별 인원현황'!$C:$J,8,0))</f>
        <v>전공</v>
      </c>
      <c r="H606" s="67" t="s">
        <v>69</v>
      </c>
      <c r="I606" s="73"/>
      <c r="J606" s="73"/>
      <c r="K606" s="68"/>
      <c r="L606" s="67"/>
      <c r="M606" s="73" t="s">
        <v>69</v>
      </c>
      <c r="N606" s="73"/>
      <c r="O606" s="68"/>
      <c r="P606" s="67"/>
      <c r="Q606" s="73" t="s">
        <v>69</v>
      </c>
      <c r="R606" s="73"/>
      <c r="S606" s="68"/>
      <c r="T606" s="67" t="s">
        <v>69</v>
      </c>
      <c r="U606" s="73"/>
      <c r="V606" s="73"/>
      <c r="W606" s="68"/>
      <c r="X606" s="67" t="s">
        <v>69</v>
      </c>
      <c r="Y606" s="73"/>
      <c r="Z606" s="73"/>
      <c r="AA606" s="68"/>
      <c r="AB606" s="67" t="s">
        <v>69</v>
      </c>
      <c r="AC606" s="73"/>
      <c r="AD606" s="73"/>
      <c r="AE606" s="68"/>
      <c r="AF606" s="67"/>
      <c r="AG606" s="73" t="s">
        <v>69</v>
      </c>
      <c r="AH606" s="73"/>
      <c r="AI606" s="68"/>
      <c r="AJ606" s="67" t="s">
        <v>69</v>
      </c>
      <c r="AK606" s="73"/>
      <c r="AL606" s="73"/>
      <c r="AM606" s="68"/>
      <c r="AN606" s="67">
        <f t="shared" si="583"/>
        <v>89</v>
      </c>
      <c r="AO606" s="68" t="str">
        <f t="shared" si="584"/>
        <v>S</v>
      </c>
      <c r="AR606" s="49">
        <f t="shared" si="549"/>
        <v>1</v>
      </c>
      <c r="AS606" s="49">
        <f t="shared" si="550"/>
        <v>0</v>
      </c>
      <c r="AT606" s="49">
        <f t="shared" si="551"/>
        <v>0</v>
      </c>
      <c r="AU606" s="49">
        <f t="shared" si="552"/>
        <v>0</v>
      </c>
      <c r="AV606" s="49">
        <f t="shared" si="553"/>
        <v>0</v>
      </c>
      <c r="AW606" s="49">
        <f t="shared" si="554"/>
        <v>1</v>
      </c>
      <c r="AX606" s="49">
        <f t="shared" si="555"/>
        <v>0</v>
      </c>
      <c r="AY606" s="49">
        <f t="shared" si="556"/>
        <v>0</v>
      </c>
      <c r="AZ606" s="49">
        <f t="shared" si="557"/>
        <v>0</v>
      </c>
      <c r="BA606" s="49">
        <f t="shared" si="558"/>
        <v>1</v>
      </c>
      <c r="BB606" s="49">
        <f t="shared" si="559"/>
        <v>0</v>
      </c>
      <c r="BC606" s="49">
        <f t="shared" si="560"/>
        <v>0</v>
      </c>
      <c r="BD606" s="49">
        <f t="shared" si="561"/>
        <v>1</v>
      </c>
      <c r="BE606" s="49">
        <f t="shared" si="562"/>
        <v>0</v>
      </c>
      <c r="BF606" s="49">
        <f t="shared" si="563"/>
        <v>0</v>
      </c>
      <c r="BG606" s="49">
        <f t="shared" si="564"/>
        <v>0</v>
      </c>
      <c r="BH606" s="49">
        <f t="shared" si="565"/>
        <v>1</v>
      </c>
      <c r="BI606" s="49">
        <f t="shared" si="566"/>
        <v>0</v>
      </c>
      <c r="BJ606" s="49">
        <f t="shared" si="567"/>
        <v>0</v>
      </c>
      <c r="BK606" s="49">
        <f t="shared" si="568"/>
        <v>0</v>
      </c>
      <c r="BL606" s="49">
        <f t="shared" si="569"/>
        <v>1</v>
      </c>
      <c r="BM606" s="49">
        <f t="shared" si="570"/>
        <v>0</v>
      </c>
      <c r="BN606" s="49">
        <f t="shared" si="571"/>
        <v>0</v>
      </c>
      <c r="BO606" s="49">
        <f t="shared" si="572"/>
        <v>0</v>
      </c>
      <c r="BP606" s="49">
        <f t="shared" si="573"/>
        <v>0</v>
      </c>
      <c r="BQ606" s="49">
        <f t="shared" si="574"/>
        <v>1</v>
      </c>
      <c r="BR606" s="49">
        <f t="shared" si="575"/>
        <v>0</v>
      </c>
      <c r="BS606" s="49">
        <f t="shared" si="576"/>
        <v>0</v>
      </c>
      <c r="BT606" s="49">
        <f t="shared" si="577"/>
        <v>1</v>
      </c>
      <c r="BU606" s="49">
        <f t="shared" si="578"/>
        <v>0</v>
      </c>
      <c r="BV606" s="49">
        <f t="shared" si="579"/>
        <v>0</v>
      </c>
      <c r="BW606" s="49">
        <f t="shared" si="580"/>
        <v>0</v>
      </c>
    </row>
    <row r="607" spans="1:75" ht="35.1" customHeight="1" x14ac:dyDescent="0.3">
      <c r="A607" s="123" t="str">
        <f t="shared" si="581"/>
        <v>5팀</v>
      </c>
      <c r="B607" s="69">
        <f t="shared" si="582"/>
        <v>601</v>
      </c>
      <c r="C607" s="121" t="str">
        <f>IF(VLOOKUP($B607,'1. 현장별 인원현황'!$C:$J,2,0)=0,"",VLOOKUP($B607,'1. 현장별 인원현황'!$C:$J,2,0))</f>
        <v xml:space="preserve"> [5.한국교직원공제회] The-K 제주호텔 리모델링 공사</v>
      </c>
      <c r="D607" s="74" t="str">
        <f>IF(VLOOKUP($B607,'1. 현장별 인원현황'!$C:$J,3,0)=0,"",VLOOKUP($B607,'1. 현장별 인원현황'!$C:$J,3,0))</f>
        <v>장범진</v>
      </c>
      <c r="E607" s="74" t="str">
        <f ca="1">IF(VLOOKUP($B607,'1. 현장별 인원현황'!$C:$J,4,0)=0,"",VLOOKUP($B607,'1. 현장별 인원현황'!$C:$J,4,0))</f>
        <v>34세</v>
      </c>
      <c r="F607" s="70" t="str">
        <f>IF(VLOOKUP($B607,'1. 현장별 인원현황'!$C:$J,7,0)=0,"",VLOOKUP($B607,'1. 현장별 인원현황'!$C:$J,7,0))</f>
        <v>기능공</v>
      </c>
      <c r="G607" s="72" t="str">
        <f>IF(VLOOKUP($B607,'1. 현장별 인원현황'!$C:$J,8,0)=0,"",VLOOKUP($B607,'1. 현장별 인원현황'!$C:$J,8,0))</f>
        <v>전공</v>
      </c>
      <c r="H607" s="67" t="s">
        <v>69</v>
      </c>
      <c r="I607" s="73"/>
      <c r="J607" s="73"/>
      <c r="K607" s="68"/>
      <c r="L607" s="67"/>
      <c r="M607" s="73" t="s">
        <v>69</v>
      </c>
      <c r="N607" s="73"/>
      <c r="O607" s="68"/>
      <c r="P607" s="67"/>
      <c r="Q607" s="73" t="s">
        <v>69</v>
      </c>
      <c r="R607" s="73"/>
      <c r="S607" s="68"/>
      <c r="T607" s="67"/>
      <c r="U607" s="73"/>
      <c r="V607" s="73" t="s">
        <v>69</v>
      </c>
      <c r="W607" s="68"/>
      <c r="X607" s="67" t="s">
        <v>69</v>
      </c>
      <c r="Y607" s="73"/>
      <c r="Z607" s="73"/>
      <c r="AA607" s="68"/>
      <c r="AB607" s="67" t="s">
        <v>69</v>
      </c>
      <c r="AC607" s="73"/>
      <c r="AD607" s="73"/>
      <c r="AE607" s="68"/>
      <c r="AF607" s="67"/>
      <c r="AG607" s="73" t="s">
        <v>69</v>
      </c>
      <c r="AH607" s="73"/>
      <c r="AI607" s="68"/>
      <c r="AJ607" s="67" t="s">
        <v>69</v>
      </c>
      <c r="AK607" s="73"/>
      <c r="AL607" s="73"/>
      <c r="AM607" s="68"/>
      <c r="AN607" s="67">
        <f t="shared" si="583"/>
        <v>81</v>
      </c>
      <c r="AO607" s="68" t="str">
        <f t="shared" si="584"/>
        <v>A</v>
      </c>
      <c r="AR607" s="49">
        <f t="shared" si="549"/>
        <v>1</v>
      </c>
      <c r="AS607" s="49">
        <f t="shared" si="550"/>
        <v>0</v>
      </c>
      <c r="AT607" s="49">
        <f t="shared" si="551"/>
        <v>0</v>
      </c>
      <c r="AU607" s="49">
        <f t="shared" si="552"/>
        <v>0</v>
      </c>
      <c r="AV607" s="49">
        <f t="shared" si="553"/>
        <v>0</v>
      </c>
      <c r="AW607" s="49">
        <f t="shared" si="554"/>
        <v>1</v>
      </c>
      <c r="AX607" s="49">
        <f t="shared" si="555"/>
        <v>0</v>
      </c>
      <c r="AY607" s="49">
        <f t="shared" si="556"/>
        <v>0</v>
      </c>
      <c r="AZ607" s="49">
        <f t="shared" si="557"/>
        <v>0</v>
      </c>
      <c r="BA607" s="49">
        <f t="shared" si="558"/>
        <v>1</v>
      </c>
      <c r="BB607" s="49">
        <f t="shared" si="559"/>
        <v>0</v>
      </c>
      <c r="BC607" s="49">
        <f t="shared" si="560"/>
        <v>0</v>
      </c>
      <c r="BD607" s="49">
        <f t="shared" si="561"/>
        <v>0</v>
      </c>
      <c r="BE607" s="49">
        <f t="shared" si="562"/>
        <v>0</v>
      </c>
      <c r="BF607" s="49">
        <f t="shared" si="563"/>
        <v>1</v>
      </c>
      <c r="BG607" s="49">
        <f t="shared" si="564"/>
        <v>0</v>
      </c>
      <c r="BH607" s="49">
        <f t="shared" si="565"/>
        <v>1</v>
      </c>
      <c r="BI607" s="49">
        <f t="shared" si="566"/>
        <v>0</v>
      </c>
      <c r="BJ607" s="49">
        <f t="shared" si="567"/>
        <v>0</v>
      </c>
      <c r="BK607" s="49">
        <f t="shared" si="568"/>
        <v>0</v>
      </c>
      <c r="BL607" s="49">
        <f t="shared" si="569"/>
        <v>1</v>
      </c>
      <c r="BM607" s="49">
        <f t="shared" si="570"/>
        <v>0</v>
      </c>
      <c r="BN607" s="49">
        <f t="shared" si="571"/>
        <v>0</v>
      </c>
      <c r="BO607" s="49">
        <f t="shared" si="572"/>
        <v>0</v>
      </c>
      <c r="BP607" s="49">
        <f t="shared" si="573"/>
        <v>0</v>
      </c>
      <c r="BQ607" s="49">
        <f t="shared" si="574"/>
        <v>1</v>
      </c>
      <c r="BR607" s="49">
        <f t="shared" si="575"/>
        <v>0</v>
      </c>
      <c r="BS607" s="49">
        <f t="shared" si="576"/>
        <v>0</v>
      </c>
      <c r="BT607" s="49">
        <f t="shared" si="577"/>
        <v>1</v>
      </c>
      <c r="BU607" s="49">
        <f t="shared" si="578"/>
        <v>0</v>
      </c>
      <c r="BV607" s="49">
        <f t="shared" si="579"/>
        <v>0</v>
      </c>
      <c r="BW607" s="49">
        <f t="shared" si="580"/>
        <v>0</v>
      </c>
    </row>
    <row r="608" spans="1:75" ht="35.1" customHeight="1" x14ac:dyDescent="0.3">
      <c r="A608" s="123" t="str">
        <f t="shared" si="581"/>
        <v>6팀</v>
      </c>
      <c r="B608" s="69">
        <f t="shared" si="582"/>
        <v>602</v>
      </c>
      <c r="C608" s="121" t="str">
        <f>IF(VLOOKUP($B608,'1. 현장별 인원현황'!$C:$J,2,0)=0,"",VLOOKUP($B608,'1. 현장별 인원현황'!$C:$J,2,0))</f>
        <v xml:space="preserve"> [6.현대엔지니어링] AutoLand 화성 기아 LW 프로젝트 일반전기공사(도장)</v>
      </c>
      <c r="D608" s="74" t="str">
        <f>IF(VLOOKUP($B608,'1. 현장별 인원현황'!$C:$J,3,0)=0,"",VLOOKUP($B608,'1. 현장별 인원현황'!$C:$J,3,0))</f>
        <v>장경식</v>
      </c>
      <c r="E608" s="74" t="str">
        <f ca="1">IF(VLOOKUP($B608,'1. 현장별 인원현황'!$C:$J,4,0)=0,"",VLOOKUP($B608,'1. 현장별 인원현황'!$C:$J,4,0))</f>
        <v>62세</v>
      </c>
      <c r="F608" s="70" t="str">
        <f>IF(VLOOKUP($B608,'1. 현장별 인원현황'!$C:$J,7,0)=0,"",VLOOKUP($B608,'1. 현장별 인원현황'!$C:$J,7,0))</f>
        <v>공무</v>
      </c>
      <c r="G608" s="72" t="str">
        <f>IF(VLOOKUP($B608,'1. 현장별 인원현황'!$C:$J,8,0)=0,"",VLOOKUP($B608,'1. 현장별 인원현황'!$C:$J,8,0))</f>
        <v>부장</v>
      </c>
      <c r="H608" s="67"/>
      <c r="I608" s="73"/>
      <c r="J608" s="73" t="s">
        <v>69</v>
      </c>
      <c r="K608" s="68"/>
      <c r="L608" s="67"/>
      <c r="M608" s="73" t="s">
        <v>3435</v>
      </c>
      <c r="N608" s="73"/>
      <c r="O608" s="68"/>
      <c r="P608" s="67"/>
      <c r="Q608" s="73" t="s">
        <v>3435</v>
      </c>
      <c r="R608" s="73"/>
      <c r="S608" s="68"/>
      <c r="T608" s="67"/>
      <c r="U608" s="73" t="s">
        <v>3435</v>
      </c>
      <c r="V608" s="73"/>
      <c r="W608" s="68"/>
      <c r="X608" s="67" t="s">
        <v>3435</v>
      </c>
      <c r="Y608" s="73"/>
      <c r="Z608" s="73"/>
      <c r="AA608" s="68"/>
      <c r="AB608" s="67" t="s">
        <v>3435</v>
      </c>
      <c r="AC608" s="73"/>
      <c r="AD608" s="73"/>
      <c r="AE608" s="68"/>
      <c r="AF608" s="67"/>
      <c r="AG608" s="73" t="s">
        <v>69</v>
      </c>
      <c r="AH608" s="73"/>
      <c r="AI608" s="68"/>
      <c r="AJ608" s="67" t="s">
        <v>3435</v>
      </c>
      <c r="AK608" s="73"/>
      <c r="AL608" s="73"/>
      <c r="AM608" s="68"/>
      <c r="AN608" s="67">
        <f t="shared" si="583"/>
        <v>77</v>
      </c>
      <c r="AO608" s="68" t="str">
        <f t="shared" si="584"/>
        <v>A</v>
      </c>
      <c r="AR608" s="49">
        <f t="shared" si="549"/>
        <v>0</v>
      </c>
      <c r="AS608" s="49">
        <f t="shared" si="550"/>
        <v>0</v>
      </c>
      <c r="AT608" s="49">
        <f t="shared" si="551"/>
        <v>1</v>
      </c>
      <c r="AU608" s="49">
        <f t="shared" si="552"/>
        <v>0</v>
      </c>
      <c r="AV608" s="49">
        <f t="shared" si="553"/>
        <v>0</v>
      </c>
      <c r="AW608" s="49">
        <f t="shared" si="554"/>
        <v>1</v>
      </c>
      <c r="AX608" s="49">
        <f t="shared" si="555"/>
        <v>0</v>
      </c>
      <c r="AY608" s="49">
        <f t="shared" si="556"/>
        <v>0</v>
      </c>
      <c r="AZ608" s="49">
        <f t="shared" si="557"/>
        <v>0</v>
      </c>
      <c r="BA608" s="49">
        <f t="shared" si="558"/>
        <v>1</v>
      </c>
      <c r="BB608" s="49">
        <f t="shared" si="559"/>
        <v>0</v>
      </c>
      <c r="BC608" s="49">
        <f t="shared" si="560"/>
        <v>0</v>
      </c>
      <c r="BD608" s="49">
        <f t="shared" si="561"/>
        <v>0</v>
      </c>
      <c r="BE608" s="49">
        <f t="shared" si="562"/>
        <v>1</v>
      </c>
      <c r="BF608" s="49">
        <f t="shared" si="563"/>
        <v>0</v>
      </c>
      <c r="BG608" s="49">
        <f t="shared" si="564"/>
        <v>0</v>
      </c>
      <c r="BH608" s="49">
        <f t="shared" si="565"/>
        <v>1</v>
      </c>
      <c r="BI608" s="49">
        <f t="shared" si="566"/>
        <v>0</v>
      </c>
      <c r="BJ608" s="49">
        <f t="shared" si="567"/>
        <v>0</v>
      </c>
      <c r="BK608" s="49">
        <f t="shared" si="568"/>
        <v>0</v>
      </c>
      <c r="BL608" s="49">
        <f t="shared" si="569"/>
        <v>1</v>
      </c>
      <c r="BM608" s="49">
        <f t="shared" si="570"/>
        <v>0</v>
      </c>
      <c r="BN608" s="49">
        <f t="shared" si="571"/>
        <v>0</v>
      </c>
      <c r="BO608" s="49">
        <f t="shared" si="572"/>
        <v>0</v>
      </c>
      <c r="BP608" s="49">
        <f t="shared" si="573"/>
        <v>0</v>
      </c>
      <c r="BQ608" s="49">
        <f t="shared" si="574"/>
        <v>1</v>
      </c>
      <c r="BR608" s="49">
        <f t="shared" si="575"/>
        <v>0</v>
      </c>
      <c r="BS608" s="49">
        <f t="shared" si="576"/>
        <v>0</v>
      </c>
      <c r="BT608" s="49">
        <f t="shared" si="577"/>
        <v>1</v>
      </c>
      <c r="BU608" s="49">
        <f t="shared" si="578"/>
        <v>0</v>
      </c>
      <c r="BV608" s="49">
        <f t="shared" si="579"/>
        <v>0</v>
      </c>
      <c r="BW608" s="49">
        <f t="shared" si="580"/>
        <v>0</v>
      </c>
    </row>
    <row r="609" spans="1:75" ht="35.1" customHeight="1" x14ac:dyDescent="0.3">
      <c r="A609" s="123" t="str">
        <f t="shared" si="581"/>
        <v>6팀</v>
      </c>
      <c r="B609" s="69">
        <f t="shared" si="582"/>
        <v>603</v>
      </c>
      <c r="C609" s="121" t="str">
        <f>IF(VLOOKUP($B609,'1. 현장별 인원현황'!$C:$J,2,0)=0,"",VLOOKUP($B609,'1. 현장별 인원현황'!$C:$J,2,0))</f>
        <v xml:space="preserve"> [6.현대엔지니어링] AutoLand 화성 기아 LW 프로젝트 일반전기공사(도장)</v>
      </c>
      <c r="D609" s="74" t="str">
        <f>IF(VLOOKUP($B609,'1. 현장별 인원현황'!$C:$J,3,0)=0,"",VLOOKUP($B609,'1. 현장별 인원현황'!$C:$J,3,0))</f>
        <v>은춘기</v>
      </c>
      <c r="E609" s="74" t="str">
        <f ca="1">IF(VLOOKUP($B609,'1. 현장별 인원현황'!$C:$J,4,0)=0,"",VLOOKUP($B609,'1. 현장별 인원현황'!$C:$J,4,0))</f>
        <v>63세</v>
      </c>
      <c r="F609" s="70" t="str">
        <f>IF(VLOOKUP($B609,'1. 현장별 인원현황'!$C:$J,7,0)=0,"",VLOOKUP($B609,'1. 현장별 인원현황'!$C:$J,7,0))</f>
        <v>공사</v>
      </c>
      <c r="G609" s="72" t="str">
        <f>IF(VLOOKUP($B609,'1. 현장별 인원현황'!$C:$J,8,0)=0,"",VLOOKUP($B609,'1. 현장별 인원현황'!$C:$J,8,0))</f>
        <v>차장</v>
      </c>
      <c r="H609" s="67" t="s">
        <v>69</v>
      </c>
      <c r="I609" s="73"/>
      <c r="J609" s="73"/>
      <c r="K609" s="68"/>
      <c r="L609" s="67"/>
      <c r="M609" s="73"/>
      <c r="N609" s="73" t="s">
        <v>69</v>
      </c>
      <c r="O609" s="68"/>
      <c r="P609" s="67"/>
      <c r="Q609" s="73" t="s">
        <v>69</v>
      </c>
      <c r="R609" s="73"/>
      <c r="S609" s="68"/>
      <c r="T609" s="67"/>
      <c r="U609" s="73" t="s">
        <v>3435</v>
      </c>
      <c r="V609" s="73"/>
      <c r="W609" s="68"/>
      <c r="X609" s="67" t="s">
        <v>3435</v>
      </c>
      <c r="Y609" s="73"/>
      <c r="Z609" s="73"/>
      <c r="AA609" s="68"/>
      <c r="AB609" s="67" t="s">
        <v>3435</v>
      </c>
      <c r="AC609" s="73"/>
      <c r="AD609" s="73"/>
      <c r="AE609" s="68"/>
      <c r="AF609" s="67"/>
      <c r="AG609" s="73" t="s">
        <v>3435</v>
      </c>
      <c r="AH609" s="73"/>
      <c r="AI609" s="68"/>
      <c r="AJ609" s="67"/>
      <c r="AK609" s="73"/>
      <c r="AL609" s="73" t="s">
        <v>69</v>
      </c>
      <c r="AM609" s="68"/>
      <c r="AN609" s="67">
        <f t="shared" si="583"/>
        <v>75</v>
      </c>
      <c r="AO609" s="68" t="str">
        <f t="shared" si="584"/>
        <v>A</v>
      </c>
      <c r="AR609" s="49">
        <f t="shared" si="549"/>
        <v>1</v>
      </c>
      <c r="AS609" s="49">
        <f t="shared" si="550"/>
        <v>0</v>
      </c>
      <c r="AT609" s="49">
        <f t="shared" si="551"/>
        <v>0</v>
      </c>
      <c r="AU609" s="49">
        <f t="shared" si="552"/>
        <v>0</v>
      </c>
      <c r="AV609" s="49">
        <f t="shared" si="553"/>
        <v>0</v>
      </c>
      <c r="AW609" s="49">
        <f t="shared" si="554"/>
        <v>0</v>
      </c>
      <c r="AX609" s="49">
        <f t="shared" si="555"/>
        <v>1</v>
      </c>
      <c r="AY609" s="49">
        <f t="shared" si="556"/>
        <v>0</v>
      </c>
      <c r="AZ609" s="49">
        <f t="shared" si="557"/>
        <v>0</v>
      </c>
      <c r="BA609" s="49">
        <f t="shared" si="558"/>
        <v>1</v>
      </c>
      <c r="BB609" s="49">
        <f t="shared" si="559"/>
        <v>0</v>
      </c>
      <c r="BC609" s="49">
        <f t="shared" si="560"/>
        <v>0</v>
      </c>
      <c r="BD609" s="49">
        <f t="shared" si="561"/>
        <v>0</v>
      </c>
      <c r="BE609" s="49">
        <f t="shared" si="562"/>
        <v>1</v>
      </c>
      <c r="BF609" s="49">
        <f t="shared" si="563"/>
        <v>0</v>
      </c>
      <c r="BG609" s="49">
        <f t="shared" si="564"/>
        <v>0</v>
      </c>
      <c r="BH609" s="49">
        <f t="shared" si="565"/>
        <v>1</v>
      </c>
      <c r="BI609" s="49">
        <f t="shared" si="566"/>
        <v>0</v>
      </c>
      <c r="BJ609" s="49">
        <f t="shared" si="567"/>
        <v>0</v>
      </c>
      <c r="BK609" s="49">
        <f t="shared" si="568"/>
        <v>0</v>
      </c>
      <c r="BL609" s="49">
        <f t="shared" si="569"/>
        <v>1</v>
      </c>
      <c r="BM609" s="49">
        <f t="shared" si="570"/>
        <v>0</v>
      </c>
      <c r="BN609" s="49">
        <f t="shared" si="571"/>
        <v>0</v>
      </c>
      <c r="BO609" s="49">
        <f t="shared" si="572"/>
        <v>0</v>
      </c>
      <c r="BP609" s="49">
        <f t="shared" si="573"/>
        <v>0</v>
      </c>
      <c r="BQ609" s="49">
        <f t="shared" si="574"/>
        <v>1</v>
      </c>
      <c r="BR609" s="49">
        <f t="shared" si="575"/>
        <v>0</v>
      </c>
      <c r="BS609" s="49">
        <f t="shared" si="576"/>
        <v>0</v>
      </c>
      <c r="BT609" s="49">
        <f t="shared" si="577"/>
        <v>0</v>
      </c>
      <c r="BU609" s="49">
        <f t="shared" si="578"/>
        <v>0</v>
      </c>
      <c r="BV609" s="49">
        <f t="shared" si="579"/>
        <v>1</v>
      </c>
      <c r="BW609" s="49">
        <f t="shared" si="580"/>
        <v>0</v>
      </c>
    </row>
    <row r="610" spans="1:75" ht="35.1" customHeight="1" x14ac:dyDescent="0.3">
      <c r="A610" s="123" t="str">
        <f t="shared" si="581"/>
        <v>6팀</v>
      </c>
      <c r="B610" s="69">
        <f t="shared" si="582"/>
        <v>604</v>
      </c>
      <c r="C610" s="121" t="str">
        <f>IF(VLOOKUP($B610,'1. 현장별 인원현황'!$C:$J,2,0)=0,"",VLOOKUP($B610,'1. 현장별 인원현황'!$C:$J,2,0))</f>
        <v xml:space="preserve"> [6.현대엔지니어링] AutoLand 화성 기아 LW 프로젝트 일반전기공사(도장)</v>
      </c>
      <c r="D610" s="74" t="str">
        <f>IF(VLOOKUP($B610,'1. 현장별 인원현황'!$C:$J,3,0)=0,"",VLOOKUP($B610,'1. 현장별 인원현황'!$C:$J,3,0))</f>
        <v>송광필</v>
      </c>
      <c r="E610" s="74" t="str">
        <f ca="1">IF(VLOOKUP($B610,'1. 현장별 인원현황'!$C:$J,4,0)=0,"",VLOOKUP($B610,'1. 현장별 인원현황'!$C:$J,4,0))</f>
        <v>51세</v>
      </c>
      <c r="F610" s="70" t="str">
        <f>IF(VLOOKUP($B610,'1. 현장별 인원현황'!$C:$J,7,0)=0,"",VLOOKUP($B610,'1. 현장별 인원현황'!$C:$J,7,0))</f>
        <v>공사</v>
      </c>
      <c r="G610" s="72" t="str">
        <f>IF(VLOOKUP($B610,'1. 현장별 인원현황'!$C:$J,8,0)=0,"",VLOOKUP($B610,'1. 현장별 인원현황'!$C:$J,8,0))</f>
        <v>차장</v>
      </c>
      <c r="H610" s="67"/>
      <c r="I610" s="73" t="s">
        <v>69</v>
      </c>
      <c r="J610" s="73"/>
      <c r="K610" s="68"/>
      <c r="L610" s="67"/>
      <c r="M610" s="73"/>
      <c r="N610" s="73" t="s">
        <v>69</v>
      </c>
      <c r="O610" s="68"/>
      <c r="P610" s="67"/>
      <c r="Q610" s="73" t="s">
        <v>69</v>
      </c>
      <c r="R610" s="73"/>
      <c r="S610" s="68"/>
      <c r="T610" s="67"/>
      <c r="U610" s="73"/>
      <c r="V610" s="73" t="s">
        <v>69</v>
      </c>
      <c r="W610" s="68"/>
      <c r="X610" s="67" t="s">
        <v>3435</v>
      </c>
      <c r="Y610" s="73"/>
      <c r="Z610" s="73"/>
      <c r="AA610" s="68"/>
      <c r="AB610" s="67" t="s">
        <v>3435</v>
      </c>
      <c r="AC610" s="73"/>
      <c r="AD610" s="73"/>
      <c r="AE610" s="68"/>
      <c r="AF610" s="67"/>
      <c r="AG610" s="73" t="s">
        <v>69</v>
      </c>
      <c r="AH610" s="73"/>
      <c r="AI610" s="68"/>
      <c r="AJ610" s="67" t="s">
        <v>3435</v>
      </c>
      <c r="AK610" s="73"/>
      <c r="AL610" s="73"/>
      <c r="AM610" s="68"/>
      <c r="AN610" s="67">
        <f t="shared" si="583"/>
        <v>73</v>
      </c>
      <c r="AO610" s="68" t="str">
        <f t="shared" si="584"/>
        <v>A</v>
      </c>
      <c r="AR610" s="49">
        <f t="shared" si="549"/>
        <v>0</v>
      </c>
      <c r="AS610" s="49">
        <f t="shared" si="550"/>
        <v>1</v>
      </c>
      <c r="AT610" s="49">
        <f t="shared" si="551"/>
        <v>0</v>
      </c>
      <c r="AU610" s="49">
        <f t="shared" si="552"/>
        <v>0</v>
      </c>
      <c r="AV610" s="49">
        <f t="shared" si="553"/>
        <v>0</v>
      </c>
      <c r="AW610" s="49">
        <f t="shared" si="554"/>
        <v>0</v>
      </c>
      <c r="AX610" s="49">
        <f t="shared" si="555"/>
        <v>1</v>
      </c>
      <c r="AY610" s="49">
        <f t="shared" si="556"/>
        <v>0</v>
      </c>
      <c r="AZ610" s="49">
        <f t="shared" si="557"/>
        <v>0</v>
      </c>
      <c r="BA610" s="49">
        <f t="shared" si="558"/>
        <v>1</v>
      </c>
      <c r="BB610" s="49">
        <f t="shared" si="559"/>
        <v>0</v>
      </c>
      <c r="BC610" s="49">
        <f t="shared" si="560"/>
        <v>0</v>
      </c>
      <c r="BD610" s="49">
        <f t="shared" si="561"/>
        <v>0</v>
      </c>
      <c r="BE610" s="49">
        <f t="shared" si="562"/>
        <v>0</v>
      </c>
      <c r="BF610" s="49">
        <f t="shared" si="563"/>
        <v>1</v>
      </c>
      <c r="BG610" s="49">
        <f t="shared" si="564"/>
        <v>0</v>
      </c>
      <c r="BH610" s="49">
        <f t="shared" si="565"/>
        <v>1</v>
      </c>
      <c r="BI610" s="49">
        <f t="shared" si="566"/>
        <v>0</v>
      </c>
      <c r="BJ610" s="49">
        <f t="shared" si="567"/>
        <v>0</v>
      </c>
      <c r="BK610" s="49">
        <f t="shared" si="568"/>
        <v>0</v>
      </c>
      <c r="BL610" s="49">
        <f t="shared" si="569"/>
        <v>1</v>
      </c>
      <c r="BM610" s="49">
        <f t="shared" si="570"/>
        <v>0</v>
      </c>
      <c r="BN610" s="49">
        <f t="shared" si="571"/>
        <v>0</v>
      </c>
      <c r="BO610" s="49">
        <f t="shared" si="572"/>
        <v>0</v>
      </c>
      <c r="BP610" s="49">
        <f t="shared" si="573"/>
        <v>0</v>
      </c>
      <c r="BQ610" s="49">
        <f t="shared" si="574"/>
        <v>1</v>
      </c>
      <c r="BR610" s="49">
        <f t="shared" si="575"/>
        <v>0</v>
      </c>
      <c r="BS610" s="49">
        <f t="shared" si="576"/>
        <v>0</v>
      </c>
      <c r="BT610" s="49">
        <f t="shared" si="577"/>
        <v>1</v>
      </c>
      <c r="BU610" s="49">
        <f t="shared" si="578"/>
        <v>0</v>
      </c>
      <c r="BV610" s="49">
        <f t="shared" si="579"/>
        <v>0</v>
      </c>
      <c r="BW610" s="49">
        <f t="shared" si="580"/>
        <v>0</v>
      </c>
    </row>
    <row r="611" spans="1:75" ht="35.1" customHeight="1" x14ac:dyDescent="0.3">
      <c r="A611" s="123" t="str">
        <f t="shared" si="581"/>
        <v>6팀</v>
      </c>
      <c r="B611" s="136">
        <f t="shared" si="582"/>
        <v>605</v>
      </c>
      <c r="C611" s="139" t="str">
        <f>IF(VLOOKUP($B611,'1. 현장별 인원현황'!$C:$J,2,0)=0,"",VLOOKUP($B611,'1. 현장별 인원현황'!$C:$J,2,0))</f>
        <v xml:space="preserve"> [6.현대엔지니어링] AutoLand 화성 기아 LW 프로젝트 일반전기공사(도장)</v>
      </c>
      <c r="D611" s="140" t="str">
        <f>IF(VLOOKUP($B611,'1. 현장별 인원현황'!$C:$J,3,0)=0,"",VLOOKUP($B611,'1. 현장별 인원현황'!$C:$J,3,0))</f>
        <v>권혁기</v>
      </c>
      <c r="E611" s="140" t="str">
        <f ca="1">IF(VLOOKUP($B611,'1. 현장별 인원현황'!$C:$J,4,0)=0,"",VLOOKUP($B611,'1. 현장별 인원현황'!$C:$J,4,0))</f>
        <v>46세</v>
      </c>
      <c r="F611" s="137" t="str">
        <f>IF(VLOOKUP($B611,'1. 현장별 인원현황'!$C:$J,7,0)=0,"",VLOOKUP($B611,'1. 현장별 인원현황'!$C:$J,7,0))</f>
        <v>안전관리자</v>
      </c>
      <c r="G611" s="138" t="str">
        <f>IF(VLOOKUP($B611,'1. 현장별 인원현황'!$C:$J,8,0)=0,"",VLOOKUP($B611,'1. 현장별 인원현황'!$C:$J,8,0))</f>
        <v>차장</v>
      </c>
      <c r="H611" s="136"/>
      <c r="I611" s="137"/>
      <c r="J611" s="137" t="s">
        <v>69</v>
      </c>
      <c r="K611" s="138"/>
      <c r="L611" s="136"/>
      <c r="M611" s="137" t="s">
        <v>69</v>
      </c>
      <c r="N611" s="137"/>
      <c r="O611" s="138"/>
      <c r="P611" s="136"/>
      <c r="Q611" s="137" t="s">
        <v>69</v>
      </c>
      <c r="R611" s="137"/>
      <c r="S611" s="138"/>
      <c r="T611" s="136"/>
      <c r="U611" s="137" t="s">
        <v>69</v>
      </c>
      <c r="V611" s="137"/>
      <c r="W611" s="138"/>
      <c r="X611" s="136"/>
      <c r="Y611" s="137"/>
      <c r="Z611" s="137" t="s">
        <v>69</v>
      </c>
      <c r="AA611" s="138"/>
      <c r="AB611" s="136"/>
      <c r="AC611" s="137" t="s">
        <v>69</v>
      </c>
      <c r="AD611" s="137"/>
      <c r="AE611" s="138"/>
      <c r="AF611" s="136"/>
      <c r="AG611" s="137" t="s">
        <v>69</v>
      </c>
      <c r="AH611" s="137"/>
      <c r="AI611" s="138"/>
      <c r="AJ611" s="136"/>
      <c r="AK611" s="137"/>
      <c r="AL611" s="137" t="s">
        <v>69</v>
      </c>
      <c r="AM611" s="138"/>
      <c r="AN611" s="136">
        <f t="shared" si="583"/>
        <v>61</v>
      </c>
      <c r="AO611" s="138" t="str">
        <f t="shared" si="584"/>
        <v>B</v>
      </c>
      <c r="AR611" s="49">
        <f t="shared" si="549"/>
        <v>0</v>
      </c>
      <c r="AS611" s="49">
        <f t="shared" si="550"/>
        <v>0</v>
      </c>
      <c r="AT611" s="49">
        <f t="shared" si="551"/>
        <v>1</v>
      </c>
      <c r="AU611" s="49">
        <f t="shared" si="552"/>
        <v>0</v>
      </c>
      <c r="AV611" s="49">
        <f t="shared" si="553"/>
        <v>0</v>
      </c>
      <c r="AW611" s="49">
        <f t="shared" si="554"/>
        <v>1</v>
      </c>
      <c r="AX611" s="49">
        <f t="shared" si="555"/>
        <v>0</v>
      </c>
      <c r="AY611" s="49">
        <f t="shared" si="556"/>
        <v>0</v>
      </c>
      <c r="AZ611" s="49">
        <f t="shared" si="557"/>
        <v>0</v>
      </c>
      <c r="BA611" s="49">
        <f t="shared" si="558"/>
        <v>1</v>
      </c>
      <c r="BB611" s="49">
        <f t="shared" si="559"/>
        <v>0</v>
      </c>
      <c r="BC611" s="49">
        <f t="shared" si="560"/>
        <v>0</v>
      </c>
      <c r="BD611" s="49">
        <f t="shared" si="561"/>
        <v>0</v>
      </c>
      <c r="BE611" s="49">
        <f t="shared" si="562"/>
        <v>1</v>
      </c>
      <c r="BF611" s="49">
        <f t="shared" si="563"/>
        <v>0</v>
      </c>
      <c r="BG611" s="49">
        <f t="shared" si="564"/>
        <v>0</v>
      </c>
      <c r="BH611" s="49">
        <f t="shared" si="565"/>
        <v>0</v>
      </c>
      <c r="BI611" s="49">
        <f t="shared" si="566"/>
        <v>0</v>
      </c>
      <c r="BJ611" s="49">
        <f t="shared" si="567"/>
        <v>1</v>
      </c>
      <c r="BK611" s="49">
        <f t="shared" si="568"/>
        <v>0</v>
      </c>
      <c r="BL611" s="49">
        <f t="shared" si="569"/>
        <v>0</v>
      </c>
      <c r="BM611" s="49">
        <f t="shared" si="570"/>
        <v>1</v>
      </c>
      <c r="BN611" s="49">
        <f t="shared" si="571"/>
        <v>0</v>
      </c>
      <c r="BO611" s="49">
        <f t="shared" si="572"/>
        <v>0</v>
      </c>
      <c r="BP611" s="49">
        <f t="shared" si="573"/>
        <v>0</v>
      </c>
      <c r="BQ611" s="49">
        <f t="shared" si="574"/>
        <v>1</v>
      </c>
      <c r="BR611" s="49">
        <f t="shared" si="575"/>
        <v>0</v>
      </c>
      <c r="BS611" s="49">
        <f t="shared" si="576"/>
        <v>0</v>
      </c>
      <c r="BT611" s="49">
        <f t="shared" si="577"/>
        <v>0</v>
      </c>
      <c r="BU611" s="49">
        <f t="shared" si="578"/>
        <v>0</v>
      </c>
      <c r="BV611" s="49">
        <f t="shared" si="579"/>
        <v>1</v>
      </c>
      <c r="BW611" s="49">
        <f t="shared" si="580"/>
        <v>0</v>
      </c>
    </row>
    <row r="612" spans="1:75" ht="35.1" customHeight="1" x14ac:dyDescent="0.3">
      <c r="A612" s="123" t="str">
        <f t="shared" si="581"/>
        <v>6팀</v>
      </c>
      <c r="B612" s="136">
        <f t="shared" si="582"/>
        <v>606</v>
      </c>
      <c r="C612" s="139" t="str">
        <f>IF(VLOOKUP($B612,'1. 현장별 인원현황'!$C:$J,2,0)=0,"",VLOOKUP($B612,'1. 현장별 인원현황'!$C:$J,2,0))</f>
        <v xml:space="preserve"> [6.현대엔지니어링] AutoLand 화성 기아 LW 프로젝트 일반전기공사(도장)</v>
      </c>
      <c r="D612" s="140" t="str">
        <f>IF(VLOOKUP($B612,'1. 현장별 인원현황'!$C:$J,3,0)=0,"",VLOOKUP($B612,'1. 현장별 인원현황'!$C:$J,3,0))</f>
        <v>김영현</v>
      </c>
      <c r="E612" s="140" t="str">
        <f ca="1">IF(VLOOKUP($B612,'1. 현장별 인원현황'!$C:$J,4,0)=0,"",VLOOKUP($B612,'1. 현장별 인원현황'!$C:$J,4,0))</f>
        <v>32세</v>
      </c>
      <c r="F612" s="137" t="str">
        <f>IF(VLOOKUP($B612,'1. 현장별 인원현황'!$C:$J,7,0)=0,"",VLOOKUP($B612,'1. 현장별 인원현황'!$C:$J,7,0))</f>
        <v>공무</v>
      </c>
      <c r="G612" s="138" t="str">
        <f>IF(VLOOKUP($B612,'1. 현장별 인원현황'!$C:$J,8,0)=0,"",VLOOKUP($B612,'1. 현장별 인원현황'!$C:$J,8,0))</f>
        <v>대리</v>
      </c>
      <c r="H612" s="136"/>
      <c r="I612" s="137"/>
      <c r="J612" s="137" t="s">
        <v>69</v>
      </c>
      <c r="K612" s="138"/>
      <c r="L612" s="136"/>
      <c r="M612" s="137"/>
      <c r="N612" s="137" t="s">
        <v>69</v>
      </c>
      <c r="O612" s="138"/>
      <c r="P612" s="136"/>
      <c r="Q612" s="137"/>
      <c r="R612" s="137" t="s">
        <v>69</v>
      </c>
      <c r="S612" s="138"/>
      <c r="T612" s="136"/>
      <c r="U612" s="137" t="s">
        <v>69</v>
      </c>
      <c r="V612" s="137"/>
      <c r="W612" s="138"/>
      <c r="X612" s="136"/>
      <c r="Y612" s="137"/>
      <c r="Z612" s="137" t="s">
        <v>69</v>
      </c>
      <c r="AA612" s="138"/>
      <c r="AB612" s="136" t="s">
        <v>69</v>
      </c>
      <c r="AC612" s="137"/>
      <c r="AD612" s="137"/>
      <c r="AE612" s="138"/>
      <c r="AF612" s="136"/>
      <c r="AG612" s="137" t="s">
        <v>69</v>
      </c>
      <c r="AH612" s="137"/>
      <c r="AI612" s="138"/>
      <c r="AJ612" s="136"/>
      <c r="AK612" s="137" t="s">
        <v>69</v>
      </c>
      <c r="AL612" s="137"/>
      <c r="AM612" s="138"/>
      <c r="AN612" s="136">
        <f t="shared" si="583"/>
        <v>58</v>
      </c>
      <c r="AO612" s="138" t="str">
        <f t="shared" si="584"/>
        <v>B</v>
      </c>
      <c r="AR612" s="49">
        <f t="shared" si="549"/>
        <v>0</v>
      </c>
      <c r="AS612" s="49">
        <f t="shared" si="550"/>
        <v>0</v>
      </c>
      <c r="AT612" s="49">
        <f t="shared" si="551"/>
        <v>1</v>
      </c>
      <c r="AU612" s="49">
        <f t="shared" si="552"/>
        <v>0</v>
      </c>
      <c r="AV612" s="49">
        <f t="shared" si="553"/>
        <v>0</v>
      </c>
      <c r="AW612" s="49">
        <f t="shared" si="554"/>
        <v>0</v>
      </c>
      <c r="AX612" s="49">
        <f t="shared" si="555"/>
        <v>1</v>
      </c>
      <c r="AY612" s="49">
        <f t="shared" si="556"/>
        <v>0</v>
      </c>
      <c r="AZ612" s="49">
        <f t="shared" si="557"/>
        <v>0</v>
      </c>
      <c r="BA612" s="49">
        <f t="shared" si="558"/>
        <v>0</v>
      </c>
      <c r="BB612" s="49">
        <f t="shared" si="559"/>
        <v>1</v>
      </c>
      <c r="BC612" s="49">
        <f t="shared" si="560"/>
        <v>0</v>
      </c>
      <c r="BD612" s="49">
        <f t="shared" si="561"/>
        <v>0</v>
      </c>
      <c r="BE612" s="49">
        <f t="shared" si="562"/>
        <v>1</v>
      </c>
      <c r="BF612" s="49">
        <f t="shared" si="563"/>
        <v>0</v>
      </c>
      <c r="BG612" s="49">
        <f t="shared" si="564"/>
        <v>0</v>
      </c>
      <c r="BH612" s="49">
        <f t="shared" si="565"/>
        <v>0</v>
      </c>
      <c r="BI612" s="49">
        <f t="shared" si="566"/>
        <v>0</v>
      </c>
      <c r="BJ612" s="49">
        <f t="shared" si="567"/>
        <v>1</v>
      </c>
      <c r="BK612" s="49">
        <f t="shared" si="568"/>
        <v>0</v>
      </c>
      <c r="BL612" s="49">
        <f t="shared" si="569"/>
        <v>1</v>
      </c>
      <c r="BM612" s="49">
        <f t="shared" si="570"/>
        <v>0</v>
      </c>
      <c r="BN612" s="49">
        <f t="shared" si="571"/>
        <v>0</v>
      </c>
      <c r="BO612" s="49">
        <f t="shared" si="572"/>
        <v>0</v>
      </c>
      <c r="BP612" s="49">
        <f t="shared" si="573"/>
        <v>0</v>
      </c>
      <c r="BQ612" s="49">
        <f t="shared" si="574"/>
        <v>1</v>
      </c>
      <c r="BR612" s="49">
        <f t="shared" si="575"/>
        <v>0</v>
      </c>
      <c r="BS612" s="49">
        <f t="shared" si="576"/>
        <v>0</v>
      </c>
      <c r="BT612" s="49">
        <f t="shared" si="577"/>
        <v>0</v>
      </c>
      <c r="BU612" s="49">
        <f t="shared" si="578"/>
        <v>1</v>
      </c>
      <c r="BV612" s="49">
        <f t="shared" si="579"/>
        <v>0</v>
      </c>
      <c r="BW612" s="49">
        <f t="shared" si="580"/>
        <v>0</v>
      </c>
    </row>
    <row r="613" spans="1:75" ht="35.1" customHeight="1" x14ac:dyDescent="0.3">
      <c r="A613" s="123" t="str">
        <f t="shared" si="581"/>
        <v>6팀</v>
      </c>
      <c r="B613" s="69">
        <f t="shared" si="582"/>
        <v>607</v>
      </c>
      <c r="C613" s="121" t="str">
        <f>IF(VLOOKUP($B613,'1. 현장별 인원현황'!$C:$J,2,0)=0,"",VLOOKUP($B613,'1. 현장별 인원현황'!$C:$J,2,0))</f>
        <v xml:space="preserve"> [6.현대엔지니어링] AutoLand 화성 기아 LW 프로젝트 일반전기공사(도장)</v>
      </c>
      <c r="D613" s="74" t="str">
        <f>IF(VLOOKUP($B613,'1. 현장별 인원현황'!$C:$J,3,0)=0,"",VLOOKUP($B613,'1. 현장별 인원현황'!$C:$J,3,0))</f>
        <v>정은국</v>
      </c>
      <c r="E613" s="74" t="str">
        <f ca="1">IF(VLOOKUP($B613,'1. 현장별 인원현황'!$C:$J,4,0)=0,"",VLOOKUP($B613,'1. 현장별 인원현황'!$C:$J,4,0))</f>
        <v>41세</v>
      </c>
      <c r="F613" s="70" t="str">
        <f>IF(VLOOKUP($B613,'1. 현장별 인원현황'!$C:$J,7,0)=0,"",VLOOKUP($B613,'1. 현장별 인원현황'!$C:$J,7,0))</f>
        <v>기능공</v>
      </c>
      <c r="G613" s="72" t="str">
        <f>IF(VLOOKUP($B613,'1. 현장별 인원현황'!$C:$J,8,0)=0,"",VLOOKUP($B613,'1. 현장별 인원현황'!$C:$J,8,0))</f>
        <v>전공</v>
      </c>
      <c r="H613" s="67"/>
      <c r="I613" s="73" t="s">
        <v>69</v>
      </c>
      <c r="J613" s="73"/>
      <c r="K613" s="68"/>
      <c r="L613" s="67"/>
      <c r="M613" s="73" t="s">
        <v>69</v>
      </c>
      <c r="N613" s="73"/>
      <c r="O613" s="68"/>
      <c r="P613" s="67"/>
      <c r="Q613" s="73" t="s">
        <v>69</v>
      </c>
      <c r="R613" s="73"/>
      <c r="S613" s="68"/>
      <c r="T613" s="67"/>
      <c r="U613" s="73"/>
      <c r="V613" s="73" t="s">
        <v>69</v>
      </c>
      <c r="W613" s="68"/>
      <c r="X613" s="67"/>
      <c r="Y613" s="73" t="s">
        <v>69</v>
      </c>
      <c r="Z613" s="73"/>
      <c r="AA613" s="68"/>
      <c r="AB613" s="67"/>
      <c r="AC613" s="73"/>
      <c r="AD613" s="73" t="s">
        <v>69</v>
      </c>
      <c r="AE613" s="68"/>
      <c r="AF613" s="67" t="s">
        <v>69</v>
      </c>
      <c r="AG613" s="73"/>
      <c r="AH613" s="73"/>
      <c r="AI613" s="68"/>
      <c r="AJ613" s="67" t="s">
        <v>69</v>
      </c>
      <c r="AK613" s="73"/>
      <c r="AL613" s="73"/>
      <c r="AM613" s="68"/>
      <c r="AN613" s="67">
        <f t="shared" si="583"/>
        <v>73</v>
      </c>
      <c r="AO613" s="68" t="str">
        <f t="shared" si="584"/>
        <v>A</v>
      </c>
      <c r="AR613" s="49">
        <f t="shared" si="549"/>
        <v>0</v>
      </c>
      <c r="AS613" s="49">
        <f t="shared" si="550"/>
        <v>1</v>
      </c>
      <c r="AT613" s="49">
        <f t="shared" si="551"/>
        <v>0</v>
      </c>
      <c r="AU613" s="49">
        <f t="shared" si="552"/>
        <v>0</v>
      </c>
      <c r="AV613" s="49">
        <f t="shared" si="553"/>
        <v>0</v>
      </c>
      <c r="AW613" s="49">
        <f t="shared" si="554"/>
        <v>1</v>
      </c>
      <c r="AX613" s="49">
        <f t="shared" si="555"/>
        <v>0</v>
      </c>
      <c r="AY613" s="49">
        <f t="shared" si="556"/>
        <v>0</v>
      </c>
      <c r="AZ613" s="49">
        <f t="shared" si="557"/>
        <v>0</v>
      </c>
      <c r="BA613" s="49">
        <f t="shared" si="558"/>
        <v>1</v>
      </c>
      <c r="BB613" s="49">
        <f t="shared" si="559"/>
        <v>0</v>
      </c>
      <c r="BC613" s="49">
        <f t="shared" si="560"/>
        <v>0</v>
      </c>
      <c r="BD613" s="49">
        <f t="shared" si="561"/>
        <v>0</v>
      </c>
      <c r="BE613" s="49">
        <f t="shared" si="562"/>
        <v>0</v>
      </c>
      <c r="BF613" s="49">
        <f t="shared" si="563"/>
        <v>1</v>
      </c>
      <c r="BG613" s="49">
        <f t="shared" si="564"/>
        <v>0</v>
      </c>
      <c r="BH613" s="49">
        <f t="shared" si="565"/>
        <v>0</v>
      </c>
      <c r="BI613" s="49">
        <f t="shared" si="566"/>
        <v>1</v>
      </c>
      <c r="BJ613" s="49">
        <f t="shared" si="567"/>
        <v>0</v>
      </c>
      <c r="BK613" s="49">
        <f t="shared" si="568"/>
        <v>0</v>
      </c>
      <c r="BL613" s="49">
        <f t="shared" si="569"/>
        <v>0</v>
      </c>
      <c r="BM613" s="49">
        <f t="shared" si="570"/>
        <v>0</v>
      </c>
      <c r="BN613" s="49">
        <f t="shared" si="571"/>
        <v>1</v>
      </c>
      <c r="BO613" s="49">
        <f t="shared" si="572"/>
        <v>0</v>
      </c>
      <c r="BP613" s="49">
        <f t="shared" si="573"/>
        <v>1</v>
      </c>
      <c r="BQ613" s="49">
        <f t="shared" si="574"/>
        <v>0</v>
      </c>
      <c r="BR613" s="49">
        <f t="shared" si="575"/>
        <v>0</v>
      </c>
      <c r="BS613" s="49">
        <f t="shared" si="576"/>
        <v>0</v>
      </c>
      <c r="BT613" s="49">
        <f t="shared" si="577"/>
        <v>1</v>
      </c>
      <c r="BU613" s="49">
        <f t="shared" si="578"/>
        <v>0</v>
      </c>
      <c r="BV613" s="49">
        <f t="shared" si="579"/>
        <v>0</v>
      </c>
      <c r="BW613" s="49">
        <f t="shared" si="580"/>
        <v>0</v>
      </c>
    </row>
    <row r="614" spans="1:75" ht="35.1" customHeight="1" x14ac:dyDescent="0.3">
      <c r="A614" s="123" t="str">
        <f t="shared" si="581"/>
        <v>6팀</v>
      </c>
      <c r="B614" s="136">
        <f t="shared" si="582"/>
        <v>608</v>
      </c>
      <c r="C614" s="139" t="str">
        <f>IF(VLOOKUP($B614,'1. 현장별 인원현황'!$C:$J,2,0)=0,"",VLOOKUP($B614,'1. 현장별 인원현황'!$C:$J,2,0))</f>
        <v xml:space="preserve"> [6.현대엔지니어링] AutoLand 화성 기아 LW 프로젝트 일반전기공사(도장)</v>
      </c>
      <c r="D614" s="140" t="str">
        <f>IF(VLOOKUP($B614,'1. 현장별 인원현황'!$C:$J,3,0)=0,"",VLOOKUP($B614,'1. 현장별 인원현황'!$C:$J,3,0))</f>
        <v>박근식</v>
      </c>
      <c r="E614" s="140" t="str">
        <f ca="1">IF(VLOOKUP($B614,'1. 현장별 인원현황'!$C:$J,4,0)=0,"",VLOOKUP($B614,'1. 현장별 인원현황'!$C:$J,4,0))</f>
        <v>46세</v>
      </c>
      <c r="F614" s="137" t="str">
        <f>IF(VLOOKUP($B614,'1. 현장별 인원현황'!$C:$J,7,0)=0,"",VLOOKUP($B614,'1. 현장별 인원현황'!$C:$J,7,0))</f>
        <v>기능공</v>
      </c>
      <c r="G614" s="138" t="str">
        <f>IF(VLOOKUP($B614,'1. 현장별 인원현황'!$C:$J,8,0)=0,"",VLOOKUP($B614,'1. 현장별 인원현황'!$C:$J,8,0))</f>
        <v>전공</v>
      </c>
      <c r="H614" s="136"/>
      <c r="I614" s="137"/>
      <c r="J614" s="137" t="s">
        <v>69</v>
      </c>
      <c r="K614" s="138"/>
      <c r="L614" s="136"/>
      <c r="M614" s="137" t="s">
        <v>69</v>
      </c>
      <c r="N614" s="137"/>
      <c r="O614" s="138"/>
      <c r="P614" s="136"/>
      <c r="Q614" s="137"/>
      <c r="R614" s="137" t="s">
        <v>69</v>
      </c>
      <c r="S614" s="138"/>
      <c r="T614" s="136"/>
      <c r="U614" s="137" t="s">
        <v>69</v>
      </c>
      <c r="V614" s="137"/>
      <c r="W614" s="138"/>
      <c r="X614" s="136"/>
      <c r="Y614" s="137"/>
      <c r="Z614" s="137" t="s">
        <v>69</v>
      </c>
      <c r="AA614" s="138"/>
      <c r="AB614" s="136"/>
      <c r="AC614" s="137" t="s">
        <v>69</v>
      </c>
      <c r="AD614" s="137"/>
      <c r="AE614" s="138"/>
      <c r="AF614" s="136"/>
      <c r="AG614" s="137" t="s">
        <v>69</v>
      </c>
      <c r="AH614" s="137"/>
      <c r="AI614" s="138"/>
      <c r="AJ614" s="136"/>
      <c r="AK614" s="137" t="s">
        <v>69</v>
      </c>
      <c r="AL614" s="137"/>
      <c r="AM614" s="138"/>
      <c r="AN614" s="136">
        <f t="shared" si="583"/>
        <v>60</v>
      </c>
      <c r="AO614" s="138" t="str">
        <f t="shared" si="584"/>
        <v>B</v>
      </c>
      <c r="AR614" s="49">
        <f t="shared" si="549"/>
        <v>0</v>
      </c>
      <c r="AS614" s="49">
        <f t="shared" si="550"/>
        <v>0</v>
      </c>
      <c r="AT614" s="49">
        <f t="shared" si="551"/>
        <v>1</v>
      </c>
      <c r="AU614" s="49">
        <f t="shared" si="552"/>
        <v>0</v>
      </c>
      <c r="AV614" s="49">
        <f t="shared" si="553"/>
        <v>0</v>
      </c>
      <c r="AW614" s="49">
        <f t="shared" si="554"/>
        <v>1</v>
      </c>
      <c r="AX614" s="49">
        <f t="shared" si="555"/>
        <v>0</v>
      </c>
      <c r="AY614" s="49">
        <f t="shared" si="556"/>
        <v>0</v>
      </c>
      <c r="AZ614" s="49">
        <f t="shared" si="557"/>
        <v>0</v>
      </c>
      <c r="BA614" s="49">
        <f t="shared" si="558"/>
        <v>0</v>
      </c>
      <c r="BB614" s="49">
        <f t="shared" si="559"/>
        <v>1</v>
      </c>
      <c r="BC614" s="49">
        <f t="shared" si="560"/>
        <v>0</v>
      </c>
      <c r="BD614" s="49">
        <f t="shared" si="561"/>
        <v>0</v>
      </c>
      <c r="BE614" s="49">
        <f t="shared" si="562"/>
        <v>1</v>
      </c>
      <c r="BF614" s="49">
        <f t="shared" si="563"/>
        <v>0</v>
      </c>
      <c r="BG614" s="49">
        <f t="shared" si="564"/>
        <v>0</v>
      </c>
      <c r="BH614" s="49">
        <f t="shared" si="565"/>
        <v>0</v>
      </c>
      <c r="BI614" s="49">
        <f t="shared" si="566"/>
        <v>0</v>
      </c>
      <c r="BJ614" s="49">
        <f t="shared" si="567"/>
        <v>1</v>
      </c>
      <c r="BK614" s="49">
        <f t="shared" si="568"/>
        <v>0</v>
      </c>
      <c r="BL614" s="49">
        <f t="shared" si="569"/>
        <v>0</v>
      </c>
      <c r="BM614" s="49">
        <f t="shared" si="570"/>
        <v>1</v>
      </c>
      <c r="BN614" s="49">
        <f t="shared" si="571"/>
        <v>0</v>
      </c>
      <c r="BO614" s="49">
        <f t="shared" si="572"/>
        <v>0</v>
      </c>
      <c r="BP614" s="49">
        <f t="shared" si="573"/>
        <v>0</v>
      </c>
      <c r="BQ614" s="49">
        <f t="shared" si="574"/>
        <v>1</v>
      </c>
      <c r="BR614" s="49">
        <f t="shared" si="575"/>
        <v>0</v>
      </c>
      <c r="BS614" s="49">
        <f t="shared" si="576"/>
        <v>0</v>
      </c>
      <c r="BT614" s="49">
        <f t="shared" si="577"/>
        <v>0</v>
      </c>
      <c r="BU614" s="49">
        <f t="shared" si="578"/>
        <v>1</v>
      </c>
      <c r="BV614" s="49">
        <f t="shared" si="579"/>
        <v>0</v>
      </c>
      <c r="BW614" s="49">
        <f t="shared" si="580"/>
        <v>0</v>
      </c>
    </row>
    <row r="615" spans="1:75" ht="35.1" customHeight="1" x14ac:dyDescent="0.3">
      <c r="A615" s="123" t="str">
        <f t="shared" si="581"/>
        <v>6팀</v>
      </c>
      <c r="B615" s="136">
        <f t="shared" si="582"/>
        <v>609</v>
      </c>
      <c r="C615" s="139" t="str">
        <f>IF(VLOOKUP($B615,'1. 현장별 인원현황'!$C:$J,2,0)=0,"",VLOOKUP($B615,'1. 현장별 인원현황'!$C:$J,2,0))</f>
        <v xml:space="preserve"> [6.현대엔지니어링] AutoLand 화성 기아 LW 프로젝트 일반전기공사(도장)</v>
      </c>
      <c r="D615" s="140" t="str">
        <f>IF(VLOOKUP($B615,'1. 현장별 인원현황'!$C:$J,3,0)=0,"",VLOOKUP($B615,'1. 현장별 인원현황'!$C:$J,3,0))</f>
        <v>신준재</v>
      </c>
      <c r="E615" s="140" t="str">
        <f ca="1">IF(VLOOKUP($B615,'1. 현장별 인원현황'!$C:$J,4,0)=0,"",VLOOKUP($B615,'1. 현장별 인원현황'!$C:$J,4,0))</f>
        <v>40세</v>
      </c>
      <c r="F615" s="137" t="str">
        <f>IF(VLOOKUP($B615,'1. 현장별 인원현황'!$C:$J,7,0)=0,"",VLOOKUP($B615,'1. 현장별 인원현황'!$C:$J,7,0))</f>
        <v>기능공</v>
      </c>
      <c r="G615" s="138" t="str">
        <f>IF(VLOOKUP($B615,'1. 현장별 인원현황'!$C:$J,8,0)=0,"",VLOOKUP($B615,'1. 현장별 인원현황'!$C:$J,8,0))</f>
        <v>전공</v>
      </c>
      <c r="H615" s="136"/>
      <c r="I615" s="137" t="s">
        <v>69</v>
      </c>
      <c r="J615" s="137"/>
      <c r="K615" s="138"/>
      <c r="L615" s="136"/>
      <c r="M615" s="137"/>
      <c r="N615" s="137" t="s">
        <v>69</v>
      </c>
      <c r="O615" s="138"/>
      <c r="P615" s="136"/>
      <c r="Q615" s="137" t="s">
        <v>69</v>
      </c>
      <c r="R615" s="137"/>
      <c r="S615" s="138"/>
      <c r="T615" s="136"/>
      <c r="U615" s="137" t="s">
        <v>69</v>
      </c>
      <c r="V615" s="137"/>
      <c r="W615" s="138"/>
      <c r="X615" s="136"/>
      <c r="Y615" s="137" t="s">
        <v>69</v>
      </c>
      <c r="Z615" s="137"/>
      <c r="AA615" s="138"/>
      <c r="AB615" s="136"/>
      <c r="AC615" s="137" t="s">
        <v>69</v>
      </c>
      <c r="AD615" s="137"/>
      <c r="AE615" s="138"/>
      <c r="AF615" s="136"/>
      <c r="AG615" s="137"/>
      <c r="AH615" s="137" t="s">
        <v>69</v>
      </c>
      <c r="AI615" s="138"/>
      <c r="AJ615" s="136"/>
      <c r="AK615" s="137"/>
      <c r="AL615" s="137" t="s">
        <v>69</v>
      </c>
      <c r="AM615" s="138"/>
      <c r="AN615" s="136">
        <f t="shared" si="583"/>
        <v>62</v>
      </c>
      <c r="AO615" s="138" t="str">
        <f t="shared" si="584"/>
        <v>B</v>
      </c>
      <c r="AR615" s="49">
        <f t="shared" si="549"/>
        <v>0</v>
      </c>
      <c r="AS615" s="49">
        <f t="shared" si="550"/>
        <v>1</v>
      </c>
      <c r="AT615" s="49">
        <f t="shared" si="551"/>
        <v>0</v>
      </c>
      <c r="AU615" s="49">
        <f t="shared" si="552"/>
        <v>0</v>
      </c>
      <c r="AV615" s="49">
        <f t="shared" si="553"/>
        <v>0</v>
      </c>
      <c r="AW615" s="49">
        <f t="shared" si="554"/>
        <v>0</v>
      </c>
      <c r="AX615" s="49">
        <f t="shared" si="555"/>
        <v>1</v>
      </c>
      <c r="AY615" s="49">
        <f t="shared" si="556"/>
        <v>0</v>
      </c>
      <c r="AZ615" s="49">
        <f t="shared" si="557"/>
        <v>0</v>
      </c>
      <c r="BA615" s="49">
        <f t="shared" si="558"/>
        <v>1</v>
      </c>
      <c r="BB615" s="49">
        <f t="shared" si="559"/>
        <v>0</v>
      </c>
      <c r="BC615" s="49">
        <f t="shared" si="560"/>
        <v>0</v>
      </c>
      <c r="BD615" s="49">
        <f t="shared" si="561"/>
        <v>0</v>
      </c>
      <c r="BE615" s="49">
        <f t="shared" si="562"/>
        <v>1</v>
      </c>
      <c r="BF615" s="49">
        <f t="shared" si="563"/>
        <v>0</v>
      </c>
      <c r="BG615" s="49">
        <f t="shared" si="564"/>
        <v>0</v>
      </c>
      <c r="BH615" s="49">
        <f t="shared" si="565"/>
        <v>0</v>
      </c>
      <c r="BI615" s="49">
        <f t="shared" si="566"/>
        <v>1</v>
      </c>
      <c r="BJ615" s="49">
        <f t="shared" si="567"/>
        <v>0</v>
      </c>
      <c r="BK615" s="49">
        <f t="shared" si="568"/>
        <v>0</v>
      </c>
      <c r="BL615" s="49">
        <f t="shared" si="569"/>
        <v>0</v>
      </c>
      <c r="BM615" s="49">
        <f t="shared" si="570"/>
        <v>1</v>
      </c>
      <c r="BN615" s="49">
        <f t="shared" si="571"/>
        <v>0</v>
      </c>
      <c r="BO615" s="49">
        <f t="shared" si="572"/>
        <v>0</v>
      </c>
      <c r="BP615" s="49">
        <f t="shared" si="573"/>
        <v>0</v>
      </c>
      <c r="BQ615" s="49">
        <f t="shared" si="574"/>
        <v>0</v>
      </c>
      <c r="BR615" s="49">
        <f t="shared" si="575"/>
        <v>1</v>
      </c>
      <c r="BS615" s="49">
        <f t="shared" si="576"/>
        <v>0</v>
      </c>
      <c r="BT615" s="49">
        <f t="shared" si="577"/>
        <v>0</v>
      </c>
      <c r="BU615" s="49">
        <f t="shared" si="578"/>
        <v>0</v>
      </c>
      <c r="BV615" s="49">
        <f t="shared" si="579"/>
        <v>1</v>
      </c>
      <c r="BW615" s="49">
        <f t="shared" si="580"/>
        <v>0</v>
      </c>
    </row>
    <row r="616" spans="1:75" ht="35.1" customHeight="1" x14ac:dyDescent="0.3">
      <c r="A616" s="123" t="str">
        <f t="shared" si="581"/>
        <v>6팀</v>
      </c>
      <c r="B616" s="136">
        <f t="shared" si="582"/>
        <v>610</v>
      </c>
      <c r="C616" s="139" t="str">
        <f>IF(VLOOKUP($B616,'1. 현장별 인원현황'!$C:$J,2,0)=0,"",VLOOKUP($B616,'1. 현장별 인원현황'!$C:$J,2,0))</f>
        <v xml:space="preserve"> [6.현대엔지니어링] AutoLand 화성 기아 LW 프로젝트 일반전기공사(도장)</v>
      </c>
      <c r="D616" s="140" t="str">
        <f>IF(VLOOKUP($B616,'1. 현장별 인원현황'!$C:$J,3,0)=0,"",VLOOKUP($B616,'1. 현장별 인원현황'!$C:$J,3,0))</f>
        <v>김민규</v>
      </c>
      <c r="E616" s="140" t="str">
        <f ca="1">IF(VLOOKUP($B616,'1. 현장별 인원현황'!$C:$J,4,0)=0,"",VLOOKUP($B616,'1. 현장별 인원현황'!$C:$J,4,0))</f>
        <v>44세</v>
      </c>
      <c r="F616" s="137" t="str">
        <f>IF(VLOOKUP($B616,'1. 현장별 인원현황'!$C:$J,7,0)=0,"",VLOOKUP($B616,'1. 현장별 인원현황'!$C:$J,7,0))</f>
        <v>기능공</v>
      </c>
      <c r="G616" s="138" t="str">
        <f>IF(VLOOKUP($B616,'1. 현장별 인원현황'!$C:$J,8,0)=0,"",VLOOKUP($B616,'1. 현장별 인원현황'!$C:$J,8,0))</f>
        <v>전공</v>
      </c>
      <c r="H616" s="136"/>
      <c r="I616" s="137" t="s">
        <v>69</v>
      </c>
      <c r="J616" s="137"/>
      <c r="K616" s="138"/>
      <c r="L616" s="136"/>
      <c r="M616" s="137" t="s">
        <v>69</v>
      </c>
      <c r="N616" s="137"/>
      <c r="O616" s="138"/>
      <c r="P616" s="136"/>
      <c r="Q616" s="137"/>
      <c r="R616" s="137" t="s">
        <v>69</v>
      </c>
      <c r="S616" s="138"/>
      <c r="T616" s="136"/>
      <c r="U616" s="137" t="s">
        <v>69</v>
      </c>
      <c r="V616" s="137"/>
      <c r="W616" s="138"/>
      <c r="X616" s="136"/>
      <c r="Y616" s="137" t="s">
        <v>69</v>
      </c>
      <c r="Z616" s="137"/>
      <c r="AA616" s="138"/>
      <c r="AB616" s="136"/>
      <c r="AC616" s="137"/>
      <c r="AD616" s="137" t="s">
        <v>69</v>
      </c>
      <c r="AE616" s="138"/>
      <c r="AF616" s="136"/>
      <c r="AG616" s="137" t="s">
        <v>69</v>
      </c>
      <c r="AH616" s="137"/>
      <c r="AI616" s="138"/>
      <c r="AJ616" s="136"/>
      <c r="AK616" s="137" t="s">
        <v>69</v>
      </c>
      <c r="AL616" s="137"/>
      <c r="AM616" s="138"/>
      <c r="AN616" s="136">
        <f t="shared" si="583"/>
        <v>67</v>
      </c>
      <c r="AO616" s="138" t="str">
        <f t="shared" si="584"/>
        <v>B</v>
      </c>
      <c r="AR616" s="49">
        <f t="shared" si="549"/>
        <v>0</v>
      </c>
      <c r="AS616" s="49">
        <f t="shared" si="550"/>
        <v>1</v>
      </c>
      <c r="AT616" s="49">
        <f t="shared" si="551"/>
        <v>0</v>
      </c>
      <c r="AU616" s="49">
        <f t="shared" si="552"/>
        <v>0</v>
      </c>
      <c r="AV616" s="49">
        <f t="shared" si="553"/>
        <v>0</v>
      </c>
      <c r="AW616" s="49">
        <f t="shared" si="554"/>
        <v>1</v>
      </c>
      <c r="AX616" s="49">
        <f t="shared" si="555"/>
        <v>0</v>
      </c>
      <c r="AY616" s="49">
        <f t="shared" si="556"/>
        <v>0</v>
      </c>
      <c r="AZ616" s="49">
        <f t="shared" si="557"/>
        <v>0</v>
      </c>
      <c r="BA616" s="49">
        <f t="shared" si="558"/>
        <v>0</v>
      </c>
      <c r="BB616" s="49">
        <f t="shared" si="559"/>
        <v>1</v>
      </c>
      <c r="BC616" s="49">
        <f t="shared" si="560"/>
        <v>0</v>
      </c>
      <c r="BD616" s="49">
        <f t="shared" si="561"/>
        <v>0</v>
      </c>
      <c r="BE616" s="49">
        <f t="shared" si="562"/>
        <v>1</v>
      </c>
      <c r="BF616" s="49">
        <f t="shared" si="563"/>
        <v>0</v>
      </c>
      <c r="BG616" s="49">
        <f t="shared" si="564"/>
        <v>0</v>
      </c>
      <c r="BH616" s="49">
        <f t="shared" si="565"/>
        <v>0</v>
      </c>
      <c r="BI616" s="49">
        <f t="shared" si="566"/>
        <v>1</v>
      </c>
      <c r="BJ616" s="49">
        <f t="shared" si="567"/>
        <v>0</v>
      </c>
      <c r="BK616" s="49">
        <f t="shared" si="568"/>
        <v>0</v>
      </c>
      <c r="BL616" s="49">
        <f t="shared" si="569"/>
        <v>0</v>
      </c>
      <c r="BM616" s="49">
        <f t="shared" si="570"/>
        <v>0</v>
      </c>
      <c r="BN616" s="49">
        <f t="shared" si="571"/>
        <v>1</v>
      </c>
      <c r="BO616" s="49">
        <f t="shared" si="572"/>
        <v>0</v>
      </c>
      <c r="BP616" s="49">
        <f t="shared" si="573"/>
        <v>0</v>
      </c>
      <c r="BQ616" s="49">
        <f t="shared" si="574"/>
        <v>1</v>
      </c>
      <c r="BR616" s="49">
        <f t="shared" si="575"/>
        <v>0</v>
      </c>
      <c r="BS616" s="49">
        <f t="shared" si="576"/>
        <v>0</v>
      </c>
      <c r="BT616" s="49">
        <f t="shared" si="577"/>
        <v>0</v>
      </c>
      <c r="BU616" s="49">
        <f t="shared" si="578"/>
        <v>1</v>
      </c>
      <c r="BV616" s="49">
        <f t="shared" si="579"/>
        <v>0</v>
      </c>
      <c r="BW616" s="49">
        <f t="shared" si="580"/>
        <v>0</v>
      </c>
    </row>
    <row r="617" spans="1:75" ht="35.1" customHeight="1" x14ac:dyDescent="0.3">
      <c r="A617" s="123" t="str">
        <f t="shared" si="581"/>
        <v>6팀</v>
      </c>
      <c r="B617" s="69">
        <f t="shared" si="582"/>
        <v>611</v>
      </c>
      <c r="C617" s="121" t="str">
        <f>IF(VLOOKUP($B617,'1. 현장별 인원현황'!$C:$J,2,0)=0,"",VLOOKUP($B617,'1. 현장별 인원현황'!$C:$J,2,0))</f>
        <v xml:space="preserve"> [6.현대엔지니어링] AutoLand 화성 기아 LW 프로젝트 일반전기공사(도장)</v>
      </c>
      <c r="D617" s="74" t="str">
        <f>IF(VLOOKUP($B617,'1. 현장별 인원현황'!$C:$J,3,0)=0,"",VLOOKUP($B617,'1. 현장별 인원현황'!$C:$J,3,0))</f>
        <v>김정호</v>
      </c>
      <c r="E617" s="74" t="str">
        <f ca="1">IF(VLOOKUP($B617,'1. 현장별 인원현황'!$C:$J,4,0)=0,"",VLOOKUP($B617,'1. 현장별 인원현황'!$C:$J,4,0))</f>
        <v>52세</v>
      </c>
      <c r="F617" s="70" t="str">
        <f>IF(VLOOKUP($B617,'1. 현장별 인원현황'!$C:$J,7,0)=0,"",VLOOKUP($B617,'1. 현장별 인원현황'!$C:$J,7,0))</f>
        <v>기능공</v>
      </c>
      <c r="G617" s="72" t="str">
        <f>IF(VLOOKUP($B617,'1. 현장별 인원현황'!$C:$J,8,0)=0,"",VLOOKUP($B617,'1. 현장별 인원현황'!$C:$J,8,0))</f>
        <v>조공</v>
      </c>
      <c r="H617" s="67"/>
      <c r="I617" s="73" t="s">
        <v>69</v>
      </c>
      <c r="J617" s="73"/>
      <c r="K617" s="68"/>
      <c r="L617" s="67" t="s">
        <v>69</v>
      </c>
      <c r="M617" s="73"/>
      <c r="N617" s="73"/>
      <c r="O617" s="68"/>
      <c r="P617" s="67"/>
      <c r="Q617" s="73"/>
      <c r="R617" s="73" t="s">
        <v>69</v>
      </c>
      <c r="S617" s="68"/>
      <c r="T617" s="67"/>
      <c r="U617" s="73"/>
      <c r="V617" s="73" t="s">
        <v>69</v>
      </c>
      <c r="W617" s="68"/>
      <c r="X617" s="67"/>
      <c r="Y617" s="73" t="s">
        <v>69</v>
      </c>
      <c r="Z617" s="73"/>
      <c r="AA617" s="68"/>
      <c r="AB617" s="67"/>
      <c r="AC617" s="73" t="s">
        <v>69</v>
      </c>
      <c r="AD617" s="73"/>
      <c r="AE617" s="68"/>
      <c r="AF617" s="67"/>
      <c r="AG617" s="73" t="s">
        <v>69</v>
      </c>
      <c r="AH617" s="73"/>
      <c r="AI617" s="68"/>
      <c r="AJ617" s="67" t="s">
        <v>69</v>
      </c>
      <c r="AK617" s="73"/>
      <c r="AL617" s="73"/>
      <c r="AM617" s="68"/>
      <c r="AN617" s="67">
        <f t="shared" si="583"/>
        <v>71</v>
      </c>
      <c r="AO617" s="68" t="str">
        <f t="shared" si="584"/>
        <v>A</v>
      </c>
      <c r="AR617" s="49">
        <f t="shared" si="513"/>
        <v>0</v>
      </c>
      <c r="AS617" s="49">
        <f t="shared" si="514"/>
        <v>1</v>
      </c>
      <c r="AT617" s="49">
        <f t="shared" si="515"/>
        <v>0</v>
      </c>
      <c r="AU617" s="49">
        <f t="shared" si="516"/>
        <v>0</v>
      </c>
      <c r="AV617" s="49">
        <f t="shared" si="517"/>
        <v>1</v>
      </c>
      <c r="AW617" s="49">
        <f t="shared" si="518"/>
        <v>0</v>
      </c>
      <c r="AX617" s="49">
        <f t="shared" si="519"/>
        <v>0</v>
      </c>
      <c r="AY617" s="49">
        <f t="shared" si="520"/>
        <v>0</v>
      </c>
      <c r="AZ617" s="49">
        <f t="shared" si="521"/>
        <v>0</v>
      </c>
      <c r="BA617" s="49">
        <f t="shared" si="522"/>
        <v>0</v>
      </c>
      <c r="BB617" s="49">
        <f t="shared" si="523"/>
        <v>1</v>
      </c>
      <c r="BC617" s="49">
        <f t="shared" si="524"/>
        <v>0</v>
      </c>
      <c r="BD617" s="49">
        <f t="shared" si="525"/>
        <v>0</v>
      </c>
      <c r="BE617" s="49">
        <f t="shared" si="526"/>
        <v>0</v>
      </c>
      <c r="BF617" s="49">
        <f t="shared" si="527"/>
        <v>1</v>
      </c>
      <c r="BG617" s="49">
        <f t="shared" si="528"/>
        <v>0</v>
      </c>
      <c r="BH617" s="49">
        <f t="shared" si="529"/>
        <v>0</v>
      </c>
      <c r="BI617" s="49">
        <f t="shared" si="530"/>
        <v>1</v>
      </c>
      <c r="BJ617" s="49">
        <f t="shared" si="531"/>
        <v>0</v>
      </c>
      <c r="BK617" s="49">
        <f t="shared" si="532"/>
        <v>0</v>
      </c>
      <c r="BL617" s="49">
        <f t="shared" si="533"/>
        <v>0</v>
      </c>
      <c r="BM617" s="49">
        <f t="shared" si="534"/>
        <v>1</v>
      </c>
      <c r="BN617" s="49">
        <f t="shared" si="535"/>
        <v>0</v>
      </c>
      <c r="BO617" s="49">
        <f t="shared" si="536"/>
        <v>0</v>
      </c>
      <c r="BP617" s="49">
        <f t="shared" si="537"/>
        <v>0</v>
      </c>
      <c r="BQ617" s="49">
        <f t="shared" si="538"/>
        <v>1</v>
      </c>
      <c r="BR617" s="49">
        <f t="shared" si="539"/>
        <v>0</v>
      </c>
      <c r="BS617" s="49">
        <f t="shared" si="540"/>
        <v>0</v>
      </c>
      <c r="BT617" s="49">
        <f t="shared" si="541"/>
        <v>1</v>
      </c>
      <c r="BU617" s="49">
        <f t="shared" si="542"/>
        <v>0</v>
      </c>
      <c r="BV617" s="49">
        <f t="shared" si="543"/>
        <v>0</v>
      </c>
      <c r="BW617" s="49">
        <f t="shared" si="544"/>
        <v>0</v>
      </c>
    </row>
    <row r="618" spans="1:75" ht="35.1" customHeight="1" x14ac:dyDescent="0.3">
      <c r="A618" s="123" t="str">
        <f t="shared" si="581"/>
        <v>팀</v>
      </c>
      <c r="B618" s="69"/>
      <c r="C618" s="121"/>
      <c r="D618" s="74"/>
      <c r="E618" s="74"/>
      <c r="F618" s="70"/>
      <c r="G618" s="72"/>
      <c r="H618" s="67"/>
      <c r="I618" s="73"/>
      <c r="J618" s="73"/>
      <c r="K618" s="68"/>
      <c r="L618" s="67"/>
      <c r="M618" s="73"/>
      <c r="N618" s="73"/>
      <c r="O618" s="68"/>
      <c r="P618" s="67"/>
      <c r="Q618" s="73"/>
      <c r="R618" s="73"/>
      <c r="S618" s="68"/>
      <c r="T618" s="67"/>
      <c r="U618" s="73"/>
      <c r="V618" s="73"/>
      <c r="W618" s="68"/>
      <c r="X618" s="67"/>
      <c r="Y618" s="73"/>
      <c r="Z618" s="73"/>
      <c r="AA618" s="68"/>
      <c r="AB618" s="67"/>
      <c r="AC618" s="73"/>
      <c r="AD618" s="73"/>
      <c r="AE618" s="68"/>
      <c r="AF618" s="67"/>
      <c r="AG618" s="73"/>
      <c r="AH618" s="73"/>
      <c r="AI618" s="68"/>
      <c r="AJ618" s="67"/>
      <c r="AK618" s="73"/>
      <c r="AL618" s="73"/>
      <c r="AM618" s="68"/>
      <c r="AN618" s="67"/>
      <c r="AO618" s="68"/>
      <c r="AR618" s="49">
        <f t="shared" ref="AR618:AR644" si="585">IF(H618&gt;0,1,0)</f>
        <v>0</v>
      </c>
      <c r="AS618" s="49">
        <f t="shared" ref="AS618:AS644" si="586">IF(I618&gt;0,1,0)</f>
        <v>0</v>
      </c>
      <c r="AT618" s="49">
        <f t="shared" ref="AT618:AT644" si="587">IF(J618&gt;0,1,0)</f>
        <v>0</v>
      </c>
      <c r="AU618" s="49">
        <f t="shared" ref="AU618:AU644" si="588">IF(K618&gt;0,1,0)</f>
        <v>0</v>
      </c>
      <c r="AV618" s="49">
        <f t="shared" ref="AV618:AV644" si="589">IF(L618&gt;0,1,0)</f>
        <v>0</v>
      </c>
      <c r="AW618" s="49">
        <f t="shared" ref="AW618:AW644" si="590">IF(M618&gt;0,1,0)</f>
        <v>0</v>
      </c>
      <c r="AX618" s="49">
        <f t="shared" ref="AX618:AX644" si="591">IF(N618&gt;0,1,0)</f>
        <v>0</v>
      </c>
      <c r="AY618" s="49">
        <f t="shared" ref="AY618:AY644" si="592">IF(O618&gt;0,1,0)</f>
        <v>0</v>
      </c>
      <c r="AZ618" s="49">
        <f t="shared" ref="AZ618:AZ644" si="593">IF(P618&gt;0,1,0)</f>
        <v>0</v>
      </c>
      <c r="BA618" s="49">
        <f t="shared" ref="BA618:BA644" si="594">IF(Q618&gt;0,1,0)</f>
        <v>0</v>
      </c>
      <c r="BB618" s="49">
        <f t="shared" ref="BB618:BB644" si="595">IF(R618&gt;0,1,0)</f>
        <v>0</v>
      </c>
      <c r="BC618" s="49">
        <f t="shared" ref="BC618:BC644" si="596">IF(S618&gt;0,1,0)</f>
        <v>0</v>
      </c>
      <c r="BD618" s="49">
        <f t="shared" ref="BD618:BD644" si="597">IF(T618&gt;0,1,0)</f>
        <v>0</v>
      </c>
      <c r="BE618" s="49">
        <f t="shared" ref="BE618:BE644" si="598">IF(U618&gt;0,1,0)</f>
        <v>0</v>
      </c>
      <c r="BF618" s="49">
        <f t="shared" ref="BF618:BF644" si="599">IF(V618&gt;0,1,0)</f>
        <v>0</v>
      </c>
      <c r="BG618" s="49">
        <f t="shared" ref="BG618:BG644" si="600">IF(W618&gt;0,1,0)</f>
        <v>0</v>
      </c>
      <c r="BH618" s="49">
        <f t="shared" ref="BH618:BH644" si="601">IF(X618&gt;0,1,0)</f>
        <v>0</v>
      </c>
      <c r="BI618" s="49">
        <f t="shared" ref="BI618:BI644" si="602">IF(Y618&gt;0,1,0)</f>
        <v>0</v>
      </c>
      <c r="BJ618" s="49">
        <f t="shared" ref="BJ618:BJ644" si="603">IF(Z618&gt;0,1,0)</f>
        <v>0</v>
      </c>
      <c r="BK618" s="49">
        <f t="shared" ref="BK618:BK644" si="604">IF(AA618&gt;0,1,0)</f>
        <v>0</v>
      </c>
      <c r="BL618" s="49">
        <f t="shared" ref="BL618:BL644" si="605">IF(AB618&gt;0,1,0)</f>
        <v>0</v>
      </c>
      <c r="BM618" s="49">
        <f t="shared" ref="BM618:BM644" si="606">IF(AC618&gt;0,1,0)</f>
        <v>0</v>
      </c>
      <c r="BN618" s="49">
        <f t="shared" ref="BN618:BN644" si="607">IF(AD618&gt;0,1,0)</f>
        <v>0</v>
      </c>
      <c r="BO618" s="49">
        <f t="shared" ref="BO618:BO644" si="608">IF(AE618&gt;0,1,0)</f>
        <v>0</v>
      </c>
      <c r="BP618" s="49">
        <f t="shared" ref="BP618:BP644" si="609">IF(AF618&gt;0,1,0)</f>
        <v>0</v>
      </c>
      <c r="BQ618" s="49">
        <f t="shared" ref="BQ618:BQ644" si="610">IF(AG618&gt;0,1,0)</f>
        <v>0</v>
      </c>
      <c r="BR618" s="49">
        <f t="shared" ref="BR618:BR644" si="611">IF(AH618&gt;0,1,0)</f>
        <v>0</v>
      </c>
      <c r="BS618" s="49">
        <f t="shared" ref="BS618:BS644" si="612">IF(AI618&gt;0,1,0)</f>
        <v>0</v>
      </c>
      <c r="BT618" s="49">
        <f t="shared" ref="BT618:BT644" si="613">IF(AJ618&gt;0,1,0)</f>
        <v>0</v>
      </c>
      <c r="BU618" s="49">
        <f t="shared" ref="BU618:BU644" si="614">IF(AK618&gt;0,1,0)</f>
        <v>0</v>
      </c>
      <c r="BV618" s="49">
        <f t="shared" ref="BV618:BV644" si="615">IF(AL618&gt;0,1,0)</f>
        <v>0</v>
      </c>
      <c r="BW618" s="49">
        <f t="shared" ref="BW618:BW644" si="616">IF(AM618&gt;0,1,0)</f>
        <v>0</v>
      </c>
    </row>
    <row r="619" spans="1:75" ht="35.1" customHeight="1" x14ac:dyDescent="0.3">
      <c r="A619" s="123" t="str">
        <f t="shared" si="581"/>
        <v>팀</v>
      </c>
      <c r="B619" s="69"/>
      <c r="C619" s="121"/>
      <c r="D619" s="74"/>
      <c r="E619" s="74"/>
      <c r="F619" s="70"/>
      <c r="G619" s="72"/>
      <c r="H619" s="67"/>
      <c r="I619" s="73"/>
      <c r="J619" s="73"/>
      <c r="K619" s="68"/>
      <c r="L619" s="67"/>
      <c r="M619" s="73"/>
      <c r="N619" s="73"/>
      <c r="O619" s="68"/>
      <c r="P619" s="67"/>
      <c r="Q619" s="73"/>
      <c r="R619" s="73"/>
      <c r="S619" s="68"/>
      <c r="T619" s="67"/>
      <c r="U619" s="73"/>
      <c r="V619" s="73"/>
      <c r="W619" s="68"/>
      <c r="X619" s="67"/>
      <c r="Y619" s="73"/>
      <c r="Z619" s="73"/>
      <c r="AA619" s="68"/>
      <c r="AB619" s="67"/>
      <c r="AC619" s="73"/>
      <c r="AD619" s="73"/>
      <c r="AE619" s="68"/>
      <c r="AF619" s="67"/>
      <c r="AG619" s="73"/>
      <c r="AH619" s="73"/>
      <c r="AI619" s="68"/>
      <c r="AJ619" s="67"/>
      <c r="AK619" s="73"/>
      <c r="AL619" s="73"/>
      <c r="AM619" s="68"/>
      <c r="AN619" s="67"/>
      <c r="AO619" s="68"/>
      <c r="AR619" s="49">
        <f t="shared" ref="AR619:AR634" si="617">IF(H619&gt;0,1,0)</f>
        <v>0</v>
      </c>
      <c r="AS619" s="49">
        <f t="shared" ref="AS619:AS634" si="618">IF(I619&gt;0,1,0)</f>
        <v>0</v>
      </c>
      <c r="AT619" s="49">
        <f t="shared" ref="AT619:AT634" si="619">IF(J619&gt;0,1,0)</f>
        <v>0</v>
      </c>
      <c r="AU619" s="49">
        <f t="shared" ref="AU619:AU634" si="620">IF(K619&gt;0,1,0)</f>
        <v>0</v>
      </c>
      <c r="AV619" s="49">
        <f t="shared" ref="AV619:AV634" si="621">IF(L619&gt;0,1,0)</f>
        <v>0</v>
      </c>
      <c r="AW619" s="49">
        <f t="shared" ref="AW619:AW634" si="622">IF(M619&gt;0,1,0)</f>
        <v>0</v>
      </c>
      <c r="AX619" s="49">
        <f t="shared" ref="AX619:AX634" si="623">IF(N619&gt;0,1,0)</f>
        <v>0</v>
      </c>
      <c r="AY619" s="49">
        <f t="shared" ref="AY619:AY634" si="624">IF(O619&gt;0,1,0)</f>
        <v>0</v>
      </c>
      <c r="AZ619" s="49">
        <f t="shared" ref="AZ619:AZ634" si="625">IF(P619&gt;0,1,0)</f>
        <v>0</v>
      </c>
      <c r="BA619" s="49">
        <f t="shared" ref="BA619:BA634" si="626">IF(Q619&gt;0,1,0)</f>
        <v>0</v>
      </c>
      <c r="BB619" s="49">
        <f t="shared" ref="BB619:BB634" si="627">IF(R619&gt;0,1,0)</f>
        <v>0</v>
      </c>
      <c r="BC619" s="49">
        <f t="shared" ref="BC619:BC634" si="628">IF(S619&gt;0,1,0)</f>
        <v>0</v>
      </c>
      <c r="BD619" s="49">
        <f t="shared" ref="BD619:BD634" si="629">IF(T619&gt;0,1,0)</f>
        <v>0</v>
      </c>
      <c r="BE619" s="49">
        <f t="shared" ref="BE619:BE634" si="630">IF(U619&gt;0,1,0)</f>
        <v>0</v>
      </c>
      <c r="BF619" s="49">
        <f t="shared" ref="BF619:BF634" si="631">IF(V619&gt;0,1,0)</f>
        <v>0</v>
      </c>
      <c r="BG619" s="49">
        <f t="shared" ref="BG619:BG634" si="632">IF(W619&gt;0,1,0)</f>
        <v>0</v>
      </c>
      <c r="BH619" s="49">
        <f t="shared" ref="BH619:BH634" si="633">IF(X619&gt;0,1,0)</f>
        <v>0</v>
      </c>
      <c r="BI619" s="49">
        <f t="shared" ref="BI619:BI634" si="634">IF(Y619&gt;0,1,0)</f>
        <v>0</v>
      </c>
      <c r="BJ619" s="49">
        <f t="shared" ref="BJ619:BJ634" si="635">IF(Z619&gt;0,1,0)</f>
        <v>0</v>
      </c>
      <c r="BK619" s="49">
        <f t="shared" ref="BK619:BK634" si="636">IF(AA619&gt;0,1,0)</f>
        <v>0</v>
      </c>
      <c r="BL619" s="49">
        <f t="shared" ref="BL619:BL634" si="637">IF(AB619&gt;0,1,0)</f>
        <v>0</v>
      </c>
      <c r="BM619" s="49">
        <f t="shared" ref="BM619:BM634" si="638">IF(AC619&gt;0,1,0)</f>
        <v>0</v>
      </c>
      <c r="BN619" s="49">
        <f t="shared" ref="BN619:BN634" si="639">IF(AD619&gt;0,1,0)</f>
        <v>0</v>
      </c>
      <c r="BO619" s="49">
        <f t="shared" ref="BO619:BO634" si="640">IF(AE619&gt;0,1,0)</f>
        <v>0</v>
      </c>
      <c r="BP619" s="49">
        <f t="shared" ref="BP619:BP634" si="641">IF(AF619&gt;0,1,0)</f>
        <v>0</v>
      </c>
      <c r="BQ619" s="49">
        <f t="shared" ref="BQ619:BQ634" si="642">IF(AG619&gt;0,1,0)</f>
        <v>0</v>
      </c>
      <c r="BR619" s="49">
        <f t="shared" ref="BR619:BR634" si="643">IF(AH619&gt;0,1,0)</f>
        <v>0</v>
      </c>
      <c r="BS619" s="49">
        <f t="shared" ref="BS619:BS634" si="644">IF(AI619&gt;0,1,0)</f>
        <v>0</v>
      </c>
      <c r="BT619" s="49">
        <f t="shared" ref="BT619:BT634" si="645">IF(AJ619&gt;0,1,0)</f>
        <v>0</v>
      </c>
      <c r="BU619" s="49">
        <f t="shared" ref="BU619:BU634" si="646">IF(AK619&gt;0,1,0)</f>
        <v>0</v>
      </c>
      <c r="BV619" s="49">
        <f t="shared" ref="BV619:BV634" si="647">IF(AL619&gt;0,1,0)</f>
        <v>0</v>
      </c>
      <c r="BW619" s="49">
        <f t="shared" ref="BW619:BW634" si="648">IF(AM619&gt;0,1,0)</f>
        <v>0</v>
      </c>
    </row>
    <row r="620" spans="1:75" ht="35.1" customHeight="1" x14ac:dyDescent="0.3">
      <c r="A620" s="123" t="str">
        <f t="shared" si="581"/>
        <v>팀</v>
      </c>
      <c r="B620" s="69"/>
      <c r="C620" s="121"/>
      <c r="D620" s="74"/>
      <c r="E620" s="74"/>
      <c r="F620" s="70"/>
      <c r="G620" s="72"/>
      <c r="H620" s="67"/>
      <c r="I620" s="73"/>
      <c r="J620" s="73"/>
      <c r="K620" s="68"/>
      <c r="L620" s="67"/>
      <c r="M620" s="73"/>
      <c r="N620" s="73"/>
      <c r="O620" s="68"/>
      <c r="P620" s="67"/>
      <c r="Q620" s="73"/>
      <c r="R620" s="73"/>
      <c r="S620" s="68"/>
      <c r="T620" s="67"/>
      <c r="U620" s="73"/>
      <c r="V620" s="73"/>
      <c r="W620" s="68"/>
      <c r="X620" s="67"/>
      <c r="Y620" s="73"/>
      <c r="Z620" s="73"/>
      <c r="AA620" s="68"/>
      <c r="AB620" s="67"/>
      <c r="AC620" s="73"/>
      <c r="AD620" s="73"/>
      <c r="AE620" s="68"/>
      <c r="AF620" s="67"/>
      <c r="AG620" s="73"/>
      <c r="AH620" s="73"/>
      <c r="AI620" s="68"/>
      <c r="AJ620" s="67"/>
      <c r="AK620" s="73"/>
      <c r="AL620" s="73"/>
      <c r="AM620" s="68"/>
      <c r="AN620" s="67"/>
      <c r="AO620" s="68"/>
      <c r="AR620" s="49">
        <f t="shared" si="617"/>
        <v>0</v>
      </c>
      <c r="AS620" s="49">
        <f t="shared" si="618"/>
        <v>0</v>
      </c>
      <c r="AT620" s="49">
        <f t="shared" si="619"/>
        <v>0</v>
      </c>
      <c r="AU620" s="49">
        <f t="shared" si="620"/>
        <v>0</v>
      </c>
      <c r="AV620" s="49">
        <f t="shared" si="621"/>
        <v>0</v>
      </c>
      <c r="AW620" s="49">
        <f t="shared" si="622"/>
        <v>0</v>
      </c>
      <c r="AX620" s="49">
        <f t="shared" si="623"/>
        <v>0</v>
      </c>
      <c r="AY620" s="49">
        <f t="shared" si="624"/>
        <v>0</v>
      </c>
      <c r="AZ620" s="49">
        <f t="shared" si="625"/>
        <v>0</v>
      </c>
      <c r="BA620" s="49">
        <f t="shared" si="626"/>
        <v>0</v>
      </c>
      <c r="BB620" s="49">
        <f t="shared" si="627"/>
        <v>0</v>
      </c>
      <c r="BC620" s="49">
        <f t="shared" si="628"/>
        <v>0</v>
      </c>
      <c r="BD620" s="49">
        <f t="shared" si="629"/>
        <v>0</v>
      </c>
      <c r="BE620" s="49">
        <f t="shared" si="630"/>
        <v>0</v>
      </c>
      <c r="BF620" s="49">
        <f t="shared" si="631"/>
        <v>0</v>
      </c>
      <c r="BG620" s="49">
        <f t="shared" si="632"/>
        <v>0</v>
      </c>
      <c r="BH620" s="49">
        <f t="shared" si="633"/>
        <v>0</v>
      </c>
      <c r="BI620" s="49">
        <f t="shared" si="634"/>
        <v>0</v>
      </c>
      <c r="BJ620" s="49">
        <f t="shared" si="635"/>
        <v>0</v>
      </c>
      <c r="BK620" s="49">
        <f t="shared" si="636"/>
        <v>0</v>
      </c>
      <c r="BL620" s="49">
        <f t="shared" si="637"/>
        <v>0</v>
      </c>
      <c r="BM620" s="49">
        <f t="shared" si="638"/>
        <v>0</v>
      </c>
      <c r="BN620" s="49">
        <f t="shared" si="639"/>
        <v>0</v>
      </c>
      <c r="BO620" s="49">
        <f t="shared" si="640"/>
        <v>0</v>
      </c>
      <c r="BP620" s="49">
        <f t="shared" si="641"/>
        <v>0</v>
      </c>
      <c r="BQ620" s="49">
        <f t="shared" si="642"/>
        <v>0</v>
      </c>
      <c r="BR620" s="49">
        <f t="shared" si="643"/>
        <v>0</v>
      </c>
      <c r="BS620" s="49">
        <f t="shared" si="644"/>
        <v>0</v>
      </c>
      <c r="BT620" s="49">
        <f t="shared" si="645"/>
        <v>0</v>
      </c>
      <c r="BU620" s="49">
        <f t="shared" si="646"/>
        <v>0</v>
      </c>
      <c r="BV620" s="49">
        <f t="shared" si="647"/>
        <v>0</v>
      </c>
      <c r="BW620" s="49">
        <f t="shared" si="648"/>
        <v>0</v>
      </c>
    </row>
    <row r="621" spans="1:75" ht="35.1" customHeight="1" x14ac:dyDescent="0.3">
      <c r="A621" s="123" t="str">
        <f t="shared" si="581"/>
        <v>팀</v>
      </c>
      <c r="B621" s="69"/>
      <c r="C621" s="121"/>
      <c r="D621" s="74"/>
      <c r="E621" s="74"/>
      <c r="F621" s="70"/>
      <c r="G621" s="72"/>
      <c r="H621" s="67"/>
      <c r="I621" s="73"/>
      <c r="J621" s="73"/>
      <c r="K621" s="68"/>
      <c r="L621" s="67"/>
      <c r="M621" s="73"/>
      <c r="N621" s="73"/>
      <c r="O621" s="68"/>
      <c r="P621" s="67"/>
      <c r="Q621" s="73"/>
      <c r="R621" s="73"/>
      <c r="S621" s="68"/>
      <c r="T621" s="67"/>
      <c r="U621" s="73"/>
      <c r="V621" s="73"/>
      <c r="W621" s="68"/>
      <c r="X621" s="67"/>
      <c r="Y621" s="73"/>
      <c r="Z621" s="73"/>
      <c r="AA621" s="68"/>
      <c r="AB621" s="67"/>
      <c r="AC621" s="73"/>
      <c r="AD621" s="73"/>
      <c r="AE621" s="68"/>
      <c r="AF621" s="67"/>
      <c r="AG621" s="73"/>
      <c r="AH621" s="73"/>
      <c r="AI621" s="68"/>
      <c r="AJ621" s="67"/>
      <c r="AK621" s="73"/>
      <c r="AL621" s="73"/>
      <c r="AM621" s="68"/>
      <c r="AN621" s="67"/>
      <c r="AO621" s="68"/>
      <c r="AR621" s="49">
        <f t="shared" si="617"/>
        <v>0</v>
      </c>
      <c r="AS621" s="49">
        <f t="shared" si="618"/>
        <v>0</v>
      </c>
      <c r="AT621" s="49">
        <f t="shared" si="619"/>
        <v>0</v>
      </c>
      <c r="AU621" s="49">
        <f t="shared" si="620"/>
        <v>0</v>
      </c>
      <c r="AV621" s="49">
        <f t="shared" si="621"/>
        <v>0</v>
      </c>
      <c r="AW621" s="49">
        <f t="shared" si="622"/>
        <v>0</v>
      </c>
      <c r="AX621" s="49">
        <f t="shared" si="623"/>
        <v>0</v>
      </c>
      <c r="AY621" s="49">
        <f t="shared" si="624"/>
        <v>0</v>
      </c>
      <c r="AZ621" s="49">
        <f t="shared" si="625"/>
        <v>0</v>
      </c>
      <c r="BA621" s="49">
        <f t="shared" si="626"/>
        <v>0</v>
      </c>
      <c r="BB621" s="49">
        <f t="shared" si="627"/>
        <v>0</v>
      </c>
      <c r="BC621" s="49">
        <f t="shared" si="628"/>
        <v>0</v>
      </c>
      <c r="BD621" s="49">
        <f t="shared" si="629"/>
        <v>0</v>
      </c>
      <c r="BE621" s="49">
        <f t="shared" si="630"/>
        <v>0</v>
      </c>
      <c r="BF621" s="49">
        <f t="shared" si="631"/>
        <v>0</v>
      </c>
      <c r="BG621" s="49">
        <f t="shared" si="632"/>
        <v>0</v>
      </c>
      <c r="BH621" s="49">
        <f t="shared" si="633"/>
        <v>0</v>
      </c>
      <c r="BI621" s="49">
        <f t="shared" si="634"/>
        <v>0</v>
      </c>
      <c r="BJ621" s="49">
        <f t="shared" si="635"/>
        <v>0</v>
      </c>
      <c r="BK621" s="49">
        <f t="shared" si="636"/>
        <v>0</v>
      </c>
      <c r="BL621" s="49">
        <f t="shared" si="637"/>
        <v>0</v>
      </c>
      <c r="BM621" s="49">
        <f t="shared" si="638"/>
        <v>0</v>
      </c>
      <c r="BN621" s="49">
        <f t="shared" si="639"/>
        <v>0</v>
      </c>
      <c r="BO621" s="49">
        <f t="shared" si="640"/>
        <v>0</v>
      </c>
      <c r="BP621" s="49">
        <f t="shared" si="641"/>
        <v>0</v>
      </c>
      <c r="BQ621" s="49">
        <f t="shared" si="642"/>
        <v>0</v>
      </c>
      <c r="BR621" s="49">
        <f t="shared" si="643"/>
        <v>0</v>
      </c>
      <c r="BS621" s="49">
        <f t="shared" si="644"/>
        <v>0</v>
      </c>
      <c r="BT621" s="49">
        <f t="shared" si="645"/>
        <v>0</v>
      </c>
      <c r="BU621" s="49">
        <f t="shared" si="646"/>
        <v>0</v>
      </c>
      <c r="BV621" s="49">
        <f t="shared" si="647"/>
        <v>0</v>
      </c>
      <c r="BW621" s="49">
        <f t="shared" si="648"/>
        <v>0</v>
      </c>
    </row>
    <row r="622" spans="1:75" ht="35.1" customHeight="1" x14ac:dyDescent="0.3">
      <c r="A622" s="123" t="str">
        <f t="shared" si="581"/>
        <v>팀</v>
      </c>
      <c r="B622" s="69"/>
      <c r="C622" s="121"/>
      <c r="D622" s="74"/>
      <c r="E622" s="74"/>
      <c r="F622" s="70"/>
      <c r="G622" s="72"/>
      <c r="H622" s="67"/>
      <c r="I622" s="73"/>
      <c r="J622" s="73"/>
      <c r="K622" s="68"/>
      <c r="L622" s="67"/>
      <c r="M622" s="73"/>
      <c r="N622" s="73"/>
      <c r="O622" s="68"/>
      <c r="P622" s="67"/>
      <c r="Q622" s="73"/>
      <c r="R622" s="73"/>
      <c r="S622" s="68"/>
      <c r="T622" s="67"/>
      <c r="U622" s="73"/>
      <c r="V622" s="73"/>
      <c r="W622" s="68"/>
      <c r="X622" s="67"/>
      <c r="Y622" s="73"/>
      <c r="Z622" s="73"/>
      <c r="AA622" s="68"/>
      <c r="AB622" s="67"/>
      <c r="AC622" s="73"/>
      <c r="AD622" s="73"/>
      <c r="AE622" s="68"/>
      <c r="AF622" s="67"/>
      <c r="AG622" s="73"/>
      <c r="AH622" s="73"/>
      <c r="AI622" s="68"/>
      <c r="AJ622" s="67"/>
      <c r="AK622" s="73"/>
      <c r="AL622" s="73"/>
      <c r="AM622" s="68"/>
      <c r="AN622" s="67"/>
      <c r="AO622" s="68"/>
      <c r="AR622" s="49">
        <f t="shared" si="617"/>
        <v>0</v>
      </c>
      <c r="AS622" s="49">
        <f t="shared" si="618"/>
        <v>0</v>
      </c>
      <c r="AT622" s="49">
        <f t="shared" si="619"/>
        <v>0</v>
      </c>
      <c r="AU622" s="49">
        <f t="shared" si="620"/>
        <v>0</v>
      </c>
      <c r="AV622" s="49">
        <f t="shared" si="621"/>
        <v>0</v>
      </c>
      <c r="AW622" s="49">
        <f t="shared" si="622"/>
        <v>0</v>
      </c>
      <c r="AX622" s="49">
        <f t="shared" si="623"/>
        <v>0</v>
      </c>
      <c r="AY622" s="49">
        <f t="shared" si="624"/>
        <v>0</v>
      </c>
      <c r="AZ622" s="49">
        <f t="shared" si="625"/>
        <v>0</v>
      </c>
      <c r="BA622" s="49">
        <f t="shared" si="626"/>
        <v>0</v>
      </c>
      <c r="BB622" s="49">
        <f t="shared" si="627"/>
        <v>0</v>
      </c>
      <c r="BC622" s="49">
        <f t="shared" si="628"/>
        <v>0</v>
      </c>
      <c r="BD622" s="49">
        <f t="shared" si="629"/>
        <v>0</v>
      </c>
      <c r="BE622" s="49">
        <f t="shared" si="630"/>
        <v>0</v>
      </c>
      <c r="BF622" s="49">
        <f t="shared" si="631"/>
        <v>0</v>
      </c>
      <c r="BG622" s="49">
        <f t="shared" si="632"/>
        <v>0</v>
      </c>
      <c r="BH622" s="49">
        <f t="shared" si="633"/>
        <v>0</v>
      </c>
      <c r="BI622" s="49">
        <f t="shared" si="634"/>
        <v>0</v>
      </c>
      <c r="BJ622" s="49">
        <f t="shared" si="635"/>
        <v>0</v>
      </c>
      <c r="BK622" s="49">
        <f t="shared" si="636"/>
        <v>0</v>
      </c>
      <c r="BL622" s="49">
        <f t="shared" si="637"/>
        <v>0</v>
      </c>
      <c r="BM622" s="49">
        <f t="shared" si="638"/>
        <v>0</v>
      </c>
      <c r="BN622" s="49">
        <f t="shared" si="639"/>
        <v>0</v>
      </c>
      <c r="BO622" s="49">
        <f t="shared" si="640"/>
        <v>0</v>
      </c>
      <c r="BP622" s="49">
        <f t="shared" si="641"/>
        <v>0</v>
      </c>
      <c r="BQ622" s="49">
        <f t="shared" si="642"/>
        <v>0</v>
      </c>
      <c r="BR622" s="49">
        <f t="shared" si="643"/>
        <v>0</v>
      </c>
      <c r="BS622" s="49">
        <f t="shared" si="644"/>
        <v>0</v>
      </c>
      <c r="BT622" s="49">
        <f t="shared" si="645"/>
        <v>0</v>
      </c>
      <c r="BU622" s="49">
        <f t="shared" si="646"/>
        <v>0</v>
      </c>
      <c r="BV622" s="49">
        <f t="shared" si="647"/>
        <v>0</v>
      </c>
      <c r="BW622" s="49">
        <f t="shared" si="648"/>
        <v>0</v>
      </c>
    </row>
    <row r="623" spans="1:75" ht="35.1" customHeight="1" x14ac:dyDescent="0.3">
      <c r="A623" s="123" t="str">
        <f t="shared" si="581"/>
        <v>팀</v>
      </c>
      <c r="B623" s="69"/>
      <c r="C623" s="121"/>
      <c r="D623" s="74"/>
      <c r="E623" s="74"/>
      <c r="F623" s="70"/>
      <c r="G623" s="72"/>
      <c r="H623" s="67"/>
      <c r="I623" s="73"/>
      <c r="J623" s="73"/>
      <c r="K623" s="68"/>
      <c r="L623" s="67"/>
      <c r="M623" s="73"/>
      <c r="N623" s="73"/>
      <c r="O623" s="68"/>
      <c r="P623" s="67"/>
      <c r="Q623" s="73"/>
      <c r="R623" s="73"/>
      <c r="S623" s="68"/>
      <c r="T623" s="67"/>
      <c r="U623" s="73"/>
      <c r="V623" s="73"/>
      <c r="W623" s="68"/>
      <c r="X623" s="67"/>
      <c r="Y623" s="73"/>
      <c r="Z623" s="73"/>
      <c r="AA623" s="68"/>
      <c r="AB623" s="67"/>
      <c r="AC623" s="73"/>
      <c r="AD623" s="73"/>
      <c r="AE623" s="68"/>
      <c r="AF623" s="67"/>
      <c r="AG623" s="73"/>
      <c r="AH623" s="73"/>
      <c r="AI623" s="68"/>
      <c r="AJ623" s="67"/>
      <c r="AK623" s="73"/>
      <c r="AL623" s="73"/>
      <c r="AM623" s="68"/>
      <c r="AN623" s="67"/>
      <c r="AO623" s="68"/>
      <c r="AR623" s="49">
        <f t="shared" si="617"/>
        <v>0</v>
      </c>
      <c r="AS623" s="49">
        <f t="shared" si="618"/>
        <v>0</v>
      </c>
      <c r="AT623" s="49">
        <f t="shared" si="619"/>
        <v>0</v>
      </c>
      <c r="AU623" s="49">
        <f t="shared" si="620"/>
        <v>0</v>
      </c>
      <c r="AV623" s="49">
        <f t="shared" si="621"/>
        <v>0</v>
      </c>
      <c r="AW623" s="49">
        <f t="shared" si="622"/>
        <v>0</v>
      </c>
      <c r="AX623" s="49">
        <f t="shared" si="623"/>
        <v>0</v>
      </c>
      <c r="AY623" s="49">
        <f t="shared" si="624"/>
        <v>0</v>
      </c>
      <c r="AZ623" s="49">
        <f t="shared" si="625"/>
        <v>0</v>
      </c>
      <c r="BA623" s="49">
        <f t="shared" si="626"/>
        <v>0</v>
      </c>
      <c r="BB623" s="49">
        <f t="shared" si="627"/>
        <v>0</v>
      </c>
      <c r="BC623" s="49">
        <f t="shared" si="628"/>
        <v>0</v>
      </c>
      <c r="BD623" s="49">
        <f t="shared" si="629"/>
        <v>0</v>
      </c>
      <c r="BE623" s="49">
        <f t="shared" si="630"/>
        <v>0</v>
      </c>
      <c r="BF623" s="49">
        <f t="shared" si="631"/>
        <v>0</v>
      </c>
      <c r="BG623" s="49">
        <f t="shared" si="632"/>
        <v>0</v>
      </c>
      <c r="BH623" s="49">
        <f t="shared" si="633"/>
        <v>0</v>
      </c>
      <c r="BI623" s="49">
        <f t="shared" si="634"/>
        <v>0</v>
      </c>
      <c r="BJ623" s="49">
        <f t="shared" si="635"/>
        <v>0</v>
      </c>
      <c r="BK623" s="49">
        <f t="shared" si="636"/>
        <v>0</v>
      </c>
      <c r="BL623" s="49">
        <f t="shared" si="637"/>
        <v>0</v>
      </c>
      <c r="BM623" s="49">
        <f t="shared" si="638"/>
        <v>0</v>
      </c>
      <c r="BN623" s="49">
        <f t="shared" si="639"/>
        <v>0</v>
      </c>
      <c r="BO623" s="49">
        <f t="shared" si="640"/>
        <v>0</v>
      </c>
      <c r="BP623" s="49">
        <f t="shared" si="641"/>
        <v>0</v>
      </c>
      <c r="BQ623" s="49">
        <f t="shared" si="642"/>
        <v>0</v>
      </c>
      <c r="BR623" s="49">
        <f t="shared" si="643"/>
        <v>0</v>
      </c>
      <c r="BS623" s="49">
        <f t="shared" si="644"/>
        <v>0</v>
      </c>
      <c r="BT623" s="49">
        <f t="shared" si="645"/>
        <v>0</v>
      </c>
      <c r="BU623" s="49">
        <f t="shared" si="646"/>
        <v>0</v>
      </c>
      <c r="BV623" s="49">
        <f t="shared" si="647"/>
        <v>0</v>
      </c>
      <c r="BW623" s="49">
        <f t="shared" si="648"/>
        <v>0</v>
      </c>
    </row>
    <row r="624" spans="1:75" ht="35.1" customHeight="1" x14ac:dyDescent="0.3">
      <c r="A624" s="123" t="str">
        <f t="shared" si="581"/>
        <v>팀</v>
      </c>
      <c r="B624" s="69"/>
      <c r="C624" s="121"/>
      <c r="D624" s="74"/>
      <c r="E624" s="74"/>
      <c r="F624" s="70"/>
      <c r="G624" s="72"/>
      <c r="H624" s="67"/>
      <c r="I624" s="73"/>
      <c r="J624" s="73"/>
      <c r="K624" s="68"/>
      <c r="L624" s="67"/>
      <c r="M624" s="73"/>
      <c r="N624" s="73"/>
      <c r="O624" s="68"/>
      <c r="P624" s="67"/>
      <c r="Q624" s="73"/>
      <c r="R624" s="73"/>
      <c r="S624" s="68"/>
      <c r="T624" s="67"/>
      <c r="U624" s="73"/>
      <c r="V624" s="73"/>
      <c r="W624" s="68"/>
      <c r="X624" s="67"/>
      <c r="Y624" s="73"/>
      <c r="Z624" s="73"/>
      <c r="AA624" s="68"/>
      <c r="AB624" s="67"/>
      <c r="AC624" s="73"/>
      <c r="AD624" s="73"/>
      <c r="AE624" s="68"/>
      <c r="AF624" s="67"/>
      <c r="AG624" s="73"/>
      <c r="AH624" s="73"/>
      <c r="AI624" s="68"/>
      <c r="AJ624" s="67"/>
      <c r="AK624" s="73"/>
      <c r="AL624" s="73"/>
      <c r="AM624" s="68"/>
      <c r="AN624" s="67"/>
      <c r="AO624" s="68"/>
      <c r="AR624" s="49">
        <f t="shared" si="617"/>
        <v>0</v>
      </c>
      <c r="AS624" s="49">
        <f t="shared" si="618"/>
        <v>0</v>
      </c>
      <c r="AT624" s="49">
        <f t="shared" si="619"/>
        <v>0</v>
      </c>
      <c r="AU624" s="49">
        <f t="shared" si="620"/>
        <v>0</v>
      </c>
      <c r="AV624" s="49">
        <f t="shared" si="621"/>
        <v>0</v>
      </c>
      <c r="AW624" s="49">
        <f t="shared" si="622"/>
        <v>0</v>
      </c>
      <c r="AX624" s="49">
        <f t="shared" si="623"/>
        <v>0</v>
      </c>
      <c r="AY624" s="49">
        <f t="shared" si="624"/>
        <v>0</v>
      </c>
      <c r="AZ624" s="49">
        <f t="shared" si="625"/>
        <v>0</v>
      </c>
      <c r="BA624" s="49">
        <f t="shared" si="626"/>
        <v>0</v>
      </c>
      <c r="BB624" s="49">
        <f t="shared" si="627"/>
        <v>0</v>
      </c>
      <c r="BC624" s="49">
        <f t="shared" si="628"/>
        <v>0</v>
      </c>
      <c r="BD624" s="49">
        <f t="shared" si="629"/>
        <v>0</v>
      </c>
      <c r="BE624" s="49">
        <f t="shared" si="630"/>
        <v>0</v>
      </c>
      <c r="BF624" s="49">
        <f t="shared" si="631"/>
        <v>0</v>
      </c>
      <c r="BG624" s="49">
        <f t="shared" si="632"/>
        <v>0</v>
      </c>
      <c r="BH624" s="49">
        <f t="shared" si="633"/>
        <v>0</v>
      </c>
      <c r="BI624" s="49">
        <f t="shared" si="634"/>
        <v>0</v>
      </c>
      <c r="BJ624" s="49">
        <f t="shared" si="635"/>
        <v>0</v>
      </c>
      <c r="BK624" s="49">
        <f t="shared" si="636"/>
        <v>0</v>
      </c>
      <c r="BL624" s="49">
        <f t="shared" si="637"/>
        <v>0</v>
      </c>
      <c r="BM624" s="49">
        <f t="shared" si="638"/>
        <v>0</v>
      </c>
      <c r="BN624" s="49">
        <f t="shared" si="639"/>
        <v>0</v>
      </c>
      <c r="BO624" s="49">
        <f t="shared" si="640"/>
        <v>0</v>
      </c>
      <c r="BP624" s="49">
        <f t="shared" si="641"/>
        <v>0</v>
      </c>
      <c r="BQ624" s="49">
        <f t="shared" si="642"/>
        <v>0</v>
      </c>
      <c r="BR624" s="49">
        <f t="shared" si="643"/>
        <v>0</v>
      </c>
      <c r="BS624" s="49">
        <f t="shared" si="644"/>
        <v>0</v>
      </c>
      <c r="BT624" s="49">
        <f t="shared" si="645"/>
        <v>0</v>
      </c>
      <c r="BU624" s="49">
        <f t="shared" si="646"/>
        <v>0</v>
      </c>
      <c r="BV624" s="49">
        <f t="shared" si="647"/>
        <v>0</v>
      </c>
      <c r="BW624" s="49">
        <f t="shared" si="648"/>
        <v>0</v>
      </c>
    </row>
    <row r="625" spans="1:75" ht="35.1" customHeight="1" x14ac:dyDescent="0.3">
      <c r="A625" s="123" t="str">
        <f t="shared" si="581"/>
        <v>팀</v>
      </c>
      <c r="B625" s="69"/>
      <c r="C625" s="121"/>
      <c r="D625" s="74"/>
      <c r="E625" s="74"/>
      <c r="F625" s="70"/>
      <c r="G625" s="72"/>
      <c r="H625" s="67"/>
      <c r="I625" s="73"/>
      <c r="J625" s="73"/>
      <c r="K625" s="68"/>
      <c r="L625" s="67"/>
      <c r="M625" s="73"/>
      <c r="N625" s="73"/>
      <c r="O625" s="68"/>
      <c r="P625" s="67"/>
      <c r="Q625" s="73"/>
      <c r="R625" s="73"/>
      <c r="S625" s="68"/>
      <c r="T625" s="67"/>
      <c r="U625" s="73"/>
      <c r="V625" s="73"/>
      <c r="W625" s="68"/>
      <c r="X625" s="67"/>
      <c r="Y625" s="73"/>
      <c r="Z625" s="73"/>
      <c r="AA625" s="68"/>
      <c r="AB625" s="67"/>
      <c r="AC625" s="73"/>
      <c r="AD625" s="73"/>
      <c r="AE625" s="68"/>
      <c r="AF625" s="67"/>
      <c r="AG625" s="73"/>
      <c r="AH625" s="73"/>
      <c r="AI625" s="68"/>
      <c r="AJ625" s="67"/>
      <c r="AK625" s="73"/>
      <c r="AL625" s="73"/>
      <c r="AM625" s="68"/>
      <c r="AN625" s="67"/>
      <c r="AO625" s="68"/>
      <c r="AR625" s="49">
        <f t="shared" si="617"/>
        <v>0</v>
      </c>
      <c r="AS625" s="49">
        <f t="shared" si="618"/>
        <v>0</v>
      </c>
      <c r="AT625" s="49">
        <f t="shared" si="619"/>
        <v>0</v>
      </c>
      <c r="AU625" s="49">
        <f t="shared" si="620"/>
        <v>0</v>
      </c>
      <c r="AV625" s="49">
        <f t="shared" si="621"/>
        <v>0</v>
      </c>
      <c r="AW625" s="49">
        <f t="shared" si="622"/>
        <v>0</v>
      </c>
      <c r="AX625" s="49">
        <f t="shared" si="623"/>
        <v>0</v>
      </c>
      <c r="AY625" s="49">
        <f t="shared" si="624"/>
        <v>0</v>
      </c>
      <c r="AZ625" s="49">
        <f t="shared" si="625"/>
        <v>0</v>
      </c>
      <c r="BA625" s="49">
        <f t="shared" si="626"/>
        <v>0</v>
      </c>
      <c r="BB625" s="49">
        <f t="shared" si="627"/>
        <v>0</v>
      </c>
      <c r="BC625" s="49">
        <f t="shared" si="628"/>
        <v>0</v>
      </c>
      <c r="BD625" s="49">
        <f t="shared" si="629"/>
        <v>0</v>
      </c>
      <c r="BE625" s="49">
        <f t="shared" si="630"/>
        <v>0</v>
      </c>
      <c r="BF625" s="49">
        <f t="shared" si="631"/>
        <v>0</v>
      </c>
      <c r="BG625" s="49">
        <f t="shared" si="632"/>
        <v>0</v>
      </c>
      <c r="BH625" s="49">
        <f t="shared" si="633"/>
        <v>0</v>
      </c>
      <c r="BI625" s="49">
        <f t="shared" si="634"/>
        <v>0</v>
      </c>
      <c r="BJ625" s="49">
        <f t="shared" si="635"/>
        <v>0</v>
      </c>
      <c r="BK625" s="49">
        <f t="shared" si="636"/>
        <v>0</v>
      </c>
      <c r="BL625" s="49">
        <f t="shared" si="637"/>
        <v>0</v>
      </c>
      <c r="BM625" s="49">
        <f t="shared" si="638"/>
        <v>0</v>
      </c>
      <c r="BN625" s="49">
        <f t="shared" si="639"/>
        <v>0</v>
      </c>
      <c r="BO625" s="49">
        <f t="shared" si="640"/>
        <v>0</v>
      </c>
      <c r="BP625" s="49">
        <f t="shared" si="641"/>
        <v>0</v>
      </c>
      <c r="BQ625" s="49">
        <f t="shared" si="642"/>
        <v>0</v>
      </c>
      <c r="BR625" s="49">
        <f t="shared" si="643"/>
        <v>0</v>
      </c>
      <c r="BS625" s="49">
        <f t="shared" si="644"/>
        <v>0</v>
      </c>
      <c r="BT625" s="49">
        <f t="shared" si="645"/>
        <v>0</v>
      </c>
      <c r="BU625" s="49">
        <f t="shared" si="646"/>
        <v>0</v>
      </c>
      <c r="BV625" s="49">
        <f t="shared" si="647"/>
        <v>0</v>
      </c>
      <c r="BW625" s="49">
        <f t="shared" si="648"/>
        <v>0</v>
      </c>
    </row>
    <row r="626" spans="1:75" ht="35.1" customHeight="1" x14ac:dyDescent="0.3">
      <c r="A626" s="123" t="str">
        <f t="shared" si="581"/>
        <v>팀</v>
      </c>
      <c r="B626" s="69"/>
      <c r="C626" s="121"/>
      <c r="D626" s="74"/>
      <c r="E626" s="74"/>
      <c r="F626" s="70"/>
      <c r="G626" s="72"/>
      <c r="H626" s="67"/>
      <c r="I626" s="73"/>
      <c r="J626" s="73"/>
      <c r="K626" s="68"/>
      <c r="L626" s="67"/>
      <c r="M626" s="73"/>
      <c r="N626" s="73"/>
      <c r="O626" s="68"/>
      <c r="P626" s="67"/>
      <c r="Q626" s="73"/>
      <c r="R626" s="73"/>
      <c r="S626" s="68"/>
      <c r="T626" s="67"/>
      <c r="U626" s="73"/>
      <c r="V626" s="73"/>
      <c r="W626" s="68"/>
      <c r="X626" s="67"/>
      <c r="Y626" s="73"/>
      <c r="Z626" s="73"/>
      <c r="AA626" s="68"/>
      <c r="AB626" s="67"/>
      <c r="AC626" s="73"/>
      <c r="AD626" s="73"/>
      <c r="AE626" s="68"/>
      <c r="AF626" s="67"/>
      <c r="AG626" s="73"/>
      <c r="AH626" s="73"/>
      <c r="AI626" s="68"/>
      <c r="AJ626" s="67"/>
      <c r="AK626" s="73"/>
      <c r="AL626" s="73"/>
      <c r="AM626" s="68"/>
      <c r="AN626" s="67"/>
      <c r="AO626" s="68"/>
      <c r="AR626" s="49">
        <f t="shared" si="617"/>
        <v>0</v>
      </c>
      <c r="AS626" s="49">
        <f t="shared" si="618"/>
        <v>0</v>
      </c>
      <c r="AT626" s="49">
        <f t="shared" si="619"/>
        <v>0</v>
      </c>
      <c r="AU626" s="49">
        <f t="shared" si="620"/>
        <v>0</v>
      </c>
      <c r="AV626" s="49">
        <f t="shared" si="621"/>
        <v>0</v>
      </c>
      <c r="AW626" s="49">
        <f t="shared" si="622"/>
        <v>0</v>
      </c>
      <c r="AX626" s="49">
        <f t="shared" si="623"/>
        <v>0</v>
      </c>
      <c r="AY626" s="49">
        <f t="shared" si="624"/>
        <v>0</v>
      </c>
      <c r="AZ626" s="49">
        <f t="shared" si="625"/>
        <v>0</v>
      </c>
      <c r="BA626" s="49">
        <f t="shared" si="626"/>
        <v>0</v>
      </c>
      <c r="BB626" s="49">
        <f t="shared" si="627"/>
        <v>0</v>
      </c>
      <c r="BC626" s="49">
        <f t="shared" si="628"/>
        <v>0</v>
      </c>
      <c r="BD626" s="49">
        <f t="shared" si="629"/>
        <v>0</v>
      </c>
      <c r="BE626" s="49">
        <f t="shared" si="630"/>
        <v>0</v>
      </c>
      <c r="BF626" s="49">
        <f t="shared" si="631"/>
        <v>0</v>
      </c>
      <c r="BG626" s="49">
        <f t="shared" si="632"/>
        <v>0</v>
      </c>
      <c r="BH626" s="49">
        <f t="shared" si="633"/>
        <v>0</v>
      </c>
      <c r="BI626" s="49">
        <f t="shared" si="634"/>
        <v>0</v>
      </c>
      <c r="BJ626" s="49">
        <f t="shared" si="635"/>
        <v>0</v>
      </c>
      <c r="BK626" s="49">
        <f t="shared" si="636"/>
        <v>0</v>
      </c>
      <c r="BL626" s="49">
        <f t="shared" si="637"/>
        <v>0</v>
      </c>
      <c r="BM626" s="49">
        <f t="shared" si="638"/>
        <v>0</v>
      </c>
      <c r="BN626" s="49">
        <f t="shared" si="639"/>
        <v>0</v>
      </c>
      <c r="BO626" s="49">
        <f t="shared" si="640"/>
        <v>0</v>
      </c>
      <c r="BP626" s="49">
        <f t="shared" si="641"/>
        <v>0</v>
      </c>
      <c r="BQ626" s="49">
        <f t="shared" si="642"/>
        <v>0</v>
      </c>
      <c r="BR626" s="49">
        <f t="shared" si="643"/>
        <v>0</v>
      </c>
      <c r="BS626" s="49">
        <f t="shared" si="644"/>
        <v>0</v>
      </c>
      <c r="BT626" s="49">
        <f t="shared" si="645"/>
        <v>0</v>
      </c>
      <c r="BU626" s="49">
        <f t="shared" si="646"/>
        <v>0</v>
      </c>
      <c r="BV626" s="49">
        <f t="shared" si="647"/>
        <v>0</v>
      </c>
      <c r="BW626" s="49">
        <f t="shared" si="648"/>
        <v>0</v>
      </c>
    </row>
    <row r="627" spans="1:75" ht="35.1" customHeight="1" x14ac:dyDescent="0.3">
      <c r="A627" s="123" t="str">
        <f t="shared" si="581"/>
        <v>팀</v>
      </c>
      <c r="B627" s="69"/>
      <c r="C627" s="121"/>
      <c r="D627" s="74"/>
      <c r="E627" s="74"/>
      <c r="F627" s="70"/>
      <c r="G627" s="72"/>
      <c r="H627" s="67"/>
      <c r="I627" s="73"/>
      <c r="J627" s="73"/>
      <c r="K627" s="68"/>
      <c r="L627" s="67"/>
      <c r="M627" s="73"/>
      <c r="N627" s="73"/>
      <c r="O627" s="68"/>
      <c r="P627" s="67"/>
      <c r="Q627" s="73"/>
      <c r="R627" s="73"/>
      <c r="S627" s="68"/>
      <c r="T627" s="67"/>
      <c r="U627" s="73"/>
      <c r="V627" s="73"/>
      <c r="W627" s="68"/>
      <c r="X627" s="67"/>
      <c r="Y627" s="73"/>
      <c r="Z627" s="73"/>
      <c r="AA627" s="68"/>
      <c r="AB627" s="67"/>
      <c r="AC627" s="73"/>
      <c r="AD627" s="73"/>
      <c r="AE627" s="68"/>
      <c r="AF627" s="67"/>
      <c r="AG627" s="73"/>
      <c r="AH627" s="73"/>
      <c r="AI627" s="68"/>
      <c r="AJ627" s="67"/>
      <c r="AK627" s="73"/>
      <c r="AL627" s="73"/>
      <c r="AM627" s="68"/>
      <c r="AN627" s="67"/>
      <c r="AO627" s="68"/>
      <c r="AR627" s="49">
        <f t="shared" si="617"/>
        <v>0</v>
      </c>
      <c r="AS627" s="49">
        <f t="shared" si="618"/>
        <v>0</v>
      </c>
      <c r="AT627" s="49">
        <f t="shared" si="619"/>
        <v>0</v>
      </c>
      <c r="AU627" s="49">
        <f t="shared" si="620"/>
        <v>0</v>
      </c>
      <c r="AV627" s="49">
        <f t="shared" si="621"/>
        <v>0</v>
      </c>
      <c r="AW627" s="49">
        <f t="shared" si="622"/>
        <v>0</v>
      </c>
      <c r="AX627" s="49">
        <f t="shared" si="623"/>
        <v>0</v>
      </c>
      <c r="AY627" s="49">
        <f t="shared" si="624"/>
        <v>0</v>
      </c>
      <c r="AZ627" s="49">
        <f t="shared" si="625"/>
        <v>0</v>
      </c>
      <c r="BA627" s="49">
        <f t="shared" si="626"/>
        <v>0</v>
      </c>
      <c r="BB627" s="49">
        <f t="shared" si="627"/>
        <v>0</v>
      </c>
      <c r="BC627" s="49">
        <f t="shared" si="628"/>
        <v>0</v>
      </c>
      <c r="BD627" s="49">
        <f t="shared" si="629"/>
        <v>0</v>
      </c>
      <c r="BE627" s="49">
        <f t="shared" si="630"/>
        <v>0</v>
      </c>
      <c r="BF627" s="49">
        <f t="shared" si="631"/>
        <v>0</v>
      </c>
      <c r="BG627" s="49">
        <f t="shared" si="632"/>
        <v>0</v>
      </c>
      <c r="BH627" s="49">
        <f t="shared" si="633"/>
        <v>0</v>
      </c>
      <c r="BI627" s="49">
        <f t="shared" si="634"/>
        <v>0</v>
      </c>
      <c r="BJ627" s="49">
        <f t="shared" si="635"/>
        <v>0</v>
      </c>
      <c r="BK627" s="49">
        <f t="shared" si="636"/>
        <v>0</v>
      </c>
      <c r="BL627" s="49">
        <f t="shared" si="637"/>
        <v>0</v>
      </c>
      <c r="BM627" s="49">
        <f t="shared" si="638"/>
        <v>0</v>
      </c>
      <c r="BN627" s="49">
        <f t="shared" si="639"/>
        <v>0</v>
      </c>
      <c r="BO627" s="49">
        <f t="shared" si="640"/>
        <v>0</v>
      </c>
      <c r="BP627" s="49">
        <f t="shared" si="641"/>
        <v>0</v>
      </c>
      <c r="BQ627" s="49">
        <f t="shared" si="642"/>
        <v>0</v>
      </c>
      <c r="BR627" s="49">
        <f t="shared" si="643"/>
        <v>0</v>
      </c>
      <c r="BS627" s="49">
        <f t="shared" si="644"/>
        <v>0</v>
      </c>
      <c r="BT627" s="49">
        <f t="shared" si="645"/>
        <v>0</v>
      </c>
      <c r="BU627" s="49">
        <f t="shared" si="646"/>
        <v>0</v>
      </c>
      <c r="BV627" s="49">
        <f t="shared" si="647"/>
        <v>0</v>
      </c>
      <c r="BW627" s="49">
        <f t="shared" si="648"/>
        <v>0</v>
      </c>
    </row>
    <row r="628" spans="1:75" ht="35.1" customHeight="1" x14ac:dyDescent="0.3">
      <c r="A628" s="123" t="str">
        <f t="shared" si="581"/>
        <v>팀</v>
      </c>
      <c r="B628" s="69"/>
      <c r="C628" s="121"/>
      <c r="D628" s="74"/>
      <c r="E628" s="74"/>
      <c r="F628" s="70"/>
      <c r="G628" s="72"/>
      <c r="H628" s="67"/>
      <c r="I628" s="73"/>
      <c r="J628" s="73"/>
      <c r="K628" s="68"/>
      <c r="L628" s="67"/>
      <c r="M628" s="73"/>
      <c r="N628" s="73"/>
      <c r="O628" s="68"/>
      <c r="P628" s="67"/>
      <c r="Q628" s="73"/>
      <c r="R628" s="73"/>
      <c r="S628" s="68"/>
      <c r="T628" s="67"/>
      <c r="U628" s="73"/>
      <c r="V628" s="73"/>
      <c r="W628" s="68"/>
      <c r="X628" s="67"/>
      <c r="Y628" s="73"/>
      <c r="Z628" s="73"/>
      <c r="AA628" s="68"/>
      <c r="AB628" s="67"/>
      <c r="AC628" s="73"/>
      <c r="AD628" s="73"/>
      <c r="AE628" s="68"/>
      <c r="AF628" s="67"/>
      <c r="AG628" s="73"/>
      <c r="AH628" s="73"/>
      <c r="AI628" s="68"/>
      <c r="AJ628" s="67"/>
      <c r="AK628" s="73"/>
      <c r="AL628" s="73"/>
      <c r="AM628" s="68"/>
      <c r="AN628" s="67"/>
      <c r="AO628" s="68"/>
      <c r="AR628" s="49">
        <f t="shared" si="617"/>
        <v>0</v>
      </c>
      <c r="AS628" s="49">
        <f t="shared" si="618"/>
        <v>0</v>
      </c>
      <c r="AT628" s="49">
        <f t="shared" si="619"/>
        <v>0</v>
      </c>
      <c r="AU628" s="49">
        <f t="shared" si="620"/>
        <v>0</v>
      </c>
      <c r="AV628" s="49">
        <f t="shared" si="621"/>
        <v>0</v>
      </c>
      <c r="AW628" s="49">
        <f t="shared" si="622"/>
        <v>0</v>
      </c>
      <c r="AX628" s="49">
        <f t="shared" si="623"/>
        <v>0</v>
      </c>
      <c r="AY628" s="49">
        <f t="shared" si="624"/>
        <v>0</v>
      </c>
      <c r="AZ628" s="49">
        <f t="shared" si="625"/>
        <v>0</v>
      </c>
      <c r="BA628" s="49">
        <f t="shared" si="626"/>
        <v>0</v>
      </c>
      <c r="BB628" s="49">
        <f t="shared" si="627"/>
        <v>0</v>
      </c>
      <c r="BC628" s="49">
        <f t="shared" si="628"/>
        <v>0</v>
      </c>
      <c r="BD628" s="49">
        <f t="shared" si="629"/>
        <v>0</v>
      </c>
      <c r="BE628" s="49">
        <f t="shared" si="630"/>
        <v>0</v>
      </c>
      <c r="BF628" s="49">
        <f t="shared" si="631"/>
        <v>0</v>
      </c>
      <c r="BG628" s="49">
        <f t="shared" si="632"/>
        <v>0</v>
      </c>
      <c r="BH628" s="49">
        <f t="shared" si="633"/>
        <v>0</v>
      </c>
      <c r="BI628" s="49">
        <f t="shared" si="634"/>
        <v>0</v>
      </c>
      <c r="BJ628" s="49">
        <f t="shared" si="635"/>
        <v>0</v>
      </c>
      <c r="BK628" s="49">
        <f t="shared" si="636"/>
        <v>0</v>
      </c>
      <c r="BL628" s="49">
        <f t="shared" si="637"/>
        <v>0</v>
      </c>
      <c r="BM628" s="49">
        <f t="shared" si="638"/>
        <v>0</v>
      </c>
      <c r="BN628" s="49">
        <f t="shared" si="639"/>
        <v>0</v>
      </c>
      <c r="BO628" s="49">
        <f t="shared" si="640"/>
        <v>0</v>
      </c>
      <c r="BP628" s="49">
        <f t="shared" si="641"/>
        <v>0</v>
      </c>
      <c r="BQ628" s="49">
        <f t="shared" si="642"/>
        <v>0</v>
      </c>
      <c r="BR628" s="49">
        <f t="shared" si="643"/>
        <v>0</v>
      </c>
      <c r="BS628" s="49">
        <f t="shared" si="644"/>
        <v>0</v>
      </c>
      <c r="BT628" s="49">
        <f t="shared" si="645"/>
        <v>0</v>
      </c>
      <c r="BU628" s="49">
        <f t="shared" si="646"/>
        <v>0</v>
      </c>
      <c r="BV628" s="49">
        <f t="shared" si="647"/>
        <v>0</v>
      </c>
      <c r="BW628" s="49">
        <f t="shared" si="648"/>
        <v>0</v>
      </c>
    </row>
    <row r="629" spans="1:75" ht="35.1" customHeight="1" x14ac:dyDescent="0.3">
      <c r="A629" s="123" t="str">
        <f t="shared" si="581"/>
        <v>팀</v>
      </c>
      <c r="B629" s="69"/>
      <c r="C629" s="121"/>
      <c r="D629" s="74"/>
      <c r="E629" s="74"/>
      <c r="F629" s="70"/>
      <c r="G629" s="72"/>
      <c r="H629" s="67"/>
      <c r="I629" s="73"/>
      <c r="J629" s="73"/>
      <c r="K629" s="68"/>
      <c r="L629" s="67"/>
      <c r="M629" s="73"/>
      <c r="N629" s="73"/>
      <c r="O629" s="68"/>
      <c r="P629" s="67"/>
      <c r="Q629" s="73"/>
      <c r="R629" s="73"/>
      <c r="S629" s="68"/>
      <c r="T629" s="67"/>
      <c r="U629" s="73"/>
      <c r="V629" s="73"/>
      <c r="W629" s="68"/>
      <c r="X629" s="67"/>
      <c r="Y629" s="73"/>
      <c r="Z629" s="73"/>
      <c r="AA629" s="68"/>
      <c r="AB629" s="67"/>
      <c r="AC629" s="73"/>
      <c r="AD629" s="73"/>
      <c r="AE629" s="68"/>
      <c r="AF629" s="67"/>
      <c r="AG629" s="73"/>
      <c r="AH629" s="73"/>
      <c r="AI629" s="68"/>
      <c r="AJ629" s="67"/>
      <c r="AK629" s="73"/>
      <c r="AL629" s="73"/>
      <c r="AM629" s="68"/>
      <c r="AN629" s="67"/>
      <c r="AO629" s="68"/>
      <c r="AR629" s="49">
        <f t="shared" si="617"/>
        <v>0</v>
      </c>
      <c r="AS629" s="49">
        <f t="shared" si="618"/>
        <v>0</v>
      </c>
      <c r="AT629" s="49">
        <f t="shared" si="619"/>
        <v>0</v>
      </c>
      <c r="AU629" s="49">
        <f t="shared" si="620"/>
        <v>0</v>
      </c>
      <c r="AV629" s="49">
        <f t="shared" si="621"/>
        <v>0</v>
      </c>
      <c r="AW629" s="49">
        <f t="shared" si="622"/>
        <v>0</v>
      </c>
      <c r="AX629" s="49">
        <f t="shared" si="623"/>
        <v>0</v>
      </c>
      <c r="AY629" s="49">
        <f t="shared" si="624"/>
        <v>0</v>
      </c>
      <c r="AZ629" s="49">
        <f t="shared" si="625"/>
        <v>0</v>
      </c>
      <c r="BA629" s="49">
        <f t="shared" si="626"/>
        <v>0</v>
      </c>
      <c r="BB629" s="49">
        <f t="shared" si="627"/>
        <v>0</v>
      </c>
      <c r="BC629" s="49">
        <f t="shared" si="628"/>
        <v>0</v>
      </c>
      <c r="BD629" s="49">
        <f t="shared" si="629"/>
        <v>0</v>
      </c>
      <c r="BE629" s="49">
        <f t="shared" si="630"/>
        <v>0</v>
      </c>
      <c r="BF629" s="49">
        <f t="shared" si="631"/>
        <v>0</v>
      </c>
      <c r="BG629" s="49">
        <f t="shared" si="632"/>
        <v>0</v>
      </c>
      <c r="BH629" s="49">
        <f t="shared" si="633"/>
        <v>0</v>
      </c>
      <c r="BI629" s="49">
        <f t="shared" si="634"/>
        <v>0</v>
      </c>
      <c r="BJ629" s="49">
        <f t="shared" si="635"/>
        <v>0</v>
      </c>
      <c r="BK629" s="49">
        <f t="shared" si="636"/>
        <v>0</v>
      </c>
      <c r="BL629" s="49">
        <f t="shared" si="637"/>
        <v>0</v>
      </c>
      <c r="BM629" s="49">
        <f t="shared" si="638"/>
        <v>0</v>
      </c>
      <c r="BN629" s="49">
        <f t="shared" si="639"/>
        <v>0</v>
      </c>
      <c r="BO629" s="49">
        <f t="shared" si="640"/>
        <v>0</v>
      </c>
      <c r="BP629" s="49">
        <f t="shared" si="641"/>
        <v>0</v>
      </c>
      <c r="BQ629" s="49">
        <f t="shared" si="642"/>
        <v>0</v>
      </c>
      <c r="BR629" s="49">
        <f t="shared" si="643"/>
        <v>0</v>
      </c>
      <c r="BS629" s="49">
        <f t="shared" si="644"/>
        <v>0</v>
      </c>
      <c r="BT629" s="49">
        <f t="shared" si="645"/>
        <v>0</v>
      </c>
      <c r="BU629" s="49">
        <f t="shared" si="646"/>
        <v>0</v>
      </c>
      <c r="BV629" s="49">
        <f t="shared" si="647"/>
        <v>0</v>
      </c>
      <c r="BW629" s="49">
        <f t="shared" si="648"/>
        <v>0</v>
      </c>
    </row>
    <row r="630" spans="1:75" ht="35.1" customHeight="1" x14ac:dyDescent="0.3">
      <c r="A630" s="123" t="str">
        <f t="shared" si="581"/>
        <v>팀</v>
      </c>
      <c r="B630" s="69"/>
      <c r="C630" s="121"/>
      <c r="D630" s="74"/>
      <c r="E630" s="74"/>
      <c r="F630" s="70"/>
      <c r="G630" s="72"/>
      <c r="H630" s="67"/>
      <c r="I630" s="73"/>
      <c r="J630" s="73"/>
      <c r="K630" s="68"/>
      <c r="L630" s="67"/>
      <c r="M630" s="73"/>
      <c r="N630" s="73"/>
      <c r="O630" s="68"/>
      <c r="P630" s="67"/>
      <c r="Q630" s="73"/>
      <c r="R630" s="73"/>
      <c r="S630" s="68"/>
      <c r="T630" s="67"/>
      <c r="U630" s="73"/>
      <c r="V630" s="73"/>
      <c r="W630" s="68"/>
      <c r="X630" s="67"/>
      <c r="Y630" s="73"/>
      <c r="Z630" s="73"/>
      <c r="AA630" s="68"/>
      <c r="AB630" s="67"/>
      <c r="AC630" s="73"/>
      <c r="AD630" s="73"/>
      <c r="AE630" s="68"/>
      <c r="AF630" s="67"/>
      <c r="AG630" s="73"/>
      <c r="AH630" s="73"/>
      <c r="AI630" s="68"/>
      <c r="AJ630" s="67"/>
      <c r="AK630" s="73"/>
      <c r="AL630" s="73"/>
      <c r="AM630" s="68"/>
      <c r="AN630" s="67"/>
      <c r="AO630" s="68"/>
      <c r="AR630" s="49">
        <f t="shared" si="617"/>
        <v>0</v>
      </c>
      <c r="AS630" s="49">
        <f t="shared" si="618"/>
        <v>0</v>
      </c>
      <c r="AT630" s="49">
        <f t="shared" si="619"/>
        <v>0</v>
      </c>
      <c r="AU630" s="49">
        <f t="shared" si="620"/>
        <v>0</v>
      </c>
      <c r="AV630" s="49">
        <f t="shared" si="621"/>
        <v>0</v>
      </c>
      <c r="AW630" s="49">
        <f t="shared" si="622"/>
        <v>0</v>
      </c>
      <c r="AX630" s="49">
        <f t="shared" si="623"/>
        <v>0</v>
      </c>
      <c r="AY630" s="49">
        <f t="shared" si="624"/>
        <v>0</v>
      </c>
      <c r="AZ630" s="49">
        <f t="shared" si="625"/>
        <v>0</v>
      </c>
      <c r="BA630" s="49">
        <f t="shared" si="626"/>
        <v>0</v>
      </c>
      <c r="BB630" s="49">
        <f t="shared" si="627"/>
        <v>0</v>
      </c>
      <c r="BC630" s="49">
        <f t="shared" si="628"/>
        <v>0</v>
      </c>
      <c r="BD630" s="49">
        <f t="shared" si="629"/>
        <v>0</v>
      </c>
      <c r="BE630" s="49">
        <f t="shared" si="630"/>
        <v>0</v>
      </c>
      <c r="BF630" s="49">
        <f t="shared" si="631"/>
        <v>0</v>
      </c>
      <c r="BG630" s="49">
        <f t="shared" si="632"/>
        <v>0</v>
      </c>
      <c r="BH630" s="49">
        <f t="shared" si="633"/>
        <v>0</v>
      </c>
      <c r="BI630" s="49">
        <f t="shared" si="634"/>
        <v>0</v>
      </c>
      <c r="BJ630" s="49">
        <f t="shared" si="635"/>
        <v>0</v>
      </c>
      <c r="BK630" s="49">
        <f t="shared" si="636"/>
        <v>0</v>
      </c>
      <c r="BL630" s="49">
        <f t="shared" si="637"/>
        <v>0</v>
      </c>
      <c r="BM630" s="49">
        <f t="shared" si="638"/>
        <v>0</v>
      </c>
      <c r="BN630" s="49">
        <f t="shared" si="639"/>
        <v>0</v>
      </c>
      <c r="BO630" s="49">
        <f t="shared" si="640"/>
        <v>0</v>
      </c>
      <c r="BP630" s="49">
        <f t="shared" si="641"/>
        <v>0</v>
      </c>
      <c r="BQ630" s="49">
        <f t="shared" si="642"/>
        <v>0</v>
      </c>
      <c r="BR630" s="49">
        <f t="shared" si="643"/>
        <v>0</v>
      </c>
      <c r="BS630" s="49">
        <f t="shared" si="644"/>
        <v>0</v>
      </c>
      <c r="BT630" s="49">
        <f t="shared" si="645"/>
        <v>0</v>
      </c>
      <c r="BU630" s="49">
        <f t="shared" si="646"/>
        <v>0</v>
      </c>
      <c r="BV630" s="49">
        <f t="shared" si="647"/>
        <v>0</v>
      </c>
      <c r="BW630" s="49">
        <f t="shared" si="648"/>
        <v>0</v>
      </c>
    </row>
    <row r="631" spans="1:75" ht="35.1" customHeight="1" x14ac:dyDescent="0.3">
      <c r="A631" s="123" t="str">
        <f t="shared" si="581"/>
        <v>팀</v>
      </c>
      <c r="B631" s="69"/>
      <c r="C631" s="121"/>
      <c r="D631" s="74"/>
      <c r="E631" s="74"/>
      <c r="F631" s="70"/>
      <c r="G631" s="72"/>
      <c r="H631" s="67"/>
      <c r="I631" s="73"/>
      <c r="J631" s="73"/>
      <c r="K631" s="68"/>
      <c r="L631" s="67"/>
      <c r="M631" s="73"/>
      <c r="N631" s="73"/>
      <c r="O631" s="68"/>
      <c r="P631" s="67"/>
      <c r="Q631" s="73"/>
      <c r="R631" s="73"/>
      <c r="S631" s="68"/>
      <c r="T631" s="67"/>
      <c r="U631" s="73"/>
      <c r="V631" s="73"/>
      <c r="W631" s="68"/>
      <c r="X631" s="67"/>
      <c r="Y631" s="73"/>
      <c r="Z631" s="73"/>
      <c r="AA631" s="68"/>
      <c r="AB631" s="67"/>
      <c r="AC631" s="73"/>
      <c r="AD631" s="73"/>
      <c r="AE631" s="68"/>
      <c r="AF631" s="67"/>
      <c r="AG631" s="73"/>
      <c r="AH631" s="73"/>
      <c r="AI631" s="68"/>
      <c r="AJ631" s="67"/>
      <c r="AK631" s="73"/>
      <c r="AL631" s="73"/>
      <c r="AM631" s="68"/>
      <c r="AN631" s="67"/>
      <c r="AO631" s="68"/>
      <c r="AR631" s="49">
        <f t="shared" si="617"/>
        <v>0</v>
      </c>
      <c r="AS631" s="49">
        <f t="shared" si="618"/>
        <v>0</v>
      </c>
      <c r="AT631" s="49">
        <f t="shared" si="619"/>
        <v>0</v>
      </c>
      <c r="AU631" s="49">
        <f t="shared" si="620"/>
        <v>0</v>
      </c>
      <c r="AV631" s="49">
        <f t="shared" si="621"/>
        <v>0</v>
      </c>
      <c r="AW631" s="49">
        <f t="shared" si="622"/>
        <v>0</v>
      </c>
      <c r="AX631" s="49">
        <f t="shared" si="623"/>
        <v>0</v>
      </c>
      <c r="AY631" s="49">
        <f t="shared" si="624"/>
        <v>0</v>
      </c>
      <c r="AZ631" s="49">
        <f t="shared" si="625"/>
        <v>0</v>
      </c>
      <c r="BA631" s="49">
        <f t="shared" si="626"/>
        <v>0</v>
      </c>
      <c r="BB631" s="49">
        <f t="shared" si="627"/>
        <v>0</v>
      </c>
      <c r="BC631" s="49">
        <f t="shared" si="628"/>
        <v>0</v>
      </c>
      <c r="BD631" s="49">
        <f t="shared" si="629"/>
        <v>0</v>
      </c>
      <c r="BE631" s="49">
        <f t="shared" si="630"/>
        <v>0</v>
      </c>
      <c r="BF631" s="49">
        <f t="shared" si="631"/>
        <v>0</v>
      </c>
      <c r="BG631" s="49">
        <f t="shared" si="632"/>
        <v>0</v>
      </c>
      <c r="BH631" s="49">
        <f t="shared" si="633"/>
        <v>0</v>
      </c>
      <c r="BI631" s="49">
        <f t="shared" si="634"/>
        <v>0</v>
      </c>
      <c r="BJ631" s="49">
        <f t="shared" si="635"/>
        <v>0</v>
      </c>
      <c r="BK631" s="49">
        <f t="shared" si="636"/>
        <v>0</v>
      </c>
      <c r="BL631" s="49">
        <f t="shared" si="637"/>
        <v>0</v>
      </c>
      <c r="BM631" s="49">
        <f t="shared" si="638"/>
        <v>0</v>
      </c>
      <c r="BN631" s="49">
        <f t="shared" si="639"/>
        <v>0</v>
      </c>
      <c r="BO631" s="49">
        <f t="shared" si="640"/>
        <v>0</v>
      </c>
      <c r="BP631" s="49">
        <f t="shared" si="641"/>
        <v>0</v>
      </c>
      <c r="BQ631" s="49">
        <f t="shared" si="642"/>
        <v>0</v>
      </c>
      <c r="BR631" s="49">
        <f t="shared" si="643"/>
        <v>0</v>
      </c>
      <c r="BS631" s="49">
        <f t="shared" si="644"/>
        <v>0</v>
      </c>
      <c r="BT631" s="49">
        <f t="shared" si="645"/>
        <v>0</v>
      </c>
      <c r="BU631" s="49">
        <f t="shared" si="646"/>
        <v>0</v>
      </c>
      <c r="BV631" s="49">
        <f t="shared" si="647"/>
        <v>0</v>
      </c>
      <c r="BW631" s="49">
        <f t="shared" si="648"/>
        <v>0</v>
      </c>
    </row>
    <row r="632" spans="1:75" ht="35.1" customHeight="1" x14ac:dyDescent="0.3">
      <c r="A632" s="123" t="str">
        <f t="shared" si="581"/>
        <v>팀</v>
      </c>
      <c r="B632" s="69"/>
      <c r="C632" s="121"/>
      <c r="D632" s="74"/>
      <c r="E632" s="74"/>
      <c r="F632" s="70"/>
      <c r="G632" s="72"/>
      <c r="H632" s="67"/>
      <c r="I632" s="73"/>
      <c r="J632" s="73"/>
      <c r="K632" s="68"/>
      <c r="L632" s="67"/>
      <c r="M632" s="73"/>
      <c r="N632" s="73"/>
      <c r="O632" s="68"/>
      <c r="P632" s="67"/>
      <c r="Q632" s="73"/>
      <c r="R632" s="73"/>
      <c r="S632" s="68"/>
      <c r="T632" s="67"/>
      <c r="U632" s="73"/>
      <c r="V632" s="73"/>
      <c r="W632" s="68"/>
      <c r="X632" s="67"/>
      <c r="Y632" s="73"/>
      <c r="Z632" s="73"/>
      <c r="AA632" s="68"/>
      <c r="AB632" s="67"/>
      <c r="AC632" s="73"/>
      <c r="AD632" s="73"/>
      <c r="AE632" s="68"/>
      <c r="AF632" s="67"/>
      <c r="AG632" s="73"/>
      <c r="AH632" s="73"/>
      <c r="AI632" s="68"/>
      <c r="AJ632" s="67"/>
      <c r="AK632" s="73"/>
      <c r="AL632" s="73"/>
      <c r="AM632" s="68"/>
      <c r="AN632" s="67"/>
      <c r="AO632" s="68"/>
      <c r="AR632" s="49">
        <f t="shared" si="617"/>
        <v>0</v>
      </c>
      <c r="AS632" s="49">
        <f t="shared" si="618"/>
        <v>0</v>
      </c>
      <c r="AT632" s="49">
        <f t="shared" si="619"/>
        <v>0</v>
      </c>
      <c r="AU632" s="49">
        <f t="shared" si="620"/>
        <v>0</v>
      </c>
      <c r="AV632" s="49">
        <f t="shared" si="621"/>
        <v>0</v>
      </c>
      <c r="AW632" s="49">
        <f t="shared" si="622"/>
        <v>0</v>
      </c>
      <c r="AX632" s="49">
        <f t="shared" si="623"/>
        <v>0</v>
      </c>
      <c r="AY632" s="49">
        <f t="shared" si="624"/>
        <v>0</v>
      </c>
      <c r="AZ632" s="49">
        <f t="shared" si="625"/>
        <v>0</v>
      </c>
      <c r="BA632" s="49">
        <f t="shared" si="626"/>
        <v>0</v>
      </c>
      <c r="BB632" s="49">
        <f t="shared" si="627"/>
        <v>0</v>
      </c>
      <c r="BC632" s="49">
        <f t="shared" si="628"/>
        <v>0</v>
      </c>
      <c r="BD632" s="49">
        <f t="shared" si="629"/>
        <v>0</v>
      </c>
      <c r="BE632" s="49">
        <f t="shared" si="630"/>
        <v>0</v>
      </c>
      <c r="BF632" s="49">
        <f t="shared" si="631"/>
        <v>0</v>
      </c>
      <c r="BG632" s="49">
        <f t="shared" si="632"/>
        <v>0</v>
      </c>
      <c r="BH632" s="49">
        <f t="shared" si="633"/>
        <v>0</v>
      </c>
      <c r="BI632" s="49">
        <f t="shared" si="634"/>
        <v>0</v>
      </c>
      <c r="BJ632" s="49">
        <f t="shared" si="635"/>
        <v>0</v>
      </c>
      <c r="BK632" s="49">
        <f t="shared" si="636"/>
        <v>0</v>
      </c>
      <c r="BL632" s="49">
        <f t="shared" si="637"/>
        <v>0</v>
      </c>
      <c r="BM632" s="49">
        <f t="shared" si="638"/>
        <v>0</v>
      </c>
      <c r="BN632" s="49">
        <f t="shared" si="639"/>
        <v>0</v>
      </c>
      <c r="BO632" s="49">
        <f t="shared" si="640"/>
        <v>0</v>
      </c>
      <c r="BP632" s="49">
        <f t="shared" si="641"/>
        <v>0</v>
      </c>
      <c r="BQ632" s="49">
        <f t="shared" si="642"/>
        <v>0</v>
      </c>
      <c r="BR632" s="49">
        <f t="shared" si="643"/>
        <v>0</v>
      </c>
      <c r="BS632" s="49">
        <f t="shared" si="644"/>
        <v>0</v>
      </c>
      <c r="BT632" s="49">
        <f t="shared" si="645"/>
        <v>0</v>
      </c>
      <c r="BU632" s="49">
        <f t="shared" si="646"/>
        <v>0</v>
      </c>
      <c r="BV632" s="49">
        <f t="shared" si="647"/>
        <v>0</v>
      </c>
      <c r="BW632" s="49">
        <f t="shared" si="648"/>
        <v>0</v>
      </c>
    </row>
    <row r="633" spans="1:75" ht="35.1" customHeight="1" x14ac:dyDescent="0.3">
      <c r="A633" s="123" t="str">
        <f t="shared" si="581"/>
        <v>팀</v>
      </c>
      <c r="B633" s="69"/>
      <c r="C633" s="121"/>
      <c r="D633" s="74"/>
      <c r="E633" s="74"/>
      <c r="F633" s="70"/>
      <c r="G633" s="72"/>
      <c r="H633" s="67"/>
      <c r="I633" s="73"/>
      <c r="J633" s="73"/>
      <c r="K633" s="68"/>
      <c r="L633" s="67"/>
      <c r="M633" s="73"/>
      <c r="N633" s="73"/>
      <c r="O633" s="68"/>
      <c r="P633" s="67"/>
      <c r="Q633" s="73"/>
      <c r="R633" s="73"/>
      <c r="S633" s="68"/>
      <c r="T633" s="67"/>
      <c r="U633" s="73"/>
      <c r="V633" s="73"/>
      <c r="W633" s="68"/>
      <c r="X633" s="67"/>
      <c r="Y633" s="73"/>
      <c r="Z633" s="73"/>
      <c r="AA633" s="68"/>
      <c r="AB633" s="67"/>
      <c r="AC633" s="73"/>
      <c r="AD633" s="73"/>
      <c r="AE633" s="68"/>
      <c r="AF633" s="67"/>
      <c r="AG633" s="73"/>
      <c r="AH633" s="73"/>
      <c r="AI633" s="68"/>
      <c r="AJ633" s="67"/>
      <c r="AK633" s="73"/>
      <c r="AL633" s="73"/>
      <c r="AM633" s="68"/>
      <c r="AN633" s="67"/>
      <c r="AO633" s="68"/>
      <c r="AR633" s="49">
        <f t="shared" si="617"/>
        <v>0</v>
      </c>
      <c r="AS633" s="49">
        <f t="shared" si="618"/>
        <v>0</v>
      </c>
      <c r="AT633" s="49">
        <f t="shared" si="619"/>
        <v>0</v>
      </c>
      <c r="AU633" s="49">
        <f t="shared" si="620"/>
        <v>0</v>
      </c>
      <c r="AV633" s="49">
        <f t="shared" si="621"/>
        <v>0</v>
      </c>
      <c r="AW633" s="49">
        <f t="shared" si="622"/>
        <v>0</v>
      </c>
      <c r="AX633" s="49">
        <f t="shared" si="623"/>
        <v>0</v>
      </c>
      <c r="AY633" s="49">
        <f t="shared" si="624"/>
        <v>0</v>
      </c>
      <c r="AZ633" s="49">
        <f t="shared" si="625"/>
        <v>0</v>
      </c>
      <c r="BA633" s="49">
        <f t="shared" si="626"/>
        <v>0</v>
      </c>
      <c r="BB633" s="49">
        <f t="shared" si="627"/>
        <v>0</v>
      </c>
      <c r="BC633" s="49">
        <f t="shared" si="628"/>
        <v>0</v>
      </c>
      <c r="BD633" s="49">
        <f t="shared" si="629"/>
        <v>0</v>
      </c>
      <c r="BE633" s="49">
        <f t="shared" si="630"/>
        <v>0</v>
      </c>
      <c r="BF633" s="49">
        <f t="shared" si="631"/>
        <v>0</v>
      </c>
      <c r="BG633" s="49">
        <f t="shared" si="632"/>
        <v>0</v>
      </c>
      <c r="BH633" s="49">
        <f t="shared" si="633"/>
        <v>0</v>
      </c>
      <c r="BI633" s="49">
        <f t="shared" si="634"/>
        <v>0</v>
      </c>
      <c r="BJ633" s="49">
        <f t="shared" si="635"/>
        <v>0</v>
      </c>
      <c r="BK633" s="49">
        <f t="shared" si="636"/>
        <v>0</v>
      </c>
      <c r="BL633" s="49">
        <f t="shared" si="637"/>
        <v>0</v>
      </c>
      <c r="BM633" s="49">
        <f t="shared" si="638"/>
        <v>0</v>
      </c>
      <c r="BN633" s="49">
        <f t="shared" si="639"/>
        <v>0</v>
      </c>
      <c r="BO633" s="49">
        <f t="shared" si="640"/>
        <v>0</v>
      </c>
      <c r="BP633" s="49">
        <f t="shared" si="641"/>
        <v>0</v>
      </c>
      <c r="BQ633" s="49">
        <f t="shared" si="642"/>
        <v>0</v>
      </c>
      <c r="BR633" s="49">
        <f t="shared" si="643"/>
        <v>0</v>
      </c>
      <c r="BS633" s="49">
        <f t="shared" si="644"/>
        <v>0</v>
      </c>
      <c r="BT633" s="49">
        <f t="shared" si="645"/>
        <v>0</v>
      </c>
      <c r="BU633" s="49">
        <f t="shared" si="646"/>
        <v>0</v>
      </c>
      <c r="BV633" s="49">
        <f t="shared" si="647"/>
        <v>0</v>
      </c>
      <c r="BW633" s="49">
        <f t="shared" si="648"/>
        <v>0</v>
      </c>
    </row>
    <row r="634" spans="1:75" ht="35.1" customHeight="1" x14ac:dyDescent="0.3">
      <c r="A634" s="123" t="str">
        <f t="shared" si="581"/>
        <v>팀</v>
      </c>
      <c r="B634" s="69"/>
      <c r="C634" s="121"/>
      <c r="D634" s="74"/>
      <c r="E634" s="74"/>
      <c r="F634" s="70"/>
      <c r="G634" s="72"/>
      <c r="H634" s="67"/>
      <c r="I634" s="73"/>
      <c r="J634" s="73"/>
      <c r="K634" s="68"/>
      <c r="L634" s="67"/>
      <c r="M634" s="73"/>
      <c r="N634" s="73"/>
      <c r="O634" s="68"/>
      <c r="P634" s="67"/>
      <c r="Q634" s="73"/>
      <c r="R634" s="73"/>
      <c r="S634" s="68"/>
      <c r="T634" s="67"/>
      <c r="U634" s="73"/>
      <c r="V634" s="73"/>
      <c r="W634" s="68"/>
      <c r="X634" s="67"/>
      <c r="Y634" s="73"/>
      <c r="Z634" s="73"/>
      <c r="AA634" s="68"/>
      <c r="AB634" s="67"/>
      <c r="AC634" s="73"/>
      <c r="AD634" s="73"/>
      <c r="AE634" s="68"/>
      <c r="AF634" s="67"/>
      <c r="AG634" s="73"/>
      <c r="AH634" s="73"/>
      <c r="AI634" s="68"/>
      <c r="AJ634" s="67"/>
      <c r="AK634" s="73"/>
      <c r="AL634" s="73"/>
      <c r="AM634" s="68"/>
      <c r="AN634" s="67"/>
      <c r="AO634" s="68"/>
      <c r="AR634" s="49">
        <f t="shared" si="617"/>
        <v>0</v>
      </c>
      <c r="AS634" s="49">
        <f t="shared" si="618"/>
        <v>0</v>
      </c>
      <c r="AT634" s="49">
        <f t="shared" si="619"/>
        <v>0</v>
      </c>
      <c r="AU634" s="49">
        <f t="shared" si="620"/>
        <v>0</v>
      </c>
      <c r="AV634" s="49">
        <f t="shared" si="621"/>
        <v>0</v>
      </c>
      <c r="AW634" s="49">
        <f t="shared" si="622"/>
        <v>0</v>
      </c>
      <c r="AX634" s="49">
        <f t="shared" si="623"/>
        <v>0</v>
      </c>
      <c r="AY634" s="49">
        <f t="shared" si="624"/>
        <v>0</v>
      </c>
      <c r="AZ634" s="49">
        <f t="shared" si="625"/>
        <v>0</v>
      </c>
      <c r="BA634" s="49">
        <f t="shared" si="626"/>
        <v>0</v>
      </c>
      <c r="BB634" s="49">
        <f t="shared" si="627"/>
        <v>0</v>
      </c>
      <c r="BC634" s="49">
        <f t="shared" si="628"/>
        <v>0</v>
      </c>
      <c r="BD634" s="49">
        <f t="shared" si="629"/>
        <v>0</v>
      </c>
      <c r="BE634" s="49">
        <f t="shared" si="630"/>
        <v>0</v>
      </c>
      <c r="BF634" s="49">
        <f t="shared" si="631"/>
        <v>0</v>
      </c>
      <c r="BG634" s="49">
        <f t="shared" si="632"/>
        <v>0</v>
      </c>
      <c r="BH634" s="49">
        <f t="shared" si="633"/>
        <v>0</v>
      </c>
      <c r="BI634" s="49">
        <f t="shared" si="634"/>
        <v>0</v>
      </c>
      <c r="BJ634" s="49">
        <f t="shared" si="635"/>
        <v>0</v>
      </c>
      <c r="BK634" s="49">
        <f t="shared" si="636"/>
        <v>0</v>
      </c>
      <c r="BL634" s="49">
        <f t="shared" si="637"/>
        <v>0</v>
      </c>
      <c r="BM634" s="49">
        <f t="shared" si="638"/>
        <v>0</v>
      </c>
      <c r="BN634" s="49">
        <f t="shared" si="639"/>
        <v>0</v>
      </c>
      <c r="BO634" s="49">
        <f t="shared" si="640"/>
        <v>0</v>
      </c>
      <c r="BP634" s="49">
        <f t="shared" si="641"/>
        <v>0</v>
      </c>
      <c r="BQ634" s="49">
        <f t="shared" si="642"/>
        <v>0</v>
      </c>
      <c r="BR634" s="49">
        <f t="shared" si="643"/>
        <v>0</v>
      </c>
      <c r="BS634" s="49">
        <f t="shared" si="644"/>
        <v>0</v>
      </c>
      <c r="BT634" s="49">
        <f t="shared" si="645"/>
        <v>0</v>
      </c>
      <c r="BU634" s="49">
        <f t="shared" si="646"/>
        <v>0</v>
      </c>
      <c r="BV634" s="49">
        <f t="shared" si="647"/>
        <v>0</v>
      </c>
      <c r="BW634" s="49">
        <f t="shared" si="648"/>
        <v>0</v>
      </c>
    </row>
    <row r="635" spans="1:75" ht="35.1" customHeight="1" x14ac:dyDescent="0.3">
      <c r="A635" s="123" t="str">
        <f t="shared" si="581"/>
        <v>팀</v>
      </c>
      <c r="B635" s="69"/>
      <c r="C635" s="121"/>
      <c r="D635" s="74"/>
      <c r="E635" s="74"/>
      <c r="F635" s="70"/>
      <c r="G635" s="72"/>
      <c r="H635" s="67"/>
      <c r="I635" s="73"/>
      <c r="J635" s="73"/>
      <c r="K635" s="68"/>
      <c r="L635" s="67"/>
      <c r="M635" s="73"/>
      <c r="N635" s="73"/>
      <c r="O635" s="68"/>
      <c r="P635" s="67"/>
      <c r="Q635" s="73"/>
      <c r="R635" s="73"/>
      <c r="S635" s="68"/>
      <c r="T635" s="67"/>
      <c r="U635" s="73"/>
      <c r="V635" s="73"/>
      <c r="W635" s="68"/>
      <c r="X635" s="67"/>
      <c r="Y635" s="73"/>
      <c r="Z635" s="73"/>
      <c r="AA635" s="68"/>
      <c r="AB635" s="67"/>
      <c r="AC635" s="73"/>
      <c r="AD635" s="73"/>
      <c r="AE635" s="68"/>
      <c r="AF635" s="67"/>
      <c r="AG635" s="73"/>
      <c r="AH635" s="73"/>
      <c r="AI635" s="68"/>
      <c r="AJ635" s="67"/>
      <c r="AK635" s="73"/>
      <c r="AL635" s="73"/>
      <c r="AM635" s="68"/>
      <c r="AN635" s="67"/>
      <c r="AO635" s="68"/>
      <c r="AR635" s="49">
        <f t="shared" si="585"/>
        <v>0</v>
      </c>
      <c r="AS635" s="49">
        <f t="shared" si="586"/>
        <v>0</v>
      </c>
      <c r="AT635" s="49">
        <f t="shared" si="587"/>
        <v>0</v>
      </c>
      <c r="AU635" s="49">
        <f t="shared" si="588"/>
        <v>0</v>
      </c>
      <c r="AV635" s="49">
        <f t="shared" si="589"/>
        <v>0</v>
      </c>
      <c r="AW635" s="49">
        <f t="shared" si="590"/>
        <v>0</v>
      </c>
      <c r="AX635" s="49">
        <f t="shared" si="591"/>
        <v>0</v>
      </c>
      <c r="AY635" s="49">
        <f t="shared" si="592"/>
        <v>0</v>
      </c>
      <c r="AZ635" s="49">
        <f t="shared" si="593"/>
        <v>0</v>
      </c>
      <c r="BA635" s="49">
        <f t="shared" si="594"/>
        <v>0</v>
      </c>
      <c r="BB635" s="49">
        <f t="shared" si="595"/>
        <v>0</v>
      </c>
      <c r="BC635" s="49">
        <f t="shared" si="596"/>
        <v>0</v>
      </c>
      <c r="BD635" s="49">
        <f t="shared" si="597"/>
        <v>0</v>
      </c>
      <c r="BE635" s="49">
        <f t="shared" si="598"/>
        <v>0</v>
      </c>
      <c r="BF635" s="49">
        <f t="shared" si="599"/>
        <v>0</v>
      </c>
      <c r="BG635" s="49">
        <f t="shared" si="600"/>
        <v>0</v>
      </c>
      <c r="BH635" s="49">
        <f t="shared" si="601"/>
        <v>0</v>
      </c>
      <c r="BI635" s="49">
        <f t="shared" si="602"/>
        <v>0</v>
      </c>
      <c r="BJ635" s="49">
        <f t="shared" si="603"/>
        <v>0</v>
      </c>
      <c r="BK635" s="49">
        <f t="shared" si="604"/>
        <v>0</v>
      </c>
      <c r="BL635" s="49">
        <f t="shared" si="605"/>
        <v>0</v>
      </c>
      <c r="BM635" s="49">
        <f t="shared" si="606"/>
        <v>0</v>
      </c>
      <c r="BN635" s="49">
        <f t="shared" si="607"/>
        <v>0</v>
      </c>
      <c r="BO635" s="49">
        <f t="shared" si="608"/>
        <v>0</v>
      </c>
      <c r="BP635" s="49">
        <f t="shared" si="609"/>
        <v>0</v>
      </c>
      <c r="BQ635" s="49">
        <f t="shared" si="610"/>
        <v>0</v>
      </c>
      <c r="BR635" s="49">
        <f t="shared" si="611"/>
        <v>0</v>
      </c>
      <c r="BS635" s="49">
        <f t="shared" si="612"/>
        <v>0</v>
      </c>
      <c r="BT635" s="49">
        <f t="shared" si="613"/>
        <v>0</v>
      </c>
      <c r="BU635" s="49">
        <f t="shared" si="614"/>
        <v>0</v>
      </c>
      <c r="BV635" s="49">
        <f t="shared" si="615"/>
        <v>0</v>
      </c>
      <c r="BW635" s="49">
        <f t="shared" si="616"/>
        <v>0</v>
      </c>
    </row>
    <row r="636" spans="1:75" ht="35.1" customHeight="1" x14ac:dyDescent="0.3">
      <c r="A636" s="123" t="str">
        <f t="shared" si="581"/>
        <v>팀</v>
      </c>
      <c r="B636" s="69"/>
      <c r="C636" s="121"/>
      <c r="D636" s="74"/>
      <c r="E636" s="74"/>
      <c r="F636" s="70"/>
      <c r="G636" s="72"/>
      <c r="H636" s="67"/>
      <c r="I636" s="73"/>
      <c r="J636" s="73"/>
      <c r="K636" s="68"/>
      <c r="L636" s="67"/>
      <c r="M636" s="73"/>
      <c r="N636" s="73"/>
      <c r="O636" s="68"/>
      <c r="P636" s="67"/>
      <c r="Q636" s="73"/>
      <c r="R636" s="73"/>
      <c r="S636" s="68"/>
      <c r="T636" s="67"/>
      <c r="U636" s="73"/>
      <c r="V636" s="73"/>
      <c r="W636" s="68"/>
      <c r="X636" s="67"/>
      <c r="Y636" s="73"/>
      <c r="Z636" s="73"/>
      <c r="AA636" s="68"/>
      <c r="AB636" s="67"/>
      <c r="AC636" s="73"/>
      <c r="AD636" s="73"/>
      <c r="AE636" s="68"/>
      <c r="AF636" s="67"/>
      <c r="AG636" s="73"/>
      <c r="AH636" s="73"/>
      <c r="AI636" s="68"/>
      <c r="AJ636" s="67"/>
      <c r="AK636" s="73"/>
      <c r="AL636" s="73"/>
      <c r="AM636" s="68"/>
      <c r="AN636" s="67"/>
      <c r="AO636" s="68"/>
      <c r="AR636" s="49">
        <f t="shared" si="585"/>
        <v>0</v>
      </c>
      <c r="AS636" s="49">
        <f t="shared" si="586"/>
        <v>0</v>
      </c>
      <c r="AT636" s="49">
        <f t="shared" si="587"/>
        <v>0</v>
      </c>
      <c r="AU636" s="49">
        <f t="shared" si="588"/>
        <v>0</v>
      </c>
      <c r="AV636" s="49">
        <f t="shared" si="589"/>
        <v>0</v>
      </c>
      <c r="AW636" s="49">
        <f t="shared" si="590"/>
        <v>0</v>
      </c>
      <c r="AX636" s="49">
        <f t="shared" si="591"/>
        <v>0</v>
      </c>
      <c r="AY636" s="49">
        <f t="shared" si="592"/>
        <v>0</v>
      </c>
      <c r="AZ636" s="49">
        <f t="shared" si="593"/>
        <v>0</v>
      </c>
      <c r="BA636" s="49">
        <f t="shared" si="594"/>
        <v>0</v>
      </c>
      <c r="BB636" s="49">
        <f t="shared" si="595"/>
        <v>0</v>
      </c>
      <c r="BC636" s="49">
        <f t="shared" si="596"/>
        <v>0</v>
      </c>
      <c r="BD636" s="49">
        <f t="shared" si="597"/>
        <v>0</v>
      </c>
      <c r="BE636" s="49">
        <f t="shared" si="598"/>
        <v>0</v>
      </c>
      <c r="BF636" s="49">
        <f t="shared" si="599"/>
        <v>0</v>
      </c>
      <c r="BG636" s="49">
        <f t="shared" si="600"/>
        <v>0</v>
      </c>
      <c r="BH636" s="49">
        <f t="shared" si="601"/>
        <v>0</v>
      </c>
      <c r="BI636" s="49">
        <f t="shared" si="602"/>
        <v>0</v>
      </c>
      <c r="BJ636" s="49">
        <f t="shared" si="603"/>
        <v>0</v>
      </c>
      <c r="BK636" s="49">
        <f t="shared" si="604"/>
        <v>0</v>
      </c>
      <c r="BL636" s="49">
        <f t="shared" si="605"/>
        <v>0</v>
      </c>
      <c r="BM636" s="49">
        <f t="shared" si="606"/>
        <v>0</v>
      </c>
      <c r="BN636" s="49">
        <f t="shared" si="607"/>
        <v>0</v>
      </c>
      <c r="BO636" s="49">
        <f t="shared" si="608"/>
        <v>0</v>
      </c>
      <c r="BP636" s="49">
        <f t="shared" si="609"/>
        <v>0</v>
      </c>
      <c r="BQ636" s="49">
        <f t="shared" si="610"/>
        <v>0</v>
      </c>
      <c r="BR636" s="49">
        <f t="shared" si="611"/>
        <v>0</v>
      </c>
      <c r="BS636" s="49">
        <f t="shared" si="612"/>
        <v>0</v>
      </c>
      <c r="BT636" s="49">
        <f t="shared" si="613"/>
        <v>0</v>
      </c>
      <c r="BU636" s="49">
        <f t="shared" si="614"/>
        <v>0</v>
      </c>
      <c r="BV636" s="49">
        <f t="shared" si="615"/>
        <v>0</v>
      </c>
      <c r="BW636" s="49">
        <f t="shared" si="616"/>
        <v>0</v>
      </c>
    </row>
    <row r="637" spans="1:75" ht="35.1" customHeight="1" x14ac:dyDescent="0.3">
      <c r="A637" s="123" t="str">
        <f t="shared" si="581"/>
        <v>팀</v>
      </c>
      <c r="B637" s="69"/>
      <c r="C637" s="121"/>
      <c r="D637" s="74"/>
      <c r="E637" s="74"/>
      <c r="F637" s="70"/>
      <c r="G637" s="72"/>
      <c r="H637" s="67"/>
      <c r="I637" s="73"/>
      <c r="J637" s="73"/>
      <c r="K637" s="68"/>
      <c r="L637" s="67"/>
      <c r="M637" s="73"/>
      <c r="N637" s="73"/>
      <c r="O637" s="68"/>
      <c r="P637" s="67"/>
      <c r="Q637" s="73"/>
      <c r="R637" s="73"/>
      <c r="S637" s="68"/>
      <c r="T637" s="67"/>
      <c r="U637" s="73"/>
      <c r="V637" s="73"/>
      <c r="W637" s="68"/>
      <c r="X637" s="67"/>
      <c r="Y637" s="73"/>
      <c r="Z637" s="73"/>
      <c r="AA637" s="68"/>
      <c r="AB637" s="67"/>
      <c r="AC637" s="73"/>
      <c r="AD637" s="73"/>
      <c r="AE637" s="68"/>
      <c r="AF637" s="67"/>
      <c r="AG637" s="73"/>
      <c r="AH637" s="73"/>
      <c r="AI637" s="68"/>
      <c r="AJ637" s="67"/>
      <c r="AK637" s="73"/>
      <c r="AL637" s="73"/>
      <c r="AM637" s="68"/>
      <c r="AN637" s="67"/>
      <c r="AO637" s="68"/>
      <c r="AR637" s="49">
        <f t="shared" si="585"/>
        <v>0</v>
      </c>
      <c r="AS637" s="49">
        <f t="shared" si="586"/>
        <v>0</v>
      </c>
      <c r="AT637" s="49">
        <f t="shared" si="587"/>
        <v>0</v>
      </c>
      <c r="AU637" s="49">
        <f t="shared" si="588"/>
        <v>0</v>
      </c>
      <c r="AV637" s="49">
        <f t="shared" si="589"/>
        <v>0</v>
      </c>
      <c r="AW637" s="49">
        <f t="shared" si="590"/>
        <v>0</v>
      </c>
      <c r="AX637" s="49">
        <f t="shared" si="591"/>
        <v>0</v>
      </c>
      <c r="AY637" s="49">
        <f t="shared" si="592"/>
        <v>0</v>
      </c>
      <c r="AZ637" s="49">
        <f t="shared" si="593"/>
        <v>0</v>
      </c>
      <c r="BA637" s="49">
        <f t="shared" si="594"/>
        <v>0</v>
      </c>
      <c r="BB637" s="49">
        <f t="shared" si="595"/>
        <v>0</v>
      </c>
      <c r="BC637" s="49">
        <f t="shared" si="596"/>
        <v>0</v>
      </c>
      <c r="BD637" s="49">
        <f t="shared" si="597"/>
        <v>0</v>
      </c>
      <c r="BE637" s="49">
        <f t="shared" si="598"/>
        <v>0</v>
      </c>
      <c r="BF637" s="49">
        <f t="shared" si="599"/>
        <v>0</v>
      </c>
      <c r="BG637" s="49">
        <f t="shared" si="600"/>
        <v>0</v>
      </c>
      <c r="BH637" s="49">
        <f t="shared" si="601"/>
        <v>0</v>
      </c>
      <c r="BI637" s="49">
        <f t="shared" si="602"/>
        <v>0</v>
      </c>
      <c r="BJ637" s="49">
        <f t="shared" si="603"/>
        <v>0</v>
      </c>
      <c r="BK637" s="49">
        <f t="shared" si="604"/>
        <v>0</v>
      </c>
      <c r="BL637" s="49">
        <f t="shared" si="605"/>
        <v>0</v>
      </c>
      <c r="BM637" s="49">
        <f t="shared" si="606"/>
        <v>0</v>
      </c>
      <c r="BN637" s="49">
        <f t="shared" si="607"/>
        <v>0</v>
      </c>
      <c r="BO637" s="49">
        <f t="shared" si="608"/>
        <v>0</v>
      </c>
      <c r="BP637" s="49">
        <f t="shared" si="609"/>
        <v>0</v>
      </c>
      <c r="BQ637" s="49">
        <f t="shared" si="610"/>
        <v>0</v>
      </c>
      <c r="BR637" s="49">
        <f t="shared" si="611"/>
        <v>0</v>
      </c>
      <c r="BS637" s="49">
        <f t="shared" si="612"/>
        <v>0</v>
      </c>
      <c r="BT637" s="49">
        <f t="shared" si="613"/>
        <v>0</v>
      </c>
      <c r="BU637" s="49">
        <f t="shared" si="614"/>
        <v>0</v>
      </c>
      <c r="BV637" s="49">
        <f t="shared" si="615"/>
        <v>0</v>
      </c>
      <c r="BW637" s="49">
        <f t="shared" si="616"/>
        <v>0</v>
      </c>
    </row>
    <row r="638" spans="1:75" ht="35.1" customHeight="1" x14ac:dyDescent="0.3">
      <c r="A638" s="123" t="str">
        <f t="shared" si="581"/>
        <v>팀</v>
      </c>
      <c r="B638" s="69"/>
      <c r="C638" s="121"/>
      <c r="D638" s="74"/>
      <c r="E638" s="74"/>
      <c r="F638" s="70"/>
      <c r="G638" s="72"/>
      <c r="H638" s="67"/>
      <c r="I638" s="73"/>
      <c r="J638" s="73"/>
      <c r="K638" s="68"/>
      <c r="L638" s="67"/>
      <c r="M638" s="73"/>
      <c r="N638" s="73"/>
      <c r="O638" s="68"/>
      <c r="P638" s="67"/>
      <c r="Q638" s="73"/>
      <c r="R638" s="73"/>
      <c r="S638" s="68"/>
      <c r="T638" s="67"/>
      <c r="U638" s="73"/>
      <c r="V638" s="73"/>
      <c r="W638" s="68"/>
      <c r="X638" s="67"/>
      <c r="Y638" s="73"/>
      <c r="Z638" s="73"/>
      <c r="AA638" s="68"/>
      <c r="AB638" s="67"/>
      <c r="AC638" s="73"/>
      <c r="AD638" s="73"/>
      <c r="AE638" s="68"/>
      <c r="AF638" s="67"/>
      <c r="AG638" s="73"/>
      <c r="AH638" s="73"/>
      <c r="AI638" s="68"/>
      <c r="AJ638" s="67"/>
      <c r="AK638" s="73"/>
      <c r="AL638" s="73"/>
      <c r="AM638" s="68"/>
      <c r="AN638" s="67"/>
      <c r="AO638" s="68"/>
      <c r="AR638" s="49">
        <f t="shared" si="585"/>
        <v>0</v>
      </c>
      <c r="AS638" s="49">
        <f t="shared" si="586"/>
        <v>0</v>
      </c>
      <c r="AT638" s="49">
        <f t="shared" si="587"/>
        <v>0</v>
      </c>
      <c r="AU638" s="49">
        <f t="shared" si="588"/>
        <v>0</v>
      </c>
      <c r="AV638" s="49">
        <f t="shared" si="589"/>
        <v>0</v>
      </c>
      <c r="AW638" s="49">
        <f t="shared" si="590"/>
        <v>0</v>
      </c>
      <c r="AX638" s="49">
        <f t="shared" si="591"/>
        <v>0</v>
      </c>
      <c r="AY638" s="49">
        <f t="shared" si="592"/>
        <v>0</v>
      </c>
      <c r="AZ638" s="49">
        <f t="shared" si="593"/>
        <v>0</v>
      </c>
      <c r="BA638" s="49">
        <f t="shared" si="594"/>
        <v>0</v>
      </c>
      <c r="BB638" s="49">
        <f t="shared" si="595"/>
        <v>0</v>
      </c>
      <c r="BC638" s="49">
        <f t="shared" si="596"/>
        <v>0</v>
      </c>
      <c r="BD638" s="49">
        <f t="shared" si="597"/>
        <v>0</v>
      </c>
      <c r="BE638" s="49">
        <f t="shared" si="598"/>
        <v>0</v>
      </c>
      <c r="BF638" s="49">
        <f t="shared" si="599"/>
        <v>0</v>
      </c>
      <c r="BG638" s="49">
        <f t="shared" si="600"/>
        <v>0</v>
      </c>
      <c r="BH638" s="49">
        <f t="shared" si="601"/>
        <v>0</v>
      </c>
      <c r="BI638" s="49">
        <f t="shared" si="602"/>
        <v>0</v>
      </c>
      <c r="BJ638" s="49">
        <f t="shared" si="603"/>
        <v>0</v>
      </c>
      <c r="BK638" s="49">
        <f t="shared" si="604"/>
        <v>0</v>
      </c>
      <c r="BL638" s="49">
        <f t="shared" si="605"/>
        <v>0</v>
      </c>
      <c r="BM638" s="49">
        <f t="shared" si="606"/>
        <v>0</v>
      </c>
      <c r="BN638" s="49">
        <f t="shared" si="607"/>
        <v>0</v>
      </c>
      <c r="BO638" s="49">
        <f t="shared" si="608"/>
        <v>0</v>
      </c>
      <c r="BP638" s="49">
        <f t="shared" si="609"/>
        <v>0</v>
      </c>
      <c r="BQ638" s="49">
        <f t="shared" si="610"/>
        <v>0</v>
      </c>
      <c r="BR638" s="49">
        <f t="shared" si="611"/>
        <v>0</v>
      </c>
      <c r="BS638" s="49">
        <f t="shared" si="612"/>
        <v>0</v>
      </c>
      <c r="BT638" s="49">
        <f t="shared" si="613"/>
        <v>0</v>
      </c>
      <c r="BU638" s="49">
        <f t="shared" si="614"/>
        <v>0</v>
      </c>
      <c r="BV638" s="49">
        <f t="shared" si="615"/>
        <v>0</v>
      </c>
      <c r="BW638" s="49">
        <f t="shared" si="616"/>
        <v>0</v>
      </c>
    </row>
    <row r="639" spans="1:75" ht="35.1" customHeight="1" x14ac:dyDescent="0.3">
      <c r="A639" s="123" t="str">
        <f t="shared" si="581"/>
        <v>팀</v>
      </c>
      <c r="B639" s="69"/>
      <c r="C639" s="121"/>
      <c r="D639" s="74"/>
      <c r="E639" s="74"/>
      <c r="F639" s="70"/>
      <c r="G639" s="72"/>
      <c r="H639" s="67"/>
      <c r="I639" s="73"/>
      <c r="J639" s="73"/>
      <c r="K639" s="68"/>
      <c r="L639" s="67"/>
      <c r="M639" s="73"/>
      <c r="N639" s="73"/>
      <c r="O639" s="68"/>
      <c r="P639" s="67"/>
      <c r="Q639" s="73"/>
      <c r="R639" s="73"/>
      <c r="S639" s="68"/>
      <c r="T639" s="67"/>
      <c r="U639" s="73"/>
      <c r="V639" s="73"/>
      <c r="W639" s="68"/>
      <c r="X639" s="67"/>
      <c r="Y639" s="73"/>
      <c r="Z639" s="73"/>
      <c r="AA639" s="68"/>
      <c r="AB639" s="67"/>
      <c r="AC639" s="73"/>
      <c r="AD639" s="73"/>
      <c r="AE639" s="68"/>
      <c r="AF639" s="67"/>
      <c r="AG639" s="73"/>
      <c r="AH639" s="73"/>
      <c r="AI639" s="68"/>
      <c r="AJ639" s="67"/>
      <c r="AK639" s="73"/>
      <c r="AL639" s="73"/>
      <c r="AM639" s="68"/>
      <c r="AN639" s="67"/>
      <c r="AO639" s="68"/>
      <c r="AR639" s="49">
        <f t="shared" si="585"/>
        <v>0</v>
      </c>
      <c r="AS639" s="49">
        <f t="shared" si="586"/>
        <v>0</v>
      </c>
      <c r="AT639" s="49">
        <f t="shared" si="587"/>
        <v>0</v>
      </c>
      <c r="AU639" s="49">
        <f t="shared" si="588"/>
        <v>0</v>
      </c>
      <c r="AV639" s="49">
        <f t="shared" si="589"/>
        <v>0</v>
      </c>
      <c r="AW639" s="49">
        <f t="shared" si="590"/>
        <v>0</v>
      </c>
      <c r="AX639" s="49">
        <f t="shared" si="591"/>
        <v>0</v>
      </c>
      <c r="AY639" s="49">
        <f t="shared" si="592"/>
        <v>0</v>
      </c>
      <c r="AZ639" s="49">
        <f t="shared" si="593"/>
        <v>0</v>
      </c>
      <c r="BA639" s="49">
        <f t="shared" si="594"/>
        <v>0</v>
      </c>
      <c r="BB639" s="49">
        <f t="shared" si="595"/>
        <v>0</v>
      </c>
      <c r="BC639" s="49">
        <f t="shared" si="596"/>
        <v>0</v>
      </c>
      <c r="BD639" s="49">
        <f t="shared" si="597"/>
        <v>0</v>
      </c>
      <c r="BE639" s="49">
        <f t="shared" si="598"/>
        <v>0</v>
      </c>
      <c r="BF639" s="49">
        <f t="shared" si="599"/>
        <v>0</v>
      </c>
      <c r="BG639" s="49">
        <f t="shared" si="600"/>
        <v>0</v>
      </c>
      <c r="BH639" s="49">
        <f t="shared" si="601"/>
        <v>0</v>
      </c>
      <c r="BI639" s="49">
        <f t="shared" si="602"/>
        <v>0</v>
      </c>
      <c r="BJ639" s="49">
        <f t="shared" si="603"/>
        <v>0</v>
      </c>
      <c r="BK639" s="49">
        <f t="shared" si="604"/>
        <v>0</v>
      </c>
      <c r="BL639" s="49">
        <f t="shared" si="605"/>
        <v>0</v>
      </c>
      <c r="BM639" s="49">
        <f t="shared" si="606"/>
        <v>0</v>
      </c>
      <c r="BN639" s="49">
        <f t="shared" si="607"/>
        <v>0</v>
      </c>
      <c r="BO639" s="49">
        <f t="shared" si="608"/>
        <v>0</v>
      </c>
      <c r="BP639" s="49">
        <f t="shared" si="609"/>
        <v>0</v>
      </c>
      <c r="BQ639" s="49">
        <f t="shared" si="610"/>
        <v>0</v>
      </c>
      <c r="BR639" s="49">
        <f t="shared" si="611"/>
        <v>0</v>
      </c>
      <c r="BS639" s="49">
        <f t="shared" si="612"/>
        <v>0</v>
      </c>
      <c r="BT639" s="49">
        <f t="shared" si="613"/>
        <v>0</v>
      </c>
      <c r="BU639" s="49">
        <f t="shared" si="614"/>
        <v>0</v>
      </c>
      <c r="BV639" s="49">
        <f t="shared" si="615"/>
        <v>0</v>
      </c>
      <c r="BW639" s="49">
        <f t="shared" si="616"/>
        <v>0</v>
      </c>
    </row>
    <row r="640" spans="1:75" ht="35.1" customHeight="1" x14ac:dyDescent="0.3">
      <c r="A640" s="123" t="str">
        <f t="shared" si="581"/>
        <v>팀</v>
      </c>
      <c r="B640" s="69"/>
      <c r="C640" s="121"/>
      <c r="D640" s="74"/>
      <c r="E640" s="74"/>
      <c r="F640" s="70"/>
      <c r="G640" s="72"/>
      <c r="H640" s="67"/>
      <c r="I640" s="73"/>
      <c r="J640" s="73"/>
      <c r="K640" s="68"/>
      <c r="L640" s="67"/>
      <c r="M640" s="73"/>
      <c r="N640" s="73"/>
      <c r="O640" s="68"/>
      <c r="P640" s="67"/>
      <c r="Q640" s="73"/>
      <c r="R640" s="73"/>
      <c r="S640" s="68"/>
      <c r="T640" s="67"/>
      <c r="U640" s="73"/>
      <c r="V640" s="73"/>
      <c r="W640" s="68"/>
      <c r="X640" s="67"/>
      <c r="Y640" s="73"/>
      <c r="Z640" s="73"/>
      <c r="AA640" s="68"/>
      <c r="AB640" s="67"/>
      <c r="AC640" s="73"/>
      <c r="AD640" s="73"/>
      <c r="AE640" s="68"/>
      <c r="AF640" s="67"/>
      <c r="AG640" s="73"/>
      <c r="AH640" s="73"/>
      <c r="AI640" s="68"/>
      <c r="AJ640" s="67"/>
      <c r="AK640" s="73"/>
      <c r="AL640" s="73"/>
      <c r="AM640" s="68"/>
      <c r="AN640" s="67"/>
      <c r="AO640" s="68"/>
      <c r="AR640" s="49">
        <f t="shared" si="585"/>
        <v>0</v>
      </c>
      <c r="AS640" s="49">
        <f t="shared" si="586"/>
        <v>0</v>
      </c>
      <c r="AT640" s="49">
        <f t="shared" si="587"/>
        <v>0</v>
      </c>
      <c r="AU640" s="49">
        <f t="shared" si="588"/>
        <v>0</v>
      </c>
      <c r="AV640" s="49">
        <f t="shared" si="589"/>
        <v>0</v>
      </c>
      <c r="AW640" s="49">
        <f t="shared" si="590"/>
        <v>0</v>
      </c>
      <c r="AX640" s="49">
        <f t="shared" si="591"/>
        <v>0</v>
      </c>
      <c r="AY640" s="49">
        <f t="shared" si="592"/>
        <v>0</v>
      </c>
      <c r="AZ640" s="49">
        <f t="shared" si="593"/>
        <v>0</v>
      </c>
      <c r="BA640" s="49">
        <f t="shared" si="594"/>
        <v>0</v>
      </c>
      <c r="BB640" s="49">
        <f t="shared" si="595"/>
        <v>0</v>
      </c>
      <c r="BC640" s="49">
        <f t="shared" si="596"/>
        <v>0</v>
      </c>
      <c r="BD640" s="49">
        <f t="shared" si="597"/>
        <v>0</v>
      </c>
      <c r="BE640" s="49">
        <f t="shared" si="598"/>
        <v>0</v>
      </c>
      <c r="BF640" s="49">
        <f t="shared" si="599"/>
        <v>0</v>
      </c>
      <c r="BG640" s="49">
        <f t="shared" si="600"/>
        <v>0</v>
      </c>
      <c r="BH640" s="49">
        <f t="shared" si="601"/>
        <v>0</v>
      </c>
      <c r="BI640" s="49">
        <f t="shared" si="602"/>
        <v>0</v>
      </c>
      <c r="BJ640" s="49">
        <f t="shared" si="603"/>
        <v>0</v>
      </c>
      <c r="BK640" s="49">
        <f t="shared" si="604"/>
        <v>0</v>
      </c>
      <c r="BL640" s="49">
        <f t="shared" si="605"/>
        <v>0</v>
      </c>
      <c r="BM640" s="49">
        <f t="shared" si="606"/>
        <v>0</v>
      </c>
      <c r="BN640" s="49">
        <f t="shared" si="607"/>
        <v>0</v>
      </c>
      <c r="BO640" s="49">
        <f t="shared" si="608"/>
        <v>0</v>
      </c>
      <c r="BP640" s="49">
        <f t="shared" si="609"/>
        <v>0</v>
      </c>
      <c r="BQ640" s="49">
        <f t="shared" si="610"/>
        <v>0</v>
      </c>
      <c r="BR640" s="49">
        <f t="shared" si="611"/>
        <v>0</v>
      </c>
      <c r="BS640" s="49">
        <f t="shared" si="612"/>
        <v>0</v>
      </c>
      <c r="BT640" s="49">
        <f t="shared" si="613"/>
        <v>0</v>
      </c>
      <c r="BU640" s="49">
        <f t="shared" si="614"/>
        <v>0</v>
      </c>
      <c r="BV640" s="49">
        <f t="shared" si="615"/>
        <v>0</v>
      </c>
      <c r="BW640" s="49">
        <f t="shared" si="616"/>
        <v>0</v>
      </c>
    </row>
    <row r="641" spans="1:75" ht="35.1" customHeight="1" x14ac:dyDescent="0.3">
      <c r="A641" s="123" t="str">
        <f t="shared" si="581"/>
        <v>팀</v>
      </c>
      <c r="B641" s="69"/>
      <c r="C641" s="121"/>
      <c r="D641" s="74"/>
      <c r="E641" s="74"/>
      <c r="F641" s="70"/>
      <c r="G641" s="72"/>
      <c r="H641" s="67"/>
      <c r="I641" s="73"/>
      <c r="J641" s="73"/>
      <c r="K641" s="68"/>
      <c r="L641" s="67"/>
      <c r="M641" s="73"/>
      <c r="N641" s="73"/>
      <c r="O641" s="68"/>
      <c r="P641" s="67"/>
      <c r="Q641" s="73"/>
      <c r="R641" s="73"/>
      <c r="S641" s="68"/>
      <c r="T641" s="67"/>
      <c r="U641" s="73"/>
      <c r="V641" s="73"/>
      <c r="W641" s="68"/>
      <c r="X641" s="67"/>
      <c r="Y641" s="73"/>
      <c r="Z641" s="73"/>
      <c r="AA641" s="68"/>
      <c r="AB641" s="67"/>
      <c r="AC641" s="73"/>
      <c r="AD641" s="73"/>
      <c r="AE641" s="68"/>
      <c r="AF641" s="67"/>
      <c r="AG641" s="73"/>
      <c r="AH641" s="73"/>
      <c r="AI641" s="68"/>
      <c r="AJ641" s="67"/>
      <c r="AK641" s="73"/>
      <c r="AL641" s="73"/>
      <c r="AM641" s="68"/>
      <c r="AN641" s="67"/>
      <c r="AO641" s="68"/>
      <c r="AR641" s="49">
        <f t="shared" si="585"/>
        <v>0</v>
      </c>
      <c r="AS641" s="49">
        <f t="shared" si="586"/>
        <v>0</v>
      </c>
      <c r="AT641" s="49">
        <f t="shared" si="587"/>
        <v>0</v>
      </c>
      <c r="AU641" s="49">
        <f t="shared" si="588"/>
        <v>0</v>
      </c>
      <c r="AV641" s="49">
        <f t="shared" si="589"/>
        <v>0</v>
      </c>
      <c r="AW641" s="49">
        <f t="shared" si="590"/>
        <v>0</v>
      </c>
      <c r="AX641" s="49">
        <f t="shared" si="591"/>
        <v>0</v>
      </c>
      <c r="AY641" s="49">
        <f t="shared" si="592"/>
        <v>0</v>
      </c>
      <c r="AZ641" s="49">
        <f t="shared" si="593"/>
        <v>0</v>
      </c>
      <c r="BA641" s="49">
        <f t="shared" si="594"/>
        <v>0</v>
      </c>
      <c r="BB641" s="49">
        <f t="shared" si="595"/>
        <v>0</v>
      </c>
      <c r="BC641" s="49">
        <f t="shared" si="596"/>
        <v>0</v>
      </c>
      <c r="BD641" s="49">
        <f t="shared" si="597"/>
        <v>0</v>
      </c>
      <c r="BE641" s="49">
        <f t="shared" si="598"/>
        <v>0</v>
      </c>
      <c r="BF641" s="49">
        <f t="shared" si="599"/>
        <v>0</v>
      </c>
      <c r="BG641" s="49">
        <f t="shared" si="600"/>
        <v>0</v>
      </c>
      <c r="BH641" s="49">
        <f t="shared" si="601"/>
        <v>0</v>
      </c>
      <c r="BI641" s="49">
        <f t="shared" si="602"/>
        <v>0</v>
      </c>
      <c r="BJ641" s="49">
        <f t="shared" si="603"/>
        <v>0</v>
      </c>
      <c r="BK641" s="49">
        <f t="shared" si="604"/>
        <v>0</v>
      </c>
      <c r="BL641" s="49">
        <f t="shared" si="605"/>
        <v>0</v>
      </c>
      <c r="BM641" s="49">
        <f t="shared" si="606"/>
        <v>0</v>
      </c>
      <c r="BN641" s="49">
        <f t="shared" si="607"/>
        <v>0</v>
      </c>
      <c r="BO641" s="49">
        <f t="shared" si="608"/>
        <v>0</v>
      </c>
      <c r="BP641" s="49">
        <f t="shared" si="609"/>
        <v>0</v>
      </c>
      <c r="BQ641" s="49">
        <f t="shared" si="610"/>
        <v>0</v>
      </c>
      <c r="BR641" s="49">
        <f t="shared" si="611"/>
        <v>0</v>
      </c>
      <c r="BS641" s="49">
        <f t="shared" si="612"/>
        <v>0</v>
      </c>
      <c r="BT641" s="49">
        <f t="shared" si="613"/>
        <v>0</v>
      </c>
      <c r="BU641" s="49">
        <f t="shared" si="614"/>
        <v>0</v>
      </c>
      <c r="BV641" s="49">
        <f t="shared" si="615"/>
        <v>0</v>
      </c>
      <c r="BW641" s="49">
        <f t="shared" si="616"/>
        <v>0</v>
      </c>
    </row>
    <row r="642" spans="1:75" ht="35.1" customHeight="1" x14ac:dyDescent="0.3">
      <c r="A642" s="123" t="str">
        <f t="shared" si="581"/>
        <v>팀</v>
      </c>
      <c r="B642" s="69"/>
      <c r="C642" s="121"/>
      <c r="D642" s="74"/>
      <c r="E642" s="74"/>
      <c r="F642" s="70"/>
      <c r="G642" s="72"/>
      <c r="H642" s="67"/>
      <c r="I642" s="73"/>
      <c r="J642" s="73"/>
      <c r="K642" s="68"/>
      <c r="L642" s="67"/>
      <c r="M642" s="73"/>
      <c r="N642" s="73"/>
      <c r="O642" s="68"/>
      <c r="P642" s="67"/>
      <c r="Q642" s="73"/>
      <c r="R642" s="73"/>
      <c r="S642" s="68"/>
      <c r="T642" s="67"/>
      <c r="U642" s="73"/>
      <c r="V642" s="73"/>
      <c r="W642" s="68"/>
      <c r="X642" s="67"/>
      <c r="Y642" s="73"/>
      <c r="Z642" s="73"/>
      <c r="AA642" s="68"/>
      <c r="AB642" s="67"/>
      <c r="AC642" s="73"/>
      <c r="AD642" s="73"/>
      <c r="AE642" s="68"/>
      <c r="AF642" s="67"/>
      <c r="AG642" s="73"/>
      <c r="AH642" s="73"/>
      <c r="AI642" s="68"/>
      <c r="AJ642" s="67"/>
      <c r="AK642" s="73"/>
      <c r="AL642" s="73"/>
      <c r="AM642" s="68"/>
      <c r="AN642" s="67"/>
      <c r="AO642" s="68"/>
      <c r="AR642" s="49">
        <f t="shared" si="585"/>
        <v>0</v>
      </c>
      <c r="AS642" s="49">
        <f t="shared" si="586"/>
        <v>0</v>
      </c>
      <c r="AT642" s="49">
        <f t="shared" si="587"/>
        <v>0</v>
      </c>
      <c r="AU642" s="49">
        <f t="shared" si="588"/>
        <v>0</v>
      </c>
      <c r="AV642" s="49">
        <f t="shared" si="589"/>
        <v>0</v>
      </c>
      <c r="AW642" s="49">
        <f t="shared" si="590"/>
        <v>0</v>
      </c>
      <c r="AX642" s="49">
        <f t="shared" si="591"/>
        <v>0</v>
      </c>
      <c r="AY642" s="49">
        <f t="shared" si="592"/>
        <v>0</v>
      </c>
      <c r="AZ642" s="49">
        <f t="shared" si="593"/>
        <v>0</v>
      </c>
      <c r="BA642" s="49">
        <f t="shared" si="594"/>
        <v>0</v>
      </c>
      <c r="BB642" s="49">
        <f t="shared" si="595"/>
        <v>0</v>
      </c>
      <c r="BC642" s="49">
        <f t="shared" si="596"/>
        <v>0</v>
      </c>
      <c r="BD642" s="49">
        <f t="shared" si="597"/>
        <v>0</v>
      </c>
      <c r="BE642" s="49">
        <f t="shared" si="598"/>
        <v>0</v>
      </c>
      <c r="BF642" s="49">
        <f t="shared" si="599"/>
        <v>0</v>
      </c>
      <c r="BG642" s="49">
        <f t="shared" si="600"/>
        <v>0</v>
      </c>
      <c r="BH642" s="49">
        <f t="shared" si="601"/>
        <v>0</v>
      </c>
      <c r="BI642" s="49">
        <f t="shared" si="602"/>
        <v>0</v>
      </c>
      <c r="BJ642" s="49">
        <f t="shared" si="603"/>
        <v>0</v>
      </c>
      <c r="BK642" s="49">
        <f t="shared" si="604"/>
        <v>0</v>
      </c>
      <c r="BL642" s="49">
        <f t="shared" si="605"/>
        <v>0</v>
      </c>
      <c r="BM642" s="49">
        <f t="shared" si="606"/>
        <v>0</v>
      </c>
      <c r="BN642" s="49">
        <f t="shared" si="607"/>
        <v>0</v>
      </c>
      <c r="BO642" s="49">
        <f t="shared" si="608"/>
        <v>0</v>
      </c>
      <c r="BP642" s="49">
        <f t="shared" si="609"/>
        <v>0</v>
      </c>
      <c r="BQ642" s="49">
        <f t="shared" si="610"/>
        <v>0</v>
      </c>
      <c r="BR642" s="49">
        <f t="shared" si="611"/>
        <v>0</v>
      </c>
      <c r="BS642" s="49">
        <f t="shared" si="612"/>
        <v>0</v>
      </c>
      <c r="BT642" s="49">
        <f t="shared" si="613"/>
        <v>0</v>
      </c>
      <c r="BU642" s="49">
        <f t="shared" si="614"/>
        <v>0</v>
      </c>
      <c r="BV642" s="49">
        <f t="shared" si="615"/>
        <v>0</v>
      </c>
      <c r="BW642" s="49">
        <f t="shared" si="616"/>
        <v>0</v>
      </c>
    </row>
    <row r="643" spans="1:75" ht="35.1" customHeight="1" x14ac:dyDescent="0.3">
      <c r="A643" s="123" t="str">
        <f t="shared" si="581"/>
        <v>팀</v>
      </c>
      <c r="B643" s="69"/>
      <c r="C643" s="121"/>
      <c r="D643" s="74"/>
      <c r="E643" s="74"/>
      <c r="F643" s="70"/>
      <c r="G643" s="72"/>
      <c r="H643" s="67"/>
      <c r="I643" s="73"/>
      <c r="J643" s="73"/>
      <c r="K643" s="68"/>
      <c r="L643" s="67"/>
      <c r="M643" s="73"/>
      <c r="N643" s="73"/>
      <c r="O643" s="68"/>
      <c r="P643" s="67"/>
      <c r="Q643" s="73"/>
      <c r="R643" s="73"/>
      <c r="S643" s="68"/>
      <c r="T643" s="67"/>
      <c r="U643" s="73"/>
      <c r="V643" s="73"/>
      <c r="W643" s="68"/>
      <c r="X643" s="67"/>
      <c r="Y643" s="73"/>
      <c r="Z643" s="73"/>
      <c r="AA643" s="68"/>
      <c r="AB643" s="67"/>
      <c r="AC643" s="73"/>
      <c r="AD643" s="73"/>
      <c r="AE643" s="68"/>
      <c r="AF643" s="67"/>
      <c r="AG643" s="73"/>
      <c r="AH643" s="73"/>
      <c r="AI643" s="68"/>
      <c r="AJ643" s="67"/>
      <c r="AK643" s="73"/>
      <c r="AL643" s="73"/>
      <c r="AM643" s="68"/>
      <c r="AN643" s="67"/>
      <c r="AO643" s="68"/>
      <c r="AR643" s="49">
        <f t="shared" si="585"/>
        <v>0</v>
      </c>
      <c r="AS643" s="49">
        <f t="shared" si="586"/>
        <v>0</v>
      </c>
      <c r="AT643" s="49">
        <f t="shared" si="587"/>
        <v>0</v>
      </c>
      <c r="AU643" s="49">
        <f t="shared" si="588"/>
        <v>0</v>
      </c>
      <c r="AV643" s="49">
        <f t="shared" si="589"/>
        <v>0</v>
      </c>
      <c r="AW643" s="49">
        <f t="shared" si="590"/>
        <v>0</v>
      </c>
      <c r="AX643" s="49">
        <f t="shared" si="591"/>
        <v>0</v>
      </c>
      <c r="AY643" s="49">
        <f t="shared" si="592"/>
        <v>0</v>
      </c>
      <c r="AZ643" s="49">
        <f t="shared" si="593"/>
        <v>0</v>
      </c>
      <c r="BA643" s="49">
        <f t="shared" si="594"/>
        <v>0</v>
      </c>
      <c r="BB643" s="49">
        <f t="shared" si="595"/>
        <v>0</v>
      </c>
      <c r="BC643" s="49">
        <f t="shared" si="596"/>
        <v>0</v>
      </c>
      <c r="BD643" s="49">
        <f t="shared" si="597"/>
        <v>0</v>
      </c>
      <c r="BE643" s="49">
        <f t="shared" si="598"/>
        <v>0</v>
      </c>
      <c r="BF643" s="49">
        <f t="shared" si="599"/>
        <v>0</v>
      </c>
      <c r="BG643" s="49">
        <f t="shared" si="600"/>
        <v>0</v>
      </c>
      <c r="BH643" s="49">
        <f t="shared" si="601"/>
        <v>0</v>
      </c>
      <c r="BI643" s="49">
        <f t="shared" si="602"/>
        <v>0</v>
      </c>
      <c r="BJ643" s="49">
        <f t="shared" si="603"/>
        <v>0</v>
      </c>
      <c r="BK643" s="49">
        <f t="shared" si="604"/>
        <v>0</v>
      </c>
      <c r="BL643" s="49">
        <f t="shared" si="605"/>
        <v>0</v>
      </c>
      <c r="BM643" s="49">
        <f t="shared" si="606"/>
        <v>0</v>
      </c>
      <c r="BN643" s="49">
        <f t="shared" si="607"/>
        <v>0</v>
      </c>
      <c r="BO643" s="49">
        <f t="shared" si="608"/>
        <v>0</v>
      </c>
      <c r="BP643" s="49">
        <f t="shared" si="609"/>
        <v>0</v>
      </c>
      <c r="BQ643" s="49">
        <f t="shared" si="610"/>
        <v>0</v>
      </c>
      <c r="BR643" s="49">
        <f t="shared" si="611"/>
        <v>0</v>
      </c>
      <c r="BS643" s="49">
        <f t="shared" si="612"/>
        <v>0</v>
      </c>
      <c r="BT643" s="49">
        <f t="shared" si="613"/>
        <v>0</v>
      </c>
      <c r="BU643" s="49">
        <f t="shared" si="614"/>
        <v>0</v>
      </c>
      <c r="BV643" s="49">
        <f t="shared" si="615"/>
        <v>0</v>
      </c>
      <c r="BW643" s="49">
        <f t="shared" si="616"/>
        <v>0</v>
      </c>
    </row>
    <row r="644" spans="1:75" ht="35.1" customHeight="1" x14ac:dyDescent="0.3">
      <c r="A644" s="123" t="str">
        <f t="shared" si="581"/>
        <v>팀</v>
      </c>
      <c r="B644" s="69"/>
      <c r="C644" s="121"/>
      <c r="D644" s="74"/>
      <c r="E644" s="74"/>
      <c r="F644" s="70"/>
      <c r="G644" s="72"/>
      <c r="H644" s="67"/>
      <c r="I644" s="73"/>
      <c r="J644" s="73"/>
      <c r="K644" s="68"/>
      <c r="L644" s="67"/>
      <c r="M644" s="73"/>
      <c r="N644" s="73"/>
      <c r="O644" s="68"/>
      <c r="P644" s="67"/>
      <c r="Q644" s="73"/>
      <c r="R644" s="73"/>
      <c r="S644" s="68"/>
      <c r="T644" s="67"/>
      <c r="U644" s="73"/>
      <c r="V644" s="73"/>
      <c r="W644" s="68"/>
      <c r="X644" s="67"/>
      <c r="Y644" s="73"/>
      <c r="Z644" s="73"/>
      <c r="AA644" s="68"/>
      <c r="AB644" s="67"/>
      <c r="AC644" s="73"/>
      <c r="AD644" s="73"/>
      <c r="AE644" s="68"/>
      <c r="AF644" s="67"/>
      <c r="AG644" s="73"/>
      <c r="AH644" s="73"/>
      <c r="AI644" s="68"/>
      <c r="AJ644" s="67"/>
      <c r="AK644" s="73"/>
      <c r="AL644" s="73"/>
      <c r="AM644" s="68"/>
      <c r="AN644" s="67"/>
      <c r="AO644" s="68"/>
      <c r="AR644" s="49">
        <f t="shared" si="585"/>
        <v>0</v>
      </c>
      <c r="AS644" s="49">
        <f t="shared" si="586"/>
        <v>0</v>
      </c>
      <c r="AT644" s="49">
        <f t="shared" si="587"/>
        <v>0</v>
      </c>
      <c r="AU644" s="49">
        <f t="shared" si="588"/>
        <v>0</v>
      </c>
      <c r="AV644" s="49">
        <f t="shared" si="589"/>
        <v>0</v>
      </c>
      <c r="AW644" s="49">
        <f t="shared" si="590"/>
        <v>0</v>
      </c>
      <c r="AX644" s="49">
        <f t="shared" si="591"/>
        <v>0</v>
      </c>
      <c r="AY644" s="49">
        <f t="shared" si="592"/>
        <v>0</v>
      </c>
      <c r="AZ644" s="49">
        <f t="shared" si="593"/>
        <v>0</v>
      </c>
      <c r="BA644" s="49">
        <f t="shared" si="594"/>
        <v>0</v>
      </c>
      <c r="BB644" s="49">
        <f t="shared" si="595"/>
        <v>0</v>
      </c>
      <c r="BC644" s="49">
        <f t="shared" si="596"/>
        <v>0</v>
      </c>
      <c r="BD644" s="49">
        <f t="shared" si="597"/>
        <v>0</v>
      </c>
      <c r="BE644" s="49">
        <f t="shared" si="598"/>
        <v>0</v>
      </c>
      <c r="BF644" s="49">
        <f t="shared" si="599"/>
        <v>0</v>
      </c>
      <c r="BG644" s="49">
        <f t="shared" si="600"/>
        <v>0</v>
      </c>
      <c r="BH644" s="49">
        <f t="shared" si="601"/>
        <v>0</v>
      </c>
      <c r="BI644" s="49">
        <f t="shared" si="602"/>
        <v>0</v>
      </c>
      <c r="BJ644" s="49">
        <f t="shared" si="603"/>
        <v>0</v>
      </c>
      <c r="BK644" s="49">
        <f t="shared" si="604"/>
        <v>0</v>
      </c>
      <c r="BL644" s="49">
        <f t="shared" si="605"/>
        <v>0</v>
      </c>
      <c r="BM644" s="49">
        <f t="shared" si="606"/>
        <v>0</v>
      </c>
      <c r="BN644" s="49">
        <f t="shared" si="607"/>
        <v>0</v>
      </c>
      <c r="BO644" s="49">
        <f t="shared" si="608"/>
        <v>0</v>
      </c>
      <c r="BP644" s="49">
        <f t="shared" si="609"/>
        <v>0</v>
      </c>
      <c r="BQ644" s="49">
        <f t="shared" si="610"/>
        <v>0</v>
      </c>
      <c r="BR644" s="49">
        <f t="shared" si="611"/>
        <v>0</v>
      </c>
      <c r="BS644" s="49">
        <f t="shared" si="612"/>
        <v>0</v>
      </c>
      <c r="BT644" s="49">
        <f t="shared" si="613"/>
        <v>0</v>
      </c>
      <c r="BU644" s="49">
        <f t="shared" si="614"/>
        <v>0</v>
      </c>
      <c r="BV644" s="49">
        <f t="shared" si="615"/>
        <v>0</v>
      </c>
      <c r="BW644" s="49">
        <f t="shared" si="616"/>
        <v>0</v>
      </c>
    </row>
  </sheetData>
  <autoFilter ref="A6:AO6" xr:uid="{64EB8C12-A854-496A-9685-4E3F2304D51B}"/>
  <mergeCells count="8">
    <mergeCell ref="AO2:AO5"/>
    <mergeCell ref="B2:B5"/>
    <mergeCell ref="C2:C5"/>
    <mergeCell ref="D2:D5"/>
    <mergeCell ref="E2:E5"/>
    <mergeCell ref="G2:G5"/>
    <mergeCell ref="AN2:AN5"/>
    <mergeCell ref="F2:F5"/>
  </mergeCells>
  <phoneticPr fontId="4" type="noConversion"/>
  <conditionalFormatting sqref="B7:AO98 B100:AO513">
    <cfRule type="expression" dxfId="25" priority="468">
      <formula>TEXT($C7,0)=TEXT($C8,0)=FALSE</formula>
    </cfRule>
  </conditionalFormatting>
  <conditionalFormatting sqref="B99:AO99 B618:AO618 B644:AO644">
    <cfRule type="expression" dxfId="24" priority="985">
      <formula>TEXT($C99,0)=TEXT(#REF!,0)=FALSE</formula>
    </cfRule>
  </conditionalFormatting>
  <conditionalFormatting sqref="B514:AO514">
    <cfRule type="expression" dxfId="23" priority="984">
      <formula>TEXT($C514,0)=TEXT($C617,0)=FALSE</formula>
    </cfRule>
  </conditionalFormatting>
  <conditionalFormatting sqref="B515:AO515">
    <cfRule type="expression" dxfId="22" priority="11">
      <formula>TEXT($C515,0)=TEXT($C516,0)=FALSE</formula>
    </cfRule>
  </conditionalFormatting>
  <conditionalFormatting sqref="B516:AO516">
    <cfRule type="expression" dxfId="21" priority="13">
      <formula>TEXT($C516,0)=TEXT($C549,0)=FALSE</formula>
    </cfRule>
  </conditionalFormatting>
  <conditionalFormatting sqref="B517:AO527">
    <cfRule type="expression" dxfId="20" priority="3">
      <formula>TEXT($C517,0)=TEXT($C518,0)=FALSE</formula>
    </cfRule>
  </conditionalFormatting>
  <conditionalFormatting sqref="B528:AO528">
    <cfRule type="expression" dxfId="19" priority="4">
      <formula>TEXT($C528,0)=TEXT($C531,0)=FALSE</formula>
    </cfRule>
  </conditionalFormatting>
  <conditionalFormatting sqref="B529:AO543">
    <cfRule type="expression" dxfId="18" priority="1">
      <formula>TEXT($C529,0)=TEXT($C530,0)=FALSE</formula>
    </cfRule>
  </conditionalFormatting>
  <conditionalFormatting sqref="B544:AO544">
    <cfRule type="expression" dxfId="17" priority="8">
      <formula>TEXT($C544,0)=TEXT($C547,0)=FALSE</formula>
    </cfRule>
  </conditionalFormatting>
  <conditionalFormatting sqref="B545:AO559">
    <cfRule type="expression" dxfId="16" priority="5">
      <formula>TEXT($C545,0)=TEXT($C546,0)=FALSE</formula>
    </cfRule>
  </conditionalFormatting>
  <conditionalFormatting sqref="B560:AO560">
    <cfRule type="expression" dxfId="15" priority="12">
      <formula>TEXT($C560,0)=TEXT($C563,0)=FALSE</formula>
    </cfRule>
  </conditionalFormatting>
  <conditionalFormatting sqref="B561:AO566">
    <cfRule type="expression" dxfId="14" priority="9">
      <formula>TEXT($C561,0)=TEXT($C562,0)=FALSE</formula>
    </cfRule>
  </conditionalFormatting>
  <conditionalFormatting sqref="B567:AO567">
    <cfRule type="expression" dxfId="13" priority="26">
      <formula>TEXT($C567,0)=TEXT($C600,0)=FALSE</formula>
    </cfRule>
  </conditionalFormatting>
  <conditionalFormatting sqref="B568:AO578">
    <cfRule type="expression" dxfId="12" priority="16">
      <formula>TEXT($C568,0)=TEXT($C569,0)=FALSE</formula>
    </cfRule>
  </conditionalFormatting>
  <conditionalFormatting sqref="B579:AO579">
    <cfRule type="expression" dxfId="11" priority="17">
      <formula>TEXT($C579,0)=TEXT($C582,0)=FALSE</formula>
    </cfRule>
  </conditionalFormatting>
  <conditionalFormatting sqref="B580:AO594">
    <cfRule type="expression" dxfId="10" priority="14">
      <formula>TEXT($C580,0)=TEXT($C581,0)=FALSE</formula>
    </cfRule>
  </conditionalFormatting>
  <conditionalFormatting sqref="B595:AO595">
    <cfRule type="expression" dxfId="9" priority="21">
      <formula>TEXT($C595,0)=TEXT($C598,0)=FALSE</formula>
    </cfRule>
  </conditionalFormatting>
  <conditionalFormatting sqref="B596:AO610">
    <cfRule type="expression" dxfId="8" priority="18">
      <formula>TEXT($C596,0)=TEXT($C597,0)=FALSE</formula>
    </cfRule>
  </conditionalFormatting>
  <conditionalFormatting sqref="B611:AO611">
    <cfRule type="expression" dxfId="7" priority="25">
      <formula>TEXT($C611,0)=TEXT($C614,0)=FALSE</formula>
    </cfRule>
  </conditionalFormatting>
  <conditionalFormatting sqref="B612:AO617">
    <cfRule type="expression" dxfId="6" priority="22">
      <formula>TEXT($C612,0)=TEXT($C613,0)=FALSE</formula>
    </cfRule>
  </conditionalFormatting>
  <conditionalFormatting sqref="B619:AO629">
    <cfRule type="expression" dxfId="5" priority="29">
      <formula>TEXT($C619,0)=TEXT($C620,0)=FALSE</formula>
    </cfRule>
  </conditionalFormatting>
  <conditionalFormatting sqref="B630:AO630">
    <cfRule type="expression" dxfId="4" priority="30">
      <formula>TEXT($C630,0)=TEXT($C633,0)=FALSE</formula>
    </cfRule>
  </conditionalFormatting>
  <conditionalFormatting sqref="B631:AO643">
    <cfRule type="expression" dxfId="3" priority="27">
      <formula>TEXT($C631,0)=TEXT($C632,0)=FALSE</formula>
    </cfRule>
  </conditionalFormatting>
  <conditionalFormatting sqref="D8:D644">
    <cfRule type="cellIs" dxfId="2" priority="475" operator="lessThan">
      <formula>0</formula>
    </cfRule>
  </conditionalFormatting>
  <conditionalFormatting sqref="E7:E644">
    <cfRule type="cellIs" dxfId="1" priority="470" operator="lessThan">
      <formula>0</formula>
    </cfRule>
  </conditionalFormatting>
  <conditionalFormatting sqref="H7:AM644">
    <cfRule type="cellIs" dxfId="0" priority="469" operator="equal">
      <formula>"O"</formula>
    </cfRule>
  </conditionalFormatting>
  <printOptions horizontalCentered="1"/>
  <pageMargins left="0.19685039370078741" right="0.19685039370078741" top="0.59055118110236227" bottom="0.39370078740157483" header="0.31496062992125984" footer="0.31496062992125984"/>
  <pageSetup paperSize="8" scale="44" fitToHeight="0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8012-F081-42C8-88E1-C4F4F319A584}">
  <dimension ref="A1:AG369"/>
  <sheetViews>
    <sheetView topLeftCell="B46" workbookViewId="0">
      <selection activeCell="C65" sqref="C65"/>
    </sheetView>
  </sheetViews>
  <sheetFormatPr defaultColWidth="53.625" defaultRowHeight="16.5" customHeight="1" outlineLevelCol="1" x14ac:dyDescent="0.3"/>
  <cols>
    <col min="1" max="1" width="0" hidden="1" customWidth="1" outlineLevel="1"/>
    <col min="2" max="2" width="12" customWidth="1" collapsed="1"/>
    <col min="4" max="4" width="53.625" customWidth="1" outlineLevel="1"/>
    <col min="5" max="5" width="25.125" customWidth="1" outlineLevel="1"/>
    <col min="6" max="6" width="5.5" bestFit="1" customWidth="1"/>
    <col min="7" max="7" width="16.875" customWidth="1"/>
    <col min="8" max="8" width="11.125" bestFit="1" customWidth="1"/>
    <col min="9" max="9" width="34.5" hidden="1" customWidth="1" outlineLevel="1"/>
    <col min="10" max="10" width="13.25" bestFit="1" customWidth="1" collapsed="1"/>
    <col min="11" max="11" width="14.375" hidden="1" customWidth="1" outlineLevel="1"/>
    <col min="12" max="12" width="5.625" hidden="1" customWidth="1" collapsed="1"/>
    <col min="13" max="14" width="5.625" hidden="1" customWidth="1"/>
    <col min="15" max="15" width="27.875" customWidth="1"/>
    <col min="16" max="20" width="5.625" hidden="1" customWidth="1"/>
    <col min="21" max="21" width="21.25" bestFit="1" customWidth="1"/>
    <col min="22" max="22" width="14.625" bestFit="1" customWidth="1"/>
    <col min="23" max="23" width="7.625" bestFit="1" customWidth="1"/>
    <col min="24" max="24" width="14.875" bestFit="1" customWidth="1"/>
    <col min="25" max="25" width="7.625" bestFit="1" customWidth="1"/>
    <col min="26" max="26" width="8.5" bestFit="1" customWidth="1"/>
    <col min="27" max="27" width="9.5" bestFit="1" customWidth="1"/>
    <col min="28" max="29" width="8.125" bestFit="1" customWidth="1"/>
    <col min="30" max="30" width="21" bestFit="1" customWidth="1"/>
    <col min="31" max="31" width="8.125" bestFit="1" customWidth="1"/>
    <col min="32" max="33" width="13.25" bestFit="1" customWidth="1"/>
  </cols>
  <sheetData>
    <row r="1" spans="1:33" ht="66" x14ac:dyDescent="0.3">
      <c r="A1" s="83"/>
      <c r="B1" s="84" t="s">
        <v>87</v>
      </c>
      <c r="C1" s="84" t="s">
        <v>85</v>
      </c>
      <c r="D1" s="84" t="s">
        <v>88</v>
      </c>
      <c r="E1" s="84" t="s">
        <v>89</v>
      </c>
      <c r="F1" s="84" t="s">
        <v>90</v>
      </c>
      <c r="G1" s="84" t="s">
        <v>91</v>
      </c>
      <c r="H1" s="84" t="s">
        <v>92</v>
      </c>
      <c r="I1" s="84" t="s">
        <v>93</v>
      </c>
      <c r="J1" s="84" t="s">
        <v>94</v>
      </c>
      <c r="K1" s="84" t="s">
        <v>95</v>
      </c>
      <c r="L1" s="84" t="s">
        <v>96</v>
      </c>
      <c r="M1" s="84" t="s">
        <v>97</v>
      </c>
      <c r="N1" s="84" t="s">
        <v>98</v>
      </c>
      <c r="O1" s="84" t="s">
        <v>99</v>
      </c>
      <c r="P1" s="84" t="s">
        <v>100</v>
      </c>
      <c r="Q1" s="84" t="s">
        <v>101</v>
      </c>
      <c r="R1" s="84" t="s">
        <v>102</v>
      </c>
      <c r="S1" s="84" t="s">
        <v>103</v>
      </c>
      <c r="T1" s="84" t="s">
        <v>104</v>
      </c>
      <c r="U1" s="85" t="s">
        <v>105</v>
      </c>
      <c r="V1" s="85" t="s">
        <v>29</v>
      </c>
      <c r="W1" s="85" t="s">
        <v>28</v>
      </c>
      <c r="X1" s="85" t="s">
        <v>106</v>
      </c>
      <c r="Y1" s="85" t="s">
        <v>107</v>
      </c>
      <c r="Z1" s="85" t="s">
        <v>108</v>
      </c>
      <c r="AA1" s="85" t="s">
        <v>109</v>
      </c>
      <c r="AB1" s="85" t="s">
        <v>110</v>
      </c>
      <c r="AC1" s="85" t="s">
        <v>111</v>
      </c>
      <c r="AD1" s="85" t="s">
        <v>61</v>
      </c>
      <c r="AE1" s="85" t="s">
        <v>112</v>
      </c>
      <c r="AF1" s="85" t="s">
        <v>113</v>
      </c>
      <c r="AG1" s="85" t="s">
        <v>114</v>
      </c>
    </row>
    <row r="2" spans="1:33" x14ac:dyDescent="0.3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3">
      <c r="A3" s="86" t="str">
        <f>C3</f>
        <v>[1.대우산업개발] (소방공사)부창구역 주택재개발</v>
      </c>
      <c r="B3" s="87">
        <v>21009</v>
      </c>
      <c r="C3" s="88" t="s">
        <v>115</v>
      </c>
      <c r="D3" s="88" t="s">
        <v>115</v>
      </c>
      <c r="E3" s="87" t="s">
        <v>116</v>
      </c>
      <c r="F3" s="87" t="s">
        <v>117</v>
      </c>
      <c r="G3" s="88" t="s">
        <v>118</v>
      </c>
      <c r="H3" s="87" t="s">
        <v>119</v>
      </c>
      <c r="I3" s="88" t="s">
        <v>118</v>
      </c>
      <c r="J3" s="89">
        <v>1397162823</v>
      </c>
      <c r="K3" s="87" t="s">
        <v>120</v>
      </c>
      <c r="L3" s="87"/>
      <c r="M3" s="87"/>
      <c r="N3" s="87"/>
      <c r="O3" s="86" t="s">
        <v>121</v>
      </c>
      <c r="P3" s="87" t="s">
        <v>122</v>
      </c>
      <c r="Q3" s="87" t="s">
        <v>123</v>
      </c>
      <c r="R3" s="87">
        <v>8</v>
      </c>
      <c r="S3" s="87">
        <v>8</v>
      </c>
      <c r="T3" s="87" t="s">
        <v>122</v>
      </c>
      <c r="U3" s="87" t="s">
        <v>124</v>
      </c>
      <c r="V3" s="87" t="s">
        <v>124</v>
      </c>
      <c r="W3" s="87" t="s">
        <v>124</v>
      </c>
      <c r="X3" s="87" t="s">
        <v>124</v>
      </c>
      <c r="Y3" s="87" t="s">
        <v>124</v>
      </c>
      <c r="Z3" s="87" t="s">
        <v>124</v>
      </c>
      <c r="AA3" s="87" t="s">
        <v>124</v>
      </c>
      <c r="AB3" s="87" t="s">
        <v>124</v>
      </c>
      <c r="AC3" s="87" t="s">
        <v>124</v>
      </c>
      <c r="AD3" s="87" t="s">
        <v>124</v>
      </c>
      <c r="AE3" s="87" t="s">
        <v>124</v>
      </c>
      <c r="AF3" s="90" t="s">
        <v>124</v>
      </c>
      <c r="AG3" s="90" t="s">
        <v>124</v>
      </c>
    </row>
    <row r="4" spans="1:33" x14ac:dyDescent="0.3">
      <c r="A4" s="86" t="str">
        <f t="shared" ref="A4:A67" si="0">C4</f>
        <v>[1.대우산업개발] (전기공사)부창구역 주택재개발</v>
      </c>
      <c r="B4" s="87">
        <v>21010</v>
      </c>
      <c r="C4" s="88" t="s">
        <v>125</v>
      </c>
      <c r="D4" s="88" t="s">
        <v>125</v>
      </c>
      <c r="E4" s="87" t="s">
        <v>116</v>
      </c>
      <c r="F4" s="87" t="s">
        <v>117</v>
      </c>
      <c r="G4" s="88" t="s">
        <v>118</v>
      </c>
      <c r="H4" s="87" t="s">
        <v>119</v>
      </c>
      <c r="I4" s="88" t="s">
        <v>118</v>
      </c>
      <c r="J4" s="89">
        <v>2825939715</v>
      </c>
      <c r="K4" s="87"/>
      <c r="L4" s="87"/>
      <c r="M4" s="87"/>
      <c r="N4" s="87"/>
      <c r="O4" s="86" t="s">
        <v>121</v>
      </c>
      <c r="P4" s="87" t="s">
        <v>122</v>
      </c>
      <c r="Q4" s="87" t="s">
        <v>123</v>
      </c>
      <c r="R4" s="87">
        <v>8</v>
      </c>
      <c r="S4" s="87">
        <v>8</v>
      </c>
      <c r="T4" s="87" t="s">
        <v>122</v>
      </c>
      <c r="U4" s="87" t="s">
        <v>124</v>
      </c>
      <c r="V4" s="87" t="s">
        <v>124</v>
      </c>
      <c r="W4" s="87" t="s">
        <v>124</v>
      </c>
      <c r="X4" s="87" t="s">
        <v>124</v>
      </c>
      <c r="Y4" s="87" t="s">
        <v>124</v>
      </c>
      <c r="Z4" s="87" t="s">
        <v>124</v>
      </c>
      <c r="AA4" s="87" t="s">
        <v>124</v>
      </c>
      <c r="AB4" s="87" t="s">
        <v>124</v>
      </c>
      <c r="AC4" s="87" t="s">
        <v>124</v>
      </c>
      <c r="AD4" s="87" t="s">
        <v>124</v>
      </c>
      <c r="AE4" s="87" t="s">
        <v>124</v>
      </c>
      <c r="AF4" s="90" t="s">
        <v>124</v>
      </c>
      <c r="AG4" s="90" t="s">
        <v>124</v>
      </c>
    </row>
    <row r="5" spans="1:33" x14ac:dyDescent="0.3">
      <c r="A5" s="86" t="str">
        <f t="shared" si="0"/>
        <v>[2.현대산업개발] 시티오씨엘 3단지</v>
      </c>
      <c r="B5" s="87">
        <v>21088</v>
      </c>
      <c r="C5" s="88" t="s">
        <v>126</v>
      </c>
      <c r="D5" s="88" t="s">
        <v>126</v>
      </c>
      <c r="E5" s="87" t="s">
        <v>127</v>
      </c>
      <c r="F5" s="87" t="s">
        <v>117</v>
      </c>
      <c r="G5" s="88" t="s">
        <v>128</v>
      </c>
      <c r="H5" s="87" t="s">
        <v>129</v>
      </c>
      <c r="I5" s="88" t="s">
        <v>128</v>
      </c>
      <c r="J5" s="89">
        <v>2781216918</v>
      </c>
      <c r="K5" s="87" t="s">
        <v>130</v>
      </c>
      <c r="L5" s="87"/>
      <c r="M5" s="87"/>
      <c r="N5" s="87"/>
      <c r="O5" s="86" t="s">
        <v>131</v>
      </c>
      <c r="P5" s="87" t="s">
        <v>122</v>
      </c>
      <c r="Q5" s="87"/>
      <c r="R5" s="87">
        <v>8</v>
      </c>
      <c r="S5" s="87">
        <v>8</v>
      </c>
      <c r="T5" s="87" t="s">
        <v>122</v>
      </c>
      <c r="U5" s="87" t="s">
        <v>132</v>
      </c>
      <c r="V5" s="87" t="s">
        <v>133</v>
      </c>
      <c r="W5" s="87" t="s">
        <v>124</v>
      </c>
      <c r="X5" s="87" t="s">
        <v>134</v>
      </c>
      <c r="Y5" s="87" t="s">
        <v>135</v>
      </c>
      <c r="Z5" s="87" t="s">
        <v>136</v>
      </c>
      <c r="AA5" s="87" t="s">
        <v>137</v>
      </c>
      <c r="AB5" s="87">
        <v>815</v>
      </c>
      <c r="AC5" s="91">
        <v>49869</v>
      </c>
      <c r="AD5" s="87" t="s">
        <v>138</v>
      </c>
      <c r="AE5" s="87" t="s">
        <v>124</v>
      </c>
      <c r="AF5" s="90">
        <v>0.1076</v>
      </c>
      <c r="AG5" s="90">
        <v>1.419</v>
      </c>
    </row>
    <row r="6" spans="1:33" x14ac:dyDescent="0.3">
      <c r="A6" s="86" t="str">
        <f t="shared" si="0"/>
        <v>[1.대우건설] 광명2R구역 주택재개발정비공사</v>
      </c>
      <c r="B6" s="87">
        <v>21102</v>
      </c>
      <c r="C6" s="88" t="s">
        <v>139</v>
      </c>
      <c r="D6" s="88" t="s">
        <v>140</v>
      </c>
      <c r="E6" s="87" t="s">
        <v>141</v>
      </c>
      <c r="F6" s="87" t="s">
        <v>117</v>
      </c>
      <c r="G6" s="88" t="s">
        <v>142</v>
      </c>
      <c r="H6" s="87" t="s">
        <v>143</v>
      </c>
      <c r="I6" s="88" t="s">
        <v>144</v>
      </c>
      <c r="J6" s="89">
        <v>3007729794</v>
      </c>
      <c r="K6" s="87" t="s">
        <v>145</v>
      </c>
      <c r="L6" s="87"/>
      <c r="M6" s="87"/>
      <c r="N6" s="87"/>
      <c r="O6" s="86" t="s">
        <v>146</v>
      </c>
      <c r="P6" s="87" t="s">
        <v>122</v>
      </c>
      <c r="Q6" s="87"/>
      <c r="R6" s="87">
        <v>8</v>
      </c>
      <c r="S6" s="87">
        <v>8</v>
      </c>
      <c r="T6" s="87" t="s">
        <v>122</v>
      </c>
      <c r="U6" s="87" t="s">
        <v>124</v>
      </c>
      <c r="V6" s="87" t="s">
        <v>124</v>
      </c>
      <c r="W6" s="87" t="s">
        <v>124</v>
      </c>
      <c r="X6" s="87" t="s">
        <v>147</v>
      </c>
      <c r="Y6" s="87" t="s">
        <v>148</v>
      </c>
      <c r="Z6" s="87" t="s">
        <v>149</v>
      </c>
      <c r="AA6" s="87" t="s">
        <v>150</v>
      </c>
      <c r="AB6" s="87">
        <v>1178</v>
      </c>
      <c r="AC6" s="91">
        <v>49474</v>
      </c>
      <c r="AD6" s="87" t="s">
        <v>138</v>
      </c>
      <c r="AE6" s="87" t="s">
        <v>124</v>
      </c>
      <c r="AF6" s="90">
        <v>9.35E-2</v>
      </c>
      <c r="AG6" s="90">
        <v>0.1318</v>
      </c>
    </row>
    <row r="7" spans="1:33" x14ac:dyDescent="0.3">
      <c r="A7" s="86" t="str">
        <f t="shared" si="0"/>
        <v>[2.현대엔지니어링] 힐스테이트 만촌역 신축공사</v>
      </c>
      <c r="B7" s="87">
        <v>21108</v>
      </c>
      <c r="C7" s="88" t="s">
        <v>151</v>
      </c>
      <c r="D7" s="88" t="s">
        <v>151</v>
      </c>
      <c r="E7" s="87" t="s">
        <v>152</v>
      </c>
      <c r="F7" s="87" t="s">
        <v>117</v>
      </c>
      <c r="G7" s="88" t="s">
        <v>153</v>
      </c>
      <c r="H7" s="87" t="s">
        <v>154</v>
      </c>
      <c r="I7" s="88" t="s">
        <v>153</v>
      </c>
      <c r="J7" s="89">
        <v>2248580431</v>
      </c>
      <c r="K7" s="87" t="s">
        <v>155</v>
      </c>
      <c r="L7" s="87"/>
      <c r="M7" s="87"/>
      <c r="N7" s="87"/>
      <c r="O7" s="86" t="s">
        <v>156</v>
      </c>
      <c r="P7" s="87" t="s">
        <v>122</v>
      </c>
      <c r="Q7" s="87"/>
      <c r="R7" s="87">
        <v>8</v>
      </c>
      <c r="S7" s="87">
        <v>8</v>
      </c>
      <c r="T7" s="87" t="s">
        <v>122</v>
      </c>
      <c r="U7" s="87" t="s">
        <v>157</v>
      </c>
      <c r="V7" s="87" t="s">
        <v>158</v>
      </c>
      <c r="W7" s="87" t="s">
        <v>124</v>
      </c>
      <c r="X7" s="87" t="s">
        <v>159</v>
      </c>
      <c r="Y7" s="87" t="s">
        <v>160</v>
      </c>
      <c r="Z7" s="87" t="s">
        <v>136</v>
      </c>
      <c r="AA7" s="87" t="s">
        <v>161</v>
      </c>
      <c r="AB7" s="87">
        <v>718</v>
      </c>
      <c r="AC7" s="91">
        <v>46159</v>
      </c>
      <c r="AD7" s="87" t="s">
        <v>162</v>
      </c>
      <c r="AE7" s="87" t="s">
        <v>124</v>
      </c>
      <c r="AF7" s="90">
        <v>0.11119999999999999</v>
      </c>
      <c r="AG7" s="90">
        <v>1.196</v>
      </c>
    </row>
    <row r="8" spans="1:33" x14ac:dyDescent="0.3">
      <c r="A8" s="86" t="str">
        <f t="shared" si="0"/>
        <v>[1.범양건영] 구미 송정동 범양레우스 공동주택 전기통신소방공사</v>
      </c>
      <c r="B8" s="87">
        <v>21117</v>
      </c>
      <c r="C8" s="88" t="s">
        <v>163</v>
      </c>
      <c r="D8" s="88" t="s">
        <v>163</v>
      </c>
      <c r="E8" s="87" t="s">
        <v>164</v>
      </c>
      <c r="F8" s="87" t="s">
        <v>117</v>
      </c>
      <c r="G8" s="88" t="s">
        <v>165</v>
      </c>
      <c r="H8" s="87" t="s">
        <v>166</v>
      </c>
      <c r="I8" s="88" t="s">
        <v>167</v>
      </c>
      <c r="J8" s="89">
        <v>1462422316</v>
      </c>
      <c r="K8" s="87" t="s">
        <v>168</v>
      </c>
      <c r="L8" s="87"/>
      <c r="M8" s="87"/>
      <c r="N8" s="87"/>
      <c r="O8" s="86" t="s">
        <v>169</v>
      </c>
      <c r="P8" s="87" t="s">
        <v>122</v>
      </c>
      <c r="Q8" s="87"/>
      <c r="R8" s="87">
        <v>8</v>
      </c>
      <c r="S8" s="87">
        <v>8</v>
      </c>
      <c r="T8" s="87" t="s">
        <v>122</v>
      </c>
      <c r="U8" s="87" t="s">
        <v>124</v>
      </c>
      <c r="V8" s="87" t="s">
        <v>124</v>
      </c>
      <c r="W8" s="87" t="s">
        <v>124</v>
      </c>
      <c r="X8" s="87" t="s">
        <v>170</v>
      </c>
      <c r="Y8" s="87" t="s">
        <v>160</v>
      </c>
      <c r="Z8" s="87" t="s">
        <v>149</v>
      </c>
      <c r="AA8" s="87" t="s">
        <v>171</v>
      </c>
      <c r="AB8" s="87">
        <v>486</v>
      </c>
      <c r="AC8" s="91">
        <v>22601</v>
      </c>
      <c r="AD8" s="87" t="s">
        <v>172</v>
      </c>
      <c r="AE8" s="87" t="s">
        <v>124</v>
      </c>
      <c r="AF8" s="90">
        <v>9.9000000000000005E-2</v>
      </c>
      <c r="AG8" s="90">
        <v>0.13039999999999999</v>
      </c>
    </row>
    <row r="9" spans="1:33" x14ac:dyDescent="0.3">
      <c r="A9" s="86" t="str">
        <f t="shared" si="0"/>
        <v>[1.진흥기업] 서울시교육청신청사 임시전력공사</v>
      </c>
      <c r="B9" s="87">
        <v>22003</v>
      </c>
      <c r="C9" s="88" t="s">
        <v>173</v>
      </c>
      <c r="D9" s="88" t="s">
        <v>173</v>
      </c>
      <c r="E9" s="87" t="s">
        <v>174</v>
      </c>
      <c r="F9" s="87" t="s">
        <v>117</v>
      </c>
      <c r="G9" s="88"/>
      <c r="H9" s="87" t="s">
        <v>175</v>
      </c>
      <c r="I9" s="88" t="s">
        <v>176</v>
      </c>
      <c r="J9" s="89">
        <v>27169035</v>
      </c>
      <c r="K9" s="87"/>
      <c r="L9" s="87"/>
      <c r="M9" s="87"/>
      <c r="N9" s="87"/>
      <c r="O9" s="86" t="s">
        <v>177</v>
      </c>
      <c r="P9" s="87" t="s">
        <v>122</v>
      </c>
      <c r="Q9" s="87"/>
      <c r="R9" s="87">
        <v>8</v>
      </c>
      <c r="S9" s="87">
        <v>8</v>
      </c>
      <c r="T9" s="87" t="s">
        <v>122</v>
      </c>
      <c r="U9" s="87" t="s">
        <v>124</v>
      </c>
      <c r="V9" s="87" t="s">
        <v>124</v>
      </c>
      <c r="W9" s="87" t="s">
        <v>124</v>
      </c>
      <c r="X9" s="87" t="s">
        <v>178</v>
      </c>
      <c r="Y9" s="87" t="s">
        <v>179</v>
      </c>
      <c r="Z9" s="87" t="s">
        <v>149</v>
      </c>
      <c r="AA9" s="87" t="s">
        <v>180</v>
      </c>
      <c r="AB9" s="87" t="s">
        <v>124</v>
      </c>
      <c r="AC9" s="91">
        <v>12081</v>
      </c>
      <c r="AD9" s="87" t="s">
        <v>181</v>
      </c>
      <c r="AE9" s="87" t="s">
        <v>124</v>
      </c>
      <c r="AF9" s="90">
        <v>0.1183</v>
      </c>
      <c r="AG9" s="90">
        <v>0.1244</v>
      </c>
    </row>
    <row r="10" spans="1:33" x14ac:dyDescent="0.3">
      <c r="A10" s="86" t="str">
        <f t="shared" si="0"/>
        <v>[1.진흥기업] 부평 4구역 주택재개발 정비사업 아파트 신축(2공구)</v>
      </c>
      <c r="B10" s="87">
        <v>22031</v>
      </c>
      <c r="C10" s="88" t="s">
        <v>182</v>
      </c>
      <c r="D10" s="88" t="s">
        <v>182</v>
      </c>
      <c r="E10" s="87" t="s">
        <v>183</v>
      </c>
      <c r="F10" s="87" t="s">
        <v>117</v>
      </c>
      <c r="G10" s="88" t="s">
        <v>184</v>
      </c>
      <c r="H10" s="87" t="s">
        <v>185</v>
      </c>
      <c r="I10" s="88" t="s">
        <v>176</v>
      </c>
      <c r="J10" s="89">
        <v>2082394479</v>
      </c>
      <c r="K10" s="87" t="s">
        <v>186</v>
      </c>
      <c r="L10" s="87"/>
      <c r="M10" s="87"/>
      <c r="N10" s="87"/>
      <c r="O10" s="86" t="s">
        <v>187</v>
      </c>
      <c r="P10" s="87" t="s">
        <v>122</v>
      </c>
      <c r="Q10" s="87"/>
      <c r="R10" s="87">
        <v>8</v>
      </c>
      <c r="S10" s="87">
        <v>8</v>
      </c>
      <c r="T10" s="87" t="s">
        <v>122</v>
      </c>
      <c r="U10" s="87" t="s">
        <v>188</v>
      </c>
      <c r="V10" s="87" t="s">
        <v>189</v>
      </c>
      <c r="W10" s="87" t="s">
        <v>190</v>
      </c>
      <c r="X10" s="87" t="s">
        <v>147</v>
      </c>
      <c r="Y10" s="87" t="s">
        <v>135</v>
      </c>
      <c r="Z10" s="87" t="s">
        <v>149</v>
      </c>
      <c r="AA10" s="87" t="s">
        <v>191</v>
      </c>
      <c r="AB10" s="87">
        <v>870</v>
      </c>
      <c r="AC10" s="91">
        <v>36427</v>
      </c>
      <c r="AD10" s="87" t="s">
        <v>138</v>
      </c>
      <c r="AE10" s="87" t="s">
        <v>124</v>
      </c>
      <c r="AF10" s="90">
        <v>7.9500000000000001E-2</v>
      </c>
      <c r="AG10" s="90">
        <v>0.1021</v>
      </c>
    </row>
    <row r="11" spans="1:33" x14ac:dyDescent="0.3">
      <c r="A11" s="86" t="str">
        <f t="shared" si="0"/>
        <v>[2.현대엔지니어링] 부천 소사특별건축구역 주상복합 신축공사</v>
      </c>
      <c r="B11" s="87">
        <v>22033</v>
      </c>
      <c r="C11" s="88" t="s">
        <v>192</v>
      </c>
      <c r="D11" s="88" t="s">
        <v>192</v>
      </c>
      <c r="E11" s="87" t="s">
        <v>193</v>
      </c>
      <c r="F11" s="87" t="s">
        <v>117</v>
      </c>
      <c r="G11" s="88" t="s">
        <v>194</v>
      </c>
      <c r="H11" s="87" t="s">
        <v>195</v>
      </c>
      <c r="I11" s="88" t="s">
        <v>153</v>
      </c>
      <c r="J11" s="89">
        <v>2628881771</v>
      </c>
      <c r="K11" s="87" t="s">
        <v>196</v>
      </c>
      <c r="L11" s="87"/>
      <c r="M11" s="87"/>
      <c r="N11" s="87"/>
      <c r="O11" s="86" t="s">
        <v>197</v>
      </c>
      <c r="P11" s="87" t="s">
        <v>122</v>
      </c>
      <c r="Q11" s="87"/>
      <c r="R11" s="87">
        <v>8</v>
      </c>
      <c r="S11" s="87">
        <v>8</v>
      </c>
      <c r="T11" s="87" t="s">
        <v>122</v>
      </c>
      <c r="U11" s="87" t="s">
        <v>198</v>
      </c>
      <c r="V11" s="87" t="s">
        <v>199</v>
      </c>
      <c r="W11" s="87" t="s">
        <v>200</v>
      </c>
      <c r="X11" s="87" t="s">
        <v>134</v>
      </c>
      <c r="Y11" s="87" t="s">
        <v>201</v>
      </c>
      <c r="Z11" s="87" t="s">
        <v>202</v>
      </c>
      <c r="AA11" s="87" t="s">
        <v>203</v>
      </c>
      <c r="AB11" s="87">
        <v>629</v>
      </c>
      <c r="AC11" s="91">
        <v>46155</v>
      </c>
      <c r="AD11" s="87" t="s">
        <v>204</v>
      </c>
      <c r="AE11" s="87" t="s">
        <v>124</v>
      </c>
      <c r="AF11" s="90">
        <v>0.1095</v>
      </c>
      <c r="AG11" s="90">
        <v>0.13009999999999999</v>
      </c>
    </row>
    <row r="12" spans="1:33" x14ac:dyDescent="0.3">
      <c r="A12" s="86" t="str">
        <f t="shared" si="0"/>
        <v>[1.대우건설] 태봉공원 내 공동주택 건설공사 전기설비공사</v>
      </c>
      <c r="B12" s="87">
        <v>22036</v>
      </c>
      <c r="C12" s="88" t="s">
        <v>205</v>
      </c>
      <c r="D12" s="88" t="s">
        <v>205</v>
      </c>
      <c r="E12" s="87" t="s">
        <v>206</v>
      </c>
      <c r="F12" s="87" t="s">
        <v>117</v>
      </c>
      <c r="G12" s="88" t="s">
        <v>207</v>
      </c>
      <c r="H12" s="87" t="s">
        <v>208</v>
      </c>
      <c r="I12" s="88" t="s">
        <v>144</v>
      </c>
      <c r="J12" s="89">
        <v>1448904252</v>
      </c>
      <c r="K12" s="87" t="s">
        <v>209</v>
      </c>
      <c r="L12" s="87"/>
      <c r="M12" s="87"/>
      <c r="N12" s="87"/>
      <c r="O12" s="86" t="s">
        <v>210</v>
      </c>
      <c r="P12" s="87" t="s">
        <v>122</v>
      </c>
      <c r="Q12" s="87" t="s">
        <v>123</v>
      </c>
      <c r="R12" s="87">
        <v>8</v>
      </c>
      <c r="S12" s="87">
        <v>8</v>
      </c>
      <c r="T12" s="87" t="s">
        <v>122</v>
      </c>
      <c r="U12" s="87" t="s">
        <v>211</v>
      </c>
      <c r="V12" s="87" t="s">
        <v>212</v>
      </c>
      <c r="W12" s="87" t="s">
        <v>124</v>
      </c>
      <c r="X12" s="87" t="s">
        <v>170</v>
      </c>
      <c r="Y12" s="87" t="s">
        <v>213</v>
      </c>
      <c r="Z12" s="87" t="s">
        <v>214</v>
      </c>
      <c r="AA12" s="87" t="s">
        <v>215</v>
      </c>
      <c r="AB12" s="87">
        <v>623</v>
      </c>
      <c r="AC12" s="91">
        <v>35711</v>
      </c>
      <c r="AD12" s="87" t="s">
        <v>138</v>
      </c>
      <c r="AE12" s="87" t="s">
        <v>124</v>
      </c>
      <c r="AF12" s="90">
        <v>7.6999999999999999E-2</v>
      </c>
      <c r="AG12" s="90">
        <v>0.14269999999999999</v>
      </c>
    </row>
    <row r="13" spans="1:33" x14ac:dyDescent="0.3">
      <c r="A13" s="86" t="str">
        <f t="shared" si="0"/>
        <v>[1.포스코건설] 인천송도 재미동포타운 조성사업 2단계 전기공사(오피스텔)</v>
      </c>
      <c r="B13" s="87">
        <v>22039</v>
      </c>
      <c r="C13" s="88" t="s">
        <v>216</v>
      </c>
      <c r="D13" s="88" t="s">
        <v>216</v>
      </c>
      <c r="E13" s="87" t="s">
        <v>217</v>
      </c>
      <c r="F13" s="87" t="s">
        <v>117</v>
      </c>
      <c r="G13" s="88" t="s">
        <v>218</v>
      </c>
      <c r="H13" s="87" t="s">
        <v>219</v>
      </c>
      <c r="I13" s="88" t="s">
        <v>220</v>
      </c>
      <c r="J13" s="89">
        <v>1750853423</v>
      </c>
      <c r="K13" s="87" t="s">
        <v>221</v>
      </c>
      <c r="L13" s="87"/>
      <c r="M13" s="87"/>
      <c r="N13" s="87"/>
      <c r="O13" s="86" t="s">
        <v>222</v>
      </c>
      <c r="P13" s="87" t="s">
        <v>122</v>
      </c>
      <c r="Q13" s="87"/>
      <c r="R13" s="87">
        <v>8</v>
      </c>
      <c r="S13" s="87">
        <v>8</v>
      </c>
      <c r="T13" s="87" t="s">
        <v>122</v>
      </c>
      <c r="U13" s="87" t="s">
        <v>223</v>
      </c>
      <c r="V13" s="87" t="s">
        <v>224</v>
      </c>
      <c r="W13" s="87" t="s">
        <v>124</v>
      </c>
      <c r="X13" s="87" t="s">
        <v>159</v>
      </c>
      <c r="Y13" s="87" t="s">
        <v>225</v>
      </c>
      <c r="Z13" s="87" t="s">
        <v>149</v>
      </c>
      <c r="AA13" s="87" t="s">
        <v>226</v>
      </c>
      <c r="AB13" s="87">
        <v>661</v>
      </c>
      <c r="AC13" s="91">
        <v>28789</v>
      </c>
      <c r="AD13" s="87" t="s">
        <v>162</v>
      </c>
      <c r="AE13" s="87" t="s">
        <v>124</v>
      </c>
      <c r="AF13" s="90">
        <v>0.161</v>
      </c>
      <c r="AG13" s="90">
        <v>0.182</v>
      </c>
    </row>
    <row r="14" spans="1:33" x14ac:dyDescent="0.3">
      <c r="A14" s="86" t="str">
        <f t="shared" si="0"/>
        <v>[4.롯데건설] 구리 인창C구역 주택재개발정비사업 중 일반전기공사</v>
      </c>
      <c r="B14" s="87">
        <v>22052</v>
      </c>
      <c r="C14" s="88" t="s">
        <v>227</v>
      </c>
      <c r="D14" s="88" t="s">
        <v>227</v>
      </c>
      <c r="E14" s="87" t="s">
        <v>228</v>
      </c>
      <c r="F14" s="87" t="s">
        <v>117</v>
      </c>
      <c r="G14" s="88" t="s">
        <v>229</v>
      </c>
      <c r="H14" s="87" t="s">
        <v>230</v>
      </c>
      <c r="I14" s="88" t="s">
        <v>231</v>
      </c>
      <c r="J14" s="89">
        <v>3273743915</v>
      </c>
      <c r="K14" s="87" t="s">
        <v>232</v>
      </c>
      <c r="L14" s="87"/>
      <c r="M14" s="87"/>
      <c r="N14" s="87"/>
      <c r="O14" s="86" t="s">
        <v>233</v>
      </c>
      <c r="P14" s="87" t="s">
        <v>122</v>
      </c>
      <c r="Q14" s="87"/>
      <c r="R14" s="87">
        <v>8</v>
      </c>
      <c r="S14" s="87">
        <v>8</v>
      </c>
      <c r="T14" s="87" t="s">
        <v>122</v>
      </c>
      <c r="U14" s="87" t="s">
        <v>234</v>
      </c>
      <c r="V14" s="87" t="s">
        <v>235</v>
      </c>
      <c r="W14" s="87" t="s">
        <v>124</v>
      </c>
      <c r="X14" s="87" t="s">
        <v>159</v>
      </c>
      <c r="Y14" s="87" t="s">
        <v>236</v>
      </c>
      <c r="Z14" s="87" t="s">
        <v>202</v>
      </c>
      <c r="AA14" s="87" t="s">
        <v>237</v>
      </c>
      <c r="AB14" s="87">
        <v>1180</v>
      </c>
      <c r="AC14" s="91">
        <v>33865</v>
      </c>
      <c r="AD14" s="87" t="s">
        <v>238</v>
      </c>
      <c r="AE14" s="87" t="s">
        <v>124</v>
      </c>
      <c r="AF14" s="90">
        <v>9.3299999999999994E-2</v>
      </c>
      <c r="AG14" s="90">
        <v>0.1124</v>
      </c>
    </row>
    <row r="15" spans="1:33" x14ac:dyDescent="0.3">
      <c r="A15" s="86" t="str">
        <f t="shared" si="0"/>
        <v>[2.한화건설] 천안 노태공원 공동주택 1단지</v>
      </c>
      <c r="B15" s="87">
        <v>22053</v>
      </c>
      <c r="C15" s="88" t="s">
        <v>239</v>
      </c>
      <c r="D15" s="88" t="s">
        <v>239</v>
      </c>
      <c r="E15" s="87" t="s">
        <v>240</v>
      </c>
      <c r="F15" s="87" t="s">
        <v>117</v>
      </c>
      <c r="G15" s="88" t="s">
        <v>241</v>
      </c>
      <c r="H15" s="87" t="s">
        <v>242</v>
      </c>
      <c r="I15" s="88" t="s">
        <v>243</v>
      </c>
      <c r="J15" s="89">
        <v>2687729256</v>
      </c>
      <c r="K15" s="87" t="s">
        <v>244</v>
      </c>
      <c r="L15" s="87"/>
      <c r="M15" s="87"/>
      <c r="N15" s="87"/>
      <c r="O15" s="86" t="s">
        <v>245</v>
      </c>
      <c r="P15" s="87" t="s">
        <v>122</v>
      </c>
      <c r="Q15" s="87"/>
      <c r="R15" s="87">
        <v>8</v>
      </c>
      <c r="S15" s="87">
        <v>8</v>
      </c>
      <c r="T15" s="87" t="s">
        <v>122</v>
      </c>
      <c r="U15" s="87" t="s">
        <v>124</v>
      </c>
      <c r="V15" s="87" t="s">
        <v>124</v>
      </c>
      <c r="W15" s="87" t="s">
        <v>124</v>
      </c>
      <c r="X15" s="87" t="s">
        <v>134</v>
      </c>
      <c r="Y15" s="87" t="s">
        <v>213</v>
      </c>
      <c r="Z15" s="87" t="s">
        <v>136</v>
      </c>
      <c r="AA15" s="87" t="s">
        <v>246</v>
      </c>
      <c r="AB15" s="87">
        <v>831</v>
      </c>
      <c r="AC15" s="91">
        <v>42963</v>
      </c>
      <c r="AD15" s="87" t="s">
        <v>138</v>
      </c>
      <c r="AE15" s="87" t="s">
        <v>124</v>
      </c>
      <c r="AF15" s="90">
        <v>8.6199999999999999E-2</v>
      </c>
      <c r="AG15" s="90">
        <v>0.1133</v>
      </c>
    </row>
    <row r="16" spans="1:33" x14ac:dyDescent="0.3">
      <c r="A16" s="86" t="str">
        <f t="shared" si="0"/>
        <v>[2.현대산업개발] 청라국제도시아이파크(청라오피스텔) 일반전기공사</v>
      </c>
      <c r="B16" s="92">
        <v>22057</v>
      </c>
      <c r="C16" s="93" t="s">
        <v>247</v>
      </c>
      <c r="D16" s="93" t="s">
        <v>247</v>
      </c>
      <c r="E16" s="92" t="s">
        <v>248</v>
      </c>
      <c r="F16" s="92" t="s">
        <v>117</v>
      </c>
      <c r="G16" s="93" t="s">
        <v>249</v>
      </c>
      <c r="H16" s="92" t="s">
        <v>250</v>
      </c>
      <c r="I16" s="93" t="s">
        <v>128</v>
      </c>
      <c r="J16" s="94">
        <v>2784602680</v>
      </c>
      <c r="K16" s="92" t="s">
        <v>251</v>
      </c>
      <c r="L16" s="92"/>
      <c r="M16" s="92"/>
      <c r="N16" s="92"/>
      <c r="O16" s="95" t="s">
        <v>252</v>
      </c>
      <c r="P16" s="92" t="s">
        <v>122</v>
      </c>
      <c r="Q16" s="92"/>
      <c r="R16" s="92">
        <v>8</v>
      </c>
      <c r="S16" s="92">
        <v>8</v>
      </c>
      <c r="T16" s="92" t="s">
        <v>122</v>
      </c>
      <c r="U16" s="92" t="s">
        <v>253</v>
      </c>
      <c r="V16" s="92" t="s">
        <v>254</v>
      </c>
      <c r="W16" s="92" t="s">
        <v>255</v>
      </c>
      <c r="X16" s="92" t="s">
        <v>134</v>
      </c>
      <c r="Y16" s="92" t="s">
        <v>225</v>
      </c>
      <c r="Z16" s="92" t="s">
        <v>202</v>
      </c>
      <c r="AA16" s="92" t="s">
        <v>237</v>
      </c>
      <c r="AB16" s="92">
        <v>1020</v>
      </c>
      <c r="AC16" s="92">
        <v>36728</v>
      </c>
      <c r="AD16" s="92" t="s">
        <v>162</v>
      </c>
      <c r="AE16" s="92" t="s">
        <v>124</v>
      </c>
      <c r="AF16" s="96">
        <v>0.1414</v>
      </c>
      <c r="AG16" s="96">
        <v>0.1646</v>
      </c>
    </row>
    <row r="17" spans="1:33" x14ac:dyDescent="0.3">
      <c r="A17" s="86" t="str">
        <f t="shared" si="0"/>
        <v>[5.CJ대한통운] 무신사 P2 신축공사 전기공사</v>
      </c>
      <c r="B17" s="87">
        <v>22061</v>
      </c>
      <c r="C17" s="88" t="s">
        <v>256</v>
      </c>
      <c r="D17" s="88" t="s">
        <v>256</v>
      </c>
      <c r="E17" s="87" t="s">
        <v>257</v>
      </c>
      <c r="F17" s="87" t="s">
        <v>117</v>
      </c>
      <c r="G17" s="88" t="s">
        <v>258</v>
      </c>
      <c r="H17" s="87" t="s">
        <v>259</v>
      </c>
      <c r="I17" s="88" t="s">
        <v>260</v>
      </c>
      <c r="J17" s="89">
        <v>1584649509</v>
      </c>
      <c r="K17" s="87" t="s">
        <v>261</v>
      </c>
      <c r="L17" s="87"/>
      <c r="M17" s="87"/>
      <c r="N17" s="87"/>
      <c r="O17" s="86" t="s">
        <v>262</v>
      </c>
      <c r="P17" s="87" t="s">
        <v>122</v>
      </c>
      <c r="Q17" s="87"/>
      <c r="R17" s="87">
        <v>8</v>
      </c>
      <c r="S17" s="87">
        <v>8</v>
      </c>
      <c r="T17" s="87" t="s">
        <v>122</v>
      </c>
      <c r="U17" s="87" t="s">
        <v>263</v>
      </c>
      <c r="V17" s="87" t="s">
        <v>264</v>
      </c>
      <c r="W17" s="87" t="s">
        <v>124</v>
      </c>
      <c r="X17" s="87" t="s">
        <v>124</v>
      </c>
      <c r="Y17" s="87" t="s">
        <v>124</v>
      </c>
      <c r="Z17" s="87" t="s">
        <v>124</v>
      </c>
      <c r="AA17" s="87" t="s">
        <v>124</v>
      </c>
      <c r="AB17" s="87" t="s">
        <v>124</v>
      </c>
      <c r="AC17" s="87" t="s">
        <v>124</v>
      </c>
      <c r="AD17" s="87" t="s">
        <v>124</v>
      </c>
      <c r="AE17" s="87" t="s">
        <v>124</v>
      </c>
      <c r="AF17" s="90" t="s">
        <v>124</v>
      </c>
      <c r="AG17" s="90" t="s">
        <v>124</v>
      </c>
    </row>
    <row r="18" spans="1:33" x14ac:dyDescent="0.3">
      <c r="A18" s="86" t="str">
        <f t="shared" si="0"/>
        <v>[1.대우건설] 인천 경서3구역 오피스텔 신축공사 전기설비공사(1공구)</v>
      </c>
      <c r="B18" s="87">
        <v>22068</v>
      </c>
      <c r="C18" s="88" t="s">
        <v>265</v>
      </c>
      <c r="D18" s="88" t="s">
        <v>265</v>
      </c>
      <c r="E18" s="87" t="s">
        <v>266</v>
      </c>
      <c r="F18" s="87" t="s">
        <v>117</v>
      </c>
      <c r="G18" s="88" t="s">
        <v>267</v>
      </c>
      <c r="H18" s="87" t="s">
        <v>268</v>
      </c>
      <c r="I18" s="88" t="s">
        <v>144</v>
      </c>
      <c r="J18" s="89">
        <v>3158499249</v>
      </c>
      <c r="K18" s="87" t="s">
        <v>269</v>
      </c>
      <c r="L18" s="87"/>
      <c r="M18" s="87"/>
      <c r="N18" s="87"/>
      <c r="O18" s="86" t="s">
        <v>270</v>
      </c>
      <c r="P18" s="87" t="s">
        <v>122</v>
      </c>
      <c r="Q18" s="87"/>
      <c r="R18" s="87">
        <v>8</v>
      </c>
      <c r="S18" s="87">
        <v>8</v>
      </c>
      <c r="T18" s="87" t="s">
        <v>122</v>
      </c>
      <c r="U18" s="87" t="s">
        <v>271</v>
      </c>
      <c r="V18" s="87" t="s">
        <v>272</v>
      </c>
      <c r="W18" s="87" t="s">
        <v>273</v>
      </c>
      <c r="X18" s="87" t="s">
        <v>147</v>
      </c>
      <c r="Y18" s="87" t="s">
        <v>274</v>
      </c>
      <c r="Z18" s="87" t="s">
        <v>136</v>
      </c>
      <c r="AA18" s="87" t="s">
        <v>203</v>
      </c>
      <c r="AB18" s="87">
        <v>810</v>
      </c>
      <c r="AC18" s="91">
        <v>38828</v>
      </c>
      <c r="AD18" s="87" t="s">
        <v>162</v>
      </c>
      <c r="AE18" s="87" t="s">
        <v>124</v>
      </c>
      <c r="AF18" s="90">
        <v>0.115</v>
      </c>
      <c r="AG18" s="90">
        <v>0.12520000000000001</v>
      </c>
    </row>
    <row r="19" spans="1:33" x14ac:dyDescent="0.3">
      <c r="A19" s="86" t="str">
        <f t="shared" si="0"/>
        <v>[1.대우건설] 충북 청주전시관 건립사업 건축공사 구내가설전기공사</v>
      </c>
      <c r="B19" s="87">
        <v>22072</v>
      </c>
      <c r="C19" s="88" t="s">
        <v>275</v>
      </c>
      <c r="D19" s="88" t="s">
        <v>275</v>
      </c>
      <c r="E19" s="87" t="s">
        <v>276</v>
      </c>
      <c r="F19" s="87" t="s">
        <v>117</v>
      </c>
      <c r="G19" s="88" t="s">
        <v>277</v>
      </c>
      <c r="H19" s="87" t="s">
        <v>278</v>
      </c>
      <c r="I19" s="88" t="s">
        <v>144</v>
      </c>
      <c r="J19" s="89">
        <v>39287205</v>
      </c>
      <c r="K19" s="87"/>
      <c r="L19" s="87"/>
      <c r="M19" s="87"/>
      <c r="N19" s="87"/>
      <c r="O19" s="86" t="s">
        <v>279</v>
      </c>
      <c r="P19" s="87" t="s">
        <v>122</v>
      </c>
      <c r="Q19" s="87"/>
      <c r="R19" s="87">
        <v>8</v>
      </c>
      <c r="S19" s="87">
        <v>8</v>
      </c>
      <c r="T19" s="87" t="s">
        <v>122</v>
      </c>
      <c r="U19" s="87" t="s">
        <v>124</v>
      </c>
      <c r="V19" s="87" t="s">
        <v>124</v>
      </c>
      <c r="W19" s="87" t="s">
        <v>124</v>
      </c>
      <c r="X19" s="87" t="s">
        <v>124</v>
      </c>
      <c r="Y19" s="87" t="s">
        <v>124</v>
      </c>
      <c r="Z19" s="87" t="s">
        <v>124</v>
      </c>
      <c r="AA19" s="87" t="s">
        <v>124</v>
      </c>
      <c r="AB19" s="87" t="s">
        <v>124</v>
      </c>
      <c r="AC19" s="87" t="s">
        <v>124</v>
      </c>
      <c r="AD19" s="87" t="s">
        <v>124</v>
      </c>
      <c r="AE19" s="87" t="s">
        <v>124</v>
      </c>
      <c r="AF19" s="90" t="s">
        <v>124</v>
      </c>
      <c r="AG19" s="90" t="s">
        <v>124</v>
      </c>
    </row>
    <row r="20" spans="1:33" x14ac:dyDescent="0.3">
      <c r="A20" s="86" t="str">
        <f t="shared" si="0"/>
        <v>[1.대우건설] 파주운정지구 도시지원 4-5,6,7,8,9BL(1단지) 및 4-4BL(2단지) 오피스텔 신축공사</v>
      </c>
      <c r="B20" s="87">
        <v>22073</v>
      </c>
      <c r="C20" s="88" t="s">
        <v>280</v>
      </c>
      <c r="D20" s="88" t="s">
        <v>280</v>
      </c>
      <c r="E20" s="87" t="s">
        <v>281</v>
      </c>
      <c r="F20" s="87" t="s">
        <v>117</v>
      </c>
      <c r="G20" s="88" t="s">
        <v>282</v>
      </c>
      <c r="H20" s="87" t="s">
        <v>283</v>
      </c>
      <c r="I20" s="88" t="s">
        <v>144</v>
      </c>
      <c r="J20" s="89">
        <v>3047340854</v>
      </c>
      <c r="K20" s="87" t="s">
        <v>284</v>
      </c>
      <c r="L20" s="87"/>
      <c r="M20" s="87"/>
      <c r="N20" s="87"/>
      <c r="O20" s="86" t="s">
        <v>285</v>
      </c>
      <c r="P20" s="87" t="s">
        <v>122</v>
      </c>
      <c r="Q20" s="87"/>
      <c r="R20" s="87">
        <v>8</v>
      </c>
      <c r="S20" s="87">
        <v>8</v>
      </c>
      <c r="T20" s="87" t="s">
        <v>122</v>
      </c>
      <c r="U20" s="87" t="s">
        <v>286</v>
      </c>
      <c r="V20" s="87" t="s">
        <v>287</v>
      </c>
      <c r="W20" s="87" t="s">
        <v>288</v>
      </c>
      <c r="X20" s="87" t="s">
        <v>170</v>
      </c>
      <c r="Y20" s="87" t="s">
        <v>160</v>
      </c>
      <c r="Z20" s="87" t="s">
        <v>149</v>
      </c>
      <c r="AA20" s="87" t="s">
        <v>171</v>
      </c>
      <c r="AB20" s="87">
        <v>664</v>
      </c>
      <c r="AC20" s="91">
        <v>35381</v>
      </c>
      <c r="AD20" s="87" t="s">
        <v>162</v>
      </c>
      <c r="AE20" s="87" t="s">
        <v>124</v>
      </c>
      <c r="AF20" s="90">
        <v>0.12</v>
      </c>
      <c r="AG20" s="90">
        <v>0.1111</v>
      </c>
    </row>
    <row r="21" spans="1:33" x14ac:dyDescent="0.3">
      <c r="A21" s="86" t="str">
        <f t="shared" si="0"/>
        <v>[4.현대건설] 힐스테이트 레이크 송도 4차 전기공사</v>
      </c>
      <c r="B21" s="87">
        <v>22074</v>
      </c>
      <c r="C21" s="88" t="s">
        <v>289</v>
      </c>
      <c r="D21" s="88" t="s">
        <v>289</v>
      </c>
      <c r="E21" s="87" t="s">
        <v>290</v>
      </c>
      <c r="F21" s="87" t="s">
        <v>117</v>
      </c>
      <c r="G21" s="88" t="s">
        <v>291</v>
      </c>
      <c r="H21" s="87" t="s">
        <v>292</v>
      </c>
      <c r="I21" s="88" t="s">
        <v>293</v>
      </c>
      <c r="J21" s="89">
        <v>3548122185</v>
      </c>
      <c r="K21" s="87" t="s">
        <v>294</v>
      </c>
      <c r="L21" s="87"/>
      <c r="M21" s="87"/>
      <c r="N21" s="87"/>
      <c r="O21" s="86" t="s">
        <v>295</v>
      </c>
      <c r="P21" s="87" t="s">
        <v>122</v>
      </c>
      <c r="Q21" s="87"/>
      <c r="R21" s="87">
        <v>8</v>
      </c>
      <c r="S21" s="87">
        <v>8</v>
      </c>
      <c r="T21" s="87" t="s">
        <v>122</v>
      </c>
      <c r="U21" s="87" t="s">
        <v>296</v>
      </c>
      <c r="V21" s="87" t="s">
        <v>297</v>
      </c>
      <c r="W21" s="87" t="s">
        <v>124</v>
      </c>
      <c r="X21" s="87" t="s">
        <v>159</v>
      </c>
      <c r="Y21" s="87" t="s">
        <v>236</v>
      </c>
      <c r="Z21" s="87" t="s">
        <v>214</v>
      </c>
      <c r="AA21" s="87" t="s">
        <v>298</v>
      </c>
      <c r="AB21" s="87">
        <v>1319</v>
      </c>
      <c r="AC21" s="91">
        <v>79691</v>
      </c>
      <c r="AD21" s="87" t="s">
        <v>138</v>
      </c>
      <c r="AE21" s="87" t="s">
        <v>124</v>
      </c>
      <c r="AF21" s="90">
        <v>0.106</v>
      </c>
      <c r="AG21" s="90">
        <v>0.13919999999999999</v>
      </c>
    </row>
    <row r="22" spans="1:33" x14ac:dyDescent="0.3">
      <c r="A22" s="86" t="str">
        <f t="shared" si="0"/>
        <v>[1.진흥기업] 해링턴 플레이스 감삼 신축공사</v>
      </c>
      <c r="B22" s="87">
        <v>22075</v>
      </c>
      <c r="C22" s="88" t="s">
        <v>299</v>
      </c>
      <c r="D22" s="88" t="s">
        <v>299</v>
      </c>
      <c r="E22" s="87" t="s">
        <v>300</v>
      </c>
      <c r="F22" s="87" t="s">
        <v>117</v>
      </c>
      <c r="G22" s="88"/>
      <c r="H22" s="87" t="s">
        <v>301</v>
      </c>
      <c r="I22" s="88" t="s">
        <v>176</v>
      </c>
      <c r="J22" s="89">
        <v>2138344985</v>
      </c>
      <c r="K22" s="87" t="s">
        <v>302</v>
      </c>
      <c r="L22" s="87"/>
      <c r="M22" s="87"/>
      <c r="N22" s="87"/>
      <c r="O22" s="86" t="s">
        <v>303</v>
      </c>
      <c r="P22" s="87" t="s">
        <v>122</v>
      </c>
      <c r="Q22" s="87"/>
      <c r="R22" s="87">
        <v>8</v>
      </c>
      <c r="S22" s="87">
        <v>8</v>
      </c>
      <c r="T22" s="87" t="s">
        <v>122</v>
      </c>
      <c r="U22" s="87" t="s">
        <v>304</v>
      </c>
      <c r="V22" s="87" t="s">
        <v>305</v>
      </c>
      <c r="W22" s="87" t="s">
        <v>124</v>
      </c>
      <c r="X22" s="87" t="s">
        <v>147</v>
      </c>
      <c r="Y22" s="87" t="s">
        <v>201</v>
      </c>
      <c r="Z22" s="87" t="s">
        <v>202</v>
      </c>
      <c r="AA22" s="87" t="s">
        <v>306</v>
      </c>
      <c r="AB22" s="87">
        <v>463</v>
      </c>
      <c r="AC22" s="91">
        <v>30057</v>
      </c>
      <c r="AD22" s="87" t="s">
        <v>162</v>
      </c>
      <c r="AE22" s="87" t="s">
        <v>124</v>
      </c>
      <c r="AF22" s="90">
        <v>0.1176</v>
      </c>
      <c r="AG22" s="90">
        <v>0.1459</v>
      </c>
    </row>
    <row r="23" spans="1:33" x14ac:dyDescent="0.3">
      <c r="A23" s="86" t="str">
        <f t="shared" si="0"/>
        <v>[1.두산건설] 여의구역 본계약 전기공사</v>
      </c>
      <c r="B23" s="87">
        <v>22076</v>
      </c>
      <c r="C23" s="88" t="s">
        <v>307</v>
      </c>
      <c r="D23" s="88" t="s">
        <v>307</v>
      </c>
      <c r="E23" s="87" t="s">
        <v>308</v>
      </c>
      <c r="F23" s="87" t="s">
        <v>117</v>
      </c>
      <c r="G23" s="88" t="s">
        <v>309</v>
      </c>
      <c r="H23" s="87" t="s">
        <v>310</v>
      </c>
      <c r="I23" s="88" t="s">
        <v>311</v>
      </c>
      <c r="J23" s="89">
        <v>3328179600</v>
      </c>
      <c r="K23" s="87" t="s">
        <v>312</v>
      </c>
      <c r="L23" s="87"/>
      <c r="M23" s="87"/>
      <c r="N23" s="87"/>
      <c r="O23" s="86" t="s">
        <v>313</v>
      </c>
      <c r="P23" s="87" t="s">
        <v>122</v>
      </c>
      <c r="Q23" s="87"/>
      <c r="R23" s="87">
        <v>8</v>
      </c>
      <c r="S23" s="87">
        <v>8</v>
      </c>
      <c r="T23" s="87" t="s">
        <v>122</v>
      </c>
      <c r="U23" s="87" t="s">
        <v>314</v>
      </c>
      <c r="V23" s="87" t="s">
        <v>315</v>
      </c>
      <c r="W23" s="87" t="s">
        <v>124</v>
      </c>
      <c r="X23" s="87" t="s">
        <v>134</v>
      </c>
      <c r="Y23" s="87" t="s">
        <v>148</v>
      </c>
      <c r="Z23" s="87" t="s">
        <v>149</v>
      </c>
      <c r="AA23" s="87" t="s">
        <v>316</v>
      </c>
      <c r="AB23" s="87">
        <v>1115</v>
      </c>
      <c r="AC23" s="91">
        <v>58474</v>
      </c>
      <c r="AD23" s="87" t="s">
        <v>138</v>
      </c>
      <c r="AE23" s="87" t="s">
        <v>124</v>
      </c>
      <c r="AF23" s="90">
        <v>0.10920000000000001</v>
      </c>
      <c r="AG23" s="90">
        <v>0.12529999999999999</v>
      </c>
    </row>
    <row r="24" spans="1:33" x14ac:dyDescent="0.3">
      <c r="A24" s="86" t="str">
        <f t="shared" si="0"/>
        <v>[1.까뮤이앤씨] 안성 성은지구 복합물류센터 신축공사</v>
      </c>
      <c r="B24" s="87">
        <v>22078</v>
      </c>
      <c r="C24" s="88" t="s">
        <v>317</v>
      </c>
      <c r="D24" s="88" t="s">
        <v>317</v>
      </c>
      <c r="E24" s="87" t="s">
        <v>318</v>
      </c>
      <c r="F24" s="87" t="s">
        <v>117</v>
      </c>
      <c r="G24" s="88" t="s">
        <v>319</v>
      </c>
      <c r="H24" s="87" t="s">
        <v>320</v>
      </c>
      <c r="I24" s="88" t="s">
        <v>321</v>
      </c>
      <c r="J24" s="89">
        <v>1908935089</v>
      </c>
      <c r="K24" s="87" t="s">
        <v>322</v>
      </c>
      <c r="L24" s="87"/>
      <c r="M24" s="87"/>
      <c r="N24" s="87"/>
      <c r="O24" s="86" t="s">
        <v>323</v>
      </c>
      <c r="P24" s="87" t="s">
        <v>122</v>
      </c>
      <c r="Q24" s="87"/>
      <c r="R24" s="87">
        <v>8</v>
      </c>
      <c r="S24" s="87">
        <v>8</v>
      </c>
      <c r="T24" s="87" t="s">
        <v>122</v>
      </c>
      <c r="U24" s="87" t="s">
        <v>324</v>
      </c>
      <c r="V24" s="87" t="s">
        <v>124</v>
      </c>
      <c r="W24" s="87" t="s">
        <v>124</v>
      </c>
      <c r="X24" s="87" t="s">
        <v>124</v>
      </c>
      <c r="Y24" s="87" t="s">
        <v>124</v>
      </c>
      <c r="Z24" s="87" t="s">
        <v>124</v>
      </c>
      <c r="AA24" s="87" t="s">
        <v>124</v>
      </c>
      <c r="AB24" s="87" t="s">
        <v>124</v>
      </c>
      <c r="AC24" s="87" t="s">
        <v>124</v>
      </c>
      <c r="AD24" s="87" t="s">
        <v>124</v>
      </c>
      <c r="AE24" s="87" t="s">
        <v>124</v>
      </c>
      <c r="AF24" s="90" t="s">
        <v>124</v>
      </c>
      <c r="AG24" s="90" t="s">
        <v>124</v>
      </c>
    </row>
    <row r="25" spans="1:33" x14ac:dyDescent="0.3">
      <c r="A25" s="86" t="str">
        <f t="shared" si="0"/>
        <v>[2.동부건설] 이천 안흥동 주상복합시설사업 전기공사</v>
      </c>
      <c r="B25" s="87">
        <v>22079</v>
      </c>
      <c r="C25" s="88" t="s">
        <v>325</v>
      </c>
      <c r="D25" s="88" t="s">
        <v>325</v>
      </c>
      <c r="E25" s="87" t="s">
        <v>326</v>
      </c>
      <c r="F25" s="87" t="s">
        <v>117</v>
      </c>
      <c r="G25" s="88" t="s">
        <v>327</v>
      </c>
      <c r="H25" s="87" t="s">
        <v>328</v>
      </c>
      <c r="I25" s="88" t="s">
        <v>329</v>
      </c>
      <c r="J25" s="89">
        <v>1546230993</v>
      </c>
      <c r="K25" s="87" t="s">
        <v>330</v>
      </c>
      <c r="L25" s="87"/>
      <c r="M25" s="87"/>
      <c r="N25" s="87"/>
      <c r="O25" s="86" t="s">
        <v>331</v>
      </c>
      <c r="P25" s="87" t="s">
        <v>122</v>
      </c>
      <c r="Q25" s="87"/>
      <c r="R25" s="87">
        <v>8</v>
      </c>
      <c r="S25" s="87">
        <v>8</v>
      </c>
      <c r="T25" s="87" t="s">
        <v>122</v>
      </c>
      <c r="U25" s="87" t="s">
        <v>332</v>
      </c>
      <c r="V25" s="87" t="s">
        <v>333</v>
      </c>
      <c r="W25" s="87" t="s">
        <v>124</v>
      </c>
      <c r="X25" s="87" t="s">
        <v>170</v>
      </c>
      <c r="Y25" s="87" t="s">
        <v>213</v>
      </c>
      <c r="Z25" s="87" t="s">
        <v>334</v>
      </c>
      <c r="AA25" s="87" t="s">
        <v>203</v>
      </c>
      <c r="AB25" s="87">
        <v>180</v>
      </c>
      <c r="AC25" s="91">
        <v>10943</v>
      </c>
      <c r="AD25" s="87" t="s">
        <v>138</v>
      </c>
      <c r="AE25" s="87" t="s">
        <v>124</v>
      </c>
      <c r="AF25" s="90">
        <v>0.18</v>
      </c>
      <c r="AG25" s="90">
        <v>0.20130000000000001</v>
      </c>
    </row>
    <row r="26" spans="1:33" x14ac:dyDescent="0.3">
      <c r="A26" s="86" t="str">
        <f t="shared" si="0"/>
        <v>[1.시티건설] 남악오룡 36BL 시티프라디움 신축공사(전기,통신공사)</v>
      </c>
      <c r="B26" s="87">
        <v>22084</v>
      </c>
      <c r="C26" s="88" t="s">
        <v>335</v>
      </c>
      <c r="D26" s="88" t="s">
        <v>335</v>
      </c>
      <c r="E26" s="87" t="s">
        <v>336</v>
      </c>
      <c r="F26" s="87" t="s">
        <v>117</v>
      </c>
      <c r="G26" s="88" t="s">
        <v>337</v>
      </c>
      <c r="H26" s="87" t="s">
        <v>338</v>
      </c>
      <c r="I26" s="88" t="s">
        <v>339</v>
      </c>
      <c r="J26" s="89">
        <v>1855048797</v>
      </c>
      <c r="K26" s="87" t="s">
        <v>340</v>
      </c>
      <c r="L26" s="87"/>
      <c r="M26" s="87"/>
      <c r="N26" s="87"/>
      <c r="O26" s="86" t="s">
        <v>341</v>
      </c>
      <c r="P26" s="87" t="s">
        <v>122</v>
      </c>
      <c r="Q26" s="87"/>
      <c r="R26" s="87">
        <v>8</v>
      </c>
      <c r="S26" s="87">
        <v>8</v>
      </c>
      <c r="T26" s="87" t="s">
        <v>122</v>
      </c>
      <c r="U26" s="87" t="s">
        <v>342</v>
      </c>
      <c r="V26" s="87" t="s">
        <v>343</v>
      </c>
      <c r="W26" s="87" t="s">
        <v>124</v>
      </c>
      <c r="X26" s="87" t="s">
        <v>134</v>
      </c>
      <c r="Y26" s="87" t="s">
        <v>344</v>
      </c>
      <c r="Z26" s="87" t="s">
        <v>345</v>
      </c>
      <c r="AA26" s="87" t="s">
        <v>346</v>
      </c>
      <c r="AB26" s="87">
        <v>534</v>
      </c>
      <c r="AC26" s="91">
        <v>26738</v>
      </c>
      <c r="AD26" s="87" t="s">
        <v>138</v>
      </c>
      <c r="AE26" s="87" t="s">
        <v>124</v>
      </c>
      <c r="AF26" s="90">
        <v>0.1221</v>
      </c>
      <c r="AG26" s="90">
        <v>0.12039999999999999</v>
      </c>
    </row>
    <row r="27" spans="1:33" x14ac:dyDescent="0.3">
      <c r="A27" s="86" t="str">
        <f t="shared" si="0"/>
        <v>[2.현대산업개발] 광명제4R구역 주택재개발정비사업 일반전기공사-1공구</v>
      </c>
      <c r="B27" s="87">
        <v>23005</v>
      </c>
      <c r="C27" s="88" t="s">
        <v>347</v>
      </c>
      <c r="D27" s="88" t="s">
        <v>347</v>
      </c>
      <c r="E27" s="87" t="s">
        <v>348</v>
      </c>
      <c r="F27" s="87" t="s">
        <v>117</v>
      </c>
      <c r="G27" s="88" t="s">
        <v>349</v>
      </c>
      <c r="H27" s="87" t="s">
        <v>350</v>
      </c>
      <c r="I27" s="88" t="s">
        <v>128</v>
      </c>
      <c r="J27" s="89">
        <v>2164782093</v>
      </c>
      <c r="K27" s="87" t="s">
        <v>351</v>
      </c>
      <c r="L27" s="87"/>
      <c r="M27" s="87"/>
      <c r="N27" s="87"/>
      <c r="O27" s="86" t="s">
        <v>352</v>
      </c>
      <c r="P27" s="87" t="s">
        <v>122</v>
      </c>
      <c r="Q27" s="87"/>
      <c r="R27" s="87">
        <v>8</v>
      </c>
      <c r="S27" s="87">
        <v>8</v>
      </c>
      <c r="T27" s="87" t="s">
        <v>122</v>
      </c>
      <c r="U27" s="87" t="s">
        <v>353</v>
      </c>
      <c r="V27" s="87" t="s">
        <v>354</v>
      </c>
      <c r="W27" s="87" t="s">
        <v>124</v>
      </c>
      <c r="X27" s="87" t="s">
        <v>134</v>
      </c>
      <c r="Y27" s="87" t="s">
        <v>135</v>
      </c>
      <c r="Z27" s="87" t="s">
        <v>149</v>
      </c>
      <c r="AA27" s="87" t="s">
        <v>298</v>
      </c>
      <c r="AB27" s="87">
        <v>984</v>
      </c>
      <c r="AC27" s="91">
        <v>42874</v>
      </c>
      <c r="AD27" s="87" t="s">
        <v>138</v>
      </c>
      <c r="AE27" s="87" t="s">
        <v>124</v>
      </c>
      <c r="AF27" s="90">
        <v>9.9500000000000005E-2</v>
      </c>
      <c r="AG27" s="90">
        <v>0.13700000000000001</v>
      </c>
    </row>
    <row r="28" spans="1:33" x14ac:dyDescent="0.3">
      <c r="A28" s="86" t="str">
        <f t="shared" si="0"/>
        <v>[5.CJ대한통운] 장충동 주택 신축공사 전기공사</v>
      </c>
      <c r="B28" s="87">
        <v>23012</v>
      </c>
      <c r="C28" s="88" t="s">
        <v>355</v>
      </c>
      <c r="D28" s="88" t="s">
        <v>355</v>
      </c>
      <c r="E28" s="87" t="s">
        <v>356</v>
      </c>
      <c r="F28" s="87" t="s">
        <v>117</v>
      </c>
      <c r="G28" s="88" t="s">
        <v>357</v>
      </c>
      <c r="H28" s="87" t="s">
        <v>358</v>
      </c>
      <c r="I28" s="88" t="s">
        <v>359</v>
      </c>
      <c r="J28" s="89">
        <v>631527762</v>
      </c>
      <c r="K28" s="87" t="s">
        <v>360</v>
      </c>
      <c r="L28" s="87"/>
      <c r="M28" s="87"/>
      <c r="N28" s="87"/>
      <c r="O28" s="86" t="s">
        <v>361</v>
      </c>
      <c r="P28" s="87" t="s">
        <v>122</v>
      </c>
      <c r="Q28" s="87"/>
      <c r="R28" s="87">
        <v>8</v>
      </c>
      <c r="S28" s="87">
        <v>8</v>
      </c>
      <c r="T28" s="87" t="s">
        <v>122</v>
      </c>
      <c r="U28" s="87" t="s">
        <v>362</v>
      </c>
      <c r="V28" s="87" t="s">
        <v>124</v>
      </c>
      <c r="W28" s="87" t="s">
        <v>124</v>
      </c>
      <c r="X28" s="87" t="s">
        <v>124</v>
      </c>
      <c r="Y28" s="87" t="s">
        <v>124</v>
      </c>
      <c r="Z28" s="87" t="s">
        <v>124</v>
      </c>
      <c r="AA28" s="87" t="s">
        <v>124</v>
      </c>
      <c r="AB28" s="87" t="s">
        <v>124</v>
      </c>
      <c r="AC28" s="87" t="s">
        <v>124</v>
      </c>
      <c r="AD28" s="87" t="s">
        <v>124</v>
      </c>
      <c r="AE28" s="87" t="s">
        <v>124</v>
      </c>
      <c r="AF28" s="90" t="s">
        <v>124</v>
      </c>
      <c r="AG28" s="90" t="s">
        <v>124</v>
      </c>
    </row>
    <row r="29" spans="1:33" x14ac:dyDescent="0.3">
      <c r="A29" s="86" t="str">
        <f t="shared" si="0"/>
        <v>[1.대우건설] 고양향동 지원1BL 지식산업센터 신축공사</v>
      </c>
      <c r="B29" s="92">
        <v>23013</v>
      </c>
      <c r="C29" s="93" t="s">
        <v>363</v>
      </c>
      <c r="D29" s="93" t="s">
        <v>363</v>
      </c>
      <c r="E29" s="92" t="s">
        <v>364</v>
      </c>
      <c r="F29" s="92" t="s">
        <v>117</v>
      </c>
      <c r="G29" s="93" t="s">
        <v>365</v>
      </c>
      <c r="H29" s="92" t="s">
        <v>366</v>
      </c>
      <c r="I29" s="93" t="s">
        <v>144</v>
      </c>
      <c r="J29" s="94">
        <v>1559735095</v>
      </c>
      <c r="K29" s="92" t="s">
        <v>367</v>
      </c>
      <c r="L29" s="92"/>
      <c r="M29" s="92"/>
      <c r="N29" s="92"/>
      <c r="O29" s="95" t="s">
        <v>368</v>
      </c>
      <c r="P29" s="92" t="s">
        <v>122</v>
      </c>
      <c r="Q29" s="92"/>
      <c r="R29" s="92">
        <v>8</v>
      </c>
      <c r="S29" s="92">
        <v>8</v>
      </c>
      <c r="T29" s="92" t="s">
        <v>122</v>
      </c>
      <c r="U29" s="92" t="s">
        <v>369</v>
      </c>
      <c r="V29" s="92" t="s">
        <v>370</v>
      </c>
      <c r="W29" s="92" t="s">
        <v>124</v>
      </c>
      <c r="X29" s="92" t="s">
        <v>371</v>
      </c>
      <c r="Y29" s="92" t="s">
        <v>225</v>
      </c>
      <c r="Z29" s="92" t="s">
        <v>149</v>
      </c>
      <c r="AA29" s="92" t="s">
        <v>372</v>
      </c>
      <c r="AB29" s="92" t="s">
        <v>124</v>
      </c>
      <c r="AC29" s="97">
        <v>28728</v>
      </c>
      <c r="AD29" s="92" t="s">
        <v>373</v>
      </c>
      <c r="AE29" s="92" t="s">
        <v>124</v>
      </c>
      <c r="AF29" s="96">
        <v>0.1042</v>
      </c>
      <c r="AG29" s="96">
        <v>0.13730000000000001</v>
      </c>
    </row>
    <row r="30" spans="1:33" x14ac:dyDescent="0.3">
      <c r="A30" s="86" t="str">
        <f t="shared" si="0"/>
        <v>[2.현대엔지니어링] 상도동 지역주택조합 주상복합 신축사업</v>
      </c>
      <c r="B30" s="87">
        <v>23014</v>
      </c>
      <c r="C30" s="88" t="s">
        <v>374</v>
      </c>
      <c r="D30" s="88" t="s">
        <v>374</v>
      </c>
      <c r="E30" s="87" t="s">
        <v>375</v>
      </c>
      <c r="F30" s="87" t="s">
        <v>117</v>
      </c>
      <c r="G30" s="88" t="s">
        <v>376</v>
      </c>
      <c r="H30" s="87" t="s">
        <v>377</v>
      </c>
      <c r="I30" s="88" t="s">
        <v>153</v>
      </c>
      <c r="J30" s="89">
        <v>1796557023</v>
      </c>
      <c r="K30" s="87" t="s">
        <v>378</v>
      </c>
      <c r="L30" s="87"/>
      <c r="M30" s="87"/>
      <c r="N30" s="87"/>
      <c r="O30" s="86" t="s">
        <v>379</v>
      </c>
      <c r="P30" s="87" t="s">
        <v>122</v>
      </c>
      <c r="Q30" s="87"/>
      <c r="R30" s="87">
        <v>8</v>
      </c>
      <c r="S30" s="87">
        <v>8</v>
      </c>
      <c r="T30" s="87" t="s">
        <v>122</v>
      </c>
      <c r="U30" s="87" t="s">
        <v>380</v>
      </c>
      <c r="V30" s="87" t="s">
        <v>381</v>
      </c>
      <c r="W30" s="87" t="s">
        <v>382</v>
      </c>
      <c r="X30" s="87" t="s">
        <v>134</v>
      </c>
      <c r="Y30" s="87" t="s">
        <v>274</v>
      </c>
      <c r="Z30" s="87" t="s">
        <v>202</v>
      </c>
      <c r="AA30" s="87" t="s">
        <v>383</v>
      </c>
      <c r="AB30" s="87">
        <v>370</v>
      </c>
      <c r="AC30" s="91">
        <v>21732</v>
      </c>
      <c r="AD30" s="87" t="s">
        <v>204</v>
      </c>
      <c r="AE30" s="87" t="s">
        <v>124</v>
      </c>
      <c r="AF30" s="90">
        <v>0.12889999999999999</v>
      </c>
      <c r="AG30" s="90">
        <v>0.1578</v>
      </c>
    </row>
    <row r="31" spans="1:33" x14ac:dyDescent="0.3">
      <c r="A31" s="86" t="str">
        <f t="shared" si="0"/>
        <v>[5.대광건영] 평택 고덕 국제신도시 A-55 대광로제비앙 모아엘가 접지공사</v>
      </c>
      <c r="B31" s="87">
        <v>23016</v>
      </c>
      <c r="C31" s="88" t="s">
        <v>384</v>
      </c>
      <c r="D31" s="88" t="s">
        <v>384</v>
      </c>
      <c r="E31" s="87" t="s">
        <v>385</v>
      </c>
      <c r="F31" s="87" t="s">
        <v>117</v>
      </c>
      <c r="G31" s="88" t="s">
        <v>386</v>
      </c>
      <c r="H31" s="87" t="s">
        <v>387</v>
      </c>
      <c r="I31" s="88" t="s">
        <v>388</v>
      </c>
      <c r="J31" s="89">
        <v>0</v>
      </c>
      <c r="K31" s="87"/>
      <c r="L31" s="87"/>
      <c r="M31" s="87"/>
      <c r="N31" s="87"/>
      <c r="O31" s="86" t="s">
        <v>389</v>
      </c>
      <c r="P31" s="87" t="s">
        <v>122</v>
      </c>
      <c r="Q31" s="87"/>
      <c r="R31" s="87">
        <v>8</v>
      </c>
      <c r="S31" s="87">
        <v>8</v>
      </c>
      <c r="T31" s="87" t="s">
        <v>122</v>
      </c>
      <c r="U31" s="87" t="s">
        <v>124</v>
      </c>
      <c r="V31" s="87" t="s">
        <v>124</v>
      </c>
      <c r="W31" s="87" t="s">
        <v>124</v>
      </c>
      <c r="X31" s="87" t="s">
        <v>134</v>
      </c>
      <c r="Y31" s="87" t="s">
        <v>179</v>
      </c>
      <c r="Z31" s="87" t="s">
        <v>345</v>
      </c>
      <c r="AA31" s="87" t="s">
        <v>390</v>
      </c>
      <c r="AB31" s="87" t="s">
        <v>391</v>
      </c>
      <c r="AC31" s="91">
        <v>4683</v>
      </c>
      <c r="AD31" s="87" t="s">
        <v>392</v>
      </c>
      <c r="AE31" s="87" t="s">
        <v>124</v>
      </c>
      <c r="AF31" s="90">
        <v>0.38569999999999999</v>
      </c>
      <c r="AG31" s="90">
        <v>0.32390000000000002</v>
      </c>
    </row>
    <row r="32" spans="1:33" x14ac:dyDescent="0.3">
      <c r="A32" s="86" t="str">
        <f t="shared" si="0"/>
        <v>[1.우미건설] 오산세교1차 우미린 아파트 전기공사(2공구)</v>
      </c>
      <c r="B32" s="92">
        <v>23024</v>
      </c>
      <c r="C32" s="93" t="s">
        <v>393</v>
      </c>
      <c r="D32" s="93" t="s">
        <v>393</v>
      </c>
      <c r="E32" s="92" t="s">
        <v>394</v>
      </c>
      <c r="F32" s="92" t="s">
        <v>395</v>
      </c>
      <c r="G32" s="93" t="s">
        <v>396</v>
      </c>
      <c r="H32" s="92" t="s">
        <v>397</v>
      </c>
      <c r="I32" s="93" t="s">
        <v>398</v>
      </c>
      <c r="J32" s="94">
        <v>2426270202</v>
      </c>
      <c r="K32" s="92" t="s">
        <v>399</v>
      </c>
      <c r="L32" s="92"/>
      <c r="M32" s="92"/>
      <c r="N32" s="92"/>
      <c r="O32" s="95" t="s">
        <v>400</v>
      </c>
      <c r="P32" s="92" t="s">
        <v>122</v>
      </c>
      <c r="Q32" s="92"/>
      <c r="R32" s="92">
        <v>8</v>
      </c>
      <c r="S32" s="92">
        <v>8</v>
      </c>
      <c r="T32" s="92" t="s">
        <v>122</v>
      </c>
      <c r="U32" s="92" t="s">
        <v>401</v>
      </c>
      <c r="V32" s="92" t="s">
        <v>402</v>
      </c>
      <c r="W32" s="92" t="s">
        <v>124</v>
      </c>
      <c r="X32" s="92" t="s">
        <v>134</v>
      </c>
      <c r="Y32" s="92" t="s">
        <v>160</v>
      </c>
      <c r="Z32" s="92" t="s">
        <v>149</v>
      </c>
      <c r="AA32" s="92" t="s">
        <v>346</v>
      </c>
      <c r="AB32" s="92">
        <v>888</v>
      </c>
      <c r="AC32" s="97">
        <v>21474</v>
      </c>
      <c r="AD32" s="92" t="s">
        <v>138</v>
      </c>
      <c r="AE32" s="92" t="s">
        <v>124</v>
      </c>
      <c r="AF32" s="96">
        <v>9.8100000000000007E-2</v>
      </c>
      <c r="AG32" s="96">
        <v>9.69E-2</v>
      </c>
    </row>
    <row r="33" spans="1:33" x14ac:dyDescent="0.3">
      <c r="A33" s="86" t="str">
        <f t="shared" si="0"/>
        <v>[1.은성산업] 지에프 R&amp;D 과천사옥 지식산업센터 신축공사</v>
      </c>
      <c r="B33" s="87">
        <v>23027</v>
      </c>
      <c r="C33" s="88" t="s">
        <v>403</v>
      </c>
      <c r="D33" s="88" t="s">
        <v>403</v>
      </c>
      <c r="E33" s="87" t="s">
        <v>404</v>
      </c>
      <c r="F33" s="87" t="s">
        <v>117</v>
      </c>
      <c r="G33" s="88" t="s">
        <v>405</v>
      </c>
      <c r="H33" s="87" t="s">
        <v>406</v>
      </c>
      <c r="I33" s="88" t="s">
        <v>407</v>
      </c>
      <c r="J33" s="89">
        <v>1005892557</v>
      </c>
      <c r="K33" s="87" t="s">
        <v>408</v>
      </c>
      <c r="L33" s="87"/>
      <c r="M33" s="87"/>
      <c r="N33" s="87"/>
      <c r="O33" s="86" t="s">
        <v>409</v>
      </c>
      <c r="P33" s="87" t="s">
        <v>122</v>
      </c>
      <c r="Q33" s="87"/>
      <c r="R33" s="87">
        <v>8</v>
      </c>
      <c r="S33" s="87">
        <v>8</v>
      </c>
      <c r="T33" s="87" t="s">
        <v>122</v>
      </c>
      <c r="U33" s="87" t="s">
        <v>410</v>
      </c>
      <c r="V33" s="87" t="s">
        <v>124</v>
      </c>
      <c r="W33" s="87" t="s">
        <v>124</v>
      </c>
      <c r="X33" s="87" t="s">
        <v>134</v>
      </c>
      <c r="Y33" s="87" t="s">
        <v>179</v>
      </c>
      <c r="Z33" s="87" t="s">
        <v>411</v>
      </c>
      <c r="AA33" s="87" t="s">
        <v>412</v>
      </c>
      <c r="AB33" s="87" t="s">
        <v>124</v>
      </c>
      <c r="AC33" s="91">
        <v>5663</v>
      </c>
      <c r="AD33" s="87" t="s">
        <v>373</v>
      </c>
      <c r="AE33" s="87" t="s">
        <v>124</v>
      </c>
      <c r="AF33" s="90">
        <v>0.2666</v>
      </c>
      <c r="AG33" s="90">
        <v>0.26419999999999999</v>
      </c>
    </row>
    <row r="34" spans="1:33" x14ac:dyDescent="0.3">
      <c r="A34" s="86" t="str">
        <f t="shared" si="0"/>
        <v>[2.SK에코플랜트] 영종 SK VIEW 신축공사</v>
      </c>
      <c r="B34" s="87">
        <v>23030</v>
      </c>
      <c r="C34" s="88" t="s">
        <v>413</v>
      </c>
      <c r="D34" s="88" t="s">
        <v>413</v>
      </c>
      <c r="E34" s="87" t="s">
        <v>414</v>
      </c>
      <c r="F34" s="87" t="s">
        <v>117</v>
      </c>
      <c r="G34" s="88" t="s">
        <v>415</v>
      </c>
      <c r="H34" s="87" t="s">
        <v>416</v>
      </c>
      <c r="I34" s="88" t="s">
        <v>417</v>
      </c>
      <c r="J34" s="89">
        <v>1729846945</v>
      </c>
      <c r="K34" s="87" t="s">
        <v>418</v>
      </c>
      <c r="L34" s="87"/>
      <c r="M34" s="87"/>
      <c r="N34" s="87"/>
      <c r="O34" s="86" t="s">
        <v>419</v>
      </c>
      <c r="P34" s="87" t="s">
        <v>122</v>
      </c>
      <c r="Q34" s="87"/>
      <c r="R34" s="87">
        <v>8</v>
      </c>
      <c r="S34" s="87">
        <v>8</v>
      </c>
      <c r="T34" s="87" t="s">
        <v>122</v>
      </c>
      <c r="U34" s="87" t="s">
        <v>420</v>
      </c>
      <c r="V34" s="87" t="s">
        <v>421</v>
      </c>
      <c r="W34" s="87" t="s">
        <v>124</v>
      </c>
      <c r="X34" s="87" t="s">
        <v>170</v>
      </c>
      <c r="Y34" s="87" t="s">
        <v>225</v>
      </c>
      <c r="Z34" s="87" t="s">
        <v>411</v>
      </c>
      <c r="AA34" s="87" t="s">
        <v>422</v>
      </c>
      <c r="AB34" s="87">
        <v>432</v>
      </c>
      <c r="AC34" s="91">
        <v>16208</v>
      </c>
      <c r="AD34" s="87" t="s">
        <v>162</v>
      </c>
      <c r="AE34" s="87" t="s">
        <v>124</v>
      </c>
      <c r="AF34" s="90">
        <v>0.1268</v>
      </c>
      <c r="AG34" s="90">
        <v>0.1326</v>
      </c>
    </row>
    <row r="35" spans="1:33" x14ac:dyDescent="0.3">
      <c r="A35" s="86" t="str">
        <f t="shared" si="0"/>
        <v>[5.대광건영] 내포신도시 RH4-2블록 공동주택 신축공사</v>
      </c>
      <c r="B35" s="87">
        <v>23033</v>
      </c>
      <c r="C35" s="88" t="s">
        <v>423</v>
      </c>
      <c r="D35" s="88" t="s">
        <v>423</v>
      </c>
      <c r="E35" s="87" t="s">
        <v>424</v>
      </c>
      <c r="F35" s="87" t="s">
        <v>117</v>
      </c>
      <c r="G35" s="88" t="s">
        <v>425</v>
      </c>
      <c r="H35" s="87" t="s">
        <v>426</v>
      </c>
      <c r="I35" s="88" t="s">
        <v>427</v>
      </c>
      <c r="J35" s="89">
        <v>2205486955</v>
      </c>
      <c r="K35" s="87" t="s">
        <v>428</v>
      </c>
      <c r="L35" s="87"/>
      <c r="M35" s="87"/>
      <c r="N35" s="87"/>
      <c r="O35" s="86" t="s">
        <v>429</v>
      </c>
      <c r="P35" s="87" t="s">
        <v>122</v>
      </c>
      <c r="Q35" s="87"/>
      <c r="R35" s="87">
        <v>8</v>
      </c>
      <c r="S35" s="87">
        <v>8</v>
      </c>
      <c r="T35" s="87" t="s">
        <v>122</v>
      </c>
      <c r="U35" s="87" t="s">
        <v>430</v>
      </c>
      <c r="V35" s="87" t="s">
        <v>431</v>
      </c>
      <c r="W35" s="87" t="s">
        <v>124</v>
      </c>
      <c r="X35" s="87" t="s">
        <v>134</v>
      </c>
      <c r="Y35" s="87" t="s">
        <v>432</v>
      </c>
      <c r="Z35" s="87" t="s">
        <v>214</v>
      </c>
      <c r="AA35" s="87" t="s">
        <v>433</v>
      </c>
      <c r="AB35" s="87">
        <v>601</v>
      </c>
      <c r="AC35" s="91">
        <v>41104</v>
      </c>
      <c r="AD35" s="87" t="s">
        <v>138</v>
      </c>
      <c r="AE35" s="87" t="s">
        <v>124</v>
      </c>
      <c r="AF35" s="90">
        <v>0.1113</v>
      </c>
      <c r="AG35" s="90">
        <v>0.1454</v>
      </c>
    </row>
    <row r="36" spans="1:33" x14ac:dyDescent="0.3">
      <c r="A36" s="86" t="str">
        <f t="shared" si="0"/>
        <v>[2.신세계건설] 부산 명지지구 아파텔 신축공사(1,2,5,6BL)</v>
      </c>
      <c r="B36" s="87">
        <v>23035</v>
      </c>
      <c r="C36" s="88" t="s">
        <v>434</v>
      </c>
      <c r="D36" s="88" t="s">
        <v>434</v>
      </c>
      <c r="E36" s="87" t="s">
        <v>435</v>
      </c>
      <c r="F36" s="87" t="s">
        <v>117</v>
      </c>
      <c r="G36" s="88" t="s">
        <v>436</v>
      </c>
      <c r="H36" s="87" t="s">
        <v>437</v>
      </c>
      <c r="I36" s="88" t="s">
        <v>438</v>
      </c>
      <c r="J36" s="89">
        <v>4673294000</v>
      </c>
      <c r="K36" s="87" t="s">
        <v>439</v>
      </c>
      <c r="L36" s="87"/>
      <c r="M36" s="87"/>
      <c r="N36" s="87"/>
      <c r="O36" s="86" t="s">
        <v>440</v>
      </c>
      <c r="P36" s="87" t="s">
        <v>122</v>
      </c>
      <c r="Q36" s="87"/>
      <c r="R36" s="87">
        <v>8</v>
      </c>
      <c r="S36" s="87">
        <v>8</v>
      </c>
      <c r="T36" s="87" t="s">
        <v>122</v>
      </c>
      <c r="U36" s="87" t="s">
        <v>441</v>
      </c>
      <c r="V36" s="87" t="s">
        <v>442</v>
      </c>
      <c r="W36" s="87" t="s">
        <v>124</v>
      </c>
      <c r="X36" s="87" t="s">
        <v>134</v>
      </c>
      <c r="Y36" s="87" t="s">
        <v>160</v>
      </c>
      <c r="Z36" s="87" t="s">
        <v>149</v>
      </c>
      <c r="AA36" s="87" t="s">
        <v>215</v>
      </c>
      <c r="AB36" s="87">
        <v>1083</v>
      </c>
      <c r="AC36" s="91">
        <v>58000</v>
      </c>
      <c r="AD36" s="87" t="s">
        <v>162</v>
      </c>
      <c r="AE36" s="87" t="s">
        <v>124</v>
      </c>
      <c r="AF36" s="90">
        <v>0.12859999999999999</v>
      </c>
      <c r="AG36" s="90">
        <v>0.14560000000000001</v>
      </c>
    </row>
    <row r="37" spans="1:33" x14ac:dyDescent="0.3">
      <c r="A37" s="86" t="str">
        <f t="shared" si="0"/>
        <v>[2.한라] 인천작전동 APT 신축공사</v>
      </c>
      <c r="B37" s="87">
        <v>23039</v>
      </c>
      <c r="C37" s="88" t="s">
        <v>443</v>
      </c>
      <c r="D37" s="88" t="s">
        <v>443</v>
      </c>
      <c r="E37" s="87" t="s">
        <v>444</v>
      </c>
      <c r="F37" s="87" t="s">
        <v>117</v>
      </c>
      <c r="G37" s="88" t="s">
        <v>445</v>
      </c>
      <c r="H37" s="87" t="s">
        <v>446</v>
      </c>
      <c r="I37" s="88" t="s">
        <v>447</v>
      </c>
      <c r="J37" s="89">
        <v>1771976431</v>
      </c>
      <c r="K37" s="87" t="s">
        <v>448</v>
      </c>
      <c r="L37" s="87"/>
      <c r="M37" s="87"/>
      <c r="N37" s="87"/>
      <c r="O37" s="86" t="s">
        <v>449</v>
      </c>
      <c r="P37" s="87" t="s">
        <v>122</v>
      </c>
      <c r="Q37" s="87"/>
      <c r="R37" s="87">
        <v>8</v>
      </c>
      <c r="S37" s="87">
        <v>8</v>
      </c>
      <c r="T37" s="87" t="s">
        <v>122</v>
      </c>
      <c r="U37" s="87" t="s">
        <v>450</v>
      </c>
      <c r="V37" s="87" t="s">
        <v>451</v>
      </c>
      <c r="W37" s="87" t="s">
        <v>124</v>
      </c>
      <c r="X37" s="87" t="s">
        <v>170</v>
      </c>
      <c r="Y37" s="87" t="s">
        <v>201</v>
      </c>
      <c r="Z37" s="87" t="s">
        <v>214</v>
      </c>
      <c r="AA37" s="87" t="s">
        <v>383</v>
      </c>
      <c r="AB37" s="87">
        <v>340</v>
      </c>
      <c r="AC37" s="91">
        <v>17242</v>
      </c>
      <c r="AD37" s="87" t="s">
        <v>138</v>
      </c>
      <c r="AE37" s="87" t="s">
        <v>124</v>
      </c>
      <c r="AF37" s="90">
        <v>0.14879999999999999</v>
      </c>
      <c r="AG37" s="90">
        <v>0.15160000000000001</v>
      </c>
    </row>
    <row r="38" spans="1:33" x14ac:dyDescent="0.3">
      <c r="A38" s="86" t="str">
        <f t="shared" si="0"/>
        <v>[1.대우건설] 청주 테크노폴리스 S1-1,2BL 주상복합 신축공사</v>
      </c>
      <c r="B38" s="87">
        <v>23044</v>
      </c>
      <c r="C38" s="88" t="s">
        <v>452</v>
      </c>
      <c r="D38" s="88" t="s">
        <v>452</v>
      </c>
      <c r="E38" s="87" t="s">
        <v>453</v>
      </c>
      <c r="F38" s="87" t="s">
        <v>117</v>
      </c>
      <c r="G38" s="88" t="s">
        <v>454</v>
      </c>
      <c r="H38" s="87" t="s">
        <v>455</v>
      </c>
      <c r="I38" s="88" t="s">
        <v>456</v>
      </c>
      <c r="J38" s="89">
        <v>8809907491</v>
      </c>
      <c r="K38" s="87" t="s">
        <v>457</v>
      </c>
      <c r="L38" s="87"/>
      <c r="M38" s="87"/>
      <c r="N38" s="87"/>
      <c r="O38" s="86" t="s">
        <v>458</v>
      </c>
      <c r="P38" s="87" t="s">
        <v>122</v>
      </c>
      <c r="Q38" s="87"/>
      <c r="R38" s="87">
        <v>8</v>
      </c>
      <c r="S38" s="87">
        <v>8</v>
      </c>
      <c r="T38" s="87" t="s">
        <v>122</v>
      </c>
      <c r="U38" s="87" t="s">
        <v>459</v>
      </c>
      <c r="V38" s="87" t="s">
        <v>460</v>
      </c>
      <c r="W38" s="87" t="s">
        <v>461</v>
      </c>
      <c r="X38" s="87" t="s">
        <v>170</v>
      </c>
      <c r="Y38" s="87" t="s">
        <v>213</v>
      </c>
      <c r="Z38" s="87" t="s">
        <v>214</v>
      </c>
      <c r="AA38" s="87" t="s">
        <v>203</v>
      </c>
      <c r="AB38" s="87">
        <v>1268</v>
      </c>
      <c r="AC38" s="91">
        <v>77892</v>
      </c>
      <c r="AD38" s="87" t="s">
        <v>462</v>
      </c>
      <c r="AE38" s="87" t="s">
        <v>124</v>
      </c>
      <c r="AF38" s="90">
        <v>0.1426</v>
      </c>
      <c r="AG38" s="90">
        <v>0.12280000000000001</v>
      </c>
    </row>
    <row r="39" spans="1:33" x14ac:dyDescent="0.3">
      <c r="A39" s="86" t="str">
        <f t="shared" si="0"/>
        <v>[3.쿠팡] 광주2FC 전기공사</v>
      </c>
      <c r="B39" s="87">
        <v>23047</v>
      </c>
      <c r="C39" s="88" t="s">
        <v>463</v>
      </c>
      <c r="D39" s="88" t="s">
        <v>463</v>
      </c>
      <c r="E39" s="87" t="s">
        <v>464</v>
      </c>
      <c r="F39" s="87" t="s">
        <v>117</v>
      </c>
      <c r="G39" s="88" t="s">
        <v>465</v>
      </c>
      <c r="H39" s="87" t="s">
        <v>466</v>
      </c>
      <c r="I39" s="88" t="s">
        <v>465</v>
      </c>
      <c r="J39" s="89">
        <v>3633443376</v>
      </c>
      <c r="K39" s="87" t="s">
        <v>467</v>
      </c>
      <c r="L39" s="87"/>
      <c r="M39" s="87"/>
      <c r="N39" s="87"/>
      <c r="O39" s="86" t="s">
        <v>468</v>
      </c>
      <c r="P39" s="87" t="s">
        <v>122</v>
      </c>
      <c r="Q39" s="87"/>
      <c r="R39" s="87">
        <v>8</v>
      </c>
      <c r="S39" s="87">
        <v>8</v>
      </c>
      <c r="T39" s="87" t="s">
        <v>122</v>
      </c>
      <c r="U39" s="87" t="s">
        <v>469</v>
      </c>
      <c r="V39" s="87" t="s">
        <v>124</v>
      </c>
      <c r="W39" s="87" t="s">
        <v>124</v>
      </c>
      <c r="X39" s="87" t="s">
        <v>470</v>
      </c>
      <c r="Y39" s="87" t="s">
        <v>124</v>
      </c>
      <c r="Z39" s="87" t="s">
        <v>124</v>
      </c>
      <c r="AA39" s="87" t="s">
        <v>124</v>
      </c>
      <c r="AB39" s="87" t="s">
        <v>124</v>
      </c>
      <c r="AC39" s="87" t="s">
        <v>124</v>
      </c>
      <c r="AD39" s="87" t="s">
        <v>124</v>
      </c>
      <c r="AE39" s="87" t="s">
        <v>124</v>
      </c>
      <c r="AF39" s="90" t="s">
        <v>124</v>
      </c>
      <c r="AG39" s="90" t="s">
        <v>124</v>
      </c>
    </row>
    <row r="40" spans="1:33" x14ac:dyDescent="0.3">
      <c r="A40" s="86" t="str">
        <f t="shared" si="0"/>
        <v>[1.두산건설] 송림3구역 주택재개발 중 전기공사1,2공구</v>
      </c>
      <c r="B40" s="92">
        <v>23048</v>
      </c>
      <c r="C40" s="93" t="s">
        <v>471</v>
      </c>
      <c r="D40" s="93" t="s">
        <v>471</v>
      </c>
      <c r="E40" s="92" t="s">
        <v>472</v>
      </c>
      <c r="F40" s="92" t="s">
        <v>395</v>
      </c>
      <c r="G40" s="93"/>
      <c r="H40" s="92"/>
      <c r="I40" s="93" t="s">
        <v>473</v>
      </c>
      <c r="J40" s="94">
        <v>4830023712</v>
      </c>
      <c r="K40" s="92" t="s">
        <v>474</v>
      </c>
      <c r="L40" s="92"/>
      <c r="M40" s="92"/>
      <c r="N40" s="92"/>
      <c r="O40" s="95" t="s">
        <v>475</v>
      </c>
      <c r="P40" s="92" t="s">
        <v>122</v>
      </c>
      <c r="Q40" s="92"/>
      <c r="R40" s="92">
        <v>8</v>
      </c>
      <c r="S40" s="92">
        <v>8</v>
      </c>
      <c r="T40" s="92" t="s">
        <v>122</v>
      </c>
      <c r="U40" s="92" t="s">
        <v>476</v>
      </c>
      <c r="V40" s="92" t="s">
        <v>477</v>
      </c>
      <c r="W40" s="92" t="s">
        <v>478</v>
      </c>
      <c r="X40" s="92" t="s">
        <v>170</v>
      </c>
      <c r="Y40" s="92" t="s">
        <v>160</v>
      </c>
      <c r="Z40" s="92" t="s">
        <v>149</v>
      </c>
      <c r="AA40" s="92" t="s">
        <v>383</v>
      </c>
      <c r="AB40" s="92">
        <v>1321</v>
      </c>
      <c r="AC40" s="97">
        <v>50854</v>
      </c>
      <c r="AD40" s="92" t="s">
        <v>138</v>
      </c>
      <c r="AE40" s="92" t="s">
        <v>124</v>
      </c>
      <c r="AF40" s="96">
        <v>0.127</v>
      </c>
      <c r="AG40" s="96">
        <v>0.123</v>
      </c>
    </row>
    <row r="41" spans="1:33" x14ac:dyDescent="0.3">
      <c r="A41" s="86" t="str">
        <f t="shared" si="0"/>
        <v>[5.이안알앤씨] 한림대학교 춘천성심병원 연구동 증축공사</v>
      </c>
      <c r="B41" s="92">
        <v>23052</v>
      </c>
      <c r="C41" s="93" t="s">
        <v>479</v>
      </c>
      <c r="D41" s="93" t="s">
        <v>479</v>
      </c>
      <c r="E41" s="92" t="s">
        <v>480</v>
      </c>
      <c r="F41" s="92" t="s">
        <v>117</v>
      </c>
      <c r="G41" s="93"/>
      <c r="H41" s="92"/>
      <c r="I41" s="93" t="s">
        <v>481</v>
      </c>
      <c r="J41" s="94">
        <v>542492728</v>
      </c>
      <c r="K41" s="92" t="s">
        <v>482</v>
      </c>
      <c r="L41" s="92"/>
      <c r="M41" s="92"/>
      <c r="N41" s="92"/>
      <c r="O41" s="95" t="s">
        <v>483</v>
      </c>
      <c r="P41" s="92" t="s">
        <v>122</v>
      </c>
      <c r="Q41" s="92"/>
      <c r="R41" s="92">
        <v>8</v>
      </c>
      <c r="S41" s="92">
        <v>8</v>
      </c>
      <c r="T41" s="92" t="s">
        <v>122</v>
      </c>
      <c r="U41" s="92" t="s">
        <v>484</v>
      </c>
      <c r="V41" s="92" t="s">
        <v>124</v>
      </c>
      <c r="W41" s="92" t="s">
        <v>124</v>
      </c>
      <c r="X41" s="92" t="s">
        <v>170</v>
      </c>
      <c r="Y41" s="92" t="s">
        <v>179</v>
      </c>
      <c r="Z41" s="92" t="s">
        <v>124</v>
      </c>
      <c r="AA41" s="92" t="s">
        <v>124</v>
      </c>
      <c r="AB41" s="92" t="s">
        <v>124</v>
      </c>
      <c r="AC41" s="92" t="s">
        <v>124</v>
      </c>
      <c r="AD41" s="92" t="s">
        <v>124</v>
      </c>
      <c r="AE41" s="92" t="s">
        <v>124</v>
      </c>
      <c r="AF41" s="96">
        <v>0.65100000000000002</v>
      </c>
      <c r="AG41" s="96">
        <v>0.51900000000000002</v>
      </c>
    </row>
    <row r="42" spans="1:33" x14ac:dyDescent="0.3">
      <c r="A42" s="86" t="str">
        <f t="shared" si="0"/>
        <v>[2.동양] 한국건강관리협회 인천지부 신청사 건립 신축공사</v>
      </c>
      <c r="B42" s="92">
        <v>24002</v>
      </c>
      <c r="C42" s="93" t="s">
        <v>485</v>
      </c>
      <c r="D42" s="93" t="s">
        <v>485</v>
      </c>
      <c r="E42" s="92" t="s">
        <v>486</v>
      </c>
      <c r="F42" s="92" t="s">
        <v>117</v>
      </c>
      <c r="G42" s="93" t="s">
        <v>487</v>
      </c>
      <c r="H42" s="92" t="s">
        <v>488</v>
      </c>
      <c r="I42" s="93" t="s">
        <v>489</v>
      </c>
      <c r="J42" s="94">
        <v>1132662398</v>
      </c>
      <c r="K42" s="92" t="s">
        <v>360</v>
      </c>
      <c r="L42" s="92"/>
      <c r="M42" s="92"/>
      <c r="N42" s="92"/>
      <c r="O42" s="95" t="s">
        <v>490</v>
      </c>
      <c r="P42" s="92" t="s">
        <v>122</v>
      </c>
      <c r="Q42" s="92"/>
      <c r="R42" s="92">
        <v>8</v>
      </c>
      <c r="S42" s="92">
        <v>8</v>
      </c>
      <c r="T42" s="92" t="s">
        <v>122</v>
      </c>
      <c r="U42" s="92" t="s">
        <v>362</v>
      </c>
      <c r="V42" s="92" t="s">
        <v>491</v>
      </c>
      <c r="W42" s="92" t="s">
        <v>124</v>
      </c>
      <c r="X42" s="92" t="s">
        <v>159</v>
      </c>
      <c r="Y42" s="92" t="s">
        <v>179</v>
      </c>
      <c r="Z42" s="92" t="s">
        <v>411</v>
      </c>
      <c r="AA42" s="92" t="s">
        <v>372</v>
      </c>
      <c r="AB42" s="92" t="s">
        <v>124</v>
      </c>
      <c r="AC42" s="97">
        <v>6723</v>
      </c>
      <c r="AD42" s="92" t="s">
        <v>492</v>
      </c>
      <c r="AE42" s="92" t="s">
        <v>124</v>
      </c>
      <c r="AF42" s="96">
        <v>0.45419999999999999</v>
      </c>
      <c r="AG42" s="96">
        <v>0.41649999999999998</v>
      </c>
    </row>
    <row r="43" spans="1:33" x14ac:dyDescent="0.3">
      <c r="A43" s="86" t="str">
        <f t="shared" si="0"/>
        <v>[4.롯데건설] 검단신도시 101 역세권 공모사업(C9-1BL, C9-2BL)</v>
      </c>
      <c r="B43" s="87">
        <v>24010</v>
      </c>
      <c r="C43" s="88" t="s">
        <v>493</v>
      </c>
      <c r="D43" s="88" t="s">
        <v>493</v>
      </c>
      <c r="E43" s="87" t="s">
        <v>494</v>
      </c>
      <c r="F43" s="87" t="s">
        <v>117</v>
      </c>
      <c r="G43" s="88" t="s">
        <v>495</v>
      </c>
      <c r="H43" s="87" t="s">
        <v>496</v>
      </c>
      <c r="I43" s="88" t="s">
        <v>497</v>
      </c>
      <c r="J43" s="89">
        <v>5009245763</v>
      </c>
      <c r="K43" s="87"/>
      <c r="L43" s="87"/>
      <c r="M43" s="87"/>
      <c r="N43" s="87"/>
      <c r="O43" s="86" t="s">
        <v>498</v>
      </c>
      <c r="P43" s="87" t="s">
        <v>122</v>
      </c>
      <c r="Q43" s="87"/>
      <c r="R43" s="87">
        <v>8</v>
      </c>
      <c r="S43" s="87">
        <v>8</v>
      </c>
      <c r="T43" s="87" t="s">
        <v>122</v>
      </c>
      <c r="U43" s="87" t="s">
        <v>499</v>
      </c>
      <c r="V43" s="87" t="s">
        <v>500</v>
      </c>
      <c r="W43" s="87" t="s">
        <v>124</v>
      </c>
      <c r="X43" s="87" t="s">
        <v>134</v>
      </c>
      <c r="Y43" s="87" t="s">
        <v>135</v>
      </c>
      <c r="Z43" s="87" t="s">
        <v>214</v>
      </c>
      <c r="AA43" s="87" t="s">
        <v>171</v>
      </c>
      <c r="AB43" s="87">
        <v>246</v>
      </c>
      <c r="AC43" s="91">
        <v>58895</v>
      </c>
      <c r="AD43" s="87" t="s">
        <v>501</v>
      </c>
      <c r="AE43" s="87" t="s">
        <v>124</v>
      </c>
      <c r="AF43" s="90">
        <v>0.15690000000000001</v>
      </c>
      <c r="AG43" s="90">
        <v>0.15060000000000001</v>
      </c>
    </row>
    <row r="44" spans="1:33" x14ac:dyDescent="0.3">
      <c r="A44" s="86" t="str">
        <f t="shared" si="0"/>
        <v>[3.쿠팡] 인천 36FC 전기공사</v>
      </c>
      <c r="B44" s="92">
        <v>24013</v>
      </c>
      <c r="C44" s="93" t="s">
        <v>502</v>
      </c>
      <c r="D44" s="93" t="s">
        <v>502</v>
      </c>
      <c r="E44" s="92" t="s">
        <v>503</v>
      </c>
      <c r="F44" s="92" t="s">
        <v>395</v>
      </c>
      <c r="G44" s="93" t="s">
        <v>504</v>
      </c>
      <c r="H44" s="92"/>
      <c r="I44" s="93" t="s">
        <v>465</v>
      </c>
      <c r="J44" s="94">
        <v>8438859086</v>
      </c>
      <c r="K44" s="92"/>
      <c r="L44" s="92"/>
      <c r="M44" s="92"/>
      <c r="N44" s="92"/>
      <c r="O44" s="95" t="s">
        <v>505</v>
      </c>
      <c r="P44" s="92" t="s">
        <v>122</v>
      </c>
      <c r="Q44" s="92"/>
      <c r="R44" s="92">
        <v>8</v>
      </c>
      <c r="S44" s="92">
        <v>8</v>
      </c>
      <c r="T44" s="92" t="s">
        <v>122</v>
      </c>
      <c r="U44" s="92" t="s">
        <v>506</v>
      </c>
      <c r="V44" s="92" t="s">
        <v>507</v>
      </c>
      <c r="W44" s="92" t="s">
        <v>508</v>
      </c>
      <c r="X44" s="92" t="s">
        <v>470</v>
      </c>
      <c r="Y44" s="92" t="s">
        <v>124</v>
      </c>
      <c r="Z44" s="92" t="s">
        <v>124</v>
      </c>
      <c r="AA44" s="92" t="s">
        <v>124</v>
      </c>
      <c r="AB44" s="92" t="s">
        <v>124</v>
      </c>
      <c r="AC44" s="92" t="s">
        <v>124</v>
      </c>
      <c r="AD44" s="92" t="s">
        <v>124</v>
      </c>
      <c r="AE44" s="92" t="s">
        <v>124</v>
      </c>
      <c r="AF44" s="96" t="s">
        <v>124</v>
      </c>
      <c r="AG44" s="96" t="s">
        <v>124</v>
      </c>
    </row>
    <row r="45" spans="1:33" x14ac:dyDescent="0.3">
      <c r="A45" s="86" t="str">
        <f t="shared" si="0"/>
        <v>[2.한화건설] 고잔연립9구역 재건축 전기,통신,소방공사</v>
      </c>
      <c r="B45" s="92">
        <v>24016</v>
      </c>
      <c r="C45" s="93" t="s">
        <v>509</v>
      </c>
      <c r="D45" s="93" t="s">
        <v>509</v>
      </c>
      <c r="E45" s="92" t="s">
        <v>510</v>
      </c>
      <c r="F45" s="92" t="s">
        <v>117</v>
      </c>
      <c r="G45" s="93" t="s">
        <v>511</v>
      </c>
      <c r="H45" s="92" t="s">
        <v>512</v>
      </c>
      <c r="I45" s="93" t="s">
        <v>513</v>
      </c>
      <c r="J45" s="94">
        <v>1918298861</v>
      </c>
      <c r="K45" s="92" t="s">
        <v>514</v>
      </c>
      <c r="L45" s="92"/>
      <c r="M45" s="92"/>
      <c r="N45" s="92"/>
      <c r="O45" s="95" t="s">
        <v>515</v>
      </c>
      <c r="P45" s="92" t="s">
        <v>122</v>
      </c>
      <c r="Q45" s="92"/>
      <c r="R45" s="92">
        <v>8</v>
      </c>
      <c r="S45" s="92">
        <v>8</v>
      </c>
      <c r="T45" s="92" t="s">
        <v>122</v>
      </c>
      <c r="U45" s="92" t="s">
        <v>516</v>
      </c>
      <c r="V45" s="92" t="s">
        <v>517</v>
      </c>
      <c r="W45" s="92" t="s">
        <v>124</v>
      </c>
      <c r="X45" s="92" t="s">
        <v>170</v>
      </c>
      <c r="Y45" s="92" t="s">
        <v>201</v>
      </c>
      <c r="Z45" s="92" t="s">
        <v>214</v>
      </c>
      <c r="AA45" s="92" t="s">
        <v>171</v>
      </c>
      <c r="AB45" s="92">
        <v>472</v>
      </c>
      <c r="AC45" s="97">
        <v>20748</v>
      </c>
      <c r="AD45" s="92" t="s">
        <v>138</v>
      </c>
      <c r="AE45" s="92" t="s">
        <v>124</v>
      </c>
      <c r="AF45" s="96">
        <v>0.1105</v>
      </c>
      <c r="AG45" s="96">
        <v>0.1067</v>
      </c>
    </row>
    <row r="46" spans="1:33" x14ac:dyDescent="0.3">
      <c r="A46" s="86" t="str">
        <f t="shared" si="0"/>
        <v>[1.DL건설] 전도관구역 주택재개발 정비사업조합(01공구)</v>
      </c>
      <c r="B46" s="92">
        <v>24018</v>
      </c>
      <c r="C46" s="93" t="s">
        <v>518</v>
      </c>
      <c r="D46" s="93" t="s">
        <v>518</v>
      </c>
      <c r="E46" s="92" t="s">
        <v>519</v>
      </c>
      <c r="F46" s="92" t="s">
        <v>395</v>
      </c>
      <c r="G46" s="93" t="s">
        <v>520</v>
      </c>
      <c r="H46" s="92" t="s">
        <v>521</v>
      </c>
      <c r="I46" s="93" t="s">
        <v>522</v>
      </c>
      <c r="J46" s="94">
        <v>3173800100</v>
      </c>
      <c r="K46" s="92" t="s">
        <v>523</v>
      </c>
      <c r="L46" s="92"/>
      <c r="M46" s="92"/>
      <c r="N46" s="92"/>
      <c r="O46" s="95" t="s">
        <v>524</v>
      </c>
      <c r="P46" s="92" t="s">
        <v>122</v>
      </c>
      <c r="Q46" s="92"/>
      <c r="R46" s="92">
        <v>8</v>
      </c>
      <c r="S46" s="92">
        <v>8</v>
      </c>
      <c r="T46" s="92" t="s">
        <v>122</v>
      </c>
      <c r="U46" s="92" t="s">
        <v>525</v>
      </c>
      <c r="V46" s="92" t="s">
        <v>526</v>
      </c>
      <c r="W46" s="92" t="s">
        <v>124</v>
      </c>
      <c r="X46" s="92" t="s">
        <v>170</v>
      </c>
      <c r="Y46" s="92" t="s">
        <v>432</v>
      </c>
      <c r="Z46" s="92" t="s">
        <v>149</v>
      </c>
      <c r="AA46" s="92" t="s">
        <v>383</v>
      </c>
      <c r="AB46" s="92">
        <v>821</v>
      </c>
      <c r="AC46" s="97">
        <v>48773</v>
      </c>
      <c r="AD46" s="92" t="s">
        <v>138</v>
      </c>
      <c r="AE46" s="92" t="s">
        <v>124</v>
      </c>
      <c r="AF46" s="96">
        <v>0.12970000000000001</v>
      </c>
      <c r="AG46" s="96">
        <v>0.1305</v>
      </c>
    </row>
    <row r="47" spans="1:33" x14ac:dyDescent="0.3">
      <c r="A47" s="86" t="str">
        <f t="shared" si="0"/>
        <v>[2.금호건설] 대웅제약 마곡연구소 신축공사</v>
      </c>
      <c r="B47" s="92">
        <v>24021</v>
      </c>
      <c r="C47" s="93" t="s">
        <v>527</v>
      </c>
      <c r="D47" s="93" t="s">
        <v>527</v>
      </c>
      <c r="E47" s="92" t="s">
        <v>528</v>
      </c>
      <c r="F47" s="92" t="s">
        <v>395</v>
      </c>
      <c r="G47" s="93" t="s">
        <v>529</v>
      </c>
      <c r="H47" s="92"/>
      <c r="I47" s="93" t="s">
        <v>529</v>
      </c>
      <c r="J47" s="94">
        <v>3224481741</v>
      </c>
      <c r="K47" s="92" t="s">
        <v>530</v>
      </c>
      <c r="L47" s="92"/>
      <c r="M47" s="92"/>
      <c r="N47" s="92"/>
      <c r="O47" s="95" t="s">
        <v>531</v>
      </c>
      <c r="P47" s="92" t="s">
        <v>122</v>
      </c>
      <c r="Q47" s="92"/>
      <c r="R47" s="92">
        <v>8</v>
      </c>
      <c r="S47" s="92">
        <v>8</v>
      </c>
      <c r="T47" s="92" t="s">
        <v>122</v>
      </c>
      <c r="U47" s="92" t="s">
        <v>532</v>
      </c>
      <c r="V47" s="92" t="s">
        <v>533</v>
      </c>
      <c r="W47" s="92" t="s">
        <v>534</v>
      </c>
      <c r="X47" s="92" t="s">
        <v>134</v>
      </c>
      <c r="Y47" s="92" t="s">
        <v>179</v>
      </c>
      <c r="Z47" s="92" t="s">
        <v>149</v>
      </c>
      <c r="AA47" s="92" t="s">
        <v>535</v>
      </c>
      <c r="AB47" s="92" t="s">
        <v>124</v>
      </c>
      <c r="AC47" s="97">
        <v>15106</v>
      </c>
      <c r="AD47" s="92" t="s">
        <v>536</v>
      </c>
      <c r="AE47" s="92" t="s">
        <v>124</v>
      </c>
      <c r="AF47" s="96">
        <v>0.23150000000000001</v>
      </c>
      <c r="AG47" s="96">
        <v>0.20019999999999999</v>
      </c>
    </row>
    <row r="48" spans="1:33" x14ac:dyDescent="0.3">
      <c r="A48" s="86" t="str">
        <f t="shared" si="0"/>
        <v>[2.신세계건설] 양주 옥정 물류센터 신축공사</v>
      </c>
      <c r="B48" s="92">
        <v>24022</v>
      </c>
      <c r="C48" s="93" t="s">
        <v>537</v>
      </c>
      <c r="D48" s="93" t="s">
        <v>537</v>
      </c>
      <c r="E48" s="92" t="s">
        <v>538</v>
      </c>
      <c r="F48" s="92" t="s">
        <v>395</v>
      </c>
      <c r="G48" s="93"/>
      <c r="H48" s="92"/>
      <c r="I48" s="93" t="s">
        <v>438</v>
      </c>
      <c r="J48" s="94">
        <v>2614405485</v>
      </c>
      <c r="K48" s="92" t="s">
        <v>539</v>
      </c>
      <c r="L48" s="92"/>
      <c r="M48" s="92"/>
      <c r="N48" s="92"/>
      <c r="O48" s="95" t="s">
        <v>540</v>
      </c>
      <c r="P48" s="92" t="s">
        <v>122</v>
      </c>
      <c r="Q48" s="92"/>
      <c r="R48" s="92">
        <v>8</v>
      </c>
      <c r="S48" s="92">
        <v>8</v>
      </c>
      <c r="T48" s="92" t="s">
        <v>122</v>
      </c>
      <c r="U48" s="92" t="s">
        <v>541</v>
      </c>
      <c r="V48" s="92" t="s">
        <v>542</v>
      </c>
      <c r="W48" s="92" t="s">
        <v>543</v>
      </c>
      <c r="X48" s="92" t="s">
        <v>134</v>
      </c>
      <c r="Y48" s="92" t="s">
        <v>179</v>
      </c>
      <c r="Z48" s="92" t="s">
        <v>214</v>
      </c>
      <c r="AA48" s="92" t="s">
        <v>390</v>
      </c>
      <c r="AB48" s="92" t="s">
        <v>124</v>
      </c>
      <c r="AC48" s="97">
        <v>52620</v>
      </c>
      <c r="AD48" s="92" t="s">
        <v>544</v>
      </c>
      <c r="AE48" s="92" t="s">
        <v>124</v>
      </c>
      <c r="AF48" s="96">
        <v>0.28589999999999999</v>
      </c>
      <c r="AG48" s="96">
        <v>0.28720000000000001</v>
      </c>
    </row>
    <row r="49" spans="1:33" x14ac:dyDescent="0.3">
      <c r="A49" s="86" t="str">
        <f t="shared" si="0"/>
        <v>[1.포스코건설] 영종-청라 연결도로(제3연륙교) 건설공사 제2공구 전기 및 통신공사</v>
      </c>
      <c r="B49" s="87">
        <v>24023</v>
      </c>
      <c r="C49" s="88" t="s">
        <v>545</v>
      </c>
      <c r="D49" s="88" t="s">
        <v>545</v>
      </c>
      <c r="E49" s="87" t="s">
        <v>546</v>
      </c>
      <c r="F49" s="87" t="s">
        <v>395</v>
      </c>
      <c r="G49" s="88"/>
      <c r="H49" s="87"/>
      <c r="I49" s="88" t="s">
        <v>220</v>
      </c>
      <c r="J49" s="89">
        <v>2399104139</v>
      </c>
      <c r="K49" s="87" t="s">
        <v>547</v>
      </c>
      <c r="L49" s="87"/>
      <c r="M49" s="87"/>
      <c r="N49" s="87"/>
      <c r="O49" s="86" t="s">
        <v>548</v>
      </c>
      <c r="P49" s="87" t="s">
        <v>122</v>
      </c>
      <c r="Q49" s="87"/>
      <c r="R49" s="87">
        <v>8</v>
      </c>
      <c r="S49" s="87">
        <v>8</v>
      </c>
      <c r="T49" s="87" t="s">
        <v>122</v>
      </c>
      <c r="U49" s="87" t="s">
        <v>549</v>
      </c>
      <c r="V49" s="87" t="s">
        <v>550</v>
      </c>
      <c r="W49" s="87" t="s">
        <v>551</v>
      </c>
      <c r="X49" s="87" t="s">
        <v>124</v>
      </c>
      <c r="Y49" s="87" t="s">
        <v>124</v>
      </c>
      <c r="Z49" s="87" t="s">
        <v>124</v>
      </c>
      <c r="AA49" s="87" t="s">
        <v>124</v>
      </c>
      <c r="AB49" s="87" t="s">
        <v>124</v>
      </c>
      <c r="AC49" s="87" t="s">
        <v>124</v>
      </c>
      <c r="AD49" s="87" t="s">
        <v>124</v>
      </c>
      <c r="AE49" s="87" t="s">
        <v>124</v>
      </c>
      <c r="AF49" s="90" t="s">
        <v>124</v>
      </c>
      <c r="AG49" s="90" t="s">
        <v>124</v>
      </c>
    </row>
    <row r="50" spans="1:33" x14ac:dyDescent="0.3">
      <c r="A50" s="86" t="str">
        <f t="shared" si="0"/>
        <v>[5.대광건영] 양주회천 A12 대광로제비앙 아파트 신축공사</v>
      </c>
      <c r="B50" s="87">
        <v>24024</v>
      </c>
      <c r="C50" s="88" t="s">
        <v>552</v>
      </c>
      <c r="D50" s="88" t="s">
        <v>552</v>
      </c>
      <c r="E50" s="87" t="s">
        <v>553</v>
      </c>
      <c r="F50" s="87" t="s">
        <v>395</v>
      </c>
      <c r="G50" s="88"/>
      <c r="H50" s="87"/>
      <c r="I50" s="88" t="s">
        <v>427</v>
      </c>
      <c r="J50" s="89">
        <v>2355394100</v>
      </c>
      <c r="K50" s="87" t="s">
        <v>554</v>
      </c>
      <c r="L50" s="87"/>
      <c r="M50" s="87"/>
      <c r="N50" s="87"/>
      <c r="O50" s="86" t="s">
        <v>555</v>
      </c>
      <c r="P50" s="87" t="s">
        <v>122</v>
      </c>
      <c r="Q50" s="87"/>
      <c r="R50" s="87">
        <v>8</v>
      </c>
      <c r="S50" s="87">
        <v>8</v>
      </c>
      <c r="T50" s="87" t="s">
        <v>122</v>
      </c>
      <c r="U50" s="87" t="s">
        <v>556</v>
      </c>
      <c r="V50" s="87" t="s">
        <v>557</v>
      </c>
      <c r="W50" s="87" t="s">
        <v>124</v>
      </c>
      <c r="X50" s="87" t="s">
        <v>134</v>
      </c>
      <c r="Y50" s="87" t="s">
        <v>344</v>
      </c>
      <c r="Z50" s="87" t="s">
        <v>149</v>
      </c>
      <c r="AA50" s="87" t="s">
        <v>383</v>
      </c>
      <c r="AB50" s="87">
        <v>621</v>
      </c>
      <c r="AC50" s="91">
        <v>30797</v>
      </c>
      <c r="AD50" s="87" t="s">
        <v>138</v>
      </c>
      <c r="AE50" s="87" t="s">
        <v>124</v>
      </c>
      <c r="AF50" s="90">
        <v>0.11799999999999999</v>
      </c>
      <c r="AG50" s="90">
        <v>0.1134</v>
      </c>
    </row>
    <row r="51" spans="1:33" x14ac:dyDescent="0.3">
      <c r="A51" s="86" t="str">
        <f t="shared" si="0"/>
        <v>[1.대우건설] 청라C18BL 오피스텔 신축공사</v>
      </c>
      <c r="B51" s="87">
        <v>24025</v>
      </c>
      <c r="C51" s="88" t="s">
        <v>558</v>
      </c>
      <c r="D51" s="88" t="s">
        <v>558</v>
      </c>
      <c r="E51" s="87" t="s">
        <v>559</v>
      </c>
      <c r="F51" s="87" t="s">
        <v>395</v>
      </c>
      <c r="G51" s="88"/>
      <c r="H51" s="87"/>
      <c r="I51" s="88" t="s">
        <v>456</v>
      </c>
      <c r="J51" s="89">
        <v>5189492421</v>
      </c>
      <c r="K51" s="87" t="s">
        <v>560</v>
      </c>
      <c r="L51" s="87"/>
      <c r="M51" s="87"/>
      <c r="N51" s="87"/>
      <c r="O51" s="86" t="s">
        <v>561</v>
      </c>
      <c r="P51" s="87" t="s">
        <v>122</v>
      </c>
      <c r="Q51" s="87"/>
      <c r="R51" s="87">
        <v>8</v>
      </c>
      <c r="S51" s="87">
        <v>8</v>
      </c>
      <c r="T51" s="87" t="s">
        <v>122</v>
      </c>
      <c r="U51" s="87" t="s">
        <v>562</v>
      </c>
      <c r="V51" s="87" t="s">
        <v>563</v>
      </c>
      <c r="W51" s="87" t="s">
        <v>564</v>
      </c>
      <c r="X51" s="87" t="s">
        <v>170</v>
      </c>
      <c r="Y51" s="87" t="s">
        <v>225</v>
      </c>
      <c r="Z51" s="87" t="s">
        <v>411</v>
      </c>
      <c r="AA51" s="87" t="s">
        <v>203</v>
      </c>
      <c r="AB51" s="87">
        <v>522</v>
      </c>
      <c r="AC51" s="91">
        <v>40918</v>
      </c>
      <c r="AD51" s="87" t="s">
        <v>204</v>
      </c>
      <c r="AE51" s="87" t="s">
        <v>124</v>
      </c>
      <c r="AF51" s="90">
        <v>0.16719999999999999</v>
      </c>
      <c r="AG51" s="90">
        <v>0.15690000000000001</v>
      </c>
    </row>
    <row r="52" spans="1:33" x14ac:dyDescent="0.3">
      <c r="A52" s="86" t="str">
        <f t="shared" si="0"/>
        <v>[3.DL건설] 인천 검단신도시 AA29BL 공동주택 신축공사</v>
      </c>
      <c r="B52" s="87">
        <v>24029</v>
      </c>
      <c r="C52" s="88" t="s">
        <v>565</v>
      </c>
      <c r="D52" s="88" t="s">
        <v>565</v>
      </c>
      <c r="E52" s="87" t="s">
        <v>566</v>
      </c>
      <c r="F52" s="87" t="s">
        <v>395</v>
      </c>
      <c r="G52" s="88"/>
      <c r="H52" s="87"/>
      <c r="I52" s="88" t="s">
        <v>522</v>
      </c>
      <c r="J52" s="89">
        <v>3616269180</v>
      </c>
      <c r="K52" s="87" t="s">
        <v>567</v>
      </c>
      <c r="L52" s="87"/>
      <c r="M52" s="87"/>
      <c r="N52" s="87"/>
      <c r="O52" s="86" t="s">
        <v>568</v>
      </c>
      <c r="P52" s="87" t="s">
        <v>122</v>
      </c>
      <c r="Q52" s="87"/>
      <c r="R52" s="87">
        <v>8</v>
      </c>
      <c r="S52" s="87">
        <v>8</v>
      </c>
      <c r="T52" s="87" t="s">
        <v>122</v>
      </c>
      <c r="U52" s="87" t="s">
        <v>569</v>
      </c>
      <c r="V52" s="87" t="s">
        <v>570</v>
      </c>
      <c r="W52" s="87" t="s">
        <v>124</v>
      </c>
      <c r="X52" s="87" t="s">
        <v>170</v>
      </c>
      <c r="Y52" s="87" t="s">
        <v>571</v>
      </c>
      <c r="Z52" s="87" t="s">
        <v>572</v>
      </c>
      <c r="AA52" s="87" t="s">
        <v>215</v>
      </c>
      <c r="AB52" s="87">
        <v>732</v>
      </c>
      <c r="AC52" s="91">
        <v>39006</v>
      </c>
      <c r="AD52" s="87" t="s">
        <v>138</v>
      </c>
      <c r="AE52" s="87" t="s">
        <v>124</v>
      </c>
      <c r="AF52" s="90">
        <v>0.1246</v>
      </c>
      <c r="AG52" s="90">
        <v>0.1206</v>
      </c>
    </row>
    <row r="53" spans="1:33" x14ac:dyDescent="0.3">
      <c r="A53" s="86" t="str">
        <f t="shared" si="0"/>
        <v>[2.쌍용건설] 평택 가재지구 1블럭 공동주택 신축공사</v>
      </c>
      <c r="B53" s="87">
        <v>24030</v>
      </c>
      <c r="C53" s="88" t="s">
        <v>573</v>
      </c>
      <c r="D53" s="88" t="s">
        <v>573</v>
      </c>
      <c r="E53" s="87" t="s">
        <v>574</v>
      </c>
      <c r="F53" s="87" t="s">
        <v>117</v>
      </c>
      <c r="G53" s="88"/>
      <c r="H53" s="87"/>
      <c r="I53" s="88" t="s">
        <v>575</v>
      </c>
      <c r="J53" s="89">
        <v>2457499138</v>
      </c>
      <c r="K53" s="87" t="s">
        <v>576</v>
      </c>
      <c r="L53" s="87"/>
      <c r="M53" s="87"/>
      <c r="N53" s="87"/>
      <c r="O53" s="86" t="s">
        <v>577</v>
      </c>
      <c r="P53" s="87" t="s">
        <v>122</v>
      </c>
      <c r="Q53" s="87"/>
      <c r="R53" s="87">
        <v>8</v>
      </c>
      <c r="S53" s="87">
        <v>8</v>
      </c>
      <c r="T53" s="87" t="s">
        <v>122</v>
      </c>
      <c r="U53" s="87" t="s">
        <v>578</v>
      </c>
      <c r="V53" s="87" t="s">
        <v>579</v>
      </c>
      <c r="W53" s="87" t="s">
        <v>124</v>
      </c>
      <c r="X53" s="87" t="s">
        <v>159</v>
      </c>
      <c r="Y53" s="87" t="s">
        <v>160</v>
      </c>
      <c r="Z53" s="87" t="s">
        <v>214</v>
      </c>
      <c r="AA53" s="87" t="s">
        <v>383</v>
      </c>
      <c r="AB53" s="87">
        <v>672</v>
      </c>
      <c r="AC53" s="91">
        <v>37758</v>
      </c>
      <c r="AD53" s="87" t="s">
        <v>138</v>
      </c>
      <c r="AE53" s="87" t="s">
        <v>124</v>
      </c>
      <c r="AF53" s="90">
        <v>0.13139999999999999</v>
      </c>
      <c r="AG53" s="90">
        <v>0.14069999999999999</v>
      </c>
    </row>
    <row r="54" spans="1:33" x14ac:dyDescent="0.3">
      <c r="A54" s="86" t="str">
        <f t="shared" si="0"/>
        <v>[5.BYC] BYC완주 스마트 물류센터 신축공사</v>
      </c>
      <c r="B54" s="92">
        <v>24032</v>
      </c>
      <c r="C54" s="93" t="s">
        <v>580</v>
      </c>
      <c r="D54" s="93" t="s">
        <v>580</v>
      </c>
      <c r="E54" s="92" t="s">
        <v>581</v>
      </c>
      <c r="F54" s="92" t="s">
        <v>395</v>
      </c>
      <c r="G54" s="93"/>
      <c r="H54" s="92"/>
      <c r="I54" s="93" t="s">
        <v>582</v>
      </c>
      <c r="J54" s="94">
        <v>871312829</v>
      </c>
      <c r="K54" s="92" t="s">
        <v>583</v>
      </c>
      <c r="L54" s="92"/>
      <c r="M54" s="92"/>
      <c r="N54" s="92"/>
      <c r="O54" s="95" t="s">
        <v>584</v>
      </c>
      <c r="P54" s="92" t="s">
        <v>122</v>
      </c>
      <c r="Q54" s="92"/>
      <c r="R54" s="92">
        <v>8</v>
      </c>
      <c r="S54" s="92">
        <v>8</v>
      </c>
      <c r="T54" s="92" t="s">
        <v>122</v>
      </c>
      <c r="U54" s="92" t="s">
        <v>585</v>
      </c>
      <c r="V54" s="92" t="s">
        <v>586</v>
      </c>
      <c r="W54" s="92" t="s">
        <v>124</v>
      </c>
      <c r="X54" s="92" t="s">
        <v>170</v>
      </c>
      <c r="Y54" s="92" t="s">
        <v>179</v>
      </c>
      <c r="Z54" s="92" t="s">
        <v>124</v>
      </c>
      <c r="AA54" s="92" t="s">
        <v>124</v>
      </c>
      <c r="AB54" s="92" t="s">
        <v>124</v>
      </c>
      <c r="AC54" s="97">
        <v>10275</v>
      </c>
      <c r="AD54" s="92" t="s">
        <v>26</v>
      </c>
      <c r="AE54" s="92" t="s">
        <v>124</v>
      </c>
      <c r="AF54" s="96">
        <v>0.24340000000000001</v>
      </c>
      <c r="AG54" s="96">
        <v>0.2044</v>
      </c>
    </row>
    <row r="55" spans="1:33" x14ac:dyDescent="0.3">
      <c r="A55" s="86" t="str">
        <f t="shared" si="0"/>
        <v>[1.대우건설] 장위6구역 주택재개발 정비사업아파트 신축공사</v>
      </c>
      <c r="B55" s="87">
        <v>24033</v>
      </c>
      <c r="C55" s="88" t="s">
        <v>587</v>
      </c>
      <c r="D55" s="88" t="s">
        <v>587</v>
      </c>
      <c r="E55" s="87" t="s">
        <v>588</v>
      </c>
      <c r="F55" s="87" t="s">
        <v>395</v>
      </c>
      <c r="G55" s="88"/>
      <c r="H55" s="87"/>
      <c r="I55" s="88" t="s">
        <v>456</v>
      </c>
      <c r="J55" s="89">
        <v>2474741286</v>
      </c>
      <c r="K55" s="87" t="s">
        <v>168</v>
      </c>
      <c r="L55" s="87"/>
      <c r="M55" s="87"/>
      <c r="N55" s="87"/>
      <c r="O55" s="86" t="s">
        <v>589</v>
      </c>
      <c r="P55" s="87" t="s">
        <v>122</v>
      </c>
      <c r="Q55" s="87"/>
      <c r="R55" s="87">
        <v>8</v>
      </c>
      <c r="S55" s="87">
        <v>8</v>
      </c>
      <c r="T55" s="87" t="s">
        <v>122</v>
      </c>
      <c r="U55" s="87" t="s">
        <v>590</v>
      </c>
      <c r="V55" s="87" t="s">
        <v>591</v>
      </c>
      <c r="W55" s="87" t="s">
        <v>124</v>
      </c>
      <c r="X55" s="87" t="s">
        <v>147</v>
      </c>
      <c r="Y55" s="87" t="s">
        <v>213</v>
      </c>
      <c r="Z55" s="87" t="s">
        <v>149</v>
      </c>
      <c r="AA55" s="87" t="s">
        <v>592</v>
      </c>
      <c r="AB55" s="87">
        <v>739</v>
      </c>
      <c r="AC55" s="91">
        <v>41788</v>
      </c>
      <c r="AD55" s="87" t="s">
        <v>138</v>
      </c>
      <c r="AE55" s="87" t="s">
        <v>124</v>
      </c>
      <c r="AF55" s="90">
        <v>0.1113</v>
      </c>
      <c r="AG55" s="90">
        <v>0.1288</v>
      </c>
    </row>
    <row r="56" spans="1:33" x14ac:dyDescent="0.3">
      <c r="A56" s="86" t="str">
        <f t="shared" si="0"/>
        <v>[1.중흥건설] 인천 검단지구 공동주택용지 AB20-2BL 중흥S-클래스 공동주택 신축공사</v>
      </c>
      <c r="B56" s="87">
        <v>24036</v>
      </c>
      <c r="C56" s="88" t="s">
        <v>593</v>
      </c>
      <c r="D56" s="88" t="s">
        <v>593</v>
      </c>
      <c r="E56" s="87" t="s">
        <v>594</v>
      </c>
      <c r="F56" s="87" t="s">
        <v>395</v>
      </c>
      <c r="G56" s="88"/>
      <c r="H56" s="87"/>
      <c r="I56" s="88" t="s">
        <v>595</v>
      </c>
      <c r="J56" s="89">
        <v>3007256812</v>
      </c>
      <c r="K56" s="87"/>
      <c r="L56" s="87"/>
      <c r="M56" s="87"/>
      <c r="N56" s="87"/>
      <c r="O56" s="86" t="s">
        <v>596</v>
      </c>
      <c r="P56" s="87" t="s">
        <v>122</v>
      </c>
      <c r="Q56" s="87"/>
      <c r="R56" s="87">
        <v>8</v>
      </c>
      <c r="S56" s="87">
        <v>8</v>
      </c>
      <c r="T56" s="87" t="s">
        <v>122</v>
      </c>
      <c r="U56" s="87" t="s">
        <v>597</v>
      </c>
      <c r="V56" s="87" t="s">
        <v>598</v>
      </c>
      <c r="W56" s="87" t="s">
        <v>124</v>
      </c>
      <c r="X56" s="87" t="s">
        <v>134</v>
      </c>
      <c r="Y56" s="87" t="s">
        <v>344</v>
      </c>
      <c r="Z56" s="87" t="s">
        <v>149</v>
      </c>
      <c r="AA56" s="87" t="s">
        <v>383</v>
      </c>
      <c r="AB56" s="87">
        <v>764</v>
      </c>
      <c r="AC56" s="91">
        <v>78623</v>
      </c>
      <c r="AD56" s="87" t="s">
        <v>138</v>
      </c>
      <c r="AE56" s="87" t="s">
        <v>124</v>
      </c>
      <c r="AF56" s="90">
        <v>0.1071</v>
      </c>
      <c r="AG56" s="90">
        <v>0.1103</v>
      </c>
    </row>
    <row r="57" spans="1:33" x14ac:dyDescent="0.3">
      <c r="A57" s="86" t="str">
        <f t="shared" si="0"/>
        <v>[3.쿠팡] 천안 6FC Ph-1 전기공사</v>
      </c>
      <c r="B57" s="87">
        <v>24040</v>
      </c>
      <c r="C57" s="88" t="s">
        <v>599</v>
      </c>
      <c r="D57" s="88" t="s">
        <v>599</v>
      </c>
      <c r="E57" s="87" t="s">
        <v>600</v>
      </c>
      <c r="F57" s="87" t="s">
        <v>395</v>
      </c>
      <c r="G57" s="88"/>
      <c r="H57" s="87"/>
      <c r="I57" s="88" t="s">
        <v>465</v>
      </c>
      <c r="J57" s="89">
        <v>0</v>
      </c>
      <c r="K57" s="87" t="s">
        <v>601</v>
      </c>
      <c r="L57" s="87"/>
      <c r="M57" s="87"/>
      <c r="N57" s="87"/>
      <c r="O57" s="86" t="s">
        <v>602</v>
      </c>
      <c r="P57" s="87" t="s">
        <v>122</v>
      </c>
      <c r="Q57" s="87"/>
      <c r="R57" s="87">
        <v>8</v>
      </c>
      <c r="S57" s="87">
        <v>8</v>
      </c>
      <c r="T57" s="87" t="s">
        <v>122</v>
      </c>
      <c r="U57" s="87" t="s">
        <v>603</v>
      </c>
      <c r="V57" s="87" t="s">
        <v>604</v>
      </c>
      <c r="W57" s="87" t="s">
        <v>605</v>
      </c>
      <c r="X57" s="87" t="s">
        <v>470</v>
      </c>
      <c r="Y57" s="87" t="s">
        <v>124</v>
      </c>
      <c r="Z57" s="87" t="s">
        <v>124</v>
      </c>
      <c r="AA57" s="87" t="s">
        <v>124</v>
      </c>
      <c r="AB57" s="87" t="s">
        <v>124</v>
      </c>
      <c r="AC57" s="87" t="s">
        <v>124</v>
      </c>
      <c r="AD57" s="87" t="s">
        <v>124</v>
      </c>
      <c r="AE57" s="87" t="s">
        <v>124</v>
      </c>
      <c r="AF57" s="90" t="s">
        <v>124</v>
      </c>
      <c r="AG57" s="90" t="s">
        <v>124</v>
      </c>
    </row>
    <row r="58" spans="1:33" x14ac:dyDescent="0.3">
      <c r="A58" s="86" t="str">
        <f t="shared" si="0"/>
        <v>[3.쿠팡] 울산 DIP 전기공사</v>
      </c>
      <c r="B58" s="92">
        <v>24042</v>
      </c>
      <c r="C58" s="93" t="s">
        <v>606</v>
      </c>
      <c r="D58" s="93" t="s">
        <v>606</v>
      </c>
      <c r="E58" s="92" t="s">
        <v>607</v>
      </c>
      <c r="F58" s="92" t="s">
        <v>395</v>
      </c>
      <c r="G58" s="93" t="s">
        <v>465</v>
      </c>
      <c r="H58" s="92"/>
      <c r="I58" s="93" t="s">
        <v>465</v>
      </c>
      <c r="J58" s="94">
        <v>301690600</v>
      </c>
      <c r="K58" s="92" t="s">
        <v>608</v>
      </c>
      <c r="L58" s="92"/>
      <c r="M58" s="92"/>
      <c r="N58" s="92"/>
      <c r="O58" s="95" t="s">
        <v>609</v>
      </c>
      <c r="P58" s="92" t="s">
        <v>122</v>
      </c>
      <c r="Q58" s="92"/>
      <c r="R58" s="92">
        <v>8</v>
      </c>
      <c r="S58" s="92">
        <v>8</v>
      </c>
      <c r="T58" s="92" t="s">
        <v>122</v>
      </c>
      <c r="U58" s="92" t="s">
        <v>610</v>
      </c>
      <c r="V58" s="92" t="s">
        <v>611</v>
      </c>
      <c r="W58" s="92" t="s">
        <v>124</v>
      </c>
      <c r="X58" s="92" t="s">
        <v>124</v>
      </c>
      <c r="Y58" s="92" t="s">
        <v>124</v>
      </c>
      <c r="Z58" s="92" t="s">
        <v>124</v>
      </c>
      <c r="AA58" s="92" t="s">
        <v>124</v>
      </c>
      <c r="AB58" s="92" t="s">
        <v>124</v>
      </c>
      <c r="AC58" s="92" t="s">
        <v>124</v>
      </c>
      <c r="AD58" s="92" t="s">
        <v>124</v>
      </c>
      <c r="AE58" s="92" t="s">
        <v>124</v>
      </c>
      <c r="AF58" s="96" t="s">
        <v>124</v>
      </c>
      <c r="AG58" s="96" t="s">
        <v>124</v>
      </c>
    </row>
    <row r="59" spans="1:33" x14ac:dyDescent="0.3">
      <c r="A59" s="86" t="str">
        <f t="shared" si="0"/>
        <v>[4.롯데건설] 인천 효성지구 도시개발사업 공동주택 3BL</v>
      </c>
      <c r="B59" s="87">
        <v>24044</v>
      </c>
      <c r="C59" s="88" t="s">
        <v>612</v>
      </c>
      <c r="D59" s="88" t="s">
        <v>612</v>
      </c>
      <c r="E59" s="87" t="s">
        <v>613</v>
      </c>
      <c r="F59" s="87" t="s">
        <v>395</v>
      </c>
      <c r="G59" s="88"/>
      <c r="H59" s="87"/>
      <c r="I59" s="88" t="s">
        <v>497</v>
      </c>
      <c r="J59" s="89">
        <v>4906444487</v>
      </c>
      <c r="K59" s="87" t="s">
        <v>145</v>
      </c>
      <c r="L59" s="87"/>
      <c r="M59" s="87"/>
      <c r="N59" s="87"/>
      <c r="O59" s="86" t="s">
        <v>614</v>
      </c>
      <c r="P59" s="87" t="s">
        <v>122</v>
      </c>
      <c r="Q59" s="87"/>
      <c r="R59" s="87">
        <v>8</v>
      </c>
      <c r="S59" s="87">
        <v>8</v>
      </c>
      <c r="T59" s="87" t="s">
        <v>122</v>
      </c>
      <c r="U59" s="87" t="s">
        <v>615</v>
      </c>
      <c r="V59" s="87" t="s">
        <v>616</v>
      </c>
      <c r="W59" s="87" t="s">
        <v>617</v>
      </c>
      <c r="X59" s="87" t="s">
        <v>134</v>
      </c>
      <c r="Y59" s="87" t="s">
        <v>236</v>
      </c>
      <c r="Z59" s="87" t="s">
        <v>214</v>
      </c>
      <c r="AA59" s="87" t="s">
        <v>618</v>
      </c>
      <c r="AB59" s="87">
        <v>1235</v>
      </c>
      <c r="AC59" s="91">
        <v>70564</v>
      </c>
      <c r="AD59" s="87" t="s">
        <v>138</v>
      </c>
      <c r="AE59" s="87" t="s">
        <v>124</v>
      </c>
      <c r="AF59" s="90">
        <v>0.108</v>
      </c>
      <c r="AG59" s="90">
        <v>0.1229</v>
      </c>
    </row>
    <row r="60" spans="1:33" x14ac:dyDescent="0.3">
      <c r="A60" s="86" t="str">
        <f t="shared" si="0"/>
        <v>[5.한국교직원공제회] The-K 제주호텔 리모델링 공사</v>
      </c>
      <c r="B60" s="87">
        <v>24045</v>
      </c>
      <c r="C60" s="88" t="s">
        <v>619</v>
      </c>
      <c r="D60" s="88" t="s">
        <v>619</v>
      </c>
      <c r="E60" s="87" t="s">
        <v>620</v>
      </c>
      <c r="F60" s="87" t="s">
        <v>395</v>
      </c>
      <c r="G60" s="88" t="s">
        <v>621</v>
      </c>
      <c r="H60" s="87"/>
      <c r="I60" s="88" t="s">
        <v>621</v>
      </c>
      <c r="J60" s="89">
        <v>2793196508</v>
      </c>
      <c r="K60" s="87"/>
      <c r="L60" s="87"/>
      <c r="M60" s="87"/>
      <c r="N60" s="87"/>
      <c r="O60" s="86" t="s">
        <v>622</v>
      </c>
      <c r="P60" s="87" t="s">
        <v>122</v>
      </c>
      <c r="Q60" s="87"/>
      <c r="R60" s="87">
        <v>8</v>
      </c>
      <c r="S60" s="87">
        <v>8</v>
      </c>
      <c r="T60" s="87" t="s">
        <v>122</v>
      </c>
      <c r="U60" s="87" t="s">
        <v>623</v>
      </c>
      <c r="V60" s="87" t="s">
        <v>624</v>
      </c>
      <c r="W60" s="87" t="s">
        <v>625</v>
      </c>
      <c r="X60" s="87" t="s">
        <v>159</v>
      </c>
      <c r="Y60" s="87" t="s">
        <v>179</v>
      </c>
      <c r="Z60" s="87" t="s">
        <v>345</v>
      </c>
      <c r="AA60" s="87" t="s">
        <v>535</v>
      </c>
      <c r="AB60" s="87" t="s">
        <v>626</v>
      </c>
      <c r="AC60" s="91">
        <v>19423</v>
      </c>
      <c r="AD60" s="87" t="s">
        <v>627</v>
      </c>
      <c r="AE60" s="87" t="s">
        <v>124</v>
      </c>
      <c r="AF60" s="90">
        <v>0.43049999999999999</v>
      </c>
      <c r="AG60" s="90">
        <v>0.38</v>
      </c>
    </row>
    <row r="61" spans="1:33" x14ac:dyDescent="0.3">
      <c r="A61" s="86" t="str">
        <f t="shared" si="0"/>
        <v>[2.서희건설] 평택화양센트럴 지역주택조합 아파트 신축공사</v>
      </c>
      <c r="B61" s="87">
        <v>24046</v>
      </c>
      <c r="C61" s="88" t="s">
        <v>628</v>
      </c>
      <c r="D61" s="88" t="s">
        <v>628</v>
      </c>
      <c r="E61" s="87" t="s">
        <v>629</v>
      </c>
      <c r="F61" s="87" t="s">
        <v>395</v>
      </c>
      <c r="G61" s="88"/>
      <c r="H61" s="87"/>
      <c r="I61" s="88" t="s">
        <v>630</v>
      </c>
      <c r="J61" s="89">
        <v>2802614474</v>
      </c>
      <c r="K61" s="87" t="s">
        <v>631</v>
      </c>
      <c r="L61" s="87"/>
      <c r="M61" s="87"/>
      <c r="N61" s="87"/>
      <c r="O61" s="86" t="s">
        <v>632</v>
      </c>
      <c r="P61" s="87" t="s">
        <v>122</v>
      </c>
      <c r="Q61" s="87"/>
      <c r="R61" s="87">
        <v>8</v>
      </c>
      <c r="S61" s="87">
        <v>8</v>
      </c>
      <c r="T61" s="87" t="s">
        <v>122</v>
      </c>
      <c r="U61" s="87" t="s">
        <v>633</v>
      </c>
      <c r="V61" s="87" t="s">
        <v>634</v>
      </c>
      <c r="W61" s="87" t="s">
        <v>124</v>
      </c>
      <c r="X61" s="87" t="s">
        <v>170</v>
      </c>
      <c r="Y61" s="87" t="s">
        <v>213</v>
      </c>
      <c r="Z61" s="87" t="s">
        <v>214</v>
      </c>
      <c r="AA61" s="87" t="s">
        <v>383</v>
      </c>
      <c r="AB61" s="87">
        <v>815</v>
      </c>
      <c r="AC61" s="91">
        <v>36431</v>
      </c>
      <c r="AD61" s="87" t="s">
        <v>138</v>
      </c>
      <c r="AE61" s="87" t="s">
        <v>124</v>
      </c>
      <c r="AF61" s="90">
        <v>0.11020000000000001</v>
      </c>
      <c r="AG61" s="90">
        <v>0.11260000000000001</v>
      </c>
    </row>
    <row r="62" spans="1:33" x14ac:dyDescent="0.3">
      <c r="A62" s="86" t="str">
        <f t="shared" si="0"/>
        <v>[2.금호건설] 고양장항 B-3BL 공공주택 신축공사</v>
      </c>
      <c r="B62" s="92">
        <v>24048</v>
      </c>
      <c r="C62" s="93" t="s">
        <v>635</v>
      </c>
      <c r="D62" s="93" t="s">
        <v>635</v>
      </c>
      <c r="E62" s="92" t="s">
        <v>636</v>
      </c>
      <c r="F62" s="92" t="s">
        <v>117</v>
      </c>
      <c r="G62" s="93" t="s">
        <v>529</v>
      </c>
      <c r="H62" s="92"/>
      <c r="I62" s="93" t="s">
        <v>529</v>
      </c>
      <c r="J62" s="94">
        <f>2508842344+15422196</f>
        <v>2524264540</v>
      </c>
      <c r="K62" s="92" t="s">
        <v>186</v>
      </c>
      <c r="L62" s="92"/>
      <c r="M62" s="92"/>
      <c r="N62" s="92"/>
      <c r="O62" s="95" t="s">
        <v>637</v>
      </c>
      <c r="P62" s="92" t="s">
        <v>122</v>
      </c>
      <c r="Q62" s="92"/>
      <c r="R62" s="92">
        <v>8</v>
      </c>
      <c r="S62" s="92">
        <v>8</v>
      </c>
      <c r="T62" s="92" t="s">
        <v>122</v>
      </c>
      <c r="U62" s="92" t="s">
        <v>188</v>
      </c>
      <c r="V62" s="92" t="s">
        <v>189</v>
      </c>
      <c r="W62" s="92" t="s">
        <v>124</v>
      </c>
      <c r="X62" s="92" t="s">
        <v>8</v>
      </c>
      <c r="Y62" s="92" t="s">
        <v>638</v>
      </c>
      <c r="Z62" s="92" t="s">
        <v>572</v>
      </c>
      <c r="AA62" s="92" t="s">
        <v>639</v>
      </c>
      <c r="AB62" s="92">
        <v>760</v>
      </c>
      <c r="AC62" s="92">
        <v>37162</v>
      </c>
      <c r="AD62" s="92" t="s">
        <v>640</v>
      </c>
      <c r="AE62" s="92" t="s">
        <v>124</v>
      </c>
      <c r="AF62" s="96">
        <v>0.1196</v>
      </c>
      <c r="AG62" s="96">
        <v>0.1178</v>
      </c>
    </row>
    <row r="63" spans="1:33" x14ac:dyDescent="0.3">
      <c r="A63" s="86" t="str">
        <f t="shared" si="0"/>
        <v>[4.롯데CM] 롯데백화점 전주점 리뉴얼 공사</v>
      </c>
      <c r="B63" s="87">
        <v>24050</v>
      </c>
      <c r="C63" s="88" t="s">
        <v>641</v>
      </c>
      <c r="D63" s="88" t="s">
        <v>641</v>
      </c>
      <c r="E63" s="87" t="s">
        <v>642</v>
      </c>
      <c r="F63" s="87" t="s">
        <v>395</v>
      </c>
      <c r="G63" s="88" t="s">
        <v>643</v>
      </c>
      <c r="H63" s="87"/>
      <c r="I63" s="88" t="s">
        <v>643</v>
      </c>
      <c r="J63" s="89">
        <v>711119412</v>
      </c>
      <c r="K63" s="87"/>
      <c r="L63" s="87"/>
      <c r="M63" s="87"/>
      <c r="N63" s="87"/>
      <c r="O63" s="86" t="s">
        <v>644</v>
      </c>
      <c r="P63" s="87" t="s">
        <v>122</v>
      </c>
      <c r="Q63" s="87"/>
      <c r="R63" s="87">
        <v>8</v>
      </c>
      <c r="S63" s="87">
        <v>8</v>
      </c>
      <c r="T63" s="87" t="s">
        <v>122</v>
      </c>
      <c r="U63" s="87" t="s">
        <v>645</v>
      </c>
      <c r="V63" s="87" t="s">
        <v>124</v>
      </c>
      <c r="W63" s="87" t="s">
        <v>124</v>
      </c>
      <c r="X63" s="87" t="s">
        <v>124</v>
      </c>
      <c r="Y63" s="87" t="s">
        <v>124</v>
      </c>
      <c r="Z63" s="87" t="s">
        <v>124</v>
      </c>
      <c r="AA63" s="87" t="s">
        <v>124</v>
      </c>
      <c r="AB63" s="87" t="s">
        <v>124</v>
      </c>
      <c r="AC63" s="87" t="s">
        <v>124</v>
      </c>
      <c r="AD63" s="87" t="s">
        <v>124</v>
      </c>
      <c r="AE63" s="87" t="s">
        <v>124</v>
      </c>
      <c r="AF63" s="90">
        <v>0.28599999999999998</v>
      </c>
      <c r="AG63" s="90" t="s">
        <v>124</v>
      </c>
    </row>
    <row r="64" spans="1:33" x14ac:dyDescent="0.3">
      <c r="A64" s="86" t="str">
        <f t="shared" si="0"/>
        <v>[2.신세계건설] 스타필드 청라 신축공사 전기공사</v>
      </c>
      <c r="B64" s="92">
        <v>25001</v>
      </c>
      <c r="C64" s="93" t="s">
        <v>646</v>
      </c>
      <c r="D64" s="93" t="s">
        <v>646</v>
      </c>
      <c r="E64" s="92" t="s">
        <v>647</v>
      </c>
      <c r="F64" s="92" t="s">
        <v>117</v>
      </c>
      <c r="G64" s="93" t="s">
        <v>648</v>
      </c>
      <c r="H64" s="92"/>
      <c r="I64" s="93" t="s">
        <v>438</v>
      </c>
      <c r="J64" s="94">
        <v>5104709884</v>
      </c>
      <c r="K64" s="92" t="s">
        <v>649</v>
      </c>
      <c r="L64" s="92"/>
      <c r="M64" s="92"/>
      <c r="N64" s="92"/>
      <c r="O64" s="95" t="s">
        <v>650</v>
      </c>
      <c r="P64" s="92" t="s">
        <v>122</v>
      </c>
      <c r="Q64" s="92"/>
      <c r="R64" s="92">
        <v>8</v>
      </c>
      <c r="S64" s="92">
        <v>8</v>
      </c>
      <c r="T64" s="92" t="s">
        <v>122</v>
      </c>
      <c r="U64" s="92" t="s">
        <v>651</v>
      </c>
      <c r="V64" s="92" t="s">
        <v>652</v>
      </c>
      <c r="W64" s="92" t="s">
        <v>653</v>
      </c>
      <c r="X64" s="92" t="s">
        <v>159</v>
      </c>
      <c r="Y64" s="92" t="s">
        <v>124</v>
      </c>
      <c r="Z64" s="92" t="s">
        <v>124</v>
      </c>
      <c r="AA64" s="92" t="s">
        <v>124</v>
      </c>
      <c r="AB64" s="92" t="s">
        <v>124</v>
      </c>
      <c r="AC64" s="92">
        <v>155180</v>
      </c>
      <c r="AD64" s="92" t="s">
        <v>654</v>
      </c>
      <c r="AE64" s="92" t="s">
        <v>124</v>
      </c>
      <c r="AF64" s="96">
        <v>0.31269999999999998</v>
      </c>
      <c r="AG64" s="96">
        <v>0.32529999999999998</v>
      </c>
    </row>
    <row r="65" spans="1:33" x14ac:dyDescent="0.3">
      <c r="A65" s="86" t="str">
        <f t="shared" si="0"/>
        <v>[2.신세계건설] 스타필드 청라 소방전기공사 2공구</v>
      </c>
      <c r="B65" s="87">
        <v>25002</v>
      </c>
      <c r="C65" s="88" t="s">
        <v>655</v>
      </c>
      <c r="D65" s="88" t="s">
        <v>655</v>
      </c>
      <c r="E65" s="87" t="s">
        <v>647</v>
      </c>
      <c r="F65" s="87" t="s">
        <v>117</v>
      </c>
      <c r="G65" s="88" t="s">
        <v>648</v>
      </c>
      <c r="H65" s="87"/>
      <c r="I65" s="88" t="s">
        <v>438</v>
      </c>
      <c r="J65" s="89">
        <v>4452199141</v>
      </c>
      <c r="K65" s="87"/>
      <c r="L65" s="87"/>
      <c r="M65" s="87"/>
      <c r="N65" s="87"/>
      <c r="O65" s="86"/>
      <c r="P65" s="87" t="s">
        <v>122</v>
      </c>
      <c r="Q65" s="87"/>
      <c r="R65" s="87">
        <v>8</v>
      </c>
      <c r="S65" s="87">
        <v>8</v>
      </c>
      <c r="T65" s="87" t="s">
        <v>122</v>
      </c>
      <c r="U65" s="87" t="s">
        <v>656</v>
      </c>
      <c r="V65" s="87" t="s">
        <v>657</v>
      </c>
      <c r="W65" s="87" t="s">
        <v>124</v>
      </c>
      <c r="X65" s="87" t="s">
        <v>10</v>
      </c>
      <c r="Y65" s="87" t="s">
        <v>124</v>
      </c>
      <c r="Z65" s="87" t="s">
        <v>124</v>
      </c>
      <c r="AA65" s="87" t="s">
        <v>124</v>
      </c>
      <c r="AB65" s="87" t="s">
        <v>124</v>
      </c>
      <c r="AC65" s="92">
        <v>155180</v>
      </c>
      <c r="AD65" s="92" t="s">
        <v>654</v>
      </c>
      <c r="AE65" s="87" t="s">
        <v>124</v>
      </c>
      <c r="AF65" s="90">
        <v>0.32950000000000002</v>
      </c>
      <c r="AG65" s="90">
        <v>0.33339999999999997</v>
      </c>
    </row>
    <row r="66" spans="1:33" x14ac:dyDescent="0.3">
      <c r="A66" s="86" t="str">
        <f t="shared" si="0"/>
        <v>[AS현장-본사] AS현장 및 본사 - 2025</v>
      </c>
      <c r="B66" s="92">
        <v>25003</v>
      </c>
      <c r="C66" s="93" t="s">
        <v>658</v>
      </c>
      <c r="D66" s="93" t="s">
        <v>658</v>
      </c>
      <c r="E66" s="92"/>
      <c r="F66" s="92" t="s">
        <v>395</v>
      </c>
      <c r="G66" s="93"/>
      <c r="H66" s="92"/>
      <c r="I66" s="93"/>
      <c r="J66" s="94">
        <v>0</v>
      </c>
      <c r="K66" s="92"/>
      <c r="L66" s="92"/>
      <c r="M66" s="92"/>
      <c r="N66" s="92"/>
      <c r="O66" s="95"/>
      <c r="P66" s="92" t="s">
        <v>122</v>
      </c>
      <c r="Q66" s="92"/>
      <c r="R66" s="92">
        <v>8</v>
      </c>
      <c r="S66" s="92">
        <v>8</v>
      </c>
      <c r="T66" s="92" t="s">
        <v>122</v>
      </c>
      <c r="U66" s="92" t="s">
        <v>659</v>
      </c>
      <c r="V66" s="92" t="s">
        <v>660</v>
      </c>
      <c r="W66" s="92" t="s">
        <v>124</v>
      </c>
      <c r="X66" s="92" t="s">
        <v>124</v>
      </c>
      <c r="Y66" s="92" t="s">
        <v>124</v>
      </c>
      <c r="Z66" s="92" t="s">
        <v>124</v>
      </c>
      <c r="AA66" s="92" t="s">
        <v>124</v>
      </c>
      <c r="AB66" s="92" t="s">
        <v>124</v>
      </c>
      <c r="AC66" s="92" t="s">
        <v>124</v>
      </c>
      <c r="AD66" s="92" t="s">
        <v>124</v>
      </c>
      <c r="AE66" s="92" t="s">
        <v>124</v>
      </c>
      <c r="AF66" s="96" t="s">
        <v>124</v>
      </c>
      <c r="AG66" s="96" t="s">
        <v>124</v>
      </c>
    </row>
    <row r="67" spans="1:33" x14ac:dyDescent="0.3">
      <c r="A67" s="86" t="str">
        <f t="shared" si="0"/>
        <v>[4.롯데CM] 롯데몰 송도2단계 중 연결통로 전기통신공사</v>
      </c>
      <c r="B67" s="92">
        <v>25004</v>
      </c>
      <c r="C67" s="93" t="s">
        <v>661</v>
      </c>
      <c r="D67" s="93" t="s">
        <v>661</v>
      </c>
      <c r="E67" s="92" t="s">
        <v>662</v>
      </c>
      <c r="F67" s="92" t="s">
        <v>395</v>
      </c>
      <c r="G67" s="93" t="s">
        <v>643</v>
      </c>
      <c r="H67" s="92"/>
      <c r="I67" s="93" t="s">
        <v>643</v>
      </c>
      <c r="J67" s="94">
        <v>128967551</v>
      </c>
      <c r="K67" s="92"/>
      <c r="L67" s="92"/>
      <c r="M67" s="92"/>
      <c r="N67" s="92"/>
      <c r="O67" s="95" t="s">
        <v>663</v>
      </c>
      <c r="P67" s="92" t="s">
        <v>122</v>
      </c>
      <c r="Q67" s="92"/>
      <c r="R67" s="92">
        <v>8</v>
      </c>
      <c r="S67" s="92">
        <v>8</v>
      </c>
      <c r="T67" s="92" t="s">
        <v>122</v>
      </c>
      <c r="U67" s="92" t="s">
        <v>664</v>
      </c>
      <c r="V67" s="92" t="s">
        <v>665</v>
      </c>
      <c r="W67" s="92" t="s">
        <v>124</v>
      </c>
      <c r="X67" s="92" t="s">
        <v>124</v>
      </c>
      <c r="Y67" s="92" t="s">
        <v>124</v>
      </c>
      <c r="Z67" s="92" t="s">
        <v>124</v>
      </c>
      <c r="AA67" s="92" t="s">
        <v>124</v>
      </c>
      <c r="AB67" s="92" t="s">
        <v>124</v>
      </c>
      <c r="AC67" s="92" t="s">
        <v>124</v>
      </c>
      <c r="AD67" s="92" t="s">
        <v>124</v>
      </c>
      <c r="AE67" s="92" t="s">
        <v>124</v>
      </c>
      <c r="AF67" s="96" t="s">
        <v>124</v>
      </c>
      <c r="AG67" s="96" t="s">
        <v>124</v>
      </c>
    </row>
    <row r="68" spans="1:33" x14ac:dyDescent="0.3">
      <c r="A68" s="86" t="str">
        <f t="shared" ref="A68:A131" si="1">C68</f>
        <v>[AS현장-천안지점] AS현장 및 천안지점 - 2025</v>
      </c>
      <c r="B68" s="87">
        <v>25005</v>
      </c>
      <c r="C68" s="88" t="s">
        <v>666</v>
      </c>
      <c r="D68" s="88" t="s">
        <v>666</v>
      </c>
      <c r="E68" s="87"/>
      <c r="F68" s="87" t="s">
        <v>395</v>
      </c>
      <c r="G68" s="88"/>
      <c r="H68" s="87"/>
      <c r="I68" s="88"/>
      <c r="J68" s="89">
        <v>0</v>
      </c>
      <c r="K68" s="87"/>
      <c r="L68" s="87"/>
      <c r="M68" s="87"/>
      <c r="N68" s="87"/>
      <c r="O68" s="86"/>
      <c r="P68" s="87" t="s">
        <v>122</v>
      </c>
      <c r="Q68" s="87"/>
      <c r="R68" s="87">
        <v>8</v>
      </c>
      <c r="S68" s="87">
        <v>8</v>
      </c>
      <c r="T68" s="87" t="s">
        <v>122</v>
      </c>
      <c r="U68" s="87" t="s">
        <v>667</v>
      </c>
      <c r="V68" s="87" t="s">
        <v>124</v>
      </c>
      <c r="W68" s="87" t="s">
        <v>124</v>
      </c>
      <c r="X68" s="87" t="s">
        <v>124</v>
      </c>
      <c r="Y68" s="87" t="s">
        <v>124</v>
      </c>
      <c r="Z68" s="87" t="s">
        <v>124</v>
      </c>
      <c r="AA68" s="87" t="s">
        <v>124</v>
      </c>
      <c r="AB68" s="87" t="s">
        <v>124</v>
      </c>
      <c r="AC68" s="87" t="s">
        <v>124</v>
      </c>
      <c r="AD68" s="87" t="s">
        <v>124</v>
      </c>
      <c r="AE68" s="87" t="s">
        <v>124</v>
      </c>
      <c r="AF68" s="90" t="s">
        <v>124</v>
      </c>
      <c r="AG68" s="90" t="s">
        <v>124</v>
      </c>
    </row>
    <row r="69" spans="1:33" x14ac:dyDescent="0.3">
      <c r="A69" s="86" t="str">
        <f t="shared" si="1"/>
        <v>[2.쌍용건설] 양주 삼숭 지역주택조합 일반전기공사</v>
      </c>
      <c r="B69" s="87">
        <v>25006</v>
      </c>
      <c r="C69" s="88" t="s">
        <v>668</v>
      </c>
      <c r="D69" s="88" t="s">
        <v>668</v>
      </c>
      <c r="E69" s="87" t="s">
        <v>669</v>
      </c>
      <c r="F69" s="87" t="s">
        <v>117</v>
      </c>
      <c r="G69" s="88" t="s">
        <v>670</v>
      </c>
      <c r="H69" s="87" t="s">
        <v>671</v>
      </c>
      <c r="I69" s="88" t="s">
        <v>575</v>
      </c>
      <c r="J69" s="89">
        <v>2184484110</v>
      </c>
      <c r="K69" s="87" t="s">
        <v>672</v>
      </c>
      <c r="L69" s="87"/>
      <c r="M69" s="87"/>
      <c r="N69" s="87"/>
      <c r="O69" s="86" t="s">
        <v>673</v>
      </c>
      <c r="P69" s="87" t="s">
        <v>122</v>
      </c>
      <c r="Q69" s="87"/>
      <c r="R69" s="87">
        <v>8</v>
      </c>
      <c r="S69" s="87">
        <v>8</v>
      </c>
      <c r="T69" s="87" t="s">
        <v>122</v>
      </c>
      <c r="U69" s="87" t="s">
        <v>674</v>
      </c>
      <c r="V69" s="87" t="s">
        <v>675</v>
      </c>
      <c r="W69" s="87" t="s">
        <v>124</v>
      </c>
      <c r="X69" s="87" t="s">
        <v>159</v>
      </c>
      <c r="Y69" s="87" t="s">
        <v>213</v>
      </c>
      <c r="Z69" s="87" t="s">
        <v>136</v>
      </c>
      <c r="AA69" s="87" t="s">
        <v>215</v>
      </c>
      <c r="AB69" s="87">
        <v>600</v>
      </c>
      <c r="AC69" s="91">
        <v>28014</v>
      </c>
      <c r="AD69" s="87" t="s">
        <v>138</v>
      </c>
      <c r="AE69" s="87" t="s">
        <v>124</v>
      </c>
      <c r="AF69" s="90">
        <v>0.14760000000000001</v>
      </c>
      <c r="AG69" s="90">
        <v>0.14530000000000001</v>
      </c>
    </row>
    <row r="70" spans="1:33" x14ac:dyDescent="0.3">
      <c r="A70" s="86" t="str">
        <f t="shared" si="1"/>
        <v>[3.쿠팡] 대구 3FC Autostore 전기공사</v>
      </c>
      <c r="B70" s="87">
        <v>25007</v>
      </c>
      <c r="C70" s="88" t="s">
        <v>676</v>
      </c>
      <c r="D70" s="88" t="s">
        <v>676</v>
      </c>
      <c r="E70" s="87" t="s">
        <v>677</v>
      </c>
      <c r="F70" s="87" t="s">
        <v>395</v>
      </c>
      <c r="G70" s="88" t="s">
        <v>465</v>
      </c>
      <c r="H70" s="87"/>
      <c r="I70" s="88" t="s">
        <v>465</v>
      </c>
      <c r="J70" s="89">
        <v>333212081</v>
      </c>
      <c r="K70" s="87" t="s">
        <v>678</v>
      </c>
      <c r="L70" s="87"/>
      <c r="M70" s="87"/>
      <c r="N70" s="87"/>
      <c r="O70" s="86" t="s">
        <v>679</v>
      </c>
      <c r="P70" s="87" t="s">
        <v>122</v>
      </c>
      <c r="Q70" s="87"/>
      <c r="R70" s="87">
        <v>8</v>
      </c>
      <c r="S70" s="87">
        <v>8</v>
      </c>
      <c r="T70" s="87" t="s">
        <v>122</v>
      </c>
      <c r="U70" s="87" t="s">
        <v>508</v>
      </c>
      <c r="V70" s="87" t="s">
        <v>124</v>
      </c>
      <c r="W70" s="87" t="s">
        <v>124</v>
      </c>
      <c r="X70" s="87" t="s">
        <v>470</v>
      </c>
      <c r="Y70" s="87" t="s">
        <v>124</v>
      </c>
      <c r="Z70" s="87" t="s">
        <v>124</v>
      </c>
      <c r="AA70" s="87" t="s">
        <v>124</v>
      </c>
      <c r="AB70" s="87" t="s">
        <v>124</v>
      </c>
      <c r="AC70" s="87" t="s">
        <v>124</v>
      </c>
      <c r="AD70" s="87" t="s">
        <v>124</v>
      </c>
      <c r="AE70" s="87" t="s">
        <v>124</v>
      </c>
      <c r="AF70" s="90" t="s">
        <v>124</v>
      </c>
      <c r="AG70" s="90" t="s">
        <v>124</v>
      </c>
    </row>
    <row r="71" spans="1:33" x14ac:dyDescent="0.3">
      <c r="A71" s="86" t="str">
        <f t="shared" si="1"/>
        <v>[5.대광로제비앙] 평택 브레인시티 (가칭)도일1초등학교 신축공사</v>
      </c>
      <c r="B71" s="92">
        <v>25008</v>
      </c>
      <c r="C71" s="93" t="s">
        <v>680</v>
      </c>
      <c r="D71" s="93" t="s">
        <v>680</v>
      </c>
      <c r="E71" s="92" t="s">
        <v>681</v>
      </c>
      <c r="F71" s="92" t="s">
        <v>117</v>
      </c>
      <c r="G71" s="93"/>
      <c r="H71" s="92"/>
      <c r="I71" s="93" t="s">
        <v>682</v>
      </c>
      <c r="J71" s="94">
        <v>609269144</v>
      </c>
      <c r="K71" s="92" t="s">
        <v>683</v>
      </c>
      <c r="L71" s="92"/>
      <c r="M71" s="92"/>
      <c r="N71" s="92"/>
      <c r="O71" s="95" t="s">
        <v>684</v>
      </c>
      <c r="P71" s="92" t="s">
        <v>122</v>
      </c>
      <c r="Q71" s="92"/>
      <c r="R71" s="92">
        <v>8</v>
      </c>
      <c r="S71" s="92">
        <v>8</v>
      </c>
      <c r="T71" s="92" t="s">
        <v>122</v>
      </c>
      <c r="U71" s="92" t="s">
        <v>685</v>
      </c>
      <c r="V71" s="92" t="s">
        <v>686</v>
      </c>
      <c r="W71" s="92" t="s">
        <v>124</v>
      </c>
      <c r="X71" s="92" t="s">
        <v>134</v>
      </c>
      <c r="Y71" s="92" t="s">
        <v>179</v>
      </c>
      <c r="Z71" s="92" t="s">
        <v>345</v>
      </c>
      <c r="AA71" s="92" t="s">
        <v>390</v>
      </c>
      <c r="AB71" s="92" t="s">
        <v>391</v>
      </c>
      <c r="AC71" s="97">
        <v>4683</v>
      </c>
      <c r="AD71" s="92" t="s">
        <v>392</v>
      </c>
      <c r="AE71" s="92" t="s">
        <v>124</v>
      </c>
      <c r="AF71" s="96">
        <v>0.38569999999999999</v>
      </c>
      <c r="AG71" s="96">
        <v>0.32390000000000002</v>
      </c>
    </row>
    <row r="72" spans="1:33" x14ac:dyDescent="0.3">
      <c r="A72" s="86" t="str">
        <f t="shared" si="1"/>
        <v>[3.쿠팡] GYS 2FC(경산) 전기공사</v>
      </c>
      <c r="B72" s="87">
        <v>25009</v>
      </c>
      <c r="C72" s="88" t="s">
        <v>687</v>
      </c>
      <c r="D72" s="88" t="s">
        <v>687</v>
      </c>
      <c r="E72" s="87" t="s">
        <v>688</v>
      </c>
      <c r="F72" s="87" t="s">
        <v>395</v>
      </c>
      <c r="G72" s="88" t="s">
        <v>465</v>
      </c>
      <c r="H72" s="87"/>
      <c r="I72" s="88" t="s">
        <v>465</v>
      </c>
      <c r="J72" s="89">
        <v>1001733194</v>
      </c>
      <c r="K72" s="87" t="s">
        <v>467</v>
      </c>
      <c r="L72" s="87"/>
      <c r="M72" s="87"/>
      <c r="N72" s="87"/>
      <c r="O72" s="86" t="s">
        <v>689</v>
      </c>
      <c r="P72" s="87" t="s">
        <v>122</v>
      </c>
      <c r="Q72" s="87"/>
      <c r="R72" s="87">
        <v>8</v>
      </c>
      <c r="S72" s="87">
        <v>8</v>
      </c>
      <c r="T72" s="87" t="s">
        <v>122</v>
      </c>
      <c r="U72" s="87" t="s">
        <v>469</v>
      </c>
      <c r="V72" s="87" t="s">
        <v>690</v>
      </c>
      <c r="W72" s="87" t="s">
        <v>124</v>
      </c>
      <c r="X72" s="87" t="s">
        <v>470</v>
      </c>
      <c r="Y72" s="87" t="s">
        <v>124</v>
      </c>
      <c r="Z72" s="87" t="s">
        <v>124</v>
      </c>
      <c r="AA72" s="87" t="s">
        <v>124</v>
      </c>
      <c r="AB72" s="87" t="s">
        <v>124</v>
      </c>
      <c r="AC72" s="87" t="s">
        <v>124</v>
      </c>
      <c r="AD72" s="87" t="s">
        <v>124</v>
      </c>
      <c r="AE72" s="87" t="s">
        <v>124</v>
      </c>
      <c r="AF72" s="90" t="s">
        <v>124</v>
      </c>
      <c r="AG72" s="90" t="s">
        <v>124</v>
      </c>
    </row>
    <row r="73" spans="1:33" x14ac:dyDescent="0.3">
      <c r="A73" s="86" t="str">
        <f t="shared" si="1"/>
        <v>[1.라온건설] 인천 신흥동3가 주상복합</v>
      </c>
      <c r="B73" s="87">
        <v>25011</v>
      </c>
      <c r="C73" s="88" t="s">
        <v>691</v>
      </c>
      <c r="D73" s="88" t="s">
        <v>691</v>
      </c>
      <c r="E73" s="87" t="s">
        <v>692</v>
      </c>
      <c r="F73" s="87" t="s">
        <v>395</v>
      </c>
      <c r="G73" s="88" t="s">
        <v>693</v>
      </c>
      <c r="H73" s="87" t="s">
        <v>694</v>
      </c>
      <c r="I73" s="88" t="s">
        <v>693</v>
      </c>
      <c r="J73" s="89">
        <v>2433146349</v>
      </c>
      <c r="K73" s="87" t="s">
        <v>130</v>
      </c>
      <c r="L73" s="87"/>
      <c r="M73" s="87"/>
      <c r="N73" s="87"/>
      <c r="O73" s="86" t="s">
        <v>695</v>
      </c>
      <c r="P73" s="87" t="s">
        <v>122</v>
      </c>
      <c r="Q73" s="87"/>
      <c r="R73" s="87">
        <v>8</v>
      </c>
      <c r="S73" s="87">
        <v>8</v>
      </c>
      <c r="T73" s="87" t="s">
        <v>122</v>
      </c>
      <c r="U73" s="87" t="s">
        <v>132</v>
      </c>
      <c r="V73" s="87" t="s">
        <v>696</v>
      </c>
      <c r="W73" s="87" t="s">
        <v>697</v>
      </c>
      <c r="X73" s="87" t="s">
        <v>147</v>
      </c>
      <c r="Y73" s="87" t="s">
        <v>274</v>
      </c>
      <c r="Z73" s="87" t="s">
        <v>411</v>
      </c>
      <c r="AA73" s="87" t="s">
        <v>698</v>
      </c>
      <c r="AB73" s="87">
        <v>608</v>
      </c>
      <c r="AC73" s="91">
        <v>18556</v>
      </c>
      <c r="AD73" s="87" t="s">
        <v>124</v>
      </c>
      <c r="AE73" s="87" t="s">
        <v>124</v>
      </c>
      <c r="AF73" s="90">
        <v>0.14099999999999999</v>
      </c>
      <c r="AG73" s="90">
        <v>0.154</v>
      </c>
    </row>
    <row r="74" spans="1:33" x14ac:dyDescent="0.3">
      <c r="A74" s="86" t="str">
        <f t="shared" si="1"/>
        <v>[1팀 - 준공현장] - 1팀 준공현장 2025년</v>
      </c>
      <c r="B74" s="87">
        <v>25013</v>
      </c>
      <c r="C74" s="88" t="s">
        <v>699</v>
      </c>
      <c r="D74" s="88" t="s">
        <v>699</v>
      </c>
      <c r="E74" s="87"/>
      <c r="F74" s="87" t="s">
        <v>395</v>
      </c>
      <c r="G74" s="88"/>
      <c r="H74" s="87"/>
      <c r="I74" s="88"/>
      <c r="J74" s="89">
        <v>0</v>
      </c>
      <c r="K74" s="87"/>
      <c r="L74" s="87"/>
      <c r="M74" s="87"/>
      <c r="N74" s="87"/>
      <c r="O74" s="86"/>
      <c r="P74" s="87" t="s">
        <v>122</v>
      </c>
      <c r="Q74" s="87"/>
      <c r="R74" s="87">
        <v>8</v>
      </c>
      <c r="S74" s="87">
        <v>8</v>
      </c>
      <c r="T74" s="87" t="s">
        <v>122</v>
      </c>
      <c r="U74" s="87" t="s">
        <v>124</v>
      </c>
      <c r="V74" s="87" t="s">
        <v>124</v>
      </c>
      <c r="W74" s="87" t="s">
        <v>124</v>
      </c>
      <c r="X74" s="87" t="s">
        <v>124</v>
      </c>
      <c r="Y74" s="87" t="s">
        <v>124</v>
      </c>
      <c r="Z74" s="87" t="s">
        <v>124</v>
      </c>
      <c r="AA74" s="87" t="s">
        <v>124</v>
      </c>
      <c r="AB74" s="87" t="s">
        <v>124</v>
      </c>
      <c r="AC74" s="87" t="s">
        <v>124</v>
      </c>
      <c r="AD74" s="87" t="s">
        <v>124</v>
      </c>
      <c r="AE74" s="87" t="s">
        <v>124</v>
      </c>
      <c r="AF74" s="90" t="s">
        <v>124</v>
      </c>
      <c r="AG74" s="90" t="s">
        <v>124</v>
      </c>
    </row>
    <row r="75" spans="1:33" x14ac:dyDescent="0.3">
      <c r="A75" s="86" t="str">
        <f t="shared" si="1"/>
        <v>[2팀 - 준공현장] - 2팀 준공현장 2025년</v>
      </c>
      <c r="B75" s="87">
        <v>25014</v>
      </c>
      <c r="C75" s="88" t="s">
        <v>700</v>
      </c>
      <c r="D75" s="88" t="s">
        <v>700</v>
      </c>
      <c r="E75" s="87"/>
      <c r="F75" s="87" t="s">
        <v>395</v>
      </c>
      <c r="G75" s="88"/>
      <c r="H75" s="87"/>
      <c r="I75" s="88"/>
      <c r="J75" s="89">
        <v>0</v>
      </c>
      <c r="K75" s="87"/>
      <c r="L75" s="87"/>
      <c r="M75" s="87"/>
      <c r="N75" s="87"/>
      <c r="O75" s="86"/>
      <c r="P75" s="87" t="s">
        <v>122</v>
      </c>
      <c r="Q75" s="87"/>
      <c r="R75" s="87">
        <v>8</v>
      </c>
      <c r="S75" s="87">
        <v>8</v>
      </c>
      <c r="T75" s="87" t="s">
        <v>122</v>
      </c>
      <c r="U75" s="87" t="s">
        <v>124</v>
      </c>
      <c r="V75" s="87" t="s">
        <v>124</v>
      </c>
      <c r="W75" s="87" t="s">
        <v>124</v>
      </c>
      <c r="X75" s="87" t="s">
        <v>124</v>
      </c>
      <c r="Y75" s="87" t="s">
        <v>124</v>
      </c>
      <c r="Z75" s="87" t="s">
        <v>124</v>
      </c>
      <c r="AA75" s="87" t="s">
        <v>124</v>
      </c>
      <c r="AB75" s="87" t="s">
        <v>124</v>
      </c>
      <c r="AC75" s="87" t="s">
        <v>124</v>
      </c>
      <c r="AD75" s="87" t="s">
        <v>124</v>
      </c>
      <c r="AE75" s="87" t="s">
        <v>124</v>
      </c>
      <c r="AF75" s="90" t="s">
        <v>124</v>
      </c>
      <c r="AG75" s="90" t="s">
        <v>124</v>
      </c>
    </row>
    <row r="76" spans="1:33" x14ac:dyDescent="0.3">
      <c r="A76" s="86" t="str">
        <f t="shared" si="1"/>
        <v>[3팀 - 준공현장] - 3팀 준공현장 2025년</v>
      </c>
      <c r="B76" s="92">
        <v>25015</v>
      </c>
      <c r="C76" s="93" t="s">
        <v>701</v>
      </c>
      <c r="D76" s="93" t="s">
        <v>701</v>
      </c>
      <c r="E76" s="92"/>
      <c r="F76" s="92" t="s">
        <v>395</v>
      </c>
      <c r="G76" s="93"/>
      <c r="H76" s="92"/>
      <c r="I76" s="93"/>
      <c r="J76" s="94">
        <v>0</v>
      </c>
      <c r="K76" s="92"/>
      <c r="L76" s="92"/>
      <c r="M76" s="92"/>
      <c r="N76" s="92"/>
      <c r="O76" s="95"/>
      <c r="P76" s="92" t="s">
        <v>122</v>
      </c>
      <c r="Q76" s="92"/>
      <c r="R76" s="92">
        <v>8</v>
      </c>
      <c r="S76" s="92">
        <v>8</v>
      </c>
      <c r="T76" s="92" t="s">
        <v>122</v>
      </c>
      <c r="U76" s="92" t="s">
        <v>124</v>
      </c>
      <c r="V76" s="92" t="s">
        <v>124</v>
      </c>
      <c r="W76" s="92" t="s">
        <v>124</v>
      </c>
      <c r="X76" s="92" t="s">
        <v>124</v>
      </c>
      <c r="Y76" s="92" t="s">
        <v>124</v>
      </c>
      <c r="Z76" s="92" t="s">
        <v>124</v>
      </c>
      <c r="AA76" s="92" t="s">
        <v>124</v>
      </c>
      <c r="AB76" s="92" t="s">
        <v>124</v>
      </c>
      <c r="AC76" s="92" t="s">
        <v>124</v>
      </c>
      <c r="AD76" s="92" t="s">
        <v>124</v>
      </c>
      <c r="AE76" s="92" t="s">
        <v>124</v>
      </c>
      <c r="AF76" s="96" t="s">
        <v>124</v>
      </c>
      <c r="AG76" s="96" t="s">
        <v>124</v>
      </c>
    </row>
    <row r="77" spans="1:33" x14ac:dyDescent="0.3">
      <c r="A77" s="86" t="str">
        <f t="shared" si="1"/>
        <v>[4팀 - 준공현장] - 4팀 준공현장 2025년</v>
      </c>
      <c r="B77" s="87">
        <v>25016</v>
      </c>
      <c r="C77" s="88" t="s">
        <v>702</v>
      </c>
      <c r="D77" s="88" t="s">
        <v>702</v>
      </c>
      <c r="E77" s="87"/>
      <c r="F77" s="87" t="s">
        <v>395</v>
      </c>
      <c r="G77" s="88"/>
      <c r="H77" s="87"/>
      <c r="I77" s="88"/>
      <c r="J77" s="89">
        <v>0</v>
      </c>
      <c r="K77" s="87"/>
      <c r="L77" s="87"/>
      <c r="M77" s="87"/>
      <c r="N77" s="87"/>
      <c r="O77" s="86"/>
      <c r="P77" s="87" t="s">
        <v>122</v>
      </c>
      <c r="Q77" s="87"/>
      <c r="R77" s="87">
        <v>8</v>
      </c>
      <c r="S77" s="87">
        <v>8</v>
      </c>
      <c r="T77" s="87" t="s">
        <v>122</v>
      </c>
      <c r="U77" s="87" t="s">
        <v>124</v>
      </c>
      <c r="V77" s="87" t="s">
        <v>124</v>
      </c>
      <c r="W77" s="87" t="s">
        <v>124</v>
      </c>
      <c r="X77" s="87" t="s">
        <v>124</v>
      </c>
      <c r="Y77" s="87" t="s">
        <v>124</v>
      </c>
      <c r="Z77" s="87" t="s">
        <v>124</v>
      </c>
      <c r="AA77" s="87" t="s">
        <v>124</v>
      </c>
      <c r="AB77" s="87" t="s">
        <v>124</v>
      </c>
      <c r="AC77" s="87" t="s">
        <v>124</v>
      </c>
      <c r="AD77" s="87" t="s">
        <v>124</v>
      </c>
      <c r="AE77" s="87" t="s">
        <v>124</v>
      </c>
      <c r="AF77" s="90" t="s">
        <v>124</v>
      </c>
      <c r="AG77" s="90" t="s">
        <v>124</v>
      </c>
    </row>
    <row r="78" spans="1:33" x14ac:dyDescent="0.3">
      <c r="A78" s="86" t="str">
        <f t="shared" si="1"/>
        <v>[5팀 - 준공현장] - 5팀 준공현장 2025년</v>
      </c>
      <c r="B78" s="87">
        <v>25017</v>
      </c>
      <c r="C78" s="88" t="s">
        <v>703</v>
      </c>
      <c r="D78" s="88" t="s">
        <v>703</v>
      </c>
      <c r="E78" s="87"/>
      <c r="F78" s="87" t="s">
        <v>395</v>
      </c>
      <c r="G78" s="88"/>
      <c r="H78" s="87"/>
      <c r="I78" s="88"/>
      <c r="J78" s="89">
        <v>0</v>
      </c>
      <c r="K78" s="87"/>
      <c r="L78" s="87"/>
      <c r="M78" s="87"/>
      <c r="N78" s="87"/>
      <c r="O78" s="86"/>
      <c r="P78" s="87" t="s">
        <v>122</v>
      </c>
      <c r="Q78" s="87"/>
      <c r="R78" s="87">
        <v>8</v>
      </c>
      <c r="S78" s="87">
        <v>8</v>
      </c>
      <c r="T78" s="87" t="s">
        <v>122</v>
      </c>
      <c r="U78" s="87" t="s">
        <v>124</v>
      </c>
      <c r="V78" s="87" t="s">
        <v>124</v>
      </c>
      <c r="W78" s="87" t="s">
        <v>124</v>
      </c>
      <c r="X78" s="87" t="s">
        <v>124</v>
      </c>
      <c r="Y78" s="87" t="s">
        <v>124</v>
      </c>
      <c r="Z78" s="87" t="s">
        <v>124</v>
      </c>
      <c r="AA78" s="87" t="s">
        <v>124</v>
      </c>
      <c r="AB78" s="87" t="s">
        <v>124</v>
      </c>
      <c r="AC78" s="87" t="s">
        <v>124</v>
      </c>
      <c r="AD78" s="87" t="s">
        <v>124</v>
      </c>
      <c r="AE78" s="87" t="s">
        <v>124</v>
      </c>
      <c r="AF78" s="90" t="s">
        <v>124</v>
      </c>
      <c r="AG78" s="90" t="s">
        <v>124</v>
      </c>
    </row>
    <row r="79" spans="1:33" x14ac:dyDescent="0.3">
      <c r="A79" s="86" t="str">
        <f t="shared" si="1"/>
        <v>[관급 - 준공현장] - 관급 준공현장 2025년</v>
      </c>
      <c r="B79" s="92">
        <v>25018</v>
      </c>
      <c r="C79" s="93" t="s">
        <v>704</v>
      </c>
      <c r="D79" s="93" t="s">
        <v>704</v>
      </c>
      <c r="E79" s="92"/>
      <c r="F79" s="92" t="s">
        <v>395</v>
      </c>
      <c r="G79" s="93"/>
      <c r="H79" s="92"/>
      <c r="I79" s="93"/>
      <c r="J79" s="94">
        <v>0</v>
      </c>
      <c r="K79" s="92"/>
      <c r="L79" s="92"/>
      <c r="M79" s="92"/>
      <c r="N79" s="92"/>
      <c r="O79" s="95"/>
      <c r="P79" s="92" t="s">
        <v>122</v>
      </c>
      <c r="Q79" s="92"/>
      <c r="R79" s="92">
        <v>8</v>
      </c>
      <c r="S79" s="92">
        <v>8</v>
      </c>
      <c r="T79" s="92" t="s">
        <v>122</v>
      </c>
      <c r="U79" s="92" t="s">
        <v>124</v>
      </c>
      <c r="V79" s="92" t="s">
        <v>124</v>
      </c>
      <c r="W79" s="92" t="s">
        <v>124</v>
      </c>
      <c r="X79" s="92" t="s">
        <v>124</v>
      </c>
      <c r="Y79" s="92" t="s">
        <v>124</v>
      </c>
      <c r="Z79" s="92" t="s">
        <v>124</v>
      </c>
      <c r="AA79" s="92" t="s">
        <v>124</v>
      </c>
      <c r="AB79" s="92" t="s">
        <v>124</v>
      </c>
      <c r="AC79" s="92" t="s">
        <v>124</v>
      </c>
      <c r="AD79" s="92" t="s">
        <v>124</v>
      </c>
      <c r="AE79" s="92" t="s">
        <v>124</v>
      </c>
      <c r="AF79" s="96" t="s">
        <v>124</v>
      </c>
      <c r="AG79" s="96" t="s">
        <v>124</v>
      </c>
    </row>
    <row r="80" spans="1:33" x14ac:dyDescent="0.3">
      <c r="A80" s="86" t="str">
        <f t="shared" si="1"/>
        <v>[2.동양] 한국건강관리협회 인천지부 신청사 건립 신축공사 기계소방</v>
      </c>
      <c r="B80" s="98">
        <v>25020</v>
      </c>
      <c r="C80" s="99" t="s">
        <v>705</v>
      </c>
      <c r="D80" s="99" t="s">
        <v>705</v>
      </c>
      <c r="E80" s="98" t="s">
        <v>486</v>
      </c>
      <c r="F80" s="100" t="s">
        <v>395</v>
      </c>
      <c r="G80" s="99" t="s">
        <v>487</v>
      </c>
      <c r="H80" s="98" t="s">
        <v>488</v>
      </c>
      <c r="I80" s="99" t="s">
        <v>489</v>
      </c>
      <c r="J80" s="101">
        <v>0</v>
      </c>
      <c r="K80" s="98"/>
      <c r="L80" s="98"/>
      <c r="M80" s="98"/>
      <c r="N80" s="98"/>
      <c r="O80" s="102" t="s">
        <v>490</v>
      </c>
      <c r="P80" s="100" t="s">
        <v>122</v>
      </c>
      <c r="Q80" s="100"/>
      <c r="R80" s="98">
        <v>8</v>
      </c>
      <c r="S80" s="98">
        <v>8</v>
      </c>
      <c r="T80" s="100" t="s">
        <v>122</v>
      </c>
      <c r="U80" s="98" t="s">
        <v>706</v>
      </c>
      <c r="V80" s="98"/>
      <c r="W80" s="98" t="s">
        <v>362</v>
      </c>
      <c r="X80" s="98"/>
      <c r="Y80" s="98"/>
      <c r="Z80" s="98"/>
      <c r="AA80" s="98"/>
      <c r="AB80" s="98"/>
      <c r="AC80" s="98"/>
      <c r="AD80" s="98"/>
      <c r="AE80" s="98"/>
      <c r="AF80" s="103"/>
      <c r="AG80" s="103"/>
    </row>
    <row r="81" spans="1:33" x14ac:dyDescent="0.3">
      <c r="A81" s="86" t="str">
        <f t="shared" si="1"/>
        <v>[2.한화건설] 원당1구역 재개발정비사업</v>
      </c>
      <c r="B81" s="87">
        <v>25021</v>
      </c>
      <c r="C81" s="88" t="s">
        <v>707</v>
      </c>
      <c r="D81" s="88" t="s">
        <v>707</v>
      </c>
      <c r="E81" s="87" t="s">
        <v>708</v>
      </c>
      <c r="F81" s="87" t="s">
        <v>395</v>
      </c>
      <c r="G81" s="88" t="s">
        <v>709</v>
      </c>
      <c r="H81" s="87" t="s">
        <v>710</v>
      </c>
      <c r="I81" s="88" t="s">
        <v>513</v>
      </c>
      <c r="J81" s="89">
        <v>3361183599</v>
      </c>
      <c r="K81" s="87" t="s">
        <v>711</v>
      </c>
      <c r="L81" s="87"/>
      <c r="M81" s="87"/>
      <c r="N81" s="87"/>
      <c r="O81" s="86" t="s">
        <v>712</v>
      </c>
      <c r="P81" s="87" t="s">
        <v>122</v>
      </c>
      <c r="Q81" s="87"/>
      <c r="R81" s="87">
        <v>8</v>
      </c>
      <c r="S81" s="87">
        <v>8</v>
      </c>
      <c r="T81" s="87" t="s">
        <v>122</v>
      </c>
      <c r="U81" s="87" t="s">
        <v>713</v>
      </c>
      <c r="V81" s="87" t="s">
        <v>714</v>
      </c>
      <c r="W81" s="87" t="s">
        <v>715</v>
      </c>
      <c r="X81" s="87" t="s">
        <v>716</v>
      </c>
      <c r="Y81" s="87" t="s">
        <v>717</v>
      </c>
      <c r="Z81" s="87" t="s">
        <v>718</v>
      </c>
      <c r="AA81" s="87" t="s">
        <v>719</v>
      </c>
      <c r="AB81" s="87">
        <v>1025</v>
      </c>
      <c r="AC81" s="91">
        <v>42605</v>
      </c>
      <c r="AD81" s="87" t="s">
        <v>640</v>
      </c>
      <c r="AE81" s="87" t="s">
        <v>715</v>
      </c>
      <c r="AF81" s="90">
        <v>0.10589999999999999</v>
      </c>
      <c r="AG81" s="90" t="s">
        <v>715</v>
      </c>
    </row>
    <row r="82" spans="1:33" x14ac:dyDescent="0.3">
      <c r="A82" s="86" t="str">
        <f t="shared" si="1"/>
        <v>[4.롯데CM] 롯데백화점 노원점 리뉴얼 공사</v>
      </c>
      <c r="B82" s="87">
        <v>25022</v>
      </c>
      <c r="C82" s="88" t="s">
        <v>720</v>
      </c>
      <c r="D82" s="88" t="s">
        <v>720</v>
      </c>
      <c r="E82" s="87" t="s">
        <v>721</v>
      </c>
      <c r="F82" s="87" t="s">
        <v>395</v>
      </c>
      <c r="G82" s="88"/>
      <c r="H82" s="87"/>
      <c r="I82" s="88"/>
      <c r="J82" s="89">
        <v>1299064342</v>
      </c>
      <c r="K82" s="87"/>
      <c r="L82" s="87"/>
      <c r="M82" s="87"/>
      <c r="N82" s="87"/>
      <c r="O82" s="86"/>
      <c r="P82" s="87" t="s">
        <v>122</v>
      </c>
      <c r="Q82" s="87"/>
      <c r="R82" s="87">
        <v>8</v>
      </c>
      <c r="S82" s="87">
        <v>8</v>
      </c>
      <c r="T82" s="87" t="s">
        <v>122</v>
      </c>
      <c r="U82" s="87" t="s">
        <v>722</v>
      </c>
      <c r="V82" s="87" t="s">
        <v>723</v>
      </c>
      <c r="W82" s="87" t="s">
        <v>715</v>
      </c>
      <c r="X82" s="87" t="s">
        <v>371</v>
      </c>
      <c r="Y82" s="87" t="s">
        <v>724</v>
      </c>
      <c r="Z82" s="87" t="s">
        <v>725</v>
      </c>
      <c r="AA82" s="87" t="s">
        <v>726</v>
      </c>
      <c r="AB82" s="91" t="s">
        <v>715</v>
      </c>
      <c r="AC82" s="91">
        <v>7500</v>
      </c>
      <c r="AD82" s="87" t="s">
        <v>727</v>
      </c>
      <c r="AE82" s="87" t="s">
        <v>715</v>
      </c>
      <c r="AF82" s="90">
        <v>0.31</v>
      </c>
      <c r="AG82" s="90" t="s">
        <v>715</v>
      </c>
    </row>
    <row r="83" spans="1:33" x14ac:dyDescent="0.3">
      <c r="A83" s="86" t="str">
        <f t="shared" si="1"/>
        <v>[2.한양] 평택브레인시티8BL 공동주택 신축공사</v>
      </c>
      <c r="B83" s="87">
        <v>25023</v>
      </c>
      <c r="C83" s="88" t="s">
        <v>728</v>
      </c>
      <c r="D83" s="88" t="s">
        <v>728</v>
      </c>
      <c r="E83" s="87" t="s">
        <v>729</v>
      </c>
      <c r="F83" s="87" t="s">
        <v>395</v>
      </c>
      <c r="G83" s="88"/>
      <c r="H83" s="87"/>
      <c r="I83" s="88"/>
      <c r="J83" s="89">
        <v>3365956113</v>
      </c>
      <c r="K83" s="87"/>
      <c r="L83" s="87"/>
      <c r="M83" s="87"/>
      <c r="N83" s="87"/>
      <c r="O83" s="86" t="s">
        <v>730</v>
      </c>
      <c r="P83" s="87" t="s">
        <v>122</v>
      </c>
      <c r="Q83" s="87"/>
      <c r="R83" s="87">
        <v>8</v>
      </c>
      <c r="S83" s="87">
        <v>8</v>
      </c>
      <c r="T83" s="87" t="s">
        <v>122</v>
      </c>
      <c r="U83" s="87" t="s">
        <v>731</v>
      </c>
      <c r="V83" s="87" t="s">
        <v>732</v>
      </c>
      <c r="W83" s="87" t="s">
        <v>715</v>
      </c>
      <c r="X83" s="87" t="s">
        <v>371</v>
      </c>
      <c r="Y83" s="87" t="s">
        <v>733</v>
      </c>
      <c r="Z83" s="87" t="s">
        <v>572</v>
      </c>
      <c r="AA83" s="87" t="s">
        <v>734</v>
      </c>
      <c r="AB83" s="87">
        <v>889</v>
      </c>
      <c r="AC83" s="87">
        <v>43914</v>
      </c>
      <c r="AD83" s="87" t="s">
        <v>640</v>
      </c>
      <c r="AE83" s="87"/>
      <c r="AF83" s="90">
        <v>0.13250000000000001</v>
      </c>
      <c r="AG83" s="90"/>
    </row>
    <row r="84" spans="1:33" x14ac:dyDescent="0.3">
      <c r="A84" s="86" t="str">
        <f t="shared" si="1"/>
        <v>[1.중흥건설] 평택 브레인시티 공동3구역 - 선공사</v>
      </c>
      <c r="B84" s="87">
        <v>25024</v>
      </c>
      <c r="C84" s="88" t="s">
        <v>735</v>
      </c>
      <c r="D84" s="88" t="s">
        <v>735</v>
      </c>
      <c r="E84" s="87"/>
      <c r="F84" s="87" t="s">
        <v>395</v>
      </c>
      <c r="G84" s="88"/>
      <c r="H84" s="87"/>
      <c r="I84" s="88" t="s">
        <v>595</v>
      </c>
      <c r="J84" s="89">
        <v>0</v>
      </c>
      <c r="K84" s="87"/>
      <c r="L84" s="87"/>
      <c r="M84" s="87"/>
      <c r="N84" s="87"/>
      <c r="O84" s="86" t="s">
        <v>730</v>
      </c>
      <c r="P84" s="87" t="s">
        <v>122</v>
      </c>
      <c r="Q84" s="87"/>
      <c r="R84" s="87">
        <v>8</v>
      </c>
      <c r="S84" s="87">
        <v>8</v>
      </c>
      <c r="T84" s="87" t="s">
        <v>122</v>
      </c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90"/>
      <c r="AG84" s="90"/>
    </row>
    <row r="85" spans="1:33" x14ac:dyDescent="0.3">
      <c r="A85" s="86" t="str">
        <f t="shared" si="1"/>
        <v>[3.쿠팡] INC 45FC(인천) 전기공사</v>
      </c>
      <c r="B85" s="87">
        <v>25025</v>
      </c>
      <c r="C85" s="88" t="s">
        <v>736</v>
      </c>
      <c r="D85" s="88" t="s">
        <v>736</v>
      </c>
      <c r="E85" s="87" t="s">
        <v>737</v>
      </c>
      <c r="F85" s="87" t="s">
        <v>395</v>
      </c>
      <c r="G85" s="88" t="s">
        <v>465</v>
      </c>
      <c r="H85" s="87"/>
      <c r="I85" s="88" t="s">
        <v>465</v>
      </c>
      <c r="J85" s="89">
        <v>2264165000</v>
      </c>
      <c r="K85" s="87"/>
      <c r="L85" s="87"/>
      <c r="M85" s="87"/>
      <c r="N85" s="87"/>
      <c r="O85" s="86" t="s">
        <v>738</v>
      </c>
      <c r="P85" s="87" t="s">
        <v>122</v>
      </c>
      <c r="Q85" s="87"/>
      <c r="R85" s="87">
        <v>8</v>
      </c>
      <c r="S85" s="87">
        <v>8</v>
      </c>
      <c r="T85" s="87" t="s">
        <v>122</v>
      </c>
      <c r="U85" s="87" t="s">
        <v>506</v>
      </c>
      <c r="V85" s="87" t="s">
        <v>739</v>
      </c>
      <c r="W85" s="87"/>
      <c r="X85" s="87" t="s">
        <v>470</v>
      </c>
      <c r="Y85" s="87"/>
      <c r="Z85" s="87"/>
      <c r="AA85" s="87"/>
      <c r="AB85" s="87"/>
      <c r="AC85" s="87"/>
      <c r="AD85" s="87"/>
      <c r="AE85" s="87"/>
      <c r="AF85" s="90"/>
      <c r="AG85" s="90"/>
    </row>
    <row r="86" spans="1:33" x14ac:dyDescent="0.3">
      <c r="A86" s="86" t="str">
        <f t="shared" si="1"/>
        <v>[3.쿠팡] INC 26,28,36FC(인천) HVAC 전원공사</v>
      </c>
      <c r="B86" s="87">
        <v>25026</v>
      </c>
      <c r="C86" s="88" t="s">
        <v>740</v>
      </c>
      <c r="D86" s="88" t="s">
        <v>740</v>
      </c>
      <c r="E86" s="87" t="s">
        <v>741</v>
      </c>
      <c r="F86" s="87" t="s">
        <v>395</v>
      </c>
      <c r="G86" s="88" t="s">
        <v>465</v>
      </c>
      <c r="H86" s="87"/>
      <c r="I86" s="88" t="s">
        <v>465</v>
      </c>
      <c r="J86" s="89">
        <v>234792000</v>
      </c>
      <c r="K86" s="87" t="s">
        <v>601</v>
      </c>
      <c r="L86" s="87"/>
      <c r="M86" s="87"/>
      <c r="N86" s="87"/>
      <c r="O86" s="86" t="s">
        <v>742</v>
      </c>
      <c r="P86" s="87" t="s">
        <v>122</v>
      </c>
      <c r="Q86" s="87"/>
      <c r="R86" s="87">
        <v>8</v>
      </c>
      <c r="S86" s="87">
        <v>8</v>
      </c>
      <c r="T86" s="87" t="s">
        <v>122</v>
      </c>
      <c r="U86" s="87" t="s">
        <v>603</v>
      </c>
      <c r="V86" s="87" t="s">
        <v>743</v>
      </c>
      <c r="W86" s="87"/>
      <c r="X86" s="87" t="s">
        <v>470</v>
      </c>
      <c r="Y86" s="87"/>
      <c r="Z86" s="87"/>
      <c r="AA86" s="87"/>
      <c r="AB86" s="87"/>
      <c r="AC86" s="87"/>
      <c r="AD86" s="87"/>
      <c r="AE86" s="87"/>
      <c r="AF86" s="90"/>
      <c r="AG86" s="90"/>
    </row>
    <row r="87" spans="1:33" x14ac:dyDescent="0.3">
      <c r="A87" s="86" t="str">
        <f t="shared" si="1"/>
        <v>[3.쿠팡] DAE3,7,8 FC(대구) Ph2 전기공사</v>
      </c>
      <c r="B87" s="87">
        <v>25027</v>
      </c>
      <c r="C87" s="88" t="s">
        <v>744</v>
      </c>
      <c r="D87" s="88" t="s">
        <v>744</v>
      </c>
      <c r="E87" s="87" t="s">
        <v>745</v>
      </c>
      <c r="F87" s="87" t="s">
        <v>395</v>
      </c>
      <c r="G87" s="88" t="s">
        <v>465</v>
      </c>
      <c r="H87" s="87"/>
      <c r="I87" s="88" t="s">
        <v>465</v>
      </c>
      <c r="J87" s="89">
        <v>4974138000</v>
      </c>
      <c r="K87" s="87"/>
      <c r="L87" s="87"/>
      <c r="M87" s="87"/>
      <c r="N87" s="87"/>
      <c r="O87" s="86" t="s">
        <v>679</v>
      </c>
      <c r="P87" s="87" t="s">
        <v>122</v>
      </c>
      <c r="Q87" s="87"/>
      <c r="R87" s="87">
        <v>8</v>
      </c>
      <c r="S87" s="87">
        <v>8</v>
      </c>
      <c r="T87" s="87" t="s">
        <v>122</v>
      </c>
      <c r="U87" s="87" t="s">
        <v>508</v>
      </c>
      <c r="V87" s="87" t="s">
        <v>746</v>
      </c>
      <c r="W87" s="87"/>
      <c r="X87" s="87" t="s">
        <v>470</v>
      </c>
      <c r="Y87" s="87"/>
      <c r="Z87" s="87"/>
      <c r="AA87" s="87"/>
      <c r="AB87" s="87"/>
      <c r="AC87" s="87"/>
      <c r="AD87" s="87"/>
      <c r="AE87" s="87"/>
      <c r="AF87" s="90"/>
      <c r="AG87" s="90"/>
    </row>
    <row r="88" spans="1:33" x14ac:dyDescent="0.3">
      <c r="A88" s="86" t="str">
        <f t="shared" si="1"/>
        <v>[3.쿠팡] GWJ2 FC(광주) HVAC 전원공사</v>
      </c>
      <c r="B88" s="87">
        <v>25028</v>
      </c>
      <c r="C88" s="88" t="s">
        <v>747</v>
      </c>
      <c r="D88" s="88" t="s">
        <v>747</v>
      </c>
      <c r="E88" s="87"/>
      <c r="F88" s="87" t="s">
        <v>395</v>
      </c>
      <c r="G88" s="88" t="s">
        <v>465</v>
      </c>
      <c r="H88" s="87"/>
      <c r="I88" s="88" t="s">
        <v>465</v>
      </c>
      <c r="J88" s="89">
        <v>72786000</v>
      </c>
      <c r="K88" s="87"/>
      <c r="L88" s="87"/>
      <c r="M88" s="87"/>
      <c r="N88" s="87"/>
      <c r="O88" s="86" t="s">
        <v>468</v>
      </c>
      <c r="P88" s="87" t="s">
        <v>122</v>
      </c>
      <c r="Q88" s="87"/>
      <c r="R88" s="87">
        <v>8</v>
      </c>
      <c r="S88" s="87">
        <v>8</v>
      </c>
      <c r="T88" s="87" t="s">
        <v>122</v>
      </c>
      <c r="U88" s="87" t="s">
        <v>748</v>
      </c>
      <c r="V88" s="87" t="s">
        <v>749</v>
      </c>
      <c r="W88" s="87"/>
      <c r="X88" s="87" t="s">
        <v>470</v>
      </c>
      <c r="Y88" s="87"/>
      <c r="Z88" s="87"/>
      <c r="AA88" s="87"/>
      <c r="AB88" s="87"/>
      <c r="AC88" s="87"/>
      <c r="AD88" s="87"/>
      <c r="AE88" s="87"/>
      <c r="AF88" s="90"/>
      <c r="AG88" s="90"/>
    </row>
    <row r="89" spans="1:33" x14ac:dyDescent="0.3">
      <c r="A89" s="86" t="str">
        <f t="shared" si="1"/>
        <v>[5.빙그레] 빙그레 광주공장</v>
      </c>
      <c r="B89" s="87">
        <v>25029</v>
      </c>
      <c r="C89" s="88" t="s">
        <v>750</v>
      </c>
      <c r="D89" s="88" t="s">
        <v>750</v>
      </c>
      <c r="E89" s="87" t="s">
        <v>751</v>
      </c>
      <c r="F89" s="87" t="s">
        <v>395</v>
      </c>
      <c r="G89" s="88"/>
      <c r="H89" s="87"/>
      <c r="I89" s="88"/>
      <c r="J89" s="89">
        <v>0</v>
      </c>
      <c r="K89" s="87"/>
      <c r="L89" s="87"/>
      <c r="M89" s="87"/>
      <c r="N89" s="87"/>
      <c r="O89" s="86" t="s">
        <v>752</v>
      </c>
      <c r="P89" s="87" t="s">
        <v>122</v>
      </c>
      <c r="Q89" s="87"/>
      <c r="R89" s="87">
        <v>8</v>
      </c>
      <c r="S89" s="87">
        <v>8</v>
      </c>
      <c r="T89" s="87" t="s">
        <v>122</v>
      </c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90"/>
      <c r="AG89" s="90"/>
    </row>
    <row r="90" spans="1:33" x14ac:dyDescent="0.3">
      <c r="A90" s="86" t="str">
        <f t="shared" si="1"/>
        <v>[5.대광로제비앙] 평택 브레인시티 2블럭</v>
      </c>
      <c r="B90" s="87">
        <v>25030</v>
      </c>
      <c r="C90" s="88" t="s">
        <v>753</v>
      </c>
      <c r="D90" s="88" t="s">
        <v>753</v>
      </c>
      <c r="E90" s="87" t="s">
        <v>751</v>
      </c>
      <c r="F90" s="87" t="s">
        <v>395</v>
      </c>
      <c r="G90" s="88"/>
      <c r="H90" s="87"/>
      <c r="I90" s="88"/>
      <c r="J90" s="89">
        <v>1232034943</v>
      </c>
      <c r="K90" s="87"/>
      <c r="L90" s="87"/>
      <c r="M90" s="87"/>
      <c r="N90" s="87"/>
      <c r="O90" s="86" t="s">
        <v>754</v>
      </c>
      <c r="P90" s="87" t="s">
        <v>122</v>
      </c>
      <c r="Q90" s="87"/>
      <c r="R90" s="87">
        <v>8</v>
      </c>
      <c r="S90" s="87">
        <v>8</v>
      </c>
      <c r="T90" s="87" t="s">
        <v>122</v>
      </c>
      <c r="U90" s="87" t="s">
        <v>755</v>
      </c>
      <c r="V90" s="87" t="s">
        <v>756</v>
      </c>
      <c r="W90" s="87" t="s">
        <v>715</v>
      </c>
      <c r="X90" s="87" t="s">
        <v>8</v>
      </c>
      <c r="Y90" s="87" t="s">
        <v>757</v>
      </c>
      <c r="Z90" s="87" t="s">
        <v>572</v>
      </c>
      <c r="AA90" s="87" t="s">
        <v>715</v>
      </c>
      <c r="AB90" s="87">
        <v>964</v>
      </c>
      <c r="AC90" s="87">
        <v>24484.6</v>
      </c>
      <c r="AD90" s="87" t="s">
        <v>640</v>
      </c>
      <c r="AE90" s="87" t="s">
        <v>715</v>
      </c>
      <c r="AF90" s="90" t="s">
        <v>715</v>
      </c>
      <c r="AG90" s="90" t="s">
        <v>715</v>
      </c>
    </row>
    <row r="91" spans="1:33" x14ac:dyDescent="0.3">
      <c r="A91" s="86" t="str">
        <f t="shared" si="1"/>
        <v>[4.롯데건설] 롯데바이오로직스 Project PROVIDENCE</v>
      </c>
      <c r="B91" s="87">
        <v>25031</v>
      </c>
      <c r="C91" s="88" t="s">
        <v>758</v>
      </c>
      <c r="D91" s="88" t="s">
        <v>758</v>
      </c>
      <c r="E91" s="87" t="s">
        <v>759</v>
      </c>
      <c r="F91" s="87" t="s">
        <v>117</v>
      </c>
      <c r="G91" s="88" t="s">
        <v>760</v>
      </c>
      <c r="H91" s="87"/>
      <c r="I91" s="88" t="s">
        <v>497</v>
      </c>
      <c r="J91" s="89">
        <v>14508942138</v>
      </c>
      <c r="K91" s="87" t="s">
        <v>761</v>
      </c>
      <c r="L91" s="87"/>
      <c r="M91" s="87"/>
      <c r="N91" s="87"/>
      <c r="O91" s="86" t="s">
        <v>762</v>
      </c>
      <c r="P91" s="87" t="s">
        <v>122</v>
      </c>
      <c r="Q91" s="87"/>
      <c r="R91" s="87">
        <v>8</v>
      </c>
      <c r="S91" s="87">
        <v>8</v>
      </c>
      <c r="T91" s="87" t="s">
        <v>122</v>
      </c>
      <c r="U91" s="87" t="s">
        <v>763</v>
      </c>
      <c r="V91" s="87" t="s">
        <v>764</v>
      </c>
      <c r="W91" s="87"/>
      <c r="X91" s="87" t="s">
        <v>8</v>
      </c>
      <c r="Y91" s="87" t="s">
        <v>715</v>
      </c>
      <c r="Z91" s="87" t="s">
        <v>715</v>
      </c>
      <c r="AA91" s="87" t="s">
        <v>715</v>
      </c>
      <c r="AB91" s="87" t="s">
        <v>715</v>
      </c>
      <c r="AC91" s="87">
        <v>61191</v>
      </c>
      <c r="AD91" s="87" t="s">
        <v>21</v>
      </c>
      <c r="AE91" s="87" t="s">
        <v>715</v>
      </c>
      <c r="AF91" s="90">
        <v>0.47</v>
      </c>
      <c r="AG91" s="90"/>
    </row>
    <row r="92" spans="1:33" x14ac:dyDescent="0.3">
      <c r="A92" s="86" t="str">
        <f t="shared" si="1"/>
        <v>[1.대우건설] 인천검단 신도시 AA28BL 공동주택 신축공사</v>
      </c>
      <c r="B92" s="87">
        <v>25032</v>
      </c>
      <c r="C92" s="88" t="s">
        <v>765</v>
      </c>
      <c r="D92" s="88" t="s">
        <v>765</v>
      </c>
      <c r="E92" s="87" t="s">
        <v>766</v>
      </c>
      <c r="F92" s="87" t="s">
        <v>395</v>
      </c>
      <c r="G92" s="88" t="s">
        <v>767</v>
      </c>
      <c r="H92" s="87"/>
      <c r="I92" s="88" t="s">
        <v>456</v>
      </c>
      <c r="J92" s="89">
        <v>3351417166</v>
      </c>
      <c r="K92" s="87"/>
      <c r="L92" s="87"/>
      <c r="M92" s="87"/>
      <c r="N92" s="87"/>
      <c r="O92" s="86" t="s">
        <v>768</v>
      </c>
      <c r="P92" s="87" t="s">
        <v>122</v>
      </c>
      <c r="Q92" s="87"/>
      <c r="R92" s="87">
        <v>8</v>
      </c>
      <c r="S92" s="87">
        <v>8</v>
      </c>
      <c r="T92" s="87" t="s">
        <v>122</v>
      </c>
      <c r="U92" s="87" t="s">
        <v>769</v>
      </c>
      <c r="V92" s="87" t="s">
        <v>770</v>
      </c>
      <c r="W92" s="87"/>
      <c r="X92" s="87" t="s">
        <v>371</v>
      </c>
      <c r="Y92" s="87" t="s">
        <v>771</v>
      </c>
      <c r="Z92" s="87" t="s">
        <v>772</v>
      </c>
      <c r="AA92" s="87" t="s">
        <v>773</v>
      </c>
      <c r="AB92" s="87">
        <v>919</v>
      </c>
      <c r="AC92" s="87">
        <v>50583</v>
      </c>
      <c r="AD92" s="87" t="s">
        <v>640</v>
      </c>
      <c r="AE92" s="87" t="s">
        <v>715</v>
      </c>
      <c r="AF92" s="90">
        <v>0.1168</v>
      </c>
      <c r="AG92" s="90">
        <v>0.12089999999999999</v>
      </c>
    </row>
    <row r="93" spans="1:33" x14ac:dyDescent="0.3">
      <c r="A93" s="86" t="str">
        <f t="shared" si="1"/>
        <v>[1.부영] 김천혁신 2-1블럭 부영아파트 신축공사</v>
      </c>
      <c r="B93" s="87">
        <v>25033</v>
      </c>
      <c r="C93" s="88" t="s">
        <v>774</v>
      </c>
      <c r="D93" s="88" t="s">
        <v>774</v>
      </c>
      <c r="E93" s="87" t="s">
        <v>775</v>
      </c>
      <c r="F93" s="87" t="s">
        <v>395</v>
      </c>
      <c r="G93" s="88" t="s">
        <v>776</v>
      </c>
      <c r="H93" s="87" t="s">
        <v>777</v>
      </c>
      <c r="I93" s="88" t="s">
        <v>776</v>
      </c>
      <c r="J93" s="89">
        <v>3043332923</v>
      </c>
      <c r="K93" s="87" t="s">
        <v>322</v>
      </c>
      <c r="L93" s="87"/>
      <c r="M93" s="87"/>
      <c r="N93" s="87"/>
      <c r="O93" s="86" t="s">
        <v>778</v>
      </c>
      <c r="P93" s="87" t="s">
        <v>122</v>
      </c>
      <c r="Q93" s="87"/>
      <c r="R93" s="87">
        <v>8</v>
      </c>
      <c r="S93" s="87">
        <v>8</v>
      </c>
      <c r="T93" s="87" t="s">
        <v>122</v>
      </c>
      <c r="U93" s="87" t="s">
        <v>324</v>
      </c>
      <c r="V93" s="87" t="s">
        <v>779</v>
      </c>
      <c r="W93" s="87"/>
      <c r="X93" s="87" t="s">
        <v>170</v>
      </c>
      <c r="Y93" s="87" t="s">
        <v>432</v>
      </c>
      <c r="Z93" s="87" t="s">
        <v>214</v>
      </c>
      <c r="AA93" s="87" t="s">
        <v>780</v>
      </c>
      <c r="AB93" s="87">
        <v>768</v>
      </c>
      <c r="AC93" s="87">
        <v>39232</v>
      </c>
      <c r="AD93" s="87" t="s">
        <v>640</v>
      </c>
      <c r="AE93" s="87" t="s">
        <v>715</v>
      </c>
      <c r="AF93" s="90">
        <v>0.12583991530102126</v>
      </c>
      <c r="AG93" s="90">
        <v>0.13326903670314993</v>
      </c>
    </row>
    <row r="94" spans="1:33" x14ac:dyDescent="0.3">
      <c r="A94" s="86" t="str">
        <f t="shared" si="1"/>
        <v>[5.SG신성건설] 판교 SG세계물산 사옥 신축공사</v>
      </c>
      <c r="B94" s="87">
        <v>25034</v>
      </c>
      <c r="C94" s="88" t="s">
        <v>781</v>
      </c>
      <c r="D94" s="88" t="s">
        <v>781</v>
      </c>
      <c r="E94" s="87" t="s">
        <v>782</v>
      </c>
      <c r="F94" s="87" t="s">
        <v>395</v>
      </c>
      <c r="G94" s="88"/>
      <c r="H94" s="87"/>
      <c r="I94" s="88" t="s">
        <v>783</v>
      </c>
      <c r="J94" s="89">
        <v>669213026</v>
      </c>
      <c r="K94" s="87"/>
      <c r="L94" s="87"/>
      <c r="M94" s="87"/>
      <c r="N94" s="87"/>
      <c r="O94" s="86" t="s">
        <v>784</v>
      </c>
      <c r="P94" s="87" t="s">
        <v>122</v>
      </c>
      <c r="Q94" s="87"/>
      <c r="R94" s="87">
        <v>8</v>
      </c>
      <c r="S94" s="87">
        <v>8</v>
      </c>
      <c r="T94" s="87" t="s">
        <v>122</v>
      </c>
      <c r="U94" s="87" t="s">
        <v>785</v>
      </c>
      <c r="V94" s="87" t="s">
        <v>586</v>
      </c>
      <c r="W94" s="87"/>
      <c r="X94" s="87" t="s">
        <v>371</v>
      </c>
      <c r="Y94" s="87" t="s">
        <v>724</v>
      </c>
      <c r="Z94" s="87" t="s">
        <v>772</v>
      </c>
      <c r="AA94" s="87" t="s">
        <v>786</v>
      </c>
      <c r="AB94" s="87"/>
      <c r="AC94" s="87">
        <v>3313</v>
      </c>
      <c r="AD94" s="87" t="s">
        <v>787</v>
      </c>
      <c r="AE94" s="87"/>
      <c r="AF94" s="90">
        <v>0.23849999999999999</v>
      </c>
      <c r="AG94" s="90"/>
    </row>
    <row r="95" spans="1:33" x14ac:dyDescent="0.3">
      <c r="A95" s="86" t="str">
        <f t="shared" si="1"/>
        <v>[1.두산건설] [전기] 강화2지역 주택조합 전기공사</v>
      </c>
      <c r="B95" s="87">
        <v>25035</v>
      </c>
      <c r="C95" s="88" t="s">
        <v>788</v>
      </c>
      <c r="D95" s="88" t="s">
        <v>788</v>
      </c>
      <c r="E95" s="87" t="s">
        <v>789</v>
      </c>
      <c r="F95" s="87" t="s">
        <v>395</v>
      </c>
      <c r="G95" s="88" t="s">
        <v>790</v>
      </c>
      <c r="H95" s="87" t="s">
        <v>791</v>
      </c>
      <c r="I95" s="88" t="s">
        <v>473</v>
      </c>
      <c r="J95" s="89">
        <v>4611970947</v>
      </c>
      <c r="K95" s="87"/>
      <c r="L95" s="87"/>
      <c r="M95" s="87"/>
      <c r="N95" s="87"/>
      <c r="O95" s="86" t="s">
        <v>792</v>
      </c>
      <c r="P95" s="87" t="s">
        <v>122</v>
      </c>
      <c r="Q95" s="87"/>
      <c r="R95" s="87">
        <v>8</v>
      </c>
      <c r="S95" s="87">
        <v>8</v>
      </c>
      <c r="T95" s="87" t="s">
        <v>122</v>
      </c>
      <c r="U95" s="87" t="s">
        <v>793</v>
      </c>
      <c r="V95" s="87" t="s">
        <v>794</v>
      </c>
      <c r="W95" s="87"/>
      <c r="X95" s="87" t="s">
        <v>795</v>
      </c>
      <c r="Y95" s="87" t="s">
        <v>796</v>
      </c>
      <c r="Z95" s="87" t="s">
        <v>214</v>
      </c>
      <c r="AA95" s="87" t="s">
        <v>346</v>
      </c>
      <c r="AB95" s="87">
        <v>1325</v>
      </c>
      <c r="AC95" s="87">
        <v>57379</v>
      </c>
      <c r="AD95" s="87" t="s">
        <v>138</v>
      </c>
      <c r="AE95" s="87" t="s">
        <v>124</v>
      </c>
      <c r="AF95" s="90">
        <v>0.11</v>
      </c>
      <c r="AG95" s="90" t="s">
        <v>715</v>
      </c>
    </row>
    <row r="96" spans="1:33" x14ac:dyDescent="0.3">
      <c r="A96" s="86" t="str">
        <f t="shared" si="1"/>
        <v>[5.현대엔지니어링] 현대 오토에버 루첸타워 인테리어 공사</v>
      </c>
      <c r="B96" s="87">
        <v>25036</v>
      </c>
      <c r="C96" s="88" t="s">
        <v>797</v>
      </c>
      <c r="D96" s="88" t="s">
        <v>797</v>
      </c>
      <c r="E96" s="87" t="s">
        <v>798</v>
      </c>
      <c r="F96" s="87" t="s">
        <v>395</v>
      </c>
      <c r="G96" s="88" t="s">
        <v>799</v>
      </c>
      <c r="H96" s="87"/>
      <c r="I96" s="88"/>
      <c r="J96" s="89">
        <v>221018359</v>
      </c>
      <c r="K96" s="87"/>
      <c r="L96" s="87"/>
      <c r="M96" s="87"/>
      <c r="N96" s="87"/>
      <c r="O96" s="86" t="s">
        <v>800</v>
      </c>
      <c r="P96" s="87" t="s">
        <v>122</v>
      </c>
      <c r="Q96" s="87"/>
      <c r="R96" s="87">
        <v>8</v>
      </c>
      <c r="S96" s="87">
        <v>8</v>
      </c>
      <c r="T96" s="87" t="s">
        <v>122</v>
      </c>
      <c r="U96" s="87" t="s">
        <v>410</v>
      </c>
      <c r="V96" s="87" t="s">
        <v>801</v>
      </c>
      <c r="W96" s="87" t="s">
        <v>715</v>
      </c>
      <c r="X96" s="87" t="s">
        <v>8</v>
      </c>
      <c r="Y96" s="87" t="s">
        <v>724</v>
      </c>
      <c r="Z96" s="87" t="s">
        <v>715</v>
      </c>
      <c r="AA96" s="87" t="s">
        <v>802</v>
      </c>
      <c r="AB96" s="87" t="s">
        <v>715</v>
      </c>
      <c r="AC96" s="87" t="s">
        <v>715</v>
      </c>
      <c r="AD96" s="87" t="s">
        <v>803</v>
      </c>
      <c r="AE96" s="87" t="s">
        <v>715</v>
      </c>
      <c r="AF96" s="90">
        <v>0.27</v>
      </c>
      <c r="AG96" s="90" t="s">
        <v>715</v>
      </c>
    </row>
    <row r="97" spans="1:33" x14ac:dyDescent="0.3">
      <c r="A97" s="86" t="str">
        <f t="shared" si="1"/>
        <v>[관급] 남양주왕숙 A-24BL 아파트 전기공사 4공구</v>
      </c>
      <c r="B97" s="87">
        <v>25037</v>
      </c>
      <c r="C97" s="88" t="s">
        <v>804</v>
      </c>
      <c r="D97" s="88" t="s">
        <v>804</v>
      </c>
      <c r="E97" s="87" t="s">
        <v>805</v>
      </c>
      <c r="F97" s="87" t="s">
        <v>395</v>
      </c>
      <c r="G97" s="88" t="s">
        <v>806</v>
      </c>
      <c r="H97" s="87"/>
      <c r="I97" s="88" t="s">
        <v>807</v>
      </c>
      <c r="J97" s="89">
        <v>0</v>
      </c>
      <c r="K97" s="87"/>
      <c r="L97" s="87"/>
      <c r="M97" s="87"/>
      <c r="N97" s="87"/>
      <c r="O97" s="86"/>
      <c r="P97" s="87" t="s">
        <v>122</v>
      </c>
      <c r="Q97" s="87" t="s">
        <v>123</v>
      </c>
      <c r="R97" s="87">
        <v>8</v>
      </c>
      <c r="S97" s="87">
        <v>8</v>
      </c>
      <c r="T97" s="87" t="s">
        <v>122</v>
      </c>
      <c r="U97" s="87" t="s">
        <v>808</v>
      </c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90"/>
      <c r="AG97" s="90"/>
    </row>
    <row r="98" spans="1:33" x14ac:dyDescent="0.3">
      <c r="A98" s="86" t="str">
        <f t="shared" si="1"/>
        <v>[6.현대엔지니어링] AutoLand 화성 기아 LW 프로젝트 일반전기공사(도장)</v>
      </c>
      <c r="B98" s="87">
        <v>25038</v>
      </c>
      <c r="C98" s="88" t="s">
        <v>809</v>
      </c>
      <c r="D98" s="104" t="s">
        <v>809</v>
      </c>
      <c r="E98" s="87" t="s">
        <v>810</v>
      </c>
      <c r="F98" s="87" t="s">
        <v>395</v>
      </c>
      <c r="G98" s="88" t="s">
        <v>811</v>
      </c>
      <c r="H98" s="87" t="s">
        <v>812</v>
      </c>
      <c r="I98" s="88" t="s">
        <v>813</v>
      </c>
      <c r="J98" s="89">
        <v>1745890656</v>
      </c>
      <c r="K98" s="87"/>
      <c r="L98" s="87"/>
      <c r="M98" s="87"/>
      <c r="N98" s="87"/>
      <c r="O98" s="86" t="s">
        <v>814</v>
      </c>
      <c r="P98" s="87" t="s">
        <v>122</v>
      </c>
      <c r="Q98" s="87"/>
      <c r="R98" s="87">
        <v>8</v>
      </c>
      <c r="S98" s="87">
        <v>8</v>
      </c>
      <c r="T98" s="87" t="s">
        <v>122</v>
      </c>
      <c r="U98" s="87" t="s">
        <v>815</v>
      </c>
      <c r="V98" s="87" t="s">
        <v>816</v>
      </c>
      <c r="W98" s="87"/>
      <c r="X98" s="87" t="s">
        <v>8</v>
      </c>
      <c r="Y98" s="87"/>
      <c r="Z98" s="87" t="s">
        <v>715</v>
      </c>
      <c r="AA98" s="87" t="s">
        <v>715</v>
      </c>
      <c r="AB98" s="87" t="s">
        <v>715</v>
      </c>
      <c r="AC98" s="87" t="s">
        <v>715</v>
      </c>
      <c r="AD98" s="87" t="s">
        <v>21</v>
      </c>
      <c r="AE98" s="87" t="s">
        <v>715</v>
      </c>
      <c r="AF98" s="90">
        <v>0.24310000000000001</v>
      </c>
      <c r="AG98" s="90" t="s">
        <v>715</v>
      </c>
    </row>
    <row r="99" spans="1:33" x14ac:dyDescent="0.3">
      <c r="A99" s="86" t="str">
        <f t="shared" si="1"/>
        <v>[3.쿠팡] CHA6 FC(천안) Ph2 전기공사</v>
      </c>
      <c r="B99" s="87">
        <v>25039</v>
      </c>
      <c r="C99" s="88" t="s">
        <v>817</v>
      </c>
      <c r="D99" s="88" t="s">
        <v>817</v>
      </c>
      <c r="E99" s="87"/>
      <c r="F99" s="87" t="s">
        <v>395</v>
      </c>
      <c r="G99" s="88"/>
      <c r="H99" s="87"/>
      <c r="I99" s="88"/>
      <c r="J99" s="89">
        <v>0</v>
      </c>
      <c r="K99" s="87"/>
      <c r="L99" s="87"/>
      <c r="M99" s="87"/>
      <c r="N99" s="87"/>
      <c r="O99" s="86"/>
      <c r="P99" s="87" t="s">
        <v>122</v>
      </c>
      <c r="Q99" s="87"/>
      <c r="R99" s="87">
        <v>8</v>
      </c>
      <c r="S99" s="87">
        <v>8</v>
      </c>
      <c r="T99" s="87" t="s">
        <v>122</v>
      </c>
      <c r="U99" s="87" t="s">
        <v>818</v>
      </c>
      <c r="V99" s="87" t="s">
        <v>749</v>
      </c>
      <c r="W99" s="87"/>
      <c r="X99" s="87" t="s">
        <v>470</v>
      </c>
      <c r="Y99" s="87" t="s">
        <v>724</v>
      </c>
      <c r="Z99" s="87" t="s">
        <v>572</v>
      </c>
      <c r="AA99" s="87" t="s">
        <v>819</v>
      </c>
      <c r="AB99" s="87" t="s">
        <v>715</v>
      </c>
      <c r="AC99" s="87" t="s">
        <v>715</v>
      </c>
      <c r="AD99" s="87" t="s">
        <v>22</v>
      </c>
      <c r="AE99" s="87"/>
      <c r="AF99" s="90" t="s">
        <v>715</v>
      </c>
      <c r="AG99" s="90" t="s">
        <v>715</v>
      </c>
    </row>
    <row r="100" spans="1:33" x14ac:dyDescent="0.3">
      <c r="A100" s="86" t="str">
        <f t="shared" si="1"/>
        <v>[관급] 고속국도 제255호선 강진~광주간 전기공사(제2공구)(제1차)</v>
      </c>
      <c r="B100" s="87">
        <v>25040</v>
      </c>
      <c r="C100" s="88" t="s">
        <v>820</v>
      </c>
      <c r="D100" s="88" t="s">
        <v>820</v>
      </c>
      <c r="E100" s="87" t="s">
        <v>821</v>
      </c>
      <c r="F100" s="87" t="s">
        <v>395</v>
      </c>
      <c r="G100" s="88" t="s">
        <v>822</v>
      </c>
      <c r="H100" s="87"/>
      <c r="I100" s="88" t="s">
        <v>807</v>
      </c>
      <c r="J100" s="89">
        <v>0</v>
      </c>
      <c r="K100" s="87"/>
      <c r="L100" s="87"/>
      <c r="M100" s="87"/>
      <c r="N100" s="87"/>
      <c r="O100" s="86"/>
      <c r="P100" s="87" t="s">
        <v>122</v>
      </c>
      <c r="Q100" s="87"/>
      <c r="R100" s="87">
        <v>8</v>
      </c>
      <c r="S100" s="87">
        <v>8</v>
      </c>
      <c r="T100" s="87" t="s">
        <v>122</v>
      </c>
      <c r="U100" s="87" t="s">
        <v>823</v>
      </c>
      <c r="V100" s="87"/>
      <c r="W100" s="87" t="s">
        <v>824</v>
      </c>
      <c r="X100" s="87"/>
      <c r="Y100" s="87"/>
      <c r="Z100" s="87"/>
      <c r="AA100" s="87"/>
      <c r="AB100" s="87"/>
      <c r="AC100" s="87"/>
      <c r="AD100" s="87"/>
      <c r="AE100" s="87"/>
      <c r="AF100" s="90" t="s">
        <v>715</v>
      </c>
      <c r="AG100" s="90"/>
    </row>
    <row r="101" spans="1:33" x14ac:dyDescent="0.3">
      <c r="A101" s="86" t="str">
        <f t="shared" si="1"/>
        <v>[4.롯데건설] 롯데바이오로직스 K1 HVAC 전기공사</v>
      </c>
      <c r="B101" s="87">
        <v>25041</v>
      </c>
      <c r="C101" s="88" t="s">
        <v>825</v>
      </c>
      <c r="D101" s="88" t="s">
        <v>825</v>
      </c>
      <c r="E101" s="87" t="s">
        <v>826</v>
      </c>
      <c r="F101" s="87" t="s">
        <v>117</v>
      </c>
      <c r="G101" s="88" t="s">
        <v>827</v>
      </c>
      <c r="H101" s="87"/>
      <c r="I101" s="88" t="s">
        <v>497</v>
      </c>
      <c r="J101" s="89">
        <v>1401491951</v>
      </c>
      <c r="K101" s="87" t="s">
        <v>828</v>
      </c>
      <c r="L101" s="87"/>
      <c r="M101" s="87"/>
      <c r="N101" s="87"/>
      <c r="O101" s="86" t="s">
        <v>762</v>
      </c>
      <c r="P101" s="87" t="s">
        <v>122</v>
      </c>
      <c r="Q101" s="87"/>
      <c r="R101" s="87">
        <v>8</v>
      </c>
      <c r="S101" s="87">
        <v>8</v>
      </c>
      <c r="T101" s="87" t="s">
        <v>122</v>
      </c>
      <c r="U101" s="87" t="s">
        <v>829</v>
      </c>
      <c r="V101" s="87" t="s">
        <v>830</v>
      </c>
      <c r="W101" s="87"/>
      <c r="X101" s="87" t="s">
        <v>8</v>
      </c>
      <c r="Y101" s="87" t="s">
        <v>715</v>
      </c>
      <c r="Z101" s="87" t="s">
        <v>715</v>
      </c>
      <c r="AA101" s="87" t="s">
        <v>715</v>
      </c>
      <c r="AB101" s="87" t="s">
        <v>715</v>
      </c>
      <c r="AC101" s="87" t="s">
        <v>715</v>
      </c>
      <c r="AD101" s="87" t="s">
        <v>831</v>
      </c>
      <c r="AE101" s="87" t="s">
        <v>715</v>
      </c>
      <c r="AF101" s="90">
        <v>0.35099999999999998</v>
      </c>
      <c r="AG101" s="90" t="s">
        <v>715</v>
      </c>
    </row>
    <row r="102" spans="1:33" x14ac:dyDescent="0.3">
      <c r="A102" s="86" t="str">
        <f t="shared" si="1"/>
        <v>[5.대보건설] 등촌동 청년주택 신축공사</v>
      </c>
      <c r="B102" s="87">
        <v>25042</v>
      </c>
      <c r="C102" s="88" t="s">
        <v>832</v>
      </c>
      <c r="D102" s="88" t="s">
        <v>832</v>
      </c>
      <c r="E102" s="87" t="s">
        <v>833</v>
      </c>
      <c r="F102" s="87" t="s">
        <v>395</v>
      </c>
      <c r="G102" s="88"/>
      <c r="H102" s="87"/>
      <c r="I102" s="88" t="s">
        <v>834</v>
      </c>
      <c r="J102" s="89">
        <v>2054127112</v>
      </c>
      <c r="K102" s="87" t="s">
        <v>835</v>
      </c>
      <c r="L102" s="87"/>
      <c r="M102" s="87"/>
      <c r="N102" s="87"/>
      <c r="O102" s="86" t="s">
        <v>836</v>
      </c>
      <c r="P102" s="87" t="s">
        <v>122</v>
      </c>
      <c r="Q102" s="87"/>
      <c r="R102" s="87">
        <v>8</v>
      </c>
      <c r="S102" s="87">
        <v>8</v>
      </c>
      <c r="T102" s="87" t="s">
        <v>122</v>
      </c>
      <c r="U102" s="87" t="s">
        <v>837</v>
      </c>
      <c r="V102" s="87" t="s">
        <v>382</v>
      </c>
      <c r="W102" s="87"/>
      <c r="X102" s="87" t="s">
        <v>371</v>
      </c>
      <c r="Y102" s="87" t="s">
        <v>724</v>
      </c>
      <c r="Z102" s="87" t="s">
        <v>772</v>
      </c>
      <c r="AA102" s="87" t="s">
        <v>773</v>
      </c>
      <c r="AB102" s="87">
        <v>616</v>
      </c>
      <c r="AC102" s="87">
        <v>23644.11</v>
      </c>
      <c r="AD102" s="87" t="s">
        <v>640</v>
      </c>
      <c r="AE102" s="87" t="s">
        <v>715</v>
      </c>
      <c r="AF102" s="90">
        <v>0.129</v>
      </c>
      <c r="AG102" s="90" t="s">
        <v>715</v>
      </c>
    </row>
    <row r="103" spans="1:33" x14ac:dyDescent="0.3">
      <c r="A103" s="86" t="str">
        <f t="shared" si="1"/>
        <v>[1.두산건설] [소방] 강화2지역 주택조합 소방공사</v>
      </c>
      <c r="B103" s="87">
        <v>25043</v>
      </c>
      <c r="C103" s="88" t="s">
        <v>838</v>
      </c>
      <c r="D103" s="88" t="s">
        <v>838</v>
      </c>
      <c r="E103" s="87" t="s">
        <v>789</v>
      </c>
      <c r="F103" s="87" t="s">
        <v>395</v>
      </c>
      <c r="G103" s="88" t="s">
        <v>790</v>
      </c>
      <c r="H103" s="87"/>
      <c r="I103" s="88" t="s">
        <v>473</v>
      </c>
      <c r="J103" s="89">
        <v>868922968</v>
      </c>
      <c r="K103" s="87" t="s">
        <v>312</v>
      </c>
      <c r="L103" s="87"/>
      <c r="M103" s="87"/>
      <c r="N103" s="87"/>
      <c r="O103" s="86" t="s">
        <v>792</v>
      </c>
      <c r="P103" s="87" t="s">
        <v>122</v>
      </c>
      <c r="Q103" s="87"/>
      <c r="R103" s="87">
        <v>8</v>
      </c>
      <c r="S103" s="87">
        <v>8</v>
      </c>
      <c r="T103" s="87" t="s">
        <v>122</v>
      </c>
      <c r="U103" s="87" t="s">
        <v>314</v>
      </c>
      <c r="V103" s="87" t="s">
        <v>839</v>
      </c>
      <c r="W103" s="87"/>
      <c r="X103" s="87"/>
      <c r="Y103" s="87"/>
      <c r="Z103" s="87"/>
      <c r="AA103" s="87"/>
      <c r="AB103" s="87"/>
      <c r="AC103" s="87"/>
      <c r="AD103" s="87"/>
      <c r="AE103" s="87"/>
      <c r="AF103" s="90"/>
      <c r="AG103" s="90"/>
    </row>
    <row r="104" spans="1:33" x14ac:dyDescent="0.3">
      <c r="A104" s="86" t="str">
        <f t="shared" si="1"/>
        <v>[1.라온건설] 덕소2구역 주택재개발 정비사업</v>
      </c>
      <c r="B104" s="87">
        <v>25044</v>
      </c>
      <c r="C104" s="88" t="s">
        <v>840</v>
      </c>
      <c r="D104" s="88" t="s">
        <v>841</v>
      </c>
      <c r="E104" s="87" t="s">
        <v>842</v>
      </c>
      <c r="F104" s="87" t="s">
        <v>395</v>
      </c>
      <c r="G104" s="88"/>
      <c r="H104" s="87"/>
      <c r="I104" s="88" t="s">
        <v>693</v>
      </c>
      <c r="J104" s="89">
        <v>0</v>
      </c>
      <c r="K104" s="87"/>
      <c r="L104" s="87"/>
      <c r="M104" s="87"/>
      <c r="N104" s="87"/>
      <c r="O104" s="86" t="s">
        <v>843</v>
      </c>
      <c r="P104" s="87" t="s">
        <v>122</v>
      </c>
      <c r="Q104" s="87"/>
      <c r="R104" s="87">
        <v>8</v>
      </c>
      <c r="S104" s="87">
        <v>8</v>
      </c>
      <c r="T104" s="87" t="s">
        <v>122</v>
      </c>
      <c r="U104" s="87" t="s">
        <v>844</v>
      </c>
      <c r="V104" s="87" t="s">
        <v>845</v>
      </c>
      <c r="W104" s="87"/>
      <c r="X104" s="87"/>
      <c r="Y104" s="87"/>
      <c r="Z104" s="87"/>
      <c r="AA104" s="87"/>
      <c r="AB104" s="87"/>
      <c r="AC104" s="87"/>
      <c r="AD104" s="87"/>
      <c r="AE104" s="87"/>
      <c r="AF104" s="90"/>
      <c r="AG104" s="90"/>
    </row>
    <row r="105" spans="1:33" x14ac:dyDescent="0.3">
      <c r="A105" s="86" t="str">
        <f t="shared" si="1"/>
        <v>[5.롯데건설] 마곡사옥 르웨스트 시티 D동 8-11층 이전공사</v>
      </c>
      <c r="B105" s="87">
        <v>25045</v>
      </c>
      <c r="C105" s="88" t="s">
        <v>846</v>
      </c>
      <c r="D105" s="88" t="s">
        <v>846</v>
      </c>
      <c r="E105" s="87" t="s">
        <v>847</v>
      </c>
      <c r="F105" s="87" t="s">
        <v>395</v>
      </c>
      <c r="G105" s="88"/>
      <c r="H105" s="87"/>
      <c r="I105" s="88" t="s">
        <v>497</v>
      </c>
      <c r="J105" s="89">
        <v>0</v>
      </c>
      <c r="K105" s="87" t="s">
        <v>261</v>
      </c>
      <c r="L105" s="87"/>
      <c r="M105" s="87"/>
      <c r="N105" s="87"/>
      <c r="O105" s="86" t="s">
        <v>848</v>
      </c>
      <c r="P105" s="87" t="s">
        <v>122</v>
      </c>
      <c r="Q105" s="87"/>
      <c r="R105" s="87">
        <v>8</v>
      </c>
      <c r="S105" s="87">
        <v>8</v>
      </c>
      <c r="T105" s="87" t="s">
        <v>122</v>
      </c>
      <c r="U105" s="87" t="s">
        <v>263</v>
      </c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90"/>
      <c r="AG105" s="90"/>
    </row>
    <row r="106" spans="1:33" x14ac:dyDescent="0.3">
      <c r="A106" s="86" t="str">
        <f t="shared" si="1"/>
        <v>[4.청량리제4구역] 청량리 4-1구역 상가 메인케이블 설치공사</v>
      </c>
      <c r="B106" s="87">
        <v>25046</v>
      </c>
      <c r="C106" s="88" t="s">
        <v>849</v>
      </c>
      <c r="D106" s="88" t="s">
        <v>849</v>
      </c>
      <c r="E106" s="87"/>
      <c r="F106" s="87" t="s">
        <v>395</v>
      </c>
      <c r="G106" s="88" t="s">
        <v>850</v>
      </c>
      <c r="H106" s="87"/>
      <c r="I106" s="88"/>
      <c r="J106" s="89">
        <v>0</v>
      </c>
      <c r="K106" s="87" t="s">
        <v>851</v>
      </c>
      <c r="L106" s="87"/>
      <c r="M106" s="87"/>
      <c r="N106" s="87"/>
      <c r="O106" s="86"/>
      <c r="P106" s="87" t="s">
        <v>122</v>
      </c>
      <c r="Q106" s="87"/>
      <c r="R106" s="87">
        <v>8</v>
      </c>
      <c r="S106" s="87">
        <v>8</v>
      </c>
      <c r="T106" s="87" t="s">
        <v>122</v>
      </c>
      <c r="U106" s="87" t="s">
        <v>852</v>
      </c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90"/>
      <c r="AG106" s="90"/>
    </row>
    <row r="107" spans="1:33" x14ac:dyDescent="0.3">
      <c r="A107" s="86" t="str">
        <f t="shared" si="1"/>
        <v>[1.진흥기업] 영등포 대림동 청년주택 신축공사</v>
      </c>
      <c r="B107" s="87">
        <v>25047</v>
      </c>
      <c r="C107" s="88" t="s">
        <v>853</v>
      </c>
      <c r="D107" s="88" t="s">
        <v>854</v>
      </c>
      <c r="E107" s="87" t="s">
        <v>855</v>
      </c>
      <c r="F107" s="87" t="s">
        <v>117</v>
      </c>
      <c r="G107" s="88" t="s">
        <v>856</v>
      </c>
      <c r="H107" s="87"/>
      <c r="I107" s="88" t="s">
        <v>857</v>
      </c>
      <c r="J107" s="89">
        <v>0</v>
      </c>
      <c r="K107" s="87" t="s">
        <v>858</v>
      </c>
      <c r="L107" s="87"/>
      <c r="M107" s="87"/>
      <c r="N107" s="87"/>
      <c r="O107" s="86" t="s">
        <v>859</v>
      </c>
      <c r="P107" s="87" t="s">
        <v>122</v>
      </c>
      <c r="Q107" s="87"/>
      <c r="R107" s="87">
        <v>8</v>
      </c>
      <c r="S107" s="87">
        <v>8</v>
      </c>
      <c r="T107" s="87" t="s">
        <v>122</v>
      </c>
      <c r="U107" s="87" t="s">
        <v>860</v>
      </c>
      <c r="V107" s="87" t="s">
        <v>861</v>
      </c>
      <c r="W107" s="87"/>
      <c r="X107" s="87"/>
      <c r="Y107" s="87" t="s">
        <v>179</v>
      </c>
      <c r="Z107" s="87" t="s">
        <v>345</v>
      </c>
      <c r="AA107" s="87" t="s">
        <v>346</v>
      </c>
      <c r="AB107" s="87" t="s">
        <v>862</v>
      </c>
      <c r="AC107" s="87" t="s">
        <v>863</v>
      </c>
      <c r="AD107" s="87" t="s">
        <v>138</v>
      </c>
      <c r="AE107" s="87"/>
      <c r="AF107" s="90"/>
      <c r="AG107" s="90"/>
    </row>
    <row r="108" spans="1:33" x14ac:dyDescent="0.3">
      <c r="A108" s="86" t="str">
        <f t="shared" si="1"/>
        <v>[5.동화이앤씨] 금천구 독산동 데이터센터 신축공사</v>
      </c>
      <c r="B108" s="87">
        <v>25048</v>
      </c>
      <c r="C108" s="88" t="s">
        <v>864</v>
      </c>
      <c r="D108" s="88" t="s">
        <v>864</v>
      </c>
      <c r="E108" s="87" t="s">
        <v>865</v>
      </c>
      <c r="F108" s="87" t="s">
        <v>395</v>
      </c>
      <c r="G108" s="88" t="s">
        <v>866</v>
      </c>
      <c r="H108" s="87" t="s">
        <v>867</v>
      </c>
      <c r="I108" s="88" t="s">
        <v>866</v>
      </c>
      <c r="J108" s="89">
        <v>0</v>
      </c>
      <c r="K108" s="87"/>
      <c r="L108" s="87"/>
      <c r="M108" s="87"/>
      <c r="N108" s="87"/>
      <c r="O108" s="86" t="s">
        <v>868</v>
      </c>
      <c r="P108" s="87" t="s">
        <v>122</v>
      </c>
      <c r="Q108" s="87"/>
      <c r="R108" s="87">
        <v>8</v>
      </c>
      <c r="S108" s="87">
        <v>8</v>
      </c>
      <c r="T108" s="87" t="s">
        <v>122</v>
      </c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90"/>
      <c r="AG108" s="90"/>
    </row>
    <row r="109" spans="1:33" x14ac:dyDescent="0.3">
      <c r="A109" s="86" t="str">
        <f t="shared" si="1"/>
        <v>[3.쿠팡] FCs 조명교체 및 난방기 모션센서 설치공사</v>
      </c>
      <c r="B109" s="87">
        <v>25049</v>
      </c>
      <c r="C109" s="88" t="s">
        <v>869</v>
      </c>
      <c r="D109" s="88" t="s">
        <v>869</v>
      </c>
      <c r="E109" s="87"/>
      <c r="F109" s="87" t="s">
        <v>395</v>
      </c>
      <c r="G109" s="88" t="s">
        <v>465</v>
      </c>
      <c r="H109" s="87"/>
      <c r="I109" s="88" t="s">
        <v>465</v>
      </c>
      <c r="J109" s="89">
        <v>0</v>
      </c>
      <c r="K109" s="87"/>
      <c r="L109" s="87"/>
      <c r="M109" s="87"/>
      <c r="N109" s="87"/>
      <c r="O109" s="86"/>
      <c r="P109" s="87" t="s">
        <v>122</v>
      </c>
      <c r="Q109" s="87"/>
      <c r="R109" s="87">
        <v>8</v>
      </c>
      <c r="S109" s="87">
        <v>8</v>
      </c>
      <c r="T109" s="87" t="s">
        <v>122</v>
      </c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90"/>
      <c r="AG109" s="90"/>
    </row>
    <row r="110" spans="1:33" x14ac:dyDescent="0.3">
      <c r="A110" s="86" t="str">
        <f t="shared" si="1"/>
        <v>[3.쿠팡] GWJ1 FC 전기공사</v>
      </c>
      <c r="B110" s="87">
        <v>25050</v>
      </c>
      <c r="C110" s="88" t="s">
        <v>870</v>
      </c>
      <c r="D110" s="88" t="s">
        <v>870</v>
      </c>
      <c r="E110" s="87"/>
      <c r="F110" s="87" t="s">
        <v>395</v>
      </c>
      <c r="G110" s="88" t="s">
        <v>465</v>
      </c>
      <c r="H110" s="87"/>
      <c r="I110" s="88" t="s">
        <v>465</v>
      </c>
      <c r="J110" s="89">
        <v>0</v>
      </c>
      <c r="K110" s="87"/>
      <c r="L110" s="87"/>
      <c r="M110" s="87"/>
      <c r="N110" s="87"/>
      <c r="O110" s="86"/>
      <c r="P110" s="87" t="s">
        <v>122</v>
      </c>
      <c r="Q110" s="87"/>
      <c r="R110" s="87">
        <v>8</v>
      </c>
      <c r="S110" s="87">
        <v>8</v>
      </c>
      <c r="T110" s="87" t="s">
        <v>122</v>
      </c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90"/>
      <c r="AG110" s="90"/>
    </row>
    <row r="111" spans="1:33" x14ac:dyDescent="0.3">
      <c r="A111" s="86" t="str">
        <f t="shared" si="1"/>
        <v>[5.현대엔지니어링] HMC 춘천사옥 전시장 전열추가 공사 및 부대공사</v>
      </c>
      <c r="B111" s="87">
        <v>25051</v>
      </c>
      <c r="C111" s="88" t="s">
        <v>871</v>
      </c>
      <c r="D111" s="88" t="s">
        <v>871</v>
      </c>
      <c r="E111" s="87" t="s">
        <v>872</v>
      </c>
      <c r="F111" s="87" t="s">
        <v>117</v>
      </c>
      <c r="G111" s="88" t="s">
        <v>873</v>
      </c>
      <c r="H111" s="87" t="s">
        <v>874</v>
      </c>
      <c r="I111" s="88" t="s">
        <v>813</v>
      </c>
      <c r="J111" s="89">
        <v>0</v>
      </c>
      <c r="K111" s="87"/>
      <c r="L111" s="87"/>
      <c r="M111" s="87"/>
      <c r="N111" s="87"/>
      <c r="O111" s="86"/>
      <c r="P111" s="87" t="s">
        <v>122</v>
      </c>
      <c r="Q111" s="87"/>
      <c r="R111" s="87">
        <v>8</v>
      </c>
      <c r="S111" s="87">
        <v>8</v>
      </c>
      <c r="T111" s="87" t="s">
        <v>122</v>
      </c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90"/>
      <c r="AG111" s="90"/>
    </row>
    <row r="112" spans="1:33" x14ac:dyDescent="0.3">
      <c r="A112" s="86">
        <f t="shared" si="1"/>
        <v>0</v>
      </c>
      <c r="B112" s="87"/>
      <c r="C112" s="88"/>
      <c r="D112" s="88"/>
      <c r="E112" s="87"/>
      <c r="F112" s="87"/>
      <c r="G112" s="88"/>
      <c r="H112" s="87"/>
      <c r="I112" s="88"/>
      <c r="J112" s="89"/>
      <c r="K112" s="87"/>
      <c r="L112" s="87"/>
      <c r="M112" s="87"/>
      <c r="N112" s="87"/>
      <c r="O112" s="86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90"/>
      <c r="AG112" s="90"/>
    </row>
    <row r="113" spans="1:33" x14ac:dyDescent="0.3">
      <c r="A113" s="86">
        <f t="shared" si="1"/>
        <v>0</v>
      </c>
      <c r="B113" s="87"/>
      <c r="C113" s="88"/>
      <c r="D113" s="88"/>
      <c r="E113" s="87"/>
      <c r="F113" s="87"/>
      <c r="G113" s="88"/>
      <c r="H113" s="87"/>
      <c r="I113" s="88"/>
      <c r="J113" s="89"/>
      <c r="K113" s="87"/>
      <c r="L113" s="87"/>
      <c r="M113" s="87"/>
      <c r="N113" s="87"/>
      <c r="O113" s="86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90"/>
      <c r="AG113" s="90"/>
    </row>
    <row r="114" spans="1:33" x14ac:dyDescent="0.3">
      <c r="A114" s="86">
        <f t="shared" si="1"/>
        <v>0</v>
      </c>
      <c r="B114" s="87"/>
      <c r="C114" s="88"/>
      <c r="D114" s="88"/>
      <c r="E114" s="87"/>
      <c r="F114" s="87"/>
      <c r="G114" s="88"/>
      <c r="H114" s="87"/>
      <c r="I114" s="88"/>
      <c r="J114" s="89"/>
      <c r="K114" s="87"/>
      <c r="L114" s="87"/>
      <c r="M114" s="87"/>
      <c r="N114" s="87"/>
      <c r="O114" s="86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90"/>
      <c r="AG114" s="90"/>
    </row>
    <row r="115" spans="1:33" x14ac:dyDescent="0.3">
      <c r="A115" s="86">
        <f t="shared" si="1"/>
        <v>0</v>
      </c>
      <c r="B115" s="87"/>
      <c r="C115" s="88"/>
      <c r="D115" s="88"/>
      <c r="E115" s="87"/>
      <c r="F115" s="87"/>
      <c r="G115" s="88"/>
      <c r="H115" s="87"/>
      <c r="I115" s="88"/>
      <c r="J115" s="89"/>
      <c r="K115" s="87"/>
      <c r="L115" s="87"/>
      <c r="M115" s="87"/>
      <c r="N115" s="87"/>
      <c r="O115" s="86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90"/>
      <c r="AG115" s="90"/>
    </row>
    <row r="116" spans="1:33" x14ac:dyDescent="0.3">
      <c r="A116" s="86">
        <f t="shared" si="1"/>
        <v>0</v>
      </c>
      <c r="B116" s="87"/>
      <c r="C116" s="88"/>
      <c r="D116" s="88"/>
      <c r="E116" s="87"/>
      <c r="F116" s="87"/>
      <c r="G116" s="88"/>
      <c r="H116" s="87"/>
      <c r="I116" s="88"/>
      <c r="J116" s="89"/>
      <c r="K116" s="87"/>
      <c r="L116" s="87"/>
      <c r="M116" s="87"/>
      <c r="N116" s="87"/>
      <c r="O116" s="86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90"/>
      <c r="AG116" s="90"/>
    </row>
    <row r="117" spans="1:33" x14ac:dyDescent="0.3">
      <c r="A117" s="86">
        <f t="shared" si="1"/>
        <v>0</v>
      </c>
      <c r="B117" s="87"/>
      <c r="C117" s="88"/>
      <c r="D117" s="88"/>
      <c r="E117" s="87"/>
      <c r="F117" s="87"/>
      <c r="G117" s="88"/>
      <c r="H117" s="87"/>
      <c r="I117" s="88"/>
      <c r="J117" s="89"/>
      <c r="K117" s="87"/>
      <c r="L117" s="87"/>
      <c r="M117" s="87"/>
      <c r="N117" s="87"/>
      <c r="O117" s="86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90"/>
      <c r="AG117" s="90"/>
    </row>
    <row r="118" spans="1:33" x14ac:dyDescent="0.3">
      <c r="A118" s="86">
        <f t="shared" si="1"/>
        <v>0</v>
      </c>
      <c r="B118" s="87"/>
      <c r="C118" s="88"/>
      <c r="D118" s="88"/>
      <c r="E118" s="87"/>
      <c r="F118" s="87"/>
      <c r="G118" s="88"/>
      <c r="H118" s="87"/>
      <c r="I118" s="88"/>
      <c r="J118" s="89"/>
      <c r="K118" s="87"/>
      <c r="L118" s="87"/>
      <c r="M118" s="87"/>
      <c r="N118" s="87"/>
      <c r="O118" s="86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90"/>
      <c r="AG118" s="90"/>
    </row>
    <row r="119" spans="1:33" x14ac:dyDescent="0.3">
      <c r="A119" s="86">
        <f t="shared" si="1"/>
        <v>0</v>
      </c>
      <c r="B119" s="87"/>
      <c r="C119" s="88"/>
      <c r="D119" s="88"/>
      <c r="E119" s="87"/>
      <c r="F119" s="87"/>
      <c r="G119" s="88"/>
      <c r="H119" s="87"/>
      <c r="I119" s="88"/>
      <c r="J119" s="89"/>
      <c r="K119" s="87"/>
      <c r="L119" s="87"/>
      <c r="M119" s="87"/>
      <c r="N119" s="87"/>
      <c r="O119" s="86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90"/>
      <c r="AG119" s="90"/>
    </row>
    <row r="120" spans="1:33" x14ac:dyDescent="0.3">
      <c r="A120" s="86">
        <f t="shared" si="1"/>
        <v>0</v>
      </c>
      <c r="B120" s="87"/>
      <c r="C120" s="88"/>
      <c r="D120" s="88"/>
      <c r="E120" s="87"/>
      <c r="F120" s="87"/>
      <c r="G120" s="88"/>
      <c r="H120" s="87"/>
      <c r="I120" s="88"/>
      <c r="J120" s="89"/>
      <c r="K120" s="87"/>
      <c r="L120" s="87"/>
      <c r="M120" s="87"/>
      <c r="N120" s="87"/>
      <c r="O120" s="86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90"/>
      <c r="AG120" s="90"/>
    </row>
    <row r="121" spans="1:33" x14ac:dyDescent="0.3">
      <c r="A121" s="86">
        <f t="shared" si="1"/>
        <v>0</v>
      </c>
      <c r="B121" s="87"/>
      <c r="C121" s="88"/>
      <c r="D121" s="88"/>
      <c r="E121" s="87"/>
      <c r="F121" s="87"/>
      <c r="G121" s="88"/>
      <c r="H121" s="87"/>
      <c r="I121" s="88"/>
      <c r="J121" s="89"/>
      <c r="K121" s="87"/>
      <c r="L121" s="87"/>
      <c r="M121" s="87"/>
      <c r="N121" s="87"/>
      <c r="O121" s="86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90"/>
      <c r="AG121" s="90"/>
    </row>
    <row r="122" spans="1:33" x14ac:dyDescent="0.3">
      <c r="A122" s="86">
        <f t="shared" si="1"/>
        <v>0</v>
      </c>
      <c r="B122" s="87"/>
      <c r="C122" s="88"/>
      <c r="D122" s="88"/>
      <c r="E122" s="87"/>
      <c r="F122" s="87"/>
      <c r="G122" s="88"/>
      <c r="H122" s="87"/>
      <c r="I122" s="88"/>
      <c r="J122" s="89"/>
      <c r="K122" s="87"/>
      <c r="L122" s="87"/>
      <c r="M122" s="87"/>
      <c r="N122" s="87"/>
      <c r="O122" s="86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90"/>
      <c r="AG122" s="90"/>
    </row>
    <row r="123" spans="1:33" x14ac:dyDescent="0.3">
      <c r="A123" s="86">
        <f t="shared" si="1"/>
        <v>0</v>
      </c>
      <c r="B123" s="87"/>
      <c r="C123" s="88"/>
      <c r="D123" s="88"/>
      <c r="E123" s="87"/>
      <c r="F123" s="87"/>
      <c r="G123" s="88"/>
      <c r="H123" s="87"/>
      <c r="I123" s="88"/>
      <c r="J123" s="89"/>
      <c r="K123" s="87"/>
      <c r="L123" s="87"/>
      <c r="M123" s="87"/>
      <c r="N123" s="87"/>
      <c r="O123" s="86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90"/>
      <c r="AG123" s="90"/>
    </row>
    <row r="124" spans="1:33" x14ac:dyDescent="0.3">
      <c r="A124" s="86">
        <f t="shared" si="1"/>
        <v>0</v>
      </c>
      <c r="B124" s="87"/>
      <c r="C124" s="88"/>
      <c r="D124" s="88"/>
      <c r="E124" s="87"/>
      <c r="F124" s="87"/>
      <c r="G124" s="88"/>
      <c r="H124" s="87"/>
      <c r="I124" s="88"/>
      <c r="J124" s="89"/>
      <c r="K124" s="87"/>
      <c r="L124" s="87"/>
      <c r="M124" s="87"/>
      <c r="N124" s="87"/>
      <c r="O124" s="86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90"/>
      <c r="AG124" s="90"/>
    </row>
    <row r="125" spans="1:33" x14ac:dyDescent="0.3">
      <c r="A125" s="86">
        <f t="shared" si="1"/>
        <v>0</v>
      </c>
      <c r="B125" s="87"/>
      <c r="C125" s="88"/>
      <c r="D125" s="88"/>
      <c r="E125" s="87"/>
      <c r="F125" s="87"/>
      <c r="G125" s="88"/>
      <c r="H125" s="87"/>
      <c r="I125" s="88"/>
      <c r="J125" s="89"/>
      <c r="K125" s="87"/>
      <c r="L125" s="87"/>
      <c r="M125" s="87"/>
      <c r="N125" s="87"/>
      <c r="O125" s="86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90"/>
      <c r="AG125" s="90"/>
    </row>
    <row r="126" spans="1:33" x14ac:dyDescent="0.3">
      <c r="A126" s="86">
        <f t="shared" si="1"/>
        <v>0</v>
      </c>
      <c r="B126" s="87"/>
      <c r="C126" s="88"/>
      <c r="D126" s="88"/>
      <c r="E126" s="87"/>
      <c r="F126" s="87"/>
      <c r="G126" s="88"/>
      <c r="H126" s="87"/>
      <c r="I126" s="88"/>
      <c r="J126" s="89"/>
      <c r="K126" s="87"/>
      <c r="L126" s="87"/>
      <c r="M126" s="87"/>
      <c r="N126" s="87"/>
      <c r="O126" s="86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90"/>
      <c r="AG126" s="90"/>
    </row>
    <row r="127" spans="1:33" x14ac:dyDescent="0.3">
      <c r="A127" s="86">
        <f t="shared" si="1"/>
        <v>0</v>
      </c>
      <c r="B127" s="87"/>
      <c r="C127" s="88"/>
      <c r="D127" s="88"/>
      <c r="E127" s="87"/>
      <c r="F127" s="87"/>
      <c r="G127" s="88"/>
      <c r="H127" s="87"/>
      <c r="I127" s="88"/>
      <c r="J127" s="89"/>
      <c r="K127" s="87"/>
      <c r="L127" s="87"/>
      <c r="M127" s="87"/>
      <c r="N127" s="87"/>
      <c r="O127" s="86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90"/>
      <c r="AG127" s="90"/>
    </row>
    <row r="128" spans="1:33" x14ac:dyDescent="0.3">
      <c r="A128" s="86">
        <f t="shared" si="1"/>
        <v>0</v>
      </c>
      <c r="B128" s="87"/>
      <c r="C128" s="88"/>
      <c r="D128" s="88"/>
      <c r="E128" s="87"/>
      <c r="F128" s="87"/>
      <c r="G128" s="88"/>
      <c r="H128" s="87"/>
      <c r="I128" s="88"/>
      <c r="J128" s="89"/>
      <c r="K128" s="87"/>
      <c r="L128" s="87"/>
      <c r="M128" s="87"/>
      <c r="N128" s="87"/>
      <c r="O128" s="86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90"/>
      <c r="AG128" s="90"/>
    </row>
    <row r="129" spans="1:33" x14ac:dyDescent="0.3">
      <c r="A129" s="86">
        <f t="shared" si="1"/>
        <v>0</v>
      </c>
      <c r="B129" s="87"/>
      <c r="C129" s="88"/>
      <c r="D129" s="88"/>
      <c r="E129" s="87"/>
      <c r="F129" s="87"/>
      <c r="G129" s="88"/>
      <c r="H129" s="87"/>
      <c r="I129" s="88"/>
      <c r="J129" s="89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90"/>
      <c r="AG129" s="90"/>
    </row>
    <row r="130" spans="1:33" x14ac:dyDescent="0.3">
      <c r="A130" s="86">
        <f t="shared" si="1"/>
        <v>0</v>
      </c>
      <c r="B130" s="87"/>
      <c r="C130" s="88"/>
      <c r="D130" s="88"/>
      <c r="E130" s="87"/>
      <c r="F130" s="87"/>
      <c r="G130" s="88"/>
      <c r="H130" s="87"/>
      <c r="I130" s="88"/>
      <c r="J130" s="89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90"/>
      <c r="AG130" s="90"/>
    </row>
    <row r="131" spans="1:33" x14ac:dyDescent="0.3">
      <c r="A131" s="86">
        <f t="shared" si="1"/>
        <v>0</v>
      </c>
      <c r="B131" s="87"/>
      <c r="C131" s="88"/>
      <c r="D131" s="88"/>
      <c r="E131" s="87"/>
      <c r="F131" s="87"/>
      <c r="G131" s="88"/>
      <c r="H131" s="87"/>
      <c r="I131" s="88"/>
      <c r="J131" s="89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90"/>
      <c r="AG131" s="90"/>
    </row>
    <row r="132" spans="1:33" x14ac:dyDescent="0.3">
      <c r="A132" s="86">
        <f t="shared" ref="A132:A195" si="2">C132</f>
        <v>0</v>
      </c>
      <c r="B132" s="87"/>
      <c r="C132" s="88"/>
      <c r="D132" s="88"/>
      <c r="E132" s="87"/>
      <c r="F132" s="87"/>
      <c r="G132" s="88"/>
      <c r="H132" s="87"/>
      <c r="I132" s="88"/>
      <c r="J132" s="89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90"/>
      <c r="AG132" s="90"/>
    </row>
    <row r="133" spans="1:33" x14ac:dyDescent="0.3">
      <c r="A133" s="86">
        <f t="shared" si="2"/>
        <v>0</v>
      </c>
      <c r="B133" s="87"/>
      <c r="C133" s="88"/>
      <c r="D133" s="88"/>
      <c r="E133" s="87"/>
      <c r="F133" s="87"/>
      <c r="G133" s="88"/>
      <c r="H133" s="87"/>
      <c r="I133" s="88"/>
      <c r="J133" s="89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90"/>
      <c r="AG133" s="90"/>
    </row>
    <row r="134" spans="1:33" x14ac:dyDescent="0.3">
      <c r="A134" s="86">
        <f t="shared" si="2"/>
        <v>0</v>
      </c>
      <c r="B134" s="87"/>
      <c r="C134" s="88"/>
      <c r="D134" s="88"/>
      <c r="E134" s="87"/>
      <c r="F134" s="87"/>
      <c r="G134" s="88"/>
      <c r="H134" s="87"/>
      <c r="I134" s="88"/>
      <c r="J134" s="89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90"/>
      <c r="AG134" s="90"/>
    </row>
    <row r="135" spans="1:33" x14ac:dyDescent="0.3">
      <c r="A135" s="86">
        <f t="shared" si="2"/>
        <v>0</v>
      </c>
      <c r="B135" s="87"/>
      <c r="C135" s="88"/>
      <c r="D135" s="88"/>
      <c r="E135" s="87"/>
      <c r="F135" s="87"/>
      <c r="G135" s="88"/>
      <c r="H135" s="87"/>
      <c r="I135" s="88"/>
      <c r="J135" s="89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90"/>
      <c r="AG135" s="90"/>
    </row>
    <row r="136" spans="1:33" x14ac:dyDescent="0.3">
      <c r="A136" s="86">
        <f t="shared" si="2"/>
        <v>0</v>
      </c>
      <c r="B136" s="87"/>
      <c r="C136" s="88"/>
      <c r="D136" s="88"/>
      <c r="E136" s="87"/>
      <c r="F136" s="87"/>
      <c r="G136" s="88"/>
      <c r="H136" s="87"/>
      <c r="I136" s="88"/>
      <c r="J136" s="89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90"/>
      <c r="AG136" s="90"/>
    </row>
    <row r="137" spans="1:33" x14ac:dyDescent="0.3">
      <c r="A137" s="86">
        <f t="shared" si="2"/>
        <v>0</v>
      </c>
      <c r="B137" s="87"/>
      <c r="C137" s="88"/>
      <c r="D137" s="88"/>
      <c r="E137" s="87"/>
      <c r="F137" s="87"/>
      <c r="G137" s="88"/>
      <c r="H137" s="87"/>
      <c r="I137" s="88"/>
      <c r="J137" s="89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90"/>
      <c r="AG137" s="90"/>
    </row>
    <row r="138" spans="1:33" x14ac:dyDescent="0.3">
      <c r="A138" s="86">
        <f t="shared" si="2"/>
        <v>0</v>
      </c>
      <c r="B138" s="87"/>
      <c r="C138" s="88"/>
      <c r="D138" s="88"/>
      <c r="E138" s="87"/>
      <c r="F138" s="87"/>
      <c r="G138" s="88"/>
      <c r="H138" s="87"/>
      <c r="I138" s="88"/>
      <c r="J138" s="89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90"/>
      <c r="AG138" s="90"/>
    </row>
    <row r="139" spans="1:33" x14ac:dyDescent="0.3">
      <c r="A139" s="86">
        <f t="shared" si="2"/>
        <v>0</v>
      </c>
      <c r="B139" s="87"/>
      <c r="C139" s="88"/>
      <c r="D139" s="88"/>
      <c r="E139" s="87"/>
      <c r="F139" s="87"/>
      <c r="G139" s="88"/>
      <c r="H139" s="87"/>
      <c r="I139" s="88"/>
      <c r="J139" s="89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90"/>
      <c r="AG139" s="90"/>
    </row>
    <row r="140" spans="1:33" x14ac:dyDescent="0.3">
      <c r="A140" s="86">
        <f t="shared" si="2"/>
        <v>0</v>
      </c>
      <c r="B140" s="87"/>
      <c r="C140" s="88"/>
      <c r="D140" s="88"/>
      <c r="E140" s="87"/>
      <c r="F140" s="87"/>
      <c r="G140" s="88"/>
      <c r="H140" s="87"/>
      <c r="I140" s="88"/>
      <c r="J140" s="89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90"/>
      <c r="AG140" s="90"/>
    </row>
    <row r="141" spans="1:33" x14ac:dyDescent="0.3">
      <c r="A141" s="86">
        <f t="shared" si="2"/>
        <v>0</v>
      </c>
      <c r="B141" s="87"/>
      <c r="C141" s="88"/>
      <c r="D141" s="88"/>
      <c r="E141" s="87"/>
      <c r="F141" s="87"/>
      <c r="G141" s="88"/>
      <c r="H141" s="87"/>
      <c r="I141" s="88"/>
      <c r="J141" s="89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90"/>
      <c r="AG141" s="90"/>
    </row>
    <row r="142" spans="1:33" x14ac:dyDescent="0.3">
      <c r="A142" s="86">
        <f t="shared" si="2"/>
        <v>0</v>
      </c>
      <c r="B142" s="87"/>
      <c r="C142" s="88"/>
      <c r="D142" s="88"/>
      <c r="E142" s="87"/>
      <c r="F142" s="87"/>
      <c r="G142" s="88"/>
      <c r="H142" s="87"/>
      <c r="I142" s="88"/>
      <c r="J142" s="89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90"/>
      <c r="AG142" s="90"/>
    </row>
    <row r="143" spans="1:33" x14ac:dyDescent="0.3">
      <c r="A143" s="86">
        <f t="shared" si="2"/>
        <v>0</v>
      </c>
      <c r="B143" s="87"/>
      <c r="C143" s="88"/>
      <c r="D143" s="88"/>
      <c r="E143" s="87"/>
      <c r="F143" s="87"/>
      <c r="G143" s="88"/>
      <c r="H143" s="87"/>
      <c r="I143" s="88"/>
      <c r="J143" s="89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90"/>
      <c r="AG143" s="90"/>
    </row>
    <row r="144" spans="1:33" x14ac:dyDescent="0.3">
      <c r="A144" s="86">
        <f t="shared" si="2"/>
        <v>0</v>
      </c>
      <c r="B144" s="87"/>
      <c r="C144" s="88"/>
      <c r="D144" s="88"/>
      <c r="E144" s="87"/>
      <c r="F144" s="87"/>
      <c r="G144" s="88"/>
      <c r="H144" s="87"/>
      <c r="I144" s="88"/>
      <c r="J144" s="89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90"/>
      <c r="AG144" s="90"/>
    </row>
    <row r="145" spans="1:33" x14ac:dyDescent="0.3">
      <c r="A145" s="86">
        <f t="shared" si="2"/>
        <v>0</v>
      </c>
      <c r="B145" s="87"/>
      <c r="C145" s="88"/>
      <c r="D145" s="88"/>
      <c r="E145" s="87"/>
      <c r="F145" s="87"/>
      <c r="G145" s="88"/>
      <c r="H145" s="87"/>
      <c r="I145" s="88"/>
      <c r="J145" s="89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90"/>
      <c r="AG145" s="90"/>
    </row>
    <row r="146" spans="1:33" x14ac:dyDescent="0.3">
      <c r="A146" s="86">
        <f t="shared" si="2"/>
        <v>0</v>
      </c>
      <c r="B146" s="87"/>
      <c r="C146" s="88"/>
      <c r="D146" s="88"/>
      <c r="E146" s="87"/>
      <c r="F146" s="87"/>
      <c r="G146" s="88"/>
      <c r="H146" s="87"/>
      <c r="I146" s="88"/>
      <c r="J146" s="89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90"/>
      <c r="AG146" s="90"/>
    </row>
    <row r="147" spans="1:33" x14ac:dyDescent="0.3">
      <c r="A147" s="86">
        <f t="shared" si="2"/>
        <v>0</v>
      </c>
      <c r="B147" s="87"/>
      <c r="C147" s="88"/>
      <c r="D147" s="88"/>
      <c r="E147" s="87"/>
      <c r="F147" s="87"/>
      <c r="G147" s="88"/>
      <c r="H147" s="87"/>
      <c r="I147" s="88"/>
      <c r="J147" s="89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90"/>
      <c r="AG147" s="90"/>
    </row>
    <row r="148" spans="1:33" x14ac:dyDescent="0.3">
      <c r="A148" s="86">
        <f t="shared" si="2"/>
        <v>0</v>
      </c>
      <c r="B148" s="87"/>
      <c r="C148" s="88"/>
      <c r="D148" s="88"/>
      <c r="E148" s="87"/>
      <c r="F148" s="87"/>
      <c r="G148" s="88"/>
      <c r="H148" s="87"/>
      <c r="I148" s="88"/>
      <c r="J148" s="89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90"/>
      <c r="AG148" s="90"/>
    </row>
    <row r="149" spans="1:33" x14ac:dyDescent="0.3">
      <c r="A149" s="86">
        <f t="shared" si="2"/>
        <v>0</v>
      </c>
      <c r="B149" s="87"/>
      <c r="C149" s="88"/>
      <c r="D149" s="88"/>
      <c r="E149" s="87"/>
      <c r="F149" s="87"/>
      <c r="G149" s="88"/>
      <c r="H149" s="87"/>
      <c r="I149" s="88"/>
      <c r="J149" s="89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90"/>
      <c r="AG149" s="90"/>
    </row>
    <row r="150" spans="1:33" x14ac:dyDescent="0.3">
      <c r="A150" s="86">
        <f t="shared" si="2"/>
        <v>0</v>
      </c>
      <c r="B150" s="87"/>
      <c r="C150" s="88"/>
      <c r="D150" s="88"/>
      <c r="E150" s="87"/>
      <c r="F150" s="87"/>
      <c r="G150" s="88"/>
      <c r="H150" s="87"/>
      <c r="I150" s="88"/>
      <c r="J150" s="89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90"/>
      <c r="AG150" s="90"/>
    </row>
    <row r="151" spans="1:33" x14ac:dyDescent="0.3">
      <c r="A151" s="86">
        <f t="shared" si="2"/>
        <v>0</v>
      </c>
      <c r="B151" s="87"/>
      <c r="C151" s="88"/>
      <c r="D151" s="88"/>
      <c r="E151" s="87"/>
      <c r="F151" s="87"/>
      <c r="G151" s="88"/>
      <c r="H151" s="87"/>
      <c r="I151" s="88"/>
      <c r="J151" s="89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90"/>
      <c r="AG151" s="90"/>
    </row>
    <row r="152" spans="1:33" x14ac:dyDescent="0.3">
      <c r="A152" s="86">
        <f t="shared" si="2"/>
        <v>0</v>
      </c>
      <c r="B152" s="87"/>
      <c r="C152" s="88"/>
      <c r="D152" s="88"/>
      <c r="E152" s="87"/>
      <c r="F152" s="87"/>
      <c r="G152" s="88"/>
      <c r="H152" s="87"/>
      <c r="I152" s="88"/>
      <c r="J152" s="89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90"/>
      <c r="AG152" s="90"/>
    </row>
    <row r="153" spans="1:33" x14ac:dyDescent="0.3">
      <c r="A153" s="86">
        <f t="shared" si="2"/>
        <v>0</v>
      </c>
      <c r="B153" s="87"/>
      <c r="C153" s="88"/>
      <c r="D153" s="88"/>
      <c r="E153" s="87"/>
      <c r="F153" s="87"/>
      <c r="G153" s="88"/>
      <c r="H153" s="87"/>
      <c r="I153" s="88"/>
      <c r="J153" s="89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90"/>
      <c r="AG153" s="90"/>
    </row>
    <row r="154" spans="1:33" x14ac:dyDescent="0.3">
      <c r="A154" s="86">
        <f t="shared" si="2"/>
        <v>0</v>
      </c>
      <c r="B154" s="87"/>
      <c r="C154" s="88"/>
      <c r="D154" s="88"/>
      <c r="E154" s="87"/>
      <c r="F154" s="87"/>
      <c r="G154" s="88"/>
      <c r="H154" s="87"/>
      <c r="I154" s="88"/>
      <c r="J154" s="89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90"/>
      <c r="AG154" s="90"/>
    </row>
    <row r="155" spans="1:33" x14ac:dyDescent="0.3">
      <c r="A155" s="86">
        <f t="shared" si="2"/>
        <v>0</v>
      </c>
      <c r="B155" s="87"/>
      <c r="C155" s="88"/>
      <c r="D155" s="88"/>
      <c r="E155" s="87"/>
      <c r="F155" s="87"/>
      <c r="G155" s="88"/>
      <c r="H155" s="87"/>
      <c r="I155" s="88"/>
      <c r="J155" s="89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90"/>
      <c r="AG155" s="90"/>
    </row>
    <row r="156" spans="1:33" x14ac:dyDescent="0.3">
      <c r="A156" s="86">
        <f t="shared" si="2"/>
        <v>0</v>
      </c>
      <c r="B156" s="87"/>
      <c r="C156" s="88"/>
      <c r="D156" s="88"/>
      <c r="E156" s="87"/>
      <c r="F156" s="87"/>
      <c r="G156" s="88"/>
      <c r="H156" s="87"/>
      <c r="I156" s="88"/>
      <c r="J156" s="89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90"/>
      <c r="AG156" s="90"/>
    </row>
    <row r="157" spans="1:33" x14ac:dyDescent="0.3">
      <c r="A157" s="86">
        <f t="shared" si="2"/>
        <v>0</v>
      </c>
      <c r="B157" s="87"/>
      <c r="C157" s="88"/>
      <c r="D157" s="88"/>
      <c r="E157" s="87"/>
      <c r="F157" s="87"/>
      <c r="G157" s="88"/>
      <c r="H157" s="87"/>
      <c r="I157" s="88"/>
      <c r="J157" s="89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90"/>
      <c r="AG157" s="90"/>
    </row>
    <row r="158" spans="1:33" x14ac:dyDescent="0.3">
      <c r="A158" s="86">
        <f t="shared" si="2"/>
        <v>0</v>
      </c>
      <c r="B158" s="87"/>
      <c r="C158" s="88"/>
      <c r="D158" s="88"/>
      <c r="E158" s="87"/>
      <c r="F158" s="87"/>
      <c r="G158" s="88"/>
      <c r="H158" s="87"/>
      <c r="I158" s="88"/>
      <c r="J158" s="89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90"/>
      <c r="AG158" s="90"/>
    </row>
    <row r="159" spans="1:33" x14ac:dyDescent="0.3">
      <c r="A159" s="86">
        <f t="shared" si="2"/>
        <v>0</v>
      </c>
      <c r="B159" s="87"/>
      <c r="C159" s="88"/>
      <c r="D159" s="88"/>
      <c r="E159" s="87"/>
      <c r="F159" s="87"/>
      <c r="G159" s="88"/>
      <c r="H159" s="87"/>
      <c r="I159" s="88"/>
      <c r="J159" s="89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90"/>
      <c r="AG159" s="90"/>
    </row>
    <row r="160" spans="1:33" x14ac:dyDescent="0.3">
      <c r="A160" s="86">
        <f t="shared" si="2"/>
        <v>0</v>
      </c>
      <c r="B160" s="87"/>
      <c r="C160" s="88"/>
      <c r="D160" s="88"/>
      <c r="E160" s="87"/>
      <c r="F160" s="87"/>
      <c r="G160" s="88"/>
      <c r="H160" s="87"/>
      <c r="I160" s="88"/>
      <c r="J160" s="89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90"/>
      <c r="AG160" s="90"/>
    </row>
    <row r="161" spans="1:33" x14ac:dyDescent="0.3">
      <c r="A161" s="86">
        <f t="shared" si="2"/>
        <v>0</v>
      </c>
      <c r="B161" s="87"/>
      <c r="C161" s="88"/>
      <c r="D161" s="88"/>
      <c r="E161" s="87"/>
      <c r="F161" s="87"/>
      <c r="G161" s="88"/>
      <c r="H161" s="87"/>
      <c r="I161" s="88"/>
      <c r="J161" s="89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90"/>
      <c r="AG161" s="90"/>
    </row>
    <row r="162" spans="1:33" x14ac:dyDescent="0.3">
      <c r="A162" s="86">
        <f t="shared" si="2"/>
        <v>0</v>
      </c>
      <c r="B162" s="87"/>
      <c r="C162" s="88"/>
      <c r="D162" s="88"/>
      <c r="E162" s="87"/>
      <c r="F162" s="87"/>
      <c r="G162" s="88"/>
      <c r="H162" s="87"/>
      <c r="I162" s="88"/>
      <c r="J162" s="89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90"/>
      <c r="AG162" s="90"/>
    </row>
    <row r="163" spans="1:33" x14ac:dyDescent="0.3">
      <c r="A163" s="86">
        <f t="shared" si="2"/>
        <v>0</v>
      </c>
      <c r="B163" s="87"/>
      <c r="C163" s="88"/>
      <c r="D163" s="88"/>
      <c r="E163" s="87"/>
      <c r="F163" s="87"/>
      <c r="G163" s="88"/>
      <c r="H163" s="87"/>
      <c r="I163" s="88"/>
      <c r="J163" s="89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90"/>
      <c r="AG163" s="90"/>
    </row>
    <row r="164" spans="1:33" x14ac:dyDescent="0.3">
      <c r="A164" s="86">
        <f t="shared" si="2"/>
        <v>0</v>
      </c>
      <c r="B164" s="87"/>
      <c r="C164" s="88"/>
      <c r="D164" s="88"/>
      <c r="E164" s="87"/>
      <c r="F164" s="87"/>
      <c r="G164" s="88"/>
      <c r="H164" s="87"/>
      <c r="I164" s="88"/>
      <c r="J164" s="89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90"/>
      <c r="AG164" s="90"/>
    </row>
    <row r="165" spans="1:33" x14ac:dyDescent="0.3">
      <c r="A165" s="86">
        <f t="shared" si="2"/>
        <v>0</v>
      </c>
      <c r="B165" s="87"/>
      <c r="C165" s="88"/>
      <c r="D165" s="88"/>
      <c r="E165" s="87"/>
      <c r="F165" s="87"/>
      <c r="G165" s="88"/>
      <c r="H165" s="87"/>
      <c r="I165" s="88"/>
      <c r="J165" s="89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90"/>
      <c r="AG165" s="90"/>
    </row>
    <row r="166" spans="1:33" x14ac:dyDescent="0.3">
      <c r="A166" s="86">
        <f t="shared" si="2"/>
        <v>0</v>
      </c>
      <c r="B166" s="87"/>
      <c r="C166" s="88"/>
      <c r="D166" s="88"/>
      <c r="E166" s="87"/>
      <c r="F166" s="87"/>
      <c r="G166" s="88"/>
      <c r="H166" s="87"/>
      <c r="I166" s="88"/>
      <c r="J166" s="89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90"/>
      <c r="AG166" s="90"/>
    </row>
    <row r="167" spans="1:33" x14ac:dyDescent="0.3">
      <c r="A167" s="86">
        <f t="shared" si="2"/>
        <v>0</v>
      </c>
      <c r="B167" s="87"/>
      <c r="C167" s="88"/>
      <c r="D167" s="88"/>
      <c r="E167" s="87"/>
      <c r="F167" s="87"/>
      <c r="G167" s="88"/>
      <c r="H167" s="87"/>
      <c r="I167" s="88"/>
      <c r="J167" s="89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90"/>
      <c r="AG167" s="90"/>
    </row>
    <row r="168" spans="1:33" x14ac:dyDescent="0.3">
      <c r="A168" s="86">
        <f t="shared" si="2"/>
        <v>0</v>
      </c>
      <c r="B168" s="87"/>
      <c r="C168" s="88"/>
      <c r="D168" s="88"/>
      <c r="E168" s="87"/>
      <c r="F168" s="87"/>
      <c r="G168" s="88"/>
      <c r="H168" s="87"/>
      <c r="I168" s="88"/>
      <c r="J168" s="89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90"/>
      <c r="AG168" s="90"/>
    </row>
    <row r="169" spans="1:33" x14ac:dyDescent="0.3">
      <c r="A169" s="86">
        <f t="shared" si="2"/>
        <v>0</v>
      </c>
      <c r="B169" s="87"/>
      <c r="C169" s="88"/>
      <c r="D169" s="88"/>
      <c r="E169" s="87"/>
      <c r="F169" s="87"/>
      <c r="G169" s="88"/>
      <c r="H169" s="87"/>
      <c r="I169" s="88"/>
      <c r="J169" s="89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90"/>
      <c r="AG169" s="90"/>
    </row>
    <row r="170" spans="1:33" x14ac:dyDescent="0.3">
      <c r="A170" s="86">
        <f t="shared" si="2"/>
        <v>0</v>
      </c>
      <c r="B170" s="87"/>
      <c r="C170" s="88"/>
      <c r="D170" s="88"/>
      <c r="E170" s="87"/>
      <c r="F170" s="87"/>
      <c r="G170" s="88"/>
      <c r="H170" s="87"/>
      <c r="I170" s="88"/>
      <c r="J170" s="89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90"/>
      <c r="AG170" s="90"/>
    </row>
    <row r="171" spans="1:33" x14ac:dyDescent="0.3">
      <c r="A171" s="86">
        <f t="shared" si="2"/>
        <v>0</v>
      </c>
      <c r="B171" s="87"/>
      <c r="C171" s="88"/>
      <c r="D171" s="88"/>
      <c r="E171" s="87"/>
      <c r="F171" s="87"/>
      <c r="G171" s="88"/>
      <c r="H171" s="87"/>
      <c r="I171" s="88"/>
      <c r="J171" s="89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90"/>
      <c r="AG171" s="90"/>
    </row>
    <row r="172" spans="1:33" x14ac:dyDescent="0.3">
      <c r="A172" s="86">
        <f t="shared" si="2"/>
        <v>0</v>
      </c>
      <c r="B172" s="87"/>
      <c r="C172" s="88"/>
      <c r="D172" s="88"/>
      <c r="E172" s="87"/>
      <c r="F172" s="87"/>
      <c r="G172" s="88"/>
      <c r="H172" s="87"/>
      <c r="I172" s="88"/>
      <c r="J172" s="89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90"/>
      <c r="AG172" s="90"/>
    </row>
    <row r="173" spans="1:33" x14ac:dyDescent="0.3">
      <c r="A173" s="86">
        <f t="shared" si="2"/>
        <v>0</v>
      </c>
      <c r="B173" s="87"/>
      <c r="C173" s="88"/>
      <c r="D173" s="88"/>
      <c r="E173" s="87"/>
      <c r="F173" s="87"/>
      <c r="G173" s="88"/>
      <c r="H173" s="87"/>
      <c r="I173" s="88"/>
      <c r="J173" s="89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90"/>
      <c r="AG173" s="90"/>
    </row>
    <row r="174" spans="1:33" x14ac:dyDescent="0.3">
      <c r="A174" s="86">
        <f t="shared" si="2"/>
        <v>0</v>
      </c>
      <c r="B174" s="87"/>
      <c r="C174" s="88"/>
      <c r="D174" s="88"/>
      <c r="E174" s="87"/>
      <c r="F174" s="87"/>
      <c r="G174" s="88"/>
      <c r="H174" s="87"/>
      <c r="I174" s="88"/>
      <c r="J174" s="89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90"/>
      <c r="AG174" s="90"/>
    </row>
    <row r="175" spans="1:33" x14ac:dyDescent="0.3">
      <c r="A175" s="86">
        <f t="shared" si="2"/>
        <v>0</v>
      </c>
      <c r="B175" s="87"/>
      <c r="C175" s="88"/>
      <c r="D175" s="88"/>
      <c r="E175" s="87"/>
      <c r="F175" s="87"/>
      <c r="G175" s="88"/>
      <c r="H175" s="87"/>
      <c r="I175" s="88"/>
      <c r="J175" s="89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90"/>
      <c r="AG175" s="90"/>
    </row>
    <row r="176" spans="1:33" x14ac:dyDescent="0.3">
      <c r="A176" s="86">
        <f t="shared" si="2"/>
        <v>0</v>
      </c>
      <c r="B176" s="87"/>
      <c r="C176" s="88"/>
      <c r="D176" s="88"/>
      <c r="E176" s="87"/>
      <c r="F176" s="87"/>
      <c r="G176" s="88"/>
      <c r="H176" s="87"/>
      <c r="I176" s="88"/>
      <c r="J176" s="89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90"/>
      <c r="AG176" s="90"/>
    </row>
    <row r="177" spans="1:33" x14ac:dyDescent="0.3">
      <c r="A177" s="86">
        <f t="shared" si="2"/>
        <v>0</v>
      </c>
      <c r="B177" s="87"/>
      <c r="C177" s="88"/>
      <c r="D177" s="88"/>
      <c r="E177" s="87"/>
      <c r="F177" s="87"/>
      <c r="G177" s="88"/>
      <c r="H177" s="87"/>
      <c r="I177" s="88"/>
      <c r="J177" s="89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90"/>
      <c r="AG177" s="90"/>
    </row>
    <row r="178" spans="1:33" x14ac:dyDescent="0.3">
      <c r="A178" s="86">
        <f t="shared" si="2"/>
        <v>0</v>
      </c>
      <c r="B178" s="87"/>
      <c r="C178" s="88"/>
      <c r="D178" s="88"/>
      <c r="E178" s="87"/>
      <c r="F178" s="87"/>
      <c r="G178" s="88"/>
      <c r="H178" s="87"/>
      <c r="I178" s="88"/>
      <c r="J178" s="89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90"/>
      <c r="AG178" s="90"/>
    </row>
    <row r="179" spans="1:33" x14ac:dyDescent="0.3">
      <c r="A179" s="86">
        <f t="shared" si="2"/>
        <v>0</v>
      </c>
      <c r="B179" s="87"/>
      <c r="C179" s="88"/>
      <c r="D179" s="88"/>
      <c r="E179" s="87"/>
      <c r="F179" s="87"/>
      <c r="G179" s="88"/>
      <c r="H179" s="87"/>
      <c r="I179" s="88"/>
      <c r="J179" s="89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90"/>
      <c r="AG179" s="90"/>
    </row>
    <row r="180" spans="1:33" x14ac:dyDescent="0.3">
      <c r="A180" s="86">
        <f t="shared" si="2"/>
        <v>0</v>
      </c>
      <c r="B180" s="87"/>
      <c r="C180" s="88"/>
      <c r="D180" s="88"/>
      <c r="E180" s="87"/>
      <c r="F180" s="87"/>
      <c r="G180" s="88"/>
      <c r="H180" s="87"/>
      <c r="I180" s="88"/>
      <c r="J180" s="89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90"/>
      <c r="AG180" s="90"/>
    </row>
    <row r="181" spans="1:33" x14ac:dyDescent="0.3">
      <c r="A181" s="86">
        <f t="shared" si="2"/>
        <v>0</v>
      </c>
      <c r="B181" s="87"/>
      <c r="C181" s="88"/>
      <c r="D181" s="88"/>
      <c r="E181" s="87"/>
      <c r="F181" s="87"/>
      <c r="G181" s="88"/>
      <c r="H181" s="87"/>
      <c r="I181" s="88"/>
      <c r="J181" s="89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90"/>
      <c r="AG181" s="90"/>
    </row>
    <row r="182" spans="1:33" x14ac:dyDescent="0.3">
      <c r="A182" s="86">
        <f t="shared" si="2"/>
        <v>0</v>
      </c>
      <c r="B182" s="87"/>
      <c r="C182" s="88"/>
      <c r="D182" s="88"/>
      <c r="E182" s="87"/>
      <c r="F182" s="87"/>
      <c r="G182" s="88"/>
      <c r="H182" s="87"/>
      <c r="I182" s="88"/>
      <c r="J182" s="89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90"/>
      <c r="AG182" s="90"/>
    </row>
    <row r="183" spans="1:33" x14ac:dyDescent="0.3">
      <c r="A183" s="86">
        <f t="shared" si="2"/>
        <v>0</v>
      </c>
      <c r="B183" s="87"/>
      <c r="C183" s="88"/>
      <c r="D183" s="88"/>
      <c r="E183" s="87"/>
      <c r="F183" s="87"/>
      <c r="G183" s="88"/>
      <c r="H183" s="87"/>
      <c r="I183" s="88"/>
      <c r="J183" s="89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90"/>
      <c r="AG183" s="90"/>
    </row>
    <row r="184" spans="1:33" x14ac:dyDescent="0.3">
      <c r="A184" s="86">
        <f t="shared" si="2"/>
        <v>0</v>
      </c>
      <c r="B184" s="87"/>
      <c r="C184" s="88"/>
      <c r="D184" s="88"/>
      <c r="E184" s="87"/>
      <c r="F184" s="87"/>
      <c r="G184" s="88"/>
      <c r="H184" s="87"/>
      <c r="I184" s="88"/>
      <c r="J184" s="89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90"/>
      <c r="AG184" s="90"/>
    </row>
    <row r="185" spans="1:33" x14ac:dyDescent="0.3">
      <c r="A185" s="86">
        <f t="shared" si="2"/>
        <v>0</v>
      </c>
      <c r="B185" s="87"/>
      <c r="C185" s="88"/>
      <c r="D185" s="88"/>
      <c r="E185" s="87"/>
      <c r="F185" s="87"/>
      <c r="G185" s="88"/>
      <c r="H185" s="87"/>
      <c r="I185" s="88"/>
      <c r="J185" s="89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90"/>
      <c r="AG185" s="90"/>
    </row>
    <row r="186" spans="1:33" x14ac:dyDescent="0.3">
      <c r="A186" s="86">
        <f t="shared" si="2"/>
        <v>0</v>
      </c>
      <c r="B186" s="87"/>
      <c r="C186" s="88"/>
      <c r="D186" s="88"/>
      <c r="E186" s="87"/>
      <c r="F186" s="87"/>
      <c r="G186" s="88"/>
      <c r="H186" s="87"/>
      <c r="I186" s="88"/>
      <c r="J186" s="89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90"/>
      <c r="AG186" s="90"/>
    </row>
    <row r="187" spans="1:33" x14ac:dyDescent="0.3">
      <c r="A187" s="86">
        <f t="shared" si="2"/>
        <v>0</v>
      </c>
      <c r="B187" s="87"/>
      <c r="C187" s="88"/>
      <c r="D187" s="88"/>
      <c r="E187" s="87"/>
      <c r="F187" s="87"/>
      <c r="G187" s="88"/>
      <c r="H187" s="87"/>
      <c r="I187" s="88"/>
      <c r="J187" s="89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90"/>
      <c r="AG187" s="90"/>
    </row>
    <row r="188" spans="1:33" x14ac:dyDescent="0.3">
      <c r="A188" s="86">
        <f t="shared" si="2"/>
        <v>0</v>
      </c>
      <c r="B188" s="87"/>
      <c r="C188" s="88"/>
      <c r="D188" s="88"/>
      <c r="E188" s="87"/>
      <c r="F188" s="87"/>
      <c r="G188" s="88"/>
      <c r="H188" s="87"/>
      <c r="I188" s="88"/>
      <c r="J188" s="89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90"/>
      <c r="AG188" s="90"/>
    </row>
    <row r="189" spans="1:33" x14ac:dyDescent="0.3">
      <c r="A189" s="86">
        <f t="shared" si="2"/>
        <v>0</v>
      </c>
      <c r="B189" s="87"/>
      <c r="C189" s="88"/>
      <c r="D189" s="88"/>
      <c r="E189" s="87"/>
      <c r="F189" s="87"/>
      <c r="G189" s="88"/>
      <c r="H189" s="87"/>
      <c r="I189" s="88"/>
      <c r="J189" s="89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90"/>
      <c r="AG189" s="90"/>
    </row>
    <row r="190" spans="1:33" x14ac:dyDescent="0.3">
      <c r="A190" s="86">
        <f t="shared" si="2"/>
        <v>0</v>
      </c>
      <c r="B190" s="87"/>
      <c r="C190" s="88"/>
      <c r="D190" s="88"/>
      <c r="E190" s="87"/>
      <c r="F190" s="87"/>
      <c r="G190" s="88"/>
      <c r="H190" s="87"/>
      <c r="I190" s="88"/>
      <c r="J190" s="89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90"/>
      <c r="AG190" s="90"/>
    </row>
    <row r="191" spans="1:33" x14ac:dyDescent="0.3">
      <c r="A191" s="86">
        <f t="shared" si="2"/>
        <v>0</v>
      </c>
      <c r="B191" s="87"/>
      <c r="C191" s="88"/>
      <c r="D191" s="88"/>
      <c r="E191" s="87"/>
      <c r="F191" s="87"/>
      <c r="G191" s="88"/>
      <c r="H191" s="87"/>
      <c r="I191" s="88"/>
      <c r="J191" s="89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90"/>
      <c r="AG191" s="90"/>
    </row>
    <row r="192" spans="1:33" x14ac:dyDescent="0.3">
      <c r="A192" s="86">
        <f t="shared" si="2"/>
        <v>0</v>
      </c>
      <c r="B192" s="87"/>
      <c r="C192" s="88"/>
      <c r="D192" s="88"/>
      <c r="E192" s="87"/>
      <c r="F192" s="87"/>
      <c r="G192" s="88"/>
      <c r="H192" s="87"/>
      <c r="I192" s="88"/>
      <c r="J192" s="89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90"/>
      <c r="AG192" s="90"/>
    </row>
    <row r="193" spans="1:33" x14ac:dyDescent="0.3">
      <c r="A193" s="86">
        <f t="shared" si="2"/>
        <v>0</v>
      </c>
      <c r="B193" s="87"/>
      <c r="C193" s="88"/>
      <c r="D193" s="88"/>
      <c r="E193" s="87"/>
      <c r="F193" s="87"/>
      <c r="G193" s="88"/>
      <c r="H193" s="87"/>
      <c r="I193" s="88"/>
      <c r="J193" s="89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90"/>
      <c r="AG193" s="90"/>
    </row>
    <row r="194" spans="1:33" x14ac:dyDescent="0.3">
      <c r="A194" s="86">
        <f t="shared" si="2"/>
        <v>0</v>
      </c>
      <c r="B194" s="87"/>
      <c r="C194" s="88"/>
      <c r="D194" s="88"/>
      <c r="E194" s="87"/>
      <c r="F194" s="87"/>
      <c r="G194" s="88"/>
      <c r="H194" s="87"/>
      <c r="I194" s="88"/>
      <c r="J194" s="89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90"/>
      <c r="AG194" s="90"/>
    </row>
    <row r="195" spans="1:33" x14ac:dyDescent="0.3">
      <c r="A195" s="86">
        <f t="shared" si="2"/>
        <v>0</v>
      </c>
      <c r="B195" s="87"/>
      <c r="C195" s="88"/>
      <c r="D195" s="88"/>
      <c r="E195" s="87"/>
      <c r="F195" s="87"/>
      <c r="G195" s="88"/>
      <c r="H195" s="87"/>
      <c r="I195" s="88"/>
      <c r="J195" s="89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90"/>
      <c r="AG195" s="90"/>
    </row>
    <row r="196" spans="1:33" x14ac:dyDescent="0.3">
      <c r="A196" s="86">
        <f t="shared" ref="A196:A259" si="3">C196</f>
        <v>0</v>
      </c>
      <c r="B196" s="87"/>
      <c r="C196" s="88"/>
      <c r="D196" s="88"/>
      <c r="E196" s="87"/>
      <c r="F196" s="87"/>
      <c r="G196" s="88"/>
      <c r="H196" s="87"/>
      <c r="I196" s="88"/>
      <c r="J196" s="89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90"/>
      <c r="AG196" s="90"/>
    </row>
    <row r="197" spans="1:33" x14ac:dyDescent="0.3">
      <c r="A197" s="86">
        <f t="shared" si="3"/>
        <v>0</v>
      </c>
      <c r="B197" s="87"/>
      <c r="C197" s="88"/>
      <c r="D197" s="88"/>
      <c r="E197" s="87"/>
      <c r="F197" s="87"/>
      <c r="G197" s="88"/>
      <c r="H197" s="87"/>
      <c r="I197" s="88"/>
      <c r="J197" s="89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90"/>
      <c r="AG197" s="90"/>
    </row>
    <row r="198" spans="1:33" x14ac:dyDescent="0.3">
      <c r="A198" s="86">
        <f t="shared" si="3"/>
        <v>0</v>
      </c>
      <c r="B198" s="87"/>
      <c r="C198" s="88"/>
      <c r="D198" s="88"/>
      <c r="E198" s="87"/>
      <c r="F198" s="87"/>
      <c r="G198" s="88"/>
      <c r="H198" s="87"/>
      <c r="I198" s="88"/>
      <c r="J198" s="89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90"/>
      <c r="AG198" s="90"/>
    </row>
    <row r="199" spans="1:33" x14ac:dyDescent="0.3">
      <c r="A199" s="86">
        <f t="shared" si="3"/>
        <v>0</v>
      </c>
      <c r="B199" s="87"/>
      <c r="C199" s="88"/>
      <c r="D199" s="88"/>
      <c r="E199" s="87"/>
      <c r="F199" s="87"/>
      <c r="G199" s="88"/>
      <c r="H199" s="87"/>
      <c r="I199" s="88"/>
      <c r="J199" s="89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90"/>
      <c r="AG199" s="90"/>
    </row>
    <row r="200" spans="1:33" x14ac:dyDescent="0.3">
      <c r="A200" s="86">
        <f t="shared" si="3"/>
        <v>0</v>
      </c>
      <c r="B200" s="87"/>
      <c r="C200" s="88"/>
      <c r="D200" s="88"/>
      <c r="E200" s="87"/>
      <c r="F200" s="87"/>
      <c r="G200" s="88"/>
      <c r="H200" s="87"/>
      <c r="I200" s="88"/>
      <c r="J200" s="89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90"/>
      <c r="AG200" s="90"/>
    </row>
    <row r="201" spans="1:33" x14ac:dyDescent="0.3">
      <c r="A201" s="86">
        <f t="shared" si="3"/>
        <v>0</v>
      </c>
      <c r="B201" s="87"/>
      <c r="C201" s="88"/>
      <c r="D201" s="88"/>
      <c r="E201" s="87"/>
      <c r="F201" s="87"/>
      <c r="G201" s="88"/>
      <c r="H201" s="87"/>
      <c r="I201" s="88"/>
      <c r="J201" s="89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90"/>
      <c r="AG201" s="90"/>
    </row>
    <row r="202" spans="1:33" x14ac:dyDescent="0.3">
      <c r="A202" s="86">
        <f t="shared" si="3"/>
        <v>0</v>
      </c>
      <c r="B202" s="87"/>
      <c r="C202" s="88"/>
      <c r="D202" s="88"/>
      <c r="E202" s="87"/>
      <c r="F202" s="87"/>
      <c r="G202" s="88"/>
      <c r="H202" s="87"/>
      <c r="I202" s="88"/>
      <c r="J202" s="89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90"/>
      <c r="AG202" s="90"/>
    </row>
    <row r="203" spans="1:33" x14ac:dyDescent="0.3">
      <c r="A203" s="86">
        <f t="shared" si="3"/>
        <v>0</v>
      </c>
      <c r="B203" s="87"/>
      <c r="C203" s="88"/>
      <c r="D203" s="88"/>
      <c r="E203" s="87"/>
      <c r="F203" s="87"/>
      <c r="G203" s="88"/>
      <c r="H203" s="87"/>
      <c r="I203" s="88"/>
      <c r="J203" s="89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90"/>
      <c r="AG203" s="90"/>
    </row>
    <row r="204" spans="1:33" x14ac:dyDescent="0.3">
      <c r="A204" s="86">
        <f t="shared" si="3"/>
        <v>0</v>
      </c>
      <c r="B204" s="87"/>
      <c r="C204" s="88"/>
      <c r="D204" s="88"/>
      <c r="E204" s="87"/>
      <c r="F204" s="87"/>
      <c r="G204" s="88"/>
      <c r="H204" s="87"/>
      <c r="I204" s="88"/>
      <c r="J204" s="89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90"/>
      <c r="AG204" s="90"/>
    </row>
    <row r="205" spans="1:33" x14ac:dyDescent="0.3">
      <c r="A205" s="86">
        <f t="shared" si="3"/>
        <v>0</v>
      </c>
      <c r="B205" s="87"/>
      <c r="C205" s="88"/>
      <c r="D205" s="88"/>
      <c r="E205" s="87"/>
      <c r="F205" s="87"/>
      <c r="G205" s="88"/>
      <c r="H205" s="87"/>
      <c r="I205" s="88"/>
      <c r="J205" s="89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90"/>
      <c r="AG205" s="90"/>
    </row>
    <row r="206" spans="1:33" x14ac:dyDescent="0.3">
      <c r="A206" s="86">
        <f t="shared" si="3"/>
        <v>0</v>
      </c>
      <c r="B206" s="87"/>
      <c r="C206" s="88"/>
      <c r="D206" s="88"/>
      <c r="E206" s="87"/>
      <c r="F206" s="87"/>
      <c r="G206" s="88"/>
      <c r="H206" s="87"/>
      <c r="I206" s="88"/>
      <c r="J206" s="89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90"/>
      <c r="AG206" s="90"/>
    </row>
    <row r="207" spans="1:33" x14ac:dyDescent="0.3">
      <c r="A207" s="86">
        <f t="shared" si="3"/>
        <v>0</v>
      </c>
      <c r="B207" s="87"/>
      <c r="C207" s="88"/>
      <c r="D207" s="88"/>
      <c r="E207" s="87"/>
      <c r="F207" s="87"/>
      <c r="G207" s="88"/>
      <c r="H207" s="87"/>
      <c r="I207" s="88"/>
      <c r="J207" s="89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90"/>
      <c r="AG207" s="90"/>
    </row>
    <row r="208" spans="1:33" x14ac:dyDescent="0.3">
      <c r="A208" s="86">
        <f t="shared" si="3"/>
        <v>0</v>
      </c>
      <c r="B208" s="87"/>
      <c r="C208" s="88"/>
      <c r="D208" s="88"/>
      <c r="E208" s="87"/>
      <c r="F208" s="87"/>
      <c r="G208" s="88"/>
      <c r="H208" s="87"/>
      <c r="I208" s="88"/>
      <c r="J208" s="89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90"/>
      <c r="AG208" s="90"/>
    </row>
    <row r="209" spans="1:33" x14ac:dyDescent="0.3">
      <c r="A209" s="86">
        <f t="shared" si="3"/>
        <v>0</v>
      </c>
      <c r="B209" s="87"/>
      <c r="C209" s="88"/>
      <c r="D209" s="88"/>
      <c r="E209" s="87"/>
      <c r="F209" s="87"/>
      <c r="G209" s="88"/>
      <c r="H209" s="87"/>
      <c r="I209" s="88"/>
      <c r="J209" s="89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90"/>
      <c r="AG209" s="90"/>
    </row>
    <row r="210" spans="1:33" x14ac:dyDescent="0.3">
      <c r="A210" s="86">
        <f t="shared" si="3"/>
        <v>0</v>
      </c>
      <c r="B210" s="87"/>
      <c r="C210" s="88"/>
      <c r="D210" s="88"/>
      <c r="E210" s="87"/>
      <c r="F210" s="87"/>
      <c r="G210" s="88"/>
      <c r="H210" s="87"/>
      <c r="I210" s="88"/>
      <c r="J210" s="89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90"/>
      <c r="AG210" s="90"/>
    </row>
    <row r="211" spans="1:33" x14ac:dyDescent="0.3">
      <c r="A211" s="86">
        <f t="shared" si="3"/>
        <v>0</v>
      </c>
      <c r="B211" s="87"/>
      <c r="C211" s="88"/>
      <c r="D211" s="88"/>
      <c r="E211" s="87"/>
      <c r="F211" s="87"/>
      <c r="G211" s="88"/>
      <c r="H211" s="87"/>
      <c r="I211" s="88"/>
      <c r="J211" s="89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90"/>
      <c r="AG211" s="90"/>
    </row>
    <row r="212" spans="1:33" x14ac:dyDescent="0.3">
      <c r="A212" s="86">
        <f t="shared" si="3"/>
        <v>0</v>
      </c>
      <c r="B212" s="87"/>
      <c r="C212" s="88"/>
      <c r="D212" s="88"/>
      <c r="E212" s="87"/>
      <c r="F212" s="87"/>
      <c r="G212" s="88"/>
      <c r="H212" s="87"/>
      <c r="I212" s="88"/>
      <c r="J212" s="89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90"/>
      <c r="AG212" s="90"/>
    </row>
    <row r="213" spans="1:33" x14ac:dyDescent="0.3">
      <c r="A213" s="86">
        <f t="shared" si="3"/>
        <v>0</v>
      </c>
      <c r="B213" s="87"/>
      <c r="C213" s="88"/>
      <c r="D213" s="88"/>
      <c r="E213" s="87"/>
      <c r="F213" s="87"/>
      <c r="G213" s="88"/>
      <c r="H213" s="87"/>
      <c r="I213" s="88"/>
      <c r="J213" s="89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90"/>
      <c r="AG213" s="90"/>
    </row>
    <row r="214" spans="1:33" x14ac:dyDescent="0.3">
      <c r="A214" s="86">
        <f t="shared" si="3"/>
        <v>0</v>
      </c>
      <c r="B214" s="87"/>
      <c r="C214" s="88"/>
      <c r="D214" s="88"/>
      <c r="E214" s="87"/>
      <c r="F214" s="87"/>
      <c r="G214" s="88"/>
      <c r="H214" s="87"/>
      <c r="I214" s="88"/>
      <c r="J214" s="89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90"/>
      <c r="AG214" s="90"/>
    </row>
    <row r="215" spans="1:33" x14ac:dyDescent="0.3">
      <c r="A215" s="86">
        <f t="shared" si="3"/>
        <v>0</v>
      </c>
      <c r="B215" s="87"/>
      <c r="C215" s="88"/>
      <c r="D215" s="88"/>
      <c r="E215" s="87"/>
      <c r="F215" s="87"/>
      <c r="G215" s="88"/>
      <c r="H215" s="87"/>
      <c r="I215" s="88"/>
      <c r="J215" s="89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90"/>
      <c r="AG215" s="90"/>
    </row>
    <row r="216" spans="1:33" x14ac:dyDescent="0.3">
      <c r="A216" s="86">
        <f t="shared" si="3"/>
        <v>0</v>
      </c>
      <c r="B216" s="87"/>
      <c r="C216" s="88"/>
      <c r="D216" s="88"/>
      <c r="E216" s="87"/>
      <c r="F216" s="87"/>
      <c r="G216" s="88"/>
      <c r="H216" s="87"/>
      <c r="I216" s="88"/>
      <c r="J216" s="89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90"/>
      <c r="AG216" s="90"/>
    </row>
    <row r="217" spans="1:33" x14ac:dyDescent="0.3">
      <c r="A217" s="86">
        <f t="shared" si="3"/>
        <v>0</v>
      </c>
      <c r="B217" s="87"/>
      <c r="C217" s="88"/>
      <c r="D217" s="88"/>
      <c r="E217" s="87"/>
      <c r="F217" s="87"/>
      <c r="G217" s="88"/>
      <c r="H217" s="87"/>
      <c r="I217" s="88"/>
      <c r="J217" s="89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90"/>
      <c r="AG217" s="90"/>
    </row>
    <row r="218" spans="1:33" x14ac:dyDescent="0.3">
      <c r="A218" s="86">
        <f t="shared" si="3"/>
        <v>0</v>
      </c>
      <c r="B218" s="87"/>
      <c r="C218" s="88"/>
      <c r="D218" s="88"/>
      <c r="E218" s="87"/>
      <c r="F218" s="87"/>
      <c r="G218" s="88"/>
      <c r="H218" s="87"/>
      <c r="I218" s="88"/>
      <c r="J218" s="89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90"/>
      <c r="AG218" s="90"/>
    </row>
    <row r="219" spans="1:33" x14ac:dyDescent="0.3">
      <c r="A219" s="86">
        <f t="shared" si="3"/>
        <v>0</v>
      </c>
      <c r="B219" s="87"/>
      <c r="C219" s="88"/>
      <c r="D219" s="88"/>
      <c r="E219" s="87"/>
      <c r="F219" s="87"/>
      <c r="G219" s="88"/>
      <c r="H219" s="87"/>
      <c r="I219" s="88"/>
      <c r="J219" s="89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90"/>
      <c r="AG219" s="90"/>
    </row>
    <row r="220" spans="1:33" x14ac:dyDescent="0.3">
      <c r="A220" s="86">
        <f t="shared" si="3"/>
        <v>0</v>
      </c>
      <c r="B220" s="87"/>
      <c r="C220" s="88"/>
      <c r="D220" s="88"/>
      <c r="E220" s="87"/>
      <c r="F220" s="87"/>
      <c r="G220" s="88"/>
      <c r="H220" s="87"/>
      <c r="I220" s="88"/>
      <c r="J220" s="89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90"/>
      <c r="AG220" s="90"/>
    </row>
    <row r="221" spans="1:33" x14ac:dyDescent="0.3">
      <c r="A221" s="86">
        <f t="shared" si="3"/>
        <v>0</v>
      </c>
      <c r="B221" s="87"/>
      <c r="C221" s="88"/>
      <c r="D221" s="88"/>
      <c r="E221" s="87"/>
      <c r="F221" s="87"/>
      <c r="G221" s="88"/>
      <c r="H221" s="87"/>
      <c r="I221" s="88"/>
      <c r="J221" s="89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90"/>
      <c r="AG221" s="90"/>
    </row>
    <row r="222" spans="1:33" x14ac:dyDescent="0.3">
      <c r="A222" s="86">
        <f t="shared" si="3"/>
        <v>0</v>
      </c>
      <c r="B222" s="87"/>
      <c r="C222" s="88"/>
      <c r="D222" s="88"/>
      <c r="E222" s="87"/>
      <c r="F222" s="87"/>
      <c r="G222" s="88"/>
      <c r="H222" s="87"/>
      <c r="I222" s="88"/>
      <c r="J222" s="89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90"/>
      <c r="AG222" s="90"/>
    </row>
    <row r="223" spans="1:33" x14ac:dyDescent="0.3">
      <c r="A223" s="86">
        <f t="shared" si="3"/>
        <v>0</v>
      </c>
      <c r="B223" s="87"/>
      <c r="C223" s="88"/>
      <c r="D223" s="88"/>
      <c r="E223" s="87"/>
      <c r="F223" s="87"/>
      <c r="G223" s="88"/>
      <c r="H223" s="87"/>
      <c r="I223" s="88"/>
      <c r="J223" s="89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90"/>
      <c r="AG223" s="90"/>
    </row>
    <row r="224" spans="1:33" x14ac:dyDescent="0.3">
      <c r="A224" s="86">
        <f t="shared" si="3"/>
        <v>0</v>
      </c>
      <c r="B224" s="87"/>
      <c r="C224" s="88"/>
      <c r="D224" s="88"/>
      <c r="E224" s="87"/>
      <c r="F224" s="87"/>
      <c r="G224" s="88"/>
      <c r="H224" s="87"/>
      <c r="I224" s="88"/>
      <c r="J224" s="89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90"/>
      <c r="AG224" s="90"/>
    </row>
    <row r="225" spans="1:33" x14ac:dyDescent="0.3">
      <c r="A225" s="86">
        <f t="shared" si="3"/>
        <v>0</v>
      </c>
      <c r="B225" s="87"/>
      <c r="C225" s="88"/>
      <c r="D225" s="88"/>
      <c r="E225" s="87"/>
      <c r="F225" s="87"/>
      <c r="G225" s="88"/>
      <c r="H225" s="87"/>
      <c r="I225" s="88"/>
      <c r="J225" s="89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90"/>
      <c r="AG225" s="90"/>
    </row>
    <row r="226" spans="1:33" x14ac:dyDescent="0.3">
      <c r="A226" s="86">
        <f t="shared" si="3"/>
        <v>0</v>
      </c>
      <c r="B226" s="87"/>
      <c r="C226" s="88"/>
      <c r="D226" s="88"/>
      <c r="E226" s="87"/>
      <c r="F226" s="87"/>
      <c r="G226" s="88"/>
      <c r="H226" s="87"/>
      <c r="I226" s="88"/>
      <c r="J226" s="89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90"/>
      <c r="AG226" s="90"/>
    </row>
    <row r="227" spans="1:33" x14ac:dyDescent="0.3">
      <c r="A227" s="86">
        <f t="shared" si="3"/>
        <v>0</v>
      </c>
      <c r="B227" s="87"/>
      <c r="C227" s="88"/>
      <c r="D227" s="88"/>
      <c r="E227" s="87"/>
      <c r="F227" s="87"/>
      <c r="G227" s="88"/>
      <c r="H227" s="87"/>
      <c r="I227" s="88"/>
      <c r="J227" s="89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90"/>
      <c r="AG227" s="90"/>
    </row>
    <row r="228" spans="1:33" x14ac:dyDescent="0.3">
      <c r="A228" s="86">
        <f t="shared" si="3"/>
        <v>0</v>
      </c>
      <c r="B228" s="87"/>
      <c r="C228" s="88"/>
      <c r="D228" s="88"/>
      <c r="E228" s="87"/>
      <c r="F228" s="87"/>
      <c r="G228" s="88"/>
      <c r="H228" s="87"/>
      <c r="I228" s="88"/>
      <c r="J228" s="89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90"/>
      <c r="AG228" s="90"/>
    </row>
    <row r="229" spans="1:33" x14ac:dyDescent="0.3">
      <c r="A229" s="86">
        <f t="shared" si="3"/>
        <v>0</v>
      </c>
      <c r="B229" s="87"/>
      <c r="C229" s="88"/>
      <c r="D229" s="88"/>
      <c r="E229" s="87"/>
      <c r="F229" s="87"/>
      <c r="G229" s="88"/>
      <c r="H229" s="87"/>
      <c r="I229" s="88"/>
      <c r="J229" s="89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90"/>
      <c r="AG229" s="90"/>
    </row>
    <row r="230" spans="1:33" x14ac:dyDescent="0.3">
      <c r="A230" s="86">
        <f t="shared" si="3"/>
        <v>0</v>
      </c>
      <c r="B230" s="87"/>
      <c r="C230" s="88"/>
      <c r="D230" s="88"/>
      <c r="E230" s="87"/>
      <c r="F230" s="87"/>
      <c r="G230" s="88"/>
      <c r="H230" s="87"/>
      <c r="I230" s="88"/>
      <c r="J230" s="89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90"/>
      <c r="AG230" s="90"/>
    </row>
    <row r="231" spans="1:33" x14ac:dyDescent="0.3">
      <c r="A231" s="86">
        <f t="shared" si="3"/>
        <v>0</v>
      </c>
      <c r="B231" s="87"/>
      <c r="C231" s="88"/>
      <c r="D231" s="88"/>
      <c r="E231" s="87"/>
      <c r="F231" s="87"/>
      <c r="G231" s="88"/>
      <c r="H231" s="87"/>
      <c r="I231" s="88"/>
      <c r="J231" s="89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90"/>
      <c r="AG231" s="90"/>
    </row>
    <row r="232" spans="1:33" x14ac:dyDescent="0.3">
      <c r="A232" s="86">
        <f t="shared" si="3"/>
        <v>0</v>
      </c>
      <c r="B232" s="87"/>
      <c r="C232" s="88"/>
      <c r="D232" s="88"/>
      <c r="E232" s="87"/>
      <c r="F232" s="87"/>
      <c r="G232" s="88"/>
      <c r="H232" s="87"/>
      <c r="I232" s="88"/>
      <c r="J232" s="89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90"/>
      <c r="AG232" s="90"/>
    </row>
    <row r="233" spans="1:33" x14ac:dyDescent="0.3">
      <c r="A233" s="86">
        <f t="shared" si="3"/>
        <v>0</v>
      </c>
      <c r="B233" s="87"/>
      <c r="C233" s="88"/>
      <c r="D233" s="88"/>
      <c r="E233" s="87"/>
      <c r="F233" s="87"/>
      <c r="G233" s="88"/>
      <c r="H233" s="87"/>
      <c r="I233" s="88"/>
      <c r="J233" s="89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90"/>
      <c r="AG233" s="90"/>
    </row>
    <row r="234" spans="1:33" x14ac:dyDescent="0.3">
      <c r="A234" s="86">
        <f t="shared" si="3"/>
        <v>0</v>
      </c>
      <c r="B234" s="87"/>
      <c r="C234" s="88"/>
      <c r="D234" s="88"/>
      <c r="E234" s="87"/>
      <c r="F234" s="87"/>
      <c r="G234" s="88"/>
      <c r="H234" s="87"/>
      <c r="I234" s="88"/>
      <c r="J234" s="89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90"/>
      <c r="AG234" s="90"/>
    </row>
    <row r="235" spans="1:33" x14ac:dyDescent="0.3">
      <c r="A235" s="86">
        <f t="shared" si="3"/>
        <v>0</v>
      </c>
      <c r="B235" s="87"/>
      <c r="C235" s="88"/>
      <c r="D235" s="88"/>
      <c r="E235" s="87"/>
      <c r="F235" s="87"/>
      <c r="G235" s="88"/>
      <c r="H235" s="87"/>
      <c r="I235" s="88"/>
      <c r="J235" s="89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90"/>
      <c r="AG235" s="90"/>
    </row>
    <row r="236" spans="1:33" x14ac:dyDescent="0.3">
      <c r="A236" s="86">
        <f t="shared" si="3"/>
        <v>0</v>
      </c>
      <c r="B236" s="87"/>
      <c r="C236" s="88"/>
      <c r="D236" s="88"/>
      <c r="E236" s="87"/>
      <c r="F236" s="87"/>
      <c r="G236" s="88"/>
      <c r="H236" s="87"/>
      <c r="I236" s="88"/>
      <c r="J236" s="89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90"/>
      <c r="AG236" s="90"/>
    </row>
    <row r="237" spans="1:33" x14ac:dyDescent="0.3">
      <c r="A237" s="86">
        <f t="shared" si="3"/>
        <v>0</v>
      </c>
      <c r="B237" s="87"/>
      <c r="C237" s="88"/>
      <c r="D237" s="88"/>
      <c r="E237" s="87"/>
      <c r="F237" s="87"/>
      <c r="G237" s="88"/>
      <c r="H237" s="87"/>
      <c r="I237" s="88"/>
      <c r="J237" s="89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90"/>
      <c r="AG237" s="90"/>
    </row>
    <row r="238" spans="1:33" x14ac:dyDescent="0.3">
      <c r="A238" s="86">
        <f t="shared" si="3"/>
        <v>0</v>
      </c>
      <c r="B238" s="87"/>
      <c r="C238" s="88"/>
      <c r="D238" s="88"/>
      <c r="E238" s="87"/>
      <c r="F238" s="87"/>
      <c r="G238" s="88"/>
      <c r="H238" s="87"/>
      <c r="I238" s="88"/>
      <c r="J238" s="89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90"/>
      <c r="AG238" s="90"/>
    </row>
    <row r="239" spans="1:33" x14ac:dyDescent="0.3">
      <c r="A239" s="86">
        <f t="shared" si="3"/>
        <v>0</v>
      </c>
      <c r="B239" s="87"/>
      <c r="C239" s="88"/>
      <c r="D239" s="88"/>
      <c r="E239" s="87"/>
      <c r="F239" s="87"/>
      <c r="G239" s="88"/>
      <c r="H239" s="87"/>
      <c r="I239" s="88"/>
      <c r="J239" s="89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90"/>
      <c r="AG239" s="90"/>
    </row>
    <row r="240" spans="1:33" x14ac:dyDescent="0.3">
      <c r="A240" s="86">
        <f t="shared" si="3"/>
        <v>0</v>
      </c>
      <c r="B240" s="87"/>
      <c r="C240" s="88"/>
      <c r="D240" s="88"/>
      <c r="E240" s="87"/>
      <c r="F240" s="87"/>
      <c r="G240" s="88"/>
      <c r="H240" s="87"/>
      <c r="I240" s="88"/>
      <c r="J240" s="89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90"/>
      <c r="AG240" s="90"/>
    </row>
    <row r="241" spans="1:33" x14ac:dyDescent="0.3">
      <c r="A241" s="86">
        <f t="shared" si="3"/>
        <v>0</v>
      </c>
      <c r="B241" s="87"/>
      <c r="C241" s="88"/>
      <c r="D241" s="88"/>
      <c r="E241" s="87"/>
      <c r="F241" s="87"/>
      <c r="G241" s="88"/>
      <c r="H241" s="87"/>
      <c r="I241" s="88"/>
      <c r="J241" s="89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90"/>
      <c r="AG241" s="90"/>
    </row>
    <row r="242" spans="1:33" x14ac:dyDescent="0.3">
      <c r="A242" s="86">
        <f t="shared" si="3"/>
        <v>0</v>
      </c>
      <c r="B242" s="87"/>
      <c r="C242" s="88"/>
      <c r="D242" s="88"/>
      <c r="E242" s="87"/>
      <c r="F242" s="87"/>
      <c r="G242" s="88"/>
      <c r="H242" s="87"/>
      <c r="I242" s="88"/>
      <c r="J242" s="89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90"/>
      <c r="AG242" s="90"/>
    </row>
    <row r="243" spans="1:33" x14ac:dyDescent="0.3">
      <c r="A243" s="86">
        <f t="shared" si="3"/>
        <v>0</v>
      </c>
      <c r="B243" s="87"/>
      <c r="C243" s="88"/>
      <c r="D243" s="88"/>
      <c r="E243" s="87"/>
      <c r="F243" s="87"/>
      <c r="G243" s="88"/>
      <c r="H243" s="87"/>
      <c r="I243" s="88"/>
      <c r="J243" s="89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90"/>
      <c r="AG243" s="90"/>
    </row>
    <row r="244" spans="1:33" x14ac:dyDescent="0.3">
      <c r="A244" s="86">
        <f t="shared" si="3"/>
        <v>0</v>
      </c>
      <c r="B244" s="87"/>
      <c r="C244" s="88"/>
      <c r="D244" s="88"/>
      <c r="E244" s="87"/>
      <c r="F244" s="87"/>
      <c r="G244" s="88"/>
      <c r="H244" s="87"/>
      <c r="I244" s="88"/>
      <c r="J244" s="89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90"/>
      <c r="AG244" s="90"/>
    </row>
    <row r="245" spans="1:33" x14ac:dyDescent="0.3">
      <c r="A245" s="86">
        <f t="shared" si="3"/>
        <v>0</v>
      </c>
      <c r="B245" s="87"/>
      <c r="C245" s="88"/>
      <c r="D245" s="88"/>
      <c r="E245" s="87"/>
      <c r="F245" s="87"/>
      <c r="G245" s="88"/>
      <c r="H245" s="87"/>
      <c r="I245" s="88"/>
      <c r="J245" s="89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90"/>
      <c r="AG245" s="90"/>
    </row>
    <row r="246" spans="1:33" x14ac:dyDescent="0.3">
      <c r="A246" s="86">
        <f t="shared" si="3"/>
        <v>0</v>
      </c>
      <c r="B246" s="87"/>
      <c r="C246" s="88"/>
      <c r="D246" s="88"/>
      <c r="E246" s="87"/>
      <c r="F246" s="87"/>
      <c r="G246" s="88"/>
      <c r="H246" s="87"/>
      <c r="I246" s="88"/>
      <c r="J246" s="89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90"/>
      <c r="AG246" s="90"/>
    </row>
    <row r="247" spans="1:33" x14ac:dyDescent="0.3">
      <c r="A247" s="86">
        <f t="shared" si="3"/>
        <v>0</v>
      </c>
      <c r="B247" s="87"/>
      <c r="C247" s="88"/>
      <c r="D247" s="88"/>
      <c r="E247" s="87"/>
      <c r="F247" s="87"/>
      <c r="G247" s="88"/>
      <c r="H247" s="87"/>
      <c r="I247" s="88"/>
      <c r="J247" s="89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90"/>
      <c r="AG247" s="90"/>
    </row>
    <row r="248" spans="1:33" x14ac:dyDescent="0.3">
      <c r="A248" s="86">
        <f t="shared" si="3"/>
        <v>0</v>
      </c>
      <c r="B248" s="87"/>
      <c r="C248" s="88"/>
      <c r="D248" s="88"/>
      <c r="E248" s="87"/>
      <c r="F248" s="87"/>
      <c r="G248" s="88"/>
      <c r="H248" s="87"/>
      <c r="I248" s="88"/>
      <c r="J248" s="89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90"/>
      <c r="AG248" s="90"/>
    </row>
    <row r="249" spans="1:33" x14ac:dyDescent="0.3">
      <c r="A249" s="86">
        <f t="shared" si="3"/>
        <v>0</v>
      </c>
      <c r="B249" s="87"/>
      <c r="C249" s="88"/>
      <c r="D249" s="88"/>
      <c r="E249" s="87"/>
      <c r="F249" s="87"/>
      <c r="G249" s="88"/>
      <c r="H249" s="87"/>
      <c r="I249" s="88"/>
      <c r="J249" s="89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90"/>
      <c r="AG249" s="90"/>
    </row>
    <row r="250" spans="1:33" x14ac:dyDescent="0.3">
      <c r="A250" s="86">
        <f t="shared" si="3"/>
        <v>0</v>
      </c>
      <c r="B250" s="87"/>
      <c r="C250" s="88"/>
      <c r="D250" s="88"/>
      <c r="E250" s="87"/>
      <c r="F250" s="87"/>
      <c r="G250" s="88"/>
      <c r="H250" s="87"/>
      <c r="I250" s="88"/>
      <c r="J250" s="89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90"/>
      <c r="AG250" s="90"/>
    </row>
    <row r="251" spans="1:33" x14ac:dyDescent="0.3">
      <c r="A251" s="86">
        <f t="shared" si="3"/>
        <v>0</v>
      </c>
      <c r="B251" s="87"/>
      <c r="C251" s="88"/>
      <c r="D251" s="88"/>
      <c r="E251" s="87"/>
      <c r="F251" s="87"/>
      <c r="G251" s="88"/>
      <c r="H251" s="87"/>
      <c r="I251" s="88"/>
      <c r="J251" s="89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90"/>
      <c r="AG251" s="90"/>
    </row>
    <row r="252" spans="1:33" x14ac:dyDescent="0.3">
      <c r="A252" s="86">
        <f t="shared" si="3"/>
        <v>0</v>
      </c>
      <c r="B252" s="87"/>
      <c r="C252" s="88"/>
      <c r="D252" s="88"/>
      <c r="E252" s="87"/>
      <c r="F252" s="87"/>
      <c r="G252" s="88"/>
      <c r="H252" s="87"/>
      <c r="I252" s="88"/>
      <c r="J252" s="89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90"/>
      <c r="AG252" s="90"/>
    </row>
    <row r="253" spans="1:33" x14ac:dyDescent="0.3">
      <c r="A253" s="86">
        <f t="shared" si="3"/>
        <v>0</v>
      </c>
      <c r="B253" s="87"/>
      <c r="C253" s="88"/>
      <c r="D253" s="88"/>
      <c r="E253" s="87"/>
      <c r="F253" s="87"/>
      <c r="G253" s="88"/>
      <c r="H253" s="87"/>
      <c r="I253" s="88"/>
      <c r="J253" s="89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90"/>
      <c r="AG253" s="90"/>
    </row>
    <row r="254" spans="1:33" x14ac:dyDescent="0.3">
      <c r="A254" s="86">
        <f t="shared" si="3"/>
        <v>0</v>
      </c>
      <c r="B254" s="87"/>
      <c r="C254" s="88"/>
      <c r="D254" s="88"/>
      <c r="E254" s="87"/>
      <c r="F254" s="87"/>
      <c r="G254" s="88"/>
      <c r="H254" s="87"/>
      <c r="I254" s="88"/>
      <c r="J254" s="89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90"/>
      <c r="AG254" s="90"/>
    </row>
    <row r="255" spans="1:33" x14ac:dyDescent="0.3">
      <c r="A255" s="86">
        <f t="shared" si="3"/>
        <v>0</v>
      </c>
      <c r="B255" s="87"/>
      <c r="C255" s="88"/>
      <c r="D255" s="88"/>
      <c r="E255" s="87"/>
      <c r="F255" s="87"/>
      <c r="G255" s="88"/>
      <c r="H255" s="87"/>
      <c r="I255" s="88"/>
      <c r="J255" s="89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90"/>
      <c r="AG255" s="90"/>
    </row>
    <row r="256" spans="1:33" x14ac:dyDescent="0.3">
      <c r="A256" s="86">
        <f t="shared" si="3"/>
        <v>0</v>
      </c>
      <c r="B256" s="87"/>
      <c r="C256" s="88"/>
      <c r="D256" s="88"/>
      <c r="E256" s="87"/>
      <c r="F256" s="87"/>
      <c r="G256" s="88"/>
      <c r="H256" s="87"/>
      <c r="I256" s="88"/>
      <c r="J256" s="89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90"/>
      <c r="AG256" s="90"/>
    </row>
    <row r="257" spans="1:33" x14ac:dyDescent="0.3">
      <c r="A257" s="86">
        <f t="shared" si="3"/>
        <v>0</v>
      </c>
      <c r="B257" s="87"/>
      <c r="C257" s="88"/>
      <c r="D257" s="88"/>
      <c r="E257" s="87"/>
      <c r="F257" s="87"/>
      <c r="G257" s="88"/>
      <c r="H257" s="87"/>
      <c r="I257" s="88"/>
      <c r="J257" s="89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90"/>
      <c r="AG257" s="90"/>
    </row>
    <row r="258" spans="1:33" x14ac:dyDescent="0.3">
      <c r="A258" s="86">
        <f t="shared" si="3"/>
        <v>0</v>
      </c>
      <c r="B258" s="87"/>
      <c r="C258" s="88"/>
      <c r="D258" s="88"/>
      <c r="E258" s="87"/>
      <c r="F258" s="87"/>
      <c r="G258" s="88"/>
      <c r="H258" s="87"/>
      <c r="I258" s="88"/>
      <c r="J258" s="89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90"/>
      <c r="AG258" s="90"/>
    </row>
    <row r="259" spans="1:33" x14ac:dyDescent="0.3">
      <c r="A259" s="86">
        <f t="shared" si="3"/>
        <v>0</v>
      </c>
      <c r="B259" s="87"/>
      <c r="C259" s="88"/>
      <c r="D259" s="88"/>
      <c r="E259" s="87"/>
      <c r="F259" s="87"/>
      <c r="G259" s="88"/>
      <c r="H259" s="87"/>
      <c r="I259" s="88"/>
      <c r="J259" s="89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90"/>
      <c r="AG259" s="90"/>
    </row>
    <row r="260" spans="1:33" x14ac:dyDescent="0.3">
      <c r="A260" s="86">
        <f t="shared" ref="A260:A323" si="4">C260</f>
        <v>0</v>
      </c>
      <c r="B260" s="87"/>
      <c r="C260" s="88"/>
      <c r="D260" s="88"/>
      <c r="E260" s="87"/>
      <c r="F260" s="87"/>
      <c r="G260" s="88"/>
      <c r="H260" s="87"/>
      <c r="I260" s="88"/>
      <c r="J260" s="89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90"/>
      <c r="AG260" s="90"/>
    </row>
    <row r="261" spans="1:33" x14ac:dyDescent="0.3">
      <c r="A261" s="86">
        <f t="shared" si="4"/>
        <v>0</v>
      </c>
      <c r="B261" s="87"/>
      <c r="C261" s="88"/>
      <c r="D261" s="88"/>
      <c r="E261" s="87"/>
      <c r="F261" s="87"/>
      <c r="G261" s="88"/>
      <c r="H261" s="87"/>
      <c r="I261" s="88"/>
      <c r="J261" s="89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90"/>
      <c r="AG261" s="90"/>
    </row>
    <row r="262" spans="1:33" x14ac:dyDescent="0.3">
      <c r="A262" s="86">
        <f t="shared" si="4"/>
        <v>0</v>
      </c>
      <c r="B262" s="87"/>
      <c r="C262" s="88"/>
      <c r="D262" s="88"/>
      <c r="E262" s="87"/>
      <c r="F262" s="87"/>
      <c r="G262" s="88"/>
      <c r="H262" s="87"/>
      <c r="I262" s="88"/>
      <c r="J262" s="89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90"/>
      <c r="AG262" s="90"/>
    </row>
    <row r="263" spans="1:33" x14ac:dyDescent="0.3">
      <c r="A263" s="86">
        <f t="shared" si="4"/>
        <v>0</v>
      </c>
      <c r="B263" s="87"/>
      <c r="C263" s="88"/>
      <c r="D263" s="88"/>
      <c r="E263" s="87"/>
      <c r="F263" s="87"/>
      <c r="G263" s="88"/>
      <c r="H263" s="87"/>
      <c r="I263" s="88"/>
      <c r="J263" s="89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90"/>
      <c r="AG263" s="90"/>
    </row>
    <row r="264" spans="1:33" x14ac:dyDescent="0.3">
      <c r="A264" s="86">
        <f t="shared" si="4"/>
        <v>0</v>
      </c>
      <c r="B264" s="87"/>
      <c r="C264" s="88"/>
      <c r="D264" s="88"/>
      <c r="E264" s="87"/>
      <c r="F264" s="87"/>
      <c r="G264" s="88"/>
      <c r="H264" s="87"/>
      <c r="I264" s="88"/>
      <c r="J264" s="89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90"/>
      <c r="AG264" s="90"/>
    </row>
    <row r="265" spans="1:33" x14ac:dyDescent="0.3">
      <c r="A265" s="86">
        <f t="shared" si="4"/>
        <v>0</v>
      </c>
      <c r="B265" s="87"/>
      <c r="C265" s="88"/>
      <c r="D265" s="88"/>
      <c r="E265" s="87"/>
      <c r="F265" s="87"/>
      <c r="G265" s="88"/>
      <c r="H265" s="87"/>
      <c r="I265" s="88"/>
      <c r="J265" s="89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90"/>
      <c r="AG265" s="90"/>
    </row>
    <row r="266" spans="1:33" x14ac:dyDescent="0.3">
      <c r="A266" s="86">
        <f t="shared" si="4"/>
        <v>0</v>
      </c>
      <c r="B266" s="87"/>
      <c r="C266" s="88"/>
      <c r="D266" s="88"/>
      <c r="E266" s="87"/>
      <c r="F266" s="87"/>
      <c r="G266" s="88"/>
      <c r="H266" s="87"/>
      <c r="I266" s="88"/>
      <c r="J266" s="89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90"/>
      <c r="AG266" s="90"/>
    </row>
    <row r="267" spans="1:33" x14ac:dyDescent="0.3">
      <c r="A267" s="86">
        <f t="shared" si="4"/>
        <v>0</v>
      </c>
      <c r="B267" s="87"/>
      <c r="C267" s="88"/>
      <c r="D267" s="88"/>
      <c r="E267" s="87"/>
      <c r="F267" s="87"/>
      <c r="G267" s="88"/>
      <c r="H267" s="87"/>
      <c r="I267" s="88"/>
      <c r="J267" s="89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90"/>
      <c r="AG267" s="90"/>
    </row>
    <row r="268" spans="1:33" x14ac:dyDescent="0.3">
      <c r="A268" s="86">
        <f t="shared" si="4"/>
        <v>0</v>
      </c>
      <c r="B268" s="87"/>
      <c r="C268" s="88"/>
      <c r="D268" s="88"/>
      <c r="E268" s="87"/>
      <c r="F268" s="87"/>
      <c r="G268" s="88"/>
      <c r="H268" s="87"/>
      <c r="I268" s="88"/>
      <c r="J268" s="89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90"/>
      <c r="AG268" s="90"/>
    </row>
    <row r="269" spans="1:33" x14ac:dyDescent="0.3">
      <c r="A269" s="86">
        <f t="shared" si="4"/>
        <v>0</v>
      </c>
      <c r="B269" s="87"/>
      <c r="C269" s="88"/>
      <c r="D269" s="88"/>
      <c r="E269" s="87"/>
      <c r="F269" s="87"/>
      <c r="G269" s="88"/>
      <c r="H269" s="87"/>
      <c r="I269" s="88"/>
      <c r="J269" s="89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90"/>
      <c r="AG269" s="90"/>
    </row>
    <row r="270" spans="1:33" x14ac:dyDescent="0.3">
      <c r="A270" s="86">
        <f t="shared" si="4"/>
        <v>0</v>
      </c>
      <c r="B270" s="87"/>
      <c r="C270" s="88"/>
      <c r="D270" s="88"/>
      <c r="E270" s="87"/>
      <c r="F270" s="87"/>
      <c r="G270" s="88"/>
      <c r="H270" s="87"/>
      <c r="I270" s="88"/>
      <c r="J270" s="89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90"/>
      <c r="AG270" s="90"/>
    </row>
    <row r="271" spans="1:33" x14ac:dyDescent="0.3">
      <c r="A271" s="86">
        <f t="shared" si="4"/>
        <v>0</v>
      </c>
      <c r="B271" s="87"/>
      <c r="C271" s="88"/>
      <c r="D271" s="88"/>
      <c r="E271" s="87"/>
      <c r="F271" s="87"/>
      <c r="G271" s="88"/>
      <c r="H271" s="87"/>
      <c r="I271" s="88"/>
      <c r="J271" s="89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90"/>
      <c r="AG271" s="90"/>
    </row>
    <row r="272" spans="1:33" x14ac:dyDescent="0.3">
      <c r="A272" s="86">
        <f t="shared" si="4"/>
        <v>0</v>
      </c>
      <c r="B272" s="87"/>
      <c r="C272" s="88"/>
      <c r="D272" s="88"/>
      <c r="E272" s="87"/>
      <c r="F272" s="87"/>
      <c r="G272" s="88"/>
      <c r="H272" s="87"/>
      <c r="I272" s="88"/>
      <c r="J272" s="89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90"/>
      <c r="AG272" s="90"/>
    </row>
    <row r="273" spans="1:33" x14ac:dyDescent="0.3">
      <c r="A273" s="86">
        <f t="shared" si="4"/>
        <v>0</v>
      </c>
      <c r="B273" s="87"/>
      <c r="C273" s="88"/>
      <c r="D273" s="88"/>
      <c r="E273" s="87"/>
      <c r="F273" s="87"/>
      <c r="G273" s="88"/>
      <c r="H273" s="87"/>
      <c r="I273" s="88"/>
      <c r="J273" s="89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90"/>
      <c r="AG273" s="90"/>
    </row>
    <row r="274" spans="1:33" x14ac:dyDescent="0.3">
      <c r="A274" s="86">
        <f t="shared" si="4"/>
        <v>0</v>
      </c>
      <c r="B274" s="87"/>
      <c r="C274" s="88"/>
      <c r="D274" s="88"/>
      <c r="E274" s="87"/>
      <c r="F274" s="87"/>
      <c r="G274" s="88"/>
      <c r="H274" s="87"/>
      <c r="I274" s="88"/>
      <c r="J274" s="89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90"/>
      <c r="AG274" s="90"/>
    </row>
    <row r="275" spans="1:33" x14ac:dyDescent="0.3">
      <c r="A275" s="86">
        <f t="shared" si="4"/>
        <v>0</v>
      </c>
      <c r="B275" s="87"/>
      <c r="C275" s="88"/>
      <c r="D275" s="88"/>
      <c r="E275" s="87"/>
      <c r="F275" s="87"/>
      <c r="G275" s="88"/>
      <c r="H275" s="87"/>
      <c r="I275" s="88"/>
      <c r="J275" s="89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90"/>
      <c r="AG275" s="90"/>
    </row>
    <row r="276" spans="1:33" x14ac:dyDescent="0.3">
      <c r="A276" s="86">
        <f t="shared" si="4"/>
        <v>0</v>
      </c>
      <c r="B276" s="87"/>
      <c r="C276" s="88"/>
      <c r="D276" s="88"/>
      <c r="E276" s="87"/>
      <c r="F276" s="87"/>
      <c r="G276" s="88"/>
      <c r="H276" s="87"/>
      <c r="I276" s="88"/>
      <c r="J276" s="89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90"/>
      <c r="AG276" s="90"/>
    </row>
    <row r="277" spans="1:33" x14ac:dyDescent="0.3">
      <c r="A277" s="86">
        <f t="shared" si="4"/>
        <v>0</v>
      </c>
      <c r="B277" s="87"/>
      <c r="C277" s="88"/>
      <c r="D277" s="88"/>
      <c r="E277" s="87"/>
      <c r="F277" s="87"/>
      <c r="G277" s="88"/>
      <c r="H277" s="87"/>
      <c r="I277" s="88"/>
      <c r="J277" s="89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90"/>
      <c r="AG277" s="90"/>
    </row>
    <row r="278" spans="1:33" x14ac:dyDescent="0.3">
      <c r="A278" s="86">
        <f t="shared" si="4"/>
        <v>0</v>
      </c>
      <c r="B278" s="87"/>
      <c r="C278" s="88"/>
      <c r="D278" s="88"/>
      <c r="E278" s="87"/>
      <c r="F278" s="87"/>
      <c r="G278" s="88"/>
      <c r="H278" s="87"/>
      <c r="I278" s="88"/>
      <c r="J278" s="89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90"/>
      <c r="AG278" s="90"/>
    </row>
    <row r="279" spans="1:33" x14ac:dyDescent="0.3">
      <c r="A279" s="86">
        <f t="shared" si="4"/>
        <v>0</v>
      </c>
      <c r="B279" s="87"/>
      <c r="C279" s="88"/>
      <c r="D279" s="88"/>
      <c r="E279" s="87"/>
      <c r="F279" s="87"/>
      <c r="G279" s="88"/>
      <c r="H279" s="87"/>
      <c r="I279" s="88"/>
      <c r="J279" s="89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90"/>
      <c r="AG279" s="90"/>
    </row>
    <row r="280" spans="1:33" x14ac:dyDescent="0.3">
      <c r="A280" s="86">
        <f t="shared" si="4"/>
        <v>0</v>
      </c>
      <c r="B280" s="87"/>
      <c r="C280" s="88"/>
      <c r="D280" s="88"/>
      <c r="E280" s="87"/>
      <c r="F280" s="87"/>
      <c r="G280" s="88"/>
      <c r="H280" s="87"/>
      <c r="I280" s="88"/>
      <c r="J280" s="89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90"/>
      <c r="AG280" s="90"/>
    </row>
    <row r="281" spans="1:33" x14ac:dyDescent="0.3">
      <c r="A281" s="86">
        <f t="shared" si="4"/>
        <v>0</v>
      </c>
      <c r="B281" s="87"/>
      <c r="C281" s="88"/>
      <c r="D281" s="88"/>
      <c r="E281" s="87"/>
      <c r="F281" s="87"/>
      <c r="G281" s="88"/>
      <c r="H281" s="87"/>
      <c r="I281" s="88"/>
      <c r="J281" s="89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90"/>
      <c r="AG281" s="90"/>
    </row>
    <row r="282" spans="1:33" x14ac:dyDescent="0.3">
      <c r="A282" s="86">
        <f t="shared" si="4"/>
        <v>0</v>
      </c>
      <c r="B282" s="87"/>
      <c r="C282" s="88"/>
      <c r="D282" s="88"/>
      <c r="E282" s="87"/>
      <c r="F282" s="87"/>
      <c r="G282" s="88"/>
      <c r="H282" s="87"/>
      <c r="I282" s="88"/>
      <c r="J282" s="89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90"/>
      <c r="AG282" s="90"/>
    </row>
    <row r="283" spans="1:33" x14ac:dyDescent="0.3">
      <c r="A283" s="86">
        <f t="shared" si="4"/>
        <v>0</v>
      </c>
      <c r="B283" s="87"/>
      <c r="C283" s="88"/>
      <c r="D283" s="88"/>
      <c r="E283" s="87"/>
      <c r="F283" s="87"/>
      <c r="G283" s="88"/>
      <c r="H283" s="87"/>
      <c r="I283" s="88"/>
      <c r="J283" s="89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90"/>
      <c r="AG283" s="90"/>
    </row>
    <row r="284" spans="1:33" x14ac:dyDescent="0.3">
      <c r="A284" s="86">
        <f t="shared" si="4"/>
        <v>0</v>
      </c>
      <c r="B284" s="87"/>
      <c r="C284" s="88"/>
      <c r="D284" s="88"/>
      <c r="E284" s="87"/>
      <c r="F284" s="87"/>
      <c r="G284" s="88"/>
      <c r="H284" s="87"/>
      <c r="I284" s="88"/>
      <c r="J284" s="89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90"/>
      <c r="AG284" s="90"/>
    </row>
    <row r="285" spans="1:33" x14ac:dyDescent="0.3">
      <c r="A285" s="86">
        <f t="shared" si="4"/>
        <v>0</v>
      </c>
      <c r="B285" s="87"/>
      <c r="C285" s="88"/>
      <c r="D285" s="88"/>
      <c r="E285" s="87"/>
      <c r="F285" s="87"/>
      <c r="G285" s="88"/>
      <c r="H285" s="87"/>
      <c r="I285" s="88"/>
      <c r="J285" s="89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90"/>
      <c r="AG285" s="90"/>
    </row>
    <row r="286" spans="1:33" x14ac:dyDescent="0.3">
      <c r="A286" s="86">
        <f t="shared" si="4"/>
        <v>0</v>
      </c>
      <c r="B286" s="87"/>
      <c r="C286" s="88"/>
      <c r="D286" s="88"/>
      <c r="E286" s="87"/>
      <c r="F286" s="87"/>
      <c r="G286" s="88"/>
      <c r="H286" s="87"/>
      <c r="I286" s="88"/>
      <c r="J286" s="89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90"/>
      <c r="AG286" s="90"/>
    </row>
    <row r="287" spans="1:33" x14ac:dyDescent="0.3">
      <c r="A287" s="86">
        <f t="shared" si="4"/>
        <v>0</v>
      </c>
      <c r="B287" s="87"/>
      <c r="C287" s="88"/>
      <c r="D287" s="88"/>
      <c r="E287" s="87"/>
      <c r="F287" s="87"/>
      <c r="G287" s="88"/>
      <c r="H287" s="87"/>
      <c r="I287" s="88"/>
      <c r="J287" s="89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90"/>
      <c r="AG287" s="90"/>
    </row>
    <row r="288" spans="1:33" x14ac:dyDescent="0.3">
      <c r="A288" s="86">
        <f t="shared" si="4"/>
        <v>0</v>
      </c>
      <c r="B288" s="87"/>
      <c r="C288" s="88"/>
      <c r="D288" s="88"/>
      <c r="E288" s="87"/>
      <c r="F288" s="87"/>
      <c r="G288" s="88"/>
      <c r="H288" s="87"/>
      <c r="I288" s="88"/>
      <c r="J288" s="89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90"/>
      <c r="AG288" s="90"/>
    </row>
    <row r="289" spans="1:33" x14ac:dyDescent="0.3">
      <c r="A289" s="86">
        <f t="shared" si="4"/>
        <v>0</v>
      </c>
      <c r="B289" s="87"/>
      <c r="C289" s="88"/>
      <c r="D289" s="88"/>
      <c r="E289" s="87"/>
      <c r="F289" s="87"/>
      <c r="G289" s="88"/>
      <c r="H289" s="87"/>
      <c r="I289" s="88"/>
      <c r="J289" s="89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90"/>
      <c r="AG289" s="90"/>
    </row>
    <row r="290" spans="1:33" x14ac:dyDescent="0.3">
      <c r="A290" s="86">
        <f t="shared" si="4"/>
        <v>0</v>
      </c>
      <c r="B290" s="87"/>
      <c r="C290" s="88"/>
      <c r="D290" s="88"/>
      <c r="E290" s="87"/>
      <c r="F290" s="87"/>
      <c r="G290" s="88"/>
      <c r="H290" s="87"/>
      <c r="I290" s="88"/>
      <c r="J290" s="89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90"/>
      <c r="AG290" s="90"/>
    </row>
    <row r="291" spans="1:33" x14ac:dyDescent="0.3">
      <c r="A291" s="86">
        <f t="shared" si="4"/>
        <v>0</v>
      </c>
      <c r="B291" s="87"/>
      <c r="C291" s="88"/>
      <c r="D291" s="88"/>
      <c r="E291" s="87"/>
      <c r="F291" s="87"/>
      <c r="G291" s="88"/>
      <c r="H291" s="87"/>
      <c r="I291" s="88"/>
      <c r="J291" s="89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90"/>
      <c r="AG291" s="90"/>
    </row>
    <row r="292" spans="1:33" x14ac:dyDescent="0.3">
      <c r="A292" s="86">
        <f t="shared" si="4"/>
        <v>0</v>
      </c>
      <c r="B292" s="87"/>
      <c r="C292" s="88"/>
      <c r="D292" s="88"/>
      <c r="E292" s="87"/>
      <c r="F292" s="87"/>
      <c r="G292" s="88"/>
      <c r="H292" s="87"/>
      <c r="I292" s="88"/>
      <c r="J292" s="89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90"/>
      <c r="AG292" s="90"/>
    </row>
    <row r="293" spans="1:33" x14ac:dyDescent="0.3">
      <c r="A293" s="86">
        <f t="shared" si="4"/>
        <v>0</v>
      </c>
      <c r="B293" s="87"/>
      <c r="C293" s="88"/>
      <c r="D293" s="88"/>
      <c r="E293" s="87"/>
      <c r="F293" s="87"/>
      <c r="G293" s="88"/>
      <c r="H293" s="87"/>
      <c r="I293" s="88"/>
      <c r="J293" s="89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90"/>
      <c r="AG293" s="90"/>
    </row>
    <row r="294" spans="1:33" x14ac:dyDescent="0.3">
      <c r="A294" s="86">
        <f t="shared" si="4"/>
        <v>0</v>
      </c>
      <c r="B294" s="87"/>
      <c r="C294" s="88"/>
      <c r="D294" s="88"/>
      <c r="E294" s="87"/>
      <c r="F294" s="87"/>
      <c r="G294" s="88"/>
      <c r="H294" s="87"/>
      <c r="I294" s="88"/>
      <c r="J294" s="89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90"/>
      <c r="AG294" s="90"/>
    </row>
    <row r="295" spans="1:33" x14ac:dyDescent="0.3">
      <c r="A295" s="86">
        <f t="shared" si="4"/>
        <v>0</v>
      </c>
      <c r="B295" s="87"/>
      <c r="C295" s="88"/>
      <c r="D295" s="88"/>
      <c r="E295" s="87"/>
      <c r="F295" s="87"/>
      <c r="G295" s="88"/>
      <c r="H295" s="87"/>
      <c r="I295" s="88"/>
      <c r="J295" s="89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90"/>
      <c r="AG295" s="90"/>
    </row>
    <row r="296" spans="1:33" x14ac:dyDescent="0.3">
      <c r="A296" s="86">
        <f t="shared" si="4"/>
        <v>0</v>
      </c>
      <c r="B296" s="87"/>
      <c r="C296" s="88"/>
      <c r="D296" s="88"/>
      <c r="E296" s="87"/>
      <c r="F296" s="87"/>
      <c r="G296" s="88"/>
      <c r="H296" s="87"/>
      <c r="I296" s="88"/>
      <c r="J296" s="89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90"/>
      <c r="AG296" s="90"/>
    </row>
    <row r="297" spans="1:33" x14ac:dyDescent="0.3">
      <c r="A297" s="86">
        <f t="shared" si="4"/>
        <v>0</v>
      </c>
      <c r="B297" s="87"/>
      <c r="C297" s="88"/>
      <c r="D297" s="88"/>
      <c r="E297" s="87"/>
      <c r="F297" s="87"/>
      <c r="G297" s="88"/>
      <c r="H297" s="87"/>
      <c r="I297" s="88"/>
      <c r="J297" s="89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90"/>
      <c r="AG297" s="90"/>
    </row>
    <row r="298" spans="1:33" x14ac:dyDescent="0.3">
      <c r="A298" s="86">
        <f t="shared" si="4"/>
        <v>0</v>
      </c>
      <c r="B298" s="87"/>
      <c r="C298" s="88"/>
      <c r="D298" s="88"/>
      <c r="E298" s="87"/>
      <c r="F298" s="87"/>
      <c r="G298" s="88"/>
      <c r="H298" s="87"/>
      <c r="I298" s="88"/>
      <c r="J298" s="89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90"/>
      <c r="AG298" s="90"/>
    </row>
    <row r="299" spans="1:33" x14ac:dyDescent="0.3">
      <c r="A299" s="86">
        <f t="shared" si="4"/>
        <v>0</v>
      </c>
      <c r="B299" s="87"/>
      <c r="C299" s="88"/>
      <c r="D299" s="88"/>
      <c r="E299" s="87"/>
      <c r="F299" s="87"/>
      <c r="G299" s="88"/>
      <c r="H299" s="87"/>
      <c r="I299" s="88"/>
      <c r="J299" s="89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90"/>
      <c r="AG299" s="90"/>
    </row>
    <row r="300" spans="1:33" x14ac:dyDescent="0.3">
      <c r="A300" s="86">
        <f t="shared" si="4"/>
        <v>0</v>
      </c>
      <c r="B300" s="87"/>
      <c r="C300" s="88"/>
      <c r="D300" s="88"/>
      <c r="E300" s="87"/>
      <c r="F300" s="87"/>
      <c r="G300" s="88"/>
      <c r="H300" s="87"/>
      <c r="I300" s="88"/>
      <c r="J300" s="89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90"/>
      <c r="AG300" s="90"/>
    </row>
    <row r="301" spans="1:33" x14ac:dyDescent="0.3">
      <c r="A301" s="86">
        <f t="shared" si="4"/>
        <v>0</v>
      </c>
      <c r="B301" s="87"/>
      <c r="C301" s="88"/>
      <c r="D301" s="88"/>
      <c r="E301" s="87"/>
      <c r="F301" s="87"/>
      <c r="G301" s="88"/>
      <c r="H301" s="87"/>
      <c r="I301" s="88"/>
      <c r="J301" s="89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90"/>
      <c r="AG301" s="90"/>
    </row>
    <row r="302" spans="1:33" x14ac:dyDescent="0.3">
      <c r="A302" s="86">
        <f t="shared" si="4"/>
        <v>0</v>
      </c>
      <c r="B302" s="87"/>
      <c r="C302" s="88"/>
      <c r="D302" s="88"/>
      <c r="E302" s="87"/>
      <c r="F302" s="87"/>
      <c r="G302" s="88"/>
      <c r="H302" s="87"/>
      <c r="I302" s="88"/>
      <c r="J302" s="89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90"/>
      <c r="AG302" s="90"/>
    </row>
    <row r="303" spans="1:33" x14ac:dyDescent="0.3">
      <c r="A303" s="86">
        <f t="shared" si="4"/>
        <v>0</v>
      </c>
      <c r="B303" s="87"/>
      <c r="C303" s="88"/>
      <c r="D303" s="88"/>
      <c r="E303" s="87"/>
      <c r="F303" s="87"/>
      <c r="G303" s="88"/>
      <c r="H303" s="87"/>
      <c r="I303" s="88"/>
      <c r="J303" s="89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90"/>
      <c r="AG303" s="90"/>
    </row>
    <row r="304" spans="1:33" x14ac:dyDescent="0.3">
      <c r="A304" s="86">
        <f t="shared" si="4"/>
        <v>0</v>
      </c>
      <c r="B304" s="87"/>
      <c r="C304" s="88"/>
      <c r="D304" s="88"/>
      <c r="E304" s="87"/>
      <c r="F304" s="87"/>
      <c r="G304" s="88"/>
      <c r="H304" s="87"/>
      <c r="I304" s="88"/>
      <c r="J304" s="89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90"/>
      <c r="AG304" s="90"/>
    </row>
    <row r="305" spans="1:33" x14ac:dyDescent="0.3">
      <c r="A305" s="86">
        <f t="shared" si="4"/>
        <v>0</v>
      </c>
      <c r="B305" s="87"/>
      <c r="C305" s="88"/>
      <c r="D305" s="88"/>
      <c r="E305" s="87"/>
      <c r="F305" s="87"/>
      <c r="G305" s="88"/>
      <c r="H305" s="87"/>
      <c r="I305" s="88"/>
      <c r="J305" s="89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90"/>
      <c r="AG305" s="90"/>
    </row>
    <row r="306" spans="1:33" x14ac:dyDescent="0.3">
      <c r="A306" s="86">
        <f t="shared" si="4"/>
        <v>0</v>
      </c>
      <c r="B306" s="87"/>
      <c r="C306" s="88"/>
      <c r="D306" s="88"/>
      <c r="E306" s="87"/>
      <c r="F306" s="87"/>
      <c r="G306" s="88"/>
      <c r="H306" s="87"/>
      <c r="I306" s="88"/>
      <c r="J306" s="89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90"/>
      <c r="AG306" s="90"/>
    </row>
    <row r="307" spans="1:33" x14ac:dyDescent="0.3">
      <c r="A307" s="86">
        <f t="shared" si="4"/>
        <v>0</v>
      </c>
      <c r="B307" s="87"/>
      <c r="C307" s="88"/>
      <c r="D307" s="88"/>
      <c r="E307" s="87"/>
      <c r="F307" s="87"/>
      <c r="G307" s="88"/>
      <c r="H307" s="87"/>
      <c r="I307" s="88"/>
      <c r="J307" s="89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90"/>
      <c r="AG307" s="90"/>
    </row>
    <row r="308" spans="1:33" x14ac:dyDescent="0.3">
      <c r="A308" s="86">
        <f t="shared" si="4"/>
        <v>0</v>
      </c>
      <c r="B308" s="87"/>
      <c r="C308" s="88"/>
      <c r="D308" s="88"/>
      <c r="E308" s="87"/>
      <c r="F308" s="87"/>
      <c r="G308" s="88"/>
      <c r="H308" s="87"/>
      <c r="I308" s="88"/>
      <c r="J308" s="89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90"/>
      <c r="AG308" s="90"/>
    </row>
    <row r="309" spans="1:33" x14ac:dyDescent="0.3">
      <c r="A309" s="86">
        <f t="shared" si="4"/>
        <v>0</v>
      </c>
      <c r="B309" s="87"/>
      <c r="C309" s="88"/>
      <c r="D309" s="88"/>
      <c r="E309" s="87"/>
      <c r="F309" s="87"/>
      <c r="G309" s="88"/>
      <c r="H309" s="87"/>
      <c r="I309" s="88"/>
      <c r="J309" s="89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90"/>
      <c r="AG309" s="90"/>
    </row>
    <row r="310" spans="1:33" x14ac:dyDescent="0.3">
      <c r="A310" s="86">
        <f t="shared" si="4"/>
        <v>0</v>
      </c>
      <c r="B310" s="87"/>
      <c r="C310" s="88"/>
      <c r="D310" s="88"/>
      <c r="E310" s="87"/>
      <c r="F310" s="87"/>
      <c r="G310" s="88"/>
      <c r="H310" s="87"/>
      <c r="I310" s="88"/>
      <c r="J310" s="89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90"/>
      <c r="AG310" s="90"/>
    </row>
    <row r="311" spans="1:33" x14ac:dyDescent="0.3">
      <c r="A311" s="86">
        <f t="shared" si="4"/>
        <v>0</v>
      </c>
      <c r="B311" s="87"/>
      <c r="C311" s="88"/>
      <c r="D311" s="88"/>
      <c r="E311" s="87"/>
      <c r="F311" s="87"/>
      <c r="G311" s="88"/>
      <c r="H311" s="87"/>
      <c r="I311" s="88"/>
      <c r="J311" s="89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90"/>
      <c r="AG311" s="90"/>
    </row>
    <row r="312" spans="1:33" x14ac:dyDescent="0.3">
      <c r="A312" s="86">
        <f t="shared" si="4"/>
        <v>0</v>
      </c>
      <c r="B312" s="87"/>
      <c r="C312" s="88"/>
      <c r="D312" s="88"/>
      <c r="E312" s="87"/>
      <c r="F312" s="87"/>
      <c r="G312" s="88"/>
      <c r="H312" s="87"/>
      <c r="I312" s="88"/>
      <c r="J312" s="89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90"/>
      <c r="AG312" s="90"/>
    </row>
    <row r="313" spans="1:33" x14ac:dyDescent="0.3">
      <c r="A313" s="86">
        <f t="shared" si="4"/>
        <v>0</v>
      </c>
      <c r="B313" s="87"/>
      <c r="C313" s="88"/>
      <c r="D313" s="88"/>
      <c r="E313" s="87"/>
      <c r="F313" s="87"/>
      <c r="G313" s="88"/>
      <c r="H313" s="87"/>
      <c r="I313" s="88"/>
      <c r="J313" s="89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90"/>
      <c r="AG313" s="90"/>
    </row>
    <row r="314" spans="1:33" x14ac:dyDescent="0.3">
      <c r="A314" s="86">
        <f t="shared" si="4"/>
        <v>0</v>
      </c>
      <c r="B314" s="87"/>
      <c r="C314" s="88"/>
      <c r="D314" s="88"/>
      <c r="E314" s="87"/>
      <c r="F314" s="87"/>
      <c r="G314" s="88"/>
      <c r="H314" s="87"/>
      <c r="I314" s="88"/>
      <c r="J314" s="89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90"/>
      <c r="AG314" s="90"/>
    </row>
    <row r="315" spans="1:33" x14ac:dyDescent="0.3">
      <c r="A315" s="86">
        <f t="shared" si="4"/>
        <v>0</v>
      </c>
      <c r="B315" s="87"/>
      <c r="C315" s="88"/>
      <c r="D315" s="88"/>
      <c r="E315" s="87"/>
      <c r="F315" s="87"/>
      <c r="G315" s="88"/>
      <c r="H315" s="87"/>
      <c r="I315" s="88"/>
      <c r="J315" s="89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90"/>
      <c r="AG315" s="90"/>
    </row>
    <row r="316" spans="1:33" x14ac:dyDescent="0.3">
      <c r="A316" s="86">
        <f t="shared" si="4"/>
        <v>0</v>
      </c>
      <c r="B316" s="87"/>
      <c r="C316" s="88"/>
      <c r="D316" s="88"/>
      <c r="E316" s="87"/>
      <c r="F316" s="87"/>
      <c r="G316" s="88"/>
      <c r="H316" s="87"/>
      <c r="I316" s="88"/>
      <c r="J316" s="89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90"/>
      <c r="AG316" s="90"/>
    </row>
    <row r="317" spans="1:33" x14ac:dyDescent="0.3">
      <c r="A317" s="86">
        <f t="shared" si="4"/>
        <v>0</v>
      </c>
      <c r="B317" s="87"/>
      <c r="C317" s="88"/>
      <c r="D317" s="88"/>
      <c r="E317" s="87"/>
      <c r="F317" s="87"/>
      <c r="G317" s="88"/>
      <c r="H317" s="87"/>
      <c r="I317" s="88"/>
      <c r="J317" s="89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90"/>
      <c r="AG317" s="90"/>
    </row>
    <row r="318" spans="1:33" x14ac:dyDescent="0.3">
      <c r="A318" s="86">
        <f t="shared" si="4"/>
        <v>0</v>
      </c>
      <c r="B318" s="87"/>
      <c r="C318" s="88"/>
      <c r="D318" s="88"/>
      <c r="E318" s="87"/>
      <c r="F318" s="87"/>
      <c r="G318" s="88"/>
      <c r="H318" s="87"/>
      <c r="I318" s="88"/>
      <c r="J318" s="89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90"/>
      <c r="AG318" s="90"/>
    </row>
    <row r="319" spans="1:33" x14ac:dyDescent="0.3">
      <c r="A319" s="86">
        <f t="shared" si="4"/>
        <v>0</v>
      </c>
      <c r="B319" s="87"/>
      <c r="C319" s="88"/>
      <c r="D319" s="88"/>
      <c r="E319" s="87"/>
      <c r="F319" s="87"/>
      <c r="G319" s="88"/>
      <c r="H319" s="87"/>
      <c r="I319" s="88"/>
      <c r="J319" s="89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90"/>
      <c r="AG319" s="90"/>
    </row>
    <row r="320" spans="1:33" x14ac:dyDescent="0.3">
      <c r="A320" s="86">
        <f t="shared" si="4"/>
        <v>0</v>
      </c>
      <c r="B320" s="87"/>
      <c r="C320" s="88"/>
      <c r="D320" s="88"/>
      <c r="E320" s="87"/>
      <c r="F320" s="87"/>
      <c r="G320" s="88"/>
      <c r="H320" s="87"/>
      <c r="I320" s="88"/>
      <c r="J320" s="89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90"/>
      <c r="AG320" s="90"/>
    </row>
    <row r="321" spans="1:33" x14ac:dyDescent="0.3">
      <c r="A321" s="86">
        <f t="shared" si="4"/>
        <v>0</v>
      </c>
      <c r="B321" s="87"/>
      <c r="C321" s="88"/>
      <c r="D321" s="88"/>
      <c r="E321" s="87"/>
      <c r="F321" s="87"/>
      <c r="G321" s="88"/>
      <c r="H321" s="87"/>
      <c r="I321" s="88"/>
      <c r="J321" s="89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90"/>
      <c r="AG321" s="90"/>
    </row>
    <row r="322" spans="1:33" x14ac:dyDescent="0.3">
      <c r="A322" s="86">
        <f t="shared" si="4"/>
        <v>0</v>
      </c>
      <c r="B322" s="87"/>
      <c r="C322" s="88"/>
      <c r="D322" s="88"/>
      <c r="E322" s="87"/>
      <c r="F322" s="87"/>
      <c r="G322" s="88"/>
      <c r="H322" s="87"/>
      <c r="I322" s="88"/>
      <c r="J322" s="89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90"/>
      <c r="AG322" s="90"/>
    </row>
    <row r="323" spans="1:33" x14ac:dyDescent="0.3">
      <c r="A323" s="86">
        <f t="shared" si="4"/>
        <v>0</v>
      </c>
      <c r="B323" s="87"/>
      <c r="C323" s="88"/>
      <c r="D323" s="88"/>
      <c r="E323" s="87"/>
      <c r="F323" s="87"/>
      <c r="G323" s="88"/>
      <c r="H323" s="87"/>
      <c r="I323" s="88"/>
      <c r="J323" s="89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90"/>
      <c r="AG323" s="90"/>
    </row>
    <row r="324" spans="1:33" x14ac:dyDescent="0.3">
      <c r="A324" s="86">
        <f t="shared" ref="A324:A369" si="5">C324</f>
        <v>0</v>
      </c>
      <c r="B324" s="87"/>
      <c r="C324" s="88"/>
      <c r="D324" s="88"/>
      <c r="E324" s="87"/>
      <c r="F324" s="87"/>
      <c r="G324" s="88"/>
      <c r="H324" s="87"/>
      <c r="I324" s="88"/>
      <c r="J324" s="89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90"/>
      <c r="AG324" s="90"/>
    </row>
    <row r="325" spans="1:33" x14ac:dyDescent="0.3">
      <c r="A325" s="86">
        <f t="shared" si="5"/>
        <v>0</v>
      </c>
      <c r="B325" s="87"/>
      <c r="C325" s="88"/>
      <c r="D325" s="88"/>
      <c r="E325" s="87"/>
      <c r="F325" s="87"/>
      <c r="G325" s="88"/>
      <c r="H325" s="87"/>
      <c r="I325" s="88"/>
      <c r="J325" s="89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90"/>
      <c r="AG325" s="90"/>
    </row>
    <row r="326" spans="1:33" x14ac:dyDescent="0.3">
      <c r="A326" s="86">
        <f t="shared" si="5"/>
        <v>0</v>
      </c>
      <c r="B326" s="87"/>
      <c r="C326" s="88"/>
      <c r="D326" s="88"/>
      <c r="E326" s="87"/>
      <c r="F326" s="87"/>
      <c r="G326" s="88"/>
      <c r="H326" s="87"/>
      <c r="I326" s="88"/>
      <c r="J326" s="89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90"/>
      <c r="AG326" s="90"/>
    </row>
    <row r="327" spans="1:33" x14ac:dyDescent="0.3">
      <c r="A327" s="86">
        <f t="shared" si="5"/>
        <v>0</v>
      </c>
      <c r="B327" s="87"/>
      <c r="C327" s="88"/>
      <c r="D327" s="88"/>
      <c r="E327" s="87"/>
      <c r="F327" s="87"/>
      <c r="G327" s="88"/>
      <c r="H327" s="87"/>
      <c r="I327" s="88"/>
      <c r="J327" s="89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90"/>
      <c r="AG327" s="90"/>
    </row>
    <row r="328" spans="1:33" x14ac:dyDescent="0.3">
      <c r="A328" s="86">
        <f t="shared" si="5"/>
        <v>0</v>
      </c>
      <c r="B328" s="87"/>
      <c r="C328" s="88"/>
      <c r="D328" s="88"/>
      <c r="E328" s="87"/>
      <c r="F328" s="87"/>
      <c r="G328" s="88"/>
      <c r="H328" s="87"/>
      <c r="I328" s="88"/>
      <c r="J328" s="89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90"/>
      <c r="AG328" s="90"/>
    </row>
    <row r="329" spans="1:33" x14ac:dyDescent="0.3">
      <c r="A329" s="86">
        <f t="shared" si="5"/>
        <v>0</v>
      </c>
      <c r="B329" s="87"/>
      <c r="C329" s="88"/>
      <c r="D329" s="88"/>
      <c r="E329" s="87"/>
      <c r="F329" s="87"/>
      <c r="G329" s="88"/>
      <c r="H329" s="87"/>
      <c r="I329" s="88"/>
      <c r="J329" s="89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90"/>
      <c r="AG329" s="90"/>
    </row>
    <row r="330" spans="1:33" x14ac:dyDescent="0.3">
      <c r="A330" s="86">
        <f t="shared" si="5"/>
        <v>0</v>
      </c>
      <c r="B330" s="87"/>
      <c r="C330" s="88"/>
      <c r="D330" s="88"/>
      <c r="E330" s="87"/>
      <c r="F330" s="87"/>
      <c r="G330" s="88"/>
      <c r="H330" s="87"/>
      <c r="I330" s="88"/>
      <c r="J330" s="89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90"/>
      <c r="AG330" s="90"/>
    </row>
    <row r="331" spans="1:33" x14ac:dyDescent="0.3">
      <c r="A331" s="86">
        <f t="shared" si="5"/>
        <v>0</v>
      </c>
      <c r="B331" s="87"/>
      <c r="C331" s="88"/>
      <c r="D331" s="88"/>
      <c r="E331" s="87"/>
      <c r="F331" s="87"/>
      <c r="G331" s="88"/>
      <c r="H331" s="87"/>
      <c r="I331" s="88"/>
      <c r="J331" s="89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90"/>
      <c r="AG331" s="90"/>
    </row>
    <row r="332" spans="1:33" x14ac:dyDescent="0.3">
      <c r="A332" s="86">
        <f t="shared" si="5"/>
        <v>0</v>
      </c>
      <c r="B332" s="87"/>
      <c r="C332" s="88"/>
      <c r="D332" s="88"/>
      <c r="E332" s="87"/>
      <c r="F332" s="87"/>
      <c r="G332" s="88"/>
      <c r="H332" s="87"/>
      <c r="I332" s="88"/>
      <c r="J332" s="89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90"/>
      <c r="AG332" s="90"/>
    </row>
    <row r="333" spans="1:33" x14ac:dyDescent="0.3">
      <c r="A333" s="86">
        <f t="shared" si="5"/>
        <v>0</v>
      </c>
      <c r="B333" s="87"/>
      <c r="C333" s="88"/>
      <c r="D333" s="88"/>
      <c r="E333" s="87"/>
      <c r="F333" s="87"/>
      <c r="G333" s="88"/>
      <c r="H333" s="87"/>
      <c r="I333" s="88"/>
      <c r="J333" s="89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90"/>
      <c r="AG333" s="90"/>
    </row>
    <row r="334" spans="1:33" x14ac:dyDescent="0.3">
      <c r="A334" s="86">
        <f t="shared" si="5"/>
        <v>0</v>
      </c>
      <c r="B334" s="87"/>
      <c r="C334" s="88"/>
      <c r="D334" s="88"/>
      <c r="E334" s="87"/>
      <c r="F334" s="87"/>
      <c r="G334" s="88"/>
      <c r="H334" s="87"/>
      <c r="I334" s="88"/>
      <c r="J334" s="89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90"/>
      <c r="AG334" s="90"/>
    </row>
    <row r="335" spans="1:33" x14ac:dyDescent="0.3">
      <c r="A335" s="86">
        <f t="shared" si="5"/>
        <v>0</v>
      </c>
      <c r="B335" s="87"/>
      <c r="C335" s="88"/>
      <c r="D335" s="88"/>
      <c r="E335" s="87"/>
      <c r="F335" s="87"/>
      <c r="G335" s="88"/>
      <c r="H335" s="87"/>
      <c r="I335" s="88"/>
      <c r="J335" s="89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90"/>
      <c r="AG335" s="90"/>
    </row>
    <row r="336" spans="1:33" x14ac:dyDescent="0.3">
      <c r="A336" s="86">
        <f t="shared" si="5"/>
        <v>0</v>
      </c>
      <c r="B336" s="87"/>
      <c r="C336" s="88"/>
      <c r="D336" s="88"/>
      <c r="E336" s="87"/>
      <c r="F336" s="87"/>
      <c r="G336" s="88"/>
      <c r="H336" s="87"/>
      <c r="I336" s="88"/>
      <c r="J336" s="89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90"/>
      <c r="AG336" s="90"/>
    </row>
    <row r="337" spans="1:33" x14ac:dyDescent="0.3">
      <c r="A337" s="86">
        <f t="shared" si="5"/>
        <v>0</v>
      </c>
      <c r="B337" s="87"/>
      <c r="C337" s="88"/>
      <c r="D337" s="88"/>
      <c r="E337" s="87"/>
      <c r="F337" s="87"/>
      <c r="G337" s="88"/>
      <c r="H337" s="87"/>
      <c r="I337" s="88"/>
      <c r="J337" s="89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90"/>
      <c r="AG337" s="90"/>
    </row>
    <row r="338" spans="1:33" x14ac:dyDescent="0.3">
      <c r="A338" s="86">
        <f t="shared" si="5"/>
        <v>0</v>
      </c>
      <c r="B338" s="87"/>
      <c r="C338" s="88"/>
      <c r="D338" s="88"/>
      <c r="E338" s="87"/>
      <c r="F338" s="87"/>
      <c r="G338" s="88"/>
      <c r="H338" s="87"/>
      <c r="I338" s="88"/>
      <c r="J338" s="89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90"/>
      <c r="AG338" s="90"/>
    </row>
    <row r="339" spans="1:33" x14ac:dyDescent="0.3">
      <c r="A339" s="86">
        <f t="shared" si="5"/>
        <v>0</v>
      </c>
      <c r="B339" s="87"/>
      <c r="C339" s="88"/>
      <c r="D339" s="88"/>
      <c r="E339" s="87"/>
      <c r="F339" s="87"/>
      <c r="G339" s="88"/>
      <c r="H339" s="87"/>
      <c r="I339" s="88"/>
      <c r="J339" s="89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90"/>
      <c r="AG339" s="90"/>
    </row>
    <row r="340" spans="1:33" x14ac:dyDescent="0.3">
      <c r="A340" s="86">
        <f t="shared" si="5"/>
        <v>0</v>
      </c>
      <c r="B340" s="87"/>
      <c r="C340" s="88"/>
      <c r="D340" s="88"/>
      <c r="E340" s="87"/>
      <c r="F340" s="87"/>
      <c r="G340" s="88"/>
      <c r="H340" s="87"/>
      <c r="I340" s="88"/>
      <c r="J340" s="89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90"/>
      <c r="AG340" s="90"/>
    </row>
    <row r="341" spans="1:33" x14ac:dyDescent="0.3">
      <c r="A341" s="86">
        <f t="shared" si="5"/>
        <v>0</v>
      </c>
      <c r="B341" s="87"/>
      <c r="C341" s="88"/>
      <c r="D341" s="88"/>
      <c r="E341" s="87"/>
      <c r="F341" s="87"/>
      <c r="G341" s="88"/>
      <c r="H341" s="87"/>
      <c r="I341" s="88"/>
      <c r="J341" s="89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90"/>
      <c r="AG341" s="90"/>
    </row>
    <row r="342" spans="1:33" x14ac:dyDescent="0.3">
      <c r="A342" s="86">
        <f t="shared" si="5"/>
        <v>0</v>
      </c>
      <c r="B342" s="87"/>
      <c r="C342" s="88"/>
      <c r="D342" s="88"/>
      <c r="E342" s="87"/>
      <c r="F342" s="87"/>
      <c r="G342" s="88"/>
      <c r="H342" s="87"/>
      <c r="I342" s="88"/>
      <c r="J342" s="89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90"/>
      <c r="AG342" s="90"/>
    </row>
    <row r="343" spans="1:33" x14ac:dyDescent="0.3">
      <c r="A343" s="86">
        <f t="shared" si="5"/>
        <v>0</v>
      </c>
      <c r="B343" s="87"/>
      <c r="C343" s="88"/>
      <c r="D343" s="88"/>
      <c r="E343" s="87"/>
      <c r="F343" s="87"/>
      <c r="G343" s="88"/>
      <c r="H343" s="87"/>
      <c r="I343" s="88"/>
      <c r="J343" s="89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90"/>
      <c r="AG343" s="90"/>
    </row>
    <row r="344" spans="1:33" x14ac:dyDescent="0.3">
      <c r="A344" s="86">
        <f t="shared" si="5"/>
        <v>0</v>
      </c>
      <c r="B344" s="87"/>
      <c r="C344" s="88"/>
      <c r="D344" s="88"/>
      <c r="E344" s="87"/>
      <c r="F344" s="87"/>
      <c r="G344" s="88"/>
      <c r="H344" s="87"/>
      <c r="I344" s="88"/>
      <c r="J344" s="89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90"/>
      <c r="AG344" s="90"/>
    </row>
    <row r="345" spans="1:33" x14ac:dyDescent="0.3">
      <c r="A345" s="86">
        <f t="shared" si="5"/>
        <v>0</v>
      </c>
      <c r="B345" s="87"/>
      <c r="C345" s="88"/>
      <c r="D345" s="88"/>
      <c r="E345" s="87"/>
      <c r="F345" s="87"/>
      <c r="G345" s="88"/>
      <c r="H345" s="87"/>
      <c r="I345" s="88"/>
      <c r="J345" s="89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90"/>
      <c r="AG345" s="90"/>
    </row>
    <row r="346" spans="1:33" x14ac:dyDescent="0.3">
      <c r="A346" s="86">
        <f t="shared" si="5"/>
        <v>0</v>
      </c>
      <c r="B346" s="87"/>
      <c r="C346" s="88"/>
      <c r="D346" s="88"/>
      <c r="E346" s="87"/>
      <c r="F346" s="87"/>
      <c r="G346" s="88"/>
      <c r="H346" s="87"/>
      <c r="I346" s="88"/>
      <c r="J346" s="89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90"/>
      <c r="AG346" s="90"/>
    </row>
    <row r="347" spans="1:33" x14ac:dyDescent="0.3">
      <c r="A347" s="86">
        <f t="shared" si="5"/>
        <v>0</v>
      </c>
      <c r="B347" s="87"/>
      <c r="C347" s="88"/>
      <c r="D347" s="88"/>
      <c r="E347" s="87"/>
      <c r="F347" s="87"/>
      <c r="G347" s="88"/>
      <c r="H347" s="87"/>
      <c r="I347" s="88"/>
      <c r="J347" s="89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90"/>
      <c r="AG347" s="90"/>
    </row>
    <row r="348" spans="1:33" x14ac:dyDescent="0.3">
      <c r="A348" s="86">
        <f t="shared" si="5"/>
        <v>0</v>
      </c>
      <c r="B348" s="87"/>
      <c r="C348" s="88"/>
      <c r="D348" s="88"/>
      <c r="E348" s="87"/>
      <c r="F348" s="87"/>
      <c r="G348" s="88"/>
      <c r="H348" s="87"/>
      <c r="I348" s="88"/>
      <c r="J348" s="89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90"/>
      <c r="AG348" s="90"/>
    </row>
    <row r="349" spans="1:33" x14ac:dyDescent="0.3">
      <c r="A349" s="86">
        <f t="shared" si="5"/>
        <v>0</v>
      </c>
      <c r="B349" s="87"/>
      <c r="C349" s="88"/>
      <c r="D349" s="88"/>
      <c r="E349" s="87"/>
      <c r="F349" s="87"/>
      <c r="G349" s="88"/>
      <c r="H349" s="87"/>
      <c r="I349" s="88"/>
      <c r="J349" s="89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90"/>
      <c r="AG349" s="90"/>
    </row>
    <row r="350" spans="1:33" x14ac:dyDescent="0.3">
      <c r="A350" s="86">
        <f t="shared" si="5"/>
        <v>0</v>
      </c>
      <c r="B350" s="87"/>
      <c r="C350" s="88"/>
      <c r="D350" s="88"/>
      <c r="E350" s="87"/>
      <c r="F350" s="87"/>
      <c r="G350" s="88"/>
      <c r="H350" s="87"/>
      <c r="I350" s="88"/>
      <c r="J350" s="89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90"/>
      <c r="AG350" s="90"/>
    </row>
    <row r="351" spans="1:33" x14ac:dyDescent="0.3">
      <c r="A351" s="86">
        <f t="shared" si="5"/>
        <v>0</v>
      </c>
      <c r="B351" s="87"/>
      <c r="C351" s="88"/>
      <c r="D351" s="88"/>
      <c r="E351" s="87"/>
      <c r="F351" s="87"/>
      <c r="G351" s="88"/>
      <c r="H351" s="87"/>
      <c r="I351" s="88"/>
      <c r="J351" s="89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90"/>
      <c r="AG351" s="90"/>
    </row>
    <row r="352" spans="1:33" x14ac:dyDescent="0.3">
      <c r="A352" s="86">
        <f t="shared" si="5"/>
        <v>0</v>
      </c>
      <c r="B352" s="87"/>
      <c r="C352" s="88"/>
      <c r="D352" s="88"/>
      <c r="E352" s="87"/>
      <c r="F352" s="87"/>
      <c r="G352" s="88"/>
      <c r="H352" s="87"/>
      <c r="I352" s="88"/>
      <c r="J352" s="89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90"/>
      <c r="AG352" s="90"/>
    </row>
    <row r="353" spans="1:33" x14ac:dyDescent="0.3">
      <c r="A353" s="86">
        <f t="shared" si="5"/>
        <v>0</v>
      </c>
      <c r="B353" s="87"/>
      <c r="C353" s="88"/>
      <c r="D353" s="88"/>
      <c r="E353" s="87"/>
      <c r="F353" s="87"/>
      <c r="G353" s="88"/>
      <c r="H353" s="87"/>
      <c r="I353" s="88"/>
      <c r="J353" s="89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90"/>
      <c r="AG353" s="90"/>
    </row>
    <row r="354" spans="1:33" x14ac:dyDescent="0.3">
      <c r="A354" s="86">
        <f t="shared" si="5"/>
        <v>0</v>
      </c>
      <c r="B354" s="87"/>
      <c r="C354" s="88"/>
      <c r="D354" s="88"/>
      <c r="E354" s="87"/>
      <c r="F354" s="87"/>
      <c r="G354" s="88"/>
      <c r="H354" s="87"/>
      <c r="I354" s="88"/>
      <c r="J354" s="89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90"/>
      <c r="AG354" s="90"/>
    </row>
    <row r="355" spans="1:33" x14ac:dyDescent="0.3">
      <c r="A355" s="86">
        <f t="shared" si="5"/>
        <v>0</v>
      </c>
      <c r="B355" s="87"/>
      <c r="C355" s="88"/>
      <c r="D355" s="88"/>
      <c r="E355" s="87"/>
      <c r="F355" s="87"/>
      <c r="G355" s="88"/>
      <c r="H355" s="87"/>
      <c r="I355" s="88"/>
      <c r="J355" s="89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90"/>
      <c r="AG355" s="90"/>
    </row>
    <row r="356" spans="1:33" x14ac:dyDescent="0.3">
      <c r="A356" s="86">
        <f t="shared" si="5"/>
        <v>0</v>
      </c>
      <c r="B356" s="87"/>
      <c r="C356" s="88"/>
      <c r="D356" s="88"/>
      <c r="E356" s="87"/>
      <c r="F356" s="87"/>
      <c r="G356" s="88"/>
      <c r="H356" s="87"/>
      <c r="I356" s="88"/>
      <c r="J356" s="89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90"/>
      <c r="AG356" s="90"/>
    </row>
    <row r="357" spans="1:33" x14ac:dyDescent="0.3">
      <c r="A357" s="86">
        <f t="shared" si="5"/>
        <v>0</v>
      </c>
      <c r="B357" s="87"/>
      <c r="C357" s="88"/>
      <c r="D357" s="88"/>
      <c r="E357" s="87"/>
      <c r="F357" s="87"/>
      <c r="G357" s="88"/>
      <c r="H357" s="87"/>
      <c r="I357" s="88"/>
      <c r="J357" s="89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90"/>
      <c r="AG357" s="90"/>
    </row>
    <row r="358" spans="1:33" x14ac:dyDescent="0.3">
      <c r="A358" s="86">
        <f t="shared" si="5"/>
        <v>0</v>
      </c>
      <c r="B358" s="87"/>
      <c r="C358" s="88"/>
      <c r="D358" s="88"/>
      <c r="E358" s="87"/>
      <c r="F358" s="87"/>
      <c r="G358" s="88"/>
      <c r="H358" s="87"/>
      <c r="I358" s="88"/>
      <c r="J358" s="89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90"/>
      <c r="AG358" s="90"/>
    </row>
    <row r="359" spans="1:33" x14ac:dyDescent="0.3">
      <c r="A359" s="86">
        <f t="shared" si="5"/>
        <v>0</v>
      </c>
      <c r="B359" s="87"/>
      <c r="C359" s="88"/>
      <c r="D359" s="88"/>
      <c r="E359" s="87"/>
      <c r="F359" s="87"/>
      <c r="G359" s="88"/>
      <c r="H359" s="87"/>
      <c r="I359" s="88"/>
      <c r="J359" s="89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90"/>
      <c r="AG359" s="90"/>
    </row>
    <row r="360" spans="1:33" x14ac:dyDescent="0.3">
      <c r="A360" s="86">
        <f t="shared" si="5"/>
        <v>0</v>
      </c>
      <c r="B360" s="87"/>
      <c r="C360" s="88"/>
      <c r="D360" s="88"/>
      <c r="E360" s="87"/>
      <c r="F360" s="87"/>
      <c r="G360" s="88"/>
      <c r="H360" s="87"/>
      <c r="I360" s="88"/>
      <c r="J360" s="89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90"/>
      <c r="AG360" s="90"/>
    </row>
    <row r="361" spans="1:33" x14ac:dyDescent="0.3">
      <c r="A361" s="86">
        <f t="shared" si="5"/>
        <v>0</v>
      </c>
      <c r="B361" s="87"/>
      <c r="C361" s="88"/>
      <c r="D361" s="88"/>
      <c r="E361" s="87"/>
      <c r="F361" s="87"/>
      <c r="G361" s="88"/>
      <c r="H361" s="87"/>
      <c r="I361" s="88"/>
      <c r="J361" s="89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90"/>
      <c r="AG361" s="90"/>
    </row>
    <row r="362" spans="1:33" x14ac:dyDescent="0.3">
      <c r="A362" s="86">
        <f t="shared" si="5"/>
        <v>0</v>
      </c>
      <c r="B362" s="87"/>
      <c r="C362" s="88"/>
      <c r="D362" s="88"/>
      <c r="E362" s="87"/>
      <c r="F362" s="87"/>
      <c r="G362" s="88"/>
      <c r="H362" s="87"/>
      <c r="I362" s="88"/>
      <c r="J362" s="89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90"/>
      <c r="AG362" s="90"/>
    </row>
    <row r="363" spans="1:33" x14ac:dyDescent="0.3">
      <c r="A363" s="86">
        <f t="shared" si="5"/>
        <v>0</v>
      </c>
      <c r="B363" s="87"/>
      <c r="C363" s="88"/>
      <c r="D363" s="88"/>
      <c r="E363" s="87"/>
      <c r="F363" s="87"/>
      <c r="G363" s="88"/>
      <c r="H363" s="87"/>
      <c r="I363" s="88"/>
      <c r="J363" s="89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90"/>
      <c r="AG363" s="90"/>
    </row>
    <row r="364" spans="1:33" x14ac:dyDescent="0.3">
      <c r="A364" s="86">
        <f t="shared" si="5"/>
        <v>0</v>
      </c>
      <c r="B364" s="87"/>
      <c r="C364" s="88"/>
      <c r="D364" s="88"/>
      <c r="E364" s="87"/>
      <c r="F364" s="87"/>
      <c r="G364" s="88"/>
      <c r="H364" s="87"/>
      <c r="I364" s="88"/>
      <c r="J364" s="89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90"/>
      <c r="AG364" s="90"/>
    </row>
    <row r="365" spans="1:33" x14ac:dyDescent="0.3">
      <c r="A365" s="86">
        <f t="shared" si="5"/>
        <v>0</v>
      </c>
      <c r="B365" s="87"/>
      <c r="C365" s="88"/>
      <c r="D365" s="88"/>
      <c r="E365" s="87"/>
      <c r="F365" s="87"/>
      <c r="G365" s="88"/>
      <c r="H365" s="87"/>
      <c r="I365" s="88"/>
      <c r="J365" s="89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90"/>
      <c r="AG365" s="90"/>
    </row>
    <row r="366" spans="1:33" x14ac:dyDescent="0.3">
      <c r="A366" s="86">
        <f t="shared" si="5"/>
        <v>0</v>
      </c>
      <c r="B366" s="87"/>
      <c r="C366" s="88"/>
      <c r="D366" s="88"/>
      <c r="E366" s="87"/>
      <c r="F366" s="87"/>
      <c r="G366" s="88"/>
      <c r="H366" s="87"/>
      <c r="I366" s="88"/>
      <c r="J366" s="89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90"/>
      <c r="AG366" s="90"/>
    </row>
    <row r="367" spans="1:33" x14ac:dyDescent="0.3">
      <c r="A367" s="86">
        <f t="shared" si="5"/>
        <v>0</v>
      </c>
      <c r="B367" s="87"/>
      <c r="C367" s="88"/>
      <c r="D367" s="88"/>
      <c r="E367" s="87"/>
      <c r="F367" s="87"/>
      <c r="G367" s="88"/>
      <c r="H367" s="87"/>
      <c r="I367" s="88"/>
      <c r="J367" s="89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90"/>
      <c r="AG367" s="90"/>
    </row>
    <row r="368" spans="1:33" x14ac:dyDescent="0.3">
      <c r="A368" s="86">
        <f t="shared" si="5"/>
        <v>0</v>
      </c>
      <c r="B368" s="87"/>
      <c r="C368" s="88"/>
      <c r="D368" s="88"/>
      <c r="E368" s="87"/>
      <c r="F368" s="87"/>
      <c r="G368" s="88"/>
      <c r="H368" s="87"/>
      <c r="I368" s="88"/>
      <c r="J368" s="89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90"/>
      <c r="AG368" s="90"/>
    </row>
    <row r="369" spans="1:33" x14ac:dyDescent="0.3">
      <c r="A369" s="86">
        <f t="shared" si="5"/>
        <v>0</v>
      </c>
      <c r="B369" s="87"/>
      <c r="C369" s="88"/>
      <c r="D369" s="88"/>
      <c r="E369" s="87"/>
      <c r="F369" s="87"/>
      <c r="G369" s="88"/>
      <c r="H369" s="87"/>
      <c r="I369" s="88"/>
      <c r="J369" s="89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90"/>
      <c r="AG369" s="90"/>
    </row>
  </sheetData>
  <sheetProtection formatCells="0" formatColumns="0" formatRows="0" insertColumns="0" insertRows="0" insertHyperlinks="0" deleteColumns="0" deleteRows="0" sort="0" autoFilter="0" pivotTables="0"/>
  <autoFilter ref="B2:AG79" xr:uid="{7F308859-6F9D-4A3D-BE88-D7566E704E20}"/>
  <phoneticPr fontId="4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1. 현장별 인원현황</vt:lpstr>
      <vt:lpstr>Sheet1</vt:lpstr>
      <vt:lpstr>2-1. 인사고과표(기능)</vt:lpstr>
      <vt:lpstr>2-2. 인사고과표(안전)</vt:lpstr>
      <vt:lpstr>현장리스트</vt:lpstr>
      <vt:lpstr>'1. 현장별 인원현황'!Print_Area</vt:lpstr>
      <vt:lpstr>'2-1. 인사고과표(기능)'!Print_Area</vt:lpstr>
      <vt:lpstr>'2-2. 인사고과표(안전)'!Print_Area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종현 김</dc:creator>
  <cp:lastModifiedBy>win10</cp:lastModifiedBy>
  <cp:lastPrinted>2025-09-29T02:06:18Z</cp:lastPrinted>
  <dcterms:created xsi:type="dcterms:W3CDTF">2025-09-15T06:15:10Z</dcterms:created>
  <dcterms:modified xsi:type="dcterms:W3CDTF">2026-03-23T08:49:34Z</dcterms:modified>
</cp:coreProperties>
</file>